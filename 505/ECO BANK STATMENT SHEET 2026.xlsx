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OneDrive\Desktop\DATA\505\"/>
    </mc:Choice>
  </mc:AlternateContent>
  <xr:revisionPtr revIDLastSave="0" documentId="13_ncr:1_{AC4EF91B-20E5-4165-9746-18717C0E2FFB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CHECKING" sheetId="14" r:id="rId1"/>
    <sheet name="STATEMENT" sheetId="1" r:id="rId2"/>
    <sheet name="MVT CAISSE" sheetId="8" r:id="rId3"/>
    <sheet name="BANK" sheetId="9" r:id="rId4"/>
    <sheet name="REMBOURSEMENT_ENCAISSEMENT" sheetId="15" r:id="rId5"/>
    <sheet name="VENTES_EXP_LOC_(CREDIT)" sheetId="10" r:id="rId6"/>
    <sheet name="ACHAT MP_(DEBIT)" sheetId="11" r:id="rId7"/>
    <sheet name="DEP_EXP_ACC_(DEBIT)" sheetId="12" r:id="rId8"/>
    <sheet name="AUTRES_DEP_(DEBIT)" sheetId="13" r:id="rId9"/>
    <sheet name="CHEQUE GIVE ON COMPANYS NAME," sheetId="2" state="hidden" r:id="rId10"/>
    <sheet name="UD CAKE SALES" sheetId="3" state="hidden" r:id="rId11"/>
    <sheet name="SUIVI CHEQUIER" sheetId="6" state="hidden" r:id="rId12"/>
    <sheet name="SUIVI PRET" sheetId="4" state="hidden" r:id="rId13"/>
    <sheet name="Sheet3" sheetId="5" state="hidden" r:id="rId14"/>
  </sheets>
  <definedNames>
    <definedName name="_xlnm._FilterDatabase" localSheetId="1" hidden="1">STATEMENT!$A$3:$I$945</definedName>
    <definedName name="_xlnm._FilterDatabase" localSheetId="11" hidden="1">'SUIVI CHEQUIER'!$B$3:$F$389</definedName>
    <definedName name="_xlnm._FilterDatabase" localSheetId="10" hidden="1">'UD CAKE SALES'!$A$2:$E$2</definedName>
    <definedName name="_xlnm._FilterDatabase" localSheetId="5" hidden="1">'VENTES_EXP_LOC_(CREDIT)'!$S$3:$X$3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956" i="1" l="1"/>
  <c r="D940" i="1" l="1"/>
  <c r="D939" i="1"/>
  <c r="D941" i="1" s="1"/>
  <c r="D865" i="1" l="1"/>
  <c r="D864" i="1"/>
  <c r="D866" i="1" s="1"/>
  <c r="D832" i="1" l="1"/>
  <c r="D834" i="1" s="1"/>
  <c r="D833" i="1"/>
  <c r="E12" i="14" l="1"/>
  <c r="E7" i="14"/>
  <c r="J5" i="9" l="1"/>
  <c r="J6" i="9" s="1"/>
  <c r="J7" i="9" s="1"/>
  <c r="J8" i="9" s="1"/>
  <c r="J9" i="9" s="1"/>
  <c r="J10" i="9" s="1"/>
  <c r="J11" i="9" s="1"/>
  <c r="J12" i="9" s="1"/>
  <c r="J13" i="9" s="1"/>
  <c r="J14" i="9" s="1"/>
  <c r="J15" i="9" s="1"/>
  <c r="J16" i="9" s="1"/>
  <c r="J17" i="9" s="1"/>
  <c r="J18" i="9" s="1"/>
  <c r="J19" i="9" s="1"/>
  <c r="J20" i="9" s="1"/>
  <c r="J21" i="9" s="1"/>
  <c r="J22" i="9" s="1"/>
  <c r="J23" i="9" s="1"/>
  <c r="J24" i="9" s="1"/>
  <c r="J25" i="9" s="1"/>
  <c r="J26" i="9" s="1"/>
  <c r="J27" i="9" s="1"/>
  <c r="J28" i="9" s="1"/>
  <c r="J29" i="9" s="1"/>
  <c r="J30" i="9" s="1"/>
  <c r="J31" i="9" s="1"/>
  <c r="J32" i="9" s="1"/>
  <c r="J33" i="9" s="1"/>
  <c r="J34" i="9" s="1"/>
  <c r="J35" i="9" s="1"/>
  <c r="C13" i="9" l="1"/>
  <c r="H12" i="5" l="1"/>
  <c r="K6" i="5"/>
  <c r="K12" i="5" s="1"/>
  <c r="M14" i="5"/>
  <c r="N14" i="5" s="1"/>
  <c r="E6" i="5" l="1"/>
  <c r="E7" i="5" s="1"/>
  <c r="E8" i="5" s="1"/>
  <c r="E9" i="5" s="1"/>
  <c r="E10" i="5" s="1"/>
  <c r="E11" i="5" s="1"/>
  <c r="E12" i="5" s="1"/>
  <c r="E13" i="5" s="1"/>
  <c r="E14" i="5" s="1"/>
  <c r="E15" i="5" s="1"/>
  <c r="E16" i="5" s="1"/>
  <c r="E17" i="5" s="1"/>
  <c r="E18" i="5" s="1"/>
  <c r="E19" i="5" s="1"/>
  <c r="E20" i="5" s="1"/>
  <c r="E21" i="5" s="1"/>
  <c r="E22" i="5" s="1"/>
  <c r="E23" i="5" s="1"/>
  <c r="E24" i="5" s="1"/>
  <c r="E25" i="5" s="1"/>
  <c r="E26" i="5" s="1"/>
  <c r="E27" i="5" s="1"/>
  <c r="E5" i="4"/>
  <c r="E6" i="4" s="1"/>
  <c r="E7" i="4" s="1"/>
  <c r="E8" i="4" s="1"/>
  <c r="E9" i="4" s="1"/>
  <c r="E10" i="4" s="1"/>
  <c r="E11" i="4" s="1"/>
  <c r="E12" i="4" s="1"/>
  <c r="E13" i="4" s="1"/>
  <c r="E14" i="4" s="1"/>
  <c r="E15" i="4" s="1"/>
  <c r="E16" i="4" s="1"/>
  <c r="E17" i="4" s="1"/>
  <c r="E18" i="4" s="1"/>
  <c r="E19" i="4" s="1"/>
  <c r="E20" i="4" s="1"/>
  <c r="E21" i="4" s="1"/>
  <c r="E22" i="4" s="1"/>
  <c r="E23" i="4" s="1"/>
  <c r="E24" i="4" s="1"/>
  <c r="E25" i="4" s="1"/>
  <c r="E26" i="4" s="1"/>
  <c r="E27" i="4" s="1"/>
  <c r="E28" i="4" s="1"/>
  <c r="E29" i="4" s="1"/>
  <c r="E30" i="4" s="1"/>
  <c r="E31" i="4" s="1"/>
  <c r="E32" i="4" s="1"/>
  <c r="E33" i="4" s="1"/>
  <c r="E34" i="4" s="1"/>
  <c r="E35" i="4" s="1"/>
  <c r="E36" i="4" s="1"/>
  <c r="E37" i="4" s="1"/>
  <c r="E38" i="4" s="1"/>
  <c r="E39" i="4" s="1"/>
  <c r="E40" i="4" s="1"/>
  <c r="E41" i="4" s="1"/>
  <c r="E42" i="4" s="1"/>
  <c r="E43" i="4" s="1"/>
  <c r="E44" i="4" s="1"/>
  <c r="E45" i="4" s="1"/>
  <c r="E46" i="4" s="1"/>
  <c r="E47" i="4" s="1"/>
  <c r="E48" i="4" s="1"/>
  <c r="E49" i="4" s="1"/>
  <c r="E50" i="4" s="1"/>
  <c r="E51" i="4" s="1"/>
  <c r="E52" i="4" s="1"/>
  <c r="E53" i="4" s="1"/>
  <c r="E54" i="4" s="1"/>
  <c r="E55" i="4" s="1"/>
  <c r="E56" i="4" s="1"/>
  <c r="E57" i="4" s="1"/>
  <c r="E58" i="4" s="1"/>
  <c r="E4" i="1" l="1"/>
  <c r="E5" i="1" s="1"/>
  <c r="E6" i="1" l="1"/>
  <c r="E7" i="1" l="1"/>
  <c r="E8" i="1" s="1"/>
  <c r="E9" i="1" l="1"/>
  <c r="E10" i="1" s="1"/>
  <c r="E11" i="1" s="1"/>
  <c r="E12" i="1" l="1"/>
  <c r="E13" i="1" s="1"/>
  <c r="E14" i="1" s="1"/>
  <c r="E15" i="1" l="1"/>
  <c r="E16" i="1" l="1"/>
  <c r="E17" i="1" s="1"/>
  <c r="E18" i="1" s="1"/>
  <c r="E19" i="1" l="1"/>
  <c r="E20" i="1" s="1"/>
  <c r="E21" i="1" s="1"/>
  <c r="E22" i="1" l="1"/>
  <c r="E23" i="1" l="1"/>
  <c r="E24" i="1" s="1"/>
  <c r="E25" i="1" l="1"/>
  <c r="E26" i="1" l="1"/>
  <c r="E27" i="1" l="1"/>
  <c r="E28" i="1" s="1"/>
  <c r="E29" i="1" s="1"/>
  <c r="E30" i="1" l="1"/>
  <c r="E31" i="1" s="1"/>
  <c r="E32" i="1" s="1"/>
  <c r="E33" i="1" s="1"/>
  <c r="E34" i="1" s="1"/>
  <c r="E35" i="1" s="1"/>
  <c r="E36" i="1" s="1"/>
  <c r="E37" i="1" s="1"/>
  <c r="E38" i="1" s="1"/>
  <c r="E39" i="1" l="1"/>
  <c r="E40" i="1" l="1"/>
  <c r="E41" i="1" l="1"/>
  <c r="E42" i="1" l="1"/>
  <c r="E43" i="1" s="1"/>
  <c r="E44" i="1" l="1"/>
  <c r="E45" i="1" s="1"/>
  <c r="E46" i="1" s="1"/>
  <c r="E47" i="1" l="1"/>
  <c r="E48" i="1" l="1"/>
  <c r="E49" i="1" l="1"/>
  <c r="E50" i="1" s="1"/>
  <c r="E51" i="1" l="1"/>
  <c r="E52" i="1" s="1"/>
  <c r="E53" i="1" s="1"/>
  <c r="E54" i="1" l="1"/>
  <c r="E55" i="1" l="1"/>
  <c r="E56" i="1" s="1"/>
  <c r="E57" i="1" s="1"/>
  <c r="E58" i="1" s="1"/>
  <c r="E59" i="1" s="1"/>
  <c r="E60" i="1" s="1"/>
  <c r="E61" i="1" l="1"/>
  <c r="E62" i="1" l="1"/>
  <c r="E63" i="1" l="1"/>
  <c r="E64" i="1" s="1"/>
  <c r="E65" i="1" l="1"/>
  <c r="E66" i="1" l="1"/>
  <c r="E67" i="1" s="1"/>
  <c r="E68" i="1" s="1"/>
  <c r="E69" i="1" l="1"/>
  <c r="E70" i="1" s="1"/>
  <c r="E71" i="1" l="1"/>
  <c r="E72" i="1" l="1"/>
  <c r="E73" i="1" l="1"/>
  <c r="E74" i="1" s="1"/>
  <c r="E75" i="1" s="1"/>
  <c r="E76" i="1" l="1"/>
  <c r="E77" i="1" s="1"/>
  <c r="E78" i="1" s="1"/>
  <c r="E79" i="1" l="1"/>
  <c r="E80" i="1" s="1"/>
  <c r="E81" i="1" s="1"/>
  <c r="E82" i="1" l="1"/>
  <c r="E83" i="1" s="1"/>
  <c r="E84" i="1" s="1"/>
  <c r="E85" i="1" l="1"/>
  <c r="E86" i="1" s="1"/>
  <c r="E87" i="1" s="1"/>
  <c r="E88" i="1" l="1"/>
  <c r="E89" i="1" l="1"/>
  <c r="E90" i="1" l="1"/>
  <c r="E91" i="1" s="1"/>
  <c r="E92" i="1" s="1"/>
  <c r="E93" i="1" s="1"/>
  <c r="E94" i="1" s="1"/>
  <c r="E95" i="1" s="1"/>
  <c r="E96" i="1" l="1"/>
  <c r="E97" i="1" s="1"/>
  <c r="E98" i="1" s="1"/>
  <c r="E99" i="1" l="1"/>
  <c r="E100" i="1" l="1"/>
  <c r="E101" i="1" l="1"/>
  <c r="E102" i="1" l="1"/>
  <c r="E103" i="1" s="1"/>
  <c r="E104" i="1" s="1"/>
  <c r="E105" i="1" l="1"/>
  <c r="E106" i="1" l="1"/>
  <c r="E107" i="1" l="1"/>
  <c r="E108" i="1" l="1"/>
  <c r="E109" i="1" s="1"/>
  <c r="E110" i="1" s="1"/>
  <c r="E111" i="1" l="1"/>
  <c r="E112" i="1" l="1"/>
  <c r="E113" i="1" l="1"/>
  <c r="E114" i="1" s="1"/>
  <c r="E115" i="1" s="1"/>
  <c r="E116" i="1" l="1"/>
  <c r="E117" i="1" s="1"/>
  <c r="E118" i="1" s="1"/>
  <c r="E119" i="1" s="1"/>
  <c r="E120" i="1" l="1"/>
  <c r="E121" i="1" l="1"/>
  <c r="E122" i="1" s="1"/>
  <c r="E123" i="1" l="1"/>
  <c r="E124" i="1" l="1"/>
  <c r="E125" i="1" s="1"/>
  <c r="E126" i="1" s="1"/>
  <c r="E127" i="1" l="1"/>
  <c r="E128" i="1" l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l="1"/>
  <c r="E141" i="1" l="1"/>
  <c r="E142" i="1" s="1"/>
  <c r="E143" i="1" l="1"/>
  <c r="E144" i="1" s="1"/>
  <c r="E145" i="1" s="1"/>
  <c r="E146" i="1" s="1"/>
  <c r="E147" i="1" s="1"/>
  <c r="E148" i="1" l="1"/>
  <c r="E149" i="1" s="1"/>
  <c r="E150" i="1" s="1"/>
  <c r="E151" i="1" s="1"/>
  <c r="E152" i="1" s="1"/>
  <c r="E153" i="1" s="1"/>
  <c r="E154" i="1" l="1"/>
  <c r="E155" i="1" s="1"/>
  <c r="E156" i="1" s="1"/>
  <c r="E157" i="1" s="1"/>
  <c r="E158" i="1" s="1"/>
  <c r="E159" i="1" s="1"/>
  <c r="E160" i="1" s="1"/>
  <c r="E161" i="1" s="1"/>
  <c r="E162" i="1" s="1"/>
  <c r="E163" i="1" s="1"/>
  <c r="E164" i="1" l="1"/>
  <c r="E165" i="1" s="1"/>
  <c r="E166" i="1" l="1"/>
  <c r="E167" i="1" s="1"/>
  <c r="E168" i="1" l="1"/>
  <c r="E169" i="1" l="1"/>
  <c r="E170" i="1" l="1"/>
  <c r="E171" i="1" s="1"/>
  <c r="E172" i="1" s="1"/>
  <c r="E173" i="1" s="1"/>
  <c r="E174" i="1" l="1"/>
  <c r="E175" i="1" l="1"/>
  <c r="E176" i="1" s="1"/>
  <c r="E177" i="1" s="1"/>
  <c r="E178" i="1" l="1"/>
  <c r="E179" i="1" l="1"/>
  <c r="E180" i="1" l="1"/>
  <c r="E181" i="1" s="1"/>
  <c r="E182" i="1" s="1"/>
  <c r="E183" i="1" l="1"/>
  <c r="E184" i="1" l="1"/>
  <c r="E185" i="1" l="1"/>
  <c r="E186" i="1" l="1"/>
  <c r="E187" i="1" l="1"/>
  <c r="E188" i="1" l="1"/>
  <c r="E189" i="1" s="1"/>
  <c r="E190" i="1" s="1"/>
  <c r="E191" i="1" s="1"/>
  <c r="E192" i="1" l="1"/>
  <c r="E193" i="1" l="1"/>
  <c r="E194" i="1" s="1"/>
  <c r="E195" i="1" s="1"/>
  <c r="E196" i="1" s="1"/>
  <c r="E197" i="1" s="1"/>
  <c r="E198" i="1" s="1"/>
  <c r="E199" i="1" s="1"/>
  <c r="E200" i="1" s="1"/>
  <c r="E201" i="1" s="1"/>
  <c r="E202" i="1" l="1"/>
  <c r="E203" i="1" s="1"/>
  <c r="E204" i="1" l="1"/>
  <c r="E205" i="1" s="1"/>
  <c r="E206" i="1" s="1"/>
  <c r="E207" i="1" l="1"/>
  <c r="E208" i="1" s="1"/>
  <c r="E209" i="1" l="1"/>
  <c r="E210" i="1" s="1"/>
  <c r="E211" i="1" s="1"/>
  <c r="E212" i="1" l="1"/>
  <c r="E213" i="1" l="1"/>
  <c r="E214" i="1" l="1"/>
  <c r="E215" i="1" s="1"/>
  <c r="E216" i="1" l="1"/>
  <c r="E217" i="1" s="1"/>
  <c r="E218" i="1" s="1"/>
  <c r="E219" i="1" s="1"/>
  <c r="E220" i="1" s="1"/>
  <c r="E221" i="1" l="1"/>
  <c r="E222" i="1" l="1"/>
  <c r="E223" i="1" s="1"/>
  <c r="E224" i="1" s="1"/>
  <c r="E225" i="1" s="1"/>
  <c r="E226" i="1" l="1"/>
  <c r="E227" i="1" s="1"/>
  <c r="E228" i="1" s="1"/>
  <c r="E229" i="1" s="1"/>
  <c r="E230" i="1" l="1"/>
  <c r="E231" i="1" s="1"/>
  <c r="E232" i="1" l="1"/>
  <c r="E233" i="1" l="1"/>
  <c r="E234" i="1" s="1"/>
  <c r="E235" i="1" s="1"/>
  <c r="E236" i="1" s="1"/>
  <c r="E237" i="1" s="1"/>
  <c r="E238" i="1" s="1"/>
  <c r="E239" i="1" s="1"/>
  <c r="E240" i="1" s="1"/>
  <c r="E241" i="1" s="1"/>
  <c r="E242" i="1" s="1"/>
  <c r="E243" i="1" l="1"/>
  <c r="E244" i="1" l="1"/>
  <c r="E245" i="1" s="1"/>
  <c r="E246" i="1" s="1"/>
  <c r="E247" i="1" s="1"/>
  <c r="E248" i="1" s="1"/>
  <c r="E249" i="1" l="1"/>
  <c r="E250" i="1" s="1"/>
  <c r="E251" i="1" s="1"/>
  <c r="E252" i="1" s="1"/>
  <c r="E253" i="1" s="1"/>
  <c r="E254" i="1" s="1"/>
  <c r="E255" i="1" s="1"/>
  <c r="E256" i="1" s="1"/>
  <c r="E257" i="1" s="1"/>
  <c r="E258" i="1" s="1"/>
  <c r="E259" i="1" s="1"/>
  <c r="E260" i="1" s="1"/>
  <c r="E261" i="1" s="1"/>
  <c r="E262" i="1" s="1"/>
  <c r="E263" i="1" s="1"/>
  <c r="E264" i="1" s="1"/>
  <c r="E265" i="1" s="1"/>
  <c r="E266" i="1" s="1"/>
  <c r="E267" i="1" s="1"/>
  <c r="E268" i="1" s="1"/>
  <c r="E269" i="1" s="1"/>
  <c r="E270" i="1" s="1"/>
  <c r="E271" i="1" s="1"/>
  <c r="E272" i="1" s="1"/>
  <c r="E273" i="1" l="1"/>
  <c r="E274" i="1" s="1"/>
  <c r="E275" i="1" s="1"/>
  <c r="E276" i="1" s="1"/>
  <c r="E277" i="1" l="1"/>
  <c r="E278" i="1" s="1"/>
  <c r="E279" i="1" s="1"/>
  <c r="E280" i="1" s="1"/>
  <c r="E281" i="1" s="1"/>
  <c r="E282" i="1" l="1"/>
  <c r="E283" i="1" s="1"/>
  <c r="E284" i="1" l="1"/>
  <c r="E285" i="1" l="1"/>
  <c r="E286" i="1" s="1"/>
  <c r="E287" i="1" l="1"/>
  <c r="E288" i="1" s="1"/>
  <c r="E289" i="1" s="1"/>
  <c r="E290" i="1" s="1"/>
  <c r="E291" i="1" s="1"/>
  <c r="E292" i="1" l="1"/>
  <c r="E293" i="1" l="1"/>
  <c r="E294" i="1" s="1"/>
  <c r="E295" i="1" s="1"/>
  <c r="E296" i="1" s="1"/>
  <c r="E297" i="1" s="1"/>
  <c r="E298" i="1" s="1"/>
  <c r="E299" i="1" l="1"/>
  <c r="E300" i="1" s="1"/>
  <c r="E301" i="1" l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l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l="1"/>
  <c r="E356" i="1" s="1"/>
  <c r="E357" i="1" s="1"/>
  <c r="E358" i="1" l="1"/>
  <c r="E359" i="1" l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l="1"/>
  <c r="E375" i="1" s="1"/>
  <c r="E376" i="1" s="1"/>
  <c r="E377" i="1" s="1"/>
  <c r="E378" i="1" s="1"/>
  <c r="E379" i="1" s="1"/>
  <c r="E380" i="1" s="1"/>
  <c r="E381" i="1" s="1"/>
  <c r="E382" i="1" s="1"/>
  <c r="E383" i="1" l="1"/>
  <c r="E384" i="1" s="1"/>
  <c r="E385" i="1" s="1"/>
  <c r="E386" i="1" s="1"/>
  <c r="E387" i="1" s="1"/>
  <c r="E388" i="1" s="1"/>
  <c r="E389" i="1" s="1"/>
  <c r="E390" i="1" s="1"/>
  <c r="E391" i="1" s="1"/>
  <c r="E392" i="1" l="1"/>
  <c r="E393" i="1" s="1"/>
  <c r="E394" i="1" s="1"/>
  <c r="E395" i="1" s="1"/>
  <c r="E396" i="1" s="1"/>
  <c r="E397" i="1" s="1"/>
  <c r="E398" i="1" s="1"/>
  <c r="E399" i="1" l="1"/>
  <c r="E400" i="1" s="1"/>
  <c r="E401" i="1" s="1"/>
  <c r="E402" i="1" s="1"/>
  <c r="E403" i="1" l="1"/>
  <c r="E404" i="1" s="1"/>
  <c r="E405" i="1" s="1"/>
  <c r="E406" i="1" s="1"/>
  <c r="E407" i="1" s="1"/>
  <c r="E408" i="1" s="1"/>
  <c r="E409" i="1" s="1"/>
  <c r="E410" i="1" s="1"/>
  <c r="E411" i="1" s="1"/>
  <c r="E412" i="1" s="1"/>
  <c r="E413" i="1" s="1"/>
  <c r="E414" i="1" s="1"/>
  <c r="E415" i="1" s="1"/>
  <c r="E416" i="1" s="1"/>
  <c r="L4" i="10" a="1"/>
  <c r="L4" i="10" l="1"/>
  <c r="E417" i="1"/>
  <c r="E418" i="1" s="1"/>
  <c r="E419" i="1" s="1"/>
  <c r="E420" i="1" s="1"/>
  <c r="E421" i="1" s="1"/>
  <c r="E422" i="1" s="1"/>
  <c r="E423" i="1" s="1"/>
  <c r="E424" i="1" s="1"/>
  <c r="E425" i="1" s="1"/>
  <c r="E426" i="1" s="1"/>
  <c r="E427" i="1" s="1"/>
  <c r="E428" i="1" s="1"/>
  <c r="E429" i="1" s="1"/>
  <c r="E430" i="1" s="1"/>
  <c r="E431" i="1" s="1"/>
  <c r="E432" i="1" s="1"/>
  <c r="E433" i="1" s="1"/>
  <c r="E434" i="1" s="1"/>
  <c r="E435" i="1" s="1"/>
  <c r="E436" i="1" s="1"/>
  <c r="E437" i="1" s="1"/>
  <c r="E438" i="1" s="1"/>
  <c r="E439" i="1" s="1"/>
  <c r="E440" i="1" s="1"/>
  <c r="E441" i="1" s="1"/>
  <c r="E442" i="1" s="1"/>
  <c r="E443" i="1" s="1"/>
  <c r="E444" i="1" s="1"/>
  <c r="E445" i="1" s="1"/>
  <c r="E446" i="1" s="1"/>
  <c r="E447" i="1" s="1"/>
  <c r="E448" i="1" s="1"/>
  <c r="E449" i="1" s="1"/>
  <c r="E450" i="1" s="1"/>
  <c r="E451" i="1" s="1"/>
  <c r="E452" i="1" s="1"/>
  <c r="E453" i="1" s="1"/>
  <c r="E454" i="1" s="1"/>
  <c r="E455" i="1" s="1"/>
  <c r="E456" i="1" s="1"/>
  <c r="E457" i="1" s="1"/>
  <c r="E458" i="1" s="1"/>
  <c r="E459" i="1" s="1"/>
  <c r="E460" i="1" s="1"/>
  <c r="E461" i="1" s="1"/>
  <c r="E462" i="1" s="1"/>
  <c r="E463" i="1" s="1"/>
  <c r="E464" i="1" s="1"/>
  <c r="E465" i="1" s="1"/>
  <c r="E466" i="1" s="1"/>
  <c r="E467" i="1" s="1"/>
  <c r="E468" i="1" s="1"/>
  <c r="E469" i="1" s="1"/>
  <c r="E470" i="1" s="1"/>
  <c r="E471" i="1" s="1"/>
  <c r="E472" i="1" s="1"/>
  <c r="E473" i="1" s="1"/>
  <c r="E474" i="1" s="1"/>
  <c r="E475" i="1" s="1"/>
  <c r="E476" i="1" s="1"/>
  <c r="E477" i="1" s="1"/>
  <c r="E478" i="1" s="1"/>
  <c r="AW5" i="9" a="1"/>
  <c r="AW5" i="9" l="1"/>
  <c r="E479" i="1"/>
  <c r="E480" i="1" s="1"/>
  <c r="E481" i="1" s="1"/>
  <c r="E482" i="1" s="1"/>
  <c r="E483" i="1" s="1"/>
  <c r="E484" i="1" s="1"/>
  <c r="E485" i="1" s="1"/>
  <c r="E486" i="1" s="1"/>
  <c r="E487" i="1" s="1"/>
  <c r="E488" i="1" s="1"/>
  <c r="E489" i="1" s="1"/>
  <c r="E490" i="1" s="1"/>
  <c r="E491" i="1" s="1"/>
  <c r="E492" i="1" s="1"/>
  <c r="E493" i="1" s="1"/>
  <c r="E494" i="1" s="1"/>
  <c r="E495" i="1" s="1"/>
  <c r="E496" i="1" s="1"/>
  <c r="E497" i="1" s="1"/>
  <c r="E498" i="1" s="1"/>
  <c r="E499" i="1" s="1"/>
  <c r="E500" i="1" s="1"/>
  <c r="E501" i="1" s="1"/>
  <c r="E502" i="1" s="1"/>
  <c r="E503" i="1" s="1"/>
  <c r="E504" i="1" s="1"/>
  <c r="E505" i="1" l="1"/>
  <c r="E506" i="1" s="1"/>
  <c r="E507" i="1" s="1"/>
  <c r="E508" i="1" l="1"/>
  <c r="E509" i="1" s="1"/>
  <c r="E510" i="1" s="1"/>
  <c r="E511" i="1" s="1"/>
  <c r="E512" i="1" s="1"/>
  <c r="E513" i="1" s="1"/>
  <c r="E514" i="1" s="1"/>
  <c r="E515" i="1" s="1"/>
  <c r="E516" i="1" s="1"/>
  <c r="E517" i="1" s="1"/>
  <c r="E518" i="1" s="1"/>
  <c r="E519" i="1" s="1"/>
  <c r="E520" i="1" l="1"/>
  <c r="E521" i="1" s="1"/>
  <c r="E522" i="1" s="1"/>
  <c r="E523" i="1" s="1"/>
  <c r="E524" i="1" l="1"/>
  <c r="E525" i="1" s="1"/>
  <c r="E526" i="1" s="1"/>
  <c r="E527" i="1" s="1"/>
  <c r="E528" i="1" s="1"/>
  <c r="E529" i="1" s="1"/>
  <c r="E530" i="1" s="1"/>
  <c r="E531" i="1" l="1"/>
  <c r="E532" i="1" s="1"/>
  <c r="E533" i="1" s="1"/>
  <c r="E534" i="1" l="1"/>
  <c r="E535" i="1" s="1"/>
  <c r="E536" i="1" s="1"/>
  <c r="E537" i="1" l="1"/>
  <c r="E538" i="1" s="1"/>
  <c r="E539" i="1" s="1"/>
  <c r="E540" i="1" s="1"/>
  <c r="E541" i="1" s="1"/>
  <c r="E542" i="1" s="1"/>
  <c r="E543" i="1" s="1"/>
  <c r="E544" i="1" s="1"/>
  <c r="E545" i="1" l="1"/>
  <c r="E546" i="1" s="1"/>
  <c r="E547" i="1" s="1"/>
  <c r="E548" i="1" s="1"/>
  <c r="AU5" i="13" a="1"/>
  <c r="AU5" i="13" l="1"/>
  <c r="E549" i="1"/>
  <c r="E550" i="1" s="1"/>
  <c r="E551" i="1" s="1"/>
  <c r="E552" i="1" s="1"/>
  <c r="E553" i="1" s="1"/>
  <c r="E554" i="1" s="1"/>
  <c r="E555" i="1" s="1"/>
  <c r="E556" i="1" s="1"/>
  <c r="E557" i="1" s="1"/>
  <c r="F5" i="15" l="1" a="1"/>
  <c r="E558" i="1"/>
  <c r="E559" i="1" l="1"/>
  <c r="E560" i="1" s="1"/>
  <c r="E561" i="1" s="1"/>
  <c r="E562" i="1" s="1"/>
  <c r="E563" i="1" s="1"/>
  <c r="E564" i="1" s="1"/>
  <c r="E565" i="1" s="1"/>
  <c r="E566" i="1" s="1"/>
  <c r="E567" i="1" s="1"/>
  <c r="E568" i="1" s="1"/>
  <c r="F5" i="15"/>
  <c r="E569" i="1" l="1"/>
  <c r="E570" i="1" s="1"/>
  <c r="E571" i="1" s="1"/>
  <c r="E572" i="1" s="1"/>
  <c r="E573" i="1" s="1"/>
  <c r="E574" i="1" s="1"/>
  <c r="E575" i="1" s="1"/>
  <c r="E576" i="1" s="1"/>
  <c r="E577" i="1" s="1"/>
  <c r="E578" i="1" s="1"/>
  <c r="E579" i="1" s="1"/>
  <c r="E580" i="1" s="1"/>
  <c r="E581" i="1" s="1"/>
  <c r="E582" i="1" s="1"/>
  <c r="E583" i="1" s="1"/>
  <c r="E584" i="1" l="1"/>
  <c r="E585" i="1" s="1"/>
  <c r="E586" i="1" s="1"/>
  <c r="E587" i="1" s="1"/>
  <c r="E588" i="1" s="1"/>
  <c r="E589" i="1" s="1"/>
  <c r="E590" i="1" s="1"/>
  <c r="BB5" i="13" a="1"/>
  <c r="BB5" i="13" l="1"/>
  <c r="E591" i="1"/>
  <c r="E592" i="1" s="1"/>
  <c r="E593" i="1" s="1"/>
  <c r="E594" i="1" s="1"/>
  <c r="AN4" i="10" a="1"/>
  <c r="AN4" i="10" l="1"/>
  <c r="E595" i="1"/>
  <c r="E596" i="1" s="1"/>
  <c r="E597" i="1" s="1"/>
  <c r="E598" i="1" s="1"/>
  <c r="E599" i="1" l="1"/>
  <c r="E600" i="1" s="1"/>
  <c r="E601" i="1" s="1"/>
  <c r="E602" i="1" s="1"/>
  <c r="E603" i="1" s="1"/>
  <c r="E604" i="1" s="1"/>
  <c r="E605" i="1" s="1"/>
  <c r="E606" i="1" s="1"/>
  <c r="E607" i="1" s="1"/>
  <c r="E608" i="1" s="1"/>
  <c r="E609" i="1" s="1"/>
  <c r="E610" i="1" s="1"/>
  <c r="E611" i="1" l="1"/>
  <c r="BD5" i="9" a="1"/>
  <c r="BD5" i="9" l="1"/>
  <c r="E612" i="1"/>
  <c r="E613" i="1" s="1"/>
  <c r="E614" i="1" s="1"/>
  <c r="E615" i="1" l="1"/>
  <c r="E616" i="1" s="1"/>
  <c r="E617" i="1" s="1"/>
  <c r="E618" i="1" s="1"/>
  <c r="E619" i="1" s="1"/>
  <c r="E620" i="1" s="1"/>
  <c r="E621" i="1" s="1"/>
  <c r="E622" i="1" s="1"/>
  <c r="E623" i="1" s="1"/>
  <c r="E624" i="1" s="1"/>
  <c r="E625" i="1" l="1"/>
  <c r="E626" i="1" s="1"/>
  <c r="E627" i="1" s="1"/>
  <c r="E628" i="1" s="1"/>
  <c r="E629" i="1" s="1"/>
  <c r="E630" i="1" s="1"/>
  <c r="E631" i="1" s="1"/>
  <c r="E632" i="1" s="1"/>
  <c r="E633" i="1" s="1"/>
  <c r="E634" i="1" s="1"/>
  <c r="E635" i="1" s="1"/>
  <c r="E636" i="1" s="1"/>
  <c r="E637" i="1" s="1"/>
  <c r="E638" i="1" s="1"/>
  <c r="E639" i="1" s="1"/>
  <c r="E640" i="1" s="1"/>
  <c r="E641" i="1" s="1"/>
  <c r="E642" i="1" s="1"/>
  <c r="E643" i="1" s="1"/>
  <c r="E644" i="1" s="1"/>
  <c r="E645" i="1" s="1"/>
  <c r="E646" i="1" s="1"/>
  <c r="E647" i="1" s="1"/>
  <c r="E648" i="1" s="1"/>
  <c r="E649" i="1" l="1"/>
  <c r="E650" i="1" s="1"/>
  <c r="E5" i="13" a="1"/>
  <c r="E651" i="1" l="1"/>
  <c r="E652" i="1" s="1"/>
  <c r="E653" i="1" s="1"/>
  <c r="E654" i="1" s="1"/>
  <c r="E655" i="1" s="1"/>
  <c r="E656" i="1" s="1"/>
  <c r="E657" i="1" s="1"/>
  <c r="E658" i="1" s="1"/>
  <c r="E659" i="1" s="1"/>
  <c r="E660" i="1" s="1"/>
  <c r="E661" i="1" s="1"/>
  <c r="E662" i="1" s="1"/>
  <c r="E663" i="1" s="1"/>
  <c r="E664" i="1" s="1"/>
  <c r="E665" i="1" s="1"/>
  <c r="E666" i="1" s="1"/>
  <c r="E667" i="1" s="1"/>
  <c r="E668" i="1" s="1"/>
  <c r="E669" i="1" s="1"/>
  <c r="E670" i="1" s="1"/>
  <c r="E671" i="1" s="1"/>
  <c r="E672" i="1" s="1"/>
  <c r="E673" i="1" s="1"/>
  <c r="E674" i="1" s="1"/>
  <c r="E675" i="1" s="1"/>
  <c r="E676" i="1" s="1"/>
  <c r="E677" i="1" s="1"/>
  <c r="E678" i="1" s="1"/>
  <c r="E679" i="1" s="1"/>
  <c r="E680" i="1" s="1"/>
  <c r="E681" i="1" s="1"/>
  <c r="E682" i="1" s="1"/>
  <c r="E5" i="13"/>
  <c r="E683" i="1" l="1"/>
  <c r="E684" i="1" l="1"/>
  <c r="E685" i="1" s="1"/>
  <c r="E686" i="1" s="1"/>
  <c r="E687" i="1" s="1"/>
  <c r="E688" i="1" s="1"/>
  <c r="E689" i="1" s="1"/>
  <c r="Z4" i="10" a="1"/>
  <c r="M5" i="15" a="1"/>
  <c r="E690" i="1" l="1"/>
  <c r="E691" i="1" s="1"/>
  <c r="E692" i="1" s="1"/>
  <c r="E693" i="1" s="1"/>
  <c r="E694" i="1" s="1"/>
  <c r="E695" i="1" s="1"/>
  <c r="E696" i="1" s="1"/>
  <c r="E697" i="1" s="1"/>
  <c r="Z4" i="10"/>
  <c r="M5" i="15"/>
  <c r="L5" i="11" a="1"/>
  <c r="BI5" i="13" a="1"/>
  <c r="Z5" i="13" a="1"/>
  <c r="S4" i="10" a="1"/>
  <c r="T5" i="8" a="1"/>
  <c r="E698" i="1" l="1"/>
  <c r="Z5" i="13"/>
  <c r="BI5" i="13"/>
  <c r="S4" i="10"/>
  <c r="T5" i="8"/>
  <c r="L5" i="11"/>
  <c r="E699" i="1" l="1"/>
  <c r="E700" i="1" l="1"/>
  <c r="E701" i="1" s="1"/>
  <c r="E702" i="1" l="1"/>
  <c r="E703" i="1" s="1"/>
  <c r="E704" i="1" s="1"/>
  <c r="E705" i="1" s="1"/>
  <c r="E706" i="1" s="1"/>
  <c r="E707" i="1" s="1"/>
  <c r="E708" i="1" s="1"/>
  <c r="E709" i="1" s="1"/>
  <c r="E710" i="1" s="1"/>
  <c r="E711" i="1" s="1"/>
  <c r="E712" i="1" s="1"/>
  <c r="E713" i="1" s="1"/>
  <c r="E714" i="1" s="1"/>
  <c r="E715" i="1" s="1"/>
  <c r="E716" i="1" s="1"/>
  <c r="E717" i="1" s="1"/>
  <c r="E718" i="1" s="1"/>
  <c r="E719" i="1" s="1"/>
  <c r="E720" i="1" s="1"/>
  <c r="E721" i="1" s="1"/>
  <c r="E722" i="1" s="1"/>
  <c r="E723" i="1" s="1"/>
  <c r="E724" i="1" s="1"/>
  <c r="E725" i="1" s="1"/>
  <c r="E726" i="1" s="1"/>
  <c r="E727" i="1" s="1"/>
  <c r="E728" i="1" s="1"/>
  <c r="E729" i="1" s="1"/>
  <c r="E730" i="1" s="1"/>
  <c r="E731" i="1" s="1"/>
  <c r="E732" i="1" s="1"/>
  <c r="E733" i="1" s="1"/>
  <c r="E734" i="1" s="1"/>
  <c r="E735" i="1" s="1"/>
  <c r="E736" i="1" s="1"/>
  <c r="E737" i="1" s="1"/>
  <c r="E738" i="1" s="1"/>
  <c r="E739" i="1" s="1"/>
  <c r="E740" i="1" s="1"/>
  <c r="E741" i="1" s="1"/>
  <c r="E742" i="1" s="1"/>
  <c r="E743" i="1" s="1"/>
  <c r="E744" i="1" s="1"/>
  <c r="E745" i="1" s="1"/>
  <c r="E746" i="1" s="1"/>
  <c r="E747" i="1" s="1"/>
  <c r="E748" i="1" s="1"/>
  <c r="E749" i="1" s="1"/>
  <c r="E750" i="1" s="1"/>
  <c r="E751" i="1" s="1"/>
  <c r="E752" i="1" s="1"/>
  <c r="E753" i="1" s="1"/>
  <c r="E754" i="1" s="1"/>
  <c r="E755" i="1" s="1"/>
  <c r="E756" i="1" s="1"/>
  <c r="E757" i="1" s="1"/>
  <c r="E758" i="1" s="1"/>
  <c r="E759" i="1" s="1"/>
  <c r="E760" i="1" s="1"/>
  <c r="E761" i="1" s="1"/>
  <c r="E762" i="1" s="1"/>
  <c r="E763" i="1" s="1"/>
  <c r="E764" i="1" s="1"/>
  <c r="E765" i="1" s="1"/>
  <c r="E766" i="1" s="1"/>
  <c r="E767" i="1" s="1"/>
  <c r="E768" i="1" s="1"/>
  <c r="E769" i="1" s="1"/>
  <c r="E770" i="1" s="1"/>
  <c r="E771" i="1" s="1"/>
  <c r="E772" i="1" s="1"/>
  <c r="E773" i="1" s="1"/>
  <c r="E774" i="1" s="1"/>
  <c r="E775" i="1" s="1"/>
  <c r="E776" i="1" s="1"/>
  <c r="E777" i="1" s="1"/>
  <c r="E778" i="1" s="1"/>
  <c r="E779" i="1" s="1"/>
  <c r="E780" i="1" s="1"/>
  <c r="E781" i="1" s="1"/>
  <c r="E782" i="1" s="1"/>
  <c r="E783" i="1" s="1"/>
  <c r="E784" i="1" s="1"/>
  <c r="E785" i="1" s="1"/>
  <c r="E786" i="1" s="1"/>
  <c r="E787" i="1" s="1"/>
  <c r="E788" i="1" s="1"/>
  <c r="E789" i="1" s="1"/>
  <c r="E790" i="1" s="1"/>
  <c r="E791" i="1" s="1"/>
  <c r="E792" i="1" s="1"/>
  <c r="E793" i="1" s="1"/>
  <c r="E794" i="1" s="1"/>
  <c r="E795" i="1" s="1"/>
  <c r="E796" i="1" s="1"/>
  <c r="E797" i="1" s="1"/>
  <c r="E798" i="1" s="1"/>
  <c r="E799" i="1" s="1"/>
  <c r="E800" i="1" s="1"/>
  <c r="E801" i="1" s="1"/>
  <c r="E802" i="1" s="1"/>
  <c r="E803" i="1" s="1"/>
  <c r="E804" i="1" s="1"/>
  <c r="E805" i="1" s="1"/>
  <c r="E806" i="1" s="1"/>
  <c r="E807" i="1" s="1"/>
  <c r="E808" i="1" s="1"/>
  <c r="E809" i="1" s="1"/>
  <c r="E810" i="1" s="1"/>
  <c r="E811" i="1" s="1"/>
  <c r="E812" i="1" s="1"/>
  <c r="E813" i="1" s="1"/>
  <c r="E814" i="1" s="1"/>
  <c r="E815" i="1" s="1"/>
  <c r="E816" i="1" s="1"/>
  <c r="E817" i="1" s="1"/>
  <c r="E818" i="1" s="1"/>
  <c r="E819" i="1" s="1"/>
  <c r="E820" i="1" s="1"/>
  <c r="E821" i="1" s="1"/>
  <c r="E822" i="1" s="1"/>
  <c r="E823" i="1" s="1"/>
  <c r="E824" i="1" s="1"/>
  <c r="E825" i="1" s="1"/>
  <c r="E826" i="1" s="1"/>
  <c r="E827" i="1" s="1"/>
  <c r="E828" i="1" s="1"/>
  <c r="E829" i="1" l="1"/>
  <c r="E830" i="1" s="1"/>
  <c r="E831" i="1" s="1"/>
  <c r="E832" i="1" s="1"/>
  <c r="E833" i="1" s="1"/>
  <c r="E834" i="1" s="1"/>
  <c r="E835" i="1" s="1"/>
  <c r="E836" i="1" s="1"/>
  <c r="E837" i="1" s="1"/>
  <c r="E838" i="1" s="1"/>
  <c r="E839" i="1" s="1"/>
  <c r="E840" i="1" s="1"/>
  <c r="E841" i="1" s="1"/>
  <c r="E842" i="1" s="1"/>
  <c r="E843" i="1" s="1"/>
  <c r="E844" i="1" s="1"/>
  <c r="E845" i="1" s="1"/>
  <c r="E846" i="1" s="1"/>
  <c r="E847" i="1" s="1"/>
  <c r="E848" i="1" s="1"/>
  <c r="E849" i="1" s="1"/>
  <c r="E850" i="1" s="1"/>
  <c r="E851" i="1" s="1"/>
  <c r="E852" i="1" s="1"/>
  <c r="E853" i="1" s="1"/>
  <c r="E854" i="1" s="1"/>
  <c r="E855" i="1" s="1"/>
  <c r="E856" i="1" s="1"/>
  <c r="E857" i="1" s="1"/>
  <c r="E858" i="1" s="1"/>
  <c r="E859" i="1" s="1"/>
  <c r="E860" i="1" s="1"/>
  <c r="E861" i="1" s="1"/>
  <c r="E862" i="1" s="1"/>
  <c r="E863" i="1" s="1"/>
  <c r="E864" i="1" s="1"/>
  <c r="E865" i="1" s="1"/>
  <c r="E866" i="1" s="1"/>
  <c r="E867" i="1" s="1"/>
  <c r="E868" i="1" s="1"/>
  <c r="E869" i="1" s="1"/>
  <c r="E870" i="1" s="1"/>
  <c r="E871" i="1" s="1"/>
  <c r="E872" i="1" s="1"/>
  <c r="E873" i="1" s="1"/>
  <c r="E874" i="1" s="1"/>
  <c r="E875" i="1" s="1"/>
  <c r="E876" i="1" s="1"/>
  <c r="E877" i="1" s="1"/>
  <c r="E878" i="1" s="1"/>
  <c r="E879" i="1" s="1"/>
  <c r="E880" i="1" s="1"/>
  <c r="E881" i="1" s="1"/>
  <c r="E882" i="1" s="1"/>
  <c r="E883" i="1" s="1"/>
  <c r="E884" i="1" s="1"/>
  <c r="E885" i="1" s="1"/>
  <c r="E886" i="1" s="1"/>
  <c r="E887" i="1" s="1"/>
  <c r="E888" i="1" s="1"/>
  <c r="E889" i="1" s="1"/>
  <c r="E890" i="1" s="1"/>
  <c r="E891" i="1" s="1"/>
  <c r="E892" i="1" s="1"/>
  <c r="E893" i="1" s="1"/>
  <c r="E894" i="1" s="1"/>
  <c r="E895" i="1" s="1"/>
  <c r="E896" i="1" s="1"/>
  <c r="E897" i="1" s="1"/>
  <c r="E898" i="1" s="1"/>
  <c r="E899" i="1" s="1"/>
  <c r="E900" i="1" s="1"/>
  <c r="E901" i="1" s="1"/>
  <c r="E902" i="1" s="1"/>
  <c r="E903" i="1" s="1"/>
  <c r="E904" i="1" s="1"/>
  <c r="E905" i="1" s="1"/>
  <c r="E906" i="1" s="1"/>
  <c r="E907" i="1" s="1"/>
  <c r="E908" i="1" s="1"/>
  <c r="E909" i="1" s="1"/>
  <c r="E910" i="1" s="1"/>
  <c r="E911" i="1" s="1"/>
  <c r="E912" i="1" s="1"/>
  <c r="E913" i="1" s="1"/>
  <c r="E914" i="1" s="1"/>
  <c r="E915" i="1" s="1"/>
  <c r="E916" i="1" s="1"/>
  <c r="E917" i="1" s="1"/>
  <c r="E918" i="1" s="1"/>
  <c r="E919" i="1" s="1"/>
  <c r="E920" i="1" s="1"/>
  <c r="E921" i="1" s="1"/>
  <c r="E922" i="1" s="1"/>
  <c r="E923" i="1" s="1"/>
  <c r="E924" i="1" s="1"/>
  <c r="E925" i="1" s="1"/>
  <c r="E926" i="1" s="1"/>
  <c r="E927" i="1" s="1"/>
  <c r="E928" i="1" s="1"/>
  <c r="E929" i="1" s="1"/>
  <c r="E930" i="1" s="1"/>
  <c r="E931" i="1" s="1"/>
  <c r="E932" i="1" s="1"/>
  <c r="E933" i="1" s="1"/>
  <c r="E934" i="1" s="1"/>
  <c r="E935" i="1" s="1"/>
  <c r="E936" i="1" s="1"/>
  <c r="E937" i="1" s="1"/>
  <c r="S6" i="12" a="1"/>
  <c r="S6" i="12" s="1"/>
  <c r="F5" i="8" a="1"/>
  <c r="BW5" i="13" l="1" a="1"/>
  <c r="F5" i="8"/>
  <c r="BW5" i="13" l="1"/>
  <c r="E5" i="11" l="1" a="1"/>
  <c r="E5" i="11" s="1"/>
  <c r="BG3" i="9"/>
  <c r="D19" i="9" s="1"/>
  <c r="BF3" i="9"/>
  <c r="C19" i="9" s="1"/>
  <c r="C20" i="9" s="1"/>
  <c r="AY3" i="9"/>
  <c r="D18" i="9" s="1"/>
  <c r="H3" i="8"/>
  <c r="C5" i="8" s="1"/>
  <c r="C8" i="8" s="1"/>
  <c r="N2" i="10"/>
  <c r="C6" i="10" s="1"/>
  <c r="O3" i="15"/>
  <c r="D6" i="15" s="1"/>
  <c r="D7" i="15" s="1"/>
  <c r="H3" i="15"/>
  <c r="C5" i="15" s="1"/>
  <c r="C7" i="15" s="1"/>
  <c r="V3" i="8"/>
  <c r="D7" i="8" s="1"/>
  <c r="U2" i="10"/>
  <c r="C8" i="10" s="1"/>
  <c r="AB2" i="10"/>
  <c r="C4" i="10" s="1"/>
  <c r="AP2" i="10"/>
  <c r="C9" i="10" s="1"/>
  <c r="BK3" i="13"/>
  <c r="C12" i="13" s="1"/>
  <c r="BD3" i="13"/>
  <c r="C11" i="13" s="1"/>
  <c r="AW3" i="13"/>
  <c r="C10" i="13" s="1"/>
  <c r="AB3" i="13"/>
  <c r="C7" i="13" s="1"/>
  <c r="U4" i="12"/>
  <c r="C8" i="12" s="1"/>
  <c r="N4" i="12"/>
  <c r="C7" i="12" s="1"/>
  <c r="N3" i="11"/>
  <c r="C6" i="11" s="1"/>
  <c r="G3" i="13"/>
  <c r="C15" i="13" s="1"/>
  <c r="G3" i="11" l="1"/>
  <c r="C5" i="11" s="1"/>
  <c r="S5" i="13" a="1"/>
  <c r="S5" i="13" l="1"/>
  <c r="U3" i="13"/>
  <c r="C6" i="13" s="1"/>
  <c r="AP5" i="9" l="1" a="1"/>
  <c r="AP5" i="9" l="1"/>
  <c r="AR3" i="9"/>
  <c r="D17" i="9" s="1"/>
  <c r="D20" i="9" s="1"/>
  <c r="BP5" i="13" a="1"/>
  <c r="L5" i="13" a="1"/>
  <c r="BP5" i="13" l="1"/>
  <c r="BR3" i="13"/>
  <c r="C13" i="13" s="1"/>
  <c r="M5" i="8" a="1"/>
  <c r="S5" i="11" a="1"/>
  <c r="L5" i="13"/>
  <c r="N3" i="13"/>
  <c r="C5" i="13" s="1"/>
  <c r="M5" i="8" l="1"/>
  <c r="O3" i="8"/>
  <c r="D6" i="8" s="1"/>
  <c r="D8" i="8" s="1"/>
  <c r="S5" i="11"/>
  <c r="BY3" i="13" s="1"/>
  <c r="C14" i="13" s="1"/>
  <c r="U3" i="11"/>
  <c r="C7" i="11" s="1"/>
  <c r="C8" i="11" s="1"/>
  <c r="E938" i="1" l="1"/>
  <c r="E939" i="1" s="1"/>
  <c r="E940" i="1" s="1"/>
  <c r="E941" i="1" s="1"/>
  <c r="E942" i="1" s="1"/>
  <c r="E943" i="1" s="1"/>
  <c r="E944" i="1" s="1"/>
  <c r="E945" i="1" s="1"/>
  <c r="E946" i="1" s="1"/>
  <c r="E947" i="1" s="1"/>
  <c r="E948" i="1" s="1"/>
  <c r="E949" i="1" s="1"/>
  <c r="E950" i="1" s="1"/>
  <c r="E951" i="1" s="1"/>
  <c r="E952" i="1" s="1"/>
  <c r="E953" i="1" s="1"/>
  <c r="E954" i="1" s="1"/>
  <c r="E955" i="1" l="1"/>
  <c r="AN5" i="13" a="1"/>
  <c r="U5" i="9" a="1"/>
  <c r="AG5" i="13" l="1" a="1"/>
  <c r="AI3" i="13" s="1"/>
  <c r="C8" i="13" s="1"/>
  <c r="E956" i="1"/>
  <c r="AN5" i="13"/>
  <c r="AP3" i="13"/>
  <c r="C9" i="13" s="1"/>
  <c r="U5" i="9"/>
  <c r="W3" i="9"/>
  <c r="D6" i="9" s="1"/>
  <c r="AB5" i="9" a="1"/>
  <c r="E4" i="10" l="1" a="1"/>
  <c r="E4" i="10" s="1"/>
  <c r="E957" i="1"/>
  <c r="E958" i="1" s="1"/>
  <c r="E959" i="1" s="1"/>
  <c r="E960" i="1" s="1"/>
  <c r="G2" i="10"/>
  <c r="C5" i="10" s="1"/>
  <c r="AG5" i="13"/>
  <c r="C16" i="13"/>
  <c r="AB5" i="9"/>
  <c r="AD3" i="9"/>
  <c r="D11" i="9" s="1"/>
  <c r="N5" i="9" a="1"/>
  <c r="D7" i="9"/>
  <c r="E961" i="1" l="1"/>
  <c r="E962" i="1" s="1"/>
  <c r="E963" i="1" s="1"/>
  <c r="L6" i="12" a="1"/>
  <c r="L6" i="12" s="1"/>
  <c r="N5" i="9"/>
  <c r="P3" i="9"/>
  <c r="C5" i="9" s="1"/>
  <c r="C7" i="9" s="1"/>
  <c r="AI5" i="9" a="1"/>
  <c r="E6" i="12" l="1" a="1"/>
  <c r="G4" i="12" s="1"/>
  <c r="C6" i="12" s="1"/>
  <c r="C9" i="12" s="1"/>
  <c r="AG4" i="10" a="1"/>
  <c r="C8" i="9"/>
  <c r="AI5" i="9"/>
  <c r="AK3" i="9"/>
  <c r="D12" i="9" s="1"/>
  <c r="D13" i="9" s="1"/>
  <c r="AG4" i="10" l="1"/>
  <c r="AI2" i="10"/>
  <c r="C7" i="10" s="1"/>
  <c r="C10" i="10" s="1"/>
  <c r="E8" i="14" s="1"/>
  <c r="E9" i="14" s="1"/>
  <c r="E6" i="12"/>
  <c r="E13" i="14"/>
  <c r="E14" i="14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<sst xmlns="http://schemas.openxmlformats.org/spreadsheetml/2006/main" count="20356" uniqueCount="17061">
  <si>
    <t>NAP ECO BANK STATEMENT 2026</t>
  </si>
  <si>
    <t>Date</t>
  </si>
  <si>
    <t>DESCRIPTION</t>
  </si>
  <si>
    <t>CREDIT</t>
  </si>
  <si>
    <t xml:space="preserve">DEBIT </t>
  </si>
  <si>
    <t>SOLDE</t>
  </si>
  <si>
    <t>NUM DE CHEQUE</t>
  </si>
  <si>
    <t>Op Balance</t>
  </si>
  <si>
    <t>BUNGE LODER CROKLAAN-EXPORT</t>
  </si>
  <si>
    <t>FRAIS BANCAIRE</t>
  </si>
  <si>
    <t>REGLEMENT PAR CHEQUE</t>
  </si>
  <si>
    <t>FRAIS SUR TRANSFER/IFO ELIKE INDUSTRY</t>
  </si>
  <si>
    <t>TRANSFERT RAPID/IFO ELIKE INDUSTRY</t>
  </si>
  <si>
    <t>TAXE SUR TRANSFERT/IFO ELIKE INDUSTRY</t>
  </si>
  <si>
    <t>IDRISSOU APHISSOU</t>
  </si>
  <si>
    <t>CEVA LOGISTICS BENIN</t>
  </si>
  <si>
    <t>TIRYAKI EM TRADING FZE-EXPORT</t>
  </si>
  <si>
    <t>VERSEMENT ESPECES</t>
  </si>
  <si>
    <t>FRAIS SUR TRANSFER/SBTC GRAINE</t>
  </si>
  <si>
    <t>TRANSFERT RAPID/SBTC GRAINE</t>
  </si>
  <si>
    <t>TAXE SUR TRANSFERT/SBTC GRAINE</t>
  </si>
  <si>
    <t>FRAIS SUR TRANSFER/BENIN COTON</t>
  </si>
  <si>
    <t>TAXE SUR TRANSFERT/BENIN COTON</t>
  </si>
  <si>
    <t>DROIT DE TIMBRE</t>
  </si>
  <si>
    <t xml:space="preserve">ENTREPRISE SIBY MOHAMED-EXPORT </t>
  </si>
  <si>
    <t>HAMA INTER</t>
  </si>
  <si>
    <t>HELIOS SECURITE SARL</t>
  </si>
  <si>
    <t>REMBOURSEMENT PRET</t>
  </si>
  <si>
    <t>MANGLAN TOURS ET TRAVELS</t>
  </si>
  <si>
    <t>ETS AFRICA ROUTE</t>
  </si>
  <si>
    <t>JOSHI NILESH KUMAR</t>
  </si>
  <si>
    <t>FRAIS ACHAT DE TIMBRE</t>
  </si>
  <si>
    <t>TRANSFERT/ NOUVELLE CIMENTERIE DU BENIN</t>
  </si>
  <si>
    <t>FRAIS SUR DE TRANSFERT/ NOUVELLE CIMENTERIE DU BENIN</t>
  </si>
  <si>
    <t>TAXE SUR TRANSFERT/NOUVELLE CIMENTERIE DU BENIN</t>
  </si>
  <si>
    <t>LAKHWANI MANOJ NANKRAM</t>
  </si>
  <si>
    <t>AJEYA BABU NARALASETTI</t>
  </si>
  <si>
    <t>FRAIS SUR PRET</t>
  </si>
  <si>
    <t>PRET</t>
  </si>
  <si>
    <t>SODECO SA</t>
  </si>
  <si>
    <t>JNP SA</t>
  </si>
  <si>
    <t>MAHARASHTRA SOLVENT EXTRACTION-EXPORT</t>
  </si>
  <si>
    <t>KLOTOE GOUTON</t>
  </si>
  <si>
    <t>DOSSA SEMADO</t>
  </si>
  <si>
    <t>GROUP WEST ASIAN TRADERS</t>
  </si>
  <si>
    <t>PARGAN SINGAPORE PTE LTD-EXPORT</t>
  </si>
  <si>
    <t>ZOMASSI  COFFI MARCELIN</t>
  </si>
  <si>
    <t>INTERETS SUR PRET</t>
  </si>
  <si>
    <t>TRANSFERT/CENTRE TECHNIQUE DE PLOMBERIE SANITAIRE</t>
  </si>
  <si>
    <t>FRAIS SUR TRANSFERT/CTPS</t>
  </si>
  <si>
    <t>TAXE SUR TRANSFERT/CTPS</t>
  </si>
  <si>
    <t>TAXE</t>
  </si>
  <si>
    <t>VASWANI MANOJ LAKHI</t>
  </si>
  <si>
    <t>LISSASSI JANVIER</t>
  </si>
  <si>
    <t>SEGUB GUCE</t>
  </si>
  <si>
    <t>INTERETS SUR DECOUVERT</t>
  </si>
  <si>
    <t>RETRAIT POUR NAP</t>
  </si>
  <si>
    <t>OLABI LABOUR</t>
  </si>
  <si>
    <t>ARMEL ETP WORK</t>
  </si>
  <si>
    <t>RAJ:BAR</t>
  </si>
  <si>
    <t>SECURITY GDIZ</t>
  </si>
  <si>
    <t>MANGAN</t>
  </si>
  <si>
    <t xml:space="preserve">MITC ATLANTIQUE </t>
  </si>
  <si>
    <t>PURCHASE PP BAGES PRIMEX</t>
  </si>
  <si>
    <t xml:space="preserve">ACE GLOBAL </t>
  </si>
  <si>
    <t>Payment Of Inv No 1009, 1012, 1013</t>
  </si>
  <si>
    <t xml:space="preserve">BUNGE LODERS/ EURO 931,785.50 </t>
  </si>
  <si>
    <t xml:space="preserve">MARILOG AFRICA  ,DIRECT DEBIT BY BANK </t>
  </si>
  <si>
    <t>SEKOU WH STOCK VERIFICATION NOV 2025 BILL , 4 INV NO 1826 DATED 23-12-2025</t>
  </si>
  <si>
    <t>GDIZ WH STOCK VERIFICATION DEC 2025 BILL ,  INV NO 1827 DATED 23-12-2025</t>
  </si>
  <si>
    <t>GDIZ WH STOCK VERIFICATION DEC 2025 BILL , INV NO 1827 DATED 23-12-2025</t>
  </si>
  <si>
    <t>AFRICA ROUT  / PURCHASE PP BAG / MR PRUDANCE</t>
  </si>
  <si>
    <t xml:space="preserve">PURCHASE OF PP BAG  / ETS AFRICA ROUT </t>
  </si>
  <si>
    <t>CASH WITHDRAW BY NAP / SANOUSSI MOUINOU</t>
  </si>
  <si>
    <t xml:space="preserve">PURCCHASE PP BAG FOR UD CAKE FROM LOME </t>
  </si>
  <si>
    <t>BUNGE LODERS/ EURO  173,145.40</t>
  </si>
  <si>
    <t>Payment Of Inv No 1014</t>
  </si>
  <si>
    <t>ETS LE CERCLE DE DIEU</t>
  </si>
  <si>
    <t xml:space="preserve">ETS LE CERCLE DE DIEU / COOTON SEED TRANSPOT </t>
  </si>
  <si>
    <t>COTTON SEED TRANSPORT ACC MR ELIE</t>
  </si>
  <si>
    <t xml:space="preserve">DATE </t>
  </si>
  <si>
    <t>AMT</t>
  </si>
  <si>
    <t xml:space="preserve">CH NO </t>
  </si>
  <si>
    <t xml:space="preserve">REASON </t>
  </si>
  <si>
    <t>COTTON SEED TRANSPORT ACC</t>
  </si>
  <si>
    <t>ETS AFRICA ROUTE , MR PRUDANCE</t>
  </si>
  <si>
    <t>PURCHASE OF PP BAGS</t>
  </si>
  <si>
    <t>BUNGE LODERS/ EURO 509,292.20</t>
  </si>
  <si>
    <t xml:space="preserve">Payment Of Inv No 1001/2026  &amp; 1002 /2026 </t>
  </si>
  <si>
    <t>TIRYAKI EM TRADING FZE-EXPORT / USD 25,654.40</t>
  </si>
  <si>
    <t>Payment Of Inv No 1010/2025 &amp; 1015/2025</t>
  </si>
  <si>
    <t xml:space="preserve">FRM SAMBA  300 MT @ 145   /  BALACNE 1.5 M RVVD IN ATLANTIQUE BANK </t>
  </si>
  <si>
    <t xml:space="preserve">AMT </t>
  </si>
  <si>
    <t xml:space="preserve">QTY AND PRICE </t>
  </si>
  <si>
    <t>CLIENT NAME</t>
  </si>
  <si>
    <t xml:space="preserve">300 MT @ 145 K </t>
  </si>
  <si>
    <t>SHOULD BE SAMBA</t>
  </si>
  <si>
    <t>TOTAL WILL BE 43,500,000 , BALANCE AMT 1.5 M  RCV DIN ATLANTIQU BANK 16-JAN-20226</t>
  </si>
  <si>
    <t xml:space="preserve">JNP </t>
  </si>
  <si>
    <t>PETROL PURCHASE</t>
  </si>
  <si>
    <t xml:space="preserve">ARMEL CUNSTRCUTION ACC </t>
  </si>
  <si>
    <t>COTTON SEED PURCHASE</t>
  </si>
  <si>
    <t>Payment Of Inv No 1005/2026</t>
  </si>
  <si>
    <t>BUNGE LODERS/ EURO 400,814.80</t>
  </si>
  <si>
    <t>MONTHALY CHARGES</t>
  </si>
  <si>
    <t>Payment Of Inv No 1003/2026</t>
  </si>
  <si>
    <t>BUNGE LODERS/ EURO 373,529</t>
  </si>
  <si>
    <t>UD CAKE SALES 540 MT@ 150K TO MAURTANIA CLIENT</t>
  </si>
  <si>
    <t xml:space="preserve">540 MT @ 150K </t>
  </si>
  <si>
    <t>MURTANIA CLIENT LOADED IN 40FT CONTAINER</t>
  </si>
  <si>
    <t xml:space="preserve">COTTON SEED PURCHASE PAID BALANCE </t>
  </si>
  <si>
    <t xml:space="preserve">STE ORDI TRADING / RAJIBER TRANSITER EXPORT ACC </t>
  </si>
  <si>
    <t xml:space="preserve">ORDI TRADING , RAJIBER EXPORT TRANSIT ACC </t>
  </si>
  <si>
    <t>HAMA INTER TRANSITER EXPORT ACC</t>
  </si>
  <si>
    <t xml:space="preserve">EXPORT ACC </t>
  </si>
  <si>
    <t>ORDI TRADING , RAJIBER TRANSITER EXPORT ACC</t>
  </si>
  <si>
    <t xml:space="preserve">PURCHASE OF FAN </t>
  </si>
  <si>
    <t>Advance Against ( 500 Mt D CAKE @ 158K )</t>
  </si>
  <si>
    <t xml:space="preserve">SAMBA </t>
  </si>
  <si>
    <t xml:space="preserve">500 MT @ 158K </t>
  </si>
  <si>
    <t>Rcvd 70 % Payment Of Invoice PI/1001/2026 &amp; PI/1002/2026</t>
  </si>
  <si>
    <t>BUNGE LODERS/ EURO 260,222.13</t>
  </si>
  <si>
    <t>PURCHASE OF COTTON SEED</t>
  </si>
  <si>
    <t xml:space="preserve">ETS , ESH-OLDAH ENTREPRISE </t>
  </si>
  <si>
    <t>PURCHASE INDUSTRI ITEM AS PER INV CFA 527,500 PLUS 622,500 PLUS 369,000 PLUS 3,118,000 PLUS 1,200,000 PLUS 1,552,000  PLUS 880,000</t>
  </si>
  <si>
    <t xml:space="preserve">AS PER BILL OF CFA  888,000 PLUS 140,000 </t>
  </si>
  <si>
    <t xml:space="preserve">ETS OCAMISS , PURCHASE OF  OXYGEN &amp; ETHANOL AND OTHER ITEM </t>
  </si>
  <si>
    <t>Rcvd 70 % Payment Of Invoice PI/1003/2026 &amp; PI/1004/2026</t>
  </si>
  <si>
    <t>BUNGE LODERS/ EURO  261,200</t>
  </si>
  <si>
    <t>REDDY PACKAGING</t>
  </si>
  <si>
    <t>PURCHASE CRAFT PAPERS</t>
  </si>
  <si>
    <t xml:space="preserve">LABOUR WORK </t>
  </si>
  <si>
    <t xml:space="preserve">PURCHASING IRON SIAB ARMEL ACC </t>
  </si>
  <si>
    <t>Particulars</t>
  </si>
  <si>
    <t>Inwards</t>
  </si>
  <si>
    <t>Outwards</t>
  </si>
  <si>
    <t>Balance</t>
  </si>
  <si>
    <t>Observations</t>
  </si>
  <si>
    <t>Opening Balance</t>
  </si>
  <si>
    <t>Cfa</t>
  </si>
  <si>
    <t>BUNGE LODERS/ EURO  261,642.29</t>
  </si>
  <si>
    <t>Rcvd 70 % Payment Of Invoice PI/1007/2026 &amp; PI/1008/2026</t>
  </si>
  <si>
    <t>ETS ETD TRADE AND MORE / GABIN LCB</t>
  </si>
  <si>
    <t>COTTON SEED TRANPORT LCB PAUGIANG O GDIZ</t>
  </si>
  <si>
    <t xml:space="preserve">PROSPERITY AND GLORY OF GOD / ALFRED TRANSITER </t>
  </si>
  <si>
    <t xml:space="preserve">ALFRED TRANSITAIRE EXPORT WORK </t>
  </si>
  <si>
    <t xml:space="preserve">ALFRED TRANSITER  EXPORT </t>
  </si>
  <si>
    <t xml:space="preserve">EXPORT WORK  </t>
  </si>
  <si>
    <t xml:space="preserve">TRAVELS BILL </t>
  </si>
  <si>
    <t xml:space="preserve">TRANSFER FUDS TO MITC ATLANTIQUE </t>
  </si>
  <si>
    <t>Rcvd 70 % Payment Of Invoice PI/1005/2026 &amp; PI/1006/2026</t>
  </si>
  <si>
    <t>BUNGE LODERS/ EURO  333,382.56</t>
  </si>
  <si>
    <t>ETS WYM DJIBRIL ALBARKA</t>
  </si>
  <si>
    <t>UD CAKE LABOUR AS PER INVOICE LESS AIB 3 %</t>
  </si>
  <si>
    <t>COTON SEED TRANSPORT ACC</t>
  </si>
  <si>
    <t xml:space="preserve">BON BERJE COOTN SEED TRANSPORT </t>
  </si>
  <si>
    <t>BUNGE LODERS/ EURO  118,807</t>
  </si>
  <si>
    <t>PI NOT RCVD FROM BUNGY LODERS</t>
  </si>
  <si>
    <t>STE ETG</t>
  </si>
  <si>
    <t>ZE PLACE WEREHOUSE RENT</t>
  </si>
  <si>
    <t>Payment Of Inv No 1011/2026</t>
  </si>
  <si>
    <t>OLABI SOYA ACC</t>
  </si>
  <si>
    <t xml:space="preserve">SOYA LABOUR ACC </t>
  </si>
  <si>
    <t>OJ REAL ETP WORK , NIGERIA COTRACTER</t>
  </si>
  <si>
    <t>MATHIEU LABOUR WORK AS PER INVOICE CFA  859,315 OF DATE 17-02-2026 LESS AIB 3 %</t>
  </si>
  <si>
    <t>UD CAKE LABOUR AS PER INVOICE CFA 433,540 DATED 17-02-2026 LESS AIB 3 %</t>
  </si>
  <si>
    <t>Rcvd 70 % Payment Of Invoice PI/1012/2026 , FINAL PAY,ENT OF INV NO NAP/1007/2026 &amp; NAP/1008/2026 , BUNGE REF NO-20076747</t>
  </si>
  <si>
    <t>BUNGE LODERS/ EURO  230,795.02</t>
  </si>
  <si>
    <t>Rcvd 70 % Payment Of Invoice PI/1011/2026</t>
  </si>
  <si>
    <t>BUNGE LODERS/ EURO  118,960.59</t>
  </si>
  <si>
    <t xml:space="preserve">MARVELLOUS SERVICES CO ,ARMEL </t>
  </si>
  <si>
    <t>ETP WORK</t>
  </si>
  <si>
    <t xml:space="preserve">WH CUNSTRUCTION </t>
  </si>
  <si>
    <t xml:space="preserve">PURCHASE OF IRON </t>
  </si>
  <si>
    <t>Payment Of Inv No 1004/2026</t>
  </si>
  <si>
    <t>TIRYAKI EM TRADING FZE ( USD 13,372.80 )</t>
  </si>
  <si>
    <t>MISE EN PLACE DE PRÊT</t>
  </si>
  <si>
    <t>REF : M01ZTRF2607200F</t>
  </si>
  <si>
    <t>REF : M01ZTRF2608500N0</t>
  </si>
  <si>
    <t>REF : M01ZTRF2608600SW</t>
  </si>
  <si>
    <t>REF : M01ZTRF2610500MQ</t>
  </si>
  <si>
    <t>PENDING TIRAJ REF LETTER -020- DATED 08/05/2026</t>
  </si>
  <si>
    <t>OB</t>
  </si>
  <si>
    <t>BADJOGOUM EVELINE NESTORINE</t>
  </si>
  <si>
    <t xml:space="preserve">CH NO 2000413 NOEL </t>
  </si>
  <si>
    <t>WYM DIJBRIL ALBARKA</t>
  </si>
  <si>
    <t xml:space="preserve">CH NO 2000414 -LABOUR </t>
  </si>
  <si>
    <t>HOUEDANOU  ENAGNO JUSTIN</t>
  </si>
  <si>
    <t>ISMAEL SASSIOU</t>
  </si>
  <si>
    <t>CH NO 2000415 -JUSTIN</t>
  </si>
  <si>
    <t>CH NO 2000416-ELIZABETH</t>
  </si>
  <si>
    <t>AHOTONDJI ZEPHIRIN</t>
  </si>
  <si>
    <t>CH NO 2000418-AKPALA</t>
  </si>
  <si>
    <t xml:space="preserve">MATURIN </t>
  </si>
  <si>
    <t>KAISME</t>
  </si>
  <si>
    <t>JOSPIN</t>
  </si>
  <si>
    <t xml:space="preserve">JUSTIN </t>
  </si>
  <si>
    <t>PENDING PAYMENT</t>
  </si>
  <si>
    <t>ETS DOS ESPOIR ET FILS</t>
  </si>
  <si>
    <t xml:space="preserve">LABOUR COMMEND SHEA </t>
  </si>
  <si>
    <t>UD CAKES LABOUR PAYMENT AS PER INVOICE EM01358056-98</t>
  </si>
  <si>
    <t>NO 1923</t>
  </si>
  <si>
    <t>HAMA INTER/EXPORT ACCOMPTE</t>
  </si>
  <si>
    <t xml:space="preserve">AJAY LOCAL ALLOWENCE </t>
  </si>
  <si>
    <t>UD CAKES LABOUR PAYMENT AS PER INVOICE EM01358056-101/EM01358056-100</t>
  </si>
  <si>
    <t>PURCHASE OF PETROL</t>
  </si>
  <si>
    <t>MARIUS UD CAKES BAGS STITCHING AND SCALING</t>
  </si>
  <si>
    <t>ELECTRICIAN WORK ETP</t>
  </si>
  <si>
    <t>UD CAKES SALES USD 75375</t>
  </si>
  <si>
    <t>SOYA SALES USD 120,433</t>
  </si>
  <si>
    <t>ALADA HOUSE RENT THREE MONTH</t>
  </si>
  <si>
    <t>EL HADJ GUEYE SENEGAL</t>
  </si>
  <si>
    <t>268MT @ 160K</t>
  </si>
  <si>
    <t>INTERET SUR PRET</t>
  </si>
  <si>
    <t>DATE</t>
  </si>
  <si>
    <t>MONTANT</t>
  </si>
  <si>
    <t>PURCHASE OF PVC PIPES</t>
  </si>
  <si>
    <t xml:space="preserve">ETS OLAITAN COMMUNICATION </t>
  </si>
  <si>
    <t xml:space="preserve">OLABI LABOUR/SOYA ACCOMPTE </t>
  </si>
  <si>
    <t>TAXE 10% SUR INTERET 18,108,889 DU 25-Mar-26</t>
  </si>
  <si>
    <t>TAXE SUR INTERET</t>
  </si>
  <si>
    <t>SEKOU WH  RENT</t>
  </si>
  <si>
    <t xml:space="preserve">PURCHASE OF CASTIC SODA </t>
  </si>
  <si>
    <t>NO 2081</t>
  </si>
  <si>
    <t>UD CAKES LABOUR PAYMENT AS PER INVOICE EM01358056-102</t>
  </si>
  <si>
    <t>STE BENIN COTON</t>
  </si>
  <si>
    <t>USN-26058960-/2026-BJB01-E-1205</t>
  </si>
  <si>
    <t>TAXE 10% SUR INTERET 20,000,000 DU 27-Mar-26</t>
  </si>
  <si>
    <t>DEPOSIT BY STE MITC SARL</t>
  </si>
  <si>
    <t>200MT @ 160K</t>
  </si>
  <si>
    <t xml:space="preserve">NICOLAS </t>
  </si>
  <si>
    <t>TAXE SUR INTERET DE 20,000,000 DU 7 APRIL 2026</t>
  </si>
  <si>
    <t>UD CAKE SALES EXPORT</t>
  </si>
  <si>
    <t xml:space="preserve">Mme OCEANE </t>
  </si>
  <si>
    <t>UD CAKE SALES 50 MT @ 160K cfa + AVANCE 150K</t>
  </si>
  <si>
    <t>50 MT @ 160K cfa + AVANCE 150K</t>
  </si>
  <si>
    <t>Mme OCEANE</t>
  </si>
  <si>
    <t>USN-26070692 - RENOUVELLEMENT BFU</t>
  </si>
  <si>
    <t>USN-26070692 - PAIEMENT BFU</t>
  </si>
  <si>
    <t>USN-26070369 - PAIEMENT BFU</t>
  </si>
  <si>
    <t>EL HADJ MEGA</t>
  </si>
  <si>
    <t>UD CAKE SALES TOTAL CONTRAT 1000 MT RECU PYMT 500MT ECOBANK &amp; 500 MT PYMT BIIC 16 APRIL</t>
  </si>
  <si>
    <t>USN-26072661 - PAIEMENT BFU</t>
  </si>
  <si>
    <t>UD CAKE SALES 50 MT @ 160K cfa</t>
  </si>
  <si>
    <t>50 MT@ 160K CFA</t>
  </si>
  <si>
    <t>FRAIS SUR TRANSFERT/ DIVERS BENEFICIAIRES LISTE</t>
  </si>
  <si>
    <t xml:space="preserve"> TRANSFERT/ DIVERS BENEFICIAIRES LISTE</t>
  </si>
  <si>
    <t>TAXE TRANSFERT/ DIVERS BENEFICIAIRES LISTE</t>
  </si>
  <si>
    <t>INV. 1058/1061</t>
  </si>
  <si>
    <t>INV. 1032</t>
  </si>
  <si>
    <t>CREDIT POUR ACHAT DE GRAIN DE SOJA</t>
  </si>
  <si>
    <t>DIFFERENT DU MONTANT EN LETTRE</t>
  </si>
  <si>
    <t>UNIRISE SUARL</t>
  </si>
  <si>
    <t>FAYE ABDOU</t>
  </si>
  <si>
    <t>INV. NAP 1039/2026</t>
  </si>
  <si>
    <t>GOUTON MARIUS</t>
  </si>
  <si>
    <t>FACTURE N 2141</t>
  </si>
  <si>
    <t>FACTURE N 2081</t>
  </si>
  <si>
    <t>INV. NAP 1034/2026</t>
  </si>
  <si>
    <t>INV. NAP 1038/2026</t>
  </si>
  <si>
    <t>TCHANIGA SAMSON</t>
  </si>
  <si>
    <t>GOUDOU DOSSOU ROMAIN</t>
  </si>
  <si>
    <t>KOGNANNOU EDMOND</t>
  </si>
  <si>
    <t>BADJOGOUN EVELINE</t>
  </si>
  <si>
    <t>FIOGBE PRUDENCIO</t>
  </si>
  <si>
    <t>MITC</t>
  </si>
  <si>
    <t>BRISSO BIO ALIOU</t>
  </si>
  <si>
    <t>CHIGBLO FERDINAND</t>
  </si>
  <si>
    <t>STE EXPORT TRADING CO</t>
  </si>
  <si>
    <t>GOUNOU BOUGNON ELISABETH</t>
  </si>
  <si>
    <t>NAP INV.1009</t>
  </si>
  <si>
    <t>BORO HALISSOU</t>
  </si>
  <si>
    <t xml:space="preserve">DAOUDA FAOUZIATOU </t>
  </si>
  <si>
    <t>KUESSI PROSPER</t>
  </si>
  <si>
    <t>AFFO MOUSSA IBRAHIM</t>
  </si>
  <si>
    <t>TOKPONDE AKONDE ALEXANDRE</t>
  </si>
  <si>
    <t>SOMAF SARL</t>
  </si>
  <si>
    <t>1000 MT @ 155K CFA</t>
  </si>
  <si>
    <t>USN-26073085 - PAIEMENT BFU</t>
  </si>
  <si>
    <t>USN-26073191 - PAIEMENT BFU</t>
  </si>
  <si>
    <t xml:space="preserve">50 MT @ 160K CFA </t>
  </si>
  <si>
    <t>USN-26073086 - PAIEMENT BFU</t>
  </si>
  <si>
    <t>SALARY</t>
  </si>
  <si>
    <t>SOYA EXPORT</t>
  </si>
  <si>
    <t>EXPORT SHEA DOC</t>
  </si>
  <si>
    <t>520 MT @ 160K CFA</t>
  </si>
  <si>
    <t>200 MT @ 160K CFA</t>
  </si>
  <si>
    <t>ERREUR COMPENSEE LE 15/04/2026</t>
  </si>
  <si>
    <t>ERREUR DE LA BANQUE</t>
  </si>
  <si>
    <t>480 MT @ 160K CFA</t>
  </si>
  <si>
    <t>ACE GLOBAL</t>
  </si>
  <si>
    <t>FRAIS DE TIRAGE SUR 300 000 000</t>
  </si>
  <si>
    <t>ERREUR DE LA BANQUE DATE DE DEBIT 14/04/2026</t>
  </si>
  <si>
    <t>48 MT @ 160K CFA</t>
  </si>
  <si>
    <t>288 MT @ 160K CFA</t>
  </si>
  <si>
    <t>FAYE ABOU/ M. AHOUSSI/ 97688750</t>
  </si>
  <si>
    <t>144 MT @ 160K CFA</t>
  </si>
  <si>
    <t>CONTRUCTION ACCOMPTE</t>
  </si>
  <si>
    <t>RUDE OIL</t>
  </si>
  <si>
    <t>ARMEL CUNTRUCTION ACCOMPTE</t>
  </si>
  <si>
    <t>EXPORT OF SOYA BEAN INV NO NAP 1035/2026</t>
  </si>
  <si>
    <t>HOUESSOU GBETOHO EZECKIEL/ HOUSE RENT</t>
  </si>
  <si>
    <t>HOUSE RENT OF RAJ KUMA FOR 3 MONTH</t>
  </si>
  <si>
    <t>DAH MAHUZON IGNACE/ ROMAIN</t>
  </si>
  <si>
    <t xml:space="preserve">EXPORT SOYA BEAN </t>
  </si>
  <si>
    <t>UD CAKES STISHING</t>
  </si>
  <si>
    <t>TRANS SOHA</t>
  </si>
  <si>
    <t>TRANS SOHA TRANSITER EXPORT ACC</t>
  </si>
  <si>
    <t>EXPORT ACC</t>
  </si>
  <si>
    <t xml:space="preserve">ETS SCHIBA </t>
  </si>
  <si>
    <t>COTTONSEED TRANSPORT LCB MR GABIN</t>
  </si>
  <si>
    <t>OLABI LABOUR SOYA ACCOMPTE</t>
  </si>
  <si>
    <t>UD CAKES LABOUR</t>
  </si>
  <si>
    <t>ALL LABOUR</t>
  </si>
  <si>
    <t>ETS SAINT KISITO</t>
  </si>
  <si>
    <t xml:space="preserve">REGLEMENT PAR CHEQUE CONTRE FACTURE </t>
  </si>
  <si>
    <t>REMISE DE CHEQUE TO MITC</t>
  </si>
  <si>
    <t>EXPORT SHEA BUTTER</t>
  </si>
  <si>
    <t>HOUNKANLIN MARUIS/MR AKPALA</t>
  </si>
  <si>
    <t>OLABI LABOUR UD CAKES SOYA BEAN AND SHEA</t>
  </si>
  <si>
    <t>LABOUR WORK PAYMENT AS PR INV AMT CFA 1 099 295 LESS AIB 3%</t>
  </si>
  <si>
    <t>OK</t>
  </si>
  <si>
    <t>REJET DE CHEQUE MITC DU 30/04/26</t>
  </si>
  <si>
    <t>REJECT DE CHEQUE MITC POUR ABSENCE D'IMAGE</t>
  </si>
  <si>
    <t>FRAIS DE TIRAGE SUR 250 000 000</t>
  </si>
  <si>
    <t>PAYEMENT DE CHEQUE REJETE POUR ABSENCE D'IMAGE LE 04/05/2026</t>
  </si>
  <si>
    <t>FRAIS DE TIRAGE SUR 260 000 000</t>
  </si>
  <si>
    <t xml:space="preserve">UD CAKES LABOUR PAYMENT AS PER </t>
  </si>
  <si>
    <t>EGAH FERDINAND</t>
  </si>
  <si>
    <t>AGBESSADJI DOSSOU FERDINAND</t>
  </si>
  <si>
    <t>SOSSAMINOU SEVERIN</t>
  </si>
  <si>
    <t>ISMAEL WASSIOU</t>
  </si>
  <si>
    <t>HOUEDANOU ENAGNON JUSTIN</t>
  </si>
  <si>
    <t>DOSSA DOGNON MATHURIN</t>
  </si>
  <si>
    <t>MISSEBO OFFICE RENT  APRIL TO SEPT 2026</t>
  </si>
  <si>
    <t>AZOLA ENAGNON/ YVES</t>
  </si>
  <si>
    <t>AVALIGBE HERVE/FREEMAN</t>
  </si>
  <si>
    <t>BADJOGOUN EVELINE/ NOEL</t>
  </si>
  <si>
    <t>ABDULSALAM OLAKOUNLE/ ODJE NIGERIA CONTRACTOR</t>
  </si>
  <si>
    <t>KIKI FLORENT/JOSPIN</t>
  </si>
  <si>
    <t>STE ETG LOYER MAGASIN ZE PLAC MAI-JUIN-JUILLET</t>
  </si>
  <si>
    <t>EXPORT OF SHEA DOC INV NO NAP/1009/2026</t>
  </si>
  <si>
    <t>VERSEMENT ESPECES BY MICT</t>
  </si>
  <si>
    <t>AHEGNI HIPPOLILYTE / CASIMIR</t>
  </si>
  <si>
    <t>PURCHASE OF SOYA</t>
  </si>
  <si>
    <t>AZOGA YVES OLIVIER</t>
  </si>
  <si>
    <t>MOTIF</t>
  </si>
  <si>
    <t>BADJOGOUN EVELINE / SUPP  NOEL</t>
  </si>
  <si>
    <t>COMLAN MAHOUSSE</t>
  </si>
  <si>
    <t xml:space="preserve">DOSSA DOGNON MATHURIN / SUPP MATHIAS </t>
  </si>
  <si>
    <t>AS PER INVOICE EM01335995-327 790975 LESS AIB 3% = 767246</t>
  </si>
  <si>
    <t>HINGBANOU AHOU ZANMENOU VIRGILE</t>
  </si>
  <si>
    <t>HOUNGUE KOFFI</t>
  </si>
  <si>
    <t>INDUSTRIE D'ACIER DU BENIN</t>
  </si>
  <si>
    <t>SOGBOSSI FRANCIS / SUPP MATURIN</t>
  </si>
  <si>
    <t>STE BON BERGER</t>
  </si>
  <si>
    <t>STE EZONE</t>
  </si>
  <si>
    <t>SOCOPA</t>
  </si>
  <si>
    <t>TCHANIGA A. LEONARD</t>
  </si>
  <si>
    <t>TCHEGNON MAWULE BRICE /SUPP PRUDANCE</t>
  </si>
  <si>
    <t>VLAVONOU ZINSOU PIERRE</t>
  </si>
  <si>
    <t>ARMEL NEW WH CONSTRUCTION</t>
  </si>
  <si>
    <t>VOYELO FINAGNON CORNEILLE</t>
  </si>
  <si>
    <t xml:space="preserve">PURCHASE OF SOYA </t>
  </si>
  <si>
    <t xml:space="preserve">COTON SEED TRANSPORT </t>
  </si>
  <si>
    <t>UD CAKES LABOUR PAYMENT</t>
  </si>
  <si>
    <t>AGOSSOUVE ERIC MAHUTIN</t>
  </si>
  <si>
    <t>SANOUSSI MOUINOU</t>
  </si>
  <si>
    <t>AHOUANDJOGBE CONSTANTIN/ROMAIN</t>
  </si>
  <si>
    <t>DB TRADING</t>
  </si>
  <si>
    <t>AHOUDJI GLORIA</t>
  </si>
  <si>
    <t xml:space="preserve"> INV: NAP/1070/2026, BL: 270420348 </t>
  </si>
  <si>
    <t>DEGLA SOTONGNON ARMAND</t>
  </si>
  <si>
    <t>RENT OF GLO HOUSE</t>
  </si>
  <si>
    <t>LABOUR WORK</t>
  </si>
  <si>
    <t>SANJAY SOYA PRIVATED LTD-EXPORT</t>
  </si>
  <si>
    <t>DJOKPE PARFAIT</t>
  </si>
  <si>
    <t>SOGBOSSI FRANCIS</t>
  </si>
  <si>
    <t xml:space="preserve"> INV NO NAP/1071/2026 BL NO MAEU</t>
  </si>
  <si>
    <t xml:space="preserve"> INV: NAP/1072/2026, BL: 270420719 </t>
  </si>
  <si>
    <t>HOUTCHI RAYMOND</t>
  </si>
  <si>
    <t xml:space="preserve">KPEGLO  KOUDOUS </t>
  </si>
  <si>
    <t>VERSEMENT D'ESPECE</t>
  </si>
  <si>
    <t>IDRISSOU  MABOUROUK/ROMAIN</t>
  </si>
  <si>
    <t xml:space="preserve">UD CAKE LABOUR </t>
  </si>
  <si>
    <t>YAI ADEYEMI LUC</t>
  </si>
  <si>
    <t>AHOUDJI GLORIA BENEDICTE</t>
  </si>
  <si>
    <t>TCHANOU AKOGNIKOU PARFAIT</t>
  </si>
  <si>
    <t>PURCHASE OF SOYABEAN</t>
  </si>
  <si>
    <t>COTATION FINACIERE POUR LA COMPAGNIe DEPARTEMENTALE DE SAPEURS POMPIERS</t>
  </si>
  <si>
    <t>RECETTE</t>
  </si>
  <si>
    <t>VERSEMENT BY GARBA IBRAHIM</t>
  </si>
  <si>
    <t>COMMENTS</t>
  </si>
  <si>
    <t>ORDRE DE VIREMENT SALAIRE MAI 2026</t>
  </si>
  <si>
    <t>PAYEMENT SALAIRE MAI 2026</t>
  </si>
  <si>
    <t>KLOTOE GOUTON MARIUS</t>
  </si>
  <si>
    <t>GNAMY THEODORA LANDINE</t>
  </si>
  <si>
    <t>DJIBRIL IMOURANA</t>
  </si>
  <si>
    <t>STICHING &amp; SCALING UD DE CAKE</t>
  </si>
  <si>
    <t>FRAIS DE PRESTATION_TRANSITAIRE TRANS SOHA</t>
  </si>
  <si>
    <t>PRODUCTION ET ENSACHAGE TOUTEAUX COTON / PRODUCTION DOC ENSILLAGE CHAUDIERE SOJA/ FRAIS DE GESTION PERSONNEL</t>
  </si>
  <si>
    <t>SUIVI CHEQUIER</t>
  </si>
  <si>
    <t>CANCELED</t>
  </si>
  <si>
    <t>RAJIBER ORDI TRADING</t>
  </si>
  <si>
    <t>OLABI</t>
  </si>
  <si>
    <t>GARBA BOURAIMA</t>
  </si>
  <si>
    <t>PAYEMENT BFU USN-26128837 POUR BL 270942290</t>
  </si>
  <si>
    <t>ACHAT CONTRE FACTURE DE Sacs de soude caustique</t>
  </si>
  <si>
    <t>PAYEMENT FRET EXPORT POUR LES BL : 270866825, 270942248,270942127,270866616, 270942275, 271284995</t>
  </si>
  <si>
    <t>PAYEMENT MAERSK</t>
  </si>
  <si>
    <t>HELIOS SECURITY SERVICES SARL</t>
  </si>
  <si>
    <t>ALLADA HOUSE RENT REMAINED</t>
  </si>
  <si>
    <t xml:space="preserve"> INVOICE NAP-1038-2026A</t>
  </si>
  <si>
    <t xml:space="preserve"> INVOICE NAP-1033-2026 AND NAP-1043-2026</t>
  </si>
  <si>
    <t>CANCELLED</t>
  </si>
  <si>
    <t>PRESTATION DE SERVICE</t>
  </si>
  <si>
    <t>ETS KOKO SUPER</t>
  </si>
  <si>
    <t>2ND AVANCE . INSULATION WORK.. OIL MILLE, SEP SECTION, BOILER ETC</t>
  </si>
  <si>
    <t>ABDULSALAM OLAKUNLEABDUL JELIL</t>
  </si>
  <si>
    <t>VERSEMENT D'ESPECE PAR MITC</t>
  </si>
  <si>
    <t>PAYEMENT BFU USN-26132503 POUR BL 271285091</t>
  </si>
  <si>
    <t>FRAIS DE CONSOMMATION ELECTRICITE NOV, DEC 2025 &amp; JAN 2026</t>
  </si>
  <si>
    <t>PESAGE CAMION NOV, DEC 2025 &amp; JAN 2026</t>
  </si>
  <si>
    <t>FRAIS DE CONSOMMATION EAU NOV, DEC 2025 &amp; JAN 2026</t>
  </si>
  <si>
    <t>LOCATION GRUE</t>
  </si>
  <si>
    <t>GEDC</t>
  </si>
  <si>
    <t>SIPI BENIN SA</t>
  </si>
  <si>
    <t>VERSEMENT BY AFFO MOUSSA IBRAHIM</t>
  </si>
  <si>
    <t>INV NO NAP10652026_123926.40 EUR</t>
  </si>
  <si>
    <t>CATEGORIE</t>
  </si>
  <si>
    <t>SALES/ SHEA BUTER</t>
  </si>
  <si>
    <t>SALES/ UD CAKE</t>
  </si>
  <si>
    <t>SALES/ SOYABEAN</t>
  </si>
  <si>
    <t>SALES/ SHEA NUT MEAL</t>
  </si>
  <si>
    <t>SALES/ COTTON SEED OIL</t>
  </si>
  <si>
    <t>CAISSE DEPOSIT</t>
  </si>
  <si>
    <t>CONTRE ECRITURE</t>
  </si>
  <si>
    <t>PURCHASE/ SOYA</t>
  </si>
  <si>
    <t>WITHDRAWAL</t>
  </si>
  <si>
    <t>TRANSPORT/COTTON SEED</t>
  </si>
  <si>
    <t>TRANSITER</t>
  </si>
  <si>
    <t>PURCHASE/ PP BAGS</t>
  </si>
  <si>
    <t>BFU</t>
  </si>
  <si>
    <t>HOUSE RENT</t>
  </si>
  <si>
    <t>EXP/ FRET PAYMENT</t>
  </si>
  <si>
    <t>SERVICES</t>
  </si>
  <si>
    <t>PURCHASE/ OTHERS</t>
  </si>
  <si>
    <t>FACTORY CHARGES</t>
  </si>
  <si>
    <t>FRAIS DE TIRAGE</t>
  </si>
  <si>
    <t>PURCHASE/ COTTON SEED</t>
  </si>
  <si>
    <t>CONSTRUCTION</t>
  </si>
  <si>
    <t>PRODUIT</t>
  </si>
  <si>
    <t>MONTANT CREDIT</t>
  </si>
  <si>
    <t>MONTANT DEBIT</t>
  </si>
  <si>
    <t>TOTAL</t>
  </si>
  <si>
    <t>DEBIT</t>
  </si>
  <si>
    <t>INVOICE NAP-1041-2026_ USD 70,675.20 and  INVOICE NAP-1060-2026_USD  62,314.56</t>
  </si>
  <si>
    <t>NAP/1017/2026_100620 EUR_Cotton seed oil</t>
  </si>
  <si>
    <t>LABOUR WORK_EM01335995-328</t>
  </si>
  <si>
    <t>PRESTATION DE SERVICE/ INSTALLATION PARA TONNERE ET PARA FOUDRE</t>
  </si>
  <si>
    <t>REJET DE CHEQUE 2000465</t>
  </si>
  <si>
    <t>LOYER MAISON AKODE GILCHRIST/ BOUNGE LODERS/ JUNE-JULY-AUGUST 2026</t>
  </si>
  <si>
    <t>HOUSE RENT OF AKODE GILCHRIST FOR 3 MONTH</t>
  </si>
  <si>
    <t>CREDIT MOVMENTS AS PER STATEMENT</t>
  </si>
  <si>
    <t>CREDIT MOVMENTS AS PER ALL ACCOUNTS</t>
  </si>
  <si>
    <t>DIFFRENCE</t>
  </si>
  <si>
    <t>DEBIT MOVMENTS AS PER STATEMENT</t>
  </si>
  <si>
    <t>DEBIT MOVMENTS AS PER ALL ACCOUNTS</t>
  </si>
  <si>
    <t>PAYEMENT FRET EXPORT POUR LES BL : 270942127, 270942275, 270942290, 271285091, 271284995, 271285265, 271486702</t>
  </si>
  <si>
    <t>PAYEMENT FRET EXPORT POUR LES BL : 270866825, 270866616</t>
  </si>
  <si>
    <t>MATERIAL OF GURU TECH _ 1.8 COTTON EXPAILER MATERIAL</t>
  </si>
  <si>
    <t>OIL MILL MATERIAL</t>
  </si>
  <si>
    <t>MAERSK</t>
  </si>
  <si>
    <t>ESH OLDAH ENTERPRISE</t>
  </si>
  <si>
    <t>GARBA IBRAHIM</t>
  </si>
  <si>
    <t>PROSPERITY AND GLORY OF GOD</t>
  </si>
  <si>
    <t>OLAITAN COMMUNICATION</t>
  </si>
  <si>
    <t>FRAIS DE PRESTATION_TRANSITAIRE_ ALFRED</t>
  </si>
  <si>
    <t>LABOUR WORK SOYA ACC</t>
  </si>
  <si>
    <t>REPORT PRET 2025</t>
  </si>
  <si>
    <t>SAMBA SYLVESTRE</t>
  </si>
  <si>
    <t>UD CAKES SALES_268MT@160K</t>
  </si>
  <si>
    <t>UD CAKES SALES_528MT_160K</t>
  </si>
  <si>
    <t>UD CAKES SALES_480MT@160K</t>
  </si>
  <si>
    <t>UD CAKES SALES_288MT@160K</t>
  </si>
  <si>
    <t>UD CAKE SALES_200MT@160K</t>
  </si>
  <si>
    <t>UD CAKES SALES_50MT@160K</t>
  </si>
  <si>
    <t>UD CAKES SALES_100MT@160K</t>
  </si>
  <si>
    <t>UNIRISE SARL</t>
  </si>
  <si>
    <t>UD CAKES SALES_48MT@160K</t>
  </si>
  <si>
    <t>UD CAKES SALES_144MT@160K</t>
  </si>
  <si>
    <t>EL HADJ MAIGA</t>
  </si>
  <si>
    <t>VERSEMENT MENANYI NICOLAS</t>
  </si>
  <si>
    <t>UD CAKES SALES_200MT@160K</t>
  </si>
  <si>
    <t>UD CAKE SALES_500MT@155K</t>
  </si>
  <si>
    <t>PURCHASE OF PP BAGS FROM MR PRUDENCE</t>
  </si>
  <si>
    <t>CONSTRUCTION DE MAGASIN GLO DJIGBE</t>
  </si>
  <si>
    <t>VERIFICATION DE STOCK USINE DE GDIZ &amp; SITE DE SEKOU</t>
  </si>
  <si>
    <t>USN-26136828_271320798_Soybean</t>
  </si>
  <si>
    <t>USN-2613688_ 271337976_Soyabean</t>
  </si>
  <si>
    <t>ENCAISSEMENT FOURNISSEURS</t>
  </si>
  <si>
    <t>ENCAISSEMENT</t>
  </si>
  <si>
    <t>REMBOURSEMENT</t>
  </si>
  <si>
    <t>-</t>
  </si>
  <si>
    <t>REMBOURSEMENT DE COMMANDE NON EXECUTEE A STE SOMAF_ 1000 MT UD CAKE</t>
  </si>
  <si>
    <t>REDDY'S PACKAGINGS</t>
  </si>
  <si>
    <t xml:space="preserve">PURCHASE OF PP BAGS </t>
  </si>
  <si>
    <t>PAYEMENT SALAIRE JUIN 2026</t>
  </si>
  <si>
    <t>ORDRE DE VIREMENT SALAIRE JUIN 2026</t>
  </si>
  <si>
    <t>SHARMA RISHI</t>
  </si>
  <si>
    <t>SALES/ SOYA MEAL</t>
  </si>
  <si>
    <t>INV NAP-1081-2026_111236.06@569.7 EUR_271285265_Soya meal</t>
  </si>
  <si>
    <t>INV NAP-1093-2026_183.040@1720 EUR_SHEA BUTTER</t>
  </si>
  <si>
    <t>EL HADJI GUEYE</t>
  </si>
  <si>
    <t>REMISE DE CHEQUE TO BIIC ACC</t>
  </si>
  <si>
    <t>REF Numero</t>
  </si>
  <si>
    <t>SOLDE D'OUVERTURE</t>
  </si>
  <si>
    <t>Echeance due</t>
  </si>
  <si>
    <t>STATUS PRET</t>
  </si>
  <si>
    <t>RAJIBER MMAF</t>
  </si>
  <si>
    <t>PAYEMENT FRET EXPORT POUR LES BL : 271285360, 271321384, 271320798, 271319205, 272005087, 272299963</t>
  </si>
  <si>
    <t>FRAIS DE PRESTATION_TRANSITAIRE HAMA INTER</t>
  </si>
  <si>
    <t>FRAIS DE PRESTATION_TRANSITAIRE RAJIBER</t>
  </si>
  <si>
    <t>USN-26164384_272826117_Soyabean</t>
  </si>
  <si>
    <t>USN-26164763_EBKG17613603_Soyabean</t>
  </si>
  <si>
    <t>USN-26164685_EBKG17675052_Soyabean</t>
  </si>
  <si>
    <t>USN-26164775_EBKG17592002_Soyabean</t>
  </si>
  <si>
    <t>USN-USN-26164687_EBKG17674853_Soyabean</t>
  </si>
  <si>
    <t>INV NO NAP-1082-2026_130984.10@655.581 EUR_271285091_Cotton seed nutrised oil</t>
  </si>
  <si>
    <t>MITC SARL</t>
  </si>
  <si>
    <t>USN-26169467_EBKG17777623_Soyabean</t>
  </si>
  <si>
    <t>REJET DE CHEQUE 2000385</t>
  </si>
  <si>
    <t>PAYMENT DE CHEQUE 2000385</t>
  </si>
  <si>
    <t>GBETOHO EZECKIEL</t>
  </si>
  <si>
    <t>USN-26170702_273955510_Soyabean</t>
  </si>
  <si>
    <t>PAYEMENT BFU USN-26172299 POUR LE EBKG17835515</t>
  </si>
  <si>
    <t>PAYEMENT BFU USN-26172392 POUR LE EBKG17812040</t>
  </si>
  <si>
    <t>PAYEMENT FRET EXPORT POUR LES BL : 271337976, 271172498</t>
  </si>
  <si>
    <t>USN-26172142_274567204_Soya meal</t>
  </si>
  <si>
    <t>INV NAP-1105-2026 / NAP-1111-2026_ 396081.60 EUR_SHEA BUTTER</t>
  </si>
  <si>
    <t>USN-26173238_EBKG17893173_Soyabean</t>
  </si>
  <si>
    <t>PAYEMENT FRET EXPORT POUR LES BL : MEDUCT203949, MEDUCT203212, MEDUCT203477</t>
  </si>
  <si>
    <t>MSC BENIN</t>
  </si>
  <si>
    <t>Paiement de facture Janvier 2026 (Ref 005) et Fevrier 2026 (Ref 0015)</t>
  </si>
  <si>
    <t>Paiement de facture Mars 2026 (Ref 028) et Avril 2026 (Ref 043)</t>
  </si>
  <si>
    <t>SCB LAFARGE</t>
  </si>
  <si>
    <t>REMISE DE CHEQUE TO NAP _ CHQ 8140499/SGB</t>
  </si>
  <si>
    <t>FRAIS DE PRESTATION_TRANSITAIRE_ RAJIBER</t>
  </si>
  <si>
    <t>FRAIS DE PRESTATION_TRANSITAIRE_ TRANS SOHA</t>
  </si>
  <si>
    <t>USN-26173954_EBKG17835437_Soyabean</t>
  </si>
  <si>
    <t>CONSTRUCTION DE TANK</t>
  </si>
  <si>
    <t>PAYEMENT FRET EXPORT POUR LES BL :  MEDUCT202800, MEDUCT202875</t>
  </si>
  <si>
    <t>PAYEMENT FRET EXPORT POUR LES BL : 271172507, 272808713, 271322421, 271321717</t>
  </si>
  <si>
    <t>REMISE DE CHEQUE TO NAP _ CHQ 8140511/SGB</t>
  </si>
  <si>
    <t>SOLVENT PLANT OIL MILLS OUTSTANDING WORKS / BOILER HOUSE OUTSTANDING WORKS</t>
  </si>
  <si>
    <t>PAYEMENT FRET EXPORT POUR LES BL : MEDUCT204509</t>
  </si>
  <si>
    <t>ITM BENIN</t>
  </si>
  <si>
    <t>DOC/ENTRETIEN/AUTRES/ FRAIS DE GESTION PERSONNEL</t>
  </si>
  <si>
    <t>REMISE POUR MITC</t>
  </si>
  <si>
    <t>PURCHASE OF SHEA</t>
  </si>
  <si>
    <t>PURCHASE/ SHEA</t>
  </si>
  <si>
    <t>MAHARASHTRA SOLVENT EXTRACTION LIMITED</t>
  </si>
  <si>
    <t>REMISE DE CHEQUE TO ATLANTIQUE ACC</t>
  </si>
  <si>
    <t>VERSEMMENT BY AGBIDINOUKOUN VALERE</t>
  </si>
  <si>
    <t>FRAIS DE PRESTATION_TRANSITAIRE PROSPERITY AND GLORY</t>
  </si>
  <si>
    <t>DGI</t>
  </si>
  <si>
    <t>COMMISSION+TAF SUR DOM</t>
  </si>
  <si>
    <t>INV NO NAP-1091-2026_80744.36@564.64 USD_271337976_Soyabean</t>
  </si>
  <si>
    <t>INV NO NAP-1090-2026_72175.2@655.28 EUR_272005087_Cotton seed nutrised oil</t>
  </si>
  <si>
    <t>PAYEMENT FRET EXPORT POUR LES BL : MEDUCT203543, MEDUCT205191</t>
  </si>
  <si>
    <t>REMBOURSSEMENT PRET DU 13/03/2026_ REF M01ZTRF2607200FI</t>
  </si>
  <si>
    <t>INV NO NAP-1075-2026_107593.5@655.227 EUR_270866616_Soyabean // INV NO NAP-1076-2026_109846@655.227 EUR_270866825_Soyabean</t>
  </si>
  <si>
    <t>PAN TRADING FZ LLC</t>
  </si>
  <si>
    <t>AHOSSI GABIN</t>
  </si>
  <si>
    <t>PURCHASE/ SHEA NUTS</t>
  </si>
  <si>
    <t>REMBOURSEMENT DE COMMANDE NON EXECUTEE A EL HADJ GUEYE</t>
  </si>
  <si>
    <t>REMBOURSEMENT DE COMMANDE NON EXECUTEE A UNIRISE</t>
  </si>
  <si>
    <t>REMBOURSEMENT DE COMMANDE NON EXECUTEE A FAYE ABDOU</t>
  </si>
  <si>
    <t>BADAROU SAID</t>
  </si>
  <si>
    <t>AHEGNI CASIMIR</t>
  </si>
  <si>
    <t>CHIBLO FERDINAND</t>
  </si>
  <si>
    <t>MB TECHNOLOGIES</t>
  </si>
  <si>
    <t>PRODUCTION DES NOTES DE CALCULS DES SCHEMAS ELECTRIQUES / PRESTATION POUR LA CERTIFICATION/REDEVANCE A REVERSER A CONTRELEC</t>
  </si>
  <si>
    <t>GBAGBE MATHIAS</t>
  </si>
  <si>
    <t>DOSSOU GOUDOU ROMAIN</t>
  </si>
  <si>
    <t>NOEL DOLEME</t>
  </si>
  <si>
    <t>PROSPERE</t>
  </si>
  <si>
    <t>DAA-HINGBANON VIRGILE</t>
  </si>
  <si>
    <t>GOUNOU ELISABETH</t>
  </si>
  <si>
    <t>INV NO NAP-1074-2026_117279.09@655.72 EUR_270942275_Soyabean</t>
  </si>
  <si>
    <t>MENSAH DANIEL JOEL</t>
  </si>
  <si>
    <t>FRAIS ASSURANCE STOCK</t>
  </si>
  <si>
    <t>VLAVONOU PIERRE</t>
  </si>
  <si>
    <t>AFRICAINE DES ASSURANCES SA</t>
  </si>
  <si>
    <t>INV NO NAP-1077-2026_109545@655.96EUR_270942248_Soyabean /INV NO NAP-1078-2026_107156@655.96EUR_270942127_Soyabean</t>
  </si>
  <si>
    <t>SEYNI HASSANE</t>
  </si>
  <si>
    <t>ASSOGBA LEON</t>
  </si>
  <si>
    <t>M01ZTRF2623103H1</t>
  </si>
  <si>
    <t>INV NO NAP-1079-2026_112530.99@655.71 EUR_270942290_Soyabean</t>
  </si>
  <si>
    <t>PANKAJ KUMAR</t>
  </si>
  <si>
    <t>MONTCHO NORBERT</t>
  </si>
  <si>
    <t>INV NO NAP-1094-2026_118050.92@655.71 EUR_271322421_Soyabean &amp; INV NO NAP-1095-2026_119906.28@655.71 EUR_272808713_Soyabean</t>
  </si>
  <si>
    <t>ACCLOMBESSI LOUIS</t>
  </si>
  <si>
    <t>HOUNTON NICOLAS</t>
  </si>
  <si>
    <t>AZOGA ARMAND</t>
  </si>
  <si>
    <t>AKPAKPO NOURIDINE</t>
  </si>
  <si>
    <t>REMBOURSSEMENT PRET DU 13/03/2026</t>
  </si>
  <si>
    <t>SALAIRE AOUT 2026</t>
  </si>
  <si>
    <t>LABOUR WORK SHEA ACC</t>
  </si>
  <si>
    <t>GODONOU CHARLES</t>
  </si>
  <si>
    <t>AFRICA ROUTE</t>
  </si>
  <si>
    <t>Mr MOMO</t>
  </si>
  <si>
    <t>SABI SARA MAMADOU</t>
  </si>
  <si>
    <t>ADANNON BLOND</t>
  </si>
  <si>
    <t>LOCAL ALLOWANCE SEPT MONTH 2026</t>
  </si>
  <si>
    <t>AJAY BABU</t>
  </si>
  <si>
    <t>TRANSFERT A BIIC NAP</t>
  </si>
  <si>
    <t>NAP BIIC</t>
  </si>
  <si>
    <t>WANGNANNON ABEL</t>
  </si>
  <si>
    <t>TCHANIGA LEONARD</t>
  </si>
  <si>
    <t>OJ REAL CONSTRUCTION COMPANY LIMITED</t>
  </si>
  <si>
    <t>AVANCE POUR FABRICATION DE TANK 500 MT</t>
  </si>
  <si>
    <t>MAIN TENDUE</t>
  </si>
  <si>
    <t>COMMISSION DUR DOMICILIATION</t>
  </si>
  <si>
    <t>FERNAND AGBESSADJI</t>
  </si>
  <si>
    <t>YENAFO MOISE</t>
  </si>
  <si>
    <t>REBAGGING AND STACKING IN THE FACTORY</t>
  </si>
  <si>
    <t>Mme ROSE</t>
  </si>
  <si>
    <t>BIIC NAP</t>
  </si>
  <si>
    <t>USN-26222275_277243441_Shea butter</t>
  </si>
  <si>
    <t>USN-26223945_277243596_Shea butter</t>
  </si>
  <si>
    <t>ADIGNON SYLVAIN</t>
  </si>
  <si>
    <t>FACTORY EXPENCES</t>
  </si>
  <si>
    <t>BADJOGOUN EVELINE NESTORINE</t>
  </si>
  <si>
    <t>AMINOU KIKI</t>
  </si>
  <si>
    <t>MAKITA FRED JUNIOR</t>
  </si>
  <si>
    <t>FABRICATION DE TANK</t>
  </si>
  <si>
    <t>SBTC</t>
  </si>
  <si>
    <t>SEYNI YACOUBA HASSANE</t>
  </si>
  <si>
    <t>AHEGNI HIPPOLYTE</t>
  </si>
  <si>
    <t>OSSENI ABOU SAMS-DINE</t>
  </si>
  <si>
    <t>USN-26226377_277243348_SHEA BUTTER</t>
  </si>
  <si>
    <t>USN-26226613_277243505_SHEA BUTTER</t>
  </si>
  <si>
    <t>USN-26229336_277443031_SHEA BUTTER</t>
  </si>
  <si>
    <t>USN-26227203_277763418_SHEA BUTTER</t>
  </si>
  <si>
    <t>USN-26232512_277770098_SHEA BUTTER</t>
  </si>
  <si>
    <t>USN-26234719_278981635_SHEA BUTTER</t>
  </si>
  <si>
    <t>TIDJANI RACHIDI</t>
  </si>
  <si>
    <t>ODJOUGBELE SOUROU TOUSSAINT</t>
  </si>
  <si>
    <t>LES PRODUITS DE LABORATOIRE</t>
  </si>
  <si>
    <t>SERVICE</t>
  </si>
  <si>
    <t>PURCHASE/SHEA</t>
  </si>
  <si>
    <t>AGUETON MATHIAS</t>
  </si>
  <si>
    <t>VOYELO FINANGNON</t>
  </si>
  <si>
    <t>SALARY SEPT 2026 EMPLOYE USINE</t>
  </si>
  <si>
    <t>Tiles Worrk  In Solvent And Boiler Section</t>
  </si>
  <si>
    <t>Plumbing Work Washroom Near Etp Section To Washroom behind Workers Area</t>
  </si>
  <si>
    <t>rack work in store room &amp; tiles work in etp panel room &amp; tank fabrication refinery</t>
  </si>
  <si>
    <t>USN-26226377_277243348_SHEA BUTTER_RENEW BFU</t>
  </si>
  <si>
    <t>USN-26236204_279110602_SHEA BUTTER</t>
  </si>
  <si>
    <t>NAP/1121/1122/1123/1124-2026_618156 EUR @ 655.843_ SHEA BUTTER</t>
  </si>
  <si>
    <t>AHOSSEY KOMLAN JOSEPH</t>
  </si>
  <si>
    <t>KPADONOU SOUROU JOEL</t>
  </si>
  <si>
    <t>GBETINSANOU CHARLES</t>
  </si>
  <si>
    <t>MISE A DISPOSITIOM D'AGENT DE SECURITE POUR LE MOIS DE SEPTEMBRE 2026</t>
  </si>
  <si>
    <t>REBOBINAGE DE MOTEUR ELECTRIQUE 3.7 KW(4KW) &amp; MOTEUR 0.75 KW</t>
  </si>
  <si>
    <t>ACHAT GAZ OXYGENE</t>
  </si>
  <si>
    <t>USN-26235408_277770206_SHEA BUTTER</t>
  </si>
  <si>
    <t>NAP/1125/1126-2026_325405.08 EUR @ 655.782_ SHEA BUTTER</t>
  </si>
  <si>
    <t>USN-26222275_277243441_Shea butter RENEW</t>
  </si>
  <si>
    <t>USN-26223945_277243596_Shea butter_RENEW</t>
  </si>
  <si>
    <t>EN COURS</t>
  </si>
  <si>
    <t>E-ZONE</t>
  </si>
  <si>
    <t>AIZANNON SEVERIN CODJO</t>
  </si>
  <si>
    <t>INV NO NAP-1098 / 1100 / 1101-2026_362175.50@655.879 EUR_MEDUCT202875/MEDUCT203212/MEDUCT203949_Soyabean</t>
  </si>
  <si>
    <t>FRAIS SUR RENOUVELLEMENT DE LIGNE DE 4 MILLIARD</t>
  </si>
  <si>
    <t>INTERET SUR PRET du 14/09</t>
  </si>
  <si>
    <t>FRAIS SUR PRET du 14/09</t>
  </si>
  <si>
    <t>TAXE SUR FRAIS DE RENOUVELLEMENT DE LIGNE</t>
  </si>
  <si>
    <t>KOUAKIN ANNICET LEOPOLD SEWANOU</t>
  </si>
  <si>
    <t>ABOKY MIDOKPE DIDIER</t>
  </si>
  <si>
    <t>MADAME JOSLINE</t>
  </si>
  <si>
    <t>LOYER MAISON GLO</t>
  </si>
  <si>
    <t>NAP/1127/1128/1130/1131/1132-2026_ 870.817,64 EUR @ 655.957_ SHEA BUTTER</t>
  </si>
  <si>
    <t>Colonne1</t>
  </si>
  <si>
    <t>Colonne2</t>
  </si>
  <si>
    <t>Colonne3</t>
  </si>
  <si>
    <t>Colonne4</t>
  </si>
  <si>
    <t>Colonne5</t>
  </si>
  <si>
    <t>Colonne6</t>
  </si>
  <si>
    <t>Colonne7</t>
  </si>
  <si>
    <t>Colonne8</t>
  </si>
  <si>
    <t>Colonne9</t>
  </si>
  <si>
    <t>Colonne10</t>
  </si>
  <si>
    <t>Colonne11</t>
  </si>
  <si>
    <t>Colonne12</t>
  </si>
  <si>
    <t>Colonne13</t>
  </si>
  <si>
    <t>Colonne14</t>
  </si>
  <si>
    <t>Colonne15</t>
  </si>
  <si>
    <t>Colonne16</t>
  </si>
  <si>
    <t>Colonne17</t>
  </si>
  <si>
    <t>Colonne18</t>
  </si>
  <si>
    <t>Colonne19</t>
  </si>
  <si>
    <t>Colonne20</t>
  </si>
  <si>
    <t>Colonne21</t>
  </si>
  <si>
    <t>Colonne22</t>
  </si>
  <si>
    <t>Colonne23</t>
  </si>
  <si>
    <t>Colonne24</t>
  </si>
  <si>
    <t>Colonne25</t>
  </si>
  <si>
    <t>Colonne26</t>
  </si>
  <si>
    <t>Colonne27</t>
  </si>
  <si>
    <t>Colonne28</t>
  </si>
  <si>
    <t>Colonne29</t>
  </si>
  <si>
    <t>Colonne30</t>
  </si>
  <si>
    <t>Colonne31</t>
  </si>
  <si>
    <t>Colonne32</t>
  </si>
  <si>
    <t>Colonne33</t>
  </si>
  <si>
    <t>Colonne34</t>
  </si>
  <si>
    <t>Colonne35</t>
  </si>
  <si>
    <t>Colonne36</t>
  </si>
  <si>
    <t>Colonne37</t>
  </si>
  <si>
    <t>Colonne38</t>
  </si>
  <si>
    <t>Colonne39</t>
  </si>
  <si>
    <t>Colonne40</t>
  </si>
  <si>
    <t>Colonne41</t>
  </si>
  <si>
    <t>Colonne42</t>
  </si>
  <si>
    <t>Colonne43</t>
  </si>
  <si>
    <t>Colonne44</t>
  </si>
  <si>
    <t>Colonne45</t>
  </si>
  <si>
    <t>Colonne46</t>
  </si>
  <si>
    <t>Colonne47</t>
  </si>
  <si>
    <t>Colonne48</t>
  </si>
  <si>
    <t>Colonne49</t>
  </si>
  <si>
    <t>Colonne50</t>
  </si>
  <si>
    <t>Colonne51</t>
  </si>
  <si>
    <t>Colonne52</t>
  </si>
  <si>
    <t>Colonne53</t>
  </si>
  <si>
    <t>Colonne54</t>
  </si>
  <si>
    <t>Colonne55</t>
  </si>
  <si>
    <t>Colonne56</t>
  </si>
  <si>
    <t>Colonne57</t>
  </si>
  <si>
    <t>Colonne58</t>
  </si>
  <si>
    <t>Colonne59</t>
  </si>
  <si>
    <t>Colonne60</t>
  </si>
  <si>
    <t>Colonne61</t>
  </si>
  <si>
    <t>Colonne62</t>
  </si>
  <si>
    <t>Colonne63</t>
  </si>
  <si>
    <t>Colonne64</t>
  </si>
  <si>
    <t>Colonne65</t>
  </si>
  <si>
    <t>Colonne66</t>
  </si>
  <si>
    <t>Colonne67</t>
  </si>
  <si>
    <t>Colonne68</t>
  </si>
  <si>
    <t>Colonne69</t>
  </si>
  <si>
    <t>Colonne70</t>
  </si>
  <si>
    <t>Colonne71</t>
  </si>
  <si>
    <t>Colonne72</t>
  </si>
  <si>
    <t>Colonne73</t>
  </si>
  <si>
    <t>Colonne74</t>
  </si>
  <si>
    <t>Colonne75</t>
  </si>
  <si>
    <t>Colonne76</t>
  </si>
  <si>
    <t>Colonne77</t>
  </si>
  <si>
    <t>Colonne78</t>
  </si>
  <si>
    <t>Colonne79</t>
  </si>
  <si>
    <t>Colonne80</t>
  </si>
  <si>
    <t>Colonne81</t>
  </si>
  <si>
    <t>Colonne82</t>
  </si>
  <si>
    <t>Colonne83</t>
  </si>
  <si>
    <t>Colonne84</t>
  </si>
  <si>
    <t>Colonne85</t>
  </si>
  <si>
    <t>Colonne86</t>
  </si>
  <si>
    <t>Colonne87</t>
  </si>
  <si>
    <t>Colonne88</t>
  </si>
  <si>
    <t>Colonne89</t>
  </si>
  <si>
    <t>Colonne90</t>
  </si>
  <si>
    <t>Colonne91</t>
  </si>
  <si>
    <t>Colonne92</t>
  </si>
  <si>
    <t>Colonne93</t>
  </si>
  <si>
    <t>Colonne94</t>
  </si>
  <si>
    <t>Colonne95</t>
  </si>
  <si>
    <t>Colonne96</t>
  </si>
  <si>
    <t>Colonne97</t>
  </si>
  <si>
    <t>Colonne98</t>
  </si>
  <si>
    <t>Colonne99</t>
  </si>
  <si>
    <t>Colonne100</t>
  </si>
  <si>
    <t>Colonne101</t>
  </si>
  <si>
    <t>Colonne102</t>
  </si>
  <si>
    <t>Colonne103</t>
  </si>
  <si>
    <t>Colonne104</t>
  </si>
  <si>
    <t>Colonne105</t>
  </si>
  <si>
    <t>Colonne106</t>
  </si>
  <si>
    <t>Colonne107</t>
  </si>
  <si>
    <t>Colonne108</t>
  </si>
  <si>
    <t>Colonne109</t>
  </si>
  <si>
    <t>Colonne110</t>
  </si>
  <si>
    <t>Colonne111</t>
  </si>
  <si>
    <t>Colonne112</t>
  </si>
  <si>
    <t>Colonne113</t>
  </si>
  <si>
    <t>Colonne114</t>
  </si>
  <si>
    <t>Colonne115</t>
  </si>
  <si>
    <t>Colonne116</t>
  </si>
  <si>
    <t>Colonne117</t>
  </si>
  <si>
    <t>Colonne118</t>
  </si>
  <si>
    <t>Colonne119</t>
  </si>
  <si>
    <t>Colonne120</t>
  </si>
  <si>
    <t>Colonne121</t>
  </si>
  <si>
    <t>Colonne122</t>
  </si>
  <si>
    <t>Colonne123</t>
  </si>
  <si>
    <t>Colonne124</t>
  </si>
  <si>
    <t>Colonne125</t>
  </si>
  <si>
    <t>Colonne126</t>
  </si>
  <si>
    <t>Colonne127</t>
  </si>
  <si>
    <t>Colonne128</t>
  </si>
  <si>
    <t>Colonne129</t>
  </si>
  <si>
    <t>Colonne130</t>
  </si>
  <si>
    <t>Colonne131</t>
  </si>
  <si>
    <t>Colonne132</t>
  </si>
  <si>
    <t>Colonne133</t>
  </si>
  <si>
    <t>Colonne134</t>
  </si>
  <si>
    <t>Colonne135</t>
  </si>
  <si>
    <t>Colonne136</t>
  </si>
  <si>
    <t>Colonne137</t>
  </si>
  <si>
    <t>Colonne138</t>
  </si>
  <si>
    <t>Colonne139</t>
  </si>
  <si>
    <t>Colonne140</t>
  </si>
  <si>
    <t>Colonne141</t>
  </si>
  <si>
    <t>Colonne142</t>
  </si>
  <si>
    <t>Colonne143</t>
  </si>
  <si>
    <t>Colonne144</t>
  </si>
  <si>
    <t>Colonne145</t>
  </si>
  <si>
    <t>Colonne146</t>
  </si>
  <si>
    <t>Colonne147</t>
  </si>
  <si>
    <t>Colonne148</t>
  </si>
  <si>
    <t>Colonne149</t>
  </si>
  <si>
    <t>Colonne150</t>
  </si>
  <si>
    <t>Colonne151</t>
  </si>
  <si>
    <t>Colonne152</t>
  </si>
  <si>
    <t>Colonne153</t>
  </si>
  <si>
    <t>Colonne154</t>
  </si>
  <si>
    <t>Colonne155</t>
  </si>
  <si>
    <t>Colonne156</t>
  </si>
  <si>
    <t>Colonne157</t>
  </si>
  <si>
    <t>Colonne158</t>
  </si>
  <si>
    <t>Colonne159</t>
  </si>
  <si>
    <t>Colonne160</t>
  </si>
  <si>
    <t>Colonne161</t>
  </si>
  <si>
    <t>Colonne162</t>
  </si>
  <si>
    <t>Colonne163</t>
  </si>
  <si>
    <t>Colonne164</t>
  </si>
  <si>
    <t>Colonne165</t>
  </si>
  <si>
    <t>Colonne166</t>
  </si>
  <si>
    <t>Colonne167</t>
  </si>
  <si>
    <t>Colonne168</t>
  </si>
  <si>
    <t>Colonne169</t>
  </si>
  <si>
    <t>Colonne170</t>
  </si>
  <si>
    <t>Colonne171</t>
  </si>
  <si>
    <t>Colonne172</t>
  </si>
  <si>
    <t>Colonne173</t>
  </si>
  <si>
    <t>Colonne174</t>
  </si>
  <si>
    <t>Colonne175</t>
  </si>
  <si>
    <t>Colonne176</t>
  </si>
  <si>
    <t>Colonne177</t>
  </si>
  <si>
    <t>Colonne178</t>
  </si>
  <si>
    <t>Colonne179</t>
  </si>
  <si>
    <t>Colonne180</t>
  </si>
  <si>
    <t>Colonne181</t>
  </si>
  <si>
    <t>Colonne182</t>
  </si>
  <si>
    <t>Colonne183</t>
  </si>
  <si>
    <t>Colonne184</t>
  </si>
  <si>
    <t>Colonne185</t>
  </si>
  <si>
    <t>Colonne186</t>
  </si>
  <si>
    <t>Colonne187</t>
  </si>
  <si>
    <t>Colonne188</t>
  </si>
  <si>
    <t>Colonne189</t>
  </si>
  <si>
    <t>Colonne190</t>
  </si>
  <si>
    <t>Colonne191</t>
  </si>
  <si>
    <t>Colonne192</t>
  </si>
  <si>
    <t>Colonne193</t>
  </si>
  <si>
    <t>Colonne194</t>
  </si>
  <si>
    <t>Colonne195</t>
  </si>
  <si>
    <t>Colonne196</t>
  </si>
  <si>
    <t>Colonne197</t>
  </si>
  <si>
    <t>Colonne198</t>
  </si>
  <si>
    <t>Colonne199</t>
  </si>
  <si>
    <t>Colonne200</t>
  </si>
  <si>
    <t>Colonne201</t>
  </si>
  <si>
    <t>Colonne202</t>
  </si>
  <si>
    <t>Colonne203</t>
  </si>
  <si>
    <t>Colonne204</t>
  </si>
  <si>
    <t>Colonne205</t>
  </si>
  <si>
    <t>Colonne206</t>
  </si>
  <si>
    <t>Colonne207</t>
  </si>
  <si>
    <t>Colonne208</t>
  </si>
  <si>
    <t>Colonne209</t>
  </si>
  <si>
    <t>Colonne210</t>
  </si>
  <si>
    <t>Colonne211</t>
  </si>
  <si>
    <t>Colonne212</t>
  </si>
  <si>
    <t>Colonne213</t>
  </si>
  <si>
    <t>Colonne214</t>
  </si>
  <si>
    <t>Colonne215</t>
  </si>
  <si>
    <t>Colonne216</t>
  </si>
  <si>
    <t>Colonne217</t>
  </si>
  <si>
    <t>Colonne218</t>
  </si>
  <si>
    <t>Colonne219</t>
  </si>
  <si>
    <t>Colonne220</t>
  </si>
  <si>
    <t>Colonne221</t>
  </si>
  <si>
    <t>Colonne222</t>
  </si>
  <si>
    <t>Colonne223</t>
  </si>
  <si>
    <t>Colonne224</t>
  </si>
  <si>
    <t>Colonne225</t>
  </si>
  <si>
    <t>Colonne226</t>
  </si>
  <si>
    <t>Colonne227</t>
  </si>
  <si>
    <t>Colonne228</t>
  </si>
  <si>
    <t>Colonne229</t>
  </si>
  <si>
    <t>Colonne230</t>
  </si>
  <si>
    <t>Colonne231</t>
  </si>
  <si>
    <t>Colonne232</t>
  </si>
  <si>
    <t>Colonne233</t>
  </si>
  <si>
    <t>Colonne234</t>
  </si>
  <si>
    <t>Colonne235</t>
  </si>
  <si>
    <t>Colonne236</t>
  </si>
  <si>
    <t>Colonne237</t>
  </si>
  <si>
    <t>Colonne238</t>
  </si>
  <si>
    <t>Colonne239</t>
  </si>
  <si>
    <t>Colonne240</t>
  </si>
  <si>
    <t>Colonne241</t>
  </si>
  <si>
    <t>Colonne242</t>
  </si>
  <si>
    <t>Colonne243</t>
  </si>
  <si>
    <t>Colonne244</t>
  </si>
  <si>
    <t>Colonne245</t>
  </si>
  <si>
    <t>Colonne246</t>
  </si>
  <si>
    <t>Colonne247</t>
  </si>
  <si>
    <t>Colonne248</t>
  </si>
  <si>
    <t>Colonne249</t>
  </si>
  <si>
    <t>Colonne250</t>
  </si>
  <si>
    <t>Colonne251</t>
  </si>
  <si>
    <t>Colonne252</t>
  </si>
  <si>
    <t>Colonne253</t>
  </si>
  <si>
    <t>Colonne254</t>
  </si>
  <si>
    <t>Colonne255</t>
  </si>
  <si>
    <t>Colonne256</t>
  </si>
  <si>
    <t>Colonne257</t>
  </si>
  <si>
    <t>Colonne258</t>
  </si>
  <si>
    <t>Colonne259</t>
  </si>
  <si>
    <t>Colonne260</t>
  </si>
  <si>
    <t>Colonne261</t>
  </si>
  <si>
    <t>Colonne262</t>
  </si>
  <si>
    <t>Colonne263</t>
  </si>
  <si>
    <t>Colonne264</t>
  </si>
  <si>
    <t>Colonne265</t>
  </si>
  <si>
    <t>Colonne266</t>
  </si>
  <si>
    <t>Colonne267</t>
  </si>
  <si>
    <t>Colonne268</t>
  </si>
  <si>
    <t>Colonne269</t>
  </si>
  <si>
    <t>Colonne270</t>
  </si>
  <si>
    <t>Colonne271</t>
  </si>
  <si>
    <t>Colonne272</t>
  </si>
  <si>
    <t>Colonne273</t>
  </si>
  <si>
    <t>Colonne274</t>
  </si>
  <si>
    <t>Colonne275</t>
  </si>
  <si>
    <t>Colonne276</t>
  </si>
  <si>
    <t>Colonne277</t>
  </si>
  <si>
    <t>Colonne278</t>
  </si>
  <si>
    <t>Colonne279</t>
  </si>
  <si>
    <t>Colonne280</t>
  </si>
  <si>
    <t>Colonne281</t>
  </si>
  <si>
    <t>Colonne282</t>
  </si>
  <si>
    <t>Colonne283</t>
  </si>
  <si>
    <t>Colonne284</t>
  </si>
  <si>
    <t>Colonne285</t>
  </si>
  <si>
    <t>Colonne286</t>
  </si>
  <si>
    <t>Colonne287</t>
  </si>
  <si>
    <t>Colonne288</t>
  </si>
  <si>
    <t>Colonne289</t>
  </si>
  <si>
    <t>Colonne290</t>
  </si>
  <si>
    <t>Colonne291</t>
  </si>
  <si>
    <t>Colonne292</t>
  </si>
  <si>
    <t>Colonne293</t>
  </si>
  <si>
    <t>Colonne294</t>
  </si>
  <si>
    <t>Colonne295</t>
  </si>
  <si>
    <t>Colonne296</t>
  </si>
  <si>
    <t>Colonne297</t>
  </si>
  <si>
    <t>Colonne298</t>
  </si>
  <si>
    <t>Colonne299</t>
  </si>
  <si>
    <t>Colonne300</t>
  </si>
  <si>
    <t>Colonne301</t>
  </si>
  <si>
    <t>Colonne302</t>
  </si>
  <si>
    <t>Colonne303</t>
  </si>
  <si>
    <t>Colonne304</t>
  </si>
  <si>
    <t>Colonne305</t>
  </si>
  <si>
    <t>Colonne306</t>
  </si>
  <si>
    <t>Colonne307</t>
  </si>
  <si>
    <t>Colonne308</t>
  </si>
  <si>
    <t>Colonne309</t>
  </si>
  <si>
    <t>Colonne310</t>
  </si>
  <si>
    <t>Colonne311</t>
  </si>
  <si>
    <t>Colonne312</t>
  </si>
  <si>
    <t>Colonne313</t>
  </si>
  <si>
    <t>Colonne314</t>
  </si>
  <si>
    <t>Colonne315</t>
  </si>
  <si>
    <t>Colonne316</t>
  </si>
  <si>
    <t>Colonne317</t>
  </si>
  <si>
    <t>Colonne318</t>
  </si>
  <si>
    <t>Colonne319</t>
  </si>
  <si>
    <t>Colonne320</t>
  </si>
  <si>
    <t>Colonne321</t>
  </si>
  <si>
    <t>Colonne322</t>
  </si>
  <si>
    <t>Colonne323</t>
  </si>
  <si>
    <t>Colonne324</t>
  </si>
  <si>
    <t>Colonne325</t>
  </si>
  <si>
    <t>Colonne326</t>
  </si>
  <si>
    <t>Colonne327</t>
  </si>
  <si>
    <t>Colonne328</t>
  </si>
  <si>
    <t>Colonne329</t>
  </si>
  <si>
    <t>Colonne330</t>
  </si>
  <si>
    <t>Colonne331</t>
  </si>
  <si>
    <t>Colonne332</t>
  </si>
  <si>
    <t>Colonne333</t>
  </si>
  <si>
    <t>Colonne334</t>
  </si>
  <si>
    <t>Colonne335</t>
  </si>
  <si>
    <t>Colonne336</t>
  </si>
  <si>
    <t>Colonne337</t>
  </si>
  <si>
    <t>Colonne338</t>
  </si>
  <si>
    <t>Colonne339</t>
  </si>
  <si>
    <t>Colonne340</t>
  </si>
  <si>
    <t>Colonne341</t>
  </si>
  <si>
    <t>Colonne342</t>
  </si>
  <si>
    <t>Colonne343</t>
  </si>
  <si>
    <t>Colonne344</t>
  </si>
  <si>
    <t>Colonne345</t>
  </si>
  <si>
    <t>Colonne346</t>
  </si>
  <si>
    <t>Colonne347</t>
  </si>
  <si>
    <t>Colonne348</t>
  </si>
  <si>
    <t>Colonne349</t>
  </si>
  <si>
    <t>Colonne350</t>
  </si>
  <si>
    <t>Colonne351</t>
  </si>
  <si>
    <t>Colonne352</t>
  </si>
  <si>
    <t>Colonne353</t>
  </si>
  <si>
    <t>Colonne354</t>
  </si>
  <si>
    <t>Colonne355</t>
  </si>
  <si>
    <t>Colonne356</t>
  </si>
  <si>
    <t>Colonne357</t>
  </si>
  <si>
    <t>Colonne358</t>
  </si>
  <si>
    <t>Colonne359</t>
  </si>
  <si>
    <t>Colonne360</t>
  </si>
  <si>
    <t>Colonne361</t>
  </si>
  <si>
    <t>Colonne362</t>
  </si>
  <si>
    <t>Colonne363</t>
  </si>
  <si>
    <t>Colonne364</t>
  </si>
  <si>
    <t>Colonne365</t>
  </si>
  <si>
    <t>Colonne366</t>
  </si>
  <si>
    <t>Colonne367</t>
  </si>
  <si>
    <t>Colonne368</t>
  </si>
  <si>
    <t>Colonne369</t>
  </si>
  <si>
    <t>Colonne370</t>
  </si>
  <si>
    <t>Colonne371</t>
  </si>
  <si>
    <t>Colonne372</t>
  </si>
  <si>
    <t>Colonne373</t>
  </si>
  <si>
    <t>Colonne374</t>
  </si>
  <si>
    <t>Colonne375</t>
  </si>
  <si>
    <t>Colonne376</t>
  </si>
  <si>
    <t>Colonne377</t>
  </si>
  <si>
    <t>Colonne378</t>
  </si>
  <si>
    <t>Colonne379</t>
  </si>
  <si>
    <t>Colonne380</t>
  </si>
  <si>
    <t>Colonne381</t>
  </si>
  <si>
    <t>Colonne382</t>
  </si>
  <si>
    <t>Colonne383</t>
  </si>
  <si>
    <t>Colonne384</t>
  </si>
  <si>
    <t>Colonne385</t>
  </si>
  <si>
    <t>Colonne386</t>
  </si>
  <si>
    <t>Colonne387</t>
  </si>
  <si>
    <t>Colonne388</t>
  </si>
  <si>
    <t>Colonne389</t>
  </si>
  <si>
    <t>Colonne390</t>
  </si>
  <si>
    <t>Colonne391</t>
  </si>
  <si>
    <t>Colonne392</t>
  </si>
  <si>
    <t>Colonne393</t>
  </si>
  <si>
    <t>Colonne394</t>
  </si>
  <si>
    <t>Colonne395</t>
  </si>
  <si>
    <t>Colonne396</t>
  </si>
  <si>
    <t>Colonne397</t>
  </si>
  <si>
    <t>Colonne398</t>
  </si>
  <si>
    <t>Colonne399</t>
  </si>
  <si>
    <t>Colonne400</t>
  </si>
  <si>
    <t>Colonne401</t>
  </si>
  <si>
    <t>Colonne402</t>
  </si>
  <si>
    <t>Colonne403</t>
  </si>
  <si>
    <t>Colonne404</t>
  </si>
  <si>
    <t>Colonne405</t>
  </si>
  <si>
    <t>Colonne406</t>
  </si>
  <si>
    <t>Colonne407</t>
  </si>
  <si>
    <t>Colonne408</t>
  </si>
  <si>
    <t>Colonne409</t>
  </si>
  <si>
    <t>Colonne410</t>
  </si>
  <si>
    <t>Colonne411</t>
  </si>
  <si>
    <t>Colonne412</t>
  </si>
  <si>
    <t>Colonne413</t>
  </si>
  <si>
    <t>Colonne414</t>
  </si>
  <si>
    <t>Colonne415</t>
  </si>
  <si>
    <t>Colonne416</t>
  </si>
  <si>
    <t>Colonne417</t>
  </si>
  <si>
    <t>Colonne418</t>
  </si>
  <si>
    <t>Colonne419</t>
  </si>
  <si>
    <t>Colonne420</t>
  </si>
  <si>
    <t>Colonne421</t>
  </si>
  <si>
    <t>Colonne422</t>
  </si>
  <si>
    <t>Colonne423</t>
  </si>
  <si>
    <t>Colonne424</t>
  </si>
  <si>
    <t>Colonne425</t>
  </si>
  <si>
    <t>Colonne426</t>
  </si>
  <si>
    <t>Colonne427</t>
  </si>
  <si>
    <t>Colonne428</t>
  </si>
  <si>
    <t>Colonne429</t>
  </si>
  <si>
    <t>Colonne430</t>
  </si>
  <si>
    <t>Colonne431</t>
  </si>
  <si>
    <t>Colonne432</t>
  </si>
  <si>
    <t>Colonne433</t>
  </si>
  <si>
    <t>Colonne434</t>
  </si>
  <si>
    <t>Colonne435</t>
  </si>
  <si>
    <t>Colonne436</t>
  </si>
  <si>
    <t>Colonne437</t>
  </si>
  <si>
    <t>Colonne438</t>
  </si>
  <si>
    <t>Colonne439</t>
  </si>
  <si>
    <t>Colonne440</t>
  </si>
  <si>
    <t>Colonne441</t>
  </si>
  <si>
    <t>Colonne442</t>
  </si>
  <si>
    <t>Colonne443</t>
  </si>
  <si>
    <t>Colonne444</t>
  </si>
  <si>
    <t>Colonne445</t>
  </si>
  <si>
    <t>Colonne446</t>
  </si>
  <si>
    <t>Colonne447</t>
  </si>
  <si>
    <t>Colonne448</t>
  </si>
  <si>
    <t>Colonne449</t>
  </si>
  <si>
    <t>Colonne450</t>
  </si>
  <si>
    <t>Colonne451</t>
  </si>
  <si>
    <t>Colonne452</t>
  </si>
  <si>
    <t>Colonne453</t>
  </si>
  <si>
    <t>Colonne454</t>
  </si>
  <si>
    <t>Colonne455</t>
  </si>
  <si>
    <t>Colonne456</t>
  </si>
  <si>
    <t>Colonne457</t>
  </si>
  <si>
    <t>Colonne458</t>
  </si>
  <si>
    <t>Colonne459</t>
  </si>
  <si>
    <t>Colonne460</t>
  </si>
  <si>
    <t>Colonne461</t>
  </si>
  <si>
    <t>Colonne462</t>
  </si>
  <si>
    <t>Colonne463</t>
  </si>
  <si>
    <t>Colonne464</t>
  </si>
  <si>
    <t>Colonne465</t>
  </si>
  <si>
    <t>Colonne466</t>
  </si>
  <si>
    <t>Colonne467</t>
  </si>
  <si>
    <t>Colonne468</t>
  </si>
  <si>
    <t>Colonne469</t>
  </si>
  <si>
    <t>Colonne470</t>
  </si>
  <si>
    <t>Colonne471</t>
  </si>
  <si>
    <t>Colonne472</t>
  </si>
  <si>
    <t>Colonne473</t>
  </si>
  <si>
    <t>Colonne474</t>
  </si>
  <si>
    <t>Colonne475</t>
  </si>
  <si>
    <t>Colonne476</t>
  </si>
  <si>
    <t>Colonne477</t>
  </si>
  <si>
    <t>Colonne478</t>
  </si>
  <si>
    <t>Colonne479</t>
  </si>
  <si>
    <t>Colonne480</t>
  </si>
  <si>
    <t>Colonne481</t>
  </si>
  <si>
    <t>Colonne482</t>
  </si>
  <si>
    <t>Colonne483</t>
  </si>
  <si>
    <t>Colonne484</t>
  </si>
  <si>
    <t>Colonne485</t>
  </si>
  <si>
    <t>Colonne486</t>
  </si>
  <si>
    <t>Colonne487</t>
  </si>
  <si>
    <t>Colonne488</t>
  </si>
  <si>
    <t>Colonne489</t>
  </si>
  <si>
    <t>Colonne490</t>
  </si>
  <si>
    <t>Colonne491</t>
  </si>
  <si>
    <t>Colonne492</t>
  </si>
  <si>
    <t>Colonne493</t>
  </si>
  <si>
    <t>Colonne494</t>
  </si>
  <si>
    <t>Colonne495</t>
  </si>
  <si>
    <t>Colonne496</t>
  </si>
  <si>
    <t>Colonne497</t>
  </si>
  <si>
    <t>Colonne498</t>
  </si>
  <si>
    <t>Colonne499</t>
  </si>
  <si>
    <t>Colonne500</t>
  </si>
  <si>
    <t>Colonne501</t>
  </si>
  <si>
    <t>Colonne502</t>
  </si>
  <si>
    <t>Colonne503</t>
  </si>
  <si>
    <t>Colonne504</t>
  </si>
  <si>
    <t>Colonne505</t>
  </si>
  <si>
    <t>Colonne506</t>
  </si>
  <si>
    <t>Colonne507</t>
  </si>
  <si>
    <t>Colonne508</t>
  </si>
  <si>
    <t>Colonne509</t>
  </si>
  <si>
    <t>Colonne510</t>
  </si>
  <si>
    <t>Colonne511</t>
  </si>
  <si>
    <t>Colonne512</t>
  </si>
  <si>
    <t>Colonne513</t>
  </si>
  <si>
    <t>Colonne514</t>
  </si>
  <si>
    <t>Colonne515</t>
  </si>
  <si>
    <t>Colonne516</t>
  </si>
  <si>
    <t>Colonne517</t>
  </si>
  <si>
    <t>Colonne518</t>
  </si>
  <si>
    <t>Colonne519</t>
  </si>
  <si>
    <t>Colonne520</t>
  </si>
  <si>
    <t>Colonne521</t>
  </si>
  <si>
    <t>Colonne522</t>
  </si>
  <si>
    <t>Colonne523</t>
  </si>
  <si>
    <t>Colonne524</t>
  </si>
  <si>
    <t>Colonne525</t>
  </si>
  <si>
    <t>Colonne526</t>
  </si>
  <si>
    <t>Colonne527</t>
  </si>
  <si>
    <t>Colonne528</t>
  </si>
  <si>
    <t>Colonne529</t>
  </si>
  <si>
    <t>Colonne530</t>
  </si>
  <si>
    <t>Colonne531</t>
  </si>
  <si>
    <t>Colonne532</t>
  </si>
  <si>
    <t>Colonne533</t>
  </si>
  <si>
    <t>Colonne534</t>
  </si>
  <si>
    <t>Colonne535</t>
  </si>
  <si>
    <t>Colonne536</t>
  </si>
  <si>
    <t>Colonne537</t>
  </si>
  <si>
    <t>Colonne538</t>
  </si>
  <si>
    <t>Colonne539</t>
  </si>
  <si>
    <t>Colonne540</t>
  </si>
  <si>
    <t>Colonne541</t>
  </si>
  <si>
    <t>Colonne542</t>
  </si>
  <si>
    <t>Colonne543</t>
  </si>
  <si>
    <t>Colonne544</t>
  </si>
  <si>
    <t>Colonne545</t>
  </si>
  <si>
    <t>Colonne546</t>
  </si>
  <si>
    <t>Colonne547</t>
  </si>
  <si>
    <t>Colonne548</t>
  </si>
  <si>
    <t>Colonne549</t>
  </si>
  <si>
    <t>Colonne550</t>
  </si>
  <si>
    <t>Colonne551</t>
  </si>
  <si>
    <t>Colonne552</t>
  </si>
  <si>
    <t>Colonne553</t>
  </si>
  <si>
    <t>Colonne554</t>
  </si>
  <si>
    <t>Colonne555</t>
  </si>
  <si>
    <t>Colonne556</t>
  </si>
  <si>
    <t>Colonne557</t>
  </si>
  <si>
    <t>Colonne558</t>
  </si>
  <si>
    <t>Colonne559</t>
  </si>
  <si>
    <t>Colonne560</t>
  </si>
  <si>
    <t>Colonne561</t>
  </si>
  <si>
    <t>Colonne562</t>
  </si>
  <si>
    <t>Colonne563</t>
  </si>
  <si>
    <t>Colonne564</t>
  </si>
  <si>
    <t>Colonne565</t>
  </si>
  <si>
    <t>Colonne566</t>
  </si>
  <si>
    <t>Colonne567</t>
  </si>
  <si>
    <t>Colonne568</t>
  </si>
  <si>
    <t>Colonne569</t>
  </si>
  <si>
    <t>Colonne570</t>
  </si>
  <si>
    <t>Colonne571</t>
  </si>
  <si>
    <t>Colonne572</t>
  </si>
  <si>
    <t>Colonne573</t>
  </si>
  <si>
    <t>Colonne574</t>
  </si>
  <si>
    <t>Colonne575</t>
  </si>
  <si>
    <t>Colonne576</t>
  </si>
  <si>
    <t>Colonne577</t>
  </si>
  <si>
    <t>Colonne578</t>
  </si>
  <si>
    <t>Colonne579</t>
  </si>
  <si>
    <t>Colonne580</t>
  </si>
  <si>
    <t>Colonne581</t>
  </si>
  <si>
    <t>Colonne582</t>
  </si>
  <si>
    <t>Colonne583</t>
  </si>
  <si>
    <t>Colonne584</t>
  </si>
  <si>
    <t>Colonne585</t>
  </si>
  <si>
    <t>Colonne586</t>
  </si>
  <si>
    <t>Colonne587</t>
  </si>
  <si>
    <t>Colonne588</t>
  </si>
  <si>
    <t>Colonne589</t>
  </si>
  <si>
    <t>Colonne590</t>
  </si>
  <si>
    <t>Colonne591</t>
  </si>
  <si>
    <t>Colonne592</t>
  </si>
  <si>
    <t>Colonne593</t>
  </si>
  <si>
    <t>Colonne594</t>
  </si>
  <si>
    <t>Colonne595</t>
  </si>
  <si>
    <t>Colonne596</t>
  </si>
  <si>
    <t>Colonne597</t>
  </si>
  <si>
    <t>Colonne598</t>
  </si>
  <si>
    <t>Colonne599</t>
  </si>
  <si>
    <t>Colonne600</t>
  </si>
  <si>
    <t>Colonne601</t>
  </si>
  <si>
    <t>Colonne602</t>
  </si>
  <si>
    <t>Colonne603</t>
  </si>
  <si>
    <t>Colonne604</t>
  </si>
  <si>
    <t>Colonne605</t>
  </si>
  <si>
    <t>Colonne606</t>
  </si>
  <si>
    <t>Colonne607</t>
  </si>
  <si>
    <t>Colonne608</t>
  </si>
  <si>
    <t>Colonne609</t>
  </si>
  <si>
    <t>Colonne610</t>
  </si>
  <si>
    <t>Colonne611</t>
  </si>
  <si>
    <t>Colonne612</t>
  </si>
  <si>
    <t>Colonne613</t>
  </si>
  <si>
    <t>Colonne614</t>
  </si>
  <si>
    <t>Colonne615</t>
  </si>
  <si>
    <t>Colonne616</t>
  </si>
  <si>
    <t>Colonne617</t>
  </si>
  <si>
    <t>Colonne618</t>
  </si>
  <si>
    <t>Colonne619</t>
  </si>
  <si>
    <t>Colonne620</t>
  </si>
  <si>
    <t>Colonne621</t>
  </si>
  <si>
    <t>Colonne622</t>
  </si>
  <si>
    <t>Colonne623</t>
  </si>
  <si>
    <t>Colonne624</t>
  </si>
  <si>
    <t>Colonne625</t>
  </si>
  <si>
    <t>Colonne626</t>
  </si>
  <si>
    <t>Colonne627</t>
  </si>
  <si>
    <t>Colonne628</t>
  </si>
  <si>
    <t>Colonne629</t>
  </si>
  <si>
    <t>Colonne630</t>
  </si>
  <si>
    <t>Colonne631</t>
  </si>
  <si>
    <t>Colonne632</t>
  </si>
  <si>
    <t>Colonne633</t>
  </si>
  <si>
    <t>Colonne634</t>
  </si>
  <si>
    <t>Colonne635</t>
  </si>
  <si>
    <t>Colonne636</t>
  </si>
  <si>
    <t>Colonne637</t>
  </si>
  <si>
    <t>Colonne638</t>
  </si>
  <si>
    <t>Colonne639</t>
  </si>
  <si>
    <t>Colonne640</t>
  </si>
  <si>
    <t>Colonne641</t>
  </si>
  <si>
    <t>Colonne642</t>
  </si>
  <si>
    <t>Colonne643</t>
  </si>
  <si>
    <t>Colonne644</t>
  </si>
  <si>
    <t>Colonne645</t>
  </si>
  <si>
    <t>Colonne646</t>
  </si>
  <si>
    <t>Colonne647</t>
  </si>
  <si>
    <t>Colonne648</t>
  </si>
  <si>
    <t>Colonne649</t>
  </si>
  <si>
    <t>Colonne650</t>
  </si>
  <si>
    <t>Colonne651</t>
  </si>
  <si>
    <t>Colonne652</t>
  </si>
  <si>
    <t>Colonne653</t>
  </si>
  <si>
    <t>Colonne654</t>
  </si>
  <si>
    <t>Colonne655</t>
  </si>
  <si>
    <t>Colonne656</t>
  </si>
  <si>
    <t>Colonne657</t>
  </si>
  <si>
    <t>Colonne658</t>
  </si>
  <si>
    <t>Colonne659</t>
  </si>
  <si>
    <t>Colonne660</t>
  </si>
  <si>
    <t>Colonne661</t>
  </si>
  <si>
    <t>Colonne662</t>
  </si>
  <si>
    <t>Colonne663</t>
  </si>
  <si>
    <t>Colonne664</t>
  </si>
  <si>
    <t>Colonne665</t>
  </si>
  <si>
    <t>Colonne666</t>
  </si>
  <si>
    <t>Colonne667</t>
  </si>
  <si>
    <t>Colonne668</t>
  </si>
  <si>
    <t>Colonne669</t>
  </si>
  <si>
    <t>Colonne670</t>
  </si>
  <si>
    <t>Colonne671</t>
  </si>
  <si>
    <t>Colonne672</t>
  </si>
  <si>
    <t>Colonne673</t>
  </si>
  <si>
    <t>Colonne674</t>
  </si>
  <si>
    <t>Colonne675</t>
  </si>
  <si>
    <t>Colonne676</t>
  </si>
  <si>
    <t>Colonne677</t>
  </si>
  <si>
    <t>Colonne678</t>
  </si>
  <si>
    <t>Colonne679</t>
  </si>
  <si>
    <t>Colonne680</t>
  </si>
  <si>
    <t>Colonne681</t>
  </si>
  <si>
    <t>Colonne682</t>
  </si>
  <si>
    <t>Colonne683</t>
  </si>
  <si>
    <t>Colonne684</t>
  </si>
  <si>
    <t>Colonne685</t>
  </si>
  <si>
    <t>Colonne686</t>
  </si>
  <si>
    <t>Colonne687</t>
  </si>
  <si>
    <t>Colonne688</t>
  </si>
  <si>
    <t>Colonne689</t>
  </si>
  <si>
    <t>Colonne690</t>
  </si>
  <si>
    <t>Colonne691</t>
  </si>
  <si>
    <t>Colonne692</t>
  </si>
  <si>
    <t>Colonne693</t>
  </si>
  <si>
    <t>Colonne694</t>
  </si>
  <si>
    <t>Colonne695</t>
  </si>
  <si>
    <t>Colonne696</t>
  </si>
  <si>
    <t>Colonne697</t>
  </si>
  <si>
    <t>Colonne698</t>
  </si>
  <si>
    <t>Colonne699</t>
  </si>
  <si>
    <t>Colonne700</t>
  </si>
  <si>
    <t>Colonne701</t>
  </si>
  <si>
    <t>Colonne702</t>
  </si>
  <si>
    <t>Colonne703</t>
  </si>
  <si>
    <t>Colonne704</t>
  </si>
  <si>
    <t>Colonne705</t>
  </si>
  <si>
    <t>Colonne706</t>
  </si>
  <si>
    <t>Colonne707</t>
  </si>
  <si>
    <t>Colonne708</t>
  </si>
  <si>
    <t>Colonne709</t>
  </si>
  <si>
    <t>Colonne710</t>
  </si>
  <si>
    <t>Colonne711</t>
  </si>
  <si>
    <t>Colonne712</t>
  </si>
  <si>
    <t>Colonne713</t>
  </si>
  <si>
    <t>Colonne714</t>
  </si>
  <si>
    <t>Colonne715</t>
  </si>
  <si>
    <t>Colonne716</t>
  </si>
  <si>
    <t>Colonne717</t>
  </si>
  <si>
    <t>Colonne718</t>
  </si>
  <si>
    <t>Colonne719</t>
  </si>
  <si>
    <t>Colonne720</t>
  </si>
  <si>
    <t>Colonne721</t>
  </si>
  <si>
    <t>Colonne722</t>
  </si>
  <si>
    <t>Colonne723</t>
  </si>
  <si>
    <t>Colonne724</t>
  </si>
  <si>
    <t>Colonne725</t>
  </si>
  <si>
    <t>Colonne726</t>
  </si>
  <si>
    <t>Colonne727</t>
  </si>
  <si>
    <t>Colonne728</t>
  </si>
  <si>
    <t>Colonne729</t>
  </si>
  <si>
    <t>Colonne730</t>
  </si>
  <si>
    <t>Colonne731</t>
  </si>
  <si>
    <t>Colonne732</t>
  </si>
  <si>
    <t>Colonne733</t>
  </si>
  <si>
    <t>Colonne734</t>
  </si>
  <si>
    <t>Colonne735</t>
  </si>
  <si>
    <t>Colonne736</t>
  </si>
  <si>
    <t>Colonne737</t>
  </si>
  <si>
    <t>Colonne738</t>
  </si>
  <si>
    <t>Colonne739</t>
  </si>
  <si>
    <t>Colonne740</t>
  </si>
  <si>
    <t>Colonne741</t>
  </si>
  <si>
    <t>Colonne742</t>
  </si>
  <si>
    <t>Colonne743</t>
  </si>
  <si>
    <t>Colonne744</t>
  </si>
  <si>
    <t>Colonne745</t>
  </si>
  <si>
    <t>Colonne746</t>
  </si>
  <si>
    <t>Colonne747</t>
  </si>
  <si>
    <t>Colonne748</t>
  </si>
  <si>
    <t>Colonne749</t>
  </si>
  <si>
    <t>Colonne750</t>
  </si>
  <si>
    <t>Colonne751</t>
  </si>
  <si>
    <t>Colonne752</t>
  </si>
  <si>
    <t>Colonne753</t>
  </si>
  <si>
    <t>Colonne754</t>
  </si>
  <si>
    <t>Colonne755</t>
  </si>
  <si>
    <t>Colonne756</t>
  </si>
  <si>
    <t>Colonne757</t>
  </si>
  <si>
    <t>Colonne758</t>
  </si>
  <si>
    <t>Colonne759</t>
  </si>
  <si>
    <t>Colonne760</t>
  </si>
  <si>
    <t>Colonne761</t>
  </si>
  <si>
    <t>Colonne762</t>
  </si>
  <si>
    <t>Colonne763</t>
  </si>
  <si>
    <t>Colonne764</t>
  </si>
  <si>
    <t>Colonne765</t>
  </si>
  <si>
    <t>Colonne766</t>
  </si>
  <si>
    <t>Colonne767</t>
  </si>
  <si>
    <t>Colonne768</t>
  </si>
  <si>
    <t>Colonne769</t>
  </si>
  <si>
    <t>Colonne770</t>
  </si>
  <si>
    <t>Colonne771</t>
  </si>
  <si>
    <t>Colonne772</t>
  </si>
  <si>
    <t>Colonne773</t>
  </si>
  <si>
    <t>Colonne774</t>
  </si>
  <si>
    <t>Colonne775</t>
  </si>
  <si>
    <t>Colonne776</t>
  </si>
  <si>
    <t>Colonne777</t>
  </si>
  <si>
    <t>Colonne778</t>
  </si>
  <si>
    <t>Colonne779</t>
  </si>
  <si>
    <t>Colonne780</t>
  </si>
  <si>
    <t>Colonne781</t>
  </si>
  <si>
    <t>Colonne782</t>
  </si>
  <si>
    <t>Colonne783</t>
  </si>
  <si>
    <t>Colonne784</t>
  </si>
  <si>
    <t>Colonne785</t>
  </si>
  <si>
    <t>Colonne786</t>
  </si>
  <si>
    <t>Colonne787</t>
  </si>
  <si>
    <t>Colonne788</t>
  </si>
  <si>
    <t>Colonne789</t>
  </si>
  <si>
    <t>Colonne790</t>
  </si>
  <si>
    <t>Colonne791</t>
  </si>
  <si>
    <t>Colonne792</t>
  </si>
  <si>
    <t>Colonne793</t>
  </si>
  <si>
    <t>Colonne794</t>
  </si>
  <si>
    <t>Colonne795</t>
  </si>
  <si>
    <t>Colonne796</t>
  </si>
  <si>
    <t>Colonne797</t>
  </si>
  <si>
    <t>Colonne798</t>
  </si>
  <si>
    <t>Colonne799</t>
  </si>
  <si>
    <t>Colonne800</t>
  </si>
  <si>
    <t>Colonne801</t>
  </si>
  <si>
    <t>Colonne802</t>
  </si>
  <si>
    <t>Colonne803</t>
  </si>
  <si>
    <t>Colonne804</t>
  </si>
  <si>
    <t>Colonne805</t>
  </si>
  <si>
    <t>Colonne806</t>
  </si>
  <si>
    <t>Colonne807</t>
  </si>
  <si>
    <t>Colonne808</t>
  </si>
  <si>
    <t>Colonne809</t>
  </si>
  <si>
    <t>Colonne810</t>
  </si>
  <si>
    <t>Colonne811</t>
  </si>
  <si>
    <t>Colonne812</t>
  </si>
  <si>
    <t>Colonne813</t>
  </si>
  <si>
    <t>Colonne814</t>
  </si>
  <si>
    <t>Colonne815</t>
  </si>
  <si>
    <t>Colonne816</t>
  </si>
  <si>
    <t>Colonne817</t>
  </si>
  <si>
    <t>Colonne818</t>
  </si>
  <si>
    <t>Colonne819</t>
  </si>
  <si>
    <t>Colonne820</t>
  </si>
  <si>
    <t>Colonne821</t>
  </si>
  <si>
    <t>Colonne822</t>
  </si>
  <si>
    <t>Colonne823</t>
  </si>
  <si>
    <t>Colonne824</t>
  </si>
  <si>
    <t>Colonne825</t>
  </si>
  <si>
    <t>Colonne826</t>
  </si>
  <si>
    <t>Colonne827</t>
  </si>
  <si>
    <t>Colonne828</t>
  </si>
  <si>
    <t>Colonne829</t>
  </si>
  <si>
    <t>Colonne830</t>
  </si>
  <si>
    <t>Colonne831</t>
  </si>
  <si>
    <t>Colonne832</t>
  </si>
  <si>
    <t>Colonne833</t>
  </si>
  <si>
    <t>Colonne834</t>
  </si>
  <si>
    <t>Colonne835</t>
  </si>
  <si>
    <t>Colonne836</t>
  </si>
  <si>
    <t>Colonne837</t>
  </si>
  <si>
    <t>Colonne838</t>
  </si>
  <si>
    <t>Colonne839</t>
  </si>
  <si>
    <t>Colonne840</t>
  </si>
  <si>
    <t>Colonne841</t>
  </si>
  <si>
    <t>Colonne842</t>
  </si>
  <si>
    <t>Colonne843</t>
  </si>
  <si>
    <t>Colonne844</t>
  </si>
  <si>
    <t>Colonne845</t>
  </si>
  <si>
    <t>Colonne846</t>
  </si>
  <si>
    <t>Colonne847</t>
  </si>
  <si>
    <t>Colonne848</t>
  </si>
  <si>
    <t>Colonne849</t>
  </si>
  <si>
    <t>Colonne850</t>
  </si>
  <si>
    <t>Colonne851</t>
  </si>
  <si>
    <t>Colonne852</t>
  </si>
  <si>
    <t>Colonne853</t>
  </si>
  <si>
    <t>Colonne854</t>
  </si>
  <si>
    <t>Colonne855</t>
  </si>
  <si>
    <t>Colonne856</t>
  </si>
  <si>
    <t>Colonne857</t>
  </si>
  <si>
    <t>Colonne858</t>
  </si>
  <si>
    <t>Colonne859</t>
  </si>
  <si>
    <t>Colonne860</t>
  </si>
  <si>
    <t>Colonne861</t>
  </si>
  <si>
    <t>Colonne862</t>
  </si>
  <si>
    <t>Colonne863</t>
  </si>
  <si>
    <t>Colonne864</t>
  </si>
  <si>
    <t>Colonne865</t>
  </si>
  <si>
    <t>Colonne866</t>
  </si>
  <si>
    <t>Colonne867</t>
  </si>
  <si>
    <t>Colonne868</t>
  </si>
  <si>
    <t>Colonne869</t>
  </si>
  <si>
    <t>Colonne870</t>
  </si>
  <si>
    <t>Colonne871</t>
  </si>
  <si>
    <t>Colonne872</t>
  </si>
  <si>
    <t>Colonne873</t>
  </si>
  <si>
    <t>Colonne874</t>
  </si>
  <si>
    <t>Colonne875</t>
  </si>
  <si>
    <t>Colonne876</t>
  </si>
  <si>
    <t>Colonne877</t>
  </si>
  <si>
    <t>Colonne878</t>
  </si>
  <si>
    <t>Colonne879</t>
  </si>
  <si>
    <t>Colonne880</t>
  </si>
  <si>
    <t>Colonne881</t>
  </si>
  <si>
    <t>Colonne882</t>
  </si>
  <si>
    <t>Colonne883</t>
  </si>
  <si>
    <t>Colonne884</t>
  </si>
  <si>
    <t>Colonne885</t>
  </si>
  <si>
    <t>Colonne886</t>
  </si>
  <si>
    <t>Colonne887</t>
  </si>
  <si>
    <t>Colonne888</t>
  </si>
  <si>
    <t>Colonne889</t>
  </si>
  <si>
    <t>Colonne890</t>
  </si>
  <si>
    <t>Colonne891</t>
  </si>
  <si>
    <t>Colonne892</t>
  </si>
  <si>
    <t>Colonne893</t>
  </si>
  <si>
    <t>Colonne894</t>
  </si>
  <si>
    <t>Colonne895</t>
  </si>
  <si>
    <t>Colonne896</t>
  </si>
  <si>
    <t>Colonne897</t>
  </si>
  <si>
    <t>Colonne898</t>
  </si>
  <si>
    <t>Colonne899</t>
  </si>
  <si>
    <t>Colonne900</t>
  </si>
  <si>
    <t>Colonne901</t>
  </si>
  <si>
    <t>Colonne902</t>
  </si>
  <si>
    <t>Colonne903</t>
  </si>
  <si>
    <t>Colonne904</t>
  </si>
  <si>
    <t>Colonne905</t>
  </si>
  <si>
    <t>Colonne906</t>
  </si>
  <si>
    <t>Colonne907</t>
  </si>
  <si>
    <t>Colonne908</t>
  </si>
  <si>
    <t>Colonne909</t>
  </si>
  <si>
    <t>Colonne910</t>
  </si>
  <si>
    <t>Colonne911</t>
  </si>
  <si>
    <t>Colonne912</t>
  </si>
  <si>
    <t>Colonne913</t>
  </si>
  <si>
    <t>Colonne914</t>
  </si>
  <si>
    <t>Colonne915</t>
  </si>
  <si>
    <t>Colonne916</t>
  </si>
  <si>
    <t>Colonne917</t>
  </si>
  <si>
    <t>Colonne918</t>
  </si>
  <si>
    <t>Colonne919</t>
  </si>
  <si>
    <t>Colonne920</t>
  </si>
  <si>
    <t>Colonne921</t>
  </si>
  <si>
    <t>Colonne922</t>
  </si>
  <si>
    <t>Colonne923</t>
  </si>
  <si>
    <t>Colonne924</t>
  </si>
  <si>
    <t>Colonne925</t>
  </si>
  <si>
    <t>Colonne926</t>
  </si>
  <si>
    <t>Colonne927</t>
  </si>
  <si>
    <t>Colonne928</t>
  </si>
  <si>
    <t>Colonne929</t>
  </si>
  <si>
    <t>Colonne930</t>
  </si>
  <si>
    <t>Colonne931</t>
  </si>
  <si>
    <t>Colonne932</t>
  </si>
  <si>
    <t>Colonne933</t>
  </si>
  <si>
    <t>Colonne934</t>
  </si>
  <si>
    <t>Colonne935</t>
  </si>
  <si>
    <t>Colonne936</t>
  </si>
  <si>
    <t>Colonne937</t>
  </si>
  <si>
    <t>Colonne938</t>
  </si>
  <si>
    <t>Colonne939</t>
  </si>
  <si>
    <t>Colonne940</t>
  </si>
  <si>
    <t>Colonne941</t>
  </si>
  <si>
    <t>Colonne942</t>
  </si>
  <si>
    <t>Colonne943</t>
  </si>
  <si>
    <t>Colonne944</t>
  </si>
  <si>
    <t>Colonne945</t>
  </si>
  <si>
    <t>Colonne946</t>
  </si>
  <si>
    <t>Colonne947</t>
  </si>
  <si>
    <t>Colonne948</t>
  </si>
  <si>
    <t>Colonne949</t>
  </si>
  <si>
    <t>Colonne950</t>
  </si>
  <si>
    <t>Colonne951</t>
  </si>
  <si>
    <t>Colonne952</t>
  </si>
  <si>
    <t>Colonne953</t>
  </si>
  <si>
    <t>Colonne954</t>
  </si>
  <si>
    <t>Colonne955</t>
  </si>
  <si>
    <t>Colonne956</t>
  </si>
  <si>
    <t>Colonne957</t>
  </si>
  <si>
    <t>Colonne958</t>
  </si>
  <si>
    <t>Colonne959</t>
  </si>
  <si>
    <t>Colonne960</t>
  </si>
  <si>
    <t>Colonne961</t>
  </si>
  <si>
    <t>Colonne962</t>
  </si>
  <si>
    <t>Colonne963</t>
  </si>
  <si>
    <t>Colonne964</t>
  </si>
  <si>
    <t>Colonne965</t>
  </si>
  <si>
    <t>Colonne966</t>
  </si>
  <si>
    <t>Colonne967</t>
  </si>
  <si>
    <t>Colonne968</t>
  </si>
  <si>
    <t>Colonne969</t>
  </si>
  <si>
    <t>Colonne970</t>
  </si>
  <si>
    <t>Colonne971</t>
  </si>
  <si>
    <t>Colonne972</t>
  </si>
  <si>
    <t>Colonne973</t>
  </si>
  <si>
    <t>Colonne974</t>
  </si>
  <si>
    <t>Colonne975</t>
  </si>
  <si>
    <t>Colonne976</t>
  </si>
  <si>
    <t>Colonne977</t>
  </si>
  <si>
    <t>Colonne978</t>
  </si>
  <si>
    <t>Colonne979</t>
  </si>
  <si>
    <t>Colonne980</t>
  </si>
  <si>
    <t>Colonne981</t>
  </si>
  <si>
    <t>Colonne982</t>
  </si>
  <si>
    <t>Colonne983</t>
  </si>
  <si>
    <t>Colonne984</t>
  </si>
  <si>
    <t>Colonne985</t>
  </si>
  <si>
    <t>Colonne986</t>
  </si>
  <si>
    <t>Colonne987</t>
  </si>
  <si>
    <t>Colonne988</t>
  </si>
  <si>
    <t>Colonne989</t>
  </si>
  <si>
    <t>Colonne990</t>
  </si>
  <si>
    <t>Colonne991</t>
  </si>
  <si>
    <t>Colonne992</t>
  </si>
  <si>
    <t>Colonne993</t>
  </si>
  <si>
    <t>Colonne994</t>
  </si>
  <si>
    <t>Colonne995</t>
  </si>
  <si>
    <t>Colonne996</t>
  </si>
  <si>
    <t>Colonne997</t>
  </si>
  <si>
    <t>Colonne998</t>
  </si>
  <si>
    <t>Colonne999</t>
  </si>
  <si>
    <t>Colonne1000</t>
  </si>
  <si>
    <t>Colonne1001</t>
  </si>
  <si>
    <t>Colonne1002</t>
  </si>
  <si>
    <t>Colonne1003</t>
  </si>
  <si>
    <t>Colonne1004</t>
  </si>
  <si>
    <t>Colonne1005</t>
  </si>
  <si>
    <t>Colonne1006</t>
  </si>
  <si>
    <t>Colonne1007</t>
  </si>
  <si>
    <t>Colonne1008</t>
  </si>
  <si>
    <t>Colonne1009</t>
  </si>
  <si>
    <t>Colonne1010</t>
  </si>
  <si>
    <t>Colonne1011</t>
  </si>
  <si>
    <t>Colonne1012</t>
  </si>
  <si>
    <t>Colonne1013</t>
  </si>
  <si>
    <t>Colonne1014</t>
  </si>
  <si>
    <t>Colonne1015</t>
  </si>
  <si>
    <t>Colonne1016</t>
  </si>
  <si>
    <t>Colonne1017</t>
  </si>
  <si>
    <t>Colonne1018</t>
  </si>
  <si>
    <t>Colonne1019</t>
  </si>
  <si>
    <t>Colonne1020</t>
  </si>
  <si>
    <t>Colonne1021</t>
  </si>
  <si>
    <t>Colonne1022</t>
  </si>
  <si>
    <t>Colonne1023</t>
  </si>
  <si>
    <t>Colonne1024</t>
  </si>
  <si>
    <t>Colonne1025</t>
  </si>
  <si>
    <t>Colonne1026</t>
  </si>
  <si>
    <t>Colonne1027</t>
  </si>
  <si>
    <t>Colonne1028</t>
  </si>
  <si>
    <t>Colonne1029</t>
  </si>
  <si>
    <t>Colonne1030</t>
  </si>
  <si>
    <t>Colonne1031</t>
  </si>
  <si>
    <t>Colonne1032</t>
  </si>
  <si>
    <t>Colonne1033</t>
  </si>
  <si>
    <t>Colonne1034</t>
  </si>
  <si>
    <t>Colonne1035</t>
  </si>
  <si>
    <t>Colonne1036</t>
  </si>
  <si>
    <t>Colonne1037</t>
  </si>
  <si>
    <t>Colonne1038</t>
  </si>
  <si>
    <t>Colonne1039</t>
  </si>
  <si>
    <t>Colonne1040</t>
  </si>
  <si>
    <t>Colonne1041</t>
  </si>
  <si>
    <t>Colonne1042</t>
  </si>
  <si>
    <t>Colonne1043</t>
  </si>
  <si>
    <t>Colonne1044</t>
  </si>
  <si>
    <t>Colonne1045</t>
  </si>
  <si>
    <t>Colonne1046</t>
  </si>
  <si>
    <t>Colonne1047</t>
  </si>
  <si>
    <t>Colonne1048</t>
  </si>
  <si>
    <t>Colonne1049</t>
  </si>
  <si>
    <t>Colonne1050</t>
  </si>
  <si>
    <t>Colonne1051</t>
  </si>
  <si>
    <t>Colonne1052</t>
  </si>
  <si>
    <t>Colonne1053</t>
  </si>
  <si>
    <t>Colonne1054</t>
  </si>
  <si>
    <t>Colonne1055</t>
  </si>
  <si>
    <t>Colonne1056</t>
  </si>
  <si>
    <t>Colonne1057</t>
  </si>
  <si>
    <t>Colonne1058</t>
  </si>
  <si>
    <t>Colonne1059</t>
  </si>
  <si>
    <t>Colonne1060</t>
  </si>
  <si>
    <t>Colonne1061</t>
  </si>
  <si>
    <t>Colonne1062</t>
  </si>
  <si>
    <t>Colonne1063</t>
  </si>
  <si>
    <t>Colonne1064</t>
  </si>
  <si>
    <t>Colonne1065</t>
  </si>
  <si>
    <t>Colonne1066</t>
  </si>
  <si>
    <t>Colonne1067</t>
  </si>
  <si>
    <t>Colonne1068</t>
  </si>
  <si>
    <t>Colonne1069</t>
  </si>
  <si>
    <t>Colonne1070</t>
  </si>
  <si>
    <t>Colonne1071</t>
  </si>
  <si>
    <t>Colonne1072</t>
  </si>
  <si>
    <t>Colonne1073</t>
  </si>
  <si>
    <t>Colonne1074</t>
  </si>
  <si>
    <t>Colonne1075</t>
  </si>
  <si>
    <t>Colonne1076</t>
  </si>
  <si>
    <t>Colonne1077</t>
  </si>
  <si>
    <t>Colonne1078</t>
  </si>
  <si>
    <t>Colonne1079</t>
  </si>
  <si>
    <t>Colonne1080</t>
  </si>
  <si>
    <t>Colonne1081</t>
  </si>
  <si>
    <t>Colonne1082</t>
  </si>
  <si>
    <t>Colonne1083</t>
  </si>
  <si>
    <t>Colonne1084</t>
  </si>
  <si>
    <t>Colonne1085</t>
  </si>
  <si>
    <t>Colonne1086</t>
  </si>
  <si>
    <t>Colonne1087</t>
  </si>
  <si>
    <t>Colonne1088</t>
  </si>
  <si>
    <t>Colonne1089</t>
  </si>
  <si>
    <t>Colonne1090</t>
  </si>
  <si>
    <t>Colonne1091</t>
  </si>
  <si>
    <t>Colonne1092</t>
  </si>
  <si>
    <t>Colonne1093</t>
  </si>
  <si>
    <t>Colonne1094</t>
  </si>
  <si>
    <t>Colonne1095</t>
  </si>
  <si>
    <t>Colonne1096</t>
  </si>
  <si>
    <t>Colonne1097</t>
  </si>
  <si>
    <t>Colonne1098</t>
  </si>
  <si>
    <t>Colonne1099</t>
  </si>
  <si>
    <t>Colonne1100</t>
  </si>
  <si>
    <t>Colonne1101</t>
  </si>
  <si>
    <t>Colonne1102</t>
  </si>
  <si>
    <t>Colonne1103</t>
  </si>
  <si>
    <t>Colonne1104</t>
  </si>
  <si>
    <t>Colonne1105</t>
  </si>
  <si>
    <t>Colonne1106</t>
  </si>
  <si>
    <t>Colonne1107</t>
  </si>
  <si>
    <t>Colonne1108</t>
  </si>
  <si>
    <t>Colonne1109</t>
  </si>
  <si>
    <t>Colonne1110</t>
  </si>
  <si>
    <t>Colonne1111</t>
  </si>
  <si>
    <t>Colonne1112</t>
  </si>
  <si>
    <t>Colonne1113</t>
  </si>
  <si>
    <t>Colonne1114</t>
  </si>
  <si>
    <t>Colonne1115</t>
  </si>
  <si>
    <t>Colonne1116</t>
  </si>
  <si>
    <t>Colonne1117</t>
  </si>
  <si>
    <t>Colonne1118</t>
  </si>
  <si>
    <t>Colonne1119</t>
  </si>
  <si>
    <t>Colonne1120</t>
  </si>
  <si>
    <t>Colonne1121</t>
  </si>
  <si>
    <t>Colonne1122</t>
  </si>
  <si>
    <t>Colonne1123</t>
  </si>
  <si>
    <t>Colonne1124</t>
  </si>
  <si>
    <t>Colonne1125</t>
  </si>
  <si>
    <t>Colonne1126</t>
  </si>
  <si>
    <t>Colonne1127</t>
  </si>
  <si>
    <t>Colonne1128</t>
  </si>
  <si>
    <t>Colonne1129</t>
  </si>
  <si>
    <t>Colonne1130</t>
  </si>
  <si>
    <t>Colonne1131</t>
  </si>
  <si>
    <t>Colonne1132</t>
  </si>
  <si>
    <t>Colonne1133</t>
  </si>
  <si>
    <t>Colonne1134</t>
  </si>
  <si>
    <t>Colonne1135</t>
  </si>
  <si>
    <t>Colonne1136</t>
  </si>
  <si>
    <t>Colonne1137</t>
  </si>
  <si>
    <t>Colonne1138</t>
  </si>
  <si>
    <t>Colonne1139</t>
  </si>
  <si>
    <t>Colonne1140</t>
  </si>
  <si>
    <t>Colonne1141</t>
  </si>
  <si>
    <t>Colonne1142</t>
  </si>
  <si>
    <t>Colonne1143</t>
  </si>
  <si>
    <t>Colonne1144</t>
  </si>
  <si>
    <t>Colonne1145</t>
  </si>
  <si>
    <t>Colonne1146</t>
  </si>
  <si>
    <t>Colonne1147</t>
  </si>
  <si>
    <t>Colonne1148</t>
  </si>
  <si>
    <t>Colonne1149</t>
  </si>
  <si>
    <t>Colonne1150</t>
  </si>
  <si>
    <t>Colonne1151</t>
  </si>
  <si>
    <t>Colonne1152</t>
  </si>
  <si>
    <t>Colonne1153</t>
  </si>
  <si>
    <t>Colonne1154</t>
  </si>
  <si>
    <t>Colonne1155</t>
  </si>
  <si>
    <t>Colonne1156</t>
  </si>
  <si>
    <t>Colonne1157</t>
  </si>
  <si>
    <t>Colonne1158</t>
  </si>
  <si>
    <t>Colonne1159</t>
  </si>
  <si>
    <t>Colonne1160</t>
  </si>
  <si>
    <t>Colonne1161</t>
  </si>
  <si>
    <t>Colonne1162</t>
  </si>
  <si>
    <t>Colonne1163</t>
  </si>
  <si>
    <t>Colonne1164</t>
  </si>
  <si>
    <t>Colonne1165</t>
  </si>
  <si>
    <t>Colonne1166</t>
  </si>
  <si>
    <t>Colonne1167</t>
  </si>
  <si>
    <t>Colonne1168</t>
  </si>
  <si>
    <t>Colonne1169</t>
  </si>
  <si>
    <t>Colonne1170</t>
  </si>
  <si>
    <t>Colonne1171</t>
  </si>
  <si>
    <t>Colonne1172</t>
  </si>
  <si>
    <t>Colonne1173</t>
  </si>
  <si>
    <t>Colonne1174</t>
  </si>
  <si>
    <t>Colonne1175</t>
  </si>
  <si>
    <t>Colonne1176</t>
  </si>
  <si>
    <t>Colonne1177</t>
  </si>
  <si>
    <t>Colonne1178</t>
  </si>
  <si>
    <t>Colonne1179</t>
  </si>
  <si>
    <t>Colonne1180</t>
  </si>
  <si>
    <t>Colonne1181</t>
  </si>
  <si>
    <t>Colonne1182</t>
  </si>
  <si>
    <t>Colonne1183</t>
  </si>
  <si>
    <t>Colonne1184</t>
  </si>
  <si>
    <t>Colonne1185</t>
  </si>
  <si>
    <t>Colonne1186</t>
  </si>
  <si>
    <t>Colonne1187</t>
  </si>
  <si>
    <t>Colonne1188</t>
  </si>
  <si>
    <t>Colonne1189</t>
  </si>
  <si>
    <t>Colonne1190</t>
  </si>
  <si>
    <t>Colonne1191</t>
  </si>
  <si>
    <t>Colonne1192</t>
  </si>
  <si>
    <t>Colonne1193</t>
  </si>
  <si>
    <t>Colonne1194</t>
  </si>
  <si>
    <t>Colonne1195</t>
  </si>
  <si>
    <t>Colonne1196</t>
  </si>
  <si>
    <t>Colonne1197</t>
  </si>
  <si>
    <t>Colonne1198</t>
  </si>
  <si>
    <t>Colonne1199</t>
  </si>
  <si>
    <t>Colonne1200</t>
  </si>
  <si>
    <t>Colonne1201</t>
  </si>
  <si>
    <t>Colonne1202</t>
  </si>
  <si>
    <t>Colonne1203</t>
  </si>
  <si>
    <t>Colonne1204</t>
  </si>
  <si>
    <t>Colonne1205</t>
  </si>
  <si>
    <t>Colonne1206</t>
  </si>
  <si>
    <t>Colonne1207</t>
  </si>
  <si>
    <t>Colonne1208</t>
  </si>
  <si>
    <t>Colonne1209</t>
  </si>
  <si>
    <t>Colonne1210</t>
  </si>
  <si>
    <t>Colonne1211</t>
  </si>
  <si>
    <t>Colonne1212</t>
  </si>
  <si>
    <t>Colonne1213</t>
  </si>
  <si>
    <t>Colonne1214</t>
  </si>
  <si>
    <t>Colonne1215</t>
  </si>
  <si>
    <t>Colonne1216</t>
  </si>
  <si>
    <t>Colonne1217</t>
  </si>
  <si>
    <t>Colonne1218</t>
  </si>
  <si>
    <t>Colonne1219</t>
  </si>
  <si>
    <t>Colonne1220</t>
  </si>
  <si>
    <t>Colonne1221</t>
  </si>
  <si>
    <t>Colonne1222</t>
  </si>
  <si>
    <t>Colonne1223</t>
  </si>
  <si>
    <t>Colonne1224</t>
  </si>
  <si>
    <t>Colonne1225</t>
  </si>
  <si>
    <t>Colonne1226</t>
  </si>
  <si>
    <t>Colonne1227</t>
  </si>
  <si>
    <t>Colonne1228</t>
  </si>
  <si>
    <t>Colonne1229</t>
  </si>
  <si>
    <t>Colonne1230</t>
  </si>
  <si>
    <t>Colonne1231</t>
  </si>
  <si>
    <t>Colonne1232</t>
  </si>
  <si>
    <t>Colonne1233</t>
  </si>
  <si>
    <t>Colonne1234</t>
  </si>
  <si>
    <t>Colonne1235</t>
  </si>
  <si>
    <t>Colonne1236</t>
  </si>
  <si>
    <t>Colonne1237</t>
  </si>
  <si>
    <t>Colonne1238</t>
  </si>
  <si>
    <t>Colonne1239</t>
  </si>
  <si>
    <t>Colonne1240</t>
  </si>
  <si>
    <t>Colonne1241</t>
  </si>
  <si>
    <t>Colonne1242</t>
  </si>
  <si>
    <t>Colonne1243</t>
  </si>
  <si>
    <t>Colonne1244</t>
  </si>
  <si>
    <t>Colonne1245</t>
  </si>
  <si>
    <t>Colonne1246</t>
  </si>
  <si>
    <t>Colonne1247</t>
  </si>
  <si>
    <t>Colonne1248</t>
  </si>
  <si>
    <t>Colonne1249</t>
  </si>
  <si>
    <t>Colonne1250</t>
  </si>
  <si>
    <t>Colonne1251</t>
  </si>
  <si>
    <t>Colonne1252</t>
  </si>
  <si>
    <t>Colonne1253</t>
  </si>
  <si>
    <t>Colonne1254</t>
  </si>
  <si>
    <t>Colonne1255</t>
  </si>
  <si>
    <t>Colonne1256</t>
  </si>
  <si>
    <t>Colonne1257</t>
  </si>
  <si>
    <t>Colonne1258</t>
  </si>
  <si>
    <t>Colonne1259</t>
  </si>
  <si>
    <t>Colonne1260</t>
  </si>
  <si>
    <t>Colonne1261</t>
  </si>
  <si>
    <t>Colonne1262</t>
  </si>
  <si>
    <t>Colonne1263</t>
  </si>
  <si>
    <t>Colonne1264</t>
  </si>
  <si>
    <t>Colonne1265</t>
  </si>
  <si>
    <t>Colonne1266</t>
  </si>
  <si>
    <t>Colonne1267</t>
  </si>
  <si>
    <t>Colonne1268</t>
  </si>
  <si>
    <t>Colonne1269</t>
  </si>
  <si>
    <t>Colonne1270</t>
  </si>
  <si>
    <t>Colonne1271</t>
  </si>
  <si>
    <t>Colonne1272</t>
  </si>
  <si>
    <t>Colonne1273</t>
  </si>
  <si>
    <t>Colonne1274</t>
  </si>
  <si>
    <t>Colonne1275</t>
  </si>
  <si>
    <t>Colonne1276</t>
  </si>
  <si>
    <t>Colonne1277</t>
  </si>
  <si>
    <t>Colonne1278</t>
  </si>
  <si>
    <t>Colonne1279</t>
  </si>
  <si>
    <t>Colonne1280</t>
  </si>
  <si>
    <t>Colonne1281</t>
  </si>
  <si>
    <t>Colonne1282</t>
  </si>
  <si>
    <t>Colonne1283</t>
  </si>
  <si>
    <t>Colonne1284</t>
  </si>
  <si>
    <t>Colonne1285</t>
  </si>
  <si>
    <t>Colonne1286</t>
  </si>
  <si>
    <t>Colonne1287</t>
  </si>
  <si>
    <t>Colonne1288</t>
  </si>
  <si>
    <t>Colonne1289</t>
  </si>
  <si>
    <t>Colonne1290</t>
  </si>
  <si>
    <t>Colonne1291</t>
  </si>
  <si>
    <t>Colonne1292</t>
  </si>
  <si>
    <t>Colonne1293</t>
  </si>
  <si>
    <t>Colonne1294</t>
  </si>
  <si>
    <t>Colonne1295</t>
  </si>
  <si>
    <t>Colonne1296</t>
  </si>
  <si>
    <t>Colonne1297</t>
  </si>
  <si>
    <t>Colonne1298</t>
  </si>
  <si>
    <t>Colonne1299</t>
  </si>
  <si>
    <t>Colonne1300</t>
  </si>
  <si>
    <t>Colonne1301</t>
  </si>
  <si>
    <t>Colonne1302</t>
  </si>
  <si>
    <t>Colonne1303</t>
  </si>
  <si>
    <t>Colonne1304</t>
  </si>
  <si>
    <t>Colonne1305</t>
  </si>
  <si>
    <t>Colonne1306</t>
  </si>
  <si>
    <t>Colonne1307</t>
  </si>
  <si>
    <t>Colonne1308</t>
  </si>
  <si>
    <t>Colonne1309</t>
  </si>
  <si>
    <t>Colonne1310</t>
  </si>
  <si>
    <t>Colonne1311</t>
  </si>
  <si>
    <t>Colonne1312</t>
  </si>
  <si>
    <t>Colonne1313</t>
  </si>
  <si>
    <t>Colonne1314</t>
  </si>
  <si>
    <t>Colonne1315</t>
  </si>
  <si>
    <t>Colonne1316</t>
  </si>
  <si>
    <t>Colonne1317</t>
  </si>
  <si>
    <t>Colonne1318</t>
  </si>
  <si>
    <t>Colonne1319</t>
  </si>
  <si>
    <t>Colonne1320</t>
  </si>
  <si>
    <t>Colonne1321</t>
  </si>
  <si>
    <t>Colonne1322</t>
  </si>
  <si>
    <t>Colonne1323</t>
  </si>
  <si>
    <t>Colonne1324</t>
  </si>
  <si>
    <t>Colonne1325</t>
  </si>
  <si>
    <t>Colonne1326</t>
  </si>
  <si>
    <t>Colonne1327</t>
  </si>
  <si>
    <t>Colonne1328</t>
  </si>
  <si>
    <t>Colonne1329</t>
  </si>
  <si>
    <t>Colonne1330</t>
  </si>
  <si>
    <t>Colonne1331</t>
  </si>
  <si>
    <t>Colonne1332</t>
  </si>
  <si>
    <t>Colonne1333</t>
  </si>
  <si>
    <t>Colonne1334</t>
  </si>
  <si>
    <t>Colonne1335</t>
  </si>
  <si>
    <t>Colonne1336</t>
  </si>
  <si>
    <t>Colonne1337</t>
  </si>
  <si>
    <t>Colonne1338</t>
  </si>
  <si>
    <t>Colonne1339</t>
  </si>
  <si>
    <t>Colonne1340</t>
  </si>
  <si>
    <t>Colonne1341</t>
  </si>
  <si>
    <t>Colonne1342</t>
  </si>
  <si>
    <t>Colonne1343</t>
  </si>
  <si>
    <t>Colonne1344</t>
  </si>
  <si>
    <t>Colonne1345</t>
  </si>
  <si>
    <t>Colonne1346</t>
  </si>
  <si>
    <t>Colonne1347</t>
  </si>
  <si>
    <t>Colonne1348</t>
  </si>
  <si>
    <t>Colonne1349</t>
  </si>
  <si>
    <t>Colonne1350</t>
  </si>
  <si>
    <t>Colonne1351</t>
  </si>
  <si>
    <t>Colonne1352</t>
  </si>
  <si>
    <t>Colonne1353</t>
  </si>
  <si>
    <t>Colonne1354</t>
  </si>
  <si>
    <t>Colonne1355</t>
  </si>
  <si>
    <t>Colonne1356</t>
  </si>
  <si>
    <t>Colonne1357</t>
  </si>
  <si>
    <t>Colonne1358</t>
  </si>
  <si>
    <t>Colonne1359</t>
  </si>
  <si>
    <t>Colonne1360</t>
  </si>
  <si>
    <t>Colonne1361</t>
  </si>
  <si>
    <t>Colonne1362</t>
  </si>
  <si>
    <t>Colonne1363</t>
  </si>
  <si>
    <t>Colonne1364</t>
  </si>
  <si>
    <t>Colonne1365</t>
  </si>
  <si>
    <t>Colonne1366</t>
  </si>
  <si>
    <t>Colonne1367</t>
  </si>
  <si>
    <t>Colonne1368</t>
  </si>
  <si>
    <t>Colonne1369</t>
  </si>
  <si>
    <t>Colonne1370</t>
  </si>
  <si>
    <t>Colonne1371</t>
  </si>
  <si>
    <t>Colonne1372</t>
  </si>
  <si>
    <t>Colonne1373</t>
  </si>
  <si>
    <t>Colonne1374</t>
  </si>
  <si>
    <t>Colonne1375</t>
  </si>
  <si>
    <t>Colonne1376</t>
  </si>
  <si>
    <t>Colonne1377</t>
  </si>
  <si>
    <t>Colonne1378</t>
  </si>
  <si>
    <t>Colonne1379</t>
  </si>
  <si>
    <t>Colonne1380</t>
  </si>
  <si>
    <t>Colonne1381</t>
  </si>
  <si>
    <t>Colonne1382</t>
  </si>
  <si>
    <t>Colonne1383</t>
  </si>
  <si>
    <t>Colonne1384</t>
  </si>
  <si>
    <t>Colonne1385</t>
  </si>
  <si>
    <t>Colonne1386</t>
  </si>
  <si>
    <t>Colonne1387</t>
  </si>
  <si>
    <t>Colonne1388</t>
  </si>
  <si>
    <t>Colonne1389</t>
  </si>
  <si>
    <t>Colonne1390</t>
  </si>
  <si>
    <t>Colonne1391</t>
  </si>
  <si>
    <t>Colonne1392</t>
  </si>
  <si>
    <t>Colonne1393</t>
  </si>
  <si>
    <t>Colonne1394</t>
  </si>
  <si>
    <t>Colonne1395</t>
  </si>
  <si>
    <t>Colonne1396</t>
  </si>
  <si>
    <t>Colonne1397</t>
  </si>
  <si>
    <t>Colonne1398</t>
  </si>
  <si>
    <t>Colonne1399</t>
  </si>
  <si>
    <t>Colonne1400</t>
  </si>
  <si>
    <t>Colonne1401</t>
  </si>
  <si>
    <t>Colonne1402</t>
  </si>
  <si>
    <t>Colonne1403</t>
  </si>
  <si>
    <t>Colonne1404</t>
  </si>
  <si>
    <t>Colonne1405</t>
  </si>
  <si>
    <t>Colonne1406</t>
  </si>
  <si>
    <t>Colonne1407</t>
  </si>
  <si>
    <t>Colonne1408</t>
  </si>
  <si>
    <t>Colonne1409</t>
  </si>
  <si>
    <t>Colonne1410</t>
  </si>
  <si>
    <t>Colonne1411</t>
  </si>
  <si>
    <t>Colonne1412</t>
  </si>
  <si>
    <t>Colonne1413</t>
  </si>
  <si>
    <t>Colonne1414</t>
  </si>
  <si>
    <t>Colonne1415</t>
  </si>
  <si>
    <t>Colonne1416</t>
  </si>
  <si>
    <t>Colonne1417</t>
  </si>
  <si>
    <t>Colonne1418</t>
  </si>
  <si>
    <t>Colonne1419</t>
  </si>
  <si>
    <t>Colonne1420</t>
  </si>
  <si>
    <t>Colonne1421</t>
  </si>
  <si>
    <t>Colonne1422</t>
  </si>
  <si>
    <t>Colonne1423</t>
  </si>
  <si>
    <t>Colonne1424</t>
  </si>
  <si>
    <t>Colonne1425</t>
  </si>
  <si>
    <t>Colonne1426</t>
  </si>
  <si>
    <t>Colonne1427</t>
  </si>
  <si>
    <t>Colonne1428</t>
  </si>
  <si>
    <t>Colonne1429</t>
  </si>
  <si>
    <t>Colonne1430</t>
  </si>
  <si>
    <t>Colonne1431</t>
  </si>
  <si>
    <t>Colonne1432</t>
  </si>
  <si>
    <t>Colonne1433</t>
  </si>
  <si>
    <t>Colonne1434</t>
  </si>
  <si>
    <t>Colonne1435</t>
  </si>
  <si>
    <t>Colonne1436</t>
  </si>
  <si>
    <t>Colonne1437</t>
  </si>
  <si>
    <t>Colonne1438</t>
  </si>
  <si>
    <t>Colonne1439</t>
  </si>
  <si>
    <t>Colonne1440</t>
  </si>
  <si>
    <t>Colonne1441</t>
  </si>
  <si>
    <t>Colonne1442</t>
  </si>
  <si>
    <t>Colonne1443</t>
  </si>
  <si>
    <t>Colonne1444</t>
  </si>
  <si>
    <t>Colonne1445</t>
  </si>
  <si>
    <t>Colonne1446</t>
  </si>
  <si>
    <t>Colonne1447</t>
  </si>
  <si>
    <t>Colonne1448</t>
  </si>
  <si>
    <t>Colonne1449</t>
  </si>
  <si>
    <t>Colonne1450</t>
  </si>
  <si>
    <t>Colonne1451</t>
  </si>
  <si>
    <t>Colonne1452</t>
  </si>
  <si>
    <t>Colonne1453</t>
  </si>
  <si>
    <t>Colonne1454</t>
  </si>
  <si>
    <t>Colonne1455</t>
  </si>
  <si>
    <t>Colonne1456</t>
  </si>
  <si>
    <t>Colonne1457</t>
  </si>
  <si>
    <t>Colonne1458</t>
  </si>
  <si>
    <t>Colonne1459</t>
  </si>
  <si>
    <t>Colonne1460</t>
  </si>
  <si>
    <t>Colonne1461</t>
  </si>
  <si>
    <t>Colonne1462</t>
  </si>
  <si>
    <t>Colonne1463</t>
  </si>
  <si>
    <t>Colonne1464</t>
  </si>
  <si>
    <t>Colonne1465</t>
  </si>
  <si>
    <t>Colonne1466</t>
  </si>
  <si>
    <t>Colonne1467</t>
  </si>
  <si>
    <t>Colonne1468</t>
  </si>
  <si>
    <t>Colonne1469</t>
  </si>
  <si>
    <t>Colonne1470</t>
  </si>
  <si>
    <t>Colonne1471</t>
  </si>
  <si>
    <t>Colonne1472</t>
  </si>
  <si>
    <t>Colonne1473</t>
  </si>
  <si>
    <t>Colonne1474</t>
  </si>
  <si>
    <t>Colonne1475</t>
  </si>
  <si>
    <t>Colonne1476</t>
  </si>
  <si>
    <t>Colonne1477</t>
  </si>
  <si>
    <t>Colonne1478</t>
  </si>
  <si>
    <t>Colonne1479</t>
  </si>
  <si>
    <t>Colonne1480</t>
  </si>
  <si>
    <t>Colonne1481</t>
  </si>
  <si>
    <t>Colonne1482</t>
  </si>
  <si>
    <t>Colonne1483</t>
  </si>
  <si>
    <t>Colonne1484</t>
  </si>
  <si>
    <t>Colonne1485</t>
  </si>
  <si>
    <t>Colonne1486</t>
  </si>
  <si>
    <t>Colonne1487</t>
  </si>
  <si>
    <t>Colonne1488</t>
  </si>
  <si>
    <t>Colonne1489</t>
  </si>
  <si>
    <t>Colonne1490</t>
  </si>
  <si>
    <t>Colonne1491</t>
  </si>
  <si>
    <t>Colonne1492</t>
  </si>
  <si>
    <t>Colonne1493</t>
  </si>
  <si>
    <t>Colonne1494</t>
  </si>
  <si>
    <t>Colonne1495</t>
  </si>
  <si>
    <t>Colonne1496</t>
  </si>
  <si>
    <t>Colonne1497</t>
  </si>
  <si>
    <t>Colonne1498</t>
  </si>
  <si>
    <t>Colonne1499</t>
  </si>
  <si>
    <t>Colonne1500</t>
  </si>
  <si>
    <t>Colonne1501</t>
  </si>
  <si>
    <t>Colonne1502</t>
  </si>
  <si>
    <t>Colonne1503</t>
  </si>
  <si>
    <t>Colonne1504</t>
  </si>
  <si>
    <t>Colonne1505</t>
  </si>
  <si>
    <t>Colonne1506</t>
  </si>
  <si>
    <t>Colonne1507</t>
  </si>
  <si>
    <t>Colonne1508</t>
  </si>
  <si>
    <t>Colonne1509</t>
  </si>
  <si>
    <t>Colonne1510</t>
  </si>
  <si>
    <t>Colonne1511</t>
  </si>
  <si>
    <t>Colonne1512</t>
  </si>
  <si>
    <t>Colonne1513</t>
  </si>
  <si>
    <t>Colonne1514</t>
  </si>
  <si>
    <t>Colonne1515</t>
  </si>
  <si>
    <t>Colonne1516</t>
  </si>
  <si>
    <t>Colonne1517</t>
  </si>
  <si>
    <t>Colonne1518</t>
  </si>
  <si>
    <t>Colonne1519</t>
  </si>
  <si>
    <t>Colonne1520</t>
  </si>
  <si>
    <t>Colonne1521</t>
  </si>
  <si>
    <t>Colonne1522</t>
  </si>
  <si>
    <t>Colonne1523</t>
  </si>
  <si>
    <t>Colonne1524</t>
  </si>
  <si>
    <t>Colonne1525</t>
  </si>
  <si>
    <t>Colonne1526</t>
  </si>
  <si>
    <t>Colonne1527</t>
  </si>
  <si>
    <t>Colonne1528</t>
  </si>
  <si>
    <t>Colonne1529</t>
  </si>
  <si>
    <t>Colonne1530</t>
  </si>
  <si>
    <t>Colonne1531</t>
  </si>
  <si>
    <t>Colonne1532</t>
  </si>
  <si>
    <t>Colonne1533</t>
  </si>
  <si>
    <t>Colonne1534</t>
  </si>
  <si>
    <t>Colonne1535</t>
  </si>
  <si>
    <t>Colonne1536</t>
  </si>
  <si>
    <t>Colonne1537</t>
  </si>
  <si>
    <t>Colonne1538</t>
  </si>
  <si>
    <t>Colonne1539</t>
  </si>
  <si>
    <t>Colonne1540</t>
  </si>
  <si>
    <t>Colonne1541</t>
  </si>
  <si>
    <t>Colonne1542</t>
  </si>
  <si>
    <t>Colonne1543</t>
  </si>
  <si>
    <t>Colonne1544</t>
  </si>
  <si>
    <t>Colonne1545</t>
  </si>
  <si>
    <t>Colonne1546</t>
  </si>
  <si>
    <t>Colonne1547</t>
  </si>
  <si>
    <t>Colonne1548</t>
  </si>
  <si>
    <t>Colonne1549</t>
  </si>
  <si>
    <t>Colonne1550</t>
  </si>
  <si>
    <t>Colonne1551</t>
  </si>
  <si>
    <t>Colonne1552</t>
  </si>
  <si>
    <t>Colonne1553</t>
  </si>
  <si>
    <t>Colonne1554</t>
  </si>
  <si>
    <t>Colonne1555</t>
  </si>
  <si>
    <t>Colonne1556</t>
  </si>
  <si>
    <t>Colonne1557</t>
  </si>
  <si>
    <t>Colonne1558</t>
  </si>
  <si>
    <t>Colonne1559</t>
  </si>
  <si>
    <t>Colonne1560</t>
  </si>
  <si>
    <t>Colonne1561</t>
  </si>
  <si>
    <t>Colonne1562</t>
  </si>
  <si>
    <t>Colonne1563</t>
  </si>
  <si>
    <t>Colonne1564</t>
  </si>
  <si>
    <t>Colonne1565</t>
  </si>
  <si>
    <t>Colonne1566</t>
  </si>
  <si>
    <t>Colonne1567</t>
  </si>
  <si>
    <t>Colonne1568</t>
  </si>
  <si>
    <t>Colonne1569</t>
  </si>
  <si>
    <t>Colonne1570</t>
  </si>
  <si>
    <t>Colonne1571</t>
  </si>
  <si>
    <t>Colonne1572</t>
  </si>
  <si>
    <t>Colonne1573</t>
  </si>
  <si>
    <t>Colonne1574</t>
  </si>
  <si>
    <t>Colonne1575</t>
  </si>
  <si>
    <t>Colonne1576</t>
  </si>
  <si>
    <t>Colonne1577</t>
  </si>
  <si>
    <t>Colonne1578</t>
  </si>
  <si>
    <t>Colonne1579</t>
  </si>
  <si>
    <t>Colonne1580</t>
  </si>
  <si>
    <t>Colonne1581</t>
  </si>
  <si>
    <t>Colonne1582</t>
  </si>
  <si>
    <t>Colonne1583</t>
  </si>
  <si>
    <t>Colonne1584</t>
  </si>
  <si>
    <t>Colonne1585</t>
  </si>
  <si>
    <t>Colonne1586</t>
  </si>
  <si>
    <t>Colonne1587</t>
  </si>
  <si>
    <t>Colonne1588</t>
  </si>
  <si>
    <t>Colonne1589</t>
  </si>
  <si>
    <t>Colonne1590</t>
  </si>
  <si>
    <t>Colonne1591</t>
  </si>
  <si>
    <t>Colonne1592</t>
  </si>
  <si>
    <t>Colonne1593</t>
  </si>
  <si>
    <t>Colonne1594</t>
  </si>
  <si>
    <t>Colonne1595</t>
  </si>
  <si>
    <t>Colonne1596</t>
  </si>
  <si>
    <t>Colonne1597</t>
  </si>
  <si>
    <t>Colonne1598</t>
  </si>
  <si>
    <t>Colonne1599</t>
  </si>
  <si>
    <t>Colonne1600</t>
  </si>
  <si>
    <t>Colonne1601</t>
  </si>
  <si>
    <t>Colonne1602</t>
  </si>
  <si>
    <t>Colonne1603</t>
  </si>
  <si>
    <t>Colonne1604</t>
  </si>
  <si>
    <t>Colonne1605</t>
  </si>
  <si>
    <t>Colonne1606</t>
  </si>
  <si>
    <t>Colonne1607</t>
  </si>
  <si>
    <t>Colonne1608</t>
  </si>
  <si>
    <t>Colonne1609</t>
  </si>
  <si>
    <t>Colonne1610</t>
  </si>
  <si>
    <t>Colonne1611</t>
  </si>
  <si>
    <t>Colonne1612</t>
  </si>
  <si>
    <t>Colonne1613</t>
  </si>
  <si>
    <t>Colonne1614</t>
  </si>
  <si>
    <t>Colonne1615</t>
  </si>
  <si>
    <t>Colonne1616</t>
  </si>
  <si>
    <t>Colonne1617</t>
  </si>
  <si>
    <t>Colonne1618</t>
  </si>
  <si>
    <t>Colonne1619</t>
  </si>
  <si>
    <t>Colonne1620</t>
  </si>
  <si>
    <t>Colonne1621</t>
  </si>
  <si>
    <t>Colonne1622</t>
  </si>
  <si>
    <t>Colonne1623</t>
  </si>
  <si>
    <t>Colonne1624</t>
  </si>
  <si>
    <t>Colonne1625</t>
  </si>
  <si>
    <t>Colonne1626</t>
  </si>
  <si>
    <t>Colonne1627</t>
  </si>
  <si>
    <t>Colonne1628</t>
  </si>
  <si>
    <t>Colonne1629</t>
  </si>
  <si>
    <t>Colonne1630</t>
  </si>
  <si>
    <t>Colonne1631</t>
  </si>
  <si>
    <t>Colonne1632</t>
  </si>
  <si>
    <t>Colonne1633</t>
  </si>
  <si>
    <t>Colonne1634</t>
  </si>
  <si>
    <t>Colonne1635</t>
  </si>
  <si>
    <t>Colonne1636</t>
  </si>
  <si>
    <t>Colonne1637</t>
  </si>
  <si>
    <t>Colonne1638</t>
  </si>
  <si>
    <t>Colonne1639</t>
  </si>
  <si>
    <t>Colonne1640</t>
  </si>
  <si>
    <t>Colonne1641</t>
  </si>
  <si>
    <t>Colonne1642</t>
  </si>
  <si>
    <t>Colonne1643</t>
  </si>
  <si>
    <t>Colonne1644</t>
  </si>
  <si>
    <t>Colonne1645</t>
  </si>
  <si>
    <t>Colonne1646</t>
  </si>
  <si>
    <t>Colonne1647</t>
  </si>
  <si>
    <t>Colonne1648</t>
  </si>
  <si>
    <t>Colonne1649</t>
  </si>
  <si>
    <t>Colonne1650</t>
  </si>
  <si>
    <t>Colonne1651</t>
  </si>
  <si>
    <t>Colonne1652</t>
  </si>
  <si>
    <t>Colonne1653</t>
  </si>
  <si>
    <t>Colonne1654</t>
  </si>
  <si>
    <t>Colonne1655</t>
  </si>
  <si>
    <t>Colonne1656</t>
  </si>
  <si>
    <t>Colonne1657</t>
  </si>
  <si>
    <t>Colonne1658</t>
  </si>
  <si>
    <t>Colonne1659</t>
  </si>
  <si>
    <t>Colonne1660</t>
  </si>
  <si>
    <t>Colonne1661</t>
  </si>
  <si>
    <t>Colonne1662</t>
  </si>
  <si>
    <t>Colonne1663</t>
  </si>
  <si>
    <t>Colonne1664</t>
  </si>
  <si>
    <t>Colonne1665</t>
  </si>
  <si>
    <t>Colonne1666</t>
  </si>
  <si>
    <t>Colonne1667</t>
  </si>
  <si>
    <t>Colonne1668</t>
  </si>
  <si>
    <t>Colonne1669</t>
  </si>
  <si>
    <t>Colonne1670</t>
  </si>
  <si>
    <t>Colonne1671</t>
  </si>
  <si>
    <t>Colonne1672</t>
  </si>
  <si>
    <t>Colonne1673</t>
  </si>
  <si>
    <t>Colonne1674</t>
  </si>
  <si>
    <t>Colonne1675</t>
  </si>
  <si>
    <t>Colonne1676</t>
  </si>
  <si>
    <t>Colonne1677</t>
  </si>
  <si>
    <t>Colonne1678</t>
  </si>
  <si>
    <t>Colonne1679</t>
  </si>
  <si>
    <t>Colonne1680</t>
  </si>
  <si>
    <t>Colonne1681</t>
  </si>
  <si>
    <t>Colonne1682</t>
  </si>
  <si>
    <t>Colonne1683</t>
  </si>
  <si>
    <t>Colonne1684</t>
  </si>
  <si>
    <t>Colonne1685</t>
  </si>
  <si>
    <t>Colonne1686</t>
  </si>
  <si>
    <t>Colonne1687</t>
  </si>
  <si>
    <t>Colonne1688</t>
  </si>
  <si>
    <t>Colonne1689</t>
  </si>
  <si>
    <t>Colonne1690</t>
  </si>
  <si>
    <t>Colonne1691</t>
  </si>
  <si>
    <t>Colonne1692</t>
  </si>
  <si>
    <t>Colonne1693</t>
  </si>
  <si>
    <t>Colonne1694</t>
  </si>
  <si>
    <t>Colonne1695</t>
  </si>
  <si>
    <t>Colonne1696</t>
  </si>
  <si>
    <t>Colonne1697</t>
  </si>
  <si>
    <t>Colonne1698</t>
  </si>
  <si>
    <t>Colonne1699</t>
  </si>
  <si>
    <t>Colonne1700</t>
  </si>
  <si>
    <t>Colonne1701</t>
  </si>
  <si>
    <t>Colonne1702</t>
  </si>
  <si>
    <t>Colonne1703</t>
  </si>
  <si>
    <t>Colonne1704</t>
  </si>
  <si>
    <t>Colonne1705</t>
  </si>
  <si>
    <t>Colonne1706</t>
  </si>
  <si>
    <t>Colonne1707</t>
  </si>
  <si>
    <t>Colonne1708</t>
  </si>
  <si>
    <t>Colonne1709</t>
  </si>
  <si>
    <t>Colonne1710</t>
  </si>
  <si>
    <t>Colonne1711</t>
  </si>
  <si>
    <t>Colonne1712</t>
  </si>
  <si>
    <t>Colonne1713</t>
  </si>
  <si>
    <t>Colonne1714</t>
  </si>
  <si>
    <t>Colonne1715</t>
  </si>
  <si>
    <t>Colonne1716</t>
  </si>
  <si>
    <t>Colonne1717</t>
  </si>
  <si>
    <t>Colonne1718</t>
  </si>
  <si>
    <t>Colonne1719</t>
  </si>
  <si>
    <t>Colonne1720</t>
  </si>
  <si>
    <t>Colonne1721</t>
  </si>
  <si>
    <t>Colonne1722</t>
  </si>
  <si>
    <t>Colonne1723</t>
  </si>
  <si>
    <t>Colonne1724</t>
  </si>
  <si>
    <t>Colonne1725</t>
  </si>
  <si>
    <t>Colonne1726</t>
  </si>
  <si>
    <t>Colonne1727</t>
  </si>
  <si>
    <t>Colonne1728</t>
  </si>
  <si>
    <t>Colonne1729</t>
  </si>
  <si>
    <t>Colonne1730</t>
  </si>
  <si>
    <t>Colonne1731</t>
  </si>
  <si>
    <t>Colonne1732</t>
  </si>
  <si>
    <t>Colonne1733</t>
  </si>
  <si>
    <t>Colonne1734</t>
  </si>
  <si>
    <t>Colonne1735</t>
  </si>
  <si>
    <t>Colonne1736</t>
  </si>
  <si>
    <t>Colonne1737</t>
  </si>
  <si>
    <t>Colonne1738</t>
  </si>
  <si>
    <t>Colonne1739</t>
  </si>
  <si>
    <t>Colonne1740</t>
  </si>
  <si>
    <t>Colonne1741</t>
  </si>
  <si>
    <t>Colonne1742</t>
  </si>
  <si>
    <t>Colonne1743</t>
  </si>
  <si>
    <t>Colonne1744</t>
  </si>
  <si>
    <t>Colonne1745</t>
  </si>
  <si>
    <t>Colonne1746</t>
  </si>
  <si>
    <t>Colonne1747</t>
  </si>
  <si>
    <t>Colonne1748</t>
  </si>
  <si>
    <t>Colonne1749</t>
  </si>
  <si>
    <t>Colonne1750</t>
  </si>
  <si>
    <t>Colonne1751</t>
  </si>
  <si>
    <t>Colonne1752</t>
  </si>
  <si>
    <t>Colonne1753</t>
  </si>
  <si>
    <t>Colonne1754</t>
  </si>
  <si>
    <t>Colonne1755</t>
  </si>
  <si>
    <t>Colonne1756</t>
  </si>
  <si>
    <t>Colonne1757</t>
  </si>
  <si>
    <t>Colonne1758</t>
  </si>
  <si>
    <t>Colonne1759</t>
  </si>
  <si>
    <t>Colonne1760</t>
  </si>
  <si>
    <t>Colonne1761</t>
  </si>
  <si>
    <t>Colonne1762</t>
  </si>
  <si>
    <t>Colonne1763</t>
  </si>
  <si>
    <t>Colonne1764</t>
  </si>
  <si>
    <t>Colonne1765</t>
  </si>
  <si>
    <t>Colonne1766</t>
  </si>
  <si>
    <t>Colonne1767</t>
  </si>
  <si>
    <t>Colonne1768</t>
  </si>
  <si>
    <t>Colonne1769</t>
  </si>
  <si>
    <t>Colonne1770</t>
  </si>
  <si>
    <t>Colonne1771</t>
  </si>
  <si>
    <t>Colonne1772</t>
  </si>
  <si>
    <t>Colonne1773</t>
  </si>
  <si>
    <t>Colonne1774</t>
  </si>
  <si>
    <t>Colonne1775</t>
  </si>
  <si>
    <t>Colonne1776</t>
  </si>
  <si>
    <t>Colonne1777</t>
  </si>
  <si>
    <t>Colonne1778</t>
  </si>
  <si>
    <t>Colonne1779</t>
  </si>
  <si>
    <t>Colonne1780</t>
  </si>
  <si>
    <t>Colonne1781</t>
  </si>
  <si>
    <t>Colonne1782</t>
  </si>
  <si>
    <t>Colonne1783</t>
  </si>
  <si>
    <t>Colonne1784</t>
  </si>
  <si>
    <t>Colonne1785</t>
  </si>
  <si>
    <t>Colonne1786</t>
  </si>
  <si>
    <t>Colonne1787</t>
  </si>
  <si>
    <t>Colonne1788</t>
  </si>
  <si>
    <t>Colonne1789</t>
  </si>
  <si>
    <t>Colonne1790</t>
  </si>
  <si>
    <t>Colonne1791</t>
  </si>
  <si>
    <t>Colonne1792</t>
  </si>
  <si>
    <t>Colonne1793</t>
  </si>
  <si>
    <t>Colonne1794</t>
  </si>
  <si>
    <t>Colonne1795</t>
  </si>
  <si>
    <t>Colonne1796</t>
  </si>
  <si>
    <t>Colonne1797</t>
  </si>
  <si>
    <t>Colonne1798</t>
  </si>
  <si>
    <t>Colonne1799</t>
  </si>
  <si>
    <t>Colonne1800</t>
  </si>
  <si>
    <t>Colonne1801</t>
  </si>
  <si>
    <t>Colonne1802</t>
  </si>
  <si>
    <t>Colonne1803</t>
  </si>
  <si>
    <t>Colonne1804</t>
  </si>
  <si>
    <t>Colonne1805</t>
  </si>
  <si>
    <t>Colonne1806</t>
  </si>
  <si>
    <t>Colonne1807</t>
  </si>
  <si>
    <t>Colonne1808</t>
  </si>
  <si>
    <t>Colonne1809</t>
  </si>
  <si>
    <t>Colonne1810</t>
  </si>
  <si>
    <t>Colonne1811</t>
  </si>
  <si>
    <t>Colonne1812</t>
  </si>
  <si>
    <t>Colonne1813</t>
  </si>
  <si>
    <t>Colonne1814</t>
  </si>
  <si>
    <t>Colonne1815</t>
  </si>
  <si>
    <t>Colonne1816</t>
  </si>
  <si>
    <t>Colonne1817</t>
  </si>
  <si>
    <t>Colonne1818</t>
  </si>
  <si>
    <t>Colonne1819</t>
  </si>
  <si>
    <t>Colonne1820</t>
  </si>
  <si>
    <t>Colonne1821</t>
  </si>
  <si>
    <t>Colonne1822</t>
  </si>
  <si>
    <t>Colonne1823</t>
  </si>
  <si>
    <t>Colonne1824</t>
  </si>
  <si>
    <t>Colonne1825</t>
  </si>
  <si>
    <t>Colonne1826</t>
  </si>
  <si>
    <t>Colonne1827</t>
  </si>
  <si>
    <t>Colonne1828</t>
  </si>
  <si>
    <t>Colonne1829</t>
  </si>
  <si>
    <t>Colonne1830</t>
  </si>
  <si>
    <t>Colonne1831</t>
  </si>
  <si>
    <t>Colonne1832</t>
  </si>
  <si>
    <t>Colonne1833</t>
  </si>
  <si>
    <t>Colonne1834</t>
  </si>
  <si>
    <t>Colonne1835</t>
  </si>
  <si>
    <t>Colonne1836</t>
  </si>
  <si>
    <t>Colonne1837</t>
  </si>
  <si>
    <t>Colonne1838</t>
  </si>
  <si>
    <t>Colonne1839</t>
  </si>
  <si>
    <t>Colonne1840</t>
  </si>
  <si>
    <t>Colonne1841</t>
  </si>
  <si>
    <t>Colonne1842</t>
  </si>
  <si>
    <t>Colonne1843</t>
  </si>
  <si>
    <t>Colonne1844</t>
  </si>
  <si>
    <t>Colonne1845</t>
  </si>
  <si>
    <t>Colonne1846</t>
  </si>
  <si>
    <t>Colonne1847</t>
  </si>
  <si>
    <t>Colonne1848</t>
  </si>
  <si>
    <t>Colonne1849</t>
  </si>
  <si>
    <t>Colonne1850</t>
  </si>
  <si>
    <t>Colonne1851</t>
  </si>
  <si>
    <t>Colonne1852</t>
  </si>
  <si>
    <t>Colonne1853</t>
  </si>
  <si>
    <t>Colonne1854</t>
  </si>
  <si>
    <t>Colonne1855</t>
  </si>
  <si>
    <t>Colonne1856</t>
  </si>
  <si>
    <t>Colonne1857</t>
  </si>
  <si>
    <t>Colonne1858</t>
  </si>
  <si>
    <t>Colonne1859</t>
  </si>
  <si>
    <t>Colonne1860</t>
  </si>
  <si>
    <t>Colonne1861</t>
  </si>
  <si>
    <t>Colonne1862</t>
  </si>
  <si>
    <t>Colonne1863</t>
  </si>
  <si>
    <t>Colonne1864</t>
  </si>
  <si>
    <t>Colonne1865</t>
  </si>
  <si>
    <t>Colonne1866</t>
  </si>
  <si>
    <t>Colonne1867</t>
  </si>
  <si>
    <t>Colonne1868</t>
  </si>
  <si>
    <t>Colonne1869</t>
  </si>
  <si>
    <t>Colonne1870</t>
  </si>
  <si>
    <t>Colonne1871</t>
  </si>
  <si>
    <t>Colonne1872</t>
  </si>
  <si>
    <t>Colonne1873</t>
  </si>
  <si>
    <t>Colonne1874</t>
  </si>
  <si>
    <t>Colonne1875</t>
  </si>
  <si>
    <t>Colonne1876</t>
  </si>
  <si>
    <t>Colonne1877</t>
  </si>
  <si>
    <t>Colonne1878</t>
  </si>
  <si>
    <t>Colonne1879</t>
  </si>
  <si>
    <t>Colonne1880</t>
  </si>
  <si>
    <t>Colonne1881</t>
  </si>
  <si>
    <t>Colonne1882</t>
  </si>
  <si>
    <t>Colonne1883</t>
  </si>
  <si>
    <t>Colonne1884</t>
  </si>
  <si>
    <t>Colonne1885</t>
  </si>
  <si>
    <t>Colonne1886</t>
  </si>
  <si>
    <t>Colonne1887</t>
  </si>
  <si>
    <t>Colonne1888</t>
  </si>
  <si>
    <t>Colonne1889</t>
  </si>
  <si>
    <t>Colonne1890</t>
  </si>
  <si>
    <t>Colonne1891</t>
  </si>
  <si>
    <t>Colonne1892</t>
  </si>
  <si>
    <t>Colonne1893</t>
  </si>
  <si>
    <t>Colonne1894</t>
  </si>
  <si>
    <t>Colonne1895</t>
  </si>
  <si>
    <t>Colonne1896</t>
  </si>
  <si>
    <t>Colonne1897</t>
  </si>
  <si>
    <t>Colonne1898</t>
  </si>
  <si>
    <t>Colonne1899</t>
  </si>
  <si>
    <t>Colonne1900</t>
  </si>
  <si>
    <t>Colonne1901</t>
  </si>
  <si>
    <t>Colonne1902</t>
  </si>
  <si>
    <t>Colonne1903</t>
  </si>
  <si>
    <t>Colonne1904</t>
  </si>
  <si>
    <t>Colonne1905</t>
  </si>
  <si>
    <t>Colonne1906</t>
  </si>
  <si>
    <t>Colonne1907</t>
  </si>
  <si>
    <t>Colonne1908</t>
  </si>
  <si>
    <t>Colonne1909</t>
  </si>
  <si>
    <t>Colonne1910</t>
  </si>
  <si>
    <t>Colonne1911</t>
  </si>
  <si>
    <t>Colonne1912</t>
  </si>
  <si>
    <t>Colonne1913</t>
  </si>
  <si>
    <t>Colonne1914</t>
  </si>
  <si>
    <t>Colonne1915</t>
  </si>
  <si>
    <t>Colonne1916</t>
  </si>
  <si>
    <t>Colonne1917</t>
  </si>
  <si>
    <t>Colonne1918</t>
  </si>
  <si>
    <t>Colonne1919</t>
  </si>
  <si>
    <t>Colonne1920</t>
  </si>
  <si>
    <t>Colonne1921</t>
  </si>
  <si>
    <t>Colonne1922</t>
  </si>
  <si>
    <t>Colonne1923</t>
  </si>
  <si>
    <t>Colonne1924</t>
  </si>
  <si>
    <t>Colonne1925</t>
  </si>
  <si>
    <t>Colonne1926</t>
  </si>
  <si>
    <t>Colonne1927</t>
  </si>
  <si>
    <t>Colonne1928</t>
  </si>
  <si>
    <t>Colonne1929</t>
  </si>
  <si>
    <t>Colonne1930</t>
  </si>
  <si>
    <t>Colonne1931</t>
  </si>
  <si>
    <t>Colonne1932</t>
  </si>
  <si>
    <t>Colonne1933</t>
  </si>
  <si>
    <t>Colonne1934</t>
  </si>
  <si>
    <t>Colonne1935</t>
  </si>
  <si>
    <t>Colonne1936</t>
  </si>
  <si>
    <t>Colonne1937</t>
  </si>
  <si>
    <t>Colonne1938</t>
  </si>
  <si>
    <t>Colonne1939</t>
  </si>
  <si>
    <t>Colonne1940</t>
  </si>
  <si>
    <t>Colonne1941</t>
  </si>
  <si>
    <t>Colonne1942</t>
  </si>
  <si>
    <t>Colonne1943</t>
  </si>
  <si>
    <t>Colonne1944</t>
  </si>
  <si>
    <t>Colonne1945</t>
  </si>
  <si>
    <t>Colonne1946</t>
  </si>
  <si>
    <t>Colonne1947</t>
  </si>
  <si>
    <t>Colonne1948</t>
  </si>
  <si>
    <t>Colonne1949</t>
  </si>
  <si>
    <t>Colonne1950</t>
  </si>
  <si>
    <t>Colonne1951</t>
  </si>
  <si>
    <t>Colonne1952</t>
  </si>
  <si>
    <t>Colonne1953</t>
  </si>
  <si>
    <t>Colonne1954</t>
  </si>
  <si>
    <t>Colonne1955</t>
  </si>
  <si>
    <t>Colonne1956</t>
  </si>
  <si>
    <t>Colonne1957</t>
  </si>
  <si>
    <t>Colonne1958</t>
  </si>
  <si>
    <t>Colonne1959</t>
  </si>
  <si>
    <t>Colonne1960</t>
  </si>
  <si>
    <t>Colonne1961</t>
  </si>
  <si>
    <t>Colonne1962</t>
  </si>
  <si>
    <t>Colonne1963</t>
  </si>
  <si>
    <t>Colonne1964</t>
  </si>
  <si>
    <t>Colonne1965</t>
  </si>
  <si>
    <t>Colonne1966</t>
  </si>
  <si>
    <t>Colonne1967</t>
  </si>
  <si>
    <t>Colonne1968</t>
  </si>
  <si>
    <t>Colonne1969</t>
  </si>
  <si>
    <t>Colonne1970</t>
  </si>
  <si>
    <t>Colonne1971</t>
  </si>
  <si>
    <t>Colonne1972</t>
  </si>
  <si>
    <t>Colonne1973</t>
  </si>
  <si>
    <t>Colonne1974</t>
  </si>
  <si>
    <t>Colonne1975</t>
  </si>
  <si>
    <t>Colonne1976</t>
  </si>
  <si>
    <t>Colonne1977</t>
  </si>
  <si>
    <t>Colonne1978</t>
  </si>
  <si>
    <t>Colonne1979</t>
  </si>
  <si>
    <t>Colonne1980</t>
  </si>
  <si>
    <t>Colonne1981</t>
  </si>
  <si>
    <t>Colonne1982</t>
  </si>
  <si>
    <t>Colonne1983</t>
  </si>
  <si>
    <t>Colonne1984</t>
  </si>
  <si>
    <t>Colonne1985</t>
  </si>
  <si>
    <t>Colonne1986</t>
  </si>
  <si>
    <t>Colonne1987</t>
  </si>
  <si>
    <t>Colonne1988</t>
  </si>
  <si>
    <t>Colonne1989</t>
  </si>
  <si>
    <t>Colonne1990</t>
  </si>
  <si>
    <t>Colonne1991</t>
  </si>
  <si>
    <t>Colonne1992</t>
  </si>
  <si>
    <t>Colonne1993</t>
  </si>
  <si>
    <t>Colonne1994</t>
  </si>
  <si>
    <t>Colonne1995</t>
  </si>
  <si>
    <t>Colonne1996</t>
  </si>
  <si>
    <t>Colonne1997</t>
  </si>
  <si>
    <t>Colonne1998</t>
  </si>
  <si>
    <t>Colonne1999</t>
  </si>
  <si>
    <t>Colonne2000</t>
  </si>
  <si>
    <t>Colonne2001</t>
  </si>
  <si>
    <t>Colonne2002</t>
  </si>
  <si>
    <t>Colonne2003</t>
  </si>
  <si>
    <t>Colonne2004</t>
  </si>
  <si>
    <t>Colonne2005</t>
  </si>
  <si>
    <t>Colonne2006</t>
  </si>
  <si>
    <t>Colonne2007</t>
  </si>
  <si>
    <t>Colonne2008</t>
  </si>
  <si>
    <t>Colonne2009</t>
  </si>
  <si>
    <t>Colonne2010</t>
  </si>
  <si>
    <t>Colonne2011</t>
  </si>
  <si>
    <t>Colonne2012</t>
  </si>
  <si>
    <t>Colonne2013</t>
  </si>
  <si>
    <t>Colonne2014</t>
  </si>
  <si>
    <t>Colonne2015</t>
  </si>
  <si>
    <t>Colonne2016</t>
  </si>
  <si>
    <t>Colonne2017</t>
  </si>
  <si>
    <t>Colonne2018</t>
  </si>
  <si>
    <t>Colonne2019</t>
  </si>
  <si>
    <t>Colonne2020</t>
  </si>
  <si>
    <t>Colonne2021</t>
  </si>
  <si>
    <t>Colonne2022</t>
  </si>
  <si>
    <t>Colonne2023</t>
  </si>
  <si>
    <t>Colonne2024</t>
  </si>
  <si>
    <t>Colonne2025</t>
  </si>
  <si>
    <t>Colonne2026</t>
  </si>
  <si>
    <t>Colonne2027</t>
  </si>
  <si>
    <t>Colonne2028</t>
  </si>
  <si>
    <t>Colonne2029</t>
  </si>
  <si>
    <t>Colonne2030</t>
  </si>
  <si>
    <t>Colonne2031</t>
  </si>
  <si>
    <t>Colonne2032</t>
  </si>
  <si>
    <t>Colonne2033</t>
  </si>
  <si>
    <t>Colonne2034</t>
  </si>
  <si>
    <t>Colonne2035</t>
  </si>
  <si>
    <t>Colonne2036</t>
  </si>
  <si>
    <t>Colonne2037</t>
  </si>
  <si>
    <t>Colonne2038</t>
  </si>
  <si>
    <t>Colonne2039</t>
  </si>
  <si>
    <t>Colonne2040</t>
  </si>
  <si>
    <t>Colonne2041</t>
  </si>
  <si>
    <t>Colonne2042</t>
  </si>
  <si>
    <t>Colonne2043</t>
  </si>
  <si>
    <t>Colonne2044</t>
  </si>
  <si>
    <t>Colonne2045</t>
  </si>
  <si>
    <t>Colonne2046</t>
  </si>
  <si>
    <t>Colonne2047</t>
  </si>
  <si>
    <t>Colonne2048</t>
  </si>
  <si>
    <t>Colonne2049</t>
  </si>
  <si>
    <t>Colonne2050</t>
  </si>
  <si>
    <t>Colonne2051</t>
  </si>
  <si>
    <t>Colonne2052</t>
  </si>
  <si>
    <t>Colonne2053</t>
  </si>
  <si>
    <t>Colonne2054</t>
  </si>
  <si>
    <t>Colonne2055</t>
  </si>
  <si>
    <t>Colonne2056</t>
  </si>
  <si>
    <t>Colonne2057</t>
  </si>
  <si>
    <t>Colonne2058</t>
  </si>
  <si>
    <t>Colonne2059</t>
  </si>
  <si>
    <t>Colonne2060</t>
  </si>
  <si>
    <t>Colonne2061</t>
  </si>
  <si>
    <t>Colonne2062</t>
  </si>
  <si>
    <t>Colonne2063</t>
  </si>
  <si>
    <t>Colonne2064</t>
  </si>
  <si>
    <t>Colonne2065</t>
  </si>
  <si>
    <t>Colonne2066</t>
  </si>
  <si>
    <t>Colonne2067</t>
  </si>
  <si>
    <t>Colonne2068</t>
  </si>
  <si>
    <t>Colonne2069</t>
  </si>
  <si>
    <t>Colonne2070</t>
  </si>
  <si>
    <t>Colonne2071</t>
  </si>
  <si>
    <t>Colonne2072</t>
  </si>
  <si>
    <t>Colonne2073</t>
  </si>
  <si>
    <t>Colonne2074</t>
  </si>
  <si>
    <t>Colonne2075</t>
  </si>
  <si>
    <t>Colonne2076</t>
  </si>
  <si>
    <t>Colonne2077</t>
  </si>
  <si>
    <t>Colonne2078</t>
  </si>
  <si>
    <t>Colonne2079</t>
  </si>
  <si>
    <t>Colonne2080</t>
  </si>
  <si>
    <t>Colonne2081</t>
  </si>
  <si>
    <t>Colonne2082</t>
  </si>
  <si>
    <t>Colonne2083</t>
  </si>
  <si>
    <t>Colonne2084</t>
  </si>
  <si>
    <t>Colonne2085</t>
  </si>
  <si>
    <t>Colonne2086</t>
  </si>
  <si>
    <t>Colonne2087</t>
  </si>
  <si>
    <t>Colonne2088</t>
  </si>
  <si>
    <t>Colonne2089</t>
  </si>
  <si>
    <t>Colonne2090</t>
  </si>
  <si>
    <t>Colonne2091</t>
  </si>
  <si>
    <t>Colonne2092</t>
  </si>
  <si>
    <t>Colonne2093</t>
  </si>
  <si>
    <t>Colonne2094</t>
  </si>
  <si>
    <t>Colonne2095</t>
  </si>
  <si>
    <t>Colonne2096</t>
  </si>
  <si>
    <t>Colonne2097</t>
  </si>
  <si>
    <t>Colonne2098</t>
  </si>
  <si>
    <t>Colonne2099</t>
  </si>
  <si>
    <t>Colonne2100</t>
  </si>
  <si>
    <t>Colonne2101</t>
  </si>
  <si>
    <t>Colonne2102</t>
  </si>
  <si>
    <t>Colonne2103</t>
  </si>
  <si>
    <t>Colonne2104</t>
  </si>
  <si>
    <t>Colonne2105</t>
  </si>
  <si>
    <t>Colonne2106</t>
  </si>
  <si>
    <t>Colonne2107</t>
  </si>
  <si>
    <t>Colonne2108</t>
  </si>
  <si>
    <t>Colonne2109</t>
  </si>
  <si>
    <t>Colonne2110</t>
  </si>
  <si>
    <t>Colonne2111</t>
  </si>
  <si>
    <t>Colonne2112</t>
  </si>
  <si>
    <t>Colonne2113</t>
  </si>
  <si>
    <t>Colonne2114</t>
  </si>
  <si>
    <t>Colonne2115</t>
  </si>
  <si>
    <t>Colonne2116</t>
  </si>
  <si>
    <t>Colonne2117</t>
  </si>
  <si>
    <t>Colonne2118</t>
  </si>
  <si>
    <t>Colonne2119</t>
  </si>
  <si>
    <t>Colonne2120</t>
  </si>
  <si>
    <t>Colonne2121</t>
  </si>
  <si>
    <t>Colonne2122</t>
  </si>
  <si>
    <t>Colonne2123</t>
  </si>
  <si>
    <t>Colonne2124</t>
  </si>
  <si>
    <t>Colonne2125</t>
  </si>
  <si>
    <t>Colonne2126</t>
  </si>
  <si>
    <t>Colonne2127</t>
  </si>
  <si>
    <t>Colonne2128</t>
  </si>
  <si>
    <t>Colonne2129</t>
  </si>
  <si>
    <t>Colonne2130</t>
  </si>
  <si>
    <t>Colonne2131</t>
  </si>
  <si>
    <t>Colonne2132</t>
  </si>
  <si>
    <t>Colonne2133</t>
  </si>
  <si>
    <t>Colonne2134</t>
  </si>
  <si>
    <t>Colonne2135</t>
  </si>
  <si>
    <t>Colonne2136</t>
  </si>
  <si>
    <t>Colonne2137</t>
  </si>
  <si>
    <t>Colonne2138</t>
  </si>
  <si>
    <t>Colonne2139</t>
  </si>
  <si>
    <t>Colonne2140</t>
  </si>
  <si>
    <t>Colonne2141</t>
  </si>
  <si>
    <t>Colonne2142</t>
  </si>
  <si>
    <t>Colonne2143</t>
  </si>
  <si>
    <t>Colonne2144</t>
  </si>
  <si>
    <t>Colonne2145</t>
  </si>
  <si>
    <t>Colonne2146</t>
  </si>
  <si>
    <t>Colonne2147</t>
  </si>
  <si>
    <t>Colonne2148</t>
  </si>
  <si>
    <t>Colonne2149</t>
  </si>
  <si>
    <t>Colonne2150</t>
  </si>
  <si>
    <t>Colonne2151</t>
  </si>
  <si>
    <t>Colonne2152</t>
  </si>
  <si>
    <t>Colonne2153</t>
  </si>
  <si>
    <t>Colonne2154</t>
  </si>
  <si>
    <t>Colonne2155</t>
  </si>
  <si>
    <t>Colonne2156</t>
  </si>
  <si>
    <t>Colonne2157</t>
  </si>
  <si>
    <t>Colonne2158</t>
  </si>
  <si>
    <t>Colonne2159</t>
  </si>
  <si>
    <t>Colonne2160</t>
  </si>
  <si>
    <t>Colonne2161</t>
  </si>
  <si>
    <t>Colonne2162</t>
  </si>
  <si>
    <t>Colonne2163</t>
  </si>
  <si>
    <t>Colonne2164</t>
  </si>
  <si>
    <t>Colonne2165</t>
  </si>
  <si>
    <t>Colonne2166</t>
  </si>
  <si>
    <t>Colonne2167</t>
  </si>
  <si>
    <t>Colonne2168</t>
  </si>
  <si>
    <t>Colonne2169</t>
  </si>
  <si>
    <t>Colonne2170</t>
  </si>
  <si>
    <t>Colonne2171</t>
  </si>
  <si>
    <t>Colonne2172</t>
  </si>
  <si>
    <t>Colonne2173</t>
  </si>
  <si>
    <t>Colonne2174</t>
  </si>
  <si>
    <t>Colonne2175</t>
  </si>
  <si>
    <t>Colonne2176</t>
  </si>
  <si>
    <t>Colonne2177</t>
  </si>
  <si>
    <t>Colonne2178</t>
  </si>
  <si>
    <t>Colonne2179</t>
  </si>
  <si>
    <t>Colonne2180</t>
  </si>
  <si>
    <t>Colonne2181</t>
  </si>
  <si>
    <t>Colonne2182</t>
  </si>
  <si>
    <t>Colonne2183</t>
  </si>
  <si>
    <t>Colonne2184</t>
  </si>
  <si>
    <t>Colonne2185</t>
  </si>
  <si>
    <t>Colonne2186</t>
  </si>
  <si>
    <t>Colonne2187</t>
  </si>
  <si>
    <t>Colonne2188</t>
  </si>
  <si>
    <t>Colonne2189</t>
  </si>
  <si>
    <t>Colonne2190</t>
  </si>
  <si>
    <t>Colonne2191</t>
  </si>
  <si>
    <t>Colonne2192</t>
  </si>
  <si>
    <t>Colonne2193</t>
  </si>
  <si>
    <t>Colonne2194</t>
  </si>
  <si>
    <t>Colonne2195</t>
  </si>
  <si>
    <t>Colonne2196</t>
  </si>
  <si>
    <t>Colonne2197</t>
  </si>
  <si>
    <t>Colonne2198</t>
  </si>
  <si>
    <t>Colonne2199</t>
  </si>
  <si>
    <t>Colonne2200</t>
  </si>
  <si>
    <t>Colonne2201</t>
  </si>
  <si>
    <t>Colonne2202</t>
  </si>
  <si>
    <t>Colonne2203</t>
  </si>
  <si>
    <t>Colonne2204</t>
  </si>
  <si>
    <t>Colonne2205</t>
  </si>
  <si>
    <t>Colonne2206</t>
  </si>
  <si>
    <t>Colonne2207</t>
  </si>
  <si>
    <t>Colonne2208</t>
  </si>
  <si>
    <t>Colonne2209</t>
  </si>
  <si>
    <t>Colonne2210</t>
  </si>
  <si>
    <t>Colonne2211</t>
  </si>
  <si>
    <t>Colonne2212</t>
  </si>
  <si>
    <t>Colonne2213</t>
  </si>
  <si>
    <t>Colonne2214</t>
  </si>
  <si>
    <t>Colonne2215</t>
  </si>
  <si>
    <t>Colonne2216</t>
  </si>
  <si>
    <t>Colonne2217</t>
  </si>
  <si>
    <t>Colonne2218</t>
  </si>
  <si>
    <t>Colonne2219</t>
  </si>
  <si>
    <t>Colonne2220</t>
  </si>
  <si>
    <t>Colonne2221</t>
  </si>
  <si>
    <t>Colonne2222</t>
  </si>
  <si>
    <t>Colonne2223</t>
  </si>
  <si>
    <t>Colonne2224</t>
  </si>
  <si>
    <t>Colonne2225</t>
  </si>
  <si>
    <t>Colonne2226</t>
  </si>
  <si>
    <t>Colonne2227</t>
  </si>
  <si>
    <t>Colonne2228</t>
  </si>
  <si>
    <t>Colonne2229</t>
  </si>
  <si>
    <t>Colonne2230</t>
  </si>
  <si>
    <t>Colonne2231</t>
  </si>
  <si>
    <t>Colonne2232</t>
  </si>
  <si>
    <t>Colonne2233</t>
  </si>
  <si>
    <t>Colonne2234</t>
  </si>
  <si>
    <t>Colonne2235</t>
  </si>
  <si>
    <t>Colonne2236</t>
  </si>
  <si>
    <t>Colonne2237</t>
  </si>
  <si>
    <t>Colonne2238</t>
  </si>
  <si>
    <t>Colonne2239</t>
  </si>
  <si>
    <t>Colonne2240</t>
  </si>
  <si>
    <t>Colonne2241</t>
  </si>
  <si>
    <t>Colonne2242</t>
  </si>
  <si>
    <t>Colonne2243</t>
  </si>
  <si>
    <t>Colonne2244</t>
  </si>
  <si>
    <t>Colonne2245</t>
  </si>
  <si>
    <t>Colonne2246</t>
  </si>
  <si>
    <t>Colonne2247</t>
  </si>
  <si>
    <t>Colonne2248</t>
  </si>
  <si>
    <t>Colonne2249</t>
  </si>
  <si>
    <t>Colonne2250</t>
  </si>
  <si>
    <t>Colonne2251</t>
  </si>
  <si>
    <t>Colonne2252</t>
  </si>
  <si>
    <t>Colonne2253</t>
  </si>
  <si>
    <t>Colonne2254</t>
  </si>
  <si>
    <t>Colonne2255</t>
  </si>
  <si>
    <t>Colonne2256</t>
  </si>
  <si>
    <t>Colonne2257</t>
  </si>
  <si>
    <t>Colonne2258</t>
  </si>
  <si>
    <t>Colonne2259</t>
  </si>
  <si>
    <t>Colonne2260</t>
  </si>
  <si>
    <t>Colonne2261</t>
  </si>
  <si>
    <t>Colonne2262</t>
  </si>
  <si>
    <t>Colonne2263</t>
  </si>
  <si>
    <t>Colonne2264</t>
  </si>
  <si>
    <t>Colonne2265</t>
  </si>
  <si>
    <t>Colonne2266</t>
  </si>
  <si>
    <t>Colonne2267</t>
  </si>
  <si>
    <t>Colonne2268</t>
  </si>
  <si>
    <t>Colonne2269</t>
  </si>
  <si>
    <t>Colonne2270</t>
  </si>
  <si>
    <t>Colonne2271</t>
  </si>
  <si>
    <t>Colonne2272</t>
  </si>
  <si>
    <t>Colonne2273</t>
  </si>
  <si>
    <t>Colonne2274</t>
  </si>
  <si>
    <t>Colonne2275</t>
  </si>
  <si>
    <t>Colonne2276</t>
  </si>
  <si>
    <t>Colonne2277</t>
  </si>
  <si>
    <t>Colonne2278</t>
  </si>
  <si>
    <t>Colonne2279</t>
  </si>
  <si>
    <t>Colonne2280</t>
  </si>
  <si>
    <t>Colonne2281</t>
  </si>
  <si>
    <t>Colonne2282</t>
  </si>
  <si>
    <t>Colonne2283</t>
  </si>
  <si>
    <t>Colonne2284</t>
  </si>
  <si>
    <t>Colonne2285</t>
  </si>
  <si>
    <t>Colonne2286</t>
  </si>
  <si>
    <t>Colonne2287</t>
  </si>
  <si>
    <t>Colonne2288</t>
  </si>
  <si>
    <t>Colonne2289</t>
  </si>
  <si>
    <t>Colonne2290</t>
  </si>
  <si>
    <t>Colonne2291</t>
  </si>
  <si>
    <t>Colonne2292</t>
  </si>
  <si>
    <t>Colonne2293</t>
  </si>
  <si>
    <t>Colonne2294</t>
  </si>
  <si>
    <t>Colonne2295</t>
  </si>
  <si>
    <t>Colonne2296</t>
  </si>
  <si>
    <t>Colonne2297</t>
  </si>
  <si>
    <t>Colonne2298</t>
  </si>
  <si>
    <t>Colonne2299</t>
  </si>
  <si>
    <t>Colonne2300</t>
  </si>
  <si>
    <t>Colonne2301</t>
  </si>
  <si>
    <t>Colonne2302</t>
  </si>
  <si>
    <t>Colonne2303</t>
  </si>
  <si>
    <t>Colonne2304</t>
  </si>
  <si>
    <t>Colonne2305</t>
  </si>
  <si>
    <t>Colonne2306</t>
  </si>
  <si>
    <t>Colonne2307</t>
  </si>
  <si>
    <t>Colonne2308</t>
  </si>
  <si>
    <t>Colonne2309</t>
  </si>
  <si>
    <t>Colonne2310</t>
  </si>
  <si>
    <t>Colonne2311</t>
  </si>
  <si>
    <t>Colonne2312</t>
  </si>
  <si>
    <t>Colonne2313</t>
  </si>
  <si>
    <t>Colonne2314</t>
  </si>
  <si>
    <t>Colonne2315</t>
  </si>
  <si>
    <t>Colonne2316</t>
  </si>
  <si>
    <t>Colonne2317</t>
  </si>
  <si>
    <t>Colonne2318</t>
  </si>
  <si>
    <t>Colonne2319</t>
  </si>
  <si>
    <t>Colonne2320</t>
  </si>
  <si>
    <t>Colonne2321</t>
  </si>
  <si>
    <t>Colonne2322</t>
  </si>
  <si>
    <t>Colonne2323</t>
  </si>
  <si>
    <t>Colonne2324</t>
  </si>
  <si>
    <t>Colonne2325</t>
  </si>
  <si>
    <t>Colonne2326</t>
  </si>
  <si>
    <t>Colonne2327</t>
  </si>
  <si>
    <t>Colonne2328</t>
  </si>
  <si>
    <t>Colonne2329</t>
  </si>
  <si>
    <t>Colonne2330</t>
  </si>
  <si>
    <t>Colonne2331</t>
  </si>
  <si>
    <t>Colonne2332</t>
  </si>
  <si>
    <t>Colonne2333</t>
  </si>
  <si>
    <t>Colonne2334</t>
  </si>
  <si>
    <t>Colonne2335</t>
  </si>
  <si>
    <t>Colonne2336</t>
  </si>
  <si>
    <t>Colonne2337</t>
  </si>
  <si>
    <t>Colonne2338</t>
  </si>
  <si>
    <t>Colonne2339</t>
  </si>
  <si>
    <t>Colonne2340</t>
  </si>
  <si>
    <t>Colonne2341</t>
  </si>
  <si>
    <t>Colonne2342</t>
  </si>
  <si>
    <t>Colonne2343</t>
  </si>
  <si>
    <t>Colonne2344</t>
  </si>
  <si>
    <t>Colonne2345</t>
  </si>
  <si>
    <t>Colonne2346</t>
  </si>
  <si>
    <t>Colonne2347</t>
  </si>
  <si>
    <t>Colonne2348</t>
  </si>
  <si>
    <t>Colonne2349</t>
  </si>
  <si>
    <t>Colonne2350</t>
  </si>
  <si>
    <t>Colonne2351</t>
  </si>
  <si>
    <t>Colonne2352</t>
  </si>
  <si>
    <t>Colonne2353</t>
  </si>
  <si>
    <t>Colonne2354</t>
  </si>
  <si>
    <t>Colonne2355</t>
  </si>
  <si>
    <t>Colonne2356</t>
  </si>
  <si>
    <t>Colonne2357</t>
  </si>
  <si>
    <t>Colonne2358</t>
  </si>
  <si>
    <t>Colonne2359</t>
  </si>
  <si>
    <t>Colonne2360</t>
  </si>
  <si>
    <t>Colonne2361</t>
  </si>
  <si>
    <t>Colonne2362</t>
  </si>
  <si>
    <t>Colonne2363</t>
  </si>
  <si>
    <t>Colonne2364</t>
  </si>
  <si>
    <t>Colonne2365</t>
  </si>
  <si>
    <t>Colonne2366</t>
  </si>
  <si>
    <t>Colonne2367</t>
  </si>
  <si>
    <t>Colonne2368</t>
  </si>
  <si>
    <t>Colonne2369</t>
  </si>
  <si>
    <t>Colonne2370</t>
  </si>
  <si>
    <t>Colonne2371</t>
  </si>
  <si>
    <t>Colonne2372</t>
  </si>
  <si>
    <t>Colonne2373</t>
  </si>
  <si>
    <t>Colonne2374</t>
  </si>
  <si>
    <t>Colonne2375</t>
  </si>
  <si>
    <t>Colonne2376</t>
  </si>
  <si>
    <t>Colonne2377</t>
  </si>
  <si>
    <t>Colonne2378</t>
  </si>
  <si>
    <t>Colonne2379</t>
  </si>
  <si>
    <t>Colonne2380</t>
  </si>
  <si>
    <t>Colonne2381</t>
  </si>
  <si>
    <t>Colonne2382</t>
  </si>
  <si>
    <t>Colonne2383</t>
  </si>
  <si>
    <t>Colonne2384</t>
  </si>
  <si>
    <t>Colonne2385</t>
  </si>
  <si>
    <t>Colonne2386</t>
  </si>
  <si>
    <t>Colonne2387</t>
  </si>
  <si>
    <t>Colonne2388</t>
  </si>
  <si>
    <t>Colonne2389</t>
  </si>
  <si>
    <t>Colonne2390</t>
  </si>
  <si>
    <t>Colonne2391</t>
  </si>
  <si>
    <t>Colonne2392</t>
  </si>
  <si>
    <t>Colonne2393</t>
  </si>
  <si>
    <t>Colonne2394</t>
  </si>
  <si>
    <t>Colonne2395</t>
  </si>
  <si>
    <t>Colonne2396</t>
  </si>
  <si>
    <t>Colonne2397</t>
  </si>
  <si>
    <t>Colonne2398</t>
  </si>
  <si>
    <t>Colonne2399</t>
  </si>
  <si>
    <t>Colonne2400</t>
  </si>
  <si>
    <t>Colonne2401</t>
  </si>
  <si>
    <t>Colonne2402</t>
  </si>
  <si>
    <t>Colonne2403</t>
  </si>
  <si>
    <t>Colonne2404</t>
  </si>
  <si>
    <t>Colonne2405</t>
  </si>
  <si>
    <t>Colonne2406</t>
  </si>
  <si>
    <t>Colonne2407</t>
  </si>
  <si>
    <t>Colonne2408</t>
  </si>
  <si>
    <t>Colonne2409</t>
  </si>
  <si>
    <t>Colonne2410</t>
  </si>
  <si>
    <t>Colonne2411</t>
  </si>
  <si>
    <t>Colonne2412</t>
  </si>
  <si>
    <t>Colonne2413</t>
  </si>
  <si>
    <t>Colonne2414</t>
  </si>
  <si>
    <t>Colonne2415</t>
  </si>
  <si>
    <t>Colonne2416</t>
  </si>
  <si>
    <t>Colonne2417</t>
  </si>
  <si>
    <t>Colonne2418</t>
  </si>
  <si>
    <t>Colonne2419</t>
  </si>
  <si>
    <t>Colonne2420</t>
  </si>
  <si>
    <t>Colonne2421</t>
  </si>
  <si>
    <t>Colonne2422</t>
  </si>
  <si>
    <t>Colonne2423</t>
  </si>
  <si>
    <t>Colonne2424</t>
  </si>
  <si>
    <t>Colonne2425</t>
  </si>
  <si>
    <t>Colonne2426</t>
  </si>
  <si>
    <t>Colonne2427</t>
  </si>
  <si>
    <t>Colonne2428</t>
  </si>
  <si>
    <t>Colonne2429</t>
  </si>
  <si>
    <t>Colonne2430</t>
  </si>
  <si>
    <t>Colonne2431</t>
  </si>
  <si>
    <t>Colonne2432</t>
  </si>
  <si>
    <t>Colonne2433</t>
  </si>
  <si>
    <t>Colonne2434</t>
  </si>
  <si>
    <t>Colonne2435</t>
  </si>
  <si>
    <t>Colonne2436</t>
  </si>
  <si>
    <t>Colonne2437</t>
  </si>
  <si>
    <t>Colonne2438</t>
  </si>
  <si>
    <t>Colonne2439</t>
  </si>
  <si>
    <t>Colonne2440</t>
  </si>
  <si>
    <t>Colonne2441</t>
  </si>
  <si>
    <t>Colonne2442</t>
  </si>
  <si>
    <t>Colonne2443</t>
  </si>
  <si>
    <t>Colonne2444</t>
  </si>
  <si>
    <t>Colonne2445</t>
  </si>
  <si>
    <t>Colonne2446</t>
  </si>
  <si>
    <t>Colonne2447</t>
  </si>
  <si>
    <t>Colonne2448</t>
  </si>
  <si>
    <t>Colonne2449</t>
  </si>
  <si>
    <t>Colonne2450</t>
  </si>
  <si>
    <t>Colonne2451</t>
  </si>
  <si>
    <t>Colonne2452</t>
  </si>
  <si>
    <t>Colonne2453</t>
  </si>
  <si>
    <t>Colonne2454</t>
  </si>
  <si>
    <t>Colonne2455</t>
  </si>
  <si>
    <t>Colonne2456</t>
  </si>
  <si>
    <t>Colonne2457</t>
  </si>
  <si>
    <t>Colonne2458</t>
  </si>
  <si>
    <t>Colonne2459</t>
  </si>
  <si>
    <t>Colonne2460</t>
  </si>
  <si>
    <t>Colonne2461</t>
  </si>
  <si>
    <t>Colonne2462</t>
  </si>
  <si>
    <t>Colonne2463</t>
  </si>
  <si>
    <t>Colonne2464</t>
  </si>
  <si>
    <t>Colonne2465</t>
  </si>
  <si>
    <t>Colonne2466</t>
  </si>
  <si>
    <t>Colonne2467</t>
  </si>
  <si>
    <t>Colonne2468</t>
  </si>
  <si>
    <t>Colonne2469</t>
  </si>
  <si>
    <t>Colonne2470</t>
  </si>
  <si>
    <t>Colonne2471</t>
  </si>
  <si>
    <t>Colonne2472</t>
  </si>
  <si>
    <t>Colonne2473</t>
  </si>
  <si>
    <t>Colonne2474</t>
  </si>
  <si>
    <t>Colonne2475</t>
  </si>
  <si>
    <t>Colonne2476</t>
  </si>
  <si>
    <t>Colonne2477</t>
  </si>
  <si>
    <t>Colonne2478</t>
  </si>
  <si>
    <t>Colonne2479</t>
  </si>
  <si>
    <t>Colonne2480</t>
  </si>
  <si>
    <t>Colonne2481</t>
  </si>
  <si>
    <t>Colonne2482</t>
  </si>
  <si>
    <t>Colonne2483</t>
  </si>
  <si>
    <t>Colonne2484</t>
  </si>
  <si>
    <t>Colonne2485</t>
  </si>
  <si>
    <t>Colonne2486</t>
  </si>
  <si>
    <t>Colonne2487</t>
  </si>
  <si>
    <t>Colonne2488</t>
  </si>
  <si>
    <t>Colonne2489</t>
  </si>
  <si>
    <t>Colonne2490</t>
  </si>
  <si>
    <t>Colonne2491</t>
  </si>
  <si>
    <t>Colonne2492</t>
  </si>
  <si>
    <t>Colonne2493</t>
  </si>
  <si>
    <t>Colonne2494</t>
  </si>
  <si>
    <t>Colonne2495</t>
  </si>
  <si>
    <t>Colonne2496</t>
  </si>
  <si>
    <t>Colonne2497</t>
  </si>
  <si>
    <t>Colonne2498</t>
  </si>
  <si>
    <t>Colonne2499</t>
  </si>
  <si>
    <t>Colonne2500</t>
  </si>
  <si>
    <t>Colonne2501</t>
  </si>
  <si>
    <t>Colonne2502</t>
  </si>
  <si>
    <t>Colonne2503</t>
  </si>
  <si>
    <t>Colonne2504</t>
  </si>
  <si>
    <t>Colonne2505</t>
  </si>
  <si>
    <t>Colonne2506</t>
  </si>
  <si>
    <t>Colonne2507</t>
  </si>
  <si>
    <t>Colonne2508</t>
  </si>
  <si>
    <t>Colonne2509</t>
  </si>
  <si>
    <t>Colonne2510</t>
  </si>
  <si>
    <t>Colonne2511</t>
  </si>
  <si>
    <t>Colonne2512</t>
  </si>
  <si>
    <t>Colonne2513</t>
  </si>
  <si>
    <t>Colonne2514</t>
  </si>
  <si>
    <t>Colonne2515</t>
  </si>
  <si>
    <t>Colonne2516</t>
  </si>
  <si>
    <t>Colonne2517</t>
  </si>
  <si>
    <t>Colonne2518</t>
  </si>
  <si>
    <t>Colonne2519</t>
  </si>
  <si>
    <t>Colonne2520</t>
  </si>
  <si>
    <t>Colonne2521</t>
  </si>
  <si>
    <t>Colonne2522</t>
  </si>
  <si>
    <t>Colonne2523</t>
  </si>
  <si>
    <t>Colonne2524</t>
  </si>
  <si>
    <t>Colonne2525</t>
  </si>
  <si>
    <t>Colonne2526</t>
  </si>
  <si>
    <t>Colonne2527</t>
  </si>
  <si>
    <t>Colonne2528</t>
  </si>
  <si>
    <t>Colonne2529</t>
  </si>
  <si>
    <t>Colonne2530</t>
  </si>
  <si>
    <t>Colonne2531</t>
  </si>
  <si>
    <t>Colonne2532</t>
  </si>
  <si>
    <t>Colonne2533</t>
  </si>
  <si>
    <t>Colonne2534</t>
  </si>
  <si>
    <t>Colonne2535</t>
  </si>
  <si>
    <t>Colonne2536</t>
  </si>
  <si>
    <t>Colonne2537</t>
  </si>
  <si>
    <t>Colonne2538</t>
  </si>
  <si>
    <t>Colonne2539</t>
  </si>
  <si>
    <t>Colonne2540</t>
  </si>
  <si>
    <t>Colonne2541</t>
  </si>
  <si>
    <t>Colonne2542</t>
  </si>
  <si>
    <t>Colonne2543</t>
  </si>
  <si>
    <t>Colonne2544</t>
  </si>
  <si>
    <t>Colonne2545</t>
  </si>
  <si>
    <t>Colonne2546</t>
  </si>
  <si>
    <t>Colonne2547</t>
  </si>
  <si>
    <t>Colonne2548</t>
  </si>
  <si>
    <t>Colonne2549</t>
  </si>
  <si>
    <t>Colonne2550</t>
  </si>
  <si>
    <t>Colonne2551</t>
  </si>
  <si>
    <t>Colonne2552</t>
  </si>
  <si>
    <t>Colonne2553</t>
  </si>
  <si>
    <t>Colonne2554</t>
  </si>
  <si>
    <t>Colonne2555</t>
  </si>
  <si>
    <t>Colonne2556</t>
  </si>
  <si>
    <t>Colonne2557</t>
  </si>
  <si>
    <t>Colonne2558</t>
  </si>
  <si>
    <t>Colonne2559</t>
  </si>
  <si>
    <t>Colonne2560</t>
  </si>
  <si>
    <t>Colonne2561</t>
  </si>
  <si>
    <t>Colonne2562</t>
  </si>
  <si>
    <t>Colonne2563</t>
  </si>
  <si>
    <t>Colonne2564</t>
  </si>
  <si>
    <t>Colonne2565</t>
  </si>
  <si>
    <t>Colonne2566</t>
  </si>
  <si>
    <t>Colonne2567</t>
  </si>
  <si>
    <t>Colonne2568</t>
  </si>
  <si>
    <t>Colonne2569</t>
  </si>
  <si>
    <t>Colonne2570</t>
  </si>
  <si>
    <t>Colonne2571</t>
  </si>
  <si>
    <t>Colonne2572</t>
  </si>
  <si>
    <t>Colonne2573</t>
  </si>
  <si>
    <t>Colonne2574</t>
  </si>
  <si>
    <t>Colonne2575</t>
  </si>
  <si>
    <t>Colonne2576</t>
  </si>
  <si>
    <t>Colonne2577</t>
  </si>
  <si>
    <t>Colonne2578</t>
  </si>
  <si>
    <t>Colonne2579</t>
  </si>
  <si>
    <t>Colonne2580</t>
  </si>
  <si>
    <t>Colonne2581</t>
  </si>
  <si>
    <t>Colonne2582</t>
  </si>
  <si>
    <t>Colonne2583</t>
  </si>
  <si>
    <t>Colonne2584</t>
  </si>
  <si>
    <t>Colonne2585</t>
  </si>
  <si>
    <t>Colonne2586</t>
  </si>
  <si>
    <t>Colonne2587</t>
  </si>
  <si>
    <t>Colonne2588</t>
  </si>
  <si>
    <t>Colonne2589</t>
  </si>
  <si>
    <t>Colonne2590</t>
  </si>
  <si>
    <t>Colonne2591</t>
  </si>
  <si>
    <t>Colonne2592</t>
  </si>
  <si>
    <t>Colonne2593</t>
  </si>
  <si>
    <t>Colonne2594</t>
  </si>
  <si>
    <t>Colonne2595</t>
  </si>
  <si>
    <t>Colonne2596</t>
  </si>
  <si>
    <t>Colonne2597</t>
  </si>
  <si>
    <t>Colonne2598</t>
  </si>
  <si>
    <t>Colonne2599</t>
  </si>
  <si>
    <t>Colonne2600</t>
  </si>
  <si>
    <t>Colonne2601</t>
  </si>
  <si>
    <t>Colonne2602</t>
  </si>
  <si>
    <t>Colonne2603</t>
  </si>
  <si>
    <t>Colonne2604</t>
  </si>
  <si>
    <t>Colonne2605</t>
  </si>
  <si>
    <t>Colonne2606</t>
  </si>
  <si>
    <t>Colonne2607</t>
  </si>
  <si>
    <t>Colonne2608</t>
  </si>
  <si>
    <t>Colonne2609</t>
  </si>
  <si>
    <t>Colonne2610</t>
  </si>
  <si>
    <t>Colonne2611</t>
  </si>
  <si>
    <t>Colonne2612</t>
  </si>
  <si>
    <t>Colonne2613</t>
  </si>
  <si>
    <t>Colonne2614</t>
  </si>
  <si>
    <t>Colonne2615</t>
  </si>
  <si>
    <t>Colonne2616</t>
  </si>
  <si>
    <t>Colonne2617</t>
  </si>
  <si>
    <t>Colonne2618</t>
  </si>
  <si>
    <t>Colonne2619</t>
  </si>
  <si>
    <t>Colonne2620</t>
  </si>
  <si>
    <t>Colonne2621</t>
  </si>
  <si>
    <t>Colonne2622</t>
  </si>
  <si>
    <t>Colonne2623</t>
  </si>
  <si>
    <t>Colonne2624</t>
  </si>
  <si>
    <t>Colonne2625</t>
  </si>
  <si>
    <t>Colonne2626</t>
  </si>
  <si>
    <t>Colonne2627</t>
  </si>
  <si>
    <t>Colonne2628</t>
  </si>
  <si>
    <t>Colonne2629</t>
  </si>
  <si>
    <t>Colonne2630</t>
  </si>
  <si>
    <t>Colonne2631</t>
  </si>
  <si>
    <t>Colonne2632</t>
  </si>
  <si>
    <t>Colonne2633</t>
  </si>
  <si>
    <t>Colonne2634</t>
  </si>
  <si>
    <t>Colonne2635</t>
  </si>
  <si>
    <t>Colonne2636</t>
  </si>
  <si>
    <t>Colonne2637</t>
  </si>
  <si>
    <t>Colonne2638</t>
  </si>
  <si>
    <t>Colonne2639</t>
  </si>
  <si>
    <t>Colonne2640</t>
  </si>
  <si>
    <t>Colonne2641</t>
  </si>
  <si>
    <t>Colonne2642</t>
  </si>
  <si>
    <t>Colonne2643</t>
  </si>
  <si>
    <t>Colonne2644</t>
  </si>
  <si>
    <t>Colonne2645</t>
  </si>
  <si>
    <t>Colonne2646</t>
  </si>
  <si>
    <t>Colonne2647</t>
  </si>
  <si>
    <t>Colonne2648</t>
  </si>
  <si>
    <t>Colonne2649</t>
  </si>
  <si>
    <t>Colonne2650</t>
  </si>
  <si>
    <t>Colonne2651</t>
  </si>
  <si>
    <t>Colonne2652</t>
  </si>
  <si>
    <t>Colonne2653</t>
  </si>
  <si>
    <t>Colonne2654</t>
  </si>
  <si>
    <t>Colonne2655</t>
  </si>
  <si>
    <t>Colonne2656</t>
  </si>
  <si>
    <t>Colonne2657</t>
  </si>
  <si>
    <t>Colonne2658</t>
  </si>
  <si>
    <t>Colonne2659</t>
  </si>
  <si>
    <t>Colonne2660</t>
  </si>
  <si>
    <t>Colonne2661</t>
  </si>
  <si>
    <t>Colonne2662</t>
  </si>
  <si>
    <t>Colonne2663</t>
  </si>
  <si>
    <t>Colonne2664</t>
  </si>
  <si>
    <t>Colonne2665</t>
  </si>
  <si>
    <t>Colonne2666</t>
  </si>
  <si>
    <t>Colonne2667</t>
  </si>
  <si>
    <t>Colonne2668</t>
  </si>
  <si>
    <t>Colonne2669</t>
  </si>
  <si>
    <t>Colonne2670</t>
  </si>
  <si>
    <t>Colonne2671</t>
  </si>
  <si>
    <t>Colonne2672</t>
  </si>
  <si>
    <t>Colonne2673</t>
  </si>
  <si>
    <t>Colonne2674</t>
  </si>
  <si>
    <t>Colonne2675</t>
  </si>
  <si>
    <t>Colonne2676</t>
  </si>
  <si>
    <t>Colonne2677</t>
  </si>
  <si>
    <t>Colonne2678</t>
  </si>
  <si>
    <t>Colonne2679</t>
  </si>
  <si>
    <t>Colonne2680</t>
  </si>
  <si>
    <t>Colonne2681</t>
  </si>
  <si>
    <t>Colonne2682</t>
  </si>
  <si>
    <t>Colonne2683</t>
  </si>
  <si>
    <t>Colonne2684</t>
  </si>
  <si>
    <t>Colonne2685</t>
  </si>
  <si>
    <t>Colonne2686</t>
  </si>
  <si>
    <t>Colonne2687</t>
  </si>
  <si>
    <t>Colonne2688</t>
  </si>
  <si>
    <t>Colonne2689</t>
  </si>
  <si>
    <t>Colonne2690</t>
  </si>
  <si>
    <t>Colonne2691</t>
  </si>
  <si>
    <t>Colonne2692</t>
  </si>
  <si>
    <t>Colonne2693</t>
  </si>
  <si>
    <t>Colonne2694</t>
  </si>
  <si>
    <t>Colonne2695</t>
  </si>
  <si>
    <t>Colonne2696</t>
  </si>
  <si>
    <t>Colonne2697</t>
  </si>
  <si>
    <t>Colonne2698</t>
  </si>
  <si>
    <t>Colonne2699</t>
  </si>
  <si>
    <t>Colonne2700</t>
  </si>
  <si>
    <t>Colonne2701</t>
  </si>
  <si>
    <t>Colonne2702</t>
  </si>
  <si>
    <t>Colonne2703</t>
  </si>
  <si>
    <t>Colonne2704</t>
  </si>
  <si>
    <t>Colonne2705</t>
  </si>
  <si>
    <t>Colonne2706</t>
  </si>
  <si>
    <t>Colonne2707</t>
  </si>
  <si>
    <t>Colonne2708</t>
  </si>
  <si>
    <t>Colonne2709</t>
  </si>
  <si>
    <t>Colonne2710</t>
  </si>
  <si>
    <t>Colonne2711</t>
  </si>
  <si>
    <t>Colonne2712</t>
  </si>
  <si>
    <t>Colonne2713</t>
  </si>
  <si>
    <t>Colonne2714</t>
  </si>
  <si>
    <t>Colonne2715</t>
  </si>
  <si>
    <t>Colonne2716</t>
  </si>
  <si>
    <t>Colonne2717</t>
  </si>
  <si>
    <t>Colonne2718</t>
  </si>
  <si>
    <t>Colonne2719</t>
  </si>
  <si>
    <t>Colonne2720</t>
  </si>
  <si>
    <t>Colonne2721</t>
  </si>
  <si>
    <t>Colonne2722</t>
  </si>
  <si>
    <t>Colonne2723</t>
  </si>
  <si>
    <t>Colonne2724</t>
  </si>
  <si>
    <t>Colonne2725</t>
  </si>
  <si>
    <t>Colonne2726</t>
  </si>
  <si>
    <t>Colonne2727</t>
  </si>
  <si>
    <t>Colonne2728</t>
  </si>
  <si>
    <t>Colonne2729</t>
  </si>
  <si>
    <t>Colonne2730</t>
  </si>
  <si>
    <t>Colonne2731</t>
  </si>
  <si>
    <t>Colonne2732</t>
  </si>
  <si>
    <t>Colonne2733</t>
  </si>
  <si>
    <t>Colonne2734</t>
  </si>
  <si>
    <t>Colonne2735</t>
  </si>
  <si>
    <t>Colonne2736</t>
  </si>
  <si>
    <t>Colonne2737</t>
  </si>
  <si>
    <t>Colonne2738</t>
  </si>
  <si>
    <t>Colonne2739</t>
  </si>
  <si>
    <t>Colonne2740</t>
  </si>
  <si>
    <t>Colonne2741</t>
  </si>
  <si>
    <t>Colonne2742</t>
  </si>
  <si>
    <t>Colonne2743</t>
  </si>
  <si>
    <t>Colonne2744</t>
  </si>
  <si>
    <t>Colonne2745</t>
  </si>
  <si>
    <t>Colonne2746</t>
  </si>
  <si>
    <t>Colonne2747</t>
  </si>
  <si>
    <t>Colonne2748</t>
  </si>
  <si>
    <t>Colonne2749</t>
  </si>
  <si>
    <t>Colonne2750</t>
  </si>
  <si>
    <t>Colonne2751</t>
  </si>
  <si>
    <t>Colonne2752</t>
  </si>
  <si>
    <t>Colonne2753</t>
  </si>
  <si>
    <t>Colonne2754</t>
  </si>
  <si>
    <t>Colonne2755</t>
  </si>
  <si>
    <t>Colonne2756</t>
  </si>
  <si>
    <t>Colonne2757</t>
  </si>
  <si>
    <t>Colonne2758</t>
  </si>
  <si>
    <t>Colonne2759</t>
  </si>
  <si>
    <t>Colonne2760</t>
  </si>
  <si>
    <t>Colonne2761</t>
  </si>
  <si>
    <t>Colonne2762</t>
  </si>
  <si>
    <t>Colonne2763</t>
  </si>
  <si>
    <t>Colonne2764</t>
  </si>
  <si>
    <t>Colonne2765</t>
  </si>
  <si>
    <t>Colonne2766</t>
  </si>
  <si>
    <t>Colonne2767</t>
  </si>
  <si>
    <t>Colonne2768</t>
  </si>
  <si>
    <t>Colonne2769</t>
  </si>
  <si>
    <t>Colonne2770</t>
  </si>
  <si>
    <t>Colonne2771</t>
  </si>
  <si>
    <t>Colonne2772</t>
  </si>
  <si>
    <t>Colonne2773</t>
  </si>
  <si>
    <t>Colonne2774</t>
  </si>
  <si>
    <t>Colonne2775</t>
  </si>
  <si>
    <t>Colonne2776</t>
  </si>
  <si>
    <t>Colonne2777</t>
  </si>
  <si>
    <t>Colonne2778</t>
  </si>
  <si>
    <t>Colonne2779</t>
  </si>
  <si>
    <t>Colonne2780</t>
  </si>
  <si>
    <t>Colonne2781</t>
  </si>
  <si>
    <t>Colonne2782</t>
  </si>
  <si>
    <t>Colonne2783</t>
  </si>
  <si>
    <t>Colonne2784</t>
  </si>
  <si>
    <t>Colonne2785</t>
  </si>
  <si>
    <t>Colonne2786</t>
  </si>
  <si>
    <t>Colonne2787</t>
  </si>
  <si>
    <t>Colonne2788</t>
  </si>
  <si>
    <t>Colonne2789</t>
  </si>
  <si>
    <t>Colonne2790</t>
  </si>
  <si>
    <t>Colonne2791</t>
  </si>
  <si>
    <t>Colonne2792</t>
  </si>
  <si>
    <t>Colonne2793</t>
  </si>
  <si>
    <t>Colonne2794</t>
  </si>
  <si>
    <t>Colonne2795</t>
  </si>
  <si>
    <t>Colonne2796</t>
  </si>
  <si>
    <t>Colonne2797</t>
  </si>
  <si>
    <t>Colonne2798</t>
  </si>
  <si>
    <t>Colonne2799</t>
  </si>
  <si>
    <t>Colonne2800</t>
  </si>
  <si>
    <t>Colonne2801</t>
  </si>
  <si>
    <t>Colonne2802</t>
  </si>
  <si>
    <t>Colonne2803</t>
  </si>
  <si>
    <t>Colonne2804</t>
  </si>
  <si>
    <t>Colonne2805</t>
  </si>
  <si>
    <t>Colonne2806</t>
  </si>
  <si>
    <t>Colonne2807</t>
  </si>
  <si>
    <t>Colonne2808</t>
  </si>
  <si>
    <t>Colonne2809</t>
  </si>
  <si>
    <t>Colonne2810</t>
  </si>
  <si>
    <t>Colonne2811</t>
  </si>
  <si>
    <t>Colonne2812</t>
  </si>
  <si>
    <t>Colonne2813</t>
  </si>
  <si>
    <t>Colonne2814</t>
  </si>
  <si>
    <t>Colonne2815</t>
  </si>
  <si>
    <t>Colonne2816</t>
  </si>
  <si>
    <t>Colonne2817</t>
  </si>
  <si>
    <t>Colonne2818</t>
  </si>
  <si>
    <t>Colonne2819</t>
  </si>
  <si>
    <t>Colonne2820</t>
  </si>
  <si>
    <t>Colonne2821</t>
  </si>
  <si>
    <t>Colonne2822</t>
  </si>
  <si>
    <t>Colonne2823</t>
  </si>
  <si>
    <t>Colonne2824</t>
  </si>
  <si>
    <t>Colonne2825</t>
  </si>
  <si>
    <t>Colonne2826</t>
  </si>
  <si>
    <t>Colonne2827</t>
  </si>
  <si>
    <t>Colonne2828</t>
  </si>
  <si>
    <t>Colonne2829</t>
  </si>
  <si>
    <t>Colonne2830</t>
  </si>
  <si>
    <t>Colonne2831</t>
  </si>
  <si>
    <t>Colonne2832</t>
  </si>
  <si>
    <t>Colonne2833</t>
  </si>
  <si>
    <t>Colonne2834</t>
  </si>
  <si>
    <t>Colonne2835</t>
  </si>
  <si>
    <t>Colonne2836</t>
  </si>
  <si>
    <t>Colonne2837</t>
  </si>
  <si>
    <t>Colonne2838</t>
  </si>
  <si>
    <t>Colonne2839</t>
  </si>
  <si>
    <t>Colonne2840</t>
  </si>
  <si>
    <t>Colonne2841</t>
  </si>
  <si>
    <t>Colonne2842</t>
  </si>
  <si>
    <t>Colonne2843</t>
  </si>
  <si>
    <t>Colonne2844</t>
  </si>
  <si>
    <t>Colonne2845</t>
  </si>
  <si>
    <t>Colonne2846</t>
  </si>
  <si>
    <t>Colonne2847</t>
  </si>
  <si>
    <t>Colonne2848</t>
  </si>
  <si>
    <t>Colonne2849</t>
  </si>
  <si>
    <t>Colonne2850</t>
  </si>
  <si>
    <t>Colonne2851</t>
  </si>
  <si>
    <t>Colonne2852</t>
  </si>
  <si>
    <t>Colonne2853</t>
  </si>
  <si>
    <t>Colonne2854</t>
  </si>
  <si>
    <t>Colonne2855</t>
  </si>
  <si>
    <t>Colonne2856</t>
  </si>
  <si>
    <t>Colonne2857</t>
  </si>
  <si>
    <t>Colonne2858</t>
  </si>
  <si>
    <t>Colonne2859</t>
  </si>
  <si>
    <t>Colonne2860</t>
  </si>
  <si>
    <t>Colonne2861</t>
  </si>
  <si>
    <t>Colonne2862</t>
  </si>
  <si>
    <t>Colonne2863</t>
  </si>
  <si>
    <t>Colonne2864</t>
  </si>
  <si>
    <t>Colonne2865</t>
  </si>
  <si>
    <t>Colonne2866</t>
  </si>
  <si>
    <t>Colonne2867</t>
  </si>
  <si>
    <t>Colonne2868</t>
  </si>
  <si>
    <t>Colonne2869</t>
  </si>
  <si>
    <t>Colonne2870</t>
  </si>
  <si>
    <t>Colonne2871</t>
  </si>
  <si>
    <t>Colonne2872</t>
  </si>
  <si>
    <t>Colonne2873</t>
  </si>
  <si>
    <t>Colonne2874</t>
  </si>
  <si>
    <t>Colonne2875</t>
  </si>
  <si>
    <t>Colonne2876</t>
  </si>
  <si>
    <t>Colonne2877</t>
  </si>
  <si>
    <t>Colonne2878</t>
  </si>
  <si>
    <t>Colonne2879</t>
  </si>
  <si>
    <t>Colonne2880</t>
  </si>
  <si>
    <t>Colonne2881</t>
  </si>
  <si>
    <t>Colonne2882</t>
  </si>
  <si>
    <t>Colonne2883</t>
  </si>
  <si>
    <t>Colonne2884</t>
  </si>
  <si>
    <t>Colonne2885</t>
  </si>
  <si>
    <t>Colonne2886</t>
  </si>
  <si>
    <t>Colonne2887</t>
  </si>
  <si>
    <t>Colonne2888</t>
  </si>
  <si>
    <t>Colonne2889</t>
  </si>
  <si>
    <t>Colonne2890</t>
  </si>
  <si>
    <t>Colonne2891</t>
  </si>
  <si>
    <t>Colonne2892</t>
  </si>
  <si>
    <t>Colonne2893</t>
  </si>
  <si>
    <t>Colonne2894</t>
  </si>
  <si>
    <t>Colonne2895</t>
  </si>
  <si>
    <t>Colonne2896</t>
  </si>
  <si>
    <t>Colonne2897</t>
  </si>
  <si>
    <t>Colonne2898</t>
  </si>
  <si>
    <t>Colonne2899</t>
  </si>
  <si>
    <t>Colonne2900</t>
  </si>
  <si>
    <t>Colonne2901</t>
  </si>
  <si>
    <t>Colonne2902</t>
  </si>
  <si>
    <t>Colonne2903</t>
  </si>
  <si>
    <t>Colonne2904</t>
  </si>
  <si>
    <t>Colonne2905</t>
  </si>
  <si>
    <t>Colonne2906</t>
  </si>
  <si>
    <t>Colonne2907</t>
  </si>
  <si>
    <t>Colonne2908</t>
  </si>
  <si>
    <t>Colonne2909</t>
  </si>
  <si>
    <t>Colonne2910</t>
  </si>
  <si>
    <t>Colonne2911</t>
  </si>
  <si>
    <t>Colonne2912</t>
  </si>
  <si>
    <t>Colonne2913</t>
  </si>
  <si>
    <t>Colonne2914</t>
  </si>
  <si>
    <t>Colonne2915</t>
  </si>
  <si>
    <t>Colonne2916</t>
  </si>
  <si>
    <t>Colonne2917</t>
  </si>
  <si>
    <t>Colonne2918</t>
  </si>
  <si>
    <t>Colonne2919</t>
  </si>
  <si>
    <t>Colonne2920</t>
  </si>
  <si>
    <t>Colonne2921</t>
  </si>
  <si>
    <t>Colonne2922</t>
  </si>
  <si>
    <t>Colonne2923</t>
  </si>
  <si>
    <t>Colonne2924</t>
  </si>
  <si>
    <t>Colonne2925</t>
  </si>
  <si>
    <t>Colonne2926</t>
  </si>
  <si>
    <t>Colonne2927</t>
  </si>
  <si>
    <t>Colonne2928</t>
  </si>
  <si>
    <t>Colonne2929</t>
  </si>
  <si>
    <t>Colonne2930</t>
  </si>
  <si>
    <t>Colonne2931</t>
  </si>
  <si>
    <t>Colonne2932</t>
  </si>
  <si>
    <t>Colonne2933</t>
  </si>
  <si>
    <t>Colonne2934</t>
  </si>
  <si>
    <t>Colonne2935</t>
  </si>
  <si>
    <t>Colonne2936</t>
  </si>
  <si>
    <t>Colonne2937</t>
  </si>
  <si>
    <t>Colonne2938</t>
  </si>
  <si>
    <t>Colonne2939</t>
  </si>
  <si>
    <t>Colonne2940</t>
  </si>
  <si>
    <t>Colonne2941</t>
  </si>
  <si>
    <t>Colonne2942</t>
  </si>
  <si>
    <t>Colonne2943</t>
  </si>
  <si>
    <t>Colonne2944</t>
  </si>
  <si>
    <t>Colonne2945</t>
  </si>
  <si>
    <t>Colonne2946</t>
  </si>
  <si>
    <t>Colonne2947</t>
  </si>
  <si>
    <t>Colonne2948</t>
  </si>
  <si>
    <t>Colonne2949</t>
  </si>
  <si>
    <t>Colonne2950</t>
  </si>
  <si>
    <t>Colonne2951</t>
  </si>
  <si>
    <t>Colonne2952</t>
  </si>
  <si>
    <t>Colonne2953</t>
  </si>
  <si>
    <t>Colonne2954</t>
  </si>
  <si>
    <t>Colonne2955</t>
  </si>
  <si>
    <t>Colonne2956</t>
  </si>
  <si>
    <t>Colonne2957</t>
  </si>
  <si>
    <t>Colonne2958</t>
  </si>
  <si>
    <t>Colonne2959</t>
  </si>
  <si>
    <t>Colonne2960</t>
  </si>
  <si>
    <t>Colonne2961</t>
  </si>
  <si>
    <t>Colonne2962</t>
  </si>
  <si>
    <t>Colonne2963</t>
  </si>
  <si>
    <t>Colonne2964</t>
  </si>
  <si>
    <t>Colonne2965</t>
  </si>
  <si>
    <t>Colonne2966</t>
  </si>
  <si>
    <t>Colonne2967</t>
  </si>
  <si>
    <t>Colonne2968</t>
  </si>
  <si>
    <t>Colonne2969</t>
  </si>
  <si>
    <t>Colonne2970</t>
  </si>
  <si>
    <t>Colonne2971</t>
  </si>
  <si>
    <t>Colonne2972</t>
  </si>
  <si>
    <t>Colonne2973</t>
  </si>
  <si>
    <t>Colonne2974</t>
  </si>
  <si>
    <t>Colonne2975</t>
  </si>
  <si>
    <t>Colonne2976</t>
  </si>
  <si>
    <t>Colonne2977</t>
  </si>
  <si>
    <t>Colonne2978</t>
  </si>
  <si>
    <t>Colonne2979</t>
  </si>
  <si>
    <t>Colonne2980</t>
  </si>
  <si>
    <t>Colonne2981</t>
  </si>
  <si>
    <t>Colonne2982</t>
  </si>
  <si>
    <t>Colonne2983</t>
  </si>
  <si>
    <t>Colonne2984</t>
  </si>
  <si>
    <t>Colonne2985</t>
  </si>
  <si>
    <t>Colonne2986</t>
  </si>
  <si>
    <t>Colonne2987</t>
  </si>
  <si>
    <t>Colonne2988</t>
  </si>
  <si>
    <t>Colonne2989</t>
  </si>
  <si>
    <t>Colonne2990</t>
  </si>
  <si>
    <t>Colonne2991</t>
  </si>
  <si>
    <t>Colonne2992</t>
  </si>
  <si>
    <t>Colonne2993</t>
  </si>
  <si>
    <t>Colonne2994</t>
  </si>
  <si>
    <t>Colonne2995</t>
  </si>
  <si>
    <t>Colonne2996</t>
  </si>
  <si>
    <t>Colonne2997</t>
  </si>
  <si>
    <t>Colonne2998</t>
  </si>
  <si>
    <t>Colonne2999</t>
  </si>
  <si>
    <t>Colonne3000</t>
  </si>
  <si>
    <t>Colonne3001</t>
  </si>
  <si>
    <t>Colonne3002</t>
  </si>
  <si>
    <t>Colonne3003</t>
  </si>
  <si>
    <t>Colonne3004</t>
  </si>
  <si>
    <t>Colonne3005</t>
  </si>
  <si>
    <t>Colonne3006</t>
  </si>
  <si>
    <t>Colonne3007</t>
  </si>
  <si>
    <t>Colonne3008</t>
  </si>
  <si>
    <t>Colonne3009</t>
  </si>
  <si>
    <t>Colonne3010</t>
  </si>
  <si>
    <t>Colonne3011</t>
  </si>
  <si>
    <t>Colonne3012</t>
  </si>
  <si>
    <t>Colonne3013</t>
  </si>
  <si>
    <t>Colonne3014</t>
  </si>
  <si>
    <t>Colonne3015</t>
  </si>
  <si>
    <t>Colonne3016</t>
  </si>
  <si>
    <t>Colonne3017</t>
  </si>
  <si>
    <t>Colonne3018</t>
  </si>
  <si>
    <t>Colonne3019</t>
  </si>
  <si>
    <t>Colonne3020</t>
  </si>
  <si>
    <t>Colonne3021</t>
  </si>
  <si>
    <t>Colonne3022</t>
  </si>
  <si>
    <t>Colonne3023</t>
  </si>
  <si>
    <t>Colonne3024</t>
  </si>
  <si>
    <t>Colonne3025</t>
  </si>
  <si>
    <t>Colonne3026</t>
  </si>
  <si>
    <t>Colonne3027</t>
  </si>
  <si>
    <t>Colonne3028</t>
  </si>
  <si>
    <t>Colonne3029</t>
  </si>
  <si>
    <t>Colonne3030</t>
  </si>
  <si>
    <t>Colonne3031</t>
  </si>
  <si>
    <t>Colonne3032</t>
  </si>
  <si>
    <t>Colonne3033</t>
  </si>
  <si>
    <t>Colonne3034</t>
  </si>
  <si>
    <t>Colonne3035</t>
  </si>
  <si>
    <t>Colonne3036</t>
  </si>
  <si>
    <t>Colonne3037</t>
  </si>
  <si>
    <t>Colonne3038</t>
  </si>
  <si>
    <t>Colonne3039</t>
  </si>
  <si>
    <t>Colonne3040</t>
  </si>
  <si>
    <t>Colonne3041</t>
  </si>
  <si>
    <t>Colonne3042</t>
  </si>
  <si>
    <t>Colonne3043</t>
  </si>
  <si>
    <t>Colonne3044</t>
  </si>
  <si>
    <t>Colonne3045</t>
  </si>
  <si>
    <t>Colonne3046</t>
  </si>
  <si>
    <t>Colonne3047</t>
  </si>
  <si>
    <t>Colonne3048</t>
  </si>
  <si>
    <t>Colonne3049</t>
  </si>
  <si>
    <t>Colonne3050</t>
  </si>
  <si>
    <t>Colonne3051</t>
  </si>
  <si>
    <t>Colonne3052</t>
  </si>
  <si>
    <t>Colonne3053</t>
  </si>
  <si>
    <t>Colonne3054</t>
  </si>
  <si>
    <t>Colonne3055</t>
  </si>
  <si>
    <t>Colonne3056</t>
  </si>
  <si>
    <t>Colonne3057</t>
  </si>
  <si>
    <t>Colonne3058</t>
  </si>
  <si>
    <t>Colonne3059</t>
  </si>
  <si>
    <t>Colonne3060</t>
  </si>
  <si>
    <t>Colonne3061</t>
  </si>
  <si>
    <t>Colonne3062</t>
  </si>
  <si>
    <t>Colonne3063</t>
  </si>
  <si>
    <t>Colonne3064</t>
  </si>
  <si>
    <t>Colonne3065</t>
  </si>
  <si>
    <t>Colonne3066</t>
  </si>
  <si>
    <t>Colonne3067</t>
  </si>
  <si>
    <t>Colonne3068</t>
  </si>
  <si>
    <t>Colonne3069</t>
  </si>
  <si>
    <t>Colonne3070</t>
  </si>
  <si>
    <t>Colonne3071</t>
  </si>
  <si>
    <t>Colonne3072</t>
  </si>
  <si>
    <t>Colonne3073</t>
  </si>
  <si>
    <t>Colonne3074</t>
  </si>
  <si>
    <t>Colonne3075</t>
  </si>
  <si>
    <t>Colonne3076</t>
  </si>
  <si>
    <t>Colonne3077</t>
  </si>
  <si>
    <t>Colonne3078</t>
  </si>
  <si>
    <t>Colonne3079</t>
  </si>
  <si>
    <t>Colonne3080</t>
  </si>
  <si>
    <t>Colonne3081</t>
  </si>
  <si>
    <t>Colonne3082</t>
  </si>
  <si>
    <t>Colonne3083</t>
  </si>
  <si>
    <t>Colonne3084</t>
  </si>
  <si>
    <t>Colonne3085</t>
  </si>
  <si>
    <t>Colonne3086</t>
  </si>
  <si>
    <t>Colonne3087</t>
  </si>
  <si>
    <t>Colonne3088</t>
  </si>
  <si>
    <t>Colonne3089</t>
  </si>
  <si>
    <t>Colonne3090</t>
  </si>
  <si>
    <t>Colonne3091</t>
  </si>
  <si>
    <t>Colonne3092</t>
  </si>
  <si>
    <t>Colonne3093</t>
  </si>
  <si>
    <t>Colonne3094</t>
  </si>
  <si>
    <t>Colonne3095</t>
  </si>
  <si>
    <t>Colonne3096</t>
  </si>
  <si>
    <t>Colonne3097</t>
  </si>
  <si>
    <t>Colonne3098</t>
  </si>
  <si>
    <t>Colonne3099</t>
  </si>
  <si>
    <t>Colonne3100</t>
  </si>
  <si>
    <t>Colonne3101</t>
  </si>
  <si>
    <t>Colonne3102</t>
  </si>
  <si>
    <t>Colonne3103</t>
  </si>
  <si>
    <t>Colonne3104</t>
  </si>
  <si>
    <t>Colonne3105</t>
  </si>
  <si>
    <t>Colonne3106</t>
  </si>
  <si>
    <t>Colonne3107</t>
  </si>
  <si>
    <t>Colonne3108</t>
  </si>
  <si>
    <t>Colonne3109</t>
  </si>
  <si>
    <t>Colonne3110</t>
  </si>
  <si>
    <t>Colonne3111</t>
  </si>
  <si>
    <t>Colonne3112</t>
  </si>
  <si>
    <t>Colonne3113</t>
  </si>
  <si>
    <t>Colonne3114</t>
  </si>
  <si>
    <t>Colonne3115</t>
  </si>
  <si>
    <t>Colonne3116</t>
  </si>
  <si>
    <t>Colonne3117</t>
  </si>
  <si>
    <t>Colonne3118</t>
  </si>
  <si>
    <t>Colonne3119</t>
  </si>
  <si>
    <t>Colonne3120</t>
  </si>
  <si>
    <t>Colonne3121</t>
  </si>
  <si>
    <t>Colonne3122</t>
  </si>
  <si>
    <t>Colonne3123</t>
  </si>
  <si>
    <t>Colonne3124</t>
  </si>
  <si>
    <t>Colonne3125</t>
  </si>
  <si>
    <t>Colonne3126</t>
  </si>
  <si>
    <t>Colonne3127</t>
  </si>
  <si>
    <t>Colonne3128</t>
  </si>
  <si>
    <t>Colonne3129</t>
  </si>
  <si>
    <t>Colonne3130</t>
  </si>
  <si>
    <t>Colonne3131</t>
  </si>
  <si>
    <t>Colonne3132</t>
  </si>
  <si>
    <t>Colonne3133</t>
  </si>
  <si>
    <t>Colonne3134</t>
  </si>
  <si>
    <t>Colonne3135</t>
  </si>
  <si>
    <t>Colonne3136</t>
  </si>
  <si>
    <t>Colonne3137</t>
  </si>
  <si>
    <t>Colonne3138</t>
  </si>
  <si>
    <t>Colonne3139</t>
  </si>
  <si>
    <t>Colonne3140</t>
  </si>
  <si>
    <t>Colonne3141</t>
  </si>
  <si>
    <t>Colonne3142</t>
  </si>
  <si>
    <t>Colonne3143</t>
  </si>
  <si>
    <t>Colonne3144</t>
  </si>
  <si>
    <t>Colonne3145</t>
  </si>
  <si>
    <t>Colonne3146</t>
  </si>
  <si>
    <t>Colonne3147</t>
  </si>
  <si>
    <t>Colonne3148</t>
  </si>
  <si>
    <t>Colonne3149</t>
  </si>
  <si>
    <t>Colonne3150</t>
  </si>
  <si>
    <t>Colonne3151</t>
  </si>
  <si>
    <t>Colonne3152</t>
  </si>
  <si>
    <t>Colonne3153</t>
  </si>
  <si>
    <t>Colonne3154</t>
  </si>
  <si>
    <t>Colonne3155</t>
  </si>
  <si>
    <t>Colonne3156</t>
  </si>
  <si>
    <t>Colonne3157</t>
  </si>
  <si>
    <t>Colonne3158</t>
  </si>
  <si>
    <t>Colonne3159</t>
  </si>
  <si>
    <t>Colonne3160</t>
  </si>
  <si>
    <t>Colonne3161</t>
  </si>
  <si>
    <t>Colonne3162</t>
  </si>
  <si>
    <t>Colonne3163</t>
  </si>
  <si>
    <t>Colonne3164</t>
  </si>
  <si>
    <t>Colonne3165</t>
  </si>
  <si>
    <t>Colonne3166</t>
  </si>
  <si>
    <t>Colonne3167</t>
  </si>
  <si>
    <t>Colonne3168</t>
  </si>
  <si>
    <t>Colonne3169</t>
  </si>
  <si>
    <t>Colonne3170</t>
  </si>
  <si>
    <t>Colonne3171</t>
  </si>
  <si>
    <t>Colonne3172</t>
  </si>
  <si>
    <t>Colonne3173</t>
  </si>
  <si>
    <t>Colonne3174</t>
  </si>
  <si>
    <t>Colonne3175</t>
  </si>
  <si>
    <t>Colonne3176</t>
  </si>
  <si>
    <t>Colonne3177</t>
  </si>
  <si>
    <t>Colonne3178</t>
  </si>
  <si>
    <t>Colonne3179</t>
  </si>
  <si>
    <t>Colonne3180</t>
  </si>
  <si>
    <t>Colonne3181</t>
  </si>
  <si>
    <t>Colonne3182</t>
  </si>
  <si>
    <t>Colonne3183</t>
  </si>
  <si>
    <t>Colonne3184</t>
  </si>
  <si>
    <t>Colonne3185</t>
  </si>
  <si>
    <t>Colonne3186</t>
  </si>
  <si>
    <t>Colonne3187</t>
  </si>
  <si>
    <t>Colonne3188</t>
  </si>
  <si>
    <t>Colonne3189</t>
  </si>
  <si>
    <t>Colonne3190</t>
  </si>
  <si>
    <t>Colonne3191</t>
  </si>
  <si>
    <t>Colonne3192</t>
  </si>
  <si>
    <t>Colonne3193</t>
  </si>
  <si>
    <t>Colonne3194</t>
  </si>
  <si>
    <t>Colonne3195</t>
  </si>
  <si>
    <t>Colonne3196</t>
  </si>
  <si>
    <t>Colonne3197</t>
  </si>
  <si>
    <t>Colonne3198</t>
  </si>
  <si>
    <t>Colonne3199</t>
  </si>
  <si>
    <t>Colonne3200</t>
  </si>
  <si>
    <t>Colonne3201</t>
  </si>
  <si>
    <t>Colonne3202</t>
  </si>
  <si>
    <t>Colonne3203</t>
  </si>
  <si>
    <t>Colonne3204</t>
  </si>
  <si>
    <t>Colonne3205</t>
  </si>
  <si>
    <t>Colonne3206</t>
  </si>
  <si>
    <t>Colonne3207</t>
  </si>
  <si>
    <t>Colonne3208</t>
  </si>
  <si>
    <t>Colonne3209</t>
  </si>
  <si>
    <t>Colonne3210</t>
  </si>
  <si>
    <t>Colonne3211</t>
  </si>
  <si>
    <t>Colonne3212</t>
  </si>
  <si>
    <t>Colonne3213</t>
  </si>
  <si>
    <t>Colonne3214</t>
  </si>
  <si>
    <t>Colonne3215</t>
  </si>
  <si>
    <t>Colonne3216</t>
  </si>
  <si>
    <t>Colonne3217</t>
  </si>
  <si>
    <t>Colonne3218</t>
  </si>
  <si>
    <t>Colonne3219</t>
  </si>
  <si>
    <t>Colonne3220</t>
  </si>
  <si>
    <t>Colonne3221</t>
  </si>
  <si>
    <t>Colonne3222</t>
  </si>
  <si>
    <t>Colonne3223</t>
  </si>
  <si>
    <t>Colonne3224</t>
  </si>
  <si>
    <t>Colonne3225</t>
  </si>
  <si>
    <t>Colonne3226</t>
  </si>
  <si>
    <t>Colonne3227</t>
  </si>
  <si>
    <t>Colonne3228</t>
  </si>
  <si>
    <t>Colonne3229</t>
  </si>
  <si>
    <t>Colonne3230</t>
  </si>
  <si>
    <t>Colonne3231</t>
  </si>
  <si>
    <t>Colonne3232</t>
  </si>
  <si>
    <t>Colonne3233</t>
  </si>
  <si>
    <t>Colonne3234</t>
  </si>
  <si>
    <t>Colonne3235</t>
  </si>
  <si>
    <t>Colonne3236</t>
  </si>
  <si>
    <t>Colonne3237</t>
  </si>
  <si>
    <t>Colonne3238</t>
  </si>
  <si>
    <t>Colonne3239</t>
  </si>
  <si>
    <t>Colonne3240</t>
  </si>
  <si>
    <t>Colonne3241</t>
  </si>
  <si>
    <t>Colonne3242</t>
  </si>
  <si>
    <t>Colonne3243</t>
  </si>
  <si>
    <t>Colonne3244</t>
  </si>
  <si>
    <t>Colonne3245</t>
  </si>
  <si>
    <t>Colonne3246</t>
  </si>
  <si>
    <t>Colonne3247</t>
  </si>
  <si>
    <t>Colonne3248</t>
  </si>
  <si>
    <t>Colonne3249</t>
  </si>
  <si>
    <t>Colonne3250</t>
  </si>
  <si>
    <t>Colonne3251</t>
  </si>
  <si>
    <t>Colonne3252</t>
  </si>
  <si>
    <t>Colonne3253</t>
  </si>
  <si>
    <t>Colonne3254</t>
  </si>
  <si>
    <t>Colonne3255</t>
  </si>
  <si>
    <t>Colonne3256</t>
  </si>
  <si>
    <t>Colonne3257</t>
  </si>
  <si>
    <t>Colonne3258</t>
  </si>
  <si>
    <t>Colonne3259</t>
  </si>
  <si>
    <t>Colonne3260</t>
  </si>
  <si>
    <t>Colonne3261</t>
  </si>
  <si>
    <t>Colonne3262</t>
  </si>
  <si>
    <t>Colonne3263</t>
  </si>
  <si>
    <t>Colonne3264</t>
  </si>
  <si>
    <t>Colonne3265</t>
  </si>
  <si>
    <t>Colonne3266</t>
  </si>
  <si>
    <t>Colonne3267</t>
  </si>
  <si>
    <t>Colonne3268</t>
  </si>
  <si>
    <t>Colonne3269</t>
  </si>
  <si>
    <t>Colonne3270</t>
  </si>
  <si>
    <t>Colonne3271</t>
  </si>
  <si>
    <t>Colonne3272</t>
  </si>
  <si>
    <t>Colonne3273</t>
  </si>
  <si>
    <t>Colonne3274</t>
  </si>
  <si>
    <t>Colonne3275</t>
  </si>
  <si>
    <t>Colonne3276</t>
  </si>
  <si>
    <t>Colonne3277</t>
  </si>
  <si>
    <t>Colonne3278</t>
  </si>
  <si>
    <t>Colonne3279</t>
  </si>
  <si>
    <t>Colonne3280</t>
  </si>
  <si>
    <t>Colonne3281</t>
  </si>
  <si>
    <t>Colonne3282</t>
  </si>
  <si>
    <t>Colonne3283</t>
  </si>
  <si>
    <t>Colonne3284</t>
  </si>
  <si>
    <t>Colonne3285</t>
  </si>
  <si>
    <t>Colonne3286</t>
  </si>
  <si>
    <t>Colonne3287</t>
  </si>
  <si>
    <t>Colonne3288</t>
  </si>
  <si>
    <t>Colonne3289</t>
  </si>
  <si>
    <t>Colonne3290</t>
  </si>
  <si>
    <t>Colonne3291</t>
  </si>
  <si>
    <t>Colonne3292</t>
  </si>
  <si>
    <t>Colonne3293</t>
  </si>
  <si>
    <t>Colonne3294</t>
  </si>
  <si>
    <t>Colonne3295</t>
  </si>
  <si>
    <t>Colonne3296</t>
  </si>
  <si>
    <t>Colonne3297</t>
  </si>
  <si>
    <t>Colonne3298</t>
  </si>
  <si>
    <t>Colonne3299</t>
  </si>
  <si>
    <t>Colonne3300</t>
  </si>
  <si>
    <t>Colonne3301</t>
  </si>
  <si>
    <t>Colonne3302</t>
  </si>
  <si>
    <t>Colonne3303</t>
  </si>
  <si>
    <t>Colonne3304</t>
  </si>
  <si>
    <t>Colonne3305</t>
  </si>
  <si>
    <t>Colonne3306</t>
  </si>
  <si>
    <t>Colonne3307</t>
  </si>
  <si>
    <t>Colonne3308</t>
  </si>
  <si>
    <t>Colonne3309</t>
  </si>
  <si>
    <t>Colonne3310</t>
  </si>
  <si>
    <t>Colonne3311</t>
  </si>
  <si>
    <t>Colonne3312</t>
  </si>
  <si>
    <t>Colonne3313</t>
  </si>
  <si>
    <t>Colonne3314</t>
  </si>
  <si>
    <t>Colonne3315</t>
  </si>
  <si>
    <t>Colonne3316</t>
  </si>
  <si>
    <t>Colonne3317</t>
  </si>
  <si>
    <t>Colonne3318</t>
  </si>
  <si>
    <t>Colonne3319</t>
  </si>
  <si>
    <t>Colonne3320</t>
  </si>
  <si>
    <t>Colonne3321</t>
  </si>
  <si>
    <t>Colonne3322</t>
  </si>
  <si>
    <t>Colonne3323</t>
  </si>
  <si>
    <t>Colonne3324</t>
  </si>
  <si>
    <t>Colonne3325</t>
  </si>
  <si>
    <t>Colonne3326</t>
  </si>
  <si>
    <t>Colonne3327</t>
  </si>
  <si>
    <t>Colonne3328</t>
  </si>
  <si>
    <t>Colonne3329</t>
  </si>
  <si>
    <t>Colonne3330</t>
  </si>
  <si>
    <t>Colonne3331</t>
  </si>
  <si>
    <t>Colonne3332</t>
  </si>
  <si>
    <t>Colonne3333</t>
  </si>
  <si>
    <t>Colonne3334</t>
  </si>
  <si>
    <t>Colonne3335</t>
  </si>
  <si>
    <t>Colonne3336</t>
  </si>
  <si>
    <t>Colonne3337</t>
  </si>
  <si>
    <t>Colonne3338</t>
  </si>
  <si>
    <t>Colonne3339</t>
  </si>
  <si>
    <t>Colonne3340</t>
  </si>
  <si>
    <t>Colonne3341</t>
  </si>
  <si>
    <t>Colonne3342</t>
  </si>
  <si>
    <t>Colonne3343</t>
  </si>
  <si>
    <t>Colonne3344</t>
  </si>
  <si>
    <t>Colonne3345</t>
  </si>
  <si>
    <t>Colonne3346</t>
  </si>
  <si>
    <t>Colonne3347</t>
  </si>
  <si>
    <t>Colonne3348</t>
  </si>
  <si>
    <t>Colonne3349</t>
  </si>
  <si>
    <t>Colonne3350</t>
  </si>
  <si>
    <t>Colonne3351</t>
  </si>
  <si>
    <t>Colonne3352</t>
  </si>
  <si>
    <t>Colonne3353</t>
  </si>
  <si>
    <t>Colonne3354</t>
  </si>
  <si>
    <t>Colonne3355</t>
  </si>
  <si>
    <t>Colonne3356</t>
  </si>
  <si>
    <t>Colonne3357</t>
  </si>
  <si>
    <t>Colonne3358</t>
  </si>
  <si>
    <t>Colonne3359</t>
  </si>
  <si>
    <t>Colonne3360</t>
  </si>
  <si>
    <t>Colonne3361</t>
  </si>
  <si>
    <t>Colonne3362</t>
  </si>
  <si>
    <t>Colonne3363</t>
  </si>
  <si>
    <t>Colonne3364</t>
  </si>
  <si>
    <t>Colonne3365</t>
  </si>
  <si>
    <t>Colonne3366</t>
  </si>
  <si>
    <t>Colonne3367</t>
  </si>
  <si>
    <t>Colonne3368</t>
  </si>
  <si>
    <t>Colonne3369</t>
  </si>
  <si>
    <t>Colonne3370</t>
  </si>
  <si>
    <t>Colonne3371</t>
  </si>
  <si>
    <t>Colonne3372</t>
  </si>
  <si>
    <t>Colonne3373</t>
  </si>
  <si>
    <t>Colonne3374</t>
  </si>
  <si>
    <t>Colonne3375</t>
  </si>
  <si>
    <t>Colonne3376</t>
  </si>
  <si>
    <t>Colonne3377</t>
  </si>
  <si>
    <t>Colonne3378</t>
  </si>
  <si>
    <t>Colonne3379</t>
  </si>
  <si>
    <t>Colonne3380</t>
  </si>
  <si>
    <t>Colonne3381</t>
  </si>
  <si>
    <t>Colonne3382</t>
  </si>
  <si>
    <t>Colonne3383</t>
  </si>
  <si>
    <t>Colonne3384</t>
  </si>
  <si>
    <t>Colonne3385</t>
  </si>
  <si>
    <t>Colonne3386</t>
  </si>
  <si>
    <t>Colonne3387</t>
  </si>
  <si>
    <t>Colonne3388</t>
  </si>
  <si>
    <t>Colonne3389</t>
  </si>
  <si>
    <t>Colonne3390</t>
  </si>
  <si>
    <t>Colonne3391</t>
  </si>
  <si>
    <t>Colonne3392</t>
  </si>
  <si>
    <t>Colonne3393</t>
  </si>
  <si>
    <t>Colonne3394</t>
  </si>
  <si>
    <t>Colonne3395</t>
  </si>
  <si>
    <t>Colonne3396</t>
  </si>
  <si>
    <t>Colonne3397</t>
  </si>
  <si>
    <t>Colonne3398</t>
  </si>
  <si>
    <t>Colonne3399</t>
  </si>
  <si>
    <t>Colonne3400</t>
  </si>
  <si>
    <t>Colonne3401</t>
  </si>
  <si>
    <t>Colonne3402</t>
  </si>
  <si>
    <t>Colonne3403</t>
  </si>
  <si>
    <t>Colonne3404</t>
  </si>
  <si>
    <t>Colonne3405</t>
  </si>
  <si>
    <t>Colonne3406</t>
  </si>
  <si>
    <t>Colonne3407</t>
  </si>
  <si>
    <t>Colonne3408</t>
  </si>
  <si>
    <t>Colonne3409</t>
  </si>
  <si>
    <t>Colonne3410</t>
  </si>
  <si>
    <t>Colonne3411</t>
  </si>
  <si>
    <t>Colonne3412</t>
  </si>
  <si>
    <t>Colonne3413</t>
  </si>
  <si>
    <t>Colonne3414</t>
  </si>
  <si>
    <t>Colonne3415</t>
  </si>
  <si>
    <t>Colonne3416</t>
  </si>
  <si>
    <t>Colonne3417</t>
  </si>
  <si>
    <t>Colonne3418</t>
  </si>
  <si>
    <t>Colonne3419</t>
  </si>
  <si>
    <t>Colonne3420</t>
  </si>
  <si>
    <t>Colonne3421</t>
  </si>
  <si>
    <t>Colonne3422</t>
  </si>
  <si>
    <t>Colonne3423</t>
  </si>
  <si>
    <t>Colonne3424</t>
  </si>
  <si>
    <t>Colonne3425</t>
  </si>
  <si>
    <t>Colonne3426</t>
  </si>
  <si>
    <t>Colonne3427</t>
  </si>
  <si>
    <t>Colonne3428</t>
  </si>
  <si>
    <t>Colonne3429</t>
  </si>
  <si>
    <t>Colonne3430</t>
  </si>
  <si>
    <t>Colonne3431</t>
  </si>
  <si>
    <t>Colonne3432</t>
  </si>
  <si>
    <t>Colonne3433</t>
  </si>
  <si>
    <t>Colonne3434</t>
  </si>
  <si>
    <t>Colonne3435</t>
  </si>
  <si>
    <t>Colonne3436</t>
  </si>
  <si>
    <t>Colonne3437</t>
  </si>
  <si>
    <t>Colonne3438</t>
  </si>
  <si>
    <t>Colonne3439</t>
  </si>
  <si>
    <t>Colonne3440</t>
  </si>
  <si>
    <t>Colonne3441</t>
  </si>
  <si>
    <t>Colonne3442</t>
  </si>
  <si>
    <t>Colonne3443</t>
  </si>
  <si>
    <t>Colonne3444</t>
  </si>
  <si>
    <t>Colonne3445</t>
  </si>
  <si>
    <t>Colonne3446</t>
  </si>
  <si>
    <t>Colonne3447</t>
  </si>
  <si>
    <t>Colonne3448</t>
  </si>
  <si>
    <t>Colonne3449</t>
  </si>
  <si>
    <t>Colonne3450</t>
  </si>
  <si>
    <t>Colonne3451</t>
  </si>
  <si>
    <t>Colonne3452</t>
  </si>
  <si>
    <t>Colonne3453</t>
  </si>
  <si>
    <t>Colonne3454</t>
  </si>
  <si>
    <t>Colonne3455</t>
  </si>
  <si>
    <t>Colonne3456</t>
  </si>
  <si>
    <t>Colonne3457</t>
  </si>
  <si>
    <t>Colonne3458</t>
  </si>
  <si>
    <t>Colonne3459</t>
  </si>
  <si>
    <t>Colonne3460</t>
  </si>
  <si>
    <t>Colonne3461</t>
  </si>
  <si>
    <t>Colonne3462</t>
  </si>
  <si>
    <t>Colonne3463</t>
  </si>
  <si>
    <t>Colonne3464</t>
  </si>
  <si>
    <t>Colonne3465</t>
  </si>
  <si>
    <t>Colonne3466</t>
  </si>
  <si>
    <t>Colonne3467</t>
  </si>
  <si>
    <t>Colonne3468</t>
  </si>
  <si>
    <t>Colonne3469</t>
  </si>
  <si>
    <t>Colonne3470</t>
  </si>
  <si>
    <t>Colonne3471</t>
  </si>
  <si>
    <t>Colonne3472</t>
  </si>
  <si>
    <t>Colonne3473</t>
  </si>
  <si>
    <t>Colonne3474</t>
  </si>
  <si>
    <t>Colonne3475</t>
  </si>
  <si>
    <t>Colonne3476</t>
  </si>
  <si>
    <t>Colonne3477</t>
  </si>
  <si>
    <t>Colonne3478</t>
  </si>
  <si>
    <t>Colonne3479</t>
  </si>
  <si>
    <t>Colonne3480</t>
  </si>
  <si>
    <t>Colonne3481</t>
  </si>
  <si>
    <t>Colonne3482</t>
  </si>
  <si>
    <t>Colonne3483</t>
  </si>
  <si>
    <t>Colonne3484</t>
  </si>
  <si>
    <t>Colonne3485</t>
  </si>
  <si>
    <t>Colonne3486</t>
  </si>
  <si>
    <t>Colonne3487</t>
  </si>
  <si>
    <t>Colonne3488</t>
  </si>
  <si>
    <t>Colonne3489</t>
  </si>
  <si>
    <t>Colonne3490</t>
  </si>
  <si>
    <t>Colonne3491</t>
  </si>
  <si>
    <t>Colonne3492</t>
  </si>
  <si>
    <t>Colonne3493</t>
  </si>
  <si>
    <t>Colonne3494</t>
  </si>
  <si>
    <t>Colonne3495</t>
  </si>
  <si>
    <t>Colonne3496</t>
  </si>
  <si>
    <t>Colonne3497</t>
  </si>
  <si>
    <t>Colonne3498</t>
  </si>
  <si>
    <t>Colonne3499</t>
  </si>
  <si>
    <t>Colonne3500</t>
  </si>
  <si>
    <t>Colonne3501</t>
  </si>
  <si>
    <t>Colonne3502</t>
  </si>
  <si>
    <t>Colonne3503</t>
  </si>
  <si>
    <t>Colonne3504</t>
  </si>
  <si>
    <t>Colonne3505</t>
  </si>
  <si>
    <t>Colonne3506</t>
  </si>
  <si>
    <t>Colonne3507</t>
  </si>
  <si>
    <t>Colonne3508</t>
  </si>
  <si>
    <t>Colonne3509</t>
  </si>
  <si>
    <t>Colonne3510</t>
  </si>
  <si>
    <t>Colonne3511</t>
  </si>
  <si>
    <t>Colonne3512</t>
  </si>
  <si>
    <t>Colonne3513</t>
  </si>
  <si>
    <t>Colonne3514</t>
  </si>
  <si>
    <t>Colonne3515</t>
  </si>
  <si>
    <t>Colonne3516</t>
  </si>
  <si>
    <t>Colonne3517</t>
  </si>
  <si>
    <t>Colonne3518</t>
  </si>
  <si>
    <t>Colonne3519</t>
  </si>
  <si>
    <t>Colonne3520</t>
  </si>
  <si>
    <t>Colonne3521</t>
  </si>
  <si>
    <t>Colonne3522</t>
  </si>
  <si>
    <t>Colonne3523</t>
  </si>
  <si>
    <t>Colonne3524</t>
  </si>
  <si>
    <t>Colonne3525</t>
  </si>
  <si>
    <t>Colonne3526</t>
  </si>
  <si>
    <t>Colonne3527</t>
  </si>
  <si>
    <t>Colonne3528</t>
  </si>
  <si>
    <t>Colonne3529</t>
  </si>
  <si>
    <t>Colonne3530</t>
  </si>
  <si>
    <t>Colonne3531</t>
  </si>
  <si>
    <t>Colonne3532</t>
  </si>
  <si>
    <t>Colonne3533</t>
  </si>
  <si>
    <t>Colonne3534</t>
  </si>
  <si>
    <t>Colonne3535</t>
  </si>
  <si>
    <t>Colonne3536</t>
  </si>
  <si>
    <t>Colonne3537</t>
  </si>
  <si>
    <t>Colonne3538</t>
  </si>
  <si>
    <t>Colonne3539</t>
  </si>
  <si>
    <t>Colonne3540</t>
  </si>
  <si>
    <t>Colonne3541</t>
  </si>
  <si>
    <t>Colonne3542</t>
  </si>
  <si>
    <t>Colonne3543</t>
  </si>
  <si>
    <t>Colonne3544</t>
  </si>
  <si>
    <t>Colonne3545</t>
  </si>
  <si>
    <t>Colonne3546</t>
  </si>
  <si>
    <t>Colonne3547</t>
  </si>
  <si>
    <t>Colonne3548</t>
  </si>
  <si>
    <t>Colonne3549</t>
  </si>
  <si>
    <t>Colonne3550</t>
  </si>
  <si>
    <t>Colonne3551</t>
  </si>
  <si>
    <t>Colonne3552</t>
  </si>
  <si>
    <t>Colonne3553</t>
  </si>
  <si>
    <t>Colonne3554</t>
  </si>
  <si>
    <t>Colonne3555</t>
  </si>
  <si>
    <t>Colonne3556</t>
  </si>
  <si>
    <t>Colonne3557</t>
  </si>
  <si>
    <t>Colonne3558</t>
  </si>
  <si>
    <t>Colonne3559</t>
  </si>
  <si>
    <t>Colonne3560</t>
  </si>
  <si>
    <t>Colonne3561</t>
  </si>
  <si>
    <t>Colonne3562</t>
  </si>
  <si>
    <t>Colonne3563</t>
  </si>
  <si>
    <t>Colonne3564</t>
  </si>
  <si>
    <t>Colonne3565</t>
  </si>
  <si>
    <t>Colonne3566</t>
  </si>
  <si>
    <t>Colonne3567</t>
  </si>
  <si>
    <t>Colonne3568</t>
  </si>
  <si>
    <t>Colonne3569</t>
  </si>
  <si>
    <t>Colonne3570</t>
  </si>
  <si>
    <t>Colonne3571</t>
  </si>
  <si>
    <t>Colonne3572</t>
  </si>
  <si>
    <t>Colonne3573</t>
  </si>
  <si>
    <t>Colonne3574</t>
  </si>
  <si>
    <t>Colonne3575</t>
  </si>
  <si>
    <t>Colonne3576</t>
  </si>
  <si>
    <t>Colonne3577</t>
  </si>
  <si>
    <t>Colonne3578</t>
  </si>
  <si>
    <t>Colonne3579</t>
  </si>
  <si>
    <t>Colonne3580</t>
  </si>
  <si>
    <t>Colonne3581</t>
  </si>
  <si>
    <t>Colonne3582</t>
  </si>
  <si>
    <t>Colonne3583</t>
  </si>
  <si>
    <t>Colonne3584</t>
  </si>
  <si>
    <t>Colonne3585</t>
  </si>
  <si>
    <t>Colonne3586</t>
  </si>
  <si>
    <t>Colonne3587</t>
  </si>
  <si>
    <t>Colonne3588</t>
  </si>
  <si>
    <t>Colonne3589</t>
  </si>
  <si>
    <t>Colonne3590</t>
  </si>
  <si>
    <t>Colonne3591</t>
  </si>
  <si>
    <t>Colonne3592</t>
  </si>
  <si>
    <t>Colonne3593</t>
  </si>
  <si>
    <t>Colonne3594</t>
  </si>
  <si>
    <t>Colonne3595</t>
  </si>
  <si>
    <t>Colonne3596</t>
  </si>
  <si>
    <t>Colonne3597</t>
  </si>
  <si>
    <t>Colonne3598</t>
  </si>
  <si>
    <t>Colonne3599</t>
  </si>
  <si>
    <t>Colonne3600</t>
  </si>
  <si>
    <t>Colonne3601</t>
  </si>
  <si>
    <t>Colonne3602</t>
  </si>
  <si>
    <t>Colonne3603</t>
  </si>
  <si>
    <t>Colonne3604</t>
  </si>
  <si>
    <t>Colonne3605</t>
  </si>
  <si>
    <t>Colonne3606</t>
  </si>
  <si>
    <t>Colonne3607</t>
  </si>
  <si>
    <t>Colonne3608</t>
  </si>
  <si>
    <t>Colonne3609</t>
  </si>
  <si>
    <t>Colonne3610</t>
  </si>
  <si>
    <t>Colonne3611</t>
  </si>
  <si>
    <t>Colonne3612</t>
  </si>
  <si>
    <t>Colonne3613</t>
  </si>
  <si>
    <t>Colonne3614</t>
  </si>
  <si>
    <t>Colonne3615</t>
  </si>
  <si>
    <t>Colonne3616</t>
  </si>
  <si>
    <t>Colonne3617</t>
  </si>
  <si>
    <t>Colonne3618</t>
  </si>
  <si>
    <t>Colonne3619</t>
  </si>
  <si>
    <t>Colonne3620</t>
  </si>
  <si>
    <t>Colonne3621</t>
  </si>
  <si>
    <t>Colonne3622</t>
  </si>
  <si>
    <t>Colonne3623</t>
  </si>
  <si>
    <t>Colonne3624</t>
  </si>
  <si>
    <t>Colonne3625</t>
  </si>
  <si>
    <t>Colonne3626</t>
  </si>
  <si>
    <t>Colonne3627</t>
  </si>
  <si>
    <t>Colonne3628</t>
  </si>
  <si>
    <t>Colonne3629</t>
  </si>
  <si>
    <t>Colonne3630</t>
  </si>
  <si>
    <t>Colonne3631</t>
  </si>
  <si>
    <t>Colonne3632</t>
  </si>
  <si>
    <t>Colonne3633</t>
  </si>
  <si>
    <t>Colonne3634</t>
  </si>
  <si>
    <t>Colonne3635</t>
  </si>
  <si>
    <t>Colonne3636</t>
  </si>
  <si>
    <t>Colonne3637</t>
  </si>
  <si>
    <t>Colonne3638</t>
  </si>
  <si>
    <t>Colonne3639</t>
  </si>
  <si>
    <t>Colonne3640</t>
  </si>
  <si>
    <t>Colonne3641</t>
  </si>
  <si>
    <t>Colonne3642</t>
  </si>
  <si>
    <t>Colonne3643</t>
  </si>
  <si>
    <t>Colonne3644</t>
  </si>
  <si>
    <t>Colonne3645</t>
  </si>
  <si>
    <t>Colonne3646</t>
  </si>
  <si>
    <t>Colonne3647</t>
  </si>
  <si>
    <t>Colonne3648</t>
  </si>
  <si>
    <t>Colonne3649</t>
  </si>
  <si>
    <t>Colonne3650</t>
  </si>
  <si>
    <t>Colonne3651</t>
  </si>
  <si>
    <t>Colonne3652</t>
  </si>
  <si>
    <t>Colonne3653</t>
  </si>
  <si>
    <t>Colonne3654</t>
  </si>
  <si>
    <t>Colonne3655</t>
  </si>
  <si>
    <t>Colonne3656</t>
  </si>
  <si>
    <t>Colonne3657</t>
  </si>
  <si>
    <t>Colonne3658</t>
  </si>
  <si>
    <t>Colonne3659</t>
  </si>
  <si>
    <t>Colonne3660</t>
  </si>
  <si>
    <t>Colonne3661</t>
  </si>
  <si>
    <t>Colonne3662</t>
  </si>
  <si>
    <t>Colonne3663</t>
  </si>
  <si>
    <t>Colonne3664</t>
  </si>
  <si>
    <t>Colonne3665</t>
  </si>
  <si>
    <t>Colonne3666</t>
  </si>
  <si>
    <t>Colonne3667</t>
  </si>
  <si>
    <t>Colonne3668</t>
  </si>
  <si>
    <t>Colonne3669</t>
  </si>
  <si>
    <t>Colonne3670</t>
  </si>
  <si>
    <t>Colonne3671</t>
  </si>
  <si>
    <t>Colonne3672</t>
  </si>
  <si>
    <t>Colonne3673</t>
  </si>
  <si>
    <t>Colonne3674</t>
  </si>
  <si>
    <t>Colonne3675</t>
  </si>
  <si>
    <t>Colonne3676</t>
  </si>
  <si>
    <t>Colonne3677</t>
  </si>
  <si>
    <t>Colonne3678</t>
  </si>
  <si>
    <t>Colonne3679</t>
  </si>
  <si>
    <t>Colonne3680</t>
  </si>
  <si>
    <t>Colonne3681</t>
  </si>
  <si>
    <t>Colonne3682</t>
  </si>
  <si>
    <t>Colonne3683</t>
  </si>
  <si>
    <t>Colonne3684</t>
  </si>
  <si>
    <t>Colonne3685</t>
  </si>
  <si>
    <t>Colonne3686</t>
  </si>
  <si>
    <t>Colonne3687</t>
  </si>
  <si>
    <t>Colonne3688</t>
  </si>
  <si>
    <t>Colonne3689</t>
  </si>
  <si>
    <t>Colonne3690</t>
  </si>
  <si>
    <t>Colonne3691</t>
  </si>
  <si>
    <t>Colonne3692</t>
  </si>
  <si>
    <t>Colonne3693</t>
  </si>
  <si>
    <t>Colonne3694</t>
  </si>
  <si>
    <t>Colonne3695</t>
  </si>
  <si>
    <t>Colonne3696</t>
  </si>
  <si>
    <t>Colonne3697</t>
  </si>
  <si>
    <t>Colonne3698</t>
  </si>
  <si>
    <t>Colonne3699</t>
  </si>
  <si>
    <t>Colonne3700</t>
  </si>
  <si>
    <t>Colonne3701</t>
  </si>
  <si>
    <t>Colonne3702</t>
  </si>
  <si>
    <t>Colonne3703</t>
  </si>
  <si>
    <t>Colonne3704</t>
  </si>
  <si>
    <t>Colonne3705</t>
  </si>
  <si>
    <t>Colonne3706</t>
  </si>
  <si>
    <t>Colonne3707</t>
  </si>
  <si>
    <t>Colonne3708</t>
  </si>
  <si>
    <t>Colonne3709</t>
  </si>
  <si>
    <t>Colonne3710</t>
  </si>
  <si>
    <t>Colonne3711</t>
  </si>
  <si>
    <t>Colonne3712</t>
  </si>
  <si>
    <t>Colonne3713</t>
  </si>
  <si>
    <t>Colonne3714</t>
  </si>
  <si>
    <t>Colonne3715</t>
  </si>
  <si>
    <t>Colonne3716</t>
  </si>
  <si>
    <t>Colonne3717</t>
  </si>
  <si>
    <t>Colonne3718</t>
  </si>
  <si>
    <t>Colonne3719</t>
  </si>
  <si>
    <t>Colonne3720</t>
  </si>
  <si>
    <t>Colonne3721</t>
  </si>
  <si>
    <t>Colonne3722</t>
  </si>
  <si>
    <t>Colonne3723</t>
  </si>
  <si>
    <t>Colonne3724</t>
  </si>
  <si>
    <t>Colonne3725</t>
  </si>
  <si>
    <t>Colonne3726</t>
  </si>
  <si>
    <t>Colonne3727</t>
  </si>
  <si>
    <t>Colonne3728</t>
  </si>
  <si>
    <t>Colonne3729</t>
  </si>
  <si>
    <t>Colonne3730</t>
  </si>
  <si>
    <t>Colonne3731</t>
  </si>
  <si>
    <t>Colonne3732</t>
  </si>
  <si>
    <t>Colonne3733</t>
  </si>
  <si>
    <t>Colonne3734</t>
  </si>
  <si>
    <t>Colonne3735</t>
  </si>
  <si>
    <t>Colonne3736</t>
  </si>
  <si>
    <t>Colonne3737</t>
  </si>
  <si>
    <t>Colonne3738</t>
  </si>
  <si>
    <t>Colonne3739</t>
  </si>
  <si>
    <t>Colonne3740</t>
  </si>
  <si>
    <t>Colonne3741</t>
  </si>
  <si>
    <t>Colonne3742</t>
  </si>
  <si>
    <t>Colonne3743</t>
  </si>
  <si>
    <t>Colonne3744</t>
  </si>
  <si>
    <t>Colonne3745</t>
  </si>
  <si>
    <t>Colonne3746</t>
  </si>
  <si>
    <t>Colonne3747</t>
  </si>
  <si>
    <t>Colonne3748</t>
  </si>
  <si>
    <t>Colonne3749</t>
  </si>
  <si>
    <t>Colonne3750</t>
  </si>
  <si>
    <t>Colonne3751</t>
  </si>
  <si>
    <t>Colonne3752</t>
  </si>
  <si>
    <t>Colonne3753</t>
  </si>
  <si>
    <t>Colonne3754</t>
  </si>
  <si>
    <t>Colonne3755</t>
  </si>
  <si>
    <t>Colonne3756</t>
  </si>
  <si>
    <t>Colonne3757</t>
  </si>
  <si>
    <t>Colonne3758</t>
  </si>
  <si>
    <t>Colonne3759</t>
  </si>
  <si>
    <t>Colonne3760</t>
  </si>
  <si>
    <t>Colonne3761</t>
  </si>
  <si>
    <t>Colonne3762</t>
  </si>
  <si>
    <t>Colonne3763</t>
  </si>
  <si>
    <t>Colonne3764</t>
  </si>
  <si>
    <t>Colonne3765</t>
  </si>
  <si>
    <t>Colonne3766</t>
  </si>
  <si>
    <t>Colonne3767</t>
  </si>
  <si>
    <t>Colonne3768</t>
  </si>
  <si>
    <t>Colonne3769</t>
  </si>
  <si>
    <t>Colonne3770</t>
  </si>
  <si>
    <t>Colonne3771</t>
  </si>
  <si>
    <t>Colonne3772</t>
  </si>
  <si>
    <t>Colonne3773</t>
  </si>
  <si>
    <t>Colonne3774</t>
  </si>
  <si>
    <t>Colonne3775</t>
  </si>
  <si>
    <t>Colonne3776</t>
  </si>
  <si>
    <t>Colonne3777</t>
  </si>
  <si>
    <t>Colonne3778</t>
  </si>
  <si>
    <t>Colonne3779</t>
  </si>
  <si>
    <t>Colonne3780</t>
  </si>
  <si>
    <t>Colonne3781</t>
  </si>
  <si>
    <t>Colonne3782</t>
  </si>
  <si>
    <t>Colonne3783</t>
  </si>
  <si>
    <t>Colonne3784</t>
  </si>
  <si>
    <t>Colonne3785</t>
  </si>
  <si>
    <t>Colonne3786</t>
  </si>
  <si>
    <t>Colonne3787</t>
  </si>
  <si>
    <t>Colonne3788</t>
  </si>
  <si>
    <t>Colonne3789</t>
  </si>
  <si>
    <t>Colonne3790</t>
  </si>
  <si>
    <t>Colonne3791</t>
  </si>
  <si>
    <t>Colonne3792</t>
  </si>
  <si>
    <t>Colonne3793</t>
  </si>
  <si>
    <t>Colonne3794</t>
  </si>
  <si>
    <t>Colonne3795</t>
  </si>
  <si>
    <t>Colonne3796</t>
  </si>
  <si>
    <t>Colonne3797</t>
  </si>
  <si>
    <t>Colonne3798</t>
  </si>
  <si>
    <t>Colonne3799</t>
  </si>
  <si>
    <t>Colonne3800</t>
  </si>
  <si>
    <t>Colonne3801</t>
  </si>
  <si>
    <t>Colonne3802</t>
  </si>
  <si>
    <t>Colonne3803</t>
  </si>
  <si>
    <t>Colonne3804</t>
  </si>
  <si>
    <t>Colonne3805</t>
  </si>
  <si>
    <t>Colonne3806</t>
  </si>
  <si>
    <t>Colonne3807</t>
  </si>
  <si>
    <t>Colonne3808</t>
  </si>
  <si>
    <t>Colonne3809</t>
  </si>
  <si>
    <t>Colonne3810</t>
  </si>
  <si>
    <t>Colonne3811</t>
  </si>
  <si>
    <t>Colonne3812</t>
  </si>
  <si>
    <t>Colonne3813</t>
  </si>
  <si>
    <t>Colonne3814</t>
  </si>
  <si>
    <t>Colonne3815</t>
  </si>
  <si>
    <t>Colonne3816</t>
  </si>
  <si>
    <t>Colonne3817</t>
  </si>
  <si>
    <t>Colonne3818</t>
  </si>
  <si>
    <t>Colonne3819</t>
  </si>
  <si>
    <t>Colonne3820</t>
  </si>
  <si>
    <t>Colonne3821</t>
  </si>
  <si>
    <t>Colonne3822</t>
  </si>
  <si>
    <t>Colonne3823</t>
  </si>
  <si>
    <t>Colonne3824</t>
  </si>
  <si>
    <t>Colonne3825</t>
  </si>
  <si>
    <t>Colonne3826</t>
  </si>
  <si>
    <t>Colonne3827</t>
  </si>
  <si>
    <t>Colonne3828</t>
  </si>
  <si>
    <t>Colonne3829</t>
  </si>
  <si>
    <t>Colonne3830</t>
  </si>
  <si>
    <t>Colonne3831</t>
  </si>
  <si>
    <t>Colonne3832</t>
  </si>
  <si>
    <t>Colonne3833</t>
  </si>
  <si>
    <t>Colonne3834</t>
  </si>
  <si>
    <t>Colonne3835</t>
  </si>
  <si>
    <t>Colonne3836</t>
  </si>
  <si>
    <t>Colonne3837</t>
  </si>
  <si>
    <t>Colonne3838</t>
  </si>
  <si>
    <t>Colonne3839</t>
  </si>
  <si>
    <t>Colonne3840</t>
  </si>
  <si>
    <t>Colonne3841</t>
  </si>
  <si>
    <t>Colonne3842</t>
  </si>
  <si>
    <t>Colonne3843</t>
  </si>
  <si>
    <t>Colonne3844</t>
  </si>
  <si>
    <t>Colonne3845</t>
  </si>
  <si>
    <t>Colonne3846</t>
  </si>
  <si>
    <t>Colonne3847</t>
  </si>
  <si>
    <t>Colonne3848</t>
  </si>
  <si>
    <t>Colonne3849</t>
  </si>
  <si>
    <t>Colonne3850</t>
  </si>
  <si>
    <t>Colonne3851</t>
  </si>
  <si>
    <t>Colonne3852</t>
  </si>
  <si>
    <t>Colonne3853</t>
  </si>
  <si>
    <t>Colonne3854</t>
  </si>
  <si>
    <t>Colonne3855</t>
  </si>
  <si>
    <t>Colonne3856</t>
  </si>
  <si>
    <t>Colonne3857</t>
  </si>
  <si>
    <t>Colonne3858</t>
  </si>
  <si>
    <t>Colonne3859</t>
  </si>
  <si>
    <t>Colonne3860</t>
  </si>
  <si>
    <t>Colonne3861</t>
  </si>
  <si>
    <t>Colonne3862</t>
  </si>
  <si>
    <t>Colonne3863</t>
  </si>
  <si>
    <t>Colonne3864</t>
  </si>
  <si>
    <t>Colonne3865</t>
  </si>
  <si>
    <t>Colonne3866</t>
  </si>
  <si>
    <t>Colonne3867</t>
  </si>
  <si>
    <t>Colonne3868</t>
  </si>
  <si>
    <t>Colonne3869</t>
  </si>
  <si>
    <t>Colonne3870</t>
  </si>
  <si>
    <t>Colonne3871</t>
  </si>
  <si>
    <t>Colonne3872</t>
  </si>
  <si>
    <t>Colonne3873</t>
  </si>
  <si>
    <t>Colonne3874</t>
  </si>
  <si>
    <t>Colonne3875</t>
  </si>
  <si>
    <t>Colonne3876</t>
  </si>
  <si>
    <t>Colonne3877</t>
  </si>
  <si>
    <t>Colonne3878</t>
  </si>
  <si>
    <t>Colonne3879</t>
  </si>
  <si>
    <t>Colonne3880</t>
  </si>
  <si>
    <t>Colonne3881</t>
  </si>
  <si>
    <t>Colonne3882</t>
  </si>
  <si>
    <t>Colonne3883</t>
  </si>
  <si>
    <t>Colonne3884</t>
  </si>
  <si>
    <t>Colonne3885</t>
  </si>
  <si>
    <t>Colonne3886</t>
  </si>
  <si>
    <t>Colonne3887</t>
  </si>
  <si>
    <t>Colonne3888</t>
  </si>
  <si>
    <t>Colonne3889</t>
  </si>
  <si>
    <t>Colonne3890</t>
  </si>
  <si>
    <t>Colonne3891</t>
  </si>
  <si>
    <t>Colonne3892</t>
  </si>
  <si>
    <t>Colonne3893</t>
  </si>
  <si>
    <t>Colonne3894</t>
  </si>
  <si>
    <t>Colonne3895</t>
  </si>
  <si>
    <t>Colonne3896</t>
  </si>
  <si>
    <t>Colonne3897</t>
  </si>
  <si>
    <t>Colonne3898</t>
  </si>
  <si>
    <t>Colonne3899</t>
  </si>
  <si>
    <t>Colonne3900</t>
  </si>
  <si>
    <t>Colonne3901</t>
  </si>
  <si>
    <t>Colonne3902</t>
  </si>
  <si>
    <t>Colonne3903</t>
  </si>
  <si>
    <t>Colonne3904</t>
  </si>
  <si>
    <t>Colonne3905</t>
  </si>
  <si>
    <t>Colonne3906</t>
  </si>
  <si>
    <t>Colonne3907</t>
  </si>
  <si>
    <t>Colonne3908</t>
  </si>
  <si>
    <t>Colonne3909</t>
  </si>
  <si>
    <t>Colonne3910</t>
  </si>
  <si>
    <t>Colonne3911</t>
  </si>
  <si>
    <t>Colonne3912</t>
  </si>
  <si>
    <t>Colonne3913</t>
  </si>
  <si>
    <t>Colonne3914</t>
  </si>
  <si>
    <t>Colonne3915</t>
  </si>
  <si>
    <t>Colonne3916</t>
  </si>
  <si>
    <t>Colonne3917</t>
  </si>
  <si>
    <t>Colonne3918</t>
  </si>
  <si>
    <t>Colonne3919</t>
  </si>
  <si>
    <t>Colonne3920</t>
  </si>
  <si>
    <t>Colonne3921</t>
  </si>
  <si>
    <t>Colonne3922</t>
  </si>
  <si>
    <t>Colonne3923</t>
  </si>
  <si>
    <t>Colonne3924</t>
  </si>
  <si>
    <t>Colonne3925</t>
  </si>
  <si>
    <t>Colonne3926</t>
  </si>
  <si>
    <t>Colonne3927</t>
  </si>
  <si>
    <t>Colonne3928</t>
  </si>
  <si>
    <t>Colonne3929</t>
  </si>
  <si>
    <t>Colonne3930</t>
  </si>
  <si>
    <t>Colonne3931</t>
  </si>
  <si>
    <t>Colonne3932</t>
  </si>
  <si>
    <t>Colonne3933</t>
  </si>
  <si>
    <t>Colonne3934</t>
  </si>
  <si>
    <t>Colonne3935</t>
  </si>
  <si>
    <t>Colonne3936</t>
  </si>
  <si>
    <t>Colonne3937</t>
  </si>
  <si>
    <t>Colonne3938</t>
  </si>
  <si>
    <t>Colonne3939</t>
  </si>
  <si>
    <t>Colonne3940</t>
  </si>
  <si>
    <t>Colonne3941</t>
  </si>
  <si>
    <t>Colonne3942</t>
  </si>
  <si>
    <t>Colonne3943</t>
  </si>
  <si>
    <t>Colonne3944</t>
  </si>
  <si>
    <t>Colonne3945</t>
  </si>
  <si>
    <t>Colonne3946</t>
  </si>
  <si>
    <t>Colonne3947</t>
  </si>
  <si>
    <t>Colonne3948</t>
  </si>
  <si>
    <t>Colonne3949</t>
  </si>
  <si>
    <t>Colonne3950</t>
  </si>
  <si>
    <t>Colonne3951</t>
  </si>
  <si>
    <t>Colonne3952</t>
  </si>
  <si>
    <t>Colonne3953</t>
  </si>
  <si>
    <t>Colonne3954</t>
  </si>
  <si>
    <t>Colonne3955</t>
  </si>
  <si>
    <t>Colonne3956</t>
  </si>
  <si>
    <t>Colonne3957</t>
  </si>
  <si>
    <t>Colonne3958</t>
  </si>
  <si>
    <t>Colonne3959</t>
  </si>
  <si>
    <t>Colonne3960</t>
  </si>
  <si>
    <t>Colonne3961</t>
  </si>
  <si>
    <t>Colonne3962</t>
  </si>
  <si>
    <t>Colonne3963</t>
  </si>
  <si>
    <t>Colonne3964</t>
  </si>
  <si>
    <t>Colonne3965</t>
  </si>
  <si>
    <t>Colonne3966</t>
  </si>
  <si>
    <t>Colonne3967</t>
  </si>
  <si>
    <t>Colonne3968</t>
  </si>
  <si>
    <t>Colonne3969</t>
  </si>
  <si>
    <t>Colonne3970</t>
  </si>
  <si>
    <t>Colonne3971</t>
  </si>
  <si>
    <t>Colonne3972</t>
  </si>
  <si>
    <t>Colonne3973</t>
  </si>
  <si>
    <t>Colonne3974</t>
  </si>
  <si>
    <t>Colonne3975</t>
  </si>
  <si>
    <t>Colonne3976</t>
  </si>
  <si>
    <t>Colonne3977</t>
  </si>
  <si>
    <t>Colonne3978</t>
  </si>
  <si>
    <t>Colonne3979</t>
  </si>
  <si>
    <t>Colonne3980</t>
  </si>
  <si>
    <t>Colonne3981</t>
  </si>
  <si>
    <t>Colonne3982</t>
  </si>
  <si>
    <t>Colonne3983</t>
  </si>
  <si>
    <t>Colonne3984</t>
  </si>
  <si>
    <t>Colonne3985</t>
  </si>
  <si>
    <t>Colonne3986</t>
  </si>
  <si>
    <t>Colonne3987</t>
  </si>
  <si>
    <t>Colonne3988</t>
  </si>
  <si>
    <t>Colonne3989</t>
  </si>
  <si>
    <t>Colonne3990</t>
  </si>
  <si>
    <t>Colonne3991</t>
  </si>
  <si>
    <t>Colonne3992</t>
  </si>
  <si>
    <t>Colonne3993</t>
  </si>
  <si>
    <t>Colonne3994</t>
  </si>
  <si>
    <t>Colonne3995</t>
  </si>
  <si>
    <t>Colonne3996</t>
  </si>
  <si>
    <t>Colonne3997</t>
  </si>
  <si>
    <t>Colonne3998</t>
  </si>
  <si>
    <t>Colonne3999</t>
  </si>
  <si>
    <t>Colonne4000</t>
  </si>
  <si>
    <t>Colonne4001</t>
  </si>
  <si>
    <t>Colonne4002</t>
  </si>
  <si>
    <t>Colonne4003</t>
  </si>
  <si>
    <t>Colonne4004</t>
  </si>
  <si>
    <t>Colonne4005</t>
  </si>
  <si>
    <t>Colonne4006</t>
  </si>
  <si>
    <t>Colonne4007</t>
  </si>
  <si>
    <t>Colonne4008</t>
  </si>
  <si>
    <t>Colonne4009</t>
  </si>
  <si>
    <t>Colonne4010</t>
  </si>
  <si>
    <t>Colonne4011</t>
  </si>
  <si>
    <t>Colonne4012</t>
  </si>
  <si>
    <t>Colonne4013</t>
  </si>
  <si>
    <t>Colonne4014</t>
  </si>
  <si>
    <t>Colonne4015</t>
  </si>
  <si>
    <t>Colonne4016</t>
  </si>
  <si>
    <t>Colonne4017</t>
  </si>
  <si>
    <t>Colonne4018</t>
  </si>
  <si>
    <t>Colonne4019</t>
  </si>
  <si>
    <t>Colonne4020</t>
  </si>
  <si>
    <t>Colonne4021</t>
  </si>
  <si>
    <t>Colonne4022</t>
  </si>
  <si>
    <t>Colonne4023</t>
  </si>
  <si>
    <t>Colonne4024</t>
  </si>
  <si>
    <t>Colonne4025</t>
  </si>
  <si>
    <t>Colonne4026</t>
  </si>
  <si>
    <t>Colonne4027</t>
  </si>
  <si>
    <t>Colonne4028</t>
  </si>
  <si>
    <t>Colonne4029</t>
  </si>
  <si>
    <t>Colonne4030</t>
  </si>
  <si>
    <t>Colonne4031</t>
  </si>
  <si>
    <t>Colonne4032</t>
  </si>
  <si>
    <t>Colonne4033</t>
  </si>
  <si>
    <t>Colonne4034</t>
  </si>
  <si>
    <t>Colonne4035</t>
  </si>
  <si>
    <t>Colonne4036</t>
  </si>
  <si>
    <t>Colonne4037</t>
  </si>
  <si>
    <t>Colonne4038</t>
  </si>
  <si>
    <t>Colonne4039</t>
  </si>
  <si>
    <t>Colonne4040</t>
  </si>
  <si>
    <t>Colonne4041</t>
  </si>
  <si>
    <t>Colonne4042</t>
  </si>
  <si>
    <t>Colonne4043</t>
  </si>
  <si>
    <t>Colonne4044</t>
  </si>
  <si>
    <t>Colonne4045</t>
  </si>
  <si>
    <t>Colonne4046</t>
  </si>
  <si>
    <t>Colonne4047</t>
  </si>
  <si>
    <t>Colonne4048</t>
  </si>
  <si>
    <t>Colonne4049</t>
  </si>
  <si>
    <t>Colonne4050</t>
  </si>
  <si>
    <t>Colonne4051</t>
  </si>
  <si>
    <t>Colonne4052</t>
  </si>
  <si>
    <t>Colonne4053</t>
  </si>
  <si>
    <t>Colonne4054</t>
  </si>
  <si>
    <t>Colonne4055</t>
  </si>
  <si>
    <t>Colonne4056</t>
  </si>
  <si>
    <t>Colonne4057</t>
  </si>
  <si>
    <t>Colonne4058</t>
  </si>
  <si>
    <t>Colonne4059</t>
  </si>
  <si>
    <t>Colonne4060</t>
  </si>
  <si>
    <t>Colonne4061</t>
  </si>
  <si>
    <t>Colonne4062</t>
  </si>
  <si>
    <t>Colonne4063</t>
  </si>
  <si>
    <t>Colonne4064</t>
  </si>
  <si>
    <t>Colonne4065</t>
  </si>
  <si>
    <t>Colonne4066</t>
  </si>
  <si>
    <t>Colonne4067</t>
  </si>
  <si>
    <t>Colonne4068</t>
  </si>
  <si>
    <t>Colonne4069</t>
  </si>
  <si>
    <t>Colonne4070</t>
  </si>
  <si>
    <t>Colonne4071</t>
  </si>
  <si>
    <t>Colonne4072</t>
  </si>
  <si>
    <t>Colonne4073</t>
  </si>
  <si>
    <t>Colonne4074</t>
  </si>
  <si>
    <t>Colonne4075</t>
  </si>
  <si>
    <t>Colonne4076</t>
  </si>
  <si>
    <t>Colonne4077</t>
  </si>
  <si>
    <t>Colonne4078</t>
  </si>
  <si>
    <t>Colonne4079</t>
  </si>
  <si>
    <t>Colonne4080</t>
  </si>
  <si>
    <t>Colonne4081</t>
  </si>
  <si>
    <t>Colonne4082</t>
  </si>
  <si>
    <t>Colonne4083</t>
  </si>
  <si>
    <t>Colonne4084</t>
  </si>
  <si>
    <t>Colonne4085</t>
  </si>
  <si>
    <t>Colonne4086</t>
  </si>
  <si>
    <t>Colonne4087</t>
  </si>
  <si>
    <t>Colonne4088</t>
  </si>
  <si>
    <t>Colonne4089</t>
  </si>
  <si>
    <t>Colonne4090</t>
  </si>
  <si>
    <t>Colonne4091</t>
  </si>
  <si>
    <t>Colonne4092</t>
  </si>
  <si>
    <t>Colonne4093</t>
  </si>
  <si>
    <t>Colonne4094</t>
  </si>
  <si>
    <t>Colonne4095</t>
  </si>
  <si>
    <t>Colonne4096</t>
  </si>
  <si>
    <t>Colonne4097</t>
  </si>
  <si>
    <t>Colonne4098</t>
  </si>
  <si>
    <t>Colonne4099</t>
  </si>
  <si>
    <t>Colonne4100</t>
  </si>
  <si>
    <t>Colonne4101</t>
  </si>
  <si>
    <t>Colonne4102</t>
  </si>
  <si>
    <t>Colonne4103</t>
  </si>
  <si>
    <t>Colonne4104</t>
  </si>
  <si>
    <t>Colonne4105</t>
  </si>
  <si>
    <t>Colonne4106</t>
  </si>
  <si>
    <t>Colonne4107</t>
  </si>
  <si>
    <t>Colonne4108</t>
  </si>
  <si>
    <t>Colonne4109</t>
  </si>
  <si>
    <t>Colonne4110</t>
  </si>
  <si>
    <t>Colonne4111</t>
  </si>
  <si>
    <t>Colonne4112</t>
  </si>
  <si>
    <t>Colonne4113</t>
  </si>
  <si>
    <t>Colonne4114</t>
  </si>
  <si>
    <t>Colonne4115</t>
  </si>
  <si>
    <t>Colonne4116</t>
  </si>
  <si>
    <t>Colonne4117</t>
  </si>
  <si>
    <t>Colonne4118</t>
  </si>
  <si>
    <t>Colonne4119</t>
  </si>
  <si>
    <t>Colonne4120</t>
  </si>
  <si>
    <t>Colonne4121</t>
  </si>
  <si>
    <t>Colonne4122</t>
  </si>
  <si>
    <t>Colonne4123</t>
  </si>
  <si>
    <t>Colonne4124</t>
  </si>
  <si>
    <t>Colonne4125</t>
  </si>
  <si>
    <t>Colonne4126</t>
  </si>
  <si>
    <t>Colonne4127</t>
  </si>
  <si>
    <t>Colonne4128</t>
  </si>
  <si>
    <t>Colonne4129</t>
  </si>
  <si>
    <t>Colonne4130</t>
  </si>
  <si>
    <t>Colonne4131</t>
  </si>
  <si>
    <t>Colonne4132</t>
  </si>
  <si>
    <t>Colonne4133</t>
  </si>
  <si>
    <t>Colonne4134</t>
  </si>
  <si>
    <t>Colonne4135</t>
  </si>
  <si>
    <t>Colonne4136</t>
  </si>
  <si>
    <t>Colonne4137</t>
  </si>
  <si>
    <t>Colonne4138</t>
  </si>
  <si>
    <t>Colonne4139</t>
  </si>
  <si>
    <t>Colonne4140</t>
  </si>
  <si>
    <t>Colonne4141</t>
  </si>
  <si>
    <t>Colonne4142</t>
  </si>
  <si>
    <t>Colonne4143</t>
  </si>
  <si>
    <t>Colonne4144</t>
  </si>
  <si>
    <t>Colonne4145</t>
  </si>
  <si>
    <t>Colonne4146</t>
  </si>
  <si>
    <t>Colonne4147</t>
  </si>
  <si>
    <t>Colonne4148</t>
  </si>
  <si>
    <t>Colonne4149</t>
  </si>
  <si>
    <t>Colonne4150</t>
  </si>
  <si>
    <t>Colonne4151</t>
  </si>
  <si>
    <t>Colonne4152</t>
  </si>
  <si>
    <t>Colonne4153</t>
  </si>
  <si>
    <t>Colonne4154</t>
  </si>
  <si>
    <t>Colonne4155</t>
  </si>
  <si>
    <t>Colonne4156</t>
  </si>
  <si>
    <t>Colonne4157</t>
  </si>
  <si>
    <t>Colonne4158</t>
  </si>
  <si>
    <t>Colonne4159</t>
  </si>
  <si>
    <t>Colonne4160</t>
  </si>
  <si>
    <t>Colonne4161</t>
  </si>
  <si>
    <t>Colonne4162</t>
  </si>
  <si>
    <t>Colonne4163</t>
  </si>
  <si>
    <t>Colonne4164</t>
  </si>
  <si>
    <t>Colonne4165</t>
  </si>
  <si>
    <t>Colonne4166</t>
  </si>
  <si>
    <t>Colonne4167</t>
  </si>
  <si>
    <t>Colonne4168</t>
  </si>
  <si>
    <t>Colonne4169</t>
  </si>
  <si>
    <t>Colonne4170</t>
  </si>
  <si>
    <t>Colonne4171</t>
  </si>
  <si>
    <t>Colonne4172</t>
  </si>
  <si>
    <t>Colonne4173</t>
  </si>
  <si>
    <t>Colonne4174</t>
  </si>
  <si>
    <t>Colonne4175</t>
  </si>
  <si>
    <t>Colonne4176</t>
  </si>
  <si>
    <t>Colonne4177</t>
  </si>
  <si>
    <t>Colonne4178</t>
  </si>
  <si>
    <t>Colonne4179</t>
  </si>
  <si>
    <t>Colonne4180</t>
  </si>
  <si>
    <t>Colonne4181</t>
  </si>
  <si>
    <t>Colonne4182</t>
  </si>
  <si>
    <t>Colonne4183</t>
  </si>
  <si>
    <t>Colonne4184</t>
  </si>
  <si>
    <t>Colonne4185</t>
  </si>
  <si>
    <t>Colonne4186</t>
  </si>
  <si>
    <t>Colonne4187</t>
  </si>
  <si>
    <t>Colonne4188</t>
  </si>
  <si>
    <t>Colonne4189</t>
  </si>
  <si>
    <t>Colonne4190</t>
  </si>
  <si>
    <t>Colonne4191</t>
  </si>
  <si>
    <t>Colonne4192</t>
  </si>
  <si>
    <t>Colonne4193</t>
  </si>
  <si>
    <t>Colonne4194</t>
  </si>
  <si>
    <t>Colonne4195</t>
  </si>
  <si>
    <t>Colonne4196</t>
  </si>
  <si>
    <t>Colonne4197</t>
  </si>
  <si>
    <t>Colonne4198</t>
  </si>
  <si>
    <t>Colonne4199</t>
  </si>
  <si>
    <t>Colonne4200</t>
  </si>
  <si>
    <t>Colonne4201</t>
  </si>
  <si>
    <t>Colonne4202</t>
  </si>
  <si>
    <t>Colonne4203</t>
  </si>
  <si>
    <t>Colonne4204</t>
  </si>
  <si>
    <t>Colonne4205</t>
  </si>
  <si>
    <t>Colonne4206</t>
  </si>
  <si>
    <t>Colonne4207</t>
  </si>
  <si>
    <t>Colonne4208</t>
  </si>
  <si>
    <t>Colonne4209</t>
  </si>
  <si>
    <t>Colonne4210</t>
  </si>
  <si>
    <t>Colonne4211</t>
  </si>
  <si>
    <t>Colonne4212</t>
  </si>
  <si>
    <t>Colonne4213</t>
  </si>
  <si>
    <t>Colonne4214</t>
  </si>
  <si>
    <t>Colonne4215</t>
  </si>
  <si>
    <t>Colonne4216</t>
  </si>
  <si>
    <t>Colonne4217</t>
  </si>
  <si>
    <t>Colonne4218</t>
  </si>
  <si>
    <t>Colonne4219</t>
  </si>
  <si>
    <t>Colonne4220</t>
  </si>
  <si>
    <t>Colonne4221</t>
  </si>
  <si>
    <t>Colonne4222</t>
  </si>
  <si>
    <t>Colonne4223</t>
  </si>
  <si>
    <t>Colonne4224</t>
  </si>
  <si>
    <t>Colonne4225</t>
  </si>
  <si>
    <t>Colonne4226</t>
  </si>
  <si>
    <t>Colonne4227</t>
  </si>
  <si>
    <t>Colonne4228</t>
  </si>
  <si>
    <t>Colonne4229</t>
  </si>
  <si>
    <t>Colonne4230</t>
  </si>
  <si>
    <t>Colonne4231</t>
  </si>
  <si>
    <t>Colonne4232</t>
  </si>
  <si>
    <t>Colonne4233</t>
  </si>
  <si>
    <t>Colonne4234</t>
  </si>
  <si>
    <t>Colonne4235</t>
  </si>
  <si>
    <t>Colonne4236</t>
  </si>
  <si>
    <t>Colonne4237</t>
  </si>
  <si>
    <t>Colonne4238</t>
  </si>
  <si>
    <t>Colonne4239</t>
  </si>
  <si>
    <t>Colonne4240</t>
  </si>
  <si>
    <t>Colonne4241</t>
  </si>
  <si>
    <t>Colonne4242</t>
  </si>
  <si>
    <t>Colonne4243</t>
  </si>
  <si>
    <t>Colonne4244</t>
  </si>
  <si>
    <t>Colonne4245</t>
  </si>
  <si>
    <t>Colonne4246</t>
  </si>
  <si>
    <t>Colonne4247</t>
  </si>
  <si>
    <t>Colonne4248</t>
  </si>
  <si>
    <t>Colonne4249</t>
  </si>
  <si>
    <t>Colonne4250</t>
  </si>
  <si>
    <t>Colonne4251</t>
  </si>
  <si>
    <t>Colonne4252</t>
  </si>
  <si>
    <t>Colonne4253</t>
  </si>
  <si>
    <t>Colonne4254</t>
  </si>
  <si>
    <t>Colonne4255</t>
  </si>
  <si>
    <t>Colonne4256</t>
  </si>
  <si>
    <t>Colonne4257</t>
  </si>
  <si>
    <t>Colonne4258</t>
  </si>
  <si>
    <t>Colonne4259</t>
  </si>
  <si>
    <t>Colonne4260</t>
  </si>
  <si>
    <t>Colonne4261</t>
  </si>
  <si>
    <t>Colonne4262</t>
  </si>
  <si>
    <t>Colonne4263</t>
  </si>
  <si>
    <t>Colonne4264</t>
  </si>
  <si>
    <t>Colonne4265</t>
  </si>
  <si>
    <t>Colonne4266</t>
  </si>
  <si>
    <t>Colonne4267</t>
  </si>
  <si>
    <t>Colonne4268</t>
  </si>
  <si>
    <t>Colonne4269</t>
  </si>
  <si>
    <t>Colonne4270</t>
  </si>
  <si>
    <t>Colonne4271</t>
  </si>
  <si>
    <t>Colonne4272</t>
  </si>
  <si>
    <t>Colonne4273</t>
  </si>
  <si>
    <t>Colonne4274</t>
  </si>
  <si>
    <t>Colonne4275</t>
  </si>
  <si>
    <t>Colonne4276</t>
  </si>
  <si>
    <t>Colonne4277</t>
  </si>
  <si>
    <t>Colonne4278</t>
  </si>
  <si>
    <t>Colonne4279</t>
  </si>
  <si>
    <t>Colonne4280</t>
  </si>
  <si>
    <t>Colonne4281</t>
  </si>
  <si>
    <t>Colonne4282</t>
  </si>
  <si>
    <t>Colonne4283</t>
  </si>
  <si>
    <t>Colonne4284</t>
  </si>
  <si>
    <t>Colonne4285</t>
  </si>
  <si>
    <t>Colonne4286</t>
  </si>
  <si>
    <t>Colonne4287</t>
  </si>
  <si>
    <t>Colonne4288</t>
  </si>
  <si>
    <t>Colonne4289</t>
  </si>
  <si>
    <t>Colonne4290</t>
  </si>
  <si>
    <t>Colonne4291</t>
  </si>
  <si>
    <t>Colonne4292</t>
  </si>
  <si>
    <t>Colonne4293</t>
  </si>
  <si>
    <t>Colonne4294</t>
  </si>
  <si>
    <t>Colonne4295</t>
  </si>
  <si>
    <t>Colonne4296</t>
  </si>
  <si>
    <t>Colonne4297</t>
  </si>
  <si>
    <t>Colonne4298</t>
  </si>
  <si>
    <t>Colonne4299</t>
  </si>
  <si>
    <t>Colonne4300</t>
  </si>
  <si>
    <t>Colonne4301</t>
  </si>
  <si>
    <t>Colonne4302</t>
  </si>
  <si>
    <t>Colonne4303</t>
  </si>
  <si>
    <t>Colonne4304</t>
  </si>
  <si>
    <t>Colonne4305</t>
  </si>
  <si>
    <t>Colonne4306</t>
  </si>
  <si>
    <t>Colonne4307</t>
  </si>
  <si>
    <t>Colonne4308</t>
  </si>
  <si>
    <t>Colonne4309</t>
  </si>
  <si>
    <t>Colonne4310</t>
  </si>
  <si>
    <t>Colonne4311</t>
  </si>
  <si>
    <t>Colonne4312</t>
  </si>
  <si>
    <t>Colonne4313</t>
  </si>
  <si>
    <t>Colonne4314</t>
  </si>
  <si>
    <t>Colonne4315</t>
  </si>
  <si>
    <t>Colonne4316</t>
  </si>
  <si>
    <t>Colonne4317</t>
  </si>
  <si>
    <t>Colonne4318</t>
  </si>
  <si>
    <t>Colonne4319</t>
  </si>
  <si>
    <t>Colonne4320</t>
  </si>
  <si>
    <t>Colonne4321</t>
  </si>
  <si>
    <t>Colonne4322</t>
  </si>
  <si>
    <t>Colonne4323</t>
  </si>
  <si>
    <t>Colonne4324</t>
  </si>
  <si>
    <t>Colonne4325</t>
  </si>
  <si>
    <t>Colonne4326</t>
  </si>
  <si>
    <t>Colonne4327</t>
  </si>
  <si>
    <t>Colonne4328</t>
  </si>
  <si>
    <t>Colonne4329</t>
  </si>
  <si>
    <t>Colonne4330</t>
  </si>
  <si>
    <t>Colonne4331</t>
  </si>
  <si>
    <t>Colonne4332</t>
  </si>
  <si>
    <t>Colonne4333</t>
  </si>
  <si>
    <t>Colonne4334</t>
  </si>
  <si>
    <t>Colonne4335</t>
  </si>
  <si>
    <t>Colonne4336</t>
  </si>
  <si>
    <t>Colonne4337</t>
  </si>
  <si>
    <t>Colonne4338</t>
  </si>
  <si>
    <t>Colonne4339</t>
  </si>
  <si>
    <t>Colonne4340</t>
  </si>
  <si>
    <t>Colonne4341</t>
  </si>
  <si>
    <t>Colonne4342</t>
  </si>
  <si>
    <t>Colonne4343</t>
  </si>
  <si>
    <t>Colonne4344</t>
  </si>
  <si>
    <t>Colonne4345</t>
  </si>
  <si>
    <t>Colonne4346</t>
  </si>
  <si>
    <t>Colonne4347</t>
  </si>
  <si>
    <t>Colonne4348</t>
  </si>
  <si>
    <t>Colonne4349</t>
  </si>
  <si>
    <t>Colonne4350</t>
  </si>
  <si>
    <t>Colonne4351</t>
  </si>
  <si>
    <t>Colonne4352</t>
  </si>
  <si>
    <t>Colonne4353</t>
  </si>
  <si>
    <t>Colonne4354</t>
  </si>
  <si>
    <t>Colonne4355</t>
  </si>
  <si>
    <t>Colonne4356</t>
  </si>
  <si>
    <t>Colonne4357</t>
  </si>
  <si>
    <t>Colonne4358</t>
  </si>
  <si>
    <t>Colonne4359</t>
  </si>
  <si>
    <t>Colonne4360</t>
  </si>
  <si>
    <t>Colonne4361</t>
  </si>
  <si>
    <t>Colonne4362</t>
  </si>
  <si>
    <t>Colonne4363</t>
  </si>
  <si>
    <t>Colonne4364</t>
  </si>
  <si>
    <t>Colonne4365</t>
  </si>
  <si>
    <t>Colonne4366</t>
  </si>
  <si>
    <t>Colonne4367</t>
  </si>
  <si>
    <t>Colonne4368</t>
  </si>
  <si>
    <t>Colonne4369</t>
  </si>
  <si>
    <t>Colonne4370</t>
  </si>
  <si>
    <t>Colonne4371</t>
  </si>
  <si>
    <t>Colonne4372</t>
  </si>
  <si>
    <t>Colonne4373</t>
  </si>
  <si>
    <t>Colonne4374</t>
  </si>
  <si>
    <t>Colonne4375</t>
  </si>
  <si>
    <t>Colonne4376</t>
  </si>
  <si>
    <t>Colonne4377</t>
  </si>
  <si>
    <t>Colonne4378</t>
  </si>
  <si>
    <t>Colonne4379</t>
  </si>
  <si>
    <t>Colonne4380</t>
  </si>
  <si>
    <t>Colonne4381</t>
  </si>
  <si>
    <t>Colonne4382</t>
  </si>
  <si>
    <t>Colonne4383</t>
  </si>
  <si>
    <t>Colonne4384</t>
  </si>
  <si>
    <t>Colonne4385</t>
  </si>
  <si>
    <t>Colonne4386</t>
  </si>
  <si>
    <t>Colonne4387</t>
  </si>
  <si>
    <t>Colonne4388</t>
  </si>
  <si>
    <t>Colonne4389</t>
  </si>
  <si>
    <t>Colonne4390</t>
  </si>
  <si>
    <t>Colonne4391</t>
  </si>
  <si>
    <t>Colonne4392</t>
  </si>
  <si>
    <t>Colonne4393</t>
  </si>
  <si>
    <t>Colonne4394</t>
  </si>
  <si>
    <t>Colonne4395</t>
  </si>
  <si>
    <t>Colonne4396</t>
  </si>
  <si>
    <t>Colonne4397</t>
  </si>
  <si>
    <t>Colonne4398</t>
  </si>
  <si>
    <t>Colonne4399</t>
  </si>
  <si>
    <t>Colonne4400</t>
  </si>
  <si>
    <t>Colonne4401</t>
  </si>
  <si>
    <t>Colonne4402</t>
  </si>
  <si>
    <t>Colonne4403</t>
  </si>
  <si>
    <t>Colonne4404</t>
  </si>
  <si>
    <t>Colonne4405</t>
  </si>
  <si>
    <t>Colonne4406</t>
  </si>
  <si>
    <t>Colonne4407</t>
  </si>
  <si>
    <t>Colonne4408</t>
  </si>
  <si>
    <t>Colonne4409</t>
  </si>
  <si>
    <t>Colonne4410</t>
  </si>
  <si>
    <t>Colonne4411</t>
  </si>
  <si>
    <t>Colonne4412</t>
  </si>
  <si>
    <t>Colonne4413</t>
  </si>
  <si>
    <t>Colonne4414</t>
  </si>
  <si>
    <t>Colonne4415</t>
  </si>
  <si>
    <t>Colonne4416</t>
  </si>
  <si>
    <t>Colonne4417</t>
  </si>
  <si>
    <t>Colonne4418</t>
  </si>
  <si>
    <t>Colonne4419</t>
  </si>
  <si>
    <t>Colonne4420</t>
  </si>
  <si>
    <t>Colonne4421</t>
  </si>
  <si>
    <t>Colonne4422</t>
  </si>
  <si>
    <t>Colonne4423</t>
  </si>
  <si>
    <t>Colonne4424</t>
  </si>
  <si>
    <t>Colonne4425</t>
  </si>
  <si>
    <t>Colonne4426</t>
  </si>
  <si>
    <t>Colonne4427</t>
  </si>
  <si>
    <t>Colonne4428</t>
  </si>
  <si>
    <t>Colonne4429</t>
  </si>
  <si>
    <t>Colonne4430</t>
  </si>
  <si>
    <t>Colonne4431</t>
  </si>
  <si>
    <t>Colonne4432</t>
  </si>
  <si>
    <t>Colonne4433</t>
  </si>
  <si>
    <t>Colonne4434</t>
  </si>
  <si>
    <t>Colonne4435</t>
  </si>
  <si>
    <t>Colonne4436</t>
  </si>
  <si>
    <t>Colonne4437</t>
  </si>
  <si>
    <t>Colonne4438</t>
  </si>
  <si>
    <t>Colonne4439</t>
  </si>
  <si>
    <t>Colonne4440</t>
  </si>
  <si>
    <t>Colonne4441</t>
  </si>
  <si>
    <t>Colonne4442</t>
  </si>
  <si>
    <t>Colonne4443</t>
  </si>
  <si>
    <t>Colonne4444</t>
  </si>
  <si>
    <t>Colonne4445</t>
  </si>
  <si>
    <t>Colonne4446</t>
  </si>
  <si>
    <t>Colonne4447</t>
  </si>
  <si>
    <t>Colonne4448</t>
  </si>
  <si>
    <t>Colonne4449</t>
  </si>
  <si>
    <t>Colonne4450</t>
  </si>
  <si>
    <t>Colonne4451</t>
  </si>
  <si>
    <t>Colonne4452</t>
  </si>
  <si>
    <t>Colonne4453</t>
  </si>
  <si>
    <t>Colonne4454</t>
  </si>
  <si>
    <t>Colonne4455</t>
  </si>
  <si>
    <t>Colonne4456</t>
  </si>
  <si>
    <t>Colonne4457</t>
  </si>
  <si>
    <t>Colonne4458</t>
  </si>
  <si>
    <t>Colonne4459</t>
  </si>
  <si>
    <t>Colonne4460</t>
  </si>
  <si>
    <t>Colonne4461</t>
  </si>
  <si>
    <t>Colonne4462</t>
  </si>
  <si>
    <t>Colonne4463</t>
  </si>
  <si>
    <t>Colonne4464</t>
  </si>
  <si>
    <t>Colonne4465</t>
  </si>
  <si>
    <t>Colonne4466</t>
  </si>
  <si>
    <t>Colonne4467</t>
  </si>
  <si>
    <t>Colonne4468</t>
  </si>
  <si>
    <t>Colonne4469</t>
  </si>
  <si>
    <t>Colonne4470</t>
  </si>
  <si>
    <t>Colonne4471</t>
  </si>
  <si>
    <t>Colonne4472</t>
  </si>
  <si>
    <t>Colonne4473</t>
  </si>
  <si>
    <t>Colonne4474</t>
  </si>
  <si>
    <t>Colonne4475</t>
  </si>
  <si>
    <t>Colonne4476</t>
  </si>
  <si>
    <t>Colonne4477</t>
  </si>
  <si>
    <t>Colonne4478</t>
  </si>
  <si>
    <t>Colonne4479</t>
  </si>
  <si>
    <t>Colonne4480</t>
  </si>
  <si>
    <t>Colonne4481</t>
  </si>
  <si>
    <t>Colonne4482</t>
  </si>
  <si>
    <t>Colonne4483</t>
  </si>
  <si>
    <t>Colonne4484</t>
  </si>
  <si>
    <t>Colonne4485</t>
  </si>
  <si>
    <t>Colonne4486</t>
  </si>
  <si>
    <t>Colonne4487</t>
  </si>
  <si>
    <t>Colonne4488</t>
  </si>
  <si>
    <t>Colonne4489</t>
  </si>
  <si>
    <t>Colonne4490</t>
  </si>
  <si>
    <t>Colonne4491</t>
  </si>
  <si>
    <t>Colonne4492</t>
  </si>
  <si>
    <t>Colonne4493</t>
  </si>
  <si>
    <t>Colonne4494</t>
  </si>
  <si>
    <t>Colonne4495</t>
  </si>
  <si>
    <t>Colonne4496</t>
  </si>
  <si>
    <t>Colonne4497</t>
  </si>
  <si>
    <t>Colonne4498</t>
  </si>
  <si>
    <t>Colonne4499</t>
  </si>
  <si>
    <t>Colonne4500</t>
  </si>
  <si>
    <t>Colonne4501</t>
  </si>
  <si>
    <t>Colonne4502</t>
  </si>
  <si>
    <t>Colonne4503</t>
  </si>
  <si>
    <t>Colonne4504</t>
  </si>
  <si>
    <t>Colonne4505</t>
  </si>
  <si>
    <t>Colonne4506</t>
  </si>
  <si>
    <t>Colonne4507</t>
  </si>
  <si>
    <t>Colonne4508</t>
  </si>
  <si>
    <t>Colonne4509</t>
  </si>
  <si>
    <t>Colonne4510</t>
  </si>
  <si>
    <t>Colonne4511</t>
  </si>
  <si>
    <t>Colonne4512</t>
  </si>
  <si>
    <t>Colonne4513</t>
  </si>
  <si>
    <t>Colonne4514</t>
  </si>
  <si>
    <t>Colonne4515</t>
  </si>
  <si>
    <t>Colonne4516</t>
  </si>
  <si>
    <t>Colonne4517</t>
  </si>
  <si>
    <t>Colonne4518</t>
  </si>
  <si>
    <t>Colonne4519</t>
  </si>
  <si>
    <t>Colonne4520</t>
  </si>
  <si>
    <t>Colonne4521</t>
  </si>
  <si>
    <t>Colonne4522</t>
  </si>
  <si>
    <t>Colonne4523</t>
  </si>
  <si>
    <t>Colonne4524</t>
  </si>
  <si>
    <t>Colonne4525</t>
  </si>
  <si>
    <t>Colonne4526</t>
  </si>
  <si>
    <t>Colonne4527</t>
  </si>
  <si>
    <t>Colonne4528</t>
  </si>
  <si>
    <t>Colonne4529</t>
  </si>
  <si>
    <t>Colonne4530</t>
  </si>
  <si>
    <t>Colonne4531</t>
  </si>
  <si>
    <t>Colonne4532</t>
  </si>
  <si>
    <t>Colonne4533</t>
  </si>
  <si>
    <t>Colonne4534</t>
  </si>
  <si>
    <t>Colonne4535</t>
  </si>
  <si>
    <t>Colonne4536</t>
  </si>
  <si>
    <t>Colonne4537</t>
  </si>
  <si>
    <t>Colonne4538</t>
  </si>
  <si>
    <t>Colonne4539</t>
  </si>
  <si>
    <t>Colonne4540</t>
  </si>
  <si>
    <t>Colonne4541</t>
  </si>
  <si>
    <t>Colonne4542</t>
  </si>
  <si>
    <t>Colonne4543</t>
  </si>
  <si>
    <t>Colonne4544</t>
  </si>
  <si>
    <t>Colonne4545</t>
  </si>
  <si>
    <t>Colonne4546</t>
  </si>
  <si>
    <t>Colonne4547</t>
  </si>
  <si>
    <t>Colonne4548</t>
  </si>
  <si>
    <t>Colonne4549</t>
  </si>
  <si>
    <t>Colonne4550</t>
  </si>
  <si>
    <t>Colonne4551</t>
  </si>
  <si>
    <t>Colonne4552</t>
  </si>
  <si>
    <t>Colonne4553</t>
  </si>
  <si>
    <t>Colonne4554</t>
  </si>
  <si>
    <t>Colonne4555</t>
  </si>
  <si>
    <t>Colonne4556</t>
  </si>
  <si>
    <t>Colonne4557</t>
  </si>
  <si>
    <t>Colonne4558</t>
  </si>
  <si>
    <t>Colonne4559</t>
  </si>
  <si>
    <t>Colonne4560</t>
  </si>
  <si>
    <t>Colonne4561</t>
  </si>
  <si>
    <t>Colonne4562</t>
  </si>
  <si>
    <t>Colonne4563</t>
  </si>
  <si>
    <t>Colonne4564</t>
  </si>
  <si>
    <t>Colonne4565</t>
  </si>
  <si>
    <t>Colonne4566</t>
  </si>
  <si>
    <t>Colonne4567</t>
  </si>
  <si>
    <t>Colonne4568</t>
  </si>
  <si>
    <t>Colonne4569</t>
  </si>
  <si>
    <t>Colonne4570</t>
  </si>
  <si>
    <t>Colonne4571</t>
  </si>
  <si>
    <t>Colonne4572</t>
  </si>
  <si>
    <t>Colonne4573</t>
  </si>
  <si>
    <t>Colonne4574</t>
  </si>
  <si>
    <t>Colonne4575</t>
  </si>
  <si>
    <t>Colonne4576</t>
  </si>
  <si>
    <t>Colonne4577</t>
  </si>
  <si>
    <t>Colonne4578</t>
  </si>
  <si>
    <t>Colonne4579</t>
  </si>
  <si>
    <t>Colonne4580</t>
  </si>
  <si>
    <t>Colonne4581</t>
  </si>
  <si>
    <t>Colonne4582</t>
  </si>
  <si>
    <t>Colonne4583</t>
  </si>
  <si>
    <t>Colonne4584</t>
  </si>
  <si>
    <t>Colonne4585</t>
  </si>
  <si>
    <t>Colonne4586</t>
  </si>
  <si>
    <t>Colonne4587</t>
  </si>
  <si>
    <t>Colonne4588</t>
  </si>
  <si>
    <t>Colonne4589</t>
  </si>
  <si>
    <t>Colonne4590</t>
  </si>
  <si>
    <t>Colonne4591</t>
  </si>
  <si>
    <t>Colonne4592</t>
  </si>
  <si>
    <t>Colonne4593</t>
  </si>
  <si>
    <t>Colonne4594</t>
  </si>
  <si>
    <t>Colonne4595</t>
  </si>
  <si>
    <t>Colonne4596</t>
  </si>
  <si>
    <t>Colonne4597</t>
  </si>
  <si>
    <t>Colonne4598</t>
  </si>
  <si>
    <t>Colonne4599</t>
  </si>
  <si>
    <t>Colonne4600</t>
  </si>
  <si>
    <t>Colonne4601</t>
  </si>
  <si>
    <t>Colonne4602</t>
  </si>
  <si>
    <t>Colonne4603</t>
  </si>
  <si>
    <t>Colonne4604</t>
  </si>
  <si>
    <t>Colonne4605</t>
  </si>
  <si>
    <t>Colonne4606</t>
  </si>
  <si>
    <t>Colonne4607</t>
  </si>
  <si>
    <t>Colonne4608</t>
  </si>
  <si>
    <t>Colonne4609</t>
  </si>
  <si>
    <t>Colonne4610</t>
  </si>
  <si>
    <t>Colonne4611</t>
  </si>
  <si>
    <t>Colonne4612</t>
  </si>
  <si>
    <t>Colonne4613</t>
  </si>
  <si>
    <t>Colonne4614</t>
  </si>
  <si>
    <t>Colonne4615</t>
  </si>
  <si>
    <t>Colonne4616</t>
  </si>
  <si>
    <t>Colonne4617</t>
  </si>
  <si>
    <t>Colonne4618</t>
  </si>
  <si>
    <t>Colonne4619</t>
  </si>
  <si>
    <t>Colonne4620</t>
  </si>
  <si>
    <t>Colonne4621</t>
  </si>
  <si>
    <t>Colonne4622</t>
  </si>
  <si>
    <t>Colonne4623</t>
  </si>
  <si>
    <t>Colonne4624</t>
  </si>
  <si>
    <t>Colonne4625</t>
  </si>
  <si>
    <t>Colonne4626</t>
  </si>
  <si>
    <t>Colonne4627</t>
  </si>
  <si>
    <t>Colonne4628</t>
  </si>
  <si>
    <t>Colonne4629</t>
  </si>
  <si>
    <t>Colonne4630</t>
  </si>
  <si>
    <t>Colonne4631</t>
  </si>
  <si>
    <t>Colonne4632</t>
  </si>
  <si>
    <t>Colonne4633</t>
  </si>
  <si>
    <t>Colonne4634</t>
  </si>
  <si>
    <t>Colonne4635</t>
  </si>
  <si>
    <t>Colonne4636</t>
  </si>
  <si>
    <t>Colonne4637</t>
  </si>
  <si>
    <t>Colonne4638</t>
  </si>
  <si>
    <t>Colonne4639</t>
  </si>
  <si>
    <t>Colonne4640</t>
  </si>
  <si>
    <t>Colonne4641</t>
  </si>
  <si>
    <t>Colonne4642</t>
  </si>
  <si>
    <t>Colonne4643</t>
  </si>
  <si>
    <t>Colonne4644</t>
  </si>
  <si>
    <t>Colonne4645</t>
  </si>
  <si>
    <t>Colonne4646</t>
  </si>
  <si>
    <t>Colonne4647</t>
  </si>
  <si>
    <t>Colonne4648</t>
  </si>
  <si>
    <t>Colonne4649</t>
  </si>
  <si>
    <t>Colonne4650</t>
  </si>
  <si>
    <t>Colonne4651</t>
  </si>
  <si>
    <t>Colonne4652</t>
  </si>
  <si>
    <t>Colonne4653</t>
  </si>
  <si>
    <t>Colonne4654</t>
  </si>
  <si>
    <t>Colonne4655</t>
  </si>
  <si>
    <t>Colonne4656</t>
  </si>
  <si>
    <t>Colonne4657</t>
  </si>
  <si>
    <t>Colonne4658</t>
  </si>
  <si>
    <t>Colonne4659</t>
  </si>
  <si>
    <t>Colonne4660</t>
  </si>
  <si>
    <t>Colonne4661</t>
  </si>
  <si>
    <t>Colonne4662</t>
  </si>
  <si>
    <t>Colonne4663</t>
  </si>
  <si>
    <t>Colonne4664</t>
  </si>
  <si>
    <t>Colonne4665</t>
  </si>
  <si>
    <t>Colonne4666</t>
  </si>
  <si>
    <t>Colonne4667</t>
  </si>
  <si>
    <t>Colonne4668</t>
  </si>
  <si>
    <t>Colonne4669</t>
  </si>
  <si>
    <t>Colonne4670</t>
  </si>
  <si>
    <t>Colonne4671</t>
  </si>
  <si>
    <t>Colonne4672</t>
  </si>
  <si>
    <t>Colonne4673</t>
  </si>
  <si>
    <t>Colonne4674</t>
  </si>
  <si>
    <t>Colonne4675</t>
  </si>
  <si>
    <t>Colonne4676</t>
  </si>
  <si>
    <t>Colonne4677</t>
  </si>
  <si>
    <t>Colonne4678</t>
  </si>
  <si>
    <t>Colonne4679</t>
  </si>
  <si>
    <t>Colonne4680</t>
  </si>
  <si>
    <t>Colonne4681</t>
  </si>
  <si>
    <t>Colonne4682</t>
  </si>
  <si>
    <t>Colonne4683</t>
  </si>
  <si>
    <t>Colonne4684</t>
  </si>
  <si>
    <t>Colonne4685</t>
  </si>
  <si>
    <t>Colonne4686</t>
  </si>
  <si>
    <t>Colonne4687</t>
  </si>
  <si>
    <t>Colonne4688</t>
  </si>
  <si>
    <t>Colonne4689</t>
  </si>
  <si>
    <t>Colonne4690</t>
  </si>
  <si>
    <t>Colonne4691</t>
  </si>
  <si>
    <t>Colonne4692</t>
  </si>
  <si>
    <t>Colonne4693</t>
  </si>
  <si>
    <t>Colonne4694</t>
  </si>
  <si>
    <t>Colonne4695</t>
  </si>
  <si>
    <t>Colonne4696</t>
  </si>
  <si>
    <t>Colonne4697</t>
  </si>
  <si>
    <t>Colonne4698</t>
  </si>
  <si>
    <t>Colonne4699</t>
  </si>
  <si>
    <t>Colonne4700</t>
  </si>
  <si>
    <t>Colonne4701</t>
  </si>
  <si>
    <t>Colonne4702</t>
  </si>
  <si>
    <t>Colonne4703</t>
  </si>
  <si>
    <t>Colonne4704</t>
  </si>
  <si>
    <t>Colonne4705</t>
  </si>
  <si>
    <t>Colonne4706</t>
  </si>
  <si>
    <t>Colonne4707</t>
  </si>
  <si>
    <t>Colonne4708</t>
  </si>
  <si>
    <t>Colonne4709</t>
  </si>
  <si>
    <t>Colonne4710</t>
  </si>
  <si>
    <t>Colonne4711</t>
  </si>
  <si>
    <t>Colonne4712</t>
  </si>
  <si>
    <t>Colonne4713</t>
  </si>
  <si>
    <t>Colonne4714</t>
  </si>
  <si>
    <t>Colonne4715</t>
  </si>
  <si>
    <t>Colonne4716</t>
  </si>
  <si>
    <t>Colonne4717</t>
  </si>
  <si>
    <t>Colonne4718</t>
  </si>
  <si>
    <t>Colonne4719</t>
  </si>
  <si>
    <t>Colonne4720</t>
  </si>
  <si>
    <t>Colonne4721</t>
  </si>
  <si>
    <t>Colonne4722</t>
  </si>
  <si>
    <t>Colonne4723</t>
  </si>
  <si>
    <t>Colonne4724</t>
  </si>
  <si>
    <t>Colonne4725</t>
  </si>
  <si>
    <t>Colonne4726</t>
  </si>
  <si>
    <t>Colonne4727</t>
  </si>
  <si>
    <t>Colonne4728</t>
  </si>
  <si>
    <t>Colonne4729</t>
  </si>
  <si>
    <t>Colonne4730</t>
  </si>
  <si>
    <t>Colonne4731</t>
  </si>
  <si>
    <t>Colonne4732</t>
  </si>
  <si>
    <t>Colonne4733</t>
  </si>
  <si>
    <t>Colonne4734</t>
  </si>
  <si>
    <t>Colonne4735</t>
  </si>
  <si>
    <t>Colonne4736</t>
  </si>
  <si>
    <t>Colonne4737</t>
  </si>
  <si>
    <t>Colonne4738</t>
  </si>
  <si>
    <t>Colonne4739</t>
  </si>
  <si>
    <t>Colonne4740</t>
  </si>
  <si>
    <t>Colonne4741</t>
  </si>
  <si>
    <t>Colonne4742</t>
  </si>
  <si>
    <t>Colonne4743</t>
  </si>
  <si>
    <t>Colonne4744</t>
  </si>
  <si>
    <t>Colonne4745</t>
  </si>
  <si>
    <t>Colonne4746</t>
  </si>
  <si>
    <t>Colonne4747</t>
  </si>
  <si>
    <t>Colonne4748</t>
  </si>
  <si>
    <t>Colonne4749</t>
  </si>
  <si>
    <t>Colonne4750</t>
  </si>
  <si>
    <t>Colonne4751</t>
  </si>
  <si>
    <t>Colonne4752</t>
  </si>
  <si>
    <t>Colonne4753</t>
  </si>
  <si>
    <t>Colonne4754</t>
  </si>
  <si>
    <t>Colonne4755</t>
  </si>
  <si>
    <t>Colonne4756</t>
  </si>
  <si>
    <t>Colonne4757</t>
  </si>
  <si>
    <t>Colonne4758</t>
  </si>
  <si>
    <t>Colonne4759</t>
  </si>
  <si>
    <t>Colonne4760</t>
  </si>
  <si>
    <t>Colonne4761</t>
  </si>
  <si>
    <t>Colonne4762</t>
  </si>
  <si>
    <t>Colonne4763</t>
  </si>
  <si>
    <t>Colonne4764</t>
  </si>
  <si>
    <t>Colonne4765</t>
  </si>
  <si>
    <t>Colonne4766</t>
  </si>
  <si>
    <t>Colonne4767</t>
  </si>
  <si>
    <t>Colonne4768</t>
  </si>
  <si>
    <t>Colonne4769</t>
  </si>
  <si>
    <t>Colonne4770</t>
  </si>
  <si>
    <t>Colonne4771</t>
  </si>
  <si>
    <t>Colonne4772</t>
  </si>
  <si>
    <t>Colonne4773</t>
  </si>
  <si>
    <t>Colonne4774</t>
  </si>
  <si>
    <t>Colonne4775</t>
  </si>
  <si>
    <t>Colonne4776</t>
  </si>
  <si>
    <t>Colonne4777</t>
  </si>
  <si>
    <t>Colonne4778</t>
  </si>
  <si>
    <t>Colonne4779</t>
  </si>
  <si>
    <t>Colonne4780</t>
  </si>
  <si>
    <t>Colonne4781</t>
  </si>
  <si>
    <t>Colonne4782</t>
  </si>
  <si>
    <t>Colonne4783</t>
  </si>
  <si>
    <t>Colonne4784</t>
  </si>
  <si>
    <t>Colonne4785</t>
  </si>
  <si>
    <t>Colonne4786</t>
  </si>
  <si>
    <t>Colonne4787</t>
  </si>
  <si>
    <t>Colonne4788</t>
  </si>
  <si>
    <t>Colonne4789</t>
  </si>
  <si>
    <t>Colonne4790</t>
  </si>
  <si>
    <t>Colonne4791</t>
  </si>
  <si>
    <t>Colonne4792</t>
  </si>
  <si>
    <t>Colonne4793</t>
  </si>
  <si>
    <t>Colonne4794</t>
  </si>
  <si>
    <t>Colonne4795</t>
  </si>
  <si>
    <t>Colonne4796</t>
  </si>
  <si>
    <t>Colonne4797</t>
  </si>
  <si>
    <t>Colonne4798</t>
  </si>
  <si>
    <t>Colonne4799</t>
  </si>
  <si>
    <t>Colonne4800</t>
  </si>
  <si>
    <t>Colonne4801</t>
  </si>
  <si>
    <t>Colonne4802</t>
  </si>
  <si>
    <t>Colonne4803</t>
  </si>
  <si>
    <t>Colonne4804</t>
  </si>
  <si>
    <t>Colonne4805</t>
  </si>
  <si>
    <t>Colonne4806</t>
  </si>
  <si>
    <t>Colonne4807</t>
  </si>
  <si>
    <t>Colonne4808</t>
  </si>
  <si>
    <t>Colonne4809</t>
  </si>
  <si>
    <t>Colonne4810</t>
  </si>
  <si>
    <t>Colonne4811</t>
  </si>
  <si>
    <t>Colonne4812</t>
  </si>
  <si>
    <t>Colonne4813</t>
  </si>
  <si>
    <t>Colonne4814</t>
  </si>
  <si>
    <t>Colonne4815</t>
  </si>
  <si>
    <t>Colonne4816</t>
  </si>
  <si>
    <t>Colonne4817</t>
  </si>
  <si>
    <t>Colonne4818</t>
  </si>
  <si>
    <t>Colonne4819</t>
  </si>
  <si>
    <t>Colonne4820</t>
  </si>
  <si>
    <t>Colonne4821</t>
  </si>
  <si>
    <t>Colonne4822</t>
  </si>
  <si>
    <t>Colonne4823</t>
  </si>
  <si>
    <t>Colonne4824</t>
  </si>
  <si>
    <t>Colonne4825</t>
  </si>
  <si>
    <t>Colonne4826</t>
  </si>
  <si>
    <t>Colonne4827</t>
  </si>
  <si>
    <t>Colonne4828</t>
  </si>
  <si>
    <t>Colonne4829</t>
  </si>
  <si>
    <t>Colonne4830</t>
  </si>
  <si>
    <t>Colonne4831</t>
  </si>
  <si>
    <t>Colonne4832</t>
  </si>
  <si>
    <t>Colonne4833</t>
  </si>
  <si>
    <t>Colonne4834</t>
  </si>
  <si>
    <t>Colonne4835</t>
  </si>
  <si>
    <t>Colonne4836</t>
  </si>
  <si>
    <t>Colonne4837</t>
  </si>
  <si>
    <t>Colonne4838</t>
  </si>
  <si>
    <t>Colonne4839</t>
  </si>
  <si>
    <t>Colonne4840</t>
  </si>
  <si>
    <t>Colonne4841</t>
  </si>
  <si>
    <t>Colonne4842</t>
  </si>
  <si>
    <t>Colonne4843</t>
  </si>
  <si>
    <t>Colonne4844</t>
  </si>
  <si>
    <t>Colonne4845</t>
  </si>
  <si>
    <t>Colonne4846</t>
  </si>
  <si>
    <t>Colonne4847</t>
  </si>
  <si>
    <t>Colonne4848</t>
  </si>
  <si>
    <t>Colonne4849</t>
  </si>
  <si>
    <t>Colonne4850</t>
  </si>
  <si>
    <t>Colonne4851</t>
  </si>
  <si>
    <t>Colonne4852</t>
  </si>
  <si>
    <t>Colonne4853</t>
  </si>
  <si>
    <t>Colonne4854</t>
  </si>
  <si>
    <t>Colonne4855</t>
  </si>
  <si>
    <t>Colonne4856</t>
  </si>
  <si>
    <t>Colonne4857</t>
  </si>
  <si>
    <t>Colonne4858</t>
  </si>
  <si>
    <t>Colonne4859</t>
  </si>
  <si>
    <t>Colonne4860</t>
  </si>
  <si>
    <t>Colonne4861</t>
  </si>
  <si>
    <t>Colonne4862</t>
  </si>
  <si>
    <t>Colonne4863</t>
  </si>
  <si>
    <t>Colonne4864</t>
  </si>
  <si>
    <t>Colonne4865</t>
  </si>
  <si>
    <t>Colonne4866</t>
  </si>
  <si>
    <t>Colonne4867</t>
  </si>
  <si>
    <t>Colonne4868</t>
  </si>
  <si>
    <t>Colonne4869</t>
  </si>
  <si>
    <t>Colonne4870</t>
  </si>
  <si>
    <t>Colonne4871</t>
  </si>
  <si>
    <t>Colonne4872</t>
  </si>
  <si>
    <t>Colonne4873</t>
  </si>
  <si>
    <t>Colonne4874</t>
  </si>
  <si>
    <t>Colonne4875</t>
  </si>
  <si>
    <t>Colonne4876</t>
  </si>
  <si>
    <t>Colonne4877</t>
  </si>
  <si>
    <t>Colonne4878</t>
  </si>
  <si>
    <t>Colonne4879</t>
  </si>
  <si>
    <t>Colonne4880</t>
  </si>
  <si>
    <t>Colonne4881</t>
  </si>
  <si>
    <t>Colonne4882</t>
  </si>
  <si>
    <t>Colonne4883</t>
  </si>
  <si>
    <t>Colonne4884</t>
  </si>
  <si>
    <t>Colonne4885</t>
  </si>
  <si>
    <t>Colonne4886</t>
  </si>
  <si>
    <t>Colonne4887</t>
  </si>
  <si>
    <t>Colonne4888</t>
  </si>
  <si>
    <t>Colonne4889</t>
  </si>
  <si>
    <t>Colonne4890</t>
  </si>
  <si>
    <t>Colonne4891</t>
  </si>
  <si>
    <t>Colonne4892</t>
  </si>
  <si>
    <t>Colonne4893</t>
  </si>
  <si>
    <t>Colonne4894</t>
  </si>
  <si>
    <t>Colonne4895</t>
  </si>
  <si>
    <t>Colonne4896</t>
  </si>
  <si>
    <t>Colonne4897</t>
  </si>
  <si>
    <t>Colonne4898</t>
  </si>
  <si>
    <t>Colonne4899</t>
  </si>
  <si>
    <t>Colonne4900</t>
  </si>
  <si>
    <t>Colonne4901</t>
  </si>
  <si>
    <t>Colonne4902</t>
  </si>
  <si>
    <t>Colonne4903</t>
  </si>
  <si>
    <t>Colonne4904</t>
  </si>
  <si>
    <t>Colonne4905</t>
  </si>
  <si>
    <t>Colonne4906</t>
  </si>
  <si>
    <t>Colonne4907</t>
  </si>
  <si>
    <t>Colonne4908</t>
  </si>
  <si>
    <t>Colonne4909</t>
  </si>
  <si>
    <t>Colonne4910</t>
  </si>
  <si>
    <t>Colonne4911</t>
  </si>
  <si>
    <t>Colonne4912</t>
  </si>
  <si>
    <t>Colonne4913</t>
  </si>
  <si>
    <t>Colonne4914</t>
  </si>
  <si>
    <t>Colonne4915</t>
  </si>
  <si>
    <t>Colonne4916</t>
  </si>
  <si>
    <t>Colonne4917</t>
  </si>
  <si>
    <t>Colonne4918</t>
  </si>
  <si>
    <t>Colonne4919</t>
  </si>
  <si>
    <t>Colonne4920</t>
  </si>
  <si>
    <t>Colonne4921</t>
  </si>
  <si>
    <t>Colonne4922</t>
  </si>
  <si>
    <t>Colonne4923</t>
  </si>
  <si>
    <t>Colonne4924</t>
  </si>
  <si>
    <t>Colonne4925</t>
  </si>
  <si>
    <t>Colonne4926</t>
  </si>
  <si>
    <t>Colonne4927</t>
  </si>
  <si>
    <t>Colonne4928</t>
  </si>
  <si>
    <t>Colonne4929</t>
  </si>
  <si>
    <t>Colonne4930</t>
  </si>
  <si>
    <t>Colonne4931</t>
  </si>
  <si>
    <t>Colonne4932</t>
  </si>
  <si>
    <t>Colonne4933</t>
  </si>
  <si>
    <t>Colonne4934</t>
  </si>
  <si>
    <t>Colonne4935</t>
  </si>
  <si>
    <t>Colonne4936</t>
  </si>
  <si>
    <t>Colonne4937</t>
  </si>
  <si>
    <t>Colonne4938</t>
  </si>
  <si>
    <t>Colonne4939</t>
  </si>
  <si>
    <t>Colonne4940</t>
  </si>
  <si>
    <t>Colonne4941</t>
  </si>
  <si>
    <t>Colonne4942</t>
  </si>
  <si>
    <t>Colonne4943</t>
  </si>
  <si>
    <t>Colonne4944</t>
  </si>
  <si>
    <t>Colonne4945</t>
  </si>
  <si>
    <t>Colonne4946</t>
  </si>
  <si>
    <t>Colonne4947</t>
  </si>
  <si>
    <t>Colonne4948</t>
  </si>
  <si>
    <t>Colonne4949</t>
  </si>
  <si>
    <t>Colonne4950</t>
  </si>
  <si>
    <t>Colonne4951</t>
  </si>
  <si>
    <t>Colonne4952</t>
  </si>
  <si>
    <t>Colonne4953</t>
  </si>
  <si>
    <t>Colonne4954</t>
  </si>
  <si>
    <t>Colonne4955</t>
  </si>
  <si>
    <t>Colonne4956</t>
  </si>
  <si>
    <t>Colonne4957</t>
  </si>
  <si>
    <t>Colonne4958</t>
  </si>
  <si>
    <t>Colonne4959</t>
  </si>
  <si>
    <t>Colonne4960</t>
  </si>
  <si>
    <t>Colonne4961</t>
  </si>
  <si>
    <t>Colonne4962</t>
  </si>
  <si>
    <t>Colonne4963</t>
  </si>
  <si>
    <t>Colonne4964</t>
  </si>
  <si>
    <t>Colonne4965</t>
  </si>
  <si>
    <t>Colonne4966</t>
  </si>
  <si>
    <t>Colonne4967</t>
  </si>
  <si>
    <t>Colonne4968</t>
  </si>
  <si>
    <t>Colonne4969</t>
  </si>
  <si>
    <t>Colonne4970</t>
  </si>
  <si>
    <t>Colonne4971</t>
  </si>
  <si>
    <t>Colonne4972</t>
  </si>
  <si>
    <t>Colonne4973</t>
  </si>
  <si>
    <t>Colonne4974</t>
  </si>
  <si>
    <t>Colonne4975</t>
  </si>
  <si>
    <t>Colonne4976</t>
  </si>
  <si>
    <t>Colonne4977</t>
  </si>
  <si>
    <t>Colonne4978</t>
  </si>
  <si>
    <t>Colonne4979</t>
  </si>
  <si>
    <t>Colonne4980</t>
  </si>
  <si>
    <t>Colonne4981</t>
  </si>
  <si>
    <t>Colonne4982</t>
  </si>
  <si>
    <t>Colonne4983</t>
  </si>
  <si>
    <t>Colonne4984</t>
  </si>
  <si>
    <t>Colonne4985</t>
  </si>
  <si>
    <t>Colonne4986</t>
  </si>
  <si>
    <t>Colonne4987</t>
  </si>
  <si>
    <t>Colonne4988</t>
  </si>
  <si>
    <t>Colonne4989</t>
  </si>
  <si>
    <t>Colonne4990</t>
  </si>
  <si>
    <t>Colonne4991</t>
  </si>
  <si>
    <t>Colonne4992</t>
  </si>
  <si>
    <t>Colonne4993</t>
  </si>
  <si>
    <t>Colonne4994</t>
  </si>
  <si>
    <t>Colonne4995</t>
  </si>
  <si>
    <t>Colonne4996</t>
  </si>
  <si>
    <t>Colonne4997</t>
  </si>
  <si>
    <t>Colonne4998</t>
  </si>
  <si>
    <t>Colonne4999</t>
  </si>
  <si>
    <t>Colonne5000</t>
  </si>
  <si>
    <t>Colonne5001</t>
  </si>
  <si>
    <t>Colonne5002</t>
  </si>
  <si>
    <t>Colonne5003</t>
  </si>
  <si>
    <t>Colonne5004</t>
  </si>
  <si>
    <t>Colonne5005</t>
  </si>
  <si>
    <t>Colonne5006</t>
  </si>
  <si>
    <t>Colonne5007</t>
  </si>
  <si>
    <t>Colonne5008</t>
  </si>
  <si>
    <t>Colonne5009</t>
  </si>
  <si>
    <t>Colonne5010</t>
  </si>
  <si>
    <t>Colonne5011</t>
  </si>
  <si>
    <t>Colonne5012</t>
  </si>
  <si>
    <t>Colonne5013</t>
  </si>
  <si>
    <t>Colonne5014</t>
  </si>
  <si>
    <t>Colonne5015</t>
  </si>
  <si>
    <t>Colonne5016</t>
  </si>
  <si>
    <t>Colonne5017</t>
  </si>
  <si>
    <t>Colonne5018</t>
  </si>
  <si>
    <t>Colonne5019</t>
  </si>
  <si>
    <t>Colonne5020</t>
  </si>
  <si>
    <t>Colonne5021</t>
  </si>
  <si>
    <t>Colonne5022</t>
  </si>
  <si>
    <t>Colonne5023</t>
  </si>
  <si>
    <t>Colonne5024</t>
  </si>
  <si>
    <t>Colonne5025</t>
  </si>
  <si>
    <t>Colonne5026</t>
  </si>
  <si>
    <t>Colonne5027</t>
  </si>
  <si>
    <t>Colonne5028</t>
  </si>
  <si>
    <t>Colonne5029</t>
  </si>
  <si>
    <t>Colonne5030</t>
  </si>
  <si>
    <t>Colonne5031</t>
  </si>
  <si>
    <t>Colonne5032</t>
  </si>
  <si>
    <t>Colonne5033</t>
  </si>
  <si>
    <t>Colonne5034</t>
  </si>
  <si>
    <t>Colonne5035</t>
  </si>
  <si>
    <t>Colonne5036</t>
  </si>
  <si>
    <t>Colonne5037</t>
  </si>
  <si>
    <t>Colonne5038</t>
  </si>
  <si>
    <t>Colonne5039</t>
  </si>
  <si>
    <t>Colonne5040</t>
  </si>
  <si>
    <t>Colonne5041</t>
  </si>
  <si>
    <t>Colonne5042</t>
  </si>
  <si>
    <t>Colonne5043</t>
  </si>
  <si>
    <t>Colonne5044</t>
  </si>
  <si>
    <t>Colonne5045</t>
  </si>
  <si>
    <t>Colonne5046</t>
  </si>
  <si>
    <t>Colonne5047</t>
  </si>
  <si>
    <t>Colonne5048</t>
  </si>
  <si>
    <t>Colonne5049</t>
  </si>
  <si>
    <t>Colonne5050</t>
  </si>
  <si>
    <t>Colonne5051</t>
  </si>
  <si>
    <t>Colonne5052</t>
  </si>
  <si>
    <t>Colonne5053</t>
  </si>
  <si>
    <t>Colonne5054</t>
  </si>
  <si>
    <t>Colonne5055</t>
  </si>
  <si>
    <t>Colonne5056</t>
  </si>
  <si>
    <t>Colonne5057</t>
  </si>
  <si>
    <t>Colonne5058</t>
  </si>
  <si>
    <t>Colonne5059</t>
  </si>
  <si>
    <t>Colonne5060</t>
  </si>
  <si>
    <t>Colonne5061</t>
  </si>
  <si>
    <t>Colonne5062</t>
  </si>
  <si>
    <t>Colonne5063</t>
  </si>
  <si>
    <t>Colonne5064</t>
  </si>
  <si>
    <t>Colonne5065</t>
  </si>
  <si>
    <t>Colonne5066</t>
  </si>
  <si>
    <t>Colonne5067</t>
  </si>
  <si>
    <t>Colonne5068</t>
  </si>
  <si>
    <t>Colonne5069</t>
  </si>
  <si>
    <t>Colonne5070</t>
  </si>
  <si>
    <t>Colonne5071</t>
  </si>
  <si>
    <t>Colonne5072</t>
  </si>
  <si>
    <t>Colonne5073</t>
  </si>
  <si>
    <t>Colonne5074</t>
  </si>
  <si>
    <t>Colonne5075</t>
  </si>
  <si>
    <t>Colonne5076</t>
  </si>
  <si>
    <t>Colonne5077</t>
  </si>
  <si>
    <t>Colonne5078</t>
  </si>
  <si>
    <t>Colonne5079</t>
  </si>
  <si>
    <t>Colonne5080</t>
  </si>
  <si>
    <t>Colonne5081</t>
  </si>
  <si>
    <t>Colonne5082</t>
  </si>
  <si>
    <t>Colonne5083</t>
  </si>
  <si>
    <t>Colonne5084</t>
  </si>
  <si>
    <t>Colonne5085</t>
  </si>
  <si>
    <t>Colonne5086</t>
  </si>
  <si>
    <t>Colonne5087</t>
  </si>
  <si>
    <t>Colonne5088</t>
  </si>
  <si>
    <t>Colonne5089</t>
  </si>
  <si>
    <t>Colonne5090</t>
  </si>
  <si>
    <t>Colonne5091</t>
  </si>
  <si>
    <t>Colonne5092</t>
  </si>
  <si>
    <t>Colonne5093</t>
  </si>
  <si>
    <t>Colonne5094</t>
  </si>
  <si>
    <t>Colonne5095</t>
  </si>
  <si>
    <t>Colonne5096</t>
  </si>
  <si>
    <t>Colonne5097</t>
  </si>
  <si>
    <t>Colonne5098</t>
  </si>
  <si>
    <t>Colonne5099</t>
  </si>
  <si>
    <t>Colonne5100</t>
  </si>
  <si>
    <t>Colonne5101</t>
  </si>
  <si>
    <t>Colonne5102</t>
  </si>
  <si>
    <t>Colonne5103</t>
  </si>
  <si>
    <t>Colonne5104</t>
  </si>
  <si>
    <t>Colonne5105</t>
  </si>
  <si>
    <t>Colonne5106</t>
  </si>
  <si>
    <t>Colonne5107</t>
  </si>
  <si>
    <t>Colonne5108</t>
  </si>
  <si>
    <t>Colonne5109</t>
  </si>
  <si>
    <t>Colonne5110</t>
  </si>
  <si>
    <t>Colonne5111</t>
  </si>
  <si>
    <t>Colonne5112</t>
  </si>
  <si>
    <t>Colonne5113</t>
  </si>
  <si>
    <t>Colonne5114</t>
  </si>
  <si>
    <t>Colonne5115</t>
  </si>
  <si>
    <t>Colonne5116</t>
  </si>
  <si>
    <t>Colonne5117</t>
  </si>
  <si>
    <t>Colonne5118</t>
  </si>
  <si>
    <t>Colonne5119</t>
  </si>
  <si>
    <t>Colonne5120</t>
  </si>
  <si>
    <t>Colonne5121</t>
  </si>
  <si>
    <t>Colonne5122</t>
  </si>
  <si>
    <t>Colonne5123</t>
  </si>
  <si>
    <t>Colonne5124</t>
  </si>
  <si>
    <t>Colonne5125</t>
  </si>
  <si>
    <t>Colonne5126</t>
  </si>
  <si>
    <t>Colonne5127</t>
  </si>
  <si>
    <t>Colonne5128</t>
  </si>
  <si>
    <t>Colonne5129</t>
  </si>
  <si>
    <t>Colonne5130</t>
  </si>
  <si>
    <t>Colonne5131</t>
  </si>
  <si>
    <t>Colonne5132</t>
  </si>
  <si>
    <t>Colonne5133</t>
  </si>
  <si>
    <t>Colonne5134</t>
  </si>
  <si>
    <t>Colonne5135</t>
  </si>
  <si>
    <t>Colonne5136</t>
  </si>
  <si>
    <t>Colonne5137</t>
  </si>
  <si>
    <t>Colonne5138</t>
  </si>
  <si>
    <t>Colonne5139</t>
  </si>
  <si>
    <t>Colonne5140</t>
  </si>
  <si>
    <t>Colonne5141</t>
  </si>
  <si>
    <t>Colonne5142</t>
  </si>
  <si>
    <t>Colonne5143</t>
  </si>
  <si>
    <t>Colonne5144</t>
  </si>
  <si>
    <t>Colonne5145</t>
  </si>
  <si>
    <t>Colonne5146</t>
  </si>
  <si>
    <t>Colonne5147</t>
  </si>
  <si>
    <t>Colonne5148</t>
  </si>
  <si>
    <t>Colonne5149</t>
  </si>
  <si>
    <t>Colonne5150</t>
  </si>
  <si>
    <t>Colonne5151</t>
  </si>
  <si>
    <t>Colonne5152</t>
  </si>
  <si>
    <t>Colonne5153</t>
  </si>
  <si>
    <t>Colonne5154</t>
  </si>
  <si>
    <t>Colonne5155</t>
  </si>
  <si>
    <t>Colonne5156</t>
  </si>
  <si>
    <t>Colonne5157</t>
  </si>
  <si>
    <t>Colonne5158</t>
  </si>
  <si>
    <t>Colonne5159</t>
  </si>
  <si>
    <t>Colonne5160</t>
  </si>
  <si>
    <t>Colonne5161</t>
  </si>
  <si>
    <t>Colonne5162</t>
  </si>
  <si>
    <t>Colonne5163</t>
  </si>
  <si>
    <t>Colonne5164</t>
  </si>
  <si>
    <t>Colonne5165</t>
  </si>
  <si>
    <t>Colonne5166</t>
  </si>
  <si>
    <t>Colonne5167</t>
  </si>
  <si>
    <t>Colonne5168</t>
  </si>
  <si>
    <t>Colonne5169</t>
  </si>
  <si>
    <t>Colonne5170</t>
  </si>
  <si>
    <t>Colonne5171</t>
  </si>
  <si>
    <t>Colonne5172</t>
  </si>
  <si>
    <t>Colonne5173</t>
  </si>
  <si>
    <t>Colonne5174</t>
  </si>
  <si>
    <t>Colonne5175</t>
  </si>
  <si>
    <t>Colonne5176</t>
  </si>
  <si>
    <t>Colonne5177</t>
  </si>
  <si>
    <t>Colonne5178</t>
  </si>
  <si>
    <t>Colonne5179</t>
  </si>
  <si>
    <t>Colonne5180</t>
  </si>
  <si>
    <t>Colonne5181</t>
  </si>
  <si>
    <t>Colonne5182</t>
  </si>
  <si>
    <t>Colonne5183</t>
  </si>
  <si>
    <t>Colonne5184</t>
  </si>
  <si>
    <t>Colonne5185</t>
  </si>
  <si>
    <t>Colonne5186</t>
  </si>
  <si>
    <t>Colonne5187</t>
  </si>
  <si>
    <t>Colonne5188</t>
  </si>
  <si>
    <t>Colonne5189</t>
  </si>
  <si>
    <t>Colonne5190</t>
  </si>
  <si>
    <t>Colonne5191</t>
  </si>
  <si>
    <t>Colonne5192</t>
  </si>
  <si>
    <t>Colonne5193</t>
  </si>
  <si>
    <t>Colonne5194</t>
  </si>
  <si>
    <t>Colonne5195</t>
  </si>
  <si>
    <t>Colonne5196</t>
  </si>
  <si>
    <t>Colonne5197</t>
  </si>
  <si>
    <t>Colonne5198</t>
  </si>
  <si>
    <t>Colonne5199</t>
  </si>
  <si>
    <t>Colonne5200</t>
  </si>
  <si>
    <t>Colonne5201</t>
  </si>
  <si>
    <t>Colonne5202</t>
  </si>
  <si>
    <t>Colonne5203</t>
  </si>
  <si>
    <t>Colonne5204</t>
  </si>
  <si>
    <t>Colonne5205</t>
  </si>
  <si>
    <t>Colonne5206</t>
  </si>
  <si>
    <t>Colonne5207</t>
  </si>
  <si>
    <t>Colonne5208</t>
  </si>
  <si>
    <t>Colonne5209</t>
  </si>
  <si>
    <t>Colonne5210</t>
  </si>
  <si>
    <t>Colonne5211</t>
  </si>
  <si>
    <t>Colonne5212</t>
  </si>
  <si>
    <t>Colonne5213</t>
  </si>
  <si>
    <t>Colonne5214</t>
  </si>
  <si>
    <t>Colonne5215</t>
  </si>
  <si>
    <t>Colonne5216</t>
  </si>
  <si>
    <t>Colonne5217</t>
  </si>
  <si>
    <t>Colonne5218</t>
  </si>
  <si>
    <t>Colonne5219</t>
  </si>
  <si>
    <t>Colonne5220</t>
  </si>
  <si>
    <t>Colonne5221</t>
  </si>
  <si>
    <t>Colonne5222</t>
  </si>
  <si>
    <t>Colonne5223</t>
  </si>
  <si>
    <t>Colonne5224</t>
  </si>
  <si>
    <t>Colonne5225</t>
  </si>
  <si>
    <t>Colonne5226</t>
  </si>
  <si>
    <t>Colonne5227</t>
  </si>
  <si>
    <t>Colonne5228</t>
  </si>
  <si>
    <t>Colonne5229</t>
  </si>
  <si>
    <t>Colonne5230</t>
  </si>
  <si>
    <t>Colonne5231</t>
  </si>
  <si>
    <t>Colonne5232</t>
  </si>
  <si>
    <t>Colonne5233</t>
  </si>
  <si>
    <t>Colonne5234</t>
  </si>
  <si>
    <t>Colonne5235</t>
  </si>
  <si>
    <t>Colonne5236</t>
  </si>
  <si>
    <t>Colonne5237</t>
  </si>
  <si>
    <t>Colonne5238</t>
  </si>
  <si>
    <t>Colonne5239</t>
  </si>
  <si>
    <t>Colonne5240</t>
  </si>
  <si>
    <t>Colonne5241</t>
  </si>
  <si>
    <t>Colonne5242</t>
  </si>
  <si>
    <t>Colonne5243</t>
  </si>
  <si>
    <t>Colonne5244</t>
  </si>
  <si>
    <t>Colonne5245</t>
  </si>
  <si>
    <t>Colonne5246</t>
  </si>
  <si>
    <t>Colonne5247</t>
  </si>
  <si>
    <t>Colonne5248</t>
  </si>
  <si>
    <t>Colonne5249</t>
  </si>
  <si>
    <t>Colonne5250</t>
  </si>
  <si>
    <t>Colonne5251</t>
  </si>
  <si>
    <t>Colonne5252</t>
  </si>
  <si>
    <t>Colonne5253</t>
  </si>
  <si>
    <t>Colonne5254</t>
  </si>
  <si>
    <t>Colonne5255</t>
  </si>
  <si>
    <t>Colonne5256</t>
  </si>
  <si>
    <t>Colonne5257</t>
  </si>
  <si>
    <t>Colonne5258</t>
  </si>
  <si>
    <t>Colonne5259</t>
  </si>
  <si>
    <t>Colonne5260</t>
  </si>
  <si>
    <t>Colonne5261</t>
  </si>
  <si>
    <t>Colonne5262</t>
  </si>
  <si>
    <t>Colonne5263</t>
  </si>
  <si>
    <t>Colonne5264</t>
  </si>
  <si>
    <t>Colonne5265</t>
  </si>
  <si>
    <t>Colonne5266</t>
  </si>
  <si>
    <t>Colonne5267</t>
  </si>
  <si>
    <t>Colonne5268</t>
  </si>
  <si>
    <t>Colonne5269</t>
  </si>
  <si>
    <t>Colonne5270</t>
  </si>
  <si>
    <t>Colonne5271</t>
  </si>
  <si>
    <t>Colonne5272</t>
  </si>
  <si>
    <t>Colonne5273</t>
  </si>
  <si>
    <t>Colonne5274</t>
  </si>
  <si>
    <t>Colonne5275</t>
  </si>
  <si>
    <t>Colonne5276</t>
  </si>
  <si>
    <t>Colonne5277</t>
  </si>
  <si>
    <t>Colonne5278</t>
  </si>
  <si>
    <t>Colonne5279</t>
  </si>
  <si>
    <t>Colonne5280</t>
  </si>
  <si>
    <t>Colonne5281</t>
  </si>
  <si>
    <t>Colonne5282</t>
  </si>
  <si>
    <t>Colonne5283</t>
  </si>
  <si>
    <t>Colonne5284</t>
  </si>
  <si>
    <t>Colonne5285</t>
  </si>
  <si>
    <t>Colonne5286</t>
  </si>
  <si>
    <t>Colonne5287</t>
  </si>
  <si>
    <t>Colonne5288</t>
  </si>
  <si>
    <t>Colonne5289</t>
  </si>
  <si>
    <t>Colonne5290</t>
  </si>
  <si>
    <t>Colonne5291</t>
  </si>
  <si>
    <t>Colonne5292</t>
  </si>
  <si>
    <t>Colonne5293</t>
  </si>
  <si>
    <t>Colonne5294</t>
  </si>
  <si>
    <t>Colonne5295</t>
  </si>
  <si>
    <t>Colonne5296</t>
  </si>
  <si>
    <t>Colonne5297</t>
  </si>
  <si>
    <t>Colonne5298</t>
  </si>
  <si>
    <t>Colonne5299</t>
  </si>
  <si>
    <t>Colonne5300</t>
  </si>
  <si>
    <t>Colonne5301</t>
  </si>
  <si>
    <t>Colonne5302</t>
  </si>
  <si>
    <t>Colonne5303</t>
  </si>
  <si>
    <t>Colonne5304</t>
  </si>
  <si>
    <t>Colonne5305</t>
  </si>
  <si>
    <t>Colonne5306</t>
  </si>
  <si>
    <t>Colonne5307</t>
  </si>
  <si>
    <t>Colonne5308</t>
  </si>
  <si>
    <t>Colonne5309</t>
  </si>
  <si>
    <t>Colonne5310</t>
  </si>
  <si>
    <t>Colonne5311</t>
  </si>
  <si>
    <t>Colonne5312</t>
  </si>
  <si>
    <t>Colonne5313</t>
  </si>
  <si>
    <t>Colonne5314</t>
  </si>
  <si>
    <t>Colonne5315</t>
  </si>
  <si>
    <t>Colonne5316</t>
  </si>
  <si>
    <t>Colonne5317</t>
  </si>
  <si>
    <t>Colonne5318</t>
  </si>
  <si>
    <t>Colonne5319</t>
  </si>
  <si>
    <t>Colonne5320</t>
  </si>
  <si>
    <t>Colonne5321</t>
  </si>
  <si>
    <t>Colonne5322</t>
  </si>
  <si>
    <t>Colonne5323</t>
  </si>
  <si>
    <t>Colonne5324</t>
  </si>
  <si>
    <t>Colonne5325</t>
  </si>
  <si>
    <t>Colonne5326</t>
  </si>
  <si>
    <t>Colonne5327</t>
  </si>
  <si>
    <t>Colonne5328</t>
  </si>
  <si>
    <t>Colonne5329</t>
  </si>
  <si>
    <t>Colonne5330</t>
  </si>
  <si>
    <t>Colonne5331</t>
  </si>
  <si>
    <t>Colonne5332</t>
  </si>
  <si>
    <t>Colonne5333</t>
  </si>
  <si>
    <t>Colonne5334</t>
  </si>
  <si>
    <t>Colonne5335</t>
  </si>
  <si>
    <t>Colonne5336</t>
  </si>
  <si>
    <t>Colonne5337</t>
  </si>
  <si>
    <t>Colonne5338</t>
  </si>
  <si>
    <t>Colonne5339</t>
  </si>
  <si>
    <t>Colonne5340</t>
  </si>
  <si>
    <t>Colonne5341</t>
  </si>
  <si>
    <t>Colonne5342</t>
  </si>
  <si>
    <t>Colonne5343</t>
  </si>
  <si>
    <t>Colonne5344</t>
  </si>
  <si>
    <t>Colonne5345</t>
  </si>
  <si>
    <t>Colonne5346</t>
  </si>
  <si>
    <t>Colonne5347</t>
  </si>
  <si>
    <t>Colonne5348</t>
  </si>
  <si>
    <t>Colonne5349</t>
  </si>
  <si>
    <t>Colonne5350</t>
  </si>
  <si>
    <t>Colonne5351</t>
  </si>
  <si>
    <t>Colonne5352</t>
  </si>
  <si>
    <t>Colonne5353</t>
  </si>
  <si>
    <t>Colonne5354</t>
  </si>
  <si>
    <t>Colonne5355</t>
  </si>
  <si>
    <t>Colonne5356</t>
  </si>
  <si>
    <t>Colonne5357</t>
  </si>
  <si>
    <t>Colonne5358</t>
  </si>
  <si>
    <t>Colonne5359</t>
  </si>
  <si>
    <t>Colonne5360</t>
  </si>
  <si>
    <t>Colonne5361</t>
  </si>
  <si>
    <t>Colonne5362</t>
  </si>
  <si>
    <t>Colonne5363</t>
  </si>
  <si>
    <t>Colonne5364</t>
  </si>
  <si>
    <t>Colonne5365</t>
  </si>
  <si>
    <t>Colonne5366</t>
  </si>
  <si>
    <t>Colonne5367</t>
  </si>
  <si>
    <t>Colonne5368</t>
  </si>
  <si>
    <t>Colonne5369</t>
  </si>
  <si>
    <t>Colonne5370</t>
  </si>
  <si>
    <t>Colonne5371</t>
  </si>
  <si>
    <t>Colonne5372</t>
  </si>
  <si>
    <t>Colonne5373</t>
  </si>
  <si>
    <t>Colonne5374</t>
  </si>
  <si>
    <t>Colonne5375</t>
  </si>
  <si>
    <t>Colonne5376</t>
  </si>
  <si>
    <t>Colonne5377</t>
  </si>
  <si>
    <t>Colonne5378</t>
  </si>
  <si>
    <t>Colonne5379</t>
  </si>
  <si>
    <t>Colonne5380</t>
  </si>
  <si>
    <t>Colonne5381</t>
  </si>
  <si>
    <t>Colonne5382</t>
  </si>
  <si>
    <t>Colonne5383</t>
  </si>
  <si>
    <t>Colonne5384</t>
  </si>
  <si>
    <t>Colonne5385</t>
  </si>
  <si>
    <t>Colonne5386</t>
  </si>
  <si>
    <t>Colonne5387</t>
  </si>
  <si>
    <t>Colonne5388</t>
  </si>
  <si>
    <t>Colonne5389</t>
  </si>
  <si>
    <t>Colonne5390</t>
  </si>
  <si>
    <t>Colonne5391</t>
  </si>
  <si>
    <t>Colonne5392</t>
  </si>
  <si>
    <t>Colonne5393</t>
  </si>
  <si>
    <t>Colonne5394</t>
  </si>
  <si>
    <t>Colonne5395</t>
  </si>
  <si>
    <t>Colonne5396</t>
  </si>
  <si>
    <t>Colonne5397</t>
  </si>
  <si>
    <t>Colonne5398</t>
  </si>
  <si>
    <t>Colonne5399</t>
  </si>
  <si>
    <t>Colonne5400</t>
  </si>
  <si>
    <t>Colonne5401</t>
  </si>
  <si>
    <t>Colonne5402</t>
  </si>
  <si>
    <t>Colonne5403</t>
  </si>
  <si>
    <t>Colonne5404</t>
  </si>
  <si>
    <t>Colonne5405</t>
  </si>
  <si>
    <t>Colonne5406</t>
  </si>
  <si>
    <t>Colonne5407</t>
  </si>
  <si>
    <t>Colonne5408</t>
  </si>
  <si>
    <t>Colonne5409</t>
  </si>
  <si>
    <t>Colonne5410</t>
  </si>
  <si>
    <t>Colonne5411</t>
  </si>
  <si>
    <t>Colonne5412</t>
  </si>
  <si>
    <t>Colonne5413</t>
  </si>
  <si>
    <t>Colonne5414</t>
  </si>
  <si>
    <t>Colonne5415</t>
  </si>
  <si>
    <t>Colonne5416</t>
  </si>
  <si>
    <t>Colonne5417</t>
  </si>
  <si>
    <t>Colonne5418</t>
  </si>
  <si>
    <t>Colonne5419</t>
  </si>
  <si>
    <t>Colonne5420</t>
  </si>
  <si>
    <t>Colonne5421</t>
  </si>
  <si>
    <t>Colonne5422</t>
  </si>
  <si>
    <t>Colonne5423</t>
  </si>
  <si>
    <t>Colonne5424</t>
  </si>
  <si>
    <t>Colonne5425</t>
  </si>
  <si>
    <t>Colonne5426</t>
  </si>
  <si>
    <t>Colonne5427</t>
  </si>
  <si>
    <t>Colonne5428</t>
  </si>
  <si>
    <t>Colonne5429</t>
  </si>
  <si>
    <t>Colonne5430</t>
  </si>
  <si>
    <t>Colonne5431</t>
  </si>
  <si>
    <t>Colonne5432</t>
  </si>
  <si>
    <t>Colonne5433</t>
  </si>
  <si>
    <t>Colonne5434</t>
  </si>
  <si>
    <t>Colonne5435</t>
  </si>
  <si>
    <t>Colonne5436</t>
  </si>
  <si>
    <t>Colonne5437</t>
  </si>
  <si>
    <t>Colonne5438</t>
  </si>
  <si>
    <t>Colonne5439</t>
  </si>
  <si>
    <t>Colonne5440</t>
  </si>
  <si>
    <t>Colonne5441</t>
  </si>
  <si>
    <t>Colonne5442</t>
  </si>
  <si>
    <t>Colonne5443</t>
  </si>
  <si>
    <t>Colonne5444</t>
  </si>
  <si>
    <t>Colonne5445</t>
  </si>
  <si>
    <t>Colonne5446</t>
  </si>
  <si>
    <t>Colonne5447</t>
  </si>
  <si>
    <t>Colonne5448</t>
  </si>
  <si>
    <t>Colonne5449</t>
  </si>
  <si>
    <t>Colonne5450</t>
  </si>
  <si>
    <t>Colonne5451</t>
  </si>
  <si>
    <t>Colonne5452</t>
  </si>
  <si>
    <t>Colonne5453</t>
  </si>
  <si>
    <t>Colonne5454</t>
  </si>
  <si>
    <t>Colonne5455</t>
  </si>
  <si>
    <t>Colonne5456</t>
  </si>
  <si>
    <t>Colonne5457</t>
  </si>
  <si>
    <t>Colonne5458</t>
  </si>
  <si>
    <t>Colonne5459</t>
  </si>
  <si>
    <t>Colonne5460</t>
  </si>
  <si>
    <t>Colonne5461</t>
  </si>
  <si>
    <t>Colonne5462</t>
  </si>
  <si>
    <t>Colonne5463</t>
  </si>
  <si>
    <t>Colonne5464</t>
  </si>
  <si>
    <t>Colonne5465</t>
  </si>
  <si>
    <t>Colonne5466</t>
  </si>
  <si>
    <t>Colonne5467</t>
  </si>
  <si>
    <t>Colonne5468</t>
  </si>
  <si>
    <t>Colonne5469</t>
  </si>
  <si>
    <t>Colonne5470</t>
  </si>
  <si>
    <t>Colonne5471</t>
  </si>
  <si>
    <t>Colonne5472</t>
  </si>
  <si>
    <t>Colonne5473</t>
  </si>
  <si>
    <t>Colonne5474</t>
  </si>
  <si>
    <t>Colonne5475</t>
  </si>
  <si>
    <t>Colonne5476</t>
  </si>
  <si>
    <t>Colonne5477</t>
  </si>
  <si>
    <t>Colonne5478</t>
  </si>
  <si>
    <t>Colonne5479</t>
  </si>
  <si>
    <t>Colonne5480</t>
  </si>
  <si>
    <t>Colonne5481</t>
  </si>
  <si>
    <t>Colonne5482</t>
  </si>
  <si>
    <t>Colonne5483</t>
  </si>
  <si>
    <t>Colonne5484</t>
  </si>
  <si>
    <t>Colonne5485</t>
  </si>
  <si>
    <t>Colonne5486</t>
  </si>
  <si>
    <t>Colonne5487</t>
  </si>
  <si>
    <t>Colonne5488</t>
  </si>
  <si>
    <t>Colonne5489</t>
  </si>
  <si>
    <t>Colonne5490</t>
  </si>
  <si>
    <t>Colonne5491</t>
  </si>
  <si>
    <t>Colonne5492</t>
  </si>
  <si>
    <t>Colonne5493</t>
  </si>
  <si>
    <t>Colonne5494</t>
  </si>
  <si>
    <t>Colonne5495</t>
  </si>
  <si>
    <t>Colonne5496</t>
  </si>
  <si>
    <t>Colonne5497</t>
  </si>
  <si>
    <t>Colonne5498</t>
  </si>
  <si>
    <t>Colonne5499</t>
  </si>
  <si>
    <t>Colonne5500</t>
  </si>
  <si>
    <t>Colonne5501</t>
  </si>
  <si>
    <t>Colonne5502</t>
  </si>
  <si>
    <t>Colonne5503</t>
  </si>
  <si>
    <t>Colonne5504</t>
  </si>
  <si>
    <t>Colonne5505</t>
  </si>
  <si>
    <t>Colonne5506</t>
  </si>
  <si>
    <t>Colonne5507</t>
  </si>
  <si>
    <t>Colonne5508</t>
  </si>
  <si>
    <t>Colonne5509</t>
  </si>
  <si>
    <t>Colonne5510</t>
  </si>
  <si>
    <t>Colonne5511</t>
  </si>
  <si>
    <t>Colonne5512</t>
  </si>
  <si>
    <t>Colonne5513</t>
  </si>
  <si>
    <t>Colonne5514</t>
  </si>
  <si>
    <t>Colonne5515</t>
  </si>
  <si>
    <t>Colonne5516</t>
  </si>
  <si>
    <t>Colonne5517</t>
  </si>
  <si>
    <t>Colonne5518</t>
  </si>
  <si>
    <t>Colonne5519</t>
  </si>
  <si>
    <t>Colonne5520</t>
  </si>
  <si>
    <t>Colonne5521</t>
  </si>
  <si>
    <t>Colonne5522</t>
  </si>
  <si>
    <t>Colonne5523</t>
  </si>
  <si>
    <t>Colonne5524</t>
  </si>
  <si>
    <t>Colonne5525</t>
  </si>
  <si>
    <t>Colonne5526</t>
  </si>
  <si>
    <t>Colonne5527</t>
  </si>
  <si>
    <t>Colonne5528</t>
  </si>
  <si>
    <t>Colonne5529</t>
  </si>
  <si>
    <t>Colonne5530</t>
  </si>
  <si>
    <t>Colonne5531</t>
  </si>
  <si>
    <t>Colonne5532</t>
  </si>
  <si>
    <t>Colonne5533</t>
  </si>
  <si>
    <t>Colonne5534</t>
  </si>
  <si>
    <t>Colonne5535</t>
  </si>
  <si>
    <t>Colonne5536</t>
  </si>
  <si>
    <t>Colonne5537</t>
  </si>
  <si>
    <t>Colonne5538</t>
  </si>
  <si>
    <t>Colonne5539</t>
  </si>
  <si>
    <t>Colonne5540</t>
  </si>
  <si>
    <t>Colonne5541</t>
  </si>
  <si>
    <t>Colonne5542</t>
  </si>
  <si>
    <t>Colonne5543</t>
  </si>
  <si>
    <t>Colonne5544</t>
  </si>
  <si>
    <t>Colonne5545</t>
  </si>
  <si>
    <t>Colonne5546</t>
  </si>
  <si>
    <t>Colonne5547</t>
  </si>
  <si>
    <t>Colonne5548</t>
  </si>
  <si>
    <t>Colonne5549</t>
  </si>
  <si>
    <t>Colonne5550</t>
  </si>
  <si>
    <t>Colonne5551</t>
  </si>
  <si>
    <t>Colonne5552</t>
  </si>
  <si>
    <t>Colonne5553</t>
  </si>
  <si>
    <t>Colonne5554</t>
  </si>
  <si>
    <t>Colonne5555</t>
  </si>
  <si>
    <t>Colonne5556</t>
  </si>
  <si>
    <t>Colonne5557</t>
  </si>
  <si>
    <t>Colonne5558</t>
  </si>
  <si>
    <t>Colonne5559</t>
  </si>
  <si>
    <t>Colonne5560</t>
  </si>
  <si>
    <t>Colonne5561</t>
  </si>
  <si>
    <t>Colonne5562</t>
  </si>
  <si>
    <t>Colonne5563</t>
  </si>
  <si>
    <t>Colonne5564</t>
  </si>
  <si>
    <t>Colonne5565</t>
  </si>
  <si>
    <t>Colonne5566</t>
  </si>
  <si>
    <t>Colonne5567</t>
  </si>
  <si>
    <t>Colonne5568</t>
  </si>
  <si>
    <t>Colonne5569</t>
  </si>
  <si>
    <t>Colonne5570</t>
  </si>
  <si>
    <t>Colonne5571</t>
  </si>
  <si>
    <t>Colonne5572</t>
  </si>
  <si>
    <t>Colonne5573</t>
  </si>
  <si>
    <t>Colonne5574</t>
  </si>
  <si>
    <t>Colonne5575</t>
  </si>
  <si>
    <t>Colonne5576</t>
  </si>
  <si>
    <t>Colonne5577</t>
  </si>
  <si>
    <t>Colonne5578</t>
  </si>
  <si>
    <t>Colonne5579</t>
  </si>
  <si>
    <t>Colonne5580</t>
  </si>
  <si>
    <t>Colonne5581</t>
  </si>
  <si>
    <t>Colonne5582</t>
  </si>
  <si>
    <t>Colonne5583</t>
  </si>
  <si>
    <t>Colonne5584</t>
  </si>
  <si>
    <t>Colonne5585</t>
  </si>
  <si>
    <t>Colonne5586</t>
  </si>
  <si>
    <t>Colonne5587</t>
  </si>
  <si>
    <t>Colonne5588</t>
  </si>
  <si>
    <t>Colonne5589</t>
  </si>
  <si>
    <t>Colonne5590</t>
  </si>
  <si>
    <t>Colonne5591</t>
  </si>
  <si>
    <t>Colonne5592</t>
  </si>
  <si>
    <t>Colonne5593</t>
  </si>
  <si>
    <t>Colonne5594</t>
  </si>
  <si>
    <t>Colonne5595</t>
  </si>
  <si>
    <t>Colonne5596</t>
  </si>
  <si>
    <t>Colonne5597</t>
  </si>
  <si>
    <t>Colonne5598</t>
  </si>
  <si>
    <t>Colonne5599</t>
  </si>
  <si>
    <t>Colonne5600</t>
  </si>
  <si>
    <t>Colonne5601</t>
  </si>
  <si>
    <t>Colonne5602</t>
  </si>
  <si>
    <t>Colonne5603</t>
  </si>
  <si>
    <t>Colonne5604</t>
  </si>
  <si>
    <t>Colonne5605</t>
  </si>
  <si>
    <t>Colonne5606</t>
  </si>
  <si>
    <t>Colonne5607</t>
  </si>
  <si>
    <t>Colonne5608</t>
  </si>
  <si>
    <t>Colonne5609</t>
  </si>
  <si>
    <t>Colonne5610</t>
  </si>
  <si>
    <t>Colonne5611</t>
  </si>
  <si>
    <t>Colonne5612</t>
  </si>
  <si>
    <t>Colonne5613</t>
  </si>
  <si>
    <t>Colonne5614</t>
  </si>
  <si>
    <t>Colonne5615</t>
  </si>
  <si>
    <t>Colonne5616</t>
  </si>
  <si>
    <t>Colonne5617</t>
  </si>
  <si>
    <t>Colonne5618</t>
  </si>
  <si>
    <t>Colonne5619</t>
  </si>
  <si>
    <t>Colonne5620</t>
  </si>
  <si>
    <t>Colonne5621</t>
  </si>
  <si>
    <t>Colonne5622</t>
  </si>
  <si>
    <t>Colonne5623</t>
  </si>
  <si>
    <t>Colonne5624</t>
  </si>
  <si>
    <t>Colonne5625</t>
  </si>
  <si>
    <t>Colonne5626</t>
  </si>
  <si>
    <t>Colonne5627</t>
  </si>
  <si>
    <t>Colonne5628</t>
  </si>
  <si>
    <t>Colonne5629</t>
  </si>
  <si>
    <t>Colonne5630</t>
  </si>
  <si>
    <t>Colonne5631</t>
  </si>
  <si>
    <t>Colonne5632</t>
  </si>
  <si>
    <t>Colonne5633</t>
  </si>
  <si>
    <t>Colonne5634</t>
  </si>
  <si>
    <t>Colonne5635</t>
  </si>
  <si>
    <t>Colonne5636</t>
  </si>
  <si>
    <t>Colonne5637</t>
  </si>
  <si>
    <t>Colonne5638</t>
  </si>
  <si>
    <t>Colonne5639</t>
  </si>
  <si>
    <t>Colonne5640</t>
  </si>
  <si>
    <t>Colonne5641</t>
  </si>
  <si>
    <t>Colonne5642</t>
  </si>
  <si>
    <t>Colonne5643</t>
  </si>
  <si>
    <t>Colonne5644</t>
  </si>
  <si>
    <t>Colonne5645</t>
  </si>
  <si>
    <t>Colonne5646</t>
  </si>
  <si>
    <t>Colonne5647</t>
  </si>
  <si>
    <t>Colonne5648</t>
  </si>
  <si>
    <t>Colonne5649</t>
  </si>
  <si>
    <t>Colonne5650</t>
  </si>
  <si>
    <t>Colonne5651</t>
  </si>
  <si>
    <t>Colonne5652</t>
  </si>
  <si>
    <t>Colonne5653</t>
  </si>
  <si>
    <t>Colonne5654</t>
  </si>
  <si>
    <t>Colonne5655</t>
  </si>
  <si>
    <t>Colonne5656</t>
  </si>
  <si>
    <t>Colonne5657</t>
  </si>
  <si>
    <t>Colonne5658</t>
  </si>
  <si>
    <t>Colonne5659</t>
  </si>
  <si>
    <t>Colonne5660</t>
  </si>
  <si>
    <t>Colonne5661</t>
  </si>
  <si>
    <t>Colonne5662</t>
  </si>
  <si>
    <t>Colonne5663</t>
  </si>
  <si>
    <t>Colonne5664</t>
  </si>
  <si>
    <t>Colonne5665</t>
  </si>
  <si>
    <t>Colonne5666</t>
  </si>
  <si>
    <t>Colonne5667</t>
  </si>
  <si>
    <t>Colonne5668</t>
  </si>
  <si>
    <t>Colonne5669</t>
  </si>
  <si>
    <t>Colonne5670</t>
  </si>
  <si>
    <t>Colonne5671</t>
  </si>
  <si>
    <t>Colonne5672</t>
  </si>
  <si>
    <t>Colonne5673</t>
  </si>
  <si>
    <t>Colonne5674</t>
  </si>
  <si>
    <t>Colonne5675</t>
  </si>
  <si>
    <t>Colonne5676</t>
  </si>
  <si>
    <t>Colonne5677</t>
  </si>
  <si>
    <t>Colonne5678</t>
  </si>
  <si>
    <t>Colonne5679</t>
  </si>
  <si>
    <t>Colonne5680</t>
  </si>
  <si>
    <t>Colonne5681</t>
  </si>
  <si>
    <t>Colonne5682</t>
  </si>
  <si>
    <t>Colonne5683</t>
  </si>
  <si>
    <t>Colonne5684</t>
  </si>
  <si>
    <t>Colonne5685</t>
  </si>
  <si>
    <t>Colonne5686</t>
  </si>
  <si>
    <t>Colonne5687</t>
  </si>
  <si>
    <t>Colonne5688</t>
  </si>
  <si>
    <t>Colonne5689</t>
  </si>
  <si>
    <t>Colonne5690</t>
  </si>
  <si>
    <t>Colonne5691</t>
  </si>
  <si>
    <t>Colonne5692</t>
  </si>
  <si>
    <t>Colonne5693</t>
  </si>
  <si>
    <t>Colonne5694</t>
  </si>
  <si>
    <t>Colonne5695</t>
  </si>
  <si>
    <t>Colonne5696</t>
  </si>
  <si>
    <t>Colonne5697</t>
  </si>
  <si>
    <t>Colonne5698</t>
  </si>
  <si>
    <t>Colonne5699</t>
  </si>
  <si>
    <t>Colonne5700</t>
  </si>
  <si>
    <t>Colonne5701</t>
  </si>
  <si>
    <t>Colonne5702</t>
  </si>
  <si>
    <t>Colonne5703</t>
  </si>
  <si>
    <t>Colonne5704</t>
  </si>
  <si>
    <t>Colonne5705</t>
  </si>
  <si>
    <t>Colonne5706</t>
  </si>
  <si>
    <t>Colonne5707</t>
  </si>
  <si>
    <t>Colonne5708</t>
  </si>
  <si>
    <t>Colonne5709</t>
  </si>
  <si>
    <t>Colonne5710</t>
  </si>
  <si>
    <t>Colonne5711</t>
  </si>
  <si>
    <t>Colonne5712</t>
  </si>
  <si>
    <t>Colonne5713</t>
  </si>
  <si>
    <t>Colonne5714</t>
  </si>
  <si>
    <t>Colonne5715</t>
  </si>
  <si>
    <t>Colonne5716</t>
  </si>
  <si>
    <t>Colonne5717</t>
  </si>
  <si>
    <t>Colonne5718</t>
  </si>
  <si>
    <t>Colonne5719</t>
  </si>
  <si>
    <t>Colonne5720</t>
  </si>
  <si>
    <t>Colonne5721</t>
  </si>
  <si>
    <t>Colonne5722</t>
  </si>
  <si>
    <t>Colonne5723</t>
  </si>
  <si>
    <t>Colonne5724</t>
  </si>
  <si>
    <t>Colonne5725</t>
  </si>
  <si>
    <t>Colonne5726</t>
  </si>
  <si>
    <t>Colonne5727</t>
  </si>
  <si>
    <t>Colonne5728</t>
  </si>
  <si>
    <t>Colonne5729</t>
  </si>
  <si>
    <t>Colonne5730</t>
  </si>
  <si>
    <t>Colonne5731</t>
  </si>
  <si>
    <t>Colonne5732</t>
  </si>
  <si>
    <t>Colonne5733</t>
  </si>
  <si>
    <t>Colonne5734</t>
  </si>
  <si>
    <t>Colonne5735</t>
  </si>
  <si>
    <t>Colonne5736</t>
  </si>
  <si>
    <t>Colonne5737</t>
  </si>
  <si>
    <t>Colonne5738</t>
  </si>
  <si>
    <t>Colonne5739</t>
  </si>
  <si>
    <t>Colonne5740</t>
  </si>
  <si>
    <t>Colonne5741</t>
  </si>
  <si>
    <t>Colonne5742</t>
  </si>
  <si>
    <t>Colonne5743</t>
  </si>
  <si>
    <t>Colonne5744</t>
  </si>
  <si>
    <t>Colonne5745</t>
  </si>
  <si>
    <t>Colonne5746</t>
  </si>
  <si>
    <t>Colonne5747</t>
  </si>
  <si>
    <t>Colonne5748</t>
  </si>
  <si>
    <t>Colonne5749</t>
  </si>
  <si>
    <t>Colonne5750</t>
  </si>
  <si>
    <t>Colonne5751</t>
  </si>
  <si>
    <t>Colonne5752</t>
  </si>
  <si>
    <t>Colonne5753</t>
  </si>
  <si>
    <t>Colonne5754</t>
  </si>
  <si>
    <t>Colonne5755</t>
  </si>
  <si>
    <t>Colonne5756</t>
  </si>
  <si>
    <t>Colonne5757</t>
  </si>
  <si>
    <t>Colonne5758</t>
  </si>
  <si>
    <t>Colonne5759</t>
  </si>
  <si>
    <t>Colonne5760</t>
  </si>
  <si>
    <t>Colonne5761</t>
  </si>
  <si>
    <t>Colonne5762</t>
  </si>
  <si>
    <t>Colonne5763</t>
  </si>
  <si>
    <t>Colonne5764</t>
  </si>
  <si>
    <t>Colonne5765</t>
  </si>
  <si>
    <t>Colonne5766</t>
  </si>
  <si>
    <t>Colonne5767</t>
  </si>
  <si>
    <t>Colonne5768</t>
  </si>
  <si>
    <t>Colonne5769</t>
  </si>
  <si>
    <t>Colonne5770</t>
  </si>
  <si>
    <t>Colonne5771</t>
  </si>
  <si>
    <t>Colonne5772</t>
  </si>
  <si>
    <t>Colonne5773</t>
  </si>
  <si>
    <t>Colonne5774</t>
  </si>
  <si>
    <t>Colonne5775</t>
  </si>
  <si>
    <t>Colonne5776</t>
  </si>
  <si>
    <t>Colonne5777</t>
  </si>
  <si>
    <t>Colonne5778</t>
  </si>
  <si>
    <t>Colonne5779</t>
  </si>
  <si>
    <t>Colonne5780</t>
  </si>
  <si>
    <t>Colonne5781</t>
  </si>
  <si>
    <t>Colonne5782</t>
  </si>
  <si>
    <t>Colonne5783</t>
  </si>
  <si>
    <t>Colonne5784</t>
  </si>
  <si>
    <t>Colonne5785</t>
  </si>
  <si>
    <t>Colonne5786</t>
  </si>
  <si>
    <t>Colonne5787</t>
  </si>
  <si>
    <t>Colonne5788</t>
  </si>
  <si>
    <t>Colonne5789</t>
  </si>
  <si>
    <t>Colonne5790</t>
  </si>
  <si>
    <t>Colonne5791</t>
  </si>
  <si>
    <t>Colonne5792</t>
  </si>
  <si>
    <t>Colonne5793</t>
  </si>
  <si>
    <t>Colonne5794</t>
  </si>
  <si>
    <t>Colonne5795</t>
  </si>
  <si>
    <t>Colonne5796</t>
  </si>
  <si>
    <t>Colonne5797</t>
  </si>
  <si>
    <t>Colonne5798</t>
  </si>
  <si>
    <t>Colonne5799</t>
  </si>
  <si>
    <t>Colonne5800</t>
  </si>
  <si>
    <t>Colonne5801</t>
  </si>
  <si>
    <t>Colonne5802</t>
  </si>
  <si>
    <t>Colonne5803</t>
  </si>
  <si>
    <t>Colonne5804</t>
  </si>
  <si>
    <t>Colonne5805</t>
  </si>
  <si>
    <t>Colonne5806</t>
  </si>
  <si>
    <t>Colonne5807</t>
  </si>
  <si>
    <t>Colonne5808</t>
  </si>
  <si>
    <t>Colonne5809</t>
  </si>
  <si>
    <t>Colonne5810</t>
  </si>
  <si>
    <t>Colonne5811</t>
  </si>
  <si>
    <t>Colonne5812</t>
  </si>
  <si>
    <t>Colonne5813</t>
  </si>
  <si>
    <t>Colonne5814</t>
  </si>
  <si>
    <t>Colonne5815</t>
  </si>
  <si>
    <t>Colonne5816</t>
  </si>
  <si>
    <t>Colonne5817</t>
  </si>
  <si>
    <t>Colonne5818</t>
  </si>
  <si>
    <t>Colonne5819</t>
  </si>
  <si>
    <t>Colonne5820</t>
  </si>
  <si>
    <t>Colonne5821</t>
  </si>
  <si>
    <t>Colonne5822</t>
  </si>
  <si>
    <t>Colonne5823</t>
  </si>
  <si>
    <t>Colonne5824</t>
  </si>
  <si>
    <t>Colonne5825</t>
  </si>
  <si>
    <t>Colonne5826</t>
  </si>
  <si>
    <t>Colonne5827</t>
  </si>
  <si>
    <t>Colonne5828</t>
  </si>
  <si>
    <t>Colonne5829</t>
  </si>
  <si>
    <t>Colonne5830</t>
  </si>
  <si>
    <t>Colonne5831</t>
  </si>
  <si>
    <t>Colonne5832</t>
  </si>
  <si>
    <t>Colonne5833</t>
  </si>
  <si>
    <t>Colonne5834</t>
  </si>
  <si>
    <t>Colonne5835</t>
  </si>
  <si>
    <t>Colonne5836</t>
  </si>
  <si>
    <t>Colonne5837</t>
  </si>
  <si>
    <t>Colonne5838</t>
  </si>
  <si>
    <t>Colonne5839</t>
  </si>
  <si>
    <t>Colonne5840</t>
  </si>
  <si>
    <t>Colonne5841</t>
  </si>
  <si>
    <t>Colonne5842</t>
  </si>
  <si>
    <t>Colonne5843</t>
  </si>
  <si>
    <t>Colonne5844</t>
  </si>
  <si>
    <t>Colonne5845</t>
  </si>
  <si>
    <t>Colonne5846</t>
  </si>
  <si>
    <t>Colonne5847</t>
  </si>
  <si>
    <t>Colonne5848</t>
  </si>
  <si>
    <t>Colonne5849</t>
  </si>
  <si>
    <t>Colonne5850</t>
  </si>
  <si>
    <t>Colonne5851</t>
  </si>
  <si>
    <t>Colonne5852</t>
  </si>
  <si>
    <t>Colonne5853</t>
  </si>
  <si>
    <t>Colonne5854</t>
  </si>
  <si>
    <t>Colonne5855</t>
  </si>
  <si>
    <t>Colonne5856</t>
  </si>
  <si>
    <t>Colonne5857</t>
  </si>
  <si>
    <t>Colonne5858</t>
  </si>
  <si>
    <t>Colonne5859</t>
  </si>
  <si>
    <t>Colonne5860</t>
  </si>
  <si>
    <t>Colonne5861</t>
  </si>
  <si>
    <t>Colonne5862</t>
  </si>
  <si>
    <t>Colonne5863</t>
  </si>
  <si>
    <t>Colonne5864</t>
  </si>
  <si>
    <t>Colonne5865</t>
  </si>
  <si>
    <t>Colonne5866</t>
  </si>
  <si>
    <t>Colonne5867</t>
  </si>
  <si>
    <t>Colonne5868</t>
  </si>
  <si>
    <t>Colonne5869</t>
  </si>
  <si>
    <t>Colonne5870</t>
  </si>
  <si>
    <t>Colonne5871</t>
  </si>
  <si>
    <t>Colonne5872</t>
  </si>
  <si>
    <t>Colonne5873</t>
  </si>
  <si>
    <t>Colonne5874</t>
  </si>
  <si>
    <t>Colonne5875</t>
  </si>
  <si>
    <t>Colonne5876</t>
  </si>
  <si>
    <t>Colonne5877</t>
  </si>
  <si>
    <t>Colonne5878</t>
  </si>
  <si>
    <t>Colonne5879</t>
  </si>
  <si>
    <t>Colonne5880</t>
  </si>
  <si>
    <t>Colonne5881</t>
  </si>
  <si>
    <t>Colonne5882</t>
  </si>
  <si>
    <t>Colonne5883</t>
  </si>
  <si>
    <t>Colonne5884</t>
  </si>
  <si>
    <t>Colonne5885</t>
  </si>
  <si>
    <t>Colonne5886</t>
  </si>
  <si>
    <t>Colonne5887</t>
  </si>
  <si>
    <t>Colonne5888</t>
  </si>
  <si>
    <t>Colonne5889</t>
  </si>
  <si>
    <t>Colonne5890</t>
  </si>
  <si>
    <t>Colonne5891</t>
  </si>
  <si>
    <t>Colonne5892</t>
  </si>
  <si>
    <t>Colonne5893</t>
  </si>
  <si>
    <t>Colonne5894</t>
  </si>
  <si>
    <t>Colonne5895</t>
  </si>
  <si>
    <t>Colonne5896</t>
  </si>
  <si>
    <t>Colonne5897</t>
  </si>
  <si>
    <t>Colonne5898</t>
  </si>
  <si>
    <t>Colonne5899</t>
  </si>
  <si>
    <t>Colonne5900</t>
  </si>
  <si>
    <t>Colonne5901</t>
  </si>
  <si>
    <t>Colonne5902</t>
  </si>
  <si>
    <t>Colonne5903</t>
  </si>
  <si>
    <t>Colonne5904</t>
  </si>
  <si>
    <t>Colonne5905</t>
  </si>
  <si>
    <t>Colonne5906</t>
  </si>
  <si>
    <t>Colonne5907</t>
  </si>
  <si>
    <t>Colonne5908</t>
  </si>
  <si>
    <t>Colonne5909</t>
  </si>
  <si>
    <t>Colonne5910</t>
  </si>
  <si>
    <t>Colonne5911</t>
  </si>
  <si>
    <t>Colonne5912</t>
  </si>
  <si>
    <t>Colonne5913</t>
  </si>
  <si>
    <t>Colonne5914</t>
  </si>
  <si>
    <t>Colonne5915</t>
  </si>
  <si>
    <t>Colonne5916</t>
  </si>
  <si>
    <t>Colonne5917</t>
  </si>
  <si>
    <t>Colonne5918</t>
  </si>
  <si>
    <t>Colonne5919</t>
  </si>
  <si>
    <t>Colonne5920</t>
  </si>
  <si>
    <t>Colonne5921</t>
  </si>
  <si>
    <t>Colonne5922</t>
  </si>
  <si>
    <t>Colonne5923</t>
  </si>
  <si>
    <t>Colonne5924</t>
  </si>
  <si>
    <t>Colonne5925</t>
  </si>
  <si>
    <t>Colonne5926</t>
  </si>
  <si>
    <t>Colonne5927</t>
  </si>
  <si>
    <t>Colonne5928</t>
  </si>
  <si>
    <t>Colonne5929</t>
  </si>
  <si>
    <t>Colonne5930</t>
  </si>
  <si>
    <t>Colonne5931</t>
  </si>
  <si>
    <t>Colonne5932</t>
  </si>
  <si>
    <t>Colonne5933</t>
  </si>
  <si>
    <t>Colonne5934</t>
  </si>
  <si>
    <t>Colonne5935</t>
  </si>
  <si>
    <t>Colonne5936</t>
  </si>
  <si>
    <t>Colonne5937</t>
  </si>
  <si>
    <t>Colonne5938</t>
  </si>
  <si>
    <t>Colonne5939</t>
  </si>
  <si>
    <t>Colonne5940</t>
  </si>
  <si>
    <t>Colonne5941</t>
  </si>
  <si>
    <t>Colonne5942</t>
  </si>
  <si>
    <t>Colonne5943</t>
  </si>
  <si>
    <t>Colonne5944</t>
  </si>
  <si>
    <t>Colonne5945</t>
  </si>
  <si>
    <t>Colonne5946</t>
  </si>
  <si>
    <t>Colonne5947</t>
  </si>
  <si>
    <t>Colonne5948</t>
  </si>
  <si>
    <t>Colonne5949</t>
  </si>
  <si>
    <t>Colonne5950</t>
  </si>
  <si>
    <t>Colonne5951</t>
  </si>
  <si>
    <t>Colonne5952</t>
  </si>
  <si>
    <t>Colonne5953</t>
  </si>
  <si>
    <t>Colonne5954</t>
  </si>
  <si>
    <t>Colonne5955</t>
  </si>
  <si>
    <t>Colonne5956</t>
  </si>
  <si>
    <t>Colonne5957</t>
  </si>
  <si>
    <t>Colonne5958</t>
  </si>
  <si>
    <t>Colonne5959</t>
  </si>
  <si>
    <t>Colonne5960</t>
  </si>
  <si>
    <t>Colonne5961</t>
  </si>
  <si>
    <t>Colonne5962</t>
  </si>
  <si>
    <t>Colonne5963</t>
  </si>
  <si>
    <t>Colonne5964</t>
  </si>
  <si>
    <t>Colonne5965</t>
  </si>
  <si>
    <t>Colonne5966</t>
  </si>
  <si>
    <t>Colonne5967</t>
  </si>
  <si>
    <t>Colonne5968</t>
  </si>
  <si>
    <t>Colonne5969</t>
  </si>
  <si>
    <t>Colonne5970</t>
  </si>
  <si>
    <t>Colonne5971</t>
  </si>
  <si>
    <t>Colonne5972</t>
  </si>
  <si>
    <t>Colonne5973</t>
  </si>
  <si>
    <t>Colonne5974</t>
  </si>
  <si>
    <t>Colonne5975</t>
  </si>
  <si>
    <t>Colonne5976</t>
  </si>
  <si>
    <t>Colonne5977</t>
  </si>
  <si>
    <t>Colonne5978</t>
  </si>
  <si>
    <t>Colonne5979</t>
  </si>
  <si>
    <t>Colonne5980</t>
  </si>
  <si>
    <t>Colonne5981</t>
  </si>
  <si>
    <t>Colonne5982</t>
  </si>
  <si>
    <t>Colonne5983</t>
  </si>
  <si>
    <t>Colonne5984</t>
  </si>
  <si>
    <t>Colonne5985</t>
  </si>
  <si>
    <t>Colonne5986</t>
  </si>
  <si>
    <t>Colonne5987</t>
  </si>
  <si>
    <t>Colonne5988</t>
  </si>
  <si>
    <t>Colonne5989</t>
  </si>
  <si>
    <t>Colonne5990</t>
  </si>
  <si>
    <t>Colonne5991</t>
  </si>
  <si>
    <t>Colonne5992</t>
  </si>
  <si>
    <t>Colonne5993</t>
  </si>
  <si>
    <t>Colonne5994</t>
  </si>
  <si>
    <t>Colonne5995</t>
  </si>
  <si>
    <t>Colonne5996</t>
  </si>
  <si>
    <t>Colonne5997</t>
  </si>
  <si>
    <t>Colonne5998</t>
  </si>
  <si>
    <t>Colonne5999</t>
  </si>
  <si>
    <t>Colonne6000</t>
  </si>
  <si>
    <t>Colonne6001</t>
  </si>
  <si>
    <t>Colonne6002</t>
  </si>
  <si>
    <t>Colonne6003</t>
  </si>
  <si>
    <t>Colonne6004</t>
  </si>
  <si>
    <t>Colonne6005</t>
  </si>
  <si>
    <t>Colonne6006</t>
  </si>
  <si>
    <t>Colonne6007</t>
  </si>
  <si>
    <t>Colonne6008</t>
  </si>
  <si>
    <t>Colonne6009</t>
  </si>
  <si>
    <t>Colonne6010</t>
  </si>
  <si>
    <t>Colonne6011</t>
  </si>
  <si>
    <t>Colonne6012</t>
  </si>
  <si>
    <t>Colonne6013</t>
  </si>
  <si>
    <t>Colonne6014</t>
  </si>
  <si>
    <t>Colonne6015</t>
  </si>
  <si>
    <t>Colonne6016</t>
  </si>
  <si>
    <t>Colonne6017</t>
  </si>
  <si>
    <t>Colonne6018</t>
  </si>
  <si>
    <t>Colonne6019</t>
  </si>
  <si>
    <t>Colonne6020</t>
  </si>
  <si>
    <t>Colonne6021</t>
  </si>
  <si>
    <t>Colonne6022</t>
  </si>
  <si>
    <t>Colonne6023</t>
  </si>
  <si>
    <t>Colonne6024</t>
  </si>
  <si>
    <t>Colonne6025</t>
  </si>
  <si>
    <t>Colonne6026</t>
  </si>
  <si>
    <t>Colonne6027</t>
  </si>
  <si>
    <t>Colonne6028</t>
  </si>
  <si>
    <t>Colonne6029</t>
  </si>
  <si>
    <t>Colonne6030</t>
  </si>
  <si>
    <t>Colonne6031</t>
  </si>
  <si>
    <t>Colonne6032</t>
  </si>
  <si>
    <t>Colonne6033</t>
  </si>
  <si>
    <t>Colonne6034</t>
  </si>
  <si>
    <t>Colonne6035</t>
  </si>
  <si>
    <t>Colonne6036</t>
  </si>
  <si>
    <t>Colonne6037</t>
  </si>
  <si>
    <t>Colonne6038</t>
  </si>
  <si>
    <t>Colonne6039</t>
  </si>
  <si>
    <t>Colonne6040</t>
  </si>
  <si>
    <t>Colonne6041</t>
  </si>
  <si>
    <t>Colonne6042</t>
  </si>
  <si>
    <t>Colonne6043</t>
  </si>
  <si>
    <t>Colonne6044</t>
  </si>
  <si>
    <t>Colonne6045</t>
  </si>
  <si>
    <t>Colonne6046</t>
  </si>
  <si>
    <t>Colonne6047</t>
  </si>
  <si>
    <t>Colonne6048</t>
  </si>
  <si>
    <t>Colonne6049</t>
  </si>
  <si>
    <t>Colonne6050</t>
  </si>
  <si>
    <t>Colonne6051</t>
  </si>
  <si>
    <t>Colonne6052</t>
  </si>
  <si>
    <t>Colonne6053</t>
  </si>
  <si>
    <t>Colonne6054</t>
  </si>
  <si>
    <t>Colonne6055</t>
  </si>
  <si>
    <t>Colonne6056</t>
  </si>
  <si>
    <t>Colonne6057</t>
  </si>
  <si>
    <t>Colonne6058</t>
  </si>
  <si>
    <t>Colonne6059</t>
  </si>
  <si>
    <t>Colonne6060</t>
  </si>
  <si>
    <t>Colonne6061</t>
  </si>
  <si>
    <t>Colonne6062</t>
  </si>
  <si>
    <t>Colonne6063</t>
  </si>
  <si>
    <t>Colonne6064</t>
  </si>
  <si>
    <t>Colonne6065</t>
  </si>
  <si>
    <t>Colonne6066</t>
  </si>
  <si>
    <t>Colonne6067</t>
  </si>
  <si>
    <t>Colonne6068</t>
  </si>
  <si>
    <t>Colonne6069</t>
  </si>
  <si>
    <t>Colonne6070</t>
  </si>
  <si>
    <t>Colonne6071</t>
  </si>
  <si>
    <t>Colonne6072</t>
  </si>
  <si>
    <t>Colonne6073</t>
  </si>
  <si>
    <t>Colonne6074</t>
  </si>
  <si>
    <t>Colonne6075</t>
  </si>
  <si>
    <t>Colonne6076</t>
  </si>
  <si>
    <t>Colonne6077</t>
  </si>
  <si>
    <t>Colonne6078</t>
  </si>
  <si>
    <t>Colonne6079</t>
  </si>
  <si>
    <t>Colonne6080</t>
  </si>
  <si>
    <t>Colonne6081</t>
  </si>
  <si>
    <t>Colonne6082</t>
  </si>
  <si>
    <t>Colonne6083</t>
  </si>
  <si>
    <t>Colonne6084</t>
  </si>
  <si>
    <t>Colonne6085</t>
  </si>
  <si>
    <t>Colonne6086</t>
  </si>
  <si>
    <t>Colonne6087</t>
  </si>
  <si>
    <t>Colonne6088</t>
  </si>
  <si>
    <t>Colonne6089</t>
  </si>
  <si>
    <t>Colonne6090</t>
  </si>
  <si>
    <t>Colonne6091</t>
  </si>
  <si>
    <t>Colonne6092</t>
  </si>
  <si>
    <t>Colonne6093</t>
  </si>
  <si>
    <t>Colonne6094</t>
  </si>
  <si>
    <t>Colonne6095</t>
  </si>
  <si>
    <t>Colonne6096</t>
  </si>
  <si>
    <t>Colonne6097</t>
  </si>
  <si>
    <t>Colonne6098</t>
  </si>
  <si>
    <t>Colonne6099</t>
  </si>
  <si>
    <t>Colonne6100</t>
  </si>
  <si>
    <t>Colonne6101</t>
  </si>
  <si>
    <t>Colonne6102</t>
  </si>
  <si>
    <t>Colonne6103</t>
  </si>
  <si>
    <t>Colonne6104</t>
  </si>
  <si>
    <t>Colonne6105</t>
  </si>
  <si>
    <t>Colonne6106</t>
  </si>
  <si>
    <t>Colonne6107</t>
  </si>
  <si>
    <t>Colonne6108</t>
  </si>
  <si>
    <t>Colonne6109</t>
  </si>
  <si>
    <t>Colonne6110</t>
  </si>
  <si>
    <t>Colonne6111</t>
  </si>
  <si>
    <t>Colonne6112</t>
  </si>
  <si>
    <t>Colonne6113</t>
  </si>
  <si>
    <t>Colonne6114</t>
  </si>
  <si>
    <t>Colonne6115</t>
  </si>
  <si>
    <t>Colonne6116</t>
  </si>
  <si>
    <t>Colonne6117</t>
  </si>
  <si>
    <t>Colonne6118</t>
  </si>
  <si>
    <t>Colonne6119</t>
  </si>
  <si>
    <t>Colonne6120</t>
  </si>
  <si>
    <t>Colonne6121</t>
  </si>
  <si>
    <t>Colonne6122</t>
  </si>
  <si>
    <t>Colonne6123</t>
  </si>
  <si>
    <t>Colonne6124</t>
  </si>
  <si>
    <t>Colonne6125</t>
  </si>
  <si>
    <t>Colonne6126</t>
  </si>
  <si>
    <t>Colonne6127</t>
  </si>
  <si>
    <t>Colonne6128</t>
  </si>
  <si>
    <t>Colonne6129</t>
  </si>
  <si>
    <t>Colonne6130</t>
  </si>
  <si>
    <t>Colonne6131</t>
  </si>
  <si>
    <t>Colonne6132</t>
  </si>
  <si>
    <t>Colonne6133</t>
  </si>
  <si>
    <t>Colonne6134</t>
  </si>
  <si>
    <t>Colonne6135</t>
  </si>
  <si>
    <t>Colonne6136</t>
  </si>
  <si>
    <t>Colonne6137</t>
  </si>
  <si>
    <t>Colonne6138</t>
  </si>
  <si>
    <t>Colonne6139</t>
  </si>
  <si>
    <t>Colonne6140</t>
  </si>
  <si>
    <t>Colonne6141</t>
  </si>
  <si>
    <t>Colonne6142</t>
  </si>
  <si>
    <t>Colonne6143</t>
  </si>
  <si>
    <t>Colonne6144</t>
  </si>
  <si>
    <t>Colonne6145</t>
  </si>
  <si>
    <t>Colonne6146</t>
  </si>
  <si>
    <t>Colonne6147</t>
  </si>
  <si>
    <t>Colonne6148</t>
  </si>
  <si>
    <t>Colonne6149</t>
  </si>
  <si>
    <t>Colonne6150</t>
  </si>
  <si>
    <t>Colonne6151</t>
  </si>
  <si>
    <t>Colonne6152</t>
  </si>
  <si>
    <t>Colonne6153</t>
  </si>
  <si>
    <t>Colonne6154</t>
  </si>
  <si>
    <t>Colonne6155</t>
  </si>
  <si>
    <t>Colonne6156</t>
  </si>
  <si>
    <t>Colonne6157</t>
  </si>
  <si>
    <t>Colonne6158</t>
  </si>
  <si>
    <t>Colonne6159</t>
  </si>
  <si>
    <t>Colonne6160</t>
  </si>
  <si>
    <t>Colonne6161</t>
  </si>
  <si>
    <t>Colonne6162</t>
  </si>
  <si>
    <t>Colonne6163</t>
  </si>
  <si>
    <t>Colonne6164</t>
  </si>
  <si>
    <t>Colonne6165</t>
  </si>
  <si>
    <t>Colonne6166</t>
  </si>
  <si>
    <t>Colonne6167</t>
  </si>
  <si>
    <t>Colonne6168</t>
  </si>
  <si>
    <t>Colonne6169</t>
  </si>
  <si>
    <t>Colonne6170</t>
  </si>
  <si>
    <t>Colonne6171</t>
  </si>
  <si>
    <t>Colonne6172</t>
  </si>
  <si>
    <t>Colonne6173</t>
  </si>
  <si>
    <t>Colonne6174</t>
  </si>
  <si>
    <t>Colonne6175</t>
  </si>
  <si>
    <t>Colonne6176</t>
  </si>
  <si>
    <t>Colonne6177</t>
  </si>
  <si>
    <t>Colonne6178</t>
  </si>
  <si>
    <t>Colonne6179</t>
  </si>
  <si>
    <t>Colonne6180</t>
  </si>
  <si>
    <t>Colonne6181</t>
  </si>
  <si>
    <t>Colonne6182</t>
  </si>
  <si>
    <t>Colonne6183</t>
  </si>
  <si>
    <t>Colonne6184</t>
  </si>
  <si>
    <t>Colonne6185</t>
  </si>
  <si>
    <t>Colonne6186</t>
  </si>
  <si>
    <t>Colonne6187</t>
  </si>
  <si>
    <t>Colonne6188</t>
  </si>
  <si>
    <t>Colonne6189</t>
  </si>
  <si>
    <t>Colonne6190</t>
  </si>
  <si>
    <t>Colonne6191</t>
  </si>
  <si>
    <t>Colonne6192</t>
  </si>
  <si>
    <t>Colonne6193</t>
  </si>
  <si>
    <t>Colonne6194</t>
  </si>
  <si>
    <t>Colonne6195</t>
  </si>
  <si>
    <t>Colonne6196</t>
  </si>
  <si>
    <t>Colonne6197</t>
  </si>
  <si>
    <t>Colonne6198</t>
  </si>
  <si>
    <t>Colonne6199</t>
  </si>
  <si>
    <t>Colonne6200</t>
  </si>
  <si>
    <t>Colonne6201</t>
  </si>
  <si>
    <t>Colonne6202</t>
  </si>
  <si>
    <t>Colonne6203</t>
  </si>
  <si>
    <t>Colonne6204</t>
  </si>
  <si>
    <t>Colonne6205</t>
  </si>
  <si>
    <t>Colonne6206</t>
  </si>
  <si>
    <t>Colonne6207</t>
  </si>
  <si>
    <t>Colonne6208</t>
  </si>
  <si>
    <t>Colonne6209</t>
  </si>
  <si>
    <t>Colonne6210</t>
  </si>
  <si>
    <t>Colonne6211</t>
  </si>
  <si>
    <t>Colonne6212</t>
  </si>
  <si>
    <t>Colonne6213</t>
  </si>
  <si>
    <t>Colonne6214</t>
  </si>
  <si>
    <t>Colonne6215</t>
  </si>
  <si>
    <t>Colonne6216</t>
  </si>
  <si>
    <t>Colonne6217</t>
  </si>
  <si>
    <t>Colonne6218</t>
  </si>
  <si>
    <t>Colonne6219</t>
  </si>
  <si>
    <t>Colonne6220</t>
  </si>
  <si>
    <t>Colonne6221</t>
  </si>
  <si>
    <t>Colonne6222</t>
  </si>
  <si>
    <t>Colonne6223</t>
  </si>
  <si>
    <t>Colonne6224</t>
  </si>
  <si>
    <t>Colonne6225</t>
  </si>
  <si>
    <t>Colonne6226</t>
  </si>
  <si>
    <t>Colonne6227</t>
  </si>
  <si>
    <t>Colonne6228</t>
  </si>
  <si>
    <t>Colonne6229</t>
  </si>
  <si>
    <t>Colonne6230</t>
  </si>
  <si>
    <t>Colonne6231</t>
  </si>
  <si>
    <t>Colonne6232</t>
  </si>
  <si>
    <t>Colonne6233</t>
  </si>
  <si>
    <t>Colonne6234</t>
  </si>
  <si>
    <t>Colonne6235</t>
  </si>
  <si>
    <t>Colonne6236</t>
  </si>
  <si>
    <t>Colonne6237</t>
  </si>
  <si>
    <t>Colonne6238</t>
  </si>
  <si>
    <t>Colonne6239</t>
  </si>
  <si>
    <t>Colonne6240</t>
  </si>
  <si>
    <t>Colonne6241</t>
  </si>
  <si>
    <t>Colonne6242</t>
  </si>
  <si>
    <t>Colonne6243</t>
  </si>
  <si>
    <t>Colonne6244</t>
  </si>
  <si>
    <t>Colonne6245</t>
  </si>
  <si>
    <t>Colonne6246</t>
  </si>
  <si>
    <t>Colonne6247</t>
  </si>
  <si>
    <t>Colonne6248</t>
  </si>
  <si>
    <t>Colonne6249</t>
  </si>
  <si>
    <t>Colonne6250</t>
  </si>
  <si>
    <t>Colonne6251</t>
  </si>
  <si>
    <t>Colonne6252</t>
  </si>
  <si>
    <t>Colonne6253</t>
  </si>
  <si>
    <t>Colonne6254</t>
  </si>
  <si>
    <t>Colonne6255</t>
  </si>
  <si>
    <t>Colonne6256</t>
  </si>
  <si>
    <t>Colonne6257</t>
  </si>
  <si>
    <t>Colonne6258</t>
  </si>
  <si>
    <t>Colonne6259</t>
  </si>
  <si>
    <t>Colonne6260</t>
  </si>
  <si>
    <t>Colonne6261</t>
  </si>
  <si>
    <t>Colonne6262</t>
  </si>
  <si>
    <t>Colonne6263</t>
  </si>
  <si>
    <t>Colonne6264</t>
  </si>
  <si>
    <t>Colonne6265</t>
  </si>
  <si>
    <t>Colonne6266</t>
  </si>
  <si>
    <t>Colonne6267</t>
  </si>
  <si>
    <t>Colonne6268</t>
  </si>
  <si>
    <t>Colonne6269</t>
  </si>
  <si>
    <t>Colonne6270</t>
  </si>
  <si>
    <t>Colonne6271</t>
  </si>
  <si>
    <t>Colonne6272</t>
  </si>
  <si>
    <t>Colonne6273</t>
  </si>
  <si>
    <t>Colonne6274</t>
  </si>
  <si>
    <t>Colonne6275</t>
  </si>
  <si>
    <t>Colonne6276</t>
  </si>
  <si>
    <t>Colonne6277</t>
  </si>
  <si>
    <t>Colonne6278</t>
  </si>
  <si>
    <t>Colonne6279</t>
  </si>
  <si>
    <t>Colonne6280</t>
  </si>
  <si>
    <t>Colonne6281</t>
  </si>
  <si>
    <t>Colonne6282</t>
  </si>
  <si>
    <t>Colonne6283</t>
  </si>
  <si>
    <t>Colonne6284</t>
  </si>
  <si>
    <t>Colonne6285</t>
  </si>
  <si>
    <t>Colonne6286</t>
  </si>
  <si>
    <t>Colonne6287</t>
  </si>
  <si>
    <t>Colonne6288</t>
  </si>
  <si>
    <t>Colonne6289</t>
  </si>
  <si>
    <t>Colonne6290</t>
  </si>
  <si>
    <t>Colonne6291</t>
  </si>
  <si>
    <t>Colonne6292</t>
  </si>
  <si>
    <t>Colonne6293</t>
  </si>
  <si>
    <t>Colonne6294</t>
  </si>
  <si>
    <t>Colonne6295</t>
  </si>
  <si>
    <t>Colonne6296</t>
  </si>
  <si>
    <t>Colonne6297</t>
  </si>
  <si>
    <t>Colonne6298</t>
  </si>
  <si>
    <t>Colonne6299</t>
  </si>
  <si>
    <t>Colonne6300</t>
  </si>
  <si>
    <t>Colonne6301</t>
  </si>
  <si>
    <t>Colonne6302</t>
  </si>
  <si>
    <t>Colonne6303</t>
  </si>
  <si>
    <t>Colonne6304</t>
  </si>
  <si>
    <t>Colonne6305</t>
  </si>
  <si>
    <t>Colonne6306</t>
  </si>
  <si>
    <t>Colonne6307</t>
  </si>
  <si>
    <t>Colonne6308</t>
  </si>
  <si>
    <t>Colonne6309</t>
  </si>
  <si>
    <t>Colonne6310</t>
  </si>
  <si>
    <t>Colonne6311</t>
  </si>
  <si>
    <t>Colonne6312</t>
  </si>
  <si>
    <t>Colonne6313</t>
  </si>
  <si>
    <t>Colonne6314</t>
  </si>
  <si>
    <t>Colonne6315</t>
  </si>
  <si>
    <t>Colonne6316</t>
  </si>
  <si>
    <t>Colonne6317</t>
  </si>
  <si>
    <t>Colonne6318</t>
  </si>
  <si>
    <t>Colonne6319</t>
  </si>
  <si>
    <t>Colonne6320</t>
  </si>
  <si>
    <t>Colonne6321</t>
  </si>
  <si>
    <t>Colonne6322</t>
  </si>
  <si>
    <t>Colonne6323</t>
  </si>
  <si>
    <t>Colonne6324</t>
  </si>
  <si>
    <t>Colonne6325</t>
  </si>
  <si>
    <t>Colonne6326</t>
  </si>
  <si>
    <t>Colonne6327</t>
  </si>
  <si>
    <t>Colonne6328</t>
  </si>
  <si>
    <t>Colonne6329</t>
  </si>
  <si>
    <t>Colonne6330</t>
  </si>
  <si>
    <t>Colonne6331</t>
  </si>
  <si>
    <t>Colonne6332</t>
  </si>
  <si>
    <t>Colonne6333</t>
  </si>
  <si>
    <t>Colonne6334</t>
  </si>
  <si>
    <t>Colonne6335</t>
  </si>
  <si>
    <t>Colonne6336</t>
  </si>
  <si>
    <t>Colonne6337</t>
  </si>
  <si>
    <t>Colonne6338</t>
  </si>
  <si>
    <t>Colonne6339</t>
  </si>
  <si>
    <t>Colonne6340</t>
  </si>
  <si>
    <t>Colonne6341</t>
  </si>
  <si>
    <t>Colonne6342</t>
  </si>
  <si>
    <t>Colonne6343</t>
  </si>
  <si>
    <t>Colonne6344</t>
  </si>
  <si>
    <t>Colonne6345</t>
  </si>
  <si>
    <t>Colonne6346</t>
  </si>
  <si>
    <t>Colonne6347</t>
  </si>
  <si>
    <t>Colonne6348</t>
  </si>
  <si>
    <t>Colonne6349</t>
  </si>
  <si>
    <t>Colonne6350</t>
  </si>
  <si>
    <t>Colonne6351</t>
  </si>
  <si>
    <t>Colonne6352</t>
  </si>
  <si>
    <t>Colonne6353</t>
  </si>
  <si>
    <t>Colonne6354</t>
  </si>
  <si>
    <t>Colonne6355</t>
  </si>
  <si>
    <t>Colonne6356</t>
  </si>
  <si>
    <t>Colonne6357</t>
  </si>
  <si>
    <t>Colonne6358</t>
  </si>
  <si>
    <t>Colonne6359</t>
  </si>
  <si>
    <t>Colonne6360</t>
  </si>
  <si>
    <t>Colonne6361</t>
  </si>
  <si>
    <t>Colonne6362</t>
  </si>
  <si>
    <t>Colonne6363</t>
  </si>
  <si>
    <t>Colonne6364</t>
  </si>
  <si>
    <t>Colonne6365</t>
  </si>
  <si>
    <t>Colonne6366</t>
  </si>
  <si>
    <t>Colonne6367</t>
  </si>
  <si>
    <t>Colonne6368</t>
  </si>
  <si>
    <t>Colonne6369</t>
  </si>
  <si>
    <t>Colonne6370</t>
  </si>
  <si>
    <t>Colonne6371</t>
  </si>
  <si>
    <t>Colonne6372</t>
  </si>
  <si>
    <t>Colonne6373</t>
  </si>
  <si>
    <t>Colonne6374</t>
  </si>
  <si>
    <t>Colonne6375</t>
  </si>
  <si>
    <t>Colonne6376</t>
  </si>
  <si>
    <t>Colonne6377</t>
  </si>
  <si>
    <t>Colonne6378</t>
  </si>
  <si>
    <t>Colonne6379</t>
  </si>
  <si>
    <t>Colonne6380</t>
  </si>
  <si>
    <t>Colonne6381</t>
  </si>
  <si>
    <t>Colonne6382</t>
  </si>
  <si>
    <t>Colonne6383</t>
  </si>
  <si>
    <t>Colonne6384</t>
  </si>
  <si>
    <t>Colonne6385</t>
  </si>
  <si>
    <t>Colonne6386</t>
  </si>
  <si>
    <t>Colonne6387</t>
  </si>
  <si>
    <t>Colonne6388</t>
  </si>
  <si>
    <t>Colonne6389</t>
  </si>
  <si>
    <t>Colonne6390</t>
  </si>
  <si>
    <t>Colonne6391</t>
  </si>
  <si>
    <t>Colonne6392</t>
  </si>
  <si>
    <t>Colonne6393</t>
  </si>
  <si>
    <t>Colonne6394</t>
  </si>
  <si>
    <t>Colonne6395</t>
  </si>
  <si>
    <t>Colonne6396</t>
  </si>
  <si>
    <t>Colonne6397</t>
  </si>
  <si>
    <t>Colonne6398</t>
  </si>
  <si>
    <t>Colonne6399</t>
  </si>
  <si>
    <t>Colonne6400</t>
  </si>
  <si>
    <t>Colonne6401</t>
  </si>
  <si>
    <t>Colonne6402</t>
  </si>
  <si>
    <t>Colonne6403</t>
  </si>
  <si>
    <t>Colonne6404</t>
  </si>
  <si>
    <t>Colonne6405</t>
  </si>
  <si>
    <t>Colonne6406</t>
  </si>
  <si>
    <t>Colonne6407</t>
  </si>
  <si>
    <t>Colonne6408</t>
  </si>
  <si>
    <t>Colonne6409</t>
  </si>
  <si>
    <t>Colonne6410</t>
  </si>
  <si>
    <t>Colonne6411</t>
  </si>
  <si>
    <t>Colonne6412</t>
  </si>
  <si>
    <t>Colonne6413</t>
  </si>
  <si>
    <t>Colonne6414</t>
  </si>
  <si>
    <t>Colonne6415</t>
  </si>
  <si>
    <t>Colonne6416</t>
  </si>
  <si>
    <t>Colonne6417</t>
  </si>
  <si>
    <t>Colonne6418</t>
  </si>
  <si>
    <t>Colonne6419</t>
  </si>
  <si>
    <t>Colonne6420</t>
  </si>
  <si>
    <t>Colonne6421</t>
  </si>
  <si>
    <t>Colonne6422</t>
  </si>
  <si>
    <t>Colonne6423</t>
  </si>
  <si>
    <t>Colonne6424</t>
  </si>
  <si>
    <t>Colonne6425</t>
  </si>
  <si>
    <t>Colonne6426</t>
  </si>
  <si>
    <t>Colonne6427</t>
  </si>
  <si>
    <t>Colonne6428</t>
  </si>
  <si>
    <t>Colonne6429</t>
  </si>
  <si>
    <t>Colonne6430</t>
  </si>
  <si>
    <t>Colonne6431</t>
  </si>
  <si>
    <t>Colonne6432</t>
  </si>
  <si>
    <t>Colonne6433</t>
  </si>
  <si>
    <t>Colonne6434</t>
  </si>
  <si>
    <t>Colonne6435</t>
  </si>
  <si>
    <t>Colonne6436</t>
  </si>
  <si>
    <t>Colonne6437</t>
  </si>
  <si>
    <t>Colonne6438</t>
  </si>
  <si>
    <t>Colonne6439</t>
  </si>
  <si>
    <t>Colonne6440</t>
  </si>
  <si>
    <t>Colonne6441</t>
  </si>
  <si>
    <t>Colonne6442</t>
  </si>
  <si>
    <t>Colonne6443</t>
  </si>
  <si>
    <t>Colonne6444</t>
  </si>
  <si>
    <t>Colonne6445</t>
  </si>
  <si>
    <t>Colonne6446</t>
  </si>
  <si>
    <t>Colonne6447</t>
  </si>
  <si>
    <t>Colonne6448</t>
  </si>
  <si>
    <t>Colonne6449</t>
  </si>
  <si>
    <t>Colonne6450</t>
  </si>
  <si>
    <t>Colonne6451</t>
  </si>
  <si>
    <t>Colonne6452</t>
  </si>
  <si>
    <t>Colonne6453</t>
  </si>
  <si>
    <t>Colonne6454</t>
  </si>
  <si>
    <t>Colonne6455</t>
  </si>
  <si>
    <t>Colonne6456</t>
  </si>
  <si>
    <t>Colonne6457</t>
  </si>
  <si>
    <t>Colonne6458</t>
  </si>
  <si>
    <t>Colonne6459</t>
  </si>
  <si>
    <t>Colonne6460</t>
  </si>
  <si>
    <t>Colonne6461</t>
  </si>
  <si>
    <t>Colonne6462</t>
  </si>
  <si>
    <t>Colonne6463</t>
  </si>
  <si>
    <t>Colonne6464</t>
  </si>
  <si>
    <t>Colonne6465</t>
  </si>
  <si>
    <t>Colonne6466</t>
  </si>
  <si>
    <t>Colonne6467</t>
  </si>
  <si>
    <t>Colonne6468</t>
  </si>
  <si>
    <t>Colonne6469</t>
  </si>
  <si>
    <t>Colonne6470</t>
  </si>
  <si>
    <t>Colonne6471</t>
  </si>
  <si>
    <t>Colonne6472</t>
  </si>
  <si>
    <t>Colonne6473</t>
  </si>
  <si>
    <t>Colonne6474</t>
  </si>
  <si>
    <t>Colonne6475</t>
  </si>
  <si>
    <t>Colonne6476</t>
  </si>
  <si>
    <t>Colonne6477</t>
  </si>
  <si>
    <t>Colonne6478</t>
  </si>
  <si>
    <t>Colonne6479</t>
  </si>
  <si>
    <t>Colonne6480</t>
  </si>
  <si>
    <t>Colonne6481</t>
  </si>
  <si>
    <t>Colonne6482</t>
  </si>
  <si>
    <t>Colonne6483</t>
  </si>
  <si>
    <t>Colonne6484</t>
  </si>
  <si>
    <t>Colonne6485</t>
  </si>
  <si>
    <t>Colonne6486</t>
  </si>
  <si>
    <t>Colonne6487</t>
  </si>
  <si>
    <t>Colonne6488</t>
  </si>
  <si>
    <t>Colonne6489</t>
  </si>
  <si>
    <t>Colonne6490</t>
  </si>
  <si>
    <t>Colonne6491</t>
  </si>
  <si>
    <t>Colonne6492</t>
  </si>
  <si>
    <t>Colonne6493</t>
  </si>
  <si>
    <t>Colonne6494</t>
  </si>
  <si>
    <t>Colonne6495</t>
  </si>
  <si>
    <t>Colonne6496</t>
  </si>
  <si>
    <t>Colonne6497</t>
  </si>
  <si>
    <t>Colonne6498</t>
  </si>
  <si>
    <t>Colonne6499</t>
  </si>
  <si>
    <t>Colonne6500</t>
  </si>
  <si>
    <t>Colonne6501</t>
  </si>
  <si>
    <t>Colonne6502</t>
  </si>
  <si>
    <t>Colonne6503</t>
  </si>
  <si>
    <t>Colonne6504</t>
  </si>
  <si>
    <t>Colonne6505</t>
  </si>
  <si>
    <t>Colonne6506</t>
  </si>
  <si>
    <t>Colonne6507</t>
  </si>
  <si>
    <t>Colonne6508</t>
  </si>
  <si>
    <t>Colonne6509</t>
  </si>
  <si>
    <t>Colonne6510</t>
  </si>
  <si>
    <t>Colonne6511</t>
  </si>
  <si>
    <t>Colonne6512</t>
  </si>
  <si>
    <t>Colonne6513</t>
  </si>
  <si>
    <t>Colonne6514</t>
  </si>
  <si>
    <t>Colonne6515</t>
  </si>
  <si>
    <t>Colonne6516</t>
  </si>
  <si>
    <t>Colonne6517</t>
  </si>
  <si>
    <t>Colonne6518</t>
  </si>
  <si>
    <t>Colonne6519</t>
  </si>
  <si>
    <t>Colonne6520</t>
  </si>
  <si>
    <t>Colonne6521</t>
  </si>
  <si>
    <t>Colonne6522</t>
  </si>
  <si>
    <t>Colonne6523</t>
  </si>
  <si>
    <t>Colonne6524</t>
  </si>
  <si>
    <t>Colonne6525</t>
  </si>
  <si>
    <t>Colonne6526</t>
  </si>
  <si>
    <t>Colonne6527</t>
  </si>
  <si>
    <t>Colonne6528</t>
  </si>
  <si>
    <t>Colonne6529</t>
  </si>
  <si>
    <t>Colonne6530</t>
  </si>
  <si>
    <t>Colonne6531</t>
  </si>
  <si>
    <t>Colonne6532</t>
  </si>
  <si>
    <t>Colonne6533</t>
  </si>
  <si>
    <t>Colonne6534</t>
  </si>
  <si>
    <t>Colonne6535</t>
  </si>
  <si>
    <t>Colonne6536</t>
  </si>
  <si>
    <t>Colonne6537</t>
  </si>
  <si>
    <t>Colonne6538</t>
  </si>
  <si>
    <t>Colonne6539</t>
  </si>
  <si>
    <t>Colonne6540</t>
  </si>
  <si>
    <t>Colonne6541</t>
  </si>
  <si>
    <t>Colonne6542</t>
  </si>
  <si>
    <t>Colonne6543</t>
  </si>
  <si>
    <t>Colonne6544</t>
  </si>
  <si>
    <t>Colonne6545</t>
  </si>
  <si>
    <t>Colonne6546</t>
  </si>
  <si>
    <t>Colonne6547</t>
  </si>
  <si>
    <t>Colonne6548</t>
  </si>
  <si>
    <t>Colonne6549</t>
  </si>
  <si>
    <t>Colonne6550</t>
  </si>
  <si>
    <t>Colonne6551</t>
  </si>
  <si>
    <t>Colonne6552</t>
  </si>
  <si>
    <t>Colonne6553</t>
  </si>
  <si>
    <t>Colonne6554</t>
  </si>
  <si>
    <t>Colonne6555</t>
  </si>
  <si>
    <t>Colonne6556</t>
  </si>
  <si>
    <t>Colonne6557</t>
  </si>
  <si>
    <t>Colonne6558</t>
  </si>
  <si>
    <t>Colonne6559</t>
  </si>
  <si>
    <t>Colonne6560</t>
  </si>
  <si>
    <t>Colonne6561</t>
  </si>
  <si>
    <t>Colonne6562</t>
  </si>
  <si>
    <t>Colonne6563</t>
  </si>
  <si>
    <t>Colonne6564</t>
  </si>
  <si>
    <t>Colonne6565</t>
  </si>
  <si>
    <t>Colonne6566</t>
  </si>
  <si>
    <t>Colonne6567</t>
  </si>
  <si>
    <t>Colonne6568</t>
  </si>
  <si>
    <t>Colonne6569</t>
  </si>
  <si>
    <t>Colonne6570</t>
  </si>
  <si>
    <t>Colonne6571</t>
  </si>
  <si>
    <t>Colonne6572</t>
  </si>
  <si>
    <t>Colonne6573</t>
  </si>
  <si>
    <t>Colonne6574</t>
  </si>
  <si>
    <t>Colonne6575</t>
  </si>
  <si>
    <t>Colonne6576</t>
  </si>
  <si>
    <t>Colonne6577</t>
  </si>
  <si>
    <t>Colonne6578</t>
  </si>
  <si>
    <t>Colonne6579</t>
  </si>
  <si>
    <t>Colonne6580</t>
  </si>
  <si>
    <t>Colonne6581</t>
  </si>
  <si>
    <t>Colonne6582</t>
  </si>
  <si>
    <t>Colonne6583</t>
  </si>
  <si>
    <t>Colonne6584</t>
  </si>
  <si>
    <t>Colonne6585</t>
  </si>
  <si>
    <t>Colonne6586</t>
  </si>
  <si>
    <t>Colonne6587</t>
  </si>
  <si>
    <t>Colonne6588</t>
  </si>
  <si>
    <t>Colonne6589</t>
  </si>
  <si>
    <t>Colonne6590</t>
  </si>
  <si>
    <t>Colonne6591</t>
  </si>
  <si>
    <t>Colonne6592</t>
  </si>
  <si>
    <t>Colonne6593</t>
  </si>
  <si>
    <t>Colonne6594</t>
  </si>
  <si>
    <t>Colonne6595</t>
  </si>
  <si>
    <t>Colonne6596</t>
  </si>
  <si>
    <t>Colonne6597</t>
  </si>
  <si>
    <t>Colonne6598</t>
  </si>
  <si>
    <t>Colonne6599</t>
  </si>
  <si>
    <t>Colonne6600</t>
  </si>
  <si>
    <t>Colonne6601</t>
  </si>
  <si>
    <t>Colonne6602</t>
  </si>
  <si>
    <t>Colonne6603</t>
  </si>
  <si>
    <t>Colonne6604</t>
  </si>
  <si>
    <t>Colonne6605</t>
  </si>
  <si>
    <t>Colonne6606</t>
  </si>
  <si>
    <t>Colonne6607</t>
  </si>
  <si>
    <t>Colonne6608</t>
  </si>
  <si>
    <t>Colonne6609</t>
  </si>
  <si>
    <t>Colonne6610</t>
  </si>
  <si>
    <t>Colonne6611</t>
  </si>
  <si>
    <t>Colonne6612</t>
  </si>
  <si>
    <t>Colonne6613</t>
  </si>
  <si>
    <t>Colonne6614</t>
  </si>
  <si>
    <t>Colonne6615</t>
  </si>
  <si>
    <t>Colonne6616</t>
  </si>
  <si>
    <t>Colonne6617</t>
  </si>
  <si>
    <t>Colonne6618</t>
  </si>
  <si>
    <t>Colonne6619</t>
  </si>
  <si>
    <t>Colonne6620</t>
  </si>
  <si>
    <t>Colonne6621</t>
  </si>
  <si>
    <t>Colonne6622</t>
  </si>
  <si>
    <t>Colonne6623</t>
  </si>
  <si>
    <t>Colonne6624</t>
  </si>
  <si>
    <t>Colonne6625</t>
  </si>
  <si>
    <t>Colonne6626</t>
  </si>
  <si>
    <t>Colonne6627</t>
  </si>
  <si>
    <t>Colonne6628</t>
  </si>
  <si>
    <t>Colonne6629</t>
  </si>
  <si>
    <t>Colonne6630</t>
  </si>
  <si>
    <t>Colonne6631</t>
  </si>
  <si>
    <t>Colonne6632</t>
  </si>
  <si>
    <t>Colonne6633</t>
  </si>
  <si>
    <t>Colonne6634</t>
  </si>
  <si>
    <t>Colonne6635</t>
  </si>
  <si>
    <t>Colonne6636</t>
  </si>
  <si>
    <t>Colonne6637</t>
  </si>
  <si>
    <t>Colonne6638</t>
  </si>
  <si>
    <t>Colonne6639</t>
  </si>
  <si>
    <t>Colonne6640</t>
  </si>
  <si>
    <t>Colonne6641</t>
  </si>
  <si>
    <t>Colonne6642</t>
  </si>
  <si>
    <t>Colonne6643</t>
  </si>
  <si>
    <t>Colonne6644</t>
  </si>
  <si>
    <t>Colonne6645</t>
  </si>
  <si>
    <t>Colonne6646</t>
  </si>
  <si>
    <t>Colonne6647</t>
  </si>
  <si>
    <t>Colonne6648</t>
  </si>
  <si>
    <t>Colonne6649</t>
  </si>
  <si>
    <t>Colonne6650</t>
  </si>
  <si>
    <t>Colonne6651</t>
  </si>
  <si>
    <t>Colonne6652</t>
  </si>
  <si>
    <t>Colonne6653</t>
  </si>
  <si>
    <t>Colonne6654</t>
  </si>
  <si>
    <t>Colonne6655</t>
  </si>
  <si>
    <t>Colonne6656</t>
  </si>
  <si>
    <t>Colonne6657</t>
  </si>
  <si>
    <t>Colonne6658</t>
  </si>
  <si>
    <t>Colonne6659</t>
  </si>
  <si>
    <t>Colonne6660</t>
  </si>
  <si>
    <t>Colonne6661</t>
  </si>
  <si>
    <t>Colonne6662</t>
  </si>
  <si>
    <t>Colonne6663</t>
  </si>
  <si>
    <t>Colonne6664</t>
  </si>
  <si>
    <t>Colonne6665</t>
  </si>
  <si>
    <t>Colonne6666</t>
  </si>
  <si>
    <t>Colonne6667</t>
  </si>
  <si>
    <t>Colonne6668</t>
  </si>
  <si>
    <t>Colonne6669</t>
  </si>
  <si>
    <t>Colonne6670</t>
  </si>
  <si>
    <t>Colonne6671</t>
  </si>
  <si>
    <t>Colonne6672</t>
  </si>
  <si>
    <t>Colonne6673</t>
  </si>
  <si>
    <t>Colonne6674</t>
  </si>
  <si>
    <t>Colonne6675</t>
  </si>
  <si>
    <t>Colonne6676</t>
  </si>
  <si>
    <t>Colonne6677</t>
  </si>
  <si>
    <t>Colonne6678</t>
  </si>
  <si>
    <t>Colonne6679</t>
  </si>
  <si>
    <t>Colonne6680</t>
  </si>
  <si>
    <t>Colonne6681</t>
  </si>
  <si>
    <t>Colonne6682</t>
  </si>
  <si>
    <t>Colonne6683</t>
  </si>
  <si>
    <t>Colonne6684</t>
  </si>
  <si>
    <t>Colonne6685</t>
  </si>
  <si>
    <t>Colonne6686</t>
  </si>
  <si>
    <t>Colonne6687</t>
  </si>
  <si>
    <t>Colonne6688</t>
  </si>
  <si>
    <t>Colonne6689</t>
  </si>
  <si>
    <t>Colonne6690</t>
  </si>
  <si>
    <t>Colonne6691</t>
  </si>
  <si>
    <t>Colonne6692</t>
  </si>
  <si>
    <t>Colonne6693</t>
  </si>
  <si>
    <t>Colonne6694</t>
  </si>
  <si>
    <t>Colonne6695</t>
  </si>
  <si>
    <t>Colonne6696</t>
  </si>
  <si>
    <t>Colonne6697</t>
  </si>
  <si>
    <t>Colonne6698</t>
  </si>
  <si>
    <t>Colonne6699</t>
  </si>
  <si>
    <t>Colonne6700</t>
  </si>
  <si>
    <t>Colonne6701</t>
  </si>
  <si>
    <t>Colonne6702</t>
  </si>
  <si>
    <t>Colonne6703</t>
  </si>
  <si>
    <t>Colonne6704</t>
  </si>
  <si>
    <t>Colonne6705</t>
  </si>
  <si>
    <t>Colonne6706</t>
  </si>
  <si>
    <t>Colonne6707</t>
  </si>
  <si>
    <t>Colonne6708</t>
  </si>
  <si>
    <t>Colonne6709</t>
  </si>
  <si>
    <t>Colonne6710</t>
  </si>
  <si>
    <t>Colonne6711</t>
  </si>
  <si>
    <t>Colonne6712</t>
  </si>
  <si>
    <t>Colonne6713</t>
  </si>
  <si>
    <t>Colonne6714</t>
  </si>
  <si>
    <t>Colonne6715</t>
  </si>
  <si>
    <t>Colonne6716</t>
  </si>
  <si>
    <t>Colonne6717</t>
  </si>
  <si>
    <t>Colonne6718</t>
  </si>
  <si>
    <t>Colonne6719</t>
  </si>
  <si>
    <t>Colonne6720</t>
  </si>
  <si>
    <t>Colonne6721</t>
  </si>
  <si>
    <t>Colonne6722</t>
  </si>
  <si>
    <t>Colonne6723</t>
  </si>
  <si>
    <t>Colonne6724</t>
  </si>
  <si>
    <t>Colonne6725</t>
  </si>
  <si>
    <t>Colonne6726</t>
  </si>
  <si>
    <t>Colonne6727</t>
  </si>
  <si>
    <t>Colonne6728</t>
  </si>
  <si>
    <t>Colonne6729</t>
  </si>
  <si>
    <t>Colonne6730</t>
  </si>
  <si>
    <t>Colonne6731</t>
  </si>
  <si>
    <t>Colonne6732</t>
  </si>
  <si>
    <t>Colonne6733</t>
  </si>
  <si>
    <t>Colonne6734</t>
  </si>
  <si>
    <t>Colonne6735</t>
  </si>
  <si>
    <t>Colonne6736</t>
  </si>
  <si>
    <t>Colonne6737</t>
  </si>
  <si>
    <t>Colonne6738</t>
  </si>
  <si>
    <t>Colonne6739</t>
  </si>
  <si>
    <t>Colonne6740</t>
  </si>
  <si>
    <t>Colonne6741</t>
  </si>
  <si>
    <t>Colonne6742</t>
  </si>
  <si>
    <t>Colonne6743</t>
  </si>
  <si>
    <t>Colonne6744</t>
  </si>
  <si>
    <t>Colonne6745</t>
  </si>
  <si>
    <t>Colonne6746</t>
  </si>
  <si>
    <t>Colonne6747</t>
  </si>
  <si>
    <t>Colonne6748</t>
  </si>
  <si>
    <t>Colonne6749</t>
  </si>
  <si>
    <t>Colonne6750</t>
  </si>
  <si>
    <t>Colonne6751</t>
  </si>
  <si>
    <t>Colonne6752</t>
  </si>
  <si>
    <t>Colonne6753</t>
  </si>
  <si>
    <t>Colonne6754</t>
  </si>
  <si>
    <t>Colonne6755</t>
  </si>
  <si>
    <t>Colonne6756</t>
  </si>
  <si>
    <t>Colonne6757</t>
  </si>
  <si>
    <t>Colonne6758</t>
  </si>
  <si>
    <t>Colonne6759</t>
  </si>
  <si>
    <t>Colonne6760</t>
  </si>
  <si>
    <t>Colonne6761</t>
  </si>
  <si>
    <t>Colonne6762</t>
  </si>
  <si>
    <t>Colonne6763</t>
  </si>
  <si>
    <t>Colonne6764</t>
  </si>
  <si>
    <t>Colonne6765</t>
  </si>
  <si>
    <t>Colonne6766</t>
  </si>
  <si>
    <t>Colonne6767</t>
  </si>
  <si>
    <t>Colonne6768</t>
  </si>
  <si>
    <t>Colonne6769</t>
  </si>
  <si>
    <t>Colonne6770</t>
  </si>
  <si>
    <t>Colonne6771</t>
  </si>
  <si>
    <t>Colonne6772</t>
  </si>
  <si>
    <t>Colonne6773</t>
  </si>
  <si>
    <t>Colonne6774</t>
  </si>
  <si>
    <t>Colonne6775</t>
  </si>
  <si>
    <t>Colonne6776</t>
  </si>
  <si>
    <t>Colonne6777</t>
  </si>
  <si>
    <t>Colonne6778</t>
  </si>
  <si>
    <t>Colonne6779</t>
  </si>
  <si>
    <t>Colonne6780</t>
  </si>
  <si>
    <t>Colonne6781</t>
  </si>
  <si>
    <t>Colonne6782</t>
  </si>
  <si>
    <t>Colonne6783</t>
  </si>
  <si>
    <t>Colonne6784</t>
  </si>
  <si>
    <t>Colonne6785</t>
  </si>
  <si>
    <t>Colonne6786</t>
  </si>
  <si>
    <t>Colonne6787</t>
  </si>
  <si>
    <t>Colonne6788</t>
  </si>
  <si>
    <t>Colonne6789</t>
  </si>
  <si>
    <t>Colonne6790</t>
  </si>
  <si>
    <t>Colonne6791</t>
  </si>
  <si>
    <t>Colonne6792</t>
  </si>
  <si>
    <t>Colonne6793</t>
  </si>
  <si>
    <t>Colonne6794</t>
  </si>
  <si>
    <t>Colonne6795</t>
  </si>
  <si>
    <t>Colonne6796</t>
  </si>
  <si>
    <t>Colonne6797</t>
  </si>
  <si>
    <t>Colonne6798</t>
  </si>
  <si>
    <t>Colonne6799</t>
  </si>
  <si>
    <t>Colonne6800</t>
  </si>
  <si>
    <t>Colonne6801</t>
  </si>
  <si>
    <t>Colonne6802</t>
  </si>
  <si>
    <t>Colonne6803</t>
  </si>
  <si>
    <t>Colonne6804</t>
  </si>
  <si>
    <t>Colonne6805</t>
  </si>
  <si>
    <t>Colonne6806</t>
  </si>
  <si>
    <t>Colonne6807</t>
  </si>
  <si>
    <t>Colonne6808</t>
  </si>
  <si>
    <t>Colonne6809</t>
  </si>
  <si>
    <t>Colonne6810</t>
  </si>
  <si>
    <t>Colonne6811</t>
  </si>
  <si>
    <t>Colonne6812</t>
  </si>
  <si>
    <t>Colonne6813</t>
  </si>
  <si>
    <t>Colonne6814</t>
  </si>
  <si>
    <t>Colonne6815</t>
  </si>
  <si>
    <t>Colonne6816</t>
  </si>
  <si>
    <t>Colonne6817</t>
  </si>
  <si>
    <t>Colonne6818</t>
  </si>
  <si>
    <t>Colonne6819</t>
  </si>
  <si>
    <t>Colonne6820</t>
  </si>
  <si>
    <t>Colonne6821</t>
  </si>
  <si>
    <t>Colonne6822</t>
  </si>
  <si>
    <t>Colonne6823</t>
  </si>
  <si>
    <t>Colonne6824</t>
  </si>
  <si>
    <t>Colonne6825</t>
  </si>
  <si>
    <t>Colonne6826</t>
  </si>
  <si>
    <t>Colonne6827</t>
  </si>
  <si>
    <t>Colonne6828</t>
  </si>
  <si>
    <t>Colonne6829</t>
  </si>
  <si>
    <t>Colonne6830</t>
  </si>
  <si>
    <t>Colonne6831</t>
  </si>
  <si>
    <t>Colonne6832</t>
  </si>
  <si>
    <t>Colonne6833</t>
  </si>
  <si>
    <t>Colonne6834</t>
  </si>
  <si>
    <t>Colonne6835</t>
  </si>
  <si>
    <t>Colonne6836</t>
  </si>
  <si>
    <t>Colonne6837</t>
  </si>
  <si>
    <t>Colonne6838</t>
  </si>
  <si>
    <t>Colonne6839</t>
  </si>
  <si>
    <t>Colonne6840</t>
  </si>
  <si>
    <t>Colonne6841</t>
  </si>
  <si>
    <t>Colonne6842</t>
  </si>
  <si>
    <t>Colonne6843</t>
  </si>
  <si>
    <t>Colonne6844</t>
  </si>
  <si>
    <t>Colonne6845</t>
  </si>
  <si>
    <t>Colonne6846</t>
  </si>
  <si>
    <t>Colonne6847</t>
  </si>
  <si>
    <t>Colonne6848</t>
  </si>
  <si>
    <t>Colonne6849</t>
  </si>
  <si>
    <t>Colonne6850</t>
  </si>
  <si>
    <t>Colonne6851</t>
  </si>
  <si>
    <t>Colonne6852</t>
  </si>
  <si>
    <t>Colonne6853</t>
  </si>
  <si>
    <t>Colonne6854</t>
  </si>
  <si>
    <t>Colonne6855</t>
  </si>
  <si>
    <t>Colonne6856</t>
  </si>
  <si>
    <t>Colonne6857</t>
  </si>
  <si>
    <t>Colonne6858</t>
  </si>
  <si>
    <t>Colonne6859</t>
  </si>
  <si>
    <t>Colonne6860</t>
  </si>
  <si>
    <t>Colonne6861</t>
  </si>
  <si>
    <t>Colonne6862</t>
  </si>
  <si>
    <t>Colonne6863</t>
  </si>
  <si>
    <t>Colonne6864</t>
  </si>
  <si>
    <t>Colonne6865</t>
  </si>
  <si>
    <t>Colonne6866</t>
  </si>
  <si>
    <t>Colonne6867</t>
  </si>
  <si>
    <t>Colonne6868</t>
  </si>
  <si>
    <t>Colonne6869</t>
  </si>
  <si>
    <t>Colonne6870</t>
  </si>
  <si>
    <t>Colonne6871</t>
  </si>
  <si>
    <t>Colonne6872</t>
  </si>
  <si>
    <t>Colonne6873</t>
  </si>
  <si>
    <t>Colonne6874</t>
  </si>
  <si>
    <t>Colonne6875</t>
  </si>
  <si>
    <t>Colonne6876</t>
  </si>
  <si>
    <t>Colonne6877</t>
  </si>
  <si>
    <t>Colonne6878</t>
  </si>
  <si>
    <t>Colonne6879</t>
  </si>
  <si>
    <t>Colonne6880</t>
  </si>
  <si>
    <t>Colonne6881</t>
  </si>
  <si>
    <t>Colonne6882</t>
  </si>
  <si>
    <t>Colonne6883</t>
  </si>
  <si>
    <t>Colonne6884</t>
  </si>
  <si>
    <t>Colonne6885</t>
  </si>
  <si>
    <t>Colonne6886</t>
  </si>
  <si>
    <t>Colonne6887</t>
  </si>
  <si>
    <t>Colonne6888</t>
  </si>
  <si>
    <t>Colonne6889</t>
  </si>
  <si>
    <t>Colonne6890</t>
  </si>
  <si>
    <t>Colonne6891</t>
  </si>
  <si>
    <t>Colonne6892</t>
  </si>
  <si>
    <t>Colonne6893</t>
  </si>
  <si>
    <t>Colonne6894</t>
  </si>
  <si>
    <t>Colonne6895</t>
  </si>
  <si>
    <t>Colonne6896</t>
  </si>
  <si>
    <t>Colonne6897</t>
  </si>
  <si>
    <t>Colonne6898</t>
  </si>
  <si>
    <t>Colonne6899</t>
  </si>
  <si>
    <t>Colonne6900</t>
  </si>
  <si>
    <t>Colonne6901</t>
  </si>
  <si>
    <t>Colonne6902</t>
  </si>
  <si>
    <t>Colonne6903</t>
  </si>
  <si>
    <t>Colonne6904</t>
  </si>
  <si>
    <t>Colonne6905</t>
  </si>
  <si>
    <t>Colonne6906</t>
  </si>
  <si>
    <t>Colonne6907</t>
  </si>
  <si>
    <t>Colonne6908</t>
  </si>
  <si>
    <t>Colonne6909</t>
  </si>
  <si>
    <t>Colonne6910</t>
  </si>
  <si>
    <t>Colonne6911</t>
  </si>
  <si>
    <t>Colonne6912</t>
  </si>
  <si>
    <t>Colonne6913</t>
  </si>
  <si>
    <t>Colonne6914</t>
  </si>
  <si>
    <t>Colonne6915</t>
  </si>
  <si>
    <t>Colonne6916</t>
  </si>
  <si>
    <t>Colonne6917</t>
  </si>
  <si>
    <t>Colonne6918</t>
  </si>
  <si>
    <t>Colonne6919</t>
  </si>
  <si>
    <t>Colonne6920</t>
  </si>
  <si>
    <t>Colonne6921</t>
  </si>
  <si>
    <t>Colonne6922</t>
  </si>
  <si>
    <t>Colonne6923</t>
  </si>
  <si>
    <t>Colonne6924</t>
  </si>
  <si>
    <t>Colonne6925</t>
  </si>
  <si>
    <t>Colonne6926</t>
  </si>
  <si>
    <t>Colonne6927</t>
  </si>
  <si>
    <t>Colonne6928</t>
  </si>
  <si>
    <t>Colonne6929</t>
  </si>
  <si>
    <t>Colonne6930</t>
  </si>
  <si>
    <t>Colonne6931</t>
  </si>
  <si>
    <t>Colonne6932</t>
  </si>
  <si>
    <t>Colonne6933</t>
  </si>
  <si>
    <t>Colonne6934</t>
  </si>
  <si>
    <t>Colonne6935</t>
  </si>
  <si>
    <t>Colonne6936</t>
  </si>
  <si>
    <t>Colonne6937</t>
  </si>
  <si>
    <t>Colonne6938</t>
  </si>
  <si>
    <t>Colonne6939</t>
  </si>
  <si>
    <t>Colonne6940</t>
  </si>
  <si>
    <t>Colonne6941</t>
  </si>
  <si>
    <t>Colonne6942</t>
  </si>
  <si>
    <t>Colonne6943</t>
  </si>
  <si>
    <t>Colonne6944</t>
  </si>
  <si>
    <t>Colonne6945</t>
  </si>
  <si>
    <t>Colonne6946</t>
  </si>
  <si>
    <t>Colonne6947</t>
  </si>
  <si>
    <t>Colonne6948</t>
  </si>
  <si>
    <t>Colonne6949</t>
  </si>
  <si>
    <t>Colonne6950</t>
  </si>
  <si>
    <t>Colonne6951</t>
  </si>
  <si>
    <t>Colonne6952</t>
  </si>
  <si>
    <t>Colonne6953</t>
  </si>
  <si>
    <t>Colonne6954</t>
  </si>
  <si>
    <t>Colonne6955</t>
  </si>
  <si>
    <t>Colonne6956</t>
  </si>
  <si>
    <t>Colonne6957</t>
  </si>
  <si>
    <t>Colonne6958</t>
  </si>
  <si>
    <t>Colonne6959</t>
  </si>
  <si>
    <t>Colonne6960</t>
  </si>
  <si>
    <t>Colonne6961</t>
  </si>
  <si>
    <t>Colonne6962</t>
  </si>
  <si>
    <t>Colonne6963</t>
  </si>
  <si>
    <t>Colonne6964</t>
  </si>
  <si>
    <t>Colonne6965</t>
  </si>
  <si>
    <t>Colonne6966</t>
  </si>
  <si>
    <t>Colonne6967</t>
  </si>
  <si>
    <t>Colonne6968</t>
  </si>
  <si>
    <t>Colonne6969</t>
  </si>
  <si>
    <t>Colonne6970</t>
  </si>
  <si>
    <t>Colonne6971</t>
  </si>
  <si>
    <t>Colonne6972</t>
  </si>
  <si>
    <t>Colonne6973</t>
  </si>
  <si>
    <t>Colonne6974</t>
  </si>
  <si>
    <t>Colonne6975</t>
  </si>
  <si>
    <t>Colonne6976</t>
  </si>
  <si>
    <t>Colonne6977</t>
  </si>
  <si>
    <t>Colonne6978</t>
  </si>
  <si>
    <t>Colonne6979</t>
  </si>
  <si>
    <t>Colonne6980</t>
  </si>
  <si>
    <t>Colonne6981</t>
  </si>
  <si>
    <t>Colonne6982</t>
  </si>
  <si>
    <t>Colonne6983</t>
  </si>
  <si>
    <t>Colonne6984</t>
  </si>
  <si>
    <t>Colonne6985</t>
  </si>
  <si>
    <t>Colonne6986</t>
  </si>
  <si>
    <t>Colonne6987</t>
  </si>
  <si>
    <t>Colonne6988</t>
  </si>
  <si>
    <t>Colonne6989</t>
  </si>
  <si>
    <t>Colonne6990</t>
  </si>
  <si>
    <t>Colonne6991</t>
  </si>
  <si>
    <t>Colonne6992</t>
  </si>
  <si>
    <t>Colonne6993</t>
  </si>
  <si>
    <t>Colonne6994</t>
  </si>
  <si>
    <t>Colonne6995</t>
  </si>
  <si>
    <t>Colonne6996</t>
  </si>
  <si>
    <t>Colonne6997</t>
  </si>
  <si>
    <t>Colonne6998</t>
  </si>
  <si>
    <t>Colonne6999</t>
  </si>
  <si>
    <t>Colonne7000</t>
  </si>
  <si>
    <t>Colonne7001</t>
  </si>
  <si>
    <t>Colonne7002</t>
  </si>
  <si>
    <t>Colonne7003</t>
  </si>
  <si>
    <t>Colonne7004</t>
  </si>
  <si>
    <t>Colonne7005</t>
  </si>
  <si>
    <t>Colonne7006</t>
  </si>
  <si>
    <t>Colonne7007</t>
  </si>
  <si>
    <t>Colonne7008</t>
  </si>
  <si>
    <t>Colonne7009</t>
  </si>
  <si>
    <t>Colonne7010</t>
  </si>
  <si>
    <t>Colonne7011</t>
  </si>
  <si>
    <t>Colonne7012</t>
  </si>
  <si>
    <t>Colonne7013</t>
  </si>
  <si>
    <t>Colonne7014</t>
  </si>
  <si>
    <t>Colonne7015</t>
  </si>
  <si>
    <t>Colonne7016</t>
  </si>
  <si>
    <t>Colonne7017</t>
  </si>
  <si>
    <t>Colonne7018</t>
  </si>
  <si>
    <t>Colonne7019</t>
  </si>
  <si>
    <t>Colonne7020</t>
  </si>
  <si>
    <t>Colonne7021</t>
  </si>
  <si>
    <t>Colonne7022</t>
  </si>
  <si>
    <t>Colonne7023</t>
  </si>
  <si>
    <t>Colonne7024</t>
  </si>
  <si>
    <t>Colonne7025</t>
  </si>
  <si>
    <t>Colonne7026</t>
  </si>
  <si>
    <t>Colonne7027</t>
  </si>
  <si>
    <t>Colonne7028</t>
  </si>
  <si>
    <t>Colonne7029</t>
  </si>
  <si>
    <t>Colonne7030</t>
  </si>
  <si>
    <t>Colonne7031</t>
  </si>
  <si>
    <t>Colonne7032</t>
  </si>
  <si>
    <t>Colonne7033</t>
  </si>
  <si>
    <t>Colonne7034</t>
  </si>
  <si>
    <t>Colonne7035</t>
  </si>
  <si>
    <t>Colonne7036</t>
  </si>
  <si>
    <t>Colonne7037</t>
  </si>
  <si>
    <t>Colonne7038</t>
  </si>
  <si>
    <t>Colonne7039</t>
  </si>
  <si>
    <t>Colonne7040</t>
  </si>
  <si>
    <t>Colonne7041</t>
  </si>
  <si>
    <t>Colonne7042</t>
  </si>
  <si>
    <t>Colonne7043</t>
  </si>
  <si>
    <t>Colonne7044</t>
  </si>
  <si>
    <t>Colonne7045</t>
  </si>
  <si>
    <t>Colonne7046</t>
  </si>
  <si>
    <t>Colonne7047</t>
  </si>
  <si>
    <t>Colonne7048</t>
  </si>
  <si>
    <t>Colonne7049</t>
  </si>
  <si>
    <t>Colonne7050</t>
  </si>
  <si>
    <t>Colonne7051</t>
  </si>
  <si>
    <t>Colonne7052</t>
  </si>
  <si>
    <t>Colonne7053</t>
  </si>
  <si>
    <t>Colonne7054</t>
  </si>
  <si>
    <t>Colonne7055</t>
  </si>
  <si>
    <t>Colonne7056</t>
  </si>
  <si>
    <t>Colonne7057</t>
  </si>
  <si>
    <t>Colonne7058</t>
  </si>
  <si>
    <t>Colonne7059</t>
  </si>
  <si>
    <t>Colonne7060</t>
  </si>
  <si>
    <t>Colonne7061</t>
  </si>
  <si>
    <t>Colonne7062</t>
  </si>
  <si>
    <t>Colonne7063</t>
  </si>
  <si>
    <t>Colonne7064</t>
  </si>
  <si>
    <t>Colonne7065</t>
  </si>
  <si>
    <t>Colonne7066</t>
  </si>
  <si>
    <t>Colonne7067</t>
  </si>
  <si>
    <t>Colonne7068</t>
  </si>
  <si>
    <t>Colonne7069</t>
  </si>
  <si>
    <t>Colonne7070</t>
  </si>
  <si>
    <t>Colonne7071</t>
  </si>
  <si>
    <t>Colonne7072</t>
  </si>
  <si>
    <t>Colonne7073</t>
  </si>
  <si>
    <t>Colonne7074</t>
  </si>
  <si>
    <t>Colonne7075</t>
  </si>
  <si>
    <t>Colonne7076</t>
  </si>
  <si>
    <t>Colonne7077</t>
  </si>
  <si>
    <t>Colonne7078</t>
  </si>
  <si>
    <t>Colonne7079</t>
  </si>
  <si>
    <t>Colonne7080</t>
  </si>
  <si>
    <t>Colonne7081</t>
  </si>
  <si>
    <t>Colonne7082</t>
  </si>
  <si>
    <t>Colonne7083</t>
  </si>
  <si>
    <t>Colonne7084</t>
  </si>
  <si>
    <t>Colonne7085</t>
  </si>
  <si>
    <t>Colonne7086</t>
  </si>
  <si>
    <t>Colonne7087</t>
  </si>
  <si>
    <t>Colonne7088</t>
  </si>
  <si>
    <t>Colonne7089</t>
  </si>
  <si>
    <t>Colonne7090</t>
  </si>
  <si>
    <t>Colonne7091</t>
  </si>
  <si>
    <t>Colonne7092</t>
  </si>
  <si>
    <t>Colonne7093</t>
  </si>
  <si>
    <t>Colonne7094</t>
  </si>
  <si>
    <t>Colonne7095</t>
  </si>
  <si>
    <t>Colonne7096</t>
  </si>
  <si>
    <t>Colonne7097</t>
  </si>
  <si>
    <t>Colonne7098</t>
  </si>
  <si>
    <t>Colonne7099</t>
  </si>
  <si>
    <t>Colonne7100</t>
  </si>
  <si>
    <t>Colonne7101</t>
  </si>
  <si>
    <t>Colonne7102</t>
  </si>
  <si>
    <t>Colonne7103</t>
  </si>
  <si>
    <t>Colonne7104</t>
  </si>
  <si>
    <t>Colonne7105</t>
  </si>
  <si>
    <t>Colonne7106</t>
  </si>
  <si>
    <t>Colonne7107</t>
  </si>
  <si>
    <t>Colonne7108</t>
  </si>
  <si>
    <t>Colonne7109</t>
  </si>
  <si>
    <t>Colonne7110</t>
  </si>
  <si>
    <t>Colonne7111</t>
  </si>
  <si>
    <t>Colonne7112</t>
  </si>
  <si>
    <t>Colonne7113</t>
  </si>
  <si>
    <t>Colonne7114</t>
  </si>
  <si>
    <t>Colonne7115</t>
  </si>
  <si>
    <t>Colonne7116</t>
  </si>
  <si>
    <t>Colonne7117</t>
  </si>
  <si>
    <t>Colonne7118</t>
  </si>
  <si>
    <t>Colonne7119</t>
  </si>
  <si>
    <t>Colonne7120</t>
  </si>
  <si>
    <t>Colonne7121</t>
  </si>
  <si>
    <t>Colonne7122</t>
  </si>
  <si>
    <t>Colonne7123</t>
  </si>
  <si>
    <t>Colonne7124</t>
  </si>
  <si>
    <t>Colonne7125</t>
  </si>
  <si>
    <t>Colonne7126</t>
  </si>
  <si>
    <t>Colonne7127</t>
  </si>
  <si>
    <t>Colonne7128</t>
  </si>
  <si>
    <t>Colonne7129</t>
  </si>
  <si>
    <t>Colonne7130</t>
  </si>
  <si>
    <t>Colonne7131</t>
  </si>
  <si>
    <t>Colonne7132</t>
  </si>
  <si>
    <t>Colonne7133</t>
  </si>
  <si>
    <t>Colonne7134</t>
  </si>
  <si>
    <t>Colonne7135</t>
  </si>
  <si>
    <t>Colonne7136</t>
  </si>
  <si>
    <t>Colonne7137</t>
  </si>
  <si>
    <t>Colonne7138</t>
  </si>
  <si>
    <t>Colonne7139</t>
  </si>
  <si>
    <t>Colonne7140</t>
  </si>
  <si>
    <t>Colonne7141</t>
  </si>
  <si>
    <t>Colonne7142</t>
  </si>
  <si>
    <t>Colonne7143</t>
  </si>
  <si>
    <t>Colonne7144</t>
  </si>
  <si>
    <t>Colonne7145</t>
  </si>
  <si>
    <t>Colonne7146</t>
  </si>
  <si>
    <t>Colonne7147</t>
  </si>
  <si>
    <t>Colonne7148</t>
  </si>
  <si>
    <t>Colonne7149</t>
  </si>
  <si>
    <t>Colonne7150</t>
  </si>
  <si>
    <t>Colonne7151</t>
  </si>
  <si>
    <t>Colonne7152</t>
  </si>
  <si>
    <t>Colonne7153</t>
  </si>
  <si>
    <t>Colonne7154</t>
  </si>
  <si>
    <t>Colonne7155</t>
  </si>
  <si>
    <t>Colonne7156</t>
  </si>
  <si>
    <t>Colonne7157</t>
  </si>
  <si>
    <t>Colonne7158</t>
  </si>
  <si>
    <t>Colonne7159</t>
  </si>
  <si>
    <t>Colonne7160</t>
  </si>
  <si>
    <t>Colonne7161</t>
  </si>
  <si>
    <t>Colonne7162</t>
  </si>
  <si>
    <t>Colonne7163</t>
  </si>
  <si>
    <t>Colonne7164</t>
  </si>
  <si>
    <t>Colonne7165</t>
  </si>
  <si>
    <t>Colonne7166</t>
  </si>
  <si>
    <t>Colonne7167</t>
  </si>
  <si>
    <t>Colonne7168</t>
  </si>
  <si>
    <t>Colonne7169</t>
  </si>
  <si>
    <t>Colonne7170</t>
  </si>
  <si>
    <t>Colonne7171</t>
  </si>
  <si>
    <t>Colonne7172</t>
  </si>
  <si>
    <t>Colonne7173</t>
  </si>
  <si>
    <t>Colonne7174</t>
  </si>
  <si>
    <t>Colonne7175</t>
  </si>
  <si>
    <t>Colonne7176</t>
  </si>
  <si>
    <t>Colonne7177</t>
  </si>
  <si>
    <t>Colonne7178</t>
  </si>
  <si>
    <t>Colonne7179</t>
  </si>
  <si>
    <t>Colonne7180</t>
  </si>
  <si>
    <t>Colonne7181</t>
  </si>
  <si>
    <t>Colonne7182</t>
  </si>
  <si>
    <t>Colonne7183</t>
  </si>
  <si>
    <t>Colonne7184</t>
  </si>
  <si>
    <t>Colonne7185</t>
  </si>
  <si>
    <t>Colonne7186</t>
  </si>
  <si>
    <t>Colonne7187</t>
  </si>
  <si>
    <t>Colonne7188</t>
  </si>
  <si>
    <t>Colonne7189</t>
  </si>
  <si>
    <t>Colonne7190</t>
  </si>
  <si>
    <t>Colonne7191</t>
  </si>
  <si>
    <t>Colonne7192</t>
  </si>
  <si>
    <t>Colonne7193</t>
  </si>
  <si>
    <t>Colonne7194</t>
  </si>
  <si>
    <t>Colonne7195</t>
  </si>
  <si>
    <t>Colonne7196</t>
  </si>
  <si>
    <t>Colonne7197</t>
  </si>
  <si>
    <t>Colonne7198</t>
  </si>
  <si>
    <t>Colonne7199</t>
  </si>
  <si>
    <t>Colonne7200</t>
  </si>
  <si>
    <t>Colonne7201</t>
  </si>
  <si>
    <t>Colonne7202</t>
  </si>
  <si>
    <t>Colonne7203</t>
  </si>
  <si>
    <t>Colonne7204</t>
  </si>
  <si>
    <t>Colonne7205</t>
  </si>
  <si>
    <t>Colonne7206</t>
  </si>
  <si>
    <t>Colonne7207</t>
  </si>
  <si>
    <t>Colonne7208</t>
  </si>
  <si>
    <t>Colonne7209</t>
  </si>
  <si>
    <t>Colonne7210</t>
  </si>
  <si>
    <t>Colonne7211</t>
  </si>
  <si>
    <t>Colonne7212</t>
  </si>
  <si>
    <t>Colonne7213</t>
  </si>
  <si>
    <t>Colonne7214</t>
  </si>
  <si>
    <t>Colonne7215</t>
  </si>
  <si>
    <t>Colonne7216</t>
  </si>
  <si>
    <t>Colonne7217</t>
  </si>
  <si>
    <t>Colonne7218</t>
  </si>
  <si>
    <t>Colonne7219</t>
  </si>
  <si>
    <t>Colonne7220</t>
  </si>
  <si>
    <t>Colonne7221</t>
  </si>
  <si>
    <t>Colonne7222</t>
  </si>
  <si>
    <t>Colonne7223</t>
  </si>
  <si>
    <t>Colonne7224</t>
  </si>
  <si>
    <t>Colonne7225</t>
  </si>
  <si>
    <t>Colonne7226</t>
  </si>
  <si>
    <t>Colonne7227</t>
  </si>
  <si>
    <t>Colonne7228</t>
  </si>
  <si>
    <t>Colonne7229</t>
  </si>
  <si>
    <t>Colonne7230</t>
  </si>
  <si>
    <t>Colonne7231</t>
  </si>
  <si>
    <t>Colonne7232</t>
  </si>
  <si>
    <t>Colonne7233</t>
  </si>
  <si>
    <t>Colonne7234</t>
  </si>
  <si>
    <t>Colonne7235</t>
  </si>
  <si>
    <t>Colonne7236</t>
  </si>
  <si>
    <t>Colonne7237</t>
  </si>
  <si>
    <t>Colonne7238</t>
  </si>
  <si>
    <t>Colonne7239</t>
  </si>
  <si>
    <t>Colonne7240</t>
  </si>
  <si>
    <t>Colonne7241</t>
  </si>
  <si>
    <t>Colonne7242</t>
  </si>
  <si>
    <t>Colonne7243</t>
  </si>
  <si>
    <t>Colonne7244</t>
  </si>
  <si>
    <t>Colonne7245</t>
  </si>
  <si>
    <t>Colonne7246</t>
  </si>
  <si>
    <t>Colonne7247</t>
  </si>
  <si>
    <t>Colonne7248</t>
  </si>
  <si>
    <t>Colonne7249</t>
  </si>
  <si>
    <t>Colonne7250</t>
  </si>
  <si>
    <t>Colonne7251</t>
  </si>
  <si>
    <t>Colonne7252</t>
  </si>
  <si>
    <t>Colonne7253</t>
  </si>
  <si>
    <t>Colonne7254</t>
  </si>
  <si>
    <t>Colonne7255</t>
  </si>
  <si>
    <t>Colonne7256</t>
  </si>
  <si>
    <t>Colonne7257</t>
  </si>
  <si>
    <t>Colonne7258</t>
  </si>
  <si>
    <t>Colonne7259</t>
  </si>
  <si>
    <t>Colonne7260</t>
  </si>
  <si>
    <t>Colonne7261</t>
  </si>
  <si>
    <t>Colonne7262</t>
  </si>
  <si>
    <t>Colonne7263</t>
  </si>
  <si>
    <t>Colonne7264</t>
  </si>
  <si>
    <t>Colonne7265</t>
  </si>
  <si>
    <t>Colonne7266</t>
  </si>
  <si>
    <t>Colonne7267</t>
  </si>
  <si>
    <t>Colonne7268</t>
  </si>
  <si>
    <t>Colonne7269</t>
  </si>
  <si>
    <t>Colonne7270</t>
  </si>
  <si>
    <t>Colonne7271</t>
  </si>
  <si>
    <t>Colonne7272</t>
  </si>
  <si>
    <t>Colonne7273</t>
  </si>
  <si>
    <t>Colonne7274</t>
  </si>
  <si>
    <t>Colonne7275</t>
  </si>
  <si>
    <t>Colonne7276</t>
  </si>
  <si>
    <t>Colonne7277</t>
  </si>
  <si>
    <t>Colonne7278</t>
  </si>
  <si>
    <t>Colonne7279</t>
  </si>
  <si>
    <t>Colonne7280</t>
  </si>
  <si>
    <t>Colonne7281</t>
  </si>
  <si>
    <t>Colonne7282</t>
  </si>
  <si>
    <t>Colonne7283</t>
  </si>
  <si>
    <t>Colonne7284</t>
  </si>
  <si>
    <t>Colonne7285</t>
  </si>
  <si>
    <t>Colonne7286</t>
  </si>
  <si>
    <t>Colonne7287</t>
  </si>
  <si>
    <t>Colonne7288</t>
  </si>
  <si>
    <t>Colonne7289</t>
  </si>
  <si>
    <t>Colonne7290</t>
  </si>
  <si>
    <t>Colonne7291</t>
  </si>
  <si>
    <t>Colonne7292</t>
  </si>
  <si>
    <t>Colonne7293</t>
  </si>
  <si>
    <t>Colonne7294</t>
  </si>
  <si>
    <t>Colonne7295</t>
  </si>
  <si>
    <t>Colonne7296</t>
  </si>
  <si>
    <t>Colonne7297</t>
  </si>
  <si>
    <t>Colonne7298</t>
  </si>
  <si>
    <t>Colonne7299</t>
  </si>
  <si>
    <t>Colonne7300</t>
  </si>
  <si>
    <t>Colonne7301</t>
  </si>
  <si>
    <t>Colonne7302</t>
  </si>
  <si>
    <t>Colonne7303</t>
  </si>
  <si>
    <t>Colonne7304</t>
  </si>
  <si>
    <t>Colonne7305</t>
  </si>
  <si>
    <t>Colonne7306</t>
  </si>
  <si>
    <t>Colonne7307</t>
  </si>
  <si>
    <t>Colonne7308</t>
  </si>
  <si>
    <t>Colonne7309</t>
  </si>
  <si>
    <t>Colonne7310</t>
  </si>
  <si>
    <t>Colonne7311</t>
  </si>
  <si>
    <t>Colonne7312</t>
  </si>
  <si>
    <t>Colonne7313</t>
  </si>
  <si>
    <t>Colonne7314</t>
  </si>
  <si>
    <t>Colonne7315</t>
  </si>
  <si>
    <t>Colonne7316</t>
  </si>
  <si>
    <t>Colonne7317</t>
  </si>
  <si>
    <t>Colonne7318</t>
  </si>
  <si>
    <t>Colonne7319</t>
  </si>
  <si>
    <t>Colonne7320</t>
  </si>
  <si>
    <t>Colonne7321</t>
  </si>
  <si>
    <t>Colonne7322</t>
  </si>
  <si>
    <t>Colonne7323</t>
  </si>
  <si>
    <t>Colonne7324</t>
  </si>
  <si>
    <t>Colonne7325</t>
  </si>
  <si>
    <t>Colonne7326</t>
  </si>
  <si>
    <t>Colonne7327</t>
  </si>
  <si>
    <t>Colonne7328</t>
  </si>
  <si>
    <t>Colonne7329</t>
  </si>
  <si>
    <t>Colonne7330</t>
  </si>
  <si>
    <t>Colonne7331</t>
  </si>
  <si>
    <t>Colonne7332</t>
  </si>
  <si>
    <t>Colonne7333</t>
  </si>
  <si>
    <t>Colonne7334</t>
  </si>
  <si>
    <t>Colonne7335</t>
  </si>
  <si>
    <t>Colonne7336</t>
  </si>
  <si>
    <t>Colonne7337</t>
  </si>
  <si>
    <t>Colonne7338</t>
  </si>
  <si>
    <t>Colonne7339</t>
  </si>
  <si>
    <t>Colonne7340</t>
  </si>
  <si>
    <t>Colonne7341</t>
  </si>
  <si>
    <t>Colonne7342</t>
  </si>
  <si>
    <t>Colonne7343</t>
  </si>
  <si>
    <t>Colonne7344</t>
  </si>
  <si>
    <t>Colonne7345</t>
  </si>
  <si>
    <t>Colonne7346</t>
  </si>
  <si>
    <t>Colonne7347</t>
  </si>
  <si>
    <t>Colonne7348</t>
  </si>
  <si>
    <t>Colonne7349</t>
  </si>
  <si>
    <t>Colonne7350</t>
  </si>
  <si>
    <t>Colonne7351</t>
  </si>
  <si>
    <t>Colonne7352</t>
  </si>
  <si>
    <t>Colonne7353</t>
  </si>
  <si>
    <t>Colonne7354</t>
  </si>
  <si>
    <t>Colonne7355</t>
  </si>
  <si>
    <t>Colonne7356</t>
  </si>
  <si>
    <t>Colonne7357</t>
  </si>
  <si>
    <t>Colonne7358</t>
  </si>
  <si>
    <t>Colonne7359</t>
  </si>
  <si>
    <t>Colonne7360</t>
  </si>
  <si>
    <t>Colonne7361</t>
  </si>
  <si>
    <t>Colonne7362</t>
  </si>
  <si>
    <t>Colonne7363</t>
  </si>
  <si>
    <t>Colonne7364</t>
  </si>
  <si>
    <t>Colonne7365</t>
  </si>
  <si>
    <t>Colonne7366</t>
  </si>
  <si>
    <t>Colonne7367</t>
  </si>
  <si>
    <t>Colonne7368</t>
  </si>
  <si>
    <t>Colonne7369</t>
  </si>
  <si>
    <t>Colonne7370</t>
  </si>
  <si>
    <t>Colonne7371</t>
  </si>
  <si>
    <t>Colonne7372</t>
  </si>
  <si>
    <t>Colonne7373</t>
  </si>
  <si>
    <t>Colonne7374</t>
  </si>
  <si>
    <t>Colonne7375</t>
  </si>
  <si>
    <t>Colonne7376</t>
  </si>
  <si>
    <t>Colonne7377</t>
  </si>
  <si>
    <t>Colonne7378</t>
  </si>
  <si>
    <t>Colonne7379</t>
  </si>
  <si>
    <t>Colonne7380</t>
  </si>
  <si>
    <t>Colonne7381</t>
  </si>
  <si>
    <t>Colonne7382</t>
  </si>
  <si>
    <t>Colonne7383</t>
  </si>
  <si>
    <t>Colonne7384</t>
  </si>
  <si>
    <t>Colonne7385</t>
  </si>
  <si>
    <t>Colonne7386</t>
  </si>
  <si>
    <t>Colonne7387</t>
  </si>
  <si>
    <t>Colonne7388</t>
  </si>
  <si>
    <t>Colonne7389</t>
  </si>
  <si>
    <t>Colonne7390</t>
  </si>
  <si>
    <t>Colonne7391</t>
  </si>
  <si>
    <t>Colonne7392</t>
  </si>
  <si>
    <t>Colonne7393</t>
  </si>
  <si>
    <t>Colonne7394</t>
  </si>
  <si>
    <t>Colonne7395</t>
  </si>
  <si>
    <t>Colonne7396</t>
  </si>
  <si>
    <t>Colonne7397</t>
  </si>
  <si>
    <t>Colonne7398</t>
  </si>
  <si>
    <t>Colonne7399</t>
  </si>
  <si>
    <t>Colonne7400</t>
  </si>
  <si>
    <t>Colonne7401</t>
  </si>
  <si>
    <t>Colonne7402</t>
  </si>
  <si>
    <t>Colonne7403</t>
  </si>
  <si>
    <t>Colonne7404</t>
  </si>
  <si>
    <t>Colonne7405</t>
  </si>
  <si>
    <t>Colonne7406</t>
  </si>
  <si>
    <t>Colonne7407</t>
  </si>
  <si>
    <t>Colonne7408</t>
  </si>
  <si>
    <t>Colonne7409</t>
  </si>
  <si>
    <t>Colonne7410</t>
  </si>
  <si>
    <t>Colonne7411</t>
  </si>
  <si>
    <t>Colonne7412</t>
  </si>
  <si>
    <t>Colonne7413</t>
  </si>
  <si>
    <t>Colonne7414</t>
  </si>
  <si>
    <t>Colonne7415</t>
  </si>
  <si>
    <t>Colonne7416</t>
  </si>
  <si>
    <t>Colonne7417</t>
  </si>
  <si>
    <t>Colonne7418</t>
  </si>
  <si>
    <t>Colonne7419</t>
  </si>
  <si>
    <t>Colonne7420</t>
  </si>
  <si>
    <t>Colonne7421</t>
  </si>
  <si>
    <t>Colonne7422</t>
  </si>
  <si>
    <t>Colonne7423</t>
  </si>
  <si>
    <t>Colonne7424</t>
  </si>
  <si>
    <t>Colonne7425</t>
  </si>
  <si>
    <t>Colonne7426</t>
  </si>
  <si>
    <t>Colonne7427</t>
  </si>
  <si>
    <t>Colonne7428</t>
  </si>
  <si>
    <t>Colonne7429</t>
  </si>
  <si>
    <t>Colonne7430</t>
  </si>
  <si>
    <t>Colonne7431</t>
  </si>
  <si>
    <t>Colonne7432</t>
  </si>
  <si>
    <t>Colonne7433</t>
  </si>
  <si>
    <t>Colonne7434</t>
  </si>
  <si>
    <t>Colonne7435</t>
  </si>
  <si>
    <t>Colonne7436</t>
  </si>
  <si>
    <t>Colonne7437</t>
  </si>
  <si>
    <t>Colonne7438</t>
  </si>
  <si>
    <t>Colonne7439</t>
  </si>
  <si>
    <t>Colonne7440</t>
  </si>
  <si>
    <t>Colonne7441</t>
  </si>
  <si>
    <t>Colonne7442</t>
  </si>
  <si>
    <t>Colonne7443</t>
  </si>
  <si>
    <t>Colonne7444</t>
  </si>
  <si>
    <t>Colonne7445</t>
  </si>
  <si>
    <t>Colonne7446</t>
  </si>
  <si>
    <t>Colonne7447</t>
  </si>
  <si>
    <t>Colonne7448</t>
  </si>
  <si>
    <t>Colonne7449</t>
  </si>
  <si>
    <t>Colonne7450</t>
  </si>
  <si>
    <t>Colonne7451</t>
  </si>
  <si>
    <t>Colonne7452</t>
  </si>
  <si>
    <t>Colonne7453</t>
  </si>
  <si>
    <t>Colonne7454</t>
  </si>
  <si>
    <t>Colonne7455</t>
  </si>
  <si>
    <t>Colonne7456</t>
  </si>
  <si>
    <t>Colonne7457</t>
  </si>
  <si>
    <t>Colonne7458</t>
  </si>
  <si>
    <t>Colonne7459</t>
  </si>
  <si>
    <t>Colonne7460</t>
  </si>
  <si>
    <t>Colonne7461</t>
  </si>
  <si>
    <t>Colonne7462</t>
  </si>
  <si>
    <t>Colonne7463</t>
  </si>
  <si>
    <t>Colonne7464</t>
  </si>
  <si>
    <t>Colonne7465</t>
  </si>
  <si>
    <t>Colonne7466</t>
  </si>
  <si>
    <t>Colonne7467</t>
  </si>
  <si>
    <t>Colonne7468</t>
  </si>
  <si>
    <t>Colonne7469</t>
  </si>
  <si>
    <t>Colonne7470</t>
  </si>
  <si>
    <t>Colonne7471</t>
  </si>
  <si>
    <t>Colonne7472</t>
  </si>
  <si>
    <t>Colonne7473</t>
  </si>
  <si>
    <t>Colonne7474</t>
  </si>
  <si>
    <t>Colonne7475</t>
  </si>
  <si>
    <t>Colonne7476</t>
  </si>
  <si>
    <t>Colonne7477</t>
  </si>
  <si>
    <t>Colonne7478</t>
  </si>
  <si>
    <t>Colonne7479</t>
  </si>
  <si>
    <t>Colonne7480</t>
  </si>
  <si>
    <t>Colonne7481</t>
  </si>
  <si>
    <t>Colonne7482</t>
  </si>
  <si>
    <t>Colonne7483</t>
  </si>
  <si>
    <t>Colonne7484</t>
  </si>
  <si>
    <t>Colonne7485</t>
  </si>
  <si>
    <t>Colonne7486</t>
  </si>
  <si>
    <t>Colonne7487</t>
  </si>
  <si>
    <t>Colonne7488</t>
  </si>
  <si>
    <t>Colonne7489</t>
  </si>
  <si>
    <t>Colonne7490</t>
  </si>
  <si>
    <t>Colonne7491</t>
  </si>
  <si>
    <t>Colonne7492</t>
  </si>
  <si>
    <t>Colonne7493</t>
  </si>
  <si>
    <t>Colonne7494</t>
  </si>
  <si>
    <t>Colonne7495</t>
  </si>
  <si>
    <t>Colonne7496</t>
  </si>
  <si>
    <t>Colonne7497</t>
  </si>
  <si>
    <t>Colonne7498</t>
  </si>
  <si>
    <t>Colonne7499</t>
  </si>
  <si>
    <t>Colonne7500</t>
  </si>
  <si>
    <t>Colonne7501</t>
  </si>
  <si>
    <t>Colonne7502</t>
  </si>
  <si>
    <t>Colonne7503</t>
  </si>
  <si>
    <t>Colonne7504</t>
  </si>
  <si>
    <t>Colonne7505</t>
  </si>
  <si>
    <t>Colonne7506</t>
  </si>
  <si>
    <t>Colonne7507</t>
  </si>
  <si>
    <t>Colonne7508</t>
  </si>
  <si>
    <t>Colonne7509</t>
  </si>
  <si>
    <t>Colonne7510</t>
  </si>
  <si>
    <t>Colonne7511</t>
  </si>
  <si>
    <t>Colonne7512</t>
  </si>
  <si>
    <t>Colonne7513</t>
  </si>
  <si>
    <t>Colonne7514</t>
  </si>
  <si>
    <t>Colonne7515</t>
  </si>
  <si>
    <t>Colonne7516</t>
  </si>
  <si>
    <t>Colonne7517</t>
  </si>
  <si>
    <t>Colonne7518</t>
  </si>
  <si>
    <t>Colonne7519</t>
  </si>
  <si>
    <t>Colonne7520</t>
  </si>
  <si>
    <t>Colonne7521</t>
  </si>
  <si>
    <t>Colonne7522</t>
  </si>
  <si>
    <t>Colonne7523</t>
  </si>
  <si>
    <t>Colonne7524</t>
  </si>
  <si>
    <t>Colonne7525</t>
  </si>
  <si>
    <t>Colonne7526</t>
  </si>
  <si>
    <t>Colonne7527</t>
  </si>
  <si>
    <t>Colonne7528</t>
  </si>
  <si>
    <t>Colonne7529</t>
  </si>
  <si>
    <t>Colonne7530</t>
  </si>
  <si>
    <t>Colonne7531</t>
  </si>
  <si>
    <t>Colonne7532</t>
  </si>
  <si>
    <t>Colonne7533</t>
  </si>
  <si>
    <t>Colonne7534</t>
  </si>
  <si>
    <t>Colonne7535</t>
  </si>
  <si>
    <t>Colonne7536</t>
  </si>
  <si>
    <t>Colonne7537</t>
  </si>
  <si>
    <t>Colonne7538</t>
  </si>
  <si>
    <t>Colonne7539</t>
  </si>
  <si>
    <t>Colonne7540</t>
  </si>
  <si>
    <t>Colonne7541</t>
  </si>
  <si>
    <t>Colonne7542</t>
  </si>
  <si>
    <t>Colonne7543</t>
  </si>
  <si>
    <t>Colonne7544</t>
  </si>
  <si>
    <t>Colonne7545</t>
  </si>
  <si>
    <t>Colonne7546</t>
  </si>
  <si>
    <t>Colonne7547</t>
  </si>
  <si>
    <t>Colonne7548</t>
  </si>
  <si>
    <t>Colonne7549</t>
  </si>
  <si>
    <t>Colonne7550</t>
  </si>
  <si>
    <t>Colonne7551</t>
  </si>
  <si>
    <t>Colonne7552</t>
  </si>
  <si>
    <t>Colonne7553</t>
  </si>
  <si>
    <t>Colonne7554</t>
  </si>
  <si>
    <t>Colonne7555</t>
  </si>
  <si>
    <t>Colonne7556</t>
  </si>
  <si>
    <t>Colonne7557</t>
  </si>
  <si>
    <t>Colonne7558</t>
  </si>
  <si>
    <t>Colonne7559</t>
  </si>
  <si>
    <t>Colonne7560</t>
  </si>
  <si>
    <t>Colonne7561</t>
  </si>
  <si>
    <t>Colonne7562</t>
  </si>
  <si>
    <t>Colonne7563</t>
  </si>
  <si>
    <t>Colonne7564</t>
  </si>
  <si>
    <t>Colonne7565</t>
  </si>
  <si>
    <t>Colonne7566</t>
  </si>
  <si>
    <t>Colonne7567</t>
  </si>
  <si>
    <t>Colonne7568</t>
  </si>
  <si>
    <t>Colonne7569</t>
  </si>
  <si>
    <t>Colonne7570</t>
  </si>
  <si>
    <t>Colonne7571</t>
  </si>
  <si>
    <t>Colonne7572</t>
  </si>
  <si>
    <t>Colonne7573</t>
  </si>
  <si>
    <t>Colonne7574</t>
  </si>
  <si>
    <t>Colonne7575</t>
  </si>
  <si>
    <t>Colonne7576</t>
  </si>
  <si>
    <t>Colonne7577</t>
  </si>
  <si>
    <t>Colonne7578</t>
  </si>
  <si>
    <t>Colonne7579</t>
  </si>
  <si>
    <t>Colonne7580</t>
  </si>
  <si>
    <t>Colonne7581</t>
  </si>
  <si>
    <t>Colonne7582</t>
  </si>
  <si>
    <t>Colonne7583</t>
  </si>
  <si>
    <t>Colonne7584</t>
  </si>
  <si>
    <t>Colonne7585</t>
  </si>
  <si>
    <t>Colonne7586</t>
  </si>
  <si>
    <t>Colonne7587</t>
  </si>
  <si>
    <t>Colonne7588</t>
  </si>
  <si>
    <t>Colonne7589</t>
  </si>
  <si>
    <t>Colonne7590</t>
  </si>
  <si>
    <t>Colonne7591</t>
  </si>
  <si>
    <t>Colonne7592</t>
  </si>
  <si>
    <t>Colonne7593</t>
  </si>
  <si>
    <t>Colonne7594</t>
  </si>
  <si>
    <t>Colonne7595</t>
  </si>
  <si>
    <t>Colonne7596</t>
  </si>
  <si>
    <t>Colonne7597</t>
  </si>
  <si>
    <t>Colonne7598</t>
  </si>
  <si>
    <t>Colonne7599</t>
  </si>
  <si>
    <t>Colonne7600</t>
  </si>
  <si>
    <t>Colonne7601</t>
  </si>
  <si>
    <t>Colonne7602</t>
  </si>
  <si>
    <t>Colonne7603</t>
  </si>
  <si>
    <t>Colonne7604</t>
  </si>
  <si>
    <t>Colonne7605</t>
  </si>
  <si>
    <t>Colonne7606</t>
  </si>
  <si>
    <t>Colonne7607</t>
  </si>
  <si>
    <t>Colonne7608</t>
  </si>
  <si>
    <t>Colonne7609</t>
  </si>
  <si>
    <t>Colonne7610</t>
  </si>
  <si>
    <t>Colonne7611</t>
  </si>
  <si>
    <t>Colonne7612</t>
  </si>
  <si>
    <t>Colonne7613</t>
  </si>
  <si>
    <t>Colonne7614</t>
  </si>
  <si>
    <t>Colonne7615</t>
  </si>
  <si>
    <t>Colonne7616</t>
  </si>
  <si>
    <t>Colonne7617</t>
  </si>
  <si>
    <t>Colonne7618</t>
  </si>
  <si>
    <t>Colonne7619</t>
  </si>
  <si>
    <t>Colonne7620</t>
  </si>
  <si>
    <t>Colonne7621</t>
  </si>
  <si>
    <t>Colonne7622</t>
  </si>
  <si>
    <t>Colonne7623</t>
  </si>
  <si>
    <t>Colonne7624</t>
  </si>
  <si>
    <t>Colonne7625</t>
  </si>
  <si>
    <t>Colonne7626</t>
  </si>
  <si>
    <t>Colonne7627</t>
  </si>
  <si>
    <t>Colonne7628</t>
  </si>
  <si>
    <t>Colonne7629</t>
  </si>
  <si>
    <t>Colonne7630</t>
  </si>
  <si>
    <t>Colonne7631</t>
  </si>
  <si>
    <t>Colonne7632</t>
  </si>
  <si>
    <t>Colonne7633</t>
  </si>
  <si>
    <t>Colonne7634</t>
  </si>
  <si>
    <t>Colonne7635</t>
  </si>
  <si>
    <t>Colonne7636</t>
  </si>
  <si>
    <t>Colonne7637</t>
  </si>
  <si>
    <t>Colonne7638</t>
  </si>
  <si>
    <t>Colonne7639</t>
  </si>
  <si>
    <t>Colonne7640</t>
  </si>
  <si>
    <t>Colonne7641</t>
  </si>
  <si>
    <t>Colonne7642</t>
  </si>
  <si>
    <t>Colonne7643</t>
  </si>
  <si>
    <t>Colonne7644</t>
  </si>
  <si>
    <t>Colonne7645</t>
  </si>
  <si>
    <t>Colonne7646</t>
  </si>
  <si>
    <t>Colonne7647</t>
  </si>
  <si>
    <t>Colonne7648</t>
  </si>
  <si>
    <t>Colonne7649</t>
  </si>
  <si>
    <t>Colonne7650</t>
  </si>
  <si>
    <t>Colonne7651</t>
  </si>
  <si>
    <t>Colonne7652</t>
  </si>
  <si>
    <t>Colonne7653</t>
  </si>
  <si>
    <t>Colonne7654</t>
  </si>
  <si>
    <t>Colonne7655</t>
  </si>
  <si>
    <t>Colonne7656</t>
  </si>
  <si>
    <t>Colonne7657</t>
  </si>
  <si>
    <t>Colonne7658</t>
  </si>
  <si>
    <t>Colonne7659</t>
  </si>
  <si>
    <t>Colonne7660</t>
  </si>
  <si>
    <t>Colonne7661</t>
  </si>
  <si>
    <t>Colonne7662</t>
  </si>
  <si>
    <t>Colonne7663</t>
  </si>
  <si>
    <t>Colonne7664</t>
  </si>
  <si>
    <t>Colonne7665</t>
  </si>
  <si>
    <t>Colonne7666</t>
  </si>
  <si>
    <t>Colonne7667</t>
  </si>
  <si>
    <t>Colonne7668</t>
  </si>
  <si>
    <t>Colonne7669</t>
  </si>
  <si>
    <t>Colonne7670</t>
  </si>
  <si>
    <t>Colonne7671</t>
  </si>
  <si>
    <t>Colonne7672</t>
  </si>
  <si>
    <t>Colonne7673</t>
  </si>
  <si>
    <t>Colonne7674</t>
  </si>
  <si>
    <t>Colonne7675</t>
  </si>
  <si>
    <t>Colonne7676</t>
  </si>
  <si>
    <t>Colonne7677</t>
  </si>
  <si>
    <t>Colonne7678</t>
  </si>
  <si>
    <t>Colonne7679</t>
  </si>
  <si>
    <t>Colonne7680</t>
  </si>
  <si>
    <t>Colonne7681</t>
  </si>
  <si>
    <t>Colonne7682</t>
  </si>
  <si>
    <t>Colonne7683</t>
  </si>
  <si>
    <t>Colonne7684</t>
  </si>
  <si>
    <t>Colonne7685</t>
  </si>
  <si>
    <t>Colonne7686</t>
  </si>
  <si>
    <t>Colonne7687</t>
  </si>
  <si>
    <t>Colonne7688</t>
  </si>
  <si>
    <t>Colonne7689</t>
  </si>
  <si>
    <t>Colonne7690</t>
  </si>
  <si>
    <t>Colonne7691</t>
  </si>
  <si>
    <t>Colonne7692</t>
  </si>
  <si>
    <t>Colonne7693</t>
  </si>
  <si>
    <t>Colonne7694</t>
  </si>
  <si>
    <t>Colonne7695</t>
  </si>
  <si>
    <t>Colonne7696</t>
  </si>
  <si>
    <t>Colonne7697</t>
  </si>
  <si>
    <t>Colonne7698</t>
  </si>
  <si>
    <t>Colonne7699</t>
  </si>
  <si>
    <t>Colonne7700</t>
  </si>
  <si>
    <t>Colonne7701</t>
  </si>
  <si>
    <t>Colonne7702</t>
  </si>
  <si>
    <t>Colonne7703</t>
  </si>
  <si>
    <t>Colonne7704</t>
  </si>
  <si>
    <t>Colonne7705</t>
  </si>
  <si>
    <t>Colonne7706</t>
  </si>
  <si>
    <t>Colonne7707</t>
  </si>
  <si>
    <t>Colonne7708</t>
  </si>
  <si>
    <t>Colonne7709</t>
  </si>
  <si>
    <t>Colonne7710</t>
  </si>
  <si>
    <t>Colonne7711</t>
  </si>
  <si>
    <t>Colonne7712</t>
  </si>
  <si>
    <t>Colonne7713</t>
  </si>
  <si>
    <t>Colonne7714</t>
  </si>
  <si>
    <t>Colonne7715</t>
  </si>
  <si>
    <t>Colonne7716</t>
  </si>
  <si>
    <t>Colonne7717</t>
  </si>
  <si>
    <t>Colonne7718</t>
  </si>
  <si>
    <t>Colonne7719</t>
  </si>
  <si>
    <t>Colonne7720</t>
  </si>
  <si>
    <t>Colonne7721</t>
  </si>
  <si>
    <t>Colonne7722</t>
  </si>
  <si>
    <t>Colonne7723</t>
  </si>
  <si>
    <t>Colonne7724</t>
  </si>
  <si>
    <t>Colonne7725</t>
  </si>
  <si>
    <t>Colonne7726</t>
  </si>
  <si>
    <t>Colonne7727</t>
  </si>
  <si>
    <t>Colonne7728</t>
  </si>
  <si>
    <t>Colonne7729</t>
  </si>
  <si>
    <t>Colonne7730</t>
  </si>
  <si>
    <t>Colonne7731</t>
  </si>
  <si>
    <t>Colonne7732</t>
  </si>
  <si>
    <t>Colonne7733</t>
  </si>
  <si>
    <t>Colonne7734</t>
  </si>
  <si>
    <t>Colonne7735</t>
  </si>
  <si>
    <t>Colonne7736</t>
  </si>
  <si>
    <t>Colonne7737</t>
  </si>
  <si>
    <t>Colonne7738</t>
  </si>
  <si>
    <t>Colonne7739</t>
  </si>
  <si>
    <t>Colonne7740</t>
  </si>
  <si>
    <t>Colonne7741</t>
  </si>
  <si>
    <t>Colonne7742</t>
  </si>
  <si>
    <t>Colonne7743</t>
  </si>
  <si>
    <t>Colonne7744</t>
  </si>
  <si>
    <t>Colonne7745</t>
  </si>
  <si>
    <t>Colonne7746</t>
  </si>
  <si>
    <t>Colonne7747</t>
  </si>
  <si>
    <t>Colonne7748</t>
  </si>
  <si>
    <t>Colonne7749</t>
  </si>
  <si>
    <t>Colonne7750</t>
  </si>
  <si>
    <t>Colonne7751</t>
  </si>
  <si>
    <t>Colonne7752</t>
  </si>
  <si>
    <t>Colonne7753</t>
  </si>
  <si>
    <t>Colonne7754</t>
  </si>
  <si>
    <t>Colonne7755</t>
  </si>
  <si>
    <t>Colonne7756</t>
  </si>
  <si>
    <t>Colonne7757</t>
  </si>
  <si>
    <t>Colonne7758</t>
  </si>
  <si>
    <t>Colonne7759</t>
  </si>
  <si>
    <t>Colonne7760</t>
  </si>
  <si>
    <t>Colonne7761</t>
  </si>
  <si>
    <t>Colonne7762</t>
  </si>
  <si>
    <t>Colonne7763</t>
  </si>
  <si>
    <t>Colonne7764</t>
  </si>
  <si>
    <t>Colonne7765</t>
  </si>
  <si>
    <t>Colonne7766</t>
  </si>
  <si>
    <t>Colonne7767</t>
  </si>
  <si>
    <t>Colonne7768</t>
  </si>
  <si>
    <t>Colonne7769</t>
  </si>
  <si>
    <t>Colonne7770</t>
  </si>
  <si>
    <t>Colonne7771</t>
  </si>
  <si>
    <t>Colonne7772</t>
  </si>
  <si>
    <t>Colonne7773</t>
  </si>
  <si>
    <t>Colonne7774</t>
  </si>
  <si>
    <t>Colonne7775</t>
  </si>
  <si>
    <t>Colonne7776</t>
  </si>
  <si>
    <t>Colonne7777</t>
  </si>
  <si>
    <t>Colonne7778</t>
  </si>
  <si>
    <t>Colonne7779</t>
  </si>
  <si>
    <t>Colonne7780</t>
  </si>
  <si>
    <t>Colonne7781</t>
  </si>
  <si>
    <t>Colonne7782</t>
  </si>
  <si>
    <t>Colonne7783</t>
  </si>
  <si>
    <t>Colonne7784</t>
  </si>
  <si>
    <t>Colonne7785</t>
  </si>
  <si>
    <t>Colonne7786</t>
  </si>
  <si>
    <t>Colonne7787</t>
  </si>
  <si>
    <t>Colonne7788</t>
  </si>
  <si>
    <t>Colonne7789</t>
  </si>
  <si>
    <t>Colonne7790</t>
  </si>
  <si>
    <t>Colonne7791</t>
  </si>
  <si>
    <t>Colonne7792</t>
  </si>
  <si>
    <t>Colonne7793</t>
  </si>
  <si>
    <t>Colonne7794</t>
  </si>
  <si>
    <t>Colonne7795</t>
  </si>
  <si>
    <t>Colonne7796</t>
  </si>
  <si>
    <t>Colonne7797</t>
  </si>
  <si>
    <t>Colonne7798</t>
  </si>
  <si>
    <t>Colonne7799</t>
  </si>
  <si>
    <t>Colonne7800</t>
  </si>
  <si>
    <t>Colonne7801</t>
  </si>
  <si>
    <t>Colonne7802</t>
  </si>
  <si>
    <t>Colonne7803</t>
  </si>
  <si>
    <t>Colonne7804</t>
  </si>
  <si>
    <t>Colonne7805</t>
  </si>
  <si>
    <t>Colonne7806</t>
  </si>
  <si>
    <t>Colonne7807</t>
  </si>
  <si>
    <t>Colonne7808</t>
  </si>
  <si>
    <t>Colonne7809</t>
  </si>
  <si>
    <t>Colonne7810</t>
  </si>
  <si>
    <t>Colonne7811</t>
  </si>
  <si>
    <t>Colonne7812</t>
  </si>
  <si>
    <t>Colonne7813</t>
  </si>
  <si>
    <t>Colonne7814</t>
  </si>
  <si>
    <t>Colonne7815</t>
  </si>
  <si>
    <t>Colonne7816</t>
  </si>
  <si>
    <t>Colonne7817</t>
  </si>
  <si>
    <t>Colonne7818</t>
  </si>
  <si>
    <t>Colonne7819</t>
  </si>
  <si>
    <t>Colonne7820</t>
  </si>
  <si>
    <t>Colonne7821</t>
  </si>
  <si>
    <t>Colonne7822</t>
  </si>
  <si>
    <t>Colonne7823</t>
  </si>
  <si>
    <t>Colonne7824</t>
  </si>
  <si>
    <t>Colonne7825</t>
  </si>
  <si>
    <t>Colonne7826</t>
  </si>
  <si>
    <t>Colonne7827</t>
  </si>
  <si>
    <t>Colonne7828</t>
  </si>
  <si>
    <t>Colonne7829</t>
  </si>
  <si>
    <t>Colonne7830</t>
  </si>
  <si>
    <t>Colonne7831</t>
  </si>
  <si>
    <t>Colonne7832</t>
  </si>
  <si>
    <t>Colonne7833</t>
  </si>
  <si>
    <t>Colonne7834</t>
  </si>
  <si>
    <t>Colonne7835</t>
  </si>
  <si>
    <t>Colonne7836</t>
  </si>
  <si>
    <t>Colonne7837</t>
  </si>
  <si>
    <t>Colonne7838</t>
  </si>
  <si>
    <t>Colonne7839</t>
  </si>
  <si>
    <t>Colonne7840</t>
  </si>
  <si>
    <t>Colonne7841</t>
  </si>
  <si>
    <t>Colonne7842</t>
  </si>
  <si>
    <t>Colonne7843</t>
  </si>
  <si>
    <t>Colonne7844</t>
  </si>
  <si>
    <t>Colonne7845</t>
  </si>
  <si>
    <t>Colonne7846</t>
  </si>
  <si>
    <t>Colonne7847</t>
  </si>
  <si>
    <t>Colonne7848</t>
  </si>
  <si>
    <t>Colonne7849</t>
  </si>
  <si>
    <t>Colonne7850</t>
  </si>
  <si>
    <t>Colonne7851</t>
  </si>
  <si>
    <t>Colonne7852</t>
  </si>
  <si>
    <t>Colonne7853</t>
  </si>
  <si>
    <t>Colonne7854</t>
  </si>
  <si>
    <t>Colonne7855</t>
  </si>
  <si>
    <t>Colonne7856</t>
  </si>
  <si>
    <t>Colonne7857</t>
  </si>
  <si>
    <t>Colonne7858</t>
  </si>
  <si>
    <t>Colonne7859</t>
  </si>
  <si>
    <t>Colonne7860</t>
  </si>
  <si>
    <t>Colonne7861</t>
  </si>
  <si>
    <t>Colonne7862</t>
  </si>
  <si>
    <t>Colonne7863</t>
  </si>
  <si>
    <t>Colonne7864</t>
  </si>
  <si>
    <t>Colonne7865</t>
  </si>
  <si>
    <t>Colonne7866</t>
  </si>
  <si>
    <t>Colonne7867</t>
  </si>
  <si>
    <t>Colonne7868</t>
  </si>
  <si>
    <t>Colonne7869</t>
  </si>
  <si>
    <t>Colonne7870</t>
  </si>
  <si>
    <t>Colonne7871</t>
  </si>
  <si>
    <t>Colonne7872</t>
  </si>
  <si>
    <t>Colonne7873</t>
  </si>
  <si>
    <t>Colonne7874</t>
  </si>
  <si>
    <t>Colonne7875</t>
  </si>
  <si>
    <t>Colonne7876</t>
  </si>
  <si>
    <t>Colonne7877</t>
  </si>
  <si>
    <t>Colonne7878</t>
  </si>
  <si>
    <t>Colonne7879</t>
  </si>
  <si>
    <t>Colonne7880</t>
  </si>
  <si>
    <t>Colonne7881</t>
  </si>
  <si>
    <t>Colonne7882</t>
  </si>
  <si>
    <t>Colonne7883</t>
  </si>
  <si>
    <t>Colonne7884</t>
  </si>
  <si>
    <t>Colonne7885</t>
  </si>
  <si>
    <t>Colonne7886</t>
  </si>
  <si>
    <t>Colonne7887</t>
  </si>
  <si>
    <t>Colonne7888</t>
  </si>
  <si>
    <t>Colonne7889</t>
  </si>
  <si>
    <t>Colonne7890</t>
  </si>
  <si>
    <t>Colonne7891</t>
  </si>
  <si>
    <t>Colonne7892</t>
  </si>
  <si>
    <t>Colonne7893</t>
  </si>
  <si>
    <t>Colonne7894</t>
  </si>
  <si>
    <t>Colonne7895</t>
  </si>
  <si>
    <t>Colonne7896</t>
  </si>
  <si>
    <t>Colonne7897</t>
  </si>
  <si>
    <t>Colonne7898</t>
  </si>
  <si>
    <t>Colonne7899</t>
  </si>
  <si>
    <t>Colonne7900</t>
  </si>
  <si>
    <t>Colonne7901</t>
  </si>
  <si>
    <t>Colonne7902</t>
  </si>
  <si>
    <t>Colonne7903</t>
  </si>
  <si>
    <t>Colonne7904</t>
  </si>
  <si>
    <t>Colonne7905</t>
  </si>
  <si>
    <t>Colonne7906</t>
  </si>
  <si>
    <t>Colonne7907</t>
  </si>
  <si>
    <t>Colonne7908</t>
  </si>
  <si>
    <t>Colonne7909</t>
  </si>
  <si>
    <t>Colonne7910</t>
  </si>
  <si>
    <t>Colonne7911</t>
  </si>
  <si>
    <t>Colonne7912</t>
  </si>
  <si>
    <t>Colonne7913</t>
  </si>
  <si>
    <t>Colonne7914</t>
  </si>
  <si>
    <t>Colonne7915</t>
  </si>
  <si>
    <t>Colonne7916</t>
  </si>
  <si>
    <t>Colonne7917</t>
  </si>
  <si>
    <t>Colonne7918</t>
  </si>
  <si>
    <t>Colonne7919</t>
  </si>
  <si>
    <t>Colonne7920</t>
  </si>
  <si>
    <t>Colonne7921</t>
  </si>
  <si>
    <t>Colonne7922</t>
  </si>
  <si>
    <t>Colonne7923</t>
  </si>
  <si>
    <t>Colonne7924</t>
  </si>
  <si>
    <t>Colonne7925</t>
  </si>
  <si>
    <t>Colonne7926</t>
  </si>
  <si>
    <t>Colonne7927</t>
  </si>
  <si>
    <t>Colonne7928</t>
  </si>
  <si>
    <t>Colonne7929</t>
  </si>
  <si>
    <t>Colonne7930</t>
  </si>
  <si>
    <t>Colonne7931</t>
  </si>
  <si>
    <t>Colonne7932</t>
  </si>
  <si>
    <t>Colonne7933</t>
  </si>
  <si>
    <t>Colonne7934</t>
  </si>
  <si>
    <t>Colonne7935</t>
  </si>
  <si>
    <t>Colonne7936</t>
  </si>
  <si>
    <t>Colonne7937</t>
  </si>
  <si>
    <t>Colonne7938</t>
  </si>
  <si>
    <t>Colonne7939</t>
  </si>
  <si>
    <t>Colonne7940</t>
  </si>
  <si>
    <t>Colonne7941</t>
  </si>
  <si>
    <t>Colonne7942</t>
  </si>
  <si>
    <t>Colonne7943</t>
  </si>
  <si>
    <t>Colonne7944</t>
  </si>
  <si>
    <t>Colonne7945</t>
  </si>
  <si>
    <t>Colonne7946</t>
  </si>
  <si>
    <t>Colonne7947</t>
  </si>
  <si>
    <t>Colonne7948</t>
  </si>
  <si>
    <t>Colonne7949</t>
  </si>
  <si>
    <t>Colonne7950</t>
  </si>
  <si>
    <t>Colonne7951</t>
  </si>
  <si>
    <t>Colonne7952</t>
  </si>
  <si>
    <t>Colonne7953</t>
  </si>
  <si>
    <t>Colonne7954</t>
  </si>
  <si>
    <t>Colonne7955</t>
  </si>
  <si>
    <t>Colonne7956</t>
  </si>
  <si>
    <t>Colonne7957</t>
  </si>
  <si>
    <t>Colonne7958</t>
  </si>
  <si>
    <t>Colonne7959</t>
  </si>
  <si>
    <t>Colonne7960</t>
  </si>
  <si>
    <t>Colonne7961</t>
  </si>
  <si>
    <t>Colonne7962</t>
  </si>
  <si>
    <t>Colonne7963</t>
  </si>
  <si>
    <t>Colonne7964</t>
  </si>
  <si>
    <t>Colonne7965</t>
  </si>
  <si>
    <t>Colonne7966</t>
  </si>
  <si>
    <t>Colonne7967</t>
  </si>
  <si>
    <t>Colonne7968</t>
  </si>
  <si>
    <t>Colonne7969</t>
  </si>
  <si>
    <t>Colonne7970</t>
  </si>
  <si>
    <t>Colonne7971</t>
  </si>
  <si>
    <t>Colonne7972</t>
  </si>
  <si>
    <t>Colonne7973</t>
  </si>
  <si>
    <t>Colonne7974</t>
  </si>
  <si>
    <t>Colonne7975</t>
  </si>
  <si>
    <t>Colonne7976</t>
  </si>
  <si>
    <t>Colonne7977</t>
  </si>
  <si>
    <t>Colonne7978</t>
  </si>
  <si>
    <t>Colonne7979</t>
  </si>
  <si>
    <t>Colonne7980</t>
  </si>
  <si>
    <t>Colonne7981</t>
  </si>
  <si>
    <t>Colonne7982</t>
  </si>
  <si>
    <t>Colonne7983</t>
  </si>
  <si>
    <t>Colonne7984</t>
  </si>
  <si>
    <t>Colonne7985</t>
  </si>
  <si>
    <t>Colonne7986</t>
  </si>
  <si>
    <t>Colonne7987</t>
  </si>
  <si>
    <t>Colonne7988</t>
  </si>
  <si>
    <t>Colonne7989</t>
  </si>
  <si>
    <t>Colonne7990</t>
  </si>
  <si>
    <t>Colonne7991</t>
  </si>
  <si>
    <t>Colonne7992</t>
  </si>
  <si>
    <t>Colonne7993</t>
  </si>
  <si>
    <t>Colonne7994</t>
  </si>
  <si>
    <t>Colonne7995</t>
  </si>
  <si>
    <t>Colonne7996</t>
  </si>
  <si>
    <t>Colonne7997</t>
  </si>
  <si>
    <t>Colonne7998</t>
  </si>
  <si>
    <t>Colonne7999</t>
  </si>
  <si>
    <t>Colonne8000</t>
  </si>
  <si>
    <t>Colonne8001</t>
  </si>
  <si>
    <t>Colonne8002</t>
  </si>
  <si>
    <t>Colonne8003</t>
  </si>
  <si>
    <t>Colonne8004</t>
  </si>
  <si>
    <t>Colonne8005</t>
  </si>
  <si>
    <t>Colonne8006</t>
  </si>
  <si>
    <t>Colonne8007</t>
  </si>
  <si>
    <t>Colonne8008</t>
  </si>
  <si>
    <t>Colonne8009</t>
  </si>
  <si>
    <t>Colonne8010</t>
  </si>
  <si>
    <t>Colonne8011</t>
  </si>
  <si>
    <t>Colonne8012</t>
  </si>
  <si>
    <t>Colonne8013</t>
  </si>
  <si>
    <t>Colonne8014</t>
  </si>
  <si>
    <t>Colonne8015</t>
  </si>
  <si>
    <t>Colonne8016</t>
  </si>
  <si>
    <t>Colonne8017</t>
  </si>
  <si>
    <t>Colonne8018</t>
  </si>
  <si>
    <t>Colonne8019</t>
  </si>
  <si>
    <t>Colonne8020</t>
  </si>
  <si>
    <t>Colonne8021</t>
  </si>
  <si>
    <t>Colonne8022</t>
  </si>
  <si>
    <t>Colonne8023</t>
  </si>
  <si>
    <t>Colonne8024</t>
  </si>
  <si>
    <t>Colonne8025</t>
  </si>
  <si>
    <t>Colonne8026</t>
  </si>
  <si>
    <t>Colonne8027</t>
  </si>
  <si>
    <t>Colonne8028</t>
  </si>
  <si>
    <t>Colonne8029</t>
  </si>
  <si>
    <t>Colonne8030</t>
  </si>
  <si>
    <t>Colonne8031</t>
  </si>
  <si>
    <t>Colonne8032</t>
  </si>
  <si>
    <t>Colonne8033</t>
  </si>
  <si>
    <t>Colonne8034</t>
  </si>
  <si>
    <t>Colonne8035</t>
  </si>
  <si>
    <t>Colonne8036</t>
  </si>
  <si>
    <t>Colonne8037</t>
  </si>
  <si>
    <t>Colonne8038</t>
  </si>
  <si>
    <t>Colonne8039</t>
  </si>
  <si>
    <t>Colonne8040</t>
  </si>
  <si>
    <t>Colonne8041</t>
  </si>
  <si>
    <t>Colonne8042</t>
  </si>
  <si>
    <t>Colonne8043</t>
  </si>
  <si>
    <t>Colonne8044</t>
  </si>
  <si>
    <t>Colonne8045</t>
  </si>
  <si>
    <t>Colonne8046</t>
  </si>
  <si>
    <t>Colonne8047</t>
  </si>
  <si>
    <t>Colonne8048</t>
  </si>
  <si>
    <t>Colonne8049</t>
  </si>
  <si>
    <t>Colonne8050</t>
  </si>
  <si>
    <t>Colonne8051</t>
  </si>
  <si>
    <t>Colonne8052</t>
  </si>
  <si>
    <t>Colonne8053</t>
  </si>
  <si>
    <t>Colonne8054</t>
  </si>
  <si>
    <t>Colonne8055</t>
  </si>
  <si>
    <t>Colonne8056</t>
  </si>
  <si>
    <t>Colonne8057</t>
  </si>
  <si>
    <t>Colonne8058</t>
  </si>
  <si>
    <t>Colonne8059</t>
  </si>
  <si>
    <t>Colonne8060</t>
  </si>
  <si>
    <t>Colonne8061</t>
  </si>
  <si>
    <t>Colonne8062</t>
  </si>
  <si>
    <t>Colonne8063</t>
  </si>
  <si>
    <t>Colonne8064</t>
  </si>
  <si>
    <t>Colonne8065</t>
  </si>
  <si>
    <t>Colonne8066</t>
  </si>
  <si>
    <t>Colonne8067</t>
  </si>
  <si>
    <t>Colonne8068</t>
  </si>
  <si>
    <t>Colonne8069</t>
  </si>
  <si>
    <t>Colonne8070</t>
  </si>
  <si>
    <t>Colonne8071</t>
  </si>
  <si>
    <t>Colonne8072</t>
  </si>
  <si>
    <t>Colonne8073</t>
  </si>
  <si>
    <t>Colonne8074</t>
  </si>
  <si>
    <t>Colonne8075</t>
  </si>
  <si>
    <t>Colonne8076</t>
  </si>
  <si>
    <t>Colonne8077</t>
  </si>
  <si>
    <t>Colonne8078</t>
  </si>
  <si>
    <t>Colonne8079</t>
  </si>
  <si>
    <t>Colonne8080</t>
  </si>
  <si>
    <t>Colonne8081</t>
  </si>
  <si>
    <t>Colonne8082</t>
  </si>
  <si>
    <t>Colonne8083</t>
  </si>
  <si>
    <t>Colonne8084</t>
  </si>
  <si>
    <t>Colonne8085</t>
  </si>
  <si>
    <t>Colonne8086</t>
  </si>
  <si>
    <t>Colonne8087</t>
  </si>
  <si>
    <t>Colonne8088</t>
  </si>
  <si>
    <t>Colonne8089</t>
  </si>
  <si>
    <t>Colonne8090</t>
  </si>
  <si>
    <t>Colonne8091</t>
  </si>
  <si>
    <t>Colonne8092</t>
  </si>
  <si>
    <t>Colonne8093</t>
  </si>
  <si>
    <t>Colonne8094</t>
  </si>
  <si>
    <t>Colonne8095</t>
  </si>
  <si>
    <t>Colonne8096</t>
  </si>
  <si>
    <t>Colonne8097</t>
  </si>
  <si>
    <t>Colonne8098</t>
  </si>
  <si>
    <t>Colonne8099</t>
  </si>
  <si>
    <t>Colonne8100</t>
  </si>
  <si>
    <t>Colonne8101</t>
  </si>
  <si>
    <t>Colonne8102</t>
  </si>
  <si>
    <t>Colonne8103</t>
  </si>
  <si>
    <t>Colonne8104</t>
  </si>
  <si>
    <t>Colonne8105</t>
  </si>
  <si>
    <t>Colonne8106</t>
  </si>
  <si>
    <t>Colonne8107</t>
  </si>
  <si>
    <t>Colonne8108</t>
  </si>
  <si>
    <t>Colonne8109</t>
  </si>
  <si>
    <t>Colonne8110</t>
  </si>
  <si>
    <t>Colonne8111</t>
  </si>
  <si>
    <t>Colonne8112</t>
  </si>
  <si>
    <t>Colonne8113</t>
  </si>
  <si>
    <t>Colonne8114</t>
  </si>
  <si>
    <t>Colonne8115</t>
  </si>
  <si>
    <t>Colonne8116</t>
  </si>
  <si>
    <t>Colonne8117</t>
  </si>
  <si>
    <t>Colonne8118</t>
  </si>
  <si>
    <t>Colonne8119</t>
  </si>
  <si>
    <t>Colonne8120</t>
  </si>
  <si>
    <t>Colonne8121</t>
  </si>
  <si>
    <t>Colonne8122</t>
  </si>
  <si>
    <t>Colonne8123</t>
  </si>
  <si>
    <t>Colonne8124</t>
  </si>
  <si>
    <t>Colonne8125</t>
  </si>
  <si>
    <t>Colonne8126</t>
  </si>
  <si>
    <t>Colonne8127</t>
  </si>
  <si>
    <t>Colonne8128</t>
  </si>
  <si>
    <t>Colonne8129</t>
  </si>
  <si>
    <t>Colonne8130</t>
  </si>
  <si>
    <t>Colonne8131</t>
  </si>
  <si>
    <t>Colonne8132</t>
  </si>
  <si>
    <t>Colonne8133</t>
  </si>
  <si>
    <t>Colonne8134</t>
  </si>
  <si>
    <t>Colonne8135</t>
  </si>
  <si>
    <t>Colonne8136</t>
  </si>
  <si>
    <t>Colonne8137</t>
  </si>
  <si>
    <t>Colonne8138</t>
  </si>
  <si>
    <t>Colonne8139</t>
  </si>
  <si>
    <t>Colonne8140</t>
  </si>
  <si>
    <t>Colonne8141</t>
  </si>
  <si>
    <t>Colonne8142</t>
  </si>
  <si>
    <t>Colonne8143</t>
  </si>
  <si>
    <t>Colonne8144</t>
  </si>
  <si>
    <t>Colonne8145</t>
  </si>
  <si>
    <t>Colonne8146</t>
  </si>
  <si>
    <t>Colonne8147</t>
  </si>
  <si>
    <t>Colonne8148</t>
  </si>
  <si>
    <t>Colonne8149</t>
  </si>
  <si>
    <t>Colonne8150</t>
  </si>
  <si>
    <t>Colonne8151</t>
  </si>
  <si>
    <t>Colonne8152</t>
  </si>
  <si>
    <t>Colonne8153</t>
  </si>
  <si>
    <t>Colonne8154</t>
  </si>
  <si>
    <t>Colonne8155</t>
  </si>
  <si>
    <t>Colonne8156</t>
  </si>
  <si>
    <t>Colonne8157</t>
  </si>
  <si>
    <t>Colonne8158</t>
  </si>
  <si>
    <t>Colonne8159</t>
  </si>
  <si>
    <t>Colonne8160</t>
  </si>
  <si>
    <t>Colonne8161</t>
  </si>
  <si>
    <t>Colonne8162</t>
  </si>
  <si>
    <t>Colonne8163</t>
  </si>
  <si>
    <t>Colonne8164</t>
  </si>
  <si>
    <t>Colonne8165</t>
  </si>
  <si>
    <t>Colonne8166</t>
  </si>
  <si>
    <t>Colonne8167</t>
  </si>
  <si>
    <t>Colonne8168</t>
  </si>
  <si>
    <t>Colonne8169</t>
  </si>
  <si>
    <t>Colonne8170</t>
  </si>
  <si>
    <t>Colonne8171</t>
  </si>
  <si>
    <t>Colonne8172</t>
  </si>
  <si>
    <t>Colonne8173</t>
  </si>
  <si>
    <t>Colonne8174</t>
  </si>
  <si>
    <t>Colonne8175</t>
  </si>
  <si>
    <t>Colonne8176</t>
  </si>
  <si>
    <t>Colonne8177</t>
  </si>
  <si>
    <t>Colonne8178</t>
  </si>
  <si>
    <t>Colonne8179</t>
  </si>
  <si>
    <t>Colonne8180</t>
  </si>
  <si>
    <t>Colonne8181</t>
  </si>
  <si>
    <t>Colonne8182</t>
  </si>
  <si>
    <t>Colonne8183</t>
  </si>
  <si>
    <t>Colonne8184</t>
  </si>
  <si>
    <t>Colonne8185</t>
  </si>
  <si>
    <t>Colonne8186</t>
  </si>
  <si>
    <t>Colonne8187</t>
  </si>
  <si>
    <t>Colonne8188</t>
  </si>
  <si>
    <t>Colonne8189</t>
  </si>
  <si>
    <t>Colonne8190</t>
  </si>
  <si>
    <t>Colonne8191</t>
  </si>
  <si>
    <t>Colonne8192</t>
  </si>
  <si>
    <t>Colonne8193</t>
  </si>
  <si>
    <t>Colonne8194</t>
  </si>
  <si>
    <t>Colonne8195</t>
  </si>
  <si>
    <t>Colonne8196</t>
  </si>
  <si>
    <t>Colonne8197</t>
  </si>
  <si>
    <t>Colonne8198</t>
  </si>
  <si>
    <t>Colonne8199</t>
  </si>
  <si>
    <t>Colonne8200</t>
  </si>
  <si>
    <t>Colonne8201</t>
  </si>
  <si>
    <t>Colonne8202</t>
  </si>
  <si>
    <t>Colonne8203</t>
  </si>
  <si>
    <t>Colonne8204</t>
  </si>
  <si>
    <t>Colonne8205</t>
  </si>
  <si>
    <t>Colonne8206</t>
  </si>
  <si>
    <t>Colonne8207</t>
  </si>
  <si>
    <t>Colonne8208</t>
  </si>
  <si>
    <t>Colonne8209</t>
  </si>
  <si>
    <t>Colonne8210</t>
  </si>
  <si>
    <t>Colonne8211</t>
  </si>
  <si>
    <t>Colonne8212</t>
  </si>
  <si>
    <t>Colonne8213</t>
  </si>
  <si>
    <t>Colonne8214</t>
  </si>
  <si>
    <t>Colonne8215</t>
  </si>
  <si>
    <t>Colonne8216</t>
  </si>
  <si>
    <t>Colonne8217</t>
  </si>
  <si>
    <t>Colonne8218</t>
  </si>
  <si>
    <t>Colonne8219</t>
  </si>
  <si>
    <t>Colonne8220</t>
  </si>
  <si>
    <t>Colonne8221</t>
  </si>
  <si>
    <t>Colonne8222</t>
  </si>
  <si>
    <t>Colonne8223</t>
  </si>
  <si>
    <t>Colonne8224</t>
  </si>
  <si>
    <t>Colonne8225</t>
  </si>
  <si>
    <t>Colonne8226</t>
  </si>
  <si>
    <t>Colonne8227</t>
  </si>
  <si>
    <t>Colonne8228</t>
  </si>
  <si>
    <t>Colonne8229</t>
  </si>
  <si>
    <t>Colonne8230</t>
  </si>
  <si>
    <t>Colonne8231</t>
  </si>
  <si>
    <t>Colonne8232</t>
  </si>
  <si>
    <t>Colonne8233</t>
  </si>
  <si>
    <t>Colonne8234</t>
  </si>
  <si>
    <t>Colonne8235</t>
  </si>
  <si>
    <t>Colonne8236</t>
  </si>
  <si>
    <t>Colonne8237</t>
  </si>
  <si>
    <t>Colonne8238</t>
  </si>
  <si>
    <t>Colonne8239</t>
  </si>
  <si>
    <t>Colonne8240</t>
  </si>
  <si>
    <t>Colonne8241</t>
  </si>
  <si>
    <t>Colonne8242</t>
  </si>
  <si>
    <t>Colonne8243</t>
  </si>
  <si>
    <t>Colonne8244</t>
  </si>
  <si>
    <t>Colonne8245</t>
  </si>
  <si>
    <t>Colonne8246</t>
  </si>
  <si>
    <t>Colonne8247</t>
  </si>
  <si>
    <t>Colonne8248</t>
  </si>
  <si>
    <t>Colonne8249</t>
  </si>
  <si>
    <t>Colonne8250</t>
  </si>
  <si>
    <t>Colonne8251</t>
  </si>
  <si>
    <t>Colonne8252</t>
  </si>
  <si>
    <t>Colonne8253</t>
  </si>
  <si>
    <t>Colonne8254</t>
  </si>
  <si>
    <t>Colonne8255</t>
  </si>
  <si>
    <t>Colonne8256</t>
  </si>
  <si>
    <t>Colonne8257</t>
  </si>
  <si>
    <t>Colonne8258</t>
  </si>
  <si>
    <t>Colonne8259</t>
  </si>
  <si>
    <t>Colonne8260</t>
  </si>
  <si>
    <t>Colonne8261</t>
  </si>
  <si>
    <t>Colonne8262</t>
  </si>
  <si>
    <t>Colonne8263</t>
  </si>
  <si>
    <t>Colonne8264</t>
  </si>
  <si>
    <t>Colonne8265</t>
  </si>
  <si>
    <t>Colonne8266</t>
  </si>
  <si>
    <t>Colonne8267</t>
  </si>
  <si>
    <t>Colonne8268</t>
  </si>
  <si>
    <t>Colonne8269</t>
  </si>
  <si>
    <t>Colonne8270</t>
  </si>
  <si>
    <t>Colonne8271</t>
  </si>
  <si>
    <t>Colonne8272</t>
  </si>
  <si>
    <t>Colonne8273</t>
  </si>
  <si>
    <t>Colonne8274</t>
  </si>
  <si>
    <t>Colonne8275</t>
  </si>
  <si>
    <t>Colonne8276</t>
  </si>
  <si>
    <t>Colonne8277</t>
  </si>
  <si>
    <t>Colonne8278</t>
  </si>
  <si>
    <t>Colonne8279</t>
  </si>
  <si>
    <t>Colonne8280</t>
  </si>
  <si>
    <t>Colonne8281</t>
  </si>
  <si>
    <t>Colonne8282</t>
  </si>
  <si>
    <t>Colonne8283</t>
  </si>
  <si>
    <t>Colonne8284</t>
  </si>
  <si>
    <t>Colonne8285</t>
  </si>
  <si>
    <t>Colonne8286</t>
  </si>
  <si>
    <t>Colonne8287</t>
  </si>
  <si>
    <t>Colonne8288</t>
  </si>
  <si>
    <t>Colonne8289</t>
  </si>
  <si>
    <t>Colonne8290</t>
  </si>
  <si>
    <t>Colonne8291</t>
  </si>
  <si>
    <t>Colonne8292</t>
  </si>
  <si>
    <t>Colonne8293</t>
  </si>
  <si>
    <t>Colonne8294</t>
  </si>
  <si>
    <t>Colonne8295</t>
  </si>
  <si>
    <t>Colonne8296</t>
  </si>
  <si>
    <t>Colonne8297</t>
  </si>
  <si>
    <t>Colonne8298</t>
  </si>
  <si>
    <t>Colonne8299</t>
  </si>
  <si>
    <t>Colonne8300</t>
  </si>
  <si>
    <t>Colonne8301</t>
  </si>
  <si>
    <t>Colonne8302</t>
  </si>
  <si>
    <t>Colonne8303</t>
  </si>
  <si>
    <t>Colonne8304</t>
  </si>
  <si>
    <t>Colonne8305</t>
  </si>
  <si>
    <t>Colonne8306</t>
  </si>
  <si>
    <t>Colonne8307</t>
  </si>
  <si>
    <t>Colonne8308</t>
  </si>
  <si>
    <t>Colonne8309</t>
  </si>
  <si>
    <t>Colonne8310</t>
  </si>
  <si>
    <t>Colonne8311</t>
  </si>
  <si>
    <t>Colonne8312</t>
  </si>
  <si>
    <t>Colonne8313</t>
  </si>
  <si>
    <t>Colonne8314</t>
  </si>
  <si>
    <t>Colonne8315</t>
  </si>
  <si>
    <t>Colonne8316</t>
  </si>
  <si>
    <t>Colonne8317</t>
  </si>
  <si>
    <t>Colonne8318</t>
  </si>
  <si>
    <t>Colonne8319</t>
  </si>
  <si>
    <t>Colonne8320</t>
  </si>
  <si>
    <t>Colonne8321</t>
  </si>
  <si>
    <t>Colonne8322</t>
  </si>
  <si>
    <t>Colonne8323</t>
  </si>
  <si>
    <t>Colonne8324</t>
  </si>
  <si>
    <t>Colonne8325</t>
  </si>
  <si>
    <t>Colonne8326</t>
  </si>
  <si>
    <t>Colonne8327</t>
  </si>
  <si>
    <t>Colonne8328</t>
  </si>
  <si>
    <t>Colonne8329</t>
  </si>
  <si>
    <t>Colonne8330</t>
  </si>
  <si>
    <t>Colonne8331</t>
  </si>
  <si>
    <t>Colonne8332</t>
  </si>
  <si>
    <t>Colonne8333</t>
  </si>
  <si>
    <t>Colonne8334</t>
  </si>
  <si>
    <t>Colonne8335</t>
  </si>
  <si>
    <t>Colonne8336</t>
  </si>
  <si>
    <t>Colonne8337</t>
  </si>
  <si>
    <t>Colonne8338</t>
  </si>
  <si>
    <t>Colonne8339</t>
  </si>
  <si>
    <t>Colonne8340</t>
  </si>
  <si>
    <t>Colonne8341</t>
  </si>
  <si>
    <t>Colonne8342</t>
  </si>
  <si>
    <t>Colonne8343</t>
  </si>
  <si>
    <t>Colonne8344</t>
  </si>
  <si>
    <t>Colonne8345</t>
  </si>
  <si>
    <t>Colonne8346</t>
  </si>
  <si>
    <t>Colonne8347</t>
  </si>
  <si>
    <t>Colonne8348</t>
  </si>
  <si>
    <t>Colonne8349</t>
  </si>
  <si>
    <t>Colonne8350</t>
  </si>
  <si>
    <t>Colonne8351</t>
  </si>
  <si>
    <t>Colonne8352</t>
  </si>
  <si>
    <t>Colonne8353</t>
  </si>
  <si>
    <t>Colonne8354</t>
  </si>
  <si>
    <t>Colonne8355</t>
  </si>
  <si>
    <t>Colonne8356</t>
  </si>
  <si>
    <t>Colonne8357</t>
  </si>
  <si>
    <t>Colonne8358</t>
  </si>
  <si>
    <t>Colonne8359</t>
  </si>
  <si>
    <t>Colonne8360</t>
  </si>
  <si>
    <t>Colonne8361</t>
  </si>
  <si>
    <t>Colonne8362</t>
  </si>
  <si>
    <t>Colonne8363</t>
  </si>
  <si>
    <t>Colonne8364</t>
  </si>
  <si>
    <t>Colonne8365</t>
  </si>
  <si>
    <t>Colonne8366</t>
  </si>
  <si>
    <t>Colonne8367</t>
  </si>
  <si>
    <t>Colonne8368</t>
  </si>
  <si>
    <t>Colonne8369</t>
  </si>
  <si>
    <t>Colonne8370</t>
  </si>
  <si>
    <t>Colonne8371</t>
  </si>
  <si>
    <t>Colonne8372</t>
  </si>
  <si>
    <t>Colonne8373</t>
  </si>
  <si>
    <t>Colonne8374</t>
  </si>
  <si>
    <t>Colonne8375</t>
  </si>
  <si>
    <t>Colonne8376</t>
  </si>
  <si>
    <t>Colonne8377</t>
  </si>
  <si>
    <t>Colonne8378</t>
  </si>
  <si>
    <t>Colonne8379</t>
  </si>
  <si>
    <t>Colonne8380</t>
  </si>
  <si>
    <t>Colonne8381</t>
  </si>
  <si>
    <t>Colonne8382</t>
  </si>
  <si>
    <t>Colonne8383</t>
  </si>
  <si>
    <t>Colonne8384</t>
  </si>
  <si>
    <t>Colonne8385</t>
  </si>
  <si>
    <t>Colonne8386</t>
  </si>
  <si>
    <t>Colonne8387</t>
  </si>
  <si>
    <t>Colonne8388</t>
  </si>
  <si>
    <t>Colonne8389</t>
  </si>
  <si>
    <t>Colonne8390</t>
  </si>
  <si>
    <t>Colonne8391</t>
  </si>
  <si>
    <t>Colonne8392</t>
  </si>
  <si>
    <t>Colonne8393</t>
  </si>
  <si>
    <t>Colonne8394</t>
  </si>
  <si>
    <t>Colonne8395</t>
  </si>
  <si>
    <t>Colonne8396</t>
  </si>
  <si>
    <t>Colonne8397</t>
  </si>
  <si>
    <t>Colonne8398</t>
  </si>
  <si>
    <t>Colonne8399</t>
  </si>
  <si>
    <t>Colonne8400</t>
  </si>
  <si>
    <t>Colonne8401</t>
  </si>
  <si>
    <t>Colonne8402</t>
  </si>
  <si>
    <t>Colonne8403</t>
  </si>
  <si>
    <t>Colonne8404</t>
  </si>
  <si>
    <t>Colonne8405</t>
  </si>
  <si>
    <t>Colonne8406</t>
  </si>
  <si>
    <t>Colonne8407</t>
  </si>
  <si>
    <t>Colonne8408</t>
  </si>
  <si>
    <t>Colonne8409</t>
  </si>
  <si>
    <t>Colonne8410</t>
  </si>
  <si>
    <t>Colonne8411</t>
  </si>
  <si>
    <t>Colonne8412</t>
  </si>
  <si>
    <t>Colonne8413</t>
  </si>
  <si>
    <t>Colonne8414</t>
  </si>
  <si>
    <t>Colonne8415</t>
  </si>
  <si>
    <t>Colonne8416</t>
  </si>
  <si>
    <t>Colonne8417</t>
  </si>
  <si>
    <t>Colonne8418</t>
  </si>
  <si>
    <t>Colonne8419</t>
  </si>
  <si>
    <t>Colonne8420</t>
  </si>
  <si>
    <t>Colonne8421</t>
  </si>
  <si>
    <t>Colonne8422</t>
  </si>
  <si>
    <t>Colonne8423</t>
  </si>
  <si>
    <t>Colonne8424</t>
  </si>
  <si>
    <t>Colonne8425</t>
  </si>
  <si>
    <t>Colonne8426</t>
  </si>
  <si>
    <t>Colonne8427</t>
  </si>
  <si>
    <t>Colonne8428</t>
  </si>
  <si>
    <t>Colonne8429</t>
  </si>
  <si>
    <t>Colonne8430</t>
  </si>
  <si>
    <t>Colonne8431</t>
  </si>
  <si>
    <t>Colonne8432</t>
  </si>
  <si>
    <t>Colonne8433</t>
  </si>
  <si>
    <t>Colonne8434</t>
  </si>
  <si>
    <t>Colonne8435</t>
  </si>
  <si>
    <t>Colonne8436</t>
  </si>
  <si>
    <t>Colonne8437</t>
  </si>
  <si>
    <t>Colonne8438</t>
  </si>
  <si>
    <t>Colonne8439</t>
  </si>
  <si>
    <t>Colonne8440</t>
  </si>
  <si>
    <t>Colonne8441</t>
  </si>
  <si>
    <t>Colonne8442</t>
  </si>
  <si>
    <t>Colonne8443</t>
  </si>
  <si>
    <t>Colonne8444</t>
  </si>
  <si>
    <t>Colonne8445</t>
  </si>
  <si>
    <t>Colonne8446</t>
  </si>
  <si>
    <t>Colonne8447</t>
  </si>
  <si>
    <t>Colonne8448</t>
  </si>
  <si>
    <t>Colonne8449</t>
  </si>
  <si>
    <t>Colonne8450</t>
  </si>
  <si>
    <t>Colonne8451</t>
  </si>
  <si>
    <t>Colonne8452</t>
  </si>
  <si>
    <t>Colonne8453</t>
  </si>
  <si>
    <t>Colonne8454</t>
  </si>
  <si>
    <t>Colonne8455</t>
  </si>
  <si>
    <t>Colonne8456</t>
  </si>
  <si>
    <t>Colonne8457</t>
  </si>
  <si>
    <t>Colonne8458</t>
  </si>
  <si>
    <t>Colonne8459</t>
  </si>
  <si>
    <t>Colonne8460</t>
  </si>
  <si>
    <t>Colonne8461</t>
  </si>
  <si>
    <t>Colonne8462</t>
  </si>
  <si>
    <t>Colonne8463</t>
  </si>
  <si>
    <t>Colonne8464</t>
  </si>
  <si>
    <t>Colonne8465</t>
  </si>
  <si>
    <t>Colonne8466</t>
  </si>
  <si>
    <t>Colonne8467</t>
  </si>
  <si>
    <t>Colonne8468</t>
  </si>
  <si>
    <t>Colonne8469</t>
  </si>
  <si>
    <t>Colonne8470</t>
  </si>
  <si>
    <t>Colonne8471</t>
  </si>
  <si>
    <t>Colonne8472</t>
  </si>
  <si>
    <t>Colonne8473</t>
  </si>
  <si>
    <t>Colonne8474</t>
  </si>
  <si>
    <t>Colonne8475</t>
  </si>
  <si>
    <t>Colonne8476</t>
  </si>
  <si>
    <t>Colonne8477</t>
  </si>
  <si>
    <t>Colonne8478</t>
  </si>
  <si>
    <t>Colonne8479</t>
  </si>
  <si>
    <t>Colonne8480</t>
  </si>
  <si>
    <t>Colonne8481</t>
  </si>
  <si>
    <t>Colonne8482</t>
  </si>
  <si>
    <t>Colonne8483</t>
  </si>
  <si>
    <t>Colonne8484</t>
  </si>
  <si>
    <t>Colonne8485</t>
  </si>
  <si>
    <t>Colonne8486</t>
  </si>
  <si>
    <t>Colonne8487</t>
  </si>
  <si>
    <t>Colonne8488</t>
  </si>
  <si>
    <t>Colonne8489</t>
  </si>
  <si>
    <t>Colonne8490</t>
  </si>
  <si>
    <t>Colonne8491</t>
  </si>
  <si>
    <t>Colonne8492</t>
  </si>
  <si>
    <t>Colonne8493</t>
  </si>
  <si>
    <t>Colonne8494</t>
  </si>
  <si>
    <t>Colonne8495</t>
  </si>
  <si>
    <t>Colonne8496</t>
  </si>
  <si>
    <t>Colonne8497</t>
  </si>
  <si>
    <t>Colonne8498</t>
  </si>
  <si>
    <t>Colonne8499</t>
  </si>
  <si>
    <t>Colonne8500</t>
  </si>
  <si>
    <t>Colonne8501</t>
  </si>
  <si>
    <t>Colonne8502</t>
  </si>
  <si>
    <t>Colonne8503</t>
  </si>
  <si>
    <t>Colonne8504</t>
  </si>
  <si>
    <t>Colonne8505</t>
  </si>
  <si>
    <t>Colonne8506</t>
  </si>
  <si>
    <t>Colonne8507</t>
  </si>
  <si>
    <t>Colonne8508</t>
  </si>
  <si>
    <t>Colonne8509</t>
  </si>
  <si>
    <t>Colonne8510</t>
  </si>
  <si>
    <t>Colonne8511</t>
  </si>
  <si>
    <t>Colonne8512</t>
  </si>
  <si>
    <t>Colonne8513</t>
  </si>
  <si>
    <t>Colonne8514</t>
  </si>
  <si>
    <t>Colonne8515</t>
  </si>
  <si>
    <t>Colonne8516</t>
  </si>
  <si>
    <t>Colonne8517</t>
  </si>
  <si>
    <t>Colonne8518</t>
  </si>
  <si>
    <t>Colonne8519</t>
  </si>
  <si>
    <t>Colonne8520</t>
  </si>
  <si>
    <t>Colonne8521</t>
  </si>
  <si>
    <t>Colonne8522</t>
  </si>
  <si>
    <t>Colonne8523</t>
  </si>
  <si>
    <t>Colonne8524</t>
  </si>
  <si>
    <t>Colonne8525</t>
  </si>
  <si>
    <t>Colonne8526</t>
  </si>
  <si>
    <t>Colonne8527</t>
  </si>
  <si>
    <t>Colonne8528</t>
  </si>
  <si>
    <t>Colonne8529</t>
  </si>
  <si>
    <t>Colonne8530</t>
  </si>
  <si>
    <t>Colonne8531</t>
  </si>
  <si>
    <t>Colonne8532</t>
  </si>
  <si>
    <t>Colonne8533</t>
  </si>
  <si>
    <t>Colonne8534</t>
  </si>
  <si>
    <t>Colonne8535</t>
  </si>
  <si>
    <t>Colonne8536</t>
  </si>
  <si>
    <t>Colonne8537</t>
  </si>
  <si>
    <t>Colonne8538</t>
  </si>
  <si>
    <t>Colonne8539</t>
  </si>
  <si>
    <t>Colonne8540</t>
  </si>
  <si>
    <t>Colonne8541</t>
  </si>
  <si>
    <t>Colonne8542</t>
  </si>
  <si>
    <t>Colonne8543</t>
  </si>
  <si>
    <t>Colonne8544</t>
  </si>
  <si>
    <t>Colonne8545</t>
  </si>
  <si>
    <t>Colonne8546</t>
  </si>
  <si>
    <t>Colonne8547</t>
  </si>
  <si>
    <t>Colonne8548</t>
  </si>
  <si>
    <t>Colonne8549</t>
  </si>
  <si>
    <t>Colonne8550</t>
  </si>
  <si>
    <t>Colonne8551</t>
  </si>
  <si>
    <t>Colonne8552</t>
  </si>
  <si>
    <t>Colonne8553</t>
  </si>
  <si>
    <t>Colonne8554</t>
  </si>
  <si>
    <t>Colonne8555</t>
  </si>
  <si>
    <t>Colonne8556</t>
  </si>
  <si>
    <t>Colonne8557</t>
  </si>
  <si>
    <t>Colonne8558</t>
  </si>
  <si>
    <t>Colonne8559</t>
  </si>
  <si>
    <t>Colonne8560</t>
  </si>
  <si>
    <t>Colonne8561</t>
  </si>
  <si>
    <t>Colonne8562</t>
  </si>
  <si>
    <t>Colonne8563</t>
  </si>
  <si>
    <t>Colonne8564</t>
  </si>
  <si>
    <t>Colonne8565</t>
  </si>
  <si>
    <t>Colonne8566</t>
  </si>
  <si>
    <t>Colonne8567</t>
  </si>
  <si>
    <t>Colonne8568</t>
  </si>
  <si>
    <t>Colonne8569</t>
  </si>
  <si>
    <t>Colonne8570</t>
  </si>
  <si>
    <t>Colonne8571</t>
  </si>
  <si>
    <t>Colonne8572</t>
  </si>
  <si>
    <t>Colonne8573</t>
  </si>
  <si>
    <t>Colonne8574</t>
  </si>
  <si>
    <t>Colonne8575</t>
  </si>
  <si>
    <t>Colonne8576</t>
  </si>
  <si>
    <t>Colonne8577</t>
  </si>
  <si>
    <t>Colonne8578</t>
  </si>
  <si>
    <t>Colonne8579</t>
  </si>
  <si>
    <t>Colonne8580</t>
  </si>
  <si>
    <t>Colonne8581</t>
  </si>
  <si>
    <t>Colonne8582</t>
  </si>
  <si>
    <t>Colonne8583</t>
  </si>
  <si>
    <t>Colonne8584</t>
  </si>
  <si>
    <t>Colonne8585</t>
  </si>
  <si>
    <t>Colonne8586</t>
  </si>
  <si>
    <t>Colonne8587</t>
  </si>
  <si>
    <t>Colonne8588</t>
  </si>
  <si>
    <t>Colonne8589</t>
  </si>
  <si>
    <t>Colonne8590</t>
  </si>
  <si>
    <t>Colonne8591</t>
  </si>
  <si>
    <t>Colonne8592</t>
  </si>
  <si>
    <t>Colonne8593</t>
  </si>
  <si>
    <t>Colonne8594</t>
  </si>
  <si>
    <t>Colonne8595</t>
  </si>
  <si>
    <t>Colonne8596</t>
  </si>
  <si>
    <t>Colonne8597</t>
  </si>
  <si>
    <t>Colonne8598</t>
  </si>
  <si>
    <t>Colonne8599</t>
  </si>
  <si>
    <t>Colonne8600</t>
  </si>
  <si>
    <t>Colonne8601</t>
  </si>
  <si>
    <t>Colonne8602</t>
  </si>
  <si>
    <t>Colonne8603</t>
  </si>
  <si>
    <t>Colonne8604</t>
  </si>
  <si>
    <t>Colonne8605</t>
  </si>
  <si>
    <t>Colonne8606</t>
  </si>
  <si>
    <t>Colonne8607</t>
  </si>
  <si>
    <t>Colonne8608</t>
  </si>
  <si>
    <t>Colonne8609</t>
  </si>
  <si>
    <t>Colonne8610</t>
  </si>
  <si>
    <t>Colonne8611</t>
  </si>
  <si>
    <t>Colonne8612</t>
  </si>
  <si>
    <t>Colonne8613</t>
  </si>
  <si>
    <t>Colonne8614</t>
  </si>
  <si>
    <t>Colonne8615</t>
  </si>
  <si>
    <t>Colonne8616</t>
  </si>
  <si>
    <t>Colonne8617</t>
  </si>
  <si>
    <t>Colonne8618</t>
  </si>
  <si>
    <t>Colonne8619</t>
  </si>
  <si>
    <t>Colonne8620</t>
  </si>
  <si>
    <t>Colonne8621</t>
  </si>
  <si>
    <t>Colonne8622</t>
  </si>
  <si>
    <t>Colonne8623</t>
  </si>
  <si>
    <t>Colonne8624</t>
  </si>
  <si>
    <t>Colonne8625</t>
  </si>
  <si>
    <t>Colonne8626</t>
  </si>
  <si>
    <t>Colonne8627</t>
  </si>
  <si>
    <t>Colonne8628</t>
  </si>
  <si>
    <t>Colonne8629</t>
  </si>
  <si>
    <t>Colonne8630</t>
  </si>
  <si>
    <t>Colonne8631</t>
  </si>
  <si>
    <t>Colonne8632</t>
  </si>
  <si>
    <t>Colonne8633</t>
  </si>
  <si>
    <t>Colonne8634</t>
  </si>
  <si>
    <t>Colonne8635</t>
  </si>
  <si>
    <t>Colonne8636</t>
  </si>
  <si>
    <t>Colonne8637</t>
  </si>
  <si>
    <t>Colonne8638</t>
  </si>
  <si>
    <t>Colonne8639</t>
  </si>
  <si>
    <t>Colonne8640</t>
  </si>
  <si>
    <t>Colonne8641</t>
  </si>
  <si>
    <t>Colonne8642</t>
  </si>
  <si>
    <t>Colonne8643</t>
  </si>
  <si>
    <t>Colonne8644</t>
  </si>
  <si>
    <t>Colonne8645</t>
  </si>
  <si>
    <t>Colonne8646</t>
  </si>
  <si>
    <t>Colonne8647</t>
  </si>
  <si>
    <t>Colonne8648</t>
  </si>
  <si>
    <t>Colonne8649</t>
  </si>
  <si>
    <t>Colonne8650</t>
  </si>
  <si>
    <t>Colonne8651</t>
  </si>
  <si>
    <t>Colonne8652</t>
  </si>
  <si>
    <t>Colonne8653</t>
  </si>
  <si>
    <t>Colonne8654</t>
  </si>
  <si>
    <t>Colonne8655</t>
  </si>
  <si>
    <t>Colonne8656</t>
  </si>
  <si>
    <t>Colonne8657</t>
  </si>
  <si>
    <t>Colonne8658</t>
  </si>
  <si>
    <t>Colonne8659</t>
  </si>
  <si>
    <t>Colonne8660</t>
  </si>
  <si>
    <t>Colonne8661</t>
  </si>
  <si>
    <t>Colonne8662</t>
  </si>
  <si>
    <t>Colonne8663</t>
  </si>
  <si>
    <t>Colonne8664</t>
  </si>
  <si>
    <t>Colonne8665</t>
  </si>
  <si>
    <t>Colonne8666</t>
  </si>
  <si>
    <t>Colonne8667</t>
  </si>
  <si>
    <t>Colonne8668</t>
  </si>
  <si>
    <t>Colonne8669</t>
  </si>
  <si>
    <t>Colonne8670</t>
  </si>
  <si>
    <t>Colonne8671</t>
  </si>
  <si>
    <t>Colonne8672</t>
  </si>
  <si>
    <t>Colonne8673</t>
  </si>
  <si>
    <t>Colonne8674</t>
  </si>
  <si>
    <t>Colonne8675</t>
  </si>
  <si>
    <t>Colonne8676</t>
  </si>
  <si>
    <t>Colonne8677</t>
  </si>
  <si>
    <t>Colonne8678</t>
  </si>
  <si>
    <t>Colonne8679</t>
  </si>
  <si>
    <t>Colonne8680</t>
  </si>
  <si>
    <t>Colonne8681</t>
  </si>
  <si>
    <t>Colonne8682</t>
  </si>
  <si>
    <t>Colonne8683</t>
  </si>
  <si>
    <t>Colonne8684</t>
  </si>
  <si>
    <t>Colonne8685</t>
  </si>
  <si>
    <t>Colonne8686</t>
  </si>
  <si>
    <t>Colonne8687</t>
  </si>
  <si>
    <t>Colonne8688</t>
  </si>
  <si>
    <t>Colonne8689</t>
  </si>
  <si>
    <t>Colonne8690</t>
  </si>
  <si>
    <t>Colonne8691</t>
  </si>
  <si>
    <t>Colonne8692</t>
  </si>
  <si>
    <t>Colonne8693</t>
  </si>
  <si>
    <t>Colonne8694</t>
  </si>
  <si>
    <t>Colonne8695</t>
  </si>
  <si>
    <t>Colonne8696</t>
  </si>
  <si>
    <t>Colonne8697</t>
  </si>
  <si>
    <t>Colonne8698</t>
  </si>
  <si>
    <t>Colonne8699</t>
  </si>
  <si>
    <t>Colonne8700</t>
  </si>
  <si>
    <t>Colonne8701</t>
  </si>
  <si>
    <t>Colonne8702</t>
  </si>
  <si>
    <t>Colonne8703</t>
  </si>
  <si>
    <t>Colonne8704</t>
  </si>
  <si>
    <t>Colonne8705</t>
  </si>
  <si>
    <t>Colonne8706</t>
  </si>
  <si>
    <t>Colonne8707</t>
  </si>
  <si>
    <t>Colonne8708</t>
  </si>
  <si>
    <t>Colonne8709</t>
  </si>
  <si>
    <t>Colonne8710</t>
  </si>
  <si>
    <t>Colonne8711</t>
  </si>
  <si>
    <t>Colonne8712</t>
  </si>
  <si>
    <t>Colonne8713</t>
  </si>
  <si>
    <t>Colonne8714</t>
  </si>
  <si>
    <t>Colonne8715</t>
  </si>
  <si>
    <t>Colonne8716</t>
  </si>
  <si>
    <t>Colonne8717</t>
  </si>
  <si>
    <t>Colonne8718</t>
  </si>
  <si>
    <t>Colonne8719</t>
  </si>
  <si>
    <t>Colonne8720</t>
  </si>
  <si>
    <t>Colonne8721</t>
  </si>
  <si>
    <t>Colonne8722</t>
  </si>
  <si>
    <t>Colonne8723</t>
  </si>
  <si>
    <t>Colonne8724</t>
  </si>
  <si>
    <t>Colonne8725</t>
  </si>
  <si>
    <t>Colonne8726</t>
  </si>
  <si>
    <t>Colonne8727</t>
  </si>
  <si>
    <t>Colonne8728</t>
  </si>
  <si>
    <t>Colonne8729</t>
  </si>
  <si>
    <t>Colonne8730</t>
  </si>
  <si>
    <t>Colonne8731</t>
  </si>
  <si>
    <t>Colonne8732</t>
  </si>
  <si>
    <t>Colonne8733</t>
  </si>
  <si>
    <t>Colonne8734</t>
  </si>
  <si>
    <t>Colonne8735</t>
  </si>
  <si>
    <t>Colonne8736</t>
  </si>
  <si>
    <t>Colonne8737</t>
  </si>
  <si>
    <t>Colonne8738</t>
  </si>
  <si>
    <t>Colonne8739</t>
  </si>
  <si>
    <t>Colonne8740</t>
  </si>
  <si>
    <t>Colonne8741</t>
  </si>
  <si>
    <t>Colonne8742</t>
  </si>
  <si>
    <t>Colonne8743</t>
  </si>
  <si>
    <t>Colonne8744</t>
  </si>
  <si>
    <t>Colonne8745</t>
  </si>
  <si>
    <t>Colonne8746</t>
  </si>
  <si>
    <t>Colonne8747</t>
  </si>
  <si>
    <t>Colonne8748</t>
  </si>
  <si>
    <t>Colonne8749</t>
  </si>
  <si>
    <t>Colonne8750</t>
  </si>
  <si>
    <t>Colonne8751</t>
  </si>
  <si>
    <t>Colonne8752</t>
  </si>
  <si>
    <t>Colonne8753</t>
  </si>
  <si>
    <t>Colonne8754</t>
  </si>
  <si>
    <t>Colonne8755</t>
  </si>
  <si>
    <t>Colonne8756</t>
  </si>
  <si>
    <t>Colonne8757</t>
  </si>
  <si>
    <t>Colonne8758</t>
  </si>
  <si>
    <t>Colonne8759</t>
  </si>
  <si>
    <t>Colonne8760</t>
  </si>
  <si>
    <t>Colonne8761</t>
  </si>
  <si>
    <t>Colonne8762</t>
  </si>
  <si>
    <t>Colonne8763</t>
  </si>
  <si>
    <t>Colonne8764</t>
  </si>
  <si>
    <t>Colonne8765</t>
  </si>
  <si>
    <t>Colonne8766</t>
  </si>
  <si>
    <t>Colonne8767</t>
  </si>
  <si>
    <t>Colonne8768</t>
  </si>
  <si>
    <t>Colonne8769</t>
  </si>
  <si>
    <t>Colonne8770</t>
  </si>
  <si>
    <t>Colonne8771</t>
  </si>
  <si>
    <t>Colonne8772</t>
  </si>
  <si>
    <t>Colonne8773</t>
  </si>
  <si>
    <t>Colonne8774</t>
  </si>
  <si>
    <t>Colonne8775</t>
  </si>
  <si>
    <t>Colonne8776</t>
  </si>
  <si>
    <t>Colonne8777</t>
  </si>
  <si>
    <t>Colonne8778</t>
  </si>
  <si>
    <t>Colonne8779</t>
  </si>
  <si>
    <t>Colonne8780</t>
  </si>
  <si>
    <t>Colonne8781</t>
  </si>
  <si>
    <t>Colonne8782</t>
  </si>
  <si>
    <t>Colonne8783</t>
  </si>
  <si>
    <t>Colonne8784</t>
  </si>
  <si>
    <t>Colonne8785</t>
  </si>
  <si>
    <t>Colonne8786</t>
  </si>
  <si>
    <t>Colonne8787</t>
  </si>
  <si>
    <t>Colonne8788</t>
  </si>
  <si>
    <t>Colonne8789</t>
  </si>
  <si>
    <t>Colonne8790</t>
  </si>
  <si>
    <t>Colonne8791</t>
  </si>
  <si>
    <t>Colonne8792</t>
  </si>
  <si>
    <t>Colonne8793</t>
  </si>
  <si>
    <t>Colonne8794</t>
  </si>
  <si>
    <t>Colonne8795</t>
  </si>
  <si>
    <t>Colonne8796</t>
  </si>
  <si>
    <t>Colonne8797</t>
  </si>
  <si>
    <t>Colonne8798</t>
  </si>
  <si>
    <t>Colonne8799</t>
  </si>
  <si>
    <t>Colonne8800</t>
  </si>
  <si>
    <t>Colonne8801</t>
  </si>
  <si>
    <t>Colonne8802</t>
  </si>
  <si>
    <t>Colonne8803</t>
  </si>
  <si>
    <t>Colonne8804</t>
  </si>
  <si>
    <t>Colonne8805</t>
  </si>
  <si>
    <t>Colonne8806</t>
  </si>
  <si>
    <t>Colonne8807</t>
  </si>
  <si>
    <t>Colonne8808</t>
  </si>
  <si>
    <t>Colonne8809</t>
  </si>
  <si>
    <t>Colonne8810</t>
  </si>
  <si>
    <t>Colonne8811</t>
  </si>
  <si>
    <t>Colonne8812</t>
  </si>
  <si>
    <t>Colonne8813</t>
  </si>
  <si>
    <t>Colonne8814</t>
  </si>
  <si>
    <t>Colonne8815</t>
  </si>
  <si>
    <t>Colonne8816</t>
  </si>
  <si>
    <t>Colonne8817</t>
  </si>
  <si>
    <t>Colonne8818</t>
  </si>
  <si>
    <t>Colonne8819</t>
  </si>
  <si>
    <t>Colonne8820</t>
  </si>
  <si>
    <t>Colonne8821</t>
  </si>
  <si>
    <t>Colonne8822</t>
  </si>
  <si>
    <t>Colonne8823</t>
  </si>
  <si>
    <t>Colonne8824</t>
  </si>
  <si>
    <t>Colonne8825</t>
  </si>
  <si>
    <t>Colonne8826</t>
  </si>
  <si>
    <t>Colonne8827</t>
  </si>
  <si>
    <t>Colonne8828</t>
  </si>
  <si>
    <t>Colonne8829</t>
  </si>
  <si>
    <t>Colonne8830</t>
  </si>
  <si>
    <t>Colonne8831</t>
  </si>
  <si>
    <t>Colonne8832</t>
  </si>
  <si>
    <t>Colonne8833</t>
  </si>
  <si>
    <t>Colonne8834</t>
  </si>
  <si>
    <t>Colonne8835</t>
  </si>
  <si>
    <t>Colonne8836</t>
  </si>
  <si>
    <t>Colonne8837</t>
  </si>
  <si>
    <t>Colonne8838</t>
  </si>
  <si>
    <t>Colonne8839</t>
  </si>
  <si>
    <t>Colonne8840</t>
  </si>
  <si>
    <t>Colonne8841</t>
  </si>
  <si>
    <t>Colonne8842</t>
  </si>
  <si>
    <t>Colonne8843</t>
  </si>
  <si>
    <t>Colonne8844</t>
  </si>
  <si>
    <t>Colonne8845</t>
  </si>
  <si>
    <t>Colonne8846</t>
  </si>
  <si>
    <t>Colonne8847</t>
  </si>
  <si>
    <t>Colonne8848</t>
  </si>
  <si>
    <t>Colonne8849</t>
  </si>
  <si>
    <t>Colonne8850</t>
  </si>
  <si>
    <t>Colonne8851</t>
  </si>
  <si>
    <t>Colonne8852</t>
  </si>
  <si>
    <t>Colonne8853</t>
  </si>
  <si>
    <t>Colonne8854</t>
  </si>
  <si>
    <t>Colonne8855</t>
  </si>
  <si>
    <t>Colonne8856</t>
  </si>
  <si>
    <t>Colonne8857</t>
  </si>
  <si>
    <t>Colonne8858</t>
  </si>
  <si>
    <t>Colonne8859</t>
  </si>
  <si>
    <t>Colonne8860</t>
  </si>
  <si>
    <t>Colonne8861</t>
  </si>
  <si>
    <t>Colonne8862</t>
  </si>
  <si>
    <t>Colonne8863</t>
  </si>
  <si>
    <t>Colonne8864</t>
  </si>
  <si>
    <t>Colonne8865</t>
  </si>
  <si>
    <t>Colonne8866</t>
  </si>
  <si>
    <t>Colonne8867</t>
  </si>
  <si>
    <t>Colonne8868</t>
  </si>
  <si>
    <t>Colonne8869</t>
  </si>
  <si>
    <t>Colonne8870</t>
  </si>
  <si>
    <t>Colonne8871</t>
  </si>
  <si>
    <t>Colonne8872</t>
  </si>
  <si>
    <t>Colonne8873</t>
  </si>
  <si>
    <t>Colonne8874</t>
  </si>
  <si>
    <t>Colonne8875</t>
  </si>
  <si>
    <t>Colonne8876</t>
  </si>
  <si>
    <t>Colonne8877</t>
  </si>
  <si>
    <t>Colonne8878</t>
  </si>
  <si>
    <t>Colonne8879</t>
  </si>
  <si>
    <t>Colonne8880</t>
  </si>
  <si>
    <t>Colonne8881</t>
  </si>
  <si>
    <t>Colonne8882</t>
  </si>
  <si>
    <t>Colonne8883</t>
  </si>
  <si>
    <t>Colonne8884</t>
  </si>
  <si>
    <t>Colonne8885</t>
  </si>
  <si>
    <t>Colonne8886</t>
  </si>
  <si>
    <t>Colonne8887</t>
  </si>
  <si>
    <t>Colonne8888</t>
  </si>
  <si>
    <t>Colonne8889</t>
  </si>
  <si>
    <t>Colonne8890</t>
  </si>
  <si>
    <t>Colonne8891</t>
  </si>
  <si>
    <t>Colonne8892</t>
  </si>
  <si>
    <t>Colonne8893</t>
  </si>
  <si>
    <t>Colonne8894</t>
  </si>
  <si>
    <t>Colonne8895</t>
  </si>
  <si>
    <t>Colonne8896</t>
  </si>
  <si>
    <t>Colonne8897</t>
  </si>
  <si>
    <t>Colonne8898</t>
  </si>
  <si>
    <t>Colonne8899</t>
  </si>
  <si>
    <t>Colonne8900</t>
  </si>
  <si>
    <t>Colonne8901</t>
  </si>
  <si>
    <t>Colonne8902</t>
  </si>
  <si>
    <t>Colonne8903</t>
  </si>
  <si>
    <t>Colonne8904</t>
  </si>
  <si>
    <t>Colonne8905</t>
  </si>
  <si>
    <t>Colonne8906</t>
  </si>
  <si>
    <t>Colonne8907</t>
  </si>
  <si>
    <t>Colonne8908</t>
  </si>
  <si>
    <t>Colonne8909</t>
  </si>
  <si>
    <t>Colonne8910</t>
  </si>
  <si>
    <t>Colonne8911</t>
  </si>
  <si>
    <t>Colonne8912</t>
  </si>
  <si>
    <t>Colonne8913</t>
  </si>
  <si>
    <t>Colonne8914</t>
  </si>
  <si>
    <t>Colonne8915</t>
  </si>
  <si>
    <t>Colonne8916</t>
  </si>
  <si>
    <t>Colonne8917</t>
  </si>
  <si>
    <t>Colonne8918</t>
  </si>
  <si>
    <t>Colonne8919</t>
  </si>
  <si>
    <t>Colonne8920</t>
  </si>
  <si>
    <t>Colonne8921</t>
  </si>
  <si>
    <t>Colonne8922</t>
  </si>
  <si>
    <t>Colonne8923</t>
  </si>
  <si>
    <t>Colonne8924</t>
  </si>
  <si>
    <t>Colonne8925</t>
  </si>
  <si>
    <t>Colonne8926</t>
  </si>
  <si>
    <t>Colonne8927</t>
  </si>
  <si>
    <t>Colonne8928</t>
  </si>
  <si>
    <t>Colonne8929</t>
  </si>
  <si>
    <t>Colonne8930</t>
  </si>
  <si>
    <t>Colonne8931</t>
  </si>
  <si>
    <t>Colonne8932</t>
  </si>
  <si>
    <t>Colonne8933</t>
  </si>
  <si>
    <t>Colonne8934</t>
  </si>
  <si>
    <t>Colonne8935</t>
  </si>
  <si>
    <t>Colonne8936</t>
  </si>
  <si>
    <t>Colonne8937</t>
  </si>
  <si>
    <t>Colonne8938</t>
  </si>
  <si>
    <t>Colonne8939</t>
  </si>
  <si>
    <t>Colonne8940</t>
  </si>
  <si>
    <t>Colonne8941</t>
  </si>
  <si>
    <t>Colonne8942</t>
  </si>
  <si>
    <t>Colonne8943</t>
  </si>
  <si>
    <t>Colonne8944</t>
  </si>
  <si>
    <t>Colonne8945</t>
  </si>
  <si>
    <t>Colonne8946</t>
  </si>
  <si>
    <t>Colonne8947</t>
  </si>
  <si>
    <t>Colonne8948</t>
  </si>
  <si>
    <t>Colonne8949</t>
  </si>
  <si>
    <t>Colonne8950</t>
  </si>
  <si>
    <t>Colonne8951</t>
  </si>
  <si>
    <t>Colonne8952</t>
  </si>
  <si>
    <t>Colonne8953</t>
  </si>
  <si>
    <t>Colonne8954</t>
  </si>
  <si>
    <t>Colonne8955</t>
  </si>
  <si>
    <t>Colonne8956</t>
  </si>
  <si>
    <t>Colonne8957</t>
  </si>
  <si>
    <t>Colonne8958</t>
  </si>
  <si>
    <t>Colonne8959</t>
  </si>
  <si>
    <t>Colonne8960</t>
  </si>
  <si>
    <t>Colonne8961</t>
  </si>
  <si>
    <t>Colonne8962</t>
  </si>
  <si>
    <t>Colonne8963</t>
  </si>
  <si>
    <t>Colonne8964</t>
  </si>
  <si>
    <t>Colonne8965</t>
  </si>
  <si>
    <t>Colonne8966</t>
  </si>
  <si>
    <t>Colonne8967</t>
  </si>
  <si>
    <t>Colonne8968</t>
  </si>
  <si>
    <t>Colonne8969</t>
  </si>
  <si>
    <t>Colonne8970</t>
  </si>
  <si>
    <t>Colonne8971</t>
  </si>
  <si>
    <t>Colonne8972</t>
  </si>
  <si>
    <t>Colonne8973</t>
  </si>
  <si>
    <t>Colonne8974</t>
  </si>
  <si>
    <t>Colonne8975</t>
  </si>
  <si>
    <t>Colonne8976</t>
  </si>
  <si>
    <t>Colonne8977</t>
  </si>
  <si>
    <t>Colonne8978</t>
  </si>
  <si>
    <t>Colonne8979</t>
  </si>
  <si>
    <t>Colonne8980</t>
  </si>
  <si>
    <t>Colonne8981</t>
  </si>
  <si>
    <t>Colonne8982</t>
  </si>
  <si>
    <t>Colonne8983</t>
  </si>
  <si>
    <t>Colonne8984</t>
  </si>
  <si>
    <t>Colonne8985</t>
  </si>
  <si>
    <t>Colonne8986</t>
  </si>
  <si>
    <t>Colonne8987</t>
  </si>
  <si>
    <t>Colonne8988</t>
  </si>
  <si>
    <t>Colonne8989</t>
  </si>
  <si>
    <t>Colonne8990</t>
  </si>
  <si>
    <t>Colonne8991</t>
  </si>
  <si>
    <t>Colonne8992</t>
  </si>
  <si>
    <t>Colonne8993</t>
  </si>
  <si>
    <t>Colonne8994</t>
  </si>
  <si>
    <t>Colonne8995</t>
  </si>
  <si>
    <t>Colonne8996</t>
  </si>
  <si>
    <t>Colonne8997</t>
  </si>
  <si>
    <t>Colonne8998</t>
  </si>
  <si>
    <t>Colonne8999</t>
  </si>
  <si>
    <t>Colonne9000</t>
  </si>
  <si>
    <t>Colonne9001</t>
  </si>
  <si>
    <t>Colonne9002</t>
  </si>
  <si>
    <t>Colonne9003</t>
  </si>
  <si>
    <t>Colonne9004</t>
  </si>
  <si>
    <t>Colonne9005</t>
  </si>
  <si>
    <t>Colonne9006</t>
  </si>
  <si>
    <t>Colonne9007</t>
  </si>
  <si>
    <t>Colonne9008</t>
  </si>
  <si>
    <t>Colonne9009</t>
  </si>
  <si>
    <t>Colonne9010</t>
  </si>
  <si>
    <t>Colonne9011</t>
  </si>
  <si>
    <t>Colonne9012</t>
  </si>
  <si>
    <t>Colonne9013</t>
  </si>
  <si>
    <t>Colonne9014</t>
  </si>
  <si>
    <t>Colonne9015</t>
  </si>
  <si>
    <t>Colonne9016</t>
  </si>
  <si>
    <t>Colonne9017</t>
  </si>
  <si>
    <t>Colonne9018</t>
  </si>
  <si>
    <t>Colonne9019</t>
  </si>
  <si>
    <t>Colonne9020</t>
  </si>
  <si>
    <t>Colonne9021</t>
  </si>
  <si>
    <t>Colonne9022</t>
  </si>
  <si>
    <t>Colonne9023</t>
  </si>
  <si>
    <t>Colonne9024</t>
  </si>
  <si>
    <t>Colonne9025</t>
  </si>
  <si>
    <t>Colonne9026</t>
  </si>
  <si>
    <t>Colonne9027</t>
  </si>
  <si>
    <t>Colonne9028</t>
  </si>
  <si>
    <t>Colonne9029</t>
  </si>
  <si>
    <t>Colonne9030</t>
  </si>
  <si>
    <t>Colonne9031</t>
  </si>
  <si>
    <t>Colonne9032</t>
  </si>
  <si>
    <t>Colonne9033</t>
  </si>
  <si>
    <t>Colonne9034</t>
  </si>
  <si>
    <t>Colonne9035</t>
  </si>
  <si>
    <t>Colonne9036</t>
  </si>
  <si>
    <t>Colonne9037</t>
  </si>
  <si>
    <t>Colonne9038</t>
  </si>
  <si>
    <t>Colonne9039</t>
  </si>
  <si>
    <t>Colonne9040</t>
  </si>
  <si>
    <t>Colonne9041</t>
  </si>
  <si>
    <t>Colonne9042</t>
  </si>
  <si>
    <t>Colonne9043</t>
  </si>
  <si>
    <t>Colonne9044</t>
  </si>
  <si>
    <t>Colonne9045</t>
  </si>
  <si>
    <t>Colonne9046</t>
  </si>
  <si>
    <t>Colonne9047</t>
  </si>
  <si>
    <t>Colonne9048</t>
  </si>
  <si>
    <t>Colonne9049</t>
  </si>
  <si>
    <t>Colonne9050</t>
  </si>
  <si>
    <t>Colonne9051</t>
  </si>
  <si>
    <t>Colonne9052</t>
  </si>
  <si>
    <t>Colonne9053</t>
  </si>
  <si>
    <t>Colonne9054</t>
  </si>
  <si>
    <t>Colonne9055</t>
  </si>
  <si>
    <t>Colonne9056</t>
  </si>
  <si>
    <t>Colonne9057</t>
  </si>
  <si>
    <t>Colonne9058</t>
  </si>
  <si>
    <t>Colonne9059</t>
  </si>
  <si>
    <t>Colonne9060</t>
  </si>
  <si>
    <t>Colonne9061</t>
  </si>
  <si>
    <t>Colonne9062</t>
  </si>
  <si>
    <t>Colonne9063</t>
  </si>
  <si>
    <t>Colonne9064</t>
  </si>
  <si>
    <t>Colonne9065</t>
  </si>
  <si>
    <t>Colonne9066</t>
  </si>
  <si>
    <t>Colonne9067</t>
  </si>
  <si>
    <t>Colonne9068</t>
  </si>
  <si>
    <t>Colonne9069</t>
  </si>
  <si>
    <t>Colonne9070</t>
  </si>
  <si>
    <t>Colonne9071</t>
  </si>
  <si>
    <t>Colonne9072</t>
  </si>
  <si>
    <t>Colonne9073</t>
  </si>
  <si>
    <t>Colonne9074</t>
  </si>
  <si>
    <t>Colonne9075</t>
  </si>
  <si>
    <t>Colonne9076</t>
  </si>
  <si>
    <t>Colonne9077</t>
  </si>
  <si>
    <t>Colonne9078</t>
  </si>
  <si>
    <t>Colonne9079</t>
  </si>
  <si>
    <t>Colonne9080</t>
  </si>
  <si>
    <t>Colonne9081</t>
  </si>
  <si>
    <t>Colonne9082</t>
  </si>
  <si>
    <t>Colonne9083</t>
  </si>
  <si>
    <t>Colonne9084</t>
  </si>
  <si>
    <t>Colonne9085</t>
  </si>
  <si>
    <t>Colonne9086</t>
  </si>
  <si>
    <t>Colonne9087</t>
  </si>
  <si>
    <t>Colonne9088</t>
  </si>
  <si>
    <t>Colonne9089</t>
  </si>
  <si>
    <t>Colonne9090</t>
  </si>
  <si>
    <t>Colonne9091</t>
  </si>
  <si>
    <t>Colonne9092</t>
  </si>
  <si>
    <t>Colonne9093</t>
  </si>
  <si>
    <t>Colonne9094</t>
  </si>
  <si>
    <t>Colonne9095</t>
  </si>
  <si>
    <t>Colonne9096</t>
  </si>
  <si>
    <t>Colonne9097</t>
  </si>
  <si>
    <t>Colonne9098</t>
  </si>
  <si>
    <t>Colonne9099</t>
  </si>
  <si>
    <t>Colonne9100</t>
  </si>
  <si>
    <t>Colonne9101</t>
  </si>
  <si>
    <t>Colonne9102</t>
  </si>
  <si>
    <t>Colonne9103</t>
  </si>
  <si>
    <t>Colonne9104</t>
  </si>
  <si>
    <t>Colonne9105</t>
  </si>
  <si>
    <t>Colonne9106</t>
  </si>
  <si>
    <t>Colonne9107</t>
  </si>
  <si>
    <t>Colonne9108</t>
  </si>
  <si>
    <t>Colonne9109</t>
  </si>
  <si>
    <t>Colonne9110</t>
  </si>
  <si>
    <t>Colonne9111</t>
  </si>
  <si>
    <t>Colonne9112</t>
  </si>
  <si>
    <t>Colonne9113</t>
  </si>
  <si>
    <t>Colonne9114</t>
  </si>
  <si>
    <t>Colonne9115</t>
  </si>
  <si>
    <t>Colonne9116</t>
  </si>
  <si>
    <t>Colonne9117</t>
  </si>
  <si>
    <t>Colonne9118</t>
  </si>
  <si>
    <t>Colonne9119</t>
  </si>
  <si>
    <t>Colonne9120</t>
  </si>
  <si>
    <t>Colonne9121</t>
  </si>
  <si>
    <t>Colonne9122</t>
  </si>
  <si>
    <t>Colonne9123</t>
  </si>
  <si>
    <t>Colonne9124</t>
  </si>
  <si>
    <t>Colonne9125</t>
  </si>
  <si>
    <t>Colonne9126</t>
  </si>
  <si>
    <t>Colonne9127</t>
  </si>
  <si>
    <t>Colonne9128</t>
  </si>
  <si>
    <t>Colonne9129</t>
  </si>
  <si>
    <t>Colonne9130</t>
  </si>
  <si>
    <t>Colonne9131</t>
  </si>
  <si>
    <t>Colonne9132</t>
  </si>
  <si>
    <t>Colonne9133</t>
  </si>
  <si>
    <t>Colonne9134</t>
  </si>
  <si>
    <t>Colonne9135</t>
  </si>
  <si>
    <t>Colonne9136</t>
  </si>
  <si>
    <t>Colonne9137</t>
  </si>
  <si>
    <t>Colonne9138</t>
  </si>
  <si>
    <t>Colonne9139</t>
  </si>
  <si>
    <t>Colonne9140</t>
  </si>
  <si>
    <t>Colonne9141</t>
  </si>
  <si>
    <t>Colonne9142</t>
  </si>
  <si>
    <t>Colonne9143</t>
  </si>
  <si>
    <t>Colonne9144</t>
  </si>
  <si>
    <t>Colonne9145</t>
  </si>
  <si>
    <t>Colonne9146</t>
  </si>
  <si>
    <t>Colonne9147</t>
  </si>
  <si>
    <t>Colonne9148</t>
  </si>
  <si>
    <t>Colonne9149</t>
  </si>
  <si>
    <t>Colonne9150</t>
  </si>
  <si>
    <t>Colonne9151</t>
  </si>
  <si>
    <t>Colonne9152</t>
  </si>
  <si>
    <t>Colonne9153</t>
  </si>
  <si>
    <t>Colonne9154</t>
  </si>
  <si>
    <t>Colonne9155</t>
  </si>
  <si>
    <t>Colonne9156</t>
  </si>
  <si>
    <t>Colonne9157</t>
  </si>
  <si>
    <t>Colonne9158</t>
  </si>
  <si>
    <t>Colonne9159</t>
  </si>
  <si>
    <t>Colonne9160</t>
  </si>
  <si>
    <t>Colonne9161</t>
  </si>
  <si>
    <t>Colonne9162</t>
  </si>
  <si>
    <t>Colonne9163</t>
  </si>
  <si>
    <t>Colonne9164</t>
  </si>
  <si>
    <t>Colonne9165</t>
  </si>
  <si>
    <t>Colonne9166</t>
  </si>
  <si>
    <t>Colonne9167</t>
  </si>
  <si>
    <t>Colonne9168</t>
  </si>
  <si>
    <t>Colonne9169</t>
  </si>
  <si>
    <t>Colonne9170</t>
  </si>
  <si>
    <t>Colonne9171</t>
  </si>
  <si>
    <t>Colonne9172</t>
  </si>
  <si>
    <t>Colonne9173</t>
  </si>
  <si>
    <t>Colonne9174</t>
  </si>
  <si>
    <t>Colonne9175</t>
  </si>
  <si>
    <t>Colonne9176</t>
  </si>
  <si>
    <t>Colonne9177</t>
  </si>
  <si>
    <t>Colonne9178</t>
  </si>
  <si>
    <t>Colonne9179</t>
  </si>
  <si>
    <t>Colonne9180</t>
  </si>
  <si>
    <t>Colonne9181</t>
  </si>
  <si>
    <t>Colonne9182</t>
  </si>
  <si>
    <t>Colonne9183</t>
  </si>
  <si>
    <t>Colonne9184</t>
  </si>
  <si>
    <t>Colonne9185</t>
  </si>
  <si>
    <t>Colonne9186</t>
  </si>
  <si>
    <t>Colonne9187</t>
  </si>
  <si>
    <t>Colonne9188</t>
  </si>
  <si>
    <t>Colonne9189</t>
  </si>
  <si>
    <t>Colonne9190</t>
  </si>
  <si>
    <t>Colonne9191</t>
  </si>
  <si>
    <t>Colonne9192</t>
  </si>
  <si>
    <t>Colonne9193</t>
  </si>
  <si>
    <t>Colonne9194</t>
  </si>
  <si>
    <t>Colonne9195</t>
  </si>
  <si>
    <t>Colonne9196</t>
  </si>
  <si>
    <t>Colonne9197</t>
  </si>
  <si>
    <t>Colonne9198</t>
  </si>
  <si>
    <t>Colonne9199</t>
  </si>
  <si>
    <t>Colonne9200</t>
  </si>
  <si>
    <t>Colonne9201</t>
  </si>
  <si>
    <t>Colonne9202</t>
  </si>
  <si>
    <t>Colonne9203</t>
  </si>
  <si>
    <t>Colonne9204</t>
  </si>
  <si>
    <t>Colonne9205</t>
  </si>
  <si>
    <t>Colonne9206</t>
  </si>
  <si>
    <t>Colonne9207</t>
  </si>
  <si>
    <t>Colonne9208</t>
  </si>
  <si>
    <t>Colonne9209</t>
  </si>
  <si>
    <t>Colonne9210</t>
  </si>
  <si>
    <t>Colonne9211</t>
  </si>
  <si>
    <t>Colonne9212</t>
  </si>
  <si>
    <t>Colonne9213</t>
  </si>
  <si>
    <t>Colonne9214</t>
  </si>
  <si>
    <t>Colonne9215</t>
  </si>
  <si>
    <t>Colonne9216</t>
  </si>
  <si>
    <t>Colonne9217</t>
  </si>
  <si>
    <t>Colonne9218</t>
  </si>
  <si>
    <t>Colonne9219</t>
  </si>
  <si>
    <t>Colonne9220</t>
  </si>
  <si>
    <t>Colonne9221</t>
  </si>
  <si>
    <t>Colonne9222</t>
  </si>
  <si>
    <t>Colonne9223</t>
  </si>
  <si>
    <t>Colonne9224</t>
  </si>
  <si>
    <t>Colonne9225</t>
  </si>
  <si>
    <t>Colonne9226</t>
  </si>
  <si>
    <t>Colonne9227</t>
  </si>
  <si>
    <t>Colonne9228</t>
  </si>
  <si>
    <t>Colonne9229</t>
  </si>
  <si>
    <t>Colonne9230</t>
  </si>
  <si>
    <t>Colonne9231</t>
  </si>
  <si>
    <t>Colonne9232</t>
  </si>
  <si>
    <t>Colonne9233</t>
  </si>
  <si>
    <t>Colonne9234</t>
  </si>
  <si>
    <t>Colonne9235</t>
  </si>
  <si>
    <t>Colonne9236</t>
  </si>
  <si>
    <t>Colonne9237</t>
  </si>
  <si>
    <t>Colonne9238</t>
  </si>
  <si>
    <t>Colonne9239</t>
  </si>
  <si>
    <t>Colonne9240</t>
  </si>
  <si>
    <t>Colonne9241</t>
  </si>
  <si>
    <t>Colonne9242</t>
  </si>
  <si>
    <t>Colonne9243</t>
  </si>
  <si>
    <t>Colonne9244</t>
  </si>
  <si>
    <t>Colonne9245</t>
  </si>
  <si>
    <t>Colonne9246</t>
  </si>
  <si>
    <t>Colonne9247</t>
  </si>
  <si>
    <t>Colonne9248</t>
  </si>
  <si>
    <t>Colonne9249</t>
  </si>
  <si>
    <t>Colonne9250</t>
  </si>
  <si>
    <t>Colonne9251</t>
  </si>
  <si>
    <t>Colonne9252</t>
  </si>
  <si>
    <t>Colonne9253</t>
  </si>
  <si>
    <t>Colonne9254</t>
  </si>
  <si>
    <t>Colonne9255</t>
  </si>
  <si>
    <t>Colonne9256</t>
  </si>
  <si>
    <t>Colonne9257</t>
  </si>
  <si>
    <t>Colonne9258</t>
  </si>
  <si>
    <t>Colonne9259</t>
  </si>
  <si>
    <t>Colonne9260</t>
  </si>
  <si>
    <t>Colonne9261</t>
  </si>
  <si>
    <t>Colonne9262</t>
  </si>
  <si>
    <t>Colonne9263</t>
  </si>
  <si>
    <t>Colonne9264</t>
  </si>
  <si>
    <t>Colonne9265</t>
  </si>
  <si>
    <t>Colonne9266</t>
  </si>
  <si>
    <t>Colonne9267</t>
  </si>
  <si>
    <t>Colonne9268</t>
  </si>
  <si>
    <t>Colonne9269</t>
  </si>
  <si>
    <t>Colonne9270</t>
  </si>
  <si>
    <t>Colonne9271</t>
  </si>
  <si>
    <t>Colonne9272</t>
  </si>
  <si>
    <t>Colonne9273</t>
  </si>
  <si>
    <t>Colonne9274</t>
  </si>
  <si>
    <t>Colonne9275</t>
  </si>
  <si>
    <t>Colonne9276</t>
  </si>
  <si>
    <t>Colonne9277</t>
  </si>
  <si>
    <t>Colonne9278</t>
  </si>
  <si>
    <t>Colonne9279</t>
  </si>
  <si>
    <t>Colonne9280</t>
  </si>
  <si>
    <t>Colonne9281</t>
  </si>
  <si>
    <t>Colonne9282</t>
  </si>
  <si>
    <t>Colonne9283</t>
  </si>
  <si>
    <t>Colonne9284</t>
  </si>
  <si>
    <t>Colonne9285</t>
  </si>
  <si>
    <t>Colonne9286</t>
  </si>
  <si>
    <t>Colonne9287</t>
  </si>
  <si>
    <t>Colonne9288</t>
  </si>
  <si>
    <t>Colonne9289</t>
  </si>
  <si>
    <t>Colonne9290</t>
  </si>
  <si>
    <t>Colonne9291</t>
  </si>
  <si>
    <t>Colonne9292</t>
  </si>
  <si>
    <t>Colonne9293</t>
  </si>
  <si>
    <t>Colonne9294</t>
  </si>
  <si>
    <t>Colonne9295</t>
  </si>
  <si>
    <t>Colonne9296</t>
  </si>
  <si>
    <t>Colonne9297</t>
  </si>
  <si>
    <t>Colonne9298</t>
  </si>
  <si>
    <t>Colonne9299</t>
  </si>
  <si>
    <t>Colonne9300</t>
  </si>
  <si>
    <t>Colonne9301</t>
  </si>
  <si>
    <t>Colonne9302</t>
  </si>
  <si>
    <t>Colonne9303</t>
  </si>
  <si>
    <t>Colonne9304</t>
  </si>
  <si>
    <t>Colonne9305</t>
  </si>
  <si>
    <t>Colonne9306</t>
  </si>
  <si>
    <t>Colonne9307</t>
  </si>
  <si>
    <t>Colonne9308</t>
  </si>
  <si>
    <t>Colonne9309</t>
  </si>
  <si>
    <t>Colonne9310</t>
  </si>
  <si>
    <t>Colonne9311</t>
  </si>
  <si>
    <t>Colonne9312</t>
  </si>
  <si>
    <t>Colonne9313</t>
  </si>
  <si>
    <t>Colonne9314</t>
  </si>
  <si>
    <t>Colonne9315</t>
  </si>
  <si>
    <t>Colonne9316</t>
  </si>
  <si>
    <t>Colonne9317</t>
  </si>
  <si>
    <t>Colonne9318</t>
  </si>
  <si>
    <t>Colonne9319</t>
  </si>
  <si>
    <t>Colonne9320</t>
  </si>
  <si>
    <t>Colonne9321</t>
  </si>
  <si>
    <t>Colonne9322</t>
  </si>
  <si>
    <t>Colonne9323</t>
  </si>
  <si>
    <t>Colonne9324</t>
  </si>
  <si>
    <t>Colonne9325</t>
  </si>
  <si>
    <t>Colonne9326</t>
  </si>
  <si>
    <t>Colonne9327</t>
  </si>
  <si>
    <t>Colonne9328</t>
  </si>
  <si>
    <t>Colonne9329</t>
  </si>
  <si>
    <t>Colonne9330</t>
  </si>
  <si>
    <t>Colonne9331</t>
  </si>
  <si>
    <t>Colonne9332</t>
  </si>
  <si>
    <t>Colonne9333</t>
  </si>
  <si>
    <t>Colonne9334</t>
  </si>
  <si>
    <t>Colonne9335</t>
  </si>
  <si>
    <t>Colonne9336</t>
  </si>
  <si>
    <t>Colonne9337</t>
  </si>
  <si>
    <t>Colonne9338</t>
  </si>
  <si>
    <t>Colonne9339</t>
  </si>
  <si>
    <t>Colonne9340</t>
  </si>
  <si>
    <t>Colonne9341</t>
  </si>
  <si>
    <t>Colonne9342</t>
  </si>
  <si>
    <t>Colonne9343</t>
  </si>
  <si>
    <t>Colonne9344</t>
  </si>
  <si>
    <t>Colonne9345</t>
  </si>
  <si>
    <t>Colonne9346</t>
  </si>
  <si>
    <t>Colonne9347</t>
  </si>
  <si>
    <t>Colonne9348</t>
  </si>
  <si>
    <t>Colonne9349</t>
  </si>
  <si>
    <t>Colonne9350</t>
  </si>
  <si>
    <t>Colonne9351</t>
  </si>
  <si>
    <t>Colonne9352</t>
  </si>
  <si>
    <t>Colonne9353</t>
  </si>
  <si>
    <t>Colonne9354</t>
  </si>
  <si>
    <t>Colonne9355</t>
  </si>
  <si>
    <t>Colonne9356</t>
  </si>
  <si>
    <t>Colonne9357</t>
  </si>
  <si>
    <t>Colonne9358</t>
  </si>
  <si>
    <t>Colonne9359</t>
  </si>
  <si>
    <t>Colonne9360</t>
  </si>
  <si>
    <t>Colonne9361</t>
  </si>
  <si>
    <t>Colonne9362</t>
  </si>
  <si>
    <t>Colonne9363</t>
  </si>
  <si>
    <t>Colonne9364</t>
  </si>
  <si>
    <t>Colonne9365</t>
  </si>
  <si>
    <t>Colonne9366</t>
  </si>
  <si>
    <t>Colonne9367</t>
  </si>
  <si>
    <t>Colonne9368</t>
  </si>
  <si>
    <t>Colonne9369</t>
  </si>
  <si>
    <t>Colonne9370</t>
  </si>
  <si>
    <t>Colonne9371</t>
  </si>
  <si>
    <t>Colonne9372</t>
  </si>
  <si>
    <t>Colonne9373</t>
  </si>
  <si>
    <t>Colonne9374</t>
  </si>
  <si>
    <t>Colonne9375</t>
  </si>
  <si>
    <t>Colonne9376</t>
  </si>
  <si>
    <t>Colonne9377</t>
  </si>
  <si>
    <t>Colonne9378</t>
  </si>
  <si>
    <t>Colonne9379</t>
  </si>
  <si>
    <t>Colonne9380</t>
  </si>
  <si>
    <t>Colonne9381</t>
  </si>
  <si>
    <t>Colonne9382</t>
  </si>
  <si>
    <t>Colonne9383</t>
  </si>
  <si>
    <t>Colonne9384</t>
  </si>
  <si>
    <t>Colonne9385</t>
  </si>
  <si>
    <t>Colonne9386</t>
  </si>
  <si>
    <t>Colonne9387</t>
  </si>
  <si>
    <t>Colonne9388</t>
  </si>
  <si>
    <t>Colonne9389</t>
  </si>
  <si>
    <t>Colonne9390</t>
  </si>
  <si>
    <t>Colonne9391</t>
  </si>
  <si>
    <t>Colonne9392</t>
  </si>
  <si>
    <t>Colonne9393</t>
  </si>
  <si>
    <t>Colonne9394</t>
  </si>
  <si>
    <t>Colonne9395</t>
  </si>
  <si>
    <t>Colonne9396</t>
  </si>
  <si>
    <t>Colonne9397</t>
  </si>
  <si>
    <t>Colonne9398</t>
  </si>
  <si>
    <t>Colonne9399</t>
  </si>
  <si>
    <t>Colonne9400</t>
  </si>
  <si>
    <t>Colonne9401</t>
  </si>
  <si>
    <t>Colonne9402</t>
  </si>
  <si>
    <t>Colonne9403</t>
  </si>
  <si>
    <t>Colonne9404</t>
  </si>
  <si>
    <t>Colonne9405</t>
  </si>
  <si>
    <t>Colonne9406</t>
  </si>
  <si>
    <t>Colonne9407</t>
  </si>
  <si>
    <t>Colonne9408</t>
  </si>
  <si>
    <t>Colonne9409</t>
  </si>
  <si>
    <t>Colonne9410</t>
  </si>
  <si>
    <t>Colonne9411</t>
  </si>
  <si>
    <t>Colonne9412</t>
  </si>
  <si>
    <t>Colonne9413</t>
  </si>
  <si>
    <t>Colonne9414</t>
  </si>
  <si>
    <t>Colonne9415</t>
  </si>
  <si>
    <t>Colonne9416</t>
  </si>
  <si>
    <t>Colonne9417</t>
  </si>
  <si>
    <t>Colonne9418</t>
  </si>
  <si>
    <t>Colonne9419</t>
  </si>
  <si>
    <t>Colonne9420</t>
  </si>
  <si>
    <t>Colonne9421</t>
  </si>
  <si>
    <t>Colonne9422</t>
  </si>
  <si>
    <t>Colonne9423</t>
  </si>
  <si>
    <t>Colonne9424</t>
  </si>
  <si>
    <t>Colonne9425</t>
  </si>
  <si>
    <t>Colonne9426</t>
  </si>
  <si>
    <t>Colonne9427</t>
  </si>
  <si>
    <t>Colonne9428</t>
  </si>
  <si>
    <t>Colonne9429</t>
  </si>
  <si>
    <t>Colonne9430</t>
  </si>
  <si>
    <t>Colonne9431</t>
  </si>
  <si>
    <t>Colonne9432</t>
  </si>
  <si>
    <t>Colonne9433</t>
  </si>
  <si>
    <t>Colonne9434</t>
  </si>
  <si>
    <t>Colonne9435</t>
  </si>
  <si>
    <t>Colonne9436</t>
  </si>
  <si>
    <t>Colonne9437</t>
  </si>
  <si>
    <t>Colonne9438</t>
  </si>
  <si>
    <t>Colonne9439</t>
  </si>
  <si>
    <t>Colonne9440</t>
  </si>
  <si>
    <t>Colonne9441</t>
  </si>
  <si>
    <t>Colonne9442</t>
  </si>
  <si>
    <t>Colonne9443</t>
  </si>
  <si>
    <t>Colonne9444</t>
  </si>
  <si>
    <t>Colonne9445</t>
  </si>
  <si>
    <t>Colonne9446</t>
  </si>
  <si>
    <t>Colonne9447</t>
  </si>
  <si>
    <t>Colonne9448</t>
  </si>
  <si>
    <t>Colonne9449</t>
  </si>
  <si>
    <t>Colonne9450</t>
  </si>
  <si>
    <t>Colonne9451</t>
  </si>
  <si>
    <t>Colonne9452</t>
  </si>
  <si>
    <t>Colonne9453</t>
  </si>
  <si>
    <t>Colonne9454</t>
  </si>
  <si>
    <t>Colonne9455</t>
  </si>
  <si>
    <t>Colonne9456</t>
  </si>
  <si>
    <t>Colonne9457</t>
  </si>
  <si>
    <t>Colonne9458</t>
  </si>
  <si>
    <t>Colonne9459</t>
  </si>
  <si>
    <t>Colonne9460</t>
  </si>
  <si>
    <t>Colonne9461</t>
  </si>
  <si>
    <t>Colonne9462</t>
  </si>
  <si>
    <t>Colonne9463</t>
  </si>
  <si>
    <t>Colonne9464</t>
  </si>
  <si>
    <t>Colonne9465</t>
  </si>
  <si>
    <t>Colonne9466</t>
  </si>
  <si>
    <t>Colonne9467</t>
  </si>
  <si>
    <t>Colonne9468</t>
  </si>
  <si>
    <t>Colonne9469</t>
  </si>
  <si>
    <t>Colonne9470</t>
  </si>
  <si>
    <t>Colonne9471</t>
  </si>
  <si>
    <t>Colonne9472</t>
  </si>
  <si>
    <t>Colonne9473</t>
  </si>
  <si>
    <t>Colonne9474</t>
  </si>
  <si>
    <t>Colonne9475</t>
  </si>
  <si>
    <t>Colonne9476</t>
  </si>
  <si>
    <t>Colonne9477</t>
  </si>
  <si>
    <t>Colonne9478</t>
  </si>
  <si>
    <t>Colonne9479</t>
  </si>
  <si>
    <t>Colonne9480</t>
  </si>
  <si>
    <t>Colonne9481</t>
  </si>
  <si>
    <t>Colonne9482</t>
  </si>
  <si>
    <t>Colonne9483</t>
  </si>
  <si>
    <t>Colonne9484</t>
  </si>
  <si>
    <t>Colonne9485</t>
  </si>
  <si>
    <t>Colonne9486</t>
  </si>
  <si>
    <t>Colonne9487</t>
  </si>
  <si>
    <t>Colonne9488</t>
  </si>
  <si>
    <t>Colonne9489</t>
  </si>
  <si>
    <t>Colonne9490</t>
  </si>
  <si>
    <t>Colonne9491</t>
  </si>
  <si>
    <t>Colonne9492</t>
  </si>
  <si>
    <t>Colonne9493</t>
  </si>
  <si>
    <t>Colonne9494</t>
  </si>
  <si>
    <t>Colonne9495</t>
  </si>
  <si>
    <t>Colonne9496</t>
  </si>
  <si>
    <t>Colonne9497</t>
  </si>
  <si>
    <t>Colonne9498</t>
  </si>
  <si>
    <t>Colonne9499</t>
  </si>
  <si>
    <t>Colonne9500</t>
  </si>
  <si>
    <t>Colonne9501</t>
  </si>
  <si>
    <t>Colonne9502</t>
  </si>
  <si>
    <t>Colonne9503</t>
  </si>
  <si>
    <t>Colonne9504</t>
  </si>
  <si>
    <t>Colonne9505</t>
  </si>
  <si>
    <t>Colonne9506</t>
  </si>
  <si>
    <t>Colonne9507</t>
  </si>
  <si>
    <t>Colonne9508</t>
  </si>
  <si>
    <t>Colonne9509</t>
  </si>
  <si>
    <t>Colonne9510</t>
  </si>
  <si>
    <t>Colonne9511</t>
  </si>
  <si>
    <t>Colonne9512</t>
  </si>
  <si>
    <t>Colonne9513</t>
  </si>
  <si>
    <t>Colonne9514</t>
  </si>
  <si>
    <t>Colonne9515</t>
  </si>
  <si>
    <t>Colonne9516</t>
  </si>
  <si>
    <t>Colonne9517</t>
  </si>
  <si>
    <t>Colonne9518</t>
  </si>
  <si>
    <t>Colonne9519</t>
  </si>
  <si>
    <t>Colonne9520</t>
  </si>
  <si>
    <t>Colonne9521</t>
  </si>
  <si>
    <t>Colonne9522</t>
  </si>
  <si>
    <t>Colonne9523</t>
  </si>
  <si>
    <t>Colonne9524</t>
  </si>
  <si>
    <t>Colonne9525</t>
  </si>
  <si>
    <t>Colonne9526</t>
  </si>
  <si>
    <t>Colonne9527</t>
  </si>
  <si>
    <t>Colonne9528</t>
  </si>
  <si>
    <t>Colonne9529</t>
  </si>
  <si>
    <t>Colonne9530</t>
  </si>
  <si>
    <t>Colonne9531</t>
  </si>
  <si>
    <t>Colonne9532</t>
  </si>
  <si>
    <t>Colonne9533</t>
  </si>
  <si>
    <t>Colonne9534</t>
  </si>
  <si>
    <t>Colonne9535</t>
  </si>
  <si>
    <t>Colonne9536</t>
  </si>
  <si>
    <t>Colonne9537</t>
  </si>
  <si>
    <t>Colonne9538</t>
  </si>
  <si>
    <t>Colonne9539</t>
  </si>
  <si>
    <t>Colonne9540</t>
  </si>
  <si>
    <t>Colonne9541</t>
  </si>
  <si>
    <t>Colonne9542</t>
  </si>
  <si>
    <t>Colonne9543</t>
  </si>
  <si>
    <t>Colonne9544</t>
  </si>
  <si>
    <t>Colonne9545</t>
  </si>
  <si>
    <t>Colonne9546</t>
  </si>
  <si>
    <t>Colonne9547</t>
  </si>
  <si>
    <t>Colonne9548</t>
  </si>
  <si>
    <t>Colonne9549</t>
  </si>
  <si>
    <t>Colonne9550</t>
  </si>
  <si>
    <t>Colonne9551</t>
  </si>
  <si>
    <t>Colonne9552</t>
  </si>
  <si>
    <t>Colonne9553</t>
  </si>
  <si>
    <t>Colonne9554</t>
  </si>
  <si>
    <t>Colonne9555</t>
  </si>
  <si>
    <t>Colonne9556</t>
  </si>
  <si>
    <t>Colonne9557</t>
  </si>
  <si>
    <t>Colonne9558</t>
  </si>
  <si>
    <t>Colonne9559</t>
  </si>
  <si>
    <t>Colonne9560</t>
  </si>
  <si>
    <t>Colonne9561</t>
  </si>
  <si>
    <t>Colonne9562</t>
  </si>
  <si>
    <t>Colonne9563</t>
  </si>
  <si>
    <t>Colonne9564</t>
  </si>
  <si>
    <t>Colonne9565</t>
  </si>
  <si>
    <t>Colonne9566</t>
  </si>
  <si>
    <t>Colonne9567</t>
  </si>
  <si>
    <t>Colonne9568</t>
  </si>
  <si>
    <t>Colonne9569</t>
  </si>
  <si>
    <t>Colonne9570</t>
  </si>
  <si>
    <t>Colonne9571</t>
  </si>
  <si>
    <t>Colonne9572</t>
  </si>
  <si>
    <t>Colonne9573</t>
  </si>
  <si>
    <t>Colonne9574</t>
  </si>
  <si>
    <t>Colonne9575</t>
  </si>
  <si>
    <t>Colonne9576</t>
  </si>
  <si>
    <t>Colonne9577</t>
  </si>
  <si>
    <t>Colonne9578</t>
  </si>
  <si>
    <t>Colonne9579</t>
  </si>
  <si>
    <t>Colonne9580</t>
  </si>
  <si>
    <t>Colonne9581</t>
  </si>
  <si>
    <t>Colonne9582</t>
  </si>
  <si>
    <t>Colonne9583</t>
  </si>
  <si>
    <t>Colonne9584</t>
  </si>
  <si>
    <t>Colonne9585</t>
  </si>
  <si>
    <t>Colonne9586</t>
  </si>
  <si>
    <t>Colonne9587</t>
  </si>
  <si>
    <t>Colonne9588</t>
  </si>
  <si>
    <t>Colonne9589</t>
  </si>
  <si>
    <t>Colonne9590</t>
  </si>
  <si>
    <t>Colonne9591</t>
  </si>
  <si>
    <t>Colonne9592</t>
  </si>
  <si>
    <t>Colonne9593</t>
  </si>
  <si>
    <t>Colonne9594</t>
  </si>
  <si>
    <t>Colonne9595</t>
  </si>
  <si>
    <t>Colonne9596</t>
  </si>
  <si>
    <t>Colonne9597</t>
  </si>
  <si>
    <t>Colonne9598</t>
  </si>
  <si>
    <t>Colonne9599</t>
  </si>
  <si>
    <t>Colonne9600</t>
  </si>
  <si>
    <t>Colonne9601</t>
  </si>
  <si>
    <t>Colonne9602</t>
  </si>
  <si>
    <t>Colonne9603</t>
  </si>
  <si>
    <t>Colonne9604</t>
  </si>
  <si>
    <t>Colonne9605</t>
  </si>
  <si>
    <t>Colonne9606</t>
  </si>
  <si>
    <t>Colonne9607</t>
  </si>
  <si>
    <t>Colonne9608</t>
  </si>
  <si>
    <t>Colonne9609</t>
  </si>
  <si>
    <t>Colonne9610</t>
  </si>
  <si>
    <t>Colonne9611</t>
  </si>
  <si>
    <t>Colonne9612</t>
  </si>
  <si>
    <t>Colonne9613</t>
  </si>
  <si>
    <t>Colonne9614</t>
  </si>
  <si>
    <t>Colonne9615</t>
  </si>
  <si>
    <t>Colonne9616</t>
  </si>
  <si>
    <t>Colonne9617</t>
  </si>
  <si>
    <t>Colonne9618</t>
  </si>
  <si>
    <t>Colonne9619</t>
  </si>
  <si>
    <t>Colonne9620</t>
  </si>
  <si>
    <t>Colonne9621</t>
  </si>
  <si>
    <t>Colonne9622</t>
  </si>
  <si>
    <t>Colonne9623</t>
  </si>
  <si>
    <t>Colonne9624</t>
  </si>
  <si>
    <t>Colonne9625</t>
  </si>
  <si>
    <t>Colonne9626</t>
  </si>
  <si>
    <t>Colonne9627</t>
  </si>
  <si>
    <t>Colonne9628</t>
  </si>
  <si>
    <t>Colonne9629</t>
  </si>
  <si>
    <t>Colonne9630</t>
  </si>
  <si>
    <t>Colonne9631</t>
  </si>
  <si>
    <t>Colonne9632</t>
  </si>
  <si>
    <t>Colonne9633</t>
  </si>
  <si>
    <t>Colonne9634</t>
  </si>
  <si>
    <t>Colonne9635</t>
  </si>
  <si>
    <t>Colonne9636</t>
  </si>
  <si>
    <t>Colonne9637</t>
  </si>
  <si>
    <t>Colonne9638</t>
  </si>
  <si>
    <t>Colonne9639</t>
  </si>
  <si>
    <t>Colonne9640</t>
  </si>
  <si>
    <t>Colonne9641</t>
  </si>
  <si>
    <t>Colonne9642</t>
  </si>
  <si>
    <t>Colonne9643</t>
  </si>
  <si>
    <t>Colonne9644</t>
  </si>
  <si>
    <t>Colonne9645</t>
  </si>
  <si>
    <t>Colonne9646</t>
  </si>
  <si>
    <t>Colonne9647</t>
  </si>
  <si>
    <t>Colonne9648</t>
  </si>
  <si>
    <t>Colonne9649</t>
  </si>
  <si>
    <t>Colonne9650</t>
  </si>
  <si>
    <t>Colonne9651</t>
  </si>
  <si>
    <t>Colonne9652</t>
  </si>
  <si>
    <t>Colonne9653</t>
  </si>
  <si>
    <t>Colonne9654</t>
  </si>
  <si>
    <t>Colonne9655</t>
  </si>
  <si>
    <t>Colonne9656</t>
  </si>
  <si>
    <t>Colonne9657</t>
  </si>
  <si>
    <t>Colonne9658</t>
  </si>
  <si>
    <t>Colonne9659</t>
  </si>
  <si>
    <t>Colonne9660</t>
  </si>
  <si>
    <t>Colonne9661</t>
  </si>
  <si>
    <t>Colonne9662</t>
  </si>
  <si>
    <t>Colonne9663</t>
  </si>
  <si>
    <t>Colonne9664</t>
  </si>
  <si>
    <t>Colonne9665</t>
  </si>
  <si>
    <t>Colonne9666</t>
  </si>
  <si>
    <t>Colonne9667</t>
  </si>
  <si>
    <t>Colonne9668</t>
  </si>
  <si>
    <t>Colonne9669</t>
  </si>
  <si>
    <t>Colonne9670</t>
  </si>
  <si>
    <t>Colonne9671</t>
  </si>
  <si>
    <t>Colonne9672</t>
  </si>
  <si>
    <t>Colonne9673</t>
  </si>
  <si>
    <t>Colonne9674</t>
  </si>
  <si>
    <t>Colonne9675</t>
  </si>
  <si>
    <t>Colonne9676</t>
  </si>
  <si>
    <t>Colonne9677</t>
  </si>
  <si>
    <t>Colonne9678</t>
  </si>
  <si>
    <t>Colonne9679</t>
  </si>
  <si>
    <t>Colonne9680</t>
  </si>
  <si>
    <t>Colonne9681</t>
  </si>
  <si>
    <t>Colonne9682</t>
  </si>
  <si>
    <t>Colonne9683</t>
  </si>
  <si>
    <t>Colonne9684</t>
  </si>
  <si>
    <t>Colonne9685</t>
  </si>
  <si>
    <t>Colonne9686</t>
  </si>
  <si>
    <t>Colonne9687</t>
  </si>
  <si>
    <t>Colonne9688</t>
  </si>
  <si>
    <t>Colonne9689</t>
  </si>
  <si>
    <t>Colonne9690</t>
  </si>
  <si>
    <t>Colonne9691</t>
  </si>
  <si>
    <t>Colonne9692</t>
  </si>
  <si>
    <t>Colonne9693</t>
  </si>
  <si>
    <t>Colonne9694</t>
  </si>
  <si>
    <t>Colonne9695</t>
  </si>
  <si>
    <t>Colonne9696</t>
  </si>
  <si>
    <t>Colonne9697</t>
  </si>
  <si>
    <t>Colonne9698</t>
  </si>
  <si>
    <t>Colonne9699</t>
  </si>
  <si>
    <t>Colonne9700</t>
  </si>
  <si>
    <t>Colonne9701</t>
  </si>
  <si>
    <t>Colonne9702</t>
  </si>
  <si>
    <t>Colonne9703</t>
  </si>
  <si>
    <t>Colonne9704</t>
  </si>
  <si>
    <t>Colonne9705</t>
  </si>
  <si>
    <t>Colonne9706</t>
  </si>
  <si>
    <t>Colonne9707</t>
  </si>
  <si>
    <t>Colonne9708</t>
  </si>
  <si>
    <t>Colonne9709</t>
  </si>
  <si>
    <t>Colonne9710</t>
  </si>
  <si>
    <t>Colonne9711</t>
  </si>
  <si>
    <t>Colonne9712</t>
  </si>
  <si>
    <t>Colonne9713</t>
  </si>
  <si>
    <t>Colonne9714</t>
  </si>
  <si>
    <t>Colonne9715</t>
  </si>
  <si>
    <t>Colonne9716</t>
  </si>
  <si>
    <t>Colonne9717</t>
  </si>
  <si>
    <t>Colonne9718</t>
  </si>
  <si>
    <t>Colonne9719</t>
  </si>
  <si>
    <t>Colonne9720</t>
  </si>
  <si>
    <t>Colonne9721</t>
  </si>
  <si>
    <t>Colonne9722</t>
  </si>
  <si>
    <t>Colonne9723</t>
  </si>
  <si>
    <t>Colonne9724</t>
  </si>
  <si>
    <t>Colonne9725</t>
  </si>
  <si>
    <t>Colonne9726</t>
  </si>
  <si>
    <t>Colonne9727</t>
  </si>
  <si>
    <t>Colonne9728</t>
  </si>
  <si>
    <t>Colonne9729</t>
  </si>
  <si>
    <t>Colonne9730</t>
  </si>
  <si>
    <t>Colonne9731</t>
  </si>
  <si>
    <t>Colonne9732</t>
  </si>
  <si>
    <t>Colonne9733</t>
  </si>
  <si>
    <t>Colonne9734</t>
  </si>
  <si>
    <t>Colonne9735</t>
  </si>
  <si>
    <t>Colonne9736</t>
  </si>
  <si>
    <t>Colonne9737</t>
  </si>
  <si>
    <t>Colonne9738</t>
  </si>
  <si>
    <t>Colonne9739</t>
  </si>
  <si>
    <t>Colonne9740</t>
  </si>
  <si>
    <t>Colonne9741</t>
  </si>
  <si>
    <t>Colonne9742</t>
  </si>
  <si>
    <t>Colonne9743</t>
  </si>
  <si>
    <t>Colonne9744</t>
  </si>
  <si>
    <t>Colonne9745</t>
  </si>
  <si>
    <t>Colonne9746</t>
  </si>
  <si>
    <t>Colonne9747</t>
  </si>
  <si>
    <t>Colonne9748</t>
  </si>
  <si>
    <t>Colonne9749</t>
  </si>
  <si>
    <t>Colonne9750</t>
  </si>
  <si>
    <t>Colonne9751</t>
  </si>
  <si>
    <t>Colonne9752</t>
  </si>
  <si>
    <t>Colonne9753</t>
  </si>
  <si>
    <t>Colonne9754</t>
  </si>
  <si>
    <t>Colonne9755</t>
  </si>
  <si>
    <t>Colonne9756</t>
  </si>
  <si>
    <t>Colonne9757</t>
  </si>
  <si>
    <t>Colonne9758</t>
  </si>
  <si>
    <t>Colonne9759</t>
  </si>
  <si>
    <t>Colonne9760</t>
  </si>
  <si>
    <t>Colonne9761</t>
  </si>
  <si>
    <t>Colonne9762</t>
  </si>
  <si>
    <t>Colonne9763</t>
  </si>
  <si>
    <t>Colonne9764</t>
  </si>
  <si>
    <t>Colonne9765</t>
  </si>
  <si>
    <t>Colonne9766</t>
  </si>
  <si>
    <t>Colonne9767</t>
  </si>
  <si>
    <t>Colonne9768</t>
  </si>
  <si>
    <t>Colonne9769</t>
  </si>
  <si>
    <t>Colonne9770</t>
  </si>
  <si>
    <t>Colonne9771</t>
  </si>
  <si>
    <t>Colonne9772</t>
  </si>
  <si>
    <t>Colonne9773</t>
  </si>
  <si>
    <t>Colonne9774</t>
  </si>
  <si>
    <t>Colonne9775</t>
  </si>
  <si>
    <t>Colonne9776</t>
  </si>
  <si>
    <t>Colonne9777</t>
  </si>
  <si>
    <t>Colonne9778</t>
  </si>
  <si>
    <t>Colonne9779</t>
  </si>
  <si>
    <t>Colonne9780</t>
  </si>
  <si>
    <t>Colonne9781</t>
  </si>
  <si>
    <t>Colonne9782</t>
  </si>
  <si>
    <t>Colonne9783</t>
  </si>
  <si>
    <t>Colonne9784</t>
  </si>
  <si>
    <t>Colonne9785</t>
  </si>
  <si>
    <t>Colonne9786</t>
  </si>
  <si>
    <t>Colonne9787</t>
  </si>
  <si>
    <t>Colonne9788</t>
  </si>
  <si>
    <t>Colonne9789</t>
  </si>
  <si>
    <t>Colonne9790</t>
  </si>
  <si>
    <t>Colonne9791</t>
  </si>
  <si>
    <t>Colonne9792</t>
  </si>
  <si>
    <t>Colonne9793</t>
  </si>
  <si>
    <t>Colonne9794</t>
  </si>
  <si>
    <t>Colonne9795</t>
  </si>
  <si>
    <t>Colonne9796</t>
  </si>
  <si>
    <t>Colonne9797</t>
  </si>
  <si>
    <t>Colonne9798</t>
  </si>
  <si>
    <t>Colonne9799</t>
  </si>
  <si>
    <t>Colonne9800</t>
  </si>
  <si>
    <t>Colonne9801</t>
  </si>
  <si>
    <t>Colonne9802</t>
  </si>
  <si>
    <t>Colonne9803</t>
  </si>
  <si>
    <t>Colonne9804</t>
  </si>
  <si>
    <t>Colonne9805</t>
  </si>
  <si>
    <t>Colonne9806</t>
  </si>
  <si>
    <t>Colonne9807</t>
  </si>
  <si>
    <t>Colonne9808</t>
  </si>
  <si>
    <t>Colonne9809</t>
  </si>
  <si>
    <t>Colonne9810</t>
  </si>
  <si>
    <t>Colonne9811</t>
  </si>
  <si>
    <t>Colonne9812</t>
  </si>
  <si>
    <t>Colonne9813</t>
  </si>
  <si>
    <t>Colonne9814</t>
  </si>
  <si>
    <t>Colonne9815</t>
  </si>
  <si>
    <t>Colonne9816</t>
  </si>
  <si>
    <t>Colonne9817</t>
  </si>
  <si>
    <t>Colonne9818</t>
  </si>
  <si>
    <t>Colonne9819</t>
  </si>
  <si>
    <t>Colonne9820</t>
  </si>
  <si>
    <t>Colonne9821</t>
  </si>
  <si>
    <t>Colonne9822</t>
  </si>
  <si>
    <t>Colonne9823</t>
  </si>
  <si>
    <t>Colonne9824</t>
  </si>
  <si>
    <t>Colonne9825</t>
  </si>
  <si>
    <t>Colonne9826</t>
  </si>
  <si>
    <t>Colonne9827</t>
  </si>
  <si>
    <t>Colonne9828</t>
  </si>
  <si>
    <t>Colonne9829</t>
  </si>
  <si>
    <t>Colonne9830</t>
  </si>
  <si>
    <t>Colonne9831</t>
  </si>
  <si>
    <t>Colonne9832</t>
  </si>
  <si>
    <t>Colonne9833</t>
  </si>
  <si>
    <t>Colonne9834</t>
  </si>
  <si>
    <t>Colonne9835</t>
  </si>
  <si>
    <t>Colonne9836</t>
  </si>
  <si>
    <t>Colonne9837</t>
  </si>
  <si>
    <t>Colonne9838</t>
  </si>
  <si>
    <t>Colonne9839</t>
  </si>
  <si>
    <t>Colonne9840</t>
  </si>
  <si>
    <t>Colonne9841</t>
  </si>
  <si>
    <t>Colonne9842</t>
  </si>
  <si>
    <t>Colonne9843</t>
  </si>
  <si>
    <t>Colonne9844</t>
  </si>
  <si>
    <t>Colonne9845</t>
  </si>
  <si>
    <t>Colonne9846</t>
  </si>
  <si>
    <t>Colonne9847</t>
  </si>
  <si>
    <t>Colonne9848</t>
  </si>
  <si>
    <t>Colonne9849</t>
  </si>
  <si>
    <t>Colonne9850</t>
  </si>
  <si>
    <t>Colonne9851</t>
  </si>
  <si>
    <t>Colonne9852</t>
  </si>
  <si>
    <t>Colonne9853</t>
  </si>
  <si>
    <t>Colonne9854</t>
  </si>
  <si>
    <t>Colonne9855</t>
  </si>
  <si>
    <t>Colonne9856</t>
  </si>
  <si>
    <t>Colonne9857</t>
  </si>
  <si>
    <t>Colonne9858</t>
  </si>
  <si>
    <t>Colonne9859</t>
  </si>
  <si>
    <t>Colonne9860</t>
  </si>
  <si>
    <t>Colonne9861</t>
  </si>
  <si>
    <t>Colonne9862</t>
  </si>
  <si>
    <t>Colonne9863</t>
  </si>
  <si>
    <t>Colonne9864</t>
  </si>
  <si>
    <t>Colonne9865</t>
  </si>
  <si>
    <t>Colonne9866</t>
  </si>
  <si>
    <t>Colonne9867</t>
  </si>
  <si>
    <t>Colonne9868</t>
  </si>
  <si>
    <t>Colonne9869</t>
  </si>
  <si>
    <t>Colonne9870</t>
  </si>
  <si>
    <t>Colonne9871</t>
  </si>
  <si>
    <t>Colonne9872</t>
  </si>
  <si>
    <t>Colonne9873</t>
  </si>
  <si>
    <t>Colonne9874</t>
  </si>
  <si>
    <t>Colonne9875</t>
  </si>
  <si>
    <t>Colonne9876</t>
  </si>
  <si>
    <t>Colonne9877</t>
  </si>
  <si>
    <t>Colonne9878</t>
  </si>
  <si>
    <t>Colonne9879</t>
  </si>
  <si>
    <t>Colonne9880</t>
  </si>
  <si>
    <t>Colonne9881</t>
  </si>
  <si>
    <t>Colonne9882</t>
  </si>
  <si>
    <t>Colonne9883</t>
  </si>
  <si>
    <t>Colonne9884</t>
  </si>
  <si>
    <t>Colonne9885</t>
  </si>
  <si>
    <t>Colonne9886</t>
  </si>
  <si>
    <t>Colonne9887</t>
  </si>
  <si>
    <t>Colonne9888</t>
  </si>
  <si>
    <t>Colonne9889</t>
  </si>
  <si>
    <t>Colonne9890</t>
  </si>
  <si>
    <t>Colonne9891</t>
  </si>
  <si>
    <t>Colonne9892</t>
  </si>
  <si>
    <t>Colonne9893</t>
  </si>
  <si>
    <t>Colonne9894</t>
  </si>
  <si>
    <t>Colonne9895</t>
  </si>
  <si>
    <t>Colonne9896</t>
  </si>
  <si>
    <t>Colonne9897</t>
  </si>
  <si>
    <t>Colonne9898</t>
  </si>
  <si>
    <t>Colonne9899</t>
  </si>
  <si>
    <t>Colonne9900</t>
  </si>
  <si>
    <t>Colonne9901</t>
  </si>
  <si>
    <t>Colonne9902</t>
  </si>
  <si>
    <t>Colonne9903</t>
  </si>
  <si>
    <t>Colonne9904</t>
  </si>
  <si>
    <t>Colonne9905</t>
  </si>
  <si>
    <t>Colonne9906</t>
  </si>
  <si>
    <t>Colonne9907</t>
  </si>
  <si>
    <t>Colonne9908</t>
  </si>
  <si>
    <t>Colonne9909</t>
  </si>
  <si>
    <t>Colonne9910</t>
  </si>
  <si>
    <t>Colonne9911</t>
  </si>
  <si>
    <t>Colonne9912</t>
  </si>
  <si>
    <t>Colonne9913</t>
  </si>
  <si>
    <t>Colonne9914</t>
  </si>
  <si>
    <t>Colonne9915</t>
  </si>
  <si>
    <t>Colonne9916</t>
  </si>
  <si>
    <t>Colonne9917</t>
  </si>
  <si>
    <t>Colonne9918</t>
  </si>
  <si>
    <t>Colonne9919</t>
  </si>
  <si>
    <t>Colonne9920</t>
  </si>
  <si>
    <t>Colonne9921</t>
  </si>
  <si>
    <t>Colonne9922</t>
  </si>
  <si>
    <t>Colonne9923</t>
  </si>
  <si>
    <t>Colonne9924</t>
  </si>
  <si>
    <t>Colonne9925</t>
  </si>
  <si>
    <t>Colonne9926</t>
  </si>
  <si>
    <t>Colonne9927</t>
  </si>
  <si>
    <t>Colonne9928</t>
  </si>
  <si>
    <t>Colonne9929</t>
  </si>
  <si>
    <t>Colonne9930</t>
  </si>
  <si>
    <t>Colonne9931</t>
  </si>
  <si>
    <t>Colonne9932</t>
  </si>
  <si>
    <t>Colonne9933</t>
  </si>
  <si>
    <t>Colonne9934</t>
  </si>
  <si>
    <t>Colonne9935</t>
  </si>
  <si>
    <t>Colonne9936</t>
  </si>
  <si>
    <t>Colonne9937</t>
  </si>
  <si>
    <t>Colonne9938</t>
  </si>
  <si>
    <t>Colonne9939</t>
  </si>
  <si>
    <t>Colonne9940</t>
  </si>
  <si>
    <t>Colonne9941</t>
  </si>
  <si>
    <t>Colonne9942</t>
  </si>
  <si>
    <t>Colonne9943</t>
  </si>
  <si>
    <t>Colonne9944</t>
  </si>
  <si>
    <t>Colonne9945</t>
  </si>
  <si>
    <t>Colonne9946</t>
  </si>
  <si>
    <t>Colonne9947</t>
  </si>
  <si>
    <t>Colonne9948</t>
  </si>
  <si>
    <t>Colonne9949</t>
  </si>
  <si>
    <t>Colonne9950</t>
  </si>
  <si>
    <t>Colonne9951</t>
  </si>
  <si>
    <t>Colonne9952</t>
  </si>
  <si>
    <t>Colonne9953</t>
  </si>
  <si>
    <t>Colonne9954</t>
  </si>
  <si>
    <t>Colonne9955</t>
  </si>
  <si>
    <t>Colonne9956</t>
  </si>
  <si>
    <t>Colonne9957</t>
  </si>
  <si>
    <t>Colonne9958</t>
  </si>
  <si>
    <t>Colonne9959</t>
  </si>
  <si>
    <t>Colonne9960</t>
  </si>
  <si>
    <t>Colonne9961</t>
  </si>
  <si>
    <t>Colonne9962</t>
  </si>
  <si>
    <t>Colonne9963</t>
  </si>
  <si>
    <t>Colonne9964</t>
  </si>
  <si>
    <t>Colonne9965</t>
  </si>
  <si>
    <t>Colonne9966</t>
  </si>
  <si>
    <t>Colonne9967</t>
  </si>
  <si>
    <t>Colonne9968</t>
  </si>
  <si>
    <t>Colonne9969</t>
  </si>
  <si>
    <t>Colonne9970</t>
  </si>
  <si>
    <t>Colonne9971</t>
  </si>
  <si>
    <t>Colonne9972</t>
  </si>
  <si>
    <t>Colonne9973</t>
  </si>
  <si>
    <t>Colonne9974</t>
  </si>
  <si>
    <t>Colonne9975</t>
  </si>
  <si>
    <t>Colonne9976</t>
  </si>
  <si>
    <t>Colonne9977</t>
  </si>
  <si>
    <t>Colonne9978</t>
  </si>
  <si>
    <t>Colonne9979</t>
  </si>
  <si>
    <t>Colonne9980</t>
  </si>
  <si>
    <t>Colonne9981</t>
  </si>
  <si>
    <t>Colonne9982</t>
  </si>
  <si>
    <t>Colonne9983</t>
  </si>
  <si>
    <t>Colonne9984</t>
  </si>
  <si>
    <t>Colonne9985</t>
  </si>
  <si>
    <t>Colonne9986</t>
  </si>
  <si>
    <t>Colonne9987</t>
  </si>
  <si>
    <t>Colonne9988</t>
  </si>
  <si>
    <t>Colonne9989</t>
  </si>
  <si>
    <t>Colonne9990</t>
  </si>
  <si>
    <t>Colonne9991</t>
  </si>
  <si>
    <t>Colonne9992</t>
  </si>
  <si>
    <t>Colonne9993</t>
  </si>
  <si>
    <t>Colonne9994</t>
  </si>
  <si>
    <t>Colonne9995</t>
  </si>
  <si>
    <t>Colonne9996</t>
  </si>
  <si>
    <t>Colonne9997</t>
  </si>
  <si>
    <t>Colonne9998</t>
  </si>
  <si>
    <t>Colonne9999</t>
  </si>
  <si>
    <t>Colonne10000</t>
  </si>
  <si>
    <t>Colonne10001</t>
  </si>
  <si>
    <t>Colonne10002</t>
  </si>
  <si>
    <t>Colonne10003</t>
  </si>
  <si>
    <t>Colonne10004</t>
  </si>
  <si>
    <t>Colonne10005</t>
  </si>
  <si>
    <t>Colonne10006</t>
  </si>
  <si>
    <t>Colonne10007</t>
  </si>
  <si>
    <t>Colonne10008</t>
  </si>
  <si>
    <t>Colonne10009</t>
  </si>
  <si>
    <t>Colonne10010</t>
  </si>
  <si>
    <t>Colonne10011</t>
  </si>
  <si>
    <t>Colonne10012</t>
  </si>
  <si>
    <t>Colonne10013</t>
  </si>
  <si>
    <t>Colonne10014</t>
  </si>
  <si>
    <t>Colonne10015</t>
  </si>
  <si>
    <t>Colonne10016</t>
  </si>
  <si>
    <t>Colonne10017</t>
  </si>
  <si>
    <t>Colonne10018</t>
  </si>
  <si>
    <t>Colonne10019</t>
  </si>
  <si>
    <t>Colonne10020</t>
  </si>
  <si>
    <t>Colonne10021</t>
  </si>
  <si>
    <t>Colonne10022</t>
  </si>
  <si>
    <t>Colonne10023</t>
  </si>
  <si>
    <t>Colonne10024</t>
  </si>
  <si>
    <t>Colonne10025</t>
  </si>
  <si>
    <t>Colonne10026</t>
  </si>
  <si>
    <t>Colonne10027</t>
  </si>
  <si>
    <t>Colonne10028</t>
  </si>
  <si>
    <t>Colonne10029</t>
  </si>
  <si>
    <t>Colonne10030</t>
  </si>
  <si>
    <t>Colonne10031</t>
  </si>
  <si>
    <t>Colonne10032</t>
  </si>
  <si>
    <t>Colonne10033</t>
  </si>
  <si>
    <t>Colonne10034</t>
  </si>
  <si>
    <t>Colonne10035</t>
  </si>
  <si>
    <t>Colonne10036</t>
  </si>
  <si>
    <t>Colonne10037</t>
  </si>
  <si>
    <t>Colonne10038</t>
  </si>
  <si>
    <t>Colonne10039</t>
  </si>
  <si>
    <t>Colonne10040</t>
  </si>
  <si>
    <t>Colonne10041</t>
  </si>
  <si>
    <t>Colonne10042</t>
  </si>
  <si>
    <t>Colonne10043</t>
  </si>
  <si>
    <t>Colonne10044</t>
  </si>
  <si>
    <t>Colonne10045</t>
  </si>
  <si>
    <t>Colonne10046</t>
  </si>
  <si>
    <t>Colonne10047</t>
  </si>
  <si>
    <t>Colonne10048</t>
  </si>
  <si>
    <t>Colonne10049</t>
  </si>
  <si>
    <t>Colonne10050</t>
  </si>
  <si>
    <t>Colonne10051</t>
  </si>
  <si>
    <t>Colonne10052</t>
  </si>
  <si>
    <t>Colonne10053</t>
  </si>
  <si>
    <t>Colonne10054</t>
  </si>
  <si>
    <t>Colonne10055</t>
  </si>
  <si>
    <t>Colonne10056</t>
  </si>
  <si>
    <t>Colonne10057</t>
  </si>
  <si>
    <t>Colonne10058</t>
  </si>
  <si>
    <t>Colonne10059</t>
  </si>
  <si>
    <t>Colonne10060</t>
  </si>
  <si>
    <t>Colonne10061</t>
  </si>
  <si>
    <t>Colonne10062</t>
  </si>
  <si>
    <t>Colonne10063</t>
  </si>
  <si>
    <t>Colonne10064</t>
  </si>
  <si>
    <t>Colonne10065</t>
  </si>
  <si>
    <t>Colonne10066</t>
  </si>
  <si>
    <t>Colonne10067</t>
  </si>
  <si>
    <t>Colonne10068</t>
  </si>
  <si>
    <t>Colonne10069</t>
  </si>
  <si>
    <t>Colonne10070</t>
  </si>
  <si>
    <t>Colonne10071</t>
  </si>
  <si>
    <t>Colonne10072</t>
  </si>
  <si>
    <t>Colonne10073</t>
  </si>
  <si>
    <t>Colonne10074</t>
  </si>
  <si>
    <t>Colonne10075</t>
  </si>
  <si>
    <t>Colonne10076</t>
  </si>
  <si>
    <t>Colonne10077</t>
  </si>
  <si>
    <t>Colonne10078</t>
  </si>
  <si>
    <t>Colonne10079</t>
  </si>
  <si>
    <t>Colonne10080</t>
  </si>
  <si>
    <t>Colonne10081</t>
  </si>
  <si>
    <t>Colonne10082</t>
  </si>
  <si>
    <t>Colonne10083</t>
  </si>
  <si>
    <t>Colonne10084</t>
  </si>
  <si>
    <t>Colonne10085</t>
  </si>
  <si>
    <t>Colonne10086</t>
  </si>
  <si>
    <t>Colonne10087</t>
  </si>
  <si>
    <t>Colonne10088</t>
  </si>
  <si>
    <t>Colonne10089</t>
  </si>
  <si>
    <t>Colonne10090</t>
  </si>
  <si>
    <t>Colonne10091</t>
  </si>
  <si>
    <t>Colonne10092</t>
  </si>
  <si>
    <t>Colonne10093</t>
  </si>
  <si>
    <t>Colonne10094</t>
  </si>
  <si>
    <t>Colonne10095</t>
  </si>
  <si>
    <t>Colonne10096</t>
  </si>
  <si>
    <t>Colonne10097</t>
  </si>
  <si>
    <t>Colonne10098</t>
  </si>
  <si>
    <t>Colonne10099</t>
  </si>
  <si>
    <t>Colonne10100</t>
  </si>
  <si>
    <t>Colonne10101</t>
  </si>
  <si>
    <t>Colonne10102</t>
  </si>
  <si>
    <t>Colonne10103</t>
  </si>
  <si>
    <t>Colonne10104</t>
  </si>
  <si>
    <t>Colonne10105</t>
  </si>
  <si>
    <t>Colonne10106</t>
  </si>
  <si>
    <t>Colonne10107</t>
  </si>
  <si>
    <t>Colonne10108</t>
  </si>
  <si>
    <t>Colonne10109</t>
  </si>
  <si>
    <t>Colonne10110</t>
  </si>
  <si>
    <t>Colonne10111</t>
  </si>
  <si>
    <t>Colonne10112</t>
  </si>
  <si>
    <t>Colonne10113</t>
  </si>
  <si>
    <t>Colonne10114</t>
  </si>
  <si>
    <t>Colonne10115</t>
  </si>
  <si>
    <t>Colonne10116</t>
  </si>
  <si>
    <t>Colonne10117</t>
  </si>
  <si>
    <t>Colonne10118</t>
  </si>
  <si>
    <t>Colonne10119</t>
  </si>
  <si>
    <t>Colonne10120</t>
  </si>
  <si>
    <t>Colonne10121</t>
  </si>
  <si>
    <t>Colonne10122</t>
  </si>
  <si>
    <t>Colonne10123</t>
  </si>
  <si>
    <t>Colonne10124</t>
  </si>
  <si>
    <t>Colonne10125</t>
  </si>
  <si>
    <t>Colonne10126</t>
  </si>
  <si>
    <t>Colonne10127</t>
  </si>
  <si>
    <t>Colonne10128</t>
  </si>
  <si>
    <t>Colonne10129</t>
  </si>
  <si>
    <t>Colonne10130</t>
  </si>
  <si>
    <t>Colonne10131</t>
  </si>
  <si>
    <t>Colonne10132</t>
  </si>
  <si>
    <t>Colonne10133</t>
  </si>
  <si>
    <t>Colonne10134</t>
  </si>
  <si>
    <t>Colonne10135</t>
  </si>
  <si>
    <t>Colonne10136</t>
  </si>
  <si>
    <t>Colonne10137</t>
  </si>
  <si>
    <t>Colonne10138</t>
  </si>
  <si>
    <t>Colonne10139</t>
  </si>
  <si>
    <t>Colonne10140</t>
  </si>
  <si>
    <t>Colonne10141</t>
  </si>
  <si>
    <t>Colonne10142</t>
  </si>
  <si>
    <t>Colonne10143</t>
  </si>
  <si>
    <t>Colonne10144</t>
  </si>
  <si>
    <t>Colonne10145</t>
  </si>
  <si>
    <t>Colonne10146</t>
  </si>
  <si>
    <t>Colonne10147</t>
  </si>
  <si>
    <t>Colonne10148</t>
  </si>
  <si>
    <t>Colonne10149</t>
  </si>
  <si>
    <t>Colonne10150</t>
  </si>
  <si>
    <t>Colonne10151</t>
  </si>
  <si>
    <t>Colonne10152</t>
  </si>
  <si>
    <t>Colonne10153</t>
  </si>
  <si>
    <t>Colonne10154</t>
  </si>
  <si>
    <t>Colonne10155</t>
  </si>
  <si>
    <t>Colonne10156</t>
  </si>
  <si>
    <t>Colonne10157</t>
  </si>
  <si>
    <t>Colonne10158</t>
  </si>
  <si>
    <t>Colonne10159</t>
  </si>
  <si>
    <t>Colonne10160</t>
  </si>
  <si>
    <t>Colonne10161</t>
  </si>
  <si>
    <t>Colonne10162</t>
  </si>
  <si>
    <t>Colonne10163</t>
  </si>
  <si>
    <t>Colonne10164</t>
  </si>
  <si>
    <t>Colonne10165</t>
  </si>
  <si>
    <t>Colonne10166</t>
  </si>
  <si>
    <t>Colonne10167</t>
  </si>
  <si>
    <t>Colonne10168</t>
  </si>
  <si>
    <t>Colonne10169</t>
  </si>
  <si>
    <t>Colonne10170</t>
  </si>
  <si>
    <t>Colonne10171</t>
  </si>
  <si>
    <t>Colonne10172</t>
  </si>
  <si>
    <t>Colonne10173</t>
  </si>
  <si>
    <t>Colonne10174</t>
  </si>
  <si>
    <t>Colonne10175</t>
  </si>
  <si>
    <t>Colonne10176</t>
  </si>
  <si>
    <t>Colonne10177</t>
  </si>
  <si>
    <t>Colonne10178</t>
  </si>
  <si>
    <t>Colonne10179</t>
  </si>
  <si>
    <t>Colonne10180</t>
  </si>
  <si>
    <t>Colonne10181</t>
  </si>
  <si>
    <t>Colonne10182</t>
  </si>
  <si>
    <t>Colonne10183</t>
  </si>
  <si>
    <t>Colonne10184</t>
  </si>
  <si>
    <t>Colonne10185</t>
  </si>
  <si>
    <t>Colonne10186</t>
  </si>
  <si>
    <t>Colonne10187</t>
  </si>
  <si>
    <t>Colonne10188</t>
  </si>
  <si>
    <t>Colonne10189</t>
  </si>
  <si>
    <t>Colonne10190</t>
  </si>
  <si>
    <t>Colonne10191</t>
  </si>
  <si>
    <t>Colonne10192</t>
  </si>
  <si>
    <t>Colonne10193</t>
  </si>
  <si>
    <t>Colonne10194</t>
  </si>
  <si>
    <t>Colonne10195</t>
  </si>
  <si>
    <t>Colonne10196</t>
  </si>
  <si>
    <t>Colonne10197</t>
  </si>
  <si>
    <t>Colonne10198</t>
  </si>
  <si>
    <t>Colonne10199</t>
  </si>
  <si>
    <t>Colonne10200</t>
  </si>
  <si>
    <t>Colonne10201</t>
  </si>
  <si>
    <t>Colonne10202</t>
  </si>
  <si>
    <t>Colonne10203</t>
  </si>
  <si>
    <t>Colonne10204</t>
  </si>
  <si>
    <t>Colonne10205</t>
  </si>
  <si>
    <t>Colonne10206</t>
  </si>
  <si>
    <t>Colonne10207</t>
  </si>
  <si>
    <t>Colonne10208</t>
  </si>
  <si>
    <t>Colonne10209</t>
  </si>
  <si>
    <t>Colonne10210</t>
  </si>
  <si>
    <t>Colonne10211</t>
  </si>
  <si>
    <t>Colonne10212</t>
  </si>
  <si>
    <t>Colonne10213</t>
  </si>
  <si>
    <t>Colonne10214</t>
  </si>
  <si>
    <t>Colonne10215</t>
  </si>
  <si>
    <t>Colonne10216</t>
  </si>
  <si>
    <t>Colonne10217</t>
  </si>
  <si>
    <t>Colonne10218</t>
  </si>
  <si>
    <t>Colonne10219</t>
  </si>
  <si>
    <t>Colonne10220</t>
  </si>
  <si>
    <t>Colonne10221</t>
  </si>
  <si>
    <t>Colonne10222</t>
  </si>
  <si>
    <t>Colonne10223</t>
  </si>
  <si>
    <t>Colonne10224</t>
  </si>
  <si>
    <t>Colonne10225</t>
  </si>
  <si>
    <t>Colonne10226</t>
  </si>
  <si>
    <t>Colonne10227</t>
  </si>
  <si>
    <t>Colonne10228</t>
  </si>
  <si>
    <t>Colonne10229</t>
  </si>
  <si>
    <t>Colonne10230</t>
  </si>
  <si>
    <t>Colonne10231</t>
  </si>
  <si>
    <t>Colonne10232</t>
  </si>
  <si>
    <t>Colonne10233</t>
  </si>
  <si>
    <t>Colonne10234</t>
  </si>
  <si>
    <t>Colonne10235</t>
  </si>
  <si>
    <t>Colonne10236</t>
  </si>
  <si>
    <t>Colonne10237</t>
  </si>
  <si>
    <t>Colonne10238</t>
  </si>
  <si>
    <t>Colonne10239</t>
  </si>
  <si>
    <t>Colonne10240</t>
  </si>
  <si>
    <t>Colonne10241</t>
  </si>
  <si>
    <t>Colonne10242</t>
  </si>
  <si>
    <t>Colonne10243</t>
  </si>
  <si>
    <t>Colonne10244</t>
  </si>
  <si>
    <t>Colonne10245</t>
  </si>
  <si>
    <t>Colonne10246</t>
  </si>
  <si>
    <t>Colonne10247</t>
  </si>
  <si>
    <t>Colonne10248</t>
  </si>
  <si>
    <t>Colonne10249</t>
  </si>
  <si>
    <t>Colonne10250</t>
  </si>
  <si>
    <t>Colonne10251</t>
  </si>
  <si>
    <t>Colonne10252</t>
  </si>
  <si>
    <t>Colonne10253</t>
  </si>
  <si>
    <t>Colonne10254</t>
  </si>
  <si>
    <t>Colonne10255</t>
  </si>
  <si>
    <t>Colonne10256</t>
  </si>
  <si>
    <t>Colonne10257</t>
  </si>
  <si>
    <t>Colonne10258</t>
  </si>
  <si>
    <t>Colonne10259</t>
  </si>
  <si>
    <t>Colonne10260</t>
  </si>
  <si>
    <t>Colonne10261</t>
  </si>
  <si>
    <t>Colonne10262</t>
  </si>
  <si>
    <t>Colonne10263</t>
  </si>
  <si>
    <t>Colonne10264</t>
  </si>
  <si>
    <t>Colonne10265</t>
  </si>
  <si>
    <t>Colonne10266</t>
  </si>
  <si>
    <t>Colonne10267</t>
  </si>
  <si>
    <t>Colonne10268</t>
  </si>
  <si>
    <t>Colonne10269</t>
  </si>
  <si>
    <t>Colonne10270</t>
  </si>
  <si>
    <t>Colonne10271</t>
  </si>
  <si>
    <t>Colonne10272</t>
  </si>
  <si>
    <t>Colonne10273</t>
  </si>
  <si>
    <t>Colonne10274</t>
  </si>
  <si>
    <t>Colonne10275</t>
  </si>
  <si>
    <t>Colonne10276</t>
  </si>
  <si>
    <t>Colonne10277</t>
  </si>
  <si>
    <t>Colonne10278</t>
  </si>
  <si>
    <t>Colonne10279</t>
  </si>
  <si>
    <t>Colonne10280</t>
  </si>
  <si>
    <t>Colonne10281</t>
  </si>
  <si>
    <t>Colonne10282</t>
  </si>
  <si>
    <t>Colonne10283</t>
  </si>
  <si>
    <t>Colonne10284</t>
  </si>
  <si>
    <t>Colonne10285</t>
  </si>
  <si>
    <t>Colonne10286</t>
  </si>
  <si>
    <t>Colonne10287</t>
  </si>
  <si>
    <t>Colonne10288</t>
  </si>
  <si>
    <t>Colonne10289</t>
  </si>
  <si>
    <t>Colonne10290</t>
  </si>
  <si>
    <t>Colonne10291</t>
  </si>
  <si>
    <t>Colonne10292</t>
  </si>
  <si>
    <t>Colonne10293</t>
  </si>
  <si>
    <t>Colonne10294</t>
  </si>
  <si>
    <t>Colonne10295</t>
  </si>
  <si>
    <t>Colonne10296</t>
  </si>
  <si>
    <t>Colonne10297</t>
  </si>
  <si>
    <t>Colonne10298</t>
  </si>
  <si>
    <t>Colonne10299</t>
  </si>
  <si>
    <t>Colonne10300</t>
  </si>
  <si>
    <t>Colonne10301</t>
  </si>
  <si>
    <t>Colonne10302</t>
  </si>
  <si>
    <t>Colonne10303</t>
  </si>
  <si>
    <t>Colonne10304</t>
  </si>
  <si>
    <t>Colonne10305</t>
  </si>
  <si>
    <t>Colonne10306</t>
  </si>
  <si>
    <t>Colonne10307</t>
  </si>
  <si>
    <t>Colonne10308</t>
  </si>
  <si>
    <t>Colonne10309</t>
  </si>
  <si>
    <t>Colonne10310</t>
  </si>
  <si>
    <t>Colonne10311</t>
  </si>
  <si>
    <t>Colonne10312</t>
  </si>
  <si>
    <t>Colonne10313</t>
  </si>
  <si>
    <t>Colonne10314</t>
  </si>
  <si>
    <t>Colonne10315</t>
  </si>
  <si>
    <t>Colonne10316</t>
  </si>
  <si>
    <t>Colonne10317</t>
  </si>
  <si>
    <t>Colonne10318</t>
  </si>
  <si>
    <t>Colonne10319</t>
  </si>
  <si>
    <t>Colonne10320</t>
  </si>
  <si>
    <t>Colonne10321</t>
  </si>
  <si>
    <t>Colonne10322</t>
  </si>
  <si>
    <t>Colonne10323</t>
  </si>
  <si>
    <t>Colonne10324</t>
  </si>
  <si>
    <t>Colonne10325</t>
  </si>
  <si>
    <t>Colonne10326</t>
  </si>
  <si>
    <t>Colonne10327</t>
  </si>
  <si>
    <t>Colonne10328</t>
  </si>
  <si>
    <t>Colonne10329</t>
  </si>
  <si>
    <t>Colonne10330</t>
  </si>
  <si>
    <t>Colonne10331</t>
  </si>
  <si>
    <t>Colonne10332</t>
  </si>
  <si>
    <t>Colonne10333</t>
  </si>
  <si>
    <t>Colonne10334</t>
  </si>
  <si>
    <t>Colonne10335</t>
  </si>
  <si>
    <t>Colonne10336</t>
  </si>
  <si>
    <t>Colonne10337</t>
  </si>
  <si>
    <t>Colonne10338</t>
  </si>
  <si>
    <t>Colonne10339</t>
  </si>
  <si>
    <t>Colonne10340</t>
  </si>
  <si>
    <t>Colonne10341</t>
  </si>
  <si>
    <t>Colonne10342</t>
  </si>
  <si>
    <t>Colonne10343</t>
  </si>
  <si>
    <t>Colonne10344</t>
  </si>
  <si>
    <t>Colonne10345</t>
  </si>
  <si>
    <t>Colonne10346</t>
  </si>
  <si>
    <t>Colonne10347</t>
  </si>
  <si>
    <t>Colonne10348</t>
  </si>
  <si>
    <t>Colonne10349</t>
  </si>
  <si>
    <t>Colonne10350</t>
  </si>
  <si>
    <t>Colonne10351</t>
  </si>
  <si>
    <t>Colonne10352</t>
  </si>
  <si>
    <t>Colonne10353</t>
  </si>
  <si>
    <t>Colonne10354</t>
  </si>
  <si>
    <t>Colonne10355</t>
  </si>
  <si>
    <t>Colonne10356</t>
  </si>
  <si>
    <t>Colonne10357</t>
  </si>
  <si>
    <t>Colonne10358</t>
  </si>
  <si>
    <t>Colonne10359</t>
  </si>
  <si>
    <t>Colonne10360</t>
  </si>
  <si>
    <t>Colonne10361</t>
  </si>
  <si>
    <t>Colonne10362</t>
  </si>
  <si>
    <t>Colonne10363</t>
  </si>
  <si>
    <t>Colonne10364</t>
  </si>
  <si>
    <t>Colonne10365</t>
  </si>
  <si>
    <t>Colonne10366</t>
  </si>
  <si>
    <t>Colonne10367</t>
  </si>
  <si>
    <t>Colonne10368</t>
  </si>
  <si>
    <t>Colonne10369</t>
  </si>
  <si>
    <t>Colonne10370</t>
  </si>
  <si>
    <t>Colonne10371</t>
  </si>
  <si>
    <t>Colonne10372</t>
  </si>
  <si>
    <t>Colonne10373</t>
  </si>
  <si>
    <t>Colonne10374</t>
  </si>
  <si>
    <t>Colonne10375</t>
  </si>
  <si>
    <t>Colonne10376</t>
  </si>
  <si>
    <t>Colonne10377</t>
  </si>
  <si>
    <t>Colonne10378</t>
  </si>
  <si>
    <t>Colonne10379</t>
  </si>
  <si>
    <t>Colonne10380</t>
  </si>
  <si>
    <t>Colonne10381</t>
  </si>
  <si>
    <t>Colonne10382</t>
  </si>
  <si>
    <t>Colonne10383</t>
  </si>
  <si>
    <t>Colonne10384</t>
  </si>
  <si>
    <t>Colonne10385</t>
  </si>
  <si>
    <t>Colonne10386</t>
  </si>
  <si>
    <t>Colonne10387</t>
  </si>
  <si>
    <t>Colonne10388</t>
  </si>
  <si>
    <t>Colonne10389</t>
  </si>
  <si>
    <t>Colonne10390</t>
  </si>
  <si>
    <t>Colonne10391</t>
  </si>
  <si>
    <t>Colonne10392</t>
  </si>
  <si>
    <t>Colonne10393</t>
  </si>
  <si>
    <t>Colonne10394</t>
  </si>
  <si>
    <t>Colonne10395</t>
  </si>
  <si>
    <t>Colonne10396</t>
  </si>
  <si>
    <t>Colonne10397</t>
  </si>
  <si>
    <t>Colonne10398</t>
  </si>
  <si>
    <t>Colonne10399</t>
  </si>
  <si>
    <t>Colonne10400</t>
  </si>
  <si>
    <t>Colonne10401</t>
  </si>
  <si>
    <t>Colonne10402</t>
  </si>
  <si>
    <t>Colonne10403</t>
  </si>
  <si>
    <t>Colonne10404</t>
  </si>
  <si>
    <t>Colonne10405</t>
  </si>
  <si>
    <t>Colonne10406</t>
  </si>
  <si>
    <t>Colonne10407</t>
  </si>
  <si>
    <t>Colonne10408</t>
  </si>
  <si>
    <t>Colonne10409</t>
  </si>
  <si>
    <t>Colonne10410</t>
  </si>
  <si>
    <t>Colonne10411</t>
  </si>
  <si>
    <t>Colonne10412</t>
  </si>
  <si>
    <t>Colonne10413</t>
  </si>
  <si>
    <t>Colonne10414</t>
  </si>
  <si>
    <t>Colonne10415</t>
  </si>
  <si>
    <t>Colonne10416</t>
  </si>
  <si>
    <t>Colonne10417</t>
  </si>
  <si>
    <t>Colonne10418</t>
  </si>
  <si>
    <t>Colonne10419</t>
  </si>
  <si>
    <t>Colonne10420</t>
  </si>
  <si>
    <t>Colonne10421</t>
  </si>
  <si>
    <t>Colonne10422</t>
  </si>
  <si>
    <t>Colonne10423</t>
  </si>
  <si>
    <t>Colonne10424</t>
  </si>
  <si>
    <t>Colonne10425</t>
  </si>
  <si>
    <t>Colonne10426</t>
  </si>
  <si>
    <t>Colonne10427</t>
  </si>
  <si>
    <t>Colonne10428</t>
  </si>
  <si>
    <t>Colonne10429</t>
  </si>
  <si>
    <t>Colonne10430</t>
  </si>
  <si>
    <t>Colonne10431</t>
  </si>
  <si>
    <t>Colonne10432</t>
  </si>
  <si>
    <t>Colonne10433</t>
  </si>
  <si>
    <t>Colonne10434</t>
  </si>
  <si>
    <t>Colonne10435</t>
  </si>
  <si>
    <t>Colonne10436</t>
  </si>
  <si>
    <t>Colonne10437</t>
  </si>
  <si>
    <t>Colonne10438</t>
  </si>
  <si>
    <t>Colonne10439</t>
  </si>
  <si>
    <t>Colonne10440</t>
  </si>
  <si>
    <t>Colonne10441</t>
  </si>
  <si>
    <t>Colonne10442</t>
  </si>
  <si>
    <t>Colonne10443</t>
  </si>
  <si>
    <t>Colonne10444</t>
  </si>
  <si>
    <t>Colonne10445</t>
  </si>
  <si>
    <t>Colonne10446</t>
  </si>
  <si>
    <t>Colonne10447</t>
  </si>
  <si>
    <t>Colonne10448</t>
  </si>
  <si>
    <t>Colonne10449</t>
  </si>
  <si>
    <t>Colonne10450</t>
  </si>
  <si>
    <t>Colonne10451</t>
  </si>
  <si>
    <t>Colonne10452</t>
  </si>
  <si>
    <t>Colonne10453</t>
  </si>
  <si>
    <t>Colonne10454</t>
  </si>
  <si>
    <t>Colonne10455</t>
  </si>
  <si>
    <t>Colonne10456</t>
  </si>
  <si>
    <t>Colonne10457</t>
  </si>
  <si>
    <t>Colonne10458</t>
  </si>
  <si>
    <t>Colonne10459</t>
  </si>
  <si>
    <t>Colonne10460</t>
  </si>
  <si>
    <t>Colonne10461</t>
  </si>
  <si>
    <t>Colonne10462</t>
  </si>
  <si>
    <t>Colonne10463</t>
  </si>
  <si>
    <t>Colonne10464</t>
  </si>
  <si>
    <t>Colonne10465</t>
  </si>
  <si>
    <t>Colonne10466</t>
  </si>
  <si>
    <t>Colonne10467</t>
  </si>
  <si>
    <t>Colonne10468</t>
  </si>
  <si>
    <t>Colonne10469</t>
  </si>
  <si>
    <t>Colonne10470</t>
  </si>
  <si>
    <t>Colonne10471</t>
  </si>
  <si>
    <t>Colonne10472</t>
  </si>
  <si>
    <t>Colonne10473</t>
  </si>
  <si>
    <t>Colonne10474</t>
  </si>
  <si>
    <t>Colonne10475</t>
  </si>
  <si>
    <t>Colonne10476</t>
  </si>
  <si>
    <t>Colonne10477</t>
  </si>
  <si>
    <t>Colonne10478</t>
  </si>
  <si>
    <t>Colonne10479</t>
  </si>
  <si>
    <t>Colonne10480</t>
  </si>
  <si>
    <t>Colonne10481</t>
  </si>
  <si>
    <t>Colonne10482</t>
  </si>
  <si>
    <t>Colonne10483</t>
  </si>
  <si>
    <t>Colonne10484</t>
  </si>
  <si>
    <t>Colonne10485</t>
  </si>
  <si>
    <t>Colonne10486</t>
  </si>
  <si>
    <t>Colonne10487</t>
  </si>
  <si>
    <t>Colonne10488</t>
  </si>
  <si>
    <t>Colonne10489</t>
  </si>
  <si>
    <t>Colonne10490</t>
  </si>
  <si>
    <t>Colonne10491</t>
  </si>
  <si>
    <t>Colonne10492</t>
  </si>
  <si>
    <t>Colonne10493</t>
  </si>
  <si>
    <t>Colonne10494</t>
  </si>
  <si>
    <t>Colonne10495</t>
  </si>
  <si>
    <t>Colonne10496</t>
  </si>
  <si>
    <t>Colonne10497</t>
  </si>
  <si>
    <t>Colonne10498</t>
  </si>
  <si>
    <t>Colonne10499</t>
  </si>
  <si>
    <t>Colonne10500</t>
  </si>
  <si>
    <t>Colonne10501</t>
  </si>
  <si>
    <t>Colonne10502</t>
  </si>
  <si>
    <t>Colonne10503</t>
  </si>
  <si>
    <t>Colonne10504</t>
  </si>
  <si>
    <t>Colonne10505</t>
  </si>
  <si>
    <t>Colonne10506</t>
  </si>
  <si>
    <t>Colonne10507</t>
  </si>
  <si>
    <t>Colonne10508</t>
  </si>
  <si>
    <t>Colonne10509</t>
  </si>
  <si>
    <t>Colonne10510</t>
  </si>
  <si>
    <t>Colonne10511</t>
  </si>
  <si>
    <t>Colonne10512</t>
  </si>
  <si>
    <t>Colonne10513</t>
  </si>
  <si>
    <t>Colonne10514</t>
  </si>
  <si>
    <t>Colonne10515</t>
  </si>
  <si>
    <t>Colonne10516</t>
  </si>
  <si>
    <t>Colonne10517</t>
  </si>
  <si>
    <t>Colonne10518</t>
  </si>
  <si>
    <t>Colonne10519</t>
  </si>
  <si>
    <t>Colonne10520</t>
  </si>
  <si>
    <t>Colonne10521</t>
  </si>
  <si>
    <t>Colonne10522</t>
  </si>
  <si>
    <t>Colonne10523</t>
  </si>
  <si>
    <t>Colonne10524</t>
  </si>
  <si>
    <t>Colonne10525</t>
  </si>
  <si>
    <t>Colonne10526</t>
  </si>
  <si>
    <t>Colonne10527</t>
  </si>
  <si>
    <t>Colonne10528</t>
  </si>
  <si>
    <t>Colonne10529</t>
  </si>
  <si>
    <t>Colonne10530</t>
  </si>
  <si>
    <t>Colonne10531</t>
  </si>
  <si>
    <t>Colonne10532</t>
  </si>
  <si>
    <t>Colonne10533</t>
  </si>
  <si>
    <t>Colonne10534</t>
  </si>
  <si>
    <t>Colonne10535</t>
  </si>
  <si>
    <t>Colonne10536</t>
  </si>
  <si>
    <t>Colonne10537</t>
  </si>
  <si>
    <t>Colonne10538</t>
  </si>
  <si>
    <t>Colonne10539</t>
  </si>
  <si>
    <t>Colonne10540</t>
  </si>
  <si>
    <t>Colonne10541</t>
  </si>
  <si>
    <t>Colonne10542</t>
  </si>
  <si>
    <t>Colonne10543</t>
  </si>
  <si>
    <t>Colonne10544</t>
  </si>
  <si>
    <t>Colonne10545</t>
  </si>
  <si>
    <t>Colonne10546</t>
  </si>
  <si>
    <t>Colonne10547</t>
  </si>
  <si>
    <t>Colonne10548</t>
  </si>
  <si>
    <t>Colonne10549</t>
  </si>
  <si>
    <t>Colonne10550</t>
  </si>
  <si>
    <t>Colonne10551</t>
  </si>
  <si>
    <t>Colonne10552</t>
  </si>
  <si>
    <t>Colonne10553</t>
  </si>
  <si>
    <t>Colonne10554</t>
  </si>
  <si>
    <t>Colonne10555</t>
  </si>
  <si>
    <t>Colonne10556</t>
  </si>
  <si>
    <t>Colonne10557</t>
  </si>
  <si>
    <t>Colonne10558</t>
  </si>
  <si>
    <t>Colonne10559</t>
  </si>
  <si>
    <t>Colonne10560</t>
  </si>
  <si>
    <t>Colonne10561</t>
  </si>
  <si>
    <t>Colonne10562</t>
  </si>
  <si>
    <t>Colonne10563</t>
  </si>
  <si>
    <t>Colonne10564</t>
  </si>
  <si>
    <t>Colonne10565</t>
  </si>
  <si>
    <t>Colonne10566</t>
  </si>
  <si>
    <t>Colonne10567</t>
  </si>
  <si>
    <t>Colonne10568</t>
  </si>
  <si>
    <t>Colonne10569</t>
  </si>
  <si>
    <t>Colonne10570</t>
  </si>
  <si>
    <t>Colonne10571</t>
  </si>
  <si>
    <t>Colonne10572</t>
  </si>
  <si>
    <t>Colonne10573</t>
  </si>
  <si>
    <t>Colonne10574</t>
  </si>
  <si>
    <t>Colonne10575</t>
  </si>
  <si>
    <t>Colonne10576</t>
  </si>
  <si>
    <t>Colonne10577</t>
  </si>
  <si>
    <t>Colonne10578</t>
  </si>
  <si>
    <t>Colonne10579</t>
  </si>
  <si>
    <t>Colonne10580</t>
  </si>
  <si>
    <t>Colonne10581</t>
  </si>
  <si>
    <t>Colonne10582</t>
  </si>
  <si>
    <t>Colonne10583</t>
  </si>
  <si>
    <t>Colonne10584</t>
  </si>
  <si>
    <t>Colonne10585</t>
  </si>
  <si>
    <t>Colonne10586</t>
  </si>
  <si>
    <t>Colonne10587</t>
  </si>
  <si>
    <t>Colonne10588</t>
  </si>
  <si>
    <t>Colonne10589</t>
  </si>
  <si>
    <t>Colonne10590</t>
  </si>
  <si>
    <t>Colonne10591</t>
  </si>
  <si>
    <t>Colonne10592</t>
  </si>
  <si>
    <t>Colonne10593</t>
  </si>
  <si>
    <t>Colonne10594</t>
  </si>
  <si>
    <t>Colonne10595</t>
  </si>
  <si>
    <t>Colonne10596</t>
  </si>
  <si>
    <t>Colonne10597</t>
  </si>
  <si>
    <t>Colonne10598</t>
  </si>
  <si>
    <t>Colonne10599</t>
  </si>
  <si>
    <t>Colonne10600</t>
  </si>
  <si>
    <t>Colonne10601</t>
  </si>
  <si>
    <t>Colonne10602</t>
  </si>
  <si>
    <t>Colonne10603</t>
  </si>
  <si>
    <t>Colonne10604</t>
  </si>
  <si>
    <t>Colonne10605</t>
  </si>
  <si>
    <t>Colonne10606</t>
  </si>
  <si>
    <t>Colonne10607</t>
  </si>
  <si>
    <t>Colonne10608</t>
  </si>
  <si>
    <t>Colonne10609</t>
  </si>
  <si>
    <t>Colonne10610</t>
  </si>
  <si>
    <t>Colonne10611</t>
  </si>
  <si>
    <t>Colonne10612</t>
  </si>
  <si>
    <t>Colonne10613</t>
  </si>
  <si>
    <t>Colonne10614</t>
  </si>
  <si>
    <t>Colonne10615</t>
  </si>
  <si>
    <t>Colonne10616</t>
  </si>
  <si>
    <t>Colonne10617</t>
  </si>
  <si>
    <t>Colonne10618</t>
  </si>
  <si>
    <t>Colonne10619</t>
  </si>
  <si>
    <t>Colonne10620</t>
  </si>
  <si>
    <t>Colonne10621</t>
  </si>
  <si>
    <t>Colonne10622</t>
  </si>
  <si>
    <t>Colonne10623</t>
  </si>
  <si>
    <t>Colonne10624</t>
  </si>
  <si>
    <t>Colonne10625</t>
  </si>
  <si>
    <t>Colonne10626</t>
  </si>
  <si>
    <t>Colonne10627</t>
  </si>
  <si>
    <t>Colonne10628</t>
  </si>
  <si>
    <t>Colonne10629</t>
  </si>
  <si>
    <t>Colonne10630</t>
  </si>
  <si>
    <t>Colonne10631</t>
  </si>
  <si>
    <t>Colonne10632</t>
  </si>
  <si>
    <t>Colonne10633</t>
  </si>
  <si>
    <t>Colonne10634</t>
  </si>
  <si>
    <t>Colonne10635</t>
  </si>
  <si>
    <t>Colonne10636</t>
  </si>
  <si>
    <t>Colonne10637</t>
  </si>
  <si>
    <t>Colonne10638</t>
  </si>
  <si>
    <t>Colonne10639</t>
  </si>
  <si>
    <t>Colonne10640</t>
  </si>
  <si>
    <t>Colonne10641</t>
  </si>
  <si>
    <t>Colonne10642</t>
  </si>
  <si>
    <t>Colonne10643</t>
  </si>
  <si>
    <t>Colonne10644</t>
  </si>
  <si>
    <t>Colonne10645</t>
  </si>
  <si>
    <t>Colonne10646</t>
  </si>
  <si>
    <t>Colonne10647</t>
  </si>
  <si>
    <t>Colonne10648</t>
  </si>
  <si>
    <t>Colonne10649</t>
  </si>
  <si>
    <t>Colonne10650</t>
  </si>
  <si>
    <t>Colonne10651</t>
  </si>
  <si>
    <t>Colonne10652</t>
  </si>
  <si>
    <t>Colonne10653</t>
  </si>
  <si>
    <t>Colonne10654</t>
  </si>
  <si>
    <t>Colonne10655</t>
  </si>
  <si>
    <t>Colonne10656</t>
  </si>
  <si>
    <t>Colonne10657</t>
  </si>
  <si>
    <t>Colonne10658</t>
  </si>
  <si>
    <t>Colonne10659</t>
  </si>
  <si>
    <t>Colonne10660</t>
  </si>
  <si>
    <t>Colonne10661</t>
  </si>
  <si>
    <t>Colonne10662</t>
  </si>
  <si>
    <t>Colonne10663</t>
  </si>
  <si>
    <t>Colonne10664</t>
  </si>
  <si>
    <t>Colonne10665</t>
  </si>
  <si>
    <t>Colonne10666</t>
  </si>
  <si>
    <t>Colonne10667</t>
  </si>
  <si>
    <t>Colonne10668</t>
  </si>
  <si>
    <t>Colonne10669</t>
  </si>
  <si>
    <t>Colonne10670</t>
  </si>
  <si>
    <t>Colonne10671</t>
  </si>
  <si>
    <t>Colonne10672</t>
  </si>
  <si>
    <t>Colonne10673</t>
  </si>
  <si>
    <t>Colonne10674</t>
  </si>
  <si>
    <t>Colonne10675</t>
  </si>
  <si>
    <t>Colonne10676</t>
  </si>
  <si>
    <t>Colonne10677</t>
  </si>
  <si>
    <t>Colonne10678</t>
  </si>
  <si>
    <t>Colonne10679</t>
  </si>
  <si>
    <t>Colonne10680</t>
  </si>
  <si>
    <t>Colonne10681</t>
  </si>
  <si>
    <t>Colonne10682</t>
  </si>
  <si>
    <t>Colonne10683</t>
  </si>
  <si>
    <t>Colonne10684</t>
  </si>
  <si>
    <t>Colonne10685</t>
  </si>
  <si>
    <t>Colonne10686</t>
  </si>
  <si>
    <t>Colonne10687</t>
  </si>
  <si>
    <t>Colonne10688</t>
  </si>
  <si>
    <t>Colonne10689</t>
  </si>
  <si>
    <t>Colonne10690</t>
  </si>
  <si>
    <t>Colonne10691</t>
  </si>
  <si>
    <t>Colonne10692</t>
  </si>
  <si>
    <t>Colonne10693</t>
  </si>
  <si>
    <t>Colonne10694</t>
  </si>
  <si>
    <t>Colonne10695</t>
  </si>
  <si>
    <t>Colonne10696</t>
  </si>
  <si>
    <t>Colonne10697</t>
  </si>
  <si>
    <t>Colonne10698</t>
  </si>
  <si>
    <t>Colonne10699</t>
  </si>
  <si>
    <t>Colonne10700</t>
  </si>
  <si>
    <t>Colonne10701</t>
  </si>
  <si>
    <t>Colonne10702</t>
  </si>
  <si>
    <t>Colonne10703</t>
  </si>
  <si>
    <t>Colonne10704</t>
  </si>
  <si>
    <t>Colonne10705</t>
  </si>
  <si>
    <t>Colonne10706</t>
  </si>
  <si>
    <t>Colonne10707</t>
  </si>
  <si>
    <t>Colonne10708</t>
  </si>
  <si>
    <t>Colonne10709</t>
  </si>
  <si>
    <t>Colonne10710</t>
  </si>
  <si>
    <t>Colonne10711</t>
  </si>
  <si>
    <t>Colonne10712</t>
  </si>
  <si>
    <t>Colonne10713</t>
  </si>
  <si>
    <t>Colonne10714</t>
  </si>
  <si>
    <t>Colonne10715</t>
  </si>
  <si>
    <t>Colonne10716</t>
  </si>
  <si>
    <t>Colonne10717</t>
  </si>
  <si>
    <t>Colonne10718</t>
  </si>
  <si>
    <t>Colonne10719</t>
  </si>
  <si>
    <t>Colonne10720</t>
  </si>
  <si>
    <t>Colonne10721</t>
  </si>
  <si>
    <t>Colonne10722</t>
  </si>
  <si>
    <t>Colonne10723</t>
  </si>
  <si>
    <t>Colonne10724</t>
  </si>
  <si>
    <t>Colonne10725</t>
  </si>
  <si>
    <t>Colonne10726</t>
  </si>
  <si>
    <t>Colonne10727</t>
  </si>
  <si>
    <t>Colonne10728</t>
  </si>
  <si>
    <t>Colonne10729</t>
  </si>
  <si>
    <t>Colonne10730</t>
  </si>
  <si>
    <t>Colonne10731</t>
  </si>
  <si>
    <t>Colonne10732</t>
  </si>
  <si>
    <t>Colonne10733</t>
  </si>
  <si>
    <t>Colonne10734</t>
  </si>
  <si>
    <t>Colonne10735</t>
  </si>
  <si>
    <t>Colonne10736</t>
  </si>
  <si>
    <t>Colonne10737</t>
  </si>
  <si>
    <t>Colonne10738</t>
  </si>
  <si>
    <t>Colonne10739</t>
  </si>
  <si>
    <t>Colonne10740</t>
  </si>
  <si>
    <t>Colonne10741</t>
  </si>
  <si>
    <t>Colonne10742</t>
  </si>
  <si>
    <t>Colonne10743</t>
  </si>
  <si>
    <t>Colonne10744</t>
  </si>
  <si>
    <t>Colonne10745</t>
  </si>
  <si>
    <t>Colonne10746</t>
  </si>
  <si>
    <t>Colonne10747</t>
  </si>
  <si>
    <t>Colonne10748</t>
  </si>
  <si>
    <t>Colonne10749</t>
  </si>
  <si>
    <t>Colonne10750</t>
  </si>
  <si>
    <t>Colonne10751</t>
  </si>
  <si>
    <t>Colonne10752</t>
  </si>
  <si>
    <t>Colonne10753</t>
  </si>
  <si>
    <t>Colonne10754</t>
  </si>
  <si>
    <t>Colonne10755</t>
  </si>
  <si>
    <t>Colonne10756</t>
  </si>
  <si>
    <t>Colonne10757</t>
  </si>
  <si>
    <t>Colonne10758</t>
  </si>
  <si>
    <t>Colonne10759</t>
  </si>
  <si>
    <t>Colonne10760</t>
  </si>
  <si>
    <t>Colonne10761</t>
  </si>
  <si>
    <t>Colonne10762</t>
  </si>
  <si>
    <t>Colonne10763</t>
  </si>
  <si>
    <t>Colonne10764</t>
  </si>
  <si>
    <t>Colonne10765</t>
  </si>
  <si>
    <t>Colonne10766</t>
  </si>
  <si>
    <t>Colonne10767</t>
  </si>
  <si>
    <t>Colonne10768</t>
  </si>
  <si>
    <t>Colonne10769</t>
  </si>
  <si>
    <t>Colonne10770</t>
  </si>
  <si>
    <t>Colonne10771</t>
  </si>
  <si>
    <t>Colonne10772</t>
  </si>
  <si>
    <t>Colonne10773</t>
  </si>
  <si>
    <t>Colonne10774</t>
  </si>
  <si>
    <t>Colonne10775</t>
  </si>
  <si>
    <t>Colonne10776</t>
  </si>
  <si>
    <t>Colonne10777</t>
  </si>
  <si>
    <t>Colonne10778</t>
  </si>
  <si>
    <t>Colonne10779</t>
  </si>
  <si>
    <t>Colonne10780</t>
  </si>
  <si>
    <t>Colonne10781</t>
  </si>
  <si>
    <t>Colonne10782</t>
  </si>
  <si>
    <t>Colonne10783</t>
  </si>
  <si>
    <t>Colonne10784</t>
  </si>
  <si>
    <t>Colonne10785</t>
  </si>
  <si>
    <t>Colonne10786</t>
  </si>
  <si>
    <t>Colonne10787</t>
  </si>
  <si>
    <t>Colonne10788</t>
  </si>
  <si>
    <t>Colonne10789</t>
  </si>
  <si>
    <t>Colonne10790</t>
  </si>
  <si>
    <t>Colonne10791</t>
  </si>
  <si>
    <t>Colonne10792</t>
  </si>
  <si>
    <t>Colonne10793</t>
  </si>
  <si>
    <t>Colonne10794</t>
  </si>
  <si>
    <t>Colonne10795</t>
  </si>
  <si>
    <t>Colonne10796</t>
  </si>
  <si>
    <t>Colonne10797</t>
  </si>
  <si>
    <t>Colonne10798</t>
  </si>
  <si>
    <t>Colonne10799</t>
  </si>
  <si>
    <t>Colonne10800</t>
  </si>
  <si>
    <t>Colonne10801</t>
  </si>
  <si>
    <t>Colonne10802</t>
  </si>
  <si>
    <t>Colonne10803</t>
  </si>
  <si>
    <t>Colonne10804</t>
  </si>
  <si>
    <t>Colonne10805</t>
  </si>
  <si>
    <t>Colonne10806</t>
  </si>
  <si>
    <t>Colonne10807</t>
  </si>
  <si>
    <t>Colonne10808</t>
  </si>
  <si>
    <t>Colonne10809</t>
  </si>
  <si>
    <t>Colonne10810</t>
  </si>
  <si>
    <t>Colonne10811</t>
  </si>
  <si>
    <t>Colonne10812</t>
  </si>
  <si>
    <t>Colonne10813</t>
  </si>
  <si>
    <t>Colonne10814</t>
  </si>
  <si>
    <t>Colonne10815</t>
  </si>
  <si>
    <t>Colonne10816</t>
  </si>
  <si>
    <t>Colonne10817</t>
  </si>
  <si>
    <t>Colonne10818</t>
  </si>
  <si>
    <t>Colonne10819</t>
  </si>
  <si>
    <t>Colonne10820</t>
  </si>
  <si>
    <t>Colonne10821</t>
  </si>
  <si>
    <t>Colonne10822</t>
  </si>
  <si>
    <t>Colonne10823</t>
  </si>
  <si>
    <t>Colonne10824</t>
  </si>
  <si>
    <t>Colonne10825</t>
  </si>
  <si>
    <t>Colonne10826</t>
  </si>
  <si>
    <t>Colonne10827</t>
  </si>
  <si>
    <t>Colonne10828</t>
  </si>
  <si>
    <t>Colonne10829</t>
  </si>
  <si>
    <t>Colonne10830</t>
  </si>
  <si>
    <t>Colonne10831</t>
  </si>
  <si>
    <t>Colonne10832</t>
  </si>
  <si>
    <t>Colonne10833</t>
  </si>
  <si>
    <t>Colonne10834</t>
  </si>
  <si>
    <t>Colonne10835</t>
  </si>
  <si>
    <t>Colonne10836</t>
  </si>
  <si>
    <t>Colonne10837</t>
  </si>
  <si>
    <t>Colonne10838</t>
  </si>
  <si>
    <t>Colonne10839</t>
  </si>
  <si>
    <t>Colonne10840</t>
  </si>
  <si>
    <t>Colonne10841</t>
  </si>
  <si>
    <t>Colonne10842</t>
  </si>
  <si>
    <t>Colonne10843</t>
  </si>
  <si>
    <t>Colonne10844</t>
  </si>
  <si>
    <t>Colonne10845</t>
  </si>
  <si>
    <t>Colonne10846</t>
  </si>
  <si>
    <t>Colonne10847</t>
  </si>
  <si>
    <t>Colonne10848</t>
  </si>
  <si>
    <t>Colonne10849</t>
  </si>
  <si>
    <t>Colonne10850</t>
  </si>
  <si>
    <t>Colonne10851</t>
  </si>
  <si>
    <t>Colonne10852</t>
  </si>
  <si>
    <t>Colonne10853</t>
  </si>
  <si>
    <t>Colonne10854</t>
  </si>
  <si>
    <t>Colonne10855</t>
  </si>
  <si>
    <t>Colonne10856</t>
  </si>
  <si>
    <t>Colonne10857</t>
  </si>
  <si>
    <t>Colonne10858</t>
  </si>
  <si>
    <t>Colonne10859</t>
  </si>
  <si>
    <t>Colonne10860</t>
  </si>
  <si>
    <t>Colonne10861</t>
  </si>
  <si>
    <t>Colonne10862</t>
  </si>
  <si>
    <t>Colonne10863</t>
  </si>
  <si>
    <t>Colonne10864</t>
  </si>
  <si>
    <t>Colonne10865</t>
  </si>
  <si>
    <t>Colonne10866</t>
  </si>
  <si>
    <t>Colonne10867</t>
  </si>
  <si>
    <t>Colonne10868</t>
  </si>
  <si>
    <t>Colonne10869</t>
  </si>
  <si>
    <t>Colonne10870</t>
  </si>
  <si>
    <t>Colonne10871</t>
  </si>
  <si>
    <t>Colonne10872</t>
  </si>
  <si>
    <t>Colonne10873</t>
  </si>
  <si>
    <t>Colonne10874</t>
  </si>
  <si>
    <t>Colonne10875</t>
  </si>
  <si>
    <t>Colonne10876</t>
  </si>
  <si>
    <t>Colonne10877</t>
  </si>
  <si>
    <t>Colonne10878</t>
  </si>
  <si>
    <t>Colonne10879</t>
  </si>
  <si>
    <t>Colonne10880</t>
  </si>
  <si>
    <t>Colonne10881</t>
  </si>
  <si>
    <t>Colonne10882</t>
  </si>
  <si>
    <t>Colonne10883</t>
  </si>
  <si>
    <t>Colonne10884</t>
  </si>
  <si>
    <t>Colonne10885</t>
  </si>
  <si>
    <t>Colonne10886</t>
  </si>
  <si>
    <t>Colonne10887</t>
  </si>
  <si>
    <t>Colonne10888</t>
  </si>
  <si>
    <t>Colonne10889</t>
  </si>
  <si>
    <t>Colonne10890</t>
  </si>
  <si>
    <t>Colonne10891</t>
  </si>
  <si>
    <t>Colonne10892</t>
  </si>
  <si>
    <t>Colonne10893</t>
  </si>
  <si>
    <t>Colonne10894</t>
  </si>
  <si>
    <t>Colonne10895</t>
  </si>
  <si>
    <t>Colonne10896</t>
  </si>
  <si>
    <t>Colonne10897</t>
  </si>
  <si>
    <t>Colonne10898</t>
  </si>
  <si>
    <t>Colonne10899</t>
  </si>
  <si>
    <t>Colonne10900</t>
  </si>
  <si>
    <t>Colonne10901</t>
  </si>
  <si>
    <t>Colonne10902</t>
  </si>
  <si>
    <t>Colonne10903</t>
  </si>
  <si>
    <t>Colonne10904</t>
  </si>
  <si>
    <t>Colonne10905</t>
  </si>
  <si>
    <t>Colonne10906</t>
  </si>
  <si>
    <t>Colonne10907</t>
  </si>
  <si>
    <t>Colonne10908</t>
  </si>
  <si>
    <t>Colonne10909</t>
  </si>
  <si>
    <t>Colonne10910</t>
  </si>
  <si>
    <t>Colonne10911</t>
  </si>
  <si>
    <t>Colonne10912</t>
  </si>
  <si>
    <t>Colonne10913</t>
  </si>
  <si>
    <t>Colonne10914</t>
  </si>
  <si>
    <t>Colonne10915</t>
  </si>
  <si>
    <t>Colonne10916</t>
  </si>
  <si>
    <t>Colonne10917</t>
  </si>
  <si>
    <t>Colonne10918</t>
  </si>
  <si>
    <t>Colonne10919</t>
  </si>
  <si>
    <t>Colonne10920</t>
  </si>
  <si>
    <t>Colonne10921</t>
  </si>
  <si>
    <t>Colonne10922</t>
  </si>
  <si>
    <t>Colonne10923</t>
  </si>
  <si>
    <t>Colonne10924</t>
  </si>
  <si>
    <t>Colonne10925</t>
  </si>
  <si>
    <t>Colonne10926</t>
  </si>
  <si>
    <t>Colonne10927</t>
  </si>
  <si>
    <t>Colonne10928</t>
  </si>
  <si>
    <t>Colonne10929</t>
  </si>
  <si>
    <t>Colonne10930</t>
  </si>
  <si>
    <t>Colonne10931</t>
  </si>
  <si>
    <t>Colonne10932</t>
  </si>
  <si>
    <t>Colonne10933</t>
  </si>
  <si>
    <t>Colonne10934</t>
  </si>
  <si>
    <t>Colonne10935</t>
  </si>
  <si>
    <t>Colonne10936</t>
  </si>
  <si>
    <t>Colonne10937</t>
  </si>
  <si>
    <t>Colonne10938</t>
  </si>
  <si>
    <t>Colonne10939</t>
  </si>
  <si>
    <t>Colonne10940</t>
  </si>
  <si>
    <t>Colonne10941</t>
  </si>
  <si>
    <t>Colonne10942</t>
  </si>
  <si>
    <t>Colonne10943</t>
  </si>
  <si>
    <t>Colonne10944</t>
  </si>
  <si>
    <t>Colonne10945</t>
  </si>
  <si>
    <t>Colonne10946</t>
  </si>
  <si>
    <t>Colonne10947</t>
  </si>
  <si>
    <t>Colonne10948</t>
  </si>
  <si>
    <t>Colonne10949</t>
  </si>
  <si>
    <t>Colonne10950</t>
  </si>
  <si>
    <t>Colonne10951</t>
  </si>
  <si>
    <t>Colonne10952</t>
  </si>
  <si>
    <t>Colonne10953</t>
  </si>
  <si>
    <t>Colonne10954</t>
  </si>
  <si>
    <t>Colonne10955</t>
  </si>
  <si>
    <t>Colonne10956</t>
  </si>
  <si>
    <t>Colonne10957</t>
  </si>
  <si>
    <t>Colonne10958</t>
  </si>
  <si>
    <t>Colonne10959</t>
  </si>
  <si>
    <t>Colonne10960</t>
  </si>
  <si>
    <t>Colonne10961</t>
  </si>
  <si>
    <t>Colonne10962</t>
  </si>
  <si>
    <t>Colonne10963</t>
  </si>
  <si>
    <t>Colonne10964</t>
  </si>
  <si>
    <t>Colonne10965</t>
  </si>
  <si>
    <t>Colonne10966</t>
  </si>
  <si>
    <t>Colonne10967</t>
  </si>
  <si>
    <t>Colonne10968</t>
  </si>
  <si>
    <t>Colonne10969</t>
  </si>
  <si>
    <t>Colonne10970</t>
  </si>
  <si>
    <t>Colonne10971</t>
  </si>
  <si>
    <t>Colonne10972</t>
  </si>
  <si>
    <t>Colonne10973</t>
  </si>
  <si>
    <t>Colonne10974</t>
  </si>
  <si>
    <t>Colonne10975</t>
  </si>
  <si>
    <t>Colonne10976</t>
  </si>
  <si>
    <t>Colonne10977</t>
  </si>
  <si>
    <t>Colonne10978</t>
  </si>
  <si>
    <t>Colonne10979</t>
  </si>
  <si>
    <t>Colonne10980</t>
  </si>
  <si>
    <t>Colonne10981</t>
  </si>
  <si>
    <t>Colonne10982</t>
  </si>
  <si>
    <t>Colonne10983</t>
  </si>
  <si>
    <t>Colonne10984</t>
  </si>
  <si>
    <t>Colonne10985</t>
  </si>
  <si>
    <t>Colonne10986</t>
  </si>
  <si>
    <t>Colonne10987</t>
  </si>
  <si>
    <t>Colonne10988</t>
  </si>
  <si>
    <t>Colonne10989</t>
  </si>
  <si>
    <t>Colonne10990</t>
  </si>
  <si>
    <t>Colonne10991</t>
  </si>
  <si>
    <t>Colonne10992</t>
  </si>
  <si>
    <t>Colonne10993</t>
  </si>
  <si>
    <t>Colonne10994</t>
  </si>
  <si>
    <t>Colonne10995</t>
  </si>
  <si>
    <t>Colonne10996</t>
  </si>
  <si>
    <t>Colonne10997</t>
  </si>
  <si>
    <t>Colonne10998</t>
  </si>
  <si>
    <t>Colonne10999</t>
  </si>
  <si>
    <t>Colonne11000</t>
  </si>
  <si>
    <t>Colonne11001</t>
  </si>
  <si>
    <t>Colonne11002</t>
  </si>
  <si>
    <t>Colonne11003</t>
  </si>
  <si>
    <t>Colonne11004</t>
  </si>
  <si>
    <t>Colonne11005</t>
  </si>
  <si>
    <t>Colonne11006</t>
  </si>
  <si>
    <t>Colonne11007</t>
  </si>
  <si>
    <t>Colonne11008</t>
  </si>
  <si>
    <t>Colonne11009</t>
  </si>
  <si>
    <t>Colonne11010</t>
  </si>
  <si>
    <t>Colonne11011</t>
  </si>
  <si>
    <t>Colonne11012</t>
  </si>
  <si>
    <t>Colonne11013</t>
  </si>
  <si>
    <t>Colonne11014</t>
  </si>
  <si>
    <t>Colonne11015</t>
  </si>
  <si>
    <t>Colonne11016</t>
  </si>
  <si>
    <t>Colonne11017</t>
  </si>
  <si>
    <t>Colonne11018</t>
  </si>
  <si>
    <t>Colonne11019</t>
  </si>
  <si>
    <t>Colonne11020</t>
  </si>
  <si>
    <t>Colonne11021</t>
  </si>
  <si>
    <t>Colonne11022</t>
  </si>
  <si>
    <t>Colonne11023</t>
  </si>
  <si>
    <t>Colonne11024</t>
  </si>
  <si>
    <t>Colonne11025</t>
  </si>
  <si>
    <t>Colonne11026</t>
  </si>
  <si>
    <t>Colonne11027</t>
  </si>
  <si>
    <t>Colonne11028</t>
  </si>
  <si>
    <t>Colonne11029</t>
  </si>
  <si>
    <t>Colonne11030</t>
  </si>
  <si>
    <t>Colonne11031</t>
  </si>
  <si>
    <t>Colonne11032</t>
  </si>
  <si>
    <t>Colonne11033</t>
  </si>
  <si>
    <t>Colonne11034</t>
  </si>
  <si>
    <t>Colonne11035</t>
  </si>
  <si>
    <t>Colonne11036</t>
  </si>
  <si>
    <t>Colonne11037</t>
  </si>
  <si>
    <t>Colonne11038</t>
  </si>
  <si>
    <t>Colonne11039</t>
  </si>
  <si>
    <t>Colonne11040</t>
  </si>
  <si>
    <t>Colonne11041</t>
  </si>
  <si>
    <t>Colonne11042</t>
  </si>
  <si>
    <t>Colonne11043</t>
  </si>
  <si>
    <t>Colonne11044</t>
  </si>
  <si>
    <t>Colonne11045</t>
  </si>
  <si>
    <t>Colonne11046</t>
  </si>
  <si>
    <t>Colonne11047</t>
  </si>
  <si>
    <t>Colonne11048</t>
  </si>
  <si>
    <t>Colonne11049</t>
  </si>
  <si>
    <t>Colonne11050</t>
  </si>
  <si>
    <t>Colonne11051</t>
  </si>
  <si>
    <t>Colonne11052</t>
  </si>
  <si>
    <t>Colonne11053</t>
  </si>
  <si>
    <t>Colonne11054</t>
  </si>
  <si>
    <t>Colonne11055</t>
  </si>
  <si>
    <t>Colonne11056</t>
  </si>
  <si>
    <t>Colonne11057</t>
  </si>
  <si>
    <t>Colonne11058</t>
  </si>
  <si>
    <t>Colonne11059</t>
  </si>
  <si>
    <t>Colonne11060</t>
  </si>
  <si>
    <t>Colonne11061</t>
  </si>
  <si>
    <t>Colonne11062</t>
  </si>
  <si>
    <t>Colonne11063</t>
  </si>
  <si>
    <t>Colonne11064</t>
  </si>
  <si>
    <t>Colonne11065</t>
  </si>
  <si>
    <t>Colonne11066</t>
  </si>
  <si>
    <t>Colonne11067</t>
  </si>
  <si>
    <t>Colonne11068</t>
  </si>
  <si>
    <t>Colonne11069</t>
  </si>
  <si>
    <t>Colonne11070</t>
  </si>
  <si>
    <t>Colonne11071</t>
  </si>
  <si>
    <t>Colonne11072</t>
  </si>
  <si>
    <t>Colonne11073</t>
  </si>
  <si>
    <t>Colonne11074</t>
  </si>
  <si>
    <t>Colonne11075</t>
  </si>
  <si>
    <t>Colonne11076</t>
  </si>
  <si>
    <t>Colonne11077</t>
  </si>
  <si>
    <t>Colonne11078</t>
  </si>
  <si>
    <t>Colonne11079</t>
  </si>
  <si>
    <t>Colonne11080</t>
  </si>
  <si>
    <t>Colonne11081</t>
  </si>
  <si>
    <t>Colonne11082</t>
  </si>
  <si>
    <t>Colonne11083</t>
  </si>
  <si>
    <t>Colonne11084</t>
  </si>
  <si>
    <t>Colonne11085</t>
  </si>
  <si>
    <t>Colonne11086</t>
  </si>
  <si>
    <t>Colonne11087</t>
  </si>
  <si>
    <t>Colonne11088</t>
  </si>
  <si>
    <t>Colonne11089</t>
  </si>
  <si>
    <t>Colonne11090</t>
  </si>
  <si>
    <t>Colonne11091</t>
  </si>
  <si>
    <t>Colonne11092</t>
  </si>
  <si>
    <t>Colonne11093</t>
  </si>
  <si>
    <t>Colonne11094</t>
  </si>
  <si>
    <t>Colonne11095</t>
  </si>
  <si>
    <t>Colonne11096</t>
  </si>
  <si>
    <t>Colonne11097</t>
  </si>
  <si>
    <t>Colonne11098</t>
  </si>
  <si>
    <t>Colonne11099</t>
  </si>
  <si>
    <t>Colonne11100</t>
  </si>
  <si>
    <t>Colonne11101</t>
  </si>
  <si>
    <t>Colonne11102</t>
  </si>
  <si>
    <t>Colonne11103</t>
  </si>
  <si>
    <t>Colonne11104</t>
  </si>
  <si>
    <t>Colonne11105</t>
  </si>
  <si>
    <t>Colonne11106</t>
  </si>
  <si>
    <t>Colonne11107</t>
  </si>
  <si>
    <t>Colonne11108</t>
  </si>
  <si>
    <t>Colonne11109</t>
  </si>
  <si>
    <t>Colonne11110</t>
  </si>
  <si>
    <t>Colonne11111</t>
  </si>
  <si>
    <t>Colonne11112</t>
  </si>
  <si>
    <t>Colonne11113</t>
  </si>
  <si>
    <t>Colonne11114</t>
  </si>
  <si>
    <t>Colonne11115</t>
  </si>
  <si>
    <t>Colonne11116</t>
  </si>
  <si>
    <t>Colonne11117</t>
  </si>
  <si>
    <t>Colonne11118</t>
  </si>
  <si>
    <t>Colonne11119</t>
  </si>
  <si>
    <t>Colonne11120</t>
  </si>
  <si>
    <t>Colonne11121</t>
  </si>
  <si>
    <t>Colonne11122</t>
  </si>
  <si>
    <t>Colonne11123</t>
  </si>
  <si>
    <t>Colonne11124</t>
  </si>
  <si>
    <t>Colonne11125</t>
  </si>
  <si>
    <t>Colonne11126</t>
  </si>
  <si>
    <t>Colonne11127</t>
  </si>
  <si>
    <t>Colonne11128</t>
  </si>
  <si>
    <t>Colonne11129</t>
  </si>
  <si>
    <t>Colonne11130</t>
  </si>
  <si>
    <t>Colonne11131</t>
  </si>
  <si>
    <t>Colonne11132</t>
  </si>
  <si>
    <t>Colonne11133</t>
  </si>
  <si>
    <t>Colonne11134</t>
  </si>
  <si>
    <t>Colonne11135</t>
  </si>
  <si>
    <t>Colonne11136</t>
  </si>
  <si>
    <t>Colonne11137</t>
  </si>
  <si>
    <t>Colonne11138</t>
  </si>
  <si>
    <t>Colonne11139</t>
  </si>
  <si>
    <t>Colonne11140</t>
  </si>
  <si>
    <t>Colonne11141</t>
  </si>
  <si>
    <t>Colonne11142</t>
  </si>
  <si>
    <t>Colonne11143</t>
  </si>
  <si>
    <t>Colonne11144</t>
  </si>
  <si>
    <t>Colonne11145</t>
  </si>
  <si>
    <t>Colonne11146</t>
  </si>
  <si>
    <t>Colonne11147</t>
  </si>
  <si>
    <t>Colonne11148</t>
  </si>
  <si>
    <t>Colonne11149</t>
  </si>
  <si>
    <t>Colonne11150</t>
  </si>
  <si>
    <t>Colonne11151</t>
  </si>
  <si>
    <t>Colonne11152</t>
  </si>
  <si>
    <t>Colonne11153</t>
  </si>
  <si>
    <t>Colonne11154</t>
  </si>
  <si>
    <t>Colonne11155</t>
  </si>
  <si>
    <t>Colonne11156</t>
  </si>
  <si>
    <t>Colonne11157</t>
  </si>
  <si>
    <t>Colonne11158</t>
  </si>
  <si>
    <t>Colonne11159</t>
  </si>
  <si>
    <t>Colonne11160</t>
  </si>
  <si>
    <t>Colonne11161</t>
  </si>
  <si>
    <t>Colonne11162</t>
  </si>
  <si>
    <t>Colonne11163</t>
  </si>
  <si>
    <t>Colonne11164</t>
  </si>
  <si>
    <t>Colonne11165</t>
  </si>
  <si>
    <t>Colonne11166</t>
  </si>
  <si>
    <t>Colonne11167</t>
  </si>
  <si>
    <t>Colonne11168</t>
  </si>
  <si>
    <t>Colonne11169</t>
  </si>
  <si>
    <t>Colonne11170</t>
  </si>
  <si>
    <t>Colonne11171</t>
  </si>
  <si>
    <t>Colonne11172</t>
  </si>
  <si>
    <t>Colonne11173</t>
  </si>
  <si>
    <t>Colonne11174</t>
  </si>
  <si>
    <t>Colonne11175</t>
  </si>
  <si>
    <t>Colonne11176</t>
  </si>
  <si>
    <t>Colonne11177</t>
  </si>
  <si>
    <t>Colonne11178</t>
  </si>
  <si>
    <t>Colonne11179</t>
  </si>
  <si>
    <t>Colonne11180</t>
  </si>
  <si>
    <t>Colonne11181</t>
  </si>
  <si>
    <t>Colonne11182</t>
  </si>
  <si>
    <t>Colonne11183</t>
  </si>
  <si>
    <t>Colonne11184</t>
  </si>
  <si>
    <t>Colonne11185</t>
  </si>
  <si>
    <t>Colonne11186</t>
  </si>
  <si>
    <t>Colonne11187</t>
  </si>
  <si>
    <t>Colonne11188</t>
  </si>
  <si>
    <t>Colonne11189</t>
  </si>
  <si>
    <t>Colonne11190</t>
  </si>
  <si>
    <t>Colonne11191</t>
  </si>
  <si>
    <t>Colonne11192</t>
  </si>
  <si>
    <t>Colonne11193</t>
  </si>
  <si>
    <t>Colonne11194</t>
  </si>
  <si>
    <t>Colonne11195</t>
  </si>
  <si>
    <t>Colonne11196</t>
  </si>
  <si>
    <t>Colonne11197</t>
  </si>
  <si>
    <t>Colonne11198</t>
  </si>
  <si>
    <t>Colonne11199</t>
  </si>
  <si>
    <t>Colonne11200</t>
  </si>
  <si>
    <t>Colonne11201</t>
  </si>
  <si>
    <t>Colonne11202</t>
  </si>
  <si>
    <t>Colonne11203</t>
  </si>
  <si>
    <t>Colonne11204</t>
  </si>
  <si>
    <t>Colonne11205</t>
  </si>
  <si>
    <t>Colonne11206</t>
  </si>
  <si>
    <t>Colonne11207</t>
  </si>
  <si>
    <t>Colonne11208</t>
  </si>
  <si>
    <t>Colonne11209</t>
  </si>
  <si>
    <t>Colonne11210</t>
  </si>
  <si>
    <t>Colonne11211</t>
  </si>
  <si>
    <t>Colonne11212</t>
  </si>
  <si>
    <t>Colonne11213</t>
  </si>
  <si>
    <t>Colonne11214</t>
  </si>
  <si>
    <t>Colonne11215</t>
  </si>
  <si>
    <t>Colonne11216</t>
  </si>
  <si>
    <t>Colonne11217</t>
  </si>
  <si>
    <t>Colonne11218</t>
  </si>
  <si>
    <t>Colonne11219</t>
  </si>
  <si>
    <t>Colonne11220</t>
  </si>
  <si>
    <t>Colonne11221</t>
  </si>
  <si>
    <t>Colonne11222</t>
  </si>
  <si>
    <t>Colonne11223</t>
  </si>
  <si>
    <t>Colonne11224</t>
  </si>
  <si>
    <t>Colonne11225</t>
  </si>
  <si>
    <t>Colonne11226</t>
  </si>
  <si>
    <t>Colonne11227</t>
  </si>
  <si>
    <t>Colonne11228</t>
  </si>
  <si>
    <t>Colonne11229</t>
  </si>
  <si>
    <t>Colonne11230</t>
  </si>
  <si>
    <t>Colonne11231</t>
  </si>
  <si>
    <t>Colonne11232</t>
  </si>
  <si>
    <t>Colonne11233</t>
  </si>
  <si>
    <t>Colonne11234</t>
  </si>
  <si>
    <t>Colonne11235</t>
  </si>
  <si>
    <t>Colonne11236</t>
  </si>
  <si>
    <t>Colonne11237</t>
  </si>
  <si>
    <t>Colonne11238</t>
  </si>
  <si>
    <t>Colonne11239</t>
  </si>
  <si>
    <t>Colonne11240</t>
  </si>
  <si>
    <t>Colonne11241</t>
  </si>
  <si>
    <t>Colonne11242</t>
  </si>
  <si>
    <t>Colonne11243</t>
  </si>
  <si>
    <t>Colonne11244</t>
  </si>
  <si>
    <t>Colonne11245</t>
  </si>
  <si>
    <t>Colonne11246</t>
  </si>
  <si>
    <t>Colonne11247</t>
  </si>
  <si>
    <t>Colonne11248</t>
  </si>
  <si>
    <t>Colonne11249</t>
  </si>
  <si>
    <t>Colonne11250</t>
  </si>
  <si>
    <t>Colonne11251</t>
  </si>
  <si>
    <t>Colonne11252</t>
  </si>
  <si>
    <t>Colonne11253</t>
  </si>
  <si>
    <t>Colonne11254</t>
  </si>
  <si>
    <t>Colonne11255</t>
  </si>
  <si>
    <t>Colonne11256</t>
  </si>
  <si>
    <t>Colonne11257</t>
  </si>
  <si>
    <t>Colonne11258</t>
  </si>
  <si>
    <t>Colonne11259</t>
  </si>
  <si>
    <t>Colonne11260</t>
  </si>
  <si>
    <t>Colonne11261</t>
  </si>
  <si>
    <t>Colonne11262</t>
  </si>
  <si>
    <t>Colonne11263</t>
  </si>
  <si>
    <t>Colonne11264</t>
  </si>
  <si>
    <t>Colonne11265</t>
  </si>
  <si>
    <t>Colonne11266</t>
  </si>
  <si>
    <t>Colonne11267</t>
  </si>
  <si>
    <t>Colonne11268</t>
  </si>
  <si>
    <t>Colonne11269</t>
  </si>
  <si>
    <t>Colonne11270</t>
  </si>
  <si>
    <t>Colonne11271</t>
  </si>
  <si>
    <t>Colonne11272</t>
  </si>
  <si>
    <t>Colonne11273</t>
  </si>
  <si>
    <t>Colonne11274</t>
  </si>
  <si>
    <t>Colonne11275</t>
  </si>
  <si>
    <t>Colonne11276</t>
  </si>
  <si>
    <t>Colonne11277</t>
  </si>
  <si>
    <t>Colonne11278</t>
  </si>
  <si>
    <t>Colonne11279</t>
  </si>
  <si>
    <t>Colonne11280</t>
  </si>
  <si>
    <t>Colonne11281</t>
  </si>
  <si>
    <t>Colonne11282</t>
  </si>
  <si>
    <t>Colonne11283</t>
  </si>
  <si>
    <t>Colonne11284</t>
  </si>
  <si>
    <t>Colonne11285</t>
  </si>
  <si>
    <t>Colonne11286</t>
  </si>
  <si>
    <t>Colonne11287</t>
  </si>
  <si>
    <t>Colonne11288</t>
  </si>
  <si>
    <t>Colonne11289</t>
  </si>
  <si>
    <t>Colonne11290</t>
  </si>
  <si>
    <t>Colonne11291</t>
  </si>
  <si>
    <t>Colonne11292</t>
  </si>
  <si>
    <t>Colonne11293</t>
  </si>
  <si>
    <t>Colonne11294</t>
  </si>
  <si>
    <t>Colonne11295</t>
  </si>
  <si>
    <t>Colonne11296</t>
  </si>
  <si>
    <t>Colonne11297</t>
  </si>
  <si>
    <t>Colonne11298</t>
  </si>
  <si>
    <t>Colonne11299</t>
  </si>
  <si>
    <t>Colonne11300</t>
  </si>
  <si>
    <t>Colonne11301</t>
  </si>
  <si>
    <t>Colonne11302</t>
  </si>
  <si>
    <t>Colonne11303</t>
  </si>
  <si>
    <t>Colonne11304</t>
  </si>
  <si>
    <t>Colonne11305</t>
  </si>
  <si>
    <t>Colonne11306</t>
  </si>
  <si>
    <t>Colonne11307</t>
  </si>
  <si>
    <t>Colonne11308</t>
  </si>
  <si>
    <t>Colonne11309</t>
  </si>
  <si>
    <t>Colonne11310</t>
  </si>
  <si>
    <t>Colonne11311</t>
  </si>
  <si>
    <t>Colonne11312</t>
  </si>
  <si>
    <t>Colonne11313</t>
  </si>
  <si>
    <t>Colonne11314</t>
  </si>
  <si>
    <t>Colonne11315</t>
  </si>
  <si>
    <t>Colonne11316</t>
  </si>
  <si>
    <t>Colonne11317</t>
  </si>
  <si>
    <t>Colonne11318</t>
  </si>
  <si>
    <t>Colonne11319</t>
  </si>
  <si>
    <t>Colonne11320</t>
  </si>
  <si>
    <t>Colonne11321</t>
  </si>
  <si>
    <t>Colonne11322</t>
  </si>
  <si>
    <t>Colonne11323</t>
  </si>
  <si>
    <t>Colonne11324</t>
  </si>
  <si>
    <t>Colonne11325</t>
  </si>
  <si>
    <t>Colonne11326</t>
  </si>
  <si>
    <t>Colonne11327</t>
  </si>
  <si>
    <t>Colonne11328</t>
  </si>
  <si>
    <t>Colonne11329</t>
  </si>
  <si>
    <t>Colonne11330</t>
  </si>
  <si>
    <t>Colonne11331</t>
  </si>
  <si>
    <t>Colonne11332</t>
  </si>
  <si>
    <t>Colonne11333</t>
  </si>
  <si>
    <t>Colonne11334</t>
  </si>
  <si>
    <t>Colonne11335</t>
  </si>
  <si>
    <t>Colonne11336</t>
  </si>
  <si>
    <t>Colonne11337</t>
  </si>
  <si>
    <t>Colonne11338</t>
  </si>
  <si>
    <t>Colonne11339</t>
  </si>
  <si>
    <t>Colonne11340</t>
  </si>
  <si>
    <t>Colonne11341</t>
  </si>
  <si>
    <t>Colonne11342</t>
  </si>
  <si>
    <t>Colonne11343</t>
  </si>
  <si>
    <t>Colonne11344</t>
  </si>
  <si>
    <t>Colonne11345</t>
  </si>
  <si>
    <t>Colonne11346</t>
  </si>
  <si>
    <t>Colonne11347</t>
  </si>
  <si>
    <t>Colonne11348</t>
  </si>
  <si>
    <t>Colonne11349</t>
  </si>
  <si>
    <t>Colonne11350</t>
  </si>
  <si>
    <t>Colonne11351</t>
  </si>
  <si>
    <t>Colonne11352</t>
  </si>
  <si>
    <t>Colonne11353</t>
  </si>
  <si>
    <t>Colonne11354</t>
  </si>
  <si>
    <t>Colonne11355</t>
  </si>
  <si>
    <t>Colonne11356</t>
  </si>
  <si>
    <t>Colonne11357</t>
  </si>
  <si>
    <t>Colonne11358</t>
  </si>
  <si>
    <t>Colonne11359</t>
  </si>
  <si>
    <t>Colonne11360</t>
  </si>
  <si>
    <t>Colonne11361</t>
  </si>
  <si>
    <t>Colonne11362</t>
  </si>
  <si>
    <t>Colonne11363</t>
  </si>
  <si>
    <t>Colonne11364</t>
  </si>
  <si>
    <t>Colonne11365</t>
  </si>
  <si>
    <t>Colonne11366</t>
  </si>
  <si>
    <t>Colonne11367</t>
  </si>
  <si>
    <t>Colonne11368</t>
  </si>
  <si>
    <t>Colonne11369</t>
  </si>
  <si>
    <t>Colonne11370</t>
  </si>
  <si>
    <t>Colonne11371</t>
  </si>
  <si>
    <t>Colonne11372</t>
  </si>
  <si>
    <t>Colonne11373</t>
  </si>
  <si>
    <t>Colonne11374</t>
  </si>
  <si>
    <t>Colonne11375</t>
  </si>
  <si>
    <t>Colonne11376</t>
  </si>
  <si>
    <t>Colonne11377</t>
  </si>
  <si>
    <t>Colonne11378</t>
  </si>
  <si>
    <t>Colonne11379</t>
  </si>
  <si>
    <t>Colonne11380</t>
  </si>
  <si>
    <t>Colonne11381</t>
  </si>
  <si>
    <t>Colonne11382</t>
  </si>
  <si>
    <t>Colonne11383</t>
  </si>
  <si>
    <t>Colonne11384</t>
  </si>
  <si>
    <t>Colonne11385</t>
  </si>
  <si>
    <t>Colonne11386</t>
  </si>
  <si>
    <t>Colonne11387</t>
  </si>
  <si>
    <t>Colonne11388</t>
  </si>
  <si>
    <t>Colonne11389</t>
  </si>
  <si>
    <t>Colonne11390</t>
  </si>
  <si>
    <t>Colonne11391</t>
  </si>
  <si>
    <t>Colonne11392</t>
  </si>
  <si>
    <t>Colonne11393</t>
  </si>
  <si>
    <t>Colonne11394</t>
  </si>
  <si>
    <t>Colonne11395</t>
  </si>
  <si>
    <t>Colonne11396</t>
  </si>
  <si>
    <t>Colonne11397</t>
  </si>
  <si>
    <t>Colonne11398</t>
  </si>
  <si>
    <t>Colonne11399</t>
  </si>
  <si>
    <t>Colonne11400</t>
  </si>
  <si>
    <t>Colonne11401</t>
  </si>
  <si>
    <t>Colonne11402</t>
  </si>
  <si>
    <t>Colonne11403</t>
  </si>
  <si>
    <t>Colonne11404</t>
  </si>
  <si>
    <t>Colonne11405</t>
  </si>
  <si>
    <t>Colonne11406</t>
  </si>
  <si>
    <t>Colonne11407</t>
  </si>
  <si>
    <t>Colonne11408</t>
  </si>
  <si>
    <t>Colonne11409</t>
  </si>
  <si>
    <t>Colonne11410</t>
  </si>
  <si>
    <t>Colonne11411</t>
  </si>
  <si>
    <t>Colonne11412</t>
  </si>
  <si>
    <t>Colonne11413</t>
  </si>
  <si>
    <t>Colonne11414</t>
  </si>
  <si>
    <t>Colonne11415</t>
  </si>
  <si>
    <t>Colonne11416</t>
  </si>
  <si>
    <t>Colonne11417</t>
  </si>
  <si>
    <t>Colonne11418</t>
  </si>
  <si>
    <t>Colonne11419</t>
  </si>
  <si>
    <t>Colonne11420</t>
  </si>
  <si>
    <t>Colonne11421</t>
  </si>
  <si>
    <t>Colonne11422</t>
  </si>
  <si>
    <t>Colonne11423</t>
  </si>
  <si>
    <t>Colonne11424</t>
  </si>
  <si>
    <t>Colonne11425</t>
  </si>
  <si>
    <t>Colonne11426</t>
  </si>
  <si>
    <t>Colonne11427</t>
  </si>
  <si>
    <t>Colonne11428</t>
  </si>
  <si>
    <t>Colonne11429</t>
  </si>
  <si>
    <t>Colonne11430</t>
  </si>
  <si>
    <t>Colonne11431</t>
  </si>
  <si>
    <t>Colonne11432</t>
  </si>
  <si>
    <t>Colonne11433</t>
  </si>
  <si>
    <t>Colonne11434</t>
  </si>
  <si>
    <t>Colonne11435</t>
  </si>
  <si>
    <t>Colonne11436</t>
  </si>
  <si>
    <t>Colonne11437</t>
  </si>
  <si>
    <t>Colonne11438</t>
  </si>
  <si>
    <t>Colonne11439</t>
  </si>
  <si>
    <t>Colonne11440</t>
  </si>
  <si>
    <t>Colonne11441</t>
  </si>
  <si>
    <t>Colonne11442</t>
  </si>
  <si>
    <t>Colonne11443</t>
  </si>
  <si>
    <t>Colonne11444</t>
  </si>
  <si>
    <t>Colonne11445</t>
  </si>
  <si>
    <t>Colonne11446</t>
  </si>
  <si>
    <t>Colonne11447</t>
  </si>
  <si>
    <t>Colonne11448</t>
  </si>
  <si>
    <t>Colonne11449</t>
  </si>
  <si>
    <t>Colonne11450</t>
  </si>
  <si>
    <t>Colonne11451</t>
  </si>
  <si>
    <t>Colonne11452</t>
  </si>
  <si>
    <t>Colonne11453</t>
  </si>
  <si>
    <t>Colonne11454</t>
  </si>
  <si>
    <t>Colonne11455</t>
  </si>
  <si>
    <t>Colonne11456</t>
  </si>
  <si>
    <t>Colonne11457</t>
  </si>
  <si>
    <t>Colonne11458</t>
  </si>
  <si>
    <t>Colonne11459</t>
  </si>
  <si>
    <t>Colonne11460</t>
  </si>
  <si>
    <t>Colonne11461</t>
  </si>
  <si>
    <t>Colonne11462</t>
  </si>
  <si>
    <t>Colonne11463</t>
  </si>
  <si>
    <t>Colonne11464</t>
  </si>
  <si>
    <t>Colonne11465</t>
  </si>
  <si>
    <t>Colonne11466</t>
  </si>
  <si>
    <t>Colonne11467</t>
  </si>
  <si>
    <t>Colonne11468</t>
  </si>
  <si>
    <t>Colonne11469</t>
  </si>
  <si>
    <t>Colonne11470</t>
  </si>
  <si>
    <t>Colonne11471</t>
  </si>
  <si>
    <t>Colonne11472</t>
  </si>
  <si>
    <t>Colonne11473</t>
  </si>
  <si>
    <t>Colonne11474</t>
  </si>
  <si>
    <t>Colonne11475</t>
  </si>
  <si>
    <t>Colonne11476</t>
  </si>
  <si>
    <t>Colonne11477</t>
  </si>
  <si>
    <t>Colonne11478</t>
  </si>
  <si>
    <t>Colonne11479</t>
  </si>
  <si>
    <t>Colonne11480</t>
  </si>
  <si>
    <t>Colonne11481</t>
  </si>
  <si>
    <t>Colonne11482</t>
  </si>
  <si>
    <t>Colonne11483</t>
  </si>
  <si>
    <t>Colonne11484</t>
  </si>
  <si>
    <t>Colonne11485</t>
  </si>
  <si>
    <t>Colonne11486</t>
  </si>
  <si>
    <t>Colonne11487</t>
  </si>
  <si>
    <t>Colonne11488</t>
  </si>
  <si>
    <t>Colonne11489</t>
  </si>
  <si>
    <t>Colonne11490</t>
  </si>
  <si>
    <t>Colonne11491</t>
  </si>
  <si>
    <t>Colonne11492</t>
  </si>
  <si>
    <t>Colonne11493</t>
  </si>
  <si>
    <t>Colonne11494</t>
  </si>
  <si>
    <t>Colonne11495</t>
  </si>
  <si>
    <t>Colonne11496</t>
  </si>
  <si>
    <t>Colonne11497</t>
  </si>
  <si>
    <t>Colonne11498</t>
  </si>
  <si>
    <t>Colonne11499</t>
  </si>
  <si>
    <t>Colonne11500</t>
  </si>
  <si>
    <t>Colonne11501</t>
  </si>
  <si>
    <t>Colonne11502</t>
  </si>
  <si>
    <t>Colonne11503</t>
  </si>
  <si>
    <t>Colonne11504</t>
  </si>
  <si>
    <t>Colonne11505</t>
  </si>
  <si>
    <t>Colonne11506</t>
  </si>
  <si>
    <t>Colonne11507</t>
  </si>
  <si>
    <t>Colonne11508</t>
  </si>
  <si>
    <t>Colonne11509</t>
  </si>
  <si>
    <t>Colonne11510</t>
  </si>
  <si>
    <t>Colonne11511</t>
  </si>
  <si>
    <t>Colonne11512</t>
  </si>
  <si>
    <t>Colonne11513</t>
  </si>
  <si>
    <t>Colonne11514</t>
  </si>
  <si>
    <t>Colonne11515</t>
  </si>
  <si>
    <t>Colonne11516</t>
  </si>
  <si>
    <t>Colonne11517</t>
  </si>
  <si>
    <t>Colonne11518</t>
  </si>
  <si>
    <t>Colonne11519</t>
  </si>
  <si>
    <t>Colonne11520</t>
  </si>
  <si>
    <t>Colonne11521</t>
  </si>
  <si>
    <t>Colonne11522</t>
  </si>
  <si>
    <t>Colonne11523</t>
  </si>
  <si>
    <t>Colonne11524</t>
  </si>
  <si>
    <t>Colonne11525</t>
  </si>
  <si>
    <t>Colonne11526</t>
  </si>
  <si>
    <t>Colonne11527</t>
  </si>
  <si>
    <t>Colonne11528</t>
  </si>
  <si>
    <t>Colonne11529</t>
  </si>
  <si>
    <t>Colonne11530</t>
  </si>
  <si>
    <t>Colonne11531</t>
  </si>
  <si>
    <t>Colonne11532</t>
  </si>
  <si>
    <t>Colonne11533</t>
  </si>
  <si>
    <t>Colonne11534</t>
  </si>
  <si>
    <t>Colonne11535</t>
  </si>
  <si>
    <t>Colonne11536</t>
  </si>
  <si>
    <t>Colonne11537</t>
  </si>
  <si>
    <t>Colonne11538</t>
  </si>
  <si>
    <t>Colonne11539</t>
  </si>
  <si>
    <t>Colonne11540</t>
  </si>
  <si>
    <t>Colonne11541</t>
  </si>
  <si>
    <t>Colonne11542</t>
  </si>
  <si>
    <t>Colonne11543</t>
  </si>
  <si>
    <t>Colonne11544</t>
  </si>
  <si>
    <t>Colonne11545</t>
  </si>
  <si>
    <t>Colonne11546</t>
  </si>
  <si>
    <t>Colonne11547</t>
  </si>
  <si>
    <t>Colonne11548</t>
  </si>
  <si>
    <t>Colonne11549</t>
  </si>
  <si>
    <t>Colonne11550</t>
  </si>
  <si>
    <t>Colonne11551</t>
  </si>
  <si>
    <t>Colonne11552</t>
  </si>
  <si>
    <t>Colonne11553</t>
  </si>
  <si>
    <t>Colonne11554</t>
  </si>
  <si>
    <t>Colonne11555</t>
  </si>
  <si>
    <t>Colonne11556</t>
  </si>
  <si>
    <t>Colonne11557</t>
  </si>
  <si>
    <t>Colonne11558</t>
  </si>
  <si>
    <t>Colonne11559</t>
  </si>
  <si>
    <t>Colonne11560</t>
  </si>
  <si>
    <t>Colonne11561</t>
  </si>
  <si>
    <t>Colonne11562</t>
  </si>
  <si>
    <t>Colonne11563</t>
  </si>
  <si>
    <t>Colonne11564</t>
  </si>
  <si>
    <t>Colonne11565</t>
  </si>
  <si>
    <t>Colonne11566</t>
  </si>
  <si>
    <t>Colonne11567</t>
  </si>
  <si>
    <t>Colonne11568</t>
  </si>
  <si>
    <t>Colonne11569</t>
  </si>
  <si>
    <t>Colonne11570</t>
  </si>
  <si>
    <t>Colonne11571</t>
  </si>
  <si>
    <t>Colonne11572</t>
  </si>
  <si>
    <t>Colonne11573</t>
  </si>
  <si>
    <t>Colonne11574</t>
  </si>
  <si>
    <t>Colonne11575</t>
  </si>
  <si>
    <t>Colonne11576</t>
  </si>
  <si>
    <t>Colonne11577</t>
  </si>
  <si>
    <t>Colonne11578</t>
  </si>
  <si>
    <t>Colonne11579</t>
  </si>
  <si>
    <t>Colonne11580</t>
  </si>
  <si>
    <t>Colonne11581</t>
  </si>
  <si>
    <t>Colonne11582</t>
  </si>
  <si>
    <t>Colonne11583</t>
  </si>
  <si>
    <t>Colonne11584</t>
  </si>
  <si>
    <t>Colonne11585</t>
  </si>
  <si>
    <t>Colonne11586</t>
  </si>
  <si>
    <t>Colonne11587</t>
  </si>
  <si>
    <t>Colonne11588</t>
  </si>
  <si>
    <t>Colonne11589</t>
  </si>
  <si>
    <t>Colonne11590</t>
  </si>
  <si>
    <t>Colonne11591</t>
  </si>
  <si>
    <t>Colonne11592</t>
  </si>
  <si>
    <t>Colonne11593</t>
  </si>
  <si>
    <t>Colonne11594</t>
  </si>
  <si>
    <t>Colonne11595</t>
  </si>
  <si>
    <t>Colonne11596</t>
  </si>
  <si>
    <t>Colonne11597</t>
  </si>
  <si>
    <t>Colonne11598</t>
  </si>
  <si>
    <t>Colonne11599</t>
  </si>
  <si>
    <t>Colonne11600</t>
  </si>
  <si>
    <t>Colonne11601</t>
  </si>
  <si>
    <t>Colonne11602</t>
  </si>
  <si>
    <t>Colonne11603</t>
  </si>
  <si>
    <t>Colonne11604</t>
  </si>
  <si>
    <t>Colonne11605</t>
  </si>
  <si>
    <t>Colonne11606</t>
  </si>
  <si>
    <t>Colonne11607</t>
  </si>
  <si>
    <t>Colonne11608</t>
  </si>
  <si>
    <t>Colonne11609</t>
  </si>
  <si>
    <t>Colonne11610</t>
  </si>
  <si>
    <t>Colonne11611</t>
  </si>
  <si>
    <t>Colonne11612</t>
  </si>
  <si>
    <t>Colonne11613</t>
  </si>
  <si>
    <t>Colonne11614</t>
  </si>
  <si>
    <t>Colonne11615</t>
  </si>
  <si>
    <t>Colonne11616</t>
  </si>
  <si>
    <t>Colonne11617</t>
  </si>
  <si>
    <t>Colonne11618</t>
  </si>
  <si>
    <t>Colonne11619</t>
  </si>
  <si>
    <t>Colonne11620</t>
  </si>
  <si>
    <t>Colonne11621</t>
  </si>
  <si>
    <t>Colonne11622</t>
  </si>
  <si>
    <t>Colonne11623</t>
  </si>
  <si>
    <t>Colonne11624</t>
  </si>
  <si>
    <t>Colonne11625</t>
  </si>
  <si>
    <t>Colonne11626</t>
  </si>
  <si>
    <t>Colonne11627</t>
  </si>
  <si>
    <t>Colonne11628</t>
  </si>
  <si>
    <t>Colonne11629</t>
  </si>
  <si>
    <t>Colonne11630</t>
  </si>
  <si>
    <t>Colonne11631</t>
  </si>
  <si>
    <t>Colonne11632</t>
  </si>
  <si>
    <t>Colonne11633</t>
  </si>
  <si>
    <t>Colonne11634</t>
  </si>
  <si>
    <t>Colonne11635</t>
  </si>
  <si>
    <t>Colonne11636</t>
  </si>
  <si>
    <t>Colonne11637</t>
  </si>
  <si>
    <t>Colonne11638</t>
  </si>
  <si>
    <t>Colonne11639</t>
  </si>
  <si>
    <t>Colonne11640</t>
  </si>
  <si>
    <t>Colonne11641</t>
  </si>
  <si>
    <t>Colonne11642</t>
  </si>
  <si>
    <t>Colonne11643</t>
  </si>
  <si>
    <t>Colonne11644</t>
  </si>
  <si>
    <t>Colonne11645</t>
  </si>
  <si>
    <t>Colonne11646</t>
  </si>
  <si>
    <t>Colonne11647</t>
  </si>
  <si>
    <t>Colonne11648</t>
  </si>
  <si>
    <t>Colonne11649</t>
  </si>
  <si>
    <t>Colonne11650</t>
  </si>
  <si>
    <t>Colonne11651</t>
  </si>
  <si>
    <t>Colonne11652</t>
  </si>
  <si>
    <t>Colonne11653</t>
  </si>
  <si>
    <t>Colonne11654</t>
  </si>
  <si>
    <t>Colonne11655</t>
  </si>
  <si>
    <t>Colonne11656</t>
  </si>
  <si>
    <t>Colonne11657</t>
  </si>
  <si>
    <t>Colonne11658</t>
  </si>
  <si>
    <t>Colonne11659</t>
  </si>
  <si>
    <t>Colonne11660</t>
  </si>
  <si>
    <t>Colonne11661</t>
  </si>
  <si>
    <t>Colonne11662</t>
  </si>
  <si>
    <t>Colonne11663</t>
  </si>
  <si>
    <t>Colonne11664</t>
  </si>
  <si>
    <t>Colonne11665</t>
  </si>
  <si>
    <t>Colonne11666</t>
  </si>
  <si>
    <t>Colonne11667</t>
  </si>
  <si>
    <t>Colonne11668</t>
  </si>
  <si>
    <t>Colonne11669</t>
  </si>
  <si>
    <t>Colonne11670</t>
  </si>
  <si>
    <t>Colonne11671</t>
  </si>
  <si>
    <t>Colonne11672</t>
  </si>
  <si>
    <t>Colonne11673</t>
  </si>
  <si>
    <t>Colonne11674</t>
  </si>
  <si>
    <t>Colonne11675</t>
  </si>
  <si>
    <t>Colonne11676</t>
  </si>
  <si>
    <t>Colonne11677</t>
  </si>
  <si>
    <t>Colonne11678</t>
  </si>
  <si>
    <t>Colonne11679</t>
  </si>
  <si>
    <t>Colonne11680</t>
  </si>
  <si>
    <t>Colonne11681</t>
  </si>
  <si>
    <t>Colonne11682</t>
  </si>
  <si>
    <t>Colonne11683</t>
  </si>
  <si>
    <t>Colonne11684</t>
  </si>
  <si>
    <t>Colonne11685</t>
  </si>
  <si>
    <t>Colonne11686</t>
  </si>
  <si>
    <t>Colonne11687</t>
  </si>
  <si>
    <t>Colonne11688</t>
  </si>
  <si>
    <t>Colonne11689</t>
  </si>
  <si>
    <t>Colonne11690</t>
  </si>
  <si>
    <t>Colonne11691</t>
  </si>
  <si>
    <t>Colonne11692</t>
  </si>
  <si>
    <t>Colonne11693</t>
  </si>
  <si>
    <t>Colonne11694</t>
  </si>
  <si>
    <t>Colonne11695</t>
  </si>
  <si>
    <t>Colonne11696</t>
  </si>
  <si>
    <t>Colonne11697</t>
  </si>
  <si>
    <t>Colonne11698</t>
  </si>
  <si>
    <t>Colonne11699</t>
  </si>
  <si>
    <t>Colonne11700</t>
  </si>
  <si>
    <t>Colonne11701</t>
  </si>
  <si>
    <t>Colonne11702</t>
  </si>
  <si>
    <t>Colonne11703</t>
  </si>
  <si>
    <t>Colonne11704</t>
  </si>
  <si>
    <t>Colonne11705</t>
  </si>
  <si>
    <t>Colonne11706</t>
  </si>
  <si>
    <t>Colonne11707</t>
  </si>
  <si>
    <t>Colonne11708</t>
  </si>
  <si>
    <t>Colonne11709</t>
  </si>
  <si>
    <t>Colonne11710</t>
  </si>
  <si>
    <t>Colonne11711</t>
  </si>
  <si>
    <t>Colonne11712</t>
  </si>
  <si>
    <t>Colonne11713</t>
  </si>
  <si>
    <t>Colonne11714</t>
  </si>
  <si>
    <t>Colonne11715</t>
  </si>
  <si>
    <t>Colonne11716</t>
  </si>
  <si>
    <t>Colonne11717</t>
  </si>
  <si>
    <t>Colonne11718</t>
  </si>
  <si>
    <t>Colonne11719</t>
  </si>
  <si>
    <t>Colonne11720</t>
  </si>
  <si>
    <t>Colonne11721</t>
  </si>
  <si>
    <t>Colonne11722</t>
  </si>
  <si>
    <t>Colonne11723</t>
  </si>
  <si>
    <t>Colonne11724</t>
  </si>
  <si>
    <t>Colonne11725</t>
  </si>
  <si>
    <t>Colonne11726</t>
  </si>
  <si>
    <t>Colonne11727</t>
  </si>
  <si>
    <t>Colonne11728</t>
  </si>
  <si>
    <t>Colonne11729</t>
  </si>
  <si>
    <t>Colonne11730</t>
  </si>
  <si>
    <t>Colonne11731</t>
  </si>
  <si>
    <t>Colonne11732</t>
  </si>
  <si>
    <t>Colonne11733</t>
  </si>
  <si>
    <t>Colonne11734</t>
  </si>
  <si>
    <t>Colonne11735</t>
  </si>
  <si>
    <t>Colonne11736</t>
  </si>
  <si>
    <t>Colonne11737</t>
  </si>
  <si>
    <t>Colonne11738</t>
  </si>
  <si>
    <t>Colonne11739</t>
  </si>
  <si>
    <t>Colonne11740</t>
  </si>
  <si>
    <t>Colonne11741</t>
  </si>
  <si>
    <t>Colonne11742</t>
  </si>
  <si>
    <t>Colonne11743</t>
  </si>
  <si>
    <t>Colonne11744</t>
  </si>
  <si>
    <t>Colonne11745</t>
  </si>
  <si>
    <t>Colonne11746</t>
  </si>
  <si>
    <t>Colonne11747</t>
  </si>
  <si>
    <t>Colonne11748</t>
  </si>
  <si>
    <t>Colonne11749</t>
  </si>
  <si>
    <t>Colonne11750</t>
  </si>
  <si>
    <t>Colonne11751</t>
  </si>
  <si>
    <t>Colonne11752</t>
  </si>
  <si>
    <t>Colonne11753</t>
  </si>
  <si>
    <t>Colonne11754</t>
  </si>
  <si>
    <t>Colonne11755</t>
  </si>
  <si>
    <t>Colonne11756</t>
  </si>
  <si>
    <t>Colonne11757</t>
  </si>
  <si>
    <t>Colonne11758</t>
  </si>
  <si>
    <t>Colonne11759</t>
  </si>
  <si>
    <t>Colonne11760</t>
  </si>
  <si>
    <t>Colonne11761</t>
  </si>
  <si>
    <t>Colonne11762</t>
  </si>
  <si>
    <t>Colonne11763</t>
  </si>
  <si>
    <t>Colonne11764</t>
  </si>
  <si>
    <t>Colonne11765</t>
  </si>
  <si>
    <t>Colonne11766</t>
  </si>
  <si>
    <t>Colonne11767</t>
  </si>
  <si>
    <t>Colonne11768</t>
  </si>
  <si>
    <t>Colonne11769</t>
  </si>
  <si>
    <t>Colonne11770</t>
  </si>
  <si>
    <t>Colonne11771</t>
  </si>
  <si>
    <t>Colonne11772</t>
  </si>
  <si>
    <t>Colonne11773</t>
  </si>
  <si>
    <t>Colonne11774</t>
  </si>
  <si>
    <t>Colonne11775</t>
  </si>
  <si>
    <t>Colonne11776</t>
  </si>
  <si>
    <t>Colonne11777</t>
  </si>
  <si>
    <t>Colonne11778</t>
  </si>
  <si>
    <t>Colonne11779</t>
  </si>
  <si>
    <t>Colonne11780</t>
  </si>
  <si>
    <t>Colonne11781</t>
  </si>
  <si>
    <t>Colonne11782</t>
  </si>
  <si>
    <t>Colonne11783</t>
  </si>
  <si>
    <t>Colonne11784</t>
  </si>
  <si>
    <t>Colonne11785</t>
  </si>
  <si>
    <t>Colonne11786</t>
  </si>
  <si>
    <t>Colonne11787</t>
  </si>
  <si>
    <t>Colonne11788</t>
  </si>
  <si>
    <t>Colonne11789</t>
  </si>
  <si>
    <t>Colonne11790</t>
  </si>
  <si>
    <t>Colonne11791</t>
  </si>
  <si>
    <t>Colonne11792</t>
  </si>
  <si>
    <t>Colonne11793</t>
  </si>
  <si>
    <t>Colonne11794</t>
  </si>
  <si>
    <t>Colonne11795</t>
  </si>
  <si>
    <t>Colonne11796</t>
  </si>
  <si>
    <t>Colonne11797</t>
  </si>
  <si>
    <t>Colonne11798</t>
  </si>
  <si>
    <t>Colonne11799</t>
  </si>
  <si>
    <t>Colonne11800</t>
  </si>
  <si>
    <t>Colonne11801</t>
  </si>
  <si>
    <t>Colonne11802</t>
  </si>
  <si>
    <t>Colonne11803</t>
  </si>
  <si>
    <t>Colonne11804</t>
  </si>
  <si>
    <t>Colonne11805</t>
  </si>
  <si>
    <t>Colonne11806</t>
  </si>
  <si>
    <t>Colonne11807</t>
  </si>
  <si>
    <t>Colonne11808</t>
  </si>
  <si>
    <t>Colonne11809</t>
  </si>
  <si>
    <t>Colonne11810</t>
  </si>
  <si>
    <t>Colonne11811</t>
  </si>
  <si>
    <t>Colonne11812</t>
  </si>
  <si>
    <t>Colonne11813</t>
  </si>
  <si>
    <t>Colonne11814</t>
  </si>
  <si>
    <t>Colonne11815</t>
  </si>
  <si>
    <t>Colonne11816</t>
  </si>
  <si>
    <t>Colonne11817</t>
  </si>
  <si>
    <t>Colonne11818</t>
  </si>
  <si>
    <t>Colonne11819</t>
  </si>
  <si>
    <t>Colonne11820</t>
  </si>
  <si>
    <t>Colonne11821</t>
  </si>
  <si>
    <t>Colonne11822</t>
  </si>
  <si>
    <t>Colonne11823</t>
  </si>
  <si>
    <t>Colonne11824</t>
  </si>
  <si>
    <t>Colonne11825</t>
  </si>
  <si>
    <t>Colonne11826</t>
  </si>
  <si>
    <t>Colonne11827</t>
  </si>
  <si>
    <t>Colonne11828</t>
  </si>
  <si>
    <t>Colonne11829</t>
  </si>
  <si>
    <t>Colonne11830</t>
  </si>
  <si>
    <t>Colonne11831</t>
  </si>
  <si>
    <t>Colonne11832</t>
  </si>
  <si>
    <t>Colonne11833</t>
  </si>
  <si>
    <t>Colonne11834</t>
  </si>
  <si>
    <t>Colonne11835</t>
  </si>
  <si>
    <t>Colonne11836</t>
  </si>
  <si>
    <t>Colonne11837</t>
  </si>
  <si>
    <t>Colonne11838</t>
  </si>
  <si>
    <t>Colonne11839</t>
  </si>
  <si>
    <t>Colonne11840</t>
  </si>
  <si>
    <t>Colonne11841</t>
  </si>
  <si>
    <t>Colonne11842</t>
  </si>
  <si>
    <t>Colonne11843</t>
  </si>
  <si>
    <t>Colonne11844</t>
  </si>
  <si>
    <t>Colonne11845</t>
  </si>
  <si>
    <t>Colonne11846</t>
  </si>
  <si>
    <t>Colonne11847</t>
  </si>
  <si>
    <t>Colonne11848</t>
  </si>
  <si>
    <t>Colonne11849</t>
  </si>
  <si>
    <t>Colonne11850</t>
  </si>
  <si>
    <t>Colonne11851</t>
  </si>
  <si>
    <t>Colonne11852</t>
  </si>
  <si>
    <t>Colonne11853</t>
  </si>
  <si>
    <t>Colonne11854</t>
  </si>
  <si>
    <t>Colonne11855</t>
  </si>
  <si>
    <t>Colonne11856</t>
  </si>
  <si>
    <t>Colonne11857</t>
  </si>
  <si>
    <t>Colonne11858</t>
  </si>
  <si>
    <t>Colonne11859</t>
  </si>
  <si>
    <t>Colonne11860</t>
  </si>
  <si>
    <t>Colonne11861</t>
  </si>
  <si>
    <t>Colonne11862</t>
  </si>
  <si>
    <t>Colonne11863</t>
  </si>
  <si>
    <t>Colonne11864</t>
  </si>
  <si>
    <t>Colonne11865</t>
  </si>
  <si>
    <t>Colonne11866</t>
  </si>
  <si>
    <t>Colonne11867</t>
  </si>
  <si>
    <t>Colonne11868</t>
  </si>
  <si>
    <t>Colonne11869</t>
  </si>
  <si>
    <t>Colonne11870</t>
  </si>
  <si>
    <t>Colonne11871</t>
  </si>
  <si>
    <t>Colonne11872</t>
  </si>
  <si>
    <t>Colonne11873</t>
  </si>
  <si>
    <t>Colonne11874</t>
  </si>
  <si>
    <t>Colonne11875</t>
  </si>
  <si>
    <t>Colonne11876</t>
  </si>
  <si>
    <t>Colonne11877</t>
  </si>
  <si>
    <t>Colonne11878</t>
  </si>
  <si>
    <t>Colonne11879</t>
  </si>
  <si>
    <t>Colonne11880</t>
  </si>
  <si>
    <t>Colonne11881</t>
  </si>
  <si>
    <t>Colonne11882</t>
  </si>
  <si>
    <t>Colonne11883</t>
  </si>
  <si>
    <t>Colonne11884</t>
  </si>
  <si>
    <t>Colonne11885</t>
  </si>
  <si>
    <t>Colonne11886</t>
  </si>
  <si>
    <t>Colonne11887</t>
  </si>
  <si>
    <t>Colonne11888</t>
  </si>
  <si>
    <t>Colonne11889</t>
  </si>
  <si>
    <t>Colonne11890</t>
  </si>
  <si>
    <t>Colonne11891</t>
  </si>
  <si>
    <t>Colonne11892</t>
  </si>
  <si>
    <t>Colonne11893</t>
  </si>
  <si>
    <t>Colonne11894</t>
  </si>
  <si>
    <t>Colonne11895</t>
  </si>
  <si>
    <t>Colonne11896</t>
  </si>
  <si>
    <t>Colonne11897</t>
  </si>
  <si>
    <t>Colonne11898</t>
  </si>
  <si>
    <t>Colonne11899</t>
  </si>
  <si>
    <t>Colonne11900</t>
  </si>
  <si>
    <t>Colonne11901</t>
  </si>
  <si>
    <t>Colonne11902</t>
  </si>
  <si>
    <t>Colonne11903</t>
  </si>
  <si>
    <t>Colonne11904</t>
  </si>
  <si>
    <t>Colonne11905</t>
  </si>
  <si>
    <t>Colonne11906</t>
  </si>
  <si>
    <t>Colonne11907</t>
  </si>
  <si>
    <t>Colonne11908</t>
  </si>
  <si>
    <t>Colonne11909</t>
  </si>
  <si>
    <t>Colonne11910</t>
  </si>
  <si>
    <t>Colonne11911</t>
  </si>
  <si>
    <t>Colonne11912</t>
  </si>
  <si>
    <t>Colonne11913</t>
  </si>
  <si>
    <t>Colonne11914</t>
  </si>
  <si>
    <t>Colonne11915</t>
  </si>
  <si>
    <t>Colonne11916</t>
  </si>
  <si>
    <t>Colonne11917</t>
  </si>
  <si>
    <t>Colonne11918</t>
  </si>
  <si>
    <t>Colonne11919</t>
  </si>
  <si>
    <t>Colonne11920</t>
  </si>
  <si>
    <t>Colonne11921</t>
  </si>
  <si>
    <t>Colonne11922</t>
  </si>
  <si>
    <t>Colonne11923</t>
  </si>
  <si>
    <t>Colonne11924</t>
  </si>
  <si>
    <t>Colonne11925</t>
  </si>
  <si>
    <t>Colonne11926</t>
  </si>
  <si>
    <t>Colonne11927</t>
  </si>
  <si>
    <t>Colonne11928</t>
  </si>
  <si>
    <t>Colonne11929</t>
  </si>
  <si>
    <t>Colonne11930</t>
  </si>
  <si>
    <t>Colonne11931</t>
  </si>
  <si>
    <t>Colonne11932</t>
  </si>
  <si>
    <t>Colonne11933</t>
  </si>
  <si>
    <t>Colonne11934</t>
  </si>
  <si>
    <t>Colonne11935</t>
  </si>
  <si>
    <t>Colonne11936</t>
  </si>
  <si>
    <t>Colonne11937</t>
  </si>
  <si>
    <t>Colonne11938</t>
  </si>
  <si>
    <t>Colonne11939</t>
  </si>
  <si>
    <t>Colonne11940</t>
  </si>
  <si>
    <t>Colonne11941</t>
  </si>
  <si>
    <t>Colonne11942</t>
  </si>
  <si>
    <t>Colonne11943</t>
  </si>
  <si>
    <t>Colonne11944</t>
  </si>
  <si>
    <t>Colonne11945</t>
  </si>
  <si>
    <t>Colonne11946</t>
  </si>
  <si>
    <t>Colonne11947</t>
  </si>
  <si>
    <t>Colonne11948</t>
  </si>
  <si>
    <t>Colonne11949</t>
  </si>
  <si>
    <t>Colonne11950</t>
  </si>
  <si>
    <t>Colonne11951</t>
  </si>
  <si>
    <t>Colonne11952</t>
  </si>
  <si>
    <t>Colonne11953</t>
  </si>
  <si>
    <t>Colonne11954</t>
  </si>
  <si>
    <t>Colonne11955</t>
  </si>
  <si>
    <t>Colonne11956</t>
  </si>
  <si>
    <t>Colonne11957</t>
  </si>
  <si>
    <t>Colonne11958</t>
  </si>
  <si>
    <t>Colonne11959</t>
  </si>
  <si>
    <t>Colonne11960</t>
  </si>
  <si>
    <t>Colonne11961</t>
  </si>
  <si>
    <t>Colonne11962</t>
  </si>
  <si>
    <t>Colonne11963</t>
  </si>
  <si>
    <t>Colonne11964</t>
  </si>
  <si>
    <t>Colonne11965</t>
  </si>
  <si>
    <t>Colonne11966</t>
  </si>
  <si>
    <t>Colonne11967</t>
  </si>
  <si>
    <t>Colonne11968</t>
  </si>
  <si>
    <t>Colonne11969</t>
  </si>
  <si>
    <t>Colonne11970</t>
  </si>
  <si>
    <t>Colonne11971</t>
  </si>
  <si>
    <t>Colonne11972</t>
  </si>
  <si>
    <t>Colonne11973</t>
  </si>
  <si>
    <t>Colonne11974</t>
  </si>
  <si>
    <t>Colonne11975</t>
  </si>
  <si>
    <t>Colonne11976</t>
  </si>
  <si>
    <t>Colonne11977</t>
  </si>
  <si>
    <t>Colonne11978</t>
  </si>
  <si>
    <t>Colonne11979</t>
  </si>
  <si>
    <t>Colonne11980</t>
  </si>
  <si>
    <t>Colonne11981</t>
  </si>
  <si>
    <t>Colonne11982</t>
  </si>
  <si>
    <t>Colonne11983</t>
  </si>
  <si>
    <t>Colonne11984</t>
  </si>
  <si>
    <t>Colonne11985</t>
  </si>
  <si>
    <t>Colonne11986</t>
  </si>
  <si>
    <t>Colonne11987</t>
  </si>
  <si>
    <t>Colonne11988</t>
  </si>
  <si>
    <t>Colonne11989</t>
  </si>
  <si>
    <t>Colonne11990</t>
  </si>
  <si>
    <t>Colonne11991</t>
  </si>
  <si>
    <t>Colonne11992</t>
  </si>
  <si>
    <t>Colonne11993</t>
  </si>
  <si>
    <t>Colonne11994</t>
  </si>
  <si>
    <t>Colonne11995</t>
  </si>
  <si>
    <t>Colonne11996</t>
  </si>
  <si>
    <t>Colonne11997</t>
  </si>
  <si>
    <t>Colonne11998</t>
  </si>
  <si>
    <t>Colonne11999</t>
  </si>
  <si>
    <t>Colonne12000</t>
  </si>
  <si>
    <t>Colonne12001</t>
  </si>
  <si>
    <t>Colonne12002</t>
  </si>
  <si>
    <t>Colonne12003</t>
  </si>
  <si>
    <t>Colonne12004</t>
  </si>
  <si>
    <t>Colonne12005</t>
  </si>
  <si>
    <t>Colonne12006</t>
  </si>
  <si>
    <t>Colonne12007</t>
  </si>
  <si>
    <t>Colonne12008</t>
  </si>
  <si>
    <t>Colonne12009</t>
  </si>
  <si>
    <t>Colonne12010</t>
  </si>
  <si>
    <t>Colonne12011</t>
  </si>
  <si>
    <t>Colonne12012</t>
  </si>
  <si>
    <t>Colonne12013</t>
  </si>
  <si>
    <t>Colonne12014</t>
  </si>
  <si>
    <t>Colonne12015</t>
  </si>
  <si>
    <t>Colonne12016</t>
  </si>
  <si>
    <t>Colonne12017</t>
  </si>
  <si>
    <t>Colonne12018</t>
  </si>
  <si>
    <t>Colonne12019</t>
  </si>
  <si>
    <t>Colonne12020</t>
  </si>
  <si>
    <t>Colonne12021</t>
  </si>
  <si>
    <t>Colonne12022</t>
  </si>
  <si>
    <t>Colonne12023</t>
  </si>
  <si>
    <t>Colonne12024</t>
  </si>
  <si>
    <t>Colonne12025</t>
  </si>
  <si>
    <t>Colonne12026</t>
  </si>
  <si>
    <t>Colonne12027</t>
  </si>
  <si>
    <t>Colonne12028</t>
  </si>
  <si>
    <t>Colonne12029</t>
  </si>
  <si>
    <t>Colonne12030</t>
  </si>
  <si>
    <t>Colonne12031</t>
  </si>
  <si>
    <t>Colonne12032</t>
  </si>
  <si>
    <t>Colonne12033</t>
  </si>
  <si>
    <t>Colonne12034</t>
  </si>
  <si>
    <t>Colonne12035</t>
  </si>
  <si>
    <t>Colonne12036</t>
  </si>
  <si>
    <t>Colonne12037</t>
  </si>
  <si>
    <t>Colonne12038</t>
  </si>
  <si>
    <t>Colonne12039</t>
  </si>
  <si>
    <t>Colonne12040</t>
  </si>
  <si>
    <t>Colonne12041</t>
  </si>
  <si>
    <t>Colonne12042</t>
  </si>
  <si>
    <t>Colonne12043</t>
  </si>
  <si>
    <t>Colonne12044</t>
  </si>
  <si>
    <t>Colonne12045</t>
  </si>
  <si>
    <t>Colonne12046</t>
  </si>
  <si>
    <t>Colonne12047</t>
  </si>
  <si>
    <t>Colonne12048</t>
  </si>
  <si>
    <t>Colonne12049</t>
  </si>
  <si>
    <t>Colonne12050</t>
  </si>
  <si>
    <t>Colonne12051</t>
  </si>
  <si>
    <t>Colonne12052</t>
  </si>
  <si>
    <t>Colonne12053</t>
  </si>
  <si>
    <t>Colonne12054</t>
  </si>
  <si>
    <t>Colonne12055</t>
  </si>
  <si>
    <t>Colonne12056</t>
  </si>
  <si>
    <t>Colonne12057</t>
  </si>
  <si>
    <t>Colonne12058</t>
  </si>
  <si>
    <t>Colonne12059</t>
  </si>
  <si>
    <t>Colonne12060</t>
  </si>
  <si>
    <t>Colonne12061</t>
  </si>
  <si>
    <t>Colonne12062</t>
  </si>
  <si>
    <t>Colonne12063</t>
  </si>
  <si>
    <t>Colonne12064</t>
  </si>
  <si>
    <t>Colonne12065</t>
  </si>
  <si>
    <t>Colonne12066</t>
  </si>
  <si>
    <t>Colonne12067</t>
  </si>
  <si>
    <t>Colonne12068</t>
  </si>
  <si>
    <t>Colonne12069</t>
  </si>
  <si>
    <t>Colonne12070</t>
  </si>
  <si>
    <t>Colonne12071</t>
  </si>
  <si>
    <t>Colonne12072</t>
  </si>
  <si>
    <t>Colonne12073</t>
  </si>
  <si>
    <t>Colonne12074</t>
  </si>
  <si>
    <t>Colonne12075</t>
  </si>
  <si>
    <t>Colonne12076</t>
  </si>
  <si>
    <t>Colonne12077</t>
  </si>
  <si>
    <t>Colonne12078</t>
  </si>
  <si>
    <t>Colonne12079</t>
  </si>
  <si>
    <t>Colonne12080</t>
  </si>
  <si>
    <t>Colonne12081</t>
  </si>
  <si>
    <t>Colonne12082</t>
  </si>
  <si>
    <t>Colonne12083</t>
  </si>
  <si>
    <t>Colonne12084</t>
  </si>
  <si>
    <t>Colonne12085</t>
  </si>
  <si>
    <t>Colonne12086</t>
  </si>
  <si>
    <t>Colonne12087</t>
  </si>
  <si>
    <t>Colonne12088</t>
  </si>
  <si>
    <t>Colonne12089</t>
  </si>
  <si>
    <t>Colonne12090</t>
  </si>
  <si>
    <t>Colonne12091</t>
  </si>
  <si>
    <t>Colonne12092</t>
  </si>
  <si>
    <t>Colonne12093</t>
  </si>
  <si>
    <t>Colonne12094</t>
  </si>
  <si>
    <t>Colonne12095</t>
  </si>
  <si>
    <t>Colonne12096</t>
  </si>
  <si>
    <t>Colonne12097</t>
  </si>
  <si>
    <t>Colonne12098</t>
  </si>
  <si>
    <t>Colonne12099</t>
  </si>
  <si>
    <t>Colonne12100</t>
  </si>
  <si>
    <t>Colonne12101</t>
  </si>
  <si>
    <t>Colonne12102</t>
  </si>
  <si>
    <t>Colonne12103</t>
  </si>
  <si>
    <t>Colonne12104</t>
  </si>
  <si>
    <t>Colonne12105</t>
  </si>
  <si>
    <t>Colonne12106</t>
  </si>
  <si>
    <t>Colonne12107</t>
  </si>
  <si>
    <t>Colonne12108</t>
  </si>
  <si>
    <t>Colonne12109</t>
  </si>
  <si>
    <t>Colonne12110</t>
  </si>
  <si>
    <t>Colonne12111</t>
  </si>
  <si>
    <t>Colonne12112</t>
  </si>
  <si>
    <t>Colonne12113</t>
  </si>
  <si>
    <t>Colonne12114</t>
  </si>
  <si>
    <t>Colonne12115</t>
  </si>
  <si>
    <t>Colonne12116</t>
  </si>
  <si>
    <t>Colonne12117</t>
  </si>
  <si>
    <t>Colonne12118</t>
  </si>
  <si>
    <t>Colonne12119</t>
  </si>
  <si>
    <t>Colonne12120</t>
  </si>
  <si>
    <t>Colonne12121</t>
  </si>
  <si>
    <t>Colonne12122</t>
  </si>
  <si>
    <t>Colonne12123</t>
  </si>
  <si>
    <t>Colonne12124</t>
  </si>
  <si>
    <t>Colonne12125</t>
  </si>
  <si>
    <t>Colonne12126</t>
  </si>
  <si>
    <t>Colonne12127</t>
  </si>
  <si>
    <t>Colonne12128</t>
  </si>
  <si>
    <t>Colonne12129</t>
  </si>
  <si>
    <t>Colonne12130</t>
  </si>
  <si>
    <t>Colonne12131</t>
  </si>
  <si>
    <t>Colonne12132</t>
  </si>
  <si>
    <t>Colonne12133</t>
  </si>
  <si>
    <t>Colonne12134</t>
  </si>
  <si>
    <t>Colonne12135</t>
  </si>
  <si>
    <t>Colonne12136</t>
  </si>
  <si>
    <t>Colonne12137</t>
  </si>
  <si>
    <t>Colonne12138</t>
  </si>
  <si>
    <t>Colonne12139</t>
  </si>
  <si>
    <t>Colonne12140</t>
  </si>
  <si>
    <t>Colonne12141</t>
  </si>
  <si>
    <t>Colonne12142</t>
  </si>
  <si>
    <t>Colonne12143</t>
  </si>
  <si>
    <t>Colonne12144</t>
  </si>
  <si>
    <t>Colonne12145</t>
  </si>
  <si>
    <t>Colonne12146</t>
  </si>
  <si>
    <t>Colonne12147</t>
  </si>
  <si>
    <t>Colonne12148</t>
  </si>
  <si>
    <t>Colonne12149</t>
  </si>
  <si>
    <t>Colonne12150</t>
  </si>
  <si>
    <t>Colonne12151</t>
  </si>
  <si>
    <t>Colonne12152</t>
  </si>
  <si>
    <t>Colonne12153</t>
  </si>
  <si>
    <t>Colonne12154</t>
  </si>
  <si>
    <t>Colonne12155</t>
  </si>
  <si>
    <t>Colonne12156</t>
  </si>
  <si>
    <t>Colonne12157</t>
  </si>
  <si>
    <t>Colonne12158</t>
  </si>
  <si>
    <t>Colonne12159</t>
  </si>
  <si>
    <t>Colonne12160</t>
  </si>
  <si>
    <t>Colonne12161</t>
  </si>
  <si>
    <t>Colonne12162</t>
  </si>
  <si>
    <t>Colonne12163</t>
  </si>
  <si>
    <t>Colonne12164</t>
  </si>
  <si>
    <t>Colonne12165</t>
  </si>
  <si>
    <t>Colonne12166</t>
  </si>
  <si>
    <t>Colonne12167</t>
  </si>
  <si>
    <t>Colonne12168</t>
  </si>
  <si>
    <t>Colonne12169</t>
  </si>
  <si>
    <t>Colonne12170</t>
  </si>
  <si>
    <t>Colonne12171</t>
  </si>
  <si>
    <t>Colonne12172</t>
  </si>
  <si>
    <t>Colonne12173</t>
  </si>
  <si>
    <t>Colonne12174</t>
  </si>
  <si>
    <t>Colonne12175</t>
  </si>
  <si>
    <t>Colonne12176</t>
  </si>
  <si>
    <t>Colonne12177</t>
  </si>
  <si>
    <t>Colonne12178</t>
  </si>
  <si>
    <t>Colonne12179</t>
  </si>
  <si>
    <t>Colonne12180</t>
  </si>
  <si>
    <t>Colonne12181</t>
  </si>
  <si>
    <t>Colonne12182</t>
  </si>
  <si>
    <t>Colonne12183</t>
  </si>
  <si>
    <t>Colonne12184</t>
  </si>
  <si>
    <t>Colonne12185</t>
  </si>
  <si>
    <t>Colonne12186</t>
  </si>
  <si>
    <t>Colonne12187</t>
  </si>
  <si>
    <t>Colonne12188</t>
  </si>
  <si>
    <t>Colonne12189</t>
  </si>
  <si>
    <t>Colonne12190</t>
  </si>
  <si>
    <t>Colonne12191</t>
  </si>
  <si>
    <t>Colonne12192</t>
  </si>
  <si>
    <t>Colonne12193</t>
  </si>
  <si>
    <t>Colonne12194</t>
  </si>
  <si>
    <t>Colonne12195</t>
  </si>
  <si>
    <t>Colonne12196</t>
  </si>
  <si>
    <t>Colonne12197</t>
  </si>
  <si>
    <t>Colonne12198</t>
  </si>
  <si>
    <t>Colonne12199</t>
  </si>
  <si>
    <t>Colonne12200</t>
  </si>
  <si>
    <t>Colonne12201</t>
  </si>
  <si>
    <t>Colonne12202</t>
  </si>
  <si>
    <t>Colonne12203</t>
  </si>
  <si>
    <t>Colonne12204</t>
  </si>
  <si>
    <t>Colonne12205</t>
  </si>
  <si>
    <t>Colonne12206</t>
  </si>
  <si>
    <t>Colonne12207</t>
  </si>
  <si>
    <t>Colonne12208</t>
  </si>
  <si>
    <t>Colonne12209</t>
  </si>
  <si>
    <t>Colonne12210</t>
  </si>
  <si>
    <t>Colonne12211</t>
  </si>
  <si>
    <t>Colonne12212</t>
  </si>
  <si>
    <t>Colonne12213</t>
  </si>
  <si>
    <t>Colonne12214</t>
  </si>
  <si>
    <t>Colonne12215</t>
  </si>
  <si>
    <t>Colonne12216</t>
  </si>
  <si>
    <t>Colonne12217</t>
  </si>
  <si>
    <t>Colonne12218</t>
  </si>
  <si>
    <t>Colonne12219</t>
  </si>
  <si>
    <t>Colonne12220</t>
  </si>
  <si>
    <t>Colonne12221</t>
  </si>
  <si>
    <t>Colonne12222</t>
  </si>
  <si>
    <t>Colonne12223</t>
  </si>
  <si>
    <t>Colonne12224</t>
  </si>
  <si>
    <t>Colonne12225</t>
  </si>
  <si>
    <t>Colonne12226</t>
  </si>
  <si>
    <t>Colonne12227</t>
  </si>
  <si>
    <t>Colonne12228</t>
  </si>
  <si>
    <t>Colonne12229</t>
  </si>
  <si>
    <t>Colonne12230</t>
  </si>
  <si>
    <t>Colonne12231</t>
  </si>
  <si>
    <t>Colonne12232</t>
  </si>
  <si>
    <t>Colonne12233</t>
  </si>
  <si>
    <t>Colonne12234</t>
  </si>
  <si>
    <t>Colonne12235</t>
  </si>
  <si>
    <t>Colonne12236</t>
  </si>
  <si>
    <t>Colonne12237</t>
  </si>
  <si>
    <t>Colonne12238</t>
  </si>
  <si>
    <t>Colonne12239</t>
  </si>
  <si>
    <t>Colonne12240</t>
  </si>
  <si>
    <t>Colonne12241</t>
  </si>
  <si>
    <t>Colonne12242</t>
  </si>
  <si>
    <t>Colonne12243</t>
  </si>
  <si>
    <t>Colonne12244</t>
  </si>
  <si>
    <t>Colonne12245</t>
  </si>
  <si>
    <t>Colonne12246</t>
  </si>
  <si>
    <t>Colonne12247</t>
  </si>
  <si>
    <t>Colonne12248</t>
  </si>
  <si>
    <t>Colonne12249</t>
  </si>
  <si>
    <t>Colonne12250</t>
  </si>
  <si>
    <t>Colonne12251</t>
  </si>
  <si>
    <t>Colonne12252</t>
  </si>
  <si>
    <t>Colonne12253</t>
  </si>
  <si>
    <t>Colonne12254</t>
  </si>
  <si>
    <t>Colonne12255</t>
  </si>
  <si>
    <t>Colonne12256</t>
  </si>
  <si>
    <t>Colonne12257</t>
  </si>
  <si>
    <t>Colonne12258</t>
  </si>
  <si>
    <t>Colonne12259</t>
  </si>
  <si>
    <t>Colonne12260</t>
  </si>
  <si>
    <t>Colonne12261</t>
  </si>
  <si>
    <t>Colonne12262</t>
  </si>
  <si>
    <t>Colonne12263</t>
  </si>
  <si>
    <t>Colonne12264</t>
  </si>
  <si>
    <t>Colonne12265</t>
  </si>
  <si>
    <t>Colonne12266</t>
  </si>
  <si>
    <t>Colonne12267</t>
  </si>
  <si>
    <t>Colonne12268</t>
  </si>
  <si>
    <t>Colonne12269</t>
  </si>
  <si>
    <t>Colonne12270</t>
  </si>
  <si>
    <t>Colonne12271</t>
  </si>
  <si>
    <t>Colonne12272</t>
  </si>
  <si>
    <t>Colonne12273</t>
  </si>
  <si>
    <t>Colonne12274</t>
  </si>
  <si>
    <t>Colonne12275</t>
  </si>
  <si>
    <t>Colonne12276</t>
  </si>
  <si>
    <t>Colonne12277</t>
  </si>
  <si>
    <t>Colonne12278</t>
  </si>
  <si>
    <t>Colonne12279</t>
  </si>
  <si>
    <t>Colonne12280</t>
  </si>
  <si>
    <t>Colonne12281</t>
  </si>
  <si>
    <t>Colonne12282</t>
  </si>
  <si>
    <t>Colonne12283</t>
  </si>
  <si>
    <t>Colonne12284</t>
  </si>
  <si>
    <t>Colonne12285</t>
  </si>
  <si>
    <t>Colonne12286</t>
  </si>
  <si>
    <t>Colonne12287</t>
  </si>
  <si>
    <t>Colonne12288</t>
  </si>
  <si>
    <t>Colonne12289</t>
  </si>
  <si>
    <t>Colonne12290</t>
  </si>
  <si>
    <t>Colonne12291</t>
  </si>
  <si>
    <t>Colonne12292</t>
  </si>
  <si>
    <t>Colonne12293</t>
  </si>
  <si>
    <t>Colonne12294</t>
  </si>
  <si>
    <t>Colonne12295</t>
  </si>
  <si>
    <t>Colonne12296</t>
  </si>
  <si>
    <t>Colonne12297</t>
  </si>
  <si>
    <t>Colonne12298</t>
  </si>
  <si>
    <t>Colonne12299</t>
  </si>
  <si>
    <t>Colonne12300</t>
  </si>
  <si>
    <t>Colonne12301</t>
  </si>
  <si>
    <t>Colonne12302</t>
  </si>
  <si>
    <t>Colonne12303</t>
  </si>
  <si>
    <t>Colonne12304</t>
  </si>
  <si>
    <t>Colonne12305</t>
  </si>
  <si>
    <t>Colonne12306</t>
  </si>
  <si>
    <t>Colonne12307</t>
  </si>
  <si>
    <t>Colonne12308</t>
  </si>
  <si>
    <t>Colonne12309</t>
  </si>
  <si>
    <t>Colonne12310</t>
  </si>
  <si>
    <t>Colonne12311</t>
  </si>
  <si>
    <t>Colonne12312</t>
  </si>
  <si>
    <t>Colonne12313</t>
  </si>
  <si>
    <t>Colonne12314</t>
  </si>
  <si>
    <t>Colonne12315</t>
  </si>
  <si>
    <t>Colonne12316</t>
  </si>
  <si>
    <t>Colonne12317</t>
  </si>
  <si>
    <t>Colonne12318</t>
  </si>
  <si>
    <t>Colonne12319</t>
  </si>
  <si>
    <t>Colonne12320</t>
  </si>
  <si>
    <t>Colonne12321</t>
  </si>
  <si>
    <t>Colonne12322</t>
  </si>
  <si>
    <t>Colonne12323</t>
  </si>
  <si>
    <t>Colonne12324</t>
  </si>
  <si>
    <t>Colonne12325</t>
  </si>
  <si>
    <t>Colonne12326</t>
  </si>
  <si>
    <t>Colonne12327</t>
  </si>
  <si>
    <t>Colonne12328</t>
  </si>
  <si>
    <t>Colonne12329</t>
  </si>
  <si>
    <t>Colonne12330</t>
  </si>
  <si>
    <t>Colonne12331</t>
  </si>
  <si>
    <t>Colonne12332</t>
  </si>
  <si>
    <t>Colonne12333</t>
  </si>
  <si>
    <t>Colonne12334</t>
  </si>
  <si>
    <t>Colonne12335</t>
  </si>
  <si>
    <t>Colonne12336</t>
  </si>
  <si>
    <t>Colonne12337</t>
  </si>
  <si>
    <t>Colonne12338</t>
  </si>
  <si>
    <t>Colonne12339</t>
  </si>
  <si>
    <t>Colonne12340</t>
  </si>
  <si>
    <t>Colonne12341</t>
  </si>
  <si>
    <t>Colonne12342</t>
  </si>
  <si>
    <t>Colonne12343</t>
  </si>
  <si>
    <t>Colonne12344</t>
  </si>
  <si>
    <t>Colonne12345</t>
  </si>
  <si>
    <t>Colonne12346</t>
  </si>
  <si>
    <t>Colonne12347</t>
  </si>
  <si>
    <t>Colonne12348</t>
  </si>
  <si>
    <t>Colonne12349</t>
  </si>
  <si>
    <t>Colonne12350</t>
  </si>
  <si>
    <t>Colonne12351</t>
  </si>
  <si>
    <t>Colonne12352</t>
  </si>
  <si>
    <t>Colonne12353</t>
  </si>
  <si>
    <t>Colonne12354</t>
  </si>
  <si>
    <t>Colonne12355</t>
  </si>
  <si>
    <t>Colonne12356</t>
  </si>
  <si>
    <t>Colonne12357</t>
  </si>
  <si>
    <t>Colonne12358</t>
  </si>
  <si>
    <t>Colonne12359</t>
  </si>
  <si>
    <t>Colonne12360</t>
  </si>
  <si>
    <t>Colonne12361</t>
  </si>
  <si>
    <t>Colonne12362</t>
  </si>
  <si>
    <t>Colonne12363</t>
  </si>
  <si>
    <t>Colonne12364</t>
  </si>
  <si>
    <t>Colonne12365</t>
  </si>
  <si>
    <t>Colonne12366</t>
  </si>
  <si>
    <t>Colonne12367</t>
  </si>
  <si>
    <t>Colonne12368</t>
  </si>
  <si>
    <t>Colonne12369</t>
  </si>
  <si>
    <t>Colonne12370</t>
  </si>
  <si>
    <t>Colonne12371</t>
  </si>
  <si>
    <t>Colonne12372</t>
  </si>
  <si>
    <t>Colonne12373</t>
  </si>
  <si>
    <t>Colonne12374</t>
  </si>
  <si>
    <t>Colonne12375</t>
  </si>
  <si>
    <t>Colonne12376</t>
  </si>
  <si>
    <t>Colonne12377</t>
  </si>
  <si>
    <t>Colonne12378</t>
  </si>
  <si>
    <t>Colonne12379</t>
  </si>
  <si>
    <t>Colonne12380</t>
  </si>
  <si>
    <t>Colonne12381</t>
  </si>
  <si>
    <t>Colonne12382</t>
  </si>
  <si>
    <t>Colonne12383</t>
  </si>
  <si>
    <t>Colonne12384</t>
  </si>
  <si>
    <t>Colonne12385</t>
  </si>
  <si>
    <t>Colonne12386</t>
  </si>
  <si>
    <t>Colonne12387</t>
  </si>
  <si>
    <t>Colonne12388</t>
  </si>
  <si>
    <t>Colonne12389</t>
  </si>
  <si>
    <t>Colonne12390</t>
  </si>
  <si>
    <t>Colonne12391</t>
  </si>
  <si>
    <t>Colonne12392</t>
  </si>
  <si>
    <t>Colonne12393</t>
  </si>
  <si>
    <t>Colonne12394</t>
  </si>
  <si>
    <t>Colonne12395</t>
  </si>
  <si>
    <t>Colonne12396</t>
  </si>
  <si>
    <t>Colonne12397</t>
  </si>
  <si>
    <t>Colonne12398</t>
  </si>
  <si>
    <t>Colonne12399</t>
  </si>
  <si>
    <t>Colonne12400</t>
  </si>
  <si>
    <t>Colonne12401</t>
  </si>
  <si>
    <t>Colonne12402</t>
  </si>
  <si>
    <t>Colonne12403</t>
  </si>
  <si>
    <t>Colonne12404</t>
  </si>
  <si>
    <t>Colonne12405</t>
  </si>
  <si>
    <t>Colonne12406</t>
  </si>
  <si>
    <t>Colonne12407</t>
  </si>
  <si>
    <t>Colonne12408</t>
  </si>
  <si>
    <t>Colonne12409</t>
  </si>
  <si>
    <t>Colonne12410</t>
  </si>
  <si>
    <t>Colonne12411</t>
  </si>
  <si>
    <t>Colonne12412</t>
  </si>
  <si>
    <t>Colonne12413</t>
  </si>
  <si>
    <t>Colonne12414</t>
  </si>
  <si>
    <t>Colonne12415</t>
  </si>
  <si>
    <t>Colonne12416</t>
  </si>
  <si>
    <t>Colonne12417</t>
  </si>
  <si>
    <t>Colonne12418</t>
  </si>
  <si>
    <t>Colonne12419</t>
  </si>
  <si>
    <t>Colonne12420</t>
  </si>
  <si>
    <t>Colonne12421</t>
  </si>
  <si>
    <t>Colonne12422</t>
  </si>
  <si>
    <t>Colonne12423</t>
  </si>
  <si>
    <t>Colonne12424</t>
  </si>
  <si>
    <t>Colonne12425</t>
  </si>
  <si>
    <t>Colonne12426</t>
  </si>
  <si>
    <t>Colonne12427</t>
  </si>
  <si>
    <t>Colonne12428</t>
  </si>
  <si>
    <t>Colonne12429</t>
  </si>
  <si>
    <t>Colonne12430</t>
  </si>
  <si>
    <t>Colonne12431</t>
  </si>
  <si>
    <t>Colonne12432</t>
  </si>
  <si>
    <t>Colonne12433</t>
  </si>
  <si>
    <t>Colonne12434</t>
  </si>
  <si>
    <t>Colonne12435</t>
  </si>
  <si>
    <t>Colonne12436</t>
  </si>
  <si>
    <t>Colonne12437</t>
  </si>
  <si>
    <t>Colonne12438</t>
  </si>
  <si>
    <t>Colonne12439</t>
  </si>
  <si>
    <t>Colonne12440</t>
  </si>
  <si>
    <t>Colonne12441</t>
  </si>
  <si>
    <t>Colonne12442</t>
  </si>
  <si>
    <t>Colonne12443</t>
  </si>
  <si>
    <t>Colonne12444</t>
  </si>
  <si>
    <t>Colonne12445</t>
  </si>
  <si>
    <t>Colonne12446</t>
  </si>
  <si>
    <t>Colonne12447</t>
  </si>
  <si>
    <t>Colonne12448</t>
  </si>
  <si>
    <t>Colonne12449</t>
  </si>
  <si>
    <t>Colonne12450</t>
  </si>
  <si>
    <t>Colonne12451</t>
  </si>
  <si>
    <t>Colonne12452</t>
  </si>
  <si>
    <t>Colonne12453</t>
  </si>
  <si>
    <t>Colonne12454</t>
  </si>
  <si>
    <t>Colonne12455</t>
  </si>
  <si>
    <t>Colonne12456</t>
  </si>
  <si>
    <t>Colonne12457</t>
  </si>
  <si>
    <t>Colonne12458</t>
  </si>
  <si>
    <t>Colonne12459</t>
  </si>
  <si>
    <t>Colonne12460</t>
  </si>
  <si>
    <t>Colonne12461</t>
  </si>
  <si>
    <t>Colonne12462</t>
  </si>
  <si>
    <t>Colonne12463</t>
  </si>
  <si>
    <t>Colonne12464</t>
  </si>
  <si>
    <t>Colonne12465</t>
  </si>
  <si>
    <t>Colonne12466</t>
  </si>
  <si>
    <t>Colonne12467</t>
  </si>
  <si>
    <t>Colonne12468</t>
  </si>
  <si>
    <t>Colonne12469</t>
  </si>
  <si>
    <t>Colonne12470</t>
  </si>
  <si>
    <t>Colonne12471</t>
  </si>
  <si>
    <t>Colonne12472</t>
  </si>
  <si>
    <t>Colonne12473</t>
  </si>
  <si>
    <t>Colonne12474</t>
  </si>
  <si>
    <t>Colonne12475</t>
  </si>
  <si>
    <t>Colonne12476</t>
  </si>
  <si>
    <t>Colonne12477</t>
  </si>
  <si>
    <t>Colonne12478</t>
  </si>
  <si>
    <t>Colonne12479</t>
  </si>
  <si>
    <t>Colonne12480</t>
  </si>
  <si>
    <t>Colonne12481</t>
  </si>
  <si>
    <t>Colonne12482</t>
  </si>
  <si>
    <t>Colonne12483</t>
  </si>
  <si>
    <t>Colonne12484</t>
  </si>
  <si>
    <t>Colonne12485</t>
  </si>
  <si>
    <t>Colonne12486</t>
  </si>
  <si>
    <t>Colonne12487</t>
  </si>
  <si>
    <t>Colonne12488</t>
  </si>
  <si>
    <t>Colonne12489</t>
  </si>
  <si>
    <t>Colonne12490</t>
  </si>
  <si>
    <t>Colonne12491</t>
  </si>
  <si>
    <t>Colonne12492</t>
  </si>
  <si>
    <t>Colonne12493</t>
  </si>
  <si>
    <t>Colonne12494</t>
  </si>
  <si>
    <t>Colonne12495</t>
  </si>
  <si>
    <t>Colonne12496</t>
  </si>
  <si>
    <t>Colonne12497</t>
  </si>
  <si>
    <t>Colonne12498</t>
  </si>
  <si>
    <t>Colonne12499</t>
  </si>
  <si>
    <t>Colonne12500</t>
  </si>
  <si>
    <t>Colonne12501</t>
  </si>
  <si>
    <t>Colonne12502</t>
  </si>
  <si>
    <t>Colonne12503</t>
  </si>
  <si>
    <t>Colonne12504</t>
  </si>
  <si>
    <t>Colonne12505</t>
  </si>
  <si>
    <t>Colonne12506</t>
  </si>
  <si>
    <t>Colonne12507</t>
  </si>
  <si>
    <t>Colonne12508</t>
  </si>
  <si>
    <t>Colonne12509</t>
  </si>
  <si>
    <t>Colonne12510</t>
  </si>
  <si>
    <t>Colonne12511</t>
  </si>
  <si>
    <t>Colonne12512</t>
  </si>
  <si>
    <t>Colonne12513</t>
  </si>
  <si>
    <t>Colonne12514</t>
  </si>
  <si>
    <t>Colonne12515</t>
  </si>
  <si>
    <t>Colonne12516</t>
  </si>
  <si>
    <t>Colonne12517</t>
  </si>
  <si>
    <t>Colonne12518</t>
  </si>
  <si>
    <t>Colonne12519</t>
  </si>
  <si>
    <t>Colonne12520</t>
  </si>
  <si>
    <t>Colonne12521</t>
  </si>
  <si>
    <t>Colonne12522</t>
  </si>
  <si>
    <t>Colonne12523</t>
  </si>
  <si>
    <t>Colonne12524</t>
  </si>
  <si>
    <t>Colonne12525</t>
  </si>
  <si>
    <t>Colonne12526</t>
  </si>
  <si>
    <t>Colonne12527</t>
  </si>
  <si>
    <t>Colonne12528</t>
  </si>
  <si>
    <t>Colonne12529</t>
  </si>
  <si>
    <t>Colonne12530</t>
  </si>
  <si>
    <t>Colonne12531</t>
  </si>
  <si>
    <t>Colonne12532</t>
  </si>
  <si>
    <t>Colonne12533</t>
  </si>
  <si>
    <t>Colonne12534</t>
  </si>
  <si>
    <t>Colonne12535</t>
  </si>
  <si>
    <t>Colonne12536</t>
  </si>
  <si>
    <t>Colonne12537</t>
  </si>
  <si>
    <t>Colonne12538</t>
  </si>
  <si>
    <t>Colonne12539</t>
  </si>
  <si>
    <t>Colonne12540</t>
  </si>
  <si>
    <t>Colonne12541</t>
  </si>
  <si>
    <t>Colonne12542</t>
  </si>
  <si>
    <t>Colonne12543</t>
  </si>
  <si>
    <t>Colonne12544</t>
  </si>
  <si>
    <t>Colonne12545</t>
  </si>
  <si>
    <t>Colonne12546</t>
  </si>
  <si>
    <t>Colonne12547</t>
  </si>
  <si>
    <t>Colonne12548</t>
  </si>
  <si>
    <t>Colonne12549</t>
  </si>
  <si>
    <t>Colonne12550</t>
  </si>
  <si>
    <t>Colonne12551</t>
  </si>
  <si>
    <t>Colonne12552</t>
  </si>
  <si>
    <t>Colonne12553</t>
  </si>
  <si>
    <t>Colonne12554</t>
  </si>
  <si>
    <t>Colonne12555</t>
  </si>
  <si>
    <t>Colonne12556</t>
  </si>
  <si>
    <t>Colonne12557</t>
  </si>
  <si>
    <t>Colonne12558</t>
  </si>
  <si>
    <t>Colonne12559</t>
  </si>
  <si>
    <t>Colonne12560</t>
  </si>
  <si>
    <t>Colonne12561</t>
  </si>
  <si>
    <t>Colonne12562</t>
  </si>
  <si>
    <t>Colonne12563</t>
  </si>
  <si>
    <t>Colonne12564</t>
  </si>
  <si>
    <t>Colonne12565</t>
  </si>
  <si>
    <t>Colonne12566</t>
  </si>
  <si>
    <t>Colonne12567</t>
  </si>
  <si>
    <t>Colonne12568</t>
  </si>
  <si>
    <t>Colonne12569</t>
  </si>
  <si>
    <t>Colonne12570</t>
  </si>
  <si>
    <t>Colonne12571</t>
  </si>
  <si>
    <t>Colonne12572</t>
  </si>
  <si>
    <t>Colonne12573</t>
  </si>
  <si>
    <t>Colonne12574</t>
  </si>
  <si>
    <t>Colonne12575</t>
  </si>
  <si>
    <t>Colonne12576</t>
  </si>
  <si>
    <t>Colonne12577</t>
  </si>
  <si>
    <t>Colonne12578</t>
  </si>
  <si>
    <t>Colonne12579</t>
  </si>
  <si>
    <t>Colonne12580</t>
  </si>
  <si>
    <t>Colonne12581</t>
  </si>
  <si>
    <t>Colonne12582</t>
  </si>
  <si>
    <t>Colonne12583</t>
  </si>
  <si>
    <t>Colonne12584</t>
  </si>
  <si>
    <t>Colonne12585</t>
  </si>
  <si>
    <t>Colonne12586</t>
  </si>
  <si>
    <t>Colonne12587</t>
  </si>
  <si>
    <t>Colonne12588</t>
  </si>
  <si>
    <t>Colonne12589</t>
  </si>
  <si>
    <t>Colonne12590</t>
  </si>
  <si>
    <t>Colonne12591</t>
  </si>
  <si>
    <t>Colonne12592</t>
  </si>
  <si>
    <t>Colonne12593</t>
  </si>
  <si>
    <t>Colonne12594</t>
  </si>
  <si>
    <t>Colonne12595</t>
  </si>
  <si>
    <t>Colonne12596</t>
  </si>
  <si>
    <t>Colonne12597</t>
  </si>
  <si>
    <t>Colonne12598</t>
  </si>
  <si>
    <t>Colonne12599</t>
  </si>
  <si>
    <t>Colonne12600</t>
  </si>
  <si>
    <t>Colonne12601</t>
  </si>
  <si>
    <t>Colonne12602</t>
  </si>
  <si>
    <t>Colonne12603</t>
  </si>
  <si>
    <t>Colonne12604</t>
  </si>
  <si>
    <t>Colonne12605</t>
  </si>
  <si>
    <t>Colonne12606</t>
  </si>
  <si>
    <t>Colonne12607</t>
  </si>
  <si>
    <t>Colonne12608</t>
  </si>
  <si>
    <t>Colonne12609</t>
  </si>
  <si>
    <t>Colonne12610</t>
  </si>
  <si>
    <t>Colonne12611</t>
  </si>
  <si>
    <t>Colonne12612</t>
  </si>
  <si>
    <t>Colonne12613</t>
  </si>
  <si>
    <t>Colonne12614</t>
  </si>
  <si>
    <t>Colonne12615</t>
  </si>
  <si>
    <t>Colonne12616</t>
  </si>
  <si>
    <t>Colonne12617</t>
  </si>
  <si>
    <t>Colonne12618</t>
  </si>
  <si>
    <t>Colonne12619</t>
  </si>
  <si>
    <t>Colonne12620</t>
  </si>
  <si>
    <t>Colonne12621</t>
  </si>
  <si>
    <t>Colonne12622</t>
  </si>
  <si>
    <t>Colonne12623</t>
  </si>
  <si>
    <t>Colonne12624</t>
  </si>
  <si>
    <t>Colonne12625</t>
  </si>
  <si>
    <t>Colonne12626</t>
  </si>
  <si>
    <t>Colonne12627</t>
  </si>
  <si>
    <t>Colonne12628</t>
  </si>
  <si>
    <t>Colonne12629</t>
  </si>
  <si>
    <t>Colonne12630</t>
  </si>
  <si>
    <t>Colonne12631</t>
  </si>
  <si>
    <t>Colonne12632</t>
  </si>
  <si>
    <t>Colonne12633</t>
  </si>
  <si>
    <t>Colonne12634</t>
  </si>
  <si>
    <t>Colonne12635</t>
  </si>
  <si>
    <t>Colonne12636</t>
  </si>
  <si>
    <t>Colonne12637</t>
  </si>
  <si>
    <t>Colonne12638</t>
  </si>
  <si>
    <t>Colonne12639</t>
  </si>
  <si>
    <t>Colonne12640</t>
  </si>
  <si>
    <t>Colonne12641</t>
  </si>
  <si>
    <t>Colonne12642</t>
  </si>
  <si>
    <t>Colonne12643</t>
  </si>
  <si>
    <t>Colonne12644</t>
  </si>
  <si>
    <t>Colonne12645</t>
  </si>
  <si>
    <t>Colonne12646</t>
  </si>
  <si>
    <t>Colonne12647</t>
  </si>
  <si>
    <t>Colonne12648</t>
  </si>
  <si>
    <t>Colonne12649</t>
  </si>
  <si>
    <t>Colonne12650</t>
  </si>
  <si>
    <t>Colonne12651</t>
  </si>
  <si>
    <t>Colonne12652</t>
  </si>
  <si>
    <t>Colonne12653</t>
  </si>
  <si>
    <t>Colonne12654</t>
  </si>
  <si>
    <t>Colonne12655</t>
  </si>
  <si>
    <t>Colonne12656</t>
  </si>
  <si>
    <t>Colonne12657</t>
  </si>
  <si>
    <t>Colonne12658</t>
  </si>
  <si>
    <t>Colonne12659</t>
  </si>
  <si>
    <t>Colonne12660</t>
  </si>
  <si>
    <t>Colonne12661</t>
  </si>
  <si>
    <t>Colonne12662</t>
  </si>
  <si>
    <t>Colonne12663</t>
  </si>
  <si>
    <t>Colonne12664</t>
  </si>
  <si>
    <t>Colonne12665</t>
  </si>
  <si>
    <t>Colonne12666</t>
  </si>
  <si>
    <t>Colonne12667</t>
  </si>
  <si>
    <t>Colonne12668</t>
  </si>
  <si>
    <t>Colonne12669</t>
  </si>
  <si>
    <t>Colonne12670</t>
  </si>
  <si>
    <t>Colonne12671</t>
  </si>
  <si>
    <t>Colonne12672</t>
  </si>
  <si>
    <t>Colonne12673</t>
  </si>
  <si>
    <t>Colonne12674</t>
  </si>
  <si>
    <t>Colonne12675</t>
  </si>
  <si>
    <t>Colonne12676</t>
  </si>
  <si>
    <t>Colonne12677</t>
  </si>
  <si>
    <t>Colonne12678</t>
  </si>
  <si>
    <t>Colonne12679</t>
  </si>
  <si>
    <t>Colonne12680</t>
  </si>
  <si>
    <t>Colonne12681</t>
  </si>
  <si>
    <t>Colonne12682</t>
  </si>
  <si>
    <t>Colonne12683</t>
  </si>
  <si>
    <t>Colonne12684</t>
  </si>
  <si>
    <t>Colonne12685</t>
  </si>
  <si>
    <t>Colonne12686</t>
  </si>
  <si>
    <t>Colonne12687</t>
  </si>
  <si>
    <t>Colonne12688</t>
  </si>
  <si>
    <t>Colonne12689</t>
  </si>
  <si>
    <t>Colonne12690</t>
  </si>
  <si>
    <t>Colonne12691</t>
  </si>
  <si>
    <t>Colonne12692</t>
  </si>
  <si>
    <t>Colonne12693</t>
  </si>
  <si>
    <t>Colonne12694</t>
  </si>
  <si>
    <t>Colonne12695</t>
  </si>
  <si>
    <t>Colonne12696</t>
  </si>
  <si>
    <t>Colonne12697</t>
  </si>
  <si>
    <t>Colonne12698</t>
  </si>
  <si>
    <t>Colonne12699</t>
  </si>
  <si>
    <t>Colonne12700</t>
  </si>
  <si>
    <t>Colonne12701</t>
  </si>
  <si>
    <t>Colonne12702</t>
  </si>
  <si>
    <t>Colonne12703</t>
  </si>
  <si>
    <t>Colonne12704</t>
  </si>
  <si>
    <t>Colonne12705</t>
  </si>
  <si>
    <t>Colonne12706</t>
  </si>
  <si>
    <t>Colonne12707</t>
  </si>
  <si>
    <t>Colonne12708</t>
  </si>
  <si>
    <t>Colonne12709</t>
  </si>
  <si>
    <t>Colonne12710</t>
  </si>
  <si>
    <t>Colonne12711</t>
  </si>
  <si>
    <t>Colonne12712</t>
  </si>
  <si>
    <t>Colonne12713</t>
  </si>
  <si>
    <t>Colonne12714</t>
  </si>
  <si>
    <t>Colonne12715</t>
  </si>
  <si>
    <t>Colonne12716</t>
  </si>
  <si>
    <t>Colonne12717</t>
  </si>
  <si>
    <t>Colonne12718</t>
  </si>
  <si>
    <t>Colonne12719</t>
  </si>
  <si>
    <t>Colonne12720</t>
  </si>
  <si>
    <t>Colonne12721</t>
  </si>
  <si>
    <t>Colonne12722</t>
  </si>
  <si>
    <t>Colonne12723</t>
  </si>
  <si>
    <t>Colonne12724</t>
  </si>
  <si>
    <t>Colonne12725</t>
  </si>
  <si>
    <t>Colonne12726</t>
  </si>
  <si>
    <t>Colonne12727</t>
  </si>
  <si>
    <t>Colonne12728</t>
  </si>
  <si>
    <t>Colonne12729</t>
  </si>
  <si>
    <t>Colonne12730</t>
  </si>
  <si>
    <t>Colonne12731</t>
  </si>
  <si>
    <t>Colonne12732</t>
  </si>
  <si>
    <t>Colonne12733</t>
  </si>
  <si>
    <t>Colonne12734</t>
  </si>
  <si>
    <t>Colonne12735</t>
  </si>
  <si>
    <t>Colonne12736</t>
  </si>
  <si>
    <t>Colonne12737</t>
  </si>
  <si>
    <t>Colonne12738</t>
  </si>
  <si>
    <t>Colonne12739</t>
  </si>
  <si>
    <t>Colonne12740</t>
  </si>
  <si>
    <t>Colonne12741</t>
  </si>
  <si>
    <t>Colonne12742</t>
  </si>
  <si>
    <t>Colonne12743</t>
  </si>
  <si>
    <t>Colonne12744</t>
  </si>
  <si>
    <t>Colonne12745</t>
  </si>
  <si>
    <t>Colonne12746</t>
  </si>
  <si>
    <t>Colonne12747</t>
  </si>
  <si>
    <t>Colonne12748</t>
  </si>
  <si>
    <t>Colonne12749</t>
  </si>
  <si>
    <t>Colonne12750</t>
  </si>
  <si>
    <t>Colonne12751</t>
  </si>
  <si>
    <t>Colonne12752</t>
  </si>
  <si>
    <t>Colonne12753</t>
  </si>
  <si>
    <t>Colonne12754</t>
  </si>
  <si>
    <t>Colonne12755</t>
  </si>
  <si>
    <t>Colonne12756</t>
  </si>
  <si>
    <t>Colonne12757</t>
  </si>
  <si>
    <t>Colonne12758</t>
  </si>
  <si>
    <t>Colonne12759</t>
  </si>
  <si>
    <t>Colonne12760</t>
  </si>
  <si>
    <t>Colonne12761</t>
  </si>
  <si>
    <t>Colonne12762</t>
  </si>
  <si>
    <t>Colonne12763</t>
  </si>
  <si>
    <t>Colonne12764</t>
  </si>
  <si>
    <t>Colonne12765</t>
  </si>
  <si>
    <t>Colonne12766</t>
  </si>
  <si>
    <t>Colonne12767</t>
  </si>
  <si>
    <t>Colonne12768</t>
  </si>
  <si>
    <t>Colonne12769</t>
  </si>
  <si>
    <t>Colonne12770</t>
  </si>
  <si>
    <t>Colonne12771</t>
  </si>
  <si>
    <t>Colonne12772</t>
  </si>
  <si>
    <t>Colonne12773</t>
  </si>
  <si>
    <t>Colonne12774</t>
  </si>
  <si>
    <t>Colonne12775</t>
  </si>
  <si>
    <t>Colonne12776</t>
  </si>
  <si>
    <t>Colonne12777</t>
  </si>
  <si>
    <t>Colonne12778</t>
  </si>
  <si>
    <t>Colonne12779</t>
  </si>
  <si>
    <t>Colonne12780</t>
  </si>
  <si>
    <t>Colonne12781</t>
  </si>
  <si>
    <t>Colonne12782</t>
  </si>
  <si>
    <t>Colonne12783</t>
  </si>
  <si>
    <t>Colonne12784</t>
  </si>
  <si>
    <t>Colonne12785</t>
  </si>
  <si>
    <t>Colonne12786</t>
  </si>
  <si>
    <t>Colonne12787</t>
  </si>
  <si>
    <t>Colonne12788</t>
  </si>
  <si>
    <t>Colonne12789</t>
  </si>
  <si>
    <t>Colonne12790</t>
  </si>
  <si>
    <t>Colonne12791</t>
  </si>
  <si>
    <t>Colonne12792</t>
  </si>
  <si>
    <t>Colonne12793</t>
  </si>
  <si>
    <t>Colonne12794</t>
  </si>
  <si>
    <t>Colonne12795</t>
  </si>
  <si>
    <t>Colonne12796</t>
  </si>
  <si>
    <t>Colonne12797</t>
  </si>
  <si>
    <t>Colonne12798</t>
  </si>
  <si>
    <t>Colonne12799</t>
  </si>
  <si>
    <t>Colonne12800</t>
  </si>
  <si>
    <t>Colonne12801</t>
  </si>
  <si>
    <t>Colonne12802</t>
  </si>
  <si>
    <t>Colonne12803</t>
  </si>
  <si>
    <t>Colonne12804</t>
  </si>
  <si>
    <t>Colonne12805</t>
  </si>
  <si>
    <t>Colonne12806</t>
  </si>
  <si>
    <t>Colonne12807</t>
  </si>
  <si>
    <t>Colonne12808</t>
  </si>
  <si>
    <t>Colonne12809</t>
  </si>
  <si>
    <t>Colonne12810</t>
  </si>
  <si>
    <t>Colonne12811</t>
  </si>
  <si>
    <t>Colonne12812</t>
  </si>
  <si>
    <t>Colonne12813</t>
  </si>
  <si>
    <t>Colonne12814</t>
  </si>
  <si>
    <t>Colonne12815</t>
  </si>
  <si>
    <t>Colonne12816</t>
  </si>
  <si>
    <t>Colonne12817</t>
  </si>
  <si>
    <t>Colonne12818</t>
  </si>
  <si>
    <t>Colonne12819</t>
  </si>
  <si>
    <t>Colonne12820</t>
  </si>
  <si>
    <t>Colonne12821</t>
  </si>
  <si>
    <t>Colonne12822</t>
  </si>
  <si>
    <t>Colonne12823</t>
  </si>
  <si>
    <t>Colonne12824</t>
  </si>
  <si>
    <t>Colonne12825</t>
  </si>
  <si>
    <t>Colonne12826</t>
  </si>
  <si>
    <t>Colonne12827</t>
  </si>
  <si>
    <t>Colonne12828</t>
  </si>
  <si>
    <t>Colonne12829</t>
  </si>
  <si>
    <t>Colonne12830</t>
  </si>
  <si>
    <t>Colonne12831</t>
  </si>
  <si>
    <t>Colonne12832</t>
  </si>
  <si>
    <t>Colonne12833</t>
  </si>
  <si>
    <t>Colonne12834</t>
  </si>
  <si>
    <t>Colonne12835</t>
  </si>
  <si>
    <t>Colonne12836</t>
  </si>
  <si>
    <t>Colonne12837</t>
  </si>
  <si>
    <t>Colonne12838</t>
  </si>
  <si>
    <t>Colonne12839</t>
  </si>
  <si>
    <t>Colonne12840</t>
  </si>
  <si>
    <t>Colonne12841</t>
  </si>
  <si>
    <t>Colonne12842</t>
  </si>
  <si>
    <t>Colonne12843</t>
  </si>
  <si>
    <t>Colonne12844</t>
  </si>
  <si>
    <t>Colonne12845</t>
  </si>
  <si>
    <t>Colonne12846</t>
  </si>
  <si>
    <t>Colonne12847</t>
  </si>
  <si>
    <t>Colonne12848</t>
  </si>
  <si>
    <t>Colonne12849</t>
  </si>
  <si>
    <t>Colonne12850</t>
  </si>
  <si>
    <t>Colonne12851</t>
  </si>
  <si>
    <t>Colonne12852</t>
  </si>
  <si>
    <t>Colonne12853</t>
  </si>
  <si>
    <t>Colonne12854</t>
  </si>
  <si>
    <t>Colonne12855</t>
  </si>
  <si>
    <t>Colonne12856</t>
  </si>
  <si>
    <t>Colonne12857</t>
  </si>
  <si>
    <t>Colonne12858</t>
  </si>
  <si>
    <t>Colonne12859</t>
  </si>
  <si>
    <t>Colonne12860</t>
  </si>
  <si>
    <t>Colonne12861</t>
  </si>
  <si>
    <t>Colonne12862</t>
  </si>
  <si>
    <t>Colonne12863</t>
  </si>
  <si>
    <t>Colonne12864</t>
  </si>
  <si>
    <t>Colonne12865</t>
  </si>
  <si>
    <t>Colonne12866</t>
  </si>
  <si>
    <t>Colonne12867</t>
  </si>
  <si>
    <t>Colonne12868</t>
  </si>
  <si>
    <t>Colonne12869</t>
  </si>
  <si>
    <t>Colonne12870</t>
  </si>
  <si>
    <t>Colonne12871</t>
  </si>
  <si>
    <t>Colonne12872</t>
  </si>
  <si>
    <t>Colonne12873</t>
  </si>
  <si>
    <t>Colonne12874</t>
  </si>
  <si>
    <t>Colonne12875</t>
  </si>
  <si>
    <t>Colonne12876</t>
  </si>
  <si>
    <t>Colonne12877</t>
  </si>
  <si>
    <t>Colonne12878</t>
  </si>
  <si>
    <t>Colonne12879</t>
  </si>
  <si>
    <t>Colonne12880</t>
  </si>
  <si>
    <t>Colonne12881</t>
  </si>
  <si>
    <t>Colonne12882</t>
  </si>
  <si>
    <t>Colonne12883</t>
  </si>
  <si>
    <t>Colonne12884</t>
  </si>
  <si>
    <t>Colonne12885</t>
  </si>
  <si>
    <t>Colonne12886</t>
  </si>
  <si>
    <t>Colonne12887</t>
  </si>
  <si>
    <t>Colonne12888</t>
  </si>
  <si>
    <t>Colonne12889</t>
  </si>
  <si>
    <t>Colonne12890</t>
  </si>
  <si>
    <t>Colonne12891</t>
  </si>
  <si>
    <t>Colonne12892</t>
  </si>
  <si>
    <t>Colonne12893</t>
  </si>
  <si>
    <t>Colonne12894</t>
  </si>
  <si>
    <t>Colonne12895</t>
  </si>
  <si>
    <t>Colonne12896</t>
  </si>
  <si>
    <t>Colonne12897</t>
  </si>
  <si>
    <t>Colonne12898</t>
  </si>
  <si>
    <t>Colonne12899</t>
  </si>
  <si>
    <t>Colonne12900</t>
  </si>
  <si>
    <t>Colonne12901</t>
  </si>
  <si>
    <t>Colonne12902</t>
  </si>
  <si>
    <t>Colonne12903</t>
  </si>
  <si>
    <t>Colonne12904</t>
  </si>
  <si>
    <t>Colonne12905</t>
  </si>
  <si>
    <t>Colonne12906</t>
  </si>
  <si>
    <t>Colonne12907</t>
  </si>
  <si>
    <t>Colonne12908</t>
  </si>
  <si>
    <t>Colonne12909</t>
  </si>
  <si>
    <t>Colonne12910</t>
  </si>
  <si>
    <t>Colonne12911</t>
  </si>
  <si>
    <t>Colonne12912</t>
  </si>
  <si>
    <t>Colonne12913</t>
  </si>
  <si>
    <t>Colonne12914</t>
  </si>
  <si>
    <t>Colonne12915</t>
  </si>
  <si>
    <t>Colonne12916</t>
  </si>
  <si>
    <t>Colonne12917</t>
  </si>
  <si>
    <t>Colonne12918</t>
  </si>
  <si>
    <t>Colonne12919</t>
  </si>
  <si>
    <t>Colonne12920</t>
  </si>
  <si>
    <t>Colonne12921</t>
  </si>
  <si>
    <t>Colonne12922</t>
  </si>
  <si>
    <t>Colonne12923</t>
  </si>
  <si>
    <t>Colonne12924</t>
  </si>
  <si>
    <t>Colonne12925</t>
  </si>
  <si>
    <t>Colonne12926</t>
  </si>
  <si>
    <t>Colonne12927</t>
  </si>
  <si>
    <t>Colonne12928</t>
  </si>
  <si>
    <t>Colonne12929</t>
  </si>
  <si>
    <t>Colonne12930</t>
  </si>
  <si>
    <t>Colonne12931</t>
  </si>
  <si>
    <t>Colonne12932</t>
  </si>
  <si>
    <t>Colonne12933</t>
  </si>
  <si>
    <t>Colonne12934</t>
  </si>
  <si>
    <t>Colonne12935</t>
  </si>
  <si>
    <t>Colonne12936</t>
  </si>
  <si>
    <t>Colonne12937</t>
  </si>
  <si>
    <t>Colonne12938</t>
  </si>
  <si>
    <t>Colonne12939</t>
  </si>
  <si>
    <t>Colonne12940</t>
  </si>
  <si>
    <t>Colonne12941</t>
  </si>
  <si>
    <t>Colonne12942</t>
  </si>
  <si>
    <t>Colonne12943</t>
  </si>
  <si>
    <t>Colonne12944</t>
  </si>
  <si>
    <t>Colonne12945</t>
  </si>
  <si>
    <t>Colonne12946</t>
  </si>
  <si>
    <t>Colonne12947</t>
  </si>
  <si>
    <t>Colonne12948</t>
  </si>
  <si>
    <t>Colonne12949</t>
  </si>
  <si>
    <t>Colonne12950</t>
  </si>
  <si>
    <t>Colonne12951</t>
  </si>
  <si>
    <t>Colonne12952</t>
  </si>
  <si>
    <t>Colonne12953</t>
  </si>
  <si>
    <t>Colonne12954</t>
  </si>
  <si>
    <t>Colonne12955</t>
  </si>
  <si>
    <t>Colonne12956</t>
  </si>
  <si>
    <t>Colonne12957</t>
  </si>
  <si>
    <t>Colonne12958</t>
  </si>
  <si>
    <t>Colonne12959</t>
  </si>
  <si>
    <t>Colonne12960</t>
  </si>
  <si>
    <t>Colonne12961</t>
  </si>
  <si>
    <t>Colonne12962</t>
  </si>
  <si>
    <t>Colonne12963</t>
  </si>
  <si>
    <t>Colonne12964</t>
  </si>
  <si>
    <t>Colonne12965</t>
  </si>
  <si>
    <t>Colonne12966</t>
  </si>
  <si>
    <t>Colonne12967</t>
  </si>
  <si>
    <t>Colonne12968</t>
  </si>
  <si>
    <t>Colonne12969</t>
  </si>
  <si>
    <t>Colonne12970</t>
  </si>
  <si>
    <t>Colonne12971</t>
  </si>
  <si>
    <t>Colonne12972</t>
  </si>
  <si>
    <t>Colonne12973</t>
  </si>
  <si>
    <t>Colonne12974</t>
  </si>
  <si>
    <t>Colonne12975</t>
  </si>
  <si>
    <t>Colonne12976</t>
  </si>
  <si>
    <t>Colonne12977</t>
  </si>
  <si>
    <t>Colonne12978</t>
  </si>
  <si>
    <t>Colonne12979</t>
  </si>
  <si>
    <t>Colonne12980</t>
  </si>
  <si>
    <t>Colonne12981</t>
  </si>
  <si>
    <t>Colonne12982</t>
  </si>
  <si>
    <t>Colonne12983</t>
  </si>
  <si>
    <t>Colonne12984</t>
  </si>
  <si>
    <t>Colonne12985</t>
  </si>
  <si>
    <t>Colonne12986</t>
  </si>
  <si>
    <t>Colonne12987</t>
  </si>
  <si>
    <t>Colonne12988</t>
  </si>
  <si>
    <t>Colonne12989</t>
  </si>
  <si>
    <t>Colonne12990</t>
  </si>
  <si>
    <t>Colonne12991</t>
  </si>
  <si>
    <t>Colonne12992</t>
  </si>
  <si>
    <t>Colonne12993</t>
  </si>
  <si>
    <t>Colonne12994</t>
  </si>
  <si>
    <t>Colonne12995</t>
  </si>
  <si>
    <t>Colonne12996</t>
  </si>
  <si>
    <t>Colonne12997</t>
  </si>
  <si>
    <t>Colonne12998</t>
  </si>
  <si>
    <t>Colonne12999</t>
  </si>
  <si>
    <t>Colonne13000</t>
  </si>
  <si>
    <t>Colonne13001</t>
  </si>
  <si>
    <t>Colonne13002</t>
  </si>
  <si>
    <t>Colonne13003</t>
  </si>
  <si>
    <t>Colonne13004</t>
  </si>
  <si>
    <t>Colonne13005</t>
  </si>
  <si>
    <t>Colonne13006</t>
  </si>
  <si>
    <t>Colonne13007</t>
  </si>
  <si>
    <t>Colonne13008</t>
  </si>
  <si>
    <t>Colonne13009</t>
  </si>
  <si>
    <t>Colonne13010</t>
  </si>
  <si>
    <t>Colonne13011</t>
  </si>
  <si>
    <t>Colonne13012</t>
  </si>
  <si>
    <t>Colonne13013</t>
  </si>
  <si>
    <t>Colonne13014</t>
  </si>
  <si>
    <t>Colonne13015</t>
  </si>
  <si>
    <t>Colonne13016</t>
  </si>
  <si>
    <t>Colonne13017</t>
  </si>
  <si>
    <t>Colonne13018</t>
  </si>
  <si>
    <t>Colonne13019</t>
  </si>
  <si>
    <t>Colonne13020</t>
  </si>
  <si>
    <t>Colonne13021</t>
  </si>
  <si>
    <t>Colonne13022</t>
  </si>
  <si>
    <t>Colonne13023</t>
  </si>
  <si>
    <t>Colonne13024</t>
  </si>
  <si>
    <t>Colonne13025</t>
  </si>
  <si>
    <t>Colonne13026</t>
  </si>
  <si>
    <t>Colonne13027</t>
  </si>
  <si>
    <t>Colonne13028</t>
  </si>
  <si>
    <t>Colonne13029</t>
  </si>
  <si>
    <t>Colonne13030</t>
  </si>
  <si>
    <t>Colonne13031</t>
  </si>
  <si>
    <t>Colonne13032</t>
  </si>
  <si>
    <t>Colonne13033</t>
  </si>
  <si>
    <t>Colonne13034</t>
  </si>
  <si>
    <t>Colonne13035</t>
  </si>
  <si>
    <t>Colonne13036</t>
  </si>
  <si>
    <t>Colonne13037</t>
  </si>
  <si>
    <t>Colonne13038</t>
  </si>
  <si>
    <t>Colonne13039</t>
  </si>
  <si>
    <t>Colonne13040</t>
  </si>
  <si>
    <t>Colonne13041</t>
  </si>
  <si>
    <t>Colonne13042</t>
  </si>
  <si>
    <t>Colonne13043</t>
  </si>
  <si>
    <t>Colonne13044</t>
  </si>
  <si>
    <t>Colonne13045</t>
  </si>
  <si>
    <t>Colonne13046</t>
  </si>
  <si>
    <t>Colonne13047</t>
  </si>
  <si>
    <t>Colonne13048</t>
  </si>
  <si>
    <t>Colonne13049</t>
  </si>
  <si>
    <t>Colonne13050</t>
  </si>
  <si>
    <t>Colonne13051</t>
  </si>
  <si>
    <t>Colonne13052</t>
  </si>
  <si>
    <t>Colonne13053</t>
  </si>
  <si>
    <t>Colonne13054</t>
  </si>
  <si>
    <t>Colonne13055</t>
  </si>
  <si>
    <t>Colonne13056</t>
  </si>
  <si>
    <t>Colonne13057</t>
  </si>
  <si>
    <t>Colonne13058</t>
  </si>
  <si>
    <t>Colonne13059</t>
  </si>
  <si>
    <t>Colonne13060</t>
  </si>
  <si>
    <t>Colonne13061</t>
  </si>
  <si>
    <t>Colonne13062</t>
  </si>
  <si>
    <t>Colonne13063</t>
  </si>
  <si>
    <t>Colonne13064</t>
  </si>
  <si>
    <t>Colonne13065</t>
  </si>
  <si>
    <t>Colonne13066</t>
  </si>
  <si>
    <t>Colonne13067</t>
  </si>
  <si>
    <t>Colonne13068</t>
  </si>
  <si>
    <t>Colonne13069</t>
  </si>
  <si>
    <t>Colonne13070</t>
  </si>
  <si>
    <t>Colonne13071</t>
  </si>
  <si>
    <t>Colonne13072</t>
  </si>
  <si>
    <t>Colonne13073</t>
  </si>
  <si>
    <t>Colonne13074</t>
  </si>
  <si>
    <t>Colonne13075</t>
  </si>
  <si>
    <t>Colonne13076</t>
  </si>
  <si>
    <t>Colonne13077</t>
  </si>
  <si>
    <t>Colonne13078</t>
  </si>
  <si>
    <t>Colonne13079</t>
  </si>
  <si>
    <t>Colonne13080</t>
  </si>
  <si>
    <t>Colonne13081</t>
  </si>
  <si>
    <t>Colonne13082</t>
  </si>
  <si>
    <t>Colonne13083</t>
  </si>
  <si>
    <t>Colonne13084</t>
  </si>
  <si>
    <t>Colonne13085</t>
  </si>
  <si>
    <t>Colonne13086</t>
  </si>
  <si>
    <t>Colonne13087</t>
  </si>
  <si>
    <t>Colonne13088</t>
  </si>
  <si>
    <t>Colonne13089</t>
  </si>
  <si>
    <t>Colonne13090</t>
  </si>
  <si>
    <t>Colonne13091</t>
  </si>
  <si>
    <t>Colonne13092</t>
  </si>
  <si>
    <t>Colonne13093</t>
  </si>
  <si>
    <t>Colonne13094</t>
  </si>
  <si>
    <t>Colonne13095</t>
  </si>
  <si>
    <t>Colonne13096</t>
  </si>
  <si>
    <t>Colonne13097</t>
  </si>
  <si>
    <t>Colonne13098</t>
  </si>
  <si>
    <t>Colonne13099</t>
  </si>
  <si>
    <t>Colonne13100</t>
  </si>
  <si>
    <t>Colonne13101</t>
  </si>
  <si>
    <t>Colonne13102</t>
  </si>
  <si>
    <t>Colonne13103</t>
  </si>
  <si>
    <t>Colonne13104</t>
  </si>
  <si>
    <t>Colonne13105</t>
  </si>
  <si>
    <t>Colonne13106</t>
  </si>
  <si>
    <t>Colonne13107</t>
  </si>
  <si>
    <t>Colonne13108</t>
  </si>
  <si>
    <t>Colonne13109</t>
  </si>
  <si>
    <t>Colonne13110</t>
  </si>
  <si>
    <t>Colonne13111</t>
  </si>
  <si>
    <t>Colonne13112</t>
  </si>
  <si>
    <t>Colonne13113</t>
  </si>
  <si>
    <t>Colonne13114</t>
  </si>
  <si>
    <t>Colonne13115</t>
  </si>
  <si>
    <t>Colonne13116</t>
  </si>
  <si>
    <t>Colonne13117</t>
  </si>
  <si>
    <t>Colonne13118</t>
  </si>
  <si>
    <t>Colonne13119</t>
  </si>
  <si>
    <t>Colonne13120</t>
  </si>
  <si>
    <t>Colonne13121</t>
  </si>
  <si>
    <t>Colonne13122</t>
  </si>
  <si>
    <t>Colonne13123</t>
  </si>
  <si>
    <t>Colonne13124</t>
  </si>
  <si>
    <t>Colonne13125</t>
  </si>
  <si>
    <t>Colonne13126</t>
  </si>
  <si>
    <t>Colonne13127</t>
  </si>
  <si>
    <t>Colonne13128</t>
  </si>
  <si>
    <t>Colonne13129</t>
  </si>
  <si>
    <t>Colonne13130</t>
  </si>
  <si>
    <t>Colonne13131</t>
  </si>
  <si>
    <t>Colonne13132</t>
  </si>
  <si>
    <t>Colonne13133</t>
  </si>
  <si>
    <t>Colonne13134</t>
  </si>
  <si>
    <t>Colonne13135</t>
  </si>
  <si>
    <t>Colonne13136</t>
  </si>
  <si>
    <t>Colonne13137</t>
  </si>
  <si>
    <t>Colonne13138</t>
  </si>
  <si>
    <t>Colonne13139</t>
  </si>
  <si>
    <t>Colonne13140</t>
  </si>
  <si>
    <t>Colonne13141</t>
  </si>
  <si>
    <t>Colonne13142</t>
  </si>
  <si>
    <t>Colonne13143</t>
  </si>
  <si>
    <t>Colonne13144</t>
  </si>
  <si>
    <t>Colonne13145</t>
  </si>
  <si>
    <t>Colonne13146</t>
  </si>
  <si>
    <t>Colonne13147</t>
  </si>
  <si>
    <t>Colonne13148</t>
  </si>
  <si>
    <t>Colonne13149</t>
  </si>
  <si>
    <t>Colonne13150</t>
  </si>
  <si>
    <t>Colonne13151</t>
  </si>
  <si>
    <t>Colonne13152</t>
  </si>
  <si>
    <t>Colonne13153</t>
  </si>
  <si>
    <t>Colonne13154</t>
  </si>
  <si>
    <t>Colonne13155</t>
  </si>
  <si>
    <t>Colonne13156</t>
  </si>
  <si>
    <t>Colonne13157</t>
  </si>
  <si>
    <t>Colonne13158</t>
  </si>
  <si>
    <t>Colonne13159</t>
  </si>
  <si>
    <t>Colonne13160</t>
  </si>
  <si>
    <t>Colonne13161</t>
  </si>
  <si>
    <t>Colonne13162</t>
  </si>
  <si>
    <t>Colonne13163</t>
  </si>
  <si>
    <t>Colonne13164</t>
  </si>
  <si>
    <t>Colonne13165</t>
  </si>
  <si>
    <t>Colonne13166</t>
  </si>
  <si>
    <t>Colonne13167</t>
  </si>
  <si>
    <t>Colonne13168</t>
  </si>
  <si>
    <t>Colonne13169</t>
  </si>
  <si>
    <t>Colonne13170</t>
  </si>
  <si>
    <t>Colonne13171</t>
  </si>
  <si>
    <t>Colonne13172</t>
  </si>
  <si>
    <t>Colonne13173</t>
  </si>
  <si>
    <t>Colonne13174</t>
  </si>
  <si>
    <t>Colonne13175</t>
  </si>
  <si>
    <t>Colonne13176</t>
  </si>
  <si>
    <t>Colonne13177</t>
  </si>
  <si>
    <t>Colonne13178</t>
  </si>
  <si>
    <t>Colonne13179</t>
  </si>
  <si>
    <t>Colonne13180</t>
  </si>
  <si>
    <t>Colonne13181</t>
  </si>
  <si>
    <t>Colonne13182</t>
  </si>
  <si>
    <t>Colonne13183</t>
  </si>
  <si>
    <t>Colonne13184</t>
  </si>
  <si>
    <t>Colonne13185</t>
  </si>
  <si>
    <t>Colonne13186</t>
  </si>
  <si>
    <t>Colonne13187</t>
  </si>
  <si>
    <t>Colonne13188</t>
  </si>
  <si>
    <t>Colonne13189</t>
  </si>
  <si>
    <t>Colonne13190</t>
  </si>
  <si>
    <t>Colonne13191</t>
  </si>
  <si>
    <t>Colonne13192</t>
  </si>
  <si>
    <t>Colonne13193</t>
  </si>
  <si>
    <t>Colonne13194</t>
  </si>
  <si>
    <t>Colonne13195</t>
  </si>
  <si>
    <t>Colonne13196</t>
  </si>
  <si>
    <t>Colonne13197</t>
  </si>
  <si>
    <t>Colonne13198</t>
  </si>
  <si>
    <t>Colonne13199</t>
  </si>
  <si>
    <t>Colonne13200</t>
  </si>
  <si>
    <t>Colonne13201</t>
  </si>
  <si>
    <t>Colonne13202</t>
  </si>
  <si>
    <t>Colonne13203</t>
  </si>
  <si>
    <t>Colonne13204</t>
  </si>
  <si>
    <t>Colonne13205</t>
  </si>
  <si>
    <t>Colonne13206</t>
  </si>
  <si>
    <t>Colonne13207</t>
  </si>
  <si>
    <t>Colonne13208</t>
  </si>
  <si>
    <t>Colonne13209</t>
  </si>
  <si>
    <t>Colonne13210</t>
  </si>
  <si>
    <t>Colonne13211</t>
  </si>
  <si>
    <t>Colonne13212</t>
  </si>
  <si>
    <t>Colonne13213</t>
  </si>
  <si>
    <t>Colonne13214</t>
  </si>
  <si>
    <t>Colonne13215</t>
  </si>
  <si>
    <t>Colonne13216</t>
  </si>
  <si>
    <t>Colonne13217</t>
  </si>
  <si>
    <t>Colonne13218</t>
  </si>
  <si>
    <t>Colonne13219</t>
  </si>
  <si>
    <t>Colonne13220</t>
  </si>
  <si>
    <t>Colonne13221</t>
  </si>
  <si>
    <t>Colonne13222</t>
  </si>
  <si>
    <t>Colonne13223</t>
  </si>
  <si>
    <t>Colonne13224</t>
  </si>
  <si>
    <t>Colonne13225</t>
  </si>
  <si>
    <t>Colonne13226</t>
  </si>
  <si>
    <t>Colonne13227</t>
  </si>
  <si>
    <t>Colonne13228</t>
  </si>
  <si>
    <t>Colonne13229</t>
  </si>
  <si>
    <t>Colonne13230</t>
  </si>
  <si>
    <t>Colonne13231</t>
  </si>
  <si>
    <t>Colonne13232</t>
  </si>
  <si>
    <t>Colonne13233</t>
  </si>
  <si>
    <t>Colonne13234</t>
  </si>
  <si>
    <t>Colonne13235</t>
  </si>
  <si>
    <t>Colonne13236</t>
  </si>
  <si>
    <t>Colonne13237</t>
  </si>
  <si>
    <t>Colonne13238</t>
  </si>
  <si>
    <t>Colonne13239</t>
  </si>
  <si>
    <t>Colonne13240</t>
  </si>
  <si>
    <t>Colonne13241</t>
  </si>
  <si>
    <t>Colonne13242</t>
  </si>
  <si>
    <t>Colonne13243</t>
  </si>
  <si>
    <t>Colonne13244</t>
  </si>
  <si>
    <t>Colonne13245</t>
  </si>
  <si>
    <t>Colonne13246</t>
  </si>
  <si>
    <t>Colonne13247</t>
  </si>
  <si>
    <t>Colonne13248</t>
  </si>
  <si>
    <t>Colonne13249</t>
  </si>
  <si>
    <t>Colonne13250</t>
  </si>
  <si>
    <t>Colonne13251</t>
  </si>
  <si>
    <t>Colonne13252</t>
  </si>
  <si>
    <t>Colonne13253</t>
  </si>
  <si>
    <t>Colonne13254</t>
  </si>
  <si>
    <t>Colonne13255</t>
  </si>
  <si>
    <t>Colonne13256</t>
  </si>
  <si>
    <t>Colonne13257</t>
  </si>
  <si>
    <t>Colonne13258</t>
  </si>
  <si>
    <t>Colonne13259</t>
  </si>
  <si>
    <t>Colonne13260</t>
  </si>
  <si>
    <t>Colonne13261</t>
  </si>
  <si>
    <t>Colonne13262</t>
  </si>
  <si>
    <t>Colonne13263</t>
  </si>
  <si>
    <t>Colonne13264</t>
  </si>
  <si>
    <t>Colonne13265</t>
  </si>
  <si>
    <t>Colonne13266</t>
  </si>
  <si>
    <t>Colonne13267</t>
  </si>
  <si>
    <t>Colonne13268</t>
  </si>
  <si>
    <t>Colonne13269</t>
  </si>
  <si>
    <t>Colonne13270</t>
  </si>
  <si>
    <t>Colonne13271</t>
  </si>
  <si>
    <t>Colonne13272</t>
  </si>
  <si>
    <t>Colonne13273</t>
  </si>
  <si>
    <t>Colonne13274</t>
  </si>
  <si>
    <t>Colonne13275</t>
  </si>
  <si>
    <t>Colonne13276</t>
  </si>
  <si>
    <t>Colonne13277</t>
  </si>
  <si>
    <t>Colonne13278</t>
  </si>
  <si>
    <t>Colonne13279</t>
  </si>
  <si>
    <t>Colonne13280</t>
  </si>
  <si>
    <t>Colonne13281</t>
  </si>
  <si>
    <t>Colonne13282</t>
  </si>
  <si>
    <t>Colonne13283</t>
  </si>
  <si>
    <t>Colonne13284</t>
  </si>
  <si>
    <t>Colonne13285</t>
  </si>
  <si>
    <t>Colonne13286</t>
  </si>
  <si>
    <t>Colonne13287</t>
  </si>
  <si>
    <t>Colonne13288</t>
  </si>
  <si>
    <t>Colonne13289</t>
  </si>
  <si>
    <t>Colonne13290</t>
  </si>
  <si>
    <t>Colonne13291</t>
  </si>
  <si>
    <t>Colonne13292</t>
  </si>
  <si>
    <t>Colonne13293</t>
  </si>
  <si>
    <t>Colonne13294</t>
  </si>
  <si>
    <t>Colonne13295</t>
  </si>
  <si>
    <t>Colonne13296</t>
  </si>
  <si>
    <t>Colonne13297</t>
  </si>
  <si>
    <t>Colonne13298</t>
  </si>
  <si>
    <t>Colonne13299</t>
  </si>
  <si>
    <t>Colonne13300</t>
  </si>
  <si>
    <t>Colonne13301</t>
  </si>
  <si>
    <t>Colonne13302</t>
  </si>
  <si>
    <t>Colonne13303</t>
  </si>
  <si>
    <t>Colonne13304</t>
  </si>
  <si>
    <t>Colonne13305</t>
  </si>
  <si>
    <t>Colonne13306</t>
  </si>
  <si>
    <t>Colonne13307</t>
  </si>
  <si>
    <t>Colonne13308</t>
  </si>
  <si>
    <t>Colonne13309</t>
  </si>
  <si>
    <t>Colonne13310</t>
  </si>
  <si>
    <t>Colonne13311</t>
  </si>
  <si>
    <t>Colonne13312</t>
  </si>
  <si>
    <t>Colonne13313</t>
  </si>
  <si>
    <t>Colonne13314</t>
  </si>
  <si>
    <t>Colonne13315</t>
  </si>
  <si>
    <t>Colonne13316</t>
  </si>
  <si>
    <t>Colonne13317</t>
  </si>
  <si>
    <t>Colonne13318</t>
  </si>
  <si>
    <t>Colonne13319</t>
  </si>
  <si>
    <t>Colonne13320</t>
  </si>
  <si>
    <t>Colonne13321</t>
  </si>
  <si>
    <t>Colonne13322</t>
  </si>
  <si>
    <t>Colonne13323</t>
  </si>
  <si>
    <t>Colonne13324</t>
  </si>
  <si>
    <t>Colonne13325</t>
  </si>
  <si>
    <t>Colonne13326</t>
  </si>
  <si>
    <t>Colonne13327</t>
  </si>
  <si>
    <t>Colonne13328</t>
  </si>
  <si>
    <t>Colonne13329</t>
  </si>
  <si>
    <t>Colonne13330</t>
  </si>
  <si>
    <t>Colonne13331</t>
  </si>
  <si>
    <t>Colonne13332</t>
  </si>
  <si>
    <t>Colonne13333</t>
  </si>
  <si>
    <t>Colonne13334</t>
  </si>
  <si>
    <t>Colonne13335</t>
  </si>
  <si>
    <t>Colonne13336</t>
  </si>
  <si>
    <t>Colonne13337</t>
  </si>
  <si>
    <t>Colonne13338</t>
  </si>
  <si>
    <t>Colonne13339</t>
  </si>
  <si>
    <t>Colonne13340</t>
  </si>
  <si>
    <t>Colonne13341</t>
  </si>
  <si>
    <t>Colonne13342</t>
  </si>
  <si>
    <t>Colonne13343</t>
  </si>
  <si>
    <t>Colonne13344</t>
  </si>
  <si>
    <t>Colonne13345</t>
  </si>
  <si>
    <t>Colonne13346</t>
  </si>
  <si>
    <t>Colonne13347</t>
  </si>
  <si>
    <t>Colonne13348</t>
  </si>
  <si>
    <t>Colonne13349</t>
  </si>
  <si>
    <t>Colonne13350</t>
  </si>
  <si>
    <t>Colonne13351</t>
  </si>
  <si>
    <t>Colonne13352</t>
  </si>
  <si>
    <t>Colonne13353</t>
  </si>
  <si>
    <t>Colonne13354</t>
  </si>
  <si>
    <t>Colonne13355</t>
  </si>
  <si>
    <t>Colonne13356</t>
  </si>
  <si>
    <t>Colonne13357</t>
  </si>
  <si>
    <t>Colonne13358</t>
  </si>
  <si>
    <t>Colonne13359</t>
  </si>
  <si>
    <t>Colonne13360</t>
  </si>
  <si>
    <t>Colonne13361</t>
  </si>
  <si>
    <t>Colonne13362</t>
  </si>
  <si>
    <t>Colonne13363</t>
  </si>
  <si>
    <t>Colonne13364</t>
  </si>
  <si>
    <t>Colonne13365</t>
  </si>
  <si>
    <t>Colonne13366</t>
  </si>
  <si>
    <t>Colonne13367</t>
  </si>
  <si>
    <t>Colonne13368</t>
  </si>
  <si>
    <t>Colonne13369</t>
  </si>
  <si>
    <t>Colonne13370</t>
  </si>
  <si>
    <t>Colonne13371</t>
  </si>
  <si>
    <t>Colonne13372</t>
  </si>
  <si>
    <t>Colonne13373</t>
  </si>
  <si>
    <t>Colonne13374</t>
  </si>
  <si>
    <t>Colonne13375</t>
  </si>
  <si>
    <t>Colonne13376</t>
  </si>
  <si>
    <t>Colonne13377</t>
  </si>
  <si>
    <t>Colonne13378</t>
  </si>
  <si>
    <t>Colonne13379</t>
  </si>
  <si>
    <t>Colonne13380</t>
  </si>
  <si>
    <t>Colonne13381</t>
  </si>
  <si>
    <t>Colonne13382</t>
  </si>
  <si>
    <t>Colonne13383</t>
  </si>
  <si>
    <t>Colonne13384</t>
  </si>
  <si>
    <t>Colonne13385</t>
  </si>
  <si>
    <t>Colonne13386</t>
  </si>
  <si>
    <t>Colonne13387</t>
  </si>
  <si>
    <t>Colonne13388</t>
  </si>
  <si>
    <t>Colonne13389</t>
  </si>
  <si>
    <t>Colonne13390</t>
  </si>
  <si>
    <t>Colonne13391</t>
  </si>
  <si>
    <t>Colonne13392</t>
  </si>
  <si>
    <t>Colonne13393</t>
  </si>
  <si>
    <t>Colonne13394</t>
  </si>
  <si>
    <t>Colonne13395</t>
  </si>
  <si>
    <t>Colonne13396</t>
  </si>
  <si>
    <t>Colonne13397</t>
  </si>
  <si>
    <t>Colonne13398</t>
  </si>
  <si>
    <t>Colonne13399</t>
  </si>
  <si>
    <t>Colonne13400</t>
  </si>
  <si>
    <t>Colonne13401</t>
  </si>
  <si>
    <t>Colonne13402</t>
  </si>
  <si>
    <t>Colonne13403</t>
  </si>
  <si>
    <t>Colonne13404</t>
  </si>
  <si>
    <t>Colonne13405</t>
  </si>
  <si>
    <t>Colonne13406</t>
  </si>
  <si>
    <t>Colonne13407</t>
  </si>
  <si>
    <t>Colonne13408</t>
  </si>
  <si>
    <t>Colonne13409</t>
  </si>
  <si>
    <t>Colonne13410</t>
  </si>
  <si>
    <t>Colonne13411</t>
  </si>
  <si>
    <t>Colonne13412</t>
  </si>
  <si>
    <t>Colonne13413</t>
  </si>
  <si>
    <t>Colonne13414</t>
  </si>
  <si>
    <t>Colonne13415</t>
  </si>
  <si>
    <t>Colonne13416</t>
  </si>
  <si>
    <t>Colonne13417</t>
  </si>
  <si>
    <t>Colonne13418</t>
  </si>
  <si>
    <t>Colonne13419</t>
  </si>
  <si>
    <t>Colonne13420</t>
  </si>
  <si>
    <t>Colonne13421</t>
  </si>
  <si>
    <t>Colonne13422</t>
  </si>
  <si>
    <t>Colonne13423</t>
  </si>
  <si>
    <t>Colonne13424</t>
  </si>
  <si>
    <t>Colonne13425</t>
  </si>
  <si>
    <t>Colonne13426</t>
  </si>
  <si>
    <t>Colonne13427</t>
  </si>
  <si>
    <t>Colonne13428</t>
  </si>
  <si>
    <t>Colonne13429</t>
  </si>
  <si>
    <t>Colonne13430</t>
  </si>
  <si>
    <t>Colonne13431</t>
  </si>
  <si>
    <t>Colonne13432</t>
  </si>
  <si>
    <t>Colonne13433</t>
  </si>
  <si>
    <t>Colonne13434</t>
  </si>
  <si>
    <t>Colonne13435</t>
  </si>
  <si>
    <t>Colonne13436</t>
  </si>
  <si>
    <t>Colonne13437</t>
  </si>
  <si>
    <t>Colonne13438</t>
  </si>
  <si>
    <t>Colonne13439</t>
  </si>
  <si>
    <t>Colonne13440</t>
  </si>
  <si>
    <t>Colonne13441</t>
  </si>
  <si>
    <t>Colonne13442</t>
  </si>
  <si>
    <t>Colonne13443</t>
  </si>
  <si>
    <t>Colonne13444</t>
  </si>
  <si>
    <t>Colonne13445</t>
  </si>
  <si>
    <t>Colonne13446</t>
  </si>
  <si>
    <t>Colonne13447</t>
  </si>
  <si>
    <t>Colonne13448</t>
  </si>
  <si>
    <t>Colonne13449</t>
  </si>
  <si>
    <t>Colonne13450</t>
  </si>
  <si>
    <t>Colonne13451</t>
  </si>
  <si>
    <t>Colonne13452</t>
  </si>
  <si>
    <t>Colonne13453</t>
  </si>
  <si>
    <t>Colonne13454</t>
  </si>
  <si>
    <t>Colonne13455</t>
  </si>
  <si>
    <t>Colonne13456</t>
  </si>
  <si>
    <t>Colonne13457</t>
  </si>
  <si>
    <t>Colonne13458</t>
  </si>
  <si>
    <t>Colonne13459</t>
  </si>
  <si>
    <t>Colonne13460</t>
  </si>
  <si>
    <t>Colonne13461</t>
  </si>
  <si>
    <t>Colonne13462</t>
  </si>
  <si>
    <t>Colonne13463</t>
  </si>
  <si>
    <t>Colonne13464</t>
  </si>
  <si>
    <t>Colonne13465</t>
  </si>
  <si>
    <t>Colonne13466</t>
  </si>
  <si>
    <t>Colonne13467</t>
  </si>
  <si>
    <t>Colonne13468</t>
  </si>
  <si>
    <t>Colonne13469</t>
  </si>
  <si>
    <t>Colonne13470</t>
  </si>
  <si>
    <t>Colonne13471</t>
  </si>
  <si>
    <t>Colonne13472</t>
  </si>
  <si>
    <t>Colonne13473</t>
  </si>
  <si>
    <t>Colonne13474</t>
  </si>
  <si>
    <t>Colonne13475</t>
  </si>
  <si>
    <t>Colonne13476</t>
  </si>
  <si>
    <t>Colonne13477</t>
  </si>
  <si>
    <t>Colonne13478</t>
  </si>
  <si>
    <t>Colonne13479</t>
  </si>
  <si>
    <t>Colonne13480</t>
  </si>
  <si>
    <t>Colonne13481</t>
  </si>
  <si>
    <t>Colonne13482</t>
  </si>
  <si>
    <t>Colonne13483</t>
  </si>
  <si>
    <t>Colonne13484</t>
  </si>
  <si>
    <t>Colonne13485</t>
  </si>
  <si>
    <t>Colonne13486</t>
  </si>
  <si>
    <t>Colonne13487</t>
  </si>
  <si>
    <t>Colonne13488</t>
  </si>
  <si>
    <t>Colonne13489</t>
  </si>
  <si>
    <t>Colonne13490</t>
  </si>
  <si>
    <t>Colonne13491</t>
  </si>
  <si>
    <t>Colonne13492</t>
  </si>
  <si>
    <t>Colonne13493</t>
  </si>
  <si>
    <t>Colonne13494</t>
  </si>
  <si>
    <t>Colonne13495</t>
  </si>
  <si>
    <t>Colonne13496</t>
  </si>
  <si>
    <t>Colonne13497</t>
  </si>
  <si>
    <t>Colonne13498</t>
  </si>
  <si>
    <t>Colonne13499</t>
  </si>
  <si>
    <t>Colonne13500</t>
  </si>
  <si>
    <t>Colonne13501</t>
  </si>
  <si>
    <t>Colonne13502</t>
  </si>
  <si>
    <t>Colonne13503</t>
  </si>
  <si>
    <t>Colonne13504</t>
  </si>
  <si>
    <t>Colonne13505</t>
  </si>
  <si>
    <t>Colonne13506</t>
  </si>
  <si>
    <t>Colonne13507</t>
  </si>
  <si>
    <t>Colonne13508</t>
  </si>
  <si>
    <t>Colonne13509</t>
  </si>
  <si>
    <t>Colonne13510</t>
  </si>
  <si>
    <t>Colonne13511</t>
  </si>
  <si>
    <t>Colonne13512</t>
  </si>
  <si>
    <t>Colonne13513</t>
  </si>
  <si>
    <t>Colonne13514</t>
  </si>
  <si>
    <t>Colonne13515</t>
  </si>
  <si>
    <t>Colonne13516</t>
  </si>
  <si>
    <t>Colonne13517</t>
  </si>
  <si>
    <t>Colonne13518</t>
  </si>
  <si>
    <t>Colonne13519</t>
  </si>
  <si>
    <t>Colonne13520</t>
  </si>
  <si>
    <t>Colonne13521</t>
  </si>
  <si>
    <t>Colonne13522</t>
  </si>
  <si>
    <t>Colonne13523</t>
  </si>
  <si>
    <t>Colonne13524</t>
  </si>
  <si>
    <t>Colonne13525</t>
  </si>
  <si>
    <t>Colonne13526</t>
  </si>
  <si>
    <t>Colonne13527</t>
  </si>
  <si>
    <t>Colonne13528</t>
  </si>
  <si>
    <t>Colonne13529</t>
  </si>
  <si>
    <t>Colonne13530</t>
  </si>
  <si>
    <t>Colonne13531</t>
  </si>
  <si>
    <t>Colonne13532</t>
  </si>
  <si>
    <t>Colonne13533</t>
  </si>
  <si>
    <t>Colonne13534</t>
  </si>
  <si>
    <t>Colonne13535</t>
  </si>
  <si>
    <t>Colonne13536</t>
  </si>
  <si>
    <t>Colonne13537</t>
  </si>
  <si>
    <t>Colonne13538</t>
  </si>
  <si>
    <t>Colonne13539</t>
  </si>
  <si>
    <t>Colonne13540</t>
  </si>
  <si>
    <t>Colonne13541</t>
  </si>
  <si>
    <t>Colonne13542</t>
  </si>
  <si>
    <t>Colonne13543</t>
  </si>
  <si>
    <t>Colonne13544</t>
  </si>
  <si>
    <t>Colonne13545</t>
  </si>
  <si>
    <t>Colonne13546</t>
  </si>
  <si>
    <t>Colonne13547</t>
  </si>
  <si>
    <t>Colonne13548</t>
  </si>
  <si>
    <t>Colonne13549</t>
  </si>
  <si>
    <t>Colonne13550</t>
  </si>
  <si>
    <t>Colonne13551</t>
  </si>
  <si>
    <t>Colonne13552</t>
  </si>
  <si>
    <t>Colonne13553</t>
  </si>
  <si>
    <t>Colonne13554</t>
  </si>
  <si>
    <t>Colonne13555</t>
  </si>
  <si>
    <t>Colonne13556</t>
  </si>
  <si>
    <t>Colonne13557</t>
  </si>
  <si>
    <t>Colonne13558</t>
  </si>
  <si>
    <t>Colonne13559</t>
  </si>
  <si>
    <t>Colonne13560</t>
  </si>
  <si>
    <t>Colonne13561</t>
  </si>
  <si>
    <t>Colonne13562</t>
  </si>
  <si>
    <t>Colonne13563</t>
  </si>
  <si>
    <t>Colonne13564</t>
  </si>
  <si>
    <t>Colonne13565</t>
  </si>
  <si>
    <t>Colonne13566</t>
  </si>
  <si>
    <t>Colonne13567</t>
  </si>
  <si>
    <t>Colonne13568</t>
  </si>
  <si>
    <t>Colonne13569</t>
  </si>
  <si>
    <t>Colonne13570</t>
  </si>
  <si>
    <t>Colonne13571</t>
  </si>
  <si>
    <t>Colonne13572</t>
  </si>
  <si>
    <t>Colonne13573</t>
  </si>
  <si>
    <t>Colonne13574</t>
  </si>
  <si>
    <t>Colonne13575</t>
  </si>
  <si>
    <t>Colonne13576</t>
  </si>
  <si>
    <t>Colonne13577</t>
  </si>
  <si>
    <t>Colonne13578</t>
  </si>
  <si>
    <t>Colonne13579</t>
  </si>
  <si>
    <t>Colonne13580</t>
  </si>
  <si>
    <t>Colonne13581</t>
  </si>
  <si>
    <t>Colonne13582</t>
  </si>
  <si>
    <t>Colonne13583</t>
  </si>
  <si>
    <t>Colonne13584</t>
  </si>
  <si>
    <t>Colonne13585</t>
  </si>
  <si>
    <t>Colonne13586</t>
  </si>
  <si>
    <t>Colonne13587</t>
  </si>
  <si>
    <t>Colonne13588</t>
  </si>
  <si>
    <t>Colonne13589</t>
  </si>
  <si>
    <t>Colonne13590</t>
  </si>
  <si>
    <t>Colonne13591</t>
  </si>
  <si>
    <t>Colonne13592</t>
  </si>
  <si>
    <t>Colonne13593</t>
  </si>
  <si>
    <t>Colonne13594</t>
  </si>
  <si>
    <t>Colonne13595</t>
  </si>
  <si>
    <t>Colonne13596</t>
  </si>
  <si>
    <t>Colonne13597</t>
  </si>
  <si>
    <t>Colonne13598</t>
  </si>
  <si>
    <t>Colonne13599</t>
  </si>
  <si>
    <t>Colonne13600</t>
  </si>
  <si>
    <t>Colonne13601</t>
  </si>
  <si>
    <t>Colonne13602</t>
  </si>
  <si>
    <t>Colonne13603</t>
  </si>
  <si>
    <t>Colonne13604</t>
  </si>
  <si>
    <t>Colonne13605</t>
  </si>
  <si>
    <t>Colonne13606</t>
  </si>
  <si>
    <t>Colonne13607</t>
  </si>
  <si>
    <t>Colonne13608</t>
  </si>
  <si>
    <t>Colonne13609</t>
  </si>
  <si>
    <t>Colonne13610</t>
  </si>
  <si>
    <t>Colonne13611</t>
  </si>
  <si>
    <t>Colonne13612</t>
  </si>
  <si>
    <t>Colonne13613</t>
  </si>
  <si>
    <t>Colonne13614</t>
  </si>
  <si>
    <t>Colonne13615</t>
  </si>
  <si>
    <t>Colonne13616</t>
  </si>
  <si>
    <t>Colonne13617</t>
  </si>
  <si>
    <t>Colonne13618</t>
  </si>
  <si>
    <t>Colonne13619</t>
  </si>
  <si>
    <t>Colonne13620</t>
  </si>
  <si>
    <t>Colonne13621</t>
  </si>
  <si>
    <t>Colonne13622</t>
  </si>
  <si>
    <t>Colonne13623</t>
  </si>
  <si>
    <t>Colonne13624</t>
  </si>
  <si>
    <t>Colonne13625</t>
  </si>
  <si>
    <t>Colonne13626</t>
  </si>
  <si>
    <t>Colonne13627</t>
  </si>
  <si>
    <t>Colonne13628</t>
  </si>
  <si>
    <t>Colonne13629</t>
  </si>
  <si>
    <t>Colonne13630</t>
  </si>
  <si>
    <t>Colonne13631</t>
  </si>
  <si>
    <t>Colonne13632</t>
  </si>
  <si>
    <t>Colonne13633</t>
  </si>
  <si>
    <t>Colonne13634</t>
  </si>
  <si>
    <t>Colonne13635</t>
  </si>
  <si>
    <t>Colonne13636</t>
  </si>
  <si>
    <t>Colonne13637</t>
  </si>
  <si>
    <t>Colonne13638</t>
  </si>
  <si>
    <t>Colonne13639</t>
  </si>
  <si>
    <t>Colonne13640</t>
  </si>
  <si>
    <t>Colonne13641</t>
  </si>
  <si>
    <t>Colonne13642</t>
  </si>
  <si>
    <t>Colonne13643</t>
  </si>
  <si>
    <t>Colonne13644</t>
  </si>
  <si>
    <t>Colonne13645</t>
  </si>
  <si>
    <t>Colonne13646</t>
  </si>
  <si>
    <t>Colonne13647</t>
  </si>
  <si>
    <t>Colonne13648</t>
  </si>
  <si>
    <t>Colonne13649</t>
  </si>
  <si>
    <t>Colonne13650</t>
  </si>
  <si>
    <t>Colonne13651</t>
  </si>
  <si>
    <t>Colonne13652</t>
  </si>
  <si>
    <t>Colonne13653</t>
  </si>
  <si>
    <t>Colonne13654</t>
  </si>
  <si>
    <t>Colonne13655</t>
  </si>
  <si>
    <t>Colonne13656</t>
  </si>
  <si>
    <t>Colonne13657</t>
  </si>
  <si>
    <t>Colonne13658</t>
  </si>
  <si>
    <t>Colonne13659</t>
  </si>
  <si>
    <t>Colonne13660</t>
  </si>
  <si>
    <t>Colonne13661</t>
  </si>
  <si>
    <t>Colonne13662</t>
  </si>
  <si>
    <t>Colonne13663</t>
  </si>
  <si>
    <t>Colonne13664</t>
  </si>
  <si>
    <t>Colonne13665</t>
  </si>
  <si>
    <t>Colonne13666</t>
  </si>
  <si>
    <t>Colonne13667</t>
  </si>
  <si>
    <t>Colonne13668</t>
  </si>
  <si>
    <t>Colonne13669</t>
  </si>
  <si>
    <t>Colonne13670</t>
  </si>
  <si>
    <t>Colonne13671</t>
  </si>
  <si>
    <t>Colonne13672</t>
  </si>
  <si>
    <t>Colonne13673</t>
  </si>
  <si>
    <t>Colonne13674</t>
  </si>
  <si>
    <t>Colonne13675</t>
  </si>
  <si>
    <t>Colonne13676</t>
  </si>
  <si>
    <t>Colonne13677</t>
  </si>
  <si>
    <t>Colonne13678</t>
  </si>
  <si>
    <t>Colonne13679</t>
  </si>
  <si>
    <t>Colonne13680</t>
  </si>
  <si>
    <t>Colonne13681</t>
  </si>
  <si>
    <t>Colonne13682</t>
  </si>
  <si>
    <t>Colonne13683</t>
  </si>
  <si>
    <t>Colonne13684</t>
  </si>
  <si>
    <t>Colonne13685</t>
  </si>
  <si>
    <t>Colonne13686</t>
  </si>
  <si>
    <t>Colonne13687</t>
  </si>
  <si>
    <t>Colonne13688</t>
  </si>
  <si>
    <t>Colonne13689</t>
  </si>
  <si>
    <t>Colonne13690</t>
  </si>
  <si>
    <t>Colonne13691</t>
  </si>
  <si>
    <t>Colonne13692</t>
  </si>
  <si>
    <t>Colonne13693</t>
  </si>
  <si>
    <t>Colonne13694</t>
  </si>
  <si>
    <t>Colonne13695</t>
  </si>
  <si>
    <t>Colonne13696</t>
  </si>
  <si>
    <t>Colonne13697</t>
  </si>
  <si>
    <t>Colonne13698</t>
  </si>
  <si>
    <t>Colonne13699</t>
  </si>
  <si>
    <t>Colonne13700</t>
  </si>
  <si>
    <t>Colonne13701</t>
  </si>
  <si>
    <t>Colonne13702</t>
  </si>
  <si>
    <t>Colonne13703</t>
  </si>
  <si>
    <t>Colonne13704</t>
  </si>
  <si>
    <t>Colonne13705</t>
  </si>
  <si>
    <t>Colonne13706</t>
  </si>
  <si>
    <t>Colonne13707</t>
  </si>
  <si>
    <t>Colonne13708</t>
  </si>
  <si>
    <t>Colonne13709</t>
  </si>
  <si>
    <t>Colonne13710</t>
  </si>
  <si>
    <t>Colonne13711</t>
  </si>
  <si>
    <t>Colonne13712</t>
  </si>
  <si>
    <t>Colonne13713</t>
  </si>
  <si>
    <t>Colonne13714</t>
  </si>
  <si>
    <t>Colonne13715</t>
  </si>
  <si>
    <t>Colonne13716</t>
  </si>
  <si>
    <t>Colonne13717</t>
  </si>
  <si>
    <t>Colonne13718</t>
  </si>
  <si>
    <t>Colonne13719</t>
  </si>
  <si>
    <t>Colonne13720</t>
  </si>
  <si>
    <t>Colonne13721</t>
  </si>
  <si>
    <t>Colonne13722</t>
  </si>
  <si>
    <t>Colonne13723</t>
  </si>
  <si>
    <t>Colonne13724</t>
  </si>
  <si>
    <t>Colonne13725</t>
  </si>
  <si>
    <t>Colonne13726</t>
  </si>
  <si>
    <t>Colonne13727</t>
  </si>
  <si>
    <t>Colonne13728</t>
  </si>
  <si>
    <t>Colonne13729</t>
  </si>
  <si>
    <t>Colonne13730</t>
  </si>
  <si>
    <t>Colonne13731</t>
  </si>
  <si>
    <t>Colonne13732</t>
  </si>
  <si>
    <t>Colonne13733</t>
  </si>
  <si>
    <t>Colonne13734</t>
  </si>
  <si>
    <t>Colonne13735</t>
  </si>
  <si>
    <t>Colonne13736</t>
  </si>
  <si>
    <t>Colonne13737</t>
  </si>
  <si>
    <t>Colonne13738</t>
  </si>
  <si>
    <t>Colonne13739</t>
  </si>
  <si>
    <t>Colonne13740</t>
  </si>
  <si>
    <t>Colonne13741</t>
  </si>
  <si>
    <t>Colonne13742</t>
  </si>
  <si>
    <t>Colonne13743</t>
  </si>
  <si>
    <t>Colonne13744</t>
  </si>
  <si>
    <t>Colonne13745</t>
  </si>
  <si>
    <t>Colonne13746</t>
  </si>
  <si>
    <t>Colonne13747</t>
  </si>
  <si>
    <t>Colonne13748</t>
  </si>
  <si>
    <t>Colonne13749</t>
  </si>
  <si>
    <t>Colonne13750</t>
  </si>
  <si>
    <t>Colonne13751</t>
  </si>
  <si>
    <t>Colonne13752</t>
  </si>
  <si>
    <t>Colonne13753</t>
  </si>
  <si>
    <t>Colonne13754</t>
  </si>
  <si>
    <t>Colonne13755</t>
  </si>
  <si>
    <t>Colonne13756</t>
  </si>
  <si>
    <t>Colonne13757</t>
  </si>
  <si>
    <t>Colonne13758</t>
  </si>
  <si>
    <t>Colonne13759</t>
  </si>
  <si>
    <t>Colonne13760</t>
  </si>
  <si>
    <t>Colonne13761</t>
  </si>
  <si>
    <t>Colonne13762</t>
  </si>
  <si>
    <t>Colonne13763</t>
  </si>
  <si>
    <t>Colonne13764</t>
  </si>
  <si>
    <t>Colonne13765</t>
  </si>
  <si>
    <t>Colonne13766</t>
  </si>
  <si>
    <t>Colonne13767</t>
  </si>
  <si>
    <t>Colonne13768</t>
  </si>
  <si>
    <t>Colonne13769</t>
  </si>
  <si>
    <t>Colonne13770</t>
  </si>
  <si>
    <t>Colonne13771</t>
  </si>
  <si>
    <t>Colonne13772</t>
  </si>
  <si>
    <t>Colonne13773</t>
  </si>
  <si>
    <t>Colonne13774</t>
  </si>
  <si>
    <t>Colonne13775</t>
  </si>
  <si>
    <t>Colonne13776</t>
  </si>
  <si>
    <t>Colonne13777</t>
  </si>
  <si>
    <t>Colonne13778</t>
  </si>
  <si>
    <t>Colonne13779</t>
  </si>
  <si>
    <t>Colonne13780</t>
  </si>
  <si>
    <t>Colonne13781</t>
  </si>
  <si>
    <t>Colonne13782</t>
  </si>
  <si>
    <t>Colonne13783</t>
  </si>
  <si>
    <t>Colonne13784</t>
  </si>
  <si>
    <t>Colonne13785</t>
  </si>
  <si>
    <t>Colonne13786</t>
  </si>
  <si>
    <t>Colonne13787</t>
  </si>
  <si>
    <t>Colonne13788</t>
  </si>
  <si>
    <t>Colonne13789</t>
  </si>
  <si>
    <t>Colonne13790</t>
  </si>
  <si>
    <t>Colonne13791</t>
  </si>
  <si>
    <t>Colonne13792</t>
  </si>
  <si>
    <t>Colonne13793</t>
  </si>
  <si>
    <t>Colonne13794</t>
  </si>
  <si>
    <t>Colonne13795</t>
  </si>
  <si>
    <t>Colonne13796</t>
  </si>
  <si>
    <t>Colonne13797</t>
  </si>
  <si>
    <t>Colonne13798</t>
  </si>
  <si>
    <t>Colonne13799</t>
  </si>
  <si>
    <t>Colonne13800</t>
  </si>
  <si>
    <t>Colonne13801</t>
  </si>
  <si>
    <t>Colonne13802</t>
  </si>
  <si>
    <t>Colonne13803</t>
  </si>
  <si>
    <t>Colonne13804</t>
  </si>
  <si>
    <t>Colonne13805</t>
  </si>
  <si>
    <t>Colonne13806</t>
  </si>
  <si>
    <t>Colonne13807</t>
  </si>
  <si>
    <t>Colonne13808</t>
  </si>
  <si>
    <t>Colonne13809</t>
  </si>
  <si>
    <t>Colonne13810</t>
  </si>
  <si>
    <t>Colonne13811</t>
  </si>
  <si>
    <t>Colonne13812</t>
  </si>
  <si>
    <t>Colonne13813</t>
  </si>
  <si>
    <t>Colonne13814</t>
  </si>
  <si>
    <t>Colonne13815</t>
  </si>
  <si>
    <t>Colonne13816</t>
  </si>
  <si>
    <t>Colonne13817</t>
  </si>
  <si>
    <t>Colonne13818</t>
  </si>
  <si>
    <t>Colonne13819</t>
  </si>
  <si>
    <t>Colonne13820</t>
  </si>
  <si>
    <t>Colonne13821</t>
  </si>
  <si>
    <t>Colonne13822</t>
  </si>
  <si>
    <t>Colonne13823</t>
  </si>
  <si>
    <t>Colonne13824</t>
  </si>
  <si>
    <t>Colonne13825</t>
  </si>
  <si>
    <t>Colonne13826</t>
  </si>
  <si>
    <t>Colonne13827</t>
  </si>
  <si>
    <t>Colonne13828</t>
  </si>
  <si>
    <t>Colonne13829</t>
  </si>
  <si>
    <t>Colonne13830</t>
  </si>
  <si>
    <t>Colonne13831</t>
  </si>
  <si>
    <t>Colonne13832</t>
  </si>
  <si>
    <t>Colonne13833</t>
  </si>
  <si>
    <t>Colonne13834</t>
  </si>
  <si>
    <t>Colonne13835</t>
  </si>
  <si>
    <t>Colonne13836</t>
  </si>
  <si>
    <t>Colonne13837</t>
  </si>
  <si>
    <t>Colonne13838</t>
  </si>
  <si>
    <t>Colonne13839</t>
  </si>
  <si>
    <t>Colonne13840</t>
  </si>
  <si>
    <t>Colonne13841</t>
  </si>
  <si>
    <t>Colonne13842</t>
  </si>
  <si>
    <t>Colonne13843</t>
  </si>
  <si>
    <t>Colonne13844</t>
  </si>
  <si>
    <t>Colonne13845</t>
  </si>
  <si>
    <t>Colonne13846</t>
  </si>
  <si>
    <t>Colonne13847</t>
  </si>
  <si>
    <t>Colonne13848</t>
  </si>
  <si>
    <t>Colonne13849</t>
  </si>
  <si>
    <t>Colonne13850</t>
  </si>
  <si>
    <t>Colonne13851</t>
  </si>
  <si>
    <t>Colonne13852</t>
  </si>
  <si>
    <t>Colonne13853</t>
  </si>
  <si>
    <t>Colonne13854</t>
  </si>
  <si>
    <t>Colonne13855</t>
  </si>
  <si>
    <t>Colonne13856</t>
  </si>
  <si>
    <t>Colonne13857</t>
  </si>
  <si>
    <t>Colonne13858</t>
  </si>
  <si>
    <t>Colonne13859</t>
  </si>
  <si>
    <t>Colonne13860</t>
  </si>
  <si>
    <t>Colonne13861</t>
  </si>
  <si>
    <t>Colonne13862</t>
  </si>
  <si>
    <t>Colonne13863</t>
  </si>
  <si>
    <t>Colonne13864</t>
  </si>
  <si>
    <t>Colonne13865</t>
  </si>
  <si>
    <t>Colonne13866</t>
  </si>
  <si>
    <t>Colonne13867</t>
  </si>
  <si>
    <t>Colonne13868</t>
  </si>
  <si>
    <t>Colonne13869</t>
  </si>
  <si>
    <t>Colonne13870</t>
  </si>
  <si>
    <t>Colonne13871</t>
  </si>
  <si>
    <t>Colonne13872</t>
  </si>
  <si>
    <t>Colonne13873</t>
  </si>
  <si>
    <t>Colonne13874</t>
  </si>
  <si>
    <t>Colonne13875</t>
  </si>
  <si>
    <t>Colonne13876</t>
  </si>
  <si>
    <t>Colonne13877</t>
  </si>
  <si>
    <t>Colonne13878</t>
  </si>
  <si>
    <t>Colonne13879</t>
  </si>
  <si>
    <t>Colonne13880</t>
  </si>
  <si>
    <t>Colonne13881</t>
  </si>
  <si>
    <t>Colonne13882</t>
  </si>
  <si>
    <t>Colonne13883</t>
  </si>
  <si>
    <t>Colonne13884</t>
  </si>
  <si>
    <t>Colonne13885</t>
  </si>
  <si>
    <t>Colonne13886</t>
  </si>
  <si>
    <t>Colonne13887</t>
  </si>
  <si>
    <t>Colonne13888</t>
  </si>
  <si>
    <t>Colonne13889</t>
  </si>
  <si>
    <t>Colonne13890</t>
  </si>
  <si>
    <t>Colonne13891</t>
  </si>
  <si>
    <t>Colonne13892</t>
  </si>
  <si>
    <t>Colonne13893</t>
  </si>
  <si>
    <t>Colonne13894</t>
  </si>
  <si>
    <t>Colonne13895</t>
  </si>
  <si>
    <t>Colonne13896</t>
  </si>
  <si>
    <t>Colonne13897</t>
  </si>
  <si>
    <t>Colonne13898</t>
  </si>
  <si>
    <t>Colonne13899</t>
  </si>
  <si>
    <t>Colonne13900</t>
  </si>
  <si>
    <t>Colonne13901</t>
  </si>
  <si>
    <t>Colonne13902</t>
  </si>
  <si>
    <t>Colonne13903</t>
  </si>
  <si>
    <t>Colonne13904</t>
  </si>
  <si>
    <t>Colonne13905</t>
  </si>
  <si>
    <t>Colonne13906</t>
  </si>
  <si>
    <t>Colonne13907</t>
  </si>
  <si>
    <t>Colonne13908</t>
  </si>
  <si>
    <t>Colonne13909</t>
  </si>
  <si>
    <t>Colonne13910</t>
  </si>
  <si>
    <t>Colonne13911</t>
  </si>
  <si>
    <t>Colonne13912</t>
  </si>
  <si>
    <t>Colonne13913</t>
  </si>
  <si>
    <t>Colonne13914</t>
  </si>
  <si>
    <t>Colonne13915</t>
  </si>
  <si>
    <t>Colonne13916</t>
  </si>
  <si>
    <t>Colonne13917</t>
  </si>
  <si>
    <t>Colonne13918</t>
  </si>
  <si>
    <t>Colonne13919</t>
  </si>
  <si>
    <t>Colonne13920</t>
  </si>
  <si>
    <t>Colonne13921</t>
  </si>
  <si>
    <t>Colonne13922</t>
  </si>
  <si>
    <t>Colonne13923</t>
  </si>
  <si>
    <t>Colonne13924</t>
  </si>
  <si>
    <t>Colonne13925</t>
  </si>
  <si>
    <t>Colonne13926</t>
  </si>
  <si>
    <t>Colonne13927</t>
  </si>
  <si>
    <t>Colonne13928</t>
  </si>
  <si>
    <t>Colonne13929</t>
  </si>
  <si>
    <t>Colonne13930</t>
  </si>
  <si>
    <t>Colonne13931</t>
  </si>
  <si>
    <t>Colonne13932</t>
  </si>
  <si>
    <t>Colonne13933</t>
  </si>
  <si>
    <t>Colonne13934</t>
  </si>
  <si>
    <t>Colonne13935</t>
  </si>
  <si>
    <t>Colonne13936</t>
  </si>
  <si>
    <t>Colonne13937</t>
  </si>
  <si>
    <t>Colonne13938</t>
  </si>
  <si>
    <t>Colonne13939</t>
  </si>
  <si>
    <t>Colonne13940</t>
  </si>
  <si>
    <t>Colonne13941</t>
  </si>
  <si>
    <t>Colonne13942</t>
  </si>
  <si>
    <t>Colonne13943</t>
  </si>
  <si>
    <t>Colonne13944</t>
  </si>
  <si>
    <t>Colonne13945</t>
  </si>
  <si>
    <t>Colonne13946</t>
  </si>
  <si>
    <t>Colonne13947</t>
  </si>
  <si>
    <t>Colonne13948</t>
  </si>
  <si>
    <t>Colonne13949</t>
  </si>
  <si>
    <t>Colonne13950</t>
  </si>
  <si>
    <t>Colonne13951</t>
  </si>
  <si>
    <t>Colonne13952</t>
  </si>
  <si>
    <t>Colonne13953</t>
  </si>
  <si>
    <t>Colonne13954</t>
  </si>
  <si>
    <t>Colonne13955</t>
  </si>
  <si>
    <t>Colonne13956</t>
  </si>
  <si>
    <t>Colonne13957</t>
  </si>
  <si>
    <t>Colonne13958</t>
  </si>
  <si>
    <t>Colonne13959</t>
  </si>
  <si>
    <t>Colonne13960</t>
  </si>
  <si>
    <t>Colonne13961</t>
  </si>
  <si>
    <t>Colonne13962</t>
  </si>
  <si>
    <t>Colonne13963</t>
  </si>
  <si>
    <t>Colonne13964</t>
  </si>
  <si>
    <t>Colonne13965</t>
  </si>
  <si>
    <t>Colonne13966</t>
  </si>
  <si>
    <t>Colonne13967</t>
  </si>
  <si>
    <t>Colonne13968</t>
  </si>
  <si>
    <t>Colonne13969</t>
  </si>
  <si>
    <t>Colonne13970</t>
  </si>
  <si>
    <t>Colonne13971</t>
  </si>
  <si>
    <t>Colonne13972</t>
  </si>
  <si>
    <t>Colonne13973</t>
  </si>
  <si>
    <t>Colonne13974</t>
  </si>
  <si>
    <t>Colonne13975</t>
  </si>
  <si>
    <t>Colonne13976</t>
  </si>
  <si>
    <t>Colonne13977</t>
  </si>
  <si>
    <t>Colonne13978</t>
  </si>
  <si>
    <t>Colonne13979</t>
  </si>
  <si>
    <t>Colonne13980</t>
  </si>
  <si>
    <t>Colonne13981</t>
  </si>
  <si>
    <t>Colonne13982</t>
  </si>
  <si>
    <t>Colonne13983</t>
  </si>
  <si>
    <t>Colonne13984</t>
  </si>
  <si>
    <t>Colonne13985</t>
  </si>
  <si>
    <t>Colonne13986</t>
  </si>
  <si>
    <t>Colonne13987</t>
  </si>
  <si>
    <t>Colonne13988</t>
  </si>
  <si>
    <t>Colonne13989</t>
  </si>
  <si>
    <t>Colonne13990</t>
  </si>
  <si>
    <t>Colonne13991</t>
  </si>
  <si>
    <t>Colonne13992</t>
  </si>
  <si>
    <t>Colonne13993</t>
  </si>
  <si>
    <t>Colonne13994</t>
  </si>
  <si>
    <t>Colonne13995</t>
  </si>
  <si>
    <t>Colonne13996</t>
  </si>
  <si>
    <t>Colonne13997</t>
  </si>
  <si>
    <t>Colonne13998</t>
  </si>
  <si>
    <t>Colonne13999</t>
  </si>
  <si>
    <t>Colonne14000</t>
  </si>
  <si>
    <t>Colonne14001</t>
  </si>
  <si>
    <t>Colonne14002</t>
  </si>
  <si>
    <t>Colonne14003</t>
  </si>
  <si>
    <t>Colonne14004</t>
  </si>
  <si>
    <t>Colonne14005</t>
  </si>
  <si>
    <t>Colonne14006</t>
  </si>
  <si>
    <t>Colonne14007</t>
  </si>
  <si>
    <t>Colonne14008</t>
  </si>
  <si>
    <t>Colonne14009</t>
  </si>
  <si>
    <t>Colonne14010</t>
  </si>
  <si>
    <t>Colonne14011</t>
  </si>
  <si>
    <t>Colonne14012</t>
  </si>
  <si>
    <t>Colonne14013</t>
  </si>
  <si>
    <t>Colonne14014</t>
  </si>
  <si>
    <t>Colonne14015</t>
  </si>
  <si>
    <t>Colonne14016</t>
  </si>
  <si>
    <t>Colonne14017</t>
  </si>
  <si>
    <t>Colonne14018</t>
  </si>
  <si>
    <t>Colonne14019</t>
  </si>
  <si>
    <t>Colonne14020</t>
  </si>
  <si>
    <t>Colonne14021</t>
  </si>
  <si>
    <t>Colonne14022</t>
  </si>
  <si>
    <t>Colonne14023</t>
  </si>
  <si>
    <t>Colonne14024</t>
  </si>
  <si>
    <t>Colonne14025</t>
  </si>
  <si>
    <t>Colonne14026</t>
  </si>
  <si>
    <t>Colonne14027</t>
  </si>
  <si>
    <t>Colonne14028</t>
  </si>
  <si>
    <t>Colonne14029</t>
  </si>
  <si>
    <t>Colonne14030</t>
  </si>
  <si>
    <t>Colonne14031</t>
  </si>
  <si>
    <t>Colonne14032</t>
  </si>
  <si>
    <t>Colonne14033</t>
  </si>
  <si>
    <t>Colonne14034</t>
  </si>
  <si>
    <t>Colonne14035</t>
  </si>
  <si>
    <t>Colonne14036</t>
  </si>
  <si>
    <t>Colonne14037</t>
  </si>
  <si>
    <t>Colonne14038</t>
  </si>
  <si>
    <t>Colonne14039</t>
  </si>
  <si>
    <t>Colonne14040</t>
  </si>
  <si>
    <t>Colonne14041</t>
  </si>
  <si>
    <t>Colonne14042</t>
  </si>
  <si>
    <t>Colonne14043</t>
  </si>
  <si>
    <t>Colonne14044</t>
  </si>
  <si>
    <t>Colonne14045</t>
  </si>
  <si>
    <t>Colonne14046</t>
  </si>
  <si>
    <t>Colonne14047</t>
  </si>
  <si>
    <t>Colonne14048</t>
  </si>
  <si>
    <t>Colonne14049</t>
  </si>
  <si>
    <t>Colonne14050</t>
  </si>
  <si>
    <t>Colonne14051</t>
  </si>
  <si>
    <t>Colonne14052</t>
  </si>
  <si>
    <t>Colonne14053</t>
  </si>
  <si>
    <t>Colonne14054</t>
  </si>
  <si>
    <t>Colonne14055</t>
  </si>
  <si>
    <t>Colonne14056</t>
  </si>
  <si>
    <t>Colonne14057</t>
  </si>
  <si>
    <t>Colonne14058</t>
  </si>
  <si>
    <t>Colonne14059</t>
  </si>
  <si>
    <t>Colonne14060</t>
  </si>
  <si>
    <t>Colonne14061</t>
  </si>
  <si>
    <t>Colonne14062</t>
  </si>
  <si>
    <t>Colonne14063</t>
  </si>
  <si>
    <t>Colonne14064</t>
  </si>
  <si>
    <t>Colonne14065</t>
  </si>
  <si>
    <t>Colonne14066</t>
  </si>
  <si>
    <t>Colonne14067</t>
  </si>
  <si>
    <t>Colonne14068</t>
  </si>
  <si>
    <t>Colonne14069</t>
  </si>
  <si>
    <t>Colonne14070</t>
  </si>
  <si>
    <t>Colonne14071</t>
  </si>
  <si>
    <t>Colonne14072</t>
  </si>
  <si>
    <t>Colonne14073</t>
  </si>
  <si>
    <t>Colonne14074</t>
  </si>
  <si>
    <t>Colonne14075</t>
  </si>
  <si>
    <t>Colonne14076</t>
  </si>
  <si>
    <t>Colonne14077</t>
  </si>
  <si>
    <t>Colonne14078</t>
  </si>
  <si>
    <t>Colonne14079</t>
  </si>
  <si>
    <t>Colonne14080</t>
  </si>
  <si>
    <t>Colonne14081</t>
  </si>
  <si>
    <t>Colonne14082</t>
  </si>
  <si>
    <t>Colonne14083</t>
  </si>
  <si>
    <t>Colonne14084</t>
  </si>
  <si>
    <t>Colonne14085</t>
  </si>
  <si>
    <t>Colonne14086</t>
  </si>
  <si>
    <t>Colonne14087</t>
  </si>
  <si>
    <t>Colonne14088</t>
  </si>
  <si>
    <t>Colonne14089</t>
  </si>
  <si>
    <t>Colonne14090</t>
  </si>
  <si>
    <t>Colonne14091</t>
  </si>
  <si>
    <t>Colonne14092</t>
  </si>
  <si>
    <t>Colonne14093</t>
  </si>
  <si>
    <t>Colonne14094</t>
  </si>
  <si>
    <t>Colonne14095</t>
  </si>
  <si>
    <t>Colonne14096</t>
  </si>
  <si>
    <t>Colonne14097</t>
  </si>
  <si>
    <t>Colonne14098</t>
  </si>
  <si>
    <t>Colonne14099</t>
  </si>
  <si>
    <t>Colonne14100</t>
  </si>
  <si>
    <t>Colonne14101</t>
  </si>
  <si>
    <t>Colonne14102</t>
  </si>
  <si>
    <t>Colonne14103</t>
  </si>
  <si>
    <t>Colonne14104</t>
  </si>
  <si>
    <t>Colonne14105</t>
  </si>
  <si>
    <t>Colonne14106</t>
  </si>
  <si>
    <t>Colonne14107</t>
  </si>
  <si>
    <t>Colonne14108</t>
  </si>
  <si>
    <t>Colonne14109</t>
  </si>
  <si>
    <t>Colonne14110</t>
  </si>
  <si>
    <t>Colonne14111</t>
  </si>
  <si>
    <t>Colonne14112</t>
  </si>
  <si>
    <t>Colonne14113</t>
  </si>
  <si>
    <t>Colonne14114</t>
  </si>
  <si>
    <t>Colonne14115</t>
  </si>
  <si>
    <t>Colonne14116</t>
  </si>
  <si>
    <t>Colonne14117</t>
  </si>
  <si>
    <t>Colonne14118</t>
  </si>
  <si>
    <t>Colonne14119</t>
  </si>
  <si>
    <t>Colonne14120</t>
  </si>
  <si>
    <t>Colonne14121</t>
  </si>
  <si>
    <t>Colonne14122</t>
  </si>
  <si>
    <t>Colonne14123</t>
  </si>
  <si>
    <t>Colonne14124</t>
  </si>
  <si>
    <t>Colonne14125</t>
  </si>
  <si>
    <t>Colonne14126</t>
  </si>
  <si>
    <t>Colonne14127</t>
  </si>
  <si>
    <t>Colonne14128</t>
  </si>
  <si>
    <t>Colonne14129</t>
  </si>
  <si>
    <t>Colonne14130</t>
  </si>
  <si>
    <t>Colonne14131</t>
  </si>
  <si>
    <t>Colonne14132</t>
  </si>
  <si>
    <t>Colonne14133</t>
  </si>
  <si>
    <t>Colonne14134</t>
  </si>
  <si>
    <t>Colonne14135</t>
  </si>
  <si>
    <t>Colonne14136</t>
  </si>
  <si>
    <t>Colonne14137</t>
  </si>
  <si>
    <t>Colonne14138</t>
  </si>
  <si>
    <t>Colonne14139</t>
  </si>
  <si>
    <t>Colonne14140</t>
  </si>
  <si>
    <t>Colonne14141</t>
  </si>
  <si>
    <t>Colonne14142</t>
  </si>
  <si>
    <t>Colonne14143</t>
  </si>
  <si>
    <t>Colonne14144</t>
  </si>
  <si>
    <t>Colonne14145</t>
  </si>
  <si>
    <t>Colonne14146</t>
  </si>
  <si>
    <t>Colonne14147</t>
  </si>
  <si>
    <t>Colonne14148</t>
  </si>
  <si>
    <t>Colonne14149</t>
  </si>
  <si>
    <t>Colonne14150</t>
  </si>
  <si>
    <t>Colonne14151</t>
  </si>
  <si>
    <t>Colonne14152</t>
  </si>
  <si>
    <t>Colonne14153</t>
  </si>
  <si>
    <t>Colonne14154</t>
  </si>
  <si>
    <t>Colonne14155</t>
  </si>
  <si>
    <t>Colonne14156</t>
  </si>
  <si>
    <t>Colonne14157</t>
  </si>
  <si>
    <t>Colonne14158</t>
  </si>
  <si>
    <t>Colonne14159</t>
  </si>
  <si>
    <t>Colonne14160</t>
  </si>
  <si>
    <t>Colonne14161</t>
  </si>
  <si>
    <t>Colonne14162</t>
  </si>
  <si>
    <t>Colonne14163</t>
  </si>
  <si>
    <t>Colonne14164</t>
  </si>
  <si>
    <t>Colonne14165</t>
  </si>
  <si>
    <t>Colonne14166</t>
  </si>
  <si>
    <t>Colonne14167</t>
  </si>
  <si>
    <t>Colonne14168</t>
  </si>
  <si>
    <t>Colonne14169</t>
  </si>
  <si>
    <t>Colonne14170</t>
  </si>
  <si>
    <t>Colonne14171</t>
  </si>
  <si>
    <t>Colonne14172</t>
  </si>
  <si>
    <t>Colonne14173</t>
  </si>
  <si>
    <t>Colonne14174</t>
  </si>
  <si>
    <t>Colonne14175</t>
  </si>
  <si>
    <t>Colonne14176</t>
  </si>
  <si>
    <t>Colonne14177</t>
  </si>
  <si>
    <t>Colonne14178</t>
  </si>
  <si>
    <t>Colonne14179</t>
  </si>
  <si>
    <t>Colonne14180</t>
  </si>
  <si>
    <t>Colonne14181</t>
  </si>
  <si>
    <t>Colonne14182</t>
  </si>
  <si>
    <t>Colonne14183</t>
  </si>
  <si>
    <t>Colonne14184</t>
  </si>
  <si>
    <t>Colonne14185</t>
  </si>
  <si>
    <t>Colonne14186</t>
  </si>
  <si>
    <t>Colonne14187</t>
  </si>
  <si>
    <t>Colonne14188</t>
  </si>
  <si>
    <t>Colonne14189</t>
  </si>
  <si>
    <t>Colonne14190</t>
  </si>
  <si>
    <t>Colonne14191</t>
  </si>
  <si>
    <t>Colonne14192</t>
  </si>
  <si>
    <t>Colonne14193</t>
  </si>
  <si>
    <t>Colonne14194</t>
  </si>
  <si>
    <t>Colonne14195</t>
  </si>
  <si>
    <t>Colonne14196</t>
  </si>
  <si>
    <t>Colonne14197</t>
  </si>
  <si>
    <t>Colonne14198</t>
  </si>
  <si>
    <t>Colonne14199</t>
  </si>
  <si>
    <t>Colonne14200</t>
  </si>
  <si>
    <t>Colonne14201</t>
  </si>
  <si>
    <t>Colonne14202</t>
  </si>
  <si>
    <t>Colonne14203</t>
  </si>
  <si>
    <t>Colonne14204</t>
  </si>
  <si>
    <t>Colonne14205</t>
  </si>
  <si>
    <t>Colonne14206</t>
  </si>
  <si>
    <t>Colonne14207</t>
  </si>
  <si>
    <t>Colonne14208</t>
  </si>
  <si>
    <t>Colonne14209</t>
  </si>
  <si>
    <t>Colonne14210</t>
  </si>
  <si>
    <t>Colonne14211</t>
  </si>
  <si>
    <t>Colonne14212</t>
  </si>
  <si>
    <t>Colonne14213</t>
  </si>
  <si>
    <t>Colonne14214</t>
  </si>
  <si>
    <t>Colonne14215</t>
  </si>
  <si>
    <t>Colonne14216</t>
  </si>
  <si>
    <t>Colonne14217</t>
  </si>
  <si>
    <t>Colonne14218</t>
  </si>
  <si>
    <t>Colonne14219</t>
  </si>
  <si>
    <t>Colonne14220</t>
  </si>
  <si>
    <t>Colonne14221</t>
  </si>
  <si>
    <t>Colonne14222</t>
  </si>
  <si>
    <t>Colonne14223</t>
  </si>
  <si>
    <t>Colonne14224</t>
  </si>
  <si>
    <t>Colonne14225</t>
  </si>
  <si>
    <t>Colonne14226</t>
  </si>
  <si>
    <t>Colonne14227</t>
  </si>
  <si>
    <t>Colonne14228</t>
  </si>
  <si>
    <t>Colonne14229</t>
  </si>
  <si>
    <t>Colonne14230</t>
  </si>
  <si>
    <t>Colonne14231</t>
  </si>
  <si>
    <t>Colonne14232</t>
  </si>
  <si>
    <t>Colonne14233</t>
  </si>
  <si>
    <t>Colonne14234</t>
  </si>
  <si>
    <t>Colonne14235</t>
  </si>
  <si>
    <t>Colonne14236</t>
  </si>
  <si>
    <t>Colonne14237</t>
  </si>
  <si>
    <t>Colonne14238</t>
  </si>
  <si>
    <t>Colonne14239</t>
  </si>
  <si>
    <t>Colonne14240</t>
  </si>
  <si>
    <t>Colonne14241</t>
  </si>
  <si>
    <t>Colonne14242</t>
  </si>
  <si>
    <t>Colonne14243</t>
  </si>
  <si>
    <t>Colonne14244</t>
  </si>
  <si>
    <t>Colonne14245</t>
  </si>
  <si>
    <t>Colonne14246</t>
  </si>
  <si>
    <t>Colonne14247</t>
  </si>
  <si>
    <t>Colonne14248</t>
  </si>
  <si>
    <t>Colonne14249</t>
  </si>
  <si>
    <t>Colonne14250</t>
  </si>
  <si>
    <t>Colonne14251</t>
  </si>
  <si>
    <t>Colonne14252</t>
  </si>
  <si>
    <t>Colonne14253</t>
  </si>
  <si>
    <t>Colonne14254</t>
  </si>
  <si>
    <t>Colonne14255</t>
  </si>
  <si>
    <t>Colonne14256</t>
  </si>
  <si>
    <t>Colonne14257</t>
  </si>
  <si>
    <t>Colonne14258</t>
  </si>
  <si>
    <t>Colonne14259</t>
  </si>
  <si>
    <t>Colonne14260</t>
  </si>
  <si>
    <t>Colonne14261</t>
  </si>
  <si>
    <t>Colonne14262</t>
  </si>
  <si>
    <t>Colonne14263</t>
  </si>
  <si>
    <t>Colonne14264</t>
  </si>
  <si>
    <t>Colonne14265</t>
  </si>
  <si>
    <t>Colonne14266</t>
  </si>
  <si>
    <t>Colonne14267</t>
  </si>
  <si>
    <t>Colonne14268</t>
  </si>
  <si>
    <t>Colonne14269</t>
  </si>
  <si>
    <t>Colonne14270</t>
  </si>
  <si>
    <t>Colonne14271</t>
  </si>
  <si>
    <t>Colonne14272</t>
  </si>
  <si>
    <t>Colonne14273</t>
  </si>
  <si>
    <t>Colonne14274</t>
  </si>
  <si>
    <t>Colonne14275</t>
  </si>
  <si>
    <t>Colonne14276</t>
  </si>
  <si>
    <t>Colonne14277</t>
  </si>
  <si>
    <t>Colonne14278</t>
  </si>
  <si>
    <t>Colonne14279</t>
  </si>
  <si>
    <t>Colonne14280</t>
  </si>
  <si>
    <t>Colonne14281</t>
  </si>
  <si>
    <t>Colonne14282</t>
  </si>
  <si>
    <t>Colonne14283</t>
  </si>
  <si>
    <t>Colonne14284</t>
  </si>
  <si>
    <t>Colonne14285</t>
  </si>
  <si>
    <t>Colonne14286</t>
  </si>
  <si>
    <t>Colonne14287</t>
  </si>
  <si>
    <t>Colonne14288</t>
  </si>
  <si>
    <t>Colonne14289</t>
  </si>
  <si>
    <t>Colonne14290</t>
  </si>
  <si>
    <t>Colonne14291</t>
  </si>
  <si>
    <t>Colonne14292</t>
  </si>
  <si>
    <t>Colonne14293</t>
  </si>
  <si>
    <t>Colonne14294</t>
  </si>
  <si>
    <t>Colonne14295</t>
  </si>
  <si>
    <t>Colonne14296</t>
  </si>
  <si>
    <t>Colonne14297</t>
  </si>
  <si>
    <t>Colonne14298</t>
  </si>
  <si>
    <t>Colonne14299</t>
  </si>
  <si>
    <t>Colonne14300</t>
  </si>
  <si>
    <t>Colonne14301</t>
  </si>
  <si>
    <t>Colonne14302</t>
  </si>
  <si>
    <t>Colonne14303</t>
  </si>
  <si>
    <t>Colonne14304</t>
  </si>
  <si>
    <t>Colonne14305</t>
  </si>
  <si>
    <t>Colonne14306</t>
  </si>
  <si>
    <t>Colonne14307</t>
  </si>
  <si>
    <t>Colonne14308</t>
  </si>
  <si>
    <t>Colonne14309</t>
  </si>
  <si>
    <t>Colonne14310</t>
  </si>
  <si>
    <t>Colonne14311</t>
  </si>
  <si>
    <t>Colonne14312</t>
  </si>
  <si>
    <t>Colonne14313</t>
  </si>
  <si>
    <t>Colonne14314</t>
  </si>
  <si>
    <t>Colonne14315</t>
  </si>
  <si>
    <t>Colonne14316</t>
  </si>
  <si>
    <t>Colonne14317</t>
  </si>
  <si>
    <t>Colonne14318</t>
  </si>
  <si>
    <t>Colonne14319</t>
  </si>
  <si>
    <t>Colonne14320</t>
  </si>
  <si>
    <t>Colonne14321</t>
  </si>
  <si>
    <t>Colonne14322</t>
  </si>
  <si>
    <t>Colonne14323</t>
  </si>
  <si>
    <t>Colonne14324</t>
  </si>
  <si>
    <t>Colonne14325</t>
  </si>
  <si>
    <t>Colonne14326</t>
  </si>
  <si>
    <t>Colonne14327</t>
  </si>
  <si>
    <t>Colonne14328</t>
  </si>
  <si>
    <t>Colonne14329</t>
  </si>
  <si>
    <t>Colonne14330</t>
  </si>
  <si>
    <t>Colonne14331</t>
  </si>
  <si>
    <t>Colonne14332</t>
  </si>
  <si>
    <t>Colonne14333</t>
  </si>
  <si>
    <t>Colonne14334</t>
  </si>
  <si>
    <t>Colonne14335</t>
  </si>
  <si>
    <t>Colonne14336</t>
  </si>
  <si>
    <t>Colonne14337</t>
  </si>
  <si>
    <t>Colonne14338</t>
  </si>
  <si>
    <t>Colonne14339</t>
  </si>
  <si>
    <t>Colonne14340</t>
  </si>
  <si>
    <t>Colonne14341</t>
  </si>
  <si>
    <t>Colonne14342</t>
  </si>
  <si>
    <t>Colonne14343</t>
  </si>
  <si>
    <t>Colonne14344</t>
  </si>
  <si>
    <t>Colonne14345</t>
  </si>
  <si>
    <t>Colonne14346</t>
  </si>
  <si>
    <t>Colonne14347</t>
  </si>
  <si>
    <t>Colonne14348</t>
  </si>
  <si>
    <t>Colonne14349</t>
  </si>
  <si>
    <t>Colonne14350</t>
  </si>
  <si>
    <t>Colonne14351</t>
  </si>
  <si>
    <t>Colonne14352</t>
  </si>
  <si>
    <t>Colonne14353</t>
  </si>
  <si>
    <t>Colonne14354</t>
  </si>
  <si>
    <t>Colonne14355</t>
  </si>
  <si>
    <t>Colonne14356</t>
  </si>
  <si>
    <t>Colonne14357</t>
  </si>
  <si>
    <t>Colonne14358</t>
  </si>
  <si>
    <t>Colonne14359</t>
  </si>
  <si>
    <t>Colonne14360</t>
  </si>
  <si>
    <t>Colonne14361</t>
  </si>
  <si>
    <t>Colonne14362</t>
  </si>
  <si>
    <t>Colonne14363</t>
  </si>
  <si>
    <t>Colonne14364</t>
  </si>
  <si>
    <t>Colonne14365</t>
  </si>
  <si>
    <t>Colonne14366</t>
  </si>
  <si>
    <t>Colonne14367</t>
  </si>
  <si>
    <t>Colonne14368</t>
  </si>
  <si>
    <t>Colonne14369</t>
  </si>
  <si>
    <t>Colonne14370</t>
  </si>
  <si>
    <t>Colonne14371</t>
  </si>
  <si>
    <t>Colonne14372</t>
  </si>
  <si>
    <t>Colonne14373</t>
  </si>
  <si>
    <t>Colonne14374</t>
  </si>
  <si>
    <t>Colonne14375</t>
  </si>
  <si>
    <t>Colonne14376</t>
  </si>
  <si>
    <t>Colonne14377</t>
  </si>
  <si>
    <t>Colonne14378</t>
  </si>
  <si>
    <t>Colonne14379</t>
  </si>
  <si>
    <t>Colonne14380</t>
  </si>
  <si>
    <t>Colonne14381</t>
  </si>
  <si>
    <t>Colonne14382</t>
  </si>
  <si>
    <t>Colonne14383</t>
  </si>
  <si>
    <t>Colonne14384</t>
  </si>
  <si>
    <t>Colonne14385</t>
  </si>
  <si>
    <t>Colonne14386</t>
  </si>
  <si>
    <t>Colonne14387</t>
  </si>
  <si>
    <t>Colonne14388</t>
  </si>
  <si>
    <t>Colonne14389</t>
  </si>
  <si>
    <t>Colonne14390</t>
  </si>
  <si>
    <t>Colonne14391</t>
  </si>
  <si>
    <t>Colonne14392</t>
  </si>
  <si>
    <t>Colonne14393</t>
  </si>
  <si>
    <t>Colonne14394</t>
  </si>
  <si>
    <t>Colonne14395</t>
  </si>
  <si>
    <t>Colonne14396</t>
  </si>
  <si>
    <t>Colonne14397</t>
  </si>
  <si>
    <t>Colonne14398</t>
  </si>
  <si>
    <t>Colonne14399</t>
  </si>
  <si>
    <t>Colonne14400</t>
  </si>
  <si>
    <t>Colonne14401</t>
  </si>
  <si>
    <t>Colonne14402</t>
  </si>
  <si>
    <t>Colonne14403</t>
  </si>
  <si>
    <t>Colonne14404</t>
  </si>
  <si>
    <t>Colonne14405</t>
  </si>
  <si>
    <t>Colonne14406</t>
  </si>
  <si>
    <t>Colonne14407</t>
  </si>
  <si>
    <t>Colonne14408</t>
  </si>
  <si>
    <t>Colonne14409</t>
  </si>
  <si>
    <t>Colonne14410</t>
  </si>
  <si>
    <t>Colonne14411</t>
  </si>
  <si>
    <t>Colonne14412</t>
  </si>
  <si>
    <t>Colonne14413</t>
  </si>
  <si>
    <t>Colonne14414</t>
  </si>
  <si>
    <t>Colonne14415</t>
  </si>
  <si>
    <t>Colonne14416</t>
  </si>
  <si>
    <t>Colonne14417</t>
  </si>
  <si>
    <t>Colonne14418</t>
  </si>
  <si>
    <t>Colonne14419</t>
  </si>
  <si>
    <t>Colonne14420</t>
  </si>
  <si>
    <t>Colonne14421</t>
  </si>
  <si>
    <t>Colonne14422</t>
  </si>
  <si>
    <t>Colonne14423</t>
  </si>
  <si>
    <t>Colonne14424</t>
  </si>
  <si>
    <t>Colonne14425</t>
  </si>
  <si>
    <t>Colonne14426</t>
  </si>
  <si>
    <t>Colonne14427</t>
  </si>
  <si>
    <t>Colonne14428</t>
  </si>
  <si>
    <t>Colonne14429</t>
  </si>
  <si>
    <t>Colonne14430</t>
  </si>
  <si>
    <t>Colonne14431</t>
  </si>
  <si>
    <t>Colonne14432</t>
  </si>
  <si>
    <t>Colonne14433</t>
  </si>
  <si>
    <t>Colonne14434</t>
  </si>
  <si>
    <t>Colonne14435</t>
  </si>
  <si>
    <t>Colonne14436</t>
  </si>
  <si>
    <t>Colonne14437</t>
  </si>
  <si>
    <t>Colonne14438</t>
  </si>
  <si>
    <t>Colonne14439</t>
  </si>
  <si>
    <t>Colonne14440</t>
  </si>
  <si>
    <t>Colonne14441</t>
  </si>
  <si>
    <t>Colonne14442</t>
  </si>
  <si>
    <t>Colonne14443</t>
  </si>
  <si>
    <t>Colonne14444</t>
  </si>
  <si>
    <t>Colonne14445</t>
  </si>
  <si>
    <t>Colonne14446</t>
  </si>
  <si>
    <t>Colonne14447</t>
  </si>
  <si>
    <t>Colonne14448</t>
  </si>
  <si>
    <t>Colonne14449</t>
  </si>
  <si>
    <t>Colonne14450</t>
  </si>
  <si>
    <t>Colonne14451</t>
  </si>
  <si>
    <t>Colonne14452</t>
  </si>
  <si>
    <t>Colonne14453</t>
  </si>
  <si>
    <t>Colonne14454</t>
  </si>
  <si>
    <t>Colonne14455</t>
  </si>
  <si>
    <t>Colonne14456</t>
  </si>
  <si>
    <t>Colonne14457</t>
  </si>
  <si>
    <t>Colonne14458</t>
  </si>
  <si>
    <t>Colonne14459</t>
  </si>
  <si>
    <t>Colonne14460</t>
  </si>
  <si>
    <t>Colonne14461</t>
  </si>
  <si>
    <t>Colonne14462</t>
  </si>
  <si>
    <t>Colonne14463</t>
  </si>
  <si>
    <t>Colonne14464</t>
  </si>
  <si>
    <t>Colonne14465</t>
  </si>
  <si>
    <t>Colonne14466</t>
  </si>
  <si>
    <t>Colonne14467</t>
  </si>
  <si>
    <t>Colonne14468</t>
  </si>
  <si>
    <t>Colonne14469</t>
  </si>
  <si>
    <t>Colonne14470</t>
  </si>
  <si>
    <t>Colonne14471</t>
  </si>
  <si>
    <t>Colonne14472</t>
  </si>
  <si>
    <t>Colonne14473</t>
  </si>
  <si>
    <t>Colonne14474</t>
  </si>
  <si>
    <t>Colonne14475</t>
  </si>
  <si>
    <t>Colonne14476</t>
  </si>
  <si>
    <t>Colonne14477</t>
  </si>
  <si>
    <t>Colonne14478</t>
  </si>
  <si>
    <t>Colonne14479</t>
  </si>
  <si>
    <t>Colonne14480</t>
  </si>
  <si>
    <t>Colonne14481</t>
  </si>
  <si>
    <t>Colonne14482</t>
  </si>
  <si>
    <t>Colonne14483</t>
  </si>
  <si>
    <t>Colonne14484</t>
  </si>
  <si>
    <t>Colonne14485</t>
  </si>
  <si>
    <t>Colonne14486</t>
  </si>
  <si>
    <t>Colonne14487</t>
  </si>
  <si>
    <t>Colonne14488</t>
  </si>
  <si>
    <t>Colonne14489</t>
  </si>
  <si>
    <t>Colonne14490</t>
  </si>
  <si>
    <t>Colonne14491</t>
  </si>
  <si>
    <t>Colonne14492</t>
  </si>
  <si>
    <t>Colonne14493</t>
  </si>
  <si>
    <t>Colonne14494</t>
  </si>
  <si>
    <t>Colonne14495</t>
  </si>
  <si>
    <t>Colonne14496</t>
  </si>
  <si>
    <t>Colonne14497</t>
  </si>
  <si>
    <t>Colonne14498</t>
  </si>
  <si>
    <t>Colonne14499</t>
  </si>
  <si>
    <t>Colonne14500</t>
  </si>
  <si>
    <t>Colonne14501</t>
  </si>
  <si>
    <t>Colonne14502</t>
  </si>
  <si>
    <t>Colonne14503</t>
  </si>
  <si>
    <t>Colonne14504</t>
  </si>
  <si>
    <t>Colonne14505</t>
  </si>
  <si>
    <t>Colonne14506</t>
  </si>
  <si>
    <t>Colonne14507</t>
  </si>
  <si>
    <t>Colonne14508</t>
  </si>
  <si>
    <t>Colonne14509</t>
  </si>
  <si>
    <t>Colonne14510</t>
  </si>
  <si>
    <t>Colonne14511</t>
  </si>
  <si>
    <t>Colonne14512</t>
  </si>
  <si>
    <t>Colonne14513</t>
  </si>
  <si>
    <t>Colonne14514</t>
  </si>
  <si>
    <t>Colonne14515</t>
  </si>
  <si>
    <t>Colonne14516</t>
  </si>
  <si>
    <t>Colonne14517</t>
  </si>
  <si>
    <t>Colonne14518</t>
  </si>
  <si>
    <t>Colonne14519</t>
  </si>
  <si>
    <t>Colonne14520</t>
  </si>
  <si>
    <t>Colonne14521</t>
  </si>
  <si>
    <t>Colonne14522</t>
  </si>
  <si>
    <t>Colonne14523</t>
  </si>
  <si>
    <t>Colonne14524</t>
  </si>
  <si>
    <t>Colonne14525</t>
  </si>
  <si>
    <t>Colonne14526</t>
  </si>
  <si>
    <t>Colonne14527</t>
  </si>
  <si>
    <t>Colonne14528</t>
  </si>
  <si>
    <t>Colonne14529</t>
  </si>
  <si>
    <t>Colonne14530</t>
  </si>
  <si>
    <t>Colonne14531</t>
  </si>
  <si>
    <t>Colonne14532</t>
  </si>
  <si>
    <t>Colonne14533</t>
  </si>
  <si>
    <t>Colonne14534</t>
  </si>
  <si>
    <t>Colonne14535</t>
  </si>
  <si>
    <t>Colonne14536</t>
  </si>
  <si>
    <t>Colonne14537</t>
  </si>
  <si>
    <t>Colonne14538</t>
  </si>
  <si>
    <t>Colonne14539</t>
  </si>
  <si>
    <t>Colonne14540</t>
  </si>
  <si>
    <t>Colonne14541</t>
  </si>
  <si>
    <t>Colonne14542</t>
  </si>
  <si>
    <t>Colonne14543</t>
  </si>
  <si>
    <t>Colonne14544</t>
  </si>
  <si>
    <t>Colonne14545</t>
  </si>
  <si>
    <t>Colonne14546</t>
  </si>
  <si>
    <t>Colonne14547</t>
  </si>
  <si>
    <t>Colonne14548</t>
  </si>
  <si>
    <t>Colonne14549</t>
  </si>
  <si>
    <t>Colonne14550</t>
  </si>
  <si>
    <t>Colonne14551</t>
  </si>
  <si>
    <t>Colonne14552</t>
  </si>
  <si>
    <t>Colonne14553</t>
  </si>
  <si>
    <t>Colonne14554</t>
  </si>
  <si>
    <t>Colonne14555</t>
  </si>
  <si>
    <t>Colonne14556</t>
  </si>
  <si>
    <t>Colonne14557</t>
  </si>
  <si>
    <t>Colonne14558</t>
  </si>
  <si>
    <t>Colonne14559</t>
  </si>
  <si>
    <t>Colonne14560</t>
  </si>
  <si>
    <t>Colonne14561</t>
  </si>
  <si>
    <t>Colonne14562</t>
  </si>
  <si>
    <t>Colonne14563</t>
  </si>
  <si>
    <t>Colonne14564</t>
  </si>
  <si>
    <t>Colonne14565</t>
  </si>
  <si>
    <t>Colonne14566</t>
  </si>
  <si>
    <t>Colonne14567</t>
  </si>
  <si>
    <t>Colonne14568</t>
  </si>
  <si>
    <t>Colonne14569</t>
  </si>
  <si>
    <t>Colonne14570</t>
  </si>
  <si>
    <t>Colonne14571</t>
  </si>
  <si>
    <t>Colonne14572</t>
  </si>
  <si>
    <t>Colonne14573</t>
  </si>
  <si>
    <t>Colonne14574</t>
  </si>
  <si>
    <t>Colonne14575</t>
  </si>
  <si>
    <t>Colonne14576</t>
  </si>
  <si>
    <t>Colonne14577</t>
  </si>
  <si>
    <t>Colonne14578</t>
  </si>
  <si>
    <t>Colonne14579</t>
  </si>
  <si>
    <t>Colonne14580</t>
  </si>
  <si>
    <t>Colonne14581</t>
  </si>
  <si>
    <t>Colonne14582</t>
  </si>
  <si>
    <t>Colonne14583</t>
  </si>
  <si>
    <t>Colonne14584</t>
  </si>
  <si>
    <t>Colonne14585</t>
  </si>
  <si>
    <t>Colonne14586</t>
  </si>
  <si>
    <t>Colonne14587</t>
  </si>
  <si>
    <t>Colonne14588</t>
  </si>
  <si>
    <t>Colonne14589</t>
  </si>
  <si>
    <t>Colonne14590</t>
  </si>
  <si>
    <t>Colonne14591</t>
  </si>
  <si>
    <t>Colonne14592</t>
  </si>
  <si>
    <t>Colonne14593</t>
  </si>
  <si>
    <t>Colonne14594</t>
  </si>
  <si>
    <t>Colonne14595</t>
  </si>
  <si>
    <t>Colonne14596</t>
  </si>
  <si>
    <t>Colonne14597</t>
  </si>
  <si>
    <t>Colonne14598</t>
  </si>
  <si>
    <t>Colonne14599</t>
  </si>
  <si>
    <t>Colonne14600</t>
  </si>
  <si>
    <t>Colonne14601</t>
  </si>
  <si>
    <t>Colonne14602</t>
  </si>
  <si>
    <t>Colonne14603</t>
  </si>
  <si>
    <t>Colonne14604</t>
  </si>
  <si>
    <t>Colonne14605</t>
  </si>
  <si>
    <t>Colonne14606</t>
  </si>
  <si>
    <t>Colonne14607</t>
  </si>
  <si>
    <t>Colonne14608</t>
  </si>
  <si>
    <t>Colonne14609</t>
  </si>
  <si>
    <t>Colonne14610</t>
  </si>
  <si>
    <t>Colonne14611</t>
  </si>
  <si>
    <t>Colonne14612</t>
  </si>
  <si>
    <t>Colonne14613</t>
  </si>
  <si>
    <t>Colonne14614</t>
  </si>
  <si>
    <t>Colonne14615</t>
  </si>
  <si>
    <t>Colonne14616</t>
  </si>
  <si>
    <t>Colonne14617</t>
  </si>
  <si>
    <t>Colonne14618</t>
  </si>
  <si>
    <t>Colonne14619</t>
  </si>
  <si>
    <t>Colonne14620</t>
  </si>
  <si>
    <t>Colonne14621</t>
  </si>
  <si>
    <t>Colonne14622</t>
  </si>
  <si>
    <t>Colonne14623</t>
  </si>
  <si>
    <t>Colonne14624</t>
  </si>
  <si>
    <t>Colonne14625</t>
  </si>
  <si>
    <t>Colonne14626</t>
  </si>
  <si>
    <t>Colonne14627</t>
  </si>
  <si>
    <t>Colonne14628</t>
  </si>
  <si>
    <t>Colonne14629</t>
  </si>
  <si>
    <t>Colonne14630</t>
  </si>
  <si>
    <t>Colonne14631</t>
  </si>
  <si>
    <t>Colonne14632</t>
  </si>
  <si>
    <t>Colonne14633</t>
  </si>
  <si>
    <t>Colonne14634</t>
  </si>
  <si>
    <t>Colonne14635</t>
  </si>
  <si>
    <t>Colonne14636</t>
  </si>
  <si>
    <t>Colonne14637</t>
  </si>
  <si>
    <t>Colonne14638</t>
  </si>
  <si>
    <t>Colonne14639</t>
  </si>
  <si>
    <t>Colonne14640</t>
  </si>
  <si>
    <t>Colonne14641</t>
  </si>
  <si>
    <t>Colonne14642</t>
  </si>
  <si>
    <t>Colonne14643</t>
  </si>
  <si>
    <t>Colonne14644</t>
  </si>
  <si>
    <t>Colonne14645</t>
  </si>
  <si>
    <t>Colonne14646</t>
  </si>
  <si>
    <t>Colonne14647</t>
  </si>
  <si>
    <t>Colonne14648</t>
  </si>
  <si>
    <t>Colonne14649</t>
  </si>
  <si>
    <t>Colonne14650</t>
  </si>
  <si>
    <t>Colonne14651</t>
  </si>
  <si>
    <t>Colonne14652</t>
  </si>
  <si>
    <t>Colonne14653</t>
  </si>
  <si>
    <t>Colonne14654</t>
  </si>
  <si>
    <t>Colonne14655</t>
  </si>
  <si>
    <t>Colonne14656</t>
  </si>
  <si>
    <t>Colonne14657</t>
  </si>
  <si>
    <t>Colonne14658</t>
  </si>
  <si>
    <t>Colonne14659</t>
  </si>
  <si>
    <t>Colonne14660</t>
  </si>
  <si>
    <t>Colonne14661</t>
  </si>
  <si>
    <t>Colonne14662</t>
  </si>
  <si>
    <t>Colonne14663</t>
  </si>
  <si>
    <t>Colonne14664</t>
  </si>
  <si>
    <t>Colonne14665</t>
  </si>
  <si>
    <t>Colonne14666</t>
  </si>
  <si>
    <t>Colonne14667</t>
  </si>
  <si>
    <t>Colonne14668</t>
  </si>
  <si>
    <t>Colonne14669</t>
  </si>
  <si>
    <t>Colonne14670</t>
  </si>
  <si>
    <t>Colonne14671</t>
  </si>
  <si>
    <t>Colonne14672</t>
  </si>
  <si>
    <t>Colonne14673</t>
  </si>
  <si>
    <t>Colonne14674</t>
  </si>
  <si>
    <t>Colonne14675</t>
  </si>
  <si>
    <t>Colonne14676</t>
  </si>
  <si>
    <t>Colonne14677</t>
  </si>
  <si>
    <t>Colonne14678</t>
  </si>
  <si>
    <t>Colonne14679</t>
  </si>
  <si>
    <t>Colonne14680</t>
  </si>
  <si>
    <t>Colonne14681</t>
  </si>
  <si>
    <t>Colonne14682</t>
  </si>
  <si>
    <t>Colonne14683</t>
  </si>
  <si>
    <t>Colonne14684</t>
  </si>
  <si>
    <t>Colonne14685</t>
  </si>
  <si>
    <t>Colonne14686</t>
  </si>
  <si>
    <t>Colonne14687</t>
  </si>
  <si>
    <t>Colonne14688</t>
  </si>
  <si>
    <t>Colonne14689</t>
  </si>
  <si>
    <t>Colonne14690</t>
  </si>
  <si>
    <t>Colonne14691</t>
  </si>
  <si>
    <t>Colonne14692</t>
  </si>
  <si>
    <t>Colonne14693</t>
  </si>
  <si>
    <t>Colonne14694</t>
  </si>
  <si>
    <t>Colonne14695</t>
  </si>
  <si>
    <t>Colonne14696</t>
  </si>
  <si>
    <t>Colonne14697</t>
  </si>
  <si>
    <t>Colonne14698</t>
  </si>
  <si>
    <t>Colonne14699</t>
  </si>
  <si>
    <t>Colonne14700</t>
  </si>
  <si>
    <t>Colonne14701</t>
  </si>
  <si>
    <t>Colonne14702</t>
  </si>
  <si>
    <t>Colonne14703</t>
  </si>
  <si>
    <t>Colonne14704</t>
  </si>
  <si>
    <t>Colonne14705</t>
  </si>
  <si>
    <t>Colonne14706</t>
  </si>
  <si>
    <t>Colonne14707</t>
  </si>
  <si>
    <t>Colonne14708</t>
  </si>
  <si>
    <t>Colonne14709</t>
  </si>
  <si>
    <t>Colonne14710</t>
  </si>
  <si>
    <t>Colonne14711</t>
  </si>
  <si>
    <t>Colonne14712</t>
  </si>
  <si>
    <t>Colonne14713</t>
  </si>
  <si>
    <t>Colonne14714</t>
  </si>
  <si>
    <t>Colonne14715</t>
  </si>
  <si>
    <t>Colonne14716</t>
  </si>
  <si>
    <t>Colonne14717</t>
  </si>
  <si>
    <t>Colonne14718</t>
  </si>
  <si>
    <t>Colonne14719</t>
  </si>
  <si>
    <t>Colonne14720</t>
  </si>
  <si>
    <t>Colonne14721</t>
  </si>
  <si>
    <t>Colonne14722</t>
  </si>
  <si>
    <t>Colonne14723</t>
  </si>
  <si>
    <t>Colonne14724</t>
  </si>
  <si>
    <t>Colonne14725</t>
  </si>
  <si>
    <t>Colonne14726</t>
  </si>
  <si>
    <t>Colonne14727</t>
  </si>
  <si>
    <t>Colonne14728</t>
  </si>
  <si>
    <t>Colonne14729</t>
  </si>
  <si>
    <t>Colonne14730</t>
  </si>
  <si>
    <t>Colonne14731</t>
  </si>
  <si>
    <t>Colonne14732</t>
  </si>
  <si>
    <t>Colonne14733</t>
  </si>
  <si>
    <t>Colonne14734</t>
  </si>
  <si>
    <t>Colonne14735</t>
  </si>
  <si>
    <t>Colonne14736</t>
  </si>
  <si>
    <t>Colonne14737</t>
  </si>
  <si>
    <t>Colonne14738</t>
  </si>
  <si>
    <t>Colonne14739</t>
  </si>
  <si>
    <t>Colonne14740</t>
  </si>
  <si>
    <t>Colonne14741</t>
  </si>
  <si>
    <t>Colonne14742</t>
  </si>
  <si>
    <t>Colonne14743</t>
  </si>
  <si>
    <t>Colonne14744</t>
  </si>
  <si>
    <t>Colonne14745</t>
  </si>
  <si>
    <t>Colonne14746</t>
  </si>
  <si>
    <t>Colonne14747</t>
  </si>
  <si>
    <t>Colonne14748</t>
  </si>
  <si>
    <t>Colonne14749</t>
  </si>
  <si>
    <t>Colonne14750</t>
  </si>
  <si>
    <t>Colonne14751</t>
  </si>
  <si>
    <t>Colonne14752</t>
  </si>
  <si>
    <t>Colonne14753</t>
  </si>
  <si>
    <t>Colonne14754</t>
  </si>
  <si>
    <t>Colonne14755</t>
  </si>
  <si>
    <t>Colonne14756</t>
  </si>
  <si>
    <t>Colonne14757</t>
  </si>
  <si>
    <t>Colonne14758</t>
  </si>
  <si>
    <t>Colonne14759</t>
  </si>
  <si>
    <t>Colonne14760</t>
  </si>
  <si>
    <t>Colonne14761</t>
  </si>
  <si>
    <t>Colonne14762</t>
  </si>
  <si>
    <t>Colonne14763</t>
  </si>
  <si>
    <t>Colonne14764</t>
  </si>
  <si>
    <t>Colonne14765</t>
  </si>
  <si>
    <t>Colonne14766</t>
  </si>
  <si>
    <t>Colonne14767</t>
  </si>
  <si>
    <t>Colonne14768</t>
  </si>
  <si>
    <t>Colonne14769</t>
  </si>
  <si>
    <t>Colonne14770</t>
  </si>
  <si>
    <t>Colonne14771</t>
  </si>
  <si>
    <t>Colonne14772</t>
  </si>
  <si>
    <t>Colonne14773</t>
  </si>
  <si>
    <t>Colonne14774</t>
  </si>
  <si>
    <t>Colonne14775</t>
  </si>
  <si>
    <t>Colonne14776</t>
  </si>
  <si>
    <t>Colonne14777</t>
  </si>
  <si>
    <t>Colonne14778</t>
  </si>
  <si>
    <t>Colonne14779</t>
  </si>
  <si>
    <t>Colonne14780</t>
  </si>
  <si>
    <t>Colonne14781</t>
  </si>
  <si>
    <t>Colonne14782</t>
  </si>
  <si>
    <t>Colonne14783</t>
  </si>
  <si>
    <t>Colonne14784</t>
  </si>
  <si>
    <t>Colonne14785</t>
  </si>
  <si>
    <t>Colonne14786</t>
  </si>
  <si>
    <t>Colonne14787</t>
  </si>
  <si>
    <t>Colonne14788</t>
  </si>
  <si>
    <t>Colonne14789</t>
  </si>
  <si>
    <t>Colonne14790</t>
  </si>
  <si>
    <t>Colonne14791</t>
  </si>
  <si>
    <t>Colonne14792</t>
  </si>
  <si>
    <t>Colonne14793</t>
  </si>
  <si>
    <t>Colonne14794</t>
  </si>
  <si>
    <t>Colonne14795</t>
  </si>
  <si>
    <t>Colonne14796</t>
  </si>
  <si>
    <t>Colonne14797</t>
  </si>
  <si>
    <t>Colonne14798</t>
  </si>
  <si>
    <t>Colonne14799</t>
  </si>
  <si>
    <t>Colonne14800</t>
  </si>
  <si>
    <t>Colonne14801</t>
  </si>
  <si>
    <t>Colonne14802</t>
  </si>
  <si>
    <t>Colonne14803</t>
  </si>
  <si>
    <t>Colonne14804</t>
  </si>
  <si>
    <t>Colonne14805</t>
  </si>
  <si>
    <t>Colonne14806</t>
  </si>
  <si>
    <t>Colonne14807</t>
  </si>
  <si>
    <t>Colonne14808</t>
  </si>
  <si>
    <t>Colonne14809</t>
  </si>
  <si>
    <t>Colonne14810</t>
  </si>
  <si>
    <t>Colonne14811</t>
  </si>
  <si>
    <t>Colonne14812</t>
  </si>
  <si>
    <t>Colonne14813</t>
  </si>
  <si>
    <t>Colonne14814</t>
  </si>
  <si>
    <t>Colonne14815</t>
  </si>
  <si>
    <t>Colonne14816</t>
  </si>
  <si>
    <t>Colonne14817</t>
  </si>
  <si>
    <t>Colonne14818</t>
  </si>
  <si>
    <t>Colonne14819</t>
  </si>
  <si>
    <t>Colonne14820</t>
  </si>
  <si>
    <t>Colonne14821</t>
  </si>
  <si>
    <t>Colonne14822</t>
  </si>
  <si>
    <t>Colonne14823</t>
  </si>
  <si>
    <t>Colonne14824</t>
  </si>
  <si>
    <t>Colonne14825</t>
  </si>
  <si>
    <t>Colonne14826</t>
  </si>
  <si>
    <t>Colonne14827</t>
  </si>
  <si>
    <t>Colonne14828</t>
  </si>
  <si>
    <t>Colonne14829</t>
  </si>
  <si>
    <t>Colonne14830</t>
  </si>
  <si>
    <t>Colonne14831</t>
  </si>
  <si>
    <t>Colonne14832</t>
  </si>
  <si>
    <t>Colonne14833</t>
  </si>
  <si>
    <t>Colonne14834</t>
  </si>
  <si>
    <t>Colonne14835</t>
  </si>
  <si>
    <t>Colonne14836</t>
  </si>
  <si>
    <t>Colonne14837</t>
  </si>
  <si>
    <t>Colonne14838</t>
  </si>
  <si>
    <t>Colonne14839</t>
  </si>
  <si>
    <t>Colonne14840</t>
  </si>
  <si>
    <t>Colonne14841</t>
  </si>
  <si>
    <t>Colonne14842</t>
  </si>
  <si>
    <t>Colonne14843</t>
  </si>
  <si>
    <t>Colonne14844</t>
  </si>
  <si>
    <t>Colonne14845</t>
  </si>
  <si>
    <t>Colonne14846</t>
  </si>
  <si>
    <t>Colonne14847</t>
  </si>
  <si>
    <t>Colonne14848</t>
  </si>
  <si>
    <t>Colonne14849</t>
  </si>
  <si>
    <t>Colonne14850</t>
  </si>
  <si>
    <t>Colonne14851</t>
  </si>
  <si>
    <t>Colonne14852</t>
  </si>
  <si>
    <t>Colonne14853</t>
  </si>
  <si>
    <t>Colonne14854</t>
  </si>
  <si>
    <t>Colonne14855</t>
  </si>
  <si>
    <t>Colonne14856</t>
  </si>
  <si>
    <t>Colonne14857</t>
  </si>
  <si>
    <t>Colonne14858</t>
  </si>
  <si>
    <t>Colonne14859</t>
  </si>
  <si>
    <t>Colonne14860</t>
  </si>
  <si>
    <t>Colonne14861</t>
  </si>
  <si>
    <t>Colonne14862</t>
  </si>
  <si>
    <t>Colonne14863</t>
  </si>
  <si>
    <t>Colonne14864</t>
  </si>
  <si>
    <t>Colonne14865</t>
  </si>
  <si>
    <t>Colonne14866</t>
  </si>
  <si>
    <t>Colonne14867</t>
  </si>
  <si>
    <t>Colonne14868</t>
  </si>
  <si>
    <t>Colonne14869</t>
  </si>
  <si>
    <t>Colonne14870</t>
  </si>
  <si>
    <t>Colonne14871</t>
  </si>
  <si>
    <t>Colonne14872</t>
  </si>
  <si>
    <t>Colonne14873</t>
  </si>
  <si>
    <t>Colonne14874</t>
  </si>
  <si>
    <t>Colonne14875</t>
  </si>
  <si>
    <t>Colonne14876</t>
  </si>
  <si>
    <t>Colonne14877</t>
  </si>
  <si>
    <t>Colonne14878</t>
  </si>
  <si>
    <t>Colonne14879</t>
  </si>
  <si>
    <t>Colonne14880</t>
  </si>
  <si>
    <t>Colonne14881</t>
  </si>
  <si>
    <t>Colonne14882</t>
  </si>
  <si>
    <t>Colonne14883</t>
  </si>
  <si>
    <t>Colonne14884</t>
  </si>
  <si>
    <t>Colonne14885</t>
  </si>
  <si>
    <t>Colonne14886</t>
  </si>
  <si>
    <t>Colonne14887</t>
  </si>
  <si>
    <t>Colonne14888</t>
  </si>
  <si>
    <t>Colonne14889</t>
  </si>
  <si>
    <t>Colonne14890</t>
  </si>
  <si>
    <t>Colonne14891</t>
  </si>
  <si>
    <t>Colonne14892</t>
  </si>
  <si>
    <t>Colonne14893</t>
  </si>
  <si>
    <t>Colonne14894</t>
  </si>
  <si>
    <t>Colonne14895</t>
  </si>
  <si>
    <t>Colonne14896</t>
  </si>
  <si>
    <t>Colonne14897</t>
  </si>
  <si>
    <t>Colonne14898</t>
  </si>
  <si>
    <t>Colonne14899</t>
  </si>
  <si>
    <t>Colonne14900</t>
  </si>
  <si>
    <t>Colonne14901</t>
  </si>
  <si>
    <t>Colonne14902</t>
  </si>
  <si>
    <t>Colonne14903</t>
  </si>
  <si>
    <t>Colonne14904</t>
  </si>
  <si>
    <t>Colonne14905</t>
  </si>
  <si>
    <t>Colonne14906</t>
  </si>
  <si>
    <t>Colonne14907</t>
  </si>
  <si>
    <t>Colonne14908</t>
  </si>
  <si>
    <t>Colonne14909</t>
  </si>
  <si>
    <t>Colonne14910</t>
  </si>
  <si>
    <t>Colonne14911</t>
  </si>
  <si>
    <t>Colonne14912</t>
  </si>
  <si>
    <t>Colonne14913</t>
  </si>
  <si>
    <t>Colonne14914</t>
  </si>
  <si>
    <t>Colonne14915</t>
  </si>
  <si>
    <t>Colonne14916</t>
  </si>
  <si>
    <t>Colonne14917</t>
  </si>
  <si>
    <t>Colonne14918</t>
  </si>
  <si>
    <t>Colonne14919</t>
  </si>
  <si>
    <t>Colonne14920</t>
  </si>
  <si>
    <t>Colonne14921</t>
  </si>
  <si>
    <t>Colonne14922</t>
  </si>
  <si>
    <t>Colonne14923</t>
  </si>
  <si>
    <t>Colonne14924</t>
  </si>
  <si>
    <t>Colonne14925</t>
  </si>
  <si>
    <t>Colonne14926</t>
  </si>
  <si>
    <t>Colonne14927</t>
  </si>
  <si>
    <t>Colonne14928</t>
  </si>
  <si>
    <t>Colonne14929</t>
  </si>
  <si>
    <t>Colonne14930</t>
  </si>
  <si>
    <t>Colonne14931</t>
  </si>
  <si>
    <t>Colonne14932</t>
  </si>
  <si>
    <t>Colonne14933</t>
  </si>
  <si>
    <t>Colonne14934</t>
  </si>
  <si>
    <t>Colonne14935</t>
  </si>
  <si>
    <t>Colonne14936</t>
  </si>
  <si>
    <t>Colonne14937</t>
  </si>
  <si>
    <t>Colonne14938</t>
  </si>
  <si>
    <t>Colonne14939</t>
  </si>
  <si>
    <t>Colonne14940</t>
  </si>
  <si>
    <t>Colonne14941</t>
  </si>
  <si>
    <t>Colonne14942</t>
  </si>
  <si>
    <t>Colonne14943</t>
  </si>
  <si>
    <t>Colonne14944</t>
  </si>
  <si>
    <t>Colonne14945</t>
  </si>
  <si>
    <t>Colonne14946</t>
  </si>
  <si>
    <t>Colonne14947</t>
  </si>
  <si>
    <t>Colonne14948</t>
  </si>
  <si>
    <t>Colonne14949</t>
  </si>
  <si>
    <t>Colonne14950</t>
  </si>
  <si>
    <t>Colonne14951</t>
  </si>
  <si>
    <t>Colonne14952</t>
  </si>
  <si>
    <t>Colonne14953</t>
  </si>
  <si>
    <t>Colonne14954</t>
  </si>
  <si>
    <t>Colonne14955</t>
  </si>
  <si>
    <t>Colonne14956</t>
  </si>
  <si>
    <t>Colonne14957</t>
  </si>
  <si>
    <t>Colonne14958</t>
  </si>
  <si>
    <t>Colonne14959</t>
  </si>
  <si>
    <t>Colonne14960</t>
  </si>
  <si>
    <t>Colonne14961</t>
  </si>
  <si>
    <t>Colonne14962</t>
  </si>
  <si>
    <t>Colonne14963</t>
  </si>
  <si>
    <t>Colonne14964</t>
  </si>
  <si>
    <t>Colonne14965</t>
  </si>
  <si>
    <t>Colonne14966</t>
  </si>
  <si>
    <t>Colonne14967</t>
  </si>
  <si>
    <t>Colonne14968</t>
  </si>
  <si>
    <t>Colonne14969</t>
  </si>
  <si>
    <t>Colonne14970</t>
  </si>
  <si>
    <t>Colonne14971</t>
  </si>
  <si>
    <t>Colonne14972</t>
  </si>
  <si>
    <t>Colonne14973</t>
  </si>
  <si>
    <t>Colonne14974</t>
  </si>
  <si>
    <t>Colonne14975</t>
  </si>
  <si>
    <t>Colonne14976</t>
  </si>
  <si>
    <t>Colonne14977</t>
  </si>
  <si>
    <t>Colonne14978</t>
  </si>
  <si>
    <t>Colonne14979</t>
  </si>
  <si>
    <t>Colonne14980</t>
  </si>
  <si>
    <t>Colonne14981</t>
  </si>
  <si>
    <t>Colonne14982</t>
  </si>
  <si>
    <t>Colonne14983</t>
  </si>
  <si>
    <t>Colonne14984</t>
  </si>
  <si>
    <t>Colonne14985</t>
  </si>
  <si>
    <t>Colonne14986</t>
  </si>
  <si>
    <t>Colonne14987</t>
  </si>
  <si>
    <t>Colonne14988</t>
  </si>
  <si>
    <t>Colonne14989</t>
  </si>
  <si>
    <t>Colonne14990</t>
  </si>
  <si>
    <t>Colonne14991</t>
  </si>
  <si>
    <t>Colonne14992</t>
  </si>
  <si>
    <t>Colonne14993</t>
  </si>
  <si>
    <t>Colonne14994</t>
  </si>
  <si>
    <t>Colonne14995</t>
  </si>
  <si>
    <t>Colonne14996</t>
  </si>
  <si>
    <t>Colonne14997</t>
  </si>
  <si>
    <t>Colonne14998</t>
  </si>
  <si>
    <t>Colonne14999</t>
  </si>
  <si>
    <t>Colonne15000</t>
  </si>
  <si>
    <t>Colonne15001</t>
  </si>
  <si>
    <t>Colonne15002</t>
  </si>
  <si>
    <t>Colonne15003</t>
  </si>
  <si>
    <t>Colonne15004</t>
  </si>
  <si>
    <t>Colonne15005</t>
  </si>
  <si>
    <t>Colonne15006</t>
  </si>
  <si>
    <t>Colonne15007</t>
  </si>
  <si>
    <t>Colonne15008</t>
  </si>
  <si>
    <t>Colonne15009</t>
  </si>
  <si>
    <t>Colonne15010</t>
  </si>
  <si>
    <t>Colonne15011</t>
  </si>
  <si>
    <t>Colonne15012</t>
  </si>
  <si>
    <t>Colonne15013</t>
  </si>
  <si>
    <t>Colonne15014</t>
  </si>
  <si>
    <t>Colonne15015</t>
  </si>
  <si>
    <t>Colonne15016</t>
  </si>
  <si>
    <t>Colonne15017</t>
  </si>
  <si>
    <t>Colonne15018</t>
  </si>
  <si>
    <t>Colonne15019</t>
  </si>
  <si>
    <t>Colonne15020</t>
  </si>
  <si>
    <t>Colonne15021</t>
  </si>
  <si>
    <t>Colonne15022</t>
  </si>
  <si>
    <t>Colonne15023</t>
  </si>
  <si>
    <t>Colonne15024</t>
  </si>
  <si>
    <t>Colonne15025</t>
  </si>
  <si>
    <t>Colonne15026</t>
  </si>
  <si>
    <t>Colonne15027</t>
  </si>
  <si>
    <t>Colonne15028</t>
  </si>
  <si>
    <t>Colonne15029</t>
  </si>
  <si>
    <t>Colonne15030</t>
  </si>
  <si>
    <t>Colonne15031</t>
  </si>
  <si>
    <t>Colonne15032</t>
  </si>
  <si>
    <t>Colonne15033</t>
  </si>
  <si>
    <t>Colonne15034</t>
  </si>
  <si>
    <t>Colonne15035</t>
  </si>
  <si>
    <t>Colonne15036</t>
  </si>
  <si>
    <t>Colonne15037</t>
  </si>
  <si>
    <t>Colonne15038</t>
  </si>
  <si>
    <t>Colonne15039</t>
  </si>
  <si>
    <t>Colonne15040</t>
  </si>
  <si>
    <t>Colonne15041</t>
  </si>
  <si>
    <t>Colonne15042</t>
  </si>
  <si>
    <t>Colonne15043</t>
  </si>
  <si>
    <t>Colonne15044</t>
  </si>
  <si>
    <t>Colonne15045</t>
  </si>
  <si>
    <t>Colonne15046</t>
  </si>
  <si>
    <t>Colonne15047</t>
  </si>
  <si>
    <t>Colonne15048</t>
  </si>
  <si>
    <t>Colonne15049</t>
  </si>
  <si>
    <t>Colonne15050</t>
  </si>
  <si>
    <t>Colonne15051</t>
  </si>
  <si>
    <t>Colonne15052</t>
  </si>
  <si>
    <t>Colonne15053</t>
  </si>
  <si>
    <t>Colonne15054</t>
  </si>
  <si>
    <t>Colonne15055</t>
  </si>
  <si>
    <t>Colonne15056</t>
  </si>
  <si>
    <t>Colonne15057</t>
  </si>
  <si>
    <t>Colonne15058</t>
  </si>
  <si>
    <t>Colonne15059</t>
  </si>
  <si>
    <t>Colonne15060</t>
  </si>
  <si>
    <t>Colonne15061</t>
  </si>
  <si>
    <t>Colonne15062</t>
  </si>
  <si>
    <t>Colonne15063</t>
  </si>
  <si>
    <t>Colonne15064</t>
  </si>
  <si>
    <t>Colonne15065</t>
  </si>
  <si>
    <t>Colonne15066</t>
  </si>
  <si>
    <t>Colonne15067</t>
  </si>
  <si>
    <t>Colonne15068</t>
  </si>
  <si>
    <t>Colonne15069</t>
  </si>
  <si>
    <t>Colonne15070</t>
  </si>
  <si>
    <t>Colonne15071</t>
  </si>
  <si>
    <t>Colonne15072</t>
  </si>
  <si>
    <t>Colonne15073</t>
  </si>
  <si>
    <t>Colonne15074</t>
  </si>
  <si>
    <t>Colonne15075</t>
  </si>
  <si>
    <t>Colonne15076</t>
  </si>
  <si>
    <t>Colonne15077</t>
  </si>
  <si>
    <t>Colonne15078</t>
  </si>
  <si>
    <t>Colonne15079</t>
  </si>
  <si>
    <t>Colonne15080</t>
  </si>
  <si>
    <t>Colonne15081</t>
  </si>
  <si>
    <t>Colonne15082</t>
  </si>
  <si>
    <t>Colonne15083</t>
  </si>
  <si>
    <t>Colonne15084</t>
  </si>
  <si>
    <t>Colonne15085</t>
  </si>
  <si>
    <t>Colonne15086</t>
  </si>
  <si>
    <t>Colonne15087</t>
  </si>
  <si>
    <t>Colonne15088</t>
  </si>
  <si>
    <t>Colonne15089</t>
  </si>
  <si>
    <t>Colonne15090</t>
  </si>
  <si>
    <t>Colonne15091</t>
  </si>
  <si>
    <t>Colonne15092</t>
  </si>
  <si>
    <t>Colonne15093</t>
  </si>
  <si>
    <t>Colonne15094</t>
  </si>
  <si>
    <t>Colonne15095</t>
  </si>
  <si>
    <t>Colonne15096</t>
  </si>
  <si>
    <t>Colonne15097</t>
  </si>
  <si>
    <t>Colonne15098</t>
  </si>
  <si>
    <t>Colonne15099</t>
  </si>
  <si>
    <t>Colonne15100</t>
  </si>
  <si>
    <t>Colonne15101</t>
  </si>
  <si>
    <t>Colonne15102</t>
  </si>
  <si>
    <t>Colonne15103</t>
  </si>
  <si>
    <t>Colonne15104</t>
  </si>
  <si>
    <t>Colonne15105</t>
  </si>
  <si>
    <t>Colonne15106</t>
  </si>
  <si>
    <t>Colonne15107</t>
  </si>
  <si>
    <t>Colonne15108</t>
  </si>
  <si>
    <t>Colonne15109</t>
  </si>
  <si>
    <t>Colonne15110</t>
  </si>
  <si>
    <t>Colonne15111</t>
  </si>
  <si>
    <t>Colonne15112</t>
  </si>
  <si>
    <t>Colonne15113</t>
  </si>
  <si>
    <t>Colonne15114</t>
  </si>
  <si>
    <t>Colonne15115</t>
  </si>
  <si>
    <t>Colonne15116</t>
  </si>
  <si>
    <t>Colonne15117</t>
  </si>
  <si>
    <t>Colonne15118</t>
  </si>
  <si>
    <t>Colonne15119</t>
  </si>
  <si>
    <t>Colonne15120</t>
  </si>
  <si>
    <t>Colonne15121</t>
  </si>
  <si>
    <t>Colonne15122</t>
  </si>
  <si>
    <t>Colonne15123</t>
  </si>
  <si>
    <t>Colonne15124</t>
  </si>
  <si>
    <t>Colonne15125</t>
  </si>
  <si>
    <t>Colonne15126</t>
  </si>
  <si>
    <t>Colonne15127</t>
  </si>
  <si>
    <t>Colonne15128</t>
  </si>
  <si>
    <t>Colonne15129</t>
  </si>
  <si>
    <t>Colonne15130</t>
  </si>
  <si>
    <t>Colonne15131</t>
  </si>
  <si>
    <t>Colonne15132</t>
  </si>
  <si>
    <t>Colonne15133</t>
  </si>
  <si>
    <t>Colonne15134</t>
  </si>
  <si>
    <t>Colonne15135</t>
  </si>
  <si>
    <t>Colonne15136</t>
  </si>
  <si>
    <t>Colonne15137</t>
  </si>
  <si>
    <t>Colonne15138</t>
  </si>
  <si>
    <t>Colonne15139</t>
  </si>
  <si>
    <t>Colonne15140</t>
  </si>
  <si>
    <t>Colonne15141</t>
  </si>
  <si>
    <t>Colonne15142</t>
  </si>
  <si>
    <t>Colonne15143</t>
  </si>
  <si>
    <t>Colonne15144</t>
  </si>
  <si>
    <t>Colonne15145</t>
  </si>
  <si>
    <t>Colonne15146</t>
  </si>
  <si>
    <t>Colonne15147</t>
  </si>
  <si>
    <t>Colonne15148</t>
  </si>
  <si>
    <t>Colonne15149</t>
  </si>
  <si>
    <t>Colonne15150</t>
  </si>
  <si>
    <t>Colonne15151</t>
  </si>
  <si>
    <t>Colonne15152</t>
  </si>
  <si>
    <t>Colonne15153</t>
  </si>
  <si>
    <t>Colonne15154</t>
  </si>
  <si>
    <t>Colonne15155</t>
  </si>
  <si>
    <t>Colonne15156</t>
  </si>
  <si>
    <t>Colonne15157</t>
  </si>
  <si>
    <t>Colonne15158</t>
  </si>
  <si>
    <t>Colonne15159</t>
  </si>
  <si>
    <t>Colonne15160</t>
  </si>
  <si>
    <t>Colonne15161</t>
  </si>
  <si>
    <t>Colonne15162</t>
  </si>
  <si>
    <t>Colonne15163</t>
  </si>
  <si>
    <t>Colonne15164</t>
  </si>
  <si>
    <t>Colonne15165</t>
  </si>
  <si>
    <t>Colonne15166</t>
  </si>
  <si>
    <t>Colonne15167</t>
  </si>
  <si>
    <t>Colonne15168</t>
  </si>
  <si>
    <t>Colonne15169</t>
  </si>
  <si>
    <t>Colonne15170</t>
  </si>
  <si>
    <t>Colonne15171</t>
  </si>
  <si>
    <t>Colonne15172</t>
  </si>
  <si>
    <t>Colonne15173</t>
  </si>
  <si>
    <t>Colonne15174</t>
  </si>
  <si>
    <t>Colonne15175</t>
  </si>
  <si>
    <t>Colonne15176</t>
  </si>
  <si>
    <t>Colonne15177</t>
  </si>
  <si>
    <t>Colonne15178</t>
  </si>
  <si>
    <t>Colonne15179</t>
  </si>
  <si>
    <t>Colonne15180</t>
  </si>
  <si>
    <t>Colonne15181</t>
  </si>
  <si>
    <t>Colonne15182</t>
  </si>
  <si>
    <t>Colonne15183</t>
  </si>
  <si>
    <t>Colonne15184</t>
  </si>
  <si>
    <t>Colonne15185</t>
  </si>
  <si>
    <t>Colonne15186</t>
  </si>
  <si>
    <t>Colonne15187</t>
  </si>
  <si>
    <t>Colonne15188</t>
  </si>
  <si>
    <t>Colonne15189</t>
  </si>
  <si>
    <t>Colonne15190</t>
  </si>
  <si>
    <t>Colonne15191</t>
  </si>
  <si>
    <t>Colonne15192</t>
  </si>
  <si>
    <t>Colonne15193</t>
  </si>
  <si>
    <t>Colonne15194</t>
  </si>
  <si>
    <t>Colonne15195</t>
  </si>
  <si>
    <t>Colonne15196</t>
  </si>
  <si>
    <t>Colonne15197</t>
  </si>
  <si>
    <t>Colonne15198</t>
  </si>
  <si>
    <t>Colonne15199</t>
  </si>
  <si>
    <t>Colonne15200</t>
  </si>
  <si>
    <t>Colonne15201</t>
  </si>
  <si>
    <t>Colonne15202</t>
  </si>
  <si>
    <t>Colonne15203</t>
  </si>
  <si>
    <t>Colonne15204</t>
  </si>
  <si>
    <t>Colonne15205</t>
  </si>
  <si>
    <t>Colonne15206</t>
  </si>
  <si>
    <t>Colonne15207</t>
  </si>
  <si>
    <t>Colonne15208</t>
  </si>
  <si>
    <t>Colonne15209</t>
  </si>
  <si>
    <t>Colonne15210</t>
  </si>
  <si>
    <t>Colonne15211</t>
  </si>
  <si>
    <t>Colonne15212</t>
  </si>
  <si>
    <t>Colonne15213</t>
  </si>
  <si>
    <t>Colonne15214</t>
  </si>
  <si>
    <t>Colonne15215</t>
  </si>
  <si>
    <t>Colonne15216</t>
  </si>
  <si>
    <t>Colonne15217</t>
  </si>
  <si>
    <t>Colonne15218</t>
  </si>
  <si>
    <t>Colonne15219</t>
  </si>
  <si>
    <t>Colonne15220</t>
  </si>
  <si>
    <t>Colonne15221</t>
  </si>
  <si>
    <t>Colonne15222</t>
  </si>
  <si>
    <t>Colonne15223</t>
  </si>
  <si>
    <t>Colonne15224</t>
  </si>
  <si>
    <t>Colonne15225</t>
  </si>
  <si>
    <t>Colonne15226</t>
  </si>
  <si>
    <t>Colonne15227</t>
  </si>
  <si>
    <t>Colonne15228</t>
  </si>
  <si>
    <t>Colonne15229</t>
  </si>
  <si>
    <t>Colonne15230</t>
  </si>
  <si>
    <t>Colonne15231</t>
  </si>
  <si>
    <t>Colonne15232</t>
  </si>
  <si>
    <t>Colonne15233</t>
  </si>
  <si>
    <t>Colonne15234</t>
  </si>
  <si>
    <t>Colonne15235</t>
  </si>
  <si>
    <t>Colonne15236</t>
  </si>
  <si>
    <t>Colonne15237</t>
  </si>
  <si>
    <t>Colonne15238</t>
  </si>
  <si>
    <t>Colonne15239</t>
  </si>
  <si>
    <t>Colonne15240</t>
  </si>
  <si>
    <t>Colonne15241</t>
  </si>
  <si>
    <t>Colonne15242</t>
  </si>
  <si>
    <t>Colonne15243</t>
  </si>
  <si>
    <t>Colonne15244</t>
  </si>
  <si>
    <t>Colonne15245</t>
  </si>
  <si>
    <t>Colonne15246</t>
  </si>
  <si>
    <t>Colonne15247</t>
  </si>
  <si>
    <t>Colonne15248</t>
  </si>
  <si>
    <t>Colonne15249</t>
  </si>
  <si>
    <t>Colonne15250</t>
  </si>
  <si>
    <t>Colonne15251</t>
  </si>
  <si>
    <t>Colonne15252</t>
  </si>
  <si>
    <t>Colonne15253</t>
  </si>
  <si>
    <t>Colonne15254</t>
  </si>
  <si>
    <t>Colonne15255</t>
  </si>
  <si>
    <t>Colonne15256</t>
  </si>
  <si>
    <t>Colonne15257</t>
  </si>
  <si>
    <t>Colonne15258</t>
  </si>
  <si>
    <t>Colonne15259</t>
  </si>
  <si>
    <t>Colonne15260</t>
  </si>
  <si>
    <t>Colonne15261</t>
  </si>
  <si>
    <t>Colonne15262</t>
  </si>
  <si>
    <t>Colonne15263</t>
  </si>
  <si>
    <t>Colonne15264</t>
  </si>
  <si>
    <t>Colonne15265</t>
  </si>
  <si>
    <t>Colonne15266</t>
  </si>
  <si>
    <t>Colonne15267</t>
  </si>
  <si>
    <t>Colonne15268</t>
  </si>
  <si>
    <t>Colonne15269</t>
  </si>
  <si>
    <t>Colonne15270</t>
  </si>
  <si>
    <t>Colonne15271</t>
  </si>
  <si>
    <t>Colonne15272</t>
  </si>
  <si>
    <t>Colonne15273</t>
  </si>
  <si>
    <t>Colonne15274</t>
  </si>
  <si>
    <t>Colonne15275</t>
  </si>
  <si>
    <t>Colonne15276</t>
  </si>
  <si>
    <t>Colonne15277</t>
  </si>
  <si>
    <t>Colonne15278</t>
  </si>
  <si>
    <t>Colonne15279</t>
  </si>
  <si>
    <t>Colonne15280</t>
  </si>
  <si>
    <t>Colonne15281</t>
  </si>
  <si>
    <t>Colonne15282</t>
  </si>
  <si>
    <t>Colonne15283</t>
  </si>
  <si>
    <t>Colonne15284</t>
  </si>
  <si>
    <t>Colonne15285</t>
  </si>
  <si>
    <t>Colonne15286</t>
  </si>
  <si>
    <t>Colonne15287</t>
  </si>
  <si>
    <t>Colonne15288</t>
  </si>
  <si>
    <t>Colonne15289</t>
  </si>
  <si>
    <t>Colonne15290</t>
  </si>
  <si>
    <t>Colonne15291</t>
  </si>
  <si>
    <t>Colonne15292</t>
  </si>
  <si>
    <t>Colonne15293</t>
  </si>
  <si>
    <t>Colonne15294</t>
  </si>
  <si>
    <t>Colonne15295</t>
  </si>
  <si>
    <t>Colonne15296</t>
  </si>
  <si>
    <t>Colonne15297</t>
  </si>
  <si>
    <t>Colonne15298</t>
  </si>
  <si>
    <t>Colonne15299</t>
  </si>
  <si>
    <t>Colonne15300</t>
  </si>
  <si>
    <t>Colonne15301</t>
  </si>
  <si>
    <t>Colonne15302</t>
  </si>
  <si>
    <t>Colonne15303</t>
  </si>
  <si>
    <t>Colonne15304</t>
  </si>
  <si>
    <t>Colonne15305</t>
  </si>
  <si>
    <t>Colonne15306</t>
  </si>
  <si>
    <t>Colonne15307</t>
  </si>
  <si>
    <t>Colonne15308</t>
  </si>
  <si>
    <t>Colonne15309</t>
  </si>
  <si>
    <t>Colonne15310</t>
  </si>
  <si>
    <t>Colonne15311</t>
  </si>
  <si>
    <t>Colonne15312</t>
  </si>
  <si>
    <t>Colonne15313</t>
  </si>
  <si>
    <t>Colonne15314</t>
  </si>
  <si>
    <t>Colonne15315</t>
  </si>
  <si>
    <t>Colonne15316</t>
  </si>
  <si>
    <t>Colonne15317</t>
  </si>
  <si>
    <t>Colonne15318</t>
  </si>
  <si>
    <t>Colonne15319</t>
  </si>
  <si>
    <t>Colonne15320</t>
  </si>
  <si>
    <t>Colonne15321</t>
  </si>
  <si>
    <t>Colonne15322</t>
  </si>
  <si>
    <t>Colonne15323</t>
  </si>
  <si>
    <t>Colonne15324</t>
  </si>
  <si>
    <t>Colonne15325</t>
  </si>
  <si>
    <t>Colonne15326</t>
  </si>
  <si>
    <t>Colonne15327</t>
  </si>
  <si>
    <t>Colonne15328</t>
  </si>
  <si>
    <t>Colonne15329</t>
  </si>
  <si>
    <t>Colonne15330</t>
  </si>
  <si>
    <t>Colonne15331</t>
  </si>
  <si>
    <t>Colonne15332</t>
  </si>
  <si>
    <t>Colonne15333</t>
  </si>
  <si>
    <t>Colonne15334</t>
  </si>
  <si>
    <t>Colonne15335</t>
  </si>
  <si>
    <t>Colonne15336</t>
  </si>
  <si>
    <t>Colonne15337</t>
  </si>
  <si>
    <t>Colonne15338</t>
  </si>
  <si>
    <t>Colonne15339</t>
  </si>
  <si>
    <t>Colonne15340</t>
  </si>
  <si>
    <t>Colonne15341</t>
  </si>
  <si>
    <t>Colonne15342</t>
  </si>
  <si>
    <t>Colonne15343</t>
  </si>
  <si>
    <t>Colonne15344</t>
  </si>
  <si>
    <t>Colonne15345</t>
  </si>
  <si>
    <t>Colonne15346</t>
  </si>
  <si>
    <t>Colonne15347</t>
  </si>
  <si>
    <t>Colonne15348</t>
  </si>
  <si>
    <t>Colonne15349</t>
  </si>
  <si>
    <t>Colonne15350</t>
  </si>
  <si>
    <t>Colonne15351</t>
  </si>
  <si>
    <t>Colonne15352</t>
  </si>
  <si>
    <t>Colonne15353</t>
  </si>
  <si>
    <t>Colonne15354</t>
  </si>
  <si>
    <t>Colonne15355</t>
  </si>
  <si>
    <t>Colonne15356</t>
  </si>
  <si>
    <t>Colonne15357</t>
  </si>
  <si>
    <t>Colonne15358</t>
  </si>
  <si>
    <t>Colonne15359</t>
  </si>
  <si>
    <t>Colonne15360</t>
  </si>
  <si>
    <t>Colonne15361</t>
  </si>
  <si>
    <t>Colonne15362</t>
  </si>
  <si>
    <t>Colonne15363</t>
  </si>
  <si>
    <t>Colonne15364</t>
  </si>
  <si>
    <t>Colonne15365</t>
  </si>
  <si>
    <t>Colonne15366</t>
  </si>
  <si>
    <t>Colonne15367</t>
  </si>
  <si>
    <t>Colonne15368</t>
  </si>
  <si>
    <t>Colonne15369</t>
  </si>
  <si>
    <t>Colonne15370</t>
  </si>
  <si>
    <t>Colonne15371</t>
  </si>
  <si>
    <t>Colonne15372</t>
  </si>
  <si>
    <t>Colonne15373</t>
  </si>
  <si>
    <t>Colonne15374</t>
  </si>
  <si>
    <t>Colonne15375</t>
  </si>
  <si>
    <t>Colonne15376</t>
  </si>
  <si>
    <t>Colonne15377</t>
  </si>
  <si>
    <t>Colonne15378</t>
  </si>
  <si>
    <t>Colonne15379</t>
  </si>
  <si>
    <t>Colonne15380</t>
  </si>
  <si>
    <t>Colonne15381</t>
  </si>
  <si>
    <t>Colonne15382</t>
  </si>
  <si>
    <t>Colonne15383</t>
  </si>
  <si>
    <t>Colonne15384</t>
  </si>
  <si>
    <t>Colonne15385</t>
  </si>
  <si>
    <t>Colonne15386</t>
  </si>
  <si>
    <t>Colonne15387</t>
  </si>
  <si>
    <t>Colonne15388</t>
  </si>
  <si>
    <t>Colonne15389</t>
  </si>
  <si>
    <t>Colonne15390</t>
  </si>
  <si>
    <t>Colonne15391</t>
  </si>
  <si>
    <t>Colonne15392</t>
  </si>
  <si>
    <t>Colonne15393</t>
  </si>
  <si>
    <t>Colonne15394</t>
  </si>
  <si>
    <t>Colonne15395</t>
  </si>
  <si>
    <t>Colonne15396</t>
  </si>
  <si>
    <t>Colonne15397</t>
  </si>
  <si>
    <t>Colonne15398</t>
  </si>
  <si>
    <t>Colonne15399</t>
  </si>
  <si>
    <t>Colonne15400</t>
  </si>
  <si>
    <t>Colonne15401</t>
  </si>
  <si>
    <t>Colonne15402</t>
  </si>
  <si>
    <t>Colonne15403</t>
  </si>
  <si>
    <t>Colonne15404</t>
  </si>
  <si>
    <t>Colonne15405</t>
  </si>
  <si>
    <t>Colonne15406</t>
  </si>
  <si>
    <t>Colonne15407</t>
  </si>
  <si>
    <t>Colonne15408</t>
  </si>
  <si>
    <t>Colonne15409</t>
  </si>
  <si>
    <t>Colonne15410</t>
  </si>
  <si>
    <t>Colonne15411</t>
  </si>
  <si>
    <t>Colonne15412</t>
  </si>
  <si>
    <t>Colonne15413</t>
  </si>
  <si>
    <t>Colonne15414</t>
  </si>
  <si>
    <t>Colonne15415</t>
  </si>
  <si>
    <t>Colonne15416</t>
  </si>
  <si>
    <t>Colonne15417</t>
  </si>
  <si>
    <t>Colonne15418</t>
  </si>
  <si>
    <t>Colonne15419</t>
  </si>
  <si>
    <t>Colonne15420</t>
  </si>
  <si>
    <t>Colonne15421</t>
  </si>
  <si>
    <t>Colonne15422</t>
  </si>
  <si>
    <t>Colonne15423</t>
  </si>
  <si>
    <t>Colonne15424</t>
  </si>
  <si>
    <t>Colonne15425</t>
  </si>
  <si>
    <t>Colonne15426</t>
  </si>
  <si>
    <t>Colonne15427</t>
  </si>
  <si>
    <t>Colonne15428</t>
  </si>
  <si>
    <t>Colonne15429</t>
  </si>
  <si>
    <t>Colonne15430</t>
  </si>
  <si>
    <t>Colonne15431</t>
  </si>
  <si>
    <t>Colonne15432</t>
  </si>
  <si>
    <t>Colonne15433</t>
  </si>
  <si>
    <t>Colonne15434</t>
  </si>
  <si>
    <t>Colonne15435</t>
  </si>
  <si>
    <t>Colonne15436</t>
  </si>
  <si>
    <t>Colonne15437</t>
  </si>
  <si>
    <t>Colonne15438</t>
  </si>
  <si>
    <t>Colonne15439</t>
  </si>
  <si>
    <t>Colonne15440</t>
  </si>
  <si>
    <t>Colonne15441</t>
  </si>
  <si>
    <t>Colonne15442</t>
  </si>
  <si>
    <t>Colonne15443</t>
  </si>
  <si>
    <t>Colonne15444</t>
  </si>
  <si>
    <t>Colonne15445</t>
  </si>
  <si>
    <t>Colonne15446</t>
  </si>
  <si>
    <t>Colonne15447</t>
  </si>
  <si>
    <t>Colonne15448</t>
  </si>
  <si>
    <t>Colonne15449</t>
  </si>
  <si>
    <t>Colonne15450</t>
  </si>
  <si>
    <t>Colonne15451</t>
  </si>
  <si>
    <t>Colonne15452</t>
  </si>
  <si>
    <t>Colonne15453</t>
  </si>
  <si>
    <t>Colonne15454</t>
  </si>
  <si>
    <t>Colonne15455</t>
  </si>
  <si>
    <t>Colonne15456</t>
  </si>
  <si>
    <t>Colonne15457</t>
  </si>
  <si>
    <t>Colonne15458</t>
  </si>
  <si>
    <t>Colonne15459</t>
  </si>
  <si>
    <t>Colonne15460</t>
  </si>
  <si>
    <t>Colonne15461</t>
  </si>
  <si>
    <t>Colonne15462</t>
  </si>
  <si>
    <t>Colonne15463</t>
  </si>
  <si>
    <t>Colonne15464</t>
  </si>
  <si>
    <t>Colonne15465</t>
  </si>
  <si>
    <t>Colonne15466</t>
  </si>
  <si>
    <t>Colonne15467</t>
  </si>
  <si>
    <t>Colonne15468</t>
  </si>
  <si>
    <t>Colonne15469</t>
  </si>
  <si>
    <t>Colonne15470</t>
  </si>
  <si>
    <t>Colonne15471</t>
  </si>
  <si>
    <t>Colonne15472</t>
  </si>
  <si>
    <t>Colonne15473</t>
  </si>
  <si>
    <t>Colonne15474</t>
  </si>
  <si>
    <t>Colonne15475</t>
  </si>
  <si>
    <t>Colonne15476</t>
  </si>
  <si>
    <t>Colonne15477</t>
  </si>
  <si>
    <t>Colonne15478</t>
  </si>
  <si>
    <t>Colonne15479</t>
  </si>
  <si>
    <t>Colonne15480</t>
  </si>
  <si>
    <t>Colonne15481</t>
  </si>
  <si>
    <t>Colonne15482</t>
  </si>
  <si>
    <t>Colonne15483</t>
  </si>
  <si>
    <t>Colonne15484</t>
  </si>
  <si>
    <t>Colonne15485</t>
  </si>
  <si>
    <t>Colonne15486</t>
  </si>
  <si>
    <t>Colonne15487</t>
  </si>
  <si>
    <t>Colonne15488</t>
  </si>
  <si>
    <t>Colonne15489</t>
  </si>
  <si>
    <t>Colonne15490</t>
  </si>
  <si>
    <t>Colonne15491</t>
  </si>
  <si>
    <t>Colonne15492</t>
  </si>
  <si>
    <t>Colonne15493</t>
  </si>
  <si>
    <t>Colonne15494</t>
  </si>
  <si>
    <t>Colonne15495</t>
  </si>
  <si>
    <t>Colonne15496</t>
  </si>
  <si>
    <t>Colonne15497</t>
  </si>
  <si>
    <t>Colonne15498</t>
  </si>
  <si>
    <t>Colonne15499</t>
  </si>
  <si>
    <t>Colonne15500</t>
  </si>
  <si>
    <t>Colonne15501</t>
  </si>
  <si>
    <t>Colonne15502</t>
  </si>
  <si>
    <t>Colonne15503</t>
  </si>
  <si>
    <t>Colonne15504</t>
  </si>
  <si>
    <t>Colonne15505</t>
  </si>
  <si>
    <t>Colonne15506</t>
  </si>
  <si>
    <t>Colonne15507</t>
  </si>
  <si>
    <t>Colonne15508</t>
  </si>
  <si>
    <t>Colonne15509</t>
  </si>
  <si>
    <t>Colonne15510</t>
  </si>
  <si>
    <t>Colonne15511</t>
  </si>
  <si>
    <t>Colonne15512</t>
  </si>
  <si>
    <t>Colonne15513</t>
  </si>
  <si>
    <t>Colonne15514</t>
  </si>
  <si>
    <t>Colonne15515</t>
  </si>
  <si>
    <t>Colonne15516</t>
  </si>
  <si>
    <t>Colonne15517</t>
  </si>
  <si>
    <t>Colonne15518</t>
  </si>
  <si>
    <t>Colonne15519</t>
  </si>
  <si>
    <t>Colonne15520</t>
  </si>
  <si>
    <t>Colonne15521</t>
  </si>
  <si>
    <t>Colonne15522</t>
  </si>
  <si>
    <t>Colonne15523</t>
  </si>
  <si>
    <t>Colonne15524</t>
  </si>
  <si>
    <t>Colonne15525</t>
  </si>
  <si>
    <t>Colonne15526</t>
  </si>
  <si>
    <t>Colonne15527</t>
  </si>
  <si>
    <t>Colonne15528</t>
  </si>
  <si>
    <t>Colonne15529</t>
  </si>
  <si>
    <t>Colonne15530</t>
  </si>
  <si>
    <t>Colonne15531</t>
  </si>
  <si>
    <t>Colonne15532</t>
  </si>
  <si>
    <t>Colonne15533</t>
  </si>
  <si>
    <t>Colonne15534</t>
  </si>
  <si>
    <t>Colonne15535</t>
  </si>
  <si>
    <t>Colonne15536</t>
  </si>
  <si>
    <t>Colonne15537</t>
  </si>
  <si>
    <t>Colonne15538</t>
  </si>
  <si>
    <t>Colonne15539</t>
  </si>
  <si>
    <t>Colonne15540</t>
  </si>
  <si>
    <t>Colonne15541</t>
  </si>
  <si>
    <t>Colonne15542</t>
  </si>
  <si>
    <t>Colonne15543</t>
  </si>
  <si>
    <t>Colonne15544</t>
  </si>
  <si>
    <t>Colonne15545</t>
  </si>
  <si>
    <t>Colonne15546</t>
  </si>
  <si>
    <t>Colonne15547</t>
  </si>
  <si>
    <t>Colonne15548</t>
  </si>
  <si>
    <t>Colonne15549</t>
  </si>
  <si>
    <t>Colonne15550</t>
  </si>
  <si>
    <t>Colonne15551</t>
  </si>
  <si>
    <t>Colonne15552</t>
  </si>
  <si>
    <t>Colonne15553</t>
  </si>
  <si>
    <t>Colonne15554</t>
  </si>
  <si>
    <t>Colonne15555</t>
  </si>
  <si>
    <t>Colonne15556</t>
  </si>
  <si>
    <t>Colonne15557</t>
  </si>
  <si>
    <t>Colonne15558</t>
  </si>
  <si>
    <t>Colonne15559</t>
  </si>
  <si>
    <t>Colonne15560</t>
  </si>
  <si>
    <t>Colonne15561</t>
  </si>
  <si>
    <t>Colonne15562</t>
  </si>
  <si>
    <t>Colonne15563</t>
  </si>
  <si>
    <t>Colonne15564</t>
  </si>
  <si>
    <t>Colonne15565</t>
  </si>
  <si>
    <t>Colonne15566</t>
  </si>
  <si>
    <t>Colonne15567</t>
  </si>
  <si>
    <t>Colonne15568</t>
  </si>
  <si>
    <t>Colonne15569</t>
  </si>
  <si>
    <t>Colonne15570</t>
  </si>
  <si>
    <t>Colonne15571</t>
  </si>
  <si>
    <t>Colonne15572</t>
  </si>
  <si>
    <t>Colonne15573</t>
  </si>
  <si>
    <t>Colonne15574</t>
  </si>
  <si>
    <t>Colonne15575</t>
  </si>
  <si>
    <t>Colonne15576</t>
  </si>
  <si>
    <t>Colonne15577</t>
  </si>
  <si>
    <t>Colonne15578</t>
  </si>
  <si>
    <t>Colonne15579</t>
  </si>
  <si>
    <t>Colonne15580</t>
  </si>
  <si>
    <t>Colonne15581</t>
  </si>
  <si>
    <t>Colonne15582</t>
  </si>
  <si>
    <t>Colonne15583</t>
  </si>
  <si>
    <t>Colonne15584</t>
  </si>
  <si>
    <t>Colonne15585</t>
  </si>
  <si>
    <t>Colonne15586</t>
  </si>
  <si>
    <t>Colonne15587</t>
  </si>
  <si>
    <t>Colonne15588</t>
  </si>
  <si>
    <t>Colonne15589</t>
  </si>
  <si>
    <t>Colonne15590</t>
  </si>
  <si>
    <t>Colonne15591</t>
  </si>
  <si>
    <t>Colonne15592</t>
  </si>
  <si>
    <t>Colonne15593</t>
  </si>
  <si>
    <t>Colonne15594</t>
  </si>
  <si>
    <t>Colonne15595</t>
  </si>
  <si>
    <t>Colonne15596</t>
  </si>
  <si>
    <t>Colonne15597</t>
  </si>
  <si>
    <t>Colonne15598</t>
  </si>
  <si>
    <t>Colonne15599</t>
  </si>
  <si>
    <t>Colonne15600</t>
  </si>
  <si>
    <t>Colonne15601</t>
  </si>
  <si>
    <t>Colonne15602</t>
  </si>
  <si>
    <t>Colonne15603</t>
  </si>
  <si>
    <t>Colonne15604</t>
  </si>
  <si>
    <t>Colonne15605</t>
  </si>
  <si>
    <t>Colonne15606</t>
  </si>
  <si>
    <t>Colonne15607</t>
  </si>
  <si>
    <t>Colonne15608</t>
  </si>
  <si>
    <t>Colonne15609</t>
  </si>
  <si>
    <t>Colonne15610</t>
  </si>
  <si>
    <t>Colonne15611</t>
  </si>
  <si>
    <t>Colonne15612</t>
  </si>
  <si>
    <t>Colonne15613</t>
  </si>
  <si>
    <t>Colonne15614</t>
  </si>
  <si>
    <t>Colonne15615</t>
  </si>
  <si>
    <t>Colonne15616</t>
  </si>
  <si>
    <t>Colonne15617</t>
  </si>
  <si>
    <t>Colonne15618</t>
  </si>
  <si>
    <t>Colonne15619</t>
  </si>
  <si>
    <t>Colonne15620</t>
  </si>
  <si>
    <t>Colonne15621</t>
  </si>
  <si>
    <t>Colonne15622</t>
  </si>
  <si>
    <t>Colonne15623</t>
  </si>
  <si>
    <t>Colonne15624</t>
  </si>
  <si>
    <t>Colonne15625</t>
  </si>
  <si>
    <t>Colonne15626</t>
  </si>
  <si>
    <t>Colonne15627</t>
  </si>
  <si>
    <t>Colonne15628</t>
  </si>
  <si>
    <t>Colonne15629</t>
  </si>
  <si>
    <t>Colonne15630</t>
  </si>
  <si>
    <t>Colonne15631</t>
  </si>
  <si>
    <t>Colonne15632</t>
  </si>
  <si>
    <t>Colonne15633</t>
  </si>
  <si>
    <t>Colonne15634</t>
  </si>
  <si>
    <t>Colonne15635</t>
  </si>
  <si>
    <t>Colonne15636</t>
  </si>
  <si>
    <t>Colonne15637</t>
  </si>
  <si>
    <t>Colonne15638</t>
  </si>
  <si>
    <t>Colonne15639</t>
  </si>
  <si>
    <t>Colonne15640</t>
  </si>
  <si>
    <t>Colonne15641</t>
  </si>
  <si>
    <t>Colonne15642</t>
  </si>
  <si>
    <t>Colonne15643</t>
  </si>
  <si>
    <t>Colonne15644</t>
  </si>
  <si>
    <t>Colonne15645</t>
  </si>
  <si>
    <t>Colonne15646</t>
  </si>
  <si>
    <t>Colonne15647</t>
  </si>
  <si>
    <t>Colonne15648</t>
  </si>
  <si>
    <t>Colonne15649</t>
  </si>
  <si>
    <t>Colonne15650</t>
  </si>
  <si>
    <t>Colonne15651</t>
  </si>
  <si>
    <t>Colonne15652</t>
  </si>
  <si>
    <t>Colonne15653</t>
  </si>
  <si>
    <t>Colonne15654</t>
  </si>
  <si>
    <t>Colonne15655</t>
  </si>
  <si>
    <t>Colonne15656</t>
  </si>
  <si>
    <t>Colonne15657</t>
  </si>
  <si>
    <t>Colonne15658</t>
  </si>
  <si>
    <t>Colonne15659</t>
  </si>
  <si>
    <t>Colonne15660</t>
  </si>
  <si>
    <t>Colonne15661</t>
  </si>
  <si>
    <t>Colonne15662</t>
  </si>
  <si>
    <t>Colonne15663</t>
  </si>
  <si>
    <t>Colonne15664</t>
  </si>
  <si>
    <t>Colonne15665</t>
  </si>
  <si>
    <t>Colonne15666</t>
  </si>
  <si>
    <t>Colonne15667</t>
  </si>
  <si>
    <t>Colonne15668</t>
  </si>
  <si>
    <t>Colonne15669</t>
  </si>
  <si>
    <t>Colonne15670</t>
  </si>
  <si>
    <t>Colonne15671</t>
  </si>
  <si>
    <t>Colonne15672</t>
  </si>
  <si>
    <t>Colonne15673</t>
  </si>
  <si>
    <t>Colonne15674</t>
  </si>
  <si>
    <t>Colonne15675</t>
  </si>
  <si>
    <t>Colonne15676</t>
  </si>
  <si>
    <t>Colonne15677</t>
  </si>
  <si>
    <t>Colonne15678</t>
  </si>
  <si>
    <t>Colonne15679</t>
  </si>
  <si>
    <t>Colonne15680</t>
  </si>
  <si>
    <t>Colonne15681</t>
  </si>
  <si>
    <t>Colonne15682</t>
  </si>
  <si>
    <t>Colonne15683</t>
  </si>
  <si>
    <t>Colonne15684</t>
  </si>
  <si>
    <t>Colonne15685</t>
  </si>
  <si>
    <t>Colonne15686</t>
  </si>
  <si>
    <t>Colonne15687</t>
  </si>
  <si>
    <t>Colonne15688</t>
  </si>
  <si>
    <t>Colonne15689</t>
  </si>
  <si>
    <t>Colonne15690</t>
  </si>
  <si>
    <t>Colonne15691</t>
  </si>
  <si>
    <t>Colonne15692</t>
  </si>
  <si>
    <t>Colonne15693</t>
  </si>
  <si>
    <t>Colonne15694</t>
  </si>
  <si>
    <t>Colonne15695</t>
  </si>
  <si>
    <t>Colonne15696</t>
  </si>
  <si>
    <t>Colonne15697</t>
  </si>
  <si>
    <t>Colonne15698</t>
  </si>
  <si>
    <t>Colonne15699</t>
  </si>
  <si>
    <t>Colonne15700</t>
  </si>
  <si>
    <t>Colonne15701</t>
  </si>
  <si>
    <t>Colonne15702</t>
  </si>
  <si>
    <t>Colonne15703</t>
  </si>
  <si>
    <t>Colonne15704</t>
  </si>
  <si>
    <t>Colonne15705</t>
  </si>
  <si>
    <t>Colonne15706</t>
  </si>
  <si>
    <t>Colonne15707</t>
  </si>
  <si>
    <t>Colonne15708</t>
  </si>
  <si>
    <t>Colonne15709</t>
  </si>
  <si>
    <t>Colonne15710</t>
  </si>
  <si>
    <t>Colonne15711</t>
  </si>
  <si>
    <t>Colonne15712</t>
  </si>
  <si>
    <t>Colonne15713</t>
  </si>
  <si>
    <t>Colonne15714</t>
  </si>
  <si>
    <t>Colonne15715</t>
  </si>
  <si>
    <t>Colonne15716</t>
  </si>
  <si>
    <t>Colonne15717</t>
  </si>
  <si>
    <t>Colonne15718</t>
  </si>
  <si>
    <t>Colonne15719</t>
  </si>
  <si>
    <t>Colonne15720</t>
  </si>
  <si>
    <t>Colonne15721</t>
  </si>
  <si>
    <t>Colonne15722</t>
  </si>
  <si>
    <t>Colonne15723</t>
  </si>
  <si>
    <t>Colonne15724</t>
  </si>
  <si>
    <t>Colonne15725</t>
  </si>
  <si>
    <t>Colonne15726</t>
  </si>
  <si>
    <t>Colonne15727</t>
  </si>
  <si>
    <t>Colonne15728</t>
  </si>
  <si>
    <t>Colonne15729</t>
  </si>
  <si>
    <t>Colonne15730</t>
  </si>
  <si>
    <t>Colonne15731</t>
  </si>
  <si>
    <t>Colonne15732</t>
  </si>
  <si>
    <t>Colonne15733</t>
  </si>
  <si>
    <t>Colonne15734</t>
  </si>
  <si>
    <t>Colonne15735</t>
  </si>
  <si>
    <t>Colonne15736</t>
  </si>
  <si>
    <t>Colonne15737</t>
  </si>
  <si>
    <t>Colonne15738</t>
  </si>
  <si>
    <t>Colonne15739</t>
  </si>
  <si>
    <t>Colonne15740</t>
  </si>
  <si>
    <t>Colonne15741</t>
  </si>
  <si>
    <t>Colonne15742</t>
  </si>
  <si>
    <t>Colonne15743</t>
  </si>
  <si>
    <t>Colonne15744</t>
  </si>
  <si>
    <t>Colonne15745</t>
  </si>
  <si>
    <t>Colonne15746</t>
  </si>
  <si>
    <t>Colonne15747</t>
  </si>
  <si>
    <t>Colonne15748</t>
  </si>
  <si>
    <t>Colonne15749</t>
  </si>
  <si>
    <t>Colonne15750</t>
  </si>
  <si>
    <t>Colonne15751</t>
  </si>
  <si>
    <t>Colonne15752</t>
  </si>
  <si>
    <t>Colonne15753</t>
  </si>
  <si>
    <t>Colonne15754</t>
  </si>
  <si>
    <t>Colonne15755</t>
  </si>
  <si>
    <t>Colonne15756</t>
  </si>
  <si>
    <t>Colonne15757</t>
  </si>
  <si>
    <t>Colonne15758</t>
  </si>
  <si>
    <t>Colonne15759</t>
  </si>
  <si>
    <t>Colonne15760</t>
  </si>
  <si>
    <t>Colonne15761</t>
  </si>
  <si>
    <t>Colonne15762</t>
  </si>
  <si>
    <t>Colonne15763</t>
  </si>
  <si>
    <t>Colonne15764</t>
  </si>
  <si>
    <t>Colonne15765</t>
  </si>
  <si>
    <t>Colonne15766</t>
  </si>
  <si>
    <t>Colonne15767</t>
  </si>
  <si>
    <t>Colonne15768</t>
  </si>
  <si>
    <t>Colonne15769</t>
  </si>
  <si>
    <t>Colonne15770</t>
  </si>
  <si>
    <t>Colonne15771</t>
  </si>
  <si>
    <t>Colonne15772</t>
  </si>
  <si>
    <t>Colonne15773</t>
  </si>
  <si>
    <t>Colonne15774</t>
  </si>
  <si>
    <t>Colonne15775</t>
  </si>
  <si>
    <t>Colonne15776</t>
  </si>
  <si>
    <t>Colonne15777</t>
  </si>
  <si>
    <t>Colonne15778</t>
  </si>
  <si>
    <t>Colonne15779</t>
  </si>
  <si>
    <t>Colonne15780</t>
  </si>
  <si>
    <t>Colonne15781</t>
  </si>
  <si>
    <t>Colonne15782</t>
  </si>
  <si>
    <t>Colonne15783</t>
  </si>
  <si>
    <t>Colonne15784</t>
  </si>
  <si>
    <t>Colonne15785</t>
  </si>
  <si>
    <t>Colonne15786</t>
  </si>
  <si>
    <t>Colonne15787</t>
  </si>
  <si>
    <t>Colonne15788</t>
  </si>
  <si>
    <t>Colonne15789</t>
  </si>
  <si>
    <t>Colonne15790</t>
  </si>
  <si>
    <t>Colonne15791</t>
  </si>
  <si>
    <t>Colonne15792</t>
  </si>
  <si>
    <t>Colonne15793</t>
  </si>
  <si>
    <t>Colonne15794</t>
  </si>
  <si>
    <t>Colonne15795</t>
  </si>
  <si>
    <t>Colonne15796</t>
  </si>
  <si>
    <t>Colonne15797</t>
  </si>
  <si>
    <t>Colonne15798</t>
  </si>
  <si>
    <t>Colonne15799</t>
  </si>
  <si>
    <t>Colonne15800</t>
  </si>
  <si>
    <t>Colonne15801</t>
  </si>
  <si>
    <t>Colonne15802</t>
  </si>
  <si>
    <t>Colonne15803</t>
  </si>
  <si>
    <t>Colonne15804</t>
  </si>
  <si>
    <t>Colonne15805</t>
  </si>
  <si>
    <t>Colonne15806</t>
  </si>
  <si>
    <t>Colonne15807</t>
  </si>
  <si>
    <t>Colonne15808</t>
  </si>
  <si>
    <t>Colonne15809</t>
  </si>
  <si>
    <t>Colonne15810</t>
  </si>
  <si>
    <t>Colonne15811</t>
  </si>
  <si>
    <t>Colonne15812</t>
  </si>
  <si>
    <t>Colonne15813</t>
  </si>
  <si>
    <t>Colonne15814</t>
  </si>
  <si>
    <t>Colonne15815</t>
  </si>
  <si>
    <t>Colonne15816</t>
  </si>
  <si>
    <t>Colonne15817</t>
  </si>
  <si>
    <t>Colonne15818</t>
  </si>
  <si>
    <t>Colonne15819</t>
  </si>
  <si>
    <t>Colonne15820</t>
  </si>
  <si>
    <t>Colonne15821</t>
  </si>
  <si>
    <t>Colonne15822</t>
  </si>
  <si>
    <t>Colonne15823</t>
  </si>
  <si>
    <t>Colonne15824</t>
  </si>
  <si>
    <t>Colonne15825</t>
  </si>
  <si>
    <t>Colonne15826</t>
  </si>
  <si>
    <t>Colonne15827</t>
  </si>
  <si>
    <t>Colonne15828</t>
  </si>
  <si>
    <t>Colonne15829</t>
  </si>
  <si>
    <t>Colonne15830</t>
  </si>
  <si>
    <t>Colonne15831</t>
  </si>
  <si>
    <t>Colonne15832</t>
  </si>
  <si>
    <t>Colonne15833</t>
  </si>
  <si>
    <t>Colonne15834</t>
  </si>
  <si>
    <t>Colonne15835</t>
  </si>
  <si>
    <t>Colonne15836</t>
  </si>
  <si>
    <t>Colonne15837</t>
  </si>
  <si>
    <t>Colonne15838</t>
  </si>
  <si>
    <t>Colonne15839</t>
  </si>
  <si>
    <t>Colonne15840</t>
  </si>
  <si>
    <t>Colonne15841</t>
  </si>
  <si>
    <t>Colonne15842</t>
  </si>
  <si>
    <t>Colonne15843</t>
  </si>
  <si>
    <t>Colonne15844</t>
  </si>
  <si>
    <t>Colonne15845</t>
  </si>
  <si>
    <t>Colonne15846</t>
  </si>
  <si>
    <t>Colonne15847</t>
  </si>
  <si>
    <t>Colonne15848</t>
  </si>
  <si>
    <t>Colonne15849</t>
  </si>
  <si>
    <t>Colonne15850</t>
  </si>
  <si>
    <t>Colonne15851</t>
  </si>
  <si>
    <t>Colonne15852</t>
  </si>
  <si>
    <t>Colonne15853</t>
  </si>
  <si>
    <t>Colonne15854</t>
  </si>
  <si>
    <t>Colonne15855</t>
  </si>
  <si>
    <t>Colonne15856</t>
  </si>
  <si>
    <t>Colonne15857</t>
  </si>
  <si>
    <t>Colonne15858</t>
  </si>
  <si>
    <t>Colonne15859</t>
  </si>
  <si>
    <t>Colonne15860</t>
  </si>
  <si>
    <t>Colonne15861</t>
  </si>
  <si>
    <t>Colonne15862</t>
  </si>
  <si>
    <t>Colonne15863</t>
  </si>
  <si>
    <t>Colonne15864</t>
  </si>
  <si>
    <t>Colonne15865</t>
  </si>
  <si>
    <t>Colonne15866</t>
  </si>
  <si>
    <t>Colonne15867</t>
  </si>
  <si>
    <t>Colonne15868</t>
  </si>
  <si>
    <t>Colonne15869</t>
  </si>
  <si>
    <t>Colonne15870</t>
  </si>
  <si>
    <t>Colonne15871</t>
  </si>
  <si>
    <t>Colonne15872</t>
  </si>
  <si>
    <t>Colonne15873</t>
  </si>
  <si>
    <t>Colonne15874</t>
  </si>
  <si>
    <t>Colonne15875</t>
  </si>
  <si>
    <t>Colonne15876</t>
  </si>
  <si>
    <t>Colonne15877</t>
  </si>
  <si>
    <t>Colonne15878</t>
  </si>
  <si>
    <t>Colonne15879</t>
  </si>
  <si>
    <t>Colonne15880</t>
  </si>
  <si>
    <t>Colonne15881</t>
  </si>
  <si>
    <t>Colonne15882</t>
  </si>
  <si>
    <t>Colonne15883</t>
  </si>
  <si>
    <t>Colonne15884</t>
  </si>
  <si>
    <t>Colonne15885</t>
  </si>
  <si>
    <t>Colonne15886</t>
  </si>
  <si>
    <t>Colonne15887</t>
  </si>
  <si>
    <t>Colonne15888</t>
  </si>
  <si>
    <t>Colonne15889</t>
  </si>
  <si>
    <t>Colonne15890</t>
  </si>
  <si>
    <t>Colonne15891</t>
  </si>
  <si>
    <t>Colonne15892</t>
  </si>
  <si>
    <t>Colonne15893</t>
  </si>
  <si>
    <t>Colonne15894</t>
  </si>
  <si>
    <t>Colonne15895</t>
  </si>
  <si>
    <t>Colonne15896</t>
  </si>
  <si>
    <t>Colonne15897</t>
  </si>
  <si>
    <t>Colonne15898</t>
  </si>
  <si>
    <t>Colonne15899</t>
  </si>
  <si>
    <t>Colonne15900</t>
  </si>
  <si>
    <t>Colonne15901</t>
  </si>
  <si>
    <t>Colonne15902</t>
  </si>
  <si>
    <t>Colonne15903</t>
  </si>
  <si>
    <t>Colonne15904</t>
  </si>
  <si>
    <t>Colonne15905</t>
  </si>
  <si>
    <t>Colonne15906</t>
  </si>
  <si>
    <t>Colonne15907</t>
  </si>
  <si>
    <t>Colonne15908</t>
  </si>
  <si>
    <t>Colonne15909</t>
  </si>
  <si>
    <t>Colonne15910</t>
  </si>
  <si>
    <t>Colonne15911</t>
  </si>
  <si>
    <t>Colonne15912</t>
  </si>
  <si>
    <t>Colonne15913</t>
  </si>
  <si>
    <t>Colonne15914</t>
  </si>
  <si>
    <t>Colonne15915</t>
  </si>
  <si>
    <t>Colonne15916</t>
  </si>
  <si>
    <t>Colonne15917</t>
  </si>
  <si>
    <t>Colonne15918</t>
  </si>
  <si>
    <t>Colonne15919</t>
  </si>
  <si>
    <t>Colonne15920</t>
  </si>
  <si>
    <t>Colonne15921</t>
  </si>
  <si>
    <t>Colonne15922</t>
  </si>
  <si>
    <t>Colonne15923</t>
  </si>
  <si>
    <t>Colonne15924</t>
  </si>
  <si>
    <t>Colonne15925</t>
  </si>
  <si>
    <t>Colonne15926</t>
  </si>
  <si>
    <t>Colonne15927</t>
  </si>
  <si>
    <t>Colonne15928</t>
  </si>
  <si>
    <t>Colonne15929</t>
  </si>
  <si>
    <t>Colonne15930</t>
  </si>
  <si>
    <t>Colonne15931</t>
  </si>
  <si>
    <t>Colonne15932</t>
  </si>
  <si>
    <t>Colonne15933</t>
  </si>
  <si>
    <t>Colonne15934</t>
  </si>
  <si>
    <t>Colonne15935</t>
  </si>
  <si>
    <t>Colonne15936</t>
  </si>
  <si>
    <t>Colonne15937</t>
  </si>
  <si>
    <t>Colonne15938</t>
  </si>
  <si>
    <t>Colonne15939</t>
  </si>
  <si>
    <t>Colonne15940</t>
  </si>
  <si>
    <t>Colonne15941</t>
  </si>
  <si>
    <t>Colonne15942</t>
  </si>
  <si>
    <t>Colonne15943</t>
  </si>
  <si>
    <t>Colonne15944</t>
  </si>
  <si>
    <t>Colonne15945</t>
  </si>
  <si>
    <t>Colonne15946</t>
  </si>
  <si>
    <t>Colonne15947</t>
  </si>
  <si>
    <t>Colonne15948</t>
  </si>
  <si>
    <t>Colonne15949</t>
  </si>
  <si>
    <t>Colonne15950</t>
  </si>
  <si>
    <t>Colonne15951</t>
  </si>
  <si>
    <t>Colonne15952</t>
  </si>
  <si>
    <t>Colonne15953</t>
  </si>
  <si>
    <t>Colonne15954</t>
  </si>
  <si>
    <t>Colonne15955</t>
  </si>
  <si>
    <t>Colonne15956</t>
  </si>
  <si>
    <t>Colonne15957</t>
  </si>
  <si>
    <t>Colonne15958</t>
  </si>
  <si>
    <t>Colonne15959</t>
  </si>
  <si>
    <t>Colonne15960</t>
  </si>
  <si>
    <t>Colonne15961</t>
  </si>
  <si>
    <t>Colonne15962</t>
  </si>
  <si>
    <t>Colonne15963</t>
  </si>
  <si>
    <t>Colonne15964</t>
  </si>
  <si>
    <t>Colonne15965</t>
  </si>
  <si>
    <t>Colonne15966</t>
  </si>
  <si>
    <t>Colonne15967</t>
  </si>
  <si>
    <t>Colonne15968</t>
  </si>
  <si>
    <t>Colonne15969</t>
  </si>
  <si>
    <t>Colonne15970</t>
  </si>
  <si>
    <t>Colonne15971</t>
  </si>
  <si>
    <t>Colonne15972</t>
  </si>
  <si>
    <t>Colonne15973</t>
  </si>
  <si>
    <t>Colonne15974</t>
  </si>
  <si>
    <t>Colonne15975</t>
  </si>
  <si>
    <t>Colonne15976</t>
  </si>
  <si>
    <t>Colonne15977</t>
  </si>
  <si>
    <t>Colonne15978</t>
  </si>
  <si>
    <t>Colonne15979</t>
  </si>
  <si>
    <t>Colonne15980</t>
  </si>
  <si>
    <t>Colonne15981</t>
  </si>
  <si>
    <t>Colonne15982</t>
  </si>
  <si>
    <t>Colonne15983</t>
  </si>
  <si>
    <t>Colonne15984</t>
  </si>
  <si>
    <t>Colonne15985</t>
  </si>
  <si>
    <t>Colonne15986</t>
  </si>
  <si>
    <t>Colonne15987</t>
  </si>
  <si>
    <t>Colonne15988</t>
  </si>
  <si>
    <t>Colonne15989</t>
  </si>
  <si>
    <t>Colonne15990</t>
  </si>
  <si>
    <t>Colonne15991</t>
  </si>
  <si>
    <t>Colonne15992</t>
  </si>
  <si>
    <t>Colonne15993</t>
  </si>
  <si>
    <t>Colonne15994</t>
  </si>
  <si>
    <t>Colonne15995</t>
  </si>
  <si>
    <t>Colonne15996</t>
  </si>
  <si>
    <t>Colonne15997</t>
  </si>
  <si>
    <t>Colonne15998</t>
  </si>
  <si>
    <t>Colonne15999</t>
  </si>
  <si>
    <t>Colonne16000</t>
  </si>
  <si>
    <t>Colonne16001</t>
  </si>
  <si>
    <t>Colonne16002</t>
  </si>
  <si>
    <t>Colonne16003</t>
  </si>
  <si>
    <t>Colonne16004</t>
  </si>
  <si>
    <t>Colonne16005</t>
  </si>
  <si>
    <t>Colonne16006</t>
  </si>
  <si>
    <t>Colonne16007</t>
  </si>
  <si>
    <t>Colonne16008</t>
  </si>
  <si>
    <t>Colonne16009</t>
  </si>
  <si>
    <t>Colonne16010</t>
  </si>
  <si>
    <t>Colonne16011</t>
  </si>
  <si>
    <t>Colonne16012</t>
  </si>
  <si>
    <t>Colonne16013</t>
  </si>
  <si>
    <t>Colonne16014</t>
  </si>
  <si>
    <t>Colonne16015</t>
  </si>
  <si>
    <t>Colonne16016</t>
  </si>
  <si>
    <t>Colonne16017</t>
  </si>
  <si>
    <t>Colonne16018</t>
  </si>
  <si>
    <t>Colonne16019</t>
  </si>
  <si>
    <t>Colonne16020</t>
  </si>
  <si>
    <t>Colonne16021</t>
  </si>
  <si>
    <t>Colonne16022</t>
  </si>
  <si>
    <t>Colonne16023</t>
  </si>
  <si>
    <t>Colonne16024</t>
  </si>
  <si>
    <t>Colonne16025</t>
  </si>
  <si>
    <t>Colonne16026</t>
  </si>
  <si>
    <t>Colonne16027</t>
  </si>
  <si>
    <t>Colonne16028</t>
  </si>
  <si>
    <t>Colonne16029</t>
  </si>
  <si>
    <t>Colonne16030</t>
  </si>
  <si>
    <t>Colonne16031</t>
  </si>
  <si>
    <t>Colonne16032</t>
  </si>
  <si>
    <t>Colonne16033</t>
  </si>
  <si>
    <t>Colonne16034</t>
  </si>
  <si>
    <t>Colonne16035</t>
  </si>
  <si>
    <t>Colonne16036</t>
  </si>
  <si>
    <t>Colonne16037</t>
  </si>
  <si>
    <t>Colonne16038</t>
  </si>
  <si>
    <t>Colonne16039</t>
  </si>
  <si>
    <t>Colonne16040</t>
  </si>
  <si>
    <t>Colonne16041</t>
  </si>
  <si>
    <t>Colonne16042</t>
  </si>
  <si>
    <t>Colonne16043</t>
  </si>
  <si>
    <t>Colonne16044</t>
  </si>
  <si>
    <t>Colonne16045</t>
  </si>
  <si>
    <t>Colonne16046</t>
  </si>
  <si>
    <t>Colonne16047</t>
  </si>
  <si>
    <t>Colonne16048</t>
  </si>
  <si>
    <t>Colonne16049</t>
  </si>
  <si>
    <t>Colonne16050</t>
  </si>
  <si>
    <t>Colonne16051</t>
  </si>
  <si>
    <t>Colonne16052</t>
  </si>
  <si>
    <t>Colonne16053</t>
  </si>
  <si>
    <t>Colonne16054</t>
  </si>
  <si>
    <t>Colonne16055</t>
  </si>
  <si>
    <t>Colonne16056</t>
  </si>
  <si>
    <t>Colonne16057</t>
  </si>
  <si>
    <t>Colonne16058</t>
  </si>
  <si>
    <t>Colonne16059</t>
  </si>
  <si>
    <t>Colonne16060</t>
  </si>
  <si>
    <t>Colonne16061</t>
  </si>
  <si>
    <t>Colonne16062</t>
  </si>
  <si>
    <t>Colonne16063</t>
  </si>
  <si>
    <t>Colonne16064</t>
  </si>
  <si>
    <t>Colonne16065</t>
  </si>
  <si>
    <t>Colonne16066</t>
  </si>
  <si>
    <t>Colonne16067</t>
  </si>
  <si>
    <t>Colonne16068</t>
  </si>
  <si>
    <t>Colonne16069</t>
  </si>
  <si>
    <t>Colonne16070</t>
  </si>
  <si>
    <t>Colonne16071</t>
  </si>
  <si>
    <t>Colonne16072</t>
  </si>
  <si>
    <t>Colonne16073</t>
  </si>
  <si>
    <t>Colonne16074</t>
  </si>
  <si>
    <t>Colonne16075</t>
  </si>
  <si>
    <t>Colonne16076</t>
  </si>
  <si>
    <t>Colonne16077</t>
  </si>
  <si>
    <t>Colonne16078</t>
  </si>
  <si>
    <t>Colonne16079</t>
  </si>
  <si>
    <t>Colonne16080</t>
  </si>
  <si>
    <t>Colonne16081</t>
  </si>
  <si>
    <t>Colonne16082</t>
  </si>
  <si>
    <t>Colonne16083</t>
  </si>
  <si>
    <t>Colonne16084</t>
  </si>
  <si>
    <t>Colonne16085</t>
  </si>
  <si>
    <t>Colonne16086</t>
  </si>
  <si>
    <t>Colonne16087</t>
  </si>
  <si>
    <t>Colonne16088</t>
  </si>
  <si>
    <t>Colonne16089</t>
  </si>
  <si>
    <t>Colonne16090</t>
  </si>
  <si>
    <t>Colonne16091</t>
  </si>
  <si>
    <t>Colonne16092</t>
  </si>
  <si>
    <t>Colonne16093</t>
  </si>
  <si>
    <t>Colonne16094</t>
  </si>
  <si>
    <t>Colonne16095</t>
  </si>
  <si>
    <t>Colonne16096</t>
  </si>
  <si>
    <t>Colonne16097</t>
  </si>
  <si>
    <t>Colonne16098</t>
  </si>
  <si>
    <t>Colonne16099</t>
  </si>
  <si>
    <t>Colonne16100</t>
  </si>
  <si>
    <t>Colonne16101</t>
  </si>
  <si>
    <t>Colonne16102</t>
  </si>
  <si>
    <t>Colonne16103</t>
  </si>
  <si>
    <t>Colonne16104</t>
  </si>
  <si>
    <t>Colonne16105</t>
  </si>
  <si>
    <t>Colonne16106</t>
  </si>
  <si>
    <t>Colonne16107</t>
  </si>
  <si>
    <t>Colonne16108</t>
  </si>
  <si>
    <t>Colonne16109</t>
  </si>
  <si>
    <t>Colonne16110</t>
  </si>
  <si>
    <t>Colonne16111</t>
  </si>
  <si>
    <t>Colonne16112</t>
  </si>
  <si>
    <t>Colonne16113</t>
  </si>
  <si>
    <t>Colonne16114</t>
  </si>
  <si>
    <t>Colonne16115</t>
  </si>
  <si>
    <t>Colonne16116</t>
  </si>
  <si>
    <t>Colonne16117</t>
  </si>
  <si>
    <t>Colonne16118</t>
  </si>
  <si>
    <t>Colonne16119</t>
  </si>
  <si>
    <t>Colonne16120</t>
  </si>
  <si>
    <t>Colonne16121</t>
  </si>
  <si>
    <t>Colonne16122</t>
  </si>
  <si>
    <t>Colonne16123</t>
  </si>
  <si>
    <t>Colonne16124</t>
  </si>
  <si>
    <t>Colonne16125</t>
  </si>
  <si>
    <t>Colonne16126</t>
  </si>
  <si>
    <t>Colonne16127</t>
  </si>
  <si>
    <t>Colonne16128</t>
  </si>
  <si>
    <t>Colonne16129</t>
  </si>
  <si>
    <t>Colonne16130</t>
  </si>
  <si>
    <t>Colonne16131</t>
  </si>
  <si>
    <t>Colonne16132</t>
  </si>
  <si>
    <t>Colonne16133</t>
  </si>
  <si>
    <t>Colonne16134</t>
  </si>
  <si>
    <t>Colonne16135</t>
  </si>
  <si>
    <t>Colonne16136</t>
  </si>
  <si>
    <t>Colonne16137</t>
  </si>
  <si>
    <t>Colonne16138</t>
  </si>
  <si>
    <t>Colonne16139</t>
  </si>
  <si>
    <t>Colonne16140</t>
  </si>
  <si>
    <t>Colonne16141</t>
  </si>
  <si>
    <t>Colonne16142</t>
  </si>
  <si>
    <t>Colonne16143</t>
  </si>
  <si>
    <t>Colonne16144</t>
  </si>
  <si>
    <t>Colonne16145</t>
  </si>
  <si>
    <t>Colonne16146</t>
  </si>
  <si>
    <t>Colonne16147</t>
  </si>
  <si>
    <t>Colonne16148</t>
  </si>
  <si>
    <t>Colonne16149</t>
  </si>
  <si>
    <t>Colonne16150</t>
  </si>
  <si>
    <t>Colonne16151</t>
  </si>
  <si>
    <t>Colonne16152</t>
  </si>
  <si>
    <t>Colonne16153</t>
  </si>
  <si>
    <t>Colonne16154</t>
  </si>
  <si>
    <t>Colonne16155</t>
  </si>
  <si>
    <t>Colonne16156</t>
  </si>
  <si>
    <t>Colonne16157</t>
  </si>
  <si>
    <t>Colonne16158</t>
  </si>
  <si>
    <t>Colonne16159</t>
  </si>
  <si>
    <t>Colonne16160</t>
  </si>
  <si>
    <t>Colonne16161</t>
  </si>
  <si>
    <t>Colonne16162</t>
  </si>
  <si>
    <t>Colonne16163</t>
  </si>
  <si>
    <t>Colonne16164</t>
  </si>
  <si>
    <t>Colonne16165</t>
  </si>
  <si>
    <t>Colonne16166</t>
  </si>
  <si>
    <t>Colonne16167</t>
  </si>
  <si>
    <t>Colonne16168</t>
  </si>
  <si>
    <t>Colonne16169</t>
  </si>
  <si>
    <t>Colonne16170</t>
  </si>
  <si>
    <t>Colonne16171</t>
  </si>
  <si>
    <t>Colonne16172</t>
  </si>
  <si>
    <t>Colonne16173</t>
  </si>
  <si>
    <t>Colonne16174</t>
  </si>
  <si>
    <t>Colonne16175</t>
  </si>
  <si>
    <t>Colonne16176</t>
  </si>
  <si>
    <t>Colonne16177</t>
  </si>
  <si>
    <t>Colonne16178</t>
  </si>
  <si>
    <t>Colonne16179</t>
  </si>
  <si>
    <t>Colonne16180</t>
  </si>
  <si>
    <t>Colonne16181</t>
  </si>
  <si>
    <t>Colonne16182</t>
  </si>
  <si>
    <t>Colonne16183</t>
  </si>
  <si>
    <t>Colonne16184</t>
  </si>
  <si>
    <t>Colonne16185</t>
  </si>
  <si>
    <t>Colonne16186</t>
  </si>
  <si>
    <t>Colonne16187</t>
  </si>
  <si>
    <t>Colonne16188</t>
  </si>
  <si>
    <t>Colonne16189</t>
  </si>
  <si>
    <t>Colonne16190</t>
  </si>
  <si>
    <t>Colonne16191</t>
  </si>
  <si>
    <t>Colonne16192</t>
  </si>
  <si>
    <t>Colonne16193</t>
  </si>
  <si>
    <t>Colonne16194</t>
  </si>
  <si>
    <t>Colonne16195</t>
  </si>
  <si>
    <t>Colonne16196</t>
  </si>
  <si>
    <t>Colonne16197</t>
  </si>
  <si>
    <t>Colonne16198</t>
  </si>
  <si>
    <t>Colonne16199</t>
  </si>
  <si>
    <t>Colonne16200</t>
  </si>
  <si>
    <t>Colonne16201</t>
  </si>
  <si>
    <t>Colonne16202</t>
  </si>
  <si>
    <t>Colonne16203</t>
  </si>
  <si>
    <t>Colonne16204</t>
  </si>
  <si>
    <t>Colonne16205</t>
  </si>
  <si>
    <t>Colonne16206</t>
  </si>
  <si>
    <t>Colonne16207</t>
  </si>
  <si>
    <t>Colonne16208</t>
  </si>
  <si>
    <t>Colonne16209</t>
  </si>
  <si>
    <t>Colonne16210</t>
  </si>
  <si>
    <t>Colonne16211</t>
  </si>
  <si>
    <t>Colonne16212</t>
  </si>
  <si>
    <t>Colonne16213</t>
  </si>
  <si>
    <t>Colonne16214</t>
  </si>
  <si>
    <t>Colonne16215</t>
  </si>
  <si>
    <t>Colonne16216</t>
  </si>
  <si>
    <t>Colonne16217</t>
  </si>
  <si>
    <t>Colonne16218</t>
  </si>
  <si>
    <t>Colonne16219</t>
  </si>
  <si>
    <t>Colonne16220</t>
  </si>
  <si>
    <t>Colonne16221</t>
  </si>
  <si>
    <t>Colonne16222</t>
  </si>
  <si>
    <t>Colonne16223</t>
  </si>
  <si>
    <t>Colonne16224</t>
  </si>
  <si>
    <t>Colonne16225</t>
  </si>
  <si>
    <t>Colonne16226</t>
  </si>
  <si>
    <t>Colonne16227</t>
  </si>
  <si>
    <t>Colonne16228</t>
  </si>
  <si>
    <t>Colonne16229</t>
  </si>
  <si>
    <t>Colonne16230</t>
  </si>
  <si>
    <t>Colonne16231</t>
  </si>
  <si>
    <t>Colonne16232</t>
  </si>
  <si>
    <t>Colonne16233</t>
  </si>
  <si>
    <t>Colonne16234</t>
  </si>
  <si>
    <t>Colonne16235</t>
  </si>
  <si>
    <t>Colonne16236</t>
  </si>
  <si>
    <t>Colonne16237</t>
  </si>
  <si>
    <t>Colonne16238</t>
  </si>
  <si>
    <t>Colonne16239</t>
  </si>
  <si>
    <t>Colonne16240</t>
  </si>
  <si>
    <t>Colonne16241</t>
  </si>
  <si>
    <t>Colonne16242</t>
  </si>
  <si>
    <t>Colonne16243</t>
  </si>
  <si>
    <t>Colonne16244</t>
  </si>
  <si>
    <t>Colonne16245</t>
  </si>
  <si>
    <t>Colonne16246</t>
  </si>
  <si>
    <t>Colonne16247</t>
  </si>
  <si>
    <t>Colonne16248</t>
  </si>
  <si>
    <t>Colonne16249</t>
  </si>
  <si>
    <t>Colonne16250</t>
  </si>
  <si>
    <t>Colonne16251</t>
  </si>
  <si>
    <t>Colonne16252</t>
  </si>
  <si>
    <t>Colonne16253</t>
  </si>
  <si>
    <t>Colonne16254</t>
  </si>
  <si>
    <t>Colonne16255</t>
  </si>
  <si>
    <t>Colonne16256</t>
  </si>
  <si>
    <t>Colonne16257</t>
  </si>
  <si>
    <t>Colonne16258</t>
  </si>
  <si>
    <t>Colonne16259</t>
  </si>
  <si>
    <t>Colonne16260</t>
  </si>
  <si>
    <t>Colonne16261</t>
  </si>
  <si>
    <t>Colonne16262</t>
  </si>
  <si>
    <t>Colonne16263</t>
  </si>
  <si>
    <t>Colonne16264</t>
  </si>
  <si>
    <t>Colonne16265</t>
  </si>
  <si>
    <t>Colonne16266</t>
  </si>
  <si>
    <t>Colonne16267</t>
  </si>
  <si>
    <t>Colonne16268</t>
  </si>
  <si>
    <t>Colonne16269</t>
  </si>
  <si>
    <t>Colonne16270</t>
  </si>
  <si>
    <t>Colonne16271</t>
  </si>
  <si>
    <t>Colonne16272</t>
  </si>
  <si>
    <t>Colonne16273</t>
  </si>
  <si>
    <t>Colonne16274</t>
  </si>
  <si>
    <t>Colonne16275</t>
  </si>
  <si>
    <t>Colonne16276</t>
  </si>
  <si>
    <t>Colonne16277</t>
  </si>
  <si>
    <t>Colonne16278</t>
  </si>
  <si>
    <t>Colonne16279</t>
  </si>
  <si>
    <t>Colonne16280</t>
  </si>
  <si>
    <t>Colonne16281</t>
  </si>
  <si>
    <t>Colonne16282</t>
  </si>
  <si>
    <t>Colonne16283</t>
  </si>
  <si>
    <t>Colonne16284</t>
  </si>
  <si>
    <t>Colonne16285</t>
  </si>
  <si>
    <t>Colonne16286</t>
  </si>
  <si>
    <t>Colonne16287</t>
  </si>
  <si>
    <t>Colonne16288</t>
  </si>
  <si>
    <t>Colonne16289</t>
  </si>
  <si>
    <t>Colonne16290</t>
  </si>
  <si>
    <t>Colonne16291</t>
  </si>
  <si>
    <t>Colonne16292</t>
  </si>
  <si>
    <t>Colonne16293</t>
  </si>
  <si>
    <t>Colonne16294</t>
  </si>
  <si>
    <t>Colonne16295</t>
  </si>
  <si>
    <t>Colonne16296</t>
  </si>
  <si>
    <t>Colonne16297</t>
  </si>
  <si>
    <t>Colonne16298</t>
  </si>
  <si>
    <t>Colonne16299</t>
  </si>
  <si>
    <t>Colonne16300</t>
  </si>
  <si>
    <t>Colonne16301</t>
  </si>
  <si>
    <t>Colonne16302</t>
  </si>
  <si>
    <t>Colonne16303</t>
  </si>
  <si>
    <t>Colonne16304</t>
  </si>
  <si>
    <t>Colonne16305</t>
  </si>
  <si>
    <t>Colonne16306</t>
  </si>
  <si>
    <t>Colonne16307</t>
  </si>
  <si>
    <t>Colonne16308</t>
  </si>
  <si>
    <t>Colonne16309</t>
  </si>
  <si>
    <t>Colonne16310</t>
  </si>
  <si>
    <t>Colonne16311</t>
  </si>
  <si>
    <t>Colonne16312</t>
  </si>
  <si>
    <t>Colonne16313</t>
  </si>
  <si>
    <t>Colonne16314</t>
  </si>
  <si>
    <t>Colonne16315</t>
  </si>
  <si>
    <t>Colonne16316</t>
  </si>
  <si>
    <t>Colonne16317</t>
  </si>
  <si>
    <t>Colonne16318</t>
  </si>
  <si>
    <t>Colonne16319</t>
  </si>
  <si>
    <t>Colonne16320</t>
  </si>
  <si>
    <t>Colonne16321</t>
  </si>
  <si>
    <t>Colonne16322</t>
  </si>
  <si>
    <t>Colonne16323</t>
  </si>
  <si>
    <t>Colonne16324</t>
  </si>
  <si>
    <t>Colonne16325</t>
  </si>
  <si>
    <t>Colonne16326</t>
  </si>
  <si>
    <t>Colonne16327</t>
  </si>
  <si>
    <t>Colonne16328</t>
  </si>
  <si>
    <t>Colonne16329</t>
  </si>
  <si>
    <t>Colonne16330</t>
  </si>
  <si>
    <t>Colonne16331</t>
  </si>
  <si>
    <t>Colonne16332</t>
  </si>
  <si>
    <t>Colonne16333</t>
  </si>
  <si>
    <t>Colonne16334</t>
  </si>
  <si>
    <t>Colonne16335</t>
  </si>
  <si>
    <t>Colonne16336</t>
  </si>
  <si>
    <t>Colonne16337</t>
  </si>
  <si>
    <t>Colonne16338</t>
  </si>
  <si>
    <t>Colonne16339</t>
  </si>
  <si>
    <t>Colonne16340</t>
  </si>
  <si>
    <t>Colonne16341</t>
  </si>
  <si>
    <t>Colonne16342</t>
  </si>
  <si>
    <t>Colonne16343</t>
  </si>
  <si>
    <t>Colonne16344</t>
  </si>
  <si>
    <t>Colonne16345</t>
  </si>
  <si>
    <t>Colonne16346</t>
  </si>
  <si>
    <t>Colonne16347</t>
  </si>
  <si>
    <t>Colonne16348</t>
  </si>
  <si>
    <t>Colonne16349</t>
  </si>
  <si>
    <t>Colonne16350</t>
  </si>
  <si>
    <t>Colonne16351</t>
  </si>
  <si>
    <t>Colonne16352</t>
  </si>
  <si>
    <t>Colonne16353</t>
  </si>
  <si>
    <t>Colonne16354</t>
  </si>
  <si>
    <t>Colonne16355</t>
  </si>
  <si>
    <t>Colonne16356</t>
  </si>
  <si>
    <t>Colonne16357</t>
  </si>
  <si>
    <t>Colonne16358</t>
  </si>
  <si>
    <t>Colonne16359</t>
  </si>
  <si>
    <t>Colonne16360</t>
  </si>
  <si>
    <t>Colonne16361</t>
  </si>
  <si>
    <t>Colonne16362</t>
  </si>
  <si>
    <t>Colonne16363</t>
  </si>
  <si>
    <t>Colonne16364</t>
  </si>
  <si>
    <t>Colonne16365</t>
  </si>
  <si>
    <t>Colonne16366</t>
  </si>
  <si>
    <t>Colonne16367</t>
  </si>
  <si>
    <t>Colonne16368</t>
  </si>
  <si>
    <t>Colonne16369</t>
  </si>
  <si>
    <t>Colonne16370</t>
  </si>
  <si>
    <t>Colonne16371</t>
  </si>
  <si>
    <t>Colonne16372</t>
  </si>
  <si>
    <t>Colonne16373</t>
  </si>
  <si>
    <t>Colonne16374</t>
  </si>
  <si>
    <t>Colonne16375</t>
  </si>
  <si>
    <t>Colonne16376</t>
  </si>
  <si>
    <t>YAROU BAGUIRI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</si>
</sst>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2"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###\ ###\ ###\ ###"/>
    <numFmt numFmtId="167" formatCode="[$-409]d\-mmm\-yy;@"/>
    <numFmt numFmtId="168" formatCode="_(* #,##0_);_(* \(#,##0\);_(* &quot;-&quot;??_);_(@_)"/>
    <numFmt numFmtId="169" formatCode="dd/mm/yyyy\ "/>
    <numFmt numFmtId="170" formatCode="_([$XOF]\ * #,##0_);_([$XOF]\ * \(#,##0\);_([$XOF]\ * &quot;-&quot;??_);_(@_)"/>
    <numFmt numFmtId="171" formatCode="_([$XOF]\ * #,##0_);_([$XOF]\ * \(#,##0\);_([$XOF]\ * &quot;-&quot;_);_(@_)"/>
    <numFmt numFmtId="172" formatCode="_(* #,##0.0_);_(* \(#,##0.0\);_(* &quot;-&quot;?_);_(@_)"/>
    <numFmt numFmtId="173" formatCode="_-* #,##0\ [$XOF]_-;\-* #,##0\ [$XOF]_-;_-* &quot;-&quot;\ [$XOF]_-;_-@_-"/>
    <numFmt numFmtId="174" formatCode="#,##0\ [$XOF]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1"/>
      <color rgb="FF333333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333333"/>
      <name val="Calibri"/>
      <family val="2"/>
      <scheme val="minor"/>
    </font>
    <font>
      <b/>
      <sz val="10"/>
      <color rgb="FF333333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7FAFB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4"/>
      </top>
      <bottom/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269">
    <xf numFmtId="0" fontId="0" fillId="0" borderId="0" xfId="0"/>
    <xf numFmtId="164" fontId="0" fillId="0" borderId="0" xfId="0" applyNumberFormat="1"/>
    <xf numFmtId="0" fontId="2" fillId="0" borderId="0" xfId="0" applyFont="1"/>
    <xf numFmtId="164" fontId="2" fillId="0" borderId="0" xfId="0" applyNumberFormat="1" applyFont="1"/>
    <xf numFmtId="166" fontId="2" fillId="0" borderId="0" xfId="0" applyNumberFormat="1" applyFont="1"/>
    <xf numFmtId="0" fontId="2" fillId="0" borderId="0" xfId="0" applyFont="1" applyAlignment="1">
      <alignment wrapText="1"/>
    </xf>
    <xf numFmtId="15" fontId="0" fillId="0" borderId="0" xfId="0" applyNumberFormat="1"/>
    <xf numFmtId="164" fontId="0" fillId="0" borderId="0" xfId="1" applyNumberFormat="1" applyFont="1"/>
    <xf numFmtId="0" fontId="4" fillId="0" borderId="1" xfId="0" applyFont="1" applyBorder="1" applyAlignment="1">
      <alignment horizontal="left"/>
    </xf>
    <xf numFmtId="0" fontId="4" fillId="0" borderId="2" xfId="0" applyFont="1" applyBorder="1"/>
    <xf numFmtId="165" fontId="4" fillId="0" borderId="2" xfId="1" applyFont="1" applyBorder="1"/>
    <xf numFmtId="0" fontId="4" fillId="0" borderId="3" xfId="0" applyFont="1" applyBorder="1"/>
    <xf numFmtId="0" fontId="0" fillId="0" borderId="4" xfId="0" applyBorder="1" applyAlignment="1">
      <alignment horizontal="left"/>
    </xf>
    <xf numFmtId="0" fontId="0" fillId="0" borderId="5" xfId="0" applyBorder="1"/>
    <xf numFmtId="165" fontId="4" fillId="0" borderId="5" xfId="1" applyFont="1" applyBorder="1"/>
    <xf numFmtId="0" fontId="0" fillId="0" borderId="6" xfId="0" applyBorder="1"/>
    <xf numFmtId="0" fontId="0" fillId="0" borderId="7" xfId="0" applyBorder="1" applyAlignment="1">
      <alignment horizontal="left"/>
    </xf>
    <xf numFmtId="0" fontId="0" fillId="0" borderId="8" xfId="0" applyBorder="1"/>
    <xf numFmtId="165" fontId="0" fillId="0" borderId="8" xfId="1" applyFont="1" applyBorder="1"/>
    <xf numFmtId="0" fontId="0" fillId="0" borderId="9" xfId="0" applyBorder="1"/>
    <xf numFmtId="14" fontId="5" fillId="0" borderId="7" xfId="0" applyNumberFormat="1" applyFont="1" applyBorder="1" applyAlignment="1">
      <alignment horizontal="left"/>
    </xf>
    <xf numFmtId="0" fontId="5" fillId="0" borderId="8" xfId="0" applyFont="1" applyBorder="1"/>
    <xf numFmtId="14" fontId="0" fillId="0" borderId="7" xfId="0" applyNumberFormat="1" applyBorder="1" applyAlignment="1">
      <alignment horizontal="left"/>
    </xf>
    <xf numFmtId="165" fontId="5" fillId="0" borderId="8" xfId="1" applyFont="1" applyFill="1" applyBorder="1"/>
    <xf numFmtId="165" fontId="1" fillId="0" borderId="8" xfId="1" applyFont="1" applyBorder="1"/>
    <xf numFmtId="165" fontId="1" fillId="0" borderId="8" xfId="1" applyFont="1" applyFill="1" applyBorder="1"/>
    <xf numFmtId="165" fontId="1" fillId="0" borderId="0" xfId="1" applyFont="1" applyFill="1"/>
    <xf numFmtId="167" fontId="0" fillId="0" borderId="7" xfId="0" applyNumberFormat="1" applyBorder="1" applyAlignment="1">
      <alignment horizontal="left"/>
    </xf>
    <xf numFmtId="165" fontId="0" fillId="0" borderId="0" xfId="1" applyFont="1"/>
    <xf numFmtId="165" fontId="0" fillId="0" borderId="0" xfId="0" applyNumberFormat="1"/>
    <xf numFmtId="0" fontId="0" fillId="2" borderId="8" xfId="0" applyFill="1" applyBorder="1"/>
    <xf numFmtId="165" fontId="1" fillId="2" borderId="8" xfId="1" applyFont="1" applyFill="1" applyBorder="1"/>
    <xf numFmtId="167" fontId="2" fillId="0" borderId="7" xfId="0" applyNumberFormat="1" applyFont="1" applyBorder="1" applyAlignment="1">
      <alignment horizontal="left"/>
    </xf>
    <xf numFmtId="0" fontId="2" fillId="0" borderId="8" xfId="0" applyFont="1" applyBorder="1"/>
    <xf numFmtId="165" fontId="2" fillId="0" borderId="8" xfId="1" applyFont="1" applyBorder="1"/>
    <xf numFmtId="168" fontId="0" fillId="0" borderId="0" xfId="1" applyNumberFormat="1" applyFont="1"/>
    <xf numFmtId="165" fontId="2" fillId="0" borderId="8" xfId="1" applyFont="1" applyFill="1" applyBorder="1"/>
    <xf numFmtId="0" fontId="0" fillId="0" borderId="10" xfId="0" applyBorder="1"/>
    <xf numFmtId="167" fontId="0" fillId="0" borderId="10" xfId="0" applyNumberFormat="1" applyBorder="1"/>
    <xf numFmtId="164" fontId="0" fillId="0" borderId="10" xfId="0" applyNumberFormat="1" applyBorder="1"/>
    <xf numFmtId="166" fontId="0" fillId="0" borderId="10" xfId="0" applyNumberFormat="1" applyBorder="1"/>
    <xf numFmtId="0" fontId="0" fillId="0" borderId="10" xfId="0" applyBorder="1" applyAlignment="1">
      <alignment wrapText="1"/>
    </xf>
    <xf numFmtId="0" fontId="0" fillId="2" borderId="10" xfId="0" applyFill="1" applyBorder="1"/>
    <xf numFmtId="164" fontId="0" fillId="2" borderId="10" xfId="0" applyNumberFormat="1" applyFill="1" applyBorder="1"/>
    <xf numFmtId="169" fontId="0" fillId="0" borderId="10" xfId="0" applyNumberFormat="1" applyBorder="1"/>
    <xf numFmtId="15" fontId="0" fillId="0" borderId="10" xfId="0" applyNumberFormat="1" applyBorder="1"/>
    <xf numFmtId="168" fontId="1" fillId="0" borderId="10" xfId="1" applyNumberFormat="1" applyFont="1" applyFill="1" applyBorder="1"/>
    <xf numFmtId="168" fontId="1" fillId="0" borderId="10" xfId="1" applyNumberFormat="1" applyFont="1" applyBorder="1"/>
    <xf numFmtId="168" fontId="0" fillId="0" borderId="10" xfId="1" applyNumberFormat="1" applyFont="1" applyBorder="1"/>
    <xf numFmtId="3" fontId="6" fillId="0" borderId="10" xfId="0" applyNumberFormat="1" applyFont="1" applyBorder="1" applyAlignment="1">
      <alignment horizontal="right" vertical="center" shrinkToFit="1"/>
    </xf>
    <xf numFmtId="0" fontId="0" fillId="0" borderId="10" xfId="0" applyBorder="1" applyAlignment="1">
      <alignment horizontal="center" vertical="center"/>
    </xf>
    <xf numFmtId="164" fontId="2" fillId="0" borderId="10" xfId="0" applyNumberFormat="1" applyFont="1" applyBorder="1"/>
    <xf numFmtId="0" fontId="0" fillId="0" borderId="10" xfId="0" applyBorder="1" applyAlignment="1">
      <alignment horizontal="center" wrapText="1"/>
    </xf>
    <xf numFmtId="166" fontId="0" fillId="0" borderId="10" xfId="0" applyNumberFormat="1" applyBorder="1" applyAlignment="1">
      <alignment horizontal="center" wrapText="1"/>
    </xf>
    <xf numFmtId="166" fontId="2" fillId="0" borderId="10" xfId="0" applyNumberFormat="1" applyFont="1" applyBorder="1"/>
    <xf numFmtId="15" fontId="0" fillId="2" borderId="10" xfId="0" applyNumberFormat="1" applyFill="1" applyBorder="1"/>
    <xf numFmtId="0" fontId="2" fillId="2" borderId="10" xfId="0" applyFont="1" applyFill="1" applyBorder="1"/>
    <xf numFmtId="0" fontId="2" fillId="0" borderId="10" xfId="0" applyFont="1" applyBorder="1" applyAlignment="1">
      <alignment horizontal="center"/>
    </xf>
    <xf numFmtId="0" fontId="2" fillId="0" borderId="10" xfId="0" applyFont="1" applyBorder="1" applyAlignment="1">
      <alignment wrapText="1"/>
    </xf>
    <xf numFmtId="164" fontId="0" fillId="0" borderId="10" xfId="1" applyNumberFormat="1" applyFont="1" applyBorder="1"/>
    <xf numFmtId="0" fontId="0" fillId="0" borderId="10" xfId="0" applyBorder="1" applyAlignment="1">
      <alignment horizontal="center"/>
    </xf>
    <xf numFmtId="0" fontId="2" fillId="0" borderId="10" xfId="0" applyFont="1" applyBorder="1"/>
    <xf numFmtId="165" fontId="4" fillId="0" borderId="10" xfId="1" applyFont="1" applyFill="1" applyBorder="1"/>
    <xf numFmtId="165" fontId="5" fillId="0" borderId="10" xfId="1" applyFont="1" applyFill="1" applyBorder="1"/>
    <xf numFmtId="0" fontId="2" fillId="7" borderId="10" xfId="0" applyFont="1" applyFill="1" applyBorder="1" applyAlignment="1">
      <alignment horizontal="center" vertical="center" wrapText="1"/>
    </xf>
    <xf numFmtId="0" fontId="2" fillId="7" borderId="10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/>
    </xf>
    <xf numFmtId="168" fontId="2" fillId="4" borderId="10" xfId="1" applyNumberFormat="1" applyFont="1" applyFill="1" applyBorder="1" applyAlignment="1">
      <alignment horizontal="center" vertical="center"/>
    </xf>
    <xf numFmtId="166" fontId="2" fillId="4" borderId="10" xfId="0" applyNumberFormat="1" applyFont="1" applyFill="1" applyBorder="1" applyAlignment="1">
      <alignment horizontal="center" vertical="center"/>
    </xf>
    <xf numFmtId="168" fontId="0" fillId="0" borderId="10" xfId="1" applyNumberFormat="1" applyFont="1" applyFill="1" applyBorder="1"/>
    <xf numFmtId="0" fontId="0" fillId="7" borderId="10" xfId="0" applyFill="1" applyBorder="1"/>
    <xf numFmtId="15" fontId="0" fillId="7" borderId="10" xfId="0" applyNumberFormat="1" applyFill="1" applyBorder="1"/>
    <xf numFmtId="0" fontId="2" fillId="4" borderId="10" xfId="0" applyFont="1" applyFill="1" applyBorder="1" applyAlignment="1">
      <alignment horizontal="right" vertical="center" wrapText="1"/>
    </xf>
    <xf numFmtId="1" fontId="6" fillId="0" borderId="10" xfId="0" applyNumberFormat="1" applyFont="1" applyBorder="1" applyAlignment="1">
      <alignment horizontal="right" vertical="center" shrinkToFit="1"/>
    </xf>
    <xf numFmtId="0" fontId="0" fillId="0" borderId="10" xfId="0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0" borderId="10" xfId="0" applyBorder="1" applyAlignment="1">
      <alignment horizontal="right" vertical="center" wrapText="1"/>
    </xf>
    <xf numFmtId="1" fontId="0" fillId="0" borderId="10" xfId="0" applyNumberFormat="1" applyBorder="1" applyAlignment="1">
      <alignment horizontal="right" vertical="center"/>
    </xf>
    <xf numFmtId="167" fontId="0" fillId="8" borderId="10" xfId="0" applyNumberFormat="1" applyFill="1" applyBorder="1"/>
    <xf numFmtId="0" fontId="0" fillId="8" borderId="10" xfId="0" applyFill="1" applyBorder="1"/>
    <xf numFmtId="168" fontId="0" fillId="8" borderId="10" xfId="1" applyNumberFormat="1" applyFont="1" applyFill="1" applyBorder="1"/>
    <xf numFmtId="164" fontId="0" fillId="8" borderId="10" xfId="0" applyNumberFormat="1" applyFill="1" applyBorder="1"/>
    <xf numFmtId="0" fontId="0" fillId="8" borderId="10" xfId="0" applyFill="1" applyBorder="1" applyAlignment="1">
      <alignment horizontal="right" vertical="center" wrapText="1"/>
    </xf>
    <xf numFmtId="166" fontId="0" fillId="8" borderId="10" xfId="0" applyNumberFormat="1" applyFill="1" applyBorder="1"/>
    <xf numFmtId="0" fontId="7" fillId="8" borderId="10" xfId="0" applyFont="1" applyFill="1" applyBorder="1"/>
    <xf numFmtId="0" fontId="7" fillId="8" borderId="10" xfId="0" applyFont="1" applyFill="1" applyBorder="1" applyAlignment="1">
      <alignment horizontal="right" vertical="center" wrapText="1"/>
    </xf>
    <xf numFmtId="167" fontId="7" fillId="8" borderId="10" xfId="0" applyNumberFormat="1" applyFont="1" applyFill="1" applyBorder="1"/>
    <xf numFmtId="168" fontId="7" fillId="8" borderId="10" xfId="1" applyNumberFormat="1" applyFont="1" applyFill="1" applyBorder="1"/>
    <xf numFmtId="166" fontId="7" fillId="8" borderId="10" xfId="0" applyNumberFormat="1" applyFont="1" applyFill="1" applyBorder="1"/>
    <xf numFmtId="169" fontId="7" fillId="8" borderId="10" xfId="0" applyNumberFormat="1" applyFont="1" applyFill="1" applyBorder="1"/>
    <xf numFmtId="15" fontId="0" fillId="8" borderId="10" xfId="0" applyNumberFormat="1" applyFill="1" applyBorder="1"/>
    <xf numFmtId="15" fontId="7" fillId="8" borderId="10" xfId="0" applyNumberFormat="1" applyFont="1" applyFill="1" applyBorder="1"/>
    <xf numFmtId="0" fontId="7" fillId="8" borderId="10" xfId="0" applyFont="1" applyFill="1" applyBorder="1" applyAlignment="1">
      <alignment horizontal="right" vertical="center"/>
    </xf>
    <xf numFmtId="168" fontId="6" fillId="0" borderId="10" xfId="1" applyNumberFormat="1" applyFont="1" applyFill="1" applyBorder="1" applyAlignment="1">
      <alignment horizontal="right" vertical="center" shrinkToFit="1"/>
    </xf>
    <xf numFmtId="0" fontId="7" fillId="0" borderId="10" xfId="0" applyFont="1" applyBorder="1" applyAlignment="1">
      <alignment horizontal="right" vertical="center" wrapText="1"/>
    </xf>
    <xf numFmtId="166" fontId="7" fillId="0" borderId="10" xfId="0" applyNumberFormat="1" applyFont="1" applyBorder="1"/>
    <xf numFmtId="167" fontId="7" fillId="0" borderId="10" xfId="0" applyNumberFormat="1" applyFont="1" applyBorder="1"/>
    <xf numFmtId="0" fontId="7" fillId="0" borderId="10" xfId="0" applyFont="1" applyBorder="1"/>
    <xf numFmtId="168" fontId="7" fillId="0" borderId="10" xfId="1" applyNumberFormat="1" applyFont="1" applyFill="1" applyBorder="1"/>
    <xf numFmtId="169" fontId="0" fillId="8" borderId="10" xfId="0" applyNumberFormat="1" applyFill="1" applyBorder="1"/>
    <xf numFmtId="0" fontId="0" fillId="8" borderId="0" xfId="0" applyFill="1"/>
    <xf numFmtId="0" fontId="0" fillId="8" borderId="10" xfId="0" applyFill="1" applyBorder="1" applyAlignment="1">
      <alignment wrapText="1"/>
    </xf>
    <xf numFmtId="164" fontId="1" fillId="0" borderId="10" xfId="1" applyNumberFormat="1" applyFont="1" applyBorder="1"/>
    <xf numFmtId="164" fontId="0" fillId="8" borderId="10" xfId="1" applyNumberFormat="1" applyFont="1" applyFill="1" applyBorder="1"/>
    <xf numFmtId="0" fontId="0" fillId="8" borderId="10" xfId="0" applyFill="1" applyBorder="1" applyAlignment="1">
      <alignment horizontal="center" vertical="center"/>
    </xf>
    <xf numFmtId="166" fontId="2" fillId="7" borderId="8" xfId="0" applyNumberFormat="1" applyFont="1" applyFill="1" applyBorder="1" applyAlignment="1">
      <alignment horizontal="center" vertical="center"/>
    </xf>
    <xf numFmtId="168" fontId="0" fillId="7" borderId="10" xfId="1" applyNumberFormat="1" applyFont="1" applyFill="1" applyBorder="1"/>
    <xf numFmtId="166" fontId="2" fillId="7" borderId="2" xfId="0" applyNumberFormat="1" applyFont="1" applyFill="1" applyBorder="1" applyAlignment="1">
      <alignment horizontal="center" vertical="center"/>
    </xf>
    <xf numFmtId="170" fontId="8" fillId="0" borderId="10" xfId="0" applyNumberFormat="1" applyFont="1" applyBorder="1"/>
    <xf numFmtId="0" fontId="2" fillId="9" borderId="10" xfId="0" applyFont="1" applyFill="1" applyBorder="1"/>
    <xf numFmtId="14" fontId="0" fillId="0" borderId="10" xfId="0" applyNumberFormat="1" applyBorder="1"/>
    <xf numFmtId="0" fontId="2" fillId="10" borderId="10" xfId="0" applyFont="1" applyFill="1" applyBorder="1"/>
    <xf numFmtId="170" fontId="0" fillId="0" borderId="10" xfId="0" applyNumberFormat="1" applyBorder="1"/>
    <xf numFmtId="170" fontId="2" fillId="0" borderId="10" xfId="0" applyNumberFormat="1" applyFont="1" applyBorder="1"/>
    <xf numFmtId="0" fontId="0" fillId="0" borderId="10" xfId="0" applyBorder="1" applyAlignment="1">
      <alignment horizontal="left"/>
    </xf>
    <xf numFmtId="168" fontId="2" fillId="0" borderId="10" xfId="1" applyNumberFormat="1" applyFont="1" applyBorder="1"/>
    <xf numFmtId="3" fontId="9" fillId="0" borderId="10" xfId="0" applyNumberFormat="1" applyFont="1" applyBorder="1" applyAlignment="1">
      <alignment horizontal="right" vertical="center" shrinkToFit="1"/>
    </xf>
    <xf numFmtId="1" fontId="9" fillId="0" borderId="10" xfId="0" applyNumberFormat="1" applyFont="1" applyBorder="1" applyAlignment="1">
      <alignment horizontal="center" vertical="center" shrinkToFit="1"/>
    </xf>
    <xf numFmtId="0" fontId="2" fillId="0" borderId="10" xfId="0" applyFont="1" applyBorder="1" applyAlignment="1">
      <alignment horizontal="center" vertical="center"/>
    </xf>
    <xf numFmtId="0" fontId="2" fillId="4" borderId="10" xfId="0" applyFont="1" applyFill="1" applyBorder="1"/>
    <xf numFmtId="0" fontId="0" fillId="0" borderId="10" xfId="0" applyBorder="1" applyAlignment="1">
      <alignment horizontal="left" vertical="center"/>
    </xf>
    <xf numFmtId="171" fontId="0" fillId="0" borderId="10" xfId="0" applyNumberFormat="1" applyBorder="1" applyAlignment="1">
      <alignment horizontal="left" vertical="center"/>
    </xf>
    <xf numFmtId="0" fontId="0" fillId="0" borderId="0" xfId="0" applyAlignment="1">
      <alignment horizontal="left" vertical="center"/>
    </xf>
    <xf numFmtId="171" fontId="0" fillId="0" borderId="0" xfId="0" applyNumberFormat="1" applyAlignment="1">
      <alignment horizontal="left" vertical="center"/>
    </xf>
    <xf numFmtId="0" fontId="2" fillId="3" borderId="10" xfId="0" applyFont="1" applyFill="1" applyBorder="1"/>
    <xf numFmtId="166" fontId="2" fillId="3" borderId="10" xfId="0" applyNumberFormat="1" applyFont="1" applyFill="1" applyBorder="1"/>
    <xf numFmtId="166" fontId="7" fillId="3" borderId="10" xfId="0" applyNumberFormat="1" applyFont="1" applyFill="1" applyBorder="1"/>
    <xf numFmtId="0" fontId="2" fillId="0" borderId="10" xfId="0" applyFont="1" applyBorder="1" applyAlignment="1">
      <alignment vertical="center" wrapText="1"/>
    </xf>
    <xf numFmtId="0" fontId="2" fillId="3" borderId="10" xfId="0" applyFont="1" applyFill="1" applyBorder="1" applyAlignment="1">
      <alignment wrapText="1"/>
    </xf>
    <xf numFmtId="0" fontId="2" fillId="2" borderId="10" xfId="0" applyFont="1" applyFill="1" applyBorder="1" applyAlignment="1">
      <alignment wrapText="1"/>
    </xf>
    <xf numFmtId="166" fontId="2" fillId="2" borderId="10" xfId="0" applyNumberFormat="1" applyFont="1" applyFill="1" applyBorder="1"/>
    <xf numFmtId="165" fontId="2" fillId="4" borderId="10" xfId="1" applyFont="1" applyFill="1" applyBorder="1"/>
    <xf numFmtId="165" fontId="2" fillId="0" borderId="10" xfId="1" applyFont="1" applyFill="1" applyBorder="1"/>
    <xf numFmtId="43" fontId="2" fillId="0" borderId="10" xfId="0" applyNumberFormat="1" applyFont="1" applyBorder="1"/>
    <xf numFmtId="0" fontId="2" fillId="7" borderId="10" xfId="0" applyFont="1" applyFill="1" applyBorder="1"/>
    <xf numFmtId="0" fontId="2" fillId="7" borderId="10" xfId="0" applyFont="1" applyFill="1" applyBorder="1" applyAlignment="1">
      <alignment wrapText="1"/>
    </xf>
    <xf numFmtId="166" fontId="2" fillId="7" borderId="10" xfId="0" applyNumberFormat="1" applyFont="1" applyFill="1" applyBorder="1"/>
    <xf numFmtId="169" fontId="2" fillId="0" borderId="10" xfId="0" applyNumberFormat="1" applyFont="1" applyBorder="1"/>
    <xf numFmtId="1" fontId="9" fillId="6" borderId="10" xfId="0" applyNumberFormat="1" applyFont="1" applyFill="1" applyBorder="1" applyAlignment="1">
      <alignment horizontal="center" vertical="center" shrinkToFit="1"/>
    </xf>
    <xf numFmtId="0" fontId="0" fillId="7" borderId="10" xfId="0" applyFill="1" applyBorder="1" applyAlignment="1">
      <alignment horizontal="right" vertical="center"/>
    </xf>
    <xf numFmtId="168" fontId="1" fillId="8" borderId="10" xfId="1" applyNumberFormat="1" applyFont="1" applyFill="1" applyBorder="1"/>
    <xf numFmtId="0" fontId="0" fillId="11" borderId="10" xfId="0" applyFill="1" applyBorder="1"/>
    <xf numFmtId="170" fontId="2" fillId="11" borderId="10" xfId="0" applyNumberFormat="1" applyFont="1" applyFill="1" applyBorder="1"/>
    <xf numFmtId="0" fontId="2" fillId="12" borderId="10" xfId="0" applyFont="1" applyFill="1" applyBorder="1"/>
    <xf numFmtId="0" fontId="2" fillId="0" borderId="2" xfId="0" applyFont="1" applyBorder="1"/>
    <xf numFmtId="170" fontId="0" fillId="8" borderId="10" xfId="0" applyNumberFormat="1" applyFill="1" applyBorder="1"/>
    <xf numFmtId="170" fontId="8" fillId="0" borderId="11" xfId="0" applyNumberFormat="1" applyFont="1" applyBorder="1"/>
    <xf numFmtId="0" fontId="8" fillId="0" borderId="10" xfId="0" applyFont="1" applyBorder="1" applyAlignment="1">
      <alignment horizontal="center"/>
    </xf>
    <xf numFmtId="14" fontId="2" fillId="0" borderId="10" xfId="0" applyNumberFormat="1" applyFont="1" applyBorder="1" applyAlignment="1">
      <alignment horizontal="center" vertical="center"/>
    </xf>
    <xf numFmtId="168" fontId="0" fillId="0" borderId="10" xfId="1" applyNumberFormat="1" applyFont="1" applyBorder="1" applyAlignment="1">
      <alignment horizontal="center" vertical="center"/>
    </xf>
    <xf numFmtId="14" fontId="2" fillId="11" borderId="10" xfId="0" applyNumberFormat="1" applyFont="1" applyFill="1" applyBorder="1" applyAlignment="1">
      <alignment horizontal="center" vertical="center"/>
    </xf>
    <xf numFmtId="0" fontId="0" fillId="11" borderId="10" xfId="0" applyFill="1" applyBorder="1" applyAlignment="1">
      <alignment horizontal="center" vertical="center"/>
    </xf>
    <xf numFmtId="168" fontId="0" fillId="11" borderId="10" xfId="1" applyNumberFormat="1" applyFont="1" applyFill="1" applyBorder="1" applyAlignment="1">
      <alignment horizontal="center" vertical="center"/>
    </xf>
    <xf numFmtId="168" fontId="2" fillId="11" borderId="10" xfId="1" applyNumberFormat="1" applyFont="1" applyFill="1" applyBorder="1" applyAlignment="1">
      <alignment horizontal="center" vertical="center"/>
    </xf>
    <xf numFmtId="168" fontId="2" fillId="0" borderId="10" xfId="1" applyNumberFormat="1" applyFont="1" applyBorder="1" applyAlignment="1">
      <alignment horizontal="center" vertical="center"/>
    </xf>
    <xf numFmtId="0" fontId="2" fillId="0" borderId="14" xfId="0" applyFont="1" applyBorder="1"/>
    <xf numFmtId="0" fontId="2" fillId="4" borderId="8" xfId="0" applyFont="1" applyFill="1" applyBorder="1"/>
    <xf numFmtId="0" fontId="11" fillId="4" borderId="10" xfId="0" applyFont="1" applyFill="1" applyBorder="1"/>
    <xf numFmtId="0" fontId="11" fillId="4" borderId="0" xfId="0" applyFont="1" applyFill="1"/>
    <xf numFmtId="14" fontId="2" fillId="4" borderId="10" xfId="0" applyNumberFormat="1" applyFont="1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168" fontId="0" fillId="4" borderId="10" xfId="1" applyNumberFormat="1" applyFont="1" applyFill="1" applyBorder="1" applyAlignment="1">
      <alignment horizontal="center" vertical="center"/>
    </xf>
    <xf numFmtId="14" fontId="8" fillId="0" borderId="10" xfId="0" applyNumberFormat="1" applyFont="1" applyBorder="1" applyAlignment="1">
      <alignment horizontal="center"/>
    </xf>
    <xf numFmtId="14" fontId="0" fillId="0" borderId="0" xfId="0" applyNumberFormat="1"/>
    <xf numFmtId="168" fontId="2" fillId="0" borderId="10" xfId="1" applyNumberFormat="1" applyFont="1" applyFill="1" applyBorder="1" applyAlignment="1">
      <alignment horizontal="center" vertical="center"/>
    </xf>
    <xf numFmtId="0" fontId="2" fillId="9" borderId="10" xfId="0" applyFont="1" applyFill="1" applyBorder="1" applyAlignment="1">
      <alignment horizontal="left" vertical="center"/>
    </xf>
    <xf numFmtId="14" fontId="2" fillId="9" borderId="10" xfId="0" applyNumberFormat="1" applyFont="1" applyFill="1" applyBorder="1" applyAlignment="1">
      <alignment horizontal="left" vertical="center"/>
    </xf>
    <xf numFmtId="0" fontId="11" fillId="0" borderId="10" xfId="0" applyFont="1" applyBorder="1"/>
    <xf numFmtId="0" fontId="11" fillId="0" borderId="0" xfId="0" applyFont="1"/>
    <xf numFmtId="0" fontId="11" fillId="12" borderId="10" xfId="0" applyFont="1" applyFill="1" applyBorder="1"/>
    <xf numFmtId="0" fontId="11" fillId="12" borderId="0" xfId="0" applyFont="1" applyFill="1"/>
    <xf numFmtId="0" fontId="2" fillId="12" borderId="0" xfId="0" applyFont="1" applyFill="1"/>
    <xf numFmtId="172" fontId="2" fillId="0" borderId="10" xfId="0" applyNumberFormat="1" applyFont="1" applyBorder="1"/>
    <xf numFmtId="0" fontId="2" fillId="0" borderId="11" xfId="0" applyFont="1" applyBorder="1"/>
    <xf numFmtId="0" fontId="0" fillId="0" borderId="11" xfId="0" applyBorder="1"/>
    <xf numFmtId="14" fontId="0" fillId="0" borderId="10" xfId="0" applyNumberFormat="1" applyBorder="1" applyAlignment="1">
      <alignment horizontal="center"/>
    </xf>
    <xf numFmtId="14" fontId="0" fillId="11" borderId="10" xfId="0" applyNumberFormat="1" applyFill="1" applyBorder="1" applyAlignment="1">
      <alignment horizontal="center" vertical="center"/>
    </xf>
    <xf numFmtId="0" fontId="11" fillId="0" borderId="2" xfId="0" applyFont="1" applyBorder="1"/>
    <xf numFmtId="0" fontId="3" fillId="0" borderId="0" xfId="0" applyFont="1" applyAlignment="1">
      <alignment horizontal="center"/>
    </xf>
    <xf numFmtId="0" fontId="8" fillId="0" borderId="11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8" fillId="0" borderId="11" xfId="0" applyFont="1" applyBorder="1" applyAlignment="1">
      <alignment horizontal="left"/>
    </xf>
    <xf numFmtId="0" fontId="8" fillId="0" borderId="12" xfId="0" applyFont="1" applyBorder="1" applyAlignment="1">
      <alignment horizontal="left"/>
    </xf>
    <xf numFmtId="170" fontId="2" fillId="12" borderId="10" xfId="0" applyNumberFormat="1" applyFont="1" applyFill="1" applyBorder="1" applyAlignment="1">
      <alignment horizontal="left" vertical="center"/>
    </xf>
    <xf numFmtId="0" fontId="2" fillId="12" borderId="10" xfId="0" applyFont="1" applyFill="1" applyBorder="1" applyAlignment="1">
      <alignment horizontal="left" vertical="center"/>
    </xf>
    <xf numFmtId="0" fontId="0" fillId="0" borderId="10" xfId="0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0" fillId="0" borderId="10" xfId="0" applyBorder="1" applyAlignment="1">
      <alignment horizontal="center" vertical="center"/>
    </xf>
    <xf numFmtId="166" fontId="2" fillId="0" borderId="10" xfId="0" applyNumberFormat="1" applyFont="1" applyBorder="1" applyAlignment="1">
      <alignment horizontal="center" vertical="center" wrapText="1"/>
    </xf>
    <xf numFmtId="0" fontId="0" fillId="3" borderId="10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 wrapText="1"/>
    </xf>
    <xf numFmtId="166" fontId="0" fillId="0" borderId="10" xfId="0" applyNumberFormat="1" applyBorder="1" applyAlignment="1">
      <alignment horizontal="center" vertical="center"/>
    </xf>
    <xf numFmtId="14" fontId="2" fillId="7" borderId="12" xfId="0" applyNumberFormat="1" applyFont="1" applyFill="1" applyBorder="1" applyAlignment="1">
      <alignment horizontal="center" vertical="center" wrapText="1"/>
    </xf>
    <xf numFmtId="14" fontId="2" fillId="0" borderId="12" xfId="0" applyNumberFormat="1" applyFont="1" applyBorder="1"/>
    <xf numFmtId="14" fontId="2" fillId="3" borderId="12" xfId="0" applyNumberFormat="1" applyFont="1" applyFill="1" applyBorder="1"/>
    <xf numFmtId="14" fontId="2" fillId="2" borderId="12" xfId="0" applyNumberFormat="1" applyFont="1" applyFill="1" applyBorder="1"/>
    <xf numFmtId="14" fontId="2" fillId="7" borderId="12" xfId="0" applyNumberFormat="1" applyFont="1" applyFill="1" applyBorder="1"/>
    <xf numFmtId="14" fontId="7" fillId="0" borderId="12" xfId="0" applyNumberFormat="1" applyFont="1" applyBorder="1"/>
    <xf numFmtId="14" fontId="0" fillId="2" borderId="12" xfId="0" applyNumberFormat="1" applyFill="1" applyBorder="1"/>
    <xf numFmtId="14" fontId="2" fillId="4" borderId="12" xfId="0" applyNumberFormat="1" applyFont="1" applyFill="1" applyBorder="1"/>
    <xf numFmtId="14" fontId="2" fillId="0" borderId="3" xfId="0" applyNumberFormat="1" applyFont="1" applyBorder="1"/>
    <xf numFmtId="14" fontId="11" fillId="4" borderId="12" xfId="0" applyNumberFormat="1" applyFont="1" applyFill="1" applyBorder="1"/>
    <xf numFmtId="14" fontId="2" fillId="12" borderId="12" xfId="0" applyNumberFormat="1" applyFont="1" applyFill="1" applyBorder="1"/>
    <xf numFmtId="14" fontId="11" fillId="0" borderId="12" xfId="0" applyNumberFormat="1" applyFont="1" applyBorder="1"/>
    <xf numFmtId="14" fontId="0" fillId="0" borderId="12" xfId="0" applyNumberFormat="1" applyBorder="1"/>
    <xf numFmtId="173" fontId="2" fillId="7" borderId="10" xfId="0" applyNumberFormat="1" applyFont="1" applyFill="1" applyBorder="1" applyAlignment="1">
      <alignment horizontal="center" vertical="center"/>
    </xf>
    <xf numFmtId="173" fontId="2" fillId="0" borderId="10" xfId="0" applyNumberFormat="1" applyFont="1" applyBorder="1"/>
    <xf numFmtId="173" fontId="2" fillId="3" borderId="10" xfId="0" applyNumberFormat="1" applyFont="1" applyFill="1" applyBorder="1"/>
    <xf numFmtId="173" fontId="2" fillId="2" borderId="10" xfId="0" applyNumberFormat="1" applyFont="1" applyFill="1" applyBorder="1"/>
    <xf numFmtId="173" fontId="2" fillId="7" borderId="10" xfId="0" applyNumberFormat="1" applyFont="1" applyFill="1" applyBorder="1"/>
    <xf numFmtId="173" fontId="7" fillId="0" borderId="10" xfId="0" applyNumberFormat="1" applyFont="1" applyBorder="1"/>
    <xf numFmtId="173" fontId="2" fillId="0" borderId="10" xfId="1" applyNumberFormat="1" applyFont="1" applyFill="1" applyBorder="1"/>
    <xf numFmtId="173" fontId="2" fillId="0" borderId="10" xfId="1" applyNumberFormat="1" applyFont="1" applyBorder="1"/>
    <xf numFmtId="173" fontId="2" fillId="2" borderId="10" xfId="1" applyNumberFormat="1" applyFont="1" applyFill="1" applyBorder="1"/>
    <xf numFmtId="173" fontId="2" fillId="3" borderId="10" xfId="1" applyNumberFormat="1" applyFont="1" applyFill="1" applyBorder="1"/>
    <xf numFmtId="173" fontId="9" fillId="0" borderId="10" xfId="0" applyNumberFormat="1" applyFont="1" applyBorder="1" applyAlignment="1">
      <alignment horizontal="right" vertical="center" shrinkToFit="1"/>
    </xf>
    <xf numFmtId="173" fontId="0" fillId="2" borderId="10" xfId="1" applyNumberFormat="1" applyFont="1" applyFill="1" applyBorder="1"/>
    <xf numFmtId="173" fontId="2" fillId="4" borderId="10" xfId="1" applyNumberFormat="1" applyFont="1" applyFill="1" applyBorder="1"/>
    <xf numFmtId="173" fontId="2" fillId="0" borderId="2" xfId="1" applyNumberFormat="1" applyFont="1" applyBorder="1"/>
    <xf numFmtId="173" fontId="2" fillId="0" borderId="8" xfId="1" applyNumberFormat="1" applyFont="1" applyFill="1" applyBorder="1"/>
    <xf numFmtId="173" fontId="2" fillId="4" borderId="8" xfId="1" applyNumberFormat="1" applyFont="1" applyFill="1" applyBorder="1"/>
    <xf numFmtId="173" fontId="11" fillId="4" borderId="10" xfId="1" applyNumberFormat="1" applyFont="1" applyFill="1" applyBorder="1"/>
    <xf numFmtId="173" fontId="11" fillId="0" borderId="10" xfId="1" applyNumberFormat="1" applyFont="1" applyFill="1" applyBorder="1"/>
    <xf numFmtId="173" fontId="11" fillId="0" borderId="2" xfId="1" applyNumberFormat="1" applyFont="1" applyFill="1" applyBorder="1"/>
    <xf numFmtId="173" fontId="2" fillId="0" borderId="2" xfId="1" applyNumberFormat="1" applyFont="1" applyFill="1" applyBorder="1"/>
    <xf numFmtId="173" fontId="1" fillId="0" borderId="10" xfId="1" applyNumberFormat="1" applyFont="1" applyFill="1" applyBorder="1"/>
    <xf numFmtId="173" fontId="0" fillId="0" borderId="10" xfId="0" applyNumberFormat="1" applyBorder="1"/>
    <xf numFmtId="173" fontId="0" fillId="0" borderId="0" xfId="0" applyNumberFormat="1"/>
    <xf numFmtId="174" fontId="2" fillId="7" borderId="10" xfId="1" applyNumberFormat="1" applyFont="1" applyFill="1" applyBorder="1" applyAlignment="1">
      <alignment horizontal="center" vertical="center"/>
    </xf>
    <xf numFmtId="174" fontId="2" fillId="0" borderId="10" xfId="1" applyNumberFormat="1" applyFont="1" applyBorder="1"/>
    <xf numFmtId="174" fontId="2" fillId="3" borderId="10" xfId="1" applyNumberFormat="1" applyFont="1" applyFill="1" applyBorder="1"/>
    <xf numFmtId="174" fontId="2" fillId="0" borderId="10" xfId="1" applyNumberFormat="1" applyFont="1" applyFill="1" applyBorder="1"/>
    <xf numFmtId="174" fontId="2" fillId="2" borderId="10" xfId="1" applyNumberFormat="1" applyFont="1" applyFill="1" applyBorder="1"/>
    <xf numFmtId="174" fontId="2" fillId="7" borderId="10" xfId="1" applyNumberFormat="1" applyFont="1" applyFill="1" applyBorder="1"/>
    <xf numFmtId="174" fontId="7" fillId="0" borderId="10" xfId="1" applyNumberFormat="1" applyFont="1" applyBorder="1"/>
    <xf numFmtId="174" fontId="10" fillId="0" borderId="10" xfId="0" applyNumberFormat="1" applyFont="1" applyBorder="1" applyAlignment="1">
      <alignment horizontal="right" vertical="center" shrinkToFit="1"/>
    </xf>
    <xf numFmtId="174" fontId="9" fillId="0" borderId="10" xfId="0" applyNumberFormat="1" applyFont="1" applyBorder="1" applyAlignment="1">
      <alignment horizontal="right" vertical="center" shrinkToFit="1"/>
    </xf>
    <xf numFmtId="174" fontId="0" fillId="2" borderId="10" xfId="1" applyNumberFormat="1" applyFont="1" applyFill="1" applyBorder="1"/>
    <xf numFmtId="174" fontId="2" fillId="4" borderId="10" xfId="1" applyNumberFormat="1" applyFont="1" applyFill="1" applyBorder="1"/>
    <xf numFmtId="174" fontId="2" fillId="0" borderId="2" xfId="1" applyNumberFormat="1" applyFont="1" applyBorder="1"/>
    <xf numFmtId="174" fontId="2" fillId="0" borderId="0" xfId="1" applyNumberFormat="1" applyFont="1" applyFill="1" applyBorder="1"/>
    <xf numFmtId="174" fontId="2" fillId="4" borderId="0" xfId="1" applyNumberFormat="1" applyFont="1" applyFill="1" applyBorder="1"/>
    <xf numFmtId="174" fontId="11" fillId="4" borderId="10" xfId="1" applyNumberFormat="1" applyFont="1" applyFill="1" applyBorder="1"/>
    <xf numFmtId="174" fontId="11" fillId="0" borderId="10" xfId="1" applyNumberFormat="1" applyFont="1" applyFill="1" applyBorder="1"/>
    <xf numFmtId="174" fontId="11" fillId="0" borderId="2" xfId="1" applyNumberFormat="1" applyFont="1" applyFill="1" applyBorder="1"/>
    <xf numFmtId="174" fontId="2" fillId="0" borderId="2" xfId="1" applyNumberFormat="1" applyFont="1" applyFill="1" applyBorder="1"/>
    <xf numFmtId="174" fontId="1" fillId="0" borderId="10" xfId="1" applyNumberFormat="1" applyFont="1" applyFill="1" applyBorder="1"/>
    <xf numFmtId="174" fontId="0" fillId="0" borderId="10" xfId="1" applyNumberFormat="1" applyFont="1" applyBorder="1"/>
    <xf numFmtId="174" fontId="0" fillId="0" borderId="0" xfId="1" applyNumberFormat="1" applyFont="1"/>
    <xf numFmtId="174" fontId="2" fillId="7" borderId="10" xfId="0" applyNumberFormat="1" applyFont="1" applyFill="1" applyBorder="1" applyAlignment="1">
      <alignment horizontal="center" vertical="center"/>
    </xf>
    <xf numFmtId="174" fontId="2" fillId="0" borderId="10" xfId="0" applyNumberFormat="1" applyFont="1" applyBorder="1"/>
    <xf numFmtId="174" fontId="2" fillId="3" borderId="10" xfId="0" applyNumberFormat="1" applyFont="1" applyFill="1" applyBorder="1"/>
    <xf numFmtId="174" fontId="2" fillId="2" borderId="10" xfId="0" applyNumberFormat="1" applyFont="1" applyFill="1" applyBorder="1"/>
    <xf numFmtId="174" fontId="2" fillId="7" borderId="10" xfId="0" applyNumberFormat="1" applyFont="1" applyFill="1" applyBorder="1"/>
    <xf numFmtId="174" fontId="7" fillId="0" borderId="10" xfId="0" applyNumberFormat="1" applyFont="1" applyBorder="1"/>
    <xf numFmtId="174" fontId="2" fillId="5" borderId="10" xfId="0" applyNumberFormat="1" applyFont="1" applyFill="1" applyBorder="1"/>
    <xf numFmtId="174" fontId="2" fillId="4" borderId="10" xfId="0" applyNumberFormat="1" applyFont="1" applyFill="1" applyBorder="1"/>
    <xf numFmtId="174" fontId="11" fillId="4" borderId="10" xfId="0" applyNumberFormat="1" applyFont="1" applyFill="1" applyBorder="1"/>
    <xf numFmtId="174" fontId="11" fillId="0" borderId="10" xfId="0" applyNumberFormat="1" applyFont="1" applyBorder="1"/>
    <xf numFmtId="174" fontId="12" fillId="0" borderId="10" xfId="0" applyNumberFormat="1" applyFont="1" applyBorder="1"/>
    <xf numFmtId="174" fontId="0" fillId="0" borderId="0" xfId="0" applyNumberFormat="1"/>
    <xf numFmtId="14" fontId="0" fillId="0" borderId="3" xfId="0" applyNumberFormat="1" applyBorder="1"/>
    <xf numFmtId="0" fontId="0" fillId="0" borderId="2" xfId="0" applyBorder="1"/>
    <xf numFmtId="174" fontId="0" fillId="0" borderId="2" xfId="1" applyNumberFormat="1" applyFont="1" applyBorder="1"/>
    <xf numFmtId="173" fontId="0" fillId="0" borderId="2" xfId="0" applyNumberFormat="1" applyBorder="1"/>
    <xf numFmtId="174" fontId="12" fillId="0" borderId="2" xfId="0" applyNumberFormat="1" applyFont="1" applyBorder="1"/>
    <xf numFmtId="0" fontId="0" fillId="0" borderId="0" xfId="0" applyBorder="1"/>
  </cellXfs>
  <cellStyles count="2">
    <cellStyle name="Milliers" xfId="1" builtinId="3"/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74" formatCode="#,##0\ [$XOF]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4" formatCode="#,##0\ [$XOF]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73" formatCode="_-* #,##0\ [$XOF]_-;\-* #,##0\ [$XOF]_-;_-* &quot;-&quot;\ [$XOF]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</dxfs>
  <tableStyles count="1" defaultTableStyle="TableStyleMedium9" defaultPivotStyle="PivotStyleLight16">
    <tableStyle name="Invisible" pivot="0" table="0" count="0" xr9:uid="{B66F1705-A850-4957-BC9A-7644BC6F7BE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microsoft.com/office/2017/06/relationships/rdRichValueTypes" Target="richData/rdRichValueTyp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microsoft.com/office/2017/06/relationships/rdRichValueStructure" Target="richData/rdrichvaluestructur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fb t="e">#NAME?</fb>
    <v>4</v>
    <v>1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DAB02F-A3D6-442F-A36C-B5B5E06638DB}" name="Tableau1" displayName="Tableau1" ref="A3:XFD963" totalsRowShown="0" tableBorderDxfId="9">
  <tableColumns count="16384">
    <tableColumn id="1" xr3:uid="{EA663655-D9AC-49C1-AA6A-642B3B36739B}" name="Date" dataDxfId="8"/>
    <tableColumn id="2" xr3:uid="{897EE224-4ED1-467D-8F14-243CDB93EFEF}" name="DESCRIPTION" dataDxfId="7"/>
    <tableColumn id="3" xr3:uid="{09366D75-4B28-4080-AD86-2DC28D97B3C8}" name="CREDIT" dataDxfId="1" dataCellStyle="Milliers"/>
    <tableColumn id="4" xr3:uid="{4A5DF947-21EF-4ADB-867B-FF32BDD76D62}" name="DEBIT " dataDxfId="2"/>
    <tableColumn id="5" xr3:uid="{EF0AE024-A6F8-444E-8522-F8B22DD83925}" name="SOLDE" dataDxfId="0">
      <calculatedColumnFormula>E3+C4-D4</calculatedColumnFormula>
    </tableColumn>
    <tableColumn id="6" xr3:uid="{F69A9384-4115-4704-9A35-BB3BE68DF412}" name="NUM DE CHEQUE" dataDxfId="6"/>
    <tableColumn id="7" xr3:uid="{EBC5E49B-3C3F-4D7D-8EFD-F63B4DBF9D7F}" name="MOTIF" dataDxfId="5"/>
    <tableColumn id="8" xr3:uid="{5D492254-DCED-4F0E-8E27-01BE96180DD1}" name="CATEGORIE" dataDxfId="4"/>
    <tableColumn id="9" xr3:uid="{CF4C846B-73C1-45B4-8720-D582A0CC815F}" name="Colonne1"/>
    <tableColumn id="10" xr3:uid="{CEAA5B6A-B136-4087-B948-570CF16FBE4F}" name="Colonne2"/>
    <tableColumn id="11" xr3:uid="{8265BDB3-FA38-4C2C-89F5-8D5257E97A97}" name="Colonne3"/>
    <tableColumn id="12" xr3:uid="{D053C38A-F0F3-4A34-BBAA-C0EE02268902}" name="Colonne4"/>
    <tableColumn id="13" xr3:uid="{6008B5B6-AB61-455C-BFB0-3D788E90C003}" name="Colonne5"/>
    <tableColumn id="14" xr3:uid="{CBD63B27-B9B9-4626-9652-D6ACAFCF69D5}" name="Colonne6"/>
    <tableColumn id="15" xr3:uid="{1E89B024-E28D-4CED-A5AC-92132B1C166B}" name="Colonne7"/>
    <tableColumn id="16" xr3:uid="{A1EF548E-CFC1-45F0-8913-9CBF3BB8CE05}" name="Colonne8"/>
    <tableColumn id="17" xr3:uid="{AB0803D9-84AE-44F2-9B40-C22C315DEB53}" name="Colonne9"/>
    <tableColumn id="18" xr3:uid="{F40D11A6-7EFC-4CAF-AFD8-B9AC2B3351ED}" name="Colonne10"/>
    <tableColumn id="19" xr3:uid="{02077B9B-202F-4A3C-BD0A-80134975E0D6}" name="Colonne11"/>
    <tableColumn id="20" xr3:uid="{01243867-4A4F-4955-BAB7-C820831A1235}" name="Colonne12"/>
    <tableColumn id="21" xr3:uid="{E3C94196-8719-4235-8C3A-D661B2C65E4C}" name="Colonne13"/>
    <tableColumn id="22" xr3:uid="{71373165-B408-44DB-A78E-190144E89564}" name="Colonne14"/>
    <tableColumn id="23" xr3:uid="{080AE89D-6DC5-4580-8A6A-CEB6AB694C65}" name="Colonne15"/>
    <tableColumn id="24" xr3:uid="{9BACF140-7435-49D0-98D0-5A6406CBC4D5}" name="Colonne16"/>
    <tableColumn id="25" xr3:uid="{AADECEEC-9336-40C1-BA6B-87A2209710D3}" name="Colonne17"/>
    <tableColumn id="26" xr3:uid="{572E16AE-7360-41BA-897E-9B74FF5424FB}" name="Colonne18"/>
    <tableColumn id="27" xr3:uid="{B3D587AF-814E-41C3-96B4-278328B40D4E}" name="Colonne19"/>
    <tableColumn id="28" xr3:uid="{D67B5256-DDBA-4002-A672-895E3B0AB6D9}" name="Colonne20"/>
    <tableColumn id="29" xr3:uid="{517BA938-8E4F-418C-87CB-7A7288BE1432}" name="Colonne21"/>
    <tableColumn id="30" xr3:uid="{41E363D1-F6B8-4266-A547-6F6A249E0BD9}" name="Colonne22"/>
    <tableColumn id="31" xr3:uid="{5261E722-DE2C-45DE-A5C5-C02DD06115F7}" name="Colonne23"/>
    <tableColumn id="32" xr3:uid="{D1A2A6E9-F56D-4E3E-B921-8D0CF90CAEED}" name="Colonne24"/>
    <tableColumn id="33" xr3:uid="{BA4335F3-023F-48A8-9D51-C964186B61D8}" name="Colonne25"/>
    <tableColumn id="34" xr3:uid="{2BD44427-1AE2-4096-988E-EA5082B7C445}" name="Colonne26"/>
    <tableColumn id="35" xr3:uid="{58190F87-148B-474E-A965-ED2D712D179D}" name="Colonne27"/>
    <tableColumn id="36" xr3:uid="{E9DC44DB-8F61-4934-91BC-4CAA31567E3B}" name="Colonne28"/>
    <tableColumn id="37" xr3:uid="{B2E1F236-8527-416E-A0EA-574C8BF002B7}" name="Colonne29"/>
    <tableColumn id="38" xr3:uid="{B07483B5-F56F-4B6E-9B74-157EDAE880B1}" name="Colonne30"/>
    <tableColumn id="39" xr3:uid="{2C072160-3278-460B-B7D4-503C63D58C9F}" name="Colonne31"/>
    <tableColumn id="40" xr3:uid="{0057CCF4-049F-419B-8A79-BCB2967AD6EF}" name="Colonne32"/>
    <tableColumn id="41" xr3:uid="{34C3E99D-C035-4C32-B3D1-5603E5444761}" name="Colonne33"/>
    <tableColumn id="42" xr3:uid="{A5DE952C-6F16-4971-8010-DACD0B9E192F}" name="Colonne34"/>
    <tableColumn id="43" xr3:uid="{3DC17DC6-A8E6-4C62-B84D-2A564C4B3093}" name="Colonne35"/>
    <tableColumn id="44" xr3:uid="{4363E1E5-D31F-450B-8E53-A8FDCF0BA28B}" name="Colonne36"/>
    <tableColumn id="45" xr3:uid="{1F9571FE-0FDE-4EB2-9C98-6EDB22370D08}" name="Colonne37"/>
    <tableColumn id="46" xr3:uid="{F59AD2DB-3AD2-4347-9976-0A8921B54AED}" name="Colonne38"/>
    <tableColumn id="47" xr3:uid="{8EA570AE-0104-4BE9-B605-056DBC575ECD}" name="Colonne39"/>
    <tableColumn id="48" xr3:uid="{47B338F3-E82C-49FD-8358-5F566F2492CF}" name="Colonne40"/>
    <tableColumn id="49" xr3:uid="{D1625BCE-3B75-43CA-A075-A9E5B7A6062B}" name="Colonne41"/>
    <tableColumn id="50" xr3:uid="{6F0E5DED-9FCA-4C21-AD3B-844D782D7CB6}" name="Colonne42"/>
    <tableColumn id="51" xr3:uid="{0E18C144-3979-49B1-9AF6-6C6044FC5385}" name="Colonne43"/>
    <tableColumn id="52" xr3:uid="{DF0EADA0-6DFB-4296-B1AF-36F5B7408AB2}" name="Colonne44"/>
    <tableColumn id="53" xr3:uid="{10E7C6D6-8506-4B07-A4FF-F0A565905E18}" name="Colonne45"/>
    <tableColumn id="54" xr3:uid="{A33FA15D-E553-43F0-A13C-CB324E41E73E}" name="Colonne46"/>
    <tableColumn id="55" xr3:uid="{2DFB654F-09F8-489F-8B96-73A11F1DA08A}" name="Colonne47"/>
    <tableColumn id="56" xr3:uid="{29EA1500-1987-461E-ABB2-FC4C9EFF4315}" name="Colonne48"/>
    <tableColumn id="57" xr3:uid="{56666481-B956-4C4F-A9A2-9FBB48324D05}" name="Colonne49"/>
    <tableColumn id="58" xr3:uid="{6B5B5973-C30C-4374-BEB9-E0F209DBEBA3}" name="Colonne50"/>
    <tableColumn id="59" xr3:uid="{6F3A7752-4BD9-4EAA-90BF-69E2DBF0FD77}" name="Colonne51"/>
    <tableColumn id="60" xr3:uid="{779CCA01-FA6E-4401-B429-36E1CF8CA542}" name="Colonne52"/>
    <tableColumn id="61" xr3:uid="{627B4342-4DF8-4047-8E60-847C1FCA049D}" name="Colonne53"/>
    <tableColumn id="62" xr3:uid="{E64427A1-E954-4ADA-AC68-2AEBBE937361}" name="Colonne54"/>
    <tableColumn id="63" xr3:uid="{F208B3B6-FC8F-4133-A475-AB0F973367E7}" name="Colonne55"/>
    <tableColumn id="64" xr3:uid="{48E83023-DD72-4725-9114-2D2F599C8F6F}" name="Colonne56"/>
    <tableColumn id="65" xr3:uid="{A1A114B1-442A-49C8-ACF9-37EF906DE76A}" name="Colonne57"/>
    <tableColumn id="66" xr3:uid="{BA14DFCB-6109-42C7-8626-7F8FE3C84265}" name="Colonne58"/>
    <tableColumn id="67" xr3:uid="{C2C4D2D7-C0D9-4B58-9E63-2DAE44C4CF65}" name="Colonne59"/>
    <tableColumn id="68" xr3:uid="{19EAB4CB-E528-4277-81DD-689CC75B99C2}" name="Colonne60"/>
    <tableColumn id="69" xr3:uid="{5B43D710-5389-42EB-BFDE-C2AD6BD57041}" name="Colonne61"/>
    <tableColumn id="70" xr3:uid="{2D96AFBE-2457-4A6A-B45E-5A129E42429F}" name="Colonne62"/>
    <tableColumn id="71" xr3:uid="{8A36D54E-0566-4AC1-A29E-2A820FC93877}" name="Colonne63"/>
    <tableColumn id="72" xr3:uid="{68656755-3678-4F16-96C4-C9E54DEDF3CD}" name="Colonne64"/>
    <tableColumn id="73" xr3:uid="{1AFB8A7E-CE67-402A-81B8-D84C8CD592AC}" name="Colonne65"/>
    <tableColumn id="74" xr3:uid="{E648FE5D-7159-43F3-8FD2-A2DD9BE123DA}" name="Colonne66"/>
    <tableColumn id="75" xr3:uid="{88140FC7-6679-478E-9EA9-68217984F99A}" name="Colonne67"/>
    <tableColumn id="76" xr3:uid="{0588F5DB-D8E2-48E4-A7C0-E07BD0E56CF6}" name="Colonne68"/>
    <tableColumn id="77" xr3:uid="{4215026D-01BF-487C-B53D-FBF91F0CE095}" name="Colonne69"/>
    <tableColumn id="78" xr3:uid="{41C5F8FD-3C32-4F1D-B024-738D660AF0C4}" name="Colonne70"/>
    <tableColumn id="79" xr3:uid="{9C156AE0-0B85-446B-A0A0-7B482D160755}" name="Colonne71"/>
    <tableColumn id="80" xr3:uid="{A3F648A1-0573-477A-9650-7F198E09AD5E}" name="Colonne72"/>
    <tableColumn id="81" xr3:uid="{AABA50D9-F78D-434D-87CC-B9D48903EB44}" name="Colonne73"/>
    <tableColumn id="82" xr3:uid="{03255ADD-F1C5-4E3A-918D-13B538338CE6}" name="Colonne74"/>
    <tableColumn id="83" xr3:uid="{792CE519-E2F5-4A39-B8BE-2AF6AC2D93AE}" name="Colonne75"/>
    <tableColumn id="84" xr3:uid="{0DCD941B-3C06-43CD-A513-1742CED15872}" name="Colonne76"/>
    <tableColumn id="85" xr3:uid="{EA191799-8FC2-4138-BA37-FCB5FEAA883C}" name="Colonne77"/>
    <tableColumn id="86" xr3:uid="{6D50DCD5-6FC3-4DB6-B202-59BA9F1032C2}" name="Colonne78"/>
    <tableColumn id="87" xr3:uid="{6D1789B0-E348-4AD7-9597-15AEC19DD8CD}" name="Colonne79"/>
    <tableColumn id="88" xr3:uid="{D19E9128-FA15-4C9D-9904-2DF460A2714E}" name="Colonne80"/>
    <tableColumn id="89" xr3:uid="{501558BE-C748-4021-ADAA-FBCC15E209BF}" name="Colonne81"/>
    <tableColumn id="90" xr3:uid="{496AE9E2-314D-4F40-8C1A-2F62E18033A1}" name="Colonne82"/>
    <tableColumn id="91" xr3:uid="{C2466CBB-6D2A-4EFD-8E66-5B850601EBD6}" name="Colonne83"/>
    <tableColumn id="92" xr3:uid="{787BC54B-442E-4CAE-8943-741CC45C8532}" name="Colonne84"/>
    <tableColumn id="93" xr3:uid="{60FB3016-2B5A-456E-B86D-B16880259C73}" name="Colonne85"/>
    <tableColumn id="94" xr3:uid="{7677D5A9-411C-4522-9260-4D62C5159035}" name="Colonne86"/>
    <tableColumn id="95" xr3:uid="{8C7BB3E8-C9B7-4E6F-9A72-47EDDBC459AD}" name="Colonne87"/>
    <tableColumn id="96" xr3:uid="{9A3DC349-8F01-43E5-B474-F9C5D8442886}" name="Colonne88"/>
    <tableColumn id="97" xr3:uid="{8597FDA6-681E-4F9C-AFF2-045BF56ACF19}" name="Colonne89"/>
    <tableColumn id="98" xr3:uid="{7C9CBE86-32C2-4771-BDCA-3124BCA75EEA}" name="Colonne90"/>
    <tableColumn id="99" xr3:uid="{B96D6F8E-72C4-42AF-9032-185A02A99463}" name="Colonne91"/>
    <tableColumn id="100" xr3:uid="{3CF91ED9-D7EF-4907-B77C-A09C296CC9CF}" name="Colonne92"/>
    <tableColumn id="101" xr3:uid="{3D38E66D-B502-4BEC-A5E9-211910DA4874}" name="Colonne93"/>
    <tableColumn id="102" xr3:uid="{AD9C2B3C-54E8-485F-A63B-8AB621BF44BD}" name="Colonne94"/>
    <tableColumn id="103" xr3:uid="{D49258C0-4F0A-41DA-B5DE-D0A3C3C1D1A7}" name="Colonne95"/>
    <tableColumn id="104" xr3:uid="{7A5EDA45-DCE0-44AB-88CD-3E03AF88D6AD}" name="Colonne96"/>
    <tableColumn id="105" xr3:uid="{E665DA80-059A-4133-A7C6-6A279485976D}" name="Colonne97"/>
    <tableColumn id="106" xr3:uid="{A2BEBBA8-8876-4485-BA89-0EDCAC923219}" name="Colonne98"/>
    <tableColumn id="107" xr3:uid="{1A3C68CB-B1D0-4D3A-82BA-99163608A0CA}" name="Colonne99"/>
    <tableColumn id="108" xr3:uid="{01C1ADD8-E560-4649-899D-C2F1E2A886A0}" name="Colonne100"/>
    <tableColumn id="109" xr3:uid="{D8A72BC6-4207-4BCF-9B2A-3F64C62A28C7}" name="Colonne101"/>
    <tableColumn id="110" xr3:uid="{D6FCC081-51DA-4320-8551-2C4F5DA446A9}" name="Colonne102"/>
    <tableColumn id="111" xr3:uid="{763247BB-B52F-4B20-9F93-539BE1C0634A}" name="Colonne103"/>
    <tableColumn id="112" xr3:uid="{458AB7D3-EB29-4665-B416-409D2843B2D3}" name="Colonne104"/>
    <tableColumn id="113" xr3:uid="{848BBDF8-6DBA-4961-9F41-EF6EE7EA3C5B}" name="Colonne105"/>
    <tableColumn id="114" xr3:uid="{37AB243D-D60C-4A50-A907-2AB4A698B4C7}" name="Colonne106"/>
    <tableColumn id="115" xr3:uid="{728460A1-2465-4DE9-9504-045A2C4D250C}" name="Colonne107"/>
    <tableColumn id="116" xr3:uid="{B96E0FED-33F3-4FA4-9802-32811F86A899}" name="Colonne108"/>
    <tableColumn id="117" xr3:uid="{DFF0786D-CA1C-4D7E-9B9F-E518BCF2A701}" name="Colonne109"/>
    <tableColumn id="118" xr3:uid="{1B940239-DA73-4855-8FEB-AD8B4FAEDB92}" name="Colonne110"/>
    <tableColumn id="119" xr3:uid="{DF0CDAB7-E84F-4D45-A4D1-446367665E63}" name="Colonne111"/>
    <tableColumn id="120" xr3:uid="{FBC5F1D6-6081-44FB-9DB2-4ECE6D55EF34}" name="Colonne112"/>
    <tableColumn id="121" xr3:uid="{3B466053-8847-478F-B345-D204B225BBC9}" name="Colonne113"/>
    <tableColumn id="122" xr3:uid="{164D421A-03EE-4223-9FA3-8AF83E4066AA}" name="Colonne114"/>
    <tableColumn id="123" xr3:uid="{E1BBA185-668D-4A9D-A541-4331726D1131}" name="Colonne115"/>
    <tableColumn id="124" xr3:uid="{8F00381A-528A-4465-BB43-A4CFE2E04CD2}" name="Colonne116"/>
    <tableColumn id="125" xr3:uid="{9A9DDDDE-B760-42AB-BC5E-5FA7782B6A76}" name="Colonne117"/>
    <tableColumn id="126" xr3:uid="{97F99079-A672-46D0-9DA0-145EEFD718C2}" name="Colonne118"/>
    <tableColumn id="127" xr3:uid="{153F0E68-375F-4D00-BF36-7DF5F7AFA93B}" name="Colonne119"/>
    <tableColumn id="128" xr3:uid="{016B341D-5683-46E2-B106-73E1651FF61C}" name="Colonne120"/>
    <tableColumn id="129" xr3:uid="{CE9BD129-C1BC-4959-9EC4-18A5F5FF17F7}" name="Colonne121"/>
    <tableColumn id="130" xr3:uid="{73C1E2FE-EB65-4AD2-A1E8-155E7BD4942F}" name="Colonne122"/>
    <tableColumn id="131" xr3:uid="{0822FCC2-DB61-4442-94FF-64631285F6BB}" name="Colonne123"/>
    <tableColumn id="132" xr3:uid="{17E090CE-61A9-4740-BE96-836340A458D9}" name="Colonne124"/>
    <tableColumn id="133" xr3:uid="{53B1677C-F292-4425-9650-0B8C84CABB02}" name="Colonne125"/>
    <tableColumn id="134" xr3:uid="{199B12D1-33E8-481C-A6D8-F7EFAD529222}" name="Colonne126"/>
    <tableColumn id="135" xr3:uid="{FA1773C5-5AB4-486E-A0E7-7E67E06668A4}" name="Colonne127"/>
    <tableColumn id="136" xr3:uid="{1E809868-E60C-4817-8F92-4697636FC9EB}" name="Colonne128"/>
    <tableColumn id="137" xr3:uid="{4F05A920-846F-49C4-9E35-CB3CF156A41F}" name="Colonne129"/>
    <tableColumn id="138" xr3:uid="{87BC81DC-0609-4F1B-8B78-22E0025E06D2}" name="Colonne130"/>
    <tableColumn id="139" xr3:uid="{A60B885E-DC79-46AF-8CA5-BCF8DAB6D6B6}" name="Colonne131"/>
    <tableColumn id="140" xr3:uid="{15C74AA9-D3A2-4F3F-BB0E-81B28A768F31}" name="Colonne132"/>
    <tableColumn id="141" xr3:uid="{7DC2B5C8-4C0E-417C-A7EA-8E9523932EB2}" name="Colonne133"/>
    <tableColumn id="142" xr3:uid="{DD9789CD-D8DE-42EE-B373-47AA213B394D}" name="Colonne134"/>
    <tableColumn id="143" xr3:uid="{DC35EFA7-5E59-4CAC-87D0-06E010046A30}" name="Colonne135"/>
    <tableColumn id="144" xr3:uid="{1DD4D08E-A663-4B62-84B9-9078A2A33F85}" name="Colonne136"/>
    <tableColumn id="145" xr3:uid="{48FD897B-6541-46BE-974E-75363BA0AD30}" name="Colonne137"/>
    <tableColumn id="146" xr3:uid="{69CF088B-1A88-432F-A7DD-B2365E0D3DB7}" name="Colonne138"/>
    <tableColumn id="147" xr3:uid="{622230D6-1E9A-438D-945E-C2CC617305F2}" name="Colonne139"/>
    <tableColumn id="148" xr3:uid="{F6423E48-E5ED-45E1-929F-6C37798AB774}" name="Colonne140"/>
    <tableColumn id="149" xr3:uid="{C590BEF0-250D-462A-A890-0407DB0004D1}" name="Colonne141"/>
    <tableColumn id="150" xr3:uid="{114B616D-B9B2-4CC1-B7FA-53FEA2660F7F}" name="Colonne142"/>
    <tableColumn id="151" xr3:uid="{F97E210C-B26D-428A-9D8A-48A59812581F}" name="Colonne143"/>
    <tableColumn id="152" xr3:uid="{917000C0-7517-43EB-A1A2-27933A737B6C}" name="Colonne144"/>
    <tableColumn id="153" xr3:uid="{EA7A38C4-6CB1-4F7E-9C2A-F0F156A82ACA}" name="Colonne145"/>
    <tableColumn id="154" xr3:uid="{5D0CD9D8-D64D-4147-9211-1A7B4BA319B9}" name="Colonne146"/>
    <tableColumn id="155" xr3:uid="{4F59DC90-15A3-4F58-AEDF-FFE944F859EB}" name="Colonne147"/>
    <tableColumn id="156" xr3:uid="{FA6AC8FB-7EB6-4F7C-89CF-FDC9E0785CAC}" name="Colonne148"/>
    <tableColumn id="157" xr3:uid="{C438AF11-8463-40AA-A320-A9C4997553BC}" name="Colonne149"/>
    <tableColumn id="158" xr3:uid="{A185B43A-9E15-4C5A-879B-E7835244A293}" name="Colonne150"/>
    <tableColumn id="159" xr3:uid="{F287FFBD-844C-46B1-880B-A0795DE04580}" name="Colonne151"/>
    <tableColumn id="160" xr3:uid="{FC1E8572-73B8-4403-AA58-40F95A3A8025}" name="Colonne152"/>
    <tableColumn id="161" xr3:uid="{2B421E79-1C0B-4A75-BE42-97F5B7C5BDA1}" name="Colonne153"/>
    <tableColumn id="162" xr3:uid="{C96F7D81-288B-4557-9C61-81D65FB6FC57}" name="Colonne154"/>
    <tableColumn id="163" xr3:uid="{D6579CB0-6018-43E4-AAEA-96E05921FB9D}" name="Colonne155"/>
    <tableColumn id="164" xr3:uid="{2F464BAC-1351-4BB5-8C72-CC12D8F7239D}" name="Colonne156"/>
    <tableColumn id="165" xr3:uid="{D02DD646-4302-4B8C-8953-721ACEB26AA8}" name="Colonne157"/>
    <tableColumn id="166" xr3:uid="{87C21F24-4D03-4A9E-8B6B-CA32FF3AE33E}" name="Colonne158"/>
    <tableColumn id="167" xr3:uid="{03D63942-9A41-4743-90A8-3F45121EB82B}" name="Colonne159"/>
    <tableColumn id="168" xr3:uid="{98B24B59-438D-46D7-980A-52E6707D9381}" name="Colonne160"/>
    <tableColumn id="169" xr3:uid="{AC45A8E3-B55B-4F9B-8418-A0D0DE93EA13}" name="Colonne161"/>
    <tableColumn id="170" xr3:uid="{2716A6E3-AD0A-4E46-A94A-860533CF37B7}" name="Colonne162"/>
    <tableColumn id="171" xr3:uid="{C3678069-A20D-4430-94A5-51C9B6B40910}" name="Colonne163"/>
    <tableColumn id="172" xr3:uid="{227D9B4F-FF5F-40F9-B4AA-EDA8BF8518BD}" name="Colonne164"/>
    <tableColumn id="173" xr3:uid="{38F66FCC-188F-4978-BEFB-850336A8199B}" name="Colonne165"/>
    <tableColumn id="174" xr3:uid="{8FF093DA-DA11-4D1D-8551-0592FCBEBE15}" name="Colonne166"/>
    <tableColumn id="175" xr3:uid="{FFFE8575-1137-4DE1-8F02-C33FC219E8FE}" name="Colonne167"/>
    <tableColumn id="176" xr3:uid="{5CC950AC-C17A-478A-B8CD-48FF5E876CF4}" name="Colonne168"/>
    <tableColumn id="177" xr3:uid="{73EE4925-F4D4-45E5-9C11-44C1AB93B76B}" name="Colonne169"/>
    <tableColumn id="178" xr3:uid="{2D204A7E-1830-4C6E-8796-0F7087170B3A}" name="Colonne170"/>
    <tableColumn id="179" xr3:uid="{DBC9C331-B6CA-42FC-AFDE-D24C8814770C}" name="Colonne171"/>
    <tableColumn id="180" xr3:uid="{6E60A3DC-A436-46B4-9769-6DFC696241C3}" name="Colonne172"/>
    <tableColumn id="181" xr3:uid="{70334C4C-496A-46C6-AB6E-6260B2E65D72}" name="Colonne173"/>
    <tableColumn id="182" xr3:uid="{ED91D89D-AA8B-4407-BAD5-4F3D08BC04CA}" name="Colonne174"/>
    <tableColumn id="183" xr3:uid="{063A656B-E847-4B8A-8B3A-AEC8BE746EF0}" name="Colonne175"/>
    <tableColumn id="184" xr3:uid="{CD7C2D24-1296-43DD-9BBB-6765D1AF5451}" name="Colonne176"/>
    <tableColumn id="185" xr3:uid="{26BC39B1-2BA8-4C0A-9411-2BEEB8AA2EAB}" name="Colonne177"/>
    <tableColumn id="186" xr3:uid="{2BF7DC28-D56F-47FB-BC52-5A83B86D4133}" name="Colonne178"/>
    <tableColumn id="187" xr3:uid="{705A9283-A845-40A3-9C90-504A42EC8C05}" name="Colonne179"/>
    <tableColumn id="188" xr3:uid="{1BADCDDE-F78D-4AEC-9CE6-522622D0FA63}" name="Colonne180"/>
    <tableColumn id="189" xr3:uid="{86B54F7D-1EDC-4B98-9C93-81560ABDEE25}" name="Colonne181"/>
    <tableColumn id="190" xr3:uid="{2E2FD5D1-0D93-4422-B999-3456427FFF99}" name="Colonne182"/>
    <tableColumn id="191" xr3:uid="{6157727B-6AD3-4DD8-BB33-D1C5DB00344C}" name="Colonne183"/>
    <tableColumn id="192" xr3:uid="{9A23E55E-0316-494F-B1B3-8D24BB9C381F}" name="Colonne184"/>
    <tableColumn id="193" xr3:uid="{AD626737-AF3A-4F76-9644-60237494835E}" name="Colonne185"/>
    <tableColumn id="194" xr3:uid="{F1B7DB38-4AD5-4CC4-8FB0-3D64C99E5DA7}" name="Colonne186"/>
    <tableColumn id="195" xr3:uid="{2E617EC3-9B0D-4671-8870-95AA5E9E7FA2}" name="Colonne187"/>
    <tableColumn id="196" xr3:uid="{67EB350B-8A78-4892-806E-CC1E54192A32}" name="Colonne188"/>
    <tableColumn id="197" xr3:uid="{EDB45118-85B1-47FF-8440-47EE2C365FCD}" name="Colonne189"/>
    <tableColumn id="198" xr3:uid="{3F9B8757-45C8-4F5B-9D3D-CA55152EF413}" name="Colonne190"/>
    <tableColumn id="199" xr3:uid="{43637BE4-F8D4-4EB1-B977-39F62E5EE2E8}" name="Colonne191"/>
    <tableColumn id="200" xr3:uid="{8D1D1567-5C96-4F0D-8576-5DB1DA915F40}" name="Colonne192"/>
    <tableColumn id="201" xr3:uid="{A8EED3A9-6077-4990-A1E8-244A72BF4F5E}" name="Colonne193"/>
    <tableColumn id="202" xr3:uid="{5C805E70-486D-44F8-AE2B-96175AAE7B07}" name="Colonne194"/>
    <tableColumn id="203" xr3:uid="{329058A4-DB20-4795-B5B9-D6D403753EA0}" name="Colonne195"/>
    <tableColumn id="204" xr3:uid="{27F00DA8-2427-4E57-B815-30FAB222C474}" name="Colonne196"/>
    <tableColumn id="205" xr3:uid="{DDBFDEDD-8AEF-4750-B5C2-735C1D759920}" name="Colonne197"/>
    <tableColumn id="206" xr3:uid="{CCAA7153-E66B-446A-8009-0A11ED93F006}" name="Colonne198"/>
    <tableColumn id="207" xr3:uid="{E30DF1F4-5AE4-4B72-A1AB-853AAE806B7F}" name="Colonne199"/>
    <tableColumn id="208" xr3:uid="{0612716E-F14E-4DCE-ADBF-95C3E72F4CCD}" name="Colonne200"/>
    <tableColumn id="209" xr3:uid="{CB707A3F-F5DF-4AD3-B8C6-52AD1C76F284}" name="Colonne201"/>
    <tableColumn id="210" xr3:uid="{7FE82D0E-C354-4888-9489-BD9FEAD1B265}" name="Colonne202"/>
    <tableColumn id="211" xr3:uid="{1B497E43-8A11-46E2-A743-6DEBD08D21C0}" name="Colonne203"/>
    <tableColumn id="212" xr3:uid="{4731091F-BDAF-4CF8-9271-C4A3CA536F72}" name="Colonne204"/>
    <tableColumn id="213" xr3:uid="{3DC741D5-7D39-4C43-927E-84A39B0A31FF}" name="Colonne205"/>
    <tableColumn id="214" xr3:uid="{7C61FE71-FB2A-41AC-87FC-D13214C46643}" name="Colonne206"/>
    <tableColumn id="215" xr3:uid="{FD348513-1CDA-4FEB-B222-01E1AC72695E}" name="Colonne207"/>
    <tableColumn id="216" xr3:uid="{8BD2CDF8-3C34-413B-8249-9F39FF3ED432}" name="Colonne208"/>
    <tableColumn id="217" xr3:uid="{269870E6-88F7-4D28-BCC8-84D8ED720A7E}" name="Colonne209"/>
    <tableColumn id="218" xr3:uid="{68290F12-9D4E-4FD8-86F7-8B743F70F7A1}" name="Colonne210"/>
    <tableColumn id="219" xr3:uid="{BF5DE24D-DF3B-4D69-A856-0A6FB2602C13}" name="Colonne211"/>
    <tableColumn id="220" xr3:uid="{AA87E2FE-1027-4618-9488-5DCB569C2C7C}" name="Colonne212"/>
    <tableColumn id="221" xr3:uid="{F78EA67E-A9BD-4ABD-9666-BCED76F520FF}" name="Colonne213"/>
    <tableColumn id="222" xr3:uid="{F09CB3AB-E721-4EA8-8F39-0B445FDE8D8E}" name="Colonne214"/>
    <tableColumn id="223" xr3:uid="{DD22817D-0AC0-4756-8E34-DDEA10BB111C}" name="Colonne215"/>
    <tableColumn id="224" xr3:uid="{E804B3DD-47C3-40A2-B75E-F9DB3A119049}" name="Colonne216"/>
    <tableColumn id="225" xr3:uid="{A672C5AE-1442-40C5-9674-3FF1EC617584}" name="Colonne217"/>
    <tableColumn id="226" xr3:uid="{67EF9FC0-2666-4553-B89E-E7F35D33354B}" name="Colonne218"/>
    <tableColumn id="227" xr3:uid="{75A855A8-4E03-4ECA-BE5E-0C2B3144D034}" name="Colonne219"/>
    <tableColumn id="228" xr3:uid="{28DBD888-8804-47DF-B726-F6DC5AE32913}" name="Colonne220"/>
    <tableColumn id="229" xr3:uid="{FB44730C-2248-43CE-9568-EFDA66FE532E}" name="Colonne221"/>
    <tableColumn id="230" xr3:uid="{12709E75-CB0A-419D-A9C0-09F67F1255FE}" name="Colonne222"/>
    <tableColumn id="231" xr3:uid="{5F4A804B-F6C9-4FFA-83E0-C04159BBEE67}" name="Colonne223"/>
    <tableColumn id="232" xr3:uid="{01F0EAC9-E700-490C-BE4F-7DF62800787A}" name="Colonne224"/>
    <tableColumn id="233" xr3:uid="{5647F33E-6CC7-41AD-A152-A1D5634AE5E4}" name="Colonne225"/>
    <tableColumn id="234" xr3:uid="{82332E0A-8DEB-4FF7-B482-43C68458FA5E}" name="Colonne226"/>
    <tableColumn id="235" xr3:uid="{1254EB1C-4B48-4426-91F2-58A97FD3BB42}" name="Colonne227"/>
    <tableColumn id="236" xr3:uid="{7BA5B963-47B5-46D2-AA37-54F40951702A}" name="Colonne228"/>
    <tableColumn id="237" xr3:uid="{2B1B45A0-16CD-41B9-B326-21C35F267D0E}" name="Colonne229"/>
    <tableColumn id="238" xr3:uid="{82B51C63-B082-4DCA-90A6-4DE9B78EE911}" name="Colonne230"/>
    <tableColumn id="239" xr3:uid="{3EDAC450-8179-472D-A4C7-3CDC4C7D1DC3}" name="Colonne231"/>
    <tableColumn id="240" xr3:uid="{46D8C6CF-924B-45EF-B91D-1FC41972D9D1}" name="Colonne232"/>
    <tableColumn id="241" xr3:uid="{B7F334D2-C2D4-4C94-B818-30B17DC46052}" name="Colonne233"/>
    <tableColumn id="242" xr3:uid="{FF63498A-8FB0-448B-B9B6-C7909C34AAF5}" name="Colonne234"/>
    <tableColumn id="243" xr3:uid="{2ED0A4BC-F3FF-40FB-8FE5-153410696217}" name="Colonne235"/>
    <tableColumn id="244" xr3:uid="{1294B08C-7081-436E-AE8E-1BA3E5EC1626}" name="Colonne236"/>
    <tableColumn id="245" xr3:uid="{EE4F72AF-15FF-425B-9AAA-3E71E3060102}" name="Colonne237"/>
    <tableColumn id="246" xr3:uid="{FBDEBFF4-FD77-4288-9C6B-9A9AB432AB13}" name="Colonne238"/>
    <tableColumn id="247" xr3:uid="{24EDE6BE-7904-4D03-ACFD-14F9E4E542CD}" name="Colonne239"/>
    <tableColumn id="248" xr3:uid="{EEC2926E-ACCA-44E2-AFD5-EF4A6F89ABEA}" name="Colonne240"/>
    <tableColumn id="249" xr3:uid="{6972F62F-A184-4C85-B635-FBE815FB10D9}" name="Colonne241"/>
    <tableColumn id="250" xr3:uid="{BB097A9F-5FCB-4CDC-944D-26CF920CFEFE}" name="Colonne242"/>
    <tableColumn id="251" xr3:uid="{685D5A25-E834-4278-A9A4-0AB1E8E71D02}" name="Colonne243"/>
    <tableColumn id="252" xr3:uid="{F87DF20F-7EA6-4337-ADA5-807DE1BC6BB9}" name="Colonne244"/>
    <tableColumn id="253" xr3:uid="{7D1D4406-A00E-430D-91C3-5F9EA7245E2E}" name="Colonne245"/>
    <tableColumn id="254" xr3:uid="{4DDF7B49-2A59-4B1A-B264-9187E964D23F}" name="Colonne246"/>
    <tableColumn id="255" xr3:uid="{44920B65-7259-442F-AE5D-4C35DBD63133}" name="Colonne247"/>
    <tableColumn id="256" xr3:uid="{D4D76A23-0318-4F36-95DE-B25742BD5DE1}" name="Colonne248"/>
    <tableColumn id="257" xr3:uid="{76272F31-CB5C-48BE-85E3-E724DB7DA5D2}" name="Colonne249"/>
    <tableColumn id="258" xr3:uid="{349E9208-68B1-4BA9-91CF-34B53A7C0DAA}" name="Colonne250"/>
    <tableColumn id="259" xr3:uid="{EE0EB963-43A7-470F-A60F-0C6D238F96B7}" name="Colonne251"/>
    <tableColumn id="260" xr3:uid="{98E51763-8903-42B6-85EF-3A2E0549C6FF}" name="Colonne252"/>
    <tableColumn id="261" xr3:uid="{303C3CAB-114A-4EF1-B69E-6ED59E4507BE}" name="Colonne253"/>
    <tableColumn id="262" xr3:uid="{E38A85DE-E8ED-4F60-BF68-52CCEF68F15C}" name="Colonne254"/>
    <tableColumn id="263" xr3:uid="{9C5CC380-8B63-4864-8A08-34B8AFC7AA98}" name="Colonne255"/>
    <tableColumn id="264" xr3:uid="{A3ADF5E9-F4A3-4FD9-845C-B03EAAB6A9BE}" name="Colonne256"/>
    <tableColumn id="265" xr3:uid="{C1B1B102-203A-4B9C-895B-530E5F4CB2DC}" name="Colonne257"/>
    <tableColumn id="266" xr3:uid="{1B09A8BD-19D4-420E-BEAC-DAB5ACABAA5B}" name="Colonne258"/>
    <tableColumn id="267" xr3:uid="{09E1C61F-3506-467C-BC14-1E700C5A6BE3}" name="Colonne259"/>
    <tableColumn id="268" xr3:uid="{91AC9570-FA64-415E-BC01-FD5FE0982A45}" name="Colonne260"/>
    <tableColumn id="269" xr3:uid="{2F742F77-9C18-4C16-AF23-4AD041AB3028}" name="Colonne261"/>
    <tableColumn id="270" xr3:uid="{37155638-3E0C-43AE-9D36-6E13BD2B8AD2}" name="Colonne262"/>
    <tableColumn id="271" xr3:uid="{45C40C24-7980-4DDB-B90A-B55671641DE8}" name="Colonne263"/>
    <tableColumn id="272" xr3:uid="{2FF72C37-4509-4D29-A5BC-838772BCC944}" name="Colonne264"/>
    <tableColumn id="273" xr3:uid="{538959CB-583F-45AC-AA72-5B651FFA54E8}" name="Colonne265"/>
    <tableColumn id="274" xr3:uid="{1D9CD9FE-26DF-43B7-B003-F18F8DACD8FE}" name="Colonne266"/>
    <tableColumn id="275" xr3:uid="{ECF534D9-8CF9-4E5F-B3A5-33C68D5CFB78}" name="Colonne267"/>
    <tableColumn id="276" xr3:uid="{378D3E09-D64D-4B76-8A71-EABC1E17BD52}" name="Colonne268"/>
    <tableColumn id="277" xr3:uid="{BF38B5FB-AC36-478D-B204-7AA19E715492}" name="Colonne269"/>
    <tableColumn id="278" xr3:uid="{F8E0E7A4-6013-45F3-B75C-35F95307DFF5}" name="Colonne270"/>
    <tableColumn id="279" xr3:uid="{1D0CB929-9B93-472A-ADAF-573545A3CE15}" name="Colonne271"/>
    <tableColumn id="280" xr3:uid="{43764374-8589-481F-A765-FAFB038BD416}" name="Colonne272"/>
    <tableColumn id="281" xr3:uid="{23880F21-D7C2-4830-8E50-448F83EEA05A}" name="Colonne273"/>
    <tableColumn id="282" xr3:uid="{4B1C61D4-D490-4531-A9A7-934A12F78C59}" name="Colonne274"/>
    <tableColumn id="283" xr3:uid="{01A3B23A-306A-4529-8B6A-10D9B7A5E479}" name="Colonne275"/>
    <tableColumn id="284" xr3:uid="{133B0F79-6205-487C-B603-857B00A4754A}" name="Colonne276"/>
    <tableColumn id="285" xr3:uid="{C90D8F97-7109-46B1-BA14-A53A1BE284F4}" name="Colonne277"/>
    <tableColumn id="286" xr3:uid="{77CD3188-86B9-47D7-A18B-598ADE6DCE1E}" name="Colonne278"/>
    <tableColumn id="287" xr3:uid="{0FA72AF7-8B75-4861-8F41-3DFD9DBE157D}" name="Colonne279"/>
    <tableColumn id="288" xr3:uid="{D5BE0B2A-BDB3-4D5A-8426-79338EA665A0}" name="Colonne280"/>
    <tableColumn id="289" xr3:uid="{628435CC-886C-4254-BFA9-2BB020A900D9}" name="Colonne281"/>
    <tableColumn id="290" xr3:uid="{4E96DAB5-7031-4ADD-A58C-1A1E15C76CCD}" name="Colonne282"/>
    <tableColumn id="291" xr3:uid="{FB72134A-E046-4B05-9785-2F009AF35CDD}" name="Colonne283"/>
    <tableColumn id="292" xr3:uid="{D444A815-0DB9-4349-9711-8D935D5E5A1A}" name="Colonne284"/>
    <tableColumn id="293" xr3:uid="{C902E61C-AD3B-4FF8-8E6A-810860653884}" name="Colonne285"/>
    <tableColumn id="294" xr3:uid="{3631E5F0-4B9E-41BF-944A-87BD5A421880}" name="Colonne286"/>
    <tableColumn id="295" xr3:uid="{E8C9F676-913F-44E2-9364-580BF843627A}" name="Colonne287"/>
    <tableColumn id="296" xr3:uid="{249D8EA0-E5E9-4E09-BB42-CC168EE78371}" name="Colonne288"/>
    <tableColumn id="297" xr3:uid="{021C9BD4-7792-4C7A-893F-93F73E3BD1DB}" name="Colonne289"/>
    <tableColumn id="298" xr3:uid="{DFF64F01-5AEB-49C7-90D5-0DA76470EBB3}" name="Colonne290"/>
    <tableColumn id="299" xr3:uid="{304B3269-872E-4FDC-9D55-A82CC11E555E}" name="Colonne291"/>
    <tableColumn id="300" xr3:uid="{467CC296-BBE6-40D6-9283-884D21E91C60}" name="Colonne292"/>
    <tableColumn id="301" xr3:uid="{4A45B609-6496-41A0-86E2-BBE048D1C184}" name="Colonne293"/>
    <tableColumn id="302" xr3:uid="{DE1EC180-274E-4B3D-923C-4CB8FB20A3D1}" name="Colonne294"/>
    <tableColumn id="303" xr3:uid="{72B5649F-03F7-4E3C-92D9-95E84C3C73A6}" name="Colonne295"/>
    <tableColumn id="304" xr3:uid="{1959C40C-CD71-4C0E-807B-BFBE41D9569F}" name="Colonne296"/>
    <tableColumn id="305" xr3:uid="{24980A16-E66A-46C4-8FF3-33751453F1FB}" name="Colonne297"/>
    <tableColumn id="306" xr3:uid="{98229361-B05E-401C-B734-45A184FAAED1}" name="Colonne298"/>
    <tableColumn id="307" xr3:uid="{5CC11F25-9F53-46A6-B4AC-CB593CF0CC52}" name="Colonne299"/>
    <tableColumn id="308" xr3:uid="{56B39BE9-7975-43E0-B2CB-97382E1ABD77}" name="Colonne300"/>
    <tableColumn id="309" xr3:uid="{F8E47BCD-E57C-43BD-AEA4-E2AE22CB3D91}" name="Colonne301"/>
    <tableColumn id="310" xr3:uid="{941CA739-C00C-43BF-9D1C-CF8C4D230336}" name="Colonne302"/>
    <tableColumn id="311" xr3:uid="{E9FA3CA1-C7A8-4BAD-A86A-2F7D06501264}" name="Colonne303"/>
    <tableColumn id="312" xr3:uid="{B342099A-0938-41F0-817D-44F61AEB5C89}" name="Colonne304"/>
    <tableColumn id="313" xr3:uid="{CDEBC1D1-97F3-48D9-B529-18CA706E4C7B}" name="Colonne305"/>
    <tableColumn id="314" xr3:uid="{6A013F41-6266-4655-BE5B-74369562023E}" name="Colonne306"/>
    <tableColumn id="315" xr3:uid="{CF88E5EE-EB8D-47A2-B1FA-6D63E50BBD1C}" name="Colonne307"/>
    <tableColumn id="316" xr3:uid="{BAE222F3-8C74-433E-B61A-C00FD1DCE312}" name="Colonne308"/>
    <tableColumn id="317" xr3:uid="{146DD8C4-18A1-4885-BDA8-067279FD92CC}" name="Colonne309"/>
    <tableColumn id="318" xr3:uid="{DF3C9099-C1C5-46F8-AB45-F3B751C89698}" name="Colonne310"/>
    <tableColumn id="319" xr3:uid="{E3D3AA35-4143-4D4F-B8A0-C3950F6BA19F}" name="Colonne311"/>
    <tableColumn id="320" xr3:uid="{43656BE8-BF5B-4BF5-AD62-D06E99426120}" name="Colonne312"/>
    <tableColumn id="321" xr3:uid="{8086CB3E-7585-452A-B112-618ED83A2DAF}" name="Colonne313"/>
    <tableColumn id="322" xr3:uid="{6EB6AC7B-1921-4166-996D-C617E124AA75}" name="Colonne314"/>
    <tableColumn id="323" xr3:uid="{8EF7F92C-A5FC-47C0-A7F2-75CA8061E96A}" name="Colonne315"/>
    <tableColumn id="324" xr3:uid="{DE9B8E6F-2103-4098-9B83-17AB1285639F}" name="Colonne316"/>
    <tableColumn id="325" xr3:uid="{6E58369B-BFAF-4339-80E1-ED48E7130ECE}" name="Colonne317"/>
    <tableColumn id="326" xr3:uid="{D4E7C977-7F6F-494A-BF35-DFC5A96C28E7}" name="Colonne318"/>
    <tableColumn id="327" xr3:uid="{96CE9E1C-5094-454B-87E8-AF8CC61D8F15}" name="Colonne319"/>
    <tableColumn id="328" xr3:uid="{A0324846-916D-415B-B21B-78E8F2313D29}" name="Colonne320"/>
    <tableColumn id="329" xr3:uid="{F80611A9-3F37-4845-A05B-7E2DDE786B3F}" name="Colonne321"/>
    <tableColumn id="330" xr3:uid="{6AF010D4-937D-4909-AA74-2C6DEE53CE22}" name="Colonne322"/>
    <tableColumn id="331" xr3:uid="{5FC2DF75-3C67-4686-8E40-C6D806EE71B8}" name="Colonne323"/>
    <tableColumn id="332" xr3:uid="{8F3EBE6A-113C-429F-BBF1-09A26323A487}" name="Colonne324"/>
    <tableColumn id="333" xr3:uid="{134A6E80-869F-45D3-BD0F-0EDAA1FEEA02}" name="Colonne325"/>
    <tableColumn id="334" xr3:uid="{B46A27BD-2C9D-4C5E-9123-70DA3CBA75C1}" name="Colonne326"/>
    <tableColumn id="335" xr3:uid="{6AD0E9AF-ACFE-4152-8309-8D8121E1F3F3}" name="Colonne327"/>
    <tableColumn id="336" xr3:uid="{657247A4-F0C3-4DE3-AFE2-8D3139EC5DA1}" name="Colonne328"/>
    <tableColumn id="337" xr3:uid="{3B392C20-8AEE-4182-9AD0-3B25F08C69AD}" name="Colonne329"/>
    <tableColumn id="338" xr3:uid="{79D4EA45-897C-464F-BB1F-44AE0E4E9A2C}" name="Colonne330"/>
    <tableColumn id="339" xr3:uid="{C4C3DD27-6A24-4354-AEB9-424921FE1C0A}" name="Colonne331"/>
    <tableColumn id="340" xr3:uid="{458E5AC3-0969-4965-9BB5-F3B33E137261}" name="Colonne332"/>
    <tableColumn id="341" xr3:uid="{FA6AEC8F-6D64-4FEB-9CEB-8C6BD28578C8}" name="Colonne333"/>
    <tableColumn id="342" xr3:uid="{B1F71537-2F76-4FD4-9417-F3BB57907A64}" name="Colonne334"/>
    <tableColumn id="343" xr3:uid="{AFAB1A60-1D68-46E1-8DB0-8A7800FA8223}" name="Colonne335"/>
    <tableColumn id="344" xr3:uid="{1FECDCF0-D322-4374-8CE0-BB1F39C02E61}" name="Colonne336"/>
    <tableColumn id="345" xr3:uid="{23814B87-EB1D-4B2C-9622-291A22823442}" name="Colonne337"/>
    <tableColumn id="346" xr3:uid="{5C59E6AC-1F3D-4CD6-9D03-426E9B6E2282}" name="Colonne338"/>
    <tableColumn id="347" xr3:uid="{FE64C5AE-FEB0-4552-8BA7-8B9C72030CAC}" name="Colonne339"/>
    <tableColumn id="348" xr3:uid="{AED6B38E-7950-4480-BCD8-AB5FF6038ABF}" name="Colonne340"/>
    <tableColumn id="349" xr3:uid="{ACC253D5-3301-4336-98FF-2B4E9E859F68}" name="Colonne341"/>
    <tableColumn id="350" xr3:uid="{C65B54BA-C462-4348-A7FD-FD52E813EE1A}" name="Colonne342"/>
    <tableColumn id="351" xr3:uid="{349E1256-5B9B-45A9-8028-3B19B6BFFAC7}" name="Colonne343"/>
    <tableColumn id="352" xr3:uid="{522A91CD-635F-40CB-A1B8-620A358B3126}" name="Colonne344"/>
    <tableColumn id="353" xr3:uid="{58765251-8329-4111-9043-D63609125CA6}" name="Colonne345"/>
    <tableColumn id="354" xr3:uid="{5F57B8C0-97F9-48F4-BEDB-43B64F9E671E}" name="Colonne346"/>
    <tableColumn id="355" xr3:uid="{5A545297-9429-455C-8FCC-ACD7BE26FC08}" name="Colonne347"/>
    <tableColumn id="356" xr3:uid="{9A19496A-74A3-4560-90AB-9E987D233B9D}" name="Colonne348"/>
    <tableColumn id="357" xr3:uid="{93D2E226-B2CF-4F90-958A-04C5714295FB}" name="Colonne349"/>
    <tableColumn id="358" xr3:uid="{675C16F3-1B5F-4406-B66B-2E37A1AE5331}" name="Colonne350"/>
    <tableColumn id="359" xr3:uid="{3EEF94B8-0610-4441-B4A4-6AA715E9B92F}" name="Colonne351"/>
    <tableColumn id="360" xr3:uid="{DE6E4F35-5827-44BD-80FB-79739A023E24}" name="Colonne352"/>
    <tableColumn id="361" xr3:uid="{4B19698F-6093-4926-8500-3863F3C636F3}" name="Colonne353"/>
    <tableColumn id="362" xr3:uid="{C2F8C9C5-D495-4DD0-A7A1-0297EB82C9A7}" name="Colonne354"/>
    <tableColumn id="363" xr3:uid="{3F55BFE8-7AB2-4C58-B8E0-6049D5C40A15}" name="Colonne355"/>
    <tableColumn id="364" xr3:uid="{56008352-91E4-43A5-9D63-E0A339DB5760}" name="Colonne356"/>
    <tableColumn id="365" xr3:uid="{69F61245-CA5A-4C4D-B195-F391FB8D04A3}" name="Colonne357"/>
    <tableColumn id="366" xr3:uid="{4352DF2D-C100-42B5-BAD1-7BC7B88606A4}" name="Colonne358"/>
    <tableColumn id="367" xr3:uid="{8124ED0B-66DB-4549-801A-1C88F85CBBDD}" name="Colonne359"/>
    <tableColumn id="368" xr3:uid="{D489CC6C-0C44-4972-83D2-A28FA14BAEBC}" name="Colonne360"/>
    <tableColumn id="369" xr3:uid="{B6D266A9-7E64-4281-92BD-546FED434926}" name="Colonne361"/>
    <tableColumn id="370" xr3:uid="{762251BF-B4F0-4F75-AFB3-0BA73A46C96B}" name="Colonne362"/>
    <tableColumn id="371" xr3:uid="{DB31EBDB-B197-4A40-9109-D7D7B8F22C0D}" name="Colonne363"/>
    <tableColumn id="372" xr3:uid="{C0B7119F-8031-4AB0-841C-FA0F694C805E}" name="Colonne364"/>
    <tableColumn id="373" xr3:uid="{D5D6F86C-38EC-46D3-8A41-2A32065DB298}" name="Colonne365"/>
    <tableColumn id="374" xr3:uid="{6C7C2D5C-FD3F-4D50-8A0D-293F45E98D7E}" name="Colonne366"/>
    <tableColumn id="375" xr3:uid="{5F98EC01-BBB6-4E42-A7F5-3DADD8C637EF}" name="Colonne367"/>
    <tableColumn id="376" xr3:uid="{781FEB58-551E-414A-94E5-152139FA728A}" name="Colonne368"/>
    <tableColumn id="377" xr3:uid="{EEA2EF41-6DD4-4679-AEE0-099E47E512EE}" name="Colonne369"/>
    <tableColumn id="378" xr3:uid="{E0A536BD-9640-40DC-A150-9DE0E1813616}" name="Colonne370"/>
    <tableColumn id="379" xr3:uid="{C32A02AA-3316-4818-B086-5A50AEEBEB85}" name="Colonne371"/>
    <tableColumn id="380" xr3:uid="{21729CA8-D403-4758-A24D-96075D775DC8}" name="Colonne372"/>
    <tableColumn id="381" xr3:uid="{8208E16C-4941-4B1D-BB8F-B5103B5D484A}" name="Colonne373"/>
    <tableColumn id="382" xr3:uid="{CA788416-F0AA-40AF-AE7B-E02FF25BDB81}" name="Colonne374"/>
    <tableColumn id="383" xr3:uid="{A86034FA-7F27-44CB-B6C1-1E9DBBAE864D}" name="Colonne375"/>
    <tableColumn id="384" xr3:uid="{8A37EF82-74FA-46AF-9230-2F48DAF1A56B}" name="Colonne376"/>
    <tableColumn id="385" xr3:uid="{8769F33F-9DED-4133-9B24-B08EF89A0D9B}" name="Colonne377"/>
    <tableColumn id="386" xr3:uid="{D528B5ED-8C35-4A55-81E8-A81166614800}" name="Colonne378"/>
    <tableColumn id="387" xr3:uid="{0E4688CE-1369-4564-B183-0223EB5085F8}" name="Colonne379"/>
    <tableColumn id="388" xr3:uid="{8ABCF890-630D-4912-9272-9629413B8C5B}" name="Colonne380"/>
    <tableColumn id="389" xr3:uid="{FBEBD853-32DD-4961-A757-43E781971458}" name="Colonne381"/>
    <tableColumn id="390" xr3:uid="{16A3C3AB-8D91-4B3F-8153-609004FE51A2}" name="Colonne382"/>
    <tableColumn id="391" xr3:uid="{75781619-A491-465B-AEFB-C9C02D0EF0DC}" name="Colonne383"/>
    <tableColumn id="392" xr3:uid="{6954B0BC-521D-4F4F-8A33-CE23F284944A}" name="Colonne384"/>
    <tableColumn id="393" xr3:uid="{10F384A1-BE8F-4F7E-9144-459C865538E7}" name="Colonne385"/>
    <tableColumn id="394" xr3:uid="{BEAE07F6-E8EA-4929-BFA2-944FA8AB5D98}" name="Colonne386"/>
    <tableColumn id="395" xr3:uid="{BB02842C-5250-4F47-90A0-43C3A5AB932C}" name="Colonne387"/>
    <tableColumn id="396" xr3:uid="{204CAAFB-1A4B-4B59-8B36-776DC5D1F43B}" name="Colonne388"/>
    <tableColumn id="397" xr3:uid="{F0A18FE7-5460-4D61-B72F-C612180A3811}" name="Colonne389"/>
    <tableColumn id="398" xr3:uid="{92C7FDD7-2489-44B8-AED4-9B1F48FD4104}" name="Colonne390"/>
    <tableColumn id="399" xr3:uid="{0F36823E-04E3-4EC2-87AA-20CF42BDF7A5}" name="Colonne391"/>
    <tableColumn id="400" xr3:uid="{F769F0B5-6CCB-46C5-AE9F-189A9398E49E}" name="Colonne392"/>
    <tableColumn id="401" xr3:uid="{2B7D20EF-502F-47D2-8F7B-70A29A2A1C00}" name="Colonne393"/>
    <tableColumn id="402" xr3:uid="{17255599-A913-4FFC-AC26-02E9821472CD}" name="Colonne394"/>
    <tableColumn id="403" xr3:uid="{EBECADE0-FC1E-4E00-91EB-E524D695E39F}" name="Colonne395"/>
    <tableColumn id="404" xr3:uid="{6FA97EBA-B93D-43AE-8509-0263065AD738}" name="Colonne396"/>
    <tableColumn id="405" xr3:uid="{90600C05-42BA-4BDB-B102-C306D5EDF346}" name="Colonne397"/>
    <tableColumn id="406" xr3:uid="{931EE4E7-241E-44FE-9FEB-87728D0A751B}" name="Colonne398"/>
    <tableColumn id="407" xr3:uid="{DC0C124C-7B1C-49B7-961B-FFCB7129C44B}" name="Colonne399"/>
    <tableColumn id="408" xr3:uid="{6A4A08AB-2EEA-4F7A-9836-2E700DFD8D65}" name="Colonne400"/>
    <tableColumn id="409" xr3:uid="{D624729A-6F14-42CF-BA1C-5F2E3CF3298A}" name="Colonne401"/>
    <tableColumn id="410" xr3:uid="{C7B5F065-38A9-46E1-827C-872E42FC5625}" name="Colonne402"/>
    <tableColumn id="411" xr3:uid="{9036CDAC-E219-4157-86DA-26ECC6175332}" name="Colonne403"/>
    <tableColumn id="412" xr3:uid="{817D204B-99DE-49DD-8F4E-0F50A463A894}" name="Colonne404"/>
    <tableColumn id="413" xr3:uid="{CD5A8C72-0303-44F7-AAC1-2EAC5943EAAF}" name="Colonne405"/>
    <tableColumn id="414" xr3:uid="{5F386391-0182-41C6-B178-A8020B7858C2}" name="Colonne406"/>
    <tableColumn id="415" xr3:uid="{3B2ED523-17D7-4DF7-8E99-2E1E08E80267}" name="Colonne407"/>
    <tableColumn id="416" xr3:uid="{6D9A4E9B-001F-45B2-BBB4-177A1B6861C5}" name="Colonne408"/>
    <tableColumn id="417" xr3:uid="{E3290B19-1BD8-4834-825F-44E18E21B8A4}" name="Colonne409"/>
    <tableColumn id="418" xr3:uid="{E9DFD1F8-A054-4E38-B2FB-C5822CC0A6ED}" name="Colonne410"/>
    <tableColumn id="419" xr3:uid="{7F7299FE-9CA4-4650-BA29-67A16B5E39B3}" name="Colonne411"/>
    <tableColumn id="420" xr3:uid="{EA81D9B4-8435-4638-A3C2-9E49ACB89ABB}" name="Colonne412"/>
    <tableColumn id="421" xr3:uid="{9021B493-07AD-43E9-9E2C-230CAC008659}" name="Colonne413"/>
    <tableColumn id="422" xr3:uid="{52EAE659-5F2A-4EF5-A832-EBC7733DA5FA}" name="Colonne414"/>
    <tableColumn id="423" xr3:uid="{D3CE31DC-DE1C-475C-B22C-FDAB2882F70A}" name="Colonne415"/>
    <tableColumn id="424" xr3:uid="{55EE2E99-DA15-4F9E-A9C8-297D33CA095D}" name="Colonne416"/>
    <tableColumn id="425" xr3:uid="{C896BBB7-97CC-4353-BBF1-793750AE9B28}" name="Colonne417"/>
    <tableColumn id="426" xr3:uid="{0E4A6A16-4ECB-4A60-A797-ABC74B6806C9}" name="Colonne418"/>
    <tableColumn id="427" xr3:uid="{9F0512DA-36E7-4FE8-85B6-1B89DE1A3CBD}" name="Colonne419"/>
    <tableColumn id="428" xr3:uid="{11E02A26-AC6B-427D-AB11-52CA13749A66}" name="Colonne420"/>
    <tableColumn id="429" xr3:uid="{E7D012A9-1BE5-49CD-A611-74FDD3D453C4}" name="Colonne421"/>
    <tableColumn id="430" xr3:uid="{A0E9C1E0-8E21-46CF-B0C5-0E72AE4FA268}" name="Colonne422"/>
    <tableColumn id="431" xr3:uid="{CA23EAEA-1FFE-4D1D-9939-4821123CD32F}" name="Colonne423"/>
    <tableColumn id="432" xr3:uid="{BA8C6EAD-C2BD-40FC-8E41-BAC8F7EC2E4D}" name="Colonne424"/>
    <tableColumn id="433" xr3:uid="{E875DB04-2646-4C50-94C7-B0B0D24780B1}" name="Colonne425"/>
    <tableColumn id="434" xr3:uid="{406F806B-A96A-441F-8309-D4BF14D7C640}" name="Colonne426"/>
    <tableColumn id="435" xr3:uid="{8EFA8CDA-058F-4F2D-ABC2-78EAF38B4EE6}" name="Colonne427"/>
    <tableColumn id="436" xr3:uid="{3FBDC731-F833-4A47-8CC8-5BF178AEBD28}" name="Colonne428"/>
    <tableColumn id="437" xr3:uid="{85B4A04E-D632-4D3E-9B69-F623695CBA4F}" name="Colonne429"/>
    <tableColumn id="438" xr3:uid="{7422F0CB-DE8F-4A4B-8746-8D0A7B5E9AF6}" name="Colonne430"/>
    <tableColumn id="439" xr3:uid="{3AC8C5F4-D928-4592-B46B-B06B8943C4B5}" name="Colonne431"/>
    <tableColumn id="440" xr3:uid="{19B19CBA-C422-493A-A4C3-3F78D655CDC1}" name="Colonne432"/>
    <tableColumn id="441" xr3:uid="{6E65025A-132E-410C-B832-1EFF177BB84E}" name="Colonne433"/>
    <tableColumn id="442" xr3:uid="{8B8AC1F1-9403-4ECB-89F9-96094F41CE41}" name="Colonne434"/>
    <tableColumn id="443" xr3:uid="{1E3997A3-DC54-4717-A7F1-336BC277D194}" name="Colonne435"/>
    <tableColumn id="444" xr3:uid="{A35BC6B8-6BB5-40DB-A98D-C88987200A33}" name="Colonne436"/>
    <tableColumn id="445" xr3:uid="{5876DE9E-2DC1-4EA9-A432-FA3C7FFC1BAE}" name="Colonne437"/>
    <tableColumn id="446" xr3:uid="{924E829C-FE39-4CA7-8B28-95BE58E98885}" name="Colonne438"/>
    <tableColumn id="447" xr3:uid="{8E3A98D9-FE2A-4DBF-AE5B-9FBD9CABA065}" name="Colonne439"/>
    <tableColumn id="448" xr3:uid="{CA956346-E83D-4F1D-868F-00C34814C0F8}" name="Colonne440"/>
    <tableColumn id="449" xr3:uid="{D250E45C-88A5-4424-AC7F-1DBF867E93DD}" name="Colonne441"/>
    <tableColumn id="450" xr3:uid="{28090306-6F10-4474-9438-6E5491C4D2DB}" name="Colonne442"/>
    <tableColumn id="451" xr3:uid="{B7658A5F-862E-4A79-8EE9-EF96BA65E0A4}" name="Colonne443"/>
    <tableColumn id="452" xr3:uid="{957A3436-2CE2-45BC-964F-D579CD509DA6}" name="Colonne444"/>
    <tableColumn id="453" xr3:uid="{8C53B125-3B4C-45FE-89EC-F6EBA87F3845}" name="Colonne445"/>
    <tableColumn id="454" xr3:uid="{4FF6A6F3-E1D5-4B54-BCD3-BC8CE976876A}" name="Colonne446"/>
    <tableColumn id="455" xr3:uid="{55DCC092-6552-454E-9C6B-710375825E65}" name="Colonne447"/>
    <tableColumn id="456" xr3:uid="{5791DC8B-1E4C-4FB8-9703-FA02700CE9D2}" name="Colonne448"/>
    <tableColumn id="457" xr3:uid="{E16DEB74-FB7F-4FD3-9D92-5C7079A0A8A0}" name="Colonne449"/>
    <tableColumn id="458" xr3:uid="{F25939F5-5B81-4EDD-AA48-0C7D28108CCC}" name="Colonne450"/>
    <tableColumn id="459" xr3:uid="{63494D57-587C-4DE2-B8EA-6566C5CB58F4}" name="Colonne451"/>
    <tableColumn id="460" xr3:uid="{7B2ABF0C-DFE6-4065-B394-811E38F4FAA8}" name="Colonne452"/>
    <tableColumn id="461" xr3:uid="{9EF2E01B-7BA3-4732-808D-8E99DD2776FE}" name="Colonne453"/>
    <tableColumn id="462" xr3:uid="{C7428B02-63F2-4345-A3D4-71C67A272D2B}" name="Colonne454"/>
    <tableColumn id="463" xr3:uid="{5CD81BD4-CAB1-4C2D-A26C-C6628E026C82}" name="Colonne455"/>
    <tableColumn id="464" xr3:uid="{39328E7B-361E-4215-AA72-9D7CAF86396B}" name="Colonne456"/>
    <tableColumn id="465" xr3:uid="{00268629-8613-41EF-A372-AF3E2010727C}" name="Colonne457"/>
    <tableColumn id="466" xr3:uid="{8D67689C-8E1F-4CCA-A657-228B402BE946}" name="Colonne458"/>
    <tableColumn id="467" xr3:uid="{8B1F09CD-35A7-4FE2-B000-093FCE97AD65}" name="Colonne459"/>
    <tableColumn id="468" xr3:uid="{2602A029-A767-43BC-B561-186751D73648}" name="Colonne460"/>
    <tableColumn id="469" xr3:uid="{C3353CED-2245-42F2-B687-68A45A51623E}" name="Colonne461"/>
    <tableColumn id="470" xr3:uid="{2B0EE041-AF8A-4393-BFCF-EF99CAFA45BD}" name="Colonne462"/>
    <tableColumn id="471" xr3:uid="{6C244A92-5D73-4E52-A19D-006ED33B499E}" name="Colonne463"/>
    <tableColumn id="472" xr3:uid="{216A937E-29E4-4DE1-8ED3-5F5EA2D11A1C}" name="Colonne464"/>
    <tableColumn id="473" xr3:uid="{E770AE5B-E54E-4768-AF94-E05D6BF30BD9}" name="Colonne465"/>
    <tableColumn id="474" xr3:uid="{9DAC6734-2EA9-4ED0-BC8A-4E26F44C9107}" name="Colonne466"/>
    <tableColumn id="475" xr3:uid="{940A7F45-5D1A-4C06-BCF0-D10B55DBC8F5}" name="Colonne467"/>
    <tableColumn id="476" xr3:uid="{4CAEAFD0-A077-4F9B-8B7A-E529CCF70B42}" name="Colonne468"/>
    <tableColumn id="477" xr3:uid="{B34A1213-9198-4872-AB2F-8699DCF79FC7}" name="Colonne469"/>
    <tableColumn id="478" xr3:uid="{0CF8FC48-825A-4E59-AB52-EA02E5D7AB73}" name="Colonne470"/>
    <tableColumn id="479" xr3:uid="{3ACCA4CC-1893-4F4C-ACD4-EF2B1379B534}" name="Colonne471"/>
    <tableColumn id="480" xr3:uid="{82E9E28B-38DF-4554-A86E-D57DE3DA274E}" name="Colonne472"/>
    <tableColumn id="481" xr3:uid="{A5F69222-06D6-409D-BE34-7C25CD181ED9}" name="Colonne473"/>
    <tableColumn id="482" xr3:uid="{D859CF7A-3CF9-4D18-B28E-2D7A2D1F7A5C}" name="Colonne474"/>
    <tableColumn id="483" xr3:uid="{9B46108E-57C7-4F19-A4DA-81F7AD844CA2}" name="Colonne475"/>
    <tableColumn id="484" xr3:uid="{24B3B641-1DD0-4353-9B20-9111335644B5}" name="Colonne476"/>
    <tableColumn id="485" xr3:uid="{E7512718-82F4-45DE-A42F-60E34F17CE22}" name="Colonne477"/>
    <tableColumn id="486" xr3:uid="{31D6A628-DAFF-46F3-8A51-AA022EACDF18}" name="Colonne478"/>
    <tableColumn id="487" xr3:uid="{4FE25949-33D6-42C9-BA72-E2628728F097}" name="Colonne479"/>
    <tableColumn id="488" xr3:uid="{2C877195-104A-43EC-9194-F0CACB205DF3}" name="Colonne480"/>
    <tableColumn id="489" xr3:uid="{CE69125E-6E4E-4E4F-8142-07A2E42455CC}" name="Colonne481"/>
    <tableColumn id="490" xr3:uid="{6AB1586E-0541-4BB6-BF23-516E7CA463A7}" name="Colonne482"/>
    <tableColumn id="491" xr3:uid="{84ED5FDF-FB95-4067-B283-16A89E262A0C}" name="Colonne483"/>
    <tableColumn id="492" xr3:uid="{8C5E1F10-BF87-41C4-BCD5-61D868ED0963}" name="Colonne484"/>
    <tableColumn id="493" xr3:uid="{8799B141-417D-44D1-81C6-79D48831639B}" name="Colonne485"/>
    <tableColumn id="494" xr3:uid="{0D7FC080-BB92-4D05-8D4A-77CD37A25D45}" name="Colonne486"/>
    <tableColumn id="495" xr3:uid="{450D180C-D1F3-459E-8380-545BFBBCE388}" name="Colonne487"/>
    <tableColumn id="496" xr3:uid="{77B48E4B-191C-4175-A039-741204E3D42B}" name="Colonne488"/>
    <tableColumn id="497" xr3:uid="{2DA18500-1875-4E10-93EA-C4B98B514165}" name="Colonne489"/>
    <tableColumn id="498" xr3:uid="{15335D98-1356-4D32-B818-9E2F2C984309}" name="Colonne490"/>
    <tableColumn id="499" xr3:uid="{8D96B8C0-26BA-4271-99F2-D5F2F1583CE6}" name="Colonne491"/>
    <tableColumn id="500" xr3:uid="{8097D9B5-F177-4D43-AF00-C60B6F57A61C}" name="Colonne492"/>
    <tableColumn id="501" xr3:uid="{E661C995-81ED-46BA-8A46-90B1543E11C2}" name="Colonne493"/>
    <tableColumn id="502" xr3:uid="{D997435A-2BBD-426E-9753-D5377B946E07}" name="Colonne494"/>
    <tableColumn id="503" xr3:uid="{23CAC2A5-7642-47A2-B194-0482C3551C46}" name="Colonne495"/>
    <tableColumn id="504" xr3:uid="{75BE8C48-9273-4493-B7FF-8DE8F480450A}" name="Colonne496"/>
    <tableColumn id="505" xr3:uid="{754CE686-3F4A-42BD-804C-55EBDEAA140D}" name="Colonne497"/>
    <tableColumn id="506" xr3:uid="{B20863C2-F8BE-4E14-8A20-DEA20FC8AB63}" name="Colonne498"/>
    <tableColumn id="507" xr3:uid="{3BDCECAD-978D-4D49-8BDA-959FF1908448}" name="Colonne499"/>
    <tableColumn id="508" xr3:uid="{424B65EA-C99C-47B7-8B04-54EAA3B79268}" name="Colonne500"/>
    <tableColumn id="509" xr3:uid="{92A094E7-B36F-48FB-A63C-1A7C41F387AB}" name="Colonne501"/>
    <tableColumn id="510" xr3:uid="{76758F11-BC25-4CC3-A173-49BC87C6453A}" name="Colonne502"/>
    <tableColumn id="511" xr3:uid="{A4A50454-F5B5-409C-9173-3222BEEC64C1}" name="Colonne503"/>
    <tableColumn id="512" xr3:uid="{9B3DD8C4-551A-480B-A6AD-4033056D8B1E}" name="Colonne504"/>
    <tableColumn id="513" xr3:uid="{7E66B498-A391-4A7A-BFAA-97175BEE934A}" name="Colonne505"/>
    <tableColumn id="514" xr3:uid="{ECAF9865-8FDE-4D7B-B8C9-EE2F8759FD82}" name="Colonne506"/>
    <tableColumn id="515" xr3:uid="{B9184F26-ACD6-4839-88A1-ABEDB384F050}" name="Colonne507"/>
    <tableColumn id="516" xr3:uid="{F956E5B5-67B7-47D9-8358-5F49F14F332D}" name="Colonne508"/>
    <tableColumn id="517" xr3:uid="{EEF5CFC9-E9A3-4BD0-8CA2-EDF3861B0CC7}" name="Colonne509"/>
    <tableColumn id="518" xr3:uid="{9F2B59BE-6DA8-4267-9E45-5074A0FF547B}" name="Colonne510"/>
    <tableColumn id="519" xr3:uid="{17B0B8D9-232E-4D9D-A920-B60939579D3F}" name="Colonne511"/>
    <tableColumn id="520" xr3:uid="{EC26114A-BF00-4BE0-96BB-2099582A2FF3}" name="Colonne512"/>
    <tableColumn id="521" xr3:uid="{424FFB47-3053-445F-9B56-53033AFC11BD}" name="Colonne513"/>
    <tableColumn id="522" xr3:uid="{910B73DA-6C1F-4C11-9F3D-216E1F53159E}" name="Colonne514"/>
    <tableColumn id="523" xr3:uid="{8783306E-9377-4462-8164-45F28E20E47E}" name="Colonne515"/>
    <tableColumn id="524" xr3:uid="{E7219C16-0C39-4A2F-9356-6C4EE2138233}" name="Colonne516"/>
    <tableColumn id="525" xr3:uid="{B6305FB9-E1EA-4B8A-AB32-4C78A35F915A}" name="Colonne517"/>
    <tableColumn id="526" xr3:uid="{0E8FE80F-2C58-4337-A9BA-AEF8882D93CE}" name="Colonne518"/>
    <tableColumn id="527" xr3:uid="{78C8222B-F691-401D-9FA2-0CC77681992F}" name="Colonne519"/>
    <tableColumn id="528" xr3:uid="{543091E3-5AE3-4A56-8F7B-9D28122CD323}" name="Colonne520"/>
    <tableColumn id="529" xr3:uid="{7B696183-BBA5-4C15-A456-357643EC997A}" name="Colonne521"/>
    <tableColumn id="530" xr3:uid="{F1DE85C6-9E7E-44B1-94D0-6F49DC33AF9C}" name="Colonne522"/>
    <tableColumn id="531" xr3:uid="{5C1253D8-14BC-4284-AAC4-4A849B95540D}" name="Colonne523"/>
    <tableColumn id="532" xr3:uid="{A164CA38-F843-497A-8A4E-4B15B9432AB1}" name="Colonne524"/>
    <tableColumn id="533" xr3:uid="{8D3B8E4A-337B-4AF2-8FDD-D046F0AB111C}" name="Colonne525"/>
    <tableColumn id="534" xr3:uid="{371CCC05-22E1-4896-9214-33B255980FEC}" name="Colonne526"/>
    <tableColumn id="535" xr3:uid="{E2C1C686-338E-40FB-A5BE-098F48FA1C20}" name="Colonne527"/>
    <tableColumn id="536" xr3:uid="{B55035D0-6816-4632-A4E2-F8F35636BE03}" name="Colonne528"/>
    <tableColumn id="537" xr3:uid="{6C27B97C-90EC-49A5-B6E3-98A62176E69D}" name="Colonne529"/>
    <tableColumn id="538" xr3:uid="{5B28CB10-0922-4293-8E42-48BDA21BC78F}" name="Colonne530"/>
    <tableColumn id="539" xr3:uid="{3FEF21A6-9B69-48E8-99E1-B6B57C679120}" name="Colonne531"/>
    <tableColumn id="540" xr3:uid="{8CA7EF38-CCA2-4069-A239-42B69D3FFB59}" name="Colonne532"/>
    <tableColumn id="541" xr3:uid="{AB8FF612-C808-4404-AE0D-798881818C5A}" name="Colonne533"/>
    <tableColumn id="542" xr3:uid="{1B62C51E-929F-4DAD-BAD2-CB3C44A51768}" name="Colonne534"/>
    <tableColumn id="543" xr3:uid="{A84247AA-213D-4F49-BF18-03312247D35F}" name="Colonne535"/>
    <tableColumn id="544" xr3:uid="{1D77CDAC-7AF0-41DC-8186-197B0B197FE2}" name="Colonne536"/>
    <tableColumn id="545" xr3:uid="{169F36C7-788E-4F45-A099-BE2A77FAE615}" name="Colonne537"/>
    <tableColumn id="546" xr3:uid="{304029AF-DE00-4200-992E-86D97D07DD5C}" name="Colonne538"/>
    <tableColumn id="547" xr3:uid="{3B469191-D998-48E2-A98D-506455CD2CCA}" name="Colonne539"/>
    <tableColumn id="548" xr3:uid="{9E9A77ED-8829-40B2-BCE8-B44FF1434669}" name="Colonne540"/>
    <tableColumn id="549" xr3:uid="{9E2A1ECC-953D-452A-B8A5-AEC444CA937B}" name="Colonne541"/>
    <tableColumn id="550" xr3:uid="{5B42A337-C149-4C5C-81B2-A4FB62541526}" name="Colonne542"/>
    <tableColumn id="551" xr3:uid="{3BAD6DBE-BD87-436D-96F8-2120DFA7CDA2}" name="Colonne543"/>
    <tableColumn id="552" xr3:uid="{DE2D2411-4528-4276-91B2-26C03F831469}" name="Colonne544"/>
    <tableColumn id="553" xr3:uid="{F54AA0B9-B9C9-4604-B687-FEF413FFA04B}" name="Colonne545"/>
    <tableColumn id="554" xr3:uid="{D0F9201A-04D2-42FF-A4C3-87C826B550CF}" name="Colonne546"/>
    <tableColumn id="555" xr3:uid="{C393981C-61C1-48A6-AA84-6380870BB648}" name="Colonne547"/>
    <tableColumn id="556" xr3:uid="{51573F88-0C03-458F-BE69-B44D80CDFE2F}" name="Colonne548"/>
    <tableColumn id="557" xr3:uid="{84030A42-3C4C-4DE0-94E2-C7299AC56BED}" name="Colonne549"/>
    <tableColumn id="558" xr3:uid="{F3BD1E41-84A7-4050-8476-EF19EC6EF68D}" name="Colonne550"/>
    <tableColumn id="559" xr3:uid="{59A39CA8-3DB8-440E-9683-66F016FA5E96}" name="Colonne551"/>
    <tableColumn id="560" xr3:uid="{AD4DEE73-ED58-4825-99BE-FFBD64A0C13F}" name="Colonne552"/>
    <tableColumn id="561" xr3:uid="{406370BF-AC6A-4E77-A5BE-0728278BF79E}" name="Colonne553"/>
    <tableColumn id="562" xr3:uid="{6B220DB6-E7F8-4990-BF44-373C0C1B0C4F}" name="Colonne554"/>
    <tableColumn id="563" xr3:uid="{360C27B0-1D54-49BC-8A81-99B088F1338E}" name="Colonne555"/>
    <tableColumn id="564" xr3:uid="{F6ABA998-C6DB-4B0C-A673-6F9F03D8D36E}" name="Colonne556"/>
    <tableColumn id="565" xr3:uid="{DA4FA9B4-589A-42CD-BE90-FEC106CB798D}" name="Colonne557"/>
    <tableColumn id="566" xr3:uid="{15B66941-BB5F-470E-B3E2-76C16A2F61BF}" name="Colonne558"/>
    <tableColumn id="567" xr3:uid="{4D7D57FE-EC6F-4E29-83AB-9B76E1315058}" name="Colonne559"/>
    <tableColumn id="568" xr3:uid="{A5987FAB-0C31-429A-99B8-12D0BF27D36C}" name="Colonne560"/>
    <tableColumn id="569" xr3:uid="{9EC1A6DA-298E-4087-9D20-219C091C386A}" name="Colonne561"/>
    <tableColumn id="570" xr3:uid="{7B0E25B2-5D12-43E4-BF22-AAAF82E96DB9}" name="Colonne562"/>
    <tableColumn id="571" xr3:uid="{4E8EC29A-8C9F-4266-B18B-07FF6ECE518B}" name="Colonne563"/>
    <tableColumn id="572" xr3:uid="{D3473274-3354-4017-8482-F31956BF830A}" name="Colonne564"/>
    <tableColumn id="573" xr3:uid="{0211E3D0-9E4E-4100-9DF7-11D115B24FC4}" name="Colonne565"/>
    <tableColumn id="574" xr3:uid="{D87AF213-2501-4FA9-96CC-1710C50FA6B7}" name="Colonne566"/>
    <tableColumn id="575" xr3:uid="{F6FA8CD4-F73B-4F64-AD5C-013C43D05BBD}" name="Colonne567"/>
    <tableColumn id="576" xr3:uid="{87CD2ED5-DD2E-4CA9-9601-5CAB76BB59EB}" name="Colonne568"/>
    <tableColumn id="577" xr3:uid="{DCB2FB17-D001-48D4-BC96-5864FDFA3146}" name="Colonne569"/>
    <tableColumn id="578" xr3:uid="{DE298C05-1891-4780-98F9-FD17E1319147}" name="Colonne570"/>
    <tableColumn id="579" xr3:uid="{FA048999-E540-4F16-8EB0-C46F15D26EE9}" name="Colonne571"/>
    <tableColumn id="580" xr3:uid="{F6F7CF95-739D-44C4-98CB-312C05B7CA99}" name="Colonne572"/>
    <tableColumn id="581" xr3:uid="{F276B39E-73ED-4B09-BA15-37236791C9BF}" name="Colonne573"/>
    <tableColumn id="582" xr3:uid="{EF194FCF-4315-4F9C-832F-438773ACA9BA}" name="Colonne574"/>
    <tableColumn id="583" xr3:uid="{996A6237-133A-495C-8679-0FE5E151DBA3}" name="Colonne575"/>
    <tableColumn id="584" xr3:uid="{7251FE88-F740-4F5A-9C9A-D6249A33B692}" name="Colonne576"/>
    <tableColumn id="585" xr3:uid="{5EAE4264-D36D-4536-85AD-B390D3B83BC3}" name="Colonne577"/>
    <tableColumn id="586" xr3:uid="{F83E847F-BAC4-4BA7-99C7-F33A5E95C5BF}" name="Colonne578"/>
    <tableColumn id="587" xr3:uid="{6BA258A0-EA2A-4968-B251-75D2058AC218}" name="Colonne579"/>
    <tableColumn id="588" xr3:uid="{69F40937-21CD-45E9-B36F-B510D4815F7C}" name="Colonne580"/>
    <tableColumn id="589" xr3:uid="{30873474-3C28-4ED7-9748-499A3ECC85E5}" name="Colonne581"/>
    <tableColumn id="590" xr3:uid="{1B58B0D6-39E1-47F0-92B3-4F218221FE5B}" name="Colonne582"/>
    <tableColumn id="591" xr3:uid="{DF6011A4-976D-4562-BCFA-0E56D8833705}" name="Colonne583"/>
    <tableColumn id="592" xr3:uid="{70BC5C38-5224-43AA-9A12-7CDB8306A967}" name="Colonne584"/>
    <tableColumn id="593" xr3:uid="{5A4B3158-B2C6-480A-968C-0420488DFC7D}" name="Colonne585"/>
    <tableColumn id="594" xr3:uid="{33036234-815E-45D0-8E7D-CEE6E8DED125}" name="Colonne586"/>
    <tableColumn id="595" xr3:uid="{A5FC79D7-43B3-4FD1-92C9-E2982F030434}" name="Colonne587"/>
    <tableColumn id="596" xr3:uid="{B0878041-2F40-46BA-A186-9CBB46478743}" name="Colonne588"/>
    <tableColumn id="597" xr3:uid="{78280728-211B-403C-B37B-7352C465745B}" name="Colonne589"/>
    <tableColumn id="598" xr3:uid="{8A6515CC-A35E-4891-B6AC-6358D482E0B8}" name="Colonne590"/>
    <tableColumn id="599" xr3:uid="{386DEC4E-C54F-4561-A526-CDE436A9AEF9}" name="Colonne591"/>
    <tableColumn id="600" xr3:uid="{F92F85CE-D639-42CC-8D96-4BB38C64BEEA}" name="Colonne592"/>
    <tableColumn id="601" xr3:uid="{C9ECF61C-FF8B-4489-8427-3B6478E4653A}" name="Colonne593"/>
    <tableColumn id="602" xr3:uid="{0C28B122-2DA9-4BE1-809A-8C5A23E8EC1A}" name="Colonne594"/>
    <tableColumn id="603" xr3:uid="{82749F86-05F2-408A-9DD6-98CAF5837619}" name="Colonne595"/>
    <tableColumn id="604" xr3:uid="{0F85EE91-1D0F-4F41-89A2-7E2CB268F218}" name="Colonne596"/>
    <tableColumn id="605" xr3:uid="{560E6943-39E3-4BBF-964A-6CCC8D6AC61C}" name="Colonne597"/>
    <tableColumn id="606" xr3:uid="{A2AB2F66-4509-4443-9A73-57CAFDCE96BA}" name="Colonne598"/>
    <tableColumn id="607" xr3:uid="{7DC8ACB8-FD96-4ED4-B025-49DCFBD9D1F7}" name="Colonne599"/>
    <tableColumn id="608" xr3:uid="{7147AEE9-924C-4F7C-8D03-6F88A4DABDF2}" name="Colonne600"/>
    <tableColumn id="609" xr3:uid="{39B7BF6E-3900-46F8-B20C-DD2CE20FD245}" name="Colonne601"/>
    <tableColumn id="610" xr3:uid="{33360493-C77D-44FB-B796-858F2A586820}" name="Colonne602"/>
    <tableColumn id="611" xr3:uid="{7768F5D8-9E58-40C6-9699-19E2429867E8}" name="Colonne603"/>
    <tableColumn id="612" xr3:uid="{679A3B5C-D1B1-4FA5-9A66-388CD9867BD3}" name="Colonne604"/>
    <tableColumn id="613" xr3:uid="{9969FC61-FA2D-4732-ABD9-89965EB9ED56}" name="Colonne605"/>
    <tableColumn id="614" xr3:uid="{FF890EE1-2E45-415E-8FBF-AB3EDC69700C}" name="Colonne606"/>
    <tableColumn id="615" xr3:uid="{4AC972BB-4E71-4885-B4DE-F20B3B5091A2}" name="Colonne607"/>
    <tableColumn id="616" xr3:uid="{15350AE2-F310-42F6-BB0B-D0DB99255168}" name="Colonne608"/>
    <tableColumn id="617" xr3:uid="{AB5E5920-7AAE-4BB3-8EFB-5B4E82862BB5}" name="Colonne609"/>
    <tableColumn id="618" xr3:uid="{8A080C59-637F-4123-95D3-FD01001AA2A8}" name="Colonne610"/>
    <tableColumn id="619" xr3:uid="{A568F12D-4BF6-4A47-A31E-E3F583649799}" name="Colonne611"/>
    <tableColumn id="620" xr3:uid="{F4478BE8-B8A4-461F-A5FD-69ECC42B1554}" name="Colonne612"/>
    <tableColumn id="621" xr3:uid="{E3840E3E-5AB5-48EE-9A6B-EB84A6E15B83}" name="Colonne613"/>
    <tableColumn id="622" xr3:uid="{72A11ACB-D7EA-4D01-828B-95D1F987A4B3}" name="Colonne614"/>
    <tableColumn id="623" xr3:uid="{2D04EE6B-E089-42DB-B47D-0F6290CF26DF}" name="Colonne615"/>
    <tableColumn id="624" xr3:uid="{C3D3D2C2-387F-484C-A3E3-94976AF961A7}" name="Colonne616"/>
    <tableColumn id="625" xr3:uid="{CA1DBFC5-FE8C-4B5F-845D-E56113B0B0B0}" name="Colonne617"/>
    <tableColumn id="626" xr3:uid="{0C7D7802-B157-4E5E-9E54-27861AFC3574}" name="Colonne618"/>
    <tableColumn id="627" xr3:uid="{4BCAC55B-A1AF-48BE-BA4D-80C7564374FA}" name="Colonne619"/>
    <tableColumn id="628" xr3:uid="{F4646A84-9364-4D16-BF84-88A1240829B3}" name="Colonne620"/>
    <tableColumn id="629" xr3:uid="{8F637C48-1020-4EE7-AC5C-15A62EA8862A}" name="Colonne621"/>
    <tableColumn id="630" xr3:uid="{E4EDEAD7-EA42-4E90-9670-A8D6E933B134}" name="Colonne622"/>
    <tableColumn id="631" xr3:uid="{1FAC7D77-CF9D-4994-9780-51D8B398A38C}" name="Colonne623"/>
    <tableColumn id="632" xr3:uid="{1A61AD3E-E05C-40C6-A477-5CDBDC15D105}" name="Colonne624"/>
    <tableColumn id="633" xr3:uid="{632793C3-5609-45BA-BFB6-26B6E4E5DD4E}" name="Colonne625"/>
    <tableColumn id="634" xr3:uid="{37BD97EA-DE92-47FB-A036-6D2AE6B98EDD}" name="Colonne626"/>
    <tableColumn id="635" xr3:uid="{AED9136A-1170-4F06-8EB3-50C9EC4FD3FE}" name="Colonne627"/>
    <tableColumn id="636" xr3:uid="{B37CA8B3-A35B-473E-AE2B-487869AE9695}" name="Colonne628"/>
    <tableColumn id="637" xr3:uid="{6F33B0BB-660E-40AE-AC61-9153D07FF7B1}" name="Colonne629"/>
    <tableColumn id="638" xr3:uid="{F582C92D-6B68-4276-A79F-12B9A67D3CFA}" name="Colonne630"/>
    <tableColumn id="639" xr3:uid="{BB4C109F-A019-4B25-A863-FC0CCB4F22B5}" name="Colonne631"/>
    <tableColumn id="640" xr3:uid="{9389CF19-C16E-4C50-8311-66C1A05DDDCB}" name="Colonne632"/>
    <tableColumn id="641" xr3:uid="{FC8AB641-5C9B-4D9D-A1CF-040813604048}" name="Colonne633"/>
    <tableColumn id="642" xr3:uid="{42EB7A93-BEA1-4BB5-8B80-E503990E7BD6}" name="Colonne634"/>
    <tableColumn id="643" xr3:uid="{7657DF46-30A0-474B-8C7B-8F86FE2AFBDD}" name="Colonne635"/>
    <tableColumn id="644" xr3:uid="{7BB788E4-8EB0-4582-9F1F-C6AA70909397}" name="Colonne636"/>
    <tableColumn id="645" xr3:uid="{D6D232DF-0358-41EC-824A-B9E568872A1B}" name="Colonne637"/>
    <tableColumn id="646" xr3:uid="{107DB4FD-94E7-438E-ABB0-71495CABF724}" name="Colonne638"/>
    <tableColumn id="647" xr3:uid="{2B342DDE-E965-496C-BE5C-D6597AA244C1}" name="Colonne639"/>
    <tableColumn id="648" xr3:uid="{A10F5FCA-9922-4F59-87E8-41D2A75F258C}" name="Colonne640"/>
    <tableColumn id="649" xr3:uid="{10C36DD8-3D38-427A-979B-EFFE235DB4CD}" name="Colonne641"/>
    <tableColumn id="650" xr3:uid="{7F13D727-4E70-4C8F-83A1-7FB33F59A86B}" name="Colonne642"/>
    <tableColumn id="651" xr3:uid="{5FC6310E-078B-47CD-ABBC-7D9776D0FA11}" name="Colonne643"/>
    <tableColumn id="652" xr3:uid="{5E6184AE-3506-4A67-A4E7-CC340A40E279}" name="Colonne644"/>
    <tableColumn id="653" xr3:uid="{8E49067D-21A5-4C20-8C60-1BB4ACBAA867}" name="Colonne645"/>
    <tableColumn id="654" xr3:uid="{8D4999A4-E320-4E45-BC31-C495C0BBCEEA}" name="Colonne646"/>
    <tableColumn id="655" xr3:uid="{9E44998C-2802-419B-8D43-A814F3577A92}" name="Colonne647"/>
    <tableColumn id="656" xr3:uid="{510857C3-566D-4069-ACA7-EA087CB9F46C}" name="Colonne648"/>
    <tableColumn id="657" xr3:uid="{CBB4B9B8-E0C9-47FA-A29E-1508E56CF4A2}" name="Colonne649"/>
    <tableColumn id="658" xr3:uid="{0FD074A3-A208-4EE5-B7CA-2336EAF41F31}" name="Colonne650"/>
    <tableColumn id="659" xr3:uid="{29C4BF85-D2FA-446F-99BC-1983BC653069}" name="Colonne651"/>
    <tableColumn id="660" xr3:uid="{3ED38ED7-9A34-40C6-A1F8-C0C7CBAC0CFA}" name="Colonne652"/>
    <tableColumn id="661" xr3:uid="{AA20270B-AC46-4B8E-8D83-83D1829821ED}" name="Colonne653"/>
    <tableColumn id="662" xr3:uid="{4EFABE46-C2F6-488C-A117-E47D8677E063}" name="Colonne654"/>
    <tableColumn id="663" xr3:uid="{D414E0ED-D89B-494C-85DC-7A7EA108CFAB}" name="Colonne655"/>
    <tableColumn id="664" xr3:uid="{D9D1E2B3-9B88-4BD4-9661-0ED0B89435B9}" name="Colonne656"/>
    <tableColumn id="665" xr3:uid="{B44B4C97-C030-4895-9784-F3A8DD249B45}" name="Colonne657"/>
    <tableColumn id="666" xr3:uid="{8AFED257-0D79-43B2-9016-E6B00DB959BF}" name="Colonne658"/>
    <tableColumn id="667" xr3:uid="{683C9FAA-AA93-4723-92CF-C5C1C73EFFDC}" name="Colonne659"/>
    <tableColumn id="668" xr3:uid="{DE5D16D9-0A70-4350-8D97-2463EEAAE578}" name="Colonne660"/>
    <tableColumn id="669" xr3:uid="{4E2BCD52-0C55-4B02-8DC2-521D2FCFDED2}" name="Colonne661"/>
    <tableColumn id="670" xr3:uid="{86AA898D-4AE7-4DA8-B063-C76872107E97}" name="Colonne662"/>
    <tableColumn id="671" xr3:uid="{CAF54BAA-D852-4C3F-86A5-DE40CF94A37D}" name="Colonne663"/>
    <tableColumn id="672" xr3:uid="{57F7B385-DDC9-46EF-8DDF-860B3C7D65DE}" name="Colonne664"/>
    <tableColumn id="673" xr3:uid="{735D2966-3BF6-4ADC-A114-EDAB22C5743C}" name="Colonne665"/>
    <tableColumn id="674" xr3:uid="{0B9C7580-1C77-4BF9-8131-8D30F21F5C44}" name="Colonne666"/>
    <tableColumn id="675" xr3:uid="{FE3DD95A-7883-4F2B-A039-92CFA5CA5CE8}" name="Colonne667"/>
    <tableColumn id="676" xr3:uid="{4FFA501C-4FBE-45AB-9C35-AA434C84AFE3}" name="Colonne668"/>
    <tableColumn id="677" xr3:uid="{6776AA7C-6E5D-42D5-9F78-64D6832E80FF}" name="Colonne669"/>
    <tableColumn id="678" xr3:uid="{AF2B107A-5139-44F3-87CE-D0FC5744B0E3}" name="Colonne670"/>
    <tableColumn id="679" xr3:uid="{74888FD9-7F98-4040-9031-DD3C5264B19F}" name="Colonne671"/>
    <tableColumn id="680" xr3:uid="{EB03D41D-BCF7-40ED-B0F4-B66A22AAE9A1}" name="Colonne672"/>
    <tableColumn id="681" xr3:uid="{82FB936F-1352-40E3-A8E4-CAF85955E026}" name="Colonne673"/>
    <tableColumn id="682" xr3:uid="{4FA5AF80-25D3-40F2-A943-2DB24C60B17C}" name="Colonne674"/>
    <tableColumn id="683" xr3:uid="{4F97E652-9141-4C9C-B231-9C9AEBB4673A}" name="Colonne675"/>
    <tableColumn id="684" xr3:uid="{B11BDE1E-9593-43E9-B2B8-0B7A5A2D0FEE}" name="Colonne676"/>
    <tableColumn id="685" xr3:uid="{E4C1D20F-BBE6-4E5C-9110-A0698F328934}" name="Colonne677"/>
    <tableColumn id="686" xr3:uid="{3A99E10A-A1A1-4404-A96C-FF51BCB108C7}" name="Colonne678"/>
    <tableColumn id="687" xr3:uid="{6B689D32-972E-4990-9450-54022CE4D7C4}" name="Colonne679"/>
    <tableColumn id="688" xr3:uid="{079CEA6C-2734-49B7-992D-C5CBE4A27D9B}" name="Colonne680"/>
    <tableColumn id="689" xr3:uid="{D0CE681D-A54B-45AA-893C-BAA48CE252F2}" name="Colonne681"/>
    <tableColumn id="690" xr3:uid="{9ECC241A-A32F-41BD-881D-4FF1C9C7BDD9}" name="Colonne682"/>
    <tableColumn id="691" xr3:uid="{51DAFBBB-2AC4-4FEF-A7EE-CCB031AAB32D}" name="Colonne683"/>
    <tableColumn id="692" xr3:uid="{D4EBFAE7-8808-4960-8498-6CF8E221113E}" name="Colonne684"/>
    <tableColumn id="693" xr3:uid="{7E5FE71B-637D-46F6-BDDE-5C47344AC48B}" name="Colonne685"/>
    <tableColumn id="694" xr3:uid="{188D1ABC-D06A-498C-B7C4-9148D5952D9D}" name="Colonne686"/>
    <tableColumn id="695" xr3:uid="{38C43222-A099-47D3-8DD7-3E93036EA404}" name="Colonne687"/>
    <tableColumn id="696" xr3:uid="{CCD39DBD-F385-4AAF-83CB-E33806E703AF}" name="Colonne688"/>
    <tableColumn id="697" xr3:uid="{8851F267-3D3C-43B6-804F-D209AF1F251B}" name="Colonne689"/>
    <tableColumn id="698" xr3:uid="{493777CD-4A6E-4966-BA96-B524C6136940}" name="Colonne690"/>
    <tableColumn id="699" xr3:uid="{DF8C5D91-A42F-42D4-B1AA-AEEC297A484B}" name="Colonne691"/>
    <tableColumn id="700" xr3:uid="{9C0B9DE9-190A-4C59-8310-E77B6B3CE466}" name="Colonne692"/>
    <tableColumn id="701" xr3:uid="{ABE7625B-99B8-4542-B6C0-5A8148A2443D}" name="Colonne693"/>
    <tableColumn id="702" xr3:uid="{93E0E143-FA10-43B6-89C5-9D7BF8BA4D82}" name="Colonne694"/>
    <tableColumn id="703" xr3:uid="{BB2DEF5C-C035-4BD5-9856-22C8E201CAA1}" name="Colonne695"/>
    <tableColumn id="704" xr3:uid="{7AB93E46-4539-4F7C-A563-7B1A676F3ED7}" name="Colonne696"/>
    <tableColumn id="705" xr3:uid="{F7623CD7-660A-4547-B993-DCDA489D1471}" name="Colonne697"/>
    <tableColumn id="706" xr3:uid="{F48224A3-99D7-421A-A350-D64E38119A95}" name="Colonne698"/>
    <tableColumn id="707" xr3:uid="{0CF4F9B4-C74D-489C-9C31-5DAC6FB5F498}" name="Colonne699"/>
    <tableColumn id="708" xr3:uid="{07421382-7936-4DBC-A4E0-CC06DBB9769D}" name="Colonne700"/>
    <tableColumn id="709" xr3:uid="{5B3545AD-803B-4A71-B054-8FDF7FE8CA7E}" name="Colonne701"/>
    <tableColumn id="710" xr3:uid="{F07251FA-DD38-4916-8BD3-30D2A2DA1136}" name="Colonne702"/>
    <tableColumn id="711" xr3:uid="{860CD8CA-9B5D-41E2-8B51-AB8D7C8FF8F1}" name="Colonne703"/>
    <tableColumn id="712" xr3:uid="{F1C03E30-8900-497C-92BD-87B6862A337F}" name="Colonne704"/>
    <tableColumn id="713" xr3:uid="{53934D7A-7852-49E1-B111-11B70B40B1AF}" name="Colonne705"/>
    <tableColumn id="714" xr3:uid="{2A98ED51-CFE2-478C-8843-E33D9737EE16}" name="Colonne706"/>
    <tableColumn id="715" xr3:uid="{70B93B5B-5E34-436B-8301-DDF51D7BA70F}" name="Colonne707"/>
    <tableColumn id="716" xr3:uid="{B5771125-CE9E-4F88-B67B-3BCF2D82E1A6}" name="Colonne708"/>
    <tableColumn id="717" xr3:uid="{E1902502-CDE5-4CD8-8D00-E721C5356029}" name="Colonne709"/>
    <tableColumn id="718" xr3:uid="{DCB8EC96-2C26-4A7F-88E2-A87EAEFFAD6E}" name="Colonne710"/>
    <tableColumn id="719" xr3:uid="{3B8170AC-0CF6-4B8D-A3FC-3B0A4A53A4C5}" name="Colonne711"/>
    <tableColumn id="720" xr3:uid="{8EE5569F-00FC-43E1-981E-2C89DE31EAB9}" name="Colonne712"/>
    <tableColumn id="721" xr3:uid="{F4A0AF6F-1B84-408F-BCC5-395901B2C2D7}" name="Colonne713"/>
    <tableColumn id="722" xr3:uid="{58649A51-0D1E-4069-AF10-46B5C519370B}" name="Colonne714"/>
    <tableColumn id="723" xr3:uid="{40028348-19E9-48B2-9A4E-E36037179267}" name="Colonne715"/>
    <tableColumn id="724" xr3:uid="{1C817F2E-AD1E-43FE-A438-66AA7B8618E7}" name="Colonne716"/>
    <tableColumn id="725" xr3:uid="{932A6B3C-A2FC-45CC-B682-148B5592F135}" name="Colonne717"/>
    <tableColumn id="726" xr3:uid="{BE0017B3-6E41-43F5-9C29-9187558237D3}" name="Colonne718"/>
    <tableColumn id="727" xr3:uid="{FFD12E60-C35E-4E53-8607-95DE262F2DC4}" name="Colonne719"/>
    <tableColumn id="728" xr3:uid="{E3867499-6FE4-4847-BC12-72BCEE3B67C1}" name="Colonne720"/>
    <tableColumn id="729" xr3:uid="{BA1EBBE1-879A-42D2-A982-52A958CF11DA}" name="Colonne721"/>
    <tableColumn id="730" xr3:uid="{39A7A985-F027-4ED4-B05B-D481EFE4AF23}" name="Colonne722"/>
    <tableColumn id="731" xr3:uid="{4B618EEA-1E5D-481C-A8E9-54F9B19A6C3F}" name="Colonne723"/>
    <tableColumn id="732" xr3:uid="{431E4FA1-74EC-43C2-81F3-886FE672BB05}" name="Colonne724"/>
    <tableColumn id="733" xr3:uid="{F9950BF3-EE5E-4E17-8214-89F0B98E2717}" name="Colonne725"/>
    <tableColumn id="734" xr3:uid="{BC56C428-89F9-4688-B65A-C36039D68D1C}" name="Colonne726"/>
    <tableColumn id="735" xr3:uid="{5F5F824F-016A-4DA4-9C2B-53EEC95D3FFB}" name="Colonne727"/>
    <tableColumn id="736" xr3:uid="{594C9334-D59E-48C3-8C89-3B0470107453}" name="Colonne728"/>
    <tableColumn id="737" xr3:uid="{EE9F9DCF-478A-4BB5-87D5-B4F7714A741D}" name="Colonne729"/>
    <tableColumn id="738" xr3:uid="{617DB0B4-5510-48E0-AA9B-E185FE586401}" name="Colonne730"/>
    <tableColumn id="739" xr3:uid="{0D67DEBE-B360-4873-B44A-880B6570A705}" name="Colonne731"/>
    <tableColumn id="740" xr3:uid="{FA5F1122-8542-469C-B3E6-C187028C5200}" name="Colonne732"/>
    <tableColumn id="741" xr3:uid="{2FBDBF44-929B-470F-91A6-89B9ABB1A562}" name="Colonne733"/>
    <tableColumn id="742" xr3:uid="{1570766E-D1BB-4D55-8420-C72016A9B47E}" name="Colonne734"/>
    <tableColumn id="743" xr3:uid="{F1960A3E-52D1-4256-8D60-46126F3B8044}" name="Colonne735"/>
    <tableColumn id="744" xr3:uid="{B119C5BE-1B55-4688-B269-CB103059D12B}" name="Colonne736"/>
    <tableColumn id="745" xr3:uid="{66F786B1-C9D3-446A-A565-3B9F28FA4583}" name="Colonne737"/>
    <tableColumn id="746" xr3:uid="{9E1CCE60-1310-4B85-ABB3-2D1FF72D4136}" name="Colonne738"/>
    <tableColumn id="747" xr3:uid="{49C02582-6193-4475-80D9-21BE722E6D7B}" name="Colonne739"/>
    <tableColumn id="748" xr3:uid="{7172B6C3-D024-4575-A562-67A1A58D3D71}" name="Colonne740"/>
    <tableColumn id="749" xr3:uid="{C4C2B7D2-B172-4139-BB38-C09CD3F78E55}" name="Colonne741"/>
    <tableColumn id="750" xr3:uid="{F952DFF5-A526-4841-B2F3-C915966F67E8}" name="Colonne742"/>
    <tableColumn id="751" xr3:uid="{831B5715-97FC-45D6-AB60-F460A808DF35}" name="Colonne743"/>
    <tableColumn id="752" xr3:uid="{B18F1299-FF3B-49C6-BC9D-482B65029356}" name="Colonne744"/>
    <tableColumn id="753" xr3:uid="{CC4ABA3F-004A-4AFA-89FE-8186C8F93E85}" name="Colonne745"/>
    <tableColumn id="754" xr3:uid="{0C8DE4FB-2484-4B43-A081-874F0E445083}" name="Colonne746"/>
    <tableColumn id="755" xr3:uid="{8B1ADEC3-08FF-4E83-8BAB-F74BDF56329B}" name="Colonne747"/>
    <tableColumn id="756" xr3:uid="{11C1FD06-149D-4041-9940-E1764BE26306}" name="Colonne748"/>
    <tableColumn id="757" xr3:uid="{C562A8FE-9DC1-4A33-9DDB-1A3BAE5F5430}" name="Colonne749"/>
    <tableColumn id="758" xr3:uid="{900A35EA-9AC9-4D0C-AC31-2720A167B883}" name="Colonne750"/>
    <tableColumn id="759" xr3:uid="{E9D50174-7518-4B9B-8041-BC60DBADC661}" name="Colonne751"/>
    <tableColumn id="760" xr3:uid="{1E394D63-312B-4263-9769-BA5517D59BDF}" name="Colonne752"/>
    <tableColumn id="761" xr3:uid="{E69F6F38-5EA0-419F-80F5-A8DAB80772F3}" name="Colonne753"/>
    <tableColumn id="762" xr3:uid="{05BB32BF-7C7E-4DCB-8D5E-7B9E58CE7D88}" name="Colonne754"/>
    <tableColumn id="763" xr3:uid="{7BCFDA49-9F7A-4677-A8C1-DCA06596EAE5}" name="Colonne755"/>
    <tableColumn id="764" xr3:uid="{898FB233-0D8C-46F7-9C5F-F9C79F7A1858}" name="Colonne756"/>
    <tableColumn id="765" xr3:uid="{0150EBEA-FAF4-4979-A51C-5BD3A83BE885}" name="Colonne757"/>
    <tableColumn id="766" xr3:uid="{6362BB71-8224-44DF-B82A-D83603260011}" name="Colonne758"/>
    <tableColumn id="767" xr3:uid="{E5872335-5754-4E32-B207-9E3D133B8EF4}" name="Colonne759"/>
    <tableColumn id="768" xr3:uid="{E0153A14-B06E-4831-B1F4-6D56660F69A0}" name="Colonne760"/>
    <tableColumn id="769" xr3:uid="{C3EAFA29-BD68-401C-AE04-26A226F19AB3}" name="Colonne761"/>
    <tableColumn id="770" xr3:uid="{9560083A-7831-4D1C-986C-AC9D6A8927ED}" name="Colonne762"/>
    <tableColumn id="771" xr3:uid="{211B0579-0746-465D-B718-18AC39940E8B}" name="Colonne763"/>
    <tableColumn id="772" xr3:uid="{2608F844-F804-431A-AECC-8AD241BF3CBA}" name="Colonne764"/>
    <tableColumn id="773" xr3:uid="{B7C926FF-46BD-49AC-BFD3-18B896D29414}" name="Colonne765"/>
    <tableColumn id="774" xr3:uid="{0A56C49F-5EEE-4189-899B-4FC89465B797}" name="Colonne766"/>
    <tableColumn id="775" xr3:uid="{F130C0A6-373D-4C8E-BA05-FE08E1182C3A}" name="Colonne767"/>
    <tableColumn id="776" xr3:uid="{B8368743-7933-424D-AB0E-5E2289787B64}" name="Colonne768"/>
    <tableColumn id="777" xr3:uid="{5FC637BD-ACFB-47F2-B993-81048F69B2CB}" name="Colonne769"/>
    <tableColumn id="778" xr3:uid="{65889026-448F-41A9-A6F0-E3A928C73FCA}" name="Colonne770"/>
    <tableColumn id="779" xr3:uid="{9AD74E06-AC59-45CC-8666-736BF605CE95}" name="Colonne771"/>
    <tableColumn id="780" xr3:uid="{4659C6E3-F606-49BE-AF11-945E6DE01F41}" name="Colonne772"/>
    <tableColumn id="781" xr3:uid="{E2E12977-1A78-4AC2-8851-66FE76CE20F3}" name="Colonne773"/>
    <tableColumn id="782" xr3:uid="{0E436A9C-9B3D-40EE-9B38-2B131CB9AF6E}" name="Colonne774"/>
    <tableColumn id="783" xr3:uid="{6F69B958-8D9F-4468-A717-7C42CAB37473}" name="Colonne775"/>
    <tableColumn id="784" xr3:uid="{9EC8D80B-0C01-42BB-8872-8E8735E5E5D1}" name="Colonne776"/>
    <tableColumn id="785" xr3:uid="{7CCE1F3E-5570-49F9-AD86-6B9AFDA7CB32}" name="Colonne777"/>
    <tableColumn id="786" xr3:uid="{5A3280FE-7353-4361-B5B9-BEBDC2A1F7EC}" name="Colonne778"/>
    <tableColumn id="787" xr3:uid="{5FE7B49A-D22E-4656-BA10-A511F749BFE3}" name="Colonne779"/>
    <tableColumn id="788" xr3:uid="{8D486637-A1AE-46D7-994A-464698C1246D}" name="Colonne780"/>
    <tableColumn id="789" xr3:uid="{C1D5D9F3-2FFE-45A0-8048-C19997D365A8}" name="Colonne781"/>
    <tableColumn id="790" xr3:uid="{8B78A37C-25E5-447D-8490-A1E09DE9A4C7}" name="Colonne782"/>
    <tableColumn id="791" xr3:uid="{60C17043-37AC-4B30-85B8-830DC54287CD}" name="Colonne783"/>
    <tableColumn id="792" xr3:uid="{929CFC00-87DE-4E9E-AFE5-FDE4CB006E2C}" name="Colonne784"/>
    <tableColumn id="793" xr3:uid="{E0F959B5-F8DD-43B5-BABB-B433F090B5A1}" name="Colonne785"/>
    <tableColumn id="794" xr3:uid="{8711E298-47AC-4960-9FA9-A5261464B1BE}" name="Colonne786"/>
    <tableColumn id="795" xr3:uid="{31626520-5075-4C0E-B83B-33DA760DDA05}" name="Colonne787"/>
    <tableColumn id="796" xr3:uid="{E163565D-6629-471D-9186-CB61BE60B306}" name="Colonne788"/>
    <tableColumn id="797" xr3:uid="{29697F2D-A40F-45DB-8D76-1B7A213A4CCB}" name="Colonne789"/>
    <tableColumn id="798" xr3:uid="{FA855B61-A7CD-476D-A8E2-94558FB07F13}" name="Colonne790"/>
    <tableColumn id="799" xr3:uid="{DD805953-3ECF-41A0-912D-9C4C52872D2F}" name="Colonne791"/>
    <tableColumn id="800" xr3:uid="{AF90C6BC-4319-4EC5-8962-A56177B412AD}" name="Colonne792"/>
    <tableColumn id="801" xr3:uid="{20B9958A-BEFE-4EA2-8E0B-A3E62E48DAC8}" name="Colonne793"/>
    <tableColumn id="802" xr3:uid="{8B31382C-D3DC-49FD-8141-0F0BA79EB71E}" name="Colonne794"/>
    <tableColumn id="803" xr3:uid="{FB40AC14-5E0C-4D1D-929D-9AA539CBC9DA}" name="Colonne795"/>
    <tableColumn id="804" xr3:uid="{D300A835-A061-4325-9314-6EEAF5BD8D1E}" name="Colonne796"/>
    <tableColumn id="805" xr3:uid="{6401AE97-8B39-4B17-9384-CFFC5413FD3A}" name="Colonne797"/>
    <tableColumn id="806" xr3:uid="{B543C5CC-413A-4530-9003-1061EB339EE3}" name="Colonne798"/>
    <tableColumn id="807" xr3:uid="{F89722F9-AD31-4CF9-9DCE-AD0194E3BC2C}" name="Colonne799"/>
    <tableColumn id="808" xr3:uid="{1886589C-5D57-4432-AABB-2383F0CA81E2}" name="Colonne800"/>
    <tableColumn id="809" xr3:uid="{F1797F3D-6B34-4178-B9DB-2118B353ECDC}" name="Colonne801"/>
    <tableColumn id="810" xr3:uid="{A3B0DE00-0E41-4034-AC49-993C68AEA27E}" name="Colonne802"/>
    <tableColumn id="811" xr3:uid="{AFFF6680-B27B-484E-93B3-87433EC206B4}" name="Colonne803"/>
    <tableColumn id="812" xr3:uid="{649BEA05-D75C-4BFC-9389-FDC7F5146C54}" name="Colonne804"/>
    <tableColumn id="813" xr3:uid="{6676E18C-BE7B-46F8-AE44-3530E1B3C647}" name="Colonne805"/>
    <tableColumn id="814" xr3:uid="{B0607EC9-CB28-45CF-A9AE-5B903F9EF050}" name="Colonne806"/>
    <tableColumn id="815" xr3:uid="{0F473B9E-0817-4559-8463-051F87AF2576}" name="Colonne807"/>
    <tableColumn id="816" xr3:uid="{77FBCC85-4769-4AB1-91E0-1FCE36C79364}" name="Colonne808"/>
    <tableColumn id="817" xr3:uid="{34A5702D-CD57-4D4B-8B18-D51DF060301A}" name="Colonne809"/>
    <tableColumn id="818" xr3:uid="{E21433E3-DC7C-4AEE-BB6B-033858D13F2C}" name="Colonne810"/>
    <tableColumn id="819" xr3:uid="{5FCEDAF6-2402-4DF1-BF1A-1EF9573F076F}" name="Colonne811"/>
    <tableColumn id="820" xr3:uid="{34645064-985C-466D-BE4B-5DE184695741}" name="Colonne812"/>
    <tableColumn id="821" xr3:uid="{1B7B656F-E443-40EA-933B-1A7BDF1CB892}" name="Colonne813"/>
    <tableColumn id="822" xr3:uid="{C0EB432E-2139-4ADF-A035-89CEE5EF1C60}" name="Colonne814"/>
    <tableColumn id="823" xr3:uid="{C46C0CA9-CF3E-4AD1-B5F4-C3A15387E6B8}" name="Colonne815"/>
    <tableColumn id="824" xr3:uid="{A2EDCC8F-4497-404F-B111-0096B24629E4}" name="Colonne816"/>
    <tableColumn id="825" xr3:uid="{8A003027-27A1-478E-AA54-2E00B7DB9C43}" name="Colonne817"/>
    <tableColumn id="826" xr3:uid="{23679FDE-1082-4468-86DD-A6FEC90451EF}" name="Colonne818"/>
    <tableColumn id="827" xr3:uid="{3006AFA9-28B7-4762-B316-166D5EE79042}" name="Colonne819"/>
    <tableColumn id="828" xr3:uid="{54AD102A-5A88-4E1D-A50D-D59BF0DD1C9F}" name="Colonne820"/>
    <tableColumn id="829" xr3:uid="{EEBC3E75-787C-48B8-B6DE-3ABBE04CBD0B}" name="Colonne821"/>
    <tableColumn id="830" xr3:uid="{E76B5CF0-6C58-4BD5-949D-6C6F6DA10375}" name="Colonne822"/>
    <tableColumn id="831" xr3:uid="{BB343419-3EAC-4D0A-800D-319E607E0527}" name="Colonne823"/>
    <tableColumn id="832" xr3:uid="{11C6B298-42CB-4144-924A-AFA61072CCDB}" name="Colonne824"/>
    <tableColumn id="833" xr3:uid="{8F8C21C1-BB57-4BC3-8C91-1EAEA54239E5}" name="Colonne825"/>
    <tableColumn id="834" xr3:uid="{169D6004-58C8-4511-9397-321F89ECF1A1}" name="Colonne826"/>
    <tableColumn id="835" xr3:uid="{3C2A2714-2197-4A7A-8428-A46B1174CE9D}" name="Colonne827"/>
    <tableColumn id="836" xr3:uid="{C084FDFC-C6B9-436D-B9BA-CFFD39F5B61B}" name="Colonne828"/>
    <tableColumn id="837" xr3:uid="{30F8013E-1059-498D-B9B9-AFDFA0A3A3E7}" name="Colonne829"/>
    <tableColumn id="838" xr3:uid="{E1624FF2-E95F-48AE-876A-71812D69AB52}" name="Colonne830"/>
    <tableColumn id="839" xr3:uid="{D229F710-6BE7-4B7D-BB30-6D64DA6ABD94}" name="Colonne831"/>
    <tableColumn id="840" xr3:uid="{513268A9-B3AC-4906-AED2-4A423CEB427D}" name="Colonne832"/>
    <tableColumn id="841" xr3:uid="{590728AC-25B8-4421-BDB1-100D75741F67}" name="Colonne833"/>
    <tableColumn id="842" xr3:uid="{DAFB29D8-529A-4AAD-85ED-F4EEE247090C}" name="Colonne834"/>
    <tableColumn id="843" xr3:uid="{E2D1F578-12F9-4F0A-AEC4-B02B325368AC}" name="Colonne835"/>
    <tableColumn id="844" xr3:uid="{F5B945BD-70D7-4D69-AE4C-B77D0F243DFA}" name="Colonne836"/>
    <tableColumn id="845" xr3:uid="{250EFB6F-E242-4F92-A1B4-F81760D01343}" name="Colonne837"/>
    <tableColumn id="846" xr3:uid="{B38539ED-447F-4652-80C3-EB55E07AF5EF}" name="Colonne838"/>
    <tableColumn id="847" xr3:uid="{76AB050D-7948-4025-849B-B7068F7607DD}" name="Colonne839"/>
    <tableColumn id="848" xr3:uid="{DF7F82B0-155F-490C-AD99-B88064B8E4F4}" name="Colonne840"/>
    <tableColumn id="849" xr3:uid="{D902175C-B483-4224-8F19-C07A394FC513}" name="Colonne841"/>
    <tableColumn id="850" xr3:uid="{121EB47F-7EA4-4F33-A1E4-68735B161EF6}" name="Colonne842"/>
    <tableColumn id="851" xr3:uid="{BE41355B-7A28-4143-B222-3861E42048EB}" name="Colonne843"/>
    <tableColumn id="852" xr3:uid="{59B986D1-152A-4CBD-B91B-726B197A6756}" name="Colonne844"/>
    <tableColumn id="853" xr3:uid="{CF12552C-7712-4FC4-8F42-4FE4DA18091C}" name="Colonne845"/>
    <tableColumn id="854" xr3:uid="{413AFB71-287F-4E98-A6F9-A5B1B7D7D8D3}" name="Colonne846"/>
    <tableColumn id="855" xr3:uid="{899E5826-DB74-4AB6-AF39-E60A95DA3F7C}" name="Colonne847"/>
    <tableColumn id="856" xr3:uid="{8CE2BC55-9141-41BB-B6C7-0392B97D182F}" name="Colonne848"/>
    <tableColumn id="857" xr3:uid="{FC4BB8B1-72FA-43E3-90CC-C744E857ADF8}" name="Colonne849"/>
    <tableColumn id="858" xr3:uid="{2822F52D-0249-4083-BB62-4719C3541CFE}" name="Colonne850"/>
    <tableColumn id="859" xr3:uid="{19E00261-E51C-4147-A45C-A2EB667591C5}" name="Colonne851"/>
    <tableColumn id="860" xr3:uid="{78B9A307-DDB0-4A4F-9546-B3064D3E87A0}" name="Colonne852"/>
    <tableColumn id="861" xr3:uid="{B86DACFC-1C88-492E-AD48-876919C9ACEE}" name="Colonne853"/>
    <tableColumn id="862" xr3:uid="{DD27D37B-4D93-4464-86AA-58F8B4A41A52}" name="Colonne854"/>
    <tableColumn id="863" xr3:uid="{69D448C0-C3AA-4FAB-B00B-DF69C5338401}" name="Colonne855"/>
    <tableColumn id="864" xr3:uid="{E66D9369-1349-4F88-AAB9-21C9694FDAA8}" name="Colonne856"/>
    <tableColumn id="865" xr3:uid="{24B0D8F4-CBB0-4CD0-825B-924371F5324B}" name="Colonne857"/>
    <tableColumn id="866" xr3:uid="{E720C33E-1F08-4253-A86E-F03547CD37E8}" name="Colonne858"/>
    <tableColumn id="867" xr3:uid="{7CF01585-2C95-4024-B954-ED757895B843}" name="Colonne859"/>
    <tableColumn id="868" xr3:uid="{B12265E7-A90A-4D59-A3AC-0CCF26B83D64}" name="Colonne860"/>
    <tableColumn id="869" xr3:uid="{CF1AEC6C-AAB8-4B89-91D7-BDDA6F52BAA8}" name="Colonne861"/>
    <tableColumn id="870" xr3:uid="{3E83D0E8-C979-4271-AD59-2A70D95176F2}" name="Colonne862"/>
    <tableColumn id="871" xr3:uid="{A6E6E22E-A778-4FDD-8BAF-CE7DB071A6EB}" name="Colonne863"/>
    <tableColumn id="872" xr3:uid="{5F139D7A-6DC4-4D4F-9179-664B5E00DDEC}" name="Colonne864"/>
    <tableColumn id="873" xr3:uid="{043612DE-8C05-4127-B485-E9FFE7194C04}" name="Colonne865"/>
    <tableColumn id="874" xr3:uid="{6288F44D-F7DD-4B4D-9E47-02CF840E69C1}" name="Colonne866"/>
    <tableColumn id="875" xr3:uid="{907DA2BC-10EC-4CB5-8AD3-15594F3B5FB3}" name="Colonne867"/>
    <tableColumn id="876" xr3:uid="{F37AE429-6459-4DF8-A3A6-EE9B5E01FED1}" name="Colonne868"/>
    <tableColumn id="877" xr3:uid="{6436364E-BF79-4167-A661-081F32B0B9F7}" name="Colonne869"/>
    <tableColumn id="878" xr3:uid="{6754BAAA-8C9E-4A0F-82A1-D83EF6FFE2B3}" name="Colonne870"/>
    <tableColumn id="879" xr3:uid="{7B7D24AE-E0C3-4B27-B458-23D08F06727D}" name="Colonne871"/>
    <tableColumn id="880" xr3:uid="{370356F4-9E31-49DD-BE65-48A778115547}" name="Colonne872"/>
    <tableColumn id="881" xr3:uid="{5CB153AD-8B40-40FE-A5AE-104FB49D3DDF}" name="Colonne873"/>
    <tableColumn id="882" xr3:uid="{1A9EC160-D7DD-4A6A-B664-23DD5B3F1EA9}" name="Colonne874"/>
    <tableColumn id="883" xr3:uid="{1583D00F-9DF8-4137-8DF5-B66E3B2DCD3C}" name="Colonne875"/>
    <tableColumn id="884" xr3:uid="{E2ED7751-972B-4AE4-B868-ECF4A0224685}" name="Colonne876"/>
    <tableColumn id="885" xr3:uid="{535F76D3-7AC6-4F1D-95E6-8D7CC0580993}" name="Colonne877"/>
    <tableColumn id="886" xr3:uid="{1303FC40-A78F-4E75-BE1B-77D5931D5557}" name="Colonne878"/>
    <tableColumn id="887" xr3:uid="{E4E2BC52-81E2-4F83-8088-3E20071B6CA6}" name="Colonne879"/>
    <tableColumn id="888" xr3:uid="{63486E56-9AF5-4A8E-A414-1168CB739757}" name="Colonne880"/>
    <tableColumn id="889" xr3:uid="{776C2AC6-488A-46C7-B61E-BD37A7FFFE45}" name="Colonne881"/>
    <tableColumn id="890" xr3:uid="{72125D65-9B5A-407B-B56D-9A0C07D979D5}" name="Colonne882"/>
    <tableColumn id="891" xr3:uid="{DD678B03-6FC8-469D-9E3F-FD575F6A5C1D}" name="Colonne883"/>
    <tableColumn id="892" xr3:uid="{1F28564D-8B57-4B89-8BD1-63317A2B3187}" name="Colonne884"/>
    <tableColumn id="893" xr3:uid="{605CDA22-F71D-4BD7-98A1-91077197A53C}" name="Colonne885"/>
    <tableColumn id="894" xr3:uid="{7904CDA9-0BE1-46F4-8424-AF6750C213C8}" name="Colonne886"/>
    <tableColumn id="895" xr3:uid="{9B25BE4B-F07C-4E5D-8C74-6E06C4345DE2}" name="Colonne887"/>
    <tableColumn id="896" xr3:uid="{C357C5E3-FF38-4AA1-BB45-6A47C4879066}" name="Colonne888"/>
    <tableColumn id="897" xr3:uid="{A9FBAE52-6E9F-4089-8038-1DF6B3205BCC}" name="Colonne889"/>
    <tableColumn id="898" xr3:uid="{0289CF9F-B022-4F0D-9D38-3548268FCFA6}" name="Colonne890"/>
    <tableColumn id="899" xr3:uid="{D608B099-E5A9-49BA-8EC3-ABF2DFA3FB09}" name="Colonne891"/>
    <tableColumn id="900" xr3:uid="{CC010453-342E-40D3-9504-C9B3CCCAAAC9}" name="Colonne892"/>
    <tableColumn id="901" xr3:uid="{36B1E60E-B8E7-403E-953D-12F23C5B0C92}" name="Colonne893"/>
    <tableColumn id="902" xr3:uid="{8F8E5EF7-23AB-4678-A644-FE145E11A60E}" name="Colonne894"/>
    <tableColumn id="903" xr3:uid="{51D8D311-5DCA-48DC-99E4-FF999C45AA28}" name="Colonne895"/>
    <tableColumn id="904" xr3:uid="{48C3C548-D3D1-429D-B092-675E09808A74}" name="Colonne896"/>
    <tableColumn id="905" xr3:uid="{AF950DDE-DFC6-41E5-9961-73E3C93C7E0C}" name="Colonne897"/>
    <tableColumn id="906" xr3:uid="{7AA7EC72-A5D3-431A-AD79-F6EE3DE4DEDB}" name="Colonne898"/>
    <tableColumn id="907" xr3:uid="{F104012E-EA5A-417A-8531-6D0B63B4EE95}" name="Colonne899"/>
    <tableColumn id="908" xr3:uid="{5C934A4F-6706-4CD1-8421-7CB55E85DB5F}" name="Colonne900"/>
    <tableColumn id="909" xr3:uid="{4EF70446-95AF-40C8-A0C6-48D2936423B1}" name="Colonne901"/>
    <tableColumn id="910" xr3:uid="{FA2E0DF1-72AD-4EEE-8075-C339A44DB77E}" name="Colonne902"/>
    <tableColumn id="911" xr3:uid="{AD518069-012B-4E9F-9527-68D05A8A7601}" name="Colonne903"/>
    <tableColumn id="912" xr3:uid="{7FFBED7F-E289-41D7-A1AC-7EE87491023D}" name="Colonne904"/>
    <tableColumn id="913" xr3:uid="{AC65CAE6-90EB-4074-BBFF-267D5DA32836}" name="Colonne905"/>
    <tableColumn id="914" xr3:uid="{1288CBD2-8FBD-42BF-8BD8-DDC51583B667}" name="Colonne906"/>
    <tableColumn id="915" xr3:uid="{4A415404-FEC2-4048-8955-BDD85038F669}" name="Colonne907"/>
    <tableColumn id="916" xr3:uid="{03A84CF7-0B27-4081-A56F-8860209C0651}" name="Colonne908"/>
    <tableColumn id="917" xr3:uid="{CEC47D30-64DA-49F3-BF5E-3FC0AD97882A}" name="Colonne909"/>
    <tableColumn id="918" xr3:uid="{34D13D97-3F3A-4AED-8C17-3A568F6C6402}" name="Colonne910"/>
    <tableColumn id="919" xr3:uid="{286315E4-9EBF-40F8-AF49-6DBF11AF96AC}" name="Colonne911"/>
    <tableColumn id="920" xr3:uid="{2203A731-49E6-4C5A-AC78-A4A251476E76}" name="Colonne912"/>
    <tableColumn id="921" xr3:uid="{F879F915-C8B9-48A4-B7A8-B9336B68E487}" name="Colonne913"/>
    <tableColumn id="922" xr3:uid="{FD743077-9C20-43DC-85DC-75A800E96254}" name="Colonne914"/>
    <tableColumn id="923" xr3:uid="{B1108DA5-2B56-4E51-8125-A44688C9FD9D}" name="Colonne915"/>
    <tableColumn id="924" xr3:uid="{1DD43DC9-31D3-4436-988D-E0D9C320064F}" name="Colonne916"/>
    <tableColumn id="925" xr3:uid="{8BB3E077-FF1A-41A1-94B4-173DA7FFCFFC}" name="Colonne917"/>
    <tableColumn id="926" xr3:uid="{FF1A455A-E580-400C-B049-7177E35073B3}" name="Colonne918"/>
    <tableColumn id="927" xr3:uid="{D083268A-BFF9-4CEF-9B1E-4D2808055846}" name="Colonne919"/>
    <tableColumn id="928" xr3:uid="{9AB81D70-74A7-4F73-A519-5674DD29BFEA}" name="Colonne920"/>
    <tableColumn id="929" xr3:uid="{78C64349-6A4B-4373-9989-E0CAB55793F5}" name="Colonne921"/>
    <tableColumn id="930" xr3:uid="{9BF2B57D-B023-4A08-9410-02741EF5A33E}" name="Colonne922"/>
    <tableColumn id="931" xr3:uid="{52F63E38-744D-425B-B897-3BE2C1FE7A7B}" name="Colonne923"/>
    <tableColumn id="932" xr3:uid="{7D25886E-13E5-4766-A8BD-7DD46A1913C5}" name="Colonne924"/>
    <tableColumn id="933" xr3:uid="{DE60C2D6-2666-4478-AED1-FD576CE426C4}" name="Colonne925"/>
    <tableColumn id="934" xr3:uid="{10F9632C-73D1-4AC2-A98A-DCD0F20A2413}" name="Colonne926"/>
    <tableColumn id="935" xr3:uid="{3B66335B-BB08-4D67-A745-77DA07653551}" name="Colonne927"/>
    <tableColumn id="936" xr3:uid="{FC1B8D9F-B7A3-49D6-9242-4B8EDF3B78FB}" name="Colonne928"/>
    <tableColumn id="937" xr3:uid="{EE208F30-F8A2-4AEF-AC19-4562821AE380}" name="Colonne929"/>
    <tableColumn id="938" xr3:uid="{91BF2257-52C0-4EC3-AC90-4D8096F1C110}" name="Colonne930"/>
    <tableColumn id="939" xr3:uid="{E7C5687D-F3C3-4E84-9820-03A1942F0B43}" name="Colonne931"/>
    <tableColumn id="940" xr3:uid="{E9380F5E-58A9-45AB-B023-2EA478059819}" name="Colonne932"/>
    <tableColumn id="941" xr3:uid="{F027D47A-DD20-4EAE-87B3-61DD4190791B}" name="Colonne933"/>
    <tableColumn id="942" xr3:uid="{01188247-93BC-43C7-AB0E-0492D72A134A}" name="Colonne934"/>
    <tableColumn id="943" xr3:uid="{151E403F-40DB-46EA-B95E-81F0E9023B3F}" name="Colonne935"/>
    <tableColumn id="944" xr3:uid="{DAC4324B-69E7-4CA9-8B50-B3A032A8934C}" name="Colonne936"/>
    <tableColumn id="945" xr3:uid="{C98400BF-D0E5-4692-A344-43A3E1F01EFB}" name="Colonne937"/>
    <tableColumn id="946" xr3:uid="{887BCD00-805E-4949-9380-2EAF56D67B00}" name="Colonne938"/>
    <tableColumn id="947" xr3:uid="{3894F0E9-EBBE-45D4-A743-B41C310F8BF3}" name="Colonne939"/>
    <tableColumn id="948" xr3:uid="{C61C4A37-3DBE-42EE-8A5E-DBFCCFEEAC1B}" name="Colonne940"/>
    <tableColumn id="949" xr3:uid="{43804413-CBCE-4AA7-9AE6-B3924E900778}" name="Colonne941"/>
    <tableColumn id="950" xr3:uid="{33EFD1DD-6CF6-4B79-9CEB-9D661726175B}" name="Colonne942"/>
    <tableColumn id="951" xr3:uid="{D038ED05-BCCA-44FA-A2C7-5387186EFA14}" name="Colonne943"/>
    <tableColumn id="952" xr3:uid="{8CEE3D2D-D3D5-487D-9B4C-939951183C52}" name="Colonne944"/>
    <tableColumn id="953" xr3:uid="{03397D12-AE5A-47E0-A234-787B81CCC080}" name="Colonne945"/>
    <tableColumn id="954" xr3:uid="{C040E4C7-905F-4445-98F0-22FF2A71076C}" name="Colonne946"/>
    <tableColumn id="955" xr3:uid="{A25BFBFA-83C6-4DB6-A8C3-1412969889F6}" name="Colonne947"/>
    <tableColumn id="956" xr3:uid="{E2C099EC-1F84-4A4E-8257-117DB21CC2E8}" name="Colonne948"/>
    <tableColumn id="957" xr3:uid="{045038C5-E596-420F-855E-8D353500FEF5}" name="Colonne949"/>
    <tableColumn id="958" xr3:uid="{548DCCC0-5114-4B16-9568-C77AE43E8D0A}" name="Colonne950"/>
    <tableColumn id="959" xr3:uid="{8DD86980-B434-495F-8ACF-CCAFDF0BF582}" name="Colonne951"/>
    <tableColumn id="960" xr3:uid="{3072070A-A8BE-42B8-8B4E-378AC4E88603}" name="Colonne952"/>
    <tableColumn id="961" xr3:uid="{09D70D9E-06C0-40B0-83E4-302846A96ADA}" name="Colonne953"/>
    <tableColumn id="962" xr3:uid="{1932C15B-F9EA-432A-99D0-61215DA3D71E}" name="Colonne954"/>
    <tableColumn id="963" xr3:uid="{2A09767D-62AC-4C7F-BB6F-8CD9306C2834}" name="Colonne955"/>
    <tableColumn id="964" xr3:uid="{CCC53D42-0885-4534-8DC9-BC11BBCCDFA7}" name="Colonne956"/>
    <tableColumn id="965" xr3:uid="{17419987-488E-41F9-90D9-2B7920F68950}" name="Colonne957"/>
    <tableColumn id="966" xr3:uid="{5B75F7EA-8F2E-4840-9F47-EF4B1931116C}" name="Colonne958"/>
    <tableColumn id="967" xr3:uid="{21896BA5-17CB-4BCA-890B-F9D59F45D60B}" name="Colonne959"/>
    <tableColumn id="968" xr3:uid="{4DD35286-A2DC-4ED6-9D7D-87159FF96DB3}" name="Colonne960"/>
    <tableColumn id="969" xr3:uid="{E8EB81F9-C836-44D0-891D-803D3048E5C6}" name="Colonne961"/>
    <tableColumn id="970" xr3:uid="{2318415F-19A3-4840-B35B-5A3CB305612C}" name="Colonne962"/>
    <tableColumn id="971" xr3:uid="{02D54347-6ED3-43FF-B011-1DF7F13CAE04}" name="Colonne963"/>
    <tableColumn id="972" xr3:uid="{23C4A326-B6FD-447F-A1A0-D9C528AEE834}" name="Colonne964"/>
    <tableColumn id="973" xr3:uid="{065BBA3C-FBC3-425A-BA53-D156DCFE05B0}" name="Colonne965"/>
    <tableColumn id="974" xr3:uid="{5CD57BF7-26D2-4C28-B673-4608F8073C10}" name="Colonne966"/>
    <tableColumn id="975" xr3:uid="{15281D63-73EE-4015-97DE-93D920EF2BCF}" name="Colonne967"/>
    <tableColumn id="976" xr3:uid="{B2C84049-1391-4165-AA5F-3CB5FBC39451}" name="Colonne968"/>
    <tableColumn id="977" xr3:uid="{167FCAD4-E1F4-4009-B85C-70713287C7A4}" name="Colonne969"/>
    <tableColumn id="978" xr3:uid="{C6DEEA28-5811-4484-BC9A-8FFC352EAC8F}" name="Colonne970"/>
    <tableColumn id="979" xr3:uid="{7C2385D6-7436-46A7-92A2-7D73BBDE203B}" name="Colonne971"/>
    <tableColumn id="980" xr3:uid="{F63326AF-8B43-406F-A297-1396BC21AEC6}" name="Colonne972"/>
    <tableColumn id="981" xr3:uid="{0D9F68A7-C916-4601-9B8A-CB2E2C6A3493}" name="Colonne973"/>
    <tableColumn id="982" xr3:uid="{70FE1E0D-30DA-4479-B5DF-74575C0E4EA9}" name="Colonne974"/>
    <tableColumn id="983" xr3:uid="{B17A108F-3824-4791-9EBC-44FC4A2789FD}" name="Colonne975"/>
    <tableColumn id="984" xr3:uid="{3B42F2AA-F1B8-4973-8541-EFAA9387A443}" name="Colonne976"/>
    <tableColumn id="985" xr3:uid="{35A4EEF5-5BDB-4837-9DDE-F7FCD0F29E88}" name="Colonne977"/>
    <tableColumn id="986" xr3:uid="{8EB3E8B0-6A35-4EC3-9A49-202CA175DF8B}" name="Colonne978"/>
    <tableColumn id="987" xr3:uid="{E6E2353D-53AF-46AC-A024-300404C6EFD9}" name="Colonne979"/>
    <tableColumn id="988" xr3:uid="{DBB33CE0-1C41-4C4B-B312-E600D0035EE0}" name="Colonne980"/>
    <tableColumn id="989" xr3:uid="{A3045035-0D55-4160-86F7-0A965F4C959B}" name="Colonne981"/>
    <tableColumn id="990" xr3:uid="{49F8E504-1971-431C-AD83-1D6F4FB14D22}" name="Colonne982"/>
    <tableColumn id="991" xr3:uid="{9A757FEF-1C1E-4DC2-B82D-022CCC449655}" name="Colonne983"/>
    <tableColumn id="992" xr3:uid="{61D2C42A-051F-463D-A842-3D260057F561}" name="Colonne984"/>
    <tableColumn id="993" xr3:uid="{DEAF0288-FB9F-4BBC-8F4A-38A0187F6319}" name="Colonne985"/>
    <tableColumn id="994" xr3:uid="{3931D113-2848-4565-A30B-CDF93202333C}" name="Colonne986"/>
    <tableColumn id="995" xr3:uid="{70AF5749-BE57-48CA-94A6-C47863D68182}" name="Colonne987"/>
    <tableColumn id="996" xr3:uid="{72414C70-FD0C-4809-BFFE-4C597EA737FD}" name="Colonne988"/>
    <tableColumn id="997" xr3:uid="{EFF4B4E6-8D29-40FF-AFEB-E8AF1683CF70}" name="Colonne989"/>
    <tableColumn id="998" xr3:uid="{63DE7E9D-2A81-4A02-BC5C-0ED19700B827}" name="Colonne990"/>
    <tableColumn id="999" xr3:uid="{DE0A62D7-6A5C-41EC-844F-4E57EA183BE1}" name="Colonne991"/>
    <tableColumn id="1000" xr3:uid="{104E41C7-3ECF-475B-836E-2E774C20C1CB}" name="Colonne992"/>
    <tableColumn id="1001" xr3:uid="{897DBE90-5509-496B-A927-F96D08F5324E}" name="Colonne993"/>
    <tableColumn id="1002" xr3:uid="{8D6C9CE0-417C-4087-9431-DE3EF639FD73}" name="Colonne994"/>
    <tableColumn id="1003" xr3:uid="{284B4B83-545B-4F05-96C6-10B45AE27127}" name="Colonne995"/>
    <tableColumn id="1004" xr3:uid="{C833737A-DA68-4116-8F9D-3246A870E388}" name="Colonne996"/>
    <tableColumn id="1005" xr3:uid="{2D61363A-2EF3-4363-BB59-7DCDF1299AB3}" name="Colonne997"/>
    <tableColumn id="1006" xr3:uid="{9B083AA9-9384-4C88-B90E-840797FA050E}" name="Colonne998"/>
    <tableColumn id="1007" xr3:uid="{7B33568D-A7A7-496A-9694-EB3579D091D7}" name="Colonne999"/>
    <tableColumn id="1008" xr3:uid="{4A358FB6-5742-4186-B433-43CCACA87977}" name="Colonne1000"/>
    <tableColumn id="1009" xr3:uid="{CF22A66A-846A-46D4-9923-4EBC40065B9F}" name="Colonne1001"/>
    <tableColumn id="1010" xr3:uid="{BD305F81-2E4A-482A-A89E-BDE8759A1A73}" name="Colonne1002"/>
    <tableColumn id="1011" xr3:uid="{53D4CF80-6FF3-46D1-9EA7-9F225A9E5FEF}" name="Colonne1003"/>
    <tableColumn id="1012" xr3:uid="{1AFD368D-F491-481F-A3CF-044DB3697CDC}" name="Colonne1004"/>
    <tableColumn id="1013" xr3:uid="{467E94F5-8117-45B8-B704-767813D540C6}" name="Colonne1005"/>
    <tableColumn id="1014" xr3:uid="{61226D8B-29B3-4824-B908-3FB565EDDA00}" name="Colonne1006"/>
    <tableColumn id="1015" xr3:uid="{DD14FC21-B31A-4AB9-9B7F-D88CBEC55CF0}" name="Colonne1007"/>
    <tableColumn id="1016" xr3:uid="{28388787-9113-41CC-972C-3B79289256E9}" name="Colonne1008"/>
    <tableColumn id="1017" xr3:uid="{F93B909E-FCAB-4BB7-916F-B221B8E4E314}" name="Colonne1009"/>
    <tableColumn id="1018" xr3:uid="{3BA412B6-E3E2-4C89-AAFD-72C332830D37}" name="Colonne1010"/>
    <tableColumn id="1019" xr3:uid="{1832CCF8-9DAE-4ADB-B535-BA0013C778B8}" name="Colonne1011"/>
    <tableColumn id="1020" xr3:uid="{0D5B9C64-7B9C-4E6C-BAD4-B4B1FB328C16}" name="Colonne1012"/>
    <tableColumn id="1021" xr3:uid="{EEAC2762-E5B6-40D2-88CA-017C38EF332D}" name="Colonne1013"/>
    <tableColumn id="1022" xr3:uid="{732382B3-622A-47EA-B177-17C9D3EC0E13}" name="Colonne1014"/>
    <tableColumn id="1023" xr3:uid="{3B132A94-A75B-48D1-880D-D4211DA407A2}" name="Colonne1015"/>
    <tableColumn id="1024" xr3:uid="{99DD2BCA-0229-4B5C-9D67-3F953E0120F1}" name="Colonne1016"/>
    <tableColumn id="1025" xr3:uid="{56F4D823-8D36-48BB-AF07-BE2D887D01E3}" name="Colonne1017"/>
    <tableColumn id="1026" xr3:uid="{73010B46-A6E9-4178-870B-6F17DB022081}" name="Colonne1018"/>
    <tableColumn id="1027" xr3:uid="{0CCEDD12-0832-4B63-9FCF-C6132F235AEA}" name="Colonne1019"/>
    <tableColumn id="1028" xr3:uid="{99666C8E-B51B-4DA8-90B6-901025427075}" name="Colonne1020"/>
    <tableColumn id="1029" xr3:uid="{EE0A58AB-240C-49F1-AF0C-524EFCED88D5}" name="Colonne1021"/>
    <tableColumn id="1030" xr3:uid="{626ABA55-BFB3-4938-AE5F-F1D3961D7C96}" name="Colonne1022"/>
    <tableColumn id="1031" xr3:uid="{626F8063-7C2F-4938-85CD-11B346593969}" name="Colonne1023"/>
    <tableColumn id="1032" xr3:uid="{4259512D-5132-4BDD-AD19-286B5560FF52}" name="Colonne1024"/>
    <tableColumn id="1033" xr3:uid="{5334139E-6FEA-480F-84CC-9E95B800DFE9}" name="Colonne1025"/>
    <tableColumn id="1034" xr3:uid="{4505E9DD-EE72-459B-AC40-49805EB77595}" name="Colonne1026"/>
    <tableColumn id="1035" xr3:uid="{32A43A54-FC15-4912-AAA9-F160DE0D8D97}" name="Colonne1027"/>
    <tableColumn id="1036" xr3:uid="{F6B247CF-27AA-49C8-A41C-A6818BA79BC9}" name="Colonne1028"/>
    <tableColumn id="1037" xr3:uid="{2930AA31-6A74-4FD0-8D22-409D810D8391}" name="Colonne1029"/>
    <tableColumn id="1038" xr3:uid="{6B80222F-81EC-4153-86AA-8720B390CFD5}" name="Colonne1030"/>
    <tableColumn id="1039" xr3:uid="{F2DE95B1-288D-4DD6-B530-D83AEAD4D4C6}" name="Colonne1031"/>
    <tableColumn id="1040" xr3:uid="{0CB531D0-82E9-488F-9B5B-DDDE8CD2FF8C}" name="Colonne1032"/>
    <tableColumn id="1041" xr3:uid="{608B9EC2-D325-4AD9-9FE5-9BD181AE89D3}" name="Colonne1033"/>
    <tableColumn id="1042" xr3:uid="{1D2F63EB-288C-4E1A-85A1-5AB881D16E9B}" name="Colonne1034"/>
    <tableColumn id="1043" xr3:uid="{00F145A3-7AC1-406F-B7B3-DA41C2FC20B9}" name="Colonne1035"/>
    <tableColumn id="1044" xr3:uid="{0242975C-0708-414B-9A35-2A32379B2A3D}" name="Colonne1036"/>
    <tableColumn id="1045" xr3:uid="{FBB34232-4C5D-452F-90C1-0ECF30C7442A}" name="Colonne1037"/>
    <tableColumn id="1046" xr3:uid="{BC083A9C-991B-4A8C-8C24-BDF4ACA74F16}" name="Colonne1038"/>
    <tableColumn id="1047" xr3:uid="{76288244-3D07-4265-834D-A5AFA0E5C1BF}" name="Colonne1039"/>
    <tableColumn id="1048" xr3:uid="{44887CED-DE24-471C-9BA6-EFF5E5BAC32D}" name="Colonne1040"/>
    <tableColumn id="1049" xr3:uid="{7927B4DE-9EF6-43D5-90A0-1154C3701965}" name="Colonne1041"/>
    <tableColumn id="1050" xr3:uid="{3AE28C16-9358-495B-8AC6-C67E11ABBDBB}" name="Colonne1042"/>
    <tableColumn id="1051" xr3:uid="{309AA156-E8D0-45C3-9719-D78BE71BAB48}" name="Colonne1043"/>
    <tableColumn id="1052" xr3:uid="{8949925C-57FC-473C-99B7-1306674FCA57}" name="Colonne1044"/>
    <tableColumn id="1053" xr3:uid="{F48D553E-C6B8-4FE7-B630-55B4985DDDEB}" name="Colonne1045"/>
    <tableColumn id="1054" xr3:uid="{16DD656A-96C2-4E6B-B01F-831902A14220}" name="Colonne1046"/>
    <tableColumn id="1055" xr3:uid="{D40CC4DC-82EE-4ECF-AD14-4BCEBF494CBE}" name="Colonne1047"/>
    <tableColumn id="1056" xr3:uid="{0795208C-4865-400B-8FD1-B9A610729BC4}" name="Colonne1048"/>
    <tableColumn id="1057" xr3:uid="{764C1D08-85DD-45EE-8137-9847ACBA9848}" name="Colonne1049"/>
    <tableColumn id="1058" xr3:uid="{D1D5C795-57E8-4B18-9E11-A4F6CFC072FC}" name="Colonne1050"/>
    <tableColumn id="1059" xr3:uid="{AB96F891-DA80-40D2-A5BF-D10F17340C55}" name="Colonne1051"/>
    <tableColumn id="1060" xr3:uid="{B0C75BCE-49C9-45A9-A566-0546E03CD6D6}" name="Colonne1052"/>
    <tableColumn id="1061" xr3:uid="{12C427DC-9A5B-4C1C-8F56-89CF57E82479}" name="Colonne1053"/>
    <tableColumn id="1062" xr3:uid="{87A6AD0E-3F96-42BA-AAA6-988988F1C2E2}" name="Colonne1054"/>
    <tableColumn id="1063" xr3:uid="{A1C126C5-3DD4-4D8E-A457-17C477563C70}" name="Colonne1055"/>
    <tableColumn id="1064" xr3:uid="{BD12356A-5C4D-4B54-B4C4-000757DD5918}" name="Colonne1056"/>
    <tableColumn id="1065" xr3:uid="{E7B0210B-40FC-4B64-974B-AB03B23BCD1C}" name="Colonne1057"/>
    <tableColumn id="1066" xr3:uid="{13E48BC0-C6FC-431D-9572-D635AE525256}" name="Colonne1058"/>
    <tableColumn id="1067" xr3:uid="{65A3F2A2-9290-4135-82EE-C30EDB12E295}" name="Colonne1059"/>
    <tableColumn id="1068" xr3:uid="{EDAD39D0-45E2-46C6-8EB8-E1B9AE3911E7}" name="Colonne1060"/>
    <tableColumn id="1069" xr3:uid="{32748569-A42C-40B2-AF34-94F63417A821}" name="Colonne1061"/>
    <tableColumn id="1070" xr3:uid="{6D15A464-B359-4400-91D4-4BD9B2DCC8E0}" name="Colonne1062"/>
    <tableColumn id="1071" xr3:uid="{D4A1EA4D-C018-4997-A830-0F226B8EADD2}" name="Colonne1063"/>
    <tableColumn id="1072" xr3:uid="{62747A74-2B30-4107-8213-7B5BA212630E}" name="Colonne1064"/>
    <tableColumn id="1073" xr3:uid="{538D8E89-9E4E-4A14-922E-9E206F084F63}" name="Colonne1065"/>
    <tableColumn id="1074" xr3:uid="{F8BC3321-AC01-4744-B56B-6F9C5F38972A}" name="Colonne1066"/>
    <tableColumn id="1075" xr3:uid="{232C982C-46FF-439D-8949-806F4C9380A7}" name="Colonne1067"/>
    <tableColumn id="1076" xr3:uid="{882A3288-35EE-44DD-9F63-7796B813AF6F}" name="Colonne1068"/>
    <tableColumn id="1077" xr3:uid="{60F18BF4-7B4C-41CA-A431-E58E9F7F85C6}" name="Colonne1069"/>
    <tableColumn id="1078" xr3:uid="{F122DA29-E55E-49E9-AA7F-EEDC1A2F2DFF}" name="Colonne1070"/>
    <tableColumn id="1079" xr3:uid="{0F2F0DD7-ECB9-44FB-B530-A4763EB7C0DD}" name="Colonne1071"/>
    <tableColumn id="1080" xr3:uid="{B7EBD59A-EECF-4DF9-A030-E73ADD715AF8}" name="Colonne1072"/>
    <tableColumn id="1081" xr3:uid="{6D5F1674-13FE-4B86-8F46-7588BF31A33D}" name="Colonne1073"/>
    <tableColumn id="1082" xr3:uid="{5719A695-B02E-4C79-B34E-BB49925A803A}" name="Colonne1074"/>
    <tableColumn id="1083" xr3:uid="{F40A63D6-9796-4C73-9003-F51D6B3B79C6}" name="Colonne1075"/>
    <tableColumn id="1084" xr3:uid="{5C7051CB-A560-4A10-BD9D-BAB2CB3CCAB5}" name="Colonne1076"/>
    <tableColumn id="1085" xr3:uid="{64D653CF-0538-4670-9FFF-F487F36DAD6B}" name="Colonne1077"/>
    <tableColumn id="1086" xr3:uid="{B482A032-4DBE-4F37-AA0C-1C825D76DFF3}" name="Colonne1078"/>
    <tableColumn id="1087" xr3:uid="{F6197F37-DD61-481E-BAA0-C7D91830E403}" name="Colonne1079"/>
    <tableColumn id="1088" xr3:uid="{33B76B5B-C47E-4CDB-9C5E-CD1BC6E52AEA}" name="Colonne1080"/>
    <tableColumn id="1089" xr3:uid="{56671F16-893A-43FB-B576-CF0757CC03B6}" name="Colonne1081"/>
    <tableColumn id="1090" xr3:uid="{0A4E2519-F1F4-47CB-8BC6-F3014F600416}" name="Colonne1082"/>
    <tableColumn id="1091" xr3:uid="{FC99A5AC-8832-4C30-9BB2-7F1B381A75B7}" name="Colonne1083"/>
    <tableColumn id="1092" xr3:uid="{58AE484A-5493-4CE8-BA46-58DC759E9543}" name="Colonne1084"/>
    <tableColumn id="1093" xr3:uid="{40997C8C-B790-477C-B327-DCC6C4682915}" name="Colonne1085"/>
    <tableColumn id="1094" xr3:uid="{143A0685-1198-4357-A957-2E160F54ACCE}" name="Colonne1086"/>
    <tableColumn id="1095" xr3:uid="{2C5AA5FD-717A-4577-A23B-0A94D4B66ED0}" name="Colonne1087"/>
    <tableColumn id="1096" xr3:uid="{E54D6466-7E18-4A39-8773-8F2D18A4F8E7}" name="Colonne1088"/>
    <tableColumn id="1097" xr3:uid="{E8389CDC-8D7E-464C-ABE8-A0681CB38C76}" name="Colonne1089"/>
    <tableColumn id="1098" xr3:uid="{CD2DF44A-BD20-4906-835E-29B991B08C4C}" name="Colonne1090"/>
    <tableColumn id="1099" xr3:uid="{D9FF6188-F109-4FBA-B9AD-4AD6D2F68B4B}" name="Colonne1091"/>
    <tableColumn id="1100" xr3:uid="{A5A899FD-BB31-4E2F-B41A-4EBA1BF19B6F}" name="Colonne1092"/>
    <tableColumn id="1101" xr3:uid="{474C25B1-79AA-4DA2-8BE3-35E1093FBCCA}" name="Colonne1093"/>
    <tableColumn id="1102" xr3:uid="{B912B656-633A-4999-90FE-0883D124AA04}" name="Colonne1094"/>
    <tableColumn id="1103" xr3:uid="{28959649-1A37-4E3C-A306-F804BEDB1CD7}" name="Colonne1095"/>
    <tableColumn id="1104" xr3:uid="{C9BA4BEE-BBB5-4CED-8036-77712F33E10B}" name="Colonne1096"/>
    <tableColumn id="1105" xr3:uid="{A4B3824E-A4B8-4740-BAF8-B652F864128B}" name="Colonne1097"/>
    <tableColumn id="1106" xr3:uid="{4F94F12F-9FAD-45E0-B1D6-71CB71A12293}" name="Colonne1098"/>
    <tableColumn id="1107" xr3:uid="{398C0CDE-6593-4873-8222-2D9777520E71}" name="Colonne1099"/>
    <tableColumn id="1108" xr3:uid="{1544E30E-D31C-479A-99BC-90B7F5441BD4}" name="Colonne1100"/>
    <tableColumn id="1109" xr3:uid="{7A5744E7-116B-4114-A95D-4595D07B385A}" name="Colonne1101"/>
    <tableColumn id="1110" xr3:uid="{4A8F7C3E-93F0-4F5A-87DC-4C1A71067E49}" name="Colonne1102"/>
    <tableColumn id="1111" xr3:uid="{B954C850-8A58-4897-9467-326AE83C4808}" name="Colonne1103"/>
    <tableColumn id="1112" xr3:uid="{667E8D6A-314F-41DF-8FE3-848334A88328}" name="Colonne1104"/>
    <tableColumn id="1113" xr3:uid="{531C399F-5523-48D3-928A-F14D5C5E5830}" name="Colonne1105"/>
    <tableColumn id="1114" xr3:uid="{C7FF34C8-327E-47F9-B03E-0557DBDE8EAF}" name="Colonne1106"/>
    <tableColumn id="1115" xr3:uid="{F6280E33-6851-46C7-BCC4-770A4747AAA2}" name="Colonne1107"/>
    <tableColumn id="1116" xr3:uid="{E94DAC08-B3D1-4EC4-95A2-64E151C47D8B}" name="Colonne1108"/>
    <tableColumn id="1117" xr3:uid="{02926C6D-6578-4FB9-AD3B-6DD8907D6F47}" name="Colonne1109"/>
    <tableColumn id="1118" xr3:uid="{9EE4A8FA-509E-48C2-B714-8C85C1DA7A56}" name="Colonne1110"/>
    <tableColumn id="1119" xr3:uid="{4E46DDDF-1188-4A96-8DAE-7F7F65B3EFB9}" name="Colonne1111"/>
    <tableColumn id="1120" xr3:uid="{CE48AB73-1691-4091-8271-04AD24313CC6}" name="Colonne1112"/>
    <tableColumn id="1121" xr3:uid="{A0CB9866-B029-4205-8A2B-1003241CCBD5}" name="Colonne1113"/>
    <tableColumn id="1122" xr3:uid="{2E11E3A9-42B0-48B3-ACEA-D8A6542FA185}" name="Colonne1114"/>
    <tableColumn id="1123" xr3:uid="{961D1B78-1F30-4939-865C-35083EAE9132}" name="Colonne1115"/>
    <tableColumn id="1124" xr3:uid="{13CDE01A-22EF-4358-8824-87693D2BCA58}" name="Colonne1116"/>
    <tableColumn id="1125" xr3:uid="{79453BAF-C7FD-4202-B695-A5C3B65481C4}" name="Colonne1117"/>
    <tableColumn id="1126" xr3:uid="{212AD390-F4DE-4E7A-A868-C82CC37594CF}" name="Colonne1118"/>
    <tableColumn id="1127" xr3:uid="{6C279CF2-72B5-43AA-ACE4-37F519B8844E}" name="Colonne1119"/>
    <tableColumn id="1128" xr3:uid="{6CA3BDDE-BDB3-478B-BD94-51E6143F7CB1}" name="Colonne1120"/>
    <tableColumn id="1129" xr3:uid="{E418B440-D20A-4F05-A9DC-17AEAFEA3330}" name="Colonne1121"/>
    <tableColumn id="1130" xr3:uid="{8EA619C4-46BA-4709-BA41-204F818326E3}" name="Colonne1122"/>
    <tableColumn id="1131" xr3:uid="{E3FCE4EE-2BFA-4675-8827-D7AAA414163C}" name="Colonne1123"/>
    <tableColumn id="1132" xr3:uid="{144D414E-E956-4E1C-9F95-699616D9CD31}" name="Colonne1124"/>
    <tableColumn id="1133" xr3:uid="{44337DB5-B895-465F-A07F-FD83DF874B95}" name="Colonne1125"/>
    <tableColumn id="1134" xr3:uid="{B382051C-0F03-4769-A42F-C105A06077E8}" name="Colonne1126"/>
    <tableColumn id="1135" xr3:uid="{7332CBD6-6263-4021-B671-D751036D2CAD}" name="Colonne1127"/>
    <tableColumn id="1136" xr3:uid="{BDC0BF74-2898-417D-92F8-1AB391AB774B}" name="Colonne1128"/>
    <tableColumn id="1137" xr3:uid="{D942D7E6-413E-40CA-A234-17DFCDCF3B20}" name="Colonne1129"/>
    <tableColumn id="1138" xr3:uid="{6989A74C-6A7E-4DCC-8A90-2467EC36F0B2}" name="Colonne1130"/>
    <tableColumn id="1139" xr3:uid="{1E0B9955-B618-4E19-ACFC-0DCB5DE18BE0}" name="Colonne1131"/>
    <tableColumn id="1140" xr3:uid="{253D237E-2E23-42E7-AB88-07B3C316547F}" name="Colonne1132"/>
    <tableColumn id="1141" xr3:uid="{58C7C7A8-64FA-42C4-8F0A-B8B82F7D7DC8}" name="Colonne1133"/>
    <tableColumn id="1142" xr3:uid="{6B157F1C-60F7-43D7-A23C-08C42CF43ADD}" name="Colonne1134"/>
    <tableColumn id="1143" xr3:uid="{E39B7D45-FD2B-4487-B983-D3B548D5839D}" name="Colonne1135"/>
    <tableColumn id="1144" xr3:uid="{7BB4956D-FA0D-4F44-9C0C-69871462D7B7}" name="Colonne1136"/>
    <tableColumn id="1145" xr3:uid="{D2FF66E3-39B0-4611-9E4A-3E8E99414C90}" name="Colonne1137"/>
    <tableColumn id="1146" xr3:uid="{515A8FD2-D696-4CE3-96BB-63839F8B9C7F}" name="Colonne1138"/>
    <tableColumn id="1147" xr3:uid="{7BA49158-0B88-49C2-B205-84410573260F}" name="Colonne1139"/>
    <tableColumn id="1148" xr3:uid="{F37C342F-9B24-4752-9608-00A72C1566AA}" name="Colonne1140"/>
    <tableColumn id="1149" xr3:uid="{44971EAD-D059-4FC4-9E8C-033FEC9C4921}" name="Colonne1141"/>
    <tableColumn id="1150" xr3:uid="{EF2B1CF7-2EC7-4A6B-9C4C-D7D9DDBDAB48}" name="Colonne1142"/>
    <tableColumn id="1151" xr3:uid="{969BC1CF-7B0D-4656-9386-A9B1B5980A25}" name="Colonne1143"/>
    <tableColumn id="1152" xr3:uid="{F8659E1D-BE65-4D94-BE68-493A06E0CEF5}" name="Colonne1144"/>
    <tableColumn id="1153" xr3:uid="{FD9D1CFE-77B5-4050-A88E-79A13F4D99B8}" name="Colonne1145"/>
    <tableColumn id="1154" xr3:uid="{033C0D91-7240-44AE-9287-4B2B08035536}" name="Colonne1146"/>
    <tableColumn id="1155" xr3:uid="{6E222D63-612C-4DCA-BC3C-D2134FBB53CD}" name="Colonne1147"/>
    <tableColumn id="1156" xr3:uid="{B2827994-05F9-4EB6-B897-DD3C031AB154}" name="Colonne1148"/>
    <tableColumn id="1157" xr3:uid="{3B9A5CEE-0340-4818-8D58-27C1AAD24786}" name="Colonne1149"/>
    <tableColumn id="1158" xr3:uid="{0D262AB6-49E7-4A68-BCF0-7E3EBDADB6BC}" name="Colonne1150"/>
    <tableColumn id="1159" xr3:uid="{45D4F04B-C055-4FD5-9241-FAE90A2DC7FB}" name="Colonne1151"/>
    <tableColumn id="1160" xr3:uid="{05597393-9294-455A-B254-7FD3E480B3FB}" name="Colonne1152"/>
    <tableColumn id="1161" xr3:uid="{6F112C96-735A-4CCD-8670-E3F100172580}" name="Colonne1153"/>
    <tableColumn id="1162" xr3:uid="{72A4EEFB-923C-40BB-8555-F35FE29CF677}" name="Colonne1154"/>
    <tableColumn id="1163" xr3:uid="{3502BA63-D0F3-4A8D-9ABA-FEB7A874C1FE}" name="Colonne1155"/>
    <tableColumn id="1164" xr3:uid="{58E843B5-5CEB-4CE9-A8CD-8FE917EE3DC0}" name="Colonne1156"/>
    <tableColumn id="1165" xr3:uid="{709DD48E-D8DC-4BB6-8E18-6A542D2AAB21}" name="Colonne1157"/>
    <tableColumn id="1166" xr3:uid="{F89A8C04-8005-4490-86A1-6474601A3E7A}" name="Colonne1158"/>
    <tableColumn id="1167" xr3:uid="{EA63CAD0-0C92-43DE-A78C-5B1A599F1573}" name="Colonne1159"/>
    <tableColumn id="1168" xr3:uid="{A9B87A0F-6DFB-4F41-9E07-327EA192BFD0}" name="Colonne1160"/>
    <tableColumn id="1169" xr3:uid="{4E9B5B5D-ED2C-4399-9B12-88D6AAAA1A37}" name="Colonne1161"/>
    <tableColumn id="1170" xr3:uid="{7C8732B7-ADA0-4A45-A1A3-975BB2857D5A}" name="Colonne1162"/>
    <tableColumn id="1171" xr3:uid="{D49C05A1-4C93-430F-9889-288B092AA832}" name="Colonne1163"/>
    <tableColumn id="1172" xr3:uid="{FF87764E-CAE4-473D-86FE-B390F29ABF05}" name="Colonne1164"/>
    <tableColumn id="1173" xr3:uid="{741E5DD5-CC8C-4C6F-94D4-DEFE757DE7DA}" name="Colonne1165"/>
    <tableColumn id="1174" xr3:uid="{92204526-8A26-4ABE-9CC7-224D7B955350}" name="Colonne1166"/>
    <tableColumn id="1175" xr3:uid="{B5B02543-5732-4FCA-A1D3-610CD8659C1E}" name="Colonne1167"/>
    <tableColumn id="1176" xr3:uid="{4C5C1B25-EC77-4678-B1F7-EF4889AC389C}" name="Colonne1168"/>
    <tableColumn id="1177" xr3:uid="{A4387295-9517-4FD5-B27F-25B7BABC8AE6}" name="Colonne1169"/>
    <tableColumn id="1178" xr3:uid="{BC2301D8-F1D8-4146-85FD-5E7663F2937D}" name="Colonne1170"/>
    <tableColumn id="1179" xr3:uid="{D39CEEFE-64F5-4055-97E1-CBB8D08CF560}" name="Colonne1171"/>
    <tableColumn id="1180" xr3:uid="{A380E364-2878-44D4-958D-C3B70B617C79}" name="Colonne1172"/>
    <tableColumn id="1181" xr3:uid="{E5318551-7B6D-4348-9399-2A33E8A1B601}" name="Colonne1173"/>
    <tableColumn id="1182" xr3:uid="{D0A03AB1-FE05-497D-844E-31028008E163}" name="Colonne1174"/>
    <tableColumn id="1183" xr3:uid="{BE129915-919A-46B2-8D42-E5F7EDE880ED}" name="Colonne1175"/>
    <tableColumn id="1184" xr3:uid="{AFE047E0-8523-4AD2-84FA-CE62ACA5C78F}" name="Colonne1176"/>
    <tableColumn id="1185" xr3:uid="{9EE261EA-8256-4CEA-B94F-B54A16FECDEB}" name="Colonne1177"/>
    <tableColumn id="1186" xr3:uid="{AC54CFE4-CBAE-4D7A-A287-E59FC6FB3B3F}" name="Colonne1178"/>
    <tableColumn id="1187" xr3:uid="{E4F7E598-5076-490B-953F-9E13879E1A13}" name="Colonne1179"/>
    <tableColumn id="1188" xr3:uid="{FF080C82-6E63-4728-8B77-1B1C07AD1C06}" name="Colonne1180"/>
    <tableColumn id="1189" xr3:uid="{BE02FA17-DB5D-4A2D-AADA-8BFB31CF2267}" name="Colonne1181"/>
    <tableColumn id="1190" xr3:uid="{61A917D2-ADFD-4ADE-8DF2-84472459CB7F}" name="Colonne1182"/>
    <tableColumn id="1191" xr3:uid="{47E032A5-241A-45B4-9BC0-BEB7CE19F1F1}" name="Colonne1183"/>
    <tableColumn id="1192" xr3:uid="{7AEE5A7E-4162-4D6E-BFC5-CDE0D2425E14}" name="Colonne1184"/>
    <tableColumn id="1193" xr3:uid="{E66DCA5E-3740-47A8-BB5E-738BAD863E2E}" name="Colonne1185"/>
    <tableColumn id="1194" xr3:uid="{FE3DFFEC-B064-4638-97D4-0661C0483838}" name="Colonne1186"/>
    <tableColumn id="1195" xr3:uid="{60E9317E-B323-4062-9CD7-6086466B71AD}" name="Colonne1187"/>
    <tableColumn id="1196" xr3:uid="{8A886237-D308-41A7-AC51-375A6C86F0B6}" name="Colonne1188"/>
    <tableColumn id="1197" xr3:uid="{9193AF28-0D5E-44B2-AEEE-114DCF4F29A9}" name="Colonne1189"/>
    <tableColumn id="1198" xr3:uid="{8372CA79-7F04-4916-BD90-5E8F991ED5EC}" name="Colonne1190"/>
    <tableColumn id="1199" xr3:uid="{7F2FE708-A6E0-4582-B25E-548165FC6417}" name="Colonne1191"/>
    <tableColumn id="1200" xr3:uid="{B3766376-8F5A-45CC-842C-CCFA3DE78871}" name="Colonne1192"/>
    <tableColumn id="1201" xr3:uid="{E70FA203-CF4C-42A7-BE92-582174001037}" name="Colonne1193"/>
    <tableColumn id="1202" xr3:uid="{9876CB53-9DF3-480C-8B00-9DD9C80910C9}" name="Colonne1194"/>
    <tableColumn id="1203" xr3:uid="{DD24985F-F4B0-4B94-85E4-8E1464C2375A}" name="Colonne1195"/>
    <tableColumn id="1204" xr3:uid="{759DA4FD-45F8-415F-919A-CF35DBC9D1CE}" name="Colonne1196"/>
    <tableColumn id="1205" xr3:uid="{980F6E87-949E-48D1-8F2F-D899745B5F97}" name="Colonne1197"/>
    <tableColumn id="1206" xr3:uid="{8E646083-11DA-4636-AC08-F2FB60EC7BC9}" name="Colonne1198"/>
    <tableColumn id="1207" xr3:uid="{17DE5938-1BDE-4732-8235-4B121E42A77C}" name="Colonne1199"/>
    <tableColumn id="1208" xr3:uid="{35DD360C-ECA0-49D3-8D0F-E2C05E2DBFBD}" name="Colonne1200"/>
    <tableColumn id="1209" xr3:uid="{3E479FC3-ABEA-4E53-9316-240AE84B280F}" name="Colonne1201"/>
    <tableColumn id="1210" xr3:uid="{2A17E41C-6507-4A9E-86AA-1806F051CC6D}" name="Colonne1202"/>
    <tableColumn id="1211" xr3:uid="{E33B927A-F99A-4B00-AED6-A3F430E08406}" name="Colonne1203"/>
    <tableColumn id="1212" xr3:uid="{EB14B392-1EFF-4822-AC04-714EB487D524}" name="Colonne1204"/>
    <tableColumn id="1213" xr3:uid="{E7EC438A-A8B3-4291-98B3-A71EBC640621}" name="Colonne1205"/>
    <tableColumn id="1214" xr3:uid="{591864FF-AFDE-4331-9CB7-A488793B703C}" name="Colonne1206"/>
    <tableColumn id="1215" xr3:uid="{27C6C191-A457-45C1-A4A1-219066F9E5DF}" name="Colonne1207"/>
    <tableColumn id="1216" xr3:uid="{F2814000-1010-4493-AAF2-F66A465A7A1B}" name="Colonne1208"/>
    <tableColumn id="1217" xr3:uid="{BA5F3158-64BE-4632-90C1-2C2734027608}" name="Colonne1209"/>
    <tableColumn id="1218" xr3:uid="{BA2922B0-DC26-4693-83D6-41C1AAC6DBBB}" name="Colonne1210"/>
    <tableColumn id="1219" xr3:uid="{90BB02CA-F6A5-4346-B228-F23BD40A34B4}" name="Colonne1211"/>
    <tableColumn id="1220" xr3:uid="{9A8625A7-2D2C-4ACF-890D-A8D3EF8AA010}" name="Colonne1212"/>
    <tableColumn id="1221" xr3:uid="{7174AB21-8721-4578-B04B-925A33BF3CA5}" name="Colonne1213"/>
    <tableColumn id="1222" xr3:uid="{44BE5163-A45E-45D7-A92C-A1EE047957C8}" name="Colonne1214"/>
    <tableColumn id="1223" xr3:uid="{E6F1E0C7-0915-4A94-9D90-B828BC3ACCB9}" name="Colonne1215"/>
    <tableColumn id="1224" xr3:uid="{337997AD-B2F6-4E88-8143-790D9CF36C04}" name="Colonne1216"/>
    <tableColumn id="1225" xr3:uid="{20EDD840-971C-4864-AB36-A34ED6164F5A}" name="Colonne1217"/>
    <tableColumn id="1226" xr3:uid="{7282E0E8-3D63-4AC3-A474-AB2184AC07AD}" name="Colonne1218"/>
    <tableColumn id="1227" xr3:uid="{0433FE51-0EBB-4F0F-A0CF-F2ACD45ACD9F}" name="Colonne1219"/>
    <tableColumn id="1228" xr3:uid="{4D492D2B-FDE7-4788-9F43-4C783AB64B77}" name="Colonne1220"/>
    <tableColumn id="1229" xr3:uid="{E5764D9F-E9E9-4EE6-A94F-8B04A498A170}" name="Colonne1221"/>
    <tableColumn id="1230" xr3:uid="{BA307E3C-4534-426B-8C57-E2997C3216E3}" name="Colonne1222"/>
    <tableColumn id="1231" xr3:uid="{9435E5A7-76B5-4A3F-A76B-B54EC958A047}" name="Colonne1223"/>
    <tableColumn id="1232" xr3:uid="{0C8761A7-98F1-4A11-BC2C-924BC668F137}" name="Colonne1224"/>
    <tableColumn id="1233" xr3:uid="{7F9AC2B9-673A-441D-BB0A-A2A2E9F40BD4}" name="Colonne1225"/>
    <tableColumn id="1234" xr3:uid="{44D7A0D5-C390-4E8D-B142-429956E80522}" name="Colonne1226"/>
    <tableColumn id="1235" xr3:uid="{DB7B6212-BF0F-4B22-8088-3377E6183321}" name="Colonne1227"/>
    <tableColumn id="1236" xr3:uid="{FFE6A74C-388D-4515-990E-AEBA6311ABA3}" name="Colonne1228"/>
    <tableColumn id="1237" xr3:uid="{055EE5BD-4753-4553-AC35-66423DF61A40}" name="Colonne1229"/>
    <tableColumn id="1238" xr3:uid="{009B43D5-2743-47D5-BA61-2F176BBC9BC4}" name="Colonne1230"/>
    <tableColumn id="1239" xr3:uid="{276851C0-FC56-43B3-BFCB-AE85BA25DC76}" name="Colonne1231"/>
    <tableColumn id="1240" xr3:uid="{8DA11DE7-0C48-47D3-B971-69692610BC99}" name="Colonne1232"/>
    <tableColumn id="1241" xr3:uid="{C13E467D-E5C3-48E7-BC36-5BE4BA4DEC6E}" name="Colonne1233"/>
    <tableColumn id="1242" xr3:uid="{7820DEB4-959D-4F80-9C34-D1DE7BBB2D28}" name="Colonne1234"/>
    <tableColumn id="1243" xr3:uid="{F59FF449-99D5-41ED-A110-1CBA4079EC33}" name="Colonne1235"/>
    <tableColumn id="1244" xr3:uid="{2DCC691B-DFEC-498B-B722-069C33E04F3B}" name="Colonne1236"/>
    <tableColumn id="1245" xr3:uid="{6082EFEF-088C-44B1-9390-0BDE291B52E9}" name="Colonne1237"/>
    <tableColumn id="1246" xr3:uid="{018068B9-B51F-4A2C-8CA8-272FB00DEDDD}" name="Colonne1238"/>
    <tableColumn id="1247" xr3:uid="{8A0A36C3-A0E7-4871-9705-20FF1B16AE6D}" name="Colonne1239"/>
    <tableColumn id="1248" xr3:uid="{98BE961E-0918-4B58-B8B4-2BB947866C2C}" name="Colonne1240"/>
    <tableColumn id="1249" xr3:uid="{5F8AC694-B3E7-48C3-B874-780356BE9CBE}" name="Colonne1241"/>
    <tableColumn id="1250" xr3:uid="{EB7FED32-FB49-4C66-A029-6FB5999169A0}" name="Colonne1242"/>
    <tableColumn id="1251" xr3:uid="{D1558095-DFC3-49D7-B976-6F00B054FF50}" name="Colonne1243"/>
    <tableColumn id="1252" xr3:uid="{416654A2-9499-4658-B32C-C701048A6D42}" name="Colonne1244"/>
    <tableColumn id="1253" xr3:uid="{84B9657C-04DB-442F-87F2-DB3B975EE420}" name="Colonne1245"/>
    <tableColumn id="1254" xr3:uid="{A3E2BE1E-2C60-4045-AA63-B79014FC39DA}" name="Colonne1246"/>
    <tableColumn id="1255" xr3:uid="{B637C856-D40F-407B-B391-097C8944E945}" name="Colonne1247"/>
    <tableColumn id="1256" xr3:uid="{CAE34F31-1358-41DB-8AB8-5FA417FD153C}" name="Colonne1248"/>
    <tableColumn id="1257" xr3:uid="{25F12912-99E1-4F93-BCFA-6392D57B98D7}" name="Colonne1249"/>
    <tableColumn id="1258" xr3:uid="{3D733528-FD8A-4B7B-BF8A-F6BA3C6E3C94}" name="Colonne1250"/>
    <tableColumn id="1259" xr3:uid="{A16DED3B-F42C-4DEC-8380-AEABA3A9FA7D}" name="Colonne1251"/>
    <tableColumn id="1260" xr3:uid="{2A33D57F-AF81-4DC1-BEC3-2C80E2976C45}" name="Colonne1252"/>
    <tableColumn id="1261" xr3:uid="{8619B4D2-DA0D-4B46-9609-0D090328214D}" name="Colonne1253"/>
    <tableColumn id="1262" xr3:uid="{DC64533C-1D4D-4E22-865E-6F4ED6AA9FD1}" name="Colonne1254"/>
    <tableColumn id="1263" xr3:uid="{8B529618-ACAE-4FF6-B93C-75D6F35D7892}" name="Colonne1255"/>
    <tableColumn id="1264" xr3:uid="{3B537AA3-52BC-4A39-BE6C-8BC74988FFE4}" name="Colonne1256"/>
    <tableColumn id="1265" xr3:uid="{EFAE6E43-5B0F-4DAA-A7BF-667068F3FA70}" name="Colonne1257"/>
    <tableColumn id="1266" xr3:uid="{C1FE4F68-6FA9-4588-AD38-7F7D79D1A9E4}" name="Colonne1258"/>
    <tableColumn id="1267" xr3:uid="{90270675-349B-49A9-85F5-9B96509CE3F8}" name="Colonne1259"/>
    <tableColumn id="1268" xr3:uid="{9979C1F9-2D1C-4E86-94B1-743F516756DD}" name="Colonne1260"/>
    <tableColumn id="1269" xr3:uid="{8AF92504-3B15-4850-9828-49AD4CE205C2}" name="Colonne1261"/>
    <tableColumn id="1270" xr3:uid="{37ED78CE-1276-491D-A948-268516B6F6C5}" name="Colonne1262"/>
    <tableColumn id="1271" xr3:uid="{7854DF91-650F-4FA4-BF1A-D543D9330EA5}" name="Colonne1263"/>
    <tableColumn id="1272" xr3:uid="{8F76AABC-6B6C-45FB-8771-7CD2F541134A}" name="Colonne1264"/>
    <tableColumn id="1273" xr3:uid="{49921188-948F-4FA0-A31A-219D2228FDC7}" name="Colonne1265"/>
    <tableColumn id="1274" xr3:uid="{379F0DE3-DEDD-4BBE-A458-FEAD735754A0}" name="Colonne1266"/>
    <tableColumn id="1275" xr3:uid="{4E89DB9C-CEF5-4C94-B6CA-3D6B390A1FCD}" name="Colonne1267"/>
    <tableColumn id="1276" xr3:uid="{9AA7B07F-CB2E-402B-8A04-399A885F1AA9}" name="Colonne1268"/>
    <tableColumn id="1277" xr3:uid="{B05FE3A2-B59C-4ED1-9328-03623B542F01}" name="Colonne1269"/>
    <tableColumn id="1278" xr3:uid="{B1F7AFA0-E55E-43F8-8E3C-DF33C4A035BB}" name="Colonne1270"/>
    <tableColumn id="1279" xr3:uid="{2E5E2DAF-3F1C-479F-A1B8-993A337A74A7}" name="Colonne1271"/>
    <tableColumn id="1280" xr3:uid="{16CD7848-A459-4CF4-B4BF-D1ED0700644D}" name="Colonne1272"/>
    <tableColumn id="1281" xr3:uid="{53A20068-41B2-4ED7-BD1C-941A2130AFF4}" name="Colonne1273"/>
    <tableColumn id="1282" xr3:uid="{EC60B734-998B-48C4-9F45-F3F567752069}" name="Colonne1274"/>
    <tableColumn id="1283" xr3:uid="{B7223FC3-156D-451D-910F-C6585D1D2B1A}" name="Colonne1275"/>
    <tableColumn id="1284" xr3:uid="{65A3A5E3-B707-4AB6-AFE3-3849F668A032}" name="Colonne1276"/>
    <tableColumn id="1285" xr3:uid="{7BA426A4-2B0C-4F4A-BB48-4A97F9B5894C}" name="Colonne1277"/>
    <tableColumn id="1286" xr3:uid="{E93C2CCF-217B-4107-BC5D-E586741B6DFB}" name="Colonne1278"/>
    <tableColumn id="1287" xr3:uid="{FA7427FE-6176-46C3-94EF-D921752F8D23}" name="Colonne1279"/>
    <tableColumn id="1288" xr3:uid="{5E1A203C-6D17-4A36-B5C7-E92256BEF692}" name="Colonne1280"/>
    <tableColumn id="1289" xr3:uid="{5BAD5BAC-5CF0-4E73-B214-CB3D9665D541}" name="Colonne1281"/>
    <tableColumn id="1290" xr3:uid="{FF0A50EF-B7A3-4968-89D8-6EE8A2968211}" name="Colonne1282"/>
    <tableColumn id="1291" xr3:uid="{0F39817E-A6F7-4622-ABB7-9FF14B911064}" name="Colonne1283"/>
    <tableColumn id="1292" xr3:uid="{C32369C6-DDF1-4D22-BC26-242A8348E5E7}" name="Colonne1284"/>
    <tableColumn id="1293" xr3:uid="{D8A46074-C200-4A2D-93FB-F3E02FEB190B}" name="Colonne1285"/>
    <tableColumn id="1294" xr3:uid="{ED63B42A-B4C0-44D9-832E-FE5E74B36963}" name="Colonne1286"/>
    <tableColumn id="1295" xr3:uid="{0528476F-517A-427F-B853-E6B273F309D0}" name="Colonne1287"/>
    <tableColumn id="1296" xr3:uid="{6766868A-68AD-4B23-A0C9-DE6D519438BB}" name="Colonne1288"/>
    <tableColumn id="1297" xr3:uid="{83BBEFED-4B05-4640-A74B-81439F9BBE62}" name="Colonne1289"/>
    <tableColumn id="1298" xr3:uid="{4685A783-0A66-449E-B1B1-50A9E24759B1}" name="Colonne1290"/>
    <tableColumn id="1299" xr3:uid="{02F91671-8C12-4FA8-985E-50A0FD106F80}" name="Colonne1291"/>
    <tableColumn id="1300" xr3:uid="{777BDBB1-27B7-44E6-A58E-B43C99F47D82}" name="Colonne1292"/>
    <tableColumn id="1301" xr3:uid="{0AFAEE44-9CC4-4D99-934F-664F1210C311}" name="Colonne1293"/>
    <tableColumn id="1302" xr3:uid="{C78A5051-77DA-4A71-8385-E5C2CD633D34}" name="Colonne1294"/>
    <tableColumn id="1303" xr3:uid="{4CED72E9-633E-4014-A56A-91A2A7FA463F}" name="Colonne1295"/>
    <tableColumn id="1304" xr3:uid="{2920CA13-A28F-465F-BD6C-18E05863BBB6}" name="Colonne1296"/>
    <tableColumn id="1305" xr3:uid="{3C9E08B8-5DF3-4F83-8ABE-6A7FEAF3023A}" name="Colonne1297"/>
    <tableColumn id="1306" xr3:uid="{00BFD255-1CF6-4066-B009-11CD77FD4BD9}" name="Colonne1298"/>
    <tableColumn id="1307" xr3:uid="{C0F380A1-5D68-4700-9B2D-A52503D91A1B}" name="Colonne1299"/>
    <tableColumn id="1308" xr3:uid="{C9A5A98C-60AC-482B-8E65-B1A16E964B4E}" name="Colonne1300"/>
    <tableColumn id="1309" xr3:uid="{7488AF4D-2187-4294-840C-E2EBCDF44EBB}" name="Colonne1301"/>
    <tableColumn id="1310" xr3:uid="{0255C8F0-AD14-4F5A-A780-6487E403D94C}" name="Colonne1302"/>
    <tableColumn id="1311" xr3:uid="{9B4AB5C1-3D57-4D7A-8FDA-BD1F2FD30A92}" name="Colonne1303"/>
    <tableColumn id="1312" xr3:uid="{ECCB90C4-F61B-4C82-B09E-A884349743A7}" name="Colonne1304"/>
    <tableColumn id="1313" xr3:uid="{30A37FA5-F5B4-43E9-A665-E7972D15E309}" name="Colonne1305"/>
    <tableColumn id="1314" xr3:uid="{F2A70B11-0D6E-4A7A-92C2-CA69C2F39CD4}" name="Colonne1306"/>
    <tableColumn id="1315" xr3:uid="{DA1ADDCF-AB21-4086-A915-E2256B0ADBAD}" name="Colonne1307"/>
    <tableColumn id="1316" xr3:uid="{DC510034-78B4-4051-98CF-59DB13483BD3}" name="Colonne1308"/>
    <tableColumn id="1317" xr3:uid="{096180E4-704A-45C8-9C3B-9710B08B6CE6}" name="Colonne1309"/>
    <tableColumn id="1318" xr3:uid="{CB36A19A-2D8E-4702-9766-5371391E4FDC}" name="Colonne1310"/>
    <tableColumn id="1319" xr3:uid="{02452175-1369-49E0-8E08-B917CB884F37}" name="Colonne1311"/>
    <tableColumn id="1320" xr3:uid="{969019CF-F9AF-4195-8FB4-2A84D4C2FE34}" name="Colonne1312"/>
    <tableColumn id="1321" xr3:uid="{1DA6FBB7-F433-4213-AD3E-7CDF146277EA}" name="Colonne1313"/>
    <tableColumn id="1322" xr3:uid="{A96AB3AE-60EB-4865-AD15-CE93CAAE38F7}" name="Colonne1314"/>
    <tableColumn id="1323" xr3:uid="{D8587494-333E-4583-ABF0-832AC9C8A147}" name="Colonne1315"/>
    <tableColumn id="1324" xr3:uid="{C66B34E7-D7F6-434F-91E0-73C3D3DC6C6E}" name="Colonne1316"/>
    <tableColumn id="1325" xr3:uid="{9FB65EC0-9924-4B4A-964A-A3C7691B45FF}" name="Colonne1317"/>
    <tableColumn id="1326" xr3:uid="{82D98464-D352-4618-8541-79273AEE4A69}" name="Colonne1318"/>
    <tableColumn id="1327" xr3:uid="{932A5E10-1812-4EB7-A135-51949D2621A7}" name="Colonne1319"/>
    <tableColumn id="1328" xr3:uid="{B643429E-4014-4AE2-B0FC-EB3C675DC830}" name="Colonne1320"/>
    <tableColumn id="1329" xr3:uid="{38146CEB-9E30-499E-8A2A-7A5462A6852B}" name="Colonne1321"/>
    <tableColumn id="1330" xr3:uid="{EA0290B2-5BBD-4680-A69C-D49C55594EAA}" name="Colonne1322"/>
    <tableColumn id="1331" xr3:uid="{BB81F43D-97E3-4F3E-9911-D90A177DA48A}" name="Colonne1323"/>
    <tableColumn id="1332" xr3:uid="{BF7848F6-3F79-4156-BAA1-B7BF0F374864}" name="Colonne1324"/>
    <tableColumn id="1333" xr3:uid="{BDA7E9BB-E13D-4B7D-8A4B-E18B01ADF40A}" name="Colonne1325"/>
    <tableColumn id="1334" xr3:uid="{AEE14720-663A-468E-ADDA-17AFFE01CED7}" name="Colonne1326"/>
    <tableColumn id="1335" xr3:uid="{6E84B386-E36F-47C1-ADA5-5DC158931860}" name="Colonne1327"/>
    <tableColumn id="1336" xr3:uid="{CDDC9EB9-33DA-4808-AC67-87480D6BCE47}" name="Colonne1328"/>
    <tableColumn id="1337" xr3:uid="{0A3AC101-B466-48BD-A28D-923436995B6B}" name="Colonne1329"/>
    <tableColumn id="1338" xr3:uid="{FEE050E7-7E98-4093-A194-180F8AC1330E}" name="Colonne1330"/>
    <tableColumn id="1339" xr3:uid="{4A31C5FC-0EEE-4C89-BD26-7399C082F98E}" name="Colonne1331"/>
    <tableColumn id="1340" xr3:uid="{990EFEED-5053-4CA8-8750-1502CBF2C35F}" name="Colonne1332"/>
    <tableColumn id="1341" xr3:uid="{6FC0DF47-63A7-4FEC-BF72-BF6C5700A6AB}" name="Colonne1333"/>
    <tableColumn id="1342" xr3:uid="{3E269F4D-B003-48E1-A473-678F1703EDA1}" name="Colonne1334"/>
    <tableColumn id="1343" xr3:uid="{AD17EE39-5C15-4464-B759-CAEF825B9A1F}" name="Colonne1335"/>
    <tableColumn id="1344" xr3:uid="{35A94834-751C-444F-9865-C84C6EF49B60}" name="Colonne1336"/>
    <tableColumn id="1345" xr3:uid="{B56C5DFE-9EF1-49EF-8ED5-029F64F6F454}" name="Colonne1337"/>
    <tableColumn id="1346" xr3:uid="{6B91370E-525B-4CCF-AEA3-DCB9F62B70E5}" name="Colonne1338"/>
    <tableColumn id="1347" xr3:uid="{16229AFC-CECD-4CC1-AC9C-B56ABD4100D3}" name="Colonne1339"/>
    <tableColumn id="1348" xr3:uid="{ED7D3261-46D6-4B70-808E-BFFB1C989285}" name="Colonne1340"/>
    <tableColumn id="1349" xr3:uid="{CF67070B-FB3E-46A7-8397-E0204FD7EDBC}" name="Colonne1341"/>
    <tableColumn id="1350" xr3:uid="{6B17AED3-B7AA-4E5F-9556-8F8AC947AAFD}" name="Colonne1342"/>
    <tableColumn id="1351" xr3:uid="{1FBBBB2D-BDA7-4D22-950C-A212DC630473}" name="Colonne1343"/>
    <tableColumn id="1352" xr3:uid="{5C8ECA59-78AA-4DBE-B1D2-2AEDF65257C6}" name="Colonne1344"/>
    <tableColumn id="1353" xr3:uid="{9BA4CF45-05D1-4A0C-82BE-954E80C0B463}" name="Colonne1345"/>
    <tableColumn id="1354" xr3:uid="{20ADD02C-34EF-42A5-A378-AC9FF1F353E3}" name="Colonne1346"/>
    <tableColumn id="1355" xr3:uid="{3409B6FB-2AC3-4F57-A535-36506F5E35D9}" name="Colonne1347"/>
    <tableColumn id="1356" xr3:uid="{0A023D10-40F7-4009-AD89-3030C0231B7C}" name="Colonne1348"/>
    <tableColumn id="1357" xr3:uid="{DF33073B-2DDD-413C-B129-41D5B808052F}" name="Colonne1349"/>
    <tableColumn id="1358" xr3:uid="{99F7FE4C-91D5-4406-AFBA-7FF2E45BF8ED}" name="Colonne1350"/>
    <tableColumn id="1359" xr3:uid="{5E10CB31-5779-4C54-852C-75FAC18CD257}" name="Colonne1351"/>
    <tableColumn id="1360" xr3:uid="{D7B8203D-2BFE-4331-8281-2E7FD8B90811}" name="Colonne1352"/>
    <tableColumn id="1361" xr3:uid="{473D7333-0BFA-4B40-B9CC-18DF59FD820C}" name="Colonne1353"/>
    <tableColumn id="1362" xr3:uid="{82261CA8-5449-43D5-8339-4DD28668642A}" name="Colonne1354"/>
    <tableColumn id="1363" xr3:uid="{7D6B8749-8CE3-4E16-A210-FD60434E8E30}" name="Colonne1355"/>
    <tableColumn id="1364" xr3:uid="{EB562877-6003-4DA2-B04F-DBB7B8143BE0}" name="Colonne1356"/>
    <tableColumn id="1365" xr3:uid="{ABE9BE64-B6FA-478A-AF9A-7E2A6262E94E}" name="Colonne1357"/>
    <tableColumn id="1366" xr3:uid="{E9AFD1EC-49E9-4A05-8A16-B66AFD762128}" name="Colonne1358"/>
    <tableColumn id="1367" xr3:uid="{4B3ABEF6-CA35-48D8-A633-1C90DEF5781B}" name="Colonne1359"/>
    <tableColumn id="1368" xr3:uid="{87AC7EAC-5B34-4F24-99D6-F965B20D3716}" name="Colonne1360"/>
    <tableColumn id="1369" xr3:uid="{2CB4A70F-B911-486B-8924-A6E500388145}" name="Colonne1361"/>
    <tableColumn id="1370" xr3:uid="{D15544E6-8565-4465-8C19-95F5ABC4C235}" name="Colonne1362"/>
    <tableColumn id="1371" xr3:uid="{8A8BCF23-64A4-4266-9039-68DCE47B88FB}" name="Colonne1363"/>
    <tableColumn id="1372" xr3:uid="{B7FF1EC7-1301-4730-8A43-5391818E0449}" name="Colonne1364"/>
    <tableColumn id="1373" xr3:uid="{ACDFE59F-B3A1-45F3-A5AC-9685EF7F4A57}" name="Colonne1365"/>
    <tableColumn id="1374" xr3:uid="{8BE42A82-CDFC-43A3-9984-57CFF49B56E7}" name="Colonne1366"/>
    <tableColumn id="1375" xr3:uid="{AC2F437B-6F7A-401C-8B58-E7999FBBCC13}" name="Colonne1367"/>
    <tableColumn id="1376" xr3:uid="{0C90DB0B-C451-4FE2-BA34-521517F858A2}" name="Colonne1368"/>
    <tableColumn id="1377" xr3:uid="{E5DD6DC7-55F2-4B17-B0BA-82E6B3FFC253}" name="Colonne1369"/>
    <tableColumn id="1378" xr3:uid="{C995967E-E634-459B-9BAE-461FDBC486CD}" name="Colonne1370"/>
    <tableColumn id="1379" xr3:uid="{354E827E-2BF2-4C1F-AA3A-5CC8481B793C}" name="Colonne1371"/>
    <tableColumn id="1380" xr3:uid="{FA8BB633-8AB1-4525-A82A-B0408E3EBACB}" name="Colonne1372"/>
    <tableColumn id="1381" xr3:uid="{6D27933E-C85A-4A2B-833A-E2169284F679}" name="Colonne1373"/>
    <tableColumn id="1382" xr3:uid="{164B8D8D-0E47-4889-B4F7-8CD52593DBC3}" name="Colonne1374"/>
    <tableColumn id="1383" xr3:uid="{39D02D53-B591-4394-91F8-55BD46BC73F8}" name="Colonne1375"/>
    <tableColumn id="1384" xr3:uid="{3316F15A-DA0D-4933-A7AB-7E74AB268071}" name="Colonne1376"/>
    <tableColumn id="1385" xr3:uid="{6A0C8D93-F13B-4D8D-B797-F2984ED7BC07}" name="Colonne1377"/>
    <tableColumn id="1386" xr3:uid="{E2658D0D-91C5-4381-B100-9CDD0BFDC752}" name="Colonne1378"/>
    <tableColumn id="1387" xr3:uid="{E341D301-36CE-4AD8-B3F0-A0EB578D0A1C}" name="Colonne1379"/>
    <tableColumn id="1388" xr3:uid="{CA812942-66FA-41A5-924F-8820866A8450}" name="Colonne1380"/>
    <tableColumn id="1389" xr3:uid="{87BC3BAD-9ED5-4510-AC54-359D5587568E}" name="Colonne1381"/>
    <tableColumn id="1390" xr3:uid="{CB367895-D100-4E7D-80F1-4D0DAF1214A9}" name="Colonne1382"/>
    <tableColumn id="1391" xr3:uid="{7A101399-E477-4433-9C78-A82C7AA1DB70}" name="Colonne1383"/>
    <tableColumn id="1392" xr3:uid="{AAA115F3-BF9C-47B5-AA96-D9A3FD66FC87}" name="Colonne1384"/>
    <tableColumn id="1393" xr3:uid="{B6B3C4C1-2E71-4BC5-B5A9-61E5A5A7AE9A}" name="Colonne1385"/>
    <tableColumn id="1394" xr3:uid="{ACE96425-E663-4A7D-9E0F-43FF53125EE1}" name="Colonne1386"/>
    <tableColumn id="1395" xr3:uid="{D84867EA-EEA7-4D4C-81E0-6E33DD032CEE}" name="Colonne1387"/>
    <tableColumn id="1396" xr3:uid="{A85067D8-57BD-4C76-9F79-77A91769AB92}" name="Colonne1388"/>
    <tableColumn id="1397" xr3:uid="{E69D8E22-B315-497A-A5B6-411AFA60D485}" name="Colonne1389"/>
    <tableColumn id="1398" xr3:uid="{BC9C487C-FE32-4058-9ED4-2574E1E8E3C0}" name="Colonne1390"/>
    <tableColumn id="1399" xr3:uid="{9E7EDD9F-83FB-40D7-8CFF-C0CEDEA01C9A}" name="Colonne1391"/>
    <tableColumn id="1400" xr3:uid="{798CBE23-634C-4CDE-8F66-03976AA985B1}" name="Colonne1392"/>
    <tableColumn id="1401" xr3:uid="{1D18C047-F967-4A88-9C73-945D300FE04B}" name="Colonne1393"/>
    <tableColumn id="1402" xr3:uid="{FBF6477D-15EE-4053-A237-0BB4D31A302B}" name="Colonne1394"/>
    <tableColumn id="1403" xr3:uid="{0BA8507D-EBA4-4EC7-8EF8-162604D2A5F9}" name="Colonne1395"/>
    <tableColumn id="1404" xr3:uid="{E4399F21-B1AF-49BF-92B0-3BAC3EAF021B}" name="Colonne1396"/>
    <tableColumn id="1405" xr3:uid="{698A8EB0-D25D-4B46-8B2F-0E2D9EE54D85}" name="Colonne1397"/>
    <tableColumn id="1406" xr3:uid="{CD5ED5B7-F774-49EC-B9FF-50F434700017}" name="Colonne1398"/>
    <tableColumn id="1407" xr3:uid="{37839E6E-FD3B-4C9C-A39B-B87728CDDB72}" name="Colonne1399"/>
    <tableColumn id="1408" xr3:uid="{3133F33C-194D-4582-8DF5-B47DEAE7AE1D}" name="Colonne1400"/>
    <tableColumn id="1409" xr3:uid="{C9A79645-5870-465D-A516-D9B1F79E17C1}" name="Colonne1401"/>
    <tableColumn id="1410" xr3:uid="{1D40D387-C171-4844-A85C-FAC3C2A3140E}" name="Colonne1402"/>
    <tableColumn id="1411" xr3:uid="{F2A001DC-30A5-4183-9D4E-3845C081E73C}" name="Colonne1403"/>
    <tableColumn id="1412" xr3:uid="{7E5F34A3-2315-4E54-BB72-68ECBE5705C6}" name="Colonne1404"/>
    <tableColumn id="1413" xr3:uid="{9BEFE4F9-CFD1-4AB1-B80F-94BAE6DB6B87}" name="Colonne1405"/>
    <tableColumn id="1414" xr3:uid="{02EC227B-706A-4E12-B63E-3F841531A92D}" name="Colonne1406"/>
    <tableColumn id="1415" xr3:uid="{ED244CF0-A10B-4D7F-ABBF-C0CFD91FF927}" name="Colonne1407"/>
    <tableColumn id="1416" xr3:uid="{CC3A88C9-CC7B-40B4-B19B-7DD1AA2BDAB2}" name="Colonne1408"/>
    <tableColumn id="1417" xr3:uid="{631D9AFA-B0D5-420F-A721-0A5534D5EC6C}" name="Colonne1409"/>
    <tableColumn id="1418" xr3:uid="{15F325CF-EF46-485E-B80F-52C069324F96}" name="Colonne1410"/>
    <tableColumn id="1419" xr3:uid="{CF836917-DDF4-4D42-B7F7-48FAA85752F1}" name="Colonne1411"/>
    <tableColumn id="1420" xr3:uid="{362F6BDE-8E56-45A0-A775-87FB2B4E6CC6}" name="Colonne1412"/>
    <tableColumn id="1421" xr3:uid="{1349486F-B02E-4648-9E06-D32D868A9F33}" name="Colonne1413"/>
    <tableColumn id="1422" xr3:uid="{59D3C1DF-9B40-4785-BDC3-F47E526D084E}" name="Colonne1414"/>
    <tableColumn id="1423" xr3:uid="{DA85B0C5-0236-4D25-9244-B3CF49E17B02}" name="Colonne1415"/>
    <tableColumn id="1424" xr3:uid="{406EDB57-862D-4FE9-B9CC-BEC9CCC997C6}" name="Colonne1416"/>
    <tableColumn id="1425" xr3:uid="{FE2FAA0F-EB81-4062-A7E4-7DDE82B814D2}" name="Colonne1417"/>
    <tableColumn id="1426" xr3:uid="{99401D1A-BCD5-48B4-B76F-CFB571B33C9B}" name="Colonne1418"/>
    <tableColumn id="1427" xr3:uid="{B23AA5A3-1064-4E4C-9C71-F321FE52E0EC}" name="Colonne1419"/>
    <tableColumn id="1428" xr3:uid="{237926A0-7D1B-4F15-BD78-310B9DE1945E}" name="Colonne1420"/>
    <tableColumn id="1429" xr3:uid="{59A2FD39-8408-422A-BB22-6784D970E406}" name="Colonne1421"/>
    <tableColumn id="1430" xr3:uid="{72F2590E-2642-4F15-A949-C0BCB3C6A0C6}" name="Colonne1422"/>
    <tableColumn id="1431" xr3:uid="{41A9C384-3B73-4706-AFA9-D45807F5A5E0}" name="Colonne1423"/>
    <tableColumn id="1432" xr3:uid="{38877F3F-85E4-4736-8C6B-488D076124BC}" name="Colonne1424"/>
    <tableColumn id="1433" xr3:uid="{EAC8CA0A-01CE-4C01-8045-E6D33FA769B9}" name="Colonne1425"/>
    <tableColumn id="1434" xr3:uid="{0919EE12-02C5-449D-BBCC-D30F2EA09EA8}" name="Colonne1426"/>
    <tableColumn id="1435" xr3:uid="{F5CCB5EE-497B-49AF-A7BC-09F3FC94499E}" name="Colonne1427"/>
    <tableColumn id="1436" xr3:uid="{6A34B96C-1513-4B9F-BA1F-756A90452D04}" name="Colonne1428"/>
    <tableColumn id="1437" xr3:uid="{5BDFC362-BF2D-4AF5-89CC-C20649045BDF}" name="Colonne1429"/>
    <tableColumn id="1438" xr3:uid="{0DFB8AB0-8A2E-47AF-963C-315A7F4414C9}" name="Colonne1430"/>
    <tableColumn id="1439" xr3:uid="{EF28805A-927E-4D97-AE45-464B5FC925CF}" name="Colonne1431"/>
    <tableColumn id="1440" xr3:uid="{52DF05FF-5B08-4D1C-9233-92AD7EA78E3F}" name="Colonne1432"/>
    <tableColumn id="1441" xr3:uid="{D127745E-1406-4B00-9F39-EB487C17C488}" name="Colonne1433"/>
    <tableColumn id="1442" xr3:uid="{79FDEC17-7C74-4037-B288-1BD6239F5E7D}" name="Colonne1434"/>
    <tableColumn id="1443" xr3:uid="{F22C18A7-FC09-4383-A09A-E252B776EFBA}" name="Colonne1435"/>
    <tableColumn id="1444" xr3:uid="{89EA53AE-6DDF-46C2-BDEE-53CB19062CAE}" name="Colonne1436"/>
    <tableColumn id="1445" xr3:uid="{3A5C8ED9-0026-4800-87FD-41724B9D0AA6}" name="Colonne1437"/>
    <tableColumn id="1446" xr3:uid="{5F49B741-11ED-4454-8B53-6F6F98183678}" name="Colonne1438"/>
    <tableColumn id="1447" xr3:uid="{A839A5B7-7E87-4D1A-8B11-32F97194C7FB}" name="Colonne1439"/>
    <tableColumn id="1448" xr3:uid="{E8D47D2A-B83F-41FE-808F-9C5C0BFA0A2D}" name="Colonne1440"/>
    <tableColumn id="1449" xr3:uid="{A89D0AA4-8BC0-4D58-A669-4A49A1DB9E8B}" name="Colonne1441"/>
    <tableColumn id="1450" xr3:uid="{930F6611-3A1B-45A5-92FD-7C9A4D9F3B7D}" name="Colonne1442"/>
    <tableColumn id="1451" xr3:uid="{1A64504C-850D-4443-AAC6-4F1EB21AD1C5}" name="Colonne1443"/>
    <tableColumn id="1452" xr3:uid="{280CE03E-00BA-47AC-AAF8-4855DE001BB2}" name="Colonne1444"/>
    <tableColumn id="1453" xr3:uid="{3A71AB42-F9BA-4FA1-8198-572BBA7FD928}" name="Colonne1445"/>
    <tableColumn id="1454" xr3:uid="{780718E2-A08E-4976-B7B3-A88AF9DDEE10}" name="Colonne1446"/>
    <tableColumn id="1455" xr3:uid="{7F29D790-A0F4-4AAB-A409-622700FD1BF5}" name="Colonne1447"/>
    <tableColumn id="1456" xr3:uid="{CACA8660-022B-45DC-BE41-146BD0CA07F6}" name="Colonne1448"/>
    <tableColumn id="1457" xr3:uid="{EB6F3158-C9C8-4DA9-BCFF-8FA310F3DF60}" name="Colonne1449"/>
    <tableColumn id="1458" xr3:uid="{BCD6EA18-9F08-44A2-85DA-F93B340C5A90}" name="Colonne1450"/>
    <tableColumn id="1459" xr3:uid="{508364B7-E59F-4A92-86ED-8090CB0105E6}" name="Colonne1451"/>
    <tableColumn id="1460" xr3:uid="{6435CEB6-6D88-4775-A92E-80F1A3180D2D}" name="Colonne1452"/>
    <tableColumn id="1461" xr3:uid="{DF304FBE-9312-4278-B3D2-4E5F53025851}" name="Colonne1453"/>
    <tableColumn id="1462" xr3:uid="{6A6E8677-2848-4654-BC16-7609BACC6336}" name="Colonne1454"/>
    <tableColumn id="1463" xr3:uid="{43A146C6-25BB-48AE-8DB2-43ABC9FEDC9E}" name="Colonne1455"/>
    <tableColumn id="1464" xr3:uid="{8A4510EF-9B8B-4D09-9E53-7C7AF0141C97}" name="Colonne1456"/>
    <tableColumn id="1465" xr3:uid="{FE2F2F73-F6C0-49DE-9CF7-39CF8DA5AD76}" name="Colonne1457"/>
    <tableColumn id="1466" xr3:uid="{18D944C2-38B3-442D-B047-6C38E3306DBC}" name="Colonne1458"/>
    <tableColumn id="1467" xr3:uid="{A06B2AAB-09E4-4D06-832F-ADA1FAEE6F28}" name="Colonne1459"/>
    <tableColumn id="1468" xr3:uid="{7F791247-0EE2-4E61-9594-F1CBA40D2B10}" name="Colonne1460"/>
    <tableColumn id="1469" xr3:uid="{2A65EEF0-D9CD-4BE9-BC2F-FA19008246FA}" name="Colonne1461"/>
    <tableColumn id="1470" xr3:uid="{0B497435-5235-4243-BCC2-38A45A8FF115}" name="Colonne1462"/>
    <tableColumn id="1471" xr3:uid="{11EF7B5C-05B9-4E2A-9B75-772C0806C845}" name="Colonne1463"/>
    <tableColumn id="1472" xr3:uid="{23AF38B7-00A2-492A-AC1A-85E28DDA191B}" name="Colonne1464"/>
    <tableColumn id="1473" xr3:uid="{7EFE1D46-8BC3-4FB2-8D45-DABBE5C94073}" name="Colonne1465"/>
    <tableColumn id="1474" xr3:uid="{4C77AD63-BFD6-4F46-B34B-5FF31DED880F}" name="Colonne1466"/>
    <tableColumn id="1475" xr3:uid="{CEB28E55-44FF-4009-BBC3-5CD1D619CE5D}" name="Colonne1467"/>
    <tableColumn id="1476" xr3:uid="{2D407218-CBFE-410F-BE8E-43FC5AB8E97B}" name="Colonne1468"/>
    <tableColumn id="1477" xr3:uid="{5CBFF586-418E-4DD4-ABD6-652E15CA6EB3}" name="Colonne1469"/>
    <tableColumn id="1478" xr3:uid="{6C7E4938-9E65-47D6-886E-77146E6BC3D5}" name="Colonne1470"/>
    <tableColumn id="1479" xr3:uid="{7396F0D1-AD8D-4C2F-BDB6-E35FD0E9E321}" name="Colonne1471"/>
    <tableColumn id="1480" xr3:uid="{D296BDA8-1357-40F1-93C3-991DBEDEF77D}" name="Colonne1472"/>
    <tableColumn id="1481" xr3:uid="{FC1F2888-90FC-4772-8167-7773AEE18672}" name="Colonne1473"/>
    <tableColumn id="1482" xr3:uid="{82CF2B5E-166F-45D0-8817-2D8919D00E08}" name="Colonne1474"/>
    <tableColumn id="1483" xr3:uid="{C2594B04-2662-487E-B6DE-9F145C814AC9}" name="Colonne1475"/>
    <tableColumn id="1484" xr3:uid="{78A13848-D2CA-4AE8-9233-14A27C782FFC}" name="Colonne1476"/>
    <tableColumn id="1485" xr3:uid="{6E57E0BF-2A8F-4533-9377-E1869B2E9289}" name="Colonne1477"/>
    <tableColumn id="1486" xr3:uid="{2E9A2102-D5BB-49AA-8E12-1BD65645C857}" name="Colonne1478"/>
    <tableColumn id="1487" xr3:uid="{82FA33BA-D61B-49CE-8525-A3869DC890A4}" name="Colonne1479"/>
    <tableColumn id="1488" xr3:uid="{85544E68-5CF5-43B0-A2D9-00E592649B2D}" name="Colonne1480"/>
    <tableColumn id="1489" xr3:uid="{8B5CD711-5FF5-48C7-AF36-AD7500E31347}" name="Colonne1481"/>
    <tableColumn id="1490" xr3:uid="{4E544110-AF9C-4FEB-AFF3-D80C644540AE}" name="Colonne1482"/>
    <tableColumn id="1491" xr3:uid="{0A765131-7B11-4ACD-BCA3-153472F2DC30}" name="Colonne1483"/>
    <tableColumn id="1492" xr3:uid="{20DCA4C5-245F-4663-BDAD-E2FC0AF1E7AD}" name="Colonne1484"/>
    <tableColumn id="1493" xr3:uid="{F79E9EE0-DAF8-4EB8-9ECB-627F39DEFF48}" name="Colonne1485"/>
    <tableColumn id="1494" xr3:uid="{9D588E59-7E7D-44EE-BD65-9CF51775DDF8}" name="Colonne1486"/>
    <tableColumn id="1495" xr3:uid="{85F6E842-4B79-4D2C-A587-3D95652AB59A}" name="Colonne1487"/>
    <tableColumn id="1496" xr3:uid="{792FEE37-7723-4F68-B240-19A5B01C4A4C}" name="Colonne1488"/>
    <tableColumn id="1497" xr3:uid="{E76A6A4C-369C-4780-A5C6-829ED0846D11}" name="Colonne1489"/>
    <tableColumn id="1498" xr3:uid="{130B9C46-C02F-4A24-8CA3-26DD7499EE4A}" name="Colonne1490"/>
    <tableColumn id="1499" xr3:uid="{50761099-0ED1-4E58-B872-7FB7BFB46EEE}" name="Colonne1491"/>
    <tableColumn id="1500" xr3:uid="{14F205DF-4711-488F-992E-9D590C483AFC}" name="Colonne1492"/>
    <tableColumn id="1501" xr3:uid="{CE6CAA73-D1B1-4854-A92A-FCFD053311BC}" name="Colonne1493"/>
    <tableColumn id="1502" xr3:uid="{E2EFE97A-EDA7-494E-9698-E63B2F28E914}" name="Colonne1494"/>
    <tableColumn id="1503" xr3:uid="{D831CFDE-2B2C-4595-A5A0-FBFF307C56FB}" name="Colonne1495"/>
    <tableColumn id="1504" xr3:uid="{E26B274D-F282-476A-9846-95F2D71E8F9A}" name="Colonne1496"/>
    <tableColumn id="1505" xr3:uid="{11D32E3E-0497-4DCF-A451-25932732E6C2}" name="Colonne1497"/>
    <tableColumn id="1506" xr3:uid="{C6D5E78E-75DD-4F68-A913-6C28BF271640}" name="Colonne1498"/>
    <tableColumn id="1507" xr3:uid="{3ADC63A3-7B99-45C1-914B-9452A3842BD4}" name="Colonne1499"/>
    <tableColumn id="1508" xr3:uid="{046268A9-D31D-481C-95CF-BB276C959444}" name="Colonne1500"/>
    <tableColumn id="1509" xr3:uid="{7817D19A-31DC-42FB-9497-4E5F2EDCF53F}" name="Colonne1501"/>
    <tableColumn id="1510" xr3:uid="{EDA4AD13-D640-483E-8C33-2F70A119345C}" name="Colonne1502"/>
    <tableColumn id="1511" xr3:uid="{0038AE62-B11D-4BC7-AF2C-2389AED85676}" name="Colonne1503"/>
    <tableColumn id="1512" xr3:uid="{63459C14-3108-4C3C-A412-F3BE002D9EE3}" name="Colonne1504"/>
    <tableColumn id="1513" xr3:uid="{AD6E233A-AB4E-4C41-9852-BCA0FA377C74}" name="Colonne1505"/>
    <tableColumn id="1514" xr3:uid="{8B387592-A567-4BEC-BA99-F1AF45B513B1}" name="Colonne1506"/>
    <tableColumn id="1515" xr3:uid="{3E1840FF-4396-4D54-8381-102AD8CBF744}" name="Colonne1507"/>
    <tableColumn id="1516" xr3:uid="{B47FEC19-6BDF-4D05-90DE-91D4F678C1A7}" name="Colonne1508"/>
    <tableColumn id="1517" xr3:uid="{D443CBFA-8851-4CAA-BE38-7238E98B34D0}" name="Colonne1509"/>
    <tableColumn id="1518" xr3:uid="{C1EFADDD-2DF8-43FA-9FBC-B21838AAA0DF}" name="Colonne1510"/>
    <tableColumn id="1519" xr3:uid="{5B74B1DE-4CB5-4414-B594-AA28D1A1A892}" name="Colonne1511"/>
    <tableColumn id="1520" xr3:uid="{904B7885-B77F-49CE-9FD6-782FD0F297EF}" name="Colonne1512"/>
    <tableColumn id="1521" xr3:uid="{3E8CB43D-9270-4415-A5C1-A2572D16E0B9}" name="Colonne1513"/>
    <tableColumn id="1522" xr3:uid="{4244F83A-4485-4B9B-BBBC-46BEA74DC88A}" name="Colonne1514"/>
    <tableColumn id="1523" xr3:uid="{ED881606-EAAF-4C4E-B366-4A721536E636}" name="Colonne1515"/>
    <tableColumn id="1524" xr3:uid="{C9BCCBB4-56D6-4039-AFE5-28EBCDE22D80}" name="Colonne1516"/>
    <tableColumn id="1525" xr3:uid="{78615119-B897-46F9-BDC3-0BC42FF04370}" name="Colonne1517"/>
    <tableColumn id="1526" xr3:uid="{0218C76C-A993-4637-860F-9A18AE97F6AF}" name="Colonne1518"/>
    <tableColumn id="1527" xr3:uid="{2DA14796-D5D6-48D9-BB3D-7E8D0B12FFF9}" name="Colonne1519"/>
    <tableColumn id="1528" xr3:uid="{1712B6F9-1168-4EEF-A673-2BFD2DF1C729}" name="Colonne1520"/>
    <tableColumn id="1529" xr3:uid="{ED4C937B-C301-434A-B5A1-72BE3AD725B6}" name="Colonne1521"/>
    <tableColumn id="1530" xr3:uid="{32633AE2-8916-4A63-A05B-DE847FA0CDAD}" name="Colonne1522"/>
    <tableColumn id="1531" xr3:uid="{3C458BA5-E1C9-4D77-8F94-FB2DEEB0AC3C}" name="Colonne1523"/>
    <tableColumn id="1532" xr3:uid="{7CA1FC7C-967B-4960-A32E-9B1478B2E5AA}" name="Colonne1524"/>
    <tableColumn id="1533" xr3:uid="{2439F38F-4C29-4530-AA80-067226A2AFDE}" name="Colonne1525"/>
    <tableColumn id="1534" xr3:uid="{9D8806D0-A93B-4960-9B79-668DF4CA38A9}" name="Colonne1526"/>
    <tableColumn id="1535" xr3:uid="{D057BEE2-6AD2-477B-995C-B683753FD79A}" name="Colonne1527"/>
    <tableColumn id="1536" xr3:uid="{F78D5E21-CA3F-4BE9-A813-8DCDD5907E87}" name="Colonne1528"/>
    <tableColumn id="1537" xr3:uid="{8159F796-AD09-4ED9-A9A8-C70E92DADBCC}" name="Colonne1529"/>
    <tableColumn id="1538" xr3:uid="{EC914DB8-1F55-40ED-B604-8871E55E2A27}" name="Colonne1530"/>
    <tableColumn id="1539" xr3:uid="{113F93C6-6F28-42F0-9739-23A7923F8318}" name="Colonne1531"/>
    <tableColumn id="1540" xr3:uid="{75E5FA41-A298-49F8-9C2B-DEC39C494964}" name="Colonne1532"/>
    <tableColumn id="1541" xr3:uid="{8C15310E-739B-4A82-9751-E6BBD868A8E5}" name="Colonne1533"/>
    <tableColumn id="1542" xr3:uid="{F8C1AC79-2115-4266-9D68-B69BE7C2A6BF}" name="Colonne1534"/>
    <tableColumn id="1543" xr3:uid="{F6413997-916D-49DD-809C-074A7777EE65}" name="Colonne1535"/>
    <tableColumn id="1544" xr3:uid="{0D603EC2-B89C-4699-A4A6-C472D986916D}" name="Colonne1536"/>
    <tableColumn id="1545" xr3:uid="{6DF8EE58-2D72-448F-8D43-767E4F4CBFA0}" name="Colonne1537"/>
    <tableColumn id="1546" xr3:uid="{59C017D4-BE57-4BA4-99AF-CB206919BBB1}" name="Colonne1538"/>
    <tableColumn id="1547" xr3:uid="{451FA1CC-E920-4C83-839D-59FF929BA12C}" name="Colonne1539"/>
    <tableColumn id="1548" xr3:uid="{BB78D060-3E6A-4433-8319-0BFFF59D9ABF}" name="Colonne1540"/>
    <tableColumn id="1549" xr3:uid="{2CB789E7-DB36-4593-AB99-401CA9953D0C}" name="Colonne1541"/>
    <tableColumn id="1550" xr3:uid="{C771B089-C75A-4119-BB8C-E7AA54CA6D60}" name="Colonne1542"/>
    <tableColumn id="1551" xr3:uid="{0A347F61-6115-418E-95E6-BD83F056ACA7}" name="Colonne1543"/>
    <tableColumn id="1552" xr3:uid="{2CED316A-4662-47FA-84B7-9B0AA2A61751}" name="Colonne1544"/>
    <tableColumn id="1553" xr3:uid="{2DD60426-096B-4B9C-9FFF-4A70004963A0}" name="Colonne1545"/>
    <tableColumn id="1554" xr3:uid="{17BB4305-6C71-4E54-836C-0133FDA5132B}" name="Colonne1546"/>
    <tableColumn id="1555" xr3:uid="{7F12D7E6-9625-4BD5-82DD-AA6E005DFC73}" name="Colonne1547"/>
    <tableColumn id="1556" xr3:uid="{41BC0C8E-2CB8-4FFB-90A3-1040AB8AC62A}" name="Colonne1548"/>
    <tableColumn id="1557" xr3:uid="{F36E9CC7-8BFF-4FFB-A19B-38B82554D5A3}" name="Colonne1549"/>
    <tableColumn id="1558" xr3:uid="{3227CC73-57DA-49C8-8D72-D113235F5CAE}" name="Colonne1550"/>
    <tableColumn id="1559" xr3:uid="{E800DFD1-BF3C-49DE-9538-DEF6275C9DD2}" name="Colonne1551"/>
    <tableColumn id="1560" xr3:uid="{4D604167-66C5-4978-BF9D-B51C5388BE17}" name="Colonne1552"/>
    <tableColumn id="1561" xr3:uid="{296DF785-98D2-4E05-8898-0AE6C6BCF95C}" name="Colonne1553"/>
    <tableColumn id="1562" xr3:uid="{C531A02A-06ED-40EE-B852-E64198FAEDAF}" name="Colonne1554"/>
    <tableColumn id="1563" xr3:uid="{4B704C63-BD9C-4894-9216-390DCE258D3C}" name="Colonne1555"/>
    <tableColumn id="1564" xr3:uid="{EB6409B0-45E7-402B-9F4D-68FF972DD66E}" name="Colonne1556"/>
    <tableColumn id="1565" xr3:uid="{8F3AE176-2806-4984-88A0-46D52997F5CC}" name="Colonne1557"/>
    <tableColumn id="1566" xr3:uid="{9C7431FF-D4D6-4543-9384-4F3E6706B84C}" name="Colonne1558"/>
    <tableColumn id="1567" xr3:uid="{EA472E8B-3011-4117-87DB-C28E0851154A}" name="Colonne1559"/>
    <tableColumn id="1568" xr3:uid="{CE11DC91-9509-4112-850B-593822C16757}" name="Colonne1560"/>
    <tableColumn id="1569" xr3:uid="{0AEC5502-4AAD-4A66-8D48-06BBDBD8B2E6}" name="Colonne1561"/>
    <tableColumn id="1570" xr3:uid="{AD46E16D-7D60-41F8-83E7-9459BF11F7FD}" name="Colonne1562"/>
    <tableColumn id="1571" xr3:uid="{C3297AA1-BC1A-4C26-A859-EF759F15CE6A}" name="Colonne1563"/>
    <tableColumn id="1572" xr3:uid="{06FBAC08-8F50-4435-9D97-EDE0F2A6A13F}" name="Colonne1564"/>
    <tableColumn id="1573" xr3:uid="{8426A34D-DAD5-4374-90A1-137314BBAEB3}" name="Colonne1565"/>
    <tableColumn id="1574" xr3:uid="{94202538-D6A1-4A27-966B-B77B91583D37}" name="Colonne1566"/>
    <tableColumn id="1575" xr3:uid="{57F5FA66-827E-4772-B65A-B2B6BEA69B50}" name="Colonne1567"/>
    <tableColumn id="1576" xr3:uid="{50D42CBC-791F-44F1-97F7-A5963352533D}" name="Colonne1568"/>
    <tableColumn id="1577" xr3:uid="{E23CD3D6-C7C8-4D1F-BCDA-E07E4B23C9EB}" name="Colonne1569"/>
    <tableColumn id="1578" xr3:uid="{8C2B07AB-93E4-44C4-A5AD-B73E97473060}" name="Colonne1570"/>
    <tableColumn id="1579" xr3:uid="{1F2635FF-6F9A-4CED-8269-63FA9DD50DC8}" name="Colonne1571"/>
    <tableColumn id="1580" xr3:uid="{031F0BD7-D1F4-44B9-BC12-A84480055E4D}" name="Colonne1572"/>
    <tableColumn id="1581" xr3:uid="{19ECEAC3-A65F-4586-AC98-786B09D0C0C3}" name="Colonne1573"/>
    <tableColumn id="1582" xr3:uid="{9F3E93C6-402F-4D02-ABBB-8CC1DD9AF932}" name="Colonne1574"/>
    <tableColumn id="1583" xr3:uid="{4C04D33B-3BEE-4E5C-9FD2-F79C56E32A6E}" name="Colonne1575"/>
    <tableColumn id="1584" xr3:uid="{67C28484-5425-4CCF-8B96-CE5C3ABE6142}" name="Colonne1576"/>
    <tableColumn id="1585" xr3:uid="{B6FF7521-83C6-41C8-97C8-E8A5833E82D3}" name="Colonne1577"/>
    <tableColumn id="1586" xr3:uid="{6475EA7B-F2B3-466F-BA08-88DBDC586B81}" name="Colonne1578"/>
    <tableColumn id="1587" xr3:uid="{4F6343BD-DFC6-430D-A447-98061F3D6BA8}" name="Colonne1579"/>
    <tableColumn id="1588" xr3:uid="{0002B518-1DC7-459C-BFBF-254D67634294}" name="Colonne1580"/>
    <tableColumn id="1589" xr3:uid="{E2865B1A-480D-4061-BBD7-C3913AEDDBBA}" name="Colonne1581"/>
    <tableColumn id="1590" xr3:uid="{CF15745D-E4C3-481C-B550-5C282C2D1650}" name="Colonne1582"/>
    <tableColumn id="1591" xr3:uid="{F5674627-EE7F-4C8E-9C69-230C3A4BF338}" name="Colonne1583"/>
    <tableColumn id="1592" xr3:uid="{D8899288-953F-4274-A1E2-D1960F12FCEA}" name="Colonne1584"/>
    <tableColumn id="1593" xr3:uid="{2CF69B68-DF2D-4457-9529-D311B9EBCDC6}" name="Colonne1585"/>
    <tableColumn id="1594" xr3:uid="{55C56609-05B0-4562-AD6F-41A7F8C752BA}" name="Colonne1586"/>
    <tableColumn id="1595" xr3:uid="{1309FC4A-85A2-4229-9DF5-4596D1D27E06}" name="Colonne1587"/>
    <tableColumn id="1596" xr3:uid="{73B78FE1-8151-423A-AD96-62F94F5A949E}" name="Colonne1588"/>
    <tableColumn id="1597" xr3:uid="{CF2B704C-F210-4E23-81AB-9EF365064992}" name="Colonne1589"/>
    <tableColumn id="1598" xr3:uid="{9450C72C-9F5C-42AB-ACD1-F9B147325E27}" name="Colonne1590"/>
    <tableColumn id="1599" xr3:uid="{041699BF-508C-4AAB-B276-E7DD82662DBC}" name="Colonne1591"/>
    <tableColumn id="1600" xr3:uid="{A310DA71-3987-47AD-A729-9E3203D7D78A}" name="Colonne1592"/>
    <tableColumn id="1601" xr3:uid="{145AE2DB-9F9C-4AE7-8B63-7F984ABDC939}" name="Colonne1593"/>
    <tableColumn id="1602" xr3:uid="{48F6E239-1608-409F-AA50-D7443A3DA221}" name="Colonne1594"/>
    <tableColumn id="1603" xr3:uid="{62C23A1F-B494-4EEB-B9B2-108D5D961EAE}" name="Colonne1595"/>
    <tableColumn id="1604" xr3:uid="{BE035F3B-6EB5-4128-A076-C0CF4AD22324}" name="Colonne1596"/>
    <tableColumn id="1605" xr3:uid="{0371D44E-4E0D-4EC5-9440-5A5758DB2519}" name="Colonne1597"/>
    <tableColumn id="1606" xr3:uid="{716A8168-47B7-4148-AC8F-58F14F8D56F8}" name="Colonne1598"/>
    <tableColumn id="1607" xr3:uid="{8B089CB4-C6B8-4527-B851-D15A33DCCA91}" name="Colonne1599"/>
    <tableColumn id="1608" xr3:uid="{89A5CCD9-5235-4581-A905-BCE04E2BA2CB}" name="Colonne1600"/>
    <tableColumn id="1609" xr3:uid="{52CFE99A-2C6B-4DE9-A5D5-AFFEBC8E19BF}" name="Colonne1601"/>
    <tableColumn id="1610" xr3:uid="{A9A37721-406D-4D18-8462-939F82B5523A}" name="Colonne1602"/>
    <tableColumn id="1611" xr3:uid="{ED54D6E3-BBAA-48B9-8F27-466A99C099C9}" name="Colonne1603"/>
    <tableColumn id="1612" xr3:uid="{3AC9A28A-6990-4EF5-BB1E-EBDC32411114}" name="Colonne1604"/>
    <tableColumn id="1613" xr3:uid="{3F83225B-4D3B-4195-8A9A-203A2ADA2A01}" name="Colonne1605"/>
    <tableColumn id="1614" xr3:uid="{CE442BC8-53E5-4989-A30D-0CF2625D382E}" name="Colonne1606"/>
    <tableColumn id="1615" xr3:uid="{D76B70CD-9265-49D2-BA0C-6971ACCDFEB8}" name="Colonne1607"/>
    <tableColumn id="1616" xr3:uid="{3656CF5D-B3FC-4B59-8421-4B0CA5B4126F}" name="Colonne1608"/>
    <tableColumn id="1617" xr3:uid="{56145C04-5A45-4916-81CA-A63711DEC080}" name="Colonne1609"/>
    <tableColumn id="1618" xr3:uid="{8A875AD7-3DE8-49CA-B23C-A84A7D8A740C}" name="Colonne1610"/>
    <tableColumn id="1619" xr3:uid="{A20DAB62-74D8-4BBD-A376-DD5F312E1A5A}" name="Colonne1611"/>
    <tableColumn id="1620" xr3:uid="{596ACD8E-0A13-4942-8144-4AD1998F7F1E}" name="Colonne1612"/>
    <tableColumn id="1621" xr3:uid="{CA4339DE-A05B-48B6-AF51-62D6F27E0DB0}" name="Colonne1613"/>
    <tableColumn id="1622" xr3:uid="{8320E4D2-EF42-4BB6-9E79-C55EB29ADFFE}" name="Colonne1614"/>
    <tableColumn id="1623" xr3:uid="{0725B263-785B-4BFD-B70D-9BB1ADE77357}" name="Colonne1615"/>
    <tableColumn id="1624" xr3:uid="{44BA207A-6111-4F70-8528-DEC0F04A0A4F}" name="Colonne1616"/>
    <tableColumn id="1625" xr3:uid="{F0465C7F-3234-41C8-9F65-2A2B53FA2CDE}" name="Colonne1617"/>
    <tableColumn id="1626" xr3:uid="{DF8AAF1F-4DE2-4A63-B435-ECE185F3BD3B}" name="Colonne1618"/>
    <tableColumn id="1627" xr3:uid="{00BC50D0-7567-4023-A07F-5751EE593A0E}" name="Colonne1619"/>
    <tableColumn id="1628" xr3:uid="{BF1BEB4E-E9BD-432A-97E5-1A97A48C92FE}" name="Colonne1620"/>
    <tableColumn id="1629" xr3:uid="{19E32DCB-EC9F-4B04-AE3E-8663541AC587}" name="Colonne1621"/>
    <tableColumn id="1630" xr3:uid="{A7B924B1-897E-4A66-8062-D81843E49E23}" name="Colonne1622"/>
    <tableColumn id="1631" xr3:uid="{1F24AA7C-ED51-45EA-9460-7E80FA1CDB1F}" name="Colonne1623"/>
    <tableColumn id="1632" xr3:uid="{CE04C2C1-E24D-4201-8CE1-38AE0382B7B9}" name="Colonne1624"/>
    <tableColumn id="1633" xr3:uid="{7C922C45-F2CA-4E7A-948F-B021A005115F}" name="Colonne1625"/>
    <tableColumn id="1634" xr3:uid="{D9EDA5EB-C152-4F86-8E27-4D8F9A4552A3}" name="Colonne1626"/>
    <tableColumn id="1635" xr3:uid="{6639EA18-247B-4AC9-9080-A4FD26F1AA93}" name="Colonne1627"/>
    <tableColumn id="1636" xr3:uid="{439D88BD-3760-4FFA-8DAE-6111B040409B}" name="Colonne1628"/>
    <tableColumn id="1637" xr3:uid="{1833E21D-BF34-4213-898D-47FD063B0632}" name="Colonne1629"/>
    <tableColumn id="1638" xr3:uid="{08AA45D5-7B9A-426D-8438-D0F7BF4C59D3}" name="Colonne1630"/>
    <tableColumn id="1639" xr3:uid="{F51F50B1-AC2E-45A3-8EB6-297DCDD3E268}" name="Colonne1631"/>
    <tableColumn id="1640" xr3:uid="{20E70C89-736A-4610-9193-0463E6F4B8B9}" name="Colonne1632"/>
    <tableColumn id="1641" xr3:uid="{680E0BA5-E584-46BF-AF13-6726DE304659}" name="Colonne1633"/>
    <tableColumn id="1642" xr3:uid="{715318DB-3A66-432A-AFB1-3685E52952BB}" name="Colonne1634"/>
    <tableColumn id="1643" xr3:uid="{FCB569C7-33D5-43CA-8CA8-49AD893D13C4}" name="Colonne1635"/>
    <tableColumn id="1644" xr3:uid="{70263E2E-474C-40CB-9DE7-1159942B8709}" name="Colonne1636"/>
    <tableColumn id="1645" xr3:uid="{475DCBED-BCFA-4FF5-8B27-3B5196507B03}" name="Colonne1637"/>
    <tableColumn id="1646" xr3:uid="{20181818-2A2C-42FF-86C4-037A804B6265}" name="Colonne1638"/>
    <tableColumn id="1647" xr3:uid="{8987D3C0-750F-4AB4-A443-4FD61F7B680B}" name="Colonne1639"/>
    <tableColumn id="1648" xr3:uid="{6F450F52-B8F2-4EE2-8D25-5A63A472807F}" name="Colonne1640"/>
    <tableColumn id="1649" xr3:uid="{89DFFB5A-524D-4C69-B229-7A807F88FD1E}" name="Colonne1641"/>
    <tableColumn id="1650" xr3:uid="{8AB33670-1F72-4EC8-9795-F799FE0C262A}" name="Colonne1642"/>
    <tableColumn id="1651" xr3:uid="{D7C78067-12B5-42BA-9A3C-03CEA1F5353E}" name="Colonne1643"/>
    <tableColumn id="1652" xr3:uid="{E396FDA1-9AAD-4EC3-8680-44A4123F9B26}" name="Colonne1644"/>
    <tableColumn id="1653" xr3:uid="{0D0FD0B7-E41B-45C6-9EDF-B93B44CCF23F}" name="Colonne1645"/>
    <tableColumn id="1654" xr3:uid="{2BC4E9D5-9BE9-4309-8603-37D91749C286}" name="Colonne1646"/>
    <tableColumn id="1655" xr3:uid="{FABC967A-1C31-4E21-8A6D-7373350F6F5D}" name="Colonne1647"/>
    <tableColumn id="1656" xr3:uid="{6DEEC346-08D8-4698-B53B-50F2B7EF38E3}" name="Colonne1648"/>
    <tableColumn id="1657" xr3:uid="{416011F4-CD1C-49BE-B23D-BB06F1D1B2A9}" name="Colonne1649"/>
    <tableColumn id="1658" xr3:uid="{75563329-6EC1-46D0-91B0-D943CBC48336}" name="Colonne1650"/>
    <tableColumn id="1659" xr3:uid="{BDB52787-6357-4389-8482-0A95F305834E}" name="Colonne1651"/>
    <tableColumn id="1660" xr3:uid="{8E7BE91D-277F-4DA6-A95E-2A84EC4FE5B2}" name="Colonne1652"/>
    <tableColumn id="1661" xr3:uid="{B057DBB3-C20D-4BDB-907B-3ABD74E8D48B}" name="Colonne1653"/>
    <tableColumn id="1662" xr3:uid="{B5D31AC6-D9CB-4AC5-AF28-26D8F5D2ECBB}" name="Colonne1654"/>
    <tableColumn id="1663" xr3:uid="{428D42D2-A31F-4784-BF99-673A47DDEC47}" name="Colonne1655"/>
    <tableColumn id="1664" xr3:uid="{CAAD4E45-4BAA-4CB3-9926-74B086934B72}" name="Colonne1656"/>
    <tableColumn id="1665" xr3:uid="{28910023-D828-40D3-9F30-BB21D0246651}" name="Colonne1657"/>
    <tableColumn id="1666" xr3:uid="{76279857-5016-46D4-9E28-BC3F3D66226F}" name="Colonne1658"/>
    <tableColumn id="1667" xr3:uid="{E24C4AF3-4491-43F6-81A8-610B2A63B445}" name="Colonne1659"/>
    <tableColumn id="1668" xr3:uid="{2F57D244-8630-4B60-B1DF-A35EAD0D5036}" name="Colonne1660"/>
    <tableColumn id="1669" xr3:uid="{7303F5F3-8DE3-4909-BDAA-89FF6FD2ACB4}" name="Colonne1661"/>
    <tableColumn id="1670" xr3:uid="{7884A711-E447-4CA2-93EA-4DDEF0D10C07}" name="Colonne1662"/>
    <tableColumn id="1671" xr3:uid="{2710A6C2-3B0B-4AF5-9438-CB6ED96EFD3D}" name="Colonne1663"/>
    <tableColumn id="1672" xr3:uid="{9AFAF9DA-56F7-44DF-BC9F-D98F27352B97}" name="Colonne1664"/>
    <tableColumn id="1673" xr3:uid="{8C1E11DA-EE9B-4787-A320-533E685F6385}" name="Colonne1665"/>
    <tableColumn id="1674" xr3:uid="{5A175201-6FD4-4495-87DA-5FC300E0181A}" name="Colonne1666"/>
    <tableColumn id="1675" xr3:uid="{04C0AC0A-AE0E-4FFC-A829-E53F173C1899}" name="Colonne1667"/>
    <tableColumn id="1676" xr3:uid="{216FB2C6-3404-4900-B650-94269D41898A}" name="Colonne1668"/>
    <tableColumn id="1677" xr3:uid="{2B89A66E-996F-4EE2-83B2-CCAE99BB2BCA}" name="Colonne1669"/>
    <tableColumn id="1678" xr3:uid="{8E8968A4-E822-4CF0-92DE-84477B8E6262}" name="Colonne1670"/>
    <tableColumn id="1679" xr3:uid="{25DDEC43-FA68-477D-92BA-DA578BE7A2D6}" name="Colonne1671"/>
    <tableColumn id="1680" xr3:uid="{B2B7C08E-EF80-446F-950F-780715B2C3D1}" name="Colonne1672"/>
    <tableColumn id="1681" xr3:uid="{A42B5C68-9A51-4B6C-8755-9C90B408033D}" name="Colonne1673"/>
    <tableColumn id="1682" xr3:uid="{44B1F9E6-17CB-4A1E-B7F4-AAC60C68454A}" name="Colonne1674"/>
    <tableColumn id="1683" xr3:uid="{4DAC93D6-98C4-4F3F-B2FD-77E32B086032}" name="Colonne1675"/>
    <tableColumn id="1684" xr3:uid="{D39322C2-87E6-4791-A4C1-BAF5754AE99F}" name="Colonne1676"/>
    <tableColumn id="1685" xr3:uid="{3102AC37-31AB-4E7E-B789-60D945CC4EF8}" name="Colonne1677"/>
    <tableColumn id="1686" xr3:uid="{86BEB8C8-41CF-407D-8A9C-3746757B623D}" name="Colonne1678"/>
    <tableColumn id="1687" xr3:uid="{5CFE881F-CFAD-4080-9D39-8AA462323277}" name="Colonne1679"/>
    <tableColumn id="1688" xr3:uid="{01A37A24-7608-4173-85D8-D7DE96C317DE}" name="Colonne1680"/>
    <tableColumn id="1689" xr3:uid="{8AA4D0AB-4001-491E-BF94-FEEC0DFF14F7}" name="Colonne1681"/>
    <tableColumn id="1690" xr3:uid="{966B81E3-F5FA-4D78-9932-77BE8D756DC7}" name="Colonne1682"/>
    <tableColumn id="1691" xr3:uid="{9AECC7AC-577F-4BBC-B8FE-1806FA47B84F}" name="Colonne1683"/>
    <tableColumn id="1692" xr3:uid="{46B7EB42-AB43-400A-A770-CE714B114BE7}" name="Colonne1684"/>
    <tableColumn id="1693" xr3:uid="{6EC4B2BD-042D-426D-87A7-21CB4BB74661}" name="Colonne1685"/>
    <tableColumn id="1694" xr3:uid="{328C7C1D-37A4-4C0A-836D-DACAC0AF16DC}" name="Colonne1686"/>
    <tableColumn id="1695" xr3:uid="{3EBA5F38-CBEA-44AF-BF77-A44B0CFE9007}" name="Colonne1687"/>
    <tableColumn id="1696" xr3:uid="{64B429CA-0B19-442F-A7F1-91AF0041D0DE}" name="Colonne1688"/>
    <tableColumn id="1697" xr3:uid="{A5A48DC2-73FF-43D7-B8F1-1CA9F086AE02}" name="Colonne1689"/>
    <tableColumn id="1698" xr3:uid="{AAD16916-E9E2-47F2-B81E-EFA361735BE1}" name="Colonne1690"/>
    <tableColumn id="1699" xr3:uid="{7F5AC4C8-E916-41E8-AD67-153D3E240F3D}" name="Colonne1691"/>
    <tableColumn id="1700" xr3:uid="{372363E2-FD5B-4AE3-A387-BEE3A775F875}" name="Colonne1692"/>
    <tableColumn id="1701" xr3:uid="{7A1E0696-331E-457A-A574-7A1BCD781D91}" name="Colonne1693"/>
    <tableColumn id="1702" xr3:uid="{3A60C2C2-46B1-4016-B1CD-EAEF1075BCBE}" name="Colonne1694"/>
    <tableColumn id="1703" xr3:uid="{54CDE7B2-7E04-4DC4-BF20-D05DAE5F9507}" name="Colonne1695"/>
    <tableColumn id="1704" xr3:uid="{948E7091-6EFE-4F18-8EB4-B686108E9830}" name="Colonne1696"/>
    <tableColumn id="1705" xr3:uid="{B568CB4A-9D1F-45E3-936B-B23255411828}" name="Colonne1697"/>
    <tableColumn id="1706" xr3:uid="{49E0D856-3557-45A4-90F3-89F23D24BE1F}" name="Colonne1698"/>
    <tableColumn id="1707" xr3:uid="{5D74F240-5CF1-40E1-AB5B-EB813B12CF6A}" name="Colonne1699"/>
    <tableColumn id="1708" xr3:uid="{0E746B74-F6B1-4D99-AFCC-49F9A9759FCA}" name="Colonne1700"/>
    <tableColumn id="1709" xr3:uid="{C2C2900B-36C5-4701-AE32-3BB2D41F723A}" name="Colonne1701"/>
    <tableColumn id="1710" xr3:uid="{F0D707EF-9E73-4A93-985E-DB791962EBCD}" name="Colonne1702"/>
    <tableColumn id="1711" xr3:uid="{EE918AD5-1254-4C64-92E4-1C65B743D750}" name="Colonne1703"/>
    <tableColumn id="1712" xr3:uid="{93C3079C-B9A5-4C7F-A73D-3A2C77460A1A}" name="Colonne1704"/>
    <tableColumn id="1713" xr3:uid="{9888F569-D998-4BCB-925C-73ED4759D8B6}" name="Colonne1705"/>
    <tableColumn id="1714" xr3:uid="{A330B421-8FAD-4D7D-9986-C7A65ADDF75F}" name="Colonne1706"/>
    <tableColumn id="1715" xr3:uid="{68161243-2B32-4972-8A41-4875621599E6}" name="Colonne1707"/>
    <tableColumn id="1716" xr3:uid="{0C628B97-B144-44EF-BCA8-7059D4C2CB90}" name="Colonne1708"/>
    <tableColumn id="1717" xr3:uid="{4E433488-F4A6-426A-B78A-CE4B893A69EE}" name="Colonne1709"/>
    <tableColumn id="1718" xr3:uid="{507765C2-FD5D-4D97-AEB7-29463F34F534}" name="Colonne1710"/>
    <tableColumn id="1719" xr3:uid="{148E6DC6-A819-4B70-B056-571832EBCAA3}" name="Colonne1711"/>
    <tableColumn id="1720" xr3:uid="{A1098961-EF42-453C-89B7-1B7307F1D3F2}" name="Colonne1712"/>
    <tableColumn id="1721" xr3:uid="{8690840F-2E1F-4F17-9848-F4A395BB5589}" name="Colonne1713"/>
    <tableColumn id="1722" xr3:uid="{2696B928-3404-43A2-A4BD-3AF1F2033955}" name="Colonne1714"/>
    <tableColumn id="1723" xr3:uid="{543CBA00-39A4-42C6-9056-15D0AA04BA6C}" name="Colonne1715"/>
    <tableColumn id="1724" xr3:uid="{2597AEE4-4C81-412E-AD39-2CAEBBCD6A25}" name="Colonne1716"/>
    <tableColumn id="1725" xr3:uid="{E5A4A385-3616-4DE2-B91C-153B696E9BE3}" name="Colonne1717"/>
    <tableColumn id="1726" xr3:uid="{904DF2BF-83C1-4C45-B6D2-EDAC2FEC5F4F}" name="Colonne1718"/>
    <tableColumn id="1727" xr3:uid="{46DF23EF-9FC0-4B43-A72B-E90C7CA3B8DA}" name="Colonne1719"/>
    <tableColumn id="1728" xr3:uid="{F59F514A-98E0-4392-AB33-6830B2CB9A1D}" name="Colonne1720"/>
    <tableColumn id="1729" xr3:uid="{64AC798B-366B-47E0-A8FE-67370E2F3184}" name="Colonne1721"/>
    <tableColumn id="1730" xr3:uid="{D9732FB0-B6EE-4031-9349-87FD83006C69}" name="Colonne1722"/>
    <tableColumn id="1731" xr3:uid="{23C07A8E-0598-42AC-84C9-F34042E6A1A3}" name="Colonne1723"/>
    <tableColumn id="1732" xr3:uid="{18405E21-9536-4688-8D73-E88D58F4BCC4}" name="Colonne1724"/>
    <tableColumn id="1733" xr3:uid="{5F406624-3899-4DE6-A6F0-6C4BC02ABF61}" name="Colonne1725"/>
    <tableColumn id="1734" xr3:uid="{52C7E153-1201-4349-BA51-1434D9103577}" name="Colonne1726"/>
    <tableColumn id="1735" xr3:uid="{1F681331-3D92-4D33-95B7-0222AEF81982}" name="Colonne1727"/>
    <tableColumn id="1736" xr3:uid="{7B044768-2296-40F0-9311-1CB9775D9778}" name="Colonne1728"/>
    <tableColumn id="1737" xr3:uid="{BDC3A30F-4AAA-41A1-AAF4-65331853AB8E}" name="Colonne1729"/>
    <tableColumn id="1738" xr3:uid="{2A86BFAB-9305-4ABE-B4BF-E8B633265767}" name="Colonne1730"/>
    <tableColumn id="1739" xr3:uid="{4C66A1D2-32C9-4580-BCC0-8154B1966117}" name="Colonne1731"/>
    <tableColumn id="1740" xr3:uid="{DB5DE8B6-545A-4A5E-95E0-A4FA33DDEA13}" name="Colonne1732"/>
    <tableColumn id="1741" xr3:uid="{31BEFAF6-DBCC-4271-B280-B7720DDB3A33}" name="Colonne1733"/>
    <tableColumn id="1742" xr3:uid="{D965B6B1-BEF1-48FB-9EAF-08C67A258DB1}" name="Colonne1734"/>
    <tableColumn id="1743" xr3:uid="{1ACB5E7F-BC1C-47FE-B602-087C7EAC9A16}" name="Colonne1735"/>
    <tableColumn id="1744" xr3:uid="{E25663DC-F46C-4E1F-8748-D91C828D38BF}" name="Colonne1736"/>
    <tableColumn id="1745" xr3:uid="{6E6F7397-097D-4F9B-8CA5-542B78A24941}" name="Colonne1737"/>
    <tableColumn id="1746" xr3:uid="{216C2EF9-5533-4C40-BB7C-F5E000EF1E06}" name="Colonne1738"/>
    <tableColumn id="1747" xr3:uid="{C496C9E6-D2C9-4B70-90D6-087B05B6DEBF}" name="Colonne1739"/>
    <tableColumn id="1748" xr3:uid="{0C3B505A-4A32-400A-99E3-427D80BAA571}" name="Colonne1740"/>
    <tableColumn id="1749" xr3:uid="{7917F1BC-244B-4E35-B34A-1B5EC170B0ED}" name="Colonne1741"/>
    <tableColumn id="1750" xr3:uid="{14EB3B9B-1243-4D5E-A81A-4FEB0AAEFAED}" name="Colonne1742"/>
    <tableColumn id="1751" xr3:uid="{2FD7D0FD-709E-4A81-96C0-7361612A6727}" name="Colonne1743"/>
    <tableColumn id="1752" xr3:uid="{B4D25F44-4CD8-491A-AC01-C282124A5477}" name="Colonne1744"/>
    <tableColumn id="1753" xr3:uid="{1D5D8649-7F82-479D-9D2A-045E21A12AFC}" name="Colonne1745"/>
    <tableColumn id="1754" xr3:uid="{627F4062-8EB2-440D-B88B-C91E680F8973}" name="Colonne1746"/>
    <tableColumn id="1755" xr3:uid="{8F33ECF7-0E3D-450A-B802-E058B8CE551A}" name="Colonne1747"/>
    <tableColumn id="1756" xr3:uid="{DFEDBE3A-C3C8-4FD9-A1D7-C2FADED889AC}" name="Colonne1748"/>
    <tableColumn id="1757" xr3:uid="{51FBCE9D-3308-4D90-9CD4-EA328F55D88D}" name="Colonne1749"/>
    <tableColumn id="1758" xr3:uid="{8799A4E0-CA47-4F3F-A5EC-A2CFCF1AD4D9}" name="Colonne1750"/>
    <tableColumn id="1759" xr3:uid="{882ED0F4-1671-4078-8D1E-5A8F5CCB129C}" name="Colonne1751"/>
    <tableColumn id="1760" xr3:uid="{CA4E9CB8-5981-47F9-AE1D-83016B6090FE}" name="Colonne1752"/>
    <tableColumn id="1761" xr3:uid="{BB19A849-A13C-43D2-811C-4DBFDD0482D5}" name="Colonne1753"/>
    <tableColumn id="1762" xr3:uid="{0E941ED7-94FE-41FE-A2B7-1D4B469509E8}" name="Colonne1754"/>
    <tableColumn id="1763" xr3:uid="{F97771DE-5203-41DB-B812-38F961622C7F}" name="Colonne1755"/>
    <tableColumn id="1764" xr3:uid="{92FD853F-F6D6-415D-A8F4-A38B813755E8}" name="Colonne1756"/>
    <tableColumn id="1765" xr3:uid="{828E0C91-5C49-482A-9106-A3DC7F8B7332}" name="Colonne1757"/>
    <tableColumn id="1766" xr3:uid="{DE9815B8-8BC5-4E95-AE52-F67B19ADC8E9}" name="Colonne1758"/>
    <tableColumn id="1767" xr3:uid="{A7B99708-1E14-4A74-8F3B-5A32867D0BCE}" name="Colonne1759"/>
    <tableColumn id="1768" xr3:uid="{FD8E6A52-B4F3-4F06-9705-FD7B72B81CB4}" name="Colonne1760"/>
    <tableColumn id="1769" xr3:uid="{94B5AE25-8DA3-4133-93B2-6B7A1EA2D0B1}" name="Colonne1761"/>
    <tableColumn id="1770" xr3:uid="{AB9197AE-5AA4-4AE2-97DE-68EDDFA5CD02}" name="Colonne1762"/>
    <tableColumn id="1771" xr3:uid="{27A08DD7-5698-4E32-B646-410B33BDEDD0}" name="Colonne1763"/>
    <tableColumn id="1772" xr3:uid="{5189BB7B-0418-4CC6-A90C-E1F175139B78}" name="Colonne1764"/>
    <tableColumn id="1773" xr3:uid="{34E57F75-28DA-40C9-8401-5872057847CE}" name="Colonne1765"/>
    <tableColumn id="1774" xr3:uid="{03595DB7-8CF7-4461-96AB-CABD12B581CE}" name="Colonne1766"/>
    <tableColumn id="1775" xr3:uid="{CAF41B18-98D7-4E05-B3DB-C41914467998}" name="Colonne1767"/>
    <tableColumn id="1776" xr3:uid="{B4EB2DBD-D741-4635-9A6B-3F3548C6B2DC}" name="Colonne1768"/>
    <tableColumn id="1777" xr3:uid="{8B4E2E8A-15EA-4BDC-8326-44EF1115C948}" name="Colonne1769"/>
    <tableColumn id="1778" xr3:uid="{5DF2D442-C133-48B2-A490-D6959815CED4}" name="Colonne1770"/>
    <tableColumn id="1779" xr3:uid="{48AD77D6-2C21-4DA8-90C8-15D9DBB42E6D}" name="Colonne1771"/>
    <tableColumn id="1780" xr3:uid="{C9227270-BFDD-46BB-80DF-EBF34D95D3B4}" name="Colonne1772"/>
    <tableColumn id="1781" xr3:uid="{9B955ED4-8277-4ECC-96DD-14E1AC6D4032}" name="Colonne1773"/>
    <tableColumn id="1782" xr3:uid="{1F5B68EE-D12C-417D-9CAC-8182240B2129}" name="Colonne1774"/>
    <tableColumn id="1783" xr3:uid="{2EDD6A26-B9F8-4FEE-97B1-E3A29790A99B}" name="Colonne1775"/>
    <tableColumn id="1784" xr3:uid="{5D3F6EFC-E399-46B1-8182-537D82C9F392}" name="Colonne1776"/>
    <tableColumn id="1785" xr3:uid="{EF8CF1E3-1863-4619-A3A5-9FECDB21A663}" name="Colonne1777"/>
    <tableColumn id="1786" xr3:uid="{B7613EE8-C607-4FD6-BDB6-BBA412517C1C}" name="Colonne1778"/>
    <tableColumn id="1787" xr3:uid="{2B449515-952C-420C-B5BA-D6AF52287CBF}" name="Colonne1779"/>
    <tableColumn id="1788" xr3:uid="{41BA9E3A-111D-4530-95DC-1B24CAD6D3D6}" name="Colonne1780"/>
    <tableColumn id="1789" xr3:uid="{33149B95-807F-4DC2-A8EE-38004CB0E659}" name="Colonne1781"/>
    <tableColumn id="1790" xr3:uid="{C4A5BEB6-4C58-4494-94B9-5013D4F7D518}" name="Colonne1782"/>
    <tableColumn id="1791" xr3:uid="{4320FC27-E58F-4721-8E6A-5BF598B27C58}" name="Colonne1783"/>
    <tableColumn id="1792" xr3:uid="{FC2CF4D3-9321-44DF-B5C5-0FF189730680}" name="Colonne1784"/>
    <tableColumn id="1793" xr3:uid="{2FCA3663-3181-466C-B6BA-D5F6D6FB00ED}" name="Colonne1785"/>
    <tableColumn id="1794" xr3:uid="{9A8F7C6B-E5D6-4F3A-979D-137B1BAA6669}" name="Colonne1786"/>
    <tableColumn id="1795" xr3:uid="{AB49F8B8-3894-415F-A62C-231ACD52481B}" name="Colonne1787"/>
    <tableColumn id="1796" xr3:uid="{51B74770-59CB-4FA9-A983-23C12AFA1070}" name="Colonne1788"/>
    <tableColumn id="1797" xr3:uid="{17AE2689-14E0-45DE-9612-D1A834DBC01D}" name="Colonne1789"/>
    <tableColumn id="1798" xr3:uid="{91458A5E-C8D6-4D37-97FB-C14BD24A66FE}" name="Colonne1790"/>
    <tableColumn id="1799" xr3:uid="{BEC37AA4-2BD6-4163-805F-A4630310CE1B}" name="Colonne1791"/>
    <tableColumn id="1800" xr3:uid="{A422F221-2CFC-498D-A6B4-2A2339CF5A57}" name="Colonne1792"/>
    <tableColumn id="1801" xr3:uid="{E639F98D-FC81-4A11-9139-9FFF59F8FE54}" name="Colonne1793"/>
    <tableColumn id="1802" xr3:uid="{7C4152A4-C0B4-46D9-834F-299FD5D30FE7}" name="Colonne1794"/>
    <tableColumn id="1803" xr3:uid="{801FE662-5449-42D0-911D-CDBFC9389784}" name="Colonne1795"/>
    <tableColumn id="1804" xr3:uid="{C4FD380D-A3FE-4C86-AF86-978501E5BC3E}" name="Colonne1796"/>
    <tableColumn id="1805" xr3:uid="{29F04C5D-8DA3-41B5-B28C-7A04EEB26AC0}" name="Colonne1797"/>
    <tableColumn id="1806" xr3:uid="{53152B59-366A-4545-AE03-14D50DBC4D5C}" name="Colonne1798"/>
    <tableColumn id="1807" xr3:uid="{896C5A36-2C93-459E-8816-DC0C4CDE0920}" name="Colonne1799"/>
    <tableColumn id="1808" xr3:uid="{D22BDFCE-C329-41B9-B784-92E0C2ED65E6}" name="Colonne1800"/>
    <tableColumn id="1809" xr3:uid="{13DBC1DC-3F49-4E94-B98F-B7695707C5D4}" name="Colonne1801"/>
    <tableColumn id="1810" xr3:uid="{8F397127-291D-46DA-921D-65C09998AC33}" name="Colonne1802"/>
    <tableColumn id="1811" xr3:uid="{E62B39A8-3AD9-4F3C-92B6-EE038172C24C}" name="Colonne1803"/>
    <tableColumn id="1812" xr3:uid="{49F7D079-DFD3-44F0-B11E-05E2532A5CFF}" name="Colonne1804"/>
    <tableColumn id="1813" xr3:uid="{A0852053-E2D1-47F3-88B8-E881366BB765}" name="Colonne1805"/>
    <tableColumn id="1814" xr3:uid="{AF878A19-65EC-4DD3-A8BC-EC9D3F4823C1}" name="Colonne1806"/>
    <tableColumn id="1815" xr3:uid="{A9763C16-F1F2-4EB0-BDE3-2CCF6559D4C5}" name="Colonne1807"/>
    <tableColumn id="1816" xr3:uid="{56F21E76-2092-48FA-A5E4-14167922E53A}" name="Colonne1808"/>
    <tableColumn id="1817" xr3:uid="{8E0BE924-DBCB-43E6-B480-D54CD39922E4}" name="Colonne1809"/>
    <tableColumn id="1818" xr3:uid="{10F254A9-EAD6-4372-81BE-89E7BB10DCB1}" name="Colonne1810"/>
    <tableColumn id="1819" xr3:uid="{D244F104-4B25-4C54-BA5B-DEA6041B82A0}" name="Colonne1811"/>
    <tableColumn id="1820" xr3:uid="{0AA03397-00D7-4D58-8944-6A8E22BF42CD}" name="Colonne1812"/>
    <tableColumn id="1821" xr3:uid="{045D8D54-A8B2-469C-9CC2-89AF203D110A}" name="Colonne1813"/>
    <tableColumn id="1822" xr3:uid="{74028AD8-A299-4A33-9B32-98E98F3A6634}" name="Colonne1814"/>
    <tableColumn id="1823" xr3:uid="{B313981B-03AF-486D-8229-1D5268E9B8B2}" name="Colonne1815"/>
    <tableColumn id="1824" xr3:uid="{CCBA47B3-AD80-4E8C-88FC-2BD063C80ADB}" name="Colonne1816"/>
    <tableColumn id="1825" xr3:uid="{7C62AFF0-6DAF-46F1-A595-3762110106D6}" name="Colonne1817"/>
    <tableColumn id="1826" xr3:uid="{B370CBFE-1B66-4DA0-AE56-B7321D8670DD}" name="Colonne1818"/>
    <tableColumn id="1827" xr3:uid="{DF245EFE-EDA4-4774-8968-EB464D3500A2}" name="Colonne1819"/>
    <tableColumn id="1828" xr3:uid="{F0561172-E433-4A2E-BD95-3F746EB2881E}" name="Colonne1820"/>
    <tableColumn id="1829" xr3:uid="{E339E614-7A70-4A6F-A15B-009BC5DA67B7}" name="Colonne1821"/>
    <tableColumn id="1830" xr3:uid="{D4BE6CC7-992E-4DE3-813B-4B2D98C58A02}" name="Colonne1822"/>
    <tableColumn id="1831" xr3:uid="{D4C1ABB8-4231-4463-BF32-72D143A70CA4}" name="Colonne1823"/>
    <tableColumn id="1832" xr3:uid="{F5B541CB-8A00-47DB-9E51-B284C913A5A8}" name="Colonne1824"/>
    <tableColumn id="1833" xr3:uid="{66E07D21-CF32-4F72-8E83-4A5418087F18}" name="Colonne1825"/>
    <tableColumn id="1834" xr3:uid="{D11B1449-28A7-4384-A69B-09833A199ED6}" name="Colonne1826"/>
    <tableColumn id="1835" xr3:uid="{0440145B-ED72-49F8-9EA1-270EA174CFCD}" name="Colonne1827"/>
    <tableColumn id="1836" xr3:uid="{1CEA8E2F-B50B-4206-B6E5-DF38FA4BE721}" name="Colonne1828"/>
    <tableColumn id="1837" xr3:uid="{25FA9DBF-E0C4-4B25-A470-08038E1F222A}" name="Colonne1829"/>
    <tableColumn id="1838" xr3:uid="{A4252B0C-F482-4758-98F4-2FEDC1893967}" name="Colonne1830"/>
    <tableColumn id="1839" xr3:uid="{AD919609-2CAA-43A9-896F-7153AEFAED3A}" name="Colonne1831"/>
    <tableColumn id="1840" xr3:uid="{27F79D8F-7A03-4D53-9A2F-F6F35643CCFB}" name="Colonne1832"/>
    <tableColumn id="1841" xr3:uid="{F7A6BD98-3BF2-4918-9301-56369D120BF1}" name="Colonne1833"/>
    <tableColumn id="1842" xr3:uid="{2E7BF4B3-C2AF-41B8-B2B4-CBC75EF4599E}" name="Colonne1834"/>
    <tableColumn id="1843" xr3:uid="{A53D1C75-1019-4B3E-A0FA-D9351AA18111}" name="Colonne1835"/>
    <tableColumn id="1844" xr3:uid="{2D43D74D-9A20-4196-882A-134CF971ECAC}" name="Colonne1836"/>
    <tableColumn id="1845" xr3:uid="{8652419D-7BCB-47AF-8190-A9E5321BA247}" name="Colonne1837"/>
    <tableColumn id="1846" xr3:uid="{D19E20FD-CCEF-4BEF-A9F6-470802EFF0B7}" name="Colonne1838"/>
    <tableColumn id="1847" xr3:uid="{DABA7A70-B33D-47C1-ABE5-6F145FBBDEC4}" name="Colonne1839"/>
    <tableColumn id="1848" xr3:uid="{025AAC08-D5F1-4DF4-BB4B-61E738212610}" name="Colonne1840"/>
    <tableColumn id="1849" xr3:uid="{AA40A37B-4BA2-424E-AD09-BCEB15FC681B}" name="Colonne1841"/>
    <tableColumn id="1850" xr3:uid="{8AB12C46-FF15-4A8D-A7AE-D5EEE1C698DC}" name="Colonne1842"/>
    <tableColumn id="1851" xr3:uid="{E8CE13AC-3F52-408D-B98C-327B822E85E5}" name="Colonne1843"/>
    <tableColumn id="1852" xr3:uid="{65C2BE50-E7DF-42B3-B8DB-801CA023A290}" name="Colonne1844"/>
    <tableColumn id="1853" xr3:uid="{1999EF45-EC21-4591-8B65-004F7293A4A5}" name="Colonne1845"/>
    <tableColumn id="1854" xr3:uid="{C758D013-268F-43FA-A226-3A686477A2A5}" name="Colonne1846"/>
    <tableColumn id="1855" xr3:uid="{B36040CE-CA30-4CA4-BCB5-357444A4EF48}" name="Colonne1847"/>
    <tableColumn id="1856" xr3:uid="{E308B80E-086D-4215-A12E-DA8B912D5638}" name="Colonne1848"/>
    <tableColumn id="1857" xr3:uid="{8AC69349-57B7-4B68-8398-5CC25EB1AC32}" name="Colonne1849"/>
    <tableColumn id="1858" xr3:uid="{C1256987-2462-497F-9E73-2CB980E9ECA8}" name="Colonne1850"/>
    <tableColumn id="1859" xr3:uid="{92A1D6B7-0B60-40DD-9A3C-3B62DD85B8F0}" name="Colonne1851"/>
    <tableColumn id="1860" xr3:uid="{99CF282A-A8AD-459E-BF0A-12E7BA862E95}" name="Colonne1852"/>
    <tableColumn id="1861" xr3:uid="{D3FC80B6-E74A-4B1F-A8DA-F7D699866F93}" name="Colonne1853"/>
    <tableColumn id="1862" xr3:uid="{2C382DB8-E6F3-4D1B-9774-40B21412C695}" name="Colonne1854"/>
    <tableColumn id="1863" xr3:uid="{75E9D718-A141-4687-ADC7-54B1FD160A23}" name="Colonne1855"/>
    <tableColumn id="1864" xr3:uid="{3F47A503-B5A7-4A49-9182-BF13752F52BA}" name="Colonne1856"/>
    <tableColumn id="1865" xr3:uid="{8F11446C-166B-46D7-8A46-D621915F556E}" name="Colonne1857"/>
    <tableColumn id="1866" xr3:uid="{B208A958-1986-483F-9840-CFC56CAA42A9}" name="Colonne1858"/>
    <tableColumn id="1867" xr3:uid="{5A1D5AF5-8D7F-4689-9BF8-D262BBA90BA0}" name="Colonne1859"/>
    <tableColumn id="1868" xr3:uid="{9E37A371-8535-4154-9453-6F5E255DF4B4}" name="Colonne1860"/>
    <tableColumn id="1869" xr3:uid="{AD4440E9-80ED-41A3-9F4D-E30DC0F28E32}" name="Colonne1861"/>
    <tableColumn id="1870" xr3:uid="{DA19D126-F667-4811-A0AE-6464FEE400FC}" name="Colonne1862"/>
    <tableColumn id="1871" xr3:uid="{FA90DC99-4818-45F5-8ABB-0201215BDE15}" name="Colonne1863"/>
    <tableColumn id="1872" xr3:uid="{3C481C92-4F15-46E3-B9B4-1B68402B0D77}" name="Colonne1864"/>
    <tableColumn id="1873" xr3:uid="{F980DA00-F79C-4408-929E-B4C6717509A2}" name="Colonne1865"/>
    <tableColumn id="1874" xr3:uid="{1278392C-881C-4B05-BE4E-7F9A62CE344B}" name="Colonne1866"/>
    <tableColumn id="1875" xr3:uid="{B8457D37-3CF8-4836-A95B-9BC728B1F890}" name="Colonne1867"/>
    <tableColumn id="1876" xr3:uid="{0B6D7CBD-3DB0-43B3-B79E-8F336BE9778A}" name="Colonne1868"/>
    <tableColumn id="1877" xr3:uid="{720F0785-3F96-4B5C-B232-986E60F47D9F}" name="Colonne1869"/>
    <tableColumn id="1878" xr3:uid="{C0E5042A-6D4B-4B49-8624-589B0AB364E1}" name="Colonne1870"/>
    <tableColumn id="1879" xr3:uid="{69150A81-35EC-42E8-8E7B-B38036DC7EA3}" name="Colonne1871"/>
    <tableColumn id="1880" xr3:uid="{6D43FC52-A7FE-47AD-9A27-AB52D3F881A1}" name="Colonne1872"/>
    <tableColumn id="1881" xr3:uid="{5D2039ED-4A73-4D5B-B631-1B8A149DF60C}" name="Colonne1873"/>
    <tableColumn id="1882" xr3:uid="{9843F7D9-7C82-4F9C-93CD-3185F50E7089}" name="Colonne1874"/>
    <tableColumn id="1883" xr3:uid="{535AC241-22E3-4F10-AD1C-55D99A943875}" name="Colonne1875"/>
    <tableColumn id="1884" xr3:uid="{4CC34DEE-48F1-4D64-803B-C02BED4B3B3C}" name="Colonne1876"/>
    <tableColumn id="1885" xr3:uid="{41A2D299-E8AA-4E47-9BDA-EE6A5A8C5C8B}" name="Colonne1877"/>
    <tableColumn id="1886" xr3:uid="{18ABC826-06B0-4C3C-8301-F98F15D7D6B2}" name="Colonne1878"/>
    <tableColumn id="1887" xr3:uid="{F21B1776-F436-4A9A-B3D8-8AEEC06595E8}" name="Colonne1879"/>
    <tableColumn id="1888" xr3:uid="{7B4F0865-D5D0-4D27-9B31-D2D533733691}" name="Colonne1880"/>
    <tableColumn id="1889" xr3:uid="{5CEE816C-07BF-41EA-84DC-081B70EB6398}" name="Colonne1881"/>
    <tableColumn id="1890" xr3:uid="{1FA8CF40-D575-424F-A978-A0ECD161D8F2}" name="Colonne1882"/>
    <tableColumn id="1891" xr3:uid="{FCE7708D-6CF1-4BFF-8573-A61461E170D5}" name="Colonne1883"/>
    <tableColumn id="1892" xr3:uid="{01DC0209-020B-4E48-9D55-0310B24064D3}" name="Colonne1884"/>
    <tableColumn id="1893" xr3:uid="{45F09CD0-DBD0-4517-94C6-E8C2C987DEA7}" name="Colonne1885"/>
    <tableColumn id="1894" xr3:uid="{C50E834C-881C-45E7-AC8F-FA5251D14A21}" name="Colonne1886"/>
    <tableColumn id="1895" xr3:uid="{BF9896EB-9902-4C73-A3C4-D966D96223FB}" name="Colonne1887"/>
    <tableColumn id="1896" xr3:uid="{355351F4-AAE0-490B-87CD-8EA6E582E85A}" name="Colonne1888"/>
    <tableColumn id="1897" xr3:uid="{387AFA17-9889-4C06-9335-4E3FCF8314F6}" name="Colonne1889"/>
    <tableColumn id="1898" xr3:uid="{FFD8A98F-D4F7-4F03-8806-694CFB97B5F0}" name="Colonne1890"/>
    <tableColumn id="1899" xr3:uid="{8BC55F74-4F85-4FD2-97B4-9ECA95566A30}" name="Colonne1891"/>
    <tableColumn id="1900" xr3:uid="{92E6B6D7-41C5-40CB-AA85-3FB8D10CF8F6}" name="Colonne1892"/>
    <tableColumn id="1901" xr3:uid="{557B34EE-072E-4CD1-8980-EA6C5BC81789}" name="Colonne1893"/>
    <tableColumn id="1902" xr3:uid="{35F86341-C77F-4738-8F66-ED672C002303}" name="Colonne1894"/>
    <tableColumn id="1903" xr3:uid="{C6ED1B8F-D48D-4377-ADCD-472A275E1AEE}" name="Colonne1895"/>
    <tableColumn id="1904" xr3:uid="{76DFEB8B-9BB3-467E-97BE-0C42D4DE933D}" name="Colonne1896"/>
    <tableColumn id="1905" xr3:uid="{A6107CB3-19EA-4D61-994A-7285A38C0D41}" name="Colonne1897"/>
    <tableColumn id="1906" xr3:uid="{6179517A-4B7A-4905-8C11-C8E10B3D0B6E}" name="Colonne1898"/>
    <tableColumn id="1907" xr3:uid="{A9F031E6-32E3-40C5-9883-CB70996B89E8}" name="Colonne1899"/>
    <tableColumn id="1908" xr3:uid="{84B63269-F2CD-455D-AF95-3BFAA4A20F94}" name="Colonne1900"/>
    <tableColumn id="1909" xr3:uid="{E4A9E174-3F45-4E6A-A8B5-20CF7A36E069}" name="Colonne1901"/>
    <tableColumn id="1910" xr3:uid="{03ACC8EB-8DFC-48D7-B5A8-513AE7EE43D3}" name="Colonne1902"/>
    <tableColumn id="1911" xr3:uid="{5CE3D128-A895-42DA-BEA6-6B29B1935E70}" name="Colonne1903"/>
    <tableColumn id="1912" xr3:uid="{A8E88201-4E6F-4D77-9F5B-6FAA2D009B8D}" name="Colonne1904"/>
    <tableColumn id="1913" xr3:uid="{4E1B9C0D-E045-4321-8419-52BD3A4599CB}" name="Colonne1905"/>
    <tableColumn id="1914" xr3:uid="{935A8905-A917-48E4-A5C9-F073F6212E19}" name="Colonne1906"/>
    <tableColumn id="1915" xr3:uid="{0C2588AF-EA39-473A-B961-3AFF15D89057}" name="Colonne1907"/>
    <tableColumn id="1916" xr3:uid="{E31E51FA-7357-4AD4-931D-A7741E3592E5}" name="Colonne1908"/>
    <tableColumn id="1917" xr3:uid="{94005DA0-A8C1-4C92-8DA2-6C15E3A85E2C}" name="Colonne1909"/>
    <tableColumn id="1918" xr3:uid="{2F51FDD6-9C29-4FA8-B0A0-7EA9F4F8CF33}" name="Colonne1910"/>
    <tableColumn id="1919" xr3:uid="{B36BC0EE-0EF5-4805-8457-D34D58BDB9FF}" name="Colonne1911"/>
    <tableColumn id="1920" xr3:uid="{088AF204-6B14-45A1-8FE6-94585DA43B32}" name="Colonne1912"/>
    <tableColumn id="1921" xr3:uid="{CE8ADDC6-A87A-4651-B6CB-EB903A922AE1}" name="Colonne1913"/>
    <tableColumn id="1922" xr3:uid="{D00016BC-5C6B-4AD6-B54D-EA1EF1AA8D7D}" name="Colonne1914"/>
    <tableColumn id="1923" xr3:uid="{4E3051CA-880F-4EF5-83FD-DFF6705CB1AF}" name="Colonne1915"/>
    <tableColumn id="1924" xr3:uid="{40E73CA8-2B22-41DB-A016-2CA1924963CD}" name="Colonne1916"/>
    <tableColumn id="1925" xr3:uid="{D280252F-C504-424D-B234-23BE3417ECEC}" name="Colonne1917"/>
    <tableColumn id="1926" xr3:uid="{01426D62-18A7-432C-8C31-185ACB3A8340}" name="Colonne1918"/>
    <tableColumn id="1927" xr3:uid="{8FE2141A-BFD4-40BD-89F5-4E60233792FE}" name="Colonne1919"/>
    <tableColumn id="1928" xr3:uid="{35BD79A9-C080-4270-B32D-44D92314E92A}" name="Colonne1920"/>
    <tableColumn id="1929" xr3:uid="{4D07F4A3-8F94-42DC-A5EF-EFA0E448FB31}" name="Colonne1921"/>
    <tableColumn id="1930" xr3:uid="{E51D7147-4B23-4366-96AC-D010FA24A6E6}" name="Colonne1922"/>
    <tableColumn id="1931" xr3:uid="{374ECEAB-98EF-45C4-9E08-83657504035E}" name="Colonne1923"/>
    <tableColumn id="1932" xr3:uid="{53B41A21-6693-4059-97B5-9F61D6C9A3C2}" name="Colonne1924"/>
    <tableColumn id="1933" xr3:uid="{C5BD3363-3E39-47E7-A8C1-2C4601F77963}" name="Colonne1925"/>
    <tableColumn id="1934" xr3:uid="{2C5723E6-0F7F-4CB8-AFBB-FBC8E25A7298}" name="Colonne1926"/>
    <tableColumn id="1935" xr3:uid="{820FB4A1-092F-40B8-B3E3-F66289B264A9}" name="Colonne1927"/>
    <tableColumn id="1936" xr3:uid="{E10A6CF6-14B0-4FAE-87DD-D70CE4A53B42}" name="Colonne1928"/>
    <tableColumn id="1937" xr3:uid="{24094387-289E-43D6-BBCF-0250778FE4B2}" name="Colonne1929"/>
    <tableColumn id="1938" xr3:uid="{EA739363-D476-4534-AAA7-B6C4DEAD012D}" name="Colonne1930"/>
    <tableColumn id="1939" xr3:uid="{59409028-0211-4845-BB9F-E04D6045EBCD}" name="Colonne1931"/>
    <tableColumn id="1940" xr3:uid="{86395ABB-6C7A-4C4C-9847-92F6491C661E}" name="Colonne1932"/>
    <tableColumn id="1941" xr3:uid="{9EC0347D-45C1-45C6-80A4-F2B3A9123FBB}" name="Colonne1933"/>
    <tableColumn id="1942" xr3:uid="{F5FDA6C8-46EE-4F50-91E0-A06F35FAAF27}" name="Colonne1934"/>
    <tableColumn id="1943" xr3:uid="{0468162B-867F-4E42-947F-6128901D49F9}" name="Colonne1935"/>
    <tableColumn id="1944" xr3:uid="{7BA324C9-AB9E-46EC-9113-B801AFFF1E16}" name="Colonne1936"/>
    <tableColumn id="1945" xr3:uid="{FF186276-8E45-47E4-B4B2-F94AF7E30F9A}" name="Colonne1937"/>
    <tableColumn id="1946" xr3:uid="{A5CB3879-72B7-49C1-85C3-B5045C73024F}" name="Colonne1938"/>
    <tableColumn id="1947" xr3:uid="{9C981B7A-90CB-4640-A6F5-0F4017ECA08E}" name="Colonne1939"/>
    <tableColumn id="1948" xr3:uid="{7F86183A-F497-4A27-B541-5F7450658705}" name="Colonne1940"/>
    <tableColumn id="1949" xr3:uid="{A580A1B4-CB51-4E16-9A57-5F05A616B146}" name="Colonne1941"/>
    <tableColumn id="1950" xr3:uid="{4FB8BFFA-3C3E-42D6-83BF-9B759CB8598D}" name="Colonne1942"/>
    <tableColumn id="1951" xr3:uid="{537FF335-1815-4304-A7F1-2EDF09E62E4F}" name="Colonne1943"/>
    <tableColumn id="1952" xr3:uid="{A9FFB3A7-EFA2-46E6-AAF9-69E379B648D5}" name="Colonne1944"/>
    <tableColumn id="1953" xr3:uid="{7FB6E1E6-DF90-430E-81D3-82DC0CAA245B}" name="Colonne1945"/>
    <tableColumn id="1954" xr3:uid="{76A84BF4-97F0-4363-91EA-0C654261F09A}" name="Colonne1946"/>
    <tableColumn id="1955" xr3:uid="{1E12A19D-4134-426D-BC4E-3EF82C5DE4EB}" name="Colonne1947"/>
    <tableColumn id="1956" xr3:uid="{787F9C7C-286D-4BD6-8687-A7F6EF30EDA5}" name="Colonne1948"/>
    <tableColumn id="1957" xr3:uid="{E769EAE9-128C-4E1E-9631-35810126F9B4}" name="Colonne1949"/>
    <tableColumn id="1958" xr3:uid="{1817A2D2-FF4B-4F7F-9D5E-D99BE6A6045D}" name="Colonne1950"/>
    <tableColumn id="1959" xr3:uid="{54E78B42-D52C-4986-9406-78B5F166BFC0}" name="Colonne1951"/>
    <tableColumn id="1960" xr3:uid="{DC348A1A-B608-4270-A5D4-15E4160A2FE9}" name="Colonne1952"/>
    <tableColumn id="1961" xr3:uid="{FC2BCC08-8C3F-4885-BF4F-922DFDC7EFBD}" name="Colonne1953"/>
    <tableColumn id="1962" xr3:uid="{2BA14D64-1DF3-4CEB-B951-C6A349638F12}" name="Colonne1954"/>
    <tableColumn id="1963" xr3:uid="{FE24A919-565B-42EC-8004-61E39D9F7594}" name="Colonne1955"/>
    <tableColumn id="1964" xr3:uid="{EEE21F29-AE82-4F8A-965D-54128091A6CE}" name="Colonne1956"/>
    <tableColumn id="1965" xr3:uid="{899B6556-9131-4DD3-9370-3F41D7D98CB2}" name="Colonne1957"/>
    <tableColumn id="1966" xr3:uid="{BF0C5308-0876-4058-8CED-E43CAEA06B82}" name="Colonne1958"/>
    <tableColumn id="1967" xr3:uid="{D06847C3-9FA3-4520-8BFB-5A821F575C8A}" name="Colonne1959"/>
    <tableColumn id="1968" xr3:uid="{1F14F175-E2BE-4319-97CD-0640284FD871}" name="Colonne1960"/>
    <tableColumn id="1969" xr3:uid="{3DDBCA60-63AF-4CA8-BE85-DBFC19154675}" name="Colonne1961"/>
    <tableColumn id="1970" xr3:uid="{086AA486-FE1D-4D84-B57F-D4359A997533}" name="Colonne1962"/>
    <tableColumn id="1971" xr3:uid="{B3411FFC-AB3C-47F9-9A92-3DD170AA1DC4}" name="Colonne1963"/>
    <tableColumn id="1972" xr3:uid="{64B0C1B2-61DB-4CDC-AAA4-1DFAD22A834D}" name="Colonne1964"/>
    <tableColumn id="1973" xr3:uid="{494B6F92-34F1-442C-8606-163D5F9899E7}" name="Colonne1965"/>
    <tableColumn id="1974" xr3:uid="{CED7DFA4-68DE-4CE0-8BF6-39F9AE57A40F}" name="Colonne1966"/>
    <tableColumn id="1975" xr3:uid="{218C7C28-DF31-4C25-A467-82E45F8B9593}" name="Colonne1967"/>
    <tableColumn id="1976" xr3:uid="{19EB8F0A-44E1-4948-8202-D443096BD61F}" name="Colonne1968"/>
    <tableColumn id="1977" xr3:uid="{9488478C-D699-45F0-9A2E-AF4A17318497}" name="Colonne1969"/>
    <tableColumn id="1978" xr3:uid="{9E89F70C-5D7F-4197-B2BC-3AE54694E6B5}" name="Colonne1970"/>
    <tableColumn id="1979" xr3:uid="{8EF985CF-B27A-4023-BB2D-A6077B864B9B}" name="Colonne1971"/>
    <tableColumn id="1980" xr3:uid="{F1F51477-0EED-46FD-B0CE-F6CE5F33A908}" name="Colonne1972"/>
    <tableColumn id="1981" xr3:uid="{A6B52738-2456-4076-B010-25C78655CDC7}" name="Colonne1973"/>
    <tableColumn id="1982" xr3:uid="{F6E13635-4929-4EAA-8E33-C8D8EA04F55D}" name="Colonne1974"/>
    <tableColumn id="1983" xr3:uid="{4A613FAA-EBED-41CB-920D-FE6B72A8053B}" name="Colonne1975"/>
    <tableColumn id="1984" xr3:uid="{744C0C01-4585-4271-8815-49D732748004}" name="Colonne1976"/>
    <tableColumn id="1985" xr3:uid="{4DAB490A-5B9A-4E38-9FD7-7B01EF5295E6}" name="Colonne1977"/>
    <tableColumn id="1986" xr3:uid="{BD8D9A2D-5483-4B7C-90BF-FCF0166A24DB}" name="Colonne1978"/>
    <tableColumn id="1987" xr3:uid="{93F0FF30-0A9C-4FCB-A328-77DF39951F88}" name="Colonne1979"/>
    <tableColumn id="1988" xr3:uid="{BCC1E20E-D5BE-40E9-8417-497CF00D064D}" name="Colonne1980"/>
    <tableColumn id="1989" xr3:uid="{19166E82-DD2A-418E-917D-B39084B82E26}" name="Colonne1981"/>
    <tableColumn id="1990" xr3:uid="{640BC5BC-2E7E-4FEE-AA58-095C82DB7B48}" name="Colonne1982"/>
    <tableColumn id="1991" xr3:uid="{F89655EB-BC6E-4E69-ADF8-30D91C4AA3AA}" name="Colonne1983"/>
    <tableColumn id="1992" xr3:uid="{91C3048D-D2E3-4294-B4CF-3D25D1B11E46}" name="Colonne1984"/>
    <tableColumn id="1993" xr3:uid="{7FAF1A78-75A4-4A2C-82A2-1EFA6BC090AF}" name="Colonne1985"/>
    <tableColumn id="1994" xr3:uid="{8DF7C204-B03B-48DF-913D-76D8352CCFB6}" name="Colonne1986"/>
    <tableColumn id="1995" xr3:uid="{EA1B8438-2E2B-4F25-AD4E-0BECE88E11E8}" name="Colonne1987"/>
    <tableColumn id="1996" xr3:uid="{CB679CF1-CF68-46FE-9810-416FB4968C2B}" name="Colonne1988"/>
    <tableColumn id="1997" xr3:uid="{ECBFB4FC-4F62-42E0-9F17-9493EF318A24}" name="Colonne1989"/>
    <tableColumn id="1998" xr3:uid="{AD14D395-7CF7-4F37-A424-F09BE5DF81FC}" name="Colonne1990"/>
    <tableColumn id="1999" xr3:uid="{29D68E33-FFB9-4C45-9C47-01FD442442C6}" name="Colonne1991"/>
    <tableColumn id="2000" xr3:uid="{51FF3C23-8F66-4545-8FA4-CC475F93B591}" name="Colonne1992"/>
    <tableColumn id="2001" xr3:uid="{BC09CD93-324D-4FF1-A8F6-49FEA267FFBF}" name="Colonne1993"/>
    <tableColumn id="2002" xr3:uid="{8FBD5F3F-0007-4D50-BFFB-67B84BA9E987}" name="Colonne1994"/>
    <tableColumn id="2003" xr3:uid="{6B972923-FC36-4D17-9B7F-98F2A592FFC5}" name="Colonne1995"/>
    <tableColumn id="2004" xr3:uid="{A2115C54-4FD4-4AB6-B14B-248897DF7076}" name="Colonne1996"/>
    <tableColumn id="2005" xr3:uid="{1CF2C9DB-0879-48EF-80EF-FFEE58807DC9}" name="Colonne1997"/>
    <tableColumn id="2006" xr3:uid="{1E481499-4D4F-46AE-B149-8EE01DA37B6E}" name="Colonne1998"/>
    <tableColumn id="2007" xr3:uid="{C5FD018F-2E66-4B9D-9D99-DBD422E53DE9}" name="Colonne1999"/>
    <tableColumn id="2008" xr3:uid="{B9128AC5-0723-40D8-8E6E-477A8EAB1374}" name="Colonne2000"/>
    <tableColumn id="2009" xr3:uid="{637F8A8E-DD1D-41E9-9B19-C48E7027C109}" name="Colonne2001"/>
    <tableColumn id="2010" xr3:uid="{2BB1117A-E655-45AB-A746-F0A521FCCD5A}" name="Colonne2002"/>
    <tableColumn id="2011" xr3:uid="{9D6CB4BD-A9E7-49CC-A014-6A3236BB3696}" name="Colonne2003"/>
    <tableColumn id="2012" xr3:uid="{F0903165-4632-41DA-AE3F-0AC39DB804D7}" name="Colonne2004"/>
    <tableColumn id="2013" xr3:uid="{8DB382B0-3F24-49FD-9C6D-FADADA04E57F}" name="Colonne2005"/>
    <tableColumn id="2014" xr3:uid="{27A4C5B3-D593-478E-B3E2-3D913BF6AC56}" name="Colonne2006"/>
    <tableColumn id="2015" xr3:uid="{54250940-0C49-42BA-A5BD-BD56B1532C1C}" name="Colonne2007"/>
    <tableColumn id="2016" xr3:uid="{CC05AA6A-9305-468B-B379-F4FA7D292DDC}" name="Colonne2008"/>
    <tableColumn id="2017" xr3:uid="{7AD3FE7A-B4FD-44E0-9A7A-D654D6770181}" name="Colonne2009"/>
    <tableColumn id="2018" xr3:uid="{E4C4F7FB-1847-462E-A487-4F3D54342194}" name="Colonne2010"/>
    <tableColumn id="2019" xr3:uid="{DA6A1325-C38F-43F8-A483-9B5C87DB14FF}" name="Colonne2011"/>
    <tableColumn id="2020" xr3:uid="{90D61F25-5270-4BF0-9F73-28C1C2DE22DC}" name="Colonne2012"/>
    <tableColumn id="2021" xr3:uid="{2151F696-A487-4E4D-BA4F-73709EEB2181}" name="Colonne2013"/>
    <tableColumn id="2022" xr3:uid="{009BDD4F-D612-46C2-BDB5-B1CD858A1775}" name="Colonne2014"/>
    <tableColumn id="2023" xr3:uid="{7E430BBE-F8D5-4AF5-B81F-D1EB147F322A}" name="Colonne2015"/>
    <tableColumn id="2024" xr3:uid="{25E4F190-B245-41C2-B8C8-C6C3C5A89A07}" name="Colonne2016"/>
    <tableColumn id="2025" xr3:uid="{D39A2454-C9F3-4DD6-8A62-4DA9A8BE8CD7}" name="Colonne2017"/>
    <tableColumn id="2026" xr3:uid="{714AA399-ED4A-4CAE-AEBE-FA7A549468F5}" name="Colonne2018"/>
    <tableColumn id="2027" xr3:uid="{E1B3E163-F4C4-44FC-891E-23E04AE85C03}" name="Colonne2019"/>
    <tableColumn id="2028" xr3:uid="{8BBF8637-BB6F-4A41-9B95-2D14CF8AE0E5}" name="Colonne2020"/>
    <tableColumn id="2029" xr3:uid="{1997E490-7CC1-4E34-9D9A-2C2FFF304841}" name="Colonne2021"/>
    <tableColumn id="2030" xr3:uid="{F626AC81-734D-4CDC-9FBD-DF7687DECE15}" name="Colonne2022"/>
    <tableColumn id="2031" xr3:uid="{14CBE7D6-91F1-4E50-874F-28FA362FEF50}" name="Colonne2023"/>
    <tableColumn id="2032" xr3:uid="{BE8DA7BF-F36B-4285-B187-D7C20A2AA105}" name="Colonne2024"/>
    <tableColumn id="2033" xr3:uid="{5C813A3F-D312-4D5B-A881-488EB0726F60}" name="Colonne2025"/>
    <tableColumn id="2034" xr3:uid="{959CE13C-4783-4424-80AF-3C174A4D9462}" name="Colonne2026"/>
    <tableColumn id="2035" xr3:uid="{37ACB2A3-7A54-43E9-BCCB-DA7D2C4AA907}" name="Colonne2027"/>
    <tableColumn id="2036" xr3:uid="{FC76E245-CECE-4D68-A842-D56FB01D69AC}" name="Colonne2028"/>
    <tableColumn id="2037" xr3:uid="{3A5786F3-C7C8-4C96-86A7-FB37946D4AC5}" name="Colonne2029"/>
    <tableColumn id="2038" xr3:uid="{0C934286-91AB-4C2F-8E38-825CB8D92E91}" name="Colonne2030"/>
    <tableColumn id="2039" xr3:uid="{7800B4FB-8265-49BC-8F85-F6AA8B29E97A}" name="Colonne2031"/>
    <tableColumn id="2040" xr3:uid="{F78297A3-D6B0-464B-A231-9DDD54C9A260}" name="Colonne2032"/>
    <tableColumn id="2041" xr3:uid="{1CA1BE80-22C7-47E6-9AD8-7D2E0E9A587F}" name="Colonne2033"/>
    <tableColumn id="2042" xr3:uid="{E0E0C90D-411D-478F-8300-F1DC45CDF1DC}" name="Colonne2034"/>
    <tableColumn id="2043" xr3:uid="{33EF20B2-9C54-4439-8B78-599CD04B7C4C}" name="Colonne2035"/>
    <tableColumn id="2044" xr3:uid="{076973DA-742F-4C80-9E2F-672D4ACC0984}" name="Colonne2036"/>
    <tableColumn id="2045" xr3:uid="{9EEC6055-515A-4148-94F9-4280336985BD}" name="Colonne2037"/>
    <tableColumn id="2046" xr3:uid="{DFB14232-48BE-4076-8DBF-940A70ED598D}" name="Colonne2038"/>
    <tableColumn id="2047" xr3:uid="{0AA57A32-3792-4F3E-9F5A-3C97AF9F762B}" name="Colonne2039"/>
    <tableColumn id="2048" xr3:uid="{2A6F5C9B-7B4C-4132-A85E-2E8FEB18E494}" name="Colonne2040"/>
    <tableColumn id="2049" xr3:uid="{94C29054-7364-4214-974D-B8E80497A0D5}" name="Colonne2041"/>
    <tableColumn id="2050" xr3:uid="{DC386D93-CF9D-41BC-927B-AA3D7B4F4DCF}" name="Colonne2042"/>
    <tableColumn id="2051" xr3:uid="{622036DB-95DF-4CEB-9FDE-90BFAE6B2C10}" name="Colonne2043"/>
    <tableColumn id="2052" xr3:uid="{C029DEB4-A189-4611-AA15-5669CDEB5AB4}" name="Colonne2044"/>
    <tableColumn id="2053" xr3:uid="{585AF948-B1F8-47FD-A688-9B4E4ED3DA70}" name="Colonne2045"/>
    <tableColumn id="2054" xr3:uid="{B811BBBA-6785-4AFD-BBFD-7F922AC554B5}" name="Colonne2046"/>
    <tableColumn id="2055" xr3:uid="{333AA702-6FA4-47FF-ACC0-6D07AB71F6F7}" name="Colonne2047"/>
    <tableColumn id="2056" xr3:uid="{DDD21522-F3DC-4C05-A5B8-30D5D09D6197}" name="Colonne2048"/>
    <tableColumn id="2057" xr3:uid="{B4969016-2CB0-4AF8-8DF8-8671DFC8C53D}" name="Colonne2049"/>
    <tableColumn id="2058" xr3:uid="{173D7CE6-C0E8-450F-A88F-64668FCB3EFD}" name="Colonne2050"/>
    <tableColumn id="2059" xr3:uid="{C62FB93F-140F-4DB7-91E2-667D1495C9E7}" name="Colonne2051"/>
    <tableColumn id="2060" xr3:uid="{E68A81F5-4B47-446A-B64C-75DD3A066C49}" name="Colonne2052"/>
    <tableColumn id="2061" xr3:uid="{8E7C1AFF-A4D1-4258-8550-DA9D01D2BF24}" name="Colonne2053"/>
    <tableColumn id="2062" xr3:uid="{62F78060-936E-4CBC-998F-66D2508200B4}" name="Colonne2054"/>
    <tableColumn id="2063" xr3:uid="{2C218C11-23F1-486F-8BE2-64FCB5359A0C}" name="Colonne2055"/>
    <tableColumn id="2064" xr3:uid="{FC65A632-3A67-4AE5-8981-7A94EBA048B3}" name="Colonne2056"/>
    <tableColumn id="2065" xr3:uid="{3E3425D4-3C74-45F0-9339-AD4E6CD6C1F5}" name="Colonne2057"/>
    <tableColumn id="2066" xr3:uid="{077982D2-07D2-48CC-A3D5-6879E2C80FED}" name="Colonne2058"/>
    <tableColumn id="2067" xr3:uid="{59E2F349-624A-49D5-9AE0-D63CAAC3534F}" name="Colonne2059"/>
    <tableColumn id="2068" xr3:uid="{42BA47BD-0316-4FCC-8B74-C5627236D659}" name="Colonne2060"/>
    <tableColumn id="2069" xr3:uid="{A7C43A3B-72B3-47D3-8E34-5FA6850AF4E8}" name="Colonne2061"/>
    <tableColumn id="2070" xr3:uid="{0A2EE651-A5F8-4904-BD91-3DDCC4AE3E3C}" name="Colonne2062"/>
    <tableColumn id="2071" xr3:uid="{3788B6C5-EE3D-4129-8FD7-CCF0B2E01DC7}" name="Colonne2063"/>
    <tableColumn id="2072" xr3:uid="{68D16048-B38F-4114-9B1B-99699CE4B071}" name="Colonne2064"/>
    <tableColumn id="2073" xr3:uid="{E944366B-7B56-41F4-92B1-5FC66CADB363}" name="Colonne2065"/>
    <tableColumn id="2074" xr3:uid="{2AF75880-49DE-41FC-A7DE-F76F5F0345DC}" name="Colonne2066"/>
    <tableColumn id="2075" xr3:uid="{083011D3-96B4-4328-BF5A-46C9A89B0F29}" name="Colonne2067"/>
    <tableColumn id="2076" xr3:uid="{01FE030D-1E7E-4257-91B0-C2685D31B6F4}" name="Colonne2068"/>
    <tableColumn id="2077" xr3:uid="{61C14FAC-DB83-4270-9A60-59007D69AA01}" name="Colonne2069"/>
    <tableColumn id="2078" xr3:uid="{20EA63EA-340D-441B-91DD-7134A9299902}" name="Colonne2070"/>
    <tableColumn id="2079" xr3:uid="{BA431EEB-4621-4477-80BF-A5EA0B8DB0D3}" name="Colonne2071"/>
    <tableColumn id="2080" xr3:uid="{F48A6264-C35E-447C-9E71-AA5DABD98416}" name="Colonne2072"/>
    <tableColumn id="2081" xr3:uid="{E3F30F0F-E25F-41F9-A7FE-B61D2826F205}" name="Colonne2073"/>
    <tableColumn id="2082" xr3:uid="{BD97D6DB-48AB-4E62-8855-B8FEF4486281}" name="Colonne2074"/>
    <tableColumn id="2083" xr3:uid="{17A6EA00-A7C7-4C6D-9AF1-14BB9CBE5C29}" name="Colonne2075"/>
    <tableColumn id="2084" xr3:uid="{24AFB1C7-B224-469B-BBD9-9D10938064B3}" name="Colonne2076"/>
    <tableColumn id="2085" xr3:uid="{F6B70436-4B12-4B97-8782-587D51318F3D}" name="Colonne2077"/>
    <tableColumn id="2086" xr3:uid="{83506101-36F8-4A70-8AB7-A89907997130}" name="Colonne2078"/>
    <tableColumn id="2087" xr3:uid="{34BE0A6B-8E77-4E02-9A53-083F074CFA80}" name="Colonne2079"/>
    <tableColumn id="2088" xr3:uid="{63686280-C15A-42EC-8847-51F2CB641E64}" name="Colonne2080"/>
    <tableColumn id="2089" xr3:uid="{6F2B8E01-82C7-4CB2-9DE8-A1599421E583}" name="Colonne2081"/>
    <tableColumn id="2090" xr3:uid="{A31FABDB-400A-4381-B3F8-F2E169491A3D}" name="Colonne2082"/>
    <tableColumn id="2091" xr3:uid="{43C04720-3661-4437-ADD8-73650C1F56D1}" name="Colonne2083"/>
    <tableColumn id="2092" xr3:uid="{E88261A4-218A-4558-993A-8764E40FDD3C}" name="Colonne2084"/>
    <tableColumn id="2093" xr3:uid="{8F0982FE-E72C-4CF9-84CF-2087252C7FFB}" name="Colonne2085"/>
    <tableColumn id="2094" xr3:uid="{DCC1F755-89ED-400C-8AC5-067E743BF469}" name="Colonne2086"/>
    <tableColumn id="2095" xr3:uid="{00D0FC43-C699-46F8-9131-08486B445E96}" name="Colonne2087"/>
    <tableColumn id="2096" xr3:uid="{6AD921A0-0BAA-4334-AE28-738F479BDE38}" name="Colonne2088"/>
    <tableColumn id="2097" xr3:uid="{7AB7F689-EEE1-4907-A4CB-3D66537AB04B}" name="Colonne2089"/>
    <tableColumn id="2098" xr3:uid="{D1DF7DEF-DB6F-479F-AF56-14252592E85B}" name="Colonne2090"/>
    <tableColumn id="2099" xr3:uid="{D7DE151B-5209-4A36-80F7-0B750605D9E3}" name="Colonne2091"/>
    <tableColumn id="2100" xr3:uid="{4ED231AD-66BD-4923-B338-98BDFB8ADE31}" name="Colonne2092"/>
    <tableColumn id="2101" xr3:uid="{A228377F-13D5-4260-9AF9-EB5500BE67E0}" name="Colonne2093"/>
    <tableColumn id="2102" xr3:uid="{9240ECDA-E895-4E59-92F8-6A3A2F028534}" name="Colonne2094"/>
    <tableColumn id="2103" xr3:uid="{13B7AB29-AE71-4F3D-9ABA-B99880E2F271}" name="Colonne2095"/>
    <tableColumn id="2104" xr3:uid="{678E3D32-4F0A-4CD9-B812-6D7909D79C97}" name="Colonne2096"/>
    <tableColumn id="2105" xr3:uid="{71219BE1-B6CE-4F72-A1CD-EF1CE34BE70E}" name="Colonne2097"/>
    <tableColumn id="2106" xr3:uid="{0882639E-252D-4622-8E12-C16B214D593B}" name="Colonne2098"/>
    <tableColumn id="2107" xr3:uid="{9A9EFAA0-C962-4BA8-ABB4-B5F577081ED9}" name="Colonne2099"/>
    <tableColumn id="2108" xr3:uid="{30198239-2F96-4A33-A136-D7DAE397860F}" name="Colonne2100"/>
    <tableColumn id="2109" xr3:uid="{D2A0F02D-82A6-43C7-995B-0363946458E1}" name="Colonne2101"/>
    <tableColumn id="2110" xr3:uid="{03FFD2B6-AC85-4FF7-8DFD-0C4ECD0874E1}" name="Colonne2102"/>
    <tableColumn id="2111" xr3:uid="{1782539C-9814-47D8-8457-39CA943B9431}" name="Colonne2103"/>
    <tableColumn id="2112" xr3:uid="{CD6E220B-3425-45B7-A83C-1C967D76013D}" name="Colonne2104"/>
    <tableColumn id="2113" xr3:uid="{49F9C149-8E74-4DCF-A906-98880600E34A}" name="Colonne2105"/>
    <tableColumn id="2114" xr3:uid="{585E22C5-A93F-4647-9858-2C61CF8F7ADE}" name="Colonne2106"/>
    <tableColumn id="2115" xr3:uid="{40385D4F-96E3-4979-B26B-5FB1D3F3D9C1}" name="Colonne2107"/>
    <tableColumn id="2116" xr3:uid="{1451EA42-5EC9-4CFC-AC91-7F6B0AA382F3}" name="Colonne2108"/>
    <tableColumn id="2117" xr3:uid="{B8EA46A8-D58C-4DFC-BD5D-A0ADA74931D8}" name="Colonne2109"/>
    <tableColumn id="2118" xr3:uid="{65128CAC-AFF0-4D95-91AA-13BA3AA78F9D}" name="Colonne2110"/>
    <tableColumn id="2119" xr3:uid="{DAD718C9-B212-4863-A1FD-580496DC7A6A}" name="Colonne2111"/>
    <tableColumn id="2120" xr3:uid="{A1F93754-47F2-449A-8EA6-3A7FD1131388}" name="Colonne2112"/>
    <tableColumn id="2121" xr3:uid="{BCB3D7FC-0DB4-48BD-9759-335EC3593798}" name="Colonne2113"/>
    <tableColumn id="2122" xr3:uid="{B92E3F17-8FE3-4B7D-A905-7196F253B3AA}" name="Colonne2114"/>
    <tableColumn id="2123" xr3:uid="{1E2F7E31-CAD2-4B99-BA51-784B809BB938}" name="Colonne2115"/>
    <tableColumn id="2124" xr3:uid="{78F59FF7-6DA4-4DF4-B0AF-FCC4AE9013BF}" name="Colonne2116"/>
    <tableColumn id="2125" xr3:uid="{69730DF3-5E6F-4DBE-A7A8-68150911048F}" name="Colonne2117"/>
    <tableColumn id="2126" xr3:uid="{24BC8F02-2FCD-4C36-A49E-6C1D84D5A4EE}" name="Colonne2118"/>
    <tableColumn id="2127" xr3:uid="{3218ECB7-7CA3-49A4-AABD-584A1BACD771}" name="Colonne2119"/>
    <tableColumn id="2128" xr3:uid="{A1DC203E-8A6B-4D8C-B2AB-C998C93E1013}" name="Colonne2120"/>
    <tableColumn id="2129" xr3:uid="{D87C664B-380C-4105-BD6C-100ACB8A804B}" name="Colonne2121"/>
    <tableColumn id="2130" xr3:uid="{9E889D2D-D18E-4004-B6B6-237CEBB6C3AE}" name="Colonne2122"/>
    <tableColumn id="2131" xr3:uid="{11254C2A-9A32-4B26-BCF2-268EDB80F284}" name="Colonne2123"/>
    <tableColumn id="2132" xr3:uid="{8DA6D43D-2288-46CC-8499-2C4956EE7C3B}" name="Colonne2124"/>
    <tableColumn id="2133" xr3:uid="{9D46E79D-F4E7-4044-9A3E-22F09FA85EA4}" name="Colonne2125"/>
    <tableColumn id="2134" xr3:uid="{92A213FC-3638-42F9-9A9B-718989862F75}" name="Colonne2126"/>
    <tableColumn id="2135" xr3:uid="{0CA655D4-474D-4634-B90A-950D060479D7}" name="Colonne2127"/>
    <tableColumn id="2136" xr3:uid="{93A76948-854A-43A8-8A53-15025FBB3BD8}" name="Colonne2128"/>
    <tableColumn id="2137" xr3:uid="{B094A9DB-4B56-4AED-82B5-D362CFF52621}" name="Colonne2129"/>
    <tableColumn id="2138" xr3:uid="{C8957709-DC76-4E2E-8694-9D77A03187E3}" name="Colonne2130"/>
    <tableColumn id="2139" xr3:uid="{CE57724C-44F1-4327-A40C-F561E51A2C60}" name="Colonne2131"/>
    <tableColumn id="2140" xr3:uid="{C9F61232-AC64-403E-A0DE-48CE1056559F}" name="Colonne2132"/>
    <tableColumn id="2141" xr3:uid="{4723D8A2-06E3-46D3-92E5-00F0448360CD}" name="Colonne2133"/>
    <tableColumn id="2142" xr3:uid="{27701158-770B-4A47-8083-482AF1E5E36E}" name="Colonne2134"/>
    <tableColumn id="2143" xr3:uid="{FCD4C18F-5937-4A5F-8A14-DC7CB6404560}" name="Colonne2135"/>
    <tableColumn id="2144" xr3:uid="{30D81F06-83D4-4748-A758-E18756B8DE65}" name="Colonne2136"/>
    <tableColumn id="2145" xr3:uid="{6EFF5C79-51CE-4BA0-A3C2-D7A516273B8C}" name="Colonne2137"/>
    <tableColumn id="2146" xr3:uid="{99EA7D96-EFDB-4635-87A5-F37C427E00A5}" name="Colonne2138"/>
    <tableColumn id="2147" xr3:uid="{32DDE479-DE20-4570-A41E-293C61EE5F16}" name="Colonne2139"/>
    <tableColumn id="2148" xr3:uid="{EA5C4741-B41D-4835-B98E-46116E5B55B1}" name="Colonne2140"/>
    <tableColumn id="2149" xr3:uid="{ACA70FEA-1C36-4F03-8E70-ECBF69DC666E}" name="Colonne2141"/>
    <tableColumn id="2150" xr3:uid="{F6CB4DAA-C115-4ACA-8BD3-AFA066CEDE7F}" name="Colonne2142"/>
    <tableColumn id="2151" xr3:uid="{072C60ED-4884-4F4E-8DA2-DFCBD8840DF6}" name="Colonne2143"/>
    <tableColumn id="2152" xr3:uid="{DD927D1D-5F09-4F2D-9440-E721D873552A}" name="Colonne2144"/>
    <tableColumn id="2153" xr3:uid="{45DC4E4B-6570-4344-B699-B0ED6A27EC2E}" name="Colonne2145"/>
    <tableColumn id="2154" xr3:uid="{89F51CE2-4D01-4A31-90EF-DFA272DF0C53}" name="Colonne2146"/>
    <tableColumn id="2155" xr3:uid="{818AA5FB-5A8F-4F51-B3EE-9515CF25A36C}" name="Colonne2147"/>
    <tableColumn id="2156" xr3:uid="{C3685CA6-E401-4513-98E6-7449466BF9E6}" name="Colonne2148"/>
    <tableColumn id="2157" xr3:uid="{0BACFFE9-C724-4042-BE2A-BC321417203B}" name="Colonne2149"/>
    <tableColumn id="2158" xr3:uid="{067B3C23-6764-46E9-B539-E0607F3ABC05}" name="Colonne2150"/>
    <tableColumn id="2159" xr3:uid="{0860272F-6876-47F4-A6C3-337B0C528176}" name="Colonne2151"/>
    <tableColumn id="2160" xr3:uid="{CAFAE6BA-06E6-4FE9-A0B4-0689BD60A26E}" name="Colonne2152"/>
    <tableColumn id="2161" xr3:uid="{8F4E3977-7F6C-4D62-8CBD-3E00A67A0B06}" name="Colonne2153"/>
    <tableColumn id="2162" xr3:uid="{FD3040EB-5A38-47E0-9744-8669E554D58F}" name="Colonne2154"/>
    <tableColumn id="2163" xr3:uid="{7975D220-0413-4C6A-9E65-56A378E66B19}" name="Colonne2155"/>
    <tableColumn id="2164" xr3:uid="{2FAA3D53-2F3A-4203-9962-CE898197AD8C}" name="Colonne2156"/>
    <tableColumn id="2165" xr3:uid="{4CE0BE38-E202-477F-AA31-9AB51BC16195}" name="Colonne2157"/>
    <tableColumn id="2166" xr3:uid="{A03560A5-6A25-47D8-8373-B171E65BCC72}" name="Colonne2158"/>
    <tableColumn id="2167" xr3:uid="{9C917109-EA1F-4030-BE99-0798EB34EA7A}" name="Colonne2159"/>
    <tableColumn id="2168" xr3:uid="{2C84A8FF-2FC2-4F9D-BEBA-1AE99995664C}" name="Colonne2160"/>
    <tableColumn id="2169" xr3:uid="{528543C5-AA90-47F9-B894-5B10C80E5016}" name="Colonne2161"/>
    <tableColumn id="2170" xr3:uid="{56DD55E2-FD52-4D77-8952-3BDAE99A36ED}" name="Colonne2162"/>
    <tableColumn id="2171" xr3:uid="{22408BDA-8FB6-4FEE-B7A4-9B8912D51C75}" name="Colonne2163"/>
    <tableColumn id="2172" xr3:uid="{ADB60F21-EE3F-4EB0-9B05-E153A225B1B5}" name="Colonne2164"/>
    <tableColumn id="2173" xr3:uid="{D331316B-F4EA-4BE3-BED6-2E900A078B97}" name="Colonne2165"/>
    <tableColumn id="2174" xr3:uid="{6C7C6E04-C5A1-4E3D-8329-3CC73EBFBAC3}" name="Colonne2166"/>
    <tableColumn id="2175" xr3:uid="{B3C7CD3D-7969-4F5B-BF7B-F60FA0DE568A}" name="Colonne2167"/>
    <tableColumn id="2176" xr3:uid="{63C608C9-1BAF-47DB-A568-C2F902D9CDA4}" name="Colonne2168"/>
    <tableColumn id="2177" xr3:uid="{FE79D453-BDB5-47F0-A0B3-AC18A0FF5032}" name="Colonne2169"/>
    <tableColumn id="2178" xr3:uid="{14C17890-D41B-4068-8DF2-D97E8B94EE64}" name="Colonne2170"/>
    <tableColumn id="2179" xr3:uid="{AC1993B6-1CB0-43FC-B64B-C9F49EC32085}" name="Colonne2171"/>
    <tableColumn id="2180" xr3:uid="{7F612D27-C9F3-41DC-B3B8-00099BD56ADA}" name="Colonne2172"/>
    <tableColumn id="2181" xr3:uid="{7A50F535-0298-4BA5-9C4C-79B8B8B8A848}" name="Colonne2173"/>
    <tableColumn id="2182" xr3:uid="{FEB08C13-E76C-4602-9B0B-EC2AB48D8753}" name="Colonne2174"/>
    <tableColumn id="2183" xr3:uid="{884924FD-7356-4A80-92F2-A00C508FF27B}" name="Colonne2175"/>
    <tableColumn id="2184" xr3:uid="{CD565E4B-0CE7-4235-B7E2-1FCEC33A0E6A}" name="Colonne2176"/>
    <tableColumn id="2185" xr3:uid="{69739D71-C477-4D71-AE2C-A7AC95222EF9}" name="Colonne2177"/>
    <tableColumn id="2186" xr3:uid="{950B1D00-52CD-41F1-999C-A706E177E30E}" name="Colonne2178"/>
    <tableColumn id="2187" xr3:uid="{D8E56CBE-1D5E-4607-99E7-C0544315A75B}" name="Colonne2179"/>
    <tableColumn id="2188" xr3:uid="{C8987867-0639-4581-8004-F6F6ED6FA266}" name="Colonne2180"/>
    <tableColumn id="2189" xr3:uid="{8ACE725C-D91F-4FC3-BF13-40A7CBEEEF71}" name="Colonne2181"/>
    <tableColumn id="2190" xr3:uid="{044301E9-3BA3-41C9-B53F-FFE228CF1B27}" name="Colonne2182"/>
    <tableColumn id="2191" xr3:uid="{E1B1C170-2F8B-4439-BBFA-2AFFC6C7C284}" name="Colonne2183"/>
    <tableColumn id="2192" xr3:uid="{56E126BC-6355-4EE2-9406-0AF560B93317}" name="Colonne2184"/>
    <tableColumn id="2193" xr3:uid="{94D92414-C1F8-483A-B53B-6A3B42AAD895}" name="Colonne2185"/>
    <tableColumn id="2194" xr3:uid="{8899A3D0-760C-4A6D-B8A8-BE5648ECE6E2}" name="Colonne2186"/>
    <tableColumn id="2195" xr3:uid="{61A68507-B124-4177-AFC7-7769018A574D}" name="Colonne2187"/>
    <tableColumn id="2196" xr3:uid="{DAB59149-CCEC-4E50-83E8-5477A0E6B031}" name="Colonne2188"/>
    <tableColumn id="2197" xr3:uid="{C5B78D9E-BD8F-4BED-9479-C1E18AD8DE9C}" name="Colonne2189"/>
    <tableColumn id="2198" xr3:uid="{C3BDC58A-69EF-4EAE-B374-BAE494A12D73}" name="Colonne2190"/>
    <tableColumn id="2199" xr3:uid="{5DC68067-36D8-4DBF-A8AD-5C7E67453C06}" name="Colonne2191"/>
    <tableColumn id="2200" xr3:uid="{379E8B31-F9DC-4371-9D26-AA0D8120C6FE}" name="Colonne2192"/>
    <tableColumn id="2201" xr3:uid="{EAEB087F-CCAB-49C7-86FC-85D02AB7C390}" name="Colonne2193"/>
    <tableColumn id="2202" xr3:uid="{FCE0F557-CAEF-4870-BA26-3706586B8F9F}" name="Colonne2194"/>
    <tableColumn id="2203" xr3:uid="{C8EA8BC3-B50F-4A8F-B1E7-072ED8FB8D0D}" name="Colonne2195"/>
    <tableColumn id="2204" xr3:uid="{1C17B378-DCD3-4A8A-99A3-141C01539B00}" name="Colonne2196"/>
    <tableColumn id="2205" xr3:uid="{2D145C76-B19B-467A-B7A2-173A40C28BA3}" name="Colonne2197"/>
    <tableColumn id="2206" xr3:uid="{F170CD6F-ABE0-426F-A891-9E6CEC068F40}" name="Colonne2198"/>
    <tableColumn id="2207" xr3:uid="{DC0A3159-285F-49C9-A2E0-C226D9211D2C}" name="Colonne2199"/>
    <tableColumn id="2208" xr3:uid="{2BC20DED-AA35-4C6C-9025-39ED6A52DCDA}" name="Colonne2200"/>
    <tableColumn id="2209" xr3:uid="{07C972AD-E313-49D5-B2C8-675791D3D18A}" name="Colonne2201"/>
    <tableColumn id="2210" xr3:uid="{8396E7B8-9550-4598-B240-33C7F1A1319F}" name="Colonne2202"/>
    <tableColumn id="2211" xr3:uid="{CD110AE3-B1B6-475D-89E7-AF7C426B9F01}" name="Colonne2203"/>
    <tableColumn id="2212" xr3:uid="{8810AB2B-8558-4625-8661-D37A3C39ECB7}" name="Colonne2204"/>
    <tableColumn id="2213" xr3:uid="{B41EBFBD-BEAB-453F-BD6B-46CB48CCAD9D}" name="Colonne2205"/>
    <tableColumn id="2214" xr3:uid="{7C032F39-83ED-4842-BA2D-25626C85D2F9}" name="Colonne2206"/>
    <tableColumn id="2215" xr3:uid="{3B05450A-F2F4-4205-A0DA-52EBBEC84A7B}" name="Colonne2207"/>
    <tableColumn id="2216" xr3:uid="{6AD35635-FBFD-440C-AEAB-94E1D1F080A1}" name="Colonne2208"/>
    <tableColumn id="2217" xr3:uid="{F6E28635-581B-4D51-B179-4830DD99E7EB}" name="Colonne2209"/>
    <tableColumn id="2218" xr3:uid="{7F26F8D8-6E12-4992-A7BD-6D71B044F1D1}" name="Colonne2210"/>
    <tableColumn id="2219" xr3:uid="{272A21D0-9215-4058-96FC-DD515DCDBF39}" name="Colonne2211"/>
    <tableColumn id="2220" xr3:uid="{888AC36A-353E-44A4-AD7B-CCCD4BD892B7}" name="Colonne2212"/>
    <tableColumn id="2221" xr3:uid="{30C48E7C-DB18-46D1-8F09-BFEA5880B44E}" name="Colonne2213"/>
    <tableColumn id="2222" xr3:uid="{5CADE292-1CDE-451F-AE33-73F3FA32F776}" name="Colonne2214"/>
    <tableColumn id="2223" xr3:uid="{57D922F9-A86F-448B-8DF3-B72B0AFE053D}" name="Colonne2215"/>
    <tableColumn id="2224" xr3:uid="{3AF7BA79-CCDB-476C-B942-CDD106E0682A}" name="Colonne2216"/>
    <tableColumn id="2225" xr3:uid="{EBFB6C2D-8676-43C9-8B95-79FD42349858}" name="Colonne2217"/>
    <tableColumn id="2226" xr3:uid="{373097E6-74E1-4083-A446-B23A962C2C91}" name="Colonne2218"/>
    <tableColumn id="2227" xr3:uid="{E83272E7-2277-4941-AB91-3917D640A55E}" name="Colonne2219"/>
    <tableColumn id="2228" xr3:uid="{B4930D6A-B554-4681-93D4-BEBC2CAF13AC}" name="Colonne2220"/>
    <tableColumn id="2229" xr3:uid="{DCA67BA9-DD90-479C-9252-37AD70E94F52}" name="Colonne2221"/>
    <tableColumn id="2230" xr3:uid="{1EE60CB9-42E5-49DE-B9E9-96FDC053F886}" name="Colonne2222"/>
    <tableColumn id="2231" xr3:uid="{5286D5BC-7718-4E4C-9B91-3666AA55948F}" name="Colonne2223"/>
    <tableColumn id="2232" xr3:uid="{1E10E34D-ECB0-4F6D-B2F9-ACA9A0330F10}" name="Colonne2224"/>
    <tableColumn id="2233" xr3:uid="{6DEA9984-EAA9-45EA-A2F9-F023CA587080}" name="Colonne2225"/>
    <tableColumn id="2234" xr3:uid="{DFF491F5-2961-4D4F-9146-9A92A32AB07C}" name="Colonne2226"/>
    <tableColumn id="2235" xr3:uid="{2BE65386-4B14-4E2E-A3BA-7D418D1CBDEC}" name="Colonne2227"/>
    <tableColumn id="2236" xr3:uid="{5EE9EDCF-C96F-4FF7-BD82-2F29FD6E0164}" name="Colonne2228"/>
    <tableColumn id="2237" xr3:uid="{370A24FB-3AE4-40B2-9E75-521C285897E0}" name="Colonne2229"/>
    <tableColumn id="2238" xr3:uid="{C5567FA1-021F-4621-B904-FC325C9E7D11}" name="Colonne2230"/>
    <tableColumn id="2239" xr3:uid="{8104465E-378C-405C-BE3E-09529CD5E7FD}" name="Colonne2231"/>
    <tableColumn id="2240" xr3:uid="{B09DE8D9-A7CD-46AF-A9B2-8F6A173CF21C}" name="Colonne2232"/>
    <tableColumn id="2241" xr3:uid="{8D1E7FD3-EA4F-472E-86B9-75B050FB38A3}" name="Colonne2233"/>
    <tableColumn id="2242" xr3:uid="{50E8E6FC-74B6-4819-A5AA-394A6E4650D9}" name="Colonne2234"/>
    <tableColumn id="2243" xr3:uid="{E563BD3C-20B7-4257-9328-4F7481C781FA}" name="Colonne2235"/>
    <tableColumn id="2244" xr3:uid="{3E7057B3-57B4-4C87-A329-61881C47CBB7}" name="Colonne2236"/>
    <tableColumn id="2245" xr3:uid="{A549CB56-A3C3-4971-ADB0-36B129A09D28}" name="Colonne2237"/>
    <tableColumn id="2246" xr3:uid="{9FECDF1F-9DE2-40F2-A4B1-534155195375}" name="Colonne2238"/>
    <tableColumn id="2247" xr3:uid="{8AAABFBE-AD22-4DAD-ACA8-656D80FDC747}" name="Colonne2239"/>
    <tableColumn id="2248" xr3:uid="{45B467AC-798E-4C6F-8A3F-56B33207D0F1}" name="Colonne2240"/>
    <tableColumn id="2249" xr3:uid="{7E866262-5200-4469-A88F-396D45C3BE25}" name="Colonne2241"/>
    <tableColumn id="2250" xr3:uid="{8C5D00B1-C651-4C23-8491-6F11263E74DF}" name="Colonne2242"/>
    <tableColumn id="2251" xr3:uid="{3C534181-AB65-4248-AE09-22FE7B660754}" name="Colonne2243"/>
    <tableColumn id="2252" xr3:uid="{870F54F2-5ADD-4F5A-9DDD-CE3A15A5FA22}" name="Colonne2244"/>
    <tableColumn id="2253" xr3:uid="{907EA9DE-CAD0-4EE9-B765-5656C1AA9116}" name="Colonne2245"/>
    <tableColumn id="2254" xr3:uid="{43BAA077-E3C2-431C-8423-4C0645F70C8B}" name="Colonne2246"/>
    <tableColumn id="2255" xr3:uid="{CEE7AD10-315B-42B1-AC07-1AAFEF3E4D16}" name="Colonne2247"/>
    <tableColumn id="2256" xr3:uid="{779782B0-994F-4C38-A2BC-4293FE3B2EF7}" name="Colonne2248"/>
    <tableColumn id="2257" xr3:uid="{0FA08D64-F673-489E-A19D-372F9E217D2A}" name="Colonne2249"/>
    <tableColumn id="2258" xr3:uid="{EC4ADC54-FEF6-47BF-A2F8-F2327175DA54}" name="Colonne2250"/>
    <tableColumn id="2259" xr3:uid="{BC82F28D-9B15-4A22-B654-B29F17A3126C}" name="Colonne2251"/>
    <tableColumn id="2260" xr3:uid="{BBD578D2-D9C7-4C62-AFE8-5CA71CC3AFBE}" name="Colonne2252"/>
    <tableColumn id="2261" xr3:uid="{AAD9A347-307C-49B3-933E-0EDD9947A886}" name="Colonne2253"/>
    <tableColumn id="2262" xr3:uid="{01035A23-AA94-432C-8380-ACFA9D4B4A0C}" name="Colonne2254"/>
    <tableColumn id="2263" xr3:uid="{112A43AA-6151-4F16-8E0B-51378AE365CE}" name="Colonne2255"/>
    <tableColumn id="2264" xr3:uid="{228D3441-EF82-48EC-8D57-1DB987E5E539}" name="Colonne2256"/>
    <tableColumn id="2265" xr3:uid="{CF220DE2-69CD-4B26-9767-FF47959D4674}" name="Colonne2257"/>
    <tableColumn id="2266" xr3:uid="{78C361D4-7CFB-4F84-9CF6-E523CF86646F}" name="Colonne2258"/>
    <tableColumn id="2267" xr3:uid="{5E9E2E79-3C43-46DA-8939-293D59EA72DD}" name="Colonne2259"/>
    <tableColumn id="2268" xr3:uid="{FB5EF655-84AA-447D-8B5B-80D9DE36F10B}" name="Colonne2260"/>
    <tableColumn id="2269" xr3:uid="{AE11EFE5-4EC6-4BD2-ACB4-7678CA18BE46}" name="Colonne2261"/>
    <tableColumn id="2270" xr3:uid="{5A4ED44A-E032-4E8C-B899-D75BEE8F86BD}" name="Colonne2262"/>
    <tableColumn id="2271" xr3:uid="{BBBC5FBA-2B39-445A-AC67-D247D5E7B70B}" name="Colonne2263"/>
    <tableColumn id="2272" xr3:uid="{C53C91E9-600F-4E95-B181-0CB07338691A}" name="Colonne2264"/>
    <tableColumn id="2273" xr3:uid="{6086B3DF-B22B-4FB9-91B0-99E7A6E085AF}" name="Colonne2265"/>
    <tableColumn id="2274" xr3:uid="{3ADB50E2-D158-455B-9C4D-C37550D3FDE3}" name="Colonne2266"/>
    <tableColumn id="2275" xr3:uid="{DCEAD2B6-4F45-4E6D-9F09-5F69F01E72B2}" name="Colonne2267"/>
    <tableColumn id="2276" xr3:uid="{BF7FABE4-5499-4A4B-8E44-2EDEC4F83C2D}" name="Colonne2268"/>
    <tableColumn id="2277" xr3:uid="{3E4F1164-E0E8-4876-8F79-8630BAB01E59}" name="Colonne2269"/>
    <tableColumn id="2278" xr3:uid="{FE161661-82C6-4660-9D8F-C8A4DF89B859}" name="Colonne2270"/>
    <tableColumn id="2279" xr3:uid="{EDA76E80-066E-4BD9-B0D4-CA90B447EB6A}" name="Colonne2271"/>
    <tableColumn id="2280" xr3:uid="{8BA6A236-D435-4EA9-9BBD-476A52A67464}" name="Colonne2272"/>
    <tableColumn id="2281" xr3:uid="{558A940B-640D-480D-8A45-93D04ADA353A}" name="Colonne2273"/>
    <tableColumn id="2282" xr3:uid="{C0A9C8AF-DED3-4524-9080-646E0486D388}" name="Colonne2274"/>
    <tableColumn id="2283" xr3:uid="{34A6BFD5-9F2F-4F4E-B9A7-E8DE38D2BD44}" name="Colonne2275"/>
    <tableColumn id="2284" xr3:uid="{932C7A3D-F74D-4E11-96CF-AAA81CB56D32}" name="Colonne2276"/>
    <tableColumn id="2285" xr3:uid="{4FD87D11-015C-4C36-A389-544739C5A635}" name="Colonne2277"/>
    <tableColumn id="2286" xr3:uid="{93257926-3793-434F-AE8F-3C9CABF56B10}" name="Colonne2278"/>
    <tableColumn id="2287" xr3:uid="{A8057012-2A97-4CBE-8256-1B9FB30CAB3A}" name="Colonne2279"/>
    <tableColumn id="2288" xr3:uid="{C93D42A2-2506-468E-B796-14F6DD264972}" name="Colonne2280"/>
    <tableColumn id="2289" xr3:uid="{766A0CE3-53EF-41CD-A291-5C1876F03ED3}" name="Colonne2281"/>
    <tableColumn id="2290" xr3:uid="{7C0CC597-BE42-47B9-94BD-57E34F75E5BE}" name="Colonne2282"/>
    <tableColumn id="2291" xr3:uid="{EBBE8A5D-56D5-46C9-AED1-613B20A52B05}" name="Colonne2283"/>
    <tableColumn id="2292" xr3:uid="{C73C4CD1-D317-4250-B74E-129A18CC7882}" name="Colonne2284"/>
    <tableColumn id="2293" xr3:uid="{3FAE6849-F19E-4988-AC64-6FA31C699D45}" name="Colonne2285"/>
    <tableColumn id="2294" xr3:uid="{E003E2E1-9B45-4D83-81CE-9CC996B8E55D}" name="Colonne2286"/>
    <tableColumn id="2295" xr3:uid="{2A02135E-E128-4117-B8C8-77AFEA0759E8}" name="Colonne2287"/>
    <tableColumn id="2296" xr3:uid="{23619F7F-9180-43B8-BF93-1B3A53024D4D}" name="Colonne2288"/>
    <tableColumn id="2297" xr3:uid="{1CA72029-F129-4E7B-9D3B-C37B9BC99D10}" name="Colonne2289"/>
    <tableColumn id="2298" xr3:uid="{52CDE922-3D6B-4ED4-B560-B8D735A306CC}" name="Colonne2290"/>
    <tableColumn id="2299" xr3:uid="{8EDB0845-A3BF-4010-BACA-B9BE7B7655FD}" name="Colonne2291"/>
    <tableColumn id="2300" xr3:uid="{009BBD83-4471-42AA-8854-7E5C39780D25}" name="Colonne2292"/>
    <tableColumn id="2301" xr3:uid="{64EAA6C7-A58F-472D-9AE8-D4736B39B280}" name="Colonne2293"/>
    <tableColumn id="2302" xr3:uid="{A05E4F93-4EE2-4A3A-9307-6444BA58F709}" name="Colonne2294"/>
    <tableColumn id="2303" xr3:uid="{E1DFF659-9C16-4BD5-AC56-5A29016D7656}" name="Colonne2295"/>
    <tableColumn id="2304" xr3:uid="{99EC7109-9C93-4C9C-BFB6-1F092655D52C}" name="Colonne2296"/>
    <tableColumn id="2305" xr3:uid="{CDD9172C-CC13-4EEB-AE51-B816449DB8C4}" name="Colonne2297"/>
    <tableColumn id="2306" xr3:uid="{F19F9B74-19E5-41A4-B256-1763457B0545}" name="Colonne2298"/>
    <tableColumn id="2307" xr3:uid="{6C092C8A-633C-4BA5-9FAD-022E2B12312F}" name="Colonne2299"/>
    <tableColumn id="2308" xr3:uid="{05FD0FED-71CF-41B7-B197-1919F85D0F97}" name="Colonne2300"/>
    <tableColumn id="2309" xr3:uid="{2C113BEE-DE4B-40BC-A0FC-B0B6BC200696}" name="Colonne2301"/>
    <tableColumn id="2310" xr3:uid="{2E45EC39-BE6F-4E51-91A0-B54EF00E06B3}" name="Colonne2302"/>
    <tableColumn id="2311" xr3:uid="{5B0BAC1C-4353-4FB8-88EB-D8F94789E2EE}" name="Colonne2303"/>
    <tableColumn id="2312" xr3:uid="{9B2BF12B-FE28-4DB5-9CC9-74CBBE0D64CA}" name="Colonne2304"/>
    <tableColumn id="2313" xr3:uid="{E204045F-B1C6-42CD-8704-C754B8FB8BDC}" name="Colonne2305"/>
    <tableColumn id="2314" xr3:uid="{41D8F26B-65F3-41FE-8843-C2DABA6D2B08}" name="Colonne2306"/>
    <tableColumn id="2315" xr3:uid="{B4D28835-302A-4FFB-A96F-419451060187}" name="Colonne2307"/>
    <tableColumn id="2316" xr3:uid="{82DE9CA3-6D7A-4D00-9823-B8E52ED60CB7}" name="Colonne2308"/>
    <tableColumn id="2317" xr3:uid="{7ECD87E2-AE68-436C-AF5B-46E9D37AD784}" name="Colonne2309"/>
    <tableColumn id="2318" xr3:uid="{50D210BE-DA7F-4685-AB3F-792945DCA18B}" name="Colonne2310"/>
    <tableColumn id="2319" xr3:uid="{43104C34-7603-4955-849C-0414EED2BCDC}" name="Colonne2311"/>
    <tableColumn id="2320" xr3:uid="{F7FF151D-1B1B-41B9-8118-6DCB9388C9DE}" name="Colonne2312"/>
    <tableColumn id="2321" xr3:uid="{56EA8703-9BF6-4526-B3B8-2CFD85192120}" name="Colonne2313"/>
    <tableColumn id="2322" xr3:uid="{D5E6C502-54CA-4990-84E9-1D1D62422621}" name="Colonne2314"/>
    <tableColumn id="2323" xr3:uid="{9932A3CE-9CCA-4A8B-8ADC-D49F82BDC641}" name="Colonne2315"/>
    <tableColumn id="2324" xr3:uid="{3A309FF5-9531-4EFF-ADA5-18830BDF70E1}" name="Colonne2316"/>
    <tableColumn id="2325" xr3:uid="{6B4770FE-195C-4012-9ED7-E13FDF00CDAF}" name="Colonne2317"/>
    <tableColumn id="2326" xr3:uid="{182D054C-9358-4FCF-88BF-7D3CD93A22D7}" name="Colonne2318"/>
    <tableColumn id="2327" xr3:uid="{B5D46498-63C2-4309-A291-A82DA9036694}" name="Colonne2319"/>
    <tableColumn id="2328" xr3:uid="{ACD29259-D9CA-44D2-B25C-1DA6239C94A1}" name="Colonne2320"/>
    <tableColumn id="2329" xr3:uid="{9A7AD8AC-4B81-49C7-A935-B4E4EF223E8C}" name="Colonne2321"/>
    <tableColumn id="2330" xr3:uid="{5DD9DADB-0A4F-4CA9-A2F3-F668414475C3}" name="Colonne2322"/>
    <tableColumn id="2331" xr3:uid="{648CE99C-4895-4C26-8BDD-92944449AEFF}" name="Colonne2323"/>
    <tableColumn id="2332" xr3:uid="{5F32C96B-B6CE-418A-B306-DE3FF7226B0D}" name="Colonne2324"/>
    <tableColumn id="2333" xr3:uid="{8760D61B-E12F-49F5-BE8B-E02C5601A0C5}" name="Colonne2325"/>
    <tableColumn id="2334" xr3:uid="{EBC352BC-22B1-4E47-879D-546DC21D1401}" name="Colonne2326"/>
    <tableColumn id="2335" xr3:uid="{962F1537-53A4-4EB9-966E-05E9C2596888}" name="Colonne2327"/>
    <tableColumn id="2336" xr3:uid="{35E5CA89-0944-4FA2-9EA6-E9D33F2413F2}" name="Colonne2328"/>
    <tableColumn id="2337" xr3:uid="{6A783D93-72A8-4422-855E-CDB68F4E9942}" name="Colonne2329"/>
    <tableColumn id="2338" xr3:uid="{279C5E84-73E7-4948-B3A4-01D34CAB6E10}" name="Colonne2330"/>
    <tableColumn id="2339" xr3:uid="{61EF0B1B-FFC9-4918-A80E-8774294D7032}" name="Colonne2331"/>
    <tableColumn id="2340" xr3:uid="{C7949741-8C31-4779-9455-12D7FE61D8C1}" name="Colonne2332"/>
    <tableColumn id="2341" xr3:uid="{B93828B3-0336-4F51-98B7-9422E16CF6C0}" name="Colonne2333"/>
    <tableColumn id="2342" xr3:uid="{6DE89334-596B-41F5-B14B-E1533FC4970E}" name="Colonne2334"/>
    <tableColumn id="2343" xr3:uid="{86F69F6B-1742-4B7C-9A75-45DAF26D672B}" name="Colonne2335"/>
    <tableColumn id="2344" xr3:uid="{CFF9F32A-6B30-440D-87BD-38F7367C6E34}" name="Colonne2336"/>
    <tableColumn id="2345" xr3:uid="{789D86DF-EAB9-42CD-909C-B72EEDE7E6F1}" name="Colonne2337"/>
    <tableColumn id="2346" xr3:uid="{5A1F110B-B341-4404-9FA2-B9844A78830F}" name="Colonne2338"/>
    <tableColumn id="2347" xr3:uid="{E7F16987-E69D-4A85-9ACA-6754AA87C10A}" name="Colonne2339"/>
    <tableColumn id="2348" xr3:uid="{05CF1867-6478-4A89-AF9C-4CA6C9130A00}" name="Colonne2340"/>
    <tableColumn id="2349" xr3:uid="{E134F4F7-DF04-4F9B-8625-319D9AD71696}" name="Colonne2341"/>
    <tableColumn id="2350" xr3:uid="{C8AE7EEB-0235-44A8-97BD-CEAF2CB47919}" name="Colonne2342"/>
    <tableColumn id="2351" xr3:uid="{16C6276A-656E-4F75-88D6-CD5295866916}" name="Colonne2343"/>
    <tableColumn id="2352" xr3:uid="{E5676357-47ED-4FBD-B581-2D02403BDB36}" name="Colonne2344"/>
    <tableColumn id="2353" xr3:uid="{30ABE76A-595B-4AA5-8B6F-743EA0F80856}" name="Colonne2345"/>
    <tableColumn id="2354" xr3:uid="{BDB34C06-8DCC-410D-AE06-51A9C101B150}" name="Colonne2346"/>
    <tableColumn id="2355" xr3:uid="{23A1EE4A-8C26-4D21-B2D7-F78F4E3976C8}" name="Colonne2347"/>
    <tableColumn id="2356" xr3:uid="{5425E1D0-D6E0-4443-A76A-5B2236B96753}" name="Colonne2348"/>
    <tableColumn id="2357" xr3:uid="{536C48DE-2426-4634-9337-B5566D730F56}" name="Colonne2349"/>
    <tableColumn id="2358" xr3:uid="{7AF139C5-C0C3-487A-943E-30AC89D0A170}" name="Colonne2350"/>
    <tableColumn id="2359" xr3:uid="{65C0926A-BD74-4C4F-8320-443C5C1A3493}" name="Colonne2351"/>
    <tableColumn id="2360" xr3:uid="{EC6049C0-F089-4526-AF52-B9CF57D270CB}" name="Colonne2352"/>
    <tableColumn id="2361" xr3:uid="{A567D545-8F99-498F-80A8-4A179017C77F}" name="Colonne2353"/>
    <tableColumn id="2362" xr3:uid="{E5D01AD1-7870-451E-B51B-43696ACC3716}" name="Colonne2354"/>
    <tableColumn id="2363" xr3:uid="{2AC88DDA-9556-4470-B1B8-B0291214AE9A}" name="Colonne2355"/>
    <tableColumn id="2364" xr3:uid="{81B5A8AE-3775-4196-9002-F7639ECD3352}" name="Colonne2356"/>
    <tableColumn id="2365" xr3:uid="{2010DBCF-1B9F-46EC-93CF-96E0A1064BC9}" name="Colonne2357"/>
    <tableColumn id="2366" xr3:uid="{BDEE7E97-B832-4C22-AFB9-58EE038549B3}" name="Colonne2358"/>
    <tableColumn id="2367" xr3:uid="{F20E6C43-B179-4181-A4D3-1BC55603B504}" name="Colonne2359"/>
    <tableColumn id="2368" xr3:uid="{C9BB8122-58EF-4577-A7F2-C5D24AD675FF}" name="Colonne2360"/>
    <tableColumn id="2369" xr3:uid="{B95F63F9-5736-4F70-928C-3184F10A68FE}" name="Colonne2361"/>
    <tableColumn id="2370" xr3:uid="{682945A4-C535-4E98-83BE-2E8B5E661411}" name="Colonne2362"/>
    <tableColumn id="2371" xr3:uid="{8C81D5AF-8D28-4919-AA9C-0C1C4E757A35}" name="Colonne2363"/>
    <tableColumn id="2372" xr3:uid="{06B86258-9D17-420E-AB10-577653257DE0}" name="Colonne2364"/>
    <tableColumn id="2373" xr3:uid="{21A28EDE-AAA6-47E4-86D5-0443A4C7E23B}" name="Colonne2365"/>
    <tableColumn id="2374" xr3:uid="{133392E3-388F-41B8-87CC-2330A5EA490E}" name="Colonne2366"/>
    <tableColumn id="2375" xr3:uid="{6831EC18-B476-4E31-BD37-09D16C5A94D7}" name="Colonne2367"/>
    <tableColumn id="2376" xr3:uid="{57ED4BE4-4301-4FAF-8A4B-CDDD58086210}" name="Colonne2368"/>
    <tableColumn id="2377" xr3:uid="{07DA7C61-BC93-46ED-BC1A-A65454A268C8}" name="Colonne2369"/>
    <tableColumn id="2378" xr3:uid="{5555CC42-399A-451B-AC34-4F580DD3B8C0}" name="Colonne2370"/>
    <tableColumn id="2379" xr3:uid="{0D033CA4-E3CC-4B49-9141-37A8384A7F0D}" name="Colonne2371"/>
    <tableColumn id="2380" xr3:uid="{BB45BA07-72BB-45F8-BC88-800DF9534E10}" name="Colonne2372"/>
    <tableColumn id="2381" xr3:uid="{7EC819BA-C934-4FD3-8D26-508E576CD84B}" name="Colonne2373"/>
    <tableColumn id="2382" xr3:uid="{BE8315F7-BCDC-404A-8C42-3C1128285419}" name="Colonne2374"/>
    <tableColumn id="2383" xr3:uid="{6FAE5381-1D8E-4C80-90F0-128BCC0DF8FE}" name="Colonne2375"/>
    <tableColumn id="2384" xr3:uid="{FABAB149-67E2-4A2A-8504-5EADCF524FD2}" name="Colonne2376"/>
    <tableColumn id="2385" xr3:uid="{E624D2F2-1CB1-4DDF-8C7D-EAC24BF85FEB}" name="Colonne2377"/>
    <tableColumn id="2386" xr3:uid="{C9D291E5-AC2F-4A1A-BA77-9D94C079391B}" name="Colonne2378"/>
    <tableColumn id="2387" xr3:uid="{4D8CEBE1-2A53-4BA0-B62C-A8F9F13DACF1}" name="Colonne2379"/>
    <tableColumn id="2388" xr3:uid="{BCA51A58-45F7-4587-84BF-CBD4FE2DBD51}" name="Colonne2380"/>
    <tableColumn id="2389" xr3:uid="{28B42897-5B92-4F85-B495-BBC8FAEA7F04}" name="Colonne2381"/>
    <tableColumn id="2390" xr3:uid="{1BC87F16-5283-419D-B9DC-A7D12BE34DF9}" name="Colonne2382"/>
    <tableColumn id="2391" xr3:uid="{4A1E2BDC-0F2D-4E28-8964-F5C91DACA06A}" name="Colonne2383"/>
    <tableColumn id="2392" xr3:uid="{4EFBD71C-E04D-4846-87B5-C3993AB4FFF1}" name="Colonne2384"/>
    <tableColumn id="2393" xr3:uid="{FF85F33B-B8A3-4DA1-91DC-17015256DE2C}" name="Colonne2385"/>
    <tableColumn id="2394" xr3:uid="{60E86CA7-81EF-454C-8C7F-BBF930FBB31C}" name="Colonne2386"/>
    <tableColumn id="2395" xr3:uid="{C8CCE51D-C635-48B1-88D1-2A60A7CAC907}" name="Colonne2387"/>
    <tableColumn id="2396" xr3:uid="{2AE70C27-B838-4320-9607-AF804A2488F8}" name="Colonne2388"/>
    <tableColumn id="2397" xr3:uid="{1E68ED2B-B5B5-4E5B-B3C9-08B3E8C1E489}" name="Colonne2389"/>
    <tableColumn id="2398" xr3:uid="{5EDF8521-A909-43CE-8B9A-D86CF98CA24E}" name="Colonne2390"/>
    <tableColumn id="2399" xr3:uid="{36E2C544-228F-412E-B870-C8A3081811FE}" name="Colonne2391"/>
    <tableColumn id="2400" xr3:uid="{5613FC5F-2584-4496-AF4E-8E21CF82A983}" name="Colonne2392"/>
    <tableColumn id="2401" xr3:uid="{74863B08-2D49-4D87-808A-25AF214E8240}" name="Colonne2393"/>
    <tableColumn id="2402" xr3:uid="{1CDDE9C4-69A5-48D3-8AA0-C6FCF7592BCE}" name="Colonne2394"/>
    <tableColumn id="2403" xr3:uid="{97F52432-4266-42E7-BC54-89B34AF0C336}" name="Colonne2395"/>
    <tableColumn id="2404" xr3:uid="{4AA080B4-73D6-450B-A8CC-C117F5E324A2}" name="Colonne2396"/>
    <tableColumn id="2405" xr3:uid="{6064530A-EA78-433C-9CB3-3AAFBB5A30AC}" name="Colonne2397"/>
    <tableColumn id="2406" xr3:uid="{4844C52B-24EB-401D-B0A5-FFA799F05765}" name="Colonne2398"/>
    <tableColumn id="2407" xr3:uid="{EE033717-2D2A-4A54-9567-ECA00A1D7BBE}" name="Colonne2399"/>
    <tableColumn id="2408" xr3:uid="{3FF3B0B4-1672-4471-8414-308DF171E425}" name="Colonne2400"/>
    <tableColumn id="2409" xr3:uid="{CDBFB53C-D92E-46C3-A9C9-6E6537930327}" name="Colonne2401"/>
    <tableColumn id="2410" xr3:uid="{E4FB0D86-ADE8-4BC8-82FC-91DF2D157407}" name="Colonne2402"/>
    <tableColumn id="2411" xr3:uid="{53AB0674-485E-4B2A-9E68-66FDCA818A26}" name="Colonne2403"/>
    <tableColumn id="2412" xr3:uid="{A79252DF-F20B-4F30-AFAF-25E972265B4C}" name="Colonne2404"/>
    <tableColumn id="2413" xr3:uid="{ED03EE22-569B-4F7D-8E0A-C84E2E996057}" name="Colonne2405"/>
    <tableColumn id="2414" xr3:uid="{D4BF2481-8926-456E-839E-23C68D361F09}" name="Colonne2406"/>
    <tableColumn id="2415" xr3:uid="{44BB7980-4362-45CC-9E96-A3012D5A4168}" name="Colonne2407"/>
    <tableColumn id="2416" xr3:uid="{4FF3403A-FF1D-41AA-B061-E452DA0B4CAB}" name="Colonne2408"/>
    <tableColumn id="2417" xr3:uid="{7058F5E3-7C41-45E2-9C7A-8D2073487AC8}" name="Colonne2409"/>
    <tableColumn id="2418" xr3:uid="{7445E7A8-4B75-43BE-B85E-E41316A51A9B}" name="Colonne2410"/>
    <tableColumn id="2419" xr3:uid="{E1FDF6EE-818E-4F4F-8322-8BDA7F526A48}" name="Colonne2411"/>
    <tableColumn id="2420" xr3:uid="{323B9AA3-FC80-4C80-8B5A-75DE6843A978}" name="Colonne2412"/>
    <tableColumn id="2421" xr3:uid="{6D6F22F7-151A-41F7-A80E-8B672FBE2E9C}" name="Colonne2413"/>
    <tableColumn id="2422" xr3:uid="{E18A96A4-CEF6-4658-A1B0-8A01D4910BE3}" name="Colonne2414"/>
    <tableColumn id="2423" xr3:uid="{733BE17D-9CF4-47C7-9DC6-59A27E41BA56}" name="Colonne2415"/>
    <tableColumn id="2424" xr3:uid="{91234755-04A7-4BFA-8E93-5C86D82AFC89}" name="Colonne2416"/>
    <tableColumn id="2425" xr3:uid="{7D1C7E21-4A8E-4297-A2E1-41D9CA0C5EA2}" name="Colonne2417"/>
    <tableColumn id="2426" xr3:uid="{E99B51BF-E9F8-49D3-8D64-F79B698C6088}" name="Colonne2418"/>
    <tableColumn id="2427" xr3:uid="{62E764A3-4761-4204-BFDB-8F7C75D8F7B2}" name="Colonne2419"/>
    <tableColumn id="2428" xr3:uid="{0F594DA2-9AF9-491F-8F29-9F6B789D2730}" name="Colonne2420"/>
    <tableColumn id="2429" xr3:uid="{908AA465-F95B-405B-8B09-F718AC8B7459}" name="Colonne2421"/>
    <tableColumn id="2430" xr3:uid="{DA99A207-A6C3-4B05-81AB-8F803423776E}" name="Colonne2422"/>
    <tableColumn id="2431" xr3:uid="{517E93DA-A18A-49A1-9D01-EEF1D8E34514}" name="Colonne2423"/>
    <tableColumn id="2432" xr3:uid="{512CD4CD-D4B8-43F8-AC2B-F1728A34597C}" name="Colonne2424"/>
    <tableColumn id="2433" xr3:uid="{34862011-3654-4E3B-BDF7-DAB5EAC76CCE}" name="Colonne2425"/>
    <tableColumn id="2434" xr3:uid="{FFA24AF4-93DC-4B20-B763-3127D6A99440}" name="Colonne2426"/>
    <tableColumn id="2435" xr3:uid="{22B14D41-4FB2-4A66-A7C5-F73071DBC624}" name="Colonne2427"/>
    <tableColumn id="2436" xr3:uid="{04A581ED-E515-4313-85B0-FE47C7CD6AE6}" name="Colonne2428"/>
    <tableColumn id="2437" xr3:uid="{2362E73E-6CDC-40CB-A1C6-CB5387775A8D}" name="Colonne2429"/>
    <tableColumn id="2438" xr3:uid="{96D99946-9307-4500-958C-70CD6A836418}" name="Colonne2430"/>
    <tableColumn id="2439" xr3:uid="{278DBB08-E9BD-4E60-A45A-E115714A53FB}" name="Colonne2431"/>
    <tableColumn id="2440" xr3:uid="{0DE1BC35-8E78-4EB3-8127-A15B01BAC332}" name="Colonne2432"/>
    <tableColumn id="2441" xr3:uid="{D724C9AC-4A64-423F-A073-F5253BD3BE8E}" name="Colonne2433"/>
    <tableColumn id="2442" xr3:uid="{09281CCA-539D-4040-83D1-57687FD7F8CB}" name="Colonne2434"/>
    <tableColumn id="2443" xr3:uid="{5F8B7A94-B4B6-42FA-931E-5FD69C54AF9C}" name="Colonne2435"/>
    <tableColumn id="2444" xr3:uid="{702774B8-3A00-4D9B-8ECD-408462D9DF37}" name="Colonne2436"/>
    <tableColumn id="2445" xr3:uid="{F84EFBF7-F0F8-4F5E-9CD8-FD69FF76B059}" name="Colonne2437"/>
    <tableColumn id="2446" xr3:uid="{1A2C1CC5-7C98-45A5-A37D-49EF6FACEABE}" name="Colonne2438"/>
    <tableColumn id="2447" xr3:uid="{96F96DD8-DC38-4234-9A28-37C275F5ACC9}" name="Colonne2439"/>
    <tableColumn id="2448" xr3:uid="{5EC513C6-D524-4A22-9B84-B037024466A7}" name="Colonne2440"/>
    <tableColumn id="2449" xr3:uid="{23899236-64EF-4E9C-B948-AF5F85B7CDC4}" name="Colonne2441"/>
    <tableColumn id="2450" xr3:uid="{382B3F75-ED38-4D67-A999-8EAF7637D80B}" name="Colonne2442"/>
    <tableColumn id="2451" xr3:uid="{B30A81F7-E369-4CC3-94C7-ECA61B461A2A}" name="Colonne2443"/>
    <tableColumn id="2452" xr3:uid="{358D4CD9-8519-490D-A55E-CE518A9356A3}" name="Colonne2444"/>
    <tableColumn id="2453" xr3:uid="{2D9028C8-41B0-47F8-8EC7-7C49A74462B2}" name="Colonne2445"/>
    <tableColumn id="2454" xr3:uid="{ADAF72CF-A8F7-4A7D-A322-88D4159CCF5D}" name="Colonne2446"/>
    <tableColumn id="2455" xr3:uid="{5655C0F9-CDE0-45F5-883C-784E8ED96606}" name="Colonne2447"/>
    <tableColumn id="2456" xr3:uid="{25F1C20F-7DF7-41C4-9BF8-4069E5387FC4}" name="Colonne2448"/>
    <tableColumn id="2457" xr3:uid="{5813F37D-2F73-407A-A5B8-1967B7B57A0E}" name="Colonne2449"/>
    <tableColumn id="2458" xr3:uid="{F01822C6-7D46-4E1C-BDB5-E9999EB53F59}" name="Colonne2450"/>
    <tableColumn id="2459" xr3:uid="{BB0E3DC2-0593-4854-9330-76ADE73DEDEB}" name="Colonne2451"/>
    <tableColumn id="2460" xr3:uid="{00140D12-F202-4DC3-B95F-C15122359AEF}" name="Colonne2452"/>
    <tableColumn id="2461" xr3:uid="{FAEB4E8A-D4D1-4113-959C-186732DAECEE}" name="Colonne2453"/>
    <tableColumn id="2462" xr3:uid="{E70E1DFA-727D-4107-83A8-EDE476D32130}" name="Colonne2454"/>
    <tableColumn id="2463" xr3:uid="{ED9A271E-8468-4598-8F61-FC722E8E00FD}" name="Colonne2455"/>
    <tableColumn id="2464" xr3:uid="{32A8C374-BF4A-4184-B977-2ACA56150BBE}" name="Colonne2456"/>
    <tableColumn id="2465" xr3:uid="{E30683F6-83BC-46AC-B6EE-8E74648B163B}" name="Colonne2457"/>
    <tableColumn id="2466" xr3:uid="{88D9E46E-770A-42F9-B636-FA1C1C221908}" name="Colonne2458"/>
    <tableColumn id="2467" xr3:uid="{E891BE0A-8C92-433F-A3F2-193B8BD0CE12}" name="Colonne2459"/>
    <tableColumn id="2468" xr3:uid="{4F642260-97E7-42B2-9E48-0C8D6772CC32}" name="Colonne2460"/>
    <tableColumn id="2469" xr3:uid="{ADBC821C-2B17-4709-9D6D-C13F1CDB007C}" name="Colonne2461"/>
    <tableColumn id="2470" xr3:uid="{255DE3AB-C049-4BB1-A1A2-F22E63257A87}" name="Colonne2462"/>
    <tableColumn id="2471" xr3:uid="{D862CDD9-3EAE-4FFD-AD37-87AE55A7794B}" name="Colonne2463"/>
    <tableColumn id="2472" xr3:uid="{244B5AD6-5BDF-4452-974A-8E64DDDDE3BE}" name="Colonne2464"/>
    <tableColumn id="2473" xr3:uid="{3023BB4B-607E-427F-9DA9-1599DADEC66F}" name="Colonne2465"/>
    <tableColumn id="2474" xr3:uid="{B1860023-5222-48E5-BFDA-FF348731DFE7}" name="Colonne2466"/>
    <tableColumn id="2475" xr3:uid="{A59C865A-FC6B-4AF8-B293-1459879F694C}" name="Colonne2467"/>
    <tableColumn id="2476" xr3:uid="{F8D03EBF-4632-4402-8667-C662AF95C672}" name="Colonne2468"/>
    <tableColumn id="2477" xr3:uid="{CBAD9FD4-680F-401A-B789-B032286BB52E}" name="Colonne2469"/>
    <tableColumn id="2478" xr3:uid="{8C326B40-2F5A-40C1-8652-A222A275A629}" name="Colonne2470"/>
    <tableColumn id="2479" xr3:uid="{869D6E5B-1B62-4619-823E-1F2BFFADA209}" name="Colonne2471"/>
    <tableColumn id="2480" xr3:uid="{709399BC-0097-4D67-AF98-C4D478F6CD7E}" name="Colonne2472"/>
    <tableColumn id="2481" xr3:uid="{3AD520F7-CE51-4871-8E6C-BBD07E75E3B6}" name="Colonne2473"/>
    <tableColumn id="2482" xr3:uid="{5834EAEA-DCDA-4DE2-81F2-7450878A7009}" name="Colonne2474"/>
    <tableColumn id="2483" xr3:uid="{C4445998-7783-4FF0-AF52-7241EA378357}" name="Colonne2475"/>
    <tableColumn id="2484" xr3:uid="{D8F19E20-1BB5-4194-A77D-626DBE54B3E1}" name="Colonne2476"/>
    <tableColumn id="2485" xr3:uid="{AF6F6B77-03CA-460F-83E9-68E3FD2A62C7}" name="Colonne2477"/>
    <tableColumn id="2486" xr3:uid="{991A4639-29FD-4D92-886B-9FFCB08F6727}" name="Colonne2478"/>
    <tableColumn id="2487" xr3:uid="{8900DA3D-33ED-4B3E-89FC-996D5E9E97D8}" name="Colonne2479"/>
    <tableColumn id="2488" xr3:uid="{E743B9D3-8EC8-4A00-A38C-C34A6C7538B5}" name="Colonne2480"/>
    <tableColumn id="2489" xr3:uid="{D024EE0D-F8B1-4891-A9C8-E2062C6AD678}" name="Colonne2481"/>
    <tableColumn id="2490" xr3:uid="{CA0EC503-70B7-48D8-B8DE-39B9AD640FBA}" name="Colonne2482"/>
    <tableColumn id="2491" xr3:uid="{4D776A12-CB1C-4674-9C66-3917E41AFD42}" name="Colonne2483"/>
    <tableColumn id="2492" xr3:uid="{D61D86A1-CDA7-449B-A0F9-79B44D073FCD}" name="Colonne2484"/>
    <tableColumn id="2493" xr3:uid="{85FAA7F7-7FA1-4873-8C94-1D4ECA847E55}" name="Colonne2485"/>
    <tableColumn id="2494" xr3:uid="{C27AF6C4-41B9-4903-9DBC-A4135EDA6C6E}" name="Colonne2486"/>
    <tableColumn id="2495" xr3:uid="{961BD7A5-558C-4FF2-AA93-14BD08B9F342}" name="Colonne2487"/>
    <tableColumn id="2496" xr3:uid="{16AE0C2F-F74E-4582-9445-C7A219F19127}" name="Colonne2488"/>
    <tableColumn id="2497" xr3:uid="{F58459DA-0505-4A56-8ECA-F952AA4E50C7}" name="Colonne2489"/>
    <tableColumn id="2498" xr3:uid="{C1B232D9-7CA9-4C3A-8E1A-6006FD3260DB}" name="Colonne2490"/>
    <tableColumn id="2499" xr3:uid="{7740ACA7-F849-4862-8209-0E76A72158F0}" name="Colonne2491"/>
    <tableColumn id="2500" xr3:uid="{575AAF2C-83E6-4261-9DE5-2399E1495FEE}" name="Colonne2492"/>
    <tableColumn id="2501" xr3:uid="{779A142A-B250-4576-B29A-B4B62A1A0211}" name="Colonne2493"/>
    <tableColumn id="2502" xr3:uid="{10E25A63-E728-4CD9-B024-F7B3554E3912}" name="Colonne2494"/>
    <tableColumn id="2503" xr3:uid="{59C21D54-38B5-4E3B-A9E5-D67AD0163519}" name="Colonne2495"/>
    <tableColumn id="2504" xr3:uid="{645A66EB-BC1A-4E5F-BFFB-318842EB924F}" name="Colonne2496"/>
    <tableColumn id="2505" xr3:uid="{059A55B5-B424-45A6-A7BD-A5DE7DC19C4D}" name="Colonne2497"/>
    <tableColumn id="2506" xr3:uid="{810AC5DD-EE60-4C74-AB83-685A9F5304B8}" name="Colonne2498"/>
    <tableColumn id="2507" xr3:uid="{86229E3A-D1D1-4CB6-B294-CAC10ACDBFD8}" name="Colonne2499"/>
    <tableColumn id="2508" xr3:uid="{68CA0190-6109-4C4C-A779-C90B12FECB8F}" name="Colonne2500"/>
    <tableColumn id="2509" xr3:uid="{A15F0591-6087-4674-9459-59F55AF196AA}" name="Colonne2501"/>
    <tableColumn id="2510" xr3:uid="{264C0857-C380-4A0A-8387-9FB7E2F6DAF2}" name="Colonne2502"/>
    <tableColumn id="2511" xr3:uid="{76537967-516A-4D7B-BD8B-D89762CE94B1}" name="Colonne2503"/>
    <tableColumn id="2512" xr3:uid="{E260E21D-25FB-452B-AFA5-EABD00C84352}" name="Colonne2504"/>
    <tableColumn id="2513" xr3:uid="{3FFFACD2-5D98-49B0-857A-F084B50432A4}" name="Colonne2505"/>
    <tableColumn id="2514" xr3:uid="{25B0CB2D-0527-4CF7-8DBA-0AEEB3F55F48}" name="Colonne2506"/>
    <tableColumn id="2515" xr3:uid="{44C86F52-BD14-4728-9684-0A516990A91C}" name="Colonne2507"/>
    <tableColumn id="2516" xr3:uid="{8E33F41E-8356-43A1-9B6A-1FA03D40D2B8}" name="Colonne2508"/>
    <tableColumn id="2517" xr3:uid="{DE336D12-C2C8-4791-9D3E-21512C1EBF7C}" name="Colonne2509"/>
    <tableColumn id="2518" xr3:uid="{54D84B50-4090-4625-A99A-CFCEC59A9539}" name="Colonne2510"/>
    <tableColumn id="2519" xr3:uid="{F8558E9A-70F8-4860-AF84-B2A1A25694FB}" name="Colonne2511"/>
    <tableColumn id="2520" xr3:uid="{F9E02209-783C-4A15-B987-DB9840D57EDE}" name="Colonne2512"/>
    <tableColumn id="2521" xr3:uid="{B3B62646-D0B8-4D69-A4DD-588BEDC967DA}" name="Colonne2513"/>
    <tableColumn id="2522" xr3:uid="{57D05656-E8CE-4FFF-896E-2D3948FD921A}" name="Colonne2514"/>
    <tableColumn id="2523" xr3:uid="{9FDFA3C3-677A-4D78-AE07-0850140C78A1}" name="Colonne2515"/>
    <tableColumn id="2524" xr3:uid="{3C071B99-82D3-4310-9897-6829CE6201F1}" name="Colonne2516"/>
    <tableColumn id="2525" xr3:uid="{321563CF-6B32-4A63-B2A4-1E205F29D720}" name="Colonne2517"/>
    <tableColumn id="2526" xr3:uid="{B4532779-2414-4234-8C19-4CF41BD1C7C1}" name="Colonne2518"/>
    <tableColumn id="2527" xr3:uid="{51627058-AA22-4B00-8B32-9C139E9C6C3D}" name="Colonne2519"/>
    <tableColumn id="2528" xr3:uid="{50C117A3-09E4-4AAC-B090-0E05C967ABD9}" name="Colonne2520"/>
    <tableColumn id="2529" xr3:uid="{6D1454C6-C13B-459B-942E-F0D119DF7BCF}" name="Colonne2521"/>
    <tableColumn id="2530" xr3:uid="{A6C68C01-FFDC-4776-9E85-1E65C513A857}" name="Colonne2522"/>
    <tableColumn id="2531" xr3:uid="{81F8121F-B0E8-4108-BD19-5F57B7865CED}" name="Colonne2523"/>
    <tableColumn id="2532" xr3:uid="{095818B9-A6B0-4A2F-8620-6178E289C1C4}" name="Colonne2524"/>
    <tableColumn id="2533" xr3:uid="{A495FD2C-221F-4FD4-8FB8-F16D352360ED}" name="Colonne2525"/>
    <tableColumn id="2534" xr3:uid="{89E73E94-ACF7-4C20-8255-7CD2F58A27F9}" name="Colonne2526"/>
    <tableColumn id="2535" xr3:uid="{E165359E-53AA-44AF-8D68-EA87430D5AC6}" name="Colonne2527"/>
    <tableColumn id="2536" xr3:uid="{79272155-2898-4509-9D95-93BC93511D15}" name="Colonne2528"/>
    <tableColumn id="2537" xr3:uid="{42D315A5-1E1D-4084-80A4-F66D719A5EB5}" name="Colonne2529"/>
    <tableColumn id="2538" xr3:uid="{208AFA0D-B8DA-4B85-A2FD-E8E11DDF381B}" name="Colonne2530"/>
    <tableColumn id="2539" xr3:uid="{8CAE90DE-4252-4BC5-BD43-C4CB2FCE4BA9}" name="Colonne2531"/>
    <tableColumn id="2540" xr3:uid="{8DBBDE88-EE6E-4248-852A-7EEEC108C97F}" name="Colonne2532"/>
    <tableColumn id="2541" xr3:uid="{1E1C1AAD-8D75-4F2E-8AB7-1698225760AE}" name="Colonne2533"/>
    <tableColumn id="2542" xr3:uid="{96B3AC40-C60A-4023-BDE0-F2C44EA2FD63}" name="Colonne2534"/>
    <tableColumn id="2543" xr3:uid="{968E5677-0BEE-44DA-B568-BE087783127A}" name="Colonne2535"/>
    <tableColumn id="2544" xr3:uid="{0D450F40-0FAB-49A4-B791-052DE3DA97A6}" name="Colonne2536"/>
    <tableColumn id="2545" xr3:uid="{5A0F2550-DE2D-4C3E-BF3E-810BDC593BFB}" name="Colonne2537"/>
    <tableColumn id="2546" xr3:uid="{DBFAE9A5-7DCB-46FF-9C4A-8893E276028F}" name="Colonne2538"/>
    <tableColumn id="2547" xr3:uid="{4D73319C-7330-47A1-8B99-6BFC11970A62}" name="Colonne2539"/>
    <tableColumn id="2548" xr3:uid="{2E2843CA-3105-4DE0-ADCF-F76C5CA96C99}" name="Colonne2540"/>
    <tableColumn id="2549" xr3:uid="{2C9647D4-EA25-4D3C-9EC1-E476B8A41291}" name="Colonne2541"/>
    <tableColumn id="2550" xr3:uid="{519A2C40-8BE7-405F-8F12-C8E1F5B33198}" name="Colonne2542"/>
    <tableColumn id="2551" xr3:uid="{CFD7832E-34C9-426F-84FA-B5D00C6D5B6B}" name="Colonne2543"/>
    <tableColumn id="2552" xr3:uid="{0DF054B4-4BF4-445C-9D01-FDD34B652566}" name="Colonne2544"/>
    <tableColumn id="2553" xr3:uid="{1ABBEF79-E360-46B5-865D-FC2970449A56}" name="Colonne2545"/>
    <tableColumn id="2554" xr3:uid="{13E9D65B-D992-4D0F-9D14-D04442223DD8}" name="Colonne2546"/>
    <tableColumn id="2555" xr3:uid="{94D9B537-2A8E-4A94-860C-9DE020A47DEC}" name="Colonne2547"/>
    <tableColumn id="2556" xr3:uid="{9C7FD5BF-220D-431A-B125-AC834DAEBB84}" name="Colonne2548"/>
    <tableColumn id="2557" xr3:uid="{3F7D1713-6B74-47D3-A7BD-A81616788FA1}" name="Colonne2549"/>
    <tableColumn id="2558" xr3:uid="{8D87521E-4607-45D1-BD13-C9359EE5063F}" name="Colonne2550"/>
    <tableColumn id="2559" xr3:uid="{15A64298-1E32-497B-9C6B-30BF547800C3}" name="Colonne2551"/>
    <tableColumn id="2560" xr3:uid="{8A8A2AB9-65F6-4538-AC4F-3E3D8F17D835}" name="Colonne2552"/>
    <tableColumn id="2561" xr3:uid="{68B82689-8CFB-4554-9972-8570AB02A3C0}" name="Colonne2553"/>
    <tableColumn id="2562" xr3:uid="{9C34A88F-C1FE-4B42-9DD3-C21CB13B657A}" name="Colonne2554"/>
    <tableColumn id="2563" xr3:uid="{27BEAA1A-49E1-4BF1-8F90-54E88010C581}" name="Colonne2555"/>
    <tableColumn id="2564" xr3:uid="{2DF51AD6-5E72-44F2-895B-16E3ACA34D0D}" name="Colonne2556"/>
    <tableColumn id="2565" xr3:uid="{C9AFC690-A4A6-42A7-9E68-EFC8283DB420}" name="Colonne2557"/>
    <tableColumn id="2566" xr3:uid="{0A4883EF-45C1-4751-9357-500040D00A35}" name="Colonne2558"/>
    <tableColumn id="2567" xr3:uid="{BF629BE5-E8D0-4086-A7F9-BFB7EA1D7BDB}" name="Colonne2559"/>
    <tableColumn id="2568" xr3:uid="{95BF32EC-5FA8-4820-91FF-B76B77F59F6E}" name="Colonne2560"/>
    <tableColumn id="2569" xr3:uid="{39203C1A-947B-4DF8-A160-3BB7A2232973}" name="Colonne2561"/>
    <tableColumn id="2570" xr3:uid="{87F95562-04EE-429D-847D-95AB6CFCFF49}" name="Colonne2562"/>
    <tableColumn id="2571" xr3:uid="{4EEF765D-C528-4B51-A3A9-80ED85B9DC6C}" name="Colonne2563"/>
    <tableColumn id="2572" xr3:uid="{EDD18B47-2738-441B-BE1D-27136A372750}" name="Colonne2564"/>
    <tableColumn id="2573" xr3:uid="{485790F2-9A12-4251-BBE6-97C65712484E}" name="Colonne2565"/>
    <tableColumn id="2574" xr3:uid="{A7547DED-08E2-45BC-881F-B54021B2E271}" name="Colonne2566"/>
    <tableColumn id="2575" xr3:uid="{4F5F53CB-4A70-41D3-B4B9-3264F46BB46F}" name="Colonne2567"/>
    <tableColumn id="2576" xr3:uid="{50E9A91D-08F0-47E7-9AD4-2BB13FD17F3F}" name="Colonne2568"/>
    <tableColumn id="2577" xr3:uid="{A5680259-2548-4E57-A985-BA131239226C}" name="Colonne2569"/>
    <tableColumn id="2578" xr3:uid="{B4CDAF5C-4733-4C3F-A819-8BA22D255493}" name="Colonne2570"/>
    <tableColumn id="2579" xr3:uid="{9A668177-200C-4905-A6D3-1B5EE3347D9C}" name="Colonne2571"/>
    <tableColumn id="2580" xr3:uid="{45DCF32B-42F1-4306-9E93-3A49C7A9669C}" name="Colonne2572"/>
    <tableColumn id="2581" xr3:uid="{5C35E613-65A5-4346-834F-BF4E66345FD6}" name="Colonne2573"/>
    <tableColumn id="2582" xr3:uid="{B12F8AAC-DE2F-4A3A-8701-1662E86AAF6B}" name="Colonne2574"/>
    <tableColumn id="2583" xr3:uid="{E135846D-AC5E-4E87-8259-C098D2461DCF}" name="Colonne2575"/>
    <tableColumn id="2584" xr3:uid="{F28F9CA5-5429-4B41-ABB0-4CD6C5B06339}" name="Colonne2576"/>
    <tableColumn id="2585" xr3:uid="{1DF667A4-CC4A-49C6-9DAF-85C4C503174D}" name="Colonne2577"/>
    <tableColumn id="2586" xr3:uid="{0E49001A-F92B-42B0-BAE0-94CFD2B6C392}" name="Colonne2578"/>
    <tableColumn id="2587" xr3:uid="{691616BB-4917-4971-87D5-1580FC181367}" name="Colonne2579"/>
    <tableColumn id="2588" xr3:uid="{FF2EDA60-5C80-4FDE-BD5E-BC1E49BC0E5F}" name="Colonne2580"/>
    <tableColumn id="2589" xr3:uid="{00AB077D-2605-4F8A-8019-C3E399C48B9F}" name="Colonne2581"/>
    <tableColumn id="2590" xr3:uid="{E514E10C-3DDE-416B-83C1-AF7FB79D4B4F}" name="Colonne2582"/>
    <tableColumn id="2591" xr3:uid="{73A5EB82-78DF-46F8-9ACC-5958494D033D}" name="Colonne2583"/>
    <tableColumn id="2592" xr3:uid="{E0B84A16-703C-4622-9F43-0A978E9B9569}" name="Colonne2584"/>
    <tableColumn id="2593" xr3:uid="{CBE6DDC7-BCBA-4758-965E-2678F39026AD}" name="Colonne2585"/>
    <tableColumn id="2594" xr3:uid="{D03F29BA-0F4F-468B-83B8-6CB6CE2786BA}" name="Colonne2586"/>
    <tableColumn id="2595" xr3:uid="{6DD4CD49-FA8A-4C09-A8CB-8A9D86CFE5E8}" name="Colonne2587"/>
    <tableColumn id="2596" xr3:uid="{EF8CF3D8-951E-4D51-BC18-76A7CC65B5AB}" name="Colonne2588"/>
    <tableColumn id="2597" xr3:uid="{C5644FB6-0710-4827-8F35-4364A450258F}" name="Colonne2589"/>
    <tableColumn id="2598" xr3:uid="{3AA9D36B-9D48-4C6D-939D-599C72B1CC84}" name="Colonne2590"/>
    <tableColumn id="2599" xr3:uid="{68E4E889-B6CA-44D9-8A07-28AFF4B1651C}" name="Colonne2591"/>
    <tableColumn id="2600" xr3:uid="{7B8B0D6B-71C9-4D0A-ACB9-492B922F3407}" name="Colonne2592"/>
    <tableColumn id="2601" xr3:uid="{31DDAC12-97A7-438D-892F-90C0A1C630A6}" name="Colonne2593"/>
    <tableColumn id="2602" xr3:uid="{EB92A753-A9CE-4BCB-A6CB-4BC38E22C02A}" name="Colonne2594"/>
    <tableColumn id="2603" xr3:uid="{E87AC650-32F9-43D8-91BF-6EC17D3572CE}" name="Colonne2595"/>
    <tableColumn id="2604" xr3:uid="{1346A33C-23AC-4364-90A0-6F3B23373012}" name="Colonne2596"/>
    <tableColumn id="2605" xr3:uid="{91EF78F4-73AC-45EB-97EE-0FDB4EFDD24D}" name="Colonne2597"/>
    <tableColumn id="2606" xr3:uid="{5CC59A08-33DB-4160-8CC4-5475C931C28E}" name="Colonne2598"/>
    <tableColumn id="2607" xr3:uid="{3A1BB4D4-21B6-4648-9D30-69EC995E5073}" name="Colonne2599"/>
    <tableColumn id="2608" xr3:uid="{C05B08AF-415A-4838-B2B4-DC4089C76B48}" name="Colonne2600"/>
    <tableColumn id="2609" xr3:uid="{6B90830B-BCFD-4EF8-88D8-C18C6FB3ACA6}" name="Colonne2601"/>
    <tableColumn id="2610" xr3:uid="{74A1C08E-BC1F-432A-9D6F-D588C60F4DA7}" name="Colonne2602"/>
    <tableColumn id="2611" xr3:uid="{464A1FA9-7C34-4694-9F49-24B1DA0D402F}" name="Colonne2603"/>
    <tableColumn id="2612" xr3:uid="{B39A77BD-7D22-4A6A-AD1E-70B796E22EC3}" name="Colonne2604"/>
    <tableColumn id="2613" xr3:uid="{23DCF581-7B66-40F9-80EF-393D3B2F100D}" name="Colonne2605"/>
    <tableColumn id="2614" xr3:uid="{900DE99E-3660-4D61-8C80-588649C14DD7}" name="Colonne2606"/>
    <tableColumn id="2615" xr3:uid="{C8E756C3-6E77-47A1-AE4B-31693831A0E7}" name="Colonne2607"/>
    <tableColumn id="2616" xr3:uid="{C69D9FCE-FF38-49CE-A615-ADCD7F7B2B06}" name="Colonne2608"/>
    <tableColumn id="2617" xr3:uid="{0D8A6F68-7709-425D-B560-FE79B4451560}" name="Colonne2609"/>
    <tableColumn id="2618" xr3:uid="{A9B739C7-17D0-4DAB-B247-815318655B12}" name="Colonne2610"/>
    <tableColumn id="2619" xr3:uid="{3CEC39AB-288F-4EB9-8A75-ED18AE1A9D86}" name="Colonne2611"/>
    <tableColumn id="2620" xr3:uid="{21775643-BC3F-405C-904B-14626D8D0821}" name="Colonne2612"/>
    <tableColumn id="2621" xr3:uid="{96EB5797-70ED-441F-B3EA-D5830093333F}" name="Colonne2613"/>
    <tableColumn id="2622" xr3:uid="{95C824C6-323F-4D2F-A3F5-681B766B1F8A}" name="Colonne2614"/>
    <tableColumn id="2623" xr3:uid="{28070132-A7E4-4E1E-B1E2-367BC3F350A2}" name="Colonne2615"/>
    <tableColumn id="2624" xr3:uid="{1EB52CEF-FF2C-4F74-BC4D-55AF8C646919}" name="Colonne2616"/>
    <tableColumn id="2625" xr3:uid="{B0DB8D39-1BCB-465C-A2F8-726C1B0EFD58}" name="Colonne2617"/>
    <tableColumn id="2626" xr3:uid="{15405A75-77CD-4DFE-B02E-F9959620F37B}" name="Colonne2618"/>
    <tableColumn id="2627" xr3:uid="{0B4A905F-3D6E-4327-A4C4-6FA114351241}" name="Colonne2619"/>
    <tableColumn id="2628" xr3:uid="{465C418B-59A9-4E64-9552-CE0117751AE9}" name="Colonne2620"/>
    <tableColumn id="2629" xr3:uid="{D3320988-5E89-488D-AF6C-02C4194C0198}" name="Colonne2621"/>
    <tableColumn id="2630" xr3:uid="{03435E8A-8956-4DA3-92F1-414EC66F970D}" name="Colonne2622"/>
    <tableColumn id="2631" xr3:uid="{7A2DBA01-F41F-4CD8-9047-6C3D4092DBD4}" name="Colonne2623"/>
    <tableColumn id="2632" xr3:uid="{545080A9-BEC7-43AF-8EBF-61BF92733A98}" name="Colonne2624"/>
    <tableColumn id="2633" xr3:uid="{B6B6969F-90DC-4BA1-A72E-F33B8BCBB0D9}" name="Colonne2625"/>
    <tableColumn id="2634" xr3:uid="{0A39AA59-A3AD-46DE-851F-E6CE4207EF4A}" name="Colonne2626"/>
    <tableColumn id="2635" xr3:uid="{6C2393D4-DC92-4A1D-AC35-C6BACC706361}" name="Colonne2627"/>
    <tableColumn id="2636" xr3:uid="{45F6A6C6-9436-46A6-AE7A-3DD6CFFFA999}" name="Colonne2628"/>
    <tableColumn id="2637" xr3:uid="{2EFF374E-B08B-4228-B9D4-95CDF539D903}" name="Colonne2629"/>
    <tableColumn id="2638" xr3:uid="{DE6A20D2-FBBC-448C-9201-B53CAA42EF0C}" name="Colonne2630"/>
    <tableColumn id="2639" xr3:uid="{DB999AF7-5961-438D-A086-686EFE8A62BC}" name="Colonne2631"/>
    <tableColumn id="2640" xr3:uid="{F9FFA89E-0479-47A5-97B6-E1A700EAE767}" name="Colonne2632"/>
    <tableColumn id="2641" xr3:uid="{9AE21F10-E2F7-436C-A057-64D5C7128A2E}" name="Colonne2633"/>
    <tableColumn id="2642" xr3:uid="{A71FBFEB-AF73-4DAA-AF79-957FFE5CAECF}" name="Colonne2634"/>
    <tableColumn id="2643" xr3:uid="{61C50F1E-846B-4AFF-99BF-8BD7DDE2D2B5}" name="Colonne2635"/>
    <tableColumn id="2644" xr3:uid="{C70F69B8-5642-4875-98B7-482DB200E07D}" name="Colonne2636"/>
    <tableColumn id="2645" xr3:uid="{9E71DB23-F80B-4883-8E3A-91749852186A}" name="Colonne2637"/>
    <tableColumn id="2646" xr3:uid="{666C08FD-FDB7-459F-9F04-4E1F98BD1B08}" name="Colonne2638"/>
    <tableColumn id="2647" xr3:uid="{18EBA99E-0D9A-4415-9C6B-1D5B692D8350}" name="Colonne2639"/>
    <tableColumn id="2648" xr3:uid="{B556A134-BE0E-4270-A060-4A5C267207E2}" name="Colonne2640"/>
    <tableColumn id="2649" xr3:uid="{246B28DD-1AEE-423D-90B1-E4377180BC75}" name="Colonne2641"/>
    <tableColumn id="2650" xr3:uid="{44C193D8-DCE7-45AE-B38E-09CA2490AD40}" name="Colonne2642"/>
    <tableColumn id="2651" xr3:uid="{BBDFA0DE-0371-412B-A23E-4F02093AA3C7}" name="Colonne2643"/>
    <tableColumn id="2652" xr3:uid="{4B463EEC-BA1F-4310-A32D-2E0AC31C65D1}" name="Colonne2644"/>
    <tableColumn id="2653" xr3:uid="{046BCB21-7680-422B-B7D4-3ED232DA6010}" name="Colonne2645"/>
    <tableColumn id="2654" xr3:uid="{F25395A3-8E1A-4F4E-8EDF-99CBBD15350E}" name="Colonne2646"/>
    <tableColumn id="2655" xr3:uid="{CE981083-F4D4-44AF-8DF5-B542867DCA8C}" name="Colonne2647"/>
    <tableColumn id="2656" xr3:uid="{9ECE7E0E-FFE3-4628-8B65-DAAE2C5D0725}" name="Colonne2648"/>
    <tableColumn id="2657" xr3:uid="{B5111811-3B9F-42EC-8A88-419499D09720}" name="Colonne2649"/>
    <tableColumn id="2658" xr3:uid="{F83928AA-F023-4B55-A9A6-1D3C19C8CDB8}" name="Colonne2650"/>
    <tableColumn id="2659" xr3:uid="{029F191B-D252-45DC-B162-86BB7BD5186C}" name="Colonne2651"/>
    <tableColumn id="2660" xr3:uid="{7E2160FF-5213-4DF7-86CB-23CFA5086EB2}" name="Colonne2652"/>
    <tableColumn id="2661" xr3:uid="{51E3579B-3980-4E80-969C-94C25A8905FD}" name="Colonne2653"/>
    <tableColumn id="2662" xr3:uid="{EA177515-D02C-461D-9DFB-5FAC511E3BDC}" name="Colonne2654"/>
    <tableColumn id="2663" xr3:uid="{08C9E1DE-79E0-4B26-B671-6B8004B90BA7}" name="Colonne2655"/>
    <tableColumn id="2664" xr3:uid="{BD563990-C6F5-45D1-A1F4-55A292748986}" name="Colonne2656"/>
    <tableColumn id="2665" xr3:uid="{242ACBBA-2379-4A33-8C1D-8447F12EB905}" name="Colonne2657"/>
    <tableColumn id="2666" xr3:uid="{917E0808-42F1-4F81-9C4C-C2E227774972}" name="Colonne2658"/>
    <tableColumn id="2667" xr3:uid="{DA91BDB4-A860-477F-BF2B-A18901AB35C0}" name="Colonne2659"/>
    <tableColumn id="2668" xr3:uid="{C71B9713-54CB-4CD8-893C-A7883AAC67A2}" name="Colonne2660"/>
    <tableColumn id="2669" xr3:uid="{FD37FCAA-1D63-4ECE-9238-4454F8AD96A5}" name="Colonne2661"/>
    <tableColumn id="2670" xr3:uid="{DC4DE794-8CD3-44C5-8CF9-3DD8475B3D40}" name="Colonne2662"/>
    <tableColumn id="2671" xr3:uid="{A35E28E8-22C6-46A3-899D-E891D594C702}" name="Colonne2663"/>
    <tableColumn id="2672" xr3:uid="{B301B236-C373-46B1-A383-1726FC40180F}" name="Colonne2664"/>
    <tableColumn id="2673" xr3:uid="{5C8026A9-28E4-474D-A9E6-9D520C1B71A1}" name="Colonne2665"/>
    <tableColumn id="2674" xr3:uid="{22D2AFF2-0A5B-44B3-9576-2696668A5714}" name="Colonne2666"/>
    <tableColumn id="2675" xr3:uid="{C91A283D-1C7B-429C-927F-6A3C0070318E}" name="Colonne2667"/>
    <tableColumn id="2676" xr3:uid="{3D59933A-F87D-4958-AD56-9A516492672F}" name="Colonne2668"/>
    <tableColumn id="2677" xr3:uid="{225F4EDB-5AEE-41D0-8942-B9A1B2EA5D13}" name="Colonne2669"/>
    <tableColumn id="2678" xr3:uid="{51A1C54C-A6FF-4E8A-B5BD-9459DF07AEB8}" name="Colonne2670"/>
    <tableColumn id="2679" xr3:uid="{9F3819F6-CD35-401D-9A4F-3A3A806BD85B}" name="Colonne2671"/>
    <tableColumn id="2680" xr3:uid="{5E631B39-7289-4EB6-8815-1C164E75FED9}" name="Colonne2672"/>
    <tableColumn id="2681" xr3:uid="{9812793A-6BD3-432B-A12D-65749E71BC5B}" name="Colonne2673"/>
    <tableColumn id="2682" xr3:uid="{6C0994F7-389E-4914-BF45-DFA5DD2E6DC8}" name="Colonne2674"/>
    <tableColumn id="2683" xr3:uid="{813404AD-B367-4D63-A006-B3E281E667C1}" name="Colonne2675"/>
    <tableColumn id="2684" xr3:uid="{24B6FBA7-3A2C-4F58-9189-E3B69C1C6F0F}" name="Colonne2676"/>
    <tableColumn id="2685" xr3:uid="{BC5D3AFB-FFFD-4AAB-ADAA-6E9BFB58CD5E}" name="Colonne2677"/>
    <tableColumn id="2686" xr3:uid="{E2195113-4EB5-4768-8C38-63ADCCA7D0A2}" name="Colonne2678"/>
    <tableColumn id="2687" xr3:uid="{0987409F-940B-42B5-8781-A9FEDF95EA60}" name="Colonne2679"/>
    <tableColumn id="2688" xr3:uid="{2F38F408-5CF3-4A16-878B-797CE501BF1B}" name="Colonne2680"/>
    <tableColumn id="2689" xr3:uid="{B88B17F0-84F3-45BB-90D2-702E1C5EBBE3}" name="Colonne2681"/>
    <tableColumn id="2690" xr3:uid="{90183D93-514E-4861-9101-00F7D8019912}" name="Colonne2682"/>
    <tableColumn id="2691" xr3:uid="{B0822B6F-D2E2-4F2E-B3C0-2DCA38B12D60}" name="Colonne2683"/>
    <tableColumn id="2692" xr3:uid="{3697812F-93BB-4B3E-991C-854246BD8E39}" name="Colonne2684"/>
    <tableColumn id="2693" xr3:uid="{A9A8887B-8AE6-4FE4-98DA-12F94ED74EEF}" name="Colonne2685"/>
    <tableColumn id="2694" xr3:uid="{93ED2839-0D5F-44A8-A255-5BAD146861D8}" name="Colonne2686"/>
    <tableColumn id="2695" xr3:uid="{15CA4E9A-106A-4539-976D-8923FDA6BB0D}" name="Colonne2687"/>
    <tableColumn id="2696" xr3:uid="{00C83A18-35E2-45D9-9B18-248A53FD8014}" name="Colonne2688"/>
    <tableColumn id="2697" xr3:uid="{87C85E01-0B4B-47A9-A9C6-D136BBFBA2AD}" name="Colonne2689"/>
    <tableColumn id="2698" xr3:uid="{CF6085A5-1F27-4ECA-98AF-9171CE18D011}" name="Colonne2690"/>
    <tableColumn id="2699" xr3:uid="{0C280ED6-3654-41BC-924F-807C35ABC4F5}" name="Colonne2691"/>
    <tableColumn id="2700" xr3:uid="{7019B4D0-EB6F-40DB-8E64-377CF6FF577F}" name="Colonne2692"/>
    <tableColumn id="2701" xr3:uid="{E619FD6B-F439-4690-8FE1-4097A695A649}" name="Colonne2693"/>
    <tableColumn id="2702" xr3:uid="{CE0AEBB1-5FB4-48E4-8663-87AE180E48F1}" name="Colonne2694"/>
    <tableColumn id="2703" xr3:uid="{304D61A2-2DC4-4E72-824C-9467FF7E228C}" name="Colonne2695"/>
    <tableColumn id="2704" xr3:uid="{CE6F5E5C-A09C-4B53-BF58-BF4A7D52339C}" name="Colonne2696"/>
    <tableColumn id="2705" xr3:uid="{504E5257-0C9A-45C7-B4C6-8247EABBD585}" name="Colonne2697"/>
    <tableColumn id="2706" xr3:uid="{6B97484A-D68B-4BEE-AD76-D0E43C99C246}" name="Colonne2698"/>
    <tableColumn id="2707" xr3:uid="{4EA86A68-24C9-495F-975A-64DA8DDEE7F6}" name="Colonne2699"/>
    <tableColumn id="2708" xr3:uid="{3E2FEA5C-0A5E-481B-84C5-7DD903BA948F}" name="Colonne2700"/>
    <tableColumn id="2709" xr3:uid="{92D83AD3-8978-4B42-952E-2DB20A22B34B}" name="Colonne2701"/>
    <tableColumn id="2710" xr3:uid="{244ECE3F-C78C-48E5-9883-6FE6109D47BB}" name="Colonne2702"/>
    <tableColumn id="2711" xr3:uid="{3E925029-F5D0-4A83-9481-09DA773DB25E}" name="Colonne2703"/>
    <tableColumn id="2712" xr3:uid="{23B1D444-30C4-4768-A950-367D9A2E13CF}" name="Colonne2704"/>
    <tableColumn id="2713" xr3:uid="{AFDA6E5B-48B1-43E4-82F0-055573F352B7}" name="Colonne2705"/>
    <tableColumn id="2714" xr3:uid="{2774DFE1-EAA5-48E5-8BDC-AB4B379F01BB}" name="Colonne2706"/>
    <tableColumn id="2715" xr3:uid="{92DF05D7-1D98-4386-9600-88713056C440}" name="Colonne2707"/>
    <tableColumn id="2716" xr3:uid="{2414311A-66D1-4383-ADBD-8E60AF85032C}" name="Colonne2708"/>
    <tableColumn id="2717" xr3:uid="{11E82FC9-7C9F-4B04-BF57-9A6713BF4F59}" name="Colonne2709"/>
    <tableColumn id="2718" xr3:uid="{3F7A0155-BEEA-4410-BA8F-1C5F28E751FB}" name="Colonne2710"/>
    <tableColumn id="2719" xr3:uid="{3B1B048F-AE6E-447A-BCEA-F90B81883E65}" name="Colonne2711"/>
    <tableColumn id="2720" xr3:uid="{0315E284-9F2B-44D6-86D2-BD062C6F222D}" name="Colonne2712"/>
    <tableColumn id="2721" xr3:uid="{9616859C-8132-4C51-9954-C214ACFBD66F}" name="Colonne2713"/>
    <tableColumn id="2722" xr3:uid="{2912AB67-4979-4BF6-B4CB-8ECCFB2E6CC5}" name="Colonne2714"/>
    <tableColumn id="2723" xr3:uid="{F14AD81C-025F-4350-A655-49DBB7C3A59B}" name="Colonne2715"/>
    <tableColumn id="2724" xr3:uid="{1200CD61-0798-4F88-88AF-C443363D0EE9}" name="Colonne2716"/>
    <tableColumn id="2725" xr3:uid="{A30A1F57-38A2-4E45-93F2-FB4547CB1368}" name="Colonne2717"/>
    <tableColumn id="2726" xr3:uid="{6D73273F-61C9-4873-BCC9-16B81C354E79}" name="Colonne2718"/>
    <tableColumn id="2727" xr3:uid="{C35AA2BE-8F33-41AB-9E94-AB3A6287D81D}" name="Colonne2719"/>
    <tableColumn id="2728" xr3:uid="{7EDBA55C-158F-4E08-BA03-2C47192C6CB1}" name="Colonne2720"/>
    <tableColumn id="2729" xr3:uid="{12FB90C9-8CBF-4411-8776-8C6B55000A4A}" name="Colonne2721"/>
    <tableColumn id="2730" xr3:uid="{08DFCC90-3E91-43E1-BD5A-67C0B7F581C1}" name="Colonne2722"/>
    <tableColumn id="2731" xr3:uid="{0A6B9234-1799-4249-8EB3-C792BC188DE8}" name="Colonne2723"/>
    <tableColumn id="2732" xr3:uid="{86F74C27-F707-4D90-83E1-523FDD1DBCE1}" name="Colonne2724"/>
    <tableColumn id="2733" xr3:uid="{16AED9F8-6131-41A2-8774-BB9B0CEF84A2}" name="Colonne2725"/>
    <tableColumn id="2734" xr3:uid="{B1E731ED-E4C6-4B04-8D1D-9E2763984178}" name="Colonne2726"/>
    <tableColumn id="2735" xr3:uid="{7AA8373D-ADCC-457B-97DC-65E9F120F021}" name="Colonne2727"/>
    <tableColumn id="2736" xr3:uid="{C313BCF4-E1D6-4702-818A-38DA7DC9786F}" name="Colonne2728"/>
    <tableColumn id="2737" xr3:uid="{27EDA2EF-93B7-4D2C-8D0B-A9E3785101FC}" name="Colonne2729"/>
    <tableColumn id="2738" xr3:uid="{4AF43495-AD1F-49BA-9837-040691969700}" name="Colonne2730"/>
    <tableColumn id="2739" xr3:uid="{BEC77F0F-861A-45F0-9958-01B3F3FA29AC}" name="Colonne2731"/>
    <tableColumn id="2740" xr3:uid="{6E5FF094-B4DB-48C3-BE4B-3D3E4A86F127}" name="Colonne2732"/>
    <tableColumn id="2741" xr3:uid="{E2E3CF8B-B677-49BC-BA87-9E4B7ECAEFC6}" name="Colonne2733"/>
    <tableColumn id="2742" xr3:uid="{ED01BE7E-175A-4C9E-ADCF-CDDB6FFDA4ED}" name="Colonne2734"/>
    <tableColumn id="2743" xr3:uid="{4D22D800-474A-47C9-AAFB-5D127034EDC9}" name="Colonne2735"/>
    <tableColumn id="2744" xr3:uid="{B996CD2C-882C-4D07-BB55-DE25964F4EDE}" name="Colonne2736"/>
    <tableColumn id="2745" xr3:uid="{93C84EED-BA48-4D95-9CCC-705D313058C9}" name="Colonne2737"/>
    <tableColumn id="2746" xr3:uid="{5404D7E9-24AF-4488-9980-32FB24BEB031}" name="Colonne2738"/>
    <tableColumn id="2747" xr3:uid="{1506E3AE-DA2F-44A3-BC59-724D49ABE450}" name="Colonne2739"/>
    <tableColumn id="2748" xr3:uid="{8C6DD387-0E12-46FC-8A15-76DB3CFA4216}" name="Colonne2740"/>
    <tableColumn id="2749" xr3:uid="{6536E9D7-A465-42C1-B211-78DB0C297BE8}" name="Colonne2741"/>
    <tableColumn id="2750" xr3:uid="{756C4147-7DDC-4BC8-9887-769A848D3950}" name="Colonne2742"/>
    <tableColumn id="2751" xr3:uid="{9E6C14AD-0DF7-4050-890D-D64125B1A146}" name="Colonne2743"/>
    <tableColumn id="2752" xr3:uid="{05493004-9A47-4873-A99C-EF5760AE7D2A}" name="Colonne2744"/>
    <tableColumn id="2753" xr3:uid="{BB500E06-31E3-4A79-8B9C-6F5F568C58A7}" name="Colonne2745"/>
    <tableColumn id="2754" xr3:uid="{B6CD56BA-4180-4506-8762-EC596BB044BF}" name="Colonne2746"/>
    <tableColumn id="2755" xr3:uid="{FA1C5312-26F0-47B1-ADD8-14670E08C9F0}" name="Colonne2747"/>
    <tableColumn id="2756" xr3:uid="{938848AE-A835-4FC8-A21C-B44D3585AA6A}" name="Colonne2748"/>
    <tableColumn id="2757" xr3:uid="{20DCB590-F4D2-4D29-B6BA-FE3DBAD08AD1}" name="Colonne2749"/>
    <tableColumn id="2758" xr3:uid="{6D1DF383-2674-4301-8AAF-43427A97BBE7}" name="Colonne2750"/>
    <tableColumn id="2759" xr3:uid="{4D7B9928-55C1-4293-8424-5D76180C900A}" name="Colonne2751"/>
    <tableColumn id="2760" xr3:uid="{7D7F89F2-41A8-4769-AD30-B17BA0F5B7C9}" name="Colonne2752"/>
    <tableColumn id="2761" xr3:uid="{79BF106E-4D9D-42AE-BFB0-8119A580C36D}" name="Colonne2753"/>
    <tableColumn id="2762" xr3:uid="{8C9224BD-EEEC-4DFB-AF08-7C45C87D46E1}" name="Colonne2754"/>
    <tableColumn id="2763" xr3:uid="{CA6F582C-A1DD-4E94-AF0E-370A3B4831C3}" name="Colonne2755"/>
    <tableColumn id="2764" xr3:uid="{EC594E85-BA47-4D33-A2E2-5B476650A2EC}" name="Colonne2756"/>
    <tableColumn id="2765" xr3:uid="{45558B70-DB7F-4B7D-A607-2105904284E4}" name="Colonne2757"/>
    <tableColumn id="2766" xr3:uid="{009D4080-963D-4994-A7B0-A8B899E36855}" name="Colonne2758"/>
    <tableColumn id="2767" xr3:uid="{F4E2A89B-DBEE-4B05-85DC-09B90C51198D}" name="Colonne2759"/>
    <tableColumn id="2768" xr3:uid="{C20B0649-C461-4FA1-A8BF-1C3B14806235}" name="Colonne2760"/>
    <tableColumn id="2769" xr3:uid="{4DE1414B-A11B-494D-BB6A-42639F3031AB}" name="Colonne2761"/>
    <tableColumn id="2770" xr3:uid="{39895463-2E1A-4C92-A495-32EA600CE12B}" name="Colonne2762"/>
    <tableColumn id="2771" xr3:uid="{39237382-A3DA-44CD-BA83-30FA708FBF73}" name="Colonne2763"/>
    <tableColumn id="2772" xr3:uid="{C6BCF378-2CD8-4B54-BDE1-D05A743DE159}" name="Colonne2764"/>
    <tableColumn id="2773" xr3:uid="{7C05F1BC-CA6B-4817-BE81-DC0C3338FEB3}" name="Colonne2765"/>
    <tableColumn id="2774" xr3:uid="{88E09384-D3BA-48CF-A122-FDBB8CB02209}" name="Colonne2766"/>
    <tableColumn id="2775" xr3:uid="{1360C494-95F4-47D4-9FC3-D067E1312240}" name="Colonne2767"/>
    <tableColumn id="2776" xr3:uid="{79BBCE94-92D2-41B0-938D-18F13B613D7E}" name="Colonne2768"/>
    <tableColumn id="2777" xr3:uid="{F036CEA0-743A-4CA0-8A91-78A9FD364D8F}" name="Colonne2769"/>
    <tableColumn id="2778" xr3:uid="{7CC82FAE-5ADE-4DF7-941B-B633607C2895}" name="Colonne2770"/>
    <tableColumn id="2779" xr3:uid="{C5619ED5-7F51-430F-8BA5-7C2C82221552}" name="Colonne2771"/>
    <tableColumn id="2780" xr3:uid="{EFDF2CB4-D4E9-4E89-AADF-0CD4F94F1E67}" name="Colonne2772"/>
    <tableColumn id="2781" xr3:uid="{29C75297-F6B1-47A1-9586-52E3CB0C5772}" name="Colonne2773"/>
    <tableColumn id="2782" xr3:uid="{F710A30A-AC21-43A8-A6BF-6443EE36BF29}" name="Colonne2774"/>
    <tableColumn id="2783" xr3:uid="{9F3A2501-8AD2-4414-87CE-4E89C97C2F77}" name="Colonne2775"/>
    <tableColumn id="2784" xr3:uid="{CD4056E4-25D4-404F-8520-4557314D1FEA}" name="Colonne2776"/>
    <tableColumn id="2785" xr3:uid="{142E02A4-DCCA-41FB-8465-313DFEF8258E}" name="Colonne2777"/>
    <tableColumn id="2786" xr3:uid="{6949C9FC-6D44-4389-BBA6-28E22306384C}" name="Colonne2778"/>
    <tableColumn id="2787" xr3:uid="{4FC0E867-D19F-4C12-AE79-E52691F40D0E}" name="Colonne2779"/>
    <tableColumn id="2788" xr3:uid="{14168557-EF1D-4630-B528-09D4BC585A52}" name="Colonne2780"/>
    <tableColumn id="2789" xr3:uid="{34C36C7A-CB2F-4FEC-A272-ED6B74C710AC}" name="Colonne2781"/>
    <tableColumn id="2790" xr3:uid="{52F7BB98-4507-4975-99F9-99A8B9EFCB10}" name="Colonne2782"/>
    <tableColumn id="2791" xr3:uid="{77C15D14-396F-4235-B255-ADE497BFFBAF}" name="Colonne2783"/>
    <tableColumn id="2792" xr3:uid="{9CE03FD7-5598-414A-BD7F-A1C3425A0661}" name="Colonne2784"/>
    <tableColumn id="2793" xr3:uid="{C8AFDFE7-AE19-4772-B598-53E5762BC261}" name="Colonne2785"/>
    <tableColumn id="2794" xr3:uid="{1760DDEE-667F-47E9-8FC9-550A8A7563B8}" name="Colonne2786"/>
    <tableColumn id="2795" xr3:uid="{CB95A458-4AA9-46DD-B265-0A15305AA776}" name="Colonne2787"/>
    <tableColumn id="2796" xr3:uid="{48CA6395-E530-4358-8036-F8A493CD3C0A}" name="Colonne2788"/>
    <tableColumn id="2797" xr3:uid="{62CA3613-2793-4BAA-8ADA-E54CDCB128C7}" name="Colonne2789"/>
    <tableColumn id="2798" xr3:uid="{9B949D17-65A0-4C66-8E6A-FE519537B8BA}" name="Colonne2790"/>
    <tableColumn id="2799" xr3:uid="{5088960F-C27E-4A29-89E2-B01684B25210}" name="Colonne2791"/>
    <tableColumn id="2800" xr3:uid="{5C917FC9-0B99-4FD9-9E21-FB827A5D44F8}" name="Colonne2792"/>
    <tableColumn id="2801" xr3:uid="{96940BDD-95A5-436C-A0BE-E5FCD0F428ED}" name="Colonne2793"/>
    <tableColumn id="2802" xr3:uid="{0DD64E35-37C6-4555-AD10-CFE8FA86284A}" name="Colonne2794"/>
    <tableColumn id="2803" xr3:uid="{03EC9731-2C15-4F37-9E66-3067C58F24D4}" name="Colonne2795"/>
    <tableColumn id="2804" xr3:uid="{348CE328-2355-416A-A25E-68F2A44FA8E1}" name="Colonne2796"/>
    <tableColumn id="2805" xr3:uid="{C37FAF30-524A-422B-B912-58A4EA0A43B7}" name="Colonne2797"/>
    <tableColumn id="2806" xr3:uid="{7C3C7DC1-52D5-439F-8E7C-5458F72AF405}" name="Colonne2798"/>
    <tableColumn id="2807" xr3:uid="{3D1D73FD-8067-422D-BC31-A320807FCB8B}" name="Colonne2799"/>
    <tableColumn id="2808" xr3:uid="{217152BC-D986-44D6-8CB9-8509C494DCE2}" name="Colonne2800"/>
    <tableColumn id="2809" xr3:uid="{6C4539BB-C1A2-4363-B660-53DF2283826D}" name="Colonne2801"/>
    <tableColumn id="2810" xr3:uid="{413F1455-0F61-4260-BC4E-8211406E50A2}" name="Colonne2802"/>
    <tableColumn id="2811" xr3:uid="{4A935C7A-A083-4AC0-8232-FE841EE40663}" name="Colonne2803"/>
    <tableColumn id="2812" xr3:uid="{FF760A3F-A760-466F-842E-18E594785680}" name="Colonne2804"/>
    <tableColumn id="2813" xr3:uid="{48F0A62D-AC09-493D-9D6D-3460D245C15C}" name="Colonne2805"/>
    <tableColumn id="2814" xr3:uid="{1AD9829B-8DBF-45B6-8C3B-C335A001331F}" name="Colonne2806"/>
    <tableColumn id="2815" xr3:uid="{8CA13DE0-255B-449C-87D7-DED6620A62D0}" name="Colonne2807"/>
    <tableColumn id="2816" xr3:uid="{6D9F8ED3-F160-4410-AF8B-6EE07BC44AF9}" name="Colonne2808"/>
    <tableColumn id="2817" xr3:uid="{D41024AE-5C4B-49B5-BB53-63134B304184}" name="Colonne2809"/>
    <tableColumn id="2818" xr3:uid="{509E017D-FACE-4EAA-9DCA-000029E7C989}" name="Colonne2810"/>
    <tableColumn id="2819" xr3:uid="{33F15E32-58CB-493D-B2C9-92E7A52F4A8C}" name="Colonne2811"/>
    <tableColumn id="2820" xr3:uid="{8C08057B-38E7-4590-8DBB-933DFEC35151}" name="Colonne2812"/>
    <tableColumn id="2821" xr3:uid="{1B038346-9EBE-48E1-9315-A014B33DD133}" name="Colonne2813"/>
    <tableColumn id="2822" xr3:uid="{C57818B0-B42C-44B2-8B01-7A04AF0A39DE}" name="Colonne2814"/>
    <tableColumn id="2823" xr3:uid="{37C5456B-A7D9-4FB2-9808-C4C37CB73BF2}" name="Colonne2815"/>
    <tableColumn id="2824" xr3:uid="{DFAFD435-2EBA-42D4-9A11-C14C58BA7252}" name="Colonne2816"/>
    <tableColumn id="2825" xr3:uid="{26BEB76C-22F5-4A60-B86D-44B530C2DEA9}" name="Colonne2817"/>
    <tableColumn id="2826" xr3:uid="{984CDFAE-0C48-462F-8410-07F1C2DF1EA4}" name="Colonne2818"/>
    <tableColumn id="2827" xr3:uid="{D802B382-DAFB-497D-B3DD-A3FC12307237}" name="Colonne2819"/>
    <tableColumn id="2828" xr3:uid="{CF2A61D8-F18B-4C98-9C3C-83439F5BBC52}" name="Colonne2820"/>
    <tableColumn id="2829" xr3:uid="{0E53C754-1AF7-42F3-AFDF-C56803827E50}" name="Colonne2821"/>
    <tableColumn id="2830" xr3:uid="{543C5A34-43AD-4CFA-9409-63BD83207F2C}" name="Colonne2822"/>
    <tableColumn id="2831" xr3:uid="{B6B58636-0355-441C-812D-BB662F631D7E}" name="Colonne2823"/>
    <tableColumn id="2832" xr3:uid="{530AD997-1337-4C4E-A4BB-F0206E4627F0}" name="Colonne2824"/>
    <tableColumn id="2833" xr3:uid="{0F5FAF35-0CFC-41DA-A296-5C3D4DB5DB2A}" name="Colonne2825"/>
    <tableColumn id="2834" xr3:uid="{C00A1568-5EF3-470C-B916-2FD59778428C}" name="Colonne2826"/>
    <tableColumn id="2835" xr3:uid="{EF901F8D-2E1B-40E0-A86E-5E5883D5C0F6}" name="Colonne2827"/>
    <tableColumn id="2836" xr3:uid="{4F182D73-95D2-416B-A765-8FDD03EF08AE}" name="Colonne2828"/>
    <tableColumn id="2837" xr3:uid="{BA9057E9-4BD7-4DDF-8816-FC42EAE1A0D8}" name="Colonne2829"/>
    <tableColumn id="2838" xr3:uid="{1C3C5A22-91DB-47B8-9A1E-6F2571DFF3DF}" name="Colonne2830"/>
    <tableColumn id="2839" xr3:uid="{C13182E5-C2C5-4824-A133-63EAB89829D5}" name="Colonne2831"/>
    <tableColumn id="2840" xr3:uid="{93764BB1-BBD1-4B47-8084-1C175A23ACEC}" name="Colonne2832"/>
    <tableColumn id="2841" xr3:uid="{A3CC2429-A405-4AE1-A756-CFEB70460AE0}" name="Colonne2833"/>
    <tableColumn id="2842" xr3:uid="{5B9E047A-5AAE-432B-8E6E-A663E4BFD9EF}" name="Colonne2834"/>
    <tableColumn id="2843" xr3:uid="{BC1358DA-ACCD-4CE2-9430-EC29C35454A6}" name="Colonne2835"/>
    <tableColumn id="2844" xr3:uid="{78F2FB38-38FE-45A5-83BA-2E89AFCDDE9B}" name="Colonne2836"/>
    <tableColumn id="2845" xr3:uid="{45DCE46E-D5EC-42F4-9802-62E98F9E0ED7}" name="Colonne2837"/>
    <tableColumn id="2846" xr3:uid="{17D34C4D-9FDC-490D-B023-0FBA73ECEC8B}" name="Colonne2838"/>
    <tableColumn id="2847" xr3:uid="{CE028BB2-4CEF-4180-8128-17E609EE973B}" name="Colonne2839"/>
    <tableColumn id="2848" xr3:uid="{483DCCE2-AFB9-4B54-BA27-7C2A08B9B1DB}" name="Colonne2840"/>
    <tableColumn id="2849" xr3:uid="{F96F96E0-78DC-47D0-A4B0-1D4EC512D289}" name="Colonne2841"/>
    <tableColumn id="2850" xr3:uid="{0AE4DAEB-79A3-479F-B277-E8859D6E0CA7}" name="Colonne2842"/>
    <tableColumn id="2851" xr3:uid="{27EB232C-BD29-4809-8B82-BB7E7F024540}" name="Colonne2843"/>
    <tableColumn id="2852" xr3:uid="{3D2446F8-B51F-4EB2-98F9-4C5ED42E8D4D}" name="Colonne2844"/>
    <tableColumn id="2853" xr3:uid="{E0D68B3A-A297-4BA8-B271-3E2198CDE06D}" name="Colonne2845"/>
    <tableColumn id="2854" xr3:uid="{22552CE5-AC31-4F2D-8A9C-7892F15A03E2}" name="Colonne2846"/>
    <tableColumn id="2855" xr3:uid="{AA8769AF-1336-4806-B727-6BAE385A03CA}" name="Colonne2847"/>
    <tableColumn id="2856" xr3:uid="{FD741F13-D6B6-48E2-A62D-B17941450590}" name="Colonne2848"/>
    <tableColumn id="2857" xr3:uid="{C7FCD34B-70E4-48A8-A395-CFFF2ADCF3A8}" name="Colonne2849"/>
    <tableColumn id="2858" xr3:uid="{3B49EA3E-73C9-4F89-89E1-BBD71385868C}" name="Colonne2850"/>
    <tableColumn id="2859" xr3:uid="{81EAE15F-98A5-4682-8913-A2000B96AE73}" name="Colonne2851"/>
    <tableColumn id="2860" xr3:uid="{B20CD4B3-A778-43F6-A668-8EF936F0A71B}" name="Colonne2852"/>
    <tableColumn id="2861" xr3:uid="{4F75B26F-FF02-4D5F-9B8F-BE796C42A4BB}" name="Colonne2853"/>
    <tableColumn id="2862" xr3:uid="{80FAF9E5-B673-45B3-B4C3-3CE707915ED9}" name="Colonne2854"/>
    <tableColumn id="2863" xr3:uid="{CD013E68-E31A-49D1-9F4E-F7D53B8871EF}" name="Colonne2855"/>
    <tableColumn id="2864" xr3:uid="{15F20DBC-5D0B-4923-8F59-33C27534F6FD}" name="Colonne2856"/>
    <tableColumn id="2865" xr3:uid="{63D9E877-5040-4A11-8B55-1B5602D6EDB6}" name="Colonne2857"/>
    <tableColumn id="2866" xr3:uid="{4117B719-9963-44EA-8122-E20AA7A887DA}" name="Colonne2858"/>
    <tableColumn id="2867" xr3:uid="{AADC24B7-D0E9-4545-A622-262B56814314}" name="Colonne2859"/>
    <tableColumn id="2868" xr3:uid="{707E10CD-F27F-4F2D-9F31-90A4CD8537D3}" name="Colonne2860"/>
    <tableColumn id="2869" xr3:uid="{126D2F55-40F2-4DA8-A8EE-4D7D9A175F78}" name="Colonne2861"/>
    <tableColumn id="2870" xr3:uid="{59F87ABF-95AB-40DC-91A1-03E5B9ACB9C0}" name="Colonne2862"/>
    <tableColumn id="2871" xr3:uid="{FB158CC6-1D9D-4868-B858-DCA249E497B2}" name="Colonne2863"/>
    <tableColumn id="2872" xr3:uid="{1C5CC602-CCC9-4688-B194-649EB2C54265}" name="Colonne2864"/>
    <tableColumn id="2873" xr3:uid="{77845ECA-0BEC-498F-A134-1CFF52AF0700}" name="Colonne2865"/>
    <tableColumn id="2874" xr3:uid="{CDAE4EBA-AF0F-4B08-AE7B-F9E4B64EF717}" name="Colonne2866"/>
    <tableColumn id="2875" xr3:uid="{D9AA053A-04C9-442E-B566-A4DCC760900E}" name="Colonne2867"/>
    <tableColumn id="2876" xr3:uid="{EDC95F12-425E-47D4-8074-1A2CDF4DCDF2}" name="Colonne2868"/>
    <tableColumn id="2877" xr3:uid="{17779769-5192-4658-A60E-854BDC63A23F}" name="Colonne2869"/>
    <tableColumn id="2878" xr3:uid="{BD9C6BB4-8C5C-4467-9800-A1A7647B1686}" name="Colonne2870"/>
    <tableColumn id="2879" xr3:uid="{00C88220-A5B0-4D62-982E-4DDED2F27CE3}" name="Colonne2871"/>
    <tableColumn id="2880" xr3:uid="{0FCE7F74-0197-412D-8C24-465911148C51}" name="Colonne2872"/>
    <tableColumn id="2881" xr3:uid="{78613BFF-AB78-414E-883B-2373462A01B9}" name="Colonne2873"/>
    <tableColumn id="2882" xr3:uid="{5FC3A6CD-DFDC-4375-94F3-9619D903700D}" name="Colonne2874"/>
    <tableColumn id="2883" xr3:uid="{F04EC0B0-9D74-452D-89B1-4BB5DA68A68B}" name="Colonne2875"/>
    <tableColumn id="2884" xr3:uid="{B67B2340-AA70-4A0D-9E59-B27847CA5BFC}" name="Colonne2876"/>
    <tableColumn id="2885" xr3:uid="{EBD82849-27FF-45ED-B560-3E1FC19E98A8}" name="Colonne2877"/>
    <tableColumn id="2886" xr3:uid="{768A5E4D-3929-4484-A23D-9257DE2D48F5}" name="Colonne2878"/>
    <tableColumn id="2887" xr3:uid="{6EA001BE-9AFD-459F-B529-0A1A8D9FA2A4}" name="Colonne2879"/>
    <tableColumn id="2888" xr3:uid="{E0DD6F05-84D4-479E-A009-04D8C6473691}" name="Colonne2880"/>
    <tableColumn id="2889" xr3:uid="{906E39D8-E177-4D55-9DAE-22A856A687F6}" name="Colonne2881"/>
    <tableColumn id="2890" xr3:uid="{CFDB59A2-ED7D-4F9B-BB6D-781DC1A7AEB1}" name="Colonne2882"/>
    <tableColumn id="2891" xr3:uid="{01991B29-BBFA-4B01-96CC-99FD72AAC542}" name="Colonne2883"/>
    <tableColumn id="2892" xr3:uid="{AD28A1ED-3CA7-4D13-8CB8-25D3EDB8860F}" name="Colonne2884"/>
    <tableColumn id="2893" xr3:uid="{AADEF1F2-B2AD-4A7E-8694-41A1966A4D2E}" name="Colonne2885"/>
    <tableColumn id="2894" xr3:uid="{F7C9213B-AEC7-4F71-A330-E18D5161410B}" name="Colonne2886"/>
    <tableColumn id="2895" xr3:uid="{73CE8A34-C771-42D4-81D3-C1EFDABC0189}" name="Colonne2887"/>
    <tableColumn id="2896" xr3:uid="{C03CA266-63AA-4D96-9075-58FAD9BAB00B}" name="Colonne2888"/>
    <tableColumn id="2897" xr3:uid="{232DB818-D81F-468D-BE29-3280E7A46DBF}" name="Colonne2889"/>
    <tableColumn id="2898" xr3:uid="{4803ECAB-22EE-426D-B649-B149A2D3FB0F}" name="Colonne2890"/>
    <tableColumn id="2899" xr3:uid="{582B8A0D-1390-4E27-859E-9C82C4662FCF}" name="Colonne2891"/>
    <tableColumn id="2900" xr3:uid="{8C670EF5-7BFD-4825-BDC0-21764AC4BC2D}" name="Colonne2892"/>
    <tableColumn id="2901" xr3:uid="{295B1AD1-F3C6-48DE-AFAA-889F7235E54C}" name="Colonne2893"/>
    <tableColumn id="2902" xr3:uid="{D927263D-6BA0-43A8-AA43-67FE121C1404}" name="Colonne2894"/>
    <tableColumn id="2903" xr3:uid="{DC507C14-300E-4194-ACE7-2E624F3487E3}" name="Colonne2895"/>
    <tableColumn id="2904" xr3:uid="{546C86B1-8709-4970-9614-F1A6DEBEE720}" name="Colonne2896"/>
    <tableColumn id="2905" xr3:uid="{675BC315-9646-402E-A6C0-29F7614C6B1F}" name="Colonne2897"/>
    <tableColumn id="2906" xr3:uid="{6A2B75A7-61F4-4361-8882-34293134990A}" name="Colonne2898"/>
    <tableColumn id="2907" xr3:uid="{B025D1FA-262F-4571-A677-A32914FCE09F}" name="Colonne2899"/>
    <tableColumn id="2908" xr3:uid="{CE81DE71-BF01-403F-8D61-37CAA37AF26E}" name="Colonne2900"/>
    <tableColumn id="2909" xr3:uid="{CE9AE3BF-D21A-4517-B483-C445BF674B36}" name="Colonne2901"/>
    <tableColumn id="2910" xr3:uid="{61C020DD-2628-49E1-9A91-CCD3AD88C52F}" name="Colonne2902"/>
    <tableColumn id="2911" xr3:uid="{8A029A77-A230-4C93-A2C1-9D41CFE1D857}" name="Colonne2903"/>
    <tableColumn id="2912" xr3:uid="{F77215D9-4BF1-4F54-85B2-A448A16A5896}" name="Colonne2904"/>
    <tableColumn id="2913" xr3:uid="{5B12FC55-6B4E-4B36-9C12-B25393151630}" name="Colonne2905"/>
    <tableColumn id="2914" xr3:uid="{B6099BCB-7601-4485-889F-22B91FE21AA9}" name="Colonne2906"/>
    <tableColumn id="2915" xr3:uid="{D305C766-CA45-4683-BFE1-067B4D7E1DAF}" name="Colonne2907"/>
    <tableColumn id="2916" xr3:uid="{46B59CC7-C071-4DE7-9CBF-9A2FA61B281E}" name="Colonne2908"/>
    <tableColumn id="2917" xr3:uid="{E5A326D7-0863-48E0-851A-D5E1047C0DD0}" name="Colonne2909"/>
    <tableColumn id="2918" xr3:uid="{930A9814-48CD-42D0-9AA3-14E640E15CE6}" name="Colonne2910"/>
    <tableColumn id="2919" xr3:uid="{1A35CAEA-1FC1-4B41-9F54-BCBEF63CBE3B}" name="Colonne2911"/>
    <tableColumn id="2920" xr3:uid="{1B566E43-FEC6-4377-8373-37B6FBBDBFFF}" name="Colonne2912"/>
    <tableColumn id="2921" xr3:uid="{17C54688-254E-4DC7-9E58-B1DF0E52131D}" name="Colonne2913"/>
    <tableColumn id="2922" xr3:uid="{3C0D8539-6E5A-4922-872F-4F86A2056187}" name="Colonne2914"/>
    <tableColumn id="2923" xr3:uid="{7547812E-9855-450C-AB2C-76F2D5D64BEA}" name="Colonne2915"/>
    <tableColumn id="2924" xr3:uid="{D0A7F180-8B5D-4D02-AC90-581DD320AE1E}" name="Colonne2916"/>
    <tableColumn id="2925" xr3:uid="{123D1B9F-B5BD-4969-81C8-06F921DB3865}" name="Colonne2917"/>
    <tableColumn id="2926" xr3:uid="{CBEFB41E-13FD-4643-9378-FBCBE772B815}" name="Colonne2918"/>
    <tableColumn id="2927" xr3:uid="{C56F5488-16BD-413B-B66C-C6801DD8A032}" name="Colonne2919"/>
    <tableColumn id="2928" xr3:uid="{71ED7705-11C5-4189-B196-FFC16898A9CB}" name="Colonne2920"/>
    <tableColumn id="2929" xr3:uid="{0D63C044-DCE6-478B-B7DE-85CD0D955C19}" name="Colonne2921"/>
    <tableColumn id="2930" xr3:uid="{41FCDBA3-80C8-44F5-BE9C-4C2069113EEB}" name="Colonne2922"/>
    <tableColumn id="2931" xr3:uid="{30A54255-7262-44B5-A559-AE10BFCE4AAC}" name="Colonne2923"/>
    <tableColumn id="2932" xr3:uid="{C9863E22-CCC1-4F6C-ADE6-20C6610142D5}" name="Colonne2924"/>
    <tableColumn id="2933" xr3:uid="{EC325B58-310A-48F5-BFC4-05804F83D8F8}" name="Colonne2925"/>
    <tableColumn id="2934" xr3:uid="{62E2B892-E256-4A4A-9AF8-498D281A422F}" name="Colonne2926"/>
    <tableColumn id="2935" xr3:uid="{094EA418-2EB9-4978-A480-490CA922EF98}" name="Colonne2927"/>
    <tableColumn id="2936" xr3:uid="{31D1071D-EA1A-4173-B98F-DD9A6D79AA10}" name="Colonne2928"/>
    <tableColumn id="2937" xr3:uid="{FB1375A4-2A14-430D-83D2-DFDAE1A7D9ED}" name="Colonne2929"/>
    <tableColumn id="2938" xr3:uid="{098E5D39-9365-418F-86F9-6F406C903C57}" name="Colonne2930"/>
    <tableColumn id="2939" xr3:uid="{063F531E-A5F8-443B-9ABF-997A55EAE675}" name="Colonne2931"/>
    <tableColumn id="2940" xr3:uid="{AB92F57C-6672-495A-A253-20F0DB513C2F}" name="Colonne2932"/>
    <tableColumn id="2941" xr3:uid="{F196FFE3-981A-4C7C-9E3A-2D8E6F726B71}" name="Colonne2933"/>
    <tableColumn id="2942" xr3:uid="{7C48AEF2-A536-48D6-A5F7-CAD0A99CB43D}" name="Colonne2934"/>
    <tableColumn id="2943" xr3:uid="{4FB26FC9-D6A9-4C1C-9DEE-72C9132B1C59}" name="Colonne2935"/>
    <tableColumn id="2944" xr3:uid="{482526E9-7A51-4B82-9A20-B60BD66F2004}" name="Colonne2936"/>
    <tableColumn id="2945" xr3:uid="{8701C293-13D3-4D51-91E7-2FF95F2D773F}" name="Colonne2937"/>
    <tableColumn id="2946" xr3:uid="{B39B1554-8FCC-49CC-A43B-A5AA71A9AEE9}" name="Colonne2938"/>
    <tableColumn id="2947" xr3:uid="{A0E3EAB9-7004-48D6-8B49-4A4FEE16562E}" name="Colonne2939"/>
    <tableColumn id="2948" xr3:uid="{EBC797C2-0391-4D61-90C7-B2332B189D65}" name="Colonne2940"/>
    <tableColumn id="2949" xr3:uid="{855D73BA-079A-4E05-AC83-42B038D47F33}" name="Colonne2941"/>
    <tableColumn id="2950" xr3:uid="{9EC5D004-1C57-48BF-BE89-7F151A236CF7}" name="Colonne2942"/>
    <tableColumn id="2951" xr3:uid="{C7E5C40F-886D-4825-912C-2F84560A9DB7}" name="Colonne2943"/>
    <tableColumn id="2952" xr3:uid="{F641D2D0-AD31-46AA-A85F-97F27BF699BF}" name="Colonne2944"/>
    <tableColumn id="2953" xr3:uid="{866B3070-7746-437D-B5CE-D93BC6FD574D}" name="Colonne2945"/>
    <tableColumn id="2954" xr3:uid="{A7FFC449-580C-4487-AEF3-DFAAD9CAE07F}" name="Colonne2946"/>
    <tableColumn id="2955" xr3:uid="{BB968ADB-4DBB-4A68-AD35-F9337402EC52}" name="Colonne2947"/>
    <tableColumn id="2956" xr3:uid="{EC2494B0-46F6-4C30-9630-7F347797DBEF}" name="Colonne2948"/>
    <tableColumn id="2957" xr3:uid="{4F71FBB0-188F-4AA5-8AFE-A1412C26761D}" name="Colonne2949"/>
    <tableColumn id="2958" xr3:uid="{BAEA8EF7-AF96-4570-AFFB-B80F805DBD4A}" name="Colonne2950"/>
    <tableColumn id="2959" xr3:uid="{7400980E-C4CF-47B6-85FD-E14BFFE350CA}" name="Colonne2951"/>
    <tableColumn id="2960" xr3:uid="{B1DDAA98-E835-430B-A1DD-2E93F71039B6}" name="Colonne2952"/>
    <tableColumn id="2961" xr3:uid="{2AD0D444-87ED-495C-9E51-393BA00AE552}" name="Colonne2953"/>
    <tableColumn id="2962" xr3:uid="{0AFFB100-C8D4-41E6-A5C5-83659F292056}" name="Colonne2954"/>
    <tableColumn id="2963" xr3:uid="{06599AE5-4441-43BC-8091-EEEB2B6496ED}" name="Colonne2955"/>
    <tableColumn id="2964" xr3:uid="{48A85011-1ED5-4835-98F9-7B1538A1F207}" name="Colonne2956"/>
    <tableColumn id="2965" xr3:uid="{1E08A8F1-152B-42E4-A43A-17599BFD3BE1}" name="Colonne2957"/>
    <tableColumn id="2966" xr3:uid="{2B4C55B4-356E-41B6-8E13-D5597DBF7D23}" name="Colonne2958"/>
    <tableColumn id="2967" xr3:uid="{E7E410E9-AD37-4EF9-B242-C436443BD111}" name="Colonne2959"/>
    <tableColumn id="2968" xr3:uid="{E6FFDD6E-C653-429B-8C86-070B926AD52F}" name="Colonne2960"/>
    <tableColumn id="2969" xr3:uid="{A7C56110-2536-4E25-8E51-548F57A7D12C}" name="Colonne2961"/>
    <tableColumn id="2970" xr3:uid="{4D28EA90-0EF5-4ADF-B491-D5590B770B76}" name="Colonne2962"/>
    <tableColumn id="2971" xr3:uid="{A9A9C41F-C206-4FCB-B981-6913D69831D3}" name="Colonne2963"/>
    <tableColumn id="2972" xr3:uid="{2D7CBE8B-2703-46D2-B3FC-93F77EBA2E44}" name="Colonne2964"/>
    <tableColumn id="2973" xr3:uid="{8DBD6C15-1863-4A44-8E60-A963E31390FD}" name="Colonne2965"/>
    <tableColumn id="2974" xr3:uid="{0E5CEDE3-A474-4981-9F30-798DD35EA627}" name="Colonne2966"/>
    <tableColumn id="2975" xr3:uid="{ACD15442-508B-434E-B8BE-4681B78AC5F9}" name="Colonne2967"/>
    <tableColumn id="2976" xr3:uid="{AE0E0F92-C063-4CF5-A50F-163C8965AD13}" name="Colonne2968"/>
    <tableColumn id="2977" xr3:uid="{412F7F85-07CA-4EA0-9BD2-0C46AE6FE16A}" name="Colonne2969"/>
    <tableColumn id="2978" xr3:uid="{B4A46F4F-2A99-4FB1-A18D-F98F12E140FF}" name="Colonne2970"/>
    <tableColumn id="2979" xr3:uid="{4F69396F-0E33-4F94-93DA-5EB92DB55C39}" name="Colonne2971"/>
    <tableColumn id="2980" xr3:uid="{D8AA724E-A05D-4F86-BCED-FEBA0BE1251E}" name="Colonne2972"/>
    <tableColumn id="2981" xr3:uid="{013D7BEE-49AD-442E-A5B4-D8F0F17F7ABA}" name="Colonne2973"/>
    <tableColumn id="2982" xr3:uid="{3BEAFEBD-BB00-4D7E-94BF-2FDDDBF13CF5}" name="Colonne2974"/>
    <tableColumn id="2983" xr3:uid="{26FA9BDB-C0D9-4F0D-97F0-EAED0DF0B83F}" name="Colonne2975"/>
    <tableColumn id="2984" xr3:uid="{414D15A0-70F1-452E-94A9-62DE7F1D79E6}" name="Colonne2976"/>
    <tableColumn id="2985" xr3:uid="{FE164655-E2CC-4A2B-9A54-82ADF6DFDF07}" name="Colonne2977"/>
    <tableColumn id="2986" xr3:uid="{1AAEB860-ADB3-41AF-A6A5-4C6EF6C308DF}" name="Colonne2978"/>
    <tableColumn id="2987" xr3:uid="{6A17FA14-75EE-4186-B995-80B6C55BC811}" name="Colonne2979"/>
    <tableColumn id="2988" xr3:uid="{113337A7-6D46-4167-B731-3E344299F6AD}" name="Colonne2980"/>
    <tableColumn id="2989" xr3:uid="{DA5EB561-21B2-4978-BA08-AFE3D8E310DA}" name="Colonne2981"/>
    <tableColumn id="2990" xr3:uid="{637419D3-ED42-450B-ADFE-B86137D3DFF3}" name="Colonne2982"/>
    <tableColumn id="2991" xr3:uid="{FA8C597B-F100-4D1A-B9F3-3F6555A09B0C}" name="Colonne2983"/>
    <tableColumn id="2992" xr3:uid="{9DB9AE12-2735-4248-8FA8-33954E07517A}" name="Colonne2984"/>
    <tableColumn id="2993" xr3:uid="{EFA00817-80BC-4361-96A4-5890AF952A01}" name="Colonne2985"/>
    <tableColumn id="2994" xr3:uid="{7FF2219E-93B2-4D7B-888F-BD5F371E427C}" name="Colonne2986"/>
    <tableColumn id="2995" xr3:uid="{B4778C24-B646-4BC7-B28B-10A9B300059B}" name="Colonne2987"/>
    <tableColumn id="2996" xr3:uid="{210F064A-43C1-4614-A246-C41A7A1FC911}" name="Colonne2988"/>
    <tableColumn id="2997" xr3:uid="{2950D44D-1B68-4937-B1FE-0A6397E8134A}" name="Colonne2989"/>
    <tableColumn id="2998" xr3:uid="{DFBBED7F-C8E9-4A47-B5BA-006C15EEACA6}" name="Colonne2990"/>
    <tableColumn id="2999" xr3:uid="{7681AD2B-C08B-4570-B839-89C7E24C3ACA}" name="Colonne2991"/>
    <tableColumn id="3000" xr3:uid="{D34BD7C7-264E-4DB5-BFAF-55B7E07AA3BF}" name="Colonne2992"/>
    <tableColumn id="3001" xr3:uid="{A6B0A39C-93A3-4719-A21B-8283FA543C38}" name="Colonne2993"/>
    <tableColumn id="3002" xr3:uid="{BDE395C9-A5C1-4FC9-96EF-4D393C635DBB}" name="Colonne2994"/>
    <tableColumn id="3003" xr3:uid="{494D8876-A72A-4118-9C77-6C5656B05CB0}" name="Colonne2995"/>
    <tableColumn id="3004" xr3:uid="{8DA665A5-554F-4168-B8E5-97A60919A65B}" name="Colonne2996"/>
    <tableColumn id="3005" xr3:uid="{21F3CE08-B4E8-4329-AA0B-A78DA58C1D35}" name="Colonne2997"/>
    <tableColumn id="3006" xr3:uid="{1A6B808F-E970-4333-9D77-DFABE0353F58}" name="Colonne2998"/>
    <tableColumn id="3007" xr3:uid="{0D936D98-90ED-4C00-A6B3-95ADE3AD57F2}" name="Colonne2999"/>
    <tableColumn id="3008" xr3:uid="{AFA23398-3A41-47E7-9B78-23188CFBC5CD}" name="Colonne3000"/>
    <tableColumn id="3009" xr3:uid="{86C8C775-06E4-4E4A-91C0-8F0A98F235D9}" name="Colonne3001"/>
    <tableColumn id="3010" xr3:uid="{103EAD49-BF3A-4096-97F9-CEA00467C979}" name="Colonne3002"/>
    <tableColumn id="3011" xr3:uid="{44DA2714-C62A-4FE2-AE76-FF19CE17241D}" name="Colonne3003"/>
    <tableColumn id="3012" xr3:uid="{516F9D10-BA02-4E81-98E7-84AB18543E21}" name="Colonne3004"/>
    <tableColumn id="3013" xr3:uid="{26F24FF6-F8E9-49F1-A509-CC28F26C736B}" name="Colonne3005"/>
    <tableColumn id="3014" xr3:uid="{092E8454-B680-4843-BF9B-EA8605EED858}" name="Colonne3006"/>
    <tableColumn id="3015" xr3:uid="{813EF0E1-50FB-444E-BF4A-7A24FE8C9FB4}" name="Colonne3007"/>
    <tableColumn id="3016" xr3:uid="{A298FA0B-4195-4A1F-9066-BE6BC7589E50}" name="Colonne3008"/>
    <tableColumn id="3017" xr3:uid="{58740768-4FDF-49F6-85C9-76C398FAC102}" name="Colonne3009"/>
    <tableColumn id="3018" xr3:uid="{49D7E85F-700F-408D-B4C4-B235CA59F42C}" name="Colonne3010"/>
    <tableColumn id="3019" xr3:uid="{99A3CAA2-837D-4FA9-BCFC-21957536F3DC}" name="Colonne3011"/>
    <tableColumn id="3020" xr3:uid="{65EC8269-7BFF-4DAB-949E-563DABDDDA21}" name="Colonne3012"/>
    <tableColumn id="3021" xr3:uid="{9C6097F2-B9FC-4EB7-8974-8277344E828A}" name="Colonne3013"/>
    <tableColumn id="3022" xr3:uid="{53DB8A2E-3AD6-4364-A1FB-CAF7EBE12D22}" name="Colonne3014"/>
    <tableColumn id="3023" xr3:uid="{DE60B673-25AD-4D83-A9BA-F6DA6C932FD1}" name="Colonne3015"/>
    <tableColumn id="3024" xr3:uid="{DDC9161D-B15D-49C3-B50B-F8D2A2D254FD}" name="Colonne3016"/>
    <tableColumn id="3025" xr3:uid="{C2D5185C-D022-4D18-A467-26BF32DA1ED3}" name="Colonne3017"/>
    <tableColumn id="3026" xr3:uid="{40CD1421-437C-416E-B520-F2D1A7866CFF}" name="Colonne3018"/>
    <tableColumn id="3027" xr3:uid="{423763ED-1473-47ED-A75B-7C657F31595E}" name="Colonne3019"/>
    <tableColumn id="3028" xr3:uid="{358E2FDD-F803-4975-B771-A45BF1F5CF16}" name="Colonne3020"/>
    <tableColumn id="3029" xr3:uid="{D9A948CC-C509-4FAD-A68F-2F87E9B5A091}" name="Colonne3021"/>
    <tableColumn id="3030" xr3:uid="{BFB3B13A-6F3E-4FF6-9369-EC3C5D2DED46}" name="Colonne3022"/>
    <tableColumn id="3031" xr3:uid="{7498C321-6E4E-41E4-AB10-548A41B7AB69}" name="Colonne3023"/>
    <tableColumn id="3032" xr3:uid="{D165EFA7-8D1D-4927-A08C-A20A93D7357C}" name="Colonne3024"/>
    <tableColumn id="3033" xr3:uid="{D1784306-5F76-4404-B372-21B450CE7113}" name="Colonne3025"/>
    <tableColumn id="3034" xr3:uid="{31A855DF-0AED-4AC4-8B43-80961A3995F0}" name="Colonne3026"/>
    <tableColumn id="3035" xr3:uid="{8E72544E-E619-4B96-9665-CC43EDAC81CC}" name="Colonne3027"/>
    <tableColumn id="3036" xr3:uid="{B6928DA7-85A4-4D1F-A5AA-588308F7868E}" name="Colonne3028"/>
    <tableColumn id="3037" xr3:uid="{0B300234-9A31-45FE-B1FC-0F3F543AE75B}" name="Colonne3029"/>
    <tableColumn id="3038" xr3:uid="{6D7264FB-DD0B-4434-993B-3B53E4B15958}" name="Colonne3030"/>
    <tableColumn id="3039" xr3:uid="{DB9A0388-6ADA-48B8-ACCD-095E3A1FB6EF}" name="Colonne3031"/>
    <tableColumn id="3040" xr3:uid="{52029501-B95D-4F32-AD1C-96DF062B897B}" name="Colonne3032"/>
    <tableColumn id="3041" xr3:uid="{FBEF05C2-8E9C-4D4A-8B9A-55AFB77F7E4E}" name="Colonne3033"/>
    <tableColumn id="3042" xr3:uid="{BCD4DB48-E723-4A59-8F6F-0C3531578192}" name="Colonne3034"/>
    <tableColumn id="3043" xr3:uid="{A82C829F-2E73-4D02-AB29-AF6E73B75084}" name="Colonne3035"/>
    <tableColumn id="3044" xr3:uid="{7C527F36-9CD7-4A87-96D9-30FBBDC9E5F1}" name="Colonne3036"/>
    <tableColumn id="3045" xr3:uid="{D38EB56D-E731-4850-A18E-B5FEA7745862}" name="Colonne3037"/>
    <tableColumn id="3046" xr3:uid="{66321D97-E8BC-423B-BD1C-8BDA69895681}" name="Colonne3038"/>
    <tableColumn id="3047" xr3:uid="{E56449D0-9F19-48F8-B598-B8474216B3AA}" name="Colonne3039"/>
    <tableColumn id="3048" xr3:uid="{39C0F01B-6E8F-4A38-9A17-34A46A68A848}" name="Colonne3040"/>
    <tableColumn id="3049" xr3:uid="{184DC424-8F17-4E2C-8F2A-63CB01776CBF}" name="Colonne3041"/>
    <tableColumn id="3050" xr3:uid="{E12B6489-2FA5-4358-88E1-F968408DC6AF}" name="Colonne3042"/>
    <tableColumn id="3051" xr3:uid="{7688F139-261E-49C5-9CAF-A695690CC0C7}" name="Colonne3043"/>
    <tableColumn id="3052" xr3:uid="{12A3DAB2-83E2-488D-9FED-A590419CD329}" name="Colonne3044"/>
    <tableColumn id="3053" xr3:uid="{8311B00A-FD19-4B1B-AE0D-931E591F40A0}" name="Colonne3045"/>
    <tableColumn id="3054" xr3:uid="{EEED1DAA-7AFE-40F2-8F79-906CB06821C4}" name="Colonne3046"/>
    <tableColumn id="3055" xr3:uid="{6D6C75D2-44D2-4ECE-9991-133BAE936F61}" name="Colonne3047"/>
    <tableColumn id="3056" xr3:uid="{4AD00988-BA03-4073-A6FE-ADA916F592D7}" name="Colonne3048"/>
    <tableColumn id="3057" xr3:uid="{BC6B6EEB-436C-44C4-A68A-62038B3AF77A}" name="Colonne3049"/>
    <tableColumn id="3058" xr3:uid="{3CFE28B6-C59F-455C-BEDD-F58F5660844A}" name="Colonne3050"/>
    <tableColumn id="3059" xr3:uid="{295C7153-EF21-47CD-8BFC-A3784CE9B311}" name="Colonne3051"/>
    <tableColumn id="3060" xr3:uid="{11FE10B3-E0AD-4DB9-A08C-F979A8F75CF5}" name="Colonne3052"/>
    <tableColumn id="3061" xr3:uid="{FD73D3EC-C1CB-46A1-8944-F2A4F8983226}" name="Colonne3053"/>
    <tableColumn id="3062" xr3:uid="{3292DF8A-DD63-4126-ABC1-AC490E877FD8}" name="Colonne3054"/>
    <tableColumn id="3063" xr3:uid="{8274745A-1A51-4344-BE56-B91BDDB83343}" name="Colonne3055"/>
    <tableColumn id="3064" xr3:uid="{46A85C20-9F3B-4123-B2BA-00B819C55D55}" name="Colonne3056"/>
    <tableColumn id="3065" xr3:uid="{5515656F-9E67-481C-B2A7-1E35FAE80803}" name="Colonne3057"/>
    <tableColumn id="3066" xr3:uid="{AAC58087-0CA9-41AE-89C4-F225A669F450}" name="Colonne3058"/>
    <tableColumn id="3067" xr3:uid="{16C0403B-B55B-4777-8BF0-A9E244750692}" name="Colonne3059"/>
    <tableColumn id="3068" xr3:uid="{4A65AA78-2962-4452-996E-8CD85480B605}" name="Colonne3060"/>
    <tableColumn id="3069" xr3:uid="{64C161DB-3990-4948-B34A-BEB621861C9B}" name="Colonne3061"/>
    <tableColumn id="3070" xr3:uid="{1928B45E-EFB6-4337-A5E5-05BF922A8BE8}" name="Colonne3062"/>
    <tableColumn id="3071" xr3:uid="{F2CC44A1-98BB-43B3-A57B-8568A605B080}" name="Colonne3063"/>
    <tableColumn id="3072" xr3:uid="{C3996880-C3AD-40C5-9B7C-23A24F737D68}" name="Colonne3064"/>
    <tableColumn id="3073" xr3:uid="{7CE4F9DD-88DE-411C-A337-D858F199A5E7}" name="Colonne3065"/>
    <tableColumn id="3074" xr3:uid="{B3BB8711-C446-460A-B9CE-38B2F1DEA5A7}" name="Colonne3066"/>
    <tableColumn id="3075" xr3:uid="{98CE4242-7E0B-49AE-BB57-FC1B11B47705}" name="Colonne3067"/>
    <tableColumn id="3076" xr3:uid="{07C5B776-4D6B-4035-A169-EC3980F8E65D}" name="Colonne3068"/>
    <tableColumn id="3077" xr3:uid="{5478F0CD-3F64-44FE-B9A3-20D4860CD094}" name="Colonne3069"/>
    <tableColumn id="3078" xr3:uid="{DA024381-3B73-4997-B09C-CD219E8EF3F5}" name="Colonne3070"/>
    <tableColumn id="3079" xr3:uid="{45C1E9B4-BB2D-4503-B520-B73166EC71DF}" name="Colonne3071"/>
    <tableColumn id="3080" xr3:uid="{69EE5881-D275-4451-82D9-F2F802851251}" name="Colonne3072"/>
    <tableColumn id="3081" xr3:uid="{91ECF2AD-758A-4351-880E-54862C50A3A8}" name="Colonne3073"/>
    <tableColumn id="3082" xr3:uid="{51827202-F2B5-47AC-B4BF-33942617823B}" name="Colonne3074"/>
    <tableColumn id="3083" xr3:uid="{8F0EC7FA-D99D-4C76-9025-C7522FB07377}" name="Colonne3075"/>
    <tableColumn id="3084" xr3:uid="{FD361C85-A104-4C62-957C-2B82EC9837D1}" name="Colonne3076"/>
    <tableColumn id="3085" xr3:uid="{F36F3640-9D6B-43E0-BD8B-B5B3EAEAFD5B}" name="Colonne3077"/>
    <tableColumn id="3086" xr3:uid="{DCC129AD-A746-4B86-928F-6EA62A20156E}" name="Colonne3078"/>
    <tableColumn id="3087" xr3:uid="{890D8A39-F841-4B84-8FC9-123DCDB57395}" name="Colonne3079"/>
    <tableColumn id="3088" xr3:uid="{822E6840-B0D2-4FE6-A7C7-28F201451A2B}" name="Colonne3080"/>
    <tableColumn id="3089" xr3:uid="{3A0EF188-9914-44F2-927A-EC76C0D327FC}" name="Colonne3081"/>
    <tableColumn id="3090" xr3:uid="{4343DF9A-88F6-4505-A7AB-785DCB1F3CAE}" name="Colonne3082"/>
    <tableColumn id="3091" xr3:uid="{338724E8-DCA5-4574-9A0A-CFFD1BD9FB23}" name="Colonne3083"/>
    <tableColumn id="3092" xr3:uid="{5C30CB5B-F061-4DD1-8A58-080AE010CC60}" name="Colonne3084"/>
    <tableColumn id="3093" xr3:uid="{A5806364-4B62-486F-97E1-D60CCAA400A8}" name="Colonne3085"/>
    <tableColumn id="3094" xr3:uid="{6C89EF5A-9B67-41BA-BCEC-ACB58830CC79}" name="Colonne3086"/>
    <tableColumn id="3095" xr3:uid="{6ACF925C-0F2D-46AF-941C-6077311E39B1}" name="Colonne3087"/>
    <tableColumn id="3096" xr3:uid="{D4407BCC-85D3-44C0-ACA7-90A168E1E4A2}" name="Colonne3088"/>
    <tableColumn id="3097" xr3:uid="{6803DCB1-0760-4C09-A5B8-8D2072299BB8}" name="Colonne3089"/>
    <tableColumn id="3098" xr3:uid="{F5C15DEB-46FA-449E-BDB1-5CB2C04B63E3}" name="Colonne3090"/>
    <tableColumn id="3099" xr3:uid="{B4D62A07-7729-4530-A23F-B23C43DACA5F}" name="Colonne3091"/>
    <tableColumn id="3100" xr3:uid="{8FF544E9-B2CB-484E-B754-029EB381471B}" name="Colonne3092"/>
    <tableColumn id="3101" xr3:uid="{38D9DC44-56BA-4905-AA0D-01024E340322}" name="Colonne3093"/>
    <tableColumn id="3102" xr3:uid="{DA9B4EAD-B17A-424E-9B77-88ABE088C3E4}" name="Colonne3094"/>
    <tableColumn id="3103" xr3:uid="{0127FABE-E913-4172-BF73-1E09B071B1CE}" name="Colonne3095"/>
    <tableColumn id="3104" xr3:uid="{4A6FEA1F-FB4A-4744-BDE0-4A4747E8FE24}" name="Colonne3096"/>
    <tableColumn id="3105" xr3:uid="{1E9D01A0-6A0B-4596-9E28-880E8ED14AC3}" name="Colonne3097"/>
    <tableColumn id="3106" xr3:uid="{685397B4-9443-4565-B561-232F02A735B8}" name="Colonne3098"/>
    <tableColumn id="3107" xr3:uid="{717A96A5-32B6-47D9-85ED-E9847B62574F}" name="Colonne3099"/>
    <tableColumn id="3108" xr3:uid="{7982D551-F807-47F8-9CB3-AD0D84825902}" name="Colonne3100"/>
    <tableColumn id="3109" xr3:uid="{2AF8B2C2-3191-447E-9FA0-106822A75941}" name="Colonne3101"/>
    <tableColumn id="3110" xr3:uid="{9A27556B-E167-46A8-BC8D-5FE44487CF57}" name="Colonne3102"/>
    <tableColumn id="3111" xr3:uid="{E26E3126-8B6D-4A2D-B54B-B76BFDEEFA01}" name="Colonne3103"/>
    <tableColumn id="3112" xr3:uid="{3BA0B3BB-BC53-4843-9C13-F105638AF530}" name="Colonne3104"/>
    <tableColumn id="3113" xr3:uid="{514BA348-48B6-4944-AD0E-4C81695B8AC7}" name="Colonne3105"/>
    <tableColumn id="3114" xr3:uid="{0B43E018-10AA-4B98-92EC-C39E039AC4F3}" name="Colonne3106"/>
    <tableColumn id="3115" xr3:uid="{007FD6DE-6F2A-4895-9429-C04A87F25CF7}" name="Colonne3107"/>
    <tableColumn id="3116" xr3:uid="{5CC7F8C3-2CF7-4094-8B72-18B01BD7BA13}" name="Colonne3108"/>
    <tableColumn id="3117" xr3:uid="{91CC20D9-3C18-46AF-A130-5DFBA8F770BB}" name="Colonne3109"/>
    <tableColumn id="3118" xr3:uid="{265633A0-707D-4D50-9B58-5828EDC249F9}" name="Colonne3110"/>
    <tableColumn id="3119" xr3:uid="{7D9172A1-F83D-4CA6-A4E3-21728ABF07BC}" name="Colonne3111"/>
    <tableColumn id="3120" xr3:uid="{8C0F01D1-5AD1-4C15-97DE-DC5CF7E60C94}" name="Colonne3112"/>
    <tableColumn id="3121" xr3:uid="{87E501CF-CB74-46AA-950A-726D1500CF06}" name="Colonne3113"/>
    <tableColumn id="3122" xr3:uid="{194DE5EF-560A-4CAF-B4EF-162273665E27}" name="Colonne3114"/>
    <tableColumn id="3123" xr3:uid="{55EF032B-0CE4-416E-9F63-9EA1A78F6B85}" name="Colonne3115"/>
    <tableColumn id="3124" xr3:uid="{280AA1D8-4D4E-41D4-9AF9-CE71E490225E}" name="Colonne3116"/>
    <tableColumn id="3125" xr3:uid="{73C43484-33FD-4AB0-98B2-225F058B1D74}" name="Colonne3117"/>
    <tableColumn id="3126" xr3:uid="{A0A864B4-A0E7-4602-A6CF-3B353F1AFEB3}" name="Colonne3118"/>
    <tableColumn id="3127" xr3:uid="{E391F78E-18B5-4485-95EB-56A606C100B8}" name="Colonne3119"/>
    <tableColumn id="3128" xr3:uid="{02BE8EDD-0C5F-4CEB-B15F-8D4C55EFB24A}" name="Colonne3120"/>
    <tableColumn id="3129" xr3:uid="{4A2C76A5-F548-43A2-A3A4-A68CE2E6BDDC}" name="Colonne3121"/>
    <tableColumn id="3130" xr3:uid="{4C42EE14-6C18-444B-B1DB-5EE42E7798C3}" name="Colonne3122"/>
    <tableColumn id="3131" xr3:uid="{B783DD28-82B6-4B19-B86A-C0D922F22A7C}" name="Colonne3123"/>
    <tableColumn id="3132" xr3:uid="{22EAC9E6-D413-4E20-BE91-0B90D0481CA0}" name="Colonne3124"/>
    <tableColumn id="3133" xr3:uid="{B7F601B3-707F-4A9F-814B-09F380F9D467}" name="Colonne3125"/>
    <tableColumn id="3134" xr3:uid="{3FF01CFA-6EFB-4D4E-8D7E-0243B9E172A1}" name="Colonne3126"/>
    <tableColumn id="3135" xr3:uid="{390C91CC-FEB7-4729-AABC-16596D3892A4}" name="Colonne3127"/>
    <tableColumn id="3136" xr3:uid="{D4F41BCC-4E85-49BE-A542-B4ED534E04D3}" name="Colonne3128"/>
    <tableColumn id="3137" xr3:uid="{852904F4-C1FD-40AC-A1E8-1D047D5F9D42}" name="Colonne3129"/>
    <tableColumn id="3138" xr3:uid="{5473332E-D18A-4B60-BC0F-36E1F830EC33}" name="Colonne3130"/>
    <tableColumn id="3139" xr3:uid="{9F5B2B91-B281-41E2-BE34-E9BA540D20F5}" name="Colonne3131"/>
    <tableColumn id="3140" xr3:uid="{BDFF7BA1-33E6-4163-8AAD-8853FFC81EFF}" name="Colonne3132"/>
    <tableColumn id="3141" xr3:uid="{40867FA4-7A54-43B0-B143-448C048E96CB}" name="Colonne3133"/>
    <tableColumn id="3142" xr3:uid="{B114217B-058A-4428-8585-71670D1B9744}" name="Colonne3134"/>
    <tableColumn id="3143" xr3:uid="{8E78F068-FFAD-4B7C-A8B8-A03EE5884836}" name="Colonne3135"/>
    <tableColumn id="3144" xr3:uid="{4B53D423-0BF9-43AE-B6A5-B2041BCA017E}" name="Colonne3136"/>
    <tableColumn id="3145" xr3:uid="{590D8D5D-8A6A-4F90-A27B-5CADE2B2A91A}" name="Colonne3137"/>
    <tableColumn id="3146" xr3:uid="{2E758CBA-8CBD-4C3E-9386-A7C8FEB063CF}" name="Colonne3138"/>
    <tableColumn id="3147" xr3:uid="{B38CC05E-92FF-45E3-B336-EDF9F976560D}" name="Colonne3139"/>
    <tableColumn id="3148" xr3:uid="{80436848-8D2A-4DA4-936E-B3BD86C0147A}" name="Colonne3140"/>
    <tableColumn id="3149" xr3:uid="{32B28072-828D-4FEB-82FF-07222A85BCDB}" name="Colonne3141"/>
    <tableColumn id="3150" xr3:uid="{B2B46582-D621-443B-8E4B-6712EB0803C5}" name="Colonne3142"/>
    <tableColumn id="3151" xr3:uid="{FCEEFACA-8C12-49A9-A529-82D7D4006D4D}" name="Colonne3143"/>
    <tableColumn id="3152" xr3:uid="{39D4FC56-2591-4254-9E92-16218586B967}" name="Colonne3144"/>
    <tableColumn id="3153" xr3:uid="{726F9089-8123-4761-AD8C-3225485BCD82}" name="Colonne3145"/>
    <tableColumn id="3154" xr3:uid="{98A57E49-C76B-4222-A21A-1998C0A19567}" name="Colonne3146"/>
    <tableColumn id="3155" xr3:uid="{20C1D19E-9579-4DE1-9334-25A9590E4E0A}" name="Colonne3147"/>
    <tableColumn id="3156" xr3:uid="{C637B72F-0B30-44D7-A74A-160B1CA4B419}" name="Colonne3148"/>
    <tableColumn id="3157" xr3:uid="{34065D36-D374-4320-B476-205C0661D78B}" name="Colonne3149"/>
    <tableColumn id="3158" xr3:uid="{7EEDA5FF-25A5-469B-BD41-6BFE8C2C2D4F}" name="Colonne3150"/>
    <tableColumn id="3159" xr3:uid="{684A9701-82E6-4B0F-8611-C855D15B3FBD}" name="Colonne3151"/>
    <tableColumn id="3160" xr3:uid="{06C918C1-058E-4963-958C-42C182C840D3}" name="Colonne3152"/>
    <tableColumn id="3161" xr3:uid="{D6F1FB54-6851-4B89-AE0D-8AFAE679E9A5}" name="Colonne3153"/>
    <tableColumn id="3162" xr3:uid="{0912F5BE-7C77-4CB8-952B-034FAD99503E}" name="Colonne3154"/>
    <tableColumn id="3163" xr3:uid="{6D444B5A-3368-4F75-920F-5B6F0A189363}" name="Colonne3155"/>
    <tableColumn id="3164" xr3:uid="{A893E6FF-8577-4759-8976-BA01526C017D}" name="Colonne3156"/>
    <tableColumn id="3165" xr3:uid="{A4A37401-8FF7-4AB5-9AE9-8F35E631F128}" name="Colonne3157"/>
    <tableColumn id="3166" xr3:uid="{A60BAD95-2917-4083-9574-4CE64E7A614B}" name="Colonne3158"/>
    <tableColumn id="3167" xr3:uid="{7E091CDE-3CDD-4596-BE5A-75127D6DA418}" name="Colonne3159"/>
    <tableColumn id="3168" xr3:uid="{8F743511-F92A-4FCA-AB24-210A182DED25}" name="Colonne3160"/>
    <tableColumn id="3169" xr3:uid="{43435EB6-012E-4AB2-8E20-1195D55E6EB1}" name="Colonne3161"/>
    <tableColumn id="3170" xr3:uid="{8A21D106-BA65-4CC0-9139-2259DE21141B}" name="Colonne3162"/>
    <tableColumn id="3171" xr3:uid="{07C177E5-BFB3-44EB-8A00-7FFE710CAB8E}" name="Colonne3163"/>
    <tableColumn id="3172" xr3:uid="{D79E594B-7C30-405A-BD2D-A31A7B614B87}" name="Colonne3164"/>
    <tableColumn id="3173" xr3:uid="{C9ADBD28-1AE6-4966-9C96-BCDCBE167233}" name="Colonne3165"/>
    <tableColumn id="3174" xr3:uid="{7CE7B0B5-0FBC-4B5D-9C41-8EC947984425}" name="Colonne3166"/>
    <tableColumn id="3175" xr3:uid="{77BA6DD2-5908-4F16-A6CB-434F62E907EE}" name="Colonne3167"/>
    <tableColumn id="3176" xr3:uid="{33994B60-8686-432C-9A86-34165A1A4A3E}" name="Colonne3168"/>
    <tableColumn id="3177" xr3:uid="{D205347D-145F-4A24-B442-04CD80E29728}" name="Colonne3169"/>
    <tableColumn id="3178" xr3:uid="{EE977789-E7F8-44CC-98E1-50B7C0509099}" name="Colonne3170"/>
    <tableColumn id="3179" xr3:uid="{13FD06AC-62B6-4660-B94E-D13F7F89E502}" name="Colonne3171"/>
    <tableColumn id="3180" xr3:uid="{C787A8DD-6ACB-452D-A494-7433EEF8BEA4}" name="Colonne3172"/>
    <tableColumn id="3181" xr3:uid="{74BF80F6-E36A-4544-9601-6A4F592A7113}" name="Colonne3173"/>
    <tableColumn id="3182" xr3:uid="{FCBDE67C-C7EE-4A76-90B7-BBF3DE279350}" name="Colonne3174"/>
    <tableColumn id="3183" xr3:uid="{C8246E78-58B7-4A04-B21D-9CCD419224DD}" name="Colonne3175"/>
    <tableColumn id="3184" xr3:uid="{0BE0BBA0-2BA5-4811-8F18-DC5068035096}" name="Colonne3176"/>
    <tableColumn id="3185" xr3:uid="{D347387D-F291-4EED-A7D4-B9B099B34EF3}" name="Colonne3177"/>
    <tableColumn id="3186" xr3:uid="{436C124F-6D08-4F46-9F2C-95352627CCB9}" name="Colonne3178"/>
    <tableColumn id="3187" xr3:uid="{0271D79F-ECE8-4247-B66B-89FEFFAF53DA}" name="Colonne3179"/>
    <tableColumn id="3188" xr3:uid="{03CA5088-0818-411D-8F7E-252814197174}" name="Colonne3180"/>
    <tableColumn id="3189" xr3:uid="{AC42F3A4-BBFA-44E0-924D-DF1F0422054C}" name="Colonne3181"/>
    <tableColumn id="3190" xr3:uid="{D206E854-0389-4598-99EA-24C21FE196F9}" name="Colonne3182"/>
    <tableColumn id="3191" xr3:uid="{9778FE3D-1F5D-46EA-B650-2004513138FC}" name="Colonne3183"/>
    <tableColumn id="3192" xr3:uid="{FF3B2189-40B1-4D96-9600-87A75638EC89}" name="Colonne3184"/>
    <tableColumn id="3193" xr3:uid="{C350F5C4-E17A-4C06-8519-D36B4931BFB4}" name="Colonne3185"/>
    <tableColumn id="3194" xr3:uid="{E0753EEC-41D0-4635-8110-2CA36CC84B5D}" name="Colonne3186"/>
    <tableColumn id="3195" xr3:uid="{829A21B8-7B98-4CD2-B31F-AE1B008C2CE1}" name="Colonne3187"/>
    <tableColumn id="3196" xr3:uid="{25BE7AC9-9772-4D7E-98E1-0C2D452BE6C0}" name="Colonne3188"/>
    <tableColumn id="3197" xr3:uid="{22D8E196-70ED-4494-A519-910849AE7AD8}" name="Colonne3189"/>
    <tableColumn id="3198" xr3:uid="{E7F6346D-69BD-4DE2-A480-29BBD7D4FCE3}" name="Colonne3190"/>
    <tableColumn id="3199" xr3:uid="{DDDD4705-8367-4623-9ADE-A4BB7AB6FA9D}" name="Colonne3191"/>
    <tableColumn id="3200" xr3:uid="{FDCFE9AC-F0B9-4066-B3AB-DE97BE03F366}" name="Colonne3192"/>
    <tableColumn id="3201" xr3:uid="{C5FF6625-7E71-4C08-82A2-555F98191523}" name="Colonne3193"/>
    <tableColumn id="3202" xr3:uid="{3B8BC7F8-2567-4CB3-89FC-0F5673E11A4D}" name="Colonne3194"/>
    <tableColumn id="3203" xr3:uid="{20377A27-836C-4BDF-A161-62E8F18C307A}" name="Colonne3195"/>
    <tableColumn id="3204" xr3:uid="{C4DAA813-1B5C-4B47-B845-E8A328B00707}" name="Colonne3196"/>
    <tableColumn id="3205" xr3:uid="{C4C3CDED-D21F-4C4A-B72D-94689015BA33}" name="Colonne3197"/>
    <tableColumn id="3206" xr3:uid="{26B72434-57A0-4A70-89E2-9A697EAB0846}" name="Colonne3198"/>
    <tableColumn id="3207" xr3:uid="{D44CB89C-2D60-4167-94EA-6F042F53336C}" name="Colonne3199"/>
    <tableColumn id="3208" xr3:uid="{92BCFA1A-A20F-4F7F-8963-4A4E0BF7776E}" name="Colonne3200"/>
    <tableColumn id="3209" xr3:uid="{37302AFC-195C-4471-90F5-7F528BA51CE4}" name="Colonne3201"/>
    <tableColumn id="3210" xr3:uid="{BBDC9838-0139-424D-9613-54499AEECAB4}" name="Colonne3202"/>
    <tableColumn id="3211" xr3:uid="{3E95D683-910F-4830-8F85-2CEB5E143751}" name="Colonne3203"/>
    <tableColumn id="3212" xr3:uid="{D7A98BFB-45B6-42C2-BC3F-21F20CDA3D5E}" name="Colonne3204"/>
    <tableColumn id="3213" xr3:uid="{270B66C7-9139-4493-936D-ACC8277FD135}" name="Colonne3205"/>
    <tableColumn id="3214" xr3:uid="{757E9450-4CE8-4407-A21F-104638DC9B2C}" name="Colonne3206"/>
    <tableColumn id="3215" xr3:uid="{57AF6B14-3973-4105-BCFC-13F56A55482B}" name="Colonne3207"/>
    <tableColumn id="3216" xr3:uid="{54BDACD9-F820-4BFD-B98A-268EDF5AA458}" name="Colonne3208"/>
    <tableColumn id="3217" xr3:uid="{048990FC-7D91-439C-9D3B-75560202EE6F}" name="Colonne3209"/>
    <tableColumn id="3218" xr3:uid="{E9373799-BD26-4050-8C25-1D6BB9D51942}" name="Colonne3210"/>
    <tableColumn id="3219" xr3:uid="{A8470E3A-7403-4734-B8EA-6E4DC763C398}" name="Colonne3211"/>
    <tableColumn id="3220" xr3:uid="{3B8BBDB2-B804-4AC2-9735-B6729E2C14EC}" name="Colonne3212"/>
    <tableColumn id="3221" xr3:uid="{CA07C707-743D-4B48-8756-D84CA83EA61F}" name="Colonne3213"/>
    <tableColumn id="3222" xr3:uid="{D80B2920-1101-41C9-A8A2-5B0740217398}" name="Colonne3214"/>
    <tableColumn id="3223" xr3:uid="{49B554E9-CDDD-404B-A21E-51C1B5A60442}" name="Colonne3215"/>
    <tableColumn id="3224" xr3:uid="{0FCAFE59-2BB7-4060-85D4-8496DC3E32F9}" name="Colonne3216"/>
    <tableColumn id="3225" xr3:uid="{B7612B20-6FD5-4C39-B61F-5DD89E992CFA}" name="Colonne3217"/>
    <tableColumn id="3226" xr3:uid="{E0812E5D-BC60-486F-AB48-36384DCF279F}" name="Colonne3218"/>
    <tableColumn id="3227" xr3:uid="{BF816B16-4D92-46B1-B8F3-C8B4B5E8F41A}" name="Colonne3219"/>
    <tableColumn id="3228" xr3:uid="{22472067-F641-425E-963D-724EA464D5AF}" name="Colonne3220"/>
    <tableColumn id="3229" xr3:uid="{8832486C-3EFC-42CE-9961-F557584E5EBC}" name="Colonne3221"/>
    <tableColumn id="3230" xr3:uid="{D7784141-1E36-4F43-A973-AE2AF3AC0D44}" name="Colonne3222"/>
    <tableColumn id="3231" xr3:uid="{A32651B2-2E5F-473B-B248-A2B2C2C19291}" name="Colonne3223"/>
    <tableColumn id="3232" xr3:uid="{0CBA5ADA-D8CF-4619-8FB8-EFE0660358E1}" name="Colonne3224"/>
    <tableColumn id="3233" xr3:uid="{92545676-36CA-473E-8289-9B88EEABCD2B}" name="Colonne3225"/>
    <tableColumn id="3234" xr3:uid="{536E1238-2F43-45C3-BD9F-140E913518B9}" name="Colonne3226"/>
    <tableColumn id="3235" xr3:uid="{8707DB54-5765-471D-80B7-38A17273F936}" name="Colonne3227"/>
    <tableColumn id="3236" xr3:uid="{582A7A55-4CA9-49AE-A8BB-F5AA37722732}" name="Colonne3228"/>
    <tableColumn id="3237" xr3:uid="{CC4427EA-81ED-43A2-AB9A-8851A9D2C479}" name="Colonne3229"/>
    <tableColumn id="3238" xr3:uid="{D796B1B1-75FF-44A1-856E-3A6CF8F4DD60}" name="Colonne3230"/>
    <tableColumn id="3239" xr3:uid="{CBE4FD43-B549-4650-B21F-6E6E94C2016B}" name="Colonne3231"/>
    <tableColumn id="3240" xr3:uid="{C3C2AAE4-370C-43AF-86A5-4E4DF84DD541}" name="Colonne3232"/>
    <tableColumn id="3241" xr3:uid="{FD381BE9-2760-4A17-9B2E-A59F609D617A}" name="Colonne3233"/>
    <tableColumn id="3242" xr3:uid="{3EA45650-862A-453E-B6FB-AD5AAF829209}" name="Colonne3234"/>
    <tableColumn id="3243" xr3:uid="{045D0A5F-34D1-4BF6-B484-FFB1758D6A17}" name="Colonne3235"/>
    <tableColumn id="3244" xr3:uid="{9A5A6140-FD3B-4CA6-89D8-2B69D5C9B2F8}" name="Colonne3236"/>
    <tableColumn id="3245" xr3:uid="{741AEB87-60F5-49C8-9419-C2D9A497F95A}" name="Colonne3237"/>
    <tableColumn id="3246" xr3:uid="{45678285-7679-4E5A-B5F1-086ADE3DF327}" name="Colonne3238"/>
    <tableColumn id="3247" xr3:uid="{8AE4AAA8-C528-4E53-83A8-88D830E01797}" name="Colonne3239"/>
    <tableColumn id="3248" xr3:uid="{41FBD410-408F-4CEF-A908-D27FD6F242E3}" name="Colonne3240"/>
    <tableColumn id="3249" xr3:uid="{6D52E164-D31F-48E3-980F-36D0A31F5EFD}" name="Colonne3241"/>
    <tableColumn id="3250" xr3:uid="{65C79248-040B-4911-BDCA-066FD899B737}" name="Colonne3242"/>
    <tableColumn id="3251" xr3:uid="{706AE106-A544-4ACB-8336-B06D23C0C9A4}" name="Colonne3243"/>
    <tableColumn id="3252" xr3:uid="{3EAAFCF9-0968-4C9E-8660-3B4423190374}" name="Colonne3244"/>
    <tableColumn id="3253" xr3:uid="{5FD2F66E-BE89-44F4-9BD7-34C7A52C6AFB}" name="Colonne3245"/>
    <tableColumn id="3254" xr3:uid="{2B690646-8FE6-4AE2-87A6-07CBFA84AB98}" name="Colonne3246"/>
    <tableColumn id="3255" xr3:uid="{BC2253E8-3A22-4879-9167-79C9AD912951}" name="Colonne3247"/>
    <tableColumn id="3256" xr3:uid="{D3A5B299-3537-4DB3-9485-334AE560ED42}" name="Colonne3248"/>
    <tableColumn id="3257" xr3:uid="{0A27FFF9-27ED-49A7-94D1-FA6A0452CE80}" name="Colonne3249"/>
    <tableColumn id="3258" xr3:uid="{FF240FA3-D805-47A9-ACFF-16D457488228}" name="Colonne3250"/>
    <tableColumn id="3259" xr3:uid="{E9752BCC-1A76-4DF2-A98A-16A799BE98D7}" name="Colonne3251"/>
    <tableColumn id="3260" xr3:uid="{D8F9F988-0843-4737-9587-6EBE6CE05137}" name="Colonne3252"/>
    <tableColumn id="3261" xr3:uid="{9A86C29F-FCBB-464E-BF93-3889BA464058}" name="Colonne3253"/>
    <tableColumn id="3262" xr3:uid="{85890B1C-8448-49F7-AFBA-A21037D789B5}" name="Colonne3254"/>
    <tableColumn id="3263" xr3:uid="{607A7EA9-49E4-4635-BE55-F9D44EC63CB4}" name="Colonne3255"/>
    <tableColumn id="3264" xr3:uid="{2BF39230-55EE-4FD6-A9C0-713F0AF32745}" name="Colonne3256"/>
    <tableColumn id="3265" xr3:uid="{AFE61AFC-7902-47A8-9BDB-4AC7E6952937}" name="Colonne3257"/>
    <tableColumn id="3266" xr3:uid="{6EC66131-7B5C-48D6-B6DB-70BA13C34DBC}" name="Colonne3258"/>
    <tableColumn id="3267" xr3:uid="{05AF5E2C-DC0B-4E10-A10A-20061FE1A21E}" name="Colonne3259"/>
    <tableColumn id="3268" xr3:uid="{69F0550B-0E64-4B39-A1E8-73A740A76C07}" name="Colonne3260"/>
    <tableColumn id="3269" xr3:uid="{C35CA8F9-4A8F-4870-9EA6-FA94DB085222}" name="Colonne3261"/>
    <tableColumn id="3270" xr3:uid="{43162DA9-910D-4F16-80EA-14DBB365B010}" name="Colonne3262"/>
    <tableColumn id="3271" xr3:uid="{6CB9F194-20BB-465B-A2DD-6CB53C4B5D8B}" name="Colonne3263"/>
    <tableColumn id="3272" xr3:uid="{A586DC5D-A6F8-4340-B8E3-5CACB6E2E150}" name="Colonne3264"/>
    <tableColumn id="3273" xr3:uid="{BC353731-6B33-4079-91CF-87A398405522}" name="Colonne3265"/>
    <tableColumn id="3274" xr3:uid="{25C220C6-FD8D-48BE-BE71-FD69B5AE0D3C}" name="Colonne3266"/>
    <tableColumn id="3275" xr3:uid="{C641BA42-7CC2-44B4-9463-1538CCA663C7}" name="Colonne3267"/>
    <tableColumn id="3276" xr3:uid="{868FAD1E-1354-45A2-B8DE-05FCB10724CD}" name="Colonne3268"/>
    <tableColumn id="3277" xr3:uid="{D2F8CDE8-1ED8-4069-807B-D927DF9859D4}" name="Colonne3269"/>
    <tableColumn id="3278" xr3:uid="{8F1F2DAA-B2F3-4C0B-BA41-D95AD6A2EFB1}" name="Colonne3270"/>
    <tableColumn id="3279" xr3:uid="{1C746D71-8292-41CF-9937-77231F91E22C}" name="Colonne3271"/>
    <tableColumn id="3280" xr3:uid="{0A86C359-6E34-415D-AB34-931CDB64301C}" name="Colonne3272"/>
    <tableColumn id="3281" xr3:uid="{A93E1E4E-ED05-409F-8CD5-42787EF5A76A}" name="Colonne3273"/>
    <tableColumn id="3282" xr3:uid="{A9FB6BA6-3FE9-47E3-A680-971C264E92D4}" name="Colonne3274"/>
    <tableColumn id="3283" xr3:uid="{CBA1610D-FAC7-4538-AF0F-DDE37DEADF5C}" name="Colonne3275"/>
    <tableColumn id="3284" xr3:uid="{AE1F560E-11EF-4B72-B201-4280D7906105}" name="Colonne3276"/>
    <tableColumn id="3285" xr3:uid="{D61B9E0A-653E-4F79-AF85-428F603B5020}" name="Colonne3277"/>
    <tableColumn id="3286" xr3:uid="{4B0AB43D-CA24-46B5-8D73-D494D5CCC0A2}" name="Colonne3278"/>
    <tableColumn id="3287" xr3:uid="{621CBD4B-84BB-4550-87EB-A4BC04AD582E}" name="Colonne3279"/>
    <tableColumn id="3288" xr3:uid="{B2E78940-109B-4055-B79C-8F69B5D6FC21}" name="Colonne3280"/>
    <tableColumn id="3289" xr3:uid="{F510A2D9-8660-49CB-BFA3-73B425D97C94}" name="Colonne3281"/>
    <tableColumn id="3290" xr3:uid="{B3377685-7C56-4215-AF53-C9335EA5AF40}" name="Colonne3282"/>
    <tableColumn id="3291" xr3:uid="{067BD4FC-4C02-412C-8504-AA67FBA8FACA}" name="Colonne3283"/>
    <tableColumn id="3292" xr3:uid="{8C5E0DAA-70B2-496B-885E-EEE5888FFC20}" name="Colonne3284"/>
    <tableColumn id="3293" xr3:uid="{AB8C2D5C-E302-45DA-82BF-9DFCD2012828}" name="Colonne3285"/>
    <tableColumn id="3294" xr3:uid="{CE00A99C-422E-4AE8-9819-24973EC77507}" name="Colonne3286"/>
    <tableColumn id="3295" xr3:uid="{374AD5F1-3CBE-4D6F-9650-C3015E13A74A}" name="Colonne3287"/>
    <tableColumn id="3296" xr3:uid="{8311B8B6-2A82-4C0B-B48D-09F6D2C3DAD5}" name="Colonne3288"/>
    <tableColumn id="3297" xr3:uid="{8FC7AA90-6E05-4A44-B1C0-B7B44192F6E2}" name="Colonne3289"/>
    <tableColumn id="3298" xr3:uid="{67636EC9-2A6E-463B-88CB-46043E901FB9}" name="Colonne3290"/>
    <tableColumn id="3299" xr3:uid="{5ACC60AA-D8B1-489D-88A5-86422AC54482}" name="Colonne3291"/>
    <tableColumn id="3300" xr3:uid="{04D8ACB7-3DE7-4924-BD3B-20E656BCBAE6}" name="Colonne3292"/>
    <tableColumn id="3301" xr3:uid="{200F268C-FC82-47BA-B28C-B2519AFC607A}" name="Colonne3293"/>
    <tableColumn id="3302" xr3:uid="{34EA6174-9721-4C29-9B4C-FABC11C86E80}" name="Colonne3294"/>
    <tableColumn id="3303" xr3:uid="{DBBCBF0A-2ADB-4376-AC26-2145C2FB4E98}" name="Colonne3295"/>
    <tableColumn id="3304" xr3:uid="{3598B6B9-B3D7-4F4D-BB6F-89D3C91CAEA9}" name="Colonne3296"/>
    <tableColumn id="3305" xr3:uid="{C4413E2F-E633-4F41-979E-A51FF7341499}" name="Colonne3297"/>
    <tableColumn id="3306" xr3:uid="{3612C762-23A0-40B1-8970-8BADB7A41B72}" name="Colonne3298"/>
    <tableColumn id="3307" xr3:uid="{FE36D98D-EF6C-458F-BA66-B8BF4DB6FDBE}" name="Colonne3299"/>
    <tableColumn id="3308" xr3:uid="{8E1E8280-26BD-4C8D-B068-EF95D84C3165}" name="Colonne3300"/>
    <tableColumn id="3309" xr3:uid="{F64FC5E3-6FF3-4187-95D3-AE9AF76ABCEA}" name="Colonne3301"/>
    <tableColumn id="3310" xr3:uid="{AA1CF6E7-1E2C-4646-9426-2BA42A0A076E}" name="Colonne3302"/>
    <tableColumn id="3311" xr3:uid="{56828C46-6F4E-41E8-A038-352C94F5B698}" name="Colonne3303"/>
    <tableColumn id="3312" xr3:uid="{CFE0CAC3-3B7D-44C6-9F22-D111642551F5}" name="Colonne3304"/>
    <tableColumn id="3313" xr3:uid="{8C575CAE-F7FA-408E-B4B9-4E0113C06CD0}" name="Colonne3305"/>
    <tableColumn id="3314" xr3:uid="{E4C9F155-5FB2-4523-B0D3-CF9099DAE667}" name="Colonne3306"/>
    <tableColumn id="3315" xr3:uid="{596F8953-65E2-4D85-9675-FD03254F126F}" name="Colonne3307"/>
    <tableColumn id="3316" xr3:uid="{FE5E4372-4D34-4104-89A2-4EC64C3BAAF3}" name="Colonne3308"/>
    <tableColumn id="3317" xr3:uid="{123DD4E1-05EA-4471-922D-1E0DAB6D47AC}" name="Colonne3309"/>
    <tableColumn id="3318" xr3:uid="{193DABF9-8035-4958-A48E-350796B82A68}" name="Colonne3310"/>
    <tableColumn id="3319" xr3:uid="{1BE6F6F8-0EE4-4ED0-980D-C874171D2120}" name="Colonne3311"/>
    <tableColumn id="3320" xr3:uid="{38D23E13-219C-4594-8175-E73CAFD034E8}" name="Colonne3312"/>
    <tableColumn id="3321" xr3:uid="{C1560BAC-652D-4C2F-9B58-E953EA463D4D}" name="Colonne3313"/>
    <tableColumn id="3322" xr3:uid="{2DB920A3-44CD-4174-A953-1800302203AA}" name="Colonne3314"/>
    <tableColumn id="3323" xr3:uid="{548F855C-EED8-4FB9-A845-8CFDB9447E6C}" name="Colonne3315"/>
    <tableColumn id="3324" xr3:uid="{58DA0C31-5CE9-4FC9-A74A-90AD401699B9}" name="Colonne3316"/>
    <tableColumn id="3325" xr3:uid="{5DF4194D-E832-40F2-A5AC-A2F8140F1939}" name="Colonne3317"/>
    <tableColumn id="3326" xr3:uid="{131209CF-9E4A-4FDD-A1EA-788E3927E0B6}" name="Colonne3318"/>
    <tableColumn id="3327" xr3:uid="{8544FEB8-88E0-44A5-B4A0-8E03862B128F}" name="Colonne3319"/>
    <tableColumn id="3328" xr3:uid="{E19260C4-40AE-4B90-A9E7-432AB52752F2}" name="Colonne3320"/>
    <tableColumn id="3329" xr3:uid="{969DDC4F-BD8D-466A-A1F0-0CAD25A0D170}" name="Colonne3321"/>
    <tableColumn id="3330" xr3:uid="{5EADCD10-465F-4229-A3B2-6E8E31B71F0C}" name="Colonne3322"/>
    <tableColumn id="3331" xr3:uid="{F88A788B-0716-469E-A748-C6C21E0C68A7}" name="Colonne3323"/>
    <tableColumn id="3332" xr3:uid="{A3EE3C5C-6BC9-4D32-A76E-BEF1A766FC25}" name="Colonne3324"/>
    <tableColumn id="3333" xr3:uid="{AA37B4D0-CC65-4934-AF1F-A5002A2F9C75}" name="Colonne3325"/>
    <tableColumn id="3334" xr3:uid="{8915EACF-26AC-49F6-92F0-F266BAD751FA}" name="Colonne3326"/>
    <tableColumn id="3335" xr3:uid="{7EDBEA2A-2164-4102-A605-4D36C267B39B}" name="Colonne3327"/>
    <tableColumn id="3336" xr3:uid="{1630313C-9508-4EF9-A321-BE9BBA7C06E9}" name="Colonne3328"/>
    <tableColumn id="3337" xr3:uid="{F16B5A2B-BBBD-4258-B824-FC7A0F89EFE1}" name="Colonne3329"/>
    <tableColumn id="3338" xr3:uid="{55AA59D7-64A6-4E61-A34A-F99AA8FB1D59}" name="Colonne3330"/>
    <tableColumn id="3339" xr3:uid="{3BFD6814-DA2B-438A-B3ED-2D421756E807}" name="Colonne3331"/>
    <tableColumn id="3340" xr3:uid="{4B51BA87-CB8E-4BD1-8E1E-3CC17B151346}" name="Colonne3332"/>
    <tableColumn id="3341" xr3:uid="{9BD6B2B5-DE6F-42A6-9382-D4E6BFB86E0C}" name="Colonne3333"/>
    <tableColumn id="3342" xr3:uid="{DB287DC4-C671-464A-8CDB-A8B51039C6D2}" name="Colonne3334"/>
    <tableColumn id="3343" xr3:uid="{0237E4E1-E7C0-4F13-94D9-2AC061B71311}" name="Colonne3335"/>
    <tableColumn id="3344" xr3:uid="{8D12A309-C012-42F3-A903-EDF0CD73A5A9}" name="Colonne3336"/>
    <tableColumn id="3345" xr3:uid="{1F3343C0-CB40-4241-BBD0-5CE2EEE435A1}" name="Colonne3337"/>
    <tableColumn id="3346" xr3:uid="{333E1B92-CA0D-4DCC-8615-978A7D822045}" name="Colonne3338"/>
    <tableColumn id="3347" xr3:uid="{6327E655-DF3D-4395-9890-B134889F631C}" name="Colonne3339"/>
    <tableColumn id="3348" xr3:uid="{0EF6F90F-9E43-478A-87F7-0AD64D6D246C}" name="Colonne3340"/>
    <tableColumn id="3349" xr3:uid="{D98C947D-E823-4929-88A1-8E6B9C910C28}" name="Colonne3341"/>
    <tableColumn id="3350" xr3:uid="{A77B867A-A323-4B28-8A20-03602B834195}" name="Colonne3342"/>
    <tableColumn id="3351" xr3:uid="{29AE5914-547F-4227-BB49-7FBE880DB529}" name="Colonne3343"/>
    <tableColumn id="3352" xr3:uid="{AFF77568-2FC4-4CAF-B6E3-9BEAFCA5348B}" name="Colonne3344"/>
    <tableColumn id="3353" xr3:uid="{C50CB383-C78F-44DC-87FE-80298C04A4EC}" name="Colonne3345"/>
    <tableColumn id="3354" xr3:uid="{B9E02E9C-EFD6-457D-932B-EAF38177482F}" name="Colonne3346"/>
    <tableColumn id="3355" xr3:uid="{C1BDE33D-3F9A-4721-A618-C937AED5A59B}" name="Colonne3347"/>
    <tableColumn id="3356" xr3:uid="{7E523FB5-60C9-4DF9-BBE3-FE9F269E2999}" name="Colonne3348"/>
    <tableColumn id="3357" xr3:uid="{B1EA5756-7EE0-46A5-AD67-BCEA1E795D0B}" name="Colonne3349"/>
    <tableColumn id="3358" xr3:uid="{9F2CFB64-070F-4E1B-A864-C205A89F0681}" name="Colonne3350"/>
    <tableColumn id="3359" xr3:uid="{CC7E717C-6A02-4B25-A161-D59669D65231}" name="Colonne3351"/>
    <tableColumn id="3360" xr3:uid="{59E95870-24D6-4E80-9CF7-69AA7C28004E}" name="Colonne3352"/>
    <tableColumn id="3361" xr3:uid="{B62D7D57-986F-4926-BD90-876C34EFEEED}" name="Colonne3353"/>
    <tableColumn id="3362" xr3:uid="{7FA19103-C01C-4C59-8848-0AD76549E98A}" name="Colonne3354"/>
    <tableColumn id="3363" xr3:uid="{B4A63A48-2C1D-45E5-8EC0-CDD6F2CE04B3}" name="Colonne3355"/>
    <tableColumn id="3364" xr3:uid="{D94FAC72-DEF2-4AAB-8381-8752F52FE479}" name="Colonne3356"/>
    <tableColumn id="3365" xr3:uid="{9F3A0508-1DF3-492D-8272-818687CE2305}" name="Colonne3357"/>
    <tableColumn id="3366" xr3:uid="{19447F7E-1C5A-4C25-AEB5-AB7FA9C816ED}" name="Colonne3358"/>
    <tableColumn id="3367" xr3:uid="{D31CD0B5-F0E3-475E-874A-2F21A01BC94C}" name="Colonne3359"/>
    <tableColumn id="3368" xr3:uid="{CD8C1A62-C16A-4F7D-AF9B-EF4F5971ECD7}" name="Colonne3360"/>
    <tableColumn id="3369" xr3:uid="{8AC1D921-4B32-452B-8184-95A4AD5B741A}" name="Colonne3361"/>
    <tableColumn id="3370" xr3:uid="{4D4D01F6-FB2B-4C3C-9174-15785CA8C058}" name="Colonne3362"/>
    <tableColumn id="3371" xr3:uid="{B63AF4C4-6B01-4E44-9AFF-2FCBFEAF0CC1}" name="Colonne3363"/>
    <tableColumn id="3372" xr3:uid="{32E3F17A-6C40-4816-BDF7-4A66CCC3A161}" name="Colonne3364"/>
    <tableColumn id="3373" xr3:uid="{5EAE20F5-B112-47E9-A757-46A799EA5356}" name="Colonne3365"/>
    <tableColumn id="3374" xr3:uid="{D7E5BF3C-888F-47EE-B3EE-9360BCC952FC}" name="Colonne3366"/>
    <tableColumn id="3375" xr3:uid="{575C4CAE-C7BD-49B6-8208-B26F9F8A76FF}" name="Colonne3367"/>
    <tableColumn id="3376" xr3:uid="{EA9ADDC9-EDB0-4830-B603-A039E560C613}" name="Colonne3368"/>
    <tableColumn id="3377" xr3:uid="{FFB964CE-A3A7-4922-8F84-14A1E79BCA02}" name="Colonne3369"/>
    <tableColumn id="3378" xr3:uid="{2FBC5982-F315-4E7D-AA43-E55DF3EE25B4}" name="Colonne3370"/>
    <tableColumn id="3379" xr3:uid="{3EB773A4-C57E-463A-8557-39C6AB5EC89E}" name="Colonne3371"/>
    <tableColumn id="3380" xr3:uid="{1C6FC39B-CA1F-42D4-9B7D-9302E2B3F3E1}" name="Colonne3372"/>
    <tableColumn id="3381" xr3:uid="{16D09115-1AF8-4596-9146-BF2FA05FCBED}" name="Colonne3373"/>
    <tableColumn id="3382" xr3:uid="{7EE19096-02E9-4CD2-8724-D10D1B97BB09}" name="Colonne3374"/>
    <tableColumn id="3383" xr3:uid="{B13BB1E6-C8CA-44DE-A687-3D8033674B13}" name="Colonne3375"/>
    <tableColumn id="3384" xr3:uid="{1217EBDB-7B57-4AB8-B8A6-2791B7D36302}" name="Colonne3376"/>
    <tableColumn id="3385" xr3:uid="{C7D4F5DC-DD2B-4C63-BD42-7C790D9A8043}" name="Colonne3377"/>
    <tableColumn id="3386" xr3:uid="{1EBBF7AB-8BE5-4D66-BE82-C8D25CE88FC6}" name="Colonne3378"/>
    <tableColumn id="3387" xr3:uid="{DFA73409-85EA-410D-A313-65256E8EBBE2}" name="Colonne3379"/>
    <tableColumn id="3388" xr3:uid="{72AC9C0B-008F-41C9-A407-DDAB26CE056D}" name="Colonne3380"/>
    <tableColumn id="3389" xr3:uid="{8BB1D69D-8B71-4007-8D0A-2C557CB35004}" name="Colonne3381"/>
    <tableColumn id="3390" xr3:uid="{D41589B1-1CC3-4F23-9332-CE84CBE92E0C}" name="Colonne3382"/>
    <tableColumn id="3391" xr3:uid="{744494C5-FA7E-4092-A4B4-D1028ED8AEFA}" name="Colonne3383"/>
    <tableColumn id="3392" xr3:uid="{B6F817DB-77C0-4372-B2F9-2E3C01A26446}" name="Colonne3384"/>
    <tableColumn id="3393" xr3:uid="{D9747326-9522-485D-9D97-AFF1015686BE}" name="Colonne3385"/>
    <tableColumn id="3394" xr3:uid="{F6F9555A-EC57-47E0-AFE1-3EADCF2D7DB2}" name="Colonne3386"/>
    <tableColumn id="3395" xr3:uid="{955671F6-1617-4B16-BCDC-55A80DA6C06B}" name="Colonne3387"/>
    <tableColumn id="3396" xr3:uid="{8EC88324-BB87-4258-AB8C-C4F6E79D6E71}" name="Colonne3388"/>
    <tableColumn id="3397" xr3:uid="{DE7F4482-909B-4E5D-ACD0-50E5B48E22D6}" name="Colonne3389"/>
    <tableColumn id="3398" xr3:uid="{CDE1C67B-E233-497D-913F-714CB2742208}" name="Colonne3390"/>
    <tableColumn id="3399" xr3:uid="{4B4898E6-7719-4CB4-80D5-E8AC75913C94}" name="Colonne3391"/>
    <tableColumn id="3400" xr3:uid="{01A01C59-0EFF-4DF5-A20D-B15632A5BF73}" name="Colonne3392"/>
    <tableColumn id="3401" xr3:uid="{12541DDF-8A47-48BD-A03E-392F27911E66}" name="Colonne3393"/>
    <tableColumn id="3402" xr3:uid="{7AB2178A-BD65-4114-83AA-60FF21ABFA63}" name="Colonne3394"/>
    <tableColumn id="3403" xr3:uid="{2768BED4-AA77-49D1-B0A0-BD4744B78466}" name="Colonne3395"/>
    <tableColumn id="3404" xr3:uid="{32D17B0D-EBA2-48BB-855F-44991EA228AA}" name="Colonne3396"/>
    <tableColumn id="3405" xr3:uid="{15D9776B-4D47-4868-99AC-8635887C461E}" name="Colonne3397"/>
    <tableColumn id="3406" xr3:uid="{4E283908-48C3-49B8-8B52-465E6AA76A60}" name="Colonne3398"/>
    <tableColumn id="3407" xr3:uid="{1F7FFB2F-6919-4C1C-9516-D214033089A9}" name="Colonne3399"/>
    <tableColumn id="3408" xr3:uid="{CA8482C4-1E20-4860-99B2-41933ACB4D7C}" name="Colonne3400"/>
    <tableColumn id="3409" xr3:uid="{FA4A2018-D779-41C2-94B1-B85B0818069C}" name="Colonne3401"/>
    <tableColumn id="3410" xr3:uid="{959FC5EB-C11B-4CD5-9C18-43F349F10A05}" name="Colonne3402"/>
    <tableColumn id="3411" xr3:uid="{1B0E56B1-E82E-4E1B-A819-AAF4A496FD8C}" name="Colonne3403"/>
    <tableColumn id="3412" xr3:uid="{4F38B87E-531E-4E13-96AE-2C8592EA386E}" name="Colonne3404"/>
    <tableColumn id="3413" xr3:uid="{C3A4DEA9-05DC-427E-825F-99B673A9ECFC}" name="Colonne3405"/>
    <tableColumn id="3414" xr3:uid="{D1512014-619F-4FAD-B6FC-F5B78A901DE8}" name="Colonne3406"/>
    <tableColumn id="3415" xr3:uid="{D0B63EFC-EEDD-4D84-AB7D-94CF7F6727A0}" name="Colonne3407"/>
    <tableColumn id="3416" xr3:uid="{50DF8996-09BE-4B3F-833C-8D8AD338C4FE}" name="Colonne3408"/>
    <tableColumn id="3417" xr3:uid="{87556CCA-0A99-49B4-92E0-7D48DFD6CEAF}" name="Colonne3409"/>
    <tableColumn id="3418" xr3:uid="{FA89F426-7788-40DF-8B08-2CE8084F3691}" name="Colonne3410"/>
    <tableColumn id="3419" xr3:uid="{0EE1EE0B-4DAA-426A-BE57-FFBED4C535DF}" name="Colonne3411"/>
    <tableColumn id="3420" xr3:uid="{73D29725-210B-4F2C-AC6C-CFF07C3E386E}" name="Colonne3412"/>
    <tableColumn id="3421" xr3:uid="{96635539-4F45-41D1-9A3B-C1A16AF82FDA}" name="Colonne3413"/>
    <tableColumn id="3422" xr3:uid="{6D5F5059-8B7C-4831-967E-69E64661E67A}" name="Colonne3414"/>
    <tableColumn id="3423" xr3:uid="{8E056827-8224-43A5-9902-C1F5B42B8F7A}" name="Colonne3415"/>
    <tableColumn id="3424" xr3:uid="{068AF6BD-8A6E-4407-870F-B41D21E5A08A}" name="Colonne3416"/>
    <tableColumn id="3425" xr3:uid="{93A8D8A8-77D8-4BF0-9685-4B4503D9D8C5}" name="Colonne3417"/>
    <tableColumn id="3426" xr3:uid="{923B699C-DAAF-40BD-BE79-97F3E6506A0B}" name="Colonne3418"/>
    <tableColumn id="3427" xr3:uid="{6F225C98-9E89-4A38-83A6-3EA3143379A4}" name="Colonne3419"/>
    <tableColumn id="3428" xr3:uid="{E2425140-9E38-4358-88F7-12CA80B3D49C}" name="Colonne3420"/>
    <tableColumn id="3429" xr3:uid="{3B100159-80B1-4F8D-BAA7-489FCF8CEDDF}" name="Colonne3421"/>
    <tableColumn id="3430" xr3:uid="{220990CE-717E-4252-A7BC-43D151D5466C}" name="Colonne3422"/>
    <tableColumn id="3431" xr3:uid="{0127A422-84EF-4703-905A-CEF2E28395DF}" name="Colonne3423"/>
    <tableColumn id="3432" xr3:uid="{5F181342-4A06-476C-AA15-CFC4858B898F}" name="Colonne3424"/>
    <tableColumn id="3433" xr3:uid="{7EA30390-7B1C-4874-B691-25AE03E27214}" name="Colonne3425"/>
    <tableColumn id="3434" xr3:uid="{A45EB331-27EA-417D-88AC-A82C48208546}" name="Colonne3426"/>
    <tableColumn id="3435" xr3:uid="{C84D0068-1145-4FAC-A6B1-7A45CE4315BE}" name="Colonne3427"/>
    <tableColumn id="3436" xr3:uid="{FD7FC169-8450-4A78-A821-802510FDAC9E}" name="Colonne3428"/>
    <tableColumn id="3437" xr3:uid="{390AE8E2-06F9-4D19-9D7A-E48188C22AEE}" name="Colonne3429"/>
    <tableColumn id="3438" xr3:uid="{E2FFC1EA-6590-4D63-8D23-DE7AED673E37}" name="Colonne3430"/>
    <tableColumn id="3439" xr3:uid="{0F70F301-C3D9-470B-9A59-51F9A75520ED}" name="Colonne3431"/>
    <tableColumn id="3440" xr3:uid="{069CCEB5-95BE-4108-803A-40BCCDBF03F2}" name="Colonne3432"/>
    <tableColumn id="3441" xr3:uid="{2D7F26FC-4727-45A9-B4B9-F157E0771EA9}" name="Colonne3433"/>
    <tableColumn id="3442" xr3:uid="{6B99E0DF-096C-463F-B249-223C8DA2EC89}" name="Colonne3434"/>
    <tableColumn id="3443" xr3:uid="{2AF8B5A8-6EF3-4057-9DC6-4539DDC16F48}" name="Colonne3435"/>
    <tableColumn id="3444" xr3:uid="{9B8EA618-3087-4D9D-981C-1DF833565C42}" name="Colonne3436"/>
    <tableColumn id="3445" xr3:uid="{5CECCD6D-5031-4647-A695-FCD54747310B}" name="Colonne3437"/>
    <tableColumn id="3446" xr3:uid="{F46C4DC3-B96F-45FB-B276-73CF2742E03B}" name="Colonne3438"/>
    <tableColumn id="3447" xr3:uid="{6DA00633-A3B2-4DA7-ACA5-0909267283DD}" name="Colonne3439"/>
    <tableColumn id="3448" xr3:uid="{11EEF129-A548-45D5-95C2-900F8356FE00}" name="Colonne3440"/>
    <tableColumn id="3449" xr3:uid="{87904EB7-F947-4A9D-8115-3A0C4AF41D66}" name="Colonne3441"/>
    <tableColumn id="3450" xr3:uid="{AFCF0E93-201A-4914-A0BC-56344E745587}" name="Colonne3442"/>
    <tableColumn id="3451" xr3:uid="{D1B93D58-3F58-4D78-BEC9-333E8EEBDB80}" name="Colonne3443"/>
    <tableColumn id="3452" xr3:uid="{9922F43E-D989-4D2F-A02D-8B78F0CB0B4F}" name="Colonne3444"/>
    <tableColumn id="3453" xr3:uid="{49393B01-1C60-42D2-95E9-BF5ECD4A0A06}" name="Colonne3445"/>
    <tableColumn id="3454" xr3:uid="{0D65A4D7-72DE-4313-BD5D-CF0700EF1591}" name="Colonne3446"/>
    <tableColumn id="3455" xr3:uid="{7F7A2C12-2768-425D-8016-B8ACE12BF66E}" name="Colonne3447"/>
    <tableColumn id="3456" xr3:uid="{A61DC5E3-EBB3-46B3-A661-456D5A69D253}" name="Colonne3448"/>
    <tableColumn id="3457" xr3:uid="{F3247E41-4595-4E90-BE71-6CE74F0A3B43}" name="Colonne3449"/>
    <tableColumn id="3458" xr3:uid="{B36A4E18-1DC8-4B5F-B50C-8C9AFAA3524E}" name="Colonne3450"/>
    <tableColumn id="3459" xr3:uid="{F97CC241-D13A-4468-8C55-23DB12267A7A}" name="Colonne3451"/>
    <tableColumn id="3460" xr3:uid="{1178F29C-B907-4CA6-918F-7283DC484EB8}" name="Colonne3452"/>
    <tableColumn id="3461" xr3:uid="{454C3EC4-04CC-41B2-ADA1-40809D6C03B6}" name="Colonne3453"/>
    <tableColumn id="3462" xr3:uid="{89D2B6E0-C3D2-4AB8-A8DB-9F47DE77DA6B}" name="Colonne3454"/>
    <tableColumn id="3463" xr3:uid="{7DCFFD6F-88F0-4783-879C-65A9FE513FC0}" name="Colonne3455"/>
    <tableColumn id="3464" xr3:uid="{379DA6EB-3E3C-4E25-9076-4A99A23EF187}" name="Colonne3456"/>
    <tableColumn id="3465" xr3:uid="{50F45674-1628-4455-9752-0A38163506EE}" name="Colonne3457"/>
    <tableColumn id="3466" xr3:uid="{DA2E8FDE-23D9-4D98-83F9-018C4882793C}" name="Colonne3458"/>
    <tableColumn id="3467" xr3:uid="{6B7D42AB-7277-4F1E-867C-3E62708B2734}" name="Colonne3459"/>
    <tableColumn id="3468" xr3:uid="{C553C809-A57B-46F6-91A1-68F750170EA9}" name="Colonne3460"/>
    <tableColumn id="3469" xr3:uid="{204E3BD2-45AB-4BCD-A07C-160FCD7B36EE}" name="Colonne3461"/>
    <tableColumn id="3470" xr3:uid="{C2A0AA04-1F59-4499-A885-0BC8FCBB1467}" name="Colonne3462"/>
    <tableColumn id="3471" xr3:uid="{B86412A2-AF8E-4B6A-BC68-A53098E0E005}" name="Colonne3463"/>
    <tableColumn id="3472" xr3:uid="{24512ED0-21DF-41C3-A4CF-6E3F2426482E}" name="Colonne3464"/>
    <tableColumn id="3473" xr3:uid="{11EB960C-B138-469D-A381-C42ABCF67634}" name="Colonne3465"/>
    <tableColumn id="3474" xr3:uid="{B5291FDB-D8E0-4FD1-A698-BA919FE1859A}" name="Colonne3466"/>
    <tableColumn id="3475" xr3:uid="{D188181A-754E-49DE-A720-15792726A77D}" name="Colonne3467"/>
    <tableColumn id="3476" xr3:uid="{39C64213-C07F-4710-9AA9-109109B72E10}" name="Colonne3468"/>
    <tableColumn id="3477" xr3:uid="{5406BDEE-D305-4548-AE04-17723C948168}" name="Colonne3469"/>
    <tableColumn id="3478" xr3:uid="{A7039C0B-3D8C-4D91-B376-79EC3684C192}" name="Colonne3470"/>
    <tableColumn id="3479" xr3:uid="{FE58E291-0A77-4888-A762-9F4F3CAFBE67}" name="Colonne3471"/>
    <tableColumn id="3480" xr3:uid="{DDDB65CE-FC2E-40B0-9A01-02691DCA6C2C}" name="Colonne3472"/>
    <tableColumn id="3481" xr3:uid="{7CED2F8B-3E93-4B5B-9F93-B9925D016758}" name="Colonne3473"/>
    <tableColumn id="3482" xr3:uid="{3173BEF5-2001-4C41-AAEA-53A09E600389}" name="Colonne3474"/>
    <tableColumn id="3483" xr3:uid="{2C7BDC64-2141-48E1-A3F2-0549A94AEC4C}" name="Colonne3475"/>
    <tableColumn id="3484" xr3:uid="{8303790C-F2DB-4D71-8ED4-A39B5764B8C7}" name="Colonne3476"/>
    <tableColumn id="3485" xr3:uid="{BD009D50-97FF-4E95-8537-A6BAA5A852D0}" name="Colonne3477"/>
    <tableColumn id="3486" xr3:uid="{403D6693-566D-4F7B-83B6-6A0DAE09D8A1}" name="Colonne3478"/>
    <tableColumn id="3487" xr3:uid="{D2D3DAE4-336A-4282-A5D4-5C56CAB4A818}" name="Colonne3479"/>
    <tableColumn id="3488" xr3:uid="{82D6AA74-E286-49A7-A464-8975D7E4B156}" name="Colonne3480"/>
    <tableColumn id="3489" xr3:uid="{0F0FEF6A-DE70-49B0-9654-EBAFFEDF5145}" name="Colonne3481"/>
    <tableColumn id="3490" xr3:uid="{1AC5BAED-4D0E-4BB8-962E-FCDBAEE2CCC2}" name="Colonne3482"/>
    <tableColumn id="3491" xr3:uid="{074F5340-3FD8-4F34-B582-4168B7E43D48}" name="Colonne3483"/>
    <tableColumn id="3492" xr3:uid="{408E46F6-0095-4588-B32D-7CEC14216913}" name="Colonne3484"/>
    <tableColumn id="3493" xr3:uid="{AF61168B-5A19-4E00-AF7D-1B6FEBB636E6}" name="Colonne3485"/>
    <tableColumn id="3494" xr3:uid="{138FD00B-0DF7-46A6-A44F-E7A51656C924}" name="Colonne3486"/>
    <tableColumn id="3495" xr3:uid="{AE56DC75-5006-488A-95F3-96E6EB7FA4A3}" name="Colonne3487"/>
    <tableColumn id="3496" xr3:uid="{64E09A34-5795-41D4-89C3-0B51A0B55C07}" name="Colonne3488"/>
    <tableColumn id="3497" xr3:uid="{C11AB434-2C51-4C00-8F1D-9ED26153354C}" name="Colonne3489"/>
    <tableColumn id="3498" xr3:uid="{A2A49DAE-7D20-4B79-8877-154A8D73056A}" name="Colonne3490"/>
    <tableColumn id="3499" xr3:uid="{E81432F6-9039-44DA-B16E-F106592BD507}" name="Colonne3491"/>
    <tableColumn id="3500" xr3:uid="{CB9215C2-2ED9-4240-9F02-345167A99B9C}" name="Colonne3492"/>
    <tableColumn id="3501" xr3:uid="{588D2880-40CF-467A-AA98-76EA9FB1F4FD}" name="Colonne3493"/>
    <tableColumn id="3502" xr3:uid="{F822F514-504E-4FA2-A35C-1E338A5C38F7}" name="Colonne3494"/>
    <tableColumn id="3503" xr3:uid="{281A1F6B-4E2B-4F4F-9A6E-42B5EA20D8B7}" name="Colonne3495"/>
    <tableColumn id="3504" xr3:uid="{534DEAA8-E1FA-4627-802E-75AC449083E1}" name="Colonne3496"/>
    <tableColumn id="3505" xr3:uid="{5A701306-C56F-45EF-91A0-B4B5810E2449}" name="Colonne3497"/>
    <tableColumn id="3506" xr3:uid="{F6DDEF45-C977-4876-A588-C063621C2396}" name="Colonne3498"/>
    <tableColumn id="3507" xr3:uid="{4C59A61D-76D5-4E6B-920B-C50011BF9D2D}" name="Colonne3499"/>
    <tableColumn id="3508" xr3:uid="{B77FE8B4-B9FE-4F8A-90B7-23346853906E}" name="Colonne3500"/>
    <tableColumn id="3509" xr3:uid="{48AD962A-2CEF-4833-8145-18676AB90094}" name="Colonne3501"/>
    <tableColumn id="3510" xr3:uid="{7B8676A0-34D2-44F4-AB74-130E7F3C7573}" name="Colonne3502"/>
    <tableColumn id="3511" xr3:uid="{09D2ACF6-44DD-4118-8F09-F893EE973F27}" name="Colonne3503"/>
    <tableColumn id="3512" xr3:uid="{445F03DC-69BC-4162-8150-235BAC294ED6}" name="Colonne3504"/>
    <tableColumn id="3513" xr3:uid="{F0E1E9BF-41BF-4201-BA5B-42F819F1D94A}" name="Colonne3505"/>
    <tableColumn id="3514" xr3:uid="{E3757AC6-C604-4D49-B117-1DC9F10B2247}" name="Colonne3506"/>
    <tableColumn id="3515" xr3:uid="{BD7D594C-3693-401E-AB77-901F53634C0C}" name="Colonne3507"/>
    <tableColumn id="3516" xr3:uid="{DCF5FBFC-677F-4656-B7C5-C2392B5AE497}" name="Colonne3508"/>
    <tableColumn id="3517" xr3:uid="{FC29C8F2-88D2-467F-A5A1-3BF7734E53C7}" name="Colonne3509"/>
    <tableColumn id="3518" xr3:uid="{D0AF8994-18C6-4171-AD1B-2F66626C7F06}" name="Colonne3510"/>
    <tableColumn id="3519" xr3:uid="{2C12CED2-21CA-49C5-A0CB-2EECCDE7BEFB}" name="Colonne3511"/>
    <tableColumn id="3520" xr3:uid="{C48B4F76-2E1D-491D-83CD-BD237A3DCDF6}" name="Colonne3512"/>
    <tableColumn id="3521" xr3:uid="{CC330C51-61D5-4CB8-A8FA-1CFB13EFDD8B}" name="Colonne3513"/>
    <tableColumn id="3522" xr3:uid="{3A2D5798-8E93-493C-A8AC-8660D8242A76}" name="Colonne3514"/>
    <tableColumn id="3523" xr3:uid="{4CD1A9AF-F4D6-40AD-9A8E-3BBD8A0081ED}" name="Colonne3515"/>
    <tableColumn id="3524" xr3:uid="{F84282EB-4A57-4350-88F9-A7835855F579}" name="Colonne3516"/>
    <tableColumn id="3525" xr3:uid="{12B3EF0B-389B-4198-AD29-BD870E5EDD3A}" name="Colonne3517"/>
    <tableColumn id="3526" xr3:uid="{6768E56C-36F1-4846-A30D-C331AEF22EB1}" name="Colonne3518"/>
    <tableColumn id="3527" xr3:uid="{1DF6FA3F-5E2F-41F5-BA7B-3BEFBD463D8F}" name="Colonne3519"/>
    <tableColumn id="3528" xr3:uid="{3C51D67B-EF23-4F19-944E-4C74295B19A2}" name="Colonne3520"/>
    <tableColumn id="3529" xr3:uid="{87253ACC-0015-404E-8F7A-B2FA8FF6B73B}" name="Colonne3521"/>
    <tableColumn id="3530" xr3:uid="{0E193B4B-92E1-4C31-8E22-01331AA294BC}" name="Colonne3522"/>
    <tableColumn id="3531" xr3:uid="{74E15817-44D3-43B2-AF2F-3EA961526DE3}" name="Colonne3523"/>
    <tableColumn id="3532" xr3:uid="{00A6110D-EB5F-4141-9DEE-FA3597314BF8}" name="Colonne3524"/>
    <tableColumn id="3533" xr3:uid="{805E4A8F-32E0-4D89-BB1C-04A7B1FFBA7A}" name="Colonne3525"/>
    <tableColumn id="3534" xr3:uid="{D23F7CC9-BA8F-4DC2-A455-C353D73A404A}" name="Colonne3526"/>
    <tableColumn id="3535" xr3:uid="{42B3CFD4-2402-41AA-AF95-9A949C223AB5}" name="Colonne3527"/>
    <tableColumn id="3536" xr3:uid="{F79AC05E-D4B7-4DE7-813F-8D3969CC772D}" name="Colonne3528"/>
    <tableColumn id="3537" xr3:uid="{5994BD9A-027C-4E13-A1D2-EC71549D4F27}" name="Colonne3529"/>
    <tableColumn id="3538" xr3:uid="{CC3B2F41-84AA-4D39-8888-7EC2AF2CD780}" name="Colonne3530"/>
    <tableColumn id="3539" xr3:uid="{FB08937E-4CB0-46FF-B6D6-ED5F220429E1}" name="Colonne3531"/>
    <tableColumn id="3540" xr3:uid="{F48A6E0E-2FF4-4C1F-BBF8-07A8FB1ACABC}" name="Colonne3532"/>
    <tableColumn id="3541" xr3:uid="{9FC09B3C-26DA-488C-8473-AF6F6230CC18}" name="Colonne3533"/>
    <tableColumn id="3542" xr3:uid="{0D1F0E85-5455-4912-9560-06B7B7CBF02C}" name="Colonne3534"/>
    <tableColumn id="3543" xr3:uid="{0E03C45D-8E87-476F-A350-17C3C0CE78A8}" name="Colonne3535"/>
    <tableColumn id="3544" xr3:uid="{C844FB2C-FF61-4AFD-A02B-B442F7C3205D}" name="Colonne3536"/>
    <tableColumn id="3545" xr3:uid="{F0F24ECF-3ACE-4FEE-A7A1-0F4EA281108A}" name="Colonne3537"/>
    <tableColumn id="3546" xr3:uid="{EE019189-FD27-4174-A8ED-230681C9C447}" name="Colonne3538"/>
    <tableColumn id="3547" xr3:uid="{46599BCD-F53C-4E09-9A22-619A255F6A7D}" name="Colonne3539"/>
    <tableColumn id="3548" xr3:uid="{31C031C5-01A2-4E29-89CE-01F741BD1B51}" name="Colonne3540"/>
    <tableColumn id="3549" xr3:uid="{B8F65A76-AAF0-4ECA-9D50-C9F0FB5C4274}" name="Colonne3541"/>
    <tableColumn id="3550" xr3:uid="{D93855E9-59B1-4DA3-BE7E-1E2E687B5338}" name="Colonne3542"/>
    <tableColumn id="3551" xr3:uid="{9C6E36D1-506F-4ABE-BF6A-7A64E9B9FC6C}" name="Colonne3543"/>
    <tableColumn id="3552" xr3:uid="{BB3D43CA-B826-4C1C-AE0F-B7C6FE66DE3D}" name="Colonne3544"/>
    <tableColumn id="3553" xr3:uid="{6450B611-729D-490C-9720-EDA17F8B2171}" name="Colonne3545"/>
    <tableColumn id="3554" xr3:uid="{152CB70F-503B-4040-8335-697DA41798F4}" name="Colonne3546"/>
    <tableColumn id="3555" xr3:uid="{DA4B4316-868A-4137-A953-8F08EE88425D}" name="Colonne3547"/>
    <tableColumn id="3556" xr3:uid="{C3182E4A-4B07-418C-9ABC-625050FEF392}" name="Colonne3548"/>
    <tableColumn id="3557" xr3:uid="{AA3F4B53-80B8-491A-9CFF-DAD2D6643D76}" name="Colonne3549"/>
    <tableColumn id="3558" xr3:uid="{B784C9B0-138C-42C7-9BC6-9FEDC2A65116}" name="Colonne3550"/>
    <tableColumn id="3559" xr3:uid="{4A072A0B-0F2B-4303-870B-69679184FBD5}" name="Colonne3551"/>
    <tableColumn id="3560" xr3:uid="{BFAD1C49-EADB-4E11-A532-7678A0517627}" name="Colonne3552"/>
    <tableColumn id="3561" xr3:uid="{A610EF81-8477-4343-BB5E-F3F3C05DCA70}" name="Colonne3553"/>
    <tableColumn id="3562" xr3:uid="{6D070910-260A-43EC-BC6C-7F5D20F0180E}" name="Colonne3554"/>
    <tableColumn id="3563" xr3:uid="{7D2F8199-90D4-4E4C-865B-F7374CB92248}" name="Colonne3555"/>
    <tableColumn id="3564" xr3:uid="{7C4889FD-DBC9-4DD2-89A1-CF7BBDE874DF}" name="Colonne3556"/>
    <tableColumn id="3565" xr3:uid="{580A2741-03F8-4591-A93B-E14EF925A173}" name="Colonne3557"/>
    <tableColumn id="3566" xr3:uid="{5DFBA8D0-E8E2-4154-969C-7ACE8006F1C4}" name="Colonne3558"/>
    <tableColumn id="3567" xr3:uid="{FA801F47-CCB2-4326-BE6E-C035382CBD2C}" name="Colonne3559"/>
    <tableColumn id="3568" xr3:uid="{612C906F-9A66-4D69-A726-47B39BFEBB8F}" name="Colonne3560"/>
    <tableColumn id="3569" xr3:uid="{6DDC6EDF-C04B-4A9E-BF32-A9AAD4BBD6BB}" name="Colonne3561"/>
    <tableColumn id="3570" xr3:uid="{D45206A3-285A-4BD5-8020-DBA1C246E726}" name="Colonne3562"/>
    <tableColumn id="3571" xr3:uid="{9CEF2F50-EB7E-4B02-B7DC-BEEC52D92487}" name="Colonne3563"/>
    <tableColumn id="3572" xr3:uid="{B2C55E8E-6F60-40F4-9250-B7D35BBBF965}" name="Colonne3564"/>
    <tableColumn id="3573" xr3:uid="{272C1545-C727-404F-9528-4F1BA8398C84}" name="Colonne3565"/>
    <tableColumn id="3574" xr3:uid="{F0646A52-662B-40FB-B006-A3561ECBAD92}" name="Colonne3566"/>
    <tableColumn id="3575" xr3:uid="{B33BAD56-8CBB-4CDC-9728-7DF6D6084FD7}" name="Colonne3567"/>
    <tableColumn id="3576" xr3:uid="{9C392601-B6C0-4D1F-94EC-9B3F9B237A92}" name="Colonne3568"/>
    <tableColumn id="3577" xr3:uid="{8554F925-BF1D-420A-82F9-3F2D4D785BFF}" name="Colonne3569"/>
    <tableColumn id="3578" xr3:uid="{2F31A036-4D6F-45E6-9454-29B4F8CDDB8F}" name="Colonne3570"/>
    <tableColumn id="3579" xr3:uid="{9251E507-94AE-492A-8D43-F106265BE67B}" name="Colonne3571"/>
    <tableColumn id="3580" xr3:uid="{9C196E6D-C1FE-4F20-9731-C3C811EF35C4}" name="Colonne3572"/>
    <tableColumn id="3581" xr3:uid="{9873C8DF-984A-47BE-A77D-114869E6B40C}" name="Colonne3573"/>
    <tableColumn id="3582" xr3:uid="{9E905E38-498E-44DD-AB9F-320FD0F5679E}" name="Colonne3574"/>
    <tableColumn id="3583" xr3:uid="{399CF0AD-A384-4C08-A30E-BB347428C125}" name="Colonne3575"/>
    <tableColumn id="3584" xr3:uid="{E2A376D1-AD32-494A-B59D-6594A27DEA73}" name="Colonne3576"/>
    <tableColumn id="3585" xr3:uid="{00FF2D20-0673-441B-B6C5-258909C31B28}" name="Colonne3577"/>
    <tableColumn id="3586" xr3:uid="{A34E62CF-D367-4700-BA91-9F77870626F4}" name="Colonne3578"/>
    <tableColumn id="3587" xr3:uid="{F7C85F43-DE3B-4A99-A57E-92CF56D6D4C4}" name="Colonne3579"/>
    <tableColumn id="3588" xr3:uid="{0739AE61-2EE6-45C2-9341-51A7AEEB3124}" name="Colonne3580"/>
    <tableColumn id="3589" xr3:uid="{02999EBD-CCEB-445D-B526-F0BE51C7EA31}" name="Colonne3581"/>
    <tableColumn id="3590" xr3:uid="{FB5B0172-4687-4845-B346-15218DB30CC4}" name="Colonne3582"/>
    <tableColumn id="3591" xr3:uid="{E09B74D2-DB66-4494-908F-1A9C975F7077}" name="Colonne3583"/>
    <tableColumn id="3592" xr3:uid="{6BFB9DEE-9B72-4766-A884-9C76B33AAB25}" name="Colonne3584"/>
    <tableColumn id="3593" xr3:uid="{F8B75980-D436-4E93-AAE9-A02C1CEDDD37}" name="Colonne3585"/>
    <tableColumn id="3594" xr3:uid="{42A62966-9114-48F7-BEBE-4A15AD2C6F07}" name="Colonne3586"/>
    <tableColumn id="3595" xr3:uid="{D05792EF-92D7-403B-8958-E2CE45C8204E}" name="Colonne3587"/>
    <tableColumn id="3596" xr3:uid="{5E78C4F7-7B2C-443D-AF76-07AB11E15242}" name="Colonne3588"/>
    <tableColumn id="3597" xr3:uid="{6D6CA2BE-F04B-4B17-BE35-0ACD7A377A4F}" name="Colonne3589"/>
    <tableColumn id="3598" xr3:uid="{45A6F1AA-8176-4193-BFDC-6FAA06721EF9}" name="Colonne3590"/>
    <tableColumn id="3599" xr3:uid="{440108CF-540A-4BCC-B100-16DA37586FE1}" name="Colonne3591"/>
    <tableColumn id="3600" xr3:uid="{933D627A-DDE1-46D2-A723-AD0D5263F627}" name="Colonne3592"/>
    <tableColumn id="3601" xr3:uid="{828971CA-B9DC-4F1E-BEF2-6F50612497AC}" name="Colonne3593"/>
    <tableColumn id="3602" xr3:uid="{CB4D9759-C338-4844-93A1-EF591BC74B6A}" name="Colonne3594"/>
    <tableColumn id="3603" xr3:uid="{2F9A17E7-9E36-4FC6-B79B-9DD40DAEB11B}" name="Colonne3595"/>
    <tableColumn id="3604" xr3:uid="{CC09EB1A-48FB-4F78-BD3E-411A25001C4D}" name="Colonne3596"/>
    <tableColumn id="3605" xr3:uid="{16A0848F-749E-42F6-8104-5B1AE8D41591}" name="Colonne3597"/>
    <tableColumn id="3606" xr3:uid="{37D16CBC-1982-45A1-927A-0F68BEBCF59B}" name="Colonne3598"/>
    <tableColumn id="3607" xr3:uid="{79E8169A-4BCA-4290-8C9F-845DA948C825}" name="Colonne3599"/>
    <tableColumn id="3608" xr3:uid="{2D354669-654F-400D-8D23-89153D7BBA29}" name="Colonne3600"/>
    <tableColumn id="3609" xr3:uid="{77E3AF11-0E21-4136-A6E7-E7DDBBF8FDA5}" name="Colonne3601"/>
    <tableColumn id="3610" xr3:uid="{1B8B89DC-C5A5-4F3B-91A5-52DB440ABD7E}" name="Colonne3602"/>
    <tableColumn id="3611" xr3:uid="{ADA83D42-6048-4698-A37F-0D8DDF79A98F}" name="Colonne3603"/>
    <tableColumn id="3612" xr3:uid="{46AEB1A1-BAAF-49C9-AE12-8788A442B7C4}" name="Colonne3604"/>
    <tableColumn id="3613" xr3:uid="{23D4C287-F818-4DF4-841A-09593A2A64B9}" name="Colonne3605"/>
    <tableColumn id="3614" xr3:uid="{B8F278A5-F034-4160-B285-49AA6B9AE287}" name="Colonne3606"/>
    <tableColumn id="3615" xr3:uid="{F2F792C8-2680-485E-8696-459BD9D8BD88}" name="Colonne3607"/>
    <tableColumn id="3616" xr3:uid="{BDD52480-1336-48F2-B264-24F83FA31A8B}" name="Colonne3608"/>
    <tableColumn id="3617" xr3:uid="{8205FBC4-7441-4DE8-B3A5-75B1B6492207}" name="Colonne3609"/>
    <tableColumn id="3618" xr3:uid="{AB446EED-4640-4940-8187-58C484BD3FF7}" name="Colonne3610"/>
    <tableColumn id="3619" xr3:uid="{6023E132-818D-4E9D-B21A-C534A05B2F45}" name="Colonne3611"/>
    <tableColumn id="3620" xr3:uid="{B44E7521-1FD0-4CE7-A1B6-83C7D3E23378}" name="Colonne3612"/>
    <tableColumn id="3621" xr3:uid="{E9F47569-ECAD-4E11-B723-2BBEEC43A380}" name="Colonne3613"/>
    <tableColumn id="3622" xr3:uid="{69088F92-01CB-421C-91BD-16E56F6BD0FE}" name="Colonne3614"/>
    <tableColumn id="3623" xr3:uid="{09E602AE-4296-4462-BEA6-442BBC90E6CA}" name="Colonne3615"/>
    <tableColumn id="3624" xr3:uid="{8682CBB0-B323-4EFB-B3F9-B19D41D89C9A}" name="Colonne3616"/>
    <tableColumn id="3625" xr3:uid="{056FC156-37C0-4076-A879-B7CF42E4FDD2}" name="Colonne3617"/>
    <tableColumn id="3626" xr3:uid="{407396D0-C127-48AE-B6FC-464118AF9AE0}" name="Colonne3618"/>
    <tableColumn id="3627" xr3:uid="{22335C0B-03AA-4176-9112-3900D2182C88}" name="Colonne3619"/>
    <tableColumn id="3628" xr3:uid="{99C634F7-0144-404B-9F90-5FF9F7436DC2}" name="Colonne3620"/>
    <tableColumn id="3629" xr3:uid="{DD9A683C-1249-425D-9D09-2A39197086AA}" name="Colonne3621"/>
    <tableColumn id="3630" xr3:uid="{8DBD1812-B6EF-4CFA-AB13-6F4B19258A45}" name="Colonne3622"/>
    <tableColumn id="3631" xr3:uid="{97B75489-B75B-4604-A917-FDDAE9090121}" name="Colonne3623"/>
    <tableColumn id="3632" xr3:uid="{20E0F2F1-2940-48DE-A656-9551C5FE8034}" name="Colonne3624"/>
    <tableColumn id="3633" xr3:uid="{1E5084CE-8F45-4DA8-8B75-18F151F8AB03}" name="Colonne3625"/>
    <tableColumn id="3634" xr3:uid="{2D1ED58A-4212-4776-9797-D4335E671A17}" name="Colonne3626"/>
    <tableColumn id="3635" xr3:uid="{B7221B29-212F-438C-BCA4-85D73DC63F98}" name="Colonne3627"/>
    <tableColumn id="3636" xr3:uid="{652A6BE1-6D41-4076-8F2C-DD12AC9AE2E9}" name="Colonne3628"/>
    <tableColumn id="3637" xr3:uid="{AC8AA406-5EC9-4535-87C8-A4051212C90B}" name="Colonne3629"/>
    <tableColumn id="3638" xr3:uid="{B2198393-C344-4337-AB6A-D1F8262B0BA7}" name="Colonne3630"/>
    <tableColumn id="3639" xr3:uid="{EC489825-FF02-40A7-828D-CB13E3137E21}" name="Colonne3631"/>
    <tableColumn id="3640" xr3:uid="{89CF1C38-A242-4FDA-A3FA-EFD8B5D37E67}" name="Colonne3632"/>
    <tableColumn id="3641" xr3:uid="{54673600-5CC8-4A65-B4A5-D5337FBF8150}" name="Colonne3633"/>
    <tableColumn id="3642" xr3:uid="{283CD7B7-C8A1-4BB4-8E5D-92D1D13B4DED}" name="Colonne3634"/>
    <tableColumn id="3643" xr3:uid="{C690B584-913C-4A7F-B51D-773F8DCD682B}" name="Colonne3635"/>
    <tableColumn id="3644" xr3:uid="{4E3A915F-57B4-4E5B-8CC4-40C3AA5B6874}" name="Colonne3636"/>
    <tableColumn id="3645" xr3:uid="{0D6B53DF-EF1B-4FD5-9A33-6C710F871667}" name="Colonne3637"/>
    <tableColumn id="3646" xr3:uid="{4774D19F-65A0-4EAA-8A38-E818309D0633}" name="Colonne3638"/>
    <tableColumn id="3647" xr3:uid="{2C74BFFE-9C58-4904-9810-9095D704D661}" name="Colonne3639"/>
    <tableColumn id="3648" xr3:uid="{5E9DBB90-93D4-49D1-A28C-2A9D8AF8C3B3}" name="Colonne3640"/>
    <tableColumn id="3649" xr3:uid="{DE6B7F45-FA0D-4BCD-AC43-339B1DA6F966}" name="Colonne3641"/>
    <tableColumn id="3650" xr3:uid="{083DF20E-82E1-49A9-8053-9B955B8753B5}" name="Colonne3642"/>
    <tableColumn id="3651" xr3:uid="{300A94DA-6C53-47B2-B64C-BED23D3A39C1}" name="Colonne3643"/>
    <tableColumn id="3652" xr3:uid="{68E709EC-4AA4-465A-8786-C25A3167CEC7}" name="Colonne3644"/>
    <tableColumn id="3653" xr3:uid="{A98B6AAA-F2C5-4E54-AA41-4B099AA8C4FE}" name="Colonne3645"/>
    <tableColumn id="3654" xr3:uid="{1E4040C1-C9C5-487F-8AA3-55C3F1F822EE}" name="Colonne3646"/>
    <tableColumn id="3655" xr3:uid="{6866489D-3002-4DBF-AE70-DFCF27F6AEA5}" name="Colonne3647"/>
    <tableColumn id="3656" xr3:uid="{DA428246-5524-454F-98D5-646344A312E0}" name="Colonne3648"/>
    <tableColumn id="3657" xr3:uid="{455CA28D-ECDA-40A2-ABB8-FAB5F210A488}" name="Colonne3649"/>
    <tableColumn id="3658" xr3:uid="{70D09227-C5E9-4330-8E3E-5454CEA28CC2}" name="Colonne3650"/>
    <tableColumn id="3659" xr3:uid="{FAC3880C-1BFE-43FC-9608-C2A9248E619C}" name="Colonne3651"/>
    <tableColumn id="3660" xr3:uid="{6136D7B9-4B6F-4EB6-B943-C5D516C0D65D}" name="Colonne3652"/>
    <tableColumn id="3661" xr3:uid="{B40B0E9A-1EF1-4EB6-8270-789F7E4F1F03}" name="Colonne3653"/>
    <tableColumn id="3662" xr3:uid="{9D497B0D-E58C-4229-A3EC-59563BCCA5AA}" name="Colonne3654"/>
    <tableColumn id="3663" xr3:uid="{5F497AFA-6BAF-4E0E-9D39-4AC6D551F7CB}" name="Colonne3655"/>
    <tableColumn id="3664" xr3:uid="{5F0C3B27-67D5-4C61-BCD8-B7A85774DB6B}" name="Colonne3656"/>
    <tableColumn id="3665" xr3:uid="{3DE46CEB-D307-4CB1-A59B-7BCB0FB22874}" name="Colonne3657"/>
    <tableColumn id="3666" xr3:uid="{16FE2DEA-41D4-4256-BE5F-FB18D7B79763}" name="Colonne3658"/>
    <tableColumn id="3667" xr3:uid="{0051290D-192A-414C-8CC3-9C6FABDED75C}" name="Colonne3659"/>
    <tableColumn id="3668" xr3:uid="{7022A2B8-66D2-4322-AD18-2C57E0CFE1DD}" name="Colonne3660"/>
    <tableColumn id="3669" xr3:uid="{1CD3ED04-92D7-46DB-8499-EB01BC2901BF}" name="Colonne3661"/>
    <tableColumn id="3670" xr3:uid="{046F3B9F-8F16-4E45-9329-80B6C502FA22}" name="Colonne3662"/>
    <tableColumn id="3671" xr3:uid="{D3E73749-9639-4D0B-B3E8-76025D16EAC0}" name="Colonne3663"/>
    <tableColumn id="3672" xr3:uid="{758F9E0F-EEE0-4674-A8CD-A59AA0F5D89C}" name="Colonne3664"/>
    <tableColumn id="3673" xr3:uid="{1949C2D1-C46F-438D-B9B6-C80EDD1CF8A2}" name="Colonne3665"/>
    <tableColumn id="3674" xr3:uid="{61F2AEBB-DDA6-418F-8123-BC9EBB65B584}" name="Colonne3666"/>
    <tableColumn id="3675" xr3:uid="{1A9EFF73-EEFD-4168-BBEB-42E1DB8CDF1E}" name="Colonne3667"/>
    <tableColumn id="3676" xr3:uid="{324D78CB-174D-4AF7-A3B7-A6983CD8146B}" name="Colonne3668"/>
    <tableColumn id="3677" xr3:uid="{2E83D81D-7D36-4A8B-8A2B-B0E22125B44A}" name="Colonne3669"/>
    <tableColumn id="3678" xr3:uid="{29C63AA8-5871-462F-88F5-664A8F304C1E}" name="Colonne3670"/>
    <tableColumn id="3679" xr3:uid="{B6B8CF6A-11FF-40D0-8949-41616D2BBF50}" name="Colonne3671"/>
    <tableColumn id="3680" xr3:uid="{997B3F59-26AE-40DB-8F49-6414E6AEE966}" name="Colonne3672"/>
    <tableColumn id="3681" xr3:uid="{CCCE4F51-7E9E-40C3-ABCC-6B20CF697824}" name="Colonne3673"/>
    <tableColumn id="3682" xr3:uid="{31D0E65D-36B0-451E-A2C0-B7E8DE68C106}" name="Colonne3674"/>
    <tableColumn id="3683" xr3:uid="{F94FBDEE-D83F-404D-AFF0-91F72484FF45}" name="Colonne3675"/>
    <tableColumn id="3684" xr3:uid="{5532688E-BC76-42E5-9C80-B1EB3FA115E5}" name="Colonne3676"/>
    <tableColumn id="3685" xr3:uid="{A4705298-FE92-416B-83F9-3C633B6BEB35}" name="Colonne3677"/>
    <tableColumn id="3686" xr3:uid="{FD348CD2-9C49-4E7C-A929-D5C9B97E6EB1}" name="Colonne3678"/>
    <tableColumn id="3687" xr3:uid="{2D6108E3-3368-47C0-A6CA-1B586BE0EF51}" name="Colonne3679"/>
    <tableColumn id="3688" xr3:uid="{59919055-BC16-40B3-86B3-38C331CCF9AE}" name="Colonne3680"/>
    <tableColumn id="3689" xr3:uid="{1211F540-F8E9-457A-8F8B-1CC7288ED588}" name="Colonne3681"/>
    <tableColumn id="3690" xr3:uid="{19870F43-B961-4722-884A-24EEE0B561FB}" name="Colonne3682"/>
    <tableColumn id="3691" xr3:uid="{924212E1-AECF-4B70-993C-E5FB5194E448}" name="Colonne3683"/>
    <tableColumn id="3692" xr3:uid="{48F9020B-2802-4C93-BC23-F8F0B382DABE}" name="Colonne3684"/>
    <tableColumn id="3693" xr3:uid="{4D53E4D1-D637-4C21-AFC5-DEB820BC3653}" name="Colonne3685"/>
    <tableColumn id="3694" xr3:uid="{D2417B5D-F84E-4897-821A-D8BDDF8B5827}" name="Colonne3686"/>
    <tableColumn id="3695" xr3:uid="{E9A811B0-B210-4D8E-B3C1-E1B2CE8E43B8}" name="Colonne3687"/>
    <tableColumn id="3696" xr3:uid="{77C897EF-B630-4806-A2C4-BB186171061D}" name="Colonne3688"/>
    <tableColumn id="3697" xr3:uid="{8E0C17C5-7194-43E6-8B82-50F1BBD270A1}" name="Colonne3689"/>
    <tableColumn id="3698" xr3:uid="{236625FB-BF23-49BB-A274-B99E3DACB3A1}" name="Colonne3690"/>
    <tableColumn id="3699" xr3:uid="{DFCEE314-6511-41A1-A771-5FF9C000D83E}" name="Colonne3691"/>
    <tableColumn id="3700" xr3:uid="{F475C726-C48F-4FD3-B527-22ABA3C13D6F}" name="Colonne3692"/>
    <tableColumn id="3701" xr3:uid="{9DCE7CBF-7632-4E83-BAD5-5A649CF5FE61}" name="Colonne3693"/>
    <tableColumn id="3702" xr3:uid="{C27A4B57-7DDB-4008-919E-D8D2DE068837}" name="Colonne3694"/>
    <tableColumn id="3703" xr3:uid="{6BFA7BCF-9AA1-4738-8D95-668D0065D983}" name="Colonne3695"/>
    <tableColumn id="3704" xr3:uid="{6D2343C0-696E-47F3-80B7-BC7B3C57949E}" name="Colonne3696"/>
    <tableColumn id="3705" xr3:uid="{F867DD3A-DA0C-40E0-9C28-5A993BF3C1D3}" name="Colonne3697"/>
    <tableColumn id="3706" xr3:uid="{B2FDFEE8-B076-4219-BE72-B5DD0EA5D167}" name="Colonne3698"/>
    <tableColumn id="3707" xr3:uid="{66228D76-E548-455C-B6EE-3DA29CF613C6}" name="Colonne3699"/>
    <tableColumn id="3708" xr3:uid="{6CDA6E9E-D0E7-40BA-8415-53EB93DC00A9}" name="Colonne3700"/>
    <tableColumn id="3709" xr3:uid="{6ECA0C18-343A-4115-8277-5C17C16FDD6F}" name="Colonne3701"/>
    <tableColumn id="3710" xr3:uid="{5497B151-F655-484E-BF63-7EC600C9A63A}" name="Colonne3702"/>
    <tableColumn id="3711" xr3:uid="{93994424-9BDF-49CD-9A31-3781B2B0418B}" name="Colonne3703"/>
    <tableColumn id="3712" xr3:uid="{61696411-6EA8-417A-A808-79A7BC5582A9}" name="Colonne3704"/>
    <tableColumn id="3713" xr3:uid="{2781C830-26FE-4578-8ACB-FBA0E0DC2D23}" name="Colonne3705"/>
    <tableColumn id="3714" xr3:uid="{8FA4B427-659F-40E5-8DD5-274F3A0A98CE}" name="Colonne3706"/>
    <tableColumn id="3715" xr3:uid="{92250339-E93D-47EF-9F85-0B1296747221}" name="Colonne3707"/>
    <tableColumn id="3716" xr3:uid="{6A3599B2-52FA-475A-8EB6-BFC708FFA2C0}" name="Colonne3708"/>
    <tableColumn id="3717" xr3:uid="{0677CA4F-5BB9-4683-8539-DB023E46BF6C}" name="Colonne3709"/>
    <tableColumn id="3718" xr3:uid="{5772F676-4932-4575-994A-54F6E5F65A1F}" name="Colonne3710"/>
    <tableColumn id="3719" xr3:uid="{A6D8B8D3-EBA2-459A-9313-137EBA60F232}" name="Colonne3711"/>
    <tableColumn id="3720" xr3:uid="{1135A075-E6BB-4072-B4E1-B06CCBE96B78}" name="Colonne3712"/>
    <tableColumn id="3721" xr3:uid="{848F05C6-5E7D-4BF0-BDA0-51C9D9D2DB92}" name="Colonne3713"/>
    <tableColumn id="3722" xr3:uid="{D7B4B57C-2068-4EAC-B534-C47D52A0EB9F}" name="Colonne3714"/>
    <tableColumn id="3723" xr3:uid="{F62279E4-E3FF-4C5F-9BB2-E38BA4D297E4}" name="Colonne3715"/>
    <tableColumn id="3724" xr3:uid="{5ED46A40-5046-4A92-A71D-8C353EE09285}" name="Colonne3716"/>
    <tableColumn id="3725" xr3:uid="{5DB46EA8-236B-46F1-AA6E-F383AD9005D7}" name="Colonne3717"/>
    <tableColumn id="3726" xr3:uid="{8F91B425-AA2D-470D-93E5-19F6EF426729}" name="Colonne3718"/>
    <tableColumn id="3727" xr3:uid="{3AC54675-F17F-4A20-A3F1-6D32D3B3589E}" name="Colonne3719"/>
    <tableColumn id="3728" xr3:uid="{702C294D-C11F-40EE-A8C5-879313B49C22}" name="Colonne3720"/>
    <tableColumn id="3729" xr3:uid="{6311F80D-3E94-40B3-BCBA-F7360597BA12}" name="Colonne3721"/>
    <tableColumn id="3730" xr3:uid="{BD9E83C6-74DF-4F02-9E94-F04E3C3BC98E}" name="Colonne3722"/>
    <tableColumn id="3731" xr3:uid="{42454F50-C14E-465F-8DB7-FD06E6828E52}" name="Colonne3723"/>
    <tableColumn id="3732" xr3:uid="{D3F790B5-578B-4FA8-853F-C830D69C180E}" name="Colonne3724"/>
    <tableColumn id="3733" xr3:uid="{1C789BE1-4B73-4DDF-AFBD-D29A90D360AE}" name="Colonne3725"/>
    <tableColumn id="3734" xr3:uid="{136CBA6A-FE34-4508-BBD7-CB57D4B0B325}" name="Colonne3726"/>
    <tableColumn id="3735" xr3:uid="{0AF148F8-251D-4DE5-96EB-9100E3B0513F}" name="Colonne3727"/>
    <tableColumn id="3736" xr3:uid="{8E5231B5-C30C-4B34-A7F2-269B89D325C8}" name="Colonne3728"/>
    <tableColumn id="3737" xr3:uid="{5AC0F20B-C2E8-4579-9E73-83CD4F04B6C4}" name="Colonne3729"/>
    <tableColumn id="3738" xr3:uid="{3BAC31F9-EA6C-4B83-9755-83D2CD1BCCB7}" name="Colonne3730"/>
    <tableColumn id="3739" xr3:uid="{C91C3F87-5A3D-4FF2-B7E4-0540BB99D9A0}" name="Colonne3731"/>
    <tableColumn id="3740" xr3:uid="{725B634C-1BE1-4944-94B5-9C8166C10753}" name="Colonne3732"/>
    <tableColumn id="3741" xr3:uid="{83C77A5A-6092-434E-A319-A2118627A3FE}" name="Colonne3733"/>
    <tableColumn id="3742" xr3:uid="{B21D7D96-B800-449C-97BF-8F784D7B3AB8}" name="Colonne3734"/>
    <tableColumn id="3743" xr3:uid="{F2350C4A-0EB4-49D0-9017-9E32CEE65595}" name="Colonne3735"/>
    <tableColumn id="3744" xr3:uid="{36110C54-D825-43D9-A0B6-7B228AF91F61}" name="Colonne3736"/>
    <tableColumn id="3745" xr3:uid="{77BBC0AA-EFC4-4A65-9AD8-DBFD8ABF39A4}" name="Colonne3737"/>
    <tableColumn id="3746" xr3:uid="{F732421E-386E-41E7-84EA-6962BDDF04C9}" name="Colonne3738"/>
    <tableColumn id="3747" xr3:uid="{6052D72C-3C0D-4D53-A97A-D99509E628B5}" name="Colonne3739"/>
    <tableColumn id="3748" xr3:uid="{9BFD7B61-E4DB-4A1B-8C13-835B8C90D79F}" name="Colonne3740"/>
    <tableColumn id="3749" xr3:uid="{E2F6D3FE-73E3-489A-A959-0FC9D996A8F3}" name="Colonne3741"/>
    <tableColumn id="3750" xr3:uid="{9C699DFA-7A41-4877-BAC9-FA85A31968D3}" name="Colonne3742"/>
    <tableColumn id="3751" xr3:uid="{3E0685AC-7D57-4FC4-84F7-99F546ECD5D8}" name="Colonne3743"/>
    <tableColumn id="3752" xr3:uid="{1E81F680-F027-459B-A579-3A01159AE862}" name="Colonne3744"/>
    <tableColumn id="3753" xr3:uid="{80B3640D-3CAF-4335-B014-FFAECAB605F2}" name="Colonne3745"/>
    <tableColumn id="3754" xr3:uid="{2D2948CB-8A14-4316-889B-E9DA90E6D065}" name="Colonne3746"/>
    <tableColumn id="3755" xr3:uid="{1D8D5C45-4453-483B-A8CB-FDEA68BF974E}" name="Colonne3747"/>
    <tableColumn id="3756" xr3:uid="{A5A5811E-A5E2-4AD8-BEDA-83345616784F}" name="Colonne3748"/>
    <tableColumn id="3757" xr3:uid="{78C650DE-3AF3-4645-807C-A963A6EBFB43}" name="Colonne3749"/>
    <tableColumn id="3758" xr3:uid="{5E3FF812-6C9B-444C-82E0-058F8B0B7148}" name="Colonne3750"/>
    <tableColumn id="3759" xr3:uid="{63336A8E-714F-4C1B-9C36-B8118542F7FA}" name="Colonne3751"/>
    <tableColumn id="3760" xr3:uid="{A9B5A5C4-C2E8-4F40-90BD-E21293281727}" name="Colonne3752"/>
    <tableColumn id="3761" xr3:uid="{A5AD20C7-1671-4ED5-8A6B-1CB89977D71D}" name="Colonne3753"/>
    <tableColumn id="3762" xr3:uid="{D7C1EF33-B57E-4B46-A3A6-FF9A0F6A55B1}" name="Colonne3754"/>
    <tableColumn id="3763" xr3:uid="{8F9B5B8C-2FCB-401B-8C85-51AAC960FCBC}" name="Colonne3755"/>
    <tableColumn id="3764" xr3:uid="{D3528E67-F62D-4DF8-8060-DCC57DD8E8D8}" name="Colonne3756"/>
    <tableColumn id="3765" xr3:uid="{CAE9ED82-8CA3-4BBD-9451-F516CCF7AE72}" name="Colonne3757"/>
    <tableColumn id="3766" xr3:uid="{09CD19EA-C7CB-4978-8982-4454F04A1FE9}" name="Colonne3758"/>
    <tableColumn id="3767" xr3:uid="{5DA11234-B2AB-41FD-9F6B-DFD298D94EC1}" name="Colonne3759"/>
    <tableColumn id="3768" xr3:uid="{284D49D5-9AA4-431A-81B3-812CC4B21EA3}" name="Colonne3760"/>
    <tableColumn id="3769" xr3:uid="{2D564E98-783D-495C-B4E9-2768AF08521E}" name="Colonne3761"/>
    <tableColumn id="3770" xr3:uid="{1924A47A-3526-465A-8B65-A9FFDD5D8213}" name="Colonne3762"/>
    <tableColumn id="3771" xr3:uid="{E853113A-BF71-41AD-A99B-A8766B2E151B}" name="Colonne3763"/>
    <tableColumn id="3772" xr3:uid="{41555B66-E457-4BC6-B07A-610DAA7D0F78}" name="Colonne3764"/>
    <tableColumn id="3773" xr3:uid="{41260329-7738-4D7C-8677-F0D74689217E}" name="Colonne3765"/>
    <tableColumn id="3774" xr3:uid="{B5E48167-5F5E-4C59-84E5-13D9777F8E78}" name="Colonne3766"/>
    <tableColumn id="3775" xr3:uid="{F38B6C9D-78B2-455B-9969-60A87B84628A}" name="Colonne3767"/>
    <tableColumn id="3776" xr3:uid="{B99FEC02-73E1-419B-8A82-AC0FB0DE2E91}" name="Colonne3768"/>
    <tableColumn id="3777" xr3:uid="{DAA99C52-1DCC-4036-A048-D125C4665C0C}" name="Colonne3769"/>
    <tableColumn id="3778" xr3:uid="{1D130CB9-02F7-4CD1-A395-3E09EB1BC6ED}" name="Colonne3770"/>
    <tableColumn id="3779" xr3:uid="{0DF48851-31CB-4075-858D-C63C7C15CCFB}" name="Colonne3771"/>
    <tableColumn id="3780" xr3:uid="{8C6D26DB-824C-4672-9BF9-E2B5ABD318F4}" name="Colonne3772"/>
    <tableColumn id="3781" xr3:uid="{F6D072B7-F0D1-48D3-88B2-6E40E5583B89}" name="Colonne3773"/>
    <tableColumn id="3782" xr3:uid="{0C6915E7-BDC0-4218-8B3F-7521C33A21DA}" name="Colonne3774"/>
    <tableColumn id="3783" xr3:uid="{F0B1F8D6-A518-48C1-8C04-E4F16C89898F}" name="Colonne3775"/>
    <tableColumn id="3784" xr3:uid="{7AE0F508-FE4B-47F9-B7D6-D5DD16AEE2FD}" name="Colonne3776"/>
    <tableColumn id="3785" xr3:uid="{28502778-4B54-4CA3-8D57-647D50B33B58}" name="Colonne3777"/>
    <tableColumn id="3786" xr3:uid="{9E2AD903-5FED-48EF-8131-8FA54914D7BD}" name="Colonne3778"/>
    <tableColumn id="3787" xr3:uid="{E0D3765D-2B40-4F1E-84FD-EB7951233280}" name="Colonne3779"/>
    <tableColumn id="3788" xr3:uid="{F85A9EE5-290F-4DB3-A52D-D75819162FF2}" name="Colonne3780"/>
    <tableColumn id="3789" xr3:uid="{1C6DF28A-644D-4BA7-8DDC-7AE14B688701}" name="Colonne3781"/>
    <tableColumn id="3790" xr3:uid="{A5710B56-9FF5-48FE-B217-445768829973}" name="Colonne3782"/>
    <tableColumn id="3791" xr3:uid="{11A1ECC1-9AA2-4187-B2F8-FF3FAD54F454}" name="Colonne3783"/>
    <tableColumn id="3792" xr3:uid="{9BDF7C01-3D88-4EA7-A4E1-FD9CF2DD240C}" name="Colonne3784"/>
    <tableColumn id="3793" xr3:uid="{CD103A6D-7270-4E1B-8E00-15E85DDCD7BB}" name="Colonne3785"/>
    <tableColumn id="3794" xr3:uid="{62AB1ABD-E59A-4DD9-B67E-875E9CB99E49}" name="Colonne3786"/>
    <tableColumn id="3795" xr3:uid="{405A49FC-40B3-4FFA-9F00-CBA99D8A5F0F}" name="Colonne3787"/>
    <tableColumn id="3796" xr3:uid="{7CAA26F8-516C-456B-88D4-4D724D06D07A}" name="Colonne3788"/>
    <tableColumn id="3797" xr3:uid="{9A024162-501D-4AED-92BC-469B5745F73B}" name="Colonne3789"/>
    <tableColumn id="3798" xr3:uid="{3641730F-E734-4C37-B557-D56A88179DB8}" name="Colonne3790"/>
    <tableColumn id="3799" xr3:uid="{42A84D20-6A08-4FC3-90A9-C0CD481F6920}" name="Colonne3791"/>
    <tableColumn id="3800" xr3:uid="{8AAF55D3-6795-4E61-BD6D-4D98B25E82A5}" name="Colonne3792"/>
    <tableColumn id="3801" xr3:uid="{EA3D490A-3CB6-4903-B8B3-6091F3CEAF93}" name="Colonne3793"/>
    <tableColumn id="3802" xr3:uid="{15E0F5AC-5B23-42FB-B7A4-934B216B0CA0}" name="Colonne3794"/>
    <tableColumn id="3803" xr3:uid="{14280BE2-CF75-4C4F-9C4F-5CBEEF5F85CF}" name="Colonne3795"/>
    <tableColumn id="3804" xr3:uid="{7B1E4601-281A-49E5-BAF4-664C581A104C}" name="Colonne3796"/>
    <tableColumn id="3805" xr3:uid="{BF74CB03-1E03-4347-8EAD-1127D500E9C1}" name="Colonne3797"/>
    <tableColumn id="3806" xr3:uid="{C2BF4CD4-F9A3-4E3A-AD63-1E8B0DB0F8C8}" name="Colonne3798"/>
    <tableColumn id="3807" xr3:uid="{DA69B994-0AA3-4D42-A14D-6B1F5D12A550}" name="Colonne3799"/>
    <tableColumn id="3808" xr3:uid="{951933E9-0B0E-4273-B5F5-ACE88382A78A}" name="Colonne3800"/>
    <tableColumn id="3809" xr3:uid="{DD17946D-8912-492B-A8EF-9484C5EE2F6D}" name="Colonne3801"/>
    <tableColumn id="3810" xr3:uid="{5EB08D03-8C91-4A07-9FB3-E754BEDCB3EA}" name="Colonne3802"/>
    <tableColumn id="3811" xr3:uid="{3BA13C09-5322-4432-A13D-9825F0136041}" name="Colonne3803"/>
    <tableColumn id="3812" xr3:uid="{1EF3A432-6CFB-4AF5-852E-7607980E2787}" name="Colonne3804"/>
    <tableColumn id="3813" xr3:uid="{19D57429-627F-4610-B138-0A316C1B03DE}" name="Colonne3805"/>
    <tableColumn id="3814" xr3:uid="{BAED0578-C7A6-452F-9E72-2D6E4E013155}" name="Colonne3806"/>
    <tableColumn id="3815" xr3:uid="{3B67FB5F-B4AA-4B9E-B14E-C7DDDC508282}" name="Colonne3807"/>
    <tableColumn id="3816" xr3:uid="{761DFB83-8CAD-454F-8FBC-1BAC150E31F8}" name="Colonne3808"/>
    <tableColumn id="3817" xr3:uid="{F7D48279-F906-4AD4-A39D-C2C22395E074}" name="Colonne3809"/>
    <tableColumn id="3818" xr3:uid="{0C5D2FBE-403E-47FF-A461-C574981D641E}" name="Colonne3810"/>
    <tableColumn id="3819" xr3:uid="{AADDFE29-9975-4F7F-A045-203CEE544253}" name="Colonne3811"/>
    <tableColumn id="3820" xr3:uid="{7A3B0D6A-839A-480D-B7C1-945B5793FD8B}" name="Colonne3812"/>
    <tableColumn id="3821" xr3:uid="{1E5EFBE8-1502-47CA-BDBA-5A4F9D3F0864}" name="Colonne3813"/>
    <tableColumn id="3822" xr3:uid="{AABFDF54-F96B-47E0-9AC9-4FACBE983DE6}" name="Colonne3814"/>
    <tableColumn id="3823" xr3:uid="{CF909A2F-513B-446E-B8FB-16B3761609E3}" name="Colonne3815"/>
    <tableColumn id="3824" xr3:uid="{42D2FBAC-58C8-4B94-931E-264D4349AFC7}" name="Colonne3816"/>
    <tableColumn id="3825" xr3:uid="{60C8D5FB-D599-4605-B391-F83E043C030F}" name="Colonne3817"/>
    <tableColumn id="3826" xr3:uid="{C8BC693A-FCC0-4D8B-84E5-40E9721DBE63}" name="Colonne3818"/>
    <tableColumn id="3827" xr3:uid="{2A705325-5C38-48C4-AB64-1B9192722581}" name="Colonne3819"/>
    <tableColumn id="3828" xr3:uid="{9E6371B8-BB70-4CBC-8DBA-7B2A1C2ADFF0}" name="Colonne3820"/>
    <tableColumn id="3829" xr3:uid="{D4587A69-9A39-4DB1-9725-B1025843C847}" name="Colonne3821"/>
    <tableColumn id="3830" xr3:uid="{BE174B90-BD25-4256-B8D1-94B09D249C5D}" name="Colonne3822"/>
    <tableColumn id="3831" xr3:uid="{DE933D47-DF2B-430D-8E2C-C3DA7E2038DD}" name="Colonne3823"/>
    <tableColumn id="3832" xr3:uid="{F3D574FC-8236-43B6-AB4F-E536E7628297}" name="Colonne3824"/>
    <tableColumn id="3833" xr3:uid="{3916BDFA-E83F-4EB4-92C8-5697A16817ED}" name="Colonne3825"/>
    <tableColumn id="3834" xr3:uid="{3575F36D-DFFA-44BC-9780-C7CB9CAE9840}" name="Colonne3826"/>
    <tableColumn id="3835" xr3:uid="{A9F63E30-E2E8-4AC7-98BD-055DF791D5C6}" name="Colonne3827"/>
    <tableColumn id="3836" xr3:uid="{1D76B1AE-F770-42A9-BA0A-02163A2F7C7E}" name="Colonne3828"/>
    <tableColumn id="3837" xr3:uid="{8901215A-DD11-4E35-84FC-C829DEA9BC2A}" name="Colonne3829"/>
    <tableColumn id="3838" xr3:uid="{8A72C84F-A640-4A00-A5B9-1C015865CFA6}" name="Colonne3830"/>
    <tableColumn id="3839" xr3:uid="{4ACD626B-9F32-420A-BD04-C6BFD74AD56C}" name="Colonne3831"/>
    <tableColumn id="3840" xr3:uid="{A79C6FFA-4D5F-4AD2-8819-AAFEBBF27AB3}" name="Colonne3832"/>
    <tableColumn id="3841" xr3:uid="{C7E00B21-CCAC-4818-9727-64BE3D517F1C}" name="Colonne3833"/>
    <tableColumn id="3842" xr3:uid="{DB32877E-0EA9-4785-A83B-8FB239407C1F}" name="Colonne3834"/>
    <tableColumn id="3843" xr3:uid="{D7203CB9-69FF-4E33-913F-BBE41A9E4CAF}" name="Colonne3835"/>
    <tableColumn id="3844" xr3:uid="{D502562A-D4F3-4EB8-93C6-858D0F10E3E8}" name="Colonne3836"/>
    <tableColumn id="3845" xr3:uid="{12CB6A64-D421-4539-A0A6-0F1BD5B3CDE9}" name="Colonne3837"/>
    <tableColumn id="3846" xr3:uid="{867CB4D3-1C3E-4B94-89DE-088158720B93}" name="Colonne3838"/>
    <tableColumn id="3847" xr3:uid="{689BAE9E-33CF-428E-8627-B57A1E50A9C5}" name="Colonne3839"/>
    <tableColumn id="3848" xr3:uid="{4DB10F12-B01A-42E5-814D-94D030C6554F}" name="Colonne3840"/>
    <tableColumn id="3849" xr3:uid="{C3EDF2FA-7CF7-4CC2-864E-2A30AA8B94AD}" name="Colonne3841"/>
    <tableColumn id="3850" xr3:uid="{16C45154-B375-4303-A249-88D0395A8CE3}" name="Colonne3842"/>
    <tableColumn id="3851" xr3:uid="{BDAD0A8E-A1BD-4AA7-AF9A-A83A8712D4BB}" name="Colonne3843"/>
    <tableColumn id="3852" xr3:uid="{405AFBC0-C9AF-441A-8E97-A4F4AF6A52E6}" name="Colonne3844"/>
    <tableColumn id="3853" xr3:uid="{EA7BC91D-08E6-4559-86BF-1B26E5DD952F}" name="Colonne3845"/>
    <tableColumn id="3854" xr3:uid="{03B76152-FC44-47AF-B51F-CCB20BB8C33B}" name="Colonne3846"/>
    <tableColumn id="3855" xr3:uid="{7DD2D0DE-AF50-47EE-BC20-8C67059C744F}" name="Colonne3847"/>
    <tableColumn id="3856" xr3:uid="{1394BDF2-6D94-4BE7-8C96-9301F7C40388}" name="Colonne3848"/>
    <tableColumn id="3857" xr3:uid="{FDC913A5-8440-467B-A699-5DAA4D6F752C}" name="Colonne3849"/>
    <tableColumn id="3858" xr3:uid="{EEDB1DC2-C43B-4FA0-805E-4E2E367A89B4}" name="Colonne3850"/>
    <tableColumn id="3859" xr3:uid="{6C563D9B-30B3-4A2B-8A62-681CCC76EE30}" name="Colonne3851"/>
    <tableColumn id="3860" xr3:uid="{4804E8B1-6471-444A-AE2E-2E342396CE32}" name="Colonne3852"/>
    <tableColumn id="3861" xr3:uid="{654B76B0-1D1D-49A8-8B8E-CED32F9BC0A2}" name="Colonne3853"/>
    <tableColumn id="3862" xr3:uid="{BBB74FB1-0BAD-4345-B59C-A9E134070419}" name="Colonne3854"/>
    <tableColumn id="3863" xr3:uid="{A85067B8-81FB-4D22-8D4B-850AE040BA2F}" name="Colonne3855"/>
    <tableColumn id="3864" xr3:uid="{AEF37DA8-0067-4416-B4FE-AB50526B6187}" name="Colonne3856"/>
    <tableColumn id="3865" xr3:uid="{E2C0406D-DB7D-4DCE-B29B-256379EEEFBA}" name="Colonne3857"/>
    <tableColumn id="3866" xr3:uid="{4E95229C-BB0E-4345-A024-605368D044B0}" name="Colonne3858"/>
    <tableColumn id="3867" xr3:uid="{0BF42D0D-A18A-4717-9C45-BFFEF9BD19D0}" name="Colonne3859"/>
    <tableColumn id="3868" xr3:uid="{9ED40F59-7EF0-4433-BA87-A32EBA29B93E}" name="Colonne3860"/>
    <tableColumn id="3869" xr3:uid="{005844EF-5C65-422C-84C1-2965B539FFA3}" name="Colonne3861"/>
    <tableColumn id="3870" xr3:uid="{4E7994D6-D4F0-49F9-9BBE-55400465857B}" name="Colonne3862"/>
    <tableColumn id="3871" xr3:uid="{2C4ED8C3-9A91-4793-88AD-C2D86753CCF3}" name="Colonne3863"/>
    <tableColumn id="3872" xr3:uid="{2CC416DD-1636-486A-9E80-05F05D83A67E}" name="Colonne3864"/>
    <tableColumn id="3873" xr3:uid="{0118A580-6F30-4446-8D09-BF4E1ADB9F1B}" name="Colonne3865"/>
    <tableColumn id="3874" xr3:uid="{E413DA03-1EC7-4555-8F16-63B6E6141110}" name="Colonne3866"/>
    <tableColumn id="3875" xr3:uid="{F08C156C-C3A6-45F2-B607-1BD133DA6B85}" name="Colonne3867"/>
    <tableColumn id="3876" xr3:uid="{7418B0C4-9255-485D-A75F-9A659082F89F}" name="Colonne3868"/>
    <tableColumn id="3877" xr3:uid="{65A9B615-FB68-4FFD-9E2E-5FD1F1F470F5}" name="Colonne3869"/>
    <tableColumn id="3878" xr3:uid="{38822D47-A9E6-4CF4-9CFD-DE8C8C7A74D4}" name="Colonne3870"/>
    <tableColumn id="3879" xr3:uid="{3DAADF61-9533-4908-8BAE-0B061898AB25}" name="Colonne3871"/>
    <tableColumn id="3880" xr3:uid="{21D9E828-F78F-4403-9F8C-984E8B3CFCD9}" name="Colonne3872"/>
    <tableColumn id="3881" xr3:uid="{59C65472-DFE9-4B26-9245-8E4281D3BD39}" name="Colonne3873"/>
    <tableColumn id="3882" xr3:uid="{29E62A4E-F047-4F43-A50C-B73D5F3929A4}" name="Colonne3874"/>
    <tableColumn id="3883" xr3:uid="{C32756E8-25C2-4D58-973C-F6DF2D2D8C04}" name="Colonne3875"/>
    <tableColumn id="3884" xr3:uid="{7BAF072A-E1F9-4FFD-BB0A-CEA131F56DB2}" name="Colonne3876"/>
    <tableColumn id="3885" xr3:uid="{711BB817-520D-4419-B181-6F4F0F985510}" name="Colonne3877"/>
    <tableColumn id="3886" xr3:uid="{92B12347-BF6A-4FD6-A3FF-00A1A2CDCC32}" name="Colonne3878"/>
    <tableColumn id="3887" xr3:uid="{0DC5901D-8921-45B7-A60A-6047EF3DEC6A}" name="Colonne3879"/>
    <tableColumn id="3888" xr3:uid="{CA41A8B3-B06F-4012-94CB-7DA002FB93C6}" name="Colonne3880"/>
    <tableColumn id="3889" xr3:uid="{1D2973BE-4AE3-470B-9EAD-DF9EE43C5E1C}" name="Colonne3881"/>
    <tableColumn id="3890" xr3:uid="{5EB9E55D-DBC3-4853-898B-F70277E2748B}" name="Colonne3882"/>
    <tableColumn id="3891" xr3:uid="{CA4C8A26-D305-43CC-A2A8-5E5A971538A0}" name="Colonne3883"/>
    <tableColumn id="3892" xr3:uid="{81CB9323-8392-4F7C-80F9-B08591C88C50}" name="Colonne3884"/>
    <tableColumn id="3893" xr3:uid="{A20A5E3E-C4EA-4160-B50B-E2EF105B4D12}" name="Colonne3885"/>
    <tableColumn id="3894" xr3:uid="{3DA82320-4219-40D2-9FDA-0FDE3312FFA5}" name="Colonne3886"/>
    <tableColumn id="3895" xr3:uid="{AA34C69B-97DD-4B53-A8A8-56617D72BC47}" name="Colonne3887"/>
    <tableColumn id="3896" xr3:uid="{63642796-CBB1-4898-8904-4EB19376EDC5}" name="Colonne3888"/>
    <tableColumn id="3897" xr3:uid="{F53E80CC-698E-4013-945D-2E211637C8C3}" name="Colonne3889"/>
    <tableColumn id="3898" xr3:uid="{307BDF7B-944F-4127-BE8C-54D8CAB1EA9B}" name="Colonne3890"/>
    <tableColumn id="3899" xr3:uid="{2CCA3EFF-383C-48EA-AF17-AA013774A242}" name="Colonne3891"/>
    <tableColumn id="3900" xr3:uid="{5ECDE655-65BB-41F1-A8BC-1318D62EE1F6}" name="Colonne3892"/>
    <tableColumn id="3901" xr3:uid="{7F922BF4-046D-4F09-B7CC-B98CF52A66F0}" name="Colonne3893"/>
    <tableColumn id="3902" xr3:uid="{F211C14C-E143-4C3D-B3C7-426C65C14AF0}" name="Colonne3894"/>
    <tableColumn id="3903" xr3:uid="{612EC77A-D813-4455-A1A9-EF1226445DFD}" name="Colonne3895"/>
    <tableColumn id="3904" xr3:uid="{F81B6664-C513-4E08-A10B-6582FC8E65E0}" name="Colonne3896"/>
    <tableColumn id="3905" xr3:uid="{77A15BF5-4FBA-485B-B5F9-DEE607BA3DAD}" name="Colonne3897"/>
    <tableColumn id="3906" xr3:uid="{AB19DA0B-9AA3-471C-B30A-4543C81DBEC5}" name="Colonne3898"/>
    <tableColumn id="3907" xr3:uid="{7AA2EAC1-8B48-49F0-9311-42DB7EA6939F}" name="Colonne3899"/>
    <tableColumn id="3908" xr3:uid="{49692D4C-9D88-457E-979C-69517C0168A2}" name="Colonne3900"/>
    <tableColumn id="3909" xr3:uid="{44C49A97-ECBE-4B2E-8214-26B59CB81F85}" name="Colonne3901"/>
    <tableColumn id="3910" xr3:uid="{5CFE769A-5D33-47F0-8006-11B36B70130E}" name="Colonne3902"/>
    <tableColumn id="3911" xr3:uid="{9EC26B5F-B3E5-4F3A-924D-737F8C2B8858}" name="Colonne3903"/>
    <tableColumn id="3912" xr3:uid="{1AE76A1B-EDD5-4D96-B19C-620DF1FA6783}" name="Colonne3904"/>
    <tableColumn id="3913" xr3:uid="{8C227949-1663-4D96-B27D-533DAAA3A72A}" name="Colonne3905"/>
    <tableColumn id="3914" xr3:uid="{D0AC26EA-A8D4-41FF-AAE9-C43B3126F151}" name="Colonne3906"/>
    <tableColumn id="3915" xr3:uid="{9C90CDA0-9164-44FC-8589-5722EDFC3F42}" name="Colonne3907"/>
    <tableColumn id="3916" xr3:uid="{A27D9D47-19D0-43EF-922E-9C3ED8EC1D4A}" name="Colonne3908"/>
    <tableColumn id="3917" xr3:uid="{3B1B4FA4-F3A2-4E3E-89A4-BE9B42DC0AA1}" name="Colonne3909"/>
    <tableColumn id="3918" xr3:uid="{17C5FB53-9785-4853-A747-9058D3B25163}" name="Colonne3910"/>
    <tableColumn id="3919" xr3:uid="{3FD52DB3-E70F-4EC4-ACA0-95848B1650C9}" name="Colonne3911"/>
    <tableColumn id="3920" xr3:uid="{2FC3693F-5BBD-4C76-B205-CE4735EDA9E0}" name="Colonne3912"/>
    <tableColumn id="3921" xr3:uid="{B7DE1168-178E-4708-A9AC-54AC6EC51AD4}" name="Colonne3913"/>
    <tableColumn id="3922" xr3:uid="{46D369C7-4F2D-4822-A365-8A10CA2765DE}" name="Colonne3914"/>
    <tableColumn id="3923" xr3:uid="{955B74D8-A040-4ED8-A9DA-7480EC0F19E2}" name="Colonne3915"/>
    <tableColumn id="3924" xr3:uid="{8FE11C1B-DC9A-4B61-BB5F-DBCB54A43CC4}" name="Colonne3916"/>
    <tableColumn id="3925" xr3:uid="{026F2B81-304B-4573-9074-6D0CF70C2779}" name="Colonne3917"/>
    <tableColumn id="3926" xr3:uid="{67F4CBB7-4E10-44CA-8C82-B8E0045FADD2}" name="Colonne3918"/>
    <tableColumn id="3927" xr3:uid="{6451AA36-0EB5-45AE-B964-EA6EF202BE1A}" name="Colonne3919"/>
    <tableColumn id="3928" xr3:uid="{1E70E213-563C-451D-A401-EEF02EBD3BA1}" name="Colonne3920"/>
    <tableColumn id="3929" xr3:uid="{4016A8C8-9610-4634-A07B-B29555FCE241}" name="Colonne3921"/>
    <tableColumn id="3930" xr3:uid="{DDC1F1CC-3219-4268-9DB2-FAD02E56F603}" name="Colonne3922"/>
    <tableColumn id="3931" xr3:uid="{01EC3BCB-47AD-4C55-9FD2-3B51DFC0F603}" name="Colonne3923"/>
    <tableColumn id="3932" xr3:uid="{EAFC74E4-FEBC-4B50-AAE7-207BDB446424}" name="Colonne3924"/>
    <tableColumn id="3933" xr3:uid="{D83ACF8B-1DA2-4669-9FA0-FD7EE77C06E5}" name="Colonne3925"/>
    <tableColumn id="3934" xr3:uid="{6DDAE5F3-B482-4605-9080-A8F1FA4A36FB}" name="Colonne3926"/>
    <tableColumn id="3935" xr3:uid="{94E61ECD-3FA8-45CA-84EE-B8E794E3AC1E}" name="Colonne3927"/>
    <tableColumn id="3936" xr3:uid="{123BC1C5-7056-4C3B-9E24-1D2A4CBF5023}" name="Colonne3928"/>
    <tableColumn id="3937" xr3:uid="{A2B62EBF-B709-4034-9927-15E0974BEE39}" name="Colonne3929"/>
    <tableColumn id="3938" xr3:uid="{CCFA208F-DD2B-44F8-86E5-912A8EF5BD04}" name="Colonne3930"/>
    <tableColumn id="3939" xr3:uid="{B1964612-D223-47CB-9BE6-BDD181DEC154}" name="Colonne3931"/>
    <tableColumn id="3940" xr3:uid="{992BEC8D-E417-433E-93D2-6B7F8F12BE8E}" name="Colonne3932"/>
    <tableColumn id="3941" xr3:uid="{4B7EBEF6-11DC-4209-A5A0-5E2857EBB5E6}" name="Colonne3933"/>
    <tableColumn id="3942" xr3:uid="{5113FE70-F791-42DA-B62D-B01539A704B1}" name="Colonne3934"/>
    <tableColumn id="3943" xr3:uid="{04654A6C-C3D6-4668-A5BB-0775C06DEF98}" name="Colonne3935"/>
    <tableColumn id="3944" xr3:uid="{14D419DA-F93E-48EE-8227-0E5B1C603890}" name="Colonne3936"/>
    <tableColumn id="3945" xr3:uid="{2DA52EA1-0831-4638-9AFC-BCA78F2C161A}" name="Colonne3937"/>
    <tableColumn id="3946" xr3:uid="{82951DD6-D055-44FB-A608-18F25F227A88}" name="Colonne3938"/>
    <tableColumn id="3947" xr3:uid="{5B5CAC8E-D7BA-4F94-BD52-0655E0B411FB}" name="Colonne3939"/>
    <tableColumn id="3948" xr3:uid="{4D167C73-1733-4069-A12C-30E6D0943E1E}" name="Colonne3940"/>
    <tableColumn id="3949" xr3:uid="{32784CE1-8856-4756-9507-83B3452CDEFB}" name="Colonne3941"/>
    <tableColumn id="3950" xr3:uid="{BA2D03CB-F6A2-4FAB-B450-8481CC79EF8E}" name="Colonne3942"/>
    <tableColumn id="3951" xr3:uid="{7900999A-4337-478A-A916-683D014B9CC4}" name="Colonne3943"/>
    <tableColumn id="3952" xr3:uid="{FE3D4BC2-EE82-4E6B-B7DC-0A260458011F}" name="Colonne3944"/>
    <tableColumn id="3953" xr3:uid="{2746EFD6-D447-43A8-A3B3-DA659F1BB994}" name="Colonne3945"/>
    <tableColumn id="3954" xr3:uid="{F07C6835-B3E3-4E81-87DD-F11F3FA2932C}" name="Colonne3946"/>
    <tableColumn id="3955" xr3:uid="{64AAEBC2-59C4-4873-B11B-E328C598BEB9}" name="Colonne3947"/>
    <tableColumn id="3956" xr3:uid="{86AED469-1EC5-4231-AEA4-A7EC17641302}" name="Colonne3948"/>
    <tableColumn id="3957" xr3:uid="{D6EF12C5-1FA7-4D68-B625-6C1411D4476F}" name="Colonne3949"/>
    <tableColumn id="3958" xr3:uid="{AB8B96F6-7648-41A6-A5BE-97C773A927B8}" name="Colonne3950"/>
    <tableColumn id="3959" xr3:uid="{68B3432E-4833-45A2-B514-40ABD8EB6F43}" name="Colonne3951"/>
    <tableColumn id="3960" xr3:uid="{4CFEC06D-7932-44E3-AB63-AA0F9430FB93}" name="Colonne3952"/>
    <tableColumn id="3961" xr3:uid="{39DFD368-A3C3-43E6-B64D-8F0033D80956}" name="Colonne3953"/>
    <tableColumn id="3962" xr3:uid="{C2B9DE85-6469-4AC7-AA1A-84E1802B1837}" name="Colonne3954"/>
    <tableColumn id="3963" xr3:uid="{85EE6A5A-8506-4210-B991-21D130FAC42A}" name="Colonne3955"/>
    <tableColumn id="3964" xr3:uid="{32C48D80-8F87-4C81-A8E9-7887C6AD9008}" name="Colonne3956"/>
    <tableColumn id="3965" xr3:uid="{47A96D2B-5F41-40D6-AD09-921E0191DDF1}" name="Colonne3957"/>
    <tableColumn id="3966" xr3:uid="{D6E65F88-D1E1-45E5-8224-6E7C71C2F09F}" name="Colonne3958"/>
    <tableColumn id="3967" xr3:uid="{396F73F9-571C-4534-AE61-F904811F3BFA}" name="Colonne3959"/>
    <tableColumn id="3968" xr3:uid="{F914F232-F41E-4877-A9BF-9741B60BC38D}" name="Colonne3960"/>
    <tableColumn id="3969" xr3:uid="{748EF729-9072-4DC6-B47F-DA004148E169}" name="Colonne3961"/>
    <tableColumn id="3970" xr3:uid="{C564CEEA-E568-4FAD-9D5B-8728DC5D0A7A}" name="Colonne3962"/>
    <tableColumn id="3971" xr3:uid="{3554228F-889C-4246-979A-DC09FC5941AB}" name="Colonne3963"/>
    <tableColumn id="3972" xr3:uid="{9783DB05-ABD0-418F-9EA1-E13BAE2F9C02}" name="Colonne3964"/>
    <tableColumn id="3973" xr3:uid="{3A93CE45-D322-461C-A205-CD9D1CBD7534}" name="Colonne3965"/>
    <tableColumn id="3974" xr3:uid="{4D0F05AE-CFCE-46E1-B841-8D476E3E8046}" name="Colonne3966"/>
    <tableColumn id="3975" xr3:uid="{E7684C78-983A-47A9-A9E6-FCE7030D42DF}" name="Colonne3967"/>
    <tableColumn id="3976" xr3:uid="{826FA15B-BD0E-4F4F-A125-AB9F16103379}" name="Colonne3968"/>
    <tableColumn id="3977" xr3:uid="{727C002B-15F8-4D41-9B50-9D47BB0FDF85}" name="Colonne3969"/>
    <tableColumn id="3978" xr3:uid="{AE6040D3-44B3-4577-A8C8-F76E7D1B3D26}" name="Colonne3970"/>
    <tableColumn id="3979" xr3:uid="{80EA6591-31F1-455B-8CDF-986300BC2432}" name="Colonne3971"/>
    <tableColumn id="3980" xr3:uid="{D8A0B0F2-ABCA-465B-801C-A8FAE1353F5A}" name="Colonne3972"/>
    <tableColumn id="3981" xr3:uid="{D3A38A9D-72B4-4E66-AF4D-43B4CEA8924C}" name="Colonne3973"/>
    <tableColumn id="3982" xr3:uid="{2A0D796A-87B1-4CAE-9DD1-CEC54648E218}" name="Colonne3974"/>
    <tableColumn id="3983" xr3:uid="{65A11D7F-0D6D-4A5B-A7E5-476D40EBD848}" name="Colonne3975"/>
    <tableColumn id="3984" xr3:uid="{FD85103F-8FE1-4BBF-95C3-0659AB254F83}" name="Colonne3976"/>
    <tableColumn id="3985" xr3:uid="{8EA7BD3F-0FF2-43F1-B8DD-9ABD110D56DF}" name="Colonne3977"/>
    <tableColumn id="3986" xr3:uid="{606C2BDB-6673-4298-BA48-C15036F801CE}" name="Colonne3978"/>
    <tableColumn id="3987" xr3:uid="{BEA7CBDB-D41E-4D3D-82D6-009CE85AAAA1}" name="Colonne3979"/>
    <tableColumn id="3988" xr3:uid="{3CD1F769-AE28-43EA-87FE-8EAC6EE331A1}" name="Colonne3980"/>
    <tableColumn id="3989" xr3:uid="{D0631A88-EDBF-462B-B9D1-D8263BC9D757}" name="Colonne3981"/>
    <tableColumn id="3990" xr3:uid="{0A0FB6EE-E456-4591-9573-07294BB49CDD}" name="Colonne3982"/>
    <tableColumn id="3991" xr3:uid="{37E9ACD3-6C36-4ECF-B182-8D199B590216}" name="Colonne3983"/>
    <tableColumn id="3992" xr3:uid="{5981904A-52CB-428A-BDB1-078A20FB6C63}" name="Colonne3984"/>
    <tableColumn id="3993" xr3:uid="{45FB3D41-EB4C-4748-BD62-C5622AE775E9}" name="Colonne3985"/>
    <tableColumn id="3994" xr3:uid="{EF150751-92EA-472F-AE34-C7A673B181D2}" name="Colonne3986"/>
    <tableColumn id="3995" xr3:uid="{E8C98378-8715-4FAF-8D67-ACAEE95A0651}" name="Colonne3987"/>
    <tableColumn id="3996" xr3:uid="{7782AC41-DE8E-41F6-9DE0-998C72EA00CE}" name="Colonne3988"/>
    <tableColumn id="3997" xr3:uid="{5C0F950B-5B19-4E0E-8E22-24622BE27289}" name="Colonne3989"/>
    <tableColumn id="3998" xr3:uid="{76D4D6A2-4EF6-48A9-9A39-F0DDFB46E704}" name="Colonne3990"/>
    <tableColumn id="3999" xr3:uid="{2174C9FA-31F6-4DE5-AF07-38EE61DD8D87}" name="Colonne3991"/>
    <tableColumn id="4000" xr3:uid="{804075CD-ADD8-462E-81EE-EAC3503AFE17}" name="Colonne3992"/>
    <tableColumn id="4001" xr3:uid="{4CD3980C-F581-4C9E-B97B-B55CAD07E847}" name="Colonne3993"/>
    <tableColumn id="4002" xr3:uid="{DFC17BB4-3EAD-4C02-AC1C-8A9B120AF143}" name="Colonne3994"/>
    <tableColumn id="4003" xr3:uid="{6035C94D-6E84-4BF7-BBDF-E6010CFFFA22}" name="Colonne3995"/>
    <tableColumn id="4004" xr3:uid="{D58FB645-D069-41B4-9472-D9FC264534EC}" name="Colonne3996"/>
    <tableColumn id="4005" xr3:uid="{439476CE-8190-4C5B-9A07-0FE83D99C2DE}" name="Colonne3997"/>
    <tableColumn id="4006" xr3:uid="{EDD7AFC4-5778-47F8-99BE-8110E446E66D}" name="Colonne3998"/>
    <tableColumn id="4007" xr3:uid="{0C502B6F-ABA3-454D-B1EB-9C83CF681A52}" name="Colonne3999"/>
    <tableColumn id="4008" xr3:uid="{3C224658-91E4-42A0-8F30-B9F7584A91DE}" name="Colonne4000"/>
    <tableColumn id="4009" xr3:uid="{F0DD5C8B-4C1F-45C7-95F5-23367DF5F2DA}" name="Colonne4001"/>
    <tableColumn id="4010" xr3:uid="{65724E1A-6879-441B-84C4-790EFE193A2C}" name="Colonne4002"/>
    <tableColumn id="4011" xr3:uid="{4419D07C-95FA-444D-B476-67DD3927E195}" name="Colonne4003"/>
    <tableColumn id="4012" xr3:uid="{3BD49545-3514-48CC-90BE-9638B8F339C2}" name="Colonne4004"/>
    <tableColumn id="4013" xr3:uid="{33B7F0C4-ADCE-4499-9F2C-5F1FCD495C8E}" name="Colonne4005"/>
    <tableColumn id="4014" xr3:uid="{9661E823-7043-4E31-A756-C472216E0AE2}" name="Colonne4006"/>
    <tableColumn id="4015" xr3:uid="{D86DF3F4-F121-4B0B-89DA-BB6A8B04E741}" name="Colonne4007"/>
    <tableColumn id="4016" xr3:uid="{5FCA2DA0-6C69-44AC-B5AB-87A27101B938}" name="Colonne4008"/>
    <tableColumn id="4017" xr3:uid="{2FFA7010-4A65-4649-95EF-EB3000A79E8E}" name="Colonne4009"/>
    <tableColumn id="4018" xr3:uid="{770DECAE-543B-4D96-904E-8EFD632BD871}" name="Colonne4010"/>
    <tableColumn id="4019" xr3:uid="{D75BA541-04B1-423C-9455-A00D45CE690E}" name="Colonne4011"/>
    <tableColumn id="4020" xr3:uid="{D2E9780E-5647-4C1C-B316-C8D35017D0BD}" name="Colonne4012"/>
    <tableColumn id="4021" xr3:uid="{FC8F55AD-B804-45FF-B4B4-3DADBCD1A5AC}" name="Colonne4013"/>
    <tableColumn id="4022" xr3:uid="{67245E05-AD96-495C-A702-07883F1C0832}" name="Colonne4014"/>
    <tableColumn id="4023" xr3:uid="{95FF1B40-486E-4C3A-BEB0-0079E4340D65}" name="Colonne4015"/>
    <tableColumn id="4024" xr3:uid="{775135AF-C9D5-4B8E-AA81-B37650557A8A}" name="Colonne4016"/>
    <tableColumn id="4025" xr3:uid="{AE8E1430-D7FB-47D5-8D1D-532470FC48F0}" name="Colonne4017"/>
    <tableColumn id="4026" xr3:uid="{278A77C2-8CBE-4FB5-B520-5D2A61E6A80F}" name="Colonne4018"/>
    <tableColumn id="4027" xr3:uid="{481DDBF2-ECA1-4F65-898D-16D3253FB155}" name="Colonne4019"/>
    <tableColumn id="4028" xr3:uid="{A1E57E64-1026-45EA-9D47-CEF236638928}" name="Colonne4020"/>
    <tableColumn id="4029" xr3:uid="{4A294845-8E40-4B38-82A8-D1D379E09E20}" name="Colonne4021"/>
    <tableColumn id="4030" xr3:uid="{EEF7034A-F195-4967-9ABA-A6AE70FDEE0A}" name="Colonne4022"/>
    <tableColumn id="4031" xr3:uid="{2316ACC0-A6FA-4EF8-B17C-2DC72FB44E79}" name="Colonne4023"/>
    <tableColumn id="4032" xr3:uid="{3FD35F54-F5EB-4746-AC30-E33994399CCF}" name="Colonne4024"/>
    <tableColumn id="4033" xr3:uid="{5A98B71C-60A3-4DC4-803C-1BB18BEC8F80}" name="Colonne4025"/>
    <tableColumn id="4034" xr3:uid="{AED5F7ED-C493-40E9-A45E-A5D475F20DEB}" name="Colonne4026"/>
    <tableColumn id="4035" xr3:uid="{00878883-728D-4AB9-BE3C-763664F33451}" name="Colonne4027"/>
    <tableColumn id="4036" xr3:uid="{9C441AA7-7600-47F8-B883-07443E2C1073}" name="Colonne4028"/>
    <tableColumn id="4037" xr3:uid="{39A96588-7CDD-4B29-9F9A-1715B120996E}" name="Colonne4029"/>
    <tableColumn id="4038" xr3:uid="{A31A17D4-44CB-4AA3-8B1B-8837700C5262}" name="Colonne4030"/>
    <tableColumn id="4039" xr3:uid="{7942C344-FC56-4DE2-BAFE-2E9DCDB7EA91}" name="Colonne4031"/>
    <tableColumn id="4040" xr3:uid="{62228F0E-1476-4847-9BC4-B7B8D8A97683}" name="Colonne4032"/>
    <tableColumn id="4041" xr3:uid="{AB3AF3E9-0316-44AC-B2DB-5E4E6076E83B}" name="Colonne4033"/>
    <tableColumn id="4042" xr3:uid="{832EB537-5D57-4D5E-837F-3471D97AAA7B}" name="Colonne4034"/>
    <tableColumn id="4043" xr3:uid="{934D9FF5-84A5-464E-93EC-B67EA24BB3B4}" name="Colonne4035"/>
    <tableColumn id="4044" xr3:uid="{1E536FF3-58D8-4544-859B-149DB24143E6}" name="Colonne4036"/>
    <tableColumn id="4045" xr3:uid="{D2A29E03-3FF9-4907-B546-839D83CA11C9}" name="Colonne4037"/>
    <tableColumn id="4046" xr3:uid="{0226BEE2-B2B3-4F45-A46B-A56A09CA0722}" name="Colonne4038"/>
    <tableColumn id="4047" xr3:uid="{65228916-491F-4B02-BEBE-9EE67E9C3D63}" name="Colonne4039"/>
    <tableColumn id="4048" xr3:uid="{A5D4A91C-88BF-4B2D-B69A-227CB3ED74EE}" name="Colonne4040"/>
    <tableColumn id="4049" xr3:uid="{F715091E-4F32-4BC5-B034-F0264F9F793D}" name="Colonne4041"/>
    <tableColumn id="4050" xr3:uid="{4CF98E50-4B3C-440D-A937-AFB59EEE4246}" name="Colonne4042"/>
    <tableColumn id="4051" xr3:uid="{E250781F-00B4-46A8-A938-BD638AA43C20}" name="Colonne4043"/>
    <tableColumn id="4052" xr3:uid="{42689356-3CC4-4DE5-874E-6A09D1EA3B23}" name="Colonne4044"/>
    <tableColumn id="4053" xr3:uid="{A227F18A-B3DC-4C3E-8808-7A48FAC24868}" name="Colonne4045"/>
    <tableColumn id="4054" xr3:uid="{42E68E56-736A-4A84-96C4-F4DA93407F4B}" name="Colonne4046"/>
    <tableColumn id="4055" xr3:uid="{DF112386-226A-42E0-8F99-388994795151}" name="Colonne4047"/>
    <tableColumn id="4056" xr3:uid="{123FD34D-289C-41BA-B687-BF202F06DDD4}" name="Colonne4048"/>
    <tableColumn id="4057" xr3:uid="{3597CC00-532A-4B20-B80C-6271891C0D75}" name="Colonne4049"/>
    <tableColumn id="4058" xr3:uid="{D3BE1F7B-0B79-4479-908E-3DA925567CE9}" name="Colonne4050"/>
    <tableColumn id="4059" xr3:uid="{C0CB16B3-5F8C-47F6-9C8B-634A191559C6}" name="Colonne4051"/>
    <tableColumn id="4060" xr3:uid="{47A57DE8-5CA8-4712-8FFC-87DF74241921}" name="Colonne4052"/>
    <tableColumn id="4061" xr3:uid="{9A51D938-754D-451A-A48A-1710B73F294B}" name="Colonne4053"/>
    <tableColumn id="4062" xr3:uid="{9C24F078-C9E3-43A4-A30B-54746B663CC9}" name="Colonne4054"/>
    <tableColumn id="4063" xr3:uid="{9F08D1EB-AAA1-47F0-8EF7-9866CD6659DB}" name="Colonne4055"/>
    <tableColumn id="4064" xr3:uid="{16378CB1-6E88-466F-86B1-2A45407B76F0}" name="Colonne4056"/>
    <tableColumn id="4065" xr3:uid="{3931378D-295B-4702-9B91-0D0EA7DD761C}" name="Colonne4057"/>
    <tableColumn id="4066" xr3:uid="{349EDACC-D59C-4C41-AECF-E4C791BA9F98}" name="Colonne4058"/>
    <tableColumn id="4067" xr3:uid="{110B84DB-642C-4FE2-80A2-B9A62556D7C4}" name="Colonne4059"/>
    <tableColumn id="4068" xr3:uid="{3A0C025B-CE77-4572-9204-9DAA922EEBF5}" name="Colonne4060"/>
    <tableColumn id="4069" xr3:uid="{F4668C93-0459-4E89-BA72-8540032FFC46}" name="Colonne4061"/>
    <tableColumn id="4070" xr3:uid="{681A9A03-2E8D-4D02-94EC-159564DF4DF8}" name="Colonne4062"/>
    <tableColumn id="4071" xr3:uid="{48063B91-F800-4748-9F33-6837FB03B2EC}" name="Colonne4063"/>
    <tableColumn id="4072" xr3:uid="{EE34781F-C073-4CE6-9231-4BF8F3071356}" name="Colonne4064"/>
    <tableColumn id="4073" xr3:uid="{F8326185-FD97-468C-9EB6-475283FD1E42}" name="Colonne4065"/>
    <tableColumn id="4074" xr3:uid="{FFAAFBBB-28DF-4A41-A729-8038444A80FC}" name="Colonne4066"/>
    <tableColumn id="4075" xr3:uid="{5CCE8901-39B7-4143-BCC3-3772A0A4929B}" name="Colonne4067"/>
    <tableColumn id="4076" xr3:uid="{2398E494-E24F-4681-BAF7-C725DDEF358B}" name="Colonne4068"/>
    <tableColumn id="4077" xr3:uid="{A6413E8C-0D10-48E5-9F66-7815FEC43F06}" name="Colonne4069"/>
    <tableColumn id="4078" xr3:uid="{FB08E73A-ACB5-4ACB-85A9-0540EA375502}" name="Colonne4070"/>
    <tableColumn id="4079" xr3:uid="{52A9BB13-DDAE-4E65-82A5-0206A76F4EA4}" name="Colonne4071"/>
    <tableColumn id="4080" xr3:uid="{1DBCBA66-3487-4093-A903-4158AA8509BA}" name="Colonne4072"/>
    <tableColumn id="4081" xr3:uid="{826BFC1B-1FF4-483A-B236-0C8AE0B89275}" name="Colonne4073"/>
    <tableColumn id="4082" xr3:uid="{344D2C0A-992C-4C20-9852-1F16955461DC}" name="Colonne4074"/>
    <tableColumn id="4083" xr3:uid="{9A126F4F-1361-494D-ADB8-FDD82DB13849}" name="Colonne4075"/>
    <tableColumn id="4084" xr3:uid="{83300BC2-D36A-4F03-8FCF-6245B5F3380C}" name="Colonne4076"/>
    <tableColumn id="4085" xr3:uid="{5F693594-0716-4365-A557-E3ED4D25175C}" name="Colonne4077"/>
    <tableColumn id="4086" xr3:uid="{FA4CF563-B50D-44B3-82D1-A8F0E31B9A8F}" name="Colonne4078"/>
    <tableColumn id="4087" xr3:uid="{117DCC7C-18DD-488C-9FFD-3CEEE10B04ED}" name="Colonne4079"/>
    <tableColumn id="4088" xr3:uid="{6D43A2E6-7DE6-4310-8E3A-CD060AABE090}" name="Colonne4080"/>
    <tableColumn id="4089" xr3:uid="{36874961-75AC-4E45-9B67-09791A41A271}" name="Colonne4081"/>
    <tableColumn id="4090" xr3:uid="{14D703F8-9275-47B1-9008-8A710FE85B1B}" name="Colonne4082"/>
    <tableColumn id="4091" xr3:uid="{96DBF1D4-1294-445C-B08F-48DD92016865}" name="Colonne4083"/>
    <tableColumn id="4092" xr3:uid="{C0D10040-F434-4E94-B0C5-F34425BF8D36}" name="Colonne4084"/>
    <tableColumn id="4093" xr3:uid="{59C41485-BA9A-458C-9EE7-CEFBDEDA028C}" name="Colonne4085"/>
    <tableColumn id="4094" xr3:uid="{97CF5EE8-E0ED-4DDE-98B7-03AE9E2C53E0}" name="Colonne4086"/>
    <tableColumn id="4095" xr3:uid="{654DFAE8-8756-4666-8F17-FB3B1E56A12F}" name="Colonne4087"/>
    <tableColumn id="4096" xr3:uid="{8A12D9D6-6193-4543-85B3-558FDE7FB4B8}" name="Colonne4088"/>
    <tableColumn id="4097" xr3:uid="{9354FD1C-CFF0-41D8-AE79-8E65F5296F93}" name="Colonne4089"/>
    <tableColumn id="4098" xr3:uid="{2918BE4F-2E15-4220-B6D6-FA95949DEE86}" name="Colonne4090"/>
    <tableColumn id="4099" xr3:uid="{4438A2F6-488A-4E5B-B6AB-955CB51CCC52}" name="Colonne4091"/>
    <tableColumn id="4100" xr3:uid="{05AF769B-473A-47C7-B15D-6BBF0EE72AC5}" name="Colonne4092"/>
    <tableColumn id="4101" xr3:uid="{C81307B8-D8FB-4FC3-A789-73F96F4A413C}" name="Colonne4093"/>
    <tableColumn id="4102" xr3:uid="{D7D7E34B-C556-4EED-A072-269A71248976}" name="Colonne4094"/>
    <tableColumn id="4103" xr3:uid="{2A7081A9-2B8B-44BA-AD70-8610F8AC5857}" name="Colonne4095"/>
    <tableColumn id="4104" xr3:uid="{C414DC13-DDCD-4FC7-9973-16FB2C185C5F}" name="Colonne4096"/>
    <tableColumn id="4105" xr3:uid="{93B12150-72D0-444C-A8AC-AF4086E14CF2}" name="Colonne4097"/>
    <tableColumn id="4106" xr3:uid="{EA299F80-059C-46E9-A250-84E621088CBF}" name="Colonne4098"/>
    <tableColumn id="4107" xr3:uid="{03CFACFA-89FA-4C03-9169-7371E4D150E5}" name="Colonne4099"/>
    <tableColumn id="4108" xr3:uid="{56C69C2C-4CA2-498E-8084-C16B0FF58C1D}" name="Colonne4100"/>
    <tableColumn id="4109" xr3:uid="{9957BD23-2FFC-4709-B189-176EFD3925B5}" name="Colonne4101"/>
    <tableColumn id="4110" xr3:uid="{E7DA231A-56C1-42AF-9118-0EB42D0450A4}" name="Colonne4102"/>
    <tableColumn id="4111" xr3:uid="{1EC3404D-42E2-43D5-AFC3-30497E2F7104}" name="Colonne4103"/>
    <tableColumn id="4112" xr3:uid="{23ACA35D-D589-4331-A0A1-DFAAEB0B6F0C}" name="Colonne4104"/>
    <tableColumn id="4113" xr3:uid="{0AD6CD1E-EB15-4596-BDD8-61B34495928C}" name="Colonne4105"/>
    <tableColumn id="4114" xr3:uid="{DF505199-603D-4B94-A29B-B91D4E9D7CE1}" name="Colonne4106"/>
    <tableColumn id="4115" xr3:uid="{96E53BCC-F7BD-4BEA-AA20-3C261359AD47}" name="Colonne4107"/>
    <tableColumn id="4116" xr3:uid="{FFC70F06-30C8-4D74-8D6A-D0805864180D}" name="Colonne4108"/>
    <tableColumn id="4117" xr3:uid="{58BB13D8-4375-42B9-9986-57C499BCDEF1}" name="Colonne4109"/>
    <tableColumn id="4118" xr3:uid="{BFB0F7B4-D862-4AD6-AE13-E3AC53B53A04}" name="Colonne4110"/>
    <tableColumn id="4119" xr3:uid="{207FE722-182E-4CAF-BDCA-05F7B834ADD6}" name="Colonne4111"/>
    <tableColumn id="4120" xr3:uid="{96A516B8-DBA3-4C11-84B1-61FECFB588A8}" name="Colonne4112"/>
    <tableColumn id="4121" xr3:uid="{C359E90A-FC1B-454E-9AD9-DD57037D0884}" name="Colonne4113"/>
    <tableColumn id="4122" xr3:uid="{D7F38DA9-A5FB-4B7F-9052-934AB7CA666E}" name="Colonne4114"/>
    <tableColumn id="4123" xr3:uid="{EA898770-83A8-4E5B-8A58-4BA3B3D81FDF}" name="Colonne4115"/>
    <tableColumn id="4124" xr3:uid="{70DA59A7-D958-4DE8-9F82-11EA91D0CE6D}" name="Colonne4116"/>
    <tableColumn id="4125" xr3:uid="{E7A2C0C4-25CA-490C-8E98-F8B4B3957AB6}" name="Colonne4117"/>
    <tableColumn id="4126" xr3:uid="{6CC3D24B-8FA8-41FB-9527-5ACF6F9CB36F}" name="Colonne4118"/>
    <tableColumn id="4127" xr3:uid="{AB3FDB2F-4AA1-4017-A051-28E32E2A90B3}" name="Colonne4119"/>
    <tableColumn id="4128" xr3:uid="{52B4FF6E-4DDE-46F2-A4C6-9252E1BA0FF6}" name="Colonne4120"/>
    <tableColumn id="4129" xr3:uid="{E989484F-7D00-4418-8D95-A823BE90CE8A}" name="Colonne4121"/>
    <tableColumn id="4130" xr3:uid="{70A0B281-B117-4A90-BF5E-43055B2F9283}" name="Colonne4122"/>
    <tableColumn id="4131" xr3:uid="{442F8BF2-4636-4BED-8335-EE81212AA20D}" name="Colonne4123"/>
    <tableColumn id="4132" xr3:uid="{E890C1D4-2894-4FA3-ADEB-88E916549CC2}" name="Colonne4124"/>
    <tableColumn id="4133" xr3:uid="{CB0F66E9-CB0F-40A9-8274-416085E54EB7}" name="Colonne4125"/>
    <tableColumn id="4134" xr3:uid="{DD295151-748B-4F15-95F0-FB1C4C79FF0C}" name="Colonne4126"/>
    <tableColumn id="4135" xr3:uid="{16A91F34-DB07-485B-B81E-F4032A370723}" name="Colonne4127"/>
    <tableColumn id="4136" xr3:uid="{B48B571E-BB7F-4BE0-8DCC-F2844645F9DC}" name="Colonne4128"/>
    <tableColumn id="4137" xr3:uid="{13FFCD2E-8CAF-4C36-8970-E40DA4D0B049}" name="Colonne4129"/>
    <tableColumn id="4138" xr3:uid="{80793BB7-453E-43EF-8873-6D3570A25089}" name="Colonne4130"/>
    <tableColumn id="4139" xr3:uid="{C7B3B5D7-7ECC-4B18-A2F7-84951CFD0DAD}" name="Colonne4131"/>
    <tableColumn id="4140" xr3:uid="{E566A218-2A95-47DE-A4AC-17321FF8B5F8}" name="Colonne4132"/>
    <tableColumn id="4141" xr3:uid="{F3BF5C0C-6317-4F6D-BCEF-62417F23EF5C}" name="Colonne4133"/>
    <tableColumn id="4142" xr3:uid="{F2A96A35-3852-43CF-BA3F-CD43C894D0E3}" name="Colonne4134"/>
    <tableColumn id="4143" xr3:uid="{116650D6-544B-4291-B9EA-79A2D3703888}" name="Colonne4135"/>
    <tableColumn id="4144" xr3:uid="{0A5A152E-305E-497D-81ED-9E7F601DDA1E}" name="Colonne4136"/>
    <tableColumn id="4145" xr3:uid="{7A5261E4-25DF-4CB9-857E-B2BB0FBF66B4}" name="Colonne4137"/>
    <tableColumn id="4146" xr3:uid="{7FE6C47E-5DFC-47A2-9A2D-1F648E112230}" name="Colonne4138"/>
    <tableColumn id="4147" xr3:uid="{B12B592B-DE96-45D6-AF23-D049BC1CB142}" name="Colonne4139"/>
    <tableColumn id="4148" xr3:uid="{90BB44A2-04EF-462D-8428-BC5341717836}" name="Colonne4140"/>
    <tableColumn id="4149" xr3:uid="{377077A0-AFA4-4D55-9DD1-3031270A9260}" name="Colonne4141"/>
    <tableColumn id="4150" xr3:uid="{CAA59DF4-9FB7-45A5-B9DC-13C5DDFEE8F5}" name="Colonne4142"/>
    <tableColumn id="4151" xr3:uid="{91827E29-594C-4891-8A53-1AEB4720BCE8}" name="Colonne4143"/>
    <tableColumn id="4152" xr3:uid="{05304E6B-2D4F-4625-8713-2E4CA8A9A08A}" name="Colonne4144"/>
    <tableColumn id="4153" xr3:uid="{AC280065-FB35-4EB2-B1DF-13CD53F0B77A}" name="Colonne4145"/>
    <tableColumn id="4154" xr3:uid="{A176AC34-DD90-4B1C-B8EC-88960A1294EE}" name="Colonne4146"/>
    <tableColumn id="4155" xr3:uid="{05144156-BD37-428D-988E-896CC1A9314F}" name="Colonne4147"/>
    <tableColumn id="4156" xr3:uid="{F85FAAE2-A311-43CA-8C16-84779DFE1C39}" name="Colonne4148"/>
    <tableColumn id="4157" xr3:uid="{18E1EEB1-1C33-46D2-8B0F-6E37D23BB993}" name="Colonne4149"/>
    <tableColumn id="4158" xr3:uid="{9F22FE27-F4BB-44C5-837F-FFE9EDBD6CFA}" name="Colonne4150"/>
    <tableColumn id="4159" xr3:uid="{477807B8-CDD9-44D1-8E7F-A7CCEF19E77A}" name="Colonne4151"/>
    <tableColumn id="4160" xr3:uid="{CB6C48D3-9FEE-4B24-BBEA-DB4A00BA7E0F}" name="Colonne4152"/>
    <tableColumn id="4161" xr3:uid="{9E25FEC7-BB77-4A34-A80E-297152DCFD58}" name="Colonne4153"/>
    <tableColumn id="4162" xr3:uid="{491B5AA3-8FCC-40C7-B44E-345CEA4C6D21}" name="Colonne4154"/>
    <tableColumn id="4163" xr3:uid="{B489326C-2D97-46D4-AF69-B9BB3598328B}" name="Colonne4155"/>
    <tableColumn id="4164" xr3:uid="{7B25BAF0-9494-4B8E-A982-C32EDE20A795}" name="Colonne4156"/>
    <tableColumn id="4165" xr3:uid="{2988175F-24EC-4579-985C-F76BBC698E56}" name="Colonne4157"/>
    <tableColumn id="4166" xr3:uid="{D7E92D94-B884-404A-AE24-7D3DFA86BD65}" name="Colonne4158"/>
    <tableColumn id="4167" xr3:uid="{D7B9BE52-9164-47B7-B7F8-71391789DE53}" name="Colonne4159"/>
    <tableColumn id="4168" xr3:uid="{864D6C7D-DB89-4AE0-8803-0C6465DCCC5A}" name="Colonne4160"/>
    <tableColumn id="4169" xr3:uid="{23337738-3D6A-43FD-B562-4496BFD150F7}" name="Colonne4161"/>
    <tableColumn id="4170" xr3:uid="{6FDCEB4C-3BF9-441B-A5E6-BC409EC2F268}" name="Colonne4162"/>
    <tableColumn id="4171" xr3:uid="{7DCDCEC9-C5AD-437D-8B4A-729553297EA8}" name="Colonne4163"/>
    <tableColumn id="4172" xr3:uid="{838677B1-E5FB-43C0-90F3-4D865FF33180}" name="Colonne4164"/>
    <tableColumn id="4173" xr3:uid="{A2765A40-A3B8-435D-BA73-C1A3E4CBF34D}" name="Colonne4165"/>
    <tableColumn id="4174" xr3:uid="{985D2007-838D-47E4-A5B2-88BE5ECF129D}" name="Colonne4166"/>
    <tableColumn id="4175" xr3:uid="{F792304A-BEDC-492B-902A-25E2A461789E}" name="Colonne4167"/>
    <tableColumn id="4176" xr3:uid="{3E47D3A5-166B-4540-A419-82BE031BB37A}" name="Colonne4168"/>
    <tableColumn id="4177" xr3:uid="{30FEA981-46CC-46F9-84AE-98C8F6285404}" name="Colonne4169"/>
    <tableColumn id="4178" xr3:uid="{AC79B06D-1A9F-499C-9042-46A5E769DAFB}" name="Colonne4170"/>
    <tableColumn id="4179" xr3:uid="{51678F05-FB71-4E7B-B7AF-05AB6848BB91}" name="Colonne4171"/>
    <tableColumn id="4180" xr3:uid="{6916EE77-50DA-4B30-BFBE-49FA785C65F8}" name="Colonne4172"/>
    <tableColumn id="4181" xr3:uid="{85578F95-05DF-4CDF-851C-DAA1877DA7CE}" name="Colonne4173"/>
    <tableColumn id="4182" xr3:uid="{FF141A62-3947-48B0-AFF0-09D2A8A975A1}" name="Colonne4174"/>
    <tableColumn id="4183" xr3:uid="{DE3D3D68-F093-4A0B-B860-8EC3F766D80D}" name="Colonne4175"/>
    <tableColumn id="4184" xr3:uid="{561954FA-43AD-4093-AA15-337B5C879E81}" name="Colonne4176"/>
    <tableColumn id="4185" xr3:uid="{424F48E0-99A9-447B-83A7-5FFE332F9413}" name="Colonne4177"/>
    <tableColumn id="4186" xr3:uid="{09C77F8E-BE99-4A30-902C-906874BF9937}" name="Colonne4178"/>
    <tableColumn id="4187" xr3:uid="{0CF985E5-5C30-44C2-A902-60722DB959EF}" name="Colonne4179"/>
    <tableColumn id="4188" xr3:uid="{0C8663E8-4045-490D-850A-9E10CC6DBBB8}" name="Colonne4180"/>
    <tableColumn id="4189" xr3:uid="{01561335-76D8-4C7D-9677-88FAE4C5AC45}" name="Colonne4181"/>
    <tableColumn id="4190" xr3:uid="{D640D18B-FE7C-49B0-B3FB-B0F25F0B99D2}" name="Colonne4182"/>
    <tableColumn id="4191" xr3:uid="{4EFFFDE6-7E6D-46BA-8DBF-98DB8D51EABA}" name="Colonne4183"/>
    <tableColumn id="4192" xr3:uid="{268D1A40-8D82-42F0-A995-87D8316732A6}" name="Colonne4184"/>
    <tableColumn id="4193" xr3:uid="{BD0F180C-8790-4F6A-A7CA-D18DAEA11703}" name="Colonne4185"/>
    <tableColumn id="4194" xr3:uid="{A93BA47E-2E8C-4C7A-9F95-BB5C9BB55691}" name="Colonne4186"/>
    <tableColumn id="4195" xr3:uid="{34557835-A2DF-4D3B-9CDD-458948219DB9}" name="Colonne4187"/>
    <tableColumn id="4196" xr3:uid="{8F70D7E1-111E-44BE-ACB1-CE1EEADE0A41}" name="Colonne4188"/>
    <tableColumn id="4197" xr3:uid="{1BD17B9A-679E-424B-8547-B6525EC02E86}" name="Colonne4189"/>
    <tableColumn id="4198" xr3:uid="{09B479E9-C304-4D40-9006-EFE97BAE4184}" name="Colonne4190"/>
    <tableColumn id="4199" xr3:uid="{631FE25F-AEA9-499E-9D3A-BC863F2A8478}" name="Colonne4191"/>
    <tableColumn id="4200" xr3:uid="{AB33BB83-6EA3-44D3-B4BB-7C132FFFBBC4}" name="Colonne4192"/>
    <tableColumn id="4201" xr3:uid="{52541993-A53D-437B-BFDD-88909B34E9CE}" name="Colonne4193"/>
    <tableColumn id="4202" xr3:uid="{ED2E8E50-73A4-4BF6-A62C-DC46272EC7A7}" name="Colonne4194"/>
    <tableColumn id="4203" xr3:uid="{C173FD4B-CCB1-4425-8D1F-0A4F858057F7}" name="Colonne4195"/>
    <tableColumn id="4204" xr3:uid="{B4D6AB5A-60A8-4026-B36B-FB9B08C4D4F8}" name="Colonne4196"/>
    <tableColumn id="4205" xr3:uid="{4680E2F3-7C30-4045-A911-81A74F9711AF}" name="Colonne4197"/>
    <tableColumn id="4206" xr3:uid="{6B9C6E37-38E6-48F9-88FF-CC2D444108C2}" name="Colonne4198"/>
    <tableColumn id="4207" xr3:uid="{5B440C63-9A6F-49E1-80DD-9BE34D6A2CCD}" name="Colonne4199"/>
    <tableColumn id="4208" xr3:uid="{9D50406F-4308-44A7-9618-60BB12AF6F16}" name="Colonne4200"/>
    <tableColumn id="4209" xr3:uid="{A8FAA953-25EC-4FD6-9D6B-BD920BFFE4B3}" name="Colonne4201"/>
    <tableColumn id="4210" xr3:uid="{56538B3F-D18A-4B1E-939A-8726995EBFBA}" name="Colonne4202"/>
    <tableColumn id="4211" xr3:uid="{B380174B-07DA-48C6-B275-B67B8AD11313}" name="Colonne4203"/>
    <tableColumn id="4212" xr3:uid="{DA3BF743-EABF-411D-B2B1-0A1D5BD2D0A5}" name="Colonne4204"/>
    <tableColumn id="4213" xr3:uid="{1005DCEE-87A2-4298-B536-5A565CB61CC8}" name="Colonne4205"/>
    <tableColumn id="4214" xr3:uid="{6DE71B37-FEE7-461E-A48A-C2DE617524BE}" name="Colonne4206"/>
    <tableColumn id="4215" xr3:uid="{8A0F9FEE-2B1D-4A8C-98CB-A83FB9217106}" name="Colonne4207"/>
    <tableColumn id="4216" xr3:uid="{BCD19E40-A338-4FE4-B61D-8A9167C456E9}" name="Colonne4208"/>
    <tableColumn id="4217" xr3:uid="{78855BEF-10A5-4A4C-8F80-9E6FC838CA79}" name="Colonne4209"/>
    <tableColumn id="4218" xr3:uid="{423506DE-E36C-45F3-83BD-572BBDC87FCE}" name="Colonne4210"/>
    <tableColumn id="4219" xr3:uid="{723F22F7-0773-4C9A-9F39-F2026D683807}" name="Colonne4211"/>
    <tableColumn id="4220" xr3:uid="{5FDB27AA-D6D0-4E35-84A7-5826FE711B2A}" name="Colonne4212"/>
    <tableColumn id="4221" xr3:uid="{AE34E66E-8F53-479B-B3B6-1A0FB96E6607}" name="Colonne4213"/>
    <tableColumn id="4222" xr3:uid="{D21557EC-9B59-4957-AB0A-6361404897CA}" name="Colonne4214"/>
    <tableColumn id="4223" xr3:uid="{F7E64C15-8169-470B-B933-9EB173C37C3D}" name="Colonne4215"/>
    <tableColumn id="4224" xr3:uid="{9F35A374-8C53-4B64-85D6-C30B809D78F7}" name="Colonne4216"/>
    <tableColumn id="4225" xr3:uid="{E4757E7B-26F0-42C6-8D91-807B5A37876C}" name="Colonne4217"/>
    <tableColumn id="4226" xr3:uid="{EFBE9A00-6E6E-430C-B31E-D720883E8961}" name="Colonne4218"/>
    <tableColumn id="4227" xr3:uid="{293B6418-F014-4787-9324-CFA5F711B498}" name="Colonne4219"/>
    <tableColumn id="4228" xr3:uid="{06A7E22D-A439-46E4-AECB-E634CD4E04F6}" name="Colonne4220"/>
    <tableColumn id="4229" xr3:uid="{9A7C2AEA-03BB-44FB-BB8F-01F9A2A5F9CC}" name="Colonne4221"/>
    <tableColumn id="4230" xr3:uid="{56C14431-FD53-4215-8193-375AF8CA3FB1}" name="Colonne4222"/>
    <tableColumn id="4231" xr3:uid="{02B04A75-41B9-4EA8-AD42-A9EF2CA3E249}" name="Colonne4223"/>
    <tableColumn id="4232" xr3:uid="{1DB0CA90-11E9-4531-B4CE-BBAB827C53CD}" name="Colonne4224"/>
    <tableColumn id="4233" xr3:uid="{0C581EE1-668C-4878-8C46-B74513F178D7}" name="Colonne4225"/>
    <tableColumn id="4234" xr3:uid="{86FFB05F-6C61-46A6-95D7-0A815052D50F}" name="Colonne4226"/>
    <tableColumn id="4235" xr3:uid="{B00A4639-7D71-4CC4-8210-11F35C30D37A}" name="Colonne4227"/>
    <tableColumn id="4236" xr3:uid="{09134948-281E-43E3-8C11-D8E2BCF43EAC}" name="Colonne4228"/>
    <tableColumn id="4237" xr3:uid="{81C4F65D-925D-4AEE-8808-A435EA754D92}" name="Colonne4229"/>
    <tableColumn id="4238" xr3:uid="{24528018-6230-480F-BEF7-01BB896DD2E8}" name="Colonne4230"/>
    <tableColumn id="4239" xr3:uid="{DA12583A-C3CE-4790-B384-B36AEC4A8E97}" name="Colonne4231"/>
    <tableColumn id="4240" xr3:uid="{F9A49628-4D64-4A9D-AEA0-924E8E32ABAD}" name="Colonne4232"/>
    <tableColumn id="4241" xr3:uid="{2B4704F2-CE02-47B4-AC16-60C23ECEA748}" name="Colonne4233"/>
    <tableColumn id="4242" xr3:uid="{0E2E8118-1586-4EBB-BB8D-156384FCA347}" name="Colonne4234"/>
    <tableColumn id="4243" xr3:uid="{30D3896A-288E-45EC-B4C8-789AC624792B}" name="Colonne4235"/>
    <tableColumn id="4244" xr3:uid="{5D26B3FE-1072-4AD7-863E-31CB91045A05}" name="Colonne4236"/>
    <tableColumn id="4245" xr3:uid="{D55C6D79-D9AB-4951-A370-BE53508544E5}" name="Colonne4237"/>
    <tableColumn id="4246" xr3:uid="{9FAFAEEF-171F-4C41-B548-865FB4169FCB}" name="Colonne4238"/>
    <tableColumn id="4247" xr3:uid="{E7280FCB-EA24-467F-9F33-C49BDC14F4E8}" name="Colonne4239"/>
    <tableColumn id="4248" xr3:uid="{53E7649B-0779-45E1-A74A-6D2E5D843574}" name="Colonne4240"/>
    <tableColumn id="4249" xr3:uid="{03D51F3B-9F2C-439E-B3DA-833059F89AFF}" name="Colonne4241"/>
    <tableColumn id="4250" xr3:uid="{E3AD157B-2AC8-42C1-A35C-3A7429BC72DB}" name="Colonne4242"/>
    <tableColumn id="4251" xr3:uid="{D76852AC-27DE-4D2A-AFF0-80B38DC493C0}" name="Colonne4243"/>
    <tableColumn id="4252" xr3:uid="{9F65A565-C58F-43C6-9AAD-E22420A0F1E0}" name="Colonne4244"/>
    <tableColumn id="4253" xr3:uid="{88B2380F-2A11-4863-A335-691329C1D551}" name="Colonne4245"/>
    <tableColumn id="4254" xr3:uid="{5CB23BE1-D519-4EEB-B4DE-F26E75D88D7B}" name="Colonne4246"/>
    <tableColumn id="4255" xr3:uid="{BBBBC763-9BB9-4F4D-8DFC-CF2CABE9FF6F}" name="Colonne4247"/>
    <tableColumn id="4256" xr3:uid="{340DE6B1-D18C-4FFA-9DDB-DFCD02E62FB5}" name="Colonne4248"/>
    <tableColumn id="4257" xr3:uid="{6C57F67A-649A-4B16-B2F6-62D36864BAB5}" name="Colonne4249"/>
    <tableColumn id="4258" xr3:uid="{0D3EE92C-5373-4B0A-A4EF-C49C2E1224A7}" name="Colonne4250"/>
    <tableColumn id="4259" xr3:uid="{148B740E-535F-4B04-B2BE-37E366971F2A}" name="Colonne4251"/>
    <tableColumn id="4260" xr3:uid="{6AD1D6FE-A0CB-4B2A-AC6A-CDD77DF75E03}" name="Colonne4252"/>
    <tableColumn id="4261" xr3:uid="{3586AADF-90CE-4556-91DC-F4FD58FFB6D6}" name="Colonne4253"/>
    <tableColumn id="4262" xr3:uid="{7298347E-8A98-404B-99CF-39B312A8B22D}" name="Colonne4254"/>
    <tableColumn id="4263" xr3:uid="{8627E1D8-4358-41D8-BD5A-55CC43E4C8E9}" name="Colonne4255"/>
    <tableColumn id="4264" xr3:uid="{2DCF0839-408D-402B-BEED-7418A4A94E93}" name="Colonne4256"/>
    <tableColumn id="4265" xr3:uid="{80F4B593-A935-49ED-939C-3D730A644F76}" name="Colonne4257"/>
    <tableColumn id="4266" xr3:uid="{5ED9EBBB-08D7-4D39-9381-232F2A821E4D}" name="Colonne4258"/>
    <tableColumn id="4267" xr3:uid="{33758774-44E3-4FA8-A607-7C7CA7FA9AAE}" name="Colonne4259"/>
    <tableColumn id="4268" xr3:uid="{A7D3D4DC-48BE-4417-8E59-ADA5BCE4AC58}" name="Colonne4260"/>
    <tableColumn id="4269" xr3:uid="{375AF949-043B-4064-9E1D-0002319CEDF9}" name="Colonne4261"/>
    <tableColumn id="4270" xr3:uid="{01BA7586-2068-4090-9B7D-078582F80DEE}" name="Colonne4262"/>
    <tableColumn id="4271" xr3:uid="{0434640C-5D47-4B85-84B2-C4A3E0004E70}" name="Colonne4263"/>
    <tableColumn id="4272" xr3:uid="{364D3F26-0107-4BBC-87F7-810494401FB0}" name="Colonne4264"/>
    <tableColumn id="4273" xr3:uid="{F3A0A8D6-020A-4A2A-863C-BB182DD44206}" name="Colonne4265"/>
    <tableColumn id="4274" xr3:uid="{3022AAA9-17C7-4C3E-AF25-755F4BBBE289}" name="Colonne4266"/>
    <tableColumn id="4275" xr3:uid="{E38C9F93-B2EF-4B68-9384-F3C72F7EC528}" name="Colonne4267"/>
    <tableColumn id="4276" xr3:uid="{582A15C5-BC2C-4009-99CF-0A47B985428C}" name="Colonne4268"/>
    <tableColumn id="4277" xr3:uid="{E198946E-F0E1-40F7-9BC1-0AFB91712BDB}" name="Colonne4269"/>
    <tableColumn id="4278" xr3:uid="{1F3AC4C0-1890-4A27-9096-4DA348FF32C0}" name="Colonne4270"/>
    <tableColumn id="4279" xr3:uid="{3B522185-737C-43B0-910F-64A3C59D307D}" name="Colonne4271"/>
    <tableColumn id="4280" xr3:uid="{EFFC81C1-CB03-493A-AE79-1BE5BA2B1E84}" name="Colonne4272"/>
    <tableColumn id="4281" xr3:uid="{03017641-A423-4036-ABA2-6C3664438487}" name="Colonne4273"/>
    <tableColumn id="4282" xr3:uid="{4D65A017-0F6A-46DA-957D-66F7C03FC7A3}" name="Colonne4274"/>
    <tableColumn id="4283" xr3:uid="{B1759BA3-B26A-436B-AE58-7549F4BDDE6E}" name="Colonne4275"/>
    <tableColumn id="4284" xr3:uid="{730EFE0E-8374-45EF-A0A3-6057BF7EC782}" name="Colonne4276"/>
    <tableColumn id="4285" xr3:uid="{6ED5F9C7-6ADD-4DCC-9D19-286C1EBECC37}" name="Colonne4277"/>
    <tableColumn id="4286" xr3:uid="{E3B84605-78B7-448A-A2FD-0F25C23B8D9C}" name="Colonne4278"/>
    <tableColumn id="4287" xr3:uid="{EA15A332-770B-4F12-A868-28A9F21DBE9E}" name="Colonne4279"/>
    <tableColumn id="4288" xr3:uid="{7A356A2C-B69B-40D4-9FE3-18CE8B1D993B}" name="Colonne4280"/>
    <tableColumn id="4289" xr3:uid="{77BB4156-7104-465C-A06A-DBC685B91CB6}" name="Colonne4281"/>
    <tableColumn id="4290" xr3:uid="{FC26DBA7-DB68-4E0F-BC75-3EA18722E977}" name="Colonne4282"/>
    <tableColumn id="4291" xr3:uid="{43F7020B-E208-40F4-9CF2-82787753A945}" name="Colonne4283"/>
    <tableColumn id="4292" xr3:uid="{8C72B2C1-0D3E-4C97-9390-4931B73B26CF}" name="Colonne4284"/>
    <tableColumn id="4293" xr3:uid="{7E924D4A-6988-4D73-8C53-29E136AE3219}" name="Colonne4285"/>
    <tableColumn id="4294" xr3:uid="{56BF321B-CF12-4128-BFD8-8AFC80BD2346}" name="Colonne4286"/>
    <tableColumn id="4295" xr3:uid="{6644EDAE-15C7-47CA-9CAA-2615ABDE9EE4}" name="Colonne4287"/>
    <tableColumn id="4296" xr3:uid="{E70FFFAA-BBEF-461D-BECF-37DB6AAFE2C2}" name="Colonne4288"/>
    <tableColumn id="4297" xr3:uid="{B59827DA-D488-4E63-9F9A-E500223D0F84}" name="Colonne4289"/>
    <tableColumn id="4298" xr3:uid="{136996B9-75FE-48C9-890A-B053B95A75EF}" name="Colonne4290"/>
    <tableColumn id="4299" xr3:uid="{6B263713-45BA-475D-9EAC-201DB0016167}" name="Colonne4291"/>
    <tableColumn id="4300" xr3:uid="{E939961F-700E-4367-828E-1DD7F578E03E}" name="Colonne4292"/>
    <tableColumn id="4301" xr3:uid="{BFF25B9B-6185-4941-BCD7-AD60620338EB}" name="Colonne4293"/>
    <tableColumn id="4302" xr3:uid="{DFF5BF8A-7E9D-4841-BC58-CB6B72EB012B}" name="Colonne4294"/>
    <tableColumn id="4303" xr3:uid="{4133FA00-FE40-40BE-934F-BAA427BF8767}" name="Colonne4295"/>
    <tableColumn id="4304" xr3:uid="{D8581FDF-A99E-4381-AB6F-E6E1EDA95BA4}" name="Colonne4296"/>
    <tableColumn id="4305" xr3:uid="{B58F9978-0745-454F-9064-F8602484C0DD}" name="Colonne4297"/>
    <tableColumn id="4306" xr3:uid="{9A918C9D-50F8-487F-AC04-E2FBDF14AE71}" name="Colonne4298"/>
    <tableColumn id="4307" xr3:uid="{326BF96F-8F12-4D03-8DF2-7D92A8ED592F}" name="Colonne4299"/>
    <tableColumn id="4308" xr3:uid="{5CB28FC3-4E6D-4753-883D-E3F5954C3673}" name="Colonne4300"/>
    <tableColumn id="4309" xr3:uid="{47607A77-76D3-4088-BA04-6FF84BCED2FE}" name="Colonne4301"/>
    <tableColumn id="4310" xr3:uid="{0FB6A470-CC31-468D-8B2B-D3E41B1023DA}" name="Colonne4302"/>
    <tableColumn id="4311" xr3:uid="{29DB7C03-B056-4673-BACD-0E068A47484B}" name="Colonne4303"/>
    <tableColumn id="4312" xr3:uid="{7E463083-FE72-4E0E-BD2B-45EA9BEBDC04}" name="Colonne4304"/>
    <tableColumn id="4313" xr3:uid="{A435F38F-BA99-4D66-AD9C-7E9D9B9BC37E}" name="Colonne4305"/>
    <tableColumn id="4314" xr3:uid="{F2032343-1AE5-483A-81A5-D7EAB8BD9404}" name="Colonne4306"/>
    <tableColumn id="4315" xr3:uid="{58213C07-7478-4879-B525-ACFC45249A71}" name="Colonne4307"/>
    <tableColumn id="4316" xr3:uid="{BF5FF76F-0D91-4C98-AD2A-EC19CB9D936F}" name="Colonne4308"/>
    <tableColumn id="4317" xr3:uid="{5CE3EDB8-C0D4-407E-9DE5-21B4A14ACFF5}" name="Colonne4309"/>
    <tableColumn id="4318" xr3:uid="{FAC8E9C1-F0EA-49F5-99C8-99937F42D4A1}" name="Colonne4310"/>
    <tableColumn id="4319" xr3:uid="{CBCCBAD4-5789-4351-9AE9-497D301CFF5F}" name="Colonne4311"/>
    <tableColumn id="4320" xr3:uid="{6C3F7D7D-85A1-4BB1-9B47-DB71C2C97322}" name="Colonne4312"/>
    <tableColumn id="4321" xr3:uid="{F6D2FC36-5B4D-40A4-AA13-3CB2F730ED61}" name="Colonne4313"/>
    <tableColumn id="4322" xr3:uid="{C0E7B36A-602E-4E5C-AC08-DB67C6E69EE9}" name="Colonne4314"/>
    <tableColumn id="4323" xr3:uid="{BB0E69D8-FB79-42ED-81D7-1048900493B6}" name="Colonne4315"/>
    <tableColumn id="4324" xr3:uid="{2123134F-828E-4DBD-A3D2-1343A5ABF2B1}" name="Colonne4316"/>
    <tableColumn id="4325" xr3:uid="{CE605FDA-F7D6-424D-B12E-66464FFC1615}" name="Colonne4317"/>
    <tableColumn id="4326" xr3:uid="{376687CF-534C-4FE5-BCFA-712C5A12AC21}" name="Colonne4318"/>
    <tableColumn id="4327" xr3:uid="{74ECDBA1-ABF0-4E05-B49C-F13D09F0E493}" name="Colonne4319"/>
    <tableColumn id="4328" xr3:uid="{82C7AD12-DD00-47CE-9A35-EEBD600B6FF6}" name="Colonne4320"/>
    <tableColumn id="4329" xr3:uid="{D1ECC997-F9F6-423D-BB79-A24C277DCB5D}" name="Colonne4321"/>
    <tableColumn id="4330" xr3:uid="{F540B11E-C582-4FB5-B41D-8082869EBB71}" name="Colonne4322"/>
    <tableColumn id="4331" xr3:uid="{A1EE834E-A2DB-49F5-89A8-F2DEE6357BD8}" name="Colonne4323"/>
    <tableColumn id="4332" xr3:uid="{4B9F658C-D697-439A-8B8B-1A0B408063AE}" name="Colonne4324"/>
    <tableColumn id="4333" xr3:uid="{71BACF9C-CD4C-4576-B03F-142C5B1B6461}" name="Colonne4325"/>
    <tableColumn id="4334" xr3:uid="{EF2E3533-C79B-4BB7-A639-11D821AA33AE}" name="Colonne4326"/>
    <tableColumn id="4335" xr3:uid="{022D3ED7-B800-43B7-B2D5-04BF04A742B0}" name="Colonne4327"/>
    <tableColumn id="4336" xr3:uid="{165B9689-EFD7-441C-8040-1A19350EF96D}" name="Colonne4328"/>
    <tableColumn id="4337" xr3:uid="{6E1DAB81-924C-4D13-BA42-9ACD78D23682}" name="Colonne4329"/>
    <tableColumn id="4338" xr3:uid="{C60BEE93-B6D4-47CB-A8FC-91F8DF1D501C}" name="Colonne4330"/>
    <tableColumn id="4339" xr3:uid="{3D36278F-03CD-41D0-AFA1-2FB6DF1FA662}" name="Colonne4331"/>
    <tableColumn id="4340" xr3:uid="{659D8F6C-58CB-474D-880F-991AFC3B408A}" name="Colonne4332"/>
    <tableColumn id="4341" xr3:uid="{8E03E5D6-C80D-47A5-926B-ABDAF76E69BC}" name="Colonne4333"/>
    <tableColumn id="4342" xr3:uid="{93F74E16-F744-43D0-8236-046D51D0305A}" name="Colonne4334"/>
    <tableColumn id="4343" xr3:uid="{6BA3FE55-0E70-47C5-A01F-5801A74171D0}" name="Colonne4335"/>
    <tableColumn id="4344" xr3:uid="{20F7B39F-6531-4AAB-8195-B1BE950DB736}" name="Colonne4336"/>
    <tableColumn id="4345" xr3:uid="{486B826C-8E78-4EE9-A998-D42A41349286}" name="Colonne4337"/>
    <tableColumn id="4346" xr3:uid="{632901C6-EFE4-4549-81E3-1E573B9E3571}" name="Colonne4338"/>
    <tableColumn id="4347" xr3:uid="{0CE9E4D2-193A-4569-9551-07A4E2556D18}" name="Colonne4339"/>
    <tableColumn id="4348" xr3:uid="{9B2E457B-582F-4FEC-ACAA-40523DE05082}" name="Colonne4340"/>
    <tableColumn id="4349" xr3:uid="{E6879EE1-8EE4-46C2-801B-50E269B3DEC4}" name="Colonne4341"/>
    <tableColumn id="4350" xr3:uid="{6AFB322B-7423-4038-819A-242A7849A868}" name="Colonne4342"/>
    <tableColumn id="4351" xr3:uid="{4DC7B79F-D702-4C8D-985E-6F40336D950E}" name="Colonne4343"/>
    <tableColumn id="4352" xr3:uid="{830F818C-A4C3-4101-92C4-6FA97FAFF4EB}" name="Colonne4344"/>
    <tableColumn id="4353" xr3:uid="{47AAC9C9-C4DD-4E3D-8350-0A70A479B2CE}" name="Colonne4345"/>
    <tableColumn id="4354" xr3:uid="{F1242C0A-31F9-46A3-9146-FAF1C80B1644}" name="Colonne4346"/>
    <tableColumn id="4355" xr3:uid="{8E8C54C7-A33A-4A86-AD3B-EB66B7CBEE3B}" name="Colonne4347"/>
    <tableColumn id="4356" xr3:uid="{33A4624F-901B-44B5-8E73-F5BA770BACAF}" name="Colonne4348"/>
    <tableColumn id="4357" xr3:uid="{CA5C8255-0CE3-4349-B4F0-57BC93C09086}" name="Colonne4349"/>
    <tableColumn id="4358" xr3:uid="{6FCA2D52-CDCB-4B54-8D8C-D89B86AAC7F4}" name="Colonne4350"/>
    <tableColumn id="4359" xr3:uid="{7F58C4F7-E3E9-4B66-BD34-53BF936DD635}" name="Colonne4351"/>
    <tableColumn id="4360" xr3:uid="{BA338B64-6212-41B9-85AE-B15941D1D3C4}" name="Colonne4352"/>
    <tableColumn id="4361" xr3:uid="{E588A0A6-69E9-4714-9357-6A62A54168F2}" name="Colonne4353"/>
    <tableColumn id="4362" xr3:uid="{AEAC2DE7-968D-4F40-91FA-672FE944B1FF}" name="Colonne4354"/>
    <tableColumn id="4363" xr3:uid="{597A63E6-054D-4C66-AAF7-43657AFE02FD}" name="Colonne4355"/>
    <tableColumn id="4364" xr3:uid="{0A8C027C-98E2-45F4-826D-87D8B424C1FB}" name="Colonne4356"/>
    <tableColumn id="4365" xr3:uid="{54D055FB-DBB1-458D-B8D4-391D8200AAD7}" name="Colonne4357"/>
    <tableColumn id="4366" xr3:uid="{B0B546D1-FAB0-46DA-8B4F-30EDB5E29179}" name="Colonne4358"/>
    <tableColumn id="4367" xr3:uid="{6AD5F786-9957-49A5-8AD4-3747A0F960FC}" name="Colonne4359"/>
    <tableColumn id="4368" xr3:uid="{A9596E35-BF43-4D15-9B50-BCD71843EDE2}" name="Colonne4360"/>
    <tableColumn id="4369" xr3:uid="{EC15B808-0338-429D-974A-24552FFC67DF}" name="Colonne4361"/>
    <tableColumn id="4370" xr3:uid="{FB319F0B-1A54-4BCE-AE0D-B655FD667E47}" name="Colonne4362"/>
    <tableColumn id="4371" xr3:uid="{2D829B97-CDE5-460E-8C7A-3E6E3BE2F54A}" name="Colonne4363"/>
    <tableColumn id="4372" xr3:uid="{CEA13108-9D04-4B15-BDAA-BFCA4759E4C3}" name="Colonne4364"/>
    <tableColumn id="4373" xr3:uid="{29947367-7076-436E-BF6C-E0A205DACD4C}" name="Colonne4365"/>
    <tableColumn id="4374" xr3:uid="{E14A412D-5B2A-4EBF-A0DA-6F59972A17EE}" name="Colonne4366"/>
    <tableColumn id="4375" xr3:uid="{7C691DEC-D5F1-4798-9481-FFB061F3DEC5}" name="Colonne4367"/>
    <tableColumn id="4376" xr3:uid="{B58B07A5-5AA4-4DE0-BB07-E16E2A02A96F}" name="Colonne4368"/>
    <tableColumn id="4377" xr3:uid="{617A7F41-F581-46B3-BE81-4DEE171C4E8B}" name="Colonne4369"/>
    <tableColumn id="4378" xr3:uid="{270620E1-F88A-4CAD-B470-C151CCCCBC20}" name="Colonne4370"/>
    <tableColumn id="4379" xr3:uid="{DDF4BFB7-AC8D-45F7-8E71-322B114ABAE6}" name="Colonne4371"/>
    <tableColumn id="4380" xr3:uid="{301D4D85-4C4D-4D0E-A034-EBE2FF6B2918}" name="Colonne4372"/>
    <tableColumn id="4381" xr3:uid="{1C1DFB7C-99D2-468B-9F16-F6C1C8311AE5}" name="Colonne4373"/>
    <tableColumn id="4382" xr3:uid="{5AE86A90-09C4-4C4B-B84C-014F5CDF99D7}" name="Colonne4374"/>
    <tableColumn id="4383" xr3:uid="{22D6EE54-A77D-4AF9-B42F-40AEFA413205}" name="Colonne4375"/>
    <tableColumn id="4384" xr3:uid="{A9321E12-730A-426B-8E44-4B1423E2194B}" name="Colonne4376"/>
    <tableColumn id="4385" xr3:uid="{25AF6967-8E25-4EA6-830B-FE70CFBF165F}" name="Colonne4377"/>
    <tableColumn id="4386" xr3:uid="{1E632EEF-AF1C-48B0-905E-53DDFA83C617}" name="Colonne4378"/>
    <tableColumn id="4387" xr3:uid="{B0A9691D-B864-4BBA-9D86-CF366116B198}" name="Colonne4379"/>
    <tableColumn id="4388" xr3:uid="{8BD32AA2-E4FB-4A15-8C98-A1A2BFDC6563}" name="Colonne4380"/>
    <tableColumn id="4389" xr3:uid="{F085A474-C578-42E4-AE06-A4D80ADC4C4A}" name="Colonne4381"/>
    <tableColumn id="4390" xr3:uid="{A2893E38-8D41-4795-82B8-1E9705DBC4EF}" name="Colonne4382"/>
    <tableColumn id="4391" xr3:uid="{B8EEC3B6-4809-4390-B62A-36300DFAE053}" name="Colonne4383"/>
    <tableColumn id="4392" xr3:uid="{157806C2-8A33-4A31-B9F6-E95E9291876D}" name="Colonne4384"/>
    <tableColumn id="4393" xr3:uid="{8CF92E4A-1EC7-4969-B16F-0B0B29C755DE}" name="Colonne4385"/>
    <tableColumn id="4394" xr3:uid="{5CE61892-D3A1-468E-B385-6CA0434E75FF}" name="Colonne4386"/>
    <tableColumn id="4395" xr3:uid="{353321D7-C26A-415C-AC67-013D82024AF2}" name="Colonne4387"/>
    <tableColumn id="4396" xr3:uid="{3D9734A3-2191-4322-ABEF-7D231E030CB5}" name="Colonne4388"/>
    <tableColumn id="4397" xr3:uid="{BC268806-1FF7-409D-AFFB-C8D6B40D3864}" name="Colonne4389"/>
    <tableColumn id="4398" xr3:uid="{7151AE2C-2641-41EA-B46C-E6B0319F59CA}" name="Colonne4390"/>
    <tableColumn id="4399" xr3:uid="{4D016441-BDB9-4EF4-AA89-E82E08D15125}" name="Colonne4391"/>
    <tableColumn id="4400" xr3:uid="{1C6E99FD-B7FB-4A43-A557-5E779F377B8B}" name="Colonne4392"/>
    <tableColumn id="4401" xr3:uid="{43C0FDCB-9412-4ECE-AA62-AC485C3177B5}" name="Colonne4393"/>
    <tableColumn id="4402" xr3:uid="{AA90B6A4-C779-4508-9172-5945FE82BE2C}" name="Colonne4394"/>
    <tableColumn id="4403" xr3:uid="{BFB2CDEA-7DF5-42D9-A607-3F1C7F5A0CA5}" name="Colonne4395"/>
    <tableColumn id="4404" xr3:uid="{202C8DD4-73A9-4649-94A3-2833778AAC7F}" name="Colonne4396"/>
    <tableColumn id="4405" xr3:uid="{656CEC0A-74F0-49DD-820D-4BAE63659E7F}" name="Colonne4397"/>
    <tableColumn id="4406" xr3:uid="{232A20D7-D94A-4B1F-9835-44A04CBD982E}" name="Colonne4398"/>
    <tableColumn id="4407" xr3:uid="{FBC92644-5E5F-491E-8418-F7A1CA1CCC44}" name="Colonne4399"/>
    <tableColumn id="4408" xr3:uid="{995147F8-4D3E-4EB4-AA79-30F1DD0C7B14}" name="Colonne4400"/>
    <tableColumn id="4409" xr3:uid="{EE2831E5-B246-4D7D-823F-17E8E15DB339}" name="Colonne4401"/>
    <tableColumn id="4410" xr3:uid="{47AD03C8-A82D-4E8B-9140-20DA9C796CF6}" name="Colonne4402"/>
    <tableColumn id="4411" xr3:uid="{F4080D0D-C63E-438A-8905-057AA73267AC}" name="Colonne4403"/>
    <tableColumn id="4412" xr3:uid="{336B03AB-F6E2-484B-9A46-7D1945F5CA62}" name="Colonne4404"/>
    <tableColumn id="4413" xr3:uid="{F87F2DB0-07C3-4A10-924A-E3B6A38CB5BB}" name="Colonne4405"/>
    <tableColumn id="4414" xr3:uid="{D02C9EEF-5C97-46CF-8C33-BC333CDC3147}" name="Colonne4406"/>
    <tableColumn id="4415" xr3:uid="{F43B16D6-682E-4D38-B545-347C3720656E}" name="Colonne4407"/>
    <tableColumn id="4416" xr3:uid="{B738B369-4F07-4E4B-846F-AA3288049B43}" name="Colonne4408"/>
    <tableColumn id="4417" xr3:uid="{A81B103D-E91C-49C5-999E-321D683FEF66}" name="Colonne4409"/>
    <tableColumn id="4418" xr3:uid="{534E146C-7832-4E04-B233-7A40F600F74C}" name="Colonne4410"/>
    <tableColumn id="4419" xr3:uid="{FC9B2FBB-2F74-443F-82EC-FDAFA6D07F18}" name="Colonne4411"/>
    <tableColumn id="4420" xr3:uid="{4CF87FE0-C603-4EC4-AA69-DE7003F518D2}" name="Colonne4412"/>
    <tableColumn id="4421" xr3:uid="{9C48E382-E3B3-4221-B647-976A5E256E18}" name="Colonne4413"/>
    <tableColumn id="4422" xr3:uid="{0865CBE8-4F02-483E-9742-8FD9B34B57E9}" name="Colonne4414"/>
    <tableColumn id="4423" xr3:uid="{D94DDD76-F0D5-4A5A-BFCF-660FD322AF4B}" name="Colonne4415"/>
    <tableColumn id="4424" xr3:uid="{282BC8C4-7C0E-4225-B523-5E5DC11D4C2F}" name="Colonne4416"/>
    <tableColumn id="4425" xr3:uid="{AB0D15DF-0791-43CF-A8F8-ED3D2BEC33AE}" name="Colonne4417"/>
    <tableColumn id="4426" xr3:uid="{FD253288-21F4-4D35-A53F-E5FADC0F1898}" name="Colonne4418"/>
    <tableColumn id="4427" xr3:uid="{D651DB32-ECCE-4761-B776-91C1C1342343}" name="Colonne4419"/>
    <tableColumn id="4428" xr3:uid="{859BED31-8BF6-4FEF-BF90-F887E9825D3A}" name="Colonne4420"/>
    <tableColumn id="4429" xr3:uid="{1DE8BE4E-AD4A-482D-965F-1266742FC407}" name="Colonne4421"/>
    <tableColumn id="4430" xr3:uid="{BF7A51DF-8130-433A-AAA4-1034B5DA87CE}" name="Colonne4422"/>
    <tableColumn id="4431" xr3:uid="{62A43152-20F8-41D7-899A-7C60515ACBDE}" name="Colonne4423"/>
    <tableColumn id="4432" xr3:uid="{073CF8AA-7FD0-4C8D-AAF2-C348456EF763}" name="Colonne4424"/>
    <tableColumn id="4433" xr3:uid="{DE60B07B-5A9A-4A2D-ADAC-84A301F1B77C}" name="Colonne4425"/>
    <tableColumn id="4434" xr3:uid="{BD97EE41-19F9-4B14-AA46-DB394D13C0DF}" name="Colonne4426"/>
    <tableColumn id="4435" xr3:uid="{990167A2-BE87-4755-A188-6795CEC193D3}" name="Colonne4427"/>
    <tableColumn id="4436" xr3:uid="{31C6323D-CDC4-45B9-8A67-2CE272DA57F8}" name="Colonne4428"/>
    <tableColumn id="4437" xr3:uid="{0D948D8B-A88C-4E4D-9C02-8591320FDF26}" name="Colonne4429"/>
    <tableColumn id="4438" xr3:uid="{2CEDCE0D-11BE-4480-89B6-C3E5CE986F78}" name="Colonne4430"/>
    <tableColumn id="4439" xr3:uid="{59B9A834-8B07-4620-838F-4996BBADAE68}" name="Colonne4431"/>
    <tableColumn id="4440" xr3:uid="{AB9CBAC5-C656-49C5-95C9-BC8BCB3BAC8D}" name="Colonne4432"/>
    <tableColumn id="4441" xr3:uid="{F9A9E003-CB96-4229-BD7B-6AD8A8CC14B0}" name="Colonne4433"/>
    <tableColumn id="4442" xr3:uid="{659A4F25-1EF2-4E28-81E8-0C6B2C867FC6}" name="Colonne4434"/>
    <tableColumn id="4443" xr3:uid="{E6A4C6B9-93D6-4933-9E5A-E13AFEFD1806}" name="Colonne4435"/>
    <tableColumn id="4444" xr3:uid="{E6FDEF34-5133-4C8D-B9D1-6C9C2C692C48}" name="Colonne4436"/>
    <tableColumn id="4445" xr3:uid="{BAF2CD42-CE31-48D6-959C-FCBBA4AF8C58}" name="Colonne4437"/>
    <tableColumn id="4446" xr3:uid="{774999B4-779E-4E48-B5B5-E0BD32915243}" name="Colonne4438"/>
    <tableColumn id="4447" xr3:uid="{288C29B6-F651-42E9-8B73-49679EA58894}" name="Colonne4439"/>
    <tableColumn id="4448" xr3:uid="{FED394AC-2EDC-40F8-85B2-4051579EF355}" name="Colonne4440"/>
    <tableColumn id="4449" xr3:uid="{B4B7F757-5D11-44E9-BB73-5334F02AA8F6}" name="Colonne4441"/>
    <tableColumn id="4450" xr3:uid="{522F512B-C245-4B4F-A0E8-39E3BCFF47BB}" name="Colonne4442"/>
    <tableColumn id="4451" xr3:uid="{87DB0535-30D4-4776-AB6F-9811DD454617}" name="Colonne4443"/>
    <tableColumn id="4452" xr3:uid="{F1BF457C-EC0B-4F5E-A4F4-0D09DC150615}" name="Colonne4444"/>
    <tableColumn id="4453" xr3:uid="{B01CCC64-72A8-4C90-8CA7-780E52DEFF42}" name="Colonne4445"/>
    <tableColumn id="4454" xr3:uid="{A71E4F0D-A543-40C2-94B4-323DBC1FAAC7}" name="Colonne4446"/>
    <tableColumn id="4455" xr3:uid="{4076FAFD-CA52-4ACA-B59F-B41F9B0E6C85}" name="Colonne4447"/>
    <tableColumn id="4456" xr3:uid="{BDDB07BF-E689-4106-934C-1C8A201A9B5E}" name="Colonne4448"/>
    <tableColumn id="4457" xr3:uid="{574D212F-D1DD-40FC-B32F-6537094A7CE2}" name="Colonne4449"/>
    <tableColumn id="4458" xr3:uid="{08A91B36-D69F-4B63-B5D3-28BA0FD509E5}" name="Colonne4450"/>
    <tableColumn id="4459" xr3:uid="{23CE2595-5AA3-4300-927D-430F4F80EBBB}" name="Colonne4451"/>
    <tableColumn id="4460" xr3:uid="{B7EA80A0-85E0-4273-80FD-3D6B4D828F92}" name="Colonne4452"/>
    <tableColumn id="4461" xr3:uid="{8F69D033-4110-4A9E-BF33-69CBF21C0153}" name="Colonne4453"/>
    <tableColumn id="4462" xr3:uid="{1876595A-938B-425E-A440-8EC9ED577A68}" name="Colonne4454"/>
    <tableColumn id="4463" xr3:uid="{C26E3453-964D-43A0-9838-D1C984F6696A}" name="Colonne4455"/>
    <tableColumn id="4464" xr3:uid="{DF98DFFB-6355-4C46-96AE-35EA9B3786F1}" name="Colonne4456"/>
    <tableColumn id="4465" xr3:uid="{5C5D0DE7-DC0C-45B6-AB5C-8F498E077AA1}" name="Colonne4457"/>
    <tableColumn id="4466" xr3:uid="{C86547DF-A3A3-4691-9AED-638F9EDB1655}" name="Colonne4458"/>
    <tableColumn id="4467" xr3:uid="{3B19DD9E-DA19-4C8F-987A-B5FEFF306889}" name="Colonne4459"/>
    <tableColumn id="4468" xr3:uid="{A5CE2A74-CDF9-4692-A19D-032CF57FA2C2}" name="Colonne4460"/>
    <tableColumn id="4469" xr3:uid="{A81C11A2-4217-4505-9B85-BD1B7E888D56}" name="Colonne4461"/>
    <tableColumn id="4470" xr3:uid="{3FD3D49E-F9C4-44E3-B7A7-06EC9709FF95}" name="Colonne4462"/>
    <tableColumn id="4471" xr3:uid="{E7EE2797-1826-4CDB-85B7-68E99A2824C6}" name="Colonne4463"/>
    <tableColumn id="4472" xr3:uid="{C5BC4A48-B5CB-4420-9386-90476D4ADE7F}" name="Colonne4464"/>
    <tableColumn id="4473" xr3:uid="{DC310BCC-0E46-4A49-B092-80A5F6E798D5}" name="Colonne4465"/>
    <tableColumn id="4474" xr3:uid="{9DB623D7-E0F3-467C-A5F7-AF50A53DC063}" name="Colonne4466"/>
    <tableColumn id="4475" xr3:uid="{BFF5AC7B-15BA-479E-9275-3435735B8940}" name="Colonne4467"/>
    <tableColumn id="4476" xr3:uid="{22C57715-5F1C-4E14-AEEF-63191CE9F05A}" name="Colonne4468"/>
    <tableColumn id="4477" xr3:uid="{8F7DC0CD-4691-4A20-9248-AA4760B30B7E}" name="Colonne4469"/>
    <tableColumn id="4478" xr3:uid="{2BDA5C4F-27DB-4543-93C0-FD31B953B095}" name="Colonne4470"/>
    <tableColumn id="4479" xr3:uid="{D9AC8EFC-7BD7-4FD9-9975-CC3BB69FCA64}" name="Colonne4471"/>
    <tableColumn id="4480" xr3:uid="{BEC26B17-FFE5-47DF-841D-E402F29BE751}" name="Colonne4472"/>
    <tableColumn id="4481" xr3:uid="{F0691A7A-0ADF-40DF-B268-67E16CCBA575}" name="Colonne4473"/>
    <tableColumn id="4482" xr3:uid="{C82F0DD4-4D5F-40AA-AED2-E4D36291DCF5}" name="Colonne4474"/>
    <tableColumn id="4483" xr3:uid="{39BA1D39-3840-4B7F-B908-AF527CD53252}" name="Colonne4475"/>
    <tableColumn id="4484" xr3:uid="{639DA55A-3A1F-4B84-86B2-B4A351F2DAD2}" name="Colonne4476"/>
    <tableColumn id="4485" xr3:uid="{11BAD15D-06E8-4AFB-BB7E-6C388DD5DAB4}" name="Colonne4477"/>
    <tableColumn id="4486" xr3:uid="{DC5A8A34-2A50-4903-8FB8-3B78CC8FA008}" name="Colonne4478"/>
    <tableColumn id="4487" xr3:uid="{99CBD2EF-6B77-45BF-95ED-50F7E0ECE334}" name="Colonne4479"/>
    <tableColumn id="4488" xr3:uid="{2CACDCB4-5E09-44F2-9E4D-020B75DBD116}" name="Colonne4480"/>
    <tableColumn id="4489" xr3:uid="{2B9A6674-A885-4576-BCF3-7E966F12458E}" name="Colonne4481"/>
    <tableColumn id="4490" xr3:uid="{73F26ABB-B149-4E9E-A3AE-C4B2AEFEE87F}" name="Colonne4482"/>
    <tableColumn id="4491" xr3:uid="{455FB785-6D4D-4F21-A878-2CA958ACE36B}" name="Colonne4483"/>
    <tableColumn id="4492" xr3:uid="{8222BEE8-627B-4515-A0FD-BDBEC75F459C}" name="Colonne4484"/>
    <tableColumn id="4493" xr3:uid="{2549321C-D082-40F6-BA53-58962541377B}" name="Colonne4485"/>
    <tableColumn id="4494" xr3:uid="{3803D186-A7FF-4EA9-8685-8408B2F21AB2}" name="Colonne4486"/>
    <tableColumn id="4495" xr3:uid="{FB99D0F5-CBAB-40AC-94B2-9AAA16216596}" name="Colonne4487"/>
    <tableColumn id="4496" xr3:uid="{61872C92-172E-4DFF-8FCF-E091AC9EC858}" name="Colonne4488"/>
    <tableColumn id="4497" xr3:uid="{3402AFCC-1A76-4F14-9AB6-DC2B985922F0}" name="Colonne4489"/>
    <tableColumn id="4498" xr3:uid="{9DB34B55-EDBB-45E1-8A7B-FEDE43661BFB}" name="Colonne4490"/>
    <tableColumn id="4499" xr3:uid="{A8D95937-B659-4481-9072-F45977937714}" name="Colonne4491"/>
    <tableColumn id="4500" xr3:uid="{97F05CCA-78ED-4ED1-BF40-2E7128729B6F}" name="Colonne4492"/>
    <tableColumn id="4501" xr3:uid="{ECBBFB3D-0132-4560-A916-A6E65F8B7D2C}" name="Colonne4493"/>
    <tableColumn id="4502" xr3:uid="{181AA637-4F9C-433C-992F-3979F479F5EF}" name="Colonne4494"/>
    <tableColumn id="4503" xr3:uid="{22ED4F4C-1B14-4D10-B443-A1896D37B4D6}" name="Colonne4495"/>
    <tableColumn id="4504" xr3:uid="{22C8F5D2-26C4-4BFE-9DF2-7186ECCE8B93}" name="Colonne4496"/>
    <tableColumn id="4505" xr3:uid="{9A010611-6323-4C9B-A6CC-20679304DF1B}" name="Colonne4497"/>
    <tableColumn id="4506" xr3:uid="{65FCBBE1-7CC4-44FE-A051-8F5222636406}" name="Colonne4498"/>
    <tableColumn id="4507" xr3:uid="{FB2D717A-FADF-4E2A-AD28-601538349181}" name="Colonne4499"/>
    <tableColumn id="4508" xr3:uid="{C3C66D35-E52B-48D6-A18A-2E1AD51517C8}" name="Colonne4500"/>
    <tableColumn id="4509" xr3:uid="{509F191B-6BEC-4701-BE3C-3405B36FBF78}" name="Colonne4501"/>
    <tableColumn id="4510" xr3:uid="{11823B1C-BFF5-4A33-9DEA-B45557E8FB14}" name="Colonne4502"/>
    <tableColumn id="4511" xr3:uid="{3E181944-E805-47AE-83CA-495A634699DB}" name="Colonne4503"/>
    <tableColumn id="4512" xr3:uid="{0B5098F5-BFE6-4A93-AC0E-A56FBB80A151}" name="Colonne4504"/>
    <tableColumn id="4513" xr3:uid="{9FE922B6-6557-4E00-8EF6-2CE9230F2063}" name="Colonne4505"/>
    <tableColumn id="4514" xr3:uid="{B2230E08-D710-46E5-B507-E8AB4FC6BC04}" name="Colonne4506"/>
    <tableColumn id="4515" xr3:uid="{456891DF-351E-4C47-8277-F8DAD987C09F}" name="Colonne4507"/>
    <tableColumn id="4516" xr3:uid="{6D22A323-7F94-4D14-8D9D-3BA02F00E19D}" name="Colonne4508"/>
    <tableColumn id="4517" xr3:uid="{81EBC212-B55A-4ECA-9152-A32038C071EF}" name="Colonne4509"/>
    <tableColumn id="4518" xr3:uid="{CA95007D-9F2D-45BC-93F0-6D2B2251FE80}" name="Colonne4510"/>
    <tableColumn id="4519" xr3:uid="{E83F1C6B-6A39-4FA1-81F9-449FD1083772}" name="Colonne4511"/>
    <tableColumn id="4520" xr3:uid="{97A7FB86-A1F2-40F1-9C9C-6D7014BE8C3D}" name="Colonne4512"/>
    <tableColumn id="4521" xr3:uid="{E2A88E0E-E1A5-47E7-8B24-80F0C66CD71D}" name="Colonne4513"/>
    <tableColumn id="4522" xr3:uid="{07D63594-9A10-4A3E-881C-9878C939DADB}" name="Colonne4514"/>
    <tableColumn id="4523" xr3:uid="{FAABF816-E5A6-4DF9-9486-F5076A2B26C7}" name="Colonne4515"/>
    <tableColumn id="4524" xr3:uid="{505F5D18-E8D4-40CF-B9ED-9C2B34D45A2F}" name="Colonne4516"/>
    <tableColumn id="4525" xr3:uid="{4FEC437C-82D7-4759-B53D-C69C9873604D}" name="Colonne4517"/>
    <tableColumn id="4526" xr3:uid="{95146916-6CF2-4B38-92D9-3F659652D182}" name="Colonne4518"/>
    <tableColumn id="4527" xr3:uid="{AF8CEBC1-C5C6-4AD2-BC66-A8580C728DB1}" name="Colonne4519"/>
    <tableColumn id="4528" xr3:uid="{7A88EB58-E001-4E18-A5D4-8F1969D456B3}" name="Colonne4520"/>
    <tableColumn id="4529" xr3:uid="{31AF77C6-858A-4A20-A3DC-1F37179ABCC4}" name="Colonne4521"/>
    <tableColumn id="4530" xr3:uid="{95187A21-24DD-4C28-8F82-7A9D8D7EEE21}" name="Colonne4522"/>
    <tableColumn id="4531" xr3:uid="{E5617216-95FD-43EB-A242-83572D20ECF0}" name="Colonne4523"/>
    <tableColumn id="4532" xr3:uid="{56950EE7-6DFC-4F2B-8B46-93E4005B76D6}" name="Colonne4524"/>
    <tableColumn id="4533" xr3:uid="{3822E1FE-B02A-4005-83B4-62BBB16628BB}" name="Colonne4525"/>
    <tableColumn id="4534" xr3:uid="{8940E8CA-61BC-472C-9904-B990D4FE14CF}" name="Colonne4526"/>
    <tableColumn id="4535" xr3:uid="{4AB0D256-467F-42D5-AB91-5D4A5E98974E}" name="Colonne4527"/>
    <tableColumn id="4536" xr3:uid="{1A8E6F78-1719-454E-A43D-E23DA117DBDC}" name="Colonne4528"/>
    <tableColumn id="4537" xr3:uid="{693ED746-8B44-410E-AEA8-859911EF7619}" name="Colonne4529"/>
    <tableColumn id="4538" xr3:uid="{F67F9598-05D4-450A-9B1C-8BE81B335BF6}" name="Colonne4530"/>
    <tableColumn id="4539" xr3:uid="{BEB21F35-A9AB-4C8E-B79A-EA9A4AD5BB16}" name="Colonne4531"/>
    <tableColumn id="4540" xr3:uid="{89686854-6977-4262-B8B0-24AD5C93B011}" name="Colonne4532"/>
    <tableColumn id="4541" xr3:uid="{476695E4-FE8F-4074-B37B-5C9AA59CA493}" name="Colonne4533"/>
    <tableColumn id="4542" xr3:uid="{AE44C5F7-6CA8-4741-BE44-C138D29752B2}" name="Colonne4534"/>
    <tableColumn id="4543" xr3:uid="{89B3DABD-C11A-458A-8273-A2D6B23642A2}" name="Colonne4535"/>
    <tableColumn id="4544" xr3:uid="{7C438132-F970-44A9-BD34-884D98C574E2}" name="Colonne4536"/>
    <tableColumn id="4545" xr3:uid="{4006350A-E902-44FB-854A-379145520A3D}" name="Colonne4537"/>
    <tableColumn id="4546" xr3:uid="{AC2A3DB7-BA85-424E-8F23-771734966F6C}" name="Colonne4538"/>
    <tableColumn id="4547" xr3:uid="{BEA0B009-770C-4E9E-AA76-ABF3486A3E11}" name="Colonne4539"/>
    <tableColumn id="4548" xr3:uid="{192D90A3-FE50-47AB-B7A3-4CC88F052804}" name="Colonne4540"/>
    <tableColumn id="4549" xr3:uid="{249274CC-31FC-4E50-89FD-4729A2253B82}" name="Colonne4541"/>
    <tableColumn id="4550" xr3:uid="{E7881896-0D40-44DC-BE32-A7393B6E9C04}" name="Colonne4542"/>
    <tableColumn id="4551" xr3:uid="{FD0781C7-BF06-4295-9274-DC3B5B361FB6}" name="Colonne4543"/>
    <tableColumn id="4552" xr3:uid="{CEFC485B-7248-4F6C-BCEC-D7E59E1CD6C0}" name="Colonne4544"/>
    <tableColumn id="4553" xr3:uid="{FDC78C5F-1AFD-4C11-BB55-C075EEFC2587}" name="Colonne4545"/>
    <tableColumn id="4554" xr3:uid="{D9929B05-3E31-4A53-B0ED-45AC3130B2A4}" name="Colonne4546"/>
    <tableColumn id="4555" xr3:uid="{0AD8ADB5-561B-49F1-BBA4-241CCD3F1B19}" name="Colonne4547"/>
    <tableColumn id="4556" xr3:uid="{79819264-B048-49E2-82E5-82330215A520}" name="Colonne4548"/>
    <tableColumn id="4557" xr3:uid="{16C9452F-4A92-44B7-BA2D-4994C2FCDF25}" name="Colonne4549"/>
    <tableColumn id="4558" xr3:uid="{584A98FF-8FE3-4ABE-8370-76C798189F27}" name="Colonne4550"/>
    <tableColumn id="4559" xr3:uid="{57A716B8-A750-44EA-A9B3-E4BB9907764A}" name="Colonne4551"/>
    <tableColumn id="4560" xr3:uid="{C6B974E3-473E-45E1-A3BB-855D3CC6A725}" name="Colonne4552"/>
    <tableColumn id="4561" xr3:uid="{73FFA3C4-6D46-4834-B40B-A667DE609300}" name="Colonne4553"/>
    <tableColumn id="4562" xr3:uid="{C5E82ED5-26A2-48EE-9D12-8E38AE6CC768}" name="Colonne4554"/>
    <tableColumn id="4563" xr3:uid="{9EECBE04-D80B-49C3-855F-B8D99EC59C92}" name="Colonne4555"/>
    <tableColumn id="4564" xr3:uid="{F27035DA-387A-4F3A-B355-AC9072D1F76A}" name="Colonne4556"/>
    <tableColumn id="4565" xr3:uid="{D1DBCD52-0E11-4DBE-9FA4-CECEEB860B71}" name="Colonne4557"/>
    <tableColumn id="4566" xr3:uid="{9090A3ED-1F6D-47DF-A186-A6025527F0F3}" name="Colonne4558"/>
    <tableColumn id="4567" xr3:uid="{B48AFE54-DF76-44FE-9BB3-80699CA71904}" name="Colonne4559"/>
    <tableColumn id="4568" xr3:uid="{389C8AEB-3496-4AFA-ADAF-0954CCEE7F5D}" name="Colonne4560"/>
    <tableColumn id="4569" xr3:uid="{087B5F90-2CEB-46E3-948D-43789F896F7D}" name="Colonne4561"/>
    <tableColumn id="4570" xr3:uid="{022009F0-781E-4DA8-BC55-57533C6F14E7}" name="Colonne4562"/>
    <tableColumn id="4571" xr3:uid="{F3066462-F523-40C9-9DA4-19A5F71D1C6C}" name="Colonne4563"/>
    <tableColumn id="4572" xr3:uid="{31DD4532-605B-4EE7-82F0-5FE2AEEE7A34}" name="Colonne4564"/>
    <tableColumn id="4573" xr3:uid="{85C2014F-BB96-4167-9E60-C72CBDDD7B2E}" name="Colonne4565"/>
    <tableColumn id="4574" xr3:uid="{F35A3452-9128-427A-BE31-573E23D7CC9A}" name="Colonne4566"/>
    <tableColumn id="4575" xr3:uid="{646A1D9E-A515-4744-851C-989234541EF0}" name="Colonne4567"/>
    <tableColumn id="4576" xr3:uid="{571A884C-043D-40A7-A08A-521FC2E47CA3}" name="Colonne4568"/>
    <tableColumn id="4577" xr3:uid="{E0236181-9343-4BB2-8FA4-A3D6F5E1F311}" name="Colonne4569"/>
    <tableColumn id="4578" xr3:uid="{9E916693-F5EB-459A-8198-63F6780D5BCD}" name="Colonne4570"/>
    <tableColumn id="4579" xr3:uid="{27550722-DB64-4C2A-9F71-ECDD8350F20B}" name="Colonne4571"/>
    <tableColumn id="4580" xr3:uid="{4DE23625-B091-4BF9-8872-21E259BB2A52}" name="Colonne4572"/>
    <tableColumn id="4581" xr3:uid="{6C27A8D2-9B13-4A86-A91B-F3F469D09479}" name="Colonne4573"/>
    <tableColumn id="4582" xr3:uid="{4E41B277-06D4-4688-B458-C650D6D89AA4}" name="Colonne4574"/>
    <tableColumn id="4583" xr3:uid="{A0E16A84-51D9-4724-A50A-5ECEC8138489}" name="Colonne4575"/>
    <tableColumn id="4584" xr3:uid="{DFE1A8FB-92D5-4D6D-93A6-DB56EFEECBC2}" name="Colonne4576"/>
    <tableColumn id="4585" xr3:uid="{59D88499-4D31-4A56-A62A-6A0AF27FB1BA}" name="Colonne4577"/>
    <tableColumn id="4586" xr3:uid="{30665F98-D547-4205-B507-7E8C14710905}" name="Colonne4578"/>
    <tableColumn id="4587" xr3:uid="{BA68842F-7F0E-428E-99DF-79C8685B8F65}" name="Colonne4579"/>
    <tableColumn id="4588" xr3:uid="{7DE462C0-2DB1-4605-98E8-19C5B428F335}" name="Colonne4580"/>
    <tableColumn id="4589" xr3:uid="{EE6D6831-0E59-4385-B4DF-76D246977F3F}" name="Colonne4581"/>
    <tableColumn id="4590" xr3:uid="{8ADCB746-D15E-4EF9-A10C-9B54B3C75A53}" name="Colonne4582"/>
    <tableColumn id="4591" xr3:uid="{4E30CBF9-4156-4483-81BF-FB140831A25E}" name="Colonne4583"/>
    <tableColumn id="4592" xr3:uid="{9EA7E129-A52E-493A-9B10-6060968E4281}" name="Colonne4584"/>
    <tableColumn id="4593" xr3:uid="{0132194A-B739-46D1-BA9F-A89426C4E49A}" name="Colonne4585"/>
    <tableColumn id="4594" xr3:uid="{62F5CFF9-CCC7-4E25-8F8D-CC26466E6724}" name="Colonne4586"/>
    <tableColumn id="4595" xr3:uid="{975AE212-86ED-4A15-A841-73A40BFDC0C2}" name="Colonne4587"/>
    <tableColumn id="4596" xr3:uid="{44A50BCD-B481-45D3-9957-90D80A6B90B3}" name="Colonne4588"/>
    <tableColumn id="4597" xr3:uid="{CC48D6F1-9228-4A8D-A41A-DAC0B680DD33}" name="Colonne4589"/>
    <tableColumn id="4598" xr3:uid="{3C9204BB-D097-4EC6-9759-45F53E3BC7F6}" name="Colonne4590"/>
    <tableColumn id="4599" xr3:uid="{61F4C799-D294-4393-B984-10165D5E1813}" name="Colonne4591"/>
    <tableColumn id="4600" xr3:uid="{4AD957AA-FFCA-4BE1-8FFF-FD5C7A18FC9A}" name="Colonne4592"/>
    <tableColumn id="4601" xr3:uid="{86D8712C-BAE9-4533-B35C-4A2839DF50D0}" name="Colonne4593"/>
    <tableColumn id="4602" xr3:uid="{CFFAFE15-341E-4881-B78F-7E9739816451}" name="Colonne4594"/>
    <tableColumn id="4603" xr3:uid="{B611BA2C-2D01-4ABC-987C-FC5F6CF15164}" name="Colonne4595"/>
    <tableColumn id="4604" xr3:uid="{3047D7A5-27AA-4A1C-B797-CD457BA9A5C2}" name="Colonne4596"/>
    <tableColumn id="4605" xr3:uid="{EDF40CB9-1FCA-4548-9EAA-4DFCD6F1A56F}" name="Colonne4597"/>
    <tableColumn id="4606" xr3:uid="{C5D382A8-2999-43CD-A862-263FD0476007}" name="Colonne4598"/>
    <tableColumn id="4607" xr3:uid="{C8E102A2-BCE4-4E86-A054-F9AD668EE8FC}" name="Colonne4599"/>
    <tableColumn id="4608" xr3:uid="{7F2C0F3C-7A1B-4A2A-8C7D-E129AA745715}" name="Colonne4600"/>
    <tableColumn id="4609" xr3:uid="{7F062AB1-0D9C-43EF-925F-E941E9E490CE}" name="Colonne4601"/>
    <tableColumn id="4610" xr3:uid="{5DB37821-E25D-4041-9663-8630BEBACBD2}" name="Colonne4602"/>
    <tableColumn id="4611" xr3:uid="{C5321BE7-3F22-4A40-BCD2-76EB4ECECA5A}" name="Colonne4603"/>
    <tableColumn id="4612" xr3:uid="{6E367587-707B-4DF9-B006-644D28D5BE51}" name="Colonne4604"/>
    <tableColumn id="4613" xr3:uid="{A205C948-5C88-45C7-B213-C868BC2168CA}" name="Colonne4605"/>
    <tableColumn id="4614" xr3:uid="{074FD47D-FC88-48BD-B55E-97D19F634AC3}" name="Colonne4606"/>
    <tableColumn id="4615" xr3:uid="{3D6AD684-23E9-48C6-829A-8C4183A2E93E}" name="Colonne4607"/>
    <tableColumn id="4616" xr3:uid="{462803C8-8654-4245-84A4-95901DEFE073}" name="Colonne4608"/>
    <tableColumn id="4617" xr3:uid="{BEC6A9A1-EEA6-4060-88F0-5819284E1C7E}" name="Colonne4609"/>
    <tableColumn id="4618" xr3:uid="{D7038ADD-F526-4D49-8D2A-F14379D9A747}" name="Colonne4610"/>
    <tableColumn id="4619" xr3:uid="{F0608B2B-3039-4021-BBD6-419DDCD89EFE}" name="Colonne4611"/>
    <tableColumn id="4620" xr3:uid="{59E6817A-B2AA-45E6-AC8C-338D79E0A67E}" name="Colonne4612"/>
    <tableColumn id="4621" xr3:uid="{915489C5-3936-4D0F-B11D-88CA691884EA}" name="Colonne4613"/>
    <tableColumn id="4622" xr3:uid="{7EABEAE8-D16D-49AB-97F4-923A4056B3FF}" name="Colonne4614"/>
    <tableColumn id="4623" xr3:uid="{D1ADEE9E-251A-49EC-8FA7-CC9927E818EF}" name="Colonne4615"/>
    <tableColumn id="4624" xr3:uid="{D464505D-2331-4907-B06D-5783AAC3A709}" name="Colonne4616"/>
    <tableColumn id="4625" xr3:uid="{FD0A8CA1-1FDF-48EB-B9C1-6332685EEE99}" name="Colonne4617"/>
    <tableColumn id="4626" xr3:uid="{D49C8CEB-3712-46F2-AD3F-91C7DDDDB418}" name="Colonne4618"/>
    <tableColumn id="4627" xr3:uid="{3314189E-7696-4D4F-913C-AEFEB6E60938}" name="Colonne4619"/>
    <tableColumn id="4628" xr3:uid="{DDFB0993-E02A-415E-85B5-60475EBD3868}" name="Colonne4620"/>
    <tableColumn id="4629" xr3:uid="{116B9E95-8637-424B-B409-D1A17231D473}" name="Colonne4621"/>
    <tableColumn id="4630" xr3:uid="{C5C42053-2D01-498B-9170-F0A55FB45B37}" name="Colonne4622"/>
    <tableColumn id="4631" xr3:uid="{D202640B-9501-4D97-96E7-50BF4CAF41E0}" name="Colonne4623"/>
    <tableColumn id="4632" xr3:uid="{C056BE79-781E-4B57-8822-D062896E8046}" name="Colonne4624"/>
    <tableColumn id="4633" xr3:uid="{5A9CF28B-F2D9-49E6-BBCB-3B29EC6C4E21}" name="Colonne4625"/>
    <tableColumn id="4634" xr3:uid="{C43965EF-B7E2-4809-A847-8D6FEC051224}" name="Colonne4626"/>
    <tableColumn id="4635" xr3:uid="{3667BC64-4555-478A-8E21-82BE246E91AC}" name="Colonne4627"/>
    <tableColumn id="4636" xr3:uid="{BDE5E0BA-6F0E-48A0-8E24-99841E4F4548}" name="Colonne4628"/>
    <tableColumn id="4637" xr3:uid="{04E9CE10-F167-4B42-90FD-D2B10C74C693}" name="Colonne4629"/>
    <tableColumn id="4638" xr3:uid="{4387D7A4-09D2-4D5F-A7BF-FFEDB4094EEA}" name="Colonne4630"/>
    <tableColumn id="4639" xr3:uid="{BB47138D-E471-409D-ADC2-04AAEFE322C6}" name="Colonne4631"/>
    <tableColumn id="4640" xr3:uid="{65A86273-F997-43BC-BDBB-E35B08DA2E89}" name="Colonne4632"/>
    <tableColumn id="4641" xr3:uid="{A25EBD2C-24AE-4FCD-8A34-CED9906FE077}" name="Colonne4633"/>
    <tableColumn id="4642" xr3:uid="{AA244642-DC59-4B25-B264-EBCC6622354D}" name="Colonne4634"/>
    <tableColumn id="4643" xr3:uid="{85516FF3-AB71-404E-888F-88C48BB29D89}" name="Colonne4635"/>
    <tableColumn id="4644" xr3:uid="{B30DFA36-7146-43A6-BEC3-5E8ECC495A1D}" name="Colonne4636"/>
    <tableColumn id="4645" xr3:uid="{8800D804-FC9A-402A-827B-AE2D86155092}" name="Colonne4637"/>
    <tableColumn id="4646" xr3:uid="{B3A4E8D3-8E2D-4E2A-B636-4647C785303B}" name="Colonne4638"/>
    <tableColumn id="4647" xr3:uid="{E9BA8F50-03BE-47DC-9023-18B4EA8C5955}" name="Colonne4639"/>
    <tableColumn id="4648" xr3:uid="{989358DF-D9DC-4187-9275-6CD210810FF2}" name="Colonne4640"/>
    <tableColumn id="4649" xr3:uid="{FBB12C77-0A05-4CD3-AEF5-F057E09EACD0}" name="Colonne4641"/>
    <tableColumn id="4650" xr3:uid="{D63C53D1-A29C-447A-85A2-B3CD9199A370}" name="Colonne4642"/>
    <tableColumn id="4651" xr3:uid="{57206494-6260-483E-B204-8FDEC6028C72}" name="Colonne4643"/>
    <tableColumn id="4652" xr3:uid="{7F2075AD-B392-4EAE-B417-266BDB50E372}" name="Colonne4644"/>
    <tableColumn id="4653" xr3:uid="{8A876D06-BF68-41D7-82A6-64D886B2D71D}" name="Colonne4645"/>
    <tableColumn id="4654" xr3:uid="{67F43118-3456-413C-8A0B-8DE4D61C529C}" name="Colonne4646"/>
    <tableColumn id="4655" xr3:uid="{9AD24E1B-3436-492F-98D1-048EC1EA4787}" name="Colonne4647"/>
    <tableColumn id="4656" xr3:uid="{3DEB2EDB-70AB-45DB-876C-ED5A1848607F}" name="Colonne4648"/>
    <tableColumn id="4657" xr3:uid="{60000533-C40D-457C-9BB6-BD4A3BFACEA0}" name="Colonne4649"/>
    <tableColumn id="4658" xr3:uid="{AB847E73-80EC-4DBD-BA85-35FD2B712C08}" name="Colonne4650"/>
    <tableColumn id="4659" xr3:uid="{F9B5F37B-4DAA-4827-89EE-61DD934C7AF9}" name="Colonne4651"/>
    <tableColumn id="4660" xr3:uid="{20E35FBB-E908-4153-906E-1C344CDFC331}" name="Colonne4652"/>
    <tableColumn id="4661" xr3:uid="{9699523C-3464-411B-9AF9-7405DD144395}" name="Colonne4653"/>
    <tableColumn id="4662" xr3:uid="{564F4EFE-8978-4200-BD59-4455B05945B0}" name="Colonne4654"/>
    <tableColumn id="4663" xr3:uid="{69D8FA1F-648B-49E4-8CE5-AA27EA994242}" name="Colonne4655"/>
    <tableColumn id="4664" xr3:uid="{702D4166-CE21-43DC-BF47-C12A52602AD8}" name="Colonne4656"/>
    <tableColumn id="4665" xr3:uid="{81BFF849-573A-4DB1-AF47-6820214E964B}" name="Colonne4657"/>
    <tableColumn id="4666" xr3:uid="{04314D5B-D815-437A-A6DC-84B1206F7718}" name="Colonne4658"/>
    <tableColumn id="4667" xr3:uid="{7A29BC2E-237F-48F4-B4A8-BC8F4FF27978}" name="Colonne4659"/>
    <tableColumn id="4668" xr3:uid="{D628B9F8-09CF-402B-A370-573110A67B43}" name="Colonne4660"/>
    <tableColumn id="4669" xr3:uid="{37624D72-C8FD-4F4C-9727-BC74845CABA9}" name="Colonne4661"/>
    <tableColumn id="4670" xr3:uid="{AA10F1BB-8989-4D2C-BE7D-B35F22315372}" name="Colonne4662"/>
    <tableColumn id="4671" xr3:uid="{1C126759-2FB8-41AD-98F7-E2025976ED66}" name="Colonne4663"/>
    <tableColumn id="4672" xr3:uid="{D8C88BEE-C698-4C0D-88DD-EFED182706D3}" name="Colonne4664"/>
    <tableColumn id="4673" xr3:uid="{B1A328ED-19EA-4936-9DC1-A1C1C2ED3F5E}" name="Colonne4665"/>
    <tableColumn id="4674" xr3:uid="{D26D5739-7540-409C-AF54-2827805033BE}" name="Colonne4666"/>
    <tableColumn id="4675" xr3:uid="{763C8AAB-75DE-4238-882A-FEA3DE63E612}" name="Colonne4667"/>
    <tableColumn id="4676" xr3:uid="{F9113C52-6BD0-4CF5-8602-45E6137EAEEF}" name="Colonne4668"/>
    <tableColumn id="4677" xr3:uid="{E0B8A984-ED96-4999-A36C-5B083EF7F1C5}" name="Colonne4669"/>
    <tableColumn id="4678" xr3:uid="{C31CA99F-EA7E-43FF-9931-CDFCB7323246}" name="Colonne4670"/>
    <tableColumn id="4679" xr3:uid="{706C4D98-779F-4250-B56F-9C3BF1087281}" name="Colonne4671"/>
    <tableColumn id="4680" xr3:uid="{9B0F19A7-B1FE-490B-9079-638036F547E9}" name="Colonne4672"/>
    <tableColumn id="4681" xr3:uid="{F7976916-4C26-43BD-BD31-A6A4E5A954E4}" name="Colonne4673"/>
    <tableColumn id="4682" xr3:uid="{C92897A1-4417-41D4-84F4-40378C0A22CF}" name="Colonne4674"/>
    <tableColumn id="4683" xr3:uid="{4033C064-CF24-4614-BDD3-72F1DEBD5741}" name="Colonne4675"/>
    <tableColumn id="4684" xr3:uid="{11357B53-F56A-4859-84C1-CB6D3B00A3AF}" name="Colonne4676"/>
    <tableColumn id="4685" xr3:uid="{06F3C69B-EC95-43C5-B9B8-57454226EC08}" name="Colonne4677"/>
    <tableColumn id="4686" xr3:uid="{403C3F5F-91FF-4058-9655-6EC88274EED3}" name="Colonne4678"/>
    <tableColumn id="4687" xr3:uid="{7373018A-9ABC-4028-86AC-233E100D4399}" name="Colonne4679"/>
    <tableColumn id="4688" xr3:uid="{2D682339-DE93-4398-AA9D-F263C97A2E4B}" name="Colonne4680"/>
    <tableColumn id="4689" xr3:uid="{78696550-382C-487C-8F70-B462B3619E2E}" name="Colonne4681"/>
    <tableColumn id="4690" xr3:uid="{3E465CE1-8D88-4FAB-A6B1-D1294A554EA6}" name="Colonne4682"/>
    <tableColumn id="4691" xr3:uid="{C6310908-7C00-40B0-8B89-A934717D7680}" name="Colonne4683"/>
    <tableColumn id="4692" xr3:uid="{B7B6A665-ED39-4567-AB3F-794AE24ED088}" name="Colonne4684"/>
    <tableColumn id="4693" xr3:uid="{A73DBCEA-5552-4E91-A3F3-56AA4CEC8D46}" name="Colonne4685"/>
    <tableColumn id="4694" xr3:uid="{6740A376-97D3-4321-A05A-6227692AE1B7}" name="Colonne4686"/>
    <tableColumn id="4695" xr3:uid="{2FC37F5D-7E4A-4E7E-82F6-10C3C11B0775}" name="Colonne4687"/>
    <tableColumn id="4696" xr3:uid="{B41C80AB-56B5-40E6-B4A6-7FA8B5F53ED2}" name="Colonne4688"/>
    <tableColumn id="4697" xr3:uid="{F1297E25-21C1-43E3-9402-B15F364CC419}" name="Colonne4689"/>
    <tableColumn id="4698" xr3:uid="{7A9B6AA4-E832-4F7B-B4FF-E16007A423C4}" name="Colonne4690"/>
    <tableColumn id="4699" xr3:uid="{5D300497-DC8D-4789-93FF-FE135E19540D}" name="Colonne4691"/>
    <tableColumn id="4700" xr3:uid="{27AF46EF-95F0-4F69-A5EA-2B4371F43721}" name="Colonne4692"/>
    <tableColumn id="4701" xr3:uid="{D5DFB94B-FCA1-4A6A-9365-ACBD034D7014}" name="Colonne4693"/>
    <tableColumn id="4702" xr3:uid="{4B8CEE8D-9D55-44C5-80C8-C97E056A650B}" name="Colonne4694"/>
    <tableColumn id="4703" xr3:uid="{79E74F16-650E-4296-89E0-CAC0C71D8BA3}" name="Colonne4695"/>
    <tableColumn id="4704" xr3:uid="{E5EFC9EA-8FC8-4123-8A55-FB277D9F6887}" name="Colonne4696"/>
    <tableColumn id="4705" xr3:uid="{5F70A7E5-CA72-4F6F-A500-10C55272E116}" name="Colonne4697"/>
    <tableColumn id="4706" xr3:uid="{AB11E3DC-6C9C-422A-A52A-99A439EEEA75}" name="Colonne4698"/>
    <tableColumn id="4707" xr3:uid="{C92CE2FE-D536-43E5-AF24-2566DBE24395}" name="Colonne4699"/>
    <tableColumn id="4708" xr3:uid="{CC6D3587-6730-4200-8D68-F3BD0432BD31}" name="Colonne4700"/>
    <tableColumn id="4709" xr3:uid="{B2028502-6588-4A89-B89D-D544EB76FA1F}" name="Colonne4701"/>
    <tableColumn id="4710" xr3:uid="{7B300B33-D141-4736-8406-79A2CDE389B9}" name="Colonne4702"/>
    <tableColumn id="4711" xr3:uid="{10285BA6-BFDD-4A00-BF93-7B8F78D77431}" name="Colonne4703"/>
    <tableColumn id="4712" xr3:uid="{B9D26848-7A3E-42DC-AF26-3C4B1C6130CE}" name="Colonne4704"/>
    <tableColumn id="4713" xr3:uid="{6A853113-1E65-4205-941E-25D35EBA6B8D}" name="Colonne4705"/>
    <tableColumn id="4714" xr3:uid="{84BDB526-CAB6-49CB-AB80-5267D5B0A265}" name="Colonne4706"/>
    <tableColumn id="4715" xr3:uid="{49A282E2-A424-4787-B7F4-A491E48D5236}" name="Colonne4707"/>
    <tableColumn id="4716" xr3:uid="{17414C68-F72F-4483-8D92-D0E37CE01C8E}" name="Colonne4708"/>
    <tableColumn id="4717" xr3:uid="{C9EDDCC6-F22F-484F-B525-E13B784F4607}" name="Colonne4709"/>
    <tableColumn id="4718" xr3:uid="{74A60A51-65CC-4FB0-A327-3976F08799EB}" name="Colonne4710"/>
    <tableColumn id="4719" xr3:uid="{0067A814-543D-45C6-934F-55A1FD2148FA}" name="Colonne4711"/>
    <tableColumn id="4720" xr3:uid="{FB604B76-AE2C-4CA4-B6E7-7D219FC388EC}" name="Colonne4712"/>
    <tableColumn id="4721" xr3:uid="{26580EE4-990D-4E7F-A44B-D1C57A92E742}" name="Colonne4713"/>
    <tableColumn id="4722" xr3:uid="{D78C791A-1DA1-437B-88CD-DACD39FD7FC1}" name="Colonne4714"/>
    <tableColumn id="4723" xr3:uid="{62346B3F-A822-4DDD-869B-BD8C1B320C6D}" name="Colonne4715"/>
    <tableColumn id="4724" xr3:uid="{C368549E-1B04-465F-B243-DF2CBE8FDC44}" name="Colonne4716"/>
    <tableColumn id="4725" xr3:uid="{A5D7F7B1-FB32-44F0-B59B-D7B7E2CB8625}" name="Colonne4717"/>
    <tableColumn id="4726" xr3:uid="{AB82F0DC-7819-4E29-B764-6B63FA1401D6}" name="Colonne4718"/>
    <tableColumn id="4727" xr3:uid="{ED67F67D-4561-46C6-A794-AE03073DF98C}" name="Colonne4719"/>
    <tableColumn id="4728" xr3:uid="{BAF727C0-88C1-4374-A489-6749515D25C7}" name="Colonne4720"/>
    <tableColumn id="4729" xr3:uid="{62EF4F70-A8E1-4FAA-AC70-61122F85721A}" name="Colonne4721"/>
    <tableColumn id="4730" xr3:uid="{1E840ECF-7624-4DC9-A282-E65C2C3AC553}" name="Colonne4722"/>
    <tableColumn id="4731" xr3:uid="{AA4DD898-E0DA-42B8-B550-D9FA5D88E7EF}" name="Colonne4723"/>
    <tableColumn id="4732" xr3:uid="{74EE97CE-8B7D-4430-855F-F1B72B4EBAEA}" name="Colonne4724"/>
    <tableColumn id="4733" xr3:uid="{AA09CEFE-A9FE-453F-B356-68B5A0D0171D}" name="Colonne4725"/>
    <tableColumn id="4734" xr3:uid="{6F9FB8CA-FB94-4AEC-8507-13468A4782C2}" name="Colonne4726"/>
    <tableColumn id="4735" xr3:uid="{2D1088D4-8F6A-434C-BDEB-C070406DF807}" name="Colonne4727"/>
    <tableColumn id="4736" xr3:uid="{554391C9-FB9B-43AB-BBD0-9F3C8DBE6C0A}" name="Colonne4728"/>
    <tableColumn id="4737" xr3:uid="{17DDA4BA-6AFC-4DB0-99D5-5668D9E84D4F}" name="Colonne4729"/>
    <tableColumn id="4738" xr3:uid="{A3D42D1B-4A45-44CE-9FF2-E6C0C0E30FDE}" name="Colonne4730"/>
    <tableColumn id="4739" xr3:uid="{AF20B28B-60F8-41FC-8492-37B3301A1A5A}" name="Colonne4731"/>
    <tableColumn id="4740" xr3:uid="{EF0291FA-A312-4FE8-91DD-6520D211F8F7}" name="Colonne4732"/>
    <tableColumn id="4741" xr3:uid="{EA8C6423-B46A-4944-935C-9CE8A7D2463F}" name="Colonne4733"/>
    <tableColumn id="4742" xr3:uid="{A3ED5BF5-A5CA-4A7A-B484-0C74C1106F8F}" name="Colonne4734"/>
    <tableColumn id="4743" xr3:uid="{7815F72B-049B-48D6-BED9-BDA83E1546D1}" name="Colonne4735"/>
    <tableColumn id="4744" xr3:uid="{AC7A49AE-3803-4084-8210-326A7CC71041}" name="Colonne4736"/>
    <tableColumn id="4745" xr3:uid="{93DF4738-83A7-4381-9916-A792D5C65561}" name="Colonne4737"/>
    <tableColumn id="4746" xr3:uid="{D8E47753-AFB1-4AFA-AD03-6677B2A53B58}" name="Colonne4738"/>
    <tableColumn id="4747" xr3:uid="{2B6A58DD-C821-4A34-B0EB-AC4B50BA7ACD}" name="Colonne4739"/>
    <tableColumn id="4748" xr3:uid="{8B6970D9-EA85-4C1C-BF51-2DA4D86F2E88}" name="Colonne4740"/>
    <tableColumn id="4749" xr3:uid="{9557DEC2-5DD1-4086-9334-1A7D51CCF156}" name="Colonne4741"/>
    <tableColumn id="4750" xr3:uid="{163C8BF2-6BD0-45B3-8CCA-75D6B3DB772F}" name="Colonne4742"/>
    <tableColumn id="4751" xr3:uid="{321AFDEE-0AB5-4368-AD6B-D1A5790A251A}" name="Colonne4743"/>
    <tableColumn id="4752" xr3:uid="{40A71509-694D-47DD-9D18-545E5EC482FF}" name="Colonne4744"/>
    <tableColumn id="4753" xr3:uid="{62851F89-C362-4403-9193-A4F85144DEC3}" name="Colonne4745"/>
    <tableColumn id="4754" xr3:uid="{27A4F35B-2C96-4CDC-BC27-31B5047120A0}" name="Colonne4746"/>
    <tableColumn id="4755" xr3:uid="{B99EE551-3A5D-4532-B2A8-81D2C3F8661F}" name="Colonne4747"/>
    <tableColumn id="4756" xr3:uid="{D304FC14-8C24-481F-9C2B-FF81F01F42C6}" name="Colonne4748"/>
    <tableColumn id="4757" xr3:uid="{712F65A4-9445-470A-BAC2-35776EF652F4}" name="Colonne4749"/>
    <tableColumn id="4758" xr3:uid="{9B76CE0D-D725-4298-B176-A69DE538A7DE}" name="Colonne4750"/>
    <tableColumn id="4759" xr3:uid="{6F4196E0-34EB-4729-86FF-FCF80A702AA1}" name="Colonne4751"/>
    <tableColumn id="4760" xr3:uid="{B2E6A7FE-6B7C-4387-8394-AB985178F5A4}" name="Colonne4752"/>
    <tableColumn id="4761" xr3:uid="{56824F09-F7DF-466F-9500-CDA0D74E6D6F}" name="Colonne4753"/>
    <tableColumn id="4762" xr3:uid="{A300B3A0-979B-4684-81C9-F8B913985E32}" name="Colonne4754"/>
    <tableColumn id="4763" xr3:uid="{F8B940E9-A5DB-4F7F-BF4E-E088A1D8A48E}" name="Colonne4755"/>
    <tableColumn id="4764" xr3:uid="{84E66A47-6468-4CB1-9003-10F496DB69EF}" name="Colonne4756"/>
    <tableColumn id="4765" xr3:uid="{EC1890F4-C2BD-4864-B3C0-98031DDED15F}" name="Colonne4757"/>
    <tableColumn id="4766" xr3:uid="{B4A43E0B-06DC-4C62-97A9-36772FE12E8F}" name="Colonne4758"/>
    <tableColumn id="4767" xr3:uid="{8C740C89-65AA-4DD2-8DD6-B51E86F5A14B}" name="Colonne4759"/>
    <tableColumn id="4768" xr3:uid="{3A8A7FA4-4CD8-451F-A4BB-60059897A221}" name="Colonne4760"/>
    <tableColumn id="4769" xr3:uid="{4700124B-74F8-4406-A92D-B5F2B06F4D18}" name="Colonne4761"/>
    <tableColumn id="4770" xr3:uid="{90F7152D-EE56-435B-9E06-440A593C88BD}" name="Colonne4762"/>
    <tableColumn id="4771" xr3:uid="{1E01863B-DB1C-4697-85C9-E7A78006D7D2}" name="Colonne4763"/>
    <tableColumn id="4772" xr3:uid="{6DC7A5CE-5486-47FE-BAF2-7FEDC7BDBA94}" name="Colonne4764"/>
    <tableColumn id="4773" xr3:uid="{133609E4-F757-4625-AA65-23C7A6D9DBE8}" name="Colonne4765"/>
    <tableColumn id="4774" xr3:uid="{C64A058E-8B4F-4351-9420-4D2CD2C67E73}" name="Colonne4766"/>
    <tableColumn id="4775" xr3:uid="{CF500C0D-4C05-48BA-92F6-0D5AAA8EC114}" name="Colonne4767"/>
    <tableColumn id="4776" xr3:uid="{D62D36F3-EE59-4C28-9250-7B01619705AF}" name="Colonne4768"/>
    <tableColumn id="4777" xr3:uid="{077AE512-D310-4E39-B46B-88A439DE13E8}" name="Colonne4769"/>
    <tableColumn id="4778" xr3:uid="{E3CA5512-B2BF-4806-9235-E024141B74FF}" name="Colonne4770"/>
    <tableColumn id="4779" xr3:uid="{4AC6A88F-6139-46BB-A096-E25C7CEF8219}" name="Colonne4771"/>
    <tableColumn id="4780" xr3:uid="{5B9213EF-473D-4002-898B-9D0D517D22F0}" name="Colonne4772"/>
    <tableColumn id="4781" xr3:uid="{54208D71-52CE-4C04-8318-937329633093}" name="Colonne4773"/>
    <tableColumn id="4782" xr3:uid="{A07C30B1-C149-443D-BB00-BFCAD772995B}" name="Colonne4774"/>
    <tableColumn id="4783" xr3:uid="{45E3C9E9-5784-43D6-997D-2263FBDE8AAD}" name="Colonne4775"/>
    <tableColumn id="4784" xr3:uid="{415D9BCA-04C0-41C7-8F77-58A6EEF13A22}" name="Colonne4776"/>
    <tableColumn id="4785" xr3:uid="{8F07F360-59BB-4083-ACA9-79EF00A35BD0}" name="Colonne4777"/>
    <tableColumn id="4786" xr3:uid="{F1170E4E-24CD-4BB0-B5D9-190D45909901}" name="Colonne4778"/>
    <tableColumn id="4787" xr3:uid="{422BBA47-7512-4DDC-A686-F0F043B5ADC5}" name="Colonne4779"/>
    <tableColumn id="4788" xr3:uid="{93A4C233-1DFF-4BB8-B004-049736FA9148}" name="Colonne4780"/>
    <tableColumn id="4789" xr3:uid="{3BABCD8F-D46F-49A2-9373-C61FA9F936DA}" name="Colonne4781"/>
    <tableColumn id="4790" xr3:uid="{F705033B-E20C-45F1-81F8-1E87E2AADD3B}" name="Colonne4782"/>
    <tableColumn id="4791" xr3:uid="{8BDCA283-FF6D-4498-B251-32DD0D519C24}" name="Colonne4783"/>
    <tableColumn id="4792" xr3:uid="{F5D48B03-798A-43A1-BAFF-6101BC146D2A}" name="Colonne4784"/>
    <tableColumn id="4793" xr3:uid="{168CFAAA-1FD0-4B78-98FA-942C46218EF3}" name="Colonne4785"/>
    <tableColumn id="4794" xr3:uid="{072E61CB-0E5B-4EB1-BC38-55141F66B36D}" name="Colonne4786"/>
    <tableColumn id="4795" xr3:uid="{E8A72B21-7603-45F9-B18B-6B02559876C3}" name="Colonne4787"/>
    <tableColumn id="4796" xr3:uid="{B7EDE2E8-34E9-4012-A16B-F8E728E1B92A}" name="Colonne4788"/>
    <tableColumn id="4797" xr3:uid="{77C2D8C4-76FC-48BE-B00E-27E8BEE27907}" name="Colonne4789"/>
    <tableColumn id="4798" xr3:uid="{DAD5A14C-2AE0-416D-91FE-EFE9DB0FF43E}" name="Colonne4790"/>
    <tableColumn id="4799" xr3:uid="{FC79C588-6C07-4CED-8417-754562D177A4}" name="Colonne4791"/>
    <tableColumn id="4800" xr3:uid="{A9983BBD-95DD-4502-A711-57F4C7ACA3CE}" name="Colonne4792"/>
    <tableColumn id="4801" xr3:uid="{41293409-D973-43C3-ABFC-8427A1FE2772}" name="Colonne4793"/>
    <tableColumn id="4802" xr3:uid="{027CD743-CFDA-4324-A548-E6528833DE13}" name="Colonne4794"/>
    <tableColumn id="4803" xr3:uid="{A71BC7F0-B006-4273-97FA-0D85DDB77C48}" name="Colonne4795"/>
    <tableColumn id="4804" xr3:uid="{90325510-3B69-42C2-89DB-2B6DF0228701}" name="Colonne4796"/>
    <tableColumn id="4805" xr3:uid="{45FEF841-8F7F-492B-B5F4-C47506C54C27}" name="Colonne4797"/>
    <tableColumn id="4806" xr3:uid="{47E3499D-A8A4-4474-9D8D-876D05510181}" name="Colonne4798"/>
    <tableColumn id="4807" xr3:uid="{503C3FB8-AB89-4B47-B832-69C84141F775}" name="Colonne4799"/>
    <tableColumn id="4808" xr3:uid="{643D4211-384D-4BB3-B120-4AE1E6E794F9}" name="Colonne4800"/>
    <tableColumn id="4809" xr3:uid="{25984092-4869-4A3C-9DB4-4EC8D46E6085}" name="Colonne4801"/>
    <tableColumn id="4810" xr3:uid="{E5880804-83C2-4A6D-B9EB-5779DC2E3817}" name="Colonne4802"/>
    <tableColumn id="4811" xr3:uid="{1D762FE9-7798-43F3-BB88-6A14FAA54593}" name="Colonne4803"/>
    <tableColumn id="4812" xr3:uid="{F97B0EC2-6C48-42F6-B9F5-06C50A0A240B}" name="Colonne4804"/>
    <tableColumn id="4813" xr3:uid="{5C101198-D9CB-43EB-9656-75446CCDCE96}" name="Colonne4805"/>
    <tableColumn id="4814" xr3:uid="{2B2EE90A-78A8-4DCA-8D0A-A575C2F0725B}" name="Colonne4806"/>
    <tableColumn id="4815" xr3:uid="{7C73F4BE-CB72-47D0-B726-9AAAF7EB7940}" name="Colonne4807"/>
    <tableColumn id="4816" xr3:uid="{098CD8A1-92A8-4425-870E-DD08C5BFF9FB}" name="Colonne4808"/>
    <tableColumn id="4817" xr3:uid="{740EBD2D-0ED0-4598-8139-9CA197C49430}" name="Colonne4809"/>
    <tableColumn id="4818" xr3:uid="{30471B8B-F7B1-4B5A-9578-01183A7B3522}" name="Colonne4810"/>
    <tableColumn id="4819" xr3:uid="{90A1AC36-FF1F-4E24-846F-A169A3A28D5B}" name="Colonne4811"/>
    <tableColumn id="4820" xr3:uid="{655B5471-DBBC-4031-8136-97D084A320BE}" name="Colonne4812"/>
    <tableColumn id="4821" xr3:uid="{38DC8560-A090-47F0-A9CD-9F5315533E73}" name="Colonne4813"/>
    <tableColumn id="4822" xr3:uid="{A6E9B811-A00E-4521-91E4-4E45AB154533}" name="Colonne4814"/>
    <tableColumn id="4823" xr3:uid="{21EE5883-CD44-4EF3-A202-D0D5CF1114A0}" name="Colonne4815"/>
    <tableColumn id="4824" xr3:uid="{04C8A5A6-71BB-4D26-A311-FEB51D011797}" name="Colonne4816"/>
    <tableColumn id="4825" xr3:uid="{7870F79B-EA6E-47C4-9011-6A02AD78FA01}" name="Colonne4817"/>
    <tableColumn id="4826" xr3:uid="{F2454178-74A0-4E08-B56A-AEDB936226CD}" name="Colonne4818"/>
    <tableColumn id="4827" xr3:uid="{054955BC-A8E8-4108-A5B9-48A3FFDC76D5}" name="Colonne4819"/>
    <tableColumn id="4828" xr3:uid="{62BC0D20-5594-490E-B674-35ADB2F20AA2}" name="Colonne4820"/>
    <tableColumn id="4829" xr3:uid="{55DEE7D5-66DD-453D-86F8-B7740BD2BEB2}" name="Colonne4821"/>
    <tableColumn id="4830" xr3:uid="{B026402C-5FDD-434E-8BE7-1FDA75C93E7D}" name="Colonne4822"/>
    <tableColumn id="4831" xr3:uid="{035FAFDF-73C3-48E4-B13C-151595629DF0}" name="Colonne4823"/>
    <tableColumn id="4832" xr3:uid="{A2C3977D-C70C-49AF-A8ED-7F24116FE004}" name="Colonne4824"/>
    <tableColumn id="4833" xr3:uid="{E3A447D3-AF0F-4284-A07B-178BDE6B5A80}" name="Colonne4825"/>
    <tableColumn id="4834" xr3:uid="{3DB7131B-C336-4A11-B037-358E275371B7}" name="Colonne4826"/>
    <tableColumn id="4835" xr3:uid="{4B4EA076-D251-49A8-862F-EBE89BADDAD5}" name="Colonne4827"/>
    <tableColumn id="4836" xr3:uid="{FE562646-FD41-4E22-8A20-BB52AE9C91E2}" name="Colonne4828"/>
    <tableColumn id="4837" xr3:uid="{41B6A281-26D8-4795-9D69-C295143FE0FD}" name="Colonne4829"/>
    <tableColumn id="4838" xr3:uid="{2789ED51-E066-4C78-B784-FF9767A57738}" name="Colonne4830"/>
    <tableColumn id="4839" xr3:uid="{6F7C8FC5-5B82-4624-A747-B7D7039C0CE8}" name="Colonne4831"/>
    <tableColumn id="4840" xr3:uid="{F270795C-45CE-45A6-8625-42A7A67F79BB}" name="Colonne4832"/>
    <tableColumn id="4841" xr3:uid="{447135CB-8DD5-4D06-9455-7EA1547EE598}" name="Colonne4833"/>
    <tableColumn id="4842" xr3:uid="{D8B08386-E905-47F2-BE11-A3A16AE4C219}" name="Colonne4834"/>
    <tableColumn id="4843" xr3:uid="{0431D4F2-3214-4858-9EA4-B6539D80EF2C}" name="Colonne4835"/>
    <tableColumn id="4844" xr3:uid="{82F46EAD-D919-49DA-908C-32EE8E9166E2}" name="Colonne4836"/>
    <tableColumn id="4845" xr3:uid="{41755D55-ED48-428C-A0D7-F2D4B93F28B0}" name="Colonne4837"/>
    <tableColumn id="4846" xr3:uid="{47201395-7174-477C-88D2-8419AD1F0E94}" name="Colonne4838"/>
    <tableColumn id="4847" xr3:uid="{DF531C22-A39D-415B-A8EA-EAF0391D85F0}" name="Colonne4839"/>
    <tableColumn id="4848" xr3:uid="{259BFFA0-069B-4002-AE8C-ACFD4A234DF0}" name="Colonne4840"/>
    <tableColumn id="4849" xr3:uid="{7FD77EEE-13E9-4280-8773-F10D688B79E3}" name="Colonne4841"/>
    <tableColumn id="4850" xr3:uid="{DC40EB4C-947A-4A79-AAD7-54AE78F7B708}" name="Colonne4842"/>
    <tableColumn id="4851" xr3:uid="{354956E3-DB56-41B4-83A2-DCAD7BC15BDC}" name="Colonne4843"/>
    <tableColumn id="4852" xr3:uid="{6A9906D5-BD01-4D67-B512-C140CD0CF0B5}" name="Colonne4844"/>
    <tableColumn id="4853" xr3:uid="{13D24A6A-19F3-45E9-89E9-25C196327099}" name="Colonne4845"/>
    <tableColumn id="4854" xr3:uid="{A3CADE4E-EA4D-404F-90CE-1F92654BBB79}" name="Colonne4846"/>
    <tableColumn id="4855" xr3:uid="{5A786F79-E522-4B92-B06D-6C884C0F5808}" name="Colonne4847"/>
    <tableColumn id="4856" xr3:uid="{C6C0081D-253B-48BB-AD6B-A3393328DC2D}" name="Colonne4848"/>
    <tableColumn id="4857" xr3:uid="{DD138309-CE74-4BFB-BDE0-3E23B5C24EA2}" name="Colonne4849"/>
    <tableColumn id="4858" xr3:uid="{3756A87E-1C29-4F7F-A4E7-69172720DB0F}" name="Colonne4850"/>
    <tableColumn id="4859" xr3:uid="{B78259E9-A3D7-45E6-A975-EEBF5446EFBD}" name="Colonne4851"/>
    <tableColumn id="4860" xr3:uid="{1F8ECA7A-FB38-4042-83A7-508B89987FEB}" name="Colonne4852"/>
    <tableColumn id="4861" xr3:uid="{795265D5-A3FF-4166-B604-785D0BAD6DD3}" name="Colonne4853"/>
    <tableColumn id="4862" xr3:uid="{25F81BB6-8D7E-4CAA-91AC-FF76B532D178}" name="Colonne4854"/>
    <tableColumn id="4863" xr3:uid="{B7641C14-FA55-4130-9551-D0CD689B6731}" name="Colonne4855"/>
    <tableColumn id="4864" xr3:uid="{39DBF934-D46A-4D14-98C8-E3A3BB66AA22}" name="Colonne4856"/>
    <tableColumn id="4865" xr3:uid="{C169F764-2FE8-47B4-A15A-4D4EFFDC1862}" name="Colonne4857"/>
    <tableColumn id="4866" xr3:uid="{C722D9CC-1C35-48FE-B5C6-CF475C6AB4F0}" name="Colonne4858"/>
    <tableColumn id="4867" xr3:uid="{63B1D28D-305A-4B43-B8FB-C4324E73364F}" name="Colonne4859"/>
    <tableColumn id="4868" xr3:uid="{5C2FB021-998B-4780-AA85-D612F45ED14D}" name="Colonne4860"/>
    <tableColumn id="4869" xr3:uid="{B48C6D3F-A611-4DF2-943B-DFD55BEAAE5E}" name="Colonne4861"/>
    <tableColumn id="4870" xr3:uid="{106D51E0-64E1-46A4-B9EE-929D340418EF}" name="Colonne4862"/>
    <tableColumn id="4871" xr3:uid="{DA87B886-9CA0-4A5A-B67D-44A638AC4465}" name="Colonne4863"/>
    <tableColumn id="4872" xr3:uid="{608EA67E-598C-4CFC-B582-C68CBBE3FDFD}" name="Colonne4864"/>
    <tableColumn id="4873" xr3:uid="{02A967F5-8922-4A63-83A2-6F95F5D02D80}" name="Colonne4865"/>
    <tableColumn id="4874" xr3:uid="{CD93580C-20D9-4B69-AA7F-33B86D11FA1A}" name="Colonne4866"/>
    <tableColumn id="4875" xr3:uid="{ACC4BEEA-FD86-4113-9D7C-F5E49590AD7D}" name="Colonne4867"/>
    <tableColumn id="4876" xr3:uid="{35A55024-D746-4B9E-9D8F-D379144E207E}" name="Colonne4868"/>
    <tableColumn id="4877" xr3:uid="{329D3053-A598-47FE-A4C0-E1E7FC705FF1}" name="Colonne4869"/>
    <tableColumn id="4878" xr3:uid="{9756EC67-2DEB-4941-8030-32219C251ABD}" name="Colonne4870"/>
    <tableColumn id="4879" xr3:uid="{37571B06-C58D-495C-8C3B-A45189A9D345}" name="Colonne4871"/>
    <tableColumn id="4880" xr3:uid="{3BE25ED4-08DB-4AC1-B8DD-37BB32382EE7}" name="Colonne4872"/>
    <tableColumn id="4881" xr3:uid="{98162132-A82A-4A87-849C-CF35A289319E}" name="Colonne4873"/>
    <tableColumn id="4882" xr3:uid="{4352D232-9713-49F3-AB7B-364B3C6BED3C}" name="Colonne4874"/>
    <tableColumn id="4883" xr3:uid="{B0C9F1F6-28D0-42D0-9595-F5D288E35385}" name="Colonne4875"/>
    <tableColumn id="4884" xr3:uid="{CDA5508C-7361-4638-BFA4-A807D5E44F03}" name="Colonne4876"/>
    <tableColumn id="4885" xr3:uid="{BBEE5385-06AD-4213-B497-8B99EF6DD515}" name="Colonne4877"/>
    <tableColumn id="4886" xr3:uid="{F88AC7A7-ED9D-44AF-9A69-BD4D59A2D916}" name="Colonne4878"/>
    <tableColumn id="4887" xr3:uid="{C00427E3-EE75-4A31-8025-C35270EC4D2D}" name="Colonne4879"/>
    <tableColumn id="4888" xr3:uid="{240DCCCD-EF24-414C-9958-EB071D7336E3}" name="Colonne4880"/>
    <tableColumn id="4889" xr3:uid="{A526CEB3-F549-4A92-B303-C5E0EA268B14}" name="Colonne4881"/>
    <tableColumn id="4890" xr3:uid="{F4BA6B2C-5C90-4D50-93A3-6FA9392F2170}" name="Colonne4882"/>
    <tableColumn id="4891" xr3:uid="{01854163-C9EF-4B49-8857-456628FE72A9}" name="Colonne4883"/>
    <tableColumn id="4892" xr3:uid="{51287E63-6027-4F5F-9B01-8BC2D808A982}" name="Colonne4884"/>
    <tableColumn id="4893" xr3:uid="{2782E943-C69F-4AB3-8DF7-DB3BC0BD92BF}" name="Colonne4885"/>
    <tableColumn id="4894" xr3:uid="{BD1EF949-EFAD-44DB-81E6-767559D992A8}" name="Colonne4886"/>
    <tableColumn id="4895" xr3:uid="{1384E2EC-C342-4D33-89CF-71449030E5ED}" name="Colonne4887"/>
    <tableColumn id="4896" xr3:uid="{9142A4C6-184B-4EB7-8D1F-98F4D728C822}" name="Colonne4888"/>
    <tableColumn id="4897" xr3:uid="{280E10D8-8F2D-4D22-A647-5649C00CFBCF}" name="Colonne4889"/>
    <tableColumn id="4898" xr3:uid="{535B4685-64BF-4615-8F26-9964F0F0383B}" name="Colonne4890"/>
    <tableColumn id="4899" xr3:uid="{9CD53630-1478-4568-A617-A01D74D0C0AC}" name="Colonne4891"/>
    <tableColumn id="4900" xr3:uid="{BC6432AE-2498-4183-93BF-2C6BC43AC5C1}" name="Colonne4892"/>
    <tableColumn id="4901" xr3:uid="{CEE9B272-AF70-487A-8330-425CDB74FF6A}" name="Colonne4893"/>
    <tableColumn id="4902" xr3:uid="{6E5E43F1-17EB-4FE2-8FD3-1118B86647D4}" name="Colonne4894"/>
    <tableColumn id="4903" xr3:uid="{6E82CF7C-6273-412B-8370-CF88B55F9721}" name="Colonne4895"/>
    <tableColumn id="4904" xr3:uid="{FB1FFB87-69E9-4559-9161-07D36F19FB66}" name="Colonne4896"/>
    <tableColumn id="4905" xr3:uid="{CD32C232-5DE1-4A67-ABFB-4C00D75A620D}" name="Colonne4897"/>
    <tableColumn id="4906" xr3:uid="{504142D5-647B-40A9-8A5A-C97BAF2E086B}" name="Colonne4898"/>
    <tableColumn id="4907" xr3:uid="{4B5428FD-5E78-4CF1-914D-F75A3722CD41}" name="Colonne4899"/>
    <tableColumn id="4908" xr3:uid="{02126CA9-A655-46C5-82A7-0590E2BFA73F}" name="Colonne4900"/>
    <tableColumn id="4909" xr3:uid="{E52736BB-722E-430E-9C1D-C268C2BF63EB}" name="Colonne4901"/>
    <tableColumn id="4910" xr3:uid="{60BB6EAA-82EB-4A5D-AD43-DDA52BC59785}" name="Colonne4902"/>
    <tableColumn id="4911" xr3:uid="{CF3E9CCD-A022-4A97-ACCC-85CE12E3CDC4}" name="Colonne4903"/>
    <tableColumn id="4912" xr3:uid="{BE27D01A-09FC-49B8-83FB-0FBD433FE0B6}" name="Colonne4904"/>
    <tableColumn id="4913" xr3:uid="{42C17951-51C8-4748-9EAB-115544737C68}" name="Colonne4905"/>
    <tableColumn id="4914" xr3:uid="{01359ADF-DD5A-4C5C-87B8-151A0E2A014B}" name="Colonne4906"/>
    <tableColumn id="4915" xr3:uid="{49D12C41-870F-40BD-AAB7-6EF721A95AFC}" name="Colonne4907"/>
    <tableColumn id="4916" xr3:uid="{699FE572-422E-48B7-8D4D-31B64322AD1B}" name="Colonne4908"/>
    <tableColumn id="4917" xr3:uid="{0438D6F8-9263-462E-9949-42888395840D}" name="Colonne4909"/>
    <tableColumn id="4918" xr3:uid="{412F0E75-E860-4BD4-97AA-E5781959F322}" name="Colonne4910"/>
    <tableColumn id="4919" xr3:uid="{F96603E4-A741-4AAF-9EE1-4CDE224A9F46}" name="Colonne4911"/>
    <tableColumn id="4920" xr3:uid="{9EFB87C9-00CF-4A9B-8962-99954809AD22}" name="Colonne4912"/>
    <tableColumn id="4921" xr3:uid="{46C48257-CE72-4F13-988C-6599AC086C8A}" name="Colonne4913"/>
    <tableColumn id="4922" xr3:uid="{1224ADDA-B6AB-4995-AE5A-CC87FEA3DED4}" name="Colonne4914"/>
    <tableColumn id="4923" xr3:uid="{8435DFAB-308B-4ECA-A510-7430B4FA0E51}" name="Colonne4915"/>
    <tableColumn id="4924" xr3:uid="{D29FAF61-3219-4AA8-9ED5-184CF82F0280}" name="Colonne4916"/>
    <tableColumn id="4925" xr3:uid="{DA96FAC6-0957-4D64-A9DD-69A96FE4A850}" name="Colonne4917"/>
    <tableColumn id="4926" xr3:uid="{87F5A481-039E-4510-82BF-00ACF7A6BFED}" name="Colonne4918"/>
    <tableColumn id="4927" xr3:uid="{D1B20B75-96D2-4CEA-8051-5C0E53477F89}" name="Colonne4919"/>
    <tableColumn id="4928" xr3:uid="{D80DAD14-1E4C-46A6-9331-80AB9AFC38F9}" name="Colonne4920"/>
    <tableColumn id="4929" xr3:uid="{95BFB55B-8938-4225-B44D-5C4750CCEFB7}" name="Colonne4921"/>
    <tableColumn id="4930" xr3:uid="{53E69E97-D8B7-410A-95EA-C9EA693D3BD2}" name="Colonne4922"/>
    <tableColumn id="4931" xr3:uid="{28B79A7D-93BC-48E1-8E2C-4362B433FEB2}" name="Colonne4923"/>
    <tableColumn id="4932" xr3:uid="{0A33EEDA-640E-4225-8D30-EE11FD64FBB7}" name="Colonne4924"/>
    <tableColumn id="4933" xr3:uid="{BAD83109-C80D-4E04-B9F3-B7997BEEFE60}" name="Colonne4925"/>
    <tableColumn id="4934" xr3:uid="{B05E3EC7-5430-4DEE-9056-4D4057A0A822}" name="Colonne4926"/>
    <tableColumn id="4935" xr3:uid="{DF6462B2-827D-493A-9968-FCA04FD29C70}" name="Colonne4927"/>
    <tableColumn id="4936" xr3:uid="{8E3E0E37-3CBE-492C-8144-5E9FA66E30E0}" name="Colonne4928"/>
    <tableColumn id="4937" xr3:uid="{E441516B-B103-4ACA-A153-B997804F7CB4}" name="Colonne4929"/>
    <tableColumn id="4938" xr3:uid="{9429DEEF-8898-4051-8A97-7513B20950C1}" name="Colonne4930"/>
    <tableColumn id="4939" xr3:uid="{1FB07365-23D0-4CE9-80FB-777C50240CA5}" name="Colonne4931"/>
    <tableColumn id="4940" xr3:uid="{E7AB1614-9440-4EA3-8B9D-4BAB156900AB}" name="Colonne4932"/>
    <tableColumn id="4941" xr3:uid="{59B3E50A-27E1-4FEE-83AA-E2ECD94B7AFB}" name="Colonne4933"/>
    <tableColumn id="4942" xr3:uid="{1773F5C3-2AF1-4443-B98B-7B2BF45FBD64}" name="Colonne4934"/>
    <tableColumn id="4943" xr3:uid="{749368BE-4EDA-4EC2-9684-7337FD8CC4E7}" name="Colonne4935"/>
    <tableColumn id="4944" xr3:uid="{6290AD21-0A1B-46F7-898A-941326B2D515}" name="Colonne4936"/>
    <tableColumn id="4945" xr3:uid="{BD965973-7FFD-4414-B77E-AAFB2DFFFE84}" name="Colonne4937"/>
    <tableColumn id="4946" xr3:uid="{CACE73A1-9C87-4988-A7AD-F27233755F5F}" name="Colonne4938"/>
    <tableColumn id="4947" xr3:uid="{E1580B5B-22E1-46B5-998B-9E6D7E1541C8}" name="Colonne4939"/>
    <tableColumn id="4948" xr3:uid="{ED465D6A-815E-45AE-9546-35228477805F}" name="Colonne4940"/>
    <tableColumn id="4949" xr3:uid="{8126EF77-952E-44B6-8D14-25013397D404}" name="Colonne4941"/>
    <tableColumn id="4950" xr3:uid="{E9C67604-D9A0-4AC2-8F85-9F9168B431C1}" name="Colonne4942"/>
    <tableColumn id="4951" xr3:uid="{EA3C166D-B427-46EA-BA3A-7482A6033C3E}" name="Colonne4943"/>
    <tableColumn id="4952" xr3:uid="{730157B8-4117-4C0B-B430-85A79529C4F5}" name="Colonne4944"/>
    <tableColumn id="4953" xr3:uid="{39313C48-DAF7-4AEB-825E-F90BFB7E68AF}" name="Colonne4945"/>
    <tableColumn id="4954" xr3:uid="{3CE0426C-778F-4E98-ADFF-99462DDE5518}" name="Colonne4946"/>
    <tableColumn id="4955" xr3:uid="{263BB0FB-348B-4DE9-9E89-71D533287EAF}" name="Colonne4947"/>
    <tableColumn id="4956" xr3:uid="{EBF8BB46-FB7E-4947-8BED-AB9D11F0B41A}" name="Colonne4948"/>
    <tableColumn id="4957" xr3:uid="{55FFEF43-CF4A-443E-82F6-864A8EDAAA57}" name="Colonne4949"/>
    <tableColumn id="4958" xr3:uid="{C538C5BB-7F73-4DC0-B560-ECB12CF72B9C}" name="Colonne4950"/>
    <tableColumn id="4959" xr3:uid="{00EFD052-6B0C-4335-9628-9A5D128040B6}" name="Colonne4951"/>
    <tableColumn id="4960" xr3:uid="{E346C1AE-E6E7-4C12-89EB-3B0F9BDA7E19}" name="Colonne4952"/>
    <tableColumn id="4961" xr3:uid="{1AE2AC1C-A677-4D86-BE74-D5EAFFB6887B}" name="Colonne4953"/>
    <tableColumn id="4962" xr3:uid="{3D8ABF89-E1F3-4426-BC2C-552CD8E34F1A}" name="Colonne4954"/>
    <tableColumn id="4963" xr3:uid="{4F530D5D-C07B-43E6-AE54-EBAAAB1DC3AC}" name="Colonne4955"/>
    <tableColumn id="4964" xr3:uid="{940A9B9D-4098-4D74-B2AF-43432C1F58DB}" name="Colonne4956"/>
    <tableColumn id="4965" xr3:uid="{5A69CC57-7726-4A78-BFC1-17C129C232FC}" name="Colonne4957"/>
    <tableColumn id="4966" xr3:uid="{7892B44E-7C36-427D-9A4A-92A7864E37FB}" name="Colonne4958"/>
    <tableColumn id="4967" xr3:uid="{BFF18E71-98E4-4782-AA4B-416784E74EE6}" name="Colonne4959"/>
    <tableColumn id="4968" xr3:uid="{A736416E-F5E5-44B1-A407-D9C92E7CCA41}" name="Colonne4960"/>
    <tableColumn id="4969" xr3:uid="{AF3E39C6-AA58-4EF3-8783-45489F05A4AC}" name="Colonne4961"/>
    <tableColumn id="4970" xr3:uid="{E7BDB7C0-528F-4B18-ABB4-48D05FE16751}" name="Colonne4962"/>
    <tableColumn id="4971" xr3:uid="{2C1A2A2A-0D2B-4F77-ACE4-6983C63492C3}" name="Colonne4963"/>
    <tableColumn id="4972" xr3:uid="{C030E9E1-3DFB-4CF1-920B-EBA12B8307CB}" name="Colonne4964"/>
    <tableColumn id="4973" xr3:uid="{1E19D348-9384-4A9C-9946-0E3A97DC0517}" name="Colonne4965"/>
    <tableColumn id="4974" xr3:uid="{780803E7-2B89-46D3-A945-B1B642259455}" name="Colonne4966"/>
    <tableColumn id="4975" xr3:uid="{6CA493DE-813A-4616-B4A4-E2C9ACDAEC69}" name="Colonne4967"/>
    <tableColumn id="4976" xr3:uid="{1190850C-CD0F-402F-AA2A-7C0201BE629B}" name="Colonne4968"/>
    <tableColumn id="4977" xr3:uid="{8BFAFE03-D179-4638-AB1D-CA88A9FA0607}" name="Colonne4969"/>
    <tableColumn id="4978" xr3:uid="{B236E5B3-DFA0-4AFD-9550-E2DC5300F977}" name="Colonne4970"/>
    <tableColumn id="4979" xr3:uid="{0A46E9C2-9BEF-4C7C-B10B-3A684E25D665}" name="Colonne4971"/>
    <tableColumn id="4980" xr3:uid="{A5A272A5-EC1B-4048-8F62-3C9F4ECC7804}" name="Colonne4972"/>
    <tableColumn id="4981" xr3:uid="{36A87824-9C5E-4128-81E7-527C05C0BD7A}" name="Colonne4973"/>
    <tableColumn id="4982" xr3:uid="{9DE92F35-1823-45EE-B9DA-7E15A2AD2354}" name="Colonne4974"/>
    <tableColumn id="4983" xr3:uid="{451675AA-6CAA-4DA9-B110-A5FF02D8EE8D}" name="Colonne4975"/>
    <tableColumn id="4984" xr3:uid="{07599E4B-3389-490A-980C-44563FAF3D0C}" name="Colonne4976"/>
    <tableColumn id="4985" xr3:uid="{BD25B74A-A013-4F2D-ABC9-731097AD743E}" name="Colonne4977"/>
    <tableColumn id="4986" xr3:uid="{7E1A9B26-8186-451B-812A-85D6F9364D07}" name="Colonne4978"/>
    <tableColumn id="4987" xr3:uid="{31A7A893-B52B-4E2A-ACF6-98ED5179AEB3}" name="Colonne4979"/>
    <tableColumn id="4988" xr3:uid="{30BDD32F-5CC3-4601-98B6-2B7D805028D2}" name="Colonne4980"/>
    <tableColumn id="4989" xr3:uid="{6C9ED994-0EB4-49CA-849E-B18646939EF0}" name="Colonne4981"/>
    <tableColumn id="4990" xr3:uid="{58C85892-08EE-466C-98B7-E620AD8BA9EC}" name="Colonne4982"/>
    <tableColumn id="4991" xr3:uid="{DF1A443B-D8AC-4F73-8B2C-CFDAF4BF11F6}" name="Colonne4983"/>
    <tableColumn id="4992" xr3:uid="{4F66DF66-AEB5-4149-8FAD-C5879CD04395}" name="Colonne4984"/>
    <tableColumn id="4993" xr3:uid="{65F9D24A-12A8-4DC1-AC3A-3FF5694D01CB}" name="Colonne4985"/>
    <tableColumn id="4994" xr3:uid="{93ABFD76-1016-4027-8A01-2B8F1A806401}" name="Colonne4986"/>
    <tableColumn id="4995" xr3:uid="{8516DB51-E65D-4DCA-B623-64888C890C69}" name="Colonne4987"/>
    <tableColumn id="4996" xr3:uid="{91CC2A1D-EF27-4858-9EC1-9BF87C1A23A0}" name="Colonne4988"/>
    <tableColumn id="4997" xr3:uid="{01B56E3A-A16F-4CC5-856A-66554C6E07D0}" name="Colonne4989"/>
    <tableColumn id="4998" xr3:uid="{BF3E6B9C-B460-42F4-AE83-DC56DC26DB5F}" name="Colonne4990"/>
    <tableColumn id="4999" xr3:uid="{AFA001A0-6816-4C38-A185-967D758EDEC5}" name="Colonne4991"/>
    <tableColumn id="5000" xr3:uid="{7FCC5A33-0F88-4065-95F5-86CD69F8F4B0}" name="Colonne4992"/>
    <tableColumn id="5001" xr3:uid="{487DF2FD-E503-4975-9E25-D766EE27C77B}" name="Colonne4993"/>
    <tableColumn id="5002" xr3:uid="{3D36782A-F117-4077-A7D9-1296D04CE72C}" name="Colonne4994"/>
    <tableColumn id="5003" xr3:uid="{5A612101-1D56-41FA-9D2C-17BF649C242A}" name="Colonne4995"/>
    <tableColumn id="5004" xr3:uid="{0B8899AF-A65B-418B-B4A7-89027F3C355B}" name="Colonne4996"/>
    <tableColumn id="5005" xr3:uid="{7B209B25-FBEC-49DA-8EE0-DB9A034CF8FD}" name="Colonne4997"/>
    <tableColumn id="5006" xr3:uid="{E5E6D885-CA4C-46B7-998D-EA2957D8CC5E}" name="Colonne4998"/>
    <tableColumn id="5007" xr3:uid="{A2C8DB91-4B71-4EEC-96CC-FC9D3A42BBD3}" name="Colonne4999"/>
    <tableColumn id="5008" xr3:uid="{D8CB7AD8-39DF-4035-8E4D-D9BCEB540D3A}" name="Colonne5000"/>
    <tableColumn id="5009" xr3:uid="{ED8FE2E2-D485-4430-BF32-005D205BF3C8}" name="Colonne5001"/>
    <tableColumn id="5010" xr3:uid="{046BD497-181A-4950-A85E-044AD45906CE}" name="Colonne5002"/>
    <tableColumn id="5011" xr3:uid="{A9FBD7DE-ED7E-45FC-AC48-AE92599F3B4C}" name="Colonne5003"/>
    <tableColumn id="5012" xr3:uid="{30F338E2-E17D-4EFA-8DE0-0187F151024A}" name="Colonne5004"/>
    <tableColumn id="5013" xr3:uid="{E98A7DF1-5266-4C34-9D5D-5C3C378C08B8}" name="Colonne5005"/>
    <tableColumn id="5014" xr3:uid="{F715429F-DD23-47C3-959A-75CF56B312A5}" name="Colonne5006"/>
    <tableColumn id="5015" xr3:uid="{B7CDF4F4-EB2A-4391-BE28-2865AA6A4324}" name="Colonne5007"/>
    <tableColumn id="5016" xr3:uid="{5A70F451-9EBC-4B5B-A31D-92940E46891D}" name="Colonne5008"/>
    <tableColumn id="5017" xr3:uid="{D2DCBBA2-D04C-46CE-8A05-BCA67FBEB052}" name="Colonne5009"/>
    <tableColumn id="5018" xr3:uid="{1A73DE4E-4F88-45A0-B954-1D59B20BD68A}" name="Colonne5010"/>
    <tableColumn id="5019" xr3:uid="{6E180510-F80F-4733-8871-3DBB3A4BBD54}" name="Colonne5011"/>
    <tableColumn id="5020" xr3:uid="{35464270-1691-4830-8D60-44D65D126459}" name="Colonne5012"/>
    <tableColumn id="5021" xr3:uid="{181B4C3D-2625-47EC-BD68-2526D854B546}" name="Colonne5013"/>
    <tableColumn id="5022" xr3:uid="{8B495439-2A33-4C0A-B6CB-50C47D03E3BD}" name="Colonne5014"/>
    <tableColumn id="5023" xr3:uid="{7D2FB504-80A8-40B2-B0D4-22F986B2781C}" name="Colonne5015"/>
    <tableColumn id="5024" xr3:uid="{5825819F-314D-4D54-A7B6-50E406DD7E71}" name="Colonne5016"/>
    <tableColumn id="5025" xr3:uid="{79ADF807-F82B-410B-8FCC-8537C34CAFAC}" name="Colonne5017"/>
    <tableColumn id="5026" xr3:uid="{EC8E60B1-137E-4CF8-B829-C704242BBA01}" name="Colonne5018"/>
    <tableColumn id="5027" xr3:uid="{20C56CE8-8BDD-4112-BB2E-0B9E3AA6A658}" name="Colonne5019"/>
    <tableColumn id="5028" xr3:uid="{E8AB2FD0-EFCB-4A72-A77D-B751261C6337}" name="Colonne5020"/>
    <tableColumn id="5029" xr3:uid="{A468BAC4-4D1B-4F0C-9B86-971869418F6B}" name="Colonne5021"/>
    <tableColumn id="5030" xr3:uid="{57C276F6-7343-446B-8B21-4AFA8372199F}" name="Colonne5022"/>
    <tableColumn id="5031" xr3:uid="{931EE9B6-CE83-4AF4-841C-CA13C8C32457}" name="Colonne5023"/>
    <tableColumn id="5032" xr3:uid="{5B87F682-64B2-47BB-9EEB-FF28CF157D77}" name="Colonne5024"/>
    <tableColumn id="5033" xr3:uid="{E1C4C5FE-EEC6-4AC4-9F3F-7C3F59C1C69E}" name="Colonne5025"/>
    <tableColumn id="5034" xr3:uid="{F615DE40-8D73-429B-BE36-8D6BE4490D3C}" name="Colonne5026"/>
    <tableColumn id="5035" xr3:uid="{1F3F9131-D810-4617-8271-643749887043}" name="Colonne5027"/>
    <tableColumn id="5036" xr3:uid="{A0C68F75-1F16-4890-A671-91BD4BBECABE}" name="Colonne5028"/>
    <tableColumn id="5037" xr3:uid="{C7A8D371-5C2D-4B87-8F94-43256780B05C}" name="Colonne5029"/>
    <tableColumn id="5038" xr3:uid="{4B32D8D9-9DA4-4409-AEA6-FFE7616CB261}" name="Colonne5030"/>
    <tableColumn id="5039" xr3:uid="{822C4230-98AD-4FCC-A1EE-EDD575C731FB}" name="Colonne5031"/>
    <tableColumn id="5040" xr3:uid="{BB79981E-556A-4A31-9067-5C758E07E576}" name="Colonne5032"/>
    <tableColumn id="5041" xr3:uid="{FB02EB5C-C0B3-4DD8-BAF6-70117AA6AD65}" name="Colonne5033"/>
    <tableColumn id="5042" xr3:uid="{3D9A9CC7-B7C4-4A58-A924-493F1D72E1E9}" name="Colonne5034"/>
    <tableColumn id="5043" xr3:uid="{DBE0543B-E213-4A37-8045-6D07404C2D5C}" name="Colonne5035"/>
    <tableColumn id="5044" xr3:uid="{8FDE8C2F-D926-4A74-81D8-F3AC2A63326F}" name="Colonne5036"/>
    <tableColumn id="5045" xr3:uid="{3A3E1644-6CDD-4D34-97A2-15B11BB5A618}" name="Colonne5037"/>
    <tableColumn id="5046" xr3:uid="{32A806EE-AB47-4483-B38E-F7A387B3099D}" name="Colonne5038"/>
    <tableColumn id="5047" xr3:uid="{92E3C3FA-F08A-4433-A48B-967042046B69}" name="Colonne5039"/>
    <tableColumn id="5048" xr3:uid="{ACAAD0D9-4F23-40D3-BA97-0C899DAE25D3}" name="Colonne5040"/>
    <tableColumn id="5049" xr3:uid="{C4C4BDD3-3588-4264-A77C-853C750A267F}" name="Colonne5041"/>
    <tableColumn id="5050" xr3:uid="{37EDC2BD-01A0-4555-8CA6-7CCB5E028F02}" name="Colonne5042"/>
    <tableColumn id="5051" xr3:uid="{DD8DF52C-8337-468D-9712-E58854293106}" name="Colonne5043"/>
    <tableColumn id="5052" xr3:uid="{D81881B1-59F0-491B-A8BF-36AF4315B678}" name="Colonne5044"/>
    <tableColumn id="5053" xr3:uid="{FA4B5079-42A1-4DC7-94FD-CCD5112F28AD}" name="Colonne5045"/>
    <tableColumn id="5054" xr3:uid="{83FD79E8-EB3A-4931-ABAE-C6C7370D7E82}" name="Colonne5046"/>
    <tableColumn id="5055" xr3:uid="{5DC49DD0-0754-4B93-B488-DBBEFA639406}" name="Colonne5047"/>
    <tableColumn id="5056" xr3:uid="{8B97305E-B373-4EBC-8719-BC8907FC017C}" name="Colonne5048"/>
    <tableColumn id="5057" xr3:uid="{7F46CCF7-59A3-4CBA-99AB-F631ED60DBB2}" name="Colonne5049"/>
    <tableColumn id="5058" xr3:uid="{CFFAA2CA-C699-46BA-A657-ADAE65C4670D}" name="Colonne5050"/>
    <tableColumn id="5059" xr3:uid="{BAD34584-1E6A-4A91-B599-139FF2667251}" name="Colonne5051"/>
    <tableColumn id="5060" xr3:uid="{3F7ED6D7-40B2-4EAE-A5C3-DF133346507D}" name="Colonne5052"/>
    <tableColumn id="5061" xr3:uid="{14D3E321-C450-4FD9-94AC-00856DED6A33}" name="Colonne5053"/>
    <tableColumn id="5062" xr3:uid="{377468C2-392F-4134-94C3-524FED437245}" name="Colonne5054"/>
    <tableColumn id="5063" xr3:uid="{EE459783-91F6-4C93-ABE9-41C3E417C6B2}" name="Colonne5055"/>
    <tableColumn id="5064" xr3:uid="{6F38FBF0-C287-4C87-9CE2-E4262DC3F4A2}" name="Colonne5056"/>
    <tableColumn id="5065" xr3:uid="{7F49A6A9-1708-489D-847D-563C5762E998}" name="Colonne5057"/>
    <tableColumn id="5066" xr3:uid="{25EE9E6E-DEE7-4624-8CA4-D255F93613CF}" name="Colonne5058"/>
    <tableColumn id="5067" xr3:uid="{697ABEFD-658E-4468-A330-877E124D0EC6}" name="Colonne5059"/>
    <tableColumn id="5068" xr3:uid="{E4E39E04-DEE1-4044-BF73-DA4E034EBD07}" name="Colonne5060"/>
    <tableColumn id="5069" xr3:uid="{E90A1632-BEC8-47FF-AC20-A6A2EB84F7FD}" name="Colonne5061"/>
    <tableColumn id="5070" xr3:uid="{148B928F-3040-4221-94A6-C84342DBE78A}" name="Colonne5062"/>
    <tableColumn id="5071" xr3:uid="{22C92018-1202-42B4-B61B-446CFDC0BC70}" name="Colonne5063"/>
    <tableColumn id="5072" xr3:uid="{F2F4D6A2-B23B-4DFF-8D66-EF64837970E1}" name="Colonne5064"/>
    <tableColumn id="5073" xr3:uid="{0BD7DE12-D2CE-46FB-B754-9FF99A110590}" name="Colonne5065"/>
    <tableColumn id="5074" xr3:uid="{9AB583A0-E92B-49F1-A44F-D7587547E20F}" name="Colonne5066"/>
    <tableColumn id="5075" xr3:uid="{2F073C08-EDEB-4220-8DB1-2C860946FECE}" name="Colonne5067"/>
    <tableColumn id="5076" xr3:uid="{9FCB672F-2526-4736-9162-1DBCB0156272}" name="Colonne5068"/>
    <tableColumn id="5077" xr3:uid="{216013F3-9BDF-4CEC-8449-8E093CFDC878}" name="Colonne5069"/>
    <tableColumn id="5078" xr3:uid="{22AF5F4A-765E-46E5-BA86-E7A9D0D3CB18}" name="Colonne5070"/>
    <tableColumn id="5079" xr3:uid="{33FCE367-BDA0-4BF9-BA8D-571F4B80C004}" name="Colonne5071"/>
    <tableColumn id="5080" xr3:uid="{0BE386A1-936D-4A49-BFA0-4983EAC01698}" name="Colonne5072"/>
    <tableColumn id="5081" xr3:uid="{6BDCC9A4-95ED-46E1-8A9E-6F48EE920C65}" name="Colonne5073"/>
    <tableColumn id="5082" xr3:uid="{3826B7D0-4C70-4705-97E4-A28744CF3CF4}" name="Colonne5074"/>
    <tableColumn id="5083" xr3:uid="{476C2CBB-04C5-4F39-AB5D-178262537A8E}" name="Colonne5075"/>
    <tableColumn id="5084" xr3:uid="{8C503473-6371-4333-A06B-7A29D73C745D}" name="Colonne5076"/>
    <tableColumn id="5085" xr3:uid="{CD73A607-8A6C-4C1E-BDC7-C094ED27D75C}" name="Colonne5077"/>
    <tableColumn id="5086" xr3:uid="{FC4A008D-4200-4809-B2E9-9313CC10ABA1}" name="Colonne5078"/>
    <tableColumn id="5087" xr3:uid="{C40941A2-BC9D-4200-A21E-1C1B2E8CD42C}" name="Colonne5079"/>
    <tableColumn id="5088" xr3:uid="{1C4DFCB4-16FF-4C44-9307-B26E6D9C8D58}" name="Colonne5080"/>
    <tableColumn id="5089" xr3:uid="{E7838CF4-26FB-4BFD-932B-93DAC93C5B6F}" name="Colonne5081"/>
    <tableColumn id="5090" xr3:uid="{6657D4CA-6A1C-4282-AF0F-F406036F73E9}" name="Colonne5082"/>
    <tableColumn id="5091" xr3:uid="{7DA29A40-835E-4B81-98C5-7AF7BA20D514}" name="Colonne5083"/>
    <tableColumn id="5092" xr3:uid="{35AD9207-A3CE-48ED-91CA-E415C5E42F13}" name="Colonne5084"/>
    <tableColumn id="5093" xr3:uid="{675B4611-D19F-4136-8CB6-04255A9CD413}" name="Colonne5085"/>
    <tableColumn id="5094" xr3:uid="{21839B3F-C058-4F65-9E0A-D215A213F1DF}" name="Colonne5086"/>
    <tableColumn id="5095" xr3:uid="{90CBE9F5-3D4E-4854-B910-4C02FC58655D}" name="Colonne5087"/>
    <tableColumn id="5096" xr3:uid="{0DD5CB51-8CF5-43B4-9102-C811302D97A2}" name="Colonne5088"/>
    <tableColumn id="5097" xr3:uid="{BEE4BD7D-9051-4861-862A-99AD4BF3F4BE}" name="Colonne5089"/>
    <tableColumn id="5098" xr3:uid="{8008B510-CFA6-4F35-B34E-546052638117}" name="Colonne5090"/>
    <tableColumn id="5099" xr3:uid="{5AEA3220-CEA3-44E0-A827-236FCAA5E000}" name="Colonne5091"/>
    <tableColumn id="5100" xr3:uid="{A2741E20-948F-4A6C-877A-E0783311C568}" name="Colonne5092"/>
    <tableColumn id="5101" xr3:uid="{766030DF-F0EF-47C9-B507-5725E4090E17}" name="Colonne5093"/>
    <tableColumn id="5102" xr3:uid="{08F0E618-071D-47B7-909D-CBDB455FDCA3}" name="Colonne5094"/>
    <tableColumn id="5103" xr3:uid="{72D05596-7377-435B-9263-EFEFED475CDA}" name="Colonne5095"/>
    <tableColumn id="5104" xr3:uid="{1819F600-A5BE-4E15-9210-BF96EBB00E65}" name="Colonne5096"/>
    <tableColumn id="5105" xr3:uid="{6D08B32A-E068-4987-8403-3ABEF2DFE438}" name="Colonne5097"/>
    <tableColumn id="5106" xr3:uid="{5F55BA25-6E71-45DE-9C0D-A88093BCE5E4}" name="Colonne5098"/>
    <tableColumn id="5107" xr3:uid="{C3290DED-525F-44A8-AFEC-86215FA1335B}" name="Colonne5099"/>
    <tableColumn id="5108" xr3:uid="{0AC2239F-7ACE-4267-B0EC-11A2E71AA9CA}" name="Colonne5100"/>
    <tableColumn id="5109" xr3:uid="{7A03CC67-3BB6-49E7-BDBA-621D93A5CD8C}" name="Colonne5101"/>
    <tableColumn id="5110" xr3:uid="{27B7E86C-CAF6-4B07-82C0-0D5702A3F1BE}" name="Colonne5102"/>
    <tableColumn id="5111" xr3:uid="{947F5CD3-7FBB-4930-86EF-572E070A75D8}" name="Colonne5103"/>
    <tableColumn id="5112" xr3:uid="{A423329D-E5ED-4193-A6FC-C60BE1ED5966}" name="Colonne5104"/>
    <tableColumn id="5113" xr3:uid="{36AC8D36-1DFC-4B91-875D-9241ABDDFC5C}" name="Colonne5105"/>
    <tableColumn id="5114" xr3:uid="{D45EF5AA-6327-494E-8F6F-5FDAC652FD98}" name="Colonne5106"/>
    <tableColumn id="5115" xr3:uid="{910AA3B9-711A-4810-8330-87412554BDBD}" name="Colonne5107"/>
    <tableColumn id="5116" xr3:uid="{7FBA429B-6E93-4072-9109-40BC0C596E42}" name="Colonne5108"/>
    <tableColumn id="5117" xr3:uid="{5BA5EFA3-8872-4EA0-B474-41941BB1AFE3}" name="Colonne5109"/>
    <tableColumn id="5118" xr3:uid="{1720C8C8-27A4-4014-AA94-D20396302244}" name="Colonne5110"/>
    <tableColumn id="5119" xr3:uid="{C86CFDDB-32CF-4F7C-94A4-5722B7A3E0CD}" name="Colonne5111"/>
    <tableColumn id="5120" xr3:uid="{2FD5F7F9-FDE7-4150-BEFD-02F60D76E495}" name="Colonne5112"/>
    <tableColumn id="5121" xr3:uid="{C921BD24-911D-4BE5-928F-0AE2A1B1CA1F}" name="Colonne5113"/>
    <tableColumn id="5122" xr3:uid="{A5904145-09EA-4154-B381-BAEF77B8C7CC}" name="Colonne5114"/>
    <tableColumn id="5123" xr3:uid="{CA444482-9EA7-4564-906F-79A213DD4063}" name="Colonne5115"/>
    <tableColumn id="5124" xr3:uid="{07EA3987-7B94-41CA-86C1-5888FB167B7A}" name="Colonne5116"/>
    <tableColumn id="5125" xr3:uid="{802C2A18-5B7C-4077-9011-32EF02EEDE2A}" name="Colonne5117"/>
    <tableColumn id="5126" xr3:uid="{5DA344E3-4C61-414D-9354-21E37B52E35A}" name="Colonne5118"/>
    <tableColumn id="5127" xr3:uid="{2EC91DC7-1F57-45E8-94DB-7B89082AD7EE}" name="Colonne5119"/>
    <tableColumn id="5128" xr3:uid="{AE1586D2-9908-40C7-8BC0-83210B6AD515}" name="Colonne5120"/>
    <tableColumn id="5129" xr3:uid="{BC12F312-A56B-408E-BB2C-D769F58B1C4C}" name="Colonne5121"/>
    <tableColumn id="5130" xr3:uid="{EDC6FC16-BDF1-4CB7-B764-9EC74723D759}" name="Colonne5122"/>
    <tableColumn id="5131" xr3:uid="{35C16844-854D-4082-A7C1-FFB757AC6528}" name="Colonne5123"/>
    <tableColumn id="5132" xr3:uid="{EABA2440-338A-416C-B2B0-AE850472A4FF}" name="Colonne5124"/>
    <tableColumn id="5133" xr3:uid="{30C36359-C032-4458-9AE6-2A16A05B726A}" name="Colonne5125"/>
    <tableColumn id="5134" xr3:uid="{A0713E7F-23D6-461D-A7F8-C21359F60F6B}" name="Colonne5126"/>
    <tableColumn id="5135" xr3:uid="{07546790-C1DF-4C52-A5CC-34E91D205926}" name="Colonne5127"/>
    <tableColumn id="5136" xr3:uid="{2C7486BF-9526-405E-9266-94D7D5C4C047}" name="Colonne5128"/>
    <tableColumn id="5137" xr3:uid="{985D8EB2-9C9C-4ED6-9716-550849D4DEA1}" name="Colonne5129"/>
    <tableColumn id="5138" xr3:uid="{B7CE1984-A883-4480-9522-9CCAB6C71901}" name="Colonne5130"/>
    <tableColumn id="5139" xr3:uid="{3B9551C7-26E2-4FDC-8A10-2E834BAB8C34}" name="Colonne5131"/>
    <tableColumn id="5140" xr3:uid="{4D61D936-8A4E-4E73-A7D2-5EA8461F5489}" name="Colonne5132"/>
    <tableColumn id="5141" xr3:uid="{22AB008B-090B-4EBB-8384-9E1107A04C8D}" name="Colonne5133"/>
    <tableColumn id="5142" xr3:uid="{F03A1F32-BF08-4674-88F9-4D691113BDB3}" name="Colonne5134"/>
    <tableColumn id="5143" xr3:uid="{9C394C87-8327-4AE0-B8A7-DA8CD15CBEE2}" name="Colonne5135"/>
    <tableColumn id="5144" xr3:uid="{6BF010BD-E26E-4EEE-AAD3-4B400C894A08}" name="Colonne5136"/>
    <tableColumn id="5145" xr3:uid="{7DA4D8EF-6E0D-4C69-A61B-A04CA9D1D40C}" name="Colonne5137"/>
    <tableColumn id="5146" xr3:uid="{92DDD4A9-A591-4A43-9C84-DFA5D9D06489}" name="Colonne5138"/>
    <tableColumn id="5147" xr3:uid="{B7E3FC54-AF34-403D-AA43-58F98491D40B}" name="Colonne5139"/>
    <tableColumn id="5148" xr3:uid="{C5129114-BDD3-488A-A134-381D72CE51B0}" name="Colonne5140"/>
    <tableColumn id="5149" xr3:uid="{7D4135D6-4B51-4B91-80C6-1F12A7BF38E2}" name="Colonne5141"/>
    <tableColumn id="5150" xr3:uid="{3DAA038E-C72A-42B9-BBA7-9D5FDBBC9890}" name="Colonne5142"/>
    <tableColumn id="5151" xr3:uid="{2CE668F3-EE14-43DE-A0DB-877A0E824E79}" name="Colonne5143"/>
    <tableColumn id="5152" xr3:uid="{9DC4D41E-2D36-49D1-A340-FA150F47EABF}" name="Colonne5144"/>
    <tableColumn id="5153" xr3:uid="{3C17EB73-0DC3-4E01-AD11-1CFC49954314}" name="Colonne5145"/>
    <tableColumn id="5154" xr3:uid="{B4931207-93FC-4186-AED0-6BCF9D640AB2}" name="Colonne5146"/>
    <tableColumn id="5155" xr3:uid="{E6DF0F71-7786-49F5-8419-499C37F76AEA}" name="Colonne5147"/>
    <tableColumn id="5156" xr3:uid="{E7922E71-8EF1-4824-9F70-27018933FBBB}" name="Colonne5148"/>
    <tableColumn id="5157" xr3:uid="{1F937740-D107-4894-8AE3-FAB2143AEB91}" name="Colonne5149"/>
    <tableColumn id="5158" xr3:uid="{33FF807C-C311-463A-9549-0FB9975F7F54}" name="Colonne5150"/>
    <tableColumn id="5159" xr3:uid="{283DC374-6FB7-4CBA-9BAC-6DB4C4132660}" name="Colonne5151"/>
    <tableColumn id="5160" xr3:uid="{4052EF66-5D47-4277-961A-243049D0DF0B}" name="Colonne5152"/>
    <tableColumn id="5161" xr3:uid="{498ED487-D5A4-4369-8BF8-BDE0D1D62F96}" name="Colonne5153"/>
    <tableColumn id="5162" xr3:uid="{75A47129-DF08-4E14-B9BE-8DFD2121E70A}" name="Colonne5154"/>
    <tableColumn id="5163" xr3:uid="{C1794952-7CE6-4B28-955F-DB737886B30E}" name="Colonne5155"/>
    <tableColumn id="5164" xr3:uid="{6774C3EC-69BF-4A94-829A-B9F7F7A379EE}" name="Colonne5156"/>
    <tableColumn id="5165" xr3:uid="{DC515326-FD74-4959-A372-50D8F8E4453A}" name="Colonne5157"/>
    <tableColumn id="5166" xr3:uid="{D52D6B0E-4541-4A1A-8722-C3AED3E67E38}" name="Colonne5158"/>
    <tableColumn id="5167" xr3:uid="{13497CCC-2F15-488B-A540-440FE58C90DE}" name="Colonne5159"/>
    <tableColumn id="5168" xr3:uid="{FD28E95D-86A4-4BB7-8F39-6B337AF7A463}" name="Colonne5160"/>
    <tableColumn id="5169" xr3:uid="{B72167CF-4D79-4B77-ADB5-DA13D2E563CE}" name="Colonne5161"/>
    <tableColumn id="5170" xr3:uid="{6497A18A-1D13-4ED5-86D8-9E026E9D81CB}" name="Colonne5162"/>
    <tableColumn id="5171" xr3:uid="{4E8517A8-7977-45B1-8588-DB94B888901D}" name="Colonne5163"/>
    <tableColumn id="5172" xr3:uid="{22CC11CA-05D5-4955-A6D7-8922EBCD7CB2}" name="Colonne5164"/>
    <tableColumn id="5173" xr3:uid="{896516AF-9F5D-4BCB-98B7-E66621DFC1EE}" name="Colonne5165"/>
    <tableColumn id="5174" xr3:uid="{EDAA3EFF-955D-4A5F-83DB-668B6208FFD1}" name="Colonne5166"/>
    <tableColumn id="5175" xr3:uid="{40BC757A-8C0F-43A8-B142-7B2688E1F015}" name="Colonne5167"/>
    <tableColumn id="5176" xr3:uid="{69FF2AB2-BA15-4073-A236-A0295F0B4782}" name="Colonne5168"/>
    <tableColumn id="5177" xr3:uid="{16F8E752-07FD-426B-8AA2-E71F7FB1AC5B}" name="Colonne5169"/>
    <tableColumn id="5178" xr3:uid="{7900E96E-8BA4-4CB9-AF30-3067B1DA43E8}" name="Colonne5170"/>
    <tableColumn id="5179" xr3:uid="{3C0973EA-8202-4C76-84CD-D92AB8F4B7B8}" name="Colonne5171"/>
    <tableColumn id="5180" xr3:uid="{B1EBFB44-FAB5-4E41-BED8-27E7D1ADB5F2}" name="Colonne5172"/>
    <tableColumn id="5181" xr3:uid="{81F48F16-2E34-45FC-AC7C-C7C55E60E6FB}" name="Colonne5173"/>
    <tableColumn id="5182" xr3:uid="{A258B930-F02F-44B0-997E-8C336DBD7ED8}" name="Colonne5174"/>
    <tableColumn id="5183" xr3:uid="{5D7B705C-5B39-44F8-8B86-EFE11D11EDA3}" name="Colonne5175"/>
    <tableColumn id="5184" xr3:uid="{A52082C8-B69A-41AC-84A0-24279B94E873}" name="Colonne5176"/>
    <tableColumn id="5185" xr3:uid="{C2A51BA8-B1CB-437B-8BBD-FC81CA51F7F6}" name="Colonne5177"/>
    <tableColumn id="5186" xr3:uid="{50D07432-2A60-44D4-97F3-BE052BF61719}" name="Colonne5178"/>
    <tableColumn id="5187" xr3:uid="{E99DFB61-1E94-4541-943C-BE9E594B87C5}" name="Colonne5179"/>
    <tableColumn id="5188" xr3:uid="{66AE28C8-9D59-492A-BC02-30F09DD3BCDA}" name="Colonne5180"/>
    <tableColumn id="5189" xr3:uid="{4A80371E-AC89-41A7-9CD6-ED65E74F80C1}" name="Colonne5181"/>
    <tableColumn id="5190" xr3:uid="{0B7095E8-5EEB-4B36-8B03-FDDBABDD27CB}" name="Colonne5182"/>
    <tableColumn id="5191" xr3:uid="{DBCD9E6C-E193-43B0-99BB-3F0EF736480A}" name="Colonne5183"/>
    <tableColumn id="5192" xr3:uid="{A246DDEE-8A45-4576-B4CD-B49B17572DA4}" name="Colonne5184"/>
    <tableColumn id="5193" xr3:uid="{B68BAACC-BD04-492B-BAD6-517BF87D368F}" name="Colonne5185"/>
    <tableColumn id="5194" xr3:uid="{55400D6E-4BD0-47DB-854A-6A1B6B52628B}" name="Colonne5186"/>
    <tableColumn id="5195" xr3:uid="{91E65AB0-AE69-4CAF-8638-6360B37E74AD}" name="Colonne5187"/>
    <tableColumn id="5196" xr3:uid="{67EFC8E7-4034-46A4-8729-A8DFE9FD7F74}" name="Colonne5188"/>
    <tableColumn id="5197" xr3:uid="{442E2677-9CE1-44B6-859D-F085A01FC4AD}" name="Colonne5189"/>
    <tableColumn id="5198" xr3:uid="{154E8185-CD4A-4AAE-88D4-73C085A93F98}" name="Colonne5190"/>
    <tableColumn id="5199" xr3:uid="{084D7CF2-0A29-43A9-99FF-C7DDDA44A561}" name="Colonne5191"/>
    <tableColumn id="5200" xr3:uid="{67636278-E317-46BC-82BB-C63C04CAF415}" name="Colonne5192"/>
    <tableColumn id="5201" xr3:uid="{AA5707E3-0D47-46A6-969A-753878D4ECF1}" name="Colonne5193"/>
    <tableColumn id="5202" xr3:uid="{0A7719CA-9EB9-44E1-88F7-495F3B4E3A5C}" name="Colonne5194"/>
    <tableColumn id="5203" xr3:uid="{94C0B501-80A7-436C-BA20-94C52B3DAEA7}" name="Colonne5195"/>
    <tableColumn id="5204" xr3:uid="{4F7D4F6A-A1BF-4B56-BB98-6DDB23CFA48A}" name="Colonne5196"/>
    <tableColumn id="5205" xr3:uid="{55E595D7-12BD-4CC1-9DAF-7CA0F565E4F7}" name="Colonne5197"/>
    <tableColumn id="5206" xr3:uid="{0E172E04-B5AD-490D-9BDC-2D1EB0B4A07E}" name="Colonne5198"/>
    <tableColumn id="5207" xr3:uid="{E1DA80E1-26BD-48E8-A83A-FEA54658AA2B}" name="Colonne5199"/>
    <tableColumn id="5208" xr3:uid="{22EE7B01-3B1D-4EBA-9A36-F9459B295607}" name="Colonne5200"/>
    <tableColumn id="5209" xr3:uid="{3D236009-8051-4C26-8610-BD5FEC95CD8E}" name="Colonne5201"/>
    <tableColumn id="5210" xr3:uid="{6BBA6450-68D3-478E-A042-A78F80132ABB}" name="Colonne5202"/>
    <tableColumn id="5211" xr3:uid="{DFAC5DAB-4738-4520-983A-0F937A56328C}" name="Colonne5203"/>
    <tableColumn id="5212" xr3:uid="{AB8EB4BC-C4D4-4BED-9198-261949E416EF}" name="Colonne5204"/>
    <tableColumn id="5213" xr3:uid="{B0B5B692-4E23-4F62-9623-7F8A6713AD77}" name="Colonne5205"/>
    <tableColumn id="5214" xr3:uid="{D1125B32-E012-435D-8721-F02A9CB12A86}" name="Colonne5206"/>
    <tableColumn id="5215" xr3:uid="{26DFCC7F-3249-4A34-A507-FCB5F1D4C705}" name="Colonne5207"/>
    <tableColumn id="5216" xr3:uid="{62C8A053-A937-4004-80B8-43A08BE6FF07}" name="Colonne5208"/>
    <tableColumn id="5217" xr3:uid="{B7D01449-94C4-4E5E-A654-E88AF760850A}" name="Colonne5209"/>
    <tableColumn id="5218" xr3:uid="{D7EFCAF0-EFAC-47C3-A744-7C034E4DCAA7}" name="Colonne5210"/>
    <tableColumn id="5219" xr3:uid="{04A9EB74-B873-49DE-847A-34CB62510D40}" name="Colonne5211"/>
    <tableColumn id="5220" xr3:uid="{287F45D2-0BB9-4716-B8B6-C297A58ED9BB}" name="Colonne5212"/>
    <tableColumn id="5221" xr3:uid="{FCD256BA-AC8B-4A5F-AFFC-BC59D018E090}" name="Colonne5213"/>
    <tableColumn id="5222" xr3:uid="{FA72D46C-D678-4886-9F6E-2D69908EEAB3}" name="Colonne5214"/>
    <tableColumn id="5223" xr3:uid="{774B930D-C058-4113-B15A-654763A08F98}" name="Colonne5215"/>
    <tableColumn id="5224" xr3:uid="{8BB8071F-BB69-4DB5-A449-3FEDA0F51F1A}" name="Colonne5216"/>
    <tableColumn id="5225" xr3:uid="{A13D5DAD-E352-4681-B76B-DF4C0849EA39}" name="Colonne5217"/>
    <tableColumn id="5226" xr3:uid="{1D8462C0-3CB2-49B8-B13C-876D6C7BD057}" name="Colonne5218"/>
    <tableColumn id="5227" xr3:uid="{95F1FD39-D11C-4CF1-92B0-355888776ECF}" name="Colonne5219"/>
    <tableColumn id="5228" xr3:uid="{15E04A62-2C58-4F8F-AB3B-F921926FEB03}" name="Colonne5220"/>
    <tableColumn id="5229" xr3:uid="{5E48C35D-F8AF-401B-81B8-194EB96D7CF4}" name="Colonne5221"/>
    <tableColumn id="5230" xr3:uid="{A2275781-294C-4A0C-A55B-BFC1CE9B5CB4}" name="Colonne5222"/>
    <tableColumn id="5231" xr3:uid="{71A8C443-8956-4D69-AE76-7A9731D20B73}" name="Colonne5223"/>
    <tableColumn id="5232" xr3:uid="{4DF98D77-B39A-4117-9225-6025CA5B3BE6}" name="Colonne5224"/>
    <tableColumn id="5233" xr3:uid="{11359CBA-B093-443E-B874-1C2FBE59E86C}" name="Colonne5225"/>
    <tableColumn id="5234" xr3:uid="{8CAA7DF4-1F22-41A3-A883-E5C7AB6DE038}" name="Colonne5226"/>
    <tableColumn id="5235" xr3:uid="{37A82CF7-E7BE-4C2D-B2B9-89DCC5AA17F9}" name="Colonne5227"/>
    <tableColumn id="5236" xr3:uid="{A1CDAA8A-3F4B-4C37-923F-8AF68235A2AF}" name="Colonne5228"/>
    <tableColumn id="5237" xr3:uid="{4DF98582-CEAB-4C9B-A262-AF75FFAEF892}" name="Colonne5229"/>
    <tableColumn id="5238" xr3:uid="{0A67668D-8577-4402-9ED3-82FB7ACCADFD}" name="Colonne5230"/>
    <tableColumn id="5239" xr3:uid="{6E9934DA-B0BB-4246-A558-E4F7B458D853}" name="Colonne5231"/>
    <tableColumn id="5240" xr3:uid="{8DC8BDBF-4AF7-459C-ACB5-F54C1D20DD6D}" name="Colonne5232"/>
    <tableColumn id="5241" xr3:uid="{2DBC73CB-F4CE-42CA-8670-292BE5149621}" name="Colonne5233"/>
    <tableColumn id="5242" xr3:uid="{0E6C0F74-F56E-41AF-8964-4FE307384044}" name="Colonne5234"/>
    <tableColumn id="5243" xr3:uid="{5CD5A24D-31F9-4C1E-B264-48CA45B3A929}" name="Colonne5235"/>
    <tableColumn id="5244" xr3:uid="{93AE93CF-DCC5-4EB1-838A-89561DC53E2E}" name="Colonne5236"/>
    <tableColumn id="5245" xr3:uid="{8C26D73F-B7EB-49DC-AD5F-CB03A28795C6}" name="Colonne5237"/>
    <tableColumn id="5246" xr3:uid="{4EB0F16D-DF59-4D5E-8BC1-EE9F218304E1}" name="Colonne5238"/>
    <tableColumn id="5247" xr3:uid="{8E449CD0-A6E9-408A-A4EC-8322C6BBE2E4}" name="Colonne5239"/>
    <tableColumn id="5248" xr3:uid="{E52D39DD-F656-48E0-868E-9EA5534D5D4E}" name="Colonne5240"/>
    <tableColumn id="5249" xr3:uid="{593DEE67-4279-4005-B137-676DC0F8C8F6}" name="Colonne5241"/>
    <tableColumn id="5250" xr3:uid="{81241067-F5ED-4008-B205-CD128866CFA2}" name="Colonne5242"/>
    <tableColumn id="5251" xr3:uid="{223A8B81-4FA9-49D1-8ABB-C2E15FABA28E}" name="Colonne5243"/>
    <tableColumn id="5252" xr3:uid="{706CC9FC-66B9-407F-A218-D863C6AFEE44}" name="Colonne5244"/>
    <tableColumn id="5253" xr3:uid="{FC1A3E84-E6F0-46F8-86FE-9D0C9A3AACC3}" name="Colonne5245"/>
    <tableColumn id="5254" xr3:uid="{B9BE98AB-AD05-40C1-92B6-8290E036A26B}" name="Colonne5246"/>
    <tableColumn id="5255" xr3:uid="{B18D8788-FF53-4A7F-A316-3488E1335976}" name="Colonne5247"/>
    <tableColumn id="5256" xr3:uid="{171EF4CD-7A68-447A-BBAE-A7B10B41C720}" name="Colonne5248"/>
    <tableColumn id="5257" xr3:uid="{BD025CCA-9DBB-440A-8A17-4C9EC4831E92}" name="Colonne5249"/>
    <tableColumn id="5258" xr3:uid="{CA114CAD-3970-4F87-A36C-23E0EE4D20FA}" name="Colonne5250"/>
    <tableColumn id="5259" xr3:uid="{95C19014-0A91-4868-899F-3E4AF3CC41D6}" name="Colonne5251"/>
    <tableColumn id="5260" xr3:uid="{FDC0A216-DA91-434E-9027-05BEF5CD3A27}" name="Colonne5252"/>
    <tableColumn id="5261" xr3:uid="{7A3881FE-C1D4-4FB8-B142-5FAD0AFE11F2}" name="Colonne5253"/>
    <tableColumn id="5262" xr3:uid="{BF49EBC8-8F66-490A-A769-34F311F80206}" name="Colonne5254"/>
    <tableColumn id="5263" xr3:uid="{4895D9E7-7F7F-4D1A-B32F-E16BC9D0F9E2}" name="Colonne5255"/>
    <tableColumn id="5264" xr3:uid="{B9FE4944-08B4-4CF6-9CCB-2FE96C6E5CF3}" name="Colonne5256"/>
    <tableColumn id="5265" xr3:uid="{A03D5A74-01EF-4AC7-838D-A06C4E409CF9}" name="Colonne5257"/>
    <tableColumn id="5266" xr3:uid="{216F835B-DD5E-4717-B9BF-48D89D72C1E3}" name="Colonne5258"/>
    <tableColumn id="5267" xr3:uid="{47B03FE1-E1C9-46AF-92B5-5E57D3A4DD68}" name="Colonne5259"/>
    <tableColumn id="5268" xr3:uid="{69D8B5F1-87E0-453D-8CFA-4BD7568DCF6B}" name="Colonne5260"/>
    <tableColumn id="5269" xr3:uid="{5AF4A508-ED81-4B1E-9308-9D8971BDB4E2}" name="Colonne5261"/>
    <tableColumn id="5270" xr3:uid="{EDAE2856-1E9F-418B-A57B-9A12C224CBCF}" name="Colonne5262"/>
    <tableColumn id="5271" xr3:uid="{FC772AA8-57C3-425C-A294-32A7308BAB37}" name="Colonne5263"/>
    <tableColumn id="5272" xr3:uid="{C855C6E5-6C7B-4A1B-89A1-42164E205710}" name="Colonne5264"/>
    <tableColumn id="5273" xr3:uid="{CE2E0B62-5110-4D04-9002-C2AEA14C8EC2}" name="Colonne5265"/>
    <tableColumn id="5274" xr3:uid="{FBD80FA1-F41F-449D-A15D-44F1926CEBA5}" name="Colonne5266"/>
    <tableColumn id="5275" xr3:uid="{41259A4D-F2AF-4220-A86F-374C6168EEC6}" name="Colonne5267"/>
    <tableColumn id="5276" xr3:uid="{4C622D46-9995-4D66-A506-690977C2D5A2}" name="Colonne5268"/>
    <tableColumn id="5277" xr3:uid="{02831571-FB67-48DF-8AB1-6282B3AD952A}" name="Colonne5269"/>
    <tableColumn id="5278" xr3:uid="{F3986125-C11D-4D37-A5A6-00A205E44559}" name="Colonne5270"/>
    <tableColumn id="5279" xr3:uid="{23C4DAA5-7562-4C32-9324-3492F87136FA}" name="Colonne5271"/>
    <tableColumn id="5280" xr3:uid="{D0857E97-5121-4CDF-B5C2-34B6C1DB9D07}" name="Colonne5272"/>
    <tableColumn id="5281" xr3:uid="{F7338460-2B38-4DE6-B002-30686DDD8133}" name="Colonne5273"/>
    <tableColumn id="5282" xr3:uid="{2B8D10F8-5489-4C17-BFD9-CB7BCC7B9BD2}" name="Colonne5274"/>
    <tableColumn id="5283" xr3:uid="{EF935F33-FC78-4D98-9B4E-64F50A10FCD7}" name="Colonne5275"/>
    <tableColumn id="5284" xr3:uid="{917F57FC-88CC-4D0E-823E-4354A4EA9306}" name="Colonne5276"/>
    <tableColumn id="5285" xr3:uid="{93D45B0A-C5FE-4C05-B525-37CAB69A0B21}" name="Colonne5277"/>
    <tableColumn id="5286" xr3:uid="{13CAB9C1-CE12-43F1-B23B-BD9CAE6270CF}" name="Colonne5278"/>
    <tableColumn id="5287" xr3:uid="{7253C1E2-F67E-43BE-937E-AB7FCF644E1A}" name="Colonne5279"/>
    <tableColumn id="5288" xr3:uid="{7A843376-D3B0-4C54-AFD2-34CBD8078EC4}" name="Colonne5280"/>
    <tableColumn id="5289" xr3:uid="{FFA8FBCB-564D-4522-A12E-24F0E9C58B4D}" name="Colonne5281"/>
    <tableColumn id="5290" xr3:uid="{F9B1BF26-F8EE-4BA6-8078-193201FF4679}" name="Colonne5282"/>
    <tableColumn id="5291" xr3:uid="{5C8B131D-12B0-4F42-A512-272321904467}" name="Colonne5283"/>
    <tableColumn id="5292" xr3:uid="{C8E8AF51-1D42-4B61-B128-09AC4BB1970D}" name="Colonne5284"/>
    <tableColumn id="5293" xr3:uid="{5855E387-67E1-41E2-AB54-B5E42F9B5D03}" name="Colonne5285"/>
    <tableColumn id="5294" xr3:uid="{A7355B62-1E60-4A0D-91DA-692460BDCFC8}" name="Colonne5286"/>
    <tableColumn id="5295" xr3:uid="{99004A2E-B407-411A-A708-76DFE1802D88}" name="Colonne5287"/>
    <tableColumn id="5296" xr3:uid="{3AE41F83-30BA-46B4-8FDC-F9DAA348FC64}" name="Colonne5288"/>
    <tableColumn id="5297" xr3:uid="{C3469D87-D52E-494F-9687-F34A424E1DFD}" name="Colonne5289"/>
    <tableColumn id="5298" xr3:uid="{2EB19412-20CC-42F8-B5E9-944F436AA793}" name="Colonne5290"/>
    <tableColumn id="5299" xr3:uid="{508FDA17-3845-4659-A4F6-B1B0A05FC6F2}" name="Colonne5291"/>
    <tableColumn id="5300" xr3:uid="{B74C76A9-6C32-4A91-9122-20048C504FC7}" name="Colonne5292"/>
    <tableColumn id="5301" xr3:uid="{58CDDE9D-FF81-4AAA-9189-6B50A4005E11}" name="Colonne5293"/>
    <tableColumn id="5302" xr3:uid="{31A0BCEA-ABDE-496E-811D-6E0384A63830}" name="Colonne5294"/>
    <tableColumn id="5303" xr3:uid="{7FF7E271-B4CC-47F5-9A6B-942BA3992E29}" name="Colonne5295"/>
    <tableColumn id="5304" xr3:uid="{2E32D0DB-40A9-43B6-B4AB-2C0A70018DB5}" name="Colonne5296"/>
    <tableColumn id="5305" xr3:uid="{165FFEE6-CC79-414C-A196-B37CDCA6889A}" name="Colonne5297"/>
    <tableColumn id="5306" xr3:uid="{6C852D99-83DC-40EF-A1F6-DF7CB7A5D49A}" name="Colonne5298"/>
    <tableColumn id="5307" xr3:uid="{0C7C176C-2CAE-4CE6-8499-2D13789E8EBF}" name="Colonne5299"/>
    <tableColumn id="5308" xr3:uid="{622B8905-69A3-4587-8141-E41B2E9E2531}" name="Colonne5300"/>
    <tableColumn id="5309" xr3:uid="{7ABD79DD-FCED-4FA4-928D-1268FC470910}" name="Colonne5301"/>
    <tableColumn id="5310" xr3:uid="{D161DFC4-1FC6-494E-9DDF-57654A540474}" name="Colonne5302"/>
    <tableColumn id="5311" xr3:uid="{E166D876-FB09-4042-AA62-C54C4BF12C2C}" name="Colonne5303"/>
    <tableColumn id="5312" xr3:uid="{D7E65C77-AF20-4456-B501-044955234B5C}" name="Colonne5304"/>
    <tableColumn id="5313" xr3:uid="{F59CF55A-92BD-4EE8-84B2-DD2907323620}" name="Colonne5305"/>
    <tableColumn id="5314" xr3:uid="{73FFC3D4-08BA-4E35-A9FE-FBCF92631546}" name="Colonne5306"/>
    <tableColumn id="5315" xr3:uid="{2874657A-527E-44D1-8D8B-F117514548F1}" name="Colonne5307"/>
    <tableColumn id="5316" xr3:uid="{B7138893-AD26-4BF4-825D-ECB4DE6440E5}" name="Colonne5308"/>
    <tableColumn id="5317" xr3:uid="{E48ED44A-3B0B-4F3D-A9AC-7CF59EC2CE04}" name="Colonne5309"/>
    <tableColumn id="5318" xr3:uid="{C689C7CA-A474-47C7-ADFE-9A9B59D8DA08}" name="Colonne5310"/>
    <tableColumn id="5319" xr3:uid="{A035973E-92DF-4A2C-942F-1D6398FAD9A0}" name="Colonne5311"/>
    <tableColumn id="5320" xr3:uid="{70EDF6BA-1790-4BF0-8FC9-9F180C6792B6}" name="Colonne5312"/>
    <tableColumn id="5321" xr3:uid="{3FD31126-B53F-4178-B058-5C615F45EAAB}" name="Colonne5313"/>
    <tableColumn id="5322" xr3:uid="{EA8A550D-ADA8-4668-A78C-B02F8582A88F}" name="Colonne5314"/>
    <tableColumn id="5323" xr3:uid="{198F8CD2-F198-48DC-AC08-85CE2E06C2D6}" name="Colonne5315"/>
    <tableColumn id="5324" xr3:uid="{CC5217E3-D38E-42EB-A655-EB4BE9EA6615}" name="Colonne5316"/>
    <tableColumn id="5325" xr3:uid="{8261E178-C476-477E-AB46-C09F7A5D9AF1}" name="Colonne5317"/>
    <tableColumn id="5326" xr3:uid="{E6AAD62E-7786-4A58-9101-B7F9CAEF682D}" name="Colonne5318"/>
    <tableColumn id="5327" xr3:uid="{0C1E431D-DBBD-4E2C-902D-039F89C5D228}" name="Colonne5319"/>
    <tableColumn id="5328" xr3:uid="{CACDDDC7-0826-4267-8A14-4FE5AFDCC7B8}" name="Colonne5320"/>
    <tableColumn id="5329" xr3:uid="{51E6BB6A-3B36-43DD-B0BE-2B9EFB640C56}" name="Colonne5321"/>
    <tableColumn id="5330" xr3:uid="{04BC7EEC-58F2-4B3A-9C54-11421F924D6B}" name="Colonne5322"/>
    <tableColumn id="5331" xr3:uid="{CB004186-9596-4940-9ECF-A5947C883DAE}" name="Colonne5323"/>
    <tableColumn id="5332" xr3:uid="{429E9B5A-3AFF-494B-A938-1CE145E770D4}" name="Colonne5324"/>
    <tableColumn id="5333" xr3:uid="{E3678448-EF94-4370-9806-A5FB93C21839}" name="Colonne5325"/>
    <tableColumn id="5334" xr3:uid="{428D0DDE-E809-4C65-A281-4DDD393505AD}" name="Colonne5326"/>
    <tableColumn id="5335" xr3:uid="{312918E9-7F51-455D-B1F2-3A8FD179E607}" name="Colonne5327"/>
    <tableColumn id="5336" xr3:uid="{F09F7CB4-547E-4971-9FF5-6DCBF34B6E4A}" name="Colonne5328"/>
    <tableColumn id="5337" xr3:uid="{A5406E5A-F327-4B6D-9556-C77349780E28}" name="Colonne5329"/>
    <tableColumn id="5338" xr3:uid="{445D81A4-1CA6-4BF2-8DCF-117CE3B496E8}" name="Colonne5330"/>
    <tableColumn id="5339" xr3:uid="{8D616BE0-8E7E-467C-A9D0-725AF4D77B9E}" name="Colonne5331"/>
    <tableColumn id="5340" xr3:uid="{5FF19A97-FCE0-4F5D-BAC6-78B5A7915CA0}" name="Colonne5332"/>
    <tableColumn id="5341" xr3:uid="{022FEE72-5000-4F9C-9D8B-F8C70552C51C}" name="Colonne5333"/>
    <tableColumn id="5342" xr3:uid="{9AA202D5-9173-424F-AF70-B291EFBF9E8A}" name="Colonne5334"/>
    <tableColumn id="5343" xr3:uid="{95AF7C3D-E43A-4AB9-8791-43C2665045EB}" name="Colonne5335"/>
    <tableColumn id="5344" xr3:uid="{86E786FC-5D33-41BA-8FDB-7E1BDC3B2A4C}" name="Colonne5336"/>
    <tableColumn id="5345" xr3:uid="{66CED0B1-EA9F-4EEF-A43E-F833D774D25A}" name="Colonne5337"/>
    <tableColumn id="5346" xr3:uid="{7AAFB3CC-59E0-419F-B6DF-1547B2E148C9}" name="Colonne5338"/>
    <tableColumn id="5347" xr3:uid="{2CBB5614-5FA4-4289-8B5C-691849CF4961}" name="Colonne5339"/>
    <tableColumn id="5348" xr3:uid="{C1BF02CD-10CB-47CD-9926-01544FE3B7A6}" name="Colonne5340"/>
    <tableColumn id="5349" xr3:uid="{15570297-39B5-4A71-A015-638A5EB209C2}" name="Colonne5341"/>
    <tableColumn id="5350" xr3:uid="{DD75D582-6375-48DD-B1EC-67F6173D18AC}" name="Colonne5342"/>
    <tableColumn id="5351" xr3:uid="{B872A7F8-7B0E-4977-8D90-3EABF4DA0FB9}" name="Colonne5343"/>
    <tableColumn id="5352" xr3:uid="{24E8385A-C117-4614-AA41-0AFA05D86995}" name="Colonne5344"/>
    <tableColumn id="5353" xr3:uid="{E3C697BF-1882-4EFB-97E9-67FA54C3997C}" name="Colonne5345"/>
    <tableColumn id="5354" xr3:uid="{8102B3AD-52C4-437A-9C5A-AEA5F4992895}" name="Colonne5346"/>
    <tableColumn id="5355" xr3:uid="{9623B56D-D1AC-491B-909C-B5353D1F2705}" name="Colonne5347"/>
    <tableColumn id="5356" xr3:uid="{C0EDBD05-7B34-4D94-BADD-F64C9EA2832D}" name="Colonne5348"/>
    <tableColumn id="5357" xr3:uid="{0627000B-609A-49AD-B9A7-60A52E16E138}" name="Colonne5349"/>
    <tableColumn id="5358" xr3:uid="{05383E0F-B2F3-4C66-BD05-385CA4F6F4EF}" name="Colonne5350"/>
    <tableColumn id="5359" xr3:uid="{055DB445-4EB2-4E96-8196-B32CFACFADEB}" name="Colonne5351"/>
    <tableColumn id="5360" xr3:uid="{3F15BFCB-FD06-4FBC-9701-D203066CB216}" name="Colonne5352"/>
    <tableColumn id="5361" xr3:uid="{BE63B8CC-C4CE-4A67-AC36-4DE09A9D01BA}" name="Colonne5353"/>
    <tableColumn id="5362" xr3:uid="{60510E43-21B2-457D-B30B-E22B3412D83C}" name="Colonne5354"/>
    <tableColumn id="5363" xr3:uid="{56569FF8-175C-490F-9411-5B1594D3145F}" name="Colonne5355"/>
    <tableColumn id="5364" xr3:uid="{D756C716-7AD9-4B07-9D90-9F1C33F25B36}" name="Colonne5356"/>
    <tableColumn id="5365" xr3:uid="{B6A25A61-8C6F-4D39-9C80-E7727C4ADE3A}" name="Colonne5357"/>
    <tableColumn id="5366" xr3:uid="{7CAB4CD7-F489-4391-9D05-C0722DF4FD8D}" name="Colonne5358"/>
    <tableColumn id="5367" xr3:uid="{A5EAFF5D-45B4-43C5-8486-3F3540DF15AC}" name="Colonne5359"/>
    <tableColumn id="5368" xr3:uid="{F4452348-2B30-4FC9-8033-0D093806D1E0}" name="Colonne5360"/>
    <tableColumn id="5369" xr3:uid="{BCA5AD47-8E03-46D3-8D66-E899F0C3944C}" name="Colonne5361"/>
    <tableColumn id="5370" xr3:uid="{D92CE68D-6C99-4C2A-AA46-2E4269081009}" name="Colonne5362"/>
    <tableColumn id="5371" xr3:uid="{4D3A4533-8459-4407-9337-2C16C8F21605}" name="Colonne5363"/>
    <tableColumn id="5372" xr3:uid="{BDF86CF9-7E3D-4652-9030-06EAAEBE962B}" name="Colonne5364"/>
    <tableColumn id="5373" xr3:uid="{595D6157-84E4-4F6B-BC2C-30CEFA646069}" name="Colonne5365"/>
    <tableColumn id="5374" xr3:uid="{47A9BCED-716D-421A-A252-17ADF02A43DA}" name="Colonne5366"/>
    <tableColumn id="5375" xr3:uid="{7F5C048A-A0DB-48C6-84C7-5FBEDA1FC2EF}" name="Colonne5367"/>
    <tableColumn id="5376" xr3:uid="{9B49ABA7-5DDB-4AD4-936F-4291DFCFA5B0}" name="Colonne5368"/>
    <tableColumn id="5377" xr3:uid="{8FEDC2C8-7392-4AEB-835E-F1CC2C5ECFDE}" name="Colonne5369"/>
    <tableColumn id="5378" xr3:uid="{B0D105EB-CEB9-4FC1-BCB0-74BD7906DEA2}" name="Colonne5370"/>
    <tableColumn id="5379" xr3:uid="{77F2021A-5A2B-478E-B45C-CC54E1E484ED}" name="Colonne5371"/>
    <tableColumn id="5380" xr3:uid="{EC734ADD-39C8-411C-9029-AC3AB45335DA}" name="Colonne5372"/>
    <tableColumn id="5381" xr3:uid="{87BF8E64-DC1D-433C-AA91-5CF706AE93B8}" name="Colonne5373"/>
    <tableColumn id="5382" xr3:uid="{A07711B8-2D95-4033-B1A1-F68DCB6B953F}" name="Colonne5374"/>
    <tableColumn id="5383" xr3:uid="{0E2EDE13-55F8-477D-911A-5E36A1B06EBC}" name="Colonne5375"/>
    <tableColumn id="5384" xr3:uid="{3716336B-BDE3-495F-912E-0110230BCE68}" name="Colonne5376"/>
    <tableColumn id="5385" xr3:uid="{CB28BFCF-C044-479B-9FE9-EB2E63323C7D}" name="Colonne5377"/>
    <tableColumn id="5386" xr3:uid="{BA41FD05-0E3D-418B-B668-D8FF2CE94F6D}" name="Colonne5378"/>
    <tableColumn id="5387" xr3:uid="{F42D32F4-F848-4E29-A538-48A612256D25}" name="Colonne5379"/>
    <tableColumn id="5388" xr3:uid="{E9CE71F0-F380-475D-8A78-35DFE1A881A8}" name="Colonne5380"/>
    <tableColumn id="5389" xr3:uid="{7A62F3FC-93C1-41C7-A80C-77BC706DE6BB}" name="Colonne5381"/>
    <tableColumn id="5390" xr3:uid="{334F5653-FBE9-4681-8B11-7A694DFF1234}" name="Colonne5382"/>
    <tableColumn id="5391" xr3:uid="{1D7B3B1D-17A4-402F-A4C2-232F1C649A0F}" name="Colonne5383"/>
    <tableColumn id="5392" xr3:uid="{683F15A4-2A51-4716-88BA-11C8BABA26FF}" name="Colonne5384"/>
    <tableColumn id="5393" xr3:uid="{8BD0C78E-6783-42A9-B490-6D44E7EE0805}" name="Colonne5385"/>
    <tableColumn id="5394" xr3:uid="{929D2659-1451-477B-AA96-377F3862954A}" name="Colonne5386"/>
    <tableColumn id="5395" xr3:uid="{B2525FA0-84A1-431C-AF6E-A2AE19754C7F}" name="Colonne5387"/>
    <tableColumn id="5396" xr3:uid="{02962714-0328-40D4-8DFE-417FC5B86CE3}" name="Colonne5388"/>
    <tableColumn id="5397" xr3:uid="{D669C12A-8412-41EF-91FC-B8502713CA00}" name="Colonne5389"/>
    <tableColumn id="5398" xr3:uid="{B10DF680-621A-405F-B9CF-BD52DC783BA8}" name="Colonne5390"/>
    <tableColumn id="5399" xr3:uid="{18059AB2-6CEB-43F0-8BDB-406AE13574C1}" name="Colonne5391"/>
    <tableColumn id="5400" xr3:uid="{B74CA1D6-7A01-4F0F-8F13-E88D378D0A7E}" name="Colonne5392"/>
    <tableColumn id="5401" xr3:uid="{111605AC-1196-4591-8FC4-8E0441F23AB7}" name="Colonne5393"/>
    <tableColumn id="5402" xr3:uid="{E0A90231-362F-4172-9211-A9DD10F35C50}" name="Colonne5394"/>
    <tableColumn id="5403" xr3:uid="{1C326C3D-1346-425D-8545-D515E7840BC3}" name="Colonne5395"/>
    <tableColumn id="5404" xr3:uid="{A6A5E3DE-7162-40E0-AA88-245B692A77C1}" name="Colonne5396"/>
    <tableColumn id="5405" xr3:uid="{C84A6B38-0948-4C0D-9E59-400B87EE7FD8}" name="Colonne5397"/>
    <tableColumn id="5406" xr3:uid="{D9AFB803-CC78-449A-915F-864B68C26708}" name="Colonne5398"/>
    <tableColumn id="5407" xr3:uid="{B4D119F3-7D22-427E-8E4D-1C329733C00B}" name="Colonne5399"/>
    <tableColumn id="5408" xr3:uid="{29AC6FDD-1B2C-404A-9F1D-E9C43915B88B}" name="Colonne5400"/>
    <tableColumn id="5409" xr3:uid="{68FF43D8-2299-497A-B539-2EE684C8EF6C}" name="Colonne5401"/>
    <tableColumn id="5410" xr3:uid="{90F15153-A1B7-4796-BC8A-D25F9E481E92}" name="Colonne5402"/>
    <tableColumn id="5411" xr3:uid="{52290E1F-36D6-444A-95C9-2C0CFEAC073A}" name="Colonne5403"/>
    <tableColumn id="5412" xr3:uid="{C6E1D085-E73B-4656-9561-3C371917EEE0}" name="Colonne5404"/>
    <tableColumn id="5413" xr3:uid="{1C8ADC05-FEE0-49F7-914B-FA3773BA9432}" name="Colonne5405"/>
    <tableColumn id="5414" xr3:uid="{76D7956E-52C9-46A5-8104-0E4F5BD7C437}" name="Colonne5406"/>
    <tableColumn id="5415" xr3:uid="{7C795F4F-E435-43AF-A8A1-0BC7CDB1EBCE}" name="Colonne5407"/>
    <tableColumn id="5416" xr3:uid="{E19380F8-E1C1-473F-BF00-41DBB00E9612}" name="Colonne5408"/>
    <tableColumn id="5417" xr3:uid="{89D3D5FF-7E57-42C8-81F4-B89EB1F623F3}" name="Colonne5409"/>
    <tableColumn id="5418" xr3:uid="{632FEF43-87A8-44BA-8BDF-1BFC7BF58157}" name="Colonne5410"/>
    <tableColumn id="5419" xr3:uid="{3FD74323-C8B2-41A8-8D8E-B023AEC2FB12}" name="Colonne5411"/>
    <tableColumn id="5420" xr3:uid="{013EB0B0-3118-4ED3-93F8-7F19EA973AE8}" name="Colonne5412"/>
    <tableColumn id="5421" xr3:uid="{51D6F6C3-766D-4584-B4EA-623A8CA616B4}" name="Colonne5413"/>
    <tableColumn id="5422" xr3:uid="{ACF2581A-8588-4F1A-B011-4346F8DCC1AE}" name="Colonne5414"/>
    <tableColumn id="5423" xr3:uid="{679FEC5E-4303-424D-96A3-1F82B06AC778}" name="Colonne5415"/>
    <tableColumn id="5424" xr3:uid="{7A36CBDA-65A1-4A58-B957-026DC0E8C359}" name="Colonne5416"/>
    <tableColumn id="5425" xr3:uid="{F0ED1DA7-4B7A-4322-BED2-FCBC22D06C37}" name="Colonne5417"/>
    <tableColumn id="5426" xr3:uid="{CE319C88-69C2-459A-BA9B-F9C175A64F5C}" name="Colonne5418"/>
    <tableColumn id="5427" xr3:uid="{1E142A14-0FAC-4AB2-956E-3AFD66799959}" name="Colonne5419"/>
    <tableColumn id="5428" xr3:uid="{56179FE5-63CC-4D3C-93A7-E3C4ACD01F38}" name="Colonne5420"/>
    <tableColumn id="5429" xr3:uid="{44023141-9BA0-4B4E-B884-CFCFA00EB627}" name="Colonne5421"/>
    <tableColumn id="5430" xr3:uid="{F2EAF6D5-B24D-4125-BD63-F57F5B00717F}" name="Colonne5422"/>
    <tableColumn id="5431" xr3:uid="{49759B76-326E-446F-9DE4-CD6C7124E83E}" name="Colonne5423"/>
    <tableColumn id="5432" xr3:uid="{8B6BAE84-1FF5-448A-9FA1-A70F6FB273B3}" name="Colonne5424"/>
    <tableColumn id="5433" xr3:uid="{E067B1B1-66D3-4860-BEB6-31A138F47DD8}" name="Colonne5425"/>
    <tableColumn id="5434" xr3:uid="{99876B7C-1D7B-4446-A520-BB4B7F9E66BE}" name="Colonne5426"/>
    <tableColumn id="5435" xr3:uid="{D2892FE9-1C0D-4B91-880E-33DB4C7A9F01}" name="Colonne5427"/>
    <tableColumn id="5436" xr3:uid="{97F0D87A-2DDB-4F00-A446-8CE3B57CB049}" name="Colonne5428"/>
    <tableColumn id="5437" xr3:uid="{BF594673-0FD4-49AF-A32A-96B9B62F736E}" name="Colonne5429"/>
    <tableColumn id="5438" xr3:uid="{BE46EAD7-2F4C-40EE-8D1C-5F1A580E0332}" name="Colonne5430"/>
    <tableColumn id="5439" xr3:uid="{90741AE9-2C96-43F0-A88F-FC47F0AE9CC0}" name="Colonne5431"/>
    <tableColumn id="5440" xr3:uid="{A9EA9D5F-5C0A-443F-9820-94498F7C456B}" name="Colonne5432"/>
    <tableColumn id="5441" xr3:uid="{F144B655-AD94-4A25-876A-4FCA19936F07}" name="Colonne5433"/>
    <tableColumn id="5442" xr3:uid="{93071B35-F113-40D1-824B-92840C78EB40}" name="Colonne5434"/>
    <tableColumn id="5443" xr3:uid="{3A76B3AA-5FD7-431F-AB85-8C350DFF14CD}" name="Colonne5435"/>
    <tableColumn id="5444" xr3:uid="{2F52E292-61C8-4981-9BA9-CFF21C3322EE}" name="Colonne5436"/>
    <tableColumn id="5445" xr3:uid="{E1092758-57E3-4B0F-A0E3-81FE3094ECE8}" name="Colonne5437"/>
    <tableColumn id="5446" xr3:uid="{AF18EC71-B187-4FCE-88BA-048D59BFFD73}" name="Colonne5438"/>
    <tableColumn id="5447" xr3:uid="{A1B56A34-FD74-4D4C-B2EC-CA90B2C16826}" name="Colonne5439"/>
    <tableColumn id="5448" xr3:uid="{E2E4BC23-2718-4E81-A61F-5326D953D8FB}" name="Colonne5440"/>
    <tableColumn id="5449" xr3:uid="{F0BD1391-EC75-4D27-ACB7-0F180CCD41B8}" name="Colonne5441"/>
    <tableColumn id="5450" xr3:uid="{232B5279-415E-46E6-86FD-A288E30C8EE0}" name="Colonne5442"/>
    <tableColumn id="5451" xr3:uid="{CF24C1BF-EC70-47D2-AAE7-927F3DB4EFB8}" name="Colonne5443"/>
    <tableColumn id="5452" xr3:uid="{E8B0BE5F-FD1C-434A-989C-46EA7A825977}" name="Colonne5444"/>
    <tableColumn id="5453" xr3:uid="{22F8506B-DF40-443B-96F8-7C6E727FFFFA}" name="Colonne5445"/>
    <tableColumn id="5454" xr3:uid="{871904EB-0FFB-4147-8A89-B2469559889D}" name="Colonne5446"/>
    <tableColumn id="5455" xr3:uid="{A2BECC55-DB10-4362-8C65-29F22D2DC651}" name="Colonne5447"/>
    <tableColumn id="5456" xr3:uid="{84865A90-F855-401A-BAF5-602F884C108E}" name="Colonne5448"/>
    <tableColumn id="5457" xr3:uid="{3A03E516-5D93-428E-BC38-123587827C30}" name="Colonne5449"/>
    <tableColumn id="5458" xr3:uid="{051834DD-9025-47B1-9E3D-B4D0715E837F}" name="Colonne5450"/>
    <tableColumn id="5459" xr3:uid="{BBD23131-1826-4E48-BAB7-AF6411B6C759}" name="Colonne5451"/>
    <tableColumn id="5460" xr3:uid="{CEA46373-0074-4237-B653-D50F3D58CE7E}" name="Colonne5452"/>
    <tableColumn id="5461" xr3:uid="{715E0058-2404-4299-96A8-E166C34879D7}" name="Colonne5453"/>
    <tableColumn id="5462" xr3:uid="{AACA7593-0AB4-4196-8950-37D879110471}" name="Colonne5454"/>
    <tableColumn id="5463" xr3:uid="{E207DFF6-B5DD-42B8-BFF6-3CF10B31F311}" name="Colonne5455"/>
    <tableColumn id="5464" xr3:uid="{2E615653-0C77-4F6E-83F9-9D79038BB858}" name="Colonne5456"/>
    <tableColumn id="5465" xr3:uid="{CFB0681B-C644-4971-9771-77249912C067}" name="Colonne5457"/>
    <tableColumn id="5466" xr3:uid="{9DEE7F9C-19B7-4305-B1F7-3F655B0C9948}" name="Colonne5458"/>
    <tableColumn id="5467" xr3:uid="{F09A0447-A2D9-44CD-B046-48A23A0DACBE}" name="Colonne5459"/>
    <tableColumn id="5468" xr3:uid="{3F34EB0C-BF3D-4401-99FB-67F4BC314D42}" name="Colonne5460"/>
    <tableColumn id="5469" xr3:uid="{F9430067-8377-4769-A80D-88FCF9B9DCFF}" name="Colonne5461"/>
    <tableColumn id="5470" xr3:uid="{20ED7970-C659-43CB-ACD3-9F55A78D7A2A}" name="Colonne5462"/>
    <tableColumn id="5471" xr3:uid="{5E73A1A4-7591-4AD4-A0C7-0644A410A3B8}" name="Colonne5463"/>
    <tableColumn id="5472" xr3:uid="{13DAC9F7-76AE-4333-8EA9-BD1450EAB731}" name="Colonne5464"/>
    <tableColumn id="5473" xr3:uid="{753EA823-5F2A-4228-A77D-96C40BD8EBB2}" name="Colonne5465"/>
    <tableColumn id="5474" xr3:uid="{1F5E8345-18B8-4630-BA7C-C1034EB06CBA}" name="Colonne5466"/>
    <tableColumn id="5475" xr3:uid="{A437B826-9FC0-45C4-B01A-90C6ED6BF12A}" name="Colonne5467"/>
    <tableColumn id="5476" xr3:uid="{CAEDE4AE-99B3-40D7-A6B4-212B5026258C}" name="Colonne5468"/>
    <tableColumn id="5477" xr3:uid="{67089920-D59E-4902-BA13-CD95437DD3DB}" name="Colonne5469"/>
    <tableColumn id="5478" xr3:uid="{F66676F2-2135-4AFE-B6B7-FB31FB4A841A}" name="Colonne5470"/>
    <tableColumn id="5479" xr3:uid="{9157C709-F0FF-4B56-BC10-EAA4137AB590}" name="Colonne5471"/>
    <tableColumn id="5480" xr3:uid="{1561D8DF-63F3-4D9C-800B-6DC6C66AD098}" name="Colonne5472"/>
    <tableColumn id="5481" xr3:uid="{ADDA5153-C72F-4E28-85CE-8874407C6DFC}" name="Colonne5473"/>
    <tableColumn id="5482" xr3:uid="{05A2FA8A-B860-45A7-94A6-0D80117C82A4}" name="Colonne5474"/>
    <tableColumn id="5483" xr3:uid="{F61CCE80-A87A-4B5F-96D2-5DA371D8A993}" name="Colonne5475"/>
    <tableColumn id="5484" xr3:uid="{170225B5-82AF-41E3-A080-2C962B3CD0D4}" name="Colonne5476"/>
    <tableColumn id="5485" xr3:uid="{2EEFEC90-54CF-4068-A7F0-CEFBE9987FD4}" name="Colonne5477"/>
    <tableColumn id="5486" xr3:uid="{1FC6923F-7BCF-4DB2-BE62-B87B2E53417D}" name="Colonne5478"/>
    <tableColumn id="5487" xr3:uid="{D3ABC281-5E4F-443F-8FAC-63C55366D73F}" name="Colonne5479"/>
    <tableColumn id="5488" xr3:uid="{775FD2F7-3108-4888-9906-2EEF24EB0FA2}" name="Colonne5480"/>
    <tableColumn id="5489" xr3:uid="{BABE3287-12FE-4221-BA4F-99714D8D65BD}" name="Colonne5481"/>
    <tableColumn id="5490" xr3:uid="{50B7D984-2194-4C3D-842E-93FD22D7AEC4}" name="Colonne5482"/>
    <tableColumn id="5491" xr3:uid="{413E043A-BBCD-4317-B633-5524D79F6FF2}" name="Colonne5483"/>
    <tableColumn id="5492" xr3:uid="{5B8EA6FF-ECF5-44D2-B5FB-CF8B1FBD4510}" name="Colonne5484"/>
    <tableColumn id="5493" xr3:uid="{54AA0F15-BED4-4458-8F42-71E8B27C465B}" name="Colonne5485"/>
    <tableColumn id="5494" xr3:uid="{B5AD30C5-E321-47CB-9EFD-36D199648F05}" name="Colonne5486"/>
    <tableColumn id="5495" xr3:uid="{DD2EFCEB-4647-4B33-9319-54DF3D973FE1}" name="Colonne5487"/>
    <tableColumn id="5496" xr3:uid="{BF6DD442-E369-46DA-8703-F5CEB5B72030}" name="Colonne5488"/>
    <tableColumn id="5497" xr3:uid="{F850E930-AD37-4AF3-92DA-47C12C09220A}" name="Colonne5489"/>
    <tableColumn id="5498" xr3:uid="{9FDFA5AD-6D8F-48ED-BCC0-797A1C121D77}" name="Colonne5490"/>
    <tableColumn id="5499" xr3:uid="{AE39167B-B294-4F9B-A327-33D6C8C5EDAE}" name="Colonne5491"/>
    <tableColumn id="5500" xr3:uid="{4FA86A65-34E3-4293-A8DE-E75DE4DFA098}" name="Colonne5492"/>
    <tableColumn id="5501" xr3:uid="{58CADF16-F52F-4BFA-A2EC-A2C98B2CF686}" name="Colonne5493"/>
    <tableColumn id="5502" xr3:uid="{A6BC98E9-0486-454A-9564-8212D4A96AFB}" name="Colonne5494"/>
    <tableColumn id="5503" xr3:uid="{64CB796F-C0AE-4764-B77E-5A285E98E349}" name="Colonne5495"/>
    <tableColumn id="5504" xr3:uid="{069E873E-6AEC-4FEE-B3EC-F7071D8769D9}" name="Colonne5496"/>
    <tableColumn id="5505" xr3:uid="{D835483E-1DDC-464B-8C76-9B205A77FF08}" name="Colonne5497"/>
    <tableColumn id="5506" xr3:uid="{BB9B1D8A-4511-405C-BF1A-6279970D0F37}" name="Colonne5498"/>
    <tableColumn id="5507" xr3:uid="{E967A7DD-F3FF-4712-B61E-0119C0E33B76}" name="Colonne5499"/>
    <tableColumn id="5508" xr3:uid="{07E519BD-F759-445E-9365-65A607E7AB7C}" name="Colonne5500"/>
    <tableColumn id="5509" xr3:uid="{763A6424-2314-4E7F-8AEB-7D09A4E04BF0}" name="Colonne5501"/>
    <tableColumn id="5510" xr3:uid="{4CC13CF3-5CD9-40C5-B042-7B6ACC45EF47}" name="Colonne5502"/>
    <tableColumn id="5511" xr3:uid="{4CFEB9E3-C8F4-4A9A-9545-5C8F352ED727}" name="Colonne5503"/>
    <tableColumn id="5512" xr3:uid="{3B264178-7EFA-458C-BA9D-55771C900C67}" name="Colonne5504"/>
    <tableColumn id="5513" xr3:uid="{2C26ED93-0DA5-41D9-B299-5307CA5ABEB5}" name="Colonne5505"/>
    <tableColumn id="5514" xr3:uid="{D20B033E-BDCA-4A6E-A9DC-C0A9E803CDBC}" name="Colonne5506"/>
    <tableColumn id="5515" xr3:uid="{38C0449C-6F61-4CFA-B254-A80CA5AD95CB}" name="Colonne5507"/>
    <tableColumn id="5516" xr3:uid="{A071E40C-9B5C-4CA0-A924-3ABA56B4B462}" name="Colonne5508"/>
    <tableColumn id="5517" xr3:uid="{229B86D2-3D68-45EC-B2BF-8F9032019699}" name="Colonne5509"/>
    <tableColumn id="5518" xr3:uid="{EEA33465-B700-4ADE-966E-735C03E705CA}" name="Colonne5510"/>
    <tableColumn id="5519" xr3:uid="{1B5947D8-14E0-44E5-808E-B672B56679EE}" name="Colonne5511"/>
    <tableColumn id="5520" xr3:uid="{E2260E7C-0A35-45A8-9C0E-20474C0DC0E3}" name="Colonne5512"/>
    <tableColumn id="5521" xr3:uid="{B19367C5-C831-4C74-93D6-603A715075E9}" name="Colonne5513"/>
    <tableColumn id="5522" xr3:uid="{1B3CC473-D250-4BBF-8809-1F1269FF40B9}" name="Colonne5514"/>
    <tableColumn id="5523" xr3:uid="{4D8E5462-8A2A-4282-92DF-7707D86DE0AE}" name="Colonne5515"/>
    <tableColumn id="5524" xr3:uid="{C6C01E6D-51B9-4806-AD72-3770642CD966}" name="Colonne5516"/>
    <tableColumn id="5525" xr3:uid="{851194EC-A802-4458-8FA2-0E52D60883E2}" name="Colonne5517"/>
    <tableColumn id="5526" xr3:uid="{D1CD58BE-DDD3-4FB7-AFF6-C24A52891466}" name="Colonne5518"/>
    <tableColumn id="5527" xr3:uid="{CAE60341-38CE-4783-A45C-EA1EDDD15C0E}" name="Colonne5519"/>
    <tableColumn id="5528" xr3:uid="{E6E06E74-07DB-4C5B-AB67-A14266DBF344}" name="Colonne5520"/>
    <tableColumn id="5529" xr3:uid="{E7BC2E70-2D27-48E0-8587-7BD45B6EC9AB}" name="Colonne5521"/>
    <tableColumn id="5530" xr3:uid="{523DC3F2-4167-4439-A9DD-2F5A563274DD}" name="Colonne5522"/>
    <tableColumn id="5531" xr3:uid="{BBFB2578-4F5C-4018-AA4E-4A49A9D318DC}" name="Colonne5523"/>
    <tableColumn id="5532" xr3:uid="{88F757A4-FF6B-456F-9727-022066A92418}" name="Colonne5524"/>
    <tableColumn id="5533" xr3:uid="{029A347F-8A41-48CA-8C11-0EF3D8DA2FF2}" name="Colonne5525"/>
    <tableColumn id="5534" xr3:uid="{FC7055AA-66D0-4B01-95D8-84920D8AE0A7}" name="Colonne5526"/>
    <tableColumn id="5535" xr3:uid="{67F7E819-E6E6-44BD-994A-F8C16C80A1AA}" name="Colonne5527"/>
    <tableColumn id="5536" xr3:uid="{00937480-2286-43F6-BFEA-30072BB9583D}" name="Colonne5528"/>
    <tableColumn id="5537" xr3:uid="{076EA08A-9DDF-4897-A939-9144AFCBB09A}" name="Colonne5529"/>
    <tableColumn id="5538" xr3:uid="{4B6E7E5D-9338-411F-A1CE-02F4E4CBAAD8}" name="Colonne5530"/>
    <tableColumn id="5539" xr3:uid="{A8F44ECC-1BDF-418C-AC7F-35C900409A20}" name="Colonne5531"/>
    <tableColumn id="5540" xr3:uid="{AD4F5979-F3F1-442A-A2A7-61BE7188142A}" name="Colonne5532"/>
    <tableColumn id="5541" xr3:uid="{8158AE2B-196E-4E39-8426-23C388A69E16}" name="Colonne5533"/>
    <tableColumn id="5542" xr3:uid="{0EE9A8CD-4D6C-4781-A914-867AF68BEBD2}" name="Colonne5534"/>
    <tableColumn id="5543" xr3:uid="{5BC0170E-C43C-4D07-8120-42E4340DCC66}" name="Colonne5535"/>
    <tableColumn id="5544" xr3:uid="{5718D093-FB65-4630-BFF5-91E3AB0DB90B}" name="Colonne5536"/>
    <tableColumn id="5545" xr3:uid="{626E8882-0F19-4718-8E1B-05A525BFC77D}" name="Colonne5537"/>
    <tableColumn id="5546" xr3:uid="{12ED4FAB-D86C-4133-9302-6063E82C6BAC}" name="Colonne5538"/>
    <tableColumn id="5547" xr3:uid="{A1166BF1-F83E-466B-ABC5-57050C58F5D5}" name="Colonne5539"/>
    <tableColumn id="5548" xr3:uid="{2153FAE2-3584-469C-A4B5-34915D09D9C8}" name="Colonne5540"/>
    <tableColumn id="5549" xr3:uid="{46F891C6-A20D-40EC-9825-F86297B95146}" name="Colonne5541"/>
    <tableColumn id="5550" xr3:uid="{06D09558-28CE-46CB-85A0-EE6066F9EFCC}" name="Colonne5542"/>
    <tableColumn id="5551" xr3:uid="{B62E18FB-926B-4572-8539-F57C56052540}" name="Colonne5543"/>
    <tableColumn id="5552" xr3:uid="{FDB46EA6-37DC-4BC8-B780-4CA8A0CB8D45}" name="Colonne5544"/>
    <tableColumn id="5553" xr3:uid="{2EBDF360-680A-4B2A-8853-6A7E306ADBA3}" name="Colonne5545"/>
    <tableColumn id="5554" xr3:uid="{742DC14B-98A3-4036-B9EF-41D7A74A17AA}" name="Colonne5546"/>
    <tableColumn id="5555" xr3:uid="{3BC873F5-250F-4FA8-AF0D-7495451FABFF}" name="Colonne5547"/>
    <tableColumn id="5556" xr3:uid="{AFDA6A64-CAF4-4F9A-BBFE-65885B0DBC03}" name="Colonne5548"/>
    <tableColumn id="5557" xr3:uid="{0A9446B8-972D-4D31-BAE4-8D30089A56FE}" name="Colonne5549"/>
    <tableColumn id="5558" xr3:uid="{AAD50D65-11E9-4040-869D-AE9A291B46E6}" name="Colonne5550"/>
    <tableColumn id="5559" xr3:uid="{5D30CA60-5DD0-4C00-8A8A-B2BE64E6763C}" name="Colonne5551"/>
    <tableColumn id="5560" xr3:uid="{C69051EB-5061-416A-91FA-17F46A881D0A}" name="Colonne5552"/>
    <tableColumn id="5561" xr3:uid="{78FC0913-766B-46BB-B3AA-CF0988D6A4A0}" name="Colonne5553"/>
    <tableColumn id="5562" xr3:uid="{26CE5684-325E-4A15-9323-B73424E9FCB1}" name="Colonne5554"/>
    <tableColumn id="5563" xr3:uid="{CB47648F-96F9-4E67-BCA7-FAE1797B17DA}" name="Colonne5555"/>
    <tableColumn id="5564" xr3:uid="{3C0FBBA1-7258-4B66-89C6-8FD97BC1E9A0}" name="Colonne5556"/>
    <tableColumn id="5565" xr3:uid="{9E37DDC9-DE70-40AF-82D1-4D000F5C44A7}" name="Colonne5557"/>
    <tableColumn id="5566" xr3:uid="{A8E976BF-82FE-4872-B014-2436E1832E62}" name="Colonne5558"/>
    <tableColumn id="5567" xr3:uid="{F7D2F1C2-A9D0-4067-A27A-F111EAC2F372}" name="Colonne5559"/>
    <tableColumn id="5568" xr3:uid="{335CFACF-1757-4286-8EF5-34ED07D8A42D}" name="Colonne5560"/>
    <tableColumn id="5569" xr3:uid="{0DCEC203-F01F-47C1-BB4F-BD4525ED4C2A}" name="Colonne5561"/>
    <tableColumn id="5570" xr3:uid="{B003606D-A9DF-4319-B12F-DF622F176D62}" name="Colonne5562"/>
    <tableColumn id="5571" xr3:uid="{19E92CE7-5D31-4401-B632-3A2FC0E77622}" name="Colonne5563"/>
    <tableColumn id="5572" xr3:uid="{7C014C2B-C9E3-4CAC-ACCC-94A34BE6C714}" name="Colonne5564"/>
    <tableColumn id="5573" xr3:uid="{C61CD03A-456C-43C7-A738-E6F1FBB753A4}" name="Colonne5565"/>
    <tableColumn id="5574" xr3:uid="{324CCAF1-7F0B-47BF-81C9-89EDAC98EE0C}" name="Colonne5566"/>
    <tableColumn id="5575" xr3:uid="{A0855443-09BA-4E9A-9400-20F5248CC621}" name="Colonne5567"/>
    <tableColumn id="5576" xr3:uid="{47EBB93B-FF4B-4701-A065-9F271829E7CB}" name="Colonne5568"/>
    <tableColumn id="5577" xr3:uid="{58A22877-DA7F-43D2-9E56-78E6DDD5009C}" name="Colonne5569"/>
    <tableColumn id="5578" xr3:uid="{8152AAF4-22C1-43D2-B17B-4B3BFEBD58DF}" name="Colonne5570"/>
    <tableColumn id="5579" xr3:uid="{A5C10EF2-FEA5-4B5D-8940-2C5F8BB79604}" name="Colonne5571"/>
    <tableColumn id="5580" xr3:uid="{77029F0C-8904-4A8C-BBE8-5D25757CDB62}" name="Colonne5572"/>
    <tableColumn id="5581" xr3:uid="{3A1BABE4-EC52-4D04-BCFD-7FC81F26520A}" name="Colonne5573"/>
    <tableColumn id="5582" xr3:uid="{F567AB26-F181-4072-9D39-5A80A7448957}" name="Colonne5574"/>
    <tableColumn id="5583" xr3:uid="{AA697331-969F-4C5D-B542-A8A221B75EA9}" name="Colonne5575"/>
    <tableColumn id="5584" xr3:uid="{FB8C5124-50DE-478C-A863-4D75AB90427D}" name="Colonne5576"/>
    <tableColumn id="5585" xr3:uid="{32E201B2-3D37-4899-BAC4-6B877819897E}" name="Colonne5577"/>
    <tableColumn id="5586" xr3:uid="{0FEB0DD2-19DC-48D5-8E39-C66C75B6A845}" name="Colonne5578"/>
    <tableColumn id="5587" xr3:uid="{59E36B39-98DB-43DB-96AC-0765899BAEA1}" name="Colonne5579"/>
    <tableColumn id="5588" xr3:uid="{B5A40394-3F9C-4A44-A94B-71280F8EF248}" name="Colonne5580"/>
    <tableColumn id="5589" xr3:uid="{DE06D4FD-9802-471E-A578-AA6D181CA17D}" name="Colonne5581"/>
    <tableColumn id="5590" xr3:uid="{E283FCC6-8108-4F93-A006-9E515150D82F}" name="Colonne5582"/>
    <tableColumn id="5591" xr3:uid="{E0CB7DEA-0BDE-4812-9263-9CCC61E6D329}" name="Colonne5583"/>
    <tableColumn id="5592" xr3:uid="{2C59CBCA-9546-43C3-BAFB-2C38642CCB96}" name="Colonne5584"/>
    <tableColumn id="5593" xr3:uid="{A5AEA6DE-D0FC-484E-9C66-C1F9B987D72E}" name="Colonne5585"/>
    <tableColumn id="5594" xr3:uid="{E7AC0D0A-CBA9-44D8-B103-1C483A033C20}" name="Colonne5586"/>
    <tableColumn id="5595" xr3:uid="{D42FB681-6888-4509-894C-588563DFC2D9}" name="Colonne5587"/>
    <tableColumn id="5596" xr3:uid="{2920A528-96EF-4FE1-A940-30E6B730130E}" name="Colonne5588"/>
    <tableColumn id="5597" xr3:uid="{A5699C45-9AAF-4D3A-89B7-F04F6649EDD0}" name="Colonne5589"/>
    <tableColumn id="5598" xr3:uid="{B34F4DB1-139C-4BEC-9B3A-4FECC47E7B3F}" name="Colonne5590"/>
    <tableColumn id="5599" xr3:uid="{ED640FFA-C46A-44A0-9694-66BC664F6E0A}" name="Colonne5591"/>
    <tableColumn id="5600" xr3:uid="{041498CD-BEFE-443E-AA37-C6C2619DE1A6}" name="Colonne5592"/>
    <tableColumn id="5601" xr3:uid="{C3AFE373-0B91-4B9E-9C4A-15C532663A24}" name="Colonne5593"/>
    <tableColumn id="5602" xr3:uid="{B52A8F70-7541-4F9E-B548-41329329A586}" name="Colonne5594"/>
    <tableColumn id="5603" xr3:uid="{DD305EAC-3261-4913-BDF3-EF8FC9F22E8E}" name="Colonne5595"/>
    <tableColumn id="5604" xr3:uid="{924EBABA-5597-442B-878A-84F05099103A}" name="Colonne5596"/>
    <tableColumn id="5605" xr3:uid="{E00D066C-D438-4B7F-9A8D-8A9F6CC6B727}" name="Colonne5597"/>
    <tableColumn id="5606" xr3:uid="{4F4D9A69-5C7D-4287-AADE-830EEBD3B26D}" name="Colonne5598"/>
    <tableColumn id="5607" xr3:uid="{73A185BB-EB7E-4B26-88A8-1480E1B490DB}" name="Colonne5599"/>
    <tableColumn id="5608" xr3:uid="{4E0B9E6E-187F-4842-AA45-4F2EDB9A70F6}" name="Colonne5600"/>
    <tableColumn id="5609" xr3:uid="{8A37CBDA-D225-4A7E-B0AB-8DB9944627B8}" name="Colonne5601"/>
    <tableColumn id="5610" xr3:uid="{6368A40F-D965-4EBC-8773-9FD2872B6E04}" name="Colonne5602"/>
    <tableColumn id="5611" xr3:uid="{98D3BF20-DA19-42C8-AF49-2B62888297FE}" name="Colonne5603"/>
    <tableColumn id="5612" xr3:uid="{C833FDE3-0FCF-4FBF-A078-5CDA2635E9BC}" name="Colonne5604"/>
    <tableColumn id="5613" xr3:uid="{71FD56F6-2204-4915-BDCB-E60F5492D9CB}" name="Colonne5605"/>
    <tableColumn id="5614" xr3:uid="{4CF086BB-56C3-4D47-9633-6F74DAE81D87}" name="Colonne5606"/>
    <tableColumn id="5615" xr3:uid="{9778EBC1-83D3-4F6B-9617-3B60E5111A44}" name="Colonne5607"/>
    <tableColumn id="5616" xr3:uid="{126210DA-00DB-4699-A515-AB43B87BCAA7}" name="Colonne5608"/>
    <tableColumn id="5617" xr3:uid="{A86FEED9-3D17-46E5-A44C-86E5FA3B303B}" name="Colonne5609"/>
    <tableColumn id="5618" xr3:uid="{E24C8DBD-D4A9-4309-B53F-B4CBCA11B307}" name="Colonne5610"/>
    <tableColumn id="5619" xr3:uid="{274FF368-EAB5-470E-BEAF-63F5C99EB77E}" name="Colonne5611"/>
    <tableColumn id="5620" xr3:uid="{3CAD5D19-7032-4153-BB38-C937B8721F6B}" name="Colonne5612"/>
    <tableColumn id="5621" xr3:uid="{0524D920-9242-4416-8BF5-9457CC758AE0}" name="Colonne5613"/>
    <tableColumn id="5622" xr3:uid="{520F7637-9D72-4A5E-B884-E62705525A6B}" name="Colonne5614"/>
    <tableColumn id="5623" xr3:uid="{D668FBFF-BDCF-44EA-AA5C-C493CDC7B983}" name="Colonne5615"/>
    <tableColumn id="5624" xr3:uid="{7C575D95-BB5E-4314-9DF3-AFA2792E2BC9}" name="Colonne5616"/>
    <tableColumn id="5625" xr3:uid="{AE0BBE67-DBAF-4227-8A02-35B3EFAF519C}" name="Colonne5617"/>
    <tableColumn id="5626" xr3:uid="{FA09B3F1-8D8C-4AAD-870F-186AEA8852C6}" name="Colonne5618"/>
    <tableColumn id="5627" xr3:uid="{0B5C6541-41BC-4290-96D8-5857578BF5BC}" name="Colonne5619"/>
    <tableColumn id="5628" xr3:uid="{30B3F1B7-5643-4EB2-A956-363CD3EC18EC}" name="Colonne5620"/>
    <tableColumn id="5629" xr3:uid="{168D92A6-5888-4AA9-B174-1CF9751D188E}" name="Colonne5621"/>
    <tableColumn id="5630" xr3:uid="{C50BAEE7-EB3D-43E0-A3D9-9FA419C7D48C}" name="Colonne5622"/>
    <tableColumn id="5631" xr3:uid="{5B3D8C0D-945D-43C7-B8AC-FBECC97AAE0D}" name="Colonne5623"/>
    <tableColumn id="5632" xr3:uid="{989F8B58-F66B-46D6-8F32-4EAEC5B7C5EA}" name="Colonne5624"/>
    <tableColumn id="5633" xr3:uid="{D99A9E7B-0AFA-45A2-883B-29FD431ADEB6}" name="Colonne5625"/>
    <tableColumn id="5634" xr3:uid="{D2D8C4C9-92A1-4416-B5DA-00B822924B6F}" name="Colonne5626"/>
    <tableColumn id="5635" xr3:uid="{8D3061F8-2D27-4DFE-85B5-C473467CF336}" name="Colonne5627"/>
    <tableColumn id="5636" xr3:uid="{75190680-8CAF-44D6-BBF5-8A9777E75036}" name="Colonne5628"/>
    <tableColumn id="5637" xr3:uid="{E5AB6748-78A7-4E24-BFA7-BF45B9E70E7E}" name="Colonne5629"/>
    <tableColumn id="5638" xr3:uid="{E102B1B2-D0C3-4E53-8D13-48A38A07EF00}" name="Colonne5630"/>
    <tableColumn id="5639" xr3:uid="{A34A4B3F-5A9E-4B22-BFCB-98D9DB49B36A}" name="Colonne5631"/>
    <tableColumn id="5640" xr3:uid="{DEC98781-36B6-456C-A3F9-54FCEE648C6C}" name="Colonne5632"/>
    <tableColumn id="5641" xr3:uid="{AD194ACE-A74B-4BFA-B7C1-E68A4B8CB69E}" name="Colonne5633"/>
    <tableColumn id="5642" xr3:uid="{FD6D6D01-1AC1-4591-8BC8-FDF926088206}" name="Colonne5634"/>
    <tableColumn id="5643" xr3:uid="{1CE453E9-1171-4E87-B648-6C55BCCA7F46}" name="Colonne5635"/>
    <tableColumn id="5644" xr3:uid="{D5529294-7E11-4117-9B00-E25BBDEB7D69}" name="Colonne5636"/>
    <tableColumn id="5645" xr3:uid="{CF532EFA-6C94-4190-92AA-621D50E3E470}" name="Colonne5637"/>
    <tableColumn id="5646" xr3:uid="{E6F143D3-3444-48E5-B05E-972183416E18}" name="Colonne5638"/>
    <tableColumn id="5647" xr3:uid="{8EBEF40B-169A-4026-9CEB-0714E5428FD8}" name="Colonne5639"/>
    <tableColumn id="5648" xr3:uid="{05304323-8443-4B55-BEC6-493A62121962}" name="Colonne5640"/>
    <tableColumn id="5649" xr3:uid="{F7F16792-B363-4835-A324-67B98BBADFD4}" name="Colonne5641"/>
    <tableColumn id="5650" xr3:uid="{77F8F039-06DD-4CCA-BBD8-F2C9CFE56D90}" name="Colonne5642"/>
    <tableColumn id="5651" xr3:uid="{F2C629A4-8C46-45FF-B935-B1579CE67F02}" name="Colonne5643"/>
    <tableColumn id="5652" xr3:uid="{CBA57F88-6C0E-427B-BCAF-F083D8378872}" name="Colonne5644"/>
    <tableColumn id="5653" xr3:uid="{2B2B4743-B027-47CE-AEEC-2860743930BC}" name="Colonne5645"/>
    <tableColumn id="5654" xr3:uid="{0A288D39-ED49-4E54-89CE-64AD18C70FE5}" name="Colonne5646"/>
    <tableColumn id="5655" xr3:uid="{DE24B871-42BD-49C2-BB12-DAD674246C51}" name="Colonne5647"/>
    <tableColumn id="5656" xr3:uid="{53DF17CE-BFDF-4D45-A0AC-B7657260611B}" name="Colonne5648"/>
    <tableColumn id="5657" xr3:uid="{CFF2B673-79AF-4B57-B124-EECB3D4DEFD9}" name="Colonne5649"/>
    <tableColumn id="5658" xr3:uid="{E99A136B-A798-4DEE-AB9C-CEE041B8DA2F}" name="Colonne5650"/>
    <tableColumn id="5659" xr3:uid="{689A84CF-3980-4BCC-8271-0E608CEEA396}" name="Colonne5651"/>
    <tableColumn id="5660" xr3:uid="{84647FCC-7531-48F3-8475-8A1437188242}" name="Colonne5652"/>
    <tableColumn id="5661" xr3:uid="{37FBCA92-0C55-4ADA-9B85-0764CC6B3DBB}" name="Colonne5653"/>
    <tableColumn id="5662" xr3:uid="{55FB3998-DEB1-482D-B738-E69779493B80}" name="Colonne5654"/>
    <tableColumn id="5663" xr3:uid="{E8891836-99CD-445C-B8D8-F6F08A704419}" name="Colonne5655"/>
    <tableColumn id="5664" xr3:uid="{4A18C50B-D820-4AF1-A360-A19D882C3264}" name="Colonne5656"/>
    <tableColumn id="5665" xr3:uid="{69B2F8C5-A7DD-4FE6-AF15-3BF0429175BE}" name="Colonne5657"/>
    <tableColumn id="5666" xr3:uid="{D5CFE36F-F594-4A8C-A9CB-C4AF1B04E0C7}" name="Colonne5658"/>
    <tableColumn id="5667" xr3:uid="{25AAF532-D5DC-4A1F-9AAB-08BE702A53EE}" name="Colonne5659"/>
    <tableColumn id="5668" xr3:uid="{64FE9EE8-9F65-423E-AA10-932066DE69A0}" name="Colonne5660"/>
    <tableColumn id="5669" xr3:uid="{7FC44398-B5C3-4AB4-8BED-BEF7DBC8C5E5}" name="Colonne5661"/>
    <tableColumn id="5670" xr3:uid="{00456F30-0978-4552-8EC4-25827C4CF3A4}" name="Colonne5662"/>
    <tableColumn id="5671" xr3:uid="{77A840ED-B4A3-4951-A0CB-39229DE39431}" name="Colonne5663"/>
    <tableColumn id="5672" xr3:uid="{A8E8770A-EA5B-4F5C-AFBA-FCC776EFBC5C}" name="Colonne5664"/>
    <tableColumn id="5673" xr3:uid="{1B40688E-A6AB-418D-AB50-5EAB87851FA5}" name="Colonne5665"/>
    <tableColumn id="5674" xr3:uid="{BE079A57-395B-4047-B140-6B0CA304EAA9}" name="Colonne5666"/>
    <tableColumn id="5675" xr3:uid="{FA004E82-9D71-4860-BA75-A99B46173226}" name="Colonne5667"/>
    <tableColumn id="5676" xr3:uid="{B4F968FA-6F18-4EF9-86DB-98F685691C67}" name="Colonne5668"/>
    <tableColumn id="5677" xr3:uid="{015872DC-3C2B-4E96-8343-91AE7835D80B}" name="Colonne5669"/>
    <tableColumn id="5678" xr3:uid="{CA4420EA-4B06-4531-A679-87F542307981}" name="Colonne5670"/>
    <tableColumn id="5679" xr3:uid="{0978E940-E64D-4A6D-B624-42A76F681986}" name="Colonne5671"/>
    <tableColumn id="5680" xr3:uid="{ABBC9225-1697-492A-BFE9-C98A8F8EDEDB}" name="Colonne5672"/>
    <tableColumn id="5681" xr3:uid="{F6F4C996-74E3-4876-AE94-9D56DB9E15C7}" name="Colonne5673"/>
    <tableColumn id="5682" xr3:uid="{111C0481-32FD-4DEE-82A8-5D8EA82232BA}" name="Colonne5674"/>
    <tableColumn id="5683" xr3:uid="{A086094A-9C1F-40B2-A192-F44FDE1427D1}" name="Colonne5675"/>
    <tableColumn id="5684" xr3:uid="{740155FD-BF10-44A1-BD36-98A0A262E093}" name="Colonne5676"/>
    <tableColumn id="5685" xr3:uid="{8A2067C2-D7A3-42FB-AA7E-9B5F15BCF306}" name="Colonne5677"/>
    <tableColumn id="5686" xr3:uid="{416B93FE-1020-450E-8366-A38B86389A92}" name="Colonne5678"/>
    <tableColumn id="5687" xr3:uid="{5B93E825-1828-445B-8477-0257449801B4}" name="Colonne5679"/>
    <tableColumn id="5688" xr3:uid="{819DB871-BE5D-4215-BE9A-2FADCA80EF2B}" name="Colonne5680"/>
    <tableColumn id="5689" xr3:uid="{8A11EC6F-741D-4EB4-B356-AF4565C4C699}" name="Colonne5681"/>
    <tableColumn id="5690" xr3:uid="{9B0EA7C5-6F6D-44D1-8AB4-CB979615499D}" name="Colonne5682"/>
    <tableColumn id="5691" xr3:uid="{D4D49503-FE4A-4DF8-A21A-00481E48EEA5}" name="Colonne5683"/>
    <tableColumn id="5692" xr3:uid="{E251CFA0-A498-4207-8B9F-EC49481FDBB0}" name="Colonne5684"/>
    <tableColumn id="5693" xr3:uid="{32A91CA9-2C59-4D2E-9988-AD3075BB2268}" name="Colonne5685"/>
    <tableColumn id="5694" xr3:uid="{A8FF452C-55C0-4E4F-A85D-04A006DFB71A}" name="Colonne5686"/>
    <tableColumn id="5695" xr3:uid="{C973E59D-E2A1-4903-B678-EA5B944F53C1}" name="Colonne5687"/>
    <tableColumn id="5696" xr3:uid="{97A7CC94-6E25-45A1-831F-96303867BB08}" name="Colonne5688"/>
    <tableColumn id="5697" xr3:uid="{DE614CB5-5595-4BBB-8509-7D3D858B592F}" name="Colonne5689"/>
    <tableColumn id="5698" xr3:uid="{A49B221D-9317-44A7-8D9B-A31E33481A9C}" name="Colonne5690"/>
    <tableColumn id="5699" xr3:uid="{CD7937B0-B647-4FCF-B8C4-DB27AFC12AE9}" name="Colonne5691"/>
    <tableColumn id="5700" xr3:uid="{9D6766F6-9282-48AE-8315-441D95181501}" name="Colonne5692"/>
    <tableColumn id="5701" xr3:uid="{B34698E9-EA21-4707-BAC4-04B21CE2D03C}" name="Colonne5693"/>
    <tableColumn id="5702" xr3:uid="{D7697A0E-9A05-43EB-B859-5A8DDFDF3B2A}" name="Colonne5694"/>
    <tableColumn id="5703" xr3:uid="{29C559AD-2BB2-4067-A313-DB717891BF67}" name="Colonne5695"/>
    <tableColumn id="5704" xr3:uid="{C1CBEB61-630B-4F14-9BF0-3853ABDF790B}" name="Colonne5696"/>
    <tableColumn id="5705" xr3:uid="{BA96F9BE-8024-4A5D-9C38-CE40D609FA1B}" name="Colonne5697"/>
    <tableColumn id="5706" xr3:uid="{3CF55591-FB7A-41DA-8427-26E72744EFF9}" name="Colonne5698"/>
    <tableColumn id="5707" xr3:uid="{1A8EBEA8-26CC-4459-9EE8-860ACB19359F}" name="Colonne5699"/>
    <tableColumn id="5708" xr3:uid="{3C893AB0-AE61-437C-994D-5C23D569EC60}" name="Colonne5700"/>
    <tableColumn id="5709" xr3:uid="{8EA57329-41D0-47DB-803B-9B5D06F592BD}" name="Colonne5701"/>
    <tableColumn id="5710" xr3:uid="{81B08D2B-5127-4A58-8037-385DB0F70E75}" name="Colonne5702"/>
    <tableColumn id="5711" xr3:uid="{3DCBD69C-C143-424F-AD86-DCC9C6C06612}" name="Colonne5703"/>
    <tableColumn id="5712" xr3:uid="{39C65F61-88DE-4FC1-A6D6-A61AAA637669}" name="Colonne5704"/>
    <tableColumn id="5713" xr3:uid="{23108595-691E-46D5-8DFE-73E10CAF7B2C}" name="Colonne5705"/>
    <tableColumn id="5714" xr3:uid="{31B1322D-BA8C-4057-9ED3-DDF131C22DA4}" name="Colonne5706"/>
    <tableColumn id="5715" xr3:uid="{DFE79683-3BBB-45C2-B581-4EF9B597FF21}" name="Colonne5707"/>
    <tableColumn id="5716" xr3:uid="{262DA176-C5AF-424E-8AE3-C954022F8569}" name="Colonne5708"/>
    <tableColumn id="5717" xr3:uid="{785A2C2C-222F-43F5-B978-C2A49CD0EB11}" name="Colonne5709"/>
    <tableColumn id="5718" xr3:uid="{F48F52DB-5399-4FFD-9FF0-7AA2D064C20E}" name="Colonne5710"/>
    <tableColumn id="5719" xr3:uid="{9EBADE28-4101-42E5-B492-0C09E03AF973}" name="Colonne5711"/>
    <tableColumn id="5720" xr3:uid="{04DC1785-4A7C-4AE1-BCAD-2C6F09D09A89}" name="Colonne5712"/>
    <tableColumn id="5721" xr3:uid="{9448F084-DE4E-4F40-BBCD-7435C4FD37A0}" name="Colonne5713"/>
    <tableColumn id="5722" xr3:uid="{FA3C344E-EC8A-4149-A00E-EBD9408D84FC}" name="Colonne5714"/>
    <tableColumn id="5723" xr3:uid="{B963C65C-C677-4C6A-A5C2-6E2FA776503C}" name="Colonne5715"/>
    <tableColumn id="5724" xr3:uid="{289EDB1E-529F-4E72-89FE-C94783752324}" name="Colonne5716"/>
    <tableColumn id="5725" xr3:uid="{76E39156-5C29-4558-80CD-B7BC27EE02F4}" name="Colonne5717"/>
    <tableColumn id="5726" xr3:uid="{8CB46F63-A3DB-416F-B0C9-B02CC2C4D91C}" name="Colonne5718"/>
    <tableColumn id="5727" xr3:uid="{8295C542-2F5C-4BB2-A8F6-55C19710F85F}" name="Colonne5719"/>
    <tableColumn id="5728" xr3:uid="{CE0B1848-4FC2-4E91-8C61-44F4474717A3}" name="Colonne5720"/>
    <tableColumn id="5729" xr3:uid="{63BAAEBF-A151-47A9-89D1-BC0BA51F05F9}" name="Colonne5721"/>
    <tableColumn id="5730" xr3:uid="{1EC04F98-D39D-4E63-842C-A3EAEF2E1667}" name="Colonne5722"/>
    <tableColumn id="5731" xr3:uid="{F818106E-AD8D-4101-9F94-E0E54D79B6CE}" name="Colonne5723"/>
    <tableColumn id="5732" xr3:uid="{5E2ADB56-18E5-470E-96B8-6D13AE2F6D65}" name="Colonne5724"/>
    <tableColumn id="5733" xr3:uid="{C6D25858-256B-47A4-89A5-0F578C6BB5DD}" name="Colonne5725"/>
    <tableColumn id="5734" xr3:uid="{90CB41FD-D283-425D-AE3A-B90A83640AF4}" name="Colonne5726"/>
    <tableColumn id="5735" xr3:uid="{C5E81A23-F80D-465B-9E73-00436BAEA521}" name="Colonne5727"/>
    <tableColumn id="5736" xr3:uid="{511767E5-89C8-414F-98B8-5F931273D345}" name="Colonne5728"/>
    <tableColumn id="5737" xr3:uid="{EC9120F2-51A1-445D-BE72-F7740BF302DD}" name="Colonne5729"/>
    <tableColumn id="5738" xr3:uid="{3B296AA7-41D5-40C4-98DA-70CABC9620E9}" name="Colonne5730"/>
    <tableColumn id="5739" xr3:uid="{8E0A8483-2C6D-483E-AFEA-23C2C608CEEA}" name="Colonne5731"/>
    <tableColumn id="5740" xr3:uid="{3CBD48B7-011C-4160-BC6B-BE75777072CA}" name="Colonne5732"/>
    <tableColumn id="5741" xr3:uid="{E2272DF1-FE1D-4F9D-ACE8-83D7CAF7F69C}" name="Colonne5733"/>
    <tableColumn id="5742" xr3:uid="{1BAD985B-949F-4ECC-ADDB-84EDDCA074AC}" name="Colonne5734"/>
    <tableColumn id="5743" xr3:uid="{F928382C-C16A-4FAE-8A95-B71BE7F7C63E}" name="Colonne5735"/>
    <tableColumn id="5744" xr3:uid="{2F28C584-A741-4A86-8913-8ADDBDDC3F83}" name="Colonne5736"/>
    <tableColumn id="5745" xr3:uid="{ACF17B0D-985A-4055-B5A1-A5D683B44A9A}" name="Colonne5737"/>
    <tableColumn id="5746" xr3:uid="{8A365AF1-4615-4B88-ADB0-A9009DCBB6B9}" name="Colonne5738"/>
    <tableColumn id="5747" xr3:uid="{671B45EE-AFF7-4792-AA3C-61A64BEBE1FD}" name="Colonne5739"/>
    <tableColumn id="5748" xr3:uid="{5D38E7E2-CF04-4EA7-BF6C-66B6DA226FCD}" name="Colonne5740"/>
    <tableColumn id="5749" xr3:uid="{E7E61086-0CF6-4C10-B13B-09614D900536}" name="Colonne5741"/>
    <tableColumn id="5750" xr3:uid="{B7F40814-73B2-46DD-AD47-7CA61B8D3826}" name="Colonne5742"/>
    <tableColumn id="5751" xr3:uid="{5A2E97F7-8810-4580-BC0B-CFC8F1446659}" name="Colonne5743"/>
    <tableColumn id="5752" xr3:uid="{1E593F30-8B89-4B3B-88E7-85A694593367}" name="Colonne5744"/>
    <tableColumn id="5753" xr3:uid="{96AA6A05-7FE6-40E3-A5C4-5909D47B9E72}" name="Colonne5745"/>
    <tableColumn id="5754" xr3:uid="{F9474918-7CE7-4A46-9F0A-A33CA48CB42F}" name="Colonne5746"/>
    <tableColumn id="5755" xr3:uid="{DD7C7A58-BAA5-494B-B894-DA10771DFED9}" name="Colonne5747"/>
    <tableColumn id="5756" xr3:uid="{498E13CF-002D-437F-8E4A-7BBC9B960B6C}" name="Colonne5748"/>
    <tableColumn id="5757" xr3:uid="{A69B120F-3197-4D54-A5E9-A0601C3A5081}" name="Colonne5749"/>
    <tableColumn id="5758" xr3:uid="{DA91B1D9-9DAC-476D-9CAF-A63C6C2CEFB6}" name="Colonne5750"/>
    <tableColumn id="5759" xr3:uid="{F146B1E2-4ADA-43B3-AE3F-F5C2310A013B}" name="Colonne5751"/>
    <tableColumn id="5760" xr3:uid="{7D642990-F4FF-4D5B-965C-DD31FE8CD8D6}" name="Colonne5752"/>
    <tableColumn id="5761" xr3:uid="{3EB43C28-2755-4388-8616-8AF103015F67}" name="Colonne5753"/>
    <tableColumn id="5762" xr3:uid="{266A47C0-3E7C-416C-A29A-CD995F0F5812}" name="Colonne5754"/>
    <tableColumn id="5763" xr3:uid="{9D4C0E2A-EF64-4F64-9674-992C7D280CEB}" name="Colonne5755"/>
    <tableColumn id="5764" xr3:uid="{14B5B08F-D670-4E53-A572-92EE3FA85AE9}" name="Colonne5756"/>
    <tableColumn id="5765" xr3:uid="{DFF646F9-5ED8-42B8-88BB-5FE810E28991}" name="Colonne5757"/>
    <tableColumn id="5766" xr3:uid="{635AA8B5-BC92-41AE-B5C0-026F221FA0A8}" name="Colonne5758"/>
    <tableColumn id="5767" xr3:uid="{B497583D-1138-44E6-9F88-B9FB50DFAC22}" name="Colonne5759"/>
    <tableColumn id="5768" xr3:uid="{9872993B-578C-4506-9055-A49C3B304BD8}" name="Colonne5760"/>
    <tableColumn id="5769" xr3:uid="{DFE81080-E3FB-4847-A23C-50EA7F7C701A}" name="Colonne5761"/>
    <tableColumn id="5770" xr3:uid="{08FF6FD0-DD8D-482E-97FA-92F054925C79}" name="Colonne5762"/>
    <tableColumn id="5771" xr3:uid="{CBA464C5-CDB6-457B-852B-DEC9AE1E476C}" name="Colonne5763"/>
    <tableColumn id="5772" xr3:uid="{EC88BAAE-5694-4DF5-BFA2-EE4918C75FF0}" name="Colonne5764"/>
    <tableColumn id="5773" xr3:uid="{886B80BC-396A-4CC8-86B6-EBABCA373991}" name="Colonne5765"/>
    <tableColumn id="5774" xr3:uid="{08D4015B-BB55-482E-BA10-D79522F4D967}" name="Colonne5766"/>
    <tableColumn id="5775" xr3:uid="{D45C465F-BD05-4467-9528-D62E99358527}" name="Colonne5767"/>
    <tableColumn id="5776" xr3:uid="{EAD4B25A-6BFF-4B96-9819-CE2FF8B2EE5B}" name="Colonne5768"/>
    <tableColumn id="5777" xr3:uid="{0916DADF-D065-465B-BFBC-EC0AAF915AB6}" name="Colonne5769"/>
    <tableColumn id="5778" xr3:uid="{1CF0C64B-1714-4CAE-A071-2AF297FC716B}" name="Colonne5770"/>
    <tableColumn id="5779" xr3:uid="{27D1DD8A-8503-4056-89B7-4C353F8A692F}" name="Colonne5771"/>
    <tableColumn id="5780" xr3:uid="{8B92EF24-FDBD-4E74-B017-7E8EB6941EB6}" name="Colonne5772"/>
    <tableColumn id="5781" xr3:uid="{F612FF3E-A54A-47D2-9BDC-6048E06D3512}" name="Colonne5773"/>
    <tableColumn id="5782" xr3:uid="{35A5DE9E-441C-4BF6-99FC-E90B593B9A8E}" name="Colonne5774"/>
    <tableColumn id="5783" xr3:uid="{F2BEA805-D3B8-4960-876E-899FED9890B4}" name="Colonne5775"/>
    <tableColumn id="5784" xr3:uid="{277379BA-961B-4C49-90AE-3804324F3CEA}" name="Colonne5776"/>
    <tableColumn id="5785" xr3:uid="{F9C01318-1887-48BC-A9CA-9E72F9A8A40A}" name="Colonne5777"/>
    <tableColumn id="5786" xr3:uid="{D5B85FD0-5829-4EA8-A461-C36258085EAD}" name="Colonne5778"/>
    <tableColumn id="5787" xr3:uid="{D4903C8C-90B5-4253-9116-8E9F87D70308}" name="Colonne5779"/>
    <tableColumn id="5788" xr3:uid="{5EB37962-B6CD-436F-9C63-EF9BD527E0AC}" name="Colonne5780"/>
    <tableColumn id="5789" xr3:uid="{E8CC4602-827B-4D43-868A-05F5C5F633F9}" name="Colonne5781"/>
    <tableColumn id="5790" xr3:uid="{B23B4CCA-3B97-4BFD-BD54-C7B387B0E31A}" name="Colonne5782"/>
    <tableColumn id="5791" xr3:uid="{43265213-8906-4BE0-B4E0-022CEC1F31BC}" name="Colonne5783"/>
    <tableColumn id="5792" xr3:uid="{88923D33-5E94-4010-B410-6BD58E72F7DF}" name="Colonne5784"/>
    <tableColumn id="5793" xr3:uid="{7C4C48C4-4157-4EC2-AD7E-F5FB0C908EF3}" name="Colonne5785"/>
    <tableColumn id="5794" xr3:uid="{711689C2-4CEA-415F-A7C7-AACDF3881A0A}" name="Colonne5786"/>
    <tableColumn id="5795" xr3:uid="{496A7F42-4E97-4A57-9D5F-37D0C469B401}" name="Colonne5787"/>
    <tableColumn id="5796" xr3:uid="{D7E59626-6142-4537-80D5-34A80322A321}" name="Colonne5788"/>
    <tableColumn id="5797" xr3:uid="{0FDB414D-176D-45B5-8690-ECE81F3E2A46}" name="Colonne5789"/>
    <tableColumn id="5798" xr3:uid="{EC4A3EB1-DE1F-46EE-87E6-7AACB51E3BA9}" name="Colonne5790"/>
    <tableColumn id="5799" xr3:uid="{2BF23E24-B4B1-4E38-837E-46AB3C71DDCE}" name="Colonne5791"/>
    <tableColumn id="5800" xr3:uid="{40D12E1C-3883-4538-9E5C-8FAE64BCC1E0}" name="Colonne5792"/>
    <tableColumn id="5801" xr3:uid="{EB4BBE43-B8B4-4157-8903-C1B824335B13}" name="Colonne5793"/>
    <tableColumn id="5802" xr3:uid="{E18AE62F-4622-49DC-B192-97440F6107FF}" name="Colonne5794"/>
    <tableColumn id="5803" xr3:uid="{9DAB3E60-71BF-40FD-B16C-6162CDDC6478}" name="Colonne5795"/>
    <tableColumn id="5804" xr3:uid="{1BCDEFB5-2F83-4A0C-9531-BD8E1CCAEE6D}" name="Colonne5796"/>
    <tableColumn id="5805" xr3:uid="{0D51D533-A65B-4DE8-AFA9-F8863716629D}" name="Colonne5797"/>
    <tableColumn id="5806" xr3:uid="{AD93A1CD-C3D0-498E-9D56-4E1A3A5BE439}" name="Colonne5798"/>
    <tableColumn id="5807" xr3:uid="{AD7BA81E-B3BE-4A8A-A663-B9449FEDD93A}" name="Colonne5799"/>
    <tableColumn id="5808" xr3:uid="{7273A6A1-BC28-4833-B14D-82BE3FDDB653}" name="Colonne5800"/>
    <tableColumn id="5809" xr3:uid="{2C1CD7D9-9EBD-4813-B08D-ED85729F086E}" name="Colonne5801"/>
    <tableColumn id="5810" xr3:uid="{F80E6C33-4C0A-4097-ABBE-0298A9FBEAA4}" name="Colonne5802"/>
    <tableColumn id="5811" xr3:uid="{477547C0-5919-4139-A92E-CD1248A978D7}" name="Colonne5803"/>
    <tableColumn id="5812" xr3:uid="{DFA2F124-0CC4-43F6-BC57-98095542A225}" name="Colonne5804"/>
    <tableColumn id="5813" xr3:uid="{03BA1B22-A648-4438-93A8-8A2416E2A64A}" name="Colonne5805"/>
    <tableColumn id="5814" xr3:uid="{0F01BD69-0683-478F-BE2D-F01D09DBBF95}" name="Colonne5806"/>
    <tableColumn id="5815" xr3:uid="{B0AC33CB-018A-4052-951B-899BABE56EB2}" name="Colonne5807"/>
    <tableColumn id="5816" xr3:uid="{F2480BE7-7C66-4D8A-A3DB-BFBA1E46CF54}" name="Colonne5808"/>
    <tableColumn id="5817" xr3:uid="{D88B9C0E-F156-458F-9F2E-0CAA810A940F}" name="Colonne5809"/>
    <tableColumn id="5818" xr3:uid="{4B3CA493-7CAC-4231-BDA4-19ECC4FCB819}" name="Colonne5810"/>
    <tableColumn id="5819" xr3:uid="{80A5C219-00D4-4F72-B2E8-89FE2F641898}" name="Colonne5811"/>
    <tableColumn id="5820" xr3:uid="{FE38C76B-5F7F-40B9-897B-3ADA97A17622}" name="Colonne5812"/>
    <tableColumn id="5821" xr3:uid="{3154AEDA-5C92-4F03-B8EC-5CA474110473}" name="Colonne5813"/>
    <tableColumn id="5822" xr3:uid="{D92C4F38-B904-4596-8D80-091D3C4950E6}" name="Colonne5814"/>
    <tableColumn id="5823" xr3:uid="{E1F73AEE-D76E-4997-8DFF-F5F075BE3819}" name="Colonne5815"/>
    <tableColumn id="5824" xr3:uid="{DCFD9B78-F078-4523-B321-31B74F629115}" name="Colonne5816"/>
    <tableColumn id="5825" xr3:uid="{898D8DD0-8D1F-410A-8E12-078B6EB14AB4}" name="Colonne5817"/>
    <tableColumn id="5826" xr3:uid="{0475791B-F530-457E-B3A3-55FF09AB6E61}" name="Colonne5818"/>
    <tableColumn id="5827" xr3:uid="{1BC015C3-0E77-4308-9904-DBC7C0F577C6}" name="Colonne5819"/>
    <tableColumn id="5828" xr3:uid="{2E685C92-92B1-4BF6-A9ED-9ED1BA028033}" name="Colonne5820"/>
    <tableColumn id="5829" xr3:uid="{7D2B2AC9-DB7A-48C7-BD97-9C8EA60315DE}" name="Colonne5821"/>
    <tableColumn id="5830" xr3:uid="{067CFC07-3F77-45DF-95B6-CC96CCD3EA2A}" name="Colonne5822"/>
    <tableColumn id="5831" xr3:uid="{6480E6BB-E48E-46BB-8506-F6273B10FAB8}" name="Colonne5823"/>
    <tableColumn id="5832" xr3:uid="{6D8FE2E2-1F64-43CA-B825-32A58729DCC6}" name="Colonne5824"/>
    <tableColumn id="5833" xr3:uid="{A07B544A-9231-49D3-8C3F-51804ACADE2D}" name="Colonne5825"/>
    <tableColumn id="5834" xr3:uid="{E0D610F9-D033-4E23-ACA3-129E75239A7F}" name="Colonne5826"/>
    <tableColumn id="5835" xr3:uid="{683CAF98-09FC-4663-BDB0-30246DE96455}" name="Colonne5827"/>
    <tableColumn id="5836" xr3:uid="{A592250D-4A35-431F-9635-C18A96DDC793}" name="Colonne5828"/>
    <tableColumn id="5837" xr3:uid="{5D14E593-B75A-46A9-99DF-4E1E54B8AAC8}" name="Colonne5829"/>
    <tableColumn id="5838" xr3:uid="{8F34079F-5B2B-4035-991F-676D58488B8B}" name="Colonne5830"/>
    <tableColumn id="5839" xr3:uid="{6B77B9F5-4CB7-4007-A40C-EF40BEA088AD}" name="Colonne5831"/>
    <tableColumn id="5840" xr3:uid="{B72C84A7-3568-4C8A-8D80-BD543511C8BD}" name="Colonne5832"/>
    <tableColumn id="5841" xr3:uid="{CD43BBD7-9ED4-4F78-9280-0E544F60399A}" name="Colonne5833"/>
    <tableColumn id="5842" xr3:uid="{7C583D40-0C5A-404A-96C8-A6059A669573}" name="Colonne5834"/>
    <tableColumn id="5843" xr3:uid="{F5449606-D088-43E7-9288-968832B447F4}" name="Colonne5835"/>
    <tableColumn id="5844" xr3:uid="{C2AB61DA-2799-41F4-AF5B-DDF29750E351}" name="Colonne5836"/>
    <tableColumn id="5845" xr3:uid="{B9A651FE-4095-436F-AEB3-3FC2E98DE4C8}" name="Colonne5837"/>
    <tableColumn id="5846" xr3:uid="{FE0812D5-D5D1-4119-97FE-A4D294263586}" name="Colonne5838"/>
    <tableColumn id="5847" xr3:uid="{A841149B-957D-4C12-AC5D-FA194B6E772B}" name="Colonne5839"/>
    <tableColumn id="5848" xr3:uid="{A3674CFC-EDA5-464D-863B-657C5E10304C}" name="Colonne5840"/>
    <tableColumn id="5849" xr3:uid="{70358DB1-98C5-4170-A821-E5E61CA6A03C}" name="Colonne5841"/>
    <tableColumn id="5850" xr3:uid="{4CB68774-8533-435E-88B6-8C42C11AC829}" name="Colonne5842"/>
    <tableColumn id="5851" xr3:uid="{FE1610C8-8F92-4C70-BCD5-1057D4D437A3}" name="Colonne5843"/>
    <tableColumn id="5852" xr3:uid="{BE14F42D-CC22-4020-9ABD-8C1DC87D52DF}" name="Colonne5844"/>
    <tableColumn id="5853" xr3:uid="{61EE492C-475A-42AD-8100-8D81AE5EA99B}" name="Colonne5845"/>
    <tableColumn id="5854" xr3:uid="{38530CE4-5E29-4CD1-BC4B-96A36BE9074D}" name="Colonne5846"/>
    <tableColumn id="5855" xr3:uid="{C6C02613-8CEB-4F01-81C5-D5A615454CFA}" name="Colonne5847"/>
    <tableColumn id="5856" xr3:uid="{9F2B4080-F78E-4DDB-AEC2-611C8CE30B5D}" name="Colonne5848"/>
    <tableColumn id="5857" xr3:uid="{149FEE6C-A5BE-4DD1-B57B-0C546270D08F}" name="Colonne5849"/>
    <tableColumn id="5858" xr3:uid="{9D810818-ED28-416C-9C14-3EAE2C28ABBF}" name="Colonne5850"/>
    <tableColumn id="5859" xr3:uid="{483DB489-3AE6-43AE-9ACE-AC5BB34E7065}" name="Colonne5851"/>
    <tableColumn id="5860" xr3:uid="{F022E343-A0A0-4313-83AD-5CEDAEEA8435}" name="Colonne5852"/>
    <tableColumn id="5861" xr3:uid="{1EFC3BA6-C459-43B5-8AE7-978B70AB8635}" name="Colonne5853"/>
    <tableColumn id="5862" xr3:uid="{D48EC7FC-A8AF-4FE7-865E-B2FB2BCA7A8E}" name="Colonne5854"/>
    <tableColumn id="5863" xr3:uid="{8EDEB145-5CDA-4D5C-8AF9-3862A8053E88}" name="Colonne5855"/>
    <tableColumn id="5864" xr3:uid="{1351541A-747F-4F64-BC92-14EB38E776A6}" name="Colonne5856"/>
    <tableColumn id="5865" xr3:uid="{70BC38CE-DD03-404D-973B-39FE48BD499D}" name="Colonne5857"/>
    <tableColumn id="5866" xr3:uid="{C92DDC49-E853-420B-BF38-B06FF5A57862}" name="Colonne5858"/>
    <tableColumn id="5867" xr3:uid="{E79A757E-AB31-4F3E-9362-5E88F7EF6292}" name="Colonne5859"/>
    <tableColumn id="5868" xr3:uid="{B245731E-9C36-4A55-BB54-A79C0DC8AF63}" name="Colonne5860"/>
    <tableColumn id="5869" xr3:uid="{0821CE67-1154-4CD5-84AF-F6F077E303BB}" name="Colonne5861"/>
    <tableColumn id="5870" xr3:uid="{B1E8C47D-888F-44ED-8FF7-9E1CE039558B}" name="Colonne5862"/>
    <tableColumn id="5871" xr3:uid="{E8121A56-E494-4B2A-87A1-B2CD43CA254B}" name="Colonne5863"/>
    <tableColumn id="5872" xr3:uid="{B8516181-975A-48B9-98EC-76C264C6FB1E}" name="Colonne5864"/>
    <tableColumn id="5873" xr3:uid="{70268A9C-DFC7-4397-A3A7-099760A45F7E}" name="Colonne5865"/>
    <tableColumn id="5874" xr3:uid="{6CD0600C-D5EA-4AFA-A02E-F77CDA9E73D7}" name="Colonne5866"/>
    <tableColumn id="5875" xr3:uid="{EC54FE30-90C7-4905-8FF2-5CACA14CD971}" name="Colonne5867"/>
    <tableColumn id="5876" xr3:uid="{04759428-96FB-452C-87BC-906AF8573783}" name="Colonne5868"/>
    <tableColumn id="5877" xr3:uid="{B6AC4D5E-61FA-4E0C-87F5-40BDD1C85039}" name="Colonne5869"/>
    <tableColumn id="5878" xr3:uid="{6529BFF9-3059-4C54-A463-034A7C5142F5}" name="Colonne5870"/>
    <tableColumn id="5879" xr3:uid="{5A428DE7-6E30-4704-AF19-BE3EEF8FFC39}" name="Colonne5871"/>
    <tableColumn id="5880" xr3:uid="{29BA40E7-7339-478B-88F0-4F7B5BE2CF5F}" name="Colonne5872"/>
    <tableColumn id="5881" xr3:uid="{0EFF6855-733F-4299-8298-18A9D17377F3}" name="Colonne5873"/>
    <tableColumn id="5882" xr3:uid="{98CCB1D4-3BDD-4BF6-9762-D9B6DED0A7B6}" name="Colonne5874"/>
    <tableColumn id="5883" xr3:uid="{23841347-4161-4695-9470-8B30CEA5C8C4}" name="Colonne5875"/>
    <tableColumn id="5884" xr3:uid="{C1B8FE9A-DE24-4137-85CE-74BE1300F45F}" name="Colonne5876"/>
    <tableColumn id="5885" xr3:uid="{ACCA2F12-C211-46B7-91AD-2C8AA8A913EB}" name="Colonne5877"/>
    <tableColumn id="5886" xr3:uid="{B7C023B9-C602-47A4-8339-BEC4A5D33BA0}" name="Colonne5878"/>
    <tableColumn id="5887" xr3:uid="{1087CCF4-7B3C-452B-87B5-4F95CC123733}" name="Colonne5879"/>
    <tableColumn id="5888" xr3:uid="{4F838283-58D6-44DD-9B8B-D233D1AD4574}" name="Colonne5880"/>
    <tableColumn id="5889" xr3:uid="{5EF13297-AA11-4547-BAA9-BE82CDD76C9D}" name="Colonne5881"/>
    <tableColumn id="5890" xr3:uid="{5790F7EE-28F1-4429-A237-A1605668758A}" name="Colonne5882"/>
    <tableColumn id="5891" xr3:uid="{9B5B2FE0-0184-40A2-94E9-E51F9CA90FB5}" name="Colonne5883"/>
    <tableColumn id="5892" xr3:uid="{3D1BAE95-C97E-424B-8717-D68F437989F5}" name="Colonne5884"/>
    <tableColumn id="5893" xr3:uid="{E297CFFF-5D74-4976-9A56-82321DB9C9CF}" name="Colonne5885"/>
    <tableColumn id="5894" xr3:uid="{D5929DA5-B677-4F88-B4F1-5AEA415888EE}" name="Colonne5886"/>
    <tableColumn id="5895" xr3:uid="{0511BE2D-BF20-49C6-B115-724C543CED2E}" name="Colonne5887"/>
    <tableColumn id="5896" xr3:uid="{890E8285-23FE-4161-A58C-03DA274DAB11}" name="Colonne5888"/>
    <tableColumn id="5897" xr3:uid="{40A0DB98-F19B-4560-864A-88E0DE47CD04}" name="Colonne5889"/>
    <tableColumn id="5898" xr3:uid="{51987346-F680-407C-8006-B9FDE4B81A8D}" name="Colonne5890"/>
    <tableColumn id="5899" xr3:uid="{CEFC08A6-06DA-4E38-8576-91208246FA55}" name="Colonne5891"/>
    <tableColumn id="5900" xr3:uid="{2CB16DE1-0AA0-487A-9A3A-D1697316BB43}" name="Colonne5892"/>
    <tableColumn id="5901" xr3:uid="{9628B502-3513-4DEB-A427-9938540E3E20}" name="Colonne5893"/>
    <tableColumn id="5902" xr3:uid="{E6AB46C4-618C-478D-BDB6-5B7490E8F897}" name="Colonne5894"/>
    <tableColumn id="5903" xr3:uid="{B23C17D2-D506-4420-A428-507F7BC347F1}" name="Colonne5895"/>
    <tableColumn id="5904" xr3:uid="{EBEDD74E-BE34-4877-9C6C-3D1A50F43D02}" name="Colonne5896"/>
    <tableColumn id="5905" xr3:uid="{7C63D448-321F-45D8-A19D-0339056DDEE1}" name="Colonne5897"/>
    <tableColumn id="5906" xr3:uid="{89513984-133F-4BC6-8728-ED66FD16BED2}" name="Colonne5898"/>
    <tableColumn id="5907" xr3:uid="{4FF7F188-67F6-4A43-A8BC-FBCF6C7ABF1B}" name="Colonne5899"/>
    <tableColumn id="5908" xr3:uid="{7C1A6303-635F-4E88-BAEE-E2519445332A}" name="Colonne5900"/>
    <tableColumn id="5909" xr3:uid="{C0B05E18-593D-4633-BDF6-E36256D39200}" name="Colonne5901"/>
    <tableColumn id="5910" xr3:uid="{05E0B28E-1AF3-4469-AAFC-9EE10CD6D39A}" name="Colonne5902"/>
    <tableColumn id="5911" xr3:uid="{43C8CCAF-DBBD-4BA0-B2EE-C3E46042A635}" name="Colonne5903"/>
    <tableColumn id="5912" xr3:uid="{DBD1F17D-A3EE-438F-9CED-481ED3392832}" name="Colonne5904"/>
    <tableColumn id="5913" xr3:uid="{46F5DB1F-6F10-4E51-A879-BC47F68F5945}" name="Colonne5905"/>
    <tableColumn id="5914" xr3:uid="{8900EC8C-AD25-4961-8FE9-6E9066DCF9E4}" name="Colonne5906"/>
    <tableColumn id="5915" xr3:uid="{A88E703F-3534-4079-A900-A1B11D5F39DD}" name="Colonne5907"/>
    <tableColumn id="5916" xr3:uid="{151C5937-70E6-4583-B8CE-8E6F25EBF8C0}" name="Colonne5908"/>
    <tableColumn id="5917" xr3:uid="{7A29CBA3-E43A-43A2-A165-541EE61FB932}" name="Colonne5909"/>
    <tableColumn id="5918" xr3:uid="{5910B12B-1D36-4930-9E3A-C5CEF7E3894A}" name="Colonne5910"/>
    <tableColumn id="5919" xr3:uid="{DFCAFE3E-3457-4E58-82F7-340F51CE3D67}" name="Colonne5911"/>
    <tableColumn id="5920" xr3:uid="{40AF560F-A440-4C3D-8C7F-2448CA517E2B}" name="Colonne5912"/>
    <tableColumn id="5921" xr3:uid="{7CAA04FA-08D4-456E-B312-B72F5BA05265}" name="Colonne5913"/>
    <tableColumn id="5922" xr3:uid="{07932BE4-68D4-44A2-B497-BAB43454EE73}" name="Colonne5914"/>
    <tableColumn id="5923" xr3:uid="{CA3E5E96-F46D-46E2-AEB3-09C315FF33D7}" name="Colonne5915"/>
    <tableColumn id="5924" xr3:uid="{92BCD602-4C07-4F15-B2FF-8813227A17EB}" name="Colonne5916"/>
    <tableColumn id="5925" xr3:uid="{0F887F3D-A70D-4819-9A24-2584C51F6A86}" name="Colonne5917"/>
    <tableColumn id="5926" xr3:uid="{BCCB42ED-8350-4BD8-8FD3-7964E86C710A}" name="Colonne5918"/>
    <tableColumn id="5927" xr3:uid="{20883F8F-BB9D-4B95-91DA-090071457F99}" name="Colonne5919"/>
    <tableColumn id="5928" xr3:uid="{7F0DDE8A-B533-48DF-95D2-A1242E08B62D}" name="Colonne5920"/>
    <tableColumn id="5929" xr3:uid="{4D5C67C8-FFEB-4C38-AEAE-EB5D064D534E}" name="Colonne5921"/>
    <tableColumn id="5930" xr3:uid="{2ECF7B51-6DD3-4983-8558-ED17691BA4E5}" name="Colonne5922"/>
    <tableColumn id="5931" xr3:uid="{82AFD8E9-D82D-4EA7-9D30-9F669F35421C}" name="Colonne5923"/>
    <tableColumn id="5932" xr3:uid="{23ABFDCB-8C57-4ED6-BA64-215E9993F61B}" name="Colonne5924"/>
    <tableColumn id="5933" xr3:uid="{5FE17036-0F4F-4222-AEAF-A31CF8360F64}" name="Colonne5925"/>
    <tableColumn id="5934" xr3:uid="{4BA83DE4-74F7-46B2-93F1-0B3133832881}" name="Colonne5926"/>
    <tableColumn id="5935" xr3:uid="{D9C95771-810B-445B-9BAE-C7B0BFD04821}" name="Colonne5927"/>
    <tableColumn id="5936" xr3:uid="{B5704724-0F39-4693-BF78-913F98AF9EEE}" name="Colonne5928"/>
    <tableColumn id="5937" xr3:uid="{9BF22E95-D54F-41CF-91A1-00C1799DC62F}" name="Colonne5929"/>
    <tableColumn id="5938" xr3:uid="{C2592716-80D7-4277-85D7-86E9175CF248}" name="Colonne5930"/>
    <tableColumn id="5939" xr3:uid="{148807B6-0938-4FBC-955B-A75EAC5157EA}" name="Colonne5931"/>
    <tableColumn id="5940" xr3:uid="{B6392A4F-D60D-4A8E-B5A6-7F6CC57B0934}" name="Colonne5932"/>
    <tableColumn id="5941" xr3:uid="{0C757F7E-4B98-482C-AED8-A5AA1BC5B4F4}" name="Colonne5933"/>
    <tableColumn id="5942" xr3:uid="{9A0459FE-A240-4AB3-99FB-0E2C39B2B814}" name="Colonne5934"/>
    <tableColumn id="5943" xr3:uid="{CE37988A-6E5B-4CB9-9337-BEF70E286A4E}" name="Colonne5935"/>
    <tableColumn id="5944" xr3:uid="{65B15F0A-C063-4746-A674-69AFDD2A7917}" name="Colonne5936"/>
    <tableColumn id="5945" xr3:uid="{995A6254-51B3-43B8-BBE1-346B8DDDB4C2}" name="Colonne5937"/>
    <tableColumn id="5946" xr3:uid="{D13C608A-E124-42E1-A990-2C4E3A5CBBB3}" name="Colonne5938"/>
    <tableColumn id="5947" xr3:uid="{FA8AED15-8C01-4EA2-ADD3-8685DDD58A64}" name="Colonne5939"/>
    <tableColumn id="5948" xr3:uid="{9A50726B-B368-4ED0-A893-9AD06F83BFF4}" name="Colonne5940"/>
    <tableColumn id="5949" xr3:uid="{F984F128-DF3F-47CA-A929-D36E795DC06D}" name="Colonne5941"/>
    <tableColumn id="5950" xr3:uid="{A1B19C40-4433-4585-AE13-1DACD816B95C}" name="Colonne5942"/>
    <tableColumn id="5951" xr3:uid="{A2C881C3-E1BB-471A-8AB5-D574835B695B}" name="Colonne5943"/>
    <tableColumn id="5952" xr3:uid="{27054FBB-5B04-4C15-BBA0-BC49330EB44C}" name="Colonne5944"/>
    <tableColumn id="5953" xr3:uid="{3E176E7C-2AFD-429E-A8FA-305CDFBE6B16}" name="Colonne5945"/>
    <tableColumn id="5954" xr3:uid="{E16724DC-3783-4D22-8CD5-790692225853}" name="Colonne5946"/>
    <tableColumn id="5955" xr3:uid="{1E8A063B-0106-4A52-BA59-C8C3E039BDA7}" name="Colonne5947"/>
    <tableColumn id="5956" xr3:uid="{94BB2474-B316-4D98-8A82-89ABDA254380}" name="Colonne5948"/>
    <tableColumn id="5957" xr3:uid="{95C8B61B-77AE-435B-BCAE-6094D9B5DD51}" name="Colonne5949"/>
    <tableColumn id="5958" xr3:uid="{38587D2F-CC36-4F86-90AE-55F04429F6CA}" name="Colonne5950"/>
    <tableColumn id="5959" xr3:uid="{37F287C1-0604-4E93-950C-586E2EEE9E2B}" name="Colonne5951"/>
    <tableColumn id="5960" xr3:uid="{DB1C95DC-1AF1-4CB7-B4B1-492F14AB0E16}" name="Colonne5952"/>
    <tableColumn id="5961" xr3:uid="{AEC16FB0-6E57-4CE1-AA23-27FF52D5F5F5}" name="Colonne5953"/>
    <tableColumn id="5962" xr3:uid="{3DF8DB0D-672C-4209-BE5E-94904EC22C73}" name="Colonne5954"/>
    <tableColumn id="5963" xr3:uid="{1CEF1E6C-5C6B-4B36-898F-52219E7CB62C}" name="Colonne5955"/>
    <tableColumn id="5964" xr3:uid="{A0B13D3F-45D7-491D-9CB2-14E2FD5E7CE4}" name="Colonne5956"/>
    <tableColumn id="5965" xr3:uid="{1A4E40B4-91AC-4FBF-A20A-3F1C288A75AC}" name="Colonne5957"/>
    <tableColumn id="5966" xr3:uid="{B94DC064-F324-4077-BA98-9BF269D9D3BC}" name="Colonne5958"/>
    <tableColumn id="5967" xr3:uid="{6D3CE0E1-FA62-408C-BCC1-6C0D88AEEA2A}" name="Colonne5959"/>
    <tableColumn id="5968" xr3:uid="{5DCF652C-2AAA-4DBF-9CF7-37C2AAF5D13E}" name="Colonne5960"/>
    <tableColumn id="5969" xr3:uid="{F64C07E0-AD44-4742-92E7-4ED70FB13E38}" name="Colonne5961"/>
    <tableColumn id="5970" xr3:uid="{685AC239-C8FE-453B-8D1C-6737622E0AE0}" name="Colonne5962"/>
    <tableColumn id="5971" xr3:uid="{35AF61F6-B5C2-4C76-A3B8-C8361DC2D158}" name="Colonne5963"/>
    <tableColumn id="5972" xr3:uid="{9194254D-2D9B-40AF-BD4D-0BD2BBED80B6}" name="Colonne5964"/>
    <tableColumn id="5973" xr3:uid="{1459FBEF-2FE1-4C0C-8B58-74BCC5684D40}" name="Colonne5965"/>
    <tableColumn id="5974" xr3:uid="{D12196D2-0E6F-4C51-AE24-E8252BFFE9E2}" name="Colonne5966"/>
    <tableColumn id="5975" xr3:uid="{58CC3A87-1D57-4C77-AFFF-5D37B58FE1AC}" name="Colonne5967"/>
    <tableColumn id="5976" xr3:uid="{9216D1C6-6BDE-4993-9962-69CD015D238E}" name="Colonne5968"/>
    <tableColumn id="5977" xr3:uid="{94C2C98E-6789-4B3C-B131-4BE42668FB11}" name="Colonne5969"/>
    <tableColumn id="5978" xr3:uid="{5F8395B3-443E-46FF-BA5C-D8D7CBC13ADE}" name="Colonne5970"/>
    <tableColumn id="5979" xr3:uid="{87566966-8563-46BB-B441-3686CD5E72B7}" name="Colonne5971"/>
    <tableColumn id="5980" xr3:uid="{96341541-9F52-48AE-82C9-810086E0BBD8}" name="Colonne5972"/>
    <tableColumn id="5981" xr3:uid="{3101B87C-7068-4453-8F5F-FF0AB55BCDDC}" name="Colonne5973"/>
    <tableColumn id="5982" xr3:uid="{896C6681-CA93-4583-8EBD-384B64A5D61C}" name="Colonne5974"/>
    <tableColumn id="5983" xr3:uid="{79CE764D-BB37-4646-9A79-295041D549FF}" name="Colonne5975"/>
    <tableColumn id="5984" xr3:uid="{12F37D8D-A1C9-4C84-B8B5-C1EE2230E5F8}" name="Colonne5976"/>
    <tableColumn id="5985" xr3:uid="{BA261DE8-2D07-4843-B468-61D72DCFC25A}" name="Colonne5977"/>
    <tableColumn id="5986" xr3:uid="{45B8C759-E5C7-4D5D-8C05-8D32C77C06F6}" name="Colonne5978"/>
    <tableColumn id="5987" xr3:uid="{08CF0C33-FC01-4439-8683-6EF482EA61EF}" name="Colonne5979"/>
    <tableColumn id="5988" xr3:uid="{EFC90695-A645-4DD0-BC73-63E2F96EEC7E}" name="Colonne5980"/>
    <tableColumn id="5989" xr3:uid="{F38F5A04-715F-4E06-8AA8-B99998A4BA57}" name="Colonne5981"/>
    <tableColumn id="5990" xr3:uid="{AFA9C84A-F73B-44DF-81DC-F84C02CC42E6}" name="Colonne5982"/>
    <tableColumn id="5991" xr3:uid="{CBA6200A-DBF3-48BA-809C-75FB284D3BCF}" name="Colonne5983"/>
    <tableColumn id="5992" xr3:uid="{04E4409A-3413-4914-B3D9-F5875492F04F}" name="Colonne5984"/>
    <tableColumn id="5993" xr3:uid="{14B8958C-5C2A-46E0-AA29-2722736A9EC0}" name="Colonne5985"/>
    <tableColumn id="5994" xr3:uid="{4BB79C14-0270-43C7-9660-DC9FC4BBD1BA}" name="Colonne5986"/>
    <tableColumn id="5995" xr3:uid="{022C5502-5D02-4029-8B49-53F299BC54DD}" name="Colonne5987"/>
    <tableColumn id="5996" xr3:uid="{03D85B80-70C4-4CD1-9F1A-DA8D4A532A7B}" name="Colonne5988"/>
    <tableColumn id="5997" xr3:uid="{FF9B42FC-CE21-405D-A89E-56A24930CF78}" name="Colonne5989"/>
    <tableColumn id="5998" xr3:uid="{88A12CE5-EF26-4E95-9EE5-A400C53D1ED9}" name="Colonne5990"/>
    <tableColumn id="5999" xr3:uid="{AD0CD671-4F87-4D36-9AD1-E9092EBC94B4}" name="Colonne5991"/>
    <tableColumn id="6000" xr3:uid="{75021C68-9437-49BC-97B9-31D3143789E1}" name="Colonne5992"/>
    <tableColumn id="6001" xr3:uid="{A6FC7977-BEF0-4131-A686-66F4DA638B96}" name="Colonne5993"/>
    <tableColumn id="6002" xr3:uid="{F38189C9-562C-440C-8A01-6A2B5435C229}" name="Colonne5994"/>
    <tableColumn id="6003" xr3:uid="{A590CB7F-5E4B-46ED-992E-1AF78CE90907}" name="Colonne5995"/>
    <tableColumn id="6004" xr3:uid="{77C5CF5F-D8B2-4986-9980-7D63BC3F3998}" name="Colonne5996"/>
    <tableColumn id="6005" xr3:uid="{E488824A-A4B8-44B4-B2A8-8EA2E7C8986F}" name="Colonne5997"/>
    <tableColumn id="6006" xr3:uid="{DFEE6530-7356-41B8-9421-362CE7DA8FA2}" name="Colonne5998"/>
    <tableColumn id="6007" xr3:uid="{B57F82B1-23B8-46AD-96D7-09CF040530DF}" name="Colonne5999"/>
    <tableColumn id="6008" xr3:uid="{78DF5851-6331-4CB1-9385-D349D82EFB77}" name="Colonne6000"/>
    <tableColumn id="6009" xr3:uid="{E538ED79-DCC7-4F6E-B5D6-241227DB32E4}" name="Colonne6001"/>
    <tableColumn id="6010" xr3:uid="{67758CE0-638F-408F-B34C-60003609A9CD}" name="Colonne6002"/>
    <tableColumn id="6011" xr3:uid="{A0E94EFA-BDED-488B-B7B7-DD40BBB7BEAD}" name="Colonne6003"/>
    <tableColumn id="6012" xr3:uid="{D89B42CE-B62A-4C91-860A-A34B5626C1FD}" name="Colonne6004"/>
    <tableColumn id="6013" xr3:uid="{027B74E3-FB91-4C60-A141-0528A2B1D6E5}" name="Colonne6005"/>
    <tableColumn id="6014" xr3:uid="{57544287-980F-436D-AEB9-45B895880ED0}" name="Colonne6006"/>
    <tableColumn id="6015" xr3:uid="{2AC3CF94-36CB-4F60-8162-D9E65884C7AD}" name="Colonne6007"/>
    <tableColumn id="6016" xr3:uid="{9A3B7AF5-1B15-4562-A0AA-83E4F94B322E}" name="Colonne6008"/>
    <tableColumn id="6017" xr3:uid="{A53EEACB-C02C-482C-9E5C-A2A39DF554EF}" name="Colonne6009"/>
    <tableColumn id="6018" xr3:uid="{EB2F523A-5ED9-4B0B-9BF4-ED0685654A56}" name="Colonne6010"/>
    <tableColumn id="6019" xr3:uid="{485738CA-4FC6-4A02-BDB1-67639FAA09B8}" name="Colonne6011"/>
    <tableColumn id="6020" xr3:uid="{2BD65AF1-7E64-4BAB-AAD3-28D0098A5FB9}" name="Colonne6012"/>
    <tableColumn id="6021" xr3:uid="{E812C447-8E78-46FA-8184-E36A6DBAFF3E}" name="Colonne6013"/>
    <tableColumn id="6022" xr3:uid="{ABBE2349-5598-4FAE-B902-495E3FFAF0BD}" name="Colonne6014"/>
    <tableColumn id="6023" xr3:uid="{86BC1974-3128-4BF4-86F8-35E2779D72CA}" name="Colonne6015"/>
    <tableColumn id="6024" xr3:uid="{0B2376E6-B913-4E72-9B5B-34D4C08F58DA}" name="Colonne6016"/>
    <tableColumn id="6025" xr3:uid="{2547EB9F-F841-4EEF-B89E-1F13DED56A66}" name="Colonne6017"/>
    <tableColumn id="6026" xr3:uid="{DA08E6A9-3EEF-4A2F-A717-A866BD9C6A0F}" name="Colonne6018"/>
    <tableColumn id="6027" xr3:uid="{E040AC41-4A54-4068-A717-FF71E7E5A6D7}" name="Colonne6019"/>
    <tableColumn id="6028" xr3:uid="{B9246EB8-F796-41FA-B863-36F8B587F637}" name="Colonne6020"/>
    <tableColumn id="6029" xr3:uid="{3B78D2D3-9EE9-4806-B287-E78B6B905EEB}" name="Colonne6021"/>
    <tableColumn id="6030" xr3:uid="{D46761BC-96AF-4154-B953-2C521EAFA64F}" name="Colonne6022"/>
    <tableColumn id="6031" xr3:uid="{12F3186C-5090-4C57-BFAA-D70437FAF6BA}" name="Colonne6023"/>
    <tableColumn id="6032" xr3:uid="{0BD9869A-3AB6-4A2A-8105-ADB326821D96}" name="Colonne6024"/>
    <tableColumn id="6033" xr3:uid="{68613A8B-686F-4174-A7CB-2847E535E81B}" name="Colonne6025"/>
    <tableColumn id="6034" xr3:uid="{A1E5FC63-F3D4-44E2-A13D-6548691C0FC7}" name="Colonne6026"/>
    <tableColumn id="6035" xr3:uid="{F1C5954D-7776-47F2-9323-8EFBD868C8C6}" name="Colonne6027"/>
    <tableColumn id="6036" xr3:uid="{01A9566C-C871-40F4-A3D7-EAD177DB1599}" name="Colonne6028"/>
    <tableColumn id="6037" xr3:uid="{4E87CAAD-2EA6-47D8-BCDA-85FC3264E08F}" name="Colonne6029"/>
    <tableColumn id="6038" xr3:uid="{3DE03510-E1ED-4760-9DD6-BDDEA81C7020}" name="Colonne6030"/>
    <tableColumn id="6039" xr3:uid="{A73BF6AE-941D-461D-9EC0-76AA3EF3F45D}" name="Colonne6031"/>
    <tableColumn id="6040" xr3:uid="{1F6D818D-1ECB-444B-952D-1369F4FE0468}" name="Colonne6032"/>
    <tableColumn id="6041" xr3:uid="{8D86A3BB-0D2F-46A4-B987-F6E0F85767BD}" name="Colonne6033"/>
    <tableColumn id="6042" xr3:uid="{FBE02122-626B-4F68-83D9-2081929004FA}" name="Colonne6034"/>
    <tableColumn id="6043" xr3:uid="{CCD24FCE-58EB-4D3A-8C49-981A8F9B573B}" name="Colonne6035"/>
    <tableColumn id="6044" xr3:uid="{88FFC7A4-F0D6-46AD-927C-04731FE82E40}" name="Colonne6036"/>
    <tableColumn id="6045" xr3:uid="{46CFD8B7-0C89-4A59-B398-4E0AF2AFABC2}" name="Colonne6037"/>
    <tableColumn id="6046" xr3:uid="{F6614471-6E0A-4DB6-98E4-D3923D6E9AB8}" name="Colonne6038"/>
    <tableColumn id="6047" xr3:uid="{2C7FD7C3-250A-40BD-AEA2-ED39F83FB814}" name="Colonne6039"/>
    <tableColumn id="6048" xr3:uid="{F999D996-4A68-4689-9DD6-0C96B4585A55}" name="Colonne6040"/>
    <tableColumn id="6049" xr3:uid="{28E88EF6-8ACE-4ED1-8629-9F33467FAFA0}" name="Colonne6041"/>
    <tableColumn id="6050" xr3:uid="{A2021838-0A40-4885-8C6A-AB0328ED1D7A}" name="Colonne6042"/>
    <tableColumn id="6051" xr3:uid="{08EBE303-7AE6-4B71-8B6C-937C786922C6}" name="Colonne6043"/>
    <tableColumn id="6052" xr3:uid="{2E6CE408-8FBF-4927-8433-1D16FCC8DAE9}" name="Colonne6044"/>
    <tableColumn id="6053" xr3:uid="{2F24D977-64A7-4BEB-9B19-B2B32C0D0912}" name="Colonne6045"/>
    <tableColumn id="6054" xr3:uid="{7C49F1E3-F180-43E9-9A79-7EFA4D66EDE7}" name="Colonne6046"/>
    <tableColumn id="6055" xr3:uid="{153D6215-0643-4E17-B3DE-73ADFE1B95AB}" name="Colonne6047"/>
    <tableColumn id="6056" xr3:uid="{5ECE9719-C63D-42F9-99AE-FADB8A30E19D}" name="Colonne6048"/>
    <tableColumn id="6057" xr3:uid="{E3553D04-D7C2-4B5A-9FD8-BE5F8074DC05}" name="Colonne6049"/>
    <tableColumn id="6058" xr3:uid="{622A4D03-E1CF-4649-8C65-3BADC68DC922}" name="Colonne6050"/>
    <tableColumn id="6059" xr3:uid="{3802C37E-7EE1-4746-9895-828FD3FBC941}" name="Colonne6051"/>
    <tableColumn id="6060" xr3:uid="{7BF760A1-993F-42CC-8F5F-732B9A288B6D}" name="Colonne6052"/>
    <tableColumn id="6061" xr3:uid="{C3443320-D564-4F66-94F5-39D3CE28D816}" name="Colonne6053"/>
    <tableColumn id="6062" xr3:uid="{DECF10DA-646E-4B19-89E4-82022EA13B74}" name="Colonne6054"/>
    <tableColumn id="6063" xr3:uid="{0AAF7B4A-EC57-4218-AB65-F9A02491787D}" name="Colonne6055"/>
    <tableColumn id="6064" xr3:uid="{22E0B5E7-6992-483D-8380-CC4B36555CC8}" name="Colonne6056"/>
    <tableColumn id="6065" xr3:uid="{9D1CA988-D8BD-4AD1-B282-EEA03956B775}" name="Colonne6057"/>
    <tableColumn id="6066" xr3:uid="{E631291A-CA5C-4FA3-BF76-3103573CAE00}" name="Colonne6058"/>
    <tableColumn id="6067" xr3:uid="{9D4C4230-FC4D-4437-8174-DEE3E3D40EA8}" name="Colonne6059"/>
    <tableColumn id="6068" xr3:uid="{A629FD34-1248-4B71-8F63-FD16E190E8D1}" name="Colonne6060"/>
    <tableColumn id="6069" xr3:uid="{4BD1368D-91BF-41CD-9796-617FE1D3C553}" name="Colonne6061"/>
    <tableColumn id="6070" xr3:uid="{4A30F1B8-3BAA-4BFB-A57D-3A2B43825103}" name="Colonne6062"/>
    <tableColumn id="6071" xr3:uid="{5147AD44-D786-422C-BE68-A90C507A515B}" name="Colonne6063"/>
    <tableColumn id="6072" xr3:uid="{8E9147D3-C975-41BB-8F6B-55704AAA510E}" name="Colonne6064"/>
    <tableColumn id="6073" xr3:uid="{7CA47949-CBEF-411E-8E77-5B5011A25CF1}" name="Colonne6065"/>
    <tableColumn id="6074" xr3:uid="{F94C22D9-113C-4FB5-BA02-D86257490D31}" name="Colonne6066"/>
    <tableColumn id="6075" xr3:uid="{F44C48F3-0635-4C80-9863-979D46128513}" name="Colonne6067"/>
    <tableColumn id="6076" xr3:uid="{8217C0C8-E8C0-47FD-B2CE-70E8F0B4CEB5}" name="Colonne6068"/>
    <tableColumn id="6077" xr3:uid="{B6A52D61-A263-444A-9FC7-00F538EF998F}" name="Colonne6069"/>
    <tableColumn id="6078" xr3:uid="{D2559F98-6CE4-4C5E-B681-8C6C60CF84E9}" name="Colonne6070"/>
    <tableColumn id="6079" xr3:uid="{E6A5828E-5F9A-4FFB-889B-16BC66197A8F}" name="Colonne6071"/>
    <tableColumn id="6080" xr3:uid="{125D365F-66E9-4B2D-BADA-CA49BAAFE47E}" name="Colonne6072"/>
    <tableColumn id="6081" xr3:uid="{2F619836-5885-47D3-9558-F923BEC77A39}" name="Colonne6073"/>
    <tableColumn id="6082" xr3:uid="{A33FF032-3C86-46EE-B5C5-222DD54A9798}" name="Colonne6074"/>
    <tableColumn id="6083" xr3:uid="{E49C5D22-BC34-40B2-BA00-930830B6BA26}" name="Colonne6075"/>
    <tableColumn id="6084" xr3:uid="{A1D11EEC-4469-4F3C-BA05-ECBC439867AE}" name="Colonne6076"/>
    <tableColumn id="6085" xr3:uid="{E5958B00-73AF-417A-801D-360D7B0CFF0C}" name="Colonne6077"/>
    <tableColumn id="6086" xr3:uid="{5D1B8024-9569-4D3F-8323-3D9992BEABBE}" name="Colonne6078"/>
    <tableColumn id="6087" xr3:uid="{C7582915-416F-4549-B86A-7FA7DE024D6A}" name="Colonne6079"/>
    <tableColumn id="6088" xr3:uid="{EE429742-8DF5-41FC-920A-01848ABD3DB0}" name="Colonne6080"/>
    <tableColumn id="6089" xr3:uid="{D5DD2493-7C59-4183-B12E-C99FCD023977}" name="Colonne6081"/>
    <tableColumn id="6090" xr3:uid="{64FDA5AF-58BF-47C0-B9DE-AB115C80205A}" name="Colonne6082"/>
    <tableColumn id="6091" xr3:uid="{915A9670-20BB-4723-93F5-197A6EBB53C2}" name="Colonne6083"/>
    <tableColumn id="6092" xr3:uid="{22B17E15-AF74-44EE-99F8-EFB72A1F082C}" name="Colonne6084"/>
    <tableColumn id="6093" xr3:uid="{CD4CCCAC-F4A2-401A-AB43-00DFABA8F30D}" name="Colonne6085"/>
    <tableColumn id="6094" xr3:uid="{A874FCC6-C46A-4416-A71E-10FAF3857C9F}" name="Colonne6086"/>
    <tableColumn id="6095" xr3:uid="{99F4F533-A715-4B10-BAD9-9B459B5E3987}" name="Colonne6087"/>
    <tableColumn id="6096" xr3:uid="{DDB77D74-924A-47CE-B388-7CB1EC713BB6}" name="Colonne6088"/>
    <tableColumn id="6097" xr3:uid="{60323A71-ABAE-47B1-BF8E-1872B93034B3}" name="Colonne6089"/>
    <tableColumn id="6098" xr3:uid="{5D702D9F-615D-4078-98B9-44B8DF6B608E}" name="Colonne6090"/>
    <tableColumn id="6099" xr3:uid="{06808629-AE59-40D3-AB9B-C78510B3222C}" name="Colonne6091"/>
    <tableColumn id="6100" xr3:uid="{9E12FE6C-F89E-48F2-8351-EC792E746226}" name="Colonne6092"/>
    <tableColumn id="6101" xr3:uid="{DFEC360C-78C0-460D-A865-8F8898D4EA5B}" name="Colonne6093"/>
    <tableColumn id="6102" xr3:uid="{11B41939-6F21-4D28-9EC5-5FFB1996F368}" name="Colonne6094"/>
    <tableColumn id="6103" xr3:uid="{91C1F7F9-823F-44AB-AAAB-37A45DBB7EB9}" name="Colonne6095"/>
    <tableColumn id="6104" xr3:uid="{C134F23D-2F33-4F73-8CEB-07E7A7BF467C}" name="Colonne6096"/>
    <tableColumn id="6105" xr3:uid="{BF35EFF9-32C1-4DF0-82E5-1A7D4DCB4CCC}" name="Colonne6097"/>
    <tableColumn id="6106" xr3:uid="{25F2CF74-5172-437F-B347-E0E769623DA8}" name="Colonne6098"/>
    <tableColumn id="6107" xr3:uid="{205A6926-E002-47E8-9B6B-E517E530F3F7}" name="Colonne6099"/>
    <tableColumn id="6108" xr3:uid="{449144AF-B4A9-4139-BBB5-D0C39BE631FC}" name="Colonne6100"/>
    <tableColumn id="6109" xr3:uid="{F5AE676A-98C4-4D4E-8B3E-D271E65854E3}" name="Colonne6101"/>
    <tableColumn id="6110" xr3:uid="{3DF4A089-457C-4D0B-AB0B-EE5EE6EB7C8F}" name="Colonne6102"/>
    <tableColumn id="6111" xr3:uid="{1310A11C-03EC-4873-88E7-24B90072047C}" name="Colonne6103"/>
    <tableColumn id="6112" xr3:uid="{E8E541DE-496B-46C6-8294-8F9962C69ECF}" name="Colonne6104"/>
    <tableColumn id="6113" xr3:uid="{BF019BC3-233C-4C7B-8FEB-04629E12D3E1}" name="Colonne6105"/>
    <tableColumn id="6114" xr3:uid="{781C984F-4CD7-4791-9BFB-CE55C32C1825}" name="Colonne6106"/>
    <tableColumn id="6115" xr3:uid="{9C268092-A2AE-4A19-9806-214B44D1F5FE}" name="Colonne6107"/>
    <tableColumn id="6116" xr3:uid="{09C92E55-CCE2-4177-8C8D-9C735E43C640}" name="Colonne6108"/>
    <tableColumn id="6117" xr3:uid="{20E3EE2B-C091-407E-914D-E199B77BD779}" name="Colonne6109"/>
    <tableColumn id="6118" xr3:uid="{CCA50237-C670-40D0-BC2D-B89FA4CFA094}" name="Colonne6110"/>
    <tableColumn id="6119" xr3:uid="{F9E8BB6C-719E-44A6-86EC-887343D0117F}" name="Colonne6111"/>
    <tableColumn id="6120" xr3:uid="{01AD6311-55EC-41EA-85C1-F6613FDE2493}" name="Colonne6112"/>
    <tableColumn id="6121" xr3:uid="{5A8F4104-89FB-4962-B687-D7BE350B4417}" name="Colonne6113"/>
    <tableColumn id="6122" xr3:uid="{C26CA7DD-CAB4-4EB0-A88A-B14CE1544FAE}" name="Colonne6114"/>
    <tableColumn id="6123" xr3:uid="{9D2B77FC-2828-46E3-A2DC-C383CF8CF0F2}" name="Colonne6115"/>
    <tableColumn id="6124" xr3:uid="{990EAEF9-7F89-4729-A641-DD2E66523077}" name="Colonne6116"/>
    <tableColumn id="6125" xr3:uid="{5EB8B4D2-A3F9-4A93-9642-92D57F1E2CE7}" name="Colonne6117"/>
    <tableColumn id="6126" xr3:uid="{4E43FD5A-87CF-44B3-A6EB-D5B65EAAAB9A}" name="Colonne6118"/>
    <tableColumn id="6127" xr3:uid="{49D10D0E-4893-44D0-A502-3AF0A3145DFB}" name="Colonne6119"/>
    <tableColumn id="6128" xr3:uid="{93447A7D-D897-443A-9D32-2456B6CBA874}" name="Colonne6120"/>
    <tableColumn id="6129" xr3:uid="{3D967663-0132-4B4A-A08A-948343380A86}" name="Colonne6121"/>
    <tableColumn id="6130" xr3:uid="{3DDA2C1E-0E61-4AEE-B58B-6168F5F10F94}" name="Colonne6122"/>
    <tableColumn id="6131" xr3:uid="{838F795A-C234-4D32-96BC-570994FDB5D8}" name="Colonne6123"/>
    <tableColumn id="6132" xr3:uid="{5BBB4979-E0E8-4479-AA2D-2B994B38FAC3}" name="Colonne6124"/>
    <tableColumn id="6133" xr3:uid="{92083D34-CAE6-4A08-B509-375D7DD3A771}" name="Colonne6125"/>
    <tableColumn id="6134" xr3:uid="{80D20465-81DA-4E6A-954E-B74B6157FB80}" name="Colonne6126"/>
    <tableColumn id="6135" xr3:uid="{D96582ED-182D-4FBA-A828-73000BA27D70}" name="Colonne6127"/>
    <tableColumn id="6136" xr3:uid="{4CBD4FDB-ABAD-4D6F-A3AF-CEEA2D84D17E}" name="Colonne6128"/>
    <tableColumn id="6137" xr3:uid="{2605D372-9AFB-4F45-BFDF-B848CCF8ACBD}" name="Colonne6129"/>
    <tableColumn id="6138" xr3:uid="{CCD28C50-DE58-4870-B82C-A1F9810827F0}" name="Colonne6130"/>
    <tableColumn id="6139" xr3:uid="{0815035B-A024-4721-A598-2E970834B5AF}" name="Colonne6131"/>
    <tableColumn id="6140" xr3:uid="{07664722-88F2-4716-A890-2373A61784C4}" name="Colonne6132"/>
    <tableColumn id="6141" xr3:uid="{938128DC-EA1A-4E34-B089-8A3052E8FC2F}" name="Colonne6133"/>
    <tableColumn id="6142" xr3:uid="{5BE28E21-F9F9-4AE7-9F62-65F5AA3B9619}" name="Colonne6134"/>
    <tableColumn id="6143" xr3:uid="{DDE3EB51-9B34-4EBD-A2DE-DB0BDEF50DA7}" name="Colonne6135"/>
    <tableColumn id="6144" xr3:uid="{BF6D975D-9CAB-4C77-96B6-17B0EB89A3DC}" name="Colonne6136"/>
    <tableColumn id="6145" xr3:uid="{98633A36-B28E-403A-AB3C-A359EE9AEC29}" name="Colonne6137"/>
    <tableColumn id="6146" xr3:uid="{E6352F8F-4B35-486E-A530-168F011E4455}" name="Colonne6138"/>
    <tableColumn id="6147" xr3:uid="{3FE7FFAA-586D-47E0-B060-E01B315B2DF2}" name="Colonne6139"/>
    <tableColumn id="6148" xr3:uid="{494A199B-10D0-4F31-B7F2-A75686B5B78F}" name="Colonne6140"/>
    <tableColumn id="6149" xr3:uid="{98E56C4F-4DBA-4493-B3A3-15D361D03A71}" name="Colonne6141"/>
    <tableColumn id="6150" xr3:uid="{75173EDE-87AE-4A85-9A4E-96BDC452360F}" name="Colonne6142"/>
    <tableColumn id="6151" xr3:uid="{D4219D7B-9D66-4773-9B1B-FD36511E8FB1}" name="Colonne6143"/>
    <tableColumn id="6152" xr3:uid="{0E46C72E-40E8-4D20-854C-3023D416F793}" name="Colonne6144"/>
    <tableColumn id="6153" xr3:uid="{C8150ACD-0FCB-4FA1-A2AD-4685C02BB2E4}" name="Colonne6145"/>
    <tableColumn id="6154" xr3:uid="{5E1A6C79-DA91-44A0-A205-7A0D6DBA8EDC}" name="Colonne6146"/>
    <tableColumn id="6155" xr3:uid="{AF949408-EA53-44C8-BA57-EB0ED9B92FF2}" name="Colonne6147"/>
    <tableColumn id="6156" xr3:uid="{23E781FD-D70C-422D-8A06-2E051451E651}" name="Colonne6148"/>
    <tableColumn id="6157" xr3:uid="{6831F63D-9E89-4287-8085-AFF23853B7ED}" name="Colonne6149"/>
    <tableColumn id="6158" xr3:uid="{1C81C03D-4DA3-440D-A9BB-34709AD66722}" name="Colonne6150"/>
    <tableColumn id="6159" xr3:uid="{8BABD76D-83B2-4DB3-A023-797EACDD75D4}" name="Colonne6151"/>
    <tableColumn id="6160" xr3:uid="{94EF5B0C-4D74-494E-B2B9-85CFD13FD3D2}" name="Colonne6152"/>
    <tableColumn id="6161" xr3:uid="{B040E801-1888-4CC7-87BF-B8E5293BD883}" name="Colonne6153"/>
    <tableColumn id="6162" xr3:uid="{07B29926-B77C-4928-B779-55DAB25680A7}" name="Colonne6154"/>
    <tableColumn id="6163" xr3:uid="{04447E1A-5927-49A4-B6AE-B9A07755D3A0}" name="Colonne6155"/>
    <tableColumn id="6164" xr3:uid="{C6A8A496-F19D-4AA3-87B9-74EC5A166220}" name="Colonne6156"/>
    <tableColumn id="6165" xr3:uid="{EB8B7E1F-BA8D-49C3-A980-E3803DF0949A}" name="Colonne6157"/>
    <tableColumn id="6166" xr3:uid="{70CBA606-1518-45F1-904F-4F1F0E8589A6}" name="Colonne6158"/>
    <tableColumn id="6167" xr3:uid="{F4B578D2-B870-43C5-A42C-799215B81EEF}" name="Colonne6159"/>
    <tableColumn id="6168" xr3:uid="{407013C5-9362-4C59-9A40-E76061A09D5F}" name="Colonne6160"/>
    <tableColumn id="6169" xr3:uid="{2BC73103-16E4-48DD-B81B-7696E5227305}" name="Colonne6161"/>
    <tableColumn id="6170" xr3:uid="{CF69DF3F-0371-4577-8138-90B99EF0111E}" name="Colonne6162"/>
    <tableColumn id="6171" xr3:uid="{F6ADC407-F9DC-4079-88F9-61C90DD33E74}" name="Colonne6163"/>
    <tableColumn id="6172" xr3:uid="{2443407F-6ADB-46D2-92D2-92753B98909F}" name="Colonne6164"/>
    <tableColumn id="6173" xr3:uid="{4E928D85-BD63-4196-91CF-156C0B652B75}" name="Colonne6165"/>
    <tableColumn id="6174" xr3:uid="{A142238E-D2AA-4EA8-9AF9-D38A936D2AE8}" name="Colonne6166"/>
    <tableColumn id="6175" xr3:uid="{60934AEB-913B-4771-ABB0-6208DEFF86C9}" name="Colonne6167"/>
    <tableColumn id="6176" xr3:uid="{63DB38F2-314A-4B66-86B1-FA82435C099F}" name="Colonne6168"/>
    <tableColumn id="6177" xr3:uid="{50B087C2-6B05-4898-8D22-620E2307AADD}" name="Colonne6169"/>
    <tableColumn id="6178" xr3:uid="{0E578B47-66AB-483E-AB20-CE845234DBAA}" name="Colonne6170"/>
    <tableColumn id="6179" xr3:uid="{C9B2D5F5-687A-441C-B63E-F638D37F4E87}" name="Colonne6171"/>
    <tableColumn id="6180" xr3:uid="{95FD121B-9CB7-47FD-99E9-13CC8A411314}" name="Colonne6172"/>
    <tableColumn id="6181" xr3:uid="{246BB4CD-6886-4DD0-9500-116A8E720BDA}" name="Colonne6173"/>
    <tableColumn id="6182" xr3:uid="{2CA495F4-DB45-4229-B3A8-4B3CFC923883}" name="Colonne6174"/>
    <tableColumn id="6183" xr3:uid="{F76AD935-B0D0-4427-ABDE-686C818A9224}" name="Colonne6175"/>
    <tableColumn id="6184" xr3:uid="{4A9C6C5A-D3AE-4DF8-A52C-F80AA2CD3C49}" name="Colonne6176"/>
    <tableColumn id="6185" xr3:uid="{CE9890BE-A546-4339-91A2-105BA643A044}" name="Colonne6177"/>
    <tableColumn id="6186" xr3:uid="{C4F3B6E7-1EB2-45CF-B5A9-9D256B58F402}" name="Colonne6178"/>
    <tableColumn id="6187" xr3:uid="{D963D93F-C828-4495-B7E7-60878C963FFE}" name="Colonne6179"/>
    <tableColumn id="6188" xr3:uid="{06A5C5E4-89EE-467C-8618-B06525F5BB9E}" name="Colonne6180"/>
    <tableColumn id="6189" xr3:uid="{C82B812C-300F-4FA4-901E-04999A22AA0A}" name="Colonne6181"/>
    <tableColumn id="6190" xr3:uid="{C85F11DF-74D8-4C4D-950B-40783791FB94}" name="Colonne6182"/>
    <tableColumn id="6191" xr3:uid="{90FBD039-A8A7-4CE2-B74B-6CE1C5352128}" name="Colonne6183"/>
    <tableColumn id="6192" xr3:uid="{0A1512E5-7C8A-4EB7-88E9-3641ECC9017A}" name="Colonne6184"/>
    <tableColumn id="6193" xr3:uid="{B4AFA070-5054-4D3F-8AD3-12DDB3AD1A2C}" name="Colonne6185"/>
    <tableColumn id="6194" xr3:uid="{7750AEFC-58A1-409E-A702-AAEC281FA0A3}" name="Colonne6186"/>
    <tableColumn id="6195" xr3:uid="{E9BFEEC3-4317-49B5-BF33-FAADA104DD1A}" name="Colonne6187"/>
    <tableColumn id="6196" xr3:uid="{77B7B435-D363-4666-A84C-94006AB5014F}" name="Colonne6188"/>
    <tableColumn id="6197" xr3:uid="{2DE837F8-AC50-4C54-85DD-C271A84184EE}" name="Colonne6189"/>
    <tableColumn id="6198" xr3:uid="{328E1A49-6C4C-4A8F-902E-8FE7224CC433}" name="Colonne6190"/>
    <tableColumn id="6199" xr3:uid="{369D1B07-94D1-4470-92E0-400019D5ECCF}" name="Colonne6191"/>
    <tableColumn id="6200" xr3:uid="{91779530-61D0-4344-96A6-19A00B2100EF}" name="Colonne6192"/>
    <tableColumn id="6201" xr3:uid="{D3D82B54-9986-4B26-97E8-E828D6F10341}" name="Colonne6193"/>
    <tableColumn id="6202" xr3:uid="{7D1DC227-7DE8-40D4-9A31-C77DDF97B22C}" name="Colonne6194"/>
    <tableColumn id="6203" xr3:uid="{B967C85B-9CE0-49B8-A1AD-11BAD8A14545}" name="Colonne6195"/>
    <tableColumn id="6204" xr3:uid="{F71A1BA6-D0D6-4A1B-A24C-DA3705658139}" name="Colonne6196"/>
    <tableColumn id="6205" xr3:uid="{533BDBE2-FA26-47B4-B7BA-8015A13499D5}" name="Colonne6197"/>
    <tableColumn id="6206" xr3:uid="{77614F84-6CDF-4EDE-A1D5-F2DFCE4F4B4B}" name="Colonne6198"/>
    <tableColumn id="6207" xr3:uid="{1D5EE335-CB00-4C4B-BF39-FA87719A90DB}" name="Colonne6199"/>
    <tableColumn id="6208" xr3:uid="{ED8033AC-9858-4F14-9D8B-0F305DFA29DE}" name="Colonne6200"/>
    <tableColumn id="6209" xr3:uid="{E30888EA-9B03-44BA-BBF5-097E10CC9CE2}" name="Colonne6201"/>
    <tableColumn id="6210" xr3:uid="{8AC4477F-82F3-42AE-9D95-5BF894E23B43}" name="Colonne6202"/>
    <tableColumn id="6211" xr3:uid="{A1C32F20-52FD-41A2-A7C5-48E7BE016378}" name="Colonne6203"/>
    <tableColumn id="6212" xr3:uid="{8F0822AA-B6D3-4C0A-8627-85727BEC6914}" name="Colonne6204"/>
    <tableColumn id="6213" xr3:uid="{B0BF6C89-FFF8-4495-9528-94F2478EDF0B}" name="Colonne6205"/>
    <tableColumn id="6214" xr3:uid="{DE2A4A44-EDDF-43BF-957C-2D44A4CDEC5B}" name="Colonne6206"/>
    <tableColumn id="6215" xr3:uid="{8C7EB3B4-73B6-42E5-BCD8-A9EA4222FC85}" name="Colonne6207"/>
    <tableColumn id="6216" xr3:uid="{5493EB37-C306-473B-9234-BBD6CF303F84}" name="Colonne6208"/>
    <tableColumn id="6217" xr3:uid="{28D42D82-14D2-43DD-B901-E114683F6074}" name="Colonne6209"/>
    <tableColumn id="6218" xr3:uid="{60DF4C12-D603-4C1B-BF77-7EE0E58E5D76}" name="Colonne6210"/>
    <tableColumn id="6219" xr3:uid="{4F0F851D-E09E-4999-AB49-D135103D470B}" name="Colonne6211"/>
    <tableColumn id="6220" xr3:uid="{EB74A326-B41B-4EBE-B516-70D898DCBD72}" name="Colonne6212"/>
    <tableColumn id="6221" xr3:uid="{C7C6BDCD-1679-47DC-86A3-4CBCD80BE05A}" name="Colonne6213"/>
    <tableColumn id="6222" xr3:uid="{D500FD66-3EF3-4878-A03D-D632402D97E8}" name="Colonne6214"/>
    <tableColumn id="6223" xr3:uid="{E559E4AE-AB39-40C8-8BE1-868C7C9887C3}" name="Colonne6215"/>
    <tableColumn id="6224" xr3:uid="{87577BBD-A14E-4CB7-B535-2C6A068091B1}" name="Colonne6216"/>
    <tableColumn id="6225" xr3:uid="{5FEDCC3F-EEBF-4354-83B0-73E41EAD1CF6}" name="Colonne6217"/>
    <tableColumn id="6226" xr3:uid="{4763E1CF-6440-4260-8333-FCBF362D5D85}" name="Colonne6218"/>
    <tableColumn id="6227" xr3:uid="{F993484A-FC45-4322-A47D-54D406A6700F}" name="Colonne6219"/>
    <tableColumn id="6228" xr3:uid="{5E6867DC-CEAF-4814-9E58-DBD5E7C6ABC1}" name="Colonne6220"/>
    <tableColumn id="6229" xr3:uid="{EAA12E18-2F25-4059-9C2A-3751FD33EF04}" name="Colonne6221"/>
    <tableColumn id="6230" xr3:uid="{D5B39AE2-ECAC-4C2F-BB0E-F7138DB2C4CB}" name="Colonne6222"/>
    <tableColumn id="6231" xr3:uid="{F1CA19BA-19B5-4D90-8ACF-BC217A025D61}" name="Colonne6223"/>
    <tableColumn id="6232" xr3:uid="{C09427CE-2F4C-4AFF-A6B9-73067A492B04}" name="Colonne6224"/>
    <tableColumn id="6233" xr3:uid="{319985B6-032E-4394-BE11-116E25D60C8F}" name="Colonne6225"/>
    <tableColumn id="6234" xr3:uid="{217E21AE-DAED-4855-97A3-2F45B96ABE02}" name="Colonne6226"/>
    <tableColumn id="6235" xr3:uid="{EAB0E15E-AD27-46B7-B67C-716E8BE53C65}" name="Colonne6227"/>
    <tableColumn id="6236" xr3:uid="{3C3E436F-E6C3-4EF1-A646-475804A249B1}" name="Colonne6228"/>
    <tableColumn id="6237" xr3:uid="{4B177ECF-91AF-4B43-BEB5-AAF8A8B2CE52}" name="Colonne6229"/>
    <tableColumn id="6238" xr3:uid="{3CDCB91F-0C39-4CB1-BDE3-C6F178EAD395}" name="Colonne6230"/>
    <tableColumn id="6239" xr3:uid="{60377CD0-4C55-45B9-9BC1-8DFDFFC4F7C2}" name="Colonne6231"/>
    <tableColumn id="6240" xr3:uid="{AD2E334F-AC9A-40B1-B20D-C9757A19FDE6}" name="Colonne6232"/>
    <tableColumn id="6241" xr3:uid="{59E13AFC-9E0A-455D-B4C5-285B50AE4468}" name="Colonne6233"/>
    <tableColumn id="6242" xr3:uid="{DE7CF18A-ACBA-4C16-819F-9F170277FEAF}" name="Colonne6234"/>
    <tableColumn id="6243" xr3:uid="{7A690D48-046E-43A5-96C8-AE1023702560}" name="Colonne6235"/>
    <tableColumn id="6244" xr3:uid="{4D46F45D-8EAB-439A-9208-B7422532247E}" name="Colonne6236"/>
    <tableColumn id="6245" xr3:uid="{A2DD49E5-4996-4D80-934F-782C053EDC18}" name="Colonne6237"/>
    <tableColumn id="6246" xr3:uid="{7E348B42-F48B-423C-B5AD-4CEB62ECDEF3}" name="Colonne6238"/>
    <tableColumn id="6247" xr3:uid="{06C3F49A-FC33-4B04-8A03-522478D3CA66}" name="Colonne6239"/>
    <tableColumn id="6248" xr3:uid="{611130E1-F68C-4244-9C24-F05DC93D942B}" name="Colonne6240"/>
    <tableColumn id="6249" xr3:uid="{7AA65FFE-BD94-4EBB-B277-4BD76BE144ED}" name="Colonne6241"/>
    <tableColumn id="6250" xr3:uid="{EDEC69CA-1DD9-4C9C-B3E6-465AFD5515C6}" name="Colonne6242"/>
    <tableColumn id="6251" xr3:uid="{B3B21908-1897-428E-9103-5F67E0118420}" name="Colonne6243"/>
    <tableColumn id="6252" xr3:uid="{6FED7C94-BE28-4447-91FE-39E0496BB011}" name="Colonne6244"/>
    <tableColumn id="6253" xr3:uid="{7FFEE0B8-21FF-45EB-B169-CBAAF3DACB7F}" name="Colonne6245"/>
    <tableColumn id="6254" xr3:uid="{8726552F-F073-4C62-BCF6-1FFF8030F40F}" name="Colonne6246"/>
    <tableColumn id="6255" xr3:uid="{739D0B9B-6B9E-402F-8C9F-6B7F0FB48187}" name="Colonne6247"/>
    <tableColumn id="6256" xr3:uid="{3D688E01-9D9C-477D-BB13-C2407A82A415}" name="Colonne6248"/>
    <tableColumn id="6257" xr3:uid="{CC641F10-2109-42D2-9CE1-4A5CD8CB58D8}" name="Colonne6249"/>
    <tableColumn id="6258" xr3:uid="{2B71F27A-298C-404D-8607-2B94B7FF96E0}" name="Colonne6250"/>
    <tableColumn id="6259" xr3:uid="{D4FEADBA-434B-4B9A-8FA6-4207291D5077}" name="Colonne6251"/>
    <tableColumn id="6260" xr3:uid="{BCE96937-A1F9-426D-8975-EDE61D101ACE}" name="Colonne6252"/>
    <tableColumn id="6261" xr3:uid="{B66FA700-810B-433F-A667-BC17A42C9434}" name="Colonne6253"/>
    <tableColumn id="6262" xr3:uid="{2AA7BF12-6E0E-41A2-ABB1-FD31F750342B}" name="Colonne6254"/>
    <tableColumn id="6263" xr3:uid="{4CFE75EF-0900-42BF-91BE-7F65CCD6995B}" name="Colonne6255"/>
    <tableColumn id="6264" xr3:uid="{B2DB9918-DE49-425F-B1A1-137F5069860C}" name="Colonne6256"/>
    <tableColumn id="6265" xr3:uid="{60D50813-CB84-4D69-A2BE-EB34D3C352C9}" name="Colonne6257"/>
    <tableColumn id="6266" xr3:uid="{22F2F050-4EF5-46BF-86C3-8CFD9484202F}" name="Colonne6258"/>
    <tableColumn id="6267" xr3:uid="{19AF642D-3AE5-47BE-9179-6B2BB5BA1ADC}" name="Colonne6259"/>
    <tableColumn id="6268" xr3:uid="{6D80A47A-0B22-4942-BB47-0052AE48C781}" name="Colonne6260"/>
    <tableColumn id="6269" xr3:uid="{63EC41D7-4854-45F4-BE8F-0FEDB89778E5}" name="Colonne6261"/>
    <tableColumn id="6270" xr3:uid="{138A4DCF-7E53-4CEA-962C-14A8EFF6004B}" name="Colonne6262"/>
    <tableColumn id="6271" xr3:uid="{899B1A75-2EE9-4FE1-BF8A-AA47C1160F90}" name="Colonne6263"/>
    <tableColumn id="6272" xr3:uid="{ECC7F7D0-926F-43A8-9963-D42AEFD554F1}" name="Colonne6264"/>
    <tableColumn id="6273" xr3:uid="{1150889E-A9DD-4247-8ECC-1EC95E28B43F}" name="Colonne6265"/>
    <tableColumn id="6274" xr3:uid="{F4EFD1A5-8869-4972-9902-6FFEB5ACE1DF}" name="Colonne6266"/>
    <tableColumn id="6275" xr3:uid="{1AC09074-9C14-49A9-B06D-4C5EA2CDB960}" name="Colonne6267"/>
    <tableColumn id="6276" xr3:uid="{1923DB55-B1D7-4D71-A0B8-86B6481CD118}" name="Colonne6268"/>
    <tableColumn id="6277" xr3:uid="{31497EC8-F96B-46A3-95D9-3E48AD4AF764}" name="Colonne6269"/>
    <tableColumn id="6278" xr3:uid="{613E1881-6311-444B-9DCA-7FCD1F2E1923}" name="Colonne6270"/>
    <tableColumn id="6279" xr3:uid="{9797D52F-8D7B-4A86-92D8-8F959091D414}" name="Colonne6271"/>
    <tableColumn id="6280" xr3:uid="{98EFAD67-B68B-4578-8AC3-DF6BDE011D79}" name="Colonne6272"/>
    <tableColumn id="6281" xr3:uid="{83399E8C-DB8F-4B71-8F95-83DAF136D221}" name="Colonne6273"/>
    <tableColumn id="6282" xr3:uid="{C89F640D-93D2-4419-9A78-41E87D8E6A86}" name="Colonne6274"/>
    <tableColumn id="6283" xr3:uid="{21A8F250-11CE-418D-8AF9-401D77375147}" name="Colonne6275"/>
    <tableColumn id="6284" xr3:uid="{4C5A70B1-9434-4E68-A539-6E71535E1DBD}" name="Colonne6276"/>
    <tableColumn id="6285" xr3:uid="{197BF7DD-2127-4675-8985-4598FB0D5E3C}" name="Colonne6277"/>
    <tableColumn id="6286" xr3:uid="{047F4204-52D5-43A3-854D-3BE07CFEE818}" name="Colonne6278"/>
    <tableColumn id="6287" xr3:uid="{BBDBF35C-6A52-4E8E-9C91-C0B36EDA6FC2}" name="Colonne6279"/>
    <tableColumn id="6288" xr3:uid="{08345C75-B455-4309-A0D8-AECFD32A070C}" name="Colonne6280"/>
    <tableColumn id="6289" xr3:uid="{7D4F0C74-DAA8-4D48-9469-81AA114F3ED7}" name="Colonne6281"/>
    <tableColumn id="6290" xr3:uid="{6CFC2F7E-677F-4F88-9FFC-804971DE8B05}" name="Colonne6282"/>
    <tableColumn id="6291" xr3:uid="{6F393557-650A-433D-B6A0-38F3FB61E901}" name="Colonne6283"/>
    <tableColumn id="6292" xr3:uid="{D5A1EC8B-3B49-41EF-9EF3-5A1BEF461951}" name="Colonne6284"/>
    <tableColumn id="6293" xr3:uid="{9DE2EACA-9180-491C-817E-E5181BECA339}" name="Colonne6285"/>
    <tableColumn id="6294" xr3:uid="{99EBD242-F1B1-41DB-AA1C-98BE11A6ED0B}" name="Colonne6286"/>
    <tableColumn id="6295" xr3:uid="{C917D4EA-61ED-492A-A337-F25B151EC813}" name="Colonne6287"/>
    <tableColumn id="6296" xr3:uid="{A14AD080-D00A-4788-B294-9FFA39B5ADBA}" name="Colonne6288"/>
    <tableColumn id="6297" xr3:uid="{8FDE9E54-FB81-4A1E-B651-44115A1B6B8D}" name="Colonne6289"/>
    <tableColumn id="6298" xr3:uid="{CA8291AA-5819-4AB3-BC80-4C6EFCF3914B}" name="Colonne6290"/>
    <tableColumn id="6299" xr3:uid="{4949E859-6C35-47A9-BE41-428CBF20C57A}" name="Colonne6291"/>
    <tableColumn id="6300" xr3:uid="{E320F9D1-749B-4071-B61D-0389BB6C2F4B}" name="Colonne6292"/>
    <tableColumn id="6301" xr3:uid="{390B941C-6064-4630-9E57-066847640A4C}" name="Colonne6293"/>
    <tableColumn id="6302" xr3:uid="{E7C1E676-C5AC-469F-BBC8-2B862796B1F2}" name="Colonne6294"/>
    <tableColumn id="6303" xr3:uid="{B59A1438-D9D7-42D1-9A6E-47A821523B5E}" name="Colonne6295"/>
    <tableColumn id="6304" xr3:uid="{A49ADCD8-58DB-4628-97D7-6F7D7A886532}" name="Colonne6296"/>
    <tableColumn id="6305" xr3:uid="{EA2010F3-3F4E-4B19-A828-55A8C33CAF3B}" name="Colonne6297"/>
    <tableColumn id="6306" xr3:uid="{86FFC19D-FEDE-4D2C-9685-71FCA9F5812D}" name="Colonne6298"/>
    <tableColumn id="6307" xr3:uid="{43E85FD1-10B7-4575-B966-FFCA11E3EB41}" name="Colonne6299"/>
    <tableColumn id="6308" xr3:uid="{F8ECA263-9390-4BAC-BCF6-A6874B943D0B}" name="Colonne6300"/>
    <tableColumn id="6309" xr3:uid="{B2224D44-7C7E-4A18-A63F-68575B3030D8}" name="Colonne6301"/>
    <tableColumn id="6310" xr3:uid="{CA6CB0C4-C860-4D65-A6F2-D03C86F2E546}" name="Colonne6302"/>
    <tableColumn id="6311" xr3:uid="{549184DF-248D-4984-9D1F-2045DD1D3D0A}" name="Colonne6303"/>
    <tableColumn id="6312" xr3:uid="{C3E37A02-F67D-49B1-8D12-58B862D41BE7}" name="Colonne6304"/>
    <tableColumn id="6313" xr3:uid="{11FCB62A-16CE-47B3-8195-E4A9BBECC148}" name="Colonne6305"/>
    <tableColumn id="6314" xr3:uid="{372D08AF-C460-427A-AFD2-9BE5C93EB35B}" name="Colonne6306"/>
    <tableColumn id="6315" xr3:uid="{E8BD49B2-80BA-46E7-9FFE-EA443AA92086}" name="Colonne6307"/>
    <tableColumn id="6316" xr3:uid="{53B3A281-A4B3-4370-AE9B-5EC1A3E30C9B}" name="Colonne6308"/>
    <tableColumn id="6317" xr3:uid="{F5F17503-4D9B-4F3A-8E46-8D481D75B579}" name="Colonne6309"/>
    <tableColumn id="6318" xr3:uid="{1DDA2CBF-735E-45DE-9400-65D8C1FE4D9D}" name="Colonne6310"/>
    <tableColumn id="6319" xr3:uid="{4947C6DF-0E94-49D4-AABE-3C742DED9BA8}" name="Colonne6311"/>
    <tableColumn id="6320" xr3:uid="{8AA1AF14-E74A-4B09-AA73-BB99CBE772BE}" name="Colonne6312"/>
    <tableColumn id="6321" xr3:uid="{F987B2D8-18A6-4F6B-88C9-204AF0B3F726}" name="Colonne6313"/>
    <tableColumn id="6322" xr3:uid="{EEBF3E69-1988-4BA4-A0EE-E4E6203F587F}" name="Colonne6314"/>
    <tableColumn id="6323" xr3:uid="{D60E9D70-84D4-4101-92D9-29000D080BAA}" name="Colonne6315"/>
    <tableColumn id="6324" xr3:uid="{A35654F4-3A42-45E1-AD3C-60EAEEA08183}" name="Colonne6316"/>
    <tableColumn id="6325" xr3:uid="{C4F6ED25-D3BB-4B2B-BE78-C017FCF2B808}" name="Colonne6317"/>
    <tableColumn id="6326" xr3:uid="{3894C090-547A-4937-8FFA-FA8EFC531D7D}" name="Colonne6318"/>
    <tableColumn id="6327" xr3:uid="{79F52687-4320-4DDF-9559-7B7E77C2C679}" name="Colonne6319"/>
    <tableColumn id="6328" xr3:uid="{B41F49A9-01A7-4CB7-95E8-E21117131B3E}" name="Colonne6320"/>
    <tableColumn id="6329" xr3:uid="{59CA7B41-5CE9-4906-8ECD-208F54B81565}" name="Colonne6321"/>
    <tableColumn id="6330" xr3:uid="{F6DAF848-7B07-47EA-A01E-CFEF7DBE3373}" name="Colonne6322"/>
    <tableColumn id="6331" xr3:uid="{5B0F1F37-1011-4797-869F-AE8F919CDC48}" name="Colonne6323"/>
    <tableColumn id="6332" xr3:uid="{8DC63393-FF65-4D8F-A955-15271866C14F}" name="Colonne6324"/>
    <tableColumn id="6333" xr3:uid="{FAAFB946-9347-4A6D-A3A0-DAA7C7D8363F}" name="Colonne6325"/>
    <tableColumn id="6334" xr3:uid="{C8402B25-F9D0-4816-99DC-3B8CA637AAF8}" name="Colonne6326"/>
    <tableColumn id="6335" xr3:uid="{185C525F-5B6B-4605-A593-9A467250CF07}" name="Colonne6327"/>
    <tableColumn id="6336" xr3:uid="{8E8654F3-C0B7-4B7F-A936-3261B5BA66FC}" name="Colonne6328"/>
    <tableColumn id="6337" xr3:uid="{D9595503-B9BC-404E-9EE8-7285E07FEA63}" name="Colonne6329"/>
    <tableColumn id="6338" xr3:uid="{A5F2B287-F796-4F6E-8F87-464904864AB0}" name="Colonne6330"/>
    <tableColumn id="6339" xr3:uid="{CDFDEA35-A4AD-4717-B2E3-74066F511F21}" name="Colonne6331"/>
    <tableColumn id="6340" xr3:uid="{D0F54E8A-159D-41C4-98B1-2A9CC0F656AD}" name="Colonne6332"/>
    <tableColumn id="6341" xr3:uid="{E9E9BFF2-1337-4B2C-ADBA-DBA0FBA82CE4}" name="Colonne6333"/>
    <tableColumn id="6342" xr3:uid="{19FB416D-D3C0-4F26-BDCE-E40EE25E8CF6}" name="Colonne6334"/>
    <tableColumn id="6343" xr3:uid="{D3EAC0B9-AF11-48A5-B88B-AF126C123F8F}" name="Colonne6335"/>
    <tableColumn id="6344" xr3:uid="{B7AE84E3-E420-4CB6-9043-96661B1F12B0}" name="Colonne6336"/>
    <tableColumn id="6345" xr3:uid="{6986723A-8EB1-4446-B3A1-1A6241924B2C}" name="Colonne6337"/>
    <tableColumn id="6346" xr3:uid="{FEF0097F-9A79-4839-8B65-3B8391CE9F51}" name="Colonne6338"/>
    <tableColumn id="6347" xr3:uid="{79630FF2-EF99-4FB4-9498-A60A6DF393A7}" name="Colonne6339"/>
    <tableColumn id="6348" xr3:uid="{19A4CC3E-5B0B-475E-BA2F-26086B4D97A5}" name="Colonne6340"/>
    <tableColumn id="6349" xr3:uid="{25F8A375-1504-4D5E-ADDE-D7F194DA7AB1}" name="Colonne6341"/>
    <tableColumn id="6350" xr3:uid="{49A59E20-76D2-462A-913B-E6C3C348DF7C}" name="Colonne6342"/>
    <tableColumn id="6351" xr3:uid="{4295DFD2-782C-4B3E-904E-2CD5195AC430}" name="Colonne6343"/>
    <tableColumn id="6352" xr3:uid="{FD5235E0-733E-4A10-8061-9403AC880081}" name="Colonne6344"/>
    <tableColumn id="6353" xr3:uid="{4A5F80FC-5123-4560-85B2-BDE150316B3A}" name="Colonne6345"/>
    <tableColumn id="6354" xr3:uid="{272BD004-4599-44A3-B4AD-9AD85C96CC94}" name="Colonne6346"/>
    <tableColumn id="6355" xr3:uid="{EC8A7FC7-A5F1-4782-82A6-FCC7DED1C0EC}" name="Colonne6347"/>
    <tableColumn id="6356" xr3:uid="{2AE5AB22-2DD6-4F90-8CA9-5FFE62C4F68F}" name="Colonne6348"/>
    <tableColumn id="6357" xr3:uid="{619D993D-6288-4B7D-9237-0BC4B496F115}" name="Colonne6349"/>
    <tableColumn id="6358" xr3:uid="{DB3B094A-7878-4A1A-9E4B-2E3E8DFDF521}" name="Colonne6350"/>
    <tableColumn id="6359" xr3:uid="{2C342C3A-C53D-42F0-9C0A-CB0B661F19C6}" name="Colonne6351"/>
    <tableColumn id="6360" xr3:uid="{00857282-9AEA-4C35-B33B-5EE1DF2EAC8C}" name="Colonne6352"/>
    <tableColumn id="6361" xr3:uid="{E688341D-44F0-4D45-8C63-86A4DD690B20}" name="Colonne6353"/>
    <tableColumn id="6362" xr3:uid="{ABB51998-5856-47AC-BE5B-92D3F7A8975D}" name="Colonne6354"/>
    <tableColumn id="6363" xr3:uid="{192E827C-B727-4DDE-9502-434C7D996202}" name="Colonne6355"/>
    <tableColumn id="6364" xr3:uid="{710C81D0-CDE2-4708-9B3A-2CD8ED7AEA99}" name="Colonne6356"/>
    <tableColumn id="6365" xr3:uid="{A08A3A0A-1959-4A6B-B63E-813677ABB761}" name="Colonne6357"/>
    <tableColumn id="6366" xr3:uid="{1E359CFD-E680-416C-A0DD-DF6483FAE8AA}" name="Colonne6358"/>
    <tableColumn id="6367" xr3:uid="{1295C6DF-9B8D-4099-B1BB-DC086B05D186}" name="Colonne6359"/>
    <tableColumn id="6368" xr3:uid="{A5A49000-EA16-4091-942B-C47FD957F41E}" name="Colonne6360"/>
    <tableColumn id="6369" xr3:uid="{B2428C27-3FBF-4E11-BF25-152850BE7674}" name="Colonne6361"/>
    <tableColumn id="6370" xr3:uid="{724DADEA-4B79-4EC1-9D46-48EF629E4754}" name="Colonne6362"/>
    <tableColumn id="6371" xr3:uid="{DB89EE05-B6E6-4107-9661-F789C8655771}" name="Colonne6363"/>
    <tableColumn id="6372" xr3:uid="{F559A1E2-2F52-4FC5-A0DF-91962123BB17}" name="Colonne6364"/>
    <tableColumn id="6373" xr3:uid="{4B59F317-C4DA-4F74-AD66-C7C5F38A5360}" name="Colonne6365"/>
    <tableColumn id="6374" xr3:uid="{9EBD2A44-7B0A-4D34-91A8-B420CAE2E19F}" name="Colonne6366"/>
    <tableColumn id="6375" xr3:uid="{BA66E755-E302-48F0-8EEF-CE8C0ECDDAD9}" name="Colonne6367"/>
    <tableColumn id="6376" xr3:uid="{47BBA92C-64B5-49D1-8272-6BABA0ECC37D}" name="Colonne6368"/>
    <tableColumn id="6377" xr3:uid="{0427F609-7C36-44DA-B968-3FDB713FABB6}" name="Colonne6369"/>
    <tableColumn id="6378" xr3:uid="{9C89F4CA-0A90-4C44-B113-1A621B3C0228}" name="Colonne6370"/>
    <tableColumn id="6379" xr3:uid="{C36BF9D4-FB0F-4B85-9D04-0FA64BDD8484}" name="Colonne6371"/>
    <tableColumn id="6380" xr3:uid="{A911E8E7-0FA2-47ED-8820-7F0AD40C9EAE}" name="Colonne6372"/>
    <tableColumn id="6381" xr3:uid="{C40C50FE-2DAA-412C-A4C6-819215A5E471}" name="Colonne6373"/>
    <tableColumn id="6382" xr3:uid="{66BEA7FC-128F-4924-9DBF-18BE3E13C72D}" name="Colonne6374"/>
    <tableColumn id="6383" xr3:uid="{DC8A88DF-44EE-4125-AEF3-13961D88E74A}" name="Colonne6375"/>
    <tableColumn id="6384" xr3:uid="{AFE25221-FF0A-43AB-B2F8-97A3E30A136F}" name="Colonne6376"/>
    <tableColumn id="6385" xr3:uid="{E1FC6847-7DE2-4EE2-9350-D74376DDDE9F}" name="Colonne6377"/>
    <tableColumn id="6386" xr3:uid="{B065C173-BB88-4BF0-A708-F3125C97FD29}" name="Colonne6378"/>
    <tableColumn id="6387" xr3:uid="{EB425746-FD45-4DCA-B715-B5AF557E7BD6}" name="Colonne6379"/>
    <tableColumn id="6388" xr3:uid="{58A26D43-EEF7-43EA-A183-D6E52AE03593}" name="Colonne6380"/>
    <tableColumn id="6389" xr3:uid="{200AF331-428F-4FB5-8961-71BE48D66F64}" name="Colonne6381"/>
    <tableColumn id="6390" xr3:uid="{22CFC96B-5D69-45A0-B46C-D7BC1E1342DF}" name="Colonne6382"/>
    <tableColumn id="6391" xr3:uid="{7374FE8E-6D0F-452B-9FBC-7015DC2C771F}" name="Colonne6383"/>
    <tableColumn id="6392" xr3:uid="{127A4BC4-A8A5-47A6-BC05-60837DEC34F6}" name="Colonne6384"/>
    <tableColumn id="6393" xr3:uid="{8C445ACE-C29E-40DC-B8FF-3E3A6A1EA31A}" name="Colonne6385"/>
    <tableColumn id="6394" xr3:uid="{1AD16248-E484-43B8-9EC5-C74A955D5C2D}" name="Colonne6386"/>
    <tableColumn id="6395" xr3:uid="{7A95FC3D-777B-4978-9DE8-C9998800F0C1}" name="Colonne6387"/>
    <tableColumn id="6396" xr3:uid="{897C4DE6-E927-4027-8BA5-8D787DBF83F7}" name="Colonne6388"/>
    <tableColumn id="6397" xr3:uid="{8AD88EDB-9664-4EB1-BA1F-0EEDB0F3AE93}" name="Colonne6389"/>
    <tableColumn id="6398" xr3:uid="{67D59C08-4720-4141-9DA6-E3D5AD7E4BBD}" name="Colonne6390"/>
    <tableColumn id="6399" xr3:uid="{F39DE918-645A-4E44-8D86-9A3A00C8557C}" name="Colonne6391"/>
    <tableColumn id="6400" xr3:uid="{E4DB1502-19DE-443E-BFC5-7EAAE29998E7}" name="Colonne6392"/>
    <tableColumn id="6401" xr3:uid="{8239122B-A15F-4324-AF2A-72D80E0DAA3B}" name="Colonne6393"/>
    <tableColumn id="6402" xr3:uid="{7CF247B4-AC0C-49B2-8AA2-1D1DFA7DBCE8}" name="Colonne6394"/>
    <tableColumn id="6403" xr3:uid="{E3FF47AD-38D1-44A5-947E-900C52E32E36}" name="Colonne6395"/>
    <tableColumn id="6404" xr3:uid="{8A9DA13C-6588-4280-950F-7ABAAA478B0F}" name="Colonne6396"/>
    <tableColumn id="6405" xr3:uid="{D77FC5C6-9EAE-46EB-9100-430B2C60AABA}" name="Colonne6397"/>
    <tableColumn id="6406" xr3:uid="{9F57FCA4-10B9-492A-BD51-E76579B078D2}" name="Colonne6398"/>
    <tableColumn id="6407" xr3:uid="{6E3141F6-B933-4DF8-BE9D-64DBD68EDB1B}" name="Colonne6399"/>
    <tableColumn id="6408" xr3:uid="{C985EC32-A706-4196-AD1C-B576C971AAF3}" name="Colonne6400"/>
    <tableColumn id="6409" xr3:uid="{9F5E2A1F-A312-4611-BEBF-CF613528A82B}" name="Colonne6401"/>
    <tableColumn id="6410" xr3:uid="{F3E1EB17-FB77-4515-BACE-9D86FBE64217}" name="Colonne6402"/>
    <tableColumn id="6411" xr3:uid="{DF2AF58D-72DD-4DD0-9079-A857625A84CF}" name="Colonne6403"/>
    <tableColumn id="6412" xr3:uid="{484F978F-A621-4CB1-AB2E-C1CE5AF18C8A}" name="Colonne6404"/>
    <tableColumn id="6413" xr3:uid="{0EA0299A-1149-4019-A7DA-0AABBCB4B4B7}" name="Colonne6405"/>
    <tableColumn id="6414" xr3:uid="{5578941A-D2F2-4A7B-8D1F-ADD2818A4866}" name="Colonne6406"/>
    <tableColumn id="6415" xr3:uid="{B69F3889-CDD7-4184-A83A-241BF218D074}" name="Colonne6407"/>
    <tableColumn id="6416" xr3:uid="{251DE1F4-C1B7-484E-8991-D8FE081101E6}" name="Colonne6408"/>
    <tableColumn id="6417" xr3:uid="{6D0587DE-4CF4-416B-9A00-A2DCC95023EF}" name="Colonne6409"/>
    <tableColumn id="6418" xr3:uid="{B70EEA7B-3672-4F47-B4DA-E40CF35F6362}" name="Colonne6410"/>
    <tableColumn id="6419" xr3:uid="{42F0134B-6E7A-48FE-AF25-D7C77EA36C4B}" name="Colonne6411"/>
    <tableColumn id="6420" xr3:uid="{55E20C86-13B5-43BD-82D7-1B1120BBA77C}" name="Colonne6412"/>
    <tableColumn id="6421" xr3:uid="{920B4BE5-BB03-4498-A986-210D31ECCCAA}" name="Colonne6413"/>
    <tableColumn id="6422" xr3:uid="{C8CBB6EB-8CE7-43D8-878B-C681C830D745}" name="Colonne6414"/>
    <tableColumn id="6423" xr3:uid="{0EA5DA42-B6ED-4538-B593-8C2A33B1A6C2}" name="Colonne6415"/>
    <tableColumn id="6424" xr3:uid="{08CDA89E-2DFD-407E-AEBD-20A66523D0C6}" name="Colonne6416"/>
    <tableColumn id="6425" xr3:uid="{4E44B952-0D3C-4098-8F8A-AFA5CB82C3E8}" name="Colonne6417"/>
    <tableColumn id="6426" xr3:uid="{8615169B-80DE-4B52-9487-844761D2BF53}" name="Colonne6418"/>
    <tableColumn id="6427" xr3:uid="{1712F674-8896-486A-9F60-FCD60E047031}" name="Colonne6419"/>
    <tableColumn id="6428" xr3:uid="{A930604E-DA24-4285-9B7A-90049E5DFE10}" name="Colonne6420"/>
    <tableColumn id="6429" xr3:uid="{4B078051-55EB-441F-97A9-B8AA3466BAE5}" name="Colonne6421"/>
    <tableColumn id="6430" xr3:uid="{C090D2E6-6BD3-4DA8-8F4C-A31492B1166C}" name="Colonne6422"/>
    <tableColumn id="6431" xr3:uid="{5D1C2FAB-D9F5-4D14-9A51-DC30DAEB9FC9}" name="Colonne6423"/>
    <tableColumn id="6432" xr3:uid="{734A6F5C-3A29-4636-A27D-F385B5AB02E5}" name="Colonne6424"/>
    <tableColumn id="6433" xr3:uid="{50B57FFE-F018-439A-97E0-DB1704B2A52A}" name="Colonne6425"/>
    <tableColumn id="6434" xr3:uid="{901A663C-F11F-4C16-8313-F8AF826D219C}" name="Colonne6426"/>
    <tableColumn id="6435" xr3:uid="{2B12254D-9794-4F85-BEC0-5FB4655E4B94}" name="Colonne6427"/>
    <tableColumn id="6436" xr3:uid="{88955F61-6087-4A71-B059-189868BFC794}" name="Colonne6428"/>
    <tableColumn id="6437" xr3:uid="{114463BD-1A2B-4868-8665-4035D9639262}" name="Colonne6429"/>
    <tableColumn id="6438" xr3:uid="{E8F9693D-5A2C-4679-B66A-C63D2AAD2126}" name="Colonne6430"/>
    <tableColumn id="6439" xr3:uid="{E5E024EF-FE10-4BE3-9DFB-A8E7367CB5AD}" name="Colonne6431"/>
    <tableColumn id="6440" xr3:uid="{7B4A28D4-8F98-485D-B6DB-B235D658A9B2}" name="Colonne6432"/>
    <tableColumn id="6441" xr3:uid="{7E792BE3-3827-4614-8033-4B408D96B7F9}" name="Colonne6433"/>
    <tableColumn id="6442" xr3:uid="{98B323C9-A4EA-4F0E-B4A8-101F87E76B5B}" name="Colonne6434"/>
    <tableColumn id="6443" xr3:uid="{98D75EDC-BDDF-4801-9C8D-C091488106D1}" name="Colonne6435"/>
    <tableColumn id="6444" xr3:uid="{73990E62-5CC5-479D-A724-9BA1971DAF9D}" name="Colonne6436"/>
    <tableColumn id="6445" xr3:uid="{55EC7741-CA61-42D9-8911-A918E310D2E1}" name="Colonne6437"/>
    <tableColumn id="6446" xr3:uid="{3A2E3A5C-ED00-4200-8635-6D24EF53D1E5}" name="Colonne6438"/>
    <tableColumn id="6447" xr3:uid="{A917BFBB-8B4F-48E2-8E54-680174054EF1}" name="Colonne6439"/>
    <tableColumn id="6448" xr3:uid="{B0092DD4-E427-47B4-B76B-0602C9DD93B5}" name="Colonne6440"/>
    <tableColumn id="6449" xr3:uid="{2B46F2A7-A70A-457B-A842-CFF643C4AF6D}" name="Colonne6441"/>
    <tableColumn id="6450" xr3:uid="{089560F5-3F33-4999-A563-E853D18695E9}" name="Colonne6442"/>
    <tableColumn id="6451" xr3:uid="{4D70971B-D3E6-4B45-8B35-A180E12E144D}" name="Colonne6443"/>
    <tableColumn id="6452" xr3:uid="{BB198378-9D0B-4C1F-9AC4-D03D96EC317B}" name="Colonne6444"/>
    <tableColumn id="6453" xr3:uid="{1E4ACF7E-BC4B-45E1-84C4-BEF31D5B5864}" name="Colonne6445"/>
    <tableColumn id="6454" xr3:uid="{A8691C7C-5BAC-4DD0-9636-5A76D42EF8CB}" name="Colonne6446"/>
    <tableColumn id="6455" xr3:uid="{3FA2FAE7-7473-4FB8-A4C6-2FD2AEB55091}" name="Colonne6447"/>
    <tableColumn id="6456" xr3:uid="{FF9FEAF6-94E9-484A-9A2B-96978C4A03DE}" name="Colonne6448"/>
    <tableColumn id="6457" xr3:uid="{609A9885-6EAC-416F-9651-EDA2E757C565}" name="Colonne6449"/>
    <tableColumn id="6458" xr3:uid="{F637A6C5-8DA9-4077-A603-E09D4A08695B}" name="Colonne6450"/>
    <tableColumn id="6459" xr3:uid="{7F0BB34D-C957-4BE7-9DB3-7F53730DCE6B}" name="Colonne6451"/>
    <tableColumn id="6460" xr3:uid="{723B62FA-D49D-4856-B25D-4555AF288BB8}" name="Colonne6452"/>
    <tableColumn id="6461" xr3:uid="{ACECF9A8-F8D2-439C-8FB9-49B76A6CB1F7}" name="Colonne6453"/>
    <tableColumn id="6462" xr3:uid="{D3533AB3-2ECD-40C9-B949-67B4477C842B}" name="Colonne6454"/>
    <tableColumn id="6463" xr3:uid="{7306B43A-2E90-4F76-A072-37CBD66E1D50}" name="Colonne6455"/>
    <tableColumn id="6464" xr3:uid="{A13397AA-6A79-496A-A732-19A7ECF01257}" name="Colonne6456"/>
    <tableColumn id="6465" xr3:uid="{319F514A-9BE2-4983-9A80-1C1A4DC5C07C}" name="Colonne6457"/>
    <tableColumn id="6466" xr3:uid="{957BB02A-C7D5-4AA7-BA46-65187B452F29}" name="Colonne6458"/>
    <tableColumn id="6467" xr3:uid="{DD4D1DD7-8FAE-4605-80E1-C9FB26E95214}" name="Colonne6459"/>
    <tableColumn id="6468" xr3:uid="{2247ABE6-FAF6-4722-9A66-6BACB969DF7F}" name="Colonne6460"/>
    <tableColumn id="6469" xr3:uid="{2E26C25B-009F-421A-A8F1-320A0BE99A9C}" name="Colonne6461"/>
    <tableColumn id="6470" xr3:uid="{F5D319E3-827A-4AB6-9265-6C2B116C214E}" name="Colonne6462"/>
    <tableColumn id="6471" xr3:uid="{FDD24EFF-679E-4FFB-AF1B-C9FAC1E08A62}" name="Colonne6463"/>
    <tableColumn id="6472" xr3:uid="{3C91F033-3B24-4546-AD01-49CABF14B627}" name="Colonne6464"/>
    <tableColumn id="6473" xr3:uid="{F433DE33-A582-4702-9EBF-4BBA7DA53FCE}" name="Colonne6465"/>
    <tableColumn id="6474" xr3:uid="{D10F22AC-C8F9-4E31-B744-6C2EE971DA06}" name="Colonne6466"/>
    <tableColumn id="6475" xr3:uid="{32031005-EEAD-4BA1-8D07-B3E4D252B366}" name="Colonne6467"/>
    <tableColumn id="6476" xr3:uid="{02EE5177-3AC7-4E2A-8DCA-20C795C62154}" name="Colonne6468"/>
    <tableColumn id="6477" xr3:uid="{70857CF8-6DB0-45F5-9B94-14F7B9A1D27C}" name="Colonne6469"/>
    <tableColumn id="6478" xr3:uid="{57EDB153-A9E7-4344-A4F3-FD09CE08637D}" name="Colonne6470"/>
    <tableColumn id="6479" xr3:uid="{2EDC7DFF-E1E6-4587-BFF6-9EF57381BD6D}" name="Colonne6471"/>
    <tableColumn id="6480" xr3:uid="{C64FB5F1-9191-4D7B-95EB-001509E7BC39}" name="Colonne6472"/>
    <tableColumn id="6481" xr3:uid="{C61A1386-7BD9-4181-B75D-43E0C5F9A3A5}" name="Colonne6473"/>
    <tableColumn id="6482" xr3:uid="{D9A9A5E5-B889-4552-A245-59529EE872A6}" name="Colonne6474"/>
    <tableColumn id="6483" xr3:uid="{297EA5AA-289A-428F-B91E-C4DCDA39FF9B}" name="Colonne6475"/>
    <tableColumn id="6484" xr3:uid="{5C13861E-B699-4454-9E22-691093B28B19}" name="Colonne6476"/>
    <tableColumn id="6485" xr3:uid="{7F26824B-5B1F-4DAC-B77E-678B2DFDA081}" name="Colonne6477"/>
    <tableColumn id="6486" xr3:uid="{D3AE40AE-8A55-418E-92B9-976DA57DE6D6}" name="Colonne6478"/>
    <tableColumn id="6487" xr3:uid="{6EBD5437-380A-42F3-BFC8-F71BFA7C5E55}" name="Colonne6479"/>
    <tableColumn id="6488" xr3:uid="{A9419FCF-B509-4E09-B7A8-5F9822F09293}" name="Colonne6480"/>
    <tableColumn id="6489" xr3:uid="{CCC7E7EA-F0AD-4AA6-969E-17089E31CFC7}" name="Colonne6481"/>
    <tableColumn id="6490" xr3:uid="{F80F1009-6986-4443-876B-20074437514F}" name="Colonne6482"/>
    <tableColumn id="6491" xr3:uid="{1F5853CC-6704-4C23-ABBB-D31FB7E86769}" name="Colonne6483"/>
    <tableColumn id="6492" xr3:uid="{635058ED-F9CB-4012-B1BE-58267A7CD422}" name="Colonne6484"/>
    <tableColumn id="6493" xr3:uid="{56ED1878-E912-42B1-8115-8854B1CEE125}" name="Colonne6485"/>
    <tableColumn id="6494" xr3:uid="{7C3D4EC3-8431-4B3B-B2CC-8E03DA56FC21}" name="Colonne6486"/>
    <tableColumn id="6495" xr3:uid="{199C070A-8C1A-49B4-9D36-C08B5E1E81B1}" name="Colonne6487"/>
    <tableColumn id="6496" xr3:uid="{A00DE096-F450-4DD6-ADFD-95181F4AD1CC}" name="Colonne6488"/>
    <tableColumn id="6497" xr3:uid="{46F1F392-6E8A-42B6-94C9-6665C447D772}" name="Colonne6489"/>
    <tableColumn id="6498" xr3:uid="{3CEE89FA-5546-4834-8791-2C73A8962178}" name="Colonne6490"/>
    <tableColumn id="6499" xr3:uid="{EAEA56F3-599C-49FF-B266-C78DF7F068CB}" name="Colonne6491"/>
    <tableColumn id="6500" xr3:uid="{C2777745-0363-49CD-975A-021FA83BC18C}" name="Colonne6492"/>
    <tableColumn id="6501" xr3:uid="{54A05EF1-66CD-462E-A655-385403323CD1}" name="Colonne6493"/>
    <tableColumn id="6502" xr3:uid="{24F3A731-482A-4861-9219-336570569D39}" name="Colonne6494"/>
    <tableColumn id="6503" xr3:uid="{9231CB53-468D-44FF-A5A5-03D8E4ED0475}" name="Colonne6495"/>
    <tableColumn id="6504" xr3:uid="{7B856F4D-3472-4480-94C6-B1231142FE3B}" name="Colonne6496"/>
    <tableColumn id="6505" xr3:uid="{B906EF0C-CABD-4DCC-8BD3-028D6EA37202}" name="Colonne6497"/>
    <tableColumn id="6506" xr3:uid="{A60C6B6C-E234-432F-B4A2-C11670F7C893}" name="Colonne6498"/>
    <tableColumn id="6507" xr3:uid="{1EB2C47F-8BE0-4B66-B2F0-3C456AD249BE}" name="Colonne6499"/>
    <tableColumn id="6508" xr3:uid="{8B5BA50B-7DB5-4EDE-87A1-6FA0544317DD}" name="Colonne6500"/>
    <tableColumn id="6509" xr3:uid="{F9BC9BBB-E680-40A9-A366-E779A7639FFF}" name="Colonne6501"/>
    <tableColumn id="6510" xr3:uid="{50AD8983-F8CA-4822-9121-872902CD3CDD}" name="Colonne6502"/>
    <tableColumn id="6511" xr3:uid="{3133EB21-AA31-4F4E-B92F-D3BCD33C5BD8}" name="Colonne6503"/>
    <tableColumn id="6512" xr3:uid="{64AA0D4D-2EEE-440D-85B8-D95EB2701B6E}" name="Colonne6504"/>
    <tableColumn id="6513" xr3:uid="{79300656-2465-40FE-AB29-193F3CCF4B31}" name="Colonne6505"/>
    <tableColumn id="6514" xr3:uid="{BF3678A0-56CA-4D45-B269-EFE50F7F954A}" name="Colonne6506"/>
    <tableColumn id="6515" xr3:uid="{CAACAFE8-8F10-4BC7-942C-356D5CAF6EE3}" name="Colonne6507"/>
    <tableColumn id="6516" xr3:uid="{A15899E8-24D9-4E5C-AF0F-B7EB7809FC45}" name="Colonne6508"/>
    <tableColumn id="6517" xr3:uid="{3D37346C-928D-4F09-B197-15DC62120558}" name="Colonne6509"/>
    <tableColumn id="6518" xr3:uid="{0A9D3EE1-7382-47FF-91E0-DBF276569961}" name="Colonne6510"/>
    <tableColumn id="6519" xr3:uid="{1D6D87D1-FFB4-42C6-A11B-1E9D0ABE8286}" name="Colonne6511"/>
    <tableColumn id="6520" xr3:uid="{71CC5B88-E5EC-48FF-BC62-851D0CE29BF1}" name="Colonne6512"/>
    <tableColumn id="6521" xr3:uid="{473398DE-3F35-4B06-B156-B47D2AD28509}" name="Colonne6513"/>
    <tableColumn id="6522" xr3:uid="{26EE9339-BD83-4163-958D-6A9F88648DDB}" name="Colonne6514"/>
    <tableColumn id="6523" xr3:uid="{44541A8C-8594-4B48-A9D7-D5878BFEFE83}" name="Colonne6515"/>
    <tableColumn id="6524" xr3:uid="{4572A0F3-0643-4E96-8F39-7EF9C81D6977}" name="Colonne6516"/>
    <tableColumn id="6525" xr3:uid="{47F4E53D-0A74-4FB7-81CC-AE5ADC6FF80C}" name="Colonne6517"/>
    <tableColumn id="6526" xr3:uid="{C74AAE3D-DAD7-413F-84E0-24DB73A336F3}" name="Colonne6518"/>
    <tableColumn id="6527" xr3:uid="{33339FCF-A576-490C-A3A9-16D716780E12}" name="Colonne6519"/>
    <tableColumn id="6528" xr3:uid="{959AA74B-487E-40B6-8A1D-51B7DA14F714}" name="Colonne6520"/>
    <tableColumn id="6529" xr3:uid="{37F5D0AD-38BC-404B-9DE3-311D2A9E4357}" name="Colonne6521"/>
    <tableColumn id="6530" xr3:uid="{FC37DC83-E11D-4B5A-973F-4EA193FA1B22}" name="Colonne6522"/>
    <tableColumn id="6531" xr3:uid="{84CCB154-5CBC-4C04-A562-AB406AA2CB1A}" name="Colonne6523"/>
    <tableColumn id="6532" xr3:uid="{1B1E06B3-70C2-4CCB-9F85-A789D7C6439B}" name="Colonne6524"/>
    <tableColumn id="6533" xr3:uid="{37B5509E-E854-485B-B5CD-57034890E7B1}" name="Colonne6525"/>
    <tableColumn id="6534" xr3:uid="{C63CB15F-A01A-4D40-A1CF-24FE06B4CAEA}" name="Colonne6526"/>
    <tableColumn id="6535" xr3:uid="{4AA291A7-62F6-4459-84CF-A11D4FEED02A}" name="Colonne6527"/>
    <tableColumn id="6536" xr3:uid="{59D5320B-FEC8-400D-AB13-C5DEEAECEC06}" name="Colonne6528"/>
    <tableColumn id="6537" xr3:uid="{1E6DDB69-337A-4C79-B585-D9D488888B8F}" name="Colonne6529"/>
    <tableColumn id="6538" xr3:uid="{5B9FECAB-5CC0-402F-A915-B0F61F563C83}" name="Colonne6530"/>
    <tableColumn id="6539" xr3:uid="{37BAFD7F-D0B6-4F34-9D4A-92E68B14B7AA}" name="Colonne6531"/>
    <tableColumn id="6540" xr3:uid="{B9B16DAF-A16A-4EFC-99B1-550FCC091F68}" name="Colonne6532"/>
    <tableColumn id="6541" xr3:uid="{6F23652A-C0AD-4982-BC9E-2B6B0B9516EE}" name="Colonne6533"/>
    <tableColumn id="6542" xr3:uid="{BAFB4CD7-8053-49C7-9267-F7B4507E28C6}" name="Colonne6534"/>
    <tableColumn id="6543" xr3:uid="{B705D818-5EA2-4CAD-8589-D8F2A23FADF2}" name="Colonne6535"/>
    <tableColumn id="6544" xr3:uid="{E2E8601F-735A-497F-8644-A8767AD432D6}" name="Colonne6536"/>
    <tableColumn id="6545" xr3:uid="{A6F6C5E7-D1D4-492A-8E47-071BDA70C718}" name="Colonne6537"/>
    <tableColumn id="6546" xr3:uid="{25E460FA-4439-47EA-8D12-247730F4960C}" name="Colonne6538"/>
    <tableColumn id="6547" xr3:uid="{B9625E87-FBA6-4DEC-AC73-CFF16D4564ED}" name="Colonne6539"/>
    <tableColumn id="6548" xr3:uid="{44DE5599-2651-46FF-BDE2-93EA2F8DFA53}" name="Colonne6540"/>
    <tableColumn id="6549" xr3:uid="{8611DAFF-2009-43EA-BA75-5EAE65E901E7}" name="Colonne6541"/>
    <tableColumn id="6550" xr3:uid="{0563C67C-D610-46D7-B0B8-DE585653DF6E}" name="Colonne6542"/>
    <tableColumn id="6551" xr3:uid="{7161598B-FE0A-40BA-B340-4086F6F69B88}" name="Colonne6543"/>
    <tableColumn id="6552" xr3:uid="{488DE8DE-58D0-42AC-9833-EC8450C71A5B}" name="Colonne6544"/>
    <tableColumn id="6553" xr3:uid="{11C36F21-E634-49F6-B837-79948D2277AC}" name="Colonne6545"/>
    <tableColumn id="6554" xr3:uid="{684490EC-B530-429B-8A78-CB0602DEF005}" name="Colonne6546"/>
    <tableColumn id="6555" xr3:uid="{E8B4342E-23F1-460D-BC31-EDD9961A0D4C}" name="Colonne6547"/>
    <tableColumn id="6556" xr3:uid="{B4E5103C-A7F0-4752-AEEE-D03BCF4D86C1}" name="Colonne6548"/>
    <tableColumn id="6557" xr3:uid="{78E0A8DD-059C-458A-8D42-BF6C3D39A698}" name="Colonne6549"/>
    <tableColumn id="6558" xr3:uid="{D16A90BC-1107-4457-83E5-7B36FBD7A0C1}" name="Colonne6550"/>
    <tableColumn id="6559" xr3:uid="{4E1DE1D4-A13C-4463-AFC5-7047C7D8AFF5}" name="Colonne6551"/>
    <tableColumn id="6560" xr3:uid="{1A35177F-3DA6-4895-B1A6-A21385684416}" name="Colonne6552"/>
    <tableColumn id="6561" xr3:uid="{9E61FE18-624E-4738-82DA-1146FCF81465}" name="Colonne6553"/>
    <tableColumn id="6562" xr3:uid="{946DB322-2326-41F8-93EA-AC45ACC3034D}" name="Colonne6554"/>
    <tableColumn id="6563" xr3:uid="{504EE178-7A65-4E1F-A1BD-AC821FBBCA72}" name="Colonne6555"/>
    <tableColumn id="6564" xr3:uid="{E56E1E60-9284-44DB-A704-2A2E1F35316B}" name="Colonne6556"/>
    <tableColumn id="6565" xr3:uid="{51897C7D-C301-4E3E-81D4-34D6FDB613F3}" name="Colonne6557"/>
    <tableColumn id="6566" xr3:uid="{F4B711C0-5A9E-4CA3-BDAD-94F971726323}" name="Colonne6558"/>
    <tableColumn id="6567" xr3:uid="{8F96AF74-CD13-4A7B-8E59-98FB1BF50966}" name="Colonne6559"/>
    <tableColumn id="6568" xr3:uid="{46E4ADA4-831E-4E20-A78D-756DAEE72EC6}" name="Colonne6560"/>
    <tableColumn id="6569" xr3:uid="{F7110B3E-D043-4476-B5C0-1F7EFF43321E}" name="Colonne6561"/>
    <tableColumn id="6570" xr3:uid="{67EFC33F-98EC-4EAA-923B-DA7FAF77D9B6}" name="Colonne6562"/>
    <tableColumn id="6571" xr3:uid="{031B373E-795B-4945-9431-C13F50C31A1C}" name="Colonne6563"/>
    <tableColumn id="6572" xr3:uid="{FFDB3A43-BA30-44D6-8F62-10FDFF61BAF7}" name="Colonne6564"/>
    <tableColumn id="6573" xr3:uid="{CA64EB90-2433-4D35-97CA-80F87CE319E1}" name="Colonne6565"/>
    <tableColumn id="6574" xr3:uid="{4B105D9B-335A-436A-884B-944717A37BC1}" name="Colonne6566"/>
    <tableColumn id="6575" xr3:uid="{45A6FDC9-19BA-45FC-BC36-A01B367836A1}" name="Colonne6567"/>
    <tableColumn id="6576" xr3:uid="{FD55B681-2C17-42D2-9932-DBFB865509FF}" name="Colonne6568"/>
    <tableColumn id="6577" xr3:uid="{E6B93FD1-F727-49C1-A2D5-F8A6FB5101F4}" name="Colonne6569"/>
    <tableColumn id="6578" xr3:uid="{CCCA96CF-162C-44AD-8593-2B12CF1E827E}" name="Colonne6570"/>
    <tableColumn id="6579" xr3:uid="{B4E38EF0-46C0-4CBF-A21A-951F000E0C5D}" name="Colonne6571"/>
    <tableColumn id="6580" xr3:uid="{A0792A05-2A13-478F-8E94-4F7FFF6265C9}" name="Colonne6572"/>
    <tableColumn id="6581" xr3:uid="{E79204B3-1F94-42AD-BEF4-57509F4AC470}" name="Colonne6573"/>
    <tableColumn id="6582" xr3:uid="{F0D78AE5-9B8E-48E3-BF64-B6A52939FC80}" name="Colonne6574"/>
    <tableColumn id="6583" xr3:uid="{A0ADCD17-60C9-41A7-8EBD-ED785D069B9C}" name="Colonne6575"/>
    <tableColumn id="6584" xr3:uid="{7E378D8E-B0D6-4FAD-A3BD-FD1633C14DF9}" name="Colonne6576"/>
    <tableColumn id="6585" xr3:uid="{5528BE30-237F-42F5-909E-9E6E55E81681}" name="Colonne6577"/>
    <tableColumn id="6586" xr3:uid="{DE755661-22EA-485D-B0A2-D9F39CE39589}" name="Colonne6578"/>
    <tableColumn id="6587" xr3:uid="{49383A1B-1AA6-4A25-8431-1401FA46358F}" name="Colonne6579"/>
    <tableColumn id="6588" xr3:uid="{C567C4DB-4D21-4A10-B397-87DD9FC5AE18}" name="Colonne6580"/>
    <tableColumn id="6589" xr3:uid="{73ED1AB4-1845-4F19-B0FC-7229DBEF11B7}" name="Colonne6581"/>
    <tableColumn id="6590" xr3:uid="{617703F3-BDAF-49DC-87A3-2A049C9A8B2D}" name="Colonne6582"/>
    <tableColumn id="6591" xr3:uid="{DD1936B9-5C84-4D13-BD07-0A377FA7B563}" name="Colonne6583"/>
    <tableColumn id="6592" xr3:uid="{1CB403A0-3983-483D-B321-7D77EDA72486}" name="Colonne6584"/>
    <tableColumn id="6593" xr3:uid="{0A16EED3-F57B-480F-A5F8-66A8EE83AC2F}" name="Colonne6585"/>
    <tableColumn id="6594" xr3:uid="{EB2D6510-742E-4D02-A0FB-AD0F844F3797}" name="Colonne6586"/>
    <tableColumn id="6595" xr3:uid="{10E95AAF-9E6D-441A-84E0-D9B8033FF893}" name="Colonne6587"/>
    <tableColumn id="6596" xr3:uid="{68E61594-0961-4E03-8E83-5C27522BDC1F}" name="Colonne6588"/>
    <tableColumn id="6597" xr3:uid="{E7A9D060-2DE0-45C5-A551-D5D72F38A39D}" name="Colonne6589"/>
    <tableColumn id="6598" xr3:uid="{CD3A2F77-B5B7-4F4A-A530-6C837CF2D6F0}" name="Colonne6590"/>
    <tableColumn id="6599" xr3:uid="{DB8AC6EF-BD77-4F8A-8651-88C2C111A202}" name="Colonne6591"/>
    <tableColumn id="6600" xr3:uid="{1F659670-3080-4D1F-BBA2-64EDB1860AAB}" name="Colonne6592"/>
    <tableColumn id="6601" xr3:uid="{A070718A-D7C3-4204-82C1-747B295BA437}" name="Colonne6593"/>
    <tableColumn id="6602" xr3:uid="{1A95724A-05C5-4021-8F4C-988529636268}" name="Colonne6594"/>
    <tableColumn id="6603" xr3:uid="{A889453F-8302-4769-88A8-F87C3DA3E4C2}" name="Colonne6595"/>
    <tableColumn id="6604" xr3:uid="{D40B4933-E76B-474B-AC9B-0DECB84F4054}" name="Colonne6596"/>
    <tableColumn id="6605" xr3:uid="{2DE8B461-7DAC-4392-9A12-48F537A09CB1}" name="Colonne6597"/>
    <tableColumn id="6606" xr3:uid="{5DE9F0B7-CEAC-4285-BD4C-EE5566BCFC68}" name="Colonne6598"/>
    <tableColumn id="6607" xr3:uid="{4BF975AE-152F-4BDF-9C34-0639020DF902}" name="Colonne6599"/>
    <tableColumn id="6608" xr3:uid="{7DB93900-7E63-4D31-B8A8-3A09D99083D4}" name="Colonne6600"/>
    <tableColumn id="6609" xr3:uid="{669DB457-E07D-41E8-9694-905B0D063C9E}" name="Colonne6601"/>
    <tableColumn id="6610" xr3:uid="{3C27C9D8-907E-4342-A5DB-5F1BB32325FB}" name="Colonne6602"/>
    <tableColumn id="6611" xr3:uid="{74C22957-6CE1-434E-BF3E-F04A59BF40BE}" name="Colonne6603"/>
    <tableColumn id="6612" xr3:uid="{4A942829-FE06-4FB2-86C2-B5646F0F13D7}" name="Colonne6604"/>
    <tableColumn id="6613" xr3:uid="{86A384C4-4639-4F55-8BB0-CE5BD66B9CF8}" name="Colonne6605"/>
    <tableColumn id="6614" xr3:uid="{27D4BB0C-40FF-4A50-B127-C946AECE35DC}" name="Colonne6606"/>
    <tableColumn id="6615" xr3:uid="{7F73A294-0AE1-45F0-8493-7795C3E59865}" name="Colonne6607"/>
    <tableColumn id="6616" xr3:uid="{05316F91-06B4-4E4A-93D0-161A04A0BB5D}" name="Colonne6608"/>
    <tableColumn id="6617" xr3:uid="{0CF5CC20-9C6D-41B2-A617-D8B3F4663488}" name="Colonne6609"/>
    <tableColumn id="6618" xr3:uid="{4804C5B6-EE9F-4AEB-8DC8-3BFDCD8FBA2B}" name="Colonne6610"/>
    <tableColumn id="6619" xr3:uid="{6308B068-F165-4264-A511-E1F03671CCBB}" name="Colonne6611"/>
    <tableColumn id="6620" xr3:uid="{D2586744-8370-4BDB-9134-18B96EC6715D}" name="Colonne6612"/>
    <tableColumn id="6621" xr3:uid="{C56B70F0-343B-493A-B578-360E338C82E4}" name="Colonne6613"/>
    <tableColumn id="6622" xr3:uid="{E0901DC4-DD0A-4CD0-ADEF-FC4A2C232F7D}" name="Colonne6614"/>
    <tableColumn id="6623" xr3:uid="{7706B028-510E-4046-9B17-FE837AC74B24}" name="Colonne6615"/>
    <tableColumn id="6624" xr3:uid="{C8C7FEEC-FCEB-4C9F-A8ED-83A73E1E9D68}" name="Colonne6616"/>
    <tableColumn id="6625" xr3:uid="{D3467C90-92CD-4FA3-A1B3-9376CF0A4A7F}" name="Colonne6617"/>
    <tableColumn id="6626" xr3:uid="{7896A9DE-6522-4993-95F7-C79C01A49D5E}" name="Colonne6618"/>
    <tableColumn id="6627" xr3:uid="{1A87D656-0D62-4404-A136-EDF44AD67414}" name="Colonne6619"/>
    <tableColumn id="6628" xr3:uid="{51D46DA8-7D73-4951-8F4A-53AB35504AD4}" name="Colonne6620"/>
    <tableColumn id="6629" xr3:uid="{8F1FE523-18BA-4C7A-AD9A-EA612EB01658}" name="Colonne6621"/>
    <tableColumn id="6630" xr3:uid="{9E9738E6-9D07-40D0-A91C-143C0676ACD8}" name="Colonne6622"/>
    <tableColumn id="6631" xr3:uid="{BDEC1350-340C-4202-8988-1967A79B187C}" name="Colonne6623"/>
    <tableColumn id="6632" xr3:uid="{16259205-75A2-458D-9FAE-97FCE6D69434}" name="Colonne6624"/>
    <tableColumn id="6633" xr3:uid="{484FE6D9-CB25-4F89-AF30-3D0FF073954A}" name="Colonne6625"/>
    <tableColumn id="6634" xr3:uid="{4B29EAB5-7AB5-4417-9EA4-176F2F6C081D}" name="Colonne6626"/>
    <tableColumn id="6635" xr3:uid="{EA86C00E-8FAE-4869-A359-A8F0E8EA9AC8}" name="Colonne6627"/>
    <tableColumn id="6636" xr3:uid="{0D69CC57-A860-49F5-8489-A761A0D1746F}" name="Colonne6628"/>
    <tableColumn id="6637" xr3:uid="{B8232512-E6F5-48E9-A8A7-7480A4A468A2}" name="Colonne6629"/>
    <tableColumn id="6638" xr3:uid="{76CB4ED3-88A6-4B7C-81C7-417CE34ED2CD}" name="Colonne6630"/>
    <tableColumn id="6639" xr3:uid="{C034188D-9BE2-4290-9429-97B7B20D99FB}" name="Colonne6631"/>
    <tableColumn id="6640" xr3:uid="{58B3C986-807B-43E1-BECE-EF44255A5650}" name="Colonne6632"/>
    <tableColumn id="6641" xr3:uid="{2FC19BB2-4124-4BA2-BE8D-275C35A74BE8}" name="Colonne6633"/>
    <tableColumn id="6642" xr3:uid="{3FE88242-590F-4CCA-8519-6B805FB1DCAE}" name="Colonne6634"/>
    <tableColumn id="6643" xr3:uid="{7603A5CE-BE95-4213-8D32-F2888E4F7999}" name="Colonne6635"/>
    <tableColumn id="6644" xr3:uid="{EBD6CD33-BFFB-4F82-9FEC-C93D951E3315}" name="Colonne6636"/>
    <tableColumn id="6645" xr3:uid="{F729FC35-41B3-468B-9980-770AAF0FAC33}" name="Colonne6637"/>
    <tableColumn id="6646" xr3:uid="{84EE621E-470D-499E-BED1-220D9F635EE0}" name="Colonne6638"/>
    <tableColumn id="6647" xr3:uid="{51D3E6E0-8522-4BA0-A062-72F4419E92BF}" name="Colonne6639"/>
    <tableColumn id="6648" xr3:uid="{BACEB5EF-D06A-4EF2-9AE1-DF42609430F7}" name="Colonne6640"/>
    <tableColumn id="6649" xr3:uid="{45ADF7E2-FACD-445B-94A3-B148C4D135CE}" name="Colonne6641"/>
    <tableColumn id="6650" xr3:uid="{E5C18F14-0B55-480B-BC72-2E4AFA02D14A}" name="Colonne6642"/>
    <tableColumn id="6651" xr3:uid="{CBB936E9-EA9D-46A1-A0EE-A301F1EB361F}" name="Colonne6643"/>
    <tableColumn id="6652" xr3:uid="{DD35C903-A754-4D74-BC2A-28EC183EB0FE}" name="Colonne6644"/>
    <tableColumn id="6653" xr3:uid="{159F7538-C785-4121-B034-96FE0ABC9323}" name="Colonne6645"/>
    <tableColumn id="6654" xr3:uid="{F7C4577B-C977-4271-A26C-8FF8A64FE6B7}" name="Colonne6646"/>
    <tableColumn id="6655" xr3:uid="{B3C4DAE4-16F7-484E-B16D-C55806DA8BE5}" name="Colonne6647"/>
    <tableColumn id="6656" xr3:uid="{B794CC36-E52C-4336-BAE9-54D139A4D917}" name="Colonne6648"/>
    <tableColumn id="6657" xr3:uid="{8E5D829F-7889-4D93-A345-2B8E47B47904}" name="Colonne6649"/>
    <tableColumn id="6658" xr3:uid="{65C040E0-F450-48E2-8BC2-856466461611}" name="Colonne6650"/>
    <tableColumn id="6659" xr3:uid="{C14E874B-5F5A-4B56-A022-7D9BE8193029}" name="Colonne6651"/>
    <tableColumn id="6660" xr3:uid="{66C48F5A-1632-4FC3-8E51-E7DE6C819AE2}" name="Colonne6652"/>
    <tableColumn id="6661" xr3:uid="{106A9FDD-61A2-4C1B-8D43-EED562DB5D0B}" name="Colonne6653"/>
    <tableColumn id="6662" xr3:uid="{4028873F-1A48-4EC2-A1F6-41639681937D}" name="Colonne6654"/>
    <tableColumn id="6663" xr3:uid="{2F2B02A3-1C68-4F24-B096-D0308BB96964}" name="Colonne6655"/>
    <tableColumn id="6664" xr3:uid="{D6FC1ACE-09D8-499E-AEC8-6EA3D97D5D28}" name="Colonne6656"/>
    <tableColumn id="6665" xr3:uid="{D3D22CCE-F7D8-46CB-A4C6-9B2971884D6D}" name="Colonne6657"/>
    <tableColumn id="6666" xr3:uid="{C7832A4A-7DF9-4D83-B743-9EED26A156C3}" name="Colonne6658"/>
    <tableColumn id="6667" xr3:uid="{111DD1CF-4420-4DC4-9DAC-C136795B5C63}" name="Colonne6659"/>
    <tableColumn id="6668" xr3:uid="{2D61090A-C863-4227-93E5-B7DDD967275C}" name="Colonne6660"/>
    <tableColumn id="6669" xr3:uid="{FFDB8093-D323-4448-80B6-33C1533A17E8}" name="Colonne6661"/>
    <tableColumn id="6670" xr3:uid="{FCEE698C-EC8B-4B98-9EB0-1DC8CB3C1530}" name="Colonne6662"/>
    <tableColumn id="6671" xr3:uid="{55EBFC1C-8033-4138-9CB3-FDCA283E4E7C}" name="Colonne6663"/>
    <tableColumn id="6672" xr3:uid="{E7A86654-11F8-4EC5-A7DF-6997ACED6EA0}" name="Colonne6664"/>
    <tableColumn id="6673" xr3:uid="{7D6A4E35-5BAD-49CE-80DE-0ECEE7BD97C8}" name="Colonne6665"/>
    <tableColumn id="6674" xr3:uid="{DF270B22-D721-4B8A-919B-7C86CBB4C70E}" name="Colonne6666"/>
    <tableColumn id="6675" xr3:uid="{90D430C4-4CFD-4273-98DB-0BE4E80383E9}" name="Colonne6667"/>
    <tableColumn id="6676" xr3:uid="{13A1F7F9-00D7-45DB-90E5-7168B65FA1F2}" name="Colonne6668"/>
    <tableColumn id="6677" xr3:uid="{D9728830-6021-418B-A13A-FDF16D43EA42}" name="Colonne6669"/>
    <tableColumn id="6678" xr3:uid="{3FB67623-CEF5-46EC-BAAF-F51794CA51EA}" name="Colonne6670"/>
    <tableColumn id="6679" xr3:uid="{9AA47455-EEFC-4254-9276-87B6229B1A44}" name="Colonne6671"/>
    <tableColumn id="6680" xr3:uid="{FF748093-6554-42D7-AE78-34ECFEE419AA}" name="Colonne6672"/>
    <tableColumn id="6681" xr3:uid="{4857D481-B747-4503-B73F-4AD2805EF164}" name="Colonne6673"/>
    <tableColumn id="6682" xr3:uid="{6A8B74B7-6554-4D64-80A7-A2EBD86D071F}" name="Colonne6674"/>
    <tableColumn id="6683" xr3:uid="{1CEBD8A9-A333-41C0-9243-C1144FE4365A}" name="Colonne6675"/>
    <tableColumn id="6684" xr3:uid="{9B7E4AB0-15BA-43E4-A776-3C6B625942CA}" name="Colonne6676"/>
    <tableColumn id="6685" xr3:uid="{629D482A-5FB5-4FD5-A3C9-CD7DC337560C}" name="Colonne6677"/>
    <tableColumn id="6686" xr3:uid="{85459CF1-5F3A-4F25-83F0-43683E277988}" name="Colonne6678"/>
    <tableColumn id="6687" xr3:uid="{916DE5CE-3D82-44C0-A91D-2269B7CBF821}" name="Colonne6679"/>
    <tableColumn id="6688" xr3:uid="{52D85E9E-6342-40B0-8CFA-85F636E8947F}" name="Colonne6680"/>
    <tableColumn id="6689" xr3:uid="{960B9EE1-9977-41FA-87EC-ED46C96C04BE}" name="Colonne6681"/>
    <tableColumn id="6690" xr3:uid="{ED2C46A1-DED9-4641-8FF0-BE57B8840817}" name="Colonne6682"/>
    <tableColumn id="6691" xr3:uid="{D63AD020-313B-49DB-ACEF-89B818A359EE}" name="Colonne6683"/>
    <tableColumn id="6692" xr3:uid="{2D8BBF23-E4F9-49CE-8E9D-ED62B84883C9}" name="Colonne6684"/>
    <tableColumn id="6693" xr3:uid="{E6609D25-164A-4786-BE3A-A29F96C7D949}" name="Colonne6685"/>
    <tableColumn id="6694" xr3:uid="{9757EE19-E4C7-44EA-AD59-C63BA1950FC3}" name="Colonne6686"/>
    <tableColumn id="6695" xr3:uid="{C82AA7B3-BB52-4456-A9CB-36C42453403C}" name="Colonne6687"/>
    <tableColumn id="6696" xr3:uid="{D993EA1C-1813-47AA-B05E-E3A182FC63FA}" name="Colonne6688"/>
    <tableColumn id="6697" xr3:uid="{D43D1260-E0B7-4205-876F-E753579F62C4}" name="Colonne6689"/>
    <tableColumn id="6698" xr3:uid="{64FF26E3-7159-4038-A764-90A5FF0CEB37}" name="Colonne6690"/>
    <tableColumn id="6699" xr3:uid="{CCE8491B-A6E4-4545-8211-1B3EDBC95937}" name="Colonne6691"/>
    <tableColumn id="6700" xr3:uid="{D6971C04-07E8-4374-B27D-0DA855B2A37D}" name="Colonne6692"/>
    <tableColumn id="6701" xr3:uid="{DF6E8768-22EA-40C6-858C-6F05B56F2865}" name="Colonne6693"/>
    <tableColumn id="6702" xr3:uid="{14A1B265-B042-49F6-ADF1-A2E42DE2CF93}" name="Colonne6694"/>
    <tableColumn id="6703" xr3:uid="{5E09832F-D7FD-44FB-BC6D-7C0882446AC0}" name="Colonne6695"/>
    <tableColumn id="6704" xr3:uid="{3B4028D3-28B4-42BF-8B73-046307A57723}" name="Colonne6696"/>
    <tableColumn id="6705" xr3:uid="{6AB761EB-C7EF-4E88-A5D2-E6810DC7087E}" name="Colonne6697"/>
    <tableColumn id="6706" xr3:uid="{7A89F98D-22F1-40E0-BEB9-4E9E0C4B54E5}" name="Colonne6698"/>
    <tableColumn id="6707" xr3:uid="{678EFE34-D258-4AAD-A644-974ECAEDF174}" name="Colonne6699"/>
    <tableColumn id="6708" xr3:uid="{1627F3DF-2330-4C1B-8A4C-12EFE44A1473}" name="Colonne6700"/>
    <tableColumn id="6709" xr3:uid="{94FBE00E-7584-48BF-B169-C3060BF32033}" name="Colonne6701"/>
    <tableColumn id="6710" xr3:uid="{A50A2C8F-D65A-4BC3-BF1A-D8BA938D7BDD}" name="Colonne6702"/>
    <tableColumn id="6711" xr3:uid="{02E4AC06-7C4F-47A2-8F3F-BDAB63398743}" name="Colonne6703"/>
    <tableColumn id="6712" xr3:uid="{E9EF439A-64AB-4B84-B9AB-280B29FE38D3}" name="Colonne6704"/>
    <tableColumn id="6713" xr3:uid="{04BB60F8-D430-4B93-A942-54EA269BF6CC}" name="Colonne6705"/>
    <tableColumn id="6714" xr3:uid="{E1DB870A-9C85-4977-8BEA-5279E3FCE317}" name="Colonne6706"/>
    <tableColumn id="6715" xr3:uid="{D8A977BA-4BD5-4D9E-BF54-7B99B217F938}" name="Colonne6707"/>
    <tableColumn id="6716" xr3:uid="{84719859-EDE9-4AF7-BFDA-736822938A6B}" name="Colonne6708"/>
    <tableColumn id="6717" xr3:uid="{D8058F10-634E-4145-BFA0-24C114701147}" name="Colonne6709"/>
    <tableColumn id="6718" xr3:uid="{1D1273F0-95DE-4A6A-B46A-745EEB1CB665}" name="Colonne6710"/>
    <tableColumn id="6719" xr3:uid="{E6C722AE-669F-4490-805F-F788FB1766F3}" name="Colonne6711"/>
    <tableColumn id="6720" xr3:uid="{4AD013B1-B670-44F4-8C03-13BBFC9A3B86}" name="Colonne6712"/>
    <tableColumn id="6721" xr3:uid="{193EF962-B3C2-4951-88A3-694B61CBDCF3}" name="Colonne6713"/>
    <tableColumn id="6722" xr3:uid="{5017368C-1572-4E30-93DA-B34F6345B74B}" name="Colonne6714"/>
    <tableColumn id="6723" xr3:uid="{F68FAB85-C707-479C-AECE-7D8F46F3821B}" name="Colonne6715"/>
    <tableColumn id="6724" xr3:uid="{C5E00929-649C-4E85-BCAC-8CF0E8888B45}" name="Colonne6716"/>
    <tableColumn id="6725" xr3:uid="{F8C8611E-B6AF-4326-BBA3-4C2AC71679DC}" name="Colonne6717"/>
    <tableColumn id="6726" xr3:uid="{DD4D92C8-0568-4E5F-BFF8-CE999A07FAAF}" name="Colonne6718"/>
    <tableColumn id="6727" xr3:uid="{1E3B33EF-BF21-40E6-B835-DE307B9E888E}" name="Colonne6719"/>
    <tableColumn id="6728" xr3:uid="{0F0E34A6-1F28-4D21-8507-5BDD26AE6696}" name="Colonne6720"/>
    <tableColumn id="6729" xr3:uid="{DCD71B2F-E62F-4BB7-9E98-F9FF7C00E339}" name="Colonne6721"/>
    <tableColumn id="6730" xr3:uid="{5F04CCB4-7883-44CA-9532-35B85678050C}" name="Colonne6722"/>
    <tableColumn id="6731" xr3:uid="{BA85A895-D856-44AE-9947-C86FAC0D5961}" name="Colonne6723"/>
    <tableColumn id="6732" xr3:uid="{8B99B50C-9803-4313-9699-6BF3C711C41E}" name="Colonne6724"/>
    <tableColumn id="6733" xr3:uid="{5977ADE6-BB0D-4A8C-8D85-A78DB4D94187}" name="Colonne6725"/>
    <tableColumn id="6734" xr3:uid="{E1340849-8E9B-47B5-9F6B-7FAE21B0E079}" name="Colonne6726"/>
    <tableColumn id="6735" xr3:uid="{6453F559-0291-4E55-8FF6-84F043CC0C34}" name="Colonne6727"/>
    <tableColumn id="6736" xr3:uid="{5C73BDB9-73BF-4FAF-821F-897F7821BBDC}" name="Colonne6728"/>
    <tableColumn id="6737" xr3:uid="{1ADB8B9C-564C-4D1A-A349-15D1A2ACCD20}" name="Colonne6729"/>
    <tableColumn id="6738" xr3:uid="{C24E3849-8BDB-4789-B61D-5F397D01928F}" name="Colonne6730"/>
    <tableColumn id="6739" xr3:uid="{A43E76F1-6D32-4D1C-A290-24EED3D1E663}" name="Colonne6731"/>
    <tableColumn id="6740" xr3:uid="{0B1E22C1-1A15-46B8-ACA7-E70D72691522}" name="Colonne6732"/>
    <tableColumn id="6741" xr3:uid="{81E67A72-F4B8-4C87-812D-21A2A8545FC4}" name="Colonne6733"/>
    <tableColumn id="6742" xr3:uid="{CA26708A-41F4-455F-B820-158F5D3C8052}" name="Colonne6734"/>
    <tableColumn id="6743" xr3:uid="{85EA5FA9-4EA3-4CCE-97B3-BAB644BDF311}" name="Colonne6735"/>
    <tableColumn id="6744" xr3:uid="{E0F653F7-D83B-4E2E-A800-480D4F71079D}" name="Colonne6736"/>
    <tableColumn id="6745" xr3:uid="{F898B9C5-74B5-4610-8680-C186F0BBFEFC}" name="Colonne6737"/>
    <tableColumn id="6746" xr3:uid="{646EC418-BFFD-4212-B90A-8D33AC818D16}" name="Colonne6738"/>
    <tableColumn id="6747" xr3:uid="{8B90EE68-53CF-4B87-A491-5C8D5423FF66}" name="Colonne6739"/>
    <tableColumn id="6748" xr3:uid="{48380DCE-D3E2-4770-84B1-032B8884DF8C}" name="Colonne6740"/>
    <tableColumn id="6749" xr3:uid="{BE8E4313-DC04-4D22-9131-668B762C7186}" name="Colonne6741"/>
    <tableColumn id="6750" xr3:uid="{2F7BA45C-3C6C-4AED-B4CE-B38398E43431}" name="Colonne6742"/>
    <tableColumn id="6751" xr3:uid="{D98044AE-3425-40C5-80D1-7CBE10ADB3AC}" name="Colonne6743"/>
    <tableColumn id="6752" xr3:uid="{0383143D-1BE4-4DDE-B3DD-9B985FB2F015}" name="Colonne6744"/>
    <tableColumn id="6753" xr3:uid="{B7C75126-14B4-4BA6-B6BA-8E7833CDDBDA}" name="Colonne6745"/>
    <tableColumn id="6754" xr3:uid="{F0BA7D42-721D-4821-A9B4-A9A4F89B4247}" name="Colonne6746"/>
    <tableColumn id="6755" xr3:uid="{859430F0-078C-4B00-927F-650AD31AC210}" name="Colonne6747"/>
    <tableColumn id="6756" xr3:uid="{61E257F1-4DA7-4CC5-94D8-BB033207A442}" name="Colonne6748"/>
    <tableColumn id="6757" xr3:uid="{2007A73C-2F49-4AD7-8AED-1C20E24616F0}" name="Colonne6749"/>
    <tableColumn id="6758" xr3:uid="{B4310592-59CB-450A-A600-E2E19BF59C71}" name="Colonne6750"/>
    <tableColumn id="6759" xr3:uid="{0CA16871-8683-45D5-AA30-A4C6188AEFCA}" name="Colonne6751"/>
    <tableColumn id="6760" xr3:uid="{46DA9299-305A-4EC6-9096-9EDADE673A6F}" name="Colonne6752"/>
    <tableColumn id="6761" xr3:uid="{7B6DD234-147A-451E-88BF-F24879BC0F6E}" name="Colonne6753"/>
    <tableColumn id="6762" xr3:uid="{195AAC7A-59FD-426B-823D-24AE87E5B310}" name="Colonne6754"/>
    <tableColumn id="6763" xr3:uid="{42E51F4D-FD90-40C6-B81A-AC20D7C0D623}" name="Colonne6755"/>
    <tableColumn id="6764" xr3:uid="{3758EA28-08B5-4A30-B236-C6B025A31190}" name="Colonne6756"/>
    <tableColumn id="6765" xr3:uid="{D5822A29-3173-4ABA-A646-66DDA3074B14}" name="Colonne6757"/>
    <tableColumn id="6766" xr3:uid="{E6A5AE2D-A54C-43E9-AC0C-038842AA55ED}" name="Colonne6758"/>
    <tableColumn id="6767" xr3:uid="{0F30DD8E-F079-49A4-AE08-3122EDD76FF4}" name="Colonne6759"/>
    <tableColumn id="6768" xr3:uid="{3582BA03-4F08-4C89-BF89-4F001ABE004B}" name="Colonne6760"/>
    <tableColumn id="6769" xr3:uid="{456C62AA-6072-43EE-A196-21FD7E1B4845}" name="Colonne6761"/>
    <tableColumn id="6770" xr3:uid="{9E66466D-2E70-473E-897D-694A1D2A123A}" name="Colonne6762"/>
    <tableColumn id="6771" xr3:uid="{EC30F191-2B9F-4C65-A287-4DD733784AC5}" name="Colonne6763"/>
    <tableColumn id="6772" xr3:uid="{C9E0E61C-09DF-4F68-9D1E-0EEF0487E3A5}" name="Colonne6764"/>
    <tableColumn id="6773" xr3:uid="{030FBADC-7663-4CAF-9D69-C7ED81C0C132}" name="Colonne6765"/>
    <tableColumn id="6774" xr3:uid="{31AD0955-91DA-42F7-A984-C7FFB645C82B}" name="Colonne6766"/>
    <tableColumn id="6775" xr3:uid="{27A7B241-F3E0-4579-BA16-53AA8CF704A0}" name="Colonne6767"/>
    <tableColumn id="6776" xr3:uid="{FD6D01D2-510D-4651-AA4E-6325028D4481}" name="Colonne6768"/>
    <tableColumn id="6777" xr3:uid="{EA2473AE-31AC-4982-88B6-D73814C61AE3}" name="Colonne6769"/>
    <tableColumn id="6778" xr3:uid="{0C03F2AD-A650-4688-997A-469F8EC7487E}" name="Colonne6770"/>
    <tableColumn id="6779" xr3:uid="{C4184844-A175-4C06-9731-4DE9A44BD3C2}" name="Colonne6771"/>
    <tableColumn id="6780" xr3:uid="{59002C77-CC3C-4770-B1F6-C3E56F12FD36}" name="Colonne6772"/>
    <tableColumn id="6781" xr3:uid="{7F598123-A41C-4D84-A073-AC70777E4731}" name="Colonne6773"/>
    <tableColumn id="6782" xr3:uid="{90E4FF9C-7A4B-4C40-A77C-1B056DB61F1D}" name="Colonne6774"/>
    <tableColumn id="6783" xr3:uid="{F2AD0F63-4A26-4246-9237-B4F25DB5CB47}" name="Colonne6775"/>
    <tableColumn id="6784" xr3:uid="{9632613B-3B10-41B1-BB1B-8C3E02961516}" name="Colonne6776"/>
    <tableColumn id="6785" xr3:uid="{EBF77E4F-4548-4E94-95DB-615E3898D663}" name="Colonne6777"/>
    <tableColumn id="6786" xr3:uid="{6F7E7687-6520-4A0E-AF36-6413DFB44FBB}" name="Colonne6778"/>
    <tableColumn id="6787" xr3:uid="{640CF8FC-614A-46AB-B086-8537A491C238}" name="Colonne6779"/>
    <tableColumn id="6788" xr3:uid="{2CB95BCB-070D-422D-B5CA-836B93064987}" name="Colonne6780"/>
    <tableColumn id="6789" xr3:uid="{85AEE116-0D05-48A3-9A90-D04442C60EDB}" name="Colonne6781"/>
    <tableColumn id="6790" xr3:uid="{97D544EA-743B-4732-B129-E5DFFB0C8D63}" name="Colonne6782"/>
    <tableColumn id="6791" xr3:uid="{9CB1681A-CBEF-47E3-A30F-07E1514935BA}" name="Colonne6783"/>
    <tableColumn id="6792" xr3:uid="{9427233B-32F1-48BA-9DBF-39087CA4231F}" name="Colonne6784"/>
    <tableColumn id="6793" xr3:uid="{48C6E6CA-D222-4AFC-8490-3C65F520B0D1}" name="Colonne6785"/>
    <tableColumn id="6794" xr3:uid="{70DA95E2-1DFF-46DA-9EF6-9054944DD2FF}" name="Colonne6786"/>
    <tableColumn id="6795" xr3:uid="{CB6C3DC8-7821-4070-9E37-0F0516D01F0D}" name="Colonne6787"/>
    <tableColumn id="6796" xr3:uid="{15A85517-495E-4082-8B45-7CC34C4458D9}" name="Colonne6788"/>
    <tableColumn id="6797" xr3:uid="{B3EB31DE-D242-46CE-822E-FF7AE7C33DAE}" name="Colonne6789"/>
    <tableColumn id="6798" xr3:uid="{B7B068FC-578B-49E9-87F3-BC8205455E78}" name="Colonne6790"/>
    <tableColumn id="6799" xr3:uid="{CCA074F5-B1F1-422B-ACE1-D715E133FC3D}" name="Colonne6791"/>
    <tableColumn id="6800" xr3:uid="{750A156F-26ED-44CE-9682-B5AA9552EDF8}" name="Colonne6792"/>
    <tableColumn id="6801" xr3:uid="{194D9876-72B8-4EEA-B8F4-40AED434A649}" name="Colonne6793"/>
    <tableColumn id="6802" xr3:uid="{A3CAE488-52DF-4793-8C3B-6E890717E8E9}" name="Colonne6794"/>
    <tableColumn id="6803" xr3:uid="{05438FD2-8BE1-482A-B6EB-9823FBF33F1E}" name="Colonne6795"/>
    <tableColumn id="6804" xr3:uid="{0CA8543B-7CA2-4F3B-A8D8-BF9416ACA43D}" name="Colonne6796"/>
    <tableColumn id="6805" xr3:uid="{4A2E16AE-FB34-4DE5-BA91-975BF56271E7}" name="Colonne6797"/>
    <tableColumn id="6806" xr3:uid="{68501F02-7141-407F-83A5-044778FAF5F4}" name="Colonne6798"/>
    <tableColumn id="6807" xr3:uid="{CC53030E-2A13-4D65-9A25-6249FB924535}" name="Colonne6799"/>
    <tableColumn id="6808" xr3:uid="{D42893EE-5E1C-4AE8-B279-C3E3BC26E08F}" name="Colonne6800"/>
    <tableColumn id="6809" xr3:uid="{69FC39D9-0547-4574-A361-E7247CB9764B}" name="Colonne6801"/>
    <tableColumn id="6810" xr3:uid="{CE44FB62-E119-4F93-A62D-8F6FA7AF5D3E}" name="Colonne6802"/>
    <tableColumn id="6811" xr3:uid="{15160623-D2EE-41C6-AA9A-C011B938C969}" name="Colonne6803"/>
    <tableColumn id="6812" xr3:uid="{C3E76EA0-9473-4A80-A966-020BB430FD4B}" name="Colonne6804"/>
    <tableColumn id="6813" xr3:uid="{F8A9B785-9113-46EB-B718-931A2C26AE20}" name="Colonne6805"/>
    <tableColumn id="6814" xr3:uid="{1E1DF958-62CD-47BC-9842-2645640E4175}" name="Colonne6806"/>
    <tableColumn id="6815" xr3:uid="{06C05410-043E-4D81-80CD-736C3F1C0630}" name="Colonne6807"/>
    <tableColumn id="6816" xr3:uid="{8B611C1E-0829-4530-8486-5CE74B0B6F0E}" name="Colonne6808"/>
    <tableColumn id="6817" xr3:uid="{6D23CA2F-8396-4796-A158-1F11A6554948}" name="Colonne6809"/>
    <tableColumn id="6818" xr3:uid="{7399644B-6B9D-4C37-AED9-AC0D80F61210}" name="Colonne6810"/>
    <tableColumn id="6819" xr3:uid="{70A31660-5C84-425E-A105-01CA9C6941CD}" name="Colonne6811"/>
    <tableColumn id="6820" xr3:uid="{1704EBBD-42E0-4AF5-81F3-FD1EE1D75D94}" name="Colonne6812"/>
    <tableColumn id="6821" xr3:uid="{417B0C66-B24B-48F7-A13C-8E9D2850AA3C}" name="Colonne6813"/>
    <tableColumn id="6822" xr3:uid="{2CA0B9F4-5F20-4F0E-AB9C-2C7786EFD5B3}" name="Colonne6814"/>
    <tableColumn id="6823" xr3:uid="{3803CDF3-22DB-4802-AE64-B09A999B9424}" name="Colonne6815"/>
    <tableColumn id="6824" xr3:uid="{001966AA-8E31-4CB5-A81A-CBE9B5D93D34}" name="Colonne6816"/>
    <tableColumn id="6825" xr3:uid="{AEE77412-645B-40D9-AE57-EEEE837E79B7}" name="Colonne6817"/>
    <tableColumn id="6826" xr3:uid="{E12786C2-A5B1-462B-B436-1790F86FDB0A}" name="Colonne6818"/>
    <tableColumn id="6827" xr3:uid="{F9F42D80-8CBD-4380-B59E-16A55CCD361F}" name="Colonne6819"/>
    <tableColumn id="6828" xr3:uid="{CCF2E72E-9BB9-446C-9926-17C87A071249}" name="Colonne6820"/>
    <tableColumn id="6829" xr3:uid="{64E7D8A0-43DF-47A2-AC12-830600CCD39A}" name="Colonne6821"/>
    <tableColumn id="6830" xr3:uid="{ABA6B1DA-E151-4026-8D7D-7E75876F27E8}" name="Colonne6822"/>
    <tableColumn id="6831" xr3:uid="{4A6A285E-A9EB-4184-9C17-401DFED41BBB}" name="Colonne6823"/>
    <tableColumn id="6832" xr3:uid="{5C8E0388-09DD-4766-A517-F5B7E3E055CF}" name="Colonne6824"/>
    <tableColumn id="6833" xr3:uid="{A29A278F-4DF1-4F61-B9E2-9A90C823E8F4}" name="Colonne6825"/>
    <tableColumn id="6834" xr3:uid="{68FF505F-9A59-48C3-9628-2BDFDA492477}" name="Colonne6826"/>
    <tableColumn id="6835" xr3:uid="{7B575F55-BA4B-48E0-9C02-8670BCD06F80}" name="Colonne6827"/>
    <tableColumn id="6836" xr3:uid="{59BD31EE-2C25-4A22-8579-8AAEA7C5A95B}" name="Colonne6828"/>
    <tableColumn id="6837" xr3:uid="{1BDF5758-8484-44FA-89DB-3AA070DF8FDF}" name="Colonne6829"/>
    <tableColumn id="6838" xr3:uid="{3678D0E6-A660-4CE8-980F-FD7F94C0C78E}" name="Colonne6830"/>
    <tableColumn id="6839" xr3:uid="{D14C3455-5341-4F50-BCBF-E92B1C221303}" name="Colonne6831"/>
    <tableColumn id="6840" xr3:uid="{310E7975-7314-455B-A5F5-9E04A2377E95}" name="Colonne6832"/>
    <tableColumn id="6841" xr3:uid="{56AE3B48-EFB9-4F9F-9BD7-3FA503D1D32E}" name="Colonne6833"/>
    <tableColumn id="6842" xr3:uid="{6CA5DC58-C6D0-4835-A0C8-2120263693E4}" name="Colonne6834"/>
    <tableColumn id="6843" xr3:uid="{A8218A3B-AECA-4962-AF7C-18FA9147CD08}" name="Colonne6835"/>
    <tableColumn id="6844" xr3:uid="{6D50E3A9-31D6-4000-B709-48E36C8506B2}" name="Colonne6836"/>
    <tableColumn id="6845" xr3:uid="{A685CC8C-194E-48BF-B319-340ABB4F0438}" name="Colonne6837"/>
    <tableColumn id="6846" xr3:uid="{7D8CB785-15B2-4D9F-ADC8-096329729A3D}" name="Colonne6838"/>
    <tableColumn id="6847" xr3:uid="{5033AF3C-0987-4523-80A9-FB73DEEF24DB}" name="Colonne6839"/>
    <tableColumn id="6848" xr3:uid="{6FC89754-410B-43B0-B485-E53AF5FD1479}" name="Colonne6840"/>
    <tableColumn id="6849" xr3:uid="{FBAD108F-256E-4943-B2A7-89D9F7299316}" name="Colonne6841"/>
    <tableColumn id="6850" xr3:uid="{12545816-9BA9-4007-992D-6A8DEC3FD2E5}" name="Colonne6842"/>
    <tableColumn id="6851" xr3:uid="{5B70A341-9667-4798-AD69-04FE85D37B2D}" name="Colonne6843"/>
    <tableColumn id="6852" xr3:uid="{63ACBB45-3348-4E43-ACF7-5A6C92D563FC}" name="Colonne6844"/>
    <tableColumn id="6853" xr3:uid="{FF78F0FE-75C2-4963-872D-26D39B98AE63}" name="Colonne6845"/>
    <tableColumn id="6854" xr3:uid="{DF88079A-BCD7-4A55-B611-754BED87A459}" name="Colonne6846"/>
    <tableColumn id="6855" xr3:uid="{36E86DE3-906B-4F22-87DA-CE196AC76C93}" name="Colonne6847"/>
    <tableColumn id="6856" xr3:uid="{B6589365-0EC5-4FD4-A378-498DD4914466}" name="Colonne6848"/>
    <tableColumn id="6857" xr3:uid="{9C348CA0-D0D9-417E-95CD-49EE83140D70}" name="Colonne6849"/>
    <tableColumn id="6858" xr3:uid="{3DF3FD77-4FAD-43DD-BCB5-5A388385CE10}" name="Colonne6850"/>
    <tableColumn id="6859" xr3:uid="{017E0E5B-F0CC-4F9D-A449-3714E2DCF2C3}" name="Colonne6851"/>
    <tableColumn id="6860" xr3:uid="{021D937B-61BB-41E7-87EF-0A31B17AA06A}" name="Colonne6852"/>
    <tableColumn id="6861" xr3:uid="{E8BC2E43-4126-40D3-84F1-2EB307EB6097}" name="Colonne6853"/>
    <tableColumn id="6862" xr3:uid="{21A08BD0-3174-48CC-A96D-7E6B8EA00014}" name="Colonne6854"/>
    <tableColumn id="6863" xr3:uid="{F7B84FC2-AA58-4A80-818F-C27C975B1241}" name="Colonne6855"/>
    <tableColumn id="6864" xr3:uid="{07A68410-AB8D-4A50-A5A9-61692AA9B35D}" name="Colonne6856"/>
    <tableColumn id="6865" xr3:uid="{81F5E2ED-74F5-4A33-BA0A-DFA6FF41FADA}" name="Colonne6857"/>
    <tableColumn id="6866" xr3:uid="{BF5681AB-277C-4A95-AE02-F8E2CAEBB853}" name="Colonne6858"/>
    <tableColumn id="6867" xr3:uid="{B923E035-C0AA-40B4-ADF8-6CC0E659A2C0}" name="Colonne6859"/>
    <tableColumn id="6868" xr3:uid="{4DF847AD-C276-49E9-A4B8-5DCCEF782964}" name="Colonne6860"/>
    <tableColumn id="6869" xr3:uid="{852BD969-670B-4E31-B880-3F68221D469F}" name="Colonne6861"/>
    <tableColumn id="6870" xr3:uid="{B6D7C51C-6665-4D0F-8214-3D2FB539082A}" name="Colonne6862"/>
    <tableColumn id="6871" xr3:uid="{D3D54E10-B535-41B1-A559-E54F39D3AD0A}" name="Colonne6863"/>
    <tableColumn id="6872" xr3:uid="{5B5636C0-C3A5-4574-9064-A57986E7C52D}" name="Colonne6864"/>
    <tableColumn id="6873" xr3:uid="{6C4232BC-6F2E-4975-A6B3-1882D1633930}" name="Colonne6865"/>
    <tableColumn id="6874" xr3:uid="{7EECC5FF-DBDB-4A2B-A116-E1D2A5FD08B4}" name="Colonne6866"/>
    <tableColumn id="6875" xr3:uid="{9C4162AC-5E61-43F5-BF1E-A31AAF37A8E0}" name="Colonne6867"/>
    <tableColumn id="6876" xr3:uid="{6E921437-84AF-498E-B2A5-E7FB7B7438C8}" name="Colonne6868"/>
    <tableColumn id="6877" xr3:uid="{352613FA-19C9-4513-B1A3-640A99255F0C}" name="Colonne6869"/>
    <tableColumn id="6878" xr3:uid="{1493E0C0-A4CD-478A-8500-3487E2F75976}" name="Colonne6870"/>
    <tableColumn id="6879" xr3:uid="{F2E7881B-52DF-4D58-9196-D75E3545CE23}" name="Colonne6871"/>
    <tableColumn id="6880" xr3:uid="{593A8D6D-9238-4E68-8B6F-35BC79C0EA76}" name="Colonne6872"/>
    <tableColumn id="6881" xr3:uid="{7C22EA74-BB6D-4CC4-B1F8-4FA1361D9258}" name="Colonne6873"/>
    <tableColumn id="6882" xr3:uid="{A75FDD74-C18F-4391-B8DA-AC7E256CB48C}" name="Colonne6874"/>
    <tableColumn id="6883" xr3:uid="{BCBFBE48-8B68-41F8-9BE5-F8BA8A381D11}" name="Colonne6875"/>
    <tableColumn id="6884" xr3:uid="{BE250EFC-CB2E-4972-A783-6B99419C2CA4}" name="Colonne6876"/>
    <tableColumn id="6885" xr3:uid="{E7641DFE-79C0-45CE-8195-D5E86E337142}" name="Colonne6877"/>
    <tableColumn id="6886" xr3:uid="{B0BE4DEA-E081-4D62-87F6-D44123DF1857}" name="Colonne6878"/>
    <tableColumn id="6887" xr3:uid="{14031469-CAE6-455A-9ED1-2798566E1438}" name="Colonne6879"/>
    <tableColumn id="6888" xr3:uid="{8F4A41CC-AA8D-42D0-B362-9C323C230E75}" name="Colonne6880"/>
    <tableColumn id="6889" xr3:uid="{16A3476B-7AE1-4D0A-8671-2772CA10B9E4}" name="Colonne6881"/>
    <tableColumn id="6890" xr3:uid="{7678373B-88BC-4027-9DDB-519655EA86B3}" name="Colonne6882"/>
    <tableColumn id="6891" xr3:uid="{9D48CAA6-1090-4664-A5D5-691649A0A52E}" name="Colonne6883"/>
    <tableColumn id="6892" xr3:uid="{22828DCC-DA22-4AAE-ABFC-975BF13C51D4}" name="Colonne6884"/>
    <tableColumn id="6893" xr3:uid="{502BB1B0-18A5-4196-853A-E04574066A90}" name="Colonne6885"/>
    <tableColumn id="6894" xr3:uid="{96D46F2A-217E-4E40-99D9-33CDFBDD47DF}" name="Colonne6886"/>
    <tableColumn id="6895" xr3:uid="{4C3CA3DB-7C61-4C32-931F-732A628EB8EF}" name="Colonne6887"/>
    <tableColumn id="6896" xr3:uid="{78FC14C5-2FA2-4E7E-AB9A-46285C352EE2}" name="Colonne6888"/>
    <tableColumn id="6897" xr3:uid="{F312AC85-357F-4FBD-8006-16016B15FD84}" name="Colonne6889"/>
    <tableColumn id="6898" xr3:uid="{B4095948-B896-4B4E-AF26-53B2A1B4E817}" name="Colonne6890"/>
    <tableColumn id="6899" xr3:uid="{FF707849-588E-4E17-867A-1CD51BE23130}" name="Colonne6891"/>
    <tableColumn id="6900" xr3:uid="{9D67AE66-2CE0-4164-B882-F3382A28E045}" name="Colonne6892"/>
    <tableColumn id="6901" xr3:uid="{B62679F7-7C2E-4A96-ADC1-2898381FE5C3}" name="Colonne6893"/>
    <tableColumn id="6902" xr3:uid="{58DF92DD-504B-4E3D-812C-93224BF51948}" name="Colonne6894"/>
    <tableColumn id="6903" xr3:uid="{E2C32E30-72E9-45C0-801C-4407074A8F4E}" name="Colonne6895"/>
    <tableColumn id="6904" xr3:uid="{CA1375EA-B5EB-485A-9C0A-A30C555FE8CC}" name="Colonne6896"/>
    <tableColumn id="6905" xr3:uid="{1EFAF41E-D856-4FB7-B85F-4BD7C478F704}" name="Colonne6897"/>
    <tableColumn id="6906" xr3:uid="{F339B70F-D0F7-4E23-B882-921AEA46B1E4}" name="Colonne6898"/>
    <tableColumn id="6907" xr3:uid="{CFC81AB4-633A-480F-A50C-26CDF03938F1}" name="Colonne6899"/>
    <tableColumn id="6908" xr3:uid="{7E6FAB53-E393-4261-AC5E-96C5493630B5}" name="Colonne6900"/>
    <tableColumn id="6909" xr3:uid="{60364A57-73EC-4DC2-8B99-55271C608429}" name="Colonne6901"/>
    <tableColumn id="6910" xr3:uid="{291B376F-0371-41D8-A3DF-ED4E3BD18241}" name="Colonne6902"/>
    <tableColumn id="6911" xr3:uid="{8159F18F-83B4-46D9-A933-3A3AB90AF3CA}" name="Colonne6903"/>
    <tableColumn id="6912" xr3:uid="{F2356AC9-CA51-4914-A1FC-451F4AAA137B}" name="Colonne6904"/>
    <tableColumn id="6913" xr3:uid="{972C455B-3257-49DC-9624-D491707B75C6}" name="Colonne6905"/>
    <tableColumn id="6914" xr3:uid="{355AFEF5-1BE6-46D7-95CB-CCAB44C3E636}" name="Colonne6906"/>
    <tableColumn id="6915" xr3:uid="{980E2912-41C6-4C01-AD0E-EDCAC4A636B6}" name="Colonne6907"/>
    <tableColumn id="6916" xr3:uid="{D9F6C94D-3299-47BD-8887-717765874616}" name="Colonne6908"/>
    <tableColumn id="6917" xr3:uid="{50B1C954-28D3-4EC5-9428-439B74B4E700}" name="Colonne6909"/>
    <tableColumn id="6918" xr3:uid="{8C598D0A-4302-4A2C-885B-CD630B80480E}" name="Colonne6910"/>
    <tableColumn id="6919" xr3:uid="{3CFB430F-6F42-4308-B353-D498FF05C0FF}" name="Colonne6911"/>
    <tableColumn id="6920" xr3:uid="{F5A40C5B-A48F-4D2D-9E4D-886F4BE2E69B}" name="Colonne6912"/>
    <tableColumn id="6921" xr3:uid="{F1B0B7A8-2942-4F7E-AD11-4A2CFF89B94C}" name="Colonne6913"/>
    <tableColumn id="6922" xr3:uid="{F3BAC997-F47E-4066-A637-B0A3CA102EFF}" name="Colonne6914"/>
    <tableColumn id="6923" xr3:uid="{08F857F6-6E41-4059-AC9D-BDC4383EE6AE}" name="Colonne6915"/>
    <tableColumn id="6924" xr3:uid="{3F4D9A01-88B8-43AE-9B94-C9411CB60C70}" name="Colonne6916"/>
    <tableColumn id="6925" xr3:uid="{A2C90FAF-65E8-4997-9E15-8F12BE425B24}" name="Colonne6917"/>
    <tableColumn id="6926" xr3:uid="{D782452C-289C-4465-B70F-D7FD92F01ABA}" name="Colonne6918"/>
    <tableColumn id="6927" xr3:uid="{BBA734E0-6465-46BA-B37A-BB8262958A5C}" name="Colonne6919"/>
    <tableColumn id="6928" xr3:uid="{03615CCC-F0DC-4B80-A339-0DA041A63844}" name="Colonne6920"/>
    <tableColumn id="6929" xr3:uid="{10354A4B-9C77-4F2E-A8BC-BAE281EA3A61}" name="Colonne6921"/>
    <tableColumn id="6930" xr3:uid="{95F21BF7-4EAB-4BCA-8367-110ADC239C1B}" name="Colonne6922"/>
    <tableColumn id="6931" xr3:uid="{D16B52B9-3095-439F-85E1-03EA57D7560B}" name="Colonne6923"/>
    <tableColumn id="6932" xr3:uid="{7B4A2C53-1087-45D7-BB9A-F85748CD9EA7}" name="Colonne6924"/>
    <tableColumn id="6933" xr3:uid="{CFD983F5-057E-420A-A361-07E61C607497}" name="Colonne6925"/>
    <tableColumn id="6934" xr3:uid="{82572DDB-E1CA-44B0-AC91-E957C5B25D91}" name="Colonne6926"/>
    <tableColumn id="6935" xr3:uid="{B55133F1-DC35-4E9C-8104-94CF2A3B3797}" name="Colonne6927"/>
    <tableColumn id="6936" xr3:uid="{33B287A9-AE25-4A7E-B817-F045672680F7}" name="Colonne6928"/>
    <tableColumn id="6937" xr3:uid="{281C5B61-B485-4C37-A789-7BE7E381A06F}" name="Colonne6929"/>
    <tableColumn id="6938" xr3:uid="{ADFEA97B-98F7-449F-9EAF-B8ADF141C644}" name="Colonne6930"/>
    <tableColumn id="6939" xr3:uid="{0A2500B0-58A3-4F75-A772-40A402C15A89}" name="Colonne6931"/>
    <tableColumn id="6940" xr3:uid="{AD2E2A17-22B9-4FFA-A30C-B164A4046036}" name="Colonne6932"/>
    <tableColumn id="6941" xr3:uid="{AE36B8EE-61D4-49FC-B4CB-88039C70B3E7}" name="Colonne6933"/>
    <tableColumn id="6942" xr3:uid="{A20A6632-E7ED-44FD-BB07-D621F01C8ACD}" name="Colonne6934"/>
    <tableColumn id="6943" xr3:uid="{05774D1C-5C22-4AE5-B365-DD36DC661795}" name="Colonne6935"/>
    <tableColumn id="6944" xr3:uid="{2046063B-B5CC-47E3-A3C6-4A865CF9D78B}" name="Colonne6936"/>
    <tableColumn id="6945" xr3:uid="{A4AFD1FF-56EF-4883-9054-67C1744F69C2}" name="Colonne6937"/>
    <tableColumn id="6946" xr3:uid="{C5D8870D-E1F1-48AD-BF0F-C219C47DECFB}" name="Colonne6938"/>
    <tableColumn id="6947" xr3:uid="{C5D80253-3722-4DCA-8FE4-7FA10FEC8783}" name="Colonne6939"/>
    <tableColumn id="6948" xr3:uid="{9EAD10ED-66DA-4068-98D9-F6ADDA199950}" name="Colonne6940"/>
    <tableColumn id="6949" xr3:uid="{7DF9794C-68E3-4115-B20E-368848DBDEAB}" name="Colonne6941"/>
    <tableColumn id="6950" xr3:uid="{C0B67475-A490-4559-96C9-E52DC8BCDE0C}" name="Colonne6942"/>
    <tableColumn id="6951" xr3:uid="{1EB58155-EF04-4E92-BEF0-8B8474E287E6}" name="Colonne6943"/>
    <tableColumn id="6952" xr3:uid="{1F7FFFF6-039C-4BF2-B1B6-51938CB9793D}" name="Colonne6944"/>
    <tableColumn id="6953" xr3:uid="{9AD83455-5ECD-41E5-B611-D97C82AA04F3}" name="Colonne6945"/>
    <tableColumn id="6954" xr3:uid="{5837DC65-E76A-4DB2-A7A0-3BAF620EDCB4}" name="Colonne6946"/>
    <tableColumn id="6955" xr3:uid="{65522F5E-BC46-4E7C-BB09-C1CE3464338D}" name="Colonne6947"/>
    <tableColumn id="6956" xr3:uid="{8E98F9CF-B01D-4199-A0E2-E95B69103E08}" name="Colonne6948"/>
    <tableColumn id="6957" xr3:uid="{443E506B-B198-403E-B03B-B92471B718D4}" name="Colonne6949"/>
    <tableColumn id="6958" xr3:uid="{0FC92033-C720-47F9-9477-AAF05C71FB81}" name="Colonne6950"/>
    <tableColumn id="6959" xr3:uid="{CFA92173-9EE4-4E7F-9A50-6DBCBD9B61A8}" name="Colonne6951"/>
    <tableColumn id="6960" xr3:uid="{589EE3A4-839E-4032-8049-D7C53312F1F9}" name="Colonne6952"/>
    <tableColumn id="6961" xr3:uid="{85A74F05-65F7-43AF-9797-3FEF8BA0B5CA}" name="Colonne6953"/>
    <tableColumn id="6962" xr3:uid="{FE0E3D7E-CFBF-4AB7-96ED-BAB114E5F813}" name="Colonne6954"/>
    <tableColumn id="6963" xr3:uid="{77FEDBD8-95B3-4499-B0A8-2888309DA470}" name="Colonne6955"/>
    <tableColumn id="6964" xr3:uid="{7EDDF7CD-AA2D-4E60-BA32-C5E0D69B9A35}" name="Colonne6956"/>
    <tableColumn id="6965" xr3:uid="{12C7E8F8-43B3-4FF2-A2D8-88E8B293E002}" name="Colonne6957"/>
    <tableColumn id="6966" xr3:uid="{93A0DF1F-DA4A-4B2E-BBCB-0F0FDAD68A3A}" name="Colonne6958"/>
    <tableColumn id="6967" xr3:uid="{0EC19CE0-AE01-42C7-8ACB-DE5128F9C2E1}" name="Colonne6959"/>
    <tableColumn id="6968" xr3:uid="{A0D46802-C463-44EE-9275-B061429BD56E}" name="Colonne6960"/>
    <tableColumn id="6969" xr3:uid="{0723AE7D-B4C4-4FEC-9527-FC118418264C}" name="Colonne6961"/>
    <tableColumn id="6970" xr3:uid="{E234D022-EBC1-498F-B65B-E5E0C9A781E5}" name="Colonne6962"/>
    <tableColumn id="6971" xr3:uid="{2EACEC41-5B4A-4034-B480-AAFE3FDD6322}" name="Colonne6963"/>
    <tableColumn id="6972" xr3:uid="{E555C647-C36E-4847-B416-2DB0590E67EF}" name="Colonne6964"/>
    <tableColumn id="6973" xr3:uid="{75283ADD-EDAF-44BC-8CCB-8FC8EB0A2EAD}" name="Colonne6965"/>
    <tableColumn id="6974" xr3:uid="{D4688212-5486-4BA4-8F00-70FAD18F7E57}" name="Colonne6966"/>
    <tableColumn id="6975" xr3:uid="{06414487-FAA9-4D77-8E26-85533F7B7FF0}" name="Colonne6967"/>
    <tableColumn id="6976" xr3:uid="{10234437-303F-4BB4-86B7-A915D9F552CB}" name="Colonne6968"/>
    <tableColumn id="6977" xr3:uid="{856AACC8-FEEF-46E4-A5DD-C6069002F21E}" name="Colonne6969"/>
    <tableColumn id="6978" xr3:uid="{362E4267-4A8F-498A-A50C-EC3BC5498301}" name="Colonne6970"/>
    <tableColumn id="6979" xr3:uid="{9B6160D5-3C3C-47FA-892F-C10861034C72}" name="Colonne6971"/>
    <tableColumn id="6980" xr3:uid="{91695A5E-616D-472D-8413-6508B479BACF}" name="Colonne6972"/>
    <tableColumn id="6981" xr3:uid="{8275A62D-56CA-4C28-B75C-18A91EB7518E}" name="Colonne6973"/>
    <tableColumn id="6982" xr3:uid="{5502CB12-4FE8-45AE-9AA0-D0D55483AF6C}" name="Colonne6974"/>
    <tableColumn id="6983" xr3:uid="{4CCE272B-32AA-4A01-95CB-AF0FB6E5548E}" name="Colonne6975"/>
    <tableColumn id="6984" xr3:uid="{58FC2A14-8FFF-4CE8-A943-EA0F1ACCCAA2}" name="Colonne6976"/>
    <tableColumn id="6985" xr3:uid="{41A0D6F8-B2CB-4DD7-8F21-C5A5A6F0F94F}" name="Colonne6977"/>
    <tableColumn id="6986" xr3:uid="{ACF0AF06-509A-4842-819A-03ACF3B791DD}" name="Colonne6978"/>
    <tableColumn id="6987" xr3:uid="{81FD2298-0604-4EDF-B4DC-F7B5546EA9BC}" name="Colonne6979"/>
    <tableColumn id="6988" xr3:uid="{C5109A4E-109E-4907-8648-45856B8BF457}" name="Colonne6980"/>
    <tableColumn id="6989" xr3:uid="{C9934AF2-5812-418B-9325-E8F4ECEFF566}" name="Colonne6981"/>
    <tableColumn id="6990" xr3:uid="{923ED1AC-415A-4BB1-A3FB-8EF709994BEE}" name="Colonne6982"/>
    <tableColumn id="6991" xr3:uid="{672EE421-985B-4857-A8EC-06CDCB37E183}" name="Colonne6983"/>
    <tableColumn id="6992" xr3:uid="{70FB1DB0-EDE6-4555-ACED-8CC27324CF0B}" name="Colonne6984"/>
    <tableColumn id="6993" xr3:uid="{53560C84-B794-40B4-A075-39784D93A6E5}" name="Colonne6985"/>
    <tableColumn id="6994" xr3:uid="{9C7C1831-E67F-4648-B6B8-E1A0946EE722}" name="Colonne6986"/>
    <tableColumn id="6995" xr3:uid="{FE85B03B-381B-4A74-B96F-92FA5D609ADB}" name="Colonne6987"/>
    <tableColumn id="6996" xr3:uid="{1D4C502D-07D5-44CD-8889-3A7A9E7D85FC}" name="Colonne6988"/>
    <tableColumn id="6997" xr3:uid="{122B4F8C-A85F-4E1E-B07B-AA24C218759B}" name="Colonne6989"/>
    <tableColumn id="6998" xr3:uid="{0107592A-75CF-4CD1-901F-CC44B6345385}" name="Colonne6990"/>
    <tableColumn id="6999" xr3:uid="{B62DED53-D7FA-4B44-A53A-231EA0BE575A}" name="Colonne6991"/>
    <tableColumn id="7000" xr3:uid="{1DF77EFE-25E3-449D-955E-4302F791B143}" name="Colonne6992"/>
    <tableColumn id="7001" xr3:uid="{ABE54BA2-73F8-4F55-9B2B-323D347CDA2F}" name="Colonne6993"/>
    <tableColumn id="7002" xr3:uid="{C8DD119A-4BB9-49DE-9B7E-E9902CFF111E}" name="Colonne6994"/>
    <tableColumn id="7003" xr3:uid="{8451EFF2-C6CC-4060-BFBE-B10CD6621A8B}" name="Colonne6995"/>
    <tableColumn id="7004" xr3:uid="{4143F9A8-2CDD-4FF4-8ABB-7FF9D6C0BCCF}" name="Colonne6996"/>
    <tableColumn id="7005" xr3:uid="{9F3CD465-3556-440A-8131-08A96CF16B98}" name="Colonne6997"/>
    <tableColumn id="7006" xr3:uid="{573C0908-419B-4D7B-9895-3D32A115EC6F}" name="Colonne6998"/>
    <tableColumn id="7007" xr3:uid="{53037A67-579B-4570-87CF-C63CE31961D8}" name="Colonne6999"/>
    <tableColumn id="7008" xr3:uid="{49244907-2116-4A28-90C5-6CA34AA4FCDA}" name="Colonne7000"/>
    <tableColumn id="7009" xr3:uid="{1E2A67C7-7FE5-45DA-A2F6-E335CB09256A}" name="Colonne7001"/>
    <tableColumn id="7010" xr3:uid="{B80778D8-DC31-41C3-A70E-3C3849B10474}" name="Colonne7002"/>
    <tableColumn id="7011" xr3:uid="{5E0954FD-9B05-4642-946D-20B25C415FCA}" name="Colonne7003"/>
    <tableColumn id="7012" xr3:uid="{11D37B00-D61F-409D-A657-8F6D994AC5C2}" name="Colonne7004"/>
    <tableColumn id="7013" xr3:uid="{44498919-2473-4419-9C08-9FC9CD1C80AE}" name="Colonne7005"/>
    <tableColumn id="7014" xr3:uid="{848FE74D-E638-4811-80A5-250EB8B5E188}" name="Colonne7006"/>
    <tableColumn id="7015" xr3:uid="{85AA45CD-693B-4840-ABB7-950F69CF0D32}" name="Colonne7007"/>
    <tableColumn id="7016" xr3:uid="{160FD82E-DC62-43C5-98FB-DC8DE4DE159E}" name="Colonne7008"/>
    <tableColumn id="7017" xr3:uid="{F4216B0D-54EB-45FA-963B-17E22AA96A70}" name="Colonne7009"/>
    <tableColumn id="7018" xr3:uid="{3EC21DF8-A9A8-421D-A400-C12582CEC482}" name="Colonne7010"/>
    <tableColumn id="7019" xr3:uid="{45675F1E-68F0-485B-9F93-BFBE26315024}" name="Colonne7011"/>
    <tableColumn id="7020" xr3:uid="{27B7EC86-8476-4BD4-A45F-C38F93D237E5}" name="Colonne7012"/>
    <tableColumn id="7021" xr3:uid="{0EA8AC6C-7E92-4FCD-8D41-D7D9486A1E06}" name="Colonne7013"/>
    <tableColumn id="7022" xr3:uid="{926CE32E-8362-451C-930B-DA59A07D67D3}" name="Colonne7014"/>
    <tableColumn id="7023" xr3:uid="{DFCFDA44-CEF5-4192-A11F-2BDB4CDD307F}" name="Colonne7015"/>
    <tableColumn id="7024" xr3:uid="{5DD1E6FE-5644-4F0B-89D4-04E8D30EF627}" name="Colonne7016"/>
    <tableColumn id="7025" xr3:uid="{39BBD4AB-5C9D-4841-B7DA-CFEF7FACC677}" name="Colonne7017"/>
    <tableColumn id="7026" xr3:uid="{6D1E07D5-4DD5-4497-9AC9-47EBB2A4E0B1}" name="Colonne7018"/>
    <tableColumn id="7027" xr3:uid="{620B62FB-EEBF-4877-A7F3-1E7966DD275F}" name="Colonne7019"/>
    <tableColumn id="7028" xr3:uid="{42ABB6DE-F612-4325-A49B-05703D3D07FF}" name="Colonne7020"/>
    <tableColumn id="7029" xr3:uid="{FF844ECD-FDBF-49B5-A1DE-0DA52BF0880A}" name="Colonne7021"/>
    <tableColumn id="7030" xr3:uid="{5C2E550E-9D9F-4C6A-AFC2-73DD378E0411}" name="Colonne7022"/>
    <tableColumn id="7031" xr3:uid="{5230262E-8642-4F3B-89AC-86D8F8A20CE9}" name="Colonne7023"/>
    <tableColumn id="7032" xr3:uid="{46DEED31-A754-40CD-9E47-0A2BC64CE964}" name="Colonne7024"/>
    <tableColumn id="7033" xr3:uid="{4F46FC5C-F6F7-4823-9A99-F9CEB380CD4D}" name="Colonne7025"/>
    <tableColumn id="7034" xr3:uid="{A9B18950-DF87-4852-BE24-BCC1C3A02F48}" name="Colonne7026"/>
    <tableColumn id="7035" xr3:uid="{AB20A72A-E29D-43B1-A101-42FDD6075255}" name="Colonne7027"/>
    <tableColumn id="7036" xr3:uid="{3005119A-9683-4E42-8AA1-153C3486D4CC}" name="Colonne7028"/>
    <tableColumn id="7037" xr3:uid="{5EC5CBD7-7BC4-4C4A-9C4A-A6B9988BEE2A}" name="Colonne7029"/>
    <tableColumn id="7038" xr3:uid="{255FC3A0-9167-470D-ACAA-586E02C2CE04}" name="Colonne7030"/>
    <tableColumn id="7039" xr3:uid="{770F64E4-F16D-4643-86CE-4C6EA43D3A01}" name="Colonne7031"/>
    <tableColumn id="7040" xr3:uid="{726D1492-00BA-494F-909C-D66D38BC8CCB}" name="Colonne7032"/>
    <tableColumn id="7041" xr3:uid="{B780A8B0-FE8C-4E10-B301-3EF2F66CCEB6}" name="Colonne7033"/>
    <tableColumn id="7042" xr3:uid="{8608C212-8357-45ED-9705-D3DEDFAECD62}" name="Colonne7034"/>
    <tableColumn id="7043" xr3:uid="{B3932D41-8C25-4181-A1A8-6BF82A0048E0}" name="Colonne7035"/>
    <tableColumn id="7044" xr3:uid="{6D588F4C-986F-4E66-8A16-9E76120C0E87}" name="Colonne7036"/>
    <tableColumn id="7045" xr3:uid="{DF62D160-8838-4BCF-AC58-A2212EA097AF}" name="Colonne7037"/>
    <tableColumn id="7046" xr3:uid="{61F1844D-A80E-41F1-8FBB-ADB863582098}" name="Colonne7038"/>
    <tableColumn id="7047" xr3:uid="{B494F860-526B-4865-9096-71C22C948F6F}" name="Colonne7039"/>
    <tableColumn id="7048" xr3:uid="{67019C67-ABA3-4E55-ADD0-DEFB99DA1137}" name="Colonne7040"/>
    <tableColumn id="7049" xr3:uid="{33885CE9-3E29-40D9-B36E-EE037335F8EE}" name="Colonne7041"/>
    <tableColumn id="7050" xr3:uid="{11AB9E0B-DEEF-4C8D-92DF-95D03C8C0AB7}" name="Colonne7042"/>
    <tableColumn id="7051" xr3:uid="{9145EC56-B0DF-4024-83D7-9E6B6144509B}" name="Colonne7043"/>
    <tableColumn id="7052" xr3:uid="{F4198D1F-84CA-4E42-9169-BE6DEFF75E4C}" name="Colonne7044"/>
    <tableColumn id="7053" xr3:uid="{710DF2D1-912E-4227-B111-A28B7BA4AA4F}" name="Colonne7045"/>
    <tableColumn id="7054" xr3:uid="{C57BC499-AADB-45AB-81A2-C1BE99135E9F}" name="Colonne7046"/>
    <tableColumn id="7055" xr3:uid="{FD963D8B-37EB-4965-B05F-0852AB8C7C3F}" name="Colonne7047"/>
    <tableColumn id="7056" xr3:uid="{54B24117-9C51-4653-8272-236BF26D835A}" name="Colonne7048"/>
    <tableColumn id="7057" xr3:uid="{450858EE-5B17-4218-8AB4-3F9402B6061D}" name="Colonne7049"/>
    <tableColumn id="7058" xr3:uid="{08521019-B830-426F-9EDE-791E9FF8C6D6}" name="Colonne7050"/>
    <tableColumn id="7059" xr3:uid="{4EB7E0BF-08E4-487D-BC0A-3DAFC45D796B}" name="Colonne7051"/>
    <tableColumn id="7060" xr3:uid="{E444FF5C-F7FD-46CC-A906-27F84A5420DC}" name="Colonne7052"/>
    <tableColumn id="7061" xr3:uid="{4346D6DD-62A4-4EDB-9874-5E97D2BC9ED1}" name="Colonne7053"/>
    <tableColumn id="7062" xr3:uid="{CC9A9C7C-D9DA-46A3-8888-E8D2BF03A9E1}" name="Colonne7054"/>
    <tableColumn id="7063" xr3:uid="{92B56871-2BAC-43BA-AD50-01E26FF731F6}" name="Colonne7055"/>
    <tableColumn id="7064" xr3:uid="{EA391CB9-A3C8-4366-894A-CB1044ABF528}" name="Colonne7056"/>
    <tableColumn id="7065" xr3:uid="{29844A4E-BCD0-481E-87E0-5815CD2DD7F5}" name="Colonne7057"/>
    <tableColumn id="7066" xr3:uid="{D8D16C9B-F343-4947-A236-9B7943E9C171}" name="Colonne7058"/>
    <tableColumn id="7067" xr3:uid="{8452257D-8D11-461E-ADD9-D3932F73A06F}" name="Colonne7059"/>
    <tableColumn id="7068" xr3:uid="{34AC9BA5-6C57-43C2-A326-C85B8433A8DF}" name="Colonne7060"/>
    <tableColumn id="7069" xr3:uid="{B666EBAE-E098-4527-8CCB-9865FEC5C802}" name="Colonne7061"/>
    <tableColumn id="7070" xr3:uid="{0258F240-8B4F-4DDE-A89A-25571F54D4CD}" name="Colonne7062"/>
    <tableColumn id="7071" xr3:uid="{1A246699-1EC3-4723-9743-A20AF97E6117}" name="Colonne7063"/>
    <tableColumn id="7072" xr3:uid="{E3377A95-B4C5-403B-AE5D-9820C6BA1325}" name="Colonne7064"/>
    <tableColumn id="7073" xr3:uid="{EE4B527B-561B-4468-9FCB-26EE74718AF4}" name="Colonne7065"/>
    <tableColumn id="7074" xr3:uid="{770F2DA1-F6CB-43DB-96B0-7E6518226259}" name="Colonne7066"/>
    <tableColumn id="7075" xr3:uid="{391AD883-BEB1-4310-AD37-42A82C37EF0C}" name="Colonne7067"/>
    <tableColumn id="7076" xr3:uid="{3EA2F275-2DCD-45A6-9EE6-F56C71E1BCA8}" name="Colonne7068"/>
    <tableColumn id="7077" xr3:uid="{79977CA0-B4D7-4245-B506-32CCC1E35B6C}" name="Colonne7069"/>
    <tableColumn id="7078" xr3:uid="{64A295C6-F284-4B4A-9993-0CD159EB8195}" name="Colonne7070"/>
    <tableColumn id="7079" xr3:uid="{449467B4-A71F-4CC5-BC4F-32374FC4FB35}" name="Colonne7071"/>
    <tableColumn id="7080" xr3:uid="{C38AD68C-E81F-4D08-B2C5-87E36DE3BA11}" name="Colonne7072"/>
    <tableColumn id="7081" xr3:uid="{06259B05-752E-454C-988E-41353C448259}" name="Colonne7073"/>
    <tableColumn id="7082" xr3:uid="{7E3001AD-9A38-4125-BA68-95C0AA531A61}" name="Colonne7074"/>
    <tableColumn id="7083" xr3:uid="{798CBFC1-57D3-423A-A47D-7FB3DE539FDB}" name="Colonne7075"/>
    <tableColumn id="7084" xr3:uid="{AD514993-3160-4D0A-9993-E22B908FE27A}" name="Colonne7076"/>
    <tableColumn id="7085" xr3:uid="{376D808E-260F-4DDD-862D-285679B8F464}" name="Colonne7077"/>
    <tableColumn id="7086" xr3:uid="{F290C0C6-1EA3-4C19-A6D8-8D7AA6A9E90D}" name="Colonne7078"/>
    <tableColumn id="7087" xr3:uid="{6F3D379A-80C6-4BB4-B39F-2178B151462E}" name="Colonne7079"/>
    <tableColumn id="7088" xr3:uid="{397788DD-8AEA-4F35-9CBF-1FF972047004}" name="Colonne7080"/>
    <tableColumn id="7089" xr3:uid="{E3713679-FA82-4767-B145-8010A3A63194}" name="Colonne7081"/>
    <tableColumn id="7090" xr3:uid="{49208790-459F-4C0D-906B-B29BFA8E2A41}" name="Colonne7082"/>
    <tableColumn id="7091" xr3:uid="{D30F9153-5778-4665-B6AC-2A5BD95E274D}" name="Colonne7083"/>
    <tableColumn id="7092" xr3:uid="{C2C31E9D-8828-4C34-AC96-06C1E1DB9D67}" name="Colonne7084"/>
    <tableColumn id="7093" xr3:uid="{DC2EC299-BF9B-4779-BA89-4D2853DFF46C}" name="Colonne7085"/>
    <tableColumn id="7094" xr3:uid="{178F99F1-9AFC-4C26-A545-749AA4FB17A7}" name="Colonne7086"/>
    <tableColumn id="7095" xr3:uid="{831E74E1-0B0F-4759-85FA-695B04FF2BBF}" name="Colonne7087"/>
    <tableColumn id="7096" xr3:uid="{C217D9A3-7C21-45B3-A708-96390F47F43D}" name="Colonne7088"/>
    <tableColumn id="7097" xr3:uid="{C862AFFB-C205-491A-AE23-A3AB9C46F76A}" name="Colonne7089"/>
    <tableColumn id="7098" xr3:uid="{38BB446A-4A11-424D-A3F3-B5B105E231D3}" name="Colonne7090"/>
    <tableColumn id="7099" xr3:uid="{C0F70CAC-3DBE-406F-8A5F-D3AEAD62E200}" name="Colonne7091"/>
    <tableColumn id="7100" xr3:uid="{DF93B3A8-53B9-48FE-9AE6-E9960893FB24}" name="Colonne7092"/>
    <tableColumn id="7101" xr3:uid="{AFC89124-5DC4-4A08-8C24-B15AA5B76672}" name="Colonne7093"/>
    <tableColumn id="7102" xr3:uid="{8D19312B-0E5D-468E-A927-0D6EC76045D0}" name="Colonne7094"/>
    <tableColumn id="7103" xr3:uid="{76F23676-60C3-4181-A9BE-E0ECABE7D828}" name="Colonne7095"/>
    <tableColumn id="7104" xr3:uid="{652D253C-9FD3-41D2-AD54-3099609B39A8}" name="Colonne7096"/>
    <tableColumn id="7105" xr3:uid="{7CE4FC75-2FE2-4871-AB01-1F03090E7AC4}" name="Colonne7097"/>
    <tableColumn id="7106" xr3:uid="{D727235A-5BF4-44A9-9B52-34EA5A044697}" name="Colonne7098"/>
    <tableColumn id="7107" xr3:uid="{8403F743-88C5-494F-8FCC-9B83AFD6101C}" name="Colonne7099"/>
    <tableColumn id="7108" xr3:uid="{ABDB3D19-590D-43AF-8196-B178A59B9DF5}" name="Colonne7100"/>
    <tableColumn id="7109" xr3:uid="{AF13554B-B788-4837-922B-3AFEC06902A8}" name="Colonne7101"/>
    <tableColumn id="7110" xr3:uid="{191D593D-9933-4488-8C19-AD6D3A469B7A}" name="Colonne7102"/>
    <tableColumn id="7111" xr3:uid="{017B2C58-2B09-417F-91A5-1DC6F2860A02}" name="Colonne7103"/>
    <tableColumn id="7112" xr3:uid="{D0784775-83CE-46A6-A737-AAD7DB4AA2DD}" name="Colonne7104"/>
    <tableColumn id="7113" xr3:uid="{C29C05C7-B318-4F4B-A894-8F7ED5FE891E}" name="Colonne7105"/>
    <tableColumn id="7114" xr3:uid="{C47687A3-7634-4B7D-9362-12D04C987394}" name="Colonne7106"/>
    <tableColumn id="7115" xr3:uid="{B6EC5522-2BA3-4DF0-BF52-C5F8153428C2}" name="Colonne7107"/>
    <tableColumn id="7116" xr3:uid="{7233D0E1-6473-41B8-8AB5-0E80F93D44F2}" name="Colonne7108"/>
    <tableColumn id="7117" xr3:uid="{0F537CB4-0E93-48C4-8470-532BA67883C9}" name="Colonne7109"/>
    <tableColumn id="7118" xr3:uid="{A40283C9-6493-490E-8E3C-DA343650D211}" name="Colonne7110"/>
    <tableColumn id="7119" xr3:uid="{EE077582-48EE-4849-99A1-84F2B8884703}" name="Colonne7111"/>
    <tableColumn id="7120" xr3:uid="{EFE1ECA3-AAC2-4BB3-B282-B91EE799B030}" name="Colonne7112"/>
    <tableColumn id="7121" xr3:uid="{DAD48557-B96C-4CC1-A50F-E0C5B77A6E8C}" name="Colonne7113"/>
    <tableColumn id="7122" xr3:uid="{AFDBDF72-B51B-4FE7-B4BE-15FEA217EBB7}" name="Colonne7114"/>
    <tableColumn id="7123" xr3:uid="{C2675FF1-EAD0-489D-B5A3-7A4073C71559}" name="Colonne7115"/>
    <tableColumn id="7124" xr3:uid="{6C1BB682-91A5-456C-8F1A-47E60A684B2E}" name="Colonne7116"/>
    <tableColumn id="7125" xr3:uid="{0753EC1A-CABF-46F1-9677-4DAC7CBA871D}" name="Colonne7117"/>
    <tableColumn id="7126" xr3:uid="{E4A5D590-070D-443E-A04C-09338A4F08A5}" name="Colonne7118"/>
    <tableColumn id="7127" xr3:uid="{7123093D-7F77-4632-951B-FFF8AF628763}" name="Colonne7119"/>
    <tableColumn id="7128" xr3:uid="{F7893388-A14A-40AB-A5AD-AB524AF0A5D3}" name="Colonne7120"/>
    <tableColumn id="7129" xr3:uid="{94B1AE1A-E632-4441-8501-BF9D721E9FF6}" name="Colonne7121"/>
    <tableColumn id="7130" xr3:uid="{B3AEFEA4-F9BC-40FE-874F-B8731F1EB3DF}" name="Colonne7122"/>
    <tableColumn id="7131" xr3:uid="{169DEE09-FE1B-41FF-8E59-FD8A77242C27}" name="Colonne7123"/>
    <tableColumn id="7132" xr3:uid="{6FD661D5-56B4-44D6-AD6B-5F577001D9EE}" name="Colonne7124"/>
    <tableColumn id="7133" xr3:uid="{08C86CE2-81A5-43E6-B66C-A357E4626B40}" name="Colonne7125"/>
    <tableColumn id="7134" xr3:uid="{F00FECEF-3E39-4EC6-83EF-3580B5FB644F}" name="Colonne7126"/>
    <tableColumn id="7135" xr3:uid="{5478712B-54B1-459D-8973-90BE045A456F}" name="Colonne7127"/>
    <tableColumn id="7136" xr3:uid="{6AC0D653-0401-4DE1-84A3-5823D584EC25}" name="Colonne7128"/>
    <tableColumn id="7137" xr3:uid="{C1A99C9A-F6D4-4E4C-A548-6FA984533B46}" name="Colonne7129"/>
    <tableColumn id="7138" xr3:uid="{AD2550D5-FC8E-4563-92CA-45ABAE3FAD3B}" name="Colonne7130"/>
    <tableColumn id="7139" xr3:uid="{A9FF8B01-4BE7-4926-ADA5-E475E97C90C8}" name="Colonne7131"/>
    <tableColumn id="7140" xr3:uid="{48D1415D-9AFD-49B8-B72F-8DBF020573A3}" name="Colonne7132"/>
    <tableColumn id="7141" xr3:uid="{F75732CB-28D5-4C09-9B0F-AB6F9592AEDE}" name="Colonne7133"/>
    <tableColumn id="7142" xr3:uid="{E56E7FDD-E54E-49E9-A820-31207F980F18}" name="Colonne7134"/>
    <tableColumn id="7143" xr3:uid="{5E852D25-5DD1-4994-A3D2-F66A3C76ED2C}" name="Colonne7135"/>
    <tableColumn id="7144" xr3:uid="{21849C6A-50ED-4773-9BC3-8219CBCA0445}" name="Colonne7136"/>
    <tableColumn id="7145" xr3:uid="{F3E5D003-74CF-47E4-AF08-AABA15BE2D19}" name="Colonne7137"/>
    <tableColumn id="7146" xr3:uid="{CE301FEC-8A9A-4A38-AEF0-0CA3BFE204C6}" name="Colonne7138"/>
    <tableColumn id="7147" xr3:uid="{4BBE08B7-4EF1-42CB-944A-A5B2259A52D5}" name="Colonne7139"/>
    <tableColumn id="7148" xr3:uid="{F083B1F9-1EEF-41F4-A6E5-DE7E046BCB8E}" name="Colonne7140"/>
    <tableColumn id="7149" xr3:uid="{0CF12849-06D0-4939-AA67-8B0136781D44}" name="Colonne7141"/>
    <tableColumn id="7150" xr3:uid="{10CF0D2B-D658-461F-9A30-FAAC5487339C}" name="Colonne7142"/>
    <tableColumn id="7151" xr3:uid="{15F25652-2185-4934-9081-4BE0154CEDD0}" name="Colonne7143"/>
    <tableColumn id="7152" xr3:uid="{AFC8BA4D-5808-4F07-A832-C1692788D23B}" name="Colonne7144"/>
    <tableColumn id="7153" xr3:uid="{2375E247-15E6-46B6-8C5F-2D9D4EA6BCA6}" name="Colonne7145"/>
    <tableColumn id="7154" xr3:uid="{B00EC85A-7871-4258-92D7-EA59A9B45658}" name="Colonne7146"/>
    <tableColumn id="7155" xr3:uid="{B82A3440-300D-4A00-A174-B1F7FDD7C44A}" name="Colonne7147"/>
    <tableColumn id="7156" xr3:uid="{062E625C-F03C-4041-92B1-93EE63692CAE}" name="Colonne7148"/>
    <tableColumn id="7157" xr3:uid="{5438C72C-93F6-43B5-94D7-221198894FE3}" name="Colonne7149"/>
    <tableColumn id="7158" xr3:uid="{ACABC897-8646-4BDD-A935-464D8DA14FF9}" name="Colonne7150"/>
    <tableColumn id="7159" xr3:uid="{679B9B15-3CBB-43AD-8A79-0D08B63FFCA7}" name="Colonne7151"/>
    <tableColumn id="7160" xr3:uid="{221161C4-B690-4733-B9B6-1A9807FD07CE}" name="Colonne7152"/>
    <tableColumn id="7161" xr3:uid="{935E6746-D3C3-422C-8A9C-606B96C24D50}" name="Colonne7153"/>
    <tableColumn id="7162" xr3:uid="{B87A80A5-28EB-4FB7-8A05-2517084FF81E}" name="Colonne7154"/>
    <tableColumn id="7163" xr3:uid="{DD21C643-A8A9-482F-B396-CAFBC413307F}" name="Colonne7155"/>
    <tableColumn id="7164" xr3:uid="{62B3B07C-B108-4CD0-AC37-B094DBFFFF26}" name="Colonne7156"/>
    <tableColumn id="7165" xr3:uid="{EB3D7832-45E0-49F4-8804-C84E971A9D09}" name="Colonne7157"/>
    <tableColumn id="7166" xr3:uid="{4A3BF2A8-6E61-4970-B340-0731E9DE5764}" name="Colonne7158"/>
    <tableColumn id="7167" xr3:uid="{1C201893-4A08-4488-A75A-49605F30E5C7}" name="Colonne7159"/>
    <tableColumn id="7168" xr3:uid="{4FA6AD55-DBF6-4BC1-B5A4-3D689DDA5ED6}" name="Colonne7160"/>
    <tableColumn id="7169" xr3:uid="{6D2FFC8A-D0F4-4306-A58C-17E23163A9C1}" name="Colonne7161"/>
    <tableColumn id="7170" xr3:uid="{6F113770-7118-4859-BCD7-F0DF13FC00B5}" name="Colonne7162"/>
    <tableColumn id="7171" xr3:uid="{3658B6B1-0444-4711-B7D7-79DCE75F42AF}" name="Colonne7163"/>
    <tableColumn id="7172" xr3:uid="{92C16264-633B-45FD-AA05-E34E7112DD7D}" name="Colonne7164"/>
    <tableColumn id="7173" xr3:uid="{655EDB24-1369-4EE7-A32A-DCA735A9DF1F}" name="Colonne7165"/>
    <tableColumn id="7174" xr3:uid="{B12017D4-24BE-496E-8E08-20A65EA2B16A}" name="Colonne7166"/>
    <tableColumn id="7175" xr3:uid="{8A28AE52-0B23-4B4E-A55E-007DF18ABCAD}" name="Colonne7167"/>
    <tableColumn id="7176" xr3:uid="{B20E3871-B355-4413-B345-9E90218543B4}" name="Colonne7168"/>
    <tableColumn id="7177" xr3:uid="{819BFD58-9412-44BA-B9E4-C0596950C24F}" name="Colonne7169"/>
    <tableColumn id="7178" xr3:uid="{B237D7FF-E3F4-454D-97D3-E030FD2EA4C3}" name="Colonne7170"/>
    <tableColumn id="7179" xr3:uid="{9D113924-EBB9-4A21-AD42-D07BA227AA5D}" name="Colonne7171"/>
    <tableColumn id="7180" xr3:uid="{ECB6AC83-0C97-407A-864E-BFE4BB2432D4}" name="Colonne7172"/>
    <tableColumn id="7181" xr3:uid="{6EE6E371-1219-46AD-8C89-881C551B9C1B}" name="Colonne7173"/>
    <tableColumn id="7182" xr3:uid="{D1AEB297-AD1D-4F02-978D-996F5459BA8F}" name="Colonne7174"/>
    <tableColumn id="7183" xr3:uid="{E3574E85-C294-4E10-9FA5-CF6E4AFD9652}" name="Colonne7175"/>
    <tableColumn id="7184" xr3:uid="{7D131EBB-B401-4458-ACFA-5F5AD567E624}" name="Colonne7176"/>
    <tableColumn id="7185" xr3:uid="{D71058F3-B36D-4EF4-9880-C7B3241F404D}" name="Colonne7177"/>
    <tableColumn id="7186" xr3:uid="{46D2DF5D-F0FC-405C-8035-9ED00C821D21}" name="Colonne7178"/>
    <tableColumn id="7187" xr3:uid="{8AA48AD4-2B7B-48D8-96A2-EA08AFA2956B}" name="Colonne7179"/>
    <tableColumn id="7188" xr3:uid="{AAB61B21-AF3B-4A4F-9B4C-A86C693BDB34}" name="Colonne7180"/>
    <tableColumn id="7189" xr3:uid="{8400E1D4-FC23-4699-9A34-694FE8BAEF19}" name="Colonne7181"/>
    <tableColumn id="7190" xr3:uid="{85714670-DC95-471F-B2C1-6A9430FF4B66}" name="Colonne7182"/>
    <tableColumn id="7191" xr3:uid="{B43CC12C-0444-4BEF-A5AE-016EA0115CE8}" name="Colonne7183"/>
    <tableColumn id="7192" xr3:uid="{970BE73D-81F9-465C-B4C9-787E8CFF5573}" name="Colonne7184"/>
    <tableColumn id="7193" xr3:uid="{B73656C6-4773-4F9D-82CB-F2B0225AAB36}" name="Colonne7185"/>
    <tableColumn id="7194" xr3:uid="{DA3B6B42-2A04-4C0C-B145-6A7DBCBBB043}" name="Colonne7186"/>
    <tableColumn id="7195" xr3:uid="{7AE7AA79-B7BF-4AB8-8644-C259B55A227D}" name="Colonne7187"/>
    <tableColumn id="7196" xr3:uid="{36C374F7-D2A0-4FA7-9DBA-8DA9D23A679B}" name="Colonne7188"/>
    <tableColumn id="7197" xr3:uid="{1BF2A2FE-7D18-40A8-BE90-0B47AE82C31D}" name="Colonne7189"/>
    <tableColumn id="7198" xr3:uid="{C68BA9D9-22F6-4838-B6B0-FA8724562859}" name="Colonne7190"/>
    <tableColumn id="7199" xr3:uid="{CAD0586F-14ED-4DBC-9621-EE48BA6D60C4}" name="Colonne7191"/>
    <tableColumn id="7200" xr3:uid="{3C62317E-5C7E-4DB3-8A53-F49128D13E0C}" name="Colonne7192"/>
    <tableColumn id="7201" xr3:uid="{7946C0A4-6569-4D2C-86B5-AD688E99FE11}" name="Colonne7193"/>
    <tableColumn id="7202" xr3:uid="{76D9A3EA-AF59-4250-BA48-CAA7A7DD3320}" name="Colonne7194"/>
    <tableColumn id="7203" xr3:uid="{3A62DD8A-9F06-4FAA-92E8-099302DEC582}" name="Colonne7195"/>
    <tableColumn id="7204" xr3:uid="{33A1A18E-2837-4CFC-80CF-C0C065867156}" name="Colonne7196"/>
    <tableColumn id="7205" xr3:uid="{BDAFEDF2-4C54-4F34-8EB1-9DEB6F547692}" name="Colonne7197"/>
    <tableColumn id="7206" xr3:uid="{25C6767E-241F-450E-B774-1B2FEE68EA8A}" name="Colonne7198"/>
    <tableColumn id="7207" xr3:uid="{9F1BE516-828B-4078-8A56-B971CAC217BC}" name="Colonne7199"/>
    <tableColumn id="7208" xr3:uid="{73A1DE71-2919-4F6A-8058-FB429C80C37D}" name="Colonne7200"/>
    <tableColumn id="7209" xr3:uid="{314DDBA2-7EE9-49A8-B690-F2C48B915072}" name="Colonne7201"/>
    <tableColumn id="7210" xr3:uid="{D1F2E0E4-4FB4-4C53-90DC-AB52275AE828}" name="Colonne7202"/>
    <tableColumn id="7211" xr3:uid="{C5B76A79-781D-4C88-9F8A-DE3562B60198}" name="Colonne7203"/>
    <tableColumn id="7212" xr3:uid="{5EF28786-AEF6-48F3-A76F-DC375CD6FBF4}" name="Colonne7204"/>
    <tableColumn id="7213" xr3:uid="{5FF4FE2D-D03C-4B3B-A356-495FE488E17F}" name="Colonne7205"/>
    <tableColumn id="7214" xr3:uid="{F38D6963-37E2-4849-A492-1F6ED4B08FC2}" name="Colonne7206"/>
    <tableColumn id="7215" xr3:uid="{7E7D2B11-073E-48DD-8022-D910B8A70E0C}" name="Colonne7207"/>
    <tableColumn id="7216" xr3:uid="{B2355D8F-54C2-4646-8732-45DBD8849A04}" name="Colonne7208"/>
    <tableColumn id="7217" xr3:uid="{3ACC14F2-B44D-458B-AB0D-BA31695B09D6}" name="Colonne7209"/>
    <tableColumn id="7218" xr3:uid="{D4957D85-D797-43B5-B534-F9E9076545D4}" name="Colonne7210"/>
    <tableColumn id="7219" xr3:uid="{D63AE44E-CC65-4940-BED4-F8747F9ECF11}" name="Colonne7211"/>
    <tableColumn id="7220" xr3:uid="{74934D1D-59A2-4337-90CE-E312189CA35C}" name="Colonne7212"/>
    <tableColumn id="7221" xr3:uid="{81A54D41-0AA3-4BF8-95DA-6E0DE54E308B}" name="Colonne7213"/>
    <tableColumn id="7222" xr3:uid="{8EC8EDE5-72E0-43C1-B5FB-9916F0F2D375}" name="Colonne7214"/>
    <tableColumn id="7223" xr3:uid="{81DC6715-9CDA-4F77-ABE7-0D0F8360476A}" name="Colonne7215"/>
    <tableColumn id="7224" xr3:uid="{DA848016-344B-4F25-A400-2EC57ECE11A6}" name="Colonne7216"/>
    <tableColumn id="7225" xr3:uid="{98BFFF59-D3FF-4A6D-84DD-B7FC9FFE4316}" name="Colonne7217"/>
    <tableColumn id="7226" xr3:uid="{0369D5D6-D39D-4025-95A4-BF3EA9E7A82D}" name="Colonne7218"/>
    <tableColumn id="7227" xr3:uid="{39DCBF43-B8E9-428E-ACE9-958D564C0571}" name="Colonne7219"/>
    <tableColumn id="7228" xr3:uid="{78C5D413-5AB6-43DA-8DA0-9EB1B5A2DF47}" name="Colonne7220"/>
    <tableColumn id="7229" xr3:uid="{1F326FB9-A950-425C-AF8B-B45761BB9DA8}" name="Colonne7221"/>
    <tableColumn id="7230" xr3:uid="{0C32F0AB-9EB7-41B5-86DF-8DF6FFF74128}" name="Colonne7222"/>
    <tableColumn id="7231" xr3:uid="{ADAAB6BA-ADA5-44C7-8D6B-43ED52F58EDC}" name="Colonne7223"/>
    <tableColumn id="7232" xr3:uid="{108C1F60-778E-45E2-B142-5E6B02890A8A}" name="Colonne7224"/>
    <tableColumn id="7233" xr3:uid="{6DC6527B-F53F-4AEC-B983-FD2F5E4B5BDD}" name="Colonne7225"/>
    <tableColumn id="7234" xr3:uid="{83752662-4A06-48EE-B10B-4BE9F72281E5}" name="Colonne7226"/>
    <tableColumn id="7235" xr3:uid="{515F6BBE-D472-4B7F-A1D8-05F30333B7F0}" name="Colonne7227"/>
    <tableColumn id="7236" xr3:uid="{41C871AE-FA47-44D2-8363-12A71B86B8F8}" name="Colonne7228"/>
    <tableColumn id="7237" xr3:uid="{5481F809-5D24-494E-9775-08718A26A0E2}" name="Colonne7229"/>
    <tableColumn id="7238" xr3:uid="{5DD653F7-97B7-4665-B7D2-28EDD766C212}" name="Colonne7230"/>
    <tableColumn id="7239" xr3:uid="{DC87C3C8-C9E1-4485-8DBE-6784485A62BD}" name="Colonne7231"/>
    <tableColumn id="7240" xr3:uid="{507AF2F0-8BAB-440C-8942-BF1F2D6B5E8A}" name="Colonne7232"/>
    <tableColumn id="7241" xr3:uid="{0A110E80-D7DB-47CA-B32F-AA10EA6130E9}" name="Colonne7233"/>
    <tableColumn id="7242" xr3:uid="{4DEC4E7D-EC0E-424D-BE2E-685873258013}" name="Colonne7234"/>
    <tableColumn id="7243" xr3:uid="{C1E93F11-8763-45BB-8335-9D15C7988011}" name="Colonne7235"/>
    <tableColumn id="7244" xr3:uid="{01E2BD8B-9A00-49DE-8B09-DD84A713C82E}" name="Colonne7236"/>
    <tableColumn id="7245" xr3:uid="{2E42F1FB-884D-40EC-A06D-7EDEF80AA7E0}" name="Colonne7237"/>
    <tableColumn id="7246" xr3:uid="{B1F058CD-0EC9-42CD-A4F1-FF826020D1C5}" name="Colonne7238"/>
    <tableColumn id="7247" xr3:uid="{3AB5580C-64A0-45E3-ACD1-9E99355BE778}" name="Colonne7239"/>
    <tableColumn id="7248" xr3:uid="{DD789A18-1380-4D8B-9E38-A8C19330C032}" name="Colonne7240"/>
    <tableColumn id="7249" xr3:uid="{A5343223-B351-4BB7-9F59-26A7DBBD849A}" name="Colonne7241"/>
    <tableColumn id="7250" xr3:uid="{7A6AC023-0006-46F8-95F7-466561CD9951}" name="Colonne7242"/>
    <tableColumn id="7251" xr3:uid="{4DB076BF-E899-4384-95B3-BEED0B063D68}" name="Colonne7243"/>
    <tableColumn id="7252" xr3:uid="{A66831A7-1884-404E-81C8-D3CDF23DF3CD}" name="Colonne7244"/>
    <tableColumn id="7253" xr3:uid="{CE2E51AE-7C9B-4512-928A-55C0E0CD39D7}" name="Colonne7245"/>
    <tableColumn id="7254" xr3:uid="{83C23A86-303A-4AA7-B3EC-7A9F6C753471}" name="Colonne7246"/>
    <tableColumn id="7255" xr3:uid="{3CE8F31B-16B5-40B9-B1ED-0E2ED4827483}" name="Colonne7247"/>
    <tableColumn id="7256" xr3:uid="{B87E5334-F4DE-4AEC-AFBD-3778424FA4DF}" name="Colonne7248"/>
    <tableColumn id="7257" xr3:uid="{C9C3B4DD-D970-4152-8A4D-D9923612E843}" name="Colonne7249"/>
    <tableColumn id="7258" xr3:uid="{3D3F7750-F4C7-4095-BC80-8E303B968778}" name="Colonne7250"/>
    <tableColumn id="7259" xr3:uid="{5381CE84-0AEC-4F7C-BB20-5EB2A21A7330}" name="Colonne7251"/>
    <tableColumn id="7260" xr3:uid="{43F91305-BB26-49EB-8791-C0DFEAF341DB}" name="Colonne7252"/>
    <tableColumn id="7261" xr3:uid="{A6BE98F2-E8E7-42A3-AEF4-7FAB9E1010C0}" name="Colonne7253"/>
    <tableColumn id="7262" xr3:uid="{7FD4778D-66D4-4A94-92C2-8B384F123DDD}" name="Colonne7254"/>
    <tableColumn id="7263" xr3:uid="{31C6461E-C3B3-4ACE-8E2F-1D3F52E68C79}" name="Colonne7255"/>
    <tableColumn id="7264" xr3:uid="{CB790D56-A6D2-4B70-9BC6-8A464EEA869C}" name="Colonne7256"/>
    <tableColumn id="7265" xr3:uid="{FD1CF88C-830A-4C99-8C0D-3DA36EDEB912}" name="Colonne7257"/>
    <tableColumn id="7266" xr3:uid="{D81B7394-0492-4F31-B222-95F835D358E7}" name="Colonne7258"/>
    <tableColumn id="7267" xr3:uid="{E4793526-293E-4D8E-98EA-81B77B09C331}" name="Colonne7259"/>
    <tableColumn id="7268" xr3:uid="{F32B98A6-2B6C-4C82-8B17-9D72C6C6078D}" name="Colonne7260"/>
    <tableColumn id="7269" xr3:uid="{ED378674-B8EC-44E9-B427-568D6B4FEC65}" name="Colonne7261"/>
    <tableColumn id="7270" xr3:uid="{B587BC9B-2CD1-457A-A233-240DF37277A5}" name="Colonne7262"/>
    <tableColumn id="7271" xr3:uid="{B1B051C6-AB18-4A0C-8A73-5074E8739C98}" name="Colonne7263"/>
    <tableColumn id="7272" xr3:uid="{C6EE0C5D-6DA3-4C05-BC81-940F231425F1}" name="Colonne7264"/>
    <tableColumn id="7273" xr3:uid="{EF8275CB-6F8B-4814-A925-C464966B4FAF}" name="Colonne7265"/>
    <tableColumn id="7274" xr3:uid="{23291544-17E7-4C85-84D4-411F90AEE632}" name="Colonne7266"/>
    <tableColumn id="7275" xr3:uid="{447740B4-3887-40CE-8E46-CE7C09519477}" name="Colonne7267"/>
    <tableColumn id="7276" xr3:uid="{C080215E-C788-4CD4-960E-AEAE1606BEE3}" name="Colonne7268"/>
    <tableColumn id="7277" xr3:uid="{0D69EF5C-195D-4811-877C-6E9F7A561C89}" name="Colonne7269"/>
    <tableColumn id="7278" xr3:uid="{121CB7FC-76EC-45F2-936E-E813ACDF4A5B}" name="Colonne7270"/>
    <tableColumn id="7279" xr3:uid="{FB5136B1-6F09-4F19-B4DB-7DD01FA4AD12}" name="Colonne7271"/>
    <tableColumn id="7280" xr3:uid="{B94A5206-D3C0-4814-A708-7CA295B20972}" name="Colonne7272"/>
    <tableColumn id="7281" xr3:uid="{060699B4-0CD6-4630-AC54-14D323FE70F4}" name="Colonne7273"/>
    <tableColumn id="7282" xr3:uid="{A6394909-A02C-479E-915D-1577C50161C5}" name="Colonne7274"/>
    <tableColumn id="7283" xr3:uid="{917CC07D-CA49-462D-9D02-7EA08A929343}" name="Colonne7275"/>
    <tableColumn id="7284" xr3:uid="{9B46B676-3FCA-40A4-B53C-1E2133FC94ED}" name="Colonne7276"/>
    <tableColumn id="7285" xr3:uid="{6DC7DF41-2D1E-4842-BB1B-31348018B699}" name="Colonne7277"/>
    <tableColumn id="7286" xr3:uid="{7D918C5F-94A7-40F2-B700-0E391FF1595F}" name="Colonne7278"/>
    <tableColumn id="7287" xr3:uid="{CF360C74-7FF3-4179-99FB-290A1FB06B80}" name="Colonne7279"/>
    <tableColumn id="7288" xr3:uid="{DC5A3693-B963-486D-99E6-0F4F28C6AE08}" name="Colonne7280"/>
    <tableColumn id="7289" xr3:uid="{C9A23494-4A33-4353-BEF5-1EFBB16EC982}" name="Colonne7281"/>
    <tableColumn id="7290" xr3:uid="{FE81E0F0-7B7A-4E7F-A79B-A8C5DB1E85FB}" name="Colonne7282"/>
    <tableColumn id="7291" xr3:uid="{4BD604C3-1CCF-4E65-8165-7493F78F2737}" name="Colonne7283"/>
    <tableColumn id="7292" xr3:uid="{58483DF5-9871-425F-B035-EF141B05F567}" name="Colonne7284"/>
    <tableColumn id="7293" xr3:uid="{BCB8DA01-5012-4677-8AFE-A2F1EDEB90B1}" name="Colonne7285"/>
    <tableColumn id="7294" xr3:uid="{48CE3015-3539-47CE-A09B-0812B22C38B6}" name="Colonne7286"/>
    <tableColumn id="7295" xr3:uid="{46FB99FC-8A3D-4D01-9DE6-73939961E0C9}" name="Colonne7287"/>
    <tableColumn id="7296" xr3:uid="{EF2D56B8-51AA-4280-81B7-317984DABA7E}" name="Colonne7288"/>
    <tableColumn id="7297" xr3:uid="{5B63D44B-2C37-44A9-A3D1-E0D6B6CC1A6F}" name="Colonne7289"/>
    <tableColumn id="7298" xr3:uid="{F9922432-D49D-4CC2-AC05-22BED08B671A}" name="Colonne7290"/>
    <tableColumn id="7299" xr3:uid="{CA1A335C-E11B-41A0-95C4-279D5FCC8A99}" name="Colonne7291"/>
    <tableColumn id="7300" xr3:uid="{9BD5BB1D-95D5-476A-B7BE-F6E499D57C89}" name="Colonne7292"/>
    <tableColumn id="7301" xr3:uid="{8E2118A0-8400-401B-9B31-BD055028F8FD}" name="Colonne7293"/>
    <tableColumn id="7302" xr3:uid="{C41AE1F2-C2AD-49FC-A060-CD971BB80566}" name="Colonne7294"/>
    <tableColumn id="7303" xr3:uid="{E5A12D7C-580A-4352-893D-19F7DB9B806C}" name="Colonne7295"/>
    <tableColumn id="7304" xr3:uid="{96436080-2DAE-4DAA-AB0B-DC610E2D903A}" name="Colonne7296"/>
    <tableColumn id="7305" xr3:uid="{304BFD4F-3901-4B66-AF33-4C122A749B6F}" name="Colonne7297"/>
    <tableColumn id="7306" xr3:uid="{837038F8-D85F-431B-8D0A-23D354C74800}" name="Colonne7298"/>
    <tableColumn id="7307" xr3:uid="{3885AB32-F015-4D2B-99EE-1CC56275C1F4}" name="Colonne7299"/>
    <tableColumn id="7308" xr3:uid="{A69C31A7-9AFB-4108-B427-E84B24D96D44}" name="Colonne7300"/>
    <tableColumn id="7309" xr3:uid="{67295623-4E22-4F58-A517-48DC186BC0D7}" name="Colonne7301"/>
    <tableColumn id="7310" xr3:uid="{1840A61B-D80D-4C8E-A09B-447950A68719}" name="Colonne7302"/>
    <tableColumn id="7311" xr3:uid="{8F07F9FD-42B1-441B-8579-31A045CB036C}" name="Colonne7303"/>
    <tableColumn id="7312" xr3:uid="{17FCA446-3AB5-4AD4-B4F3-0CB9FB7BCE55}" name="Colonne7304"/>
    <tableColumn id="7313" xr3:uid="{7A64B32D-54E5-47E9-B305-DC2A86C9D85F}" name="Colonne7305"/>
    <tableColumn id="7314" xr3:uid="{116AAA4F-598E-461F-9719-45285352B76C}" name="Colonne7306"/>
    <tableColumn id="7315" xr3:uid="{854BD6F8-F88C-4B2D-A232-F41A739F0DA2}" name="Colonne7307"/>
    <tableColumn id="7316" xr3:uid="{28F4E880-FAC0-4327-8E86-232EE2ACD33E}" name="Colonne7308"/>
    <tableColumn id="7317" xr3:uid="{3A48913D-9142-4C7C-9CD0-D8FC1A9F2CBB}" name="Colonne7309"/>
    <tableColumn id="7318" xr3:uid="{ED8E582F-7024-4AF1-808E-8F5BD1323A3E}" name="Colonne7310"/>
    <tableColumn id="7319" xr3:uid="{8164F6EB-8200-4B6D-A7E6-36E87187FAD6}" name="Colonne7311"/>
    <tableColumn id="7320" xr3:uid="{3A9B9789-9F0E-4058-98D1-F96983911037}" name="Colonne7312"/>
    <tableColumn id="7321" xr3:uid="{CE503EE9-2D9B-4A90-9A75-568A346A02A5}" name="Colonne7313"/>
    <tableColumn id="7322" xr3:uid="{3ECA54E1-3F5B-40B0-B8BB-A42BAB9C8E3D}" name="Colonne7314"/>
    <tableColumn id="7323" xr3:uid="{9BEB4169-3EA5-4146-9426-F5BF9CEE7810}" name="Colonne7315"/>
    <tableColumn id="7324" xr3:uid="{F1C2FDE8-8DD0-4B69-8C56-E516C0F59E0E}" name="Colonne7316"/>
    <tableColumn id="7325" xr3:uid="{085F6F34-D27C-4FEF-B63A-766978AC756E}" name="Colonne7317"/>
    <tableColumn id="7326" xr3:uid="{94688FDA-F8CE-4170-ADCA-6A45BA052B63}" name="Colonne7318"/>
    <tableColumn id="7327" xr3:uid="{FC3D422C-2970-4638-B062-7FA0EF280174}" name="Colonne7319"/>
    <tableColumn id="7328" xr3:uid="{931F9090-E4E7-436E-8691-FB108F592E0D}" name="Colonne7320"/>
    <tableColumn id="7329" xr3:uid="{CCED8940-52CC-47B5-A764-3D9122A8172F}" name="Colonne7321"/>
    <tableColumn id="7330" xr3:uid="{D50712B4-373D-42D8-918B-A468FE9C2FAB}" name="Colonne7322"/>
    <tableColumn id="7331" xr3:uid="{0B7FA03B-6535-444F-987A-7C178F4F5FC3}" name="Colonne7323"/>
    <tableColumn id="7332" xr3:uid="{0F25F249-EDD2-4103-A448-40C74CD5F143}" name="Colonne7324"/>
    <tableColumn id="7333" xr3:uid="{CAB0FC6A-E3CA-461D-8CC5-98036814AE37}" name="Colonne7325"/>
    <tableColumn id="7334" xr3:uid="{DC3B2E33-501E-4EE5-A636-91F61FFF3C60}" name="Colonne7326"/>
    <tableColumn id="7335" xr3:uid="{B9E59809-8427-4411-9FA7-EC22CDA98B6A}" name="Colonne7327"/>
    <tableColumn id="7336" xr3:uid="{664A8F46-98ED-403C-AB9F-39BB331298AF}" name="Colonne7328"/>
    <tableColumn id="7337" xr3:uid="{BAF544C7-C52C-49FF-B534-B05B230E3E2A}" name="Colonne7329"/>
    <tableColumn id="7338" xr3:uid="{C43FE6C8-8DCB-467E-B75D-E3592E4E8626}" name="Colonne7330"/>
    <tableColumn id="7339" xr3:uid="{6487B210-44A3-47C1-8919-EE96C6B342A8}" name="Colonne7331"/>
    <tableColumn id="7340" xr3:uid="{3C35F854-6486-4B0F-9BC4-68710E0B7575}" name="Colonne7332"/>
    <tableColumn id="7341" xr3:uid="{D6CAF9BF-A100-4946-A524-543902321B9D}" name="Colonne7333"/>
    <tableColumn id="7342" xr3:uid="{8B2BAC6E-0D3B-474F-AB22-92F1F9711A4E}" name="Colonne7334"/>
    <tableColumn id="7343" xr3:uid="{30563130-66C2-47CA-8625-C7286B5651E1}" name="Colonne7335"/>
    <tableColumn id="7344" xr3:uid="{F68BBA45-3523-472F-9155-0926D6673B81}" name="Colonne7336"/>
    <tableColumn id="7345" xr3:uid="{11CC8FE8-4421-48D4-B29F-4549111A964A}" name="Colonne7337"/>
    <tableColumn id="7346" xr3:uid="{B066C5AB-405B-4D8B-9DF7-1D1656B72A62}" name="Colonne7338"/>
    <tableColumn id="7347" xr3:uid="{F356DB0C-EB8C-4E36-A094-3B5C4812F18B}" name="Colonne7339"/>
    <tableColumn id="7348" xr3:uid="{2ACF0EDA-C338-48A1-8982-4DEF18685E63}" name="Colonne7340"/>
    <tableColumn id="7349" xr3:uid="{5B4C7B0A-6FC0-4D6D-86E0-4D645F5C8168}" name="Colonne7341"/>
    <tableColumn id="7350" xr3:uid="{0BFFC428-434C-4946-9B46-C988D50298C9}" name="Colonne7342"/>
    <tableColumn id="7351" xr3:uid="{E2BA5B30-977C-4018-BBA1-A002BAFF4BC4}" name="Colonne7343"/>
    <tableColumn id="7352" xr3:uid="{610E3B9C-F8B9-43D9-BB30-587DA5ACA380}" name="Colonne7344"/>
    <tableColumn id="7353" xr3:uid="{B7F87410-1E21-49F8-9105-1C06DAB4C0EF}" name="Colonne7345"/>
    <tableColumn id="7354" xr3:uid="{0FD3E7B5-29C5-4150-8803-B0AABB01E937}" name="Colonne7346"/>
    <tableColumn id="7355" xr3:uid="{7516F494-B4CA-4C4E-AAE6-0EBFE09D0AD8}" name="Colonne7347"/>
    <tableColumn id="7356" xr3:uid="{BD59C1C7-CFA5-48EB-A34A-BD1917E4F7B6}" name="Colonne7348"/>
    <tableColumn id="7357" xr3:uid="{9DC826A4-B5D6-4C92-BB89-A3D7AAA30E17}" name="Colonne7349"/>
    <tableColumn id="7358" xr3:uid="{2F9C196E-B716-4494-8613-26EC8A5847C6}" name="Colonne7350"/>
    <tableColumn id="7359" xr3:uid="{33F1052B-54A2-473F-AD02-2C60F835D5DA}" name="Colonne7351"/>
    <tableColumn id="7360" xr3:uid="{6EB3AAF4-F432-46C3-9487-7AA36DADB81B}" name="Colonne7352"/>
    <tableColumn id="7361" xr3:uid="{5CA75B5D-ACD2-42FD-91FB-CE705160E827}" name="Colonne7353"/>
    <tableColumn id="7362" xr3:uid="{598FC4C3-9A4F-48E9-AAD1-DEEB1486A05B}" name="Colonne7354"/>
    <tableColumn id="7363" xr3:uid="{B0677497-8E41-411F-8D4E-8B660F65151C}" name="Colonne7355"/>
    <tableColumn id="7364" xr3:uid="{2E37290A-8D62-4267-B8F3-7A6DBB6C4D3E}" name="Colonne7356"/>
    <tableColumn id="7365" xr3:uid="{E91D147F-3CEA-4D11-8E97-1D7AD26796E6}" name="Colonne7357"/>
    <tableColumn id="7366" xr3:uid="{F32782B4-ABF4-4B22-B23E-08424379175A}" name="Colonne7358"/>
    <tableColumn id="7367" xr3:uid="{B1C8AD9E-E7E2-4F32-9F3F-79D24EABBA9E}" name="Colonne7359"/>
    <tableColumn id="7368" xr3:uid="{9AF13FFB-92EE-480D-AED7-230848F6720A}" name="Colonne7360"/>
    <tableColumn id="7369" xr3:uid="{52769254-A833-4815-A4B2-83EC37F2D535}" name="Colonne7361"/>
    <tableColumn id="7370" xr3:uid="{A421EA04-A6B4-4DD3-A541-655573B40C9D}" name="Colonne7362"/>
    <tableColumn id="7371" xr3:uid="{8AD33F41-BCDD-432B-AACC-F93220AB0C87}" name="Colonne7363"/>
    <tableColumn id="7372" xr3:uid="{F3C64160-EBD0-4299-9F88-13567A02DB43}" name="Colonne7364"/>
    <tableColumn id="7373" xr3:uid="{80CE31D0-C50B-4828-9BA2-DBD1E48E645D}" name="Colonne7365"/>
    <tableColumn id="7374" xr3:uid="{77BFD530-88E9-4467-B78D-562C8AF9CBA5}" name="Colonne7366"/>
    <tableColumn id="7375" xr3:uid="{6D66C1A2-7265-4932-9FB7-CE74B7464860}" name="Colonne7367"/>
    <tableColumn id="7376" xr3:uid="{392399AA-7AC9-43D8-B5B0-CC08C0B84AAA}" name="Colonne7368"/>
    <tableColumn id="7377" xr3:uid="{03E9E809-FB73-4BF2-BFB2-E12630566BB7}" name="Colonne7369"/>
    <tableColumn id="7378" xr3:uid="{0EF6DD5F-DCFF-4E57-87D3-F62CF52A0C66}" name="Colonne7370"/>
    <tableColumn id="7379" xr3:uid="{3E53FAF9-4701-4BE4-9FA8-D3C93D4FA39A}" name="Colonne7371"/>
    <tableColumn id="7380" xr3:uid="{45D303CD-1CEB-4569-B36E-2E174AEAE4B5}" name="Colonne7372"/>
    <tableColumn id="7381" xr3:uid="{0D516B6A-FE2C-4C34-B672-8AA857A20F96}" name="Colonne7373"/>
    <tableColumn id="7382" xr3:uid="{5DFF98C7-F34E-464E-908F-0477E3CF0282}" name="Colonne7374"/>
    <tableColumn id="7383" xr3:uid="{2CCDE5B6-8A5C-4671-9C9F-CBA5E9811285}" name="Colonne7375"/>
    <tableColumn id="7384" xr3:uid="{15A37C76-BBC3-45E5-BEA9-01AD3AEECDDF}" name="Colonne7376"/>
    <tableColumn id="7385" xr3:uid="{172CAC00-4CB2-4D56-875C-91C2CDA91C65}" name="Colonne7377"/>
    <tableColumn id="7386" xr3:uid="{1903C67B-E1DF-4D30-A299-9D4ED88009EA}" name="Colonne7378"/>
    <tableColumn id="7387" xr3:uid="{8E8FCC96-2CFD-4FC3-9507-F8F2713F10A7}" name="Colonne7379"/>
    <tableColumn id="7388" xr3:uid="{E28911ED-AD1F-4211-88E3-49E0BAA07411}" name="Colonne7380"/>
    <tableColumn id="7389" xr3:uid="{5B95365D-47B4-44AE-B66B-E9649E06A236}" name="Colonne7381"/>
    <tableColumn id="7390" xr3:uid="{6B5F3248-B035-40D7-9B0E-B41D70431765}" name="Colonne7382"/>
    <tableColumn id="7391" xr3:uid="{1C77926E-C6AE-4C92-B65B-B2820DEC4866}" name="Colonne7383"/>
    <tableColumn id="7392" xr3:uid="{59A0D08C-32EA-4B84-A266-48CE6F88C223}" name="Colonne7384"/>
    <tableColumn id="7393" xr3:uid="{AD84955D-58FF-40D5-B34B-08EE9506C38B}" name="Colonne7385"/>
    <tableColumn id="7394" xr3:uid="{5AC5CBBB-3DAF-4A65-AC71-910BE6B0EF19}" name="Colonne7386"/>
    <tableColumn id="7395" xr3:uid="{A6E22C20-0FD3-4658-B6E9-56095B0A9422}" name="Colonne7387"/>
    <tableColumn id="7396" xr3:uid="{22BCF23D-28DA-4DCD-9621-7411638C359D}" name="Colonne7388"/>
    <tableColumn id="7397" xr3:uid="{97628040-0E1F-4842-8900-D7702A566DF2}" name="Colonne7389"/>
    <tableColumn id="7398" xr3:uid="{03B656A7-2620-4C5D-A717-297A8CF024DA}" name="Colonne7390"/>
    <tableColumn id="7399" xr3:uid="{BF5201FC-00EC-4347-8D7D-5BDEA0FF0B05}" name="Colonne7391"/>
    <tableColumn id="7400" xr3:uid="{B847EF9F-0A2C-4D3F-879F-68A356ABB762}" name="Colonne7392"/>
    <tableColumn id="7401" xr3:uid="{62E0AD75-EF83-4EC6-8E79-DC1C94A546A9}" name="Colonne7393"/>
    <tableColumn id="7402" xr3:uid="{5393FE56-BFCA-423D-8926-7B25262060F0}" name="Colonne7394"/>
    <tableColumn id="7403" xr3:uid="{AFCB124F-F41D-4562-8CEC-7AC3C50D539F}" name="Colonne7395"/>
    <tableColumn id="7404" xr3:uid="{72C2DC15-8C8D-4C67-8CBE-12608C08D193}" name="Colonne7396"/>
    <tableColumn id="7405" xr3:uid="{7FEF0579-74CE-4906-AB27-09B9548370B1}" name="Colonne7397"/>
    <tableColumn id="7406" xr3:uid="{52BB1494-5A8D-4C69-B093-F4A59379EF5A}" name="Colonne7398"/>
    <tableColumn id="7407" xr3:uid="{53761B87-EE95-473C-BD8A-39D8BF638F51}" name="Colonne7399"/>
    <tableColumn id="7408" xr3:uid="{42C52BAB-4303-41C5-8C55-A996197FD36A}" name="Colonne7400"/>
    <tableColumn id="7409" xr3:uid="{6F65F977-72F3-4E60-B361-5943EC9A1D1E}" name="Colonne7401"/>
    <tableColumn id="7410" xr3:uid="{8864C899-5B8A-47F8-9239-3BD4C658E94B}" name="Colonne7402"/>
    <tableColumn id="7411" xr3:uid="{5A533C88-2013-45BC-A287-75CD70E96A04}" name="Colonne7403"/>
    <tableColumn id="7412" xr3:uid="{DB636882-19D1-4444-B250-3F7693436BE0}" name="Colonne7404"/>
    <tableColumn id="7413" xr3:uid="{6C2288D8-F478-45FC-AB3B-6DAC8D78AC33}" name="Colonne7405"/>
    <tableColumn id="7414" xr3:uid="{338C7DBF-1AD8-4A65-9435-D62FFFF22B41}" name="Colonne7406"/>
    <tableColumn id="7415" xr3:uid="{4A5003AC-2819-437B-9422-B4BF5816CBBC}" name="Colonne7407"/>
    <tableColumn id="7416" xr3:uid="{4BF95D8C-3708-473B-A99B-DEB360C4AA86}" name="Colonne7408"/>
    <tableColumn id="7417" xr3:uid="{564F7B08-6FA0-4861-B386-2EBBAE33D143}" name="Colonne7409"/>
    <tableColumn id="7418" xr3:uid="{FB1D4D87-FB60-4D73-A154-0D9F28E39551}" name="Colonne7410"/>
    <tableColumn id="7419" xr3:uid="{305A811C-A68B-498C-9EE6-48E6D63DBD87}" name="Colonne7411"/>
    <tableColumn id="7420" xr3:uid="{817AE547-99A1-4C9E-A5B6-B2F9427AB389}" name="Colonne7412"/>
    <tableColumn id="7421" xr3:uid="{35092DE0-0BAB-4081-9A0A-ED3CA1B458E0}" name="Colonne7413"/>
    <tableColumn id="7422" xr3:uid="{6265ACB3-CA1D-4612-8509-DF9335608763}" name="Colonne7414"/>
    <tableColumn id="7423" xr3:uid="{739C0BC9-0EF5-4765-8D09-30CE2406F730}" name="Colonne7415"/>
    <tableColumn id="7424" xr3:uid="{F6C37AE8-1C92-4150-A345-AB8E5F3448D6}" name="Colonne7416"/>
    <tableColumn id="7425" xr3:uid="{1547497A-C45E-4473-9089-84EE4EF56328}" name="Colonne7417"/>
    <tableColumn id="7426" xr3:uid="{7CDBA006-6484-4F74-8172-903FA52C6A0B}" name="Colonne7418"/>
    <tableColumn id="7427" xr3:uid="{9BA24DC0-753E-41AD-B5EA-10119E9AF379}" name="Colonne7419"/>
    <tableColumn id="7428" xr3:uid="{5EC2369D-9CFB-4684-A3F1-4AC99880C1DA}" name="Colonne7420"/>
    <tableColumn id="7429" xr3:uid="{F628814B-3C5A-48CA-BD5A-2BFEA6572924}" name="Colonne7421"/>
    <tableColumn id="7430" xr3:uid="{5B55EF42-1399-4A67-A6DD-F6777AB6EB22}" name="Colonne7422"/>
    <tableColumn id="7431" xr3:uid="{C2007537-E6E5-4DE3-8C8E-A3F6A2B7ACA6}" name="Colonne7423"/>
    <tableColumn id="7432" xr3:uid="{8011BB80-5755-4775-B8DB-071883BC352F}" name="Colonne7424"/>
    <tableColumn id="7433" xr3:uid="{B250D766-9DA8-4448-BCB3-9E826A4B7F74}" name="Colonne7425"/>
    <tableColumn id="7434" xr3:uid="{C290BB3B-30D1-4C7B-B661-871409C6AF84}" name="Colonne7426"/>
    <tableColumn id="7435" xr3:uid="{3AE5A8B9-1BC8-4C67-B974-525519E7E9DF}" name="Colonne7427"/>
    <tableColumn id="7436" xr3:uid="{E0BB0400-9DF4-481F-B85C-C72FDAACBEB0}" name="Colonne7428"/>
    <tableColumn id="7437" xr3:uid="{F2DAC765-69E6-4CFC-920F-55F42681DA87}" name="Colonne7429"/>
    <tableColumn id="7438" xr3:uid="{52EA26FB-8127-4DC3-9BBC-848980053A41}" name="Colonne7430"/>
    <tableColumn id="7439" xr3:uid="{BA176DDD-31C9-4EE6-84F7-77A017756DEC}" name="Colonne7431"/>
    <tableColumn id="7440" xr3:uid="{36D9ED60-0D8B-4511-9FB0-F938ED4F1A98}" name="Colonne7432"/>
    <tableColumn id="7441" xr3:uid="{54F907CF-9E90-407E-B60B-F8A97C453BE8}" name="Colonne7433"/>
    <tableColumn id="7442" xr3:uid="{266B9C7A-B401-44C2-AA1A-F999F891E5EC}" name="Colonne7434"/>
    <tableColumn id="7443" xr3:uid="{FF65D3CE-D9AD-409F-8D03-4EBE17007E26}" name="Colonne7435"/>
    <tableColumn id="7444" xr3:uid="{56340672-2298-4713-BB5F-DF4A11124D80}" name="Colonne7436"/>
    <tableColumn id="7445" xr3:uid="{7DFC4A27-6782-456B-AB07-B23846FC28BB}" name="Colonne7437"/>
    <tableColumn id="7446" xr3:uid="{B80AEFEB-2CA5-481B-BDF9-BAFEFD21D8DE}" name="Colonne7438"/>
    <tableColumn id="7447" xr3:uid="{0C919FD3-D106-413C-8936-0E23D52E077A}" name="Colonne7439"/>
    <tableColumn id="7448" xr3:uid="{8B8C4232-3F77-4F71-A660-E6E56BFAD04D}" name="Colonne7440"/>
    <tableColumn id="7449" xr3:uid="{0A40B3CE-D719-4303-BFFE-45043B7D94FD}" name="Colonne7441"/>
    <tableColumn id="7450" xr3:uid="{169054D9-4CDD-483B-870C-75C28AE60382}" name="Colonne7442"/>
    <tableColumn id="7451" xr3:uid="{2C5FDE7A-6F79-4836-AD93-AD862E80C892}" name="Colonne7443"/>
    <tableColumn id="7452" xr3:uid="{5DA7735C-7EA6-4D58-B1EC-6E173FFCA6AE}" name="Colonne7444"/>
    <tableColumn id="7453" xr3:uid="{1F37562D-2194-4CEE-98A5-314046D94089}" name="Colonne7445"/>
    <tableColumn id="7454" xr3:uid="{E177376C-49F7-4D22-8B79-3516C8A07740}" name="Colonne7446"/>
    <tableColumn id="7455" xr3:uid="{52DC72F3-5DFF-48DB-8AC3-AC9E3C10C1E1}" name="Colonne7447"/>
    <tableColumn id="7456" xr3:uid="{84BD5EA8-4C41-4F26-B12C-CB2F1D707C8D}" name="Colonne7448"/>
    <tableColumn id="7457" xr3:uid="{1CA3C5F2-4DD5-48C5-80C4-4E9CA47EBE9A}" name="Colonne7449"/>
    <tableColumn id="7458" xr3:uid="{CE3761BE-B8A0-4686-9684-70AD57EF51F5}" name="Colonne7450"/>
    <tableColumn id="7459" xr3:uid="{F9D61902-DE51-45B4-A0A2-0209CBB242A6}" name="Colonne7451"/>
    <tableColumn id="7460" xr3:uid="{9EBEFA3F-241F-44E2-A3AE-F4DEC4829C59}" name="Colonne7452"/>
    <tableColumn id="7461" xr3:uid="{1F1A40B4-B159-491B-B13A-A7072E9844A4}" name="Colonne7453"/>
    <tableColumn id="7462" xr3:uid="{A909F792-6F1A-4FCD-AB64-ED398F153E57}" name="Colonne7454"/>
    <tableColumn id="7463" xr3:uid="{311646D8-AE6B-4BD3-B573-377E944258F0}" name="Colonne7455"/>
    <tableColumn id="7464" xr3:uid="{3C344B9C-CBB6-48A4-95C0-4DBBFB62EBFE}" name="Colonne7456"/>
    <tableColumn id="7465" xr3:uid="{392019FD-68B9-41E3-83CD-85B45B886EA6}" name="Colonne7457"/>
    <tableColumn id="7466" xr3:uid="{66CA2B9F-C045-4C85-B831-874DEC009035}" name="Colonne7458"/>
    <tableColumn id="7467" xr3:uid="{6703CB52-F7A6-4348-93A8-B9AEBD4084AD}" name="Colonne7459"/>
    <tableColumn id="7468" xr3:uid="{5FA70E2C-6E44-47BC-93B5-625DEA106268}" name="Colonne7460"/>
    <tableColumn id="7469" xr3:uid="{3B717BE1-E2F3-4139-8D0D-5DFE0D33F524}" name="Colonne7461"/>
    <tableColumn id="7470" xr3:uid="{FA47AD5E-5BC2-4CD9-BF88-18CA4B5C92A5}" name="Colonne7462"/>
    <tableColumn id="7471" xr3:uid="{3889BD15-8C75-4FE6-9937-D836AEA601C3}" name="Colonne7463"/>
    <tableColumn id="7472" xr3:uid="{D40D7532-DB7D-47A6-90A5-8B45580EEE6B}" name="Colonne7464"/>
    <tableColumn id="7473" xr3:uid="{BF74F177-C5C8-47AB-8FC8-13F52F02C817}" name="Colonne7465"/>
    <tableColumn id="7474" xr3:uid="{F1093A85-4674-4AD4-B239-A70CB5D7804F}" name="Colonne7466"/>
    <tableColumn id="7475" xr3:uid="{4961831B-2F52-4F66-8EBB-5B836E15E711}" name="Colonne7467"/>
    <tableColumn id="7476" xr3:uid="{70958FA3-38B6-4936-A972-32D73A7CC4BE}" name="Colonne7468"/>
    <tableColumn id="7477" xr3:uid="{2BAA78A1-5D7F-4B52-9D4C-C16CA0AE7B1E}" name="Colonne7469"/>
    <tableColumn id="7478" xr3:uid="{32485B22-9255-4467-8596-F5675F675372}" name="Colonne7470"/>
    <tableColumn id="7479" xr3:uid="{8574E24D-6BBA-410A-9BE0-D3874B77B482}" name="Colonne7471"/>
    <tableColumn id="7480" xr3:uid="{C32F1444-AC00-4D52-AA9C-8A46AF48D27F}" name="Colonne7472"/>
    <tableColumn id="7481" xr3:uid="{23094940-388F-4B11-8585-6F33CDE59E9B}" name="Colonne7473"/>
    <tableColumn id="7482" xr3:uid="{0C7C259F-D6E0-4CBC-8053-805D4FEFCF11}" name="Colonne7474"/>
    <tableColumn id="7483" xr3:uid="{24983829-B77C-49C2-9CAE-BE3D93B3C0AE}" name="Colonne7475"/>
    <tableColumn id="7484" xr3:uid="{3C8B3A76-99EC-4B8D-AE60-9D730D9DC0D1}" name="Colonne7476"/>
    <tableColumn id="7485" xr3:uid="{23258EF5-8F61-4E8F-ACB0-5089EFA4C66E}" name="Colonne7477"/>
    <tableColumn id="7486" xr3:uid="{1FD0B30A-C1D9-4D4E-B664-CE0612ADC30D}" name="Colonne7478"/>
    <tableColumn id="7487" xr3:uid="{C607DF05-E8E3-4E5C-A88F-D3A025DE4FDF}" name="Colonne7479"/>
    <tableColumn id="7488" xr3:uid="{640F2350-2E5A-4E86-9B71-43C9E213D8F5}" name="Colonne7480"/>
    <tableColumn id="7489" xr3:uid="{B9E9AE4E-D80A-4BF2-A1B8-7E24A97E927B}" name="Colonne7481"/>
    <tableColumn id="7490" xr3:uid="{A8ACEE29-0440-44E3-A16D-80940C510B96}" name="Colonne7482"/>
    <tableColumn id="7491" xr3:uid="{369CF2F9-30D0-48D9-B552-FFC70D736337}" name="Colonne7483"/>
    <tableColumn id="7492" xr3:uid="{A12DCCE9-88F0-4B3C-84D7-2235557C077C}" name="Colonne7484"/>
    <tableColumn id="7493" xr3:uid="{874177B2-51F3-422A-B0B6-A95AF29FE7D9}" name="Colonne7485"/>
    <tableColumn id="7494" xr3:uid="{68AEAFF1-B9AE-441F-93D0-2C6531654DBE}" name="Colonne7486"/>
    <tableColumn id="7495" xr3:uid="{C133D3E6-F1D1-4EA2-AF36-8BCCA393F6C5}" name="Colonne7487"/>
    <tableColumn id="7496" xr3:uid="{FEF0BAE5-D5BF-41B1-AC6B-783B92F94389}" name="Colonne7488"/>
    <tableColumn id="7497" xr3:uid="{8269F5A8-E4A5-4811-AA38-65C824D4910C}" name="Colonne7489"/>
    <tableColumn id="7498" xr3:uid="{56037420-9086-4102-8651-66E8FCD21AA8}" name="Colonne7490"/>
    <tableColumn id="7499" xr3:uid="{AE033516-1891-4924-A759-2CF752D5B1F5}" name="Colonne7491"/>
    <tableColumn id="7500" xr3:uid="{A90826D2-D05B-434D-B746-196E64B13217}" name="Colonne7492"/>
    <tableColumn id="7501" xr3:uid="{BEF051C7-0554-4E95-AD23-F3E3C4A4D494}" name="Colonne7493"/>
    <tableColumn id="7502" xr3:uid="{7E39F743-BD5B-41C4-832E-340E4E2DD864}" name="Colonne7494"/>
    <tableColumn id="7503" xr3:uid="{CF2DEC30-0FC1-4E58-A4F5-EB4139C09EDE}" name="Colonne7495"/>
    <tableColumn id="7504" xr3:uid="{C79AE53C-6F26-4C48-A3C3-FC60B11BD44C}" name="Colonne7496"/>
    <tableColumn id="7505" xr3:uid="{E15BFA9F-E531-4299-BD83-6CE8AD2D5BE7}" name="Colonne7497"/>
    <tableColumn id="7506" xr3:uid="{19A9753B-7919-49C6-A4DC-33461B36AF46}" name="Colonne7498"/>
    <tableColumn id="7507" xr3:uid="{744AAF91-E295-461C-A35F-81F60EA85162}" name="Colonne7499"/>
    <tableColumn id="7508" xr3:uid="{8D88F55E-9E03-41BC-A735-B65BD31FA721}" name="Colonne7500"/>
    <tableColumn id="7509" xr3:uid="{1240387E-6B0D-4050-A6D3-648742E6CE5D}" name="Colonne7501"/>
    <tableColumn id="7510" xr3:uid="{7587882A-9C06-44F4-A486-95116FB43CDD}" name="Colonne7502"/>
    <tableColumn id="7511" xr3:uid="{5F285AAE-BC98-482D-A3B4-1BCCDC9AD21F}" name="Colonne7503"/>
    <tableColumn id="7512" xr3:uid="{D15BF72D-67EC-4BE1-A419-C1C0269856B6}" name="Colonne7504"/>
    <tableColumn id="7513" xr3:uid="{57D16475-851B-4590-BAAF-F6A24C0001ED}" name="Colonne7505"/>
    <tableColumn id="7514" xr3:uid="{D1CCA96F-CEF5-4A24-93ED-5764454DB345}" name="Colonne7506"/>
    <tableColumn id="7515" xr3:uid="{ED6AACC2-CEFA-4783-BD62-C74F6EC0D72F}" name="Colonne7507"/>
    <tableColumn id="7516" xr3:uid="{D61EA6CC-8178-4FF7-8FCE-34361CD3089B}" name="Colonne7508"/>
    <tableColumn id="7517" xr3:uid="{96B15B8A-5C49-4745-BF3B-30C5896BEAE7}" name="Colonne7509"/>
    <tableColumn id="7518" xr3:uid="{F7EB6D4B-8A55-486B-8C2E-9FE22E403E22}" name="Colonne7510"/>
    <tableColumn id="7519" xr3:uid="{EC65B3A5-55CB-46CD-B8CD-F2AB979D4BD8}" name="Colonne7511"/>
    <tableColumn id="7520" xr3:uid="{CD975291-C1D3-4717-A50A-BDA4045CD117}" name="Colonne7512"/>
    <tableColumn id="7521" xr3:uid="{43A172BE-1E29-45A8-8ED1-2EA21F63D981}" name="Colonne7513"/>
    <tableColumn id="7522" xr3:uid="{21B3A6F9-88D1-4DB5-AD84-362DF9E8761C}" name="Colonne7514"/>
    <tableColumn id="7523" xr3:uid="{ABF148DF-9628-48BC-852B-5487A1DABAB9}" name="Colonne7515"/>
    <tableColumn id="7524" xr3:uid="{2896ADA0-665F-4188-B0B3-0EC2096A1581}" name="Colonne7516"/>
    <tableColumn id="7525" xr3:uid="{E5AA8160-CADA-4A85-9161-AFEA578346A2}" name="Colonne7517"/>
    <tableColumn id="7526" xr3:uid="{59F56231-C016-49AE-AB8D-705A8D9500F1}" name="Colonne7518"/>
    <tableColumn id="7527" xr3:uid="{1A85DF9E-2AF3-474A-B08B-9900B30C97A7}" name="Colonne7519"/>
    <tableColumn id="7528" xr3:uid="{68AF62AF-1733-45A7-9DC2-731CA61E2D57}" name="Colonne7520"/>
    <tableColumn id="7529" xr3:uid="{330AB318-0409-4033-9DB7-795FD7B0A15E}" name="Colonne7521"/>
    <tableColumn id="7530" xr3:uid="{2A378199-6359-49DC-844F-49DA5BD621DE}" name="Colonne7522"/>
    <tableColumn id="7531" xr3:uid="{3A5444E6-CD6E-4C53-833A-7BEF02029547}" name="Colonne7523"/>
    <tableColumn id="7532" xr3:uid="{899AFC6B-A8C5-4945-84A7-9316BEB4ED86}" name="Colonne7524"/>
    <tableColumn id="7533" xr3:uid="{25E99D22-69DF-4394-9C53-130E7FD94B17}" name="Colonne7525"/>
    <tableColumn id="7534" xr3:uid="{79A25C1E-1506-4FFE-9B7B-678442D4FBA2}" name="Colonne7526"/>
    <tableColumn id="7535" xr3:uid="{ED3D8ADA-AA46-4036-AD06-7A41E132D57C}" name="Colonne7527"/>
    <tableColumn id="7536" xr3:uid="{D2F7FDE1-1B2F-4D06-9A06-7DC6535F725A}" name="Colonne7528"/>
    <tableColumn id="7537" xr3:uid="{108D15F9-66FF-4D17-9BFE-6E28ED4E171D}" name="Colonne7529"/>
    <tableColumn id="7538" xr3:uid="{0E2DD3A5-C58C-43FC-AE6E-DC6ABC604BA0}" name="Colonne7530"/>
    <tableColumn id="7539" xr3:uid="{44841F38-C3F3-4EF9-950A-9283DC211AC5}" name="Colonne7531"/>
    <tableColumn id="7540" xr3:uid="{56ABCB63-DF30-48B6-BEB4-C080C03DB69A}" name="Colonne7532"/>
    <tableColumn id="7541" xr3:uid="{24F075D0-E181-47D7-BF98-259DB1C805B0}" name="Colonne7533"/>
    <tableColumn id="7542" xr3:uid="{2FE6AB50-F590-463E-8EDF-FA2F9DC7A1DF}" name="Colonne7534"/>
    <tableColumn id="7543" xr3:uid="{5E860246-4574-42B1-B3B3-F12E20A045B2}" name="Colonne7535"/>
    <tableColumn id="7544" xr3:uid="{E2759704-8C3B-44D3-B4FF-1791BA8F4EFE}" name="Colonne7536"/>
    <tableColumn id="7545" xr3:uid="{CBA3E21B-AE04-4034-BD3A-245648A7B289}" name="Colonne7537"/>
    <tableColumn id="7546" xr3:uid="{CBFDDEB3-D60B-4DBE-8C21-609A132C2485}" name="Colonne7538"/>
    <tableColumn id="7547" xr3:uid="{61D51DE2-6F40-4D42-80C3-ADE1E592A579}" name="Colonne7539"/>
    <tableColumn id="7548" xr3:uid="{0FBE3642-BCA1-4D89-A13E-89E0BF4D550C}" name="Colonne7540"/>
    <tableColumn id="7549" xr3:uid="{7E4CD3ED-A70A-4E0B-980D-BEBD0A6A763D}" name="Colonne7541"/>
    <tableColumn id="7550" xr3:uid="{26D8FCC2-B9AC-4F69-970B-9B106C85F1AC}" name="Colonne7542"/>
    <tableColumn id="7551" xr3:uid="{8D510B4D-99B6-4B74-B741-17D5FAEE56D9}" name="Colonne7543"/>
    <tableColumn id="7552" xr3:uid="{0F12BE7E-41A7-4BE3-8764-0E9182DC18C7}" name="Colonne7544"/>
    <tableColumn id="7553" xr3:uid="{B0C21EF5-43CB-407E-AC40-869484AFAF8D}" name="Colonne7545"/>
    <tableColumn id="7554" xr3:uid="{ECD64CB1-82D7-4535-87B3-6D77B8595CB3}" name="Colonne7546"/>
    <tableColumn id="7555" xr3:uid="{0BC66E80-BE3B-498E-A04D-29BA001D6599}" name="Colonne7547"/>
    <tableColumn id="7556" xr3:uid="{E7B25337-A126-4408-AE64-1D4EB87DDDFF}" name="Colonne7548"/>
    <tableColumn id="7557" xr3:uid="{841D0524-7383-457C-B31D-3758EC1EC21A}" name="Colonne7549"/>
    <tableColumn id="7558" xr3:uid="{97623D97-C620-4D60-86C0-270AD106362A}" name="Colonne7550"/>
    <tableColumn id="7559" xr3:uid="{E90404E0-966C-4B60-AD5A-567FF915F048}" name="Colonne7551"/>
    <tableColumn id="7560" xr3:uid="{A74A4E79-553D-4B42-AA8C-A9A536998A1E}" name="Colonne7552"/>
    <tableColumn id="7561" xr3:uid="{30ED0637-60D0-41F3-882A-CB583814D6BE}" name="Colonne7553"/>
    <tableColumn id="7562" xr3:uid="{9C11BC86-92B9-4870-A218-195BAEBB56D2}" name="Colonne7554"/>
    <tableColumn id="7563" xr3:uid="{38411810-E7DB-423F-9B47-D447FA26D734}" name="Colonne7555"/>
    <tableColumn id="7564" xr3:uid="{8B79C466-C181-4DED-B2E1-BFC43B84BCF0}" name="Colonne7556"/>
    <tableColumn id="7565" xr3:uid="{5EC36CCD-3517-49FD-8F7C-1466B8799B99}" name="Colonne7557"/>
    <tableColumn id="7566" xr3:uid="{E38FA1B7-08DA-48CF-B53E-745020F6A230}" name="Colonne7558"/>
    <tableColumn id="7567" xr3:uid="{6959C94E-9DE6-4DA6-A3E3-67F6F16A8A83}" name="Colonne7559"/>
    <tableColumn id="7568" xr3:uid="{909B0454-69F2-4BD7-8DF3-C9792092FEAC}" name="Colonne7560"/>
    <tableColumn id="7569" xr3:uid="{00FABAD1-9A39-48F9-8D4E-66858A29BCDF}" name="Colonne7561"/>
    <tableColumn id="7570" xr3:uid="{AFDDB37E-20F2-40B3-896C-C88D90F341FA}" name="Colonne7562"/>
    <tableColumn id="7571" xr3:uid="{C80F12F0-758C-4B01-81C8-B9505BE3357D}" name="Colonne7563"/>
    <tableColumn id="7572" xr3:uid="{42E0B075-34BC-4A41-BDA3-563427ABAD0B}" name="Colonne7564"/>
    <tableColumn id="7573" xr3:uid="{185255C0-DE76-46F0-8B41-487F49D4C17C}" name="Colonne7565"/>
    <tableColumn id="7574" xr3:uid="{EBA31914-D4AE-4577-B73E-0053EA71C564}" name="Colonne7566"/>
    <tableColumn id="7575" xr3:uid="{08342DA1-BC57-4B76-8493-1A8581070A5C}" name="Colonne7567"/>
    <tableColumn id="7576" xr3:uid="{D2E0DB8B-49B6-4E98-AF1F-FFF5DB34483A}" name="Colonne7568"/>
    <tableColumn id="7577" xr3:uid="{8A1AA06B-5A8B-4DBA-8F1E-5E175F9B833E}" name="Colonne7569"/>
    <tableColumn id="7578" xr3:uid="{8A987E19-0716-4968-B9A2-9C80CE2D28F0}" name="Colonne7570"/>
    <tableColumn id="7579" xr3:uid="{F6B4D9F7-3E5A-40DB-9D00-9572FC962A95}" name="Colonne7571"/>
    <tableColumn id="7580" xr3:uid="{7B5BC7BD-CC2F-4F4C-8EBB-2E182D3CB4EC}" name="Colonne7572"/>
    <tableColumn id="7581" xr3:uid="{3EC59556-DCF0-4B7D-A0A4-DE477A6ADA39}" name="Colonne7573"/>
    <tableColumn id="7582" xr3:uid="{35A0BD43-BB52-4852-997C-BD6E39B8AA44}" name="Colonne7574"/>
    <tableColumn id="7583" xr3:uid="{7093133F-9A56-4A58-8577-8E123B055768}" name="Colonne7575"/>
    <tableColumn id="7584" xr3:uid="{E99B131B-4236-4B22-9E91-1648A7E3DDD7}" name="Colonne7576"/>
    <tableColumn id="7585" xr3:uid="{D2DD2B60-0CB5-43A1-961C-917D044A9088}" name="Colonne7577"/>
    <tableColumn id="7586" xr3:uid="{1A178A0E-FC6B-4077-B8F4-F5051A7DAF2F}" name="Colonne7578"/>
    <tableColumn id="7587" xr3:uid="{BEDD3DF8-D94F-41F4-84AE-C64582EA2653}" name="Colonne7579"/>
    <tableColumn id="7588" xr3:uid="{20AC688F-D835-4289-B303-2745906A3423}" name="Colonne7580"/>
    <tableColumn id="7589" xr3:uid="{271F98CC-9A33-4B7F-9594-25DDB96DDEEA}" name="Colonne7581"/>
    <tableColumn id="7590" xr3:uid="{97F80EE0-69DE-433D-ADA3-A9FCE27907CF}" name="Colonne7582"/>
    <tableColumn id="7591" xr3:uid="{0857A9E8-C588-45FF-BDF1-D9BD21C4BA26}" name="Colonne7583"/>
    <tableColumn id="7592" xr3:uid="{428B8BE1-F33E-46ED-B3E7-02FEEC932C84}" name="Colonne7584"/>
    <tableColumn id="7593" xr3:uid="{852F164A-A33C-4DB0-9166-06A49D359018}" name="Colonne7585"/>
    <tableColumn id="7594" xr3:uid="{B6F4BC0D-B843-43D0-817D-C7FBBA6BB092}" name="Colonne7586"/>
    <tableColumn id="7595" xr3:uid="{4B916C6A-91EF-4C26-ADA2-5E6BA3DD226C}" name="Colonne7587"/>
    <tableColumn id="7596" xr3:uid="{8130C862-93AD-4083-8001-74871C5CAE53}" name="Colonne7588"/>
    <tableColumn id="7597" xr3:uid="{9DD62178-5A43-45E1-901B-B7D5D7B697E4}" name="Colonne7589"/>
    <tableColumn id="7598" xr3:uid="{84CE6E1D-FC64-426E-A5A7-2C8657919315}" name="Colonne7590"/>
    <tableColumn id="7599" xr3:uid="{E29F928E-5F6C-4345-A2F5-A8864BB7C62D}" name="Colonne7591"/>
    <tableColumn id="7600" xr3:uid="{5DCCCA46-6ABB-49AD-8FC0-1592192AA6C5}" name="Colonne7592"/>
    <tableColumn id="7601" xr3:uid="{3D9F2CBA-66AB-4F6F-A0E8-56B5DE38A9F1}" name="Colonne7593"/>
    <tableColumn id="7602" xr3:uid="{BBE44F6C-EADD-490F-88BB-4F89E681FCDA}" name="Colonne7594"/>
    <tableColumn id="7603" xr3:uid="{556CF5C9-FE85-4F15-8E57-2199B66E7634}" name="Colonne7595"/>
    <tableColumn id="7604" xr3:uid="{89FDC6F6-53A4-4380-826E-6B97FDACCEC6}" name="Colonne7596"/>
    <tableColumn id="7605" xr3:uid="{FBA2488E-6CFF-4897-8A48-524A7DFEC796}" name="Colonne7597"/>
    <tableColumn id="7606" xr3:uid="{B9F9124D-F90E-4A41-B857-25BF0E8AAEE2}" name="Colonne7598"/>
    <tableColumn id="7607" xr3:uid="{F884AC23-9768-4326-8D0D-C92CE41EEC16}" name="Colonne7599"/>
    <tableColumn id="7608" xr3:uid="{94521688-58AA-4AC3-A50E-DC22700BC80C}" name="Colonne7600"/>
    <tableColumn id="7609" xr3:uid="{55FCB231-6A1E-4598-9F3B-29B22D66DB95}" name="Colonne7601"/>
    <tableColumn id="7610" xr3:uid="{4D7391E8-2157-4AD8-9EDD-F8204038CF16}" name="Colonne7602"/>
    <tableColumn id="7611" xr3:uid="{BBC9D773-1869-4E1F-9B1C-9A7736961268}" name="Colonne7603"/>
    <tableColumn id="7612" xr3:uid="{4087D52D-54B7-4110-8D11-4DA775250E45}" name="Colonne7604"/>
    <tableColumn id="7613" xr3:uid="{8E103C61-7250-45D6-96BF-759FA7AE1501}" name="Colonne7605"/>
    <tableColumn id="7614" xr3:uid="{87336D53-E703-4BF6-B281-E15C701A391F}" name="Colonne7606"/>
    <tableColumn id="7615" xr3:uid="{2372C912-9B19-481D-83BF-F0C979E6AE81}" name="Colonne7607"/>
    <tableColumn id="7616" xr3:uid="{4E239CD9-68E3-4A45-B83E-ECB4CAE7EBAA}" name="Colonne7608"/>
    <tableColumn id="7617" xr3:uid="{3C589021-38CD-4763-AD48-84E6B6ACB1D6}" name="Colonne7609"/>
    <tableColumn id="7618" xr3:uid="{3BB36152-DEA7-4F01-BE0F-B35E062BBE5B}" name="Colonne7610"/>
    <tableColumn id="7619" xr3:uid="{89097D38-35C5-46CE-8F9E-CFDBB62A39BD}" name="Colonne7611"/>
    <tableColumn id="7620" xr3:uid="{50CA5A26-B216-44E7-A260-BD26A0EE059B}" name="Colonne7612"/>
    <tableColumn id="7621" xr3:uid="{969E7DD3-5715-49FF-990F-1FEAE0B36E18}" name="Colonne7613"/>
    <tableColumn id="7622" xr3:uid="{0B84A0D3-26E3-4FF2-82D2-D7DECA96AFED}" name="Colonne7614"/>
    <tableColumn id="7623" xr3:uid="{AEEC4A53-D1E9-4FBC-B596-B522618481F7}" name="Colonne7615"/>
    <tableColumn id="7624" xr3:uid="{358C040F-91C8-4EAC-B585-D5C49DB82469}" name="Colonne7616"/>
    <tableColumn id="7625" xr3:uid="{7C2864CE-C320-48A6-8D01-1DD1032CEBA3}" name="Colonne7617"/>
    <tableColumn id="7626" xr3:uid="{09333A55-FC35-46FF-A30D-36B6D1E7B0C3}" name="Colonne7618"/>
    <tableColumn id="7627" xr3:uid="{2115E2DD-7BA2-45E4-9BD2-C14DBB117D94}" name="Colonne7619"/>
    <tableColumn id="7628" xr3:uid="{838A7E71-79CC-49BD-A463-2D0C014B4642}" name="Colonne7620"/>
    <tableColumn id="7629" xr3:uid="{358C99C7-1007-4759-B037-97E03629BF8A}" name="Colonne7621"/>
    <tableColumn id="7630" xr3:uid="{86DD799B-77BE-4044-B610-6F1ADACBBC8A}" name="Colonne7622"/>
    <tableColumn id="7631" xr3:uid="{1CFE46A7-219B-4B5B-9E1B-8C3D26C018F4}" name="Colonne7623"/>
    <tableColumn id="7632" xr3:uid="{07EEA619-CCC4-4532-B65E-7E4668288E2A}" name="Colonne7624"/>
    <tableColumn id="7633" xr3:uid="{D3CF84BC-CB1D-4DA9-B7D0-78F8123AFD45}" name="Colonne7625"/>
    <tableColumn id="7634" xr3:uid="{1CC98C77-83D9-41A4-B40A-B5043C25163A}" name="Colonne7626"/>
    <tableColumn id="7635" xr3:uid="{2CD214A3-31B7-43DB-B9A9-8328EB34E3CA}" name="Colonne7627"/>
    <tableColumn id="7636" xr3:uid="{FDA69514-4C01-4386-B675-838D55680611}" name="Colonne7628"/>
    <tableColumn id="7637" xr3:uid="{BD3881BB-EB65-4708-B937-DE2231FCEF27}" name="Colonne7629"/>
    <tableColumn id="7638" xr3:uid="{3797E949-9888-4EFD-9B49-17BD49FA3CA5}" name="Colonne7630"/>
    <tableColumn id="7639" xr3:uid="{3CC348D7-4886-49D2-A62B-CE659503BC4D}" name="Colonne7631"/>
    <tableColumn id="7640" xr3:uid="{69E39BFC-563E-4619-B96F-9A2AC82F5933}" name="Colonne7632"/>
    <tableColumn id="7641" xr3:uid="{CB4D28E9-6104-42AF-86DB-92A82F645E35}" name="Colonne7633"/>
    <tableColumn id="7642" xr3:uid="{BF537110-551E-4A6F-B559-56B4F7A2C04E}" name="Colonne7634"/>
    <tableColumn id="7643" xr3:uid="{AED64946-4D1E-42E1-8346-FABAB928913A}" name="Colonne7635"/>
    <tableColumn id="7644" xr3:uid="{507EEAFE-676B-46F4-8298-083842667A97}" name="Colonne7636"/>
    <tableColumn id="7645" xr3:uid="{EAC90D8A-FCA8-4999-BDF8-25A19E5255DA}" name="Colonne7637"/>
    <tableColumn id="7646" xr3:uid="{AD3185AA-F1EE-4B59-B40E-3275C6EF5CD2}" name="Colonne7638"/>
    <tableColumn id="7647" xr3:uid="{77F9BB5C-A959-4F2E-A9CD-6D8BBD91D562}" name="Colonne7639"/>
    <tableColumn id="7648" xr3:uid="{81A7EDDC-ADFE-48BD-B762-DDD03237D761}" name="Colonne7640"/>
    <tableColumn id="7649" xr3:uid="{088AE99A-BC80-47BF-8C83-A69AD12065C8}" name="Colonne7641"/>
    <tableColumn id="7650" xr3:uid="{A26081FB-1F86-40C0-A414-415395FBB45E}" name="Colonne7642"/>
    <tableColumn id="7651" xr3:uid="{C20A734E-6C20-4FD4-96C4-4A0304A5D109}" name="Colonne7643"/>
    <tableColumn id="7652" xr3:uid="{B4F93D11-0290-4AD6-9A8E-185E9DD7E173}" name="Colonne7644"/>
    <tableColumn id="7653" xr3:uid="{E381140F-7DDC-45BF-82EB-04295FBEEE38}" name="Colonne7645"/>
    <tableColumn id="7654" xr3:uid="{8F7E60A8-D563-4A2C-B936-328B24023600}" name="Colonne7646"/>
    <tableColumn id="7655" xr3:uid="{CE48EA2C-6856-4829-9EFE-4B3929EAF76D}" name="Colonne7647"/>
    <tableColumn id="7656" xr3:uid="{1345C80B-6EA5-4909-824E-5CFCB2356C8C}" name="Colonne7648"/>
    <tableColumn id="7657" xr3:uid="{CCB9F681-03D9-4053-83A5-D25040FBF806}" name="Colonne7649"/>
    <tableColumn id="7658" xr3:uid="{602A3DD9-5729-4112-BE7D-8B7FE584D7E3}" name="Colonne7650"/>
    <tableColumn id="7659" xr3:uid="{887C664D-FFD5-4D47-A4EB-81467F4E540A}" name="Colonne7651"/>
    <tableColumn id="7660" xr3:uid="{8AD74E53-3E35-4920-BE5F-4BDBBFC60899}" name="Colonne7652"/>
    <tableColumn id="7661" xr3:uid="{EBC1D4C4-9CF1-4C20-831B-4570644DAD16}" name="Colonne7653"/>
    <tableColumn id="7662" xr3:uid="{8618653E-BD32-4DB4-A3F5-73D83752CE45}" name="Colonne7654"/>
    <tableColumn id="7663" xr3:uid="{0F1610E8-DD1E-4AAD-B1CF-EAA1E1390B74}" name="Colonne7655"/>
    <tableColumn id="7664" xr3:uid="{20F2EF29-9A97-4E92-81C0-E6BFBA1364E8}" name="Colonne7656"/>
    <tableColumn id="7665" xr3:uid="{A7A62926-5D60-4F30-88B0-92F1D8D4F5CD}" name="Colonne7657"/>
    <tableColumn id="7666" xr3:uid="{C62DC25E-8BEC-43F5-AD85-DB8AF8229F40}" name="Colonne7658"/>
    <tableColumn id="7667" xr3:uid="{1903BECC-CF60-4F0C-8136-A19CEF9145E8}" name="Colonne7659"/>
    <tableColumn id="7668" xr3:uid="{40981436-71F5-4307-88AA-BF389BE87ADB}" name="Colonne7660"/>
    <tableColumn id="7669" xr3:uid="{23C92AC4-B233-4968-BDAC-DC28C01A4569}" name="Colonne7661"/>
    <tableColumn id="7670" xr3:uid="{032C11D0-4A03-4FC0-A4C3-49C970DD973C}" name="Colonne7662"/>
    <tableColumn id="7671" xr3:uid="{E6A341F5-5FB4-4A7E-83B5-822B56CD2358}" name="Colonne7663"/>
    <tableColumn id="7672" xr3:uid="{E2943356-7270-4D95-8DEB-2AA2A44F9A52}" name="Colonne7664"/>
    <tableColumn id="7673" xr3:uid="{FC4CA3AF-3352-4D21-8DCC-65CAFF1DE8F0}" name="Colonne7665"/>
    <tableColumn id="7674" xr3:uid="{CCA097AB-ED85-4EE1-936C-EE9FA45BE619}" name="Colonne7666"/>
    <tableColumn id="7675" xr3:uid="{99B1DDD8-B453-443F-A0E0-FC6458E835AE}" name="Colonne7667"/>
    <tableColumn id="7676" xr3:uid="{281A56C8-EC66-4889-8D27-70F81FEA1999}" name="Colonne7668"/>
    <tableColumn id="7677" xr3:uid="{26F861E3-1BDB-4C3E-957C-EF3BD68D2275}" name="Colonne7669"/>
    <tableColumn id="7678" xr3:uid="{20038CE2-B30D-499E-9EC1-72F41724BE10}" name="Colonne7670"/>
    <tableColumn id="7679" xr3:uid="{0003BF06-8FA9-48D4-925E-7AD316016BC6}" name="Colonne7671"/>
    <tableColumn id="7680" xr3:uid="{326229F1-B0CB-4B9A-A3F9-7492CEC6C5D4}" name="Colonne7672"/>
    <tableColumn id="7681" xr3:uid="{5F11FFA6-939C-4E64-B002-8BE7A2CE37E4}" name="Colonne7673"/>
    <tableColumn id="7682" xr3:uid="{1F8B21F4-F34F-474D-A873-BAA7C8722E21}" name="Colonne7674"/>
    <tableColumn id="7683" xr3:uid="{242194CF-0AE8-42B2-9A3A-14592B898529}" name="Colonne7675"/>
    <tableColumn id="7684" xr3:uid="{037246D2-9827-48FF-83B0-09F5A69EFDF5}" name="Colonne7676"/>
    <tableColumn id="7685" xr3:uid="{123247A1-D908-4930-A6BC-B37BE00901A6}" name="Colonne7677"/>
    <tableColumn id="7686" xr3:uid="{24386D88-33A1-4908-BBBB-19772C1CC670}" name="Colonne7678"/>
    <tableColumn id="7687" xr3:uid="{612C38FE-DC7B-4B51-92FF-9053AC1A0D65}" name="Colonne7679"/>
    <tableColumn id="7688" xr3:uid="{2D01E9DC-EF79-4C26-B63D-38ACEDC59E4D}" name="Colonne7680"/>
    <tableColumn id="7689" xr3:uid="{446A8F76-20DB-4C99-A609-79FF2DBA2B00}" name="Colonne7681"/>
    <tableColumn id="7690" xr3:uid="{03FF94CD-0A22-4715-A6FE-88417B9F97B9}" name="Colonne7682"/>
    <tableColumn id="7691" xr3:uid="{9A169651-12E8-4DFA-B23A-7646E008D96B}" name="Colonne7683"/>
    <tableColumn id="7692" xr3:uid="{511ED11F-450E-4AAD-BA87-A22FD13EA0E7}" name="Colonne7684"/>
    <tableColumn id="7693" xr3:uid="{F82F0E3D-CE43-47DD-AB79-C73A0FD3BA87}" name="Colonne7685"/>
    <tableColumn id="7694" xr3:uid="{2649974B-F330-4E87-9540-131950C8084B}" name="Colonne7686"/>
    <tableColumn id="7695" xr3:uid="{7FF969C6-DE27-4A4E-BCEE-EB55C2430554}" name="Colonne7687"/>
    <tableColumn id="7696" xr3:uid="{1FC95D95-649E-4CB8-B7AB-5CF692783A46}" name="Colonne7688"/>
    <tableColumn id="7697" xr3:uid="{B4ABB10C-9B06-47F4-A21F-24C4324E7D83}" name="Colonne7689"/>
    <tableColumn id="7698" xr3:uid="{1E07D9E4-8A39-4FD1-9CC0-0288BFF9CE6C}" name="Colonne7690"/>
    <tableColumn id="7699" xr3:uid="{3F50FDC5-6672-4541-AC56-F67120207C3A}" name="Colonne7691"/>
    <tableColumn id="7700" xr3:uid="{E4D5E162-51C5-4FDC-A050-D221011C7A5B}" name="Colonne7692"/>
    <tableColumn id="7701" xr3:uid="{7CEDD38F-AE84-4300-B8D4-463F052207C6}" name="Colonne7693"/>
    <tableColumn id="7702" xr3:uid="{922F85C9-102A-4D2E-91D5-2A1122DB5341}" name="Colonne7694"/>
    <tableColumn id="7703" xr3:uid="{00559B96-3DDF-4563-8323-10FEC5A96205}" name="Colonne7695"/>
    <tableColumn id="7704" xr3:uid="{85590634-4143-4F7E-BA1F-BB8A2F5ED066}" name="Colonne7696"/>
    <tableColumn id="7705" xr3:uid="{ACF1F745-6205-44E9-9C8A-7B6587FC0A47}" name="Colonne7697"/>
    <tableColumn id="7706" xr3:uid="{A46ECF00-BBF3-45B6-9A88-8414F685BEF1}" name="Colonne7698"/>
    <tableColumn id="7707" xr3:uid="{5E710FE0-23AC-4C86-AFDB-8A19B31D7C45}" name="Colonne7699"/>
    <tableColumn id="7708" xr3:uid="{462317EA-A624-4D42-9358-E53F804B8740}" name="Colonne7700"/>
    <tableColumn id="7709" xr3:uid="{5764686D-BC27-4CD3-A592-067581A7AB77}" name="Colonne7701"/>
    <tableColumn id="7710" xr3:uid="{DF33FE15-25B4-4DF7-BC02-5528954A1F68}" name="Colonne7702"/>
    <tableColumn id="7711" xr3:uid="{34D30983-780B-4E3B-8631-27F7F9CDBAF2}" name="Colonne7703"/>
    <tableColumn id="7712" xr3:uid="{4CCAE0F4-3992-4D2A-A876-C31D5EF7ACAA}" name="Colonne7704"/>
    <tableColumn id="7713" xr3:uid="{43DED565-0490-4212-A169-1275DC3C0DE2}" name="Colonne7705"/>
    <tableColumn id="7714" xr3:uid="{E4C4EC64-F836-4504-8F30-AEC204A79DEC}" name="Colonne7706"/>
    <tableColumn id="7715" xr3:uid="{7BF4A460-5B21-4014-BCB4-D624623A37BE}" name="Colonne7707"/>
    <tableColumn id="7716" xr3:uid="{1D1CD6E0-D227-4306-800E-932AE8875F70}" name="Colonne7708"/>
    <tableColumn id="7717" xr3:uid="{5F15C991-79EF-4DA2-BD15-3DD4E281CC95}" name="Colonne7709"/>
    <tableColumn id="7718" xr3:uid="{444857FA-6FF8-4699-A8E2-3DF5489CB0FD}" name="Colonne7710"/>
    <tableColumn id="7719" xr3:uid="{C238CD77-8268-4A50-8E94-F082C12A63C7}" name="Colonne7711"/>
    <tableColumn id="7720" xr3:uid="{C2AA2C71-94A1-4008-B9FD-B7D9B24496AA}" name="Colonne7712"/>
    <tableColumn id="7721" xr3:uid="{C6F15661-A46C-4BAD-B00D-679F280BBC63}" name="Colonne7713"/>
    <tableColumn id="7722" xr3:uid="{EE7D56F2-B156-483A-986D-91B39AED848F}" name="Colonne7714"/>
    <tableColumn id="7723" xr3:uid="{F9858C95-9044-4989-9DF9-108EDD4EF4A0}" name="Colonne7715"/>
    <tableColumn id="7724" xr3:uid="{CC2AD3FD-B3BE-415A-A258-8E4F31DC36AF}" name="Colonne7716"/>
    <tableColumn id="7725" xr3:uid="{54436F09-CC01-46C7-BFFD-5525D7D24C2C}" name="Colonne7717"/>
    <tableColumn id="7726" xr3:uid="{D95378B3-C0A7-4532-BC0D-6B87A47DFCE1}" name="Colonne7718"/>
    <tableColumn id="7727" xr3:uid="{48B88D8F-9237-4ADD-B0C4-7F9038C916F4}" name="Colonne7719"/>
    <tableColumn id="7728" xr3:uid="{E00C65AF-0299-4223-BB7A-6BDA0CBCE02C}" name="Colonne7720"/>
    <tableColumn id="7729" xr3:uid="{669F742B-24F3-488B-958F-5ED399D02342}" name="Colonne7721"/>
    <tableColumn id="7730" xr3:uid="{0E9414B5-553B-4FA8-A5A2-5F8F9B1C5378}" name="Colonne7722"/>
    <tableColumn id="7731" xr3:uid="{6558CB2D-5ED0-49D8-A599-C0E3C06E1114}" name="Colonne7723"/>
    <tableColumn id="7732" xr3:uid="{E46A6022-C644-494A-A83C-FB5AE68A8CEF}" name="Colonne7724"/>
    <tableColumn id="7733" xr3:uid="{76522802-B16D-455C-954D-E1BFAE8988C2}" name="Colonne7725"/>
    <tableColumn id="7734" xr3:uid="{44DD5873-774F-4138-9F32-9812C4793425}" name="Colonne7726"/>
    <tableColumn id="7735" xr3:uid="{D121D26D-920B-4A19-9090-2F391D82A292}" name="Colonne7727"/>
    <tableColumn id="7736" xr3:uid="{AF6D16BD-4D48-45B1-B49F-0D33B4DF899A}" name="Colonne7728"/>
    <tableColumn id="7737" xr3:uid="{24067127-F2E7-4B4E-B72A-38A5402D7C9D}" name="Colonne7729"/>
    <tableColumn id="7738" xr3:uid="{35FF755A-E964-4F49-8753-30629C17D0CE}" name="Colonne7730"/>
    <tableColumn id="7739" xr3:uid="{740254D6-874F-4F84-A34A-8A22F6B1F17B}" name="Colonne7731"/>
    <tableColumn id="7740" xr3:uid="{37EC0391-136F-440C-8266-D651EDB284C1}" name="Colonne7732"/>
    <tableColumn id="7741" xr3:uid="{B0DF9428-D64A-4EB9-BA14-0DD366043816}" name="Colonne7733"/>
    <tableColumn id="7742" xr3:uid="{DB2BC694-BBEC-45EE-864C-D6D81A69D71B}" name="Colonne7734"/>
    <tableColumn id="7743" xr3:uid="{6D1AFE6E-613B-4BA0-89A4-424A1305878B}" name="Colonne7735"/>
    <tableColumn id="7744" xr3:uid="{1872107C-D4CE-420C-8F67-8C7352461036}" name="Colonne7736"/>
    <tableColumn id="7745" xr3:uid="{2A28CEF9-54AE-4706-B41F-A720C823D2CE}" name="Colonne7737"/>
    <tableColumn id="7746" xr3:uid="{8CAFDFCB-8840-4718-A440-5FD73C76BDF7}" name="Colonne7738"/>
    <tableColumn id="7747" xr3:uid="{13B98D87-7C58-44D7-89AC-A5DFFEF75AF4}" name="Colonne7739"/>
    <tableColumn id="7748" xr3:uid="{154E4294-E3E5-415D-982C-59A7901AF473}" name="Colonne7740"/>
    <tableColumn id="7749" xr3:uid="{78D4E39B-9BEF-4192-B382-3E6AC5C2802A}" name="Colonne7741"/>
    <tableColumn id="7750" xr3:uid="{DD5C9A1D-E8E4-42F5-B461-231443461054}" name="Colonne7742"/>
    <tableColumn id="7751" xr3:uid="{A856F82C-A296-4AD7-A198-3E8E03F94E57}" name="Colonne7743"/>
    <tableColumn id="7752" xr3:uid="{6EF6C453-8535-49F7-9B77-F23BA7FC3654}" name="Colonne7744"/>
    <tableColumn id="7753" xr3:uid="{D92A8BF2-0319-4C3B-8839-C904E5DBE9CD}" name="Colonne7745"/>
    <tableColumn id="7754" xr3:uid="{CFF15CE6-9BC8-4A6A-8074-ED6429F03495}" name="Colonne7746"/>
    <tableColumn id="7755" xr3:uid="{30D77476-0A03-48C9-B0C6-6605D8E19493}" name="Colonne7747"/>
    <tableColumn id="7756" xr3:uid="{F3F71B71-B623-478E-A768-298A0F1A5486}" name="Colonne7748"/>
    <tableColumn id="7757" xr3:uid="{DB29B96C-A5E2-4F41-883C-2C55A559CECA}" name="Colonne7749"/>
    <tableColumn id="7758" xr3:uid="{654B542C-C53A-4C39-94D0-A0C83C2F34B2}" name="Colonne7750"/>
    <tableColumn id="7759" xr3:uid="{EDBE5BAA-6D8E-4355-87F7-FD32651C77B5}" name="Colonne7751"/>
    <tableColumn id="7760" xr3:uid="{73C3E8CE-5557-403B-9A92-D24CB5D9643A}" name="Colonne7752"/>
    <tableColumn id="7761" xr3:uid="{2A523AC7-D58B-4641-BDC8-07A50DC2D31B}" name="Colonne7753"/>
    <tableColumn id="7762" xr3:uid="{1E047831-0FBF-4C71-B07C-18BD1DFD3401}" name="Colonne7754"/>
    <tableColumn id="7763" xr3:uid="{F89B9DDB-475A-46A3-A93E-C4970FB31EFB}" name="Colonne7755"/>
    <tableColumn id="7764" xr3:uid="{BB3BC50B-B7F1-4B1F-9CF7-8A4815994A17}" name="Colonne7756"/>
    <tableColumn id="7765" xr3:uid="{37278C97-E820-45CB-B0C5-707E77F29A4E}" name="Colonne7757"/>
    <tableColumn id="7766" xr3:uid="{1ACC54A4-7E6C-4CF9-A8E8-F83DF5DF3068}" name="Colonne7758"/>
    <tableColumn id="7767" xr3:uid="{CE6CFB90-BACA-4330-A2A3-F57722FB5674}" name="Colonne7759"/>
    <tableColumn id="7768" xr3:uid="{816E05EF-8E7D-43D8-88A2-A9BB4D625A6B}" name="Colonne7760"/>
    <tableColumn id="7769" xr3:uid="{E8C5E198-46EE-4B81-8640-57E1A2010E37}" name="Colonne7761"/>
    <tableColumn id="7770" xr3:uid="{2A1CF261-4D15-48C6-9404-A9E2644F2B3D}" name="Colonne7762"/>
    <tableColumn id="7771" xr3:uid="{79AED331-DCED-471A-9CB3-A8F3316B607F}" name="Colonne7763"/>
    <tableColumn id="7772" xr3:uid="{61CE463D-D0D2-4D58-82F1-CC445F998DDB}" name="Colonne7764"/>
    <tableColumn id="7773" xr3:uid="{20E496E8-06BB-41D0-BFBA-61897615997F}" name="Colonne7765"/>
    <tableColumn id="7774" xr3:uid="{788E7AFE-5855-4516-8956-706526C4C0D4}" name="Colonne7766"/>
    <tableColumn id="7775" xr3:uid="{FB27FC8E-EAAE-4909-A076-C9045A44C05A}" name="Colonne7767"/>
    <tableColumn id="7776" xr3:uid="{8C4DAB9C-D09C-4964-A13A-1E913CAFFD20}" name="Colonne7768"/>
    <tableColumn id="7777" xr3:uid="{31B0D38A-8B71-45CB-B3C4-C26BB3D9C86E}" name="Colonne7769"/>
    <tableColumn id="7778" xr3:uid="{E8F8AE62-4BAD-4526-9DFB-5F1EB22A369D}" name="Colonne7770"/>
    <tableColumn id="7779" xr3:uid="{AAFF3B16-5ABF-40B8-99A9-9338763A7371}" name="Colonne7771"/>
    <tableColumn id="7780" xr3:uid="{B1A32B7B-955C-420C-BE9A-3F1CFBBEB727}" name="Colonne7772"/>
    <tableColumn id="7781" xr3:uid="{1A16293B-CE9C-4BB4-8A9E-E7CEAAB392D1}" name="Colonne7773"/>
    <tableColumn id="7782" xr3:uid="{8CEEDC6E-0738-4681-81C4-E18F27F621C6}" name="Colonne7774"/>
    <tableColumn id="7783" xr3:uid="{1A47BDE1-4E16-4983-A8E1-9C2E96C1676B}" name="Colonne7775"/>
    <tableColumn id="7784" xr3:uid="{4C0357A7-1C6C-49A1-BB82-CCEE385CA119}" name="Colonne7776"/>
    <tableColumn id="7785" xr3:uid="{002B33C5-40F1-4D16-98E6-FDFAA95F110C}" name="Colonne7777"/>
    <tableColumn id="7786" xr3:uid="{13468BD6-C2FF-436F-B254-191BFD4FC403}" name="Colonne7778"/>
    <tableColumn id="7787" xr3:uid="{D290F710-C45B-44F8-90ED-7B4E5DE0A8FA}" name="Colonne7779"/>
    <tableColumn id="7788" xr3:uid="{E6C64E7B-01F2-462B-9A36-5D0A80FD19C9}" name="Colonne7780"/>
    <tableColumn id="7789" xr3:uid="{F1ECA3D0-2B54-4133-9BD8-B3F70BBFD874}" name="Colonne7781"/>
    <tableColumn id="7790" xr3:uid="{29BF58D9-D0D1-4B80-832F-636976CCF811}" name="Colonne7782"/>
    <tableColumn id="7791" xr3:uid="{A0C12A9D-1369-4804-9520-EAF987B43B23}" name="Colonne7783"/>
    <tableColumn id="7792" xr3:uid="{800F964B-54D7-4246-BA48-6B62F6541F50}" name="Colonne7784"/>
    <tableColumn id="7793" xr3:uid="{592603FB-7766-4155-AEFD-9240ACDEE33F}" name="Colonne7785"/>
    <tableColumn id="7794" xr3:uid="{DE4BD307-FC12-47F9-BB2D-83ADA31237CF}" name="Colonne7786"/>
    <tableColumn id="7795" xr3:uid="{4343A4CA-DCA9-4477-9ECD-93C7AEBBDB5C}" name="Colonne7787"/>
    <tableColumn id="7796" xr3:uid="{80772ABB-E206-4828-AD83-99F4E205F46F}" name="Colonne7788"/>
    <tableColumn id="7797" xr3:uid="{9D55F48E-BABA-42CC-A1CA-5FFA96DBE684}" name="Colonne7789"/>
    <tableColumn id="7798" xr3:uid="{4E74CB0C-4AA0-43DF-BFC0-1A61936C2DA8}" name="Colonne7790"/>
    <tableColumn id="7799" xr3:uid="{BAEAA378-437C-470E-BC4B-E517D1014F18}" name="Colonne7791"/>
    <tableColumn id="7800" xr3:uid="{C439CBE0-D2B7-4799-A2D3-7F0E25542D21}" name="Colonne7792"/>
    <tableColumn id="7801" xr3:uid="{D960D6B8-9EEE-45B0-8D7E-D0CBD3A9469B}" name="Colonne7793"/>
    <tableColumn id="7802" xr3:uid="{308269B6-5D82-4A70-996F-D2332F7B3153}" name="Colonne7794"/>
    <tableColumn id="7803" xr3:uid="{2C87BCF9-B457-4C71-BCA7-472EB0AF3577}" name="Colonne7795"/>
    <tableColumn id="7804" xr3:uid="{94AB3F53-AEDD-4D44-A952-2D5D9B2DBFC2}" name="Colonne7796"/>
    <tableColumn id="7805" xr3:uid="{0380C8F1-A766-4BD6-A3EE-0F33873536EC}" name="Colonne7797"/>
    <tableColumn id="7806" xr3:uid="{0626E19E-7927-47E7-A181-BF8FDF30AA02}" name="Colonne7798"/>
    <tableColumn id="7807" xr3:uid="{1CAA41C1-9BB9-4A48-864D-D4B50EC34E1E}" name="Colonne7799"/>
    <tableColumn id="7808" xr3:uid="{9DAB088A-22CD-4AF2-B6A2-2CF86915F46B}" name="Colonne7800"/>
    <tableColumn id="7809" xr3:uid="{1734B71A-11F3-4992-88BE-FD4F725832E0}" name="Colonne7801"/>
    <tableColumn id="7810" xr3:uid="{C59448AF-DA94-4184-BB3E-0274A48F10DC}" name="Colonne7802"/>
    <tableColumn id="7811" xr3:uid="{F19A04AC-9BC7-4001-8B7C-7A7B1795CEA6}" name="Colonne7803"/>
    <tableColumn id="7812" xr3:uid="{BF08E078-9F08-4AD0-83A7-5171A9DA62F3}" name="Colonne7804"/>
    <tableColumn id="7813" xr3:uid="{5BB1A09B-E857-425C-8C0E-B788F142600E}" name="Colonne7805"/>
    <tableColumn id="7814" xr3:uid="{8D45919A-C1B8-4106-8776-0F4BF85BDE0E}" name="Colonne7806"/>
    <tableColumn id="7815" xr3:uid="{94FC66CB-5FB1-475B-AB4D-15EFE980E3E6}" name="Colonne7807"/>
    <tableColumn id="7816" xr3:uid="{D1CE240F-587E-4377-B91A-FC49DEE33783}" name="Colonne7808"/>
    <tableColumn id="7817" xr3:uid="{878D8C47-BB36-488C-8C06-DDBCA361CB25}" name="Colonne7809"/>
    <tableColumn id="7818" xr3:uid="{80D26450-2E75-40E8-8C80-0EA6B8E91595}" name="Colonne7810"/>
    <tableColumn id="7819" xr3:uid="{A035043B-5250-4E05-9511-4ED119B15CCB}" name="Colonne7811"/>
    <tableColumn id="7820" xr3:uid="{9C8BA948-EABB-444F-8B31-12C208F2F793}" name="Colonne7812"/>
    <tableColumn id="7821" xr3:uid="{90A14A9F-0C85-4399-A59B-D53421BDBE3A}" name="Colonne7813"/>
    <tableColumn id="7822" xr3:uid="{768CA06F-FD31-413F-826F-E7718EBAB190}" name="Colonne7814"/>
    <tableColumn id="7823" xr3:uid="{DFA6D3D8-1AFB-4433-8B23-0A1F56D51667}" name="Colonne7815"/>
    <tableColumn id="7824" xr3:uid="{44F91B4B-453B-4C48-A6A1-A123C132D31F}" name="Colonne7816"/>
    <tableColumn id="7825" xr3:uid="{01E9838F-93EB-4445-828E-342AE18CE8F2}" name="Colonne7817"/>
    <tableColumn id="7826" xr3:uid="{012E1D11-9D79-42D9-A08B-BA63E9E6E58F}" name="Colonne7818"/>
    <tableColumn id="7827" xr3:uid="{38DA3827-8BF5-4678-9EA8-8A9B54871323}" name="Colonne7819"/>
    <tableColumn id="7828" xr3:uid="{EAD8726E-AB50-4CC8-B9F6-641DD483ECEF}" name="Colonne7820"/>
    <tableColumn id="7829" xr3:uid="{7F485EA7-2B4A-4715-B9D0-17BCBD035E62}" name="Colonne7821"/>
    <tableColumn id="7830" xr3:uid="{EEAABB30-2DE0-4FD3-9242-8260DFF6A468}" name="Colonne7822"/>
    <tableColumn id="7831" xr3:uid="{03153D28-BB0C-4ECD-AF7B-A91B8A4F45A8}" name="Colonne7823"/>
    <tableColumn id="7832" xr3:uid="{BF788A7B-C8A7-4622-9648-3F4B0A138640}" name="Colonne7824"/>
    <tableColumn id="7833" xr3:uid="{02BD4DAF-95AB-494A-B656-1EBDBE9CC31D}" name="Colonne7825"/>
    <tableColumn id="7834" xr3:uid="{E448D3C8-4D65-49A0-864E-95AF6FDDEEC3}" name="Colonne7826"/>
    <tableColumn id="7835" xr3:uid="{443FB6AF-CFA5-4124-90FA-14D33C6E431B}" name="Colonne7827"/>
    <tableColumn id="7836" xr3:uid="{C018EDC9-8BAB-40C3-BF9B-C70445F99C68}" name="Colonne7828"/>
    <tableColumn id="7837" xr3:uid="{E3E4C7E4-62CB-4267-AE0F-A01FA77CC499}" name="Colonne7829"/>
    <tableColumn id="7838" xr3:uid="{01703A69-DA24-4BAF-82FE-A9623E61EFE5}" name="Colonne7830"/>
    <tableColumn id="7839" xr3:uid="{D183EC4A-8EA1-4714-95C0-388FFB7C599D}" name="Colonne7831"/>
    <tableColumn id="7840" xr3:uid="{7887158A-E646-4561-962D-08D782EBC4B2}" name="Colonne7832"/>
    <tableColumn id="7841" xr3:uid="{FDE23ADE-2273-4CDE-98D0-ED5675E5C48C}" name="Colonne7833"/>
    <tableColumn id="7842" xr3:uid="{2A717FDC-562D-4998-B907-F5D9AB2E3E2F}" name="Colonne7834"/>
    <tableColumn id="7843" xr3:uid="{73D5DDD9-C3F6-4C63-84F9-2643448EB476}" name="Colonne7835"/>
    <tableColumn id="7844" xr3:uid="{F0322684-DAB5-41A3-982F-2345FB86265B}" name="Colonne7836"/>
    <tableColumn id="7845" xr3:uid="{6D35A433-8F2E-43C5-8388-D9B57C004F3A}" name="Colonne7837"/>
    <tableColumn id="7846" xr3:uid="{2AACDD49-2816-4CD1-9044-34DF8E4B6225}" name="Colonne7838"/>
    <tableColumn id="7847" xr3:uid="{38756884-9179-4C2D-8D7C-C04D4CDCE57A}" name="Colonne7839"/>
    <tableColumn id="7848" xr3:uid="{94191935-DEE3-4CBD-8F15-273352A15DB4}" name="Colonne7840"/>
    <tableColumn id="7849" xr3:uid="{16318C29-3027-4954-B348-DD787F6716D5}" name="Colonne7841"/>
    <tableColumn id="7850" xr3:uid="{50E22F05-2168-4090-8F42-CC7D97CE0869}" name="Colonne7842"/>
    <tableColumn id="7851" xr3:uid="{4AA3744D-BE7E-4B79-AD8F-7957D033FB53}" name="Colonne7843"/>
    <tableColumn id="7852" xr3:uid="{F46E9339-E959-42E3-A5DA-0CF529072F05}" name="Colonne7844"/>
    <tableColumn id="7853" xr3:uid="{12180F10-AF99-42F6-A54B-E96193AB67EB}" name="Colonne7845"/>
    <tableColumn id="7854" xr3:uid="{81BB0987-B174-4B48-928E-E3D4D51C056D}" name="Colonne7846"/>
    <tableColumn id="7855" xr3:uid="{51210D77-47D9-4000-9ABE-3DA813835C95}" name="Colonne7847"/>
    <tableColumn id="7856" xr3:uid="{2F4E09A4-2FFB-4545-82C4-B0355AA08017}" name="Colonne7848"/>
    <tableColumn id="7857" xr3:uid="{14AF0041-9742-4EBD-9C44-381C0DFBC5BF}" name="Colonne7849"/>
    <tableColumn id="7858" xr3:uid="{11925591-0FB3-4DB5-9023-C5E916E90FEB}" name="Colonne7850"/>
    <tableColumn id="7859" xr3:uid="{31DE46DE-F7FD-4D55-9662-7C6055F0049A}" name="Colonne7851"/>
    <tableColumn id="7860" xr3:uid="{E520A88D-EBB3-4F69-833C-8E20B3D32490}" name="Colonne7852"/>
    <tableColumn id="7861" xr3:uid="{73907C8E-C3AD-4347-98C8-03E998F3E4E2}" name="Colonne7853"/>
    <tableColumn id="7862" xr3:uid="{8D1A4D26-7D3B-49A4-A0FE-17455C0908E3}" name="Colonne7854"/>
    <tableColumn id="7863" xr3:uid="{A2B9F644-3549-4C65-8978-5E19F6B35ADE}" name="Colonne7855"/>
    <tableColumn id="7864" xr3:uid="{44FDE8A3-B02B-4BB1-BB0A-C63ACE7D94EC}" name="Colonne7856"/>
    <tableColumn id="7865" xr3:uid="{BBD54185-D831-4845-9B7B-B89D6D2F44A5}" name="Colonne7857"/>
    <tableColumn id="7866" xr3:uid="{7D67163B-B744-452B-9982-BCC617359F12}" name="Colonne7858"/>
    <tableColumn id="7867" xr3:uid="{AC36BA47-76CD-44F9-B1E9-D257210BCDD4}" name="Colonne7859"/>
    <tableColumn id="7868" xr3:uid="{65C5D8AE-0AC8-41F0-8F1A-F48E1275E121}" name="Colonne7860"/>
    <tableColumn id="7869" xr3:uid="{862FA45F-27FC-440E-98A3-BE44B267BE6B}" name="Colonne7861"/>
    <tableColumn id="7870" xr3:uid="{37F98520-35C7-4D69-BC49-DFEBBAF5347D}" name="Colonne7862"/>
    <tableColumn id="7871" xr3:uid="{2D244247-C57F-4055-A8DB-3AC76CE87798}" name="Colonne7863"/>
    <tableColumn id="7872" xr3:uid="{7856CE62-C8E1-4887-9073-6885F4521870}" name="Colonne7864"/>
    <tableColumn id="7873" xr3:uid="{50F59182-E710-4161-AAE8-D993BEB13DC9}" name="Colonne7865"/>
    <tableColumn id="7874" xr3:uid="{E6417F4F-55B0-4CBE-B2C7-9BE5C8C263BC}" name="Colonne7866"/>
    <tableColumn id="7875" xr3:uid="{AD77C03B-B7BA-479B-941A-1BD381192912}" name="Colonne7867"/>
    <tableColumn id="7876" xr3:uid="{52B992F9-B21A-4FEE-B251-68FAB72C9E0A}" name="Colonne7868"/>
    <tableColumn id="7877" xr3:uid="{9CDC8B30-4A36-459C-A6AC-75219C31A688}" name="Colonne7869"/>
    <tableColumn id="7878" xr3:uid="{E025BE09-723C-43FA-BD97-3C27EFBB680D}" name="Colonne7870"/>
    <tableColumn id="7879" xr3:uid="{F6448218-0238-46D7-AC96-6A22C5FD61EC}" name="Colonne7871"/>
    <tableColumn id="7880" xr3:uid="{EEA22A67-E622-4034-9649-7F226EA9FEF3}" name="Colonne7872"/>
    <tableColumn id="7881" xr3:uid="{78B40EE3-AE18-482E-BCA8-732DB96B0E73}" name="Colonne7873"/>
    <tableColumn id="7882" xr3:uid="{5A2AA824-CD72-43A6-BE55-0DF536B12F92}" name="Colonne7874"/>
    <tableColumn id="7883" xr3:uid="{37C7BB10-71A8-4C74-907C-E2ECA0FDB88E}" name="Colonne7875"/>
    <tableColumn id="7884" xr3:uid="{5A816803-862B-4B4C-8195-69E3ECB44912}" name="Colonne7876"/>
    <tableColumn id="7885" xr3:uid="{5C8EC9A9-8FD0-4254-9EF0-58D448E8F5D0}" name="Colonne7877"/>
    <tableColumn id="7886" xr3:uid="{1BBE9BE8-971E-49D3-9093-5C6C60A1CE61}" name="Colonne7878"/>
    <tableColumn id="7887" xr3:uid="{80EFDCFE-1044-4DEC-A38B-F71E1D0E05E1}" name="Colonne7879"/>
    <tableColumn id="7888" xr3:uid="{E7232977-7475-4EF7-BEF1-3736778E9F35}" name="Colonne7880"/>
    <tableColumn id="7889" xr3:uid="{9E2BAE39-9C49-488F-9CC1-5B31407EFC84}" name="Colonne7881"/>
    <tableColumn id="7890" xr3:uid="{E5DE6CC7-A0A7-4DAA-B3AF-F4B4596409EE}" name="Colonne7882"/>
    <tableColumn id="7891" xr3:uid="{601FA3FC-1266-4250-91F6-3A799DBAD676}" name="Colonne7883"/>
    <tableColumn id="7892" xr3:uid="{6EEDE560-B8E6-438D-9B8C-E859D7717263}" name="Colonne7884"/>
    <tableColumn id="7893" xr3:uid="{ECB620DB-4F6D-47A8-9942-38EA0F044DEE}" name="Colonne7885"/>
    <tableColumn id="7894" xr3:uid="{E4FD6B8D-B2EB-4F12-9000-214F686BAE5E}" name="Colonne7886"/>
    <tableColumn id="7895" xr3:uid="{6A48FF4E-5B27-4111-A747-639FCD294117}" name="Colonne7887"/>
    <tableColumn id="7896" xr3:uid="{4C5F6651-49FC-4C68-AD5F-4E68F341768A}" name="Colonne7888"/>
    <tableColumn id="7897" xr3:uid="{3D6FC7C7-CF31-428E-A35B-10A36E75D028}" name="Colonne7889"/>
    <tableColumn id="7898" xr3:uid="{6A106AEF-0590-45FD-B31C-2C2118433A69}" name="Colonne7890"/>
    <tableColumn id="7899" xr3:uid="{A89A6122-2B92-40F8-A6FF-CB2EF460BEE2}" name="Colonne7891"/>
    <tableColumn id="7900" xr3:uid="{5608FE81-1053-48D2-AD35-4F1ABAFEE2CE}" name="Colonne7892"/>
    <tableColumn id="7901" xr3:uid="{66FD4AC8-2D70-47E8-9C73-CEFEA1616482}" name="Colonne7893"/>
    <tableColumn id="7902" xr3:uid="{E0882C78-43F5-4BAC-A7D9-680C266EAA1C}" name="Colonne7894"/>
    <tableColumn id="7903" xr3:uid="{D81FEACF-E733-49C7-B8D9-269B97BF983A}" name="Colonne7895"/>
    <tableColumn id="7904" xr3:uid="{C2BE684E-0BED-4BE9-8CC0-70567A73F33A}" name="Colonne7896"/>
    <tableColumn id="7905" xr3:uid="{60E77768-FE7C-4C65-93E3-69FD4C89201C}" name="Colonne7897"/>
    <tableColumn id="7906" xr3:uid="{7FE0988D-9243-46ED-83BC-C0253033E739}" name="Colonne7898"/>
    <tableColumn id="7907" xr3:uid="{935C619D-2E8B-49EF-8043-11D0B30BD6A4}" name="Colonne7899"/>
    <tableColumn id="7908" xr3:uid="{3F3DE8C8-7B5C-4DBA-9E9B-C78B6D139554}" name="Colonne7900"/>
    <tableColumn id="7909" xr3:uid="{F15DCBCF-A162-4438-B501-6D5125FF29B5}" name="Colonne7901"/>
    <tableColumn id="7910" xr3:uid="{809F81B7-EF9A-4F4A-B9D8-0A4A3282321C}" name="Colonne7902"/>
    <tableColumn id="7911" xr3:uid="{50992A17-987C-4941-AF05-116F4CC836D5}" name="Colonne7903"/>
    <tableColumn id="7912" xr3:uid="{D8F4206E-87C0-42ED-B9FE-12150C65BEBA}" name="Colonne7904"/>
    <tableColumn id="7913" xr3:uid="{1194812F-7B2C-4485-80D7-A6436A97B702}" name="Colonne7905"/>
    <tableColumn id="7914" xr3:uid="{352CACC2-9991-4D36-A723-91E77D8C855B}" name="Colonne7906"/>
    <tableColumn id="7915" xr3:uid="{36C57D0B-7429-4E52-B4D3-3A4FD1A62B61}" name="Colonne7907"/>
    <tableColumn id="7916" xr3:uid="{FED94E3E-A9A5-4A3F-AE2C-252127AEEFAC}" name="Colonne7908"/>
    <tableColumn id="7917" xr3:uid="{E1BFF0B3-4F13-4DAE-AB4E-17E7D8FB7385}" name="Colonne7909"/>
    <tableColumn id="7918" xr3:uid="{39ED3258-D83A-400E-A011-8387D2CAB190}" name="Colonne7910"/>
    <tableColumn id="7919" xr3:uid="{4515930D-97BA-4273-B0DB-A028C751B60B}" name="Colonne7911"/>
    <tableColumn id="7920" xr3:uid="{8101D4D9-3FDD-4811-8FD8-7AB015BF8ACE}" name="Colonne7912"/>
    <tableColumn id="7921" xr3:uid="{D33AA9EF-8BB5-459E-BD50-67801C462BD8}" name="Colonne7913"/>
    <tableColumn id="7922" xr3:uid="{58005E8E-4E53-45C6-BB3F-F58F577AE0C3}" name="Colonne7914"/>
    <tableColumn id="7923" xr3:uid="{7126AF6C-2C9B-4F3F-8B90-811D8AC81D5B}" name="Colonne7915"/>
    <tableColumn id="7924" xr3:uid="{DB53C962-E4E0-4EDE-A5AD-65CD3EDBC5F0}" name="Colonne7916"/>
    <tableColumn id="7925" xr3:uid="{86569DBD-F6F6-4D8E-A039-B8D13DEB67F2}" name="Colonne7917"/>
    <tableColumn id="7926" xr3:uid="{646FD33C-C532-4B6F-B540-1C9FC163B840}" name="Colonne7918"/>
    <tableColumn id="7927" xr3:uid="{4E455147-EFAC-43BB-8BC1-ADF91871D8F0}" name="Colonne7919"/>
    <tableColumn id="7928" xr3:uid="{72039A40-0C17-479F-99BB-F881CC346856}" name="Colonne7920"/>
    <tableColumn id="7929" xr3:uid="{04C9B4C2-05C5-4BE7-9E3C-3906659FABA7}" name="Colonne7921"/>
    <tableColumn id="7930" xr3:uid="{6AF18E40-2F06-46B4-B8E7-A42305EB256B}" name="Colonne7922"/>
    <tableColumn id="7931" xr3:uid="{339F8927-55B8-4288-BA96-C07A80E30F98}" name="Colonne7923"/>
    <tableColumn id="7932" xr3:uid="{6AE682A3-6977-4A7B-9512-B181CBD5660F}" name="Colonne7924"/>
    <tableColumn id="7933" xr3:uid="{F393F393-FC3E-4615-9A7A-DAD82B2A89CC}" name="Colonne7925"/>
    <tableColumn id="7934" xr3:uid="{F27A5C12-52AC-4DCF-8DA6-F6C630BD1E71}" name="Colonne7926"/>
    <tableColumn id="7935" xr3:uid="{A8D61634-C347-47C8-B3B2-B6F10A07C1C3}" name="Colonne7927"/>
    <tableColumn id="7936" xr3:uid="{9AF7B7E8-11C7-466C-B82F-35F82C956F02}" name="Colonne7928"/>
    <tableColumn id="7937" xr3:uid="{85196B5B-94D1-4943-9606-B5EDB48EF13F}" name="Colonne7929"/>
    <tableColumn id="7938" xr3:uid="{4D424B72-2663-40B1-8533-160BC0885AD7}" name="Colonne7930"/>
    <tableColumn id="7939" xr3:uid="{D077CD85-999D-4E96-8C7D-35D59490A240}" name="Colonne7931"/>
    <tableColumn id="7940" xr3:uid="{CDCA701D-B331-48AA-8CB1-D8111059A9BD}" name="Colonne7932"/>
    <tableColumn id="7941" xr3:uid="{EF213C39-0ABB-4B3F-B25D-D70E5D0B91A9}" name="Colonne7933"/>
    <tableColumn id="7942" xr3:uid="{EB96647C-12C8-496E-9437-66D9F0895B5B}" name="Colonne7934"/>
    <tableColumn id="7943" xr3:uid="{8E3C29C3-53F0-4613-9257-FA9DB5020C9F}" name="Colonne7935"/>
    <tableColumn id="7944" xr3:uid="{613C70DD-4AF9-427A-BE65-0BE579C7CA8E}" name="Colonne7936"/>
    <tableColumn id="7945" xr3:uid="{D26822FD-04BF-4119-A4D8-A20241125882}" name="Colonne7937"/>
    <tableColumn id="7946" xr3:uid="{3B55193D-40BA-42B3-870B-66F4C6A9A52B}" name="Colonne7938"/>
    <tableColumn id="7947" xr3:uid="{6745DD24-895C-4791-95F7-0D2D730CB505}" name="Colonne7939"/>
    <tableColumn id="7948" xr3:uid="{377781BC-AB60-4949-B4C3-369D8CC63908}" name="Colonne7940"/>
    <tableColumn id="7949" xr3:uid="{023FBB8B-BEF5-4441-8AD3-5DEFEAFAD892}" name="Colonne7941"/>
    <tableColumn id="7950" xr3:uid="{B0B47118-5B5C-4A4C-BBBE-67F69E781F7E}" name="Colonne7942"/>
    <tableColumn id="7951" xr3:uid="{85CA1E66-A11E-4839-87FC-365AF461A1DD}" name="Colonne7943"/>
    <tableColumn id="7952" xr3:uid="{DD3FB177-ACD8-4828-9621-E7113DF3F6C8}" name="Colonne7944"/>
    <tableColumn id="7953" xr3:uid="{57A0C662-1ED6-4126-A6AA-59C9596057E3}" name="Colonne7945"/>
    <tableColumn id="7954" xr3:uid="{752D5BAD-EA34-4016-AE3A-82E9E28B7937}" name="Colonne7946"/>
    <tableColumn id="7955" xr3:uid="{6232DB3F-8AAE-48BB-9229-27217613F727}" name="Colonne7947"/>
    <tableColumn id="7956" xr3:uid="{B85FCCE4-56CA-4B3E-8758-D68B1B81CF04}" name="Colonne7948"/>
    <tableColumn id="7957" xr3:uid="{2B0F95A7-E074-4A31-8329-785A3C86F29C}" name="Colonne7949"/>
    <tableColumn id="7958" xr3:uid="{4A0A103E-7D28-416A-AF07-B04B57A90B79}" name="Colonne7950"/>
    <tableColumn id="7959" xr3:uid="{69C2ED9C-1319-4BE7-B330-A758CEB2D1AF}" name="Colonne7951"/>
    <tableColumn id="7960" xr3:uid="{3EE282F0-BA84-426C-B92B-09C908C80C3C}" name="Colonne7952"/>
    <tableColumn id="7961" xr3:uid="{63BBD8DA-40FF-4569-ADD7-026C4F41F17B}" name="Colonne7953"/>
    <tableColumn id="7962" xr3:uid="{37E8FE1E-90B1-4B35-8D7A-1C3450E47585}" name="Colonne7954"/>
    <tableColumn id="7963" xr3:uid="{9985D091-208F-4FB5-9235-3D4535B458EE}" name="Colonne7955"/>
    <tableColumn id="7964" xr3:uid="{4F0CA4D3-1C5A-4D3F-ADA2-5CD6783FB5BB}" name="Colonne7956"/>
    <tableColumn id="7965" xr3:uid="{DBC4E661-AE22-432F-A9F5-F25E6FFC6C6F}" name="Colonne7957"/>
    <tableColumn id="7966" xr3:uid="{609B60A4-07C0-49CE-B3C9-B310C53B72BD}" name="Colonne7958"/>
    <tableColumn id="7967" xr3:uid="{A150A2C1-9744-44B9-B9C4-F9991710AC1D}" name="Colonne7959"/>
    <tableColumn id="7968" xr3:uid="{639A11B8-DCFF-4F8C-972A-B64DD049F14E}" name="Colonne7960"/>
    <tableColumn id="7969" xr3:uid="{BB643541-3A75-422C-B426-04D77C496F13}" name="Colonne7961"/>
    <tableColumn id="7970" xr3:uid="{FC36D5B8-3418-4FF8-82B5-30352463177F}" name="Colonne7962"/>
    <tableColumn id="7971" xr3:uid="{531446BE-318F-42C9-BC24-6AEFCB76EED5}" name="Colonne7963"/>
    <tableColumn id="7972" xr3:uid="{73549FDF-F623-4D6B-9C5B-4437BF8469C5}" name="Colonne7964"/>
    <tableColumn id="7973" xr3:uid="{E398F47A-69F2-4A7F-932C-19DBFD904A23}" name="Colonne7965"/>
    <tableColumn id="7974" xr3:uid="{E6E39115-C347-4B05-9203-88512484A29D}" name="Colonne7966"/>
    <tableColumn id="7975" xr3:uid="{FEBA8749-5A6C-4091-AD0B-B0B67664BD2D}" name="Colonne7967"/>
    <tableColumn id="7976" xr3:uid="{90F5BBA8-F16E-4BE5-B6EC-48E4CE7FABB3}" name="Colonne7968"/>
    <tableColumn id="7977" xr3:uid="{B0177EBA-09AF-4BAB-A42A-3F6F22F18CC1}" name="Colonne7969"/>
    <tableColumn id="7978" xr3:uid="{BE21FEDF-846C-4F04-A41F-2117F8AF0A56}" name="Colonne7970"/>
    <tableColumn id="7979" xr3:uid="{037C563B-9FD1-42B1-86B5-07C1961F95E9}" name="Colonne7971"/>
    <tableColumn id="7980" xr3:uid="{DE832C53-5521-465F-95B6-42DF9F288960}" name="Colonne7972"/>
    <tableColumn id="7981" xr3:uid="{28855E97-A0EB-4A16-952B-2C24B6CBEED0}" name="Colonne7973"/>
    <tableColumn id="7982" xr3:uid="{B3ABB5B2-667D-470C-84E9-0264073C1721}" name="Colonne7974"/>
    <tableColumn id="7983" xr3:uid="{BB935A9C-81BD-4089-918F-B1EC20AA5E09}" name="Colonne7975"/>
    <tableColumn id="7984" xr3:uid="{B2599730-9D2A-45DE-B57C-2E9FA57C5DE5}" name="Colonne7976"/>
    <tableColumn id="7985" xr3:uid="{3E2461CC-8668-47D8-8455-1901D69CF6CD}" name="Colonne7977"/>
    <tableColumn id="7986" xr3:uid="{2D8359CD-81A6-4130-A309-2DBF6A7C647B}" name="Colonne7978"/>
    <tableColumn id="7987" xr3:uid="{E429A633-E2B9-4537-BE9B-4D40896D5699}" name="Colonne7979"/>
    <tableColumn id="7988" xr3:uid="{A59F0931-5E0C-4911-A09C-AB79DA64C4FD}" name="Colonne7980"/>
    <tableColumn id="7989" xr3:uid="{A2C4CAF0-FE69-4EF5-A9CA-AFDEECDC5BD5}" name="Colonne7981"/>
    <tableColumn id="7990" xr3:uid="{ACA03669-C008-4923-9355-7AC2A9863491}" name="Colonne7982"/>
    <tableColumn id="7991" xr3:uid="{69E585DC-A5F9-4440-8C53-1FDB84733026}" name="Colonne7983"/>
    <tableColumn id="7992" xr3:uid="{4DAF2BB7-F028-4C31-BFB9-63A899A0F7C7}" name="Colonne7984"/>
    <tableColumn id="7993" xr3:uid="{494C0328-8DE1-4589-9090-8C808CBC3865}" name="Colonne7985"/>
    <tableColumn id="7994" xr3:uid="{1F5DAEEF-09D7-44ED-87EF-08CCD1BDE53F}" name="Colonne7986"/>
    <tableColumn id="7995" xr3:uid="{0B1AD0FB-D6AA-4A2E-9989-B1BF0CF2D8E4}" name="Colonne7987"/>
    <tableColumn id="7996" xr3:uid="{774D6EE6-40AC-43E7-9F5E-2ED594E9AE5E}" name="Colonne7988"/>
    <tableColumn id="7997" xr3:uid="{12B88424-572C-48A0-8E03-E94744ACEDA3}" name="Colonne7989"/>
    <tableColumn id="7998" xr3:uid="{D70C174B-BBE9-4EEC-8A97-4B11A72719BA}" name="Colonne7990"/>
    <tableColumn id="7999" xr3:uid="{5BE90317-E508-4651-9636-9799069ACBD1}" name="Colonne7991"/>
    <tableColumn id="8000" xr3:uid="{FE7FCB6C-ABDD-45B7-B113-0379F42F37F7}" name="Colonne7992"/>
    <tableColumn id="8001" xr3:uid="{BEBD4837-5A88-4507-A4B4-11C70E3BBDD8}" name="Colonne7993"/>
    <tableColumn id="8002" xr3:uid="{CFC6B290-577A-4883-9E63-6CA7A7299076}" name="Colonne7994"/>
    <tableColumn id="8003" xr3:uid="{09382FD2-7CF0-46AD-8AB0-8F35C8DBFEAC}" name="Colonne7995"/>
    <tableColumn id="8004" xr3:uid="{02FCE9B8-2349-459D-9F29-057008D0C091}" name="Colonne7996"/>
    <tableColumn id="8005" xr3:uid="{FCBDD4C6-3F98-4462-85B5-8FB31080B659}" name="Colonne7997"/>
    <tableColumn id="8006" xr3:uid="{D914C5FB-100A-4093-A803-9E4E209C0A7A}" name="Colonne7998"/>
    <tableColumn id="8007" xr3:uid="{9FD34589-2605-497A-A278-F756F6C276E8}" name="Colonne7999"/>
    <tableColumn id="8008" xr3:uid="{BEF3CA8F-CE6D-4EC6-BE05-6A00C268E842}" name="Colonne8000"/>
    <tableColumn id="8009" xr3:uid="{FBC85D9C-6360-49D8-8A82-79144AC368E4}" name="Colonne8001"/>
    <tableColumn id="8010" xr3:uid="{C2BB3E9C-DDE6-4854-B88E-1A3291C37F08}" name="Colonne8002"/>
    <tableColumn id="8011" xr3:uid="{7B3A0A9D-BCC3-4115-95DF-F735F1829ADD}" name="Colonne8003"/>
    <tableColumn id="8012" xr3:uid="{6BAC9CF4-9D77-49E0-8DD5-992837079E29}" name="Colonne8004"/>
    <tableColumn id="8013" xr3:uid="{1E6EF831-33DA-4D86-8788-6E037A97BD20}" name="Colonne8005"/>
    <tableColumn id="8014" xr3:uid="{16138D8B-A706-416B-B0CB-2B15410C8449}" name="Colonne8006"/>
    <tableColumn id="8015" xr3:uid="{0867DC5E-5A81-467E-BF32-821E043FC63A}" name="Colonne8007"/>
    <tableColumn id="8016" xr3:uid="{E8492228-9708-484D-B5EE-29D3441B9C45}" name="Colonne8008"/>
    <tableColumn id="8017" xr3:uid="{9736F1FB-089D-4AB6-9FFB-203EFB65FDF3}" name="Colonne8009"/>
    <tableColumn id="8018" xr3:uid="{84659EA8-9FE7-4CD7-BFAC-077C82E9C250}" name="Colonne8010"/>
    <tableColumn id="8019" xr3:uid="{29217629-E23D-4E87-9F3E-3368998BB453}" name="Colonne8011"/>
    <tableColumn id="8020" xr3:uid="{4767B0E2-AF6E-434B-AA89-CB1F43345379}" name="Colonne8012"/>
    <tableColumn id="8021" xr3:uid="{EEB5A197-067B-4FA9-A789-912E92A3C437}" name="Colonne8013"/>
    <tableColumn id="8022" xr3:uid="{159B3555-CF0F-4DD9-9AC6-8CA88A2ED500}" name="Colonne8014"/>
    <tableColumn id="8023" xr3:uid="{542623B0-B6B0-48A1-B0A2-B40922A56865}" name="Colonne8015"/>
    <tableColumn id="8024" xr3:uid="{8033BD7C-45C7-4BE0-BAF6-F8550F423253}" name="Colonne8016"/>
    <tableColumn id="8025" xr3:uid="{1112F855-F106-4A60-8CC6-73133CEC8E4E}" name="Colonne8017"/>
    <tableColumn id="8026" xr3:uid="{F590B117-A47F-4679-A2F1-2D048057F994}" name="Colonne8018"/>
    <tableColumn id="8027" xr3:uid="{32D14BB5-99B9-47BF-8812-AEE0A1368F17}" name="Colonne8019"/>
    <tableColumn id="8028" xr3:uid="{1EF6D144-2820-4BEF-B305-E73C4E46F586}" name="Colonne8020"/>
    <tableColumn id="8029" xr3:uid="{E9DED958-3D19-4CB7-9B98-18F77582E586}" name="Colonne8021"/>
    <tableColumn id="8030" xr3:uid="{4FA337EC-75AB-4904-AFF5-B7DC198892BA}" name="Colonne8022"/>
    <tableColumn id="8031" xr3:uid="{8C41FE57-784D-48AA-9047-E194AD6735C9}" name="Colonne8023"/>
    <tableColumn id="8032" xr3:uid="{280ADE98-E7D1-4638-928C-8812771414A4}" name="Colonne8024"/>
    <tableColumn id="8033" xr3:uid="{6E43FB5E-84F5-4B73-B236-ADED5E8A3139}" name="Colonne8025"/>
    <tableColumn id="8034" xr3:uid="{6E37D794-07E8-49A5-B629-A4B5CB296107}" name="Colonne8026"/>
    <tableColumn id="8035" xr3:uid="{83B45E4B-7FCB-4EFE-BEA6-F79DF212B930}" name="Colonne8027"/>
    <tableColumn id="8036" xr3:uid="{04CA6A14-EFA2-40E6-9459-BB2E55530224}" name="Colonne8028"/>
    <tableColumn id="8037" xr3:uid="{5259E321-71B9-4705-AEC2-88D63B058B8F}" name="Colonne8029"/>
    <tableColumn id="8038" xr3:uid="{BD01BED1-50A9-4D40-A76F-B1F2C3E64836}" name="Colonne8030"/>
    <tableColumn id="8039" xr3:uid="{D14F6F92-EC1E-4083-BEFA-A57951A1FD2B}" name="Colonne8031"/>
    <tableColumn id="8040" xr3:uid="{7A5F01F1-4A52-435D-8F74-1CDA6A2B8232}" name="Colonne8032"/>
    <tableColumn id="8041" xr3:uid="{1A81E439-0CE0-4162-99DC-688A1C984EEB}" name="Colonne8033"/>
    <tableColumn id="8042" xr3:uid="{51739D92-F502-4896-9B5F-A6694B0B7836}" name="Colonne8034"/>
    <tableColumn id="8043" xr3:uid="{2CBA852E-7106-4E2B-90BB-CA542023DE08}" name="Colonne8035"/>
    <tableColumn id="8044" xr3:uid="{9C578C42-92AF-45CD-B426-52C6ABAA9D70}" name="Colonne8036"/>
    <tableColumn id="8045" xr3:uid="{913B8396-3122-46B6-A026-32E913FE7F2A}" name="Colonne8037"/>
    <tableColumn id="8046" xr3:uid="{4C288AF8-A0F5-44C7-9ED7-F5E009260AB3}" name="Colonne8038"/>
    <tableColumn id="8047" xr3:uid="{8A8471D9-D7F2-4CB3-BB68-E5B030C328B0}" name="Colonne8039"/>
    <tableColumn id="8048" xr3:uid="{E995CED1-8840-4795-9ED5-6DBB901EBDA0}" name="Colonne8040"/>
    <tableColumn id="8049" xr3:uid="{9B5C4643-398C-45DB-AE0A-147424759EB2}" name="Colonne8041"/>
    <tableColumn id="8050" xr3:uid="{9E188757-AC5A-4364-BAC6-247E82BDCDA3}" name="Colonne8042"/>
    <tableColumn id="8051" xr3:uid="{5C7177BF-9401-4E1F-A567-7277213317BC}" name="Colonne8043"/>
    <tableColumn id="8052" xr3:uid="{8B26200A-F497-4E98-9155-7F22BDDDC116}" name="Colonne8044"/>
    <tableColumn id="8053" xr3:uid="{246CFCF5-85AB-4E21-8AB5-0E2361EE13A9}" name="Colonne8045"/>
    <tableColumn id="8054" xr3:uid="{ECE6A9C4-BF55-4B4A-8529-C721195ACAC3}" name="Colonne8046"/>
    <tableColumn id="8055" xr3:uid="{3585344C-771F-40C2-A6D5-5F70108598A1}" name="Colonne8047"/>
    <tableColumn id="8056" xr3:uid="{5AB02C9D-A4D7-4BCD-9AEF-C67434F6C608}" name="Colonne8048"/>
    <tableColumn id="8057" xr3:uid="{6C92D002-52A1-4FAD-93FA-EAABFE6EB389}" name="Colonne8049"/>
    <tableColumn id="8058" xr3:uid="{DF0F50EA-8B75-4482-84DB-DECCE05364B3}" name="Colonne8050"/>
    <tableColumn id="8059" xr3:uid="{375DA408-ECE0-4610-AD2D-1312F3D76BFD}" name="Colonne8051"/>
    <tableColumn id="8060" xr3:uid="{CAA09A49-7A32-4DAD-9E99-437DA1E17179}" name="Colonne8052"/>
    <tableColumn id="8061" xr3:uid="{B8556169-8794-4FF9-A816-FAD2B3921736}" name="Colonne8053"/>
    <tableColumn id="8062" xr3:uid="{C4198BE8-A45D-4C81-BDEF-09BB3A081D69}" name="Colonne8054"/>
    <tableColumn id="8063" xr3:uid="{520F59D4-8F13-4BBA-92A2-63C61984BCE2}" name="Colonne8055"/>
    <tableColumn id="8064" xr3:uid="{8BA51E96-E0D0-4A18-B85C-26D86A59EC16}" name="Colonne8056"/>
    <tableColumn id="8065" xr3:uid="{D3A1F952-304D-41A7-9AE0-D4EE7377142F}" name="Colonne8057"/>
    <tableColumn id="8066" xr3:uid="{39B8248A-928F-4CB9-94B2-DE293F014B38}" name="Colonne8058"/>
    <tableColumn id="8067" xr3:uid="{C5668DC6-508D-4EB3-B84F-B57FD81466F7}" name="Colonne8059"/>
    <tableColumn id="8068" xr3:uid="{C407A5DA-A3EA-4AC8-B209-5D64E73050EE}" name="Colonne8060"/>
    <tableColumn id="8069" xr3:uid="{7C8AFD47-B808-4985-8D24-524567A92E9A}" name="Colonne8061"/>
    <tableColumn id="8070" xr3:uid="{F087102E-869D-4262-8BE1-70B7F19FFB54}" name="Colonne8062"/>
    <tableColumn id="8071" xr3:uid="{61E7E696-48F2-40D5-8B79-D27DC33160C6}" name="Colonne8063"/>
    <tableColumn id="8072" xr3:uid="{A94A0084-426C-42AC-AFAD-C161DBCB121A}" name="Colonne8064"/>
    <tableColumn id="8073" xr3:uid="{C7770A31-A4CB-4B0A-89AE-9642078A05B3}" name="Colonne8065"/>
    <tableColumn id="8074" xr3:uid="{B992102F-F8A3-42E4-A77A-F9E95DBA6B25}" name="Colonne8066"/>
    <tableColumn id="8075" xr3:uid="{9B0CBE55-699F-457D-8E4A-9A5ED9FB9FC9}" name="Colonne8067"/>
    <tableColumn id="8076" xr3:uid="{15A39D33-A936-4C25-8021-7DFFFEBC0302}" name="Colonne8068"/>
    <tableColumn id="8077" xr3:uid="{2D0964B1-DCCA-442E-92A4-CA2DEFCEA75F}" name="Colonne8069"/>
    <tableColumn id="8078" xr3:uid="{45A59AA4-9405-46BE-9159-599A3874E4D1}" name="Colonne8070"/>
    <tableColumn id="8079" xr3:uid="{935E6CF5-D9BA-4A4E-9497-46F8BACFE5ED}" name="Colonne8071"/>
    <tableColumn id="8080" xr3:uid="{B369E0F4-380B-4660-8846-4AAB6796ECD7}" name="Colonne8072"/>
    <tableColumn id="8081" xr3:uid="{45F8C877-0D3F-4C0B-9451-B5328B26F9BA}" name="Colonne8073"/>
    <tableColumn id="8082" xr3:uid="{4D0DC563-137B-4984-9289-62EC09EA3A07}" name="Colonne8074"/>
    <tableColumn id="8083" xr3:uid="{4EE27A06-2EDA-43BF-B785-8E40E28E0191}" name="Colonne8075"/>
    <tableColumn id="8084" xr3:uid="{3C8F1D55-6422-45FB-B120-A55A8302E01B}" name="Colonne8076"/>
    <tableColumn id="8085" xr3:uid="{4761A5FF-63B9-4760-832B-01BE1E9372EE}" name="Colonne8077"/>
    <tableColumn id="8086" xr3:uid="{C3A3C282-381B-4528-93CD-83F574B7FE49}" name="Colonne8078"/>
    <tableColumn id="8087" xr3:uid="{FC10480F-9326-43CA-B80E-6484C602A898}" name="Colonne8079"/>
    <tableColumn id="8088" xr3:uid="{7B3E75D5-4F93-4AAE-B257-1A295F9D2E55}" name="Colonne8080"/>
    <tableColumn id="8089" xr3:uid="{3E078A68-EF9A-47F2-BEA4-8B1D7ADB0141}" name="Colonne8081"/>
    <tableColumn id="8090" xr3:uid="{485F4A9F-0F64-4380-955F-3601C082EA41}" name="Colonne8082"/>
    <tableColumn id="8091" xr3:uid="{E9ED1164-2FAA-4986-BAEC-3F7234CA754F}" name="Colonne8083"/>
    <tableColumn id="8092" xr3:uid="{E5452AF0-3CF2-450D-948D-56F2ECE092A7}" name="Colonne8084"/>
    <tableColumn id="8093" xr3:uid="{8317CB96-4C2F-44D0-B32A-8DB757CB647B}" name="Colonne8085"/>
    <tableColumn id="8094" xr3:uid="{D1019651-7C83-45CD-9618-A291377F5222}" name="Colonne8086"/>
    <tableColumn id="8095" xr3:uid="{CE47635D-56C6-450B-894F-B90A7ACBFF1C}" name="Colonne8087"/>
    <tableColumn id="8096" xr3:uid="{9F723E72-1C5F-4205-92B9-6CF7DB86CA5D}" name="Colonne8088"/>
    <tableColumn id="8097" xr3:uid="{9A3DD053-7D7C-4DE1-8ABE-743B57DE7995}" name="Colonne8089"/>
    <tableColumn id="8098" xr3:uid="{BBF4EF8C-C760-4E19-959B-8E405579E90A}" name="Colonne8090"/>
    <tableColumn id="8099" xr3:uid="{4FD42889-72B8-47A7-B828-56BD2EC4618D}" name="Colonne8091"/>
    <tableColumn id="8100" xr3:uid="{74865C2E-1BA7-4147-B411-811BF54C3D70}" name="Colonne8092"/>
    <tableColumn id="8101" xr3:uid="{0F132A84-1B53-45F4-9DD7-7472BE8B9C8D}" name="Colonne8093"/>
    <tableColumn id="8102" xr3:uid="{47940622-89DD-4CFB-860C-7A0BE082E57B}" name="Colonne8094"/>
    <tableColumn id="8103" xr3:uid="{84ECD1F4-C8F5-47F6-BEBD-8763CA0586F3}" name="Colonne8095"/>
    <tableColumn id="8104" xr3:uid="{CC264766-5511-4838-8E63-3B5DB3A7C280}" name="Colonne8096"/>
    <tableColumn id="8105" xr3:uid="{27758739-CC64-4879-BD70-38B7E5505D2E}" name="Colonne8097"/>
    <tableColumn id="8106" xr3:uid="{B435603B-B8DA-4FA4-9F6B-6AA80A15DA7A}" name="Colonne8098"/>
    <tableColumn id="8107" xr3:uid="{BB51BEE4-FE41-4AD0-800E-83054D80BE61}" name="Colonne8099"/>
    <tableColumn id="8108" xr3:uid="{2AABC097-468F-4DCB-981F-1302E6751604}" name="Colonne8100"/>
    <tableColumn id="8109" xr3:uid="{F9037756-640E-40A6-924A-86179E59171B}" name="Colonne8101"/>
    <tableColumn id="8110" xr3:uid="{BC3CBF2B-BC7C-45F9-BC81-04C4A2283E8A}" name="Colonne8102"/>
    <tableColumn id="8111" xr3:uid="{6EF9E239-9D16-4C52-B196-0393C3B0BCC1}" name="Colonne8103"/>
    <tableColumn id="8112" xr3:uid="{5E347A05-A9C8-44D1-B5E3-95164D13D197}" name="Colonne8104"/>
    <tableColumn id="8113" xr3:uid="{207C8D74-9846-48C5-BEF5-FD170F0049DE}" name="Colonne8105"/>
    <tableColumn id="8114" xr3:uid="{1AB15815-71CC-4A7D-8254-8EB6FE510498}" name="Colonne8106"/>
    <tableColumn id="8115" xr3:uid="{D61D3498-3EA4-405D-9194-27A86D468542}" name="Colonne8107"/>
    <tableColumn id="8116" xr3:uid="{13DE4F51-A5B4-425D-9562-A02978CE1B7B}" name="Colonne8108"/>
    <tableColumn id="8117" xr3:uid="{EE331E77-4358-4C96-8F80-2C61966D13D4}" name="Colonne8109"/>
    <tableColumn id="8118" xr3:uid="{9B7C1D2E-359F-45E0-B7F2-E1873EFE0EBE}" name="Colonne8110"/>
    <tableColumn id="8119" xr3:uid="{96CE3BE4-C64E-487D-A592-29E24D7CC228}" name="Colonne8111"/>
    <tableColumn id="8120" xr3:uid="{E6ABAF62-E99F-4642-B7F6-072896DC69C3}" name="Colonne8112"/>
    <tableColumn id="8121" xr3:uid="{C97DFA17-1B9B-476D-9D6B-40D57B03C06A}" name="Colonne8113"/>
    <tableColumn id="8122" xr3:uid="{AD1EECC0-8ED2-4039-902A-D4E772E6846C}" name="Colonne8114"/>
    <tableColumn id="8123" xr3:uid="{B63D943D-9BFC-40E0-B3C4-B5220E9541A5}" name="Colonne8115"/>
    <tableColumn id="8124" xr3:uid="{2A0769CC-3485-4C75-87F6-2EDA76825319}" name="Colonne8116"/>
    <tableColumn id="8125" xr3:uid="{07F859CC-E580-4262-8933-05209D4F1C0E}" name="Colonne8117"/>
    <tableColumn id="8126" xr3:uid="{BDCF8E06-D46C-4DA0-8A76-933F119578D0}" name="Colonne8118"/>
    <tableColumn id="8127" xr3:uid="{C032E3EA-2A76-4498-A6C1-E47E583034D9}" name="Colonne8119"/>
    <tableColumn id="8128" xr3:uid="{B9A5DB59-4CD0-4851-9AA4-916980A1C0F7}" name="Colonne8120"/>
    <tableColumn id="8129" xr3:uid="{85F62DD4-A279-477F-8697-AAB7A584D124}" name="Colonne8121"/>
    <tableColumn id="8130" xr3:uid="{63C810BA-07DA-487D-BE31-1669EEDB3DDE}" name="Colonne8122"/>
    <tableColumn id="8131" xr3:uid="{AA056CFE-2CE6-4D5D-9B23-0D58ACC3BA20}" name="Colonne8123"/>
    <tableColumn id="8132" xr3:uid="{63DB309D-5851-4084-8B11-CBC3A7A780AB}" name="Colonne8124"/>
    <tableColumn id="8133" xr3:uid="{3B6236F8-40E0-45AB-83D0-36A74D530C04}" name="Colonne8125"/>
    <tableColumn id="8134" xr3:uid="{11DE18DC-577C-4E37-A20E-11F141B950F9}" name="Colonne8126"/>
    <tableColumn id="8135" xr3:uid="{E98AE7ED-56AB-4DBA-A341-9A804208AA8F}" name="Colonne8127"/>
    <tableColumn id="8136" xr3:uid="{2551B08E-0529-4BD8-AE0E-01C02D3C9EF0}" name="Colonne8128"/>
    <tableColumn id="8137" xr3:uid="{4A627632-81A0-4DCB-8D6D-2F18924C391F}" name="Colonne8129"/>
    <tableColumn id="8138" xr3:uid="{F3DE25B9-3415-4CF4-88B2-38CB05800B74}" name="Colonne8130"/>
    <tableColumn id="8139" xr3:uid="{B99AE7A0-CFCA-48D2-A176-12A32057D523}" name="Colonne8131"/>
    <tableColumn id="8140" xr3:uid="{B09C5689-6CCC-4D38-B84E-F74CAA02C3D5}" name="Colonne8132"/>
    <tableColumn id="8141" xr3:uid="{F4D6D078-F7C6-4433-8A9C-2859E39E5C7D}" name="Colonne8133"/>
    <tableColumn id="8142" xr3:uid="{0E54A67C-BB30-4705-BBB6-D96FCB2BBF46}" name="Colonne8134"/>
    <tableColumn id="8143" xr3:uid="{EBBD7FEB-98FE-4AFD-9318-2040A252215F}" name="Colonne8135"/>
    <tableColumn id="8144" xr3:uid="{05D846E1-0999-49CA-B4D1-6636FD9E12EF}" name="Colonne8136"/>
    <tableColumn id="8145" xr3:uid="{6485CFD0-3CCF-4A72-B453-DC415EA823D9}" name="Colonne8137"/>
    <tableColumn id="8146" xr3:uid="{549F389F-FFB6-43D0-B3DF-DC8CFE233687}" name="Colonne8138"/>
    <tableColumn id="8147" xr3:uid="{9E9B1139-8B22-4D53-BCD0-F0F871AF7152}" name="Colonne8139"/>
    <tableColumn id="8148" xr3:uid="{3C16F51E-42F0-45E2-A803-7B5CC841797F}" name="Colonne8140"/>
    <tableColumn id="8149" xr3:uid="{B37EF626-A6D7-46B4-8FD9-84D06416AB12}" name="Colonne8141"/>
    <tableColumn id="8150" xr3:uid="{AA026BFB-D7D5-4F3D-BE7A-30ECBC70022D}" name="Colonne8142"/>
    <tableColumn id="8151" xr3:uid="{A0936312-C533-4C3A-B4EE-BB7C829A9C88}" name="Colonne8143"/>
    <tableColumn id="8152" xr3:uid="{4D677D4F-C598-4436-878A-B65809A6DDED}" name="Colonne8144"/>
    <tableColumn id="8153" xr3:uid="{3503B669-1FD9-4D6F-8897-FE55FA0C2273}" name="Colonne8145"/>
    <tableColumn id="8154" xr3:uid="{DA31B8D1-76E6-42AB-8A9E-FDD5C67F73E1}" name="Colonne8146"/>
    <tableColumn id="8155" xr3:uid="{CCE82A77-4F7A-48B4-BD7D-0657CE1C5EBC}" name="Colonne8147"/>
    <tableColumn id="8156" xr3:uid="{9E2A6C94-E079-4773-A2D2-ED44DF1E37C3}" name="Colonne8148"/>
    <tableColumn id="8157" xr3:uid="{4971ADA0-FFED-4C18-8127-B8CE49AEBACA}" name="Colonne8149"/>
    <tableColumn id="8158" xr3:uid="{CE614C5F-ABD9-4C27-A703-01943BA21DF4}" name="Colonne8150"/>
    <tableColumn id="8159" xr3:uid="{C9D95C69-4B62-492B-972B-0928546AFE21}" name="Colonne8151"/>
    <tableColumn id="8160" xr3:uid="{1A15F639-88DB-468B-B4B8-8B29EF4C47ED}" name="Colonne8152"/>
    <tableColumn id="8161" xr3:uid="{197B3AF5-3A75-4220-B05C-A82BBB2F7B7B}" name="Colonne8153"/>
    <tableColumn id="8162" xr3:uid="{0CC8C812-4EC1-4A12-9620-43BCD2D9CA00}" name="Colonne8154"/>
    <tableColumn id="8163" xr3:uid="{9F3EB267-4EE1-4B9E-9C8A-573E00A37ECE}" name="Colonne8155"/>
    <tableColumn id="8164" xr3:uid="{FDCF300A-8454-4004-8BC3-608909E756E5}" name="Colonne8156"/>
    <tableColumn id="8165" xr3:uid="{D0F82A03-7B9A-4B80-A837-866631A1C185}" name="Colonne8157"/>
    <tableColumn id="8166" xr3:uid="{4B66D18C-2CEF-469A-B4BD-3C3A80EF2F4A}" name="Colonne8158"/>
    <tableColumn id="8167" xr3:uid="{0C932E72-43E9-479E-B3E1-E36E88CEEAEE}" name="Colonne8159"/>
    <tableColumn id="8168" xr3:uid="{C7E95E8B-FB28-4EB7-9DB7-7C70F6D96719}" name="Colonne8160"/>
    <tableColumn id="8169" xr3:uid="{4F072F2C-A57C-4A16-B318-0C2F171F4E81}" name="Colonne8161"/>
    <tableColumn id="8170" xr3:uid="{4EAFE08E-4ED3-42FD-A60B-60233CEA30E6}" name="Colonne8162"/>
    <tableColumn id="8171" xr3:uid="{2FC9D882-483A-4550-8A17-EB5F97CD6AF9}" name="Colonne8163"/>
    <tableColumn id="8172" xr3:uid="{8EBCF44D-2457-4F94-80EB-561A24ACC8FF}" name="Colonne8164"/>
    <tableColumn id="8173" xr3:uid="{4AA4976C-B696-4E50-A54D-4BAC73B5FAE8}" name="Colonne8165"/>
    <tableColumn id="8174" xr3:uid="{D46C8FF0-EC29-4FFA-82C2-C226126BC2A1}" name="Colonne8166"/>
    <tableColumn id="8175" xr3:uid="{E47A11C4-3D04-428E-A8FE-A1DC882FA34F}" name="Colonne8167"/>
    <tableColumn id="8176" xr3:uid="{3F1C4054-603E-4748-AFAB-E4ED67F51DAE}" name="Colonne8168"/>
    <tableColumn id="8177" xr3:uid="{9C0132E5-7EFB-4043-AFAE-FFC1FE41D465}" name="Colonne8169"/>
    <tableColumn id="8178" xr3:uid="{43A3B868-D2BD-407A-860B-DF4F929E5FB2}" name="Colonne8170"/>
    <tableColumn id="8179" xr3:uid="{5C517F76-5C12-44B6-AAF6-09834EEA58AB}" name="Colonne8171"/>
    <tableColumn id="8180" xr3:uid="{ABA2F5C3-A01E-4578-9046-AA4BFC9DC99C}" name="Colonne8172"/>
    <tableColumn id="8181" xr3:uid="{BA78E310-DC4C-44E8-B115-30B7933FE228}" name="Colonne8173"/>
    <tableColumn id="8182" xr3:uid="{3E86E3F0-0C9E-43D6-BD35-37BD5811257D}" name="Colonne8174"/>
    <tableColumn id="8183" xr3:uid="{E1171C43-FD34-4AA4-9051-B961D333F96D}" name="Colonne8175"/>
    <tableColumn id="8184" xr3:uid="{B3FC563F-2B77-4CF3-8E80-B28A27A50723}" name="Colonne8176"/>
    <tableColumn id="8185" xr3:uid="{217A1C41-5900-4B86-9415-6F35F0DFA7D6}" name="Colonne8177"/>
    <tableColumn id="8186" xr3:uid="{7CA87AB9-F549-46FD-A985-CD6CB8512428}" name="Colonne8178"/>
    <tableColumn id="8187" xr3:uid="{AEE0D773-95BC-4750-A098-4E02C51B659E}" name="Colonne8179"/>
    <tableColumn id="8188" xr3:uid="{0B848BA8-9AC3-455B-BB93-FCAB18C438A9}" name="Colonne8180"/>
    <tableColumn id="8189" xr3:uid="{E7B8D185-E2BB-4EA1-8630-598C478B5387}" name="Colonne8181"/>
    <tableColumn id="8190" xr3:uid="{54972951-2657-4E05-B46E-4C9B63500136}" name="Colonne8182"/>
    <tableColumn id="8191" xr3:uid="{A59BC1C7-49CB-4CD3-B600-A8C90DE2FB13}" name="Colonne8183"/>
    <tableColumn id="8192" xr3:uid="{70C6F267-1793-476D-AE7C-2F29ADD92B25}" name="Colonne8184"/>
    <tableColumn id="8193" xr3:uid="{76425D0A-9B38-4B07-924E-6FE7580DD811}" name="Colonne8185"/>
    <tableColumn id="8194" xr3:uid="{7B14B1DB-30C5-45D0-817A-3D93ABC54A5E}" name="Colonne8186"/>
    <tableColumn id="8195" xr3:uid="{1F93E925-7B62-473A-96DE-0FD67FF3C5D4}" name="Colonne8187"/>
    <tableColumn id="8196" xr3:uid="{B47C1DD3-3DDE-4ED3-B76F-6CE88B06B19A}" name="Colonne8188"/>
    <tableColumn id="8197" xr3:uid="{5FB52F8E-1483-4168-978B-112733D86487}" name="Colonne8189"/>
    <tableColumn id="8198" xr3:uid="{DC2A8C1D-4E06-496C-8DE8-B451E8EA8FD7}" name="Colonne8190"/>
    <tableColumn id="8199" xr3:uid="{495D473D-F65D-4647-A989-DDEEF1B4A4D2}" name="Colonne8191"/>
    <tableColumn id="8200" xr3:uid="{B68DA33E-1FD4-4D81-832A-0637C0176086}" name="Colonne8192"/>
    <tableColumn id="8201" xr3:uid="{B04AF1AD-A4B8-4D3D-AF8B-782F0FBB1584}" name="Colonne8193"/>
    <tableColumn id="8202" xr3:uid="{8786E65F-44B7-44BA-8045-1B0AD77B3AB0}" name="Colonne8194"/>
    <tableColumn id="8203" xr3:uid="{D74C7D1D-A437-4182-8D53-0C64F5B1063B}" name="Colonne8195"/>
    <tableColumn id="8204" xr3:uid="{A1BC4FB1-4C69-4BC0-8B91-2C00865179E7}" name="Colonne8196"/>
    <tableColumn id="8205" xr3:uid="{0F4FFA62-A2D5-4ABF-B030-2304DE73BB1D}" name="Colonne8197"/>
    <tableColumn id="8206" xr3:uid="{C54E2098-B51C-431A-A118-C7FEAAFC3A8D}" name="Colonne8198"/>
    <tableColumn id="8207" xr3:uid="{4A6C7D66-C05A-48C9-A7F6-574B3E91E70C}" name="Colonne8199"/>
    <tableColumn id="8208" xr3:uid="{2D26ED0C-7793-4FF8-9F81-8B683B93B4C7}" name="Colonne8200"/>
    <tableColumn id="8209" xr3:uid="{6D10A25D-23CB-4EDC-A1AC-F46C90E9707A}" name="Colonne8201"/>
    <tableColumn id="8210" xr3:uid="{51EF1AF9-B50E-4E9B-A6D2-0E9675360570}" name="Colonne8202"/>
    <tableColumn id="8211" xr3:uid="{AB7E9650-16F6-455A-A84B-77435EF24B90}" name="Colonne8203"/>
    <tableColumn id="8212" xr3:uid="{E939AEE7-756F-47EF-94DE-E727CF2C9957}" name="Colonne8204"/>
    <tableColumn id="8213" xr3:uid="{49D3CB75-E3F1-4582-9FC8-C2F5C1138311}" name="Colonne8205"/>
    <tableColumn id="8214" xr3:uid="{7D9EB1A2-F79E-4AAE-85AD-1E8E27600C9F}" name="Colonne8206"/>
    <tableColumn id="8215" xr3:uid="{3C83895D-C9C8-44E6-B2D6-6407D0457A84}" name="Colonne8207"/>
    <tableColumn id="8216" xr3:uid="{E1799060-69B7-4E00-8A66-EBE17F449E7A}" name="Colonne8208"/>
    <tableColumn id="8217" xr3:uid="{70F6315D-8B40-4755-9CF8-F28E9BDE7075}" name="Colonne8209"/>
    <tableColumn id="8218" xr3:uid="{047AC48B-C7F3-4000-BE9E-14A1B15017DB}" name="Colonne8210"/>
    <tableColumn id="8219" xr3:uid="{E2D74B65-8CE4-4E76-9A58-FC5DAAB9ABA6}" name="Colonne8211"/>
    <tableColumn id="8220" xr3:uid="{6B9BC4EB-C229-4C96-8CC9-23E9867FFB82}" name="Colonne8212"/>
    <tableColumn id="8221" xr3:uid="{26E899ED-56D0-4C29-B59E-8D390CB12A8D}" name="Colonne8213"/>
    <tableColumn id="8222" xr3:uid="{6267FA12-DEF0-46B1-AED0-50F2A85EEA40}" name="Colonne8214"/>
    <tableColumn id="8223" xr3:uid="{48720CF7-8E30-4A45-BCE0-231BB2A0E28F}" name="Colonne8215"/>
    <tableColumn id="8224" xr3:uid="{A1CCB5C7-C3C8-4722-99FC-3E0099E3B40D}" name="Colonne8216"/>
    <tableColumn id="8225" xr3:uid="{3D9CA51E-E552-44C0-8942-8DA781025C8A}" name="Colonne8217"/>
    <tableColumn id="8226" xr3:uid="{6F9A0F4E-06BB-4214-A90F-F1E51D8DE045}" name="Colonne8218"/>
    <tableColumn id="8227" xr3:uid="{499D4EA1-A735-4942-8859-7361F171997B}" name="Colonne8219"/>
    <tableColumn id="8228" xr3:uid="{C6FC9D8C-0042-46B4-B309-D9C6D8857B02}" name="Colonne8220"/>
    <tableColumn id="8229" xr3:uid="{272C7B8C-FBFA-463E-B3BE-C3D5F9E6B781}" name="Colonne8221"/>
    <tableColumn id="8230" xr3:uid="{BE83742B-6995-4591-B17D-3DAE50431231}" name="Colonne8222"/>
    <tableColumn id="8231" xr3:uid="{C03AFA6F-05CD-4F54-BB09-1C25A28F7F94}" name="Colonne8223"/>
    <tableColumn id="8232" xr3:uid="{15049FBA-6FD6-4FA0-BE5E-FAA4AE834649}" name="Colonne8224"/>
    <tableColumn id="8233" xr3:uid="{51494C05-CD41-418D-9A8B-2D2170CDF834}" name="Colonne8225"/>
    <tableColumn id="8234" xr3:uid="{CF40E69E-F387-4A42-ADBB-612965BA184E}" name="Colonne8226"/>
    <tableColumn id="8235" xr3:uid="{C1CC0153-34B0-4651-8FF6-AEC06871571C}" name="Colonne8227"/>
    <tableColumn id="8236" xr3:uid="{9E2FDF85-2C66-41A2-BD74-3C4D02FED1BD}" name="Colonne8228"/>
    <tableColumn id="8237" xr3:uid="{B9AA47B3-546C-4315-9525-0B1E5B2BB6E1}" name="Colonne8229"/>
    <tableColumn id="8238" xr3:uid="{C2EE449E-A6B6-4278-A8CB-CBAE0E6CAC4B}" name="Colonne8230"/>
    <tableColumn id="8239" xr3:uid="{FC5B4D91-FEF1-4F31-8E5D-DE8E44B71D23}" name="Colonne8231"/>
    <tableColumn id="8240" xr3:uid="{B256DFE2-4472-4F72-9CEB-EEB61383ACE9}" name="Colonne8232"/>
    <tableColumn id="8241" xr3:uid="{13AD2457-611B-48DA-B727-214F40F83D1E}" name="Colonne8233"/>
    <tableColumn id="8242" xr3:uid="{E97C552D-BCBB-4672-9248-1765C2921898}" name="Colonne8234"/>
    <tableColumn id="8243" xr3:uid="{B0920398-D8AA-474C-AB3C-8B506F869C82}" name="Colonne8235"/>
    <tableColumn id="8244" xr3:uid="{0C8BB9FF-9914-4052-A84F-B64CBF7B41D7}" name="Colonne8236"/>
    <tableColumn id="8245" xr3:uid="{37675B03-1560-4171-956A-F7C3F5F94FBC}" name="Colonne8237"/>
    <tableColumn id="8246" xr3:uid="{62A8B6FC-0C58-4CA6-90DE-86F264E7483A}" name="Colonne8238"/>
    <tableColumn id="8247" xr3:uid="{57ADD6DE-03E1-446C-97A1-87E28090CCD0}" name="Colonne8239"/>
    <tableColumn id="8248" xr3:uid="{737FF7EE-AB48-4D85-869E-8FEBCC5D04DD}" name="Colonne8240"/>
    <tableColumn id="8249" xr3:uid="{7B2B0C63-58FB-4203-831A-A41376B2D32A}" name="Colonne8241"/>
    <tableColumn id="8250" xr3:uid="{F3CAF067-8B73-4CF6-8537-FAD932FD80B8}" name="Colonne8242"/>
    <tableColumn id="8251" xr3:uid="{AAE3509E-1CF7-428E-AB10-54907535623E}" name="Colonne8243"/>
    <tableColumn id="8252" xr3:uid="{277F7E36-DAAA-4A49-9B2C-8C003A326D50}" name="Colonne8244"/>
    <tableColumn id="8253" xr3:uid="{541701E0-A53D-4898-BD07-6473710BF371}" name="Colonne8245"/>
    <tableColumn id="8254" xr3:uid="{72CD07A0-C356-4707-B97D-9A4968C970D5}" name="Colonne8246"/>
    <tableColumn id="8255" xr3:uid="{6467F945-AF03-4459-97F3-835DDF30DD7D}" name="Colonne8247"/>
    <tableColumn id="8256" xr3:uid="{AFFE01D6-0535-494E-9A58-FB8D6A95775D}" name="Colonne8248"/>
    <tableColumn id="8257" xr3:uid="{647C8FD7-E1D6-4FB0-92AC-A81C3A66651C}" name="Colonne8249"/>
    <tableColumn id="8258" xr3:uid="{61689298-F945-44D5-838A-A0ECB966E1E4}" name="Colonne8250"/>
    <tableColumn id="8259" xr3:uid="{D68D3483-953B-4FA3-9B1E-2810138F21F4}" name="Colonne8251"/>
    <tableColumn id="8260" xr3:uid="{116C8424-B1BA-4F2A-AF74-C28D2D58A553}" name="Colonne8252"/>
    <tableColumn id="8261" xr3:uid="{6CD0F6DA-5039-4880-905A-D578142DB3D2}" name="Colonne8253"/>
    <tableColumn id="8262" xr3:uid="{AD4DA5E7-E53E-431E-86FA-3043BB283E92}" name="Colonne8254"/>
    <tableColumn id="8263" xr3:uid="{F3A95457-F6AF-4C9B-8366-9670D84CDE52}" name="Colonne8255"/>
    <tableColumn id="8264" xr3:uid="{3C7B4CFF-35D1-44A8-A9E0-68728DF1685F}" name="Colonne8256"/>
    <tableColumn id="8265" xr3:uid="{01DB339D-C82C-4165-A416-48CB556AFAEC}" name="Colonne8257"/>
    <tableColumn id="8266" xr3:uid="{16C0DEBB-FE27-4E1D-92FA-C3116E280223}" name="Colonne8258"/>
    <tableColumn id="8267" xr3:uid="{73A70513-94E9-4530-BC91-6F3DF88E3EF0}" name="Colonne8259"/>
    <tableColumn id="8268" xr3:uid="{CF899AF7-8F26-4A1E-BB78-8454D88B6966}" name="Colonne8260"/>
    <tableColumn id="8269" xr3:uid="{53522E7F-3229-4FAF-B452-06226C679B39}" name="Colonne8261"/>
    <tableColumn id="8270" xr3:uid="{0D13DD66-CB8B-4FE8-A722-19DE4CED0E18}" name="Colonne8262"/>
    <tableColumn id="8271" xr3:uid="{8C946139-CC67-4CB1-A9C3-1C3ABB26E83A}" name="Colonne8263"/>
    <tableColumn id="8272" xr3:uid="{41EF716B-0EA9-4E32-88F9-1993ED53A98B}" name="Colonne8264"/>
    <tableColumn id="8273" xr3:uid="{4515C6CA-D40E-43A7-B6B7-9C824B7A05CE}" name="Colonne8265"/>
    <tableColumn id="8274" xr3:uid="{3245FD59-C743-4AE4-B010-DBD69C3CC044}" name="Colonne8266"/>
    <tableColumn id="8275" xr3:uid="{69506EA0-7325-46E9-8967-120BB7F08B17}" name="Colonne8267"/>
    <tableColumn id="8276" xr3:uid="{90F469C8-51AB-41E5-8FC8-CDA1A2C4E550}" name="Colonne8268"/>
    <tableColumn id="8277" xr3:uid="{2A4D5350-49FA-4DC6-A1AA-6AB6270D4891}" name="Colonne8269"/>
    <tableColumn id="8278" xr3:uid="{D37EC459-268F-47BE-AB29-FC03568B4ADD}" name="Colonne8270"/>
    <tableColumn id="8279" xr3:uid="{0A7AA98F-8E12-474B-9872-3B40AF15D34D}" name="Colonne8271"/>
    <tableColumn id="8280" xr3:uid="{0C6312A1-248C-4FE7-B921-29AA4CD878A2}" name="Colonne8272"/>
    <tableColumn id="8281" xr3:uid="{F6E2823D-F4B6-4C51-9325-B389EC16BB4C}" name="Colonne8273"/>
    <tableColumn id="8282" xr3:uid="{5B0370F9-5301-4507-AA7E-769148EB1581}" name="Colonne8274"/>
    <tableColumn id="8283" xr3:uid="{482E7179-DCBC-42AE-BA64-1A957C2C24B2}" name="Colonne8275"/>
    <tableColumn id="8284" xr3:uid="{86B021FC-1D49-4C01-BFD9-6FA0E7ED9B7C}" name="Colonne8276"/>
    <tableColumn id="8285" xr3:uid="{6E7224A3-D292-4CD7-86C5-A6A3E953C529}" name="Colonne8277"/>
    <tableColumn id="8286" xr3:uid="{41C97488-27F8-4353-9E19-27AD213AE9ED}" name="Colonne8278"/>
    <tableColumn id="8287" xr3:uid="{79211E86-D1D3-451A-9BA3-450DCBACB400}" name="Colonne8279"/>
    <tableColumn id="8288" xr3:uid="{A4DDA25B-D436-4683-AEB3-28D2F4CC9BDF}" name="Colonne8280"/>
    <tableColumn id="8289" xr3:uid="{8322C614-71B9-46D2-8370-0D17C0C04158}" name="Colonne8281"/>
    <tableColumn id="8290" xr3:uid="{DABB50AA-5A76-4419-A8BE-DB14D3377226}" name="Colonne8282"/>
    <tableColumn id="8291" xr3:uid="{CC53AD74-0B03-4F99-9970-641B4A56AC7B}" name="Colonne8283"/>
    <tableColumn id="8292" xr3:uid="{E048921F-EB32-4CE8-BE01-7DB0CDD815F6}" name="Colonne8284"/>
    <tableColumn id="8293" xr3:uid="{B3EE1E25-944F-4231-AD6B-C7FAB9EFA851}" name="Colonne8285"/>
    <tableColumn id="8294" xr3:uid="{2C553790-AB97-4CE2-AB68-9E16CAA4247D}" name="Colonne8286"/>
    <tableColumn id="8295" xr3:uid="{8BC64855-34FE-4B23-B091-23B012EAD1DD}" name="Colonne8287"/>
    <tableColumn id="8296" xr3:uid="{CDD2CABF-19A9-4A0E-8F03-4397937691F0}" name="Colonne8288"/>
    <tableColumn id="8297" xr3:uid="{67E20483-ABF3-495C-AD0D-60E6916FFB76}" name="Colonne8289"/>
    <tableColumn id="8298" xr3:uid="{E8AFB103-7B75-4543-B871-B53742CA50DC}" name="Colonne8290"/>
    <tableColumn id="8299" xr3:uid="{13FAAB07-AFAD-4252-8FD6-A01948651DCB}" name="Colonne8291"/>
    <tableColumn id="8300" xr3:uid="{2207C496-483C-4E44-9F68-784E3FBFBE76}" name="Colonne8292"/>
    <tableColumn id="8301" xr3:uid="{42EBE536-592A-443A-AF52-6795A5F53C25}" name="Colonne8293"/>
    <tableColumn id="8302" xr3:uid="{13478BC0-2CA7-45B6-95A7-72440AC9FA65}" name="Colonne8294"/>
    <tableColumn id="8303" xr3:uid="{F71467BC-2C25-4C94-863E-6DFA39A89A8A}" name="Colonne8295"/>
    <tableColumn id="8304" xr3:uid="{79C59294-4C60-4CE5-8771-806A19B80471}" name="Colonne8296"/>
    <tableColumn id="8305" xr3:uid="{7E6477FE-315D-447C-BF65-B19FA83F32EA}" name="Colonne8297"/>
    <tableColumn id="8306" xr3:uid="{3D61D2A0-0E3A-41C2-BC51-7DC35AF1F9F7}" name="Colonne8298"/>
    <tableColumn id="8307" xr3:uid="{AD3B5772-594E-45BE-BCF5-D3A9E18A8428}" name="Colonne8299"/>
    <tableColumn id="8308" xr3:uid="{AC1E139E-F0FB-46DE-84DB-74B11CC18139}" name="Colonne8300"/>
    <tableColumn id="8309" xr3:uid="{48E03D9C-A6E7-4B6D-9C13-A49F15BA3F50}" name="Colonne8301"/>
    <tableColumn id="8310" xr3:uid="{E8544BD1-7901-4316-94D7-67D333F817BD}" name="Colonne8302"/>
    <tableColumn id="8311" xr3:uid="{CE1FE7D6-E882-46CE-9B30-0ACDEAF7F772}" name="Colonne8303"/>
    <tableColumn id="8312" xr3:uid="{D633D36C-A1A8-4A40-B40D-EAE88D9AC426}" name="Colonne8304"/>
    <tableColumn id="8313" xr3:uid="{3410F2DB-1806-44A4-ABA7-80E53949C257}" name="Colonne8305"/>
    <tableColumn id="8314" xr3:uid="{D5B0EC37-310A-4506-8D00-7B42E5BC7C86}" name="Colonne8306"/>
    <tableColumn id="8315" xr3:uid="{825D5767-E8EE-419B-BE14-B5FDEA27F0B2}" name="Colonne8307"/>
    <tableColumn id="8316" xr3:uid="{2D659CB5-A0A3-494A-B115-5065B3AC0DAB}" name="Colonne8308"/>
    <tableColumn id="8317" xr3:uid="{509BC238-8524-4929-A35E-7DE96FDDD734}" name="Colonne8309"/>
    <tableColumn id="8318" xr3:uid="{99D4000A-CDC6-4BC9-8377-00249921CA17}" name="Colonne8310"/>
    <tableColumn id="8319" xr3:uid="{F90670E0-2577-4E01-BAC0-9F3480AE7211}" name="Colonne8311"/>
    <tableColumn id="8320" xr3:uid="{E35697F2-52DE-4B1E-8E23-C4ADAEBD9076}" name="Colonne8312"/>
    <tableColumn id="8321" xr3:uid="{17252DFC-C8E1-456A-A914-B4EBDC323315}" name="Colonne8313"/>
    <tableColumn id="8322" xr3:uid="{A530000B-0859-486B-893B-ECFEFE0D57B9}" name="Colonne8314"/>
    <tableColumn id="8323" xr3:uid="{8C6B79AF-E347-4AF3-91A5-DF5EE4A10E29}" name="Colonne8315"/>
    <tableColumn id="8324" xr3:uid="{1EBA7129-B3A4-4132-810A-8BA040A38DFB}" name="Colonne8316"/>
    <tableColumn id="8325" xr3:uid="{8E32717D-E5E0-4C65-A23E-BF145FE23887}" name="Colonne8317"/>
    <tableColumn id="8326" xr3:uid="{5E78B651-0CCB-4C65-811D-F99B7910BE8C}" name="Colonne8318"/>
    <tableColumn id="8327" xr3:uid="{E9EADDDA-0590-422D-9DCB-CE7A740A1A23}" name="Colonne8319"/>
    <tableColumn id="8328" xr3:uid="{C1A7249E-9A2C-469C-AB1E-612EC870BB83}" name="Colonne8320"/>
    <tableColumn id="8329" xr3:uid="{366070EB-B8BD-4945-8ACB-6553DF2EC60B}" name="Colonne8321"/>
    <tableColumn id="8330" xr3:uid="{2F09A55D-DFE4-438C-81F8-17E795866038}" name="Colonne8322"/>
    <tableColumn id="8331" xr3:uid="{95173057-6532-4E5C-82EE-1000E118B22C}" name="Colonne8323"/>
    <tableColumn id="8332" xr3:uid="{CE946355-2BEA-4CF3-8930-67CE16106B4E}" name="Colonne8324"/>
    <tableColumn id="8333" xr3:uid="{57CE663B-F12E-44A8-83F0-E94FD8939099}" name="Colonne8325"/>
    <tableColumn id="8334" xr3:uid="{0C37E4C1-F77B-4F45-9E34-0DE90B84EA55}" name="Colonne8326"/>
    <tableColumn id="8335" xr3:uid="{22C23D9D-B043-4F2C-A198-0CDA96A8B73D}" name="Colonne8327"/>
    <tableColumn id="8336" xr3:uid="{A4AE85C5-1917-41B8-921A-6F9A3149FF1B}" name="Colonne8328"/>
    <tableColumn id="8337" xr3:uid="{7FFD0FBC-A224-4234-B20F-C01DA5B3E54A}" name="Colonne8329"/>
    <tableColumn id="8338" xr3:uid="{5C92AE85-0312-4CD5-9CA9-265745C2E5B7}" name="Colonne8330"/>
    <tableColumn id="8339" xr3:uid="{2E225CC6-E74C-4E4B-81D2-C7E13B89893E}" name="Colonne8331"/>
    <tableColumn id="8340" xr3:uid="{F0C6A090-DDE8-475E-9AA6-939B4A782E72}" name="Colonne8332"/>
    <tableColumn id="8341" xr3:uid="{97806330-129D-4DDF-A83F-1DA3FF1F1113}" name="Colonne8333"/>
    <tableColumn id="8342" xr3:uid="{F496704B-BC5A-4E33-983D-21DEC2BDDF94}" name="Colonne8334"/>
    <tableColumn id="8343" xr3:uid="{33B204A6-4FA4-496C-A94E-BA2B1136C8A8}" name="Colonne8335"/>
    <tableColumn id="8344" xr3:uid="{00625781-0D04-4A37-B8E9-55BAE6FE8A81}" name="Colonne8336"/>
    <tableColumn id="8345" xr3:uid="{E1BD4C08-E66D-483A-9EBB-025C49862A4E}" name="Colonne8337"/>
    <tableColumn id="8346" xr3:uid="{D918778D-CA34-4C30-85D5-A5B04F76E99F}" name="Colonne8338"/>
    <tableColumn id="8347" xr3:uid="{36CD1F89-E09B-446B-9277-416E93E869DA}" name="Colonne8339"/>
    <tableColumn id="8348" xr3:uid="{B3E09E22-8655-4619-963A-FCDAA8A021CE}" name="Colonne8340"/>
    <tableColumn id="8349" xr3:uid="{AE2B3093-8E8D-4F2F-A90A-CDA2F52992AA}" name="Colonne8341"/>
    <tableColumn id="8350" xr3:uid="{543D124B-739A-4CB1-AD38-3F82A6391828}" name="Colonne8342"/>
    <tableColumn id="8351" xr3:uid="{98A99CFE-EB77-4C6F-A005-12DE901A1EF1}" name="Colonne8343"/>
    <tableColumn id="8352" xr3:uid="{E7A18EAE-7AD8-4255-AA7C-3B0148534099}" name="Colonne8344"/>
    <tableColumn id="8353" xr3:uid="{A460514A-5739-44B9-B16C-AB09B721F276}" name="Colonne8345"/>
    <tableColumn id="8354" xr3:uid="{EE8F5216-0385-4920-B308-D68CDFCF6B72}" name="Colonne8346"/>
    <tableColumn id="8355" xr3:uid="{BAAC8801-FF62-4054-9CA6-9DCE0F713388}" name="Colonne8347"/>
    <tableColumn id="8356" xr3:uid="{A2B00DF9-5FAA-4B30-9154-CF0B3ECE9F1A}" name="Colonne8348"/>
    <tableColumn id="8357" xr3:uid="{4DF81E9A-3CFD-40AE-A8C8-8C0A924D98F6}" name="Colonne8349"/>
    <tableColumn id="8358" xr3:uid="{1EC0E7E2-A953-4A80-A8FF-3CE721878455}" name="Colonne8350"/>
    <tableColumn id="8359" xr3:uid="{02F896DB-B705-409C-B1BC-E84BC4AF443B}" name="Colonne8351"/>
    <tableColumn id="8360" xr3:uid="{751AC544-DF14-49A8-BD65-9E6B5E8B3B09}" name="Colonne8352"/>
    <tableColumn id="8361" xr3:uid="{73E4CDE5-80C4-4DCE-8774-C1FCB14F9CBF}" name="Colonne8353"/>
    <tableColumn id="8362" xr3:uid="{A0DBB711-459C-47AB-8DC1-E22EF4172E8E}" name="Colonne8354"/>
    <tableColumn id="8363" xr3:uid="{EAF77E90-60AE-4ABC-B131-84976462CF99}" name="Colonne8355"/>
    <tableColumn id="8364" xr3:uid="{4C800301-DD5D-4977-9DAD-DE2AC92C6C80}" name="Colonne8356"/>
    <tableColumn id="8365" xr3:uid="{E3A38D7D-A701-467B-B643-2A3CF9EB73FE}" name="Colonne8357"/>
    <tableColumn id="8366" xr3:uid="{30F14E97-AE46-414B-BC46-CCA225053AA5}" name="Colonne8358"/>
    <tableColumn id="8367" xr3:uid="{D3347AE7-8138-4842-BA9B-4EF72408EE57}" name="Colonne8359"/>
    <tableColumn id="8368" xr3:uid="{A7444571-2DB1-445B-99BE-709ED0521B05}" name="Colonne8360"/>
    <tableColumn id="8369" xr3:uid="{5090B838-078B-44CF-9D75-786C9A2097B7}" name="Colonne8361"/>
    <tableColumn id="8370" xr3:uid="{E341967A-CCA0-4B77-95D7-4E6DC5CD9E98}" name="Colonne8362"/>
    <tableColumn id="8371" xr3:uid="{5E2B24CA-C6A2-4CF7-9655-17339D871E33}" name="Colonne8363"/>
    <tableColumn id="8372" xr3:uid="{016FD201-3663-4E09-85EE-30046C30FCED}" name="Colonne8364"/>
    <tableColumn id="8373" xr3:uid="{5CCD87F7-0D64-4FBD-9992-A0FD6D635C26}" name="Colonne8365"/>
    <tableColumn id="8374" xr3:uid="{278F2C7B-9626-4BA1-BE3E-E05064B02C51}" name="Colonne8366"/>
    <tableColumn id="8375" xr3:uid="{19CDA278-9F29-43E9-8A6B-8EBD715990DB}" name="Colonne8367"/>
    <tableColumn id="8376" xr3:uid="{D214104F-C462-4885-86ED-B00DECD0F78B}" name="Colonne8368"/>
    <tableColumn id="8377" xr3:uid="{5EAD7A62-052B-48F3-9849-57D756789623}" name="Colonne8369"/>
    <tableColumn id="8378" xr3:uid="{C70F3B78-D2D1-4DFA-91A8-847737D32ABC}" name="Colonne8370"/>
    <tableColumn id="8379" xr3:uid="{3CB6E289-EB5E-4CC3-AEE9-D6B5F4C16E58}" name="Colonne8371"/>
    <tableColumn id="8380" xr3:uid="{EEDF1DCB-86FF-4DDF-98BA-5F19E80FED57}" name="Colonne8372"/>
    <tableColumn id="8381" xr3:uid="{537F4B4D-7FA6-4D0B-94C5-EC88C13CD439}" name="Colonne8373"/>
    <tableColumn id="8382" xr3:uid="{CE93FD56-F2FF-4863-9636-16E5FA3D9C6E}" name="Colonne8374"/>
    <tableColumn id="8383" xr3:uid="{C00C06EA-37B8-4D03-807F-685974A91380}" name="Colonne8375"/>
    <tableColumn id="8384" xr3:uid="{59ECD694-CEAF-436F-820B-F6BE96278D45}" name="Colonne8376"/>
    <tableColumn id="8385" xr3:uid="{DC20FFEC-E3D3-42BB-BF8D-4D17D3CADA6C}" name="Colonne8377"/>
    <tableColumn id="8386" xr3:uid="{741C5C60-8791-4194-9DBA-6A9E379BBB0D}" name="Colonne8378"/>
    <tableColumn id="8387" xr3:uid="{73E9A938-B64A-4021-B6A5-6050876C2E72}" name="Colonne8379"/>
    <tableColumn id="8388" xr3:uid="{15113381-9EC6-4E48-98A0-97E96DF7A54E}" name="Colonne8380"/>
    <tableColumn id="8389" xr3:uid="{AC2CE312-8A39-4786-ABB3-2ACF76E15A59}" name="Colonne8381"/>
    <tableColumn id="8390" xr3:uid="{E8F7AF3F-572C-4AAD-931E-2F617A7F12BF}" name="Colonne8382"/>
    <tableColumn id="8391" xr3:uid="{EF20DC64-051C-4711-8699-5ABC1B7AF7A1}" name="Colonne8383"/>
    <tableColumn id="8392" xr3:uid="{05E53F82-3CA7-46A6-9001-30D443B71E36}" name="Colonne8384"/>
    <tableColumn id="8393" xr3:uid="{3F5C9D85-61A0-4ED6-8228-DDD739978713}" name="Colonne8385"/>
    <tableColumn id="8394" xr3:uid="{46B0B4DC-C1F8-43AC-8CE4-A55DC3085CD2}" name="Colonne8386"/>
    <tableColumn id="8395" xr3:uid="{0C3BB219-8AB8-4314-89E8-91DB5D5D1E71}" name="Colonne8387"/>
    <tableColumn id="8396" xr3:uid="{0724F8A1-8C35-420C-9106-1D7C5D109220}" name="Colonne8388"/>
    <tableColumn id="8397" xr3:uid="{7815809B-1D6E-40BF-87FE-8F4A5B047818}" name="Colonne8389"/>
    <tableColumn id="8398" xr3:uid="{7B94D5B9-F158-4882-9E6B-743DFCE4090A}" name="Colonne8390"/>
    <tableColumn id="8399" xr3:uid="{634E1567-7725-42E7-A99E-9487014A6034}" name="Colonne8391"/>
    <tableColumn id="8400" xr3:uid="{0A6AB7E5-BAF1-458D-9DE6-C8FFF5DCE2B5}" name="Colonne8392"/>
    <tableColumn id="8401" xr3:uid="{02A33A6A-BE8F-4204-A4BD-FBCF8F8DA8CD}" name="Colonne8393"/>
    <tableColumn id="8402" xr3:uid="{F77374BF-D88F-4BA9-9549-1AEF4E66A9E7}" name="Colonne8394"/>
    <tableColumn id="8403" xr3:uid="{A216348F-12FF-402D-995D-AAD7881DC34D}" name="Colonne8395"/>
    <tableColumn id="8404" xr3:uid="{68166D89-481B-4B4A-9D42-D314F9B28B1E}" name="Colonne8396"/>
    <tableColumn id="8405" xr3:uid="{937A6001-1576-4EA2-838D-B62A20DF1A0F}" name="Colonne8397"/>
    <tableColumn id="8406" xr3:uid="{09521700-15E7-4B37-86D1-9646961E2850}" name="Colonne8398"/>
    <tableColumn id="8407" xr3:uid="{6A89AA0D-2B23-44E4-ABFB-2DA3A01B4C4A}" name="Colonne8399"/>
    <tableColumn id="8408" xr3:uid="{F80F1D8E-CBC4-4421-86BD-6EF376241830}" name="Colonne8400"/>
    <tableColumn id="8409" xr3:uid="{468AACBE-52B0-4A53-BDE0-4BB7297F9B22}" name="Colonne8401"/>
    <tableColumn id="8410" xr3:uid="{E224AA59-60AA-4341-A64B-7AF6D6C21723}" name="Colonne8402"/>
    <tableColumn id="8411" xr3:uid="{746FE71A-7525-4752-9D4F-ECFCA15B1241}" name="Colonne8403"/>
    <tableColumn id="8412" xr3:uid="{48CF39C6-2BA8-4C8D-AED7-B4BE8C1FFD03}" name="Colonne8404"/>
    <tableColumn id="8413" xr3:uid="{D4229BDD-D0D9-4E3B-A192-48715E9F80A1}" name="Colonne8405"/>
    <tableColumn id="8414" xr3:uid="{04E95209-03A5-4D02-8D3B-1F3628265D6B}" name="Colonne8406"/>
    <tableColumn id="8415" xr3:uid="{8C1DB78E-EFD5-4CBF-9785-176058534560}" name="Colonne8407"/>
    <tableColumn id="8416" xr3:uid="{8B04028D-39E5-49BE-ADC6-7E7057FB7AEF}" name="Colonne8408"/>
    <tableColumn id="8417" xr3:uid="{698603F8-FFED-48EE-B20E-3E442098261E}" name="Colonne8409"/>
    <tableColumn id="8418" xr3:uid="{02F45210-46A6-4DB0-A472-5574BA547671}" name="Colonne8410"/>
    <tableColumn id="8419" xr3:uid="{DAE6857E-1E00-44DC-82B4-C9E790FA733B}" name="Colonne8411"/>
    <tableColumn id="8420" xr3:uid="{8CBE7AB4-7879-433F-BF45-99EF4B1A0C6A}" name="Colonne8412"/>
    <tableColumn id="8421" xr3:uid="{83503B62-C86D-46C8-A0C2-B3D12BE4E09B}" name="Colonne8413"/>
    <tableColumn id="8422" xr3:uid="{82E21151-830C-42DD-B12E-0D0CF59E84C5}" name="Colonne8414"/>
    <tableColumn id="8423" xr3:uid="{ABF2F0B6-50C1-473E-AD3C-141C4D384011}" name="Colonne8415"/>
    <tableColumn id="8424" xr3:uid="{19656DEA-C497-400D-8EB6-012FF9F14F66}" name="Colonne8416"/>
    <tableColumn id="8425" xr3:uid="{201F7540-FBC7-4DA2-BF81-4FE15C09D342}" name="Colonne8417"/>
    <tableColumn id="8426" xr3:uid="{FE74FA33-37EE-4B8E-A6EB-EFF0A4AFF7E6}" name="Colonne8418"/>
    <tableColumn id="8427" xr3:uid="{0DDA64C5-E9AB-4BFE-81A4-ECF7FD399AEF}" name="Colonne8419"/>
    <tableColumn id="8428" xr3:uid="{99871627-D25C-42C4-8A3F-797EB1D8F83E}" name="Colonne8420"/>
    <tableColumn id="8429" xr3:uid="{F2D74654-809D-4142-A87A-9E3AA7825128}" name="Colonne8421"/>
    <tableColumn id="8430" xr3:uid="{56A49700-F077-451B-A977-379DD6E12AFE}" name="Colonne8422"/>
    <tableColumn id="8431" xr3:uid="{0CF3D53F-FB58-45F5-99FB-03BE8AEF2188}" name="Colonne8423"/>
    <tableColumn id="8432" xr3:uid="{3ED88302-755B-43B3-8C6E-B4FE3DF6256E}" name="Colonne8424"/>
    <tableColumn id="8433" xr3:uid="{E933B170-0918-48BE-868C-3EEECB5C6342}" name="Colonne8425"/>
    <tableColumn id="8434" xr3:uid="{950DE2B8-2F51-440C-BA77-4A8087CC5DE5}" name="Colonne8426"/>
    <tableColumn id="8435" xr3:uid="{30157845-939A-4360-88B3-467B0F3B7492}" name="Colonne8427"/>
    <tableColumn id="8436" xr3:uid="{2BE2C831-D33E-45CA-9163-2817E04D050F}" name="Colonne8428"/>
    <tableColumn id="8437" xr3:uid="{89954BB6-7489-4B99-8318-403BA2A4E32E}" name="Colonne8429"/>
    <tableColumn id="8438" xr3:uid="{4DDF615E-A279-4E77-8C25-08D8030800BD}" name="Colonne8430"/>
    <tableColumn id="8439" xr3:uid="{3D848378-7D37-4439-8920-5F074CF40CC5}" name="Colonne8431"/>
    <tableColumn id="8440" xr3:uid="{7DAC2C10-5A5A-40DB-A519-CD43987429C0}" name="Colonne8432"/>
    <tableColumn id="8441" xr3:uid="{1D20B90D-298A-4BAC-8CC8-176D0EE2AB9D}" name="Colonne8433"/>
    <tableColumn id="8442" xr3:uid="{777772A4-DF36-497F-A825-9BD3FB7CE83C}" name="Colonne8434"/>
    <tableColumn id="8443" xr3:uid="{5445213E-213A-4C76-AF00-2CD9942A7242}" name="Colonne8435"/>
    <tableColumn id="8444" xr3:uid="{C64DB734-646B-4DE7-BA39-0CEB4DA3E401}" name="Colonne8436"/>
    <tableColumn id="8445" xr3:uid="{73EDE608-01AA-459E-8A63-A507060C406A}" name="Colonne8437"/>
    <tableColumn id="8446" xr3:uid="{6B6FE16F-3190-400F-9C85-FF00156A71FE}" name="Colonne8438"/>
    <tableColumn id="8447" xr3:uid="{6CDFC60A-780B-4466-BEFB-EC04E9B13D18}" name="Colonne8439"/>
    <tableColumn id="8448" xr3:uid="{BA325E4D-DBCA-4577-A396-6105E2B5DEC2}" name="Colonne8440"/>
    <tableColumn id="8449" xr3:uid="{F882D178-5E44-4FF8-A53E-42C80809CB88}" name="Colonne8441"/>
    <tableColumn id="8450" xr3:uid="{74FC1071-1782-4A82-9630-6889043B1E24}" name="Colonne8442"/>
    <tableColumn id="8451" xr3:uid="{18539037-0174-4F09-BADA-81920006DB89}" name="Colonne8443"/>
    <tableColumn id="8452" xr3:uid="{85078836-7510-438C-B6E9-E89178019B29}" name="Colonne8444"/>
    <tableColumn id="8453" xr3:uid="{91474ED3-A034-438B-B41D-12160E179A26}" name="Colonne8445"/>
    <tableColumn id="8454" xr3:uid="{52B71B41-2B6D-4E84-8540-8E58822BA042}" name="Colonne8446"/>
    <tableColumn id="8455" xr3:uid="{D1546136-B42B-4095-ABF0-4B05DEE40CC8}" name="Colonne8447"/>
    <tableColumn id="8456" xr3:uid="{03B45866-AE2A-4B19-A119-CA17703A018E}" name="Colonne8448"/>
    <tableColumn id="8457" xr3:uid="{E6EF6CF6-5CF1-476B-8755-153DABE8FF9D}" name="Colonne8449"/>
    <tableColumn id="8458" xr3:uid="{A8F1CA0B-CD86-450F-ABAC-4BC239FAF848}" name="Colonne8450"/>
    <tableColumn id="8459" xr3:uid="{41B19794-35F3-4442-AF7D-79BE8573DB73}" name="Colonne8451"/>
    <tableColumn id="8460" xr3:uid="{501EB0F6-9373-4056-9528-7428046CB17A}" name="Colonne8452"/>
    <tableColumn id="8461" xr3:uid="{43DB2B6F-9A41-461F-BA78-2639C4794F7E}" name="Colonne8453"/>
    <tableColumn id="8462" xr3:uid="{2ADDCD89-1430-4047-933C-757AD24E3900}" name="Colonne8454"/>
    <tableColumn id="8463" xr3:uid="{C56A275B-A5DA-40ED-8E19-5847741E5DAD}" name="Colonne8455"/>
    <tableColumn id="8464" xr3:uid="{FE6AE6B7-6082-433D-891B-530827153410}" name="Colonne8456"/>
    <tableColumn id="8465" xr3:uid="{88BEA362-DC18-436A-AC71-BBE6E928A28F}" name="Colonne8457"/>
    <tableColumn id="8466" xr3:uid="{8AF57982-3F8C-49B1-8B72-7474063EADB5}" name="Colonne8458"/>
    <tableColumn id="8467" xr3:uid="{4E615A08-3935-4FC8-98C7-0BCA199755C1}" name="Colonne8459"/>
    <tableColumn id="8468" xr3:uid="{69FF4044-D932-4295-92B4-8CFBD4C2964B}" name="Colonne8460"/>
    <tableColumn id="8469" xr3:uid="{8CC06B05-11A5-456E-A6C6-3DE60F8E8BDE}" name="Colonne8461"/>
    <tableColumn id="8470" xr3:uid="{0938148F-A47E-434B-A1FB-55FDD1BCF83F}" name="Colonne8462"/>
    <tableColumn id="8471" xr3:uid="{7E312EB6-0997-4763-8631-D2EC7ADE350B}" name="Colonne8463"/>
    <tableColumn id="8472" xr3:uid="{508B29A7-FC9E-4966-A36E-3316431416DE}" name="Colonne8464"/>
    <tableColumn id="8473" xr3:uid="{1C3CCA64-EF3E-40B8-852D-C782DF7BA015}" name="Colonne8465"/>
    <tableColumn id="8474" xr3:uid="{17615CE9-DF3A-4F5A-A88C-535E7A6B9446}" name="Colonne8466"/>
    <tableColumn id="8475" xr3:uid="{44500050-19AF-436C-BC61-FCFDDFD719DB}" name="Colonne8467"/>
    <tableColumn id="8476" xr3:uid="{676E0471-99BE-42B2-9EDC-AB1596A02189}" name="Colonne8468"/>
    <tableColumn id="8477" xr3:uid="{1B0E19E0-8758-439E-9199-54A36E194A59}" name="Colonne8469"/>
    <tableColumn id="8478" xr3:uid="{EC6AFB56-637F-44E1-AEB6-763C54F65C11}" name="Colonne8470"/>
    <tableColumn id="8479" xr3:uid="{F4FE8A9E-9C84-4584-B091-7730219304F5}" name="Colonne8471"/>
    <tableColumn id="8480" xr3:uid="{44B15A23-01B9-44FE-8688-46D74CD3F37B}" name="Colonne8472"/>
    <tableColumn id="8481" xr3:uid="{D5EA7CF2-FB9E-4E20-96DC-7D5479D69906}" name="Colonne8473"/>
    <tableColumn id="8482" xr3:uid="{BB112B11-33A9-4484-9C70-D19F0B8EA163}" name="Colonne8474"/>
    <tableColumn id="8483" xr3:uid="{087FBD3F-C98E-4B53-A14D-05BBD516390E}" name="Colonne8475"/>
    <tableColumn id="8484" xr3:uid="{0A3E261C-9136-4759-9CD0-692B2086C4BB}" name="Colonne8476"/>
    <tableColumn id="8485" xr3:uid="{B8A9AF86-17E7-4CBC-A2A5-74A2EA9D64A2}" name="Colonne8477"/>
    <tableColumn id="8486" xr3:uid="{8BCFE3B8-EB71-43F9-B5D5-E7E306059FF2}" name="Colonne8478"/>
    <tableColumn id="8487" xr3:uid="{14761362-1AAB-49A9-8C55-1C18D5D58AA0}" name="Colonne8479"/>
    <tableColumn id="8488" xr3:uid="{11E4CAEF-A414-4042-8CE2-EDE3405AA504}" name="Colonne8480"/>
    <tableColumn id="8489" xr3:uid="{4592369B-0D67-4A3B-9AC1-4BEE8A9BEC2F}" name="Colonne8481"/>
    <tableColumn id="8490" xr3:uid="{2C615266-E737-4612-B434-E2EEB4E83B25}" name="Colonne8482"/>
    <tableColumn id="8491" xr3:uid="{557DC13C-80BF-45DE-B35C-C91CA8C8DA0B}" name="Colonne8483"/>
    <tableColumn id="8492" xr3:uid="{EF29E8CF-055F-4028-8C1C-43C5A57E0CF2}" name="Colonne8484"/>
    <tableColumn id="8493" xr3:uid="{0C7ECD1F-D242-4D2A-AAE8-9A7BA94D16CC}" name="Colonne8485"/>
    <tableColumn id="8494" xr3:uid="{AE676DD1-5A92-4469-ABDC-50E362810E4A}" name="Colonne8486"/>
    <tableColumn id="8495" xr3:uid="{4FA4C326-83C6-4393-A24A-1D78D91B5917}" name="Colonne8487"/>
    <tableColumn id="8496" xr3:uid="{E756FEC2-CAF6-4DB7-9AE9-7035C18546FF}" name="Colonne8488"/>
    <tableColumn id="8497" xr3:uid="{07DBA465-0112-48ED-9A62-91DABE5ADF6B}" name="Colonne8489"/>
    <tableColumn id="8498" xr3:uid="{F2EEE68C-C3EA-49B6-B210-83067DAE604B}" name="Colonne8490"/>
    <tableColumn id="8499" xr3:uid="{8972045C-4794-4F92-B581-B334E15EEFC1}" name="Colonne8491"/>
    <tableColumn id="8500" xr3:uid="{EFEECB1F-3101-4B32-B579-7ABAE1ADD401}" name="Colonne8492"/>
    <tableColumn id="8501" xr3:uid="{12AB01D6-CA5F-4DE6-88DF-AEF8D4E7AF68}" name="Colonne8493"/>
    <tableColumn id="8502" xr3:uid="{9DB04702-FC38-4024-8B81-6E41E821EAB0}" name="Colonne8494"/>
    <tableColumn id="8503" xr3:uid="{3F1C9B97-2536-4EA2-9C59-C65BEE5E8F84}" name="Colonne8495"/>
    <tableColumn id="8504" xr3:uid="{972EB31E-3981-4496-8CF1-0B1945D0D7CE}" name="Colonne8496"/>
    <tableColumn id="8505" xr3:uid="{45BDDE2A-66EF-4765-9E51-2C4E1CD03AFB}" name="Colonne8497"/>
    <tableColumn id="8506" xr3:uid="{F0E69200-F6BD-4702-8424-7798C68CCCE1}" name="Colonne8498"/>
    <tableColumn id="8507" xr3:uid="{0B2F9D2E-77CC-4956-8F0E-F32E6FF85E28}" name="Colonne8499"/>
    <tableColumn id="8508" xr3:uid="{EA052E58-2C24-487A-AADD-7EAB73CF6CAA}" name="Colonne8500"/>
    <tableColumn id="8509" xr3:uid="{E380FC66-1963-46C5-8327-C17ED5127DA9}" name="Colonne8501"/>
    <tableColumn id="8510" xr3:uid="{76B7FDB8-06C3-4688-B61F-CE5E9A80EC29}" name="Colonne8502"/>
    <tableColumn id="8511" xr3:uid="{89806B49-FBD1-4144-9CFB-071804FA3BD2}" name="Colonne8503"/>
    <tableColumn id="8512" xr3:uid="{6907F556-C69F-41FD-B7B8-573E050BABB2}" name="Colonne8504"/>
    <tableColumn id="8513" xr3:uid="{DA82297E-99EF-4389-ACAB-C194D3838E86}" name="Colonne8505"/>
    <tableColumn id="8514" xr3:uid="{615716A0-E623-4BD8-8E75-A34D0F06B2E2}" name="Colonne8506"/>
    <tableColumn id="8515" xr3:uid="{3AB09212-EC45-4B7B-AE6C-A610CB8D1530}" name="Colonne8507"/>
    <tableColumn id="8516" xr3:uid="{D95223EB-09E2-4AFE-B6DE-CFB9E44825ED}" name="Colonne8508"/>
    <tableColumn id="8517" xr3:uid="{E0C14DB9-1D1F-42B5-BBB9-BB15EEF87DF1}" name="Colonne8509"/>
    <tableColumn id="8518" xr3:uid="{747C600B-C90E-46A2-B80C-495C6D4C7B2B}" name="Colonne8510"/>
    <tableColumn id="8519" xr3:uid="{5A2C5A30-DCCF-49BE-ACA8-41EBFD1BB470}" name="Colonne8511"/>
    <tableColumn id="8520" xr3:uid="{69F3C0CD-E5E3-4ABC-B3CB-9357F1622BD8}" name="Colonne8512"/>
    <tableColumn id="8521" xr3:uid="{7B66ACAE-FCE7-40D2-A4D4-4185B07023D4}" name="Colonne8513"/>
    <tableColumn id="8522" xr3:uid="{ED294927-60F7-4D7F-BDAE-3825AA44BF58}" name="Colonne8514"/>
    <tableColumn id="8523" xr3:uid="{D9DFBDC8-844A-46E4-8DC8-158F68127256}" name="Colonne8515"/>
    <tableColumn id="8524" xr3:uid="{196DAF4C-2420-4444-96CC-4B5F1BE74423}" name="Colonne8516"/>
    <tableColumn id="8525" xr3:uid="{47CE7390-1547-45FC-944C-B386D1CB333F}" name="Colonne8517"/>
    <tableColumn id="8526" xr3:uid="{F54695EB-3A25-4518-988B-E325E7CACC2E}" name="Colonne8518"/>
    <tableColumn id="8527" xr3:uid="{B956EB8C-C0BC-4B14-BAE4-6F232CF01EC2}" name="Colonne8519"/>
    <tableColumn id="8528" xr3:uid="{CD40A046-003A-4DAF-B951-580671CA03C9}" name="Colonne8520"/>
    <tableColumn id="8529" xr3:uid="{68E39D63-7EB2-4F47-A604-6AD2DBA05FD9}" name="Colonne8521"/>
    <tableColumn id="8530" xr3:uid="{9FE881E4-1D64-4C6C-BD32-508D34437BC5}" name="Colonne8522"/>
    <tableColumn id="8531" xr3:uid="{44582D28-2AF4-411D-8C82-8149C836B947}" name="Colonne8523"/>
    <tableColumn id="8532" xr3:uid="{C1DAB3CB-5F09-4BE8-A5F8-59DF94BA0582}" name="Colonne8524"/>
    <tableColumn id="8533" xr3:uid="{2E755D61-80F4-4B53-B480-08AEC6CEC065}" name="Colonne8525"/>
    <tableColumn id="8534" xr3:uid="{87540D5D-8124-4673-9257-75A4D167742E}" name="Colonne8526"/>
    <tableColumn id="8535" xr3:uid="{C3E7E1B9-77E6-4EF6-A7C3-1A46A5C7A230}" name="Colonne8527"/>
    <tableColumn id="8536" xr3:uid="{83D58491-8B9E-49DE-86CC-0DB537302DE3}" name="Colonne8528"/>
    <tableColumn id="8537" xr3:uid="{F250EF66-93DC-4406-A526-C9E9213F0D34}" name="Colonne8529"/>
    <tableColumn id="8538" xr3:uid="{9E61CE85-54C9-4281-ADBB-CA8BAB38DD44}" name="Colonne8530"/>
    <tableColumn id="8539" xr3:uid="{78AC36C3-7AA7-4F0E-8FE3-038ED83D5A2B}" name="Colonne8531"/>
    <tableColumn id="8540" xr3:uid="{08062ECC-13C0-45BE-946F-B56D5271E4E1}" name="Colonne8532"/>
    <tableColumn id="8541" xr3:uid="{8E4B37BD-39C1-418E-91F3-7EB6B241DA7B}" name="Colonne8533"/>
    <tableColumn id="8542" xr3:uid="{84ADA417-19C6-4DB8-A306-04F874816858}" name="Colonne8534"/>
    <tableColumn id="8543" xr3:uid="{41B8B2C5-2FFE-47E9-9596-3604859154E7}" name="Colonne8535"/>
    <tableColumn id="8544" xr3:uid="{E7126F37-774D-46A5-A1FE-A97368BFC2A1}" name="Colonne8536"/>
    <tableColumn id="8545" xr3:uid="{8AF4AC30-9807-4147-8C24-5EE301C97DD9}" name="Colonne8537"/>
    <tableColumn id="8546" xr3:uid="{1EB00BE5-16F9-453F-BC7F-7AD7B7BCE105}" name="Colonne8538"/>
    <tableColumn id="8547" xr3:uid="{B4CDC6E3-4EE7-42A0-8F73-9C2F54D647FC}" name="Colonne8539"/>
    <tableColumn id="8548" xr3:uid="{6B6F3BDD-7789-43C4-B5E8-4D04C85B660D}" name="Colonne8540"/>
    <tableColumn id="8549" xr3:uid="{B4A79954-5FA2-4307-AD37-D50E9B78B3FA}" name="Colonne8541"/>
    <tableColumn id="8550" xr3:uid="{1C3BE99D-ED9E-4769-8137-AEF12B61AF7F}" name="Colonne8542"/>
    <tableColumn id="8551" xr3:uid="{560D4FF7-B731-43D5-88AD-3E53C52B20D1}" name="Colonne8543"/>
    <tableColumn id="8552" xr3:uid="{E80114E9-F541-4963-8B45-1E1F46AF3F1C}" name="Colonne8544"/>
    <tableColumn id="8553" xr3:uid="{AB38E959-CC98-4E10-B8F0-9EC879CDA0C2}" name="Colonne8545"/>
    <tableColumn id="8554" xr3:uid="{60861164-867C-4D5B-857A-0C71E3589CD6}" name="Colonne8546"/>
    <tableColumn id="8555" xr3:uid="{C281EED7-E0B9-43AC-A822-5C21DB90E66C}" name="Colonne8547"/>
    <tableColumn id="8556" xr3:uid="{D2315461-7515-4CB7-9E5C-50E97515BA1E}" name="Colonne8548"/>
    <tableColumn id="8557" xr3:uid="{0928683E-5DE5-41A5-8E4A-6A988A3D81F6}" name="Colonne8549"/>
    <tableColumn id="8558" xr3:uid="{57B79BD9-D266-4230-9042-16F7ED119780}" name="Colonne8550"/>
    <tableColumn id="8559" xr3:uid="{B5B92AE2-6D0C-4242-9EDC-550B5CDF73A8}" name="Colonne8551"/>
    <tableColumn id="8560" xr3:uid="{CF3CC6F6-3B00-4F45-8563-B88DB31FC353}" name="Colonne8552"/>
    <tableColumn id="8561" xr3:uid="{E52BDA48-8E25-418A-BC95-BA57FF7581BD}" name="Colonne8553"/>
    <tableColumn id="8562" xr3:uid="{0CF35047-C656-46BE-9326-81A4579A37E3}" name="Colonne8554"/>
    <tableColumn id="8563" xr3:uid="{90C2F673-8628-4B9E-997C-005550F21642}" name="Colonne8555"/>
    <tableColumn id="8564" xr3:uid="{9AFC3D05-9E93-4670-8BFF-B94BB69F7083}" name="Colonne8556"/>
    <tableColumn id="8565" xr3:uid="{062E81E2-9B5B-4AA3-8151-C3454E8CA410}" name="Colonne8557"/>
    <tableColumn id="8566" xr3:uid="{440CF68C-0A4F-4F47-A54D-71DCFC69208F}" name="Colonne8558"/>
    <tableColumn id="8567" xr3:uid="{86016444-DB40-41A4-9666-1C2C1E10484A}" name="Colonne8559"/>
    <tableColumn id="8568" xr3:uid="{6ECD6E58-FDDB-4744-8A3A-8E1128219AD4}" name="Colonne8560"/>
    <tableColumn id="8569" xr3:uid="{0A87CFC6-8961-43D0-A321-9098C68258A0}" name="Colonne8561"/>
    <tableColumn id="8570" xr3:uid="{B089278C-CC84-40E1-8C2D-FC80DA853FA7}" name="Colonne8562"/>
    <tableColumn id="8571" xr3:uid="{7BD2CC94-29F5-40D4-968F-3EAC7F7A6452}" name="Colonne8563"/>
    <tableColumn id="8572" xr3:uid="{9DD2ED1C-9007-4C0C-86D5-8A864FFCE5C0}" name="Colonne8564"/>
    <tableColumn id="8573" xr3:uid="{602D7E1C-8EDD-4343-841F-3225881FC07E}" name="Colonne8565"/>
    <tableColumn id="8574" xr3:uid="{0825001D-8ACE-406D-9442-0E58F8996783}" name="Colonne8566"/>
    <tableColumn id="8575" xr3:uid="{A7616BD7-C9C5-4CD1-A7AF-5585E4801C68}" name="Colonne8567"/>
    <tableColumn id="8576" xr3:uid="{5AB7226F-007E-42A6-A8EB-56F2E6FCAE8F}" name="Colonne8568"/>
    <tableColumn id="8577" xr3:uid="{FD245F6D-1357-4F59-ACD3-F602AA6F9C33}" name="Colonne8569"/>
    <tableColumn id="8578" xr3:uid="{EA9A991B-11C6-44E1-A790-323960E0790F}" name="Colonne8570"/>
    <tableColumn id="8579" xr3:uid="{6F81822E-A4E7-4CEC-BB1D-BBFF963C13FC}" name="Colonne8571"/>
    <tableColumn id="8580" xr3:uid="{155AF1D5-6C00-4425-92A9-6B439CA0E310}" name="Colonne8572"/>
    <tableColumn id="8581" xr3:uid="{A8D04318-3B7D-4EA6-9480-4446C18FD59B}" name="Colonne8573"/>
    <tableColumn id="8582" xr3:uid="{B8B68CE3-1D8A-4FE6-A9C3-C362888DABB3}" name="Colonne8574"/>
    <tableColumn id="8583" xr3:uid="{939D287E-D1BC-4A2F-88F8-261EFC8C588B}" name="Colonne8575"/>
    <tableColumn id="8584" xr3:uid="{BB12361F-05D1-45FC-B4F2-990A49241076}" name="Colonne8576"/>
    <tableColumn id="8585" xr3:uid="{EB6F43B0-0790-4ACB-90DF-57D90C1B3EF5}" name="Colonne8577"/>
    <tableColumn id="8586" xr3:uid="{B96B746A-0439-46E9-BC85-C331E9F2FA08}" name="Colonne8578"/>
    <tableColumn id="8587" xr3:uid="{D01770EF-C838-4505-8D5E-A6CCFE65B468}" name="Colonne8579"/>
    <tableColumn id="8588" xr3:uid="{C11C2964-8884-48AD-A129-7608602746E2}" name="Colonne8580"/>
    <tableColumn id="8589" xr3:uid="{DB0283B2-739D-46AA-A0D0-AE27380DB218}" name="Colonne8581"/>
    <tableColumn id="8590" xr3:uid="{E690E40E-DEAB-4AD3-B53E-AEB1A1EFD56D}" name="Colonne8582"/>
    <tableColumn id="8591" xr3:uid="{CCE1F769-1009-4CDD-BF29-B561465363D6}" name="Colonne8583"/>
    <tableColumn id="8592" xr3:uid="{A3BC4AB2-951C-400E-AA33-B2D9B8D253E4}" name="Colonne8584"/>
    <tableColumn id="8593" xr3:uid="{5DF3470A-D0E1-4234-B178-E23894C51C91}" name="Colonne8585"/>
    <tableColumn id="8594" xr3:uid="{89D5BE16-FA72-4FA0-9FBA-CC2E6718E961}" name="Colonne8586"/>
    <tableColumn id="8595" xr3:uid="{B79EA833-DC19-4309-81E7-B24041DB955B}" name="Colonne8587"/>
    <tableColumn id="8596" xr3:uid="{07085D9F-A52F-4611-95BA-28CD20AEE9C2}" name="Colonne8588"/>
    <tableColumn id="8597" xr3:uid="{31D00037-3BD5-4D2F-90F6-90F0F977DF96}" name="Colonne8589"/>
    <tableColumn id="8598" xr3:uid="{740EF112-214B-4B5A-A4B9-75ED0B7F6F7B}" name="Colonne8590"/>
    <tableColumn id="8599" xr3:uid="{C505A216-0C80-4B04-89EB-9BB4C58565C5}" name="Colonne8591"/>
    <tableColumn id="8600" xr3:uid="{2856432C-A4CF-447C-8BF8-001DC0F18E6B}" name="Colonne8592"/>
    <tableColumn id="8601" xr3:uid="{F1BC64D9-F235-49F9-8A79-D217D9BAD9EB}" name="Colonne8593"/>
    <tableColumn id="8602" xr3:uid="{22569F46-5466-4E62-8C63-99879C0F438E}" name="Colonne8594"/>
    <tableColumn id="8603" xr3:uid="{9AE9BD5C-171A-4790-8822-6EDC3495511B}" name="Colonne8595"/>
    <tableColumn id="8604" xr3:uid="{D039BE22-DEA6-425C-9458-128E4A7FEA3F}" name="Colonne8596"/>
    <tableColumn id="8605" xr3:uid="{890EAB86-8F83-4C61-B55F-EB4AFED485C3}" name="Colonne8597"/>
    <tableColumn id="8606" xr3:uid="{0D4F1ED9-3BCB-491C-86F8-37291744167A}" name="Colonne8598"/>
    <tableColumn id="8607" xr3:uid="{C3C69863-2D9F-484F-82B9-8F72CE0CFFA5}" name="Colonne8599"/>
    <tableColumn id="8608" xr3:uid="{8975911F-EBC8-46C1-BF34-72FC6166742D}" name="Colonne8600"/>
    <tableColumn id="8609" xr3:uid="{569D1C2E-3396-46A4-BEC5-DBF2F3F06322}" name="Colonne8601"/>
    <tableColumn id="8610" xr3:uid="{5179B83A-D2E2-43F6-A8F1-140EAFD10B18}" name="Colonne8602"/>
    <tableColumn id="8611" xr3:uid="{B0B0AA9B-D4DB-4847-8832-86EAE6B6C4E7}" name="Colonne8603"/>
    <tableColumn id="8612" xr3:uid="{40119DB5-DDFE-4A78-9AC9-0DA6AB762DAF}" name="Colonne8604"/>
    <tableColumn id="8613" xr3:uid="{BD322605-BC88-4889-A75F-C9D5FF8ED1DB}" name="Colonne8605"/>
    <tableColumn id="8614" xr3:uid="{555BBAE5-20EE-4E32-8CDB-74224C9BA568}" name="Colonne8606"/>
    <tableColumn id="8615" xr3:uid="{CF2DEE4C-351A-48A2-A09E-FED3E88A35EE}" name="Colonne8607"/>
    <tableColumn id="8616" xr3:uid="{4D340B2E-26BA-40F1-B1E6-155BB79C83E2}" name="Colonne8608"/>
    <tableColumn id="8617" xr3:uid="{0330C599-0387-4E6C-A7CB-9571B004CEE9}" name="Colonne8609"/>
    <tableColumn id="8618" xr3:uid="{B6D207BD-338E-423A-A88F-5DA307D9E2CD}" name="Colonne8610"/>
    <tableColumn id="8619" xr3:uid="{47B24606-6DE7-4085-9C68-96DCDBA242AB}" name="Colonne8611"/>
    <tableColumn id="8620" xr3:uid="{82AA8B58-5864-44C0-923D-9AB3A9B160D9}" name="Colonne8612"/>
    <tableColumn id="8621" xr3:uid="{B27CE2AA-44B5-426B-AFFD-0904CB044AB9}" name="Colonne8613"/>
    <tableColumn id="8622" xr3:uid="{DF744271-E4FF-4202-B9F2-E3705F2F3FBA}" name="Colonne8614"/>
    <tableColumn id="8623" xr3:uid="{E12BD9EF-2285-42D6-A85F-9C35D5692B56}" name="Colonne8615"/>
    <tableColumn id="8624" xr3:uid="{6D8E35A3-4A90-4E3A-B622-9F61A94C5A2C}" name="Colonne8616"/>
    <tableColumn id="8625" xr3:uid="{8B4BAA17-F8F3-4B48-81D7-C7FB8DA4DB98}" name="Colonne8617"/>
    <tableColumn id="8626" xr3:uid="{3B37C237-750D-49EF-9B25-27E1EB46249A}" name="Colonne8618"/>
    <tableColumn id="8627" xr3:uid="{E9BBB14B-8CF4-4BFA-93CB-A99E32871782}" name="Colonne8619"/>
    <tableColumn id="8628" xr3:uid="{FBA10A0B-B1CE-40EA-80D2-928BB42CBE3E}" name="Colonne8620"/>
    <tableColumn id="8629" xr3:uid="{FCE019F5-F4C6-4898-A40E-B019DF1D47DC}" name="Colonne8621"/>
    <tableColumn id="8630" xr3:uid="{2E6360EC-3A74-4B5E-B095-17CD9CD49405}" name="Colonne8622"/>
    <tableColumn id="8631" xr3:uid="{4FBA4B14-B4E1-426F-B34C-814582FD252D}" name="Colonne8623"/>
    <tableColumn id="8632" xr3:uid="{3622C220-6851-4D11-B661-86A4BB9E3ABB}" name="Colonne8624"/>
    <tableColumn id="8633" xr3:uid="{A6AAC7EE-2839-4C0A-9DD9-87166C2E0572}" name="Colonne8625"/>
    <tableColumn id="8634" xr3:uid="{7E43742E-AA2C-4037-8AC0-11125C0E4A56}" name="Colonne8626"/>
    <tableColumn id="8635" xr3:uid="{1BFA6B3C-FD84-4B4B-88B8-287914B8C4CE}" name="Colonne8627"/>
    <tableColumn id="8636" xr3:uid="{5C0AC68B-7406-4194-9339-7C2DD009FEB1}" name="Colonne8628"/>
    <tableColumn id="8637" xr3:uid="{AA0E9004-182E-4F88-BF25-ED567625841A}" name="Colonne8629"/>
    <tableColumn id="8638" xr3:uid="{40BCE98F-1644-471B-A5B4-1F4232DE1EC2}" name="Colonne8630"/>
    <tableColumn id="8639" xr3:uid="{ECCEC7CB-C729-43EC-A9EB-E27DF176308B}" name="Colonne8631"/>
    <tableColumn id="8640" xr3:uid="{2153E32A-1CF0-4FA4-BCFD-3CFE741DD7E2}" name="Colonne8632"/>
    <tableColumn id="8641" xr3:uid="{61F64F7C-35E1-4E6A-AD46-A588C3B0257F}" name="Colonne8633"/>
    <tableColumn id="8642" xr3:uid="{6544B3FD-5B30-4C62-869E-4226179EA03B}" name="Colonne8634"/>
    <tableColumn id="8643" xr3:uid="{5E5AC13D-6832-4A40-98B3-A3B737E7C7E1}" name="Colonne8635"/>
    <tableColumn id="8644" xr3:uid="{8E8A3F8B-A28D-44B6-BA05-F206772775DF}" name="Colonne8636"/>
    <tableColumn id="8645" xr3:uid="{95409C88-89E5-42BD-8F62-CCAB2702E910}" name="Colonne8637"/>
    <tableColumn id="8646" xr3:uid="{60010A73-6FEC-4CAD-820A-06E66AF57C89}" name="Colonne8638"/>
    <tableColumn id="8647" xr3:uid="{8D86336F-6B3A-4F1C-B364-5595D2243FC9}" name="Colonne8639"/>
    <tableColumn id="8648" xr3:uid="{AF3205CF-8AC9-4345-9918-7AE377ABD5F7}" name="Colonne8640"/>
    <tableColumn id="8649" xr3:uid="{AF1857DD-4CBE-4848-B2BF-1B6CE5322DF0}" name="Colonne8641"/>
    <tableColumn id="8650" xr3:uid="{9BF0D711-681F-4BF2-A28B-0D27774E0B11}" name="Colonne8642"/>
    <tableColumn id="8651" xr3:uid="{64AA33A4-A5FF-4D02-B9AD-B186737659EC}" name="Colonne8643"/>
    <tableColumn id="8652" xr3:uid="{128411C8-DBF9-4DE6-9C5F-7BEAA40D8A26}" name="Colonne8644"/>
    <tableColumn id="8653" xr3:uid="{8477865F-A08F-4737-B9BF-0C58CAC9183D}" name="Colonne8645"/>
    <tableColumn id="8654" xr3:uid="{814A8D10-B7F6-4382-961E-58305CD32F75}" name="Colonne8646"/>
    <tableColumn id="8655" xr3:uid="{A6A2246F-F39A-4066-81F6-3C6F68818AEE}" name="Colonne8647"/>
    <tableColumn id="8656" xr3:uid="{361C90B5-F5BB-4271-8241-FCA8E83EEDEA}" name="Colonne8648"/>
    <tableColumn id="8657" xr3:uid="{BBFDA614-9CDB-4A0C-A5AC-C9C2792435EC}" name="Colonne8649"/>
    <tableColumn id="8658" xr3:uid="{884E147D-4EFE-4E92-96F8-2E690E20139E}" name="Colonne8650"/>
    <tableColumn id="8659" xr3:uid="{8B15F127-06F9-4430-BC10-0D585905DA1B}" name="Colonne8651"/>
    <tableColumn id="8660" xr3:uid="{02AEE98C-05B4-472B-9B67-BCE61A317F26}" name="Colonne8652"/>
    <tableColumn id="8661" xr3:uid="{B8AD498C-5D98-48B9-9DFC-16CADFE4E6AC}" name="Colonne8653"/>
    <tableColumn id="8662" xr3:uid="{F07BD83D-E05A-4005-B249-BACFDC775109}" name="Colonne8654"/>
    <tableColumn id="8663" xr3:uid="{67334652-9747-4412-9C43-8CB24BEC6D74}" name="Colonne8655"/>
    <tableColumn id="8664" xr3:uid="{49EC5874-C8BC-45B4-B5C1-3600A460B7AC}" name="Colonne8656"/>
    <tableColumn id="8665" xr3:uid="{26E5FA8B-37B2-4ED6-B88A-911196CCA11F}" name="Colonne8657"/>
    <tableColumn id="8666" xr3:uid="{D7BA09FA-D49A-4ACA-9DC0-FEF41A248FE5}" name="Colonne8658"/>
    <tableColumn id="8667" xr3:uid="{9A292694-9EBA-4590-8ADC-2D902AD7074E}" name="Colonne8659"/>
    <tableColumn id="8668" xr3:uid="{857391A2-F076-4A3C-B027-72796B399B66}" name="Colonne8660"/>
    <tableColumn id="8669" xr3:uid="{62652E38-DF17-4651-988F-F069044DAEB0}" name="Colonne8661"/>
    <tableColumn id="8670" xr3:uid="{B3910440-CA45-4018-AF46-EDE399D7E2B5}" name="Colonne8662"/>
    <tableColumn id="8671" xr3:uid="{67A85D1D-D0B1-48FF-A253-98783F9E357A}" name="Colonne8663"/>
    <tableColumn id="8672" xr3:uid="{35ECDFC0-0546-4477-A1BE-65CDCD301A25}" name="Colonne8664"/>
    <tableColumn id="8673" xr3:uid="{40F7F949-0E8F-446D-8675-F7D759B0957C}" name="Colonne8665"/>
    <tableColumn id="8674" xr3:uid="{5AA1C7BD-EB67-4547-8F63-563AF935F3E3}" name="Colonne8666"/>
    <tableColumn id="8675" xr3:uid="{85726BBF-FF1B-4469-A0F2-D27ED6741EF0}" name="Colonne8667"/>
    <tableColumn id="8676" xr3:uid="{59528721-67D7-4C15-A224-74A62107A4F4}" name="Colonne8668"/>
    <tableColumn id="8677" xr3:uid="{B7A70E1E-815A-405D-8BD2-9871B79AE5AA}" name="Colonne8669"/>
    <tableColumn id="8678" xr3:uid="{CEB6E761-6DAE-4162-918F-22F4E1D6E40E}" name="Colonne8670"/>
    <tableColumn id="8679" xr3:uid="{2DFDACA5-4258-4AC7-9587-8318387312A0}" name="Colonne8671"/>
    <tableColumn id="8680" xr3:uid="{38F0A4E8-1D77-4D18-AF4B-0EC4B5066EC8}" name="Colonne8672"/>
    <tableColumn id="8681" xr3:uid="{488417FB-E1B5-4477-96DD-E25962D2575F}" name="Colonne8673"/>
    <tableColumn id="8682" xr3:uid="{787CD050-E5E6-4F0E-A2B5-ADAFD45762A4}" name="Colonne8674"/>
    <tableColumn id="8683" xr3:uid="{3BDC1D96-8BD1-4785-A2AF-05250B4CAB20}" name="Colonne8675"/>
    <tableColumn id="8684" xr3:uid="{8A8BCD82-EE66-45F8-8002-032979A0C3A7}" name="Colonne8676"/>
    <tableColumn id="8685" xr3:uid="{6E9D6209-0EB4-4E4C-985C-7CEAE0D9F564}" name="Colonne8677"/>
    <tableColumn id="8686" xr3:uid="{E7D3CCAC-9B06-4C29-9A42-2C0A5FD91F68}" name="Colonne8678"/>
    <tableColumn id="8687" xr3:uid="{7526DD7E-7A90-4659-A53A-E66A33EC091E}" name="Colonne8679"/>
    <tableColumn id="8688" xr3:uid="{B6FC6D32-126B-413F-8992-7D3C70B3AB8E}" name="Colonne8680"/>
    <tableColumn id="8689" xr3:uid="{A3591A93-9E39-4E0A-9D85-CC4E9BCA0F7C}" name="Colonne8681"/>
    <tableColumn id="8690" xr3:uid="{B90FB276-054E-4BBB-9D87-818237FD9049}" name="Colonne8682"/>
    <tableColumn id="8691" xr3:uid="{D73FA27A-A04A-4C9A-BD79-F13ABA88FCA9}" name="Colonne8683"/>
    <tableColumn id="8692" xr3:uid="{1C1E49F0-6133-4AC4-ABFA-F30094080D92}" name="Colonne8684"/>
    <tableColumn id="8693" xr3:uid="{9B824BD2-A64D-48BD-816B-72507AAC30E2}" name="Colonne8685"/>
    <tableColumn id="8694" xr3:uid="{83824B3C-4C97-4FDF-971A-DF1EB88CC413}" name="Colonne8686"/>
    <tableColumn id="8695" xr3:uid="{186B2E61-4585-4546-A1C8-25DB4A4468A9}" name="Colonne8687"/>
    <tableColumn id="8696" xr3:uid="{146D157B-B519-4B88-9FD8-69C2EA4187DD}" name="Colonne8688"/>
    <tableColumn id="8697" xr3:uid="{331FEADD-3B5F-4763-B73C-7F91EFE8B366}" name="Colonne8689"/>
    <tableColumn id="8698" xr3:uid="{3771C4A7-CD98-45EA-8A96-97985DB733F2}" name="Colonne8690"/>
    <tableColumn id="8699" xr3:uid="{796DA381-36D3-4AF5-997F-9FD696C6C5B2}" name="Colonne8691"/>
    <tableColumn id="8700" xr3:uid="{A8ADAF03-5C51-46E3-87AC-C3D8C7D6DC4D}" name="Colonne8692"/>
    <tableColumn id="8701" xr3:uid="{16312389-28A8-4E9B-B2BD-2A59310C5CC5}" name="Colonne8693"/>
    <tableColumn id="8702" xr3:uid="{1C945BED-7699-4600-8914-53EC4BF19EFA}" name="Colonne8694"/>
    <tableColumn id="8703" xr3:uid="{EB192D53-5BF5-4B43-AF83-E0D7780BE447}" name="Colonne8695"/>
    <tableColumn id="8704" xr3:uid="{CA1F8E6D-C063-4E27-8E88-6E72C8490FD1}" name="Colonne8696"/>
    <tableColumn id="8705" xr3:uid="{B7E1CC85-AD7F-400E-9DE2-7D43A12C70CC}" name="Colonne8697"/>
    <tableColumn id="8706" xr3:uid="{E95D63D7-31F4-47F9-8433-CD1298BDD895}" name="Colonne8698"/>
    <tableColumn id="8707" xr3:uid="{E4ECDCBF-0AEB-4116-A3C3-CE9A76C90D99}" name="Colonne8699"/>
    <tableColumn id="8708" xr3:uid="{A95D0B7A-3A83-4CC0-8BB5-812BBC9D75B4}" name="Colonne8700"/>
    <tableColumn id="8709" xr3:uid="{7614E7C7-EA41-4814-AA7B-96CF88FEB120}" name="Colonne8701"/>
    <tableColumn id="8710" xr3:uid="{76B3E766-C012-4291-8F7B-5D40AA86DA22}" name="Colonne8702"/>
    <tableColumn id="8711" xr3:uid="{78908C77-60B8-42D1-985F-E6648308942B}" name="Colonne8703"/>
    <tableColumn id="8712" xr3:uid="{BF32324A-B382-4297-B718-D05761CE7187}" name="Colonne8704"/>
    <tableColumn id="8713" xr3:uid="{5DAD0229-DCDC-44AE-AE2D-432684739E25}" name="Colonne8705"/>
    <tableColumn id="8714" xr3:uid="{62D1E2C4-4D08-44EF-B2DB-63D5FFE38481}" name="Colonne8706"/>
    <tableColumn id="8715" xr3:uid="{95414F4C-3AC4-4074-80F1-AB3821E2B9CC}" name="Colonne8707"/>
    <tableColumn id="8716" xr3:uid="{7E0D0D9D-A7CD-4FCB-8A3E-DFA78C8A28A9}" name="Colonne8708"/>
    <tableColumn id="8717" xr3:uid="{FBA0727D-8108-4684-86FA-065D0DB47FBA}" name="Colonne8709"/>
    <tableColumn id="8718" xr3:uid="{7B5262B7-1C4C-466B-99B5-F30B6216595E}" name="Colonne8710"/>
    <tableColumn id="8719" xr3:uid="{38D9CD88-5953-4F2D-B39C-B72ED46270BF}" name="Colonne8711"/>
    <tableColumn id="8720" xr3:uid="{E142471A-4969-40B7-A5F0-500B46BD9D69}" name="Colonne8712"/>
    <tableColumn id="8721" xr3:uid="{E133333B-92CD-4DFA-9299-02CDD3CA9EB9}" name="Colonne8713"/>
    <tableColumn id="8722" xr3:uid="{4258CB81-97DC-4A9B-A5C0-07680BDEE425}" name="Colonne8714"/>
    <tableColumn id="8723" xr3:uid="{8316A3B1-10C4-4C27-9F10-263D825CF805}" name="Colonne8715"/>
    <tableColumn id="8724" xr3:uid="{D0FB554B-D34B-420F-9CEE-895168458FE3}" name="Colonne8716"/>
    <tableColumn id="8725" xr3:uid="{980BB9D8-2E37-4907-A4B5-A1D5654C6B28}" name="Colonne8717"/>
    <tableColumn id="8726" xr3:uid="{341EC023-2E16-4631-BF7D-52B498C0DA1F}" name="Colonne8718"/>
    <tableColumn id="8727" xr3:uid="{D0423C7E-7E25-4A92-9F65-877D8752D4C6}" name="Colonne8719"/>
    <tableColumn id="8728" xr3:uid="{CA4BE3FC-5010-4B5C-9D9E-9CB5ECDF1421}" name="Colonne8720"/>
    <tableColumn id="8729" xr3:uid="{40A49BE6-6E32-4C3E-9B25-44C82EB48D42}" name="Colonne8721"/>
    <tableColumn id="8730" xr3:uid="{897F73EB-D86B-4315-B06C-8B8158FA1AC6}" name="Colonne8722"/>
    <tableColumn id="8731" xr3:uid="{12848DC0-7933-4EBF-A1BF-E528557E079C}" name="Colonne8723"/>
    <tableColumn id="8732" xr3:uid="{A1B53CC9-7DFB-4126-8911-60E6FE8C3700}" name="Colonne8724"/>
    <tableColumn id="8733" xr3:uid="{EB404C96-1525-4E4A-853E-14838E008EAC}" name="Colonne8725"/>
    <tableColumn id="8734" xr3:uid="{A6159035-078C-4F4B-A1A8-50FFF6C89AC6}" name="Colonne8726"/>
    <tableColumn id="8735" xr3:uid="{8863037B-D03C-46FD-A3B4-F519CC930B2F}" name="Colonne8727"/>
    <tableColumn id="8736" xr3:uid="{EF5F5BDE-2523-40C9-9321-D5ED4312829F}" name="Colonne8728"/>
    <tableColumn id="8737" xr3:uid="{D59608BE-E69C-4F6F-A8F0-9AECBA5D0EFD}" name="Colonne8729"/>
    <tableColumn id="8738" xr3:uid="{16685DC1-14EB-435D-9B5B-84A2950B97B5}" name="Colonne8730"/>
    <tableColumn id="8739" xr3:uid="{7243D53A-2620-4F56-A622-53F5796C86EB}" name="Colonne8731"/>
    <tableColumn id="8740" xr3:uid="{66E7F0FA-C887-47F2-871F-2EAEAC18E9AD}" name="Colonne8732"/>
    <tableColumn id="8741" xr3:uid="{D218D5A5-2E01-49FB-BFFA-815860799AB8}" name="Colonne8733"/>
    <tableColumn id="8742" xr3:uid="{207F5296-FA7F-4945-80FE-4C57DED0BC56}" name="Colonne8734"/>
    <tableColumn id="8743" xr3:uid="{004B650F-D056-4BC3-B13E-79965FB14E44}" name="Colonne8735"/>
    <tableColumn id="8744" xr3:uid="{8FE6D397-070C-47C4-A74E-A9513255B009}" name="Colonne8736"/>
    <tableColumn id="8745" xr3:uid="{20CB3D34-26EF-48D5-B8E0-F87F1AFF61A1}" name="Colonne8737"/>
    <tableColumn id="8746" xr3:uid="{C6308418-654C-4FC0-93E5-3C6B038931A6}" name="Colonne8738"/>
    <tableColumn id="8747" xr3:uid="{66C237A3-31FE-47E3-9B5B-D38DE9D5557A}" name="Colonne8739"/>
    <tableColumn id="8748" xr3:uid="{872EE313-1C67-4D7C-A6EE-16DD88B87303}" name="Colonne8740"/>
    <tableColumn id="8749" xr3:uid="{C0B93A92-2A5E-42B5-9068-3B327886EA41}" name="Colonne8741"/>
    <tableColumn id="8750" xr3:uid="{202AB976-D4EF-4ED8-98E0-28C98752F0B1}" name="Colonne8742"/>
    <tableColumn id="8751" xr3:uid="{CE23F0AE-0FFC-4EBD-A36C-892818959947}" name="Colonne8743"/>
    <tableColumn id="8752" xr3:uid="{85D0EC53-B8A7-4A2B-8568-DD1AD75C63F3}" name="Colonne8744"/>
    <tableColumn id="8753" xr3:uid="{95BA2A37-0B8F-49F5-9066-023E54AB2FC5}" name="Colonne8745"/>
    <tableColumn id="8754" xr3:uid="{D81FE9DC-E1A4-413A-B2ED-5C4DCF075B9B}" name="Colonne8746"/>
    <tableColumn id="8755" xr3:uid="{DDF81AB9-769D-436F-B236-1C7ECD170885}" name="Colonne8747"/>
    <tableColumn id="8756" xr3:uid="{8F64F5DF-B0C5-43ED-ACAC-1C368290EC19}" name="Colonne8748"/>
    <tableColumn id="8757" xr3:uid="{811D89C9-B193-4D78-92C6-DF3BABF27096}" name="Colonne8749"/>
    <tableColumn id="8758" xr3:uid="{BBCC9798-ED60-4804-93F5-63ED47EF7924}" name="Colonne8750"/>
    <tableColumn id="8759" xr3:uid="{721C5C18-8612-4659-BD77-260DC1C72EA1}" name="Colonne8751"/>
    <tableColumn id="8760" xr3:uid="{C8DADBBC-36A6-458A-8D45-AE14ADE4376B}" name="Colonne8752"/>
    <tableColumn id="8761" xr3:uid="{42D79A75-9208-4D78-A688-1C1D82EA6C6B}" name="Colonne8753"/>
    <tableColumn id="8762" xr3:uid="{DA93BD0B-FEBD-413D-8833-CF5585190918}" name="Colonne8754"/>
    <tableColumn id="8763" xr3:uid="{CDB11784-8583-4906-892B-583C22BED2DC}" name="Colonne8755"/>
    <tableColumn id="8764" xr3:uid="{DFE067C4-060E-4221-B869-C57AC681B9C2}" name="Colonne8756"/>
    <tableColumn id="8765" xr3:uid="{4E1F3BD8-91BE-46F6-A229-4924B924905A}" name="Colonne8757"/>
    <tableColumn id="8766" xr3:uid="{9F21DB28-7A3A-4872-B049-2E49B366C62A}" name="Colonne8758"/>
    <tableColumn id="8767" xr3:uid="{43158D2F-CA31-4443-9C30-D72B51CE389F}" name="Colonne8759"/>
    <tableColumn id="8768" xr3:uid="{82EB0E91-2871-4D34-B7B9-D488944A65DF}" name="Colonne8760"/>
    <tableColumn id="8769" xr3:uid="{22F692FC-69E4-4F8E-8641-FA491C440AE8}" name="Colonne8761"/>
    <tableColumn id="8770" xr3:uid="{7B188B37-8167-4864-835C-1A044D7BBDC0}" name="Colonne8762"/>
    <tableColumn id="8771" xr3:uid="{4A393FD1-20C1-4319-A2D0-994E3C17EAD9}" name="Colonne8763"/>
    <tableColumn id="8772" xr3:uid="{C63DF1F6-CF49-4C75-8C9F-DCE8E2A54726}" name="Colonne8764"/>
    <tableColumn id="8773" xr3:uid="{3405963E-146B-49CE-AE2F-D202F30CB277}" name="Colonne8765"/>
    <tableColumn id="8774" xr3:uid="{990FDE4F-8E49-4FD7-BE90-777BF0D8D540}" name="Colonne8766"/>
    <tableColumn id="8775" xr3:uid="{A4CC97B7-358E-41D5-A947-1EB6645CE6BD}" name="Colonne8767"/>
    <tableColumn id="8776" xr3:uid="{25D82604-9E4D-46CE-89C3-BFD4AF4B66C1}" name="Colonne8768"/>
    <tableColumn id="8777" xr3:uid="{406434EF-7928-49FB-B6AA-4B9A505753E5}" name="Colonne8769"/>
    <tableColumn id="8778" xr3:uid="{2C148F7A-C0A7-49A8-9A0E-13A981EC04C2}" name="Colonne8770"/>
    <tableColumn id="8779" xr3:uid="{1F32DEEB-4B5B-46B3-8294-25F82A67C64B}" name="Colonne8771"/>
    <tableColumn id="8780" xr3:uid="{F95FD5A4-7DBC-4DE6-98EC-0BAFAE662B0A}" name="Colonne8772"/>
    <tableColumn id="8781" xr3:uid="{E99E2D3F-D622-4941-A9C5-F8E654C47A07}" name="Colonne8773"/>
    <tableColumn id="8782" xr3:uid="{646944F8-4354-4DD8-8925-FF1238E0317B}" name="Colonne8774"/>
    <tableColumn id="8783" xr3:uid="{27445A59-32E8-4D28-9A85-263DAF59F48E}" name="Colonne8775"/>
    <tableColumn id="8784" xr3:uid="{B24B650B-AF1B-440A-A973-7F9BF695C775}" name="Colonne8776"/>
    <tableColumn id="8785" xr3:uid="{59BB4DAC-5528-4ADA-94E6-092FD661E2C4}" name="Colonne8777"/>
    <tableColumn id="8786" xr3:uid="{52DD2065-2DCB-4578-9613-C6C5DAE70D70}" name="Colonne8778"/>
    <tableColumn id="8787" xr3:uid="{CB69EA05-057D-4628-B135-60EE2F7715FA}" name="Colonne8779"/>
    <tableColumn id="8788" xr3:uid="{D4C9CEED-644D-4B14-8086-DC6501BB358B}" name="Colonne8780"/>
    <tableColumn id="8789" xr3:uid="{1B2906C8-8819-43F5-A79F-D957EB886BE6}" name="Colonne8781"/>
    <tableColumn id="8790" xr3:uid="{068BB28F-43CF-4CF8-B0A6-0966F0B92032}" name="Colonne8782"/>
    <tableColumn id="8791" xr3:uid="{41F38201-4A8F-49EF-9479-4B4AADF9BC2A}" name="Colonne8783"/>
    <tableColumn id="8792" xr3:uid="{94851D3E-E678-4652-989B-456EC8143174}" name="Colonne8784"/>
    <tableColumn id="8793" xr3:uid="{E8480603-4EE5-4B01-86D0-9BCBDF6B42E7}" name="Colonne8785"/>
    <tableColumn id="8794" xr3:uid="{7A5F6410-76DC-4A10-8C36-01F638E269E2}" name="Colonne8786"/>
    <tableColumn id="8795" xr3:uid="{A3678384-B769-40D6-8F2C-BC5D974FEA95}" name="Colonne8787"/>
    <tableColumn id="8796" xr3:uid="{792FAE46-44A1-458E-B7AD-422A90B6D950}" name="Colonne8788"/>
    <tableColumn id="8797" xr3:uid="{7E389FBB-0658-4827-8E28-6971D489F6A4}" name="Colonne8789"/>
    <tableColumn id="8798" xr3:uid="{2DC7345E-E579-4F0B-B24E-64B752AF6306}" name="Colonne8790"/>
    <tableColumn id="8799" xr3:uid="{80E6E113-01DD-4F78-BF5E-886BEC668376}" name="Colonne8791"/>
    <tableColumn id="8800" xr3:uid="{919FE431-6E32-4CA3-B122-F68C607799D2}" name="Colonne8792"/>
    <tableColumn id="8801" xr3:uid="{C9629D91-700E-438E-B31D-75E3E57D85EE}" name="Colonne8793"/>
    <tableColumn id="8802" xr3:uid="{E7E36C6A-BBE7-4705-8BAA-79A4362472CA}" name="Colonne8794"/>
    <tableColumn id="8803" xr3:uid="{81B90F40-DE43-49A6-9D83-549C60EB8510}" name="Colonne8795"/>
    <tableColumn id="8804" xr3:uid="{671F091C-BFE7-4DE9-BA5D-6D9213269297}" name="Colonne8796"/>
    <tableColumn id="8805" xr3:uid="{1092F9B6-3252-49FD-97FC-43A1E70CBE35}" name="Colonne8797"/>
    <tableColumn id="8806" xr3:uid="{C1E77E59-3F0C-423F-8F97-66CB96F197F2}" name="Colonne8798"/>
    <tableColumn id="8807" xr3:uid="{7F923A79-D3F9-4BB3-BD01-28F03829D860}" name="Colonne8799"/>
    <tableColumn id="8808" xr3:uid="{2A48287F-4AC6-4F3E-BEC4-1136B1F896CA}" name="Colonne8800"/>
    <tableColumn id="8809" xr3:uid="{8C87CA01-B54D-42A4-B8EC-82FC3F5F09E0}" name="Colonne8801"/>
    <tableColumn id="8810" xr3:uid="{091ECB9B-26FF-41A2-B3AC-058E11E201B8}" name="Colonne8802"/>
    <tableColumn id="8811" xr3:uid="{5108EF39-74C5-4F7A-8FA0-F0EF719A474C}" name="Colonne8803"/>
    <tableColumn id="8812" xr3:uid="{BBF6BBCD-A638-438A-9DDD-3A9BD06DF49A}" name="Colonne8804"/>
    <tableColumn id="8813" xr3:uid="{FF90EC3C-414D-46DD-85C7-6B12FB1DB5B9}" name="Colonne8805"/>
    <tableColumn id="8814" xr3:uid="{CFAA099A-601E-490D-AE87-63900C9D926D}" name="Colonne8806"/>
    <tableColumn id="8815" xr3:uid="{239EB447-A708-4705-8630-C6060E743664}" name="Colonne8807"/>
    <tableColumn id="8816" xr3:uid="{DB8523DA-9CB0-4C24-9C53-4AB835C348BC}" name="Colonne8808"/>
    <tableColumn id="8817" xr3:uid="{812F4A77-3C3A-4D1D-A633-4CB12A1126CE}" name="Colonne8809"/>
    <tableColumn id="8818" xr3:uid="{2B59350D-4E69-4E3A-B34A-5B0F743B3F8D}" name="Colonne8810"/>
    <tableColumn id="8819" xr3:uid="{3CB604BF-3C11-468D-90A8-2AD6799CEBED}" name="Colonne8811"/>
    <tableColumn id="8820" xr3:uid="{CB9956AF-030A-4703-9D14-E55EEC7C5539}" name="Colonne8812"/>
    <tableColumn id="8821" xr3:uid="{AF8EE4B9-76D4-4D5B-81DC-EAD071E2C472}" name="Colonne8813"/>
    <tableColumn id="8822" xr3:uid="{10B9F7B3-8FC0-456C-B0FF-6754E2FA5D24}" name="Colonne8814"/>
    <tableColumn id="8823" xr3:uid="{131E94F6-F7AB-4FD0-9562-387E99EDA000}" name="Colonne8815"/>
    <tableColumn id="8824" xr3:uid="{962903AC-9CD4-40A8-BE23-622572F67E5D}" name="Colonne8816"/>
    <tableColumn id="8825" xr3:uid="{65AAE1FF-897A-43A3-B05A-71A77BEB7304}" name="Colonne8817"/>
    <tableColumn id="8826" xr3:uid="{775B2CBA-D038-4DD8-BD60-313FD48049B8}" name="Colonne8818"/>
    <tableColumn id="8827" xr3:uid="{D96FA61C-1000-440D-B74B-E5FB45656BEA}" name="Colonne8819"/>
    <tableColumn id="8828" xr3:uid="{CD034AB5-FA61-48A2-B3B0-495D6817BAF1}" name="Colonne8820"/>
    <tableColumn id="8829" xr3:uid="{40814FB0-F4B8-4A03-99FD-BAED637013AF}" name="Colonne8821"/>
    <tableColumn id="8830" xr3:uid="{481E07A2-F824-426D-A1F8-11D0E59CD3E0}" name="Colonne8822"/>
    <tableColumn id="8831" xr3:uid="{8E499C7C-878D-43A0-B62C-DBFC122E3839}" name="Colonne8823"/>
    <tableColumn id="8832" xr3:uid="{C7C377AF-0FB2-420D-BF0B-3F9ED4D0622C}" name="Colonne8824"/>
    <tableColumn id="8833" xr3:uid="{D5363255-009E-4E5A-9CB8-6B41C92E4A02}" name="Colonne8825"/>
    <tableColumn id="8834" xr3:uid="{F3F583CE-65F0-4B33-B9CB-274FEC2BE9EB}" name="Colonne8826"/>
    <tableColumn id="8835" xr3:uid="{3831C299-0304-4A81-B252-C6AC8012B43E}" name="Colonne8827"/>
    <tableColumn id="8836" xr3:uid="{C2BA7006-984B-46A0-A57A-6EA06713F8EB}" name="Colonne8828"/>
    <tableColumn id="8837" xr3:uid="{54B24497-6BEC-4127-80BF-5F8262841D3D}" name="Colonne8829"/>
    <tableColumn id="8838" xr3:uid="{1F2379FF-F928-4BC0-8A09-AD1651C3B7F2}" name="Colonne8830"/>
    <tableColumn id="8839" xr3:uid="{1CA9CD9A-3360-46D9-A4E9-A8733734E867}" name="Colonne8831"/>
    <tableColumn id="8840" xr3:uid="{FCD06493-A0DA-4A27-9578-9978505E1757}" name="Colonne8832"/>
    <tableColumn id="8841" xr3:uid="{40295C2E-5E04-45BA-898E-D3EEE43644CA}" name="Colonne8833"/>
    <tableColumn id="8842" xr3:uid="{F5B33F60-0685-4EA6-9B4B-D4178F2685B5}" name="Colonne8834"/>
    <tableColumn id="8843" xr3:uid="{8450E5FF-1168-4BC8-AEE4-C73DE37E3241}" name="Colonne8835"/>
    <tableColumn id="8844" xr3:uid="{4711EEE3-6D7F-4B19-AB6C-F03BFB59ADCA}" name="Colonne8836"/>
    <tableColumn id="8845" xr3:uid="{7C203CB4-95BD-4187-9150-985BAAF4AD19}" name="Colonne8837"/>
    <tableColumn id="8846" xr3:uid="{D53E5023-51A5-4846-A5C3-045852AF160C}" name="Colonne8838"/>
    <tableColumn id="8847" xr3:uid="{34D3170A-CC6A-41BF-9F23-BF689F44900B}" name="Colonne8839"/>
    <tableColumn id="8848" xr3:uid="{8F2C9A8F-F891-49BA-AE1C-DEE17B0B725D}" name="Colonne8840"/>
    <tableColumn id="8849" xr3:uid="{71F4C578-753C-4A46-A503-9FCE2DDD1B69}" name="Colonne8841"/>
    <tableColumn id="8850" xr3:uid="{1022DDA9-1C09-4F99-81D5-26C71746A09E}" name="Colonne8842"/>
    <tableColumn id="8851" xr3:uid="{27E1E4B9-1EFC-4E1F-9832-AA1B70C40BD7}" name="Colonne8843"/>
    <tableColumn id="8852" xr3:uid="{506E9566-6137-4F89-AA36-E6A13DF33264}" name="Colonne8844"/>
    <tableColumn id="8853" xr3:uid="{4CB02BC7-4E4A-4CBB-94B0-D896415B85BA}" name="Colonne8845"/>
    <tableColumn id="8854" xr3:uid="{A5F43992-F4D4-40CA-AAD9-EE0613405A13}" name="Colonne8846"/>
    <tableColumn id="8855" xr3:uid="{CCB45133-8A55-499F-A8FB-AD4724309AF9}" name="Colonne8847"/>
    <tableColumn id="8856" xr3:uid="{E5936835-29CA-4F5F-8C1C-49BC65856934}" name="Colonne8848"/>
    <tableColumn id="8857" xr3:uid="{1DD93E68-CC20-49AD-AD61-8CFD44549897}" name="Colonne8849"/>
    <tableColumn id="8858" xr3:uid="{3DDF93DA-1C1C-40CD-8BBE-98CDBEE2013B}" name="Colonne8850"/>
    <tableColumn id="8859" xr3:uid="{1BCB5A81-4691-4A3E-B0FC-C8D92C94FE48}" name="Colonne8851"/>
    <tableColumn id="8860" xr3:uid="{242E30BA-9322-4C72-A4AE-E9BCE89F5260}" name="Colonne8852"/>
    <tableColumn id="8861" xr3:uid="{3C239759-0304-4FF0-8877-8517F44FD64A}" name="Colonne8853"/>
    <tableColumn id="8862" xr3:uid="{E19BD916-FA2B-46D1-9980-B1B8F83232E8}" name="Colonne8854"/>
    <tableColumn id="8863" xr3:uid="{B2BF1875-E805-4AE6-BE33-9F28CCB28D1A}" name="Colonne8855"/>
    <tableColumn id="8864" xr3:uid="{57612300-C5D3-4BA8-BF2E-45183B447402}" name="Colonne8856"/>
    <tableColumn id="8865" xr3:uid="{784BFFC2-1B95-4ADA-A9D5-C1D72DFF549C}" name="Colonne8857"/>
    <tableColumn id="8866" xr3:uid="{DEDBA7A8-2799-401F-A6AA-9C49A26FE70F}" name="Colonne8858"/>
    <tableColumn id="8867" xr3:uid="{B57B97C7-D980-4053-A79D-9E2AD75D39B8}" name="Colonne8859"/>
    <tableColumn id="8868" xr3:uid="{ACC45F93-8FC9-4FA5-A4B3-08846C4F5302}" name="Colonne8860"/>
    <tableColumn id="8869" xr3:uid="{B1E05179-5CA5-4EE8-890D-54788CC70085}" name="Colonne8861"/>
    <tableColumn id="8870" xr3:uid="{EE808F67-40F9-405B-8780-0E353AB085C5}" name="Colonne8862"/>
    <tableColumn id="8871" xr3:uid="{87C645F5-5AA4-44DE-A690-532902E28243}" name="Colonne8863"/>
    <tableColumn id="8872" xr3:uid="{FFB49ED5-134E-464D-8A24-4769ECE604B4}" name="Colonne8864"/>
    <tableColumn id="8873" xr3:uid="{FA674547-A572-454C-B824-4ABFEA02969E}" name="Colonne8865"/>
    <tableColumn id="8874" xr3:uid="{819F8270-826A-47E2-8F11-DC7D55D91EB3}" name="Colonne8866"/>
    <tableColumn id="8875" xr3:uid="{C16D3F8E-93CA-4E8A-BAA1-255611A9CF70}" name="Colonne8867"/>
    <tableColumn id="8876" xr3:uid="{943AC82C-C628-4D9D-ABE0-916DFE45E2C6}" name="Colonne8868"/>
    <tableColumn id="8877" xr3:uid="{186BB0C6-B4E5-4361-9F88-C9F5666F3197}" name="Colonne8869"/>
    <tableColumn id="8878" xr3:uid="{842134C6-5F56-4185-876C-DABF7CBA8256}" name="Colonne8870"/>
    <tableColumn id="8879" xr3:uid="{415979B8-52E6-4B70-B0DE-CE3C7EA9FC05}" name="Colonne8871"/>
    <tableColumn id="8880" xr3:uid="{88C45002-C021-4FCE-91C9-ECCD0AA71190}" name="Colonne8872"/>
    <tableColumn id="8881" xr3:uid="{F853F1A6-E2E2-46C4-8FF6-A4B9EDC2C355}" name="Colonne8873"/>
    <tableColumn id="8882" xr3:uid="{238E33F3-364E-4EF5-83E1-7EB8568BCA1C}" name="Colonne8874"/>
    <tableColumn id="8883" xr3:uid="{577AA298-8BFC-46AF-BDD6-FF01F2994874}" name="Colonne8875"/>
    <tableColumn id="8884" xr3:uid="{20D027E3-7E9F-4493-8DFA-7771323F777B}" name="Colonne8876"/>
    <tableColumn id="8885" xr3:uid="{4765070E-D4B4-4F2D-A10F-5901CC395712}" name="Colonne8877"/>
    <tableColumn id="8886" xr3:uid="{BACAFBC7-4DA9-467F-88A0-942171E485BA}" name="Colonne8878"/>
    <tableColumn id="8887" xr3:uid="{B188AF93-0445-4FBC-9D0B-1E3FE73F910E}" name="Colonne8879"/>
    <tableColumn id="8888" xr3:uid="{25029D0E-5980-4CAF-AD9E-F76525989C92}" name="Colonne8880"/>
    <tableColumn id="8889" xr3:uid="{F7C1016C-BF73-439D-B712-EC6F440F1462}" name="Colonne8881"/>
    <tableColumn id="8890" xr3:uid="{C0AC535C-91C9-40AB-A84E-3AFC7E414B19}" name="Colonne8882"/>
    <tableColumn id="8891" xr3:uid="{F023988B-2240-4DC1-B571-B8D793EAD1DB}" name="Colonne8883"/>
    <tableColumn id="8892" xr3:uid="{ADC4028F-5895-426E-85B2-E8F75F5EB51B}" name="Colonne8884"/>
    <tableColumn id="8893" xr3:uid="{623E6D3A-37B4-43A7-A13F-0877804C11BC}" name="Colonne8885"/>
    <tableColumn id="8894" xr3:uid="{7FA02302-9C25-40EF-9B57-7F4109C91030}" name="Colonne8886"/>
    <tableColumn id="8895" xr3:uid="{F6B72991-3D75-480F-A9AD-75CF55E8B5D9}" name="Colonne8887"/>
    <tableColumn id="8896" xr3:uid="{581C3996-6891-429C-846C-4389569E0E07}" name="Colonne8888"/>
    <tableColumn id="8897" xr3:uid="{A9F1A33F-4DB1-4CDF-A5BA-6625C2AB09C4}" name="Colonne8889"/>
    <tableColumn id="8898" xr3:uid="{D38B9FD5-955C-40E3-8E2A-1C95686267AE}" name="Colonne8890"/>
    <tableColumn id="8899" xr3:uid="{CD9A12E8-4BE4-4EAF-A4FF-1F758CD7BA10}" name="Colonne8891"/>
    <tableColumn id="8900" xr3:uid="{4A896AB8-68A9-43B7-8DAD-0F311592E5DF}" name="Colonne8892"/>
    <tableColumn id="8901" xr3:uid="{46A444A3-3B23-4394-BB2E-3D89CFD02BAF}" name="Colonne8893"/>
    <tableColumn id="8902" xr3:uid="{9ECF4E31-1361-4A09-86EC-C6D3A94CDFF3}" name="Colonne8894"/>
    <tableColumn id="8903" xr3:uid="{7E89566D-B6C9-4EE5-A235-6BD4DD3CF28B}" name="Colonne8895"/>
    <tableColumn id="8904" xr3:uid="{5C9EC94C-6E7B-4C8E-B607-AF75FEA18850}" name="Colonne8896"/>
    <tableColumn id="8905" xr3:uid="{FCFAC88D-2BB0-436E-9F63-88A356E10C45}" name="Colonne8897"/>
    <tableColumn id="8906" xr3:uid="{D296BCDE-10BD-40C3-9167-07A80430FB18}" name="Colonne8898"/>
    <tableColumn id="8907" xr3:uid="{3D597C22-0812-4D00-9D0F-504126062698}" name="Colonne8899"/>
    <tableColumn id="8908" xr3:uid="{D8B79AF1-7EDD-4E0D-8979-BFD08D8E3287}" name="Colonne8900"/>
    <tableColumn id="8909" xr3:uid="{346AACCF-B1E5-44A1-8CFF-E73D65799A6F}" name="Colonne8901"/>
    <tableColumn id="8910" xr3:uid="{960665BA-FD16-487E-BD19-232CBEE590DF}" name="Colonne8902"/>
    <tableColumn id="8911" xr3:uid="{94AA06F7-5DA7-4A6A-9C65-FF4D9B3F955F}" name="Colonne8903"/>
    <tableColumn id="8912" xr3:uid="{054691A3-F968-497C-8137-05F3CBBCBE48}" name="Colonne8904"/>
    <tableColumn id="8913" xr3:uid="{D859FFE3-1B86-4BC5-91DC-7BEA317A58A3}" name="Colonne8905"/>
    <tableColumn id="8914" xr3:uid="{6FE5D52E-C918-48DD-9687-BFBF5D78E9AA}" name="Colonne8906"/>
    <tableColumn id="8915" xr3:uid="{A5A2DE51-3F4D-40F9-8C65-73E7EB46C4B7}" name="Colonne8907"/>
    <tableColumn id="8916" xr3:uid="{AA782552-3A16-4DDD-8047-D085EBB24143}" name="Colonne8908"/>
    <tableColumn id="8917" xr3:uid="{825E1A45-C98F-4943-AFC2-F96EF0C403A1}" name="Colonne8909"/>
    <tableColumn id="8918" xr3:uid="{84075524-60B9-4C3E-87F0-50D2D961CE0B}" name="Colonne8910"/>
    <tableColumn id="8919" xr3:uid="{7464A12D-EA51-4B06-892E-98ABA93ED107}" name="Colonne8911"/>
    <tableColumn id="8920" xr3:uid="{87E568AD-5D41-4BC1-8F39-3D785CDB8BBD}" name="Colonne8912"/>
    <tableColumn id="8921" xr3:uid="{652DCFF6-CE7D-43EF-9AEC-B59256A3A913}" name="Colonne8913"/>
    <tableColumn id="8922" xr3:uid="{2A08386E-42A7-46A9-B58D-946A78C81FB7}" name="Colonne8914"/>
    <tableColumn id="8923" xr3:uid="{5FF34549-C9D9-4D2F-BF6C-78CBD3A20D3C}" name="Colonne8915"/>
    <tableColumn id="8924" xr3:uid="{18A29C8B-FA83-4389-99C4-5997EE93CBA6}" name="Colonne8916"/>
    <tableColumn id="8925" xr3:uid="{884BFD15-699A-4C07-94C3-0D8414108577}" name="Colonne8917"/>
    <tableColumn id="8926" xr3:uid="{056D3113-17D9-4155-9866-9EA1768A7C2B}" name="Colonne8918"/>
    <tableColumn id="8927" xr3:uid="{899D5CF7-4499-4F33-8223-A8DC077952EB}" name="Colonne8919"/>
    <tableColumn id="8928" xr3:uid="{B3912909-FEB4-4DD9-8310-14435B7E4D82}" name="Colonne8920"/>
    <tableColumn id="8929" xr3:uid="{F349B725-9591-45AA-8BD9-1EEFCB751199}" name="Colonne8921"/>
    <tableColumn id="8930" xr3:uid="{FC9046FD-96A2-40C7-B436-F8810F8854F7}" name="Colonne8922"/>
    <tableColumn id="8931" xr3:uid="{3946EDB6-E243-46A1-A634-2B6C9D818F9E}" name="Colonne8923"/>
    <tableColumn id="8932" xr3:uid="{35634512-40DC-449E-9DE4-CF46B52BB804}" name="Colonne8924"/>
    <tableColumn id="8933" xr3:uid="{CE95654B-53B5-4450-A9EA-14F0CFFA3D8C}" name="Colonne8925"/>
    <tableColumn id="8934" xr3:uid="{6E473CF8-3719-4E07-933C-4A534775E648}" name="Colonne8926"/>
    <tableColumn id="8935" xr3:uid="{2A1324F1-10EC-4426-953A-DD5C8F38A0BA}" name="Colonne8927"/>
    <tableColumn id="8936" xr3:uid="{45E0B488-A21B-43F0-94C7-D30ABBA2747D}" name="Colonne8928"/>
    <tableColumn id="8937" xr3:uid="{1B132ADA-449C-401A-837F-750FC2881A74}" name="Colonne8929"/>
    <tableColumn id="8938" xr3:uid="{4FCAD5BB-2032-45CC-9B5D-15C1D082121D}" name="Colonne8930"/>
    <tableColumn id="8939" xr3:uid="{A036D851-8B32-424F-A2D8-34EAF9A35E86}" name="Colonne8931"/>
    <tableColumn id="8940" xr3:uid="{ED7A0244-8FFB-48A7-8BE6-F353352839CA}" name="Colonne8932"/>
    <tableColumn id="8941" xr3:uid="{DB5726A4-B035-40EB-B26B-F501BCBA3ECE}" name="Colonne8933"/>
    <tableColumn id="8942" xr3:uid="{3BFB3505-D3D6-4041-82E4-C85C63BEFCD8}" name="Colonne8934"/>
    <tableColumn id="8943" xr3:uid="{09FF0874-8AAF-4031-8632-361802C940C2}" name="Colonne8935"/>
    <tableColumn id="8944" xr3:uid="{24DD5983-B505-4004-B8C8-C3E849E4887F}" name="Colonne8936"/>
    <tableColumn id="8945" xr3:uid="{99C32951-3AA7-4563-A3DB-E65744913DE1}" name="Colonne8937"/>
    <tableColumn id="8946" xr3:uid="{F407632A-8664-46AD-BDEF-E45C363FCFE3}" name="Colonne8938"/>
    <tableColumn id="8947" xr3:uid="{5B3DE5C4-F833-4A86-A3D4-5BE6EFD524E7}" name="Colonne8939"/>
    <tableColumn id="8948" xr3:uid="{6B156DF3-9745-45B9-8C3B-786A7EE2DA23}" name="Colonne8940"/>
    <tableColumn id="8949" xr3:uid="{C3AB218E-A094-4EFB-9F3D-952747CC5D6B}" name="Colonne8941"/>
    <tableColumn id="8950" xr3:uid="{696BC04F-474F-4496-9E7A-DFE12552DC15}" name="Colonne8942"/>
    <tableColumn id="8951" xr3:uid="{F816D2D9-91FD-4380-BF3E-09E810138942}" name="Colonne8943"/>
    <tableColumn id="8952" xr3:uid="{CACDFF40-8F13-4B5E-A4A3-0FE17532D38E}" name="Colonne8944"/>
    <tableColumn id="8953" xr3:uid="{459E641F-161B-4B43-9F75-DFE04613E709}" name="Colonne8945"/>
    <tableColumn id="8954" xr3:uid="{C7149C15-1DC0-431A-9249-596A38DE6B9C}" name="Colonne8946"/>
    <tableColumn id="8955" xr3:uid="{1B26979A-CECC-4399-9E7A-49DBF7EC192B}" name="Colonne8947"/>
    <tableColumn id="8956" xr3:uid="{9ECC404D-B647-43BF-80C9-C8882D04A3CE}" name="Colonne8948"/>
    <tableColumn id="8957" xr3:uid="{C7572D68-E457-45E5-9A19-7B3F9D1F98F5}" name="Colonne8949"/>
    <tableColumn id="8958" xr3:uid="{20CB6EEB-F102-4539-8343-BE777DB0A99A}" name="Colonne8950"/>
    <tableColumn id="8959" xr3:uid="{F770A300-3B04-4115-AB2F-834A9A32F5AF}" name="Colonne8951"/>
    <tableColumn id="8960" xr3:uid="{441C680E-8433-4A2C-9A6E-417BC8492069}" name="Colonne8952"/>
    <tableColumn id="8961" xr3:uid="{4A9423AA-71FD-4827-8902-E283A04C6A03}" name="Colonne8953"/>
    <tableColumn id="8962" xr3:uid="{7999B215-E353-4B8A-B446-2AA798E12332}" name="Colonne8954"/>
    <tableColumn id="8963" xr3:uid="{8FEA60CC-5453-4511-A874-07FE676C7250}" name="Colonne8955"/>
    <tableColumn id="8964" xr3:uid="{2882CFF6-8804-4181-958A-C0B7B3FDE7D4}" name="Colonne8956"/>
    <tableColumn id="8965" xr3:uid="{66B079FD-05E5-4ECF-A3DB-EBF021820EBC}" name="Colonne8957"/>
    <tableColumn id="8966" xr3:uid="{A9C5ABF2-4DB0-4286-BB42-090350519547}" name="Colonne8958"/>
    <tableColumn id="8967" xr3:uid="{24942477-747C-475A-B15C-25DA6486CA23}" name="Colonne8959"/>
    <tableColumn id="8968" xr3:uid="{0F24149A-21DA-40C1-8293-936B042CD3D2}" name="Colonne8960"/>
    <tableColumn id="8969" xr3:uid="{B981A2B9-10A4-45ED-B78C-0E427116C799}" name="Colonne8961"/>
    <tableColumn id="8970" xr3:uid="{5FA5DEBC-9778-4667-9E58-A662275C271F}" name="Colonne8962"/>
    <tableColumn id="8971" xr3:uid="{CC6D236D-9694-4EC7-A206-43500071D42A}" name="Colonne8963"/>
    <tableColumn id="8972" xr3:uid="{CAD045EB-D3F7-4904-9777-861886B42616}" name="Colonne8964"/>
    <tableColumn id="8973" xr3:uid="{997BE99D-DF1A-4DA6-9E47-2D70B04843AB}" name="Colonne8965"/>
    <tableColumn id="8974" xr3:uid="{5EE6262C-6194-4048-8E6B-00AFA722B7A1}" name="Colonne8966"/>
    <tableColumn id="8975" xr3:uid="{33B976B1-0A2F-42D0-8097-3E192156B385}" name="Colonne8967"/>
    <tableColumn id="8976" xr3:uid="{422440AB-F4D2-4FDA-9FC1-75D6B73D318D}" name="Colonne8968"/>
    <tableColumn id="8977" xr3:uid="{671D5B67-742F-44B0-A0B6-D9565DAE35A4}" name="Colonne8969"/>
    <tableColumn id="8978" xr3:uid="{4135F787-9A8B-4B44-93A8-7023ECF38867}" name="Colonne8970"/>
    <tableColumn id="8979" xr3:uid="{765105DB-CB1E-4436-BAC0-0C692475EEB3}" name="Colonne8971"/>
    <tableColumn id="8980" xr3:uid="{D6BE95AE-B6BE-45D9-9AEC-F62F5749B6BF}" name="Colonne8972"/>
    <tableColumn id="8981" xr3:uid="{37E6DDAC-B9D3-4266-AC79-1F2EA4FD0B84}" name="Colonne8973"/>
    <tableColumn id="8982" xr3:uid="{1A83DC19-FE39-4208-9135-09653B9D9016}" name="Colonne8974"/>
    <tableColumn id="8983" xr3:uid="{F6CEF565-047E-471B-BBCB-4C059F2FD02F}" name="Colonne8975"/>
    <tableColumn id="8984" xr3:uid="{7033A086-5DEB-4F5B-BF6F-C1617194D569}" name="Colonne8976"/>
    <tableColumn id="8985" xr3:uid="{929AC67E-38D7-40FA-8685-2ED06F6F935F}" name="Colonne8977"/>
    <tableColumn id="8986" xr3:uid="{DF428263-1D37-470B-A982-5CD8D2FAD370}" name="Colonne8978"/>
    <tableColumn id="8987" xr3:uid="{AE2B4BCB-44DE-46DF-874F-A04389D8D080}" name="Colonne8979"/>
    <tableColumn id="8988" xr3:uid="{FB6B4268-A868-445D-B9C8-6F93ADB36DCB}" name="Colonne8980"/>
    <tableColumn id="8989" xr3:uid="{A6408A5E-6125-4447-8680-79E4801A78CE}" name="Colonne8981"/>
    <tableColumn id="8990" xr3:uid="{36996777-80A6-4D3C-9617-FEEDD0E475BD}" name="Colonne8982"/>
    <tableColumn id="8991" xr3:uid="{8ADC1D6B-A80F-4F5E-977D-7CEED621DF71}" name="Colonne8983"/>
    <tableColumn id="8992" xr3:uid="{123D8A4E-B129-4D23-B7A7-9A8E8DCF3A29}" name="Colonne8984"/>
    <tableColumn id="8993" xr3:uid="{DD88F08A-97D5-4435-A330-C6959BA86AF9}" name="Colonne8985"/>
    <tableColumn id="8994" xr3:uid="{D64DB234-22D1-4BB2-B6EB-F34CE063C464}" name="Colonne8986"/>
    <tableColumn id="8995" xr3:uid="{0F3F827C-A9BF-4DB9-8D9C-99471F096A2C}" name="Colonne8987"/>
    <tableColumn id="8996" xr3:uid="{A6F5DD42-BE08-4E59-B40D-CF69D70AE2BA}" name="Colonne8988"/>
    <tableColumn id="8997" xr3:uid="{57289563-7B2B-4030-8EA9-4A2C8BEAE7CB}" name="Colonne8989"/>
    <tableColumn id="8998" xr3:uid="{0D53FCCC-E65B-4C48-BC05-C73BC234A60E}" name="Colonne8990"/>
    <tableColumn id="8999" xr3:uid="{8833A985-0C18-4978-9A7C-92F2200D009F}" name="Colonne8991"/>
    <tableColumn id="9000" xr3:uid="{516A63B3-D31D-445C-933B-F55E4C8CBD57}" name="Colonne8992"/>
    <tableColumn id="9001" xr3:uid="{A9A0E806-C04F-4A2F-B42C-F699E12CA532}" name="Colonne8993"/>
    <tableColumn id="9002" xr3:uid="{229A3F5B-F4CC-4C8B-A1EB-4ECC5B351FE4}" name="Colonne8994"/>
    <tableColumn id="9003" xr3:uid="{19427B29-4C34-4B96-81B7-5B8BBB3266C3}" name="Colonne8995"/>
    <tableColumn id="9004" xr3:uid="{6C40DBC8-FAC5-4E63-9D3B-083F23C92EF7}" name="Colonne8996"/>
    <tableColumn id="9005" xr3:uid="{15D876EF-6373-4353-B7F2-798C72B0A721}" name="Colonne8997"/>
    <tableColumn id="9006" xr3:uid="{41B9EF52-AE3A-4250-8C7A-1653CD330AF6}" name="Colonne8998"/>
    <tableColumn id="9007" xr3:uid="{4F3D00DA-9FAA-4FCD-8533-A19308C32D53}" name="Colonne8999"/>
    <tableColumn id="9008" xr3:uid="{541D9383-8535-44BE-BB99-07E45A9B9754}" name="Colonne9000"/>
    <tableColumn id="9009" xr3:uid="{AE330519-32FB-431C-8728-2EE3575FCD25}" name="Colonne9001"/>
    <tableColumn id="9010" xr3:uid="{4441E7D3-B875-4E4D-A4B3-86DDCE5EC4BE}" name="Colonne9002"/>
    <tableColumn id="9011" xr3:uid="{C6D8AB3E-393A-4C5A-BFA0-88D1347D7FE5}" name="Colonne9003"/>
    <tableColumn id="9012" xr3:uid="{6E0E0667-669B-429B-B32A-7244480537D0}" name="Colonne9004"/>
    <tableColumn id="9013" xr3:uid="{694918BD-2E49-4A98-B01A-F58028699DF3}" name="Colonne9005"/>
    <tableColumn id="9014" xr3:uid="{71C3FAE9-3AB2-4CAA-83AF-DE99709FE324}" name="Colonne9006"/>
    <tableColumn id="9015" xr3:uid="{330D6679-0275-4541-96C8-6AB569328592}" name="Colonne9007"/>
    <tableColumn id="9016" xr3:uid="{A3ACD034-171B-47BB-94AA-42A6B2E3FC55}" name="Colonne9008"/>
    <tableColumn id="9017" xr3:uid="{04288E14-2870-4AC6-B5A7-B9A11896A837}" name="Colonne9009"/>
    <tableColumn id="9018" xr3:uid="{28E285EA-1B07-47C8-BF12-FA481361362A}" name="Colonne9010"/>
    <tableColumn id="9019" xr3:uid="{FC9EE143-BFDE-492A-8F30-58945FA66A30}" name="Colonne9011"/>
    <tableColumn id="9020" xr3:uid="{D2DD33EC-882B-4DE2-A535-F3536B9FCC04}" name="Colonne9012"/>
    <tableColumn id="9021" xr3:uid="{746F4ACC-2CBC-4D3A-BC28-90930705ACD8}" name="Colonne9013"/>
    <tableColumn id="9022" xr3:uid="{D857466D-8D2B-4467-9C56-01C49B7DF425}" name="Colonne9014"/>
    <tableColumn id="9023" xr3:uid="{128F2243-F71B-44C8-AFA7-1FCE2A361597}" name="Colonne9015"/>
    <tableColumn id="9024" xr3:uid="{F121E7D5-8A8E-4FDF-A1A5-0F831AACDDCA}" name="Colonne9016"/>
    <tableColumn id="9025" xr3:uid="{85A83552-65B0-4E80-A49E-6AFE276BF115}" name="Colonne9017"/>
    <tableColumn id="9026" xr3:uid="{620B599E-7788-4375-BF18-9B5CCFB87E63}" name="Colonne9018"/>
    <tableColumn id="9027" xr3:uid="{C8B2737C-3FC3-421E-AA12-1EF65291AD04}" name="Colonne9019"/>
    <tableColumn id="9028" xr3:uid="{DB24C76F-1E53-487E-A3A2-F1A8D68E679D}" name="Colonne9020"/>
    <tableColumn id="9029" xr3:uid="{81367C08-362C-4989-8D5D-7A49146A659B}" name="Colonne9021"/>
    <tableColumn id="9030" xr3:uid="{AB26D527-79FA-4BD7-8310-E88EE25AD439}" name="Colonne9022"/>
    <tableColumn id="9031" xr3:uid="{E4543CD6-31DA-4A38-8155-CFFF820D9197}" name="Colonne9023"/>
    <tableColumn id="9032" xr3:uid="{DC042D58-C396-43B1-AF14-33C2C7561A31}" name="Colonne9024"/>
    <tableColumn id="9033" xr3:uid="{F50F62FB-EFA3-4023-B685-93FC44CD21A5}" name="Colonne9025"/>
    <tableColumn id="9034" xr3:uid="{8EF6029C-D228-45C7-AFA2-0FB88AF7C1CB}" name="Colonne9026"/>
    <tableColumn id="9035" xr3:uid="{36AB26CE-EEA2-4223-90C7-146660C86857}" name="Colonne9027"/>
    <tableColumn id="9036" xr3:uid="{4C8A7DC3-3D55-4831-AF61-66EE840288B9}" name="Colonne9028"/>
    <tableColumn id="9037" xr3:uid="{C13C35C9-0AAD-4662-A534-C9867AD4D666}" name="Colonne9029"/>
    <tableColumn id="9038" xr3:uid="{5D4CE45D-C994-4307-87C0-0BC3AFBD0DE3}" name="Colonne9030"/>
    <tableColumn id="9039" xr3:uid="{D2F22DEB-3F3F-47C8-BEDB-A5C20CCCFA42}" name="Colonne9031"/>
    <tableColumn id="9040" xr3:uid="{71EFE774-AA21-45DB-B775-FC6BA7AE6163}" name="Colonne9032"/>
    <tableColumn id="9041" xr3:uid="{9F8F7595-E2F9-426D-87C9-E43B99986CAA}" name="Colonne9033"/>
    <tableColumn id="9042" xr3:uid="{A70FDE2C-71D1-452E-9C9F-E29F98324B77}" name="Colonne9034"/>
    <tableColumn id="9043" xr3:uid="{AE8AE7E0-C6EE-41C1-B38C-0A534F19D8D0}" name="Colonne9035"/>
    <tableColumn id="9044" xr3:uid="{B79B123F-1F7A-4067-B081-2FDB6409C6FD}" name="Colonne9036"/>
    <tableColumn id="9045" xr3:uid="{DF9D9558-497F-408F-8A62-2490A9889C18}" name="Colonne9037"/>
    <tableColumn id="9046" xr3:uid="{D24319E8-F2CB-4111-975B-C87EEE850CC4}" name="Colonne9038"/>
    <tableColumn id="9047" xr3:uid="{4BAC37B6-FAF6-42ED-9765-12B8CDD85755}" name="Colonne9039"/>
    <tableColumn id="9048" xr3:uid="{812CC7FD-309F-470A-95BF-02365312C7E0}" name="Colonne9040"/>
    <tableColumn id="9049" xr3:uid="{5BABABF9-17C3-44DE-A729-F7691AC40891}" name="Colonne9041"/>
    <tableColumn id="9050" xr3:uid="{627E09E2-C712-4645-960B-88A728079D5B}" name="Colonne9042"/>
    <tableColumn id="9051" xr3:uid="{51EAC2B1-A3CF-495F-9811-35F50F390F4C}" name="Colonne9043"/>
    <tableColumn id="9052" xr3:uid="{64880434-DABD-4E14-869D-5747C0BB4288}" name="Colonne9044"/>
    <tableColumn id="9053" xr3:uid="{6290D7B6-3E4B-4907-B9BF-E3392131B4E3}" name="Colonne9045"/>
    <tableColumn id="9054" xr3:uid="{40E24413-BDA1-4A7B-B2D4-2F0AF38754C4}" name="Colonne9046"/>
    <tableColumn id="9055" xr3:uid="{ABBB86E5-F859-46EC-BB39-17102CE2866B}" name="Colonne9047"/>
    <tableColumn id="9056" xr3:uid="{F687F223-8613-4006-8868-79B70779ED3B}" name="Colonne9048"/>
    <tableColumn id="9057" xr3:uid="{EFF5EAFB-6151-42CC-9D5A-FE98D5D77366}" name="Colonne9049"/>
    <tableColumn id="9058" xr3:uid="{C7C2BF53-8FC9-4141-A169-DA2C2C5AB1C9}" name="Colonne9050"/>
    <tableColumn id="9059" xr3:uid="{D118E0D9-1EF4-4D85-A499-46FA19CDE41F}" name="Colonne9051"/>
    <tableColumn id="9060" xr3:uid="{FC2A6916-2493-43BA-BFAA-636ED929BC70}" name="Colonne9052"/>
    <tableColumn id="9061" xr3:uid="{09DF6238-D028-41DF-A76F-6F68ABC0E38D}" name="Colonne9053"/>
    <tableColumn id="9062" xr3:uid="{5DAF6279-D725-48BE-95D5-21FA692161D7}" name="Colonne9054"/>
    <tableColumn id="9063" xr3:uid="{6B6BCC38-1564-4624-B180-62120286EBC6}" name="Colonne9055"/>
    <tableColumn id="9064" xr3:uid="{E2951B33-80C3-4270-8B60-32A2377617D8}" name="Colonne9056"/>
    <tableColumn id="9065" xr3:uid="{880A73C5-1318-4F83-ACA4-8E0F0C91DC14}" name="Colonne9057"/>
    <tableColumn id="9066" xr3:uid="{6EBD1F86-3943-44A9-A2B5-EE652EB35733}" name="Colonne9058"/>
    <tableColumn id="9067" xr3:uid="{99607177-EFD5-472D-BD76-056816B81B73}" name="Colonne9059"/>
    <tableColumn id="9068" xr3:uid="{EBCF68F8-6DB8-479D-9A43-FD725755BA3E}" name="Colonne9060"/>
    <tableColumn id="9069" xr3:uid="{A16A110B-1D55-4CF9-9834-EFD5217B7FC9}" name="Colonne9061"/>
    <tableColumn id="9070" xr3:uid="{570565DB-1F02-44D4-850D-011BF9EE7247}" name="Colonne9062"/>
    <tableColumn id="9071" xr3:uid="{32280B9C-9145-43E7-8554-7F1E0025B4DF}" name="Colonne9063"/>
    <tableColumn id="9072" xr3:uid="{0428AD8A-E4F6-4F21-890F-C99CC29682A9}" name="Colonne9064"/>
    <tableColumn id="9073" xr3:uid="{859C9DEB-5F15-45C0-A428-B8FCF2AA5D69}" name="Colonne9065"/>
    <tableColumn id="9074" xr3:uid="{26C7A202-363A-4006-A9E4-827AA09248E0}" name="Colonne9066"/>
    <tableColumn id="9075" xr3:uid="{7A3D812B-B4DB-43A3-BF08-B54C6EB7F792}" name="Colonne9067"/>
    <tableColumn id="9076" xr3:uid="{A693C2BC-9E01-4C3E-A1A3-30230A083CD3}" name="Colonne9068"/>
    <tableColumn id="9077" xr3:uid="{F9F309A3-DC64-4B7E-BE75-4472F829016B}" name="Colonne9069"/>
    <tableColumn id="9078" xr3:uid="{FDBAE345-81F1-4CA1-A7A1-B6733F689091}" name="Colonne9070"/>
    <tableColumn id="9079" xr3:uid="{729A0D6A-0A8A-4AD5-BECE-B4B6493A5661}" name="Colonne9071"/>
    <tableColumn id="9080" xr3:uid="{6E14DC51-A587-4E10-A613-58617879BC60}" name="Colonne9072"/>
    <tableColumn id="9081" xr3:uid="{8182D532-4D7F-4106-88DC-45C4FD075DDF}" name="Colonne9073"/>
    <tableColumn id="9082" xr3:uid="{9A1B5556-B96A-49E9-B20E-7C3EA3016207}" name="Colonne9074"/>
    <tableColumn id="9083" xr3:uid="{1D7CC819-C82A-4C2D-88C1-EEB8E53B4212}" name="Colonne9075"/>
    <tableColumn id="9084" xr3:uid="{F28CB37D-958C-42A9-A096-6FDEAA1E73D6}" name="Colonne9076"/>
    <tableColumn id="9085" xr3:uid="{8585440F-CD1F-40B1-B0B9-DA5AED890771}" name="Colonne9077"/>
    <tableColumn id="9086" xr3:uid="{0A26DEF1-3F4B-43A5-8EF5-2D2DF8C86DAF}" name="Colonne9078"/>
    <tableColumn id="9087" xr3:uid="{C0C8F0D7-40B8-45E4-A89D-FF2870E5BF56}" name="Colonne9079"/>
    <tableColumn id="9088" xr3:uid="{B1023DA3-DF10-40F7-8582-F0CC9CC48AE0}" name="Colonne9080"/>
    <tableColumn id="9089" xr3:uid="{0E557495-F619-4DDF-A2A0-2E13FC2FE3D7}" name="Colonne9081"/>
    <tableColumn id="9090" xr3:uid="{2D676693-FF65-4557-BF97-F097F4F936B0}" name="Colonne9082"/>
    <tableColumn id="9091" xr3:uid="{5F8508EC-CE40-4808-ADB2-59BA03E27CC4}" name="Colonne9083"/>
    <tableColumn id="9092" xr3:uid="{6DABC4BE-C432-4760-83C9-0418CEE9B31A}" name="Colonne9084"/>
    <tableColumn id="9093" xr3:uid="{D394AA8F-6494-49B7-B618-FB968F58BC71}" name="Colonne9085"/>
    <tableColumn id="9094" xr3:uid="{5A1303B6-9437-4EF3-9A17-0A1428F149F9}" name="Colonne9086"/>
    <tableColumn id="9095" xr3:uid="{43F02C3F-069A-4BD7-88EF-EA14156E4CB2}" name="Colonne9087"/>
    <tableColumn id="9096" xr3:uid="{DABA6027-A84A-4BD7-A8DD-CFB4C7D11797}" name="Colonne9088"/>
    <tableColumn id="9097" xr3:uid="{0A54399A-AF49-46F0-87BE-4EA0B091B942}" name="Colonne9089"/>
    <tableColumn id="9098" xr3:uid="{92A8E53B-4A05-4DEC-8E22-8B243659FDB4}" name="Colonne9090"/>
    <tableColumn id="9099" xr3:uid="{4653753C-DC1B-489B-9F2A-900F5AE75393}" name="Colonne9091"/>
    <tableColumn id="9100" xr3:uid="{1764B006-54E3-42BE-B647-3D5BCC334827}" name="Colonne9092"/>
    <tableColumn id="9101" xr3:uid="{8EF24801-E843-42F3-AF7A-BA368F87873A}" name="Colonne9093"/>
    <tableColumn id="9102" xr3:uid="{08B5A592-849B-4643-8C27-073BFE7C2E0E}" name="Colonne9094"/>
    <tableColumn id="9103" xr3:uid="{54E0A164-B698-4CB4-BF07-5A502ED86983}" name="Colonne9095"/>
    <tableColumn id="9104" xr3:uid="{1CED31FD-8D6F-49E0-9A23-49CBBF6F7DB1}" name="Colonne9096"/>
    <tableColumn id="9105" xr3:uid="{F2A4BB16-3880-464B-A6BC-6DFB6A94FED3}" name="Colonne9097"/>
    <tableColumn id="9106" xr3:uid="{270CDA34-3989-4919-9596-DA3A5FA5DFFF}" name="Colonne9098"/>
    <tableColumn id="9107" xr3:uid="{1DF56913-DD5B-48E7-AE2A-5773E29B5339}" name="Colonne9099"/>
    <tableColumn id="9108" xr3:uid="{FA337ED2-AF00-4CD4-B02E-12F170113FB2}" name="Colonne9100"/>
    <tableColumn id="9109" xr3:uid="{567A6D60-69BC-46A6-8B56-AB706C4EE23C}" name="Colonne9101"/>
    <tableColumn id="9110" xr3:uid="{18E2C365-0AE9-4DE4-8D95-4DB7375D6BC9}" name="Colonne9102"/>
    <tableColumn id="9111" xr3:uid="{10332C42-B897-4888-B27A-F5BF62EFCBAA}" name="Colonne9103"/>
    <tableColumn id="9112" xr3:uid="{129C16F6-BF5C-4949-8133-93392718F5E5}" name="Colonne9104"/>
    <tableColumn id="9113" xr3:uid="{5DB00588-A22E-4967-8E13-3EF0BF6AD2B4}" name="Colonne9105"/>
    <tableColumn id="9114" xr3:uid="{AD95359D-7B0D-4D65-A721-D86B5B205C42}" name="Colonne9106"/>
    <tableColumn id="9115" xr3:uid="{8729D916-3903-4BFD-8350-198166704184}" name="Colonne9107"/>
    <tableColumn id="9116" xr3:uid="{C1EA069A-2D32-44BE-8031-A4920AD195F2}" name="Colonne9108"/>
    <tableColumn id="9117" xr3:uid="{A9AADDAE-4E46-4515-A6BF-8A3C6BA65B7C}" name="Colonne9109"/>
    <tableColumn id="9118" xr3:uid="{27404D84-1000-4AF9-BD85-62A38F6AA78F}" name="Colonne9110"/>
    <tableColumn id="9119" xr3:uid="{31ED6EA4-9E6E-4574-A2C6-303051ADF33B}" name="Colonne9111"/>
    <tableColumn id="9120" xr3:uid="{F8D638E1-901F-4CEF-8668-B99640804CFC}" name="Colonne9112"/>
    <tableColumn id="9121" xr3:uid="{BD49B77D-D7FB-4FB7-BB72-0C06CEB7C4AF}" name="Colonne9113"/>
    <tableColumn id="9122" xr3:uid="{861BE19E-9B97-484F-B15D-1FA497FDA936}" name="Colonne9114"/>
    <tableColumn id="9123" xr3:uid="{46B27FCC-AAD0-4E69-BEB4-49626390736B}" name="Colonne9115"/>
    <tableColumn id="9124" xr3:uid="{BAD68A7B-8696-406E-9295-C3696046279A}" name="Colonne9116"/>
    <tableColumn id="9125" xr3:uid="{C517A0A1-52C2-4837-AC12-5AA3B789F1F7}" name="Colonne9117"/>
    <tableColumn id="9126" xr3:uid="{EE385E55-47A5-4D4F-9CD5-7DF4F4C7D341}" name="Colonne9118"/>
    <tableColumn id="9127" xr3:uid="{CFB0E449-F1A2-4E71-9A40-420A39D2BF06}" name="Colonne9119"/>
    <tableColumn id="9128" xr3:uid="{A1D57691-5580-4F9E-985F-1964AF5BDDAB}" name="Colonne9120"/>
    <tableColumn id="9129" xr3:uid="{D9394CB1-739A-4A2C-BD4A-DF96A82DC627}" name="Colonne9121"/>
    <tableColumn id="9130" xr3:uid="{78A17C78-5679-480B-8498-11783CD521B4}" name="Colonne9122"/>
    <tableColumn id="9131" xr3:uid="{808224EC-E9EF-496D-9E04-4DC3BF72BE4E}" name="Colonne9123"/>
    <tableColumn id="9132" xr3:uid="{6CB4DA24-57DD-42D0-B4F1-5BD8D52773DC}" name="Colonne9124"/>
    <tableColumn id="9133" xr3:uid="{4BA059A3-6B2D-4436-8A8C-19345DB01928}" name="Colonne9125"/>
    <tableColumn id="9134" xr3:uid="{A1873279-B6E0-4A03-9547-FBEB2D174D30}" name="Colonne9126"/>
    <tableColumn id="9135" xr3:uid="{2C146A1C-3B4E-4940-BE81-3DBE9B64517F}" name="Colonne9127"/>
    <tableColumn id="9136" xr3:uid="{620429DD-C376-437C-AEFC-B865E30071EF}" name="Colonne9128"/>
    <tableColumn id="9137" xr3:uid="{DB2059AD-AE40-46FD-A76F-48150502D43D}" name="Colonne9129"/>
    <tableColumn id="9138" xr3:uid="{385E0192-F922-4FEA-864D-1FB6A8034797}" name="Colonne9130"/>
    <tableColumn id="9139" xr3:uid="{B7981EE0-F4AB-4184-B435-870B5C8EA44B}" name="Colonne9131"/>
    <tableColumn id="9140" xr3:uid="{80137796-065E-463D-A0FF-7FDE4D26ED06}" name="Colonne9132"/>
    <tableColumn id="9141" xr3:uid="{4A19D76C-00A7-41AE-A56B-EB0F52DB99EE}" name="Colonne9133"/>
    <tableColumn id="9142" xr3:uid="{743B5F84-C3D2-4D2E-AAA4-223DA4A19BE8}" name="Colonne9134"/>
    <tableColumn id="9143" xr3:uid="{35050868-1370-44C9-9571-A4A0E630B928}" name="Colonne9135"/>
    <tableColumn id="9144" xr3:uid="{9BD3905C-879F-457A-9188-87D2F5C9578C}" name="Colonne9136"/>
    <tableColumn id="9145" xr3:uid="{009DF62C-EB57-43CB-97A7-188B21E70A74}" name="Colonne9137"/>
    <tableColumn id="9146" xr3:uid="{A8C30B66-D75B-4DA5-BB7C-31909137A319}" name="Colonne9138"/>
    <tableColumn id="9147" xr3:uid="{26CF23B5-30D8-48FA-AA33-EEB7D2A668FC}" name="Colonne9139"/>
    <tableColumn id="9148" xr3:uid="{FB7A34B2-52CC-4B56-BBF1-926BA34A4602}" name="Colonne9140"/>
    <tableColumn id="9149" xr3:uid="{C0D91D0D-5F86-440F-BAEA-891B0FECA5ED}" name="Colonne9141"/>
    <tableColumn id="9150" xr3:uid="{CBB3B473-BBDB-4431-8B29-E10B45423F0B}" name="Colonne9142"/>
    <tableColumn id="9151" xr3:uid="{856DE2C4-8703-4784-9481-20693036ECCF}" name="Colonne9143"/>
    <tableColumn id="9152" xr3:uid="{3065A0B3-54C3-46EE-8BB8-23818F6C6DA3}" name="Colonne9144"/>
    <tableColumn id="9153" xr3:uid="{8154C213-BE80-4C64-8BF6-0366900BFF49}" name="Colonne9145"/>
    <tableColumn id="9154" xr3:uid="{700E21C6-5C2D-44FA-B06A-408814C92667}" name="Colonne9146"/>
    <tableColumn id="9155" xr3:uid="{CF66A45B-5379-472F-AF71-CCAD6BB75867}" name="Colonne9147"/>
    <tableColumn id="9156" xr3:uid="{F11A307D-6B9A-46AC-A42C-9BFD2E8E7E21}" name="Colonne9148"/>
    <tableColumn id="9157" xr3:uid="{6A8490FD-566B-40A3-862E-AB493273D7C4}" name="Colonne9149"/>
    <tableColumn id="9158" xr3:uid="{024B5E96-A9A8-4159-9A3C-4864EE3D54B6}" name="Colonne9150"/>
    <tableColumn id="9159" xr3:uid="{C7D70D83-5F8C-4744-BC00-3F22414563C1}" name="Colonne9151"/>
    <tableColumn id="9160" xr3:uid="{478A6DEB-68A0-4ABA-8145-8BEB29960AA7}" name="Colonne9152"/>
    <tableColumn id="9161" xr3:uid="{1A0A1DA5-E4AF-46DD-8331-0C5674AACD54}" name="Colonne9153"/>
    <tableColumn id="9162" xr3:uid="{7F9AEE8B-DB04-4C66-8932-D12D8FE25FB3}" name="Colonne9154"/>
    <tableColumn id="9163" xr3:uid="{32186249-EFEB-4CB2-84B1-1245A2A9FA6A}" name="Colonne9155"/>
    <tableColumn id="9164" xr3:uid="{3E3EB1C4-B141-4415-90A7-6869601E2907}" name="Colonne9156"/>
    <tableColumn id="9165" xr3:uid="{0884ED13-453E-424D-A0BB-D2D3A465FD19}" name="Colonne9157"/>
    <tableColumn id="9166" xr3:uid="{5ED9F371-6936-4FDD-ABF4-AAB334BB92F2}" name="Colonne9158"/>
    <tableColumn id="9167" xr3:uid="{87B660AA-6C70-420B-ACBB-29DB9725C42B}" name="Colonne9159"/>
    <tableColumn id="9168" xr3:uid="{D4F72F37-85F8-447F-92E1-16687544B145}" name="Colonne9160"/>
    <tableColumn id="9169" xr3:uid="{42F1165A-607B-4CF4-9FE2-650C3A1C6A55}" name="Colonne9161"/>
    <tableColumn id="9170" xr3:uid="{2184B19F-40F9-47E5-A61A-8E4EC0BE630B}" name="Colonne9162"/>
    <tableColumn id="9171" xr3:uid="{A08EBC7F-56D2-4A71-A45D-FBECA6C3BAE5}" name="Colonne9163"/>
    <tableColumn id="9172" xr3:uid="{7FDCD70F-DFD2-47FD-980E-05503D671148}" name="Colonne9164"/>
    <tableColumn id="9173" xr3:uid="{E8EA42E3-1FB3-42A0-B69C-4D37B9424AC7}" name="Colonne9165"/>
    <tableColumn id="9174" xr3:uid="{3C9595B5-CFAB-4282-A17D-7E046EB50658}" name="Colonne9166"/>
    <tableColumn id="9175" xr3:uid="{B2AC5803-82BF-419D-B777-9DB4C6F924F7}" name="Colonne9167"/>
    <tableColumn id="9176" xr3:uid="{931208BD-5067-4CF3-A727-64024AB27C2D}" name="Colonne9168"/>
    <tableColumn id="9177" xr3:uid="{ECD65CC4-BD2A-44CB-AFD3-04CE607A769A}" name="Colonne9169"/>
    <tableColumn id="9178" xr3:uid="{8A15EB29-5DD4-441E-AAC0-23ED7257B8FA}" name="Colonne9170"/>
    <tableColumn id="9179" xr3:uid="{D1FF8155-DED4-4DC8-A4F7-86E1BB93B276}" name="Colonne9171"/>
    <tableColumn id="9180" xr3:uid="{DDA10CAA-0365-448E-822A-690FA3EE5DE8}" name="Colonne9172"/>
    <tableColumn id="9181" xr3:uid="{F23EADCA-46EE-416F-98AD-48895CF721B3}" name="Colonne9173"/>
    <tableColumn id="9182" xr3:uid="{D46D8701-3D4C-4915-931D-561D634FAAAB}" name="Colonne9174"/>
    <tableColumn id="9183" xr3:uid="{D6A4A78F-2EC3-490F-A215-C82425D2EC88}" name="Colonne9175"/>
    <tableColumn id="9184" xr3:uid="{DC6D9439-8419-4A77-81D1-5BB0291FD72F}" name="Colonne9176"/>
    <tableColumn id="9185" xr3:uid="{5BB1FF53-1B83-475D-9D36-D6D724EBCA3D}" name="Colonne9177"/>
    <tableColumn id="9186" xr3:uid="{8F269C3A-C2E9-48A5-9947-8FFEA869CBE9}" name="Colonne9178"/>
    <tableColumn id="9187" xr3:uid="{0B76600C-D76E-46B6-A50F-CFB7AE4FF0AA}" name="Colonne9179"/>
    <tableColumn id="9188" xr3:uid="{BAE3E675-48B0-4E3F-B6E0-2A238F862D25}" name="Colonne9180"/>
    <tableColumn id="9189" xr3:uid="{D05AAEEE-EF22-4E5D-8B39-48C1430C83C4}" name="Colonne9181"/>
    <tableColumn id="9190" xr3:uid="{FA6B4FC9-03AF-44DD-8BE8-EB65D38DD4B3}" name="Colonne9182"/>
    <tableColumn id="9191" xr3:uid="{CAB02B1A-3EBC-401C-B3FE-BDD4FB7C1F26}" name="Colonne9183"/>
    <tableColumn id="9192" xr3:uid="{684E1298-D552-47D4-82FC-4F62D3986D39}" name="Colonne9184"/>
    <tableColumn id="9193" xr3:uid="{08C40667-D3F0-4F27-A6A7-ACAC3C0E5FAF}" name="Colonne9185"/>
    <tableColumn id="9194" xr3:uid="{731E257D-C4BE-463E-9CA0-7C4E5397C18B}" name="Colonne9186"/>
    <tableColumn id="9195" xr3:uid="{C9BFFC20-9BEA-4E59-9A2C-5EAA8E187735}" name="Colonne9187"/>
    <tableColumn id="9196" xr3:uid="{EF7562CE-5A82-4283-99F9-D095EB541D5D}" name="Colonne9188"/>
    <tableColumn id="9197" xr3:uid="{7875FD2E-AF95-4A2F-887E-AFE85CF9CD77}" name="Colonne9189"/>
    <tableColumn id="9198" xr3:uid="{0F4D68F3-7C74-4BD1-9A70-AB6060230DF9}" name="Colonne9190"/>
    <tableColumn id="9199" xr3:uid="{AF43C530-1AC3-46E8-96D9-11E872E69D48}" name="Colonne9191"/>
    <tableColumn id="9200" xr3:uid="{8E97E3D4-A0C5-4F42-80E3-C6A2919EF6F2}" name="Colonne9192"/>
    <tableColumn id="9201" xr3:uid="{55368BF2-9535-48FA-AA92-29165979DA9B}" name="Colonne9193"/>
    <tableColumn id="9202" xr3:uid="{B76C16C7-CEBF-40DC-B2B9-5FB84D4C611F}" name="Colonne9194"/>
    <tableColumn id="9203" xr3:uid="{9C5DF324-1535-4CB4-BB36-1C7C6EDDE7F1}" name="Colonne9195"/>
    <tableColumn id="9204" xr3:uid="{0B2764CB-0D6E-4DCA-B613-FCF95A7FB210}" name="Colonne9196"/>
    <tableColumn id="9205" xr3:uid="{25F13BDF-4ADA-4224-BF85-2EF4F64AFB5A}" name="Colonne9197"/>
    <tableColumn id="9206" xr3:uid="{D0AB6B56-7843-454D-BC65-C25940F70056}" name="Colonne9198"/>
    <tableColumn id="9207" xr3:uid="{558B9384-6C81-4FD4-B262-3119199884A3}" name="Colonne9199"/>
    <tableColumn id="9208" xr3:uid="{3E45A60F-727C-4575-BA10-032F0109A697}" name="Colonne9200"/>
    <tableColumn id="9209" xr3:uid="{F76BB445-4426-4F8F-89DE-B88920F8974D}" name="Colonne9201"/>
    <tableColumn id="9210" xr3:uid="{B0103260-FA1A-4CF1-8F1B-25EBE0EE8233}" name="Colonne9202"/>
    <tableColumn id="9211" xr3:uid="{67A13649-4111-40A5-9AF6-E8EA34D97000}" name="Colonne9203"/>
    <tableColumn id="9212" xr3:uid="{A963284B-14D5-4476-9FC5-60C1C083D293}" name="Colonne9204"/>
    <tableColumn id="9213" xr3:uid="{0294A2AE-3AAD-4E61-9C15-CE24F8295AEB}" name="Colonne9205"/>
    <tableColumn id="9214" xr3:uid="{EDF21416-1D34-4EAF-96A8-ECED743D7973}" name="Colonne9206"/>
    <tableColumn id="9215" xr3:uid="{532A3DA7-629E-4BAD-B16A-CFEC5A92EEA3}" name="Colonne9207"/>
    <tableColumn id="9216" xr3:uid="{02549ECD-DAD5-4E28-920F-2129BE6D3BA2}" name="Colonne9208"/>
    <tableColumn id="9217" xr3:uid="{F2FFD07F-938F-4B39-9F83-F811668C2A35}" name="Colonne9209"/>
    <tableColumn id="9218" xr3:uid="{AD9B613F-BA63-401C-B898-1655E081EF04}" name="Colonne9210"/>
    <tableColumn id="9219" xr3:uid="{A4DB5BAF-60D7-4956-B1A4-3544C02D3B19}" name="Colonne9211"/>
    <tableColumn id="9220" xr3:uid="{F1507943-61C8-4FC6-A0CF-A6395AC8B930}" name="Colonne9212"/>
    <tableColumn id="9221" xr3:uid="{6BBD0D53-2458-4062-AAB7-F1A1EEB1DC61}" name="Colonne9213"/>
    <tableColumn id="9222" xr3:uid="{93D6B2E9-E885-4EBD-8191-5C28AD7F4016}" name="Colonne9214"/>
    <tableColumn id="9223" xr3:uid="{3A0CED06-3C45-4E5A-AD43-2AD5EA43D904}" name="Colonne9215"/>
    <tableColumn id="9224" xr3:uid="{D3E120A7-C22F-4E6C-9538-C5004378749B}" name="Colonne9216"/>
    <tableColumn id="9225" xr3:uid="{B7A80367-7D66-4F80-8296-573EFF9F041C}" name="Colonne9217"/>
    <tableColumn id="9226" xr3:uid="{B99BD2ED-7549-45A8-8238-80084068722F}" name="Colonne9218"/>
    <tableColumn id="9227" xr3:uid="{B8082169-C0D6-4C9D-9623-4D8EA3A620AC}" name="Colonne9219"/>
    <tableColumn id="9228" xr3:uid="{80686F4D-0659-47E2-92D6-87F1B26DF74F}" name="Colonne9220"/>
    <tableColumn id="9229" xr3:uid="{DD2F5CAF-EC57-4EC2-AD9E-FEADD2281253}" name="Colonne9221"/>
    <tableColumn id="9230" xr3:uid="{EA1D69A0-C0E3-4B6E-9F37-C9A904723B82}" name="Colonne9222"/>
    <tableColumn id="9231" xr3:uid="{75585FFF-F1EF-4D96-B9BE-38E9EF3212BB}" name="Colonne9223"/>
    <tableColumn id="9232" xr3:uid="{66DCC8CF-8126-4502-8359-C42A826B297E}" name="Colonne9224"/>
    <tableColumn id="9233" xr3:uid="{2BFF0ED6-7A74-4D53-B6B7-EC94BEF57678}" name="Colonne9225"/>
    <tableColumn id="9234" xr3:uid="{0565E6FA-AA58-44E5-A73B-2A981C0496E0}" name="Colonne9226"/>
    <tableColumn id="9235" xr3:uid="{E237B93C-ED3D-46A8-AFAA-C336C629C504}" name="Colonne9227"/>
    <tableColumn id="9236" xr3:uid="{0AEAAFAC-2109-48BC-A3A6-ACA51A4D0773}" name="Colonne9228"/>
    <tableColumn id="9237" xr3:uid="{D960A726-0174-4188-9F9F-18004A938B7B}" name="Colonne9229"/>
    <tableColumn id="9238" xr3:uid="{D5D53F3A-7D6F-4F71-A71D-7D3A09703195}" name="Colonne9230"/>
    <tableColumn id="9239" xr3:uid="{A959A99B-856F-479A-A464-4A1F4360FE51}" name="Colonne9231"/>
    <tableColumn id="9240" xr3:uid="{0AEC482F-F45B-4286-86C6-282D50B9A421}" name="Colonne9232"/>
    <tableColumn id="9241" xr3:uid="{F74E19C7-00A0-4405-9DC3-BB3A817CBD69}" name="Colonne9233"/>
    <tableColumn id="9242" xr3:uid="{CB18E18C-7850-4E1B-8886-1F4931C2A5AA}" name="Colonne9234"/>
    <tableColumn id="9243" xr3:uid="{362196A7-CBFD-4529-8766-226A60794454}" name="Colonne9235"/>
    <tableColumn id="9244" xr3:uid="{C3BC2C69-BC56-46E2-9E43-399CDD5EB8CA}" name="Colonne9236"/>
    <tableColumn id="9245" xr3:uid="{73D95A77-50DB-47E5-8748-F619419FAAEF}" name="Colonne9237"/>
    <tableColumn id="9246" xr3:uid="{AECBF981-4222-4EF1-AA6B-B392BE64E7EC}" name="Colonne9238"/>
    <tableColumn id="9247" xr3:uid="{596FF091-B104-465D-94E1-1C1DF45D1C17}" name="Colonne9239"/>
    <tableColumn id="9248" xr3:uid="{05315122-595A-4398-B6A9-FE26DBD8AB8E}" name="Colonne9240"/>
    <tableColumn id="9249" xr3:uid="{257F3B2F-ACAD-493F-8BBC-BD95C9402385}" name="Colonne9241"/>
    <tableColumn id="9250" xr3:uid="{6FD2B033-FCA5-4873-A66E-210D8B584944}" name="Colonne9242"/>
    <tableColumn id="9251" xr3:uid="{1463F498-D251-4AA3-B630-CA16F7586609}" name="Colonne9243"/>
    <tableColumn id="9252" xr3:uid="{EB251536-5DFE-4589-9113-B76A733ECE81}" name="Colonne9244"/>
    <tableColumn id="9253" xr3:uid="{BCCDA063-4B7C-42B1-BEA3-E4DE9AC557CD}" name="Colonne9245"/>
    <tableColumn id="9254" xr3:uid="{AFD82AC0-A947-49D1-A08E-CA23CFFD2C6C}" name="Colonne9246"/>
    <tableColumn id="9255" xr3:uid="{5B13CD31-08D5-48F4-9494-71D6EDD27A61}" name="Colonne9247"/>
    <tableColumn id="9256" xr3:uid="{E00D6903-5DB8-4748-A942-0BC2267A1F74}" name="Colonne9248"/>
    <tableColumn id="9257" xr3:uid="{27050EFD-F74C-4EC7-863E-ABE9946A2A2D}" name="Colonne9249"/>
    <tableColumn id="9258" xr3:uid="{9C127705-9D33-44AF-9620-C00850D88075}" name="Colonne9250"/>
    <tableColumn id="9259" xr3:uid="{B0C7226C-94A6-4815-89D0-7AF09C9C38E0}" name="Colonne9251"/>
    <tableColumn id="9260" xr3:uid="{EB37E088-9F04-4E9A-91B2-3D5C22BD036A}" name="Colonne9252"/>
    <tableColumn id="9261" xr3:uid="{0BF827B9-2104-4A94-8F65-4F64FF7F6E28}" name="Colonne9253"/>
    <tableColumn id="9262" xr3:uid="{7BB9A34A-96FE-47E4-A699-B7B1582FE7E5}" name="Colonne9254"/>
    <tableColumn id="9263" xr3:uid="{F1202818-83CB-4509-B508-DC4E4707B54C}" name="Colonne9255"/>
    <tableColumn id="9264" xr3:uid="{1985E69A-0E84-4221-A3BF-FBAF49E18199}" name="Colonne9256"/>
    <tableColumn id="9265" xr3:uid="{012E0817-2103-4313-BD16-F72150DFD832}" name="Colonne9257"/>
    <tableColumn id="9266" xr3:uid="{468C6ACD-3D9D-4D61-A4B1-88B587C54558}" name="Colonne9258"/>
    <tableColumn id="9267" xr3:uid="{B2382BAA-E39E-4035-8D9B-8BE5AC5F0662}" name="Colonne9259"/>
    <tableColumn id="9268" xr3:uid="{CC574C23-51D6-4D0D-95AF-9472C55BD0E1}" name="Colonne9260"/>
    <tableColumn id="9269" xr3:uid="{1A08DB58-66B1-4C9C-A15F-6A723868DD45}" name="Colonne9261"/>
    <tableColumn id="9270" xr3:uid="{F581C24E-C9BE-4671-9107-ED6E37E88661}" name="Colonne9262"/>
    <tableColumn id="9271" xr3:uid="{678AE40C-6F34-4EEE-ACF4-012B8BC4860E}" name="Colonne9263"/>
    <tableColumn id="9272" xr3:uid="{F41FEDB9-532E-4C31-93A8-A853212052C7}" name="Colonne9264"/>
    <tableColumn id="9273" xr3:uid="{F3D8B868-1F80-4C89-8CCB-ED52A25A7ED4}" name="Colonne9265"/>
    <tableColumn id="9274" xr3:uid="{202F08A6-7A32-4728-83B8-D613F45AC715}" name="Colonne9266"/>
    <tableColumn id="9275" xr3:uid="{95B39EED-1B16-4627-9489-33902B12B4C5}" name="Colonne9267"/>
    <tableColumn id="9276" xr3:uid="{DCC5F66F-7A24-4596-8048-BBB94EABF462}" name="Colonne9268"/>
    <tableColumn id="9277" xr3:uid="{4A1C6A29-F227-4E06-8C1E-5EF1FF8E9665}" name="Colonne9269"/>
    <tableColumn id="9278" xr3:uid="{DD2C98FF-8300-4F95-9DE8-29ABF000A564}" name="Colonne9270"/>
    <tableColumn id="9279" xr3:uid="{A2B15F68-2FEA-4963-9B20-1E3906671613}" name="Colonne9271"/>
    <tableColumn id="9280" xr3:uid="{82672B17-3333-480D-AEC2-A911B83238BA}" name="Colonne9272"/>
    <tableColumn id="9281" xr3:uid="{1385B764-660C-4E2E-8350-FF13B3679276}" name="Colonne9273"/>
    <tableColumn id="9282" xr3:uid="{CE72A587-2F47-4C1F-87F1-BFFFD103D103}" name="Colonne9274"/>
    <tableColumn id="9283" xr3:uid="{D29BCD89-B29F-43B3-A3BD-A320AC22FC80}" name="Colonne9275"/>
    <tableColumn id="9284" xr3:uid="{9C76D1D9-D2A1-4797-999A-B8F03F694D64}" name="Colonne9276"/>
    <tableColumn id="9285" xr3:uid="{FBC7821D-232F-4F32-AC5B-5DE575A1451E}" name="Colonne9277"/>
    <tableColumn id="9286" xr3:uid="{D2D6EFC3-3016-434A-A11C-8D4B81EA283C}" name="Colonne9278"/>
    <tableColumn id="9287" xr3:uid="{89D5918F-1451-4D13-BF6D-2C5E5863233D}" name="Colonne9279"/>
    <tableColumn id="9288" xr3:uid="{08EC7DFE-E800-46A8-BCB4-847FA48B031B}" name="Colonne9280"/>
    <tableColumn id="9289" xr3:uid="{F09DEA17-4648-44B0-B7F7-21E8F2F32CB9}" name="Colonne9281"/>
    <tableColumn id="9290" xr3:uid="{2222F450-3E5B-480E-A02B-E68C77D175F5}" name="Colonne9282"/>
    <tableColumn id="9291" xr3:uid="{F6FF1549-ED90-4F89-A23A-97F77C6CC43A}" name="Colonne9283"/>
    <tableColumn id="9292" xr3:uid="{CE8ADC99-DC4F-4D80-BD20-51797F034CD1}" name="Colonne9284"/>
    <tableColumn id="9293" xr3:uid="{F9A29423-2BE8-4D9F-B84D-04E3454E3C48}" name="Colonne9285"/>
    <tableColumn id="9294" xr3:uid="{E149D583-D621-45A6-8AD7-00B74BB744B3}" name="Colonne9286"/>
    <tableColumn id="9295" xr3:uid="{473DAEBB-F76C-40F1-B1B3-F8902CAAB993}" name="Colonne9287"/>
    <tableColumn id="9296" xr3:uid="{2E1E76E5-ED73-4F4C-9E6F-CA45E9CCD557}" name="Colonne9288"/>
    <tableColumn id="9297" xr3:uid="{0EF28DC5-CB9F-4616-8048-AF8FAE69C294}" name="Colonne9289"/>
    <tableColumn id="9298" xr3:uid="{FC5B59B8-5DB3-4966-8603-5DDDDB4399B2}" name="Colonne9290"/>
    <tableColumn id="9299" xr3:uid="{23EF4938-7924-4A9C-BFB9-9F45CA1FF406}" name="Colonne9291"/>
    <tableColumn id="9300" xr3:uid="{F7014439-90A7-4B54-ADDA-C28FA6BB992C}" name="Colonne9292"/>
    <tableColumn id="9301" xr3:uid="{A4706037-E3A6-4AB9-896C-35988BB75D94}" name="Colonne9293"/>
    <tableColumn id="9302" xr3:uid="{5FEDAFBB-9292-4E16-8914-5B6A7438C161}" name="Colonne9294"/>
    <tableColumn id="9303" xr3:uid="{AE19D3C8-AB5D-4A05-9C98-BDDC8F33BEB5}" name="Colonne9295"/>
    <tableColumn id="9304" xr3:uid="{A527BB80-E5C6-44A5-8414-3086C660B62C}" name="Colonne9296"/>
    <tableColumn id="9305" xr3:uid="{A58AAFA2-81EE-4482-AD32-D5D4ED73B517}" name="Colonne9297"/>
    <tableColumn id="9306" xr3:uid="{BCBF72A3-8D82-47BA-9C9E-7A219D911A06}" name="Colonne9298"/>
    <tableColumn id="9307" xr3:uid="{0C5DE0B2-0351-4C2F-AEBC-AB93A03CDCDF}" name="Colonne9299"/>
    <tableColumn id="9308" xr3:uid="{7FB0ABE3-8D29-4699-AACB-2EC8A049533A}" name="Colonne9300"/>
    <tableColumn id="9309" xr3:uid="{94BF47B6-8A92-4124-B372-A52677E601C9}" name="Colonne9301"/>
    <tableColumn id="9310" xr3:uid="{2AED6382-5EF1-4834-AAA8-9A53ECBF97F8}" name="Colonne9302"/>
    <tableColumn id="9311" xr3:uid="{A7FFAAD8-4BB2-46D3-B4AF-34E91127D482}" name="Colonne9303"/>
    <tableColumn id="9312" xr3:uid="{1FE65046-B219-4677-92AE-46B3966C2929}" name="Colonne9304"/>
    <tableColumn id="9313" xr3:uid="{947ED3D1-7D8A-4E76-8718-B7B5DF8A392A}" name="Colonne9305"/>
    <tableColumn id="9314" xr3:uid="{45CF65F3-371D-496A-983E-C00BAFFF2078}" name="Colonne9306"/>
    <tableColumn id="9315" xr3:uid="{073BF1AC-4F7B-40E2-BCFB-BCC6E37C9161}" name="Colonne9307"/>
    <tableColumn id="9316" xr3:uid="{433AD0AB-84B2-4C96-9206-C38A3EF1C5AA}" name="Colonne9308"/>
    <tableColumn id="9317" xr3:uid="{51BB0851-8802-411F-B7EB-03042077DA65}" name="Colonne9309"/>
    <tableColumn id="9318" xr3:uid="{8E4224A5-7483-4AEF-8422-7C64E9AA2CA6}" name="Colonne9310"/>
    <tableColumn id="9319" xr3:uid="{0031EE87-FF8C-4C76-8B39-8D4600371995}" name="Colonne9311"/>
    <tableColumn id="9320" xr3:uid="{E2C6624A-77A6-4301-9E1E-96FD03E0D31D}" name="Colonne9312"/>
    <tableColumn id="9321" xr3:uid="{764B11BE-4FA1-4482-8FD8-BD4CF68599FC}" name="Colonne9313"/>
    <tableColumn id="9322" xr3:uid="{0D10A248-5DEE-41FB-9E7C-30FB55D90A4E}" name="Colonne9314"/>
    <tableColumn id="9323" xr3:uid="{42A6CBFA-6C44-4F87-B4C7-4154CCD2E8FE}" name="Colonne9315"/>
    <tableColumn id="9324" xr3:uid="{5BDF119B-AF25-48F2-B12B-9D3DF2946958}" name="Colonne9316"/>
    <tableColumn id="9325" xr3:uid="{9D14A46F-0B34-4783-B1E8-2DB60B1C99D7}" name="Colonne9317"/>
    <tableColumn id="9326" xr3:uid="{8FEC338B-664E-43AA-A4D0-0FAD9695CB60}" name="Colonne9318"/>
    <tableColumn id="9327" xr3:uid="{73530967-3D4E-41E0-B2BD-75125D74E596}" name="Colonne9319"/>
    <tableColumn id="9328" xr3:uid="{7ADC6CD2-4383-4FE4-9E02-B732EBB870C8}" name="Colonne9320"/>
    <tableColumn id="9329" xr3:uid="{AA4F96E3-0A6C-46DB-A3D0-0A038CA6C00F}" name="Colonne9321"/>
    <tableColumn id="9330" xr3:uid="{F5F7334D-C4B4-463E-A13C-ACEC5CC09F6C}" name="Colonne9322"/>
    <tableColumn id="9331" xr3:uid="{833AA8F2-BB28-4FE3-90BB-F3C86A218707}" name="Colonne9323"/>
    <tableColumn id="9332" xr3:uid="{75D9AE67-456F-48E5-BD39-256FF846F135}" name="Colonne9324"/>
    <tableColumn id="9333" xr3:uid="{E4B614A8-01B2-42B4-9FAE-598DD246D779}" name="Colonne9325"/>
    <tableColumn id="9334" xr3:uid="{719EC822-29CD-4B60-ABF0-479DB45C9071}" name="Colonne9326"/>
    <tableColumn id="9335" xr3:uid="{415FD3A0-96E7-485F-B2E4-E355A917FBC3}" name="Colonne9327"/>
    <tableColumn id="9336" xr3:uid="{C6178BC3-53B1-4FF3-A4DF-06462CB8207D}" name="Colonne9328"/>
    <tableColumn id="9337" xr3:uid="{6A48BA57-9975-47EB-8E5B-C42DF8012BBD}" name="Colonne9329"/>
    <tableColumn id="9338" xr3:uid="{D19B75D8-8B14-4096-B3E9-073F32A3E1AC}" name="Colonne9330"/>
    <tableColumn id="9339" xr3:uid="{4AF8EF94-782D-4FD9-B8FA-021B7D7C9B48}" name="Colonne9331"/>
    <tableColumn id="9340" xr3:uid="{CADCE965-C66F-4D6F-90DB-4C473CA50CCB}" name="Colonne9332"/>
    <tableColumn id="9341" xr3:uid="{C887BEBF-3BDA-49D5-8CEC-27CE81BC603F}" name="Colonne9333"/>
    <tableColumn id="9342" xr3:uid="{B0F9C562-5CF0-4815-9415-5F16B2B69D77}" name="Colonne9334"/>
    <tableColumn id="9343" xr3:uid="{60FCA355-47AC-4017-9DB3-10032E295DF9}" name="Colonne9335"/>
    <tableColumn id="9344" xr3:uid="{AE0F222D-C626-4B47-AFD3-A717DA0FB09E}" name="Colonne9336"/>
    <tableColumn id="9345" xr3:uid="{2FBFA526-9E9A-411E-B4A6-19E8B750BAD4}" name="Colonne9337"/>
    <tableColumn id="9346" xr3:uid="{C75C3813-FFAC-4746-837A-EEB4460241B1}" name="Colonne9338"/>
    <tableColumn id="9347" xr3:uid="{A0550937-161E-4BF5-A3F4-5DBECFA0756D}" name="Colonne9339"/>
    <tableColumn id="9348" xr3:uid="{47BD121B-0FF6-4AFC-964A-5584D5C97070}" name="Colonne9340"/>
    <tableColumn id="9349" xr3:uid="{4175A87A-6A53-462F-A231-0DA67C9EE1E2}" name="Colonne9341"/>
    <tableColumn id="9350" xr3:uid="{97EEE1AB-0FB8-4CFA-A2B9-6DD0525CE55F}" name="Colonne9342"/>
    <tableColumn id="9351" xr3:uid="{A05F2729-BE32-481D-A37C-3AA878E23ECC}" name="Colonne9343"/>
    <tableColumn id="9352" xr3:uid="{DB0FD685-8BFF-4C6E-955F-5EAC630F2E9F}" name="Colonne9344"/>
    <tableColumn id="9353" xr3:uid="{85F6AD4A-CBF0-46FC-A954-84B555216B28}" name="Colonne9345"/>
    <tableColumn id="9354" xr3:uid="{3A243FEE-F18F-4BEB-BF63-F1A950A12D93}" name="Colonne9346"/>
    <tableColumn id="9355" xr3:uid="{CD4439D0-96D8-4548-B47D-C5FA43C4854C}" name="Colonne9347"/>
    <tableColumn id="9356" xr3:uid="{F698FD78-9C58-4145-9BDB-2041582F934D}" name="Colonne9348"/>
    <tableColumn id="9357" xr3:uid="{6047823B-D692-4BA1-83D9-F4019DB236AD}" name="Colonne9349"/>
    <tableColumn id="9358" xr3:uid="{24EF5B67-40E1-4326-A598-0EE6D39994C9}" name="Colonne9350"/>
    <tableColumn id="9359" xr3:uid="{CAAC7FA4-55F3-4B7E-87F2-2B27AD4262C8}" name="Colonne9351"/>
    <tableColumn id="9360" xr3:uid="{D2A47DA4-19FD-4C2E-B847-816E6B911DA3}" name="Colonne9352"/>
    <tableColumn id="9361" xr3:uid="{636C2DBA-42AE-4DBA-A96C-85F5A7A4BF81}" name="Colonne9353"/>
    <tableColumn id="9362" xr3:uid="{CA078D1C-DC35-403A-9A3B-D4A0EEEC6C0F}" name="Colonne9354"/>
    <tableColumn id="9363" xr3:uid="{CDC468A7-2A00-4054-80DF-15078B4181BF}" name="Colonne9355"/>
    <tableColumn id="9364" xr3:uid="{432EFD16-9ADE-47F2-ACB4-E5BE9786F2B8}" name="Colonne9356"/>
    <tableColumn id="9365" xr3:uid="{7B8CA9B2-2BEF-4A2C-9E8B-E0CB35EF2C66}" name="Colonne9357"/>
    <tableColumn id="9366" xr3:uid="{111DA8F2-AB2E-4356-893E-3B9CDD59FB6D}" name="Colonne9358"/>
    <tableColumn id="9367" xr3:uid="{693C8A87-EF1D-4A92-87B3-FEFA3A3AC89E}" name="Colonne9359"/>
    <tableColumn id="9368" xr3:uid="{CC69ACF4-01B2-4581-8F29-C5268C8BD7D8}" name="Colonne9360"/>
    <tableColumn id="9369" xr3:uid="{BAD444D7-C7C7-42A8-A791-72F7864F1042}" name="Colonne9361"/>
    <tableColumn id="9370" xr3:uid="{55A85F12-7D92-44ED-8E1D-1951684338BB}" name="Colonne9362"/>
    <tableColumn id="9371" xr3:uid="{8E9E6C6E-7753-40E0-B345-1814DA35F8D0}" name="Colonne9363"/>
    <tableColumn id="9372" xr3:uid="{12B54AA0-2D54-457A-8A1E-F74B7EDF54E4}" name="Colonne9364"/>
    <tableColumn id="9373" xr3:uid="{D1A048C8-7B30-48B0-AB54-31AB6F90C80D}" name="Colonne9365"/>
    <tableColumn id="9374" xr3:uid="{1E6CA620-DD49-497A-82D6-1501EB233997}" name="Colonne9366"/>
    <tableColumn id="9375" xr3:uid="{9373D67F-C5C6-4974-A1C1-D4FF618F7127}" name="Colonne9367"/>
    <tableColumn id="9376" xr3:uid="{24E54521-7896-40A1-B447-248A4A83F194}" name="Colonne9368"/>
    <tableColumn id="9377" xr3:uid="{CA7659C8-AC45-44FB-B1E4-C0EC65DA3AA2}" name="Colonne9369"/>
    <tableColumn id="9378" xr3:uid="{C34982E8-8248-4354-B6D4-B6770C442129}" name="Colonne9370"/>
    <tableColumn id="9379" xr3:uid="{49805096-1B17-40AF-A9D8-B2AB49347EAC}" name="Colonne9371"/>
    <tableColumn id="9380" xr3:uid="{212691FE-2E00-46CE-8518-3CC6A128C2DF}" name="Colonne9372"/>
    <tableColumn id="9381" xr3:uid="{51E267F4-C02D-4708-89A6-4568920B9F27}" name="Colonne9373"/>
    <tableColumn id="9382" xr3:uid="{45CFB51C-CB4C-47EB-8871-F0F0CF4486D8}" name="Colonne9374"/>
    <tableColumn id="9383" xr3:uid="{C3636706-641C-4E61-9F12-BF25922D4E18}" name="Colonne9375"/>
    <tableColumn id="9384" xr3:uid="{B643BDA6-E075-4BFA-81BC-1657416A6E98}" name="Colonne9376"/>
    <tableColumn id="9385" xr3:uid="{7154303E-2E0A-4564-895B-12E5C9D0D6BA}" name="Colonne9377"/>
    <tableColumn id="9386" xr3:uid="{FD0A687D-A5B8-4627-9777-FD4F5881E655}" name="Colonne9378"/>
    <tableColumn id="9387" xr3:uid="{3D0E1C96-6F3C-48D2-BD24-C81877217173}" name="Colonne9379"/>
    <tableColumn id="9388" xr3:uid="{E0BF400F-FCA9-4238-9173-E724A0B9D0A8}" name="Colonne9380"/>
    <tableColumn id="9389" xr3:uid="{D6A75CF5-AC57-4C6D-A266-28B51D911E46}" name="Colonne9381"/>
    <tableColumn id="9390" xr3:uid="{934B5538-64BF-4DBD-B508-04AA90E8F675}" name="Colonne9382"/>
    <tableColumn id="9391" xr3:uid="{956E984D-4E05-462E-8CC6-AE9AEA8921F5}" name="Colonne9383"/>
    <tableColumn id="9392" xr3:uid="{60B29FD3-7BBD-4160-AFF5-192AAD5A3495}" name="Colonne9384"/>
    <tableColumn id="9393" xr3:uid="{A802BDE0-0A75-4769-B926-2EA57343FF5E}" name="Colonne9385"/>
    <tableColumn id="9394" xr3:uid="{250F969F-FA04-4AA8-AD09-E08CF81F01FD}" name="Colonne9386"/>
    <tableColumn id="9395" xr3:uid="{C3412BB5-17F8-4454-87AF-410DE7C91BF2}" name="Colonne9387"/>
    <tableColumn id="9396" xr3:uid="{AC460CF4-2E45-446A-857E-1C0D97090AE2}" name="Colonne9388"/>
    <tableColumn id="9397" xr3:uid="{DB3DC5EF-945F-4078-B1ED-3DC724EE8339}" name="Colonne9389"/>
    <tableColumn id="9398" xr3:uid="{9EFDA9D1-81CC-4E39-B26A-4F8067C41BC9}" name="Colonne9390"/>
    <tableColumn id="9399" xr3:uid="{D84EB33E-0A42-4CBA-9978-CDF09FBA4969}" name="Colonne9391"/>
    <tableColumn id="9400" xr3:uid="{D1A63447-0F4C-4013-990B-B332A6E72B5E}" name="Colonne9392"/>
    <tableColumn id="9401" xr3:uid="{C1CE21EE-2B89-40BC-95B8-D2C5E38005EA}" name="Colonne9393"/>
    <tableColumn id="9402" xr3:uid="{609C97BA-FF11-464E-9F15-DFD625C9FAFB}" name="Colonne9394"/>
    <tableColumn id="9403" xr3:uid="{90901B4F-4B71-4F43-94B4-2FDB77A1F8D4}" name="Colonne9395"/>
    <tableColumn id="9404" xr3:uid="{92ACE899-D77B-4835-B46C-D6DBCFFEB16E}" name="Colonne9396"/>
    <tableColumn id="9405" xr3:uid="{5551A3B9-03ED-4069-B80A-10C9ACF4748A}" name="Colonne9397"/>
    <tableColumn id="9406" xr3:uid="{C9AEFB8B-1D46-4282-B34B-7040FFDAB587}" name="Colonne9398"/>
    <tableColumn id="9407" xr3:uid="{2E76153C-3234-486A-8697-B8144D8545BF}" name="Colonne9399"/>
    <tableColumn id="9408" xr3:uid="{C4113B91-35C1-4C6F-B892-7860C7636BBA}" name="Colonne9400"/>
    <tableColumn id="9409" xr3:uid="{CFCB87EB-A09C-4E7B-BC92-E9538649890A}" name="Colonne9401"/>
    <tableColumn id="9410" xr3:uid="{1DDA82F9-4E6E-4675-A8FC-904F53DE093D}" name="Colonne9402"/>
    <tableColumn id="9411" xr3:uid="{3B4C547C-5925-4D72-9BE3-17B2726289C3}" name="Colonne9403"/>
    <tableColumn id="9412" xr3:uid="{4F54A054-ADE8-4B41-B894-E988D181910B}" name="Colonne9404"/>
    <tableColumn id="9413" xr3:uid="{63D1A251-E0A2-4E7D-A1F9-471F1ED45925}" name="Colonne9405"/>
    <tableColumn id="9414" xr3:uid="{0BEF0B4A-9EED-4BE5-8C47-707F55901AF1}" name="Colonne9406"/>
    <tableColumn id="9415" xr3:uid="{1D450505-FF9C-4107-B12E-E5E44B2F90CB}" name="Colonne9407"/>
    <tableColumn id="9416" xr3:uid="{C97FDA73-39E8-42F7-9413-FB0B682B4029}" name="Colonne9408"/>
    <tableColumn id="9417" xr3:uid="{C8F467B7-A0EB-4FA9-A924-411490F44293}" name="Colonne9409"/>
    <tableColumn id="9418" xr3:uid="{2CAD27E3-0D72-44C0-9420-2102715E663F}" name="Colonne9410"/>
    <tableColumn id="9419" xr3:uid="{CC2C8A61-14DB-4C05-A256-B60E45CF3A2E}" name="Colonne9411"/>
    <tableColumn id="9420" xr3:uid="{8D38FF59-A722-492E-9873-087067E5ED79}" name="Colonne9412"/>
    <tableColumn id="9421" xr3:uid="{7E33D042-567D-4F96-B7C3-92A8E653D941}" name="Colonne9413"/>
    <tableColumn id="9422" xr3:uid="{FBFC552D-1744-4B52-93CA-74D47C47DD5E}" name="Colonne9414"/>
    <tableColumn id="9423" xr3:uid="{E7E57385-73A8-4071-8368-212DBAE7D459}" name="Colonne9415"/>
    <tableColumn id="9424" xr3:uid="{846DBAFC-BAE2-4F25-9862-21F277067265}" name="Colonne9416"/>
    <tableColumn id="9425" xr3:uid="{BF48DE72-9335-4E98-B52A-75DF8FA89E06}" name="Colonne9417"/>
    <tableColumn id="9426" xr3:uid="{D5533D9B-995E-4BFF-BBF9-1C52365DE8A1}" name="Colonne9418"/>
    <tableColumn id="9427" xr3:uid="{B3FE8A74-CFAE-4A3A-9DC6-F071689D3743}" name="Colonne9419"/>
    <tableColumn id="9428" xr3:uid="{BA66AFDC-73A5-4F39-9FC0-938FA8D233CF}" name="Colonne9420"/>
    <tableColumn id="9429" xr3:uid="{C6CA81AC-1FBB-47A3-BA3D-5432886A4437}" name="Colonne9421"/>
    <tableColumn id="9430" xr3:uid="{D005931C-ECB1-4E8C-8B83-04F569752138}" name="Colonne9422"/>
    <tableColumn id="9431" xr3:uid="{3737B28A-6A1D-4670-96F1-A233E8612A03}" name="Colonne9423"/>
    <tableColumn id="9432" xr3:uid="{BFCCC157-8F1D-4F32-AECC-62CAA6303527}" name="Colonne9424"/>
    <tableColumn id="9433" xr3:uid="{48CC9E79-9513-4AC8-8086-BBBF232D4655}" name="Colonne9425"/>
    <tableColumn id="9434" xr3:uid="{7A91041B-3230-4349-84D3-F497C60213F0}" name="Colonne9426"/>
    <tableColumn id="9435" xr3:uid="{710CA0B3-F48C-4B60-90C5-9A1993F51C18}" name="Colonne9427"/>
    <tableColumn id="9436" xr3:uid="{EBAA0823-320D-4F25-951A-601183ACCF4A}" name="Colonne9428"/>
    <tableColumn id="9437" xr3:uid="{A855BD3F-56C0-4E15-A376-CD863669E98C}" name="Colonne9429"/>
    <tableColumn id="9438" xr3:uid="{AB43E9FF-9C3B-4CB7-B1FF-135972FD7B4B}" name="Colonne9430"/>
    <tableColumn id="9439" xr3:uid="{9D659207-72E5-486C-A076-00CBC6C7144D}" name="Colonne9431"/>
    <tableColumn id="9440" xr3:uid="{CBC2C0BC-6E0F-4164-A9DA-8288C3F1983F}" name="Colonne9432"/>
    <tableColumn id="9441" xr3:uid="{5B535BA6-F660-4282-8574-56251502D602}" name="Colonne9433"/>
    <tableColumn id="9442" xr3:uid="{AABD4E15-409F-4458-8B73-903055463DB4}" name="Colonne9434"/>
    <tableColumn id="9443" xr3:uid="{2CBF1675-6A34-4CE0-B031-A60CC0A72452}" name="Colonne9435"/>
    <tableColumn id="9444" xr3:uid="{D512A455-A8AB-4A7C-8DA0-35947ED7E878}" name="Colonne9436"/>
    <tableColumn id="9445" xr3:uid="{C3069A16-5B77-4859-8128-966B57407E79}" name="Colonne9437"/>
    <tableColumn id="9446" xr3:uid="{866F0FEE-8FFD-4ED7-9708-5191822369B3}" name="Colonne9438"/>
    <tableColumn id="9447" xr3:uid="{3B6C21AE-AABF-402D-882E-6CE8FA612789}" name="Colonne9439"/>
    <tableColumn id="9448" xr3:uid="{A59D9775-465E-4D71-B42B-20A7D5C2D60B}" name="Colonne9440"/>
    <tableColumn id="9449" xr3:uid="{4AC23ADA-E682-4175-8DF1-74F12580AFE1}" name="Colonne9441"/>
    <tableColumn id="9450" xr3:uid="{19257C3F-C5E2-41E4-A58A-84E273403D82}" name="Colonne9442"/>
    <tableColumn id="9451" xr3:uid="{BC54E238-A177-4BF5-AFFB-9E82B4E7F954}" name="Colonne9443"/>
    <tableColumn id="9452" xr3:uid="{B460E29B-5BD8-4B9A-B6DD-6BE1978D7F11}" name="Colonne9444"/>
    <tableColumn id="9453" xr3:uid="{33EFE1EF-A87B-4C52-9121-08A891049CF3}" name="Colonne9445"/>
    <tableColumn id="9454" xr3:uid="{4BC07538-3FE6-40C6-B5E3-1FD539BCF448}" name="Colonne9446"/>
    <tableColumn id="9455" xr3:uid="{E2E3A171-5B68-43C9-8F04-05E46D56F7BC}" name="Colonne9447"/>
    <tableColumn id="9456" xr3:uid="{8DC29ACE-AE4F-4731-A6F3-F0E321491612}" name="Colonne9448"/>
    <tableColumn id="9457" xr3:uid="{32E96750-AB4A-48DB-9753-1EEAE4970C77}" name="Colonne9449"/>
    <tableColumn id="9458" xr3:uid="{39F1C417-11AE-4A82-BF60-59339522B5D8}" name="Colonne9450"/>
    <tableColumn id="9459" xr3:uid="{D8866DEC-158B-4C9D-8CF6-022E2C5443CF}" name="Colonne9451"/>
    <tableColumn id="9460" xr3:uid="{004EC4E8-A432-41C3-B8C8-AFBB4546F883}" name="Colonne9452"/>
    <tableColumn id="9461" xr3:uid="{68AEDB38-66E0-4B00-A560-6A5D977D594C}" name="Colonne9453"/>
    <tableColumn id="9462" xr3:uid="{B0054F9D-880A-4D98-85C4-4AD0D0AD267C}" name="Colonne9454"/>
    <tableColumn id="9463" xr3:uid="{B2A3CEC7-20C3-4C1D-A9B8-7B3B5B971388}" name="Colonne9455"/>
    <tableColumn id="9464" xr3:uid="{AE473A54-8A1C-49CF-A933-0B2312735979}" name="Colonne9456"/>
    <tableColumn id="9465" xr3:uid="{956E3FE3-C183-4A95-9D5F-89B9A6D2F2BA}" name="Colonne9457"/>
    <tableColumn id="9466" xr3:uid="{1E055C4C-51D6-42D7-9646-0B3BC196DA3B}" name="Colonne9458"/>
    <tableColumn id="9467" xr3:uid="{13FF5751-3494-4D0D-9467-4FBD3B8C52F7}" name="Colonne9459"/>
    <tableColumn id="9468" xr3:uid="{64C32DF7-57D3-48AD-B070-87953C55D512}" name="Colonne9460"/>
    <tableColumn id="9469" xr3:uid="{F2CBB112-F981-48AF-A757-0FC16DC82E1C}" name="Colonne9461"/>
    <tableColumn id="9470" xr3:uid="{E7B394D0-4237-4D82-AE12-ACC37F7041EA}" name="Colonne9462"/>
    <tableColumn id="9471" xr3:uid="{2D000254-34C9-47D0-B0CB-E6DEF02344A6}" name="Colonne9463"/>
    <tableColumn id="9472" xr3:uid="{D8EBA2BA-0C1E-4A6F-AEFD-A0F51E4B6C01}" name="Colonne9464"/>
    <tableColumn id="9473" xr3:uid="{916E14F7-F513-4CED-87F6-6B47AEEFA0A6}" name="Colonne9465"/>
    <tableColumn id="9474" xr3:uid="{C57E93E3-3612-4D5D-BA53-778FAC9BF2B5}" name="Colonne9466"/>
    <tableColumn id="9475" xr3:uid="{F5804200-B3EF-4D30-A627-DDCB30DC6ACE}" name="Colonne9467"/>
    <tableColumn id="9476" xr3:uid="{EFA8DA87-E902-45D9-8889-CCBA44D10970}" name="Colonne9468"/>
    <tableColumn id="9477" xr3:uid="{7CF46672-CD95-4846-BED9-2C334A4CF5EE}" name="Colonne9469"/>
    <tableColumn id="9478" xr3:uid="{499071CD-C22B-4D56-8B4B-9ED0744EDF5A}" name="Colonne9470"/>
    <tableColumn id="9479" xr3:uid="{3BC77D21-ABD1-4959-9FB7-0344BFD7107B}" name="Colonne9471"/>
    <tableColumn id="9480" xr3:uid="{26C2E969-0E29-4591-831E-00D92914E518}" name="Colonne9472"/>
    <tableColumn id="9481" xr3:uid="{4CA6204F-4C5F-4DBB-9375-54A18E7E3F27}" name="Colonne9473"/>
    <tableColumn id="9482" xr3:uid="{0C3328B8-6B4E-4BF7-89CE-F67228F5C568}" name="Colonne9474"/>
    <tableColumn id="9483" xr3:uid="{0E041CDF-8C6D-4D80-9021-EB506E4A99DA}" name="Colonne9475"/>
    <tableColumn id="9484" xr3:uid="{9D51A64A-0B9F-43F6-97A5-1721CFEF4C23}" name="Colonne9476"/>
    <tableColumn id="9485" xr3:uid="{51E60979-2929-4A66-B71B-9482F16A197F}" name="Colonne9477"/>
    <tableColumn id="9486" xr3:uid="{8DEB1825-2042-40D0-A775-A16DFFF31DD2}" name="Colonne9478"/>
    <tableColumn id="9487" xr3:uid="{6C3EA14D-B632-4E16-9D77-A5B7366A340A}" name="Colonne9479"/>
    <tableColumn id="9488" xr3:uid="{56EC41B9-0E68-49AF-86D2-F92575B2FF3D}" name="Colonne9480"/>
    <tableColumn id="9489" xr3:uid="{E1616F4E-DC6A-4B5B-9F0C-58E64BA8F69D}" name="Colonne9481"/>
    <tableColumn id="9490" xr3:uid="{F5CC46B7-9878-459C-BB1E-BFD1C29D998B}" name="Colonne9482"/>
    <tableColumn id="9491" xr3:uid="{564C74F0-38AC-4F26-84D5-28BE4F0919BB}" name="Colonne9483"/>
    <tableColumn id="9492" xr3:uid="{A6B1305E-AFEE-47E1-8E35-B8C8E3AC5CB5}" name="Colonne9484"/>
    <tableColumn id="9493" xr3:uid="{F2BD6993-522A-4C45-A1A2-02D8B473C8CB}" name="Colonne9485"/>
    <tableColumn id="9494" xr3:uid="{2088171C-7342-4F71-A053-85E8A4B4F851}" name="Colonne9486"/>
    <tableColumn id="9495" xr3:uid="{A9ACFEC1-2D4E-402F-BA87-2F7F4A868C8D}" name="Colonne9487"/>
    <tableColumn id="9496" xr3:uid="{AC0DE0B1-EFE5-44E2-8CFF-4B762FCB6AED}" name="Colonne9488"/>
    <tableColumn id="9497" xr3:uid="{319BB491-2652-46E6-8C57-18F98FEFB4ED}" name="Colonne9489"/>
    <tableColumn id="9498" xr3:uid="{4D128189-B2D7-4DF1-BB80-E81B91DC7C07}" name="Colonne9490"/>
    <tableColumn id="9499" xr3:uid="{5B4CAF62-7470-4462-9A8A-3791F1AE7D96}" name="Colonne9491"/>
    <tableColumn id="9500" xr3:uid="{16962979-4FBA-4053-9B1E-CA53502DEDD9}" name="Colonne9492"/>
    <tableColumn id="9501" xr3:uid="{78F05051-48FF-4E2B-A5C0-F68D49447426}" name="Colonne9493"/>
    <tableColumn id="9502" xr3:uid="{1ADBAEB8-7981-4E13-95A3-C5BF058ADAB2}" name="Colonne9494"/>
    <tableColumn id="9503" xr3:uid="{7DC3CEB1-89BB-44A5-9E68-A752ADFA9BE2}" name="Colonne9495"/>
    <tableColumn id="9504" xr3:uid="{DD1EDD8E-A30F-43B5-BE5C-F9726CB32CC9}" name="Colonne9496"/>
    <tableColumn id="9505" xr3:uid="{5FEA780B-557E-4A7A-BC51-A3BDFD1B3061}" name="Colonne9497"/>
    <tableColumn id="9506" xr3:uid="{FE7C70EA-C9AD-4A39-A7DF-A47039256360}" name="Colonne9498"/>
    <tableColumn id="9507" xr3:uid="{C52EB4F7-348F-4944-B045-416651555B2F}" name="Colonne9499"/>
    <tableColumn id="9508" xr3:uid="{44A3951D-F42F-4E72-9868-249627A70792}" name="Colonne9500"/>
    <tableColumn id="9509" xr3:uid="{022DAA22-3F45-4892-8D1A-7D36CFB00FDC}" name="Colonne9501"/>
    <tableColumn id="9510" xr3:uid="{B2B258E6-D606-4C1C-8865-C3D269240A0A}" name="Colonne9502"/>
    <tableColumn id="9511" xr3:uid="{832481ED-45DD-4E41-A478-AF0467FD731C}" name="Colonne9503"/>
    <tableColumn id="9512" xr3:uid="{9C48E32C-CF5F-4E2E-8B54-DE00B1C498EA}" name="Colonne9504"/>
    <tableColumn id="9513" xr3:uid="{54FAC098-5858-4C7D-BF67-086AEA89208D}" name="Colonne9505"/>
    <tableColumn id="9514" xr3:uid="{E983C165-655C-49FE-9B1F-723E71903DAD}" name="Colonne9506"/>
    <tableColumn id="9515" xr3:uid="{40F72522-CE95-4F43-B9C4-66ADAE45CFA8}" name="Colonne9507"/>
    <tableColumn id="9516" xr3:uid="{8F18548D-7ECF-48DB-B20F-2143D3F762E4}" name="Colonne9508"/>
    <tableColumn id="9517" xr3:uid="{8D1CA6F4-9765-4629-B3D2-D14E2C221375}" name="Colonne9509"/>
    <tableColumn id="9518" xr3:uid="{AD18DD6A-BA9B-4EFC-A073-EBCC57D2608D}" name="Colonne9510"/>
    <tableColumn id="9519" xr3:uid="{0C06036F-C789-44EC-BBB1-2856C873781D}" name="Colonne9511"/>
    <tableColumn id="9520" xr3:uid="{4BD80A70-22AB-4A71-8228-84663D095E79}" name="Colonne9512"/>
    <tableColumn id="9521" xr3:uid="{8BA1D388-8C96-4B94-B877-CFADBE1C46C3}" name="Colonne9513"/>
    <tableColumn id="9522" xr3:uid="{B8868E76-1AE2-463E-B65D-406CBDC07208}" name="Colonne9514"/>
    <tableColumn id="9523" xr3:uid="{47150A8C-5492-4912-B418-B1682D71BDA6}" name="Colonne9515"/>
    <tableColumn id="9524" xr3:uid="{408EA6D0-7CFA-4F75-BFAF-CE4AF969299F}" name="Colonne9516"/>
    <tableColumn id="9525" xr3:uid="{C35C8C91-142F-4C19-9242-8D4ABFB6CA42}" name="Colonne9517"/>
    <tableColumn id="9526" xr3:uid="{85163EA3-6E8D-4F37-964B-DEEBCBFAD701}" name="Colonne9518"/>
    <tableColumn id="9527" xr3:uid="{49A43A5F-220C-4506-AD59-CA8449DB13EB}" name="Colonne9519"/>
    <tableColumn id="9528" xr3:uid="{50874F2C-9468-44EA-A16D-68AC943BF6E5}" name="Colonne9520"/>
    <tableColumn id="9529" xr3:uid="{0B62BB15-1315-4CA6-AE66-B1A724FF0A70}" name="Colonne9521"/>
    <tableColumn id="9530" xr3:uid="{7A900575-2973-4193-A8C4-518CC926A7CE}" name="Colonne9522"/>
    <tableColumn id="9531" xr3:uid="{6461DACD-DD1F-400B-9234-A5C1BBEF43EF}" name="Colonne9523"/>
    <tableColumn id="9532" xr3:uid="{DC5E9943-5D36-4206-8DB5-DF002EC9DA33}" name="Colonne9524"/>
    <tableColumn id="9533" xr3:uid="{A91FD6AE-6F95-4C2E-A0E5-DA3C1A65AF29}" name="Colonne9525"/>
    <tableColumn id="9534" xr3:uid="{ABBD232D-F285-440A-AD9F-0A5CFD6EA6DC}" name="Colonne9526"/>
    <tableColumn id="9535" xr3:uid="{2A2FA73A-BEF1-447D-B43A-4314380F4B6B}" name="Colonne9527"/>
    <tableColumn id="9536" xr3:uid="{AF7202FE-8D8E-4F92-AA09-6C98BABDF1B0}" name="Colonne9528"/>
    <tableColumn id="9537" xr3:uid="{20ADC8AB-242B-4689-B1F4-36BF5949B81A}" name="Colonne9529"/>
    <tableColumn id="9538" xr3:uid="{7336A760-F5C9-46CE-9EA6-2BD07DA6963E}" name="Colonne9530"/>
    <tableColumn id="9539" xr3:uid="{167C62D1-7EFF-4C74-A367-A692F030F48F}" name="Colonne9531"/>
    <tableColumn id="9540" xr3:uid="{B89095E4-F8AA-4BD8-8239-776B37F2462C}" name="Colonne9532"/>
    <tableColumn id="9541" xr3:uid="{C43ACCFF-CBCB-4373-82D8-F0D1C1B2D4C8}" name="Colonne9533"/>
    <tableColumn id="9542" xr3:uid="{4ADF7A3B-4D59-4AFF-A53E-451226E68464}" name="Colonne9534"/>
    <tableColumn id="9543" xr3:uid="{8A4458ED-F281-4CF4-971B-05DF7C0A31C4}" name="Colonne9535"/>
    <tableColumn id="9544" xr3:uid="{68848AC1-B4CB-4288-AADC-FE64D558E870}" name="Colonne9536"/>
    <tableColumn id="9545" xr3:uid="{65FB42C8-C0A0-49CA-8101-33727575B924}" name="Colonne9537"/>
    <tableColumn id="9546" xr3:uid="{17914409-2C63-4DA9-94B3-12F4F3E31071}" name="Colonne9538"/>
    <tableColumn id="9547" xr3:uid="{6901C281-734B-4A9E-8DAC-77B8A64C711F}" name="Colonne9539"/>
    <tableColumn id="9548" xr3:uid="{961AA186-7D6E-4F44-9204-273D4907D307}" name="Colonne9540"/>
    <tableColumn id="9549" xr3:uid="{72B323FE-2450-4826-BC88-570958DF1D47}" name="Colonne9541"/>
    <tableColumn id="9550" xr3:uid="{97C78CA8-D19D-4719-B3D4-F2E23C1FDD30}" name="Colonne9542"/>
    <tableColumn id="9551" xr3:uid="{8E0EEBB1-22FE-4FF2-A1DF-8FB628B5851A}" name="Colonne9543"/>
    <tableColumn id="9552" xr3:uid="{B7AC7D36-73F6-46B2-BFF9-468B94E51DB5}" name="Colonne9544"/>
    <tableColumn id="9553" xr3:uid="{8C78AC5B-B40D-408A-AC1A-AE9285361EEA}" name="Colonne9545"/>
    <tableColumn id="9554" xr3:uid="{B51794AA-2DDB-4D9C-97F8-0995EBD5A381}" name="Colonne9546"/>
    <tableColumn id="9555" xr3:uid="{4A967B13-DCD8-48C6-988A-82A0980C1208}" name="Colonne9547"/>
    <tableColumn id="9556" xr3:uid="{B7AAA7C4-11FB-491F-86E9-1AFFAE0B344B}" name="Colonne9548"/>
    <tableColumn id="9557" xr3:uid="{906867E5-4D75-413C-A10E-D542D8598096}" name="Colonne9549"/>
    <tableColumn id="9558" xr3:uid="{B4AB0C7C-C0C6-4A9C-A215-B4760105F8C9}" name="Colonne9550"/>
    <tableColumn id="9559" xr3:uid="{B7F35FBE-14DD-491F-9AE4-5205F80F1AD9}" name="Colonne9551"/>
    <tableColumn id="9560" xr3:uid="{E4C8A5A1-D27E-461B-ADB9-0D4F150FFA87}" name="Colonne9552"/>
    <tableColumn id="9561" xr3:uid="{C6171928-24EB-401F-B3A4-1401B5C0A6E1}" name="Colonne9553"/>
    <tableColumn id="9562" xr3:uid="{FF7C9B16-DD52-4A64-AFE2-0771EF543423}" name="Colonne9554"/>
    <tableColumn id="9563" xr3:uid="{7F746A22-5049-4F00-82E0-93D3D7FD2A62}" name="Colonne9555"/>
    <tableColumn id="9564" xr3:uid="{4E1B4F0E-8ADE-4CEA-BE98-ACBCC3265794}" name="Colonne9556"/>
    <tableColumn id="9565" xr3:uid="{15F441A7-E52B-4F64-9E05-890B72946BCC}" name="Colonne9557"/>
    <tableColumn id="9566" xr3:uid="{EC7ABF40-8B4E-4994-A864-98EBB98E066D}" name="Colonne9558"/>
    <tableColumn id="9567" xr3:uid="{4D5A7792-EC07-4609-B6AB-A72342B042FA}" name="Colonne9559"/>
    <tableColumn id="9568" xr3:uid="{A8A617A1-B550-4DD2-97D6-8BA3AFD1D979}" name="Colonne9560"/>
    <tableColumn id="9569" xr3:uid="{B8F42332-08E1-4B17-BA00-8F23FF31736C}" name="Colonne9561"/>
    <tableColumn id="9570" xr3:uid="{099A98A2-102D-401F-9464-E0D5C890C09B}" name="Colonne9562"/>
    <tableColumn id="9571" xr3:uid="{BC6EA468-5D07-40F4-B0EA-7148367CB790}" name="Colonne9563"/>
    <tableColumn id="9572" xr3:uid="{FB90BCF2-B0B1-4E22-9636-8CDA255B4E79}" name="Colonne9564"/>
    <tableColumn id="9573" xr3:uid="{03CF355B-DBBA-4DE4-A189-947D30732AC0}" name="Colonne9565"/>
    <tableColumn id="9574" xr3:uid="{D4F250C1-61B0-4E0A-8CFB-F19A1F521AA1}" name="Colonne9566"/>
    <tableColumn id="9575" xr3:uid="{EB45DAB6-7D40-4647-B5B9-7EE1392C71F8}" name="Colonne9567"/>
    <tableColumn id="9576" xr3:uid="{2D65DF1F-652E-4630-BF54-264AD15928FE}" name="Colonne9568"/>
    <tableColumn id="9577" xr3:uid="{8A139305-01B3-450C-8EEC-2F281F0B3134}" name="Colonne9569"/>
    <tableColumn id="9578" xr3:uid="{BCB33442-D828-4DEE-B7CE-61469727A1CA}" name="Colonne9570"/>
    <tableColumn id="9579" xr3:uid="{F74779E9-0020-41E6-B643-8E4130314670}" name="Colonne9571"/>
    <tableColumn id="9580" xr3:uid="{D3F37EEC-6792-4CC2-ACBE-96097603475A}" name="Colonne9572"/>
    <tableColumn id="9581" xr3:uid="{DCE3505E-3403-4B27-9E64-0BC67D539B89}" name="Colonne9573"/>
    <tableColumn id="9582" xr3:uid="{A56AE914-F382-4929-BF3A-2B92B8E16E00}" name="Colonne9574"/>
    <tableColumn id="9583" xr3:uid="{F9DE1719-905E-4ECA-AFAA-10C9DAF73840}" name="Colonne9575"/>
    <tableColumn id="9584" xr3:uid="{036894AD-E78C-4866-A7A7-0888FA4ADB90}" name="Colonne9576"/>
    <tableColumn id="9585" xr3:uid="{150CE79F-AC0E-48B7-8CE6-7DE0DBE4E36C}" name="Colonne9577"/>
    <tableColumn id="9586" xr3:uid="{51A995AD-B605-4063-A560-25F9D5727E85}" name="Colonne9578"/>
    <tableColumn id="9587" xr3:uid="{65260C60-5FEE-495D-9758-95BD77CAA795}" name="Colonne9579"/>
    <tableColumn id="9588" xr3:uid="{B4A048DC-6B56-48B7-8C8F-B53E438C9A46}" name="Colonne9580"/>
    <tableColumn id="9589" xr3:uid="{BD95DFE2-1A7F-41DD-A59B-9B1AEA4496F0}" name="Colonne9581"/>
    <tableColumn id="9590" xr3:uid="{D3C8A4A9-C6AC-408F-B2CF-3B4FCCC317F2}" name="Colonne9582"/>
    <tableColumn id="9591" xr3:uid="{B673501E-2589-4425-9C2B-98320FD6BDFE}" name="Colonne9583"/>
    <tableColumn id="9592" xr3:uid="{9EF9CFD3-8326-4FFC-9460-6C872A6F46D2}" name="Colonne9584"/>
    <tableColumn id="9593" xr3:uid="{57B6CF85-7A59-4BB7-8492-7A881BB27BE7}" name="Colonne9585"/>
    <tableColumn id="9594" xr3:uid="{1E5250C6-377C-4AA6-8B37-3D60FCE5494D}" name="Colonne9586"/>
    <tableColumn id="9595" xr3:uid="{DF9DCB4C-2E35-41DA-8182-A9080674E2BD}" name="Colonne9587"/>
    <tableColumn id="9596" xr3:uid="{F0BA3ADE-AAE8-4D97-AFB9-8E7713551593}" name="Colonne9588"/>
    <tableColumn id="9597" xr3:uid="{6163C57A-8EE7-4651-BA58-E345AE76D47F}" name="Colonne9589"/>
    <tableColumn id="9598" xr3:uid="{3A18DDB7-3DB4-4A89-938B-D885C9F517AC}" name="Colonne9590"/>
    <tableColumn id="9599" xr3:uid="{71BF035A-006A-4158-89B8-42548BBF6BF4}" name="Colonne9591"/>
    <tableColumn id="9600" xr3:uid="{12A71133-DC0B-42D1-A305-4671721DC4DE}" name="Colonne9592"/>
    <tableColumn id="9601" xr3:uid="{47BE629F-6BCE-4261-84EB-0EC9E761A846}" name="Colonne9593"/>
    <tableColumn id="9602" xr3:uid="{D2518A2B-DF86-4BB8-8575-D8778D8BC19C}" name="Colonne9594"/>
    <tableColumn id="9603" xr3:uid="{480DECBC-439F-4DEB-BD37-83457C66C4F7}" name="Colonne9595"/>
    <tableColumn id="9604" xr3:uid="{9E93D184-426F-4741-92F2-F0BC424BEBEF}" name="Colonne9596"/>
    <tableColumn id="9605" xr3:uid="{2DA0F8EE-A696-4980-83B1-9EC8E76C500C}" name="Colonne9597"/>
    <tableColumn id="9606" xr3:uid="{731F21B8-1347-4510-84C0-31D335EDFC4D}" name="Colonne9598"/>
    <tableColumn id="9607" xr3:uid="{6D02D770-6C28-4F57-B291-E890071245F4}" name="Colonne9599"/>
    <tableColumn id="9608" xr3:uid="{D8B0E1D3-8989-4FD6-8336-B12CD38E0EDD}" name="Colonne9600"/>
    <tableColumn id="9609" xr3:uid="{A8F43251-3B99-4B94-A8E5-8DBAFC4B8A7E}" name="Colonne9601"/>
    <tableColumn id="9610" xr3:uid="{24E2E1D0-324E-48B1-8486-D78B2DE2D05A}" name="Colonne9602"/>
    <tableColumn id="9611" xr3:uid="{95798E10-0011-4DA1-8FDA-7EB02AB20F7B}" name="Colonne9603"/>
    <tableColumn id="9612" xr3:uid="{C19FBD0A-97E5-4FBA-9FF3-8FF0D4A474C8}" name="Colonne9604"/>
    <tableColumn id="9613" xr3:uid="{24C4A0C0-9D0F-4936-886C-38D3D00ECCA4}" name="Colonne9605"/>
    <tableColumn id="9614" xr3:uid="{DABD1A99-C960-4439-ACE2-B64020A3C7A7}" name="Colonne9606"/>
    <tableColumn id="9615" xr3:uid="{6FC72B98-63B4-4967-821C-CFA88F481C7D}" name="Colonne9607"/>
    <tableColumn id="9616" xr3:uid="{EE1CAAA6-AEC4-4F31-8FBC-F6A6A48896B7}" name="Colonne9608"/>
    <tableColumn id="9617" xr3:uid="{F159506C-3297-4918-B13F-042AF64142E9}" name="Colonne9609"/>
    <tableColumn id="9618" xr3:uid="{BB3799D0-79C1-482A-87BC-E2673A133EDE}" name="Colonne9610"/>
    <tableColumn id="9619" xr3:uid="{E1864C3B-8184-4157-B2FA-3369196FC8AC}" name="Colonne9611"/>
    <tableColumn id="9620" xr3:uid="{CA9DB5F8-C261-45F6-8403-91FAEF572855}" name="Colonne9612"/>
    <tableColumn id="9621" xr3:uid="{B81C7CA4-4858-4252-B80C-D08266D40EF9}" name="Colonne9613"/>
    <tableColumn id="9622" xr3:uid="{B698961D-1358-4427-8E89-73149C2E4C75}" name="Colonne9614"/>
    <tableColumn id="9623" xr3:uid="{B133BE26-0E15-4105-BDFC-E52EDC84A2DC}" name="Colonne9615"/>
    <tableColumn id="9624" xr3:uid="{80A6AC6E-4DF0-4741-A3CF-764B2C98508C}" name="Colonne9616"/>
    <tableColumn id="9625" xr3:uid="{4B62DC63-E752-41EA-A0FF-3728BD93AEBA}" name="Colonne9617"/>
    <tableColumn id="9626" xr3:uid="{A8D4E860-2031-4152-91F1-31181AD8B706}" name="Colonne9618"/>
    <tableColumn id="9627" xr3:uid="{E5269E31-F8C5-40AA-9132-692A3C11CF83}" name="Colonne9619"/>
    <tableColumn id="9628" xr3:uid="{E6D7BA22-1C2A-44B1-933C-39E34C85B66C}" name="Colonne9620"/>
    <tableColumn id="9629" xr3:uid="{E540ABF1-4640-4DA2-96E3-00BE14B6D5D2}" name="Colonne9621"/>
    <tableColumn id="9630" xr3:uid="{24303D7C-9E46-45DF-9A58-F395FD3D5C75}" name="Colonne9622"/>
    <tableColumn id="9631" xr3:uid="{C944B81D-7B02-4F39-BB5D-5D69D2B7B164}" name="Colonne9623"/>
    <tableColumn id="9632" xr3:uid="{557F5734-6191-4D90-ADE2-95F3C2E3CCE6}" name="Colonne9624"/>
    <tableColumn id="9633" xr3:uid="{709E5DC3-A92C-4425-A90E-109AA8C4A31E}" name="Colonne9625"/>
    <tableColumn id="9634" xr3:uid="{C46ECBDE-CE26-4B00-B66F-7BB4490BEA36}" name="Colonne9626"/>
    <tableColumn id="9635" xr3:uid="{A1ABADFB-D54D-4751-952C-9302D6338D11}" name="Colonne9627"/>
    <tableColumn id="9636" xr3:uid="{7B9E614D-D02E-414D-8D1F-5546474BE8ED}" name="Colonne9628"/>
    <tableColumn id="9637" xr3:uid="{61B67018-1CE9-4D35-9EAD-9E61061C38EF}" name="Colonne9629"/>
    <tableColumn id="9638" xr3:uid="{A47B1784-FF85-434A-AE5E-64A70CA12BAB}" name="Colonne9630"/>
    <tableColumn id="9639" xr3:uid="{532B9803-0216-45A7-B312-F7FA0012D2CF}" name="Colonne9631"/>
    <tableColumn id="9640" xr3:uid="{280053A1-79A0-4166-82CB-5DA2C8CA9614}" name="Colonne9632"/>
    <tableColumn id="9641" xr3:uid="{2A490D72-7C3A-4A4E-90D0-61B309CFD84F}" name="Colonne9633"/>
    <tableColumn id="9642" xr3:uid="{3B9FB011-F173-4837-B1CA-EB048706FF15}" name="Colonne9634"/>
    <tableColumn id="9643" xr3:uid="{5E594F61-6740-4602-8B4D-4AE89C31A243}" name="Colonne9635"/>
    <tableColumn id="9644" xr3:uid="{9E84964A-B6B6-4E07-BD17-BCA89F40BBC9}" name="Colonne9636"/>
    <tableColumn id="9645" xr3:uid="{4C85AAE0-330D-4A5D-B379-A7CBB03BDD88}" name="Colonne9637"/>
    <tableColumn id="9646" xr3:uid="{645BD06A-7657-4288-A2EA-A69F3633B663}" name="Colonne9638"/>
    <tableColumn id="9647" xr3:uid="{DD7B2F28-CCC8-41A4-92F1-D710B6CA4D8C}" name="Colonne9639"/>
    <tableColumn id="9648" xr3:uid="{292BE8C8-9F56-40E6-85D5-9E091AC4F11A}" name="Colonne9640"/>
    <tableColumn id="9649" xr3:uid="{32EC2B8D-BB95-4A15-9967-834C3F9F5E1D}" name="Colonne9641"/>
    <tableColumn id="9650" xr3:uid="{CF75A34E-449C-4B49-B6B5-F6CBE7BF6A0C}" name="Colonne9642"/>
    <tableColumn id="9651" xr3:uid="{87EABD86-7D94-4EA7-8ED5-D401D136BA6C}" name="Colonne9643"/>
    <tableColumn id="9652" xr3:uid="{9801ED73-F032-4BB7-93D4-A20198D8EE05}" name="Colonne9644"/>
    <tableColumn id="9653" xr3:uid="{5C76BDCB-B8D6-44E6-97F6-44CCCAAD1300}" name="Colonne9645"/>
    <tableColumn id="9654" xr3:uid="{0579B011-CCEF-4AC2-865F-CA7882E3F50E}" name="Colonne9646"/>
    <tableColumn id="9655" xr3:uid="{CD99E262-48F0-49DF-B650-05CA689B1224}" name="Colonne9647"/>
    <tableColumn id="9656" xr3:uid="{865A23FA-FF73-4292-9507-982BD050F1B0}" name="Colonne9648"/>
    <tableColumn id="9657" xr3:uid="{FABFEA84-ABF7-4037-9A0F-B7815884D6EF}" name="Colonne9649"/>
    <tableColumn id="9658" xr3:uid="{0F54B0B0-FB74-4E8E-9AFE-6B8B5CFCC2D8}" name="Colonne9650"/>
    <tableColumn id="9659" xr3:uid="{DD749795-2106-4260-8593-17EEAA2958D7}" name="Colonne9651"/>
    <tableColumn id="9660" xr3:uid="{8533353D-FC4B-4AD5-99A6-4B9395CA478C}" name="Colonne9652"/>
    <tableColumn id="9661" xr3:uid="{01226460-16A3-4B2E-B6F2-7A5417552E37}" name="Colonne9653"/>
    <tableColumn id="9662" xr3:uid="{4517D95A-F72A-44CA-8D41-469B54A022F2}" name="Colonne9654"/>
    <tableColumn id="9663" xr3:uid="{00AD1B8B-529E-4E19-B742-BB07D1BADB01}" name="Colonne9655"/>
    <tableColumn id="9664" xr3:uid="{29579200-6C9B-4E38-B5FE-99C5EA9F1A0A}" name="Colonne9656"/>
    <tableColumn id="9665" xr3:uid="{6DA3C584-3871-4394-AD0F-CFDB8E11A433}" name="Colonne9657"/>
    <tableColumn id="9666" xr3:uid="{295A1E01-B4BE-4C52-B3BC-EC955C26AF21}" name="Colonne9658"/>
    <tableColumn id="9667" xr3:uid="{437E05CE-42B1-4F3B-A8F2-D2B3D9D5B989}" name="Colonne9659"/>
    <tableColumn id="9668" xr3:uid="{D44767AC-8E65-4D58-8D7F-C29151056CBA}" name="Colonne9660"/>
    <tableColumn id="9669" xr3:uid="{EB6F3124-32B1-4CD3-BD9B-307E370FB0F7}" name="Colonne9661"/>
    <tableColumn id="9670" xr3:uid="{ACDC8023-825F-4E25-99CC-73951A875E46}" name="Colonne9662"/>
    <tableColumn id="9671" xr3:uid="{C4BFEB4D-319F-4DAC-BA75-7B88A3D0245B}" name="Colonne9663"/>
    <tableColumn id="9672" xr3:uid="{634AE9A8-E432-42AD-9DDA-5C18AE95EC65}" name="Colonne9664"/>
    <tableColumn id="9673" xr3:uid="{B41BA7B1-FB35-4748-AF41-BECA26DAA7F6}" name="Colonne9665"/>
    <tableColumn id="9674" xr3:uid="{D7ADA294-E439-42C7-AEB2-83D16E8EDFD1}" name="Colonne9666"/>
    <tableColumn id="9675" xr3:uid="{AF661815-0C3D-47B1-9A5D-2C7B4EE9D546}" name="Colonne9667"/>
    <tableColumn id="9676" xr3:uid="{B2AFA2A2-BEA4-4FAE-9249-2BB8455B2B0E}" name="Colonne9668"/>
    <tableColumn id="9677" xr3:uid="{5F09EACB-0862-4ADA-96BE-C3CDF40447F2}" name="Colonne9669"/>
    <tableColumn id="9678" xr3:uid="{AEA77706-B342-4603-AD03-415970C1856F}" name="Colonne9670"/>
    <tableColumn id="9679" xr3:uid="{DE0F56F3-A424-430A-A7C3-C22D3FCC4C62}" name="Colonne9671"/>
    <tableColumn id="9680" xr3:uid="{A2BEEEDE-4A32-4117-92EA-237CFDF9848E}" name="Colonne9672"/>
    <tableColumn id="9681" xr3:uid="{B9ABFC1C-88F0-43BD-AA6E-6E91776CF2D7}" name="Colonne9673"/>
    <tableColumn id="9682" xr3:uid="{F5CD48C9-5D8E-4D09-B93C-8CCA61B6F628}" name="Colonne9674"/>
    <tableColumn id="9683" xr3:uid="{B3C8AFAA-B3A4-4128-8EEA-A3B7310A55D2}" name="Colonne9675"/>
    <tableColumn id="9684" xr3:uid="{7D86DDFE-E452-4B17-A711-F8E12CA7BA4C}" name="Colonne9676"/>
    <tableColumn id="9685" xr3:uid="{0882B3DE-834B-44D8-8CFF-106FC929B616}" name="Colonne9677"/>
    <tableColumn id="9686" xr3:uid="{7846975F-A163-48C0-B73C-03F02CFB9407}" name="Colonne9678"/>
    <tableColumn id="9687" xr3:uid="{FFA00299-949B-45AD-8B5C-BFDE099A13EB}" name="Colonne9679"/>
    <tableColumn id="9688" xr3:uid="{EA550B3A-DD7F-43A4-BF41-6E26257A5CFC}" name="Colonne9680"/>
    <tableColumn id="9689" xr3:uid="{3E4CE3DC-8F14-421A-BAE9-EB4EB6BE2CB5}" name="Colonne9681"/>
    <tableColumn id="9690" xr3:uid="{96EE6A45-AE4F-48BF-B06E-723B180152B5}" name="Colonne9682"/>
    <tableColumn id="9691" xr3:uid="{B269DC78-389B-4A20-BBCA-FE4A411D2C22}" name="Colonne9683"/>
    <tableColumn id="9692" xr3:uid="{799C856E-EEE1-4F8E-A73E-C9F8C41FC98A}" name="Colonne9684"/>
    <tableColumn id="9693" xr3:uid="{B86FA2F8-01BD-4BE6-9200-58819DF36DDF}" name="Colonne9685"/>
    <tableColumn id="9694" xr3:uid="{AC35D5D5-ED5D-4A0E-B371-311B8B2DE64C}" name="Colonne9686"/>
    <tableColumn id="9695" xr3:uid="{B5A613F5-8B40-40D0-BC4F-F86440AF84AF}" name="Colonne9687"/>
    <tableColumn id="9696" xr3:uid="{5FAAA71E-8E3C-4EB0-9D5B-E17A9CCC9F80}" name="Colonne9688"/>
    <tableColumn id="9697" xr3:uid="{A888434C-1F27-4316-BA07-93B1A1617E4A}" name="Colonne9689"/>
    <tableColumn id="9698" xr3:uid="{3EFCD9C1-DBB9-4412-B3CA-8767B9F2B02C}" name="Colonne9690"/>
    <tableColumn id="9699" xr3:uid="{0A1858E5-75AC-4C55-B1F8-B8175BBF56F1}" name="Colonne9691"/>
    <tableColumn id="9700" xr3:uid="{F57F95EC-67F5-4C78-9DEF-865FD12E904E}" name="Colonne9692"/>
    <tableColumn id="9701" xr3:uid="{785EAC10-85C0-4D76-B171-0EAFA500307F}" name="Colonne9693"/>
    <tableColumn id="9702" xr3:uid="{E4B2518F-9E40-4E51-8E37-BDDBCBC97955}" name="Colonne9694"/>
    <tableColumn id="9703" xr3:uid="{BE28BAD6-AFB3-4C50-9829-B62A6749E787}" name="Colonne9695"/>
    <tableColumn id="9704" xr3:uid="{30896CF5-31B2-4FA9-8345-B1D98D832472}" name="Colonne9696"/>
    <tableColumn id="9705" xr3:uid="{423D9347-D41B-4EC0-B31B-629B743DDE84}" name="Colonne9697"/>
    <tableColumn id="9706" xr3:uid="{809D279E-44E6-4C78-B836-DAA9C5DB250C}" name="Colonne9698"/>
    <tableColumn id="9707" xr3:uid="{45C11C5F-9069-402E-AE49-93A7BDE69DAE}" name="Colonne9699"/>
    <tableColumn id="9708" xr3:uid="{3BCC658D-0FF2-4579-8B06-58E84A99EF8C}" name="Colonne9700"/>
    <tableColumn id="9709" xr3:uid="{D3B89CFD-2877-4412-9434-41443777959B}" name="Colonne9701"/>
    <tableColumn id="9710" xr3:uid="{ADB5E20B-D3C5-40DA-ABA6-98963264AC91}" name="Colonne9702"/>
    <tableColumn id="9711" xr3:uid="{E43A1453-952F-422F-B064-C4A2C6A6E4F5}" name="Colonne9703"/>
    <tableColumn id="9712" xr3:uid="{CA2268A0-8129-41A2-AE4E-E571B3381E25}" name="Colonne9704"/>
    <tableColumn id="9713" xr3:uid="{EECA92CB-CC66-45B9-A0AE-FE5FF1FD3273}" name="Colonne9705"/>
    <tableColumn id="9714" xr3:uid="{A63BF6AC-D28C-4755-AE8D-E3FEB474F4ED}" name="Colonne9706"/>
    <tableColumn id="9715" xr3:uid="{C01D1C6C-3E3D-4818-A1E6-BA2414F8BC77}" name="Colonne9707"/>
    <tableColumn id="9716" xr3:uid="{DFFD2534-58D4-4AC3-A225-8F409797F52E}" name="Colonne9708"/>
    <tableColumn id="9717" xr3:uid="{B7CE8C9F-EF49-4992-BE62-1480FAAF8375}" name="Colonne9709"/>
    <tableColumn id="9718" xr3:uid="{B802CBB3-457B-46E7-B2DD-B4A43B6C53A7}" name="Colonne9710"/>
    <tableColumn id="9719" xr3:uid="{7958B6B5-3070-4831-BAB6-4205BC3AA980}" name="Colonne9711"/>
    <tableColumn id="9720" xr3:uid="{59BA18C4-2A12-43D4-A40A-3BC158F12AF5}" name="Colonne9712"/>
    <tableColumn id="9721" xr3:uid="{6F405011-AA25-41C8-A1AB-78B363E2E998}" name="Colonne9713"/>
    <tableColumn id="9722" xr3:uid="{59286827-85A2-4B5A-85BB-F4B22717E223}" name="Colonne9714"/>
    <tableColumn id="9723" xr3:uid="{A5C6D2E8-C5D0-457A-A9E1-C2D69A64671A}" name="Colonne9715"/>
    <tableColumn id="9724" xr3:uid="{9303323A-DD95-4B4C-B486-7F32E910A93F}" name="Colonne9716"/>
    <tableColumn id="9725" xr3:uid="{57C6A695-D30B-4C8F-BEAF-670E43F90DCF}" name="Colonne9717"/>
    <tableColumn id="9726" xr3:uid="{3846B438-7783-4855-87FC-8E797C4DB897}" name="Colonne9718"/>
    <tableColumn id="9727" xr3:uid="{0E739856-5306-434A-921D-AEC527B5DD84}" name="Colonne9719"/>
    <tableColumn id="9728" xr3:uid="{D017E7F4-141D-4268-A7C7-94B0D87C0163}" name="Colonne9720"/>
    <tableColumn id="9729" xr3:uid="{8BB4844C-A317-44AB-BCA8-4A2A9CD66BD2}" name="Colonne9721"/>
    <tableColumn id="9730" xr3:uid="{368452BE-30EA-491A-A8FE-88797EA51E5A}" name="Colonne9722"/>
    <tableColumn id="9731" xr3:uid="{3BD8DD2C-9560-453E-8EF1-A7C4751981A5}" name="Colonne9723"/>
    <tableColumn id="9732" xr3:uid="{CACD0082-33B9-4948-9365-6C8F242E39F2}" name="Colonne9724"/>
    <tableColumn id="9733" xr3:uid="{09DB76BD-7659-4310-8BF1-7F15F14C7E3C}" name="Colonne9725"/>
    <tableColumn id="9734" xr3:uid="{ABC98FCB-302E-44E8-8DE0-18D4186CCA1A}" name="Colonne9726"/>
    <tableColumn id="9735" xr3:uid="{EA6C300D-6E29-4C6D-85B0-8C0228470C94}" name="Colonne9727"/>
    <tableColumn id="9736" xr3:uid="{210A9709-14F4-4AA5-B52D-B47604DC39F5}" name="Colonne9728"/>
    <tableColumn id="9737" xr3:uid="{613B3C49-CA52-4030-93AC-922FDF186BDD}" name="Colonne9729"/>
    <tableColumn id="9738" xr3:uid="{99BE30C8-1352-4FDA-9666-4D90CEE2C0E2}" name="Colonne9730"/>
    <tableColumn id="9739" xr3:uid="{BB2C2EAE-8557-4631-BDFF-2A03BE89A60D}" name="Colonne9731"/>
    <tableColumn id="9740" xr3:uid="{BE11131F-CC66-4569-9FA4-1C6B8B07C8F6}" name="Colonne9732"/>
    <tableColumn id="9741" xr3:uid="{394B1C49-27F5-4295-902A-79E99CD4B8AD}" name="Colonne9733"/>
    <tableColumn id="9742" xr3:uid="{BA25648C-E659-464C-9E1B-3D846972A705}" name="Colonne9734"/>
    <tableColumn id="9743" xr3:uid="{90EA2747-444E-4236-9E1C-9C55D174E2A6}" name="Colonne9735"/>
    <tableColumn id="9744" xr3:uid="{C117DA15-BDF2-4C1B-BFA8-FE9F05E43651}" name="Colonne9736"/>
    <tableColumn id="9745" xr3:uid="{A14DB483-809B-4E55-A92E-6035404AC0C8}" name="Colonne9737"/>
    <tableColumn id="9746" xr3:uid="{B544E416-FEEE-424C-B090-46951B4FB17D}" name="Colonne9738"/>
    <tableColumn id="9747" xr3:uid="{8C7934B6-E04F-4526-BFE4-5C4803F6CED2}" name="Colonne9739"/>
    <tableColumn id="9748" xr3:uid="{7643426A-2661-4974-B9CD-400EDD2C23BB}" name="Colonne9740"/>
    <tableColumn id="9749" xr3:uid="{77AA67F0-D3DF-42E7-91EC-8989F8C34A87}" name="Colonne9741"/>
    <tableColumn id="9750" xr3:uid="{143666D3-1D7F-4C1A-95AD-4350ABE036E3}" name="Colonne9742"/>
    <tableColumn id="9751" xr3:uid="{7DE5B6F8-7710-40C7-B31F-EACB7E787D87}" name="Colonne9743"/>
    <tableColumn id="9752" xr3:uid="{F5068DC4-B8D9-48C6-9B0D-E18406DDEE2A}" name="Colonne9744"/>
    <tableColumn id="9753" xr3:uid="{4F32C2BD-B0E9-4F2F-8820-8E7837ECC4E0}" name="Colonne9745"/>
    <tableColumn id="9754" xr3:uid="{EC83E699-C17D-45CB-9BB9-E248D054B44E}" name="Colonne9746"/>
    <tableColumn id="9755" xr3:uid="{5DF1A5D8-52F5-4FDF-8A73-2AF9E64A309E}" name="Colonne9747"/>
    <tableColumn id="9756" xr3:uid="{5F665C2B-6020-48E5-A783-D5B22D9CBC1A}" name="Colonne9748"/>
    <tableColumn id="9757" xr3:uid="{AC24D703-9F2C-423F-91DC-128A78CE9766}" name="Colonne9749"/>
    <tableColumn id="9758" xr3:uid="{06ADF299-F4F1-4A9E-B4A5-C6670AF45B14}" name="Colonne9750"/>
    <tableColumn id="9759" xr3:uid="{82F62932-AA67-40CB-943A-90ABF10DDAAD}" name="Colonne9751"/>
    <tableColumn id="9760" xr3:uid="{49997406-10A2-4077-8DF6-A283E4FFFEF5}" name="Colonne9752"/>
    <tableColumn id="9761" xr3:uid="{A5E75F1A-C348-4D99-B801-8CEE4A919B06}" name="Colonne9753"/>
    <tableColumn id="9762" xr3:uid="{2CD5CD7D-47BB-4DDC-9F53-14A2866FB364}" name="Colonne9754"/>
    <tableColumn id="9763" xr3:uid="{D45A550E-252D-423B-9730-CBE23F9692D7}" name="Colonne9755"/>
    <tableColumn id="9764" xr3:uid="{33A1BABF-6C5D-443F-A507-F8F2BD8C3F10}" name="Colonne9756"/>
    <tableColumn id="9765" xr3:uid="{489C3152-7AB3-41B2-B017-A1304B54C5F5}" name="Colonne9757"/>
    <tableColumn id="9766" xr3:uid="{0FE2C8A2-0683-4CFB-A8E8-97EFCD3697CB}" name="Colonne9758"/>
    <tableColumn id="9767" xr3:uid="{0B1F3DFC-D1F7-4F6F-A455-8F1C6AE04B2E}" name="Colonne9759"/>
    <tableColumn id="9768" xr3:uid="{B5CED823-853C-45E2-8850-D5A3FFB9E34B}" name="Colonne9760"/>
    <tableColumn id="9769" xr3:uid="{8ABFB8D3-C769-47FE-989A-ADFDA42E98F6}" name="Colonne9761"/>
    <tableColumn id="9770" xr3:uid="{C7EAB5E8-8A00-4105-B271-30E0AE5C226E}" name="Colonne9762"/>
    <tableColumn id="9771" xr3:uid="{6DA23A54-A654-4F47-A7C6-4FBBF8ED168B}" name="Colonne9763"/>
    <tableColumn id="9772" xr3:uid="{39935B09-6684-4302-B276-D1701040626C}" name="Colonne9764"/>
    <tableColumn id="9773" xr3:uid="{080184D5-8F22-4B8E-994F-6C53B473928E}" name="Colonne9765"/>
    <tableColumn id="9774" xr3:uid="{0C984770-1682-4576-985F-EEAC7421180A}" name="Colonne9766"/>
    <tableColumn id="9775" xr3:uid="{FC5B4B34-C5CF-4ACA-8191-3E38C4682513}" name="Colonne9767"/>
    <tableColumn id="9776" xr3:uid="{F785A37D-37A3-444F-8E37-D71EB366B126}" name="Colonne9768"/>
    <tableColumn id="9777" xr3:uid="{91DD5DE3-4961-435C-990A-6198C23EB252}" name="Colonne9769"/>
    <tableColumn id="9778" xr3:uid="{D1327B19-A743-420E-841A-6AE0664F2D96}" name="Colonne9770"/>
    <tableColumn id="9779" xr3:uid="{701920CB-F454-4DEA-B2BA-06828E363C75}" name="Colonne9771"/>
    <tableColumn id="9780" xr3:uid="{BF4CD57B-28A7-4EEB-B053-7B65CFD69BD7}" name="Colonne9772"/>
    <tableColumn id="9781" xr3:uid="{A08C7DA8-73AF-41B2-B930-2B61B9C01F5C}" name="Colonne9773"/>
    <tableColumn id="9782" xr3:uid="{AAC0726C-5F93-42AF-A13E-F02AB8DBF194}" name="Colonne9774"/>
    <tableColumn id="9783" xr3:uid="{295D9FD2-F8E0-44A2-BC19-DF46F71F0C7F}" name="Colonne9775"/>
    <tableColumn id="9784" xr3:uid="{33F4C818-DE09-42E3-A7C5-6D9B22DCE081}" name="Colonne9776"/>
    <tableColumn id="9785" xr3:uid="{06F6597D-871F-47C1-9646-6932A9106D8E}" name="Colonne9777"/>
    <tableColumn id="9786" xr3:uid="{7BD6E17E-BA06-4B1D-A7BC-B6E5C1CF72F2}" name="Colonne9778"/>
    <tableColumn id="9787" xr3:uid="{EFDCEF26-BD04-45FA-8EBF-BCE82571B4E5}" name="Colonne9779"/>
    <tableColumn id="9788" xr3:uid="{955F56B5-8B89-4B2E-ABA4-080E3C325C43}" name="Colonne9780"/>
    <tableColumn id="9789" xr3:uid="{6A07BE2E-615A-4274-B856-8B5F5FCBE180}" name="Colonne9781"/>
    <tableColumn id="9790" xr3:uid="{26E612FE-5657-4E59-816F-765BCC592527}" name="Colonne9782"/>
    <tableColumn id="9791" xr3:uid="{AABBC76B-7363-4A19-9BB7-BE83C27463F2}" name="Colonne9783"/>
    <tableColumn id="9792" xr3:uid="{068E40C6-D662-452E-9DB5-3FC4201E748F}" name="Colonne9784"/>
    <tableColumn id="9793" xr3:uid="{685F8611-AF0F-49AC-9D4E-CDA6DA5F377D}" name="Colonne9785"/>
    <tableColumn id="9794" xr3:uid="{777A55D3-926E-4A28-A6EB-18A24AB57C99}" name="Colonne9786"/>
    <tableColumn id="9795" xr3:uid="{54CBA060-4982-4914-9032-A56BA4AE0494}" name="Colonne9787"/>
    <tableColumn id="9796" xr3:uid="{4A58BA6C-BD7D-4A90-BBCF-08336B26B7F3}" name="Colonne9788"/>
    <tableColumn id="9797" xr3:uid="{EF11774D-D036-4793-90CF-4900FA5CA3F4}" name="Colonne9789"/>
    <tableColumn id="9798" xr3:uid="{AC762339-EDAA-41BE-8DD3-8A8C34AE1753}" name="Colonne9790"/>
    <tableColumn id="9799" xr3:uid="{17AFBC48-2C83-49F5-ADCA-D4C8515A05D8}" name="Colonne9791"/>
    <tableColumn id="9800" xr3:uid="{DAA7592C-6EE3-42AE-A36B-5562589DE2AD}" name="Colonne9792"/>
    <tableColumn id="9801" xr3:uid="{5592A477-0E12-4FD8-B59D-F17FAD530BFF}" name="Colonne9793"/>
    <tableColumn id="9802" xr3:uid="{8DE2F12C-8833-4A56-9303-D659439FF054}" name="Colonne9794"/>
    <tableColumn id="9803" xr3:uid="{1D52E4FF-C145-4FE6-8B84-EECE5B4F325A}" name="Colonne9795"/>
    <tableColumn id="9804" xr3:uid="{7886EC84-A7B0-4934-9BED-7131C5417665}" name="Colonne9796"/>
    <tableColumn id="9805" xr3:uid="{C75A6773-6076-43B1-9FCB-9A117E42B504}" name="Colonne9797"/>
    <tableColumn id="9806" xr3:uid="{D55AD188-D2F4-424B-87F5-8E90D5A8D53F}" name="Colonne9798"/>
    <tableColumn id="9807" xr3:uid="{4464D0BC-D334-46B7-A861-D317A66F6292}" name="Colonne9799"/>
    <tableColumn id="9808" xr3:uid="{757A591C-5495-430C-BE45-8E7F2905D9A2}" name="Colonne9800"/>
    <tableColumn id="9809" xr3:uid="{74C6957B-5967-493C-B800-56468E00D1D7}" name="Colonne9801"/>
    <tableColumn id="9810" xr3:uid="{9CE349D9-6B4B-4DBE-A8DD-E2F0787FED6E}" name="Colonne9802"/>
    <tableColumn id="9811" xr3:uid="{B336B8AA-246A-46CF-8B41-F88E88F27313}" name="Colonne9803"/>
    <tableColumn id="9812" xr3:uid="{80A731EA-BE15-4FFA-A329-9EF14E2A30D1}" name="Colonne9804"/>
    <tableColumn id="9813" xr3:uid="{479893F4-40BB-443A-99AC-3D93EAB55CAC}" name="Colonne9805"/>
    <tableColumn id="9814" xr3:uid="{06EA334D-5E4A-4212-9EBA-EB2DA2EB3E0E}" name="Colonne9806"/>
    <tableColumn id="9815" xr3:uid="{57944128-49FF-4781-8D7B-31044EDBE1DB}" name="Colonne9807"/>
    <tableColumn id="9816" xr3:uid="{9E0D6F8A-F955-4045-A5F5-1AF999352783}" name="Colonne9808"/>
    <tableColumn id="9817" xr3:uid="{4B02EB0E-4CC6-46E2-B583-2F570C2DF4A6}" name="Colonne9809"/>
    <tableColumn id="9818" xr3:uid="{1C6BAB68-35F5-46AE-83B9-E9465D07967D}" name="Colonne9810"/>
    <tableColumn id="9819" xr3:uid="{EAC94A65-DD99-435A-AA14-0D210066022D}" name="Colonne9811"/>
    <tableColumn id="9820" xr3:uid="{D37C9C49-D677-4592-B290-AB6A570027A7}" name="Colonne9812"/>
    <tableColumn id="9821" xr3:uid="{B2CBD1CC-F703-4544-A079-09C6194DD967}" name="Colonne9813"/>
    <tableColumn id="9822" xr3:uid="{1F440D17-CA26-423E-AE73-751472AB7B82}" name="Colonne9814"/>
    <tableColumn id="9823" xr3:uid="{04834189-28BA-4F18-91BB-902A715A7CFB}" name="Colonne9815"/>
    <tableColumn id="9824" xr3:uid="{CE1FB24C-30C5-4A86-90A9-6067558C83A8}" name="Colonne9816"/>
    <tableColumn id="9825" xr3:uid="{1C85CA74-AF23-4F45-BFBA-F314181BAD59}" name="Colonne9817"/>
    <tableColumn id="9826" xr3:uid="{8F6D0BFB-375E-4EB2-ADF8-3460A340217C}" name="Colonne9818"/>
    <tableColumn id="9827" xr3:uid="{9C00E168-B593-4A44-BB1A-7618BF137EDC}" name="Colonne9819"/>
    <tableColumn id="9828" xr3:uid="{A7CE445E-E49E-491C-96E7-E9676338F047}" name="Colonne9820"/>
    <tableColumn id="9829" xr3:uid="{23DEF72A-F0F2-42EF-8864-EE3DA2E5B979}" name="Colonne9821"/>
    <tableColumn id="9830" xr3:uid="{21CD2C7C-36F5-4204-A0BB-8383EBE3CFB1}" name="Colonne9822"/>
    <tableColumn id="9831" xr3:uid="{5D5D27FC-7233-490F-BC68-528441BB4492}" name="Colonne9823"/>
    <tableColumn id="9832" xr3:uid="{522964C8-C67F-4A86-B6E9-4AA84281C3D0}" name="Colonne9824"/>
    <tableColumn id="9833" xr3:uid="{8A06D052-B1CD-48D2-82DF-0D0369805D50}" name="Colonne9825"/>
    <tableColumn id="9834" xr3:uid="{BBD12232-F51F-4FE1-8202-6B11A99E51E6}" name="Colonne9826"/>
    <tableColumn id="9835" xr3:uid="{CC669D4A-A4F4-44ED-84D0-185E53A4E344}" name="Colonne9827"/>
    <tableColumn id="9836" xr3:uid="{99F941E2-C5E0-446A-BB23-3853D9884F13}" name="Colonne9828"/>
    <tableColumn id="9837" xr3:uid="{81610E28-E89F-4210-9D5F-DE127F551D7B}" name="Colonne9829"/>
    <tableColumn id="9838" xr3:uid="{72EBAAAA-290C-49A7-ADAE-F6A2DDA039F3}" name="Colonne9830"/>
    <tableColumn id="9839" xr3:uid="{53DBDDA4-8E30-42DC-97C9-571B752BF667}" name="Colonne9831"/>
    <tableColumn id="9840" xr3:uid="{DA4316BC-8520-44C4-A0C5-F58B71D8924B}" name="Colonne9832"/>
    <tableColumn id="9841" xr3:uid="{886D5964-4DC5-4D37-9A81-9DF0FBBAE844}" name="Colonne9833"/>
    <tableColumn id="9842" xr3:uid="{02FC53A3-FCE2-4A20-B698-195A29378DE5}" name="Colonne9834"/>
    <tableColumn id="9843" xr3:uid="{8E245B23-F6AE-4B36-8F11-065A8095C837}" name="Colonne9835"/>
    <tableColumn id="9844" xr3:uid="{5CFB3498-6CB9-4AD8-BAE3-79061B69E422}" name="Colonne9836"/>
    <tableColumn id="9845" xr3:uid="{96F3DD07-6BCA-4867-BF90-68FA4217BBAC}" name="Colonne9837"/>
    <tableColumn id="9846" xr3:uid="{0D9B24E9-486E-47AD-BAF2-5BA84097598C}" name="Colonne9838"/>
    <tableColumn id="9847" xr3:uid="{2CB915B7-BA3E-4FDC-A4FD-4D7FF6DE924A}" name="Colonne9839"/>
    <tableColumn id="9848" xr3:uid="{32DBB24A-D2E8-4203-8CD0-9903F2B584AA}" name="Colonne9840"/>
    <tableColumn id="9849" xr3:uid="{AA47E3F5-B666-4B20-8046-74E6A882E310}" name="Colonne9841"/>
    <tableColumn id="9850" xr3:uid="{B2F1F430-94F0-4C12-8D88-F8998505AFCA}" name="Colonne9842"/>
    <tableColumn id="9851" xr3:uid="{23DDD65F-B7B8-40DC-9194-72E267048926}" name="Colonne9843"/>
    <tableColumn id="9852" xr3:uid="{1A1D465E-B419-4C35-8A93-DF747A846F02}" name="Colonne9844"/>
    <tableColumn id="9853" xr3:uid="{A6654842-A136-48AB-82E6-39CDE2F6266B}" name="Colonne9845"/>
    <tableColumn id="9854" xr3:uid="{91D2DC33-269C-497A-AC98-F40DD6150F42}" name="Colonne9846"/>
    <tableColumn id="9855" xr3:uid="{36B4360C-2482-43B0-ACC1-18F4B57B8B2F}" name="Colonne9847"/>
    <tableColumn id="9856" xr3:uid="{0A2308C7-B851-4BF3-A8C6-751854F107EE}" name="Colonne9848"/>
    <tableColumn id="9857" xr3:uid="{9D74E93D-1DF9-4CBB-8638-4A45A6F81D64}" name="Colonne9849"/>
    <tableColumn id="9858" xr3:uid="{4F7FA23F-DEAB-4029-9C16-B1C3A11C98BF}" name="Colonne9850"/>
    <tableColumn id="9859" xr3:uid="{FBBE69F4-62D7-47B5-B585-27B6990FBACD}" name="Colonne9851"/>
    <tableColumn id="9860" xr3:uid="{B11A5AC5-B83B-4317-82A7-3F91A4C5C4DC}" name="Colonne9852"/>
    <tableColumn id="9861" xr3:uid="{B58CA00A-8ECA-465D-AAE2-751C22F13998}" name="Colonne9853"/>
    <tableColumn id="9862" xr3:uid="{B8255882-D7F6-4A6C-85D7-D1EE8DB595D1}" name="Colonne9854"/>
    <tableColumn id="9863" xr3:uid="{E5049591-2EA7-46FA-829E-7FA3F5934EE7}" name="Colonne9855"/>
    <tableColumn id="9864" xr3:uid="{CED2313D-2A92-49B4-AF81-C5BF89A21199}" name="Colonne9856"/>
    <tableColumn id="9865" xr3:uid="{1B75BA1B-2B0E-4104-8D43-CAD3BC331461}" name="Colonne9857"/>
    <tableColumn id="9866" xr3:uid="{47C5C0F0-654F-418C-96E3-3AA22E3A2A4C}" name="Colonne9858"/>
    <tableColumn id="9867" xr3:uid="{F679027C-1486-4269-A7C5-97D68368900B}" name="Colonne9859"/>
    <tableColumn id="9868" xr3:uid="{02FEABEE-AE5F-454C-BB57-3D3D1CBCF1AE}" name="Colonne9860"/>
    <tableColumn id="9869" xr3:uid="{C9A51826-7CF1-43E6-8BB3-B024EEC80353}" name="Colonne9861"/>
    <tableColumn id="9870" xr3:uid="{240BC5E7-ADD1-4F49-A57F-A9B7A4D64166}" name="Colonne9862"/>
    <tableColumn id="9871" xr3:uid="{D0975680-ED5F-45A2-9AFB-DDEBE97D9DE2}" name="Colonne9863"/>
    <tableColumn id="9872" xr3:uid="{085F8D1B-FF6B-473A-BFA3-5A0D0A9D60A0}" name="Colonne9864"/>
    <tableColumn id="9873" xr3:uid="{F95EBD12-B514-43AB-8E28-C82F529ADA49}" name="Colonne9865"/>
    <tableColumn id="9874" xr3:uid="{32705E26-C0A1-45AB-98CD-C0A7B2AAEB98}" name="Colonne9866"/>
    <tableColumn id="9875" xr3:uid="{2788E0E1-F3F9-4F91-97F8-0FDD32ADF0E3}" name="Colonne9867"/>
    <tableColumn id="9876" xr3:uid="{C315B68E-AAD2-4C94-AC8E-D468EA7DB0B0}" name="Colonne9868"/>
    <tableColumn id="9877" xr3:uid="{75E5493E-6C1B-427F-A5B8-3509E3059273}" name="Colonne9869"/>
    <tableColumn id="9878" xr3:uid="{C09EBAE3-0A9C-4447-8273-95568EB405AC}" name="Colonne9870"/>
    <tableColumn id="9879" xr3:uid="{B7993FF2-643E-4ABD-A462-210CCA25A75B}" name="Colonne9871"/>
    <tableColumn id="9880" xr3:uid="{A42AE9E2-3F09-46EB-A162-91B871102AF1}" name="Colonne9872"/>
    <tableColumn id="9881" xr3:uid="{1912A9CC-9C7C-4D58-9E45-90D16599CF45}" name="Colonne9873"/>
    <tableColumn id="9882" xr3:uid="{5886B525-F0F7-4111-9BB7-066D3E4B4D47}" name="Colonne9874"/>
    <tableColumn id="9883" xr3:uid="{1E1EACEB-C91C-438A-A400-C1838042B226}" name="Colonne9875"/>
    <tableColumn id="9884" xr3:uid="{FDF120A2-7E78-4853-9E7A-328C218BE002}" name="Colonne9876"/>
    <tableColumn id="9885" xr3:uid="{A4A3D53F-AB96-455F-8904-4FA729A277D0}" name="Colonne9877"/>
    <tableColumn id="9886" xr3:uid="{57635860-4F16-486D-97AB-5D9670FAD9FF}" name="Colonne9878"/>
    <tableColumn id="9887" xr3:uid="{7602C795-5587-4BB1-AD83-C7CFBF7008A0}" name="Colonne9879"/>
    <tableColumn id="9888" xr3:uid="{826D54D6-85A8-4E4D-8BDE-0762E368CE10}" name="Colonne9880"/>
    <tableColumn id="9889" xr3:uid="{64CA8F52-3D4D-4DC8-8E20-044FAFF110B0}" name="Colonne9881"/>
    <tableColumn id="9890" xr3:uid="{E4D656E9-EE97-4F74-8422-CF5D7C81430C}" name="Colonne9882"/>
    <tableColumn id="9891" xr3:uid="{B75BBE19-A2A9-4C53-93E4-E7B9CC6BD6A2}" name="Colonne9883"/>
    <tableColumn id="9892" xr3:uid="{68EA0832-8A49-4AD5-B3CE-08E6F01550E7}" name="Colonne9884"/>
    <tableColumn id="9893" xr3:uid="{C5CA103F-5EC7-46E9-B055-F52199E492CD}" name="Colonne9885"/>
    <tableColumn id="9894" xr3:uid="{B51EF8E9-5DF6-4EF3-A0AC-23B9CC39E0DC}" name="Colonne9886"/>
    <tableColumn id="9895" xr3:uid="{4B4AA5BD-E0B9-4D11-A2D2-16F8D7E6BA5E}" name="Colonne9887"/>
    <tableColumn id="9896" xr3:uid="{3A9B272B-26E8-4DEE-B3A7-0FC5D1292DE3}" name="Colonne9888"/>
    <tableColumn id="9897" xr3:uid="{B8AE53BF-DD15-45DD-8486-EACA87FC8850}" name="Colonne9889"/>
    <tableColumn id="9898" xr3:uid="{EB044C0F-97E8-4958-8591-6D5985DE6A95}" name="Colonne9890"/>
    <tableColumn id="9899" xr3:uid="{A575DA71-92B1-4A33-B6C2-D0FB03E53134}" name="Colonne9891"/>
    <tableColumn id="9900" xr3:uid="{B87506FD-AFED-4771-9122-4E5949D82239}" name="Colonne9892"/>
    <tableColumn id="9901" xr3:uid="{0CF0FC84-2E78-4690-AE69-42518A5539D5}" name="Colonne9893"/>
    <tableColumn id="9902" xr3:uid="{CEA49210-B756-4308-B730-26CAE60BC2DD}" name="Colonne9894"/>
    <tableColumn id="9903" xr3:uid="{53DFA96D-17FF-4EE4-B801-144DB231F7C7}" name="Colonne9895"/>
    <tableColumn id="9904" xr3:uid="{89AD1B48-630C-428E-95AC-80AAC9F98CDE}" name="Colonne9896"/>
    <tableColumn id="9905" xr3:uid="{EA3201FD-6DB0-4B1F-8B6C-1BB73737CAAF}" name="Colonne9897"/>
    <tableColumn id="9906" xr3:uid="{30774EED-5C8C-4D6F-AB1A-DC0A46AF22D7}" name="Colonne9898"/>
    <tableColumn id="9907" xr3:uid="{BD865770-2E95-4DC1-8907-8D11FA0CD35F}" name="Colonne9899"/>
    <tableColumn id="9908" xr3:uid="{ADFB16B2-F67E-4D03-8C03-86478B11B4D1}" name="Colonne9900"/>
    <tableColumn id="9909" xr3:uid="{94A76CC2-256B-4DFC-AC26-B28EA28D0612}" name="Colonne9901"/>
    <tableColumn id="9910" xr3:uid="{F70954CF-E723-4C04-B7F1-56E8ECE9D576}" name="Colonne9902"/>
    <tableColumn id="9911" xr3:uid="{49D5913D-DC5B-407D-A5D8-2217F607F4B2}" name="Colonne9903"/>
    <tableColumn id="9912" xr3:uid="{2BA4D462-B58B-4F50-819D-F6C3D84FCCBA}" name="Colonne9904"/>
    <tableColumn id="9913" xr3:uid="{6184A355-6C4D-4898-B4CB-8EBF9055A96B}" name="Colonne9905"/>
    <tableColumn id="9914" xr3:uid="{3945E7B4-2F3E-44CF-8552-D6087236FC63}" name="Colonne9906"/>
    <tableColumn id="9915" xr3:uid="{6BABDBEA-73D0-473D-9EEA-9310786FDF93}" name="Colonne9907"/>
    <tableColumn id="9916" xr3:uid="{BF4D87C7-3AA6-47A6-A0AF-87AB641D56D8}" name="Colonne9908"/>
    <tableColumn id="9917" xr3:uid="{BC4F7D83-D75A-498D-B3C3-6E284536BBC7}" name="Colonne9909"/>
    <tableColumn id="9918" xr3:uid="{3B72398B-290F-43AB-AB35-58882F08070C}" name="Colonne9910"/>
    <tableColumn id="9919" xr3:uid="{9731FEFC-663F-4169-A8B9-1E35763ED66E}" name="Colonne9911"/>
    <tableColumn id="9920" xr3:uid="{71D1847D-F66A-4522-99F4-578E627C80EB}" name="Colonne9912"/>
    <tableColumn id="9921" xr3:uid="{BBA04C3A-5308-483E-8100-1D272C79D8C8}" name="Colonne9913"/>
    <tableColumn id="9922" xr3:uid="{01F6D2D6-272E-4630-BF7A-F045DE30ABCE}" name="Colonne9914"/>
    <tableColumn id="9923" xr3:uid="{2F8109EF-254E-457A-9C49-89C4147CE6BC}" name="Colonne9915"/>
    <tableColumn id="9924" xr3:uid="{AE1C4FC6-23B8-420E-A783-2FD81AAE9E3D}" name="Colonne9916"/>
    <tableColumn id="9925" xr3:uid="{580FBE07-6356-4209-BFF5-94D9EA7CDB47}" name="Colonne9917"/>
    <tableColumn id="9926" xr3:uid="{7FE98F58-7FB6-49E8-87C5-7F9D0290B068}" name="Colonne9918"/>
    <tableColumn id="9927" xr3:uid="{6B388D78-74E7-46EA-A953-3D612C2C1C3A}" name="Colonne9919"/>
    <tableColumn id="9928" xr3:uid="{7C87536B-2F4D-4A9E-8043-2F1D66312CB5}" name="Colonne9920"/>
    <tableColumn id="9929" xr3:uid="{57022944-C7C7-42DB-BFDB-61E2D70CBEFD}" name="Colonne9921"/>
    <tableColumn id="9930" xr3:uid="{1D42A71E-7428-4175-9997-D8112A600388}" name="Colonne9922"/>
    <tableColumn id="9931" xr3:uid="{99C23D4E-F4F9-451B-B677-A82E5A959119}" name="Colonne9923"/>
    <tableColumn id="9932" xr3:uid="{1B6ECF9E-34E6-47D9-9A9D-A667D6810F55}" name="Colonne9924"/>
    <tableColumn id="9933" xr3:uid="{E8021A53-89D3-42A9-BF58-4355DC13A6FA}" name="Colonne9925"/>
    <tableColumn id="9934" xr3:uid="{E0EAD6A3-99FA-4280-8395-E047ED378A6E}" name="Colonne9926"/>
    <tableColumn id="9935" xr3:uid="{8D0D4CD8-0293-4968-ADD8-47A2F04BD667}" name="Colonne9927"/>
    <tableColumn id="9936" xr3:uid="{41900EDB-DA23-4A13-82B5-F2A92C511A72}" name="Colonne9928"/>
    <tableColumn id="9937" xr3:uid="{F0816AEC-15F8-47C7-91C6-3774CFFF904A}" name="Colonne9929"/>
    <tableColumn id="9938" xr3:uid="{731C8C0A-9DBB-4A11-A10F-DD692376A80A}" name="Colonne9930"/>
    <tableColumn id="9939" xr3:uid="{5337A268-722B-4345-88F3-609DFBF11D79}" name="Colonne9931"/>
    <tableColumn id="9940" xr3:uid="{E502BD5F-C5C2-4E60-9C94-7681D42CE863}" name="Colonne9932"/>
    <tableColumn id="9941" xr3:uid="{049C225A-9F1B-41E7-993A-A33F0770CA92}" name="Colonne9933"/>
    <tableColumn id="9942" xr3:uid="{01D0B257-AA65-4BB8-9178-6AF52CF4F1C3}" name="Colonne9934"/>
    <tableColumn id="9943" xr3:uid="{14F67876-F4E5-4705-9828-AD9474C6BDFA}" name="Colonne9935"/>
    <tableColumn id="9944" xr3:uid="{F60C684C-6008-47A3-B7D1-1CAE54A4E884}" name="Colonne9936"/>
    <tableColumn id="9945" xr3:uid="{AA45F4CA-B4C1-46C0-A011-016256DEA7D0}" name="Colonne9937"/>
    <tableColumn id="9946" xr3:uid="{4EC3EE20-6E5D-4749-AF87-292F11F97D77}" name="Colonne9938"/>
    <tableColumn id="9947" xr3:uid="{EEFCD910-717B-439C-B499-FA670A0E986B}" name="Colonne9939"/>
    <tableColumn id="9948" xr3:uid="{79E85D33-1AED-4CC2-91A9-6AE875AF1DC8}" name="Colonne9940"/>
    <tableColumn id="9949" xr3:uid="{70B14526-3A3D-4414-B7A9-32EA1C635951}" name="Colonne9941"/>
    <tableColumn id="9950" xr3:uid="{2AE7BEEF-36B4-4205-BE52-CA7468053C4A}" name="Colonne9942"/>
    <tableColumn id="9951" xr3:uid="{4E3471F5-1DA3-4A9E-BB79-82F29E214498}" name="Colonne9943"/>
    <tableColumn id="9952" xr3:uid="{129B72F8-D7A6-4403-AB93-9807918A140C}" name="Colonne9944"/>
    <tableColumn id="9953" xr3:uid="{2B4DAC71-D867-42C4-897D-C7A804A59D20}" name="Colonne9945"/>
    <tableColumn id="9954" xr3:uid="{BA75AB60-2E03-4C99-B753-9A226363FA2B}" name="Colonne9946"/>
    <tableColumn id="9955" xr3:uid="{F8A3520C-DDEE-4DD0-A949-DE2852987DAD}" name="Colonne9947"/>
    <tableColumn id="9956" xr3:uid="{C5597431-E013-47D8-9E81-F80636037D7F}" name="Colonne9948"/>
    <tableColumn id="9957" xr3:uid="{9C64BE57-704C-404C-9EFF-3296A4CE86F4}" name="Colonne9949"/>
    <tableColumn id="9958" xr3:uid="{96732F3E-0F1D-4366-93C1-64B0D280544C}" name="Colonne9950"/>
    <tableColumn id="9959" xr3:uid="{9B89D5F7-B7E1-4A24-B162-86630E9AB9A1}" name="Colonne9951"/>
    <tableColumn id="9960" xr3:uid="{54ACE0F7-0143-428D-BCD7-816505A15738}" name="Colonne9952"/>
    <tableColumn id="9961" xr3:uid="{D66D4FA7-1489-4050-8D8B-41FA081AE3BD}" name="Colonne9953"/>
    <tableColumn id="9962" xr3:uid="{1037FC1D-CB18-4C58-991F-65E4AA80B2CF}" name="Colonne9954"/>
    <tableColumn id="9963" xr3:uid="{CB0D4FB7-BB51-43CF-BA07-507DA49793E1}" name="Colonne9955"/>
    <tableColumn id="9964" xr3:uid="{0DF6F499-39FC-4368-ADEE-C95039CC3194}" name="Colonne9956"/>
    <tableColumn id="9965" xr3:uid="{B5DC1D3F-9EE5-4D72-9BDB-F91A1FF38844}" name="Colonne9957"/>
    <tableColumn id="9966" xr3:uid="{0C7AE62C-E1AC-440E-AF9F-3069B3A4BE7C}" name="Colonne9958"/>
    <tableColumn id="9967" xr3:uid="{A6733A71-7D08-45C6-BB5D-9A8F29431857}" name="Colonne9959"/>
    <tableColumn id="9968" xr3:uid="{23191808-F7F5-4D87-9C40-8B0F9B5180BF}" name="Colonne9960"/>
    <tableColumn id="9969" xr3:uid="{32AD7BA0-03F0-4D89-9178-51AE2B815295}" name="Colonne9961"/>
    <tableColumn id="9970" xr3:uid="{EAAC8C18-87A3-4E5B-871B-982510E5A524}" name="Colonne9962"/>
    <tableColumn id="9971" xr3:uid="{9B3B2968-52CE-4E37-BFD2-A510AD2700AF}" name="Colonne9963"/>
    <tableColumn id="9972" xr3:uid="{04E049BB-A80D-4E9E-9119-91F55DECFAF7}" name="Colonne9964"/>
    <tableColumn id="9973" xr3:uid="{6CC436CA-6E2E-46BA-BCE1-0EE860FE0F30}" name="Colonne9965"/>
    <tableColumn id="9974" xr3:uid="{EE78A8CA-A0B1-42F5-8D24-0BD3572A9F22}" name="Colonne9966"/>
    <tableColumn id="9975" xr3:uid="{FC2A4061-A283-4B0B-A227-0D4E7F6DF72B}" name="Colonne9967"/>
    <tableColumn id="9976" xr3:uid="{D2E77E9C-BDEF-4FEA-BF12-69972A2B92B9}" name="Colonne9968"/>
    <tableColumn id="9977" xr3:uid="{2BD252EE-1084-41D9-A700-A4D8C5085F79}" name="Colonne9969"/>
    <tableColumn id="9978" xr3:uid="{D9F0C3D5-2BDC-414E-B14C-80ADC20DA5E3}" name="Colonne9970"/>
    <tableColumn id="9979" xr3:uid="{D39F9733-4A3E-4979-A14E-C78C3D1B040E}" name="Colonne9971"/>
    <tableColumn id="9980" xr3:uid="{FAAAC08D-9C52-4A2E-B684-CC8B02CF9913}" name="Colonne9972"/>
    <tableColumn id="9981" xr3:uid="{7D89B084-B56A-4C64-B20B-DFAA2D0C76AA}" name="Colonne9973"/>
    <tableColumn id="9982" xr3:uid="{068864FF-F559-4DEE-A8E3-ABBB090B705F}" name="Colonne9974"/>
    <tableColumn id="9983" xr3:uid="{85484C7D-C9A0-4669-B91F-2D5B1F228F31}" name="Colonne9975"/>
    <tableColumn id="9984" xr3:uid="{68F8C4F4-47C1-4AFA-8CAE-786419FDFD16}" name="Colonne9976"/>
    <tableColumn id="9985" xr3:uid="{1524B13F-7772-460A-BB0A-4C2170FE338E}" name="Colonne9977"/>
    <tableColumn id="9986" xr3:uid="{834D3230-C205-4C0E-8936-822F3D63905F}" name="Colonne9978"/>
    <tableColumn id="9987" xr3:uid="{DF11F716-E003-4E97-962B-59235618D75B}" name="Colonne9979"/>
    <tableColumn id="9988" xr3:uid="{7D2FD335-9E58-4B52-AC3B-7CED07E763E6}" name="Colonne9980"/>
    <tableColumn id="9989" xr3:uid="{E606A8F0-4C99-4FE2-B3FC-9EAAB87BF3D0}" name="Colonne9981"/>
    <tableColumn id="9990" xr3:uid="{35C74252-3A69-4CDA-8F45-19D10DBEB4CE}" name="Colonne9982"/>
    <tableColumn id="9991" xr3:uid="{9F56BCD3-E302-4EB2-8048-13197AFA9632}" name="Colonne9983"/>
    <tableColumn id="9992" xr3:uid="{C307CD4B-33BA-45D1-A0B0-61EF4FFB8B8F}" name="Colonne9984"/>
    <tableColumn id="9993" xr3:uid="{DB048D28-9C9E-4378-A70E-E908573B1315}" name="Colonne9985"/>
    <tableColumn id="9994" xr3:uid="{733844DB-E489-4259-B7EA-5C5D8B08CE00}" name="Colonne9986"/>
    <tableColumn id="9995" xr3:uid="{79D2E745-1997-4B14-83C2-EC2691408AAD}" name="Colonne9987"/>
    <tableColumn id="9996" xr3:uid="{7DAAB685-9450-460D-9162-C8E63F2C6F27}" name="Colonne9988"/>
    <tableColumn id="9997" xr3:uid="{A5C26AF5-38C5-44AB-AA74-4FCD45DA0CBC}" name="Colonne9989"/>
    <tableColumn id="9998" xr3:uid="{CED3B716-E65E-4F97-A56E-024F29283D1B}" name="Colonne9990"/>
    <tableColumn id="9999" xr3:uid="{C237DA6F-4856-4239-A4C7-27EECB87BDDC}" name="Colonne9991"/>
    <tableColumn id="10000" xr3:uid="{9C8B6DD8-0131-406B-BE22-04CD03EC18EE}" name="Colonne9992"/>
    <tableColumn id="10001" xr3:uid="{975D65D5-23FB-4B8A-B568-06BB54991419}" name="Colonne9993"/>
    <tableColumn id="10002" xr3:uid="{18EA451E-F8A6-4898-9E94-9787FDEF489E}" name="Colonne9994"/>
    <tableColumn id="10003" xr3:uid="{C2B62F5C-C3EA-413A-A990-41CFB9055851}" name="Colonne9995"/>
    <tableColumn id="10004" xr3:uid="{0AC943F8-E6C4-46D3-85EB-B621EA398AA2}" name="Colonne9996"/>
    <tableColumn id="10005" xr3:uid="{E242B52F-1B0E-44D8-8F0F-13C757579CBF}" name="Colonne9997"/>
    <tableColumn id="10006" xr3:uid="{A6C1D33F-BBF3-40C0-BBE5-CD7807BDA694}" name="Colonne9998"/>
    <tableColumn id="10007" xr3:uid="{4AD389E4-A677-46E1-A41B-9FE48E453E87}" name="Colonne9999"/>
    <tableColumn id="10008" xr3:uid="{2FA0E62E-2446-4C03-B6E1-6EB344A15782}" name="Colonne10000"/>
    <tableColumn id="10009" xr3:uid="{EC773830-9A74-41B9-B766-A783A7BDC968}" name="Colonne10001"/>
    <tableColumn id="10010" xr3:uid="{F1A98A95-679C-4742-B5EC-CDDEACD191AD}" name="Colonne10002"/>
    <tableColumn id="10011" xr3:uid="{B0BCE38F-BD3B-4939-AD89-3BABA4A3A51B}" name="Colonne10003"/>
    <tableColumn id="10012" xr3:uid="{D568AB8B-E590-4719-8B12-431D110CA754}" name="Colonne10004"/>
    <tableColumn id="10013" xr3:uid="{E04DCE55-FD74-441E-86AB-C9E0262015DC}" name="Colonne10005"/>
    <tableColumn id="10014" xr3:uid="{65AFA202-1D72-4962-9079-126E9D5C4019}" name="Colonne10006"/>
    <tableColumn id="10015" xr3:uid="{BC422841-2DCC-4A2D-87B1-8ABC28FA2451}" name="Colonne10007"/>
    <tableColumn id="10016" xr3:uid="{F5FB0F55-FE60-41BE-AC9A-D53CA1531849}" name="Colonne10008"/>
    <tableColumn id="10017" xr3:uid="{5821E4C2-7C22-4792-B485-D88D939AC664}" name="Colonne10009"/>
    <tableColumn id="10018" xr3:uid="{A85602DE-6B8B-465F-9865-7172586EA682}" name="Colonne10010"/>
    <tableColumn id="10019" xr3:uid="{B961EE4B-A066-49E6-BFB8-8352DF1CEDEF}" name="Colonne10011"/>
    <tableColumn id="10020" xr3:uid="{86E52A73-D2AA-44B2-A8B6-637F98A937D3}" name="Colonne10012"/>
    <tableColumn id="10021" xr3:uid="{12862A40-4F0C-4630-A1E5-849DBDAA654B}" name="Colonne10013"/>
    <tableColumn id="10022" xr3:uid="{A4878B1E-AED0-4CA5-B3BF-8F282A187E34}" name="Colonne10014"/>
    <tableColumn id="10023" xr3:uid="{4511A65F-CF75-4555-89DF-9076B808BAB9}" name="Colonne10015"/>
    <tableColumn id="10024" xr3:uid="{D52C1726-C1A4-46C7-80E3-57DC8CAD324D}" name="Colonne10016"/>
    <tableColumn id="10025" xr3:uid="{E6E2E888-F181-4E8E-BC59-E5EF80E8EF6B}" name="Colonne10017"/>
    <tableColumn id="10026" xr3:uid="{C52BB4C7-8D60-4924-A0BD-832ECD1D52B4}" name="Colonne10018"/>
    <tableColumn id="10027" xr3:uid="{0A7E1B3E-428E-4BAA-BB69-1BE1E4EA0492}" name="Colonne10019"/>
    <tableColumn id="10028" xr3:uid="{169BCEA8-E9F1-4D23-AA18-D1F2E4F163DA}" name="Colonne10020"/>
    <tableColumn id="10029" xr3:uid="{D3E256F8-8363-45E1-89AE-6E95491EA9BE}" name="Colonne10021"/>
    <tableColumn id="10030" xr3:uid="{71C744A3-58C3-46E8-862E-0D8891E3C1A4}" name="Colonne10022"/>
    <tableColumn id="10031" xr3:uid="{B13DB78E-4412-4A2B-B0DF-11BE1693CC19}" name="Colonne10023"/>
    <tableColumn id="10032" xr3:uid="{11F3081F-0F92-42FA-A555-66EA8E5B317C}" name="Colonne10024"/>
    <tableColumn id="10033" xr3:uid="{6F24F0DD-0F45-4A2A-8584-6401B80A1FD3}" name="Colonne10025"/>
    <tableColumn id="10034" xr3:uid="{A3441840-6B5B-484C-AFB0-C881A463E0DC}" name="Colonne10026"/>
    <tableColumn id="10035" xr3:uid="{1D1AF664-A635-4ABF-B22F-FE28D0525FFB}" name="Colonne10027"/>
    <tableColumn id="10036" xr3:uid="{D950382D-F896-428D-B29A-D75FB8348DCF}" name="Colonne10028"/>
    <tableColumn id="10037" xr3:uid="{500A5088-0248-430A-8A2F-4453F014A735}" name="Colonne10029"/>
    <tableColumn id="10038" xr3:uid="{C07E17DE-1A3C-4925-B4E6-7C7E53467B50}" name="Colonne10030"/>
    <tableColumn id="10039" xr3:uid="{99CFCD8D-6EAE-4742-AE58-2F48DFF1761C}" name="Colonne10031"/>
    <tableColumn id="10040" xr3:uid="{99E0F9C1-BC5C-4055-9435-196C84956498}" name="Colonne10032"/>
    <tableColumn id="10041" xr3:uid="{B1901594-DFF6-4636-B075-4D62A2892F7E}" name="Colonne10033"/>
    <tableColumn id="10042" xr3:uid="{B2C8BE24-1A11-45BA-9574-7055D3A13C5F}" name="Colonne10034"/>
    <tableColumn id="10043" xr3:uid="{0FC0DE14-7016-45E9-9119-FB1B9D3A2E06}" name="Colonne10035"/>
    <tableColumn id="10044" xr3:uid="{A946FFC9-F07A-4571-B488-851497DB8F11}" name="Colonne10036"/>
    <tableColumn id="10045" xr3:uid="{A30A3B2A-C20A-417C-A5E2-DA02FF48721A}" name="Colonne10037"/>
    <tableColumn id="10046" xr3:uid="{78A25797-760C-435D-804B-473733D061B8}" name="Colonne10038"/>
    <tableColumn id="10047" xr3:uid="{13FB1D89-3F13-4E3C-9BBD-11D5E82598FE}" name="Colonne10039"/>
    <tableColumn id="10048" xr3:uid="{05D51BAA-ED0C-41A4-9B83-6E61B93CF1A8}" name="Colonne10040"/>
    <tableColumn id="10049" xr3:uid="{019968F8-1608-4AF1-B34D-F08F40994426}" name="Colonne10041"/>
    <tableColumn id="10050" xr3:uid="{DA74F636-A0F0-42BD-96C8-ADECFA9596B7}" name="Colonne10042"/>
    <tableColumn id="10051" xr3:uid="{317C19BA-2968-4159-A773-A86EE684E3C6}" name="Colonne10043"/>
    <tableColumn id="10052" xr3:uid="{DC9FCAF7-EAF8-4247-A081-63F3D0B8B672}" name="Colonne10044"/>
    <tableColumn id="10053" xr3:uid="{38949DB7-C942-42B0-8449-6746A2D70823}" name="Colonne10045"/>
    <tableColumn id="10054" xr3:uid="{4F18A5BA-182A-4901-BA61-094E8B7798AF}" name="Colonne10046"/>
    <tableColumn id="10055" xr3:uid="{685425C4-B68E-47AF-A22E-0F51FEC40344}" name="Colonne10047"/>
    <tableColumn id="10056" xr3:uid="{70CF1053-8E43-4DBB-9CA5-E5177B72E7D8}" name="Colonne10048"/>
    <tableColumn id="10057" xr3:uid="{E2DCD130-CD93-48E6-889F-8728EF63BA21}" name="Colonne10049"/>
    <tableColumn id="10058" xr3:uid="{403032FC-C1F8-45A5-927E-B54A1C00A046}" name="Colonne10050"/>
    <tableColumn id="10059" xr3:uid="{254674CE-1E5F-43D7-B90F-9FD6C75782E5}" name="Colonne10051"/>
    <tableColumn id="10060" xr3:uid="{836034D2-72E0-409C-B3EF-36BF1B0042E6}" name="Colonne10052"/>
    <tableColumn id="10061" xr3:uid="{D607DC88-690F-4145-9266-805B69489BC0}" name="Colonne10053"/>
    <tableColumn id="10062" xr3:uid="{7ED4F21F-BA3B-49E5-B1DF-5530BAEFD785}" name="Colonne10054"/>
    <tableColumn id="10063" xr3:uid="{081352A2-4FA4-498B-AE19-E41F3585AEB3}" name="Colonne10055"/>
    <tableColumn id="10064" xr3:uid="{287382A1-437B-484B-9D99-5AC1369FC5E1}" name="Colonne10056"/>
    <tableColumn id="10065" xr3:uid="{40062796-1CCC-4F5D-9F05-19D13C48353D}" name="Colonne10057"/>
    <tableColumn id="10066" xr3:uid="{32F0CDB8-F133-4D99-9C79-E8E4418BB834}" name="Colonne10058"/>
    <tableColumn id="10067" xr3:uid="{15D5129B-D832-42CD-906A-8941EDC9E9C1}" name="Colonne10059"/>
    <tableColumn id="10068" xr3:uid="{64430EE0-5A4B-4E50-A91E-966A428943BC}" name="Colonne10060"/>
    <tableColumn id="10069" xr3:uid="{D635DF15-C5F4-4AC3-93E9-A45BD638A15F}" name="Colonne10061"/>
    <tableColumn id="10070" xr3:uid="{904C42FE-FE3B-4995-924D-CAB746232D4A}" name="Colonne10062"/>
    <tableColumn id="10071" xr3:uid="{317EEE76-2003-4079-843F-5CD6ABE1C196}" name="Colonne10063"/>
    <tableColumn id="10072" xr3:uid="{94DD24AF-3518-481B-B53E-D19846F62529}" name="Colonne10064"/>
    <tableColumn id="10073" xr3:uid="{76740DDC-F2A1-410E-AD0B-BFD65B2326DA}" name="Colonne10065"/>
    <tableColumn id="10074" xr3:uid="{F8BACB91-BA70-46C8-B956-D873FDBE8A8A}" name="Colonne10066"/>
    <tableColumn id="10075" xr3:uid="{994479A0-55FE-4D9D-9099-E50A738A4624}" name="Colonne10067"/>
    <tableColumn id="10076" xr3:uid="{EC72DABE-482F-406C-93FD-A38E55E6F77E}" name="Colonne10068"/>
    <tableColumn id="10077" xr3:uid="{547F31B9-C405-48DC-A1CF-F6EEBDF930AC}" name="Colonne10069"/>
    <tableColumn id="10078" xr3:uid="{CF37C280-B5C3-414B-85E6-9AF9D0ABA752}" name="Colonne10070"/>
    <tableColumn id="10079" xr3:uid="{58513777-B128-4F5C-A0BD-BADBA20AF657}" name="Colonne10071"/>
    <tableColumn id="10080" xr3:uid="{D9ADCABD-459E-4EF5-82BE-4F3A4DEDB124}" name="Colonne10072"/>
    <tableColumn id="10081" xr3:uid="{C1DAE16C-C067-4726-9A96-D2B66A0BD325}" name="Colonne10073"/>
    <tableColumn id="10082" xr3:uid="{245FAEEF-74D6-4246-A9F7-9DDA66154966}" name="Colonne10074"/>
    <tableColumn id="10083" xr3:uid="{B434144C-9A93-4B14-9766-A48327338BB5}" name="Colonne10075"/>
    <tableColumn id="10084" xr3:uid="{37D9F0C8-AA6E-4986-9CFC-86B979093013}" name="Colonne10076"/>
    <tableColumn id="10085" xr3:uid="{0D5AD9CD-853C-4306-83A8-0CE779841B44}" name="Colonne10077"/>
    <tableColumn id="10086" xr3:uid="{163F7546-49CD-493E-A08C-50F52F87703E}" name="Colonne10078"/>
    <tableColumn id="10087" xr3:uid="{4B1915B4-2847-44AB-B530-29EBFDEF07E1}" name="Colonne10079"/>
    <tableColumn id="10088" xr3:uid="{CEEC3ECF-55F8-4BE1-8FB9-7C35C46BEEA1}" name="Colonne10080"/>
    <tableColumn id="10089" xr3:uid="{35DBE3D6-E903-4A9F-8756-D8559E83086A}" name="Colonne10081"/>
    <tableColumn id="10090" xr3:uid="{8D102B2D-AF52-436C-B8D1-58655D586CBD}" name="Colonne10082"/>
    <tableColumn id="10091" xr3:uid="{58F80DE1-7372-4271-A401-1599195343BA}" name="Colonne10083"/>
    <tableColumn id="10092" xr3:uid="{CAB4A540-CC1E-4270-843C-6664BAA3568D}" name="Colonne10084"/>
    <tableColumn id="10093" xr3:uid="{119CEDEB-981E-4646-A3E5-64F7119D4F0A}" name="Colonne10085"/>
    <tableColumn id="10094" xr3:uid="{C9258F8B-FDC1-416F-8E7D-1B26DFA53A20}" name="Colonne10086"/>
    <tableColumn id="10095" xr3:uid="{DD368086-0691-4AF3-915C-670A2A91FF4B}" name="Colonne10087"/>
    <tableColumn id="10096" xr3:uid="{3F45D8BF-EEB3-4CAD-99A3-0F36AF973E0B}" name="Colonne10088"/>
    <tableColumn id="10097" xr3:uid="{5A8329F0-2698-44A3-BAA4-4FAEF0AFC56E}" name="Colonne10089"/>
    <tableColumn id="10098" xr3:uid="{F6E54CAB-AD8C-4E5A-B93D-78110D89950C}" name="Colonne10090"/>
    <tableColumn id="10099" xr3:uid="{9CCEAED4-17A6-4CE2-BAA7-C26AB56E03B9}" name="Colonne10091"/>
    <tableColumn id="10100" xr3:uid="{0C4436EE-0CDF-417F-811F-1ADF8B324E49}" name="Colonne10092"/>
    <tableColumn id="10101" xr3:uid="{8D094E8D-26AF-4837-8B30-520979775153}" name="Colonne10093"/>
    <tableColumn id="10102" xr3:uid="{7DAEA7B8-88FF-481C-B520-EEA3B3C40166}" name="Colonne10094"/>
    <tableColumn id="10103" xr3:uid="{CB2F5A62-41C1-413A-8418-A96A9E452764}" name="Colonne10095"/>
    <tableColumn id="10104" xr3:uid="{546A2900-4C62-4C6B-B317-D047996A5308}" name="Colonne10096"/>
    <tableColumn id="10105" xr3:uid="{DD04FA82-5551-481E-9809-535C1E14CE9F}" name="Colonne10097"/>
    <tableColumn id="10106" xr3:uid="{BF423E89-3AE4-41AE-8F79-0CBE86DD7B78}" name="Colonne10098"/>
    <tableColumn id="10107" xr3:uid="{423C3910-BBD6-4BE5-9300-8B8976B90540}" name="Colonne10099"/>
    <tableColumn id="10108" xr3:uid="{4AE27901-194D-463B-80B8-342A1C286EDC}" name="Colonne10100"/>
    <tableColumn id="10109" xr3:uid="{4E6C6D3F-6036-45C1-8BD5-108AD1B9A42A}" name="Colonne10101"/>
    <tableColumn id="10110" xr3:uid="{724E1DA4-2DED-4248-99AE-5360AD21668C}" name="Colonne10102"/>
    <tableColumn id="10111" xr3:uid="{ADC348E7-298F-4AE6-B2F4-91935B706FAB}" name="Colonne10103"/>
    <tableColumn id="10112" xr3:uid="{EAC29639-C62E-4A5C-B8FC-16DBE886E9EE}" name="Colonne10104"/>
    <tableColumn id="10113" xr3:uid="{325F2243-3393-4A8E-99A4-AA7427277EC1}" name="Colonne10105"/>
    <tableColumn id="10114" xr3:uid="{45DD9B7E-F17D-49F2-A7F2-5D1D65990904}" name="Colonne10106"/>
    <tableColumn id="10115" xr3:uid="{0C2D2E3F-CDE6-41C4-8F9A-9B60CEDBE4F5}" name="Colonne10107"/>
    <tableColumn id="10116" xr3:uid="{780AF0ED-FD90-44D4-915D-BA75DC761606}" name="Colonne10108"/>
    <tableColumn id="10117" xr3:uid="{CB34D9E0-DC3E-4E57-9701-9CB53D5B3977}" name="Colonne10109"/>
    <tableColumn id="10118" xr3:uid="{A74850BC-F5CF-478D-8DB9-3B2EC903383C}" name="Colonne10110"/>
    <tableColumn id="10119" xr3:uid="{AD4CD2B8-B2B1-4A12-A061-4D9425B65BDD}" name="Colonne10111"/>
    <tableColumn id="10120" xr3:uid="{7798F4FD-06C5-4CA4-BD73-DA23AC2FEB74}" name="Colonne10112"/>
    <tableColumn id="10121" xr3:uid="{6B8B462F-CEB2-4737-B334-ED33CDAF5D92}" name="Colonne10113"/>
    <tableColumn id="10122" xr3:uid="{0CEC22F5-17A6-4F9C-949B-577F1751F13C}" name="Colonne10114"/>
    <tableColumn id="10123" xr3:uid="{85C22AC9-F109-4ED7-AB7B-603046486E0A}" name="Colonne10115"/>
    <tableColumn id="10124" xr3:uid="{9B33A9D7-6B6B-4578-8F61-37C7FBC8F471}" name="Colonne10116"/>
    <tableColumn id="10125" xr3:uid="{8B763C5E-44B8-489E-A9DF-251F767AE4FF}" name="Colonne10117"/>
    <tableColumn id="10126" xr3:uid="{E3AD2725-5E59-4B21-8D9F-4663973D3190}" name="Colonne10118"/>
    <tableColumn id="10127" xr3:uid="{492667FE-44E3-453E-B5BC-200C06CC9F1F}" name="Colonne10119"/>
    <tableColumn id="10128" xr3:uid="{180A6C41-B22A-401C-B72C-6B8ABB8CEA1C}" name="Colonne10120"/>
    <tableColumn id="10129" xr3:uid="{BA05C517-C8F4-48FF-AC89-2D6E685AC875}" name="Colonne10121"/>
    <tableColumn id="10130" xr3:uid="{A1FDC202-178E-44A3-B694-8F532A57E026}" name="Colonne10122"/>
    <tableColumn id="10131" xr3:uid="{132B98E2-5E51-47BD-9323-9FC4B684AD6A}" name="Colonne10123"/>
    <tableColumn id="10132" xr3:uid="{FFC391BD-18C8-4179-94FE-798A7E9A18BC}" name="Colonne10124"/>
    <tableColumn id="10133" xr3:uid="{7B61E730-B8B2-484B-9701-882EA6A25187}" name="Colonne10125"/>
    <tableColumn id="10134" xr3:uid="{9A2D4A64-C3D1-49BF-9396-5C10060E64D1}" name="Colonne10126"/>
    <tableColumn id="10135" xr3:uid="{A3127477-173B-462B-AD5C-A2A4AEEB11FC}" name="Colonne10127"/>
    <tableColumn id="10136" xr3:uid="{665A2657-C55D-4015-8751-EB662AEC5A0F}" name="Colonne10128"/>
    <tableColumn id="10137" xr3:uid="{A742FADF-A077-4355-99F8-A669AC6F7534}" name="Colonne10129"/>
    <tableColumn id="10138" xr3:uid="{F488795C-BA85-4176-B76A-E1912EE65FF0}" name="Colonne10130"/>
    <tableColumn id="10139" xr3:uid="{A3881634-3B8C-4BE3-B7C4-E3AE56B642D8}" name="Colonne10131"/>
    <tableColumn id="10140" xr3:uid="{79B64B8F-4A2C-459A-B192-69B3595461E1}" name="Colonne10132"/>
    <tableColumn id="10141" xr3:uid="{F22208FE-FFD9-407E-A410-867C683999E1}" name="Colonne10133"/>
    <tableColumn id="10142" xr3:uid="{0B090899-A48A-40A7-BD0C-4C7C026CF5C6}" name="Colonne10134"/>
    <tableColumn id="10143" xr3:uid="{0D4E6AEB-6795-4537-B0BC-DEDA02DCF72F}" name="Colonne10135"/>
    <tableColumn id="10144" xr3:uid="{172EF0CD-195E-4C35-B579-772EAD2BACF3}" name="Colonne10136"/>
    <tableColumn id="10145" xr3:uid="{EF91B9AB-0D1D-4836-90C6-5CEF7B4E22D5}" name="Colonne10137"/>
    <tableColumn id="10146" xr3:uid="{429FA0B4-A20C-492A-B2DD-1B41E541951C}" name="Colonne10138"/>
    <tableColumn id="10147" xr3:uid="{B0940BDC-EA3D-48DB-8630-5453D62662D1}" name="Colonne10139"/>
    <tableColumn id="10148" xr3:uid="{C256E01B-98A2-415E-9070-0B1F10BED1B4}" name="Colonne10140"/>
    <tableColumn id="10149" xr3:uid="{F34EBD39-C62A-4C16-BE76-B9990419E65D}" name="Colonne10141"/>
    <tableColumn id="10150" xr3:uid="{57901ADB-7994-4563-B2DA-16DB6C1D9623}" name="Colonne10142"/>
    <tableColumn id="10151" xr3:uid="{81F1DDB0-E97A-4CFE-98BF-D63D61A66A2B}" name="Colonne10143"/>
    <tableColumn id="10152" xr3:uid="{2C6B07D8-87DB-4F1B-A569-986569B589D1}" name="Colonne10144"/>
    <tableColumn id="10153" xr3:uid="{570DF1E3-A335-4F15-A6C3-9D7E55BD1FA2}" name="Colonne10145"/>
    <tableColumn id="10154" xr3:uid="{46FD0FBE-DD02-429D-89D9-A25735B93E9C}" name="Colonne10146"/>
    <tableColumn id="10155" xr3:uid="{BB84D831-DC54-4306-9FCC-E61DD1197653}" name="Colonne10147"/>
    <tableColumn id="10156" xr3:uid="{2C936451-F3C0-480E-A625-56745F744A16}" name="Colonne10148"/>
    <tableColumn id="10157" xr3:uid="{1420D18E-5A09-4FC6-B58C-DE833C2BD4B8}" name="Colonne10149"/>
    <tableColumn id="10158" xr3:uid="{F4955212-1856-4042-97C9-F787EE421907}" name="Colonne10150"/>
    <tableColumn id="10159" xr3:uid="{375597B2-4929-44C7-9AEC-A96EDF5DEC04}" name="Colonne10151"/>
    <tableColumn id="10160" xr3:uid="{74518EE0-5BBA-43B0-85AC-EC00FFA39FEC}" name="Colonne10152"/>
    <tableColumn id="10161" xr3:uid="{C705A377-7FE8-49CC-B6B8-B15BC4D6BD7C}" name="Colonne10153"/>
    <tableColumn id="10162" xr3:uid="{FADB418F-4B2F-4B8C-BE79-C533C4E50F3C}" name="Colonne10154"/>
    <tableColumn id="10163" xr3:uid="{D550916D-D10D-47F6-B7E0-66793141F450}" name="Colonne10155"/>
    <tableColumn id="10164" xr3:uid="{C35EB3EF-B7EF-4656-BEC5-23BAFBF35F8C}" name="Colonne10156"/>
    <tableColumn id="10165" xr3:uid="{181C9C7B-E1F3-46BE-9CE3-849DA9FD8DC6}" name="Colonne10157"/>
    <tableColumn id="10166" xr3:uid="{33F6B3CF-45C6-416F-A1A8-F684C1B4F2CA}" name="Colonne10158"/>
    <tableColumn id="10167" xr3:uid="{BFE04F32-3F8F-412A-BF90-B32567076B2F}" name="Colonne10159"/>
    <tableColumn id="10168" xr3:uid="{83311389-7585-429F-9E60-C2A148E2BC11}" name="Colonne10160"/>
    <tableColumn id="10169" xr3:uid="{DD3A5C4B-8DB0-45A6-AC07-0BF43245483D}" name="Colonne10161"/>
    <tableColumn id="10170" xr3:uid="{C1B11E68-F8E6-4C9C-8190-9AC1C7F59AB2}" name="Colonne10162"/>
    <tableColumn id="10171" xr3:uid="{EF0589F9-4982-4737-8E6E-6427CFCFD129}" name="Colonne10163"/>
    <tableColumn id="10172" xr3:uid="{24958D6A-A907-4BC6-947C-C8F3BEA2C52D}" name="Colonne10164"/>
    <tableColumn id="10173" xr3:uid="{8A745DA9-E87E-44FF-A042-9EA58EFBD450}" name="Colonne10165"/>
    <tableColumn id="10174" xr3:uid="{B2F83EE2-3A82-4A4A-9BE7-D4F348A7A49F}" name="Colonne10166"/>
    <tableColumn id="10175" xr3:uid="{7D942BD8-AA0B-4517-90AE-C5C11E36F687}" name="Colonne10167"/>
    <tableColumn id="10176" xr3:uid="{1E6D48E9-4F8C-4A78-9495-5FF0F50B9A77}" name="Colonne10168"/>
    <tableColumn id="10177" xr3:uid="{FF80D91E-B385-40EB-85D1-2A8941F4B14E}" name="Colonne10169"/>
    <tableColumn id="10178" xr3:uid="{91543194-F090-4C7B-B758-7D0539D907F9}" name="Colonne10170"/>
    <tableColumn id="10179" xr3:uid="{1CDB9F70-C64A-42B7-B053-D197D3F15828}" name="Colonne10171"/>
    <tableColumn id="10180" xr3:uid="{C8A6A6E0-3D78-4F6A-A7BB-6993690F3412}" name="Colonne10172"/>
    <tableColumn id="10181" xr3:uid="{5E6FDAE7-2D99-4424-86EA-AC9D6332FBA2}" name="Colonne10173"/>
    <tableColumn id="10182" xr3:uid="{0214F040-C363-420F-ADA0-D048546B7101}" name="Colonne10174"/>
    <tableColumn id="10183" xr3:uid="{A53C8224-555D-4AFF-B195-64667F1F6E65}" name="Colonne10175"/>
    <tableColumn id="10184" xr3:uid="{D06FA900-8397-403B-8A76-2F2AF5570BFF}" name="Colonne10176"/>
    <tableColumn id="10185" xr3:uid="{6B0583F8-CC4C-4DD6-BC47-97369A7E20B5}" name="Colonne10177"/>
    <tableColumn id="10186" xr3:uid="{CB1686EA-8016-49A3-8183-0DBE96DBD45C}" name="Colonne10178"/>
    <tableColumn id="10187" xr3:uid="{6F89AF00-77BE-46E7-B519-AD6A2621F60F}" name="Colonne10179"/>
    <tableColumn id="10188" xr3:uid="{E10B2790-0FD5-4926-A31F-D4D5BB4A5B66}" name="Colonne10180"/>
    <tableColumn id="10189" xr3:uid="{92D28899-1E42-4BBC-AD6A-C19FDE30DBDB}" name="Colonne10181"/>
    <tableColumn id="10190" xr3:uid="{DB59B0E4-E03E-4033-8A24-44AF09FA29B5}" name="Colonne10182"/>
    <tableColumn id="10191" xr3:uid="{B2D440E6-62BC-4415-AF04-69C36B645C1A}" name="Colonne10183"/>
    <tableColumn id="10192" xr3:uid="{3D7F7D77-A037-402E-A882-266D7EE9D059}" name="Colonne10184"/>
    <tableColumn id="10193" xr3:uid="{CC3EA5CA-6B51-431B-B1ED-DE44FE8DA698}" name="Colonne10185"/>
    <tableColumn id="10194" xr3:uid="{8E36122C-79BB-454B-AFED-88D4FA1A0B15}" name="Colonne10186"/>
    <tableColumn id="10195" xr3:uid="{F7D1F117-3FF7-422A-B20F-8EC09FCD883A}" name="Colonne10187"/>
    <tableColumn id="10196" xr3:uid="{83210EAA-7563-44F4-A4F9-452E8E8AFF3C}" name="Colonne10188"/>
    <tableColumn id="10197" xr3:uid="{02803452-084D-40E0-BC00-A5A1C38A54EB}" name="Colonne10189"/>
    <tableColumn id="10198" xr3:uid="{C907F342-61F1-4278-B999-CC456DE35373}" name="Colonne10190"/>
    <tableColumn id="10199" xr3:uid="{9939D1EC-4614-47F6-BB30-71269D4D6CA7}" name="Colonne10191"/>
    <tableColumn id="10200" xr3:uid="{25976810-DE05-4F84-AC43-A5CB4532B04D}" name="Colonne10192"/>
    <tableColumn id="10201" xr3:uid="{53C82757-F58B-4E55-8F58-FEDAEFBD01D7}" name="Colonne10193"/>
    <tableColumn id="10202" xr3:uid="{AFC142B1-20F0-4B3D-B702-06D6B4FC25D3}" name="Colonne10194"/>
    <tableColumn id="10203" xr3:uid="{6C1426B3-49C0-4A8C-B405-17016E52E23E}" name="Colonne10195"/>
    <tableColumn id="10204" xr3:uid="{BF229FF9-B2E2-445A-B7C7-A0502B49EE7F}" name="Colonne10196"/>
    <tableColumn id="10205" xr3:uid="{B9EA788D-E34B-427A-ABAE-039A22FB4B60}" name="Colonne10197"/>
    <tableColumn id="10206" xr3:uid="{0D7A0980-AA09-45E1-9E88-E46D1039ABC1}" name="Colonne10198"/>
    <tableColumn id="10207" xr3:uid="{44CD7053-F2B6-40D5-9FCE-FD4018BF6D37}" name="Colonne10199"/>
    <tableColumn id="10208" xr3:uid="{ADED9E78-F874-4709-B157-4B25830003F8}" name="Colonne10200"/>
    <tableColumn id="10209" xr3:uid="{2B474E76-1894-4C3C-B0BF-209100A65886}" name="Colonne10201"/>
    <tableColumn id="10210" xr3:uid="{BCD0986B-DC6B-48F0-81D2-9C0F4982F40E}" name="Colonne10202"/>
    <tableColumn id="10211" xr3:uid="{6D7021B4-C496-4B1C-8993-86F4329E5A33}" name="Colonne10203"/>
    <tableColumn id="10212" xr3:uid="{6824EB44-D68D-4FC0-B396-9458DD4BA334}" name="Colonne10204"/>
    <tableColumn id="10213" xr3:uid="{D7342C05-3E1F-4372-8022-3CDF5D55682E}" name="Colonne10205"/>
    <tableColumn id="10214" xr3:uid="{F77C14E8-1BA6-42DD-BD9B-CBD69D1670B9}" name="Colonne10206"/>
    <tableColumn id="10215" xr3:uid="{57A16BFB-D5B2-41AB-BD8B-331E160CFC53}" name="Colonne10207"/>
    <tableColumn id="10216" xr3:uid="{0A2E0527-B6B2-4615-8618-EFBC4BDE122C}" name="Colonne10208"/>
    <tableColumn id="10217" xr3:uid="{65D72E25-ADDD-45F0-B65A-B69DDDF49876}" name="Colonne10209"/>
    <tableColumn id="10218" xr3:uid="{81BF6AF5-ED53-470D-BFAA-2765E81649B4}" name="Colonne10210"/>
    <tableColumn id="10219" xr3:uid="{B98C8D9B-242C-4743-AC40-4AC29BC3C8B4}" name="Colonne10211"/>
    <tableColumn id="10220" xr3:uid="{5699C8D2-8374-462D-938A-244A384C7DC0}" name="Colonne10212"/>
    <tableColumn id="10221" xr3:uid="{DB04421A-BD5A-4B9D-AC07-4ED1BA91A513}" name="Colonne10213"/>
    <tableColumn id="10222" xr3:uid="{E4027F7E-E27B-4833-ACFB-B74FB5ACBCDE}" name="Colonne10214"/>
    <tableColumn id="10223" xr3:uid="{E3A5F7E5-59CA-4356-BADD-E9267B54BB70}" name="Colonne10215"/>
    <tableColumn id="10224" xr3:uid="{D8BFB343-8604-4514-84CD-625D49EA3D32}" name="Colonne10216"/>
    <tableColumn id="10225" xr3:uid="{44B709C8-BAD7-4479-8537-05FB9C422C22}" name="Colonne10217"/>
    <tableColumn id="10226" xr3:uid="{17174DC7-A80E-413E-84E8-51CF83BAF089}" name="Colonne10218"/>
    <tableColumn id="10227" xr3:uid="{EE663C19-018D-4F6A-A3DD-9F324ABF76A1}" name="Colonne10219"/>
    <tableColumn id="10228" xr3:uid="{FC272E51-7922-4435-AA06-37998C14EEEA}" name="Colonne10220"/>
    <tableColumn id="10229" xr3:uid="{31321252-44BF-411C-8EDA-0FCE72C92FCD}" name="Colonne10221"/>
    <tableColumn id="10230" xr3:uid="{999BBE56-9854-46B5-9D26-602204815E90}" name="Colonne10222"/>
    <tableColumn id="10231" xr3:uid="{F0D551FF-BBDB-4BC9-9A5B-FBE54366701F}" name="Colonne10223"/>
    <tableColumn id="10232" xr3:uid="{D7E85B0E-7E35-4F6E-8391-106BAB5B6553}" name="Colonne10224"/>
    <tableColumn id="10233" xr3:uid="{090810DB-48D9-477B-B4B3-96BFC9600E59}" name="Colonne10225"/>
    <tableColumn id="10234" xr3:uid="{4856ECEB-1952-4ACC-8ED0-8544FED08109}" name="Colonne10226"/>
    <tableColumn id="10235" xr3:uid="{0D13166B-49F0-45BD-ACB4-0C8E5DCC6CD8}" name="Colonne10227"/>
    <tableColumn id="10236" xr3:uid="{28731C8A-448A-41B0-9C55-E2ADBFF27B5B}" name="Colonne10228"/>
    <tableColumn id="10237" xr3:uid="{CF983821-C638-415A-982F-6C4164678C6A}" name="Colonne10229"/>
    <tableColumn id="10238" xr3:uid="{83D00CEC-A80D-41CA-8C36-414DC18511E9}" name="Colonne10230"/>
    <tableColumn id="10239" xr3:uid="{6DADCFBC-8D2C-4A26-B9A0-C60AC62B8CC9}" name="Colonne10231"/>
    <tableColumn id="10240" xr3:uid="{A3DFD21C-5391-4FE5-B426-771353E0B77D}" name="Colonne10232"/>
    <tableColumn id="10241" xr3:uid="{7699DDB5-24F3-4423-B06A-C06FBE390803}" name="Colonne10233"/>
    <tableColumn id="10242" xr3:uid="{60660547-B249-4DBC-B917-399CE4E88F72}" name="Colonne10234"/>
    <tableColumn id="10243" xr3:uid="{E97C2CBA-B8A5-4154-A01B-5AE3484C9317}" name="Colonne10235"/>
    <tableColumn id="10244" xr3:uid="{4F1394EC-F22B-44C8-B319-2B644928D095}" name="Colonne10236"/>
    <tableColumn id="10245" xr3:uid="{4FB896C1-F1C8-4628-BB10-B77727FA2F6A}" name="Colonne10237"/>
    <tableColumn id="10246" xr3:uid="{B6B14066-458F-4342-987B-92E5EE2BD706}" name="Colonne10238"/>
    <tableColumn id="10247" xr3:uid="{7AB631F1-F360-426A-AFE5-B6EAED1FD524}" name="Colonne10239"/>
    <tableColumn id="10248" xr3:uid="{95CB4221-3DAE-4E4B-980A-03F56A01F2B9}" name="Colonne10240"/>
    <tableColumn id="10249" xr3:uid="{41CD50D8-EF74-4C11-916B-692C8ED77693}" name="Colonne10241"/>
    <tableColumn id="10250" xr3:uid="{4DF59048-9953-4786-AE71-BBCE1B477B27}" name="Colonne10242"/>
    <tableColumn id="10251" xr3:uid="{34D7A921-A3CC-4848-9E09-B2D0E5A7EC17}" name="Colonne10243"/>
    <tableColumn id="10252" xr3:uid="{B41AF64E-A6FE-45B7-BB76-8AA056C897C7}" name="Colonne10244"/>
    <tableColumn id="10253" xr3:uid="{62FB6E72-F94D-4045-9598-FB8056782CF4}" name="Colonne10245"/>
    <tableColumn id="10254" xr3:uid="{445EB458-FA2B-42C4-A566-13A676780417}" name="Colonne10246"/>
    <tableColumn id="10255" xr3:uid="{A73E0DAB-6603-4354-9563-3D3928230CA9}" name="Colonne10247"/>
    <tableColumn id="10256" xr3:uid="{CDC4D4C1-7A04-46F3-B2E6-AEB0FBE3C3FB}" name="Colonne10248"/>
    <tableColumn id="10257" xr3:uid="{DC6B87EB-A4E4-4185-B8A1-8E158EEDC6C3}" name="Colonne10249"/>
    <tableColumn id="10258" xr3:uid="{CEF14D9D-E758-496A-B822-9DAAF884406E}" name="Colonne10250"/>
    <tableColumn id="10259" xr3:uid="{60F6796D-3071-4222-9BA4-5F5674A1D050}" name="Colonne10251"/>
    <tableColumn id="10260" xr3:uid="{ED8EA53D-ECD9-4961-BBDF-ECBB47B1197F}" name="Colonne10252"/>
    <tableColumn id="10261" xr3:uid="{2BB29A84-0929-430F-903B-29DA92B2E907}" name="Colonne10253"/>
    <tableColumn id="10262" xr3:uid="{C3F6AEDD-0896-4024-8CAD-FE71E85D04A9}" name="Colonne10254"/>
    <tableColumn id="10263" xr3:uid="{26AC17EF-2A60-47C7-B24C-BDC55396CDE8}" name="Colonne10255"/>
    <tableColumn id="10264" xr3:uid="{F5ABA3AA-CC11-4A1A-8C8A-93CE52A873FE}" name="Colonne10256"/>
    <tableColumn id="10265" xr3:uid="{025B42E7-B85C-4752-A069-42F9EC588126}" name="Colonne10257"/>
    <tableColumn id="10266" xr3:uid="{84F54E20-4734-46C9-B273-FD5008D5AC77}" name="Colonne10258"/>
    <tableColumn id="10267" xr3:uid="{62179EE8-4AC9-42CB-B747-01EF05CFEFC2}" name="Colonne10259"/>
    <tableColumn id="10268" xr3:uid="{2074EBD2-55B8-47E0-825E-8987A8E3B837}" name="Colonne10260"/>
    <tableColumn id="10269" xr3:uid="{7B20738E-BDBD-4DD6-AE06-1CC9CB0F1357}" name="Colonne10261"/>
    <tableColumn id="10270" xr3:uid="{D35C3FC6-7B72-425D-86D2-E80FDA24EE8E}" name="Colonne10262"/>
    <tableColumn id="10271" xr3:uid="{4F4919C5-E2E9-4F16-8E70-2D83AE0648A3}" name="Colonne10263"/>
    <tableColumn id="10272" xr3:uid="{A7818D73-D415-4B00-A157-828A67AEB63F}" name="Colonne10264"/>
    <tableColumn id="10273" xr3:uid="{05A532FD-BDD1-4501-90EC-61B0379CE3DC}" name="Colonne10265"/>
    <tableColumn id="10274" xr3:uid="{47AA17FF-B188-44D9-9D2E-9859073F64BB}" name="Colonne10266"/>
    <tableColumn id="10275" xr3:uid="{FADFFF59-C84E-4A8B-857A-F95142D552C1}" name="Colonne10267"/>
    <tableColumn id="10276" xr3:uid="{9B8226A7-E4A5-41BF-8816-047F0ED9E8E0}" name="Colonne10268"/>
    <tableColumn id="10277" xr3:uid="{B68C5E61-9581-4B89-9CD0-3364E4CA1286}" name="Colonne10269"/>
    <tableColumn id="10278" xr3:uid="{210F18F3-F561-41BB-ADFD-E4F89FA9C903}" name="Colonne10270"/>
    <tableColumn id="10279" xr3:uid="{30C709A2-FE41-4366-82DE-F4DFAA2D2D99}" name="Colonne10271"/>
    <tableColumn id="10280" xr3:uid="{58499DD0-4384-4C2B-8566-A6FEAA972952}" name="Colonne10272"/>
    <tableColumn id="10281" xr3:uid="{4F8AC571-33FC-497C-ACFD-D38A3D80A110}" name="Colonne10273"/>
    <tableColumn id="10282" xr3:uid="{DAFDAB2A-40B6-4004-871D-488BCBA9F89D}" name="Colonne10274"/>
    <tableColumn id="10283" xr3:uid="{1CE1A501-9E9D-4D8D-93CA-5AC31CCC2882}" name="Colonne10275"/>
    <tableColumn id="10284" xr3:uid="{A1FBD138-4ACC-4950-889F-1DAF2D1F9EDB}" name="Colonne10276"/>
    <tableColumn id="10285" xr3:uid="{3F81ABA7-ABF6-4D9B-AA84-8D08A17ACC48}" name="Colonne10277"/>
    <tableColumn id="10286" xr3:uid="{5679C97E-793B-470B-887E-5C18279BA3D7}" name="Colonne10278"/>
    <tableColumn id="10287" xr3:uid="{824493E4-5979-45AB-93AA-3C2E6216AEBE}" name="Colonne10279"/>
    <tableColumn id="10288" xr3:uid="{CDA991F6-3F4F-484F-8162-95E3DB1DD7A7}" name="Colonne10280"/>
    <tableColumn id="10289" xr3:uid="{A94A9A75-BE0E-4135-8CB4-261BD5D603CA}" name="Colonne10281"/>
    <tableColumn id="10290" xr3:uid="{70387047-8857-4ED5-9799-DF0A13409E09}" name="Colonne10282"/>
    <tableColumn id="10291" xr3:uid="{1888F6DF-F748-4F9C-9973-A49315002FD5}" name="Colonne10283"/>
    <tableColumn id="10292" xr3:uid="{891E68BF-5AAD-4110-AAA9-5C0814C9245E}" name="Colonne10284"/>
    <tableColumn id="10293" xr3:uid="{C3478CC7-5EE7-4412-9A02-38AF6540297C}" name="Colonne10285"/>
    <tableColumn id="10294" xr3:uid="{D2D30E54-8493-4BBE-8353-072182B77B1D}" name="Colonne10286"/>
    <tableColumn id="10295" xr3:uid="{9D3405A4-405C-4E2A-B0CF-C164A971E3E1}" name="Colonne10287"/>
    <tableColumn id="10296" xr3:uid="{50DC13C0-B1CE-4FDB-B553-CAEB68C92828}" name="Colonne10288"/>
    <tableColumn id="10297" xr3:uid="{01B1E050-E33C-4F6C-9ED0-E4C241A1333D}" name="Colonne10289"/>
    <tableColumn id="10298" xr3:uid="{A89A7C7A-BF4A-49E6-AD82-BB26569C000E}" name="Colonne10290"/>
    <tableColumn id="10299" xr3:uid="{4D1AA230-5887-496C-AB98-0D319B5E2F80}" name="Colonne10291"/>
    <tableColumn id="10300" xr3:uid="{A955A833-1A93-4CB5-AF4E-72AD42F8B089}" name="Colonne10292"/>
    <tableColumn id="10301" xr3:uid="{DC00F391-1098-462A-A5BF-BFA0BB52E67D}" name="Colonne10293"/>
    <tableColumn id="10302" xr3:uid="{5858B029-620B-42BD-8494-4BDB940D4E8D}" name="Colonne10294"/>
    <tableColumn id="10303" xr3:uid="{3DCCD3D0-0140-422A-A3FE-2596DBFA2803}" name="Colonne10295"/>
    <tableColumn id="10304" xr3:uid="{84BA4699-D3A5-441B-AC91-71D2F333E6B9}" name="Colonne10296"/>
    <tableColumn id="10305" xr3:uid="{58C34855-869F-4DA5-A642-B28A4AFF06CB}" name="Colonne10297"/>
    <tableColumn id="10306" xr3:uid="{9811CDFA-81FE-4CA6-A97D-0BFC8AB1A9CE}" name="Colonne10298"/>
    <tableColumn id="10307" xr3:uid="{588F78BA-A5BD-4D4B-88F9-A497DB0F9F2A}" name="Colonne10299"/>
    <tableColumn id="10308" xr3:uid="{8617A9E6-41B7-449C-B3EA-2346A9DEB822}" name="Colonne10300"/>
    <tableColumn id="10309" xr3:uid="{CF9190FA-30FF-45EB-AED8-D782852F0972}" name="Colonne10301"/>
    <tableColumn id="10310" xr3:uid="{00E33598-785F-4D45-BAD0-0C16D3557335}" name="Colonne10302"/>
    <tableColumn id="10311" xr3:uid="{028558BC-2BA0-4442-9E17-1A7772A3C30D}" name="Colonne10303"/>
    <tableColumn id="10312" xr3:uid="{D8F6D065-72B8-41D2-8995-0BBCA55AC9DC}" name="Colonne10304"/>
    <tableColumn id="10313" xr3:uid="{2353C148-E79B-4B64-8FDE-BC3400B8264F}" name="Colonne10305"/>
    <tableColumn id="10314" xr3:uid="{1159A1FB-D146-47BE-9E8A-023F860FD862}" name="Colonne10306"/>
    <tableColumn id="10315" xr3:uid="{42C97164-5CBB-4741-8DEF-683C3BF29E5D}" name="Colonne10307"/>
    <tableColumn id="10316" xr3:uid="{F07B5D4C-3661-4475-BFD0-03C950EDCFA2}" name="Colonne10308"/>
    <tableColumn id="10317" xr3:uid="{AA2B6614-C7B0-4C22-B1AE-2159939795C0}" name="Colonne10309"/>
    <tableColumn id="10318" xr3:uid="{E3EE43AC-FB90-4044-B128-FE7CC6DF2A1A}" name="Colonne10310"/>
    <tableColumn id="10319" xr3:uid="{34E7DD74-3660-46BF-816F-0AA69F4D0FDF}" name="Colonne10311"/>
    <tableColumn id="10320" xr3:uid="{95F7A219-1FE1-479F-9A52-29A04FA5A295}" name="Colonne10312"/>
    <tableColumn id="10321" xr3:uid="{086A911F-A428-4002-A13A-8F815E737256}" name="Colonne10313"/>
    <tableColumn id="10322" xr3:uid="{95E8DEC6-4F66-40D9-8711-A3D8F9265004}" name="Colonne10314"/>
    <tableColumn id="10323" xr3:uid="{AD83DD37-7005-43AC-B57D-6CBBD5FDFC1B}" name="Colonne10315"/>
    <tableColumn id="10324" xr3:uid="{F0E6E190-FABF-4D68-B58C-515BF02550F7}" name="Colonne10316"/>
    <tableColumn id="10325" xr3:uid="{EF9C2B89-C08D-4AE8-9CA8-5B81FD2D33AA}" name="Colonne10317"/>
    <tableColumn id="10326" xr3:uid="{C15DEE13-543E-4FEC-8540-CF2FADDF3075}" name="Colonne10318"/>
    <tableColumn id="10327" xr3:uid="{B2895AFF-F84D-47DB-A186-03FDA2655423}" name="Colonne10319"/>
    <tableColumn id="10328" xr3:uid="{8428A5DA-37EE-49C5-848D-1190879120A9}" name="Colonne10320"/>
    <tableColumn id="10329" xr3:uid="{FD5FEE23-4C52-4EDA-9F20-7CCDEACB37E0}" name="Colonne10321"/>
    <tableColumn id="10330" xr3:uid="{05CA7969-2066-418F-9B53-52AC6EEA9F07}" name="Colonne10322"/>
    <tableColumn id="10331" xr3:uid="{E027F14C-5ECE-4F46-87D2-DD8D231F540B}" name="Colonne10323"/>
    <tableColumn id="10332" xr3:uid="{A863BB32-D3B2-412D-B576-53FCB291E27E}" name="Colonne10324"/>
    <tableColumn id="10333" xr3:uid="{0671D82A-5307-462A-BE7A-CF2AA022FAA3}" name="Colonne10325"/>
    <tableColumn id="10334" xr3:uid="{A330BE42-50E8-4016-92D6-B92709A56892}" name="Colonne10326"/>
    <tableColumn id="10335" xr3:uid="{C17FA811-B0C9-4101-BD08-FA72342BC99E}" name="Colonne10327"/>
    <tableColumn id="10336" xr3:uid="{357EC8A2-6302-4895-8A05-6158FACD427C}" name="Colonne10328"/>
    <tableColumn id="10337" xr3:uid="{505604B7-82E5-46D1-9E4D-2DB7C1E3B724}" name="Colonne10329"/>
    <tableColumn id="10338" xr3:uid="{B21286AA-45DB-450E-A315-2585C2AC5188}" name="Colonne10330"/>
    <tableColumn id="10339" xr3:uid="{22BDFA22-8CE4-4E8F-9E46-156503A20EB5}" name="Colonne10331"/>
    <tableColumn id="10340" xr3:uid="{3E82A7DE-540A-41AA-AF46-AD1D64C1E95E}" name="Colonne10332"/>
    <tableColumn id="10341" xr3:uid="{66F92068-7744-45DD-B14B-F9FDC3C12C0F}" name="Colonne10333"/>
    <tableColumn id="10342" xr3:uid="{310F27C5-6821-456D-B163-E653AC29D573}" name="Colonne10334"/>
    <tableColumn id="10343" xr3:uid="{EEAE64BD-F821-4CD6-87BB-81165DB935E3}" name="Colonne10335"/>
    <tableColumn id="10344" xr3:uid="{896BB2B6-8CD3-4AD2-882E-EBE86CF9EBEB}" name="Colonne10336"/>
    <tableColumn id="10345" xr3:uid="{D51246DA-C204-4673-80D1-B1BCE3F88584}" name="Colonne10337"/>
    <tableColumn id="10346" xr3:uid="{EDDDAB4C-6A38-45D8-8090-1C01231D2E22}" name="Colonne10338"/>
    <tableColumn id="10347" xr3:uid="{C5442000-7CB4-4FB1-941C-CBFB54B7E498}" name="Colonne10339"/>
    <tableColumn id="10348" xr3:uid="{8F15FAA9-F2CA-48CE-B42E-036CD8026839}" name="Colonne10340"/>
    <tableColumn id="10349" xr3:uid="{72858D45-AA82-445E-8408-FB4E07FB1E3A}" name="Colonne10341"/>
    <tableColumn id="10350" xr3:uid="{B3A487C9-6309-408D-B9F1-1B2E5987E6E6}" name="Colonne10342"/>
    <tableColumn id="10351" xr3:uid="{5F939AD8-8FCE-440E-AA11-8626D2EA34A9}" name="Colonne10343"/>
    <tableColumn id="10352" xr3:uid="{23C1A8F1-1A15-489B-8032-1BD7A79FA667}" name="Colonne10344"/>
    <tableColumn id="10353" xr3:uid="{C64273F9-1617-411E-8800-EBEA7BBC9790}" name="Colonne10345"/>
    <tableColumn id="10354" xr3:uid="{84D72F82-F439-47F3-A8DE-318F5725A573}" name="Colonne10346"/>
    <tableColumn id="10355" xr3:uid="{D3D869C0-E6A4-42C5-9FD0-45183F46014F}" name="Colonne10347"/>
    <tableColumn id="10356" xr3:uid="{EE9E5625-4362-488F-93AA-803CB6708DB0}" name="Colonne10348"/>
    <tableColumn id="10357" xr3:uid="{EB308B60-343D-4641-9BF4-1C41FD05DBD3}" name="Colonne10349"/>
    <tableColumn id="10358" xr3:uid="{E2B3F7A6-D2F2-497A-97F2-D10C9898A92C}" name="Colonne10350"/>
    <tableColumn id="10359" xr3:uid="{8C6B4025-B535-497B-8D5C-939D682630CE}" name="Colonne10351"/>
    <tableColumn id="10360" xr3:uid="{D3330FD2-9D93-4DA9-BEA5-4F88B6420FD2}" name="Colonne10352"/>
    <tableColumn id="10361" xr3:uid="{61023E78-9470-4922-A7CF-E2E13493370C}" name="Colonne10353"/>
    <tableColumn id="10362" xr3:uid="{6B296F32-1A0B-49B3-A202-DE3908F9B8AD}" name="Colonne10354"/>
    <tableColumn id="10363" xr3:uid="{21DA1018-FEA3-45F9-B0B3-ABEB48B29E20}" name="Colonne10355"/>
    <tableColumn id="10364" xr3:uid="{61E34498-050C-46C5-8E09-3BB87AF7E8B3}" name="Colonne10356"/>
    <tableColumn id="10365" xr3:uid="{089B5ECA-BFE4-4AE7-A992-F79BF532B68E}" name="Colonne10357"/>
    <tableColumn id="10366" xr3:uid="{D81DA560-0C01-45AC-8F89-F5CA93BC126F}" name="Colonne10358"/>
    <tableColumn id="10367" xr3:uid="{45ECA589-9EAD-449A-B650-43B2C4767BC6}" name="Colonne10359"/>
    <tableColumn id="10368" xr3:uid="{F5DD2821-1494-4E0A-8D82-9FB89938FC06}" name="Colonne10360"/>
    <tableColumn id="10369" xr3:uid="{5882BDE0-AFBC-4490-B2AA-B5315D433708}" name="Colonne10361"/>
    <tableColumn id="10370" xr3:uid="{1432871E-A4C8-431E-9483-A3C502243D8F}" name="Colonne10362"/>
    <tableColumn id="10371" xr3:uid="{9A8B89EE-D8DC-4C15-AC56-FF416102C184}" name="Colonne10363"/>
    <tableColumn id="10372" xr3:uid="{CCE85C93-1452-4CFE-B9C8-EAD8D94CC94A}" name="Colonne10364"/>
    <tableColumn id="10373" xr3:uid="{A823F90E-81F0-496A-8BE2-7DE88B7C3A88}" name="Colonne10365"/>
    <tableColumn id="10374" xr3:uid="{99839D90-BF1F-4692-98AD-A7EF3789A1AD}" name="Colonne10366"/>
    <tableColumn id="10375" xr3:uid="{DD39C4C3-72A4-4225-A493-DFCECA99F910}" name="Colonne10367"/>
    <tableColumn id="10376" xr3:uid="{35232255-4368-4B64-8E66-21096D6D04F7}" name="Colonne10368"/>
    <tableColumn id="10377" xr3:uid="{E600426A-06DA-4896-80AD-76B3BAE430E0}" name="Colonne10369"/>
    <tableColumn id="10378" xr3:uid="{022D7429-05C0-4ABB-B0B5-A14800F53155}" name="Colonne10370"/>
    <tableColumn id="10379" xr3:uid="{E6F7760C-278F-4AAF-BE04-3664B2B8A870}" name="Colonne10371"/>
    <tableColumn id="10380" xr3:uid="{2B406543-102C-4A1D-8026-184CBD2842CF}" name="Colonne10372"/>
    <tableColumn id="10381" xr3:uid="{8D0843BE-C207-4892-AE90-2BF881EAFBC3}" name="Colonne10373"/>
    <tableColumn id="10382" xr3:uid="{30502AEE-F627-491F-8F21-6389AEAA1878}" name="Colonne10374"/>
    <tableColumn id="10383" xr3:uid="{F13C47A1-8F4D-4F35-817C-DB67233A9EA6}" name="Colonne10375"/>
    <tableColumn id="10384" xr3:uid="{2619DA65-0D38-4EE1-A1D7-553090C7A76C}" name="Colonne10376"/>
    <tableColumn id="10385" xr3:uid="{475C85E8-C509-414A-AB5E-91B4A3A20C89}" name="Colonne10377"/>
    <tableColumn id="10386" xr3:uid="{ACAF9C1E-9601-4928-90A7-2C57D5AFD2F9}" name="Colonne10378"/>
    <tableColumn id="10387" xr3:uid="{E517C158-CB24-45D1-80BB-955C5B959FE7}" name="Colonne10379"/>
    <tableColumn id="10388" xr3:uid="{45DF295D-CD12-4AF0-A0C7-6A5B6F8C05D2}" name="Colonne10380"/>
    <tableColumn id="10389" xr3:uid="{EDE27E1D-1E4A-4EB8-89DB-0E48B24CA861}" name="Colonne10381"/>
    <tableColumn id="10390" xr3:uid="{671865AA-CF69-421B-B8C5-EA27940EB9F3}" name="Colonne10382"/>
    <tableColumn id="10391" xr3:uid="{045CCD48-F71B-4ABD-A887-6C1D9DB8FAA6}" name="Colonne10383"/>
    <tableColumn id="10392" xr3:uid="{D8D0C837-798B-4424-8A3E-3E7FC4EA09F6}" name="Colonne10384"/>
    <tableColumn id="10393" xr3:uid="{0685BEBA-4532-4BA7-A197-ACBFFEB4F2AB}" name="Colonne10385"/>
    <tableColumn id="10394" xr3:uid="{1EBC783D-7705-4030-925F-166E9532D3C5}" name="Colonne10386"/>
    <tableColumn id="10395" xr3:uid="{12894C38-1084-4844-BEB3-037E08EBE867}" name="Colonne10387"/>
    <tableColumn id="10396" xr3:uid="{D2ACDAF6-9876-4FB7-B135-FB871B291F37}" name="Colonne10388"/>
    <tableColumn id="10397" xr3:uid="{12A2DFB2-7093-45E5-B0A1-6E47B0163AE4}" name="Colonne10389"/>
    <tableColumn id="10398" xr3:uid="{F42F07B4-7811-471B-856C-7236C1509A47}" name="Colonne10390"/>
    <tableColumn id="10399" xr3:uid="{515CE677-97BE-4E0D-BC8F-1C3BDF330305}" name="Colonne10391"/>
    <tableColumn id="10400" xr3:uid="{F4A89D7E-95F2-4F84-94DD-8AA790A6F3D7}" name="Colonne10392"/>
    <tableColumn id="10401" xr3:uid="{31B5D5DD-F2E7-42C9-8534-9730CB975069}" name="Colonne10393"/>
    <tableColumn id="10402" xr3:uid="{F8A3EAEF-B751-43EE-B83E-841258D8C4E9}" name="Colonne10394"/>
    <tableColumn id="10403" xr3:uid="{EB427145-8EA3-4F87-AA46-D6EA4390AFAA}" name="Colonne10395"/>
    <tableColumn id="10404" xr3:uid="{8314EEEC-3C47-4B7A-8733-B0AEBE148418}" name="Colonne10396"/>
    <tableColumn id="10405" xr3:uid="{DFA6D61A-98D0-47B6-9B64-6F9EF071A279}" name="Colonne10397"/>
    <tableColumn id="10406" xr3:uid="{28A0377D-33F9-4953-B579-82CB22606556}" name="Colonne10398"/>
    <tableColumn id="10407" xr3:uid="{EB898804-83F3-417A-83C2-6DF2D27667BC}" name="Colonne10399"/>
    <tableColumn id="10408" xr3:uid="{C1E27268-23E5-4821-BD84-349CF97B9E0F}" name="Colonne10400"/>
    <tableColumn id="10409" xr3:uid="{2B536AA5-DFBE-4C10-858A-08C1F48288F9}" name="Colonne10401"/>
    <tableColumn id="10410" xr3:uid="{7369FC62-48E1-4EC2-B2E1-6B37B2C22A5F}" name="Colonne10402"/>
    <tableColumn id="10411" xr3:uid="{6F50DB28-503C-4D6F-BA59-1C411D1A319D}" name="Colonne10403"/>
    <tableColumn id="10412" xr3:uid="{910A22DE-5AD7-400C-80BB-D26790E2DA07}" name="Colonne10404"/>
    <tableColumn id="10413" xr3:uid="{F24298FC-6AE9-48D6-A28A-C1C8007C5BB8}" name="Colonne10405"/>
    <tableColumn id="10414" xr3:uid="{7BFCA096-03C8-4228-8DA3-7D0C22601C58}" name="Colonne10406"/>
    <tableColumn id="10415" xr3:uid="{93251FEE-5286-4740-B1FA-8E0ED7C2A4B0}" name="Colonne10407"/>
    <tableColumn id="10416" xr3:uid="{48800499-6D34-4316-A225-D1935FDEBF29}" name="Colonne10408"/>
    <tableColumn id="10417" xr3:uid="{C3E64ECD-2AF6-4040-9650-87A73CEEE2CA}" name="Colonne10409"/>
    <tableColumn id="10418" xr3:uid="{8A315412-16D0-42D0-86DD-873C3B50AC31}" name="Colonne10410"/>
    <tableColumn id="10419" xr3:uid="{282C8352-E898-4AD9-9AA3-74F2D049C26C}" name="Colonne10411"/>
    <tableColumn id="10420" xr3:uid="{E5A43D85-A1AB-4067-BFE3-5F103BF31A93}" name="Colonne10412"/>
    <tableColumn id="10421" xr3:uid="{FC54AA37-397F-437B-8D01-5F6508714DF1}" name="Colonne10413"/>
    <tableColumn id="10422" xr3:uid="{D2585B7A-A3EC-4F68-BC06-BBC7B86D5D2A}" name="Colonne10414"/>
    <tableColumn id="10423" xr3:uid="{4260E95C-972C-461E-AA95-FCCBD2B22692}" name="Colonne10415"/>
    <tableColumn id="10424" xr3:uid="{7AD9A649-DC26-4E23-9911-03560F5D9B23}" name="Colonne10416"/>
    <tableColumn id="10425" xr3:uid="{A822DB6D-CE16-4312-99B8-E1B7FC12328C}" name="Colonne10417"/>
    <tableColumn id="10426" xr3:uid="{61DA00A3-48B9-4042-BE66-D883283483AC}" name="Colonne10418"/>
    <tableColumn id="10427" xr3:uid="{F1EF45D8-FC5A-4001-9780-51884A86F80F}" name="Colonne10419"/>
    <tableColumn id="10428" xr3:uid="{C58B61DC-AC6D-44CD-8B1F-9EE342495F38}" name="Colonne10420"/>
    <tableColumn id="10429" xr3:uid="{BC663342-B5C3-4616-B46C-DD3E76A31821}" name="Colonne10421"/>
    <tableColumn id="10430" xr3:uid="{DCEF00F3-FC4A-4CA6-A799-A9F4AD946693}" name="Colonne10422"/>
    <tableColumn id="10431" xr3:uid="{872B153B-D10C-4765-B3FC-5EE20B0634D1}" name="Colonne10423"/>
    <tableColumn id="10432" xr3:uid="{B4482F86-AB81-4B03-912A-1C78F6127140}" name="Colonne10424"/>
    <tableColumn id="10433" xr3:uid="{C7F73948-48CE-4AF5-8ADC-0575EDED3A12}" name="Colonne10425"/>
    <tableColumn id="10434" xr3:uid="{09CAB0CB-963A-444D-A48F-38B7454FA7CA}" name="Colonne10426"/>
    <tableColumn id="10435" xr3:uid="{1C1B21EF-B729-4786-A8E8-41BE3B5A6553}" name="Colonne10427"/>
    <tableColumn id="10436" xr3:uid="{824AA82D-B4C9-4129-A344-8A8E8FAD9E7B}" name="Colonne10428"/>
    <tableColumn id="10437" xr3:uid="{19BF36F8-DF36-4EB0-9B52-23F13680FE48}" name="Colonne10429"/>
    <tableColumn id="10438" xr3:uid="{2CF74A65-F3DF-45A3-980B-810E17705332}" name="Colonne10430"/>
    <tableColumn id="10439" xr3:uid="{6CEBFE67-7A8E-4160-B309-D6EDE66BA715}" name="Colonne10431"/>
    <tableColumn id="10440" xr3:uid="{EEEA1D84-68C1-4952-A2D4-D2139ABBC113}" name="Colonne10432"/>
    <tableColumn id="10441" xr3:uid="{422D750A-4B84-42DF-8515-ADCE5A875EA9}" name="Colonne10433"/>
    <tableColumn id="10442" xr3:uid="{2048103A-8CFC-4449-AFB9-0292546C4084}" name="Colonne10434"/>
    <tableColumn id="10443" xr3:uid="{66627647-5B54-4962-B485-5F47493E3A86}" name="Colonne10435"/>
    <tableColumn id="10444" xr3:uid="{C110DBAF-149D-421C-971A-FFB7CB7AE355}" name="Colonne10436"/>
    <tableColumn id="10445" xr3:uid="{2EF3515B-ABE8-41AE-B0DD-69F6D858C4BC}" name="Colonne10437"/>
    <tableColumn id="10446" xr3:uid="{B455F7CB-DE1B-4A4D-9E20-E8BC207C8F29}" name="Colonne10438"/>
    <tableColumn id="10447" xr3:uid="{562AC1A1-58D0-4B73-863F-025D0B595D96}" name="Colonne10439"/>
    <tableColumn id="10448" xr3:uid="{FC098A12-A375-4E75-945F-9F7E45DAEB14}" name="Colonne10440"/>
    <tableColumn id="10449" xr3:uid="{91897AE8-F23A-4F9B-94D9-0E65D7097136}" name="Colonne10441"/>
    <tableColumn id="10450" xr3:uid="{7A87FE2D-FE3B-4513-B8C0-B5388EDC4A2E}" name="Colonne10442"/>
    <tableColumn id="10451" xr3:uid="{446B2C92-3A07-4931-A72B-DF3B574B449E}" name="Colonne10443"/>
    <tableColumn id="10452" xr3:uid="{77458253-E89D-47DC-8DFA-0573768E1386}" name="Colonne10444"/>
    <tableColumn id="10453" xr3:uid="{4A167EF2-D3FE-428E-B7C2-4A9E7F4CD91A}" name="Colonne10445"/>
    <tableColumn id="10454" xr3:uid="{866E0CF3-EABC-47FD-B152-F94CCF8D34E6}" name="Colonne10446"/>
    <tableColumn id="10455" xr3:uid="{16370A3F-12EF-4556-A1BF-4F964D3B02BA}" name="Colonne10447"/>
    <tableColumn id="10456" xr3:uid="{1A211189-F22F-4846-B94F-34ABCE03EED1}" name="Colonne10448"/>
    <tableColumn id="10457" xr3:uid="{D993B1DB-716B-4DC1-8769-2B36212738FF}" name="Colonne10449"/>
    <tableColumn id="10458" xr3:uid="{4DC47CCF-07E1-4CE2-952A-835EDA1741FE}" name="Colonne10450"/>
    <tableColumn id="10459" xr3:uid="{FAE7F4B7-DA7F-4021-ADD3-D350669E864A}" name="Colonne10451"/>
    <tableColumn id="10460" xr3:uid="{ED06F63D-3DD9-4AB0-A6EE-BEDE48135583}" name="Colonne10452"/>
    <tableColumn id="10461" xr3:uid="{F7B6E6F7-4461-477F-AFDB-22F6B80D1E42}" name="Colonne10453"/>
    <tableColumn id="10462" xr3:uid="{EB432121-5B59-4D34-8F85-4354DE3CE6C0}" name="Colonne10454"/>
    <tableColumn id="10463" xr3:uid="{5D25DD9D-EF34-4283-BC86-C0943EDE1A18}" name="Colonne10455"/>
    <tableColumn id="10464" xr3:uid="{76612EBC-AC40-4153-9D39-3B6A1534F24E}" name="Colonne10456"/>
    <tableColumn id="10465" xr3:uid="{E83703B1-0901-4AF7-A501-E4E5A3E353B9}" name="Colonne10457"/>
    <tableColumn id="10466" xr3:uid="{4A169010-0A5B-4428-AD9F-CF9E0F97DEC1}" name="Colonne10458"/>
    <tableColumn id="10467" xr3:uid="{B1545535-2EC1-4EB7-93B6-FF49E5CD8555}" name="Colonne10459"/>
    <tableColumn id="10468" xr3:uid="{2DD5D5F9-7D31-49BD-AA02-55C91DF1FA8B}" name="Colonne10460"/>
    <tableColumn id="10469" xr3:uid="{5ECB1A12-D456-4D1C-B781-D81C0D836086}" name="Colonne10461"/>
    <tableColumn id="10470" xr3:uid="{64257689-8BB7-411D-A5AA-04CC69DBB797}" name="Colonne10462"/>
    <tableColumn id="10471" xr3:uid="{7B354437-0C20-49C4-8C4C-74BB753E412E}" name="Colonne10463"/>
    <tableColumn id="10472" xr3:uid="{25FCD7BC-01C2-4952-B9C2-BC6BDD255F52}" name="Colonne10464"/>
    <tableColumn id="10473" xr3:uid="{4909D01D-4C90-4EA0-AA3A-9B80024B694A}" name="Colonne10465"/>
    <tableColumn id="10474" xr3:uid="{5FDAE3F3-0E56-4C1D-9FE9-F57C7F8C676F}" name="Colonne10466"/>
    <tableColumn id="10475" xr3:uid="{123F4CA9-E435-477E-B0F9-2C7BA1436CD1}" name="Colonne10467"/>
    <tableColumn id="10476" xr3:uid="{0222F287-646A-45F2-9BAA-8F8DCDBDB5F6}" name="Colonne10468"/>
    <tableColumn id="10477" xr3:uid="{38344085-E168-49BF-936F-34E127DBD651}" name="Colonne10469"/>
    <tableColumn id="10478" xr3:uid="{3FACE547-EEAB-4ECD-B05A-D46114CF12C4}" name="Colonne10470"/>
    <tableColumn id="10479" xr3:uid="{EA2E49F5-B887-42D5-996C-75800BA0A819}" name="Colonne10471"/>
    <tableColumn id="10480" xr3:uid="{1DED6CE0-8F3B-4895-A630-847FC9CBB72F}" name="Colonne10472"/>
    <tableColumn id="10481" xr3:uid="{86247187-2FED-4167-BE2A-B793D2528102}" name="Colonne10473"/>
    <tableColumn id="10482" xr3:uid="{9F27E0D7-048F-46B7-86FB-5AF841B97167}" name="Colonne10474"/>
    <tableColumn id="10483" xr3:uid="{C28872BF-BD65-4334-A783-3A4623F6C9A2}" name="Colonne10475"/>
    <tableColumn id="10484" xr3:uid="{72713DF2-592A-494E-B91F-04CFDB3BD543}" name="Colonne10476"/>
    <tableColumn id="10485" xr3:uid="{F6462B76-DA86-481A-B771-2949602BE24D}" name="Colonne10477"/>
    <tableColumn id="10486" xr3:uid="{B7C6E6A4-9E31-470B-8A2B-070CD8C5C3DE}" name="Colonne10478"/>
    <tableColumn id="10487" xr3:uid="{8D8501EA-87F7-48E8-AB6F-C1CCAD32C4A4}" name="Colonne10479"/>
    <tableColumn id="10488" xr3:uid="{947FDBB2-196E-45C0-BE3E-6285C260F83B}" name="Colonne10480"/>
    <tableColumn id="10489" xr3:uid="{AACD3D79-66CE-4D1D-BADF-078EA119CB7B}" name="Colonne10481"/>
    <tableColumn id="10490" xr3:uid="{40592C13-718C-42A2-8AC4-971848E29DDF}" name="Colonne10482"/>
    <tableColumn id="10491" xr3:uid="{C4EA7330-64F1-4282-B55D-EFDE5B222832}" name="Colonne10483"/>
    <tableColumn id="10492" xr3:uid="{2149DB96-B0D6-49B8-B497-2487C662062C}" name="Colonne10484"/>
    <tableColumn id="10493" xr3:uid="{FCB40D67-0153-408D-A59A-8D685017A5A6}" name="Colonne10485"/>
    <tableColumn id="10494" xr3:uid="{4DA40923-1B61-4EFE-AC05-7406C65A8866}" name="Colonne10486"/>
    <tableColumn id="10495" xr3:uid="{BD171751-1085-4151-9DFA-17A5C7D25BD1}" name="Colonne10487"/>
    <tableColumn id="10496" xr3:uid="{7F9420BE-FC74-4978-A1A7-CB4E62F4B52B}" name="Colonne10488"/>
    <tableColumn id="10497" xr3:uid="{728049C2-644A-46A9-ABEA-CFEA8BCB0028}" name="Colonne10489"/>
    <tableColumn id="10498" xr3:uid="{30A2995E-D850-4F2F-A511-B568BDD1B6CA}" name="Colonne10490"/>
    <tableColumn id="10499" xr3:uid="{1958390A-4292-47ED-B7C6-8748ACF13C77}" name="Colonne10491"/>
    <tableColumn id="10500" xr3:uid="{443CB2EC-832A-4D70-8FC2-EF94D8D7AAA3}" name="Colonne10492"/>
    <tableColumn id="10501" xr3:uid="{60CE33D4-1755-46D1-8A79-E3EA077CF0D3}" name="Colonne10493"/>
    <tableColumn id="10502" xr3:uid="{13246C2E-518F-43D8-A9B2-437CF59A0D3F}" name="Colonne10494"/>
    <tableColumn id="10503" xr3:uid="{F2DA81DD-9EAA-400B-9E85-4B6AFC312F8D}" name="Colonne10495"/>
    <tableColumn id="10504" xr3:uid="{62A6F95B-89D1-4F6D-A021-14C2A048B9B2}" name="Colonne10496"/>
    <tableColumn id="10505" xr3:uid="{E44E5A89-87B3-4386-BA8C-00B7E8EB3B51}" name="Colonne10497"/>
    <tableColumn id="10506" xr3:uid="{E9A7B9E0-4C5D-42CC-A25D-FD3FE1A858C6}" name="Colonne10498"/>
    <tableColumn id="10507" xr3:uid="{56842A8F-364E-4A0A-AEB2-D4C63814788C}" name="Colonne10499"/>
    <tableColumn id="10508" xr3:uid="{B44349B9-AE05-499A-8333-C00290056476}" name="Colonne10500"/>
    <tableColumn id="10509" xr3:uid="{0C15F56F-F7F4-4050-98E0-C18309FDC830}" name="Colonne10501"/>
    <tableColumn id="10510" xr3:uid="{D2585220-5BC6-4398-9703-BCAD814E3A56}" name="Colonne10502"/>
    <tableColumn id="10511" xr3:uid="{D868B42E-A3D6-427D-AD0B-6DB497221C4D}" name="Colonne10503"/>
    <tableColumn id="10512" xr3:uid="{AD81295D-1E72-47DE-A258-63A4D4845720}" name="Colonne10504"/>
    <tableColumn id="10513" xr3:uid="{880B42AD-6A3C-45B3-8C30-146475BD1D31}" name="Colonne10505"/>
    <tableColumn id="10514" xr3:uid="{AE674CC7-C94C-43BD-AFA7-73B270D0990B}" name="Colonne10506"/>
    <tableColumn id="10515" xr3:uid="{F808C8F6-7B33-48A7-9E73-149ABE3BC139}" name="Colonne10507"/>
    <tableColumn id="10516" xr3:uid="{94635DAA-D6FF-473C-9F4B-7D081ED205FF}" name="Colonne10508"/>
    <tableColumn id="10517" xr3:uid="{22C601F5-8BC7-4B36-B09F-A84F237AC12C}" name="Colonne10509"/>
    <tableColumn id="10518" xr3:uid="{8D1A3C25-F660-444D-940D-FFD0AD47EECE}" name="Colonne10510"/>
    <tableColumn id="10519" xr3:uid="{00770E17-C34B-445B-969B-CA6FA74A843E}" name="Colonne10511"/>
    <tableColumn id="10520" xr3:uid="{20EF80DD-EFFC-4D7C-B4A5-FD31A947B846}" name="Colonne10512"/>
    <tableColumn id="10521" xr3:uid="{8E6A8D49-9560-4E02-9F55-D40F70B41694}" name="Colonne10513"/>
    <tableColumn id="10522" xr3:uid="{5881B675-9E78-45F2-86B1-632470C6C8E7}" name="Colonne10514"/>
    <tableColumn id="10523" xr3:uid="{90A779AC-0293-4AE7-B7D9-854A69F0E79E}" name="Colonne10515"/>
    <tableColumn id="10524" xr3:uid="{432EDA63-CFEA-4884-93E4-C5C17DB16EA2}" name="Colonne10516"/>
    <tableColumn id="10525" xr3:uid="{AC020DDD-73AF-487A-BED8-9A368B64C078}" name="Colonne10517"/>
    <tableColumn id="10526" xr3:uid="{BC70E003-0313-4CA2-8610-5E3AF841B30E}" name="Colonne10518"/>
    <tableColumn id="10527" xr3:uid="{14232397-DEE5-4652-A167-F31120472882}" name="Colonne10519"/>
    <tableColumn id="10528" xr3:uid="{AD4FC264-22CC-4D63-9B1F-A2FF90FE388A}" name="Colonne10520"/>
    <tableColumn id="10529" xr3:uid="{79DE70A4-CBAC-4782-AD3C-DCC722479B5D}" name="Colonne10521"/>
    <tableColumn id="10530" xr3:uid="{C8E100A7-9EEA-4137-A09A-3FA47869B448}" name="Colonne10522"/>
    <tableColumn id="10531" xr3:uid="{257AC400-C2CF-4482-886F-72AA061773EC}" name="Colonne10523"/>
    <tableColumn id="10532" xr3:uid="{241C7850-F06F-4DE0-8D81-76A30ECAE4D4}" name="Colonne10524"/>
    <tableColumn id="10533" xr3:uid="{E5A47BAC-F18E-4F93-B3C6-1EBA4FABF3E4}" name="Colonne10525"/>
    <tableColumn id="10534" xr3:uid="{4DA8319D-8CD1-445C-91F5-B093524FD06A}" name="Colonne10526"/>
    <tableColumn id="10535" xr3:uid="{A4355454-C1C0-4ADF-A09E-7492E4D7D4BF}" name="Colonne10527"/>
    <tableColumn id="10536" xr3:uid="{22B13386-A854-4D96-B801-C5128F01C8DC}" name="Colonne10528"/>
    <tableColumn id="10537" xr3:uid="{8F3578E5-66F8-489A-B467-B55A32FFDEE8}" name="Colonne10529"/>
    <tableColumn id="10538" xr3:uid="{00CCA75D-EC32-4DD1-AB3B-A3940478DA8C}" name="Colonne10530"/>
    <tableColumn id="10539" xr3:uid="{1F573579-3964-479C-B26D-2BC10040959F}" name="Colonne10531"/>
    <tableColumn id="10540" xr3:uid="{7B0653AE-5048-4A2E-B2E6-E0B9443208C1}" name="Colonne10532"/>
    <tableColumn id="10541" xr3:uid="{24CF9663-1EBA-401B-A37F-9A757E1AC955}" name="Colonne10533"/>
    <tableColumn id="10542" xr3:uid="{F6215D9A-7821-404D-84EC-4C169FAC0A26}" name="Colonne10534"/>
    <tableColumn id="10543" xr3:uid="{3433E66F-DAA7-4F77-9161-3E37B42AA8EF}" name="Colonne10535"/>
    <tableColumn id="10544" xr3:uid="{4B035F43-123B-4BEF-828A-5086AA800CD8}" name="Colonne10536"/>
    <tableColumn id="10545" xr3:uid="{DD7178D6-0747-4226-A2AA-C54CD4273053}" name="Colonne10537"/>
    <tableColumn id="10546" xr3:uid="{05812C2A-2574-4A10-B9FB-AF99FE069BFC}" name="Colonne10538"/>
    <tableColumn id="10547" xr3:uid="{9F844F75-F6E5-4565-AF60-BBB7382FFB9B}" name="Colonne10539"/>
    <tableColumn id="10548" xr3:uid="{A6EF242F-E189-4BA0-9864-A41BC7E26F84}" name="Colonne10540"/>
    <tableColumn id="10549" xr3:uid="{5B6DA869-45A7-4FD8-9241-30DCDAB1CB29}" name="Colonne10541"/>
    <tableColumn id="10550" xr3:uid="{9291E978-713E-405C-AADD-9BD4C92F52DF}" name="Colonne10542"/>
    <tableColumn id="10551" xr3:uid="{7F60FB37-37F0-435F-B002-6F35EB94A0A5}" name="Colonne10543"/>
    <tableColumn id="10552" xr3:uid="{B5D03274-BF64-4F0D-9DDC-3B8375088C39}" name="Colonne10544"/>
    <tableColumn id="10553" xr3:uid="{7FC9C822-C12F-451F-AD67-9CD2DB4B5DE2}" name="Colonne10545"/>
    <tableColumn id="10554" xr3:uid="{1F2DC35E-CA95-446E-AF98-F2BC206D31B9}" name="Colonne10546"/>
    <tableColumn id="10555" xr3:uid="{181D52E2-6A50-4C22-9F61-2036E615BC4F}" name="Colonne10547"/>
    <tableColumn id="10556" xr3:uid="{BBC32E2E-B526-4927-9C38-3F0868BCA197}" name="Colonne10548"/>
    <tableColumn id="10557" xr3:uid="{82AFEA65-C78D-4747-A65E-D66E5CCB565D}" name="Colonne10549"/>
    <tableColumn id="10558" xr3:uid="{E982F2A7-CEC3-4F3E-A28A-8BE1E0028F29}" name="Colonne10550"/>
    <tableColumn id="10559" xr3:uid="{8CDBE742-8EFE-4B6F-A1AC-EF5A54C059BD}" name="Colonne10551"/>
    <tableColumn id="10560" xr3:uid="{8C1FDA12-E745-487C-AEE2-70D2D97EA796}" name="Colonne10552"/>
    <tableColumn id="10561" xr3:uid="{1AB724CD-B7D1-483B-930C-B4F36107CB09}" name="Colonne10553"/>
    <tableColumn id="10562" xr3:uid="{F80D2791-A0DE-4163-B5A5-32C66B416808}" name="Colonne10554"/>
    <tableColumn id="10563" xr3:uid="{0D62D53F-3AE1-48D6-8563-1E00689A828B}" name="Colonne10555"/>
    <tableColumn id="10564" xr3:uid="{0CE2C2E1-2D7C-429F-8939-6E12A5D70795}" name="Colonne10556"/>
    <tableColumn id="10565" xr3:uid="{AA00FF34-53AF-41B6-BDE0-0FF7D4852535}" name="Colonne10557"/>
    <tableColumn id="10566" xr3:uid="{87A0C3F4-A93A-43F1-A152-AD3DB2FFE0C9}" name="Colonne10558"/>
    <tableColumn id="10567" xr3:uid="{DC50764F-E396-4F32-B885-AC08CB22BA6F}" name="Colonne10559"/>
    <tableColumn id="10568" xr3:uid="{D9F89E80-2AB1-4293-9F05-91A84BA0F720}" name="Colonne10560"/>
    <tableColumn id="10569" xr3:uid="{A3E7C5F0-7EB0-4120-9080-32A0613AE27B}" name="Colonne10561"/>
    <tableColumn id="10570" xr3:uid="{2C031BCF-5A29-40BF-B3A8-1048F5FAD54E}" name="Colonne10562"/>
    <tableColumn id="10571" xr3:uid="{B0CEDE51-5CB1-4A04-B7A0-B7D21A684114}" name="Colonne10563"/>
    <tableColumn id="10572" xr3:uid="{262E3FE0-0B8D-45D5-AF72-B43CCB01D177}" name="Colonne10564"/>
    <tableColumn id="10573" xr3:uid="{A23E2762-EEF7-4F76-9253-580D3096F05A}" name="Colonne10565"/>
    <tableColumn id="10574" xr3:uid="{B934E6A1-AF68-4B39-8551-2912A471BF5B}" name="Colonne10566"/>
    <tableColumn id="10575" xr3:uid="{72D18D5C-161F-40C9-99C7-D60FDCB06AFF}" name="Colonne10567"/>
    <tableColumn id="10576" xr3:uid="{23D2BF13-1C6D-47C5-8EA8-1264BED2A7AC}" name="Colonne10568"/>
    <tableColumn id="10577" xr3:uid="{59743FD3-8B4C-4D92-8D7B-DED32AD4C901}" name="Colonne10569"/>
    <tableColumn id="10578" xr3:uid="{3E50E9F8-EA38-4B30-A33D-F96839B41634}" name="Colonne10570"/>
    <tableColumn id="10579" xr3:uid="{A4B4BFE1-AA82-4F9F-ACBA-9BAECE5585C5}" name="Colonne10571"/>
    <tableColumn id="10580" xr3:uid="{27F1EEFB-FDA2-4358-B15E-D874744C2E16}" name="Colonne10572"/>
    <tableColumn id="10581" xr3:uid="{B7BBD4F4-1F84-49A3-8B8D-EC1745AD9EA8}" name="Colonne10573"/>
    <tableColumn id="10582" xr3:uid="{D2103D79-9CE5-4878-8096-E37F80169DD2}" name="Colonne10574"/>
    <tableColumn id="10583" xr3:uid="{8F9C5C97-78AC-44B2-8DB9-1145DA94F520}" name="Colonne10575"/>
    <tableColumn id="10584" xr3:uid="{4F4CC2F0-5928-470E-AE18-D12265C1E1C8}" name="Colonne10576"/>
    <tableColumn id="10585" xr3:uid="{D1ED5AB8-A1B1-4B58-B820-8B51A2511B24}" name="Colonne10577"/>
    <tableColumn id="10586" xr3:uid="{8B388B5F-18F9-4B4D-B576-DA5787B41BC3}" name="Colonne10578"/>
    <tableColumn id="10587" xr3:uid="{1111109E-0F75-4FE9-AED9-5D53DDDEC6F6}" name="Colonne10579"/>
    <tableColumn id="10588" xr3:uid="{AF8E5A44-22DF-4862-B96B-5A71ECDD2011}" name="Colonne10580"/>
    <tableColumn id="10589" xr3:uid="{A48FAC55-67A9-4DB9-BE25-79A1B42D9B24}" name="Colonne10581"/>
    <tableColumn id="10590" xr3:uid="{9A4478EF-4CED-49B9-AFF4-1B28DBA5F95C}" name="Colonne10582"/>
    <tableColumn id="10591" xr3:uid="{4694A3BE-BE32-4396-AC65-999817444977}" name="Colonne10583"/>
    <tableColumn id="10592" xr3:uid="{ACB03319-1BA0-49C0-9271-315831B19321}" name="Colonne10584"/>
    <tableColumn id="10593" xr3:uid="{675B3C39-8DFD-427A-BA8C-FD31EFDF100D}" name="Colonne10585"/>
    <tableColumn id="10594" xr3:uid="{1EEC9247-E51B-45B6-A09E-D5914CFCBA27}" name="Colonne10586"/>
    <tableColumn id="10595" xr3:uid="{53AC7DA5-8087-453A-A563-FB149245C342}" name="Colonne10587"/>
    <tableColumn id="10596" xr3:uid="{16E0DE21-8E1F-4FB1-BA8E-3BC374808A04}" name="Colonne10588"/>
    <tableColumn id="10597" xr3:uid="{A18180D3-45A0-4FAF-B507-17E864DE47F2}" name="Colonne10589"/>
    <tableColumn id="10598" xr3:uid="{9AB593D2-679A-4AFA-A29C-2D6D1FBBFB3D}" name="Colonne10590"/>
    <tableColumn id="10599" xr3:uid="{8021612D-AA04-49DD-A0C2-9D62973EEE47}" name="Colonne10591"/>
    <tableColumn id="10600" xr3:uid="{7D766650-CD98-4099-8391-49CD8AB8374C}" name="Colonne10592"/>
    <tableColumn id="10601" xr3:uid="{A51DD084-AB37-4A0C-B53D-BD2D8221DEA4}" name="Colonne10593"/>
    <tableColumn id="10602" xr3:uid="{ED0AA8CB-713A-4CD9-B079-2C7994813DE3}" name="Colonne10594"/>
    <tableColumn id="10603" xr3:uid="{3EE3B428-32D1-49F9-9961-0314BD8C5304}" name="Colonne10595"/>
    <tableColumn id="10604" xr3:uid="{D0432A92-FBBE-458D-91A4-E67DE9755F1C}" name="Colonne10596"/>
    <tableColumn id="10605" xr3:uid="{A9E5BCE2-86A0-4256-9AFB-E5BBB5E8D4BA}" name="Colonne10597"/>
    <tableColumn id="10606" xr3:uid="{D6821E23-608A-4F10-BB49-CDA2CC6F3977}" name="Colonne10598"/>
    <tableColumn id="10607" xr3:uid="{D2E22466-BAC2-46EB-A5BF-2EF330752FAF}" name="Colonne10599"/>
    <tableColumn id="10608" xr3:uid="{177CA534-5C3D-4B74-9139-422C6226B332}" name="Colonne10600"/>
    <tableColumn id="10609" xr3:uid="{E1751868-8F17-49FB-8EB9-00220AED038F}" name="Colonne10601"/>
    <tableColumn id="10610" xr3:uid="{A57C10AF-4C00-48E0-B612-ED3C632400A8}" name="Colonne10602"/>
    <tableColumn id="10611" xr3:uid="{5596A0CE-425D-4419-A590-AE097C06B75B}" name="Colonne10603"/>
    <tableColumn id="10612" xr3:uid="{C553BF5E-50CB-48D7-AFC5-848474AAE858}" name="Colonne10604"/>
    <tableColumn id="10613" xr3:uid="{42FDFDBF-0ABB-40EC-8ED4-2F7B88F29A14}" name="Colonne10605"/>
    <tableColumn id="10614" xr3:uid="{9462E53C-BA07-4D91-AC4F-4A9D16C79019}" name="Colonne10606"/>
    <tableColumn id="10615" xr3:uid="{BB3C2F4F-853C-4169-9057-AC97F0DCB0DF}" name="Colonne10607"/>
    <tableColumn id="10616" xr3:uid="{6EDA1E35-D389-46E2-9030-D41FDA92FBD7}" name="Colonne10608"/>
    <tableColumn id="10617" xr3:uid="{2BA33AD6-8DF6-4905-B175-CBC76C5CC4CD}" name="Colonne10609"/>
    <tableColumn id="10618" xr3:uid="{7E68EFC0-8049-4234-88CE-0A8088C9EFFC}" name="Colonne10610"/>
    <tableColumn id="10619" xr3:uid="{FCFF3150-C291-42FA-B432-E5494EB57573}" name="Colonne10611"/>
    <tableColumn id="10620" xr3:uid="{51F9FC18-6D04-4BC8-B3AE-89830B8E3418}" name="Colonne10612"/>
    <tableColumn id="10621" xr3:uid="{53B55680-20E9-4853-B1DA-EE7F34D05C98}" name="Colonne10613"/>
    <tableColumn id="10622" xr3:uid="{C4628F41-E96A-475B-BCB7-186CE9682816}" name="Colonne10614"/>
    <tableColumn id="10623" xr3:uid="{6B0180BA-52F0-45F1-B288-875F69DD9A5A}" name="Colonne10615"/>
    <tableColumn id="10624" xr3:uid="{EAE81DD5-6796-4A0F-8440-9CE0D8AFF8D8}" name="Colonne10616"/>
    <tableColumn id="10625" xr3:uid="{3ED9DB6F-B7C6-4013-97DA-E2EF22B20294}" name="Colonne10617"/>
    <tableColumn id="10626" xr3:uid="{4A9E7FB6-2BC0-4E0E-A7FA-12AE741636BC}" name="Colonne10618"/>
    <tableColumn id="10627" xr3:uid="{CFA15CB2-6274-4DCD-AD2B-D375A79A1E99}" name="Colonne10619"/>
    <tableColumn id="10628" xr3:uid="{2BD64F6A-38FD-468A-A104-62A9539EC008}" name="Colonne10620"/>
    <tableColumn id="10629" xr3:uid="{4AA39A0D-0D62-45A2-BFF3-4056AC4D93A4}" name="Colonne10621"/>
    <tableColumn id="10630" xr3:uid="{0C62E397-7C6F-4797-8281-5FE1C921907B}" name="Colonne10622"/>
    <tableColumn id="10631" xr3:uid="{33741074-B884-46B8-9739-B05318757D52}" name="Colonne10623"/>
    <tableColumn id="10632" xr3:uid="{1EFE12B0-1C9F-4602-9C31-AC23E5A0D431}" name="Colonne10624"/>
    <tableColumn id="10633" xr3:uid="{9C4F58B9-ECBD-4403-9D92-156A621D2846}" name="Colonne10625"/>
    <tableColumn id="10634" xr3:uid="{7BB5A741-6F89-4B6B-AA85-0693565E495B}" name="Colonne10626"/>
    <tableColumn id="10635" xr3:uid="{0DEDF2E8-EFF7-4E5D-A969-DFFC907F0CC1}" name="Colonne10627"/>
    <tableColumn id="10636" xr3:uid="{75FB4DBC-9283-405A-8EBE-D624E5D51FDB}" name="Colonne10628"/>
    <tableColumn id="10637" xr3:uid="{C4960771-A40F-4DDC-B487-E7D7E0D03BC8}" name="Colonne10629"/>
    <tableColumn id="10638" xr3:uid="{F2E3FDBD-0403-4663-88D3-FD3461C780FE}" name="Colonne10630"/>
    <tableColumn id="10639" xr3:uid="{B2914D9D-7DAF-49FF-896E-D3E730FE135C}" name="Colonne10631"/>
    <tableColumn id="10640" xr3:uid="{ECF1AF16-4A49-480B-82D7-94436C8F8083}" name="Colonne10632"/>
    <tableColumn id="10641" xr3:uid="{E63951AA-A1D0-4CC6-AD9F-91CAE9BE2F32}" name="Colonne10633"/>
    <tableColumn id="10642" xr3:uid="{B4BFD5BC-949F-44EE-8B98-B5E76FF2ADD0}" name="Colonne10634"/>
    <tableColumn id="10643" xr3:uid="{DDB2EAA9-22F3-4C62-BBDE-9492231AE36F}" name="Colonne10635"/>
    <tableColumn id="10644" xr3:uid="{4AB0FE71-7C58-47CE-9EC7-6CEB205F40CC}" name="Colonne10636"/>
    <tableColumn id="10645" xr3:uid="{CA576340-8629-4380-988C-2BDECE0507F1}" name="Colonne10637"/>
    <tableColumn id="10646" xr3:uid="{E5F1B0F3-B128-4273-AD94-77391E78C9F7}" name="Colonne10638"/>
    <tableColumn id="10647" xr3:uid="{61559657-A222-473B-A4D1-4ABAB2684253}" name="Colonne10639"/>
    <tableColumn id="10648" xr3:uid="{BB2BF7D9-B123-4421-A2A2-2D605BC63387}" name="Colonne10640"/>
    <tableColumn id="10649" xr3:uid="{0841D720-1F4D-4593-A1AC-8D9AB39BA621}" name="Colonne10641"/>
    <tableColumn id="10650" xr3:uid="{ED861C7C-B26A-42D9-A758-9FF6FFF98A78}" name="Colonne10642"/>
    <tableColumn id="10651" xr3:uid="{0EA1E5D5-0179-4E82-B5A7-A7596C25573A}" name="Colonne10643"/>
    <tableColumn id="10652" xr3:uid="{98B9A288-C6A9-4250-B52B-94DFE91C61EF}" name="Colonne10644"/>
    <tableColumn id="10653" xr3:uid="{DCE4D355-CB91-4496-A89F-7202B32A9FD6}" name="Colonne10645"/>
    <tableColumn id="10654" xr3:uid="{DB845F13-8B24-464E-B76C-E7635CABDBFC}" name="Colonne10646"/>
    <tableColumn id="10655" xr3:uid="{BF7FB287-5521-456F-B478-B6F4F3C95849}" name="Colonne10647"/>
    <tableColumn id="10656" xr3:uid="{5A3BFF67-EF3F-4AF6-886D-1912FF23A5E5}" name="Colonne10648"/>
    <tableColumn id="10657" xr3:uid="{D39090C5-4E59-435B-B2FE-1B5BAA4DD006}" name="Colonne10649"/>
    <tableColumn id="10658" xr3:uid="{87A0C6F4-3899-4B73-AEC6-A165922B8C83}" name="Colonne10650"/>
    <tableColumn id="10659" xr3:uid="{8C9E34FC-E194-4703-BA29-2667DB8DD5E5}" name="Colonne10651"/>
    <tableColumn id="10660" xr3:uid="{6E7CDAD2-CCF9-4CBC-BBAA-EDF27B84659C}" name="Colonne10652"/>
    <tableColumn id="10661" xr3:uid="{2B6ECB13-5A94-45E9-87D4-075B86F8B229}" name="Colonne10653"/>
    <tableColumn id="10662" xr3:uid="{3B7AF235-A574-4B8D-A6A7-10396142EB02}" name="Colonne10654"/>
    <tableColumn id="10663" xr3:uid="{C64D2A63-BADE-49F5-A07F-3D42D098D789}" name="Colonne10655"/>
    <tableColumn id="10664" xr3:uid="{99DA1C19-129B-4804-8DA8-B819D501F378}" name="Colonne10656"/>
    <tableColumn id="10665" xr3:uid="{48BE2E93-5B90-443A-83E1-FAA1D680148B}" name="Colonne10657"/>
    <tableColumn id="10666" xr3:uid="{AC37E8DA-980A-44F1-8BBE-48DBCB1BFDC6}" name="Colonne10658"/>
    <tableColumn id="10667" xr3:uid="{16833E1B-D98F-448E-B4E5-DE50C25FB1C9}" name="Colonne10659"/>
    <tableColumn id="10668" xr3:uid="{7DF08F0A-9189-4230-A14A-421EEBBDAF78}" name="Colonne10660"/>
    <tableColumn id="10669" xr3:uid="{07DAA9B8-C5D3-4A1C-9AE8-32FAB61FED84}" name="Colonne10661"/>
    <tableColumn id="10670" xr3:uid="{EB0E2C60-9C34-4155-B525-0AC7D77CB6E5}" name="Colonne10662"/>
    <tableColumn id="10671" xr3:uid="{7C952DB7-C078-4095-B15B-F413687A8A13}" name="Colonne10663"/>
    <tableColumn id="10672" xr3:uid="{6676A643-152F-4358-96BB-41AE067F9CC8}" name="Colonne10664"/>
    <tableColumn id="10673" xr3:uid="{35061FDB-8C81-4A1F-B940-2042637EABB9}" name="Colonne10665"/>
    <tableColumn id="10674" xr3:uid="{A0A3F48F-8E79-4EAC-8C93-7767861C1086}" name="Colonne10666"/>
    <tableColumn id="10675" xr3:uid="{A0D54C51-679B-4B32-8F31-1AFAA076D915}" name="Colonne10667"/>
    <tableColumn id="10676" xr3:uid="{0E79A372-AA83-411B-BEAB-41FBB4247E63}" name="Colonne10668"/>
    <tableColumn id="10677" xr3:uid="{BB71AEA2-47BD-4E09-972A-1D794B134C8A}" name="Colonne10669"/>
    <tableColumn id="10678" xr3:uid="{3E014779-4241-4124-8DAF-3FCA7786AA73}" name="Colonne10670"/>
    <tableColumn id="10679" xr3:uid="{D7256E4D-65D3-4109-AE8F-917CEE3E0911}" name="Colonne10671"/>
    <tableColumn id="10680" xr3:uid="{495E44CB-41D6-4EFB-9712-5CCAB032D3B9}" name="Colonne10672"/>
    <tableColumn id="10681" xr3:uid="{9516BB24-D616-4676-A4FB-C0B29D9E6549}" name="Colonne10673"/>
    <tableColumn id="10682" xr3:uid="{7EC8E817-2AA2-4673-A12E-FF829481C51D}" name="Colonne10674"/>
    <tableColumn id="10683" xr3:uid="{E2FBBEFC-50D4-49E1-8D29-8FD80A36424C}" name="Colonne10675"/>
    <tableColumn id="10684" xr3:uid="{9B1A8EE8-A5D9-4075-83DE-5D9CD7E83A75}" name="Colonne10676"/>
    <tableColumn id="10685" xr3:uid="{4AB2A4E1-915B-4654-B3C4-6E9EBD93AC12}" name="Colonne10677"/>
    <tableColumn id="10686" xr3:uid="{70B791EC-33E2-486F-9C32-34D2257273E6}" name="Colonne10678"/>
    <tableColumn id="10687" xr3:uid="{18500330-20E5-4F50-A385-9A64AE9A9C07}" name="Colonne10679"/>
    <tableColumn id="10688" xr3:uid="{70B56F70-F571-4BF7-AEAB-C7920D5A9277}" name="Colonne10680"/>
    <tableColumn id="10689" xr3:uid="{1F1417BB-227D-47D7-8BCA-B6E6FD1F6E81}" name="Colonne10681"/>
    <tableColumn id="10690" xr3:uid="{E9877D4F-DA4D-43AF-9800-3F8CC26C67EA}" name="Colonne10682"/>
    <tableColumn id="10691" xr3:uid="{2CD7EC46-7F91-4085-B3EB-278D45F07A09}" name="Colonne10683"/>
    <tableColumn id="10692" xr3:uid="{96BDD021-E67B-4B47-8E7D-92C3E7F15ADD}" name="Colonne10684"/>
    <tableColumn id="10693" xr3:uid="{D1FB338B-4E44-45C4-9FFD-55B7CEAC8366}" name="Colonne10685"/>
    <tableColumn id="10694" xr3:uid="{C8F00089-2080-448D-AE2D-312CB1DF54F9}" name="Colonne10686"/>
    <tableColumn id="10695" xr3:uid="{150F12C5-1181-4CC9-BD80-F29D0D763E6E}" name="Colonne10687"/>
    <tableColumn id="10696" xr3:uid="{8D5D8DB6-7E39-40E0-8A1A-7931341D1E9C}" name="Colonne10688"/>
    <tableColumn id="10697" xr3:uid="{1343D4FE-69D1-4DCF-83FF-2C22417F8419}" name="Colonne10689"/>
    <tableColumn id="10698" xr3:uid="{97EEDF2B-1C6E-4227-A04C-ED62991F8F94}" name="Colonne10690"/>
    <tableColumn id="10699" xr3:uid="{AE90CD2C-9B20-405C-9E50-E661885C958C}" name="Colonne10691"/>
    <tableColumn id="10700" xr3:uid="{474384B8-CA3E-4F83-BAD9-741FEC1393A9}" name="Colonne10692"/>
    <tableColumn id="10701" xr3:uid="{748D6AA2-9F52-4835-B71E-57A5C089386C}" name="Colonne10693"/>
    <tableColumn id="10702" xr3:uid="{52007947-5FEC-4A5F-B1C9-EB782B46A250}" name="Colonne10694"/>
    <tableColumn id="10703" xr3:uid="{F82FA4A9-696F-405C-9DA7-D1BD6A56ACC2}" name="Colonne10695"/>
    <tableColumn id="10704" xr3:uid="{52222BC2-801E-482B-B519-280E4AA988F8}" name="Colonne10696"/>
    <tableColumn id="10705" xr3:uid="{950B61CE-7CB8-413F-BDAD-7B27E9F13903}" name="Colonne10697"/>
    <tableColumn id="10706" xr3:uid="{DF7A48EA-7AAA-4726-AB3F-2CC7A2A84E77}" name="Colonne10698"/>
    <tableColumn id="10707" xr3:uid="{82141A91-D202-49F4-811C-C3ACC8BC8DFE}" name="Colonne10699"/>
    <tableColumn id="10708" xr3:uid="{9377E54F-C722-4A44-AC8E-A8328001722A}" name="Colonne10700"/>
    <tableColumn id="10709" xr3:uid="{F46F2972-42DC-4B5D-A027-8B385BD9B332}" name="Colonne10701"/>
    <tableColumn id="10710" xr3:uid="{17D6129C-907D-4E7D-9373-91CDC095F06E}" name="Colonne10702"/>
    <tableColumn id="10711" xr3:uid="{CFBD0401-7826-490E-834F-C06EB3E27F15}" name="Colonne10703"/>
    <tableColumn id="10712" xr3:uid="{F775C648-61C9-4717-B8B6-D510318E8E0D}" name="Colonne10704"/>
    <tableColumn id="10713" xr3:uid="{B88BBEDC-3AF4-4FC6-B322-CB76D7C18F4C}" name="Colonne10705"/>
    <tableColumn id="10714" xr3:uid="{4DE047D3-64F4-414F-B171-68A3BBC25D2A}" name="Colonne10706"/>
    <tableColumn id="10715" xr3:uid="{07950CF6-EDC9-43EA-87A1-F8533304AF47}" name="Colonne10707"/>
    <tableColumn id="10716" xr3:uid="{607F90AB-2EF6-4391-BEF5-CB9DFC4DAA10}" name="Colonne10708"/>
    <tableColumn id="10717" xr3:uid="{8B4226A1-ACFF-4CC5-9E79-9201D1F773AD}" name="Colonne10709"/>
    <tableColumn id="10718" xr3:uid="{0D1A96A0-3936-47DB-B249-9ED4C9209C98}" name="Colonne10710"/>
    <tableColumn id="10719" xr3:uid="{FB0E6C0E-6FD6-45AF-A769-D9FE651D3351}" name="Colonne10711"/>
    <tableColumn id="10720" xr3:uid="{76530552-B7C9-4889-8F0A-C9DEC9114EDA}" name="Colonne10712"/>
    <tableColumn id="10721" xr3:uid="{0016D928-3034-4F6F-81DB-1944B02C74C0}" name="Colonne10713"/>
    <tableColumn id="10722" xr3:uid="{AB4E40C1-FB84-4C7A-88A1-3CFE1A74CD56}" name="Colonne10714"/>
    <tableColumn id="10723" xr3:uid="{E1FD8A4E-9CAA-4975-A7A2-9C3A437AA1F9}" name="Colonne10715"/>
    <tableColumn id="10724" xr3:uid="{03FCD47C-71B1-4D59-94D0-6EE695BA5EF3}" name="Colonne10716"/>
    <tableColumn id="10725" xr3:uid="{DC6C55AD-BBB6-4885-955F-07690B6DF837}" name="Colonne10717"/>
    <tableColumn id="10726" xr3:uid="{7231E9C2-B845-44D1-AE9A-B575DCA5561E}" name="Colonne10718"/>
    <tableColumn id="10727" xr3:uid="{9DBE4DB0-CD75-49BD-A7ED-57EC20DABD85}" name="Colonne10719"/>
    <tableColumn id="10728" xr3:uid="{DB2957BE-9C7F-4FC7-8E6F-7344CAD96847}" name="Colonne10720"/>
    <tableColumn id="10729" xr3:uid="{AFE3EF17-5847-4FE4-AA7A-B619489361C1}" name="Colonne10721"/>
    <tableColumn id="10730" xr3:uid="{1949B273-50C2-4D4B-8266-1DCC4F85F843}" name="Colonne10722"/>
    <tableColumn id="10731" xr3:uid="{D5AB6EEF-62AC-4DBC-A13A-572D49F79E18}" name="Colonne10723"/>
    <tableColumn id="10732" xr3:uid="{4490BBE6-5719-49BB-B1CA-68836B724F3A}" name="Colonne10724"/>
    <tableColumn id="10733" xr3:uid="{C0DD011A-6551-4F2A-B104-2A775FD70634}" name="Colonne10725"/>
    <tableColumn id="10734" xr3:uid="{6801CC7D-F813-472A-8B58-481EC4121103}" name="Colonne10726"/>
    <tableColumn id="10735" xr3:uid="{F3F41C79-C8FD-4DC1-AC7C-9355DA32D149}" name="Colonne10727"/>
    <tableColumn id="10736" xr3:uid="{457B99FA-48E0-4EDD-B2B4-303A2A8FA10E}" name="Colonne10728"/>
    <tableColumn id="10737" xr3:uid="{A643A0A3-9D71-4887-A9D1-C7B37F973656}" name="Colonne10729"/>
    <tableColumn id="10738" xr3:uid="{38D9BFA1-34CD-423C-B6E2-78DC98AEE3D7}" name="Colonne10730"/>
    <tableColumn id="10739" xr3:uid="{1C582FBD-E9F6-4B1F-80A2-0AF1F4CA7E36}" name="Colonne10731"/>
    <tableColumn id="10740" xr3:uid="{A5E99AE9-F0D4-4499-B4C7-E2C0959BB275}" name="Colonne10732"/>
    <tableColumn id="10741" xr3:uid="{45323F6F-0C69-43B5-B053-35F0C2F96CDA}" name="Colonne10733"/>
    <tableColumn id="10742" xr3:uid="{572DBB07-C1E5-4B24-AD88-3D9EE21D0A3D}" name="Colonne10734"/>
    <tableColumn id="10743" xr3:uid="{7F171847-9488-41CC-AB93-6EEFFB9E51C9}" name="Colonne10735"/>
    <tableColumn id="10744" xr3:uid="{02D49B78-FD58-4A5C-BD89-BC10898B75FC}" name="Colonne10736"/>
    <tableColumn id="10745" xr3:uid="{73AAE884-907F-4FDA-9298-8916DFCB6E7C}" name="Colonne10737"/>
    <tableColumn id="10746" xr3:uid="{A6E1A60D-B452-4C7C-8C3A-90EF9FCD3270}" name="Colonne10738"/>
    <tableColumn id="10747" xr3:uid="{391DAEA7-72D3-4F3D-8978-19C37CACF2D4}" name="Colonne10739"/>
    <tableColumn id="10748" xr3:uid="{FA04D41E-592F-45FC-9612-6B3E291F9A52}" name="Colonne10740"/>
    <tableColumn id="10749" xr3:uid="{4CF39740-423F-4420-84FA-ED9D3CC5243A}" name="Colonne10741"/>
    <tableColumn id="10750" xr3:uid="{50423B2D-EE9F-4651-B18F-95B6619DFAE1}" name="Colonne10742"/>
    <tableColumn id="10751" xr3:uid="{F8F6D39E-2B5F-40DF-9539-96A476F2586D}" name="Colonne10743"/>
    <tableColumn id="10752" xr3:uid="{3F25AD6D-616D-402D-A921-8CE352D522AF}" name="Colonne10744"/>
    <tableColumn id="10753" xr3:uid="{E88822A2-EDFD-48A4-8289-DAC405DD8D9E}" name="Colonne10745"/>
    <tableColumn id="10754" xr3:uid="{18892BF2-8575-4C63-B54E-C2240F66B0DC}" name="Colonne10746"/>
    <tableColumn id="10755" xr3:uid="{46A0E013-5FE6-4FA5-9B9D-26F6721BEE55}" name="Colonne10747"/>
    <tableColumn id="10756" xr3:uid="{B5FC4EC3-4260-460C-8593-56A545F6674C}" name="Colonne10748"/>
    <tableColumn id="10757" xr3:uid="{53799898-FE9E-4FFF-9DE0-642CD063819A}" name="Colonne10749"/>
    <tableColumn id="10758" xr3:uid="{88B01F1B-2E58-4F42-8DA9-1A48843823E7}" name="Colonne10750"/>
    <tableColumn id="10759" xr3:uid="{C67C8204-608A-4075-BBC5-080F6F1525E6}" name="Colonne10751"/>
    <tableColumn id="10760" xr3:uid="{75C18044-19BA-412A-92B9-839B879916B1}" name="Colonne10752"/>
    <tableColumn id="10761" xr3:uid="{44609D2A-7564-4BEA-8DDB-CE33EA56CD9E}" name="Colonne10753"/>
    <tableColumn id="10762" xr3:uid="{6382C8E1-1359-4DFD-B952-E4060E69806F}" name="Colonne10754"/>
    <tableColumn id="10763" xr3:uid="{47F55E45-6685-4260-8A46-01E15F0F0BB2}" name="Colonne10755"/>
    <tableColumn id="10764" xr3:uid="{6AB5FB9D-0A57-4970-AEB8-C8E4231A320B}" name="Colonne10756"/>
    <tableColumn id="10765" xr3:uid="{29690F1C-3A56-4C97-959E-9B8FD40F30FD}" name="Colonne10757"/>
    <tableColumn id="10766" xr3:uid="{31867337-7FF3-4F33-B9F4-E38D82571570}" name="Colonne10758"/>
    <tableColumn id="10767" xr3:uid="{DB6B18B1-5FF7-443B-95C0-D974439473C8}" name="Colonne10759"/>
    <tableColumn id="10768" xr3:uid="{47F31F73-B696-417B-B097-08913BB2F11A}" name="Colonne10760"/>
    <tableColumn id="10769" xr3:uid="{9D58D88F-D81C-477C-A228-81EBA5435549}" name="Colonne10761"/>
    <tableColumn id="10770" xr3:uid="{AC1C975D-BBDA-4C81-9D61-CBFB4812E951}" name="Colonne10762"/>
    <tableColumn id="10771" xr3:uid="{BFAB7529-B9AE-47D7-AFAF-E90F9D455F7B}" name="Colonne10763"/>
    <tableColumn id="10772" xr3:uid="{D98E86C8-F3A2-4E29-A618-4290DB609B1D}" name="Colonne10764"/>
    <tableColumn id="10773" xr3:uid="{2E3A8D48-D26D-4D88-BFB1-2D0ACEC57D9E}" name="Colonne10765"/>
    <tableColumn id="10774" xr3:uid="{00F12371-A94F-4F70-AEF0-B2533C987A2B}" name="Colonne10766"/>
    <tableColumn id="10775" xr3:uid="{3E7B6529-2FE4-4D98-A4F0-95CB9C49ECF0}" name="Colonne10767"/>
    <tableColumn id="10776" xr3:uid="{E579EF9F-3311-4DDF-AAA9-F0AFEA042F12}" name="Colonne10768"/>
    <tableColumn id="10777" xr3:uid="{640BCEAC-C4E2-4CEB-A762-030EA08B0E55}" name="Colonne10769"/>
    <tableColumn id="10778" xr3:uid="{0C03BCB0-8D50-4A02-93BA-13C182DC85B1}" name="Colonne10770"/>
    <tableColumn id="10779" xr3:uid="{69BEE254-81DD-423A-8439-3D7ACB45D8AD}" name="Colonne10771"/>
    <tableColumn id="10780" xr3:uid="{1CFDA0D5-064E-4091-808D-D4C8D78CD1E6}" name="Colonne10772"/>
    <tableColumn id="10781" xr3:uid="{18BBCA73-3F65-4DA3-9EBC-B75858E79268}" name="Colonne10773"/>
    <tableColumn id="10782" xr3:uid="{FCDD28DC-B305-42AD-86EE-F96813B3213F}" name="Colonne10774"/>
    <tableColumn id="10783" xr3:uid="{00A5359E-9412-4459-8AFF-F1D18A0BEAC8}" name="Colonne10775"/>
    <tableColumn id="10784" xr3:uid="{3A47A894-5E3A-45B4-ABF6-743181935F1A}" name="Colonne10776"/>
    <tableColumn id="10785" xr3:uid="{44582971-4E8F-402B-81E0-F47C5520175A}" name="Colonne10777"/>
    <tableColumn id="10786" xr3:uid="{FB16772E-FB4D-4046-ADB7-6DAA5DA2230A}" name="Colonne10778"/>
    <tableColumn id="10787" xr3:uid="{BA75159F-8F11-45C8-A36F-E378696EB272}" name="Colonne10779"/>
    <tableColumn id="10788" xr3:uid="{7C36EAC3-CEB2-41C5-B3D8-2CD62D82696D}" name="Colonne10780"/>
    <tableColumn id="10789" xr3:uid="{4C1F4F37-E19F-42A6-9F3F-244265AF03E6}" name="Colonne10781"/>
    <tableColumn id="10790" xr3:uid="{B7C074AE-C50D-443D-AEA8-C9D2B1267EE5}" name="Colonne10782"/>
    <tableColumn id="10791" xr3:uid="{9F4B8EF0-83A5-4DE4-99D3-78312E399413}" name="Colonne10783"/>
    <tableColumn id="10792" xr3:uid="{65159E66-EBE6-4076-9296-E28ED9B336EC}" name="Colonne10784"/>
    <tableColumn id="10793" xr3:uid="{FD96427B-A38A-48A7-BF3C-D1B9A2174261}" name="Colonne10785"/>
    <tableColumn id="10794" xr3:uid="{FE1EF514-BF7C-41B2-B10B-C9BFA83F5E11}" name="Colonne10786"/>
    <tableColumn id="10795" xr3:uid="{0844365D-5AD2-47A2-821C-67CA023F3119}" name="Colonne10787"/>
    <tableColumn id="10796" xr3:uid="{68B9F6EE-60E2-4041-8A4D-0128302DFF22}" name="Colonne10788"/>
    <tableColumn id="10797" xr3:uid="{81DA3464-1B9F-491E-99A9-5CC8A1AD7BB7}" name="Colonne10789"/>
    <tableColumn id="10798" xr3:uid="{54394BAD-5884-41B5-A3DC-72ADA8203E6B}" name="Colonne10790"/>
    <tableColumn id="10799" xr3:uid="{9128B28D-A87B-4601-B2CC-14C511F45D19}" name="Colonne10791"/>
    <tableColumn id="10800" xr3:uid="{E8766380-ACED-4AC7-AF43-B101123D57D6}" name="Colonne10792"/>
    <tableColumn id="10801" xr3:uid="{074AAEB1-FD97-46A5-B8D8-1D6856945EAA}" name="Colonne10793"/>
    <tableColumn id="10802" xr3:uid="{37F84D58-B17E-45C5-B2B7-1DB15DE35ED8}" name="Colonne10794"/>
    <tableColumn id="10803" xr3:uid="{328D8600-F05D-4762-A540-64A4A69EF6CD}" name="Colonne10795"/>
    <tableColumn id="10804" xr3:uid="{6E38920C-315B-4996-A63C-4D7637D2E820}" name="Colonne10796"/>
    <tableColumn id="10805" xr3:uid="{923F9502-BD4F-4ED2-A881-D9F69107A8DF}" name="Colonne10797"/>
    <tableColumn id="10806" xr3:uid="{CE9F18C0-C614-4D6C-90A8-E5633F03D1B4}" name="Colonne10798"/>
    <tableColumn id="10807" xr3:uid="{C5AAAA26-1C7A-411E-AA3D-7BF464806F92}" name="Colonne10799"/>
    <tableColumn id="10808" xr3:uid="{C598C353-64C6-425A-9A11-C68E0AAC7EAA}" name="Colonne10800"/>
    <tableColumn id="10809" xr3:uid="{FD13F9B9-AE39-4DE1-B8A4-6369BD07E794}" name="Colonne10801"/>
    <tableColumn id="10810" xr3:uid="{B0D4D296-7955-4EC0-9762-5C81199106CC}" name="Colonne10802"/>
    <tableColumn id="10811" xr3:uid="{7EAC8A17-FF01-4E19-9D77-18630B5489DB}" name="Colonne10803"/>
    <tableColumn id="10812" xr3:uid="{AEBED7F3-5357-4F7C-A7DD-8ED780BA16ED}" name="Colonne10804"/>
    <tableColumn id="10813" xr3:uid="{DD44337D-AD53-41DC-AD37-6753A278CB12}" name="Colonne10805"/>
    <tableColumn id="10814" xr3:uid="{451D823F-4BC5-41FA-91EE-4798A9E32FF2}" name="Colonne10806"/>
    <tableColumn id="10815" xr3:uid="{8E20070B-B30A-4620-9681-817B984F68F1}" name="Colonne10807"/>
    <tableColumn id="10816" xr3:uid="{0FE47A6E-2CA4-4048-AA06-060D5A0D265A}" name="Colonne10808"/>
    <tableColumn id="10817" xr3:uid="{3A57724B-6DE1-43E5-BBDC-DEDF964FACFC}" name="Colonne10809"/>
    <tableColumn id="10818" xr3:uid="{0467854A-EB9B-45E1-881D-46F42B9A5A09}" name="Colonne10810"/>
    <tableColumn id="10819" xr3:uid="{04F4F9BD-6353-41A6-95F5-BF2A1FE6CEC5}" name="Colonne10811"/>
    <tableColumn id="10820" xr3:uid="{D56081FF-2A6F-43E7-BAD9-76E362A38B15}" name="Colonne10812"/>
    <tableColumn id="10821" xr3:uid="{70BED5B3-37F8-4958-9818-58F663BCC760}" name="Colonne10813"/>
    <tableColumn id="10822" xr3:uid="{8319AC09-498C-421E-ABA3-A9ED0AFD2C8D}" name="Colonne10814"/>
    <tableColumn id="10823" xr3:uid="{6FD68FD9-91D0-4AB4-913B-73FB57159A28}" name="Colonne10815"/>
    <tableColumn id="10824" xr3:uid="{5AF3906F-2AF1-44E5-9FA9-430A5FAF8491}" name="Colonne10816"/>
    <tableColumn id="10825" xr3:uid="{CB81C2BE-7421-483C-A104-C6ACA8D83E0B}" name="Colonne10817"/>
    <tableColumn id="10826" xr3:uid="{8E43E200-8B8C-4F1F-8E1C-AD02B5F1DF42}" name="Colonne10818"/>
    <tableColumn id="10827" xr3:uid="{20819DE7-C1EE-4F73-B886-77847D2945B2}" name="Colonne10819"/>
    <tableColumn id="10828" xr3:uid="{317F80EE-1D49-4F6F-948D-CDC945431D4F}" name="Colonne10820"/>
    <tableColumn id="10829" xr3:uid="{F7B948DE-6D1C-4E61-9FB2-84BA676F2329}" name="Colonne10821"/>
    <tableColumn id="10830" xr3:uid="{C94AAF0F-A9B6-45AB-8E89-75D56C331C19}" name="Colonne10822"/>
    <tableColumn id="10831" xr3:uid="{1463E029-229A-4F8E-BE4C-7811478AE2FD}" name="Colonne10823"/>
    <tableColumn id="10832" xr3:uid="{75C7249F-6F0C-4D13-B87D-82915D64EAE0}" name="Colonne10824"/>
    <tableColumn id="10833" xr3:uid="{32ED4991-16F3-44B6-A827-E57504882514}" name="Colonne10825"/>
    <tableColumn id="10834" xr3:uid="{992D2B1E-6436-4433-B69C-1EA2D3EECB30}" name="Colonne10826"/>
    <tableColumn id="10835" xr3:uid="{9B8E896A-4D8F-4D40-A146-5C919AECF3C7}" name="Colonne10827"/>
    <tableColumn id="10836" xr3:uid="{5B967C7E-6E40-4722-B48C-11BE306AD76A}" name="Colonne10828"/>
    <tableColumn id="10837" xr3:uid="{776F708E-4B44-4A98-A8EC-69A9C9154525}" name="Colonne10829"/>
    <tableColumn id="10838" xr3:uid="{E5DA0FC5-9276-425D-9AA6-DD2A1EAEAA6B}" name="Colonne10830"/>
    <tableColumn id="10839" xr3:uid="{F2DA4095-B49C-4986-8D65-C5963B3DCA7D}" name="Colonne10831"/>
    <tableColumn id="10840" xr3:uid="{CE001A59-A961-465B-A922-6B66FEB3426B}" name="Colonne10832"/>
    <tableColumn id="10841" xr3:uid="{79C6824D-7942-4F80-A37D-230CA254EA47}" name="Colonne10833"/>
    <tableColumn id="10842" xr3:uid="{7BC73EFA-34FC-491B-800F-19FCDF775369}" name="Colonne10834"/>
    <tableColumn id="10843" xr3:uid="{59F64799-8371-476F-B39B-F261231EF10E}" name="Colonne10835"/>
    <tableColumn id="10844" xr3:uid="{A51D35FD-8ECA-4C3A-9EDB-B9F46AA03545}" name="Colonne10836"/>
    <tableColumn id="10845" xr3:uid="{D368231B-47FC-4F33-A17E-FEF350CFB364}" name="Colonne10837"/>
    <tableColumn id="10846" xr3:uid="{F961CD75-A03F-406F-9761-A21CFB3D2B3F}" name="Colonne10838"/>
    <tableColumn id="10847" xr3:uid="{7FA98F44-CD86-4DDE-BFD0-03DC56900611}" name="Colonne10839"/>
    <tableColumn id="10848" xr3:uid="{1CFE2A12-5458-4838-B88D-1A0A4EAC9CB2}" name="Colonne10840"/>
    <tableColumn id="10849" xr3:uid="{B998F725-6223-4AAA-A70F-D808762DC571}" name="Colonne10841"/>
    <tableColumn id="10850" xr3:uid="{5052BA96-5232-4F3C-8A94-1580F373E487}" name="Colonne10842"/>
    <tableColumn id="10851" xr3:uid="{574CF348-C221-45F8-8766-97DBB3158D8B}" name="Colonne10843"/>
    <tableColumn id="10852" xr3:uid="{0C887E01-97BC-400D-A4C8-9F988B31307A}" name="Colonne10844"/>
    <tableColumn id="10853" xr3:uid="{8B0FAD35-4665-4362-A18D-F1C305E735C6}" name="Colonne10845"/>
    <tableColumn id="10854" xr3:uid="{597E336E-53A5-4BDD-84D8-67AD5095379D}" name="Colonne10846"/>
    <tableColumn id="10855" xr3:uid="{4E6EEEF1-25E8-403A-8619-A6A745926303}" name="Colonne10847"/>
    <tableColumn id="10856" xr3:uid="{EB18CD5F-22E1-469D-92C4-9AC1D761A220}" name="Colonne10848"/>
    <tableColumn id="10857" xr3:uid="{72DE7905-C5A4-414C-BE80-B24AA4298E04}" name="Colonne10849"/>
    <tableColumn id="10858" xr3:uid="{B419B50B-E254-47FB-95AF-3A49DD214F79}" name="Colonne10850"/>
    <tableColumn id="10859" xr3:uid="{B2F06499-5E03-44F5-8ED1-1D87DF7FABA8}" name="Colonne10851"/>
    <tableColumn id="10860" xr3:uid="{EC1D3529-6A32-4C69-A304-C1B243B30B93}" name="Colonne10852"/>
    <tableColumn id="10861" xr3:uid="{7F5372A0-E5E6-4DAD-9471-2DBFF41AEB28}" name="Colonne10853"/>
    <tableColumn id="10862" xr3:uid="{CBAE7E04-770D-46E8-A453-C74C880E5DF2}" name="Colonne10854"/>
    <tableColumn id="10863" xr3:uid="{5501F2D6-EE99-446C-B97F-DF59CE6E8177}" name="Colonne10855"/>
    <tableColumn id="10864" xr3:uid="{A9AFFD9F-4084-4FB8-9D49-4442A368589E}" name="Colonne10856"/>
    <tableColumn id="10865" xr3:uid="{0CB81D8C-A93F-4DF1-8765-5D247E30450A}" name="Colonne10857"/>
    <tableColumn id="10866" xr3:uid="{96C78A06-CB42-405C-B00D-C66F79AB3676}" name="Colonne10858"/>
    <tableColumn id="10867" xr3:uid="{AEBB4D5E-24DA-4189-8A09-E138DFDAC047}" name="Colonne10859"/>
    <tableColumn id="10868" xr3:uid="{F28673B2-676C-4871-B87C-157DC24B4EDA}" name="Colonne10860"/>
    <tableColumn id="10869" xr3:uid="{6BBA99FB-80FC-4DD8-9F9A-17A016AAB6D9}" name="Colonne10861"/>
    <tableColumn id="10870" xr3:uid="{74B5108E-A84D-411C-91AB-E124BD92F55A}" name="Colonne10862"/>
    <tableColumn id="10871" xr3:uid="{F23F5AF0-60AE-4EAD-8F62-FFBEF96095BC}" name="Colonne10863"/>
    <tableColumn id="10872" xr3:uid="{E81C437A-AFC0-4DB4-AE29-C19B915F80AE}" name="Colonne10864"/>
    <tableColumn id="10873" xr3:uid="{5A9D3AB5-4C49-4AA5-B0D4-2AA7B995E1BC}" name="Colonne10865"/>
    <tableColumn id="10874" xr3:uid="{B4A209D0-F0D7-4865-BB25-8E25AC29C33C}" name="Colonne10866"/>
    <tableColumn id="10875" xr3:uid="{8DC86CCD-CCB0-463D-84C0-272EE96D3E9F}" name="Colonne10867"/>
    <tableColumn id="10876" xr3:uid="{35F93860-BCD1-42FE-9C9B-215C44FA28AD}" name="Colonne10868"/>
    <tableColumn id="10877" xr3:uid="{90CC2536-738B-4332-8889-71CA73CD2FD5}" name="Colonne10869"/>
    <tableColumn id="10878" xr3:uid="{554ED9DE-E327-4972-9939-94C950D3EF27}" name="Colonne10870"/>
    <tableColumn id="10879" xr3:uid="{0DDEF4F9-26F6-4DAA-A543-A3838B5ADC80}" name="Colonne10871"/>
    <tableColumn id="10880" xr3:uid="{F4D40544-E870-440C-B086-CDDC21E2FE6A}" name="Colonne10872"/>
    <tableColumn id="10881" xr3:uid="{0BC81BC3-D67F-4199-873C-EF3D5E52120B}" name="Colonne10873"/>
    <tableColumn id="10882" xr3:uid="{41157F9F-9E29-498B-9251-7F5968DF234E}" name="Colonne10874"/>
    <tableColumn id="10883" xr3:uid="{BA5814CB-3FD8-4953-9DEF-31D85E7D11E0}" name="Colonne10875"/>
    <tableColumn id="10884" xr3:uid="{24323A23-A2B4-478F-88D4-27F666789516}" name="Colonne10876"/>
    <tableColumn id="10885" xr3:uid="{D03A3A89-9B7C-48AE-9BD4-8FAC3946A864}" name="Colonne10877"/>
    <tableColumn id="10886" xr3:uid="{FF3F2685-200F-4304-9B40-7413B49BA7AA}" name="Colonne10878"/>
    <tableColumn id="10887" xr3:uid="{F119FAD1-D8BF-4508-B3C4-04D47374F503}" name="Colonne10879"/>
    <tableColumn id="10888" xr3:uid="{731FE048-4843-4B72-9041-C8C14D378D12}" name="Colonne10880"/>
    <tableColumn id="10889" xr3:uid="{E1DE1250-0C25-4B36-9431-A79F73DC908E}" name="Colonne10881"/>
    <tableColumn id="10890" xr3:uid="{CA1A96D3-83A3-4BC1-8848-E8654D1715F3}" name="Colonne10882"/>
    <tableColumn id="10891" xr3:uid="{D4DFAA09-B8FE-4104-8094-CC9328A6F97A}" name="Colonne10883"/>
    <tableColumn id="10892" xr3:uid="{E7A7D703-4530-4C38-AC84-C6825FB0F985}" name="Colonne10884"/>
    <tableColumn id="10893" xr3:uid="{F8BA43EC-B820-4CE5-9E45-A9207868627F}" name="Colonne10885"/>
    <tableColumn id="10894" xr3:uid="{C1E74FDE-9446-4CFE-98D6-4E0F9CAA6487}" name="Colonne10886"/>
    <tableColumn id="10895" xr3:uid="{3CD8DC65-FEA4-4DC7-86D9-7DEF1E66BCC7}" name="Colonne10887"/>
    <tableColumn id="10896" xr3:uid="{C388C0B7-D08A-4AAF-A799-BADE07DB4600}" name="Colonne10888"/>
    <tableColumn id="10897" xr3:uid="{8315C942-C976-49FB-B5E1-CBFD272B651B}" name="Colonne10889"/>
    <tableColumn id="10898" xr3:uid="{9F517E27-C5F3-4211-BF44-3F99F49FB896}" name="Colonne10890"/>
    <tableColumn id="10899" xr3:uid="{716CBEB5-4C80-4582-91F7-AEE7CB519B36}" name="Colonne10891"/>
    <tableColumn id="10900" xr3:uid="{CE4D921E-A5A3-49A8-BADA-6A222FCABAB5}" name="Colonne10892"/>
    <tableColumn id="10901" xr3:uid="{5B2A4CA1-4977-4E56-9C40-F4201562AE44}" name="Colonne10893"/>
    <tableColumn id="10902" xr3:uid="{872382FC-588A-47AC-A110-82AFDF089932}" name="Colonne10894"/>
    <tableColumn id="10903" xr3:uid="{7D553410-7BAD-410E-A1B1-677CA299BD72}" name="Colonne10895"/>
    <tableColumn id="10904" xr3:uid="{A8D6AA4A-101C-4E22-BC5C-B01172E528CA}" name="Colonne10896"/>
    <tableColumn id="10905" xr3:uid="{2AF74F8E-A02B-4F7B-9F78-3A5E96152C10}" name="Colonne10897"/>
    <tableColumn id="10906" xr3:uid="{32DD9366-4DD7-4474-A6A8-DEB9BE0E7A1C}" name="Colonne10898"/>
    <tableColumn id="10907" xr3:uid="{85AEAA1A-0833-4B41-AF08-CDB91ED8B02D}" name="Colonne10899"/>
    <tableColumn id="10908" xr3:uid="{CB66BE4B-43B4-4608-B472-8AB88662ACD0}" name="Colonne10900"/>
    <tableColumn id="10909" xr3:uid="{792EDD6D-7539-4460-BB1C-C9E4C732ACB8}" name="Colonne10901"/>
    <tableColumn id="10910" xr3:uid="{54E88D82-8513-4BD4-84B3-16772843CCBA}" name="Colonne10902"/>
    <tableColumn id="10911" xr3:uid="{7060B58B-76BA-4178-8E59-9D178EBA7F56}" name="Colonne10903"/>
    <tableColumn id="10912" xr3:uid="{DF48AAF3-087F-43F0-92A7-12816BA4B0C7}" name="Colonne10904"/>
    <tableColumn id="10913" xr3:uid="{40518E31-FDD9-4024-999B-2CCB900AB178}" name="Colonne10905"/>
    <tableColumn id="10914" xr3:uid="{D594CD4F-A8CF-4F6B-925C-B5D6DABCC2CD}" name="Colonne10906"/>
    <tableColumn id="10915" xr3:uid="{A8142406-93BE-4F92-9F49-83941439C56C}" name="Colonne10907"/>
    <tableColumn id="10916" xr3:uid="{24EC263B-572F-461E-977D-43321390ED9B}" name="Colonne10908"/>
    <tableColumn id="10917" xr3:uid="{003DB13F-6CDB-4995-8ADE-58A0103A430B}" name="Colonne10909"/>
    <tableColumn id="10918" xr3:uid="{01769B55-7DE9-4A5A-9A2F-40B6E1512741}" name="Colonne10910"/>
    <tableColumn id="10919" xr3:uid="{ED13EC5D-C023-4F9C-B6F3-30FDEED44BEF}" name="Colonne10911"/>
    <tableColumn id="10920" xr3:uid="{2CACB625-7548-4DFD-84D3-1530478174F8}" name="Colonne10912"/>
    <tableColumn id="10921" xr3:uid="{8CEFD4E0-2504-4126-A557-64BB6FF8B4DB}" name="Colonne10913"/>
    <tableColumn id="10922" xr3:uid="{A24DBAE9-442F-4A2B-8AE9-7B2EE99FDB22}" name="Colonne10914"/>
    <tableColumn id="10923" xr3:uid="{82BA1799-C670-4E38-83BA-228EE15BD551}" name="Colonne10915"/>
    <tableColumn id="10924" xr3:uid="{4E4BBE7F-5E32-4394-8B12-61E557557264}" name="Colonne10916"/>
    <tableColumn id="10925" xr3:uid="{F5F16AA4-8C7C-44D5-8C6B-58A108B13C69}" name="Colonne10917"/>
    <tableColumn id="10926" xr3:uid="{3467F119-6F99-4E53-9605-6C1B8921DF58}" name="Colonne10918"/>
    <tableColumn id="10927" xr3:uid="{542C74CE-22EE-4891-B76E-22FD69B4917B}" name="Colonne10919"/>
    <tableColumn id="10928" xr3:uid="{D6760EE7-397D-48EA-A59B-F7FC3BB622FB}" name="Colonne10920"/>
    <tableColumn id="10929" xr3:uid="{460B893C-104E-42CD-B067-B1B03CF9089B}" name="Colonne10921"/>
    <tableColumn id="10930" xr3:uid="{5DBCD6E1-B556-4A8D-B0AD-A75D94D858F4}" name="Colonne10922"/>
    <tableColumn id="10931" xr3:uid="{B6748867-9974-48D2-B17D-750C7F4AD028}" name="Colonne10923"/>
    <tableColumn id="10932" xr3:uid="{C7BA3CD0-C732-46EA-87DE-438CEB50994A}" name="Colonne10924"/>
    <tableColumn id="10933" xr3:uid="{9E75BF02-D96D-4754-B53F-AA44D92CB16D}" name="Colonne10925"/>
    <tableColumn id="10934" xr3:uid="{376AB24B-6224-40DF-AB7F-FF45C01AA2A5}" name="Colonne10926"/>
    <tableColumn id="10935" xr3:uid="{5DFC5813-DDE7-47F9-90C6-7C6F7F587432}" name="Colonne10927"/>
    <tableColumn id="10936" xr3:uid="{B81D7E9D-86E3-44A5-A21E-CD8BB79788FC}" name="Colonne10928"/>
    <tableColumn id="10937" xr3:uid="{A0C4FE28-3712-402B-BD52-0E8ABB2559CF}" name="Colonne10929"/>
    <tableColumn id="10938" xr3:uid="{B0DDC757-0187-454E-A2F2-A997F5A5D8C0}" name="Colonne10930"/>
    <tableColumn id="10939" xr3:uid="{FBCE443A-3D73-4CDA-831C-8AA4972C49A0}" name="Colonne10931"/>
    <tableColumn id="10940" xr3:uid="{310A15CA-DA41-4E0F-A51C-161F00326DE4}" name="Colonne10932"/>
    <tableColumn id="10941" xr3:uid="{8208ABFE-A92B-4AB8-9C73-B09E5162546E}" name="Colonne10933"/>
    <tableColumn id="10942" xr3:uid="{6128FFC1-DAB3-4BF1-A816-04D158B8B44B}" name="Colonne10934"/>
    <tableColumn id="10943" xr3:uid="{0205B7E6-97D1-4372-B6D9-84E3BC695FCD}" name="Colonne10935"/>
    <tableColumn id="10944" xr3:uid="{42E5649B-0ECC-452C-BC34-53C07F6B43E8}" name="Colonne10936"/>
    <tableColumn id="10945" xr3:uid="{D3320CD8-93B2-40D1-A7B8-8185159F88A6}" name="Colonne10937"/>
    <tableColumn id="10946" xr3:uid="{16715BA7-1683-4BFB-90FD-9CBA9F0A3E3B}" name="Colonne10938"/>
    <tableColumn id="10947" xr3:uid="{BC728635-94DD-4F96-B3A3-E785800345BD}" name="Colonne10939"/>
    <tableColumn id="10948" xr3:uid="{AADB597B-D76D-4231-A399-434BA2DA40B6}" name="Colonne10940"/>
    <tableColumn id="10949" xr3:uid="{90F5F7F2-A734-4F0E-98D4-C06EFA7C41F0}" name="Colonne10941"/>
    <tableColumn id="10950" xr3:uid="{F5FCF681-BEAE-45FD-90C8-0223C321A6E1}" name="Colonne10942"/>
    <tableColumn id="10951" xr3:uid="{83A3EF83-E748-449F-BC87-AD7CD813E045}" name="Colonne10943"/>
    <tableColumn id="10952" xr3:uid="{90A9EE3A-0319-4F20-A0FC-D9740DEBFB97}" name="Colonne10944"/>
    <tableColumn id="10953" xr3:uid="{CD41A40E-8922-4801-AABB-F0FA8A2FBF45}" name="Colonne10945"/>
    <tableColumn id="10954" xr3:uid="{3A63983A-BFF1-4320-B546-973888E3D73A}" name="Colonne10946"/>
    <tableColumn id="10955" xr3:uid="{22289EC0-0AD0-469E-8F2F-6E607259D002}" name="Colonne10947"/>
    <tableColumn id="10956" xr3:uid="{98E2F0D7-2D2E-4ACF-8670-435C10679C58}" name="Colonne10948"/>
    <tableColumn id="10957" xr3:uid="{74D3C792-F9DD-4A77-B7A6-2C522C5CE28F}" name="Colonne10949"/>
    <tableColumn id="10958" xr3:uid="{DF6FF654-FE8C-4CB8-9283-2A4FDF434FB3}" name="Colonne10950"/>
    <tableColumn id="10959" xr3:uid="{400A0C05-FE75-4ABE-A1B5-4816ADBE616E}" name="Colonne10951"/>
    <tableColumn id="10960" xr3:uid="{231200C1-3721-4E40-9AEA-6F83E4376C9F}" name="Colonne10952"/>
    <tableColumn id="10961" xr3:uid="{0B9472DF-348B-4945-BB03-EEF78D01E669}" name="Colonne10953"/>
    <tableColumn id="10962" xr3:uid="{BDB3FDB9-32B1-4D05-B604-0BBD3E86FCDC}" name="Colonne10954"/>
    <tableColumn id="10963" xr3:uid="{D3F6ECDE-D013-4F86-92CD-3B941393A305}" name="Colonne10955"/>
    <tableColumn id="10964" xr3:uid="{2381E9DA-4B70-4EEA-9F88-D10D224FDFE4}" name="Colonne10956"/>
    <tableColumn id="10965" xr3:uid="{AED9F914-B9C3-4C72-BBA6-7148341F6C7E}" name="Colonne10957"/>
    <tableColumn id="10966" xr3:uid="{5D900A24-762E-490E-B76D-7B38D9970F25}" name="Colonne10958"/>
    <tableColumn id="10967" xr3:uid="{EE4BA59A-1C2D-4006-85AD-AA1465714F9B}" name="Colonne10959"/>
    <tableColumn id="10968" xr3:uid="{32E1E888-FE9F-4E02-8174-A83AA4DBEA30}" name="Colonne10960"/>
    <tableColumn id="10969" xr3:uid="{F555C451-95EE-4B5C-B4E8-51D303670959}" name="Colonne10961"/>
    <tableColumn id="10970" xr3:uid="{40B79C02-E296-447F-9E93-1B772ACCD2DA}" name="Colonne10962"/>
    <tableColumn id="10971" xr3:uid="{44FC5118-6081-4D42-8ECA-448C5A475FF4}" name="Colonne10963"/>
    <tableColumn id="10972" xr3:uid="{86D151BF-0B2D-418D-BFF5-BB8BB466353F}" name="Colonne10964"/>
    <tableColumn id="10973" xr3:uid="{DAFF7E57-BFB1-48F9-84FD-7E1DAD3825EC}" name="Colonne10965"/>
    <tableColumn id="10974" xr3:uid="{D3383DAE-53A2-4EB7-9568-2901256A3FDF}" name="Colonne10966"/>
    <tableColumn id="10975" xr3:uid="{21668F1E-9A2C-4877-A225-8BCFAD43134E}" name="Colonne10967"/>
    <tableColumn id="10976" xr3:uid="{D1B0B721-C453-4001-BD48-185EDA6F1C75}" name="Colonne10968"/>
    <tableColumn id="10977" xr3:uid="{42B0D586-29B1-4FCA-BEED-EC41F2BC8CDA}" name="Colonne10969"/>
    <tableColumn id="10978" xr3:uid="{17123CF8-E045-4DB8-9F39-35B76B4C8DB3}" name="Colonne10970"/>
    <tableColumn id="10979" xr3:uid="{9CFD4759-4C87-4653-A2E0-403B0AB521AB}" name="Colonne10971"/>
    <tableColumn id="10980" xr3:uid="{B50E6F40-DD37-4060-A298-3A540D6AE4FC}" name="Colonne10972"/>
    <tableColumn id="10981" xr3:uid="{705B16D5-DA99-408E-B4EB-B383BF9C899F}" name="Colonne10973"/>
    <tableColumn id="10982" xr3:uid="{69CAC0CD-F99C-4BAF-993E-C176FBBFC7FF}" name="Colonne10974"/>
    <tableColumn id="10983" xr3:uid="{5F714CDD-E27A-4C1A-A998-099C7CC732C6}" name="Colonne10975"/>
    <tableColumn id="10984" xr3:uid="{7F7E440B-A158-40C8-A7F8-ACF0AA2752F5}" name="Colonne10976"/>
    <tableColumn id="10985" xr3:uid="{252DA980-B2DF-439B-9697-9E8D742B71DE}" name="Colonne10977"/>
    <tableColumn id="10986" xr3:uid="{749E6F37-EE30-4A74-9361-500B974358E4}" name="Colonne10978"/>
    <tableColumn id="10987" xr3:uid="{E3142394-A53A-406F-B1BD-130009FCAB74}" name="Colonne10979"/>
    <tableColumn id="10988" xr3:uid="{CCC3EAB6-526B-4FB3-AE30-973F51B86F12}" name="Colonne10980"/>
    <tableColumn id="10989" xr3:uid="{A6517EF6-5ADA-4771-88E0-345E6619725A}" name="Colonne10981"/>
    <tableColumn id="10990" xr3:uid="{88465121-095A-4AAB-8879-67AB5B49FC5A}" name="Colonne10982"/>
    <tableColumn id="10991" xr3:uid="{83E83D4C-C476-41BB-A015-1DF79AD195C9}" name="Colonne10983"/>
    <tableColumn id="10992" xr3:uid="{0D3EB70B-12CB-4E86-B77F-271D7BD26B60}" name="Colonne10984"/>
    <tableColumn id="10993" xr3:uid="{51BFCE17-6153-4C87-9359-8153CD5D8845}" name="Colonne10985"/>
    <tableColumn id="10994" xr3:uid="{2A5778A5-DAD2-4BE1-AA7C-055E49B37E48}" name="Colonne10986"/>
    <tableColumn id="10995" xr3:uid="{BDBA75A1-C19A-4038-9362-47B8EDCF8CB4}" name="Colonne10987"/>
    <tableColumn id="10996" xr3:uid="{BFA72144-4CE1-42C8-9C1A-E4EC2730C743}" name="Colonne10988"/>
    <tableColumn id="10997" xr3:uid="{DCA8A1CF-C12A-4969-A6E9-F6673FBDC507}" name="Colonne10989"/>
    <tableColumn id="10998" xr3:uid="{B6F1210C-EEA0-4B2E-BCBE-C544FB557B6E}" name="Colonne10990"/>
    <tableColumn id="10999" xr3:uid="{9D2D6735-C5F8-4E71-8054-271CC122AB56}" name="Colonne10991"/>
    <tableColumn id="11000" xr3:uid="{DA26F999-BE9B-4903-A62D-62FBD6670D11}" name="Colonne10992"/>
    <tableColumn id="11001" xr3:uid="{016205D5-BA8B-41D1-BC1F-23232FC4ECBA}" name="Colonne10993"/>
    <tableColumn id="11002" xr3:uid="{16B873E3-7057-42D3-AC5D-E6C31DCE57CE}" name="Colonne10994"/>
    <tableColumn id="11003" xr3:uid="{D518314C-5B8C-4C67-B211-D2C8ECDE125F}" name="Colonne10995"/>
    <tableColumn id="11004" xr3:uid="{BBD13FF4-4EEC-455D-83A0-E580C0D5E7EB}" name="Colonne10996"/>
    <tableColumn id="11005" xr3:uid="{67672006-B143-4D8C-8BD7-838B329B1985}" name="Colonne10997"/>
    <tableColumn id="11006" xr3:uid="{8D7D8E1A-B094-4A58-8004-A32678BBE890}" name="Colonne10998"/>
    <tableColumn id="11007" xr3:uid="{B1ABA3CB-07AD-4833-A0B0-4796C7802AC8}" name="Colonne10999"/>
    <tableColumn id="11008" xr3:uid="{390F544D-6863-4B44-B066-80BE9C16E281}" name="Colonne11000"/>
    <tableColumn id="11009" xr3:uid="{9CBFF7F1-A833-43E8-9692-5A3177B455D5}" name="Colonne11001"/>
    <tableColumn id="11010" xr3:uid="{6BDD4B63-3575-4904-AB20-D1E68CAA02CA}" name="Colonne11002"/>
    <tableColumn id="11011" xr3:uid="{2B03F928-F033-4C67-BB82-8F1E87014E85}" name="Colonne11003"/>
    <tableColumn id="11012" xr3:uid="{54B82C43-64B4-43A1-9513-20F65824A4BF}" name="Colonne11004"/>
    <tableColumn id="11013" xr3:uid="{0ADA79D5-76EA-4218-B917-C098DCCA44C7}" name="Colonne11005"/>
    <tableColumn id="11014" xr3:uid="{98A31B5F-CD04-4121-AD23-7F7004F0CD95}" name="Colonne11006"/>
    <tableColumn id="11015" xr3:uid="{2A954DDE-583D-4CBB-8454-9A54CE3B7B23}" name="Colonne11007"/>
    <tableColumn id="11016" xr3:uid="{E23FF483-08E8-4772-828A-ED7E949B4177}" name="Colonne11008"/>
    <tableColumn id="11017" xr3:uid="{525F7796-D17C-47E1-86C7-C25240CCB483}" name="Colonne11009"/>
    <tableColumn id="11018" xr3:uid="{8821D44E-E4B0-41A3-B227-E05C83CF7134}" name="Colonne11010"/>
    <tableColumn id="11019" xr3:uid="{18435D0C-F17E-492C-85A7-6732A6EAA32F}" name="Colonne11011"/>
    <tableColumn id="11020" xr3:uid="{7D379AD8-91F6-40D2-9AB9-485543840EC3}" name="Colonne11012"/>
    <tableColumn id="11021" xr3:uid="{49C5A9F0-8B48-4C51-841D-11679CA5E4C5}" name="Colonne11013"/>
    <tableColumn id="11022" xr3:uid="{4441014C-3943-4EA3-A95B-75962C9B2676}" name="Colonne11014"/>
    <tableColumn id="11023" xr3:uid="{0F247E62-B36A-404C-A9C7-D18BED845C4C}" name="Colonne11015"/>
    <tableColumn id="11024" xr3:uid="{29D2C732-9511-4C6F-8651-517AC52B935F}" name="Colonne11016"/>
    <tableColumn id="11025" xr3:uid="{B1CF1698-B7A0-4C51-BBB8-E4DF3A90EE3F}" name="Colonne11017"/>
    <tableColumn id="11026" xr3:uid="{BC652240-AF2A-418C-A51C-020469F40CDE}" name="Colonne11018"/>
    <tableColumn id="11027" xr3:uid="{B11DA908-DBF4-49B5-9C35-FA03959746BC}" name="Colonne11019"/>
    <tableColumn id="11028" xr3:uid="{EC715C51-B993-448E-89EF-F8293CE6A1AB}" name="Colonne11020"/>
    <tableColumn id="11029" xr3:uid="{C20A8E49-E480-4863-B514-FD5A72811E61}" name="Colonne11021"/>
    <tableColumn id="11030" xr3:uid="{CFB5F65E-4A94-47DC-8A19-74918F93472A}" name="Colonne11022"/>
    <tableColumn id="11031" xr3:uid="{56E23E9F-C9E6-4FE6-8431-905655C91726}" name="Colonne11023"/>
    <tableColumn id="11032" xr3:uid="{EE2F8C56-6CFC-42B0-BA7B-51ED47C4961C}" name="Colonne11024"/>
    <tableColumn id="11033" xr3:uid="{9C792463-E524-48CE-B803-CAE35CE038D9}" name="Colonne11025"/>
    <tableColumn id="11034" xr3:uid="{38DE8DF6-324E-4775-890C-DA6A4BF07B8B}" name="Colonne11026"/>
    <tableColumn id="11035" xr3:uid="{9FF0186F-FF9D-4BAC-85C0-63FEC0A86CA0}" name="Colonne11027"/>
    <tableColumn id="11036" xr3:uid="{0ACF7ABB-EA6D-4C01-BF12-12688C7B83F8}" name="Colonne11028"/>
    <tableColumn id="11037" xr3:uid="{BB89BD3A-31CE-4F52-A0C2-E07176A4F7B7}" name="Colonne11029"/>
    <tableColumn id="11038" xr3:uid="{58E78B50-2703-46F4-930B-FF406A864E15}" name="Colonne11030"/>
    <tableColumn id="11039" xr3:uid="{19B841F6-DE23-4581-8DBC-FA39B863BF83}" name="Colonne11031"/>
    <tableColumn id="11040" xr3:uid="{7B672B2F-66BC-4C04-A8B1-094380E5E4A6}" name="Colonne11032"/>
    <tableColumn id="11041" xr3:uid="{6FF280AE-6386-4E2F-90FC-CDF4375FE45D}" name="Colonne11033"/>
    <tableColumn id="11042" xr3:uid="{4A9D4AD5-35EE-45B7-88DA-CDE56D046699}" name="Colonne11034"/>
    <tableColumn id="11043" xr3:uid="{FB03B4C8-5A26-4F1C-A12D-4E5EDAD98A0A}" name="Colonne11035"/>
    <tableColumn id="11044" xr3:uid="{C06279F9-0974-4A47-9EAA-B69983134214}" name="Colonne11036"/>
    <tableColumn id="11045" xr3:uid="{EA6EC8F8-EDE8-4CCF-B35E-BDD187EE2291}" name="Colonne11037"/>
    <tableColumn id="11046" xr3:uid="{BAB4A112-3A40-482B-ADFA-A473772C37C8}" name="Colonne11038"/>
    <tableColumn id="11047" xr3:uid="{8E4EE11B-A8EB-4B5A-B6A2-D5F1103D14B9}" name="Colonne11039"/>
    <tableColumn id="11048" xr3:uid="{7B098E87-4A7F-458F-AE24-814B6521A434}" name="Colonne11040"/>
    <tableColumn id="11049" xr3:uid="{F26AE469-D964-49EE-8CD7-16EE07CB73A9}" name="Colonne11041"/>
    <tableColumn id="11050" xr3:uid="{6F3D4821-53DA-43DD-B61F-8CC54E47136F}" name="Colonne11042"/>
    <tableColumn id="11051" xr3:uid="{12A050DB-F68B-46C7-8080-F1653A999F39}" name="Colonne11043"/>
    <tableColumn id="11052" xr3:uid="{562027B9-2FC9-44E0-81C4-893EE2F52625}" name="Colonne11044"/>
    <tableColumn id="11053" xr3:uid="{9684CB82-A452-4953-8693-8775AAF7043C}" name="Colonne11045"/>
    <tableColumn id="11054" xr3:uid="{98A57AC9-1E9F-4B62-AD50-A74653C71F5A}" name="Colonne11046"/>
    <tableColumn id="11055" xr3:uid="{C9559FBD-ED7B-415E-99C4-7AD0A7504296}" name="Colonne11047"/>
    <tableColumn id="11056" xr3:uid="{02197CA7-1C06-499B-96CE-F85DE59095D5}" name="Colonne11048"/>
    <tableColumn id="11057" xr3:uid="{5513D66D-CEAE-4231-906E-B5595426FB34}" name="Colonne11049"/>
    <tableColumn id="11058" xr3:uid="{416A8BB9-B2EA-4214-929A-AA5F97B005E4}" name="Colonne11050"/>
    <tableColumn id="11059" xr3:uid="{1867E89C-4099-4023-90A0-4829D860B017}" name="Colonne11051"/>
    <tableColumn id="11060" xr3:uid="{905A840B-57E2-4576-9196-A6CF38547068}" name="Colonne11052"/>
    <tableColumn id="11061" xr3:uid="{7AF474D1-316C-4820-BFF6-796AFD34806F}" name="Colonne11053"/>
    <tableColumn id="11062" xr3:uid="{F1D721C1-9967-4128-9D00-CFBB13DB56DC}" name="Colonne11054"/>
    <tableColumn id="11063" xr3:uid="{45F6F0C9-5BBD-4679-A278-81E73663AB4D}" name="Colonne11055"/>
    <tableColumn id="11064" xr3:uid="{537E71EF-9D52-4513-8152-53A1CE7E9DAC}" name="Colonne11056"/>
    <tableColumn id="11065" xr3:uid="{13E3D6D8-A6E5-4918-A520-1742A6DA59EA}" name="Colonne11057"/>
    <tableColumn id="11066" xr3:uid="{71ABBE90-9E11-49AB-82C2-14C518A12FE0}" name="Colonne11058"/>
    <tableColumn id="11067" xr3:uid="{4DEE9589-1FA5-4932-A83A-2E965B3B96A8}" name="Colonne11059"/>
    <tableColumn id="11068" xr3:uid="{D1B3EA6A-1C46-49B3-A72F-AB38E61263E2}" name="Colonne11060"/>
    <tableColumn id="11069" xr3:uid="{6531581D-F1A6-40E3-9158-E2AF4D3CB812}" name="Colonne11061"/>
    <tableColumn id="11070" xr3:uid="{CE9C640A-BAA7-4DD6-A2A4-04287B6E074B}" name="Colonne11062"/>
    <tableColumn id="11071" xr3:uid="{EA8F01C1-2EDD-4CD7-8B7D-1A7EBD328B40}" name="Colonne11063"/>
    <tableColumn id="11072" xr3:uid="{8723E4F6-FF10-45BF-B19A-19F132DE8477}" name="Colonne11064"/>
    <tableColumn id="11073" xr3:uid="{9FD4E8E8-3990-4148-9EA2-3B5B552A0DFD}" name="Colonne11065"/>
    <tableColumn id="11074" xr3:uid="{1A90FE86-978B-43C5-ADB6-2BFFE6C00516}" name="Colonne11066"/>
    <tableColumn id="11075" xr3:uid="{F3B329F3-CF57-407F-B994-FDBDD2383199}" name="Colonne11067"/>
    <tableColumn id="11076" xr3:uid="{88F8F10B-459E-4CCD-BB57-8ED8064376D6}" name="Colonne11068"/>
    <tableColumn id="11077" xr3:uid="{E49ADDF6-D6F7-44D8-9BB8-D3A44ED819DD}" name="Colonne11069"/>
    <tableColumn id="11078" xr3:uid="{15523E95-F52C-4ACC-B928-4F594398EF1F}" name="Colonne11070"/>
    <tableColumn id="11079" xr3:uid="{28D7E04A-0601-4CDD-8AFB-C7AB01B094E7}" name="Colonne11071"/>
    <tableColumn id="11080" xr3:uid="{F86F3413-9793-4CF9-A247-220BF9C21AFA}" name="Colonne11072"/>
    <tableColumn id="11081" xr3:uid="{F8EB80D9-DD86-4CBB-8016-9999E061889C}" name="Colonne11073"/>
    <tableColumn id="11082" xr3:uid="{9BF67914-901D-4BF8-A17A-FB50835A7A4E}" name="Colonne11074"/>
    <tableColumn id="11083" xr3:uid="{3F2477D0-1FD5-4EFD-B290-E72868165F0B}" name="Colonne11075"/>
    <tableColumn id="11084" xr3:uid="{6A705911-0AB0-4237-9006-5F84B52D8EBF}" name="Colonne11076"/>
    <tableColumn id="11085" xr3:uid="{84B87A48-3C44-4FE4-A818-B0AC36FA7345}" name="Colonne11077"/>
    <tableColumn id="11086" xr3:uid="{ED120944-D848-48F9-9104-A4199823784A}" name="Colonne11078"/>
    <tableColumn id="11087" xr3:uid="{BC114DE1-342B-4834-B6EC-757DE7C2EEE3}" name="Colonne11079"/>
    <tableColumn id="11088" xr3:uid="{DB7A04AC-E8B6-4C8C-A714-E6A0ADDA06F1}" name="Colonne11080"/>
    <tableColumn id="11089" xr3:uid="{E43F4D0C-F602-40EB-9714-53ECA0EEB80C}" name="Colonne11081"/>
    <tableColumn id="11090" xr3:uid="{029B8AA0-00D3-4395-85BF-C32BEC927D76}" name="Colonne11082"/>
    <tableColumn id="11091" xr3:uid="{9D30F737-1CEA-41E3-8994-4B89E0C38FB0}" name="Colonne11083"/>
    <tableColumn id="11092" xr3:uid="{7BA47069-5BDE-4BF2-8426-A7DD32197CB8}" name="Colonne11084"/>
    <tableColumn id="11093" xr3:uid="{CE1C8EEB-979E-4E8A-A759-0575B700E533}" name="Colonne11085"/>
    <tableColumn id="11094" xr3:uid="{39CC95B3-926D-4569-8C45-19ED1B7D2E41}" name="Colonne11086"/>
    <tableColumn id="11095" xr3:uid="{CE9973C1-F485-48AB-B6A2-2752853F69DA}" name="Colonne11087"/>
    <tableColumn id="11096" xr3:uid="{47E6793F-899A-4D06-AF89-4AB4DF4F15F6}" name="Colonne11088"/>
    <tableColumn id="11097" xr3:uid="{249F8981-B4BE-4F4B-B4A8-1B04C47E1A80}" name="Colonne11089"/>
    <tableColumn id="11098" xr3:uid="{088E43B3-4968-4911-99D6-82294030771C}" name="Colonne11090"/>
    <tableColumn id="11099" xr3:uid="{849F7971-ADC0-496C-83CB-B71364E05D27}" name="Colonne11091"/>
    <tableColumn id="11100" xr3:uid="{BFDBECA0-3BB0-43AA-B0EB-56ECD7BB276F}" name="Colonne11092"/>
    <tableColumn id="11101" xr3:uid="{FC966EAD-5D32-4124-8DF3-3C553DA059B3}" name="Colonne11093"/>
    <tableColumn id="11102" xr3:uid="{C49504CD-B123-4FAF-92C5-D484A4C99779}" name="Colonne11094"/>
    <tableColumn id="11103" xr3:uid="{3D43630F-247B-4A5F-9EB0-F306094E9F41}" name="Colonne11095"/>
    <tableColumn id="11104" xr3:uid="{8C494B39-143D-4A92-852E-890D3ED0DF35}" name="Colonne11096"/>
    <tableColumn id="11105" xr3:uid="{7DDDB381-243A-49A2-90A0-0EA828D3B31A}" name="Colonne11097"/>
    <tableColumn id="11106" xr3:uid="{F36A303E-62E9-433F-B7F7-1CA28956B2F7}" name="Colonne11098"/>
    <tableColumn id="11107" xr3:uid="{74F04CFA-8CE5-465B-BCFE-CFF82A1C624B}" name="Colonne11099"/>
    <tableColumn id="11108" xr3:uid="{2B37FF28-58AF-4940-B527-58957726FDB4}" name="Colonne11100"/>
    <tableColumn id="11109" xr3:uid="{CBB82653-BA90-44C6-9241-FF7549069812}" name="Colonne11101"/>
    <tableColumn id="11110" xr3:uid="{739A7E89-42CF-4144-97AC-F57E265BBA59}" name="Colonne11102"/>
    <tableColumn id="11111" xr3:uid="{34800892-A863-4CEF-8B76-0810C3FD673F}" name="Colonne11103"/>
    <tableColumn id="11112" xr3:uid="{540DE80B-7627-4ACE-BC5A-FB5FDD87CCC6}" name="Colonne11104"/>
    <tableColumn id="11113" xr3:uid="{C109616D-B149-42E4-B9F8-FA146B88C0EA}" name="Colonne11105"/>
    <tableColumn id="11114" xr3:uid="{E94047A2-D38A-4E04-9C59-2BA2197D35E8}" name="Colonne11106"/>
    <tableColumn id="11115" xr3:uid="{2585B267-54B3-4908-AEAD-C757BB221FA6}" name="Colonne11107"/>
    <tableColumn id="11116" xr3:uid="{C7DC8B3D-8B36-4C35-B3C9-BE0A4A68063C}" name="Colonne11108"/>
    <tableColumn id="11117" xr3:uid="{C8A4C70C-4586-460A-ACB8-26043CF6897F}" name="Colonne11109"/>
    <tableColumn id="11118" xr3:uid="{865778DF-19F2-45EF-9662-A0BD69942C45}" name="Colonne11110"/>
    <tableColumn id="11119" xr3:uid="{8D2B1CD4-5547-4418-AC11-402D0C698089}" name="Colonne11111"/>
    <tableColumn id="11120" xr3:uid="{854FFDF3-B26B-4F61-8CD6-4872635A5459}" name="Colonne11112"/>
    <tableColumn id="11121" xr3:uid="{270E31A4-DFCC-4494-9161-4FC04C2C86B4}" name="Colonne11113"/>
    <tableColumn id="11122" xr3:uid="{BD655999-F0DA-44B0-AFF4-5F003399EB00}" name="Colonne11114"/>
    <tableColumn id="11123" xr3:uid="{F212143C-A95B-42BC-A723-1E2520D56C57}" name="Colonne11115"/>
    <tableColumn id="11124" xr3:uid="{F5A68AE5-17DF-420C-8A49-30557E1ED0F3}" name="Colonne11116"/>
    <tableColumn id="11125" xr3:uid="{925F7B01-E325-4F6B-8BD0-F1E830BCEB4C}" name="Colonne11117"/>
    <tableColumn id="11126" xr3:uid="{91E9782D-DB69-4D46-BE12-15740C602A15}" name="Colonne11118"/>
    <tableColumn id="11127" xr3:uid="{89F089A9-36D7-4509-A39C-3D5CBDD1192A}" name="Colonne11119"/>
    <tableColumn id="11128" xr3:uid="{7A3FBA6A-992A-42DC-A815-1A9AD9EB571D}" name="Colonne11120"/>
    <tableColumn id="11129" xr3:uid="{92EA4C68-2F69-4926-A0A3-B63F9C6A33DB}" name="Colonne11121"/>
    <tableColumn id="11130" xr3:uid="{76DD79D7-5FC9-4D28-BB6B-C4AD1C1B71D5}" name="Colonne11122"/>
    <tableColumn id="11131" xr3:uid="{ECDEE02E-C858-488A-B417-49457E796C1C}" name="Colonne11123"/>
    <tableColumn id="11132" xr3:uid="{36A151E1-2F89-482E-BABE-3D1EC5C8D49B}" name="Colonne11124"/>
    <tableColumn id="11133" xr3:uid="{81B733F4-A556-4BA2-A8BA-0A7278C43CE2}" name="Colonne11125"/>
    <tableColumn id="11134" xr3:uid="{59F34CCB-26D0-4BB7-B463-14CBE5EE5200}" name="Colonne11126"/>
    <tableColumn id="11135" xr3:uid="{D4634F2F-B752-4CBB-ABB1-0F3BBC4CF910}" name="Colonne11127"/>
    <tableColumn id="11136" xr3:uid="{8D4D157D-2E07-463B-A7C3-B507A897288F}" name="Colonne11128"/>
    <tableColumn id="11137" xr3:uid="{4A57DF33-4017-4A62-8AFB-C8549958EE23}" name="Colonne11129"/>
    <tableColumn id="11138" xr3:uid="{5FEDF979-A73A-4F05-BBA0-CC5500874D6F}" name="Colonne11130"/>
    <tableColumn id="11139" xr3:uid="{FD0E66DF-218D-4437-B442-6EC0FFA50E28}" name="Colonne11131"/>
    <tableColumn id="11140" xr3:uid="{0369203B-3BE2-4100-A7EF-6BE0361CBDD2}" name="Colonne11132"/>
    <tableColumn id="11141" xr3:uid="{20EDB910-6362-4FAA-9338-C156061BB250}" name="Colonne11133"/>
    <tableColumn id="11142" xr3:uid="{D8443DFE-6ED3-43D2-BBF8-9339897E4D6E}" name="Colonne11134"/>
    <tableColumn id="11143" xr3:uid="{26553FD4-AA21-4245-80DD-9FDCAE5A6B07}" name="Colonne11135"/>
    <tableColumn id="11144" xr3:uid="{DB1B923A-2544-409C-AFD8-601175A829BF}" name="Colonne11136"/>
    <tableColumn id="11145" xr3:uid="{3BBEBB3E-B024-436C-9B40-90B1C137C3AC}" name="Colonne11137"/>
    <tableColumn id="11146" xr3:uid="{33AEDF57-3361-45C5-8C82-A99B977F2102}" name="Colonne11138"/>
    <tableColumn id="11147" xr3:uid="{7BF23DCD-9645-4A54-9F28-9ACEED768475}" name="Colonne11139"/>
    <tableColumn id="11148" xr3:uid="{ECD4F58E-9140-4FCA-9690-FE68DE5E8439}" name="Colonne11140"/>
    <tableColumn id="11149" xr3:uid="{AD632C10-1B4A-4A03-A15E-1CDC50CCF718}" name="Colonne11141"/>
    <tableColumn id="11150" xr3:uid="{B77C933D-A903-4806-8C0C-0F35D9D60526}" name="Colonne11142"/>
    <tableColumn id="11151" xr3:uid="{B27D22D3-24A6-416B-A44B-95611D8D21D2}" name="Colonne11143"/>
    <tableColumn id="11152" xr3:uid="{E0EA97CA-321F-4A12-A8B0-4464D1C146D7}" name="Colonne11144"/>
    <tableColumn id="11153" xr3:uid="{DF8ADA9A-FF23-4748-83E6-CF43816C495C}" name="Colonne11145"/>
    <tableColumn id="11154" xr3:uid="{65C0B85E-BB00-4814-8EC8-50F3869EA71C}" name="Colonne11146"/>
    <tableColumn id="11155" xr3:uid="{7BD219A9-ED48-4C49-9D9C-B4516DC464AB}" name="Colonne11147"/>
    <tableColumn id="11156" xr3:uid="{C8F82720-C035-49F9-B7AD-3D07ACF38B79}" name="Colonne11148"/>
    <tableColumn id="11157" xr3:uid="{433DE0A5-804F-4177-BB8B-686FD5C990FC}" name="Colonne11149"/>
    <tableColumn id="11158" xr3:uid="{36024754-5F6C-4DF5-8EE7-2525337F751C}" name="Colonne11150"/>
    <tableColumn id="11159" xr3:uid="{1580813D-601B-48BA-AE9E-A2CA17C9D079}" name="Colonne11151"/>
    <tableColumn id="11160" xr3:uid="{95A1DB30-76FF-4A71-84EE-32193825890C}" name="Colonne11152"/>
    <tableColumn id="11161" xr3:uid="{ED4C0780-D985-4F60-A32B-140FAA9551EA}" name="Colonne11153"/>
    <tableColumn id="11162" xr3:uid="{7EBA9945-FD0E-41EC-A3F7-5A1825F1E6FE}" name="Colonne11154"/>
    <tableColumn id="11163" xr3:uid="{584A8E1B-442D-4EFA-AAED-192FA493181B}" name="Colonne11155"/>
    <tableColumn id="11164" xr3:uid="{C196BC31-CA82-4C16-8E43-750EC770EF7F}" name="Colonne11156"/>
    <tableColumn id="11165" xr3:uid="{B485136B-B6C5-410B-B064-4E3DF5EA5DD4}" name="Colonne11157"/>
    <tableColumn id="11166" xr3:uid="{F64FC7C2-2C50-48AA-9535-16B7BFFF5101}" name="Colonne11158"/>
    <tableColumn id="11167" xr3:uid="{3F3323D0-E7A8-487D-834E-19940D117D44}" name="Colonne11159"/>
    <tableColumn id="11168" xr3:uid="{C186AEEB-7532-4888-BF54-687B7BC3CCB2}" name="Colonne11160"/>
    <tableColumn id="11169" xr3:uid="{D432F940-3EC1-4921-BD67-D3A9F65D2C23}" name="Colonne11161"/>
    <tableColumn id="11170" xr3:uid="{B4265350-BE92-431E-89DF-694EF238313B}" name="Colonne11162"/>
    <tableColumn id="11171" xr3:uid="{7456A8C8-3743-472E-9383-A1374CBCB42E}" name="Colonne11163"/>
    <tableColumn id="11172" xr3:uid="{A774491B-39E8-4420-BD5B-EFCF84AE4861}" name="Colonne11164"/>
    <tableColumn id="11173" xr3:uid="{2A6CFD8A-AD1B-4331-8DC0-096CF69C52F1}" name="Colonne11165"/>
    <tableColumn id="11174" xr3:uid="{FF6A0747-52EF-4BF3-B8A9-3B4393F06736}" name="Colonne11166"/>
    <tableColumn id="11175" xr3:uid="{53FE4A16-094E-47FC-AE83-2CECE80FDE67}" name="Colonne11167"/>
    <tableColumn id="11176" xr3:uid="{4374CE4E-9894-4CEB-B3D8-20F6A23BDD75}" name="Colonne11168"/>
    <tableColumn id="11177" xr3:uid="{19AF07CB-1C4E-4EDC-B862-81D8A0A69328}" name="Colonne11169"/>
    <tableColumn id="11178" xr3:uid="{779A76F2-E509-435A-8419-F7BEFB9604D1}" name="Colonne11170"/>
    <tableColumn id="11179" xr3:uid="{8FD6810C-25A5-44DF-97F1-530B0F3E9439}" name="Colonne11171"/>
    <tableColumn id="11180" xr3:uid="{F868044A-78D3-4BF8-B550-BB58BA5C2311}" name="Colonne11172"/>
    <tableColumn id="11181" xr3:uid="{8D2A2C45-53B9-481B-B7FF-327CF34FF0A4}" name="Colonne11173"/>
    <tableColumn id="11182" xr3:uid="{69ECCB77-7C38-4CEF-A019-33274ADFA4F9}" name="Colonne11174"/>
    <tableColumn id="11183" xr3:uid="{F115A8A2-4BCE-4B0F-8D87-E8BF191C5522}" name="Colonne11175"/>
    <tableColumn id="11184" xr3:uid="{ED0D2DBB-FC5C-4922-B13D-9D899F45BEF5}" name="Colonne11176"/>
    <tableColumn id="11185" xr3:uid="{5D1388F9-D2E1-4AA2-8AEA-9D6602AB5448}" name="Colonne11177"/>
    <tableColumn id="11186" xr3:uid="{C2FDD662-C23C-4477-A2E2-D9C205313C1E}" name="Colonne11178"/>
    <tableColumn id="11187" xr3:uid="{47C2D238-3EEE-48EF-8084-D1AC40E97793}" name="Colonne11179"/>
    <tableColumn id="11188" xr3:uid="{FEF74D21-82F9-4F9C-9C74-C05A85574B7C}" name="Colonne11180"/>
    <tableColumn id="11189" xr3:uid="{D345BADF-761D-441B-956C-41324866F798}" name="Colonne11181"/>
    <tableColumn id="11190" xr3:uid="{F2DCB99A-3CEA-4D25-9806-B48B2BBB28D5}" name="Colonne11182"/>
    <tableColumn id="11191" xr3:uid="{17A5509B-9DB0-4F62-ACFB-C223D4B090F2}" name="Colonne11183"/>
    <tableColumn id="11192" xr3:uid="{170BE8BD-5862-4B80-BDED-DA23A3AB64E5}" name="Colonne11184"/>
    <tableColumn id="11193" xr3:uid="{866A2092-E892-4AE3-8205-E70E0EE86CDE}" name="Colonne11185"/>
    <tableColumn id="11194" xr3:uid="{A5399DA7-215F-4214-AE74-D630C1C9DC9C}" name="Colonne11186"/>
    <tableColumn id="11195" xr3:uid="{C9012952-9219-4A2C-B43A-C4AA7E5BA274}" name="Colonne11187"/>
    <tableColumn id="11196" xr3:uid="{DEAC65A8-8BF8-48A0-A460-7FED7EBD238D}" name="Colonne11188"/>
    <tableColumn id="11197" xr3:uid="{8C762D37-4FF0-4EE3-8E15-72D027EA030E}" name="Colonne11189"/>
    <tableColumn id="11198" xr3:uid="{2BD4F040-C8D8-46AA-BB03-4E72E93B3F56}" name="Colonne11190"/>
    <tableColumn id="11199" xr3:uid="{53B71DA6-9366-4035-A4D1-48A81F0E4B79}" name="Colonne11191"/>
    <tableColumn id="11200" xr3:uid="{8DF30F66-8833-4D28-825D-697E5E69B38C}" name="Colonne11192"/>
    <tableColumn id="11201" xr3:uid="{DB4C5F5A-BBE7-4CB5-B2B2-230164C5337E}" name="Colonne11193"/>
    <tableColumn id="11202" xr3:uid="{A938CD14-036A-4EAE-818C-A37EFB7C0499}" name="Colonne11194"/>
    <tableColumn id="11203" xr3:uid="{6EF79619-26DD-42B1-A455-4FD42940BD56}" name="Colonne11195"/>
    <tableColumn id="11204" xr3:uid="{5E6B2916-799C-4E50-8A01-67EB8612C7C9}" name="Colonne11196"/>
    <tableColumn id="11205" xr3:uid="{233CBF56-7F54-4527-A4C0-8869B575E555}" name="Colonne11197"/>
    <tableColumn id="11206" xr3:uid="{3F9E4F19-FBED-42E9-BE2F-D5D4E2CA09F6}" name="Colonne11198"/>
    <tableColumn id="11207" xr3:uid="{4F331FB8-1012-4181-BD7F-36064C2353AB}" name="Colonne11199"/>
    <tableColumn id="11208" xr3:uid="{81F10BC6-9A5E-4046-A3FA-1AD23DE69500}" name="Colonne11200"/>
    <tableColumn id="11209" xr3:uid="{7E9D2D0B-C701-4E1E-9A71-719648CFCE6C}" name="Colonne11201"/>
    <tableColumn id="11210" xr3:uid="{79B4CD25-27AD-42D5-A2E1-C97547F118D2}" name="Colonne11202"/>
    <tableColumn id="11211" xr3:uid="{8EDA8761-18EC-4413-8F48-901563EE593F}" name="Colonne11203"/>
    <tableColumn id="11212" xr3:uid="{EDAB307E-E5CD-48FE-B9A8-E187EF6FE198}" name="Colonne11204"/>
    <tableColumn id="11213" xr3:uid="{AAC22B47-E21E-40B9-9B00-669EDE89DBFF}" name="Colonne11205"/>
    <tableColumn id="11214" xr3:uid="{A579D702-6F7F-4140-9ACE-4085F895FC09}" name="Colonne11206"/>
    <tableColumn id="11215" xr3:uid="{47A6EC9D-EE1C-4A56-BE81-B893049A7066}" name="Colonne11207"/>
    <tableColumn id="11216" xr3:uid="{ECB194E9-C071-4647-8AE1-08CD9F54E4F0}" name="Colonne11208"/>
    <tableColumn id="11217" xr3:uid="{9EB1DC20-3B20-4241-B925-34F47AE63CF1}" name="Colonne11209"/>
    <tableColumn id="11218" xr3:uid="{9EFE54A4-AE24-4C6F-98DB-5EB704B75FF5}" name="Colonne11210"/>
    <tableColumn id="11219" xr3:uid="{73296C7A-5F9C-4EC6-9079-FC0D974B60E4}" name="Colonne11211"/>
    <tableColumn id="11220" xr3:uid="{69EBEC75-1D47-4B08-9DE3-6B906C511FA1}" name="Colonne11212"/>
    <tableColumn id="11221" xr3:uid="{8D91D5B4-3698-41CD-92E4-A3795D74A348}" name="Colonne11213"/>
    <tableColumn id="11222" xr3:uid="{927387EA-0096-4689-A3B7-340DF5615481}" name="Colonne11214"/>
    <tableColumn id="11223" xr3:uid="{C15937A6-10B6-44C8-89FC-20A6A76BC7BE}" name="Colonne11215"/>
    <tableColumn id="11224" xr3:uid="{46648994-C6B8-44CD-9C8B-40F3EB3E0578}" name="Colonne11216"/>
    <tableColumn id="11225" xr3:uid="{F474DEF1-3953-4AAC-9EB4-0EAA3D9FCC55}" name="Colonne11217"/>
    <tableColumn id="11226" xr3:uid="{742B9FA7-F64F-41FA-B9E9-29A5E1C11792}" name="Colonne11218"/>
    <tableColumn id="11227" xr3:uid="{53513289-4EEA-402C-B182-4690C5FF9577}" name="Colonne11219"/>
    <tableColumn id="11228" xr3:uid="{2F5B671B-EB3B-4015-95AE-3096766E5EE6}" name="Colonne11220"/>
    <tableColumn id="11229" xr3:uid="{09BAFDCA-2F58-4F1A-9D23-CEECD72FD5ED}" name="Colonne11221"/>
    <tableColumn id="11230" xr3:uid="{3A4F9335-3E53-4A52-91BD-8188CCE5CCB9}" name="Colonne11222"/>
    <tableColumn id="11231" xr3:uid="{D45C3D76-400C-46BB-B62F-6D135D74140B}" name="Colonne11223"/>
    <tableColumn id="11232" xr3:uid="{B04F3300-B70C-4FEC-8166-E7CB40CA4C0A}" name="Colonne11224"/>
    <tableColumn id="11233" xr3:uid="{2DA1C9EA-683C-44D0-BA93-E54B9BBB3E21}" name="Colonne11225"/>
    <tableColumn id="11234" xr3:uid="{64D3725A-B088-4867-81C1-241A2F39765B}" name="Colonne11226"/>
    <tableColumn id="11235" xr3:uid="{808BCF27-827E-4935-AE65-CB990BA2C11C}" name="Colonne11227"/>
    <tableColumn id="11236" xr3:uid="{3924558C-C3A1-4D51-BB55-29AB50F23F9B}" name="Colonne11228"/>
    <tableColumn id="11237" xr3:uid="{17CDE454-9C73-43C5-8D09-E5FFA6B71E40}" name="Colonne11229"/>
    <tableColumn id="11238" xr3:uid="{59DB6535-71C4-4CED-8F45-8038CF90D8D6}" name="Colonne11230"/>
    <tableColumn id="11239" xr3:uid="{558C3761-39A1-445E-8700-53A2503D4824}" name="Colonne11231"/>
    <tableColumn id="11240" xr3:uid="{2C0B8B90-7C8A-491F-BED9-E133E64C84B8}" name="Colonne11232"/>
    <tableColumn id="11241" xr3:uid="{90BC4E14-6510-4BC6-92E5-A07C2E704A0D}" name="Colonne11233"/>
    <tableColumn id="11242" xr3:uid="{263DA2D6-7BC7-4D14-A4CE-8C375D89557A}" name="Colonne11234"/>
    <tableColumn id="11243" xr3:uid="{35CEC00C-CEE1-4C70-9F89-619D283E602B}" name="Colonne11235"/>
    <tableColumn id="11244" xr3:uid="{E0C17227-043C-458B-A5C6-A19ED619BD00}" name="Colonne11236"/>
    <tableColumn id="11245" xr3:uid="{12BCFAE3-6A5E-4BFA-873D-80CCBD9A0AC4}" name="Colonne11237"/>
    <tableColumn id="11246" xr3:uid="{A97474EF-688C-4A8F-A573-D3C345FE78B0}" name="Colonne11238"/>
    <tableColumn id="11247" xr3:uid="{8A7D40E5-51E1-4BD6-9A7F-209DD27A911F}" name="Colonne11239"/>
    <tableColumn id="11248" xr3:uid="{E2A48D43-A7BC-4C57-850C-1449BF646705}" name="Colonne11240"/>
    <tableColumn id="11249" xr3:uid="{447CB2CB-224D-4F34-A574-258F38E858DD}" name="Colonne11241"/>
    <tableColumn id="11250" xr3:uid="{1FA3FD83-BEED-4CAE-B79F-C721BB6047E5}" name="Colonne11242"/>
    <tableColumn id="11251" xr3:uid="{00AC3C72-BFBD-4155-8D08-D825C3439508}" name="Colonne11243"/>
    <tableColumn id="11252" xr3:uid="{1467EBF1-5833-4160-9E23-65611D952025}" name="Colonne11244"/>
    <tableColumn id="11253" xr3:uid="{E9CA3A80-1B46-413B-8447-186E8A4F0F4B}" name="Colonne11245"/>
    <tableColumn id="11254" xr3:uid="{99ACC4C8-F56A-42DA-B5ED-518D41022C68}" name="Colonne11246"/>
    <tableColumn id="11255" xr3:uid="{281BFA5A-D5F7-4FC1-A3F4-8754C5645ACD}" name="Colonne11247"/>
    <tableColumn id="11256" xr3:uid="{6A3771B9-786C-4FDB-B765-7B48B5A0E177}" name="Colonne11248"/>
    <tableColumn id="11257" xr3:uid="{3142CD51-5E96-474D-80D2-32D4AE9B5085}" name="Colonne11249"/>
    <tableColumn id="11258" xr3:uid="{A33D09B8-E492-4D40-B444-2A3FF8DAE89A}" name="Colonne11250"/>
    <tableColumn id="11259" xr3:uid="{0D9CD61F-96B3-4683-B214-FF5514604004}" name="Colonne11251"/>
    <tableColumn id="11260" xr3:uid="{FBDC96B7-B779-4536-A250-E2496BB9AE3B}" name="Colonne11252"/>
    <tableColumn id="11261" xr3:uid="{99E268A8-6508-493E-83D2-B63E8AF35B05}" name="Colonne11253"/>
    <tableColumn id="11262" xr3:uid="{9D212CFE-32EF-4F28-89EF-786E8282F602}" name="Colonne11254"/>
    <tableColumn id="11263" xr3:uid="{EBE64213-6855-4C1F-A90D-31A0C559F970}" name="Colonne11255"/>
    <tableColumn id="11264" xr3:uid="{EE05107C-5186-4C31-A270-FB8EDABCCD4A}" name="Colonne11256"/>
    <tableColumn id="11265" xr3:uid="{4BA4FE9F-D02C-4201-B043-4E4303ADBCC4}" name="Colonne11257"/>
    <tableColumn id="11266" xr3:uid="{9CCF5710-60C4-4D7D-AE7C-6A2971C1C0BB}" name="Colonne11258"/>
    <tableColumn id="11267" xr3:uid="{6FF86FDF-2AE5-4579-8314-94CC6F17CC22}" name="Colonne11259"/>
    <tableColumn id="11268" xr3:uid="{2AF8EF61-A9D1-4914-8B75-C489C0B25D82}" name="Colonne11260"/>
    <tableColumn id="11269" xr3:uid="{35AB34F0-9A82-4D2E-B452-CB007B48EE3B}" name="Colonne11261"/>
    <tableColumn id="11270" xr3:uid="{ACA6A734-6813-48AE-8D1B-80A3749E6554}" name="Colonne11262"/>
    <tableColumn id="11271" xr3:uid="{55FB4760-CAE6-4964-B823-E21C79C07D93}" name="Colonne11263"/>
    <tableColumn id="11272" xr3:uid="{A357AB95-7F33-44F9-9CC4-8D1E11A4EB25}" name="Colonne11264"/>
    <tableColumn id="11273" xr3:uid="{BBB1165E-B801-45E1-88AD-BF825F6DFD30}" name="Colonne11265"/>
    <tableColumn id="11274" xr3:uid="{ED4B8BE7-C394-4937-82A0-82975A2560B6}" name="Colonne11266"/>
    <tableColumn id="11275" xr3:uid="{22056C23-9496-4EC5-8B47-8EDC6D22F229}" name="Colonne11267"/>
    <tableColumn id="11276" xr3:uid="{B90FEA65-CC9A-4B8D-AF3A-4ED53B3593BF}" name="Colonne11268"/>
    <tableColumn id="11277" xr3:uid="{5AAF3DE0-110B-404E-840D-70AF27FA3F17}" name="Colonne11269"/>
    <tableColumn id="11278" xr3:uid="{DCFB8F57-799D-4C0C-BE42-138751C0114C}" name="Colonne11270"/>
    <tableColumn id="11279" xr3:uid="{1BB7B1DA-9686-45D5-AB9C-967B389BA746}" name="Colonne11271"/>
    <tableColumn id="11280" xr3:uid="{FD4ED0E2-DA56-4C0E-8D83-8991383B9177}" name="Colonne11272"/>
    <tableColumn id="11281" xr3:uid="{C845DF63-A60F-41C7-96E3-DDD1374B9082}" name="Colonne11273"/>
    <tableColumn id="11282" xr3:uid="{2E1D93F4-F23F-46C2-93F4-B86B58C0079E}" name="Colonne11274"/>
    <tableColumn id="11283" xr3:uid="{62BB696F-0461-45D5-94A0-2FAEF869F6D5}" name="Colonne11275"/>
    <tableColumn id="11284" xr3:uid="{CC354A6C-46A5-4719-B7BB-4CE462B0612B}" name="Colonne11276"/>
    <tableColumn id="11285" xr3:uid="{18B6C801-DD99-463E-919D-C3F8A4DE7FB4}" name="Colonne11277"/>
    <tableColumn id="11286" xr3:uid="{D1557EB9-65D2-471F-B5D9-A58009784E1C}" name="Colonne11278"/>
    <tableColumn id="11287" xr3:uid="{487E14D8-5B60-43E3-9470-F1C4645D85EE}" name="Colonne11279"/>
    <tableColumn id="11288" xr3:uid="{1545DCA3-733C-47BE-B9FA-2A9FEBCA0D4B}" name="Colonne11280"/>
    <tableColumn id="11289" xr3:uid="{D7AA0A21-2391-4D48-9A84-83900B6473D0}" name="Colonne11281"/>
    <tableColumn id="11290" xr3:uid="{3AC166CF-B0AD-4131-8955-327204059B06}" name="Colonne11282"/>
    <tableColumn id="11291" xr3:uid="{A88E8E09-D5D6-4CD7-AD21-4E580E3A16F7}" name="Colonne11283"/>
    <tableColumn id="11292" xr3:uid="{A5A82F0A-166F-40AA-8AB2-563AA437AFAD}" name="Colonne11284"/>
    <tableColumn id="11293" xr3:uid="{286E6347-D930-402A-A545-D40926534B0E}" name="Colonne11285"/>
    <tableColumn id="11294" xr3:uid="{CC44BEA8-A658-43A3-B589-F8F8668D38DD}" name="Colonne11286"/>
    <tableColumn id="11295" xr3:uid="{31D3A06E-1D9F-4427-9AC7-8C694AB3E940}" name="Colonne11287"/>
    <tableColumn id="11296" xr3:uid="{44949745-08BE-476E-BA91-6685E384EE03}" name="Colonne11288"/>
    <tableColumn id="11297" xr3:uid="{70FEC323-1857-46D6-BEF2-6BE69BFED922}" name="Colonne11289"/>
    <tableColumn id="11298" xr3:uid="{FA516E06-8A06-4F13-8DD9-A41A50BBD935}" name="Colonne11290"/>
    <tableColumn id="11299" xr3:uid="{FB1C4288-838D-4964-A0AC-3A1B6156531E}" name="Colonne11291"/>
    <tableColumn id="11300" xr3:uid="{A52BB9D0-CD55-4D50-8BD3-2F941BEE1CD3}" name="Colonne11292"/>
    <tableColumn id="11301" xr3:uid="{E3120F7B-174A-45AF-90D7-0B81A371BE6B}" name="Colonne11293"/>
    <tableColumn id="11302" xr3:uid="{D391D031-1201-4692-9788-4CA96640C039}" name="Colonne11294"/>
    <tableColumn id="11303" xr3:uid="{3FD1EA9A-7DF5-48EA-8C80-A2BA3D7E34D5}" name="Colonne11295"/>
    <tableColumn id="11304" xr3:uid="{D3018BB2-DDDE-4D54-9FE4-901E3A02B507}" name="Colonne11296"/>
    <tableColumn id="11305" xr3:uid="{22FF29C0-BA31-4926-9874-7002EB280353}" name="Colonne11297"/>
    <tableColumn id="11306" xr3:uid="{A98BC385-1AFE-49F3-B4F6-65C660CAF922}" name="Colonne11298"/>
    <tableColumn id="11307" xr3:uid="{249D3E5B-A701-4F13-BCEB-B6D638E9D7C0}" name="Colonne11299"/>
    <tableColumn id="11308" xr3:uid="{1B152193-7C4D-4036-8531-C9E2C037FD23}" name="Colonne11300"/>
    <tableColumn id="11309" xr3:uid="{18B9DE8A-6635-4843-A7B6-AC9241FB91D0}" name="Colonne11301"/>
    <tableColumn id="11310" xr3:uid="{99D04618-E90E-411B-852A-CAA9A6AC122F}" name="Colonne11302"/>
    <tableColumn id="11311" xr3:uid="{A4B5C001-9CFB-49F3-9159-BE731EA123E7}" name="Colonne11303"/>
    <tableColumn id="11312" xr3:uid="{00DFA5FC-DD7B-4FCA-939B-03C74C8562B3}" name="Colonne11304"/>
    <tableColumn id="11313" xr3:uid="{C1835F99-3218-48B3-BC3B-7E74CE90CC7F}" name="Colonne11305"/>
    <tableColumn id="11314" xr3:uid="{6E3D20EF-728B-4046-8D1B-CBE8FE776F60}" name="Colonne11306"/>
    <tableColumn id="11315" xr3:uid="{B478805C-5BE4-4C07-9097-AF22604BD673}" name="Colonne11307"/>
    <tableColumn id="11316" xr3:uid="{A8E6DEF1-9A7E-431B-B1ED-5F6A94BF5625}" name="Colonne11308"/>
    <tableColumn id="11317" xr3:uid="{9CD668F2-A913-45B9-B7B6-B1B3B74AC96A}" name="Colonne11309"/>
    <tableColumn id="11318" xr3:uid="{0460879A-2B96-4946-8745-8A7A0904C74D}" name="Colonne11310"/>
    <tableColumn id="11319" xr3:uid="{16A63EB5-A83F-4F56-9266-E84A1B6B4013}" name="Colonne11311"/>
    <tableColumn id="11320" xr3:uid="{43933AD9-6733-4BCE-8A37-778618D61614}" name="Colonne11312"/>
    <tableColumn id="11321" xr3:uid="{BA5032A1-5748-466B-8A44-816D0EA0A414}" name="Colonne11313"/>
    <tableColumn id="11322" xr3:uid="{F7840DC3-87A3-44DE-BEBA-032B581EDE1E}" name="Colonne11314"/>
    <tableColumn id="11323" xr3:uid="{5C9CED0B-CBDF-4C79-A6A3-51397516BBBC}" name="Colonne11315"/>
    <tableColumn id="11324" xr3:uid="{6F661352-96C6-4352-AAC5-A07B7C103EB1}" name="Colonne11316"/>
    <tableColumn id="11325" xr3:uid="{E7CBF54F-57F6-4C75-B7AD-4902F39ADDB0}" name="Colonne11317"/>
    <tableColumn id="11326" xr3:uid="{8AC8DCF9-73D2-4F86-8319-4BD75B9E7C66}" name="Colonne11318"/>
    <tableColumn id="11327" xr3:uid="{12986D21-AE21-40DB-A641-9ABA36A873FE}" name="Colonne11319"/>
    <tableColumn id="11328" xr3:uid="{C98A14A4-006B-489B-8756-AC57F1A673A8}" name="Colonne11320"/>
    <tableColumn id="11329" xr3:uid="{5C3E431A-E6ED-4379-B189-19395F6EE2BB}" name="Colonne11321"/>
    <tableColumn id="11330" xr3:uid="{71E193FC-0C80-49E4-9824-D33148F23290}" name="Colonne11322"/>
    <tableColumn id="11331" xr3:uid="{E55F0BDE-BFBE-40F1-AFB7-D46D51F52BD4}" name="Colonne11323"/>
    <tableColumn id="11332" xr3:uid="{27148254-EE72-4F9A-9F7E-BF200504AA62}" name="Colonne11324"/>
    <tableColumn id="11333" xr3:uid="{EB14FBA6-8DB7-459B-BCD6-E72A46DC45C1}" name="Colonne11325"/>
    <tableColumn id="11334" xr3:uid="{A9EA3048-2380-4B53-8D94-225D65F2924B}" name="Colonne11326"/>
    <tableColumn id="11335" xr3:uid="{D96C5F62-9813-4588-97BF-8C03F03A76B1}" name="Colonne11327"/>
    <tableColumn id="11336" xr3:uid="{351DCC85-8A43-4485-9649-C737AABE1A1C}" name="Colonne11328"/>
    <tableColumn id="11337" xr3:uid="{EFDD2383-0A81-4D0C-BAB5-367B99F23930}" name="Colonne11329"/>
    <tableColumn id="11338" xr3:uid="{ECB1845E-B680-4F00-B3A2-5D62D77090E7}" name="Colonne11330"/>
    <tableColumn id="11339" xr3:uid="{D2CF51FB-9C01-4AF0-A271-5D17219ECCED}" name="Colonne11331"/>
    <tableColumn id="11340" xr3:uid="{E54219DB-2B4B-4C58-BD14-F4EDBB1302E2}" name="Colonne11332"/>
    <tableColumn id="11341" xr3:uid="{F6E13E94-1E9D-41C2-91DC-11C7CCE69AC3}" name="Colonne11333"/>
    <tableColumn id="11342" xr3:uid="{490DA221-CBC5-4141-AA0F-C8BC9F659E55}" name="Colonne11334"/>
    <tableColumn id="11343" xr3:uid="{09D8603A-43C0-46D7-982E-C83A97CD8860}" name="Colonne11335"/>
    <tableColumn id="11344" xr3:uid="{8900AB16-6581-4135-A392-74210120179F}" name="Colonne11336"/>
    <tableColumn id="11345" xr3:uid="{895FD9C2-2FA2-4340-88BC-4CA1084339C1}" name="Colonne11337"/>
    <tableColumn id="11346" xr3:uid="{43C05400-3F9E-4FEF-ADCF-5D5E85FA2B37}" name="Colonne11338"/>
    <tableColumn id="11347" xr3:uid="{89042DFC-189F-4ED6-89F4-3DBF250BECAF}" name="Colonne11339"/>
    <tableColumn id="11348" xr3:uid="{9D44FA79-B6B2-4982-BDFD-B60B7783CC8C}" name="Colonne11340"/>
    <tableColumn id="11349" xr3:uid="{071C3ADF-4AE6-47C7-A1F6-2BF436426CF7}" name="Colonne11341"/>
    <tableColumn id="11350" xr3:uid="{01DE3E85-F301-497B-8264-8475F87C3A53}" name="Colonne11342"/>
    <tableColumn id="11351" xr3:uid="{90454337-35C8-4B0E-8DB9-47B1816FC68B}" name="Colonne11343"/>
    <tableColumn id="11352" xr3:uid="{D1F7B6BA-554D-4385-A820-E82C4BD004CB}" name="Colonne11344"/>
    <tableColumn id="11353" xr3:uid="{EA509C51-9DC9-4B8C-A66E-715B74009461}" name="Colonne11345"/>
    <tableColumn id="11354" xr3:uid="{E9EE618C-819E-4E40-9C5B-7D1C7B33486B}" name="Colonne11346"/>
    <tableColumn id="11355" xr3:uid="{3D04E4C1-C637-4D60-9C83-759C400BE653}" name="Colonne11347"/>
    <tableColumn id="11356" xr3:uid="{EFA81A20-BD4C-4239-995D-1EF24EAFC4EF}" name="Colonne11348"/>
    <tableColumn id="11357" xr3:uid="{21A24486-63BF-4354-BB40-9BA8C85DDD82}" name="Colonne11349"/>
    <tableColumn id="11358" xr3:uid="{A69A76CE-6AF6-456A-A6E5-DDC9BE57DE48}" name="Colonne11350"/>
    <tableColumn id="11359" xr3:uid="{4EF1E1F5-C25D-400E-8712-22BE3EFAB7F7}" name="Colonne11351"/>
    <tableColumn id="11360" xr3:uid="{CD5F70C7-1533-449D-8E18-DE78D230B70D}" name="Colonne11352"/>
    <tableColumn id="11361" xr3:uid="{44DE8DCC-583F-4886-AD3A-A9E33C23E08D}" name="Colonne11353"/>
    <tableColumn id="11362" xr3:uid="{D2BBCAD3-E0CD-41E0-8152-4A6229F06229}" name="Colonne11354"/>
    <tableColumn id="11363" xr3:uid="{94A147B3-447F-4197-9D39-7ADEB0E7B83C}" name="Colonne11355"/>
    <tableColumn id="11364" xr3:uid="{CB7428CF-8797-4886-8EF6-51C5BA009FEC}" name="Colonne11356"/>
    <tableColumn id="11365" xr3:uid="{8FE5E25F-95FD-4007-A6E1-47D8E8C62E40}" name="Colonne11357"/>
    <tableColumn id="11366" xr3:uid="{920321B1-B2D1-4FE8-8169-83984017D859}" name="Colonne11358"/>
    <tableColumn id="11367" xr3:uid="{50D4B8DA-5656-412E-9965-EB6A894C6BC4}" name="Colonne11359"/>
    <tableColumn id="11368" xr3:uid="{0698FC4F-F124-42D7-A505-9177BC7543CD}" name="Colonne11360"/>
    <tableColumn id="11369" xr3:uid="{EACFFEAE-8FA1-477A-A205-5C67E68DEBFC}" name="Colonne11361"/>
    <tableColumn id="11370" xr3:uid="{ACDA6FB0-F377-4C71-ABCB-21ABA5E66C22}" name="Colonne11362"/>
    <tableColumn id="11371" xr3:uid="{B866EC9A-E6C5-4281-B321-8C71B0223BF2}" name="Colonne11363"/>
    <tableColumn id="11372" xr3:uid="{7831C6E9-A949-4D12-9529-FF279A0E2A18}" name="Colonne11364"/>
    <tableColumn id="11373" xr3:uid="{F5CB7571-C466-423C-B74E-095BE89A39B6}" name="Colonne11365"/>
    <tableColumn id="11374" xr3:uid="{44671A70-7F44-4C54-8C2C-75501DEC5850}" name="Colonne11366"/>
    <tableColumn id="11375" xr3:uid="{D8740402-504F-416C-9372-C37CA8DF4CC9}" name="Colonne11367"/>
    <tableColumn id="11376" xr3:uid="{FAC213C2-D7DE-4DE2-9B18-4D6FAC96EF61}" name="Colonne11368"/>
    <tableColumn id="11377" xr3:uid="{6D10A486-852C-42D4-92E2-DB3444E66EDF}" name="Colonne11369"/>
    <tableColumn id="11378" xr3:uid="{B233B60C-DA73-46B1-99DE-A9B3A8234347}" name="Colonne11370"/>
    <tableColumn id="11379" xr3:uid="{062A31AF-2814-4127-9B51-D3876FC34947}" name="Colonne11371"/>
    <tableColumn id="11380" xr3:uid="{6B88DF23-5D8B-44E0-9E58-A07FEB9B603A}" name="Colonne11372"/>
    <tableColumn id="11381" xr3:uid="{A93923D7-7B23-4F78-A25A-1E27CC1EE6E7}" name="Colonne11373"/>
    <tableColumn id="11382" xr3:uid="{B4259EF7-635C-47E4-9067-33F2A9AEF6C3}" name="Colonne11374"/>
    <tableColumn id="11383" xr3:uid="{11F0F31D-BD9A-466C-A11B-66CD8A1AEBBD}" name="Colonne11375"/>
    <tableColumn id="11384" xr3:uid="{DB10BAEE-44CB-4DD5-9CD0-116191ED3053}" name="Colonne11376"/>
    <tableColumn id="11385" xr3:uid="{AF5D0E58-0F70-4596-817A-D16FB15C5C71}" name="Colonne11377"/>
    <tableColumn id="11386" xr3:uid="{71DD46E3-15CD-4231-9FC0-40C82E204308}" name="Colonne11378"/>
    <tableColumn id="11387" xr3:uid="{805A6DA3-8639-46AA-B1BC-33E1F021130B}" name="Colonne11379"/>
    <tableColumn id="11388" xr3:uid="{F80D6A29-85C4-4A57-A36A-1DF6314FF474}" name="Colonne11380"/>
    <tableColumn id="11389" xr3:uid="{54CA208E-1E9E-4884-9BCF-64673964B040}" name="Colonne11381"/>
    <tableColumn id="11390" xr3:uid="{9CF90A76-6A41-414B-A132-1A8606968743}" name="Colonne11382"/>
    <tableColumn id="11391" xr3:uid="{8B223A3E-35CA-4C0B-B0EC-770006EBC538}" name="Colonne11383"/>
    <tableColumn id="11392" xr3:uid="{D8B8C0B8-92DB-4F16-8556-AD667A6A33A9}" name="Colonne11384"/>
    <tableColumn id="11393" xr3:uid="{6AD0794C-527E-47BE-93E8-D577CA337AE5}" name="Colonne11385"/>
    <tableColumn id="11394" xr3:uid="{B7093DE8-01B8-4313-A034-10DC2307C94A}" name="Colonne11386"/>
    <tableColumn id="11395" xr3:uid="{EDD24C25-07AC-4162-A34E-50EA99A34ABA}" name="Colonne11387"/>
    <tableColumn id="11396" xr3:uid="{443084F8-687D-41E3-9EEA-4F81C81E7542}" name="Colonne11388"/>
    <tableColumn id="11397" xr3:uid="{3ECAD4B0-0195-4A83-AE5F-BA73803B34B4}" name="Colonne11389"/>
    <tableColumn id="11398" xr3:uid="{251E3638-696F-437A-A54C-B996F98923FE}" name="Colonne11390"/>
    <tableColumn id="11399" xr3:uid="{A7C7B191-6496-4CCD-9462-5E8AC1156124}" name="Colonne11391"/>
    <tableColumn id="11400" xr3:uid="{92FBAABE-B12E-4A4A-8E31-B4ED873465BD}" name="Colonne11392"/>
    <tableColumn id="11401" xr3:uid="{964899AB-8E94-4616-80AD-50761BF0B27F}" name="Colonne11393"/>
    <tableColumn id="11402" xr3:uid="{5FAA7047-65A1-4A48-8860-735AE8587E80}" name="Colonne11394"/>
    <tableColumn id="11403" xr3:uid="{D67E7816-06A8-49A4-BA30-B8B2B187700C}" name="Colonne11395"/>
    <tableColumn id="11404" xr3:uid="{95A23EDD-984B-4A8D-83AC-DF5EAA5451A3}" name="Colonne11396"/>
    <tableColumn id="11405" xr3:uid="{494FB515-5019-4501-A8E9-0080BA8AEA69}" name="Colonne11397"/>
    <tableColumn id="11406" xr3:uid="{8EB2ADC2-A041-4C60-B57B-1ABCA379599A}" name="Colonne11398"/>
    <tableColumn id="11407" xr3:uid="{6A4E96C3-76CB-4F85-BFCD-9ADF1961B5EE}" name="Colonne11399"/>
    <tableColumn id="11408" xr3:uid="{462E119A-28ED-4A68-A4AA-F44B6BF8C763}" name="Colonne11400"/>
    <tableColumn id="11409" xr3:uid="{6347146B-A03A-4ACF-ACE0-68A579EAA454}" name="Colonne11401"/>
    <tableColumn id="11410" xr3:uid="{AE86B607-8E93-4772-A224-7D35EDEA6EC1}" name="Colonne11402"/>
    <tableColumn id="11411" xr3:uid="{3AEB84E9-E733-4232-B14E-1C67E03D719D}" name="Colonne11403"/>
    <tableColumn id="11412" xr3:uid="{59B10D4A-31A9-40CD-A577-D9E50329DAA9}" name="Colonne11404"/>
    <tableColumn id="11413" xr3:uid="{FB0781F4-9810-472F-BC3E-66407A469C84}" name="Colonne11405"/>
    <tableColumn id="11414" xr3:uid="{3DA8B9C3-D4A9-43A0-95BF-6208AE71F80C}" name="Colonne11406"/>
    <tableColumn id="11415" xr3:uid="{C0534A16-CA9F-4FB1-8B45-0E95948FDE30}" name="Colonne11407"/>
    <tableColumn id="11416" xr3:uid="{11DDA361-CD29-4B9F-AF05-8B8D468E7D89}" name="Colonne11408"/>
    <tableColumn id="11417" xr3:uid="{03FAD663-DA1E-4215-9118-91FBC4AE5681}" name="Colonne11409"/>
    <tableColumn id="11418" xr3:uid="{8823680D-00AB-4958-BD52-1E67D485310B}" name="Colonne11410"/>
    <tableColumn id="11419" xr3:uid="{B05CE0F9-A342-4EA3-ACF9-2771293B5944}" name="Colonne11411"/>
    <tableColumn id="11420" xr3:uid="{71B1553A-19D2-49F2-9E1F-E539F034400B}" name="Colonne11412"/>
    <tableColumn id="11421" xr3:uid="{47EB5951-3C42-418F-A828-F7E2D3FDF834}" name="Colonne11413"/>
    <tableColumn id="11422" xr3:uid="{1AB70D13-82E9-4646-BBE8-468FB1B6CCA4}" name="Colonne11414"/>
    <tableColumn id="11423" xr3:uid="{2318554F-52CF-49F8-A1FB-117FDE8063BE}" name="Colonne11415"/>
    <tableColumn id="11424" xr3:uid="{2DBED332-3DEB-43A1-ADED-6E8FFCB72CD5}" name="Colonne11416"/>
    <tableColumn id="11425" xr3:uid="{5BEDB0EB-924B-4E5C-9DC4-D38D0FD44B27}" name="Colonne11417"/>
    <tableColumn id="11426" xr3:uid="{676F51A0-8C2E-4E81-A2C3-3A33D12207B5}" name="Colonne11418"/>
    <tableColumn id="11427" xr3:uid="{20765764-A667-49EA-B412-62A9BF7A9A47}" name="Colonne11419"/>
    <tableColumn id="11428" xr3:uid="{B64B12EC-C97B-4AD3-8205-E5C275300CFB}" name="Colonne11420"/>
    <tableColumn id="11429" xr3:uid="{FE758108-FDC1-4A32-8BE8-D07DFD99E3B3}" name="Colonne11421"/>
    <tableColumn id="11430" xr3:uid="{20F1E554-24A8-4315-8F8E-5B953A3E9823}" name="Colonne11422"/>
    <tableColumn id="11431" xr3:uid="{8A4B02C1-30BC-4F19-BD1E-C16C223E4130}" name="Colonne11423"/>
    <tableColumn id="11432" xr3:uid="{F6026566-F336-4D25-B29E-520E1F5855D8}" name="Colonne11424"/>
    <tableColumn id="11433" xr3:uid="{2B5DF664-6AD5-457D-997B-CB18D97AA3AC}" name="Colonne11425"/>
    <tableColumn id="11434" xr3:uid="{2565B06B-8AE3-4702-BFAF-81CB8CBCBCC0}" name="Colonne11426"/>
    <tableColumn id="11435" xr3:uid="{3AD349B4-265B-4CDC-B920-0F39592A8CBD}" name="Colonne11427"/>
    <tableColumn id="11436" xr3:uid="{71460676-D2DE-4402-8038-7AECAD9ED40D}" name="Colonne11428"/>
    <tableColumn id="11437" xr3:uid="{961AC52D-0899-4F12-BCC1-F255D0912784}" name="Colonne11429"/>
    <tableColumn id="11438" xr3:uid="{9A7DA623-784A-4950-B89F-0EBDC7208D26}" name="Colonne11430"/>
    <tableColumn id="11439" xr3:uid="{2E08D9B3-4C3C-44E5-8C59-64D7B93B169F}" name="Colonne11431"/>
    <tableColumn id="11440" xr3:uid="{BF1ADED6-7770-4BC3-8384-7B85573EAB19}" name="Colonne11432"/>
    <tableColumn id="11441" xr3:uid="{4247CF06-4850-4724-A6F0-AF898C81D7F8}" name="Colonne11433"/>
    <tableColumn id="11442" xr3:uid="{52AE1176-652F-483C-B59C-442FB7EB4525}" name="Colonne11434"/>
    <tableColumn id="11443" xr3:uid="{F7B3254C-3FA7-45E4-8F00-B26BE13345B4}" name="Colonne11435"/>
    <tableColumn id="11444" xr3:uid="{5520E23A-527A-40F3-80AF-1C50D0DAD59F}" name="Colonne11436"/>
    <tableColumn id="11445" xr3:uid="{C5774612-999E-49D0-81FA-3CCC95087DF4}" name="Colonne11437"/>
    <tableColumn id="11446" xr3:uid="{5D656DA6-AC7D-4F68-BC48-1CA166DAC347}" name="Colonne11438"/>
    <tableColumn id="11447" xr3:uid="{C5E37BE5-0A78-449D-9605-28DF7074DD0A}" name="Colonne11439"/>
    <tableColumn id="11448" xr3:uid="{2F6A47EE-8F98-4CFB-9B6D-ED7AA14CDA44}" name="Colonne11440"/>
    <tableColumn id="11449" xr3:uid="{E7547117-393C-4DFA-8267-9EFA5EF10A55}" name="Colonne11441"/>
    <tableColumn id="11450" xr3:uid="{9B13A1DF-C939-4C1A-A215-496200BB6310}" name="Colonne11442"/>
    <tableColumn id="11451" xr3:uid="{F8DF6DFB-0599-4B19-A166-3272BFB55B32}" name="Colonne11443"/>
    <tableColumn id="11452" xr3:uid="{08EB10CD-9E16-47F8-9A65-C9C3BEEEF1D9}" name="Colonne11444"/>
    <tableColumn id="11453" xr3:uid="{E38F2390-820D-4BB8-A3FB-D78A084CFD82}" name="Colonne11445"/>
    <tableColumn id="11454" xr3:uid="{F2F77D8B-4BEE-471F-BA61-B0C8E7D9A949}" name="Colonne11446"/>
    <tableColumn id="11455" xr3:uid="{6D240B0A-8014-42F2-93E0-523400DCA4E7}" name="Colonne11447"/>
    <tableColumn id="11456" xr3:uid="{B9EE3715-F4C2-4C14-B955-70C66DE5AED2}" name="Colonne11448"/>
    <tableColumn id="11457" xr3:uid="{A93EEE35-73A4-4592-A708-F6293840F953}" name="Colonne11449"/>
    <tableColumn id="11458" xr3:uid="{1CF1E81A-2A79-4EB8-8870-3EA6F2F2F7B0}" name="Colonne11450"/>
    <tableColumn id="11459" xr3:uid="{9CBED2F8-834B-432D-A948-38E920CF7213}" name="Colonne11451"/>
    <tableColumn id="11460" xr3:uid="{9320A8FE-F9A9-480E-AA62-D37F6C60559D}" name="Colonne11452"/>
    <tableColumn id="11461" xr3:uid="{0E2FB32E-295D-4EE1-B966-7D952F619472}" name="Colonne11453"/>
    <tableColumn id="11462" xr3:uid="{C8A21FC1-C2FE-4826-BDBD-BF9047CDE15A}" name="Colonne11454"/>
    <tableColumn id="11463" xr3:uid="{8E95A9C9-0772-4AD5-8D19-8A0851F9F34E}" name="Colonne11455"/>
    <tableColumn id="11464" xr3:uid="{CA336DFD-6C27-4E74-A8A5-CFC585ECEAB9}" name="Colonne11456"/>
    <tableColumn id="11465" xr3:uid="{17504D02-98A7-49BE-A163-A33FBDC51408}" name="Colonne11457"/>
    <tableColumn id="11466" xr3:uid="{D26ECEDD-92B3-48B0-878F-36A975DA1ECF}" name="Colonne11458"/>
    <tableColumn id="11467" xr3:uid="{CD5E8E87-F0DC-450E-8841-58BE3D7DA383}" name="Colonne11459"/>
    <tableColumn id="11468" xr3:uid="{800B2A6B-F98B-4C25-967C-69D13C26C522}" name="Colonne11460"/>
    <tableColumn id="11469" xr3:uid="{86E96045-55E2-4FBE-B197-4A4B1893CD24}" name="Colonne11461"/>
    <tableColumn id="11470" xr3:uid="{6F293717-26BD-4B7F-9E67-326605BE9EBC}" name="Colonne11462"/>
    <tableColumn id="11471" xr3:uid="{FEDA5C4D-E5FC-4787-B4E8-2A1CE11EC3E0}" name="Colonne11463"/>
    <tableColumn id="11472" xr3:uid="{B1AFD4AD-BC07-411F-B06E-DE5C34A685A8}" name="Colonne11464"/>
    <tableColumn id="11473" xr3:uid="{37D97564-9D31-4087-8E1B-D38072432113}" name="Colonne11465"/>
    <tableColumn id="11474" xr3:uid="{743965C1-3820-431C-88BB-53FC330D87F8}" name="Colonne11466"/>
    <tableColumn id="11475" xr3:uid="{750FD9B2-366B-447A-984E-0AAE70A42386}" name="Colonne11467"/>
    <tableColumn id="11476" xr3:uid="{7A0DD2BB-89CB-47BF-AD3A-674DCFC4422A}" name="Colonne11468"/>
    <tableColumn id="11477" xr3:uid="{0C19570F-17D6-4F2C-AE90-09AB4FFFA624}" name="Colonne11469"/>
    <tableColumn id="11478" xr3:uid="{651004C7-C803-438D-BC03-022F3451F107}" name="Colonne11470"/>
    <tableColumn id="11479" xr3:uid="{BD12F71C-EBE4-4F5B-9B5B-38900C54A606}" name="Colonne11471"/>
    <tableColumn id="11480" xr3:uid="{119AB4B4-8AFB-4EEF-AB98-8327CF739CA8}" name="Colonne11472"/>
    <tableColumn id="11481" xr3:uid="{A8F56A40-0E21-46FB-B7E7-B8820377CBD7}" name="Colonne11473"/>
    <tableColumn id="11482" xr3:uid="{870E69E7-96E9-4EE0-B86A-F4D17CDA7A7E}" name="Colonne11474"/>
    <tableColumn id="11483" xr3:uid="{24F6A9B8-74E8-4627-AFB9-E39B3ABAD63A}" name="Colonne11475"/>
    <tableColumn id="11484" xr3:uid="{A752FF84-127C-4036-87C9-3D39D8249B1E}" name="Colonne11476"/>
    <tableColumn id="11485" xr3:uid="{BFDE5747-DACF-4901-85B2-E19E7ADB1228}" name="Colonne11477"/>
    <tableColumn id="11486" xr3:uid="{47CF97A6-A15C-4F58-9F06-0BC4069ED1BC}" name="Colonne11478"/>
    <tableColumn id="11487" xr3:uid="{2986FD62-5175-4143-A7EC-103193E85D87}" name="Colonne11479"/>
    <tableColumn id="11488" xr3:uid="{AB80381D-5492-4E31-A484-E09C3DC1789A}" name="Colonne11480"/>
    <tableColumn id="11489" xr3:uid="{9F009E08-BC52-408A-96A2-253E3C9CE738}" name="Colonne11481"/>
    <tableColumn id="11490" xr3:uid="{61BF7E58-69BC-4646-BE8C-CBE5BBEE4099}" name="Colonne11482"/>
    <tableColumn id="11491" xr3:uid="{BAECD727-B0C3-4CB4-820A-1AF60D89D7BD}" name="Colonne11483"/>
    <tableColumn id="11492" xr3:uid="{5A898D83-BEAF-4D97-935B-F8B69ABE25DE}" name="Colonne11484"/>
    <tableColumn id="11493" xr3:uid="{F6B1715D-E71C-4EB2-A3A2-825D233D6776}" name="Colonne11485"/>
    <tableColumn id="11494" xr3:uid="{5FE7047E-8701-4D37-899E-BB382DC6C1E2}" name="Colonne11486"/>
    <tableColumn id="11495" xr3:uid="{855A832C-19AC-4A91-B044-FF9531508FFD}" name="Colonne11487"/>
    <tableColumn id="11496" xr3:uid="{134069CB-A026-415C-BC0E-8B9C9F8C7F6C}" name="Colonne11488"/>
    <tableColumn id="11497" xr3:uid="{FE911B05-8F54-4AA7-964F-07A3818669E9}" name="Colonne11489"/>
    <tableColumn id="11498" xr3:uid="{5BC40DEC-BC23-45C2-9C64-C73FAE92E74A}" name="Colonne11490"/>
    <tableColumn id="11499" xr3:uid="{BC6DB993-1BB9-465D-A374-DE373091E569}" name="Colonne11491"/>
    <tableColumn id="11500" xr3:uid="{73756CE7-61B3-4855-AFEB-CB9A43E683E5}" name="Colonne11492"/>
    <tableColumn id="11501" xr3:uid="{A2AE3B36-6DD2-44ED-A533-F277449CEAC5}" name="Colonne11493"/>
    <tableColumn id="11502" xr3:uid="{5803E4C2-844C-4220-AE73-1458B5BE9794}" name="Colonne11494"/>
    <tableColumn id="11503" xr3:uid="{4FFB8EBE-8FE3-492E-B74F-2A4F45DAF300}" name="Colonne11495"/>
    <tableColumn id="11504" xr3:uid="{7752BAC4-4A36-4887-AD0D-A7C99F36DB5E}" name="Colonne11496"/>
    <tableColumn id="11505" xr3:uid="{80EDE198-EED1-4E51-B698-6FB60A866F5D}" name="Colonne11497"/>
    <tableColumn id="11506" xr3:uid="{7704D444-1FF0-4660-8694-F925266489E6}" name="Colonne11498"/>
    <tableColumn id="11507" xr3:uid="{456C588B-FD4A-4FF0-BEC1-CE26D3A2B1DB}" name="Colonne11499"/>
    <tableColumn id="11508" xr3:uid="{07C5F4D6-8840-48DD-A0D1-D164560AAD34}" name="Colonne11500"/>
    <tableColumn id="11509" xr3:uid="{DF04B301-8AD2-4634-BD04-95E75D837D3E}" name="Colonne11501"/>
    <tableColumn id="11510" xr3:uid="{4EFAFCF1-2257-4EBC-BBA6-95DCD0D31EEE}" name="Colonne11502"/>
    <tableColumn id="11511" xr3:uid="{E53ED4BA-F580-4679-A5A4-AE234AD24F08}" name="Colonne11503"/>
    <tableColumn id="11512" xr3:uid="{2D576D95-FE71-4F2F-809B-1CCB89BBF6A2}" name="Colonne11504"/>
    <tableColumn id="11513" xr3:uid="{1A8B3986-D784-44CE-BDAF-C5F75C3FCCF3}" name="Colonne11505"/>
    <tableColumn id="11514" xr3:uid="{086703C6-9632-4EB2-A29E-A1FA147ED8EA}" name="Colonne11506"/>
    <tableColumn id="11515" xr3:uid="{1E17D52C-3C3E-43FB-B2F5-89ED4A1C0E0C}" name="Colonne11507"/>
    <tableColumn id="11516" xr3:uid="{B5B5B89D-7238-4320-8F30-092533E10FD3}" name="Colonne11508"/>
    <tableColumn id="11517" xr3:uid="{B537D07B-7657-4C42-8DB4-27A224AA423C}" name="Colonne11509"/>
    <tableColumn id="11518" xr3:uid="{375B72CC-2C7A-45FE-90A9-184EC45400E3}" name="Colonne11510"/>
    <tableColumn id="11519" xr3:uid="{9B0FD997-7AA1-4DD1-ABD7-4C8D46CED490}" name="Colonne11511"/>
    <tableColumn id="11520" xr3:uid="{801DAE43-9A57-4D43-8B5C-7FE2D9461593}" name="Colonne11512"/>
    <tableColumn id="11521" xr3:uid="{138E6289-AC9E-4A56-A865-E161CBB6308A}" name="Colonne11513"/>
    <tableColumn id="11522" xr3:uid="{BD9686FF-1B54-4DD7-AD7D-65250DAD05DF}" name="Colonne11514"/>
    <tableColumn id="11523" xr3:uid="{AA3B7F22-5083-448A-862C-699A19F1B176}" name="Colonne11515"/>
    <tableColumn id="11524" xr3:uid="{12888304-082C-4227-8919-280B01E77C15}" name="Colonne11516"/>
    <tableColumn id="11525" xr3:uid="{BDC89D9D-6ECD-4495-93CD-AF75D7D531B8}" name="Colonne11517"/>
    <tableColumn id="11526" xr3:uid="{BB915664-89DF-4305-B8CC-43D990BC9CE9}" name="Colonne11518"/>
    <tableColumn id="11527" xr3:uid="{08FCB575-BFAC-4338-B44C-F6EF042AA6D3}" name="Colonne11519"/>
    <tableColumn id="11528" xr3:uid="{011911BF-5AAA-4F7F-9A8E-BFCE90859ADC}" name="Colonne11520"/>
    <tableColumn id="11529" xr3:uid="{1D414AEC-5866-464F-A095-399E842ABA4C}" name="Colonne11521"/>
    <tableColumn id="11530" xr3:uid="{C85E5E61-76CB-48F4-8E27-69C4E9C4D210}" name="Colonne11522"/>
    <tableColumn id="11531" xr3:uid="{B25B489D-72ED-4BF1-9E5D-FFBE5B1502D1}" name="Colonne11523"/>
    <tableColumn id="11532" xr3:uid="{3FAD48AD-7D9A-4520-982D-D8B69CB063C4}" name="Colonne11524"/>
    <tableColumn id="11533" xr3:uid="{2364820E-BD17-4E19-B63F-20DDF9F117E9}" name="Colonne11525"/>
    <tableColumn id="11534" xr3:uid="{7DA5A5DA-4716-4EEA-A0A4-53EC24671305}" name="Colonne11526"/>
    <tableColumn id="11535" xr3:uid="{D01F382A-71C7-4BA3-AECC-F8A56DBF9430}" name="Colonne11527"/>
    <tableColumn id="11536" xr3:uid="{3C78FD21-63C4-4B29-BD28-0C30A1886E5E}" name="Colonne11528"/>
    <tableColumn id="11537" xr3:uid="{76C70ED1-A994-4371-9345-3C0E29010405}" name="Colonne11529"/>
    <tableColumn id="11538" xr3:uid="{7147B471-95F8-42A9-A91D-33596C91AF20}" name="Colonne11530"/>
    <tableColumn id="11539" xr3:uid="{78EE077C-703D-4C19-A48F-B7C1DCD935D2}" name="Colonne11531"/>
    <tableColumn id="11540" xr3:uid="{9B10A2F9-2CC0-4D9D-990A-5007B2F84D08}" name="Colonne11532"/>
    <tableColumn id="11541" xr3:uid="{B3C3CB0F-0310-494C-96EC-2B8AAD95EA25}" name="Colonne11533"/>
    <tableColumn id="11542" xr3:uid="{B9515A16-0D5A-4608-8D8B-970893404C15}" name="Colonne11534"/>
    <tableColumn id="11543" xr3:uid="{21AA6282-216E-4425-B356-9CC5193EB4F0}" name="Colonne11535"/>
    <tableColumn id="11544" xr3:uid="{1DDD4885-6FA0-4A17-A603-7CA834894D0B}" name="Colonne11536"/>
    <tableColumn id="11545" xr3:uid="{C73FBC84-FF10-4225-9B0C-1E1CFE8E654C}" name="Colonne11537"/>
    <tableColumn id="11546" xr3:uid="{430563E6-296E-472E-91AE-B0514070FBB1}" name="Colonne11538"/>
    <tableColumn id="11547" xr3:uid="{45AF7F79-288E-4401-AD3F-042E73A3DD14}" name="Colonne11539"/>
    <tableColumn id="11548" xr3:uid="{D323513F-BF6C-48C7-8554-2504729E9ACD}" name="Colonne11540"/>
    <tableColumn id="11549" xr3:uid="{F8668012-1CD2-4C6B-BA53-ABA1A29FC29C}" name="Colonne11541"/>
    <tableColumn id="11550" xr3:uid="{220CC13A-8013-43D4-85A4-5C333E1E96E7}" name="Colonne11542"/>
    <tableColumn id="11551" xr3:uid="{51A2A12F-CC4C-414D-B956-F64967023CB1}" name="Colonne11543"/>
    <tableColumn id="11552" xr3:uid="{33D97CE0-861A-4CF5-B8D8-13223E18AF1C}" name="Colonne11544"/>
    <tableColumn id="11553" xr3:uid="{4F36EFDF-960E-4D13-AD17-0D83DD8DA1A2}" name="Colonne11545"/>
    <tableColumn id="11554" xr3:uid="{EA87FE8A-E128-40A9-8F05-B27BDFE465F2}" name="Colonne11546"/>
    <tableColumn id="11555" xr3:uid="{68662137-3A90-45A3-A284-3D05A5C8FD43}" name="Colonne11547"/>
    <tableColumn id="11556" xr3:uid="{116DA3E0-341A-4710-BC10-3844731193B3}" name="Colonne11548"/>
    <tableColumn id="11557" xr3:uid="{9B8AC7E2-CFBA-4001-8AA6-FF612CB25025}" name="Colonne11549"/>
    <tableColumn id="11558" xr3:uid="{4806CDBE-A028-4716-92D8-52C55BA1E983}" name="Colonne11550"/>
    <tableColumn id="11559" xr3:uid="{609760A8-789F-44EA-8B94-1456CD30BBBF}" name="Colonne11551"/>
    <tableColumn id="11560" xr3:uid="{A9F13F5D-AE4B-4D60-B0EC-3D12B83BA97D}" name="Colonne11552"/>
    <tableColumn id="11561" xr3:uid="{D63AA328-4624-40A9-B51C-FEACD442CFF1}" name="Colonne11553"/>
    <tableColumn id="11562" xr3:uid="{4292CC88-9D1E-47D3-B54A-FAD644E72D7B}" name="Colonne11554"/>
    <tableColumn id="11563" xr3:uid="{24B0EEFC-DBB4-464B-8DFE-37BD2635505E}" name="Colonne11555"/>
    <tableColumn id="11564" xr3:uid="{C8203C63-146F-4134-90E7-43580FAF5CB5}" name="Colonne11556"/>
    <tableColumn id="11565" xr3:uid="{92459E0A-0C62-425F-B052-781DFECE0CD1}" name="Colonne11557"/>
    <tableColumn id="11566" xr3:uid="{80AD8C77-CA2F-40BD-BA53-0B2439FA8A10}" name="Colonne11558"/>
    <tableColumn id="11567" xr3:uid="{9AF5E32C-B04D-48D3-AB86-27A20E458EF7}" name="Colonne11559"/>
    <tableColumn id="11568" xr3:uid="{72A158E7-BF7E-46B1-AD3A-D7AC7FCD668D}" name="Colonne11560"/>
    <tableColumn id="11569" xr3:uid="{0DD21D39-2E58-4911-822C-5FECF42A610A}" name="Colonne11561"/>
    <tableColumn id="11570" xr3:uid="{F60743D3-9931-4B79-8B04-03462BD6AD36}" name="Colonne11562"/>
    <tableColumn id="11571" xr3:uid="{9DE6804F-1043-464B-BD77-4793A8FB2197}" name="Colonne11563"/>
    <tableColumn id="11572" xr3:uid="{24553AF2-E3A5-4B14-8C3E-A42BE8BF198D}" name="Colonne11564"/>
    <tableColumn id="11573" xr3:uid="{66AEE764-4BF7-49D7-836B-8E1063AF89DC}" name="Colonne11565"/>
    <tableColumn id="11574" xr3:uid="{20FCE1CB-40B8-49D8-9681-937E3071D705}" name="Colonne11566"/>
    <tableColumn id="11575" xr3:uid="{34C432DD-2135-4BA6-9060-1310437878F5}" name="Colonne11567"/>
    <tableColumn id="11576" xr3:uid="{3FACE759-91AC-4DE2-8DE2-A2FC50844239}" name="Colonne11568"/>
    <tableColumn id="11577" xr3:uid="{E533F302-F901-45C7-84C1-A938EC6FE4B5}" name="Colonne11569"/>
    <tableColumn id="11578" xr3:uid="{7E893286-8970-437A-BDAC-94C449B81509}" name="Colonne11570"/>
    <tableColumn id="11579" xr3:uid="{83831DFD-E06C-428D-ABA6-0235C3A94831}" name="Colonne11571"/>
    <tableColumn id="11580" xr3:uid="{42B87492-0858-4163-870E-921BEB194D0B}" name="Colonne11572"/>
    <tableColumn id="11581" xr3:uid="{47CA6818-B057-498A-BDC0-1722A648288E}" name="Colonne11573"/>
    <tableColumn id="11582" xr3:uid="{86727DBA-74E4-4E2D-BFFD-9736AC69F82C}" name="Colonne11574"/>
    <tableColumn id="11583" xr3:uid="{77EA24CC-6D96-418B-960F-C21DDF453E08}" name="Colonne11575"/>
    <tableColumn id="11584" xr3:uid="{D7FB5C42-7D0A-4486-8380-D94B59352587}" name="Colonne11576"/>
    <tableColumn id="11585" xr3:uid="{3715C042-AF6D-45EE-A6E9-32A9CDF590F5}" name="Colonne11577"/>
    <tableColumn id="11586" xr3:uid="{D6A4B86B-D098-45CD-BCC2-3D757F3E89E4}" name="Colonne11578"/>
    <tableColumn id="11587" xr3:uid="{A72F5ECB-DFFD-4040-8526-DE24E3A24508}" name="Colonne11579"/>
    <tableColumn id="11588" xr3:uid="{811E259A-86C5-4B50-AD47-59295F6A8EE5}" name="Colonne11580"/>
    <tableColumn id="11589" xr3:uid="{880324DC-C2DB-4099-9B21-29A474173EDB}" name="Colonne11581"/>
    <tableColumn id="11590" xr3:uid="{0E21F067-8296-41F5-AC34-5ED2289156D6}" name="Colonne11582"/>
    <tableColumn id="11591" xr3:uid="{1CB8BD60-4D6C-4F73-992E-AB0427241306}" name="Colonne11583"/>
    <tableColumn id="11592" xr3:uid="{12A25341-50AC-4D2A-92DC-7E55F70F1E76}" name="Colonne11584"/>
    <tableColumn id="11593" xr3:uid="{D34A2DB0-BCE1-45F8-AE76-83F10270FF5B}" name="Colonne11585"/>
    <tableColumn id="11594" xr3:uid="{626A6C55-180F-482C-9CD9-B4A229E3874A}" name="Colonne11586"/>
    <tableColumn id="11595" xr3:uid="{7914F7E0-6742-4A09-B065-9EA8222630EF}" name="Colonne11587"/>
    <tableColumn id="11596" xr3:uid="{DFA7BDAD-60C0-47DF-A5CF-81425740AF4D}" name="Colonne11588"/>
    <tableColumn id="11597" xr3:uid="{1DD8A051-9366-496D-8495-2670B689AC09}" name="Colonne11589"/>
    <tableColumn id="11598" xr3:uid="{73734056-1A85-4541-97DF-806A25542B04}" name="Colonne11590"/>
    <tableColumn id="11599" xr3:uid="{F66AE6A0-4ACD-49C1-82D0-D163CCB77D1C}" name="Colonne11591"/>
    <tableColumn id="11600" xr3:uid="{C7C80730-BE97-45D7-BA57-FAA209D8F757}" name="Colonne11592"/>
    <tableColumn id="11601" xr3:uid="{F45693BF-8AB7-4DCF-BD63-1CE9EA004BF9}" name="Colonne11593"/>
    <tableColumn id="11602" xr3:uid="{1434CAF1-6E7B-4B80-A846-A26C900F8CBB}" name="Colonne11594"/>
    <tableColumn id="11603" xr3:uid="{8CE94966-BF18-4039-98B7-442FF98B457C}" name="Colonne11595"/>
    <tableColumn id="11604" xr3:uid="{91738AD0-FF8E-4F62-B254-62B8A210A55F}" name="Colonne11596"/>
    <tableColumn id="11605" xr3:uid="{EB1EA9A8-44B8-404A-8949-3E171739383C}" name="Colonne11597"/>
    <tableColumn id="11606" xr3:uid="{45E9E40B-BE4D-4CC7-8397-DD14D2BFA224}" name="Colonne11598"/>
    <tableColumn id="11607" xr3:uid="{028FBB05-D806-49FC-83B5-006BC458A7C6}" name="Colonne11599"/>
    <tableColumn id="11608" xr3:uid="{C957936F-5AE4-4DFC-9629-D6B74F7FB54B}" name="Colonne11600"/>
    <tableColumn id="11609" xr3:uid="{E92E88E5-3785-4DDD-9112-62207A104E70}" name="Colonne11601"/>
    <tableColumn id="11610" xr3:uid="{A07BFCEC-990D-48FE-8A0F-C47B39FEDAC9}" name="Colonne11602"/>
    <tableColumn id="11611" xr3:uid="{AE7354B5-6F4D-4B12-81B2-013284EEB5AA}" name="Colonne11603"/>
    <tableColumn id="11612" xr3:uid="{26B87B69-A515-47C1-B6EE-4F1DB668A48C}" name="Colonne11604"/>
    <tableColumn id="11613" xr3:uid="{20015130-E352-4B94-81E2-0884951E7B18}" name="Colonne11605"/>
    <tableColumn id="11614" xr3:uid="{D56E29D0-8867-47E5-BB22-EA9D27BCE788}" name="Colonne11606"/>
    <tableColumn id="11615" xr3:uid="{346D0B3E-084C-4851-BD5A-3FDD79D1BBD5}" name="Colonne11607"/>
    <tableColumn id="11616" xr3:uid="{55089408-DCFF-4EBC-ACA3-3BA54F8C2B6D}" name="Colonne11608"/>
    <tableColumn id="11617" xr3:uid="{AA7A19D8-E511-49FF-8D36-845594E80F15}" name="Colonne11609"/>
    <tableColumn id="11618" xr3:uid="{1128A49A-8452-433F-96C4-DBEA5ECC2438}" name="Colonne11610"/>
    <tableColumn id="11619" xr3:uid="{FA2F2463-03F3-4DCC-9B9E-46ACA8AC7151}" name="Colonne11611"/>
    <tableColumn id="11620" xr3:uid="{2BC9326D-D90C-4B2D-9878-54E504CB7777}" name="Colonne11612"/>
    <tableColumn id="11621" xr3:uid="{B405AFB2-D36C-43A8-A4C8-B5C061E97FF5}" name="Colonne11613"/>
    <tableColumn id="11622" xr3:uid="{F8B68433-D8FE-4BC6-AED4-9BB6C62CC2DF}" name="Colonne11614"/>
    <tableColumn id="11623" xr3:uid="{E006FD34-07AE-404E-B8D7-D5534F1594F0}" name="Colonne11615"/>
    <tableColumn id="11624" xr3:uid="{06393FFA-938D-44FA-9B1F-F99AED0847C7}" name="Colonne11616"/>
    <tableColumn id="11625" xr3:uid="{56C99ECD-3CDC-4E0D-BE12-77F1650BDA39}" name="Colonne11617"/>
    <tableColumn id="11626" xr3:uid="{B33657DE-2ED2-4392-BAC4-59E3085E94B9}" name="Colonne11618"/>
    <tableColumn id="11627" xr3:uid="{1B4A446E-7D6C-4861-9BC6-F09F1DE88BE6}" name="Colonne11619"/>
    <tableColumn id="11628" xr3:uid="{C7185C1C-58E2-4426-BAD7-D95690E75465}" name="Colonne11620"/>
    <tableColumn id="11629" xr3:uid="{ABE98001-FC74-41EF-BC18-A762C188ECAE}" name="Colonne11621"/>
    <tableColumn id="11630" xr3:uid="{4ED4F2EC-EC86-4C77-9402-00F432F8E4F6}" name="Colonne11622"/>
    <tableColumn id="11631" xr3:uid="{AFF68B84-ED2C-4FFD-9468-BBEE98EFE288}" name="Colonne11623"/>
    <tableColumn id="11632" xr3:uid="{A2C4E7AE-6022-4568-8BE5-14B1A5619E36}" name="Colonne11624"/>
    <tableColumn id="11633" xr3:uid="{C73822CE-74FE-4DEC-8C4B-888775A22A50}" name="Colonne11625"/>
    <tableColumn id="11634" xr3:uid="{25C4902D-E94E-4549-B248-38352B202E1C}" name="Colonne11626"/>
    <tableColumn id="11635" xr3:uid="{E1FF115A-AF3C-4C66-92C1-9045B4238FC1}" name="Colonne11627"/>
    <tableColumn id="11636" xr3:uid="{4CAF3692-8BE2-4C83-B624-F459F0A93A28}" name="Colonne11628"/>
    <tableColumn id="11637" xr3:uid="{4ECB4992-DD88-4F52-958B-556189368DB2}" name="Colonne11629"/>
    <tableColumn id="11638" xr3:uid="{553A8C1C-E018-47F9-944F-DF0D71751270}" name="Colonne11630"/>
    <tableColumn id="11639" xr3:uid="{EA12BB23-1C08-46C7-9819-7086A3B0F815}" name="Colonne11631"/>
    <tableColumn id="11640" xr3:uid="{DDABAC5D-B0B6-4010-B030-511C658EBEF1}" name="Colonne11632"/>
    <tableColumn id="11641" xr3:uid="{47EA6CD4-0264-405F-B507-60884FF35861}" name="Colonne11633"/>
    <tableColumn id="11642" xr3:uid="{13F226AF-EFD5-4009-9F3A-BCE0047C34FE}" name="Colonne11634"/>
    <tableColumn id="11643" xr3:uid="{8CC73977-0374-40AD-9954-F5CF1E86DCCA}" name="Colonne11635"/>
    <tableColumn id="11644" xr3:uid="{F0262EBA-CDAE-4A1E-BAC6-9FE155BCE006}" name="Colonne11636"/>
    <tableColumn id="11645" xr3:uid="{B8DAB6F8-3D27-4629-B653-48B9A60AF2A7}" name="Colonne11637"/>
    <tableColumn id="11646" xr3:uid="{3BD37B28-565C-4A3B-B42B-23CB44CA9FD5}" name="Colonne11638"/>
    <tableColumn id="11647" xr3:uid="{F019C96F-8347-4045-BAEA-389B84BB536B}" name="Colonne11639"/>
    <tableColumn id="11648" xr3:uid="{75C776FE-5C7E-4604-AEAB-9762C02A45F6}" name="Colonne11640"/>
    <tableColumn id="11649" xr3:uid="{0D2953DD-7E0C-4ADD-8E8A-9D52DC63F1A7}" name="Colonne11641"/>
    <tableColumn id="11650" xr3:uid="{5063691D-317D-4566-8CAF-0579BABE53FD}" name="Colonne11642"/>
    <tableColumn id="11651" xr3:uid="{7B30D398-28F7-45EF-8F6A-FA2D69676477}" name="Colonne11643"/>
    <tableColumn id="11652" xr3:uid="{CC89E80E-A020-4C09-89C1-190E51C6C020}" name="Colonne11644"/>
    <tableColumn id="11653" xr3:uid="{76746C6E-8903-4CD9-9AF1-C47967E6A42E}" name="Colonne11645"/>
    <tableColumn id="11654" xr3:uid="{89A21059-A898-4CDD-A77E-3E55760C04BF}" name="Colonne11646"/>
    <tableColumn id="11655" xr3:uid="{A070824B-A495-45CF-98B9-F294582F3E1B}" name="Colonne11647"/>
    <tableColumn id="11656" xr3:uid="{497A2CBF-A862-4020-AD77-689338A47169}" name="Colonne11648"/>
    <tableColumn id="11657" xr3:uid="{41A75D0D-4013-4662-A7CE-2A6824A1A897}" name="Colonne11649"/>
    <tableColumn id="11658" xr3:uid="{E6A3D0C2-D64D-4C72-86EA-8AE0C4F807C9}" name="Colonne11650"/>
    <tableColumn id="11659" xr3:uid="{810BB3AD-D9D8-4391-AF12-C5280150BAE7}" name="Colonne11651"/>
    <tableColumn id="11660" xr3:uid="{1979BEAA-F1FC-4412-BD04-6217FC2090AD}" name="Colonne11652"/>
    <tableColumn id="11661" xr3:uid="{18FEDC02-6BD1-4573-8A5B-5602A918D1C6}" name="Colonne11653"/>
    <tableColumn id="11662" xr3:uid="{B10FEE34-3033-4263-A529-C50C778A67ED}" name="Colonne11654"/>
    <tableColumn id="11663" xr3:uid="{0DC00323-EEF1-4AFE-BF39-43B75F5E4E19}" name="Colonne11655"/>
    <tableColumn id="11664" xr3:uid="{013F3ED7-57FC-434D-AE49-D286AC2CEC81}" name="Colonne11656"/>
    <tableColumn id="11665" xr3:uid="{29D63F94-A938-4B6F-B391-B444D923A9A7}" name="Colonne11657"/>
    <tableColumn id="11666" xr3:uid="{738F5AD6-3152-4607-8B26-0EF5D98E680B}" name="Colonne11658"/>
    <tableColumn id="11667" xr3:uid="{6BD115A4-D869-4AD1-AC19-B9BC1DEFE055}" name="Colonne11659"/>
    <tableColumn id="11668" xr3:uid="{181D53FF-BB11-4AB4-A822-5ABA8E4966CE}" name="Colonne11660"/>
    <tableColumn id="11669" xr3:uid="{F14D65E1-4D8D-40D0-A85A-4571CAD76B81}" name="Colonne11661"/>
    <tableColumn id="11670" xr3:uid="{C614F381-901F-4D02-9309-879C5F86E51A}" name="Colonne11662"/>
    <tableColumn id="11671" xr3:uid="{81D9AECB-19D6-4CDD-A95A-DD3AA2FFD80B}" name="Colonne11663"/>
    <tableColumn id="11672" xr3:uid="{2B0424A5-6070-4778-B784-F3B81402CE76}" name="Colonne11664"/>
    <tableColumn id="11673" xr3:uid="{F2B03F05-ABCD-4394-90D4-3BF1C1EFBD82}" name="Colonne11665"/>
    <tableColumn id="11674" xr3:uid="{B18208A7-6447-4990-A438-7189F9AFBE3C}" name="Colonne11666"/>
    <tableColumn id="11675" xr3:uid="{FB15F8B3-140F-491E-8F1C-C1ECEF4E3279}" name="Colonne11667"/>
    <tableColumn id="11676" xr3:uid="{75082FBF-CAE9-466E-AC1C-428209BA80E9}" name="Colonne11668"/>
    <tableColumn id="11677" xr3:uid="{E99CDA73-9AC0-48D8-BE13-5DCECD1D2456}" name="Colonne11669"/>
    <tableColumn id="11678" xr3:uid="{15686730-5C9B-44B7-8982-F81BD5C4E842}" name="Colonne11670"/>
    <tableColumn id="11679" xr3:uid="{15E82A50-2764-462B-AD00-D031FFB6D653}" name="Colonne11671"/>
    <tableColumn id="11680" xr3:uid="{E3CFD96F-5E73-4690-A7FD-2486C7211DE8}" name="Colonne11672"/>
    <tableColumn id="11681" xr3:uid="{BF4C7BD3-E22F-4B63-8F24-6E15906D63E2}" name="Colonne11673"/>
    <tableColumn id="11682" xr3:uid="{EB4B43D5-D907-4A83-ADDB-0E0C9387A6C2}" name="Colonne11674"/>
    <tableColumn id="11683" xr3:uid="{09F10F0E-AE11-4E63-9584-36E1D9D60989}" name="Colonne11675"/>
    <tableColumn id="11684" xr3:uid="{581F903F-9CF3-4444-97A9-CC2F2A4C7CF8}" name="Colonne11676"/>
    <tableColumn id="11685" xr3:uid="{2C5A4906-5D8D-4FF0-87AF-D90CFBE9C579}" name="Colonne11677"/>
    <tableColumn id="11686" xr3:uid="{13B82AB1-63DC-4B8D-8C7D-FCD9C761ECBA}" name="Colonne11678"/>
    <tableColumn id="11687" xr3:uid="{61580D8A-5628-45AB-97E7-CE1B62BCEC5D}" name="Colonne11679"/>
    <tableColumn id="11688" xr3:uid="{20CD5543-9ACA-4EE1-ACD5-C81791B4D71F}" name="Colonne11680"/>
    <tableColumn id="11689" xr3:uid="{50B0DC31-7FD4-4520-9C0C-3C678B0FE798}" name="Colonne11681"/>
    <tableColumn id="11690" xr3:uid="{7E827A2C-441D-4EBF-8DFE-B07CE98C3D76}" name="Colonne11682"/>
    <tableColumn id="11691" xr3:uid="{9F5D6B0B-0366-45FC-A7E6-3A78D8823EE7}" name="Colonne11683"/>
    <tableColumn id="11692" xr3:uid="{9E47DAAE-E0D2-4A39-8416-FC33D449C966}" name="Colonne11684"/>
    <tableColumn id="11693" xr3:uid="{B2E10BE7-B945-4972-B341-1F61B7A97D86}" name="Colonne11685"/>
    <tableColumn id="11694" xr3:uid="{C4C93B38-24F8-4FA9-A69A-3BF8C81568AF}" name="Colonne11686"/>
    <tableColumn id="11695" xr3:uid="{2EF60CDA-D3E0-48BA-8F15-701F5C50D887}" name="Colonne11687"/>
    <tableColumn id="11696" xr3:uid="{3F428279-1CA1-4B9B-B028-9A44A668E9C6}" name="Colonne11688"/>
    <tableColumn id="11697" xr3:uid="{F2E622E2-DF70-4EBB-9D77-3FE4D23608C1}" name="Colonne11689"/>
    <tableColumn id="11698" xr3:uid="{CD7BC3F7-CB7A-4166-A557-A99EDF36F835}" name="Colonne11690"/>
    <tableColumn id="11699" xr3:uid="{812C9A10-E425-411A-A87F-C5D3D7B8BEAC}" name="Colonne11691"/>
    <tableColumn id="11700" xr3:uid="{99958D04-F171-40A3-B636-E1D84EA640FA}" name="Colonne11692"/>
    <tableColumn id="11701" xr3:uid="{AF7287D1-EBDC-459C-9DCA-D4A6C45E7425}" name="Colonne11693"/>
    <tableColumn id="11702" xr3:uid="{22C2479E-862C-4ED2-A258-84D3EA19C978}" name="Colonne11694"/>
    <tableColumn id="11703" xr3:uid="{F4E35235-A1DE-45D9-9F85-EFC6E5F80739}" name="Colonne11695"/>
    <tableColumn id="11704" xr3:uid="{D308FEBE-84B1-4B67-A633-E7A554BF2CDB}" name="Colonne11696"/>
    <tableColumn id="11705" xr3:uid="{21F06390-5A4A-4703-BB99-B20FD9780846}" name="Colonne11697"/>
    <tableColumn id="11706" xr3:uid="{9E33D53E-D945-4132-932C-5C6CB1F80A6B}" name="Colonne11698"/>
    <tableColumn id="11707" xr3:uid="{AF2FD2D3-0EDF-49DF-BADF-65DFFB16B4FF}" name="Colonne11699"/>
    <tableColumn id="11708" xr3:uid="{B05BBD01-3D56-4B36-BE76-6E98EBA7D037}" name="Colonne11700"/>
    <tableColumn id="11709" xr3:uid="{29A8197E-5A05-4F8C-BEED-A618BC40BC18}" name="Colonne11701"/>
    <tableColumn id="11710" xr3:uid="{9179526A-1896-42DD-90C8-38CFA101366C}" name="Colonne11702"/>
    <tableColumn id="11711" xr3:uid="{FB37C7AF-DDEC-45B1-BAC2-FA933B6CA5D6}" name="Colonne11703"/>
    <tableColumn id="11712" xr3:uid="{A605CB80-810B-482C-8916-A73DBF663888}" name="Colonne11704"/>
    <tableColumn id="11713" xr3:uid="{B73EB651-8E8C-476B-B963-BDD7A0758450}" name="Colonne11705"/>
    <tableColumn id="11714" xr3:uid="{73A52886-B9A4-4941-BD35-88967AD3C0C6}" name="Colonne11706"/>
    <tableColumn id="11715" xr3:uid="{C6D5F81F-4BAA-40E5-A664-F114662D2806}" name="Colonne11707"/>
    <tableColumn id="11716" xr3:uid="{F4C35E25-0417-4629-99BA-57F87B83E057}" name="Colonne11708"/>
    <tableColumn id="11717" xr3:uid="{A2A48DE1-E8DF-4072-A2CE-A7222861C786}" name="Colonne11709"/>
    <tableColumn id="11718" xr3:uid="{F5B024C6-CA9F-4084-AB25-6EE6D7A181BB}" name="Colonne11710"/>
    <tableColumn id="11719" xr3:uid="{B7D9AFE0-9CD3-431B-AC29-6533C30A9319}" name="Colonne11711"/>
    <tableColumn id="11720" xr3:uid="{DD8929C4-3516-4ED4-A955-5CDF35ACAFFA}" name="Colonne11712"/>
    <tableColumn id="11721" xr3:uid="{0C8A164E-3502-442A-8DB7-020D0163998F}" name="Colonne11713"/>
    <tableColumn id="11722" xr3:uid="{E72D58C7-BDB1-4DFE-A15B-BBE5C6C925BE}" name="Colonne11714"/>
    <tableColumn id="11723" xr3:uid="{5D645B2C-E1BC-4083-A947-33CD98F4F6D3}" name="Colonne11715"/>
    <tableColumn id="11724" xr3:uid="{7A9D2934-B994-4194-B8C7-7BA192EB17C6}" name="Colonne11716"/>
    <tableColumn id="11725" xr3:uid="{F2639490-6C3C-47E8-9A42-680B3691234C}" name="Colonne11717"/>
    <tableColumn id="11726" xr3:uid="{A2F1E21B-A1C4-45B1-831A-E23DB6F3D5F1}" name="Colonne11718"/>
    <tableColumn id="11727" xr3:uid="{EF5C5CD2-EA18-40D3-975E-B30FC0E82BAD}" name="Colonne11719"/>
    <tableColumn id="11728" xr3:uid="{AB63C660-6796-4596-9149-430560E5EE1F}" name="Colonne11720"/>
    <tableColumn id="11729" xr3:uid="{91489DF5-6A6D-4F46-9C1C-548FBA60B0C7}" name="Colonne11721"/>
    <tableColumn id="11730" xr3:uid="{2E3BBF6A-4692-4220-BB9F-9DBF10B49CF8}" name="Colonne11722"/>
    <tableColumn id="11731" xr3:uid="{B5623B31-5F8F-4E3B-AEDD-314DD48361D6}" name="Colonne11723"/>
    <tableColumn id="11732" xr3:uid="{6FB1AC13-5815-4D42-B70F-C0CA6EFCFAA4}" name="Colonne11724"/>
    <tableColumn id="11733" xr3:uid="{873E17DD-A72B-40BD-BE67-4A28AC93F57D}" name="Colonne11725"/>
    <tableColumn id="11734" xr3:uid="{A71D5B79-0F31-4D86-8C92-235168D725E4}" name="Colonne11726"/>
    <tableColumn id="11735" xr3:uid="{9AD3C7BF-ABD2-4499-B5DC-AB547B5301FD}" name="Colonne11727"/>
    <tableColumn id="11736" xr3:uid="{ED239551-FF59-4D84-AD80-A82181E50603}" name="Colonne11728"/>
    <tableColumn id="11737" xr3:uid="{C6004CA4-6057-4BC1-B67C-0B804C35B33E}" name="Colonne11729"/>
    <tableColumn id="11738" xr3:uid="{327CFC0E-CDCC-40D2-8517-C243640596D8}" name="Colonne11730"/>
    <tableColumn id="11739" xr3:uid="{1A9A9C0B-0B1B-47F3-9327-78B58CBE37AC}" name="Colonne11731"/>
    <tableColumn id="11740" xr3:uid="{C3619343-1ABB-444A-B399-942DF10A0209}" name="Colonne11732"/>
    <tableColumn id="11741" xr3:uid="{BAF1740C-402D-4AEA-B064-B2E74760883D}" name="Colonne11733"/>
    <tableColumn id="11742" xr3:uid="{E7BD64AD-E043-4E78-AB84-720C899DFE9F}" name="Colonne11734"/>
    <tableColumn id="11743" xr3:uid="{861A9517-B6D1-44EB-ADDF-F23E1509F040}" name="Colonne11735"/>
    <tableColumn id="11744" xr3:uid="{8C7D3C87-E04A-4FF2-B673-5F62A4F42E9B}" name="Colonne11736"/>
    <tableColumn id="11745" xr3:uid="{AB499BD2-8FD8-410D-A89E-D7D55F79200E}" name="Colonne11737"/>
    <tableColumn id="11746" xr3:uid="{B9E4403C-0799-429A-816E-3E65B8CE76EF}" name="Colonne11738"/>
    <tableColumn id="11747" xr3:uid="{19209E70-D576-40EA-BB32-475597D4CC3C}" name="Colonne11739"/>
    <tableColumn id="11748" xr3:uid="{61F97E74-A871-4959-BE39-ADA2749D0475}" name="Colonne11740"/>
    <tableColumn id="11749" xr3:uid="{0D642748-6192-4E33-8824-ACFA6F0659C7}" name="Colonne11741"/>
    <tableColumn id="11750" xr3:uid="{D80CAE81-1038-4877-9BBA-8EB93FD87578}" name="Colonne11742"/>
    <tableColumn id="11751" xr3:uid="{3828C48E-D697-4DE0-AE4B-5DD9FAC879E7}" name="Colonne11743"/>
    <tableColumn id="11752" xr3:uid="{E42B8344-C503-49ED-AD43-2E78624F1378}" name="Colonne11744"/>
    <tableColumn id="11753" xr3:uid="{922DE236-C00A-46FB-872E-4AF73736497F}" name="Colonne11745"/>
    <tableColumn id="11754" xr3:uid="{38DF7503-60CB-400D-8F28-AD9162140E3B}" name="Colonne11746"/>
    <tableColumn id="11755" xr3:uid="{F16C76DC-F9E6-4C1C-810F-5D159EC019E4}" name="Colonne11747"/>
    <tableColumn id="11756" xr3:uid="{1BDA0176-16BF-43A6-8DFE-6CB61F04B7FF}" name="Colonne11748"/>
    <tableColumn id="11757" xr3:uid="{34967B0C-1310-4376-B56F-90216B76CCB5}" name="Colonne11749"/>
    <tableColumn id="11758" xr3:uid="{75B4AE82-BC9E-4783-8E5B-9A9A9633D4BF}" name="Colonne11750"/>
    <tableColumn id="11759" xr3:uid="{0F481E1D-B68C-4217-B9F8-CAAEECFA2412}" name="Colonne11751"/>
    <tableColumn id="11760" xr3:uid="{F32D7194-E3C5-4847-846E-AEA5CA9C4497}" name="Colonne11752"/>
    <tableColumn id="11761" xr3:uid="{C7A88610-EFDF-4146-BD0A-5DB97B23D648}" name="Colonne11753"/>
    <tableColumn id="11762" xr3:uid="{784B0188-5622-4387-AE6C-62B39B416A60}" name="Colonne11754"/>
    <tableColumn id="11763" xr3:uid="{7F71D125-25EE-40D9-9E97-247E9FEB561D}" name="Colonne11755"/>
    <tableColumn id="11764" xr3:uid="{D0E426F3-E73A-4DF7-A4A4-715BAA409CC2}" name="Colonne11756"/>
    <tableColumn id="11765" xr3:uid="{314056E2-2631-4A08-B005-31957785A10E}" name="Colonne11757"/>
    <tableColumn id="11766" xr3:uid="{2838BC62-9978-4A03-9901-0E0BC824ECF3}" name="Colonne11758"/>
    <tableColumn id="11767" xr3:uid="{A88230E0-6FB0-4E97-A528-B1D4AEABE12C}" name="Colonne11759"/>
    <tableColumn id="11768" xr3:uid="{703F7EB4-5B21-46A0-9C90-5EF5A71CB7C5}" name="Colonne11760"/>
    <tableColumn id="11769" xr3:uid="{10BBC5E5-EC43-42AA-A521-8D282E3EE262}" name="Colonne11761"/>
    <tableColumn id="11770" xr3:uid="{0FE0EB4B-B607-4F5F-B777-43AC09447628}" name="Colonne11762"/>
    <tableColumn id="11771" xr3:uid="{F32CEE87-9C05-4DD5-A9C3-F3BE3313295E}" name="Colonne11763"/>
    <tableColumn id="11772" xr3:uid="{1C7866DB-79C5-4563-A613-7962B4F7E388}" name="Colonne11764"/>
    <tableColumn id="11773" xr3:uid="{45EF68A1-CFA3-4D92-841E-AB4A096422CA}" name="Colonne11765"/>
    <tableColumn id="11774" xr3:uid="{E8D7B6D3-9BA5-4B1E-85F1-7501BCE4F75B}" name="Colonne11766"/>
    <tableColumn id="11775" xr3:uid="{816C19ED-70C8-4367-A329-7AA775573DDC}" name="Colonne11767"/>
    <tableColumn id="11776" xr3:uid="{6E4D797B-6D83-4F0C-B81F-BCDEE6BA125C}" name="Colonne11768"/>
    <tableColumn id="11777" xr3:uid="{5311EF28-2A59-4393-8904-4A575CA1E136}" name="Colonne11769"/>
    <tableColumn id="11778" xr3:uid="{4BE69A33-9858-4072-B0B2-2969F8D055D0}" name="Colonne11770"/>
    <tableColumn id="11779" xr3:uid="{CC61BED9-1C58-4649-9111-9486C7CA29C2}" name="Colonne11771"/>
    <tableColumn id="11780" xr3:uid="{13ED461F-BD9D-42A1-B702-E37CA99251CC}" name="Colonne11772"/>
    <tableColumn id="11781" xr3:uid="{496F862E-B05F-4275-9FDF-3E6CBF655013}" name="Colonne11773"/>
    <tableColumn id="11782" xr3:uid="{84DC672B-BAF1-4B05-8365-150FC97F78CF}" name="Colonne11774"/>
    <tableColumn id="11783" xr3:uid="{4BC57D0D-3A66-43B5-82F1-8594C96D99E8}" name="Colonne11775"/>
    <tableColumn id="11784" xr3:uid="{4332E282-34E3-4095-87C5-553F4FC20BFC}" name="Colonne11776"/>
    <tableColumn id="11785" xr3:uid="{A955256F-0655-44BD-B2DC-45ABC49BA80C}" name="Colonne11777"/>
    <tableColumn id="11786" xr3:uid="{095E5E3B-412E-4ACC-B335-357F297635EA}" name="Colonne11778"/>
    <tableColumn id="11787" xr3:uid="{A48804DA-A54A-47EE-BA7C-DF4EA420BB5F}" name="Colonne11779"/>
    <tableColumn id="11788" xr3:uid="{0BCBC941-B674-4205-BF5F-AB71A7D216D1}" name="Colonne11780"/>
    <tableColumn id="11789" xr3:uid="{ADA2B2FF-6C95-41FD-9657-CEEA98A85177}" name="Colonne11781"/>
    <tableColumn id="11790" xr3:uid="{94BF2928-F59A-43BB-8D64-F233F857034E}" name="Colonne11782"/>
    <tableColumn id="11791" xr3:uid="{9A02BFF2-D7F3-4C5D-A130-B0DC7057CDAB}" name="Colonne11783"/>
    <tableColumn id="11792" xr3:uid="{1E0FCBD0-D9EF-4F24-A816-1AF0283AE798}" name="Colonne11784"/>
    <tableColumn id="11793" xr3:uid="{A4A9D7D1-ADFE-4CBC-93BC-C3CB78BC4205}" name="Colonne11785"/>
    <tableColumn id="11794" xr3:uid="{12A9FA67-51BA-4C9C-865A-23897A2B00CA}" name="Colonne11786"/>
    <tableColumn id="11795" xr3:uid="{7E889845-748A-4EE1-8D93-D35569936A31}" name="Colonne11787"/>
    <tableColumn id="11796" xr3:uid="{B00177C4-9559-480D-9556-E932DB8EAAF0}" name="Colonne11788"/>
    <tableColumn id="11797" xr3:uid="{6C9A4C2E-D507-48E0-816A-7C6E8E949253}" name="Colonne11789"/>
    <tableColumn id="11798" xr3:uid="{052C977E-53BB-46D8-A1C4-8617FC5DC484}" name="Colonne11790"/>
    <tableColumn id="11799" xr3:uid="{2F4BBC7E-5300-42E9-8289-52B8808A4577}" name="Colonne11791"/>
    <tableColumn id="11800" xr3:uid="{F135AA5B-8DF8-4D0D-953F-1F56208A9C89}" name="Colonne11792"/>
    <tableColumn id="11801" xr3:uid="{EEA42A2F-2D79-415F-BCFE-190F15EE6B22}" name="Colonne11793"/>
    <tableColumn id="11802" xr3:uid="{372A57DA-606F-442D-A402-0965FCBD2250}" name="Colonne11794"/>
    <tableColumn id="11803" xr3:uid="{E43714EB-3E8C-4F2C-B0A4-4B00248F283F}" name="Colonne11795"/>
    <tableColumn id="11804" xr3:uid="{D988D4AD-E84B-496B-BC80-7091C69C7A95}" name="Colonne11796"/>
    <tableColumn id="11805" xr3:uid="{B7EC26B4-7E89-4511-8117-6B4201B08955}" name="Colonne11797"/>
    <tableColumn id="11806" xr3:uid="{C473E834-7103-4F36-B718-675053D3929C}" name="Colonne11798"/>
    <tableColumn id="11807" xr3:uid="{CD2205E9-C870-4CAE-934E-AAEB370B3F26}" name="Colonne11799"/>
    <tableColumn id="11808" xr3:uid="{F5F5812D-A3DE-474A-9C0F-8B1FA1B835C4}" name="Colonne11800"/>
    <tableColumn id="11809" xr3:uid="{68BB6CBA-37A8-470B-AB78-C0393CB80AAB}" name="Colonne11801"/>
    <tableColumn id="11810" xr3:uid="{2B4477ED-1D52-4281-BADC-5FEB5DDBED8B}" name="Colonne11802"/>
    <tableColumn id="11811" xr3:uid="{F92EBFCE-3D94-45D2-8A77-9EEF5DD08B9B}" name="Colonne11803"/>
    <tableColumn id="11812" xr3:uid="{68BA100D-37F0-498E-9CD0-92A3D25C383B}" name="Colonne11804"/>
    <tableColumn id="11813" xr3:uid="{796BE3B3-3077-4AC4-98F3-6A0A3AA0DD1F}" name="Colonne11805"/>
    <tableColumn id="11814" xr3:uid="{8551B4F5-7A8A-4A00-A94B-BD4B8984D9D8}" name="Colonne11806"/>
    <tableColumn id="11815" xr3:uid="{961029C3-271D-4A68-8093-1831590606BF}" name="Colonne11807"/>
    <tableColumn id="11816" xr3:uid="{51153BB9-1EA4-407F-B961-F104A23CD92A}" name="Colonne11808"/>
    <tableColumn id="11817" xr3:uid="{7A9A0B0A-66F4-4BD3-9563-4FF2FE95CEB2}" name="Colonne11809"/>
    <tableColumn id="11818" xr3:uid="{302517EB-F76E-429C-B456-7CE35470F2B8}" name="Colonne11810"/>
    <tableColumn id="11819" xr3:uid="{C56DDB3B-C79D-4741-BA7D-3D401B94CAD6}" name="Colonne11811"/>
    <tableColumn id="11820" xr3:uid="{85EC8DC4-083E-4A38-8B33-77499E917430}" name="Colonne11812"/>
    <tableColumn id="11821" xr3:uid="{FAA20FDA-B95B-4224-BA6A-F6BC8D07CBD3}" name="Colonne11813"/>
    <tableColumn id="11822" xr3:uid="{1B2C31BD-F7C3-4AF7-81B6-6450DE07C901}" name="Colonne11814"/>
    <tableColumn id="11823" xr3:uid="{14FEC3E7-CCA9-4CB5-8321-A313BC91D03E}" name="Colonne11815"/>
    <tableColumn id="11824" xr3:uid="{DB8DA019-7367-45DE-BBE5-0588B6F0B2C4}" name="Colonne11816"/>
    <tableColumn id="11825" xr3:uid="{D6F90E3E-EEFB-45BB-ACF6-284712A85039}" name="Colonne11817"/>
    <tableColumn id="11826" xr3:uid="{6310D000-DCC1-4B76-8558-F1700E2DCBDF}" name="Colonne11818"/>
    <tableColumn id="11827" xr3:uid="{2C135886-0751-4595-96D1-DA8C81A447FC}" name="Colonne11819"/>
    <tableColumn id="11828" xr3:uid="{32753203-96C7-4D56-9E93-90C72EE322E3}" name="Colonne11820"/>
    <tableColumn id="11829" xr3:uid="{B46A0AB5-14BB-4C2B-BB3C-3BE61429DCD7}" name="Colonne11821"/>
    <tableColumn id="11830" xr3:uid="{65165220-E813-4F14-BFEC-D5628575A5E4}" name="Colonne11822"/>
    <tableColumn id="11831" xr3:uid="{1D010268-6C11-4836-846B-92EBA83C774B}" name="Colonne11823"/>
    <tableColumn id="11832" xr3:uid="{8985457B-A31C-43A6-B5D0-9739299353A5}" name="Colonne11824"/>
    <tableColumn id="11833" xr3:uid="{08B8E7EC-5477-4D2E-9FF9-208DC27A1079}" name="Colonne11825"/>
    <tableColumn id="11834" xr3:uid="{A005E22F-644D-4F72-BF81-9551C4D3F3F3}" name="Colonne11826"/>
    <tableColumn id="11835" xr3:uid="{8B160EEF-A8CD-442D-BBF6-CF6C6F336D99}" name="Colonne11827"/>
    <tableColumn id="11836" xr3:uid="{A469B422-C66E-4707-B183-5BFA798B2044}" name="Colonne11828"/>
    <tableColumn id="11837" xr3:uid="{293C443F-D32F-4C9E-9194-F05D74839319}" name="Colonne11829"/>
    <tableColumn id="11838" xr3:uid="{72BFBB72-F8EE-4911-9448-D376135C6E1D}" name="Colonne11830"/>
    <tableColumn id="11839" xr3:uid="{325CDCCF-7A60-4B7F-B291-57FC1325FD9D}" name="Colonne11831"/>
    <tableColumn id="11840" xr3:uid="{F54B6370-2DDD-48B2-B81E-5749D7D64C85}" name="Colonne11832"/>
    <tableColumn id="11841" xr3:uid="{87070A2F-F9CB-46FC-8F04-E09F77C26EEC}" name="Colonne11833"/>
    <tableColumn id="11842" xr3:uid="{0205035E-1A59-4A82-B1DA-D8DE503DD4DE}" name="Colonne11834"/>
    <tableColumn id="11843" xr3:uid="{895A36BF-0EDE-4EF9-AE68-722F634D52A4}" name="Colonne11835"/>
    <tableColumn id="11844" xr3:uid="{FFFCC3B5-6D2D-4896-BE1A-E923E9E26B4D}" name="Colonne11836"/>
    <tableColumn id="11845" xr3:uid="{CE9E7422-F6AA-4D52-A000-8C73FCA7D0A1}" name="Colonne11837"/>
    <tableColumn id="11846" xr3:uid="{72A404C1-2ADF-45E3-8B63-62D8B94BEDAC}" name="Colonne11838"/>
    <tableColumn id="11847" xr3:uid="{AE70E2B7-98DC-4917-BDDC-E1C8667DAC8A}" name="Colonne11839"/>
    <tableColumn id="11848" xr3:uid="{C3A197E2-35FF-4ACD-865D-2E51DDB6C33E}" name="Colonne11840"/>
    <tableColumn id="11849" xr3:uid="{48491C37-E691-4DD8-A3AD-9916919C4340}" name="Colonne11841"/>
    <tableColumn id="11850" xr3:uid="{11A9A545-1533-4B0E-AB23-E347D930807C}" name="Colonne11842"/>
    <tableColumn id="11851" xr3:uid="{8EB86600-BFF7-45AA-816D-E3B8D0E9C4C8}" name="Colonne11843"/>
    <tableColumn id="11852" xr3:uid="{6D1C00F9-750F-4610-94BF-B0D8337653FA}" name="Colonne11844"/>
    <tableColumn id="11853" xr3:uid="{BA38BD1F-2398-43A2-9C42-37FD3D480310}" name="Colonne11845"/>
    <tableColumn id="11854" xr3:uid="{88EE4C2A-ADE2-4DE8-B38A-EEFAC2A59FEB}" name="Colonne11846"/>
    <tableColumn id="11855" xr3:uid="{1641B27C-8A93-4DFB-8A88-1B83B1132368}" name="Colonne11847"/>
    <tableColumn id="11856" xr3:uid="{87114E78-DB76-42BA-AB83-7D43CFA74BC6}" name="Colonne11848"/>
    <tableColumn id="11857" xr3:uid="{036AAAC5-DC73-4DC4-8572-935D29D40090}" name="Colonne11849"/>
    <tableColumn id="11858" xr3:uid="{419E23D7-7CC8-4487-A188-17B7800F65D3}" name="Colonne11850"/>
    <tableColumn id="11859" xr3:uid="{356DF075-12F9-4962-9888-637E631F027F}" name="Colonne11851"/>
    <tableColumn id="11860" xr3:uid="{194B41C8-04A8-46FC-BB9F-8CD5B9C68E5D}" name="Colonne11852"/>
    <tableColumn id="11861" xr3:uid="{2693B061-5AFC-4DE5-8843-E87FD7ED7813}" name="Colonne11853"/>
    <tableColumn id="11862" xr3:uid="{640F8B70-EDC2-4862-BD18-BD4DF7210747}" name="Colonne11854"/>
    <tableColumn id="11863" xr3:uid="{F01100A4-E898-4B96-ADEB-4DC0965324DE}" name="Colonne11855"/>
    <tableColumn id="11864" xr3:uid="{5067B95F-CA5A-46FA-A7F9-06C6FB9689F8}" name="Colonne11856"/>
    <tableColumn id="11865" xr3:uid="{00171D67-5A86-4B24-B880-1485DC49953C}" name="Colonne11857"/>
    <tableColumn id="11866" xr3:uid="{060F0377-1830-43D4-B793-E6C26BCC436A}" name="Colonne11858"/>
    <tableColumn id="11867" xr3:uid="{9DADBAFC-D751-4FC5-8EE5-763DE6083A9E}" name="Colonne11859"/>
    <tableColumn id="11868" xr3:uid="{95DDBEE8-C394-4811-BD30-A2B7247AA608}" name="Colonne11860"/>
    <tableColumn id="11869" xr3:uid="{95F90AF1-BFA2-434C-A1EF-8E94A13180B8}" name="Colonne11861"/>
    <tableColumn id="11870" xr3:uid="{16E5F16C-5244-4E3C-B00A-38950BD02D39}" name="Colonne11862"/>
    <tableColumn id="11871" xr3:uid="{CDDBCD84-DC16-46C5-87B1-AE96BA712633}" name="Colonne11863"/>
    <tableColumn id="11872" xr3:uid="{A2DD3FE9-6490-4110-B48C-10984824F4DA}" name="Colonne11864"/>
    <tableColumn id="11873" xr3:uid="{F51114C3-1022-43D6-B8AE-13D1102A3674}" name="Colonne11865"/>
    <tableColumn id="11874" xr3:uid="{4EDB471D-964D-4B98-A90F-9939D360298E}" name="Colonne11866"/>
    <tableColumn id="11875" xr3:uid="{41127909-C771-445B-B270-444574874F2E}" name="Colonne11867"/>
    <tableColumn id="11876" xr3:uid="{A8E47285-1795-42C8-81D5-71BC618B1DFA}" name="Colonne11868"/>
    <tableColumn id="11877" xr3:uid="{2F52A0EA-F1B8-4051-A278-DB39FD630D7B}" name="Colonne11869"/>
    <tableColumn id="11878" xr3:uid="{AD92B456-A38B-4B0A-8503-8B6E59A156C2}" name="Colonne11870"/>
    <tableColumn id="11879" xr3:uid="{6AEA2E91-C053-487D-B0BE-06BACD55FD91}" name="Colonne11871"/>
    <tableColumn id="11880" xr3:uid="{10F03846-B85D-4AEF-A86B-4BEE17ADF5B5}" name="Colonne11872"/>
    <tableColumn id="11881" xr3:uid="{8C3F7753-EB96-4F42-ABFF-56ECDF8D1D9F}" name="Colonne11873"/>
    <tableColumn id="11882" xr3:uid="{F19CB6D2-5C63-4D0D-A672-A4DB104C7B1B}" name="Colonne11874"/>
    <tableColumn id="11883" xr3:uid="{7B4A34D0-7565-43F7-B2CC-DD2B763C2BCE}" name="Colonne11875"/>
    <tableColumn id="11884" xr3:uid="{394C4118-B0F9-42C8-9C1B-68289992ADE0}" name="Colonne11876"/>
    <tableColumn id="11885" xr3:uid="{770EE333-09A9-4D23-A03E-5C2BFE5AD358}" name="Colonne11877"/>
    <tableColumn id="11886" xr3:uid="{4A508736-A679-40DF-B2CD-8DB2079DBB14}" name="Colonne11878"/>
    <tableColumn id="11887" xr3:uid="{049AE1F3-5BFF-40B9-B943-5F94CCE66347}" name="Colonne11879"/>
    <tableColumn id="11888" xr3:uid="{00239DEB-9145-480D-A565-EE6D07FB33B8}" name="Colonne11880"/>
    <tableColumn id="11889" xr3:uid="{052A2759-C4A1-4A1F-8D88-4A94CCAD14A5}" name="Colonne11881"/>
    <tableColumn id="11890" xr3:uid="{58B9DB4D-5E8E-479F-96D1-A70F928F27F3}" name="Colonne11882"/>
    <tableColumn id="11891" xr3:uid="{BFE70A64-7E95-4F64-BC5A-8D83D8DB7714}" name="Colonne11883"/>
    <tableColumn id="11892" xr3:uid="{48AAC1D2-4D99-4621-B032-18644840DA7C}" name="Colonne11884"/>
    <tableColumn id="11893" xr3:uid="{DACDA6DC-AAE1-4459-A988-F17DBDE6E54B}" name="Colonne11885"/>
    <tableColumn id="11894" xr3:uid="{BA12BDAC-4E93-4F4E-BAC8-3ECC89DD4AD9}" name="Colonne11886"/>
    <tableColumn id="11895" xr3:uid="{9349EB24-FFBA-48EA-ACAD-CA35AFC340DE}" name="Colonne11887"/>
    <tableColumn id="11896" xr3:uid="{0EB945DA-1DB7-4F1D-977F-5106730659D8}" name="Colonne11888"/>
    <tableColumn id="11897" xr3:uid="{80E2C92B-6ED4-45C6-A1FC-62D22BF54584}" name="Colonne11889"/>
    <tableColumn id="11898" xr3:uid="{EFC27226-7DA2-4D2D-847B-0B3DDC36601B}" name="Colonne11890"/>
    <tableColumn id="11899" xr3:uid="{8E130B08-7044-41D6-8856-20BB2525A294}" name="Colonne11891"/>
    <tableColumn id="11900" xr3:uid="{14E76C9D-3C6F-4F2D-A18C-E33673F753C3}" name="Colonne11892"/>
    <tableColumn id="11901" xr3:uid="{CAB313F5-C064-4685-9ACB-D462C99C3192}" name="Colonne11893"/>
    <tableColumn id="11902" xr3:uid="{18E0185B-DAAB-45A6-B258-104E559890DC}" name="Colonne11894"/>
    <tableColumn id="11903" xr3:uid="{C667F96A-921B-4384-BE57-855CE4BD28CB}" name="Colonne11895"/>
    <tableColumn id="11904" xr3:uid="{6AAD2F98-D26B-4213-839F-CF0AB4FAB4B7}" name="Colonne11896"/>
    <tableColumn id="11905" xr3:uid="{1131B0F5-97E4-4628-BD35-33E2FB334CE1}" name="Colonne11897"/>
    <tableColumn id="11906" xr3:uid="{163DA1EC-687A-4DBB-9D38-687DC5104DF5}" name="Colonne11898"/>
    <tableColumn id="11907" xr3:uid="{78C35917-E064-4E74-BAF7-26EF35745253}" name="Colonne11899"/>
    <tableColumn id="11908" xr3:uid="{FFA9A789-A83C-4839-8BC3-707B2D0975A2}" name="Colonne11900"/>
    <tableColumn id="11909" xr3:uid="{9FDEAFDB-2C9D-41CE-8C9A-65B2B180CA07}" name="Colonne11901"/>
    <tableColumn id="11910" xr3:uid="{9A570B2D-497E-449A-8567-63B0C066AF3C}" name="Colonne11902"/>
    <tableColumn id="11911" xr3:uid="{DA38EA06-5BAF-4DC3-8F63-157D3F9A861A}" name="Colonne11903"/>
    <tableColumn id="11912" xr3:uid="{7B671A73-30E2-4EC2-8ECE-6294033EA776}" name="Colonne11904"/>
    <tableColumn id="11913" xr3:uid="{6FE36820-DBD9-46D3-951B-4FAD4CB3E00A}" name="Colonne11905"/>
    <tableColumn id="11914" xr3:uid="{F67D4FB5-8300-4295-9234-7D3742E1C0CF}" name="Colonne11906"/>
    <tableColumn id="11915" xr3:uid="{EBE478FD-521E-4BDA-8335-8B93D3CB847D}" name="Colonne11907"/>
    <tableColumn id="11916" xr3:uid="{336C7F0F-91AE-4D55-BCDD-C7BA819E761F}" name="Colonne11908"/>
    <tableColumn id="11917" xr3:uid="{CADC3587-0153-4527-9AF2-F8A69E54F091}" name="Colonne11909"/>
    <tableColumn id="11918" xr3:uid="{E9A57FE1-CAE6-4489-A263-389AA0EDCE57}" name="Colonne11910"/>
    <tableColumn id="11919" xr3:uid="{C22DA90C-7A53-4126-B076-B5AC8A3CCA1E}" name="Colonne11911"/>
    <tableColumn id="11920" xr3:uid="{D5945DA2-B27A-4161-A24A-988C33836DE4}" name="Colonne11912"/>
    <tableColumn id="11921" xr3:uid="{96BC8731-8C8B-45DE-ABAA-83B38C733CF0}" name="Colonne11913"/>
    <tableColumn id="11922" xr3:uid="{BE5549FF-3172-4484-95E1-24242ECE4E69}" name="Colonne11914"/>
    <tableColumn id="11923" xr3:uid="{4B45A9DF-FBCF-40EB-A240-7D618BD39A76}" name="Colonne11915"/>
    <tableColumn id="11924" xr3:uid="{C5B3BA3E-1FFB-4646-AFA0-2CC89AF8477A}" name="Colonne11916"/>
    <tableColumn id="11925" xr3:uid="{901C59E8-CE46-4D8C-93FF-659DBE16D393}" name="Colonne11917"/>
    <tableColumn id="11926" xr3:uid="{22C98D34-D943-4E60-85A0-5FD7E62B3877}" name="Colonne11918"/>
    <tableColumn id="11927" xr3:uid="{4F52BC28-F4CB-4AC7-8F8E-C1CA0FD63ACA}" name="Colonne11919"/>
    <tableColumn id="11928" xr3:uid="{EB490904-120D-4FE8-BC9C-D181E7AC4681}" name="Colonne11920"/>
    <tableColumn id="11929" xr3:uid="{F4DF9F0E-823C-4F23-8342-179F667620DE}" name="Colonne11921"/>
    <tableColumn id="11930" xr3:uid="{1F52773B-4AED-429B-B818-E5867DE3388F}" name="Colonne11922"/>
    <tableColumn id="11931" xr3:uid="{1F6554B2-C4ED-4755-A0BA-2DD1CB461DCA}" name="Colonne11923"/>
    <tableColumn id="11932" xr3:uid="{9C0C4A69-8EC7-4D7A-9593-8EB763682562}" name="Colonne11924"/>
    <tableColumn id="11933" xr3:uid="{9FA7951E-B59D-4D43-924A-44B403036675}" name="Colonne11925"/>
    <tableColumn id="11934" xr3:uid="{B5C46AA1-0866-4F71-A60E-E443473C5129}" name="Colonne11926"/>
    <tableColumn id="11935" xr3:uid="{B2BCC762-0D27-4F99-A387-92BE3CDE5497}" name="Colonne11927"/>
    <tableColumn id="11936" xr3:uid="{A3FD4383-C766-44B6-BD8A-063604F53ABD}" name="Colonne11928"/>
    <tableColumn id="11937" xr3:uid="{6C9B78EA-05D1-4D5E-A30A-04642326918B}" name="Colonne11929"/>
    <tableColumn id="11938" xr3:uid="{3793E9B4-573F-4BDB-A0F3-5404B38F2104}" name="Colonne11930"/>
    <tableColumn id="11939" xr3:uid="{6615C3D0-81FC-466D-A197-CEF4F1505E72}" name="Colonne11931"/>
    <tableColumn id="11940" xr3:uid="{04E3B697-20D7-442A-B8BF-DC8E543623FF}" name="Colonne11932"/>
    <tableColumn id="11941" xr3:uid="{979CAC79-4093-40B8-A0C8-EF3B2EF0112F}" name="Colonne11933"/>
    <tableColumn id="11942" xr3:uid="{F5D4A5CB-06C2-4052-BAB8-31F37ED1A236}" name="Colonne11934"/>
    <tableColumn id="11943" xr3:uid="{61C759EA-9AC8-47A1-AA40-6D5B0C6CA536}" name="Colonne11935"/>
    <tableColumn id="11944" xr3:uid="{C11D063A-154C-419D-8949-E11555E58AD7}" name="Colonne11936"/>
    <tableColumn id="11945" xr3:uid="{88A255C8-70A0-47CA-A5E7-C3DB7391B0FF}" name="Colonne11937"/>
    <tableColumn id="11946" xr3:uid="{2B1DCE2C-29DE-484F-BCAF-572C3FAF2E6A}" name="Colonne11938"/>
    <tableColumn id="11947" xr3:uid="{874E5612-CB56-4B3F-A6C0-5165BEE4F715}" name="Colonne11939"/>
    <tableColumn id="11948" xr3:uid="{5DE52710-3482-4D91-8813-E8A53ACC4EE3}" name="Colonne11940"/>
    <tableColumn id="11949" xr3:uid="{3124DA12-06E7-4773-856C-37F31E4233A1}" name="Colonne11941"/>
    <tableColumn id="11950" xr3:uid="{C312C372-5E64-47E2-85B2-5286F80778F3}" name="Colonne11942"/>
    <tableColumn id="11951" xr3:uid="{228BE11C-0B4F-4F9D-A328-133921907169}" name="Colonne11943"/>
    <tableColumn id="11952" xr3:uid="{EFC9758D-DE23-4FEE-85F1-6AB8BD90A213}" name="Colonne11944"/>
    <tableColumn id="11953" xr3:uid="{A60ABA87-E040-4654-9F88-EA98091E624C}" name="Colonne11945"/>
    <tableColumn id="11954" xr3:uid="{9859109E-77DF-46EE-888B-C2EE15ADBD76}" name="Colonne11946"/>
    <tableColumn id="11955" xr3:uid="{0C7B03B4-4D1A-420D-93A5-8FEDCE926AA0}" name="Colonne11947"/>
    <tableColumn id="11956" xr3:uid="{E9CC0C05-4A12-417C-A3C1-3C29663DAAB3}" name="Colonne11948"/>
    <tableColumn id="11957" xr3:uid="{66CE7317-3B8B-4C22-A3CE-304D2AEDA1DA}" name="Colonne11949"/>
    <tableColumn id="11958" xr3:uid="{D99054AD-2569-4E9E-9106-41EB079836EA}" name="Colonne11950"/>
    <tableColumn id="11959" xr3:uid="{8480281D-FC2E-4DDE-BDD9-96675DA840F8}" name="Colonne11951"/>
    <tableColumn id="11960" xr3:uid="{5DE54EBA-EBAA-4E57-A942-71C1AA149492}" name="Colonne11952"/>
    <tableColumn id="11961" xr3:uid="{2BCE3AC5-A2BA-43BF-B8DA-1AA55FB22073}" name="Colonne11953"/>
    <tableColumn id="11962" xr3:uid="{026F661E-64A6-4E75-915C-63EABA1ACB57}" name="Colonne11954"/>
    <tableColumn id="11963" xr3:uid="{2231C8B3-B0AA-452A-8290-B0E2E0C596B7}" name="Colonne11955"/>
    <tableColumn id="11964" xr3:uid="{6AC3BBE7-A156-4B1E-8033-81C828532608}" name="Colonne11956"/>
    <tableColumn id="11965" xr3:uid="{8DB7BCBB-DF63-436E-9B8F-749300D62DBD}" name="Colonne11957"/>
    <tableColumn id="11966" xr3:uid="{1362E359-3640-46CC-965F-1E1EE287B747}" name="Colonne11958"/>
    <tableColumn id="11967" xr3:uid="{063F0665-1A6D-40F9-88B6-B07011BFAF22}" name="Colonne11959"/>
    <tableColumn id="11968" xr3:uid="{23DF570F-5034-4080-AA61-B52EA69071F5}" name="Colonne11960"/>
    <tableColumn id="11969" xr3:uid="{72F7C649-7336-48A8-AFF8-A9C2362E8907}" name="Colonne11961"/>
    <tableColumn id="11970" xr3:uid="{B9ED964E-DF3E-4782-B17A-6E29C400947D}" name="Colonne11962"/>
    <tableColumn id="11971" xr3:uid="{B420F1DE-8327-4B5F-907B-142AEF6B2365}" name="Colonne11963"/>
    <tableColumn id="11972" xr3:uid="{D465C5BA-8568-4E8F-A163-3056E152B3F0}" name="Colonne11964"/>
    <tableColumn id="11973" xr3:uid="{ABA1D22C-5CED-44A6-AE65-E4C9916A43F2}" name="Colonne11965"/>
    <tableColumn id="11974" xr3:uid="{7ED4CE54-D5D1-4857-82F4-2AE58F8EC572}" name="Colonne11966"/>
    <tableColumn id="11975" xr3:uid="{DB806AD7-1529-408F-A27A-67ADFF7D2954}" name="Colonne11967"/>
    <tableColumn id="11976" xr3:uid="{3153CC2B-8B83-4A0F-8863-3ADB2A9771D6}" name="Colonne11968"/>
    <tableColumn id="11977" xr3:uid="{B3306511-81D8-44AB-8513-B4C22ED0A0C3}" name="Colonne11969"/>
    <tableColumn id="11978" xr3:uid="{B159FDC8-1C0C-4B2F-953A-BAA16088148C}" name="Colonne11970"/>
    <tableColumn id="11979" xr3:uid="{3F64E9F6-11B2-4D1B-9569-911C861B8CA9}" name="Colonne11971"/>
    <tableColumn id="11980" xr3:uid="{050C7C40-6DC4-4C47-B98D-98C226CC1916}" name="Colonne11972"/>
    <tableColumn id="11981" xr3:uid="{E861C23E-F45B-4050-B611-FBB3C32D3F00}" name="Colonne11973"/>
    <tableColumn id="11982" xr3:uid="{F59FECB6-A17B-4A03-87B5-2261313CAB80}" name="Colonne11974"/>
    <tableColumn id="11983" xr3:uid="{478B9926-F0AE-4084-875F-E762708DAEA7}" name="Colonne11975"/>
    <tableColumn id="11984" xr3:uid="{11D0B91E-29E1-4DD6-8B8F-F5C8F6027EE2}" name="Colonne11976"/>
    <tableColumn id="11985" xr3:uid="{E6CFAAF6-1452-47CB-89CF-3B7EE7173D87}" name="Colonne11977"/>
    <tableColumn id="11986" xr3:uid="{F8259691-7F48-491D-B518-024FE59DB073}" name="Colonne11978"/>
    <tableColumn id="11987" xr3:uid="{B01F47AB-9608-4ED3-A252-93F95674CEEA}" name="Colonne11979"/>
    <tableColumn id="11988" xr3:uid="{7FDB19FB-B74C-42D7-B4E4-A08A35E3B14D}" name="Colonne11980"/>
    <tableColumn id="11989" xr3:uid="{C56DC782-0BC5-4880-A5A7-DBEDD0F28B9E}" name="Colonne11981"/>
    <tableColumn id="11990" xr3:uid="{4F58153F-3A8E-4501-959F-4F0254BF330F}" name="Colonne11982"/>
    <tableColumn id="11991" xr3:uid="{80904A42-7086-47D9-A770-DD31F8B02724}" name="Colonne11983"/>
    <tableColumn id="11992" xr3:uid="{E1B6B385-4450-436D-85F6-D24F3B8FDA04}" name="Colonne11984"/>
    <tableColumn id="11993" xr3:uid="{FF5EAE42-3928-42D1-A1AD-121D4995721A}" name="Colonne11985"/>
    <tableColumn id="11994" xr3:uid="{B822E77F-040C-44AD-9457-65DDAE41F663}" name="Colonne11986"/>
    <tableColumn id="11995" xr3:uid="{69319251-2A85-4099-A6CA-318D78E0D454}" name="Colonne11987"/>
    <tableColumn id="11996" xr3:uid="{A2804049-0D09-4CBB-AF87-FFADF3A0B2C7}" name="Colonne11988"/>
    <tableColumn id="11997" xr3:uid="{3496DFA7-65F6-42E1-B819-6CF6A1F3D124}" name="Colonne11989"/>
    <tableColumn id="11998" xr3:uid="{D4EAB165-17C5-4E70-9875-20734F323D7A}" name="Colonne11990"/>
    <tableColumn id="11999" xr3:uid="{9587D931-8103-4EF7-9ADB-53C711048070}" name="Colonne11991"/>
    <tableColumn id="12000" xr3:uid="{BE9DF19E-E412-4712-9F46-17187FD1C003}" name="Colonne11992"/>
    <tableColumn id="12001" xr3:uid="{8C99D709-8D14-4A74-871A-21A8841633A6}" name="Colonne11993"/>
    <tableColumn id="12002" xr3:uid="{B89B20DB-CBCF-4F5B-9438-F5689B1F78AF}" name="Colonne11994"/>
    <tableColumn id="12003" xr3:uid="{E4442E82-06BD-47A6-AFE6-5E0A04A1718F}" name="Colonne11995"/>
    <tableColumn id="12004" xr3:uid="{BE5745CD-04FF-4314-86E4-053806571C4B}" name="Colonne11996"/>
    <tableColumn id="12005" xr3:uid="{E628BE3F-BF10-46D0-842D-4469C75913BE}" name="Colonne11997"/>
    <tableColumn id="12006" xr3:uid="{41319E6F-ECBE-4435-908B-7102D44965DB}" name="Colonne11998"/>
    <tableColumn id="12007" xr3:uid="{48496F75-6AE6-4746-985A-74CD1FB8FB13}" name="Colonne11999"/>
    <tableColumn id="12008" xr3:uid="{B7A5997A-554B-4A1D-A76F-97A2DFB9FAFE}" name="Colonne12000"/>
    <tableColumn id="12009" xr3:uid="{2D45BC8B-7779-40FB-942B-190738E6516D}" name="Colonne12001"/>
    <tableColumn id="12010" xr3:uid="{53C5F977-7083-430E-9FE2-32BA0C7448E0}" name="Colonne12002"/>
    <tableColumn id="12011" xr3:uid="{BB224C63-EBD4-4A93-9FB9-F1DFABE54FD9}" name="Colonne12003"/>
    <tableColumn id="12012" xr3:uid="{A1DCB45D-176E-406D-8595-5101079BFA59}" name="Colonne12004"/>
    <tableColumn id="12013" xr3:uid="{45AED9B4-D717-4340-AACD-6F90C528088C}" name="Colonne12005"/>
    <tableColumn id="12014" xr3:uid="{1F969BA6-5927-4F9B-AB1B-868E51766557}" name="Colonne12006"/>
    <tableColumn id="12015" xr3:uid="{591D1475-7762-45AE-B55D-542C346F0108}" name="Colonne12007"/>
    <tableColumn id="12016" xr3:uid="{8E209902-88E1-4253-8681-918703B06882}" name="Colonne12008"/>
    <tableColumn id="12017" xr3:uid="{2645A616-168A-43C9-96C9-B95D2AADD9F8}" name="Colonne12009"/>
    <tableColumn id="12018" xr3:uid="{AB36CA3C-5093-4124-98C8-112E6F35446B}" name="Colonne12010"/>
    <tableColumn id="12019" xr3:uid="{DBBC02F1-DB3A-44A9-8DC9-16A068297E13}" name="Colonne12011"/>
    <tableColumn id="12020" xr3:uid="{A46CE114-117D-47D7-BA08-94C5468F0562}" name="Colonne12012"/>
    <tableColumn id="12021" xr3:uid="{DD1A652F-EED7-4573-BBD3-0DA11FB02D23}" name="Colonne12013"/>
    <tableColumn id="12022" xr3:uid="{DC586103-790E-4370-9FBA-B9522644B963}" name="Colonne12014"/>
    <tableColumn id="12023" xr3:uid="{146A716F-FFA8-4D3F-8D62-D37DEE676B75}" name="Colonne12015"/>
    <tableColumn id="12024" xr3:uid="{3A512229-795B-4AFC-8ADC-1AEC69FDF0C3}" name="Colonne12016"/>
    <tableColumn id="12025" xr3:uid="{7A70CDBE-17E7-41D3-B8F2-B12C584484BB}" name="Colonne12017"/>
    <tableColumn id="12026" xr3:uid="{03A121BE-029A-44B0-A30B-5DCCAACB778C}" name="Colonne12018"/>
    <tableColumn id="12027" xr3:uid="{0962F918-C877-4CA5-AC15-133822495850}" name="Colonne12019"/>
    <tableColumn id="12028" xr3:uid="{EEED438F-B118-452D-B3DC-56B8FECE4ABC}" name="Colonne12020"/>
    <tableColumn id="12029" xr3:uid="{B00AEFD3-2FA4-4FAC-9D82-70838B5F3B08}" name="Colonne12021"/>
    <tableColumn id="12030" xr3:uid="{75DA621B-F2FF-4363-9882-C5D501FD960E}" name="Colonne12022"/>
    <tableColumn id="12031" xr3:uid="{DDD5272A-8067-4EB4-9997-6222FA4B77FD}" name="Colonne12023"/>
    <tableColumn id="12032" xr3:uid="{770A73D3-09D7-4302-8F49-E2205090EB1D}" name="Colonne12024"/>
    <tableColumn id="12033" xr3:uid="{B5F463F7-6BE2-433A-896E-E6C79CACE184}" name="Colonne12025"/>
    <tableColumn id="12034" xr3:uid="{F0F92ADF-7636-4772-95E2-72A8FE4F2CD7}" name="Colonne12026"/>
    <tableColumn id="12035" xr3:uid="{AD7DDDEB-ECE3-46E5-A51B-F52F9217D79E}" name="Colonne12027"/>
    <tableColumn id="12036" xr3:uid="{3F29DBE6-6216-46F2-868B-FFC8442E6A1D}" name="Colonne12028"/>
    <tableColumn id="12037" xr3:uid="{0AA87B87-EA98-4DBD-8960-56B51FAC6743}" name="Colonne12029"/>
    <tableColumn id="12038" xr3:uid="{943471AA-E387-439F-A4C0-64D15AFC37E2}" name="Colonne12030"/>
    <tableColumn id="12039" xr3:uid="{14671B28-7F48-4E18-B06D-EFA241971A5B}" name="Colonne12031"/>
    <tableColumn id="12040" xr3:uid="{805D50D4-A732-4BA9-BFF6-09E423EEF01A}" name="Colonne12032"/>
    <tableColumn id="12041" xr3:uid="{437C5503-7837-43CC-A12E-0ABDC33DC47D}" name="Colonne12033"/>
    <tableColumn id="12042" xr3:uid="{273D14E5-5028-4C16-B702-38C7984E8438}" name="Colonne12034"/>
    <tableColumn id="12043" xr3:uid="{98C09A41-B291-4CA0-B46C-A89B481BB660}" name="Colonne12035"/>
    <tableColumn id="12044" xr3:uid="{5EB04405-BF6D-40FA-B475-4266683C766B}" name="Colonne12036"/>
    <tableColumn id="12045" xr3:uid="{C0E09EBB-7CBB-438C-8223-419C8CBF268C}" name="Colonne12037"/>
    <tableColumn id="12046" xr3:uid="{765ACC11-87C4-4E23-A432-98591D1D2166}" name="Colonne12038"/>
    <tableColumn id="12047" xr3:uid="{A178E8BE-7C5A-4141-892A-7BFED57585D8}" name="Colonne12039"/>
    <tableColumn id="12048" xr3:uid="{8D50A638-263E-403E-9C4C-C9EF2AEE53C5}" name="Colonne12040"/>
    <tableColumn id="12049" xr3:uid="{C2E3F92B-2CAC-4732-B69F-E0F9081FC327}" name="Colonne12041"/>
    <tableColumn id="12050" xr3:uid="{F9EBB794-22E8-4A7B-8795-1FA0CAB6AF60}" name="Colonne12042"/>
    <tableColumn id="12051" xr3:uid="{05749A86-0004-45DC-AB9B-3533AA5749C2}" name="Colonne12043"/>
    <tableColumn id="12052" xr3:uid="{5DD66883-585D-4141-912E-C9A697109E8E}" name="Colonne12044"/>
    <tableColumn id="12053" xr3:uid="{3A1F48ED-DD45-4723-865D-B0EBD7E2094D}" name="Colonne12045"/>
    <tableColumn id="12054" xr3:uid="{444D4459-4FAE-4289-BCAD-3CF063243E46}" name="Colonne12046"/>
    <tableColumn id="12055" xr3:uid="{18E9ACEB-CA13-4ABE-BC92-37EAB60324AB}" name="Colonne12047"/>
    <tableColumn id="12056" xr3:uid="{531B95F3-284D-434D-81F4-945CE78E530C}" name="Colonne12048"/>
    <tableColumn id="12057" xr3:uid="{7624C56D-88C0-40F4-A0CF-07EE9701EDAE}" name="Colonne12049"/>
    <tableColumn id="12058" xr3:uid="{8F547C9D-6B3B-41F7-AA44-A350A533D4CD}" name="Colonne12050"/>
    <tableColumn id="12059" xr3:uid="{DC7C65AD-7F69-4366-8BDF-275FE5B4094A}" name="Colonne12051"/>
    <tableColumn id="12060" xr3:uid="{A0C1BA9E-8CD1-438E-8825-C42F9BE5DEE7}" name="Colonne12052"/>
    <tableColumn id="12061" xr3:uid="{64AF3D31-3B99-4EB7-A12B-8218E5966209}" name="Colonne12053"/>
    <tableColumn id="12062" xr3:uid="{AC4D90B9-4EB8-43D7-B239-602A96AD0FBF}" name="Colonne12054"/>
    <tableColumn id="12063" xr3:uid="{A09F5CE7-FE29-4002-A7DE-01331131B0E3}" name="Colonne12055"/>
    <tableColumn id="12064" xr3:uid="{45FFDEC1-6915-4DE6-ADA5-6E74284A3889}" name="Colonne12056"/>
    <tableColumn id="12065" xr3:uid="{A85A912A-07AD-4FE0-8EC8-85C50C611204}" name="Colonne12057"/>
    <tableColumn id="12066" xr3:uid="{C6365B3A-E3BE-4C16-BB21-15977B863D7A}" name="Colonne12058"/>
    <tableColumn id="12067" xr3:uid="{73055130-EFCB-419D-991D-4F147098DA21}" name="Colonne12059"/>
    <tableColumn id="12068" xr3:uid="{99D8A8A9-4364-418F-B434-FA22AFD34170}" name="Colonne12060"/>
    <tableColumn id="12069" xr3:uid="{F5F80655-4159-4183-82B9-28704A47843D}" name="Colonne12061"/>
    <tableColumn id="12070" xr3:uid="{42CD2209-5E1B-4D87-85F7-7F2265D7E752}" name="Colonne12062"/>
    <tableColumn id="12071" xr3:uid="{BCB4B6DB-CFF3-4B8B-9DA3-86228E451649}" name="Colonne12063"/>
    <tableColumn id="12072" xr3:uid="{4D7DACBF-6908-4C63-BB73-1F76D3A62E93}" name="Colonne12064"/>
    <tableColumn id="12073" xr3:uid="{AFA0719E-9541-42CC-9744-A87A14A10C5D}" name="Colonne12065"/>
    <tableColumn id="12074" xr3:uid="{0ECF2DD4-3BEE-4BEF-BCE0-188A5BBE16DC}" name="Colonne12066"/>
    <tableColumn id="12075" xr3:uid="{8FA27FFE-922C-4407-9F7F-E0B88E229BDE}" name="Colonne12067"/>
    <tableColumn id="12076" xr3:uid="{644A2E55-F9B3-4018-9EB1-ED651A168E89}" name="Colonne12068"/>
    <tableColumn id="12077" xr3:uid="{D4C0A6AA-4CBE-4133-BBF1-ADDC818F5E5F}" name="Colonne12069"/>
    <tableColumn id="12078" xr3:uid="{317872E8-ABF1-4ECF-A5CE-0AC6192E0541}" name="Colonne12070"/>
    <tableColumn id="12079" xr3:uid="{48ECE37D-5976-464E-AF37-417B20598A05}" name="Colonne12071"/>
    <tableColumn id="12080" xr3:uid="{075C7C83-D68E-478A-A103-C1F5EE49EE0A}" name="Colonne12072"/>
    <tableColumn id="12081" xr3:uid="{AC05A7DF-1712-403C-A9DC-5920CF658D9B}" name="Colonne12073"/>
    <tableColumn id="12082" xr3:uid="{C8BEA4BC-6041-48F2-8D6E-4CB946D7E9AC}" name="Colonne12074"/>
    <tableColumn id="12083" xr3:uid="{EA552EA4-34E2-407D-AE66-FE5B5149B283}" name="Colonne12075"/>
    <tableColumn id="12084" xr3:uid="{7005D7CE-6262-4612-A2F2-14BA9E64F458}" name="Colonne12076"/>
    <tableColumn id="12085" xr3:uid="{F18CCF8E-649B-4EC7-88EE-6EAEE4ED9133}" name="Colonne12077"/>
    <tableColumn id="12086" xr3:uid="{B9206399-57EB-49A1-9F70-E0CA0C78140F}" name="Colonne12078"/>
    <tableColumn id="12087" xr3:uid="{39E3288B-43CF-4C91-A9EA-A33B4B456B24}" name="Colonne12079"/>
    <tableColumn id="12088" xr3:uid="{A720DFEA-8081-4C86-B7FF-865655625E7D}" name="Colonne12080"/>
    <tableColumn id="12089" xr3:uid="{92446C2D-6CD8-4FE0-B0D1-A100D115DBBB}" name="Colonne12081"/>
    <tableColumn id="12090" xr3:uid="{FDA1630D-CCD1-440F-AFAA-269321203345}" name="Colonne12082"/>
    <tableColumn id="12091" xr3:uid="{F88D9718-B1C3-49E9-B5A0-BCEB8B7D4D7A}" name="Colonne12083"/>
    <tableColumn id="12092" xr3:uid="{F0B576F5-AAC5-4541-A458-35C4D9ACC29B}" name="Colonne12084"/>
    <tableColumn id="12093" xr3:uid="{60EE5050-5B3C-42E4-A966-4C095A6C53E2}" name="Colonne12085"/>
    <tableColumn id="12094" xr3:uid="{18F830A9-D201-4895-B6C6-F189BC5FDC63}" name="Colonne12086"/>
    <tableColumn id="12095" xr3:uid="{B571D9BA-2841-4379-BF12-45BDCB71FAEC}" name="Colonne12087"/>
    <tableColumn id="12096" xr3:uid="{448D6A05-17BE-42B8-8198-EBE345EDEEB3}" name="Colonne12088"/>
    <tableColumn id="12097" xr3:uid="{819C7465-C42E-457A-BD82-2DAEE260EF8D}" name="Colonne12089"/>
    <tableColumn id="12098" xr3:uid="{C4D48444-842A-418A-BDCA-A32EBF2E343F}" name="Colonne12090"/>
    <tableColumn id="12099" xr3:uid="{AAB5167C-57A7-483C-A2BC-9483A0AC2D1E}" name="Colonne12091"/>
    <tableColumn id="12100" xr3:uid="{A183C5AE-987C-4A13-81F2-A9308DC40AC1}" name="Colonne12092"/>
    <tableColumn id="12101" xr3:uid="{2481F595-25E8-41B8-8F61-4724B54B32BE}" name="Colonne12093"/>
    <tableColumn id="12102" xr3:uid="{976C81AD-86C2-4C3F-AE1B-A393CE1B3C6F}" name="Colonne12094"/>
    <tableColumn id="12103" xr3:uid="{8F566DC0-065A-40AD-8CC7-ECF8AD9299A6}" name="Colonne12095"/>
    <tableColumn id="12104" xr3:uid="{75347723-2C23-44C5-BBF3-32A978DEDE3B}" name="Colonne12096"/>
    <tableColumn id="12105" xr3:uid="{0726116E-5470-4679-AA2B-CA1F8CA180C1}" name="Colonne12097"/>
    <tableColumn id="12106" xr3:uid="{8CA21A63-FF17-4131-8920-CD95B8E04D37}" name="Colonne12098"/>
    <tableColumn id="12107" xr3:uid="{5D2F0848-5044-44AF-89A4-03D00359378A}" name="Colonne12099"/>
    <tableColumn id="12108" xr3:uid="{FB672138-AF57-4A41-8F09-38EBA420636B}" name="Colonne12100"/>
    <tableColumn id="12109" xr3:uid="{FECE64A2-6240-4078-BD3F-B0144DD30C87}" name="Colonne12101"/>
    <tableColumn id="12110" xr3:uid="{9B6C2BE2-C7E1-4A9C-BFF2-B6D8061B9530}" name="Colonne12102"/>
    <tableColumn id="12111" xr3:uid="{CF678CA4-D3EC-4FCF-996C-0790860A7F3A}" name="Colonne12103"/>
    <tableColumn id="12112" xr3:uid="{F9374B46-9CAC-4D8D-BA6B-215AFCD4E299}" name="Colonne12104"/>
    <tableColumn id="12113" xr3:uid="{8678A6E7-FEDF-4E79-907D-CC66E0EC022D}" name="Colonne12105"/>
    <tableColumn id="12114" xr3:uid="{2431370F-1593-46AF-A550-51EAF44AAB37}" name="Colonne12106"/>
    <tableColumn id="12115" xr3:uid="{4412C9A0-FDAC-4E32-8CC7-B496D9D95AD9}" name="Colonne12107"/>
    <tableColumn id="12116" xr3:uid="{4F524740-E385-4A18-809C-FC8813F27A38}" name="Colonne12108"/>
    <tableColumn id="12117" xr3:uid="{197DDA52-8392-4BA6-B349-0AE5EB81B37F}" name="Colonne12109"/>
    <tableColumn id="12118" xr3:uid="{A32FA66F-547A-4785-B743-EEBC1212BBF1}" name="Colonne12110"/>
    <tableColumn id="12119" xr3:uid="{970676A0-0CD1-4D4F-ABBC-A4348ED4F8D5}" name="Colonne12111"/>
    <tableColumn id="12120" xr3:uid="{F0B0BD95-22F5-4530-9EC4-20F510788E67}" name="Colonne12112"/>
    <tableColumn id="12121" xr3:uid="{C69BDB81-3A1B-4385-8A41-22B067D72E96}" name="Colonne12113"/>
    <tableColumn id="12122" xr3:uid="{10A55C45-4034-4656-8CBC-BA37519BCC92}" name="Colonne12114"/>
    <tableColumn id="12123" xr3:uid="{96E2F8C9-1FF8-4D7C-A2B4-7623E21F9FC7}" name="Colonne12115"/>
    <tableColumn id="12124" xr3:uid="{43AD3A29-DFBA-4BC4-B75C-F7227D3A7ED2}" name="Colonne12116"/>
    <tableColumn id="12125" xr3:uid="{39B30CD7-F340-483A-9CFE-B43136EA2957}" name="Colonne12117"/>
    <tableColumn id="12126" xr3:uid="{75C4AF30-9025-4496-8A40-F336AFB5053C}" name="Colonne12118"/>
    <tableColumn id="12127" xr3:uid="{DB753855-F1D6-424E-B0F6-DBE495503134}" name="Colonne12119"/>
    <tableColumn id="12128" xr3:uid="{D03FEFF9-9B28-4C65-91ED-8F9400B33377}" name="Colonne12120"/>
    <tableColumn id="12129" xr3:uid="{3E8630C7-D2ED-411F-8D08-84813998CD2E}" name="Colonne12121"/>
    <tableColumn id="12130" xr3:uid="{C45897B2-A511-4DFE-B650-4B2A4A84B321}" name="Colonne12122"/>
    <tableColumn id="12131" xr3:uid="{6A2EF731-0DEF-4CD1-8751-F2EA38ADB249}" name="Colonne12123"/>
    <tableColumn id="12132" xr3:uid="{C961029B-CA78-498A-9AD9-563FCD921B37}" name="Colonne12124"/>
    <tableColumn id="12133" xr3:uid="{250FC8D5-5B6D-49ED-8A47-023EB53DA550}" name="Colonne12125"/>
    <tableColumn id="12134" xr3:uid="{02DAA6AA-2C60-4B30-BB50-3E978C3EF7DF}" name="Colonne12126"/>
    <tableColumn id="12135" xr3:uid="{5FF667E1-5C56-465D-9228-ADFD96BB097E}" name="Colonne12127"/>
    <tableColumn id="12136" xr3:uid="{3283939C-E65A-426A-AE7B-5A55EC625F2A}" name="Colonne12128"/>
    <tableColumn id="12137" xr3:uid="{11A4F891-796F-4975-8B8B-1A4A2AD93475}" name="Colonne12129"/>
    <tableColumn id="12138" xr3:uid="{55606364-EDC0-43FC-87F9-85BB8D471D94}" name="Colonne12130"/>
    <tableColumn id="12139" xr3:uid="{C5C54A0C-F61C-4E7B-82F7-E0310E6101CB}" name="Colonne12131"/>
    <tableColumn id="12140" xr3:uid="{97378DC5-3AF1-4910-93A7-DA07DFDA5DEA}" name="Colonne12132"/>
    <tableColumn id="12141" xr3:uid="{F43F0AC3-9B1D-4228-BDE9-ACBFB2F3CEA6}" name="Colonne12133"/>
    <tableColumn id="12142" xr3:uid="{7B8E3130-CC79-4ECD-9FA5-2ABBCD14D2E5}" name="Colonne12134"/>
    <tableColumn id="12143" xr3:uid="{D21A02C9-031D-4D40-A1AB-A22588064A00}" name="Colonne12135"/>
    <tableColumn id="12144" xr3:uid="{17CCCEBA-215A-413D-88EB-14E302810E32}" name="Colonne12136"/>
    <tableColumn id="12145" xr3:uid="{40285C18-63EE-4A95-A2C2-B4A7A37157E3}" name="Colonne12137"/>
    <tableColumn id="12146" xr3:uid="{E5155351-BDCB-45BF-8679-01AAB151FA23}" name="Colonne12138"/>
    <tableColumn id="12147" xr3:uid="{0B04626B-21E8-4AFF-B9D2-A5F647D5BCB1}" name="Colonne12139"/>
    <tableColumn id="12148" xr3:uid="{D8F69F26-4797-480B-8EAF-82AEAF4AD6CA}" name="Colonne12140"/>
    <tableColumn id="12149" xr3:uid="{FFAFE457-B6E2-4692-A855-3F14AB047A68}" name="Colonne12141"/>
    <tableColumn id="12150" xr3:uid="{F18DA2A5-A028-4312-AFA2-511C4E32EB64}" name="Colonne12142"/>
    <tableColumn id="12151" xr3:uid="{2996EBAC-2B31-46AC-A2C7-8420ED52B441}" name="Colonne12143"/>
    <tableColumn id="12152" xr3:uid="{31C57248-8F7B-4103-9D2C-4BA70F42F93C}" name="Colonne12144"/>
    <tableColumn id="12153" xr3:uid="{E89C6449-AE17-4D3B-B118-20109761681A}" name="Colonne12145"/>
    <tableColumn id="12154" xr3:uid="{4C477DFE-5137-43FA-ADD7-D87568088555}" name="Colonne12146"/>
    <tableColumn id="12155" xr3:uid="{CD9304ED-D9C6-4125-B909-34D56EA6FBAC}" name="Colonne12147"/>
    <tableColumn id="12156" xr3:uid="{25AF3CF6-DEA1-4E10-9F11-2CB028AAD3C5}" name="Colonne12148"/>
    <tableColumn id="12157" xr3:uid="{E1401546-5A96-4B2B-B4D9-B9A8029D949D}" name="Colonne12149"/>
    <tableColumn id="12158" xr3:uid="{F2D07600-6535-48CF-BBF8-9FB7F161E3A5}" name="Colonne12150"/>
    <tableColumn id="12159" xr3:uid="{CD080ADE-8AEF-461D-BA39-023A985F86C0}" name="Colonne12151"/>
    <tableColumn id="12160" xr3:uid="{1018C45D-4CAA-437D-877E-E59568DB0EC0}" name="Colonne12152"/>
    <tableColumn id="12161" xr3:uid="{F8B5B35A-C431-4C70-B97E-058352AA2BA6}" name="Colonne12153"/>
    <tableColumn id="12162" xr3:uid="{3AD6AEA2-E1EC-447E-81B7-9A97BB406F50}" name="Colonne12154"/>
    <tableColumn id="12163" xr3:uid="{487DBA88-7883-46E3-8F1C-28EB18F59CBC}" name="Colonne12155"/>
    <tableColumn id="12164" xr3:uid="{E27D82AC-B09D-4FFC-AD14-C4A7DE33454E}" name="Colonne12156"/>
    <tableColumn id="12165" xr3:uid="{BE4DAF7E-BA69-4B92-B7EA-E2AEA08D71E6}" name="Colonne12157"/>
    <tableColumn id="12166" xr3:uid="{449592D0-ABDE-4E2E-B7EE-DBABD98EE2F0}" name="Colonne12158"/>
    <tableColumn id="12167" xr3:uid="{B2166413-BFB8-4881-B0C4-49F3D1062349}" name="Colonne12159"/>
    <tableColumn id="12168" xr3:uid="{38D6BD13-E556-450F-82B3-E31E3FC15FBC}" name="Colonne12160"/>
    <tableColumn id="12169" xr3:uid="{3677EF2B-196F-4C6D-906F-CEDB697A089B}" name="Colonne12161"/>
    <tableColumn id="12170" xr3:uid="{0D20F7E0-0D5A-4355-B92C-CD73C78C0228}" name="Colonne12162"/>
    <tableColumn id="12171" xr3:uid="{8AA75961-4D79-42DF-A94F-091B8B9D74CC}" name="Colonne12163"/>
    <tableColumn id="12172" xr3:uid="{D6FF714F-7C3F-4C16-A307-6006293E3BFF}" name="Colonne12164"/>
    <tableColumn id="12173" xr3:uid="{A914C61F-AE10-45D9-9F48-92891E2EE8A3}" name="Colonne12165"/>
    <tableColumn id="12174" xr3:uid="{6893BF43-0F4A-45CF-8AF5-2B0F0B5B44DA}" name="Colonne12166"/>
    <tableColumn id="12175" xr3:uid="{8E34CA53-85E5-49B4-97C0-5D3A421B3569}" name="Colonne12167"/>
    <tableColumn id="12176" xr3:uid="{4B86A6A6-A87F-4712-BA8E-E05187A1BBD3}" name="Colonne12168"/>
    <tableColumn id="12177" xr3:uid="{DF3918C4-9A97-4FB8-BA2E-629D3F305282}" name="Colonne12169"/>
    <tableColumn id="12178" xr3:uid="{3E67012D-67FE-4FD2-9D24-BE2A35490FB9}" name="Colonne12170"/>
    <tableColumn id="12179" xr3:uid="{B8C75EE8-BC51-400C-ABAD-BEE62B8B737A}" name="Colonne12171"/>
    <tableColumn id="12180" xr3:uid="{85476E5A-06D7-4327-81B2-F4647540A5D1}" name="Colonne12172"/>
    <tableColumn id="12181" xr3:uid="{E38EE9D5-F841-4FF0-916C-95E4BEA5F0EB}" name="Colonne12173"/>
    <tableColumn id="12182" xr3:uid="{CFD4A8B8-7CEC-4672-BF63-D9AA0C8F8B46}" name="Colonne12174"/>
    <tableColumn id="12183" xr3:uid="{788A7DB9-C3AA-4EA2-BAA8-6374F39F6017}" name="Colonne12175"/>
    <tableColumn id="12184" xr3:uid="{DCD7ADAA-95A4-4492-9E98-F6A86F8DB342}" name="Colonne12176"/>
    <tableColumn id="12185" xr3:uid="{ABC1EA89-B538-4E32-8564-54DE545F83C4}" name="Colonne12177"/>
    <tableColumn id="12186" xr3:uid="{593E4A14-2E91-4C4C-8904-7A1C6EABE044}" name="Colonne12178"/>
    <tableColumn id="12187" xr3:uid="{BDF9DB85-E9AF-41E7-83E2-6B5B071D26D5}" name="Colonne12179"/>
    <tableColumn id="12188" xr3:uid="{1E467A28-646E-4A9B-B563-BDA736D30DC9}" name="Colonne12180"/>
    <tableColumn id="12189" xr3:uid="{9C82B638-F9BD-4FDB-B006-BF8F8C7132C6}" name="Colonne12181"/>
    <tableColumn id="12190" xr3:uid="{9E3CB8B9-1C9D-401A-B17B-795D3FBB02F0}" name="Colonne12182"/>
    <tableColumn id="12191" xr3:uid="{A4A76519-CCE0-4458-B380-D576BF8CAD08}" name="Colonne12183"/>
    <tableColumn id="12192" xr3:uid="{D01634B1-E9F9-43F2-A5BA-E3A3ED6B1523}" name="Colonne12184"/>
    <tableColumn id="12193" xr3:uid="{D90B95CE-5C0B-4ED1-ABF0-B0F62BA3B12C}" name="Colonne12185"/>
    <tableColumn id="12194" xr3:uid="{FDCBC83D-78F6-4A17-99CC-99A89321AB21}" name="Colonne12186"/>
    <tableColumn id="12195" xr3:uid="{7DC34B13-3300-4A7F-A378-659198D9D25F}" name="Colonne12187"/>
    <tableColumn id="12196" xr3:uid="{1430CF65-B195-47D8-AFB4-E3DFAF4D610B}" name="Colonne12188"/>
    <tableColumn id="12197" xr3:uid="{17105F6C-B06B-41E0-AA54-A18FE8A531BA}" name="Colonne12189"/>
    <tableColumn id="12198" xr3:uid="{66D940A5-F4CC-472E-A50E-E2345F369C7A}" name="Colonne12190"/>
    <tableColumn id="12199" xr3:uid="{E508B75F-2C66-475E-944F-AF5130CCAE24}" name="Colonne12191"/>
    <tableColumn id="12200" xr3:uid="{8AF10829-3A2D-426E-8934-1E0C9B5E6899}" name="Colonne12192"/>
    <tableColumn id="12201" xr3:uid="{03F848EC-BBBA-4EA5-B03F-62615C17D9C3}" name="Colonne12193"/>
    <tableColumn id="12202" xr3:uid="{92AB2EE8-CD60-4E82-9998-E754AC0CDBF8}" name="Colonne12194"/>
    <tableColumn id="12203" xr3:uid="{319C97DD-7F4B-4F20-9F57-C294C1457254}" name="Colonne12195"/>
    <tableColumn id="12204" xr3:uid="{364400E6-B5AB-476C-B1B6-36BBC4C016F4}" name="Colonne12196"/>
    <tableColumn id="12205" xr3:uid="{DCE29B1B-3B7C-41BC-9C19-CE0523D68333}" name="Colonne12197"/>
    <tableColumn id="12206" xr3:uid="{7BCECEE6-E693-4CA5-A6CB-A686E26F765A}" name="Colonne12198"/>
    <tableColumn id="12207" xr3:uid="{DE5F338B-D204-430C-A425-4F91A64D4482}" name="Colonne12199"/>
    <tableColumn id="12208" xr3:uid="{E8AE11F3-C1F9-44B3-BD06-AC1FC750DA71}" name="Colonne12200"/>
    <tableColumn id="12209" xr3:uid="{99594A46-5C72-4A83-8551-97F7EE96EDE5}" name="Colonne12201"/>
    <tableColumn id="12210" xr3:uid="{B6ECBDE6-6211-485A-AB66-6D5A54A48E69}" name="Colonne12202"/>
    <tableColumn id="12211" xr3:uid="{E3EFAB8D-0468-4576-9764-3ACE7C91794B}" name="Colonne12203"/>
    <tableColumn id="12212" xr3:uid="{1EE7D79A-5D26-4666-898B-35365115D55D}" name="Colonne12204"/>
    <tableColumn id="12213" xr3:uid="{18101035-373C-4670-81B9-F1C1E4380FDF}" name="Colonne12205"/>
    <tableColumn id="12214" xr3:uid="{810EEEF4-6819-4593-8A02-72FE8BF66E52}" name="Colonne12206"/>
    <tableColumn id="12215" xr3:uid="{34FFCE2E-CD06-452F-94AC-EC2DFD4E6E71}" name="Colonne12207"/>
    <tableColumn id="12216" xr3:uid="{8C4ED81C-BF3A-40B3-BDCE-45ACB37406DD}" name="Colonne12208"/>
    <tableColumn id="12217" xr3:uid="{5433C7B3-741F-4FEB-A001-1F4EB8DEE2F9}" name="Colonne12209"/>
    <tableColumn id="12218" xr3:uid="{FF7DD7D7-FE38-48CB-8090-D80B97C9F146}" name="Colonne12210"/>
    <tableColumn id="12219" xr3:uid="{1A289F52-F2D5-4346-827B-B9463D634DC7}" name="Colonne12211"/>
    <tableColumn id="12220" xr3:uid="{84DACEFD-886B-408A-A899-80552C822C98}" name="Colonne12212"/>
    <tableColumn id="12221" xr3:uid="{7C16E1CC-5AB6-46A4-B04F-7C3F99683679}" name="Colonne12213"/>
    <tableColumn id="12222" xr3:uid="{9DA01B6F-F341-453D-A04E-F9C29D00621D}" name="Colonne12214"/>
    <tableColumn id="12223" xr3:uid="{153AFAB2-95A7-4B1D-9869-A90061635A09}" name="Colonne12215"/>
    <tableColumn id="12224" xr3:uid="{94F0C67B-0BB1-415C-A2F9-8C8E7001A5DB}" name="Colonne12216"/>
    <tableColumn id="12225" xr3:uid="{51CE40C8-B77E-4ECF-92F8-EEF7EE7AB02F}" name="Colonne12217"/>
    <tableColumn id="12226" xr3:uid="{FCE45EE9-61FC-4B34-BF19-6F4A052D4AF2}" name="Colonne12218"/>
    <tableColumn id="12227" xr3:uid="{5A77E197-4BEC-4E78-AA2E-49AF9398F763}" name="Colonne12219"/>
    <tableColumn id="12228" xr3:uid="{ECC4DD06-BC50-40ED-B2E5-FEA31648F3A3}" name="Colonne12220"/>
    <tableColumn id="12229" xr3:uid="{C806F9F2-D38C-4C7D-BE5C-D27EF260710D}" name="Colonne12221"/>
    <tableColumn id="12230" xr3:uid="{4720F22D-5602-4C98-B35C-3A9D0268FD5D}" name="Colonne12222"/>
    <tableColumn id="12231" xr3:uid="{BE3BA8FA-4DEF-46BE-81CD-8D69D078999D}" name="Colonne12223"/>
    <tableColumn id="12232" xr3:uid="{6F53A4F0-0E51-4066-A503-9EA10A240228}" name="Colonne12224"/>
    <tableColumn id="12233" xr3:uid="{0E5B9764-C43E-4D35-9BD2-8786A0E20506}" name="Colonne12225"/>
    <tableColumn id="12234" xr3:uid="{10ABFF9D-E2F9-4E98-ABF2-EAB3B97CBC46}" name="Colonne12226"/>
    <tableColumn id="12235" xr3:uid="{AA7D4C4E-D809-4AA0-A080-D77831D97C59}" name="Colonne12227"/>
    <tableColumn id="12236" xr3:uid="{359130A2-7203-4287-BD8F-09939B3E9092}" name="Colonne12228"/>
    <tableColumn id="12237" xr3:uid="{71411783-C684-4C8C-A7FE-803E3ACD16BF}" name="Colonne12229"/>
    <tableColumn id="12238" xr3:uid="{98122A9B-C251-4118-8AF9-BD1FA7BDD3A6}" name="Colonne12230"/>
    <tableColumn id="12239" xr3:uid="{82CAE8AE-CFB3-4141-8335-009C38F83D8C}" name="Colonne12231"/>
    <tableColumn id="12240" xr3:uid="{11BC6DE9-6B62-4633-B06C-403D33AFAEF9}" name="Colonne12232"/>
    <tableColumn id="12241" xr3:uid="{162AEF3E-C290-4E04-80CC-43F4ABA215FD}" name="Colonne12233"/>
    <tableColumn id="12242" xr3:uid="{F8BC1E0E-D5D4-43E8-AD5B-DCB2C277F421}" name="Colonne12234"/>
    <tableColumn id="12243" xr3:uid="{EDB17F34-F1F6-41E2-B8B0-DD887F421AE1}" name="Colonne12235"/>
    <tableColumn id="12244" xr3:uid="{33ED66E8-F038-4E10-8309-F1F395D26A4E}" name="Colonne12236"/>
    <tableColumn id="12245" xr3:uid="{9CF7E849-1CEF-40C1-BE0A-DFAFC661BCB6}" name="Colonne12237"/>
    <tableColumn id="12246" xr3:uid="{F50EF1E1-CA88-43C9-A8BB-A2CA24C63C58}" name="Colonne12238"/>
    <tableColumn id="12247" xr3:uid="{A67016B1-AB19-4B70-AF55-CA6450B1F0C4}" name="Colonne12239"/>
    <tableColumn id="12248" xr3:uid="{5C3F7240-0635-45DA-9C35-593F15689BEF}" name="Colonne12240"/>
    <tableColumn id="12249" xr3:uid="{1E51445B-BF23-43AE-909F-322197B74BA4}" name="Colonne12241"/>
    <tableColumn id="12250" xr3:uid="{95708BC2-336D-4DDD-8563-2439A7E21B74}" name="Colonne12242"/>
    <tableColumn id="12251" xr3:uid="{5539349F-B8AE-44A1-91B0-9CCA8713B64B}" name="Colonne12243"/>
    <tableColumn id="12252" xr3:uid="{F43D1770-2D88-43A5-A483-E567337E0216}" name="Colonne12244"/>
    <tableColumn id="12253" xr3:uid="{6732F80C-91AE-49B5-8687-737ECE912296}" name="Colonne12245"/>
    <tableColumn id="12254" xr3:uid="{645E7F38-335F-4A92-91A4-E71E99D70CAC}" name="Colonne12246"/>
    <tableColumn id="12255" xr3:uid="{DFA7E92C-094B-4689-A4BB-E3FC77111EAA}" name="Colonne12247"/>
    <tableColumn id="12256" xr3:uid="{FCAB64C5-B9BC-4F18-BA47-F664B90C8C32}" name="Colonne12248"/>
    <tableColumn id="12257" xr3:uid="{8872C503-674B-4DC1-8F30-E7829BD5A3BC}" name="Colonne12249"/>
    <tableColumn id="12258" xr3:uid="{421437BC-3B86-49B4-A303-FE99F210AD0A}" name="Colonne12250"/>
    <tableColumn id="12259" xr3:uid="{4F36AA7B-75E9-48EF-9F23-2C7B5797EC3F}" name="Colonne12251"/>
    <tableColumn id="12260" xr3:uid="{116FD478-539E-4FA0-B5D3-7EC82F4C53F3}" name="Colonne12252"/>
    <tableColumn id="12261" xr3:uid="{75E9CBB3-C850-4746-90F1-073C9390BA4C}" name="Colonne12253"/>
    <tableColumn id="12262" xr3:uid="{1AD769F4-EF8E-49B9-8A64-166AA0C7683B}" name="Colonne12254"/>
    <tableColumn id="12263" xr3:uid="{3D01CF3A-B05A-42A6-B4F7-C3069FB0FA4B}" name="Colonne12255"/>
    <tableColumn id="12264" xr3:uid="{D7C4105C-8713-4EC3-8D5B-3A862B2B0CF0}" name="Colonne12256"/>
    <tableColumn id="12265" xr3:uid="{6BC0D522-BD8A-45FD-A331-F49DFBC5EF0F}" name="Colonne12257"/>
    <tableColumn id="12266" xr3:uid="{EDF00F9F-0340-4E99-8100-58F859217130}" name="Colonne12258"/>
    <tableColumn id="12267" xr3:uid="{E0B7F684-A59B-4D7F-84EB-E6E30FAA40A8}" name="Colonne12259"/>
    <tableColumn id="12268" xr3:uid="{7EFFEF97-364C-4123-8DDB-FD68550E7C09}" name="Colonne12260"/>
    <tableColumn id="12269" xr3:uid="{EBB58684-0D62-4BE5-BBEF-D99FC73ED76D}" name="Colonne12261"/>
    <tableColumn id="12270" xr3:uid="{F9D36EEA-8EA6-4F76-8C57-FBE1504CEA1E}" name="Colonne12262"/>
    <tableColumn id="12271" xr3:uid="{FC11AED8-6113-460D-92A1-E4B272048F37}" name="Colonne12263"/>
    <tableColumn id="12272" xr3:uid="{8D75DDC2-275F-41AF-8F0F-F20EFF86FD4B}" name="Colonne12264"/>
    <tableColumn id="12273" xr3:uid="{64880ADB-F8E5-4302-AAD6-97725886E0D0}" name="Colonne12265"/>
    <tableColumn id="12274" xr3:uid="{EA9BFFD7-8AC2-49B7-9E72-2D661B2735D9}" name="Colonne12266"/>
    <tableColumn id="12275" xr3:uid="{590ABAB6-02CD-48A9-B998-906E76594290}" name="Colonne12267"/>
    <tableColumn id="12276" xr3:uid="{4399ECB0-8D6F-417F-9616-E4E075FA2026}" name="Colonne12268"/>
    <tableColumn id="12277" xr3:uid="{971EBCC4-B3F5-4296-88ED-4DDF769B1002}" name="Colonne12269"/>
    <tableColumn id="12278" xr3:uid="{AB516B06-8605-4E7F-ADE1-C60AAA5B38AB}" name="Colonne12270"/>
    <tableColumn id="12279" xr3:uid="{4D5E9F70-E558-4F78-87AB-8025934DEA28}" name="Colonne12271"/>
    <tableColumn id="12280" xr3:uid="{D069132B-619A-4C85-8DBB-2AB614774D2D}" name="Colonne12272"/>
    <tableColumn id="12281" xr3:uid="{960049A6-1EA7-42FD-A9A5-FF6D3D63DFA4}" name="Colonne12273"/>
    <tableColumn id="12282" xr3:uid="{29989B74-F5CA-4DEC-938D-69DFBEA9AE81}" name="Colonne12274"/>
    <tableColumn id="12283" xr3:uid="{2A6ADFAF-D9A9-42BF-9CEA-C1D6E6165CEA}" name="Colonne12275"/>
    <tableColumn id="12284" xr3:uid="{0C6A2D24-521A-4C54-9B86-04E27622210D}" name="Colonne12276"/>
    <tableColumn id="12285" xr3:uid="{D676624A-0CC3-49A9-9C9D-B630553B5305}" name="Colonne12277"/>
    <tableColumn id="12286" xr3:uid="{06B923F5-7BDF-4A2E-BB52-6A77554FB1A1}" name="Colonne12278"/>
    <tableColumn id="12287" xr3:uid="{9F502BF5-12DE-48DA-991C-0D00F14EBE17}" name="Colonne12279"/>
    <tableColumn id="12288" xr3:uid="{BD941764-C7E5-43A4-A7AA-4FABE39C0587}" name="Colonne12280"/>
    <tableColumn id="12289" xr3:uid="{3905BD83-E575-4726-A717-F886E7AF8EDF}" name="Colonne12281"/>
    <tableColumn id="12290" xr3:uid="{96F7B960-5EF3-4A7E-8A46-DD68DC44EA6E}" name="Colonne12282"/>
    <tableColumn id="12291" xr3:uid="{AE5C9F06-B772-4D4C-B0B6-9D482C7715D8}" name="Colonne12283"/>
    <tableColumn id="12292" xr3:uid="{966788BF-427A-46DB-BCE9-86409811AD7A}" name="Colonne12284"/>
    <tableColumn id="12293" xr3:uid="{C9648DBB-0B0D-41B7-B2B2-25150A982B25}" name="Colonne12285"/>
    <tableColumn id="12294" xr3:uid="{234E810F-560C-4462-B263-F52534A96C4D}" name="Colonne12286"/>
    <tableColumn id="12295" xr3:uid="{02296F6A-1C61-41B6-BBD1-97B159EB2A00}" name="Colonne12287"/>
    <tableColumn id="12296" xr3:uid="{45F3210E-A0DE-419F-8EF6-D750B1B2EA39}" name="Colonne12288"/>
    <tableColumn id="12297" xr3:uid="{33039183-01F5-4FAA-963F-A891EBF948A0}" name="Colonne12289"/>
    <tableColumn id="12298" xr3:uid="{31CAEE16-BCE7-4174-853C-945CB93748FB}" name="Colonne12290"/>
    <tableColumn id="12299" xr3:uid="{F8B3F9F8-1A53-4A04-B0CE-BF1A28113991}" name="Colonne12291"/>
    <tableColumn id="12300" xr3:uid="{585D397D-0F93-4922-B553-6D14EAB9043E}" name="Colonne12292"/>
    <tableColumn id="12301" xr3:uid="{8299F899-9DCA-46B7-B0A3-9A816872C0F5}" name="Colonne12293"/>
    <tableColumn id="12302" xr3:uid="{827BF48B-C84D-4705-9921-9C9D6A9EF950}" name="Colonne12294"/>
    <tableColumn id="12303" xr3:uid="{C0052A62-859F-4940-AD85-6A9D522758B5}" name="Colonne12295"/>
    <tableColumn id="12304" xr3:uid="{56B1CE57-B581-4155-8241-2050FCBCC114}" name="Colonne12296"/>
    <tableColumn id="12305" xr3:uid="{3D31BBAE-B250-4B40-BCB0-85D6C9193F1B}" name="Colonne12297"/>
    <tableColumn id="12306" xr3:uid="{178EE64A-438C-4E4F-A7FE-579CDD2BF195}" name="Colonne12298"/>
    <tableColumn id="12307" xr3:uid="{CEE68AD0-ED6B-4D7C-BB59-0BCA3583869C}" name="Colonne12299"/>
    <tableColumn id="12308" xr3:uid="{07B67592-3397-4C6F-8195-6808312F8437}" name="Colonne12300"/>
    <tableColumn id="12309" xr3:uid="{73E13CCA-39A0-4D2E-9075-15FD742A2853}" name="Colonne12301"/>
    <tableColumn id="12310" xr3:uid="{89DBF2C7-A56E-4AF4-90C7-6B42BB6D5C8B}" name="Colonne12302"/>
    <tableColumn id="12311" xr3:uid="{B4B84989-7398-416B-97E6-5F99933B6112}" name="Colonne12303"/>
    <tableColumn id="12312" xr3:uid="{A963536A-6E53-4906-A595-AF9481919B93}" name="Colonne12304"/>
    <tableColumn id="12313" xr3:uid="{5643EE35-9575-4875-91BC-1CC154E67215}" name="Colonne12305"/>
    <tableColumn id="12314" xr3:uid="{25530D3D-A222-473D-B6A9-FBCC6306D77D}" name="Colonne12306"/>
    <tableColumn id="12315" xr3:uid="{648F357A-397C-4037-B298-26C623F6F8CE}" name="Colonne12307"/>
    <tableColumn id="12316" xr3:uid="{41E0F0D4-14BE-41EF-9454-8F858036731B}" name="Colonne12308"/>
    <tableColumn id="12317" xr3:uid="{C5D25B3D-2604-4AC2-B124-DE1E370C46E6}" name="Colonne12309"/>
    <tableColumn id="12318" xr3:uid="{6A2F5A69-000B-43BE-A5A0-981F17164AF8}" name="Colonne12310"/>
    <tableColumn id="12319" xr3:uid="{60BE6FF4-D879-4F4C-93F7-0A50BCFA618E}" name="Colonne12311"/>
    <tableColumn id="12320" xr3:uid="{6B92FD8A-D299-4041-AF2B-32C9B532FA0A}" name="Colonne12312"/>
    <tableColumn id="12321" xr3:uid="{9FE8779B-B9E7-4422-950B-28039D73DE94}" name="Colonne12313"/>
    <tableColumn id="12322" xr3:uid="{CD2657B1-59E5-4315-81D4-71C7E6FB022F}" name="Colonne12314"/>
    <tableColumn id="12323" xr3:uid="{D5FBA204-1CB7-49B0-A54B-D4D61A667752}" name="Colonne12315"/>
    <tableColumn id="12324" xr3:uid="{9410DA9B-DB6C-40FC-A5A0-1B9BC0A24AC8}" name="Colonne12316"/>
    <tableColumn id="12325" xr3:uid="{A7AA24D2-EE7B-4AC5-BF69-BB5442B64948}" name="Colonne12317"/>
    <tableColumn id="12326" xr3:uid="{AA2B0A03-0523-4EF7-BA20-1948EC6BF996}" name="Colonne12318"/>
    <tableColumn id="12327" xr3:uid="{C009DD45-3DCD-471C-8323-823C0E7A8E7F}" name="Colonne12319"/>
    <tableColumn id="12328" xr3:uid="{DDDFB9DD-DFD6-434C-A120-96F68098BE7B}" name="Colonne12320"/>
    <tableColumn id="12329" xr3:uid="{68123106-9783-4DCF-8DC0-A9AE48186205}" name="Colonne12321"/>
    <tableColumn id="12330" xr3:uid="{286F4E12-BF6F-4B0E-ADFF-6B78200A5ED2}" name="Colonne12322"/>
    <tableColumn id="12331" xr3:uid="{E7ADDC88-5940-4025-A8A2-1F435923143A}" name="Colonne12323"/>
    <tableColumn id="12332" xr3:uid="{06B65FAA-AF04-4F16-A6B8-817CD330DE74}" name="Colonne12324"/>
    <tableColumn id="12333" xr3:uid="{6E7047A3-335F-4E09-9259-9A3A2D337017}" name="Colonne12325"/>
    <tableColumn id="12334" xr3:uid="{211D05E5-BF16-40A1-B71F-664F06C4893D}" name="Colonne12326"/>
    <tableColumn id="12335" xr3:uid="{02DEB47F-7105-477D-BBDD-D89866639369}" name="Colonne12327"/>
    <tableColumn id="12336" xr3:uid="{AE561ED6-F58F-4D79-A572-DC452457BF96}" name="Colonne12328"/>
    <tableColumn id="12337" xr3:uid="{96D4083F-C545-4F68-B39E-98F8527244D4}" name="Colonne12329"/>
    <tableColumn id="12338" xr3:uid="{5D497E97-9C05-46A3-AF00-C0004BA90ECB}" name="Colonne12330"/>
    <tableColumn id="12339" xr3:uid="{5ACBC864-6D56-4B25-9835-7D1EEE16CEC4}" name="Colonne12331"/>
    <tableColumn id="12340" xr3:uid="{3A48F7DC-5BD4-413E-910F-0F563104116E}" name="Colonne12332"/>
    <tableColumn id="12341" xr3:uid="{E4D85ED6-A67D-498D-AA68-7E419105AD5F}" name="Colonne12333"/>
    <tableColumn id="12342" xr3:uid="{D8DF8F3E-209E-4640-B2E4-302BBAE7B185}" name="Colonne12334"/>
    <tableColumn id="12343" xr3:uid="{68EB61AB-0C22-4E29-8455-379FCCFBF319}" name="Colonne12335"/>
    <tableColumn id="12344" xr3:uid="{5337B01F-5808-430F-9EC0-ED33254998B5}" name="Colonne12336"/>
    <tableColumn id="12345" xr3:uid="{6923CB32-C551-4B7B-A304-E53F377FD495}" name="Colonne12337"/>
    <tableColumn id="12346" xr3:uid="{00D1BAB6-C012-42E1-A44F-D9E7CD85204B}" name="Colonne12338"/>
    <tableColumn id="12347" xr3:uid="{D381C358-C6B4-402C-80EA-E530A6695E32}" name="Colonne12339"/>
    <tableColumn id="12348" xr3:uid="{05ADBFF8-0105-4977-A5FB-F3AF682157BB}" name="Colonne12340"/>
    <tableColumn id="12349" xr3:uid="{769094D0-0D2D-4C37-84E1-073D887AC69C}" name="Colonne12341"/>
    <tableColumn id="12350" xr3:uid="{3469C78C-CCA9-423C-9E76-AC5F862F322D}" name="Colonne12342"/>
    <tableColumn id="12351" xr3:uid="{F1283D99-8259-4823-AFCF-98594D0C771A}" name="Colonne12343"/>
    <tableColumn id="12352" xr3:uid="{EC27B78D-40C7-42CF-8409-2864CFBCAAE4}" name="Colonne12344"/>
    <tableColumn id="12353" xr3:uid="{DCB80B30-5560-47FA-AAB4-5453903B4006}" name="Colonne12345"/>
    <tableColumn id="12354" xr3:uid="{52ED8D69-31E2-4626-8DEF-217C43B8B5E0}" name="Colonne12346"/>
    <tableColumn id="12355" xr3:uid="{CEFE33F9-FFFA-4A34-858F-CC640D28C637}" name="Colonne12347"/>
    <tableColumn id="12356" xr3:uid="{5DBC5740-7CCC-4E31-A1D2-66CC37954A3C}" name="Colonne12348"/>
    <tableColumn id="12357" xr3:uid="{71A0E4B9-3773-469B-9F30-2338CA6BAC86}" name="Colonne12349"/>
    <tableColumn id="12358" xr3:uid="{3153F102-6871-49EC-920D-C8FF0B33DDFF}" name="Colonne12350"/>
    <tableColumn id="12359" xr3:uid="{E6140B95-2BE1-4E19-A28A-875C44BCE672}" name="Colonne12351"/>
    <tableColumn id="12360" xr3:uid="{CF14493B-1313-4C93-B06E-91D1B2329E6D}" name="Colonne12352"/>
    <tableColumn id="12361" xr3:uid="{26325257-D5E7-4607-90EC-0C40B50E28B9}" name="Colonne12353"/>
    <tableColumn id="12362" xr3:uid="{EBD68E8D-3CFA-4E8E-82B8-46373B9B27AA}" name="Colonne12354"/>
    <tableColumn id="12363" xr3:uid="{9F3C8864-14A5-4EE1-AE23-A0B114765BCA}" name="Colonne12355"/>
    <tableColumn id="12364" xr3:uid="{D5EBDD96-4100-425B-BDB4-461C7EF45A3F}" name="Colonne12356"/>
    <tableColumn id="12365" xr3:uid="{B80E9D2A-CE7D-4AFF-AB40-F1290B58441C}" name="Colonne12357"/>
    <tableColumn id="12366" xr3:uid="{5D111062-ED5B-4A9C-8855-51558D94560F}" name="Colonne12358"/>
    <tableColumn id="12367" xr3:uid="{3BAB0AF4-52C4-4052-9347-E7C6D6070DB7}" name="Colonne12359"/>
    <tableColumn id="12368" xr3:uid="{FA2DEDF9-00B2-4623-A27D-F1E0D5945766}" name="Colonne12360"/>
    <tableColumn id="12369" xr3:uid="{046E367B-BAA5-44B3-829D-BAD1A5792559}" name="Colonne12361"/>
    <tableColumn id="12370" xr3:uid="{FB26724E-195A-49B9-ADEA-EFDC9E4AFBB8}" name="Colonne12362"/>
    <tableColumn id="12371" xr3:uid="{DFC78D3E-C187-4B2D-87EC-1D8D757906A0}" name="Colonne12363"/>
    <tableColumn id="12372" xr3:uid="{FCC69EA4-1D88-43E6-A688-5BCC48707843}" name="Colonne12364"/>
    <tableColumn id="12373" xr3:uid="{B73A7659-84BD-4D03-BFBC-7A9E652B7CE8}" name="Colonne12365"/>
    <tableColumn id="12374" xr3:uid="{64E1EE0B-8332-4A17-83D7-19DE91C8918E}" name="Colonne12366"/>
    <tableColumn id="12375" xr3:uid="{338F46EA-FB2B-4B73-9383-2AF7A1EBA105}" name="Colonne12367"/>
    <tableColumn id="12376" xr3:uid="{DC2FDA5E-E6E7-43EF-A7E3-A2AE088BCEAB}" name="Colonne12368"/>
    <tableColumn id="12377" xr3:uid="{068C536A-D2C3-438D-B411-488C833DF0A8}" name="Colonne12369"/>
    <tableColumn id="12378" xr3:uid="{C44D90B3-733A-4529-AB0C-65F7DF8B14F5}" name="Colonne12370"/>
    <tableColumn id="12379" xr3:uid="{99AE622E-2B46-4ABC-9F40-88C03CC9AF9C}" name="Colonne12371"/>
    <tableColumn id="12380" xr3:uid="{4B7D2E42-C8A6-4396-916A-1BD97E3CFC95}" name="Colonne12372"/>
    <tableColumn id="12381" xr3:uid="{BD2BCF4C-9F0D-46A6-849D-197B34B85D12}" name="Colonne12373"/>
    <tableColumn id="12382" xr3:uid="{0945955A-43A7-48CD-9EFC-5F9BB41EB037}" name="Colonne12374"/>
    <tableColumn id="12383" xr3:uid="{3EBB2497-5AA3-470E-A198-AFFD18149AB8}" name="Colonne12375"/>
    <tableColumn id="12384" xr3:uid="{4F7684A3-8A44-40C2-8F1F-BD33B463AF2E}" name="Colonne12376"/>
    <tableColumn id="12385" xr3:uid="{356614DE-89D3-4BCC-A8B1-A02D0FD088F4}" name="Colonne12377"/>
    <tableColumn id="12386" xr3:uid="{5864F84E-DE59-45C3-8E9F-9DDD4DD52F65}" name="Colonne12378"/>
    <tableColumn id="12387" xr3:uid="{0A151E44-9E75-4CA5-B421-5DB12D02BE78}" name="Colonne12379"/>
    <tableColumn id="12388" xr3:uid="{3F4E9343-7EB9-4839-8A9A-7BF4F7B8C835}" name="Colonne12380"/>
    <tableColumn id="12389" xr3:uid="{03D2862E-05E6-43FC-8F98-409621AF988F}" name="Colonne12381"/>
    <tableColumn id="12390" xr3:uid="{56DD64CD-A15B-4F68-B84A-EB774D7609BE}" name="Colonne12382"/>
    <tableColumn id="12391" xr3:uid="{797BC671-4C8E-4ECB-8CAC-1E0429B8002C}" name="Colonne12383"/>
    <tableColumn id="12392" xr3:uid="{FB7C9EE7-6599-4E16-91E9-1CEE8B66D313}" name="Colonne12384"/>
    <tableColumn id="12393" xr3:uid="{7A96D260-779A-493D-9C30-BBD2CB4C1428}" name="Colonne12385"/>
    <tableColumn id="12394" xr3:uid="{FE1223C9-D74D-4B56-822F-0B4A7423C8E6}" name="Colonne12386"/>
    <tableColumn id="12395" xr3:uid="{5F07CEAA-9153-455C-8E92-A87BC6A9F56C}" name="Colonne12387"/>
    <tableColumn id="12396" xr3:uid="{FAE3915F-B9D5-4621-8EAD-85EB1E4B98A6}" name="Colonne12388"/>
    <tableColumn id="12397" xr3:uid="{F8EB1E99-FD7B-4C64-9B71-04880C91F8C3}" name="Colonne12389"/>
    <tableColumn id="12398" xr3:uid="{9FBA5D81-5166-410C-A6F0-528EBE80A0AE}" name="Colonne12390"/>
    <tableColumn id="12399" xr3:uid="{7ACFB272-59AF-4ED6-84EF-377ACAC7CC8A}" name="Colonne12391"/>
    <tableColumn id="12400" xr3:uid="{7624A01B-BB79-4070-8E81-6A35AB58E7E3}" name="Colonne12392"/>
    <tableColumn id="12401" xr3:uid="{0CEB17D4-22E5-4241-85B4-11FD93940E5C}" name="Colonne12393"/>
    <tableColumn id="12402" xr3:uid="{D59A1485-8BA9-4F51-89B5-47BE85308A3E}" name="Colonne12394"/>
    <tableColumn id="12403" xr3:uid="{3CB302ED-4D25-45C6-AEE4-72DCFE27DD6C}" name="Colonne12395"/>
    <tableColumn id="12404" xr3:uid="{7875E8AD-B74F-4FFA-886A-52238DF47926}" name="Colonne12396"/>
    <tableColumn id="12405" xr3:uid="{F4DDEB14-27EB-4596-B0B3-082C11999DC7}" name="Colonne12397"/>
    <tableColumn id="12406" xr3:uid="{0BDC3FF7-ECA2-4354-A851-0914BB5A4DB6}" name="Colonne12398"/>
    <tableColumn id="12407" xr3:uid="{5710AD8B-C2A7-4433-AA4D-A4393C3A92EE}" name="Colonne12399"/>
    <tableColumn id="12408" xr3:uid="{37CD881C-D738-45EB-8596-9615A11AB8BF}" name="Colonne12400"/>
    <tableColumn id="12409" xr3:uid="{58778030-B6B2-4FBC-B1AB-5D536BC73D27}" name="Colonne12401"/>
    <tableColumn id="12410" xr3:uid="{E34DD088-8EA6-411A-B583-3EDF276AA929}" name="Colonne12402"/>
    <tableColumn id="12411" xr3:uid="{3580045A-1110-4873-8882-E985D7F55C46}" name="Colonne12403"/>
    <tableColumn id="12412" xr3:uid="{449F2297-2720-4D6E-A23A-5A8D0060CED9}" name="Colonne12404"/>
    <tableColumn id="12413" xr3:uid="{3A93F70E-5A0A-41E9-9E92-C2FDDDAA5427}" name="Colonne12405"/>
    <tableColumn id="12414" xr3:uid="{2ACE9E38-FC51-4B9A-B6B2-DF07C5574470}" name="Colonne12406"/>
    <tableColumn id="12415" xr3:uid="{ED54D60F-5D51-480A-989C-A7FC7A8B1C41}" name="Colonne12407"/>
    <tableColumn id="12416" xr3:uid="{2979D21F-D772-4B00-A5F2-6730CC4D2CF3}" name="Colonne12408"/>
    <tableColumn id="12417" xr3:uid="{507698E1-6A6F-4EBF-B0EA-BA3FDFF052F9}" name="Colonne12409"/>
    <tableColumn id="12418" xr3:uid="{98880E86-8EC7-4B20-9E00-5222038449D3}" name="Colonne12410"/>
    <tableColumn id="12419" xr3:uid="{7CB80098-2E10-47E9-9928-A945A5DDB367}" name="Colonne12411"/>
    <tableColumn id="12420" xr3:uid="{FD337242-EB34-4CB0-9F79-E6AB3F5672BB}" name="Colonne12412"/>
    <tableColumn id="12421" xr3:uid="{C58892CB-232B-4051-8D69-418EB3806BD4}" name="Colonne12413"/>
    <tableColumn id="12422" xr3:uid="{FD07ECE9-F939-4F21-B997-02B4B3C3E3F4}" name="Colonne12414"/>
    <tableColumn id="12423" xr3:uid="{B0A9939D-9066-40AE-9DE6-CA8A9937AC1A}" name="Colonne12415"/>
    <tableColumn id="12424" xr3:uid="{DA78E56E-39EF-4A37-8B4A-BA52C0BC7997}" name="Colonne12416"/>
    <tableColumn id="12425" xr3:uid="{790DC2C0-865C-4606-9904-4673E4262538}" name="Colonne12417"/>
    <tableColumn id="12426" xr3:uid="{FACA373F-5CB3-417B-9CB9-D7E799620014}" name="Colonne12418"/>
    <tableColumn id="12427" xr3:uid="{FB33163A-D7A1-4B07-A69B-A12FA2852BEB}" name="Colonne12419"/>
    <tableColumn id="12428" xr3:uid="{CF3D4910-B1A7-4AC8-9FC2-779874A8CEFF}" name="Colonne12420"/>
    <tableColumn id="12429" xr3:uid="{9AD907B8-ED0C-4AEE-9A54-CD074ACAB4DC}" name="Colonne12421"/>
    <tableColumn id="12430" xr3:uid="{A66CB7EF-A989-4440-801E-6AD270D739C3}" name="Colonne12422"/>
    <tableColumn id="12431" xr3:uid="{C484EB57-30E8-4AC2-860B-5DC272AFCA98}" name="Colonne12423"/>
    <tableColumn id="12432" xr3:uid="{503A8474-50EB-4C85-9BF4-FFFAB661CA7D}" name="Colonne12424"/>
    <tableColumn id="12433" xr3:uid="{BE966B81-5A07-418D-9CCF-0AF80753B340}" name="Colonne12425"/>
    <tableColumn id="12434" xr3:uid="{4F8C2E3F-4106-4083-8E52-76373C34A6D0}" name="Colonne12426"/>
    <tableColumn id="12435" xr3:uid="{53E91D03-7343-4B77-BC4B-0AF976607831}" name="Colonne12427"/>
    <tableColumn id="12436" xr3:uid="{8127C772-5C50-4901-906A-BD6EFF8F27B5}" name="Colonne12428"/>
    <tableColumn id="12437" xr3:uid="{56F5F586-9BCD-45D8-B820-AF17A883B58A}" name="Colonne12429"/>
    <tableColumn id="12438" xr3:uid="{4264ECF7-A23C-465A-BA1C-2373666F79EB}" name="Colonne12430"/>
    <tableColumn id="12439" xr3:uid="{D33F06F5-2912-4C04-AF3E-984739C7C084}" name="Colonne12431"/>
    <tableColumn id="12440" xr3:uid="{69F58375-F9AA-479B-AC65-3A8E79171A76}" name="Colonne12432"/>
    <tableColumn id="12441" xr3:uid="{F4E01074-4BF0-4DD0-AF43-201EB90FCE35}" name="Colonne12433"/>
    <tableColumn id="12442" xr3:uid="{48A8DDE6-1CD6-4850-B8F2-B89A3AA89900}" name="Colonne12434"/>
    <tableColumn id="12443" xr3:uid="{55254613-C15D-4961-A7A7-8C36B20FA057}" name="Colonne12435"/>
    <tableColumn id="12444" xr3:uid="{7BE7582E-1840-42E5-88FD-1558B583EE2F}" name="Colonne12436"/>
    <tableColumn id="12445" xr3:uid="{471FA9D4-D22F-453D-A1D4-3845DAB05E91}" name="Colonne12437"/>
    <tableColumn id="12446" xr3:uid="{C5AAF77E-7C42-41EF-8DE0-AAEC08778352}" name="Colonne12438"/>
    <tableColumn id="12447" xr3:uid="{8613A1C1-287E-4B24-A726-0DCB56424E15}" name="Colonne12439"/>
    <tableColumn id="12448" xr3:uid="{F6B7ED63-3722-4E37-B69A-ECC0BEF9A10D}" name="Colonne12440"/>
    <tableColumn id="12449" xr3:uid="{D61377EE-224C-4D79-A488-28268C1453DE}" name="Colonne12441"/>
    <tableColumn id="12450" xr3:uid="{DE7DE810-F6B6-4306-8643-E20E210EC207}" name="Colonne12442"/>
    <tableColumn id="12451" xr3:uid="{96D376FE-CC70-485C-A47C-C78126BD5502}" name="Colonne12443"/>
    <tableColumn id="12452" xr3:uid="{6C31A31F-CCCB-48D8-85A0-43FF07855E62}" name="Colonne12444"/>
    <tableColumn id="12453" xr3:uid="{6C37A246-3ACA-434E-8C06-540FD4878D47}" name="Colonne12445"/>
    <tableColumn id="12454" xr3:uid="{40CCE884-E276-4068-AEA2-7FC56F2782A5}" name="Colonne12446"/>
    <tableColumn id="12455" xr3:uid="{45BFD32C-F9F4-40FE-9D19-AC6E3E5B4F68}" name="Colonne12447"/>
    <tableColumn id="12456" xr3:uid="{573FC1D5-A5DC-4828-BE75-BE781E83ED1C}" name="Colonne12448"/>
    <tableColumn id="12457" xr3:uid="{4DB9D44A-BAD8-4688-ACAF-5AA4B4E64EA0}" name="Colonne12449"/>
    <tableColumn id="12458" xr3:uid="{B6E02420-C916-460C-9A19-6F8ECED439CB}" name="Colonne12450"/>
    <tableColumn id="12459" xr3:uid="{FB58D58B-989A-42F1-82C9-8E96DDBFBBD4}" name="Colonne12451"/>
    <tableColumn id="12460" xr3:uid="{3265629D-4617-418C-948F-D99D5A5A7EC4}" name="Colonne12452"/>
    <tableColumn id="12461" xr3:uid="{8AD39B4F-9565-4E0E-82F4-BBFD3B95B89A}" name="Colonne12453"/>
    <tableColumn id="12462" xr3:uid="{560AA627-6823-465E-9B70-87D860218D8F}" name="Colonne12454"/>
    <tableColumn id="12463" xr3:uid="{A637DF19-75E8-4905-9F90-F7058ED4D16B}" name="Colonne12455"/>
    <tableColumn id="12464" xr3:uid="{32C2B1AD-80DE-48D6-A8DA-4D4D91E50D96}" name="Colonne12456"/>
    <tableColumn id="12465" xr3:uid="{9ED8D75B-B8CF-40D3-8AB9-33663C51D38B}" name="Colonne12457"/>
    <tableColumn id="12466" xr3:uid="{FE850A8C-B288-4D0C-9B61-EE515572DFCC}" name="Colonne12458"/>
    <tableColumn id="12467" xr3:uid="{00927AEE-BC7D-4CB7-9A1B-3B9DE6D0A024}" name="Colonne12459"/>
    <tableColumn id="12468" xr3:uid="{2BD51C33-B471-4770-AA64-79EA2B089431}" name="Colonne12460"/>
    <tableColumn id="12469" xr3:uid="{B22FF482-3D6E-4B16-AFE6-E933686D36C0}" name="Colonne12461"/>
    <tableColumn id="12470" xr3:uid="{1F6120EA-1744-455A-98A7-A00776B0B902}" name="Colonne12462"/>
    <tableColumn id="12471" xr3:uid="{237D6634-7933-40E9-80B3-71DEE0CF9F20}" name="Colonne12463"/>
    <tableColumn id="12472" xr3:uid="{0AC6B281-EA2F-4649-9D6D-183E76AF9E8F}" name="Colonne12464"/>
    <tableColumn id="12473" xr3:uid="{0EB8E46E-4F18-43E1-94F0-E0DA7DE6529D}" name="Colonne12465"/>
    <tableColumn id="12474" xr3:uid="{4D12811F-8FD5-4539-8108-F348AAA4F7D4}" name="Colonne12466"/>
    <tableColumn id="12475" xr3:uid="{3D599879-7E16-4F5B-88A6-E368B72C4F83}" name="Colonne12467"/>
    <tableColumn id="12476" xr3:uid="{4EB9E7F2-02CD-486B-8D1E-4DA00C901D57}" name="Colonne12468"/>
    <tableColumn id="12477" xr3:uid="{1FA1FF01-C385-437E-9F3B-00EF65F207A5}" name="Colonne12469"/>
    <tableColumn id="12478" xr3:uid="{C5216C0A-9756-4A26-94FD-959B3CF4531D}" name="Colonne12470"/>
    <tableColumn id="12479" xr3:uid="{7306B710-5D1E-4865-AE34-8E6624FF306C}" name="Colonne12471"/>
    <tableColumn id="12480" xr3:uid="{58F4E56E-8B97-4865-9296-50FFAEC74680}" name="Colonne12472"/>
    <tableColumn id="12481" xr3:uid="{782E02D3-822F-4A40-8944-B43BBFDE44B6}" name="Colonne12473"/>
    <tableColumn id="12482" xr3:uid="{1C1AF812-936F-4950-BA7F-24486E518F2C}" name="Colonne12474"/>
    <tableColumn id="12483" xr3:uid="{9699FD90-FAB1-4851-ADB4-AE9D7E0F2B28}" name="Colonne12475"/>
    <tableColumn id="12484" xr3:uid="{8580060A-E27F-4C0B-A08B-8AC963097847}" name="Colonne12476"/>
    <tableColumn id="12485" xr3:uid="{F9FAE1B8-FD6D-40FB-BE6D-A4DCA031F660}" name="Colonne12477"/>
    <tableColumn id="12486" xr3:uid="{2A7040B8-DD0E-4E33-BA23-17E198235D01}" name="Colonne12478"/>
    <tableColumn id="12487" xr3:uid="{2EDD8AED-0999-4A00-8084-B21CBEFF8509}" name="Colonne12479"/>
    <tableColumn id="12488" xr3:uid="{EAF3A73F-D5E8-45E5-AB55-E1C30CAF47A2}" name="Colonne12480"/>
    <tableColumn id="12489" xr3:uid="{A9FC44E1-F8A1-465B-B8DD-50985EC2AACC}" name="Colonne12481"/>
    <tableColumn id="12490" xr3:uid="{1722BF03-990A-4B3A-8B1B-901C9E54DBA0}" name="Colonne12482"/>
    <tableColumn id="12491" xr3:uid="{8DBD5E9A-2779-467B-B3E0-9466E66EA307}" name="Colonne12483"/>
    <tableColumn id="12492" xr3:uid="{D8E2C33C-7597-4105-858B-F866FB57063A}" name="Colonne12484"/>
    <tableColumn id="12493" xr3:uid="{0FADF587-9CA5-4D22-AD71-8333132C5815}" name="Colonne12485"/>
    <tableColumn id="12494" xr3:uid="{85243E01-041A-47D0-8AFD-E6847850E34E}" name="Colonne12486"/>
    <tableColumn id="12495" xr3:uid="{1868C646-0B24-4CC0-9498-37F8553F7064}" name="Colonne12487"/>
    <tableColumn id="12496" xr3:uid="{79B1215D-CF4A-4019-A006-081AFBD7005E}" name="Colonne12488"/>
    <tableColumn id="12497" xr3:uid="{A0AEF335-63C7-436C-9F4E-88A6124AD739}" name="Colonne12489"/>
    <tableColumn id="12498" xr3:uid="{B78294DA-25B6-4DD5-B585-6380224A73B1}" name="Colonne12490"/>
    <tableColumn id="12499" xr3:uid="{4E182C0E-C4DA-4521-B925-5E21D6FCEFB2}" name="Colonne12491"/>
    <tableColumn id="12500" xr3:uid="{1A2763EF-053C-410B-9A61-E1CE19E934F7}" name="Colonne12492"/>
    <tableColumn id="12501" xr3:uid="{0C2DE236-F802-49AF-83AF-A52CE54A6F4E}" name="Colonne12493"/>
    <tableColumn id="12502" xr3:uid="{7FA82432-9BB7-406C-BF93-340A7647E07E}" name="Colonne12494"/>
    <tableColumn id="12503" xr3:uid="{3F1654A3-FB11-4469-9AE9-23DE2C8A5795}" name="Colonne12495"/>
    <tableColumn id="12504" xr3:uid="{1EA33A79-8846-40C0-8176-46FA05BFB52C}" name="Colonne12496"/>
    <tableColumn id="12505" xr3:uid="{755EECA9-6219-438B-8838-48247802F817}" name="Colonne12497"/>
    <tableColumn id="12506" xr3:uid="{EB9D8973-C034-4658-98A3-6E1020EA8CFE}" name="Colonne12498"/>
    <tableColumn id="12507" xr3:uid="{8EDE5403-FAAE-4FE3-B249-78F2F9A2CC3B}" name="Colonne12499"/>
    <tableColumn id="12508" xr3:uid="{D78E201E-F35C-4A42-80A6-6B1777D64418}" name="Colonne12500"/>
    <tableColumn id="12509" xr3:uid="{3B510B75-D543-4B13-95F1-B4DE0071D925}" name="Colonne12501"/>
    <tableColumn id="12510" xr3:uid="{33522DC5-DE62-4030-B33A-68BA47408DE2}" name="Colonne12502"/>
    <tableColumn id="12511" xr3:uid="{BC3D0234-EC00-4505-A8C2-6BDB0745A3E7}" name="Colonne12503"/>
    <tableColumn id="12512" xr3:uid="{81AFA443-3ECA-4355-8FC5-AF8526F0F02F}" name="Colonne12504"/>
    <tableColumn id="12513" xr3:uid="{ACDA413F-5CC2-4850-8190-589AEE2C49F2}" name="Colonne12505"/>
    <tableColumn id="12514" xr3:uid="{C21E763C-0138-4BB7-87F8-62744952319A}" name="Colonne12506"/>
    <tableColumn id="12515" xr3:uid="{67A43204-AA69-48EC-A5ED-358037491780}" name="Colonne12507"/>
    <tableColumn id="12516" xr3:uid="{D87CD990-EDF0-403E-8B9E-BA318C530B65}" name="Colonne12508"/>
    <tableColumn id="12517" xr3:uid="{E0A5B3EA-DBE9-49DA-A94D-321B6E4E4739}" name="Colonne12509"/>
    <tableColumn id="12518" xr3:uid="{C4445CC0-EE48-4386-9C9D-638E7DBF9FB7}" name="Colonne12510"/>
    <tableColumn id="12519" xr3:uid="{B7E0934D-CEAB-4D10-93D4-5F961130A39E}" name="Colonne12511"/>
    <tableColumn id="12520" xr3:uid="{FBA82B5B-9E31-4DBC-B25D-B8DE96ECEAB6}" name="Colonne12512"/>
    <tableColumn id="12521" xr3:uid="{08D731F9-2F87-47B7-822D-904184241B67}" name="Colonne12513"/>
    <tableColumn id="12522" xr3:uid="{D7A4FE49-43C6-4200-9E40-96B03C29BE33}" name="Colonne12514"/>
    <tableColumn id="12523" xr3:uid="{6ADC29CD-04BE-4E32-B576-667210232058}" name="Colonne12515"/>
    <tableColumn id="12524" xr3:uid="{4BB4DCD3-0533-460E-BCC0-F1D8BC273D41}" name="Colonne12516"/>
    <tableColumn id="12525" xr3:uid="{FA5D6580-FCF1-4655-9CC8-9AE6D315205F}" name="Colonne12517"/>
    <tableColumn id="12526" xr3:uid="{2B9BE776-0154-424D-948C-398062BC76CE}" name="Colonne12518"/>
    <tableColumn id="12527" xr3:uid="{26700B72-E1EA-4EA7-AD50-4628F5A5617D}" name="Colonne12519"/>
    <tableColumn id="12528" xr3:uid="{8D95D2E3-5876-4D7B-881E-4342CCB65FF0}" name="Colonne12520"/>
    <tableColumn id="12529" xr3:uid="{E2F7D1CE-1299-4170-816E-0F1C5F711446}" name="Colonne12521"/>
    <tableColumn id="12530" xr3:uid="{7FD0CCD9-5628-4B3A-B5CA-02A5ACC390AA}" name="Colonne12522"/>
    <tableColumn id="12531" xr3:uid="{F1A2643E-3106-4D34-9419-5DCED3A8B28E}" name="Colonne12523"/>
    <tableColumn id="12532" xr3:uid="{9732FEF4-8B85-4A9D-9E7E-DFAAE5F91106}" name="Colonne12524"/>
    <tableColumn id="12533" xr3:uid="{000DB825-E9D2-4B4D-99B1-241708B63FAE}" name="Colonne12525"/>
    <tableColumn id="12534" xr3:uid="{6C9ABC94-201D-4775-8488-2C2525986B68}" name="Colonne12526"/>
    <tableColumn id="12535" xr3:uid="{14E07900-1FAA-48EB-B6E3-F94DE2977DC3}" name="Colonne12527"/>
    <tableColumn id="12536" xr3:uid="{F5FAD911-64E9-44BE-A4DF-D4734DC35C12}" name="Colonne12528"/>
    <tableColumn id="12537" xr3:uid="{416B4B64-5AB7-4754-B2B7-06DED4E7CB42}" name="Colonne12529"/>
    <tableColumn id="12538" xr3:uid="{AE45583B-052D-4EA3-99B9-1272CBAAFBCB}" name="Colonne12530"/>
    <tableColumn id="12539" xr3:uid="{26981CA7-DAF1-4096-A1B9-544782DC787D}" name="Colonne12531"/>
    <tableColumn id="12540" xr3:uid="{C453FB98-13E2-4CFB-96B6-4AF513012E6A}" name="Colonne12532"/>
    <tableColumn id="12541" xr3:uid="{5DBDB86F-2FDE-44D3-BA18-CA7A7845A9A9}" name="Colonne12533"/>
    <tableColumn id="12542" xr3:uid="{7F0C8F9E-BA8C-44A9-9C6A-51AFEFC641F6}" name="Colonne12534"/>
    <tableColumn id="12543" xr3:uid="{4B44A6E5-43AA-4ABA-B1AE-F19136C727A6}" name="Colonne12535"/>
    <tableColumn id="12544" xr3:uid="{827BF48A-A064-4E98-AA5F-E247C7B96B5A}" name="Colonne12536"/>
    <tableColumn id="12545" xr3:uid="{58ABE590-F2E2-4DEE-BB21-F5AC4302702B}" name="Colonne12537"/>
    <tableColumn id="12546" xr3:uid="{8F4A6EE5-80AB-4118-995C-3B087547DAC7}" name="Colonne12538"/>
    <tableColumn id="12547" xr3:uid="{0A1DE275-C4F6-4DD6-92A0-EEE79DA928F8}" name="Colonne12539"/>
    <tableColumn id="12548" xr3:uid="{3A5FFFC6-489A-4B59-82A5-360965523AC5}" name="Colonne12540"/>
    <tableColumn id="12549" xr3:uid="{AD658120-F68B-4FB1-BEC6-7901E6C7E8D4}" name="Colonne12541"/>
    <tableColumn id="12550" xr3:uid="{AF09ED8B-CE9D-4E17-8687-6AABFEBD781E}" name="Colonne12542"/>
    <tableColumn id="12551" xr3:uid="{66ECC61E-6905-4D94-B5EC-E27443C76A51}" name="Colonne12543"/>
    <tableColumn id="12552" xr3:uid="{F7E84A70-74CD-4189-BD73-D45E36DDAF0B}" name="Colonne12544"/>
    <tableColumn id="12553" xr3:uid="{464D79C4-03B3-4918-A161-F6923E684319}" name="Colonne12545"/>
    <tableColumn id="12554" xr3:uid="{37C5C634-D3C1-420F-AA50-6C5DDCF94535}" name="Colonne12546"/>
    <tableColumn id="12555" xr3:uid="{67D960B3-4A99-47B0-9FED-3D1810F61E63}" name="Colonne12547"/>
    <tableColumn id="12556" xr3:uid="{4966D657-1134-4D86-8048-EBCDF061CBD6}" name="Colonne12548"/>
    <tableColumn id="12557" xr3:uid="{CE1ACACB-C26D-4D31-8C53-4FD8C736382F}" name="Colonne12549"/>
    <tableColumn id="12558" xr3:uid="{784865B8-9CD5-422D-A621-24FB2476D8BB}" name="Colonne12550"/>
    <tableColumn id="12559" xr3:uid="{59398D50-CF31-4AB4-8408-23A94052DEC9}" name="Colonne12551"/>
    <tableColumn id="12560" xr3:uid="{91634BC2-6A19-4624-8714-B437114C15A0}" name="Colonne12552"/>
    <tableColumn id="12561" xr3:uid="{C4DB7479-C6B3-4ABA-BC73-76B4F7918A9E}" name="Colonne12553"/>
    <tableColumn id="12562" xr3:uid="{A29BD3DA-9650-48DA-89F4-DEC22F8ECE0C}" name="Colonne12554"/>
    <tableColumn id="12563" xr3:uid="{C7484C8F-0C1F-4095-B4DD-CFF1C5ADBB86}" name="Colonne12555"/>
    <tableColumn id="12564" xr3:uid="{5C209F21-E4DE-40E5-BAB8-0CEA570CED3B}" name="Colonne12556"/>
    <tableColumn id="12565" xr3:uid="{02C656C5-7AB5-48E9-8CF4-E67F3ABF54D3}" name="Colonne12557"/>
    <tableColumn id="12566" xr3:uid="{EC28A4C1-0C8F-4136-9A57-FB856BF7C194}" name="Colonne12558"/>
    <tableColumn id="12567" xr3:uid="{F4C2BA64-7449-4379-8F0E-75FEB679ACE0}" name="Colonne12559"/>
    <tableColumn id="12568" xr3:uid="{5123D07A-049D-4019-910A-07EFF33AB1DD}" name="Colonne12560"/>
    <tableColumn id="12569" xr3:uid="{39501098-E903-41EA-9EB7-D1F093AC17D6}" name="Colonne12561"/>
    <tableColumn id="12570" xr3:uid="{32575339-AE5D-44FC-83B3-2159B483726D}" name="Colonne12562"/>
    <tableColumn id="12571" xr3:uid="{CD7ACBA6-D03F-4CC1-BAAE-C6295073BB8B}" name="Colonne12563"/>
    <tableColumn id="12572" xr3:uid="{1FB7DF31-1B0F-41C0-9700-7999CC341140}" name="Colonne12564"/>
    <tableColumn id="12573" xr3:uid="{E25164EC-6C43-4014-A4FA-99069CF7407E}" name="Colonne12565"/>
    <tableColumn id="12574" xr3:uid="{FBFB9401-3D10-41C3-BE41-7F3CCA88505C}" name="Colonne12566"/>
    <tableColumn id="12575" xr3:uid="{1B03BAF8-71D4-468E-A2C9-C0216A1C93EC}" name="Colonne12567"/>
    <tableColumn id="12576" xr3:uid="{D108C22A-4FF7-4B76-BAFC-24F352AD7F26}" name="Colonne12568"/>
    <tableColumn id="12577" xr3:uid="{0A9E140C-881A-4306-988D-DDFE5C3CBBBB}" name="Colonne12569"/>
    <tableColumn id="12578" xr3:uid="{64818839-9202-4479-9242-6A6081BFE86F}" name="Colonne12570"/>
    <tableColumn id="12579" xr3:uid="{D0E50049-5136-4B4F-9402-DD5BFA49FAFF}" name="Colonne12571"/>
    <tableColumn id="12580" xr3:uid="{993978AE-769C-42C1-8942-86757737B2A7}" name="Colonne12572"/>
    <tableColumn id="12581" xr3:uid="{9D1F7FD7-BB50-4621-8695-7F5006D33258}" name="Colonne12573"/>
    <tableColumn id="12582" xr3:uid="{B48BCA69-46DE-4C7D-9D14-61108D8192B0}" name="Colonne12574"/>
    <tableColumn id="12583" xr3:uid="{086591EC-6206-4E2C-B3DF-6397832C071A}" name="Colonne12575"/>
    <tableColumn id="12584" xr3:uid="{210CA064-6374-4A48-AF57-FD41F5510E7F}" name="Colonne12576"/>
    <tableColumn id="12585" xr3:uid="{0CF10ECA-4DA6-4856-BAFA-FFE657D9C9EB}" name="Colonne12577"/>
    <tableColumn id="12586" xr3:uid="{4E7C9AFA-1885-41D3-A422-B3D540E7E7EC}" name="Colonne12578"/>
    <tableColumn id="12587" xr3:uid="{23EA5758-6FB4-4C14-8E70-3359909B0F5C}" name="Colonne12579"/>
    <tableColumn id="12588" xr3:uid="{DA04FC95-77D9-4A48-AD3F-1294517D2655}" name="Colonne12580"/>
    <tableColumn id="12589" xr3:uid="{67FC8D7F-5F8F-452F-B1FA-C7F60D47AFA7}" name="Colonne12581"/>
    <tableColumn id="12590" xr3:uid="{C90957B3-F4E2-4278-9901-61B7D9F76DE5}" name="Colonne12582"/>
    <tableColumn id="12591" xr3:uid="{B493D10B-2D47-4D4B-9B6D-1F54BA8C969D}" name="Colonne12583"/>
    <tableColumn id="12592" xr3:uid="{9E93CEF9-D052-4F96-93BA-93C64D7F9CDD}" name="Colonne12584"/>
    <tableColumn id="12593" xr3:uid="{8FC7DE50-EC0B-4290-97AD-0957CC6ACAF6}" name="Colonne12585"/>
    <tableColumn id="12594" xr3:uid="{8741D1C2-8B0E-420D-A319-77A973D0A7C8}" name="Colonne12586"/>
    <tableColumn id="12595" xr3:uid="{D37CC2B8-1393-4F65-8EB1-DDE17280764E}" name="Colonne12587"/>
    <tableColumn id="12596" xr3:uid="{037A66E0-91CE-499E-B487-56CDEADAC452}" name="Colonne12588"/>
    <tableColumn id="12597" xr3:uid="{4EF9CC0E-BC04-427A-BE43-D073DA889522}" name="Colonne12589"/>
    <tableColumn id="12598" xr3:uid="{11FDD11B-590C-4F1A-B887-7E15F3BFC168}" name="Colonne12590"/>
    <tableColumn id="12599" xr3:uid="{8A282B4C-ED43-4B76-9C0E-C341AC9AD81C}" name="Colonne12591"/>
    <tableColumn id="12600" xr3:uid="{020FBF37-49E8-42BF-9D26-9B313D57A0B5}" name="Colonne12592"/>
    <tableColumn id="12601" xr3:uid="{1013EF00-42A4-4205-BA37-527C9F9A5BA2}" name="Colonne12593"/>
    <tableColumn id="12602" xr3:uid="{6AE935A8-866A-4C35-ADFA-F3966C0BC83F}" name="Colonne12594"/>
    <tableColumn id="12603" xr3:uid="{BA19E82E-AF99-47F4-A6EC-C3E0CA194A9C}" name="Colonne12595"/>
    <tableColumn id="12604" xr3:uid="{9E2923C6-D836-4B43-AFB4-45002083393E}" name="Colonne12596"/>
    <tableColumn id="12605" xr3:uid="{8E5B92A6-818C-4B44-808C-F1CE5CF03D47}" name="Colonne12597"/>
    <tableColumn id="12606" xr3:uid="{FA11F049-ECB9-4A38-955B-0070A82D5958}" name="Colonne12598"/>
    <tableColumn id="12607" xr3:uid="{3589E49B-465B-4D96-BBED-F2D2F458EDC1}" name="Colonne12599"/>
    <tableColumn id="12608" xr3:uid="{353250AD-1C63-4899-BD76-EAC840D29D6D}" name="Colonne12600"/>
    <tableColumn id="12609" xr3:uid="{81C833E5-9948-445D-BD39-7D72B99F59A9}" name="Colonne12601"/>
    <tableColumn id="12610" xr3:uid="{C770FAFC-541D-4531-AAE2-03629E2B7B45}" name="Colonne12602"/>
    <tableColumn id="12611" xr3:uid="{1BC39551-3B08-41C0-9283-707D328E5841}" name="Colonne12603"/>
    <tableColumn id="12612" xr3:uid="{486A723A-1DFE-44D2-A73E-538B5EC7EBE6}" name="Colonne12604"/>
    <tableColumn id="12613" xr3:uid="{83A8133B-6445-4429-B077-3C0F79C577DD}" name="Colonne12605"/>
    <tableColumn id="12614" xr3:uid="{FC3BF601-0106-4EF4-B8EB-84CF558D67A2}" name="Colonne12606"/>
    <tableColumn id="12615" xr3:uid="{BCF93900-CFFB-4C49-B264-10E822DEC89D}" name="Colonne12607"/>
    <tableColumn id="12616" xr3:uid="{6EEDE745-1D39-4CCC-9A9B-CD34AD103440}" name="Colonne12608"/>
    <tableColumn id="12617" xr3:uid="{84826B52-503B-4C5A-B98D-0591B85091AC}" name="Colonne12609"/>
    <tableColumn id="12618" xr3:uid="{7AE66B34-B501-42F7-AACC-EB72BC7E64C0}" name="Colonne12610"/>
    <tableColumn id="12619" xr3:uid="{AF95141D-3708-499E-8CBD-DC2AB9BF80E2}" name="Colonne12611"/>
    <tableColumn id="12620" xr3:uid="{E491E02C-D413-4BEF-B2BA-4596F3B4704C}" name="Colonne12612"/>
    <tableColumn id="12621" xr3:uid="{1FC75AB3-0DF2-410F-964C-C9C8B25A11F7}" name="Colonne12613"/>
    <tableColumn id="12622" xr3:uid="{5FF232A8-3374-4BF1-B192-87D84C8264A5}" name="Colonne12614"/>
    <tableColumn id="12623" xr3:uid="{947DFF58-3BA8-4BD7-89B9-20143AD4F762}" name="Colonne12615"/>
    <tableColumn id="12624" xr3:uid="{E9F70F3E-4ABC-42A4-98D4-CA0704146BB4}" name="Colonne12616"/>
    <tableColumn id="12625" xr3:uid="{38EEBE94-F4D8-4F0B-B53C-D243A4A339FF}" name="Colonne12617"/>
    <tableColumn id="12626" xr3:uid="{02506458-C11F-4576-B407-CD0431C37DE8}" name="Colonne12618"/>
    <tableColumn id="12627" xr3:uid="{46D4C0EF-39BE-4DC2-9A6C-F65EB69BC47A}" name="Colonne12619"/>
    <tableColumn id="12628" xr3:uid="{5EB57822-7C18-45ED-9B47-378BE448C158}" name="Colonne12620"/>
    <tableColumn id="12629" xr3:uid="{3A18E3B6-8D88-4467-B135-C85ACDEB4389}" name="Colonne12621"/>
    <tableColumn id="12630" xr3:uid="{AAA64CE7-5B31-4C79-92E7-954BB5975FF6}" name="Colonne12622"/>
    <tableColumn id="12631" xr3:uid="{A7E9840F-D5EE-417D-BAC3-9AD6734B567B}" name="Colonne12623"/>
    <tableColumn id="12632" xr3:uid="{75D8E9D1-9FFF-439A-83E1-7A8B05F836AC}" name="Colonne12624"/>
    <tableColumn id="12633" xr3:uid="{15927FF3-540A-4BB0-9986-0614D4738AB6}" name="Colonne12625"/>
    <tableColumn id="12634" xr3:uid="{0DFFCE87-846A-43F8-B683-50BC73D95B63}" name="Colonne12626"/>
    <tableColumn id="12635" xr3:uid="{60878F58-0DA7-4E77-9AEF-A200A06D301A}" name="Colonne12627"/>
    <tableColumn id="12636" xr3:uid="{9E9C51CA-396A-40F9-8968-E3778174561D}" name="Colonne12628"/>
    <tableColumn id="12637" xr3:uid="{AC052710-1749-4758-B6BA-5F5176BEAD99}" name="Colonne12629"/>
    <tableColumn id="12638" xr3:uid="{B77E47A5-99FA-4686-85B7-8BBF4788720D}" name="Colonne12630"/>
    <tableColumn id="12639" xr3:uid="{7CA85DC1-470E-4B76-BB10-E653C68F98D3}" name="Colonne12631"/>
    <tableColumn id="12640" xr3:uid="{A6CBCD21-2AC2-4363-BE5A-D17FB1FE46D7}" name="Colonne12632"/>
    <tableColumn id="12641" xr3:uid="{1FCA662D-C82A-4F17-89A2-D1DC3D996CDA}" name="Colonne12633"/>
    <tableColumn id="12642" xr3:uid="{5F4E1C4D-4786-4854-A088-82A8EABE6756}" name="Colonne12634"/>
    <tableColumn id="12643" xr3:uid="{978840E5-7952-457B-8AB8-1E5F0EDA09CD}" name="Colonne12635"/>
    <tableColumn id="12644" xr3:uid="{2D31D507-15E4-45B0-A3F9-711814D90235}" name="Colonne12636"/>
    <tableColumn id="12645" xr3:uid="{E388AD9E-49DB-4B4C-A8AF-F48B2DB0F332}" name="Colonne12637"/>
    <tableColumn id="12646" xr3:uid="{ED534206-2E96-4810-9224-DD43DA17E0BD}" name="Colonne12638"/>
    <tableColumn id="12647" xr3:uid="{95152DB2-7F61-47FE-8404-C5A121994A63}" name="Colonne12639"/>
    <tableColumn id="12648" xr3:uid="{703E6222-3C9D-4C88-B9E1-4ECBCF27EE8D}" name="Colonne12640"/>
    <tableColumn id="12649" xr3:uid="{FFA76689-DFBB-45F7-9E9D-BB37765BFD31}" name="Colonne12641"/>
    <tableColumn id="12650" xr3:uid="{9A5EF3E8-3CE1-4994-B4EE-DF09375CDE51}" name="Colonne12642"/>
    <tableColumn id="12651" xr3:uid="{5CE4BA83-B3CC-4C3D-84F8-EF457AD6FCA2}" name="Colonne12643"/>
    <tableColumn id="12652" xr3:uid="{5E308D64-23A4-42D3-9E0C-9156046F47A7}" name="Colonne12644"/>
    <tableColumn id="12653" xr3:uid="{56E34207-76BC-4993-AC87-A8C545E27F3A}" name="Colonne12645"/>
    <tableColumn id="12654" xr3:uid="{2D49D199-44FE-4526-B0B9-1CCB159E3430}" name="Colonne12646"/>
    <tableColumn id="12655" xr3:uid="{6E64EA0F-C7C9-42EE-916F-38C545198554}" name="Colonne12647"/>
    <tableColumn id="12656" xr3:uid="{71D9BAD7-069E-415E-B860-1B6EAB36E089}" name="Colonne12648"/>
    <tableColumn id="12657" xr3:uid="{BC47A25A-A8F0-447A-9A1F-93512F5AF651}" name="Colonne12649"/>
    <tableColumn id="12658" xr3:uid="{EE31AFDC-8EB5-4B87-A192-5F1217EB4D28}" name="Colonne12650"/>
    <tableColumn id="12659" xr3:uid="{7F03DE5B-FA7D-45A5-9DCD-10CDD24A5353}" name="Colonne12651"/>
    <tableColumn id="12660" xr3:uid="{DF98FBC5-535A-49AA-B7DE-274DD76CD25A}" name="Colonne12652"/>
    <tableColumn id="12661" xr3:uid="{A0E55A78-F4CD-49D9-8F9D-C4D41C76AE99}" name="Colonne12653"/>
    <tableColumn id="12662" xr3:uid="{3F1E799A-2B74-4AB4-9393-A54736637DE2}" name="Colonne12654"/>
    <tableColumn id="12663" xr3:uid="{7FC123CF-CBAE-4D85-8A6F-DE9F0585BD1E}" name="Colonne12655"/>
    <tableColumn id="12664" xr3:uid="{D5E536CC-247B-46D4-8AEA-51CB90E70A9A}" name="Colonne12656"/>
    <tableColumn id="12665" xr3:uid="{34A3EB84-9794-4D07-8FCB-265DB1A69D86}" name="Colonne12657"/>
    <tableColumn id="12666" xr3:uid="{4DE3C421-16C2-4DAA-B9F1-BDAA64A71EAD}" name="Colonne12658"/>
    <tableColumn id="12667" xr3:uid="{69F11F5F-64B7-43BB-9C6E-3FA6EC179B9A}" name="Colonne12659"/>
    <tableColumn id="12668" xr3:uid="{BEC9C568-4C14-40CE-8B11-DFADE59F943E}" name="Colonne12660"/>
    <tableColumn id="12669" xr3:uid="{FCA134CD-A18B-4BBA-AFE5-2516AAC95E64}" name="Colonne12661"/>
    <tableColumn id="12670" xr3:uid="{FD859A5C-20B7-4EB1-8CAA-B1103B491324}" name="Colonne12662"/>
    <tableColumn id="12671" xr3:uid="{F3736A7D-D3DF-423E-ABD5-B35B1665EBF9}" name="Colonne12663"/>
    <tableColumn id="12672" xr3:uid="{3740851C-75CA-44AB-93D2-A4ECDB0B9022}" name="Colonne12664"/>
    <tableColumn id="12673" xr3:uid="{A4DE4D10-A9EC-4DA1-98F2-98BD296E9A92}" name="Colonne12665"/>
    <tableColumn id="12674" xr3:uid="{D7A538C9-E82C-46CA-8977-6C22DD1C0601}" name="Colonne12666"/>
    <tableColumn id="12675" xr3:uid="{0056557B-9C01-448E-9926-D2B88FDE17F1}" name="Colonne12667"/>
    <tableColumn id="12676" xr3:uid="{DB50AC3C-A69A-4B0D-8EA2-14A81170512E}" name="Colonne12668"/>
    <tableColumn id="12677" xr3:uid="{13BEA28A-B9EC-45E0-8417-270A1F586F3F}" name="Colonne12669"/>
    <tableColumn id="12678" xr3:uid="{A8422996-D0F9-4974-B3AE-78FB89AB0EF8}" name="Colonne12670"/>
    <tableColumn id="12679" xr3:uid="{0AA104E3-A598-41B8-A536-C0E331C2C66F}" name="Colonne12671"/>
    <tableColumn id="12680" xr3:uid="{84EF81FD-A59E-468F-9599-AE17A96BE16F}" name="Colonne12672"/>
    <tableColumn id="12681" xr3:uid="{78C1D198-851A-4E29-BB3C-BB18E0F2B3E8}" name="Colonne12673"/>
    <tableColumn id="12682" xr3:uid="{E590A337-4526-46CB-B771-03BAE82651D5}" name="Colonne12674"/>
    <tableColumn id="12683" xr3:uid="{FC79D580-4B37-429C-943A-334B4B17CD75}" name="Colonne12675"/>
    <tableColumn id="12684" xr3:uid="{44D5EB93-95A3-4408-9BFA-F153418910EE}" name="Colonne12676"/>
    <tableColumn id="12685" xr3:uid="{5851EFF7-718C-4E57-B90E-F76EC2DB927C}" name="Colonne12677"/>
    <tableColumn id="12686" xr3:uid="{B291D411-6764-4D47-907A-4A6B68911DB0}" name="Colonne12678"/>
    <tableColumn id="12687" xr3:uid="{28AE0BEA-154D-431B-A361-40885C7F6160}" name="Colonne12679"/>
    <tableColumn id="12688" xr3:uid="{4E659495-1650-4AF7-9B07-4A1C6BA75633}" name="Colonne12680"/>
    <tableColumn id="12689" xr3:uid="{864F77F3-42FF-4AD0-9C7B-F3426BAFAF29}" name="Colonne12681"/>
    <tableColumn id="12690" xr3:uid="{921F31DA-6EAB-4046-9017-5BF9469FA984}" name="Colonne12682"/>
    <tableColumn id="12691" xr3:uid="{7F40D5A2-C423-48A4-946A-BF1A95BE17B5}" name="Colonne12683"/>
    <tableColumn id="12692" xr3:uid="{1741EB12-59E0-40D2-949B-CFEC2537077C}" name="Colonne12684"/>
    <tableColumn id="12693" xr3:uid="{9F24EC68-50F6-4D3C-A8F0-5A4D01126648}" name="Colonne12685"/>
    <tableColumn id="12694" xr3:uid="{8F3F8644-9BAA-49AF-A076-F83EB80AE4A4}" name="Colonne12686"/>
    <tableColumn id="12695" xr3:uid="{F6B134D6-B80D-4EC6-9522-27B46605DD44}" name="Colonne12687"/>
    <tableColumn id="12696" xr3:uid="{F2486BE1-16F7-42FF-9D0C-57AD0CE69E37}" name="Colonne12688"/>
    <tableColumn id="12697" xr3:uid="{B3AA6687-F6C8-4825-859A-ABD2C671985E}" name="Colonne12689"/>
    <tableColumn id="12698" xr3:uid="{DA6F231B-8039-4DF1-B10C-9085D01F8AAE}" name="Colonne12690"/>
    <tableColumn id="12699" xr3:uid="{7B718C7D-4528-4E97-8502-D7976339D453}" name="Colonne12691"/>
    <tableColumn id="12700" xr3:uid="{9915C570-AD00-4031-98A8-2E1FBAA98231}" name="Colonne12692"/>
    <tableColumn id="12701" xr3:uid="{0FE29891-A74B-438C-A60E-403AE09376C0}" name="Colonne12693"/>
    <tableColumn id="12702" xr3:uid="{9D5B79BB-3E5D-4723-A104-03A3EF61AF3B}" name="Colonne12694"/>
    <tableColumn id="12703" xr3:uid="{9FDEAEF4-43D8-48C1-BA68-F3EAA82B425D}" name="Colonne12695"/>
    <tableColumn id="12704" xr3:uid="{B7290DC9-7E85-42A0-AE33-CCC336E4F7AE}" name="Colonne12696"/>
    <tableColumn id="12705" xr3:uid="{696532EB-EE2C-4DDD-A04B-7D64F89FCB81}" name="Colonne12697"/>
    <tableColumn id="12706" xr3:uid="{1CF86F15-A401-4526-8B9B-E893A1C4B1F7}" name="Colonne12698"/>
    <tableColumn id="12707" xr3:uid="{EFA88A5A-C637-47F6-985C-1C39C2231312}" name="Colonne12699"/>
    <tableColumn id="12708" xr3:uid="{A0D1E021-FB17-417E-B4C9-BD7D36DE1F12}" name="Colonne12700"/>
    <tableColumn id="12709" xr3:uid="{F257348F-C9AA-4CBF-9D26-02EC041D9284}" name="Colonne12701"/>
    <tableColumn id="12710" xr3:uid="{94E525E3-E87D-4123-85DF-8BEDA7631E80}" name="Colonne12702"/>
    <tableColumn id="12711" xr3:uid="{89211363-BFE4-4FD4-AC0F-6F659AD45701}" name="Colonne12703"/>
    <tableColumn id="12712" xr3:uid="{0DA29456-25CC-493F-A9A0-1797711CE77A}" name="Colonne12704"/>
    <tableColumn id="12713" xr3:uid="{B0E885AD-860F-40F7-AAB3-F5EA52E1BA49}" name="Colonne12705"/>
    <tableColumn id="12714" xr3:uid="{90C6A588-6DF6-4A50-B6AA-DA734DE47BAF}" name="Colonne12706"/>
    <tableColumn id="12715" xr3:uid="{13B658AC-2C3E-41AE-B20D-26D3EBCA02B1}" name="Colonne12707"/>
    <tableColumn id="12716" xr3:uid="{C1838A67-04C7-4593-A78D-513B0E8B2A28}" name="Colonne12708"/>
    <tableColumn id="12717" xr3:uid="{6A947C10-C005-45A7-80F4-232B406B9D1F}" name="Colonne12709"/>
    <tableColumn id="12718" xr3:uid="{11619D75-1310-468D-8957-4C1304B297D2}" name="Colonne12710"/>
    <tableColumn id="12719" xr3:uid="{6EC18FEF-C9D0-423B-A924-4E17278EEDBB}" name="Colonne12711"/>
    <tableColumn id="12720" xr3:uid="{CDFC8DB8-6751-4E15-9F10-3BD8A713F7B7}" name="Colonne12712"/>
    <tableColumn id="12721" xr3:uid="{FC665530-287D-469D-B611-6A6514284444}" name="Colonne12713"/>
    <tableColumn id="12722" xr3:uid="{4E856D18-8F65-4B37-A178-4F2B0DF8477A}" name="Colonne12714"/>
    <tableColumn id="12723" xr3:uid="{10281CAB-5517-4870-8078-D20CB1A9E8E8}" name="Colonne12715"/>
    <tableColumn id="12724" xr3:uid="{59DFDE93-F925-4DFC-8DFE-83AFA61B255D}" name="Colonne12716"/>
    <tableColumn id="12725" xr3:uid="{E1A0A732-0494-4E7E-AA20-1D31637C9C61}" name="Colonne12717"/>
    <tableColumn id="12726" xr3:uid="{F71F67ED-2CB5-47CB-9779-E96E78307DE7}" name="Colonne12718"/>
    <tableColumn id="12727" xr3:uid="{FFFC2A95-9089-4F68-9C5C-1F5F190E4FE0}" name="Colonne12719"/>
    <tableColumn id="12728" xr3:uid="{BDE3E603-A4CC-498F-82A4-B8D9314E1AA7}" name="Colonne12720"/>
    <tableColumn id="12729" xr3:uid="{F9840F74-F4CF-406A-9C71-5417EB71C398}" name="Colonne12721"/>
    <tableColumn id="12730" xr3:uid="{F5A0054A-60D6-4105-B6DA-8C1A310F7E1C}" name="Colonne12722"/>
    <tableColumn id="12731" xr3:uid="{DE18CB4A-45B0-43D4-BC70-67E7C5090502}" name="Colonne12723"/>
    <tableColumn id="12732" xr3:uid="{069236B2-807D-40E7-A695-5EA57D5EF4B0}" name="Colonne12724"/>
    <tableColumn id="12733" xr3:uid="{59F8EA43-880E-4050-AECE-DDE73604957E}" name="Colonne12725"/>
    <tableColumn id="12734" xr3:uid="{F010BF82-2043-4693-945E-E0AEBE64ABB1}" name="Colonne12726"/>
    <tableColumn id="12735" xr3:uid="{A7B28F7F-AB0D-48BE-B4B5-31BB6D122A88}" name="Colonne12727"/>
    <tableColumn id="12736" xr3:uid="{6F2468B2-692C-4BE0-A2B9-7F9057C36B66}" name="Colonne12728"/>
    <tableColumn id="12737" xr3:uid="{BC949A07-21F6-4C2E-8D70-E58B73DC3CD7}" name="Colonne12729"/>
    <tableColumn id="12738" xr3:uid="{DC9C8847-60E2-4692-9B59-8F38380EB894}" name="Colonne12730"/>
    <tableColumn id="12739" xr3:uid="{D97275E0-134C-4CE5-B897-C82F3DA986FB}" name="Colonne12731"/>
    <tableColumn id="12740" xr3:uid="{C1B3186C-91E8-4952-B14C-743923D3AFCA}" name="Colonne12732"/>
    <tableColumn id="12741" xr3:uid="{FA32DD51-1578-405D-9140-0073DE838E25}" name="Colonne12733"/>
    <tableColumn id="12742" xr3:uid="{9E868F3D-D415-4F22-A677-C9548402A6E5}" name="Colonne12734"/>
    <tableColumn id="12743" xr3:uid="{1C33F96A-E5C2-4817-B450-033BA7314828}" name="Colonne12735"/>
    <tableColumn id="12744" xr3:uid="{F1B8677A-0AC5-4F38-A217-7FE0CC3B2423}" name="Colonne12736"/>
    <tableColumn id="12745" xr3:uid="{D3EAA5E6-63FC-4CAD-B209-38B7639FC4B6}" name="Colonne12737"/>
    <tableColumn id="12746" xr3:uid="{48D69324-38B5-4716-AA53-1CB66CEF0CE3}" name="Colonne12738"/>
    <tableColumn id="12747" xr3:uid="{0C8F1649-9913-4B27-B371-7C6EBEF26C2C}" name="Colonne12739"/>
    <tableColumn id="12748" xr3:uid="{52F9E329-A4CF-4972-9CFC-2E3FB7817B4F}" name="Colonne12740"/>
    <tableColumn id="12749" xr3:uid="{A4DFD99B-1E83-4067-A5EE-F9E80551D7A5}" name="Colonne12741"/>
    <tableColumn id="12750" xr3:uid="{C8C060CD-5936-4C64-944E-584243C285C2}" name="Colonne12742"/>
    <tableColumn id="12751" xr3:uid="{8EA0F262-CB4F-41EF-AF04-8BF4526AAA17}" name="Colonne12743"/>
    <tableColumn id="12752" xr3:uid="{D53E27F1-BC42-46E9-8F1E-DAD785CA772E}" name="Colonne12744"/>
    <tableColumn id="12753" xr3:uid="{A04355C1-0E67-47C3-A292-62D0FE0FC46B}" name="Colonne12745"/>
    <tableColumn id="12754" xr3:uid="{FE80E108-6C67-4903-94F9-1C6DF0ADD1B6}" name="Colonne12746"/>
    <tableColumn id="12755" xr3:uid="{43825A54-1992-4ADA-B51C-BFA555694170}" name="Colonne12747"/>
    <tableColumn id="12756" xr3:uid="{264B1414-3EC2-4395-908D-DF50B4EA6807}" name="Colonne12748"/>
    <tableColumn id="12757" xr3:uid="{AE97F5BF-4F51-4CE7-B0FC-A62053051EBD}" name="Colonne12749"/>
    <tableColumn id="12758" xr3:uid="{4E95BA30-2D58-427C-A538-2BDF609D6E23}" name="Colonne12750"/>
    <tableColumn id="12759" xr3:uid="{5F0C6124-1F8F-41AA-A893-B3615E12DDA1}" name="Colonne12751"/>
    <tableColumn id="12760" xr3:uid="{850B80C0-C25F-4C55-A682-C8EBA3FC25EB}" name="Colonne12752"/>
    <tableColumn id="12761" xr3:uid="{2D49001B-6A6A-4FA8-A893-E1230EE2F59F}" name="Colonne12753"/>
    <tableColumn id="12762" xr3:uid="{257806C9-D07B-48BA-BA93-0596F7445207}" name="Colonne12754"/>
    <tableColumn id="12763" xr3:uid="{4DE6B7C4-2CA7-4EFA-A3E7-C33DF99B7A0D}" name="Colonne12755"/>
    <tableColumn id="12764" xr3:uid="{E0F08DAE-216A-4F7A-A4DF-60B0A6F6A2AF}" name="Colonne12756"/>
    <tableColumn id="12765" xr3:uid="{6748024E-1264-4328-B10A-E41C2A1CF3DC}" name="Colonne12757"/>
    <tableColumn id="12766" xr3:uid="{2208C4DE-6F8D-4EBE-9A6A-F361827D5DBA}" name="Colonne12758"/>
    <tableColumn id="12767" xr3:uid="{58E9F4BE-1032-4D40-87AB-8CC75B746F5F}" name="Colonne12759"/>
    <tableColumn id="12768" xr3:uid="{E852EF29-C15F-4967-A784-3F2A213D9257}" name="Colonne12760"/>
    <tableColumn id="12769" xr3:uid="{2F34CCBD-9370-47BF-A4E5-894AD3DAB18A}" name="Colonne12761"/>
    <tableColumn id="12770" xr3:uid="{EF10CF46-C696-4A55-A64C-3AE04D31D678}" name="Colonne12762"/>
    <tableColumn id="12771" xr3:uid="{A431AFE7-78FB-4F16-947B-FA5A3B241A99}" name="Colonne12763"/>
    <tableColumn id="12772" xr3:uid="{29E99B53-0CDB-4C01-9173-E278A60C9220}" name="Colonne12764"/>
    <tableColumn id="12773" xr3:uid="{A68DDA44-9FB7-47E5-8E9E-45D34E8B4B23}" name="Colonne12765"/>
    <tableColumn id="12774" xr3:uid="{1010AFFF-5E13-4984-B6D3-8EEE9553C98A}" name="Colonne12766"/>
    <tableColumn id="12775" xr3:uid="{4CB3C38B-BE23-4ACC-ABBD-A66AC1DF3DA4}" name="Colonne12767"/>
    <tableColumn id="12776" xr3:uid="{E2E882D6-DC20-4DC2-AE8F-C72F6AA0D149}" name="Colonne12768"/>
    <tableColumn id="12777" xr3:uid="{D3935A55-B32F-41A3-9DAB-BA832967DD1C}" name="Colonne12769"/>
    <tableColumn id="12778" xr3:uid="{A8A2C238-DD0B-4E48-9350-FF553813A087}" name="Colonne12770"/>
    <tableColumn id="12779" xr3:uid="{C12FA3CB-F4A7-4B0E-8FDF-2323D6106EB8}" name="Colonne12771"/>
    <tableColumn id="12780" xr3:uid="{668AC0CD-ABA6-4C72-9FC7-5F405E35431A}" name="Colonne12772"/>
    <tableColumn id="12781" xr3:uid="{B657B5D4-889A-49BE-8545-B6B388337E99}" name="Colonne12773"/>
    <tableColumn id="12782" xr3:uid="{784DFE08-54A0-4DD3-8BD8-0DC2D5603AB2}" name="Colonne12774"/>
    <tableColumn id="12783" xr3:uid="{3A8C80D6-8924-4AD7-808D-FA1E7DBD33F7}" name="Colonne12775"/>
    <tableColumn id="12784" xr3:uid="{250727D4-C2CB-42C8-8D66-723C1324FC46}" name="Colonne12776"/>
    <tableColumn id="12785" xr3:uid="{67B8E838-F601-4CC2-B2FB-91FD622592A9}" name="Colonne12777"/>
    <tableColumn id="12786" xr3:uid="{9737E5A3-6FA7-441F-8D4F-7B3BE9FDD013}" name="Colonne12778"/>
    <tableColumn id="12787" xr3:uid="{CE39878F-A485-454C-BBE2-39A238036BCF}" name="Colonne12779"/>
    <tableColumn id="12788" xr3:uid="{C37D33D0-4903-4D78-8B62-B8C17AB73783}" name="Colonne12780"/>
    <tableColumn id="12789" xr3:uid="{DC2E81D9-EFDD-4CBC-BE83-4E9251F9D399}" name="Colonne12781"/>
    <tableColumn id="12790" xr3:uid="{8DEDA67F-2ECB-4708-80C2-CCA82BF6BB25}" name="Colonne12782"/>
    <tableColumn id="12791" xr3:uid="{D2133AC4-D5EE-4889-8525-E5C43FDE77C8}" name="Colonne12783"/>
    <tableColumn id="12792" xr3:uid="{0212028D-0051-48A5-A624-9D3B99F373BD}" name="Colonne12784"/>
    <tableColumn id="12793" xr3:uid="{0A4593B5-7F43-43BD-BCE7-1ED85E3ADC4D}" name="Colonne12785"/>
    <tableColumn id="12794" xr3:uid="{0919C5FE-516D-4AF5-AA1C-C31DB9A114FE}" name="Colonne12786"/>
    <tableColumn id="12795" xr3:uid="{2315F638-64CF-4AF7-AAD8-9DB4AD5EBACB}" name="Colonne12787"/>
    <tableColumn id="12796" xr3:uid="{4613E0CA-B802-4391-9369-C08CA8661A77}" name="Colonne12788"/>
    <tableColumn id="12797" xr3:uid="{EA7C4648-1D99-471A-A715-5D0B19E65D59}" name="Colonne12789"/>
    <tableColumn id="12798" xr3:uid="{A0625948-0733-412B-BABE-297BCF6646F0}" name="Colonne12790"/>
    <tableColumn id="12799" xr3:uid="{55010F90-6ED7-4B3B-9EEA-6742AE619399}" name="Colonne12791"/>
    <tableColumn id="12800" xr3:uid="{F69EB2D6-B315-4C2F-96AC-2318D0D783D1}" name="Colonne12792"/>
    <tableColumn id="12801" xr3:uid="{AF29331B-A693-408E-A6A8-CE985403D497}" name="Colonne12793"/>
    <tableColumn id="12802" xr3:uid="{4B651E85-F655-4E1C-84F5-556F1F2D232E}" name="Colonne12794"/>
    <tableColumn id="12803" xr3:uid="{D6EE9573-8F3D-4D01-BCA7-A1DBFBD890B1}" name="Colonne12795"/>
    <tableColumn id="12804" xr3:uid="{D87FF90B-E31E-4D06-8500-5617A03AC10B}" name="Colonne12796"/>
    <tableColumn id="12805" xr3:uid="{AAE43656-536E-4520-B5BB-BD0F4E35FBFA}" name="Colonne12797"/>
    <tableColumn id="12806" xr3:uid="{B155BCCB-F3E2-46A1-9841-3F0FADE34F8E}" name="Colonne12798"/>
    <tableColumn id="12807" xr3:uid="{67A84EFC-CF15-40F8-BF56-134FD64029A4}" name="Colonne12799"/>
    <tableColumn id="12808" xr3:uid="{9DFD572C-419F-4B23-9DBB-28A726467202}" name="Colonne12800"/>
    <tableColumn id="12809" xr3:uid="{26CF13E4-F57D-4950-89D6-999B64280117}" name="Colonne12801"/>
    <tableColumn id="12810" xr3:uid="{FD2F05F4-B74D-4C37-9FC6-26582C85E1A4}" name="Colonne12802"/>
    <tableColumn id="12811" xr3:uid="{6866C1B5-CFC5-4930-8A16-EA8097D06C7E}" name="Colonne12803"/>
    <tableColumn id="12812" xr3:uid="{93DFA8B4-BC2F-4D2B-AEC6-C21C5FC700B7}" name="Colonne12804"/>
    <tableColumn id="12813" xr3:uid="{29A7DB00-F2E5-4DB1-9303-700FD26C7D5F}" name="Colonne12805"/>
    <tableColumn id="12814" xr3:uid="{92FE9E2C-9A4C-4567-ACC6-0B6A9E1546E2}" name="Colonne12806"/>
    <tableColumn id="12815" xr3:uid="{8E414A9B-9AB4-4947-A728-604E16A02F5E}" name="Colonne12807"/>
    <tableColumn id="12816" xr3:uid="{AE377B8E-9101-4D6E-8062-4B0AD94DAD8B}" name="Colonne12808"/>
    <tableColumn id="12817" xr3:uid="{E656BC6D-8FBE-4B40-9EF3-C99C1FAF7D24}" name="Colonne12809"/>
    <tableColumn id="12818" xr3:uid="{B7F94E83-DC31-48FE-B2E3-3073520085E7}" name="Colonne12810"/>
    <tableColumn id="12819" xr3:uid="{43E2CF77-EC77-4784-9DA7-C082756AF96E}" name="Colonne12811"/>
    <tableColumn id="12820" xr3:uid="{873A983C-4401-467B-BF61-BDF0F2A59584}" name="Colonne12812"/>
    <tableColumn id="12821" xr3:uid="{3671B160-338E-42AC-AD97-56D02C2A3EE1}" name="Colonne12813"/>
    <tableColumn id="12822" xr3:uid="{65AB1024-1500-4E1E-97F6-0C6DAA3AF324}" name="Colonne12814"/>
    <tableColumn id="12823" xr3:uid="{238C8B54-FE86-4E79-B452-B39CC4121D42}" name="Colonne12815"/>
    <tableColumn id="12824" xr3:uid="{C4D196F6-EB32-4953-8878-69E75B9C3259}" name="Colonne12816"/>
    <tableColumn id="12825" xr3:uid="{B1DC6E74-77EF-437C-82BB-7CCCFA7C4BA7}" name="Colonne12817"/>
    <tableColumn id="12826" xr3:uid="{77830410-555C-474B-B9A1-0C7F499D66A2}" name="Colonne12818"/>
    <tableColumn id="12827" xr3:uid="{D2E82006-D5D2-42B2-9836-521F8C75ABC7}" name="Colonne12819"/>
    <tableColumn id="12828" xr3:uid="{2D3D85AD-3253-4E3C-AFAA-7545960FEE9E}" name="Colonne12820"/>
    <tableColumn id="12829" xr3:uid="{01A30E38-8E94-4F12-9162-8847B5776FB8}" name="Colonne12821"/>
    <tableColumn id="12830" xr3:uid="{2581D17A-78B5-486E-B1C2-5B70FD59568F}" name="Colonne12822"/>
    <tableColumn id="12831" xr3:uid="{129AE806-06D9-4069-BBD0-3BBCA15A7092}" name="Colonne12823"/>
    <tableColumn id="12832" xr3:uid="{B1B25224-0FCB-435C-81F9-976BCE22CC0B}" name="Colonne12824"/>
    <tableColumn id="12833" xr3:uid="{C9544A5D-7F6F-4AB8-A92B-41F7D0F297F2}" name="Colonne12825"/>
    <tableColumn id="12834" xr3:uid="{9154C265-D71A-48B8-91BB-BF985109EBB5}" name="Colonne12826"/>
    <tableColumn id="12835" xr3:uid="{C6E5E76C-13A4-448C-B10B-B8A51BDA2811}" name="Colonne12827"/>
    <tableColumn id="12836" xr3:uid="{B19724E7-015A-454E-A675-C8586488AE02}" name="Colonne12828"/>
    <tableColumn id="12837" xr3:uid="{78F9EA97-652A-4839-9B13-5B42E704882D}" name="Colonne12829"/>
    <tableColumn id="12838" xr3:uid="{7F8CEBA3-C822-451A-AC48-705D1FF3A520}" name="Colonne12830"/>
    <tableColumn id="12839" xr3:uid="{A07FB0B4-E523-4F0F-A76B-BDC493B8618F}" name="Colonne12831"/>
    <tableColumn id="12840" xr3:uid="{AACE2A54-C0D0-4474-BF8F-9230E1AD5CA2}" name="Colonne12832"/>
    <tableColumn id="12841" xr3:uid="{3919C6C0-A9F9-4AAA-99E4-A55CE8B83CB0}" name="Colonne12833"/>
    <tableColumn id="12842" xr3:uid="{DBAFC262-828F-40AB-A80B-A4B850BF6D96}" name="Colonne12834"/>
    <tableColumn id="12843" xr3:uid="{E14CD04D-F7AE-4AED-82DD-6F2F50D54A88}" name="Colonne12835"/>
    <tableColumn id="12844" xr3:uid="{08A761A8-0322-48C2-8401-A7355D85D5E0}" name="Colonne12836"/>
    <tableColumn id="12845" xr3:uid="{914F12DC-5A96-4D37-90C0-20559360BC98}" name="Colonne12837"/>
    <tableColumn id="12846" xr3:uid="{A89AD75D-23CD-40C9-9F17-1E10679C5E0A}" name="Colonne12838"/>
    <tableColumn id="12847" xr3:uid="{8BF7A3C3-7324-46C0-9C01-3F5EF70077F8}" name="Colonne12839"/>
    <tableColumn id="12848" xr3:uid="{F1721E3F-AD0D-4F19-AC5E-19E20D0EEC14}" name="Colonne12840"/>
    <tableColumn id="12849" xr3:uid="{AAA9F97E-ABA2-404B-8ADD-AAA398DD232D}" name="Colonne12841"/>
    <tableColumn id="12850" xr3:uid="{53C1EBAE-EE90-4205-888C-F6D5C1C7AB90}" name="Colonne12842"/>
    <tableColumn id="12851" xr3:uid="{4773C0EA-5701-4F71-9924-E5A5F29C6EAC}" name="Colonne12843"/>
    <tableColumn id="12852" xr3:uid="{006C7CFF-25A6-448B-96FB-BEB76EBF5EED}" name="Colonne12844"/>
    <tableColumn id="12853" xr3:uid="{9C5FBF48-653B-4510-9FEB-C2A77384468E}" name="Colonne12845"/>
    <tableColumn id="12854" xr3:uid="{C096B53F-4D7D-439E-81F8-FA57ADB9585A}" name="Colonne12846"/>
    <tableColumn id="12855" xr3:uid="{FFE7286A-A659-42A4-AB22-6CF82AA48C8E}" name="Colonne12847"/>
    <tableColumn id="12856" xr3:uid="{9451C83B-0FEC-405C-8402-818E39D22112}" name="Colonne12848"/>
    <tableColumn id="12857" xr3:uid="{AE9403C5-C808-4025-B963-F1C3EDDD8B7A}" name="Colonne12849"/>
    <tableColumn id="12858" xr3:uid="{85FAF296-F18C-4955-82DC-3FD7054D07F1}" name="Colonne12850"/>
    <tableColumn id="12859" xr3:uid="{5527388A-AD6B-431C-9F66-E8F26A9AA210}" name="Colonne12851"/>
    <tableColumn id="12860" xr3:uid="{67B7DD79-2994-4033-AA44-D613F21ACF5C}" name="Colonne12852"/>
    <tableColumn id="12861" xr3:uid="{1DB35BF0-003C-4789-9911-013CBF9BA095}" name="Colonne12853"/>
    <tableColumn id="12862" xr3:uid="{82C42B13-160E-4FB7-8EC5-A8A1E7823294}" name="Colonne12854"/>
    <tableColumn id="12863" xr3:uid="{FE3C576E-4F99-4032-AC8B-AEA3FF5EE72A}" name="Colonne12855"/>
    <tableColumn id="12864" xr3:uid="{162BEC2F-A528-477A-803B-C8F7C90252A7}" name="Colonne12856"/>
    <tableColumn id="12865" xr3:uid="{5606DB49-2A37-4371-9546-F457E2CBAFB8}" name="Colonne12857"/>
    <tableColumn id="12866" xr3:uid="{CBE27CB9-C9A7-4435-A6C6-D2D5611C0437}" name="Colonne12858"/>
    <tableColumn id="12867" xr3:uid="{33CC3C77-6F06-4705-8747-BBC8AEF9B414}" name="Colonne12859"/>
    <tableColumn id="12868" xr3:uid="{696FD6AE-DF65-4075-A936-5471F7E809B4}" name="Colonne12860"/>
    <tableColumn id="12869" xr3:uid="{8D8C60A3-D3D1-4167-B0D8-46226EF89F69}" name="Colonne12861"/>
    <tableColumn id="12870" xr3:uid="{70CB7062-C721-4275-A823-BE229D92CC5E}" name="Colonne12862"/>
    <tableColumn id="12871" xr3:uid="{DE958252-130E-4CF4-9AE6-13F0BD3B85ED}" name="Colonne12863"/>
    <tableColumn id="12872" xr3:uid="{F500A780-A8B7-4FE1-8EC9-FC5DF0D7CCD7}" name="Colonne12864"/>
    <tableColumn id="12873" xr3:uid="{006A26A7-6B88-4AE6-81F0-9311389C9D6B}" name="Colonne12865"/>
    <tableColumn id="12874" xr3:uid="{517C7684-27AC-4006-9016-179D7DF9C243}" name="Colonne12866"/>
    <tableColumn id="12875" xr3:uid="{EB1FA18F-793C-401E-A924-133CA5676396}" name="Colonne12867"/>
    <tableColumn id="12876" xr3:uid="{6269F2AE-8105-44DC-AFCE-7032B1AE018F}" name="Colonne12868"/>
    <tableColumn id="12877" xr3:uid="{19B2C0E9-2315-4CA8-9041-0E0AE0327349}" name="Colonne12869"/>
    <tableColumn id="12878" xr3:uid="{63879C62-270B-48BA-B4B8-DE3E1672BA6B}" name="Colonne12870"/>
    <tableColumn id="12879" xr3:uid="{2A183507-3DF6-4BD0-8D83-C8F71121A8D6}" name="Colonne12871"/>
    <tableColumn id="12880" xr3:uid="{E16D4E7C-6500-4348-9E92-8E755F54642B}" name="Colonne12872"/>
    <tableColumn id="12881" xr3:uid="{CB8680BB-A98A-452D-953D-40ECC56AE999}" name="Colonne12873"/>
    <tableColumn id="12882" xr3:uid="{17EAC1E2-053D-4077-A149-B4ED57DB06C9}" name="Colonne12874"/>
    <tableColumn id="12883" xr3:uid="{F301C62C-4ECD-4443-A11E-C853A3204142}" name="Colonne12875"/>
    <tableColumn id="12884" xr3:uid="{25E80A11-AE56-4B47-819F-3BB3C4808D5F}" name="Colonne12876"/>
    <tableColumn id="12885" xr3:uid="{06096586-01F0-490C-9C3E-7F9ECFCF1B7B}" name="Colonne12877"/>
    <tableColumn id="12886" xr3:uid="{CF87742D-498E-4A41-A49C-DB5D6E726FF5}" name="Colonne12878"/>
    <tableColumn id="12887" xr3:uid="{35A5E823-0441-4DAF-A277-8A55CED18082}" name="Colonne12879"/>
    <tableColumn id="12888" xr3:uid="{2FFE257E-B7D0-44B9-8177-729B4D4237FE}" name="Colonne12880"/>
    <tableColumn id="12889" xr3:uid="{0AB4693B-AF48-4785-B4A5-118037FE339B}" name="Colonne12881"/>
    <tableColumn id="12890" xr3:uid="{9920B6C3-6502-4C60-8DE8-58EE6F3B5F80}" name="Colonne12882"/>
    <tableColumn id="12891" xr3:uid="{A0F659F9-2BE3-4D21-A6DB-63357C6954CA}" name="Colonne12883"/>
    <tableColumn id="12892" xr3:uid="{8C73EE11-79B1-42DD-9748-47E6FBBD202D}" name="Colonne12884"/>
    <tableColumn id="12893" xr3:uid="{BB4255AF-745C-4E20-B8F4-E2EF385F09A1}" name="Colonne12885"/>
    <tableColumn id="12894" xr3:uid="{B44FD40B-9CE4-4512-98D2-9851E6CE2E13}" name="Colonne12886"/>
    <tableColumn id="12895" xr3:uid="{8C43FEE2-1D61-47D5-A853-B9711DD359ED}" name="Colonne12887"/>
    <tableColumn id="12896" xr3:uid="{EF20B8CE-F280-4CFF-A24A-755075806518}" name="Colonne12888"/>
    <tableColumn id="12897" xr3:uid="{5D450746-8854-4160-87FB-C5940CE3A78D}" name="Colonne12889"/>
    <tableColumn id="12898" xr3:uid="{50EB9229-4293-4421-9FA9-47DBD1BA8C89}" name="Colonne12890"/>
    <tableColumn id="12899" xr3:uid="{2ED87DEB-2B56-41D9-9B85-7AF022EE1614}" name="Colonne12891"/>
    <tableColumn id="12900" xr3:uid="{A78D10DF-EE8A-41B4-A975-933C9C9735D7}" name="Colonne12892"/>
    <tableColumn id="12901" xr3:uid="{BC3EF4C7-D8F4-4220-9619-7F180574EC78}" name="Colonne12893"/>
    <tableColumn id="12902" xr3:uid="{099E49B4-80F5-4C7F-8937-2290DD7F174D}" name="Colonne12894"/>
    <tableColumn id="12903" xr3:uid="{784684CE-72D7-48D6-BD63-9C6A166301DE}" name="Colonne12895"/>
    <tableColumn id="12904" xr3:uid="{1DE1B997-E8FB-408D-B7D5-5590443971F8}" name="Colonne12896"/>
    <tableColumn id="12905" xr3:uid="{CF24A067-222D-4EEA-AB04-4607EE3646BA}" name="Colonne12897"/>
    <tableColumn id="12906" xr3:uid="{C8F7D313-FF88-402C-AF88-360A6EBF917C}" name="Colonne12898"/>
    <tableColumn id="12907" xr3:uid="{53A98895-E40E-49C7-B99F-41A0490AD9EE}" name="Colonne12899"/>
    <tableColumn id="12908" xr3:uid="{8AC8E50F-D1AB-4464-ABF1-B6110FD85033}" name="Colonne12900"/>
    <tableColumn id="12909" xr3:uid="{B65A1CDC-518D-438E-98E5-F6878C9C87C3}" name="Colonne12901"/>
    <tableColumn id="12910" xr3:uid="{C3B20BC3-9064-4C8B-B83C-C9F67105F0FB}" name="Colonne12902"/>
    <tableColumn id="12911" xr3:uid="{E6ABE030-EEC0-4983-8124-F99FEF4463C5}" name="Colonne12903"/>
    <tableColumn id="12912" xr3:uid="{E626AF89-4BB8-4C28-A1A3-35223EAF4E05}" name="Colonne12904"/>
    <tableColumn id="12913" xr3:uid="{AFC42575-C328-40CE-9DF2-BE98D6092F2E}" name="Colonne12905"/>
    <tableColumn id="12914" xr3:uid="{CC0EBC6A-7BB7-4458-85F2-70659D6A16B4}" name="Colonne12906"/>
    <tableColumn id="12915" xr3:uid="{3BEDD5E4-2FC9-4AA4-BFC1-0880A6DAB3E9}" name="Colonne12907"/>
    <tableColumn id="12916" xr3:uid="{08FF5C8B-9698-4FFF-A736-2B9E72EEB566}" name="Colonne12908"/>
    <tableColumn id="12917" xr3:uid="{AA825281-2637-4B10-9B26-2A66693155F9}" name="Colonne12909"/>
    <tableColumn id="12918" xr3:uid="{156DDDC1-3AA0-44BA-8740-B920A148FFFE}" name="Colonne12910"/>
    <tableColumn id="12919" xr3:uid="{302D878B-8E8D-42C1-86FB-DE01F790DBF9}" name="Colonne12911"/>
    <tableColumn id="12920" xr3:uid="{730C9558-DA1D-4E9C-8B55-0D7BBB67642C}" name="Colonne12912"/>
    <tableColumn id="12921" xr3:uid="{10794D9D-769D-47A2-8421-C8F0E2BF712B}" name="Colonne12913"/>
    <tableColumn id="12922" xr3:uid="{BF20BF78-1D2E-45BF-901B-0FBCEDA5686F}" name="Colonne12914"/>
    <tableColumn id="12923" xr3:uid="{510FABC1-441F-49CE-87F7-A18CF8479C0D}" name="Colonne12915"/>
    <tableColumn id="12924" xr3:uid="{BD45648E-9EF8-4765-92B4-7C98B96B13F0}" name="Colonne12916"/>
    <tableColumn id="12925" xr3:uid="{8E7A5C68-3484-4EBF-AB11-843F573C3DA0}" name="Colonne12917"/>
    <tableColumn id="12926" xr3:uid="{E9B55C9A-4492-462F-9028-417041C3C0AA}" name="Colonne12918"/>
    <tableColumn id="12927" xr3:uid="{F8B0F933-F7B8-4E6E-A642-50AD4CEFC6BD}" name="Colonne12919"/>
    <tableColumn id="12928" xr3:uid="{5984E4DC-0BE1-4530-80B5-AF4A4D0F6EC1}" name="Colonne12920"/>
    <tableColumn id="12929" xr3:uid="{57A6E9A7-0450-46A0-8DF1-04D57E843929}" name="Colonne12921"/>
    <tableColumn id="12930" xr3:uid="{77FB6DF0-5AB9-411D-A8D7-D0C505C116C9}" name="Colonne12922"/>
    <tableColumn id="12931" xr3:uid="{8905EE52-3A0E-4F57-BCB5-E5B518FBCD6F}" name="Colonne12923"/>
    <tableColumn id="12932" xr3:uid="{53A5742A-01C0-40A8-90C4-CDF2CEF2DFE9}" name="Colonne12924"/>
    <tableColumn id="12933" xr3:uid="{D18AF271-4A37-4699-B418-BBDA2252C9DF}" name="Colonne12925"/>
    <tableColumn id="12934" xr3:uid="{61AE2002-18E5-4575-B332-DF9CD22A163F}" name="Colonne12926"/>
    <tableColumn id="12935" xr3:uid="{0E351F98-952F-40A9-B01C-330FFDD33827}" name="Colonne12927"/>
    <tableColumn id="12936" xr3:uid="{ECAAFB21-4218-47E4-9B47-8FE9DF6D7ED4}" name="Colonne12928"/>
    <tableColumn id="12937" xr3:uid="{81E523B3-4550-4279-B2DC-61CBE019DCCF}" name="Colonne12929"/>
    <tableColumn id="12938" xr3:uid="{5DC3FFCA-0A04-4BD4-ADBC-F1300A76FE7B}" name="Colonne12930"/>
    <tableColumn id="12939" xr3:uid="{5D51F4A6-D557-43F7-AA68-02F6747B030F}" name="Colonne12931"/>
    <tableColumn id="12940" xr3:uid="{816A5FEE-38FB-48C0-A99E-E8A72F9C201E}" name="Colonne12932"/>
    <tableColumn id="12941" xr3:uid="{9B11F91B-54C0-40D5-9407-50EB24129212}" name="Colonne12933"/>
    <tableColumn id="12942" xr3:uid="{4284780A-358E-4793-AB5E-E352D247E837}" name="Colonne12934"/>
    <tableColumn id="12943" xr3:uid="{A1ECAE31-B102-46BC-AFC7-BA93EC4FC091}" name="Colonne12935"/>
    <tableColumn id="12944" xr3:uid="{7D93E9B4-BBA8-48B1-9D17-EA08F8A69AD7}" name="Colonne12936"/>
    <tableColumn id="12945" xr3:uid="{28B3CC02-AC37-43A4-A63A-50DF08DE5620}" name="Colonne12937"/>
    <tableColumn id="12946" xr3:uid="{DCE5A658-8F1A-4717-8C34-C66052B4C0DF}" name="Colonne12938"/>
    <tableColumn id="12947" xr3:uid="{81C59FED-A470-4451-9BBF-BA2DE925B30D}" name="Colonne12939"/>
    <tableColumn id="12948" xr3:uid="{7EB4FDA1-DC61-4E5D-BB15-8BF41D93E2E4}" name="Colonne12940"/>
    <tableColumn id="12949" xr3:uid="{51752370-EB1F-4DED-B118-201BADCBA626}" name="Colonne12941"/>
    <tableColumn id="12950" xr3:uid="{5C9020ED-627A-47A8-B386-4009D43A83C3}" name="Colonne12942"/>
    <tableColumn id="12951" xr3:uid="{7015056B-1EF8-4E12-BFE4-9C29187AD5DD}" name="Colonne12943"/>
    <tableColumn id="12952" xr3:uid="{A78BB93A-F981-40AE-A918-ED25EAD9ACC7}" name="Colonne12944"/>
    <tableColumn id="12953" xr3:uid="{3591D85A-8DCD-4F89-BA1E-4057FDFE65F0}" name="Colonne12945"/>
    <tableColumn id="12954" xr3:uid="{125503D8-C21D-4657-9DB8-9BEB07071003}" name="Colonne12946"/>
    <tableColumn id="12955" xr3:uid="{2346861A-865A-4A5B-8F63-792AE27B06E2}" name="Colonne12947"/>
    <tableColumn id="12956" xr3:uid="{871DDAC5-8FDF-433C-8DD5-ABF27B1543CE}" name="Colonne12948"/>
    <tableColumn id="12957" xr3:uid="{549E41DB-6A2B-43AD-8CC0-0C6517BDD5A7}" name="Colonne12949"/>
    <tableColumn id="12958" xr3:uid="{4C137BEB-F28B-44D4-AB86-76EC939C1F3C}" name="Colonne12950"/>
    <tableColumn id="12959" xr3:uid="{A80E1C5E-28FF-4216-81CB-8FCA833AC69B}" name="Colonne12951"/>
    <tableColumn id="12960" xr3:uid="{DDAF6829-81F5-4F68-B524-C756B925716C}" name="Colonne12952"/>
    <tableColumn id="12961" xr3:uid="{EA96575C-D4D1-4B80-BAD6-18A20B367514}" name="Colonne12953"/>
    <tableColumn id="12962" xr3:uid="{18FD317A-A564-4630-AD66-666CE5E6609F}" name="Colonne12954"/>
    <tableColumn id="12963" xr3:uid="{55B07CE6-69AD-473E-AA9E-049B95A7D489}" name="Colonne12955"/>
    <tableColumn id="12964" xr3:uid="{9735BB73-A6A1-4152-AF0C-62C39B83AC96}" name="Colonne12956"/>
    <tableColumn id="12965" xr3:uid="{939AA418-4E30-4CFA-8DE8-F3E6076D2C8A}" name="Colonne12957"/>
    <tableColumn id="12966" xr3:uid="{54753B82-8A72-4FA6-9845-B9C8E5BBA84E}" name="Colonne12958"/>
    <tableColumn id="12967" xr3:uid="{02B841DA-3A91-4890-893B-880544BDB345}" name="Colonne12959"/>
    <tableColumn id="12968" xr3:uid="{B3D8A46D-88C3-4744-860C-236B0E876A5C}" name="Colonne12960"/>
    <tableColumn id="12969" xr3:uid="{CC9A3D1D-C43D-4D4F-BFD7-53FEADC5CEEA}" name="Colonne12961"/>
    <tableColumn id="12970" xr3:uid="{8AF89995-FD6C-45BB-94F4-17D71A3F5063}" name="Colonne12962"/>
    <tableColumn id="12971" xr3:uid="{7FD48105-5E51-414A-BB53-AF027A8BD72E}" name="Colonne12963"/>
    <tableColumn id="12972" xr3:uid="{D4AF40F3-622E-41FC-9B38-0285BC09AEF7}" name="Colonne12964"/>
    <tableColumn id="12973" xr3:uid="{B8FB2B17-689D-491A-9D2F-8F460723D5E4}" name="Colonne12965"/>
    <tableColumn id="12974" xr3:uid="{E4317C15-681A-4D64-8762-93241625BBA0}" name="Colonne12966"/>
    <tableColumn id="12975" xr3:uid="{83172156-F3B4-4888-985E-7B01C84FA8A9}" name="Colonne12967"/>
    <tableColumn id="12976" xr3:uid="{8DB5A651-90E8-4CE2-AB4B-B5C183C5E464}" name="Colonne12968"/>
    <tableColumn id="12977" xr3:uid="{EEA95801-D7D8-4504-BC8A-713C17EF1975}" name="Colonne12969"/>
    <tableColumn id="12978" xr3:uid="{A3FA7C71-5CE9-4DB2-8EAD-EB54AD657897}" name="Colonne12970"/>
    <tableColumn id="12979" xr3:uid="{B1DDD05D-1847-420D-B6D6-D055062B9FC2}" name="Colonne12971"/>
    <tableColumn id="12980" xr3:uid="{8414EC25-2336-4724-A820-411D337C4000}" name="Colonne12972"/>
    <tableColumn id="12981" xr3:uid="{3E8981F9-06FF-46B9-8B8A-314DBA762F96}" name="Colonne12973"/>
    <tableColumn id="12982" xr3:uid="{6261A2B4-1460-4BD4-BAE4-078F71702FC5}" name="Colonne12974"/>
    <tableColumn id="12983" xr3:uid="{0EBEB222-2B84-4F50-BAF2-158C90053EE7}" name="Colonne12975"/>
    <tableColumn id="12984" xr3:uid="{BA334A6B-CD3E-4BCA-B40B-5594BEE75115}" name="Colonne12976"/>
    <tableColumn id="12985" xr3:uid="{4A1F735D-0090-462A-AEC7-28CEECE1C021}" name="Colonne12977"/>
    <tableColumn id="12986" xr3:uid="{03CD8500-3F03-498B-BE98-E7BEB6E3E5DA}" name="Colonne12978"/>
    <tableColumn id="12987" xr3:uid="{B526C4A9-B922-4065-8438-393B452B3982}" name="Colonne12979"/>
    <tableColumn id="12988" xr3:uid="{BA76B121-49C2-4CA7-9C06-16BCC6836694}" name="Colonne12980"/>
    <tableColumn id="12989" xr3:uid="{0DDA0579-497E-47C8-AF6A-8482672728D2}" name="Colonne12981"/>
    <tableColumn id="12990" xr3:uid="{9D65FBD2-2B25-433A-A567-AFCFE235478D}" name="Colonne12982"/>
    <tableColumn id="12991" xr3:uid="{85A5896A-ABE3-4BDA-A0F7-DE7461A2E92A}" name="Colonne12983"/>
    <tableColumn id="12992" xr3:uid="{BF232C68-496C-4E45-8439-214A4E1FD1D5}" name="Colonne12984"/>
    <tableColumn id="12993" xr3:uid="{D2BF34C5-58E6-4AC6-AD90-66D80D89D07D}" name="Colonne12985"/>
    <tableColumn id="12994" xr3:uid="{A2680351-B401-4D87-B01B-68B38E6E2B68}" name="Colonne12986"/>
    <tableColumn id="12995" xr3:uid="{23508EA3-895C-4D12-AAB8-BAA3E67922AB}" name="Colonne12987"/>
    <tableColumn id="12996" xr3:uid="{A441DBB0-42F9-4DDA-A79A-2791FE777ED5}" name="Colonne12988"/>
    <tableColumn id="12997" xr3:uid="{5F315897-30AD-43DD-AD69-9D0E107D38E1}" name="Colonne12989"/>
    <tableColumn id="12998" xr3:uid="{747EB16D-EEFD-4B29-BA14-1B48B0FF695A}" name="Colonne12990"/>
    <tableColumn id="12999" xr3:uid="{7EA41968-8CBA-4633-80BB-37D442618A82}" name="Colonne12991"/>
    <tableColumn id="13000" xr3:uid="{7F17D439-1937-4A68-A7A1-96633C91878F}" name="Colonne12992"/>
    <tableColumn id="13001" xr3:uid="{8F4E01F7-4AED-4B61-8BE7-BDB51A269FCE}" name="Colonne12993"/>
    <tableColumn id="13002" xr3:uid="{A78E1682-2146-4E53-8D50-10106D67F660}" name="Colonne12994"/>
    <tableColumn id="13003" xr3:uid="{2ED7C5B9-38CB-4310-ACB4-EE16BBB51522}" name="Colonne12995"/>
    <tableColumn id="13004" xr3:uid="{0AED4F0D-B357-4463-B831-3596789668C1}" name="Colonne12996"/>
    <tableColumn id="13005" xr3:uid="{D750556B-1F40-416A-831B-A8B1AA795492}" name="Colonne12997"/>
    <tableColumn id="13006" xr3:uid="{FB182B52-BB5D-4355-8387-4E30A9F8C245}" name="Colonne12998"/>
    <tableColumn id="13007" xr3:uid="{2ACC0810-972B-4689-A6BA-3ACE90C93C90}" name="Colonne12999"/>
    <tableColumn id="13008" xr3:uid="{FCE062F5-4853-4015-9459-821756457DA0}" name="Colonne13000"/>
    <tableColumn id="13009" xr3:uid="{5C6CF33A-FF7C-404E-B0F8-CE2A39C32A8C}" name="Colonne13001"/>
    <tableColumn id="13010" xr3:uid="{0D8A5D9A-0861-4662-96F0-C492C96781F5}" name="Colonne13002"/>
    <tableColumn id="13011" xr3:uid="{75270A17-84D5-4287-8391-21167E9FA1AC}" name="Colonne13003"/>
    <tableColumn id="13012" xr3:uid="{CA3BF19D-9519-4740-A364-DEA6D245E3B3}" name="Colonne13004"/>
    <tableColumn id="13013" xr3:uid="{963B3C63-A604-4124-8F61-392897A526DD}" name="Colonne13005"/>
    <tableColumn id="13014" xr3:uid="{D21B0574-A120-4379-8532-ED1B7A9EF280}" name="Colonne13006"/>
    <tableColumn id="13015" xr3:uid="{234BDA93-21A7-4121-87FD-59F140C38584}" name="Colonne13007"/>
    <tableColumn id="13016" xr3:uid="{BE6581C9-5F71-44A3-B6E0-6C73251D00D0}" name="Colonne13008"/>
    <tableColumn id="13017" xr3:uid="{0FB09DF1-5498-47DD-AD6D-AB971548846E}" name="Colonne13009"/>
    <tableColumn id="13018" xr3:uid="{95E27616-6070-4D3B-BDA4-57B477966574}" name="Colonne13010"/>
    <tableColumn id="13019" xr3:uid="{33DCE08C-44A2-4BBE-969E-CB5CE7C7B404}" name="Colonne13011"/>
    <tableColumn id="13020" xr3:uid="{0D3B7406-DD49-493C-95E5-78069E9339FC}" name="Colonne13012"/>
    <tableColumn id="13021" xr3:uid="{BBE3CF86-7FEC-45D5-816B-A30803DABE2F}" name="Colonne13013"/>
    <tableColumn id="13022" xr3:uid="{B807EF74-0FF7-4BB7-A5C5-371F1F3EFB63}" name="Colonne13014"/>
    <tableColumn id="13023" xr3:uid="{99CC638E-2201-42AD-8E15-D6DF1F7B8D1C}" name="Colonne13015"/>
    <tableColumn id="13024" xr3:uid="{DA7F2ADF-29A1-4A8F-B525-B24897707B98}" name="Colonne13016"/>
    <tableColumn id="13025" xr3:uid="{35938F1F-2BCB-435A-8736-0B1DDB4D43A0}" name="Colonne13017"/>
    <tableColumn id="13026" xr3:uid="{9C3683B0-18C8-4A8E-988A-72088C8DBFAD}" name="Colonne13018"/>
    <tableColumn id="13027" xr3:uid="{96F64F84-65FC-430E-8E39-ED2FA8F28038}" name="Colonne13019"/>
    <tableColumn id="13028" xr3:uid="{C5765BD6-7A42-45BB-B77D-E868B6DE71B4}" name="Colonne13020"/>
    <tableColumn id="13029" xr3:uid="{33D631D8-286F-41C1-952D-446EC8A3BD7E}" name="Colonne13021"/>
    <tableColumn id="13030" xr3:uid="{9722CEF4-AFB3-49F7-BA52-4B11C52BD8EB}" name="Colonne13022"/>
    <tableColumn id="13031" xr3:uid="{E09C8808-8FFB-4750-94C2-B60E008D4F2D}" name="Colonne13023"/>
    <tableColumn id="13032" xr3:uid="{C1768A57-0C6C-4925-83B4-6FD932925B3D}" name="Colonne13024"/>
    <tableColumn id="13033" xr3:uid="{6CC0508D-0A44-42D0-99C7-81A5940729BC}" name="Colonne13025"/>
    <tableColumn id="13034" xr3:uid="{F5D247AD-8D56-440A-90F3-4C26DE3BE7D8}" name="Colonne13026"/>
    <tableColumn id="13035" xr3:uid="{BB678476-9026-4FB3-B9C5-2D6A0F300770}" name="Colonne13027"/>
    <tableColumn id="13036" xr3:uid="{9F70BEF6-7748-4CA1-83E2-F6C3EF9A64FF}" name="Colonne13028"/>
    <tableColumn id="13037" xr3:uid="{E94F8810-7A3E-409A-A476-1D4938B2D893}" name="Colonne13029"/>
    <tableColumn id="13038" xr3:uid="{0CE6A79F-4D96-4802-A10B-EA7878228851}" name="Colonne13030"/>
    <tableColumn id="13039" xr3:uid="{7F39BCAF-F420-49DE-B822-11DB2EC6111F}" name="Colonne13031"/>
    <tableColumn id="13040" xr3:uid="{3662A029-7DBF-4C7D-91ED-5FFE698795DB}" name="Colonne13032"/>
    <tableColumn id="13041" xr3:uid="{A824D0AB-F871-42EB-85AA-7BC037F17A5B}" name="Colonne13033"/>
    <tableColumn id="13042" xr3:uid="{EFC233B6-863F-48E2-8E47-3E61FD9F3BDF}" name="Colonne13034"/>
    <tableColumn id="13043" xr3:uid="{13452DC9-8FA4-433C-98D5-B31A1C9FE8F6}" name="Colonne13035"/>
    <tableColumn id="13044" xr3:uid="{FCB4AAEA-1E37-4B7F-B903-AE992DBA6519}" name="Colonne13036"/>
    <tableColumn id="13045" xr3:uid="{FD83E8BB-0F40-4965-9526-5EA40EC3C3A9}" name="Colonne13037"/>
    <tableColumn id="13046" xr3:uid="{243F90C9-9D91-4CEA-AF38-1F955BA932F0}" name="Colonne13038"/>
    <tableColumn id="13047" xr3:uid="{A979E39F-213B-43E1-9AA4-4F8DABE9DC42}" name="Colonne13039"/>
    <tableColumn id="13048" xr3:uid="{DE2207B1-4567-49EF-88E5-87014D989813}" name="Colonne13040"/>
    <tableColumn id="13049" xr3:uid="{6226F498-32D7-4539-931E-1ED02739B6C3}" name="Colonne13041"/>
    <tableColumn id="13050" xr3:uid="{3159AAF1-98D2-4CD4-813C-677CA71827C7}" name="Colonne13042"/>
    <tableColumn id="13051" xr3:uid="{B5F1E22A-B459-4A5B-9B31-D12CBCB1B92F}" name="Colonne13043"/>
    <tableColumn id="13052" xr3:uid="{508DFD9B-D808-4EAF-86C0-165AB155FC2F}" name="Colonne13044"/>
    <tableColumn id="13053" xr3:uid="{60672673-54CB-4292-BE79-25724E6A5195}" name="Colonne13045"/>
    <tableColumn id="13054" xr3:uid="{EA8134A5-AD8E-4B1D-B7A2-40BFC873BF0C}" name="Colonne13046"/>
    <tableColumn id="13055" xr3:uid="{743E2BF2-4B18-4089-B197-031BC1E6E36F}" name="Colonne13047"/>
    <tableColumn id="13056" xr3:uid="{24ACFFC1-7736-47BA-9199-2410FA08FD34}" name="Colonne13048"/>
    <tableColumn id="13057" xr3:uid="{A7772C48-82B7-4FC7-B72E-1545D2B19CF6}" name="Colonne13049"/>
    <tableColumn id="13058" xr3:uid="{0C989BC5-3E8D-432E-A56D-D5474179BCCD}" name="Colonne13050"/>
    <tableColumn id="13059" xr3:uid="{2DBDD85A-D49D-45E4-B937-327AD876B2C4}" name="Colonne13051"/>
    <tableColumn id="13060" xr3:uid="{7C7D0948-BFC1-42B5-BB16-4048DF25A54C}" name="Colonne13052"/>
    <tableColumn id="13061" xr3:uid="{5FD7E322-C30E-4CE6-A2E1-6C56F9B8FF64}" name="Colonne13053"/>
    <tableColumn id="13062" xr3:uid="{26525EFD-891A-4EA4-ABBC-5B2E136CC8AC}" name="Colonne13054"/>
    <tableColumn id="13063" xr3:uid="{015D247E-3460-429C-9EDB-6940017943D2}" name="Colonne13055"/>
    <tableColumn id="13064" xr3:uid="{ADFACD99-EA49-4CCA-90DD-1EFF24BEC5E8}" name="Colonne13056"/>
    <tableColumn id="13065" xr3:uid="{E70E7B84-E5A2-4709-A693-4E180B7B7367}" name="Colonne13057"/>
    <tableColumn id="13066" xr3:uid="{650B3F13-894E-4285-B66A-0CFA2395E0B4}" name="Colonne13058"/>
    <tableColumn id="13067" xr3:uid="{44283EE5-A866-4D91-A66F-4B78DCC591F3}" name="Colonne13059"/>
    <tableColumn id="13068" xr3:uid="{CC9E722C-7B3E-49E4-A3FE-74ADA6F67421}" name="Colonne13060"/>
    <tableColumn id="13069" xr3:uid="{9116BC0D-B28E-419E-9F49-6B1D04E00506}" name="Colonne13061"/>
    <tableColumn id="13070" xr3:uid="{14B0EF17-DC2E-4813-8A79-47968E3D1E06}" name="Colonne13062"/>
    <tableColumn id="13071" xr3:uid="{0A7AF10D-B0F7-4635-A8BD-62254ACC5510}" name="Colonne13063"/>
    <tableColumn id="13072" xr3:uid="{36AC9B64-864C-4A41-ABC0-025D14224B8C}" name="Colonne13064"/>
    <tableColumn id="13073" xr3:uid="{4713D380-0936-4413-9C47-75E967C07E87}" name="Colonne13065"/>
    <tableColumn id="13074" xr3:uid="{7CA562BC-0DB1-4E84-9488-F936E47961C6}" name="Colonne13066"/>
    <tableColumn id="13075" xr3:uid="{333056EB-F70C-40FC-9474-89F1F2EEF035}" name="Colonne13067"/>
    <tableColumn id="13076" xr3:uid="{358178FA-E5C0-4213-99A0-2FBD7A984920}" name="Colonne13068"/>
    <tableColumn id="13077" xr3:uid="{D5E28CA0-BE9C-4672-A447-9BEEDA75D37E}" name="Colonne13069"/>
    <tableColumn id="13078" xr3:uid="{F7BBF77A-87BD-44D2-8F04-D52D0AB7984B}" name="Colonne13070"/>
    <tableColumn id="13079" xr3:uid="{8EF5280A-4DA5-48D9-A0E6-7906947E8155}" name="Colonne13071"/>
    <tableColumn id="13080" xr3:uid="{5DD54428-9E5E-46BE-AA78-7150687FDF8B}" name="Colonne13072"/>
    <tableColumn id="13081" xr3:uid="{3A3A66F0-1947-4B9C-A2F2-E59F3BD1F4AC}" name="Colonne13073"/>
    <tableColumn id="13082" xr3:uid="{C176EAA8-E279-4EB2-BB78-06A04F364B6D}" name="Colonne13074"/>
    <tableColumn id="13083" xr3:uid="{CA717C04-B36A-499A-B80D-8563DFAF86D7}" name="Colonne13075"/>
    <tableColumn id="13084" xr3:uid="{69B0012D-1685-46D0-BFF4-A947D84F7E0E}" name="Colonne13076"/>
    <tableColumn id="13085" xr3:uid="{DA14FE7B-1ED5-4725-AF49-D9E1658F641C}" name="Colonne13077"/>
    <tableColumn id="13086" xr3:uid="{C93EF8C5-E7C2-4A36-BDF9-A924800AEBD6}" name="Colonne13078"/>
    <tableColumn id="13087" xr3:uid="{D08B14F1-1913-42ED-9353-9917C42A7554}" name="Colonne13079"/>
    <tableColumn id="13088" xr3:uid="{A9268495-1EEF-4961-A79E-B2A12B1444DB}" name="Colonne13080"/>
    <tableColumn id="13089" xr3:uid="{8DE5E18B-C003-4E47-AD70-0A344F3E6248}" name="Colonne13081"/>
    <tableColumn id="13090" xr3:uid="{6AE72C18-6E53-40B5-A6CC-485DDA8818AE}" name="Colonne13082"/>
    <tableColumn id="13091" xr3:uid="{E618AFC1-BA16-4CCA-BD89-DD1E81F648A4}" name="Colonne13083"/>
    <tableColumn id="13092" xr3:uid="{BD116451-4304-4C7A-ABAD-1E88E6572BD4}" name="Colonne13084"/>
    <tableColumn id="13093" xr3:uid="{89893FAF-045C-4922-A59B-1752EF9370AF}" name="Colonne13085"/>
    <tableColumn id="13094" xr3:uid="{69CCDAB6-1E21-43BD-B31E-2D41E6721ABD}" name="Colonne13086"/>
    <tableColumn id="13095" xr3:uid="{6B8BA4CC-0412-4082-9334-A028320B7722}" name="Colonne13087"/>
    <tableColumn id="13096" xr3:uid="{D4A77E12-5ABD-4236-A1F1-C17B26C5368C}" name="Colonne13088"/>
    <tableColumn id="13097" xr3:uid="{188FF80F-9F26-45AB-A319-A489C585175B}" name="Colonne13089"/>
    <tableColumn id="13098" xr3:uid="{61938D39-D0CD-4548-97FC-2422467888BF}" name="Colonne13090"/>
    <tableColumn id="13099" xr3:uid="{BE7383CC-B39A-4F14-AAD1-7C26B1F3BE6A}" name="Colonne13091"/>
    <tableColumn id="13100" xr3:uid="{47BD995C-8B27-4A29-8924-0E42B2479C8B}" name="Colonne13092"/>
    <tableColumn id="13101" xr3:uid="{AF9A0C49-8102-4E21-88C7-E12FC6343EA2}" name="Colonne13093"/>
    <tableColumn id="13102" xr3:uid="{42BD2175-5950-4BDA-A78D-D821CB0B80E8}" name="Colonne13094"/>
    <tableColumn id="13103" xr3:uid="{2F5A668F-9175-4B06-952A-BC5B2093A9F0}" name="Colonne13095"/>
    <tableColumn id="13104" xr3:uid="{F653F81C-ADB4-4100-A30E-3452691E7DC1}" name="Colonne13096"/>
    <tableColumn id="13105" xr3:uid="{D9BA1272-1191-4E6D-B3CC-C45EB2E79688}" name="Colonne13097"/>
    <tableColumn id="13106" xr3:uid="{1DA39D8A-7DD2-46A9-BB64-5519224A5C6F}" name="Colonne13098"/>
    <tableColumn id="13107" xr3:uid="{4FDD8E9C-BB9A-456D-B1CB-6B585643B152}" name="Colonne13099"/>
    <tableColumn id="13108" xr3:uid="{F1C9D07E-DC3A-4560-AF90-565D940CBD33}" name="Colonne13100"/>
    <tableColumn id="13109" xr3:uid="{070C5BAE-48B1-4CB9-AFDF-82CFF9AEF049}" name="Colonne13101"/>
    <tableColumn id="13110" xr3:uid="{C5902341-06D7-43EE-8694-96A08D93B644}" name="Colonne13102"/>
    <tableColumn id="13111" xr3:uid="{2E441384-500B-4693-9CA1-2954B2F8868F}" name="Colonne13103"/>
    <tableColumn id="13112" xr3:uid="{E0CB21EA-CAFA-477A-A0F4-F4D27B431317}" name="Colonne13104"/>
    <tableColumn id="13113" xr3:uid="{769D5B68-A5BC-453D-96F1-84A861D9D2B7}" name="Colonne13105"/>
    <tableColumn id="13114" xr3:uid="{6B9707A4-4A1C-49AF-9ACA-F9FB81C8598D}" name="Colonne13106"/>
    <tableColumn id="13115" xr3:uid="{5B23C61A-21C8-4074-9264-83E3F4B6A12A}" name="Colonne13107"/>
    <tableColumn id="13116" xr3:uid="{4EBA8DE7-125D-4492-8F7B-0AD441EE2B6C}" name="Colonne13108"/>
    <tableColumn id="13117" xr3:uid="{E59335A6-075C-475E-A87C-C010764DBFF3}" name="Colonne13109"/>
    <tableColumn id="13118" xr3:uid="{15D0A481-6E9F-46E1-9122-85CF91CC8104}" name="Colonne13110"/>
    <tableColumn id="13119" xr3:uid="{A685843C-8DB0-4336-BC13-0CA00FC7EAAB}" name="Colonne13111"/>
    <tableColumn id="13120" xr3:uid="{54935ADD-EBEA-4C79-BAA3-CD6091619035}" name="Colonne13112"/>
    <tableColumn id="13121" xr3:uid="{8B710214-0664-4BD7-9D17-ECEE6C141431}" name="Colonne13113"/>
    <tableColumn id="13122" xr3:uid="{477B4626-D146-46FF-B186-22BBCC069FFC}" name="Colonne13114"/>
    <tableColumn id="13123" xr3:uid="{947CDD05-3688-4F34-86AE-53EC7172C58E}" name="Colonne13115"/>
    <tableColumn id="13124" xr3:uid="{01E36439-0059-4AB9-90AF-34C064DB8499}" name="Colonne13116"/>
    <tableColumn id="13125" xr3:uid="{5ED223FF-C2A2-40D0-BE4C-A02D1402E68A}" name="Colonne13117"/>
    <tableColumn id="13126" xr3:uid="{8C307AFE-31FC-43F6-81E8-07B6E4F70B58}" name="Colonne13118"/>
    <tableColumn id="13127" xr3:uid="{EFE75E41-5846-4DC5-B266-A8023A6BE13E}" name="Colonne13119"/>
    <tableColumn id="13128" xr3:uid="{7CD04DE2-6CEA-47F3-965B-8FF514D435DA}" name="Colonne13120"/>
    <tableColumn id="13129" xr3:uid="{6AC6921F-9B11-448D-B818-FE61339C54B1}" name="Colonne13121"/>
    <tableColumn id="13130" xr3:uid="{B080E03A-D7A5-465C-9DF8-EE65EF75D9C9}" name="Colonne13122"/>
    <tableColumn id="13131" xr3:uid="{1EA70CF6-DA7B-453E-8A58-CF714F9C2233}" name="Colonne13123"/>
    <tableColumn id="13132" xr3:uid="{BCEC16EA-D55A-41F9-915C-1A046DA94C9E}" name="Colonne13124"/>
    <tableColumn id="13133" xr3:uid="{0AE6B56C-BBBB-448F-9BB6-516CA1D4A151}" name="Colonne13125"/>
    <tableColumn id="13134" xr3:uid="{8A290F8B-E3F3-47DE-AA75-3437D513BFA1}" name="Colonne13126"/>
    <tableColumn id="13135" xr3:uid="{62EB9197-BE9F-4EAC-A098-3F622D4EEF5A}" name="Colonne13127"/>
    <tableColumn id="13136" xr3:uid="{197E6C5B-9DA4-40C4-AFEF-27E4BC56A771}" name="Colonne13128"/>
    <tableColumn id="13137" xr3:uid="{73224A69-E858-4828-8D80-9E1AC847BE2D}" name="Colonne13129"/>
    <tableColumn id="13138" xr3:uid="{1D4BBF2D-BDB7-44FD-81A8-FB21D8A70CEB}" name="Colonne13130"/>
    <tableColumn id="13139" xr3:uid="{928123A8-37B6-4616-B69F-9C1A5283208B}" name="Colonne13131"/>
    <tableColumn id="13140" xr3:uid="{C77C533B-D15F-4B0D-9407-D7891BE36362}" name="Colonne13132"/>
    <tableColumn id="13141" xr3:uid="{DF2B36E9-E546-4A46-AC27-0F978A623F16}" name="Colonne13133"/>
    <tableColumn id="13142" xr3:uid="{4408F61D-2DCC-4AAE-8233-C0959FA07050}" name="Colonne13134"/>
    <tableColumn id="13143" xr3:uid="{C42F5FD2-1423-48FB-ADEC-4B884B8BEE0A}" name="Colonne13135"/>
    <tableColumn id="13144" xr3:uid="{6275BA85-DA1D-4E69-AA03-DE6B7186D641}" name="Colonne13136"/>
    <tableColumn id="13145" xr3:uid="{DDEF706F-3B99-430D-B0BB-88717B9565C1}" name="Colonne13137"/>
    <tableColumn id="13146" xr3:uid="{6411E995-A90C-473A-B993-993824CF2159}" name="Colonne13138"/>
    <tableColumn id="13147" xr3:uid="{CFD07DE6-9A67-4BE3-ABF7-C0BCF714635C}" name="Colonne13139"/>
    <tableColumn id="13148" xr3:uid="{54CF270A-C7BE-447F-9545-41758B708CF6}" name="Colonne13140"/>
    <tableColumn id="13149" xr3:uid="{35CB37FB-3F27-4FC9-91FE-52CDF5BBA42A}" name="Colonne13141"/>
    <tableColumn id="13150" xr3:uid="{8BB42236-7467-44DD-87CD-DB317BE40C5E}" name="Colonne13142"/>
    <tableColumn id="13151" xr3:uid="{9DCB0317-E628-4320-B53D-C4BDB6E7BE1D}" name="Colonne13143"/>
    <tableColumn id="13152" xr3:uid="{34301CF1-1EFB-4582-9160-747258C027EA}" name="Colonne13144"/>
    <tableColumn id="13153" xr3:uid="{3E718DA1-A1F7-433C-870F-B244C5270453}" name="Colonne13145"/>
    <tableColumn id="13154" xr3:uid="{83648A7C-EE29-4E14-830A-CBCAD2D450D7}" name="Colonne13146"/>
    <tableColumn id="13155" xr3:uid="{B8250E69-2A10-4ECE-AF56-F00E67A06FBD}" name="Colonne13147"/>
    <tableColumn id="13156" xr3:uid="{D6CCBEA1-7BD1-47FC-96B0-8148F1BB52FA}" name="Colonne13148"/>
    <tableColumn id="13157" xr3:uid="{85B510FA-3D9F-4F96-B850-38C90FB5AB77}" name="Colonne13149"/>
    <tableColumn id="13158" xr3:uid="{3C77A1F5-E05C-47E3-8719-04364B980F4A}" name="Colonne13150"/>
    <tableColumn id="13159" xr3:uid="{55487E51-2A9B-4337-8CC8-6B1C52280F81}" name="Colonne13151"/>
    <tableColumn id="13160" xr3:uid="{6D664394-D85E-4DFE-98B6-68872170D0C8}" name="Colonne13152"/>
    <tableColumn id="13161" xr3:uid="{7DC92819-D6D0-4A8A-BF30-47F0960A34D9}" name="Colonne13153"/>
    <tableColumn id="13162" xr3:uid="{A1052DE8-7037-4DE6-8F44-8C2BBA1BC269}" name="Colonne13154"/>
    <tableColumn id="13163" xr3:uid="{5971355C-8E4C-4192-A5F0-6FF489B2D9BA}" name="Colonne13155"/>
    <tableColumn id="13164" xr3:uid="{32BB3586-6115-4B0C-BFE3-C5EFDF376E2D}" name="Colonne13156"/>
    <tableColumn id="13165" xr3:uid="{20106B43-6908-4BB8-9613-937303BC63A1}" name="Colonne13157"/>
    <tableColumn id="13166" xr3:uid="{CEC4D869-FABE-4489-96A1-58D4326FBB4A}" name="Colonne13158"/>
    <tableColumn id="13167" xr3:uid="{BDC0B693-8D6D-4F11-AB23-50029E7E3DDD}" name="Colonne13159"/>
    <tableColumn id="13168" xr3:uid="{33F27030-4CFE-4CD3-8B14-738131119F17}" name="Colonne13160"/>
    <tableColumn id="13169" xr3:uid="{1752853D-5282-4460-902B-082EEF423237}" name="Colonne13161"/>
    <tableColumn id="13170" xr3:uid="{3733196D-A0B9-4D74-A405-3F0BA728D410}" name="Colonne13162"/>
    <tableColumn id="13171" xr3:uid="{D80A41D0-0271-4F24-88FF-5575CF69D3FB}" name="Colonne13163"/>
    <tableColumn id="13172" xr3:uid="{785E0259-E1E5-4861-864C-A14AB7AC2CA7}" name="Colonne13164"/>
    <tableColumn id="13173" xr3:uid="{EAD75853-6E5F-43BB-90EB-4CAC45BE9C06}" name="Colonne13165"/>
    <tableColumn id="13174" xr3:uid="{60984413-0B7E-4F16-80FB-01093CEAF857}" name="Colonne13166"/>
    <tableColumn id="13175" xr3:uid="{E2A22BF0-D52B-437E-BC16-8B947579D9BB}" name="Colonne13167"/>
    <tableColumn id="13176" xr3:uid="{6762DACA-63D0-4B57-B1ED-EDE8C5989F34}" name="Colonne13168"/>
    <tableColumn id="13177" xr3:uid="{DD9CC461-8D69-4673-8A9D-050D55E8DC52}" name="Colonne13169"/>
    <tableColumn id="13178" xr3:uid="{8512408D-75B3-47BB-82D8-02D71F68AD63}" name="Colonne13170"/>
    <tableColumn id="13179" xr3:uid="{1C12FBC4-9A54-47D1-8231-4069E8B137BD}" name="Colonne13171"/>
    <tableColumn id="13180" xr3:uid="{D3D31453-7A5A-44CB-BC31-936B26D793E0}" name="Colonne13172"/>
    <tableColumn id="13181" xr3:uid="{3C562658-7D16-4732-9D7B-F197F67761A7}" name="Colonne13173"/>
    <tableColumn id="13182" xr3:uid="{F239B424-510B-41AC-9EBF-B3EA7F8BADB7}" name="Colonne13174"/>
    <tableColumn id="13183" xr3:uid="{CF424411-7009-4C31-9E4E-7E4F2413A8AF}" name="Colonne13175"/>
    <tableColumn id="13184" xr3:uid="{A57038FE-AA86-4706-836A-C85FA827D859}" name="Colonne13176"/>
    <tableColumn id="13185" xr3:uid="{6CB7780A-9201-4C39-91CC-61548829C096}" name="Colonne13177"/>
    <tableColumn id="13186" xr3:uid="{47E482BC-FF9B-4199-AD19-74855B21FD06}" name="Colonne13178"/>
    <tableColumn id="13187" xr3:uid="{5DB9922C-AB01-42A1-BAEE-71503D6D6C38}" name="Colonne13179"/>
    <tableColumn id="13188" xr3:uid="{F6656F83-9C20-440F-ABB7-AEBADB6BB0EC}" name="Colonne13180"/>
    <tableColumn id="13189" xr3:uid="{F3DC18C6-E074-4A78-992C-F774933E92FC}" name="Colonne13181"/>
    <tableColumn id="13190" xr3:uid="{70144C1E-2A92-42C0-8B13-4C55FB5A4913}" name="Colonne13182"/>
    <tableColumn id="13191" xr3:uid="{6C2E5C97-C28B-4568-BBE9-44E04265AADD}" name="Colonne13183"/>
    <tableColumn id="13192" xr3:uid="{28A26BE1-1F15-4AA1-8D73-CD11E79D631F}" name="Colonne13184"/>
    <tableColumn id="13193" xr3:uid="{F1EFE685-EDF2-4CAA-8106-25DDB83357AD}" name="Colonne13185"/>
    <tableColumn id="13194" xr3:uid="{D528A2D3-A0F5-4AB9-BC4A-0619B5DA4591}" name="Colonne13186"/>
    <tableColumn id="13195" xr3:uid="{6505D19D-E36C-4168-B1A0-C86551E3679F}" name="Colonne13187"/>
    <tableColumn id="13196" xr3:uid="{FFEED71D-E3DF-438B-BE3C-BE18A65CF5C1}" name="Colonne13188"/>
    <tableColumn id="13197" xr3:uid="{BD4D2BD5-FB68-4DAC-91FD-78B4F567B5E0}" name="Colonne13189"/>
    <tableColumn id="13198" xr3:uid="{48363C48-AED5-4F56-BC4B-2BBB51ABEA3E}" name="Colonne13190"/>
    <tableColumn id="13199" xr3:uid="{6CB4E3B4-161B-4F3E-9C1A-2ADAECA82E87}" name="Colonne13191"/>
    <tableColumn id="13200" xr3:uid="{B046078A-4862-44E5-A472-6FA54A934759}" name="Colonne13192"/>
    <tableColumn id="13201" xr3:uid="{90F0BB25-5881-4C73-A093-9A788A1067C2}" name="Colonne13193"/>
    <tableColumn id="13202" xr3:uid="{D438B769-6005-4A8C-89E6-AE84E4626EFB}" name="Colonne13194"/>
    <tableColumn id="13203" xr3:uid="{3902387D-0F28-40C0-942E-5FB9A225797F}" name="Colonne13195"/>
    <tableColumn id="13204" xr3:uid="{A2A3CAD6-6F46-4D87-8F25-672759B8899C}" name="Colonne13196"/>
    <tableColumn id="13205" xr3:uid="{E75F5672-8CBC-4AD9-8C5E-B358853FF90A}" name="Colonne13197"/>
    <tableColumn id="13206" xr3:uid="{C048AE59-4ABE-42E3-A45A-689DF1FE6F83}" name="Colonne13198"/>
    <tableColumn id="13207" xr3:uid="{94DF7D94-70BD-4A0B-A154-6BA9BB11290E}" name="Colonne13199"/>
    <tableColumn id="13208" xr3:uid="{EE1B8ABE-F216-4694-A885-F98F7227E983}" name="Colonne13200"/>
    <tableColumn id="13209" xr3:uid="{AF9FCDE3-0FB2-445E-9414-26F8B98E39BE}" name="Colonne13201"/>
    <tableColumn id="13210" xr3:uid="{55559AE2-4029-4AF3-A32F-7DF9F134355D}" name="Colonne13202"/>
    <tableColumn id="13211" xr3:uid="{82BFB65B-5722-448E-956E-829316013ED0}" name="Colonne13203"/>
    <tableColumn id="13212" xr3:uid="{C8863D7F-31ED-4DF8-9275-16DDD70C69E9}" name="Colonne13204"/>
    <tableColumn id="13213" xr3:uid="{83A33E33-DC21-4A1D-8BFA-F17D7EA1C38B}" name="Colonne13205"/>
    <tableColumn id="13214" xr3:uid="{AE863091-A751-48A0-AD85-5CC51097CEFC}" name="Colonne13206"/>
    <tableColumn id="13215" xr3:uid="{9628FF77-BB06-42CE-A95A-F7ED9AB4584F}" name="Colonne13207"/>
    <tableColumn id="13216" xr3:uid="{BA634711-5106-464A-BA0D-33C9EBB630B4}" name="Colonne13208"/>
    <tableColumn id="13217" xr3:uid="{A2122AD7-BD96-4B38-B6A3-DB265F0D50CD}" name="Colonne13209"/>
    <tableColumn id="13218" xr3:uid="{CF58DD6A-61E3-4514-9180-88ADC9B46463}" name="Colonne13210"/>
    <tableColumn id="13219" xr3:uid="{F0C3A5BD-87BC-4370-96C5-3E48EBC23D9E}" name="Colonne13211"/>
    <tableColumn id="13220" xr3:uid="{8E4777D6-5622-46A4-8571-559ECE0D2B26}" name="Colonne13212"/>
    <tableColumn id="13221" xr3:uid="{A08AE6E4-3812-4613-9E47-0E9155ADFA2F}" name="Colonne13213"/>
    <tableColumn id="13222" xr3:uid="{EBD086E9-6788-4D67-9A1F-1E8A355F2277}" name="Colonne13214"/>
    <tableColumn id="13223" xr3:uid="{332BA77F-FE0F-4C31-9461-DD734F36F8F4}" name="Colonne13215"/>
    <tableColumn id="13224" xr3:uid="{D0D69948-7482-4508-BEEC-BEE8185F3D03}" name="Colonne13216"/>
    <tableColumn id="13225" xr3:uid="{4E16C89B-F6A4-40B6-804A-28DD5173232E}" name="Colonne13217"/>
    <tableColumn id="13226" xr3:uid="{2D5E9107-1EA5-4A3C-A028-4F55A710A118}" name="Colonne13218"/>
    <tableColumn id="13227" xr3:uid="{BD978A52-2592-4455-8642-C5CF1C0C6DF5}" name="Colonne13219"/>
    <tableColumn id="13228" xr3:uid="{4DEA7C1B-5AD6-451D-A65F-D000EF0AAA5D}" name="Colonne13220"/>
    <tableColumn id="13229" xr3:uid="{88971FA5-2393-4EDA-AD53-B2D5A49986A9}" name="Colonne13221"/>
    <tableColumn id="13230" xr3:uid="{044713CD-5A09-476D-AC92-294884DA6CE5}" name="Colonne13222"/>
    <tableColumn id="13231" xr3:uid="{8E0DE1C6-2E56-4B0B-A13A-8532D4D1BC03}" name="Colonne13223"/>
    <tableColumn id="13232" xr3:uid="{4593F4A7-666F-40F1-A653-1B860806B007}" name="Colonne13224"/>
    <tableColumn id="13233" xr3:uid="{D697FC93-CECA-4CC8-B19F-7DEAEC11FECB}" name="Colonne13225"/>
    <tableColumn id="13234" xr3:uid="{E4D30F28-16E8-4A72-A3EC-080F18C6AEC4}" name="Colonne13226"/>
    <tableColumn id="13235" xr3:uid="{4B898F21-51D2-4624-8791-9013AFB68937}" name="Colonne13227"/>
    <tableColumn id="13236" xr3:uid="{EF92973D-923A-4828-BA89-3D662AC4E452}" name="Colonne13228"/>
    <tableColumn id="13237" xr3:uid="{2FF54BED-B2EE-4398-80C8-4D0CC4FEF479}" name="Colonne13229"/>
    <tableColumn id="13238" xr3:uid="{6E548AF8-849E-4464-9AAA-866BB77FF0C8}" name="Colonne13230"/>
    <tableColumn id="13239" xr3:uid="{756144D2-4BBE-4FDC-9BB0-33F3EA998CE4}" name="Colonne13231"/>
    <tableColumn id="13240" xr3:uid="{8412D11D-7508-46D4-8B23-88DDACE9991E}" name="Colonne13232"/>
    <tableColumn id="13241" xr3:uid="{430D22DF-A379-4C2F-8A59-740F6CD1B3C9}" name="Colonne13233"/>
    <tableColumn id="13242" xr3:uid="{CC998CFC-1B74-4BA0-B639-49E1A2BC79A6}" name="Colonne13234"/>
    <tableColumn id="13243" xr3:uid="{E7DD7917-C05D-4E1E-A00A-B759D2D37301}" name="Colonne13235"/>
    <tableColumn id="13244" xr3:uid="{216091BA-CE47-456E-8F14-3311375E1A17}" name="Colonne13236"/>
    <tableColumn id="13245" xr3:uid="{385CC11A-9A79-4A74-8237-0742B14227B5}" name="Colonne13237"/>
    <tableColumn id="13246" xr3:uid="{A4896261-F864-4DCA-9155-8AE560A452F2}" name="Colonne13238"/>
    <tableColumn id="13247" xr3:uid="{0211FA87-BC62-42C8-9AF9-1BA5290E0596}" name="Colonne13239"/>
    <tableColumn id="13248" xr3:uid="{F05DA15D-B701-4378-9A56-47B16C2CFEE7}" name="Colonne13240"/>
    <tableColumn id="13249" xr3:uid="{8A84857B-D578-4135-93F8-7D11628D7AD8}" name="Colonne13241"/>
    <tableColumn id="13250" xr3:uid="{2C1FD79B-B257-4A53-B170-537065508375}" name="Colonne13242"/>
    <tableColumn id="13251" xr3:uid="{D04B0D89-EF10-47F0-BAF1-F8B6A37E2DCD}" name="Colonne13243"/>
    <tableColumn id="13252" xr3:uid="{ADACDD3A-4BF0-43F3-A880-D1F080F39175}" name="Colonne13244"/>
    <tableColumn id="13253" xr3:uid="{19AB1AC8-5B86-49C7-BFD4-634E468C4876}" name="Colonne13245"/>
    <tableColumn id="13254" xr3:uid="{D0DA57D7-F33C-439C-83DE-0117C5611239}" name="Colonne13246"/>
    <tableColumn id="13255" xr3:uid="{78A2B173-5DE8-4F55-86A3-2E485068E67B}" name="Colonne13247"/>
    <tableColumn id="13256" xr3:uid="{4A862CAA-9564-460E-8BDE-DB000B7D1729}" name="Colonne13248"/>
    <tableColumn id="13257" xr3:uid="{3C0A39B9-6000-43D0-B5EF-A01936BCB3BD}" name="Colonne13249"/>
    <tableColumn id="13258" xr3:uid="{108F42C2-9E20-486E-81E2-BC56B4C005AA}" name="Colonne13250"/>
    <tableColumn id="13259" xr3:uid="{12778B2B-7D0D-4D89-ADE0-3A5A5646AB7C}" name="Colonne13251"/>
    <tableColumn id="13260" xr3:uid="{E7497B20-926B-48E2-80AF-FD757B283F72}" name="Colonne13252"/>
    <tableColumn id="13261" xr3:uid="{C0316B20-9966-40AD-9029-8C08E265B3C7}" name="Colonne13253"/>
    <tableColumn id="13262" xr3:uid="{D690993F-AAD1-48E6-ADF6-F774F72DACBF}" name="Colonne13254"/>
    <tableColumn id="13263" xr3:uid="{B144627B-C94C-4387-ADBE-285DE95C4D9E}" name="Colonne13255"/>
    <tableColumn id="13264" xr3:uid="{AD583372-8217-4D51-A0C7-D2B921C2ACD0}" name="Colonne13256"/>
    <tableColumn id="13265" xr3:uid="{96B1133E-44D8-4697-B29A-3AB8B7FA4871}" name="Colonne13257"/>
    <tableColumn id="13266" xr3:uid="{06CF9877-0A98-414E-85A0-469EE34F94E1}" name="Colonne13258"/>
    <tableColumn id="13267" xr3:uid="{6142DDE5-85BF-40A8-9335-53AB5339366A}" name="Colonne13259"/>
    <tableColumn id="13268" xr3:uid="{658AED85-3644-42DD-9BA3-74EEBB213129}" name="Colonne13260"/>
    <tableColumn id="13269" xr3:uid="{1335B910-6717-4638-A6C6-36759A330552}" name="Colonne13261"/>
    <tableColumn id="13270" xr3:uid="{741816BB-B424-4AC6-84EB-63BEF72FA3BF}" name="Colonne13262"/>
    <tableColumn id="13271" xr3:uid="{124E71A1-6908-4287-93F3-FFD4FC68AF7E}" name="Colonne13263"/>
    <tableColumn id="13272" xr3:uid="{83D92E89-31BC-4FBA-BCF8-61668EF6233E}" name="Colonne13264"/>
    <tableColumn id="13273" xr3:uid="{085C6CD0-CBC1-4F8B-A814-60F95EE58713}" name="Colonne13265"/>
    <tableColumn id="13274" xr3:uid="{AF859248-F06C-4541-AA58-C3C2E845AAEA}" name="Colonne13266"/>
    <tableColumn id="13275" xr3:uid="{3DF54845-EF44-4E4A-989C-BBD867A13884}" name="Colonne13267"/>
    <tableColumn id="13276" xr3:uid="{FD6A16B1-9CE9-4443-91EF-B3AF5A98EF81}" name="Colonne13268"/>
    <tableColumn id="13277" xr3:uid="{9F219351-14D7-4DA8-BE3C-223DEED8C603}" name="Colonne13269"/>
    <tableColumn id="13278" xr3:uid="{94E4E961-D1FA-4B99-9FED-B3B6A8DCFDCB}" name="Colonne13270"/>
    <tableColumn id="13279" xr3:uid="{223B43A1-16B7-471C-9D6F-F44CB86D9483}" name="Colonne13271"/>
    <tableColumn id="13280" xr3:uid="{25743AFC-42BE-4181-B199-D4F35F2B94C6}" name="Colonne13272"/>
    <tableColumn id="13281" xr3:uid="{97722702-240D-4ECB-ACB2-2AE8E834786E}" name="Colonne13273"/>
    <tableColumn id="13282" xr3:uid="{27A0D7D8-6781-41F4-BBE2-C410C50DBD1D}" name="Colonne13274"/>
    <tableColumn id="13283" xr3:uid="{CF131B79-B3AA-4DA8-BF0C-4513E7BBC779}" name="Colonne13275"/>
    <tableColumn id="13284" xr3:uid="{40FA5A48-D169-4403-B432-8BE1E9D0B1EA}" name="Colonne13276"/>
    <tableColumn id="13285" xr3:uid="{F1661CC1-0F37-4B62-954C-577F87C604D6}" name="Colonne13277"/>
    <tableColumn id="13286" xr3:uid="{08089896-5017-4222-B7CF-E34AC0772401}" name="Colonne13278"/>
    <tableColumn id="13287" xr3:uid="{4DF81ED3-7C5D-4FFB-8E39-27671216FBFD}" name="Colonne13279"/>
    <tableColumn id="13288" xr3:uid="{30D12A85-CEFE-4238-BFEE-8E26E0BF4720}" name="Colonne13280"/>
    <tableColumn id="13289" xr3:uid="{6988E592-A8A0-4E74-9CFC-2A26172A6640}" name="Colonne13281"/>
    <tableColumn id="13290" xr3:uid="{1A4A2B4F-81E1-43BC-9394-64895E227ED8}" name="Colonne13282"/>
    <tableColumn id="13291" xr3:uid="{0D8E2B5D-E06C-45EB-BE09-2B78998C1DBB}" name="Colonne13283"/>
    <tableColumn id="13292" xr3:uid="{F5308E3F-4C3A-4FE5-8043-58ACF2073809}" name="Colonne13284"/>
    <tableColumn id="13293" xr3:uid="{A2D6EFC0-ACAD-4530-9FC6-798136FBD0EA}" name="Colonne13285"/>
    <tableColumn id="13294" xr3:uid="{41B3C760-B257-4639-87CD-ABB3AF06FAA4}" name="Colonne13286"/>
    <tableColumn id="13295" xr3:uid="{9E96F4B5-52E2-4E7D-9D97-30D04D174340}" name="Colonne13287"/>
    <tableColumn id="13296" xr3:uid="{D6E63DD2-B816-4D9E-8C8B-B36371EFD7DF}" name="Colonne13288"/>
    <tableColumn id="13297" xr3:uid="{96EC9FE7-F743-4279-9E9D-C1C3482AC25E}" name="Colonne13289"/>
    <tableColumn id="13298" xr3:uid="{4BAC11EA-BB19-4BAF-AB78-65BF6F327AA6}" name="Colonne13290"/>
    <tableColumn id="13299" xr3:uid="{CE702FCD-36E7-44AF-B75E-C079CC3FB6DB}" name="Colonne13291"/>
    <tableColumn id="13300" xr3:uid="{896F2BC7-520E-48BC-8F56-686E55D58D39}" name="Colonne13292"/>
    <tableColumn id="13301" xr3:uid="{688FFA92-370F-408C-8F18-31902AB43747}" name="Colonne13293"/>
    <tableColumn id="13302" xr3:uid="{10426FD1-1440-4A76-A9CF-0168EE7A53C8}" name="Colonne13294"/>
    <tableColumn id="13303" xr3:uid="{E1DBC2C2-723F-4BAD-9C5F-C73192BC6CC5}" name="Colonne13295"/>
    <tableColumn id="13304" xr3:uid="{8A3ED4A2-DBE1-4AE9-884B-933D8F08D4B2}" name="Colonne13296"/>
    <tableColumn id="13305" xr3:uid="{605C15E3-FF28-44F2-ADB2-CF5F8D6A4F1F}" name="Colonne13297"/>
    <tableColumn id="13306" xr3:uid="{D4258BB1-567D-4B3F-94A1-5B6DF672E646}" name="Colonne13298"/>
    <tableColumn id="13307" xr3:uid="{417CC935-4AC7-4861-80EB-8E0E42EAE6BA}" name="Colonne13299"/>
    <tableColumn id="13308" xr3:uid="{FD9AC036-9BCF-445F-B40D-3EF059571664}" name="Colonne13300"/>
    <tableColumn id="13309" xr3:uid="{3E4C0C69-D534-4703-9AA5-3336C89A4288}" name="Colonne13301"/>
    <tableColumn id="13310" xr3:uid="{ACBD89C9-130E-4797-B2C0-A09BA9A883B5}" name="Colonne13302"/>
    <tableColumn id="13311" xr3:uid="{BF646596-DEBD-4FB8-962B-F8D47E64D9BB}" name="Colonne13303"/>
    <tableColumn id="13312" xr3:uid="{056DE485-680B-4466-855F-973FFAD46CB6}" name="Colonne13304"/>
    <tableColumn id="13313" xr3:uid="{BEF1DE17-A974-4B62-833A-E84D8037810C}" name="Colonne13305"/>
    <tableColumn id="13314" xr3:uid="{ACFB6B2F-A77B-46D8-8E51-42A22E147BE8}" name="Colonne13306"/>
    <tableColumn id="13315" xr3:uid="{1162CA66-8117-44F3-9F42-383561F0EB40}" name="Colonne13307"/>
    <tableColumn id="13316" xr3:uid="{08F0ADB4-7B7B-4767-9692-77A360ADEFA0}" name="Colonne13308"/>
    <tableColumn id="13317" xr3:uid="{07237FFC-1CC1-405C-88B2-0F631A59340D}" name="Colonne13309"/>
    <tableColumn id="13318" xr3:uid="{86AC668F-6CAF-479B-AEBE-1435BD416AC0}" name="Colonne13310"/>
    <tableColumn id="13319" xr3:uid="{6E154B94-B10D-45FF-9FDB-16E336F0E528}" name="Colonne13311"/>
    <tableColumn id="13320" xr3:uid="{45C660AC-3DFA-4A89-AA68-95EEC56BE8FD}" name="Colonne13312"/>
    <tableColumn id="13321" xr3:uid="{D8F14E54-76DD-41A7-9C6F-9956F99CC2C7}" name="Colonne13313"/>
    <tableColumn id="13322" xr3:uid="{FABECD73-D9D9-4063-8775-9A659B16F294}" name="Colonne13314"/>
    <tableColumn id="13323" xr3:uid="{4D2FD906-7275-4BC0-8C9F-5E60CEE051C2}" name="Colonne13315"/>
    <tableColumn id="13324" xr3:uid="{53C3F25E-BC3E-4BB4-9973-B294F5F9A3B7}" name="Colonne13316"/>
    <tableColumn id="13325" xr3:uid="{B144D290-2BD4-493D-9F7A-B500889BE4FA}" name="Colonne13317"/>
    <tableColumn id="13326" xr3:uid="{52924721-78D4-4B97-BAC3-55567EDC18B6}" name="Colonne13318"/>
    <tableColumn id="13327" xr3:uid="{19FA00A5-E3CD-4C74-A1B2-8603D5CCB7A9}" name="Colonne13319"/>
    <tableColumn id="13328" xr3:uid="{045198DB-BB4A-4C3E-8FAC-ABE8BB196A71}" name="Colonne13320"/>
    <tableColumn id="13329" xr3:uid="{F767992B-76FA-44F0-A461-F9FFB3368CAE}" name="Colonne13321"/>
    <tableColumn id="13330" xr3:uid="{AB345ED6-195F-4F85-B9B9-CEFDAF0C5865}" name="Colonne13322"/>
    <tableColumn id="13331" xr3:uid="{E8CAC659-8FD1-4CAA-8AD0-AD51C05ACFFA}" name="Colonne13323"/>
    <tableColumn id="13332" xr3:uid="{05720B7E-813B-44FF-BC78-BDFD7E7747DF}" name="Colonne13324"/>
    <tableColumn id="13333" xr3:uid="{272DAEDB-59DA-465B-8380-520F3EED22EC}" name="Colonne13325"/>
    <tableColumn id="13334" xr3:uid="{EF3174BE-BC16-4D01-B2FE-956663EE9152}" name="Colonne13326"/>
    <tableColumn id="13335" xr3:uid="{4D3D5DEE-1F25-4655-928A-5B5D9A413FC3}" name="Colonne13327"/>
    <tableColumn id="13336" xr3:uid="{D25E384B-AFE8-41D3-9450-B826CF1D67BC}" name="Colonne13328"/>
    <tableColumn id="13337" xr3:uid="{F54C9F4D-80A3-445C-A76E-A9B92D777FC5}" name="Colonne13329"/>
    <tableColumn id="13338" xr3:uid="{1B082488-46A3-499F-A015-2B1195DE7353}" name="Colonne13330"/>
    <tableColumn id="13339" xr3:uid="{76878D0C-6CD5-447C-A286-4A8B8915EDDA}" name="Colonne13331"/>
    <tableColumn id="13340" xr3:uid="{62CE5DA1-FCB8-4CC1-87B6-81DC7C308C30}" name="Colonne13332"/>
    <tableColumn id="13341" xr3:uid="{BC1A4455-B06B-48F7-B886-DCA9F6960144}" name="Colonne13333"/>
    <tableColumn id="13342" xr3:uid="{6D2115E6-6F72-4DE4-BFB6-B6F92BCDB594}" name="Colonne13334"/>
    <tableColumn id="13343" xr3:uid="{37DA4316-B543-4303-ADAD-93DCBD6ED19A}" name="Colonne13335"/>
    <tableColumn id="13344" xr3:uid="{93D3F67C-9AE7-45A6-BA23-0EC9F6C343B6}" name="Colonne13336"/>
    <tableColumn id="13345" xr3:uid="{C4ABCE47-94B7-4991-9946-8A2C16A750F8}" name="Colonne13337"/>
    <tableColumn id="13346" xr3:uid="{EA2C8A11-8767-41B9-8229-DA2725F42618}" name="Colonne13338"/>
    <tableColumn id="13347" xr3:uid="{DF07C8C9-B037-4099-A43B-0A45DA94455D}" name="Colonne13339"/>
    <tableColumn id="13348" xr3:uid="{1E5AC78B-45C8-44A6-B5F5-24438793C137}" name="Colonne13340"/>
    <tableColumn id="13349" xr3:uid="{BD7773CC-43D8-452B-9A67-8FA1B684E73E}" name="Colonne13341"/>
    <tableColumn id="13350" xr3:uid="{747D2068-6E65-40AE-A55E-3E1A4614FC20}" name="Colonne13342"/>
    <tableColumn id="13351" xr3:uid="{E0FF092E-3F86-487A-A4DD-5ED50718DC4B}" name="Colonne13343"/>
    <tableColumn id="13352" xr3:uid="{E4A646F4-53E6-4835-B5BC-FBAA2E33E181}" name="Colonne13344"/>
    <tableColumn id="13353" xr3:uid="{5375F894-1A01-4F34-9F15-E284859CB7DF}" name="Colonne13345"/>
    <tableColumn id="13354" xr3:uid="{930D36B3-BEB3-4175-89A3-8FD675E05EAA}" name="Colonne13346"/>
    <tableColumn id="13355" xr3:uid="{000845A6-99CC-4582-80E1-654A0FFC0F9D}" name="Colonne13347"/>
    <tableColumn id="13356" xr3:uid="{C2178A3A-8A59-4EC1-84C8-1DCAD5DCEE43}" name="Colonne13348"/>
    <tableColumn id="13357" xr3:uid="{881B050F-4607-453A-975E-87295F915774}" name="Colonne13349"/>
    <tableColumn id="13358" xr3:uid="{10DC21F9-8552-4FEA-A0C0-B49BB0BA5D0E}" name="Colonne13350"/>
    <tableColumn id="13359" xr3:uid="{A6DAC31A-BD97-4055-9A12-E60E2FCAA14F}" name="Colonne13351"/>
    <tableColumn id="13360" xr3:uid="{9F6BF8D2-C1A8-474A-8DE0-76D3FA0C00BB}" name="Colonne13352"/>
    <tableColumn id="13361" xr3:uid="{0D7A759D-629A-40F1-9223-C0506EAAD78A}" name="Colonne13353"/>
    <tableColumn id="13362" xr3:uid="{5DC86DCA-C111-43D9-B4F2-8DE997F3AB19}" name="Colonne13354"/>
    <tableColumn id="13363" xr3:uid="{776A030C-D18D-4152-A56B-88E682B453B1}" name="Colonne13355"/>
    <tableColumn id="13364" xr3:uid="{1315B04C-098A-44B0-BB98-F487BA32CCC2}" name="Colonne13356"/>
    <tableColumn id="13365" xr3:uid="{46B4657A-31FC-47B6-8638-44C0C6300B37}" name="Colonne13357"/>
    <tableColumn id="13366" xr3:uid="{5D7B3755-9C78-4ED4-A9C3-4CDC5BAEF4B3}" name="Colonne13358"/>
    <tableColumn id="13367" xr3:uid="{ADAAF549-7D1F-474F-8CC4-56E27991ABFA}" name="Colonne13359"/>
    <tableColumn id="13368" xr3:uid="{28E7C818-4EA1-4A81-91D3-CF819A0C51A6}" name="Colonne13360"/>
    <tableColumn id="13369" xr3:uid="{88A4C837-60A7-475D-9A4C-141DC7A6CB25}" name="Colonne13361"/>
    <tableColumn id="13370" xr3:uid="{FD3A26F3-3267-470B-8938-30FFAE970843}" name="Colonne13362"/>
    <tableColumn id="13371" xr3:uid="{15AC0A87-35A6-4DA4-89B5-1900CBC07005}" name="Colonne13363"/>
    <tableColumn id="13372" xr3:uid="{E9685481-87DE-427C-9261-396F0FE46209}" name="Colonne13364"/>
    <tableColumn id="13373" xr3:uid="{05CF03CE-70C9-44D3-A3FA-82E112F95577}" name="Colonne13365"/>
    <tableColumn id="13374" xr3:uid="{4DD28874-9B25-49B6-BB1D-ABA54C6A8D67}" name="Colonne13366"/>
    <tableColumn id="13375" xr3:uid="{B276360E-D559-45A9-8F12-027DE7D41102}" name="Colonne13367"/>
    <tableColumn id="13376" xr3:uid="{3CB38325-53BE-48B4-83AA-0710EA9927FC}" name="Colonne13368"/>
    <tableColumn id="13377" xr3:uid="{A826AAE3-8590-457A-B014-88F10F0A1169}" name="Colonne13369"/>
    <tableColumn id="13378" xr3:uid="{ABF6FA16-A220-4520-BBE9-8AE3234E8FAA}" name="Colonne13370"/>
    <tableColumn id="13379" xr3:uid="{853541B1-C72E-4D70-8E8A-50D604F81BB4}" name="Colonne13371"/>
    <tableColumn id="13380" xr3:uid="{E2579A1F-DC7A-4BB6-84D4-70730FF45C0B}" name="Colonne13372"/>
    <tableColumn id="13381" xr3:uid="{73E8ED41-384E-492F-8578-CB0A8061A8D2}" name="Colonne13373"/>
    <tableColumn id="13382" xr3:uid="{19F6B683-4AEC-4C28-8B95-E27E0B0C80EF}" name="Colonne13374"/>
    <tableColumn id="13383" xr3:uid="{51E9FAD7-C6A4-42F1-BBD7-CC89B3B93F06}" name="Colonne13375"/>
    <tableColumn id="13384" xr3:uid="{46636EC5-0DD7-43B9-90E2-B1DA6AF3BE4A}" name="Colonne13376"/>
    <tableColumn id="13385" xr3:uid="{CAC4E63A-E86E-4759-9AEB-967A143079A6}" name="Colonne13377"/>
    <tableColumn id="13386" xr3:uid="{F8A1997E-C5F0-4DF8-88CF-EAD7F4987161}" name="Colonne13378"/>
    <tableColumn id="13387" xr3:uid="{3D629623-0DC5-418B-B0AD-C6E0D5AE3C6A}" name="Colonne13379"/>
    <tableColumn id="13388" xr3:uid="{26051AB7-2ACA-45B3-9EF7-34767B669476}" name="Colonne13380"/>
    <tableColumn id="13389" xr3:uid="{315790F7-568A-407A-BB50-D14060D23C60}" name="Colonne13381"/>
    <tableColumn id="13390" xr3:uid="{918E5152-6BAD-4B51-A80D-384088A7EB76}" name="Colonne13382"/>
    <tableColumn id="13391" xr3:uid="{67A991CD-9234-4C9F-9A51-C20C40A304E7}" name="Colonne13383"/>
    <tableColumn id="13392" xr3:uid="{C134281E-B928-458F-93F4-DDBC46401801}" name="Colonne13384"/>
    <tableColumn id="13393" xr3:uid="{FB2AED00-8706-487D-84E7-DCEE305A4226}" name="Colonne13385"/>
    <tableColumn id="13394" xr3:uid="{A6D39181-381E-4153-B852-6598C894CC2A}" name="Colonne13386"/>
    <tableColumn id="13395" xr3:uid="{1D397D98-3344-495C-8061-A3D71670DF09}" name="Colonne13387"/>
    <tableColumn id="13396" xr3:uid="{0CCF08E6-49B5-4BD7-9327-7B58C78DB8A8}" name="Colonne13388"/>
    <tableColumn id="13397" xr3:uid="{190671CF-2573-40E8-998F-CE9884B5082B}" name="Colonne13389"/>
    <tableColumn id="13398" xr3:uid="{96AA9B74-5ACB-426B-BE53-BE0CE2B8340F}" name="Colonne13390"/>
    <tableColumn id="13399" xr3:uid="{D5CB89EC-EB75-4EF8-9D71-91C9A67C7CCC}" name="Colonne13391"/>
    <tableColumn id="13400" xr3:uid="{C4B97080-3271-49CF-ABF9-01A43CDBAD50}" name="Colonne13392"/>
    <tableColumn id="13401" xr3:uid="{18CA7CD8-C068-49DB-BE87-DF10BF15D12C}" name="Colonne13393"/>
    <tableColumn id="13402" xr3:uid="{42FAF56F-02CA-4E13-8DE4-48B14DB42D42}" name="Colonne13394"/>
    <tableColumn id="13403" xr3:uid="{FF89E049-E34F-475E-8B47-D0CE1B3D8CE5}" name="Colonne13395"/>
    <tableColumn id="13404" xr3:uid="{D0C0752F-8D61-4385-A34D-EA744A18FC8A}" name="Colonne13396"/>
    <tableColumn id="13405" xr3:uid="{46ADFC44-20E7-481D-AB58-588E6EDFB8CF}" name="Colonne13397"/>
    <tableColumn id="13406" xr3:uid="{FFD923B0-5DB1-451F-BAE9-4612C3EAC202}" name="Colonne13398"/>
    <tableColumn id="13407" xr3:uid="{F16B4A71-E070-4EC8-A3B3-5EB7D83D66D8}" name="Colonne13399"/>
    <tableColumn id="13408" xr3:uid="{401021EE-B479-4090-AE73-4A4ABE3C1784}" name="Colonne13400"/>
    <tableColumn id="13409" xr3:uid="{67AD66EB-DF4C-47BD-8C67-21BC557C43A4}" name="Colonne13401"/>
    <tableColumn id="13410" xr3:uid="{701E4F2D-B83A-4571-A0E6-53B79282B1F6}" name="Colonne13402"/>
    <tableColumn id="13411" xr3:uid="{79CC7EC7-1E59-488C-B8C9-E688674C9D76}" name="Colonne13403"/>
    <tableColumn id="13412" xr3:uid="{245E1371-ABE4-4C41-8F50-3CF4CC43E607}" name="Colonne13404"/>
    <tableColumn id="13413" xr3:uid="{DAF56B3D-6C60-43AC-A718-AD0F1537FF88}" name="Colonne13405"/>
    <tableColumn id="13414" xr3:uid="{BDC72885-5DDD-4EAA-B559-5FAA94FDB33D}" name="Colonne13406"/>
    <tableColumn id="13415" xr3:uid="{A7B311F7-E121-4B10-8496-05DCBB8CC39C}" name="Colonne13407"/>
    <tableColumn id="13416" xr3:uid="{8842A074-30E6-4709-BDC5-47AA26C67C0A}" name="Colonne13408"/>
    <tableColumn id="13417" xr3:uid="{63E861C7-80AD-4798-B01B-8B211256D8F3}" name="Colonne13409"/>
    <tableColumn id="13418" xr3:uid="{FEBE842C-262F-461F-B25B-FD737CFD3ECC}" name="Colonne13410"/>
    <tableColumn id="13419" xr3:uid="{964A9038-8ECF-4685-AF80-86744AB6A74B}" name="Colonne13411"/>
    <tableColumn id="13420" xr3:uid="{C443CF4D-1E34-4D2D-B30B-79C64D0F85B0}" name="Colonne13412"/>
    <tableColumn id="13421" xr3:uid="{3F331EFA-0C07-49A8-8F9A-57E60626BCE1}" name="Colonne13413"/>
    <tableColumn id="13422" xr3:uid="{FAFA3341-2E3A-4C1C-8DA8-F5DF37555EFA}" name="Colonne13414"/>
    <tableColumn id="13423" xr3:uid="{13E415BE-9E91-4DF7-A45D-F1E1A02C2F39}" name="Colonne13415"/>
    <tableColumn id="13424" xr3:uid="{AEEA86FA-00E0-4C10-B49C-53934A4B9A03}" name="Colonne13416"/>
    <tableColumn id="13425" xr3:uid="{B4AD0433-A701-4AAC-8076-7D6AB6B1468A}" name="Colonne13417"/>
    <tableColumn id="13426" xr3:uid="{6F5ABB49-7977-487D-BFFE-FC88DDC94A1D}" name="Colonne13418"/>
    <tableColumn id="13427" xr3:uid="{8D694508-835E-45C4-9118-2F2D0FE2A417}" name="Colonne13419"/>
    <tableColumn id="13428" xr3:uid="{55571F11-EEE6-4960-B9EE-6D3BD1F62D8E}" name="Colonne13420"/>
    <tableColumn id="13429" xr3:uid="{DFCE7A21-6FF9-445B-9360-ABC71C7BB16E}" name="Colonne13421"/>
    <tableColumn id="13430" xr3:uid="{958B6178-3067-426F-A172-D4AA72030FC4}" name="Colonne13422"/>
    <tableColumn id="13431" xr3:uid="{0ECCB70B-8E47-47E6-8333-16E194B1F592}" name="Colonne13423"/>
    <tableColumn id="13432" xr3:uid="{012CCA49-A1F1-448E-9A8D-0C8348550C3F}" name="Colonne13424"/>
    <tableColumn id="13433" xr3:uid="{6A0F63CB-6ED9-4181-B194-AC79C2AF8FE2}" name="Colonne13425"/>
    <tableColumn id="13434" xr3:uid="{8F5FA879-D0AB-42D1-9C74-DD795AB64990}" name="Colonne13426"/>
    <tableColumn id="13435" xr3:uid="{2F6AC266-EBFD-40A1-93F6-3E79D1E1FE21}" name="Colonne13427"/>
    <tableColumn id="13436" xr3:uid="{A6831552-68A7-4635-B0C0-9450237A3024}" name="Colonne13428"/>
    <tableColumn id="13437" xr3:uid="{3DB3AE04-1390-4B8A-A935-F832BFE9BF7A}" name="Colonne13429"/>
    <tableColumn id="13438" xr3:uid="{4E577630-0312-48EB-9B4A-A1C69AA6C40E}" name="Colonne13430"/>
    <tableColumn id="13439" xr3:uid="{9E1A7E1A-106F-4DE5-B0A2-E21DCCE085A7}" name="Colonne13431"/>
    <tableColumn id="13440" xr3:uid="{53CD5866-7D88-4BF8-8588-AAEE3E8C70FD}" name="Colonne13432"/>
    <tableColumn id="13441" xr3:uid="{521B76FD-55F6-4E59-8B71-B6416E127421}" name="Colonne13433"/>
    <tableColumn id="13442" xr3:uid="{C1ECD221-D5CD-45C1-B29E-51764AC95625}" name="Colonne13434"/>
    <tableColumn id="13443" xr3:uid="{8751B9AB-B48C-4999-9E83-7A48F435AB96}" name="Colonne13435"/>
    <tableColumn id="13444" xr3:uid="{B2DD73A3-045A-4B28-A921-15021E1949FE}" name="Colonne13436"/>
    <tableColumn id="13445" xr3:uid="{2DEF5A1D-2976-4F1A-8869-1BC9DD352DE3}" name="Colonne13437"/>
    <tableColumn id="13446" xr3:uid="{21B0B540-0DDC-4B0D-BB11-13E62E51E42A}" name="Colonne13438"/>
    <tableColumn id="13447" xr3:uid="{BB08D476-3763-433C-924B-7B65E929848D}" name="Colonne13439"/>
    <tableColumn id="13448" xr3:uid="{AACFD8DD-4956-4341-9A21-E2A55CE26B85}" name="Colonne13440"/>
    <tableColumn id="13449" xr3:uid="{5B868D6B-1B55-481F-A0D1-1875562463C2}" name="Colonne13441"/>
    <tableColumn id="13450" xr3:uid="{FECF7AE9-1811-4AF0-A22D-21D83B438AE6}" name="Colonne13442"/>
    <tableColumn id="13451" xr3:uid="{64B435A3-34B3-4239-B27E-ED956FB89C25}" name="Colonne13443"/>
    <tableColumn id="13452" xr3:uid="{031932AE-732A-41B0-B7B2-62F2A7A5480A}" name="Colonne13444"/>
    <tableColumn id="13453" xr3:uid="{9E12093A-2E1D-4241-8FD9-18612482A61A}" name="Colonne13445"/>
    <tableColumn id="13454" xr3:uid="{78C0E8E1-523D-462D-823A-3017804E078D}" name="Colonne13446"/>
    <tableColumn id="13455" xr3:uid="{16895EA8-AB7B-43CE-B0D5-23049BA157B9}" name="Colonne13447"/>
    <tableColumn id="13456" xr3:uid="{C8DA381C-C6CB-44C1-B4ED-F39D16409F40}" name="Colonne13448"/>
    <tableColumn id="13457" xr3:uid="{535B3B24-C0DC-4571-BB16-26F6E21309CB}" name="Colonne13449"/>
    <tableColumn id="13458" xr3:uid="{4EE81897-BEFE-46E9-B6F0-1EF0A4F8CE5E}" name="Colonne13450"/>
    <tableColumn id="13459" xr3:uid="{A01CD068-2F95-4442-A16B-EE6866CD41F7}" name="Colonne13451"/>
    <tableColumn id="13460" xr3:uid="{51783752-8F02-4B9F-8634-C598CFFE0623}" name="Colonne13452"/>
    <tableColumn id="13461" xr3:uid="{8DDBA19A-ACB4-4D33-9975-64F6CBFA908B}" name="Colonne13453"/>
    <tableColumn id="13462" xr3:uid="{A5EBE07C-8FE6-4815-8D36-84E2CF1FF3D3}" name="Colonne13454"/>
    <tableColumn id="13463" xr3:uid="{B7DFB025-0576-4768-93CE-F55475FF28CA}" name="Colonne13455"/>
    <tableColumn id="13464" xr3:uid="{8B69824A-1A67-409D-9173-7679B58E9713}" name="Colonne13456"/>
    <tableColumn id="13465" xr3:uid="{A3D7634E-4612-4CB9-B70C-A2FAE3F9A46E}" name="Colonne13457"/>
    <tableColumn id="13466" xr3:uid="{5E931673-DDA7-4DCB-90A7-DDCE4D140506}" name="Colonne13458"/>
    <tableColumn id="13467" xr3:uid="{507C1F18-3F9B-411B-A595-6399A2E275CE}" name="Colonne13459"/>
    <tableColumn id="13468" xr3:uid="{F8E75331-0FED-49FA-92FA-C244AA4BEB59}" name="Colonne13460"/>
    <tableColumn id="13469" xr3:uid="{99B48C29-321E-4587-B105-FAD38D158792}" name="Colonne13461"/>
    <tableColumn id="13470" xr3:uid="{61A051C3-7019-417A-AAB1-082CCF4EF833}" name="Colonne13462"/>
    <tableColumn id="13471" xr3:uid="{05185410-DA6A-4E0A-8B0F-66751D70CD09}" name="Colonne13463"/>
    <tableColumn id="13472" xr3:uid="{D583EFCE-0872-44EB-B184-20624F20FD56}" name="Colonne13464"/>
    <tableColumn id="13473" xr3:uid="{409EE9C5-8940-483A-99E9-C2502375A7DA}" name="Colonne13465"/>
    <tableColumn id="13474" xr3:uid="{9DBFF8C3-9678-479D-8E02-FFDF9D5425C9}" name="Colonne13466"/>
    <tableColumn id="13475" xr3:uid="{6C0C071C-B073-464D-B275-41E9A327A59E}" name="Colonne13467"/>
    <tableColumn id="13476" xr3:uid="{55C13965-3A51-4359-AE31-33861E93103E}" name="Colonne13468"/>
    <tableColumn id="13477" xr3:uid="{B8CB663C-C504-40BB-9998-33D6D342523D}" name="Colonne13469"/>
    <tableColumn id="13478" xr3:uid="{D4E7E313-1129-4572-92A0-F0EA4A5D2AB8}" name="Colonne13470"/>
    <tableColumn id="13479" xr3:uid="{E134EBAD-4B71-4DA2-A716-65B9B57C9AB0}" name="Colonne13471"/>
    <tableColumn id="13480" xr3:uid="{755CA574-1A31-4E27-AC59-82C4F01C75A6}" name="Colonne13472"/>
    <tableColumn id="13481" xr3:uid="{F353AC1E-BC2D-496F-9319-55BA300396B8}" name="Colonne13473"/>
    <tableColumn id="13482" xr3:uid="{954E2A05-243D-49A5-A7D9-2B1EA5F39BCD}" name="Colonne13474"/>
    <tableColumn id="13483" xr3:uid="{10A9FF60-6C5C-43C3-AF04-F732B17C6090}" name="Colonne13475"/>
    <tableColumn id="13484" xr3:uid="{BF55A733-B0CB-4E61-8967-1525CC0DCA8D}" name="Colonne13476"/>
    <tableColumn id="13485" xr3:uid="{F4104431-4AAA-4D2E-B483-8E97525C4159}" name="Colonne13477"/>
    <tableColumn id="13486" xr3:uid="{EA777784-1C1C-4DE3-8E62-3F40C3AC66BE}" name="Colonne13478"/>
    <tableColumn id="13487" xr3:uid="{1C4BE00E-6DB6-48C3-84BE-08942824C6F7}" name="Colonne13479"/>
    <tableColumn id="13488" xr3:uid="{BCCEB1E8-E514-43A7-A831-74E5F7D33585}" name="Colonne13480"/>
    <tableColumn id="13489" xr3:uid="{41616567-6050-494D-96C4-585C9C42713F}" name="Colonne13481"/>
    <tableColumn id="13490" xr3:uid="{0839056C-B54B-4CA2-9717-1DD39BEF619C}" name="Colonne13482"/>
    <tableColumn id="13491" xr3:uid="{1D07A652-AC48-4174-AF38-E9016162D76D}" name="Colonne13483"/>
    <tableColumn id="13492" xr3:uid="{A94FA4ED-6DCD-48D5-82ED-292646AB4453}" name="Colonne13484"/>
    <tableColumn id="13493" xr3:uid="{B05C473C-1C20-4068-B358-FD637C786199}" name="Colonne13485"/>
    <tableColumn id="13494" xr3:uid="{FF46E423-50FD-46BE-9242-366CC54106B2}" name="Colonne13486"/>
    <tableColumn id="13495" xr3:uid="{B96EF232-6606-4460-A05F-0BCB24AC3501}" name="Colonne13487"/>
    <tableColumn id="13496" xr3:uid="{C743AC5F-3B1B-4E58-A597-08AD71217B06}" name="Colonne13488"/>
    <tableColumn id="13497" xr3:uid="{F1021ED2-9D09-40BE-AF35-DE541086D0D7}" name="Colonne13489"/>
    <tableColumn id="13498" xr3:uid="{DF58B2E8-5C27-458D-B28B-4241B19F1847}" name="Colonne13490"/>
    <tableColumn id="13499" xr3:uid="{4B6C9A36-5FDF-419D-981F-0E061B687FDA}" name="Colonne13491"/>
    <tableColumn id="13500" xr3:uid="{61DD71A3-9211-4E22-AD70-F4DD9326AA37}" name="Colonne13492"/>
    <tableColumn id="13501" xr3:uid="{ACF1492E-CD62-4A08-B8B0-1A9EFDA3E641}" name="Colonne13493"/>
    <tableColumn id="13502" xr3:uid="{F9A1D058-9E98-47FB-BFC5-3C9D7D4106A7}" name="Colonne13494"/>
    <tableColumn id="13503" xr3:uid="{FABBEF4F-B41E-46C6-B363-08A06F1F0CD0}" name="Colonne13495"/>
    <tableColumn id="13504" xr3:uid="{626481DA-CF6A-43CA-9D26-743012252104}" name="Colonne13496"/>
    <tableColumn id="13505" xr3:uid="{8D2B40B7-BB3A-4ED0-BF1D-A6AF89BA692B}" name="Colonne13497"/>
    <tableColumn id="13506" xr3:uid="{13A8C94F-67B5-4200-8953-54639C6C03E2}" name="Colonne13498"/>
    <tableColumn id="13507" xr3:uid="{0A02D6FF-C7A1-41BE-B5D8-8605C7B43883}" name="Colonne13499"/>
    <tableColumn id="13508" xr3:uid="{25C86766-CFE4-499C-9246-485FFD4A827F}" name="Colonne13500"/>
    <tableColumn id="13509" xr3:uid="{852D3C8F-76E7-4114-8D73-6BC4C227B1C1}" name="Colonne13501"/>
    <tableColumn id="13510" xr3:uid="{61585B28-D4B6-40CF-A0F9-5CFACB073B9F}" name="Colonne13502"/>
    <tableColumn id="13511" xr3:uid="{25774152-0C11-4685-BD5B-4FCA3718AFF2}" name="Colonne13503"/>
    <tableColumn id="13512" xr3:uid="{FE81B307-B88B-469D-B57A-BC9D0FD532A1}" name="Colonne13504"/>
    <tableColumn id="13513" xr3:uid="{8D56D854-DCEB-4915-9D2E-AB5E81175D1B}" name="Colonne13505"/>
    <tableColumn id="13514" xr3:uid="{5F1BC432-5B65-4833-A261-3B999979BC8E}" name="Colonne13506"/>
    <tableColumn id="13515" xr3:uid="{F8298D0F-5F7E-48BD-ADD9-BADD42935A26}" name="Colonne13507"/>
    <tableColumn id="13516" xr3:uid="{8A9F9595-24B0-41D9-A534-3B8CDCEE7981}" name="Colonne13508"/>
    <tableColumn id="13517" xr3:uid="{E86A4C6C-F341-4421-BEBC-964E1D52E5C4}" name="Colonne13509"/>
    <tableColumn id="13518" xr3:uid="{609B41FA-F96A-4611-840C-9F93CA0B75BC}" name="Colonne13510"/>
    <tableColumn id="13519" xr3:uid="{807F8138-C3BD-4298-A3A2-942824BD5F1B}" name="Colonne13511"/>
    <tableColumn id="13520" xr3:uid="{1B451662-47FB-41C3-AF2D-B757E2D80D60}" name="Colonne13512"/>
    <tableColumn id="13521" xr3:uid="{F35F9164-21D3-4859-A626-B2BAF1A9EA97}" name="Colonne13513"/>
    <tableColumn id="13522" xr3:uid="{A35D9AC2-7BD6-44C0-AB84-025AEA7EC346}" name="Colonne13514"/>
    <tableColumn id="13523" xr3:uid="{6FBF78D9-9679-4EAE-8D43-4137BF9BFA5E}" name="Colonne13515"/>
    <tableColumn id="13524" xr3:uid="{61A70734-6B52-4E0A-B102-DA6517B1ACF5}" name="Colonne13516"/>
    <tableColumn id="13525" xr3:uid="{166BD5D4-33A9-49B4-BB0B-CABC5A5EECCA}" name="Colonne13517"/>
    <tableColumn id="13526" xr3:uid="{A3F5A99D-578C-400D-B5EB-FF83658A30EA}" name="Colonne13518"/>
    <tableColumn id="13527" xr3:uid="{83FF671B-F871-4A16-B55B-15D323EBA2B3}" name="Colonne13519"/>
    <tableColumn id="13528" xr3:uid="{868BFC11-78FE-4AF7-8E08-5B185375D271}" name="Colonne13520"/>
    <tableColumn id="13529" xr3:uid="{3D1EE00A-8FC8-4CD1-90CC-90FA184958FA}" name="Colonne13521"/>
    <tableColumn id="13530" xr3:uid="{A2AC95B4-3F90-4855-BB9D-0C7D655A438E}" name="Colonne13522"/>
    <tableColumn id="13531" xr3:uid="{2DD34AA9-C6F3-49B0-B7E3-9CB6B3FD37EA}" name="Colonne13523"/>
    <tableColumn id="13532" xr3:uid="{A57C817B-D285-472F-B60E-4C1857EFB646}" name="Colonne13524"/>
    <tableColumn id="13533" xr3:uid="{86CB40AB-39EE-43B3-912C-D98674F27571}" name="Colonne13525"/>
    <tableColumn id="13534" xr3:uid="{566C6CD2-9378-4328-B3EA-32CA6F06E39C}" name="Colonne13526"/>
    <tableColumn id="13535" xr3:uid="{7447CE6D-3442-405D-AB7D-CFCF27D502C7}" name="Colonne13527"/>
    <tableColumn id="13536" xr3:uid="{1517380E-6367-40AC-A3B4-D30760CA6089}" name="Colonne13528"/>
    <tableColumn id="13537" xr3:uid="{776744B3-83BD-4A37-B979-3B76A56DE955}" name="Colonne13529"/>
    <tableColumn id="13538" xr3:uid="{2B6E9BD7-59E5-4FAA-957D-6256C047E1E5}" name="Colonne13530"/>
    <tableColumn id="13539" xr3:uid="{943EFFC7-E64E-4289-9C71-BBA63BA30A37}" name="Colonne13531"/>
    <tableColumn id="13540" xr3:uid="{6B8BBE2A-D3DF-4570-A16E-C55F1723FC76}" name="Colonne13532"/>
    <tableColumn id="13541" xr3:uid="{F396E6F8-C2C5-4E92-B423-49B2B410B074}" name="Colonne13533"/>
    <tableColumn id="13542" xr3:uid="{3B0F299A-AA89-4FC5-A647-291C2B8F5965}" name="Colonne13534"/>
    <tableColumn id="13543" xr3:uid="{E4D19D8A-B848-4050-B445-23EE6A14CFEC}" name="Colonne13535"/>
    <tableColumn id="13544" xr3:uid="{CB1FCF8C-E496-4A06-99C5-1736DE0FEEA1}" name="Colonne13536"/>
    <tableColumn id="13545" xr3:uid="{7045FF16-D015-4BAD-9CE8-0A4C5090D183}" name="Colonne13537"/>
    <tableColumn id="13546" xr3:uid="{2FE2D0E0-DFD0-4C3E-B486-75977B104DA7}" name="Colonne13538"/>
    <tableColumn id="13547" xr3:uid="{1744829E-D685-47F8-B964-FC284196C723}" name="Colonne13539"/>
    <tableColumn id="13548" xr3:uid="{FEBE5558-E812-4277-9E0B-C6A11C3B41AD}" name="Colonne13540"/>
    <tableColumn id="13549" xr3:uid="{3FF00FD7-636C-4DE2-8BC4-D06FA8BDB53A}" name="Colonne13541"/>
    <tableColumn id="13550" xr3:uid="{2EBCD9F5-8C22-4BA8-B8B9-7A1F58CB4115}" name="Colonne13542"/>
    <tableColumn id="13551" xr3:uid="{B43A8092-2BA4-41E8-A943-4A2983C80A83}" name="Colonne13543"/>
    <tableColumn id="13552" xr3:uid="{95F5AA9F-6E5D-4D87-A360-C6B61501F043}" name="Colonne13544"/>
    <tableColumn id="13553" xr3:uid="{D16FF128-3A33-4B18-8A20-EDDC910FCFA1}" name="Colonne13545"/>
    <tableColumn id="13554" xr3:uid="{282D9AB7-BDCF-4C9E-ACDE-54ED34E87E5E}" name="Colonne13546"/>
    <tableColumn id="13555" xr3:uid="{DD66BBC1-56DC-4493-BB1F-1BFC21030F86}" name="Colonne13547"/>
    <tableColumn id="13556" xr3:uid="{8D83B2FD-59A6-41E0-85C0-3A7E675622D9}" name="Colonne13548"/>
    <tableColumn id="13557" xr3:uid="{874F859E-0B1B-4F8E-90A3-59CABC2FDB68}" name="Colonne13549"/>
    <tableColumn id="13558" xr3:uid="{855E9148-7F63-43A0-83DA-F0704909855E}" name="Colonne13550"/>
    <tableColumn id="13559" xr3:uid="{01B2E403-ED7A-4415-B663-9D1B57772442}" name="Colonne13551"/>
    <tableColumn id="13560" xr3:uid="{D689AE72-6D58-495F-86DC-23305421D2FD}" name="Colonne13552"/>
    <tableColumn id="13561" xr3:uid="{35B98A10-0D71-4E4C-88D9-C0E4780CD0A5}" name="Colonne13553"/>
    <tableColumn id="13562" xr3:uid="{EF796487-1DC0-40A3-9010-7CE0C6C2745B}" name="Colonne13554"/>
    <tableColumn id="13563" xr3:uid="{BD3F2162-4E57-4765-9A52-58E5E9368EF6}" name="Colonne13555"/>
    <tableColumn id="13564" xr3:uid="{A2177035-1284-450F-9E52-9933F3B05F29}" name="Colonne13556"/>
    <tableColumn id="13565" xr3:uid="{6CDE39EE-BFDA-4A2F-A637-09692D354298}" name="Colonne13557"/>
    <tableColumn id="13566" xr3:uid="{FEF6956C-639B-403E-B1B6-CD463A1C7C7E}" name="Colonne13558"/>
    <tableColumn id="13567" xr3:uid="{FE89E314-A545-4B1B-996A-D9ACED05EFCE}" name="Colonne13559"/>
    <tableColumn id="13568" xr3:uid="{043777B9-F27C-4013-AA35-8A3EE86D8D37}" name="Colonne13560"/>
    <tableColumn id="13569" xr3:uid="{488611BA-EF34-4A25-9DA5-414A5799EA12}" name="Colonne13561"/>
    <tableColumn id="13570" xr3:uid="{7757B522-1EC5-4AD8-9A1E-AFCA3D6BB195}" name="Colonne13562"/>
    <tableColumn id="13571" xr3:uid="{E4AAED53-FAFA-4D1D-B4C1-F77E1DEB99A6}" name="Colonne13563"/>
    <tableColumn id="13572" xr3:uid="{F263FF7A-117C-4CAE-8E8B-0F8C7930B7A1}" name="Colonne13564"/>
    <tableColumn id="13573" xr3:uid="{068CA722-23A2-4382-A594-71D741163DE1}" name="Colonne13565"/>
    <tableColumn id="13574" xr3:uid="{5CD429EC-BF08-43D2-AE64-CECD4C8BF38C}" name="Colonne13566"/>
    <tableColumn id="13575" xr3:uid="{3717CF5E-4161-45C0-8FC4-BBD3AE35347D}" name="Colonne13567"/>
    <tableColumn id="13576" xr3:uid="{BB76ECE1-5745-49E3-A4D8-86DBB26F9D36}" name="Colonne13568"/>
    <tableColumn id="13577" xr3:uid="{D2BDDCCA-910D-45E0-9BD7-09F94E89FFDC}" name="Colonne13569"/>
    <tableColumn id="13578" xr3:uid="{B47524D6-2494-4A3D-8D54-602A6AD9A566}" name="Colonne13570"/>
    <tableColumn id="13579" xr3:uid="{8E9F67B1-7694-4BDB-965A-F3ED9CA3CD30}" name="Colonne13571"/>
    <tableColumn id="13580" xr3:uid="{9A60E60E-7D99-4A4E-A3DA-92044C0F00AF}" name="Colonne13572"/>
    <tableColumn id="13581" xr3:uid="{87A232D7-D000-413C-9F50-50C4479F897A}" name="Colonne13573"/>
    <tableColumn id="13582" xr3:uid="{6B8AEB3A-0414-41E3-A2F1-C7FF8E2CA59D}" name="Colonne13574"/>
    <tableColumn id="13583" xr3:uid="{9C98D1C4-545A-4751-BE20-4B56A822C1A9}" name="Colonne13575"/>
    <tableColumn id="13584" xr3:uid="{DE91A17E-9479-46AC-AD3E-CB93E3E66212}" name="Colonne13576"/>
    <tableColumn id="13585" xr3:uid="{15C48011-CD39-40B9-B5EC-2D6EF756E063}" name="Colonne13577"/>
    <tableColumn id="13586" xr3:uid="{7D550923-CDE2-46E6-B06A-3A782E9BE1F7}" name="Colonne13578"/>
    <tableColumn id="13587" xr3:uid="{2E1B12C0-0848-41FA-9C75-F1305C2065D6}" name="Colonne13579"/>
    <tableColumn id="13588" xr3:uid="{9D1D2293-699F-4A80-A8D5-A3F0A9DD69A2}" name="Colonne13580"/>
    <tableColumn id="13589" xr3:uid="{57095394-8888-49F0-8A8D-AF17431C69F7}" name="Colonne13581"/>
    <tableColumn id="13590" xr3:uid="{AF85FB22-7735-4658-A164-817F0521C797}" name="Colonne13582"/>
    <tableColumn id="13591" xr3:uid="{DB67AC42-E0C9-415D-8BC5-AC48157441C7}" name="Colonne13583"/>
    <tableColumn id="13592" xr3:uid="{780DD146-39F6-4505-A808-9A78A0A82DCA}" name="Colonne13584"/>
    <tableColumn id="13593" xr3:uid="{ED69305A-0D76-40F4-B7FB-073640B4D3B8}" name="Colonne13585"/>
    <tableColumn id="13594" xr3:uid="{3A00FEBC-A881-49F4-A80D-3E52CED348CE}" name="Colonne13586"/>
    <tableColumn id="13595" xr3:uid="{A7811913-1EEC-4F1E-802C-BC42E4F1B890}" name="Colonne13587"/>
    <tableColumn id="13596" xr3:uid="{36CCCDC5-3FE1-4642-A287-2B4CE9A58546}" name="Colonne13588"/>
    <tableColumn id="13597" xr3:uid="{673432EE-2A08-4A98-87C7-9A86F159BB82}" name="Colonne13589"/>
    <tableColumn id="13598" xr3:uid="{3D7BE016-9937-4247-BD43-F8BFE1D1D65C}" name="Colonne13590"/>
    <tableColumn id="13599" xr3:uid="{A5DC43A0-5DEE-46A5-8541-1F0280DF27F2}" name="Colonne13591"/>
    <tableColumn id="13600" xr3:uid="{296FBA56-ADF8-437E-A8B1-095DCBB5818E}" name="Colonne13592"/>
    <tableColumn id="13601" xr3:uid="{1CD7FA34-062C-4DA4-AD43-82F5C27ADB2D}" name="Colonne13593"/>
    <tableColumn id="13602" xr3:uid="{E03FEED4-2DC0-4696-9962-37A8119FDADD}" name="Colonne13594"/>
    <tableColumn id="13603" xr3:uid="{7BE69E72-1C2B-4DD5-B55D-AC5DD4E28730}" name="Colonne13595"/>
    <tableColumn id="13604" xr3:uid="{465F5EEF-7828-4071-A298-B1339099A415}" name="Colonne13596"/>
    <tableColumn id="13605" xr3:uid="{ACBA54F5-247A-4AB5-9DEC-36D3FA7B797A}" name="Colonne13597"/>
    <tableColumn id="13606" xr3:uid="{0795FA66-A443-4701-8A55-938F2669567D}" name="Colonne13598"/>
    <tableColumn id="13607" xr3:uid="{2948FE13-C2D9-43E8-80FA-3AC17691CD58}" name="Colonne13599"/>
    <tableColumn id="13608" xr3:uid="{E7CB0722-FD52-456D-B756-198AE252B2D4}" name="Colonne13600"/>
    <tableColumn id="13609" xr3:uid="{C4B6EC70-F41F-43AE-8D56-C5C046389779}" name="Colonne13601"/>
    <tableColumn id="13610" xr3:uid="{5B52E087-B099-4D32-8F44-B118C3A00928}" name="Colonne13602"/>
    <tableColumn id="13611" xr3:uid="{70068A9A-2DB9-4291-ADAF-614EB6C75D72}" name="Colonne13603"/>
    <tableColumn id="13612" xr3:uid="{77724E83-A1A0-443B-9B90-EC787295A43D}" name="Colonne13604"/>
    <tableColumn id="13613" xr3:uid="{829574EE-137C-4FEB-B6CF-91D5E46E92DD}" name="Colonne13605"/>
    <tableColumn id="13614" xr3:uid="{79095BCA-8034-44E1-A9E6-4BF0A1FAC692}" name="Colonne13606"/>
    <tableColumn id="13615" xr3:uid="{6A89FEB4-B319-484C-B517-6B7B6574E09F}" name="Colonne13607"/>
    <tableColumn id="13616" xr3:uid="{ED0707CE-55D2-4A65-95F4-5B988C8B11AA}" name="Colonne13608"/>
    <tableColumn id="13617" xr3:uid="{91A70B12-3D10-4EC5-BBC6-F67BC36D4EE6}" name="Colonne13609"/>
    <tableColumn id="13618" xr3:uid="{D56E1DEA-A7C4-4B7C-BF4D-DDF03FFF0D49}" name="Colonne13610"/>
    <tableColumn id="13619" xr3:uid="{5DC0FF43-4D22-4BD9-95E9-956790E1ED62}" name="Colonne13611"/>
    <tableColumn id="13620" xr3:uid="{2182B9F6-9295-4620-B49B-1528D35A203C}" name="Colonne13612"/>
    <tableColumn id="13621" xr3:uid="{F91BBB46-CBE6-4211-A4C8-DC36F0FE492A}" name="Colonne13613"/>
    <tableColumn id="13622" xr3:uid="{46F48491-BC4F-49A3-BC65-B166E6C1583C}" name="Colonne13614"/>
    <tableColumn id="13623" xr3:uid="{43A93895-C402-4A19-8765-32302FF4FDF0}" name="Colonne13615"/>
    <tableColumn id="13624" xr3:uid="{AE4BC0E5-EB6E-4D44-B37E-D559718E7648}" name="Colonne13616"/>
    <tableColumn id="13625" xr3:uid="{DF675A58-E56C-4BEB-B1CD-EDCB8879E2F9}" name="Colonne13617"/>
    <tableColumn id="13626" xr3:uid="{D54B85D3-A38C-491E-AB1A-AF717646902E}" name="Colonne13618"/>
    <tableColumn id="13627" xr3:uid="{C223EFB9-CDB2-4F08-A957-8291264F51AA}" name="Colonne13619"/>
    <tableColumn id="13628" xr3:uid="{128E132F-F2BE-4C02-B34F-232EBBF85DC0}" name="Colonne13620"/>
    <tableColumn id="13629" xr3:uid="{17C5C06D-75B6-4FF2-B797-61325EB3D372}" name="Colonne13621"/>
    <tableColumn id="13630" xr3:uid="{20F93469-6BC0-4786-B7D3-DE5429EAAF53}" name="Colonne13622"/>
    <tableColumn id="13631" xr3:uid="{20503D30-D793-48AB-B76A-C410DD0AF324}" name="Colonne13623"/>
    <tableColumn id="13632" xr3:uid="{98A7AAFB-2F55-4F40-A845-7A7B73234E8B}" name="Colonne13624"/>
    <tableColumn id="13633" xr3:uid="{7FA6187A-3561-4F34-BB5F-26FA8B51753B}" name="Colonne13625"/>
    <tableColumn id="13634" xr3:uid="{C8BAB7F9-FC53-4D09-8A6E-EA32FC03BDF2}" name="Colonne13626"/>
    <tableColumn id="13635" xr3:uid="{D0671E80-8AF4-4AE3-8678-29F60CDBA0D4}" name="Colonne13627"/>
    <tableColumn id="13636" xr3:uid="{E4BF8A08-B75F-4BF6-A541-7F8173874F1F}" name="Colonne13628"/>
    <tableColumn id="13637" xr3:uid="{70E0F216-58C6-4CFE-8FEE-3EB6B480F764}" name="Colonne13629"/>
    <tableColumn id="13638" xr3:uid="{4DB50B0D-15F7-4ED7-8D7D-CBD569963E44}" name="Colonne13630"/>
    <tableColumn id="13639" xr3:uid="{3F34496C-CB2E-449B-A86E-2ECEE369866C}" name="Colonne13631"/>
    <tableColumn id="13640" xr3:uid="{7C95E9DC-463E-4904-9F1C-E7CB6BAC6AED}" name="Colonne13632"/>
    <tableColumn id="13641" xr3:uid="{B5F11F21-A9D7-4212-8319-41D72A37CD23}" name="Colonne13633"/>
    <tableColumn id="13642" xr3:uid="{8A067C61-388A-4D05-B7D0-B8DF5BA113EF}" name="Colonne13634"/>
    <tableColumn id="13643" xr3:uid="{81B049EC-1DB1-4A85-B622-B4064777E992}" name="Colonne13635"/>
    <tableColumn id="13644" xr3:uid="{A1ADAFA9-F961-450B-BA80-5497299DFD76}" name="Colonne13636"/>
    <tableColumn id="13645" xr3:uid="{D4C05705-AEBB-4F95-99AD-8B9EBD4AF4D7}" name="Colonne13637"/>
    <tableColumn id="13646" xr3:uid="{B4BBD8F5-B346-4B86-9406-82CF90492125}" name="Colonne13638"/>
    <tableColumn id="13647" xr3:uid="{7CFCF3D5-0920-4AC9-BA85-A90DA9178D5A}" name="Colonne13639"/>
    <tableColumn id="13648" xr3:uid="{44E176F7-1EC8-4F12-9FA3-01220427CCE1}" name="Colonne13640"/>
    <tableColumn id="13649" xr3:uid="{E590D30B-648D-4596-BE3E-2EE86C6B1C19}" name="Colonne13641"/>
    <tableColumn id="13650" xr3:uid="{DB93FE26-CF9C-44C2-A847-201585164179}" name="Colonne13642"/>
    <tableColumn id="13651" xr3:uid="{0738AD95-16B3-43A6-93E1-C6DB22C9D92C}" name="Colonne13643"/>
    <tableColumn id="13652" xr3:uid="{98174BF7-AB95-48CD-B88E-319E549D6C14}" name="Colonne13644"/>
    <tableColumn id="13653" xr3:uid="{84CB869D-2A30-4F3F-9B02-6D0A269B71A9}" name="Colonne13645"/>
    <tableColumn id="13654" xr3:uid="{3E39B34C-F10D-44E9-BCB7-5371451E815C}" name="Colonne13646"/>
    <tableColumn id="13655" xr3:uid="{6B7DC0D6-BEB3-45C8-B1FF-C0533E8D7C3A}" name="Colonne13647"/>
    <tableColumn id="13656" xr3:uid="{2B220FD8-2006-474F-916C-DB18E991A434}" name="Colonne13648"/>
    <tableColumn id="13657" xr3:uid="{47072E3C-57C6-4232-B0D4-476D36CB53BA}" name="Colonne13649"/>
    <tableColumn id="13658" xr3:uid="{1DBC54AB-318B-4D8D-8502-18B7F6FCBE3C}" name="Colonne13650"/>
    <tableColumn id="13659" xr3:uid="{9B082436-0835-40B2-B3B6-43BBE545AE6E}" name="Colonne13651"/>
    <tableColumn id="13660" xr3:uid="{BAA77C73-BA5E-4E46-97C6-3410857E53FB}" name="Colonne13652"/>
    <tableColumn id="13661" xr3:uid="{AD038F7A-1628-42A9-A159-8DBE793374E7}" name="Colonne13653"/>
    <tableColumn id="13662" xr3:uid="{C47E3C00-1ED1-4B6C-A8A2-5E440FAEBAC3}" name="Colonne13654"/>
    <tableColumn id="13663" xr3:uid="{2A71837D-7BA9-4A45-BF80-E17E40CEDF2B}" name="Colonne13655"/>
    <tableColumn id="13664" xr3:uid="{33E4EEAE-612C-4D2B-A35E-1FE98B9912A2}" name="Colonne13656"/>
    <tableColumn id="13665" xr3:uid="{D196A44C-8AD3-45BB-AFF7-4358FA662410}" name="Colonne13657"/>
    <tableColumn id="13666" xr3:uid="{5E20695E-0C33-49E1-997E-C374CC4CB657}" name="Colonne13658"/>
    <tableColumn id="13667" xr3:uid="{080491ED-7BFC-48FF-9907-4C773EE453A2}" name="Colonne13659"/>
    <tableColumn id="13668" xr3:uid="{0C1DDB79-AA1F-4D62-AD7C-579488DC3A6B}" name="Colonne13660"/>
    <tableColumn id="13669" xr3:uid="{A9EA0AFF-27ED-4244-892B-0DD8CC52B47D}" name="Colonne13661"/>
    <tableColumn id="13670" xr3:uid="{E2BF0DC9-3819-40E4-A580-CD0C7510E7A5}" name="Colonne13662"/>
    <tableColumn id="13671" xr3:uid="{0FC0B28E-9B8E-4E18-869C-4219FAE17A0E}" name="Colonne13663"/>
    <tableColumn id="13672" xr3:uid="{B463054B-18C6-4833-85E3-936174FB9DDF}" name="Colonne13664"/>
    <tableColumn id="13673" xr3:uid="{ED3E1079-C9F5-4F52-919D-E65F7C1D28D2}" name="Colonne13665"/>
    <tableColumn id="13674" xr3:uid="{F2D07CCE-7D29-4DAE-8338-52FAB811CC5C}" name="Colonne13666"/>
    <tableColumn id="13675" xr3:uid="{A640FAEE-87CF-45DB-9581-D990BD8289F0}" name="Colonne13667"/>
    <tableColumn id="13676" xr3:uid="{EA01B7DC-54B0-4161-A1A8-2808BEF9B83D}" name="Colonne13668"/>
    <tableColumn id="13677" xr3:uid="{0A9645D5-8AC6-4C5A-8EE5-04CAD5E7C7E7}" name="Colonne13669"/>
    <tableColumn id="13678" xr3:uid="{CA07A7BA-5A3D-4CE0-AB61-BF4D372EE18E}" name="Colonne13670"/>
    <tableColumn id="13679" xr3:uid="{165070D4-C3F4-412D-8419-14BE3FE0251D}" name="Colonne13671"/>
    <tableColumn id="13680" xr3:uid="{4350299E-F791-470E-A8BC-EF2B021A9DF7}" name="Colonne13672"/>
    <tableColumn id="13681" xr3:uid="{EF218970-CED7-4DE3-8CB8-DA088090E3FF}" name="Colonne13673"/>
    <tableColumn id="13682" xr3:uid="{78C8CD70-2AEE-4324-9828-38FE5FF5463F}" name="Colonne13674"/>
    <tableColumn id="13683" xr3:uid="{796059C0-1AA7-47E6-96DF-A2106248244D}" name="Colonne13675"/>
    <tableColumn id="13684" xr3:uid="{FB58A91F-8DE4-4527-ABE5-EB874064F16F}" name="Colonne13676"/>
    <tableColumn id="13685" xr3:uid="{D4D20990-F7FC-47F4-B1AB-B5251BE67EDB}" name="Colonne13677"/>
    <tableColumn id="13686" xr3:uid="{FA96FFAC-EEA8-4D20-AAD7-4C6D00FE9BC2}" name="Colonne13678"/>
    <tableColumn id="13687" xr3:uid="{27EB9BB3-6692-405E-8A75-7A715518430D}" name="Colonne13679"/>
    <tableColumn id="13688" xr3:uid="{D87AC79D-70C9-4329-86A0-1B74528B04DA}" name="Colonne13680"/>
    <tableColumn id="13689" xr3:uid="{91DA7157-4131-4715-8A39-53AA72EF989D}" name="Colonne13681"/>
    <tableColumn id="13690" xr3:uid="{3F19FD56-C70D-4ABA-B9E8-3A13A1D322CF}" name="Colonne13682"/>
    <tableColumn id="13691" xr3:uid="{71E790ED-F1B9-43A0-89C3-E0F20D0183AE}" name="Colonne13683"/>
    <tableColumn id="13692" xr3:uid="{3C106617-4279-4762-BC90-C563E4829553}" name="Colonne13684"/>
    <tableColumn id="13693" xr3:uid="{FF14707B-6471-4E7C-85BC-7704992B072B}" name="Colonne13685"/>
    <tableColumn id="13694" xr3:uid="{FC8EED74-EEF9-402C-AE0B-6C508828DF4B}" name="Colonne13686"/>
    <tableColumn id="13695" xr3:uid="{7BD5D115-58E1-4B15-8EF4-5F8C9466F1D0}" name="Colonne13687"/>
    <tableColumn id="13696" xr3:uid="{6655419E-C879-4F42-88AB-7134DE4A842F}" name="Colonne13688"/>
    <tableColumn id="13697" xr3:uid="{31349480-6C6A-41D6-AA25-ED2455FF6CCA}" name="Colonne13689"/>
    <tableColumn id="13698" xr3:uid="{E4C36B6F-D85C-4C68-8B3A-2C37D3746165}" name="Colonne13690"/>
    <tableColumn id="13699" xr3:uid="{B8F73B16-0CCB-4183-B90D-055A02CC1FBF}" name="Colonne13691"/>
    <tableColumn id="13700" xr3:uid="{964B207B-24A6-415C-B9B2-631F68327951}" name="Colonne13692"/>
    <tableColumn id="13701" xr3:uid="{7AF48B7E-2F13-4D16-A4F0-63DE3A1AFD00}" name="Colonne13693"/>
    <tableColumn id="13702" xr3:uid="{F4FD023F-071A-4AED-BAA4-72AE23A6585D}" name="Colonne13694"/>
    <tableColumn id="13703" xr3:uid="{D7A72C37-22C5-4D18-B0CF-C763A2E36537}" name="Colonne13695"/>
    <tableColumn id="13704" xr3:uid="{430B1B41-027A-4973-8762-EE81A70190CE}" name="Colonne13696"/>
    <tableColumn id="13705" xr3:uid="{B95BA814-C5BC-42EE-A3AF-06211F29AED4}" name="Colonne13697"/>
    <tableColumn id="13706" xr3:uid="{7D84DE05-483A-4F50-9B77-495BB2C507B5}" name="Colonne13698"/>
    <tableColumn id="13707" xr3:uid="{2DD1ED59-A024-43E4-8C87-339C25B87D2D}" name="Colonne13699"/>
    <tableColumn id="13708" xr3:uid="{F077F7B2-2A71-497F-B552-16347984B7D2}" name="Colonne13700"/>
    <tableColumn id="13709" xr3:uid="{09A66971-14F1-462A-B601-1115379DEE99}" name="Colonne13701"/>
    <tableColumn id="13710" xr3:uid="{D0B0BF18-10C1-44D9-85D2-821801825D33}" name="Colonne13702"/>
    <tableColumn id="13711" xr3:uid="{C0F4455C-EC16-4121-AB46-C0490940B0A3}" name="Colonne13703"/>
    <tableColumn id="13712" xr3:uid="{C7D37D7C-21BB-4E9C-B456-1158068B46AB}" name="Colonne13704"/>
    <tableColumn id="13713" xr3:uid="{9E6A01DD-7CF5-4CE6-B031-0C8246AE8BDA}" name="Colonne13705"/>
    <tableColumn id="13714" xr3:uid="{06BE8943-CB9A-4371-8221-70EDE66F8A8A}" name="Colonne13706"/>
    <tableColumn id="13715" xr3:uid="{669472CD-17F1-4F31-9810-6BB9C264169A}" name="Colonne13707"/>
    <tableColumn id="13716" xr3:uid="{12F77482-8A23-4FBD-B15A-4A5129B0E1BE}" name="Colonne13708"/>
    <tableColumn id="13717" xr3:uid="{B713B4FC-36AB-427E-A501-97EA623EE71A}" name="Colonne13709"/>
    <tableColumn id="13718" xr3:uid="{AE7161D7-1CC8-4724-BF47-9C6A0E5B4C9D}" name="Colonne13710"/>
    <tableColumn id="13719" xr3:uid="{5EB6E0D2-7129-443F-A833-C2186890105F}" name="Colonne13711"/>
    <tableColumn id="13720" xr3:uid="{7F25C641-BE6C-4EDC-85A2-AA039EB0D9ED}" name="Colonne13712"/>
    <tableColumn id="13721" xr3:uid="{AA7E9E9C-96FD-4BD3-862B-48BD9DFA2655}" name="Colonne13713"/>
    <tableColumn id="13722" xr3:uid="{E764ACFD-1AA7-463E-AE11-047DCFA08C06}" name="Colonne13714"/>
    <tableColumn id="13723" xr3:uid="{242819C4-0722-4857-9971-1A02B34DE4D0}" name="Colonne13715"/>
    <tableColumn id="13724" xr3:uid="{A73BD39B-A120-4229-90D8-8F0289491BDF}" name="Colonne13716"/>
    <tableColumn id="13725" xr3:uid="{862EE342-6070-45E0-89F0-FAB30A249095}" name="Colonne13717"/>
    <tableColumn id="13726" xr3:uid="{FC3D46BD-B226-44AD-8FFF-637349664EC0}" name="Colonne13718"/>
    <tableColumn id="13727" xr3:uid="{B9C06D9D-479A-40D2-9E69-5487CBBA0DA3}" name="Colonne13719"/>
    <tableColumn id="13728" xr3:uid="{44D2869E-49D6-4C49-A20D-092B0339F784}" name="Colonne13720"/>
    <tableColumn id="13729" xr3:uid="{E82AACD0-E308-455D-A1E2-B6C4A2737081}" name="Colonne13721"/>
    <tableColumn id="13730" xr3:uid="{AC306059-B438-4138-B10D-D4CC26F805C7}" name="Colonne13722"/>
    <tableColumn id="13731" xr3:uid="{26091EC7-8258-48BF-9421-843E4BBE5755}" name="Colonne13723"/>
    <tableColumn id="13732" xr3:uid="{ADBF812D-1161-4DFD-8504-6D961326EE0D}" name="Colonne13724"/>
    <tableColumn id="13733" xr3:uid="{28A901D2-DC1C-4CA5-B666-F9667D463185}" name="Colonne13725"/>
    <tableColumn id="13734" xr3:uid="{D20EF7BE-CEA5-4712-A504-B6447D37C01A}" name="Colonne13726"/>
    <tableColumn id="13735" xr3:uid="{3AB805E5-9F8B-4E18-8117-69B2431A5EB6}" name="Colonne13727"/>
    <tableColumn id="13736" xr3:uid="{2D7B49F1-4F95-441A-9733-73B0CEF8024A}" name="Colonne13728"/>
    <tableColumn id="13737" xr3:uid="{C258706D-49FF-4A02-869C-0F24C719C8D4}" name="Colonne13729"/>
    <tableColumn id="13738" xr3:uid="{28C62127-6174-474B-96E9-DC7552B705A2}" name="Colonne13730"/>
    <tableColumn id="13739" xr3:uid="{3CEB9CB1-2CDF-4BBA-BFBA-B018467F6980}" name="Colonne13731"/>
    <tableColumn id="13740" xr3:uid="{5040B761-2CC1-4B1A-A113-D6D66AE98F9A}" name="Colonne13732"/>
    <tableColumn id="13741" xr3:uid="{D27F79C7-E5CE-4890-BFDA-0F7DAC3ED60D}" name="Colonne13733"/>
    <tableColumn id="13742" xr3:uid="{B6502A56-D913-4532-9A7E-3271282F0BC0}" name="Colonne13734"/>
    <tableColumn id="13743" xr3:uid="{374DCDD1-EC8A-42EE-B2B9-FC725E57A247}" name="Colonne13735"/>
    <tableColumn id="13744" xr3:uid="{ADC2D2DD-2CA7-423F-9B03-BEA28DFB9A75}" name="Colonne13736"/>
    <tableColumn id="13745" xr3:uid="{E8D88AA9-9BC8-4B53-9F3E-871B8F50A760}" name="Colonne13737"/>
    <tableColumn id="13746" xr3:uid="{D6694602-E074-4A3D-84ED-763850D25EBC}" name="Colonne13738"/>
    <tableColumn id="13747" xr3:uid="{87464FB3-0715-4598-856E-DF9309362573}" name="Colonne13739"/>
    <tableColumn id="13748" xr3:uid="{CD27C777-DACD-4D51-AA16-9D2E58D72F66}" name="Colonne13740"/>
    <tableColumn id="13749" xr3:uid="{EA6C1A38-11E6-415A-959D-D25A65AAD9DB}" name="Colonne13741"/>
    <tableColumn id="13750" xr3:uid="{F6C4509B-0987-4FEC-BDFF-DB6047A75753}" name="Colonne13742"/>
    <tableColumn id="13751" xr3:uid="{64564D34-9B93-4611-A41F-488165FB551E}" name="Colonne13743"/>
    <tableColumn id="13752" xr3:uid="{A5F4841F-83A6-47D7-A907-CCF6CA50F8D7}" name="Colonne13744"/>
    <tableColumn id="13753" xr3:uid="{7F10B3B8-C718-4D19-8C5A-12ADAF9167E4}" name="Colonne13745"/>
    <tableColumn id="13754" xr3:uid="{D85B8BCA-697B-4E90-92CD-F942DE1CDBE7}" name="Colonne13746"/>
    <tableColumn id="13755" xr3:uid="{F0A4D4FA-3473-4679-9699-63C743A9BD93}" name="Colonne13747"/>
    <tableColumn id="13756" xr3:uid="{1B3DBF07-BC15-4984-A61B-D30EB5F82764}" name="Colonne13748"/>
    <tableColumn id="13757" xr3:uid="{17DE954A-2698-4DA0-A565-484537B5F358}" name="Colonne13749"/>
    <tableColumn id="13758" xr3:uid="{9A96A150-6C07-47B6-A789-431FE3908DD9}" name="Colonne13750"/>
    <tableColumn id="13759" xr3:uid="{6983C9D6-8748-4124-B6CE-664B982DE099}" name="Colonne13751"/>
    <tableColumn id="13760" xr3:uid="{A3CE88E7-92BF-42EA-9FFC-FC1F31327FFC}" name="Colonne13752"/>
    <tableColumn id="13761" xr3:uid="{36295538-ABB7-4D9A-8556-CEB58CD48F63}" name="Colonne13753"/>
    <tableColumn id="13762" xr3:uid="{CF66E573-3452-4DDB-A37D-E0B5875C90C7}" name="Colonne13754"/>
    <tableColumn id="13763" xr3:uid="{25C0908C-361B-4F7D-BC30-B5082D9A69FF}" name="Colonne13755"/>
    <tableColumn id="13764" xr3:uid="{046484D0-AE15-481C-83F9-3FF620E8702D}" name="Colonne13756"/>
    <tableColumn id="13765" xr3:uid="{3D9A8A8C-6C39-4760-9FD4-AEA62D02C53A}" name="Colonne13757"/>
    <tableColumn id="13766" xr3:uid="{E449FBB6-0C42-48C5-879C-AC7098EB0F32}" name="Colonne13758"/>
    <tableColumn id="13767" xr3:uid="{0DEC1D6E-7ECE-4CD5-BC00-612B7A9AEA8A}" name="Colonne13759"/>
    <tableColumn id="13768" xr3:uid="{DFF856B3-8FC7-4797-9035-29B067F2D419}" name="Colonne13760"/>
    <tableColumn id="13769" xr3:uid="{6105F497-B4A7-4BA5-B71A-8B1DA4FA6897}" name="Colonne13761"/>
    <tableColumn id="13770" xr3:uid="{00FD19C7-C8B8-4408-B740-BB2891E0D552}" name="Colonne13762"/>
    <tableColumn id="13771" xr3:uid="{4EF1D60E-5D4E-4FD8-BD1D-B0FA5688A49C}" name="Colonne13763"/>
    <tableColumn id="13772" xr3:uid="{D85C01DA-B7D9-4BDF-A418-782B3A463B16}" name="Colonne13764"/>
    <tableColumn id="13773" xr3:uid="{BA64F65E-0B13-4142-8613-599359D3B274}" name="Colonne13765"/>
    <tableColumn id="13774" xr3:uid="{51E1C151-D7F7-4F60-878C-1812BAD709CB}" name="Colonne13766"/>
    <tableColumn id="13775" xr3:uid="{5770BAD2-01A7-4B20-A436-7218C5718405}" name="Colonne13767"/>
    <tableColumn id="13776" xr3:uid="{FF996F74-3654-432B-A09E-E0413286ACB6}" name="Colonne13768"/>
    <tableColumn id="13777" xr3:uid="{9B1A3989-EB80-46A6-BA96-7632A766EB7E}" name="Colonne13769"/>
    <tableColumn id="13778" xr3:uid="{2EF6F5BD-B054-4066-BE0E-1DE8A9BCC5C2}" name="Colonne13770"/>
    <tableColumn id="13779" xr3:uid="{CE7C3435-9082-4AC7-BD9F-6E398D4E44B9}" name="Colonne13771"/>
    <tableColumn id="13780" xr3:uid="{D7B58B70-FF38-4BBB-B77C-FAD1D165F967}" name="Colonne13772"/>
    <tableColumn id="13781" xr3:uid="{A8731AA3-6F1A-41BE-9469-87D915C0CDD9}" name="Colonne13773"/>
    <tableColumn id="13782" xr3:uid="{18C0C4EF-FCCE-4D8A-8EB4-69649B518224}" name="Colonne13774"/>
    <tableColumn id="13783" xr3:uid="{46245D59-24FC-4EA7-B2DB-2636FDD3DF58}" name="Colonne13775"/>
    <tableColumn id="13784" xr3:uid="{65408C75-ABF0-4FD4-BDD3-2ACA19B8B3D0}" name="Colonne13776"/>
    <tableColumn id="13785" xr3:uid="{ADE880F3-FC4C-4804-B8E2-3993B7C583F3}" name="Colonne13777"/>
    <tableColumn id="13786" xr3:uid="{3E4590C4-9CB6-4022-8767-CD3E536EEA22}" name="Colonne13778"/>
    <tableColumn id="13787" xr3:uid="{6F54EC58-D106-4F92-9F50-451CF3DDDD52}" name="Colonne13779"/>
    <tableColumn id="13788" xr3:uid="{CCC64E62-246B-4C38-802C-7056512C2B60}" name="Colonne13780"/>
    <tableColumn id="13789" xr3:uid="{A83EE25A-2058-403D-B09C-2B68D92F1794}" name="Colonne13781"/>
    <tableColumn id="13790" xr3:uid="{3C3D72F6-7A07-401E-A332-9EF0BE72E81B}" name="Colonne13782"/>
    <tableColumn id="13791" xr3:uid="{3D506AA7-F110-4A9F-BBA1-4801633A9617}" name="Colonne13783"/>
    <tableColumn id="13792" xr3:uid="{3DAF601D-26EF-46EF-A957-21A1BE2D4484}" name="Colonne13784"/>
    <tableColumn id="13793" xr3:uid="{4012AB71-8DAC-42CB-8A01-28B735568DB5}" name="Colonne13785"/>
    <tableColumn id="13794" xr3:uid="{001DF60D-51FA-4EFF-8191-2A0EE8794E46}" name="Colonne13786"/>
    <tableColumn id="13795" xr3:uid="{64F07997-69CB-4BAB-A3A0-6AA01DCC2EE6}" name="Colonne13787"/>
    <tableColumn id="13796" xr3:uid="{EE9ED502-86E8-42DF-B194-911F095672F4}" name="Colonne13788"/>
    <tableColumn id="13797" xr3:uid="{AED5E833-D4E3-46B5-A181-745D530D9190}" name="Colonne13789"/>
    <tableColumn id="13798" xr3:uid="{C0C8FB1E-DDC4-437F-BCC0-886A568C974D}" name="Colonne13790"/>
    <tableColumn id="13799" xr3:uid="{F20F3C86-24A8-4919-A133-44E2F4CBA731}" name="Colonne13791"/>
    <tableColumn id="13800" xr3:uid="{293F1E42-D5DD-44E5-9D9C-D5A4F6D0E478}" name="Colonne13792"/>
    <tableColumn id="13801" xr3:uid="{3BA518FB-6DCD-417E-BEDA-7F273924806A}" name="Colonne13793"/>
    <tableColumn id="13802" xr3:uid="{51DFDAB2-CC05-4555-81C0-0D86A531F195}" name="Colonne13794"/>
    <tableColumn id="13803" xr3:uid="{EFED5FD9-552A-4558-B233-D60108184830}" name="Colonne13795"/>
    <tableColumn id="13804" xr3:uid="{C6876AA2-8122-48E3-B399-0178050681EE}" name="Colonne13796"/>
    <tableColumn id="13805" xr3:uid="{3B20369A-F274-433E-A730-F38FD857BA1F}" name="Colonne13797"/>
    <tableColumn id="13806" xr3:uid="{CECB7132-EF3B-4211-8B7C-715F0F31A4A6}" name="Colonne13798"/>
    <tableColumn id="13807" xr3:uid="{D7FFBA2E-FFE1-4EDB-BE32-74A9791F480D}" name="Colonne13799"/>
    <tableColumn id="13808" xr3:uid="{691BD0E0-6EEC-4252-A7EA-F7C704466930}" name="Colonne13800"/>
    <tableColumn id="13809" xr3:uid="{4E3AD871-2F6E-4147-8AF1-9498A5F432A7}" name="Colonne13801"/>
    <tableColumn id="13810" xr3:uid="{AC8AAF62-FFCD-4F01-902F-FD65A0EBEB97}" name="Colonne13802"/>
    <tableColumn id="13811" xr3:uid="{7BCE8B4B-F524-41C6-9909-BEFC3417C5CE}" name="Colonne13803"/>
    <tableColumn id="13812" xr3:uid="{1BFD0182-0885-4C46-9C31-004CD1159175}" name="Colonne13804"/>
    <tableColumn id="13813" xr3:uid="{1E2862F7-D08F-46FC-862B-F6EA780461C1}" name="Colonne13805"/>
    <tableColumn id="13814" xr3:uid="{AD80CA0E-8309-4CEA-89B2-166C8EEF95B5}" name="Colonne13806"/>
    <tableColumn id="13815" xr3:uid="{F28B01B7-C220-4E5B-9417-A24568F59CFB}" name="Colonne13807"/>
    <tableColumn id="13816" xr3:uid="{A3AC73CB-EAFC-4D77-BA78-7A3CE8B1E3DD}" name="Colonne13808"/>
    <tableColumn id="13817" xr3:uid="{D53DAAE6-9854-44E0-AE26-6A4C133EA8CA}" name="Colonne13809"/>
    <tableColumn id="13818" xr3:uid="{E10AF2A2-F17A-48EA-A64F-5EB6B36697EF}" name="Colonne13810"/>
    <tableColumn id="13819" xr3:uid="{405F7DD6-DA43-4046-B584-CFD788C9BAD8}" name="Colonne13811"/>
    <tableColumn id="13820" xr3:uid="{680C8738-102F-4BD2-87F9-EBD1AEAAACA5}" name="Colonne13812"/>
    <tableColumn id="13821" xr3:uid="{EFBE6CBC-149F-46EB-998A-D2CB1BD790B5}" name="Colonne13813"/>
    <tableColumn id="13822" xr3:uid="{EE593B4D-295F-4327-A921-3396B8406296}" name="Colonne13814"/>
    <tableColumn id="13823" xr3:uid="{E28F48AB-85FD-47B1-82F4-C42076D10A29}" name="Colonne13815"/>
    <tableColumn id="13824" xr3:uid="{C195122C-E650-4AC4-90FE-B34058B9D6F3}" name="Colonne13816"/>
    <tableColumn id="13825" xr3:uid="{F7D6B37E-6F8A-4AFB-87D7-EEF060198ADB}" name="Colonne13817"/>
    <tableColumn id="13826" xr3:uid="{4C16C106-1791-4DDF-B161-B879BD9DD5A3}" name="Colonne13818"/>
    <tableColumn id="13827" xr3:uid="{BD81E54D-B7DC-4C33-AD99-F587245126E1}" name="Colonne13819"/>
    <tableColumn id="13828" xr3:uid="{52E7133C-8124-47C2-B51D-0C00E2A67489}" name="Colonne13820"/>
    <tableColumn id="13829" xr3:uid="{959939B8-7670-4DC2-A438-570F70E937B7}" name="Colonne13821"/>
    <tableColumn id="13830" xr3:uid="{F78F0D7B-221F-46F3-A8A0-2D502A895ED0}" name="Colonne13822"/>
    <tableColumn id="13831" xr3:uid="{8CB60171-3C1B-4C00-9000-D832709C1566}" name="Colonne13823"/>
    <tableColumn id="13832" xr3:uid="{9A5C86EA-77D7-44F5-82D9-039A686AEF9B}" name="Colonne13824"/>
    <tableColumn id="13833" xr3:uid="{AA03D44E-C672-4E37-8FF1-C1D967E278E6}" name="Colonne13825"/>
    <tableColumn id="13834" xr3:uid="{9576E68A-7B20-472B-A39B-61AEA0659B6C}" name="Colonne13826"/>
    <tableColumn id="13835" xr3:uid="{A8375627-4CF1-40AC-9525-0EEE755E354A}" name="Colonne13827"/>
    <tableColumn id="13836" xr3:uid="{7CEA27BB-164A-4BD8-8140-4272383F1B6A}" name="Colonne13828"/>
    <tableColumn id="13837" xr3:uid="{39E42EA8-BB21-4DF4-B6BD-2CCB9481D76F}" name="Colonne13829"/>
    <tableColumn id="13838" xr3:uid="{5EDE61B1-78F5-4FEA-A952-5D8C17402B26}" name="Colonne13830"/>
    <tableColumn id="13839" xr3:uid="{6FE3B3EB-AED4-4111-BC4A-86D8221B06F9}" name="Colonne13831"/>
    <tableColumn id="13840" xr3:uid="{BAC55881-BACA-41A4-B8CE-BA8DB4540859}" name="Colonne13832"/>
    <tableColumn id="13841" xr3:uid="{66359E11-28AE-46AA-B97C-2C3A4EBE24F6}" name="Colonne13833"/>
    <tableColumn id="13842" xr3:uid="{CC1E6B81-7B00-4CEE-9402-FAA815935017}" name="Colonne13834"/>
    <tableColumn id="13843" xr3:uid="{5BE6F325-4B12-4430-8ECE-394FF0165328}" name="Colonne13835"/>
    <tableColumn id="13844" xr3:uid="{4B3BF7FC-33F0-4724-9C13-B9E034A4DDCE}" name="Colonne13836"/>
    <tableColumn id="13845" xr3:uid="{E88BEF70-D8D4-4998-B199-C609188CFA42}" name="Colonne13837"/>
    <tableColumn id="13846" xr3:uid="{31DA6ABF-3138-4B0F-AF53-CC5E1F61CAF4}" name="Colonne13838"/>
    <tableColumn id="13847" xr3:uid="{372410AC-5EC8-4E09-AC69-F05DAA27260C}" name="Colonne13839"/>
    <tableColumn id="13848" xr3:uid="{390183A9-A981-4CFE-AF6A-864C7D184121}" name="Colonne13840"/>
    <tableColumn id="13849" xr3:uid="{2D75D6E1-D1B0-46A5-B5BA-30135E15B1CE}" name="Colonne13841"/>
    <tableColumn id="13850" xr3:uid="{D475DBB5-E619-48D1-AD49-E2884F645F12}" name="Colonne13842"/>
    <tableColumn id="13851" xr3:uid="{F24B95BF-38CB-40E0-8907-B769B1C27166}" name="Colonne13843"/>
    <tableColumn id="13852" xr3:uid="{DFAC3A64-D81C-4244-A06D-FAC08F3F4951}" name="Colonne13844"/>
    <tableColumn id="13853" xr3:uid="{729603CC-E9A3-43B7-B889-508138566B86}" name="Colonne13845"/>
    <tableColumn id="13854" xr3:uid="{8EBECA3F-709C-44D4-810E-2E432F916DC4}" name="Colonne13846"/>
    <tableColumn id="13855" xr3:uid="{AFCE91AF-99F2-42A7-8247-9E0330A0C1AD}" name="Colonne13847"/>
    <tableColumn id="13856" xr3:uid="{C276999C-21CC-4E85-A6B7-01216A05F3F3}" name="Colonne13848"/>
    <tableColumn id="13857" xr3:uid="{EC1F8EC0-1302-415C-A6F0-1F6254B2C4CA}" name="Colonne13849"/>
    <tableColumn id="13858" xr3:uid="{92A9FB98-9049-41C2-93DA-B55CD67A217B}" name="Colonne13850"/>
    <tableColumn id="13859" xr3:uid="{6F578653-33A6-46E8-A101-4B41E146B410}" name="Colonne13851"/>
    <tableColumn id="13860" xr3:uid="{80524A0E-B6B9-40FC-A738-077A38CD0381}" name="Colonne13852"/>
    <tableColumn id="13861" xr3:uid="{1F89D5B7-9946-45E1-9C39-CE5EDD08884A}" name="Colonne13853"/>
    <tableColumn id="13862" xr3:uid="{3821913D-1E31-4D34-B1A9-A22FBA211EE1}" name="Colonne13854"/>
    <tableColumn id="13863" xr3:uid="{7828F525-FDFD-4BBA-B7BE-22DF1F22C1AA}" name="Colonne13855"/>
    <tableColumn id="13864" xr3:uid="{9566CB6F-FF51-4DD6-AA3E-8B53FBC481CA}" name="Colonne13856"/>
    <tableColumn id="13865" xr3:uid="{379DE0A6-B88B-4036-9699-94AEFB732D94}" name="Colonne13857"/>
    <tableColumn id="13866" xr3:uid="{39522933-9F03-4F47-899D-5C4B559CA89A}" name="Colonne13858"/>
    <tableColumn id="13867" xr3:uid="{F911169B-0908-4DAF-A3C1-C71FEF601B50}" name="Colonne13859"/>
    <tableColumn id="13868" xr3:uid="{585A44B5-2161-4B57-892E-DA4DB4F35070}" name="Colonne13860"/>
    <tableColumn id="13869" xr3:uid="{972E8A44-1834-4454-814E-EB8C387DDB36}" name="Colonne13861"/>
    <tableColumn id="13870" xr3:uid="{215EBF0C-F9EA-4B91-AD76-24A1FE51EEEC}" name="Colonne13862"/>
    <tableColumn id="13871" xr3:uid="{4F1DEC71-DC80-4E6D-8D3A-9DDFA35D5A32}" name="Colonne13863"/>
    <tableColumn id="13872" xr3:uid="{3A49DD31-3C84-4814-86E4-D7C987B8B986}" name="Colonne13864"/>
    <tableColumn id="13873" xr3:uid="{A24D2780-ADA0-432A-9687-0736915947DE}" name="Colonne13865"/>
    <tableColumn id="13874" xr3:uid="{032C1A45-1121-43EA-8AAC-57DA61EACE57}" name="Colonne13866"/>
    <tableColumn id="13875" xr3:uid="{B2FDEE59-8564-4F19-9C20-DF755E0311E0}" name="Colonne13867"/>
    <tableColumn id="13876" xr3:uid="{08259E9C-B9D0-466F-95D8-DE31462205A0}" name="Colonne13868"/>
    <tableColumn id="13877" xr3:uid="{8C277E21-1AD0-4BF3-92C0-C4D1EF9468BD}" name="Colonne13869"/>
    <tableColumn id="13878" xr3:uid="{BDEFF364-5EDC-4EDB-990C-31730789E659}" name="Colonne13870"/>
    <tableColumn id="13879" xr3:uid="{7ABA2351-77F2-48C3-BBBF-3298914CE93E}" name="Colonne13871"/>
    <tableColumn id="13880" xr3:uid="{0A07D93C-F038-415A-80A0-3AE9650DD89E}" name="Colonne13872"/>
    <tableColumn id="13881" xr3:uid="{64B71DC0-5968-48E8-87BD-E3F41F537C8A}" name="Colonne13873"/>
    <tableColumn id="13882" xr3:uid="{893B39E4-9EB0-45FC-88A7-AFD92C2A68A4}" name="Colonne13874"/>
    <tableColumn id="13883" xr3:uid="{C1BB3D6E-47D6-42D9-9045-63890DFD944B}" name="Colonne13875"/>
    <tableColumn id="13884" xr3:uid="{52F4045F-990E-43F3-9F8E-F35904947812}" name="Colonne13876"/>
    <tableColumn id="13885" xr3:uid="{BBC08779-6B92-46A2-9B8C-4642683B6365}" name="Colonne13877"/>
    <tableColumn id="13886" xr3:uid="{29ACB1AE-802F-4CFF-BDCA-7CB3F225D7E4}" name="Colonne13878"/>
    <tableColumn id="13887" xr3:uid="{B3B0C198-E636-4788-A12C-2252921A1382}" name="Colonne13879"/>
    <tableColumn id="13888" xr3:uid="{31C6A056-4558-4EEA-B388-2DFF459A33A5}" name="Colonne13880"/>
    <tableColumn id="13889" xr3:uid="{1C56746F-DBCD-4CD8-AA65-ED73A3ECA2C4}" name="Colonne13881"/>
    <tableColumn id="13890" xr3:uid="{40719055-B394-4FD7-B5AF-4C66D2B84EAF}" name="Colonne13882"/>
    <tableColumn id="13891" xr3:uid="{66F5CAFD-273D-4026-9FA0-4C64851D85AD}" name="Colonne13883"/>
    <tableColumn id="13892" xr3:uid="{150CDF19-F73B-4D8E-8950-F9B04DC887AC}" name="Colonne13884"/>
    <tableColumn id="13893" xr3:uid="{D283223D-FC6B-41D7-9E6F-86C6C053D4E0}" name="Colonne13885"/>
    <tableColumn id="13894" xr3:uid="{B4DAA645-DD91-46C9-B877-84E259EFFD16}" name="Colonne13886"/>
    <tableColumn id="13895" xr3:uid="{5A7DAD80-E054-427E-BDC4-72CC21779497}" name="Colonne13887"/>
    <tableColumn id="13896" xr3:uid="{24C477C2-E1AB-40A2-96DA-8ED9457D4683}" name="Colonne13888"/>
    <tableColumn id="13897" xr3:uid="{B68F9DE7-589B-40A4-8FF3-F04DABF4F26A}" name="Colonne13889"/>
    <tableColumn id="13898" xr3:uid="{29ED3A39-ABC8-47B0-B11A-C3F83C98FBB9}" name="Colonne13890"/>
    <tableColumn id="13899" xr3:uid="{C81CA4B3-421B-4E78-8D81-930306D16930}" name="Colonne13891"/>
    <tableColumn id="13900" xr3:uid="{674B227E-DB3C-48A2-8448-51F0F3484A90}" name="Colonne13892"/>
    <tableColumn id="13901" xr3:uid="{2F5658F5-B880-4564-9EF1-95328AE61D7B}" name="Colonne13893"/>
    <tableColumn id="13902" xr3:uid="{6EE16539-68C6-40D0-A63E-F2F39F6C4A84}" name="Colonne13894"/>
    <tableColumn id="13903" xr3:uid="{BB502FEA-F220-4218-8DA4-3B353DBA8220}" name="Colonne13895"/>
    <tableColumn id="13904" xr3:uid="{F09050A9-E9F0-4B85-9A57-566FDE533658}" name="Colonne13896"/>
    <tableColumn id="13905" xr3:uid="{A664FD56-9088-4E67-BE2E-B7C64CB510CF}" name="Colonne13897"/>
    <tableColumn id="13906" xr3:uid="{8AFA9C5C-99A2-4B87-8CD6-55B089E4DE02}" name="Colonne13898"/>
    <tableColumn id="13907" xr3:uid="{AC311835-E80F-4CD3-AA32-61E60B99E32C}" name="Colonne13899"/>
    <tableColumn id="13908" xr3:uid="{51BD6202-325F-4825-BBDB-9B1F49527025}" name="Colonne13900"/>
    <tableColumn id="13909" xr3:uid="{347D5539-C3C3-41A2-89DE-E188BF8DBD4B}" name="Colonne13901"/>
    <tableColumn id="13910" xr3:uid="{13C68DE9-B2AF-4D48-BCE8-CCD47F4FED5C}" name="Colonne13902"/>
    <tableColumn id="13911" xr3:uid="{B3390CAD-D914-4811-97FF-FC302A685CD9}" name="Colonne13903"/>
    <tableColumn id="13912" xr3:uid="{2E3E239F-CF19-4D96-B723-290A6D3C8FC2}" name="Colonne13904"/>
    <tableColumn id="13913" xr3:uid="{CCF0CE92-A3A8-450E-9302-CD62D6529184}" name="Colonne13905"/>
    <tableColumn id="13914" xr3:uid="{6FB3398A-3DA0-4073-91BD-80241DC24EE5}" name="Colonne13906"/>
    <tableColumn id="13915" xr3:uid="{0FBAE038-A3CC-41F3-86AA-4DB00D040EF0}" name="Colonne13907"/>
    <tableColumn id="13916" xr3:uid="{68414F40-0161-4ED3-AC8D-B950380DBDBF}" name="Colonne13908"/>
    <tableColumn id="13917" xr3:uid="{B7791E37-8724-4D1B-90DB-71EEC00F6B97}" name="Colonne13909"/>
    <tableColumn id="13918" xr3:uid="{D012809A-603E-43AC-96C9-DB6235A9AFCD}" name="Colonne13910"/>
    <tableColumn id="13919" xr3:uid="{CE201696-3309-42C3-B756-BEFBDD63F790}" name="Colonne13911"/>
    <tableColumn id="13920" xr3:uid="{FE3F8439-5BEE-423B-93F0-F2F2E6573BAF}" name="Colonne13912"/>
    <tableColumn id="13921" xr3:uid="{06CA3A6F-E1A9-4D37-ABFE-1B347D0C2D00}" name="Colonne13913"/>
    <tableColumn id="13922" xr3:uid="{E15D05E6-5157-4710-98BC-0323BD9BF9F2}" name="Colonne13914"/>
    <tableColumn id="13923" xr3:uid="{762E13A0-B5F4-4352-8A69-CD76F9F8EE42}" name="Colonne13915"/>
    <tableColumn id="13924" xr3:uid="{97EDDC1D-95D1-4AED-9BB1-C73E919F6B20}" name="Colonne13916"/>
    <tableColumn id="13925" xr3:uid="{7F958355-54B0-4D51-9078-F262BA173172}" name="Colonne13917"/>
    <tableColumn id="13926" xr3:uid="{D1E47B0A-42EB-46F5-95E4-BE7A7927D065}" name="Colonne13918"/>
    <tableColumn id="13927" xr3:uid="{0462E2CC-EB44-43CF-AE2E-8068FEF8703C}" name="Colonne13919"/>
    <tableColumn id="13928" xr3:uid="{4877F4EE-AA6C-4766-A59B-9C4E2F2F8583}" name="Colonne13920"/>
    <tableColumn id="13929" xr3:uid="{11D055A2-1452-4424-BB1B-64C0A200A617}" name="Colonne13921"/>
    <tableColumn id="13930" xr3:uid="{BE5E52CD-471E-4858-A378-2EF58DCCE030}" name="Colonne13922"/>
    <tableColumn id="13931" xr3:uid="{1BF4463D-8811-4F73-9D18-770A9BDA497C}" name="Colonne13923"/>
    <tableColumn id="13932" xr3:uid="{613BA006-AC82-411F-B616-730FD4356DCC}" name="Colonne13924"/>
    <tableColumn id="13933" xr3:uid="{9F6D3F31-FF06-421F-AF9D-4DF45D1155E1}" name="Colonne13925"/>
    <tableColumn id="13934" xr3:uid="{24A0E7C7-E815-4A2F-85AE-AB31D27AF609}" name="Colonne13926"/>
    <tableColumn id="13935" xr3:uid="{0F4C1726-B430-4BC8-AB78-A280411F0882}" name="Colonne13927"/>
    <tableColumn id="13936" xr3:uid="{3658B853-D937-4B0A-98B2-D69BE24B5E19}" name="Colonne13928"/>
    <tableColumn id="13937" xr3:uid="{493773F5-072D-44ED-8EBD-FA301BC7B167}" name="Colonne13929"/>
    <tableColumn id="13938" xr3:uid="{BABFAEF5-1B0E-4548-B96B-98CF42024C85}" name="Colonne13930"/>
    <tableColumn id="13939" xr3:uid="{CB96835E-F9BE-4795-8959-B0EE9E908119}" name="Colonne13931"/>
    <tableColumn id="13940" xr3:uid="{BF20FB88-1E54-4CE3-9BE0-F22ABBFDDE54}" name="Colonne13932"/>
    <tableColumn id="13941" xr3:uid="{B76F7D21-D15C-4358-BC36-6FFA4F830622}" name="Colonne13933"/>
    <tableColumn id="13942" xr3:uid="{02247B40-530F-4608-8804-03EE62F943E3}" name="Colonne13934"/>
    <tableColumn id="13943" xr3:uid="{AF517A57-66D3-4879-ADC9-9815A2B79E2D}" name="Colonne13935"/>
    <tableColumn id="13944" xr3:uid="{A73A7EB5-0C16-4A5E-8594-AC025FC5A352}" name="Colonne13936"/>
    <tableColumn id="13945" xr3:uid="{71A25961-42A4-4674-80AE-6E528B98CD43}" name="Colonne13937"/>
    <tableColumn id="13946" xr3:uid="{13DEB709-A208-40B4-BFBB-B8A7A297E287}" name="Colonne13938"/>
    <tableColumn id="13947" xr3:uid="{44520846-275F-4FC9-9E3D-A0CCB55F180C}" name="Colonne13939"/>
    <tableColumn id="13948" xr3:uid="{E0F3C4E8-E2C2-402F-9A2E-FEDFBA17792A}" name="Colonne13940"/>
    <tableColumn id="13949" xr3:uid="{68668BB6-CE0F-4ED0-8391-62714D42640D}" name="Colonne13941"/>
    <tableColumn id="13950" xr3:uid="{E10363B6-5118-41A8-9D7C-6033C4FB7069}" name="Colonne13942"/>
    <tableColumn id="13951" xr3:uid="{3774AABE-7BD4-4BC0-9208-CE32EC16C2CD}" name="Colonne13943"/>
    <tableColumn id="13952" xr3:uid="{2FF2F853-E9AE-4278-8573-1EBC0B48D466}" name="Colonne13944"/>
    <tableColumn id="13953" xr3:uid="{28009815-97EA-4775-9611-43222277FFF0}" name="Colonne13945"/>
    <tableColumn id="13954" xr3:uid="{E3893AEE-598C-4A2B-94DF-4FD71594F4B6}" name="Colonne13946"/>
    <tableColumn id="13955" xr3:uid="{8D669E5F-C3EF-4117-97F3-DF1C008E218D}" name="Colonne13947"/>
    <tableColumn id="13956" xr3:uid="{FDB72C9B-B8B4-4710-8945-D0C71D5F38A5}" name="Colonne13948"/>
    <tableColumn id="13957" xr3:uid="{CA818DFF-6C88-4F99-AF26-F710279A3651}" name="Colonne13949"/>
    <tableColumn id="13958" xr3:uid="{340A1AFF-E436-4F92-B681-6E23B04073AA}" name="Colonne13950"/>
    <tableColumn id="13959" xr3:uid="{1071AA32-B137-413A-8620-5E993180D0EC}" name="Colonne13951"/>
    <tableColumn id="13960" xr3:uid="{C3A6C417-351D-47E3-8D2A-87100CBCDE94}" name="Colonne13952"/>
    <tableColumn id="13961" xr3:uid="{4C581ADE-5E67-4179-99AE-03105304CECC}" name="Colonne13953"/>
    <tableColumn id="13962" xr3:uid="{BEEDC882-3BC3-4E74-85DD-EA4D30B6745E}" name="Colonne13954"/>
    <tableColumn id="13963" xr3:uid="{39793975-BECA-4114-9E63-5BADE3C55A1C}" name="Colonne13955"/>
    <tableColumn id="13964" xr3:uid="{5AB5AB48-776E-4355-B37D-06253E036F15}" name="Colonne13956"/>
    <tableColumn id="13965" xr3:uid="{4B8F050B-6E33-4758-B0DF-FA5A17E2AB0F}" name="Colonne13957"/>
    <tableColumn id="13966" xr3:uid="{5EFC42F3-CD12-4F90-88FF-C1174C9E4266}" name="Colonne13958"/>
    <tableColumn id="13967" xr3:uid="{3971E5D9-0013-4D18-877E-5928536F535D}" name="Colonne13959"/>
    <tableColumn id="13968" xr3:uid="{5CD47EFD-E344-4A10-BC51-833FAE20B747}" name="Colonne13960"/>
    <tableColumn id="13969" xr3:uid="{7CFAE1C3-2E0C-491E-A863-B2CAE14EDBCB}" name="Colonne13961"/>
    <tableColumn id="13970" xr3:uid="{4DFAD131-798A-4D83-8F21-44BECCBBA28E}" name="Colonne13962"/>
    <tableColumn id="13971" xr3:uid="{B9CF9848-9F60-4449-A4E4-B7B22CD83D34}" name="Colonne13963"/>
    <tableColumn id="13972" xr3:uid="{CF99DB5F-CC7C-4F35-A4CD-E69FA40D0CF0}" name="Colonne13964"/>
    <tableColumn id="13973" xr3:uid="{633859AF-01CA-439E-A635-7473BB08ED89}" name="Colonne13965"/>
    <tableColumn id="13974" xr3:uid="{9096916F-0003-45AA-96E2-B965BE3BA263}" name="Colonne13966"/>
    <tableColumn id="13975" xr3:uid="{0F795365-C97E-4CE6-89BE-11AD476AC6F8}" name="Colonne13967"/>
    <tableColumn id="13976" xr3:uid="{E3A76469-BC27-4C6D-87F8-526326369A1A}" name="Colonne13968"/>
    <tableColumn id="13977" xr3:uid="{EA9712F2-FDEB-40D3-AA46-E757EB444118}" name="Colonne13969"/>
    <tableColumn id="13978" xr3:uid="{7D20B585-D93F-4232-B2A4-7B6A01D29FF9}" name="Colonne13970"/>
    <tableColumn id="13979" xr3:uid="{9CA2D5BC-9343-4922-82AC-B04ED1BBD6D0}" name="Colonne13971"/>
    <tableColumn id="13980" xr3:uid="{FEC8A6E1-60E1-4BB7-BCE1-A0E77BDE15F7}" name="Colonne13972"/>
    <tableColumn id="13981" xr3:uid="{A32159A3-FE4E-4B98-B97F-77E258231404}" name="Colonne13973"/>
    <tableColumn id="13982" xr3:uid="{86EBC7F7-D378-4DB1-9284-D213F7C02889}" name="Colonne13974"/>
    <tableColumn id="13983" xr3:uid="{431E0680-F858-4261-8C5F-AD6D0B040A6C}" name="Colonne13975"/>
    <tableColumn id="13984" xr3:uid="{EF13709A-4A33-4059-B166-1C03A9340149}" name="Colonne13976"/>
    <tableColumn id="13985" xr3:uid="{E8DAC458-1910-4483-ABD6-29106624DECA}" name="Colonne13977"/>
    <tableColumn id="13986" xr3:uid="{DD2D88ED-159E-48C7-BFA6-C155D9B6EAC7}" name="Colonne13978"/>
    <tableColumn id="13987" xr3:uid="{EA96D42F-3469-4320-94C6-389AE030D1EA}" name="Colonne13979"/>
    <tableColumn id="13988" xr3:uid="{5B23986A-1139-4181-805B-11C4813A756C}" name="Colonne13980"/>
    <tableColumn id="13989" xr3:uid="{DD8303EA-B2E9-4560-AED2-C5BD0316F889}" name="Colonne13981"/>
    <tableColumn id="13990" xr3:uid="{A2C86EF3-3CDD-4EEF-A1BA-F5EAC3778A73}" name="Colonne13982"/>
    <tableColumn id="13991" xr3:uid="{731325AF-CDE3-49EF-A770-9EC1ED88F7D5}" name="Colonne13983"/>
    <tableColumn id="13992" xr3:uid="{457BAEEF-8F61-47A0-BBEB-4E4EEEB8C4D9}" name="Colonne13984"/>
    <tableColumn id="13993" xr3:uid="{C055DCA8-6841-4491-A2C4-3570DB87E1A9}" name="Colonne13985"/>
    <tableColumn id="13994" xr3:uid="{2D2FAC12-8523-4F13-B337-B1CF00FB9C1B}" name="Colonne13986"/>
    <tableColumn id="13995" xr3:uid="{562F05AA-247B-4B3C-9E4A-285750F02B26}" name="Colonne13987"/>
    <tableColumn id="13996" xr3:uid="{7A7FDF15-40CD-4C2A-AC76-47AEA546638F}" name="Colonne13988"/>
    <tableColumn id="13997" xr3:uid="{2CA06AB1-79F4-4DA0-AF86-71431FCE7F43}" name="Colonne13989"/>
    <tableColumn id="13998" xr3:uid="{46F84B66-ED5D-4BC0-A0FE-2CCC5CB2F5CC}" name="Colonne13990"/>
    <tableColumn id="13999" xr3:uid="{11874943-6CF0-44DB-9BE7-B4E712DBB372}" name="Colonne13991"/>
    <tableColumn id="14000" xr3:uid="{ABABD7AA-2379-4BE7-B8E2-08C013C9F5C4}" name="Colonne13992"/>
    <tableColumn id="14001" xr3:uid="{E87CF62B-F88C-412B-939B-00AF86FEFCE6}" name="Colonne13993"/>
    <tableColumn id="14002" xr3:uid="{9BA0583A-E1E4-4EF7-9FEB-C0D6CE4EB7C1}" name="Colonne13994"/>
    <tableColumn id="14003" xr3:uid="{E6E90225-723A-4680-8538-3067DDB2A363}" name="Colonne13995"/>
    <tableColumn id="14004" xr3:uid="{7E40A14A-70D9-4614-A619-A5BD95F76B34}" name="Colonne13996"/>
    <tableColumn id="14005" xr3:uid="{83F29574-7D5E-4E22-8D08-3DB746989B02}" name="Colonne13997"/>
    <tableColumn id="14006" xr3:uid="{02F0A1FB-C551-4C92-B263-2BB728164DA0}" name="Colonne13998"/>
    <tableColumn id="14007" xr3:uid="{C261086D-CC97-4177-81E6-2968AFFE0943}" name="Colonne13999"/>
    <tableColumn id="14008" xr3:uid="{E116954A-F08B-4E8D-81EF-F1DEBFCCDA4F}" name="Colonne14000"/>
    <tableColumn id="14009" xr3:uid="{D39A1707-D773-4F94-A102-9848DC3A7D0D}" name="Colonne14001"/>
    <tableColumn id="14010" xr3:uid="{BC6034F0-8F81-4548-AD7A-80E1ECDAF90B}" name="Colonne14002"/>
    <tableColumn id="14011" xr3:uid="{0DB96B32-0F99-4E08-A4EA-3BD7B22B591D}" name="Colonne14003"/>
    <tableColumn id="14012" xr3:uid="{561CB559-B14A-4E51-86E1-9B6751835AA2}" name="Colonne14004"/>
    <tableColumn id="14013" xr3:uid="{FA5570BB-4469-4E88-B407-4C677031F1F8}" name="Colonne14005"/>
    <tableColumn id="14014" xr3:uid="{B50E44B2-0897-4A95-A5AB-8DE86830965A}" name="Colonne14006"/>
    <tableColumn id="14015" xr3:uid="{FDBE30E3-5D6D-4B9B-AEF8-A327889BED72}" name="Colonne14007"/>
    <tableColumn id="14016" xr3:uid="{15A32F66-A374-4E98-A969-8414E8BAEE21}" name="Colonne14008"/>
    <tableColumn id="14017" xr3:uid="{37ACAD88-6CEA-4DCA-A8A4-03511187A1BB}" name="Colonne14009"/>
    <tableColumn id="14018" xr3:uid="{C46140F2-CEAD-48CF-8217-5139B575091F}" name="Colonne14010"/>
    <tableColumn id="14019" xr3:uid="{69229F24-0C56-4DCF-9EC4-5C11A56A412D}" name="Colonne14011"/>
    <tableColumn id="14020" xr3:uid="{1AFDC58A-0E96-4020-80A7-EAC872C30B2D}" name="Colonne14012"/>
    <tableColumn id="14021" xr3:uid="{8BA70A9B-1477-4DD0-94A3-BF631BDAF5F6}" name="Colonne14013"/>
    <tableColumn id="14022" xr3:uid="{2DDEB6DA-C31C-47F3-B0D1-4F464C364629}" name="Colonne14014"/>
    <tableColumn id="14023" xr3:uid="{E7629AA7-58BF-40B7-B3DB-F0614D28F267}" name="Colonne14015"/>
    <tableColumn id="14024" xr3:uid="{573C564E-B296-4A1B-8564-B48F5AFACAEE}" name="Colonne14016"/>
    <tableColumn id="14025" xr3:uid="{633D0729-032B-4D43-86AF-058283C29D9B}" name="Colonne14017"/>
    <tableColumn id="14026" xr3:uid="{36ED9CD0-8E86-4CDC-AFEB-FFC963A762F8}" name="Colonne14018"/>
    <tableColumn id="14027" xr3:uid="{CC1422AB-D933-4DB3-953B-7DC59957E9E8}" name="Colonne14019"/>
    <tableColumn id="14028" xr3:uid="{61EDE46A-2C7D-44F2-B5CF-93D8E470871D}" name="Colonne14020"/>
    <tableColumn id="14029" xr3:uid="{03D488B3-4350-4C3F-BFC3-6583E19ED7CE}" name="Colonne14021"/>
    <tableColumn id="14030" xr3:uid="{26CA38DD-7A92-4E50-B0DC-3FA8B85631C8}" name="Colonne14022"/>
    <tableColumn id="14031" xr3:uid="{5D34103F-551C-46B9-9A61-4C555AED3398}" name="Colonne14023"/>
    <tableColumn id="14032" xr3:uid="{51B6FE7C-15D3-4E9F-85D1-1B852EF4D6BA}" name="Colonne14024"/>
    <tableColumn id="14033" xr3:uid="{3D10570B-9151-4573-943A-2A15D91695D8}" name="Colonne14025"/>
    <tableColumn id="14034" xr3:uid="{4F7BBCC0-78B8-4CA7-92C3-4BBABB79F9E3}" name="Colonne14026"/>
    <tableColumn id="14035" xr3:uid="{B5EC6802-07E0-4665-9AC9-5E2D900481D6}" name="Colonne14027"/>
    <tableColumn id="14036" xr3:uid="{AE4C7352-F611-489B-B09C-39E54C1D447B}" name="Colonne14028"/>
    <tableColumn id="14037" xr3:uid="{FFFFCC47-65B6-40FD-B5A3-5D8F9563EB8A}" name="Colonne14029"/>
    <tableColumn id="14038" xr3:uid="{22BCC0FE-4A37-4B68-880C-3BD4FAC5A292}" name="Colonne14030"/>
    <tableColumn id="14039" xr3:uid="{EE507365-BAD6-4AA1-A819-7798E9AE2408}" name="Colonne14031"/>
    <tableColumn id="14040" xr3:uid="{15E21554-4E5C-45F5-A7DA-8E56177CD87A}" name="Colonne14032"/>
    <tableColumn id="14041" xr3:uid="{88EB9A10-84C0-47ED-AA9F-F696A8CDEE3C}" name="Colonne14033"/>
    <tableColumn id="14042" xr3:uid="{9093A0C1-06BE-4E6C-9419-2895EC4DE1D5}" name="Colonne14034"/>
    <tableColumn id="14043" xr3:uid="{FDA48E61-B9F2-451E-83C6-97A4602E3402}" name="Colonne14035"/>
    <tableColumn id="14044" xr3:uid="{2E2D3BA6-2231-4684-8C45-CFFF70345DD7}" name="Colonne14036"/>
    <tableColumn id="14045" xr3:uid="{D9A8DFEE-67F6-485A-BA8B-F12596216636}" name="Colonne14037"/>
    <tableColumn id="14046" xr3:uid="{D7259336-FB17-48D8-8E98-B8DDC6EBACA7}" name="Colonne14038"/>
    <tableColumn id="14047" xr3:uid="{45791973-920E-4F7D-A574-85A347C7A60A}" name="Colonne14039"/>
    <tableColumn id="14048" xr3:uid="{981C1003-9EBB-4EDD-9866-8B8E17C05425}" name="Colonne14040"/>
    <tableColumn id="14049" xr3:uid="{6883A6A8-03B6-42A2-859A-04F66CE9DDD1}" name="Colonne14041"/>
    <tableColumn id="14050" xr3:uid="{203C3862-9422-4801-92E2-C7F94F160E90}" name="Colonne14042"/>
    <tableColumn id="14051" xr3:uid="{9C7CAC33-40E3-4CBC-8595-9DFEEDA226E1}" name="Colonne14043"/>
    <tableColumn id="14052" xr3:uid="{8D211C84-346F-403C-A894-D6D210051DA5}" name="Colonne14044"/>
    <tableColumn id="14053" xr3:uid="{3A0F37EE-3B95-4AE8-8ACA-FDA973787370}" name="Colonne14045"/>
    <tableColumn id="14054" xr3:uid="{BBFAD683-F1F8-4CB6-86B4-2FD30999F923}" name="Colonne14046"/>
    <tableColumn id="14055" xr3:uid="{3DA206B3-723D-4F85-BE7A-1A1C7D1B3894}" name="Colonne14047"/>
    <tableColumn id="14056" xr3:uid="{223DDDD5-09C6-48D5-AD30-2835E8930239}" name="Colonne14048"/>
    <tableColumn id="14057" xr3:uid="{BB374E49-FD7E-4492-A338-BFCAB5779725}" name="Colonne14049"/>
    <tableColumn id="14058" xr3:uid="{D00435AC-3FDC-45E9-9B85-C43EF6EA1471}" name="Colonne14050"/>
    <tableColumn id="14059" xr3:uid="{E28A053E-4CDB-4269-97C4-037B48229CD7}" name="Colonne14051"/>
    <tableColumn id="14060" xr3:uid="{309749FD-D7E8-403D-BEB6-3EBFE49FE33D}" name="Colonne14052"/>
    <tableColumn id="14061" xr3:uid="{7AE6FB6F-A8C5-4667-B5C1-8BB63FA24A07}" name="Colonne14053"/>
    <tableColumn id="14062" xr3:uid="{72258ECF-47FE-42ED-BC50-766D9A31E326}" name="Colonne14054"/>
    <tableColumn id="14063" xr3:uid="{2DA6D6E6-0DF3-4934-966D-98864840164C}" name="Colonne14055"/>
    <tableColumn id="14064" xr3:uid="{B04393E1-3754-4A49-8FA4-403C66EE70BD}" name="Colonne14056"/>
    <tableColumn id="14065" xr3:uid="{D3809AF9-0BB3-4318-9330-31BFF997004F}" name="Colonne14057"/>
    <tableColumn id="14066" xr3:uid="{C33F1794-05F9-4C36-9AA4-7F293378C94F}" name="Colonne14058"/>
    <tableColumn id="14067" xr3:uid="{0C12E3E6-7225-469E-AE1B-0FC5E41CB3AA}" name="Colonne14059"/>
    <tableColumn id="14068" xr3:uid="{B86CAF32-6766-46C6-9BBB-0C2F65E8669C}" name="Colonne14060"/>
    <tableColumn id="14069" xr3:uid="{313D1ECD-64D1-4943-8F3C-9109CCE030D6}" name="Colonne14061"/>
    <tableColumn id="14070" xr3:uid="{6455C812-7B91-4826-9E41-19DA7E040F99}" name="Colonne14062"/>
    <tableColumn id="14071" xr3:uid="{6B055E26-6B57-43D1-B597-2183748B43F9}" name="Colonne14063"/>
    <tableColumn id="14072" xr3:uid="{A0A6842B-AB2B-405B-B4BF-6549CD8C20B4}" name="Colonne14064"/>
    <tableColumn id="14073" xr3:uid="{4F84FC55-48AF-4626-9C45-6C15C930C7BE}" name="Colonne14065"/>
    <tableColumn id="14074" xr3:uid="{FCCD0783-8ECD-462D-A538-A33A43B1703A}" name="Colonne14066"/>
    <tableColumn id="14075" xr3:uid="{30A1388C-0EEB-4DFC-A940-933F6E95364D}" name="Colonne14067"/>
    <tableColumn id="14076" xr3:uid="{5496E33C-07F6-43E6-B96E-1ED5C40D4C38}" name="Colonne14068"/>
    <tableColumn id="14077" xr3:uid="{CBE33C84-40A6-43D3-8778-A64D41C2441A}" name="Colonne14069"/>
    <tableColumn id="14078" xr3:uid="{E9102EDA-AB37-442E-8087-4D97DCB1ACC4}" name="Colonne14070"/>
    <tableColumn id="14079" xr3:uid="{5194C274-FBD9-416E-AAD7-743CC759448C}" name="Colonne14071"/>
    <tableColumn id="14080" xr3:uid="{0F7DEE2A-E110-496A-9EA2-080EBC6817CA}" name="Colonne14072"/>
    <tableColumn id="14081" xr3:uid="{0CE75834-F284-4E55-8EE3-7FB70439A241}" name="Colonne14073"/>
    <tableColumn id="14082" xr3:uid="{B878EA03-E137-4B1B-AE9F-879FD3F4F919}" name="Colonne14074"/>
    <tableColumn id="14083" xr3:uid="{68D3E54D-88EC-496C-9611-5C0BDB9E334B}" name="Colonne14075"/>
    <tableColumn id="14084" xr3:uid="{9FD55F93-D0A4-4593-840A-5515574F63A6}" name="Colonne14076"/>
    <tableColumn id="14085" xr3:uid="{BE8B7B2D-96AD-461E-9E86-49824E90581B}" name="Colonne14077"/>
    <tableColumn id="14086" xr3:uid="{6D0881FA-BFF9-48A9-8FDC-3425BDBF57BC}" name="Colonne14078"/>
    <tableColumn id="14087" xr3:uid="{B2412860-786D-41DB-9DF1-987332E925AE}" name="Colonne14079"/>
    <tableColumn id="14088" xr3:uid="{B9B70C74-E60E-4DAB-A833-B19338C2F4EB}" name="Colonne14080"/>
    <tableColumn id="14089" xr3:uid="{D73FBE40-55F8-4BD8-BBF4-DD5551CEF3BD}" name="Colonne14081"/>
    <tableColumn id="14090" xr3:uid="{1759C839-D090-46F2-8FD6-638EAB305BF2}" name="Colonne14082"/>
    <tableColumn id="14091" xr3:uid="{BD7AFBC5-8792-4C02-A259-F0810167E5CB}" name="Colonne14083"/>
    <tableColumn id="14092" xr3:uid="{985B32D5-515A-4AE2-B9CB-EB96C8F73504}" name="Colonne14084"/>
    <tableColumn id="14093" xr3:uid="{D3E27B4E-4479-46BC-9CAC-C04A0BBA79F0}" name="Colonne14085"/>
    <tableColumn id="14094" xr3:uid="{7BA48EAF-AD91-44B7-88A2-19F2EB9E46F5}" name="Colonne14086"/>
    <tableColumn id="14095" xr3:uid="{7A054750-FAAD-4015-B7F0-51D9DD939DF1}" name="Colonne14087"/>
    <tableColumn id="14096" xr3:uid="{E2B54575-FE38-4DD6-802B-9FDED4512664}" name="Colonne14088"/>
    <tableColumn id="14097" xr3:uid="{24268A99-C7FD-41D7-ABC8-160256BC9F4C}" name="Colonne14089"/>
    <tableColumn id="14098" xr3:uid="{757155F2-8A35-4A44-B7D0-80C6B091D3CB}" name="Colonne14090"/>
    <tableColumn id="14099" xr3:uid="{7B0715B8-8A3E-43AE-B179-E218648432A4}" name="Colonne14091"/>
    <tableColumn id="14100" xr3:uid="{EEDCA41D-5E78-4C2E-82FB-2863AD75CB2A}" name="Colonne14092"/>
    <tableColumn id="14101" xr3:uid="{7C9651CB-DE9D-4AC4-A2C5-8B3A96389737}" name="Colonne14093"/>
    <tableColumn id="14102" xr3:uid="{CB63BE57-48EA-4790-9FE0-1B12B9A5FE14}" name="Colonne14094"/>
    <tableColumn id="14103" xr3:uid="{611F36A2-805A-4704-9958-238B29323879}" name="Colonne14095"/>
    <tableColumn id="14104" xr3:uid="{0B001EE6-E650-4063-9038-82D6CEA2D23E}" name="Colonne14096"/>
    <tableColumn id="14105" xr3:uid="{1F066B0C-C99E-4653-8BC6-8A92CB2EA365}" name="Colonne14097"/>
    <tableColumn id="14106" xr3:uid="{152CF9BE-62D0-4342-B709-045EB8F8A1C6}" name="Colonne14098"/>
    <tableColumn id="14107" xr3:uid="{FBC56558-30A6-480B-B775-12C6FA646A19}" name="Colonne14099"/>
    <tableColumn id="14108" xr3:uid="{BC01BBAF-5BC1-4CB5-8528-05C9868E0CF7}" name="Colonne14100"/>
    <tableColumn id="14109" xr3:uid="{A9EC885D-003C-4006-8117-0FC4329BC07A}" name="Colonne14101"/>
    <tableColumn id="14110" xr3:uid="{6B9E2919-640A-48AB-9792-EEE0F6BCFDBE}" name="Colonne14102"/>
    <tableColumn id="14111" xr3:uid="{AD7B6136-B098-4CEF-AC68-9C61EE0B750A}" name="Colonne14103"/>
    <tableColumn id="14112" xr3:uid="{174BACCE-707D-493D-A5F2-12E12CD5A7EB}" name="Colonne14104"/>
    <tableColumn id="14113" xr3:uid="{5F41E8FE-12FF-41D5-897C-E001C90860B9}" name="Colonne14105"/>
    <tableColumn id="14114" xr3:uid="{ECDFB316-77A7-4C2E-B21E-CCB913A0CCBD}" name="Colonne14106"/>
    <tableColumn id="14115" xr3:uid="{DEE9242B-ABB4-4E72-905C-2DC9E9D56369}" name="Colonne14107"/>
    <tableColumn id="14116" xr3:uid="{D023CFFE-E054-4246-A518-228C9E231978}" name="Colonne14108"/>
    <tableColumn id="14117" xr3:uid="{FA754EAD-07F0-45BC-B110-46435182E820}" name="Colonne14109"/>
    <tableColumn id="14118" xr3:uid="{3BEEEEED-11F1-4824-9CD6-E2BBC8AECBB4}" name="Colonne14110"/>
    <tableColumn id="14119" xr3:uid="{9DA6486F-95B2-4278-BCFB-7114CEFE122E}" name="Colonne14111"/>
    <tableColumn id="14120" xr3:uid="{8DE5277A-D35D-46B7-BA6B-BC0DC4C4BE42}" name="Colonne14112"/>
    <tableColumn id="14121" xr3:uid="{7CB638DA-E123-42F4-9DCD-57081DE374E2}" name="Colonne14113"/>
    <tableColumn id="14122" xr3:uid="{D43C9122-7D7C-45F1-B892-FE56276CB6A0}" name="Colonne14114"/>
    <tableColumn id="14123" xr3:uid="{47F9FD84-4761-4F9D-A975-7390CA81A05E}" name="Colonne14115"/>
    <tableColumn id="14124" xr3:uid="{5A1D67D6-EFAE-48BE-9324-1DEDF1CE7AB6}" name="Colonne14116"/>
    <tableColumn id="14125" xr3:uid="{EE0A7340-2D34-414A-9C0F-8592DFB54A19}" name="Colonne14117"/>
    <tableColumn id="14126" xr3:uid="{45B41243-9DA8-45C7-BA82-6C59EDC81F89}" name="Colonne14118"/>
    <tableColumn id="14127" xr3:uid="{E27C34FB-6283-4CBD-86A9-FD59E766C62F}" name="Colonne14119"/>
    <tableColumn id="14128" xr3:uid="{2BB8867B-3F60-4336-80C0-50D25F7A6242}" name="Colonne14120"/>
    <tableColumn id="14129" xr3:uid="{EF3D2A07-362D-4C0A-85E7-B391F45942B3}" name="Colonne14121"/>
    <tableColumn id="14130" xr3:uid="{032AF199-D9E5-4185-93F2-6B948A73E644}" name="Colonne14122"/>
    <tableColumn id="14131" xr3:uid="{38E789AA-15B2-46AF-99A4-FB3AE8F8A609}" name="Colonne14123"/>
    <tableColumn id="14132" xr3:uid="{9EEAB5BF-E051-4048-888D-8BEED4C7C478}" name="Colonne14124"/>
    <tableColumn id="14133" xr3:uid="{E1AB46C0-26F0-4173-9D51-CE44F80AB7F1}" name="Colonne14125"/>
    <tableColumn id="14134" xr3:uid="{B7A8CC21-2A0F-4EAB-BA4C-778C0A02D889}" name="Colonne14126"/>
    <tableColumn id="14135" xr3:uid="{DEABA8A7-12E2-432D-AEC2-800CF9FFE485}" name="Colonne14127"/>
    <tableColumn id="14136" xr3:uid="{B74E661B-DE02-42F3-AB57-E62B073EB08C}" name="Colonne14128"/>
    <tableColumn id="14137" xr3:uid="{CC5125CA-FD08-4FBD-9EBC-A652C19DAC5C}" name="Colonne14129"/>
    <tableColumn id="14138" xr3:uid="{3BFDE9CF-A3B5-44FE-8BED-FD8A60D5977A}" name="Colonne14130"/>
    <tableColumn id="14139" xr3:uid="{E7D22D10-E46C-4BD5-9A3C-4EA3E45CA053}" name="Colonne14131"/>
    <tableColumn id="14140" xr3:uid="{A7A51393-5E76-467B-8B0F-2AD281A57043}" name="Colonne14132"/>
    <tableColumn id="14141" xr3:uid="{5D023793-E8FA-41A6-B730-F23F7CC37DB1}" name="Colonne14133"/>
    <tableColumn id="14142" xr3:uid="{F51DCEA4-9E91-4D1E-A45A-046E7B427E36}" name="Colonne14134"/>
    <tableColumn id="14143" xr3:uid="{598C8399-C29D-4725-8211-FD59D0C2ED5C}" name="Colonne14135"/>
    <tableColumn id="14144" xr3:uid="{A4886B8B-4BB9-4BEC-ADA4-7F08E3972CC1}" name="Colonne14136"/>
    <tableColumn id="14145" xr3:uid="{3456E1D3-D13B-430F-92A8-CD4F2C604CA2}" name="Colonne14137"/>
    <tableColumn id="14146" xr3:uid="{5F474653-E036-492C-A329-A0E188C705C9}" name="Colonne14138"/>
    <tableColumn id="14147" xr3:uid="{097E6619-AB92-45D3-94FB-05556FDC56C5}" name="Colonne14139"/>
    <tableColumn id="14148" xr3:uid="{A5C74503-5D9F-4BC4-94E8-B771E3A8440E}" name="Colonne14140"/>
    <tableColumn id="14149" xr3:uid="{966654C7-9D4E-44CA-896E-96E2A516C50D}" name="Colonne14141"/>
    <tableColumn id="14150" xr3:uid="{F34C2555-C116-4372-A815-D936E9B536B9}" name="Colonne14142"/>
    <tableColumn id="14151" xr3:uid="{94109308-4D74-4B13-A55D-2F9F1C024FA9}" name="Colonne14143"/>
    <tableColumn id="14152" xr3:uid="{E410F531-67E5-4320-A0AA-1B979C3F9B65}" name="Colonne14144"/>
    <tableColumn id="14153" xr3:uid="{8C9076CC-A3DB-4947-BCC9-A16CD253F85E}" name="Colonne14145"/>
    <tableColumn id="14154" xr3:uid="{5CE88777-0D5C-4C66-A95D-CD0275CC42CE}" name="Colonne14146"/>
    <tableColumn id="14155" xr3:uid="{7E265166-3AE9-4710-A7F2-402343A26341}" name="Colonne14147"/>
    <tableColumn id="14156" xr3:uid="{B0857C1E-14A6-4A4D-9058-8FE2D5EA1464}" name="Colonne14148"/>
    <tableColumn id="14157" xr3:uid="{7CE4E199-AB2E-4D32-A771-1165E2DDEAB9}" name="Colonne14149"/>
    <tableColumn id="14158" xr3:uid="{DE9662D4-D558-4792-9F40-AB7F877C640F}" name="Colonne14150"/>
    <tableColumn id="14159" xr3:uid="{D3A00945-AA4A-45F6-9833-46E9B737739B}" name="Colonne14151"/>
    <tableColumn id="14160" xr3:uid="{1CEB69C3-CACF-4E19-9ABA-085384C9AA17}" name="Colonne14152"/>
    <tableColumn id="14161" xr3:uid="{9C4217C8-C6B6-44C0-A6C3-4F4F5447DD34}" name="Colonne14153"/>
    <tableColumn id="14162" xr3:uid="{3E90D364-A8BB-4879-8220-41135E7A35BD}" name="Colonne14154"/>
    <tableColumn id="14163" xr3:uid="{7C2377B4-8D59-4DCF-B9D7-73B827A046D4}" name="Colonne14155"/>
    <tableColumn id="14164" xr3:uid="{D3B07612-2713-46F5-94B4-FE7E9A70AD9E}" name="Colonne14156"/>
    <tableColumn id="14165" xr3:uid="{5772B60E-C87A-446C-9C90-EA142A648200}" name="Colonne14157"/>
    <tableColumn id="14166" xr3:uid="{1916FDB8-6808-41D5-B9AD-279415DA9DC1}" name="Colonne14158"/>
    <tableColumn id="14167" xr3:uid="{F0CD70DA-18E8-4370-8237-CB97D1136271}" name="Colonne14159"/>
    <tableColumn id="14168" xr3:uid="{3A36E96F-3DE5-4F8A-A5EF-EA7DC794E7B9}" name="Colonne14160"/>
    <tableColumn id="14169" xr3:uid="{A1778830-C732-4390-B83D-EFBAAFD26C66}" name="Colonne14161"/>
    <tableColumn id="14170" xr3:uid="{34E37F1D-19C5-4718-991B-FC063E0E2B2F}" name="Colonne14162"/>
    <tableColumn id="14171" xr3:uid="{5CBDA0F3-B86A-4E6E-A2C1-816A8AFD9CE3}" name="Colonne14163"/>
    <tableColumn id="14172" xr3:uid="{1E66A0E7-E31F-4F42-9C69-557FA07C39CD}" name="Colonne14164"/>
    <tableColumn id="14173" xr3:uid="{A0CBB9F7-4FC2-4C90-AC75-0EAE5C399FD2}" name="Colonne14165"/>
    <tableColumn id="14174" xr3:uid="{FB6EBEEE-809C-429E-A8CE-B458CC71D760}" name="Colonne14166"/>
    <tableColumn id="14175" xr3:uid="{64AC2D94-DF3F-49E1-855B-76A98A72648F}" name="Colonne14167"/>
    <tableColumn id="14176" xr3:uid="{E2E0ED89-9EC5-4693-AB73-AEA6A0D03866}" name="Colonne14168"/>
    <tableColumn id="14177" xr3:uid="{7753CA7F-CE2C-4DDC-9DD1-4C9B7D248703}" name="Colonne14169"/>
    <tableColumn id="14178" xr3:uid="{B998A6D1-93CE-4E73-A11A-3171D34D881A}" name="Colonne14170"/>
    <tableColumn id="14179" xr3:uid="{B71D54BA-15E8-4B5A-89CE-6CC83FACBC54}" name="Colonne14171"/>
    <tableColumn id="14180" xr3:uid="{24C22ED4-58C9-4FCB-9165-5222F3AC7B35}" name="Colonne14172"/>
    <tableColumn id="14181" xr3:uid="{1FCB996E-72A3-4AD6-B99F-70A62C70ABC9}" name="Colonne14173"/>
    <tableColumn id="14182" xr3:uid="{D799628D-BC98-4DAC-92FA-E70368053793}" name="Colonne14174"/>
    <tableColumn id="14183" xr3:uid="{99EA50CF-50F3-4D5B-B89D-746442774786}" name="Colonne14175"/>
    <tableColumn id="14184" xr3:uid="{92AC4BFB-DA07-4C87-AAEE-326C3E10F896}" name="Colonne14176"/>
    <tableColumn id="14185" xr3:uid="{9965ACBC-F112-4065-BCAE-0B9491E2D5A0}" name="Colonne14177"/>
    <tableColumn id="14186" xr3:uid="{1079DE85-E6F8-4112-B853-8AF83BA53251}" name="Colonne14178"/>
    <tableColumn id="14187" xr3:uid="{0043BB30-B1D7-4CC3-BBFE-5375F097A398}" name="Colonne14179"/>
    <tableColumn id="14188" xr3:uid="{8FCA4F95-B99C-41BC-AA85-2AB1E7CE95A8}" name="Colonne14180"/>
    <tableColumn id="14189" xr3:uid="{4A8FB87C-EE09-4E7D-BCD3-59C2B222FE2B}" name="Colonne14181"/>
    <tableColumn id="14190" xr3:uid="{2D0AA27E-2424-4775-BF22-19ECF812B046}" name="Colonne14182"/>
    <tableColumn id="14191" xr3:uid="{F7B1AB75-1D70-4911-90B8-782DEF3D4570}" name="Colonne14183"/>
    <tableColumn id="14192" xr3:uid="{89ED5AC7-D044-40C9-AB28-37A457E8BBB7}" name="Colonne14184"/>
    <tableColumn id="14193" xr3:uid="{34364FBC-7507-408B-9690-A094E2900353}" name="Colonne14185"/>
    <tableColumn id="14194" xr3:uid="{E7CF6531-9565-4AA8-9486-8D73759B92A6}" name="Colonne14186"/>
    <tableColumn id="14195" xr3:uid="{0F2B8B42-CDAA-433F-9249-F01256B1A8F4}" name="Colonne14187"/>
    <tableColumn id="14196" xr3:uid="{89E2D741-EF74-4E11-912C-F8BA66489488}" name="Colonne14188"/>
    <tableColumn id="14197" xr3:uid="{DA4305BC-796F-49DA-BDE7-415B10CF81ED}" name="Colonne14189"/>
    <tableColumn id="14198" xr3:uid="{878BDDE5-1EDA-4583-8D58-8A144D2515B8}" name="Colonne14190"/>
    <tableColumn id="14199" xr3:uid="{7FF25717-482E-4C92-904D-D08CD95FF738}" name="Colonne14191"/>
    <tableColumn id="14200" xr3:uid="{2B8FD155-0123-47F5-87C0-FA1E700D5BF3}" name="Colonne14192"/>
    <tableColumn id="14201" xr3:uid="{261DE3A0-7FBD-4882-A70C-3126CE5FAD87}" name="Colonne14193"/>
    <tableColumn id="14202" xr3:uid="{8568AC28-D765-4359-9638-BCFF4AD4798E}" name="Colonne14194"/>
    <tableColumn id="14203" xr3:uid="{FE81A4CD-10A1-48A7-89C7-A398AEBA2F5A}" name="Colonne14195"/>
    <tableColumn id="14204" xr3:uid="{A1E8DA1B-CC64-4ACE-8CD9-9E486DC1162D}" name="Colonne14196"/>
    <tableColumn id="14205" xr3:uid="{947B52F3-089A-424E-82C1-46A06AF20403}" name="Colonne14197"/>
    <tableColumn id="14206" xr3:uid="{DEA6D47C-4A12-46F6-9BCA-3DE5F24E3BE2}" name="Colonne14198"/>
    <tableColumn id="14207" xr3:uid="{44989DDA-80F7-4F98-B3AC-5179C61862A1}" name="Colonne14199"/>
    <tableColumn id="14208" xr3:uid="{407BBF74-C8D1-49EA-BACD-69FC1C634E7E}" name="Colonne14200"/>
    <tableColumn id="14209" xr3:uid="{59F5D0D9-8742-4DF4-8E14-C66F80335B3E}" name="Colonne14201"/>
    <tableColumn id="14210" xr3:uid="{5A040446-C0A1-40FF-9005-07FE3EF48F61}" name="Colonne14202"/>
    <tableColumn id="14211" xr3:uid="{CFD55CF7-AF20-4FA7-9BBA-9783C24F00D7}" name="Colonne14203"/>
    <tableColumn id="14212" xr3:uid="{CA27AFC8-B71B-45B3-A824-49FFAF8AB97A}" name="Colonne14204"/>
    <tableColumn id="14213" xr3:uid="{FDA4BEB2-1ADE-4DCA-B4B5-2818178FA19F}" name="Colonne14205"/>
    <tableColumn id="14214" xr3:uid="{5322AF0F-B161-4B02-9EE5-C973FFA175A6}" name="Colonne14206"/>
    <tableColumn id="14215" xr3:uid="{888B9A91-67A0-411E-A681-39C77EA4A6DB}" name="Colonne14207"/>
    <tableColumn id="14216" xr3:uid="{B3D5C061-1836-4770-A6CD-5F762431B116}" name="Colonne14208"/>
    <tableColumn id="14217" xr3:uid="{125F723A-A94B-4982-B33D-48BB5E75AD7E}" name="Colonne14209"/>
    <tableColumn id="14218" xr3:uid="{3BAB73F7-A6D4-4FBC-9A3E-940E057A9808}" name="Colonne14210"/>
    <tableColumn id="14219" xr3:uid="{FD61F59A-B58E-4E12-80C2-BBA467F0E6E8}" name="Colonne14211"/>
    <tableColumn id="14220" xr3:uid="{79E38356-69CB-4AE1-83DC-85298E783EB9}" name="Colonne14212"/>
    <tableColumn id="14221" xr3:uid="{711E83F2-F26D-4FE3-BB67-8126B335252F}" name="Colonne14213"/>
    <tableColumn id="14222" xr3:uid="{7EB4EFD5-B941-4579-A2F1-96666791AE80}" name="Colonne14214"/>
    <tableColumn id="14223" xr3:uid="{4BAE85EF-B237-449E-91A2-D3DBAE9EBE15}" name="Colonne14215"/>
    <tableColumn id="14224" xr3:uid="{FBF49ADF-22F8-4328-9C80-8B78262F1B21}" name="Colonne14216"/>
    <tableColumn id="14225" xr3:uid="{05227D33-BBFE-41E8-A528-9A78185AA9A1}" name="Colonne14217"/>
    <tableColumn id="14226" xr3:uid="{57F55368-A5EA-440E-A521-F7AF476F4201}" name="Colonne14218"/>
    <tableColumn id="14227" xr3:uid="{727A7055-C225-40D2-9821-6A78F67C53B3}" name="Colonne14219"/>
    <tableColumn id="14228" xr3:uid="{993E2A56-9F64-4AF8-B86C-E04D3FDB489C}" name="Colonne14220"/>
    <tableColumn id="14229" xr3:uid="{235D3F6C-A184-44A1-93A6-50CFE5058561}" name="Colonne14221"/>
    <tableColumn id="14230" xr3:uid="{7F4B9BBD-78F3-455E-B287-0728EDDAB31B}" name="Colonne14222"/>
    <tableColumn id="14231" xr3:uid="{A2339827-2C12-4A67-A49B-18A139ACE8A6}" name="Colonne14223"/>
    <tableColumn id="14232" xr3:uid="{FDDF5B83-398A-41B4-B0BB-FD5D4E390714}" name="Colonne14224"/>
    <tableColumn id="14233" xr3:uid="{F82221A2-9DB5-46AA-B109-659EC86033B2}" name="Colonne14225"/>
    <tableColumn id="14234" xr3:uid="{4CD42E0C-A026-482C-A5D4-A976570A6553}" name="Colonne14226"/>
    <tableColumn id="14235" xr3:uid="{8A981888-D3B4-4B2C-BA3C-E301702C452B}" name="Colonne14227"/>
    <tableColumn id="14236" xr3:uid="{E3A6E275-7E59-4D63-831A-0584D1A170C9}" name="Colonne14228"/>
    <tableColumn id="14237" xr3:uid="{783464ED-3A12-40B8-8772-56FF55AE5D69}" name="Colonne14229"/>
    <tableColumn id="14238" xr3:uid="{0B40C642-A40B-4DE3-A6E2-ED7BB7F751C0}" name="Colonne14230"/>
    <tableColumn id="14239" xr3:uid="{AF18291F-9F0D-494C-957B-804757FE91BB}" name="Colonne14231"/>
    <tableColumn id="14240" xr3:uid="{B0C42D93-D44E-4758-BFC4-53EE38215068}" name="Colonne14232"/>
    <tableColumn id="14241" xr3:uid="{80B0A301-6794-492F-9991-393F89AAF4E9}" name="Colonne14233"/>
    <tableColumn id="14242" xr3:uid="{75584630-1B18-4C92-911C-DDCD58C06A53}" name="Colonne14234"/>
    <tableColumn id="14243" xr3:uid="{27964FFC-DC9B-43B4-9EE6-2C9A5A25E7E1}" name="Colonne14235"/>
    <tableColumn id="14244" xr3:uid="{E6570B56-8366-4A20-89B9-426F315D8BD2}" name="Colonne14236"/>
    <tableColumn id="14245" xr3:uid="{80BEB7F2-06AA-4AB1-A194-4AB8894CE2D5}" name="Colonne14237"/>
    <tableColumn id="14246" xr3:uid="{1C634E60-86AA-484C-A396-84C57EB14965}" name="Colonne14238"/>
    <tableColumn id="14247" xr3:uid="{4D8A5268-C8B4-4057-BBC1-38D0FA9710B6}" name="Colonne14239"/>
    <tableColumn id="14248" xr3:uid="{FE5EBE4B-9358-4C9F-BE48-C115F6F1028C}" name="Colonne14240"/>
    <tableColumn id="14249" xr3:uid="{3A5FC32B-A33D-4ED1-BB9D-67FB0A302668}" name="Colonne14241"/>
    <tableColumn id="14250" xr3:uid="{CE00AC59-6383-4D8E-A1A5-96C45B199616}" name="Colonne14242"/>
    <tableColumn id="14251" xr3:uid="{7ABF132E-9432-4DE8-9D9D-55CF67256C69}" name="Colonne14243"/>
    <tableColumn id="14252" xr3:uid="{EE6926AD-0593-4D98-B1E1-471ABCAEA988}" name="Colonne14244"/>
    <tableColumn id="14253" xr3:uid="{9398E843-2141-4B68-980A-1C466917703D}" name="Colonne14245"/>
    <tableColumn id="14254" xr3:uid="{45A2B5AB-8A41-4589-9D9F-4BD828E9B27C}" name="Colonne14246"/>
    <tableColumn id="14255" xr3:uid="{4209336A-53C9-4494-95AB-63F37FDD7DC9}" name="Colonne14247"/>
    <tableColumn id="14256" xr3:uid="{1C274C68-B0F6-433A-AE13-631A46362FD5}" name="Colonne14248"/>
    <tableColumn id="14257" xr3:uid="{04B003E2-CA95-4422-B241-E82077EEE6E2}" name="Colonne14249"/>
    <tableColumn id="14258" xr3:uid="{5E9010DD-0D48-4164-9F1E-C655E0732106}" name="Colonne14250"/>
    <tableColumn id="14259" xr3:uid="{50547267-1D4C-4350-BE8A-149C80D21E7C}" name="Colonne14251"/>
    <tableColumn id="14260" xr3:uid="{805D8AFA-2B3E-4734-98C4-EE6B86E0879F}" name="Colonne14252"/>
    <tableColumn id="14261" xr3:uid="{4063FE3B-2C2B-4BFA-888C-E869EC2086D9}" name="Colonne14253"/>
    <tableColumn id="14262" xr3:uid="{B6C642E7-43E2-47D7-AD26-6A7FEBAFBE18}" name="Colonne14254"/>
    <tableColumn id="14263" xr3:uid="{0DE40EAC-E10A-49F5-9FFB-3942E3D9750A}" name="Colonne14255"/>
    <tableColumn id="14264" xr3:uid="{EE5E5EFC-29C1-4365-95B1-05E883833596}" name="Colonne14256"/>
    <tableColumn id="14265" xr3:uid="{C1DCF06C-27BE-471A-AE9B-A2994A967F1D}" name="Colonne14257"/>
    <tableColumn id="14266" xr3:uid="{6A934F97-E000-44E6-9BC1-07865244AD4F}" name="Colonne14258"/>
    <tableColumn id="14267" xr3:uid="{9BDB2162-AEFF-4006-B48F-75344DEA689D}" name="Colonne14259"/>
    <tableColumn id="14268" xr3:uid="{ABB35E22-3D52-4CCB-8DB2-D015F4F24065}" name="Colonne14260"/>
    <tableColumn id="14269" xr3:uid="{7D00A045-8A8D-4D67-9276-BE5E9F60FB1D}" name="Colonne14261"/>
    <tableColumn id="14270" xr3:uid="{62244174-1FC4-4B4E-BDD0-442E37E543EA}" name="Colonne14262"/>
    <tableColumn id="14271" xr3:uid="{09409D94-5A06-4786-B354-8399A2B92697}" name="Colonne14263"/>
    <tableColumn id="14272" xr3:uid="{00C8EC9F-674A-45A5-97A5-53DFD0161CCD}" name="Colonne14264"/>
    <tableColumn id="14273" xr3:uid="{F201DEE0-DD3D-476A-A7B5-77DF96514569}" name="Colonne14265"/>
    <tableColumn id="14274" xr3:uid="{65D1E2EB-2431-4074-8103-7A8EBF3E7DCC}" name="Colonne14266"/>
    <tableColumn id="14275" xr3:uid="{5B3AA322-74C4-4C70-BFAA-4E2E633BE109}" name="Colonne14267"/>
    <tableColumn id="14276" xr3:uid="{2A193A73-19AD-4974-AF68-E1D4D162BCC3}" name="Colonne14268"/>
    <tableColumn id="14277" xr3:uid="{2E7431A0-BB0F-44CD-AE87-5C4525BC961A}" name="Colonne14269"/>
    <tableColumn id="14278" xr3:uid="{5191C236-648E-4618-8455-77A18BDDF0FF}" name="Colonne14270"/>
    <tableColumn id="14279" xr3:uid="{18E24038-B3DD-4768-8684-5FF1BCE4F507}" name="Colonne14271"/>
    <tableColumn id="14280" xr3:uid="{D744EE15-6DEE-4C2A-AA93-0B5ED15C3848}" name="Colonne14272"/>
    <tableColumn id="14281" xr3:uid="{E8C3A77E-033F-4B5C-9D25-203219632BDB}" name="Colonne14273"/>
    <tableColumn id="14282" xr3:uid="{A3D7FA07-E3DA-4589-BB3F-4150F423A273}" name="Colonne14274"/>
    <tableColumn id="14283" xr3:uid="{F1B7B64D-9EB9-4283-9E69-F8D80EB924BC}" name="Colonne14275"/>
    <tableColumn id="14284" xr3:uid="{59E1EE37-9D4F-4189-BA8D-9DECAA4809A7}" name="Colonne14276"/>
    <tableColumn id="14285" xr3:uid="{3728C645-0316-452F-9DE0-23E0798D8599}" name="Colonne14277"/>
    <tableColumn id="14286" xr3:uid="{1E1A1A01-04D1-46BC-BB55-A257E6B61EF5}" name="Colonne14278"/>
    <tableColumn id="14287" xr3:uid="{FD70DF7C-EB97-42AF-B0CC-5822C7995594}" name="Colonne14279"/>
    <tableColumn id="14288" xr3:uid="{D3713468-A5DD-41A7-90F2-D09E530C59DB}" name="Colonne14280"/>
    <tableColumn id="14289" xr3:uid="{157896E4-281D-4615-A07F-2CF72DD8FBD1}" name="Colonne14281"/>
    <tableColumn id="14290" xr3:uid="{6D8AE69D-0F8E-4F30-9E6A-A68EF693E648}" name="Colonne14282"/>
    <tableColumn id="14291" xr3:uid="{0F9B724A-3B93-4913-8798-ADB15CE78814}" name="Colonne14283"/>
    <tableColumn id="14292" xr3:uid="{3790871F-A4DF-4D0C-86CE-18774ED8F258}" name="Colonne14284"/>
    <tableColumn id="14293" xr3:uid="{3C02888E-A91B-4744-B88F-0B292F6D1AA9}" name="Colonne14285"/>
    <tableColumn id="14294" xr3:uid="{950F87E9-9B6F-4E1F-8D4A-B06BA58B7AF6}" name="Colonne14286"/>
    <tableColumn id="14295" xr3:uid="{68B101F5-F722-43FD-917E-3B99747E5AB2}" name="Colonne14287"/>
    <tableColumn id="14296" xr3:uid="{A6B81060-A083-4850-A4D7-8FFDB09ECB55}" name="Colonne14288"/>
    <tableColumn id="14297" xr3:uid="{01895443-3CFA-4906-9004-0272EAB468DB}" name="Colonne14289"/>
    <tableColumn id="14298" xr3:uid="{4C6446F9-1FB9-48F2-B916-A164E4EFC14A}" name="Colonne14290"/>
    <tableColumn id="14299" xr3:uid="{D0AA0AAF-B307-449B-BBF1-6E280FE7E96F}" name="Colonne14291"/>
    <tableColumn id="14300" xr3:uid="{91E97A7A-534F-4FEA-B894-1C7C7CB099B1}" name="Colonne14292"/>
    <tableColumn id="14301" xr3:uid="{9DAE4E48-47F8-447E-A113-FFD86D2E2670}" name="Colonne14293"/>
    <tableColumn id="14302" xr3:uid="{49AA632B-A0D0-4033-AF17-60D633A29C55}" name="Colonne14294"/>
    <tableColumn id="14303" xr3:uid="{A6C28EA7-9808-4AE2-8607-57E2FE8CF922}" name="Colonne14295"/>
    <tableColumn id="14304" xr3:uid="{529B12B0-7E26-4318-A1F6-544D31423957}" name="Colonne14296"/>
    <tableColumn id="14305" xr3:uid="{FEB130D9-C616-4136-A41E-4476FE7DCE02}" name="Colonne14297"/>
    <tableColumn id="14306" xr3:uid="{0913013D-C4E4-4FDC-9689-364164A20AA2}" name="Colonne14298"/>
    <tableColumn id="14307" xr3:uid="{6A3328BA-8586-4197-B8FC-695ABFE8C133}" name="Colonne14299"/>
    <tableColumn id="14308" xr3:uid="{87A7F44E-635E-487D-8C7C-73FD50F0B866}" name="Colonne14300"/>
    <tableColumn id="14309" xr3:uid="{7E08582D-536A-4C3E-822F-9E3B7B4907DB}" name="Colonne14301"/>
    <tableColumn id="14310" xr3:uid="{7C61EFD1-A77B-4B34-9A8F-EC39D3E92715}" name="Colonne14302"/>
    <tableColumn id="14311" xr3:uid="{DA467BA9-9203-43D0-B659-05CE61517230}" name="Colonne14303"/>
    <tableColumn id="14312" xr3:uid="{88C401E8-5D99-45BA-B5E2-D41B657F5523}" name="Colonne14304"/>
    <tableColumn id="14313" xr3:uid="{0F2D28F8-48A6-4CC0-B6B2-6ECA6FCBCA7D}" name="Colonne14305"/>
    <tableColumn id="14314" xr3:uid="{99DBDD51-762E-4B19-A896-362EFC927DDE}" name="Colonne14306"/>
    <tableColumn id="14315" xr3:uid="{D51774A1-21D8-4B6F-A050-EC969EAE22CA}" name="Colonne14307"/>
    <tableColumn id="14316" xr3:uid="{A339A593-F168-4B64-8E86-0175A1A8F8DE}" name="Colonne14308"/>
    <tableColumn id="14317" xr3:uid="{4A9E4831-05DE-4038-B30E-F33D39747E85}" name="Colonne14309"/>
    <tableColumn id="14318" xr3:uid="{54890F8B-CE4D-437F-B896-914F70955E40}" name="Colonne14310"/>
    <tableColumn id="14319" xr3:uid="{4A105311-BF49-4491-A343-7557256FDCF9}" name="Colonne14311"/>
    <tableColumn id="14320" xr3:uid="{AEAC407F-BF0A-4610-A409-2DF97648ED25}" name="Colonne14312"/>
    <tableColumn id="14321" xr3:uid="{ECD12540-001D-4F94-B202-5F9C4E1505D7}" name="Colonne14313"/>
    <tableColumn id="14322" xr3:uid="{85B0F59E-B466-481D-8BFD-420A5587F0B7}" name="Colonne14314"/>
    <tableColumn id="14323" xr3:uid="{2A67F1B3-2983-4D8C-8D7A-31EA0B3F74A8}" name="Colonne14315"/>
    <tableColumn id="14324" xr3:uid="{C8B8F491-5C8A-4C1C-884C-4F7B3E2F3420}" name="Colonne14316"/>
    <tableColumn id="14325" xr3:uid="{57A34638-6C90-48CE-BB68-94AA03F00E24}" name="Colonne14317"/>
    <tableColumn id="14326" xr3:uid="{DBE4FCCD-E14C-4EC7-9D8F-817436507CD4}" name="Colonne14318"/>
    <tableColumn id="14327" xr3:uid="{EFA702E0-D430-4EEA-BBA6-3BCA8890B234}" name="Colonne14319"/>
    <tableColumn id="14328" xr3:uid="{3E9EE9D7-19A0-4EB3-8704-5ACBB41FDC3B}" name="Colonne14320"/>
    <tableColumn id="14329" xr3:uid="{22801496-7815-488E-8655-D4058638C41C}" name="Colonne14321"/>
    <tableColumn id="14330" xr3:uid="{F7C3AF5E-0DED-4783-AF41-1B0ACEA01581}" name="Colonne14322"/>
    <tableColumn id="14331" xr3:uid="{56134A9C-CC37-451D-B3D2-18165258B6E7}" name="Colonne14323"/>
    <tableColumn id="14332" xr3:uid="{7C06C513-235C-437C-916E-86526EEF4A5A}" name="Colonne14324"/>
    <tableColumn id="14333" xr3:uid="{09162E59-468E-43B2-A105-94EE4D6019FD}" name="Colonne14325"/>
    <tableColumn id="14334" xr3:uid="{CDB70EE4-C808-47EB-A461-D9E8ADDF30B2}" name="Colonne14326"/>
    <tableColumn id="14335" xr3:uid="{04CF32A0-AA12-40A3-B811-0FC70C27ED33}" name="Colonne14327"/>
    <tableColumn id="14336" xr3:uid="{90C87B31-15E0-4825-BCE9-9EF2F6B7EBC4}" name="Colonne14328"/>
    <tableColumn id="14337" xr3:uid="{FF6DE6F2-4358-41D3-8C3E-176F33DC2AF7}" name="Colonne14329"/>
    <tableColumn id="14338" xr3:uid="{3F9A7B5B-1D2A-442E-8D9B-4B61B9BE82D4}" name="Colonne14330"/>
    <tableColumn id="14339" xr3:uid="{191B52FB-B7EF-42B7-856B-4AFD243CA5EE}" name="Colonne14331"/>
    <tableColumn id="14340" xr3:uid="{C23910CC-E69B-419D-92AB-A4F5E8C2A297}" name="Colonne14332"/>
    <tableColumn id="14341" xr3:uid="{A9B0E4E8-1017-47F9-8157-91F1C9BED7A8}" name="Colonne14333"/>
    <tableColumn id="14342" xr3:uid="{7E575532-6B6B-44AB-B374-08E1911920DA}" name="Colonne14334"/>
    <tableColumn id="14343" xr3:uid="{905CEE78-B4F1-4183-81B9-912CD0E61CB1}" name="Colonne14335"/>
    <tableColumn id="14344" xr3:uid="{A341CEBC-0B6B-48DA-95FF-7CED859B3C3E}" name="Colonne14336"/>
    <tableColumn id="14345" xr3:uid="{6E476582-3144-407A-9E98-4777FE1FA6C3}" name="Colonne14337"/>
    <tableColumn id="14346" xr3:uid="{A750A867-CBB5-420E-8553-B826508AE52F}" name="Colonne14338"/>
    <tableColumn id="14347" xr3:uid="{CECD70DA-76E6-4DE9-AC91-649738915AD4}" name="Colonne14339"/>
    <tableColumn id="14348" xr3:uid="{E6730EA7-11C8-4538-B7E8-198F1082911E}" name="Colonne14340"/>
    <tableColumn id="14349" xr3:uid="{4727C7A8-04BC-42D3-BABE-E2087D6D134E}" name="Colonne14341"/>
    <tableColumn id="14350" xr3:uid="{8BC2E480-ED14-4A3A-9285-DB94657E3AE0}" name="Colonne14342"/>
    <tableColumn id="14351" xr3:uid="{0F8EB539-B101-4942-AD34-BB24D0842D3B}" name="Colonne14343"/>
    <tableColumn id="14352" xr3:uid="{A8FDA5D3-190F-480F-9E66-06DE9E714D2D}" name="Colonne14344"/>
    <tableColumn id="14353" xr3:uid="{29B10A41-622D-4FBC-82E9-804CA7FEAAEE}" name="Colonne14345"/>
    <tableColumn id="14354" xr3:uid="{B6CFC27C-B1BD-4F90-A90E-40F84AF5F5B8}" name="Colonne14346"/>
    <tableColumn id="14355" xr3:uid="{4882903C-BE8B-432B-9233-9264250BD3E9}" name="Colonne14347"/>
    <tableColumn id="14356" xr3:uid="{7D4C94CD-64C7-4AE2-967F-9D9A3B5AB077}" name="Colonne14348"/>
    <tableColumn id="14357" xr3:uid="{0AD15BD2-809C-4BA2-BA78-843FADE94457}" name="Colonne14349"/>
    <tableColumn id="14358" xr3:uid="{887A5C47-8830-432B-82D6-FB9F4A2EF945}" name="Colonne14350"/>
    <tableColumn id="14359" xr3:uid="{68971525-57C0-406A-9B3F-4464EA2B0036}" name="Colonne14351"/>
    <tableColumn id="14360" xr3:uid="{AFBFA8F0-2CF4-43B0-B008-E5BECC17489E}" name="Colonne14352"/>
    <tableColumn id="14361" xr3:uid="{FCC79CAD-15A8-43C6-88EA-769351C885CB}" name="Colonne14353"/>
    <tableColumn id="14362" xr3:uid="{12D4C989-60B1-4E58-9A77-4D925ABFC718}" name="Colonne14354"/>
    <tableColumn id="14363" xr3:uid="{29421D6A-77E2-40E3-94D8-5D2CE2D165AF}" name="Colonne14355"/>
    <tableColumn id="14364" xr3:uid="{3F86E74C-16C2-4480-A56B-F41EB98B4468}" name="Colonne14356"/>
    <tableColumn id="14365" xr3:uid="{3B3D7D2B-8260-461E-8F51-B059232E50B9}" name="Colonne14357"/>
    <tableColumn id="14366" xr3:uid="{5903D223-06B6-4715-94C7-84A15AD56D70}" name="Colonne14358"/>
    <tableColumn id="14367" xr3:uid="{A4CF2D79-4205-486F-8836-1D9E23961ED9}" name="Colonne14359"/>
    <tableColumn id="14368" xr3:uid="{6A44DF03-2B14-4AE6-BB6D-0F398E84FAF6}" name="Colonne14360"/>
    <tableColumn id="14369" xr3:uid="{099B7119-ED94-4A8F-9454-268CB3954CD2}" name="Colonne14361"/>
    <tableColumn id="14370" xr3:uid="{A57BE482-0C6B-47D1-8223-59DB1116CBB7}" name="Colonne14362"/>
    <tableColumn id="14371" xr3:uid="{C3470F9B-7602-46F0-8087-17C69A670C56}" name="Colonne14363"/>
    <tableColumn id="14372" xr3:uid="{7A6051C0-65CA-4AD3-A460-D7DFAE65F35A}" name="Colonne14364"/>
    <tableColumn id="14373" xr3:uid="{058C8CB6-2069-4896-B9AE-CF917C849459}" name="Colonne14365"/>
    <tableColumn id="14374" xr3:uid="{54148A33-4F81-4186-B255-8E407A7B7BB9}" name="Colonne14366"/>
    <tableColumn id="14375" xr3:uid="{449D9C7C-B7D1-4613-978F-D4DA6109D2CA}" name="Colonne14367"/>
    <tableColumn id="14376" xr3:uid="{9AE56C82-3D80-4BBE-B9F6-C83E8A99135B}" name="Colonne14368"/>
    <tableColumn id="14377" xr3:uid="{83F91E02-CD84-4C76-8AE1-14E87D9E995E}" name="Colonne14369"/>
    <tableColumn id="14378" xr3:uid="{EFDFC432-CC2C-4F2B-BF94-B29C3A93CFA3}" name="Colonne14370"/>
    <tableColumn id="14379" xr3:uid="{38CB193C-A791-4704-8521-58E1D8B023A0}" name="Colonne14371"/>
    <tableColumn id="14380" xr3:uid="{D1953125-E38F-42D7-B7D1-8C09DCE294E9}" name="Colonne14372"/>
    <tableColumn id="14381" xr3:uid="{7E97282C-8D5D-4065-B422-88B7C05B2C1A}" name="Colonne14373"/>
    <tableColumn id="14382" xr3:uid="{260103A5-F27C-4CC6-AF11-AA7AA07EC875}" name="Colonne14374"/>
    <tableColumn id="14383" xr3:uid="{28556D16-5509-436F-993E-E4EF4955A4EE}" name="Colonne14375"/>
    <tableColumn id="14384" xr3:uid="{CC7E3380-1BB7-4119-8D47-ADC17484EF70}" name="Colonne14376"/>
    <tableColumn id="14385" xr3:uid="{3685FC9F-1D46-4F0E-A46D-8A78FC998B5B}" name="Colonne14377"/>
    <tableColumn id="14386" xr3:uid="{9CC428CE-3FDC-4ABE-A1CD-F54B14F09F31}" name="Colonne14378"/>
    <tableColumn id="14387" xr3:uid="{9195C5C0-056A-4026-82B2-DDA5C118D807}" name="Colonne14379"/>
    <tableColumn id="14388" xr3:uid="{F5D8E23D-BA37-42A7-B0D1-13E1190FE7A8}" name="Colonne14380"/>
    <tableColumn id="14389" xr3:uid="{FFC37409-1479-47F0-90E9-5447F6804305}" name="Colonne14381"/>
    <tableColumn id="14390" xr3:uid="{7574D39A-BB10-49A8-9C34-C23DE18B7DFA}" name="Colonne14382"/>
    <tableColumn id="14391" xr3:uid="{B522928D-9338-4D10-91A4-8E7C87B57040}" name="Colonne14383"/>
    <tableColumn id="14392" xr3:uid="{5E0F90B4-4580-40A5-9E8B-C983A9E2DE0C}" name="Colonne14384"/>
    <tableColumn id="14393" xr3:uid="{5261649C-5B26-48A4-872A-CDDAF713941F}" name="Colonne14385"/>
    <tableColumn id="14394" xr3:uid="{C3BDD6DF-0A3F-4942-A2E5-2083AA77ABE1}" name="Colonne14386"/>
    <tableColumn id="14395" xr3:uid="{40DAD1FA-2496-4527-B877-4ADE5149BE42}" name="Colonne14387"/>
    <tableColumn id="14396" xr3:uid="{D3E7693C-5C3A-4343-9ED9-03899AE8FCAA}" name="Colonne14388"/>
    <tableColumn id="14397" xr3:uid="{D2F784D2-3080-4E40-844D-CF063E7506F3}" name="Colonne14389"/>
    <tableColumn id="14398" xr3:uid="{5349372E-02A4-4179-9E2B-0A5C93279BAF}" name="Colonne14390"/>
    <tableColumn id="14399" xr3:uid="{BF985FD9-65B3-4385-8B0F-DF65977D2A30}" name="Colonne14391"/>
    <tableColumn id="14400" xr3:uid="{6B3075AF-01AF-4D9B-B580-8D418D6C5E95}" name="Colonne14392"/>
    <tableColumn id="14401" xr3:uid="{AC4C6F1D-F770-4C7A-9C40-79FF4CED79D0}" name="Colonne14393"/>
    <tableColumn id="14402" xr3:uid="{9D879E17-72F1-40E8-9725-87B9534ABB14}" name="Colonne14394"/>
    <tableColumn id="14403" xr3:uid="{8CBB570A-382A-4D6C-AE3E-F93E5AB8BC15}" name="Colonne14395"/>
    <tableColumn id="14404" xr3:uid="{2D76B748-B077-4180-B88B-9CE4BEEA45BB}" name="Colonne14396"/>
    <tableColumn id="14405" xr3:uid="{2C0D4301-743E-48B0-902F-A10A247A6EE4}" name="Colonne14397"/>
    <tableColumn id="14406" xr3:uid="{AD68BB5F-568B-4215-A3D9-CFA76DE83A44}" name="Colonne14398"/>
    <tableColumn id="14407" xr3:uid="{14A258EA-A650-4CC1-928E-9D3A45DAF00D}" name="Colonne14399"/>
    <tableColumn id="14408" xr3:uid="{7C47E520-245E-4CB7-89B5-7B00186AAB6C}" name="Colonne14400"/>
    <tableColumn id="14409" xr3:uid="{03BD88D0-4183-4002-843F-DFB23EC38E00}" name="Colonne14401"/>
    <tableColumn id="14410" xr3:uid="{F86C08C1-8B03-42A1-B62E-D02BA4275DED}" name="Colonne14402"/>
    <tableColumn id="14411" xr3:uid="{C41C0617-551D-4A16-B94E-18ED7A1F3A5B}" name="Colonne14403"/>
    <tableColumn id="14412" xr3:uid="{F6C42286-9587-4588-9363-9680036B5E08}" name="Colonne14404"/>
    <tableColumn id="14413" xr3:uid="{00CF625F-A5BB-4D88-A714-9F4383B73240}" name="Colonne14405"/>
    <tableColumn id="14414" xr3:uid="{E5766F3F-FF0F-4484-8E89-4FBD3200DE5B}" name="Colonne14406"/>
    <tableColumn id="14415" xr3:uid="{202BFC52-0688-4778-B27C-2214293D0F81}" name="Colonne14407"/>
    <tableColumn id="14416" xr3:uid="{9A86CB00-81DA-4998-B783-3D831C616684}" name="Colonne14408"/>
    <tableColumn id="14417" xr3:uid="{7C69F4F8-4A24-4A5F-83E3-BBFDD9253AA4}" name="Colonne14409"/>
    <tableColumn id="14418" xr3:uid="{23AAD9A1-01C5-45CD-9C6D-D0FA8DE79F88}" name="Colonne14410"/>
    <tableColumn id="14419" xr3:uid="{9DBA04F9-D99C-4069-9E92-39EA38040BC6}" name="Colonne14411"/>
    <tableColumn id="14420" xr3:uid="{D621F323-7A8C-4CBE-A3A7-D5144C293DC3}" name="Colonne14412"/>
    <tableColumn id="14421" xr3:uid="{04BEED8A-419E-433B-B09B-FD737C8281F2}" name="Colonne14413"/>
    <tableColumn id="14422" xr3:uid="{B2762759-2CAC-4F55-9839-616FEBA240E6}" name="Colonne14414"/>
    <tableColumn id="14423" xr3:uid="{7E3DB9FA-C6EA-4879-9F64-32DA23990878}" name="Colonne14415"/>
    <tableColumn id="14424" xr3:uid="{F4E2AABA-876F-4B80-9AFA-66802576FEDA}" name="Colonne14416"/>
    <tableColumn id="14425" xr3:uid="{6AE1E973-BCAA-4633-AB94-A26140CCE06D}" name="Colonne14417"/>
    <tableColumn id="14426" xr3:uid="{C2B9992E-304A-4082-8E39-1299C8F6A40F}" name="Colonne14418"/>
    <tableColumn id="14427" xr3:uid="{F9125838-92A8-444B-A587-35083F03DCF9}" name="Colonne14419"/>
    <tableColumn id="14428" xr3:uid="{40D937FF-95D4-48BD-A5CD-F6A4E88AF4F6}" name="Colonne14420"/>
    <tableColumn id="14429" xr3:uid="{3ED80C8C-78FC-453E-8423-E8BF59B08E6B}" name="Colonne14421"/>
    <tableColumn id="14430" xr3:uid="{41F6B597-27EB-4FD5-B1A2-A0A66AE738E2}" name="Colonne14422"/>
    <tableColumn id="14431" xr3:uid="{5BF9E3AC-AB79-4FF4-A0FA-AEDE2F91AFE7}" name="Colonne14423"/>
    <tableColumn id="14432" xr3:uid="{EAFF43E0-F171-42C4-9DB0-D8941BA3335F}" name="Colonne14424"/>
    <tableColumn id="14433" xr3:uid="{B19F137F-1C01-4DFC-8A6B-7CE45464E34C}" name="Colonne14425"/>
    <tableColumn id="14434" xr3:uid="{6037F209-9E8C-44A8-912A-7448EFC8110B}" name="Colonne14426"/>
    <tableColumn id="14435" xr3:uid="{7C704136-6780-4891-BCC6-B43D04080BAE}" name="Colonne14427"/>
    <tableColumn id="14436" xr3:uid="{DB6CBEEC-C636-43FA-8B3D-31AA49D98365}" name="Colonne14428"/>
    <tableColumn id="14437" xr3:uid="{FC1C2836-C745-493A-9C37-17284EDCB842}" name="Colonne14429"/>
    <tableColumn id="14438" xr3:uid="{5FD1E429-DBA5-4561-8313-3F522A620224}" name="Colonne14430"/>
    <tableColumn id="14439" xr3:uid="{BC9953D6-E7EF-4E7F-9F8A-8D4D97CDC2E5}" name="Colonne14431"/>
    <tableColumn id="14440" xr3:uid="{D830DA4D-46BA-4588-9160-6439437BACB9}" name="Colonne14432"/>
    <tableColumn id="14441" xr3:uid="{15A5C471-62D9-4025-8AAE-C7378146C807}" name="Colonne14433"/>
    <tableColumn id="14442" xr3:uid="{846B45AC-19AB-459D-9B70-04ADF4F57717}" name="Colonne14434"/>
    <tableColumn id="14443" xr3:uid="{636F66CA-9765-4825-A126-16D7259946ED}" name="Colonne14435"/>
    <tableColumn id="14444" xr3:uid="{F7DCDB40-1BFF-4D3E-A434-E9D5C9D88A6F}" name="Colonne14436"/>
    <tableColumn id="14445" xr3:uid="{BF2B8837-0867-46C6-8D81-8613733270DD}" name="Colonne14437"/>
    <tableColumn id="14446" xr3:uid="{93FC4E78-C71A-4465-B254-B326AF95B30B}" name="Colonne14438"/>
    <tableColumn id="14447" xr3:uid="{05233506-F270-489D-B262-117BB877C450}" name="Colonne14439"/>
    <tableColumn id="14448" xr3:uid="{762BD2D5-E23E-4B68-9274-5CD562F9D33B}" name="Colonne14440"/>
    <tableColumn id="14449" xr3:uid="{520C1717-3978-48ED-8481-91159DB53EBD}" name="Colonne14441"/>
    <tableColumn id="14450" xr3:uid="{4AA940D6-0A56-4AF8-97C3-6A9D23CA1E35}" name="Colonne14442"/>
    <tableColumn id="14451" xr3:uid="{CDF516B1-F71F-4FD0-A42B-ACBEB2BD49A8}" name="Colonne14443"/>
    <tableColumn id="14452" xr3:uid="{67F6E8A4-98F0-4A5C-8AE4-31D420057A3A}" name="Colonne14444"/>
    <tableColumn id="14453" xr3:uid="{098EE5FD-C1AF-4DC6-B824-026269E98529}" name="Colonne14445"/>
    <tableColumn id="14454" xr3:uid="{F06D1615-E193-4FBB-A565-1F16A8B72455}" name="Colonne14446"/>
    <tableColumn id="14455" xr3:uid="{C31E377B-F9E7-4D59-ABBE-0CA84EC9B2A1}" name="Colonne14447"/>
    <tableColumn id="14456" xr3:uid="{47EAD9B7-1D94-496F-BA50-44D922F5C6A2}" name="Colonne14448"/>
    <tableColumn id="14457" xr3:uid="{7CCC3A2A-8F9B-4098-BC32-FB307D4A8752}" name="Colonne14449"/>
    <tableColumn id="14458" xr3:uid="{5FF11173-0B2D-41D3-BC5C-75CAC07CC2E5}" name="Colonne14450"/>
    <tableColumn id="14459" xr3:uid="{F16E043E-188E-4DEA-AE51-BCEE1CD937D8}" name="Colonne14451"/>
    <tableColumn id="14460" xr3:uid="{8ACDC308-2EA8-4371-92DE-0653A0EFD626}" name="Colonne14452"/>
    <tableColumn id="14461" xr3:uid="{1ACDA9B2-6C12-4A54-8439-F832C4F6D95E}" name="Colonne14453"/>
    <tableColumn id="14462" xr3:uid="{97B1306F-A5B8-4B55-9F7C-76849D68E67C}" name="Colonne14454"/>
    <tableColumn id="14463" xr3:uid="{D6326DEC-7214-40C2-907A-7DD560E5953B}" name="Colonne14455"/>
    <tableColumn id="14464" xr3:uid="{3C461A47-6469-4045-93FA-0694F03230E6}" name="Colonne14456"/>
    <tableColumn id="14465" xr3:uid="{AF1D8056-9232-4E31-8EA1-7AB0830D37D3}" name="Colonne14457"/>
    <tableColumn id="14466" xr3:uid="{0B35424E-D4A1-4D0B-B81A-6BAC0F6AD067}" name="Colonne14458"/>
    <tableColumn id="14467" xr3:uid="{C3A81D43-76D2-4F81-B57D-956FB43204BA}" name="Colonne14459"/>
    <tableColumn id="14468" xr3:uid="{2835CF95-9CAF-4032-A0FB-E2BB229BAD1F}" name="Colonne14460"/>
    <tableColumn id="14469" xr3:uid="{F02DB09E-E584-4048-9DD1-366B33087C47}" name="Colonne14461"/>
    <tableColumn id="14470" xr3:uid="{7B6C270C-BB5A-412F-8C21-597C90F7C4CB}" name="Colonne14462"/>
    <tableColumn id="14471" xr3:uid="{1B468F73-8BA9-4B5A-9095-4BAC0CF85C15}" name="Colonne14463"/>
    <tableColumn id="14472" xr3:uid="{ABEC3D28-C4C7-48E8-856C-E6DF93EEE4A9}" name="Colonne14464"/>
    <tableColumn id="14473" xr3:uid="{43CF14B6-82D4-4BEA-A1F1-7815C7DDB9DE}" name="Colonne14465"/>
    <tableColumn id="14474" xr3:uid="{B0D477E8-5A19-47F2-96E4-49B4C424DC16}" name="Colonne14466"/>
    <tableColumn id="14475" xr3:uid="{30A7FC88-84A5-40DD-BA00-642865DB10DF}" name="Colonne14467"/>
    <tableColumn id="14476" xr3:uid="{A6D75723-B25C-427C-B3CE-3DCBB96630A1}" name="Colonne14468"/>
    <tableColumn id="14477" xr3:uid="{0FC70CD6-EB8D-401C-9008-C963DCE361F7}" name="Colonne14469"/>
    <tableColumn id="14478" xr3:uid="{0418D481-7848-42EC-BDF4-9BAC50AA94A9}" name="Colonne14470"/>
    <tableColumn id="14479" xr3:uid="{3B886312-841A-4479-9127-E15628B2934C}" name="Colonne14471"/>
    <tableColumn id="14480" xr3:uid="{D4D6C900-A6ED-4480-8445-1408DB4394BA}" name="Colonne14472"/>
    <tableColumn id="14481" xr3:uid="{CBAC115E-6420-4F08-8756-BBDBA495DD57}" name="Colonne14473"/>
    <tableColumn id="14482" xr3:uid="{0F68F6FC-CEEE-4D4A-B246-21A58E86A1F7}" name="Colonne14474"/>
    <tableColumn id="14483" xr3:uid="{811896C6-1107-4CAD-9531-375994C8B22D}" name="Colonne14475"/>
    <tableColumn id="14484" xr3:uid="{E55A46BA-BE5D-4A6F-A6EA-BB77ED769BFA}" name="Colonne14476"/>
    <tableColumn id="14485" xr3:uid="{9CA16ADC-99E5-423F-874A-02F3E491E488}" name="Colonne14477"/>
    <tableColumn id="14486" xr3:uid="{3D352FD1-153B-4A64-9E79-0254B32BDC75}" name="Colonne14478"/>
    <tableColumn id="14487" xr3:uid="{9B7B9BA3-094C-4157-807E-B983F026BB69}" name="Colonne14479"/>
    <tableColumn id="14488" xr3:uid="{C05EF8EC-4FDE-4151-AC1A-3307C0DBCA86}" name="Colonne14480"/>
    <tableColumn id="14489" xr3:uid="{60D67627-5F76-43C5-B574-3369F9BFACA4}" name="Colonne14481"/>
    <tableColumn id="14490" xr3:uid="{2C896CC9-A054-46D3-9110-4705054AF9F6}" name="Colonne14482"/>
    <tableColumn id="14491" xr3:uid="{FE719E66-F668-4676-BA2B-6AA096C7EDF5}" name="Colonne14483"/>
    <tableColumn id="14492" xr3:uid="{BE645645-A763-46E3-929F-A022F2A702CD}" name="Colonne14484"/>
    <tableColumn id="14493" xr3:uid="{370B6DC2-7E87-46E2-9271-761B9707EB78}" name="Colonne14485"/>
    <tableColumn id="14494" xr3:uid="{669AB697-E978-4764-9B8E-0889E2AE37E8}" name="Colonne14486"/>
    <tableColumn id="14495" xr3:uid="{5B251115-0665-468F-BB9C-6A864AFEE061}" name="Colonne14487"/>
    <tableColumn id="14496" xr3:uid="{761F3001-582D-441E-8ADE-AC2A719EA53A}" name="Colonne14488"/>
    <tableColumn id="14497" xr3:uid="{E174AD78-5374-4492-8E94-4D2DA888BECB}" name="Colonne14489"/>
    <tableColumn id="14498" xr3:uid="{C3A8E045-740F-48DD-852B-25A18CC7E77F}" name="Colonne14490"/>
    <tableColumn id="14499" xr3:uid="{57F76A52-8E06-40D7-B79F-9973EEF0F26B}" name="Colonne14491"/>
    <tableColumn id="14500" xr3:uid="{4B93D2FB-71E4-4E94-8CA1-5815224FF4B1}" name="Colonne14492"/>
    <tableColumn id="14501" xr3:uid="{E5E142FD-F4F4-42E6-8076-73162BB5AFCB}" name="Colonne14493"/>
    <tableColumn id="14502" xr3:uid="{6847C1C2-B56C-46F0-BD41-DFC959D34315}" name="Colonne14494"/>
    <tableColumn id="14503" xr3:uid="{48412333-2AE7-42D4-85EF-3AAFD5129254}" name="Colonne14495"/>
    <tableColumn id="14504" xr3:uid="{DC62C0DB-7BD5-4780-A9FB-4D1D108EFDE1}" name="Colonne14496"/>
    <tableColumn id="14505" xr3:uid="{B50252A3-406E-4823-8BA3-6286A82FE6D4}" name="Colonne14497"/>
    <tableColumn id="14506" xr3:uid="{9FDDDE17-E816-47E8-9D91-2C88AA5236F4}" name="Colonne14498"/>
    <tableColumn id="14507" xr3:uid="{E3D96FC5-FDC1-4498-AD6D-A018118FE25C}" name="Colonne14499"/>
    <tableColumn id="14508" xr3:uid="{02D565BC-AF1A-48C9-B156-679F4C6720E7}" name="Colonne14500"/>
    <tableColumn id="14509" xr3:uid="{FB268D34-84E2-459A-9F4D-9C5333218A2A}" name="Colonne14501"/>
    <tableColumn id="14510" xr3:uid="{E7EB4DBD-34C5-4824-A7FB-0D66073A74C0}" name="Colonne14502"/>
    <tableColumn id="14511" xr3:uid="{728DF4D2-1074-42F2-AE68-8ABB9AA1B366}" name="Colonne14503"/>
    <tableColumn id="14512" xr3:uid="{645A9AFB-4432-4532-8BCC-145AE76F6F58}" name="Colonne14504"/>
    <tableColumn id="14513" xr3:uid="{BB3AAF17-07FA-4CFA-8491-853C8F84C608}" name="Colonne14505"/>
    <tableColumn id="14514" xr3:uid="{7552DC41-3377-4A0D-9ACC-B959DB68DF29}" name="Colonne14506"/>
    <tableColumn id="14515" xr3:uid="{C3829DE9-64B0-4398-8B69-62B11D7242D4}" name="Colonne14507"/>
    <tableColumn id="14516" xr3:uid="{3F94E857-D695-47BD-88F7-2A83A9AF26EE}" name="Colonne14508"/>
    <tableColumn id="14517" xr3:uid="{B0778978-F82B-4504-BEA2-A1EF74776FC7}" name="Colonne14509"/>
    <tableColumn id="14518" xr3:uid="{E2CB3806-46D9-4474-A75B-E4DD247E66B6}" name="Colonne14510"/>
    <tableColumn id="14519" xr3:uid="{9AC43730-F5CE-4ED7-98D5-B4C2B37CC94E}" name="Colonne14511"/>
    <tableColumn id="14520" xr3:uid="{DED1CDEF-F67A-48A3-8DD5-7738BA5198CC}" name="Colonne14512"/>
    <tableColumn id="14521" xr3:uid="{C62D4E71-8256-4A4D-BA72-7BB28DAFFC1A}" name="Colonne14513"/>
    <tableColumn id="14522" xr3:uid="{7117DF99-C35E-49E9-85EC-5235F09612CB}" name="Colonne14514"/>
    <tableColumn id="14523" xr3:uid="{498AD0A9-B623-42B8-AF25-040DC77431C7}" name="Colonne14515"/>
    <tableColumn id="14524" xr3:uid="{90135F66-C215-473F-8232-1B0778030BE1}" name="Colonne14516"/>
    <tableColumn id="14525" xr3:uid="{FFB7E89F-62A5-452C-85C2-23DCCCA144A5}" name="Colonne14517"/>
    <tableColumn id="14526" xr3:uid="{FBE158BF-A5A7-4322-B13E-ECE956CFC29F}" name="Colonne14518"/>
    <tableColumn id="14527" xr3:uid="{73A9212A-5ADE-43DB-B283-A85C851536A7}" name="Colonne14519"/>
    <tableColumn id="14528" xr3:uid="{E2CC18E5-E3B9-4838-9FDE-49D15053E9B8}" name="Colonne14520"/>
    <tableColumn id="14529" xr3:uid="{3155A6CA-4F43-47E3-841C-CDC0132BB49E}" name="Colonne14521"/>
    <tableColumn id="14530" xr3:uid="{BC83B87D-F660-48BD-A8DB-3FCB6588F6CB}" name="Colonne14522"/>
    <tableColumn id="14531" xr3:uid="{26250264-E2A4-4508-A476-1BF2C636462F}" name="Colonne14523"/>
    <tableColumn id="14532" xr3:uid="{7977E3D8-A8B2-488F-9642-A565BE541DE7}" name="Colonne14524"/>
    <tableColumn id="14533" xr3:uid="{239A3CAB-C574-43D5-B93B-B8E125942222}" name="Colonne14525"/>
    <tableColumn id="14534" xr3:uid="{783469FA-0C90-4865-A912-16BAC0919CC1}" name="Colonne14526"/>
    <tableColumn id="14535" xr3:uid="{D93F65DE-3E60-41FE-86BB-8C04F08BA36E}" name="Colonne14527"/>
    <tableColumn id="14536" xr3:uid="{872A3249-FA18-42AA-B600-3F0CF7036A7C}" name="Colonne14528"/>
    <tableColumn id="14537" xr3:uid="{F59A4106-41B1-48A8-83C6-7C3AD2931E93}" name="Colonne14529"/>
    <tableColumn id="14538" xr3:uid="{1780EFA9-90F4-4FE2-AA3F-D7E38BE260A1}" name="Colonne14530"/>
    <tableColumn id="14539" xr3:uid="{FC6F6FBD-4EA3-47E7-B0D4-9016F6EBD31D}" name="Colonne14531"/>
    <tableColumn id="14540" xr3:uid="{6385ED3E-C6C5-4AFE-BA1F-B033313EC231}" name="Colonne14532"/>
    <tableColumn id="14541" xr3:uid="{773965DC-5E6B-4FB0-9C34-AF4FDBAAEB31}" name="Colonne14533"/>
    <tableColumn id="14542" xr3:uid="{A484FB86-A730-4430-951B-0E3D0F234BCC}" name="Colonne14534"/>
    <tableColumn id="14543" xr3:uid="{9D641745-701E-49AA-8180-54E576FDDDED}" name="Colonne14535"/>
    <tableColumn id="14544" xr3:uid="{F5769242-5C5B-49CD-A374-A618CFC2A898}" name="Colonne14536"/>
    <tableColumn id="14545" xr3:uid="{198C2B2F-A779-4767-A358-FF5F3727A355}" name="Colonne14537"/>
    <tableColumn id="14546" xr3:uid="{73A78764-D697-418F-82D0-60EE038F11D6}" name="Colonne14538"/>
    <tableColumn id="14547" xr3:uid="{F222BA62-F147-49F5-A22D-0C6961E971D9}" name="Colonne14539"/>
    <tableColumn id="14548" xr3:uid="{1E623F77-4F81-4A77-B3B9-47F5EE089D3A}" name="Colonne14540"/>
    <tableColumn id="14549" xr3:uid="{F861328F-B88A-440E-B63F-033F4727A76D}" name="Colonne14541"/>
    <tableColumn id="14550" xr3:uid="{706B5C60-3548-448A-B0F1-6D4EA33704FA}" name="Colonne14542"/>
    <tableColumn id="14551" xr3:uid="{B80467AC-5365-432F-93E8-49048B1435F7}" name="Colonne14543"/>
    <tableColumn id="14552" xr3:uid="{FAA024B5-3099-43EA-A663-3ED2B7C7CB48}" name="Colonne14544"/>
    <tableColumn id="14553" xr3:uid="{0EFD0BED-3528-4D99-9242-B27E1EB59D91}" name="Colonne14545"/>
    <tableColumn id="14554" xr3:uid="{F6D2A50B-0CB0-459B-978F-F18448F7F3DA}" name="Colonne14546"/>
    <tableColumn id="14555" xr3:uid="{5E258D75-AA0A-4564-A4D6-6D7E97C1A4EF}" name="Colonne14547"/>
    <tableColumn id="14556" xr3:uid="{27D737CA-2A5F-4756-B63E-3DE649E109D7}" name="Colonne14548"/>
    <tableColumn id="14557" xr3:uid="{DACE27F2-7F38-457B-AD8E-B439DED86543}" name="Colonne14549"/>
    <tableColumn id="14558" xr3:uid="{80C2930D-24DE-4D4C-B302-AAC420F59557}" name="Colonne14550"/>
    <tableColumn id="14559" xr3:uid="{6D285CAE-4416-479D-9D4B-9CF7858C963B}" name="Colonne14551"/>
    <tableColumn id="14560" xr3:uid="{8015496D-FF18-424C-BBA9-43811C6EBAE7}" name="Colonne14552"/>
    <tableColumn id="14561" xr3:uid="{DAE21553-F5DF-4D4C-8650-9FA7C3BE1A1B}" name="Colonne14553"/>
    <tableColumn id="14562" xr3:uid="{9EACB2F7-4777-4FEF-A46E-C1DB08A02501}" name="Colonne14554"/>
    <tableColumn id="14563" xr3:uid="{DDC36FE8-18E5-4576-993F-C077C0B5223F}" name="Colonne14555"/>
    <tableColumn id="14564" xr3:uid="{2406F033-0D48-4A28-BAF7-3AE8AC6938B0}" name="Colonne14556"/>
    <tableColumn id="14565" xr3:uid="{927CD15C-3489-45A3-B226-153E911B9B64}" name="Colonne14557"/>
    <tableColumn id="14566" xr3:uid="{A2184B0F-0892-435E-AA66-47DBF4DC298F}" name="Colonne14558"/>
    <tableColumn id="14567" xr3:uid="{7B05FEFF-7F69-41C5-B0F6-E5EB7AF855F5}" name="Colonne14559"/>
    <tableColumn id="14568" xr3:uid="{79483A02-4B5A-43C2-A1F4-5C06B26A90B1}" name="Colonne14560"/>
    <tableColumn id="14569" xr3:uid="{F14AFDAA-EEDE-4603-82C7-43015D0D16CA}" name="Colonne14561"/>
    <tableColumn id="14570" xr3:uid="{7DDAA74F-CF64-4C95-8C74-48AE058E2AE2}" name="Colonne14562"/>
    <tableColumn id="14571" xr3:uid="{D0223E00-AB3B-4B6B-B4E9-1D68CBB3733D}" name="Colonne14563"/>
    <tableColumn id="14572" xr3:uid="{A89E8637-A6C2-4F34-9629-004B0DB7AD2A}" name="Colonne14564"/>
    <tableColumn id="14573" xr3:uid="{7F47A0B5-3D17-48AE-AD52-DD40F5BA2A08}" name="Colonne14565"/>
    <tableColumn id="14574" xr3:uid="{D2FD1B86-498E-4678-9F2B-9713150EA49C}" name="Colonne14566"/>
    <tableColumn id="14575" xr3:uid="{79141DE7-B0DF-4D86-A314-6B98BB54206F}" name="Colonne14567"/>
    <tableColumn id="14576" xr3:uid="{4DB849D0-8CC6-4652-BC9E-7497674A5D90}" name="Colonne14568"/>
    <tableColumn id="14577" xr3:uid="{4B95D0A1-3F3A-4BC7-BE08-29DDFAFE2D2B}" name="Colonne14569"/>
    <tableColumn id="14578" xr3:uid="{1975BDB5-9A4A-4DC0-8EB2-7DF65B2C81AB}" name="Colonne14570"/>
    <tableColumn id="14579" xr3:uid="{DB9987B1-B767-4DEE-82D3-63AC00306B71}" name="Colonne14571"/>
    <tableColumn id="14580" xr3:uid="{E4DD8DEF-3906-4C73-AFD8-2C8F69F23AF1}" name="Colonne14572"/>
    <tableColumn id="14581" xr3:uid="{9A7684AB-9132-4A5F-A0CD-27AB9924D583}" name="Colonne14573"/>
    <tableColumn id="14582" xr3:uid="{04DAAFEE-955A-483F-A893-464CFD6C75A2}" name="Colonne14574"/>
    <tableColumn id="14583" xr3:uid="{747D2FBA-6861-457A-8BF5-25151769F364}" name="Colonne14575"/>
    <tableColumn id="14584" xr3:uid="{4898FAE0-E810-48F8-ACB9-7AD1490D7148}" name="Colonne14576"/>
    <tableColumn id="14585" xr3:uid="{9888154E-61BB-4E6A-A52E-51DC6CF87B49}" name="Colonne14577"/>
    <tableColumn id="14586" xr3:uid="{B4A5B6CA-445D-48CB-8E9B-6E975918A7FA}" name="Colonne14578"/>
    <tableColumn id="14587" xr3:uid="{8ECD5CCC-2FC9-4D19-A4D3-E730AA8C614C}" name="Colonne14579"/>
    <tableColumn id="14588" xr3:uid="{3462D3A9-7416-421C-8EE0-E27FCBAB128B}" name="Colonne14580"/>
    <tableColumn id="14589" xr3:uid="{4DF7753C-4C0E-44A6-85F4-689660C38928}" name="Colonne14581"/>
    <tableColumn id="14590" xr3:uid="{C2F34A0A-EC08-4A01-B437-06E570866F90}" name="Colonne14582"/>
    <tableColumn id="14591" xr3:uid="{E619BA4B-4912-4D6D-BD7A-5BB80140F6F3}" name="Colonne14583"/>
    <tableColumn id="14592" xr3:uid="{DEB6FF9F-E55D-407E-A62F-975364F94D03}" name="Colonne14584"/>
    <tableColumn id="14593" xr3:uid="{DAC05FB6-013A-4E06-8EE4-E11222DF68A7}" name="Colonne14585"/>
    <tableColumn id="14594" xr3:uid="{A9F45FA6-FC05-4B6F-A600-E0C8C561FC1F}" name="Colonne14586"/>
    <tableColumn id="14595" xr3:uid="{0AAAF1FB-FE17-4EE3-BDDE-1D0F4119723F}" name="Colonne14587"/>
    <tableColumn id="14596" xr3:uid="{4FF83560-0028-436E-BEF8-84277ED6B059}" name="Colonne14588"/>
    <tableColumn id="14597" xr3:uid="{09603D07-2796-4798-B10A-6BCCF00F371F}" name="Colonne14589"/>
    <tableColumn id="14598" xr3:uid="{50705694-B2C6-4C58-AFDC-D17BCADCFF71}" name="Colonne14590"/>
    <tableColumn id="14599" xr3:uid="{7AFF33F4-E01E-4A7F-B6A3-75F0C5BAC9D1}" name="Colonne14591"/>
    <tableColumn id="14600" xr3:uid="{1341F263-5203-400E-A5A9-8F2204C84FEE}" name="Colonne14592"/>
    <tableColumn id="14601" xr3:uid="{DE21A277-20CE-4DA9-8013-C4BCCCBAEEAC}" name="Colonne14593"/>
    <tableColumn id="14602" xr3:uid="{5FEF70A9-B120-4499-9C99-41E6ADBE64DC}" name="Colonne14594"/>
    <tableColumn id="14603" xr3:uid="{F6EC58F2-11B1-4855-B2E8-7AC595A16260}" name="Colonne14595"/>
    <tableColumn id="14604" xr3:uid="{6530B36C-90AA-46A4-9BF8-D0F943C481EF}" name="Colonne14596"/>
    <tableColumn id="14605" xr3:uid="{6D55962A-487B-469F-93E1-6CA81A2DCCA3}" name="Colonne14597"/>
    <tableColumn id="14606" xr3:uid="{37566445-7D89-4300-B98C-714E57183C5C}" name="Colonne14598"/>
    <tableColumn id="14607" xr3:uid="{8C6130AC-1FF9-470A-8D0B-0883A1685840}" name="Colonne14599"/>
    <tableColumn id="14608" xr3:uid="{E67C66AE-CEF0-457B-873B-E18BB4B6A81C}" name="Colonne14600"/>
    <tableColumn id="14609" xr3:uid="{86944487-4E47-4C9B-BFCE-84E6E9607C07}" name="Colonne14601"/>
    <tableColumn id="14610" xr3:uid="{0BDF498B-FAA6-42B9-A8FA-576EBBA8B34C}" name="Colonne14602"/>
    <tableColumn id="14611" xr3:uid="{0B4CB82D-4DBC-400B-B9D9-69D3E419B199}" name="Colonne14603"/>
    <tableColumn id="14612" xr3:uid="{7BB86EAC-E069-4846-92B2-EC089C4BCB64}" name="Colonne14604"/>
    <tableColumn id="14613" xr3:uid="{92F446B6-AA56-4220-BA28-5B2D1A316FC1}" name="Colonne14605"/>
    <tableColumn id="14614" xr3:uid="{F03B1CEA-8A58-4702-96E2-3035267AB9BB}" name="Colonne14606"/>
    <tableColumn id="14615" xr3:uid="{55EC0BC5-E6DA-4A84-924C-935B322DE5C1}" name="Colonne14607"/>
    <tableColumn id="14616" xr3:uid="{73A63108-19EB-44B6-8FBE-47B34385A5F7}" name="Colonne14608"/>
    <tableColumn id="14617" xr3:uid="{2325594D-1991-4681-BDD1-1BA40C845CA8}" name="Colonne14609"/>
    <tableColumn id="14618" xr3:uid="{1D05EB14-5C01-480A-8269-05448CA771E3}" name="Colonne14610"/>
    <tableColumn id="14619" xr3:uid="{36EE3E6A-4E0F-4436-A5CA-663A57862BC3}" name="Colonne14611"/>
    <tableColumn id="14620" xr3:uid="{5E84C212-3367-4CD1-82C2-F7030AA91BD2}" name="Colonne14612"/>
    <tableColumn id="14621" xr3:uid="{A5CF5E01-1E28-478D-B4D4-7ABE4BEB3EB9}" name="Colonne14613"/>
    <tableColumn id="14622" xr3:uid="{9250B141-7260-4306-9031-8138B3A4F232}" name="Colonne14614"/>
    <tableColumn id="14623" xr3:uid="{12AD13C9-222F-4B6B-B3ED-BA43A4F9C59D}" name="Colonne14615"/>
    <tableColumn id="14624" xr3:uid="{5BB4A6E2-414D-4B38-8B64-BAA1ABCAD546}" name="Colonne14616"/>
    <tableColumn id="14625" xr3:uid="{84B96BDA-95DD-477E-AD1E-6DBD9492EC24}" name="Colonne14617"/>
    <tableColumn id="14626" xr3:uid="{0501A723-E939-4C63-A278-6F0FB7AD2C48}" name="Colonne14618"/>
    <tableColumn id="14627" xr3:uid="{2085AA33-094B-44D4-8E99-DA284677BE15}" name="Colonne14619"/>
    <tableColumn id="14628" xr3:uid="{8CF4309A-A12E-44B5-B964-7DBF4DFF6B52}" name="Colonne14620"/>
    <tableColumn id="14629" xr3:uid="{0212464D-FCC0-4A0D-9910-0D87647E53A7}" name="Colonne14621"/>
    <tableColumn id="14630" xr3:uid="{73DE8124-AA78-4924-B5E6-526A4B6E6D02}" name="Colonne14622"/>
    <tableColumn id="14631" xr3:uid="{76EF8911-4DB8-4FA7-BF3D-37FAD569265E}" name="Colonne14623"/>
    <tableColumn id="14632" xr3:uid="{D1087CEA-D16E-42A5-A4AF-CFB32FEFFFFC}" name="Colonne14624"/>
    <tableColumn id="14633" xr3:uid="{13198B4C-BA9B-448A-95BF-1531EA56E7B7}" name="Colonne14625"/>
    <tableColumn id="14634" xr3:uid="{1A424144-56DF-40F5-8251-AC30389397B0}" name="Colonne14626"/>
    <tableColumn id="14635" xr3:uid="{8A2A3863-153A-47A4-94D4-A761F6F42669}" name="Colonne14627"/>
    <tableColumn id="14636" xr3:uid="{6DBBB9B1-4F63-4483-9D5C-0320110FE44D}" name="Colonne14628"/>
    <tableColumn id="14637" xr3:uid="{4E3118D9-56E5-4207-A5BC-2A15A1727E7A}" name="Colonne14629"/>
    <tableColumn id="14638" xr3:uid="{9C03AB8D-3D3B-405B-97F4-7AD4A494CBA8}" name="Colonne14630"/>
    <tableColumn id="14639" xr3:uid="{7A852D1A-881C-4CD3-9977-536140DA9BFA}" name="Colonne14631"/>
    <tableColumn id="14640" xr3:uid="{9FA8BC6F-B3AE-4306-ADDA-D30C5F3B29C8}" name="Colonne14632"/>
    <tableColumn id="14641" xr3:uid="{75A34251-5D72-4DF8-A4F7-1F2AB0E29D78}" name="Colonne14633"/>
    <tableColumn id="14642" xr3:uid="{75F6B2FB-BC2A-4CC9-A90C-3039469056D2}" name="Colonne14634"/>
    <tableColumn id="14643" xr3:uid="{9B1D3915-3CA1-4284-97D3-46ECCA3999A9}" name="Colonne14635"/>
    <tableColumn id="14644" xr3:uid="{3E6A0486-E80C-4688-9462-1B54ED9F5958}" name="Colonne14636"/>
    <tableColumn id="14645" xr3:uid="{3288E75C-2906-48D2-9718-6B53100D646D}" name="Colonne14637"/>
    <tableColumn id="14646" xr3:uid="{F401B3E9-D80B-45A7-AFC0-9BE6F977A824}" name="Colonne14638"/>
    <tableColumn id="14647" xr3:uid="{62F21CA6-4B4E-4741-A7C9-C2CCEE4987CB}" name="Colonne14639"/>
    <tableColumn id="14648" xr3:uid="{8E627388-3175-4776-A6DD-9581FB7239B2}" name="Colonne14640"/>
    <tableColumn id="14649" xr3:uid="{6953845C-9D14-458D-987F-61F4F9EBFE1B}" name="Colonne14641"/>
    <tableColumn id="14650" xr3:uid="{BE3FA20E-2E9D-4CAF-A57D-AC0C53258CE5}" name="Colonne14642"/>
    <tableColumn id="14651" xr3:uid="{1AB9D2B7-BF04-416E-A53B-F066A7CC78E6}" name="Colonne14643"/>
    <tableColumn id="14652" xr3:uid="{58869D19-6A78-4571-81EC-7E9BCAE9C4EA}" name="Colonne14644"/>
    <tableColumn id="14653" xr3:uid="{79FC6606-53CE-49F7-B2DC-9C0BE5C598A5}" name="Colonne14645"/>
    <tableColumn id="14654" xr3:uid="{81434F9F-8279-4C0C-AEA8-2671CC0BD48F}" name="Colonne14646"/>
    <tableColumn id="14655" xr3:uid="{F91B30AD-2152-4827-A65E-249473FC9B6A}" name="Colonne14647"/>
    <tableColumn id="14656" xr3:uid="{D536BB8F-D21E-4C2B-B284-F0E538C4B78A}" name="Colonne14648"/>
    <tableColumn id="14657" xr3:uid="{E3583843-EF47-419A-81A1-28F2A771B01A}" name="Colonne14649"/>
    <tableColumn id="14658" xr3:uid="{CDF98057-3272-403A-9E66-7C5AFA67F99F}" name="Colonne14650"/>
    <tableColumn id="14659" xr3:uid="{E25F2A7D-43FD-4965-85A1-9851BCE0BF30}" name="Colonne14651"/>
    <tableColumn id="14660" xr3:uid="{AE1FC027-D4A5-45C8-85FB-121C9B1BC40B}" name="Colonne14652"/>
    <tableColumn id="14661" xr3:uid="{85CF9D04-5205-4AD0-BDA5-28F8A6B63439}" name="Colonne14653"/>
    <tableColumn id="14662" xr3:uid="{50CE3075-1850-480B-A89A-9AC727658377}" name="Colonne14654"/>
    <tableColumn id="14663" xr3:uid="{06DD7F46-30A2-46AE-830F-D424DE1C1E27}" name="Colonne14655"/>
    <tableColumn id="14664" xr3:uid="{DB92F448-F0AF-4B71-9E65-F32238866AF0}" name="Colonne14656"/>
    <tableColumn id="14665" xr3:uid="{DB06CCF4-82EB-4B30-9725-70E28DB4CD71}" name="Colonne14657"/>
    <tableColumn id="14666" xr3:uid="{ACF7E6C1-442C-4C80-8E82-FBFA743FA483}" name="Colonne14658"/>
    <tableColumn id="14667" xr3:uid="{304F6D0C-F2A3-401D-90D3-5997445D44C1}" name="Colonne14659"/>
    <tableColumn id="14668" xr3:uid="{C1E8DA76-8236-48E8-A2E6-D210630E55C2}" name="Colonne14660"/>
    <tableColumn id="14669" xr3:uid="{43DAFC61-3998-4B7F-AFAE-91B1FBA0847A}" name="Colonne14661"/>
    <tableColumn id="14670" xr3:uid="{EF3A95C1-3F8A-4DA0-B265-4C7B25B01CE0}" name="Colonne14662"/>
    <tableColumn id="14671" xr3:uid="{F5833C44-24A8-49F7-BF5B-EEF6BE682864}" name="Colonne14663"/>
    <tableColumn id="14672" xr3:uid="{046437D3-09F5-4262-BAAF-81E2E5FF5CD5}" name="Colonne14664"/>
    <tableColumn id="14673" xr3:uid="{AAE62E9C-6ECF-4D6D-AAE7-16D137B89253}" name="Colonne14665"/>
    <tableColumn id="14674" xr3:uid="{A142284B-E658-43FC-941F-CC3CB5E2ABE5}" name="Colonne14666"/>
    <tableColumn id="14675" xr3:uid="{948500D7-A2E3-4A7A-A796-F48FA7DB4A3D}" name="Colonne14667"/>
    <tableColumn id="14676" xr3:uid="{15B2AA29-1ED8-477D-AE29-C742771ADFA3}" name="Colonne14668"/>
    <tableColumn id="14677" xr3:uid="{DFCDC315-B882-4269-930A-5AEA90B060A3}" name="Colonne14669"/>
    <tableColumn id="14678" xr3:uid="{AA6DFDFF-96AE-49B7-A663-7157C86B2D0B}" name="Colonne14670"/>
    <tableColumn id="14679" xr3:uid="{967D3206-514D-4B46-A8FB-45BF8EAD31D7}" name="Colonne14671"/>
    <tableColumn id="14680" xr3:uid="{6EC00350-67F0-483F-9A0C-51B695695C06}" name="Colonne14672"/>
    <tableColumn id="14681" xr3:uid="{31E52970-E14A-4172-91EC-E082615881F4}" name="Colonne14673"/>
    <tableColumn id="14682" xr3:uid="{F6262987-586C-494F-ADDD-052610425F8F}" name="Colonne14674"/>
    <tableColumn id="14683" xr3:uid="{7865C6CD-37E9-4AB9-97D6-6FFAE64059B6}" name="Colonne14675"/>
    <tableColumn id="14684" xr3:uid="{07CBCC60-78C2-4B28-9D1D-15EF5CBB2B27}" name="Colonne14676"/>
    <tableColumn id="14685" xr3:uid="{0B1C906D-BAE1-4DC6-B2F5-DA9F780AB6B1}" name="Colonne14677"/>
    <tableColumn id="14686" xr3:uid="{025B39CC-C385-4BBD-BEC2-F3C2CCE81C15}" name="Colonne14678"/>
    <tableColumn id="14687" xr3:uid="{A6356FED-1FB8-40BA-A0D2-B2049FE4C0AA}" name="Colonne14679"/>
    <tableColumn id="14688" xr3:uid="{2B06163D-1C3B-4AB4-AB18-662B47700158}" name="Colonne14680"/>
    <tableColumn id="14689" xr3:uid="{A53210EB-BF6D-4938-BCA8-2D27D2721804}" name="Colonne14681"/>
    <tableColumn id="14690" xr3:uid="{E5492809-082C-4CF2-9416-475809203F2D}" name="Colonne14682"/>
    <tableColumn id="14691" xr3:uid="{1068E480-ADF5-43FB-AB06-7AB1E187F02A}" name="Colonne14683"/>
    <tableColumn id="14692" xr3:uid="{E69D20EF-B155-45D6-A0E9-47B7DD82DFFC}" name="Colonne14684"/>
    <tableColumn id="14693" xr3:uid="{19012673-EDEF-4F1A-A270-C018F7B76EB7}" name="Colonne14685"/>
    <tableColumn id="14694" xr3:uid="{28302881-71D6-437C-B026-8E42781F2244}" name="Colonne14686"/>
    <tableColumn id="14695" xr3:uid="{AF02E767-B13B-4B62-BF8F-C933F7AD02EC}" name="Colonne14687"/>
    <tableColumn id="14696" xr3:uid="{1E8D81E2-6471-40E5-ACCF-B17988FB5D9A}" name="Colonne14688"/>
    <tableColumn id="14697" xr3:uid="{F2A77DE2-408D-4D3A-BFBC-A69EBB15FF70}" name="Colonne14689"/>
    <tableColumn id="14698" xr3:uid="{48B5F785-2714-4294-8BB3-76A906A29B04}" name="Colonne14690"/>
    <tableColumn id="14699" xr3:uid="{3B550CEB-CDAD-4CD5-BBD9-F41CB19DFAFC}" name="Colonne14691"/>
    <tableColumn id="14700" xr3:uid="{873BC3CD-0BA6-40DE-A1F9-3B235EEA2121}" name="Colonne14692"/>
    <tableColumn id="14701" xr3:uid="{907A7BE8-3956-43D0-908B-86742E0B2AF1}" name="Colonne14693"/>
    <tableColumn id="14702" xr3:uid="{A7BB748D-3018-412B-B128-FA67EC8FA1BB}" name="Colonne14694"/>
    <tableColumn id="14703" xr3:uid="{475D2529-4EB0-4920-BC1C-2B367C62EF87}" name="Colonne14695"/>
    <tableColumn id="14704" xr3:uid="{7021292F-5018-4878-82E5-57627476FCAD}" name="Colonne14696"/>
    <tableColumn id="14705" xr3:uid="{AC0798DD-7D5A-4AE8-AA54-8BD2E00E7B61}" name="Colonne14697"/>
    <tableColumn id="14706" xr3:uid="{E324B852-19B8-4AE1-83E8-2D6A87F00B68}" name="Colonne14698"/>
    <tableColumn id="14707" xr3:uid="{2E83D28A-71BB-44FE-A941-7969B9CBFACD}" name="Colonne14699"/>
    <tableColumn id="14708" xr3:uid="{F3FD9452-A464-49D7-A956-62703CEB57D0}" name="Colonne14700"/>
    <tableColumn id="14709" xr3:uid="{1DB8CFFC-4FEE-4C3A-8DDA-C4ABADC5BB78}" name="Colonne14701"/>
    <tableColumn id="14710" xr3:uid="{EA35665A-3F22-4854-A00E-B2303FBCF292}" name="Colonne14702"/>
    <tableColumn id="14711" xr3:uid="{535B1907-578A-44B1-813E-F2A90D8588AB}" name="Colonne14703"/>
    <tableColumn id="14712" xr3:uid="{A2B154AD-2300-47AF-BFD6-69D8758AF5E8}" name="Colonne14704"/>
    <tableColumn id="14713" xr3:uid="{481B7682-AFC1-447C-934A-77258A34B688}" name="Colonne14705"/>
    <tableColumn id="14714" xr3:uid="{274D6536-4EFE-4D3B-89A6-8896E23DA1D9}" name="Colonne14706"/>
    <tableColumn id="14715" xr3:uid="{A957EB9E-D79F-43CD-A30B-E71B4C304B1F}" name="Colonne14707"/>
    <tableColumn id="14716" xr3:uid="{1974BDB2-4CF8-445C-835F-D97521542EAE}" name="Colonne14708"/>
    <tableColumn id="14717" xr3:uid="{C8195E79-DD08-4670-9EEF-93604E67190E}" name="Colonne14709"/>
    <tableColumn id="14718" xr3:uid="{2AC9705A-14B4-468C-967A-70A6CBE2271F}" name="Colonne14710"/>
    <tableColumn id="14719" xr3:uid="{045F5D4D-069A-41E8-B2F8-510F392E6C85}" name="Colonne14711"/>
    <tableColumn id="14720" xr3:uid="{2EEEAB62-6DD8-48EB-9497-3D53E6759A50}" name="Colonne14712"/>
    <tableColumn id="14721" xr3:uid="{445CDDA4-8D70-4AD3-ACB8-D84F604E9F5C}" name="Colonne14713"/>
    <tableColumn id="14722" xr3:uid="{8C8EF559-5AB2-401A-A682-F1845A48B462}" name="Colonne14714"/>
    <tableColumn id="14723" xr3:uid="{AA4F7E00-DA9C-49DB-9822-6658CA739E8F}" name="Colonne14715"/>
    <tableColumn id="14724" xr3:uid="{C07EABC8-8159-45F2-BB88-63C11D7A1227}" name="Colonne14716"/>
    <tableColumn id="14725" xr3:uid="{5B82EB43-A8B9-4358-978E-07ED40E1C275}" name="Colonne14717"/>
    <tableColumn id="14726" xr3:uid="{B47F7BF6-4F36-4364-B51D-4C6636AE0EE8}" name="Colonne14718"/>
    <tableColumn id="14727" xr3:uid="{570DF30F-3BB6-4F2F-AF40-DBD69891ED15}" name="Colonne14719"/>
    <tableColumn id="14728" xr3:uid="{C5958A7E-7665-4166-85F2-93532DEE0847}" name="Colonne14720"/>
    <tableColumn id="14729" xr3:uid="{691278A2-913B-40D9-B589-62F62755D641}" name="Colonne14721"/>
    <tableColumn id="14730" xr3:uid="{D448CF2F-2E31-4F42-B311-7F34AFC489C2}" name="Colonne14722"/>
    <tableColumn id="14731" xr3:uid="{690D3AF7-8FB2-4B67-96BD-30BC618525C5}" name="Colonne14723"/>
    <tableColumn id="14732" xr3:uid="{8E4C210F-1EA6-43F6-99F9-C25EE2B3D483}" name="Colonne14724"/>
    <tableColumn id="14733" xr3:uid="{3121BC66-1F3F-41AF-A10A-D12B8431DA48}" name="Colonne14725"/>
    <tableColumn id="14734" xr3:uid="{1C12183F-9740-4DE1-A92E-14AED216599F}" name="Colonne14726"/>
    <tableColumn id="14735" xr3:uid="{8EC34C3A-FFB9-4D02-BE88-9F75BDA3EEDB}" name="Colonne14727"/>
    <tableColumn id="14736" xr3:uid="{A51F1B1C-44B8-4A3E-9091-F9B71C1C2EB1}" name="Colonne14728"/>
    <tableColumn id="14737" xr3:uid="{78D37E16-144B-4F26-93FA-166726E8DF61}" name="Colonne14729"/>
    <tableColumn id="14738" xr3:uid="{BA4BCE7B-2787-4B4F-B4D9-121C06F2210B}" name="Colonne14730"/>
    <tableColumn id="14739" xr3:uid="{4F9672B6-638B-4EFD-AA8A-60C7C3C306DB}" name="Colonne14731"/>
    <tableColumn id="14740" xr3:uid="{5C031BBC-269F-46F5-85B1-A807922808FE}" name="Colonne14732"/>
    <tableColumn id="14741" xr3:uid="{F7C7DD04-DA5A-4727-8BA6-7A0DFE47971F}" name="Colonne14733"/>
    <tableColumn id="14742" xr3:uid="{D69C7A1B-8CDD-4595-9DB6-C971BB231CC9}" name="Colonne14734"/>
    <tableColumn id="14743" xr3:uid="{9121A97B-D61F-4CCB-B3DB-0188A1D7CC95}" name="Colonne14735"/>
    <tableColumn id="14744" xr3:uid="{58132AD6-31F0-4838-BD87-BEB73D3D768F}" name="Colonne14736"/>
    <tableColumn id="14745" xr3:uid="{C61C93A0-4CAF-4813-BFA4-0EC01DA8BE6F}" name="Colonne14737"/>
    <tableColumn id="14746" xr3:uid="{F57F5453-84F4-487D-A864-90EB1C0B52D1}" name="Colonne14738"/>
    <tableColumn id="14747" xr3:uid="{289FF9F9-53C8-4763-818B-7EAE4136EE4D}" name="Colonne14739"/>
    <tableColumn id="14748" xr3:uid="{5FB8E965-D1A5-4321-9117-5859FFFBAF1B}" name="Colonne14740"/>
    <tableColumn id="14749" xr3:uid="{B9A9BA28-D0A6-42E5-962A-4763819C4387}" name="Colonne14741"/>
    <tableColumn id="14750" xr3:uid="{F0320255-E891-4DD0-9A1B-0F4246634EA6}" name="Colonne14742"/>
    <tableColumn id="14751" xr3:uid="{3F48D553-0F38-46E6-97A0-16993B32F602}" name="Colonne14743"/>
    <tableColumn id="14752" xr3:uid="{0EC57C7D-ED35-4D7A-A863-179A28E82118}" name="Colonne14744"/>
    <tableColumn id="14753" xr3:uid="{4A6C4F1F-F0AD-4D71-B210-E2A814962ECE}" name="Colonne14745"/>
    <tableColumn id="14754" xr3:uid="{EC410A22-8C26-42A8-8F5F-69CDF29EBA3C}" name="Colonne14746"/>
    <tableColumn id="14755" xr3:uid="{4C704AE1-F3DD-4992-8739-061B23B59E6B}" name="Colonne14747"/>
    <tableColumn id="14756" xr3:uid="{A2D4CA79-F4E2-4E43-9213-98F7C48DD0B5}" name="Colonne14748"/>
    <tableColumn id="14757" xr3:uid="{9AE9079E-A1B3-4570-A996-B6CAB9D122A3}" name="Colonne14749"/>
    <tableColumn id="14758" xr3:uid="{718242B2-7F27-407F-9EF3-FAD4B550FBA0}" name="Colonne14750"/>
    <tableColumn id="14759" xr3:uid="{6F7EEEEC-277F-4844-8DE7-01495DB33E5C}" name="Colonne14751"/>
    <tableColumn id="14760" xr3:uid="{FC93018B-6F4E-46B2-9342-5E6BCD8CE41A}" name="Colonne14752"/>
    <tableColumn id="14761" xr3:uid="{DA61A87B-2228-4743-AF0D-61490AC19B85}" name="Colonne14753"/>
    <tableColumn id="14762" xr3:uid="{5EBFBEE5-6619-43A0-BFED-089B4FA9013D}" name="Colonne14754"/>
    <tableColumn id="14763" xr3:uid="{DD4F27E8-C257-4C14-8C7A-353FFE093269}" name="Colonne14755"/>
    <tableColumn id="14764" xr3:uid="{0D88274B-AFD7-40B9-A69D-C994296EBE51}" name="Colonne14756"/>
    <tableColumn id="14765" xr3:uid="{E514F5DA-C331-41FB-8EE5-279FB1A6F1EB}" name="Colonne14757"/>
    <tableColumn id="14766" xr3:uid="{3167FA74-EA58-4BA6-9631-9D37A9AE486B}" name="Colonne14758"/>
    <tableColumn id="14767" xr3:uid="{44760D40-7DAD-4F33-9FB1-63E134A4FF0C}" name="Colonne14759"/>
    <tableColumn id="14768" xr3:uid="{914D57F8-5B59-4F54-ACF2-760729F554BA}" name="Colonne14760"/>
    <tableColumn id="14769" xr3:uid="{7BE9E451-4D84-42E1-9545-FDEECCF06ECA}" name="Colonne14761"/>
    <tableColumn id="14770" xr3:uid="{B682563D-8B65-4D6B-9508-843F0802CF29}" name="Colonne14762"/>
    <tableColumn id="14771" xr3:uid="{BF7B1FD9-F5D6-4FE9-A1AC-95F28CD0E4C9}" name="Colonne14763"/>
    <tableColumn id="14772" xr3:uid="{BF05D99B-8BEF-42DA-87D1-5867DCF137D0}" name="Colonne14764"/>
    <tableColumn id="14773" xr3:uid="{7BCE50A7-42F8-4434-B4DD-3F11D590376D}" name="Colonne14765"/>
    <tableColumn id="14774" xr3:uid="{A2F7F7BD-BC40-4419-9C68-BAF2962A5433}" name="Colonne14766"/>
    <tableColumn id="14775" xr3:uid="{E9DA7172-06D6-4ABC-95A6-47375F3B7006}" name="Colonne14767"/>
    <tableColumn id="14776" xr3:uid="{A53215F7-A941-467C-B571-B12F1AFA46CD}" name="Colonne14768"/>
    <tableColumn id="14777" xr3:uid="{FFFDFB0A-8025-4CED-BE0A-4DE7465F600B}" name="Colonne14769"/>
    <tableColumn id="14778" xr3:uid="{4410D34E-EFB4-408B-8A8C-2678F38A5C66}" name="Colonne14770"/>
    <tableColumn id="14779" xr3:uid="{7D2D445B-A9F1-4104-8799-C2C4AFC07355}" name="Colonne14771"/>
    <tableColumn id="14780" xr3:uid="{612E1872-E165-4C8D-902C-C84E4A89989A}" name="Colonne14772"/>
    <tableColumn id="14781" xr3:uid="{377C0A74-61D3-43C4-A6EE-35D7B4CD6AA4}" name="Colonne14773"/>
    <tableColumn id="14782" xr3:uid="{ED636770-8952-420A-A1A3-E0591FCA9FD9}" name="Colonne14774"/>
    <tableColumn id="14783" xr3:uid="{63D9E265-6922-42CA-AE50-FD1C230E0488}" name="Colonne14775"/>
    <tableColumn id="14784" xr3:uid="{A089E827-39E6-4E31-841B-C6FFEA0D7C4B}" name="Colonne14776"/>
    <tableColumn id="14785" xr3:uid="{CB441A16-13EE-4412-8B09-B4B60FE239E6}" name="Colonne14777"/>
    <tableColumn id="14786" xr3:uid="{39FC1491-7720-479D-9A62-132DF190E1E9}" name="Colonne14778"/>
    <tableColumn id="14787" xr3:uid="{F7D97D75-9525-4E3F-92A2-4449668F0691}" name="Colonne14779"/>
    <tableColumn id="14788" xr3:uid="{AFBB4F1B-D5B5-4BBB-A43A-5076F9F070B0}" name="Colonne14780"/>
    <tableColumn id="14789" xr3:uid="{E0C9D74E-DA36-4C22-86B7-1D2C860B8F8F}" name="Colonne14781"/>
    <tableColumn id="14790" xr3:uid="{94FF4C81-CB3F-4BA6-80B4-B28C9D9969F8}" name="Colonne14782"/>
    <tableColumn id="14791" xr3:uid="{33F1E4B8-947D-4E00-BFF1-CC15D92CFCB6}" name="Colonne14783"/>
    <tableColumn id="14792" xr3:uid="{07DE1763-258C-489B-98F4-8559324AB680}" name="Colonne14784"/>
    <tableColumn id="14793" xr3:uid="{01395654-05B4-4EFA-B251-F4FB335168F0}" name="Colonne14785"/>
    <tableColumn id="14794" xr3:uid="{1D6C79FD-3ABB-4B54-874E-CD73337B51E8}" name="Colonne14786"/>
    <tableColumn id="14795" xr3:uid="{4AA7A412-B5D2-4944-AE3E-1DB7E7645C82}" name="Colonne14787"/>
    <tableColumn id="14796" xr3:uid="{F1E6E73D-9DF7-4100-980E-9EC745E736C2}" name="Colonne14788"/>
    <tableColumn id="14797" xr3:uid="{18126CDA-CB2C-47C1-9956-C6941DFE7AE3}" name="Colonne14789"/>
    <tableColumn id="14798" xr3:uid="{DF72B524-5C65-4A5B-A961-4C534CDDCE21}" name="Colonne14790"/>
    <tableColumn id="14799" xr3:uid="{3C482380-9AA5-4EBC-9938-3926F4CB5140}" name="Colonne14791"/>
    <tableColumn id="14800" xr3:uid="{9211A9CD-1ACC-4F4E-8026-236ABC1978E4}" name="Colonne14792"/>
    <tableColumn id="14801" xr3:uid="{66F5B15A-0AD4-4C34-B0A3-E32134FB55E5}" name="Colonne14793"/>
    <tableColumn id="14802" xr3:uid="{E57B3F60-C7E9-4B9A-B555-DFEA22CF41ED}" name="Colonne14794"/>
    <tableColumn id="14803" xr3:uid="{36EAC06F-022E-4495-8CF8-C0220EC1C16C}" name="Colonne14795"/>
    <tableColumn id="14804" xr3:uid="{D0C2B4E4-26DD-45D4-8054-238C2E956E06}" name="Colonne14796"/>
    <tableColumn id="14805" xr3:uid="{7E3DD3D8-F06E-42B1-A88D-B68B9E99F891}" name="Colonne14797"/>
    <tableColumn id="14806" xr3:uid="{0CC08561-BCF8-4BF9-9AA4-1E8F7EE23B13}" name="Colonne14798"/>
    <tableColumn id="14807" xr3:uid="{69191A5C-409E-46DE-A323-30C7F4B8CCE1}" name="Colonne14799"/>
    <tableColumn id="14808" xr3:uid="{1943DF13-CA04-4D6D-A805-1BB42B34A3C5}" name="Colonne14800"/>
    <tableColumn id="14809" xr3:uid="{6AE4EAF0-41C8-40B3-866F-4C7DE2181AF3}" name="Colonne14801"/>
    <tableColumn id="14810" xr3:uid="{BE1D5D84-9AED-4FD6-A891-4FF7A9B519DD}" name="Colonne14802"/>
    <tableColumn id="14811" xr3:uid="{C6A13652-3382-4595-9385-C2097F768804}" name="Colonne14803"/>
    <tableColumn id="14812" xr3:uid="{2D00C7C8-A418-4C4D-BF27-15882CBC206E}" name="Colonne14804"/>
    <tableColumn id="14813" xr3:uid="{44F27496-4ED0-47AD-9BE9-A9DDFF46A0BC}" name="Colonne14805"/>
    <tableColumn id="14814" xr3:uid="{BA600649-9239-4241-9282-06D597D81B4C}" name="Colonne14806"/>
    <tableColumn id="14815" xr3:uid="{DE0BDE5A-783D-44CF-A5FF-8B86BCB96DB5}" name="Colonne14807"/>
    <tableColumn id="14816" xr3:uid="{B2F52481-992F-468E-8A84-F30AE32C4BFE}" name="Colonne14808"/>
    <tableColumn id="14817" xr3:uid="{3C57E135-38DA-4759-8667-CC36D7A947A3}" name="Colonne14809"/>
    <tableColumn id="14818" xr3:uid="{1E3D33B3-9659-44A2-A4B6-CCA8838FC261}" name="Colonne14810"/>
    <tableColumn id="14819" xr3:uid="{95A0147C-4C6B-4E10-A66D-3932DF1D6444}" name="Colonne14811"/>
    <tableColumn id="14820" xr3:uid="{18155379-F546-4136-86A9-245B90E982C1}" name="Colonne14812"/>
    <tableColumn id="14821" xr3:uid="{20B10798-CB77-4BEA-A7B9-5C7820590C35}" name="Colonne14813"/>
    <tableColumn id="14822" xr3:uid="{659836C1-F52E-4965-83B1-18CC27C2002D}" name="Colonne14814"/>
    <tableColumn id="14823" xr3:uid="{D6E8DAA3-E367-455F-8E60-993F698B68A9}" name="Colonne14815"/>
    <tableColumn id="14824" xr3:uid="{BE4ADFD5-D28B-4EC3-BB97-CDF60DF652BE}" name="Colonne14816"/>
    <tableColumn id="14825" xr3:uid="{15EDF882-2CBA-45F3-B744-ED41ED1D23FB}" name="Colonne14817"/>
    <tableColumn id="14826" xr3:uid="{FCD40BFA-48A8-4351-A6A7-7EE2B0EFF87F}" name="Colonne14818"/>
    <tableColumn id="14827" xr3:uid="{7925DA91-0BB8-4C54-AEFA-CBF8840CA772}" name="Colonne14819"/>
    <tableColumn id="14828" xr3:uid="{D0039C07-DA92-48D7-AB1A-05DBA837229E}" name="Colonne14820"/>
    <tableColumn id="14829" xr3:uid="{2C0237BD-44C2-45E4-957B-B1BD9AF83964}" name="Colonne14821"/>
    <tableColumn id="14830" xr3:uid="{4FB1F356-1DAF-4733-85FD-6B469FBC3AAD}" name="Colonne14822"/>
    <tableColumn id="14831" xr3:uid="{31A26B6E-3B29-4C3F-8DBD-B0A0881B6845}" name="Colonne14823"/>
    <tableColumn id="14832" xr3:uid="{13441746-3D81-4944-8663-2A6F9C790AB4}" name="Colonne14824"/>
    <tableColumn id="14833" xr3:uid="{57B3F29E-38ED-44FF-BCFF-B8635598DBBE}" name="Colonne14825"/>
    <tableColumn id="14834" xr3:uid="{3E1DBAB4-955F-4A63-97BE-4FD35E983292}" name="Colonne14826"/>
    <tableColumn id="14835" xr3:uid="{353EF47B-5CCA-4E8B-9D4E-028E08C834F6}" name="Colonne14827"/>
    <tableColumn id="14836" xr3:uid="{695A45D4-5700-4BCC-8E57-1455314F3DC8}" name="Colonne14828"/>
    <tableColumn id="14837" xr3:uid="{F2E7AC8A-EC95-44DD-B154-42E1606435B0}" name="Colonne14829"/>
    <tableColumn id="14838" xr3:uid="{E365B3FF-066F-404E-A9B3-C746A83DEDEC}" name="Colonne14830"/>
    <tableColumn id="14839" xr3:uid="{015DE4A2-1AFC-4976-9E8F-4B7751D05ACE}" name="Colonne14831"/>
    <tableColumn id="14840" xr3:uid="{3E937341-9E78-49EB-8796-C0C41BBC13F6}" name="Colonne14832"/>
    <tableColumn id="14841" xr3:uid="{02C6D135-4D30-450C-BD38-CCE5494A8789}" name="Colonne14833"/>
    <tableColumn id="14842" xr3:uid="{924B852B-B2A5-491A-9B12-CF80DBDC9FC0}" name="Colonne14834"/>
    <tableColumn id="14843" xr3:uid="{CA900880-5930-4557-A5C1-274DEF886356}" name="Colonne14835"/>
    <tableColumn id="14844" xr3:uid="{40A6396F-EEAA-4D76-AEBA-E1C4EB0771E8}" name="Colonne14836"/>
    <tableColumn id="14845" xr3:uid="{FBAD3FDB-1847-4826-9EDA-5690886C18EC}" name="Colonne14837"/>
    <tableColumn id="14846" xr3:uid="{5012B0D6-CD3F-445B-9097-48CCF662D83C}" name="Colonne14838"/>
    <tableColumn id="14847" xr3:uid="{79ADB3E0-0F09-42EA-8709-9A7223829C0B}" name="Colonne14839"/>
    <tableColumn id="14848" xr3:uid="{83E220A2-0263-4F2C-9982-8140B216D7CE}" name="Colonne14840"/>
    <tableColumn id="14849" xr3:uid="{3D30BF99-4D2C-4D75-981C-CDC659D595AC}" name="Colonne14841"/>
    <tableColumn id="14850" xr3:uid="{B58F7DE4-91CF-4470-A47B-B4BE3B11E30E}" name="Colonne14842"/>
    <tableColumn id="14851" xr3:uid="{61C0CDA8-4D07-4ACC-8016-4EFDD45F6793}" name="Colonne14843"/>
    <tableColumn id="14852" xr3:uid="{952B5282-ED74-42EF-B0E2-4FC8A8F9651E}" name="Colonne14844"/>
    <tableColumn id="14853" xr3:uid="{93556C9C-9710-4B5D-BB9D-F4D4D5D8E848}" name="Colonne14845"/>
    <tableColumn id="14854" xr3:uid="{5F80F732-32EB-4C64-92D5-F5A52F5387F6}" name="Colonne14846"/>
    <tableColumn id="14855" xr3:uid="{65132DAF-4CEA-46AC-B983-A296B3F01D14}" name="Colonne14847"/>
    <tableColumn id="14856" xr3:uid="{11D3401B-5CE7-4881-8031-CC61F2D3B602}" name="Colonne14848"/>
    <tableColumn id="14857" xr3:uid="{496479D4-6C73-4001-8C7B-2FFA212DABBD}" name="Colonne14849"/>
    <tableColumn id="14858" xr3:uid="{1CC27EFA-D30C-4427-B40F-3989B4A1EF23}" name="Colonne14850"/>
    <tableColumn id="14859" xr3:uid="{9F0DFE10-5186-4333-8783-934F75F2220F}" name="Colonne14851"/>
    <tableColumn id="14860" xr3:uid="{890F216C-6C5B-4F37-A762-2DB07E0D7DA9}" name="Colonne14852"/>
    <tableColumn id="14861" xr3:uid="{90566ECA-092A-4440-8BF6-BF353A53B47C}" name="Colonne14853"/>
    <tableColumn id="14862" xr3:uid="{AC57B7D2-4EE2-475D-B00E-E2EBE24DAF36}" name="Colonne14854"/>
    <tableColumn id="14863" xr3:uid="{940E8A01-A526-4242-82AF-F78F99999E62}" name="Colonne14855"/>
    <tableColumn id="14864" xr3:uid="{EFB41EB9-AD02-47C8-A2C1-54EFB7A15BDB}" name="Colonne14856"/>
    <tableColumn id="14865" xr3:uid="{B75A953B-0825-4FC3-A934-91F3ADE83292}" name="Colonne14857"/>
    <tableColumn id="14866" xr3:uid="{D086AD68-9782-4ED2-ACCC-47BBAE820D94}" name="Colonne14858"/>
    <tableColumn id="14867" xr3:uid="{FE87CCF8-4D58-4A0C-88E2-B2C17640FD59}" name="Colonne14859"/>
    <tableColumn id="14868" xr3:uid="{B3E69965-2E60-44BC-BB9E-4E808AC55D4F}" name="Colonne14860"/>
    <tableColumn id="14869" xr3:uid="{17717FAB-4A81-42FF-AC8B-82B8EE87A153}" name="Colonne14861"/>
    <tableColumn id="14870" xr3:uid="{FD8932F8-2B6B-4434-A87E-913E986F926B}" name="Colonne14862"/>
    <tableColumn id="14871" xr3:uid="{3B8C3860-241E-48E6-B1C1-A856230F8C3C}" name="Colonne14863"/>
    <tableColumn id="14872" xr3:uid="{E617D928-54C0-46F7-B210-4BD97C35FA1C}" name="Colonne14864"/>
    <tableColumn id="14873" xr3:uid="{02687A1A-7279-4BE1-A1D6-486A51F049FD}" name="Colonne14865"/>
    <tableColumn id="14874" xr3:uid="{BAA33031-455A-4309-BFAC-D3480D11FA97}" name="Colonne14866"/>
    <tableColumn id="14875" xr3:uid="{D5659EFA-7A83-4216-8D62-5C1CBF325F5D}" name="Colonne14867"/>
    <tableColumn id="14876" xr3:uid="{8D038AEA-6D5E-4F21-AF3E-95B73D6C67E4}" name="Colonne14868"/>
    <tableColumn id="14877" xr3:uid="{A9EF3D56-DA4C-4263-9B66-AB6C713FA60A}" name="Colonne14869"/>
    <tableColumn id="14878" xr3:uid="{B9FF6DE0-0FCC-43DA-99A4-B50C7377DE7B}" name="Colonne14870"/>
    <tableColumn id="14879" xr3:uid="{0FD492AD-B2C4-4346-9A7F-0F3298C1FF0E}" name="Colonne14871"/>
    <tableColumn id="14880" xr3:uid="{68996EE5-F3D8-4826-9983-91F4D9DE9224}" name="Colonne14872"/>
    <tableColumn id="14881" xr3:uid="{DCF1710A-47DF-4012-B303-BC5777851AA7}" name="Colonne14873"/>
    <tableColumn id="14882" xr3:uid="{CADA4D01-A6C9-460E-9EC0-66112FB40A04}" name="Colonne14874"/>
    <tableColumn id="14883" xr3:uid="{BBB301C6-B921-4CE0-A121-E4AB0B18E08A}" name="Colonne14875"/>
    <tableColumn id="14884" xr3:uid="{DC1B03D4-37CD-4434-9341-1F236C98B0CF}" name="Colonne14876"/>
    <tableColumn id="14885" xr3:uid="{9D03927B-6575-4D90-ACE6-4AECD795AB8C}" name="Colonne14877"/>
    <tableColumn id="14886" xr3:uid="{3FB15156-7150-4E37-A1C1-E7C388A107CB}" name="Colonne14878"/>
    <tableColumn id="14887" xr3:uid="{7FDFCE90-2E0E-423B-81A7-D4B340A0F8B3}" name="Colonne14879"/>
    <tableColumn id="14888" xr3:uid="{0AA0EB23-1B3B-4335-94FC-C7AD99DBD03E}" name="Colonne14880"/>
    <tableColumn id="14889" xr3:uid="{6C93EE4C-2BA3-411F-B89D-E957AA4CCBB6}" name="Colonne14881"/>
    <tableColumn id="14890" xr3:uid="{DEE64164-B2E9-4968-9D7A-8CA4C3C0B7BF}" name="Colonne14882"/>
    <tableColumn id="14891" xr3:uid="{707BA436-D3E8-4E98-BF1E-9C7098531AEA}" name="Colonne14883"/>
    <tableColumn id="14892" xr3:uid="{C3A227F2-9CA6-4989-8201-5F73D1FF52EF}" name="Colonne14884"/>
    <tableColumn id="14893" xr3:uid="{7E44814F-A2E4-49EE-AA67-778C2E0927F7}" name="Colonne14885"/>
    <tableColumn id="14894" xr3:uid="{C877C229-626C-4F57-8E8F-9DE54CBBB9A9}" name="Colonne14886"/>
    <tableColumn id="14895" xr3:uid="{22348A28-CE51-450B-BB75-0905B9AB5D1D}" name="Colonne14887"/>
    <tableColumn id="14896" xr3:uid="{07E979AA-01DF-454F-8FA2-FA26599F728F}" name="Colonne14888"/>
    <tableColumn id="14897" xr3:uid="{FDBA713A-1564-4A85-806D-39727EEEE20E}" name="Colonne14889"/>
    <tableColumn id="14898" xr3:uid="{CEC94ACC-D623-454F-BF69-8AB726BC66F4}" name="Colonne14890"/>
    <tableColumn id="14899" xr3:uid="{D5B468CE-2FE9-4662-B95B-BFFBA2DEF2F8}" name="Colonne14891"/>
    <tableColumn id="14900" xr3:uid="{6B8DB5AF-D67F-4CE5-B9CA-D144F12311F2}" name="Colonne14892"/>
    <tableColumn id="14901" xr3:uid="{1955701D-04A3-476C-8B2B-ECB59AD0A376}" name="Colonne14893"/>
    <tableColumn id="14902" xr3:uid="{F9708214-24F3-4BA8-A349-B1C6721FB5EC}" name="Colonne14894"/>
    <tableColumn id="14903" xr3:uid="{570F9FED-0038-4D39-AB21-C7447AC0BC68}" name="Colonne14895"/>
    <tableColumn id="14904" xr3:uid="{6BE5CC41-9A38-4998-B927-009104C5EBCE}" name="Colonne14896"/>
    <tableColumn id="14905" xr3:uid="{B4398328-6A96-4A5C-B431-C71F3D7AE8BD}" name="Colonne14897"/>
    <tableColumn id="14906" xr3:uid="{24C5AF42-0530-4657-B4A2-E890FAC888D6}" name="Colonne14898"/>
    <tableColumn id="14907" xr3:uid="{CA0FE8FE-04D7-4E55-9276-F1296C4A4276}" name="Colonne14899"/>
    <tableColumn id="14908" xr3:uid="{593667C0-7E35-4D8E-B188-879EDD937973}" name="Colonne14900"/>
    <tableColumn id="14909" xr3:uid="{E6B7E0FA-B842-48CD-9D9D-03F351A8B085}" name="Colonne14901"/>
    <tableColumn id="14910" xr3:uid="{900B5DF4-CC15-4153-BB02-EEAEA5566196}" name="Colonne14902"/>
    <tableColumn id="14911" xr3:uid="{00A97470-AF7D-4ADD-8794-6718501B1CEC}" name="Colonne14903"/>
    <tableColumn id="14912" xr3:uid="{7E836665-357D-4D63-9C9D-F721BF44CCAF}" name="Colonne14904"/>
    <tableColumn id="14913" xr3:uid="{17F2DC69-2D12-43A9-9B46-74FBB6DA3F4A}" name="Colonne14905"/>
    <tableColumn id="14914" xr3:uid="{D0559A43-3596-4DF1-B5EE-8D441A465632}" name="Colonne14906"/>
    <tableColumn id="14915" xr3:uid="{BEA616B0-396A-4A64-ACFA-62D71349F859}" name="Colonne14907"/>
    <tableColumn id="14916" xr3:uid="{8D6647AF-9EFD-47E8-9D19-DA31A1EDA043}" name="Colonne14908"/>
    <tableColumn id="14917" xr3:uid="{1E696143-EB0F-4571-82E5-FF38B211165E}" name="Colonne14909"/>
    <tableColumn id="14918" xr3:uid="{A66178C2-345C-498A-A635-4D7564F44314}" name="Colonne14910"/>
    <tableColumn id="14919" xr3:uid="{36C4D29C-EB5A-423D-838A-0B28D800B3A6}" name="Colonne14911"/>
    <tableColumn id="14920" xr3:uid="{583D4A8F-CC99-4224-877A-873CECE4C55B}" name="Colonne14912"/>
    <tableColumn id="14921" xr3:uid="{B46532B1-3C8F-4CCC-A890-E7A48D1FF659}" name="Colonne14913"/>
    <tableColumn id="14922" xr3:uid="{2AE44133-E74C-4630-AF5C-137B6CBB74AF}" name="Colonne14914"/>
    <tableColumn id="14923" xr3:uid="{89C673BB-5DEF-456B-B788-26A10EED0C18}" name="Colonne14915"/>
    <tableColumn id="14924" xr3:uid="{97B76522-6CBC-47F7-B556-68589A1B759D}" name="Colonne14916"/>
    <tableColumn id="14925" xr3:uid="{22413EF6-58A7-4FB8-86CE-64F9FC0A9F08}" name="Colonne14917"/>
    <tableColumn id="14926" xr3:uid="{7E4D75AB-6127-494E-AFC4-194DBEEF7AC5}" name="Colonne14918"/>
    <tableColumn id="14927" xr3:uid="{D3AE0ABC-2449-42B5-84BB-7FC9813EC072}" name="Colonne14919"/>
    <tableColumn id="14928" xr3:uid="{A58159A6-5A86-4B06-B77A-F532CB387E29}" name="Colonne14920"/>
    <tableColumn id="14929" xr3:uid="{DC1356F4-87C6-4E7E-884F-C0A9CCDC2D38}" name="Colonne14921"/>
    <tableColumn id="14930" xr3:uid="{727ECD26-471E-4B8E-B430-A09B5803C9E6}" name="Colonne14922"/>
    <tableColumn id="14931" xr3:uid="{E4B7B6F7-6AE0-4982-881B-4F001BC7905E}" name="Colonne14923"/>
    <tableColumn id="14932" xr3:uid="{B19207BF-CA21-452A-AC81-9B6A4868DA15}" name="Colonne14924"/>
    <tableColumn id="14933" xr3:uid="{3B621550-52DF-4B79-AFB1-A046754DFB83}" name="Colonne14925"/>
    <tableColumn id="14934" xr3:uid="{F79C5A6F-04D8-44C9-A095-0CC142562112}" name="Colonne14926"/>
    <tableColumn id="14935" xr3:uid="{DB1E3347-822E-4546-84A7-955FAE6D9352}" name="Colonne14927"/>
    <tableColumn id="14936" xr3:uid="{3273FDE8-44AF-4FF7-85FA-48E5748D4FD0}" name="Colonne14928"/>
    <tableColumn id="14937" xr3:uid="{0B5BFA9C-3AA9-42FC-9932-30A5A2D933B3}" name="Colonne14929"/>
    <tableColumn id="14938" xr3:uid="{CBA49C35-1107-46BA-B158-3475A28C2FB9}" name="Colonne14930"/>
    <tableColumn id="14939" xr3:uid="{7DA66EE4-D853-4DC8-92D6-5D368B5B24A6}" name="Colonne14931"/>
    <tableColumn id="14940" xr3:uid="{91691E46-14A7-4FFE-8BC8-FDB043513CD5}" name="Colonne14932"/>
    <tableColumn id="14941" xr3:uid="{824AE64E-CCDF-4275-88B6-4C8BC0D0594B}" name="Colonne14933"/>
    <tableColumn id="14942" xr3:uid="{F201C523-47A6-4FE0-85FA-1AB982282CD3}" name="Colonne14934"/>
    <tableColumn id="14943" xr3:uid="{C8FBF550-526D-4E18-939E-88A4D5E2949E}" name="Colonne14935"/>
    <tableColumn id="14944" xr3:uid="{153DFF76-8412-4EC5-9DA4-6D391FA378E8}" name="Colonne14936"/>
    <tableColumn id="14945" xr3:uid="{930F2D87-1E58-4DB1-B8E7-3C9F7BA0D95A}" name="Colonne14937"/>
    <tableColumn id="14946" xr3:uid="{E2FD28F4-32F0-447F-801C-C90165616F7C}" name="Colonne14938"/>
    <tableColumn id="14947" xr3:uid="{F1425222-AD74-421A-AEAB-B9DA4DE291CC}" name="Colonne14939"/>
    <tableColumn id="14948" xr3:uid="{C8D401DB-735C-434B-BD71-FC7C10DFBD47}" name="Colonne14940"/>
    <tableColumn id="14949" xr3:uid="{CB28FE03-3974-4544-BCA3-B32001CF1A7B}" name="Colonne14941"/>
    <tableColumn id="14950" xr3:uid="{31AAFDB2-DD4F-4537-8AEE-9277E107CF07}" name="Colonne14942"/>
    <tableColumn id="14951" xr3:uid="{0CAA745B-F574-44B9-91D1-60B0E6913B36}" name="Colonne14943"/>
    <tableColumn id="14952" xr3:uid="{B5DCC2C7-6E3A-4FC0-901E-6C035347DD77}" name="Colonne14944"/>
    <tableColumn id="14953" xr3:uid="{AB275841-DD47-4289-A9F2-C163C048020A}" name="Colonne14945"/>
    <tableColumn id="14954" xr3:uid="{D71D18A8-D05C-45C6-A7CD-56FB7AF06361}" name="Colonne14946"/>
    <tableColumn id="14955" xr3:uid="{ED85F596-128D-49BC-91B0-9FE0C9178E55}" name="Colonne14947"/>
    <tableColumn id="14956" xr3:uid="{675B2AF3-2083-4945-BF25-DEF443BBDCE0}" name="Colonne14948"/>
    <tableColumn id="14957" xr3:uid="{DF079B5E-743A-49AE-97FE-69DDCF91EC0D}" name="Colonne14949"/>
    <tableColumn id="14958" xr3:uid="{1A52EA14-C6D9-4170-94ED-6E4621369C47}" name="Colonne14950"/>
    <tableColumn id="14959" xr3:uid="{165E765A-656A-4A88-B6CD-E69279F746C4}" name="Colonne14951"/>
    <tableColumn id="14960" xr3:uid="{8E07B7D1-A852-4798-A914-0AF92048357F}" name="Colonne14952"/>
    <tableColumn id="14961" xr3:uid="{68617D11-DDF4-4FA7-A3D1-E3E745946BF8}" name="Colonne14953"/>
    <tableColumn id="14962" xr3:uid="{0BC7DE7F-2A94-4C18-9F6F-DC0F03050D60}" name="Colonne14954"/>
    <tableColumn id="14963" xr3:uid="{DD2D0F49-3A7F-4F78-AA77-5E48ACA49FB0}" name="Colonne14955"/>
    <tableColumn id="14964" xr3:uid="{B824E3F4-02AA-4F26-A031-B9D04161AAE1}" name="Colonne14956"/>
    <tableColumn id="14965" xr3:uid="{5EA7516A-AE16-450C-A5EF-9EB95B46195F}" name="Colonne14957"/>
    <tableColumn id="14966" xr3:uid="{F784163E-DA74-4A35-B95B-DCC4BED9E7D0}" name="Colonne14958"/>
    <tableColumn id="14967" xr3:uid="{2D4BA88E-27B3-4C0C-9D6A-2D00C589422C}" name="Colonne14959"/>
    <tableColumn id="14968" xr3:uid="{BB5B2959-04D8-442D-A41E-9102666278D3}" name="Colonne14960"/>
    <tableColumn id="14969" xr3:uid="{0B3B89AA-7521-4B1C-97DD-BB67DA44A74B}" name="Colonne14961"/>
    <tableColumn id="14970" xr3:uid="{CB8FD96F-5B0E-4669-AADE-7B8643EFE4A4}" name="Colonne14962"/>
    <tableColumn id="14971" xr3:uid="{722672E5-7D43-4A9B-A8CF-B10E68CAF3E9}" name="Colonne14963"/>
    <tableColumn id="14972" xr3:uid="{14B81A47-46EC-4DA0-82DE-AC24BFBC0F23}" name="Colonne14964"/>
    <tableColumn id="14973" xr3:uid="{8E440F85-02B3-4941-958A-6CCF43211674}" name="Colonne14965"/>
    <tableColumn id="14974" xr3:uid="{998AF2FF-E726-44BE-8B28-1DF6EAF152C1}" name="Colonne14966"/>
    <tableColumn id="14975" xr3:uid="{641A19B9-CD3B-4E27-B6A8-167272B06409}" name="Colonne14967"/>
    <tableColumn id="14976" xr3:uid="{267E0F61-5F6B-408B-B976-375662679A77}" name="Colonne14968"/>
    <tableColumn id="14977" xr3:uid="{0BC362A9-D8D9-4E29-BF5D-75AF8F5D53DF}" name="Colonne14969"/>
    <tableColumn id="14978" xr3:uid="{640CC045-B7B3-44FD-8452-159130EE9699}" name="Colonne14970"/>
    <tableColumn id="14979" xr3:uid="{D075429D-521D-4B72-A8C7-0B63832EBFC5}" name="Colonne14971"/>
    <tableColumn id="14980" xr3:uid="{554146FD-DFCB-4F77-95FB-BC77EEBA30DE}" name="Colonne14972"/>
    <tableColumn id="14981" xr3:uid="{1EECE07D-FFE2-434D-A14A-7AA3EFE36A6C}" name="Colonne14973"/>
    <tableColumn id="14982" xr3:uid="{29E4799B-5592-4EAA-B34B-BACA94770D70}" name="Colonne14974"/>
    <tableColumn id="14983" xr3:uid="{08672399-3DF8-4615-8C32-E6B52AE53F1D}" name="Colonne14975"/>
    <tableColumn id="14984" xr3:uid="{2C69F69B-1915-4BFC-9782-EC5643CBE00B}" name="Colonne14976"/>
    <tableColumn id="14985" xr3:uid="{9B9A318E-F313-4312-B4B2-0D3A7AE2E1E8}" name="Colonne14977"/>
    <tableColumn id="14986" xr3:uid="{E0AF6753-5979-452D-BB3E-EFF841107DA9}" name="Colonne14978"/>
    <tableColumn id="14987" xr3:uid="{456AF692-BA9F-454E-AC85-0621737942E2}" name="Colonne14979"/>
    <tableColumn id="14988" xr3:uid="{C24B00E4-1098-4FB5-92C4-E7B56A1285FB}" name="Colonne14980"/>
    <tableColumn id="14989" xr3:uid="{E531BCD6-6A8A-4296-8EE3-EF919A32C4A5}" name="Colonne14981"/>
    <tableColumn id="14990" xr3:uid="{0D9FD59E-3F24-427C-B8DE-75DF3D32389E}" name="Colonne14982"/>
    <tableColumn id="14991" xr3:uid="{03D74B21-F4EC-41A8-96FA-0953D12E5427}" name="Colonne14983"/>
    <tableColumn id="14992" xr3:uid="{95EBAB81-2B2B-41D0-8FC2-3FA1CC509389}" name="Colonne14984"/>
    <tableColumn id="14993" xr3:uid="{1422C901-2C2F-4C35-9065-905FCB3DF8EA}" name="Colonne14985"/>
    <tableColumn id="14994" xr3:uid="{B79CE5F8-E2A9-454F-838D-0299246205FC}" name="Colonne14986"/>
    <tableColumn id="14995" xr3:uid="{095070C1-AABE-4061-8008-BCE33CD32F65}" name="Colonne14987"/>
    <tableColumn id="14996" xr3:uid="{7D7807A0-0762-4A1D-AE01-C0B030A46AF2}" name="Colonne14988"/>
    <tableColumn id="14997" xr3:uid="{637497C5-0C50-4299-BDA5-7BD27D89C0CA}" name="Colonne14989"/>
    <tableColumn id="14998" xr3:uid="{2E4959FC-B034-42F9-8620-6ED29BCF4F1C}" name="Colonne14990"/>
    <tableColumn id="14999" xr3:uid="{3B1815C9-CAE9-412F-8562-E97ADCC9EE20}" name="Colonne14991"/>
    <tableColumn id="15000" xr3:uid="{2F57E1A5-FE57-4E73-986F-277B47704CAB}" name="Colonne14992"/>
    <tableColumn id="15001" xr3:uid="{317E4835-BEE7-45F6-9019-D5B3E83EB22A}" name="Colonne14993"/>
    <tableColumn id="15002" xr3:uid="{2B99F679-2A09-40E2-AE9D-6C5CFF6A4DC9}" name="Colonne14994"/>
    <tableColumn id="15003" xr3:uid="{570F3BCB-0249-488B-9E34-B9D4EB02D84B}" name="Colonne14995"/>
    <tableColumn id="15004" xr3:uid="{271859B4-4ADA-4AA3-B3EC-95B43740E584}" name="Colonne14996"/>
    <tableColumn id="15005" xr3:uid="{310BE089-31D8-4D50-8EE0-5A343E773B0C}" name="Colonne14997"/>
    <tableColumn id="15006" xr3:uid="{6BD7AA6C-9565-43B6-9725-C838C13065DD}" name="Colonne14998"/>
    <tableColumn id="15007" xr3:uid="{4B2007E3-E01F-463B-AF7C-8FC0AF5ED199}" name="Colonne14999"/>
    <tableColumn id="15008" xr3:uid="{C09BA030-4D88-4BB5-B1A2-1391E41AA334}" name="Colonne15000"/>
    <tableColumn id="15009" xr3:uid="{3E5CAA34-109A-4812-A277-03AF492EC1EE}" name="Colonne15001"/>
    <tableColumn id="15010" xr3:uid="{E4D4F994-2198-42FC-9B24-CB22F3540DBA}" name="Colonne15002"/>
    <tableColumn id="15011" xr3:uid="{7534DA48-0FEC-4FC4-A409-2BF057E3F7D9}" name="Colonne15003"/>
    <tableColumn id="15012" xr3:uid="{CE3B4E6E-727A-4D1C-9FDE-FD68E019E6FC}" name="Colonne15004"/>
    <tableColumn id="15013" xr3:uid="{76CA7225-6D19-4E8C-BF61-472204E90444}" name="Colonne15005"/>
    <tableColumn id="15014" xr3:uid="{5258BBEF-564B-4B35-88B9-90BDE19DD207}" name="Colonne15006"/>
    <tableColumn id="15015" xr3:uid="{EFA34A01-B89F-4D4C-A825-2945F102E434}" name="Colonne15007"/>
    <tableColumn id="15016" xr3:uid="{54B5D0B0-8769-4CB5-BB11-2E81198345E9}" name="Colonne15008"/>
    <tableColumn id="15017" xr3:uid="{FDDBD8DA-A79B-42BF-8838-FD4CF553B4B2}" name="Colonne15009"/>
    <tableColumn id="15018" xr3:uid="{74104ED6-0222-4F31-A010-64F7EB775F57}" name="Colonne15010"/>
    <tableColumn id="15019" xr3:uid="{D1ED8DDD-4AC8-486C-B60E-2CE1C992D0F6}" name="Colonne15011"/>
    <tableColumn id="15020" xr3:uid="{8B7B2A0F-EB4B-4E31-8BCB-CAF4CA3CFAF1}" name="Colonne15012"/>
    <tableColumn id="15021" xr3:uid="{310DCDFF-7858-43AA-BBE7-1E38FDA1952B}" name="Colonne15013"/>
    <tableColumn id="15022" xr3:uid="{C24A30BD-4DE7-477D-8784-32F6D8669CFF}" name="Colonne15014"/>
    <tableColumn id="15023" xr3:uid="{621B80D9-60B4-46EB-B5FB-25FB584132D8}" name="Colonne15015"/>
    <tableColumn id="15024" xr3:uid="{4D9FBEE8-F0D2-4433-A3EF-95F847845C6C}" name="Colonne15016"/>
    <tableColumn id="15025" xr3:uid="{E278F4EC-3F43-45FA-A792-A6BE442FEB7D}" name="Colonne15017"/>
    <tableColumn id="15026" xr3:uid="{A00BE48F-93A4-4043-90E6-AFDF205DB906}" name="Colonne15018"/>
    <tableColumn id="15027" xr3:uid="{288CA8EE-7356-4442-9830-3E9CED1396CD}" name="Colonne15019"/>
    <tableColumn id="15028" xr3:uid="{4C445FE8-AD46-4338-B5DF-BA72241F4273}" name="Colonne15020"/>
    <tableColumn id="15029" xr3:uid="{650D8DF4-B06D-4415-B72A-DF7A6A6F8AAD}" name="Colonne15021"/>
    <tableColumn id="15030" xr3:uid="{438097F4-D9F7-4AD6-9F71-E66DB9FA8626}" name="Colonne15022"/>
    <tableColumn id="15031" xr3:uid="{624CECA7-5600-48D6-A27E-860063921E67}" name="Colonne15023"/>
    <tableColumn id="15032" xr3:uid="{E478AAD4-44DA-4805-A245-4237CE8CDB04}" name="Colonne15024"/>
    <tableColumn id="15033" xr3:uid="{41DDCBC8-7B5C-4C3E-B6CF-10A1AA71180C}" name="Colonne15025"/>
    <tableColumn id="15034" xr3:uid="{827ACCF7-BFC7-4C38-8393-D84B26034468}" name="Colonne15026"/>
    <tableColumn id="15035" xr3:uid="{818CC99F-73E2-4417-8030-A3766A9B2931}" name="Colonne15027"/>
    <tableColumn id="15036" xr3:uid="{65D97806-ED76-4F64-AB51-EC0554EA7DDF}" name="Colonne15028"/>
    <tableColumn id="15037" xr3:uid="{09548168-C00B-42E2-BA02-E281C17C622A}" name="Colonne15029"/>
    <tableColumn id="15038" xr3:uid="{E4043AE5-2A02-4248-9C5B-C7160ED35C10}" name="Colonne15030"/>
    <tableColumn id="15039" xr3:uid="{46A1E88E-CE1E-4139-A246-8CE4A2F7AF56}" name="Colonne15031"/>
    <tableColumn id="15040" xr3:uid="{DB56A1AC-C87D-4792-8778-543CF2AE41DC}" name="Colonne15032"/>
    <tableColumn id="15041" xr3:uid="{99642795-7E1E-46C5-A13A-A2B5CB94A351}" name="Colonne15033"/>
    <tableColumn id="15042" xr3:uid="{3019D598-1FF5-46D4-9A24-5E1D0C85037A}" name="Colonne15034"/>
    <tableColumn id="15043" xr3:uid="{DCAE32A6-B598-4D1E-8716-9884E6497393}" name="Colonne15035"/>
    <tableColumn id="15044" xr3:uid="{3ED8524A-0823-463A-B838-E59CD66DF6D3}" name="Colonne15036"/>
    <tableColumn id="15045" xr3:uid="{26AFF650-9A8E-49B2-A8DA-4A54722C55D5}" name="Colonne15037"/>
    <tableColumn id="15046" xr3:uid="{2393FA77-DBB2-4030-BE19-1E6038F721EC}" name="Colonne15038"/>
    <tableColumn id="15047" xr3:uid="{00CCB5D5-D271-4245-B4D1-228EADC6FE62}" name="Colonne15039"/>
    <tableColumn id="15048" xr3:uid="{F6FB62EF-7074-4234-A6F4-AD20BE3BE44A}" name="Colonne15040"/>
    <tableColumn id="15049" xr3:uid="{A6832000-7BB0-4F8A-89B5-58B62E1A1650}" name="Colonne15041"/>
    <tableColumn id="15050" xr3:uid="{EED7F480-DBF3-4C3F-959F-2231697437D1}" name="Colonne15042"/>
    <tableColumn id="15051" xr3:uid="{79584DEB-FA96-452D-AF23-EB94DB82E04F}" name="Colonne15043"/>
    <tableColumn id="15052" xr3:uid="{E1C6B279-1854-4611-82E2-CE15631EAE48}" name="Colonne15044"/>
    <tableColumn id="15053" xr3:uid="{2074D6CF-149B-4990-B085-AA622216EC44}" name="Colonne15045"/>
    <tableColumn id="15054" xr3:uid="{7F8E218C-CB12-4F4C-9DB0-FE98BCC61916}" name="Colonne15046"/>
    <tableColumn id="15055" xr3:uid="{FB611DC4-9F8C-4495-B9EE-36B64018AA9A}" name="Colonne15047"/>
    <tableColumn id="15056" xr3:uid="{3024AC6D-2B98-442B-9590-9F39EACF04B7}" name="Colonne15048"/>
    <tableColumn id="15057" xr3:uid="{730F60AE-18AE-4F6A-B02D-90B101727210}" name="Colonne15049"/>
    <tableColumn id="15058" xr3:uid="{BA7F398B-31E8-47B9-837D-A4A809B7568B}" name="Colonne15050"/>
    <tableColumn id="15059" xr3:uid="{98561E32-4CBF-406C-B86A-0983C69567E1}" name="Colonne15051"/>
    <tableColumn id="15060" xr3:uid="{BF96FBDC-F28B-4601-802E-069FD615D44A}" name="Colonne15052"/>
    <tableColumn id="15061" xr3:uid="{CA03F5D4-574E-4C1A-BDE0-A760DEA1CD20}" name="Colonne15053"/>
    <tableColumn id="15062" xr3:uid="{5E1E27B8-5C2B-4375-9241-13A2BA4ADEC4}" name="Colonne15054"/>
    <tableColumn id="15063" xr3:uid="{DA4CEF3C-A8F9-48D9-A025-F6364CBDC363}" name="Colonne15055"/>
    <tableColumn id="15064" xr3:uid="{3AC91F7A-2774-4535-94DF-0F1E99966693}" name="Colonne15056"/>
    <tableColumn id="15065" xr3:uid="{180EF950-3181-444C-9DA2-E2F1B934D01D}" name="Colonne15057"/>
    <tableColumn id="15066" xr3:uid="{1789DA0B-348B-45B2-92CC-994E898BE023}" name="Colonne15058"/>
    <tableColumn id="15067" xr3:uid="{42D6CBB2-48D7-43CB-BA56-E50A18C94B0A}" name="Colonne15059"/>
    <tableColumn id="15068" xr3:uid="{4D89211F-1B79-417D-9A1B-7D118F402C47}" name="Colonne15060"/>
    <tableColumn id="15069" xr3:uid="{DC5D3AEF-30F3-4FE6-93A6-749A67BA818D}" name="Colonne15061"/>
    <tableColumn id="15070" xr3:uid="{20121FD5-073A-4264-82C8-1E4FF37663AA}" name="Colonne15062"/>
    <tableColumn id="15071" xr3:uid="{0E8E4368-C515-4A4E-A0AA-AF32CCB88B88}" name="Colonne15063"/>
    <tableColumn id="15072" xr3:uid="{A1B4E76A-B32E-4147-8BB0-42548F97D9E5}" name="Colonne15064"/>
    <tableColumn id="15073" xr3:uid="{FAEB4F36-24A5-48C6-9C1B-1FD52116B00D}" name="Colonne15065"/>
    <tableColumn id="15074" xr3:uid="{FFB13AF8-5B27-4A71-9907-4CB68FCB10BB}" name="Colonne15066"/>
    <tableColumn id="15075" xr3:uid="{F871CE31-9BFC-4E65-A2E5-96F294ECCF17}" name="Colonne15067"/>
    <tableColumn id="15076" xr3:uid="{F2A0A9D4-F066-4813-A230-0484457E20DA}" name="Colonne15068"/>
    <tableColumn id="15077" xr3:uid="{6197A2A9-D435-47A9-9BCD-B8A926493629}" name="Colonne15069"/>
    <tableColumn id="15078" xr3:uid="{FA3420C0-EF66-4889-A358-262839CA9755}" name="Colonne15070"/>
    <tableColumn id="15079" xr3:uid="{EF032E1E-AF71-4897-B5CC-A2BF24C2FFE0}" name="Colonne15071"/>
    <tableColumn id="15080" xr3:uid="{31798810-888C-4454-BE92-99B7D8CF7BEF}" name="Colonne15072"/>
    <tableColumn id="15081" xr3:uid="{A8398F74-22C5-4FE7-A479-3868CEECC67A}" name="Colonne15073"/>
    <tableColumn id="15082" xr3:uid="{61B1621E-32E0-431F-9D74-691B8ADEA9F2}" name="Colonne15074"/>
    <tableColumn id="15083" xr3:uid="{22A6A591-D9D8-4E60-8288-BADF8CCA3F91}" name="Colonne15075"/>
    <tableColumn id="15084" xr3:uid="{2DC89578-F02E-4564-B4E8-17E283F37F57}" name="Colonne15076"/>
    <tableColumn id="15085" xr3:uid="{D4040A4B-78E5-4608-8059-0AC124DD709B}" name="Colonne15077"/>
    <tableColumn id="15086" xr3:uid="{3FD0BBD3-EF70-4868-8159-94927457953E}" name="Colonne15078"/>
    <tableColumn id="15087" xr3:uid="{E0424BED-193D-4D7B-98D5-8ED48F271D9B}" name="Colonne15079"/>
    <tableColumn id="15088" xr3:uid="{D65E0BB3-68BB-48B4-A46C-D6693E9A11B4}" name="Colonne15080"/>
    <tableColumn id="15089" xr3:uid="{7EB57E19-5109-48FE-A918-0B4982DE0372}" name="Colonne15081"/>
    <tableColumn id="15090" xr3:uid="{21E47051-6CE1-4B76-9379-23978E711E78}" name="Colonne15082"/>
    <tableColumn id="15091" xr3:uid="{8B5D0099-1D93-49BE-A3D0-A1841D227552}" name="Colonne15083"/>
    <tableColumn id="15092" xr3:uid="{F3259C8C-6AA0-4434-80FA-5BC20D743553}" name="Colonne15084"/>
    <tableColumn id="15093" xr3:uid="{97247EFF-85D4-40B4-A90C-0E5BF6F55A27}" name="Colonne15085"/>
    <tableColumn id="15094" xr3:uid="{9F80FD09-FA64-48E1-A73A-EEF73BBB014F}" name="Colonne15086"/>
    <tableColumn id="15095" xr3:uid="{594B47BA-91B2-421B-9730-34BCE3C469D0}" name="Colonne15087"/>
    <tableColumn id="15096" xr3:uid="{77693A25-BEAD-4398-90EE-3E30B423F3CC}" name="Colonne15088"/>
    <tableColumn id="15097" xr3:uid="{7DE9ADB7-06EF-41A3-9328-7F6E9682970C}" name="Colonne15089"/>
    <tableColumn id="15098" xr3:uid="{D3C6EC31-968E-4B7A-B12F-1CAA96281B60}" name="Colonne15090"/>
    <tableColumn id="15099" xr3:uid="{CA6963A8-C833-4E06-A852-90C26BADD58A}" name="Colonne15091"/>
    <tableColumn id="15100" xr3:uid="{7871E312-5291-4CF7-9C91-2D6E7FBD7F35}" name="Colonne15092"/>
    <tableColumn id="15101" xr3:uid="{7510C31C-5835-4524-8603-3C95E1724311}" name="Colonne15093"/>
    <tableColumn id="15102" xr3:uid="{A3469115-AC47-4CF8-8DAE-5CF0A6DCDBAE}" name="Colonne15094"/>
    <tableColumn id="15103" xr3:uid="{9C822434-B131-445A-B44D-D7CDCD3A2600}" name="Colonne15095"/>
    <tableColumn id="15104" xr3:uid="{469D3C58-7833-4648-9B5C-3D51FCE68B5F}" name="Colonne15096"/>
    <tableColumn id="15105" xr3:uid="{1AD30A43-E27E-46C6-A10E-1BEF2B5E0F96}" name="Colonne15097"/>
    <tableColumn id="15106" xr3:uid="{6CB4A96F-21C0-499B-9184-4DD9B3BCCF20}" name="Colonne15098"/>
    <tableColumn id="15107" xr3:uid="{F70F1815-22FC-4013-9B2F-EC0F965F271C}" name="Colonne15099"/>
    <tableColumn id="15108" xr3:uid="{34CECFFE-59CF-4D0B-8A45-831C4F449E3F}" name="Colonne15100"/>
    <tableColumn id="15109" xr3:uid="{C63E561C-5405-4620-AC3C-6EE4697C163D}" name="Colonne15101"/>
    <tableColumn id="15110" xr3:uid="{0487E594-DE25-4E2F-8065-81387B26AA41}" name="Colonne15102"/>
    <tableColumn id="15111" xr3:uid="{6E5CF973-D2D3-4653-915B-A7B056C6185B}" name="Colonne15103"/>
    <tableColumn id="15112" xr3:uid="{65B7F139-8197-4112-9110-AA8348F45A22}" name="Colonne15104"/>
    <tableColumn id="15113" xr3:uid="{5C748B64-6BAF-4BDB-99B6-BE6B534E15F5}" name="Colonne15105"/>
    <tableColumn id="15114" xr3:uid="{760E61CA-49A2-4CB2-9577-E36AA8312610}" name="Colonne15106"/>
    <tableColumn id="15115" xr3:uid="{5DBE1F8E-B5F9-4FFE-A1DB-D24A032DFCEB}" name="Colonne15107"/>
    <tableColumn id="15116" xr3:uid="{826FD021-2A71-4A9C-9F71-286A09CC9A45}" name="Colonne15108"/>
    <tableColumn id="15117" xr3:uid="{88303DB8-987A-4462-81C9-3F1FDDC017C3}" name="Colonne15109"/>
    <tableColumn id="15118" xr3:uid="{2A7ED049-492E-446B-9930-2A69130D384C}" name="Colonne15110"/>
    <tableColumn id="15119" xr3:uid="{CCBADFF9-56FE-43F7-8C3C-FB00215C4913}" name="Colonne15111"/>
    <tableColumn id="15120" xr3:uid="{59E186C2-8897-433D-8A48-2719E0CFBE5C}" name="Colonne15112"/>
    <tableColumn id="15121" xr3:uid="{6EE36F9B-DC43-4D85-8CFC-177F74661769}" name="Colonne15113"/>
    <tableColumn id="15122" xr3:uid="{7D38A81F-9BA7-4BBD-82A0-80F567779BDC}" name="Colonne15114"/>
    <tableColumn id="15123" xr3:uid="{74A69D3D-AFC8-44DD-90B5-9EEC91D5C1BD}" name="Colonne15115"/>
    <tableColumn id="15124" xr3:uid="{6540131C-FDAF-483F-9E1B-5E588F409710}" name="Colonne15116"/>
    <tableColumn id="15125" xr3:uid="{E017564F-C2B1-467A-A730-FE4AB9D39DBA}" name="Colonne15117"/>
    <tableColumn id="15126" xr3:uid="{9DA5D261-4D7E-4950-A170-8EF8337AC4D1}" name="Colonne15118"/>
    <tableColumn id="15127" xr3:uid="{DDB01ED6-25FE-4A95-A913-743C465B809C}" name="Colonne15119"/>
    <tableColumn id="15128" xr3:uid="{444D39F4-D087-4E93-8C73-4951E7C9EA08}" name="Colonne15120"/>
    <tableColumn id="15129" xr3:uid="{F8C64825-0BCB-4502-900A-286547904E2B}" name="Colonne15121"/>
    <tableColumn id="15130" xr3:uid="{18E4DA94-3436-4F33-92C3-8B73211745E6}" name="Colonne15122"/>
    <tableColumn id="15131" xr3:uid="{E8DA747B-D06E-4CF5-B14D-FEAD4CFF7F57}" name="Colonne15123"/>
    <tableColumn id="15132" xr3:uid="{ED01F05C-92D3-4B08-8674-96EFBAD23796}" name="Colonne15124"/>
    <tableColumn id="15133" xr3:uid="{7AE05A72-2E83-44E0-8531-1B7E900E0F79}" name="Colonne15125"/>
    <tableColumn id="15134" xr3:uid="{78C749EE-C134-4121-BCE4-2D9E2AC0BD2D}" name="Colonne15126"/>
    <tableColumn id="15135" xr3:uid="{32DC8489-8186-4259-A586-1CD9741F5570}" name="Colonne15127"/>
    <tableColumn id="15136" xr3:uid="{40215371-7FB5-4943-B24C-82E0B59D4F18}" name="Colonne15128"/>
    <tableColumn id="15137" xr3:uid="{DBBEA04B-0D2E-48D8-87BB-C48C35842BF6}" name="Colonne15129"/>
    <tableColumn id="15138" xr3:uid="{AE7454AB-4039-4612-8D27-9B5519777E44}" name="Colonne15130"/>
    <tableColumn id="15139" xr3:uid="{BAE45DFE-1C71-41B1-B26B-BDF9264D9A2C}" name="Colonne15131"/>
    <tableColumn id="15140" xr3:uid="{824C12D1-D40F-4B61-9873-4437F03CA165}" name="Colonne15132"/>
    <tableColumn id="15141" xr3:uid="{5B211EDB-28EE-4D5E-B49F-DDED8D7B2A71}" name="Colonne15133"/>
    <tableColumn id="15142" xr3:uid="{BD6F48BA-0193-4EBF-A84C-BEB7CD8B3B95}" name="Colonne15134"/>
    <tableColumn id="15143" xr3:uid="{FDB2DB38-F3E3-469D-94A9-E964642E9A07}" name="Colonne15135"/>
    <tableColumn id="15144" xr3:uid="{2D6D374A-2F7D-44CA-8E6E-99DC181FA824}" name="Colonne15136"/>
    <tableColumn id="15145" xr3:uid="{CB4902E6-53ED-41EA-8354-2545FA46F8E2}" name="Colonne15137"/>
    <tableColumn id="15146" xr3:uid="{669B0149-37AE-48A0-96C7-701ED1AC8FA8}" name="Colonne15138"/>
    <tableColumn id="15147" xr3:uid="{CEA39597-F7E7-43FA-8777-28AF017D599A}" name="Colonne15139"/>
    <tableColumn id="15148" xr3:uid="{5FBFCF71-0482-4E1B-8ECA-C66B06ACAB10}" name="Colonne15140"/>
    <tableColumn id="15149" xr3:uid="{6B627212-FB91-4261-B52A-E97D3C81DEFD}" name="Colonne15141"/>
    <tableColumn id="15150" xr3:uid="{3EFF1592-1166-4FEF-96BB-C9303CC93870}" name="Colonne15142"/>
    <tableColumn id="15151" xr3:uid="{BC8FF2C4-D4A3-4614-B31F-865371977CA7}" name="Colonne15143"/>
    <tableColumn id="15152" xr3:uid="{0BD9389B-56F4-484C-BB21-E59BE17BB32D}" name="Colonne15144"/>
    <tableColumn id="15153" xr3:uid="{80A1F472-B8E4-423A-A545-091C853845B9}" name="Colonne15145"/>
    <tableColumn id="15154" xr3:uid="{95DB743F-F597-4D7A-BD9D-3EBB599556BD}" name="Colonne15146"/>
    <tableColumn id="15155" xr3:uid="{C8B30BE9-55C6-4C08-AD7E-67D77B1B4FBE}" name="Colonne15147"/>
    <tableColumn id="15156" xr3:uid="{3B767B4C-E645-472A-BCB4-76F50CC8F6AF}" name="Colonne15148"/>
    <tableColumn id="15157" xr3:uid="{BF50C302-62E5-4F51-8820-E4EF7CEC4634}" name="Colonne15149"/>
    <tableColumn id="15158" xr3:uid="{2D44C587-537B-4CE8-8D70-1423AC488ACD}" name="Colonne15150"/>
    <tableColumn id="15159" xr3:uid="{88888F86-211E-45CD-9E2D-F10AC582C3E2}" name="Colonne15151"/>
    <tableColumn id="15160" xr3:uid="{CDEE1588-7C2D-4707-9467-7DD55FE75500}" name="Colonne15152"/>
    <tableColumn id="15161" xr3:uid="{DDFD83B3-6A0D-4134-AA92-D9F566E9F4BC}" name="Colonne15153"/>
    <tableColumn id="15162" xr3:uid="{4B72FC82-A1B8-49BF-9C97-21335B936D8E}" name="Colonne15154"/>
    <tableColumn id="15163" xr3:uid="{90AEE726-2AB5-421F-B682-21D52AB54881}" name="Colonne15155"/>
    <tableColumn id="15164" xr3:uid="{E352272A-DF2A-4679-890C-6582D49816A8}" name="Colonne15156"/>
    <tableColumn id="15165" xr3:uid="{9FF32D56-F1EA-476A-87F6-C72BEB9265BF}" name="Colonne15157"/>
    <tableColumn id="15166" xr3:uid="{BCEF850E-7DE8-4ACC-BDA1-78B378BC394B}" name="Colonne15158"/>
    <tableColumn id="15167" xr3:uid="{7AB479EF-CE66-47CE-8487-4DB8F77B01E8}" name="Colonne15159"/>
    <tableColumn id="15168" xr3:uid="{FA6B4389-7CF4-4B7F-9B13-540CB8C53D3A}" name="Colonne15160"/>
    <tableColumn id="15169" xr3:uid="{2AF548E9-39A4-40C7-8FFE-EB0647258FFB}" name="Colonne15161"/>
    <tableColumn id="15170" xr3:uid="{7384D8C5-DFC7-4765-AD8B-DC7EA0AB391B}" name="Colonne15162"/>
    <tableColumn id="15171" xr3:uid="{E0CFF77A-9787-4BD7-87E0-D8EE4215E9D4}" name="Colonne15163"/>
    <tableColumn id="15172" xr3:uid="{26CB1532-5CE1-4F88-8500-97F213F1A0D1}" name="Colonne15164"/>
    <tableColumn id="15173" xr3:uid="{0ED7D1A1-6EF4-4380-9330-3E0276F48A2A}" name="Colonne15165"/>
    <tableColumn id="15174" xr3:uid="{AB4DF03D-F0BA-4E33-B870-126947928299}" name="Colonne15166"/>
    <tableColumn id="15175" xr3:uid="{EB695D42-DDC9-45C6-A138-9D3FE8F5ACFB}" name="Colonne15167"/>
    <tableColumn id="15176" xr3:uid="{649A9071-CB2E-447A-B59E-F2200BBB3956}" name="Colonne15168"/>
    <tableColumn id="15177" xr3:uid="{E0A113B2-E2BD-4C40-9617-2DCAD240B56A}" name="Colonne15169"/>
    <tableColumn id="15178" xr3:uid="{9C6A2579-47C2-491F-AF93-6EF7FC821BE1}" name="Colonne15170"/>
    <tableColumn id="15179" xr3:uid="{8C4EA711-D8C7-4AB7-99C9-A2867560E2A3}" name="Colonne15171"/>
    <tableColumn id="15180" xr3:uid="{33BF41CF-B71B-46D1-97F1-8ABF6E0BC83C}" name="Colonne15172"/>
    <tableColumn id="15181" xr3:uid="{78193B25-06E6-4DB3-A489-F56AB1836996}" name="Colonne15173"/>
    <tableColumn id="15182" xr3:uid="{E37B7BA5-932D-4A52-812B-75368EAB8392}" name="Colonne15174"/>
    <tableColumn id="15183" xr3:uid="{C5AE90EC-92DA-4D13-A7C7-78A5842DD712}" name="Colonne15175"/>
    <tableColumn id="15184" xr3:uid="{80463558-A73E-4C72-A9DF-AB9AE22E287F}" name="Colonne15176"/>
    <tableColumn id="15185" xr3:uid="{5A70A025-EFE4-46A4-AA49-6B547848174F}" name="Colonne15177"/>
    <tableColumn id="15186" xr3:uid="{D2FD5A9C-7D48-4383-8606-40653381C139}" name="Colonne15178"/>
    <tableColumn id="15187" xr3:uid="{42D0CC18-0B9D-4062-92CA-24D2C176E513}" name="Colonne15179"/>
    <tableColumn id="15188" xr3:uid="{3DBEBFA3-3235-4788-BE98-46D206A501E5}" name="Colonne15180"/>
    <tableColumn id="15189" xr3:uid="{4AC5D282-AE3F-474B-912F-607C010D33BA}" name="Colonne15181"/>
    <tableColumn id="15190" xr3:uid="{626900BB-F245-4435-B1C3-5F4468520A82}" name="Colonne15182"/>
    <tableColumn id="15191" xr3:uid="{FC747256-08F8-410F-BFC1-41C37987F1A7}" name="Colonne15183"/>
    <tableColumn id="15192" xr3:uid="{C0F7D1D7-FDEE-4470-ABF2-195F7E3247FD}" name="Colonne15184"/>
    <tableColumn id="15193" xr3:uid="{D87FEBE6-1695-49F7-A0EC-AA3F45285A52}" name="Colonne15185"/>
    <tableColumn id="15194" xr3:uid="{09F623C6-677D-44E5-B005-402368E5DED7}" name="Colonne15186"/>
    <tableColumn id="15195" xr3:uid="{9241F6AC-E6D5-4582-BD3C-A608EDC56C47}" name="Colonne15187"/>
    <tableColumn id="15196" xr3:uid="{3ACC0B7C-9FF7-4B08-8B84-71EA042EE9F9}" name="Colonne15188"/>
    <tableColumn id="15197" xr3:uid="{264A939C-B5D0-4253-AEBF-9A8796A389BE}" name="Colonne15189"/>
    <tableColumn id="15198" xr3:uid="{833DE516-0BCF-464A-8839-2C73E14DB389}" name="Colonne15190"/>
    <tableColumn id="15199" xr3:uid="{FEA31DE8-1325-4396-923F-93C6B15F591D}" name="Colonne15191"/>
    <tableColumn id="15200" xr3:uid="{08CA0D08-1A11-456E-9D78-A57B8916C91E}" name="Colonne15192"/>
    <tableColumn id="15201" xr3:uid="{E542C728-7DC0-4E61-ABA6-D483D9EA41C6}" name="Colonne15193"/>
    <tableColumn id="15202" xr3:uid="{82D0ABCE-5FB6-46A8-B95F-0B87DE42D4B6}" name="Colonne15194"/>
    <tableColumn id="15203" xr3:uid="{CC7C159F-7E94-4DCD-8FC4-E1F0C973F7E9}" name="Colonne15195"/>
    <tableColumn id="15204" xr3:uid="{185A5A8F-5B78-478F-AC25-A9E1D23C88F5}" name="Colonne15196"/>
    <tableColumn id="15205" xr3:uid="{0331146E-7CFA-474D-B523-48609ED229AD}" name="Colonne15197"/>
    <tableColumn id="15206" xr3:uid="{CBB3F391-4CC3-4B58-80B8-3AE6A41759FD}" name="Colonne15198"/>
    <tableColumn id="15207" xr3:uid="{85F7C21C-DA82-4FB7-A97C-1333E9028E4F}" name="Colonne15199"/>
    <tableColumn id="15208" xr3:uid="{194EBE7E-9E1E-41BE-A0D3-E536B5843A28}" name="Colonne15200"/>
    <tableColumn id="15209" xr3:uid="{FC32F23E-9F17-4975-844A-7583C5ADB4CD}" name="Colonne15201"/>
    <tableColumn id="15210" xr3:uid="{E0EA0114-1CD0-4FF6-B0DF-FC91FCDABDC6}" name="Colonne15202"/>
    <tableColumn id="15211" xr3:uid="{4F48AB18-41FB-43A6-BC6C-233572571000}" name="Colonne15203"/>
    <tableColumn id="15212" xr3:uid="{B1E885F5-6EA0-4AE3-925C-EC415133A06D}" name="Colonne15204"/>
    <tableColumn id="15213" xr3:uid="{B2DE8765-3E32-446A-B4D6-BE4BD51BD552}" name="Colonne15205"/>
    <tableColumn id="15214" xr3:uid="{D6B33D19-3D11-4F73-AD3D-D633437BB473}" name="Colonne15206"/>
    <tableColumn id="15215" xr3:uid="{ECC9BFAB-A103-4231-B325-8D4209DB992E}" name="Colonne15207"/>
    <tableColumn id="15216" xr3:uid="{42336908-0A74-4CE6-9261-8EDAA7954558}" name="Colonne15208"/>
    <tableColumn id="15217" xr3:uid="{2F92380D-8838-4856-AA62-42DE1AAA45C8}" name="Colonne15209"/>
    <tableColumn id="15218" xr3:uid="{0B4D1F7E-21D1-4C4F-AC69-247BA4DCA06B}" name="Colonne15210"/>
    <tableColumn id="15219" xr3:uid="{ED603F39-CDD4-424C-ADA9-0719099DA48B}" name="Colonne15211"/>
    <tableColumn id="15220" xr3:uid="{0204B729-EF49-4BC8-B114-695DE920B04D}" name="Colonne15212"/>
    <tableColumn id="15221" xr3:uid="{8A0C82E3-0002-42EA-B4EA-E31B42EEF9BE}" name="Colonne15213"/>
    <tableColumn id="15222" xr3:uid="{47F4FA84-B3AD-4983-A4E3-3956DA78250C}" name="Colonne15214"/>
    <tableColumn id="15223" xr3:uid="{B32AB4F7-2847-41EA-95A6-19802CFEC7CB}" name="Colonne15215"/>
    <tableColumn id="15224" xr3:uid="{B072CF62-2CF3-4055-83DB-681C6E09F583}" name="Colonne15216"/>
    <tableColumn id="15225" xr3:uid="{29D9FBBB-3056-4D9B-A51C-DF0E98B830D9}" name="Colonne15217"/>
    <tableColumn id="15226" xr3:uid="{80E1D818-A7C7-41A0-A19D-61D302CC0AA7}" name="Colonne15218"/>
    <tableColumn id="15227" xr3:uid="{87EA6463-CD0C-4E1F-8317-CA7B2BEE2568}" name="Colonne15219"/>
    <tableColumn id="15228" xr3:uid="{6212A4EF-7791-4DB9-9228-1BC683A10F76}" name="Colonne15220"/>
    <tableColumn id="15229" xr3:uid="{A10B1686-4F35-4F27-AB66-B72FF0089591}" name="Colonne15221"/>
    <tableColumn id="15230" xr3:uid="{5C10F6A9-1FD7-4744-ABAD-B9990DD83C0F}" name="Colonne15222"/>
    <tableColumn id="15231" xr3:uid="{811777CD-15D1-4A82-ACFF-41D92E917DF9}" name="Colonne15223"/>
    <tableColumn id="15232" xr3:uid="{2B36F67F-84C7-4416-A495-CC2420B1AA54}" name="Colonne15224"/>
    <tableColumn id="15233" xr3:uid="{5EBE0F94-5FF7-4CF1-95E7-996ECD0840DE}" name="Colonne15225"/>
    <tableColumn id="15234" xr3:uid="{003BF220-A315-4FBB-A896-9AEF3FE53979}" name="Colonne15226"/>
    <tableColumn id="15235" xr3:uid="{AF00E2FB-D93C-475C-8D37-17F616DDFD32}" name="Colonne15227"/>
    <tableColumn id="15236" xr3:uid="{632C9B60-2F3C-4046-8408-16DA0B44DD14}" name="Colonne15228"/>
    <tableColumn id="15237" xr3:uid="{2B102800-6EA4-4B70-987B-5D4DE77A6A7D}" name="Colonne15229"/>
    <tableColumn id="15238" xr3:uid="{21203C5E-FBF0-4114-B749-22E58F424E5E}" name="Colonne15230"/>
    <tableColumn id="15239" xr3:uid="{257484B9-DE4B-443B-A99C-B52AC080A49A}" name="Colonne15231"/>
    <tableColumn id="15240" xr3:uid="{69EC117B-44A4-4CC3-ADFC-2A5A5371C53F}" name="Colonne15232"/>
    <tableColumn id="15241" xr3:uid="{95E783DE-F5FF-429C-BE35-A33E716D8F9D}" name="Colonne15233"/>
    <tableColumn id="15242" xr3:uid="{8724A323-2C5B-46A6-89AB-572A8756CE3C}" name="Colonne15234"/>
    <tableColumn id="15243" xr3:uid="{5562331D-E668-4BBF-B3F7-C74599C9289D}" name="Colonne15235"/>
    <tableColumn id="15244" xr3:uid="{619E6BD8-B834-4626-89A6-F7C1F8ABC9BC}" name="Colonne15236"/>
    <tableColumn id="15245" xr3:uid="{9D577E32-EC5A-4AD3-88AC-FB418DA89569}" name="Colonne15237"/>
    <tableColumn id="15246" xr3:uid="{0048D416-82A8-4D32-81BD-980401B8A0FD}" name="Colonne15238"/>
    <tableColumn id="15247" xr3:uid="{00A86507-9382-43B7-8329-1E79B23F91FB}" name="Colonne15239"/>
    <tableColumn id="15248" xr3:uid="{D76E3E80-E99A-430C-A4D2-B8724B6717A7}" name="Colonne15240"/>
    <tableColumn id="15249" xr3:uid="{829F5F30-FABA-4964-A935-FE3ECA8C25F5}" name="Colonne15241"/>
    <tableColumn id="15250" xr3:uid="{85E055CA-850C-4B57-9A21-4BD99E129B3E}" name="Colonne15242"/>
    <tableColumn id="15251" xr3:uid="{9CCD8578-840E-4F0D-9E25-10A40538F292}" name="Colonne15243"/>
    <tableColumn id="15252" xr3:uid="{EE99571B-F976-4035-BCE9-775931336766}" name="Colonne15244"/>
    <tableColumn id="15253" xr3:uid="{B6020A40-3169-4A21-A781-3E30373F882B}" name="Colonne15245"/>
    <tableColumn id="15254" xr3:uid="{AD81BE34-14C6-4E56-8BB0-08D69E962C75}" name="Colonne15246"/>
    <tableColumn id="15255" xr3:uid="{FD116189-1EF5-4936-B8F0-03184741C6F7}" name="Colonne15247"/>
    <tableColumn id="15256" xr3:uid="{44655656-A59D-4E0A-9E4D-CDF0451B1ECF}" name="Colonne15248"/>
    <tableColumn id="15257" xr3:uid="{9F5267EA-680C-4391-B6C8-F464B1A9F98C}" name="Colonne15249"/>
    <tableColumn id="15258" xr3:uid="{3627F0D4-0EBB-4CFB-87DA-4A3D59D5C234}" name="Colonne15250"/>
    <tableColumn id="15259" xr3:uid="{2467CC97-5AE1-4018-BE52-BE3E5A00F844}" name="Colonne15251"/>
    <tableColumn id="15260" xr3:uid="{8426216E-372F-40DA-A499-D94F10FA0726}" name="Colonne15252"/>
    <tableColumn id="15261" xr3:uid="{D7849A5D-93A0-46DE-9B97-90307A867B2F}" name="Colonne15253"/>
    <tableColumn id="15262" xr3:uid="{01C06E88-69D2-436F-8548-E5F3901767DB}" name="Colonne15254"/>
    <tableColumn id="15263" xr3:uid="{5324F374-70D2-45C8-834F-7CC0BE103B99}" name="Colonne15255"/>
    <tableColumn id="15264" xr3:uid="{E81459DF-EB7A-4983-94DE-0D5E4AEB63AF}" name="Colonne15256"/>
    <tableColumn id="15265" xr3:uid="{7BA343A0-AD30-46BE-BA1D-6E6BD6B47CCC}" name="Colonne15257"/>
    <tableColumn id="15266" xr3:uid="{BEAC358B-85C8-40AC-863C-F457B95DAAA5}" name="Colonne15258"/>
    <tableColumn id="15267" xr3:uid="{E7725D2E-CC83-46FB-9625-EFE92BC8A282}" name="Colonne15259"/>
    <tableColumn id="15268" xr3:uid="{CBD5BD9D-9A41-4632-B61D-4383FBE5EA0F}" name="Colonne15260"/>
    <tableColumn id="15269" xr3:uid="{5CA4EBFE-EDE6-4B1B-87BE-AF49F90C0B3D}" name="Colonne15261"/>
    <tableColumn id="15270" xr3:uid="{B3CE9AB8-E455-4192-94E6-4FF620072C4A}" name="Colonne15262"/>
    <tableColumn id="15271" xr3:uid="{23F393B0-1DB1-457D-BB27-F30EC67FD8B9}" name="Colonne15263"/>
    <tableColumn id="15272" xr3:uid="{3F51B247-8C5B-4B9B-BE62-3B0AEE09363A}" name="Colonne15264"/>
    <tableColumn id="15273" xr3:uid="{97FFF4E1-E2A2-4BD2-ACE3-8ED5199201EA}" name="Colonne15265"/>
    <tableColumn id="15274" xr3:uid="{2E280ADE-7D5E-445B-AE88-78B4A4C92C10}" name="Colonne15266"/>
    <tableColumn id="15275" xr3:uid="{522D5041-468A-452A-B6ED-D36F75F13A4B}" name="Colonne15267"/>
    <tableColumn id="15276" xr3:uid="{0F16BA3C-4393-40D5-81ED-37D9D562C2EF}" name="Colonne15268"/>
    <tableColumn id="15277" xr3:uid="{F4F18FB8-DF8D-47B4-8F5D-717DED2284C1}" name="Colonne15269"/>
    <tableColumn id="15278" xr3:uid="{5D48FA89-B6AD-47AD-8C9D-04E6860CE04C}" name="Colonne15270"/>
    <tableColumn id="15279" xr3:uid="{478EA850-EF36-442A-A978-34D1167BEE5D}" name="Colonne15271"/>
    <tableColumn id="15280" xr3:uid="{3C3FE0B6-95EC-4BC7-882D-4C86E8F35DAE}" name="Colonne15272"/>
    <tableColumn id="15281" xr3:uid="{463D9958-A1CE-490A-9151-C717FF67CA77}" name="Colonne15273"/>
    <tableColumn id="15282" xr3:uid="{9FBEE3D6-E70F-4580-B17E-8A7AB136C518}" name="Colonne15274"/>
    <tableColumn id="15283" xr3:uid="{F8420FF8-7B89-4CA8-B434-6C82A15AB0FF}" name="Colonne15275"/>
    <tableColumn id="15284" xr3:uid="{E8F1E1D5-8C01-4F5B-BC7D-D96A60B5FD13}" name="Colonne15276"/>
    <tableColumn id="15285" xr3:uid="{90E70FEA-097F-46B6-A181-1DF1258FD4E2}" name="Colonne15277"/>
    <tableColumn id="15286" xr3:uid="{AA800A02-678A-4708-9E48-161FD0B98032}" name="Colonne15278"/>
    <tableColumn id="15287" xr3:uid="{C8EAFF0C-9F3A-40F8-8DAA-5A30BD9F82F1}" name="Colonne15279"/>
    <tableColumn id="15288" xr3:uid="{9006B470-F19E-4C8F-B115-92E09E7D5EF9}" name="Colonne15280"/>
    <tableColumn id="15289" xr3:uid="{4A57C5DE-9810-4190-8C59-92A45A38542E}" name="Colonne15281"/>
    <tableColumn id="15290" xr3:uid="{BED22CFA-6389-42B2-BC1E-50D57F1ACFBF}" name="Colonne15282"/>
    <tableColumn id="15291" xr3:uid="{A15B01D6-DD33-4617-91F4-FDC7F6F29712}" name="Colonne15283"/>
    <tableColumn id="15292" xr3:uid="{C396E247-AAC1-414E-B3E9-37C7419A9D53}" name="Colonne15284"/>
    <tableColumn id="15293" xr3:uid="{2586F796-F2FB-41A4-AC3B-52C442AD5E65}" name="Colonne15285"/>
    <tableColumn id="15294" xr3:uid="{F782A41B-2556-4615-B467-E5019E1783DA}" name="Colonne15286"/>
    <tableColumn id="15295" xr3:uid="{E4A81DFD-4A1C-41A8-A49A-F4D493EB0590}" name="Colonne15287"/>
    <tableColumn id="15296" xr3:uid="{CB3E415F-F98C-4578-BDDD-B6CCD48F3B09}" name="Colonne15288"/>
    <tableColumn id="15297" xr3:uid="{CD0C5EFB-356F-4C71-AB99-0292896EE55D}" name="Colonne15289"/>
    <tableColumn id="15298" xr3:uid="{6660C00A-EF32-4F03-8C9C-D6BDCC80EA3F}" name="Colonne15290"/>
    <tableColumn id="15299" xr3:uid="{380E1B93-1922-407A-8F72-52513449E7F2}" name="Colonne15291"/>
    <tableColumn id="15300" xr3:uid="{EA7D0717-5313-40B9-B35A-F4AAB2D58E82}" name="Colonne15292"/>
    <tableColumn id="15301" xr3:uid="{6E1508A7-50C9-4439-8B09-D4072C15F9F4}" name="Colonne15293"/>
    <tableColumn id="15302" xr3:uid="{C702371D-B22E-419D-AB41-B15BC541A1D3}" name="Colonne15294"/>
    <tableColumn id="15303" xr3:uid="{BC2FE7D8-C325-4A34-A46F-1701B32C84DA}" name="Colonne15295"/>
    <tableColumn id="15304" xr3:uid="{AA30057A-BBB3-4865-B1A6-95710D3D220D}" name="Colonne15296"/>
    <tableColumn id="15305" xr3:uid="{B3CC3A9E-C90D-46F7-9DE4-4EEFA7340DDD}" name="Colonne15297"/>
    <tableColumn id="15306" xr3:uid="{70888132-E9C0-4B46-9751-A0345DCBB55B}" name="Colonne15298"/>
    <tableColumn id="15307" xr3:uid="{4E991378-9FCA-4339-B957-E9E98025E96D}" name="Colonne15299"/>
    <tableColumn id="15308" xr3:uid="{866A938A-9BFC-4BAE-8101-73F771F7D0B0}" name="Colonne15300"/>
    <tableColumn id="15309" xr3:uid="{16AE843E-DE64-464B-B3CB-1D1AA3406A4F}" name="Colonne15301"/>
    <tableColumn id="15310" xr3:uid="{9A3E6DA5-340C-48AA-A161-5122CD7C0A56}" name="Colonne15302"/>
    <tableColumn id="15311" xr3:uid="{3750C22D-5BE7-4A5F-B13D-E1E8157CE59C}" name="Colonne15303"/>
    <tableColumn id="15312" xr3:uid="{8ACFA199-420C-4C92-8AD4-FAA7E95D3077}" name="Colonne15304"/>
    <tableColumn id="15313" xr3:uid="{EAC531CE-A1BC-4306-8EEB-5A53DE903752}" name="Colonne15305"/>
    <tableColumn id="15314" xr3:uid="{9C16BF68-1AC8-46A4-A39C-A00CB222104E}" name="Colonne15306"/>
    <tableColumn id="15315" xr3:uid="{C0A98599-4D14-468E-90EB-508EE19BAC9A}" name="Colonne15307"/>
    <tableColumn id="15316" xr3:uid="{6E05CD54-9984-4BD3-9335-1379DFEAB692}" name="Colonne15308"/>
    <tableColumn id="15317" xr3:uid="{A6A9DCD1-DAF3-40CB-B631-9932512FDFD6}" name="Colonne15309"/>
    <tableColumn id="15318" xr3:uid="{1A9B89D3-C281-4440-829E-23E386107AB7}" name="Colonne15310"/>
    <tableColumn id="15319" xr3:uid="{780CA224-0B96-44D4-B0F0-954FB9CAE2EF}" name="Colonne15311"/>
    <tableColumn id="15320" xr3:uid="{E4654523-DFCE-42D1-8581-6B7F58188E36}" name="Colonne15312"/>
    <tableColumn id="15321" xr3:uid="{5B4C1571-3822-4109-AA53-7C1669BEC32C}" name="Colonne15313"/>
    <tableColumn id="15322" xr3:uid="{5D51BCBF-F271-4D7C-8557-14DD5964AE55}" name="Colonne15314"/>
    <tableColumn id="15323" xr3:uid="{BE6FA6B2-B79E-4C01-9BB3-7CCD34D21401}" name="Colonne15315"/>
    <tableColumn id="15324" xr3:uid="{AD8B5F11-7644-46FE-9905-FC471421FA48}" name="Colonne15316"/>
    <tableColumn id="15325" xr3:uid="{8308D5DF-DC53-4A80-84D3-6E3A6920075C}" name="Colonne15317"/>
    <tableColumn id="15326" xr3:uid="{5C20B0A4-C342-431F-805F-2D9A8F04BB89}" name="Colonne15318"/>
    <tableColumn id="15327" xr3:uid="{300A49EB-BBD7-4CC6-8BE1-6624956BA30E}" name="Colonne15319"/>
    <tableColumn id="15328" xr3:uid="{96C0BD20-F690-4BEF-BE56-4160B4746757}" name="Colonne15320"/>
    <tableColumn id="15329" xr3:uid="{C21B4628-CEB7-4DEE-BF7A-19A215753B31}" name="Colonne15321"/>
    <tableColumn id="15330" xr3:uid="{567D7266-1372-43F3-B745-63DB4AF60133}" name="Colonne15322"/>
    <tableColumn id="15331" xr3:uid="{5889E4AC-01F4-47AA-A6D4-A5E0E245AB72}" name="Colonne15323"/>
    <tableColumn id="15332" xr3:uid="{4C1D08EC-5982-4E91-B64C-7ACE46EEE7D0}" name="Colonne15324"/>
    <tableColumn id="15333" xr3:uid="{BAB5692A-53B8-4855-AEE6-246FA1712857}" name="Colonne15325"/>
    <tableColumn id="15334" xr3:uid="{A906638B-2BDC-4B5B-A638-1A50A0612E35}" name="Colonne15326"/>
    <tableColumn id="15335" xr3:uid="{4916C03C-6867-4EB8-B66A-2C30A7EF2F13}" name="Colonne15327"/>
    <tableColumn id="15336" xr3:uid="{F967E5AC-B126-4ABB-8DEF-7D4D2C286927}" name="Colonne15328"/>
    <tableColumn id="15337" xr3:uid="{23AD21A3-E0F8-44C1-9DC2-40268C6E9EEA}" name="Colonne15329"/>
    <tableColumn id="15338" xr3:uid="{35567227-A637-4BE0-9E5E-1118C8634BE1}" name="Colonne15330"/>
    <tableColumn id="15339" xr3:uid="{8434372B-8A55-4C07-9F78-90CE4A893F19}" name="Colonne15331"/>
    <tableColumn id="15340" xr3:uid="{B5EEE8CF-2220-47AB-8B15-BB1510B0A80F}" name="Colonne15332"/>
    <tableColumn id="15341" xr3:uid="{4D7A82DD-D061-4E9D-88B0-DFC8AD81A3BE}" name="Colonne15333"/>
    <tableColumn id="15342" xr3:uid="{AAF75D96-2F7E-403C-9768-70C4649676E7}" name="Colonne15334"/>
    <tableColumn id="15343" xr3:uid="{3445BE46-E523-4CA1-9F12-1C16E731344B}" name="Colonne15335"/>
    <tableColumn id="15344" xr3:uid="{AC90D460-B031-4F2E-A25A-C37DBAA44254}" name="Colonne15336"/>
    <tableColumn id="15345" xr3:uid="{3DA69BF9-6F15-4311-980A-1A117597D8A6}" name="Colonne15337"/>
    <tableColumn id="15346" xr3:uid="{A374DAF8-C5FF-4E2D-899F-8D3BC6D78C9C}" name="Colonne15338"/>
    <tableColumn id="15347" xr3:uid="{11BD0324-3F75-472A-997C-919F1348F443}" name="Colonne15339"/>
    <tableColumn id="15348" xr3:uid="{31D5F737-9A82-4FE9-8680-7A1342E1850A}" name="Colonne15340"/>
    <tableColumn id="15349" xr3:uid="{13D2F3B0-2187-4263-AC4A-913C0C2AF867}" name="Colonne15341"/>
    <tableColumn id="15350" xr3:uid="{E8B3CBDE-A193-463D-A45C-5753B92FE232}" name="Colonne15342"/>
    <tableColumn id="15351" xr3:uid="{A726CE35-0BAE-40B4-9446-1A61ED1B7E29}" name="Colonne15343"/>
    <tableColumn id="15352" xr3:uid="{6FCB59B5-D255-4428-890B-1A094552B595}" name="Colonne15344"/>
    <tableColumn id="15353" xr3:uid="{45160560-3DA8-4808-AA9B-3CF9860C9617}" name="Colonne15345"/>
    <tableColumn id="15354" xr3:uid="{6F2F7312-D5BE-4207-B6E2-CA68961860F1}" name="Colonne15346"/>
    <tableColumn id="15355" xr3:uid="{0B13CC60-D408-411D-9DE0-6BD0B436D155}" name="Colonne15347"/>
    <tableColumn id="15356" xr3:uid="{D013ABE4-040E-4F5D-B875-72458CBE8F29}" name="Colonne15348"/>
    <tableColumn id="15357" xr3:uid="{6CDAF145-004F-4FDD-9429-42EAEF219714}" name="Colonne15349"/>
    <tableColumn id="15358" xr3:uid="{D405DC79-B2BF-4D4A-A10E-43737501A22E}" name="Colonne15350"/>
    <tableColumn id="15359" xr3:uid="{848653BB-C740-4A7D-824E-8E14FB107BDF}" name="Colonne15351"/>
    <tableColumn id="15360" xr3:uid="{E8F36985-CAFF-4871-BF43-17FC4F682613}" name="Colonne15352"/>
    <tableColumn id="15361" xr3:uid="{83DA2E53-CA7F-482D-92FA-F3F83ABBCDC1}" name="Colonne15353"/>
    <tableColumn id="15362" xr3:uid="{841AA24D-0455-4BE8-9B02-9CDD7E819903}" name="Colonne15354"/>
    <tableColumn id="15363" xr3:uid="{ADE5EE92-54D4-44B3-8E99-C551D8152677}" name="Colonne15355"/>
    <tableColumn id="15364" xr3:uid="{0448C8D0-CDD1-499F-89C8-44C8E7039EA4}" name="Colonne15356"/>
    <tableColumn id="15365" xr3:uid="{C162DA22-E558-4895-AA83-B852052361BF}" name="Colonne15357"/>
    <tableColumn id="15366" xr3:uid="{1E33DF0B-5DAF-4634-97CE-843300D19BD7}" name="Colonne15358"/>
    <tableColumn id="15367" xr3:uid="{032A499E-AA25-4A0E-AA83-76B251729318}" name="Colonne15359"/>
    <tableColumn id="15368" xr3:uid="{6617A5BF-583B-41BE-BD14-FDA961C92021}" name="Colonne15360"/>
    <tableColumn id="15369" xr3:uid="{53AF04F5-B8DE-4D67-A530-6D4BD7E08C91}" name="Colonne15361"/>
    <tableColumn id="15370" xr3:uid="{B54C14BE-B824-4570-A935-86982EC61DFC}" name="Colonne15362"/>
    <tableColumn id="15371" xr3:uid="{6EB3BBFE-C1BA-4190-8226-3C1A98EDF235}" name="Colonne15363"/>
    <tableColumn id="15372" xr3:uid="{4C7AC909-5B01-4D34-AE08-524EEB5FD982}" name="Colonne15364"/>
    <tableColumn id="15373" xr3:uid="{9C576512-3A06-49A3-AF15-676AAB9C5036}" name="Colonne15365"/>
    <tableColumn id="15374" xr3:uid="{3834C0B4-A269-4891-A717-7B90644FF328}" name="Colonne15366"/>
    <tableColumn id="15375" xr3:uid="{1F3A5D3F-F546-43C6-8149-CBC3433566E9}" name="Colonne15367"/>
    <tableColumn id="15376" xr3:uid="{ED0EF15E-A81C-4789-8F66-0C592E884A6E}" name="Colonne15368"/>
    <tableColumn id="15377" xr3:uid="{3A6EF765-4891-4814-8D9A-8A346CFFFCDC}" name="Colonne15369"/>
    <tableColumn id="15378" xr3:uid="{B23A6166-62EC-45FC-B28B-574BB5B6BC23}" name="Colonne15370"/>
    <tableColumn id="15379" xr3:uid="{326E2F83-839E-4BDC-9595-FCBFCFC12CC9}" name="Colonne15371"/>
    <tableColumn id="15380" xr3:uid="{F4C1F472-AFE6-40F0-9FFA-30EA1E8D9907}" name="Colonne15372"/>
    <tableColumn id="15381" xr3:uid="{8818918B-C710-41FB-9CFF-4159E0CDCDC0}" name="Colonne15373"/>
    <tableColumn id="15382" xr3:uid="{4FEC4A86-3E97-438C-81A0-A28C588DE9A7}" name="Colonne15374"/>
    <tableColumn id="15383" xr3:uid="{45875F78-C087-4CBF-AEE3-98015679124C}" name="Colonne15375"/>
    <tableColumn id="15384" xr3:uid="{7D5F172D-BAA6-4564-A2FC-014F56D73F27}" name="Colonne15376"/>
    <tableColumn id="15385" xr3:uid="{670799D6-2DDA-41F4-B362-527B513616BC}" name="Colonne15377"/>
    <tableColumn id="15386" xr3:uid="{9AC250C0-5BEB-427B-9D1A-0C92C7C03207}" name="Colonne15378"/>
    <tableColumn id="15387" xr3:uid="{E68D37C5-EFCF-4323-82F3-A49425F246BE}" name="Colonne15379"/>
    <tableColumn id="15388" xr3:uid="{BEFC01EE-8527-4E8B-82EF-1B94FC472693}" name="Colonne15380"/>
    <tableColumn id="15389" xr3:uid="{B76554DF-457F-488E-B3BF-E0EC7238F7AB}" name="Colonne15381"/>
    <tableColumn id="15390" xr3:uid="{5A33F178-035A-414C-9AA0-52DA4C743831}" name="Colonne15382"/>
    <tableColumn id="15391" xr3:uid="{A834C0F4-6F0F-4C68-9DEE-CF839BA37BF7}" name="Colonne15383"/>
    <tableColumn id="15392" xr3:uid="{8BC36A54-5A56-4664-8E44-40168709DF5E}" name="Colonne15384"/>
    <tableColumn id="15393" xr3:uid="{16751C23-C945-46B0-8F58-CFF406E1F7FE}" name="Colonne15385"/>
    <tableColumn id="15394" xr3:uid="{0A1C2A03-8CA8-4357-A1D7-8886E9414FBB}" name="Colonne15386"/>
    <tableColumn id="15395" xr3:uid="{55DE340A-0B15-4C92-A57F-6DAF3C36C22E}" name="Colonne15387"/>
    <tableColumn id="15396" xr3:uid="{E6212D08-9B4E-4A7F-BF0E-468402F34FA7}" name="Colonne15388"/>
    <tableColumn id="15397" xr3:uid="{9ED1DE2F-EB3B-4B2C-B9E7-30C50ED8DDD8}" name="Colonne15389"/>
    <tableColumn id="15398" xr3:uid="{0C8EE859-2B42-4D87-928B-C6646BB23A01}" name="Colonne15390"/>
    <tableColumn id="15399" xr3:uid="{B5A6FF72-B145-400D-BDFF-EC5CDB0112F4}" name="Colonne15391"/>
    <tableColumn id="15400" xr3:uid="{604A2614-A921-4546-B5A1-E97AE14D3ED5}" name="Colonne15392"/>
    <tableColumn id="15401" xr3:uid="{44A4B6C9-D9D2-4915-9D75-885D9ADD4724}" name="Colonne15393"/>
    <tableColumn id="15402" xr3:uid="{EBBEFDA8-859E-4BB6-B3ED-6697FFA5F46E}" name="Colonne15394"/>
    <tableColumn id="15403" xr3:uid="{8864F650-4E62-4B29-8CE8-F873D25474BE}" name="Colonne15395"/>
    <tableColumn id="15404" xr3:uid="{32CA6297-11EA-4980-B7FA-BCA13046B346}" name="Colonne15396"/>
    <tableColumn id="15405" xr3:uid="{6C12214D-CEC8-4CA3-9C1D-4083D8A02C73}" name="Colonne15397"/>
    <tableColumn id="15406" xr3:uid="{3ACD9A44-6EF0-4507-9A0F-FA8BB93D9F81}" name="Colonne15398"/>
    <tableColumn id="15407" xr3:uid="{BF611522-51B1-46D0-99D6-8BBF3CF83E1C}" name="Colonne15399"/>
    <tableColumn id="15408" xr3:uid="{01F176D8-5556-40F1-AF99-115178FE3368}" name="Colonne15400"/>
    <tableColumn id="15409" xr3:uid="{F35639BC-E4C8-465A-8A19-0990B3EB6510}" name="Colonne15401"/>
    <tableColumn id="15410" xr3:uid="{D9F8BBC5-A434-494D-8D3C-704A187257A7}" name="Colonne15402"/>
    <tableColumn id="15411" xr3:uid="{7132FE1A-9530-44DA-9071-8FEC01DC7B90}" name="Colonne15403"/>
    <tableColumn id="15412" xr3:uid="{13076AEE-A30F-4E3D-8C36-F28DEE1CA725}" name="Colonne15404"/>
    <tableColumn id="15413" xr3:uid="{A196B94C-E92F-47BE-AF15-DE18224D13CB}" name="Colonne15405"/>
    <tableColumn id="15414" xr3:uid="{704B6BB5-01D7-4615-8F52-A61899AA2CAE}" name="Colonne15406"/>
    <tableColumn id="15415" xr3:uid="{4CC5CA78-523E-4141-BA89-D2383A534131}" name="Colonne15407"/>
    <tableColumn id="15416" xr3:uid="{924284F8-46C1-4BDC-A06C-4DB461BAB939}" name="Colonne15408"/>
    <tableColumn id="15417" xr3:uid="{51DE90E8-7D25-4DB9-8DF8-EE0BCF6CA34F}" name="Colonne15409"/>
    <tableColumn id="15418" xr3:uid="{8015FE10-3763-4036-8D49-3F7075C83346}" name="Colonne15410"/>
    <tableColumn id="15419" xr3:uid="{F713BABD-FD12-4DDB-B0A9-F9A7D1EAF8D4}" name="Colonne15411"/>
    <tableColumn id="15420" xr3:uid="{CBFE0D63-91D1-4E77-BB76-6392D3D714ED}" name="Colonne15412"/>
    <tableColumn id="15421" xr3:uid="{014EA6AE-89CE-4D91-A424-C8E2EB459FA3}" name="Colonne15413"/>
    <tableColumn id="15422" xr3:uid="{59B69011-B1B1-445C-9860-C4D5CBFB61EF}" name="Colonne15414"/>
    <tableColumn id="15423" xr3:uid="{EC7DE2DF-4F94-464F-BC92-049927B54A6C}" name="Colonne15415"/>
    <tableColumn id="15424" xr3:uid="{34E285ED-C6E4-4516-A178-8322BBC1CF8D}" name="Colonne15416"/>
    <tableColumn id="15425" xr3:uid="{44017053-B446-43D3-AC22-96F4486ACE6F}" name="Colonne15417"/>
    <tableColumn id="15426" xr3:uid="{2ADFAC11-5C5F-4919-9258-BC1E69C90F60}" name="Colonne15418"/>
    <tableColumn id="15427" xr3:uid="{1F015D18-3DCE-4B90-9172-0B32F1F3859A}" name="Colonne15419"/>
    <tableColumn id="15428" xr3:uid="{B03E59D5-DC67-4C63-823E-9A2A7474C1D3}" name="Colonne15420"/>
    <tableColumn id="15429" xr3:uid="{34D00043-C0E8-417A-86E2-2B357E89BEEB}" name="Colonne15421"/>
    <tableColumn id="15430" xr3:uid="{1B3AA9E8-1131-4A59-A6B1-90E01BE918A5}" name="Colonne15422"/>
    <tableColumn id="15431" xr3:uid="{5284AC94-4A67-4BFE-8DF9-8CC6BFDD4011}" name="Colonne15423"/>
    <tableColumn id="15432" xr3:uid="{79B036A5-01D8-4642-8A5F-3F930B3FF2BE}" name="Colonne15424"/>
    <tableColumn id="15433" xr3:uid="{7D440662-9E9A-4E70-B37D-DA492F4999E1}" name="Colonne15425"/>
    <tableColumn id="15434" xr3:uid="{9ADEEA49-7FA0-4ED8-B0F4-3CA389626B86}" name="Colonne15426"/>
    <tableColumn id="15435" xr3:uid="{FE06667D-6E1C-4799-9E7E-91C53F4D3614}" name="Colonne15427"/>
    <tableColumn id="15436" xr3:uid="{11076E0F-F748-412F-B034-0B38B8F630B2}" name="Colonne15428"/>
    <tableColumn id="15437" xr3:uid="{E66ED0DF-EFB1-4B25-896A-851BFF960EDE}" name="Colonne15429"/>
    <tableColumn id="15438" xr3:uid="{CB215A4A-CD07-48B1-BF8F-276CE0F355D0}" name="Colonne15430"/>
    <tableColumn id="15439" xr3:uid="{6CB5E4C7-1570-4561-83EA-2732EECFA225}" name="Colonne15431"/>
    <tableColumn id="15440" xr3:uid="{EE0FD002-C6BE-4001-BEF3-67ACC9FC673C}" name="Colonne15432"/>
    <tableColumn id="15441" xr3:uid="{1D551ABF-D154-4FA3-85C5-7F919D1B4545}" name="Colonne15433"/>
    <tableColumn id="15442" xr3:uid="{15A46FB6-F33D-4296-A842-29D1089DCB80}" name="Colonne15434"/>
    <tableColumn id="15443" xr3:uid="{694CCB2A-1F67-4611-8F5B-F18ACC57A0BA}" name="Colonne15435"/>
    <tableColumn id="15444" xr3:uid="{6756A433-C3B5-4C51-A652-799289E49EED}" name="Colonne15436"/>
    <tableColumn id="15445" xr3:uid="{F3397916-26D9-4608-B947-51B2131FED85}" name="Colonne15437"/>
    <tableColumn id="15446" xr3:uid="{751E3936-7F50-4D06-BC0A-5F8819EE2E1E}" name="Colonne15438"/>
    <tableColumn id="15447" xr3:uid="{BC986650-4F9D-4A49-9A45-82F171B6DCED}" name="Colonne15439"/>
    <tableColumn id="15448" xr3:uid="{9B323017-D0CE-4CDF-A9F9-2127A31CF551}" name="Colonne15440"/>
    <tableColumn id="15449" xr3:uid="{6D7ECC5B-AC3B-4529-AF97-1B11E4714D69}" name="Colonne15441"/>
    <tableColumn id="15450" xr3:uid="{6FBF4CA1-D26B-4D99-9E43-C92E9BE4195C}" name="Colonne15442"/>
    <tableColumn id="15451" xr3:uid="{67FE6C54-75AA-4F82-A1F9-8EE29CFDB197}" name="Colonne15443"/>
    <tableColumn id="15452" xr3:uid="{3AED9069-6E78-4412-9AA3-2C47368B343C}" name="Colonne15444"/>
    <tableColumn id="15453" xr3:uid="{2D405336-97C4-4215-B3A2-C65691B75C2F}" name="Colonne15445"/>
    <tableColumn id="15454" xr3:uid="{41744708-E4A3-4EF1-A1CA-5BE511BB4C67}" name="Colonne15446"/>
    <tableColumn id="15455" xr3:uid="{A9D8A041-3F96-477C-B572-894CA2312212}" name="Colonne15447"/>
    <tableColumn id="15456" xr3:uid="{E17217FE-1A54-4EBD-85A4-E5DEA675AF33}" name="Colonne15448"/>
    <tableColumn id="15457" xr3:uid="{CFD3C337-C2B8-41CF-9E4D-B1134675B58D}" name="Colonne15449"/>
    <tableColumn id="15458" xr3:uid="{F2481BBA-4323-4F07-81AB-41A0E7776D19}" name="Colonne15450"/>
    <tableColumn id="15459" xr3:uid="{8EFDC44F-0CE7-4FBE-BC50-CB1CAB2973CE}" name="Colonne15451"/>
    <tableColumn id="15460" xr3:uid="{23A02954-0358-4D78-94CC-47CCEFA5B0C2}" name="Colonne15452"/>
    <tableColumn id="15461" xr3:uid="{4AF39F0C-0946-4833-AB65-EB0F3FC44532}" name="Colonne15453"/>
    <tableColumn id="15462" xr3:uid="{EAB52769-5F74-407F-AEC7-34C7EB5D3DC7}" name="Colonne15454"/>
    <tableColumn id="15463" xr3:uid="{0A7B6CC1-10AA-45E8-95CF-4D8FC925750A}" name="Colonne15455"/>
    <tableColumn id="15464" xr3:uid="{20B14E57-2100-4EEB-B714-846DCE858AB6}" name="Colonne15456"/>
    <tableColumn id="15465" xr3:uid="{B909E0EC-259B-40EC-A6D7-4A06D832687D}" name="Colonne15457"/>
    <tableColumn id="15466" xr3:uid="{CB8280D0-738A-4DE3-A515-AD9DCEAB8EAD}" name="Colonne15458"/>
    <tableColumn id="15467" xr3:uid="{199D3ACA-C625-4891-B5A0-0D7777F3E964}" name="Colonne15459"/>
    <tableColumn id="15468" xr3:uid="{0D8783AD-980A-4064-80D8-E17AA41DD6F8}" name="Colonne15460"/>
    <tableColumn id="15469" xr3:uid="{3FBC517C-DEF4-4E8F-9A1D-226F515760CA}" name="Colonne15461"/>
    <tableColumn id="15470" xr3:uid="{D4F30E8F-E4F9-43CE-B92E-D2BBB1414045}" name="Colonne15462"/>
    <tableColumn id="15471" xr3:uid="{0409CE5D-DE3A-49C4-847B-1D7B79BAD3E5}" name="Colonne15463"/>
    <tableColumn id="15472" xr3:uid="{913408A5-9CD8-45DF-A4BB-9459D1A1A97F}" name="Colonne15464"/>
    <tableColumn id="15473" xr3:uid="{DA5A2725-24DD-49C5-8E05-8D3DCFEF9AD1}" name="Colonne15465"/>
    <tableColumn id="15474" xr3:uid="{D6E88A3E-B018-4BCA-92F0-22B39B1BC0AB}" name="Colonne15466"/>
    <tableColumn id="15475" xr3:uid="{A9537BF6-510B-4508-A9F7-FB3C5865637E}" name="Colonne15467"/>
    <tableColumn id="15476" xr3:uid="{17E820B3-8438-45E3-9434-E3C2D3DDCAE5}" name="Colonne15468"/>
    <tableColumn id="15477" xr3:uid="{2C2F006F-F265-4694-A125-8900454F7930}" name="Colonne15469"/>
    <tableColumn id="15478" xr3:uid="{8B7FD5C8-C552-424D-8C58-FA2D62C28BAF}" name="Colonne15470"/>
    <tableColumn id="15479" xr3:uid="{2305A8E5-DC3B-4B26-A2C2-1E6325BAB117}" name="Colonne15471"/>
    <tableColumn id="15480" xr3:uid="{7DE575A7-29AB-485D-84D7-0D3D1A5345EF}" name="Colonne15472"/>
    <tableColumn id="15481" xr3:uid="{C0BBF5D3-A49D-4CC2-B032-0E4F1C0B63C5}" name="Colonne15473"/>
    <tableColumn id="15482" xr3:uid="{F646AA92-ECDB-4FEB-A794-8975180DF347}" name="Colonne15474"/>
    <tableColumn id="15483" xr3:uid="{B2D3B87F-A826-4223-B19B-B55BF73386D2}" name="Colonne15475"/>
    <tableColumn id="15484" xr3:uid="{E17A7464-7891-484C-AAD4-C30F37FFDA37}" name="Colonne15476"/>
    <tableColumn id="15485" xr3:uid="{5B053F04-98C8-48E0-90DC-584C8B83086E}" name="Colonne15477"/>
    <tableColumn id="15486" xr3:uid="{D5853F22-1428-49E3-B39E-FAD8EC47F93E}" name="Colonne15478"/>
    <tableColumn id="15487" xr3:uid="{9CBAF9B7-ED35-4D4F-936F-7A978332AEE1}" name="Colonne15479"/>
    <tableColumn id="15488" xr3:uid="{54E06F78-32FF-4BC9-80FE-9CAAC7BCFA2D}" name="Colonne15480"/>
    <tableColumn id="15489" xr3:uid="{F96E254A-90B9-4768-AC86-21EC5FC10ECB}" name="Colonne15481"/>
    <tableColumn id="15490" xr3:uid="{94133B62-D275-4A84-8DCA-B5D184855AA9}" name="Colonne15482"/>
    <tableColumn id="15491" xr3:uid="{8BB54106-B54F-4AA7-817A-2EE32901DB78}" name="Colonne15483"/>
    <tableColumn id="15492" xr3:uid="{31BD779B-023F-40C4-ACD6-341870466766}" name="Colonne15484"/>
    <tableColumn id="15493" xr3:uid="{6AEC36F1-5587-405C-867E-B521A8C1AA18}" name="Colonne15485"/>
    <tableColumn id="15494" xr3:uid="{E2F31ECE-3DDF-48B9-9198-0934441F176B}" name="Colonne15486"/>
    <tableColumn id="15495" xr3:uid="{6261B7DF-47F9-4BF6-A547-D5E826765EB5}" name="Colonne15487"/>
    <tableColumn id="15496" xr3:uid="{503662B8-ABCF-4D7E-B61D-8F3850C6A450}" name="Colonne15488"/>
    <tableColumn id="15497" xr3:uid="{DA731BA4-11A6-4ED0-80A6-15709ABE1323}" name="Colonne15489"/>
    <tableColumn id="15498" xr3:uid="{CD50B96E-8DC3-4AC6-97A3-4B76D9DBE5FF}" name="Colonne15490"/>
    <tableColumn id="15499" xr3:uid="{FDE1275A-6961-42B7-B177-9D1CF203E08B}" name="Colonne15491"/>
    <tableColumn id="15500" xr3:uid="{C45D29A5-CE37-4F36-A5A9-61373F3B7D24}" name="Colonne15492"/>
    <tableColumn id="15501" xr3:uid="{A1B5F3C0-AF85-411C-9562-1A51A69DA676}" name="Colonne15493"/>
    <tableColumn id="15502" xr3:uid="{2170B9A0-B190-4468-9A7E-2F9B361F13D3}" name="Colonne15494"/>
    <tableColumn id="15503" xr3:uid="{F855A509-80B1-4077-8541-FA0CDF8DCF85}" name="Colonne15495"/>
    <tableColumn id="15504" xr3:uid="{3A39F3C7-E6D9-4B4C-8AF2-4921FDC13326}" name="Colonne15496"/>
    <tableColumn id="15505" xr3:uid="{F7E07B2A-11D9-4993-AEF2-522566CD58C6}" name="Colonne15497"/>
    <tableColumn id="15506" xr3:uid="{23BC1A4B-C96B-45EA-AD69-B61D0B52BA56}" name="Colonne15498"/>
    <tableColumn id="15507" xr3:uid="{70000A03-66E0-4D05-B159-3BE0AC7860D5}" name="Colonne15499"/>
    <tableColumn id="15508" xr3:uid="{48D2CAB1-3DCF-4DE3-9567-B67AC89A0CA2}" name="Colonne15500"/>
    <tableColumn id="15509" xr3:uid="{8CAB81FA-5971-4286-AE75-AF5AE8145E28}" name="Colonne15501"/>
    <tableColumn id="15510" xr3:uid="{0E76C76E-ECB1-468D-A49A-808347FB7B0D}" name="Colonne15502"/>
    <tableColumn id="15511" xr3:uid="{DE53CB09-447F-4DDF-8433-467C82A208AC}" name="Colonne15503"/>
    <tableColumn id="15512" xr3:uid="{F75A2286-6311-4769-9F03-783F3637C8B4}" name="Colonne15504"/>
    <tableColumn id="15513" xr3:uid="{ACD7A77A-7B38-4607-BA08-24935FF596BB}" name="Colonne15505"/>
    <tableColumn id="15514" xr3:uid="{241C1247-654D-4474-879A-11093C21E331}" name="Colonne15506"/>
    <tableColumn id="15515" xr3:uid="{14EB6AB5-01E2-4363-9195-F45F86CDCD7F}" name="Colonne15507"/>
    <tableColumn id="15516" xr3:uid="{70751BB0-0716-46C4-90B4-80C1850FD855}" name="Colonne15508"/>
    <tableColumn id="15517" xr3:uid="{4B42311F-F082-4DC5-9C12-D9B09DED95F8}" name="Colonne15509"/>
    <tableColumn id="15518" xr3:uid="{863D6057-0435-4283-88DF-D6C35E8B971A}" name="Colonne15510"/>
    <tableColumn id="15519" xr3:uid="{5F1A6546-CEEC-46A1-80C0-7C6A150D0CE6}" name="Colonne15511"/>
    <tableColumn id="15520" xr3:uid="{B598F450-5A77-4DDB-A507-7E2C7D23DBCA}" name="Colonne15512"/>
    <tableColumn id="15521" xr3:uid="{9A8E5A3F-B264-4D9C-9D18-FFDDCD56DFBA}" name="Colonne15513"/>
    <tableColumn id="15522" xr3:uid="{AE793D93-D54E-45F1-ACF2-A76E59BA690F}" name="Colonne15514"/>
    <tableColumn id="15523" xr3:uid="{67831247-AF1B-47D7-9AA5-E90DC4DE151A}" name="Colonne15515"/>
    <tableColumn id="15524" xr3:uid="{8D7733CE-4659-4F61-88E4-1852C4A76420}" name="Colonne15516"/>
    <tableColumn id="15525" xr3:uid="{4D6FD939-63EF-417D-BD10-10284662D254}" name="Colonne15517"/>
    <tableColumn id="15526" xr3:uid="{EE58BD95-0D77-4017-92F2-5AB41DFFCE2F}" name="Colonne15518"/>
    <tableColumn id="15527" xr3:uid="{23065EA6-7AC2-44E9-8D9F-6CE9D2AC24CA}" name="Colonne15519"/>
    <tableColumn id="15528" xr3:uid="{ACC13C57-9EEE-4A9D-93E4-D8743E41F903}" name="Colonne15520"/>
    <tableColumn id="15529" xr3:uid="{CE4C9DD3-0855-4C16-9309-A06E2B83F68F}" name="Colonne15521"/>
    <tableColumn id="15530" xr3:uid="{ED633940-61FF-4ECF-8FFF-F8F55686ED93}" name="Colonne15522"/>
    <tableColumn id="15531" xr3:uid="{2CCC93D5-C08E-4237-9CEE-C9D2CB17CFC3}" name="Colonne15523"/>
    <tableColumn id="15532" xr3:uid="{3B56FB0A-0D35-4711-B373-B060F2F73C25}" name="Colonne15524"/>
    <tableColumn id="15533" xr3:uid="{DDD9E72F-C883-4456-84BE-4BD1B4880071}" name="Colonne15525"/>
    <tableColumn id="15534" xr3:uid="{8ADB6910-3066-415E-A0BF-DAFD997AB3C6}" name="Colonne15526"/>
    <tableColumn id="15535" xr3:uid="{1B1247AF-5A4E-4B78-BCCF-77F7719688A5}" name="Colonne15527"/>
    <tableColumn id="15536" xr3:uid="{C4E1BB7E-B1A5-4267-8E78-25B033BA88D6}" name="Colonne15528"/>
    <tableColumn id="15537" xr3:uid="{43228D89-0EA6-4C9D-A5D7-34160948BE8A}" name="Colonne15529"/>
    <tableColumn id="15538" xr3:uid="{DD77A5C3-FEA5-4B9F-9535-4C0941AC9939}" name="Colonne15530"/>
    <tableColumn id="15539" xr3:uid="{3B8DC8B2-77BC-40E1-A9EE-AF7376A6C85B}" name="Colonne15531"/>
    <tableColumn id="15540" xr3:uid="{0A644522-C820-469A-9AEA-855CFD293032}" name="Colonne15532"/>
    <tableColumn id="15541" xr3:uid="{2E9E86E5-FAC6-49BE-8179-2F920AFD0A3D}" name="Colonne15533"/>
    <tableColumn id="15542" xr3:uid="{1777D7DF-722C-4B50-8863-FF5358B9FE24}" name="Colonne15534"/>
    <tableColumn id="15543" xr3:uid="{4D1173D0-42EB-4E76-B0CA-BAF4533D66E6}" name="Colonne15535"/>
    <tableColumn id="15544" xr3:uid="{EF64F10A-23F8-4392-A6DF-FF9DAE62B9F3}" name="Colonne15536"/>
    <tableColumn id="15545" xr3:uid="{98F21EC0-0BC5-43C5-8DE5-432E9BCC5CF9}" name="Colonne15537"/>
    <tableColumn id="15546" xr3:uid="{604938F2-6191-4F77-92C3-10C07A294F32}" name="Colonne15538"/>
    <tableColumn id="15547" xr3:uid="{8C3D7799-1C80-4818-956C-860419ACA42F}" name="Colonne15539"/>
    <tableColumn id="15548" xr3:uid="{23F5C921-5F41-4EE2-AEF9-C1F49F355853}" name="Colonne15540"/>
    <tableColumn id="15549" xr3:uid="{D4484878-38EC-44F0-B5EE-6B0D2E8D17B6}" name="Colonne15541"/>
    <tableColumn id="15550" xr3:uid="{5DD40C49-C203-426A-BB5B-747AECFAE72D}" name="Colonne15542"/>
    <tableColumn id="15551" xr3:uid="{38263DF7-872D-4DC7-A1F3-10A067877C0E}" name="Colonne15543"/>
    <tableColumn id="15552" xr3:uid="{26B1E27E-D7AE-4F48-A4A7-C180A0AB49F3}" name="Colonne15544"/>
    <tableColumn id="15553" xr3:uid="{0C4E108D-8B3F-4607-AFFC-0438FD4A5853}" name="Colonne15545"/>
    <tableColumn id="15554" xr3:uid="{C3E542CF-1402-4F46-AE78-BFEE56ACBD1E}" name="Colonne15546"/>
    <tableColumn id="15555" xr3:uid="{7C6D41CB-3699-4A46-94F7-35C75FC82765}" name="Colonne15547"/>
    <tableColumn id="15556" xr3:uid="{8A496C4D-7020-4FAC-972F-6821F673B2B5}" name="Colonne15548"/>
    <tableColumn id="15557" xr3:uid="{0C16D7E0-044C-4322-B611-B95A57991833}" name="Colonne15549"/>
    <tableColumn id="15558" xr3:uid="{8731D290-EBE6-4577-BD1C-A6D132FA2E8E}" name="Colonne15550"/>
    <tableColumn id="15559" xr3:uid="{4AC8ABEF-9E54-4F1A-A493-8F61130CB779}" name="Colonne15551"/>
    <tableColumn id="15560" xr3:uid="{46F14F28-BEC3-4CDE-BD0E-F27ED90E6845}" name="Colonne15552"/>
    <tableColumn id="15561" xr3:uid="{706DD0C8-83DE-49A7-B955-2B177AA22001}" name="Colonne15553"/>
    <tableColumn id="15562" xr3:uid="{FB1B4730-4DE0-4A19-9162-AD47E5C22063}" name="Colonne15554"/>
    <tableColumn id="15563" xr3:uid="{2736A65A-DEB7-4C1D-A1A4-61448169CF7D}" name="Colonne15555"/>
    <tableColumn id="15564" xr3:uid="{47240965-AB18-4E52-9D31-481B2F57854C}" name="Colonne15556"/>
    <tableColumn id="15565" xr3:uid="{DE006B34-6213-401E-B874-FA656DABBD68}" name="Colonne15557"/>
    <tableColumn id="15566" xr3:uid="{07735843-6A45-486F-B850-2623BE50C78E}" name="Colonne15558"/>
    <tableColumn id="15567" xr3:uid="{605A3F27-2280-4F96-A700-9639447ABCC2}" name="Colonne15559"/>
    <tableColumn id="15568" xr3:uid="{FF961A94-A3A0-4B1C-B926-99B8A6AA536A}" name="Colonne15560"/>
    <tableColumn id="15569" xr3:uid="{FD5AEEA0-1661-4155-9A2A-649A9C54FF66}" name="Colonne15561"/>
    <tableColumn id="15570" xr3:uid="{6471A66E-360C-447B-94E4-37093623B92E}" name="Colonne15562"/>
    <tableColumn id="15571" xr3:uid="{B16B2543-AA02-4663-8D6B-A3CF9D168C42}" name="Colonne15563"/>
    <tableColumn id="15572" xr3:uid="{63787064-E396-4C0A-94E7-946A0F1F90A5}" name="Colonne15564"/>
    <tableColumn id="15573" xr3:uid="{BFFA56BF-634E-4EDB-A229-0656170050DC}" name="Colonne15565"/>
    <tableColumn id="15574" xr3:uid="{4B66B9A4-9D55-4B9F-9347-211B280CCF87}" name="Colonne15566"/>
    <tableColumn id="15575" xr3:uid="{85A6B74E-E616-4082-82C0-C3A6D6C6C1E2}" name="Colonne15567"/>
    <tableColumn id="15576" xr3:uid="{36D47AD6-869F-48F6-A4C3-76168EA58B32}" name="Colonne15568"/>
    <tableColumn id="15577" xr3:uid="{99F5082A-C9CB-4CE5-9E53-5D248791D130}" name="Colonne15569"/>
    <tableColumn id="15578" xr3:uid="{A56D3ECB-9F8A-4C19-BCB0-068B3750FBBF}" name="Colonne15570"/>
    <tableColumn id="15579" xr3:uid="{86CB29DC-D33C-48EB-8BB0-2107E94CA791}" name="Colonne15571"/>
    <tableColumn id="15580" xr3:uid="{37C44501-A4B6-4015-9F5C-53C4E7F02FDC}" name="Colonne15572"/>
    <tableColumn id="15581" xr3:uid="{BC28A26A-3DE4-40D9-B349-A45D2484B1E5}" name="Colonne15573"/>
    <tableColumn id="15582" xr3:uid="{0F0E2BB2-FDC3-4288-B1EB-7A9CDE8A60C3}" name="Colonne15574"/>
    <tableColumn id="15583" xr3:uid="{9D2EA613-5408-428D-B717-E9929A3A8482}" name="Colonne15575"/>
    <tableColumn id="15584" xr3:uid="{8DAE96C8-13E6-4EAF-A683-7F06736C7B44}" name="Colonne15576"/>
    <tableColumn id="15585" xr3:uid="{8CB2F066-7AC8-409B-9F2C-5008A44078FF}" name="Colonne15577"/>
    <tableColumn id="15586" xr3:uid="{98CA8DDD-5719-4F20-99AB-3762D4C114B1}" name="Colonne15578"/>
    <tableColumn id="15587" xr3:uid="{23567659-BDE9-4588-AC82-24C314FEFA0D}" name="Colonne15579"/>
    <tableColumn id="15588" xr3:uid="{D9E86F65-6640-4D17-B281-85E3F77FC24B}" name="Colonne15580"/>
    <tableColumn id="15589" xr3:uid="{804BBD5D-7E35-4164-9A75-FBC1CFEF90D2}" name="Colonne15581"/>
    <tableColumn id="15590" xr3:uid="{B8FE953C-AE24-4D4A-BDBF-844A89305B19}" name="Colonne15582"/>
    <tableColumn id="15591" xr3:uid="{CBF542B4-C89E-47B7-BDB6-F9F498243970}" name="Colonne15583"/>
    <tableColumn id="15592" xr3:uid="{CC034C3F-E26D-4CC9-836D-481BA4590446}" name="Colonne15584"/>
    <tableColumn id="15593" xr3:uid="{1CBAFD3B-9329-4E96-B359-2FFCA5757809}" name="Colonne15585"/>
    <tableColumn id="15594" xr3:uid="{13B2C9D0-1E8B-47D1-8315-6DBBC9641EBE}" name="Colonne15586"/>
    <tableColumn id="15595" xr3:uid="{78F809B6-6361-4B34-99F7-4D5F4EB5498E}" name="Colonne15587"/>
    <tableColumn id="15596" xr3:uid="{3FA4BFE0-DF88-4A18-BB62-A93C45AC894D}" name="Colonne15588"/>
    <tableColumn id="15597" xr3:uid="{E73462DE-C573-4F36-876A-39003AF06D14}" name="Colonne15589"/>
    <tableColumn id="15598" xr3:uid="{9D816B33-9230-4C35-B5DF-1E9E2D931B0E}" name="Colonne15590"/>
    <tableColumn id="15599" xr3:uid="{068006A1-1D86-4319-9704-9EA377333030}" name="Colonne15591"/>
    <tableColumn id="15600" xr3:uid="{B92D173D-CB0A-4BA6-A775-A2AC9185C032}" name="Colonne15592"/>
    <tableColumn id="15601" xr3:uid="{41AB5AA0-492C-4A5D-8772-22FA1D7E8EC6}" name="Colonne15593"/>
    <tableColumn id="15602" xr3:uid="{7DA24372-6A1E-4F57-AF7A-0E4E4CE724E9}" name="Colonne15594"/>
    <tableColumn id="15603" xr3:uid="{2B1CA065-B15F-4F7C-9379-0EA8CDA877D0}" name="Colonne15595"/>
    <tableColumn id="15604" xr3:uid="{297D9C76-CB2A-4152-8D4D-5146EF18346B}" name="Colonne15596"/>
    <tableColumn id="15605" xr3:uid="{52508A89-F482-486C-A2E2-920EE7655FA8}" name="Colonne15597"/>
    <tableColumn id="15606" xr3:uid="{96B1F7F9-2D42-443C-8476-9A3AAD2CDA45}" name="Colonne15598"/>
    <tableColumn id="15607" xr3:uid="{61EBAE1B-17C5-4611-8C42-B5AEFAE15880}" name="Colonne15599"/>
    <tableColumn id="15608" xr3:uid="{599A2EAD-AC34-49AF-AC43-471CF1370F3F}" name="Colonne15600"/>
    <tableColumn id="15609" xr3:uid="{A0BEB73C-99F6-44D5-8592-A01E6E2CD602}" name="Colonne15601"/>
    <tableColumn id="15610" xr3:uid="{DD25D2E1-D6B9-48E8-BA2C-6DBEC9C423F6}" name="Colonne15602"/>
    <tableColumn id="15611" xr3:uid="{F1396D74-09A2-44BF-AD8D-5EB049CFCD7C}" name="Colonne15603"/>
    <tableColumn id="15612" xr3:uid="{CF1EC431-5EDA-4676-9CEC-4C1D77549418}" name="Colonne15604"/>
    <tableColumn id="15613" xr3:uid="{B3B3949C-A233-4B8E-A690-2C38F01C0B2E}" name="Colonne15605"/>
    <tableColumn id="15614" xr3:uid="{F1289627-748A-4131-978B-4F32CE724CB4}" name="Colonne15606"/>
    <tableColumn id="15615" xr3:uid="{2BDE49FE-0983-4CBE-8063-1AF36ECB6258}" name="Colonne15607"/>
    <tableColumn id="15616" xr3:uid="{33458AA2-D751-4898-8B12-BF48DCBE5F1F}" name="Colonne15608"/>
    <tableColumn id="15617" xr3:uid="{9991F6DF-B782-4255-A515-65AD408DC7D8}" name="Colonne15609"/>
    <tableColumn id="15618" xr3:uid="{E9E6FB29-1C0F-47F9-BD49-F6D57F6ABBB8}" name="Colonne15610"/>
    <tableColumn id="15619" xr3:uid="{86252EE1-07BC-42A1-89A4-6156B26DAE5D}" name="Colonne15611"/>
    <tableColumn id="15620" xr3:uid="{7292527A-09DF-4861-975F-F5B64F7100E2}" name="Colonne15612"/>
    <tableColumn id="15621" xr3:uid="{AEFFB4F9-929A-4FF1-8EEB-1A3B00868C3D}" name="Colonne15613"/>
    <tableColumn id="15622" xr3:uid="{F1D9DED0-F445-4648-B9E7-05C3EA90893B}" name="Colonne15614"/>
    <tableColumn id="15623" xr3:uid="{D2F2629E-E688-42AB-A525-C7AACDC03606}" name="Colonne15615"/>
    <tableColumn id="15624" xr3:uid="{35F2E22F-BBDC-45F9-B58B-4E039A87BDE3}" name="Colonne15616"/>
    <tableColumn id="15625" xr3:uid="{50E02F63-D4ED-4171-9C00-2C4649447DA4}" name="Colonne15617"/>
    <tableColumn id="15626" xr3:uid="{89A9089D-1834-4610-A94B-B973F16A71C2}" name="Colonne15618"/>
    <tableColumn id="15627" xr3:uid="{9B605A17-107C-4C39-A055-0654FE1AE424}" name="Colonne15619"/>
    <tableColumn id="15628" xr3:uid="{3C4CE7C3-875C-490E-BB6C-B63802D73992}" name="Colonne15620"/>
    <tableColumn id="15629" xr3:uid="{70F8ED99-8AFA-42C5-99F0-A3C7499BDD27}" name="Colonne15621"/>
    <tableColumn id="15630" xr3:uid="{6F546CCC-8AD0-4F24-B5F6-21AE2C4413F4}" name="Colonne15622"/>
    <tableColumn id="15631" xr3:uid="{112FC3A0-7644-4D32-983D-F62403C6E62D}" name="Colonne15623"/>
    <tableColumn id="15632" xr3:uid="{9C98AE49-4737-43E6-8E6C-EF404D708649}" name="Colonne15624"/>
    <tableColumn id="15633" xr3:uid="{A98803E5-0B11-42BA-8A5F-3A7222F83B03}" name="Colonne15625"/>
    <tableColumn id="15634" xr3:uid="{72A78A5E-4824-44EF-85C2-1116E1CA98D0}" name="Colonne15626"/>
    <tableColumn id="15635" xr3:uid="{E8E7FC3D-1FCC-4256-88AE-F7B49732759B}" name="Colonne15627"/>
    <tableColumn id="15636" xr3:uid="{DD130598-4D0D-4A30-9287-AEC632806961}" name="Colonne15628"/>
    <tableColumn id="15637" xr3:uid="{D2940C94-A868-42B7-A810-EE34D9CCAD1C}" name="Colonne15629"/>
    <tableColumn id="15638" xr3:uid="{6F888659-EB4C-4A70-AC3F-FC5423A80058}" name="Colonne15630"/>
    <tableColumn id="15639" xr3:uid="{F5C46F77-C2DC-45CC-9AF4-DC860668DF7F}" name="Colonne15631"/>
    <tableColumn id="15640" xr3:uid="{B2A9BAFB-F6AC-418E-BCE6-AFEA83D080E3}" name="Colonne15632"/>
    <tableColumn id="15641" xr3:uid="{6D16028C-5924-4F7F-A0B4-9046098119F3}" name="Colonne15633"/>
    <tableColumn id="15642" xr3:uid="{47A69B4D-A830-4C69-AAD7-D28905B8E66E}" name="Colonne15634"/>
    <tableColumn id="15643" xr3:uid="{1887EB63-EE04-4478-A2BC-3073DCF8E08F}" name="Colonne15635"/>
    <tableColumn id="15644" xr3:uid="{D78F0CB0-1CF2-4A3C-9458-63CFDE3A9737}" name="Colonne15636"/>
    <tableColumn id="15645" xr3:uid="{4573D422-3758-41BC-BC68-D5BB47C2C907}" name="Colonne15637"/>
    <tableColumn id="15646" xr3:uid="{4AA621D7-0D4D-42BD-8EED-D9FD4511A385}" name="Colonne15638"/>
    <tableColumn id="15647" xr3:uid="{3CD81BB0-0D85-4C2E-8722-4772EC836B74}" name="Colonne15639"/>
    <tableColumn id="15648" xr3:uid="{373E7570-B0E5-412D-B697-260759FDF12D}" name="Colonne15640"/>
    <tableColumn id="15649" xr3:uid="{31140700-6660-4EE2-A3EE-00627F04C1DA}" name="Colonne15641"/>
    <tableColumn id="15650" xr3:uid="{30B2C685-2D4B-4445-A41A-BD4B626F4CE5}" name="Colonne15642"/>
    <tableColumn id="15651" xr3:uid="{8A47EF65-6305-440F-A1FE-EDB0E0741B72}" name="Colonne15643"/>
    <tableColumn id="15652" xr3:uid="{6B6AB78C-A08F-461F-817D-D72E76635B68}" name="Colonne15644"/>
    <tableColumn id="15653" xr3:uid="{8A180D85-39F5-4FD3-8592-47B956483868}" name="Colonne15645"/>
    <tableColumn id="15654" xr3:uid="{C20E999D-3CC2-4C38-B4CB-5DE02E82D14C}" name="Colonne15646"/>
    <tableColumn id="15655" xr3:uid="{9368EC1E-5613-47C3-8E7C-4F9F00733639}" name="Colonne15647"/>
    <tableColumn id="15656" xr3:uid="{B53262BC-DC9E-4C9D-9DE8-429CB6180281}" name="Colonne15648"/>
    <tableColumn id="15657" xr3:uid="{AF5EB854-A538-477C-BB72-5D340EB9DF58}" name="Colonne15649"/>
    <tableColumn id="15658" xr3:uid="{BC77E81D-4B1C-43DD-A38E-F34D8244C488}" name="Colonne15650"/>
    <tableColumn id="15659" xr3:uid="{A10980DD-7A03-4462-9CB8-4E108DE0677A}" name="Colonne15651"/>
    <tableColumn id="15660" xr3:uid="{BA972957-A9CD-45D8-A35F-1C32525CB773}" name="Colonne15652"/>
    <tableColumn id="15661" xr3:uid="{735893F8-DA33-4591-B80D-10F94494D054}" name="Colonne15653"/>
    <tableColumn id="15662" xr3:uid="{7BA576C1-6BA8-40C6-AD73-26E54435C1C2}" name="Colonne15654"/>
    <tableColumn id="15663" xr3:uid="{998517CA-2808-4DDA-82FA-9A8CA0BE1031}" name="Colonne15655"/>
    <tableColumn id="15664" xr3:uid="{8D17F8FF-BE5B-42CF-BDF9-CE0E1E820F76}" name="Colonne15656"/>
    <tableColumn id="15665" xr3:uid="{EED6DBA5-DA20-4FF1-BDEB-B41000123FDE}" name="Colonne15657"/>
    <tableColumn id="15666" xr3:uid="{CF0CA0AD-486C-45C0-B027-60B0A22662C4}" name="Colonne15658"/>
    <tableColumn id="15667" xr3:uid="{F64328BB-E6CB-47D2-B466-C983751B97FE}" name="Colonne15659"/>
    <tableColumn id="15668" xr3:uid="{2CF7CA67-B22C-4BB1-81A1-26D53DBD9822}" name="Colonne15660"/>
    <tableColumn id="15669" xr3:uid="{D3BB8487-4069-4E1F-9F11-B2A0BF291457}" name="Colonne15661"/>
    <tableColumn id="15670" xr3:uid="{2E4FAE25-0E48-4021-9120-C823AC67620C}" name="Colonne15662"/>
    <tableColumn id="15671" xr3:uid="{EEE2F8AD-4B69-4F05-88EB-CE745D5F2BD3}" name="Colonne15663"/>
    <tableColumn id="15672" xr3:uid="{392CF23F-26C3-4022-941A-ED96B639C82B}" name="Colonne15664"/>
    <tableColumn id="15673" xr3:uid="{AAF6BA55-46C6-4F05-80AC-96EAD7BAE760}" name="Colonne15665"/>
    <tableColumn id="15674" xr3:uid="{8FEAF4CD-BACE-49F3-AD8F-27613920E91A}" name="Colonne15666"/>
    <tableColumn id="15675" xr3:uid="{0ACA9FDF-98C8-4EE2-994C-CFA68EC9058E}" name="Colonne15667"/>
    <tableColumn id="15676" xr3:uid="{E148391F-4B26-4880-979F-11D725077D21}" name="Colonne15668"/>
    <tableColumn id="15677" xr3:uid="{01926868-2A18-41DC-8550-589B8556F45F}" name="Colonne15669"/>
    <tableColumn id="15678" xr3:uid="{9854CD51-C211-4D04-9509-DB61591E7768}" name="Colonne15670"/>
    <tableColumn id="15679" xr3:uid="{3B6FB85A-5CDF-4CAB-98C4-D56037455B4B}" name="Colonne15671"/>
    <tableColumn id="15680" xr3:uid="{B56B806F-F65C-4911-804E-490A67D51F72}" name="Colonne15672"/>
    <tableColumn id="15681" xr3:uid="{1ED86A77-F024-4697-8F57-CAC33BDC2DEA}" name="Colonne15673"/>
    <tableColumn id="15682" xr3:uid="{DB2BFF02-4C46-435C-A2BA-3FE6117D41C0}" name="Colonne15674"/>
    <tableColumn id="15683" xr3:uid="{2050A29F-10B4-44CE-A536-729FCF354D16}" name="Colonne15675"/>
    <tableColumn id="15684" xr3:uid="{BBAAAE24-2BAE-4FC7-8FF1-ED678B84F75D}" name="Colonne15676"/>
    <tableColumn id="15685" xr3:uid="{7618044E-BDE9-4E16-82F9-8C1B39933FC8}" name="Colonne15677"/>
    <tableColumn id="15686" xr3:uid="{2ABD981B-7CA2-410E-BB1A-8E1D7F3E5E23}" name="Colonne15678"/>
    <tableColumn id="15687" xr3:uid="{C1190F61-D123-46DF-83EC-FEA185B05289}" name="Colonne15679"/>
    <tableColumn id="15688" xr3:uid="{9C90AFC9-40BF-4A83-A612-51EBEA08CD9A}" name="Colonne15680"/>
    <tableColumn id="15689" xr3:uid="{FE3E47AE-E36D-403C-A5E7-DB6B7C33D0F6}" name="Colonne15681"/>
    <tableColumn id="15690" xr3:uid="{CB4C7F87-D0FE-407B-94E7-F34B349C8B0B}" name="Colonne15682"/>
    <tableColumn id="15691" xr3:uid="{E601608C-8472-4F78-A7E6-E1E1CDA81B68}" name="Colonne15683"/>
    <tableColumn id="15692" xr3:uid="{EFC39EC3-D31F-4246-89A3-5ADBE9B6EEBD}" name="Colonne15684"/>
    <tableColumn id="15693" xr3:uid="{03F612EC-D6D8-483D-BB6D-EA69A352E9CA}" name="Colonne15685"/>
    <tableColumn id="15694" xr3:uid="{805E3C31-EC69-4B3A-8BDD-2101E7A8326D}" name="Colonne15686"/>
    <tableColumn id="15695" xr3:uid="{3B01A3FD-912A-4323-8A58-C5F6CB39431D}" name="Colonne15687"/>
    <tableColumn id="15696" xr3:uid="{E231AC06-3F53-4699-895C-2E4322349D82}" name="Colonne15688"/>
    <tableColumn id="15697" xr3:uid="{DFC06B74-88C4-42D8-81B0-70ADF7CE2173}" name="Colonne15689"/>
    <tableColumn id="15698" xr3:uid="{8E702752-0D55-4AB3-BF5B-B78DBA892E2F}" name="Colonne15690"/>
    <tableColumn id="15699" xr3:uid="{587ACA83-F460-43CC-AA09-1E228D8E60E6}" name="Colonne15691"/>
    <tableColumn id="15700" xr3:uid="{51C97CE1-F641-40C9-AC46-E4E7591D9B2F}" name="Colonne15692"/>
    <tableColumn id="15701" xr3:uid="{8E78836D-2B75-4BF7-A4DC-44265672C423}" name="Colonne15693"/>
    <tableColumn id="15702" xr3:uid="{39706B45-30C2-4510-ADD1-7E7518BEC099}" name="Colonne15694"/>
    <tableColumn id="15703" xr3:uid="{6D72B355-9770-4045-A6EA-6D69AFFA973C}" name="Colonne15695"/>
    <tableColumn id="15704" xr3:uid="{8026FB3E-605D-40AB-968E-E16BF8FC4CF4}" name="Colonne15696"/>
    <tableColumn id="15705" xr3:uid="{90C44C66-216E-4F11-9C94-4A6B6076EC00}" name="Colonne15697"/>
    <tableColumn id="15706" xr3:uid="{247DA158-6EBC-49D9-BC1C-8EC0E0729651}" name="Colonne15698"/>
    <tableColumn id="15707" xr3:uid="{EE5D3B40-E84A-4CB1-88C1-B2A16E990518}" name="Colonne15699"/>
    <tableColumn id="15708" xr3:uid="{F2CBA4E4-FEC1-4BD0-BC26-05992946D0DC}" name="Colonne15700"/>
    <tableColumn id="15709" xr3:uid="{F209BD3E-08BE-42A3-8460-8D7F2B6C1D9C}" name="Colonne15701"/>
    <tableColumn id="15710" xr3:uid="{BEE3D733-0092-4D46-B6ED-AB842EFCC6FB}" name="Colonne15702"/>
    <tableColumn id="15711" xr3:uid="{56B78DD6-DA72-489D-B155-F46E69C0DBF8}" name="Colonne15703"/>
    <tableColumn id="15712" xr3:uid="{BCBCE528-6482-4C49-BFF6-E9FF3D57CACB}" name="Colonne15704"/>
    <tableColumn id="15713" xr3:uid="{E5DAD692-5884-41AF-9B58-12C02F35F030}" name="Colonne15705"/>
    <tableColumn id="15714" xr3:uid="{11C358F7-AAE0-4E8D-9E31-724EDD32A600}" name="Colonne15706"/>
    <tableColumn id="15715" xr3:uid="{70D2B969-6AA7-463F-A722-E675DEB6FEF2}" name="Colonne15707"/>
    <tableColumn id="15716" xr3:uid="{2880FF8E-C745-410B-B044-7F6CB9CEE5FF}" name="Colonne15708"/>
    <tableColumn id="15717" xr3:uid="{5AA1D9E6-6849-4EEE-9402-FFD0CC37BA34}" name="Colonne15709"/>
    <tableColumn id="15718" xr3:uid="{9F7303B5-4FBC-4941-AAA7-975839F373D6}" name="Colonne15710"/>
    <tableColumn id="15719" xr3:uid="{253062B7-7834-4532-9E81-25A9F0798113}" name="Colonne15711"/>
    <tableColumn id="15720" xr3:uid="{236DB05B-BB2E-4D0B-B260-D0C083A68B7E}" name="Colonne15712"/>
    <tableColumn id="15721" xr3:uid="{B5B23F3C-F6A0-4B4A-AA69-AA3D04D70020}" name="Colonne15713"/>
    <tableColumn id="15722" xr3:uid="{14D896C4-7AAD-42C3-AFBA-C9485839A1A9}" name="Colonne15714"/>
    <tableColumn id="15723" xr3:uid="{C717C90E-F7D1-4D5C-BFBF-019E7371F97B}" name="Colonne15715"/>
    <tableColumn id="15724" xr3:uid="{B1AB88CF-6925-46A3-AE64-B2FEED18FE5F}" name="Colonne15716"/>
    <tableColumn id="15725" xr3:uid="{AD692DA7-3CD5-4092-A533-69A74ACA7C60}" name="Colonne15717"/>
    <tableColumn id="15726" xr3:uid="{D2E3D8ED-93B4-4614-A79F-EA1D64AC90F4}" name="Colonne15718"/>
    <tableColumn id="15727" xr3:uid="{DAC75278-A20D-4CD5-8887-1D6089FE3FF7}" name="Colonne15719"/>
    <tableColumn id="15728" xr3:uid="{DAFC0AED-D649-4DF9-810C-686112F59DC1}" name="Colonne15720"/>
    <tableColumn id="15729" xr3:uid="{4CB41E01-BBF1-4240-BC70-927222A4E657}" name="Colonne15721"/>
    <tableColumn id="15730" xr3:uid="{CFC0136D-614A-43ED-868E-39C1CBD4E02E}" name="Colonne15722"/>
    <tableColumn id="15731" xr3:uid="{B2B01FD8-1705-49F9-B3FA-DED9F86798E4}" name="Colonne15723"/>
    <tableColumn id="15732" xr3:uid="{14F9882A-D03D-422A-8F25-2FF0E2A48DC0}" name="Colonne15724"/>
    <tableColumn id="15733" xr3:uid="{0EDF95EA-4112-4F22-B409-0A18BFCD0C87}" name="Colonne15725"/>
    <tableColumn id="15734" xr3:uid="{CE8B255F-EAEC-41F9-8702-C129DBF10EB3}" name="Colonne15726"/>
    <tableColumn id="15735" xr3:uid="{C0FFB403-D9DB-4887-9C98-E491CECCB242}" name="Colonne15727"/>
    <tableColumn id="15736" xr3:uid="{CDADE6CB-98C2-4458-AD16-5D36209906A6}" name="Colonne15728"/>
    <tableColumn id="15737" xr3:uid="{3A9A1E75-3F7D-470B-8BC7-F3B38F21E68D}" name="Colonne15729"/>
    <tableColumn id="15738" xr3:uid="{9F31FC1A-A930-46CB-9532-99D312EA8883}" name="Colonne15730"/>
    <tableColumn id="15739" xr3:uid="{BDEA9A56-631A-4BD0-898C-2CEBF80B4AA9}" name="Colonne15731"/>
    <tableColumn id="15740" xr3:uid="{93C4218A-4D39-4359-83B8-39515EE6F09F}" name="Colonne15732"/>
    <tableColumn id="15741" xr3:uid="{C59A5358-52EB-4187-BF24-448FBE069808}" name="Colonne15733"/>
    <tableColumn id="15742" xr3:uid="{32693172-8732-4675-8AD5-D27ECE5E8187}" name="Colonne15734"/>
    <tableColumn id="15743" xr3:uid="{47AFBF05-82D1-410A-94FA-21DBF46CC5CA}" name="Colonne15735"/>
    <tableColumn id="15744" xr3:uid="{BF583D2E-C7C5-4D4B-94C5-566E6A76AADA}" name="Colonne15736"/>
    <tableColumn id="15745" xr3:uid="{FB57FDFD-8B46-4270-92D3-4C824D33B459}" name="Colonne15737"/>
    <tableColumn id="15746" xr3:uid="{D982BEF4-EE13-4834-968B-89B613DB659B}" name="Colonne15738"/>
    <tableColumn id="15747" xr3:uid="{D019C6D4-1E18-41B6-B287-34AF0B63E392}" name="Colonne15739"/>
    <tableColumn id="15748" xr3:uid="{1AECEC3D-BFFC-497A-9745-59E7C7CD9686}" name="Colonne15740"/>
    <tableColumn id="15749" xr3:uid="{8732BF11-DADB-4AB8-A836-DFD4BD8E9572}" name="Colonne15741"/>
    <tableColumn id="15750" xr3:uid="{4DD5FB75-90C5-423E-AC10-3C1E621726D5}" name="Colonne15742"/>
    <tableColumn id="15751" xr3:uid="{2FAA68C8-83C2-42F7-BA74-22E1865479E6}" name="Colonne15743"/>
    <tableColumn id="15752" xr3:uid="{C29B00E4-67A8-4D7E-85F4-AEBBE0E09802}" name="Colonne15744"/>
    <tableColumn id="15753" xr3:uid="{A1FD2CCE-1DB4-4D38-8138-B8E5695EC7B3}" name="Colonne15745"/>
    <tableColumn id="15754" xr3:uid="{D8D728BF-122C-4AA0-A831-B9CE1817E59D}" name="Colonne15746"/>
    <tableColumn id="15755" xr3:uid="{CCB201A0-BEA6-4674-BD11-3B9933B42CCD}" name="Colonne15747"/>
    <tableColumn id="15756" xr3:uid="{DA60C5AC-CE14-4ECC-AD02-23362AF4F101}" name="Colonne15748"/>
    <tableColumn id="15757" xr3:uid="{AA0EFFC7-A05F-4E2A-BD00-013116FBA39F}" name="Colonne15749"/>
    <tableColumn id="15758" xr3:uid="{4499BE80-D792-4CCF-97EC-4BEC0FC3C091}" name="Colonne15750"/>
    <tableColumn id="15759" xr3:uid="{FDD16FA1-FEDE-4A56-8E33-9900211E15EB}" name="Colonne15751"/>
    <tableColumn id="15760" xr3:uid="{486D9FA9-9A18-4846-8F61-125D7D32E9C5}" name="Colonne15752"/>
    <tableColumn id="15761" xr3:uid="{FFA61A2E-70F9-48AB-AA6F-B7E76EE13CC9}" name="Colonne15753"/>
    <tableColumn id="15762" xr3:uid="{9A6C250A-5C28-4E8C-AB66-016768E24851}" name="Colonne15754"/>
    <tableColumn id="15763" xr3:uid="{4EFE9538-C354-46BC-AA17-0CC19E9AADC5}" name="Colonne15755"/>
    <tableColumn id="15764" xr3:uid="{31D3E2E7-8441-4F83-9D7D-53701E8EA8ED}" name="Colonne15756"/>
    <tableColumn id="15765" xr3:uid="{57102A94-75AD-4289-8782-CBD53709B458}" name="Colonne15757"/>
    <tableColumn id="15766" xr3:uid="{555A021E-7231-41A6-B832-05FA1ABC24FC}" name="Colonne15758"/>
    <tableColumn id="15767" xr3:uid="{5CE997C3-63A4-4A02-99B0-27A90C9D7CF6}" name="Colonne15759"/>
    <tableColumn id="15768" xr3:uid="{34AC7305-9D66-443D-A688-893AFAD4BEC0}" name="Colonne15760"/>
    <tableColumn id="15769" xr3:uid="{965131F3-913B-4FAC-BB5F-7B9D2D43A6C4}" name="Colonne15761"/>
    <tableColumn id="15770" xr3:uid="{E3475917-90C7-4DB2-920D-F7688165D826}" name="Colonne15762"/>
    <tableColumn id="15771" xr3:uid="{BCEA6647-8D36-4142-B43E-F917D342B9E2}" name="Colonne15763"/>
    <tableColumn id="15772" xr3:uid="{245CF81A-59AB-42EE-82AC-2970742A7B07}" name="Colonne15764"/>
    <tableColumn id="15773" xr3:uid="{354CD3E2-BBDC-435F-96EB-00CCF25F2AC1}" name="Colonne15765"/>
    <tableColumn id="15774" xr3:uid="{6AF671CC-D9F8-421A-BBA8-010457EBBCF5}" name="Colonne15766"/>
    <tableColumn id="15775" xr3:uid="{26B341ED-E9AD-4AD6-AD84-5F33FA9D1F7F}" name="Colonne15767"/>
    <tableColumn id="15776" xr3:uid="{BD647B49-9FA3-4331-B7DD-7EEA30F2CC98}" name="Colonne15768"/>
    <tableColumn id="15777" xr3:uid="{5081351F-9A14-44F2-9607-3BD37BDE9CE1}" name="Colonne15769"/>
    <tableColumn id="15778" xr3:uid="{5BFDED50-09A1-4132-8EF4-D07FF32151FE}" name="Colonne15770"/>
    <tableColumn id="15779" xr3:uid="{D984B202-A1C1-4F84-B02E-501029ACD301}" name="Colonne15771"/>
    <tableColumn id="15780" xr3:uid="{20557FE5-47E1-4BA3-BD99-E368510D8DE2}" name="Colonne15772"/>
    <tableColumn id="15781" xr3:uid="{5EBA2AFB-C7FB-4396-B9E7-6F4A0F126BEB}" name="Colonne15773"/>
    <tableColumn id="15782" xr3:uid="{A3A22143-7E13-4AB9-B17B-FF88AEB06EE8}" name="Colonne15774"/>
    <tableColumn id="15783" xr3:uid="{57263AD8-E6A5-4DBC-A04A-42587E4C94B8}" name="Colonne15775"/>
    <tableColumn id="15784" xr3:uid="{A8A0DE78-4725-4F19-92D6-3FB5FD59B760}" name="Colonne15776"/>
    <tableColumn id="15785" xr3:uid="{41BF476A-16B0-4F32-9241-8D4AD4E315B0}" name="Colonne15777"/>
    <tableColumn id="15786" xr3:uid="{0749F887-4E6C-48F8-9611-5B4D8D1F737E}" name="Colonne15778"/>
    <tableColumn id="15787" xr3:uid="{065420E6-AD1D-41F1-8835-0C1291C086DD}" name="Colonne15779"/>
    <tableColumn id="15788" xr3:uid="{C837FA4C-6E59-4EF4-8DD1-ED3B537E284A}" name="Colonne15780"/>
    <tableColumn id="15789" xr3:uid="{433566E9-723E-4EA2-A529-036B17B225BC}" name="Colonne15781"/>
    <tableColumn id="15790" xr3:uid="{19774CE9-CC9E-426D-9118-2D1807C354E5}" name="Colonne15782"/>
    <tableColumn id="15791" xr3:uid="{33D8AE7D-0207-4C70-BD5E-8FD196556360}" name="Colonne15783"/>
    <tableColumn id="15792" xr3:uid="{5924E39D-5996-4080-9373-B5C10212B343}" name="Colonne15784"/>
    <tableColumn id="15793" xr3:uid="{6101671B-25FE-4190-84EA-5B13B9E35EEF}" name="Colonne15785"/>
    <tableColumn id="15794" xr3:uid="{A95031A3-BE4F-471C-BAFC-DB5E742D3157}" name="Colonne15786"/>
    <tableColumn id="15795" xr3:uid="{27EFE61C-608B-4C88-9037-97D3A72FD5BD}" name="Colonne15787"/>
    <tableColumn id="15796" xr3:uid="{BC6AE491-020F-41C2-B71E-77C69D0067DA}" name="Colonne15788"/>
    <tableColumn id="15797" xr3:uid="{A23757CC-7C05-4E6F-8A03-C6B74DAD0162}" name="Colonne15789"/>
    <tableColumn id="15798" xr3:uid="{92CC0677-4D1B-4D4B-B2FC-D9F498910BAB}" name="Colonne15790"/>
    <tableColumn id="15799" xr3:uid="{D5E6B05A-EEF3-407E-BF70-8B60049B8E04}" name="Colonne15791"/>
    <tableColumn id="15800" xr3:uid="{87F4B339-7F21-4677-A767-6940C5106B4C}" name="Colonne15792"/>
    <tableColumn id="15801" xr3:uid="{D36692B8-ED90-42AE-B4E3-66FA4DD9E7F2}" name="Colonne15793"/>
    <tableColumn id="15802" xr3:uid="{ED69E0A5-127A-4DE8-945D-C9512076409D}" name="Colonne15794"/>
    <tableColumn id="15803" xr3:uid="{D3398AF2-3208-4FE6-A296-65D083B723ED}" name="Colonne15795"/>
    <tableColumn id="15804" xr3:uid="{82E5FEF2-7198-42EB-95F0-524D8AE08FBC}" name="Colonne15796"/>
    <tableColumn id="15805" xr3:uid="{A7C06DEC-30B9-4655-BAEC-19A0B1DB6349}" name="Colonne15797"/>
    <tableColumn id="15806" xr3:uid="{8F2D5F54-D647-4109-8F57-B88F8EE73AE8}" name="Colonne15798"/>
    <tableColumn id="15807" xr3:uid="{9371996E-CDD9-47D5-A0DC-3C07203662B3}" name="Colonne15799"/>
    <tableColumn id="15808" xr3:uid="{D15B9FD7-A9A4-4A74-9BC2-528715551F15}" name="Colonne15800"/>
    <tableColumn id="15809" xr3:uid="{83A258C1-193D-42B0-B442-2A1C29D2DA11}" name="Colonne15801"/>
    <tableColumn id="15810" xr3:uid="{F4B93BBB-5714-4A21-88BC-B217D39D1AFE}" name="Colonne15802"/>
    <tableColumn id="15811" xr3:uid="{57DD7A9E-AB37-45A7-BC6E-FD491FB47A66}" name="Colonne15803"/>
    <tableColumn id="15812" xr3:uid="{E4A1B90C-E99A-477E-8542-9445D2E2EE60}" name="Colonne15804"/>
    <tableColumn id="15813" xr3:uid="{42551D72-B46A-496C-B146-14BEEC2CDFFD}" name="Colonne15805"/>
    <tableColumn id="15814" xr3:uid="{EC6116BF-1C59-42EA-86C3-F5F0E82A0572}" name="Colonne15806"/>
    <tableColumn id="15815" xr3:uid="{38346416-10EA-45DF-9BDA-56EDF616E266}" name="Colonne15807"/>
    <tableColumn id="15816" xr3:uid="{E8D65F82-D338-441B-B07B-38BA4BF72D9D}" name="Colonne15808"/>
    <tableColumn id="15817" xr3:uid="{08853F82-DA27-4101-A6B3-AE3021A7B9C5}" name="Colonne15809"/>
    <tableColumn id="15818" xr3:uid="{7DF4ED3D-DD1F-4A0F-99B0-6B197A0C9B93}" name="Colonne15810"/>
    <tableColumn id="15819" xr3:uid="{F8888E49-F82A-4F8C-A173-06E5A258C777}" name="Colonne15811"/>
    <tableColumn id="15820" xr3:uid="{2AF025B2-3D18-4816-8862-C941761B6A7A}" name="Colonne15812"/>
    <tableColumn id="15821" xr3:uid="{27BEDC5C-F43A-424E-B1CF-1A59B42C6988}" name="Colonne15813"/>
    <tableColumn id="15822" xr3:uid="{C4313271-825B-42AE-A4C1-80D1F87A4F80}" name="Colonne15814"/>
    <tableColumn id="15823" xr3:uid="{0357B817-5FF3-4F89-9AEA-D3980699887A}" name="Colonne15815"/>
    <tableColumn id="15824" xr3:uid="{12F90237-98C3-464F-9A9D-3046D9095442}" name="Colonne15816"/>
    <tableColumn id="15825" xr3:uid="{8DE7D517-A94E-49E0-BC4C-85D957404C15}" name="Colonne15817"/>
    <tableColumn id="15826" xr3:uid="{E222E19A-1CD4-4A11-9D62-0B6730B18D8D}" name="Colonne15818"/>
    <tableColumn id="15827" xr3:uid="{4EAF4101-FF29-4695-A290-80103D0734A6}" name="Colonne15819"/>
    <tableColumn id="15828" xr3:uid="{D8C34188-FAEB-421F-8A3E-5A2782DB008B}" name="Colonne15820"/>
    <tableColumn id="15829" xr3:uid="{8B021AF7-4860-4C9F-A5AC-23234A9E2472}" name="Colonne15821"/>
    <tableColumn id="15830" xr3:uid="{CADB27D7-EAAF-4793-9FBD-72081FDAE621}" name="Colonne15822"/>
    <tableColumn id="15831" xr3:uid="{F29A3BDD-AA6A-46A7-B4FE-0ACFD5DF1E9E}" name="Colonne15823"/>
    <tableColumn id="15832" xr3:uid="{8A0FF864-2C29-4FFA-83DE-2B6AFDC81846}" name="Colonne15824"/>
    <tableColumn id="15833" xr3:uid="{90C917A9-BF49-4444-995E-0F2AAEDF34EC}" name="Colonne15825"/>
    <tableColumn id="15834" xr3:uid="{A980C32B-D0DD-4DD8-A75C-3ECEDF9FF1EA}" name="Colonne15826"/>
    <tableColumn id="15835" xr3:uid="{6D4D6C66-6C2F-4B90-BA59-B7B32890CDD8}" name="Colonne15827"/>
    <tableColumn id="15836" xr3:uid="{05CF6FCD-C56A-416D-A0DD-8DC29D655C7F}" name="Colonne15828"/>
    <tableColumn id="15837" xr3:uid="{82492B72-3591-4F7A-A942-F0BF5D473747}" name="Colonne15829"/>
    <tableColumn id="15838" xr3:uid="{FD18C5EE-75C4-499E-B72E-6426B0356785}" name="Colonne15830"/>
    <tableColumn id="15839" xr3:uid="{72829CF8-B5F3-4E0F-8C1A-FBB10026148E}" name="Colonne15831"/>
    <tableColumn id="15840" xr3:uid="{F806EEDE-5DF4-44AD-92EC-BB6596520672}" name="Colonne15832"/>
    <tableColumn id="15841" xr3:uid="{24A5031F-AB61-43B6-998A-F7710FA375B3}" name="Colonne15833"/>
    <tableColumn id="15842" xr3:uid="{02AFFBC2-104F-47D1-A19A-9D5A93D7A6E5}" name="Colonne15834"/>
    <tableColumn id="15843" xr3:uid="{01D99DF9-0A57-433F-A5A0-83601143C9EE}" name="Colonne15835"/>
    <tableColumn id="15844" xr3:uid="{DD3A4019-6E34-4B32-BBDA-75CA256256D9}" name="Colonne15836"/>
    <tableColumn id="15845" xr3:uid="{323707E9-0BA8-48B6-A8F9-4BFAF4787DA5}" name="Colonne15837"/>
    <tableColumn id="15846" xr3:uid="{32EFFE1D-7FF5-4B2A-9C16-6C47BEF3CE30}" name="Colonne15838"/>
    <tableColumn id="15847" xr3:uid="{4062A063-C934-47A2-9BF7-91568F8E3D1F}" name="Colonne15839"/>
    <tableColumn id="15848" xr3:uid="{7BD815F8-15F9-4892-9469-A45F023894A4}" name="Colonne15840"/>
    <tableColumn id="15849" xr3:uid="{0D7DB9FC-2A25-49BF-8997-D3CAEEE0980F}" name="Colonne15841"/>
    <tableColumn id="15850" xr3:uid="{62EE2B24-95B8-4E5F-BD08-A1FF7E022E77}" name="Colonne15842"/>
    <tableColumn id="15851" xr3:uid="{8C80DA36-B60C-441A-B3A8-593CD07A6E6C}" name="Colonne15843"/>
    <tableColumn id="15852" xr3:uid="{B5AFC893-1F62-4594-BC39-ABA788601F07}" name="Colonne15844"/>
    <tableColumn id="15853" xr3:uid="{06C1D0DE-F4E8-4B7A-8511-F13668BC5C1B}" name="Colonne15845"/>
    <tableColumn id="15854" xr3:uid="{D774D1E7-5CE3-4133-B889-54C883049751}" name="Colonne15846"/>
    <tableColumn id="15855" xr3:uid="{5E307514-225A-4CAD-8177-FF8167FB7C57}" name="Colonne15847"/>
    <tableColumn id="15856" xr3:uid="{42E7FD45-E75A-41C4-BF30-321F440377C7}" name="Colonne15848"/>
    <tableColumn id="15857" xr3:uid="{86A44E64-EDAB-4C7E-AD5D-50436BFBF4E5}" name="Colonne15849"/>
    <tableColumn id="15858" xr3:uid="{D8AA71A2-1E6B-4584-B42F-8BDEAC786605}" name="Colonne15850"/>
    <tableColumn id="15859" xr3:uid="{F7884AD5-1B44-44A2-B241-0296BD122CA1}" name="Colonne15851"/>
    <tableColumn id="15860" xr3:uid="{FA2ED866-3BE1-468C-BCB1-A9A346829049}" name="Colonne15852"/>
    <tableColumn id="15861" xr3:uid="{21460ABF-3D11-4D7B-960A-05EE1F173DC7}" name="Colonne15853"/>
    <tableColumn id="15862" xr3:uid="{49283C5A-4C75-4D89-9765-CC36CB85640A}" name="Colonne15854"/>
    <tableColumn id="15863" xr3:uid="{8254ADB5-9EB2-4D06-8D97-FC6084272229}" name="Colonne15855"/>
    <tableColumn id="15864" xr3:uid="{3BB9E620-A2B2-48A8-9C43-2F9050E7AAC1}" name="Colonne15856"/>
    <tableColumn id="15865" xr3:uid="{2AAEE252-7F8D-4C8F-8E2D-950B2C9E0C5A}" name="Colonne15857"/>
    <tableColumn id="15866" xr3:uid="{CB1F87C5-E7CD-4CAA-BBB2-E309B55198DA}" name="Colonne15858"/>
    <tableColumn id="15867" xr3:uid="{7301D9A4-E513-4359-AAA8-E3507457D1A5}" name="Colonne15859"/>
    <tableColumn id="15868" xr3:uid="{2246D620-CB50-40B8-BD12-EF2012B96F7B}" name="Colonne15860"/>
    <tableColumn id="15869" xr3:uid="{A8B99F3F-5D18-42AB-84E1-88073C5354D7}" name="Colonne15861"/>
    <tableColumn id="15870" xr3:uid="{3F7997CE-C5A9-415E-AE88-9A29254D8146}" name="Colonne15862"/>
    <tableColumn id="15871" xr3:uid="{7B74A12D-F327-4BC6-BAEB-833E870E9D69}" name="Colonne15863"/>
    <tableColumn id="15872" xr3:uid="{38867089-86BF-48FD-B274-2AFF96017A65}" name="Colonne15864"/>
    <tableColumn id="15873" xr3:uid="{D8939E94-F82A-4577-ACB0-0879EB643DBF}" name="Colonne15865"/>
    <tableColumn id="15874" xr3:uid="{97B505E2-8BC1-40D9-8388-738DB46DA892}" name="Colonne15866"/>
    <tableColumn id="15875" xr3:uid="{6C4C1DD7-26E2-4E4C-AA53-497BFC149257}" name="Colonne15867"/>
    <tableColumn id="15876" xr3:uid="{5BE60B5E-BF5E-45FF-ACBD-20D8E438639D}" name="Colonne15868"/>
    <tableColumn id="15877" xr3:uid="{3AE88592-09DC-40EC-AD1E-264B46DE04E3}" name="Colonne15869"/>
    <tableColumn id="15878" xr3:uid="{9A8B37E2-3FFD-4A36-9A55-078853117945}" name="Colonne15870"/>
    <tableColumn id="15879" xr3:uid="{C704DCBF-4827-4EA0-9D47-74B63845105E}" name="Colonne15871"/>
    <tableColumn id="15880" xr3:uid="{EDC64E72-6B80-4CCA-836B-E5166F0EA43A}" name="Colonne15872"/>
    <tableColumn id="15881" xr3:uid="{FE727F65-E15E-4C32-A092-00EE650E1C91}" name="Colonne15873"/>
    <tableColumn id="15882" xr3:uid="{4D0D42B4-436D-456A-A314-F09354153021}" name="Colonne15874"/>
    <tableColumn id="15883" xr3:uid="{BF8134F5-7B60-4BD0-AB69-CC2B9EB97577}" name="Colonne15875"/>
    <tableColumn id="15884" xr3:uid="{76FF3E97-7A1C-4D30-BF8B-6359F39FCAD4}" name="Colonne15876"/>
    <tableColumn id="15885" xr3:uid="{E1D4309B-E6B9-44B3-8400-8414BB889801}" name="Colonne15877"/>
    <tableColumn id="15886" xr3:uid="{CDD03058-AE5F-4B33-9E5B-43B153D76260}" name="Colonne15878"/>
    <tableColumn id="15887" xr3:uid="{7547ABEA-7B36-441E-B129-16265D629F50}" name="Colonne15879"/>
    <tableColumn id="15888" xr3:uid="{FDEAC892-B8D8-46BA-8C99-300A6B77D74F}" name="Colonne15880"/>
    <tableColumn id="15889" xr3:uid="{039DB3CA-628A-4661-8DCA-C2D85AFBD8AA}" name="Colonne15881"/>
    <tableColumn id="15890" xr3:uid="{3E2FA0D5-8E30-44F8-8678-7570AA7BF2E1}" name="Colonne15882"/>
    <tableColumn id="15891" xr3:uid="{3AE55AE4-E592-47F9-B07D-4BF6018568D8}" name="Colonne15883"/>
    <tableColumn id="15892" xr3:uid="{ED0A0888-B30E-42E5-8C51-79CDBCF17B62}" name="Colonne15884"/>
    <tableColumn id="15893" xr3:uid="{778A2715-2A54-4FFF-B528-15132C81C374}" name="Colonne15885"/>
    <tableColumn id="15894" xr3:uid="{79A67673-901E-43C3-93FA-1ED9E4A0E08D}" name="Colonne15886"/>
    <tableColumn id="15895" xr3:uid="{3D9473B0-C5B3-4D9B-8C4C-D4DCBE8AA002}" name="Colonne15887"/>
    <tableColumn id="15896" xr3:uid="{64375304-0812-4737-B9F7-30A46A6469C0}" name="Colonne15888"/>
    <tableColumn id="15897" xr3:uid="{A222DC21-47D9-42CD-9798-13CC9F06BE0D}" name="Colonne15889"/>
    <tableColumn id="15898" xr3:uid="{CAF26BCA-5C25-4F75-86F0-212BDF888B74}" name="Colonne15890"/>
    <tableColumn id="15899" xr3:uid="{F7C1D7AB-A079-40F2-B173-487CDA19F153}" name="Colonne15891"/>
    <tableColumn id="15900" xr3:uid="{58A9F52A-2D0B-4AA5-B56F-C3F4CC4B5CF7}" name="Colonne15892"/>
    <tableColumn id="15901" xr3:uid="{C4DC8964-C7F6-4F36-9837-AEB21E3CD14E}" name="Colonne15893"/>
    <tableColumn id="15902" xr3:uid="{FCAEEF07-02C9-4AB9-8031-9DF6C053F1C7}" name="Colonne15894"/>
    <tableColumn id="15903" xr3:uid="{53E48343-5D37-42E7-B72B-74828B23238D}" name="Colonne15895"/>
    <tableColumn id="15904" xr3:uid="{3E1ABBFF-E613-4AA7-8117-E9C25C847BE9}" name="Colonne15896"/>
    <tableColumn id="15905" xr3:uid="{CA42469F-FFE0-4351-992B-8ADA9989E5D3}" name="Colonne15897"/>
    <tableColumn id="15906" xr3:uid="{25CA950D-EB68-4DA3-A8C3-EE669D6701E7}" name="Colonne15898"/>
    <tableColumn id="15907" xr3:uid="{58E69BB5-53DA-4057-9757-615DC2A3DAAA}" name="Colonne15899"/>
    <tableColumn id="15908" xr3:uid="{63EF4396-52D6-4080-8C05-CF1916406C4C}" name="Colonne15900"/>
    <tableColumn id="15909" xr3:uid="{51390A6F-63D7-43CB-805C-BE92B87FD5B4}" name="Colonne15901"/>
    <tableColumn id="15910" xr3:uid="{ABC3B83E-0ED9-4D9E-8183-EAD7CC0E9C08}" name="Colonne15902"/>
    <tableColumn id="15911" xr3:uid="{549CE9DC-B46D-45C5-8FD3-B541BFF22190}" name="Colonne15903"/>
    <tableColumn id="15912" xr3:uid="{07373553-467D-4F0E-8ABA-2C308AABA982}" name="Colonne15904"/>
    <tableColumn id="15913" xr3:uid="{19AB4CAA-CFB4-429E-8569-3E07813E3928}" name="Colonne15905"/>
    <tableColumn id="15914" xr3:uid="{D43B53D7-C1E2-4696-98D3-C6677F4CD263}" name="Colonne15906"/>
    <tableColumn id="15915" xr3:uid="{3C828A69-7C1C-4966-83E3-641B285F44BA}" name="Colonne15907"/>
    <tableColumn id="15916" xr3:uid="{A8D6E85F-7BF6-4C07-A369-796287CF7366}" name="Colonne15908"/>
    <tableColumn id="15917" xr3:uid="{F8AA686C-06BA-43A2-9B57-2EA44EB21AD5}" name="Colonne15909"/>
    <tableColumn id="15918" xr3:uid="{16A6D3BF-7212-4E8A-92D8-1237EF8CF7EF}" name="Colonne15910"/>
    <tableColumn id="15919" xr3:uid="{AA7EBE5C-8B52-4973-8AFE-91CCA293734C}" name="Colonne15911"/>
    <tableColumn id="15920" xr3:uid="{799FD16B-669C-42D1-8AB6-B26B38F7094C}" name="Colonne15912"/>
    <tableColumn id="15921" xr3:uid="{3B26598F-FADA-40F9-920D-86BF65FB4D85}" name="Colonne15913"/>
    <tableColumn id="15922" xr3:uid="{23787DA7-88AE-48FB-9B7D-E2338854590D}" name="Colonne15914"/>
    <tableColumn id="15923" xr3:uid="{EB779E58-042B-46DC-873B-79054C1C63BB}" name="Colonne15915"/>
    <tableColumn id="15924" xr3:uid="{66FE473D-16F9-406A-9B8F-366BAF7A954A}" name="Colonne15916"/>
    <tableColumn id="15925" xr3:uid="{59796BE4-A016-42AD-8F9B-B435EAD784B6}" name="Colonne15917"/>
    <tableColumn id="15926" xr3:uid="{9CE5574F-5E6E-4ADA-9D05-61F80380EF79}" name="Colonne15918"/>
    <tableColumn id="15927" xr3:uid="{E01CE86B-32B9-4FB2-BA21-8BB80A3948E4}" name="Colonne15919"/>
    <tableColumn id="15928" xr3:uid="{34037C7B-6C26-475B-917A-E68321E7F2DB}" name="Colonne15920"/>
    <tableColumn id="15929" xr3:uid="{8F31B3C1-873A-46C6-8729-7D68102E7542}" name="Colonne15921"/>
    <tableColumn id="15930" xr3:uid="{6134B057-1799-4C4D-B18B-91E4A6FA4195}" name="Colonne15922"/>
    <tableColumn id="15931" xr3:uid="{1D25D9EE-19E6-4479-AB50-9C5C03444B88}" name="Colonne15923"/>
    <tableColumn id="15932" xr3:uid="{5570EEF7-84D3-4491-90FA-DCBCEF7BFB6B}" name="Colonne15924"/>
    <tableColumn id="15933" xr3:uid="{FE5CD4CF-2D70-475A-A564-6096A2418EC9}" name="Colonne15925"/>
    <tableColumn id="15934" xr3:uid="{D63BED55-E1EB-4F99-94D5-905AFCDB2A29}" name="Colonne15926"/>
    <tableColumn id="15935" xr3:uid="{CF3FC372-CA7B-4559-B5D4-1E20EAC6C89C}" name="Colonne15927"/>
    <tableColumn id="15936" xr3:uid="{0D5B41F3-C1F6-41F2-BDF2-A9C5B0CF1434}" name="Colonne15928"/>
    <tableColumn id="15937" xr3:uid="{79B0EFC6-F951-4764-BB8A-F81809D6EB9F}" name="Colonne15929"/>
    <tableColumn id="15938" xr3:uid="{1CC59ADD-3BF2-4C54-B182-C92A2781E023}" name="Colonne15930"/>
    <tableColumn id="15939" xr3:uid="{3971F123-DC1A-4FAF-BB83-077ED2EE5755}" name="Colonne15931"/>
    <tableColumn id="15940" xr3:uid="{5EF008F9-FEC3-4F23-B7A2-3AB4FA2BC421}" name="Colonne15932"/>
    <tableColumn id="15941" xr3:uid="{23D47E6E-7E94-40BE-B542-1C1F4B44FD11}" name="Colonne15933"/>
    <tableColumn id="15942" xr3:uid="{D04F4093-8548-469F-BFE1-EE43948B379F}" name="Colonne15934"/>
    <tableColumn id="15943" xr3:uid="{75969305-2456-4CA2-B865-6411BCB015D8}" name="Colonne15935"/>
    <tableColumn id="15944" xr3:uid="{E86B6AFB-C751-416E-B064-A628CD01F223}" name="Colonne15936"/>
    <tableColumn id="15945" xr3:uid="{FA0926C6-60DD-4E02-8991-5CD40B4D3449}" name="Colonne15937"/>
    <tableColumn id="15946" xr3:uid="{753AD5CE-8A46-4ECA-9438-88E1C4928008}" name="Colonne15938"/>
    <tableColumn id="15947" xr3:uid="{F55367A9-9948-48E0-9946-497960B4CEAA}" name="Colonne15939"/>
    <tableColumn id="15948" xr3:uid="{72815ABC-374B-4A42-ABE5-5F587A079FB1}" name="Colonne15940"/>
    <tableColumn id="15949" xr3:uid="{15CD7607-0C9C-4258-855B-815824F825A9}" name="Colonne15941"/>
    <tableColumn id="15950" xr3:uid="{F5B4FADF-7F65-4372-844C-AEB6E5AB23B9}" name="Colonne15942"/>
    <tableColumn id="15951" xr3:uid="{36425DC7-83C0-4C5F-A957-72BD547E425E}" name="Colonne15943"/>
    <tableColumn id="15952" xr3:uid="{8D185343-C9A4-4233-8A89-ABCBD662CD74}" name="Colonne15944"/>
    <tableColumn id="15953" xr3:uid="{AA580B57-CF75-4AED-A2F0-E754F63BB878}" name="Colonne15945"/>
    <tableColumn id="15954" xr3:uid="{0921EC20-F17E-4007-8C89-F96E6C753ADB}" name="Colonne15946"/>
    <tableColumn id="15955" xr3:uid="{D579F815-808D-4168-B901-7B18E86EA935}" name="Colonne15947"/>
    <tableColumn id="15956" xr3:uid="{1A6B34E4-4027-4A63-BDD8-4E3FDD298F51}" name="Colonne15948"/>
    <tableColumn id="15957" xr3:uid="{56C53DA1-F916-4C26-B69E-2E456A52CDA1}" name="Colonne15949"/>
    <tableColumn id="15958" xr3:uid="{5FE86AB5-C673-4310-8FBE-2DE14B5493B8}" name="Colonne15950"/>
    <tableColumn id="15959" xr3:uid="{0806B2F3-80B9-4CB2-8B98-741BB612A4E2}" name="Colonne15951"/>
    <tableColumn id="15960" xr3:uid="{C8CD905A-225D-4955-9528-F982E3494B9A}" name="Colonne15952"/>
    <tableColumn id="15961" xr3:uid="{3376C020-09EE-4A3B-AAA2-40E633B5A3BE}" name="Colonne15953"/>
    <tableColumn id="15962" xr3:uid="{203D5D4F-3416-4D3C-AB7B-E96BCA755D7E}" name="Colonne15954"/>
    <tableColumn id="15963" xr3:uid="{01053CAA-14FF-4544-A087-402FFCDD4EDD}" name="Colonne15955"/>
    <tableColumn id="15964" xr3:uid="{25CD6106-3102-49A3-A721-F8AE43AA473D}" name="Colonne15956"/>
    <tableColumn id="15965" xr3:uid="{8ED872F8-B40E-4E3D-B9EF-6C4D14D93587}" name="Colonne15957"/>
    <tableColumn id="15966" xr3:uid="{FAC8B05E-A01E-42DC-AACF-A748AC4B2C7F}" name="Colonne15958"/>
    <tableColumn id="15967" xr3:uid="{4F42349E-7706-452B-BB1D-99CC73DF480E}" name="Colonne15959"/>
    <tableColumn id="15968" xr3:uid="{817064AC-E6C9-46A1-AFBC-E4D4295B8982}" name="Colonne15960"/>
    <tableColumn id="15969" xr3:uid="{AB5644EE-6BFD-47FB-A539-ED89C33D2336}" name="Colonne15961"/>
    <tableColumn id="15970" xr3:uid="{4EF507AD-EE83-4C80-A985-35F23D3B5FC4}" name="Colonne15962"/>
    <tableColumn id="15971" xr3:uid="{89B37E65-CF73-44C3-8634-43BDA194D00D}" name="Colonne15963"/>
    <tableColumn id="15972" xr3:uid="{3D10BE72-9C20-471D-A98B-B29B152815AE}" name="Colonne15964"/>
    <tableColumn id="15973" xr3:uid="{A624FA54-438F-44C4-A5D1-67420AC3B5C8}" name="Colonne15965"/>
    <tableColumn id="15974" xr3:uid="{713405B7-C386-48C4-883E-5A5423B81744}" name="Colonne15966"/>
    <tableColumn id="15975" xr3:uid="{8008CD8F-F0FB-4DBC-8F90-1B421A515DF4}" name="Colonne15967"/>
    <tableColumn id="15976" xr3:uid="{C13C0DAA-AD4D-4907-8851-666F2385689A}" name="Colonne15968"/>
    <tableColumn id="15977" xr3:uid="{0FA13665-B59A-47E7-BF3C-B54FCE2E76E9}" name="Colonne15969"/>
    <tableColumn id="15978" xr3:uid="{F5B76C42-B353-4A5A-9279-E758393A8CD0}" name="Colonne15970"/>
    <tableColumn id="15979" xr3:uid="{33ECFD71-20EA-4BE8-8040-6B6444118212}" name="Colonne15971"/>
    <tableColumn id="15980" xr3:uid="{1C1ADA24-CD01-47A0-962A-4B562CB5458E}" name="Colonne15972"/>
    <tableColumn id="15981" xr3:uid="{5010386C-4F33-4409-8C1B-AA80B41E4571}" name="Colonne15973"/>
    <tableColumn id="15982" xr3:uid="{01F220D6-3DD4-4921-A6E2-49376BB79CCB}" name="Colonne15974"/>
    <tableColumn id="15983" xr3:uid="{0F95DEDB-7C5B-4807-B3F5-7B40879DD07D}" name="Colonne15975"/>
    <tableColumn id="15984" xr3:uid="{BC143613-92A8-4A2E-B065-995B5BC9BFC6}" name="Colonne15976"/>
    <tableColumn id="15985" xr3:uid="{5235806C-52E4-4F1A-B765-5F7B5BEA1CB7}" name="Colonne15977"/>
    <tableColumn id="15986" xr3:uid="{B83CA8EC-BE3C-4DE8-BAFA-0FB90DC36005}" name="Colonne15978"/>
    <tableColumn id="15987" xr3:uid="{817E6E41-9101-4E8C-AA6E-C1B7200D14C9}" name="Colonne15979"/>
    <tableColumn id="15988" xr3:uid="{B265775C-FC19-4AB9-B30B-4BCFEFE55AB4}" name="Colonne15980"/>
    <tableColumn id="15989" xr3:uid="{0BEC108E-AC5A-4896-AF23-5FD07E645C91}" name="Colonne15981"/>
    <tableColumn id="15990" xr3:uid="{7859B2FB-3BAA-4EDE-BABB-3EB02D5243E3}" name="Colonne15982"/>
    <tableColumn id="15991" xr3:uid="{E38D71A8-3B0C-4966-AC73-F41B06AE65F4}" name="Colonne15983"/>
    <tableColumn id="15992" xr3:uid="{D9392450-CDEC-4763-B549-53FB532FC8DA}" name="Colonne15984"/>
    <tableColumn id="15993" xr3:uid="{13B35CE3-7C22-49F2-BA95-5738B59F5334}" name="Colonne15985"/>
    <tableColumn id="15994" xr3:uid="{366929FD-E9C3-4D2E-AF0E-5C3825FEB3F8}" name="Colonne15986"/>
    <tableColumn id="15995" xr3:uid="{5BADB731-9C90-43A3-91DE-823218DE4697}" name="Colonne15987"/>
    <tableColumn id="15996" xr3:uid="{BA3F9E18-EC5C-4E20-8DB0-776A8327BC51}" name="Colonne15988"/>
    <tableColumn id="15997" xr3:uid="{8BEEEDC1-3BFD-469E-BBD9-4079EDDCA1F5}" name="Colonne15989"/>
    <tableColumn id="15998" xr3:uid="{A0C16095-9D55-45D6-98D2-25638F80B73C}" name="Colonne15990"/>
    <tableColumn id="15999" xr3:uid="{7350B279-AA40-4C1E-80B8-CC2E0963B226}" name="Colonne15991"/>
    <tableColumn id="16000" xr3:uid="{1639CA57-44AE-4E0E-81A0-85EF400C0C30}" name="Colonne15992"/>
    <tableColumn id="16001" xr3:uid="{CD0D1B5C-C59B-4259-9CED-2A1E4542FE91}" name="Colonne15993"/>
    <tableColumn id="16002" xr3:uid="{6B735C32-151F-4208-BB19-43CB04D39AC0}" name="Colonne15994"/>
    <tableColumn id="16003" xr3:uid="{1A426DFD-A398-4319-B022-6418C5B684A3}" name="Colonne15995"/>
    <tableColumn id="16004" xr3:uid="{CC5C0D39-BCEF-4D40-8C5B-A099AC2534DC}" name="Colonne15996"/>
    <tableColumn id="16005" xr3:uid="{98223B7F-F2A0-4863-B074-84824339F064}" name="Colonne15997"/>
    <tableColumn id="16006" xr3:uid="{79F1289F-E283-447E-8D33-90D396DAFB4B}" name="Colonne15998"/>
    <tableColumn id="16007" xr3:uid="{FBD49D71-41CE-4460-B408-642F064B900C}" name="Colonne15999"/>
    <tableColumn id="16008" xr3:uid="{3984A32E-3F14-4B32-A3FA-E03A3726CCFE}" name="Colonne16000"/>
    <tableColumn id="16009" xr3:uid="{3F8A361C-4B29-46EB-9300-04832BD1A734}" name="Colonne16001"/>
    <tableColumn id="16010" xr3:uid="{1854C5C0-31F9-4931-BF01-F6CD42A649EC}" name="Colonne16002"/>
    <tableColumn id="16011" xr3:uid="{152E0D99-5454-4AB8-8E56-816B356831F4}" name="Colonne16003"/>
    <tableColumn id="16012" xr3:uid="{1BC328FC-0D6B-45B1-8DA0-AC7FC036299C}" name="Colonne16004"/>
    <tableColumn id="16013" xr3:uid="{36C06967-C154-4261-B114-E91BF0F9DA49}" name="Colonne16005"/>
    <tableColumn id="16014" xr3:uid="{7D9A0A91-5F0B-4420-8749-F402BB1F751E}" name="Colonne16006"/>
    <tableColumn id="16015" xr3:uid="{BDBD6230-31DE-416C-A277-522C6EE55CAA}" name="Colonne16007"/>
    <tableColumn id="16016" xr3:uid="{DC34E400-C5CF-4469-8ABE-9E5DAA3665D7}" name="Colonne16008"/>
    <tableColumn id="16017" xr3:uid="{7982D563-94AC-4BFC-9291-862B21F0D637}" name="Colonne16009"/>
    <tableColumn id="16018" xr3:uid="{555D257B-496C-4E51-8B44-DB3177069CA4}" name="Colonne16010"/>
    <tableColumn id="16019" xr3:uid="{A9CCBA85-6D66-4ABE-8428-64B49612924F}" name="Colonne16011"/>
    <tableColumn id="16020" xr3:uid="{E6BED1E7-88E8-4BA9-A586-C14E801275AC}" name="Colonne16012"/>
    <tableColumn id="16021" xr3:uid="{E29F4C8F-9A9E-445C-85F3-DA3B46B253B6}" name="Colonne16013"/>
    <tableColumn id="16022" xr3:uid="{53567C48-B2C6-42BD-A74E-2DBB81C05FDF}" name="Colonne16014"/>
    <tableColumn id="16023" xr3:uid="{B2FC3622-59CF-4C2D-985A-36B6FC89B8C9}" name="Colonne16015"/>
    <tableColumn id="16024" xr3:uid="{283F418D-5700-4AF5-A2BB-1579BECD3CD3}" name="Colonne16016"/>
    <tableColumn id="16025" xr3:uid="{C15BFCA1-227F-475E-8F3C-76A64339E9E1}" name="Colonne16017"/>
    <tableColumn id="16026" xr3:uid="{7B3FDE02-3220-4536-B600-A124302C5CD0}" name="Colonne16018"/>
    <tableColumn id="16027" xr3:uid="{FAAF2296-D3B8-4EE6-8B2C-6A35B7FB8B61}" name="Colonne16019"/>
    <tableColumn id="16028" xr3:uid="{FC19550F-D7D7-420F-B47E-97CF4EE99061}" name="Colonne16020"/>
    <tableColumn id="16029" xr3:uid="{ACC1BF5C-FA47-4EC8-832D-3FBC07779F3C}" name="Colonne16021"/>
    <tableColumn id="16030" xr3:uid="{A0B2887D-AF4C-4C35-A539-CA9EF2E305CD}" name="Colonne16022"/>
    <tableColumn id="16031" xr3:uid="{FA96A006-1A15-4343-8AA6-D1084CA4FAB1}" name="Colonne16023"/>
    <tableColumn id="16032" xr3:uid="{69B10644-DA21-4B74-8783-8696D39DC859}" name="Colonne16024"/>
    <tableColumn id="16033" xr3:uid="{DC78460E-AC33-40C4-8441-F707165DF7E0}" name="Colonne16025"/>
    <tableColumn id="16034" xr3:uid="{6E81018B-D7F7-4157-BB66-251DBE5456B8}" name="Colonne16026"/>
    <tableColumn id="16035" xr3:uid="{68146227-1C97-429C-B3E7-9EB8795FEDDB}" name="Colonne16027"/>
    <tableColumn id="16036" xr3:uid="{07FCF7C1-C8FE-4DC5-8E23-73FCE8764E42}" name="Colonne16028"/>
    <tableColumn id="16037" xr3:uid="{6E58EA13-5551-4B04-8A28-EFD1252824CF}" name="Colonne16029"/>
    <tableColumn id="16038" xr3:uid="{27737B3C-B02A-4418-BB43-75ADA343E39E}" name="Colonne16030"/>
    <tableColumn id="16039" xr3:uid="{C64B2469-5569-445E-8868-50237B8CD1C3}" name="Colonne16031"/>
    <tableColumn id="16040" xr3:uid="{230BFB64-BB46-4D97-AFDE-E145B6F73D1A}" name="Colonne16032"/>
    <tableColumn id="16041" xr3:uid="{A1DC961D-109A-40C1-8979-C97916575C83}" name="Colonne16033"/>
    <tableColumn id="16042" xr3:uid="{8F201EC4-9D29-4BFB-9458-6E70F69768C5}" name="Colonne16034"/>
    <tableColumn id="16043" xr3:uid="{5CB20A4C-E6B7-4391-B738-C6F8E18B7010}" name="Colonne16035"/>
    <tableColumn id="16044" xr3:uid="{8A11E17A-8821-4CB7-9F31-596C6D08E369}" name="Colonne16036"/>
    <tableColumn id="16045" xr3:uid="{65B147E1-ED01-4CCF-A33F-5DF91AE728CF}" name="Colonne16037"/>
    <tableColumn id="16046" xr3:uid="{A0E2410F-4356-4305-AA58-54C2FD9158F1}" name="Colonne16038"/>
    <tableColumn id="16047" xr3:uid="{24227BE6-F2D1-409C-9AF4-49F8C320B4B1}" name="Colonne16039"/>
    <tableColumn id="16048" xr3:uid="{CE8E6C5E-E584-4C7C-8C19-7935AAB619E7}" name="Colonne16040"/>
    <tableColumn id="16049" xr3:uid="{BF747EBC-DBD2-4346-9DB5-38162FE3EE58}" name="Colonne16041"/>
    <tableColumn id="16050" xr3:uid="{726A03B8-DC5B-4F08-8348-EDF0A3F0F045}" name="Colonne16042"/>
    <tableColumn id="16051" xr3:uid="{5B3605BF-A0A9-493B-A1BC-B999ED661D74}" name="Colonne16043"/>
    <tableColumn id="16052" xr3:uid="{12C27E12-417A-4239-AAF6-7BFBB19CDCD5}" name="Colonne16044"/>
    <tableColumn id="16053" xr3:uid="{1D820CA2-8C77-4DED-8228-0FFC520E8D61}" name="Colonne16045"/>
    <tableColumn id="16054" xr3:uid="{57CF3080-93DB-4661-B002-54AA908BEE59}" name="Colonne16046"/>
    <tableColumn id="16055" xr3:uid="{0B3701BB-7147-4C0C-A1EB-6EFE18A2E688}" name="Colonne16047"/>
    <tableColumn id="16056" xr3:uid="{BCC6B0E8-17A8-4CA2-A6E7-B7B23BC369C2}" name="Colonne16048"/>
    <tableColumn id="16057" xr3:uid="{187F161D-7270-44E5-A9BC-CFE96E45CE01}" name="Colonne16049"/>
    <tableColumn id="16058" xr3:uid="{9603DC6F-B406-4994-B148-A81A67AD6E3F}" name="Colonne16050"/>
    <tableColumn id="16059" xr3:uid="{A76B9CE4-94DC-487E-83FD-BFC7DF96E37D}" name="Colonne16051"/>
    <tableColumn id="16060" xr3:uid="{09DB3617-A789-4B7F-8532-90D1D898426B}" name="Colonne16052"/>
    <tableColumn id="16061" xr3:uid="{21E25E76-9C50-405A-8E02-71F619F5D632}" name="Colonne16053"/>
    <tableColumn id="16062" xr3:uid="{BCD7CA73-F603-4E9D-A4CC-1C25F44D1E5A}" name="Colonne16054"/>
    <tableColumn id="16063" xr3:uid="{CE8D5F21-2BE4-49ED-8C28-4038EFC43B04}" name="Colonne16055"/>
    <tableColumn id="16064" xr3:uid="{D976FB9D-E67C-4C07-A59C-4134526D0567}" name="Colonne16056"/>
    <tableColumn id="16065" xr3:uid="{67BAC10D-339F-4E75-9BA7-4E3624E5F057}" name="Colonne16057"/>
    <tableColumn id="16066" xr3:uid="{7E5ABA82-1FA3-4D11-9D6F-CAF2228FF36B}" name="Colonne16058"/>
    <tableColumn id="16067" xr3:uid="{5C6BB400-76D8-4D1B-A5D5-7D07804E303B}" name="Colonne16059"/>
    <tableColumn id="16068" xr3:uid="{AE3B86EB-0791-46C0-948F-629408E06097}" name="Colonne16060"/>
    <tableColumn id="16069" xr3:uid="{B361450D-E0E5-47AC-ABB8-9FDF224ED7D5}" name="Colonne16061"/>
    <tableColumn id="16070" xr3:uid="{FBBC84AF-02CD-4BDF-96F9-341FE8AD6CAA}" name="Colonne16062"/>
    <tableColumn id="16071" xr3:uid="{8FBBC146-1D9F-4727-B72F-E55E3B153FDA}" name="Colonne16063"/>
    <tableColumn id="16072" xr3:uid="{CFC8AF62-B430-4A22-BD38-9697B9305946}" name="Colonne16064"/>
    <tableColumn id="16073" xr3:uid="{27AD1DFE-5C8E-4D65-B06E-0D5507680D0F}" name="Colonne16065"/>
    <tableColumn id="16074" xr3:uid="{38C44355-C1D7-415E-99D0-6CF124349C95}" name="Colonne16066"/>
    <tableColumn id="16075" xr3:uid="{727BD647-6B29-4827-93CF-BB6055B77E0E}" name="Colonne16067"/>
    <tableColumn id="16076" xr3:uid="{E100F748-5156-436C-8E87-10D6452B5EE0}" name="Colonne16068"/>
    <tableColumn id="16077" xr3:uid="{3C812B7F-6DB8-40F4-8913-CC30652F5351}" name="Colonne16069"/>
    <tableColumn id="16078" xr3:uid="{08263509-7828-47D7-A555-6E375FECA80C}" name="Colonne16070"/>
    <tableColumn id="16079" xr3:uid="{4FBE7DC6-741A-4340-B2C5-B905B71CF147}" name="Colonne16071"/>
    <tableColumn id="16080" xr3:uid="{7515879E-D028-4839-9834-586B75326DF3}" name="Colonne16072"/>
    <tableColumn id="16081" xr3:uid="{13A42D5F-0119-4D3D-8BEB-524092BA5E5E}" name="Colonne16073"/>
    <tableColumn id="16082" xr3:uid="{298A7B8F-C5D2-4085-B732-D0DB4EBB2CC4}" name="Colonne16074"/>
    <tableColumn id="16083" xr3:uid="{B993E507-9769-4970-8205-636C882B4511}" name="Colonne16075"/>
    <tableColumn id="16084" xr3:uid="{CA190325-CA07-4D46-BBB2-2C1D968F30C5}" name="Colonne16076"/>
    <tableColumn id="16085" xr3:uid="{CDF2589D-50FC-48E1-A277-FA1BB878BDA5}" name="Colonne16077"/>
    <tableColumn id="16086" xr3:uid="{1D125621-4C84-4DA7-AA66-0D5886345B11}" name="Colonne16078"/>
    <tableColumn id="16087" xr3:uid="{26EB018A-A5C8-4D9E-8750-801F82316BD7}" name="Colonne16079"/>
    <tableColumn id="16088" xr3:uid="{F71EAB52-54B5-493E-8D4A-3EDBA7E70236}" name="Colonne16080"/>
    <tableColumn id="16089" xr3:uid="{1F20F407-4E63-473D-BD4E-984B00143B5E}" name="Colonne16081"/>
    <tableColumn id="16090" xr3:uid="{D19875A5-F441-4261-8380-5CD7238D5E38}" name="Colonne16082"/>
    <tableColumn id="16091" xr3:uid="{4EAE8890-651B-4C5B-9F9D-649690E7CE55}" name="Colonne16083"/>
    <tableColumn id="16092" xr3:uid="{13DF069E-89F5-4D4E-A137-9FF345D19CE6}" name="Colonne16084"/>
    <tableColumn id="16093" xr3:uid="{D0412DCE-3D2B-4A66-822F-C36521C5899F}" name="Colonne16085"/>
    <tableColumn id="16094" xr3:uid="{88110E4C-FC9A-4218-B33C-6D689F4AB0F0}" name="Colonne16086"/>
    <tableColumn id="16095" xr3:uid="{5D241279-EE1A-479A-8849-EF405D2B0225}" name="Colonne16087"/>
    <tableColumn id="16096" xr3:uid="{45DFD2EA-C51F-4CF5-B6C8-2A2AE340AFD5}" name="Colonne16088"/>
    <tableColumn id="16097" xr3:uid="{50B823E4-ADA1-4DC2-BEAB-7F640E61728D}" name="Colonne16089"/>
    <tableColumn id="16098" xr3:uid="{EEDAB0AF-7A0A-4E6D-BA4D-F79503341C31}" name="Colonne16090"/>
    <tableColumn id="16099" xr3:uid="{A7F03483-4D08-4F96-820E-525AFCACA504}" name="Colonne16091"/>
    <tableColumn id="16100" xr3:uid="{12613693-CFEB-4E04-B4B2-95B0518569E1}" name="Colonne16092"/>
    <tableColumn id="16101" xr3:uid="{94AE8723-58F9-4142-BCFB-6D6EE40EECBD}" name="Colonne16093"/>
    <tableColumn id="16102" xr3:uid="{619E6234-90A6-4273-B8D4-A1D31F25E34C}" name="Colonne16094"/>
    <tableColumn id="16103" xr3:uid="{70F1DB10-658E-4518-9463-F8B0A9E3FB36}" name="Colonne16095"/>
    <tableColumn id="16104" xr3:uid="{770CD413-2146-44F3-846B-2F890C79106D}" name="Colonne16096"/>
    <tableColumn id="16105" xr3:uid="{B18D8ADB-0031-47AA-AA08-525BE5F1E527}" name="Colonne16097"/>
    <tableColumn id="16106" xr3:uid="{B472ACD6-74CF-4FF9-83DC-7D67500A5300}" name="Colonne16098"/>
    <tableColumn id="16107" xr3:uid="{20131B23-6702-4B73-9F84-D5A5425AA3AD}" name="Colonne16099"/>
    <tableColumn id="16108" xr3:uid="{644055B5-57AE-4159-B6AE-B35664FFA694}" name="Colonne16100"/>
    <tableColumn id="16109" xr3:uid="{595EF716-3AE7-4680-8337-76D906DF05AA}" name="Colonne16101"/>
    <tableColumn id="16110" xr3:uid="{0B8BD821-5433-42AC-8E57-00E4CEC541CF}" name="Colonne16102"/>
    <tableColumn id="16111" xr3:uid="{0ABCFDDD-8A94-401E-BC35-356942F98917}" name="Colonne16103"/>
    <tableColumn id="16112" xr3:uid="{305E6937-62EF-4F50-83F2-241EC1CC4545}" name="Colonne16104"/>
    <tableColumn id="16113" xr3:uid="{51AC75CB-0268-4C06-8186-9F341F5C0DC8}" name="Colonne16105"/>
    <tableColumn id="16114" xr3:uid="{920DCA6F-6E14-4411-B3A5-DA2A2725AEDC}" name="Colonne16106"/>
    <tableColumn id="16115" xr3:uid="{14436EC3-1109-458E-9137-5568BA03906E}" name="Colonne16107"/>
    <tableColumn id="16116" xr3:uid="{E6E92E21-095C-420E-ADED-72A323A02C6C}" name="Colonne16108"/>
    <tableColumn id="16117" xr3:uid="{E5FCA368-F2D2-4CDD-9465-79A18267DA5B}" name="Colonne16109"/>
    <tableColumn id="16118" xr3:uid="{BF05B624-EED1-4BAE-B7DE-0CBE1FF419AD}" name="Colonne16110"/>
    <tableColumn id="16119" xr3:uid="{7B20FCF0-E2AD-459C-A00D-9BC90D6959B9}" name="Colonne16111"/>
    <tableColumn id="16120" xr3:uid="{6A45147B-2197-4138-8D07-F24E961053DF}" name="Colonne16112"/>
    <tableColumn id="16121" xr3:uid="{1D20B88D-12D2-4F3E-BBC5-414851110155}" name="Colonne16113"/>
    <tableColumn id="16122" xr3:uid="{CDEEE7C1-313C-4551-AD95-F622DCF59435}" name="Colonne16114"/>
    <tableColumn id="16123" xr3:uid="{86E62F83-A810-4720-A293-6BDA76A9BE13}" name="Colonne16115"/>
    <tableColumn id="16124" xr3:uid="{552BDA00-DEB6-4D5F-91AD-6261788310B8}" name="Colonne16116"/>
    <tableColumn id="16125" xr3:uid="{784C35DB-EDD9-4F45-BA8D-40EF1CCA2745}" name="Colonne16117"/>
    <tableColumn id="16126" xr3:uid="{761372EB-F2BC-49A7-AC86-EFA2064B5CC3}" name="Colonne16118"/>
    <tableColumn id="16127" xr3:uid="{3B87A95A-73BB-48F7-AC98-884FEBD4A338}" name="Colonne16119"/>
    <tableColumn id="16128" xr3:uid="{DB4262E7-EFB9-4056-B293-35C3ACB75302}" name="Colonne16120"/>
    <tableColumn id="16129" xr3:uid="{D314BCDF-0F20-40E1-9E5C-44BE72FCCC1C}" name="Colonne16121"/>
    <tableColumn id="16130" xr3:uid="{B7F9A930-209A-4388-AD7C-9FB81CC63365}" name="Colonne16122"/>
    <tableColumn id="16131" xr3:uid="{6534A7EB-02B1-40E6-A009-5555FB0C82F1}" name="Colonne16123"/>
    <tableColumn id="16132" xr3:uid="{4383A669-8E90-4E93-9B06-0B8B9EB5E024}" name="Colonne16124"/>
    <tableColumn id="16133" xr3:uid="{5A563B14-09F9-4F2A-8489-0194D4F87795}" name="Colonne16125"/>
    <tableColumn id="16134" xr3:uid="{F6B53DDD-3D0B-469B-B46E-C503F8F87DAB}" name="Colonne16126"/>
    <tableColumn id="16135" xr3:uid="{9A7E34AB-02C7-4A3B-9E76-2F43905F0085}" name="Colonne16127"/>
    <tableColumn id="16136" xr3:uid="{EB9C3C10-C27B-43FA-9C4A-06C2F426CFBE}" name="Colonne16128"/>
    <tableColumn id="16137" xr3:uid="{999D1BD3-CFA0-4235-8897-DBA81D7A66EE}" name="Colonne16129"/>
    <tableColumn id="16138" xr3:uid="{7D6ECC76-2138-44E6-90CB-693CADF519E7}" name="Colonne16130"/>
    <tableColumn id="16139" xr3:uid="{A7D47244-D179-4798-91F0-F0237E44FD39}" name="Colonne16131"/>
    <tableColumn id="16140" xr3:uid="{9421F7E0-E81B-46F5-9648-0CC8A26D0F3B}" name="Colonne16132"/>
    <tableColumn id="16141" xr3:uid="{30902222-702E-4EC0-9708-32FC7481D759}" name="Colonne16133"/>
    <tableColumn id="16142" xr3:uid="{CEAE2F8D-1C10-412E-B775-E87BE7ACB550}" name="Colonne16134"/>
    <tableColumn id="16143" xr3:uid="{D3625613-A234-46E6-A30D-141FE2A1446B}" name="Colonne16135"/>
    <tableColumn id="16144" xr3:uid="{3A1A34E7-1DCB-4294-A998-7EE1FEE111B6}" name="Colonne16136"/>
    <tableColumn id="16145" xr3:uid="{3BAB0999-9E97-496D-A2E3-53852482DE0E}" name="Colonne16137"/>
    <tableColumn id="16146" xr3:uid="{58A8E69D-0B8A-4ADC-B7D0-2CB2AAE97940}" name="Colonne16138"/>
    <tableColumn id="16147" xr3:uid="{64355089-798A-4178-99A6-8FBE018E1F2F}" name="Colonne16139"/>
    <tableColumn id="16148" xr3:uid="{3421D345-A287-463D-B3C3-E4B3020A0C63}" name="Colonne16140"/>
    <tableColumn id="16149" xr3:uid="{88ABA6D6-7930-43DD-95EF-738D6DA17BDE}" name="Colonne16141"/>
    <tableColumn id="16150" xr3:uid="{C726CDCE-0D8A-4307-AD4F-2A77DB97030E}" name="Colonne16142"/>
    <tableColumn id="16151" xr3:uid="{0C3833A7-B515-43E7-90FC-F8165CAC2617}" name="Colonne16143"/>
    <tableColumn id="16152" xr3:uid="{C864F30F-24C3-490B-A2C1-2940C0D237F2}" name="Colonne16144"/>
    <tableColumn id="16153" xr3:uid="{6C24CDB2-B4CA-47A6-8471-A19D9A35EE59}" name="Colonne16145"/>
    <tableColumn id="16154" xr3:uid="{96D94BD9-FB31-4D87-8669-82062FCFA199}" name="Colonne16146"/>
    <tableColumn id="16155" xr3:uid="{E068694B-C511-45F8-981A-6E72BB41220F}" name="Colonne16147"/>
    <tableColumn id="16156" xr3:uid="{569EF6B3-C020-4D65-978A-AEBA8752D65A}" name="Colonne16148"/>
    <tableColumn id="16157" xr3:uid="{4F871F38-4AF6-4A4E-AEB3-1DA1C9DD569E}" name="Colonne16149"/>
    <tableColumn id="16158" xr3:uid="{34B72AC5-780A-4648-8612-FB9C644A9E68}" name="Colonne16150"/>
    <tableColumn id="16159" xr3:uid="{3068DB70-D8EB-4D44-AC71-D34542E9E32F}" name="Colonne16151"/>
    <tableColumn id="16160" xr3:uid="{F118BA2B-E57E-4A32-B53D-C4C129167BA1}" name="Colonne16152"/>
    <tableColumn id="16161" xr3:uid="{B98A16FF-52BF-45F4-B3F4-C1E7FE6211BD}" name="Colonne16153"/>
    <tableColumn id="16162" xr3:uid="{2A0957AD-E9E0-4E29-B4D7-87C1A98284AB}" name="Colonne16154"/>
    <tableColumn id="16163" xr3:uid="{2E4DCD50-BC84-4AA9-B861-472552BE9ED4}" name="Colonne16155"/>
    <tableColumn id="16164" xr3:uid="{14446702-9CF7-4E24-9D3F-61C62FA5C708}" name="Colonne16156"/>
    <tableColumn id="16165" xr3:uid="{5CAEDFC5-2CE6-445C-AA82-F247B028E48B}" name="Colonne16157"/>
    <tableColumn id="16166" xr3:uid="{03549587-334D-4F2A-932B-0F048232BFB5}" name="Colonne16158"/>
    <tableColumn id="16167" xr3:uid="{59A8C0FF-FDE1-48FF-9629-191E99BE4597}" name="Colonne16159"/>
    <tableColumn id="16168" xr3:uid="{F73B02B8-014C-4688-9FD6-0A998C3EF833}" name="Colonne16160"/>
    <tableColumn id="16169" xr3:uid="{CE26BA06-E180-4710-9EB7-4F16A0B2906D}" name="Colonne16161"/>
    <tableColumn id="16170" xr3:uid="{1D7C4C5D-CEF9-475A-9873-B7881A022A96}" name="Colonne16162"/>
    <tableColumn id="16171" xr3:uid="{5BFD5C8D-3D10-4471-BE11-4B91D876E5C1}" name="Colonne16163"/>
    <tableColumn id="16172" xr3:uid="{3723B4B8-758F-4AE8-8F0F-0CA642FB365F}" name="Colonne16164"/>
    <tableColumn id="16173" xr3:uid="{69CC98FE-D9A9-4A13-A638-F48CB90D47A1}" name="Colonne16165"/>
    <tableColumn id="16174" xr3:uid="{0D1AE7E3-20D5-491F-946A-FF67676B62BC}" name="Colonne16166"/>
    <tableColumn id="16175" xr3:uid="{0C15CBDE-161B-429F-958B-1147683D6F7E}" name="Colonne16167"/>
    <tableColumn id="16176" xr3:uid="{5FC4A4CB-CB89-42A1-AA17-802952076368}" name="Colonne16168"/>
    <tableColumn id="16177" xr3:uid="{EB30DD8B-C105-46C2-86E8-DB6B82CE1A50}" name="Colonne16169"/>
    <tableColumn id="16178" xr3:uid="{0A634315-936E-4819-A69B-F86D6F59C90C}" name="Colonne16170"/>
    <tableColumn id="16179" xr3:uid="{01CA0C8A-BD4B-48DB-9BD8-D48FCE4D7E09}" name="Colonne16171"/>
    <tableColumn id="16180" xr3:uid="{12F1D1C0-12A7-45F1-885C-5E848CA255EC}" name="Colonne16172"/>
    <tableColumn id="16181" xr3:uid="{036A9D70-2D37-4B38-A103-9FE6C2ED5C80}" name="Colonne16173"/>
    <tableColumn id="16182" xr3:uid="{CCE488D3-7C38-4546-95DD-2F3773C19293}" name="Colonne16174"/>
    <tableColumn id="16183" xr3:uid="{D05B9178-9044-4BC9-9B03-B82EDA574C3F}" name="Colonne16175"/>
    <tableColumn id="16184" xr3:uid="{B915C11A-FDBA-4F4C-B469-2469931E75D9}" name="Colonne16176"/>
    <tableColumn id="16185" xr3:uid="{9C9A1163-8154-4431-BA2B-D243B4775053}" name="Colonne16177"/>
    <tableColumn id="16186" xr3:uid="{E34F2A9F-7B58-4430-89D2-93EBCD80C76A}" name="Colonne16178"/>
    <tableColumn id="16187" xr3:uid="{E3960FCC-7D1F-459D-B415-74C5A8D87AE1}" name="Colonne16179"/>
    <tableColumn id="16188" xr3:uid="{2C58C621-E850-4187-BC6D-AA5B769D07B5}" name="Colonne16180"/>
    <tableColumn id="16189" xr3:uid="{ED3986D3-B9BC-4721-8CCE-EC42C3415082}" name="Colonne16181"/>
    <tableColumn id="16190" xr3:uid="{62A6CF25-C305-4A62-B10E-C004E03A0BFC}" name="Colonne16182"/>
    <tableColumn id="16191" xr3:uid="{DF36A71F-978A-4CAD-98F9-9DA11D97BAD3}" name="Colonne16183"/>
    <tableColumn id="16192" xr3:uid="{DF3C3F3F-7BE0-4F92-8A28-80F598385F00}" name="Colonne16184"/>
    <tableColumn id="16193" xr3:uid="{370704CB-6702-4B58-AA53-69E6D242CCF4}" name="Colonne16185"/>
    <tableColumn id="16194" xr3:uid="{0CB9BE44-73CA-4F61-8EFC-6412B8E1D54F}" name="Colonne16186"/>
    <tableColumn id="16195" xr3:uid="{DABA38E5-DE05-453F-91A1-A99CAF9159C3}" name="Colonne16187"/>
    <tableColumn id="16196" xr3:uid="{F1C54422-412D-4EDC-A226-24D2D065643F}" name="Colonne16188"/>
    <tableColumn id="16197" xr3:uid="{883B715C-6F1C-47DB-9B90-8FEA27219470}" name="Colonne16189"/>
    <tableColumn id="16198" xr3:uid="{850858BB-5ACA-4158-9BEA-61B1A7E00AD5}" name="Colonne16190"/>
    <tableColumn id="16199" xr3:uid="{9CB36723-5B24-4758-BB6A-6CFE7C332853}" name="Colonne16191"/>
    <tableColumn id="16200" xr3:uid="{8AE813E4-7833-40FC-BE4E-AD9DD8C395FB}" name="Colonne16192"/>
    <tableColumn id="16201" xr3:uid="{CAFC50C1-EAAA-4CEE-B4A9-94D56CA17722}" name="Colonne16193"/>
    <tableColumn id="16202" xr3:uid="{D47E99C9-8651-45C6-A679-2C95D3264FCB}" name="Colonne16194"/>
    <tableColumn id="16203" xr3:uid="{DE33ED40-32DB-42C8-8DF7-BE0DF1BC51FC}" name="Colonne16195"/>
    <tableColumn id="16204" xr3:uid="{5C3360CA-B7FF-45BB-9301-0B6380ABC654}" name="Colonne16196"/>
    <tableColumn id="16205" xr3:uid="{95C6E0F7-54E5-48AD-B5F7-979E6DB1ABAE}" name="Colonne16197"/>
    <tableColumn id="16206" xr3:uid="{6D30B592-CBE7-4DB3-8F1D-66DC5B1690C0}" name="Colonne16198"/>
    <tableColumn id="16207" xr3:uid="{84717650-70F5-4D9C-9167-8C2A954BEDAB}" name="Colonne16199"/>
    <tableColumn id="16208" xr3:uid="{3F1CC425-0F1D-4C49-833C-574AF28FB7A0}" name="Colonne16200"/>
    <tableColumn id="16209" xr3:uid="{63715A97-C06B-4A5C-BEC3-476DBC8BADF5}" name="Colonne16201"/>
    <tableColumn id="16210" xr3:uid="{AAFC37BB-E936-4A56-B107-AA13D9DAE5ED}" name="Colonne16202"/>
    <tableColumn id="16211" xr3:uid="{8B12124B-407F-4EB5-A5F0-13530606C590}" name="Colonne16203"/>
    <tableColumn id="16212" xr3:uid="{3A8E7113-3B04-4DC1-8B4F-3253E4C432CB}" name="Colonne16204"/>
    <tableColumn id="16213" xr3:uid="{997E5160-E9A1-41A3-A19E-77A81097C41C}" name="Colonne16205"/>
    <tableColumn id="16214" xr3:uid="{F0DB054C-9BAB-4AB8-AB5A-A754FBA426A9}" name="Colonne16206"/>
    <tableColumn id="16215" xr3:uid="{AF452FAD-7769-4C26-9FF5-7779E2D04E91}" name="Colonne16207"/>
    <tableColumn id="16216" xr3:uid="{F398DED5-42AD-4E74-8DE8-387F8E1E4620}" name="Colonne16208"/>
    <tableColumn id="16217" xr3:uid="{734A8861-CE87-4EC2-AE74-9433B29339A8}" name="Colonne16209"/>
    <tableColumn id="16218" xr3:uid="{9A37B6FA-5A40-4016-9CFE-2232BD7C8EC4}" name="Colonne16210"/>
    <tableColumn id="16219" xr3:uid="{56D0631F-65D2-4CD2-9FC8-F84209E83A8D}" name="Colonne16211"/>
    <tableColumn id="16220" xr3:uid="{0B0E1DA6-DCE5-4C8C-86DF-AF80342AEA2D}" name="Colonne16212"/>
    <tableColumn id="16221" xr3:uid="{8BA24CE1-A481-4A06-8736-90D266EF7980}" name="Colonne16213"/>
    <tableColumn id="16222" xr3:uid="{881B66FB-BD07-489C-9D7D-D4797731D10E}" name="Colonne16214"/>
    <tableColumn id="16223" xr3:uid="{7A8B7489-C6F3-48A1-BA54-2AA50EAFB6DF}" name="Colonne16215"/>
    <tableColumn id="16224" xr3:uid="{E7AB573F-604A-410C-9FCF-9AB904830B57}" name="Colonne16216"/>
    <tableColumn id="16225" xr3:uid="{515657F5-5665-42A3-B274-D9B69A2384A4}" name="Colonne16217"/>
    <tableColumn id="16226" xr3:uid="{96539528-199C-420B-BF0A-9A77EE56C49C}" name="Colonne16218"/>
    <tableColumn id="16227" xr3:uid="{81A6250B-386F-4374-8BE9-43B701703747}" name="Colonne16219"/>
    <tableColumn id="16228" xr3:uid="{4B9BAEA0-A8E6-4E0B-81F9-A1E017E28ACB}" name="Colonne16220"/>
    <tableColumn id="16229" xr3:uid="{912DF888-F616-48DA-92A8-5CA61C1C37F1}" name="Colonne16221"/>
    <tableColumn id="16230" xr3:uid="{476F8E8B-2893-445B-ADE9-6A9A1AA2F4DC}" name="Colonne16222"/>
    <tableColumn id="16231" xr3:uid="{55883727-F522-4B52-B00A-E08F2D2E9183}" name="Colonne16223"/>
    <tableColumn id="16232" xr3:uid="{090F7764-77DA-433D-AFF4-844B38700F68}" name="Colonne16224"/>
    <tableColumn id="16233" xr3:uid="{CB1080B1-A6DE-469F-8E9B-39989CA70CCF}" name="Colonne16225"/>
    <tableColumn id="16234" xr3:uid="{241E471C-0611-4B35-87CA-4403531F7171}" name="Colonne16226"/>
    <tableColumn id="16235" xr3:uid="{82AFFDBB-B661-411D-B078-BAA157B631DB}" name="Colonne16227"/>
    <tableColumn id="16236" xr3:uid="{8A9BF3B8-F73B-49C3-BF11-2B00F8726FEC}" name="Colonne16228"/>
    <tableColumn id="16237" xr3:uid="{B1B0F508-BA97-4487-8E55-7C1B17307F24}" name="Colonne16229"/>
    <tableColumn id="16238" xr3:uid="{3EC10765-49C1-4E8C-9543-4FF797002146}" name="Colonne16230"/>
    <tableColumn id="16239" xr3:uid="{F8A3B3F9-7C74-4503-A6B7-0102768BA753}" name="Colonne16231"/>
    <tableColumn id="16240" xr3:uid="{EA20416C-AAA3-4496-B493-214DCDB4556B}" name="Colonne16232"/>
    <tableColumn id="16241" xr3:uid="{771F794C-F424-47F7-BF65-94876FE5F71F}" name="Colonne16233"/>
    <tableColumn id="16242" xr3:uid="{743015A8-DC2B-423A-8DC4-3A03A7BED49B}" name="Colonne16234"/>
    <tableColumn id="16243" xr3:uid="{6D9A8BE4-6220-4D7B-9602-2CC34BF9288F}" name="Colonne16235"/>
    <tableColumn id="16244" xr3:uid="{061181CA-57F0-41D2-9A3C-355FC23011FD}" name="Colonne16236"/>
    <tableColumn id="16245" xr3:uid="{F16AA3D6-216D-4DE1-978F-AB53A9C66151}" name="Colonne16237"/>
    <tableColumn id="16246" xr3:uid="{3C7636C0-E6FF-4D7D-AB0D-C1424D9725D7}" name="Colonne16238"/>
    <tableColumn id="16247" xr3:uid="{3039D0DD-3029-41DF-B13B-968CD6D5275C}" name="Colonne16239"/>
    <tableColumn id="16248" xr3:uid="{A0015B5E-BC07-409F-B5C1-34D35068D339}" name="Colonne16240"/>
    <tableColumn id="16249" xr3:uid="{68A932A6-FB4A-44D9-8272-D68041A849DA}" name="Colonne16241"/>
    <tableColumn id="16250" xr3:uid="{084629FB-73BB-46C7-8672-379A07DF2308}" name="Colonne16242"/>
    <tableColumn id="16251" xr3:uid="{F225A71D-B9D3-4E67-92D3-FFF471EE4EC4}" name="Colonne16243"/>
    <tableColumn id="16252" xr3:uid="{8844CFCA-9CC4-4F01-B0BB-B4A28840299E}" name="Colonne16244"/>
    <tableColumn id="16253" xr3:uid="{AB8A7F79-0A37-4956-8050-F39837A9ECE3}" name="Colonne16245"/>
    <tableColumn id="16254" xr3:uid="{7D4A62CF-33F7-4B13-A839-AC92B200077E}" name="Colonne16246"/>
    <tableColumn id="16255" xr3:uid="{7E06F265-D467-4353-861A-F2D725A44069}" name="Colonne16247"/>
    <tableColumn id="16256" xr3:uid="{AFB5D740-48B0-4B78-AEED-AD0E4F5FC8C7}" name="Colonne16248"/>
    <tableColumn id="16257" xr3:uid="{CBC04024-7E81-4D9B-93BC-0F3BF751C493}" name="Colonne16249"/>
    <tableColumn id="16258" xr3:uid="{A03E1210-BCC7-4090-9ADE-92EFFE0501DA}" name="Colonne16250"/>
    <tableColumn id="16259" xr3:uid="{B2F9D86F-BE5A-490D-AE33-74EEFAA0328C}" name="Colonne16251"/>
    <tableColumn id="16260" xr3:uid="{DC4EA213-34AF-4764-A196-89C33D8F2D28}" name="Colonne16252"/>
    <tableColumn id="16261" xr3:uid="{05400E4D-D5AF-45F3-BA31-4C4618E7A04A}" name="Colonne16253"/>
    <tableColumn id="16262" xr3:uid="{39DEFA6E-E9DA-423D-BACB-B34B141A4BBD}" name="Colonne16254"/>
    <tableColumn id="16263" xr3:uid="{82DBEDA1-A040-47E5-BA47-9B6F286FB0C9}" name="Colonne16255"/>
    <tableColumn id="16264" xr3:uid="{0892F73C-FD79-4AF3-90CB-EEBA94804F3B}" name="Colonne16256"/>
    <tableColumn id="16265" xr3:uid="{8CFB35E7-531C-417D-A90B-612977142943}" name="Colonne16257"/>
    <tableColumn id="16266" xr3:uid="{DE5870D3-D4C6-42BE-9775-185315D113A7}" name="Colonne16258"/>
    <tableColumn id="16267" xr3:uid="{0D1367B2-E660-4DF5-9C7B-372E2973DB60}" name="Colonne16259"/>
    <tableColumn id="16268" xr3:uid="{98C75B08-5DE9-4716-A5AA-6415C79EA00D}" name="Colonne16260"/>
    <tableColumn id="16269" xr3:uid="{C468CC8D-F4B9-44EE-985A-3D24E4A91D8A}" name="Colonne16261"/>
    <tableColumn id="16270" xr3:uid="{25E1F6A0-BDA6-46A3-A2D8-F0F2D776C36E}" name="Colonne16262"/>
    <tableColumn id="16271" xr3:uid="{25532592-346D-4A6E-9539-897AE1C50B5D}" name="Colonne16263"/>
    <tableColumn id="16272" xr3:uid="{C2FF2682-E3D0-4491-828B-F26CE925AF01}" name="Colonne16264"/>
    <tableColumn id="16273" xr3:uid="{5C827E74-03E0-4A0B-A621-2E223F1D1210}" name="Colonne16265"/>
    <tableColumn id="16274" xr3:uid="{6360B7F9-F9A8-47F7-BEB8-BF4863A87BC3}" name="Colonne16266"/>
    <tableColumn id="16275" xr3:uid="{47660038-0894-40CE-AE1E-EFF93CD7C55C}" name="Colonne16267"/>
    <tableColumn id="16276" xr3:uid="{FEFDA538-9570-4947-A235-B53C67007591}" name="Colonne16268"/>
    <tableColumn id="16277" xr3:uid="{FB4AE80F-BA28-43E1-9EB5-5EEB9BCB9C21}" name="Colonne16269"/>
    <tableColumn id="16278" xr3:uid="{AF9FE808-89A6-4537-BFD7-507073A20545}" name="Colonne16270"/>
    <tableColumn id="16279" xr3:uid="{20A6D268-5DA5-4BB2-9197-E94251A403EB}" name="Colonne16271"/>
    <tableColumn id="16280" xr3:uid="{88E2DCBF-362C-42E9-962F-670ADCC0E20E}" name="Colonne16272"/>
    <tableColumn id="16281" xr3:uid="{2F1FF1D9-3CDC-4E0F-9F85-32769F4D59D4}" name="Colonne16273"/>
    <tableColumn id="16282" xr3:uid="{14E4CC76-A3D8-495A-964D-9BA7A05CD22F}" name="Colonne16274"/>
    <tableColumn id="16283" xr3:uid="{A93F6AF1-A989-41C3-A099-00ECDDD11164}" name="Colonne16275"/>
    <tableColumn id="16284" xr3:uid="{70F1C070-8333-4B4A-BA66-2EBE6BFD71A9}" name="Colonne16276"/>
    <tableColumn id="16285" xr3:uid="{4BF21E51-C758-4A86-9502-18E6F659FEF6}" name="Colonne16277"/>
    <tableColumn id="16286" xr3:uid="{088F4313-8CE7-49EB-876F-A4DD187634CE}" name="Colonne16278"/>
    <tableColumn id="16287" xr3:uid="{5559D0F2-58AB-4246-B59F-BC551ED4CFDA}" name="Colonne16279"/>
    <tableColumn id="16288" xr3:uid="{AF1071B4-D2BA-4BC3-BCC2-2BB4329638AD}" name="Colonne16280"/>
    <tableColumn id="16289" xr3:uid="{B35AD849-F543-4C67-9371-AE6D29CFA66B}" name="Colonne16281"/>
    <tableColumn id="16290" xr3:uid="{95C3A02E-864B-43B3-82DF-1A94123750FD}" name="Colonne16282"/>
    <tableColumn id="16291" xr3:uid="{1FC4E1E3-8103-4AF6-B880-4C094DF33799}" name="Colonne16283"/>
    <tableColumn id="16292" xr3:uid="{37EB3502-BFC9-4481-BB3F-4BDCD94D1719}" name="Colonne16284"/>
    <tableColumn id="16293" xr3:uid="{A5AE2C6B-0639-4912-9952-5BD2A264C89C}" name="Colonne16285"/>
    <tableColumn id="16294" xr3:uid="{1AC3747A-D927-4A21-BC8F-D2658B3F0752}" name="Colonne16286"/>
    <tableColumn id="16295" xr3:uid="{B0537433-16FE-4409-A017-0CEAF7153EEB}" name="Colonne16287"/>
    <tableColumn id="16296" xr3:uid="{8E902F53-1DC2-4F1D-903B-B57AFB8BB95B}" name="Colonne16288"/>
    <tableColumn id="16297" xr3:uid="{B1035448-04CA-4156-9442-A83531A08843}" name="Colonne16289"/>
    <tableColumn id="16298" xr3:uid="{0258438D-4051-47C5-8D82-F913D6644C70}" name="Colonne16290"/>
    <tableColumn id="16299" xr3:uid="{235FA055-7BD1-4B67-82CA-DE2DA9F61FEB}" name="Colonne16291"/>
    <tableColumn id="16300" xr3:uid="{C7B7AEA7-7990-4C54-82E0-1C7DD6691EE6}" name="Colonne16292"/>
    <tableColumn id="16301" xr3:uid="{82A972AE-63AE-4868-90EA-32CE79BF755F}" name="Colonne16293"/>
    <tableColumn id="16302" xr3:uid="{80790534-7830-4AE8-AC38-AB9D8650690A}" name="Colonne16294"/>
    <tableColumn id="16303" xr3:uid="{D9F68FF0-9F56-464D-8112-AE9D4EFE196B}" name="Colonne16295"/>
    <tableColumn id="16304" xr3:uid="{EC525EC3-B949-4D7E-83C3-1A119EFEF7FE}" name="Colonne16296"/>
    <tableColumn id="16305" xr3:uid="{7D5E8BA6-7279-422E-9576-4BB28E4B7F1D}" name="Colonne16297"/>
    <tableColumn id="16306" xr3:uid="{D32838E7-0B96-45F1-9794-694A47A6F2EE}" name="Colonne16298"/>
    <tableColumn id="16307" xr3:uid="{1B309F14-7EE6-4973-AC73-A9355FC65B1B}" name="Colonne16299"/>
    <tableColumn id="16308" xr3:uid="{06512950-8B4F-46BE-848A-A6B0DFB3E4C8}" name="Colonne16300"/>
    <tableColumn id="16309" xr3:uid="{C1C2517A-1CE1-4470-96B3-E0E8A86A42E2}" name="Colonne16301"/>
    <tableColumn id="16310" xr3:uid="{1292C5F8-5407-4922-902C-D458ABFBE007}" name="Colonne16302"/>
    <tableColumn id="16311" xr3:uid="{9783A762-AFD6-4BEC-B891-B3D7F14EE4C3}" name="Colonne16303"/>
    <tableColumn id="16312" xr3:uid="{5AAE6CC4-E6B9-4243-93FB-B4FA35AD9DC2}" name="Colonne16304"/>
    <tableColumn id="16313" xr3:uid="{C03A1268-4DC4-48A9-BBA2-73F05ED9AA40}" name="Colonne16305"/>
    <tableColumn id="16314" xr3:uid="{C97D5B4C-5FED-411C-80B7-E88CF37E0965}" name="Colonne16306"/>
    <tableColumn id="16315" xr3:uid="{61CC66A3-3195-4863-A8A9-5EAD11E88605}" name="Colonne16307"/>
    <tableColumn id="16316" xr3:uid="{7F84DF1B-339A-4660-8B74-03BB974DD336}" name="Colonne16308"/>
    <tableColumn id="16317" xr3:uid="{1B62F969-E3F0-400D-AEE9-09C249CC890E}" name="Colonne16309"/>
    <tableColumn id="16318" xr3:uid="{9865F697-3B07-4D11-BFC1-9642CD03F290}" name="Colonne16310"/>
    <tableColumn id="16319" xr3:uid="{D9AC1351-1D8B-429B-9793-E7A02140D03B}" name="Colonne16311"/>
    <tableColumn id="16320" xr3:uid="{738C5FA9-1DEF-4FD3-86FE-E201B738AFC8}" name="Colonne16312"/>
    <tableColumn id="16321" xr3:uid="{BE368CCC-0E00-4B31-AC2F-816240AA1ED2}" name="Colonne16313"/>
    <tableColumn id="16322" xr3:uid="{D24E0077-E141-4C69-ACF1-C63464E0CEBB}" name="Colonne16314"/>
    <tableColumn id="16323" xr3:uid="{CC17A569-9C71-46D6-B42D-14EC7C939F1C}" name="Colonne16315"/>
    <tableColumn id="16324" xr3:uid="{A66BF805-6404-43E7-B3C5-84A14D708C7F}" name="Colonne16316"/>
    <tableColumn id="16325" xr3:uid="{E5D39C60-89E8-4CB4-947C-EC50E1C77C3E}" name="Colonne16317"/>
    <tableColumn id="16326" xr3:uid="{B96A515C-8082-4D2C-A9C4-AB0776D0641F}" name="Colonne16318"/>
    <tableColumn id="16327" xr3:uid="{E0AAB70A-1C06-4A82-8B3F-A8073B621816}" name="Colonne16319"/>
    <tableColumn id="16328" xr3:uid="{65EB9421-0D83-44C5-A1B4-360E58E48AA0}" name="Colonne16320"/>
    <tableColumn id="16329" xr3:uid="{04A54F23-01F8-4295-BCF5-DC4AD4055EF4}" name="Colonne16321"/>
    <tableColumn id="16330" xr3:uid="{68D21CAD-6ED4-48DE-962E-E14012496ADF}" name="Colonne16322"/>
    <tableColumn id="16331" xr3:uid="{5130076F-AB10-4069-A05A-E4BB215F4914}" name="Colonne16323"/>
    <tableColumn id="16332" xr3:uid="{558EDC79-FB82-4798-9499-9438D7865FFE}" name="Colonne16324"/>
    <tableColumn id="16333" xr3:uid="{67C5B9E1-BCE5-4697-8BAB-5757E27B74D2}" name="Colonne16325"/>
    <tableColumn id="16334" xr3:uid="{B22360C3-3038-4BA3-BD40-3BE6F3BDDA26}" name="Colonne16326"/>
    <tableColumn id="16335" xr3:uid="{730C5F04-7E00-4F00-ADE5-867CF1B523C0}" name="Colonne16327"/>
    <tableColumn id="16336" xr3:uid="{842FC03B-2D67-4D08-B5F4-5043421BA6AF}" name="Colonne16328"/>
    <tableColumn id="16337" xr3:uid="{1DB2C57F-58F0-4312-9181-E7E6E401CF17}" name="Colonne16329"/>
    <tableColumn id="16338" xr3:uid="{2806EBE7-0DD5-4EF7-A851-4FDB58769D3F}" name="Colonne16330"/>
    <tableColumn id="16339" xr3:uid="{6744ED46-004E-4EDE-A0A5-DEB09147EB94}" name="Colonne16331"/>
    <tableColumn id="16340" xr3:uid="{9EFE05FB-78A8-4510-9184-69FD73B67F51}" name="Colonne16332"/>
    <tableColumn id="16341" xr3:uid="{B2449B7D-64E1-4E45-A1C1-26E0557E1E5F}" name="Colonne16333"/>
    <tableColumn id="16342" xr3:uid="{E125BC87-88A5-4E7D-A23C-2A51BA02CEE3}" name="Colonne16334"/>
    <tableColumn id="16343" xr3:uid="{3CD1196D-056A-4563-A455-1493840CEC4F}" name="Colonne16335"/>
    <tableColumn id="16344" xr3:uid="{C9DF36C0-3A41-4408-8E43-2B31C7D2FC03}" name="Colonne16336"/>
    <tableColumn id="16345" xr3:uid="{51A6924E-BBED-4538-A1D4-DC72CB9F1DC9}" name="Colonne16337"/>
    <tableColumn id="16346" xr3:uid="{D41B61F8-84A8-4480-B1FF-86AFB476A74B}" name="Colonne16338"/>
    <tableColumn id="16347" xr3:uid="{E80642D6-ABCC-4D7C-9249-AC4A1B1B2B90}" name="Colonne16339"/>
    <tableColumn id="16348" xr3:uid="{BCFC459C-9B96-4DE5-BBC5-A05CD252E4B2}" name="Colonne16340"/>
    <tableColumn id="16349" xr3:uid="{C2984828-726A-4FB2-9F17-A81062337C4E}" name="Colonne16341"/>
    <tableColumn id="16350" xr3:uid="{AF66133F-807D-4EDC-97DF-1EEB5ECF386B}" name="Colonne16342"/>
    <tableColumn id="16351" xr3:uid="{F275CA3C-6998-47F4-AD6B-62B5113EEF22}" name="Colonne16343"/>
    <tableColumn id="16352" xr3:uid="{7DD9CCDA-3974-45A5-BF12-E34E4ECBDD2E}" name="Colonne16344"/>
    <tableColumn id="16353" xr3:uid="{12C306E9-28D3-4893-B6AA-3F80176F1D2D}" name="Colonne16345"/>
    <tableColumn id="16354" xr3:uid="{F5F0C122-3B49-4F2E-A2E6-316C67733018}" name="Colonne16346"/>
    <tableColumn id="16355" xr3:uid="{4033B772-1554-4070-A3CC-F748CD8247A0}" name="Colonne16347"/>
    <tableColumn id="16356" xr3:uid="{AB34A207-5F47-465A-B133-8600F31FD319}" name="Colonne16348"/>
    <tableColumn id="16357" xr3:uid="{A35EBDBE-67A1-41F3-864A-708036107349}" name="Colonne16349"/>
    <tableColumn id="16358" xr3:uid="{C7343710-14FF-42DF-BFCF-523778D57842}" name="Colonne16350"/>
    <tableColumn id="16359" xr3:uid="{CA6889EB-1B77-4FE9-A550-1001D5D1E6F9}" name="Colonne16351"/>
    <tableColumn id="16360" xr3:uid="{65BC6584-AA20-4D8A-8AFD-F7B16DCA8FD7}" name="Colonne16352"/>
    <tableColumn id="16361" xr3:uid="{092B97D5-D39B-4AC1-BCFC-4C65D5F6B993}" name="Colonne16353"/>
    <tableColumn id="16362" xr3:uid="{6A8FE2D5-0C94-4DAB-96AA-E0745DEE7D27}" name="Colonne16354"/>
    <tableColumn id="16363" xr3:uid="{FB61B302-41CD-4EC6-94C5-C5873E9DA3E2}" name="Colonne16355"/>
    <tableColumn id="16364" xr3:uid="{E665F40B-1651-4BFC-B0D6-4DD8040347BC}" name="Colonne16356"/>
    <tableColumn id="16365" xr3:uid="{22470681-C0E5-4093-8B35-5C272F441D8E}" name="Colonne16357"/>
    <tableColumn id="16366" xr3:uid="{D82656E7-E606-458E-A4B6-0458248A403C}" name="Colonne16358"/>
    <tableColumn id="16367" xr3:uid="{67749BAD-5F7B-4E56-BA68-08B0E2AA8B4C}" name="Colonne16359"/>
    <tableColumn id="16368" xr3:uid="{AC5EE523-8387-4041-8B8F-5196377D9A80}" name="Colonne16360"/>
    <tableColumn id="16369" xr3:uid="{F66D06C4-525D-442D-890B-9B84C9EFCE66}" name="Colonne16361"/>
    <tableColumn id="16370" xr3:uid="{71ADAB74-5A3A-4261-98A8-F67709C2970C}" name="Colonne16362"/>
    <tableColumn id="16371" xr3:uid="{51712D54-636F-4BB8-87C2-09407A089090}" name="Colonne16363"/>
    <tableColumn id="16372" xr3:uid="{394DFA83-D29A-4451-B15F-BFF7163FD84E}" name="Colonne16364"/>
    <tableColumn id="16373" xr3:uid="{F608D7A7-DD3F-4068-A52D-E99C358B959B}" name="Colonne16365"/>
    <tableColumn id="16374" xr3:uid="{37E03624-914F-4F91-A468-4DB1204B2EC5}" name="Colonne16366"/>
    <tableColumn id="16375" xr3:uid="{95CADCF3-B78E-47EF-9FEA-9630A6ED8E75}" name="Colonne16367"/>
    <tableColumn id="16376" xr3:uid="{841AE610-1574-4B34-B70F-8EE9DB1ACFF5}" name="Colonne16368"/>
    <tableColumn id="16377" xr3:uid="{96DE371F-9166-43DE-AE18-4E00593C7495}" name="Colonne16369"/>
    <tableColumn id="16378" xr3:uid="{8BED10FE-302F-4F55-BA59-FE89D57D4D37}" name="Colonne16370"/>
    <tableColumn id="16379" xr3:uid="{42B25D84-B84F-44D2-9BE7-7520D37A682B}" name="Colonne16371"/>
    <tableColumn id="16380" xr3:uid="{BAB1F6DD-AAE7-47EA-8457-C145D9893C81}" name="Colonne16372"/>
    <tableColumn id="16381" xr3:uid="{8E475F78-DD00-4098-8995-847D876A239D}" name="Colonne16373"/>
    <tableColumn id="16382" xr3:uid="{A952EA9B-3BB7-4C0E-A8E7-806B01EA2730}" name="Colonne16374"/>
    <tableColumn id="16383" xr3:uid="{23B50EBC-4F4C-4A2F-AB03-871E9F5F97B0}" name="Colonne16375"/>
    <tableColumn id="16384" xr3:uid="{C815E28A-9291-4144-AFFB-3C885F7F790B}" name="Colonne16376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61C2A-C962-4254-9F75-D09A63C184B6}">
  <dimension ref="D7:E14"/>
  <sheetViews>
    <sheetView workbookViewId="0">
      <selection activeCell="C25" sqref="C25"/>
    </sheetView>
  </sheetViews>
  <sheetFormatPr baseColWidth="10" defaultColWidth="8.7265625" defaultRowHeight="14.5" x14ac:dyDescent="0.35"/>
  <cols>
    <col min="4" max="4" width="36.90625" bestFit="1" customWidth="1"/>
    <col min="5" max="5" width="20.54296875" customWidth="1"/>
  </cols>
  <sheetData>
    <row r="7" spans="4:5" ht="23" customHeight="1" x14ac:dyDescent="0.35">
      <c r="D7" s="121" t="s">
        <v>463</v>
      </c>
      <c r="E7" s="122">
        <f>SUM(STATEMENT!C5:C1048576)</f>
        <v>13630242950.68148</v>
      </c>
    </row>
    <row r="8" spans="4:5" ht="23" customHeight="1" x14ac:dyDescent="0.35">
      <c r="D8" s="121" t="s">
        <v>464</v>
      </c>
      <c r="E8" s="122">
        <f>'MVT CAISSE'!C8+BANK!C7+BANK!C13+BANK!C20+REMBOURSEMENT_ENCAISSEMENT!C7+'VENTES_EXP_LOC_(CREDIT)'!C10</f>
        <v>0</v>
      </c>
    </row>
    <row r="9" spans="4:5" ht="23" customHeight="1" x14ac:dyDescent="0.35">
      <c r="D9" s="121" t="s">
        <v>465</v>
      </c>
      <c r="E9" s="122">
        <f>E7-E8</f>
        <v>13630242950.68148</v>
      </c>
    </row>
    <row r="10" spans="4:5" x14ac:dyDescent="0.35">
      <c r="D10" s="123"/>
      <c r="E10" s="124"/>
    </row>
    <row r="11" spans="4:5" x14ac:dyDescent="0.35">
      <c r="D11" s="123"/>
      <c r="E11" s="124"/>
    </row>
    <row r="12" spans="4:5" ht="23" customHeight="1" x14ac:dyDescent="0.35">
      <c r="D12" s="121" t="s">
        <v>466</v>
      </c>
      <c r="E12" s="122">
        <f>SUM(STATEMENT!D5:D1048576)</f>
        <v>12648461797</v>
      </c>
    </row>
    <row r="13" spans="4:5" ht="23" customHeight="1" x14ac:dyDescent="0.35">
      <c r="D13" s="121" t="s">
        <v>467</v>
      </c>
      <c r="E13" s="122">
        <f>'MVT CAISSE'!D8+BANK!D6+BANK!D13+BANK!D20+REMBOURSEMENT_ENCAISSEMENT!D7+'ACHAT MP_(DEBIT)'!C8+'DEP_EXP_ACC_(DEBIT)'!C9+'AUTRES_DEP_(DEBIT)'!C16</f>
        <v>0</v>
      </c>
    </row>
    <row r="14" spans="4:5" ht="23" customHeight="1" x14ac:dyDescent="0.35">
      <c r="D14" s="121" t="s">
        <v>465</v>
      </c>
      <c r="E14" s="122">
        <f>E12-E13</f>
        <v>12648461797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FD963"/>
  <sheetViews>
    <sheetView tabSelected="1" zoomScaleNormal="100" workbookViewId="0">
      <pane ySplit="3" topLeftCell="A946" activePane="bottomLeft" state="frozen"/>
      <selection pane="bottomLeft" activeCell="F944" sqref="F944"/>
    </sheetView>
  </sheetViews>
  <sheetFormatPr baseColWidth="10" defaultColWidth="8.7265625" defaultRowHeight="14.5" x14ac:dyDescent="0.35"/>
  <cols>
    <col min="1" max="1" width="11.54296875" style="164" bestFit="1" customWidth="1"/>
    <col min="2" max="2" width="37.453125" customWidth="1"/>
    <col min="3" max="3" width="16.26953125" style="250" bestFit="1" customWidth="1"/>
    <col min="4" max="4" width="15" style="229" customWidth="1"/>
    <col min="5" max="5" width="16.26953125" style="262" bestFit="1" customWidth="1"/>
    <col min="6" max="6" width="17.26953125" customWidth="1"/>
    <col min="7" max="7" width="81.90625" customWidth="1"/>
    <col min="8" max="8" width="24.7265625" bestFit="1" customWidth="1"/>
    <col min="9" max="17" width="10.7265625" customWidth="1"/>
    <col min="18" max="107" width="11.7265625" customWidth="1"/>
    <col min="108" max="1007" width="12.7265625" customWidth="1"/>
    <col min="1008" max="10007" width="13.7265625" customWidth="1"/>
    <col min="10008" max="16384" width="14.7265625" customWidth="1"/>
  </cols>
  <sheetData>
    <row r="1" spans="1:16384" ht="15.5" x14ac:dyDescent="0.35">
      <c r="A1" s="179" t="s">
        <v>0</v>
      </c>
      <c r="B1" s="179"/>
      <c r="C1" s="179"/>
      <c r="D1" s="179"/>
      <c r="E1" s="179"/>
      <c r="F1" s="179"/>
      <c r="G1" s="179"/>
    </row>
    <row r="3" spans="1:16384" x14ac:dyDescent="0.35">
      <c r="A3" s="194" t="s">
        <v>1</v>
      </c>
      <c r="B3" s="65" t="s">
        <v>2</v>
      </c>
      <c r="C3" s="230" t="s">
        <v>3</v>
      </c>
      <c r="D3" s="207" t="s">
        <v>4</v>
      </c>
      <c r="E3" s="251" t="s">
        <v>5</v>
      </c>
      <c r="F3" s="64" t="s">
        <v>6</v>
      </c>
      <c r="G3" s="108" t="s">
        <v>346</v>
      </c>
      <c r="H3" s="106" t="s">
        <v>429</v>
      </c>
      <c r="I3" t="s">
        <v>684</v>
      </c>
      <c r="J3" t="s">
        <v>685</v>
      </c>
      <c r="K3" t="s">
        <v>686</v>
      </c>
      <c r="L3" t="s">
        <v>687</v>
      </c>
      <c r="M3" t="s">
        <v>688</v>
      </c>
      <c r="N3" t="s">
        <v>689</v>
      </c>
      <c r="O3" t="s">
        <v>690</v>
      </c>
      <c r="P3" t="s">
        <v>691</v>
      </c>
      <c r="Q3" t="s">
        <v>692</v>
      </c>
      <c r="R3" t="s">
        <v>693</v>
      </c>
      <c r="S3" t="s">
        <v>694</v>
      </c>
      <c r="T3" t="s">
        <v>695</v>
      </c>
      <c r="U3" t="s">
        <v>696</v>
      </c>
      <c r="V3" t="s">
        <v>697</v>
      </c>
      <c r="W3" t="s">
        <v>698</v>
      </c>
      <c r="X3" t="s">
        <v>699</v>
      </c>
      <c r="Y3" t="s">
        <v>700</v>
      </c>
      <c r="Z3" t="s">
        <v>701</v>
      </c>
      <c r="AA3" t="s">
        <v>702</v>
      </c>
      <c r="AB3" t="s">
        <v>703</v>
      </c>
      <c r="AC3" t="s">
        <v>704</v>
      </c>
      <c r="AD3" t="s">
        <v>705</v>
      </c>
      <c r="AE3" t="s">
        <v>706</v>
      </c>
      <c r="AF3" t="s">
        <v>707</v>
      </c>
      <c r="AG3" t="s">
        <v>708</v>
      </c>
      <c r="AH3" t="s">
        <v>709</v>
      </c>
      <c r="AI3" t="s">
        <v>710</v>
      </c>
      <c r="AJ3" t="s">
        <v>711</v>
      </c>
      <c r="AK3" t="s">
        <v>712</v>
      </c>
      <c r="AL3" t="s">
        <v>713</v>
      </c>
      <c r="AM3" t="s">
        <v>714</v>
      </c>
      <c r="AN3" t="s">
        <v>715</v>
      </c>
      <c r="AO3" t="s">
        <v>716</v>
      </c>
      <c r="AP3" t="s">
        <v>717</v>
      </c>
      <c r="AQ3" t="s">
        <v>718</v>
      </c>
      <c r="AR3" t="s">
        <v>719</v>
      </c>
      <c r="AS3" t="s">
        <v>720</v>
      </c>
      <c r="AT3" t="s">
        <v>721</v>
      </c>
      <c r="AU3" t="s">
        <v>722</v>
      </c>
      <c r="AV3" t="s">
        <v>723</v>
      </c>
      <c r="AW3" t="s">
        <v>724</v>
      </c>
      <c r="AX3" t="s">
        <v>725</v>
      </c>
      <c r="AY3" t="s">
        <v>726</v>
      </c>
      <c r="AZ3" t="s">
        <v>727</v>
      </c>
      <c r="BA3" t="s">
        <v>728</v>
      </c>
      <c r="BB3" t="s">
        <v>729</v>
      </c>
      <c r="BC3" t="s">
        <v>730</v>
      </c>
      <c r="BD3" t="s">
        <v>731</v>
      </c>
      <c r="BE3" t="s">
        <v>732</v>
      </c>
      <c r="BF3" t="s">
        <v>733</v>
      </c>
      <c r="BG3" t="s">
        <v>734</v>
      </c>
      <c r="BH3" t="s">
        <v>735</v>
      </c>
      <c r="BI3" t="s">
        <v>736</v>
      </c>
      <c r="BJ3" t="s">
        <v>737</v>
      </c>
      <c r="BK3" t="s">
        <v>738</v>
      </c>
      <c r="BL3" t="s">
        <v>739</v>
      </c>
      <c r="BM3" t="s">
        <v>740</v>
      </c>
      <c r="BN3" t="s">
        <v>741</v>
      </c>
      <c r="BO3" t="s">
        <v>742</v>
      </c>
      <c r="BP3" t="s">
        <v>743</v>
      </c>
      <c r="BQ3" t="s">
        <v>744</v>
      </c>
      <c r="BR3" t="s">
        <v>745</v>
      </c>
      <c r="BS3" t="s">
        <v>746</v>
      </c>
      <c r="BT3" t="s">
        <v>747</v>
      </c>
      <c r="BU3" t="s">
        <v>748</v>
      </c>
      <c r="BV3" t="s">
        <v>749</v>
      </c>
      <c r="BW3" t="s">
        <v>750</v>
      </c>
      <c r="BX3" t="s">
        <v>751</v>
      </c>
      <c r="BY3" t="s">
        <v>752</v>
      </c>
      <c r="BZ3" t="s">
        <v>753</v>
      </c>
      <c r="CA3" t="s">
        <v>754</v>
      </c>
      <c r="CB3" t="s">
        <v>755</v>
      </c>
      <c r="CC3" t="s">
        <v>756</v>
      </c>
      <c r="CD3" t="s">
        <v>757</v>
      </c>
      <c r="CE3" t="s">
        <v>758</v>
      </c>
      <c r="CF3" t="s">
        <v>759</v>
      </c>
      <c r="CG3" t="s">
        <v>760</v>
      </c>
      <c r="CH3" t="s">
        <v>761</v>
      </c>
      <c r="CI3" t="s">
        <v>762</v>
      </c>
      <c r="CJ3" t="s">
        <v>763</v>
      </c>
      <c r="CK3" t="s">
        <v>764</v>
      </c>
      <c r="CL3" t="s">
        <v>765</v>
      </c>
      <c r="CM3" t="s">
        <v>766</v>
      </c>
      <c r="CN3" t="s">
        <v>767</v>
      </c>
      <c r="CO3" t="s">
        <v>768</v>
      </c>
      <c r="CP3" t="s">
        <v>769</v>
      </c>
      <c r="CQ3" t="s">
        <v>770</v>
      </c>
      <c r="CR3" t="s">
        <v>771</v>
      </c>
      <c r="CS3" t="s">
        <v>772</v>
      </c>
      <c r="CT3" t="s">
        <v>773</v>
      </c>
      <c r="CU3" t="s">
        <v>774</v>
      </c>
      <c r="CV3" t="s">
        <v>775</v>
      </c>
      <c r="CW3" t="s">
        <v>776</v>
      </c>
      <c r="CX3" t="s">
        <v>777</v>
      </c>
      <c r="CY3" t="s">
        <v>778</v>
      </c>
      <c r="CZ3" t="s">
        <v>779</v>
      </c>
      <c r="DA3" t="s">
        <v>780</v>
      </c>
      <c r="DB3" t="s">
        <v>781</v>
      </c>
      <c r="DC3" t="s">
        <v>782</v>
      </c>
      <c r="DD3" t="s">
        <v>783</v>
      </c>
      <c r="DE3" t="s">
        <v>784</v>
      </c>
      <c r="DF3" t="s">
        <v>785</v>
      </c>
      <c r="DG3" t="s">
        <v>786</v>
      </c>
      <c r="DH3" t="s">
        <v>787</v>
      </c>
      <c r="DI3" t="s">
        <v>788</v>
      </c>
      <c r="DJ3" t="s">
        <v>789</v>
      </c>
      <c r="DK3" t="s">
        <v>790</v>
      </c>
      <c r="DL3" t="s">
        <v>791</v>
      </c>
      <c r="DM3" t="s">
        <v>792</v>
      </c>
      <c r="DN3" t="s">
        <v>793</v>
      </c>
      <c r="DO3" t="s">
        <v>794</v>
      </c>
      <c r="DP3" t="s">
        <v>795</v>
      </c>
      <c r="DQ3" t="s">
        <v>796</v>
      </c>
      <c r="DR3" t="s">
        <v>797</v>
      </c>
      <c r="DS3" t="s">
        <v>798</v>
      </c>
      <c r="DT3" t="s">
        <v>799</v>
      </c>
      <c r="DU3" t="s">
        <v>800</v>
      </c>
      <c r="DV3" t="s">
        <v>801</v>
      </c>
      <c r="DW3" t="s">
        <v>802</v>
      </c>
      <c r="DX3" t="s">
        <v>803</v>
      </c>
      <c r="DY3" t="s">
        <v>804</v>
      </c>
      <c r="DZ3" t="s">
        <v>805</v>
      </c>
      <c r="EA3" t="s">
        <v>806</v>
      </c>
      <c r="EB3" t="s">
        <v>807</v>
      </c>
      <c r="EC3" t="s">
        <v>808</v>
      </c>
      <c r="ED3" t="s">
        <v>809</v>
      </c>
      <c r="EE3" t="s">
        <v>810</v>
      </c>
      <c r="EF3" t="s">
        <v>811</v>
      </c>
      <c r="EG3" t="s">
        <v>812</v>
      </c>
      <c r="EH3" t="s">
        <v>813</v>
      </c>
      <c r="EI3" t="s">
        <v>814</v>
      </c>
      <c r="EJ3" t="s">
        <v>815</v>
      </c>
      <c r="EK3" t="s">
        <v>816</v>
      </c>
      <c r="EL3" t="s">
        <v>817</v>
      </c>
      <c r="EM3" t="s">
        <v>818</v>
      </c>
      <c r="EN3" t="s">
        <v>819</v>
      </c>
      <c r="EO3" t="s">
        <v>820</v>
      </c>
      <c r="EP3" t="s">
        <v>821</v>
      </c>
      <c r="EQ3" t="s">
        <v>822</v>
      </c>
      <c r="ER3" t="s">
        <v>823</v>
      </c>
      <c r="ES3" t="s">
        <v>824</v>
      </c>
      <c r="ET3" t="s">
        <v>825</v>
      </c>
      <c r="EU3" t="s">
        <v>826</v>
      </c>
      <c r="EV3" t="s">
        <v>827</v>
      </c>
      <c r="EW3" t="s">
        <v>828</v>
      </c>
      <c r="EX3" t="s">
        <v>829</v>
      </c>
      <c r="EY3" t="s">
        <v>830</v>
      </c>
      <c r="EZ3" t="s">
        <v>831</v>
      </c>
      <c r="FA3" t="s">
        <v>832</v>
      </c>
      <c r="FB3" t="s">
        <v>833</v>
      </c>
      <c r="FC3" t="s">
        <v>834</v>
      </c>
      <c r="FD3" t="s">
        <v>835</v>
      </c>
      <c r="FE3" t="s">
        <v>836</v>
      </c>
      <c r="FF3" t="s">
        <v>837</v>
      </c>
      <c r="FG3" t="s">
        <v>838</v>
      </c>
      <c r="FH3" t="s">
        <v>839</v>
      </c>
      <c r="FI3" t="s">
        <v>840</v>
      </c>
      <c r="FJ3" t="s">
        <v>841</v>
      </c>
      <c r="FK3" t="s">
        <v>842</v>
      </c>
      <c r="FL3" t="s">
        <v>843</v>
      </c>
      <c r="FM3" t="s">
        <v>844</v>
      </c>
      <c r="FN3" t="s">
        <v>845</v>
      </c>
      <c r="FO3" t="s">
        <v>846</v>
      </c>
      <c r="FP3" t="s">
        <v>847</v>
      </c>
      <c r="FQ3" t="s">
        <v>848</v>
      </c>
      <c r="FR3" t="s">
        <v>849</v>
      </c>
      <c r="FS3" t="s">
        <v>850</v>
      </c>
      <c r="FT3" t="s">
        <v>851</v>
      </c>
      <c r="FU3" t="s">
        <v>852</v>
      </c>
      <c r="FV3" t="s">
        <v>853</v>
      </c>
      <c r="FW3" t="s">
        <v>854</v>
      </c>
      <c r="FX3" t="s">
        <v>855</v>
      </c>
      <c r="FY3" t="s">
        <v>856</v>
      </c>
      <c r="FZ3" t="s">
        <v>857</v>
      </c>
      <c r="GA3" t="s">
        <v>858</v>
      </c>
      <c r="GB3" t="s">
        <v>859</v>
      </c>
      <c r="GC3" t="s">
        <v>860</v>
      </c>
      <c r="GD3" t="s">
        <v>861</v>
      </c>
      <c r="GE3" t="s">
        <v>862</v>
      </c>
      <c r="GF3" t="s">
        <v>863</v>
      </c>
      <c r="GG3" t="s">
        <v>864</v>
      </c>
      <c r="GH3" t="s">
        <v>865</v>
      </c>
      <c r="GI3" t="s">
        <v>866</v>
      </c>
      <c r="GJ3" t="s">
        <v>867</v>
      </c>
      <c r="GK3" t="s">
        <v>868</v>
      </c>
      <c r="GL3" t="s">
        <v>869</v>
      </c>
      <c r="GM3" t="s">
        <v>870</v>
      </c>
      <c r="GN3" t="s">
        <v>871</v>
      </c>
      <c r="GO3" t="s">
        <v>872</v>
      </c>
      <c r="GP3" t="s">
        <v>873</v>
      </c>
      <c r="GQ3" t="s">
        <v>874</v>
      </c>
      <c r="GR3" t="s">
        <v>875</v>
      </c>
      <c r="GS3" t="s">
        <v>876</v>
      </c>
      <c r="GT3" t="s">
        <v>877</v>
      </c>
      <c r="GU3" t="s">
        <v>878</v>
      </c>
      <c r="GV3" t="s">
        <v>879</v>
      </c>
      <c r="GW3" t="s">
        <v>880</v>
      </c>
      <c r="GX3" t="s">
        <v>881</v>
      </c>
      <c r="GY3" t="s">
        <v>882</v>
      </c>
      <c r="GZ3" t="s">
        <v>883</v>
      </c>
      <c r="HA3" t="s">
        <v>884</v>
      </c>
      <c r="HB3" t="s">
        <v>885</v>
      </c>
      <c r="HC3" t="s">
        <v>886</v>
      </c>
      <c r="HD3" t="s">
        <v>887</v>
      </c>
      <c r="HE3" t="s">
        <v>888</v>
      </c>
      <c r="HF3" t="s">
        <v>889</v>
      </c>
      <c r="HG3" t="s">
        <v>890</v>
      </c>
      <c r="HH3" t="s">
        <v>891</v>
      </c>
      <c r="HI3" t="s">
        <v>892</v>
      </c>
      <c r="HJ3" t="s">
        <v>893</v>
      </c>
      <c r="HK3" t="s">
        <v>894</v>
      </c>
      <c r="HL3" t="s">
        <v>895</v>
      </c>
      <c r="HM3" t="s">
        <v>896</v>
      </c>
      <c r="HN3" t="s">
        <v>897</v>
      </c>
      <c r="HO3" t="s">
        <v>898</v>
      </c>
      <c r="HP3" t="s">
        <v>899</v>
      </c>
      <c r="HQ3" t="s">
        <v>900</v>
      </c>
      <c r="HR3" t="s">
        <v>901</v>
      </c>
      <c r="HS3" t="s">
        <v>902</v>
      </c>
      <c r="HT3" t="s">
        <v>903</v>
      </c>
      <c r="HU3" t="s">
        <v>904</v>
      </c>
      <c r="HV3" t="s">
        <v>905</v>
      </c>
      <c r="HW3" t="s">
        <v>906</v>
      </c>
      <c r="HX3" t="s">
        <v>907</v>
      </c>
      <c r="HY3" t="s">
        <v>908</v>
      </c>
      <c r="HZ3" t="s">
        <v>909</v>
      </c>
      <c r="IA3" t="s">
        <v>910</v>
      </c>
      <c r="IB3" t="s">
        <v>911</v>
      </c>
      <c r="IC3" t="s">
        <v>912</v>
      </c>
      <c r="ID3" t="s">
        <v>913</v>
      </c>
      <c r="IE3" t="s">
        <v>914</v>
      </c>
      <c r="IF3" t="s">
        <v>915</v>
      </c>
      <c r="IG3" t="s">
        <v>916</v>
      </c>
      <c r="IH3" t="s">
        <v>917</v>
      </c>
      <c r="II3" t="s">
        <v>918</v>
      </c>
      <c r="IJ3" t="s">
        <v>919</v>
      </c>
      <c r="IK3" t="s">
        <v>920</v>
      </c>
      <c r="IL3" t="s">
        <v>921</v>
      </c>
      <c r="IM3" t="s">
        <v>922</v>
      </c>
      <c r="IN3" t="s">
        <v>923</v>
      </c>
      <c r="IO3" t="s">
        <v>924</v>
      </c>
      <c r="IP3" t="s">
        <v>925</v>
      </c>
      <c r="IQ3" t="s">
        <v>926</v>
      </c>
      <c r="IR3" t="s">
        <v>927</v>
      </c>
      <c r="IS3" t="s">
        <v>928</v>
      </c>
      <c r="IT3" t="s">
        <v>929</v>
      </c>
      <c r="IU3" t="s">
        <v>930</v>
      </c>
      <c r="IV3" t="s">
        <v>931</v>
      </c>
      <c r="IW3" t="s">
        <v>932</v>
      </c>
      <c r="IX3" t="s">
        <v>933</v>
      </c>
      <c r="IY3" t="s">
        <v>934</v>
      </c>
      <c r="IZ3" t="s">
        <v>935</v>
      </c>
      <c r="JA3" t="s">
        <v>936</v>
      </c>
      <c r="JB3" t="s">
        <v>937</v>
      </c>
      <c r="JC3" t="s">
        <v>938</v>
      </c>
      <c r="JD3" t="s">
        <v>939</v>
      </c>
      <c r="JE3" t="s">
        <v>940</v>
      </c>
      <c r="JF3" t="s">
        <v>941</v>
      </c>
      <c r="JG3" t="s">
        <v>942</v>
      </c>
      <c r="JH3" t="s">
        <v>943</v>
      </c>
      <c r="JI3" t="s">
        <v>944</v>
      </c>
      <c r="JJ3" t="s">
        <v>945</v>
      </c>
      <c r="JK3" t="s">
        <v>946</v>
      </c>
      <c r="JL3" t="s">
        <v>947</v>
      </c>
      <c r="JM3" t="s">
        <v>948</v>
      </c>
      <c r="JN3" t="s">
        <v>949</v>
      </c>
      <c r="JO3" t="s">
        <v>950</v>
      </c>
      <c r="JP3" t="s">
        <v>951</v>
      </c>
      <c r="JQ3" t="s">
        <v>952</v>
      </c>
      <c r="JR3" t="s">
        <v>953</v>
      </c>
      <c r="JS3" t="s">
        <v>954</v>
      </c>
      <c r="JT3" t="s">
        <v>955</v>
      </c>
      <c r="JU3" t="s">
        <v>956</v>
      </c>
      <c r="JV3" t="s">
        <v>957</v>
      </c>
      <c r="JW3" t="s">
        <v>958</v>
      </c>
      <c r="JX3" t="s">
        <v>959</v>
      </c>
      <c r="JY3" t="s">
        <v>960</v>
      </c>
      <c r="JZ3" t="s">
        <v>961</v>
      </c>
      <c r="KA3" t="s">
        <v>962</v>
      </c>
      <c r="KB3" t="s">
        <v>963</v>
      </c>
      <c r="KC3" t="s">
        <v>964</v>
      </c>
      <c r="KD3" t="s">
        <v>965</v>
      </c>
      <c r="KE3" t="s">
        <v>966</v>
      </c>
      <c r="KF3" t="s">
        <v>967</v>
      </c>
      <c r="KG3" t="s">
        <v>968</v>
      </c>
      <c r="KH3" t="s">
        <v>969</v>
      </c>
      <c r="KI3" t="s">
        <v>970</v>
      </c>
      <c r="KJ3" t="s">
        <v>971</v>
      </c>
      <c r="KK3" t="s">
        <v>972</v>
      </c>
      <c r="KL3" t="s">
        <v>973</v>
      </c>
      <c r="KM3" t="s">
        <v>974</v>
      </c>
      <c r="KN3" t="s">
        <v>975</v>
      </c>
      <c r="KO3" t="s">
        <v>976</v>
      </c>
      <c r="KP3" t="s">
        <v>977</v>
      </c>
      <c r="KQ3" t="s">
        <v>978</v>
      </c>
      <c r="KR3" t="s">
        <v>979</v>
      </c>
      <c r="KS3" t="s">
        <v>980</v>
      </c>
      <c r="KT3" t="s">
        <v>981</v>
      </c>
      <c r="KU3" t="s">
        <v>982</v>
      </c>
      <c r="KV3" t="s">
        <v>983</v>
      </c>
      <c r="KW3" t="s">
        <v>984</v>
      </c>
      <c r="KX3" t="s">
        <v>985</v>
      </c>
      <c r="KY3" t="s">
        <v>986</v>
      </c>
      <c r="KZ3" t="s">
        <v>987</v>
      </c>
      <c r="LA3" t="s">
        <v>988</v>
      </c>
      <c r="LB3" t="s">
        <v>989</v>
      </c>
      <c r="LC3" t="s">
        <v>990</v>
      </c>
      <c r="LD3" t="s">
        <v>991</v>
      </c>
      <c r="LE3" t="s">
        <v>992</v>
      </c>
      <c r="LF3" t="s">
        <v>993</v>
      </c>
      <c r="LG3" t="s">
        <v>994</v>
      </c>
      <c r="LH3" t="s">
        <v>995</v>
      </c>
      <c r="LI3" t="s">
        <v>996</v>
      </c>
      <c r="LJ3" t="s">
        <v>997</v>
      </c>
      <c r="LK3" t="s">
        <v>998</v>
      </c>
      <c r="LL3" t="s">
        <v>999</v>
      </c>
      <c r="LM3" t="s">
        <v>1000</v>
      </c>
      <c r="LN3" t="s">
        <v>1001</v>
      </c>
      <c r="LO3" t="s">
        <v>1002</v>
      </c>
      <c r="LP3" t="s">
        <v>1003</v>
      </c>
      <c r="LQ3" t="s">
        <v>1004</v>
      </c>
      <c r="LR3" t="s">
        <v>1005</v>
      </c>
      <c r="LS3" t="s">
        <v>1006</v>
      </c>
      <c r="LT3" t="s">
        <v>1007</v>
      </c>
      <c r="LU3" t="s">
        <v>1008</v>
      </c>
      <c r="LV3" t="s">
        <v>1009</v>
      </c>
      <c r="LW3" t="s">
        <v>1010</v>
      </c>
      <c r="LX3" t="s">
        <v>1011</v>
      </c>
      <c r="LY3" t="s">
        <v>1012</v>
      </c>
      <c r="LZ3" t="s">
        <v>1013</v>
      </c>
      <c r="MA3" t="s">
        <v>1014</v>
      </c>
      <c r="MB3" t="s">
        <v>1015</v>
      </c>
      <c r="MC3" t="s">
        <v>1016</v>
      </c>
      <c r="MD3" t="s">
        <v>1017</v>
      </c>
      <c r="ME3" t="s">
        <v>1018</v>
      </c>
      <c r="MF3" t="s">
        <v>1019</v>
      </c>
      <c r="MG3" t="s">
        <v>1020</v>
      </c>
      <c r="MH3" t="s">
        <v>1021</v>
      </c>
      <c r="MI3" t="s">
        <v>1022</v>
      </c>
      <c r="MJ3" t="s">
        <v>1023</v>
      </c>
      <c r="MK3" t="s">
        <v>1024</v>
      </c>
      <c r="ML3" t="s">
        <v>1025</v>
      </c>
      <c r="MM3" t="s">
        <v>1026</v>
      </c>
      <c r="MN3" t="s">
        <v>1027</v>
      </c>
      <c r="MO3" t="s">
        <v>1028</v>
      </c>
      <c r="MP3" t="s">
        <v>1029</v>
      </c>
      <c r="MQ3" t="s">
        <v>1030</v>
      </c>
      <c r="MR3" t="s">
        <v>1031</v>
      </c>
      <c r="MS3" t="s">
        <v>1032</v>
      </c>
      <c r="MT3" t="s">
        <v>1033</v>
      </c>
      <c r="MU3" t="s">
        <v>1034</v>
      </c>
      <c r="MV3" t="s">
        <v>1035</v>
      </c>
      <c r="MW3" t="s">
        <v>1036</v>
      </c>
      <c r="MX3" t="s">
        <v>1037</v>
      </c>
      <c r="MY3" t="s">
        <v>1038</v>
      </c>
      <c r="MZ3" t="s">
        <v>1039</v>
      </c>
      <c r="NA3" t="s">
        <v>1040</v>
      </c>
      <c r="NB3" t="s">
        <v>1041</v>
      </c>
      <c r="NC3" t="s">
        <v>1042</v>
      </c>
      <c r="ND3" t="s">
        <v>1043</v>
      </c>
      <c r="NE3" t="s">
        <v>1044</v>
      </c>
      <c r="NF3" t="s">
        <v>1045</v>
      </c>
      <c r="NG3" t="s">
        <v>1046</v>
      </c>
      <c r="NH3" t="s">
        <v>1047</v>
      </c>
      <c r="NI3" t="s">
        <v>1048</v>
      </c>
      <c r="NJ3" t="s">
        <v>1049</v>
      </c>
      <c r="NK3" t="s">
        <v>1050</v>
      </c>
      <c r="NL3" t="s">
        <v>1051</v>
      </c>
      <c r="NM3" t="s">
        <v>1052</v>
      </c>
      <c r="NN3" t="s">
        <v>1053</v>
      </c>
      <c r="NO3" t="s">
        <v>1054</v>
      </c>
      <c r="NP3" t="s">
        <v>1055</v>
      </c>
      <c r="NQ3" t="s">
        <v>1056</v>
      </c>
      <c r="NR3" t="s">
        <v>1057</v>
      </c>
      <c r="NS3" t="s">
        <v>1058</v>
      </c>
      <c r="NT3" t="s">
        <v>1059</v>
      </c>
      <c r="NU3" t="s">
        <v>1060</v>
      </c>
      <c r="NV3" t="s">
        <v>1061</v>
      </c>
      <c r="NW3" t="s">
        <v>1062</v>
      </c>
      <c r="NX3" t="s">
        <v>1063</v>
      </c>
      <c r="NY3" t="s">
        <v>1064</v>
      </c>
      <c r="NZ3" t="s">
        <v>1065</v>
      </c>
      <c r="OA3" t="s">
        <v>1066</v>
      </c>
      <c r="OB3" t="s">
        <v>1067</v>
      </c>
      <c r="OC3" t="s">
        <v>1068</v>
      </c>
      <c r="OD3" t="s">
        <v>1069</v>
      </c>
      <c r="OE3" t="s">
        <v>1070</v>
      </c>
      <c r="OF3" t="s">
        <v>1071</v>
      </c>
      <c r="OG3" t="s">
        <v>1072</v>
      </c>
      <c r="OH3" t="s">
        <v>1073</v>
      </c>
      <c r="OI3" t="s">
        <v>1074</v>
      </c>
      <c r="OJ3" t="s">
        <v>1075</v>
      </c>
      <c r="OK3" t="s">
        <v>1076</v>
      </c>
      <c r="OL3" t="s">
        <v>1077</v>
      </c>
      <c r="OM3" t="s">
        <v>1078</v>
      </c>
      <c r="ON3" t="s">
        <v>1079</v>
      </c>
      <c r="OO3" t="s">
        <v>1080</v>
      </c>
      <c r="OP3" t="s">
        <v>1081</v>
      </c>
      <c r="OQ3" t="s">
        <v>1082</v>
      </c>
      <c r="OR3" t="s">
        <v>1083</v>
      </c>
      <c r="OS3" t="s">
        <v>1084</v>
      </c>
      <c r="OT3" t="s">
        <v>1085</v>
      </c>
      <c r="OU3" t="s">
        <v>1086</v>
      </c>
      <c r="OV3" t="s">
        <v>1087</v>
      </c>
      <c r="OW3" t="s">
        <v>1088</v>
      </c>
      <c r="OX3" t="s">
        <v>1089</v>
      </c>
      <c r="OY3" t="s">
        <v>1090</v>
      </c>
      <c r="OZ3" t="s">
        <v>1091</v>
      </c>
      <c r="PA3" t="s">
        <v>1092</v>
      </c>
      <c r="PB3" t="s">
        <v>1093</v>
      </c>
      <c r="PC3" t="s">
        <v>1094</v>
      </c>
      <c r="PD3" t="s">
        <v>1095</v>
      </c>
      <c r="PE3" t="s">
        <v>1096</v>
      </c>
      <c r="PF3" t="s">
        <v>1097</v>
      </c>
      <c r="PG3" t="s">
        <v>1098</v>
      </c>
      <c r="PH3" t="s">
        <v>1099</v>
      </c>
      <c r="PI3" t="s">
        <v>1100</v>
      </c>
      <c r="PJ3" t="s">
        <v>1101</v>
      </c>
      <c r="PK3" t="s">
        <v>1102</v>
      </c>
      <c r="PL3" t="s">
        <v>1103</v>
      </c>
      <c r="PM3" t="s">
        <v>1104</v>
      </c>
      <c r="PN3" t="s">
        <v>1105</v>
      </c>
      <c r="PO3" t="s">
        <v>1106</v>
      </c>
      <c r="PP3" t="s">
        <v>1107</v>
      </c>
      <c r="PQ3" t="s">
        <v>1108</v>
      </c>
      <c r="PR3" t="s">
        <v>1109</v>
      </c>
      <c r="PS3" t="s">
        <v>1110</v>
      </c>
      <c r="PT3" t="s">
        <v>1111</v>
      </c>
      <c r="PU3" t="s">
        <v>1112</v>
      </c>
      <c r="PV3" t="s">
        <v>1113</v>
      </c>
      <c r="PW3" t="s">
        <v>1114</v>
      </c>
      <c r="PX3" t="s">
        <v>1115</v>
      </c>
      <c r="PY3" t="s">
        <v>1116</v>
      </c>
      <c r="PZ3" t="s">
        <v>1117</v>
      </c>
      <c r="QA3" t="s">
        <v>1118</v>
      </c>
      <c r="QB3" t="s">
        <v>1119</v>
      </c>
      <c r="QC3" t="s">
        <v>1120</v>
      </c>
      <c r="QD3" t="s">
        <v>1121</v>
      </c>
      <c r="QE3" t="s">
        <v>1122</v>
      </c>
      <c r="QF3" t="s">
        <v>1123</v>
      </c>
      <c r="QG3" t="s">
        <v>1124</v>
      </c>
      <c r="QH3" t="s">
        <v>1125</v>
      </c>
      <c r="QI3" t="s">
        <v>1126</v>
      </c>
      <c r="QJ3" t="s">
        <v>1127</v>
      </c>
      <c r="QK3" t="s">
        <v>1128</v>
      </c>
      <c r="QL3" t="s">
        <v>1129</v>
      </c>
      <c r="QM3" t="s">
        <v>1130</v>
      </c>
      <c r="QN3" t="s">
        <v>1131</v>
      </c>
      <c r="QO3" t="s">
        <v>1132</v>
      </c>
      <c r="QP3" t="s">
        <v>1133</v>
      </c>
      <c r="QQ3" t="s">
        <v>1134</v>
      </c>
      <c r="QR3" t="s">
        <v>1135</v>
      </c>
      <c r="QS3" t="s">
        <v>1136</v>
      </c>
      <c r="QT3" t="s">
        <v>1137</v>
      </c>
      <c r="QU3" t="s">
        <v>1138</v>
      </c>
      <c r="QV3" t="s">
        <v>1139</v>
      </c>
      <c r="QW3" t="s">
        <v>1140</v>
      </c>
      <c r="QX3" t="s">
        <v>1141</v>
      </c>
      <c r="QY3" t="s">
        <v>1142</v>
      </c>
      <c r="QZ3" t="s">
        <v>1143</v>
      </c>
      <c r="RA3" t="s">
        <v>1144</v>
      </c>
      <c r="RB3" t="s">
        <v>1145</v>
      </c>
      <c r="RC3" t="s">
        <v>1146</v>
      </c>
      <c r="RD3" t="s">
        <v>1147</v>
      </c>
      <c r="RE3" t="s">
        <v>1148</v>
      </c>
      <c r="RF3" t="s">
        <v>1149</v>
      </c>
      <c r="RG3" t="s">
        <v>1150</v>
      </c>
      <c r="RH3" t="s">
        <v>1151</v>
      </c>
      <c r="RI3" t="s">
        <v>1152</v>
      </c>
      <c r="RJ3" t="s">
        <v>1153</v>
      </c>
      <c r="RK3" t="s">
        <v>1154</v>
      </c>
      <c r="RL3" t="s">
        <v>1155</v>
      </c>
      <c r="RM3" t="s">
        <v>1156</v>
      </c>
      <c r="RN3" t="s">
        <v>1157</v>
      </c>
      <c r="RO3" t="s">
        <v>1158</v>
      </c>
      <c r="RP3" t="s">
        <v>1159</v>
      </c>
      <c r="RQ3" t="s">
        <v>1160</v>
      </c>
      <c r="RR3" t="s">
        <v>1161</v>
      </c>
      <c r="RS3" t="s">
        <v>1162</v>
      </c>
      <c r="RT3" t="s">
        <v>1163</v>
      </c>
      <c r="RU3" t="s">
        <v>1164</v>
      </c>
      <c r="RV3" t="s">
        <v>1165</v>
      </c>
      <c r="RW3" t="s">
        <v>1166</v>
      </c>
      <c r="RX3" t="s">
        <v>1167</v>
      </c>
      <c r="RY3" t="s">
        <v>1168</v>
      </c>
      <c r="RZ3" t="s">
        <v>1169</v>
      </c>
      <c r="SA3" t="s">
        <v>1170</v>
      </c>
      <c r="SB3" t="s">
        <v>1171</v>
      </c>
      <c r="SC3" t="s">
        <v>1172</v>
      </c>
      <c r="SD3" t="s">
        <v>1173</v>
      </c>
      <c r="SE3" t="s">
        <v>1174</v>
      </c>
      <c r="SF3" t="s">
        <v>1175</v>
      </c>
      <c r="SG3" t="s">
        <v>1176</v>
      </c>
      <c r="SH3" t="s">
        <v>1177</v>
      </c>
      <c r="SI3" t="s">
        <v>1178</v>
      </c>
      <c r="SJ3" t="s">
        <v>1179</v>
      </c>
      <c r="SK3" t="s">
        <v>1180</v>
      </c>
      <c r="SL3" t="s">
        <v>1181</v>
      </c>
      <c r="SM3" t="s">
        <v>1182</v>
      </c>
      <c r="SN3" t="s">
        <v>1183</v>
      </c>
      <c r="SO3" t="s">
        <v>1184</v>
      </c>
      <c r="SP3" t="s">
        <v>1185</v>
      </c>
      <c r="SQ3" t="s">
        <v>1186</v>
      </c>
      <c r="SR3" t="s">
        <v>1187</v>
      </c>
      <c r="SS3" t="s">
        <v>1188</v>
      </c>
      <c r="ST3" t="s">
        <v>1189</v>
      </c>
      <c r="SU3" t="s">
        <v>1190</v>
      </c>
      <c r="SV3" t="s">
        <v>1191</v>
      </c>
      <c r="SW3" t="s">
        <v>1192</v>
      </c>
      <c r="SX3" t="s">
        <v>1193</v>
      </c>
      <c r="SY3" t="s">
        <v>1194</v>
      </c>
      <c r="SZ3" t="s">
        <v>1195</v>
      </c>
      <c r="TA3" t="s">
        <v>1196</v>
      </c>
      <c r="TB3" t="s">
        <v>1197</v>
      </c>
      <c r="TC3" t="s">
        <v>1198</v>
      </c>
      <c r="TD3" t="s">
        <v>1199</v>
      </c>
      <c r="TE3" t="s">
        <v>1200</v>
      </c>
      <c r="TF3" t="s">
        <v>1201</v>
      </c>
      <c r="TG3" t="s">
        <v>1202</v>
      </c>
      <c r="TH3" t="s">
        <v>1203</v>
      </c>
      <c r="TI3" t="s">
        <v>1204</v>
      </c>
      <c r="TJ3" t="s">
        <v>1205</v>
      </c>
      <c r="TK3" t="s">
        <v>1206</v>
      </c>
      <c r="TL3" t="s">
        <v>1207</v>
      </c>
      <c r="TM3" t="s">
        <v>1208</v>
      </c>
      <c r="TN3" t="s">
        <v>1209</v>
      </c>
      <c r="TO3" t="s">
        <v>1210</v>
      </c>
      <c r="TP3" t="s">
        <v>1211</v>
      </c>
      <c r="TQ3" t="s">
        <v>1212</v>
      </c>
      <c r="TR3" t="s">
        <v>1213</v>
      </c>
      <c r="TS3" t="s">
        <v>1214</v>
      </c>
      <c r="TT3" t="s">
        <v>1215</v>
      </c>
      <c r="TU3" t="s">
        <v>1216</v>
      </c>
      <c r="TV3" t="s">
        <v>1217</v>
      </c>
      <c r="TW3" t="s">
        <v>1218</v>
      </c>
      <c r="TX3" t="s">
        <v>1219</v>
      </c>
      <c r="TY3" t="s">
        <v>1220</v>
      </c>
      <c r="TZ3" t="s">
        <v>1221</v>
      </c>
      <c r="UA3" t="s">
        <v>1222</v>
      </c>
      <c r="UB3" t="s">
        <v>1223</v>
      </c>
      <c r="UC3" t="s">
        <v>1224</v>
      </c>
      <c r="UD3" t="s">
        <v>1225</v>
      </c>
      <c r="UE3" t="s">
        <v>1226</v>
      </c>
      <c r="UF3" t="s">
        <v>1227</v>
      </c>
      <c r="UG3" t="s">
        <v>1228</v>
      </c>
      <c r="UH3" t="s">
        <v>1229</v>
      </c>
      <c r="UI3" t="s">
        <v>1230</v>
      </c>
      <c r="UJ3" t="s">
        <v>1231</v>
      </c>
      <c r="UK3" t="s">
        <v>1232</v>
      </c>
      <c r="UL3" t="s">
        <v>1233</v>
      </c>
      <c r="UM3" t="s">
        <v>1234</v>
      </c>
      <c r="UN3" t="s">
        <v>1235</v>
      </c>
      <c r="UO3" t="s">
        <v>1236</v>
      </c>
      <c r="UP3" t="s">
        <v>1237</v>
      </c>
      <c r="UQ3" t="s">
        <v>1238</v>
      </c>
      <c r="UR3" t="s">
        <v>1239</v>
      </c>
      <c r="US3" t="s">
        <v>1240</v>
      </c>
      <c r="UT3" t="s">
        <v>1241</v>
      </c>
      <c r="UU3" t="s">
        <v>1242</v>
      </c>
      <c r="UV3" t="s">
        <v>1243</v>
      </c>
      <c r="UW3" t="s">
        <v>1244</v>
      </c>
      <c r="UX3" t="s">
        <v>1245</v>
      </c>
      <c r="UY3" t="s">
        <v>1246</v>
      </c>
      <c r="UZ3" t="s">
        <v>1247</v>
      </c>
      <c r="VA3" t="s">
        <v>1248</v>
      </c>
      <c r="VB3" t="s">
        <v>1249</v>
      </c>
      <c r="VC3" t="s">
        <v>1250</v>
      </c>
      <c r="VD3" t="s">
        <v>1251</v>
      </c>
      <c r="VE3" t="s">
        <v>1252</v>
      </c>
      <c r="VF3" t="s">
        <v>1253</v>
      </c>
      <c r="VG3" t="s">
        <v>1254</v>
      </c>
      <c r="VH3" t="s">
        <v>1255</v>
      </c>
      <c r="VI3" t="s">
        <v>1256</v>
      </c>
      <c r="VJ3" t="s">
        <v>1257</v>
      </c>
      <c r="VK3" t="s">
        <v>1258</v>
      </c>
      <c r="VL3" t="s">
        <v>1259</v>
      </c>
      <c r="VM3" t="s">
        <v>1260</v>
      </c>
      <c r="VN3" t="s">
        <v>1261</v>
      </c>
      <c r="VO3" t="s">
        <v>1262</v>
      </c>
      <c r="VP3" t="s">
        <v>1263</v>
      </c>
      <c r="VQ3" t="s">
        <v>1264</v>
      </c>
      <c r="VR3" t="s">
        <v>1265</v>
      </c>
      <c r="VS3" t="s">
        <v>1266</v>
      </c>
      <c r="VT3" t="s">
        <v>1267</v>
      </c>
      <c r="VU3" t="s">
        <v>1268</v>
      </c>
      <c r="VV3" t="s">
        <v>1269</v>
      </c>
      <c r="VW3" t="s">
        <v>1270</v>
      </c>
      <c r="VX3" t="s">
        <v>1271</v>
      </c>
      <c r="VY3" t="s">
        <v>1272</v>
      </c>
      <c r="VZ3" t="s">
        <v>1273</v>
      </c>
      <c r="WA3" t="s">
        <v>1274</v>
      </c>
      <c r="WB3" t="s">
        <v>1275</v>
      </c>
      <c r="WC3" t="s">
        <v>1276</v>
      </c>
      <c r="WD3" t="s">
        <v>1277</v>
      </c>
      <c r="WE3" t="s">
        <v>1278</v>
      </c>
      <c r="WF3" t="s">
        <v>1279</v>
      </c>
      <c r="WG3" t="s">
        <v>1280</v>
      </c>
      <c r="WH3" t="s">
        <v>1281</v>
      </c>
      <c r="WI3" t="s">
        <v>1282</v>
      </c>
      <c r="WJ3" t="s">
        <v>1283</v>
      </c>
      <c r="WK3" t="s">
        <v>1284</v>
      </c>
      <c r="WL3" t="s">
        <v>1285</v>
      </c>
      <c r="WM3" t="s">
        <v>1286</v>
      </c>
      <c r="WN3" t="s">
        <v>1287</v>
      </c>
      <c r="WO3" t="s">
        <v>1288</v>
      </c>
      <c r="WP3" t="s">
        <v>1289</v>
      </c>
      <c r="WQ3" t="s">
        <v>1290</v>
      </c>
      <c r="WR3" t="s">
        <v>1291</v>
      </c>
      <c r="WS3" t="s">
        <v>1292</v>
      </c>
      <c r="WT3" t="s">
        <v>1293</v>
      </c>
      <c r="WU3" t="s">
        <v>1294</v>
      </c>
      <c r="WV3" t="s">
        <v>1295</v>
      </c>
      <c r="WW3" t="s">
        <v>1296</v>
      </c>
      <c r="WX3" t="s">
        <v>1297</v>
      </c>
      <c r="WY3" t="s">
        <v>1298</v>
      </c>
      <c r="WZ3" t="s">
        <v>1299</v>
      </c>
      <c r="XA3" t="s">
        <v>1300</v>
      </c>
      <c r="XB3" t="s">
        <v>1301</v>
      </c>
      <c r="XC3" t="s">
        <v>1302</v>
      </c>
      <c r="XD3" t="s">
        <v>1303</v>
      </c>
      <c r="XE3" t="s">
        <v>1304</v>
      </c>
      <c r="XF3" t="s">
        <v>1305</v>
      </c>
      <c r="XG3" t="s">
        <v>1306</v>
      </c>
      <c r="XH3" t="s">
        <v>1307</v>
      </c>
      <c r="XI3" t="s">
        <v>1308</v>
      </c>
      <c r="XJ3" t="s">
        <v>1309</v>
      </c>
      <c r="XK3" t="s">
        <v>1310</v>
      </c>
      <c r="XL3" t="s">
        <v>1311</v>
      </c>
      <c r="XM3" t="s">
        <v>1312</v>
      </c>
      <c r="XN3" t="s">
        <v>1313</v>
      </c>
      <c r="XO3" t="s">
        <v>1314</v>
      </c>
      <c r="XP3" t="s">
        <v>1315</v>
      </c>
      <c r="XQ3" t="s">
        <v>1316</v>
      </c>
      <c r="XR3" t="s">
        <v>1317</v>
      </c>
      <c r="XS3" t="s">
        <v>1318</v>
      </c>
      <c r="XT3" t="s">
        <v>1319</v>
      </c>
      <c r="XU3" t="s">
        <v>1320</v>
      </c>
      <c r="XV3" t="s">
        <v>1321</v>
      </c>
      <c r="XW3" t="s">
        <v>1322</v>
      </c>
      <c r="XX3" t="s">
        <v>1323</v>
      </c>
      <c r="XY3" t="s">
        <v>1324</v>
      </c>
      <c r="XZ3" t="s">
        <v>1325</v>
      </c>
      <c r="YA3" t="s">
        <v>1326</v>
      </c>
      <c r="YB3" t="s">
        <v>1327</v>
      </c>
      <c r="YC3" t="s">
        <v>1328</v>
      </c>
      <c r="YD3" t="s">
        <v>1329</v>
      </c>
      <c r="YE3" t="s">
        <v>1330</v>
      </c>
      <c r="YF3" t="s">
        <v>1331</v>
      </c>
      <c r="YG3" t="s">
        <v>1332</v>
      </c>
      <c r="YH3" t="s">
        <v>1333</v>
      </c>
      <c r="YI3" t="s">
        <v>1334</v>
      </c>
      <c r="YJ3" t="s">
        <v>1335</v>
      </c>
      <c r="YK3" t="s">
        <v>1336</v>
      </c>
      <c r="YL3" t="s">
        <v>1337</v>
      </c>
      <c r="YM3" t="s">
        <v>1338</v>
      </c>
      <c r="YN3" t="s">
        <v>1339</v>
      </c>
      <c r="YO3" t="s">
        <v>1340</v>
      </c>
      <c r="YP3" t="s">
        <v>1341</v>
      </c>
      <c r="YQ3" t="s">
        <v>1342</v>
      </c>
      <c r="YR3" t="s">
        <v>1343</v>
      </c>
      <c r="YS3" t="s">
        <v>1344</v>
      </c>
      <c r="YT3" t="s">
        <v>1345</v>
      </c>
      <c r="YU3" t="s">
        <v>1346</v>
      </c>
      <c r="YV3" t="s">
        <v>1347</v>
      </c>
      <c r="YW3" t="s">
        <v>1348</v>
      </c>
      <c r="YX3" t="s">
        <v>1349</v>
      </c>
      <c r="YY3" t="s">
        <v>1350</v>
      </c>
      <c r="YZ3" t="s">
        <v>1351</v>
      </c>
      <c r="ZA3" t="s">
        <v>1352</v>
      </c>
      <c r="ZB3" t="s">
        <v>1353</v>
      </c>
      <c r="ZC3" t="s">
        <v>1354</v>
      </c>
      <c r="ZD3" t="s">
        <v>1355</v>
      </c>
      <c r="ZE3" t="s">
        <v>1356</v>
      </c>
      <c r="ZF3" t="s">
        <v>1357</v>
      </c>
      <c r="ZG3" t="s">
        <v>1358</v>
      </c>
      <c r="ZH3" t="s">
        <v>1359</v>
      </c>
      <c r="ZI3" t="s">
        <v>1360</v>
      </c>
      <c r="ZJ3" t="s">
        <v>1361</v>
      </c>
      <c r="ZK3" t="s">
        <v>1362</v>
      </c>
      <c r="ZL3" t="s">
        <v>1363</v>
      </c>
      <c r="ZM3" t="s">
        <v>1364</v>
      </c>
      <c r="ZN3" t="s">
        <v>1365</v>
      </c>
      <c r="ZO3" t="s">
        <v>1366</v>
      </c>
      <c r="ZP3" t="s">
        <v>1367</v>
      </c>
      <c r="ZQ3" t="s">
        <v>1368</v>
      </c>
      <c r="ZR3" t="s">
        <v>1369</v>
      </c>
      <c r="ZS3" t="s">
        <v>1370</v>
      </c>
      <c r="ZT3" t="s">
        <v>1371</v>
      </c>
      <c r="ZU3" t="s">
        <v>1372</v>
      </c>
      <c r="ZV3" t="s">
        <v>1373</v>
      </c>
      <c r="ZW3" t="s">
        <v>1374</v>
      </c>
      <c r="ZX3" t="s">
        <v>1375</v>
      </c>
      <c r="ZY3" t="s">
        <v>1376</v>
      </c>
      <c r="ZZ3" t="s">
        <v>1377</v>
      </c>
      <c r="AAA3" t="s">
        <v>1378</v>
      </c>
      <c r="AAB3" t="s">
        <v>1379</v>
      </c>
      <c r="AAC3" t="s">
        <v>1380</v>
      </c>
      <c r="AAD3" t="s">
        <v>1381</v>
      </c>
      <c r="AAE3" t="s">
        <v>1382</v>
      </c>
      <c r="AAF3" t="s">
        <v>1383</v>
      </c>
      <c r="AAG3" t="s">
        <v>1384</v>
      </c>
      <c r="AAH3" t="s">
        <v>1385</v>
      </c>
      <c r="AAI3" t="s">
        <v>1386</v>
      </c>
      <c r="AAJ3" t="s">
        <v>1387</v>
      </c>
      <c r="AAK3" t="s">
        <v>1388</v>
      </c>
      <c r="AAL3" t="s">
        <v>1389</v>
      </c>
      <c r="AAM3" t="s">
        <v>1390</v>
      </c>
      <c r="AAN3" t="s">
        <v>1391</v>
      </c>
      <c r="AAO3" t="s">
        <v>1392</v>
      </c>
      <c r="AAP3" t="s">
        <v>1393</v>
      </c>
      <c r="AAQ3" t="s">
        <v>1394</v>
      </c>
      <c r="AAR3" t="s">
        <v>1395</v>
      </c>
      <c r="AAS3" t="s">
        <v>1396</v>
      </c>
      <c r="AAT3" t="s">
        <v>1397</v>
      </c>
      <c r="AAU3" t="s">
        <v>1398</v>
      </c>
      <c r="AAV3" t="s">
        <v>1399</v>
      </c>
      <c r="AAW3" t="s">
        <v>1400</v>
      </c>
      <c r="AAX3" t="s">
        <v>1401</v>
      </c>
      <c r="AAY3" t="s">
        <v>1402</v>
      </c>
      <c r="AAZ3" t="s">
        <v>1403</v>
      </c>
      <c r="ABA3" t="s">
        <v>1404</v>
      </c>
      <c r="ABB3" t="s">
        <v>1405</v>
      </c>
      <c r="ABC3" t="s">
        <v>1406</v>
      </c>
      <c r="ABD3" t="s">
        <v>1407</v>
      </c>
      <c r="ABE3" t="s">
        <v>1408</v>
      </c>
      <c r="ABF3" t="s">
        <v>1409</v>
      </c>
      <c r="ABG3" t="s">
        <v>1410</v>
      </c>
      <c r="ABH3" t="s">
        <v>1411</v>
      </c>
      <c r="ABI3" t="s">
        <v>1412</v>
      </c>
      <c r="ABJ3" t="s">
        <v>1413</v>
      </c>
      <c r="ABK3" t="s">
        <v>1414</v>
      </c>
      <c r="ABL3" t="s">
        <v>1415</v>
      </c>
      <c r="ABM3" t="s">
        <v>1416</v>
      </c>
      <c r="ABN3" t="s">
        <v>1417</v>
      </c>
      <c r="ABO3" t="s">
        <v>1418</v>
      </c>
      <c r="ABP3" t="s">
        <v>1419</v>
      </c>
      <c r="ABQ3" t="s">
        <v>1420</v>
      </c>
      <c r="ABR3" t="s">
        <v>1421</v>
      </c>
      <c r="ABS3" t="s">
        <v>1422</v>
      </c>
      <c r="ABT3" t="s">
        <v>1423</v>
      </c>
      <c r="ABU3" t="s">
        <v>1424</v>
      </c>
      <c r="ABV3" t="s">
        <v>1425</v>
      </c>
      <c r="ABW3" t="s">
        <v>1426</v>
      </c>
      <c r="ABX3" t="s">
        <v>1427</v>
      </c>
      <c r="ABY3" t="s">
        <v>1428</v>
      </c>
      <c r="ABZ3" t="s">
        <v>1429</v>
      </c>
      <c r="ACA3" t="s">
        <v>1430</v>
      </c>
      <c r="ACB3" t="s">
        <v>1431</v>
      </c>
      <c r="ACC3" t="s">
        <v>1432</v>
      </c>
      <c r="ACD3" t="s">
        <v>1433</v>
      </c>
      <c r="ACE3" t="s">
        <v>1434</v>
      </c>
      <c r="ACF3" t="s">
        <v>1435</v>
      </c>
      <c r="ACG3" t="s">
        <v>1436</v>
      </c>
      <c r="ACH3" t="s">
        <v>1437</v>
      </c>
      <c r="ACI3" t="s">
        <v>1438</v>
      </c>
      <c r="ACJ3" t="s">
        <v>1439</v>
      </c>
      <c r="ACK3" t="s">
        <v>1440</v>
      </c>
      <c r="ACL3" t="s">
        <v>1441</v>
      </c>
      <c r="ACM3" t="s">
        <v>1442</v>
      </c>
      <c r="ACN3" t="s">
        <v>1443</v>
      </c>
      <c r="ACO3" t="s">
        <v>1444</v>
      </c>
      <c r="ACP3" t="s">
        <v>1445</v>
      </c>
      <c r="ACQ3" t="s">
        <v>1446</v>
      </c>
      <c r="ACR3" t="s">
        <v>1447</v>
      </c>
      <c r="ACS3" t="s">
        <v>1448</v>
      </c>
      <c r="ACT3" t="s">
        <v>1449</v>
      </c>
      <c r="ACU3" t="s">
        <v>1450</v>
      </c>
      <c r="ACV3" t="s">
        <v>1451</v>
      </c>
      <c r="ACW3" t="s">
        <v>1452</v>
      </c>
      <c r="ACX3" t="s">
        <v>1453</v>
      </c>
      <c r="ACY3" t="s">
        <v>1454</v>
      </c>
      <c r="ACZ3" t="s">
        <v>1455</v>
      </c>
      <c r="ADA3" t="s">
        <v>1456</v>
      </c>
      <c r="ADB3" t="s">
        <v>1457</v>
      </c>
      <c r="ADC3" t="s">
        <v>1458</v>
      </c>
      <c r="ADD3" t="s">
        <v>1459</v>
      </c>
      <c r="ADE3" t="s">
        <v>1460</v>
      </c>
      <c r="ADF3" t="s">
        <v>1461</v>
      </c>
      <c r="ADG3" t="s">
        <v>1462</v>
      </c>
      <c r="ADH3" t="s">
        <v>1463</v>
      </c>
      <c r="ADI3" t="s">
        <v>1464</v>
      </c>
      <c r="ADJ3" t="s">
        <v>1465</v>
      </c>
      <c r="ADK3" t="s">
        <v>1466</v>
      </c>
      <c r="ADL3" t="s">
        <v>1467</v>
      </c>
      <c r="ADM3" t="s">
        <v>1468</v>
      </c>
      <c r="ADN3" t="s">
        <v>1469</v>
      </c>
      <c r="ADO3" t="s">
        <v>1470</v>
      </c>
      <c r="ADP3" t="s">
        <v>1471</v>
      </c>
      <c r="ADQ3" t="s">
        <v>1472</v>
      </c>
      <c r="ADR3" t="s">
        <v>1473</v>
      </c>
      <c r="ADS3" t="s">
        <v>1474</v>
      </c>
      <c r="ADT3" t="s">
        <v>1475</v>
      </c>
      <c r="ADU3" t="s">
        <v>1476</v>
      </c>
      <c r="ADV3" t="s">
        <v>1477</v>
      </c>
      <c r="ADW3" t="s">
        <v>1478</v>
      </c>
      <c r="ADX3" t="s">
        <v>1479</v>
      </c>
      <c r="ADY3" t="s">
        <v>1480</v>
      </c>
      <c r="ADZ3" t="s">
        <v>1481</v>
      </c>
      <c r="AEA3" t="s">
        <v>1482</v>
      </c>
      <c r="AEB3" t="s">
        <v>1483</v>
      </c>
      <c r="AEC3" t="s">
        <v>1484</v>
      </c>
      <c r="AED3" t="s">
        <v>1485</v>
      </c>
      <c r="AEE3" t="s">
        <v>1486</v>
      </c>
      <c r="AEF3" t="s">
        <v>1487</v>
      </c>
      <c r="AEG3" t="s">
        <v>1488</v>
      </c>
      <c r="AEH3" t="s">
        <v>1489</v>
      </c>
      <c r="AEI3" t="s">
        <v>1490</v>
      </c>
      <c r="AEJ3" t="s">
        <v>1491</v>
      </c>
      <c r="AEK3" t="s">
        <v>1492</v>
      </c>
      <c r="AEL3" t="s">
        <v>1493</v>
      </c>
      <c r="AEM3" t="s">
        <v>1494</v>
      </c>
      <c r="AEN3" t="s">
        <v>1495</v>
      </c>
      <c r="AEO3" t="s">
        <v>1496</v>
      </c>
      <c r="AEP3" t="s">
        <v>1497</v>
      </c>
      <c r="AEQ3" t="s">
        <v>1498</v>
      </c>
      <c r="AER3" t="s">
        <v>1499</v>
      </c>
      <c r="AES3" t="s">
        <v>1500</v>
      </c>
      <c r="AET3" t="s">
        <v>1501</v>
      </c>
      <c r="AEU3" t="s">
        <v>1502</v>
      </c>
      <c r="AEV3" t="s">
        <v>1503</v>
      </c>
      <c r="AEW3" t="s">
        <v>1504</v>
      </c>
      <c r="AEX3" t="s">
        <v>1505</v>
      </c>
      <c r="AEY3" t="s">
        <v>1506</v>
      </c>
      <c r="AEZ3" t="s">
        <v>1507</v>
      </c>
      <c r="AFA3" t="s">
        <v>1508</v>
      </c>
      <c r="AFB3" t="s">
        <v>1509</v>
      </c>
      <c r="AFC3" t="s">
        <v>1510</v>
      </c>
      <c r="AFD3" t="s">
        <v>1511</v>
      </c>
      <c r="AFE3" t="s">
        <v>1512</v>
      </c>
      <c r="AFF3" t="s">
        <v>1513</v>
      </c>
      <c r="AFG3" t="s">
        <v>1514</v>
      </c>
      <c r="AFH3" t="s">
        <v>1515</v>
      </c>
      <c r="AFI3" t="s">
        <v>1516</v>
      </c>
      <c r="AFJ3" t="s">
        <v>1517</v>
      </c>
      <c r="AFK3" t="s">
        <v>1518</v>
      </c>
      <c r="AFL3" t="s">
        <v>1519</v>
      </c>
      <c r="AFM3" t="s">
        <v>1520</v>
      </c>
      <c r="AFN3" t="s">
        <v>1521</v>
      </c>
      <c r="AFO3" t="s">
        <v>1522</v>
      </c>
      <c r="AFP3" t="s">
        <v>1523</v>
      </c>
      <c r="AFQ3" t="s">
        <v>1524</v>
      </c>
      <c r="AFR3" t="s">
        <v>1525</v>
      </c>
      <c r="AFS3" t="s">
        <v>1526</v>
      </c>
      <c r="AFT3" t="s">
        <v>1527</v>
      </c>
      <c r="AFU3" t="s">
        <v>1528</v>
      </c>
      <c r="AFV3" t="s">
        <v>1529</v>
      </c>
      <c r="AFW3" t="s">
        <v>1530</v>
      </c>
      <c r="AFX3" t="s">
        <v>1531</v>
      </c>
      <c r="AFY3" t="s">
        <v>1532</v>
      </c>
      <c r="AFZ3" t="s">
        <v>1533</v>
      </c>
      <c r="AGA3" t="s">
        <v>1534</v>
      </c>
      <c r="AGB3" t="s">
        <v>1535</v>
      </c>
      <c r="AGC3" t="s">
        <v>1536</v>
      </c>
      <c r="AGD3" t="s">
        <v>1537</v>
      </c>
      <c r="AGE3" t="s">
        <v>1538</v>
      </c>
      <c r="AGF3" t="s">
        <v>1539</v>
      </c>
      <c r="AGG3" t="s">
        <v>1540</v>
      </c>
      <c r="AGH3" t="s">
        <v>1541</v>
      </c>
      <c r="AGI3" t="s">
        <v>1542</v>
      </c>
      <c r="AGJ3" t="s">
        <v>1543</v>
      </c>
      <c r="AGK3" t="s">
        <v>1544</v>
      </c>
      <c r="AGL3" t="s">
        <v>1545</v>
      </c>
      <c r="AGM3" t="s">
        <v>1546</v>
      </c>
      <c r="AGN3" t="s">
        <v>1547</v>
      </c>
      <c r="AGO3" t="s">
        <v>1548</v>
      </c>
      <c r="AGP3" t="s">
        <v>1549</v>
      </c>
      <c r="AGQ3" t="s">
        <v>1550</v>
      </c>
      <c r="AGR3" t="s">
        <v>1551</v>
      </c>
      <c r="AGS3" t="s">
        <v>1552</v>
      </c>
      <c r="AGT3" t="s">
        <v>1553</v>
      </c>
      <c r="AGU3" t="s">
        <v>1554</v>
      </c>
      <c r="AGV3" t="s">
        <v>1555</v>
      </c>
      <c r="AGW3" t="s">
        <v>1556</v>
      </c>
      <c r="AGX3" t="s">
        <v>1557</v>
      </c>
      <c r="AGY3" t="s">
        <v>1558</v>
      </c>
      <c r="AGZ3" t="s">
        <v>1559</v>
      </c>
      <c r="AHA3" t="s">
        <v>1560</v>
      </c>
      <c r="AHB3" t="s">
        <v>1561</v>
      </c>
      <c r="AHC3" t="s">
        <v>1562</v>
      </c>
      <c r="AHD3" t="s">
        <v>1563</v>
      </c>
      <c r="AHE3" t="s">
        <v>1564</v>
      </c>
      <c r="AHF3" t="s">
        <v>1565</v>
      </c>
      <c r="AHG3" t="s">
        <v>1566</v>
      </c>
      <c r="AHH3" t="s">
        <v>1567</v>
      </c>
      <c r="AHI3" t="s">
        <v>1568</v>
      </c>
      <c r="AHJ3" t="s">
        <v>1569</v>
      </c>
      <c r="AHK3" t="s">
        <v>1570</v>
      </c>
      <c r="AHL3" t="s">
        <v>1571</v>
      </c>
      <c r="AHM3" t="s">
        <v>1572</v>
      </c>
      <c r="AHN3" t="s">
        <v>1573</v>
      </c>
      <c r="AHO3" t="s">
        <v>1574</v>
      </c>
      <c r="AHP3" t="s">
        <v>1575</v>
      </c>
      <c r="AHQ3" t="s">
        <v>1576</v>
      </c>
      <c r="AHR3" t="s">
        <v>1577</v>
      </c>
      <c r="AHS3" t="s">
        <v>1578</v>
      </c>
      <c r="AHT3" t="s">
        <v>1579</v>
      </c>
      <c r="AHU3" t="s">
        <v>1580</v>
      </c>
      <c r="AHV3" t="s">
        <v>1581</v>
      </c>
      <c r="AHW3" t="s">
        <v>1582</v>
      </c>
      <c r="AHX3" t="s">
        <v>1583</v>
      </c>
      <c r="AHY3" t="s">
        <v>1584</v>
      </c>
      <c r="AHZ3" t="s">
        <v>1585</v>
      </c>
      <c r="AIA3" t="s">
        <v>1586</v>
      </c>
      <c r="AIB3" t="s">
        <v>1587</v>
      </c>
      <c r="AIC3" t="s">
        <v>1588</v>
      </c>
      <c r="AID3" t="s">
        <v>1589</v>
      </c>
      <c r="AIE3" t="s">
        <v>1590</v>
      </c>
      <c r="AIF3" t="s">
        <v>1591</v>
      </c>
      <c r="AIG3" t="s">
        <v>1592</v>
      </c>
      <c r="AIH3" t="s">
        <v>1593</v>
      </c>
      <c r="AII3" t="s">
        <v>1594</v>
      </c>
      <c r="AIJ3" t="s">
        <v>1595</v>
      </c>
      <c r="AIK3" t="s">
        <v>1596</v>
      </c>
      <c r="AIL3" t="s">
        <v>1597</v>
      </c>
      <c r="AIM3" t="s">
        <v>1598</v>
      </c>
      <c r="AIN3" t="s">
        <v>1599</v>
      </c>
      <c r="AIO3" t="s">
        <v>1600</v>
      </c>
      <c r="AIP3" t="s">
        <v>1601</v>
      </c>
      <c r="AIQ3" t="s">
        <v>1602</v>
      </c>
      <c r="AIR3" t="s">
        <v>1603</v>
      </c>
      <c r="AIS3" t="s">
        <v>1604</v>
      </c>
      <c r="AIT3" t="s">
        <v>1605</v>
      </c>
      <c r="AIU3" t="s">
        <v>1606</v>
      </c>
      <c r="AIV3" t="s">
        <v>1607</v>
      </c>
      <c r="AIW3" t="s">
        <v>1608</v>
      </c>
      <c r="AIX3" t="s">
        <v>1609</v>
      </c>
      <c r="AIY3" t="s">
        <v>1610</v>
      </c>
      <c r="AIZ3" t="s">
        <v>1611</v>
      </c>
      <c r="AJA3" t="s">
        <v>1612</v>
      </c>
      <c r="AJB3" t="s">
        <v>1613</v>
      </c>
      <c r="AJC3" t="s">
        <v>1614</v>
      </c>
      <c r="AJD3" t="s">
        <v>1615</v>
      </c>
      <c r="AJE3" t="s">
        <v>1616</v>
      </c>
      <c r="AJF3" t="s">
        <v>1617</v>
      </c>
      <c r="AJG3" t="s">
        <v>1618</v>
      </c>
      <c r="AJH3" t="s">
        <v>1619</v>
      </c>
      <c r="AJI3" t="s">
        <v>1620</v>
      </c>
      <c r="AJJ3" t="s">
        <v>1621</v>
      </c>
      <c r="AJK3" t="s">
        <v>1622</v>
      </c>
      <c r="AJL3" t="s">
        <v>1623</v>
      </c>
      <c r="AJM3" t="s">
        <v>1624</v>
      </c>
      <c r="AJN3" t="s">
        <v>1625</v>
      </c>
      <c r="AJO3" t="s">
        <v>1626</v>
      </c>
      <c r="AJP3" t="s">
        <v>1627</v>
      </c>
      <c r="AJQ3" t="s">
        <v>1628</v>
      </c>
      <c r="AJR3" t="s">
        <v>1629</v>
      </c>
      <c r="AJS3" t="s">
        <v>1630</v>
      </c>
      <c r="AJT3" t="s">
        <v>1631</v>
      </c>
      <c r="AJU3" t="s">
        <v>1632</v>
      </c>
      <c r="AJV3" t="s">
        <v>1633</v>
      </c>
      <c r="AJW3" t="s">
        <v>1634</v>
      </c>
      <c r="AJX3" t="s">
        <v>1635</v>
      </c>
      <c r="AJY3" t="s">
        <v>1636</v>
      </c>
      <c r="AJZ3" t="s">
        <v>1637</v>
      </c>
      <c r="AKA3" t="s">
        <v>1638</v>
      </c>
      <c r="AKB3" t="s">
        <v>1639</v>
      </c>
      <c r="AKC3" t="s">
        <v>1640</v>
      </c>
      <c r="AKD3" t="s">
        <v>1641</v>
      </c>
      <c r="AKE3" t="s">
        <v>1642</v>
      </c>
      <c r="AKF3" t="s">
        <v>1643</v>
      </c>
      <c r="AKG3" t="s">
        <v>1644</v>
      </c>
      <c r="AKH3" t="s">
        <v>1645</v>
      </c>
      <c r="AKI3" t="s">
        <v>1646</v>
      </c>
      <c r="AKJ3" t="s">
        <v>1647</v>
      </c>
      <c r="AKK3" t="s">
        <v>1648</v>
      </c>
      <c r="AKL3" t="s">
        <v>1649</v>
      </c>
      <c r="AKM3" t="s">
        <v>1650</v>
      </c>
      <c r="AKN3" t="s">
        <v>1651</v>
      </c>
      <c r="AKO3" t="s">
        <v>1652</v>
      </c>
      <c r="AKP3" t="s">
        <v>1653</v>
      </c>
      <c r="AKQ3" t="s">
        <v>1654</v>
      </c>
      <c r="AKR3" t="s">
        <v>1655</v>
      </c>
      <c r="AKS3" t="s">
        <v>1656</v>
      </c>
      <c r="AKT3" t="s">
        <v>1657</v>
      </c>
      <c r="AKU3" t="s">
        <v>1658</v>
      </c>
      <c r="AKV3" t="s">
        <v>1659</v>
      </c>
      <c r="AKW3" t="s">
        <v>1660</v>
      </c>
      <c r="AKX3" t="s">
        <v>1661</v>
      </c>
      <c r="AKY3" t="s">
        <v>1662</v>
      </c>
      <c r="AKZ3" t="s">
        <v>1663</v>
      </c>
      <c r="ALA3" t="s">
        <v>1664</v>
      </c>
      <c r="ALB3" t="s">
        <v>1665</v>
      </c>
      <c r="ALC3" t="s">
        <v>1666</v>
      </c>
      <c r="ALD3" t="s">
        <v>1667</v>
      </c>
      <c r="ALE3" t="s">
        <v>1668</v>
      </c>
      <c r="ALF3" t="s">
        <v>1669</v>
      </c>
      <c r="ALG3" t="s">
        <v>1670</v>
      </c>
      <c r="ALH3" t="s">
        <v>1671</v>
      </c>
      <c r="ALI3" t="s">
        <v>1672</v>
      </c>
      <c r="ALJ3" t="s">
        <v>1673</v>
      </c>
      <c r="ALK3" t="s">
        <v>1674</v>
      </c>
      <c r="ALL3" t="s">
        <v>1675</v>
      </c>
      <c r="ALM3" t="s">
        <v>1676</v>
      </c>
      <c r="ALN3" t="s">
        <v>1677</v>
      </c>
      <c r="ALO3" t="s">
        <v>1678</v>
      </c>
      <c r="ALP3" t="s">
        <v>1679</v>
      </c>
      <c r="ALQ3" t="s">
        <v>1680</v>
      </c>
      <c r="ALR3" t="s">
        <v>1681</v>
      </c>
      <c r="ALS3" t="s">
        <v>1682</v>
      </c>
      <c r="ALT3" t="s">
        <v>1683</v>
      </c>
      <c r="ALU3" t="s">
        <v>1684</v>
      </c>
      <c r="ALV3" t="s">
        <v>1685</v>
      </c>
      <c r="ALW3" t="s">
        <v>1686</v>
      </c>
      <c r="ALX3" t="s">
        <v>1687</v>
      </c>
      <c r="ALY3" t="s">
        <v>1688</v>
      </c>
      <c r="ALZ3" t="s">
        <v>1689</v>
      </c>
      <c r="AMA3" t="s">
        <v>1690</v>
      </c>
      <c r="AMB3" t="s">
        <v>1691</v>
      </c>
      <c r="AMC3" t="s">
        <v>1692</v>
      </c>
      <c r="AMD3" t="s">
        <v>1693</v>
      </c>
      <c r="AME3" t="s">
        <v>1694</v>
      </c>
      <c r="AMF3" t="s">
        <v>1695</v>
      </c>
      <c r="AMG3" t="s">
        <v>1696</v>
      </c>
      <c r="AMH3" t="s">
        <v>1697</v>
      </c>
      <c r="AMI3" t="s">
        <v>1698</v>
      </c>
      <c r="AMJ3" t="s">
        <v>1699</v>
      </c>
      <c r="AMK3" t="s">
        <v>1700</v>
      </c>
      <c r="AML3" t="s">
        <v>1701</v>
      </c>
      <c r="AMM3" t="s">
        <v>1702</v>
      </c>
      <c r="AMN3" t="s">
        <v>1703</v>
      </c>
      <c r="AMO3" t="s">
        <v>1704</v>
      </c>
      <c r="AMP3" t="s">
        <v>1705</v>
      </c>
      <c r="AMQ3" t="s">
        <v>1706</v>
      </c>
      <c r="AMR3" t="s">
        <v>1707</v>
      </c>
      <c r="AMS3" t="s">
        <v>1708</v>
      </c>
      <c r="AMT3" t="s">
        <v>1709</v>
      </c>
      <c r="AMU3" t="s">
        <v>1710</v>
      </c>
      <c r="AMV3" t="s">
        <v>1711</v>
      </c>
      <c r="AMW3" t="s">
        <v>1712</v>
      </c>
      <c r="AMX3" t="s">
        <v>1713</v>
      </c>
      <c r="AMY3" t="s">
        <v>1714</v>
      </c>
      <c r="AMZ3" t="s">
        <v>1715</v>
      </c>
      <c r="ANA3" t="s">
        <v>1716</v>
      </c>
      <c r="ANB3" t="s">
        <v>1717</v>
      </c>
      <c r="ANC3" t="s">
        <v>1718</v>
      </c>
      <c r="AND3" t="s">
        <v>1719</v>
      </c>
      <c r="ANE3" t="s">
        <v>1720</v>
      </c>
      <c r="ANF3" t="s">
        <v>1721</v>
      </c>
      <c r="ANG3" t="s">
        <v>1722</v>
      </c>
      <c r="ANH3" t="s">
        <v>1723</v>
      </c>
      <c r="ANI3" t="s">
        <v>1724</v>
      </c>
      <c r="ANJ3" t="s">
        <v>1725</v>
      </c>
      <c r="ANK3" t="s">
        <v>1726</v>
      </c>
      <c r="ANL3" t="s">
        <v>1727</v>
      </c>
      <c r="ANM3" t="s">
        <v>1728</v>
      </c>
      <c r="ANN3" t="s">
        <v>1729</v>
      </c>
      <c r="ANO3" t="s">
        <v>1730</v>
      </c>
      <c r="ANP3" t="s">
        <v>1731</v>
      </c>
      <c r="ANQ3" t="s">
        <v>1732</v>
      </c>
      <c r="ANR3" t="s">
        <v>1733</v>
      </c>
      <c r="ANS3" t="s">
        <v>1734</v>
      </c>
      <c r="ANT3" t="s">
        <v>1735</v>
      </c>
      <c r="ANU3" t="s">
        <v>1736</v>
      </c>
      <c r="ANV3" t="s">
        <v>1737</v>
      </c>
      <c r="ANW3" t="s">
        <v>1738</v>
      </c>
      <c r="ANX3" t="s">
        <v>1739</v>
      </c>
      <c r="ANY3" t="s">
        <v>1740</v>
      </c>
      <c r="ANZ3" t="s">
        <v>1741</v>
      </c>
      <c r="AOA3" t="s">
        <v>1742</v>
      </c>
      <c r="AOB3" t="s">
        <v>1743</v>
      </c>
      <c r="AOC3" t="s">
        <v>1744</v>
      </c>
      <c r="AOD3" t="s">
        <v>1745</v>
      </c>
      <c r="AOE3" t="s">
        <v>1746</v>
      </c>
      <c r="AOF3" t="s">
        <v>1747</v>
      </c>
      <c r="AOG3" t="s">
        <v>1748</v>
      </c>
      <c r="AOH3" t="s">
        <v>1749</v>
      </c>
      <c r="AOI3" t="s">
        <v>1750</v>
      </c>
      <c r="AOJ3" t="s">
        <v>1751</v>
      </c>
      <c r="AOK3" t="s">
        <v>1752</v>
      </c>
      <c r="AOL3" t="s">
        <v>1753</v>
      </c>
      <c r="AOM3" t="s">
        <v>1754</v>
      </c>
      <c r="AON3" t="s">
        <v>1755</v>
      </c>
      <c r="AOO3" t="s">
        <v>1756</v>
      </c>
      <c r="AOP3" t="s">
        <v>1757</v>
      </c>
      <c r="AOQ3" t="s">
        <v>1758</v>
      </c>
      <c r="AOR3" t="s">
        <v>1759</v>
      </c>
      <c r="AOS3" t="s">
        <v>1760</v>
      </c>
      <c r="AOT3" t="s">
        <v>1761</v>
      </c>
      <c r="AOU3" t="s">
        <v>1762</v>
      </c>
      <c r="AOV3" t="s">
        <v>1763</v>
      </c>
      <c r="AOW3" t="s">
        <v>1764</v>
      </c>
      <c r="AOX3" t="s">
        <v>1765</v>
      </c>
      <c r="AOY3" t="s">
        <v>1766</v>
      </c>
      <c r="AOZ3" t="s">
        <v>1767</v>
      </c>
      <c r="APA3" t="s">
        <v>1768</v>
      </c>
      <c r="APB3" t="s">
        <v>1769</v>
      </c>
      <c r="APC3" t="s">
        <v>1770</v>
      </c>
      <c r="APD3" t="s">
        <v>1771</v>
      </c>
      <c r="APE3" t="s">
        <v>1772</v>
      </c>
      <c r="APF3" t="s">
        <v>1773</v>
      </c>
      <c r="APG3" t="s">
        <v>1774</v>
      </c>
      <c r="APH3" t="s">
        <v>1775</v>
      </c>
      <c r="API3" t="s">
        <v>1776</v>
      </c>
      <c r="APJ3" t="s">
        <v>1777</v>
      </c>
      <c r="APK3" t="s">
        <v>1778</v>
      </c>
      <c r="APL3" t="s">
        <v>1779</v>
      </c>
      <c r="APM3" t="s">
        <v>1780</v>
      </c>
      <c r="APN3" t="s">
        <v>1781</v>
      </c>
      <c r="APO3" t="s">
        <v>1782</v>
      </c>
      <c r="APP3" t="s">
        <v>1783</v>
      </c>
      <c r="APQ3" t="s">
        <v>1784</v>
      </c>
      <c r="APR3" t="s">
        <v>1785</v>
      </c>
      <c r="APS3" t="s">
        <v>1786</v>
      </c>
      <c r="APT3" t="s">
        <v>1787</v>
      </c>
      <c r="APU3" t="s">
        <v>1788</v>
      </c>
      <c r="APV3" t="s">
        <v>1789</v>
      </c>
      <c r="APW3" t="s">
        <v>1790</v>
      </c>
      <c r="APX3" t="s">
        <v>1791</v>
      </c>
      <c r="APY3" t="s">
        <v>1792</v>
      </c>
      <c r="APZ3" t="s">
        <v>1793</v>
      </c>
      <c r="AQA3" t="s">
        <v>1794</v>
      </c>
      <c r="AQB3" t="s">
        <v>1795</v>
      </c>
      <c r="AQC3" t="s">
        <v>1796</v>
      </c>
      <c r="AQD3" t="s">
        <v>1797</v>
      </c>
      <c r="AQE3" t="s">
        <v>1798</v>
      </c>
      <c r="AQF3" t="s">
        <v>1799</v>
      </c>
      <c r="AQG3" t="s">
        <v>1800</v>
      </c>
      <c r="AQH3" t="s">
        <v>1801</v>
      </c>
      <c r="AQI3" t="s">
        <v>1802</v>
      </c>
      <c r="AQJ3" t="s">
        <v>1803</v>
      </c>
      <c r="AQK3" t="s">
        <v>1804</v>
      </c>
      <c r="AQL3" t="s">
        <v>1805</v>
      </c>
      <c r="AQM3" t="s">
        <v>1806</v>
      </c>
      <c r="AQN3" t="s">
        <v>1807</v>
      </c>
      <c r="AQO3" t="s">
        <v>1808</v>
      </c>
      <c r="AQP3" t="s">
        <v>1809</v>
      </c>
      <c r="AQQ3" t="s">
        <v>1810</v>
      </c>
      <c r="AQR3" t="s">
        <v>1811</v>
      </c>
      <c r="AQS3" t="s">
        <v>1812</v>
      </c>
      <c r="AQT3" t="s">
        <v>1813</v>
      </c>
      <c r="AQU3" t="s">
        <v>1814</v>
      </c>
      <c r="AQV3" t="s">
        <v>1815</v>
      </c>
      <c r="AQW3" t="s">
        <v>1816</v>
      </c>
      <c r="AQX3" t="s">
        <v>1817</v>
      </c>
      <c r="AQY3" t="s">
        <v>1818</v>
      </c>
      <c r="AQZ3" t="s">
        <v>1819</v>
      </c>
      <c r="ARA3" t="s">
        <v>1820</v>
      </c>
      <c r="ARB3" t="s">
        <v>1821</v>
      </c>
      <c r="ARC3" t="s">
        <v>1822</v>
      </c>
      <c r="ARD3" t="s">
        <v>1823</v>
      </c>
      <c r="ARE3" t="s">
        <v>1824</v>
      </c>
      <c r="ARF3" t="s">
        <v>1825</v>
      </c>
      <c r="ARG3" t="s">
        <v>1826</v>
      </c>
      <c r="ARH3" t="s">
        <v>1827</v>
      </c>
      <c r="ARI3" t="s">
        <v>1828</v>
      </c>
      <c r="ARJ3" t="s">
        <v>1829</v>
      </c>
      <c r="ARK3" t="s">
        <v>1830</v>
      </c>
      <c r="ARL3" t="s">
        <v>1831</v>
      </c>
      <c r="ARM3" t="s">
        <v>1832</v>
      </c>
      <c r="ARN3" t="s">
        <v>1833</v>
      </c>
      <c r="ARO3" t="s">
        <v>1834</v>
      </c>
      <c r="ARP3" t="s">
        <v>1835</v>
      </c>
      <c r="ARQ3" t="s">
        <v>1836</v>
      </c>
      <c r="ARR3" t="s">
        <v>1837</v>
      </c>
      <c r="ARS3" t="s">
        <v>1838</v>
      </c>
      <c r="ART3" t="s">
        <v>1839</v>
      </c>
      <c r="ARU3" t="s">
        <v>1840</v>
      </c>
      <c r="ARV3" t="s">
        <v>1841</v>
      </c>
      <c r="ARW3" t="s">
        <v>1842</v>
      </c>
      <c r="ARX3" t="s">
        <v>1843</v>
      </c>
      <c r="ARY3" t="s">
        <v>1844</v>
      </c>
      <c r="ARZ3" t="s">
        <v>1845</v>
      </c>
      <c r="ASA3" t="s">
        <v>1846</v>
      </c>
      <c r="ASB3" t="s">
        <v>1847</v>
      </c>
      <c r="ASC3" t="s">
        <v>1848</v>
      </c>
      <c r="ASD3" t="s">
        <v>1849</v>
      </c>
      <c r="ASE3" t="s">
        <v>1850</v>
      </c>
      <c r="ASF3" t="s">
        <v>1851</v>
      </c>
      <c r="ASG3" t="s">
        <v>1852</v>
      </c>
      <c r="ASH3" t="s">
        <v>1853</v>
      </c>
      <c r="ASI3" t="s">
        <v>1854</v>
      </c>
      <c r="ASJ3" t="s">
        <v>1855</v>
      </c>
      <c r="ASK3" t="s">
        <v>1856</v>
      </c>
      <c r="ASL3" t="s">
        <v>1857</v>
      </c>
      <c r="ASM3" t="s">
        <v>1858</v>
      </c>
      <c r="ASN3" t="s">
        <v>1859</v>
      </c>
      <c r="ASO3" t="s">
        <v>1860</v>
      </c>
      <c r="ASP3" t="s">
        <v>1861</v>
      </c>
      <c r="ASQ3" t="s">
        <v>1862</v>
      </c>
      <c r="ASR3" t="s">
        <v>1863</v>
      </c>
      <c r="ASS3" t="s">
        <v>1864</v>
      </c>
      <c r="AST3" t="s">
        <v>1865</v>
      </c>
      <c r="ASU3" t="s">
        <v>1866</v>
      </c>
      <c r="ASV3" t="s">
        <v>1867</v>
      </c>
      <c r="ASW3" t="s">
        <v>1868</v>
      </c>
      <c r="ASX3" t="s">
        <v>1869</v>
      </c>
      <c r="ASY3" t="s">
        <v>1870</v>
      </c>
      <c r="ASZ3" t="s">
        <v>1871</v>
      </c>
      <c r="ATA3" t="s">
        <v>1872</v>
      </c>
      <c r="ATB3" t="s">
        <v>1873</v>
      </c>
      <c r="ATC3" t="s">
        <v>1874</v>
      </c>
      <c r="ATD3" t="s">
        <v>1875</v>
      </c>
      <c r="ATE3" t="s">
        <v>1876</v>
      </c>
      <c r="ATF3" t="s">
        <v>1877</v>
      </c>
      <c r="ATG3" t="s">
        <v>1878</v>
      </c>
      <c r="ATH3" t="s">
        <v>1879</v>
      </c>
      <c r="ATI3" t="s">
        <v>1880</v>
      </c>
      <c r="ATJ3" t="s">
        <v>1881</v>
      </c>
      <c r="ATK3" t="s">
        <v>1882</v>
      </c>
      <c r="ATL3" t="s">
        <v>1883</v>
      </c>
      <c r="ATM3" t="s">
        <v>1884</v>
      </c>
      <c r="ATN3" t="s">
        <v>1885</v>
      </c>
      <c r="ATO3" t="s">
        <v>1886</v>
      </c>
      <c r="ATP3" t="s">
        <v>1887</v>
      </c>
      <c r="ATQ3" t="s">
        <v>1888</v>
      </c>
      <c r="ATR3" t="s">
        <v>1889</v>
      </c>
      <c r="ATS3" t="s">
        <v>1890</v>
      </c>
      <c r="ATT3" t="s">
        <v>1891</v>
      </c>
      <c r="ATU3" t="s">
        <v>1892</v>
      </c>
      <c r="ATV3" t="s">
        <v>1893</v>
      </c>
      <c r="ATW3" t="s">
        <v>1894</v>
      </c>
      <c r="ATX3" t="s">
        <v>1895</v>
      </c>
      <c r="ATY3" t="s">
        <v>1896</v>
      </c>
      <c r="ATZ3" t="s">
        <v>1897</v>
      </c>
      <c r="AUA3" t="s">
        <v>1898</v>
      </c>
      <c r="AUB3" t="s">
        <v>1899</v>
      </c>
      <c r="AUC3" t="s">
        <v>1900</v>
      </c>
      <c r="AUD3" t="s">
        <v>1901</v>
      </c>
      <c r="AUE3" t="s">
        <v>1902</v>
      </c>
      <c r="AUF3" t="s">
        <v>1903</v>
      </c>
      <c r="AUG3" t="s">
        <v>1904</v>
      </c>
      <c r="AUH3" t="s">
        <v>1905</v>
      </c>
      <c r="AUI3" t="s">
        <v>1906</v>
      </c>
      <c r="AUJ3" t="s">
        <v>1907</v>
      </c>
      <c r="AUK3" t="s">
        <v>1908</v>
      </c>
      <c r="AUL3" t="s">
        <v>1909</v>
      </c>
      <c r="AUM3" t="s">
        <v>1910</v>
      </c>
      <c r="AUN3" t="s">
        <v>1911</v>
      </c>
      <c r="AUO3" t="s">
        <v>1912</v>
      </c>
      <c r="AUP3" t="s">
        <v>1913</v>
      </c>
      <c r="AUQ3" t="s">
        <v>1914</v>
      </c>
      <c r="AUR3" t="s">
        <v>1915</v>
      </c>
      <c r="AUS3" t="s">
        <v>1916</v>
      </c>
      <c r="AUT3" t="s">
        <v>1917</v>
      </c>
      <c r="AUU3" t="s">
        <v>1918</v>
      </c>
      <c r="AUV3" t="s">
        <v>1919</v>
      </c>
      <c r="AUW3" t="s">
        <v>1920</v>
      </c>
      <c r="AUX3" t="s">
        <v>1921</v>
      </c>
      <c r="AUY3" t="s">
        <v>1922</v>
      </c>
      <c r="AUZ3" t="s">
        <v>1923</v>
      </c>
      <c r="AVA3" t="s">
        <v>1924</v>
      </c>
      <c r="AVB3" t="s">
        <v>1925</v>
      </c>
      <c r="AVC3" t="s">
        <v>1926</v>
      </c>
      <c r="AVD3" t="s">
        <v>1927</v>
      </c>
      <c r="AVE3" t="s">
        <v>1928</v>
      </c>
      <c r="AVF3" t="s">
        <v>1929</v>
      </c>
      <c r="AVG3" t="s">
        <v>1930</v>
      </c>
      <c r="AVH3" t="s">
        <v>1931</v>
      </c>
      <c r="AVI3" t="s">
        <v>1932</v>
      </c>
      <c r="AVJ3" t="s">
        <v>1933</v>
      </c>
      <c r="AVK3" t="s">
        <v>1934</v>
      </c>
      <c r="AVL3" t="s">
        <v>1935</v>
      </c>
      <c r="AVM3" t="s">
        <v>1936</v>
      </c>
      <c r="AVN3" t="s">
        <v>1937</v>
      </c>
      <c r="AVO3" t="s">
        <v>1938</v>
      </c>
      <c r="AVP3" t="s">
        <v>1939</v>
      </c>
      <c r="AVQ3" t="s">
        <v>1940</v>
      </c>
      <c r="AVR3" t="s">
        <v>1941</v>
      </c>
      <c r="AVS3" t="s">
        <v>1942</v>
      </c>
      <c r="AVT3" t="s">
        <v>1943</v>
      </c>
      <c r="AVU3" t="s">
        <v>1944</v>
      </c>
      <c r="AVV3" t="s">
        <v>1945</v>
      </c>
      <c r="AVW3" t="s">
        <v>1946</v>
      </c>
      <c r="AVX3" t="s">
        <v>1947</v>
      </c>
      <c r="AVY3" t="s">
        <v>1948</v>
      </c>
      <c r="AVZ3" t="s">
        <v>1949</v>
      </c>
      <c r="AWA3" t="s">
        <v>1950</v>
      </c>
      <c r="AWB3" t="s">
        <v>1951</v>
      </c>
      <c r="AWC3" t="s">
        <v>1952</v>
      </c>
      <c r="AWD3" t="s">
        <v>1953</v>
      </c>
      <c r="AWE3" t="s">
        <v>1954</v>
      </c>
      <c r="AWF3" t="s">
        <v>1955</v>
      </c>
      <c r="AWG3" t="s">
        <v>1956</v>
      </c>
      <c r="AWH3" t="s">
        <v>1957</v>
      </c>
      <c r="AWI3" t="s">
        <v>1958</v>
      </c>
      <c r="AWJ3" t="s">
        <v>1959</v>
      </c>
      <c r="AWK3" t="s">
        <v>1960</v>
      </c>
      <c r="AWL3" t="s">
        <v>1961</v>
      </c>
      <c r="AWM3" t="s">
        <v>1962</v>
      </c>
      <c r="AWN3" t="s">
        <v>1963</v>
      </c>
      <c r="AWO3" t="s">
        <v>1964</v>
      </c>
      <c r="AWP3" t="s">
        <v>1965</v>
      </c>
      <c r="AWQ3" t="s">
        <v>1966</v>
      </c>
      <c r="AWR3" t="s">
        <v>1967</v>
      </c>
      <c r="AWS3" t="s">
        <v>1968</v>
      </c>
      <c r="AWT3" t="s">
        <v>1969</v>
      </c>
      <c r="AWU3" t="s">
        <v>1970</v>
      </c>
      <c r="AWV3" t="s">
        <v>1971</v>
      </c>
      <c r="AWW3" t="s">
        <v>1972</v>
      </c>
      <c r="AWX3" t="s">
        <v>1973</v>
      </c>
      <c r="AWY3" t="s">
        <v>1974</v>
      </c>
      <c r="AWZ3" t="s">
        <v>1975</v>
      </c>
      <c r="AXA3" t="s">
        <v>1976</v>
      </c>
      <c r="AXB3" t="s">
        <v>1977</v>
      </c>
      <c r="AXC3" t="s">
        <v>1978</v>
      </c>
      <c r="AXD3" t="s">
        <v>1979</v>
      </c>
      <c r="AXE3" t="s">
        <v>1980</v>
      </c>
      <c r="AXF3" t="s">
        <v>1981</v>
      </c>
      <c r="AXG3" t="s">
        <v>1982</v>
      </c>
      <c r="AXH3" t="s">
        <v>1983</v>
      </c>
      <c r="AXI3" t="s">
        <v>1984</v>
      </c>
      <c r="AXJ3" t="s">
        <v>1985</v>
      </c>
      <c r="AXK3" t="s">
        <v>1986</v>
      </c>
      <c r="AXL3" t="s">
        <v>1987</v>
      </c>
      <c r="AXM3" t="s">
        <v>1988</v>
      </c>
      <c r="AXN3" t="s">
        <v>1989</v>
      </c>
      <c r="AXO3" t="s">
        <v>1990</v>
      </c>
      <c r="AXP3" t="s">
        <v>1991</v>
      </c>
      <c r="AXQ3" t="s">
        <v>1992</v>
      </c>
      <c r="AXR3" t="s">
        <v>1993</v>
      </c>
      <c r="AXS3" t="s">
        <v>1994</v>
      </c>
      <c r="AXT3" t="s">
        <v>1995</v>
      </c>
      <c r="AXU3" t="s">
        <v>1996</v>
      </c>
      <c r="AXV3" t="s">
        <v>1997</v>
      </c>
      <c r="AXW3" t="s">
        <v>1998</v>
      </c>
      <c r="AXX3" t="s">
        <v>1999</v>
      </c>
      <c r="AXY3" t="s">
        <v>2000</v>
      </c>
      <c r="AXZ3" t="s">
        <v>2001</v>
      </c>
      <c r="AYA3" t="s">
        <v>2002</v>
      </c>
      <c r="AYB3" t="s">
        <v>2003</v>
      </c>
      <c r="AYC3" t="s">
        <v>2004</v>
      </c>
      <c r="AYD3" t="s">
        <v>2005</v>
      </c>
      <c r="AYE3" t="s">
        <v>2006</v>
      </c>
      <c r="AYF3" t="s">
        <v>2007</v>
      </c>
      <c r="AYG3" t="s">
        <v>2008</v>
      </c>
      <c r="AYH3" t="s">
        <v>2009</v>
      </c>
      <c r="AYI3" t="s">
        <v>2010</v>
      </c>
      <c r="AYJ3" t="s">
        <v>2011</v>
      </c>
      <c r="AYK3" t="s">
        <v>2012</v>
      </c>
      <c r="AYL3" t="s">
        <v>2013</v>
      </c>
      <c r="AYM3" t="s">
        <v>2014</v>
      </c>
      <c r="AYN3" t="s">
        <v>2015</v>
      </c>
      <c r="AYO3" t="s">
        <v>2016</v>
      </c>
      <c r="AYP3" t="s">
        <v>2017</v>
      </c>
      <c r="AYQ3" t="s">
        <v>2018</v>
      </c>
      <c r="AYR3" t="s">
        <v>2019</v>
      </c>
      <c r="AYS3" t="s">
        <v>2020</v>
      </c>
      <c r="AYT3" t="s">
        <v>2021</v>
      </c>
      <c r="AYU3" t="s">
        <v>2022</v>
      </c>
      <c r="AYV3" t="s">
        <v>2023</v>
      </c>
      <c r="AYW3" t="s">
        <v>2024</v>
      </c>
      <c r="AYX3" t="s">
        <v>2025</v>
      </c>
      <c r="AYY3" t="s">
        <v>2026</v>
      </c>
      <c r="AYZ3" t="s">
        <v>2027</v>
      </c>
      <c r="AZA3" t="s">
        <v>2028</v>
      </c>
      <c r="AZB3" t="s">
        <v>2029</v>
      </c>
      <c r="AZC3" t="s">
        <v>2030</v>
      </c>
      <c r="AZD3" t="s">
        <v>2031</v>
      </c>
      <c r="AZE3" t="s">
        <v>2032</v>
      </c>
      <c r="AZF3" t="s">
        <v>2033</v>
      </c>
      <c r="AZG3" t="s">
        <v>2034</v>
      </c>
      <c r="AZH3" t="s">
        <v>2035</v>
      </c>
      <c r="AZI3" t="s">
        <v>2036</v>
      </c>
      <c r="AZJ3" t="s">
        <v>2037</v>
      </c>
      <c r="AZK3" t="s">
        <v>2038</v>
      </c>
      <c r="AZL3" t="s">
        <v>2039</v>
      </c>
      <c r="AZM3" t="s">
        <v>2040</v>
      </c>
      <c r="AZN3" t="s">
        <v>2041</v>
      </c>
      <c r="AZO3" t="s">
        <v>2042</v>
      </c>
      <c r="AZP3" t="s">
        <v>2043</v>
      </c>
      <c r="AZQ3" t="s">
        <v>2044</v>
      </c>
      <c r="AZR3" t="s">
        <v>2045</v>
      </c>
      <c r="AZS3" t="s">
        <v>2046</v>
      </c>
      <c r="AZT3" t="s">
        <v>2047</v>
      </c>
      <c r="AZU3" t="s">
        <v>2048</v>
      </c>
      <c r="AZV3" t="s">
        <v>2049</v>
      </c>
      <c r="AZW3" t="s">
        <v>2050</v>
      </c>
      <c r="AZX3" t="s">
        <v>2051</v>
      </c>
      <c r="AZY3" t="s">
        <v>2052</v>
      </c>
      <c r="AZZ3" t="s">
        <v>2053</v>
      </c>
      <c r="BAA3" t="s">
        <v>2054</v>
      </c>
      <c r="BAB3" t="s">
        <v>2055</v>
      </c>
      <c r="BAC3" t="s">
        <v>2056</v>
      </c>
      <c r="BAD3" t="s">
        <v>2057</v>
      </c>
      <c r="BAE3" t="s">
        <v>2058</v>
      </c>
      <c r="BAF3" t="s">
        <v>2059</v>
      </c>
      <c r="BAG3" t="s">
        <v>2060</v>
      </c>
      <c r="BAH3" t="s">
        <v>2061</v>
      </c>
      <c r="BAI3" t="s">
        <v>2062</v>
      </c>
      <c r="BAJ3" t="s">
        <v>2063</v>
      </c>
      <c r="BAK3" t="s">
        <v>2064</v>
      </c>
      <c r="BAL3" t="s">
        <v>2065</v>
      </c>
      <c r="BAM3" t="s">
        <v>2066</v>
      </c>
      <c r="BAN3" t="s">
        <v>2067</v>
      </c>
      <c r="BAO3" t="s">
        <v>2068</v>
      </c>
      <c r="BAP3" t="s">
        <v>2069</v>
      </c>
      <c r="BAQ3" t="s">
        <v>2070</v>
      </c>
      <c r="BAR3" t="s">
        <v>2071</v>
      </c>
      <c r="BAS3" t="s">
        <v>2072</v>
      </c>
      <c r="BAT3" t="s">
        <v>2073</v>
      </c>
      <c r="BAU3" t="s">
        <v>2074</v>
      </c>
      <c r="BAV3" t="s">
        <v>2075</v>
      </c>
      <c r="BAW3" t="s">
        <v>2076</v>
      </c>
      <c r="BAX3" t="s">
        <v>2077</v>
      </c>
      <c r="BAY3" t="s">
        <v>2078</v>
      </c>
      <c r="BAZ3" t="s">
        <v>2079</v>
      </c>
      <c r="BBA3" t="s">
        <v>2080</v>
      </c>
      <c r="BBB3" t="s">
        <v>2081</v>
      </c>
      <c r="BBC3" t="s">
        <v>2082</v>
      </c>
      <c r="BBD3" t="s">
        <v>2083</v>
      </c>
      <c r="BBE3" t="s">
        <v>2084</v>
      </c>
      <c r="BBF3" t="s">
        <v>2085</v>
      </c>
      <c r="BBG3" t="s">
        <v>2086</v>
      </c>
      <c r="BBH3" t="s">
        <v>2087</v>
      </c>
      <c r="BBI3" t="s">
        <v>2088</v>
      </c>
      <c r="BBJ3" t="s">
        <v>2089</v>
      </c>
      <c r="BBK3" t="s">
        <v>2090</v>
      </c>
      <c r="BBL3" t="s">
        <v>2091</v>
      </c>
      <c r="BBM3" t="s">
        <v>2092</v>
      </c>
      <c r="BBN3" t="s">
        <v>2093</v>
      </c>
      <c r="BBO3" t="s">
        <v>2094</v>
      </c>
      <c r="BBP3" t="s">
        <v>2095</v>
      </c>
      <c r="BBQ3" t="s">
        <v>2096</v>
      </c>
      <c r="BBR3" t="s">
        <v>2097</v>
      </c>
      <c r="BBS3" t="s">
        <v>2098</v>
      </c>
      <c r="BBT3" t="s">
        <v>2099</v>
      </c>
      <c r="BBU3" t="s">
        <v>2100</v>
      </c>
      <c r="BBV3" t="s">
        <v>2101</v>
      </c>
      <c r="BBW3" t="s">
        <v>2102</v>
      </c>
      <c r="BBX3" t="s">
        <v>2103</v>
      </c>
      <c r="BBY3" t="s">
        <v>2104</v>
      </c>
      <c r="BBZ3" t="s">
        <v>2105</v>
      </c>
      <c r="BCA3" t="s">
        <v>2106</v>
      </c>
      <c r="BCB3" t="s">
        <v>2107</v>
      </c>
      <c r="BCC3" t="s">
        <v>2108</v>
      </c>
      <c r="BCD3" t="s">
        <v>2109</v>
      </c>
      <c r="BCE3" t="s">
        <v>2110</v>
      </c>
      <c r="BCF3" t="s">
        <v>2111</v>
      </c>
      <c r="BCG3" t="s">
        <v>2112</v>
      </c>
      <c r="BCH3" t="s">
        <v>2113</v>
      </c>
      <c r="BCI3" t="s">
        <v>2114</v>
      </c>
      <c r="BCJ3" t="s">
        <v>2115</v>
      </c>
      <c r="BCK3" t="s">
        <v>2116</v>
      </c>
      <c r="BCL3" t="s">
        <v>2117</v>
      </c>
      <c r="BCM3" t="s">
        <v>2118</v>
      </c>
      <c r="BCN3" t="s">
        <v>2119</v>
      </c>
      <c r="BCO3" t="s">
        <v>2120</v>
      </c>
      <c r="BCP3" t="s">
        <v>2121</v>
      </c>
      <c r="BCQ3" t="s">
        <v>2122</v>
      </c>
      <c r="BCR3" t="s">
        <v>2123</v>
      </c>
      <c r="BCS3" t="s">
        <v>2124</v>
      </c>
      <c r="BCT3" t="s">
        <v>2125</v>
      </c>
      <c r="BCU3" t="s">
        <v>2126</v>
      </c>
      <c r="BCV3" t="s">
        <v>2127</v>
      </c>
      <c r="BCW3" t="s">
        <v>2128</v>
      </c>
      <c r="BCX3" t="s">
        <v>2129</v>
      </c>
      <c r="BCY3" t="s">
        <v>2130</v>
      </c>
      <c r="BCZ3" t="s">
        <v>2131</v>
      </c>
      <c r="BDA3" t="s">
        <v>2132</v>
      </c>
      <c r="BDB3" t="s">
        <v>2133</v>
      </c>
      <c r="BDC3" t="s">
        <v>2134</v>
      </c>
      <c r="BDD3" t="s">
        <v>2135</v>
      </c>
      <c r="BDE3" t="s">
        <v>2136</v>
      </c>
      <c r="BDF3" t="s">
        <v>2137</v>
      </c>
      <c r="BDG3" t="s">
        <v>2138</v>
      </c>
      <c r="BDH3" t="s">
        <v>2139</v>
      </c>
      <c r="BDI3" t="s">
        <v>2140</v>
      </c>
      <c r="BDJ3" t="s">
        <v>2141</v>
      </c>
      <c r="BDK3" t="s">
        <v>2142</v>
      </c>
      <c r="BDL3" t="s">
        <v>2143</v>
      </c>
      <c r="BDM3" t="s">
        <v>2144</v>
      </c>
      <c r="BDN3" t="s">
        <v>2145</v>
      </c>
      <c r="BDO3" t="s">
        <v>2146</v>
      </c>
      <c r="BDP3" t="s">
        <v>2147</v>
      </c>
      <c r="BDQ3" t="s">
        <v>2148</v>
      </c>
      <c r="BDR3" t="s">
        <v>2149</v>
      </c>
      <c r="BDS3" t="s">
        <v>2150</v>
      </c>
      <c r="BDT3" t="s">
        <v>2151</v>
      </c>
      <c r="BDU3" t="s">
        <v>2152</v>
      </c>
      <c r="BDV3" t="s">
        <v>2153</v>
      </c>
      <c r="BDW3" t="s">
        <v>2154</v>
      </c>
      <c r="BDX3" t="s">
        <v>2155</v>
      </c>
      <c r="BDY3" t="s">
        <v>2156</v>
      </c>
      <c r="BDZ3" t="s">
        <v>2157</v>
      </c>
      <c r="BEA3" t="s">
        <v>2158</v>
      </c>
      <c r="BEB3" t="s">
        <v>2159</v>
      </c>
      <c r="BEC3" t="s">
        <v>2160</v>
      </c>
      <c r="BED3" t="s">
        <v>2161</v>
      </c>
      <c r="BEE3" t="s">
        <v>2162</v>
      </c>
      <c r="BEF3" t="s">
        <v>2163</v>
      </c>
      <c r="BEG3" t="s">
        <v>2164</v>
      </c>
      <c r="BEH3" t="s">
        <v>2165</v>
      </c>
      <c r="BEI3" t="s">
        <v>2166</v>
      </c>
      <c r="BEJ3" t="s">
        <v>2167</v>
      </c>
      <c r="BEK3" t="s">
        <v>2168</v>
      </c>
      <c r="BEL3" t="s">
        <v>2169</v>
      </c>
      <c r="BEM3" t="s">
        <v>2170</v>
      </c>
      <c r="BEN3" t="s">
        <v>2171</v>
      </c>
      <c r="BEO3" t="s">
        <v>2172</v>
      </c>
      <c r="BEP3" t="s">
        <v>2173</v>
      </c>
      <c r="BEQ3" t="s">
        <v>2174</v>
      </c>
      <c r="BER3" t="s">
        <v>2175</v>
      </c>
      <c r="BES3" t="s">
        <v>2176</v>
      </c>
      <c r="BET3" t="s">
        <v>2177</v>
      </c>
      <c r="BEU3" t="s">
        <v>2178</v>
      </c>
      <c r="BEV3" t="s">
        <v>2179</v>
      </c>
      <c r="BEW3" t="s">
        <v>2180</v>
      </c>
      <c r="BEX3" t="s">
        <v>2181</v>
      </c>
      <c r="BEY3" t="s">
        <v>2182</v>
      </c>
      <c r="BEZ3" t="s">
        <v>2183</v>
      </c>
      <c r="BFA3" t="s">
        <v>2184</v>
      </c>
      <c r="BFB3" t="s">
        <v>2185</v>
      </c>
      <c r="BFC3" t="s">
        <v>2186</v>
      </c>
      <c r="BFD3" t="s">
        <v>2187</v>
      </c>
      <c r="BFE3" t="s">
        <v>2188</v>
      </c>
      <c r="BFF3" t="s">
        <v>2189</v>
      </c>
      <c r="BFG3" t="s">
        <v>2190</v>
      </c>
      <c r="BFH3" t="s">
        <v>2191</v>
      </c>
      <c r="BFI3" t="s">
        <v>2192</v>
      </c>
      <c r="BFJ3" t="s">
        <v>2193</v>
      </c>
      <c r="BFK3" t="s">
        <v>2194</v>
      </c>
      <c r="BFL3" t="s">
        <v>2195</v>
      </c>
      <c r="BFM3" t="s">
        <v>2196</v>
      </c>
      <c r="BFN3" t="s">
        <v>2197</v>
      </c>
      <c r="BFO3" t="s">
        <v>2198</v>
      </c>
      <c r="BFP3" t="s">
        <v>2199</v>
      </c>
      <c r="BFQ3" t="s">
        <v>2200</v>
      </c>
      <c r="BFR3" t="s">
        <v>2201</v>
      </c>
      <c r="BFS3" t="s">
        <v>2202</v>
      </c>
      <c r="BFT3" t="s">
        <v>2203</v>
      </c>
      <c r="BFU3" t="s">
        <v>2204</v>
      </c>
      <c r="BFV3" t="s">
        <v>2205</v>
      </c>
      <c r="BFW3" t="s">
        <v>2206</v>
      </c>
      <c r="BFX3" t="s">
        <v>2207</v>
      </c>
      <c r="BFY3" t="s">
        <v>2208</v>
      </c>
      <c r="BFZ3" t="s">
        <v>2209</v>
      </c>
      <c r="BGA3" t="s">
        <v>2210</v>
      </c>
      <c r="BGB3" t="s">
        <v>2211</v>
      </c>
      <c r="BGC3" t="s">
        <v>2212</v>
      </c>
      <c r="BGD3" t="s">
        <v>2213</v>
      </c>
      <c r="BGE3" t="s">
        <v>2214</v>
      </c>
      <c r="BGF3" t="s">
        <v>2215</v>
      </c>
      <c r="BGG3" t="s">
        <v>2216</v>
      </c>
      <c r="BGH3" t="s">
        <v>2217</v>
      </c>
      <c r="BGI3" t="s">
        <v>2218</v>
      </c>
      <c r="BGJ3" t="s">
        <v>2219</v>
      </c>
      <c r="BGK3" t="s">
        <v>2220</v>
      </c>
      <c r="BGL3" t="s">
        <v>2221</v>
      </c>
      <c r="BGM3" t="s">
        <v>2222</v>
      </c>
      <c r="BGN3" t="s">
        <v>2223</v>
      </c>
      <c r="BGO3" t="s">
        <v>2224</v>
      </c>
      <c r="BGP3" t="s">
        <v>2225</v>
      </c>
      <c r="BGQ3" t="s">
        <v>2226</v>
      </c>
      <c r="BGR3" t="s">
        <v>2227</v>
      </c>
      <c r="BGS3" t="s">
        <v>2228</v>
      </c>
      <c r="BGT3" t="s">
        <v>2229</v>
      </c>
      <c r="BGU3" t="s">
        <v>2230</v>
      </c>
      <c r="BGV3" t="s">
        <v>2231</v>
      </c>
      <c r="BGW3" t="s">
        <v>2232</v>
      </c>
      <c r="BGX3" t="s">
        <v>2233</v>
      </c>
      <c r="BGY3" t="s">
        <v>2234</v>
      </c>
      <c r="BGZ3" t="s">
        <v>2235</v>
      </c>
      <c r="BHA3" t="s">
        <v>2236</v>
      </c>
      <c r="BHB3" t="s">
        <v>2237</v>
      </c>
      <c r="BHC3" t="s">
        <v>2238</v>
      </c>
      <c r="BHD3" t="s">
        <v>2239</v>
      </c>
      <c r="BHE3" t="s">
        <v>2240</v>
      </c>
      <c r="BHF3" t="s">
        <v>2241</v>
      </c>
      <c r="BHG3" t="s">
        <v>2242</v>
      </c>
      <c r="BHH3" t="s">
        <v>2243</v>
      </c>
      <c r="BHI3" t="s">
        <v>2244</v>
      </c>
      <c r="BHJ3" t="s">
        <v>2245</v>
      </c>
      <c r="BHK3" t="s">
        <v>2246</v>
      </c>
      <c r="BHL3" t="s">
        <v>2247</v>
      </c>
      <c r="BHM3" t="s">
        <v>2248</v>
      </c>
      <c r="BHN3" t="s">
        <v>2249</v>
      </c>
      <c r="BHO3" t="s">
        <v>2250</v>
      </c>
      <c r="BHP3" t="s">
        <v>2251</v>
      </c>
      <c r="BHQ3" t="s">
        <v>2252</v>
      </c>
      <c r="BHR3" t="s">
        <v>2253</v>
      </c>
      <c r="BHS3" t="s">
        <v>2254</v>
      </c>
      <c r="BHT3" t="s">
        <v>2255</v>
      </c>
      <c r="BHU3" t="s">
        <v>2256</v>
      </c>
      <c r="BHV3" t="s">
        <v>2257</v>
      </c>
      <c r="BHW3" t="s">
        <v>2258</v>
      </c>
      <c r="BHX3" t="s">
        <v>2259</v>
      </c>
      <c r="BHY3" t="s">
        <v>2260</v>
      </c>
      <c r="BHZ3" t="s">
        <v>2261</v>
      </c>
      <c r="BIA3" t="s">
        <v>2262</v>
      </c>
      <c r="BIB3" t="s">
        <v>2263</v>
      </c>
      <c r="BIC3" t="s">
        <v>2264</v>
      </c>
      <c r="BID3" t="s">
        <v>2265</v>
      </c>
      <c r="BIE3" t="s">
        <v>2266</v>
      </c>
      <c r="BIF3" t="s">
        <v>2267</v>
      </c>
      <c r="BIG3" t="s">
        <v>2268</v>
      </c>
      <c r="BIH3" t="s">
        <v>2269</v>
      </c>
      <c r="BII3" t="s">
        <v>2270</v>
      </c>
      <c r="BIJ3" t="s">
        <v>2271</v>
      </c>
      <c r="BIK3" t="s">
        <v>2272</v>
      </c>
      <c r="BIL3" t="s">
        <v>2273</v>
      </c>
      <c r="BIM3" t="s">
        <v>2274</v>
      </c>
      <c r="BIN3" t="s">
        <v>2275</v>
      </c>
      <c r="BIO3" t="s">
        <v>2276</v>
      </c>
      <c r="BIP3" t="s">
        <v>2277</v>
      </c>
      <c r="BIQ3" t="s">
        <v>2278</v>
      </c>
      <c r="BIR3" t="s">
        <v>2279</v>
      </c>
      <c r="BIS3" t="s">
        <v>2280</v>
      </c>
      <c r="BIT3" t="s">
        <v>2281</v>
      </c>
      <c r="BIU3" t="s">
        <v>2282</v>
      </c>
      <c r="BIV3" t="s">
        <v>2283</v>
      </c>
      <c r="BIW3" t="s">
        <v>2284</v>
      </c>
      <c r="BIX3" t="s">
        <v>2285</v>
      </c>
      <c r="BIY3" t="s">
        <v>2286</v>
      </c>
      <c r="BIZ3" t="s">
        <v>2287</v>
      </c>
      <c r="BJA3" t="s">
        <v>2288</v>
      </c>
      <c r="BJB3" t="s">
        <v>2289</v>
      </c>
      <c r="BJC3" t="s">
        <v>2290</v>
      </c>
      <c r="BJD3" t="s">
        <v>2291</v>
      </c>
      <c r="BJE3" t="s">
        <v>2292</v>
      </c>
      <c r="BJF3" t="s">
        <v>2293</v>
      </c>
      <c r="BJG3" t="s">
        <v>2294</v>
      </c>
      <c r="BJH3" t="s">
        <v>2295</v>
      </c>
      <c r="BJI3" t="s">
        <v>2296</v>
      </c>
      <c r="BJJ3" t="s">
        <v>2297</v>
      </c>
      <c r="BJK3" t="s">
        <v>2298</v>
      </c>
      <c r="BJL3" t="s">
        <v>2299</v>
      </c>
      <c r="BJM3" t="s">
        <v>2300</v>
      </c>
      <c r="BJN3" t="s">
        <v>2301</v>
      </c>
      <c r="BJO3" t="s">
        <v>2302</v>
      </c>
      <c r="BJP3" t="s">
        <v>2303</v>
      </c>
      <c r="BJQ3" t="s">
        <v>2304</v>
      </c>
      <c r="BJR3" t="s">
        <v>2305</v>
      </c>
      <c r="BJS3" t="s">
        <v>2306</v>
      </c>
      <c r="BJT3" t="s">
        <v>2307</v>
      </c>
      <c r="BJU3" t="s">
        <v>2308</v>
      </c>
      <c r="BJV3" t="s">
        <v>2309</v>
      </c>
      <c r="BJW3" t="s">
        <v>2310</v>
      </c>
      <c r="BJX3" t="s">
        <v>2311</v>
      </c>
      <c r="BJY3" t="s">
        <v>2312</v>
      </c>
      <c r="BJZ3" t="s">
        <v>2313</v>
      </c>
      <c r="BKA3" t="s">
        <v>2314</v>
      </c>
      <c r="BKB3" t="s">
        <v>2315</v>
      </c>
      <c r="BKC3" t="s">
        <v>2316</v>
      </c>
      <c r="BKD3" t="s">
        <v>2317</v>
      </c>
      <c r="BKE3" t="s">
        <v>2318</v>
      </c>
      <c r="BKF3" t="s">
        <v>2319</v>
      </c>
      <c r="BKG3" t="s">
        <v>2320</v>
      </c>
      <c r="BKH3" t="s">
        <v>2321</v>
      </c>
      <c r="BKI3" t="s">
        <v>2322</v>
      </c>
      <c r="BKJ3" t="s">
        <v>2323</v>
      </c>
      <c r="BKK3" t="s">
        <v>2324</v>
      </c>
      <c r="BKL3" t="s">
        <v>2325</v>
      </c>
      <c r="BKM3" t="s">
        <v>2326</v>
      </c>
      <c r="BKN3" t="s">
        <v>2327</v>
      </c>
      <c r="BKO3" t="s">
        <v>2328</v>
      </c>
      <c r="BKP3" t="s">
        <v>2329</v>
      </c>
      <c r="BKQ3" t="s">
        <v>2330</v>
      </c>
      <c r="BKR3" t="s">
        <v>2331</v>
      </c>
      <c r="BKS3" t="s">
        <v>2332</v>
      </c>
      <c r="BKT3" t="s">
        <v>2333</v>
      </c>
      <c r="BKU3" t="s">
        <v>2334</v>
      </c>
      <c r="BKV3" t="s">
        <v>2335</v>
      </c>
      <c r="BKW3" t="s">
        <v>2336</v>
      </c>
      <c r="BKX3" t="s">
        <v>2337</v>
      </c>
      <c r="BKY3" t="s">
        <v>2338</v>
      </c>
      <c r="BKZ3" t="s">
        <v>2339</v>
      </c>
      <c r="BLA3" t="s">
        <v>2340</v>
      </c>
      <c r="BLB3" t="s">
        <v>2341</v>
      </c>
      <c r="BLC3" t="s">
        <v>2342</v>
      </c>
      <c r="BLD3" t="s">
        <v>2343</v>
      </c>
      <c r="BLE3" t="s">
        <v>2344</v>
      </c>
      <c r="BLF3" t="s">
        <v>2345</v>
      </c>
      <c r="BLG3" t="s">
        <v>2346</v>
      </c>
      <c r="BLH3" t="s">
        <v>2347</v>
      </c>
      <c r="BLI3" t="s">
        <v>2348</v>
      </c>
      <c r="BLJ3" t="s">
        <v>2349</v>
      </c>
      <c r="BLK3" t="s">
        <v>2350</v>
      </c>
      <c r="BLL3" t="s">
        <v>2351</v>
      </c>
      <c r="BLM3" t="s">
        <v>2352</v>
      </c>
      <c r="BLN3" t="s">
        <v>2353</v>
      </c>
      <c r="BLO3" t="s">
        <v>2354</v>
      </c>
      <c r="BLP3" t="s">
        <v>2355</v>
      </c>
      <c r="BLQ3" t="s">
        <v>2356</v>
      </c>
      <c r="BLR3" t="s">
        <v>2357</v>
      </c>
      <c r="BLS3" t="s">
        <v>2358</v>
      </c>
      <c r="BLT3" t="s">
        <v>2359</v>
      </c>
      <c r="BLU3" t="s">
        <v>2360</v>
      </c>
      <c r="BLV3" t="s">
        <v>2361</v>
      </c>
      <c r="BLW3" t="s">
        <v>2362</v>
      </c>
      <c r="BLX3" t="s">
        <v>2363</v>
      </c>
      <c r="BLY3" t="s">
        <v>2364</v>
      </c>
      <c r="BLZ3" t="s">
        <v>2365</v>
      </c>
      <c r="BMA3" t="s">
        <v>2366</v>
      </c>
      <c r="BMB3" t="s">
        <v>2367</v>
      </c>
      <c r="BMC3" t="s">
        <v>2368</v>
      </c>
      <c r="BMD3" t="s">
        <v>2369</v>
      </c>
      <c r="BME3" t="s">
        <v>2370</v>
      </c>
      <c r="BMF3" t="s">
        <v>2371</v>
      </c>
      <c r="BMG3" t="s">
        <v>2372</v>
      </c>
      <c r="BMH3" t="s">
        <v>2373</v>
      </c>
      <c r="BMI3" t="s">
        <v>2374</v>
      </c>
      <c r="BMJ3" t="s">
        <v>2375</v>
      </c>
      <c r="BMK3" t="s">
        <v>2376</v>
      </c>
      <c r="BML3" t="s">
        <v>2377</v>
      </c>
      <c r="BMM3" t="s">
        <v>2378</v>
      </c>
      <c r="BMN3" t="s">
        <v>2379</v>
      </c>
      <c r="BMO3" t="s">
        <v>2380</v>
      </c>
      <c r="BMP3" t="s">
        <v>2381</v>
      </c>
      <c r="BMQ3" t="s">
        <v>2382</v>
      </c>
      <c r="BMR3" t="s">
        <v>2383</v>
      </c>
      <c r="BMS3" t="s">
        <v>2384</v>
      </c>
      <c r="BMT3" t="s">
        <v>2385</v>
      </c>
      <c r="BMU3" t="s">
        <v>2386</v>
      </c>
      <c r="BMV3" t="s">
        <v>2387</v>
      </c>
      <c r="BMW3" t="s">
        <v>2388</v>
      </c>
      <c r="BMX3" t="s">
        <v>2389</v>
      </c>
      <c r="BMY3" t="s">
        <v>2390</v>
      </c>
      <c r="BMZ3" t="s">
        <v>2391</v>
      </c>
      <c r="BNA3" t="s">
        <v>2392</v>
      </c>
      <c r="BNB3" t="s">
        <v>2393</v>
      </c>
      <c r="BNC3" t="s">
        <v>2394</v>
      </c>
      <c r="BND3" t="s">
        <v>2395</v>
      </c>
      <c r="BNE3" t="s">
        <v>2396</v>
      </c>
      <c r="BNF3" t="s">
        <v>2397</v>
      </c>
      <c r="BNG3" t="s">
        <v>2398</v>
      </c>
      <c r="BNH3" t="s">
        <v>2399</v>
      </c>
      <c r="BNI3" t="s">
        <v>2400</v>
      </c>
      <c r="BNJ3" t="s">
        <v>2401</v>
      </c>
      <c r="BNK3" t="s">
        <v>2402</v>
      </c>
      <c r="BNL3" t="s">
        <v>2403</v>
      </c>
      <c r="BNM3" t="s">
        <v>2404</v>
      </c>
      <c r="BNN3" t="s">
        <v>2405</v>
      </c>
      <c r="BNO3" t="s">
        <v>2406</v>
      </c>
      <c r="BNP3" t="s">
        <v>2407</v>
      </c>
      <c r="BNQ3" t="s">
        <v>2408</v>
      </c>
      <c r="BNR3" t="s">
        <v>2409</v>
      </c>
      <c r="BNS3" t="s">
        <v>2410</v>
      </c>
      <c r="BNT3" t="s">
        <v>2411</v>
      </c>
      <c r="BNU3" t="s">
        <v>2412</v>
      </c>
      <c r="BNV3" t="s">
        <v>2413</v>
      </c>
      <c r="BNW3" t="s">
        <v>2414</v>
      </c>
      <c r="BNX3" t="s">
        <v>2415</v>
      </c>
      <c r="BNY3" t="s">
        <v>2416</v>
      </c>
      <c r="BNZ3" t="s">
        <v>2417</v>
      </c>
      <c r="BOA3" t="s">
        <v>2418</v>
      </c>
      <c r="BOB3" t="s">
        <v>2419</v>
      </c>
      <c r="BOC3" t="s">
        <v>2420</v>
      </c>
      <c r="BOD3" t="s">
        <v>2421</v>
      </c>
      <c r="BOE3" t="s">
        <v>2422</v>
      </c>
      <c r="BOF3" t="s">
        <v>2423</v>
      </c>
      <c r="BOG3" t="s">
        <v>2424</v>
      </c>
      <c r="BOH3" t="s">
        <v>2425</v>
      </c>
      <c r="BOI3" t="s">
        <v>2426</v>
      </c>
      <c r="BOJ3" t="s">
        <v>2427</v>
      </c>
      <c r="BOK3" t="s">
        <v>2428</v>
      </c>
      <c r="BOL3" t="s">
        <v>2429</v>
      </c>
      <c r="BOM3" t="s">
        <v>2430</v>
      </c>
      <c r="BON3" t="s">
        <v>2431</v>
      </c>
      <c r="BOO3" t="s">
        <v>2432</v>
      </c>
      <c r="BOP3" t="s">
        <v>2433</v>
      </c>
      <c r="BOQ3" t="s">
        <v>2434</v>
      </c>
      <c r="BOR3" t="s">
        <v>2435</v>
      </c>
      <c r="BOS3" t="s">
        <v>2436</v>
      </c>
      <c r="BOT3" t="s">
        <v>2437</v>
      </c>
      <c r="BOU3" t="s">
        <v>2438</v>
      </c>
      <c r="BOV3" t="s">
        <v>2439</v>
      </c>
      <c r="BOW3" t="s">
        <v>2440</v>
      </c>
      <c r="BOX3" t="s">
        <v>2441</v>
      </c>
      <c r="BOY3" t="s">
        <v>2442</v>
      </c>
      <c r="BOZ3" t="s">
        <v>2443</v>
      </c>
      <c r="BPA3" t="s">
        <v>2444</v>
      </c>
      <c r="BPB3" t="s">
        <v>2445</v>
      </c>
      <c r="BPC3" t="s">
        <v>2446</v>
      </c>
      <c r="BPD3" t="s">
        <v>2447</v>
      </c>
      <c r="BPE3" t="s">
        <v>2448</v>
      </c>
      <c r="BPF3" t="s">
        <v>2449</v>
      </c>
      <c r="BPG3" t="s">
        <v>2450</v>
      </c>
      <c r="BPH3" t="s">
        <v>2451</v>
      </c>
      <c r="BPI3" t="s">
        <v>2452</v>
      </c>
      <c r="BPJ3" t="s">
        <v>2453</v>
      </c>
      <c r="BPK3" t="s">
        <v>2454</v>
      </c>
      <c r="BPL3" t="s">
        <v>2455</v>
      </c>
      <c r="BPM3" t="s">
        <v>2456</v>
      </c>
      <c r="BPN3" t="s">
        <v>2457</v>
      </c>
      <c r="BPO3" t="s">
        <v>2458</v>
      </c>
      <c r="BPP3" t="s">
        <v>2459</v>
      </c>
      <c r="BPQ3" t="s">
        <v>2460</v>
      </c>
      <c r="BPR3" t="s">
        <v>2461</v>
      </c>
      <c r="BPS3" t="s">
        <v>2462</v>
      </c>
      <c r="BPT3" t="s">
        <v>2463</v>
      </c>
      <c r="BPU3" t="s">
        <v>2464</v>
      </c>
      <c r="BPV3" t="s">
        <v>2465</v>
      </c>
      <c r="BPW3" t="s">
        <v>2466</v>
      </c>
      <c r="BPX3" t="s">
        <v>2467</v>
      </c>
      <c r="BPY3" t="s">
        <v>2468</v>
      </c>
      <c r="BPZ3" t="s">
        <v>2469</v>
      </c>
      <c r="BQA3" t="s">
        <v>2470</v>
      </c>
      <c r="BQB3" t="s">
        <v>2471</v>
      </c>
      <c r="BQC3" t="s">
        <v>2472</v>
      </c>
      <c r="BQD3" t="s">
        <v>2473</v>
      </c>
      <c r="BQE3" t="s">
        <v>2474</v>
      </c>
      <c r="BQF3" t="s">
        <v>2475</v>
      </c>
      <c r="BQG3" t="s">
        <v>2476</v>
      </c>
      <c r="BQH3" t="s">
        <v>2477</v>
      </c>
      <c r="BQI3" t="s">
        <v>2478</v>
      </c>
      <c r="BQJ3" t="s">
        <v>2479</v>
      </c>
      <c r="BQK3" t="s">
        <v>2480</v>
      </c>
      <c r="BQL3" t="s">
        <v>2481</v>
      </c>
      <c r="BQM3" t="s">
        <v>2482</v>
      </c>
      <c r="BQN3" t="s">
        <v>2483</v>
      </c>
      <c r="BQO3" t="s">
        <v>2484</v>
      </c>
      <c r="BQP3" t="s">
        <v>2485</v>
      </c>
      <c r="BQQ3" t="s">
        <v>2486</v>
      </c>
      <c r="BQR3" t="s">
        <v>2487</v>
      </c>
      <c r="BQS3" t="s">
        <v>2488</v>
      </c>
      <c r="BQT3" t="s">
        <v>2489</v>
      </c>
      <c r="BQU3" t="s">
        <v>2490</v>
      </c>
      <c r="BQV3" t="s">
        <v>2491</v>
      </c>
      <c r="BQW3" t="s">
        <v>2492</v>
      </c>
      <c r="BQX3" t="s">
        <v>2493</v>
      </c>
      <c r="BQY3" t="s">
        <v>2494</v>
      </c>
      <c r="BQZ3" t="s">
        <v>2495</v>
      </c>
      <c r="BRA3" t="s">
        <v>2496</v>
      </c>
      <c r="BRB3" t="s">
        <v>2497</v>
      </c>
      <c r="BRC3" t="s">
        <v>2498</v>
      </c>
      <c r="BRD3" t="s">
        <v>2499</v>
      </c>
      <c r="BRE3" t="s">
        <v>2500</v>
      </c>
      <c r="BRF3" t="s">
        <v>2501</v>
      </c>
      <c r="BRG3" t="s">
        <v>2502</v>
      </c>
      <c r="BRH3" t="s">
        <v>2503</v>
      </c>
      <c r="BRI3" t="s">
        <v>2504</v>
      </c>
      <c r="BRJ3" t="s">
        <v>2505</v>
      </c>
      <c r="BRK3" t="s">
        <v>2506</v>
      </c>
      <c r="BRL3" t="s">
        <v>2507</v>
      </c>
      <c r="BRM3" t="s">
        <v>2508</v>
      </c>
      <c r="BRN3" t="s">
        <v>2509</v>
      </c>
      <c r="BRO3" t="s">
        <v>2510</v>
      </c>
      <c r="BRP3" t="s">
        <v>2511</v>
      </c>
      <c r="BRQ3" t="s">
        <v>2512</v>
      </c>
      <c r="BRR3" t="s">
        <v>2513</v>
      </c>
      <c r="BRS3" t="s">
        <v>2514</v>
      </c>
      <c r="BRT3" t="s">
        <v>2515</v>
      </c>
      <c r="BRU3" t="s">
        <v>2516</v>
      </c>
      <c r="BRV3" t="s">
        <v>2517</v>
      </c>
      <c r="BRW3" t="s">
        <v>2518</v>
      </c>
      <c r="BRX3" t="s">
        <v>2519</v>
      </c>
      <c r="BRY3" t="s">
        <v>2520</v>
      </c>
      <c r="BRZ3" t="s">
        <v>2521</v>
      </c>
      <c r="BSA3" t="s">
        <v>2522</v>
      </c>
      <c r="BSB3" t="s">
        <v>2523</v>
      </c>
      <c r="BSC3" t="s">
        <v>2524</v>
      </c>
      <c r="BSD3" t="s">
        <v>2525</v>
      </c>
      <c r="BSE3" t="s">
        <v>2526</v>
      </c>
      <c r="BSF3" t="s">
        <v>2527</v>
      </c>
      <c r="BSG3" t="s">
        <v>2528</v>
      </c>
      <c r="BSH3" t="s">
        <v>2529</v>
      </c>
      <c r="BSI3" t="s">
        <v>2530</v>
      </c>
      <c r="BSJ3" t="s">
        <v>2531</v>
      </c>
      <c r="BSK3" t="s">
        <v>2532</v>
      </c>
      <c r="BSL3" t="s">
        <v>2533</v>
      </c>
      <c r="BSM3" t="s">
        <v>2534</v>
      </c>
      <c r="BSN3" t="s">
        <v>2535</v>
      </c>
      <c r="BSO3" t="s">
        <v>2536</v>
      </c>
      <c r="BSP3" t="s">
        <v>2537</v>
      </c>
      <c r="BSQ3" t="s">
        <v>2538</v>
      </c>
      <c r="BSR3" t="s">
        <v>2539</v>
      </c>
      <c r="BSS3" t="s">
        <v>2540</v>
      </c>
      <c r="BST3" t="s">
        <v>2541</v>
      </c>
      <c r="BSU3" t="s">
        <v>2542</v>
      </c>
      <c r="BSV3" t="s">
        <v>2543</v>
      </c>
      <c r="BSW3" t="s">
        <v>2544</v>
      </c>
      <c r="BSX3" t="s">
        <v>2545</v>
      </c>
      <c r="BSY3" t="s">
        <v>2546</v>
      </c>
      <c r="BSZ3" t="s">
        <v>2547</v>
      </c>
      <c r="BTA3" t="s">
        <v>2548</v>
      </c>
      <c r="BTB3" t="s">
        <v>2549</v>
      </c>
      <c r="BTC3" t="s">
        <v>2550</v>
      </c>
      <c r="BTD3" t="s">
        <v>2551</v>
      </c>
      <c r="BTE3" t="s">
        <v>2552</v>
      </c>
      <c r="BTF3" t="s">
        <v>2553</v>
      </c>
      <c r="BTG3" t="s">
        <v>2554</v>
      </c>
      <c r="BTH3" t="s">
        <v>2555</v>
      </c>
      <c r="BTI3" t="s">
        <v>2556</v>
      </c>
      <c r="BTJ3" t="s">
        <v>2557</v>
      </c>
      <c r="BTK3" t="s">
        <v>2558</v>
      </c>
      <c r="BTL3" t="s">
        <v>2559</v>
      </c>
      <c r="BTM3" t="s">
        <v>2560</v>
      </c>
      <c r="BTN3" t="s">
        <v>2561</v>
      </c>
      <c r="BTO3" t="s">
        <v>2562</v>
      </c>
      <c r="BTP3" t="s">
        <v>2563</v>
      </c>
      <c r="BTQ3" t="s">
        <v>2564</v>
      </c>
      <c r="BTR3" t="s">
        <v>2565</v>
      </c>
      <c r="BTS3" t="s">
        <v>2566</v>
      </c>
      <c r="BTT3" t="s">
        <v>2567</v>
      </c>
      <c r="BTU3" t="s">
        <v>2568</v>
      </c>
      <c r="BTV3" t="s">
        <v>2569</v>
      </c>
      <c r="BTW3" t="s">
        <v>2570</v>
      </c>
      <c r="BTX3" t="s">
        <v>2571</v>
      </c>
      <c r="BTY3" t="s">
        <v>2572</v>
      </c>
      <c r="BTZ3" t="s">
        <v>2573</v>
      </c>
      <c r="BUA3" t="s">
        <v>2574</v>
      </c>
      <c r="BUB3" t="s">
        <v>2575</v>
      </c>
      <c r="BUC3" t="s">
        <v>2576</v>
      </c>
      <c r="BUD3" t="s">
        <v>2577</v>
      </c>
      <c r="BUE3" t="s">
        <v>2578</v>
      </c>
      <c r="BUF3" t="s">
        <v>2579</v>
      </c>
      <c r="BUG3" t="s">
        <v>2580</v>
      </c>
      <c r="BUH3" t="s">
        <v>2581</v>
      </c>
      <c r="BUI3" t="s">
        <v>2582</v>
      </c>
      <c r="BUJ3" t="s">
        <v>2583</v>
      </c>
      <c r="BUK3" t="s">
        <v>2584</v>
      </c>
      <c r="BUL3" t="s">
        <v>2585</v>
      </c>
      <c r="BUM3" t="s">
        <v>2586</v>
      </c>
      <c r="BUN3" t="s">
        <v>2587</v>
      </c>
      <c r="BUO3" t="s">
        <v>2588</v>
      </c>
      <c r="BUP3" t="s">
        <v>2589</v>
      </c>
      <c r="BUQ3" t="s">
        <v>2590</v>
      </c>
      <c r="BUR3" t="s">
        <v>2591</v>
      </c>
      <c r="BUS3" t="s">
        <v>2592</v>
      </c>
      <c r="BUT3" t="s">
        <v>2593</v>
      </c>
      <c r="BUU3" t="s">
        <v>2594</v>
      </c>
      <c r="BUV3" t="s">
        <v>2595</v>
      </c>
      <c r="BUW3" t="s">
        <v>2596</v>
      </c>
      <c r="BUX3" t="s">
        <v>2597</v>
      </c>
      <c r="BUY3" t="s">
        <v>2598</v>
      </c>
      <c r="BUZ3" t="s">
        <v>2599</v>
      </c>
      <c r="BVA3" t="s">
        <v>2600</v>
      </c>
      <c r="BVB3" t="s">
        <v>2601</v>
      </c>
      <c r="BVC3" t="s">
        <v>2602</v>
      </c>
      <c r="BVD3" t="s">
        <v>2603</v>
      </c>
      <c r="BVE3" t="s">
        <v>2604</v>
      </c>
      <c r="BVF3" t="s">
        <v>2605</v>
      </c>
      <c r="BVG3" t="s">
        <v>2606</v>
      </c>
      <c r="BVH3" t="s">
        <v>2607</v>
      </c>
      <c r="BVI3" t="s">
        <v>2608</v>
      </c>
      <c r="BVJ3" t="s">
        <v>2609</v>
      </c>
      <c r="BVK3" t="s">
        <v>2610</v>
      </c>
      <c r="BVL3" t="s">
        <v>2611</v>
      </c>
      <c r="BVM3" t="s">
        <v>2612</v>
      </c>
      <c r="BVN3" t="s">
        <v>2613</v>
      </c>
      <c r="BVO3" t="s">
        <v>2614</v>
      </c>
      <c r="BVP3" t="s">
        <v>2615</v>
      </c>
      <c r="BVQ3" t="s">
        <v>2616</v>
      </c>
      <c r="BVR3" t="s">
        <v>2617</v>
      </c>
      <c r="BVS3" t="s">
        <v>2618</v>
      </c>
      <c r="BVT3" t="s">
        <v>2619</v>
      </c>
      <c r="BVU3" t="s">
        <v>2620</v>
      </c>
      <c r="BVV3" t="s">
        <v>2621</v>
      </c>
      <c r="BVW3" t="s">
        <v>2622</v>
      </c>
      <c r="BVX3" t="s">
        <v>2623</v>
      </c>
      <c r="BVY3" t="s">
        <v>2624</v>
      </c>
      <c r="BVZ3" t="s">
        <v>2625</v>
      </c>
      <c r="BWA3" t="s">
        <v>2626</v>
      </c>
      <c r="BWB3" t="s">
        <v>2627</v>
      </c>
      <c r="BWC3" t="s">
        <v>2628</v>
      </c>
      <c r="BWD3" t="s">
        <v>2629</v>
      </c>
      <c r="BWE3" t="s">
        <v>2630</v>
      </c>
      <c r="BWF3" t="s">
        <v>2631</v>
      </c>
      <c r="BWG3" t="s">
        <v>2632</v>
      </c>
      <c r="BWH3" t="s">
        <v>2633</v>
      </c>
      <c r="BWI3" t="s">
        <v>2634</v>
      </c>
      <c r="BWJ3" t="s">
        <v>2635</v>
      </c>
      <c r="BWK3" t="s">
        <v>2636</v>
      </c>
      <c r="BWL3" t="s">
        <v>2637</v>
      </c>
      <c r="BWM3" t="s">
        <v>2638</v>
      </c>
      <c r="BWN3" t="s">
        <v>2639</v>
      </c>
      <c r="BWO3" t="s">
        <v>2640</v>
      </c>
      <c r="BWP3" t="s">
        <v>2641</v>
      </c>
      <c r="BWQ3" t="s">
        <v>2642</v>
      </c>
      <c r="BWR3" t="s">
        <v>2643</v>
      </c>
      <c r="BWS3" t="s">
        <v>2644</v>
      </c>
      <c r="BWT3" t="s">
        <v>2645</v>
      </c>
      <c r="BWU3" t="s">
        <v>2646</v>
      </c>
      <c r="BWV3" t="s">
        <v>2647</v>
      </c>
      <c r="BWW3" t="s">
        <v>2648</v>
      </c>
      <c r="BWX3" t="s">
        <v>2649</v>
      </c>
      <c r="BWY3" t="s">
        <v>2650</v>
      </c>
      <c r="BWZ3" t="s">
        <v>2651</v>
      </c>
      <c r="BXA3" t="s">
        <v>2652</v>
      </c>
      <c r="BXB3" t="s">
        <v>2653</v>
      </c>
      <c r="BXC3" t="s">
        <v>2654</v>
      </c>
      <c r="BXD3" t="s">
        <v>2655</v>
      </c>
      <c r="BXE3" t="s">
        <v>2656</v>
      </c>
      <c r="BXF3" t="s">
        <v>2657</v>
      </c>
      <c r="BXG3" t="s">
        <v>2658</v>
      </c>
      <c r="BXH3" t="s">
        <v>2659</v>
      </c>
      <c r="BXI3" t="s">
        <v>2660</v>
      </c>
      <c r="BXJ3" t="s">
        <v>2661</v>
      </c>
      <c r="BXK3" t="s">
        <v>2662</v>
      </c>
      <c r="BXL3" t="s">
        <v>2663</v>
      </c>
      <c r="BXM3" t="s">
        <v>2664</v>
      </c>
      <c r="BXN3" t="s">
        <v>2665</v>
      </c>
      <c r="BXO3" t="s">
        <v>2666</v>
      </c>
      <c r="BXP3" t="s">
        <v>2667</v>
      </c>
      <c r="BXQ3" t="s">
        <v>2668</v>
      </c>
      <c r="BXR3" t="s">
        <v>2669</v>
      </c>
      <c r="BXS3" t="s">
        <v>2670</v>
      </c>
      <c r="BXT3" t="s">
        <v>2671</v>
      </c>
      <c r="BXU3" t="s">
        <v>2672</v>
      </c>
      <c r="BXV3" t="s">
        <v>2673</v>
      </c>
      <c r="BXW3" t="s">
        <v>2674</v>
      </c>
      <c r="BXX3" t="s">
        <v>2675</v>
      </c>
      <c r="BXY3" t="s">
        <v>2676</v>
      </c>
      <c r="BXZ3" t="s">
        <v>2677</v>
      </c>
      <c r="BYA3" t="s">
        <v>2678</v>
      </c>
      <c r="BYB3" t="s">
        <v>2679</v>
      </c>
      <c r="BYC3" t="s">
        <v>2680</v>
      </c>
      <c r="BYD3" t="s">
        <v>2681</v>
      </c>
      <c r="BYE3" t="s">
        <v>2682</v>
      </c>
      <c r="BYF3" t="s">
        <v>2683</v>
      </c>
      <c r="BYG3" t="s">
        <v>2684</v>
      </c>
      <c r="BYH3" t="s">
        <v>2685</v>
      </c>
      <c r="BYI3" t="s">
        <v>2686</v>
      </c>
      <c r="BYJ3" t="s">
        <v>2687</v>
      </c>
      <c r="BYK3" t="s">
        <v>2688</v>
      </c>
      <c r="BYL3" t="s">
        <v>2689</v>
      </c>
      <c r="BYM3" t="s">
        <v>2690</v>
      </c>
      <c r="BYN3" t="s">
        <v>2691</v>
      </c>
      <c r="BYO3" t="s">
        <v>2692</v>
      </c>
      <c r="BYP3" t="s">
        <v>2693</v>
      </c>
      <c r="BYQ3" t="s">
        <v>2694</v>
      </c>
      <c r="BYR3" t="s">
        <v>2695</v>
      </c>
      <c r="BYS3" t="s">
        <v>2696</v>
      </c>
      <c r="BYT3" t="s">
        <v>2697</v>
      </c>
      <c r="BYU3" t="s">
        <v>2698</v>
      </c>
      <c r="BYV3" t="s">
        <v>2699</v>
      </c>
      <c r="BYW3" t="s">
        <v>2700</v>
      </c>
      <c r="BYX3" t="s">
        <v>2701</v>
      </c>
      <c r="BYY3" t="s">
        <v>2702</v>
      </c>
      <c r="BYZ3" t="s">
        <v>2703</v>
      </c>
      <c r="BZA3" t="s">
        <v>2704</v>
      </c>
      <c r="BZB3" t="s">
        <v>2705</v>
      </c>
      <c r="BZC3" t="s">
        <v>2706</v>
      </c>
      <c r="BZD3" t="s">
        <v>2707</v>
      </c>
      <c r="BZE3" t="s">
        <v>2708</v>
      </c>
      <c r="BZF3" t="s">
        <v>2709</v>
      </c>
      <c r="BZG3" t="s">
        <v>2710</v>
      </c>
      <c r="BZH3" t="s">
        <v>2711</v>
      </c>
      <c r="BZI3" t="s">
        <v>2712</v>
      </c>
      <c r="BZJ3" t="s">
        <v>2713</v>
      </c>
      <c r="BZK3" t="s">
        <v>2714</v>
      </c>
      <c r="BZL3" t="s">
        <v>2715</v>
      </c>
      <c r="BZM3" t="s">
        <v>2716</v>
      </c>
      <c r="BZN3" t="s">
        <v>2717</v>
      </c>
      <c r="BZO3" t="s">
        <v>2718</v>
      </c>
      <c r="BZP3" t="s">
        <v>2719</v>
      </c>
      <c r="BZQ3" t="s">
        <v>2720</v>
      </c>
      <c r="BZR3" t="s">
        <v>2721</v>
      </c>
      <c r="BZS3" t="s">
        <v>2722</v>
      </c>
      <c r="BZT3" t="s">
        <v>2723</v>
      </c>
      <c r="BZU3" t="s">
        <v>2724</v>
      </c>
      <c r="BZV3" t="s">
        <v>2725</v>
      </c>
      <c r="BZW3" t="s">
        <v>2726</v>
      </c>
      <c r="BZX3" t="s">
        <v>2727</v>
      </c>
      <c r="BZY3" t="s">
        <v>2728</v>
      </c>
      <c r="BZZ3" t="s">
        <v>2729</v>
      </c>
      <c r="CAA3" t="s">
        <v>2730</v>
      </c>
      <c r="CAB3" t="s">
        <v>2731</v>
      </c>
      <c r="CAC3" t="s">
        <v>2732</v>
      </c>
      <c r="CAD3" t="s">
        <v>2733</v>
      </c>
      <c r="CAE3" t="s">
        <v>2734</v>
      </c>
      <c r="CAF3" t="s">
        <v>2735</v>
      </c>
      <c r="CAG3" t="s">
        <v>2736</v>
      </c>
      <c r="CAH3" t="s">
        <v>2737</v>
      </c>
      <c r="CAI3" t="s">
        <v>2738</v>
      </c>
      <c r="CAJ3" t="s">
        <v>2739</v>
      </c>
      <c r="CAK3" t="s">
        <v>2740</v>
      </c>
      <c r="CAL3" t="s">
        <v>2741</v>
      </c>
      <c r="CAM3" t="s">
        <v>2742</v>
      </c>
      <c r="CAN3" t="s">
        <v>2743</v>
      </c>
      <c r="CAO3" t="s">
        <v>2744</v>
      </c>
      <c r="CAP3" t="s">
        <v>2745</v>
      </c>
      <c r="CAQ3" t="s">
        <v>2746</v>
      </c>
      <c r="CAR3" t="s">
        <v>2747</v>
      </c>
      <c r="CAS3" t="s">
        <v>2748</v>
      </c>
      <c r="CAT3" t="s">
        <v>2749</v>
      </c>
      <c r="CAU3" t="s">
        <v>2750</v>
      </c>
      <c r="CAV3" t="s">
        <v>2751</v>
      </c>
      <c r="CAW3" t="s">
        <v>2752</v>
      </c>
      <c r="CAX3" t="s">
        <v>2753</v>
      </c>
      <c r="CAY3" t="s">
        <v>2754</v>
      </c>
      <c r="CAZ3" t="s">
        <v>2755</v>
      </c>
      <c r="CBA3" t="s">
        <v>2756</v>
      </c>
      <c r="CBB3" t="s">
        <v>2757</v>
      </c>
      <c r="CBC3" t="s">
        <v>2758</v>
      </c>
      <c r="CBD3" t="s">
        <v>2759</v>
      </c>
      <c r="CBE3" t="s">
        <v>2760</v>
      </c>
      <c r="CBF3" t="s">
        <v>2761</v>
      </c>
      <c r="CBG3" t="s">
        <v>2762</v>
      </c>
      <c r="CBH3" t="s">
        <v>2763</v>
      </c>
      <c r="CBI3" t="s">
        <v>2764</v>
      </c>
      <c r="CBJ3" t="s">
        <v>2765</v>
      </c>
      <c r="CBK3" t="s">
        <v>2766</v>
      </c>
      <c r="CBL3" t="s">
        <v>2767</v>
      </c>
      <c r="CBM3" t="s">
        <v>2768</v>
      </c>
      <c r="CBN3" t="s">
        <v>2769</v>
      </c>
      <c r="CBO3" t="s">
        <v>2770</v>
      </c>
      <c r="CBP3" t="s">
        <v>2771</v>
      </c>
      <c r="CBQ3" t="s">
        <v>2772</v>
      </c>
      <c r="CBR3" t="s">
        <v>2773</v>
      </c>
      <c r="CBS3" t="s">
        <v>2774</v>
      </c>
      <c r="CBT3" t="s">
        <v>2775</v>
      </c>
      <c r="CBU3" t="s">
        <v>2776</v>
      </c>
      <c r="CBV3" t="s">
        <v>2777</v>
      </c>
      <c r="CBW3" t="s">
        <v>2778</v>
      </c>
      <c r="CBX3" t="s">
        <v>2779</v>
      </c>
      <c r="CBY3" t="s">
        <v>2780</v>
      </c>
      <c r="CBZ3" t="s">
        <v>2781</v>
      </c>
      <c r="CCA3" t="s">
        <v>2782</v>
      </c>
      <c r="CCB3" t="s">
        <v>2783</v>
      </c>
      <c r="CCC3" t="s">
        <v>2784</v>
      </c>
      <c r="CCD3" t="s">
        <v>2785</v>
      </c>
      <c r="CCE3" t="s">
        <v>2786</v>
      </c>
      <c r="CCF3" t="s">
        <v>2787</v>
      </c>
      <c r="CCG3" t="s">
        <v>2788</v>
      </c>
      <c r="CCH3" t="s">
        <v>2789</v>
      </c>
      <c r="CCI3" t="s">
        <v>2790</v>
      </c>
      <c r="CCJ3" t="s">
        <v>2791</v>
      </c>
      <c r="CCK3" t="s">
        <v>2792</v>
      </c>
      <c r="CCL3" t="s">
        <v>2793</v>
      </c>
      <c r="CCM3" t="s">
        <v>2794</v>
      </c>
      <c r="CCN3" t="s">
        <v>2795</v>
      </c>
      <c r="CCO3" t="s">
        <v>2796</v>
      </c>
      <c r="CCP3" t="s">
        <v>2797</v>
      </c>
      <c r="CCQ3" t="s">
        <v>2798</v>
      </c>
      <c r="CCR3" t="s">
        <v>2799</v>
      </c>
      <c r="CCS3" t="s">
        <v>2800</v>
      </c>
      <c r="CCT3" t="s">
        <v>2801</v>
      </c>
      <c r="CCU3" t="s">
        <v>2802</v>
      </c>
      <c r="CCV3" t="s">
        <v>2803</v>
      </c>
      <c r="CCW3" t="s">
        <v>2804</v>
      </c>
      <c r="CCX3" t="s">
        <v>2805</v>
      </c>
      <c r="CCY3" t="s">
        <v>2806</v>
      </c>
      <c r="CCZ3" t="s">
        <v>2807</v>
      </c>
      <c r="CDA3" t="s">
        <v>2808</v>
      </c>
      <c r="CDB3" t="s">
        <v>2809</v>
      </c>
      <c r="CDC3" t="s">
        <v>2810</v>
      </c>
      <c r="CDD3" t="s">
        <v>2811</v>
      </c>
      <c r="CDE3" t="s">
        <v>2812</v>
      </c>
      <c r="CDF3" t="s">
        <v>2813</v>
      </c>
      <c r="CDG3" t="s">
        <v>2814</v>
      </c>
      <c r="CDH3" t="s">
        <v>2815</v>
      </c>
      <c r="CDI3" t="s">
        <v>2816</v>
      </c>
      <c r="CDJ3" t="s">
        <v>2817</v>
      </c>
      <c r="CDK3" t="s">
        <v>2818</v>
      </c>
      <c r="CDL3" t="s">
        <v>2819</v>
      </c>
      <c r="CDM3" t="s">
        <v>2820</v>
      </c>
      <c r="CDN3" t="s">
        <v>2821</v>
      </c>
      <c r="CDO3" t="s">
        <v>2822</v>
      </c>
      <c r="CDP3" t="s">
        <v>2823</v>
      </c>
      <c r="CDQ3" t="s">
        <v>2824</v>
      </c>
      <c r="CDR3" t="s">
        <v>2825</v>
      </c>
      <c r="CDS3" t="s">
        <v>2826</v>
      </c>
      <c r="CDT3" t="s">
        <v>2827</v>
      </c>
      <c r="CDU3" t="s">
        <v>2828</v>
      </c>
      <c r="CDV3" t="s">
        <v>2829</v>
      </c>
      <c r="CDW3" t="s">
        <v>2830</v>
      </c>
      <c r="CDX3" t="s">
        <v>2831</v>
      </c>
      <c r="CDY3" t="s">
        <v>2832</v>
      </c>
      <c r="CDZ3" t="s">
        <v>2833</v>
      </c>
      <c r="CEA3" t="s">
        <v>2834</v>
      </c>
      <c r="CEB3" t="s">
        <v>2835</v>
      </c>
      <c r="CEC3" t="s">
        <v>2836</v>
      </c>
      <c r="CED3" t="s">
        <v>2837</v>
      </c>
      <c r="CEE3" t="s">
        <v>2838</v>
      </c>
      <c r="CEF3" t="s">
        <v>2839</v>
      </c>
      <c r="CEG3" t="s">
        <v>2840</v>
      </c>
      <c r="CEH3" t="s">
        <v>2841</v>
      </c>
      <c r="CEI3" t="s">
        <v>2842</v>
      </c>
      <c r="CEJ3" t="s">
        <v>2843</v>
      </c>
      <c r="CEK3" t="s">
        <v>2844</v>
      </c>
      <c r="CEL3" t="s">
        <v>2845</v>
      </c>
      <c r="CEM3" t="s">
        <v>2846</v>
      </c>
      <c r="CEN3" t="s">
        <v>2847</v>
      </c>
      <c r="CEO3" t="s">
        <v>2848</v>
      </c>
      <c r="CEP3" t="s">
        <v>2849</v>
      </c>
      <c r="CEQ3" t="s">
        <v>2850</v>
      </c>
      <c r="CER3" t="s">
        <v>2851</v>
      </c>
      <c r="CES3" t="s">
        <v>2852</v>
      </c>
      <c r="CET3" t="s">
        <v>2853</v>
      </c>
      <c r="CEU3" t="s">
        <v>2854</v>
      </c>
      <c r="CEV3" t="s">
        <v>2855</v>
      </c>
      <c r="CEW3" t="s">
        <v>2856</v>
      </c>
      <c r="CEX3" t="s">
        <v>2857</v>
      </c>
      <c r="CEY3" t="s">
        <v>2858</v>
      </c>
      <c r="CEZ3" t="s">
        <v>2859</v>
      </c>
      <c r="CFA3" t="s">
        <v>2860</v>
      </c>
      <c r="CFB3" t="s">
        <v>2861</v>
      </c>
      <c r="CFC3" t="s">
        <v>2862</v>
      </c>
      <c r="CFD3" t="s">
        <v>2863</v>
      </c>
      <c r="CFE3" t="s">
        <v>2864</v>
      </c>
      <c r="CFF3" t="s">
        <v>2865</v>
      </c>
      <c r="CFG3" t="s">
        <v>2866</v>
      </c>
      <c r="CFH3" t="s">
        <v>2867</v>
      </c>
      <c r="CFI3" t="s">
        <v>2868</v>
      </c>
      <c r="CFJ3" t="s">
        <v>2869</v>
      </c>
      <c r="CFK3" t="s">
        <v>2870</v>
      </c>
      <c r="CFL3" t="s">
        <v>2871</v>
      </c>
      <c r="CFM3" t="s">
        <v>2872</v>
      </c>
      <c r="CFN3" t="s">
        <v>2873</v>
      </c>
      <c r="CFO3" t="s">
        <v>2874</v>
      </c>
      <c r="CFP3" t="s">
        <v>2875</v>
      </c>
      <c r="CFQ3" t="s">
        <v>2876</v>
      </c>
      <c r="CFR3" t="s">
        <v>2877</v>
      </c>
      <c r="CFS3" t="s">
        <v>2878</v>
      </c>
      <c r="CFT3" t="s">
        <v>2879</v>
      </c>
      <c r="CFU3" t="s">
        <v>2880</v>
      </c>
      <c r="CFV3" t="s">
        <v>2881</v>
      </c>
      <c r="CFW3" t="s">
        <v>2882</v>
      </c>
      <c r="CFX3" t="s">
        <v>2883</v>
      </c>
      <c r="CFY3" t="s">
        <v>2884</v>
      </c>
      <c r="CFZ3" t="s">
        <v>2885</v>
      </c>
      <c r="CGA3" t="s">
        <v>2886</v>
      </c>
      <c r="CGB3" t="s">
        <v>2887</v>
      </c>
      <c r="CGC3" t="s">
        <v>2888</v>
      </c>
      <c r="CGD3" t="s">
        <v>2889</v>
      </c>
      <c r="CGE3" t="s">
        <v>2890</v>
      </c>
      <c r="CGF3" t="s">
        <v>2891</v>
      </c>
      <c r="CGG3" t="s">
        <v>2892</v>
      </c>
      <c r="CGH3" t="s">
        <v>2893</v>
      </c>
      <c r="CGI3" t="s">
        <v>2894</v>
      </c>
      <c r="CGJ3" t="s">
        <v>2895</v>
      </c>
      <c r="CGK3" t="s">
        <v>2896</v>
      </c>
      <c r="CGL3" t="s">
        <v>2897</v>
      </c>
      <c r="CGM3" t="s">
        <v>2898</v>
      </c>
      <c r="CGN3" t="s">
        <v>2899</v>
      </c>
      <c r="CGO3" t="s">
        <v>2900</v>
      </c>
      <c r="CGP3" t="s">
        <v>2901</v>
      </c>
      <c r="CGQ3" t="s">
        <v>2902</v>
      </c>
      <c r="CGR3" t="s">
        <v>2903</v>
      </c>
      <c r="CGS3" t="s">
        <v>2904</v>
      </c>
      <c r="CGT3" t="s">
        <v>2905</v>
      </c>
      <c r="CGU3" t="s">
        <v>2906</v>
      </c>
      <c r="CGV3" t="s">
        <v>2907</v>
      </c>
      <c r="CGW3" t="s">
        <v>2908</v>
      </c>
      <c r="CGX3" t="s">
        <v>2909</v>
      </c>
      <c r="CGY3" t="s">
        <v>2910</v>
      </c>
      <c r="CGZ3" t="s">
        <v>2911</v>
      </c>
      <c r="CHA3" t="s">
        <v>2912</v>
      </c>
      <c r="CHB3" t="s">
        <v>2913</v>
      </c>
      <c r="CHC3" t="s">
        <v>2914</v>
      </c>
      <c r="CHD3" t="s">
        <v>2915</v>
      </c>
      <c r="CHE3" t="s">
        <v>2916</v>
      </c>
      <c r="CHF3" t="s">
        <v>2917</v>
      </c>
      <c r="CHG3" t="s">
        <v>2918</v>
      </c>
      <c r="CHH3" t="s">
        <v>2919</v>
      </c>
      <c r="CHI3" t="s">
        <v>2920</v>
      </c>
      <c r="CHJ3" t="s">
        <v>2921</v>
      </c>
      <c r="CHK3" t="s">
        <v>2922</v>
      </c>
      <c r="CHL3" t="s">
        <v>2923</v>
      </c>
      <c r="CHM3" t="s">
        <v>2924</v>
      </c>
      <c r="CHN3" t="s">
        <v>2925</v>
      </c>
      <c r="CHO3" t="s">
        <v>2926</v>
      </c>
      <c r="CHP3" t="s">
        <v>2927</v>
      </c>
      <c r="CHQ3" t="s">
        <v>2928</v>
      </c>
      <c r="CHR3" t="s">
        <v>2929</v>
      </c>
      <c r="CHS3" t="s">
        <v>2930</v>
      </c>
      <c r="CHT3" t="s">
        <v>2931</v>
      </c>
      <c r="CHU3" t="s">
        <v>2932</v>
      </c>
      <c r="CHV3" t="s">
        <v>2933</v>
      </c>
      <c r="CHW3" t="s">
        <v>2934</v>
      </c>
      <c r="CHX3" t="s">
        <v>2935</v>
      </c>
      <c r="CHY3" t="s">
        <v>2936</v>
      </c>
      <c r="CHZ3" t="s">
        <v>2937</v>
      </c>
      <c r="CIA3" t="s">
        <v>2938</v>
      </c>
      <c r="CIB3" t="s">
        <v>2939</v>
      </c>
      <c r="CIC3" t="s">
        <v>2940</v>
      </c>
      <c r="CID3" t="s">
        <v>2941</v>
      </c>
      <c r="CIE3" t="s">
        <v>2942</v>
      </c>
      <c r="CIF3" t="s">
        <v>2943</v>
      </c>
      <c r="CIG3" t="s">
        <v>2944</v>
      </c>
      <c r="CIH3" t="s">
        <v>2945</v>
      </c>
      <c r="CII3" t="s">
        <v>2946</v>
      </c>
      <c r="CIJ3" t="s">
        <v>2947</v>
      </c>
      <c r="CIK3" t="s">
        <v>2948</v>
      </c>
      <c r="CIL3" t="s">
        <v>2949</v>
      </c>
      <c r="CIM3" t="s">
        <v>2950</v>
      </c>
      <c r="CIN3" t="s">
        <v>2951</v>
      </c>
      <c r="CIO3" t="s">
        <v>2952</v>
      </c>
      <c r="CIP3" t="s">
        <v>2953</v>
      </c>
      <c r="CIQ3" t="s">
        <v>2954</v>
      </c>
      <c r="CIR3" t="s">
        <v>2955</v>
      </c>
      <c r="CIS3" t="s">
        <v>2956</v>
      </c>
      <c r="CIT3" t="s">
        <v>2957</v>
      </c>
      <c r="CIU3" t="s">
        <v>2958</v>
      </c>
      <c r="CIV3" t="s">
        <v>2959</v>
      </c>
      <c r="CIW3" t="s">
        <v>2960</v>
      </c>
      <c r="CIX3" t="s">
        <v>2961</v>
      </c>
      <c r="CIY3" t="s">
        <v>2962</v>
      </c>
      <c r="CIZ3" t="s">
        <v>2963</v>
      </c>
      <c r="CJA3" t="s">
        <v>2964</v>
      </c>
      <c r="CJB3" t="s">
        <v>2965</v>
      </c>
      <c r="CJC3" t="s">
        <v>2966</v>
      </c>
      <c r="CJD3" t="s">
        <v>2967</v>
      </c>
      <c r="CJE3" t="s">
        <v>2968</v>
      </c>
      <c r="CJF3" t="s">
        <v>2969</v>
      </c>
      <c r="CJG3" t="s">
        <v>2970</v>
      </c>
      <c r="CJH3" t="s">
        <v>2971</v>
      </c>
      <c r="CJI3" t="s">
        <v>2972</v>
      </c>
      <c r="CJJ3" t="s">
        <v>2973</v>
      </c>
      <c r="CJK3" t="s">
        <v>2974</v>
      </c>
      <c r="CJL3" t="s">
        <v>2975</v>
      </c>
      <c r="CJM3" t="s">
        <v>2976</v>
      </c>
      <c r="CJN3" t="s">
        <v>2977</v>
      </c>
      <c r="CJO3" t="s">
        <v>2978</v>
      </c>
      <c r="CJP3" t="s">
        <v>2979</v>
      </c>
      <c r="CJQ3" t="s">
        <v>2980</v>
      </c>
      <c r="CJR3" t="s">
        <v>2981</v>
      </c>
      <c r="CJS3" t="s">
        <v>2982</v>
      </c>
      <c r="CJT3" t="s">
        <v>2983</v>
      </c>
      <c r="CJU3" t="s">
        <v>2984</v>
      </c>
      <c r="CJV3" t="s">
        <v>2985</v>
      </c>
      <c r="CJW3" t="s">
        <v>2986</v>
      </c>
      <c r="CJX3" t="s">
        <v>2987</v>
      </c>
      <c r="CJY3" t="s">
        <v>2988</v>
      </c>
      <c r="CJZ3" t="s">
        <v>2989</v>
      </c>
      <c r="CKA3" t="s">
        <v>2990</v>
      </c>
      <c r="CKB3" t="s">
        <v>2991</v>
      </c>
      <c r="CKC3" t="s">
        <v>2992</v>
      </c>
      <c r="CKD3" t="s">
        <v>2993</v>
      </c>
      <c r="CKE3" t="s">
        <v>2994</v>
      </c>
      <c r="CKF3" t="s">
        <v>2995</v>
      </c>
      <c r="CKG3" t="s">
        <v>2996</v>
      </c>
      <c r="CKH3" t="s">
        <v>2997</v>
      </c>
      <c r="CKI3" t="s">
        <v>2998</v>
      </c>
      <c r="CKJ3" t="s">
        <v>2999</v>
      </c>
      <c r="CKK3" t="s">
        <v>3000</v>
      </c>
      <c r="CKL3" t="s">
        <v>3001</v>
      </c>
      <c r="CKM3" t="s">
        <v>3002</v>
      </c>
      <c r="CKN3" t="s">
        <v>3003</v>
      </c>
      <c r="CKO3" t="s">
        <v>3004</v>
      </c>
      <c r="CKP3" t="s">
        <v>3005</v>
      </c>
      <c r="CKQ3" t="s">
        <v>3006</v>
      </c>
      <c r="CKR3" t="s">
        <v>3007</v>
      </c>
      <c r="CKS3" t="s">
        <v>3008</v>
      </c>
      <c r="CKT3" t="s">
        <v>3009</v>
      </c>
      <c r="CKU3" t="s">
        <v>3010</v>
      </c>
      <c r="CKV3" t="s">
        <v>3011</v>
      </c>
      <c r="CKW3" t="s">
        <v>3012</v>
      </c>
      <c r="CKX3" t="s">
        <v>3013</v>
      </c>
      <c r="CKY3" t="s">
        <v>3014</v>
      </c>
      <c r="CKZ3" t="s">
        <v>3015</v>
      </c>
      <c r="CLA3" t="s">
        <v>3016</v>
      </c>
      <c r="CLB3" t="s">
        <v>3017</v>
      </c>
      <c r="CLC3" t="s">
        <v>3018</v>
      </c>
      <c r="CLD3" t="s">
        <v>3019</v>
      </c>
      <c r="CLE3" t="s">
        <v>3020</v>
      </c>
      <c r="CLF3" t="s">
        <v>3021</v>
      </c>
      <c r="CLG3" t="s">
        <v>3022</v>
      </c>
      <c r="CLH3" t="s">
        <v>3023</v>
      </c>
      <c r="CLI3" t="s">
        <v>3024</v>
      </c>
      <c r="CLJ3" t="s">
        <v>3025</v>
      </c>
      <c r="CLK3" t="s">
        <v>3026</v>
      </c>
      <c r="CLL3" t="s">
        <v>3027</v>
      </c>
      <c r="CLM3" t="s">
        <v>3028</v>
      </c>
      <c r="CLN3" t="s">
        <v>3029</v>
      </c>
      <c r="CLO3" t="s">
        <v>3030</v>
      </c>
      <c r="CLP3" t="s">
        <v>3031</v>
      </c>
      <c r="CLQ3" t="s">
        <v>3032</v>
      </c>
      <c r="CLR3" t="s">
        <v>3033</v>
      </c>
      <c r="CLS3" t="s">
        <v>3034</v>
      </c>
      <c r="CLT3" t="s">
        <v>3035</v>
      </c>
      <c r="CLU3" t="s">
        <v>3036</v>
      </c>
      <c r="CLV3" t="s">
        <v>3037</v>
      </c>
      <c r="CLW3" t="s">
        <v>3038</v>
      </c>
      <c r="CLX3" t="s">
        <v>3039</v>
      </c>
      <c r="CLY3" t="s">
        <v>3040</v>
      </c>
      <c r="CLZ3" t="s">
        <v>3041</v>
      </c>
      <c r="CMA3" t="s">
        <v>3042</v>
      </c>
      <c r="CMB3" t="s">
        <v>3043</v>
      </c>
      <c r="CMC3" t="s">
        <v>3044</v>
      </c>
      <c r="CMD3" t="s">
        <v>3045</v>
      </c>
      <c r="CME3" t="s">
        <v>3046</v>
      </c>
      <c r="CMF3" t="s">
        <v>3047</v>
      </c>
      <c r="CMG3" t="s">
        <v>3048</v>
      </c>
      <c r="CMH3" t="s">
        <v>3049</v>
      </c>
      <c r="CMI3" t="s">
        <v>3050</v>
      </c>
      <c r="CMJ3" t="s">
        <v>3051</v>
      </c>
      <c r="CMK3" t="s">
        <v>3052</v>
      </c>
      <c r="CML3" t="s">
        <v>3053</v>
      </c>
      <c r="CMM3" t="s">
        <v>3054</v>
      </c>
      <c r="CMN3" t="s">
        <v>3055</v>
      </c>
      <c r="CMO3" t="s">
        <v>3056</v>
      </c>
      <c r="CMP3" t="s">
        <v>3057</v>
      </c>
      <c r="CMQ3" t="s">
        <v>3058</v>
      </c>
      <c r="CMR3" t="s">
        <v>3059</v>
      </c>
      <c r="CMS3" t="s">
        <v>3060</v>
      </c>
      <c r="CMT3" t="s">
        <v>3061</v>
      </c>
      <c r="CMU3" t="s">
        <v>3062</v>
      </c>
      <c r="CMV3" t="s">
        <v>3063</v>
      </c>
      <c r="CMW3" t="s">
        <v>3064</v>
      </c>
      <c r="CMX3" t="s">
        <v>3065</v>
      </c>
      <c r="CMY3" t="s">
        <v>3066</v>
      </c>
      <c r="CMZ3" t="s">
        <v>3067</v>
      </c>
      <c r="CNA3" t="s">
        <v>3068</v>
      </c>
      <c r="CNB3" t="s">
        <v>3069</v>
      </c>
      <c r="CNC3" t="s">
        <v>3070</v>
      </c>
      <c r="CND3" t="s">
        <v>3071</v>
      </c>
      <c r="CNE3" t="s">
        <v>3072</v>
      </c>
      <c r="CNF3" t="s">
        <v>3073</v>
      </c>
      <c r="CNG3" t="s">
        <v>3074</v>
      </c>
      <c r="CNH3" t="s">
        <v>3075</v>
      </c>
      <c r="CNI3" t="s">
        <v>3076</v>
      </c>
      <c r="CNJ3" t="s">
        <v>3077</v>
      </c>
      <c r="CNK3" t="s">
        <v>3078</v>
      </c>
      <c r="CNL3" t="s">
        <v>3079</v>
      </c>
      <c r="CNM3" t="s">
        <v>3080</v>
      </c>
      <c r="CNN3" t="s">
        <v>3081</v>
      </c>
      <c r="CNO3" t="s">
        <v>3082</v>
      </c>
      <c r="CNP3" t="s">
        <v>3083</v>
      </c>
      <c r="CNQ3" t="s">
        <v>3084</v>
      </c>
      <c r="CNR3" t="s">
        <v>3085</v>
      </c>
      <c r="CNS3" t="s">
        <v>3086</v>
      </c>
      <c r="CNT3" t="s">
        <v>3087</v>
      </c>
      <c r="CNU3" t="s">
        <v>3088</v>
      </c>
      <c r="CNV3" t="s">
        <v>3089</v>
      </c>
      <c r="CNW3" t="s">
        <v>3090</v>
      </c>
      <c r="CNX3" t="s">
        <v>3091</v>
      </c>
      <c r="CNY3" t="s">
        <v>3092</v>
      </c>
      <c r="CNZ3" t="s">
        <v>3093</v>
      </c>
      <c r="COA3" t="s">
        <v>3094</v>
      </c>
      <c r="COB3" t="s">
        <v>3095</v>
      </c>
      <c r="COC3" t="s">
        <v>3096</v>
      </c>
      <c r="COD3" t="s">
        <v>3097</v>
      </c>
      <c r="COE3" t="s">
        <v>3098</v>
      </c>
      <c r="COF3" t="s">
        <v>3099</v>
      </c>
      <c r="COG3" t="s">
        <v>3100</v>
      </c>
      <c r="COH3" t="s">
        <v>3101</v>
      </c>
      <c r="COI3" t="s">
        <v>3102</v>
      </c>
      <c r="COJ3" t="s">
        <v>3103</v>
      </c>
      <c r="COK3" t="s">
        <v>3104</v>
      </c>
      <c r="COL3" t="s">
        <v>3105</v>
      </c>
      <c r="COM3" t="s">
        <v>3106</v>
      </c>
      <c r="CON3" t="s">
        <v>3107</v>
      </c>
      <c r="COO3" t="s">
        <v>3108</v>
      </c>
      <c r="COP3" t="s">
        <v>3109</v>
      </c>
      <c r="COQ3" t="s">
        <v>3110</v>
      </c>
      <c r="COR3" t="s">
        <v>3111</v>
      </c>
      <c r="COS3" t="s">
        <v>3112</v>
      </c>
      <c r="COT3" t="s">
        <v>3113</v>
      </c>
      <c r="COU3" t="s">
        <v>3114</v>
      </c>
      <c r="COV3" t="s">
        <v>3115</v>
      </c>
      <c r="COW3" t="s">
        <v>3116</v>
      </c>
      <c r="COX3" t="s">
        <v>3117</v>
      </c>
      <c r="COY3" t="s">
        <v>3118</v>
      </c>
      <c r="COZ3" t="s">
        <v>3119</v>
      </c>
      <c r="CPA3" t="s">
        <v>3120</v>
      </c>
      <c r="CPB3" t="s">
        <v>3121</v>
      </c>
      <c r="CPC3" t="s">
        <v>3122</v>
      </c>
      <c r="CPD3" t="s">
        <v>3123</v>
      </c>
      <c r="CPE3" t="s">
        <v>3124</v>
      </c>
      <c r="CPF3" t="s">
        <v>3125</v>
      </c>
      <c r="CPG3" t="s">
        <v>3126</v>
      </c>
      <c r="CPH3" t="s">
        <v>3127</v>
      </c>
      <c r="CPI3" t="s">
        <v>3128</v>
      </c>
      <c r="CPJ3" t="s">
        <v>3129</v>
      </c>
      <c r="CPK3" t="s">
        <v>3130</v>
      </c>
      <c r="CPL3" t="s">
        <v>3131</v>
      </c>
      <c r="CPM3" t="s">
        <v>3132</v>
      </c>
      <c r="CPN3" t="s">
        <v>3133</v>
      </c>
      <c r="CPO3" t="s">
        <v>3134</v>
      </c>
      <c r="CPP3" t="s">
        <v>3135</v>
      </c>
      <c r="CPQ3" t="s">
        <v>3136</v>
      </c>
      <c r="CPR3" t="s">
        <v>3137</v>
      </c>
      <c r="CPS3" t="s">
        <v>3138</v>
      </c>
      <c r="CPT3" t="s">
        <v>3139</v>
      </c>
      <c r="CPU3" t="s">
        <v>3140</v>
      </c>
      <c r="CPV3" t="s">
        <v>3141</v>
      </c>
      <c r="CPW3" t="s">
        <v>3142</v>
      </c>
      <c r="CPX3" t="s">
        <v>3143</v>
      </c>
      <c r="CPY3" t="s">
        <v>3144</v>
      </c>
      <c r="CPZ3" t="s">
        <v>3145</v>
      </c>
      <c r="CQA3" t="s">
        <v>3146</v>
      </c>
      <c r="CQB3" t="s">
        <v>3147</v>
      </c>
      <c r="CQC3" t="s">
        <v>3148</v>
      </c>
      <c r="CQD3" t="s">
        <v>3149</v>
      </c>
      <c r="CQE3" t="s">
        <v>3150</v>
      </c>
      <c r="CQF3" t="s">
        <v>3151</v>
      </c>
      <c r="CQG3" t="s">
        <v>3152</v>
      </c>
      <c r="CQH3" t="s">
        <v>3153</v>
      </c>
      <c r="CQI3" t="s">
        <v>3154</v>
      </c>
      <c r="CQJ3" t="s">
        <v>3155</v>
      </c>
      <c r="CQK3" t="s">
        <v>3156</v>
      </c>
      <c r="CQL3" t="s">
        <v>3157</v>
      </c>
      <c r="CQM3" t="s">
        <v>3158</v>
      </c>
      <c r="CQN3" t="s">
        <v>3159</v>
      </c>
      <c r="CQO3" t="s">
        <v>3160</v>
      </c>
      <c r="CQP3" t="s">
        <v>3161</v>
      </c>
      <c r="CQQ3" t="s">
        <v>3162</v>
      </c>
      <c r="CQR3" t="s">
        <v>3163</v>
      </c>
      <c r="CQS3" t="s">
        <v>3164</v>
      </c>
      <c r="CQT3" t="s">
        <v>3165</v>
      </c>
      <c r="CQU3" t="s">
        <v>3166</v>
      </c>
      <c r="CQV3" t="s">
        <v>3167</v>
      </c>
      <c r="CQW3" t="s">
        <v>3168</v>
      </c>
      <c r="CQX3" t="s">
        <v>3169</v>
      </c>
      <c r="CQY3" t="s">
        <v>3170</v>
      </c>
      <c r="CQZ3" t="s">
        <v>3171</v>
      </c>
      <c r="CRA3" t="s">
        <v>3172</v>
      </c>
      <c r="CRB3" t="s">
        <v>3173</v>
      </c>
      <c r="CRC3" t="s">
        <v>3174</v>
      </c>
      <c r="CRD3" t="s">
        <v>3175</v>
      </c>
      <c r="CRE3" t="s">
        <v>3176</v>
      </c>
      <c r="CRF3" t="s">
        <v>3177</v>
      </c>
      <c r="CRG3" t="s">
        <v>3178</v>
      </c>
      <c r="CRH3" t="s">
        <v>3179</v>
      </c>
      <c r="CRI3" t="s">
        <v>3180</v>
      </c>
      <c r="CRJ3" t="s">
        <v>3181</v>
      </c>
      <c r="CRK3" t="s">
        <v>3182</v>
      </c>
      <c r="CRL3" t="s">
        <v>3183</v>
      </c>
      <c r="CRM3" t="s">
        <v>3184</v>
      </c>
      <c r="CRN3" t="s">
        <v>3185</v>
      </c>
      <c r="CRO3" t="s">
        <v>3186</v>
      </c>
      <c r="CRP3" t="s">
        <v>3187</v>
      </c>
      <c r="CRQ3" t="s">
        <v>3188</v>
      </c>
      <c r="CRR3" t="s">
        <v>3189</v>
      </c>
      <c r="CRS3" t="s">
        <v>3190</v>
      </c>
      <c r="CRT3" t="s">
        <v>3191</v>
      </c>
      <c r="CRU3" t="s">
        <v>3192</v>
      </c>
      <c r="CRV3" t="s">
        <v>3193</v>
      </c>
      <c r="CRW3" t="s">
        <v>3194</v>
      </c>
      <c r="CRX3" t="s">
        <v>3195</v>
      </c>
      <c r="CRY3" t="s">
        <v>3196</v>
      </c>
      <c r="CRZ3" t="s">
        <v>3197</v>
      </c>
      <c r="CSA3" t="s">
        <v>3198</v>
      </c>
      <c r="CSB3" t="s">
        <v>3199</v>
      </c>
      <c r="CSC3" t="s">
        <v>3200</v>
      </c>
      <c r="CSD3" t="s">
        <v>3201</v>
      </c>
      <c r="CSE3" t="s">
        <v>3202</v>
      </c>
      <c r="CSF3" t="s">
        <v>3203</v>
      </c>
      <c r="CSG3" t="s">
        <v>3204</v>
      </c>
      <c r="CSH3" t="s">
        <v>3205</v>
      </c>
      <c r="CSI3" t="s">
        <v>3206</v>
      </c>
      <c r="CSJ3" t="s">
        <v>3207</v>
      </c>
      <c r="CSK3" t="s">
        <v>3208</v>
      </c>
      <c r="CSL3" t="s">
        <v>3209</v>
      </c>
      <c r="CSM3" t="s">
        <v>3210</v>
      </c>
      <c r="CSN3" t="s">
        <v>3211</v>
      </c>
      <c r="CSO3" t="s">
        <v>3212</v>
      </c>
      <c r="CSP3" t="s">
        <v>3213</v>
      </c>
      <c r="CSQ3" t="s">
        <v>3214</v>
      </c>
      <c r="CSR3" t="s">
        <v>3215</v>
      </c>
      <c r="CSS3" t="s">
        <v>3216</v>
      </c>
      <c r="CST3" t="s">
        <v>3217</v>
      </c>
      <c r="CSU3" t="s">
        <v>3218</v>
      </c>
      <c r="CSV3" t="s">
        <v>3219</v>
      </c>
      <c r="CSW3" t="s">
        <v>3220</v>
      </c>
      <c r="CSX3" t="s">
        <v>3221</v>
      </c>
      <c r="CSY3" t="s">
        <v>3222</v>
      </c>
      <c r="CSZ3" t="s">
        <v>3223</v>
      </c>
      <c r="CTA3" t="s">
        <v>3224</v>
      </c>
      <c r="CTB3" t="s">
        <v>3225</v>
      </c>
      <c r="CTC3" t="s">
        <v>3226</v>
      </c>
      <c r="CTD3" t="s">
        <v>3227</v>
      </c>
      <c r="CTE3" t="s">
        <v>3228</v>
      </c>
      <c r="CTF3" t="s">
        <v>3229</v>
      </c>
      <c r="CTG3" t="s">
        <v>3230</v>
      </c>
      <c r="CTH3" t="s">
        <v>3231</v>
      </c>
      <c r="CTI3" t="s">
        <v>3232</v>
      </c>
      <c r="CTJ3" t="s">
        <v>3233</v>
      </c>
      <c r="CTK3" t="s">
        <v>3234</v>
      </c>
      <c r="CTL3" t="s">
        <v>3235</v>
      </c>
      <c r="CTM3" t="s">
        <v>3236</v>
      </c>
      <c r="CTN3" t="s">
        <v>3237</v>
      </c>
      <c r="CTO3" t="s">
        <v>3238</v>
      </c>
      <c r="CTP3" t="s">
        <v>3239</v>
      </c>
      <c r="CTQ3" t="s">
        <v>3240</v>
      </c>
      <c r="CTR3" t="s">
        <v>3241</v>
      </c>
      <c r="CTS3" t="s">
        <v>3242</v>
      </c>
      <c r="CTT3" t="s">
        <v>3243</v>
      </c>
      <c r="CTU3" t="s">
        <v>3244</v>
      </c>
      <c r="CTV3" t="s">
        <v>3245</v>
      </c>
      <c r="CTW3" t="s">
        <v>3246</v>
      </c>
      <c r="CTX3" t="s">
        <v>3247</v>
      </c>
      <c r="CTY3" t="s">
        <v>3248</v>
      </c>
      <c r="CTZ3" t="s">
        <v>3249</v>
      </c>
      <c r="CUA3" t="s">
        <v>3250</v>
      </c>
      <c r="CUB3" t="s">
        <v>3251</v>
      </c>
      <c r="CUC3" t="s">
        <v>3252</v>
      </c>
      <c r="CUD3" t="s">
        <v>3253</v>
      </c>
      <c r="CUE3" t="s">
        <v>3254</v>
      </c>
      <c r="CUF3" t="s">
        <v>3255</v>
      </c>
      <c r="CUG3" t="s">
        <v>3256</v>
      </c>
      <c r="CUH3" t="s">
        <v>3257</v>
      </c>
      <c r="CUI3" t="s">
        <v>3258</v>
      </c>
      <c r="CUJ3" t="s">
        <v>3259</v>
      </c>
      <c r="CUK3" t="s">
        <v>3260</v>
      </c>
      <c r="CUL3" t="s">
        <v>3261</v>
      </c>
      <c r="CUM3" t="s">
        <v>3262</v>
      </c>
      <c r="CUN3" t="s">
        <v>3263</v>
      </c>
      <c r="CUO3" t="s">
        <v>3264</v>
      </c>
      <c r="CUP3" t="s">
        <v>3265</v>
      </c>
      <c r="CUQ3" t="s">
        <v>3266</v>
      </c>
      <c r="CUR3" t="s">
        <v>3267</v>
      </c>
      <c r="CUS3" t="s">
        <v>3268</v>
      </c>
      <c r="CUT3" t="s">
        <v>3269</v>
      </c>
      <c r="CUU3" t="s">
        <v>3270</v>
      </c>
      <c r="CUV3" t="s">
        <v>3271</v>
      </c>
      <c r="CUW3" t="s">
        <v>3272</v>
      </c>
      <c r="CUX3" t="s">
        <v>3273</v>
      </c>
      <c r="CUY3" t="s">
        <v>3274</v>
      </c>
      <c r="CUZ3" t="s">
        <v>3275</v>
      </c>
      <c r="CVA3" t="s">
        <v>3276</v>
      </c>
      <c r="CVB3" t="s">
        <v>3277</v>
      </c>
      <c r="CVC3" t="s">
        <v>3278</v>
      </c>
      <c r="CVD3" t="s">
        <v>3279</v>
      </c>
      <c r="CVE3" t="s">
        <v>3280</v>
      </c>
      <c r="CVF3" t="s">
        <v>3281</v>
      </c>
      <c r="CVG3" t="s">
        <v>3282</v>
      </c>
      <c r="CVH3" t="s">
        <v>3283</v>
      </c>
      <c r="CVI3" t="s">
        <v>3284</v>
      </c>
      <c r="CVJ3" t="s">
        <v>3285</v>
      </c>
      <c r="CVK3" t="s">
        <v>3286</v>
      </c>
      <c r="CVL3" t="s">
        <v>3287</v>
      </c>
      <c r="CVM3" t="s">
        <v>3288</v>
      </c>
      <c r="CVN3" t="s">
        <v>3289</v>
      </c>
      <c r="CVO3" t="s">
        <v>3290</v>
      </c>
      <c r="CVP3" t="s">
        <v>3291</v>
      </c>
      <c r="CVQ3" t="s">
        <v>3292</v>
      </c>
      <c r="CVR3" t="s">
        <v>3293</v>
      </c>
      <c r="CVS3" t="s">
        <v>3294</v>
      </c>
      <c r="CVT3" t="s">
        <v>3295</v>
      </c>
      <c r="CVU3" t="s">
        <v>3296</v>
      </c>
      <c r="CVV3" t="s">
        <v>3297</v>
      </c>
      <c r="CVW3" t="s">
        <v>3298</v>
      </c>
      <c r="CVX3" t="s">
        <v>3299</v>
      </c>
      <c r="CVY3" t="s">
        <v>3300</v>
      </c>
      <c r="CVZ3" t="s">
        <v>3301</v>
      </c>
      <c r="CWA3" t="s">
        <v>3302</v>
      </c>
      <c r="CWB3" t="s">
        <v>3303</v>
      </c>
      <c r="CWC3" t="s">
        <v>3304</v>
      </c>
      <c r="CWD3" t="s">
        <v>3305</v>
      </c>
      <c r="CWE3" t="s">
        <v>3306</v>
      </c>
      <c r="CWF3" t="s">
        <v>3307</v>
      </c>
      <c r="CWG3" t="s">
        <v>3308</v>
      </c>
      <c r="CWH3" t="s">
        <v>3309</v>
      </c>
      <c r="CWI3" t="s">
        <v>3310</v>
      </c>
      <c r="CWJ3" t="s">
        <v>3311</v>
      </c>
      <c r="CWK3" t="s">
        <v>3312</v>
      </c>
      <c r="CWL3" t="s">
        <v>3313</v>
      </c>
      <c r="CWM3" t="s">
        <v>3314</v>
      </c>
      <c r="CWN3" t="s">
        <v>3315</v>
      </c>
      <c r="CWO3" t="s">
        <v>3316</v>
      </c>
      <c r="CWP3" t="s">
        <v>3317</v>
      </c>
      <c r="CWQ3" t="s">
        <v>3318</v>
      </c>
      <c r="CWR3" t="s">
        <v>3319</v>
      </c>
      <c r="CWS3" t="s">
        <v>3320</v>
      </c>
      <c r="CWT3" t="s">
        <v>3321</v>
      </c>
      <c r="CWU3" t="s">
        <v>3322</v>
      </c>
      <c r="CWV3" t="s">
        <v>3323</v>
      </c>
      <c r="CWW3" t="s">
        <v>3324</v>
      </c>
      <c r="CWX3" t="s">
        <v>3325</v>
      </c>
      <c r="CWY3" t="s">
        <v>3326</v>
      </c>
      <c r="CWZ3" t="s">
        <v>3327</v>
      </c>
      <c r="CXA3" t="s">
        <v>3328</v>
      </c>
      <c r="CXB3" t="s">
        <v>3329</v>
      </c>
      <c r="CXC3" t="s">
        <v>3330</v>
      </c>
      <c r="CXD3" t="s">
        <v>3331</v>
      </c>
      <c r="CXE3" t="s">
        <v>3332</v>
      </c>
      <c r="CXF3" t="s">
        <v>3333</v>
      </c>
      <c r="CXG3" t="s">
        <v>3334</v>
      </c>
      <c r="CXH3" t="s">
        <v>3335</v>
      </c>
      <c r="CXI3" t="s">
        <v>3336</v>
      </c>
      <c r="CXJ3" t="s">
        <v>3337</v>
      </c>
      <c r="CXK3" t="s">
        <v>3338</v>
      </c>
      <c r="CXL3" t="s">
        <v>3339</v>
      </c>
      <c r="CXM3" t="s">
        <v>3340</v>
      </c>
      <c r="CXN3" t="s">
        <v>3341</v>
      </c>
      <c r="CXO3" t="s">
        <v>3342</v>
      </c>
      <c r="CXP3" t="s">
        <v>3343</v>
      </c>
      <c r="CXQ3" t="s">
        <v>3344</v>
      </c>
      <c r="CXR3" t="s">
        <v>3345</v>
      </c>
      <c r="CXS3" t="s">
        <v>3346</v>
      </c>
      <c r="CXT3" t="s">
        <v>3347</v>
      </c>
      <c r="CXU3" t="s">
        <v>3348</v>
      </c>
      <c r="CXV3" t="s">
        <v>3349</v>
      </c>
      <c r="CXW3" t="s">
        <v>3350</v>
      </c>
      <c r="CXX3" t="s">
        <v>3351</v>
      </c>
      <c r="CXY3" t="s">
        <v>3352</v>
      </c>
      <c r="CXZ3" t="s">
        <v>3353</v>
      </c>
      <c r="CYA3" t="s">
        <v>3354</v>
      </c>
      <c r="CYB3" t="s">
        <v>3355</v>
      </c>
      <c r="CYC3" t="s">
        <v>3356</v>
      </c>
      <c r="CYD3" t="s">
        <v>3357</v>
      </c>
      <c r="CYE3" t="s">
        <v>3358</v>
      </c>
      <c r="CYF3" t="s">
        <v>3359</v>
      </c>
      <c r="CYG3" t="s">
        <v>3360</v>
      </c>
      <c r="CYH3" t="s">
        <v>3361</v>
      </c>
      <c r="CYI3" t="s">
        <v>3362</v>
      </c>
      <c r="CYJ3" t="s">
        <v>3363</v>
      </c>
      <c r="CYK3" t="s">
        <v>3364</v>
      </c>
      <c r="CYL3" t="s">
        <v>3365</v>
      </c>
      <c r="CYM3" t="s">
        <v>3366</v>
      </c>
      <c r="CYN3" t="s">
        <v>3367</v>
      </c>
      <c r="CYO3" t="s">
        <v>3368</v>
      </c>
      <c r="CYP3" t="s">
        <v>3369</v>
      </c>
      <c r="CYQ3" t="s">
        <v>3370</v>
      </c>
      <c r="CYR3" t="s">
        <v>3371</v>
      </c>
      <c r="CYS3" t="s">
        <v>3372</v>
      </c>
      <c r="CYT3" t="s">
        <v>3373</v>
      </c>
      <c r="CYU3" t="s">
        <v>3374</v>
      </c>
      <c r="CYV3" t="s">
        <v>3375</v>
      </c>
      <c r="CYW3" t="s">
        <v>3376</v>
      </c>
      <c r="CYX3" t="s">
        <v>3377</v>
      </c>
      <c r="CYY3" t="s">
        <v>3378</v>
      </c>
      <c r="CYZ3" t="s">
        <v>3379</v>
      </c>
      <c r="CZA3" t="s">
        <v>3380</v>
      </c>
      <c r="CZB3" t="s">
        <v>3381</v>
      </c>
      <c r="CZC3" t="s">
        <v>3382</v>
      </c>
      <c r="CZD3" t="s">
        <v>3383</v>
      </c>
      <c r="CZE3" t="s">
        <v>3384</v>
      </c>
      <c r="CZF3" t="s">
        <v>3385</v>
      </c>
      <c r="CZG3" t="s">
        <v>3386</v>
      </c>
      <c r="CZH3" t="s">
        <v>3387</v>
      </c>
      <c r="CZI3" t="s">
        <v>3388</v>
      </c>
      <c r="CZJ3" t="s">
        <v>3389</v>
      </c>
      <c r="CZK3" t="s">
        <v>3390</v>
      </c>
      <c r="CZL3" t="s">
        <v>3391</v>
      </c>
      <c r="CZM3" t="s">
        <v>3392</v>
      </c>
      <c r="CZN3" t="s">
        <v>3393</v>
      </c>
      <c r="CZO3" t="s">
        <v>3394</v>
      </c>
      <c r="CZP3" t="s">
        <v>3395</v>
      </c>
      <c r="CZQ3" t="s">
        <v>3396</v>
      </c>
      <c r="CZR3" t="s">
        <v>3397</v>
      </c>
      <c r="CZS3" t="s">
        <v>3398</v>
      </c>
      <c r="CZT3" t="s">
        <v>3399</v>
      </c>
      <c r="CZU3" t="s">
        <v>3400</v>
      </c>
      <c r="CZV3" t="s">
        <v>3401</v>
      </c>
      <c r="CZW3" t="s">
        <v>3402</v>
      </c>
      <c r="CZX3" t="s">
        <v>3403</v>
      </c>
      <c r="CZY3" t="s">
        <v>3404</v>
      </c>
      <c r="CZZ3" t="s">
        <v>3405</v>
      </c>
      <c r="DAA3" t="s">
        <v>3406</v>
      </c>
      <c r="DAB3" t="s">
        <v>3407</v>
      </c>
      <c r="DAC3" t="s">
        <v>3408</v>
      </c>
      <c r="DAD3" t="s">
        <v>3409</v>
      </c>
      <c r="DAE3" t="s">
        <v>3410</v>
      </c>
      <c r="DAF3" t="s">
        <v>3411</v>
      </c>
      <c r="DAG3" t="s">
        <v>3412</v>
      </c>
      <c r="DAH3" t="s">
        <v>3413</v>
      </c>
      <c r="DAI3" t="s">
        <v>3414</v>
      </c>
      <c r="DAJ3" t="s">
        <v>3415</v>
      </c>
      <c r="DAK3" t="s">
        <v>3416</v>
      </c>
      <c r="DAL3" t="s">
        <v>3417</v>
      </c>
      <c r="DAM3" t="s">
        <v>3418</v>
      </c>
      <c r="DAN3" t="s">
        <v>3419</v>
      </c>
      <c r="DAO3" t="s">
        <v>3420</v>
      </c>
      <c r="DAP3" t="s">
        <v>3421</v>
      </c>
      <c r="DAQ3" t="s">
        <v>3422</v>
      </c>
      <c r="DAR3" t="s">
        <v>3423</v>
      </c>
      <c r="DAS3" t="s">
        <v>3424</v>
      </c>
      <c r="DAT3" t="s">
        <v>3425</v>
      </c>
      <c r="DAU3" t="s">
        <v>3426</v>
      </c>
      <c r="DAV3" t="s">
        <v>3427</v>
      </c>
      <c r="DAW3" t="s">
        <v>3428</v>
      </c>
      <c r="DAX3" t="s">
        <v>3429</v>
      </c>
      <c r="DAY3" t="s">
        <v>3430</v>
      </c>
      <c r="DAZ3" t="s">
        <v>3431</v>
      </c>
      <c r="DBA3" t="s">
        <v>3432</v>
      </c>
      <c r="DBB3" t="s">
        <v>3433</v>
      </c>
      <c r="DBC3" t="s">
        <v>3434</v>
      </c>
      <c r="DBD3" t="s">
        <v>3435</v>
      </c>
      <c r="DBE3" t="s">
        <v>3436</v>
      </c>
      <c r="DBF3" t="s">
        <v>3437</v>
      </c>
      <c r="DBG3" t="s">
        <v>3438</v>
      </c>
      <c r="DBH3" t="s">
        <v>3439</v>
      </c>
      <c r="DBI3" t="s">
        <v>3440</v>
      </c>
      <c r="DBJ3" t="s">
        <v>3441</v>
      </c>
      <c r="DBK3" t="s">
        <v>3442</v>
      </c>
      <c r="DBL3" t="s">
        <v>3443</v>
      </c>
      <c r="DBM3" t="s">
        <v>3444</v>
      </c>
      <c r="DBN3" t="s">
        <v>3445</v>
      </c>
      <c r="DBO3" t="s">
        <v>3446</v>
      </c>
      <c r="DBP3" t="s">
        <v>3447</v>
      </c>
      <c r="DBQ3" t="s">
        <v>3448</v>
      </c>
      <c r="DBR3" t="s">
        <v>3449</v>
      </c>
      <c r="DBS3" t="s">
        <v>3450</v>
      </c>
      <c r="DBT3" t="s">
        <v>3451</v>
      </c>
      <c r="DBU3" t="s">
        <v>3452</v>
      </c>
      <c r="DBV3" t="s">
        <v>3453</v>
      </c>
      <c r="DBW3" t="s">
        <v>3454</v>
      </c>
      <c r="DBX3" t="s">
        <v>3455</v>
      </c>
      <c r="DBY3" t="s">
        <v>3456</v>
      </c>
      <c r="DBZ3" t="s">
        <v>3457</v>
      </c>
      <c r="DCA3" t="s">
        <v>3458</v>
      </c>
      <c r="DCB3" t="s">
        <v>3459</v>
      </c>
      <c r="DCC3" t="s">
        <v>3460</v>
      </c>
      <c r="DCD3" t="s">
        <v>3461</v>
      </c>
      <c r="DCE3" t="s">
        <v>3462</v>
      </c>
      <c r="DCF3" t="s">
        <v>3463</v>
      </c>
      <c r="DCG3" t="s">
        <v>3464</v>
      </c>
      <c r="DCH3" t="s">
        <v>3465</v>
      </c>
      <c r="DCI3" t="s">
        <v>3466</v>
      </c>
      <c r="DCJ3" t="s">
        <v>3467</v>
      </c>
      <c r="DCK3" t="s">
        <v>3468</v>
      </c>
      <c r="DCL3" t="s">
        <v>3469</v>
      </c>
      <c r="DCM3" t="s">
        <v>3470</v>
      </c>
      <c r="DCN3" t="s">
        <v>3471</v>
      </c>
      <c r="DCO3" t="s">
        <v>3472</v>
      </c>
      <c r="DCP3" t="s">
        <v>3473</v>
      </c>
      <c r="DCQ3" t="s">
        <v>3474</v>
      </c>
      <c r="DCR3" t="s">
        <v>3475</v>
      </c>
      <c r="DCS3" t="s">
        <v>3476</v>
      </c>
      <c r="DCT3" t="s">
        <v>3477</v>
      </c>
      <c r="DCU3" t="s">
        <v>3478</v>
      </c>
      <c r="DCV3" t="s">
        <v>3479</v>
      </c>
      <c r="DCW3" t="s">
        <v>3480</v>
      </c>
      <c r="DCX3" t="s">
        <v>3481</v>
      </c>
      <c r="DCY3" t="s">
        <v>3482</v>
      </c>
      <c r="DCZ3" t="s">
        <v>3483</v>
      </c>
      <c r="DDA3" t="s">
        <v>3484</v>
      </c>
      <c r="DDB3" t="s">
        <v>3485</v>
      </c>
      <c r="DDC3" t="s">
        <v>3486</v>
      </c>
      <c r="DDD3" t="s">
        <v>3487</v>
      </c>
      <c r="DDE3" t="s">
        <v>3488</v>
      </c>
      <c r="DDF3" t="s">
        <v>3489</v>
      </c>
      <c r="DDG3" t="s">
        <v>3490</v>
      </c>
      <c r="DDH3" t="s">
        <v>3491</v>
      </c>
      <c r="DDI3" t="s">
        <v>3492</v>
      </c>
      <c r="DDJ3" t="s">
        <v>3493</v>
      </c>
      <c r="DDK3" t="s">
        <v>3494</v>
      </c>
      <c r="DDL3" t="s">
        <v>3495</v>
      </c>
      <c r="DDM3" t="s">
        <v>3496</v>
      </c>
      <c r="DDN3" t="s">
        <v>3497</v>
      </c>
      <c r="DDO3" t="s">
        <v>3498</v>
      </c>
      <c r="DDP3" t="s">
        <v>3499</v>
      </c>
      <c r="DDQ3" t="s">
        <v>3500</v>
      </c>
      <c r="DDR3" t="s">
        <v>3501</v>
      </c>
      <c r="DDS3" t="s">
        <v>3502</v>
      </c>
      <c r="DDT3" t="s">
        <v>3503</v>
      </c>
      <c r="DDU3" t="s">
        <v>3504</v>
      </c>
      <c r="DDV3" t="s">
        <v>3505</v>
      </c>
      <c r="DDW3" t="s">
        <v>3506</v>
      </c>
      <c r="DDX3" t="s">
        <v>3507</v>
      </c>
      <c r="DDY3" t="s">
        <v>3508</v>
      </c>
      <c r="DDZ3" t="s">
        <v>3509</v>
      </c>
      <c r="DEA3" t="s">
        <v>3510</v>
      </c>
      <c r="DEB3" t="s">
        <v>3511</v>
      </c>
      <c r="DEC3" t="s">
        <v>3512</v>
      </c>
      <c r="DED3" t="s">
        <v>3513</v>
      </c>
      <c r="DEE3" t="s">
        <v>3514</v>
      </c>
      <c r="DEF3" t="s">
        <v>3515</v>
      </c>
      <c r="DEG3" t="s">
        <v>3516</v>
      </c>
      <c r="DEH3" t="s">
        <v>3517</v>
      </c>
      <c r="DEI3" t="s">
        <v>3518</v>
      </c>
      <c r="DEJ3" t="s">
        <v>3519</v>
      </c>
      <c r="DEK3" t="s">
        <v>3520</v>
      </c>
      <c r="DEL3" t="s">
        <v>3521</v>
      </c>
      <c r="DEM3" t="s">
        <v>3522</v>
      </c>
      <c r="DEN3" t="s">
        <v>3523</v>
      </c>
      <c r="DEO3" t="s">
        <v>3524</v>
      </c>
      <c r="DEP3" t="s">
        <v>3525</v>
      </c>
      <c r="DEQ3" t="s">
        <v>3526</v>
      </c>
      <c r="DER3" t="s">
        <v>3527</v>
      </c>
      <c r="DES3" t="s">
        <v>3528</v>
      </c>
      <c r="DET3" t="s">
        <v>3529</v>
      </c>
      <c r="DEU3" t="s">
        <v>3530</v>
      </c>
      <c r="DEV3" t="s">
        <v>3531</v>
      </c>
      <c r="DEW3" t="s">
        <v>3532</v>
      </c>
      <c r="DEX3" t="s">
        <v>3533</v>
      </c>
      <c r="DEY3" t="s">
        <v>3534</v>
      </c>
      <c r="DEZ3" t="s">
        <v>3535</v>
      </c>
      <c r="DFA3" t="s">
        <v>3536</v>
      </c>
      <c r="DFB3" t="s">
        <v>3537</v>
      </c>
      <c r="DFC3" t="s">
        <v>3538</v>
      </c>
      <c r="DFD3" t="s">
        <v>3539</v>
      </c>
      <c r="DFE3" t="s">
        <v>3540</v>
      </c>
      <c r="DFF3" t="s">
        <v>3541</v>
      </c>
      <c r="DFG3" t="s">
        <v>3542</v>
      </c>
      <c r="DFH3" t="s">
        <v>3543</v>
      </c>
      <c r="DFI3" t="s">
        <v>3544</v>
      </c>
      <c r="DFJ3" t="s">
        <v>3545</v>
      </c>
      <c r="DFK3" t="s">
        <v>3546</v>
      </c>
      <c r="DFL3" t="s">
        <v>3547</v>
      </c>
      <c r="DFM3" t="s">
        <v>3548</v>
      </c>
      <c r="DFN3" t="s">
        <v>3549</v>
      </c>
      <c r="DFO3" t="s">
        <v>3550</v>
      </c>
      <c r="DFP3" t="s">
        <v>3551</v>
      </c>
      <c r="DFQ3" t="s">
        <v>3552</v>
      </c>
      <c r="DFR3" t="s">
        <v>3553</v>
      </c>
      <c r="DFS3" t="s">
        <v>3554</v>
      </c>
      <c r="DFT3" t="s">
        <v>3555</v>
      </c>
      <c r="DFU3" t="s">
        <v>3556</v>
      </c>
      <c r="DFV3" t="s">
        <v>3557</v>
      </c>
      <c r="DFW3" t="s">
        <v>3558</v>
      </c>
      <c r="DFX3" t="s">
        <v>3559</v>
      </c>
      <c r="DFY3" t="s">
        <v>3560</v>
      </c>
      <c r="DFZ3" t="s">
        <v>3561</v>
      </c>
      <c r="DGA3" t="s">
        <v>3562</v>
      </c>
      <c r="DGB3" t="s">
        <v>3563</v>
      </c>
      <c r="DGC3" t="s">
        <v>3564</v>
      </c>
      <c r="DGD3" t="s">
        <v>3565</v>
      </c>
      <c r="DGE3" t="s">
        <v>3566</v>
      </c>
      <c r="DGF3" t="s">
        <v>3567</v>
      </c>
      <c r="DGG3" t="s">
        <v>3568</v>
      </c>
      <c r="DGH3" t="s">
        <v>3569</v>
      </c>
      <c r="DGI3" t="s">
        <v>3570</v>
      </c>
      <c r="DGJ3" t="s">
        <v>3571</v>
      </c>
      <c r="DGK3" t="s">
        <v>3572</v>
      </c>
      <c r="DGL3" t="s">
        <v>3573</v>
      </c>
      <c r="DGM3" t="s">
        <v>3574</v>
      </c>
      <c r="DGN3" t="s">
        <v>3575</v>
      </c>
      <c r="DGO3" t="s">
        <v>3576</v>
      </c>
      <c r="DGP3" t="s">
        <v>3577</v>
      </c>
      <c r="DGQ3" t="s">
        <v>3578</v>
      </c>
      <c r="DGR3" t="s">
        <v>3579</v>
      </c>
      <c r="DGS3" t="s">
        <v>3580</v>
      </c>
      <c r="DGT3" t="s">
        <v>3581</v>
      </c>
      <c r="DGU3" t="s">
        <v>3582</v>
      </c>
      <c r="DGV3" t="s">
        <v>3583</v>
      </c>
      <c r="DGW3" t="s">
        <v>3584</v>
      </c>
      <c r="DGX3" t="s">
        <v>3585</v>
      </c>
      <c r="DGY3" t="s">
        <v>3586</v>
      </c>
      <c r="DGZ3" t="s">
        <v>3587</v>
      </c>
      <c r="DHA3" t="s">
        <v>3588</v>
      </c>
      <c r="DHB3" t="s">
        <v>3589</v>
      </c>
      <c r="DHC3" t="s">
        <v>3590</v>
      </c>
      <c r="DHD3" t="s">
        <v>3591</v>
      </c>
      <c r="DHE3" t="s">
        <v>3592</v>
      </c>
      <c r="DHF3" t="s">
        <v>3593</v>
      </c>
      <c r="DHG3" t="s">
        <v>3594</v>
      </c>
      <c r="DHH3" t="s">
        <v>3595</v>
      </c>
      <c r="DHI3" t="s">
        <v>3596</v>
      </c>
      <c r="DHJ3" t="s">
        <v>3597</v>
      </c>
      <c r="DHK3" t="s">
        <v>3598</v>
      </c>
      <c r="DHL3" t="s">
        <v>3599</v>
      </c>
      <c r="DHM3" t="s">
        <v>3600</v>
      </c>
      <c r="DHN3" t="s">
        <v>3601</v>
      </c>
      <c r="DHO3" t="s">
        <v>3602</v>
      </c>
      <c r="DHP3" t="s">
        <v>3603</v>
      </c>
      <c r="DHQ3" t="s">
        <v>3604</v>
      </c>
      <c r="DHR3" t="s">
        <v>3605</v>
      </c>
      <c r="DHS3" t="s">
        <v>3606</v>
      </c>
      <c r="DHT3" t="s">
        <v>3607</v>
      </c>
      <c r="DHU3" t="s">
        <v>3608</v>
      </c>
      <c r="DHV3" t="s">
        <v>3609</v>
      </c>
      <c r="DHW3" t="s">
        <v>3610</v>
      </c>
      <c r="DHX3" t="s">
        <v>3611</v>
      </c>
      <c r="DHY3" t="s">
        <v>3612</v>
      </c>
      <c r="DHZ3" t="s">
        <v>3613</v>
      </c>
      <c r="DIA3" t="s">
        <v>3614</v>
      </c>
      <c r="DIB3" t="s">
        <v>3615</v>
      </c>
      <c r="DIC3" t="s">
        <v>3616</v>
      </c>
      <c r="DID3" t="s">
        <v>3617</v>
      </c>
      <c r="DIE3" t="s">
        <v>3618</v>
      </c>
      <c r="DIF3" t="s">
        <v>3619</v>
      </c>
      <c r="DIG3" t="s">
        <v>3620</v>
      </c>
      <c r="DIH3" t="s">
        <v>3621</v>
      </c>
      <c r="DII3" t="s">
        <v>3622</v>
      </c>
      <c r="DIJ3" t="s">
        <v>3623</v>
      </c>
      <c r="DIK3" t="s">
        <v>3624</v>
      </c>
      <c r="DIL3" t="s">
        <v>3625</v>
      </c>
      <c r="DIM3" t="s">
        <v>3626</v>
      </c>
      <c r="DIN3" t="s">
        <v>3627</v>
      </c>
      <c r="DIO3" t="s">
        <v>3628</v>
      </c>
      <c r="DIP3" t="s">
        <v>3629</v>
      </c>
      <c r="DIQ3" t="s">
        <v>3630</v>
      </c>
      <c r="DIR3" t="s">
        <v>3631</v>
      </c>
      <c r="DIS3" t="s">
        <v>3632</v>
      </c>
      <c r="DIT3" t="s">
        <v>3633</v>
      </c>
      <c r="DIU3" t="s">
        <v>3634</v>
      </c>
      <c r="DIV3" t="s">
        <v>3635</v>
      </c>
      <c r="DIW3" t="s">
        <v>3636</v>
      </c>
      <c r="DIX3" t="s">
        <v>3637</v>
      </c>
      <c r="DIY3" t="s">
        <v>3638</v>
      </c>
      <c r="DIZ3" t="s">
        <v>3639</v>
      </c>
      <c r="DJA3" t="s">
        <v>3640</v>
      </c>
      <c r="DJB3" t="s">
        <v>3641</v>
      </c>
      <c r="DJC3" t="s">
        <v>3642</v>
      </c>
      <c r="DJD3" t="s">
        <v>3643</v>
      </c>
      <c r="DJE3" t="s">
        <v>3644</v>
      </c>
      <c r="DJF3" t="s">
        <v>3645</v>
      </c>
      <c r="DJG3" t="s">
        <v>3646</v>
      </c>
      <c r="DJH3" t="s">
        <v>3647</v>
      </c>
      <c r="DJI3" t="s">
        <v>3648</v>
      </c>
      <c r="DJJ3" t="s">
        <v>3649</v>
      </c>
      <c r="DJK3" t="s">
        <v>3650</v>
      </c>
      <c r="DJL3" t="s">
        <v>3651</v>
      </c>
      <c r="DJM3" t="s">
        <v>3652</v>
      </c>
      <c r="DJN3" t="s">
        <v>3653</v>
      </c>
      <c r="DJO3" t="s">
        <v>3654</v>
      </c>
      <c r="DJP3" t="s">
        <v>3655</v>
      </c>
      <c r="DJQ3" t="s">
        <v>3656</v>
      </c>
      <c r="DJR3" t="s">
        <v>3657</v>
      </c>
      <c r="DJS3" t="s">
        <v>3658</v>
      </c>
      <c r="DJT3" t="s">
        <v>3659</v>
      </c>
      <c r="DJU3" t="s">
        <v>3660</v>
      </c>
      <c r="DJV3" t="s">
        <v>3661</v>
      </c>
      <c r="DJW3" t="s">
        <v>3662</v>
      </c>
      <c r="DJX3" t="s">
        <v>3663</v>
      </c>
      <c r="DJY3" t="s">
        <v>3664</v>
      </c>
      <c r="DJZ3" t="s">
        <v>3665</v>
      </c>
      <c r="DKA3" t="s">
        <v>3666</v>
      </c>
      <c r="DKB3" t="s">
        <v>3667</v>
      </c>
      <c r="DKC3" t="s">
        <v>3668</v>
      </c>
      <c r="DKD3" t="s">
        <v>3669</v>
      </c>
      <c r="DKE3" t="s">
        <v>3670</v>
      </c>
      <c r="DKF3" t="s">
        <v>3671</v>
      </c>
      <c r="DKG3" t="s">
        <v>3672</v>
      </c>
      <c r="DKH3" t="s">
        <v>3673</v>
      </c>
      <c r="DKI3" t="s">
        <v>3674</v>
      </c>
      <c r="DKJ3" t="s">
        <v>3675</v>
      </c>
      <c r="DKK3" t="s">
        <v>3676</v>
      </c>
      <c r="DKL3" t="s">
        <v>3677</v>
      </c>
      <c r="DKM3" t="s">
        <v>3678</v>
      </c>
      <c r="DKN3" t="s">
        <v>3679</v>
      </c>
      <c r="DKO3" t="s">
        <v>3680</v>
      </c>
      <c r="DKP3" t="s">
        <v>3681</v>
      </c>
      <c r="DKQ3" t="s">
        <v>3682</v>
      </c>
      <c r="DKR3" t="s">
        <v>3683</v>
      </c>
      <c r="DKS3" t="s">
        <v>3684</v>
      </c>
      <c r="DKT3" t="s">
        <v>3685</v>
      </c>
      <c r="DKU3" t="s">
        <v>3686</v>
      </c>
      <c r="DKV3" t="s">
        <v>3687</v>
      </c>
      <c r="DKW3" t="s">
        <v>3688</v>
      </c>
      <c r="DKX3" t="s">
        <v>3689</v>
      </c>
      <c r="DKY3" t="s">
        <v>3690</v>
      </c>
      <c r="DKZ3" t="s">
        <v>3691</v>
      </c>
      <c r="DLA3" t="s">
        <v>3692</v>
      </c>
      <c r="DLB3" t="s">
        <v>3693</v>
      </c>
      <c r="DLC3" t="s">
        <v>3694</v>
      </c>
      <c r="DLD3" t="s">
        <v>3695</v>
      </c>
      <c r="DLE3" t="s">
        <v>3696</v>
      </c>
      <c r="DLF3" t="s">
        <v>3697</v>
      </c>
      <c r="DLG3" t="s">
        <v>3698</v>
      </c>
      <c r="DLH3" t="s">
        <v>3699</v>
      </c>
      <c r="DLI3" t="s">
        <v>3700</v>
      </c>
      <c r="DLJ3" t="s">
        <v>3701</v>
      </c>
      <c r="DLK3" t="s">
        <v>3702</v>
      </c>
      <c r="DLL3" t="s">
        <v>3703</v>
      </c>
      <c r="DLM3" t="s">
        <v>3704</v>
      </c>
      <c r="DLN3" t="s">
        <v>3705</v>
      </c>
      <c r="DLO3" t="s">
        <v>3706</v>
      </c>
      <c r="DLP3" t="s">
        <v>3707</v>
      </c>
      <c r="DLQ3" t="s">
        <v>3708</v>
      </c>
      <c r="DLR3" t="s">
        <v>3709</v>
      </c>
      <c r="DLS3" t="s">
        <v>3710</v>
      </c>
      <c r="DLT3" t="s">
        <v>3711</v>
      </c>
      <c r="DLU3" t="s">
        <v>3712</v>
      </c>
      <c r="DLV3" t="s">
        <v>3713</v>
      </c>
      <c r="DLW3" t="s">
        <v>3714</v>
      </c>
      <c r="DLX3" t="s">
        <v>3715</v>
      </c>
      <c r="DLY3" t="s">
        <v>3716</v>
      </c>
      <c r="DLZ3" t="s">
        <v>3717</v>
      </c>
      <c r="DMA3" t="s">
        <v>3718</v>
      </c>
      <c r="DMB3" t="s">
        <v>3719</v>
      </c>
      <c r="DMC3" t="s">
        <v>3720</v>
      </c>
      <c r="DMD3" t="s">
        <v>3721</v>
      </c>
      <c r="DME3" t="s">
        <v>3722</v>
      </c>
      <c r="DMF3" t="s">
        <v>3723</v>
      </c>
      <c r="DMG3" t="s">
        <v>3724</v>
      </c>
      <c r="DMH3" t="s">
        <v>3725</v>
      </c>
      <c r="DMI3" t="s">
        <v>3726</v>
      </c>
      <c r="DMJ3" t="s">
        <v>3727</v>
      </c>
      <c r="DMK3" t="s">
        <v>3728</v>
      </c>
      <c r="DML3" t="s">
        <v>3729</v>
      </c>
      <c r="DMM3" t="s">
        <v>3730</v>
      </c>
      <c r="DMN3" t="s">
        <v>3731</v>
      </c>
      <c r="DMO3" t="s">
        <v>3732</v>
      </c>
      <c r="DMP3" t="s">
        <v>3733</v>
      </c>
      <c r="DMQ3" t="s">
        <v>3734</v>
      </c>
      <c r="DMR3" t="s">
        <v>3735</v>
      </c>
      <c r="DMS3" t="s">
        <v>3736</v>
      </c>
      <c r="DMT3" t="s">
        <v>3737</v>
      </c>
      <c r="DMU3" t="s">
        <v>3738</v>
      </c>
      <c r="DMV3" t="s">
        <v>3739</v>
      </c>
      <c r="DMW3" t="s">
        <v>3740</v>
      </c>
      <c r="DMX3" t="s">
        <v>3741</v>
      </c>
      <c r="DMY3" t="s">
        <v>3742</v>
      </c>
      <c r="DMZ3" t="s">
        <v>3743</v>
      </c>
      <c r="DNA3" t="s">
        <v>3744</v>
      </c>
      <c r="DNB3" t="s">
        <v>3745</v>
      </c>
      <c r="DNC3" t="s">
        <v>3746</v>
      </c>
      <c r="DND3" t="s">
        <v>3747</v>
      </c>
      <c r="DNE3" t="s">
        <v>3748</v>
      </c>
      <c r="DNF3" t="s">
        <v>3749</v>
      </c>
      <c r="DNG3" t="s">
        <v>3750</v>
      </c>
      <c r="DNH3" t="s">
        <v>3751</v>
      </c>
      <c r="DNI3" t="s">
        <v>3752</v>
      </c>
      <c r="DNJ3" t="s">
        <v>3753</v>
      </c>
      <c r="DNK3" t="s">
        <v>3754</v>
      </c>
      <c r="DNL3" t="s">
        <v>3755</v>
      </c>
      <c r="DNM3" t="s">
        <v>3756</v>
      </c>
      <c r="DNN3" t="s">
        <v>3757</v>
      </c>
      <c r="DNO3" t="s">
        <v>3758</v>
      </c>
      <c r="DNP3" t="s">
        <v>3759</v>
      </c>
      <c r="DNQ3" t="s">
        <v>3760</v>
      </c>
      <c r="DNR3" t="s">
        <v>3761</v>
      </c>
      <c r="DNS3" t="s">
        <v>3762</v>
      </c>
      <c r="DNT3" t="s">
        <v>3763</v>
      </c>
      <c r="DNU3" t="s">
        <v>3764</v>
      </c>
      <c r="DNV3" t="s">
        <v>3765</v>
      </c>
      <c r="DNW3" t="s">
        <v>3766</v>
      </c>
      <c r="DNX3" t="s">
        <v>3767</v>
      </c>
      <c r="DNY3" t="s">
        <v>3768</v>
      </c>
      <c r="DNZ3" t="s">
        <v>3769</v>
      </c>
      <c r="DOA3" t="s">
        <v>3770</v>
      </c>
      <c r="DOB3" t="s">
        <v>3771</v>
      </c>
      <c r="DOC3" t="s">
        <v>3772</v>
      </c>
      <c r="DOD3" t="s">
        <v>3773</v>
      </c>
      <c r="DOE3" t="s">
        <v>3774</v>
      </c>
      <c r="DOF3" t="s">
        <v>3775</v>
      </c>
      <c r="DOG3" t="s">
        <v>3776</v>
      </c>
      <c r="DOH3" t="s">
        <v>3777</v>
      </c>
      <c r="DOI3" t="s">
        <v>3778</v>
      </c>
      <c r="DOJ3" t="s">
        <v>3779</v>
      </c>
      <c r="DOK3" t="s">
        <v>3780</v>
      </c>
      <c r="DOL3" t="s">
        <v>3781</v>
      </c>
      <c r="DOM3" t="s">
        <v>3782</v>
      </c>
      <c r="DON3" t="s">
        <v>3783</v>
      </c>
      <c r="DOO3" t="s">
        <v>3784</v>
      </c>
      <c r="DOP3" t="s">
        <v>3785</v>
      </c>
      <c r="DOQ3" t="s">
        <v>3786</v>
      </c>
      <c r="DOR3" t="s">
        <v>3787</v>
      </c>
      <c r="DOS3" t="s">
        <v>3788</v>
      </c>
      <c r="DOT3" t="s">
        <v>3789</v>
      </c>
      <c r="DOU3" t="s">
        <v>3790</v>
      </c>
      <c r="DOV3" t="s">
        <v>3791</v>
      </c>
      <c r="DOW3" t="s">
        <v>3792</v>
      </c>
      <c r="DOX3" t="s">
        <v>3793</v>
      </c>
      <c r="DOY3" t="s">
        <v>3794</v>
      </c>
      <c r="DOZ3" t="s">
        <v>3795</v>
      </c>
      <c r="DPA3" t="s">
        <v>3796</v>
      </c>
      <c r="DPB3" t="s">
        <v>3797</v>
      </c>
      <c r="DPC3" t="s">
        <v>3798</v>
      </c>
      <c r="DPD3" t="s">
        <v>3799</v>
      </c>
      <c r="DPE3" t="s">
        <v>3800</v>
      </c>
      <c r="DPF3" t="s">
        <v>3801</v>
      </c>
      <c r="DPG3" t="s">
        <v>3802</v>
      </c>
      <c r="DPH3" t="s">
        <v>3803</v>
      </c>
      <c r="DPI3" t="s">
        <v>3804</v>
      </c>
      <c r="DPJ3" t="s">
        <v>3805</v>
      </c>
      <c r="DPK3" t="s">
        <v>3806</v>
      </c>
      <c r="DPL3" t="s">
        <v>3807</v>
      </c>
      <c r="DPM3" t="s">
        <v>3808</v>
      </c>
      <c r="DPN3" t="s">
        <v>3809</v>
      </c>
      <c r="DPO3" t="s">
        <v>3810</v>
      </c>
      <c r="DPP3" t="s">
        <v>3811</v>
      </c>
      <c r="DPQ3" t="s">
        <v>3812</v>
      </c>
      <c r="DPR3" t="s">
        <v>3813</v>
      </c>
      <c r="DPS3" t="s">
        <v>3814</v>
      </c>
      <c r="DPT3" t="s">
        <v>3815</v>
      </c>
      <c r="DPU3" t="s">
        <v>3816</v>
      </c>
      <c r="DPV3" t="s">
        <v>3817</v>
      </c>
      <c r="DPW3" t="s">
        <v>3818</v>
      </c>
      <c r="DPX3" t="s">
        <v>3819</v>
      </c>
      <c r="DPY3" t="s">
        <v>3820</v>
      </c>
      <c r="DPZ3" t="s">
        <v>3821</v>
      </c>
      <c r="DQA3" t="s">
        <v>3822</v>
      </c>
      <c r="DQB3" t="s">
        <v>3823</v>
      </c>
      <c r="DQC3" t="s">
        <v>3824</v>
      </c>
      <c r="DQD3" t="s">
        <v>3825</v>
      </c>
      <c r="DQE3" t="s">
        <v>3826</v>
      </c>
      <c r="DQF3" t="s">
        <v>3827</v>
      </c>
      <c r="DQG3" t="s">
        <v>3828</v>
      </c>
      <c r="DQH3" t="s">
        <v>3829</v>
      </c>
      <c r="DQI3" t="s">
        <v>3830</v>
      </c>
      <c r="DQJ3" t="s">
        <v>3831</v>
      </c>
      <c r="DQK3" t="s">
        <v>3832</v>
      </c>
      <c r="DQL3" t="s">
        <v>3833</v>
      </c>
      <c r="DQM3" t="s">
        <v>3834</v>
      </c>
      <c r="DQN3" t="s">
        <v>3835</v>
      </c>
      <c r="DQO3" t="s">
        <v>3836</v>
      </c>
      <c r="DQP3" t="s">
        <v>3837</v>
      </c>
      <c r="DQQ3" t="s">
        <v>3838</v>
      </c>
      <c r="DQR3" t="s">
        <v>3839</v>
      </c>
      <c r="DQS3" t="s">
        <v>3840</v>
      </c>
      <c r="DQT3" t="s">
        <v>3841</v>
      </c>
      <c r="DQU3" t="s">
        <v>3842</v>
      </c>
      <c r="DQV3" t="s">
        <v>3843</v>
      </c>
      <c r="DQW3" t="s">
        <v>3844</v>
      </c>
      <c r="DQX3" t="s">
        <v>3845</v>
      </c>
      <c r="DQY3" t="s">
        <v>3846</v>
      </c>
      <c r="DQZ3" t="s">
        <v>3847</v>
      </c>
      <c r="DRA3" t="s">
        <v>3848</v>
      </c>
      <c r="DRB3" t="s">
        <v>3849</v>
      </c>
      <c r="DRC3" t="s">
        <v>3850</v>
      </c>
      <c r="DRD3" t="s">
        <v>3851</v>
      </c>
      <c r="DRE3" t="s">
        <v>3852</v>
      </c>
      <c r="DRF3" t="s">
        <v>3853</v>
      </c>
      <c r="DRG3" t="s">
        <v>3854</v>
      </c>
      <c r="DRH3" t="s">
        <v>3855</v>
      </c>
      <c r="DRI3" t="s">
        <v>3856</v>
      </c>
      <c r="DRJ3" t="s">
        <v>3857</v>
      </c>
      <c r="DRK3" t="s">
        <v>3858</v>
      </c>
      <c r="DRL3" t="s">
        <v>3859</v>
      </c>
      <c r="DRM3" t="s">
        <v>3860</v>
      </c>
      <c r="DRN3" t="s">
        <v>3861</v>
      </c>
      <c r="DRO3" t="s">
        <v>3862</v>
      </c>
      <c r="DRP3" t="s">
        <v>3863</v>
      </c>
      <c r="DRQ3" t="s">
        <v>3864</v>
      </c>
      <c r="DRR3" t="s">
        <v>3865</v>
      </c>
      <c r="DRS3" t="s">
        <v>3866</v>
      </c>
      <c r="DRT3" t="s">
        <v>3867</v>
      </c>
      <c r="DRU3" t="s">
        <v>3868</v>
      </c>
      <c r="DRV3" t="s">
        <v>3869</v>
      </c>
      <c r="DRW3" t="s">
        <v>3870</v>
      </c>
      <c r="DRX3" t="s">
        <v>3871</v>
      </c>
      <c r="DRY3" t="s">
        <v>3872</v>
      </c>
      <c r="DRZ3" t="s">
        <v>3873</v>
      </c>
      <c r="DSA3" t="s">
        <v>3874</v>
      </c>
      <c r="DSB3" t="s">
        <v>3875</v>
      </c>
      <c r="DSC3" t="s">
        <v>3876</v>
      </c>
      <c r="DSD3" t="s">
        <v>3877</v>
      </c>
      <c r="DSE3" t="s">
        <v>3878</v>
      </c>
      <c r="DSF3" t="s">
        <v>3879</v>
      </c>
      <c r="DSG3" t="s">
        <v>3880</v>
      </c>
      <c r="DSH3" t="s">
        <v>3881</v>
      </c>
      <c r="DSI3" t="s">
        <v>3882</v>
      </c>
      <c r="DSJ3" t="s">
        <v>3883</v>
      </c>
      <c r="DSK3" t="s">
        <v>3884</v>
      </c>
      <c r="DSL3" t="s">
        <v>3885</v>
      </c>
      <c r="DSM3" t="s">
        <v>3886</v>
      </c>
      <c r="DSN3" t="s">
        <v>3887</v>
      </c>
      <c r="DSO3" t="s">
        <v>3888</v>
      </c>
      <c r="DSP3" t="s">
        <v>3889</v>
      </c>
      <c r="DSQ3" t="s">
        <v>3890</v>
      </c>
      <c r="DSR3" t="s">
        <v>3891</v>
      </c>
      <c r="DSS3" t="s">
        <v>3892</v>
      </c>
      <c r="DST3" t="s">
        <v>3893</v>
      </c>
      <c r="DSU3" t="s">
        <v>3894</v>
      </c>
      <c r="DSV3" t="s">
        <v>3895</v>
      </c>
      <c r="DSW3" t="s">
        <v>3896</v>
      </c>
      <c r="DSX3" t="s">
        <v>3897</v>
      </c>
      <c r="DSY3" t="s">
        <v>3898</v>
      </c>
      <c r="DSZ3" t="s">
        <v>3899</v>
      </c>
      <c r="DTA3" t="s">
        <v>3900</v>
      </c>
      <c r="DTB3" t="s">
        <v>3901</v>
      </c>
      <c r="DTC3" t="s">
        <v>3902</v>
      </c>
      <c r="DTD3" t="s">
        <v>3903</v>
      </c>
      <c r="DTE3" t="s">
        <v>3904</v>
      </c>
      <c r="DTF3" t="s">
        <v>3905</v>
      </c>
      <c r="DTG3" t="s">
        <v>3906</v>
      </c>
      <c r="DTH3" t="s">
        <v>3907</v>
      </c>
      <c r="DTI3" t="s">
        <v>3908</v>
      </c>
      <c r="DTJ3" t="s">
        <v>3909</v>
      </c>
      <c r="DTK3" t="s">
        <v>3910</v>
      </c>
      <c r="DTL3" t="s">
        <v>3911</v>
      </c>
      <c r="DTM3" t="s">
        <v>3912</v>
      </c>
      <c r="DTN3" t="s">
        <v>3913</v>
      </c>
      <c r="DTO3" t="s">
        <v>3914</v>
      </c>
      <c r="DTP3" t="s">
        <v>3915</v>
      </c>
      <c r="DTQ3" t="s">
        <v>3916</v>
      </c>
      <c r="DTR3" t="s">
        <v>3917</v>
      </c>
      <c r="DTS3" t="s">
        <v>3918</v>
      </c>
      <c r="DTT3" t="s">
        <v>3919</v>
      </c>
      <c r="DTU3" t="s">
        <v>3920</v>
      </c>
      <c r="DTV3" t="s">
        <v>3921</v>
      </c>
      <c r="DTW3" t="s">
        <v>3922</v>
      </c>
      <c r="DTX3" t="s">
        <v>3923</v>
      </c>
      <c r="DTY3" t="s">
        <v>3924</v>
      </c>
      <c r="DTZ3" t="s">
        <v>3925</v>
      </c>
      <c r="DUA3" t="s">
        <v>3926</v>
      </c>
      <c r="DUB3" t="s">
        <v>3927</v>
      </c>
      <c r="DUC3" t="s">
        <v>3928</v>
      </c>
      <c r="DUD3" t="s">
        <v>3929</v>
      </c>
      <c r="DUE3" t="s">
        <v>3930</v>
      </c>
      <c r="DUF3" t="s">
        <v>3931</v>
      </c>
      <c r="DUG3" t="s">
        <v>3932</v>
      </c>
      <c r="DUH3" t="s">
        <v>3933</v>
      </c>
      <c r="DUI3" t="s">
        <v>3934</v>
      </c>
      <c r="DUJ3" t="s">
        <v>3935</v>
      </c>
      <c r="DUK3" t="s">
        <v>3936</v>
      </c>
      <c r="DUL3" t="s">
        <v>3937</v>
      </c>
      <c r="DUM3" t="s">
        <v>3938</v>
      </c>
      <c r="DUN3" t="s">
        <v>3939</v>
      </c>
      <c r="DUO3" t="s">
        <v>3940</v>
      </c>
      <c r="DUP3" t="s">
        <v>3941</v>
      </c>
      <c r="DUQ3" t="s">
        <v>3942</v>
      </c>
      <c r="DUR3" t="s">
        <v>3943</v>
      </c>
      <c r="DUS3" t="s">
        <v>3944</v>
      </c>
      <c r="DUT3" t="s">
        <v>3945</v>
      </c>
      <c r="DUU3" t="s">
        <v>3946</v>
      </c>
      <c r="DUV3" t="s">
        <v>3947</v>
      </c>
      <c r="DUW3" t="s">
        <v>3948</v>
      </c>
      <c r="DUX3" t="s">
        <v>3949</v>
      </c>
      <c r="DUY3" t="s">
        <v>3950</v>
      </c>
      <c r="DUZ3" t="s">
        <v>3951</v>
      </c>
      <c r="DVA3" t="s">
        <v>3952</v>
      </c>
      <c r="DVB3" t="s">
        <v>3953</v>
      </c>
      <c r="DVC3" t="s">
        <v>3954</v>
      </c>
      <c r="DVD3" t="s">
        <v>3955</v>
      </c>
      <c r="DVE3" t="s">
        <v>3956</v>
      </c>
      <c r="DVF3" t="s">
        <v>3957</v>
      </c>
      <c r="DVG3" t="s">
        <v>3958</v>
      </c>
      <c r="DVH3" t="s">
        <v>3959</v>
      </c>
      <c r="DVI3" t="s">
        <v>3960</v>
      </c>
      <c r="DVJ3" t="s">
        <v>3961</v>
      </c>
      <c r="DVK3" t="s">
        <v>3962</v>
      </c>
      <c r="DVL3" t="s">
        <v>3963</v>
      </c>
      <c r="DVM3" t="s">
        <v>3964</v>
      </c>
      <c r="DVN3" t="s">
        <v>3965</v>
      </c>
      <c r="DVO3" t="s">
        <v>3966</v>
      </c>
      <c r="DVP3" t="s">
        <v>3967</v>
      </c>
      <c r="DVQ3" t="s">
        <v>3968</v>
      </c>
      <c r="DVR3" t="s">
        <v>3969</v>
      </c>
      <c r="DVS3" t="s">
        <v>3970</v>
      </c>
      <c r="DVT3" t="s">
        <v>3971</v>
      </c>
      <c r="DVU3" t="s">
        <v>3972</v>
      </c>
      <c r="DVV3" t="s">
        <v>3973</v>
      </c>
      <c r="DVW3" t="s">
        <v>3974</v>
      </c>
      <c r="DVX3" t="s">
        <v>3975</v>
      </c>
      <c r="DVY3" t="s">
        <v>3976</v>
      </c>
      <c r="DVZ3" t="s">
        <v>3977</v>
      </c>
      <c r="DWA3" t="s">
        <v>3978</v>
      </c>
      <c r="DWB3" t="s">
        <v>3979</v>
      </c>
      <c r="DWC3" t="s">
        <v>3980</v>
      </c>
      <c r="DWD3" t="s">
        <v>3981</v>
      </c>
      <c r="DWE3" t="s">
        <v>3982</v>
      </c>
      <c r="DWF3" t="s">
        <v>3983</v>
      </c>
      <c r="DWG3" t="s">
        <v>3984</v>
      </c>
      <c r="DWH3" t="s">
        <v>3985</v>
      </c>
      <c r="DWI3" t="s">
        <v>3986</v>
      </c>
      <c r="DWJ3" t="s">
        <v>3987</v>
      </c>
      <c r="DWK3" t="s">
        <v>3988</v>
      </c>
      <c r="DWL3" t="s">
        <v>3989</v>
      </c>
      <c r="DWM3" t="s">
        <v>3990</v>
      </c>
      <c r="DWN3" t="s">
        <v>3991</v>
      </c>
      <c r="DWO3" t="s">
        <v>3992</v>
      </c>
      <c r="DWP3" t="s">
        <v>3993</v>
      </c>
      <c r="DWQ3" t="s">
        <v>3994</v>
      </c>
      <c r="DWR3" t="s">
        <v>3995</v>
      </c>
      <c r="DWS3" t="s">
        <v>3996</v>
      </c>
      <c r="DWT3" t="s">
        <v>3997</v>
      </c>
      <c r="DWU3" t="s">
        <v>3998</v>
      </c>
      <c r="DWV3" t="s">
        <v>3999</v>
      </c>
      <c r="DWW3" t="s">
        <v>4000</v>
      </c>
      <c r="DWX3" t="s">
        <v>4001</v>
      </c>
      <c r="DWY3" t="s">
        <v>4002</v>
      </c>
      <c r="DWZ3" t="s">
        <v>4003</v>
      </c>
      <c r="DXA3" t="s">
        <v>4004</v>
      </c>
      <c r="DXB3" t="s">
        <v>4005</v>
      </c>
      <c r="DXC3" t="s">
        <v>4006</v>
      </c>
      <c r="DXD3" t="s">
        <v>4007</v>
      </c>
      <c r="DXE3" t="s">
        <v>4008</v>
      </c>
      <c r="DXF3" t="s">
        <v>4009</v>
      </c>
      <c r="DXG3" t="s">
        <v>4010</v>
      </c>
      <c r="DXH3" t="s">
        <v>4011</v>
      </c>
      <c r="DXI3" t="s">
        <v>4012</v>
      </c>
      <c r="DXJ3" t="s">
        <v>4013</v>
      </c>
      <c r="DXK3" t="s">
        <v>4014</v>
      </c>
      <c r="DXL3" t="s">
        <v>4015</v>
      </c>
      <c r="DXM3" t="s">
        <v>4016</v>
      </c>
      <c r="DXN3" t="s">
        <v>4017</v>
      </c>
      <c r="DXO3" t="s">
        <v>4018</v>
      </c>
      <c r="DXP3" t="s">
        <v>4019</v>
      </c>
      <c r="DXQ3" t="s">
        <v>4020</v>
      </c>
      <c r="DXR3" t="s">
        <v>4021</v>
      </c>
      <c r="DXS3" t="s">
        <v>4022</v>
      </c>
      <c r="DXT3" t="s">
        <v>4023</v>
      </c>
      <c r="DXU3" t="s">
        <v>4024</v>
      </c>
      <c r="DXV3" t="s">
        <v>4025</v>
      </c>
      <c r="DXW3" t="s">
        <v>4026</v>
      </c>
      <c r="DXX3" t="s">
        <v>4027</v>
      </c>
      <c r="DXY3" t="s">
        <v>4028</v>
      </c>
      <c r="DXZ3" t="s">
        <v>4029</v>
      </c>
      <c r="DYA3" t="s">
        <v>4030</v>
      </c>
      <c r="DYB3" t="s">
        <v>4031</v>
      </c>
      <c r="DYC3" t="s">
        <v>4032</v>
      </c>
      <c r="DYD3" t="s">
        <v>4033</v>
      </c>
      <c r="DYE3" t="s">
        <v>4034</v>
      </c>
      <c r="DYF3" t="s">
        <v>4035</v>
      </c>
      <c r="DYG3" t="s">
        <v>4036</v>
      </c>
      <c r="DYH3" t="s">
        <v>4037</v>
      </c>
      <c r="DYI3" t="s">
        <v>4038</v>
      </c>
      <c r="DYJ3" t="s">
        <v>4039</v>
      </c>
      <c r="DYK3" t="s">
        <v>4040</v>
      </c>
      <c r="DYL3" t="s">
        <v>4041</v>
      </c>
      <c r="DYM3" t="s">
        <v>4042</v>
      </c>
      <c r="DYN3" t="s">
        <v>4043</v>
      </c>
      <c r="DYO3" t="s">
        <v>4044</v>
      </c>
      <c r="DYP3" t="s">
        <v>4045</v>
      </c>
      <c r="DYQ3" t="s">
        <v>4046</v>
      </c>
      <c r="DYR3" t="s">
        <v>4047</v>
      </c>
      <c r="DYS3" t="s">
        <v>4048</v>
      </c>
      <c r="DYT3" t="s">
        <v>4049</v>
      </c>
      <c r="DYU3" t="s">
        <v>4050</v>
      </c>
      <c r="DYV3" t="s">
        <v>4051</v>
      </c>
      <c r="DYW3" t="s">
        <v>4052</v>
      </c>
      <c r="DYX3" t="s">
        <v>4053</v>
      </c>
      <c r="DYY3" t="s">
        <v>4054</v>
      </c>
      <c r="DYZ3" t="s">
        <v>4055</v>
      </c>
      <c r="DZA3" t="s">
        <v>4056</v>
      </c>
      <c r="DZB3" t="s">
        <v>4057</v>
      </c>
      <c r="DZC3" t="s">
        <v>4058</v>
      </c>
      <c r="DZD3" t="s">
        <v>4059</v>
      </c>
      <c r="DZE3" t="s">
        <v>4060</v>
      </c>
      <c r="DZF3" t="s">
        <v>4061</v>
      </c>
      <c r="DZG3" t="s">
        <v>4062</v>
      </c>
      <c r="DZH3" t="s">
        <v>4063</v>
      </c>
      <c r="DZI3" t="s">
        <v>4064</v>
      </c>
      <c r="DZJ3" t="s">
        <v>4065</v>
      </c>
      <c r="DZK3" t="s">
        <v>4066</v>
      </c>
      <c r="DZL3" t="s">
        <v>4067</v>
      </c>
      <c r="DZM3" t="s">
        <v>4068</v>
      </c>
      <c r="DZN3" t="s">
        <v>4069</v>
      </c>
      <c r="DZO3" t="s">
        <v>4070</v>
      </c>
      <c r="DZP3" t="s">
        <v>4071</v>
      </c>
      <c r="DZQ3" t="s">
        <v>4072</v>
      </c>
      <c r="DZR3" t="s">
        <v>4073</v>
      </c>
      <c r="DZS3" t="s">
        <v>4074</v>
      </c>
      <c r="DZT3" t="s">
        <v>4075</v>
      </c>
      <c r="DZU3" t="s">
        <v>4076</v>
      </c>
      <c r="DZV3" t="s">
        <v>4077</v>
      </c>
      <c r="DZW3" t="s">
        <v>4078</v>
      </c>
      <c r="DZX3" t="s">
        <v>4079</v>
      </c>
      <c r="DZY3" t="s">
        <v>4080</v>
      </c>
      <c r="DZZ3" t="s">
        <v>4081</v>
      </c>
      <c r="EAA3" t="s">
        <v>4082</v>
      </c>
      <c r="EAB3" t="s">
        <v>4083</v>
      </c>
      <c r="EAC3" t="s">
        <v>4084</v>
      </c>
      <c r="EAD3" t="s">
        <v>4085</v>
      </c>
      <c r="EAE3" t="s">
        <v>4086</v>
      </c>
      <c r="EAF3" t="s">
        <v>4087</v>
      </c>
      <c r="EAG3" t="s">
        <v>4088</v>
      </c>
      <c r="EAH3" t="s">
        <v>4089</v>
      </c>
      <c r="EAI3" t="s">
        <v>4090</v>
      </c>
      <c r="EAJ3" t="s">
        <v>4091</v>
      </c>
      <c r="EAK3" t="s">
        <v>4092</v>
      </c>
      <c r="EAL3" t="s">
        <v>4093</v>
      </c>
      <c r="EAM3" t="s">
        <v>4094</v>
      </c>
      <c r="EAN3" t="s">
        <v>4095</v>
      </c>
      <c r="EAO3" t="s">
        <v>4096</v>
      </c>
      <c r="EAP3" t="s">
        <v>4097</v>
      </c>
      <c r="EAQ3" t="s">
        <v>4098</v>
      </c>
      <c r="EAR3" t="s">
        <v>4099</v>
      </c>
      <c r="EAS3" t="s">
        <v>4100</v>
      </c>
      <c r="EAT3" t="s">
        <v>4101</v>
      </c>
      <c r="EAU3" t="s">
        <v>4102</v>
      </c>
      <c r="EAV3" t="s">
        <v>4103</v>
      </c>
      <c r="EAW3" t="s">
        <v>4104</v>
      </c>
      <c r="EAX3" t="s">
        <v>4105</v>
      </c>
      <c r="EAY3" t="s">
        <v>4106</v>
      </c>
      <c r="EAZ3" t="s">
        <v>4107</v>
      </c>
      <c r="EBA3" t="s">
        <v>4108</v>
      </c>
      <c r="EBB3" t="s">
        <v>4109</v>
      </c>
      <c r="EBC3" t="s">
        <v>4110</v>
      </c>
      <c r="EBD3" t="s">
        <v>4111</v>
      </c>
      <c r="EBE3" t="s">
        <v>4112</v>
      </c>
      <c r="EBF3" t="s">
        <v>4113</v>
      </c>
      <c r="EBG3" t="s">
        <v>4114</v>
      </c>
      <c r="EBH3" t="s">
        <v>4115</v>
      </c>
      <c r="EBI3" t="s">
        <v>4116</v>
      </c>
      <c r="EBJ3" t="s">
        <v>4117</v>
      </c>
      <c r="EBK3" t="s">
        <v>4118</v>
      </c>
      <c r="EBL3" t="s">
        <v>4119</v>
      </c>
      <c r="EBM3" t="s">
        <v>4120</v>
      </c>
      <c r="EBN3" t="s">
        <v>4121</v>
      </c>
      <c r="EBO3" t="s">
        <v>4122</v>
      </c>
      <c r="EBP3" t="s">
        <v>4123</v>
      </c>
      <c r="EBQ3" t="s">
        <v>4124</v>
      </c>
      <c r="EBR3" t="s">
        <v>4125</v>
      </c>
      <c r="EBS3" t="s">
        <v>4126</v>
      </c>
      <c r="EBT3" t="s">
        <v>4127</v>
      </c>
      <c r="EBU3" t="s">
        <v>4128</v>
      </c>
      <c r="EBV3" t="s">
        <v>4129</v>
      </c>
      <c r="EBW3" t="s">
        <v>4130</v>
      </c>
      <c r="EBX3" t="s">
        <v>4131</v>
      </c>
      <c r="EBY3" t="s">
        <v>4132</v>
      </c>
      <c r="EBZ3" t="s">
        <v>4133</v>
      </c>
      <c r="ECA3" t="s">
        <v>4134</v>
      </c>
      <c r="ECB3" t="s">
        <v>4135</v>
      </c>
      <c r="ECC3" t="s">
        <v>4136</v>
      </c>
      <c r="ECD3" t="s">
        <v>4137</v>
      </c>
      <c r="ECE3" t="s">
        <v>4138</v>
      </c>
      <c r="ECF3" t="s">
        <v>4139</v>
      </c>
      <c r="ECG3" t="s">
        <v>4140</v>
      </c>
      <c r="ECH3" t="s">
        <v>4141</v>
      </c>
      <c r="ECI3" t="s">
        <v>4142</v>
      </c>
      <c r="ECJ3" t="s">
        <v>4143</v>
      </c>
      <c r="ECK3" t="s">
        <v>4144</v>
      </c>
      <c r="ECL3" t="s">
        <v>4145</v>
      </c>
      <c r="ECM3" t="s">
        <v>4146</v>
      </c>
      <c r="ECN3" t="s">
        <v>4147</v>
      </c>
      <c r="ECO3" t="s">
        <v>4148</v>
      </c>
      <c r="ECP3" t="s">
        <v>4149</v>
      </c>
      <c r="ECQ3" t="s">
        <v>4150</v>
      </c>
      <c r="ECR3" t="s">
        <v>4151</v>
      </c>
      <c r="ECS3" t="s">
        <v>4152</v>
      </c>
      <c r="ECT3" t="s">
        <v>4153</v>
      </c>
      <c r="ECU3" t="s">
        <v>4154</v>
      </c>
      <c r="ECV3" t="s">
        <v>4155</v>
      </c>
      <c r="ECW3" t="s">
        <v>4156</v>
      </c>
      <c r="ECX3" t="s">
        <v>4157</v>
      </c>
      <c r="ECY3" t="s">
        <v>4158</v>
      </c>
      <c r="ECZ3" t="s">
        <v>4159</v>
      </c>
      <c r="EDA3" t="s">
        <v>4160</v>
      </c>
      <c r="EDB3" t="s">
        <v>4161</v>
      </c>
      <c r="EDC3" t="s">
        <v>4162</v>
      </c>
      <c r="EDD3" t="s">
        <v>4163</v>
      </c>
      <c r="EDE3" t="s">
        <v>4164</v>
      </c>
      <c r="EDF3" t="s">
        <v>4165</v>
      </c>
      <c r="EDG3" t="s">
        <v>4166</v>
      </c>
      <c r="EDH3" t="s">
        <v>4167</v>
      </c>
      <c r="EDI3" t="s">
        <v>4168</v>
      </c>
      <c r="EDJ3" t="s">
        <v>4169</v>
      </c>
      <c r="EDK3" t="s">
        <v>4170</v>
      </c>
      <c r="EDL3" t="s">
        <v>4171</v>
      </c>
      <c r="EDM3" t="s">
        <v>4172</v>
      </c>
      <c r="EDN3" t="s">
        <v>4173</v>
      </c>
      <c r="EDO3" t="s">
        <v>4174</v>
      </c>
      <c r="EDP3" t="s">
        <v>4175</v>
      </c>
      <c r="EDQ3" t="s">
        <v>4176</v>
      </c>
      <c r="EDR3" t="s">
        <v>4177</v>
      </c>
      <c r="EDS3" t="s">
        <v>4178</v>
      </c>
      <c r="EDT3" t="s">
        <v>4179</v>
      </c>
      <c r="EDU3" t="s">
        <v>4180</v>
      </c>
      <c r="EDV3" t="s">
        <v>4181</v>
      </c>
      <c r="EDW3" t="s">
        <v>4182</v>
      </c>
      <c r="EDX3" t="s">
        <v>4183</v>
      </c>
      <c r="EDY3" t="s">
        <v>4184</v>
      </c>
      <c r="EDZ3" t="s">
        <v>4185</v>
      </c>
      <c r="EEA3" t="s">
        <v>4186</v>
      </c>
      <c r="EEB3" t="s">
        <v>4187</v>
      </c>
      <c r="EEC3" t="s">
        <v>4188</v>
      </c>
      <c r="EED3" t="s">
        <v>4189</v>
      </c>
      <c r="EEE3" t="s">
        <v>4190</v>
      </c>
      <c r="EEF3" t="s">
        <v>4191</v>
      </c>
      <c r="EEG3" t="s">
        <v>4192</v>
      </c>
      <c r="EEH3" t="s">
        <v>4193</v>
      </c>
      <c r="EEI3" t="s">
        <v>4194</v>
      </c>
      <c r="EEJ3" t="s">
        <v>4195</v>
      </c>
      <c r="EEK3" t="s">
        <v>4196</v>
      </c>
      <c r="EEL3" t="s">
        <v>4197</v>
      </c>
      <c r="EEM3" t="s">
        <v>4198</v>
      </c>
      <c r="EEN3" t="s">
        <v>4199</v>
      </c>
      <c r="EEO3" t="s">
        <v>4200</v>
      </c>
      <c r="EEP3" t="s">
        <v>4201</v>
      </c>
      <c r="EEQ3" t="s">
        <v>4202</v>
      </c>
      <c r="EER3" t="s">
        <v>4203</v>
      </c>
      <c r="EES3" t="s">
        <v>4204</v>
      </c>
      <c r="EET3" t="s">
        <v>4205</v>
      </c>
      <c r="EEU3" t="s">
        <v>4206</v>
      </c>
      <c r="EEV3" t="s">
        <v>4207</v>
      </c>
      <c r="EEW3" t="s">
        <v>4208</v>
      </c>
      <c r="EEX3" t="s">
        <v>4209</v>
      </c>
      <c r="EEY3" t="s">
        <v>4210</v>
      </c>
      <c r="EEZ3" t="s">
        <v>4211</v>
      </c>
      <c r="EFA3" t="s">
        <v>4212</v>
      </c>
      <c r="EFB3" t="s">
        <v>4213</v>
      </c>
      <c r="EFC3" t="s">
        <v>4214</v>
      </c>
      <c r="EFD3" t="s">
        <v>4215</v>
      </c>
      <c r="EFE3" t="s">
        <v>4216</v>
      </c>
      <c r="EFF3" t="s">
        <v>4217</v>
      </c>
      <c r="EFG3" t="s">
        <v>4218</v>
      </c>
      <c r="EFH3" t="s">
        <v>4219</v>
      </c>
      <c r="EFI3" t="s">
        <v>4220</v>
      </c>
      <c r="EFJ3" t="s">
        <v>4221</v>
      </c>
      <c r="EFK3" t="s">
        <v>4222</v>
      </c>
      <c r="EFL3" t="s">
        <v>4223</v>
      </c>
      <c r="EFM3" t="s">
        <v>4224</v>
      </c>
      <c r="EFN3" t="s">
        <v>4225</v>
      </c>
      <c r="EFO3" t="s">
        <v>4226</v>
      </c>
      <c r="EFP3" t="s">
        <v>4227</v>
      </c>
      <c r="EFQ3" t="s">
        <v>4228</v>
      </c>
      <c r="EFR3" t="s">
        <v>4229</v>
      </c>
      <c r="EFS3" t="s">
        <v>4230</v>
      </c>
      <c r="EFT3" t="s">
        <v>4231</v>
      </c>
      <c r="EFU3" t="s">
        <v>4232</v>
      </c>
      <c r="EFV3" t="s">
        <v>4233</v>
      </c>
      <c r="EFW3" t="s">
        <v>4234</v>
      </c>
      <c r="EFX3" t="s">
        <v>4235</v>
      </c>
      <c r="EFY3" t="s">
        <v>4236</v>
      </c>
      <c r="EFZ3" t="s">
        <v>4237</v>
      </c>
      <c r="EGA3" t="s">
        <v>4238</v>
      </c>
      <c r="EGB3" t="s">
        <v>4239</v>
      </c>
      <c r="EGC3" t="s">
        <v>4240</v>
      </c>
      <c r="EGD3" t="s">
        <v>4241</v>
      </c>
      <c r="EGE3" t="s">
        <v>4242</v>
      </c>
      <c r="EGF3" t="s">
        <v>4243</v>
      </c>
      <c r="EGG3" t="s">
        <v>4244</v>
      </c>
      <c r="EGH3" t="s">
        <v>4245</v>
      </c>
      <c r="EGI3" t="s">
        <v>4246</v>
      </c>
      <c r="EGJ3" t="s">
        <v>4247</v>
      </c>
      <c r="EGK3" t="s">
        <v>4248</v>
      </c>
      <c r="EGL3" t="s">
        <v>4249</v>
      </c>
      <c r="EGM3" t="s">
        <v>4250</v>
      </c>
      <c r="EGN3" t="s">
        <v>4251</v>
      </c>
      <c r="EGO3" t="s">
        <v>4252</v>
      </c>
      <c r="EGP3" t="s">
        <v>4253</v>
      </c>
      <c r="EGQ3" t="s">
        <v>4254</v>
      </c>
      <c r="EGR3" t="s">
        <v>4255</v>
      </c>
      <c r="EGS3" t="s">
        <v>4256</v>
      </c>
      <c r="EGT3" t="s">
        <v>4257</v>
      </c>
      <c r="EGU3" t="s">
        <v>4258</v>
      </c>
      <c r="EGV3" t="s">
        <v>4259</v>
      </c>
      <c r="EGW3" t="s">
        <v>4260</v>
      </c>
      <c r="EGX3" t="s">
        <v>4261</v>
      </c>
      <c r="EGY3" t="s">
        <v>4262</v>
      </c>
      <c r="EGZ3" t="s">
        <v>4263</v>
      </c>
      <c r="EHA3" t="s">
        <v>4264</v>
      </c>
      <c r="EHB3" t="s">
        <v>4265</v>
      </c>
      <c r="EHC3" t="s">
        <v>4266</v>
      </c>
      <c r="EHD3" t="s">
        <v>4267</v>
      </c>
      <c r="EHE3" t="s">
        <v>4268</v>
      </c>
      <c r="EHF3" t="s">
        <v>4269</v>
      </c>
      <c r="EHG3" t="s">
        <v>4270</v>
      </c>
      <c r="EHH3" t="s">
        <v>4271</v>
      </c>
      <c r="EHI3" t="s">
        <v>4272</v>
      </c>
      <c r="EHJ3" t="s">
        <v>4273</v>
      </c>
      <c r="EHK3" t="s">
        <v>4274</v>
      </c>
      <c r="EHL3" t="s">
        <v>4275</v>
      </c>
      <c r="EHM3" t="s">
        <v>4276</v>
      </c>
      <c r="EHN3" t="s">
        <v>4277</v>
      </c>
      <c r="EHO3" t="s">
        <v>4278</v>
      </c>
      <c r="EHP3" t="s">
        <v>4279</v>
      </c>
      <c r="EHQ3" t="s">
        <v>4280</v>
      </c>
      <c r="EHR3" t="s">
        <v>4281</v>
      </c>
      <c r="EHS3" t="s">
        <v>4282</v>
      </c>
      <c r="EHT3" t="s">
        <v>4283</v>
      </c>
      <c r="EHU3" t="s">
        <v>4284</v>
      </c>
      <c r="EHV3" t="s">
        <v>4285</v>
      </c>
      <c r="EHW3" t="s">
        <v>4286</v>
      </c>
      <c r="EHX3" t="s">
        <v>4287</v>
      </c>
      <c r="EHY3" t="s">
        <v>4288</v>
      </c>
      <c r="EHZ3" t="s">
        <v>4289</v>
      </c>
      <c r="EIA3" t="s">
        <v>4290</v>
      </c>
      <c r="EIB3" t="s">
        <v>4291</v>
      </c>
      <c r="EIC3" t="s">
        <v>4292</v>
      </c>
      <c r="EID3" t="s">
        <v>4293</v>
      </c>
      <c r="EIE3" t="s">
        <v>4294</v>
      </c>
      <c r="EIF3" t="s">
        <v>4295</v>
      </c>
      <c r="EIG3" t="s">
        <v>4296</v>
      </c>
      <c r="EIH3" t="s">
        <v>4297</v>
      </c>
      <c r="EII3" t="s">
        <v>4298</v>
      </c>
      <c r="EIJ3" t="s">
        <v>4299</v>
      </c>
      <c r="EIK3" t="s">
        <v>4300</v>
      </c>
      <c r="EIL3" t="s">
        <v>4301</v>
      </c>
      <c r="EIM3" t="s">
        <v>4302</v>
      </c>
      <c r="EIN3" t="s">
        <v>4303</v>
      </c>
      <c r="EIO3" t="s">
        <v>4304</v>
      </c>
      <c r="EIP3" t="s">
        <v>4305</v>
      </c>
      <c r="EIQ3" t="s">
        <v>4306</v>
      </c>
      <c r="EIR3" t="s">
        <v>4307</v>
      </c>
      <c r="EIS3" t="s">
        <v>4308</v>
      </c>
      <c r="EIT3" t="s">
        <v>4309</v>
      </c>
      <c r="EIU3" t="s">
        <v>4310</v>
      </c>
      <c r="EIV3" t="s">
        <v>4311</v>
      </c>
      <c r="EIW3" t="s">
        <v>4312</v>
      </c>
      <c r="EIX3" t="s">
        <v>4313</v>
      </c>
      <c r="EIY3" t="s">
        <v>4314</v>
      </c>
      <c r="EIZ3" t="s">
        <v>4315</v>
      </c>
      <c r="EJA3" t="s">
        <v>4316</v>
      </c>
      <c r="EJB3" t="s">
        <v>4317</v>
      </c>
      <c r="EJC3" t="s">
        <v>4318</v>
      </c>
      <c r="EJD3" t="s">
        <v>4319</v>
      </c>
      <c r="EJE3" t="s">
        <v>4320</v>
      </c>
      <c r="EJF3" t="s">
        <v>4321</v>
      </c>
      <c r="EJG3" t="s">
        <v>4322</v>
      </c>
      <c r="EJH3" t="s">
        <v>4323</v>
      </c>
      <c r="EJI3" t="s">
        <v>4324</v>
      </c>
      <c r="EJJ3" t="s">
        <v>4325</v>
      </c>
      <c r="EJK3" t="s">
        <v>4326</v>
      </c>
      <c r="EJL3" t="s">
        <v>4327</v>
      </c>
      <c r="EJM3" t="s">
        <v>4328</v>
      </c>
      <c r="EJN3" t="s">
        <v>4329</v>
      </c>
      <c r="EJO3" t="s">
        <v>4330</v>
      </c>
      <c r="EJP3" t="s">
        <v>4331</v>
      </c>
      <c r="EJQ3" t="s">
        <v>4332</v>
      </c>
      <c r="EJR3" t="s">
        <v>4333</v>
      </c>
      <c r="EJS3" t="s">
        <v>4334</v>
      </c>
      <c r="EJT3" t="s">
        <v>4335</v>
      </c>
      <c r="EJU3" t="s">
        <v>4336</v>
      </c>
      <c r="EJV3" t="s">
        <v>4337</v>
      </c>
      <c r="EJW3" t="s">
        <v>4338</v>
      </c>
      <c r="EJX3" t="s">
        <v>4339</v>
      </c>
      <c r="EJY3" t="s">
        <v>4340</v>
      </c>
      <c r="EJZ3" t="s">
        <v>4341</v>
      </c>
      <c r="EKA3" t="s">
        <v>4342</v>
      </c>
      <c r="EKB3" t="s">
        <v>4343</v>
      </c>
      <c r="EKC3" t="s">
        <v>4344</v>
      </c>
      <c r="EKD3" t="s">
        <v>4345</v>
      </c>
      <c r="EKE3" t="s">
        <v>4346</v>
      </c>
      <c r="EKF3" t="s">
        <v>4347</v>
      </c>
      <c r="EKG3" t="s">
        <v>4348</v>
      </c>
      <c r="EKH3" t="s">
        <v>4349</v>
      </c>
      <c r="EKI3" t="s">
        <v>4350</v>
      </c>
      <c r="EKJ3" t="s">
        <v>4351</v>
      </c>
      <c r="EKK3" t="s">
        <v>4352</v>
      </c>
      <c r="EKL3" t="s">
        <v>4353</v>
      </c>
      <c r="EKM3" t="s">
        <v>4354</v>
      </c>
      <c r="EKN3" t="s">
        <v>4355</v>
      </c>
      <c r="EKO3" t="s">
        <v>4356</v>
      </c>
      <c r="EKP3" t="s">
        <v>4357</v>
      </c>
      <c r="EKQ3" t="s">
        <v>4358</v>
      </c>
      <c r="EKR3" t="s">
        <v>4359</v>
      </c>
      <c r="EKS3" t="s">
        <v>4360</v>
      </c>
      <c r="EKT3" t="s">
        <v>4361</v>
      </c>
      <c r="EKU3" t="s">
        <v>4362</v>
      </c>
      <c r="EKV3" t="s">
        <v>4363</v>
      </c>
      <c r="EKW3" t="s">
        <v>4364</v>
      </c>
      <c r="EKX3" t="s">
        <v>4365</v>
      </c>
      <c r="EKY3" t="s">
        <v>4366</v>
      </c>
      <c r="EKZ3" t="s">
        <v>4367</v>
      </c>
      <c r="ELA3" t="s">
        <v>4368</v>
      </c>
      <c r="ELB3" t="s">
        <v>4369</v>
      </c>
      <c r="ELC3" t="s">
        <v>4370</v>
      </c>
      <c r="ELD3" t="s">
        <v>4371</v>
      </c>
      <c r="ELE3" t="s">
        <v>4372</v>
      </c>
      <c r="ELF3" t="s">
        <v>4373</v>
      </c>
      <c r="ELG3" t="s">
        <v>4374</v>
      </c>
      <c r="ELH3" t="s">
        <v>4375</v>
      </c>
      <c r="ELI3" t="s">
        <v>4376</v>
      </c>
      <c r="ELJ3" t="s">
        <v>4377</v>
      </c>
      <c r="ELK3" t="s">
        <v>4378</v>
      </c>
      <c r="ELL3" t="s">
        <v>4379</v>
      </c>
      <c r="ELM3" t="s">
        <v>4380</v>
      </c>
      <c r="ELN3" t="s">
        <v>4381</v>
      </c>
      <c r="ELO3" t="s">
        <v>4382</v>
      </c>
      <c r="ELP3" t="s">
        <v>4383</v>
      </c>
      <c r="ELQ3" t="s">
        <v>4384</v>
      </c>
      <c r="ELR3" t="s">
        <v>4385</v>
      </c>
      <c r="ELS3" t="s">
        <v>4386</v>
      </c>
      <c r="ELT3" t="s">
        <v>4387</v>
      </c>
      <c r="ELU3" t="s">
        <v>4388</v>
      </c>
      <c r="ELV3" t="s">
        <v>4389</v>
      </c>
      <c r="ELW3" t="s">
        <v>4390</v>
      </c>
      <c r="ELX3" t="s">
        <v>4391</v>
      </c>
      <c r="ELY3" t="s">
        <v>4392</v>
      </c>
      <c r="ELZ3" t="s">
        <v>4393</v>
      </c>
      <c r="EMA3" t="s">
        <v>4394</v>
      </c>
      <c r="EMB3" t="s">
        <v>4395</v>
      </c>
      <c r="EMC3" t="s">
        <v>4396</v>
      </c>
      <c r="EMD3" t="s">
        <v>4397</v>
      </c>
      <c r="EME3" t="s">
        <v>4398</v>
      </c>
      <c r="EMF3" t="s">
        <v>4399</v>
      </c>
      <c r="EMG3" t="s">
        <v>4400</v>
      </c>
      <c r="EMH3" t="s">
        <v>4401</v>
      </c>
      <c r="EMI3" t="s">
        <v>4402</v>
      </c>
      <c r="EMJ3" t="s">
        <v>4403</v>
      </c>
      <c r="EMK3" t="s">
        <v>4404</v>
      </c>
      <c r="EML3" t="s">
        <v>4405</v>
      </c>
      <c r="EMM3" t="s">
        <v>4406</v>
      </c>
      <c r="EMN3" t="s">
        <v>4407</v>
      </c>
      <c r="EMO3" t="s">
        <v>4408</v>
      </c>
      <c r="EMP3" t="s">
        <v>4409</v>
      </c>
      <c r="EMQ3" t="s">
        <v>4410</v>
      </c>
      <c r="EMR3" t="s">
        <v>4411</v>
      </c>
      <c r="EMS3" t="s">
        <v>4412</v>
      </c>
      <c r="EMT3" t="s">
        <v>4413</v>
      </c>
      <c r="EMU3" t="s">
        <v>4414</v>
      </c>
      <c r="EMV3" t="s">
        <v>4415</v>
      </c>
      <c r="EMW3" t="s">
        <v>4416</v>
      </c>
      <c r="EMX3" t="s">
        <v>4417</v>
      </c>
      <c r="EMY3" t="s">
        <v>4418</v>
      </c>
      <c r="EMZ3" t="s">
        <v>4419</v>
      </c>
      <c r="ENA3" t="s">
        <v>4420</v>
      </c>
      <c r="ENB3" t="s">
        <v>4421</v>
      </c>
      <c r="ENC3" t="s">
        <v>4422</v>
      </c>
      <c r="END3" t="s">
        <v>4423</v>
      </c>
      <c r="ENE3" t="s">
        <v>4424</v>
      </c>
      <c r="ENF3" t="s">
        <v>4425</v>
      </c>
      <c r="ENG3" t="s">
        <v>4426</v>
      </c>
      <c r="ENH3" t="s">
        <v>4427</v>
      </c>
      <c r="ENI3" t="s">
        <v>4428</v>
      </c>
      <c r="ENJ3" t="s">
        <v>4429</v>
      </c>
      <c r="ENK3" t="s">
        <v>4430</v>
      </c>
      <c r="ENL3" t="s">
        <v>4431</v>
      </c>
      <c r="ENM3" t="s">
        <v>4432</v>
      </c>
      <c r="ENN3" t="s">
        <v>4433</v>
      </c>
      <c r="ENO3" t="s">
        <v>4434</v>
      </c>
      <c r="ENP3" t="s">
        <v>4435</v>
      </c>
      <c r="ENQ3" t="s">
        <v>4436</v>
      </c>
      <c r="ENR3" t="s">
        <v>4437</v>
      </c>
      <c r="ENS3" t="s">
        <v>4438</v>
      </c>
      <c r="ENT3" t="s">
        <v>4439</v>
      </c>
      <c r="ENU3" t="s">
        <v>4440</v>
      </c>
      <c r="ENV3" t="s">
        <v>4441</v>
      </c>
      <c r="ENW3" t="s">
        <v>4442</v>
      </c>
      <c r="ENX3" t="s">
        <v>4443</v>
      </c>
      <c r="ENY3" t="s">
        <v>4444</v>
      </c>
      <c r="ENZ3" t="s">
        <v>4445</v>
      </c>
      <c r="EOA3" t="s">
        <v>4446</v>
      </c>
      <c r="EOB3" t="s">
        <v>4447</v>
      </c>
      <c r="EOC3" t="s">
        <v>4448</v>
      </c>
      <c r="EOD3" t="s">
        <v>4449</v>
      </c>
      <c r="EOE3" t="s">
        <v>4450</v>
      </c>
      <c r="EOF3" t="s">
        <v>4451</v>
      </c>
      <c r="EOG3" t="s">
        <v>4452</v>
      </c>
      <c r="EOH3" t="s">
        <v>4453</v>
      </c>
      <c r="EOI3" t="s">
        <v>4454</v>
      </c>
      <c r="EOJ3" t="s">
        <v>4455</v>
      </c>
      <c r="EOK3" t="s">
        <v>4456</v>
      </c>
      <c r="EOL3" t="s">
        <v>4457</v>
      </c>
      <c r="EOM3" t="s">
        <v>4458</v>
      </c>
      <c r="EON3" t="s">
        <v>4459</v>
      </c>
      <c r="EOO3" t="s">
        <v>4460</v>
      </c>
      <c r="EOP3" t="s">
        <v>4461</v>
      </c>
      <c r="EOQ3" t="s">
        <v>4462</v>
      </c>
      <c r="EOR3" t="s">
        <v>4463</v>
      </c>
      <c r="EOS3" t="s">
        <v>4464</v>
      </c>
      <c r="EOT3" t="s">
        <v>4465</v>
      </c>
      <c r="EOU3" t="s">
        <v>4466</v>
      </c>
      <c r="EOV3" t="s">
        <v>4467</v>
      </c>
      <c r="EOW3" t="s">
        <v>4468</v>
      </c>
      <c r="EOX3" t="s">
        <v>4469</v>
      </c>
      <c r="EOY3" t="s">
        <v>4470</v>
      </c>
      <c r="EOZ3" t="s">
        <v>4471</v>
      </c>
      <c r="EPA3" t="s">
        <v>4472</v>
      </c>
      <c r="EPB3" t="s">
        <v>4473</v>
      </c>
      <c r="EPC3" t="s">
        <v>4474</v>
      </c>
      <c r="EPD3" t="s">
        <v>4475</v>
      </c>
      <c r="EPE3" t="s">
        <v>4476</v>
      </c>
      <c r="EPF3" t="s">
        <v>4477</v>
      </c>
      <c r="EPG3" t="s">
        <v>4478</v>
      </c>
      <c r="EPH3" t="s">
        <v>4479</v>
      </c>
      <c r="EPI3" t="s">
        <v>4480</v>
      </c>
      <c r="EPJ3" t="s">
        <v>4481</v>
      </c>
      <c r="EPK3" t="s">
        <v>4482</v>
      </c>
      <c r="EPL3" t="s">
        <v>4483</v>
      </c>
      <c r="EPM3" t="s">
        <v>4484</v>
      </c>
      <c r="EPN3" t="s">
        <v>4485</v>
      </c>
      <c r="EPO3" t="s">
        <v>4486</v>
      </c>
      <c r="EPP3" t="s">
        <v>4487</v>
      </c>
      <c r="EPQ3" t="s">
        <v>4488</v>
      </c>
      <c r="EPR3" t="s">
        <v>4489</v>
      </c>
      <c r="EPS3" t="s">
        <v>4490</v>
      </c>
      <c r="EPT3" t="s">
        <v>4491</v>
      </c>
      <c r="EPU3" t="s">
        <v>4492</v>
      </c>
      <c r="EPV3" t="s">
        <v>4493</v>
      </c>
      <c r="EPW3" t="s">
        <v>4494</v>
      </c>
      <c r="EPX3" t="s">
        <v>4495</v>
      </c>
      <c r="EPY3" t="s">
        <v>4496</v>
      </c>
      <c r="EPZ3" t="s">
        <v>4497</v>
      </c>
      <c r="EQA3" t="s">
        <v>4498</v>
      </c>
      <c r="EQB3" t="s">
        <v>4499</v>
      </c>
      <c r="EQC3" t="s">
        <v>4500</v>
      </c>
      <c r="EQD3" t="s">
        <v>4501</v>
      </c>
      <c r="EQE3" t="s">
        <v>4502</v>
      </c>
      <c r="EQF3" t="s">
        <v>4503</v>
      </c>
      <c r="EQG3" t="s">
        <v>4504</v>
      </c>
      <c r="EQH3" t="s">
        <v>4505</v>
      </c>
      <c r="EQI3" t="s">
        <v>4506</v>
      </c>
      <c r="EQJ3" t="s">
        <v>4507</v>
      </c>
      <c r="EQK3" t="s">
        <v>4508</v>
      </c>
      <c r="EQL3" t="s">
        <v>4509</v>
      </c>
      <c r="EQM3" t="s">
        <v>4510</v>
      </c>
      <c r="EQN3" t="s">
        <v>4511</v>
      </c>
      <c r="EQO3" t="s">
        <v>4512</v>
      </c>
      <c r="EQP3" t="s">
        <v>4513</v>
      </c>
      <c r="EQQ3" t="s">
        <v>4514</v>
      </c>
      <c r="EQR3" t="s">
        <v>4515</v>
      </c>
      <c r="EQS3" t="s">
        <v>4516</v>
      </c>
      <c r="EQT3" t="s">
        <v>4517</v>
      </c>
      <c r="EQU3" t="s">
        <v>4518</v>
      </c>
      <c r="EQV3" t="s">
        <v>4519</v>
      </c>
      <c r="EQW3" t="s">
        <v>4520</v>
      </c>
      <c r="EQX3" t="s">
        <v>4521</v>
      </c>
      <c r="EQY3" t="s">
        <v>4522</v>
      </c>
      <c r="EQZ3" t="s">
        <v>4523</v>
      </c>
      <c r="ERA3" t="s">
        <v>4524</v>
      </c>
      <c r="ERB3" t="s">
        <v>4525</v>
      </c>
      <c r="ERC3" t="s">
        <v>4526</v>
      </c>
      <c r="ERD3" t="s">
        <v>4527</v>
      </c>
      <c r="ERE3" t="s">
        <v>4528</v>
      </c>
      <c r="ERF3" t="s">
        <v>4529</v>
      </c>
      <c r="ERG3" t="s">
        <v>4530</v>
      </c>
      <c r="ERH3" t="s">
        <v>4531</v>
      </c>
      <c r="ERI3" t="s">
        <v>4532</v>
      </c>
      <c r="ERJ3" t="s">
        <v>4533</v>
      </c>
      <c r="ERK3" t="s">
        <v>4534</v>
      </c>
      <c r="ERL3" t="s">
        <v>4535</v>
      </c>
      <c r="ERM3" t="s">
        <v>4536</v>
      </c>
      <c r="ERN3" t="s">
        <v>4537</v>
      </c>
      <c r="ERO3" t="s">
        <v>4538</v>
      </c>
      <c r="ERP3" t="s">
        <v>4539</v>
      </c>
      <c r="ERQ3" t="s">
        <v>4540</v>
      </c>
      <c r="ERR3" t="s">
        <v>4541</v>
      </c>
      <c r="ERS3" t="s">
        <v>4542</v>
      </c>
      <c r="ERT3" t="s">
        <v>4543</v>
      </c>
      <c r="ERU3" t="s">
        <v>4544</v>
      </c>
      <c r="ERV3" t="s">
        <v>4545</v>
      </c>
      <c r="ERW3" t="s">
        <v>4546</v>
      </c>
      <c r="ERX3" t="s">
        <v>4547</v>
      </c>
      <c r="ERY3" t="s">
        <v>4548</v>
      </c>
      <c r="ERZ3" t="s">
        <v>4549</v>
      </c>
      <c r="ESA3" t="s">
        <v>4550</v>
      </c>
      <c r="ESB3" t="s">
        <v>4551</v>
      </c>
      <c r="ESC3" t="s">
        <v>4552</v>
      </c>
      <c r="ESD3" t="s">
        <v>4553</v>
      </c>
      <c r="ESE3" t="s">
        <v>4554</v>
      </c>
      <c r="ESF3" t="s">
        <v>4555</v>
      </c>
      <c r="ESG3" t="s">
        <v>4556</v>
      </c>
      <c r="ESH3" t="s">
        <v>4557</v>
      </c>
      <c r="ESI3" t="s">
        <v>4558</v>
      </c>
      <c r="ESJ3" t="s">
        <v>4559</v>
      </c>
      <c r="ESK3" t="s">
        <v>4560</v>
      </c>
      <c r="ESL3" t="s">
        <v>4561</v>
      </c>
      <c r="ESM3" t="s">
        <v>4562</v>
      </c>
      <c r="ESN3" t="s">
        <v>4563</v>
      </c>
      <c r="ESO3" t="s">
        <v>4564</v>
      </c>
      <c r="ESP3" t="s">
        <v>4565</v>
      </c>
      <c r="ESQ3" t="s">
        <v>4566</v>
      </c>
      <c r="ESR3" t="s">
        <v>4567</v>
      </c>
      <c r="ESS3" t="s">
        <v>4568</v>
      </c>
      <c r="EST3" t="s">
        <v>4569</v>
      </c>
      <c r="ESU3" t="s">
        <v>4570</v>
      </c>
      <c r="ESV3" t="s">
        <v>4571</v>
      </c>
      <c r="ESW3" t="s">
        <v>4572</v>
      </c>
      <c r="ESX3" t="s">
        <v>4573</v>
      </c>
      <c r="ESY3" t="s">
        <v>4574</v>
      </c>
      <c r="ESZ3" t="s">
        <v>4575</v>
      </c>
      <c r="ETA3" t="s">
        <v>4576</v>
      </c>
      <c r="ETB3" t="s">
        <v>4577</v>
      </c>
      <c r="ETC3" t="s">
        <v>4578</v>
      </c>
      <c r="ETD3" t="s">
        <v>4579</v>
      </c>
      <c r="ETE3" t="s">
        <v>4580</v>
      </c>
      <c r="ETF3" t="s">
        <v>4581</v>
      </c>
      <c r="ETG3" t="s">
        <v>4582</v>
      </c>
      <c r="ETH3" t="s">
        <v>4583</v>
      </c>
      <c r="ETI3" t="s">
        <v>4584</v>
      </c>
      <c r="ETJ3" t="s">
        <v>4585</v>
      </c>
      <c r="ETK3" t="s">
        <v>4586</v>
      </c>
      <c r="ETL3" t="s">
        <v>4587</v>
      </c>
      <c r="ETM3" t="s">
        <v>4588</v>
      </c>
      <c r="ETN3" t="s">
        <v>4589</v>
      </c>
      <c r="ETO3" t="s">
        <v>4590</v>
      </c>
      <c r="ETP3" t="s">
        <v>4591</v>
      </c>
      <c r="ETQ3" t="s">
        <v>4592</v>
      </c>
      <c r="ETR3" t="s">
        <v>4593</v>
      </c>
      <c r="ETS3" t="s">
        <v>4594</v>
      </c>
      <c r="ETT3" t="s">
        <v>4595</v>
      </c>
      <c r="ETU3" t="s">
        <v>4596</v>
      </c>
      <c r="ETV3" t="s">
        <v>4597</v>
      </c>
      <c r="ETW3" t="s">
        <v>4598</v>
      </c>
      <c r="ETX3" t="s">
        <v>4599</v>
      </c>
      <c r="ETY3" t="s">
        <v>4600</v>
      </c>
      <c r="ETZ3" t="s">
        <v>4601</v>
      </c>
      <c r="EUA3" t="s">
        <v>4602</v>
      </c>
      <c r="EUB3" t="s">
        <v>4603</v>
      </c>
      <c r="EUC3" t="s">
        <v>4604</v>
      </c>
      <c r="EUD3" t="s">
        <v>4605</v>
      </c>
      <c r="EUE3" t="s">
        <v>4606</v>
      </c>
      <c r="EUF3" t="s">
        <v>4607</v>
      </c>
      <c r="EUG3" t="s">
        <v>4608</v>
      </c>
      <c r="EUH3" t="s">
        <v>4609</v>
      </c>
      <c r="EUI3" t="s">
        <v>4610</v>
      </c>
      <c r="EUJ3" t="s">
        <v>4611</v>
      </c>
      <c r="EUK3" t="s">
        <v>4612</v>
      </c>
      <c r="EUL3" t="s">
        <v>4613</v>
      </c>
      <c r="EUM3" t="s">
        <v>4614</v>
      </c>
      <c r="EUN3" t="s">
        <v>4615</v>
      </c>
      <c r="EUO3" t="s">
        <v>4616</v>
      </c>
      <c r="EUP3" t="s">
        <v>4617</v>
      </c>
      <c r="EUQ3" t="s">
        <v>4618</v>
      </c>
      <c r="EUR3" t="s">
        <v>4619</v>
      </c>
      <c r="EUS3" t="s">
        <v>4620</v>
      </c>
      <c r="EUT3" t="s">
        <v>4621</v>
      </c>
      <c r="EUU3" t="s">
        <v>4622</v>
      </c>
      <c r="EUV3" t="s">
        <v>4623</v>
      </c>
      <c r="EUW3" t="s">
        <v>4624</v>
      </c>
      <c r="EUX3" t="s">
        <v>4625</v>
      </c>
      <c r="EUY3" t="s">
        <v>4626</v>
      </c>
      <c r="EUZ3" t="s">
        <v>4627</v>
      </c>
      <c r="EVA3" t="s">
        <v>4628</v>
      </c>
      <c r="EVB3" t="s">
        <v>4629</v>
      </c>
      <c r="EVC3" t="s">
        <v>4630</v>
      </c>
      <c r="EVD3" t="s">
        <v>4631</v>
      </c>
      <c r="EVE3" t="s">
        <v>4632</v>
      </c>
      <c r="EVF3" t="s">
        <v>4633</v>
      </c>
      <c r="EVG3" t="s">
        <v>4634</v>
      </c>
      <c r="EVH3" t="s">
        <v>4635</v>
      </c>
      <c r="EVI3" t="s">
        <v>4636</v>
      </c>
      <c r="EVJ3" t="s">
        <v>4637</v>
      </c>
      <c r="EVK3" t="s">
        <v>4638</v>
      </c>
      <c r="EVL3" t="s">
        <v>4639</v>
      </c>
      <c r="EVM3" t="s">
        <v>4640</v>
      </c>
      <c r="EVN3" t="s">
        <v>4641</v>
      </c>
      <c r="EVO3" t="s">
        <v>4642</v>
      </c>
      <c r="EVP3" t="s">
        <v>4643</v>
      </c>
      <c r="EVQ3" t="s">
        <v>4644</v>
      </c>
      <c r="EVR3" t="s">
        <v>4645</v>
      </c>
      <c r="EVS3" t="s">
        <v>4646</v>
      </c>
      <c r="EVT3" t="s">
        <v>4647</v>
      </c>
      <c r="EVU3" t="s">
        <v>4648</v>
      </c>
      <c r="EVV3" t="s">
        <v>4649</v>
      </c>
      <c r="EVW3" t="s">
        <v>4650</v>
      </c>
      <c r="EVX3" t="s">
        <v>4651</v>
      </c>
      <c r="EVY3" t="s">
        <v>4652</v>
      </c>
      <c r="EVZ3" t="s">
        <v>4653</v>
      </c>
      <c r="EWA3" t="s">
        <v>4654</v>
      </c>
      <c r="EWB3" t="s">
        <v>4655</v>
      </c>
      <c r="EWC3" t="s">
        <v>4656</v>
      </c>
      <c r="EWD3" t="s">
        <v>4657</v>
      </c>
      <c r="EWE3" t="s">
        <v>4658</v>
      </c>
      <c r="EWF3" t="s">
        <v>4659</v>
      </c>
      <c r="EWG3" t="s">
        <v>4660</v>
      </c>
      <c r="EWH3" t="s">
        <v>4661</v>
      </c>
      <c r="EWI3" t="s">
        <v>4662</v>
      </c>
      <c r="EWJ3" t="s">
        <v>4663</v>
      </c>
      <c r="EWK3" t="s">
        <v>4664</v>
      </c>
      <c r="EWL3" t="s">
        <v>4665</v>
      </c>
      <c r="EWM3" t="s">
        <v>4666</v>
      </c>
      <c r="EWN3" t="s">
        <v>4667</v>
      </c>
      <c r="EWO3" t="s">
        <v>4668</v>
      </c>
      <c r="EWP3" t="s">
        <v>4669</v>
      </c>
      <c r="EWQ3" t="s">
        <v>4670</v>
      </c>
      <c r="EWR3" t="s">
        <v>4671</v>
      </c>
      <c r="EWS3" t="s">
        <v>4672</v>
      </c>
      <c r="EWT3" t="s">
        <v>4673</v>
      </c>
      <c r="EWU3" t="s">
        <v>4674</v>
      </c>
      <c r="EWV3" t="s">
        <v>4675</v>
      </c>
      <c r="EWW3" t="s">
        <v>4676</v>
      </c>
      <c r="EWX3" t="s">
        <v>4677</v>
      </c>
      <c r="EWY3" t="s">
        <v>4678</v>
      </c>
      <c r="EWZ3" t="s">
        <v>4679</v>
      </c>
      <c r="EXA3" t="s">
        <v>4680</v>
      </c>
      <c r="EXB3" t="s">
        <v>4681</v>
      </c>
      <c r="EXC3" t="s">
        <v>4682</v>
      </c>
      <c r="EXD3" t="s">
        <v>4683</v>
      </c>
      <c r="EXE3" t="s">
        <v>4684</v>
      </c>
      <c r="EXF3" t="s">
        <v>4685</v>
      </c>
      <c r="EXG3" t="s">
        <v>4686</v>
      </c>
      <c r="EXH3" t="s">
        <v>4687</v>
      </c>
      <c r="EXI3" t="s">
        <v>4688</v>
      </c>
      <c r="EXJ3" t="s">
        <v>4689</v>
      </c>
      <c r="EXK3" t="s">
        <v>4690</v>
      </c>
      <c r="EXL3" t="s">
        <v>4691</v>
      </c>
      <c r="EXM3" t="s">
        <v>4692</v>
      </c>
      <c r="EXN3" t="s">
        <v>4693</v>
      </c>
      <c r="EXO3" t="s">
        <v>4694</v>
      </c>
      <c r="EXP3" t="s">
        <v>4695</v>
      </c>
      <c r="EXQ3" t="s">
        <v>4696</v>
      </c>
      <c r="EXR3" t="s">
        <v>4697</v>
      </c>
      <c r="EXS3" t="s">
        <v>4698</v>
      </c>
      <c r="EXT3" t="s">
        <v>4699</v>
      </c>
      <c r="EXU3" t="s">
        <v>4700</v>
      </c>
      <c r="EXV3" t="s">
        <v>4701</v>
      </c>
      <c r="EXW3" t="s">
        <v>4702</v>
      </c>
      <c r="EXX3" t="s">
        <v>4703</v>
      </c>
      <c r="EXY3" t="s">
        <v>4704</v>
      </c>
      <c r="EXZ3" t="s">
        <v>4705</v>
      </c>
      <c r="EYA3" t="s">
        <v>4706</v>
      </c>
      <c r="EYB3" t="s">
        <v>4707</v>
      </c>
      <c r="EYC3" t="s">
        <v>4708</v>
      </c>
      <c r="EYD3" t="s">
        <v>4709</v>
      </c>
      <c r="EYE3" t="s">
        <v>4710</v>
      </c>
      <c r="EYF3" t="s">
        <v>4711</v>
      </c>
      <c r="EYG3" t="s">
        <v>4712</v>
      </c>
      <c r="EYH3" t="s">
        <v>4713</v>
      </c>
      <c r="EYI3" t="s">
        <v>4714</v>
      </c>
      <c r="EYJ3" t="s">
        <v>4715</v>
      </c>
      <c r="EYK3" t="s">
        <v>4716</v>
      </c>
      <c r="EYL3" t="s">
        <v>4717</v>
      </c>
      <c r="EYM3" t="s">
        <v>4718</v>
      </c>
      <c r="EYN3" t="s">
        <v>4719</v>
      </c>
      <c r="EYO3" t="s">
        <v>4720</v>
      </c>
      <c r="EYP3" t="s">
        <v>4721</v>
      </c>
      <c r="EYQ3" t="s">
        <v>4722</v>
      </c>
      <c r="EYR3" t="s">
        <v>4723</v>
      </c>
      <c r="EYS3" t="s">
        <v>4724</v>
      </c>
      <c r="EYT3" t="s">
        <v>4725</v>
      </c>
      <c r="EYU3" t="s">
        <v>4726</v>
      </c>
      <c r="EYV3" t="s">
        <v>4727</v>
      </c>
      <c r="EYW3" t="s">
        <v>4728</v>
      </c>
      <c r="EYX3" t="s">
        <v>4729</v>
      </c>
      <c r="EYY3" t="s">
        <v>4730</v>
      </c>
      <c r="EYZ3" t="s">
        <v>4731</v>
      </c>
      <c r="EZA3" t="s">
        <v>4732</v>
      </c>
      <c r="EZB3" t="s">
        <v>4733</v>
      </c>
      <c r="EZC3" t="s">
        <v>4734</v>
      </c>
      <c r="EZD3" t="s">
        <v>4735</v>
      </c>
      <c r="EZE3" t="s">
        <v>4736</v>
      </c>
      <c r="EZF3" t="s">
        <v>4737</v>
      </c>
      <c r="EZG3" t="s">
        <v>4738</v>
      </c>
      <c r="EZH3" t="s">
        <v>4739</v>
      </c>
      <c r="EZI3" t="s">
        <v>4740</v>
      </c>
      <c r="EZJ3" t="s">
        <v>4741</v>
      </c>
      <c r="EZK3" t="s">
        <v>4742</v>
      </c>
      <c r="EZL3" t="s">
        <v>4743</v>
      </c>
      <c r="EZM3" t="s">
        <v>4744</v>
      </c>
      <c r="EZN3" t="s">
        <v>4745</v>
      </c>
      <c r="EZO3" t="s">
        <v>4746</v>
      </c>
      <c r="EZP3" t="s">
        <v>4747</v>
      </c>
      <c r="EZQ3" t="s">
        <v>4748</v>
      </c>
      <c r="EZR3" t="s">
        <v>4749</v>
      </c>
      <c r="EZS3" t="s">
        <v>4750</v>
      </c>
      <c r="EZT3" t="s">
        <v>4751</v>
      </c>
      <c r="EZU3" t="s">
        <v>4752</v>
      </c>
      <c r="EZV3" t="s">
        <v>4753</v>
      </c>
      <c r="EZW3" t="s">
        <v>4754</v>
      </c>
      <c r="EZX3" t="s">
        <v>4755</v>
      </c>
      <c r="EZY3" t="s">
        <v>4756</v>
      </c>
      <c r="EZZ3" t="s">
        <v>4757</v>
      </c>
      <c r="FAA3" t="s">
        <v>4758</v>
      </c>
      <c r="FAB3" t="s">
        <v>4759</v>
      </c>
      <c r="FAC3" t="s">
        <v>4760</v>
      </c>
      <c r="FAD3" t="s">
        <v>4761</v>
      </c>
      <c r="FAE3" t="s">
        <v>4762</v>
      </c>
      <c r="FAF3" t="s">
        <v>4763</v>
      </c>
      <c r="FAG3" t="s">
        <v>4764</v>
      </c>
      <c r="FAH3" t="s">
        <v>4765</v>
      </c>
      <c r="FAI3" t="s">
        <v>4766</v>
      </c>
      <c r="FAJ3" t="s">
        <v>4767</v>
      </c>
      <c r="FAK3" t="s">
        <v>4768</v>
      </c>
      <c r="FAL3" t="s">
        <v>4769</v>
      </c>
      <c r="FAM3" t="s">
        <v>4770</v>
      </c>
      <c r="FAN3" t="s">
        <v>4771</v>
      </c>
      <c r="FAO3" t="s">
        <v>4772</v>
      </c>
      <c r="FAP3" t="s">
        <v>4773</v>
      </c>
      <c r="FAQ3" t="s">
        <v>4774</v>
      </c>
      <c r="FAR3" t="s">
        <v>4775</v>
      </c>
      <c r="FAS3" t="s">
        <v>4776</v>
      </c>
      <c r="FAT3" t="s">
        <v>4777</v>
      </c>
      <c r="FAU3" t="s">
        <v>4778</v>
      </c>
      <c r="FAV3" t="s">
        <v>4779</v>
      </c>
      <c r="FAW3" t="s">
        <v>4780</v>
      </c>
      <c r="FAX3" t="s">
        <v>4781</v>
      </c>
      <c r="FAY3" t="s">
        <v>4782</v>
      </c>
      <c r="FAZ3" t="s">
        <v>4783</v>
      </c>
      <c r="FBA3" t="s">
        <v>4784</v>
      </c>
      <c r="FBB3" t="s">
        <v>4785</v>
      </c>
      <c r="FBC3" t="s">
        <v>4786</v>
      </c>
      <c r="FBD3" t="s">
        <v>4787</v>
      </c>
      <c r="FBE3" t="s">
        <v>4788</v>
      </c>
      <c r="FBF3" t="s">
        <v>4789</v>
      </c>
      <c r="FBG3" t="s">
        <v>4790</v>
      </c>
      <c r="FBH3" t="s">
        <v>4791</v>
      </c>
      <c r="FBI3" t="s">
        <v>4792</v>
      </c>
      <c r="FBJ3" t="s">
        <v>4793</v>
      </c>
      <c r="FBK3" t="s">
        <v>4794</v>
      </c>
      <c r="FBL3" t="s">
        <v>4795</v>
      </c>
      <c r="FBM3" t="s">
        <v>4796</v>
      </c>
      <c r="FBN3" t="s">
        <v>4797</v>
      </c>
      <c r="FBO3" t="s">
        <v>4798</v>
      </c>
      <c r="FBP3" t="s">
        <v>4799</v>
      </c>
      <c r="FBQ3" t="s">
        <v>4800</v>
      </c>
      <c r="FBR3" t="s">
        <v>4801</v>
      </c>
      <c r="FBS3" t="s">
        <v>4802</v>
      </c>
      <c r="FBT3" t="s">
        <v>4803</v>
      </c>
      <c r="FBU3" t="s">
        <v>4804</v>
      </c>
      <c r="FBV3" t="s">
        <v>4805</v>
      </c>
      <c r="FBW3" t="s">
        <v>4806</v>
      </c>
      <c r="FBX3" t="s">
        <v>4807</v>
      </c>
      <c r="FBY3" t="s">
        <v>4808</v>
      </c>
      <c r="FBZ3" t="s">
        <v>4809</v>
      </c>
      <c r="FCA3" t="s">
        <v>4810</v>
      </c>
      <c r="FCB3" t="s">
        <v>4811</v>
      </c>
      <c r="FCC3" t="s">
        <v>4812</v>
      </c>
      <c r="FCD3" t="s">
        <v>4813</v>
      </c>
      <c r="FCE3" t="s">
        <v>4814</v>
      </c>
      <c r="FCF3" t="s">
        <v>4815</v>
      </c>
      <c r="FCG3" t="s">
        <v>4816</v>
      </c>
      <c r="FCH3" t="s">
        <v>4817</v>
      </c>
      <c r="FCI3" t="s">
        <v>4818</v>
      </c>
      <c r="FCJ3" t="s">
        <v>4819</v>
      </c>
      <c r="FCK3" t="s">
        <v>4820</v>
      </c>
      <c r="FCL3" t="s">
        <v>4821</v>
      </c>
      <c r="FCM3" t="s">
        <v>4822</v>
      </c>
      <c r="FCN3" t="s">
        <v>4823</v>
      </c>
      <c r="FCO3" t="s">
        <v>4824</v>
      </c>
      <c r="FCP3" t="s">
        <v>4825</v>
      </c>
      <c r="FCQ3" t="s">
        <v>4826</v>
      </c>
      <c r="FCR3" t="s">
        <v>4827</v>
      </c>
      <c r="FCS3" t="s">
        <v>4828</v>
      </c>
      <c r="FCT3" t="s">
        <v>4829</v>
      </c>
      <c r="FCU3" t="s">
        <v>4830</v>
      </c>
      <c r="FCV3" t="s">
        <v>4831</v>
      </c>
      <c r="FCW3" t="s">
        <v>4832</v>
      </c>
      <c r="FCX3" t="s">
        <v>4833</v>
      </c>
      <c r="FCY3" t="s">
        <v>4834</v>
      </c>
      <c r="FCZ3" t="s">
        <v>4835</v>
      </c>
      <c r="FDA3" t="s">
        <v>4836</v>
      </c>
      <c r="FDB3" t="s">
        <v>4837</v>
      </c>
      <c r="FDC3" t="s">
        <v>4838</v>
      </c>
      <c r="FDD3" t="s">
        <v>4839</v>
      </c>
      <c r="FDE3" t="s">
        <v>4840</v>
      </c>
      <c r="FDF3" t="s">
        <v>4841</v>
      </c>
      <c r="FDG3" t="s">
        <v>4842</v>
      </c>
      <c r="FDH3" t="s">
        <v>4843</v>
      </c>
      <c r="FDI3" t="s">
        <v>4844</v>
      </c>
      <c r="FDJ3" t="s">
        <v>4845</v>
      </c>
      <c r="FDK3" t="s">
        <v>4846</v>
      </c>
      <c r="FDL3" t="s">
        <v>4847</v>
      </c>
      <c r="FDM3" t="s">
        <v>4848</v>
      </c>
      <c r="FDN3" t="s">
        <v>4849</v>
      </c>
      <c r="FDO3" t="s">
        <v>4850</v>
      </c>
      <c r="FDP3" t="s">
        <v>4851</v>
      </c>
      <c r="FDQ3" t="s">
        <v>4852</v>
      </c>
      <c r="FDR3" t="s">
        <v>4853</v>
      </c>
      <c r="FDS3" t="s">
        <v>4854</v>
      </c>
      <c r="FDT3" t="s">
        <v>4855</v>
      </c>
      <c r="FDU3" t="s">
        <v>4856</v>
      </c>
      <c r="FDV3" t="s">
        <v>4857</v>
      </c>
      <c r="FDW3" t="s">
        <v>4858</v>
      </c>
      <c r="FDX3" t="s">
        <v>4859</v>
      </c>
      <c r="FDY3" t="s">
        <v>4860</v>
      </c>
      <c r="FDZ3" t="s">
        <v>4861</v>
      </c>
      <c r="FEA3" t="s">
        <v>4862</v>
      </c>
      <c r="FEB3" t="s">
        <v>4863</v>
      </c>
      <c r="FEC3" t="s">
        <v>4864</v>
      </c>
      <c r="FED3" t="s">
        <v>4865</v>
      </c>
      <c r="FEE3" t="s">
        <v>4866</v>
      </c>
      <c r="FEF3" t="s">
        <v>4867</v>
      </c>
      <c r="FEG3" t="s">
        <v>4868</v>
      </c>
      <c r="FEH3" t="s">
        <v>4869</v>
      </c>
      <c r="FEI3" t="s">
        <v>4870</v>
      </c>
      <c r="FEJ3" t="s">
        <v>4871</v>
      </c>
      <c r="FEK3" t="s">
        <v>4872</v>
      </c>
      <c r="FEL3" t="s">
        <v>4873</v>
      </c>
      <c r="FEM3" t="s">
        <v>4874</v>
      </c>
      <c r="FEN3" t="s">
        <v>4875</v>
      </c>
      <c r="FEO3" t="s">
        <v>4876</v>
      </c>
      <c r="FEP3" t="s">
        <v>4877</v>
      </c>
      <c r="FEQ3" t="s">
        <v>4878</v>
      </c>
      <c r="FER3" t="s">
        <v>4879</v>
      </c>
      <c r="FES3" t="s">
        <v>4880</v>
      </c>
      <c r="FET3" t="s">
        <v>4881</v>
      </c>
      <c r="FEU3" t="s">
        <v>4882</v>
      </c>
      <c r="FEV3" t="s">
        <v>4883</v>
      </c>
      <c r="FEW3" t="s">
        <v>4884</v>
      </c>
      <c r="FEX3" t="s">
        <v>4885</v>
      </c>
      <c r="FEY3" t="s">
        <v>4886</v>
      </c>
      <c r="FEZ3" t="s">
        <v>4887</v>
      </c>
      <c r="FFA3" t="s">
        <v>4888</v>
      </c>
      <c r="FFB3" t="s">
        <v>4889</v>
      </c>
      <c r="FFC3" t="s">
        <v>4890</v>
      </c>
      <c r="FFD3" t="s">
        <v>4891</v>
      </c>
      <c r="FFE3" t="s">
        <v>4892</v>
      </c>
      <c r="FFF3" t="s">
        <v>4893</v>
      </c>
      <c r="FFG3" t="s">
        <v>4894</v>
      </c>
      <c r="FFH3" t="s">
        <v>4895</v>
      </c>
      <c r="FFI3" t="s">
        <v>4896</v>
      </c>
      <c r="FFJ3" t="s">
        <v>4897</v>
      </c>
      <c r="FFK3" t="s">
        <v>4898</v>
      </c>
      <c r="FFL3" t="s">
        <v>4899</v>
      </c>
      <c r="FFM3" t="s">
        <v>4900</v>
      </c>
      <c r="FFN3" t="s">
        <v>4901</v>
      </c>
      <c r="FFO3" t="s">
        <v>4902</v>
      </c>
      <c r="FFP3" t="s">
        <v>4903</v>
      </c>
      <c r="FFQ3" t="s">
        <v>4904</v>
      </c>
      <c r="FFR3" t="s">
        <v>4905</v>
      </c>
      <c r="FFS3" t="s">
        <v>4906</v>
      </c>
      <c r="FFT3" t="s">
        <v>4907</v>
      </c>
      <c r="FFU3" t="s">
        <v>4908</v>
      </c>
      <c r="FFV3" t="s">
        <v>4909</v>
      </c>
      <c r="FFW3" t="s">
        <v>4910</v>
      </c>
      <c r="FFX3" t="s">
        <v>4911</v>
      </c>
      <c r="FFY3" t="s">
        <v>4912</v>
      </c>
      <c r="FFZ3" t="s">
        <v>4913</v>
      </c>
      <c r="FGA3" t="s">
        <v>4914</v>
      </c>
      <c r="FGB3" t="s">
        <v>4915</v>
      </c>
      <c r="FGC3" t="s">
        <v>4916</v>
      </c>
      <c r="FGD3" t="s">
        <v>4917</v>
      </c>
      <c r="FGE3" t="s">
        <v>4918</v>
      </c>
      <c r="FGF3" t="s">
        <v>4919</v>
      </c>
      <c r="FGG3" t="s">
        <v>4920</v>
      </c>
      <c r="FGH3" t="s">
        <v>4921</v>
      </c>
      <c r="FGI3" t="s">
        <v>4922</v>
      </c>
      <c r="FGJ3" t="s">
        <v>4923</v>
      </c>
      <c r="FGK3" t="s">
        <v>4924</v>
      </c>
      <c r="FGL3" t="s">
        <v>4925</v>
      </c>
      <c r="FGM3" t="s">
        <v>4926</v>
      </c>
      <c r="FGN3" t="s">
        <v>4927</v>
      </c>
      <c r="FGO3" t="s">
        <v>4928</v>
      </c>
      <c r="FGP3" t="s">
        <v>4929</v>
      </c>
      <c r="FGQ3" t="s">
        <v>4930</v>
      </c>
      <c r="FGR3" t="s">
        <v>4931</v>
      </c>
      <c r="FGS3" t="s">
        <v>4932</v>
      </c>
      <c r="FGT3" t="s">
        <v>4933</v>
      </c>
      <c r="FGU3" t="s">
        <v>4934</v>
      </c>
      <c r="FGV3" t="s">
        <v>4935</v>
      </c>
      <c r="FGW3" t="s">
        <v>4936</v>
      </c>
      <c r="FGX3" t="s">
        <v>4937</v>
      </c>
      <c r="FGY3" t="s">
        <v>4938</v>
      </c>
      <c r="FGZ3" t="s">
        <v>4939</v>
      </c>
      <c r="FHA3" t="s">
        <v>4940</v>
      </c>
      <c r="FHB3" t="s">
        <v>4941</v>
      </c>
      <c r="FHC3" t="s">
        <v>4942</v>
      </c>
      <c r="FHD3" t="s">
        <v>4943</v>
      </c>
      <c r="FHE3" t="s">
        <v>4944</v>
      </c>
      <c r="FHF3" t="s">
        <v>4945</v>
      </c>
      <c r="FHG3" t="s">
        <v>4946</v>
      </c>
      <c r="FHH3" t="s">
        <v>4947</v>
      </c>
      <c r="FHI3" t="s">
        <v>4948</v>
      </c>
      <c r="FHJ3" t="s">
        <v>4949</v>
      </c>
      <c r="FHK3" t="s">
        <v>4950</v>
      </c>
      <c r="FHL3" t="s">
        <v>4951</v>
      </c>
      <c r="FHM3" t="s">
        <v>4952</v>
      </c>
      <c r="FHN3" t="s">
        <v>4953</v>
      </c>
      <c r="FHO3" t="s">
        <v>4954</v>
      </c>
      <c r="FHP3" t="s">
        <v>4955</v>
      </c>
      <c r="FHQ3" t="s">
        <v>4956</v>
      </c>
      <c r="FHR3" t="s">
        <v>4957</v>
      </c>
      <c r="FHS3" t="s">
        <v>4958</v>
      </c>
      <c r="FHT3" t="s">
        <v>4959</v>
      </c>
      <c r="FHU3" t="s">
        <v>4960</v>
      </c>
      <c r="FHV3" t="s">
        <v>4961</v>
      </c>
      <c r="FHW3" t="s">
        <v>4962</v>
      </c>
      <c r="FHX3" t="s">
        <v>4963</v>
      </c>
      <c r="FHY3" t="s">
        <v>4964</v>
      </c>
      <c r="FHZ3" t="s">
        <v>4965</v>
      </c>
      <c r="FIA3" t="s">
        <v>4966</v>
      </c>
      <c r="FIB3" t="s">
        <v>4967</v>
      </c>
      <c r="FIC3" t="s">
        <v>4968</v>
      </c>
      <c r="FID3" t="s">
        <v>4969</v>
      </c>
      <c r="FIE3" t="s">
        <v>4970</v>
      </c>
      <c r="FIF3" t="s">
        <v>4971</v>
      </c>
      <c r="FIG3" t="s">
        <v>4972</v>
      </c>
      <c r="FIH3" t="s">
        <v>4973</v>
      </c>
      <c r="FII3" t="s">
        <v>4974</v>
      </c>
      <c r="FIJ3" t="s">
        <v>4975</v>
      </c>
      <c r="FIK3" t="s">
        <v>4976</v>
      </c>
      <c r="FIL3" t="s">
        <v>4977</v>
      </c>
      <c r="FIM3" t="s">
        <v>4978</v>
      </c>
      <c r="FIN3" t="s">
        <v>4979</v>
      </c>
      <c r="FIO3" t="s">
        <v>4980</v>
      </c>
      <c r="FIP3" t="s">
        <v>4981</v>
      </c>
      <c r="FIQ3" t="s">
        <v>4982</v>
      </c>
      <c r="FIR3" t="s">
        <v>4983</v>
      </c>
      <c r="FIS3" t="s">
        <v>4984</v>
      </c>
      <c r="FIT3" t="s">
        <v>4985</v>
      </c>
      <c r="FIU3" t="s">
        <v>4986</v>
      </c>
      <c r="FIV3" t="s">
        <v>4987</v>
      </c>
      <c r="FIW3" t="s">
        <v>4988</v>
      </c>
      <c r="FIX3" t="s">
        <v>4989</v>
      </c>
      <c r="FIY3" t="s">
        <v>4990</v>
      </c>
      <c r="FIZ3" t="s">
        <v>4991</v>
      </c>
      <c r="FJA3" t="s">
        <v>4992</v>
      </c>
      <c r="FJB3" t="s">
        <v>4993</v>
      </c>
      <c r="FJC3" t="s">
        <v>4994</v>
      </c>
      <c r="FJD3" t="s">
        <v>4995</v>
      </c>
      <c r="FJE3" t="s">
        <v>4996</v>
      </c>
      <c r="FJF3" t="s">
        <v>4997</v>
      </c>
      <c r="FJG3" t="s">
        <v>4998</v>
      </c>
      <c r="FJH3" t="s">
        <v>4999</v>
      </c>
      <c r="FJI3" t="s">
        <v>5000</v>
      </c>
      <c r="FJJ3" t="s">
        <v>5001</v>
      </c>
      <c r="FJK3" t="s">
        <v>5002</v>
      </c>
      <c r="FJL3" t="s">
        <v>5003</v>
      </c>
      <c r="FJM3" t="s">
        <v>5004</v>
      </c>
      <c r="FJN3" t="s">
        <v>5005</v>
      </c>
      <c r="FJO3" t="s">
        <v>5006</v>
      </c>
      <c r="FJP3" t="s">
        <v>5007</v>
      </c>
      <c r="FJQ3" t="s">
        <v>5008</v>
      </c>
      <c r="FJR3" t="s">
        <v>5009</v>
      </c>
      <c r="FJS3" t="s">
        <v>5010</v>
      </c>
      <c r="FJT3" t="s">
        <v>5011</v>
      </c>
      <c r="FJU3" t="s">
        <v>5012</v>
      </c>
      <c r="FJV3" t="s">
        <v>5013</v>
      </c>
      <c r="FJW3" t="s">
        <v>5014</v>
      </c>
      <c r="FJX3" t="s">
        <v>5015</v>
      </c>
      <c r="FJY3" t="s">
        <v>5016</v>
      </c>
      <c r="FJZ3" t="s">
        <v>5017</v>
      </c>
      <c r="FKA3" t="s">
        <v>5018</v>
      </c>
      <c r="FKB3" t="s">
        <v>5019</v>
      </c>
      <c r="FKC3" t="s">
        <v>5020</v>
      </c>
      <c r="FKD3" t="s">
        <v>5021</v>
      </c>
      <c r="FKE3" t="s">
        <v>5022</v>
      </c>
      <c r="FKF3" t="s">
        <v>5023</v>
      </c>
      <c r="FKG3" t="s">
        <v>5024</v>
      </c>
      <c r="FKH3" t="s">
        <v>5025</v>
      </c>
      <c r="FKI3" t="s">
        <v>5026</v>
      </c>
      <c r="FKJ3" t="s">
        <v>5027</v>
      </c>
      <c r="FKK3" t="s">
        <v>5028</v>
      </c>
      <c r="FKL3" t="s">
        <v>5029</v>
      </c>
      <c r="FKM3" t="s">
        <v>5030</v>
      </c>
      <c r="FKN3" t="s">
        <v>5031</v>
      </c>
      <c r="FKO3" t="s">
        <v>5032</v>
      </c>
      <c r="FKP3" t="s">
        <v>5033</v>
      </c>
      <c r="FKQ3" t="s">
        <v>5034</v>
      </c>
      <c r="FKR3" t="s">
        <v>5035</v>
      </c>
      <c r="FKS3" t="s">
        <v>5036</v>
      </c>
      <c r="FKT3" t="s">
        <v>5037</v>
      </c>
      <c r="FKU3" t="s">
        <v>5038</v>
      </c>
      <c r="FKV3" t="s">
        <v>5039</v>
      </c>
      <c r="FKW3" t="s">
        <v>5040</v>
      </c>
      <c r="FKX3" t="s">
        <v>5041</v>
      </c>
      <c r="FKY3" t="s">
        <v>5042</v>
      </c>
      <c r="FKZ3" t="s">
        <v>5043</v>
      </c>
      <c r="FLA3" t="s">
        <v>5044</v>
      </c>
      <c r="FLB3" t="s">
        <v>5045</v>
      </c>
      <c r="FLC3" t="s">
        <v>5046</v>
      </c>
      <c r="FLD3" t="s">
        <v>5047</v>
      </c>
      <c r="FLE3" t="s">
        <v>5048</v>
      </c>
      <c r="FLF3" t="s">
        <v>5049</v>
      </c>
      <c r="FLG3" t="s">
        <v>5050</v>
      </c>
      <c r="FLH3" t="s">
        <v>5051</v>
      </c>
      <c r="FLI3" t="s">
        <v>5052</v>
      </c>
      <c r="FLJ3" t="s">
        <v>5053</v>
      </c>
      <c r="FLK3" t="s">
        <v>5054</v>
      </c>
      <c r="FLL3" t="s">
        <v>5055</v>
      </c>
      <c r="FLM3" t="s">
        <v>5056</v>
      </c>
      <c r="FLN3" t="s">
        <v>5057</v>
      </c>
      <c r="FLO3" t="s">
        <v>5058</v>
      </c>
      <c r="FLP3" t="s">
        <v>5059</v>
      </c>
      <c r="FLQ3" t="s">
        <v>5060</v>
      </c>
      <c r="FLR3" t="s">
        <v>5061</v>
      </c>
      <c r="FLS3" t="s">
        <v>5062</v>
      </c>
      <c r="FLT3" t="s">
        <v>5063</v>
      </c>
      <c r="FLU3" t="s">
        <v>5064</v>
      </c>
      <c r="FLV3" t="s">
        <v>5065</v>
      </c>
      <c r="FLW3" t="s">
        <v>5066</v>
      </c>
      <c r="FLX3" t="s">
        <v>5067</v>
      </c>
      <c r="FLY3" t="s">
        <v>5068</v>
      </c>
      <c r="FLZ3" t="s">
        <v>5069</v>
      </c>
      <c r="FMA3" t="s">
        <v>5070</v>
      </c>
      <c r="FMB3" t="s">
        <v>5071</v>
      </c>
      <c r="FMC3" t="s">
        <v>5072</v>
      </c>
      <c r="FMD3" t="s">
        <v>5073</v>
      </c>
      <c r="FME3" t="s">
        <v>5074</v>
      </c>
      <c r="FMF3" t="s">
        <v>5075</v>
      </c>
      <c r="FMG3" t="s">
        <v>5076</v>
      </c>
      <c r="FMH3" t="s">
        <v>5077</v>
      </c>
      <c r="FMI3" t="s">
        <v>5078</v>
      </c>
      <c r="FMJ3" t="s">
        <v>5079</v>
      </c>
      <c r="FMK3" t="s">
        <v>5080</v>
      </c>
      <c r="FML3" t="s">
        <v>5081</v>
      </c>
      <c r="FMM3" t="s">
        <v>5082</v>
      </c>
      <c r="FMN3" t="s">
        <v>5083</v>
      </c>
      <c r="FMO3" t="s">
        <v>5084</v>
      </c>
      <c r="FMP3" t="s">
        <v>5085</v>
      </c>
      <c r="FMQ3" t="s">
        <v>5086</v>
      </c>
      <c r="FMR3" t="s">
        <v>5087</v>
      </c>
      <c r="FMS3" t="s">
        <v>5088</v>
      </c>
      <c r="FMT3" t="s">
        <v>5089</v>
      </c>
      <c r="FMU3" t="s">
        <v>5090</v>
      </c>
      <c r="FMV3" t="s">
        <v>5091</v>
      </c>
      <c r="FMW3" t="s">
        <v>5092</v>
      </c>
      <c r="FMX3" t="s">
        <v>5093</v>
      </c>
      <c r="FMY3" t="s">
        <v>5094</v>
      </c>
      <c r="FMZ3" t="s">
        <v>5095</v>
      </c>
      <c r="FNA3" t="s">
        <v>5096</v>
      </c>
      <c r="FNB3" t="s">
        <v>5097</v>
      </c>
      <c r="FNC3" t="s">
        <v>5098</v>
      </c>
      <c r="FND3" t="s">
        <v>5099</v>
      </c>
      <c r="FNE3" t="s">
        <v>5100</v>
      </c>
      <c r="FNF3" t="s">
        <v>5101</v>
      </c>
      <c r="FNG3" t="s">
        <v>5102</v>
      </c>
      <c r="FNH3" t="s">
        <v>5103</v>
      </c>
      <c r="FNI3" t="s">
        <v>5104</v>
      </c>
      <c r="FNJ3" t="s">
        <v>5105</v>
      </c>
      <c r="FNK3" t="s">
        <v>5106</v>
      </c>
      <c r="FNL3" t="s">
        <v>5107</v>
      </c>
      <c r="FNM3" t="s">
        <v>5108</v>
      </c>
      <c r="FNN3" t="s">
        <v>5109</v>
      </c>
      <c r="FNO3" t="s">
        <v>5110</v>
      </c>
      <c r="FNP3" t="s">
        <v>5111</v>
      </c>
      <c r="FNQ3" t="s">
        <v>5112</v>
      </c>
      <c r="FNR3" t="s">
        <v>5113</v>
      </c>
      <c r="FNS3" t="s">
        <v>5114</v>
      </c>
      <c r="FNT3" t="s">
        <v>5115</v>
      </c>
      <c r="FNU3" t="s">
        <v>5116</v>
      </c>
      <c r="FNV3" t="s">
        <v>5117</v>
      </c>
      <c r="FNW3" t="s">
        <v>5118</v>
      </c>
      <c r="FNX3" t="s">
        <v>5119</v>
      </c>
      <c r="FNY3" t="s">
        <v>5120</v>
      </c>
      <c r="FNZ3" t="s">
        <v>5121</v>
      </c>
      <c r="FOA3" t="s">
        <v>5122</v>
      </c>
      <c r="FOB3" t="s">
        <v>5123</v>
      </c>
      <c r="FOC3" t="s">
        <v>5124</v>
      </c>
      <c r="FOD3" t="s">
        <v>5125</v>
      </c>
      <c r="FOE3" t="s">
        <v>5126</v>
      </c>
      <c r="FOF3" t="s">
        <v>5127</v>
      </c>
      <c r="FOG3" t="s">
        <v>5128</v>
      </c>
      <c r="FOH3" t="s">
        <v>5129</v>
      </c>
      <c r="FOI3" t="s">
        <v>5130</v>
      </c>
      <c r="FOJ3" t="s">
        <v>5131</v>
      </c>
      <c r="FOK3" t="s">
        <v>5132</v>
      </c>
      <c r="FOL3" t="s">
        <v>5133</v>
      </c>
      <c r="FOM3" t="s">
        <v>5134</v>
      </c>
      <c r="FON3" t="s">
        <v>5135</v>
      </c>
      <c r="FOO3" t="s">
        <v>5136</v>
      </c>
      <c r="FOP3" t="s">
        <v>5137</v>
      </c>
      <c r="FOQ3" t="s">
        <v>5138</v>
      </c>
      <c r="FOR3" t="s">
        <v>5139</v>
      </c>
      <c r="FOS3" t="s">
        <v>5140</v>
      </c>
      <c r="FOT3" t="s">
        <v>5141</v>
      </c>
      <c r="FOU3" t="s">
        <v>5142</v>
      </c>
      <c r="FOV3" t="s">
        <v>5143</v>
      </c>
      <c r="FOW3" t="s">
        <v>5144</v>
      </c>
      <c r="FOX3" t="s">
        <v>5145</v>
      </c>
      <c r="FOY3" t="s">
        <v>5146</v>
      </c>
      <c r="FOZ3" t="s">
        <v>5147</v>
      </c>
      <c r="FPA3" t="s">
        <v>5148</v>
      </c>
      <c r="FPB3" t="s">
        <v>5149</v>
      </c>
      <c r="FPC3" t="s">
        <v>5150</v>
      </c>
      <c r="FPD3" t="s">
        <v>5151</v>
      </c>
      <c r="FPE3" t="s">
        <v>5152</v>
      </c>
      <c r="FPF3" t="s">
        <v>5153</v>
      </c>
      <c r="FPG3" t="s">
        <v>5154</v>
      </c>
      <c r="FPH3" t="s">
        <v>5155</v>
      </c>
      <c r="FPI3" t="s">
        <v>5156</v>
      </c>
      <c r="FPJ3" t="s">
        <v>5157</v>
      </c>
      <c r="FPK3" t="s">
        <v>5158</v>
      </c>
      <c r="FPL3" t="s">
        <v>5159</v>
      </c>
      <c r="FPM3" t="s">
        <v>5160</v>
      </c>
      <c r="FPN3" t="s">
        <v>5161</v>
      </c>
      <c r="FPO3" t="s">
        <v>5162</v>
      </c>
      <c r="FPP3" t="s">
        <v>5163</v>
      </c>
      <c r="FPQ3" t="s">
        <v>5164</v>
      </c>
      <c r="FPR3" t="s">
        <v>5165</v>
      </c>
      <c r="FPS3" t="s">
        <v>5166</v>
      </c>
      <c r="FPT3" t="s">
        <v>5167</v>
      </c>
      <c r="FPU3" t="s">
        <v>5168</v>
      </c>
      <c r="FPV3" t="s">
        <v>5169</v>
      </c>
      <c r="FPW3" t="s">
        <v>5170</v>
      </c>
      <c r="FPX3" t="s">
        <v>5171</v>
      </c>
      <c r="FPY3" t="s">
        <v>5172</v>
      </c>
      <c r="FPZ3" t="s">
        <v>5173</v>
      </c>
      <c r="FQA3" t="s">
        <v>5174</v>
      </c>
      <c r="FQB3" t="s">
        <v>5175</v>
      </c>
      <c r="FQC3" t="s">
        <v>5176</v>
      </c>
      <c r="FQD3" t="s">
        <v>5177</v>
      </c>
      <c r="FQE3" t="s">
        <v>5178</v>
      </c>
      <c r="FQF3" t="s">
        <v>5179</v>
      </c>
      <c r="FQG3" t="s">
        <v>5180</v>
      </c>
      <c r="FQH3" t="s">
        <v>5181</v>
      </c>
      <c r="FQI3" t="s">
        <v>5182</v>
      </c>
      <c r="FQJ3" t="s">
        <v>5183</v>
      </c>
      <c r="FQK3" t="s">
        <v>5184</v>
      </c>
      <c r="FQL3" t="s">
        <v>5185</v>
      </c>
      <c r="FQM3" t="s">
        <v>5186</v>
      </c>
      <c r="FQN3" t="s">
        <v>5187</v>
      </c>
      <c r="FQO3" t="s">
        <v>5188</v>
      </c>
      <c r="FQP3" t="s">
        <v>5189</v>
      </c>
      <c r="FQQ3" t="s">
        <v>5190</v>
      </c>
      <c r="FQR3" t="s">
        <v>5191</v>
      </c>
      <c r="FQS3" t="s">
        <v>5192</v>
      </c>
      <c r="FQT3" t="s">
        <v>5193</v>
      </c>
      <c r="FQU3" t="s">
        <v>5194</v>
      </c>
      <c r="FQV3" t="s">
        <v>5195</v>
      </c>
      <c r="FQW3" t="s">
        <v>5196</v>
      </c>
      <c r="FQX3" t="s">
        <v>5197</v>
      </c>
      <c r="FQY3" t="s">
        <v>5198</v>
      </c>
      <c r="FQZ3" t="s">
        <v>5199</v>
      </c>
      <c r="FRA3" t="s">
        <v>5200</v>
      </c>
      <c r="FRB3" t="s">
        <v>5201</v>
      </c>
      <c r="FRC3" t="s">
        <v>5202</v>
      </c>
      <c r="FRD3" t="s">
        <v>5203</v>
      </c>
      <c r="FRE3" t="s">
        <v>5204</v>
      </c>
      <c r="FRF3" t="s">
        <v>5205</v>
      </c>
      <c r="FRG3" t="s">
        <v>5206</v>
      </c>
      <c r="FRH3" t="s">
        <v>5207</v>
      </c>
      <c r="FRI3" t="s">
        <v>5208</v>
      </c>
      <c r="FRJ3" t="s">
        <v>5209</v>
      </c>
      <c r="FRK3" t="s">
        <v>5210</v>
      </c>
      <c r="FRL3" t="s">
        <v>5211</v>
      </c>
      <c r="FRM3" t="s">
        <v>5212</v>
      </c>
      <c r="FRN3" t="s">
        <v>5213</v>
      </c>
      <c r="FRO3" t="s">
        <v>5214</v>
      </c>
      <c r="FRP3" t="s">
        <v>5215</v>
      </c>
      <c r="FRQ3" t="s">
        <v>5216</v>
      </c>
      <c r="FRR3" t="s">
        <v>5217</v>
      </c>
      <c r="FRS3" t="s">
        <v>5218</v>
      </c>
      <c r="FRT3" t="s">
        <v>5219</v>
      </c>
      <c r="FRU3" t="s">
        <v>5220</v>
      </c>
      <c r="FRV3" t="s">
        <v>5221</v>
      </c>
      <c r="FRW3" t="s">
        <v>5222</v>
      </c>
      <c r="FRX3" t="s">
        <v>5223</v>
      </c>
      <c r="FRY3" t="s">
        <v>5224</v>
      </c>
      <c r="FRZ3" t="s">
        <v>5225</v>
      </c>
      <c r="FSA3" t="s">
        <v>5226</v>
      </c>
      <c r="FSB3" t="s">
        <v>5227</v>
      </c>
      <c r="FSC3" t="s">
        <v>5228</v>
      </c>
      <c r="FSD3" t="s">
        <v>5229</v>
      </c>
      <c r="FSE3" t="s">
        <v>5230</v>
      </c>
      <c r="FSF3" t="s">
        <v>5231</v>
      </c>
      <c r="FSG3" t="s">
        <v>5232</v>
      </c>
      <c r="FSH3" t="s">
        <v>5233</v>
      </c>
      <c r="FSI3" t="s">
        <v>5234</v>
      </c>
      <c r="FSJ3" t="s">
        <v>5235</v>
      </c>
      <c r="FSK3" t="s">
        <v>5236</v>
      </c>
      <c r="FSL3" t="s">
        <v>5237</v>
      </c>
      <c r="FSM3" t="s">
        <v>5238</v>
      </c>
      <c r="FSN3" t="s">
        <v>5239</v>
      </c>
      <c r="FSO3" t="s">
        <v>5240</v>
      </c>
      <c r="FSP3" t="s">
        <v>5241</v>
      </c>
      <c r="FSQ3" t="s">
        <v>5242</v>
      </c>
      <c r="FSR3" t="s">
        <v>5243</v>
      </c>
      <c r="FSS3" t="s">
        <v>5244</v>
      </c>
      <c r="FST3" t="s">
        <v>5245</v>
      </c>
      <c r="FSU3" t="s">
        <v>5246</v>
      </c>
      <c r="FSV3" t="s">
        <v>5247</v>
      </c>
      <c r="FSW3" t="s">
        <v>5248</v>
      </c>
      <c r="FSX3" t="s">
        <v>5249</v>
      </c>
      <c r="FSY3" t="s">
        <v>5250</v>
      </c>
      <c r="FSZ3" t="s">
        <v>5251</v>
      </c>
      <c r="FTA3" t="s">
        <v>5252</v>
      </c>
      <c r="FTB3" t="s">
        <v>5253</v>
      </c>
      <c r="FTC3" t="s">
        <v>5254</v>
      </c>
      <c r="FTD3" t="s">
        <v>5255</v>
      </c>
      <c r="FTE3" t="s">
        <v>5256</v>
      </c>
      <c r="FTF3" t="s">
        <v>5257</v>
      </c>
      <c r="FTG3" t="s">
        <v>5258</v>
      </c>
      <c r="FTH3" t="s">
        <v>5259</v>
      </c>
      <c r="FTI3" t="s">
        <v>5260</v>
      </c>
      <c r="FTJ3" t="s">
        <v>5261</v>
      </c>
      <c r="FTK3" t="s">
        <v>5262</v>
      </c>
      <c r="FTL3" t="s">
        <v>5263</v>
      </c>
      <c r="FTM3" t="s">
        <v>5264</v>
      </c>
      <c r="FTN3" t="s">
        <v>5265</v>
      </c>
      <c r="FTO3" t="s">
        <v>5266</v>
      </c>
      <c r="FTP3" t="s">
        <v>5267</v>
      </c>
      <c r="FTQ3" t="s">
        <v>5268</v>
      </c>
      <c r="FTR3" t="s">
        <v>5269</v>
      </c>
      <c r="FTS3" t="s">
        <v>5270</v>
      </c>
      <c r="FTT3" t="s">
        <v>5271</v>
      </c>
      <c r="FTU3" t="s">
        <v>5272</v>
      </c>
      <c r="FTV3" t="s">
        <v>5273</v>
      </c>
      <c r="FTW3" t="s">
        <v>5274</v>
      </c>
      <c r="FTX3" t="s">
        <v>5275</v>
      </c>
      <c r="FTY3" t="s">
        <v>5276</v>
      </c>
      <c r="FTZ3" t="s">
        <v>5277</v>
      </c>
      <c r="FUA3" t="s">
        <v>5278</v>
      </c>
      <c r="FUB3" t="s">
        <v>5279</v>
      </c>
      <c r="FUC3" t="s">
        <v>5280</v>
      </c>
      <c r="FUD3" t="s">
        <v>5281</v>
      </c>
      <c r="FUE3" t="s">
        <v>5282</v>
      </c>
      <c r="FUF3" t="s">
        <v>5283</v>
      </c>
      <c r="FUG3" t="s">
        <v>5284</v>
      </c>
      <c r="FUH3" t="s">
        <v>5285</v>
      </c>
      <c r="FUI3" t="s">
        <v>5286</v>
      </c>
      <c r="FUJ3" t="s">
        <v>5287</v>
      </c>
      <c r="FUK3" t="s">
        <v>5288</v>
      </c>
      <c r="FUL3" t="s">
        <v>5289</v>
      </c>
      <c r="FUM3" t="s">
        <v>5290</v>
      </c>
      <c r="FUN3" t="s">
        <v>5291</v>
      </c>
      <c r="FUO3" t="s">
        <v>5292</v>
      </c>
      <c r="FUP3" t="s">
        <v>5293</v>
      </c>
      <c r="FUQ3" t="s">
        <v>5294</v>
      </c>
      <c r="FUR3" t="s">
        <v>5295</v>
      </c>
      <c r="FUS3" t="s">
        <v>5296</v>
      </c>
      <c r="FUT3" t="s">
        <v>5297</v>
      </c>
      <c r="FUU3" t="s">
        <v>5298</v>
      </c>
      <c r="FUV3" t="s">
        <v>5299</v>
      </c>
      <c r="FUW3" t="s">
        <v>5300</v>
      </c>
      <c r="FUX3" t="s">
        <v>5301</v>
      </c>
      <c r="FUY3" t="s">
        <v>5302</v>
      </c>
      <c r="FUZ3" t="s">
        <v>5303</v>
      </c>
      <c r="FVA3" t="s">
        <v>5304</v>
      </c>
      <c r="FVB3" t="s">
        <v>5305</v>
      </c>
      <c r="FVC3" t="s">
        <v>5306</v>
      </c>
      <c r="FVD3" t="s">
        <v>5307</v>
      </c>
      <c r="FVE3" t="s">
        <v>5308</v>
      </c>
      <c r="FVF3" t="s">
        <v>5309</v>
      </c>
      <c r="FVG3" t="s">
        <v>5310</v>
      </c>
      <c r="FVH3" t="s">
        <v>5311</v>
      </c>
      <c r="FVI3" t="s">
        <v>5312</v>
      </c>
      <c r="FVJ3" t="s">
        <v>5313</v>
      </c>
      <c r="FVK3" t="s">
        <v>5314</v>
      </c>
      <c r="FVL3" t="s">
        <v>5315</v>
      </c>
      <c r="FVM3" t="s">
        <v>5316</v>
      </c>
      <c r="FVN3" t="s">
        <v>5317</v>
      </c>
      <c r="FVO3" t="s">
        <v>5318</v>
      </c>
      <c r="FVP3" t="s">
        <v>5319</v>
      </c>
      <c r="FVQ3" t="s">
        <v>5320</v>
      </c>
      <c r="FVR3" t="s">
        <v>5321</v>
      </c>
      <c r="FVS3" t="s">
        <v>5322</v>
      </c>
      <c r="FVT3" t="s">
        <v>5323</v>
      </c>
      <c r="FVU3" t="s">
        <v>5324</v>
      </c>
      <c r="FVV3" t="s">
        <v>5325</v>
      </c>
      <c r="FVW3" t="s">
        <v>5326</v>
      </c>
      <c r="FVX3" t="s">
        <v>5327</v>
      </c>
      <c r="FVY3" t="s">
        <v>5328</v>
      </c>
      <c r="FVZ3" t="s">
        <v>5329</v>
      </c>
      <c r="FWA3" t="s">
        <v>5330</v>
      </c>
      <c r="FWB3" t="s">
        <v>5331</v>
      </c>
      <c r="FWC3" t="s">
        <v>5332</v>
      </c>
      <c r="FWD3" t="s">
        <v>5333</v>
      </c>
      <c r="FWE3" t="s">
        <v>5334</v>
      </c>
      <c r="FWF3" t="s">
        <v>5335</v>
      </c>
      <c r="FWG3" t="s">
        <v>5336</v>
      </c>
      <c r="FWH3" t="s">
        <v>5337</v>
      </c>
      <c r="FWI3" t="s">
        <v>5338</v>
      </c>
      <c r="FWJ3" t="s">
        <v>5339</v>
      </c>
      <c r="FWK3" t="s">
        <v>5340</v>
      </c>
      <c r="FWL3" t="s">
        <v>5341</v>
      </c>
      <c r="FWM3" t="s">
        <v>5342</v>
      </c>
      <c r="FWN3" t="s">
        <v>5343</v>
      </c>
      <c r="FWO3" t="s">
        <v>5344</v>
      </c>
      <c r="FWP3" t="s">
        <v>5345</v>
      </c>
      <c r="FWQ3" t="s">
        <v>5346</v>
      </c>
      <c r="FWR3" t="s">
        <v>5347</v>
      </c>
      <c r="FWS3" t="s">
        <v>5348</v>
      </c>
      <c r="FWT3" t="s">
        <v>5349</v>
      </c>
      <c r="FWU3" t="s">
        <v>5350</v>
      </c>
      <c r="FWV3" t="s">
        <v>5351</v>
      </c>
      <c r="FWW3" t="s">
        <v>5352</v>
      </c>
      <c r="FWX3" t="s">
        <v>5353</v>
      </c>
      <c r="FWY3" t="s">
        <v>5354</v>
      </c>
      <c r="FWZ3" t="s">
        <v>5355</v>
      </c>
      <c r="FXA3" t="s">
        <v>5356</v>
      </c>
      <c r="FXB3" t="s">
        <v>5357</v>
      </c>
      <c r="FXC3" t="s">
        <v>5358</v>
      </c>
      <c r="FXD3" t="s">
        <v>5359</v>
      </c>
      <c r="FXE3" t="s">
        <v>5360</v>
      </c>
      <c r="FXF3" t="s">
        <v>5361</v>
      </c>
      <c r="FXG3" t="s">
        <v>5362</v>
      </c>
      <c r="FXH3" t="s">
        <v>5363</v>
      </c>
      <c r="FXI3" t="s">
        <v>5364</v>
      </c>
      <c r="FXJ3" t="s">
        <v>5365</v>
      </c>
      <c r="FXK3" t="s">
        <v>5366</v>
      </c>
      <c r="FXL3" t="s">
        <v>5367</v>
      </c>
      <c r="FXM3" t="s">
        <v>5368</v>
      </c>
      <c r="FXN3" t="s">
        <v>5369</v>
      </c>
      <c r="FXO3" t="s">
        <v>5370</v>
      </c>
      <c r="FXP3" t="s">
        <v>5371</v>
      </c>
      <c r="FXQ3" t="s">
        <v>5372</v>
      </c>
      <c r="FXR3" t="s">
        <v>5373</v>
      </c>
      <c r="FXS3" t="s">
        <v>5374</v>
      </c>
      <c r="FXT3" t="s">
        <v>5375</v>
      </c>
      <c r="FXU3" t="s">
        <v>5376</v>
      </c>
      <c r="FXV3" t="s">
        <v>5377</v>
      </c>
      <c r="FXW3" t="s">
        <v>5378</v>
      </c>
      <c r="FXX3" t="s">
        <v>5379</v>
      </c>
      <c r="FXY3" t="s">
        <v>5380</v>
      </c>
      <c r="FXZ3" t="s">
        <v>5381</v>
      </c>
      <c r="FYA3" t="s">
        <v>5382</v>
      </c>
      <c r="FYB3" t="s">
        <v>5383</v>
      </c>
      <c r="FYC3" t="s">
        <v>5384</v>
      </c>
      <c r="FYD3" t="s">
        <v>5385</v>
      </c>
      <c r="FYE3" t="s">
        <v>5386</v>
      </c>
      <c r="FYF3" t="s">
        <v>5387</v>
      </c>
      <c r="FYG3" t="s">
        <v>5388</v>
      </c>
      <c r="FYH3" t="s">
        <v>5389</v>
      </c>
      <c r="FYI3" t="s">
        <v>5390</v>
      </c>
      <c r="FYJ3" t="s">
        <v>5391</v>
      </c>
      <c r="FYK3" t="s">
        <v>5392</v>
      </c>
      <c r="FYL3" t="s">
        <v>5393</v>
      </c>
      <c r="FYM3" t="s">
        <v>5394</v>
      </c>
      <c r="FYN3" t="s">
        <v>5395</v>
      </c>
      <c r="FYO3" t="s">
        <v>5396</v>
      </c>
      <c r="FYP3" t="s">
        <v>5397</v>
      </c>
      <c r="FYQ3" t="s">
        <v>5398</v>
      </c>
      <c r="FYR3" t="s">
        <v>5399</v>
      </c>
      <c r="FYS3" t="s">
        <v>5400</v>
      </c>
      <c r="FYT3" t="s">
        <v>5401</v>
      </c>
      <c r="FYU3" t="s">
        <v>5402</v>
      </c>
      <c r="FYV3" t="s">
        <v>5403</v>
      </c>
      <c r="FYW3" t="s">
        <v>5404</v>
      </c>
      <c r="FYX3" t="s">
        <v>5405</v>
      </c>
      <c r="FYY3" t="s">
        <v>5406</v>
      </c>
      <c r="FYZ3" t="s">
        <v>5407</v>
      </c>
      <c r="FZA3" t="s">
        <v>5408</v>
      </c>
      <c r="FZB3" t="s">
        <v>5409</v>
      </c>
      <c r="FZC3" t="s">
        <v>5410</v>
      </c>
      <c r="FZD3" t="s">
        <v>5411</v>
      </c>
      <c r="FZE3" t="s">
        <v>5412</v>
      </c>
      <c r="FZF3" t="s">
        <v>5413</v>
      </c>
      <c r="FZG3" t="s">
        <v>5414</v>
      </c>
      <c r="FZH3" t="s">
        <v>5415</v>
      </c>
      <c r="FZI3" t="s">
        <v>5416</v>
      </c>
      <c r="FZJ3" t="s">
        <v>5417</v>
      </c>
      <c r="FZK3" t="s">
        <v>5418</v>
      </c>
      <c r="FZL3" t="s">
        <v>5419</v>
      </c>
      <c r="FZM3" t="s">
        <v>5420</v>
      </c>
      <c r="FZN3" t="s">
        <v>5421</v>
      </c>
      <c r="FZO3" t="s">
        <v>5422</v>
      </c>
      <c r="FZP3" t="s">
        <v>5423</v>
      </c>
      <c r="FZQ3" t="s">
        <v>5424</v>
      </c>
      <c r="FZR3" t="s">
        <v>5425</v>
      </c>
      <c r="FZS3" t="s">
        <v>5426</v>
      </c>
      <c r="FZT3" t="s">
        <v>5427</v>
      </c>
      <c r="FZU3" t="s">
        <v>5428</v>
      </c>
      <c r="FZV3" t="s">
        <v>5429</v>
      </c>
      <c r="FZW3" t="s">
        <v>5430</v>
      </c>
      <c r="FZX3" t="s">
        <v>5431</v>
      </c>
      <c r="FZY3" t="s">
        <v>5432</v>
      </c>
      <c r="FZZ3" t="s">
        <v>5433</v>
      </c>
      <c r="GAA3" t="s">
        <v>5434</v>
      </c>
      <c r="GAB3" t="s">
        <v>5435</v>
      </c>
      <c r="GAC3" t="s">
        <v>5436</v>
      </c>
      <c r="GAD3" t="s">
        <v>5437</v>
      </c>
      <c r="GAE3" t="s">
        <v>5438</v>
      </c>
      <c r="GAF3" t="s">
        <v>5439</v>
      </c>
      <c r="GAG3" t="s">
        <v>5440</v>
      </c>
      <c r="GAH3" t="s">
        <v>5441</v>
      </c>
      <c r="GAI3" t="s">
        <v>5442</v>
      </c>
      <c r="GAJ3" t="s">
        <v>5443</v>
      </c>
      <c r="GAK3" t="s">
        <v>5444</v>
      </c>
      <c r="GAL3" t="s">
        <v>5445</v>
      </c>
      <c r="GAM3" t="s">
        <v>5446</v>
      </c>
      <c r="GAN3" t="s">
        <v>5447</v>
      </c>
      <c r="GAO3" t="s">
        <v>5448</v>
      </c>
      <c r="GAP3" t="s">
        <v>5449</v>
      </c>
      <c r="GAQ3" t="s">
        <v>5450</v>
      </c>
      <c r="GAR3" t="s">
        <v>5451</v>
      </c>
      <c r="GAS3" t="s">
        <v>5452</v>
      </c>
      <c r="GAT3" t="s">
        <v>5453</v>
      </c>
      <c r="GAU3" t="s">
        <v>5454</v>
      </c>
      <c r="GAV3" t="s">
        <v>5455</v>
      </c>
      <c r="GAW3" t="s">
        <v>5456</v>
      </c>
      <c r="GAX3" t="s">
        <v>5457</v>
      </c>
      <c r="GAY3" t="s">
        <v>5458</v>
      </c>
      <c r="GAZ3" t="s">
        <v>5459</v>
      </c>
      <c r="GBA3" t="s">
        <v>5460</v>
      </c>
      <c r="GBB3" t="s">
        <v>5461</v>
      </c>
      <c r="GBC3" t="s">
        <v>5462</v>
      </c>
      <c r="GBD3" t="s">
        <v>5463</v>
      </c>
      <c r="GBE3" t="s">
        <v>5464</v>
      </c>
      <c r="GBF3" t="s">
        <v>5465</v>
      </c>
      <c r="GBG3" t="s">
        <v>5466</v>
      </c>
      <c r="GBH3" t="s">
        <v>5467</v>
      </c>
      <c r="GBI3" t="s">
        <v>5468</v>
      </c>
      <c r="GBJ3" t="s">
        <v>5469</v>
      </c>
      <c r="GBK3" t="s">
        <v>5470</v>
      </c>
      <c r="GBL3" t="s">
        <v>5471</v>
      </c>
      <c r="GBM3" t="s">
        <v>5472</v>
      </c>
      <c r="GBN3" t="s">
        <v>5473</v>
      </c>
      <c r="GBO3" t="s">
        <v>5474</v>
      </c>
      <c r="GBP3" t="s">
        <v>5475</v>
      </c>
      <c r="GBQ3" t="s">
        <v>5476</v>
      </c>
      <c r="GBR3" t="s">
        <v>5477</v>
      </c>
      <c r="GBS3" t="s">
        <v>5478</v>
      </c>
      <c r="GBT3" t="s">
        <v>5479</v>
      </c>
      <c r="GBU3" t="s">
        <v>5480</v>
      </c>
      <c r="GBV3" t="s">
        <v>5481</v>
      </c>
      <c r="GBW3" t="s">
        <v>5482</v>
      </c>
      <c r="GBX3" t="s">
        <v>5483</v>
      </c>
      <c r="GBY3" t="s">
        <v>5484</v>
      </c>
      <c r="GBZ3" t="s">
        <v>5485</v>
      </c>
      <c r="GCA3" t="s">
        <v>5486</v>
      </c>
      <c r="GCB3" t="s">
        <v>5487</v>
      </c>
      <c r="GCC3" t="s">
        <v>5488</v>
      </c>
      <c r="GCD3" t="s">
        <v>5489</v>
      </c>
      <c r="GCE3" t="s">
        <v>5490</v>
      </c>
      <c r="GCF3" t="s">
        <v>5491</v>
      </c>
      <c r="GCG3" t="s">
        <v>5492</v>
      </c>
      <c r="GCH3" t="s">
        <v>5493</v>
      </c>
      <c r="GCI3" t="s">
        <v>5494</v>
      </c>
      <c r="GCJ3" t="s">
        <v>5495</v>
      </c>
      <c r="GCK3" t="s">
        <v>5496</v>
      </c>
      <c r="GCL3" t="s">
        <v>5497</v>
      </c>
      <c r="GCM3" t="s">
        <v>5498</v>
      </c>
      <c r="GCN3" t="s">
        <v>5499</v>
      </c>
      <c r="GCO3" t="s">
        <v>5500</v>
      </c>
      <c r="GCP3" t="s">
        <v>5501</v>
      </c>
      <c r="GCQ3" t="s">
        <v>5502</v>
      </c>
      <c r="GCR3" t="s">
        <v>5503</v>
      </c>
      <c r="GCS3" t="s">
        <v>5504</v>
      </c>
      <c r="GCT3" t="s">
        <v>5505</v>
      </c>
      <c r="GCU3" t="s">
        <v>5506</v>
      </c>
      <c r="GCV3" t="s">
        <v>5507</v>
      </c>
      <c r="GCW3" t="s">
        <v>5508</v>
      </c>
      <c r="GCX3" t="s">
        <v>5509</v>
      </c>
      <c r="GCY3" t="s">
        <v>5510</v>
      </c>
      <c r="GCZ3" t="s">
        <v>5511</v>
      </c>
      <c r="GDA3" t="s">
        <v>5512</v>
      </c>
      <c r="GDB3" t="s">
        <v>5513</v>
      </c>
      <c r="GDC3" t="s">
        <v>5514</v>
      </c>
      <c r="GDD3" t="s">
        <v>5515</v>
      </c>
      <c r="GDE3" t="s">
        <v>5516</v>
      </c>
      <c r="GDF3" t="s">
        <v>5517</v>
      </c>
      <c r="GDG3" t="s">
        <v>5518</v>
      </c>
      <c r="GDH3" t="s">
        <v>5519</v>
      </c>
      <c r="GDI3" t="s">
        <v>5520</v>
      </c>
      <c r="GDJ3" t="s">
        <v>5521</v>
      </c>
      <c r="GDK3" t="s">
        <v>5522</v>
      </c>
      <c r="GDL3" t="s">
        <v>5523</v>
      </c>
      <c r="GDM3" t="s">
        <v>5524</v>
      </c>
      <c r="GDN3" t="s">
        <v>5525</v>
      </c>
      <c r="GDO3" t="s">
        <v>5526</v>
      </c>
      <c r="GDP3" t="s">
        <v>5527</v>
      </c>
      <c r="GDQ3" t="s">
        <v>5528</v>
      </c>
      <c r="GDR3" t="s">
        <v>5529</v>
      </c>
      <c r="GDS3" t="s">
        <v>5530</v>
      </c>
      <c r="GDT3" t="s">
        <v>5531</v>
      </c>
      <c r="GDU3" t="s">
        <v>5532</v>
      </c>
      <c r="GDV3" t="s">
        <v>5533</v>
      </c>
      <c r="GDW3" t="s">
        <v>5534</v>
      </c>
      <c r="GDX3" t="s">
        <v>5535</v>
      </c>
      <c r="GDY3" t="s">
        <v>5536</v>
      </c>
      <c r="GDZ3" t="s">
        <v>5537</v>
      </c>
      <c r="GEA3" t="s">
        <v>5538</v>
      </c>
      <c r="GEB3" t="s">
        <v>5539</v>
      </c>
      <c r="GEC3" t="s">
        <v>5540</v>
      </c>
      <c r="GED3" t="s">
        <v>5541</v>
      </c>
      <c r="GEE3" t="s">
        <v>5542</v>
      </c>
      <c r="GEF3" t="s">
        <v>5543</v>
      </c>
      <c r="GEG3" t="s">
        <v>5544</v>
      </c>
      <c r="GEH3" t="s">
        <v>5545</v>
      </c>
      <c r="GEI3" t="s">
        <v>5546</v>
      </c>
      <c r="GEJ3" t="s">
        <v>5547</v>
      </c>
      <c r="GEK3" t="s">
        <v>5548</v>
      </c>
      <c r="GEL3" t="s">
        <v>5549</v>
      </c>
      <c r="GEM3" t="s">
        <v>5550</v>
      </c>
      <c r="GEN3" t="s">
        <v>5551</v>
      </c>
      <c r="GEO3" t="s">
        <v>5552</v>
      </c>
      <c r="GEP3" t="s">
        <v>5553</v>
      </c>
      <c r="GEQ3" t="s">
        <v>5554</v>
      </c>
      <c r="GER3" t="s">
        <v>5555</v>
      </c>
      <c r="GES3" t="s">
        <v>5556</v>
      </c>
      <c r="GET3" t="s">
        <v>5557</v>
      </c>
      <c r="GEU3" t="s">
        <v>5558</v>
      </c>
      <c r="GEV3" t="s">
        <v>5559</v>
      </c>
      <c r="GEW3" t="s">
        <v>5560</v>
      </c>
      <c r="GEX3" t="s">
        <v>5561</v>
      </c>
      <c r="GEY3" t="s">
        <v>5562</v>
      </c>
      <c r="GEZ3" t="s">
        <v>5563</v>
      </c>
      <c r="GFA3" t="s">
        <v>5564</v>
      </c>
      <c r="GFB3" t="s">
        <v>5565</v>
      </c>
      <c r="GFC3" t="s">
        <v>5566</v>
      </c>
      <c r="GFD3" t="s">
        <v>5567</v>
      </c>
      <c r="GFE3" t="s">
        <v>5568</v>
      </c>
      <c r="GFF3" t="s">
        <v>5569</v>
      </c>
      <c r="GFG3" t="s">
        <v>5570</v>
      </c>
      <c r="GFH3" t="s">
        <v>5571</v>
      </c>
      <c r="GFI3" t="s">
        <v>5572</v>
      </c>
      <c r="GFJ3" t="s">
        <v>5573</v>
      </c>
      <c r="GFK3" t="s">
        <v>5574</v>
      </c>
      <c r="GFL3" t="s">
        <v>5575</v>
      </c>
      <c r="GFM3" t="s">
        <v>5576</v>
      </c>
      <c r="GFN3" t="s">
        <v>5577</v>
      </c>
      <c r="GFO3" t="s">
        <v>5578</v>
      </c>
      <c r="GFP3" t="s">
        <v>5579</v>
      </c>
      <c r="GFQ3" t="s">
        <v>5580</v>
      </c>
      <c r="GFR3" t="s">
        <v>5581</v>
      </c>
      <c r="GFS3" t="s">
        <v>5582</v>
      </c>
      <c r="GFT3" t="s">
        <v>5583</v>
      </c>
      <c r="GFU3" t="s">
        <v>5584</v>
      </c>
      <c r="GFV3" t="s">
        <v>5585</v>
      </c>
      <c r="GFW3" t="s">
        <v>5586</v>
      </c>
      <c r="GFX3" t="s">
        <v>5587</v>
      </c>
      <c r="GFY3" t="s">
        <v>5588</v>
      </c>
      <c r="GFZ3" t="s">
        <v>5589</v>
      </c>
      <c r="GGA3" t="s">
        <v>5590</v>
      </c>
      <c r="GGB3" t="s">
        <v>5591</v>
      </c>
      <c r="GGC3" t="s">
        <v>5592</v>
      </c>
      <c r="GGD3" t="s">
        <v>5593</v>
      </c>
      <c r="GGE3" t="s">
        <v>5594</v>
      </c>
      <c r="GGF3" t="s">
        <v>5595</v>
      </c>
      <c r="GGG3" t="s">
        <v>5596</v>
      </c>
      <c r="GGH3" t="s">
        <v>5597</v>
      </c>
      <c r="GGI3" t="s">
        <v>5598</v>
      </c>
      <c r="GGJ3" t="s">
        <v>5599</v>
      </c>
      <c r="GGK3" t="s">
        <v>5600</v>
      </c>
      <c r="GGL3" t="s">
        <v>5601</v>
      </c>
      <c r="GGM3" t="s">
        <v>5602</v>
      </c>
      <c r="GGN3" t="s">
        <v>5603</v>
      </c>
      <c r="GGO3" t="s">
        <v>5604</v>
      </c>
      <c r="GGP3" t="s">
        <v>5605</v>
      </c>
      <c r="GGQ3" t="s">
        <v>5606</v>
      </c>
      <c r="GGR3" t="s">
        <v>5607</v>
      </c>
      <c r="GGS3" t="s">
        <v>5608</v>
      </c>
      <c r="GGT3" t="s">
        <v>5609</v>
      </c>
      <c r="GGU3" t="s">
        <v>5610</v>
      </c>
      <c r="GGV3" t="s">
        <v>5611</v>
      </c>
      <c r="GGW3" t="s">
        <v>5612</v>
      </c>
      <c r="GGX3" t="s">
        <v>5613</v>
      </c>
      <c r="GGY3" t="s">
        <v>5614</v>
      </c>
      <c r="GGZ3" t="s">
        <v>5615</v>
      </c>
      <c r="GHA3" t="s">
        <v>5616</v>
      </c>
      <c r="GHB3" t="s">
        <v>5617</v>
      </c>
      <c r="GHC3" t="s">
        <v>5618</v>
      </c>
      <c r="GHD3" t="s">
        <v>5619</v>
      </c>
      <c r="GHE3" t="s">
        <v>5620</v>
      </c>
      <c r="GHF3" t="s">
        <v>5621</v>
      </c>
      <c r="GHG3" t="s">
        <v>5622</v>
      </c>
      <c r="GHH3" t="s">
        <v>5623</v>
      </c>
      <c r="GHI3" t="s">
        <v>5624</v>
      </c>
      <c r="GHJ3" t="s">
        <v>5625</v>
      </c>
      <c r="GHK3" t="s">
        <v>5626</v>
      </c>
      <c r="GHL3" t="s">
        <v>5627</v>
      </c>
      <c r="GHM3" t="s">
        <v>5628</v>
      </c>
      <c r="GHN3" t="s">
        <v>5629</v>
      </c>
      <c r="GHO3" t="s">
        <v>5630</v>
      </c>
      <c r="GHP3" t="s">
        <v>5631</v>
      </c>
      <c r="GHQ3" t="s">
        <v>5632</v>
      </c>
      <c r="GHR3" t="s">
        <v>5633</v>
      </c>
      <c r="GHS3" t="s">
        <v>5634</v>
      </c>
      <c r="GHT3" t="s">
        <v>5635</v>
      </c>
      <c r="GHU3" t="s">
        <v>5636</v>
      </c>
      <c r="GHV3" t="s">
        <v>5637</v>
      </c>
      <c r="GHW3" t="s">
        <v>5638</v>
      </c>
      <c r="GHX3" t="s">
        <v>5639</v>
      </c>
      <c r="GHY3" t="s">
        <v>5640</v>
      </c>
      <c r="GHZ3" t="s">
        <v>5641</v>
      </c>
      <c r="GIA3" t="s">
        <v>5642</v>
      </c>
      <c r="GIB3" t="s">
        <v>5643</v>
      </c>
      <c r="GIC3" t="s">
        <v>5644</v>
      </c>
      <c r="GID3" t="s">
        <v>5645</v>
      </c>
      <c r="GIE3" t="s">
        <v>5646</v>
      </c>
      <c r="GIF3" t="s">
        <v>5647</v>
      </c>
      <c r="GIG3" t="s">
        <v>5648</v>
      </c>
      <c r="GIH3" t="s">
        <v>5649</v>
      </c>
      <c r="GII3" t="s">
        <v>5650</v>
      </c>
      <c r="GIJ3" t="s">
        <v>5651</v>
      </c>
      <c r="GIK3" t="s">
        <v>5652</v>
      </c>
      <c r="GIL3" t="s">
        <v>5653</v>
      </c>
      <c r="GIM3" t="s">
        <v>5654</v>
      </c>
      <c r="GIN3" t="s">
        <v>5655</v>
      </c>
      <c r="GIO3" t="s">
        <v>5656</v>
      </c>
      <c r="GIP3" t="s">
        <v>5657</v>
      </c>
      <c r="GIQ3" t="s">
        <v>5658</v>
      </c>
      <c r="GIR3" t="s">
        <v>5659</v>
      </c>
      <c r="GIS3" t="s">
        <v>5660</v>
      </c>
      <c r="GIT3" t="s">
        <v>5661</v>
      </c>
      <c r="GIU3" t="s">
        <v>5662</v>
      </c>
      <c r="GIV3" t="s">
        <v>5663</v>
      </c>
      <c r="GIW3" t="s">
        <v>5664</v>
      </c>
      <c r="GIX3" t="s">
        <v>5665</v>
      </c>
      <c r="GIY3" t="s">
        <v>5666</v>
      </c>
      <c r="GIZ3" t="s">
        <v>5667</v>
      </c>
      <c r="GJA3" t="s">
        <v>5668</v>
      </c>
      <c r="GJB3" t="s">
        <v>5669</v>
      </c>
      <c r="GJC3" t="s">
        <v>5670</v>
      </c>
      <c r="GJD3" t="s">
        <v>5671</v>
      </c>
      <c r="GJE3" t="s">
        <v>5672</v>
      </c>
      <c r="GJF3" t="s">
        <v>5673</v>
      </c>
      <c r="GJG3" t="s">
        <v>5674</v>
      </c>
      <c r="GJH3" t="s">
        <v>5675</v>
      </c>
      <c r="GJI3" t="s">
        <v>5676</v>
      </c>
      <c r="GJJ3" t="s">
        <v>5677</v>
      </c>
      <c r="GJK3" t="s">
        <v>5678</v>
      </c>
      <c r="GJL3" t="s">
        <v>5679</v>
      </c>
      <c r="GJM3" t="s">
        <v>5680</v>
      </c>
      <c r="GJN3" t="s">
        <v>5681</v>
      </c>
      <c r="GJO3" t="s">
        <v>5682</v>
      </c>
      <c r="GJP3" t="s">
        <v>5683</v>
      </c>
      <c r="GJQ3" t="s">
        <v>5684</v>
      </c>
      <c r="GJR3" t="s">
        <v>5685</v>
      </c>
      <c r="GJS3" t="s">
        <v>5686</v>
      </c>
      <c r="GJT3" t="s">
        <v>5687</v>
      </c>
      <c r="GJU3" t="s">
        <v>5688</v>
      </c>
      <c r="GJV3" t="s">
        <v>5689</v>
      </c>
      <c r="GJW3" t="s">
        <v>5690</v>
      </c>
      <c r="GJX3" t="s">
        <v>5691</v>
      </c>
      <c r="GJY3" t="s">
        <v>5692</v>
      </c>
      <c r="GJZ3" t="s">
        <v>5693</v>
      </c>
      <c r="GKA3" t="s">
        <v>5694</v>
      </c>
      <c r="GKB3" t="s">
        <v>5695</v>
      </c>
      <c r="GKC3" t="s">
        <v>5696</v>
      </c>
      <c r="GKD3" t="s">
        <v>5697</v>
      </c>
      <c r="GKE3" t="s">
        <v>5698</v>
      </c>
      <c r="GKF3" t="s">
        <v>5699</v>
      </c>
      <c r="GKG3" t="s">
        <v>5700</v>
      </c>
      <c r="GKH3" t="s">
        <v>5701</v>
      </c>
      <c r="GKI3" t="s">
        <v>5702</v>
      </c>
      <c r="GKJ3" t="s">
        <v>5703</v>
      </c>
      <c r="GKK3" t="s">
        <v>5704</v>
      </c>
      <c r="GKL3" t="s">
        <v>5705</v>
      </c>
      <c r="GKM3" t="s">
        <v>5706</v>
      </c>
      <c r="GKN3" t="s">
        <v>5707</v>
      </c>
      <c r="GKO3" t="s">
        <v>5708</v>
      </c>
      <c r="GKP3" t="s">
        <v>5709</v>
      </c>
      <c r="GKQ3" t="s">
        <v>5710</v>
      </c>
      <c r="GKR3" t="s">
        <v>5711</v>
      </c>
      <c r="GKS3" t="s">
        <v>5712</v>
      </c>
      <c r="GKT3" t="s">
        <v>5713</v>
      </c>
      <c r="GKU3" t="s">
        <v>5714</v>
      </c>
      <c r="GKV3" t="s">
        <v>5715</v>
      </c>
      <c r="GKW3" t="s">
        <v>5716</v>
      </c>
      <c r="GKX3" t="s">
        <v>5717</v>
      </c>
      <c r="GKY3" t="s">
        <v>5718</v>
      </c>
      <c r="GKZ3" t="s">
        <v>5719</v>
      </c>
      <c r="GLA3" t="s">
        <v>5720</v>
      </c>
      <c r="GLB3" t="s">
        <v>5721</v>
      </c>
      <c r="GLC3" t="s">
        <v>5722</v>
      </c>
      <c r="GLD3" t="s">
        <v>5723</v>
      </c>
      <c r="GLE3" t="s">
        <v>5724</v>
      </c>
      <c r="GLF3" t="s">
        <v>5725</v>
      </c>
      <c r="GLG3" t="s">
        <v>5726</v>
      </c>
      <c r="GLH3" t="s">
        <v>5727</v>
      </c>
      <c r="GLI3" t="s">
        <v>5728</v>
      </c>
      <c r="GLJ3" t="s">
        <v>5729</v>
      </c>
      <c r="GLK3" t="s">
        <v>5730</v>
      </c>
      <c r="GLL3" t="s">
        <v>5731</v>
      </c>
      <c r="GLM3" t="s">
        <v>5732</v>
      </c>
      <c r="GLN3" t="s">
        <v>5733</v>
      </c>
      <c r="GLO3" t="s">
        <v>5734</v>
      </c>
      <c r="GLP3" t="s">
        <v>5735</v>
      </c>
      <c r="GLQ3" t="s">
        <v>5736</v>
      </c>
      <c r="GLR3" t="s">
        <v>5737</v>
      </c>
      <c r="GLS3" t="s">
        <v>5738</v>
      </c>
      <c r="GLT3" t="s">
        <v>5739</v>
      </c>
      <c r="GLU3" t="s">
        <v>5740</v>
      </c>
      <c r="GLV3" t="s">
        <v>5741</v>
      </c>
      <c r="GLW3" t="s">
        <v>5742</v>
      </c>
      <c r="GLX3" t="s">
        <v>5743</v>
      </c>
      <c r="GLY3" t="s">
        <v>5744</v>
      </c>
      <c r="GLZ3" t="s">
        <v>5745</v>
      </c>
      <c r="GMA3" t="s">
        <v>5746</v>
      </c>
      <c r="GMB3" t="s">
        <v>5747</v>
      </c>
      <c r="GMC3" t="s">
        <v>5748</v>
      </c>
      <c r="GMD3" t="s">
        <v>5749</v>
      </c>
      <c r="GME3" t="s">
        <v>5750</v>
      </c>
      <c r="GMF3" t="s">
        <v>5751</v>
      </c>
      <c r="GMG3" t="s">
        <v>5752</v>
      </c>
      <c r="GMH3" t="s">
        <v>5753</v>
      </c>
      <c r="GMI3" t="s">
        <v>5754</v>
      </c>
      <c r="GMJ3" t="s">
        <v>5755</v>
      </c>
      <c r="GMK3" t="s">
        <v>5756</v>
      </c>
      <c r="GML3" t="s">
        <v>5757</v>
      </c>
      <c r="GMM3" t="s">
        <v>5758</v>
      </c>
      <c r="GMN3" t="s">
        <v>5759</v>
      </c>
      <c r="GMO3" t="s">
        <v>5760</v>
      </c>
      <c r="GMP3" t="s">
        <v>5761</v>
      </c>
      <c r="GMQ3" t="s">
        <v>5762</v>
      </c>
      <c r="GMR3" t="s">
        <v>5763</v>
      </c>
      <c r="GMS3" t="s">
        <v>5764</v>
      </c>
      <c r="GMT3" t="s">
        <v>5765</v>
      </c>
      <c r="GMU3" t="s">
        <v>5766</v>
      </c>
      <c r="GMV3" t="s">
        <v>5767</v>
      </c>
      <c r="GMW3" t="s">
        <v>5768</v>
      </c>
      <c r="GMX3" t="s">
        <v>5769</v>
      </c>
      <c r="GMY3" t="s">
        <v>5770</v>
      </c>
      <c r="GMZ3" t="s">
        <v>5771</v>
      </c>
      <c r="GNA3" t="s">
        <v>5772</v>
      </c>
      <c r="GNB3" t="s">
        <v>5773</v>
      </c>
      <c r="GNC3" t="s">
        <v>5774</v>
      </c>
      <c r="GND3" t="s">
        <v>5775</v>
      </c>
      <c r="GNE3" t="s">
        <v>5776</v>
      </c>
      <c r="GNF3" t="s">
        <v>5777</v>
      </c>
      <c r="GNG3" t="s">
        <v>5778</v>
      </c>
      <c r="GNH3" t="s">
        <v>5779</v>
      </c>
      <c r="GNI3" t="s">
        <v>5780</v>
      </c>
      <c r="GNJ3" t="s">
        <v>5781</v>
      </c>
      <c r="GNK3" t="s">
        <v>5782</v>
      </c>
      <c r="GNL3" t="s">
        <v>5783</v>
      </c>
      <c r="GNM3" t="s">
        <v>5784</v>
      </c>
      <c r="GNN3" t="s">
        <v>5785</v>
      </c>
      <c r="GNO3" t="s">
        <v>5786</v>
      </c>
      <c r="GNP3" t="s">
        <v>5787</v>
      </c>
      <c r="GNQ3" t="s">
        <v>5788</v>
      </c>
      <c r="GNR3" t="s">
        <v>5789</v>
      </c>
      <c r="GNS3" t="s">
        <v>5790</v>
      </c>
      <c r="GNT3" t="s">
        <v>5791</v>
      </c>
      <c r="GNU3" t="s">
        <v>5792</v>
      </c>
      <c r="GNV3" t="s">
        <v>5793</v>
      </c>
      <c r="GNW3" t="s">
        <v>5794</v>
      </c>
      <c r="GNX3" t="s">
        <v>5795</v>
      </c>
      <c r="GNY3" t="s">
        <v>5796</v>
      </c>
      <c r="GNZ3" t="s">
        <v>5797</v>
      </c>
      <c r="GOA3" t="s">
        <v>5798</v>
      </c>
      <c r="GOB3" t="s">
        <v>5799</v>
      </c>
      <c r="GOC3" t="s">
        <v>5800</v>
      </c>
      <c r="GOD3" t="s">
        <v>5801</v>
      </c>
      <c r="GOE3" t="s">
        <v>5802</v>
      </c>
      <c r="GOF3" t="s">
        <v>5803</v>
      </c>
      <c r="GOG3" t="s">
        <v>5804</v>
      </c>
      <c r="GOH3" t="s">
        <v>5805</v>
      </c>
      <c r="GOI3" t="s">
        <v>5806</v>
      </c>
      <c r="GOJ3" t="s">
        <v>5807</v>
      </c>
      <c r="GOK3" t="s">
        <v>5808</v>
      </c>
      <c r="GOL3" t="s">
        <v>5809</v>
      </c>
      <c r="GOM3" t="s">
        <v>5810</v>
      </c>
      <c r="GON3" t="s">
        <v>5811</v>
      </c>
      <c r="GOO3" t="s">
        <v>5812</v>
      </c>
      <c r="GOP3" t="s">
        <v>5813</v>
      </c>
      <c r="GOQ3" t="s">
        <v>5814</v>
      </c>
      <c r="GOR3" t="s">
        <v>5815</v>
      </c>
      <c r="GOS3" t="s">
        <v>5816</v>
      </c>
      <c r="GOT3" t="s">
        <v>5817</v>
      </c>
      <c r="GOU3" t="s">
        <v>5818</v>
      </c>
      <c r="GOV3" t="s">
        <v>5819</v>
      </c>
      <c r="GOW3" t="s">
        <v>5820</v>
      </c>
      <c r="GOX3" t="s">
        <v>5821</v>
      </c>
      <c r="GOY3" t="s">
        <v>5822</v>
      </c>
      <c r="GOZ3" t="s">
        <v>5823</v>
      </c>
      <c r="GPA3" t="s">
        <v>5824</v>
      </c>
      <c r="GPB3" t="s">
        <v>5825</v>
      </c>
      <c r="GPC3" t="s">
        <v>5826</v>
      </c>
      <c r="GPD3" t="s">
        <v>5827</v>
      </c>
      <c r="GPE3" t="s">
        <v>5828</v>
      </c>
      <c r="GPF3" t="s">
        <v>5829</v>
      </c>
      <c r="GPG3" t="s">
        <v>5830</v>
      </c>
      <c r="GPH3" t="s">
        <v>5831</v>
      </c>
      <c r="GPI3" t="s">
        <v>5832</v>
      </c>
      <c r="GPJ3" t="s">
        <v>5833</v>
      </c>
      <c r="GPK3" t="s">
        <v>5834</v>
      </c>
      <c r="GPL3" t="s">
        <v>5835</v>
      </c>
      <c r="GPM3" t="s">
        <v>5836</v>
      </c>
      <c r="GPN3" t="s">
        <v>5837</v>
      </c>
      <c r="GPO3" t="s">
        <v>5838</v>
      </c>
      <c r="GPP3" t="s">
        <v>5839</v>
      </c>
      <c r="GPQ3" t="s">
        <v>5840</v>
      </c>
      <c r="GPR3" t="s">
        <v>5841</v>
      </c>
      <c r="GPS3" t="s">
        <v>5842</v>
      </c>
      <c r="GPT3" t="s">
        <v>5843</v>
      </c>
      <c r="GPU3" t="s">
        <v>5844</v>
      </c>
      <c r="GPV3" t="s">
        <v>5845</v>
      </c>
      <c r="GPW3" t="s">
        <v>5846</v>
      </c>
      <c r="GPX3" t="s">
        <v>5847</v>
      </c>
      <c r="GPY3" t="s">
        <v>5848</v>
      </c>
      <c r="GPZ3" t="s">
        <v>5849</v>
      </c>
      <c r="GQA3" t="s">
        <v>5850</v>
      </c>
      <c r="GQB3" t="s">
        <v>5851</v>
      </c>
      <c r="GQC3" t="s">
        <v>5852</v>
      </c>
      <c r="GQD3" t="s">
        <v>5853</v>
      </c>
      <c r="GQE3" t="s">
        <v>5854</v>
      </c>
      <c r="GQF3" t="s">
        <v>5855</v>
      </c>
      <c r="GQG3" t="s">
        <v>5856</v>
      </c>
      <c r="GQH3" t="s">
        <v>5857</v>
      </c>
      <c r="GQI3" t="s">
        <v>5858</v>
      </c>
      <c r="GQJ3" t="s">
        <v>5859</v>
      </c>
      <c r="GQK3" t="s">
        <v>5860</v>
      </c>
      <c r="GQL3" t="s">
        <v>5861</v>
      </c>
      <c r="GQM3" t="s">
        <v>5862</v>
      </c>
      <c r="GQN3" t="s">
        <v>5863</v>
      </c>
      <c r="GQO3" t="s">
        <v>5864</v>
      </c>
      <c r="GQP3" t="s">
        <v>5865</v>
      </c>
      <c r="GQQ3" t="s">
        <v>5866</v>
      </c>
      <c r="GQR3" t="s">
        <v>5867</v>
      </c>
      <c r="GQS3" t="s">
        <v>5868</v>
      </c>
      <c r="GQT3" t="s">
        <v>5869</v>
      </c>
      <c r="GQU3" t="s">
        <v>5870</v>
      </c>
      <c r="GQV3" t="s">
        <v>5871</v>
      </c>
      <c r="GQW3" t="s">
        <v>5872</v>
      </c>
      <c r="GQX3" t="s">
        <v>5873</v>
      </c>
      <c r="GQY3" t="s">
        <v>5874</v>
      </c>
      <c r="GQZ3" t="s">
        <v>5875</v>
      </c>
      <c r="GRA3" t="s">
        <v>5876</v>
      </c>
      <c r="GRB3" t="s">
        <v>5877</v>
      </c>
      <c r="GRC3" t="s">
        <v>5878</v>
      </c>
      <c r="GRD3" t="s">
        <v>5879</v>
      </c>
      <c r="GRE3" t="s">
        <v>5880</v>
      </c>
      <c r="GRF3" t="s">
        <v>5881</v>
      </c>
      <c r="GRG3" t="s">
        <v>5882</v>
      </c>
      <c r="GRH3" t="s">
        <v>5883</v>
      </c>
      <c r="GRI3" t="s">
        <v>5884</v>
      </c>
      <c r="GRJ3" t="s">
        <v>5885</v>
      </c>
      <c r="GRK3" t="s">
        <v>5886</v>
      </c>
      <c r="GRL3" t="s">
        <v>5887</v>
      </c>
      <c r="GRM3" t="s">
        <v>5888</v>
      </c>
      <c r="GRN3" t="s">
        <v>5889</v>
      </c>
      <c r="GRO3" t="s">
        <v>5890</v>
      </c>
      <c r="GRP3" t="s">
        <v>5891</v>
      </c>
      <c r="GRQ3" t="s">
        <v>5892</v>
      </c>
      <c r="GRR3" t="s">
        <v>5893</v>
      </c>
      <c r="GRS3" t="s">
        <v>5894</v>
      </c>
      <c r="GRT3" t="s">
        <v>5895</v>
      </c>
      <c r="GRU3" t="s">
        <v>5896</v>
      </c>
      <c r="GRV3" t="s">
        <v>5897</v>
      </c>
      <c r="GRW3" t="s">
        <v>5898</v>
      </c>
      <c r="GRX3" t="s">
        <v>5899</v>
      </c>
      <c r="GRY3" t="s">
        <v>5900</v>
      </c>
      <c r="GRZ3" t="s">
        <v>5901</v>
      </c>
      <c r="GSA3" t="s">
        <v>5902</v>
      </c>
      <c r="GSB3" t="s">
        <v>5903</v>
      </c>
      <c r="GSC3" t="s">
        <v>5904</v>
      </c>
      <c r="GSD3" t="s">
        <v>5905</v>
      </c>
      <c r="GSE3" t="s">
        <v>5906</v>
      </c>
      <c r="GSF3" t="s">
        <v>5907</v>
      </c>
      <c r="GSG3" t="s">
        <v>5908</v>
      </c>
      <c r="GSH3" t="s">
        <v>5909</v>
      </c>
      <c r="GSI3" t="s">
        <v>5910</v>
      </c>
      <c r="GSJ3" t="s">
        <v>5911</v>
      </c>
      <c r="GSK3" t="s">
        <v>5912</v>
      </c>
      <c r="GSL3" t="s">
        <v>5913</v>
      </c>
      <c r="GSM3" t="s">
        <v>5914</v>
      </c>
      <c r="GSN3" t="s">
        <v>5915</v>
      </c>
      <c r="GSO3" t="s">
        <v>5916</v>
      </c>
      <c r="GSP3" t="s">
        <v>5917</v>
      </c>
      <c r="GSQ3" t="s">
        <v>5918</v>
      </c>
      <c r="GSR3" t="s">
        <v>5919</v>
      </c>
      <c r="GSS3" t="s">
        <v>5920</v>
      </c>
      <c r="GST3" t="s">
        <v>5921</v>
      </c>
      <c r="GSU3" t="s">
        <v>5922</v>
      </c>
      <c r="GSV3" t="s">
        <v>5923</v>
      </c>
      <c r="GSW3" t="s">
        <v>5924</v>
      </c>
      <c r="GSX3" t="s">
        <v>5925</v>
      </c>
      <c r="GSY3" t="s">
        <v>5926</v>
      </c>
      <c r="GSZ3" t="s">
        <v>5927</v>
      </c>
      <c r="GTA3" t="s">
        <v>5928</v>
      </c>
      <c r="GTB3" t="s">
        <v>5929</v>
      </c>
      <c r="GTC3" t="s">
        <v>5930</v>
      </c>
      <c r="GTD3" t="s">
        <v>5931</v>
      </c>
      <c r="GTE3" t="s">
        <v>5932</v>
      </c>
      <c r="GTF3" t="s">
        <v>5933</v>
      </c>
      <c r="GTG3" t="s">
        <v>5934</v>
      </c>
      <c r="GTH3" t="s">
        <v>5935</v>
      </c>
      <c r="GTI3" t="s">
        <v>5936</v>
      </c>
      <c r="GTJ3" t="s">
        <v>5937</v>
      </c>
      <c r="GTK3" t="s">
        <v>5938</v>
      </c>
      <c r="GTL3" t="s">
        <v>5939</v>
      </c>
      <c r="GTM3" t="s">
        <v>5940</v>
      </c>
      <c r="GTN3" t="s">
        <v>5941</v>
      </c>
      <c r="GTO3" t="s">
        <v>5942</v>
      </c>
      <c r="GTP3" t="s">
        <v>5943</v>
      </c>
      <c r="GTQ3" t="s">
        <v>5944</v>
      </c>
      <c r="GTR3" t="s">
        <v>5945</v>
      </c>
      <c r="GTS3" t="s">
        <v>5946</v>
      </c>
      <c r="GTT3" t="s">
        <v>5947</v>
      </c>
      <c r="GTU3" t="s">
        <v>5948</v>
      </c>
      <c r="GTV3" t="s">
        <v>5949</v>
      </c>
      <c r="GTW3" t="s">
        <v>5950</v>
      </c>
      <c r="GTX3" t="s">
        <v>5951</v>
      </c>
      <c r="GTY3" t="s">
        <v>5952</v>
      </c>
      <c r="GTZ3" t="s">
        <v>5953</v>
      </c>
      <c r="GUA3" t="s">
        <v>5954</v>
      </c>
      <c r="GUB3" t="s">
        <v>5955</v>
      </c>
      <c r="GUC3" t="s">
        <v>5956</v>
      </c>
      <c r="GUD3" t="s">
        <v>5957</v>
      </c>
      <c r="GUE3" t="s">
        <v>5958</v>
      </c>
      <c r="GUF3" t="s">
        <v>5959</v>
      </c>
      <c r="GUG3" t="s">
        <v>5960</v>
      </c>
      <c r="GUH3" t="s">
        <v>5961</v>
      </c>
      <c r="GUI3" t="s">
        <v>5962</v>
      </c>
      <c r="GUJ3" t="s">
        <v>5963</v>
      </c>
      <c r="GUK3" t="s">
        <v>5964</v>
      </c>
      <c r="GUL3" t="s">
        <v>5965</v>
      </c>
      <c r="GUM3" t="s">
        <v>5966</v>
      </c>
      <c r="GUN3" t="s">
        <v>5967</v>
      </c>
      <c r="GUO3" t="s">
        <v>5968</v>
      </c>
      <c r="GUP3" t="s">
        <v>5969</v>
      </c>
      <c r="GUQ3" t="s">
        <v>5970</v>
      </c>
      <c r="GUR3" t="s">
        <v>5971</v>
      </c>
      <c r="GUS3" t="s">
        <v>5972</v>
      </c>
      <c r="GUT3" t="s">
        <v>5973</v>
      </c>
      <c r="GUU3" t="s">
        <v>5974</v>
      </c>
      <c r="GUV3" t="s">
        <v>5975</v>
      </c>
      <c r="GUW3" t="s">
        <v>5976</v>
      </c>
      <c r="GUX3" t="s">
        <v>5977</v>
      </c>
      <c r="GUY3" t="s">
        <v>5978</v>
      </c>
      <c r="GUZ3" t="s">
        <v>5979</v>
      </c>
      <c r="GVA3" t="s">
        <v>5980</v>
      </c>
      <c r="GVB3" t="s">
        <v>5981</v>
      </c>
      <c r="GVC3" t="s">
        <v>5982</v>
      </c>
      <c r="GVD3" t="s">
        <v>5983</v>
      </c>
      <c r="GVE3" t="s">
        <v>5984</v>
      </c>
      <c r="GVF3" t="s">
        <v>5985</v>
      </c>
      <c r="GVG3" t="s">
        <v>5986</v>
      </c>
      <c r="GVH3" t="s">
        <v>5987</v>
      </c>
      <c r="GVI3" t="s">
        <v>5988</v>
      </c>
      <c r="GVJ3" t="s">
        <v>5989</v>
      </c>
      <c r="GVK3" t="s">
        <v>5990</v>
      </c>
      <c r="GVL3" t="s">
        <v>5991</v>
      </c>
      <c r="GVM3" t="s">
        <v>5992</v>
      </c>
      <c r="GVN3" t="s">
        <v>5993</v>
      </c>
      <c r="GVO3" t="s">
        <v>5994</v>
      </c>
      <c r="GVP3" t="s">
        <v>5995</v>
      </c>
      <c r="GVQ3" t="s">
        <v>5996</v>
      </c>
      <c r="GVR3" t="s">
        <v>5997</v>
      </c>
      <c r="GVS3" t="s">
        <v>5998</v>
      </c>
      <c r="GVT3" t="s">
        <v>5999</v>
      </c>
      <c r="GVU3" t="s">
        <v>6000</v>
      </c>
      <c r="GVV3" t="s">
        <v>6001</v>
      </c>
      <c r="GVW3" t="s">
        <v>6002</v>
      </c>
      <c r="GVX3" t="s">
        <v>6003</v>
      </c>
      <c r="GVY3" t="s">
        <v>6004</v>
      </c>
      <c r="GVZ3" t="s">
        <v>6005</v>
      </c>
      <c r="GWA3" t="s">
        <v>6006</v>
      </c>
      <c r="GWB3" t="s">
        <v>6007</v>
      </c>
      <c r="GWC3" t="s">
        <v>6008</v>
      </c>
      <c r="GWD3" t="s">
        <v>6009</v>
      </c>
      <c r="GWE3" t="s">
        <v>6010</v>
      </c>
      <c r="GWF3" t="s">
        <v>6011</v>
      </c>
      <c r="GWG3" t="s">
        <v>6012</v>
      </c>
      <c r="GWH3" t="s">
        <v>6013</v>
      </c>
      <c r="GWI3" t="s">
        <v>6014</v>
      </c>
      <c r="GWJ3" t="s">
        <v>6015</v>
      </c>
      <c r="GWK3" t="s">
        <v>6016</v>
      </c>
      <c r="GWL3" t="s">
        <v>6017</v>
      </c>
      <c r="GWM3" t="s">
        <v>6018</v>
      </c>
      <c r="GWN3" t="s">
        <v>6019</v>
      </c>
      <c r="GWO3" t="s">
        <v>6020</v>
      </c>
      <c r="GWP3" t="s">
        <v>6021</v>
      </c>
      <c r="GWQ3" t="s">
        <v>6022</v>
      </c>
      <c r="GWR3" t="s">
        <v>6023</v>
      </c>
      <c r="GWS3" t="s">
        <v>6024</v>
      </c>
      <c r="GWT3" t="s">
        <v>6025</v>
      </c>
      <c r="GWU3" t="s">
        <v>6026</v>
      </c>
      <c r="GWV3" t="s">
        <v>6027</v>
      </c>
      <c r="GWW3" t="s">
        <v>6028</v>
      </c>
      <c r="GWX3" t="s">
        <v>6029</v>
      </c>
      <c r="GWY3" t="s">
        <v>6030</v>
      </c>
      <c r="GWZ3" t="s">
        <v>6031</v>
      </c>
      <c r="GXA3" t="s">
        <v>6032</v>
      </c>
      <c r="GXB3" t="s">
        <v>6033</v>
      </c>
      <c r="GXC3" t="s">
        <v>6034</v>
      </c>
      <c r="GXD3" t="s">
        <v>6035</v>
      </c>
      <c r="GXE3" t="s">
        <v>6036</v>
      </c>
      <c r="GXF3" t="s">
        <v>6037</v>
      </c>
      <c r="GXG3" t="s">
        <v>6038</v>
      </c>
      <c r="GXH3" t="s">
        <v>6039</v>
      </c>
      <c r="GXI3" t="s">
        <v>6040</v>
      </c>
      <c r="GXJ3" t="s">
        <v>6041</v>
      </c>
      <c r="GXK3" t="s">
        <v>6042</v>
      </c>
      <c r="GXL3" t="s">
        <v>6043</v>
      </c>
      <c r="GXM3" t="s">
        <v>6044</v>
      </c>
      <c r="GXN3" t="s">
        <v>6045</v>
      </c>
      <c r="GXO3" t="s">
        <v>6046</v>
      </c>
      <c r="GXP3" t="s">
        <v>6047</v>
      </c>
      <c r="GXQ3" t="s">
        <v>6048</v>
      </c>
      <c r="GXR3" t="s">
        <v>6049</v>
      </c>
      <c r="GXS3" t="s">
        <v>6050</v>
      </c>
      <c r="GXT3" t="s">
        <v>6051</v>
      </c>
      <c r="GXU3" t="s">
        <v>6052</v>
      </c>
      <c r="GXV3" t="s">
        <v>6053</v>
      </c>
      <c r="GXW3" t="s">
        <v>6054</v>
      </c>
      <c r="GXX3" t="s">
        <v>6055</v>
      </c>
      <c r="GXY3" t="s">
        <v>6056</v>
      </c>
      <c r="GXZ3" t="s">
        <v>6057</v>
      </c>
      <c r="GYA3" t="s">
        <v>6058</v>
      </c>
      <c r="GYB3" t="s">
        <v>6059</v>
      </c>
      <c r="GYC3" t="s">
        <v>6060</v>
      </c>
      <c r="GYD3" t="s">
        <v>6061</v>
      </c>
      <c r="GYE3" t="s">
        <v>6062</v>
      </c>
      <c r="GYF3" t="s">
        <v>6063</v>
      </c>
      <c r="GYG3" t="s">
        <v>6064</v>
      </c>
      <c r="GYH3" t="s">
        <v>6065</v>
      </c>
      <c r="GYI3" t="s">
        <v>6066</v>
      </c>
      <c r="GYJ3" t="s">
        <v>6067</v>
      </c>
      <c r="GYK3" t="s">
        <v>6068</v>
      </c>
      <c r="GYL3" t="s">
        <v>6069</v>
      </c>
      <c r="GYM3" t="s">
        <v>6070</v>
      </c>
      <c r="GYN3" t="s">
        <v>6071</v>
      </c>
      <c r="GYO3" t="s">
        <v>6072</v>
      </c>
      <c r="GYP3" t="s">
        <v>6073</v>
      </c>
      <c r="GYQ3" t="s">
        <v>6074</v>
      </c>
      <c r="GYR3" t="s">
        <v>6075</v>
      </c>
      <c r="GYS3" t="s">
        <v>6076</v>
      </c>
      <c r="GYT3" t="s">
        <v>6077</v>
      </c>
      <c r="GYU3" t="s">
        <v>6078</v>
      </c>
      <c r="GYV3" t="s">
        <v>6079</v>
      </c>
      <c r="GYW3" t="s">
        <v>6080</v>
      </c>
      <c r="GYX3" t="s">
        <v>6081</v>
      </c>
      <c r="GYY3" t="s">
        <v>6082</v>
      </c>
      <c r="GYZ3" t="s">
        <v>6083</v>
      </c>
      <c r="GZA3" t="s">
        <v>6084</v>
      </c>
      <c r="GZB3" t="s">
        <v>6085</v>
      </c>
      <c r="GZC3" t="s">
        <v>6086</v>
      </c>
      <c r="GZD3" t="s">
        <v>6087</v>
      </c>
      <c r="GZE3" t="s">
        <v>6088</v>
      </c>
      <c r="GZF3" t="s">
        <v>6089</v>
      </c>
      <c r="GZG3" t="s">
        <v>6090</v>
      </c>
      <c r="GZH3" t="s">
        <v>6091</v>
      </c>
      <c r="GZI3" t="s">
        <v>6092</v>
      </c>
      <c r="GZJ3" t="s">
        <v>6093</v>
      </c>
      <c r="GZK3" t="s">
        <v>6094</v>
      </c>
      <c r="GZL3" t="s">
        <v>6095</v>
      </c>
      <c r="GZM3" t="s">
        <v>6096</v>
      </c>
      <c r="GZN3" t="s">
        <v>6097</v>
      </c>
      <c r="GZO3" t="s">
        <v>6098</v>
      </c>
      <c r="GZP3" t="s">
        <v>6099</v>
      </c>
      <c r="GZQ3" t="s">
        <v>6100</v>
      </c>
      <c r="GZR3" t="s">
        <v>6101</v>
      </c>
      <c r="GZS3" t="s">
        <v>6102</v>
      </c>
      <c r="GZT3" t="s">
        <v>6103</v>
      </c>
      <c r="GZU3" t="s">
        <v>6104</v>
      </c>
      <c r="GZV3" t="s">
        <v>6105</v>
      </c>
      <c r="GZW3" t="s">
        <v>6106</v>
      </c>
      <c r="GZX3" t="s">
        <v>6107</v>
      </c>
      <c r="GZY3" t="s">
        <v>6108</v>
      </c>
      <c r="GZZ3" t="s">
        <v>6109</v>
      </c>
      <c r="HAA3" t="s">
        <v>6110</v>
      </c>
      <c r="HAB3" t="s">
        <v>6111</v>
      </c>
      <c r="HAC3" t="s">
        <v>6112</v>
      </c>
      <c r="HAD3" t="s">
        <v>6113</v>
      </c>
      <c r="HAE3" t="s">
        <v>6114</v>
      </c>
      <c r="HAF3" t="s">
        <v>6115</v>
      </c>
      <c r="HAG3" t="s">
        <v>6116</v>
      </c>
      <c r="HAH3" t="s">
        <v>6117</v>
      </c>
      <c r="HAI3" t="s">
        <v>6118</v>
      </c>
      <c r="HAJ3" t="s">
        <v>6119</v>
      </c>
      <c r="HAK3" t="s">
        <v>6120</v>
      </c>
      <c r="HAL3" t="s">
        <v>6121</v>
      </c>
      <c r="HAM3" t="s">
        <v>6122</v>
      </c>
      <c r="HAN3" t="s">
        <v>6123</v>
      </c>
      <c r="HAO3" t="s">
        <v>6124</v>
      </c>
      <c r="HAP3" t="s">
        <v>6125</v>
      </c>
      <c r="HAQ3" t="s">
        <v>6126</v>
      </c>
      <c r="HAR3" t="s">
        <v>6127</v>
      </c>
      <c r="HAS3" t="s">
        <v>6128</v>
      </c>
      <c r="HAT3" t="s">
        <v>6129</v>
      </c>
      <c r="HAU3" t="s">
        <v>6130</v>
      </c>
      <c r="HAV3" t="s">
        <v>6131</v>
      </c>
      <c r="HAW3" t="s">
        <v>6132</v>
      </c>
      <c r="HAX3" t="s">
        <v>6133</v>
      </c>
      <c r="HAY3" t="s">
        <v>6134</v>
      </c>
      <c r="HAZ3" t="s">
        <v>6135</v>
      </c>
      <c r="HBA3" t="s">
        <v>6136</v>
      </c>
      <c r="HBB3" t="s">
        <v>6137</v>
      </c>
      <c r="HBC3" t="s">
        <v>6138</v>
      </c>
      <c r="HBD3" t="s">
        <v>6139</v>
      </c>
      <c r="HBE3" t="s">
        <v>6140</v>
      </c>
      <c r="HBF3" t="s">
        <v>6141</v>
      </c>
      <c r="HBG3" t="s">
        <v>6142</v>
      </c>
      <c r="HBH3" t="s">
        <v>6143</v>
      </c>
      <c r="HBI3" t="s">
        <v>6144</v>
      </c>
      <c r="HBJ3" t="s">
        <v>6145</v>
      </c>
      <c r="HBK3" t="s">
        <v>6146</v>
      </c>
      <c r="HBL3" t="s">
        <v>6147</v>
      </c>
      <c r="HBM3" t="s">
        <v>6148</v>
      </c>
      <c r="HBN3" t="s">
        <v>6149</v>
      </c>
      <c r="HBO3" t="s">
        <v>6150</v>
      </c>
      <c r="HBP3" t="s">
        <v>6151</v>
      </c>
      <c r="HBQ3" t="s">
        <v>6152</v>
      </c>
      <c r="HBR3" t="s">
        <v>6153</v>
      </c>
      <c r="HBS3" t="s">
        <v>6154</v>
      </c>
      <c r="HBT3" t="s">
        <v>6155</v>
      </c>
      <c r="HBU3" t="s">
        <v>6156</v>
      </c>
      <c r="HBV3" t="s">
        <v>6157</v>
      </c>
      <c r="HBW3" t="s">
        <v>6158</v>
      </c>
      <c r="HBX3" t="s">
        <v>6159</v>
      </c>
      <c r="HBY3" t="s">
        <v>6160</v>
      </c>
      <c r="HBZ3" t="s">
        <v>6161</v>
      </c>
      <c r="HCA3" t="s">
        <v>6162</v>
      </c>
      <c r="HCB3" t="s">
        <v>6163</v>
      </c>
      <c r="HCC3" t="s">
        <v>6164</v>
      </c>
      <c r="HCD3" t="s">
        <v>6165</v>
      </c>
      <c r="HCE3" t="s">
        <v>6166</v>
      </c>
      <c r="HCF3" t="s">
        <v>6167</v>
      </c>
      <c r="HCG3" t="s">
        <v>6168</v>
      </c>
      <c r="HCH3" t="s">
        <v>6169</v>
      </c>
      <c r="HCI3" t="s">
        <v>6170</v>
      </c>
      <c r="HCJ3" t="s">
        <v>6171</v>
      </c>
      <c r="HCK3" t="s">
        <v>6172</v>
      </c>
      <c r="HCL3" t="s">
        <v>6173</v>
      </c>
      <c r="HCM3" t="s">
        <v>6174</v>
      </c>
      <c r="HCN3" t="s">
        <v>6175</v>
      </c>
      <c r="HCO3" t="s">
        <v>6176</v>
      </c>
      <c r="HCP3" t="s">
        <v>6177</v>
      </c>
      <c r="HCQ3" t="s">
        <v>6178</v>
      </c>
      <c r="HCR3" t="s">
        <v>6179</v>
      </c>
      <c r="HCS3" t="s">
        <v>6180</v>
      </c>
      <c r="HCT3" t="s">
        <v>6181</v>
      </c>
      <c r="HCU3" t="s">
        <v>6182</v>
      </c>
      <c r="HCV3" t="s">
        <v>6183</v>
      </c>
      <c r="HCW3" t="s">
        <v>6184</v>
      </c>
      <c r="HCX3" t="s">
        <v>6185</v>
      </c>
      <c r="HCY3" t="s">
        <v>6186</v>
      </c>
      <c r="HCZ3" t="s">
        <v>6187</v>
      </c>
      <c r="HDA3" t="s">
        <v>6188</v>
      </c>
      <c r="HDB3" t="s">
        <v>6189</v>
      </c>
      <c r="HDC3" t="s">
        <v>6190</v>
      </c>
      <c r="HDD3" t="s">
        <v>6191</v>
      </c>
      <c r="HDE3" t="s">
        <v>6192</v>
      </c>
      <c r="HDF3" t="s">
        <v>6193</v>
      </c>
      <c r="HDG3" t="s">
        <v>6194</v>
      </c>
      <c r="HDH3" t="s">
        <v>6195</v>
      </c>
      <c r="HDI3" t="s">
        <v>6196</v>
      </c>
      <c r="HDJ3" t="s">
        <v>6197</v>
      </c>
      <c r="HDK3" t="s">
        <v>6198</v>
      </c>
      <c r="HDL3" t="s">
        <v>6199</v>
      </c>
      <c r="HDM3" t="s">
        <v>6200</v>
      </c>
      <c r="HDN3" t="s">
        <v>6201</v>
      </c>
      <c r="HDO3" t="s">
        <v>6202</v>
      </c>
      <c r="HDP3" t="s">
        <v>6203</v>
      </c>
      <c r="HDQ3" t="s">
        <v>6204</v>
      </c>
      <c r="HDR3" t="s">
        <v>6205</v>
      </c>
      <c r="HDS3" t="s">
        <v>6206</v>
      </c>
      <c r="HDT3" t="s">
        <v>6207</v>
      </c>
      <c r="HDU3" t="s">
        <v>6208</v>
      </c>
      <c r="HDV3" t="s">
        <v>6209</v>
      </c>
      <c r="HDW3" t="s">
        <v>6210</v>
      </c>
      <c r="HDX3" t="s">
        <v>6211</v>
      </c>
      <c r="HDY3" t="s">
        <v>6212</v>
      </c>
      <c r="HDZ3" t="s">
        <v>6213</v>
      </c>
      <c r="HEA3" t="s">
        <v>6214</v>
      </c>
      <c r="HEB3" t="s">
        <v>6215</v>
      </c>
      <c r="HEC3" t="s">
        <v>6216</v>
      </c>
      <c r="HED3" t="s">
        <v>6217</v>
      </c>
      <c r="HEE3" t="s">
        <v>6218</v>
      </c>
      <c r="HEF3" t="s">
        <v>6219</v>
      </c>
      <c r="HEG3" t="s">
        <v>6220</v>
      </c>
      <c r="HEH3" t="s">
        <v>6221</v>
      </c>
      <c r="HEI3" t="s">
        <v>6222</v>
      </c>
      <c r="HEJ3" t="s">
        <v>6223</v>
      </c>
      <c r="HEK3" t="s">
        <v>6224</v>
      </c>
      <c r="HEL3" t="s">
        <v>6225</v>
      </c>
      <c r="HEM3" t="s">
        <v>6226</v>
      </c>
      <c r="HEN3" t="s">
        <v>6227</v>
      </c>
      <c r="HEO3" t="s">
        <v>6228</v>
      </c>
      <c r="HEP3" t="s">
        <v>6229</v>
      </c>
      <c r="HEQ3" t="s">
        <v>6230</v>
      </c>
      <c r="HER3" t="s">
        <v>6231</v>
      </c>
      <c r="HES3" t="s">
        <v>6232</v>
      </c>
      <c r="HET3" t="s">
        <v>6233</v>
      </c>
      <c r="HEU3" t="s">
        <v>6234</v>
      </c>
      <c r="HEV3" t="s">
        <v>6235</v>
      </c>
      <c r="HEW3" t="s">
        <v>6236</v>
      </c>
      <c r="HEX3" t="s">
        <v>6237</v>
      </c>
      <c r="HEY3" t="s">
        <v>6238</v>
      </c>
      <c r="HEZ3" t="s">
        <v>6239</v>
      </c>
      <c r="HFA3" t="s">
        <v>6240</v>
      </c>
      <c r="HFB3" t="s">
        <v>6241</v>
      </c>
      <c r="HFC3" t="s">
        <v>6242</v>
      </c>
      <c r="HFD3" t="s">
        <v>6243</v>
      </c>
      <c r="HFE3" t="s">
        <v>6244</v>
      </c>
      <c r="HFF3" t="s">
        <v>6245</v>
      </c>
      <c r="HFG3" t="s">
        <v>6246</v>
      </c>
      <c r="HFH3" t="s">
        <v>6247</v>
      </c>
      <c r="HFI3" t="s">
        <v>6248</v>
      </c>
      <c r="HFJ3" t="s">
        <v>6249</v>
      </c>
      <c r="HFK3" t="s">
        <v>6250</v>
      </c>
      <c r="HFL3" t="s">
        <v>6251</v>
      </c>
      <c r="HFM3" t="s">
        <v>6252</v>
      </c>
      <c r="HFN3" t="s">
        <v>6253</v>
      </c>
      <c r="HFO3" t="s">
        <v>6254</v>
      </c>
      <c r="HFP3" t="s">
        <v>6255</v>
      </c>
      <c r="HFQ3" t="s">
        <v>6256</v>
      </c>
      <c r="HFR3" t="s">
        <v>6257</v>
      </c>
      <c r="HFS3" t="s">
        <v>6258</v>
      </c>
      <c r="HFT3" t="s">
        <v>6259</v>
      </c>
      <c r="HFU3" t="s">
        <v>6260</v>
      </c>
      <c r="HFV3" t="s">
        <v>6261</v>
      </c>
      <c r="HFW3" t="s">
        <v>6262</v>
      </c>
      <c r="HFX3" t="s">
        <v>6263</v>
      </c>
      <c r="HFY3" t="s">
        <v>6264</v>
      </c>
      <c r="HFZ3" t="s">
        <v>6265</v>
      </c>
      <c r="HGA3" t="s">
        <v>6266</v>
      </c>
      <c r="HGB3" t="s">
        <v>6267</v>
      </c>
      <c r="HGC3" t="s">
        <v>6268</v>
      </c>
      <c r="HGD3" t="s">
        <v>6269</v>
      </c>
      <c r="HGE3" t="s">
        <v>6270</v>
      </c>
      <c r="HGF3" t="s">
        <v>6271</v>
      </c>
      <c r="HGG3" t="s">
        <v>6272</v>
      </c>
      <c r="HGH3" t="s">
        <v>6273</v>
      </c>
      <c r="HGI3" t="s">
        <v>6274</v>
      </c>
      <c r="HGJ3" t="s">
        <v>6275</v>
      </c>
      <c r="HGK3" t="s">
        <v>6276</v>
      </c>
      <c r="HGL3" t="s">
        <v>6277</v>
      </c>
      <c r="HGM3" t="s">
        <v>6278</v>
      </c>
      <c r="HGN3" t="s">
        <v>6279</v>
      </c>
      <c r="HGO3" t="s">
        <v>6280</v>
      </c>
      <c r="HGP3" t="s">
        <v>6281</v>
      </c>
      <c r="HGQ3" t="s">
        <v>6282</v>
      </c>
      <c r="HGR3" t="s">
        <v>6283</v>
      </c>
      <c r="HGS3" t="s">
        <v>6284</v>
      </c>
      <c r="HGT3" t="s">
        <v>6285</v>
      </c>
      <c r="HGU3" t="s">
        <v>6286</v>
      </c>
      <c r="HGV3" t="s">
        <v>6287</v>
      </c>
      <c r="HGW3" t="s">
        <v>6288</v>
      </c>
      <c r="HGX3" t="s">
        <v>6289</v>
      </c>
      <c r="HGY3" t="s">
        <v>6290</v>
      </c>
      <c r="HGZ3" t="s">
        <v>6291</v>
      </c>
      <c r="HHA3" t="s">
        <v>6292</v>
      </c>
      <c r="HHB3" t="s">
        <v>6293</v>
      </c>
      <c r="HHC3" t="s">
        <v>6294</v>
      </c>
      <c r="HHD3" t="s">
        <v>6295</v>
      </c>
      <c r="HHE3" t="s">
        <v>6296</v>
      </c>
      <c r="HHF3" t="s">
        <v>6297</v>
      </c>
      <c r="HHG3" t="s">
        <v>6298</v>
      </c>
      <c r="HHH3" t="s">
        <v>6299</v>
      </c>
      <c r="HHI3" t="s">
        <v>6300</v>
      </c>
      <c r="HHJ3" t="s">
        <v>6301</v>
      </c>
      <c r="HHK3" t="s">
        <v>6302</v>
      </c>
      <c r="HHL3" t="s">
        <v>6303</v>
      </c>
      <c r="HHM3" t="s">
        <v>6304</v>
      </c>
      <c r="HHN3" t="s">
        <v>6305</v>
      </c>
      <c r="HHO3" t="s">
        <v>6306</v>
      </c>
      <c r="HHP3" t="s">
        <v>6307</v>
      </c>
      <c r="HHQ3" t="s">
        <v>6308</v>
      </c>
      <c r="HHR3" t="s">
        <v>6309</v>
      </c>
      <c r="HHS3" t="s">
        <v>6310</v>
      </c>
      <c r="HHT3" t="s">
        <v>6311</v>
      </c>
      <c r="HHU3" t="s">
        <v>6312</v>
      </c>
      <c r="HHV3" t="s">
        <v>6313</v>
      </c>
      <c r="HHW3" t="s">
        <v>6314</v>
      </c>
      <c r="HHX3" t="s">
        <v>6315</v>
      </c>
      <c r="HHY3" t="s">
        <v>6316</v>
      </c>
      <c r="HHZ3" t="s">
        <v>6317</v>
      </c>
      <c r="HIA3" t="s">
        <v>6318</v>
      </c>
      <c r="HIB3" t="s">
        <v>6319</v>
      </c>
      <c r="HIC3" t="s">
        <v>6320</v>
      </c>
      <c r="HID3" t="s">
        <v>6321</v>
      </c>
      <c r="HIE3" t="s">
        <v>6322</v>
      </c>
      <c r="HIF3" t="s">
        <v>6323</v>
      </c>
      <c r="HIG3" t="s">
        <v>6324</v>
      </c>
      <c r="HIH3" t="s">
        <v>6325</v>
      </c>
      <c r="HII3" t="s">
        <v>6326</v>
      </c>
      <c r="HIJ3" t="s">
        <v>6327</v>
      </c>
      <c r="HIK3" t="s">
        <v>6328</v>
      </c>
      <c r="HIL3" t="s">
        <v>6329</v>
      </c>
      <c r="HIM3" t="s">
        <v>6330</v>
      </c>
      <c r="HIN3" t="s">
        <v>6331</v>
      </c>
      <c r="HIO3" t="s">
        <v>6332</v>
      </c>
      <c r="HIP3" t="s">
        <v>6333</v>
      </c>
      <c r="HIQ3" t="s">
        <v>6334</v>
      </c>
      <c r="HIR3" t="s">
        <v>6335</v>
      </c>
      <c r="HIS3" t="s">
        <v>6336</v>
      </c>
      <c r="HIT3" t="s">
        <v>6337</v>
      </c>
      <c r="HIU3" t="s">
        <v>6338</v>
      </c>
      <c r="HIV3" t="s">
        <v>6339</v>
      </c>
      <c r="HIW3" t="s">
        <v>6340</v>
      </c>
      <c r="HIX3" t="s">
        <v>6341</v>
      </c>
      <c r="HIY3" t="s">
        <v>6342</v>
      </c>
      <c r="HIZ3" t="s">
        <v>6343</v>
      </c>
      <c r="HJA3" t="s">
        <v>6344</v>
      </c>
      <c r="HJB3" t="s">
        <v>6345</v>
      </c>
      <c r="HJC3" t="s">
        <v>6346</v>
      </c>
      <c r="HJD3" t="s">
        <v>6347</v>
      </c>
      <c r="HJE3" t="s">
        <v>6348</v>
      </c>
      <c r="HJF3" t="s">
        <v>6349</v>
      </c>
      <c r="HJG3" t="s">
        <v>6350</v>
      </c>
      <c r="HJH3" t="s">
        <v>6351</v>
      </c>
      <c r="HJI3" t="s">
        <v>6352</v>
      </c>
      <c r="HJJ3" t="s">
        <v>6353</v>
      </c>
      <c r="HJK3" t="s">
        <v>6354</v>
      </c>
      <c r="HJL3" t="s">
        <v>6355</v>
      </c>
      <c r="HJM3" t="s">
        <v>6356</v>
      </c>
      <c r="HJN3" t="s">
        <v>6357</v>
      </c>
      <c r="HJO3" t="s">
        <v>6358</v>
      </c>
      <c r="HJP3" t="s">
        <v>6359</v>
      </c>
      <c r="HJQ3" t="s">
        <v>6360</v>
      </c>
      <c r="HJR3" t="s">
        <v>6361</v>
      </c>
      <c r="HJS3" t="s">
        <v>6362</v>
      </c>
      <c r="HJT3" t="s">
        <v>6363</v>
      </c>
      <c r="HJU3" t="s">
        <v>6364</v>
      </c>
      <c r="HJV3" t="s">
        <v>6365</v>
      </c>
      <c r="HJW3" t="s">
        <v>6366</v>
      </c>
      <c r="HJX3" t="s">
        <v>6367</v>
      </c>
      <c r="HJY3" t="s">
        <v>6368</v>
      </c>
      <c r="HJZ3" t="s">
        <v>6369</v>
      </c>
      <c r="HKA3" t="s">
        <v>6370</v>
      </c>
      <c r="HKB3" t="s">
        <v>6371</v>
      </c>
      <c r="HKC3" t="s">
        <v>6372</v>
      </c>
      <c r="HKD3" t="s">
        <v>6373</v>
      </c>
      <c r="HKE3" t="s">
        <v>6374</v>
      </c>
      <c r="HKF3" t="s">
        <v>6375</v>
      </c>
      <c r="HKG3" t="s">
        <v>6376</v>
      </c>
      <c r="HKH3" t="s">
        <v>6377</v>
      </c>
      <c r="HKI3" t="s">
        <v>6378</v>
      </c>
      <c r="HKJ3" t="s">
        <v>6379</v>
      </c>
      <c r="HKK3" t="s">
        <v>6380</v>
      </c>
      <c r="HKL3" t="s">
        <v>6381</v>
      </c>
      <c r="HKM3" t="s">
        <v>6382</v>
      </c>
      <c r="HKN3" t="s">
        <v>6383</v>
      </c>
      <c r="HKO3" t="s">
        <v>6384</v>
      </c>
      <c r="HKP3" t="s">
        <v>6385</v>
      </c>
      <c r="HKQ3" t="s">
        <v>6386</v>
      </c>
      <c r="HKR3" t="s">
        <v>6387</v>
      </c>
      <c r="HKS3" t="s">
        <v>6388</v>
      </c>
      <c r="HKT3" t="s">
        <v>6389</v>
      </c>
      <c r="HKU3" t="s">
        <v>6390</v>
      </c>
      <c r="HKV3" t="s">
        <v>6391</v>
      </c>
      <c r="HKW3" t="s">
        <v>6392</v>
      </c>
      <c r="HKX3" t="s">
        <v>6393</v>
      </c>
      <c r="HKY3" t="s">
        <v>6394</v>
      </c>
      <c r="HKZ3" t="s">
        <v>6395</v>
      </c>
      <c r="HLA3" t="s">
        <v>6396</v>
      </c>
      <c r="HLB3" t="s">
        <v>6397</v>
      </c>
      <c r="HLC3" t="s">
        <v>6398</v>
      </c>
      <c r="HLD3" t="s">
        <v>6399</v>
      </c>
      <c r="HLE3" t="s">
        <v>6400</v>
      </c>
      <c r="HLF3" t="s">
        <v>6401</v>
      </c>
      <c r="HLG3" t="s">
        <v>6402</v>
      </c>
      <c r="HLH3" t="s">
        <v>6403</v>
      </c>
      <c r="HLI3" t="s">
        <v>6404</v>
      </c>
      <c r="HLJ3" t="s">
        <v>6405</v>
      </c>
      <c r="HLK3" t="s">
        <v>6406</v>
      </c>
      <c r="HLL3" t="s">
        <v>6407</v>
      </c>
      <c r="HLM3" t="s">
        <v>6408</v>
      </c>
      <c r="HLN3" t="s">
        <v>6409</v>
      </c>
      <c r="HLO3" t="s">
        <v>6410</v>
      </c>
      <c r="HLP3" t="s">
        <v>6411</v>
      </c>
      <c r="HLQ3" t="s">
        <v>6412</v>
      </c>
      <c r="HLR3" t="s">
        <v>6413</v>
      </c>
      <c r="HLS3" t="s">
        <v>6414</v>
      </c>
      <c r="HLT3" t="s">
        <v>6415</v>
      </c>
      <c r="HLU3" t="s">
        <v>6416</v>
      </c>
      <c r="HLV3" t="s">
        <v>6417</v>
      </c>
      <c r="HLW3" t="s">
        <v>6418</v>
      </c>
      <c r="HLX3" t="s">
        <v>6419</v>
      </c>
      <c r="HLY3" t="s">
        <v>6420</v>
      </c>
      <c r="HLZ3" t="s">
        <v>6421</v>
      </c>
      <c r="HMA3" t="s">
        <v>6422</v>
      </c>
      <c r="HMB3" t="s">
        <v>6423</v>
      </c>
      <c r="HMC3" t="s">
        <v>6424</v>
      </c>
      <c r="HMD3" t="s">
        <v>6425</v>
      </c>
      <c r="HME3" t="s">
        <v>6426</v>
      </c>
      <c r="HMF3" t="s">
        <v>6427</v>
      </c>
      <c r="HMG3" t="s">
        <v>6428</v>
      </c>
      <c r="HMH3" t="s">
        <v>6429</v>
      </c>
      <c r="HMI3" t="s">
        <v>6430</v>
      </c>
      <c r="HMJ3" t="s">
        <v>6431</v>
      </c>
      <c r="HMK3" t="s">
        <v>6432</v>
      </c>
      <c r="HML3" t="s">
        <v>6433</v>
      </c>
      <c r="HMM3" t="s">
        <v>6434</v>
      </c>
      <c r="HMN3" t="s">
        <v>6435</v>
      </c>
      <c r="HMO3" t="s">
        <v>6436</v>
      </c>
      <c r="HMP3" t="s">
        <v>6437</v>
      </c>
      <c r="HMQ3" t="s">
        <v>6438</v>
      </c>
      <c r="HMR3" t="s">
        <v>6439</v>
      </c>
      <c r="HMS3" t="s">
        <v>6440</v>
      </c>
      <c r="HMT3" t="s">
        <v>6441</v>
      </c>
      <c r="HMU3" t="s">
        <v>6442</v>
      </c>
      <c r="HMV3" t="s">
        <v>6443</v>
      </c>
      <c r="HMW3" t="s">
        <v>6444</v>
      </c>
      <c r="HMX3" t="s">
        <v>6445</v>
      </c>
      <c r="HMY3" t="s">
        <v>6446</v>
      </c>
      <c r="HMZ3" t="s">
        <v>6447</v>
      </c>
      <c r="HNA3" t="s">
        <v>6448</v>
      </c>
      <c r="HNB3" t="s">
        <v>6449</v>
      </c>
      <c r="HNC3" t="s">
        <v>6450</v>
      </c>
      <c r="HND3" t="s">
        <v>6451</v>
      </c>
      <c r="HNE3" t="s">
        <v>6452</v>
      </c>
      <c r="HNF3" t="s">
        <v>6453</v>
      </c>
      <c r="HNG3" t="s">
        <v>6454</v>
      </c>
      <c r="HNH3" t="s">
        <v>6455</v>
      </c>
      <c r="HNI3" t="s">
        <v>6456</v>
      </c>
      <c r="HNJ3" t="s">
        <v>6457</v>
      </c>
      <c r="HNK3" t="s">
        <v>6458</v>
      </c>
      <c r="HNL3" t="s">
        <v>6459</v>
      </c>
      <c r="HNM3" t="s">
        <v>6460</v>
      </c>
      <c r="HNN3" t="s">
        <v>6461</v>
      </c>
      <c r="HNO3" t="s">
        <v>6462</v>
      </c>
      <c r="HNP3" t="s">
        <v>6463</v>
      </c>
      <c r="HNQ3" t="s">
        <v>6464</v>
      </c>
      <c r="HNR3" t="s">
        <v>6465</v>
      </c>
      <c r="HNS3" t="s">
        <v>6466</v>
      </c>
      <c r="HNT3" t="s">
        <v>6467</v>
      </c>
      <c r="HNU3" t="s">
        <v>6468</v>
      </c>
      <c r="HNV3" t="s">
        <v>6469</v>
      </c>
      <c r="HNW3" t="s">
        <v>6470</v>
      </c>
      <c r="HNX3" t="s">
        <v>6471</v>
      </c>
      <c r="HNY3" t="s">
        <v>6472</v>
      </c>
      <c r="HNZ3" t="s">
        <v>6473</v>
      </c>
      <c r="HOA3" t="s">
        <v>6474</v>
      </c>
      <c r="HOB3" t="s">
        <v>6475</v>
      </c>
      <c r="HOC3" t="s">
        <v>6476</v>
      </c>
      <c r="HOD3" t="s">
        <v>6477</v>
      </c>
      <c r="HOE3" t="s">
        <v>6478</v>
      </c>
      <c r="HOF3" t="s">
        <v>6479</v>
      </c>
      <c r="HOG3" t="s">
        <v>6480</v>
      </c>
      <c r="HOH3" t="s">
        <v>6481</v>
      </c>
      <c r="HOI3" t="s">
        <v>6482</v>
      </c>
      <c r="HOJ3" t="s">
        <v>6483</v>
      </c>
      <c r="HOK3" t="s">
        <v>6484</v>
      </c>
      <c r="HOL3" t="s">
        <v>6485</v>
      </c>
      <c r="HOM3" t="s">
        <v>6486</v>
      </c>
      <c r="HON3" t="s">
        <v>6487</v>
      </c>
      <c r="HOO3" t="s">
        <v>6488</v>
      </c>
      <c r="HOP3" t="s">
        <v>6489</v>
      </c>
      <c r="HOQ3" t="s">
        <v>6490</v>
      </c>
      <c r="HOR3" t="s">
        <v>6491</v>
      </c>
      <c r="HOS3" t="s">
        <v>6492</v>
      </c>
      <c r="HOT3" t="s">
        <v>6493</v>
      </c>
      <c r="HOU3" t="s">
        <v>6494</v>
      </c>
      <c r="HOV3" t="s">
        <v>6495</v>
      </c>
      <c r="HOW3" t="s">
        <v>6496</v>
      </c>
      <c r="HOX3" t="s">
        <v>6497</v>
      </c>
      <c r="HOY3" t="s">
        <v>6498</v>
      </c>
      <c r="HOZ3" t="s">
        <v>6499</v>
      </c>
      <c r="HPA3" t="s">
        <v>6500</v>
      </c>
      <c r="HPB3" t="s">
        <v>6501</v>
      </c>
      <c r="HPC3" t="s">
        <v>6502</v>
      </c>
      <c r="HPD3" t="s">
        <v>6503</v>
      </c>
      <c r="HPE3" t="s">
        <v>6504</v>
      </c>
      <c r="HPF3" t="s">
        <v>6505</v>
      </c>
      <c r="HPG3" t="s">
        <v>6506</v>
      </c>
      <c r="HPH3" t="s">
        <v>6507</v>
      </c>
      <c r="HPI3" t="s">
        <v>6508</v>
      </c>
      <c r="HPJ3" t="s">
        <v>6509</v>
      </c>
      <c r="HPK3" t="s">
        <v>6510</v>
      </c>
      <c r="HPL3" t="s">
        <v>6511</v>
      </c>
      <c r="HPM3" t="s">
        <v>6512</v>
      </c>
      <c r="HPN3" t="s">
        <v>6513</v>
      </c>
      <c r="HPO3" t="s">
        <v>6514</v>
      </c>
      <c r="HPP3" t="s">
        <v>6515</v>
      </c>
      <c r="HPQ3" t="s">
        <v>6516</v>
      </c>
      <c r="HPR3" t="s">
        <v>6517</v>
      </c>
      <c r="HPS3" t="s">
        <v>6518</v>
      </c>
      <c r="HPT3" t="s">
        <v>6519</v>
      </c>
      <c r="HPU3" t="s">
        <v>6520</v>
      </c>
      <c r="HPV3" t="s">
        <v>6521</v>
      </c>
      <c r="HPW3" t="s">
        <v>6522</v>
      </c>
      <c r="HPX3" t="s">
        <v>6523</v>
      </c>
      <c r="HPY3" t="s">
        <v>6524</v>
      </c>
      <c r="HPZ3" t="s">
        <v>6525</v>
      </c>
      <c r="HQA3" t="s">
        <v>6526</v>
      </c>
      <c r="HQB3" t="s">
        <v>6527</v>
      </c>
      <c r="HQC3" t="s">
        <v>6528</v>
      </c>
      <c r="HQD3" t="s">
        <v>6529</v>
      </c>
      <c r="HQE3" t="s">
        <v>6530</v>
      </c>
      <c r="HQF3" t="s">
        <v>6531</v>
      </c>
      <c r="HQG3" t="s">
        <v>6532</v>
      </c>
      <c r="HQH3" t="s">
        <v>6533</v>
      </c>
      <c r="HQI3" t="s">
        <v>6534</v>
      </c>
      <c r="HQJ3" t="s">
        <v>6535</v>
      </c>
      <c r="HQK3" t="s">
        <v>6536</v>
      </c>
      <c r="HQL3" t="s">
        <v>6537</v>
      </c>
      <c r="HQM3" t="s">
        <v>6538</v>
      </c>
      <c r="HQN3" t="s">
        <v>6539</v>
      </c>
      <c r="HQO3" t="s">
        <v>6540</v>
      </c>
      <c r="HQP3" t="s">
        <v>6541</v>
      </c>
      <c r="HQQ3" t="s">
        <v>6542</v>
      </c>
      <c r="HQR3" t="s">
        <v>6543</v>
      </c>
      <c r="HQS3" t="s">
        <v>6544</v>
      </c>
      <c r="HQT3" t="s">
        <v>6545</v>
      </c>
      <c r="HQU3" t="s">
        <v>6546</v>
      </c>
      <c r="HQV3" t="s">
        <v>6547</v>
      </c>
      <c r="HQW3" t="s">
        <v>6548</v>
      </c>
      <c r="HQX3" t="s">
        <v>6549</v>
      </c>
      <c r="HQY3" t="s">
        <v>6550</v>
      </c>
      <c r="HQZ3" t="s">
        <v>6551</v>
      </c>
      <c r="HRA3" t="s">
        <v>6552</v>
      </c>
      <c r="HRB3" t="s">
        <v>6553</v>
      </c>
      <c r="HRC3" t="s">
        <v>6554</v>
      </c>
      <c r="HRD3" t="s">
        <v>6555</v>
      </c>
      <c r="HRE3" t="s">
        <v>6556</v>
      </c>
      <c r="HRF3" t="s">
        <v>6557</v>
      </c>
      <c r="HRG3" t="s">
        <v>6558</v>
      </c>
      <c r="HRH3" t="s">
        <v>6559</v>
      </c>
      <c r="HRI3" t="s">
        <v>6560</v>
      </c>
      <c r="HRJ3" t="s">
        <v>6561</v>
      </c>
      <c r="HRK3" t="s">
        <v>6562</v>
      </c>
      <c r="HRL3" t="s">
        <v>6563</v>
      </c>
      <c r="HRM3" t="s">
        <v>6564</v>
      </c>
      <c r="HRN3" t="s">
        <v>6565</v>
      </c>
      <c r="HRO3" t="s">
        <v>6566</v>
      </c>
      <c r="HRP3" t="s">
        <v>6567</v>
      </c>
      <c r="HRQ3" t="s">
        <v>6568</v>
      </c>
      <c r="HRR3" t="s">
        <v>6569</v>
      </c>
      <c r="HRS3" t="s">
        <v>6570</v>
      </c>
      <c r="HRT3" t="s">
        <v>6571</v>
      </c>
      <c r="HRU3" t="s">
        <v>6572</v>
      </c>
      <c r="HRV3" t="s">
        <v>6573</v>
      </c>
      <c r="HRW3" t="s">
        <v>6574</v>
      </c>
      <c r="HRX3" t="s">
        <v>6575</v>
      </c>
      <c r="HRY3" t="s">
        <v>6576</v>
      </c>
      <c r="HRZ3" t="s">
        <v>6577</v>
      </c>
      <c r="HSA3" t="s">
        <v>6578</v>
      </c>
      <c r="HSB3" t="s">
        <v>6579</v>
      </c>
      <c r="HSC3" t="s">
        <v>6580</v>
      </c>
      <c r="HSD3" t="s">
        <v>6581</v>
      </c>
      <c r="HSE3" t="s">
        <v>6582</v>
      </c>
      <c r="HSF3" t="s">
        <v>6583</v>
      </c>
      <c r="HSG3" t="s">
        <v>6584</v>
      </c>
      <c r="HSH3" t="s">
        <v>6585</v>
      </c>
      <c r="HSI3" t="s">
        <v>6586</v>
      </c>
      <c r="HSJ3" t="s">
        <v>6587</v>
      </c>
      <c r="HSK3" t="s">
        <v>6588</v>
      </c>
      <c r="HSL3" t="s">
        <v>6589</v>
      </c>
      <c r="HSM3" t="s">
        <v>6590</v>
      </c>
      <c r="HSN3" t="s">
        <v>6591</v>
      </c>
      <c r="HSO3" t="s">
        <v>6592</v>
      </c>
      <c r="HSP3" t="s">
        <v>6593</v>
      </c>
      <c r="HSQ3" t="s">
        <v>6594</v>
      </c>
      <c r="HSR3" t="s">
        <v>6595</v>
      </c>
      <c r="HSS3" t="s">
        <v>6596</v>
      </c>
      <c r="HST3" t="s">
        <v>6597</v>
      </c>
      <c r="HSU3" t="s">
        <v>6598</v>
      </c>
      <c r="HSV3" t="s">
        <v>6599</v>
      </c>
      <c r="HSW3" t="s">
        <v>6600</v>
      </c>
      <c r="HSX3" t="s">
        <v>6601</v>
      </c>
      <c r="HSY3" t="s">
        <v>6602</v>
      </c>
      <c r="HSZ3" t="s">
        <v>6603</v>
      </c>
      <c r="HTA3" t="s">
        <v>6604</v>
      </c>
      <c r="HTB3" t="s">
        <v>6605</v>
      </c>
      <c r="HTC3" t="s">
        <v>6606</v>
      </c>
      <c r="HTD3" t="s">
        <v>6607</v>
      </c>
      <c r="HTE3" t="s">
        <v>6608</v>
      </c>
      <c r="HTF3" t="s">
        <v>6609</v>
      </c>
      <c r="HTG3" t="s">
        <v>6610</v>
      </c>
      <c r="HTH3" t="s">
        <v>6611</v>
      </c>
      <c r="HTI3" t="s">
        <v>6612</v>
      </c>
      <c r="HTJ3" t="s">
        <v>6613</v>
      </c>
      <c r="HTK3" t="s">
        <v>6614</v>
      </c>
      <c r="HTL3" t="s">
        <v>6615</v>
      </c>
      <c r="HTM3" t="s">
        <v>6616</v>
      </c>
      <c r="HTN3" t="s">
        <v>6617</v>
      </c>
      <c r="HTO3" t="s">
        <v>6618</v>
      </c>
      <c r="HTP3" t="s">
        <v>6619</v>
      </c>
      <c r="HTQ3" t="s">
        <v>6620</v>
      </c>
      <c r="HTR3" t="s">
        <v>6621</v>
      </c>
      <c r="HTS3" t="s">
        <v>6622</v>
      </c>
      <c r="HTT3" t="s">
        <v>6623</v>
      </c>
      <c r="HTU3" t="s">
        <v>6624</v>
      </c>
      <c r="HTV3" t="s">
        <v>6625</v>
      </c>
      <c r="HTW3" t="s">
        <v>6626</v>
      </c>
      <c r="HTX3" t="s">
        <v>6627</v>
      </c>
      <c r="HTY3" t="s">
        <v>6628</v>
      </c>
      <c r="HTZ3" t="s">
        <v>6629</v>
      </c>
      <c r="HUA3" t="s">
        <v>6630</v>
      </c>
      <c r="HUB3" t="s">
        <v>6631</v>
      </c>
      <c r="HUC3" t="s">
        <v>6632</v>
      </c>
      <c r="HUD3" t="s">
        <v>6633</v>
      </c>
      <c r="HUE3" t="s">
        <v>6634</v>
      </c>
      <c r="HUF3" t="s">
        <v>6635</v>
      </c>
      <c r="HUG3" t="s">
        <v>6636</v>
      </c>
      <c r="HUH3" t="s">
        <v>6637</v>
      </c>
      <c r="HUI3" t="s">
        <v>6638</v>
      </c>
      <c r="HUJ3" t="s">
        <v>6639</v>
      </c>
      <c r="HUK3" t="s">
        <v>6640</v>
      </c>
      <c r="HUL3" t="s">
        <v>6641</v>
      </c>
      <c r="HUM3" t="s">
        <v>6642</v>
      </c>
      <c r="HUN3" t="s">
        <v>6643</v>
      </c>
      <c r="HUO3" t="s">
        <v>6644</v>
      </c>
      <c r="HUP3" t="s">
        <v>6645</v>
      </c>
      <c r="HUQ3" t="s">
        <v>6646</v>
      </c>
      <c r="HUR3" t="s">
        <v>6647</v>
      </c>
      <c r="HUS3" t="s">
        <v>6648</v>
      </c>
      <c r="HUT3" t="s">
        <v>6649</v>
      </c>
      <c r="HUU3" t="s">
        <v>6650</v>
      </c>
      <c r="HUV3" t="s">
        <v>6651</v>
      </c>
      <c r="HUW3" t="s">
        <v>6652</v>
      </c>
      <c r="HUX3" t="s">
        <v>6653</v>
      </c>
      <c r="HUY3" t="s">
        <v>6654</v>
      </c>
      <c r="HUZ3" t="s">
        <v>6655</v>
      </c>
      <c r="HVA3" t="s">
        <v>6656</v>
      </c>
      <c r="HVB3" t="s">
        <v>6657</v>
      </c>
      <c r="HVC3" t="s">
        <v>6658</v>
      </c>
      <c r="HVD3" t="s">
        <v>6659</v>
      </c>
      <c r="HVE3" t="s">
        <v>6660</v>
      </c>
      <c r="HVF3" t="s">
        <v>6661</v>
      </c>
      <c r="HVG3" t="s">
        <v>6662</v>
      </c>
      <c r="HVH3" t="s">
        <v>6663</v>
      </c>
      <c r="HVI3" t="s">
        <v>6664</v>
      </c>
      <c r="HVJ3" t="s">
        <v>6665</v>
      </c>
      <c r="HVK3" t="s">
        <v>6666</v>
      </c>
      <c r="HVL3" t="s">
        <v>6667</v>
      </c>
      <c r="HVM3" t="s">
        <v>6668</v>
      </c>
      <c r="HVN3" t="s">
        <v>6669</v>
      </c>
      <c r="HVO3" t="s">
        <v>6670</v>
      </c>
      <c r="HVP3" t="s">
        <v>6671</v>
      </c>
      <c r="HVQ3" t="s">
        <v>6672</v>
      </c>
      <c r="HVR3" t="s">
        <v>6673</v>
      </c>
      <c r="HVS3" t="s">
        <v>6674</v>
      </c>
      <c r="HVT3" t="s">
        <v>6675</v>
      </c>
      <c r="HVU3" t="s">
        <v>6676</v>
      </c>
      <c r="HVV3" t="s">
        <v>6677</v>
      </c>
      <c r="HVW3" t="s">
        <v>6678</v>
      </c>
      <c r="HVX3" t="s">
        <v>6679</v>
      </c>
      <c r="HVY3" t="s">
        <v>6680</v>
      </c>
      <c r="HVZ3" t="s">
        <v>6681</v>
      </c>
      <c r="HWA3" t="s">
        <v>6682</v>
      </c>
      <c r="HWB3" t="s">
        <v>6683</v>
      </c>
      <c r="HWC3" t="s">
        <v>6684</v>
      </c>
      <c r="HWD3" t="s">
        <v>6685</v>
      </c>
      <c r="HWE3" t="s">
        <v>6686</v>
      </c>
      <c r="HWF3" t="s">
        <v>6687</v>
      </c>
      <c r="HWG3" t="s">
        <v>6688</v>
      </c>
      <c r="HWH3" t="s">
        <v>6689</v>
      </c>
      <c r="HWI3" t="s">
        <v>6690</v>
      </c>
      <c r="HWJ3" t="s">
        <v>6691</v>
      </c>
      <c r="HWK3" t="s">
        <v>6692</v>
      </c>
      <c r="HWL3" t="s">
        <v>6693</v>
      </c>
      <c r="HWM3" t="s">
        <v>6694</v>
      </c>
      <c r="HWN3" t="s">
        <v>6695</v>
      </c>
      <c r="HWO3" t="s">
        <v>6696</v>
      </c>
      <c r="HWP3" t="s">
        <v>6697</v>
      </c>
      <c r="HWQ3" t="s">
        <v>6698</v>
      </c>
      <c r="HWR3" t="s">
        <v>6699</v>
      </c>
      <c r="HWS3" t="s">
        <v>6700</v>
      </c>
      <c r="HWT3" t="s">
        <v>6701</v>
      </c>
      <c r="HWU3" t="s">
        <v>6702</v>
      </c>
      <c r="HWV3" t="s">
        <v>6703</v>
      </c>
      <c r="HWW3" t="s">
        <v>6704</v>
      </c>
      <c r="HWX3" t="s">
        <v>6705</v>
      </c>
      <c r="HWY3" t="s">
        <v>6706</v>
      </c>
      <c r="HWZ3" t="s">
        <v>6707</v>
      </c>
      <c r="HXA3" t="s">
        <v>6708</v>
      </c>
      <c r="HXB3" t="s">
        <v>6709</v>
      </c>
      <c r="HXC3" t="s">
        <v>6710</v>
      </c>
      <c r="HXD3" t="s">
        <v>6711</v>
      </c>
      <c r="HXE3" t="s">
        <v>6712</v>
      </c>
      <c r="HXF3" t="s">
        <v>6713</v>
      </c>
      <c r="HXG3" t="s">
        <v>6714</v>
      </c>
      <c r="HXH3" t="s">
        <v>6715</v>
      </c>
      <c r="HXI3" t="s">
        <v>6716</v>
      </c>
      <c r="HXJ3" t="s">
        <v>6717</v>
      </c>
      <c r="HXK3" t="s">
        <v>6718</v>
      </c>
      <c r="HXL3" t="s">
        <v>6719</v>
      </c>
      <c r="HXM3" t="s">
        <v>6720</v>
      </c>
      <c r="HXN3" t="s">
        <v>6721</v>
      </c>
      <c r="HXO3" t="s">
        <v>6722</v>
      </c>
      <c r="HXP3" t="s">
        <v>6723</v>
      </c>
      <c r="HXQ3" t="s">
        <v>6724</v>
      </c>
      <c r="HXR3" t="s">
        <v>6725</v>
      </c>
      <c r="HXS3" t="s">
        <v>6726</v>
      </c>
      <c r="HXT3" t="s">
        <v>6727</v>
      </c>
      <c r="HXU3" t="s">
        <v>6728</v>
      </c>
      <c r="HXV3" t="s">
        <v>6729</v>
      </c>
      <c r="HXW3" t="s">
        <v>6730</v>
      </c>
      <c r="HXX3" t="s">
        <v>6731</v>
      </c>
      <c r="HXY3" t="s">
        <v>6732</v>
      </c>
      <c r="HXZ3" t="s">
        <v>6733</v>
      </c>
      <c r="HYA3" t="s">
        <v>6734</v>
      </c>
      <c r="HYB3" t="s">
        <v>6735</v>
      </c>
      <c r="HYC3" t="s">
        <v>6736</v>
      </c>
      <c r="HYD3" t="s">
        <v>6737</v>
      </c>
      <c r="HYE3" t="s">
        <v>6738</v>
      </c>
      <c r="HYF3" t="s">
        <v>6739</v>
      </c>
      <c r="HYG3" t="s">
        <v>6740</v>
      </c>
      <c r="HYH3" t="s">
        <v>6741</v>
      </c>
      <c r="HYI3" t="s">
        <v>6742</v>
      </c>
      <c r="HYJ3" t="s">
        <v>6743</v>
      </c>
      <c r="HYK3" t="s">
        <v>6744</v>
      </c>
      <c r="HYL3" t="s">
        <v>6745</v>
      </c>
      <c r="HYM3" t="s">
        <v>6746</v>
      </c>
      <c r="HYN3" t="s">
        <v>6747</v>
      </c>
      <c r="HYO3" t="s">
        <v>6748</v>
      </c>
      <c r="HYP3" t="s">
        <v>6749</v>
      </c>
      <c r="HYQ3" t="s">
        <v>6750</v>
      </c>
      <c r="HYR3" t="s">
        <v>6751</v>
      </c>
      <c r="HYS3" t="s">
        <v>6752</v>
      </c>
      <c r="HYT3" t="s">
        <v>6753</v>
      </c>
      <c r="HYU3" t="s">
        <v>6754</v>
      </c>
      <c r="HYV3" t="s">
        <v>6755</v>
      </c>
      <c r="HYW3" t="s">
        <v>6756</v>
      </c>
      <c r="HYX3" t="s">
        <v>6757</v>
      </c>
      <c r="HYY3" t="s">
        <v>6758</v>
      </c>
      <c r="HYZ3" t="s">
        <v>6759</v>
      </c>
      <c r="HZA3" t="s">
        <v>6760</v>
      </c>
      <c r="HZB3" t="s">
        <v>6761</v>
      </c>
      <c r="HZC3" t="s">
        <v>6762</v>
      </c>
      <c r="HZD3" t="s">
        <v>6763</v>
      </c>
      <c r="HZE3" t="s">
        <v>6764</v>
      </c>
      <c r="HZF3" t="s">
        <v>6765</v>
      </c>
      <c r="HZG3" t="s">
        <v>6766</v>
      </c>
      <c r="HZH3" t="s">
        <v>6767</v>
      </c>
      <c r="HZI3" t="s">
        <v>6768</v>
      </c>
      <c r="HZJ3" t="s">
        <v>6769</v>
      </c>
      <c r="HZK3" t="s">
        <v>6770</v>
      </c>
      <c r="HZL3" t="s">
        <v>6771</v>
      </c>
      <c r="HZM3" t="s">
        <v>6772</v>
      </c>
      <c r="HZN3" t="s">
        <v>6773</v>
      </c>
      <c r="HZO3" t="s">
        <v>6774</v>
      </c>
      <c r="HZP3" t="s">
        <v>6775</v>
      </c>
      <c r="HZQ3" t="s">
        <v>6776</v>
      </c>
      <c r="HZR3" t="s">
        <v>6777</v>
      </c>
      <c r="HZS3" t="s">
        <v>6778</v>
      </c>
      <c r="HZT3" t="s">
        <v>6779</v>
      </c>
      <c r="HZU3" t="s">
        <v>6780</v>
      </c>
      <c r="HZV3" t="s">
        <v>6781</v>
      </c>
      <c r="HZW3" t="s">
        <v>6782</v>
      </c>
      <c r="HZX3" t="s">
        <v>6783</v>
      </c>
      <c r="HZY3" t="s">
        <v>6784</v>
      </c>
      <c r="HZZ3" t="s">
        <v>6785</v>
      </c>
      <c r="IAA3" t="s">
        <v>6786</v>
      </c>
      <c r="IAB3" t="s">
        <v>6787</v>
      </c>
      <c r="IAC3" t="s">
        <v>6788</v>
      </c>
      <c r="IAD3" t="s">
        <v>6789</v>
      </c>
      <c r="IAE3" t="s">
        <v>6790</v>
      </c>
      <c r="IAF3" t="s">
        <v>6791</v>
      </c>
      <c r="IAG3" t="s">
        <v>6792</v>
      </c>
      <c r="IAH3" t="s">
        <v>6793</v>
      </c>
      <c r="IAI3" t="s">
        <v>6794</v>
      </c>
      <c r="IAJ3" t="s">
        <v>6795</v>
      </c>
      <c r="IAK3" t="s">
        <v>6796</v>
      </c>
      <c r="IAL3" t="s">
        <v>6797</v>
      </c>
      <c r="IAM3" t="s">
        <v>6798</v>
      </c>
      <c r="IAN3" t="s">
        <v>6799</v>
      </c>
      <c r="IAO3" t="s">
        <v>6800</v>
      </c>
      <c r="IAP3" t="s">
        <v>6801</v>
      </c>
      <c r="IAQ3" t="s">
        <v>6802</v>
      </c>
      <c r="IAR3" t="s">
        <v>6803</v>
      </c>
      <c r="IAS3" t="s">
        <v>6804</v>
      </c>
      <c r="IAT3" t="s">
        <v>6805</v>
      </c>
      <c r="IAU3" t="s">
        <v>6806</v>
      </c>
      <c r="IAV3" t="s">
        <v>6807</v>
      </c>
      <c r="IAW3" t="s">
        <v>6808</v>
      </c>
      <c r="IAX3" t="s">
        <v>6809</v>
      </c>
      <c r="IAY3" t="s">
        <v>6810</v>
      </c>
      <c r="IAZ3" t="s">
        <v>6811</v>
      </c>
      <c r="IBA3" t="s">
        <v>6812</v>
      </c>
      <c r="IBB3" t="s">
        <v>6813</v>
      </c>
      <c r="IBC3" t="s">
        <v>6814</v>
      </c>
      <c r="IBD3" t="s">
        <v>6815</v>
      </c>
      <c r="IBE3" t="s">
        <v>6816</v>
      </c>
      <c r="IBF3" t="s">
        <v>6817</v>
      </c>
      <c r="IBG3" t="s">
        <v>6818</v>
      </c>
      <c r="IBH3" t="s">
        <v>6819</v>
      </c>
      <c r="IBI3" t="s">
        <v>6820</v>
      </c>
      <c r="IBJ3" t="s">
        <v>6821</v>
      </c>
      <c r="IBK3" t="s">
        <v>6822</v>
      </c>
      <c r="IBL3" t="s">
        <v>6823</v>
      </c>
      <c r="IBM3" t="s">
        <v>6824</v>
      </c>
      <c r="IBN3" t="s">
        <v>6825</v>
      </c>
      <c r="IBO3" t="s">
        <v>6826</v>
      </c>
      <c r="IBP3" t="s">
        <v>6827</v>
      </c>
      <c r="IBQ3" t="s">
        <v>6828</v>
      </c>
      <c r="IBR3" t="s">
        <v>6829</v>
      </c>
      <c r="IBS3" t="s">
        <v>6830</v>
      </c>
      <c r="IBT3" t="s">
        <v>6831</v>
      </c>
      <c r="IBU3" t="s">
        <v>6832</v>
      </c>
      <c r="IBV3" t="s">
        <v>6833</v>
      </c>
      <c r="IBW3" t="s">
        <v>6834</v>
      </c>
      <c r="IBX3" t="s">
        <v>6835</v>
      </c>
      <c r="IBY3" t="s">
        <v>6836</v>
      </c>
      <c r="IBZ3" t="s">
        <v>6837</v>
      </c>
      <c r="ICA3" t="s">
        <v>6838</v>
      </c>
      <c r="ICB3" t="s">
        <v>6839</v>
      </c>
      <c r="ICC3" t="s">
        <v>6840</v>
      </c>
      <c r="ICD3" t="s">
        <v>6841</v>
      </c>
      <c r="ICE3" t="s">
        <v>6842</v>
      </c>
      <c r="ICF3" t="s">
        <v>6843</v>
      </c>
      <c r="ICG3" t="s">
        <v>6844</v>
      </c>
      <c r="ICH3" t="s">
        <v>6845</v>
      </c>
      <c r="ICI3" t="s">
        <v>6846</v>
      </c>
      <c r="ICJ3" t="s">
        <v>6847</v>
      </c>
      <c r="ICK3" t="s">
        <v>6848</v>
      </c>
      <c r="ICL3" t="s">
        <v>6849</v>
      </c>
      <c r="ICM3" t="s">
        <v>6850</v>
      </c>
      <c r="ICN3" t="s">
        <v>6851</v>
      </c>
      <c r="ICO3" t="s">
        <v>6852</v>
      </c>
      <c r="ICP3" t="s">
        <v>6853</v>
      </c>
      <c r="ICQ3" t="s">
        <v>6854</v>
      </c>
      <c r="ICR3" t="s">
        <v>6855</v>
      </c>
      <c r="ICS3" t="s">
        <v>6856</v>
      </c>
      <c r="ICT3" t="s">
        <v>6857</v>
      </c>
      <c r="ICU3" t="s">
        <v>6858</v>
      </c>
      <c r="ICV3" t="s">
        <v>6859</v>
      </c>
      <c r="ICW3" t="s">
        <v>6860</v>
      </c>
      <c r="ICX3" t="s">
        <v>6861</v>
      </c>
      <c r="ICY3" t="s">
        <v>6862</v>
      </c>
      <c r="ICZ3" t="s">
        <v>6863</v>
      </c>
      <c r="IDA3" t="s">
        <v>6864</v>
      </c>
      <c r="IDB3" t="s">
        <v>6865</v>
      </c>
      <c r="IDC3" t="s">
        <v>6866</v>
      </c>
      <c r="IDD3" t="s">
        <v>6867</v>
      </c>
      <c r="IDE3" t="s">
        <v>6868</v>
      </c>
      <c r="IDF3" t="s">
        <v>6869</v>
      </c>
      <c r="IDG3" t="s">
        <v>6870</v>
      </c>
      <c r="IDH3" t="s">
        <v>6871</v>
      </c>
      <c r="IDI3" t="s">
        <v>6872</v>
      </c>
      <c r="IDJ3" t="s">
        <v>6873</v>
      </c>
      <c r="IDK3" t="s">
        <v>6874</v>
      </c>
      <c r="IDL3" t="s">
        <v>6875</v>
      </c>
      <c r="IDM3" t="s">
        <v>6876</v>
      </c>
      <c r="IDN3" t="s">
        <v>6877</v>
      </c>
      <c r="IDO3" t="s">
        <v>6878</v>
      </c>
      <c r="IDP3" t="s">
        <v>6879</v>
      </c>
      <c r="IDQ3" t="s">
        <v>6880</v>
      </c>
      <c r="IDR3" t="s">
        <v>6881</v>
      </c>
      <c r="IDS3" t="s">
        <v>6882</v>
      </c>
      <c r="IDT3" t="s">
        <v>6883</v>
      </c>
      <c r="IDU3" t="s">
        <v>6884</v>
      </c>
      <c r="IDV3" t="s">
        <v>6885</v>
      </c>
      <c r="IDW3" t="s">
        <v>6886</v>
      </c>
      <c r="IDX3" t="s">
        <v>6887</v>
      </c>
      <c r="IDY3" t="s">
        <v>6888</v>
      </c>
      <c r="IDZ3" t="s">
        <v>6889</v>
      </c>
      <c r="IEA3" t="s">
        <v>6890</v>
      </c>
      <c r="IEB3" t="s">
        <v>6891</v>
      </c>
      <c r="IEC3" t="s">
        <v>6892</v>
      </c>
      <c r="IED3" t="s">
        <v>6893</v>
      </c>
      <c r="IEE3" t="s">
        <v>6894</v>
      </c>
      <c r="IEF3" t="s">
        <v>6895</v>
      </c>
      <c r="IEG3" t="s">
        <v>6896</v>
      </c>
      <c r="IEH3" t="s">
        <v>6897</v>
      </c>
      <c r="IEI3" t="s">
        <v>6898</v>
      </c>
      <c r="IEJ3" t="s">
        <v>6899</v>
      </c>
      <c r="IEK3" t="s">
        <v>6900</v>
      </c>
      <c r="IEL3" t="s">
        <v>6901</v>
      </c>
      <c r="IEM3" t="s">
        <v>6902</v>
      </c>
      <c r="IEN3" t="s">
        <v>6903</v>
      </c>
      <c r="IEO3" t="s">
        <v>6904</v>
      </c>
      <c r="IEP3" t="s">
        <v>6905</v>
      </c>
      <c r="IEQ3" t="s">
        <v>6906</v>
      </c>
      <c r="IER3" t="s">
        <v>6907</v>
      </c>
      <c r="IES3" t="s">
        <v>6908</v>
      </c>
      <c r="IET3" t="s">
        <v>6909</v>
      </c>
      <c r="IEU3" t="s">
        <v>6910</v>
      </c>
      <c r="IEV3" t="s">
        <v>6911</v>
      </c>
      <c r="IEW3" t="s">
        <v>6912</v>
      </c>
      <c r="IEX3" t="s">
        <v>6913</v>
      </c>
      <c r="IEY3" t="s">
        <v>6914</v>
      </c>
      <c r="IEZ3" t="s">
        <v>6915</v>
      </c>
      <c r="IFA3" t="s">
        <v>6916</v>
      </c>
      <c r="IFB3" t="s">
        <v>6917</v>
      </c>
      <c r="IFC3" t="s">
        <v>6918</v>
      </c>
      <c r="IFD3" t="s">
        <v>6919</v>
      </c>
      <c r="IFE3" t="s">
        <v>6920</v>
      </c>
      <c r="IFF3" t="s">
        <v>6921</v>
      </c>
      <c r="IFG3" t="s">
        <v>6922</v>
      </c>
      <c r="IFH3" t="s">
        <v>6923</v>
      </c>
      <c r="IFI3" t="s">
        <v>6924</v>
      </c>
      <c r="IFJ3" t="s">
        <v>6925</v>
      </c>
      <c r="IFK3" t="s">
        <v>6926</v>
      </c>
      <c r="IFL3" t="s">
        <v>6927</v>
      </c>
      <c r="IFM3" t="s">
        <v>6928</v>
      </c>
      <c r="IFN3" t="s">
        <v>6929</v>
      </c>
      <c r="IFO3" t="s">
        <v>6930</v>
      </c>
      <c r="IFP3" t="s">
        <v>6931</v>
      </c>
      <c r="IFQ3" t="s">
        <v>6932</v>
      </c>
      <c r="IFR3" t="s">
        <v>6933</v>
      </c>
      <c r="IFS3" t="s">
        <v>6934</v>
      </c>
      <c r="IFT3" t="s">
        <v>6935</v>
      </c>
      <c r="IFU3" t="s">
        <v>6936</v>
      </c>
      <c r="IFV3" t="s">
        <v>6937</v>
      </c>
      <c r="IFW3" t="s">
        <v>6938</v>
      </c>
      <c r="IFX3" t="s">
        <v>6939</v>
      </c>
      <c r="IFY3" t="s">
        <v>6940</v>
      </c>
      <c r="IFZ3" t="s">
        <v>6941</v>
      </c>
      <c r="IGA3" t="s">
        <v>6942</v>
      </c>
      <c r="IGB3" t="s">
        <v>6943</v>
      </c>
      <c r="IGC3" t="s">
        <v>6944</v>
      </c>
      <c r="IGD3" t="s">
        <v>6945</v>
      </c>
      <c r="IGE3" t="s">
        <v>6946</v>
      </c>
      <c r="IGF3" t="s">
        <v>6947</v>
      </c>
      <c r="IGG3" t="s">
        <v>6948</v>
      </c>
      <c r="IGH3" t="s">
        <v>6949</v>
      </c>
      <c r="IGI3" t="s">
        <v>6950</v>
      </c>
      <c r="IGJ3" t="s">
        <v>6951</v>
      </c>
      <c r="IGK3" t="s">
        <v>6952</v>
      </c>
      <c r="IGL3" t="s">
        <v>6953</v>
      </c>
      <c r="IGM3" t="s">
        <v>6954</v>
      </c>
      <c r="IGN3" t="s">
        <v>6955</v>
      </c>
      <c r="IGO3" t="s">
        <v>6956</v>
      </c>
      <c r="IGP3" t="s">
        <v>6957</v>
      </c>
      <c r="IGQ3" t="s">
        <v>6958</v>
      </c>
      <c r="IGR3" t="s">
        <v>6959</v>
      </c>
      <c r="IGS3" t="s">
        <v>6960</v>
      </c>
      <c r="IGT3" t="s">
        <v>6961</v>
      </c>
      <c r="IGU3" t="s">
        <v>6962</v>
      </c>
      <c r="IGV3" t="s">
        <v>6963</v>
      </c>
      <c r="IGW3" t="s">
        <v>6964</v>
      </c>
      <c r="IGX3" t="s">
        <v>6965</v>
      </c>
      <c r="IGY3" t="s">
        <v>6966</v>
      </c>
      <c r="IGZ3" t="s">
        <v>6967</v>
      </c>
      <c r="IHA3" t="s">
        <v>6968</v>
      </c>
      <c r="IHB3" t="s">
        <v>6969</v>
      </c>
      <c r="IHC3" t="s">
        <v>6970</v>
      </c>
      <c r="IHD3" t="s">
        <v>6971</v>
      </c>
      <c r="IHE3" t="s">
        <v>6972</v>
      </c>
      <c r="IHF3" t="s">
        <v>6973</v>
      </c>
      <c r="IHG3" t="s">
        <v>6974</v>
      </c>
      <c r="IHH3" t="s">
        <v>6975</v>
      </c>
      <c r="IHI3" t="s">
        <v>6976</v>
      </c>
      <c r="IHJ3" t="s">
        <v>6977</v>
      </c>
      <c r="IHK3" t="s">
        <v>6978</v>
      </c>
      <c r="IHL3" t="s">
        <v>6979</v>
      </c>
      <c r="IHM3" t="s">
        <v>6980</v>
      </c>
      <c r="IHN3" t="s">
        <v>6981</v>
      </c>
      <c r="IHO3" t="s">
        <v>6982</v>
      </c>
      <c r="IHP3" t="s">
        <v>6983</v>
      </c>
      <c r="IHQ3" t="s">
        <v>6984</v>
      </c>
      <c r="IHR3" t="s">
        <v>6985</v>
      </c>
      <c r="IHS3" t="s">
        <v>6986</v>
      </c>
      <c r="IHT3" t="s">
        <v>6987</v>
      </c>
      <c r="IHU3" t="s">
        <v>6988</v>
      </c>
      <c r="IHV3" t="s">
        <v>6989</v>
      </c>
      <c r="IHW3" t="s">
        <v>6990</v>
      </c>
      <c r="IHX3" t="s">
        <v>6991</v>
      </c>
      <c r="IHY3" t="s">
        <v>6992</v>
      </c>
      <c r="IHZ3" t="s">
        <v>6993</v>
      </c>
      <c r="IIA3" t="s">
        <v>6994</v>
      </c>
      <c r="IIB3" t="s">
        <v>6995</v>
      </c>
      <c r="IIC3" t="s">
        <v>6996</v>
      </c>
      <c r="IID3" t="s">
        <v>6997</v>
      </c>
      <c r="IIE3" t="s">
        <v>6998</v>
      </c>
      <c r="IIF3" t="s">
        <v>6999</v>
      </c>
      <c r="IIG3" t="s">
        <v>7000</v>
      </c>
      <c r="IIH3" t="s">
        <v>7001</v>
      </c>
      <c r="III3" t="s">
        <v>7002</v>
      </c>
      <c r="IIJ3" t="s">
        <v>7003</v>
      </c>
      <c r="IIK3" t="s">
        <v>7004</v>
      </c>
      <c r="IIL3" t="s">
        <v>7005</v>
      </c>
      <c r="IIM3" t="s">
        <v>7006</v>
      </c>
      <c r="IIN3" t="s">
        <v>7007</v>
      </c>
      <c r="IIO3" t="s">
        <v>7008</v>
      </c>
      <c r="IIP3" t="s">
        <v>7009</v>
      </c>
      <c r="IIQ3" t="s">
        <v>7010</v>
      </c>
      <c r="IIR3" t="s">
        <v>7011</v>
      </c>
      <c r="IIS3" t="s">
        <v>7012</v>
      </c>
      <c r="IIT3" t="s">
        <v>7013</v>
      </c>
      <c r="IIU3" t="s">
        <v>7014</v>
      </c>
      <c r="IIV3" t="s">
        <v>7015</v>
      </c>
      <c r="IIW3" t="s">
        <v>7016</v>
      </c>
      <c r="IIX3" t="s">
        <v>7017</v>
      </c>
      <c r="IIY3" t="s">
        <v>7018</v>
      </c>
      <c r="IIZ3" t="s">
        <v>7019</v>
      </c>
      <c r="IJA3" t="s">
        <v>7020</v>
      </c>
      <c r="IJB3" t="s">
        <v>7021</v>
      </c>
      <c r="IJC3" t="s">
        <v>7022</v>
      </c>
      <c r="IJD3" t="s">
        <v>7023</v>
      </c>
      <c r="IJE3" t="s">
        <v>7024</v>
      </c>
      <c r="IJF3" t="s">
        <v>7025</v>
      </c>
      <c r="IJG3" t="s">
        <v>7026</v>
      </c>
      <c r="IJH3" t="s">
        <v>7027</v>
      </c>
      <c r="IJI3" t="s">
        <v>7028</v>
      </c>
      <c r="IJJ3" t="s">
        <v>7029</v>
      </c>
      <c r="IJK3" t="s">
        <v>7030</v>
      </c>
      <c r="IJL3" t="s">
        <v>7031</v>
      </c>
      <c r="IJM3" t="s">
        <v>7032</v>
      </c>
      <c r="IJN3" t="s">
        <v>7033</v>
      </c>
      <c r="IJO3" t="s">
        <v>7034</v>
      </c>
      <c r="IJP3" t="s">
        <v>7035</v>
      </c>
      <c r="IJQ3" t="s">
        <v>7036</v>
      </c>
      <c r="IJR3" t="s">
        <v>7037</v>
      </c>
      <c r="IJS3" t="s">
        <v>7038</v>
      </c>
      <c r="IJT3" t="s">
        <v>7039</v>
      </c>
      <c r="IJU3" t="s">
        <v>7040</v>
      </c>
      <c r="IJV3" t="s">
        <v>7041</v>
      </c>
      <c r="IJW3" t="s">
        <v>7042</v>
      </c>
      <c r="IJX3" t="s">
        <v>7043</v>
      </c>
      <c r="IJY3" t="s">
        <v>7044</v>
      </c>
      <c r="IJZ3" t="s">
        <v>7045</v>
      </c>
      <c r="IKA3" t="s">
        <v>7046</v>
      </c>
      <c r="IKB3" t="s">
        <v>7047</v>
      </c>
      <c r="IKC3" t="s">
        <v>7048</v>
      </c>
      <c r="IKD3" t="s">
        <v>7049</v>
      </c>
      <c r="IKE3" t="s">
        <v>7050</v>
      </c>
      <c r="IKF3" t="s">
        <v>7051</v>
      </c>
      <c r="IKG3" t="s">
        <v>7052</v>
      </c>
      <c r="IKH3" t="s">
        <v>7053</v>
      </c>
      <c r="IKI3" t="s">
        <v>7054</v>
      </c>
      <c r="IKJ3" t="s">
        <v>7055</v>
      </c>
      <c r="IKK3" t="s">
        <v>7056</v>
      </c>
      <c r="IKL3" t="s">
        <v>7057</v>
      </c>
      <c r="IKM3" t="s">
        <v>7058</v>
      </c>
      <c r="IKN3" t="s">
        <v>7059</v>
      </c>
      <c r="IKO3" t="s">
        <v>7060</v>
      </c>
      <c r="IKP3" t="s">
        <v>7061</v>
      </c>
      <c r="IKQ3" t="s">
        <v>7062</v>
      </c>
      <c r="IKR3" t="s">
        <v>7063</v>
      </c>
      <c r="IKS3" t="s">
        <v>7064</v>
      </c>
      <c r="IKT3" t="s">
        <v>7065</v>
      </c>
      <c r="IKU3" t="s">
        <v>7066</v>
      </c>
      <c r="IKV3" t="s">
        <v>7067</v>
      </c>
      <c r="IKW3" t="s">
        <v>7068</v>
      </c>
      <c r="IKX3" t="s">
        <v>7069</v>
      </c>
      <c r="IKY3" t="s">
        <v>7070</v>
      </c>
      <c r="IKZ3" t="s">
        <v>7071</v>
      </c>
      <c r="ILA3" t="s">
        <v>7072</v>
      </c>
      <c r="ILB3" t="s">
        <v>7073</v>
      </c>
      <c r="ILC3" t="s">
        <v>7074</v>
      </c>
      <c r="ILD3" t="s">
        <v>7075</v>
      </c>
      <c r="ILE3" t="s">
        <v>7076</v>
      </c>
      <c r="ILF3" t="s">
        <v>7077</v>
      </c>
      <c r="ILG3" t="s">
        <v>7078</v>
      </c>
      <c r="ILH3" t="s">
        <v>7079</v>
      </c>
      <c r="ILI3" t="s">
        <v>7080</v>
      </c>
      <c r="ILJ3" t="s">
        <v>7081</v>
      </c>
      <c r="ILK3" t="s">
        <v>7082</v>
      </c>
      <c r="ILL3" t="s">
        <v>7083</v>
      </c>
      <c r="ILM3" t="s">
        <v>7084</v>
      </c>
      <c r="ILN3" t="s">
        <v>7085</v>
      </c>
      <c r="ILO3" t="s">
        <v>7086</v>
      </c>
      <c r="ILP3" t="s">
        <v>7087</v>
      </c>
      <c r="ILQ3" t="s">
        <v>7088</v>
      </c>
      <c r="ILR3" t="s">
        <v>7089</v>
      </c>
      <c r="ILS3" t="s">
        <v>7090</v>
      </c>
      <c r="ILT3" t="s">
        <v>7091</v>
      </c>
      <c r="ILU3" t="s">
        <v>7092</v>
      </c>
      <c r="ILV3" t="s">
        <v>7093</v>
      </c>
      <c r="ILW3" t="s">
        <v>7094</v>
      </c>
      <c r="ILX3" t="s">
        <v>7095</v>
      </c>
      <c r="ILY3" t="s">
        <v>7096</v>
      </c>
      <c r="ILZ3" t="s">
        <v>7097</v>
      </c>
      <c r="IMA3" t="s">
        <v>7098</v>
      </c>
      <c r="IMB3" t="s">
        <v>7099</v>
      </c>
      <c r="IMC3" t="s">
        <v>7100</v>
      </c>
      <c r="IMD3" t="s">
        <v>7101</v>
      </c>
      <c r="IME3" t="s">
        <v>7102</v>
      </c>
      <c r="IMF3" t="s">
        <v>7103</v>
      </c>
      <c r="IMG3" t="s">
        <v>7104</v>
      </c>
      <c r="IMH3" t="s">
        <v>7105</v>
      </c>
      <c r="IMI3" t="s">
        <v>7106</v>
      </c>
      <c r="IMJ3" t="s">
        <v>7107</v>
      </c>
      <c r="IMK3" t="s">
        <v>7108</v>
      </c>
      <c r="IML3" t="s">
        <v>7109</v>
      </c>
      <c r="IMM3" t="s">
        <v>7110</v>
      </c>
      <c r="IMN3" t="s">
        <v>7111</v>
      </c>
      <c r="IMO3" t="s">
        <v>7112</v>
      </c>
      <c r="IMP3" t="s">
        <v>7113</v>
      </c>
      <c r="IMQ3" t="s">
        <v>7114</v>
      </c>
      <c r="IMR3" t="s">
        <v>7115</v>
      </c>
      <c r="IMS3" t="s">
        <v>7116</v>
      </c>
      <c r="IMT3" t="s">
        <v>7117</v>
      </c>
      <c r="IMU3" t="s">
        <v>7118</v>
      </c>
      <c r="IMV3" t="s">
        <v>7119</v>
      </c>
      <c r="IMW3" t="s">
        <v>7120</v>
      </c>
      <c r="IMX3" t="s">
        <v>7121</v>
      </c>
      <c r="IMY3" t="s">
        <v>7122</v>
      </c>
      <c r="IMZ3" t="s">
        <v>7123</v>
      </c>
      <c r="INA3" t="s">
        <v>7124</v>
      </c>
      <c r="INB3" t="s">
        <v>7125</v>
      </c>
      <c r="INC3" t="s">
        <v>7126</v>
      </c>
      <c r="IND3" t="s">
        <v>7127</v>
      </c>
      <c r="INE3" t="s">
        <v>7128</v>
      </c>
      <c r="INF3" t="s">
        <v>7129</v>
      </c>
      <c r="ING3" t="s">
        <v>7130</v>
      </c>
      <c r="INH3" t="s">
        <v>7131</v>
      </c>
      <c r="INI3" t="s">
        <v>7132</v>
      </c>
      <c r="INJ3" t="s">
        <v>7133</v>
      </c>
      <c r="INK3" t="s">
        <v>7134</v>
      </c>
      <c r="INL3" t="s">
        <v>7135</v>
      </c>
      <c r="INM3" t="s">
        <v>7136</v>
      </c>
      <c r="INN3" t="s">
        <v>7137</v>
      </c>
      <c r="INO3" t="s">
        <v>7138</v>
      </c>
      <c r="INP3" t="s">
        <v>7139</v>
      </c>
      <c r="INQ3" t="s">
        <v>7140</v>
      </c>
      <c r="INR3" t="s">
        <v>7141</v>
      </c>
      <c r="INS3" t="s">
        <v>7142</v>
      </c>
      <c r="INT3" t="s">
        <v>7143</v>
      </c>
      <c r="INU3" t="s">
        <v>7144</v>
      </c>
      <c r="INV3" t="s">
        <v>7145</v>
      </c>
      <c r="INW3" t="s">
        <v>7146</v>
      </c>
      <c r="INX3" t="s">
        <v>7147</v>
      </c>
      <c r="INY3" t="s">
        <v>7148</v>
      </c>
      <c r="INZ3" t="s">
        <v>7149</v>
      </c>
      <c r="IOA3" t="s">
        <v>7150</v>
      </c>
      <c r="IOB3" t="s">
        <v>7151</v>
      </c>
      <c r="IOC3" t="s">
        <v>7152</v>
      </c>
      <c r="IOD3" t="s">
        <v>7153</v>
      </c>
      <c r="IOE3" t="s">
        <v>7154</v>
      </c>
      <c r="IOF3" t="s">
        <v>7155</v>
      </c>
      <c r="IOG3" t="s">
        <v>7156</v>
      </c>
      <c r="IOH3" t="s">
        <v>7157</v>
      </c>
      <c r="IOI3" t="s">
        <v>7158</v>
      </c>
      <c r="IOJ3" t="s">
        <v>7159</v>
      </c>
      <c r="IOK3" t="s">
        <v>7160</v>
      </c>
      <c r="IOL3" t="s">
        <v>7161</v>
      </c>
      <c r="IOM3" t="s">
        <v>7162</v>
      </c>
      <c r="ION3" t="s">
        <v>7163</v>
      </c>
      <c r="IOO3" t="s">
        <v>7164</v>
      </c>
      <c r="IOP3" t="s">
        <v>7165</v>
      </c>
      <c r="IOQ3" t="s">
        <v>7166</v>
      </c>
      <c r="IOR3" t="s">
        <v>7167</v>
      </c>
      <c r="IOS3" t="s">
        <v>7168</v>
      </c>
      <c r="IOT3" t="s">
        <v>7169</v>
      </c>
      <c r="IOU3" t="s">
        <v>7170</v>
      </c>
      <c r="IOV3" t="s">
        <v>7171</v>
      </c>
      <c r="IOW3" t="s">
        <v>7172</v>
      </c>
      <c r="IOX3" t="s">
        <v>7173</v>
      </c>
      <c r="IOY3" t="s">
        <v>7174</v>
      </c>
      <c r="IOZ3" t="s">
        <v>7175</v>
      </c>
      <c r="IPA3" t="s">
        <v>7176</v>
      </c>
      <c r="IPB3" t="s">
        <v>7177</v>
      </c>
      <c r="IPC3" t="s">
        <v>7178</v>
      </c>
      <c r="IPD3" t="s">
        <v>7179</v>
      </c>
      <c r="IPE3" t="s">
        <v>7180</v>
      </c>
      <c r="IPF3" t="s">
        <v>7181</v>
      </c>
      <c r="IPG3" t="s">
        <v>7182</v>
      </c>
      <c r="IPH3" t="s">
        <v>7183</v>
      </c>
      <c r="IPI3" t="s">
        <v>7184</v>
      </c>
      <c r="IPJ3" t="s">
        <v>7185</v>
      </c>
      <c r="IPK3" t="s">
        <v>7186</v>
      </c>
      <c r="IPL3" t="s">
        <v>7187</v>
      </c>
      <c r="IPM3" t="s">
        <v>7188</v>
      </c>
      <c r="IPN3" t="s">
        <v>7189</v>
      </c>
      <c r="IPO3" t="s">
        <v>7190</v>
      </c>
      <c r="IPP3" t="s">
        <v>7191</v>
      </c>
      <c r="IPQ3" t="s">
        <v>7192</v>
      </c>
      <c r="IPR3" t="s">
        <v>7193</v>
      </c>
      <c r="IPS3" t="s">
        <v>7194</v>
      </c>
      <c r="IPT3" t="s">
        <v>7195</v>
      </c>
      <c r="IPU3" t="s">
        <v>7196</v>
      </c>
      <c r="IPV3" t="s">
        <v>7197</v>
      </c>
      <c r="IPW3" t="s">
        <v>7198</v>
      </c>
      <c r="IPX3" t="s">
        <v>7199</v>
      </c>
      <c r="IPY3" t="s">
        <v>7200</v>
      </c>
      <c r="IPZ3" t="s">
        <v>7201</v>
      </c>
      <c r="IQA3" t="s">
        <v>7202</v>
      </c>
      <c r="IQB3" t="s">
        <v>7203</v>
      </c>
      <c r="IQC3" t="s">
        <v>7204</v>
      </c>
      <c r="IQD3" t="s">
        <v>7205</v>
      </c>
      <c r="IQE3" t="s">
        <v>7206</v>
      </c>
      <c r="IQF3" t="s">
        <v>7207</v>
      </c>
      <c r="IQG3" t="s">
        <v>7208</v>
      </c>
      <c r="IQH3" t="s">
        <v>7209</v>
      </c>
      <c r="IQI3" t="s">
        <v>7210</v>
      </c>
      <c r="IQJ3" t="s">
        <v>7211</v>
      </c>
      <c r="IQK3" t="s">
        <v>7212</v>
      </c>
      <c r="IQL3" t="s">
        <v>7213</v>
      </c>
      <c r="IQM3" t="s">
        <v>7214</v>
      </c>
      <c r="IQN3" t="s">
        <v>7215</v>
      </c>
      <c r="IQO3" t="s">
        <v>7216</v>
      </c>
      <c r="IQP3" t="s">
        <v>7217</v>
      </c>
      <c r="IQQ3" t="s">
        <v>7218</v>
      </c>
      <c r="IQR3" t="s">
        <v>7219</v>
      </c>
      <c r="IQS3" t="s">
        <v>7220</v>
      </c>
      <c r="IQT3" t="s">
        <v>7221</v>
      </c>
      <c r="IQU3" t="s">
        <v>7222</v>
      </c>
      <c r="IQV3" t="s">
        <v>7223</v>
      </c>
      <c r="IQW3" t="s">
        <v>7224</v>
      </c>
      <c r="IQX3" t="s">
        <v>7225</v>
      </c>
      <c r="IQY3" t="s">
        <v>7226</v>
      </c>
      <c r="IQZ3" t="s">
        <v>7227</v>
      </c>
      <c r="IRA3" t="s">
        <v>7228</v>
      </c>
      <c r="IRB3" t="s">
        <v>7229</v>
      </c>
      <c r="IRC3" t="s">
        <v>7230</v>
      </c>
      <c r="IRD3" t="s">
        <v>7231</v>
      </c>
      <c r="IRE3" t="s">
        <v>7232</v>
      </c>
      <c r="IRF3" t="s">
        <v>7233</v>
      </c>
      <c r="IRG3" t="s">
        <v>7234</v>
      </c>
      <c r="IRH3" t="s">
        <v>7235</v>
      </c>
      <c r="IRI3" t="s">
        <v>7236</v>
      </c>
      <c r="IRJ3" t="s">
        <v>7237</v>
      </c>
      <c r="IRK3" t="s">
        <v>7238</v>
      </c>
      <c r="IRL3" t="s">
        <v>7239</v>
      </c>
      <c r="IRM3" t="s">
        <v>7240</v>
      </c>
      <c r="IRN3" t="s">
        <v>7241</v>
      </c>
      <c r="IRO3" t="s">
        <v>7242</v>
      </c>
      <c r="IRP3" t="s">
        <v>7243</v>
      </c>
      <c r="IRQ3" t="s">
        <v>7244</v>
      </c>
      <c r="IRR3" t="s">
        <v>7245</v>
      </c>
      <c r="IRS3" t="s">
        <v>7246</v>
      </c>
      <c r="IRT3" t="s">
        <v>7247</v>
      </c>
      <c r="IRU3" t="s">
        <v>7248</v>
      </c>
      <c r="IRV3" t="s">
        <v>7249</v>
      </c>
      <c r="IRW3" t="s">
        <v>7250</v>
      </c>
      <c r="IRX3" t="s">
        <v>7251</v>
      </c>
      <c r="IRY3" t="s">
        <v>7252</v>
      </c>
      <c r="IRZ3" t="s">
        <v>7253</v>
      </c>
      <c r="ISA3" t="s">
        <v>7254</v>
      </c>
      <c r="ISB3" t="s">
        <v>7255</v>
      </c>
      <c r="ISC3" t="s">
        <v>7256</v>
      </c>
      <c r="ISD3" t="s">
        <v>7257</v>
      </c>
      <c r="ISE3" t="s">
        <v>7258</v>
      </c>
      <c r="ISF3" t="s">
        <v>7259</v>
      </c>
      <c r="ISG3" t="s">
        <v>7260</v>
      </c>
      <c r="ISH3" t="s">
        <v>7261</v>
      </c>
      <c r="ISI3" t="s">
        <v>7262</v>
      </c>
      <c r="ISJ3" t="s">
        <v>7263</v>
      </c>
      <c r="ISK3" t="s">
        <v>7264</v>
      </c>
      <c r="ISL3" t="s">
        <v>7265</v>
      </c>
      <c r="ISM3" t="s">
        <v>7266</v>
      </c>
      <c r="ISN3" t="s">
        <v>7267</v>
      </c>
      <c r="ISO3" t="s">
        <v>7268</v>
      </c>
      <c r="ISP3" t="s">
        <v>7269</v>
      </c>
      <c r="ISQ3" t="s">
        <v>7270</v>
      </c>
      <c r="ISR3" t="s">
        <v>7271</v>
      </c>
      <c r="ISS3" t="s">
        <v>7272</v>
      </c>
      <c r="IST3" t="s">
        <v>7273</v>
      </c>
      <c r="ISU3" t="s">
        <v>7274</v>
      </c>
      <c r="ISV3" t="s">
        <v>7275</v>
      </c>
      <c r="ISW3" t="s">
        <v>7276</v>
      </c>
      <c r="ISX3" t="s">
        <v>7277</v>
      </c>
      <c r="ISY3" t="s">
        <v>7278</v>
      </c>
      <c r="ISZ3" t="s">
        <v>7279</v>
      </c>
      <c r="ITA3" t="s">
        <v>7280</v>
      </c>
      <c r="ITB3" t="s">
        <v>7281</v>
      </c>
      <c r="ITC3" t="s">
        <v>7282</v>
      </c>
      <c r="ITD3" t="s">
        <v>7283</v>
      </c>
      <c r="ITE3" t="s">
        <v>7284</v>
      </c>
      <c r="ITF3" t="s">
        <v>7285</v>
      </c>
      <c r="ITG3" t="s">
        <v>7286</v>
      </c>
      <c r="ITH3" t="s">
        <v>7287</v>
      </c>
      <c r="ITI3" t="s">
        <v>7288</v>
      </c>
      <c r="ITJ3" t="s">
        <v>7289</v>
      </c>
      <c r="ITK3" t="s">
        <v>7290</v>
      </c>
      <c r="ITL3" t="s">
        <v>7291</v>
      </c>
      <c r="ITM3" t="s">
        <v>7292</v>
      </c>
      <c r="ITN3" t="s">
        <v>7293</v>
      </c>
      <c r="ITO3" t="s">
        <v>7294</v>
      </c>
      <c r="ITP3" t="s">
        <v>7295</v>
      </c>
      <c r="ITQ3" t="s">
        <v>7296</v>
      </c>
      <c r="ITR3" t="s">
        <v>7297</v>
      </c>
      <c r="ITS3" t="s">
        <v>7298</v>
      </c>
      <c r="ITT3" t="s">
        <v>7299</v>
      </c>
      <c r="ITU3" t="s">
        <v>7300</v>
      </c>
      <c r="ITV3" t="s">
        <v>7301</v>
      </c>
      <c r="ITW3" t="s">
        <v>7302</v>
      </c>
      <c r="ITX3" t="s">
        <v>7303</v>
      </c>
      <c r="ITY3" t="s">
        <v>7304</v>
      </c>
      <c r="ITZ3" t="s">
        <v>7305</v>
      </c>
      <c r="IUA3" t="s">
        <v>7306</v>
      </c>
      <c r="IUB3" t="s">
        <v>7307</v>
      </c>
      <c r="IUC3" t="s">
        <v>7308</v>
      </c>
      <c r="IUD3" t="s">
        <v>7309</v>
      </c>
      <c r="IUE3" t="s">
        <v>7310</v>
      </c>
      <c r="IUF3" t="s">
        <v>7311</v>
      </c>
      <c r="IUG3" t="s">
        <v>7312</v>
      </c>
      <c r="IUH3" t="s">
        <v>7313</v>
      </c>
      <c r="IUI3" t="s">
        <v>7314</v>
      </c>
      <c r="IUJ3" t="s">
        <v>7315</v>
      </c>
      <c r="IUK3" t="s">
        <v>7316</v>
      </c>
      <c r="IUL3" t="s">
        <v>7317</v>
      </c>
      <c r="IUM3" t="s">
        <v>7318</v>
      </c>
      <c r="IUN3" t="s">
        <v>7319</v>
      </c>
      <c r="IUO3" t="s">
        <v>7320</v>
      </c>
      <c r="IUP3" t="s">
        <v>7321</v>
      </c>
      <c r="IUQ3" t="s">
        <v>7322</v>
      </c>
      <c r="IUR3" t="s">
        <v>7323</v>
      </c>
      <c r="IUS3" t="s">
        <v>7324</v>
      </c>
      <c r="IUT3" t="s">
        <v>7325</v>
      </c>
      <c r="IUU3" t="s">
        <v>7326</v>
      </c>
      <c r="IUV3" t="s">
        <v>7327</v>
      </c>
      <c r="IUW3" t="s">
        <v>7328</v>
      </c>
      <c r="IUX3" t="s">
        <v>7329</v>
      </c>
      <c r="IUY3" t="s">
        <v>7330</v>
      </c>
      <c r="IUZ3" t="s">
        <v>7331</v>
      </c>
      <c r="IVA3" t="s">
        <v>7332</v>
      </c>
      <c r="IVB3" t="s">
        <v>7333</v>
      </c>
      <c r="IVC3" t="s">
        <v>7334</v>
      </c>
      <c r="IVD3" t="s">
        <v>7335</v>
      </c>
      <c r="IVE3" t="s">
        <v>7336</v>
      </c>
      <c r="IVF3" t="s">
        <v>7337</v>
      </c>
      <c r="IVG3" t="s">
        <v>7338</v>
      </c>
      <c r="IVH3" t="s">
        <v>7339</v>
      </c>
      <c r="IVI3" t="s">
        <v>7340</v>
      </c>
      <c r="IVJ3" t="s">
        <v>7341</v>
      </c>
      <c r="IVK3" t="s">
        <v>7342</v>
      </c>
      <c r="IVL3" t="s">
        <v>7343</v>
      </c>
      <c r="IVM3" t="s">
        <v>7344</v>
      </c>
      <c r="IVN3" t="s">
        <v>7345</v>
      </c>
      <c r="IVO3" t="s">
        <v>7346</v>
      </c>
      <c r="IVP3" t="s">
        <v>7347</v>
      </c>
      <c r="IVQ3" t="s">
        <v>7348</v>
      </c>
      <c r="IVR3" t="s">
        <v>7349</v>
      </c>
      <c r="IVS3" t="s">
        <v>7350</v>
      </c>
      <c r="IVT3" t="s">
        <v>7351</v>
      </c>
      <c r="IVU3" t="s">
        <v>7352</v>
      </c>
      <c r="IVV3" t="s">
        <v>7353</v>
      </c>
      <c r="IVW3" t="s">
        <v>7354</v>
      </c>
      <c r="IVX3" t="s">
        <v>7355</v>
      </c>
      <c r="IVY3" t="s">
        <v>7356</v>
      </c>
      <c r="IVZ3" t="s">
        <v>7357</v>
      </c>
      <c r="IWA3" t="s">
        <v>7358</v>
      </c>
      <c r="IWB3" t="s">
        <v>7359</v>
      </c>
      <c r="IWC3" t="s">
        <v>7360</v>
      </c>
      <c r="IWD3" t="s">
        <v>7361</v>
      </c>
      <c r="IWE3" t="s">
        <v>7362</v>
      </c>
      <c r="IWF3" t="s">
        <v>7363</v>
      </c>
      <c r="IWG3" t="s">
        <v>7364</v>
      </c>
      <c r="IWH3" t="s">
        <v>7365</v>
      </c>
      <c r="IWI3" t="s">
        <v>7366</v>
      </c>
      <c r="IWJ3" t="s">
        <v>7367</v>
      </c>
      <c r="IWK3" t="s">
        <v>7368</v>
      </c>
      <c r="IWL3" t="s">
        <v>7369</v>
      </c>
      <c r="IWM3" t="s">
        <v>7370</v>
      </c>
      <c r="IWN3" t="s">
        <v>7371</v>
      </c>
      <c r="IWO3" t="s">
        <v>7372</v>
      </c>
      <c r="IWP3" t="s">
        <v>7373</v>
      </c>
      <c r="IWQ3" t="s">
        <v>7374</v>
      </c>
      <c r="IWR3" t="s">
        <v>7375</v>
      </c>
      <c r="IWS3" t="s">
        <v>7376</v>
      </c>
      <c r="IWT3" t="s">
        <v>7377</v>
      </c>
      <c r="IWU3" t="s">
        <v>7378</v>
      </c>
      <c r="IWV3" t="s">
        <v>7379</v>
      </c>
      <c r="IWW3" t="s">
        <v>7380</v>
      </c>
      <c r="IWX3" t="s">
        <v>7381</v>
      </c>
      <c r="IWY3" t="s">
        <v>7382</v>
      </c>
      <c r="IWZ3" t="s">
        <v>7383</v>
      </c>
      <c r="IXA3" t="s">
        <v>7384</v>
      </c>
      <c r="IXB3" t="s">
        <v>7385</v>
      </c>
      <c r="IXC3" t="s">
        <v>7386</v>
      </c>
      <c r="IXD3" t="s">
        <v>7387</v>
      </c>
      <c r="IXE3" t="s">
        <v>7388</v>
      </c>
      <c r="IXF3" t="s">
        <v>7389</v>
      </c>
      <c r="IXG3" t="s">
        <v>7390</v>
      </c>
      <c r="IXH3" t="s">
        <v>7391</v>
      </c>
      <c r="IXI3" t="s">
        <v>7392</v>
      </c>
      <c r="IXJ3" t="s">
        <v>7393</v>
      </c>
      <c r="IXK3" t="s">
        <v>7394</v>
      </c>
      <c r="IXL3" t="s">
        <v>7395</v>
      </c>
      <c r="IXM3" t="s">
        <v>7396</v>
      </c>
      <c r="IXN3" t="s">
        <v>7397</v>
      </c>
      <c r="IXO3" t="s">
        <v>7398</v>
      </c>
      <c r="IXP3" t="s">
        <v>7399</v>
      </c>
      <c r="IXQ3" t="s">
        <v>7400</v>
      </c>
      <c r="IXR3" t="s">
        <v>7401</v>
      </c>
      <c r="IXS3" t="s">
        <v>7402</v>
      </c>
      <c r="IXT3" t="s">
        <v>7403</v>
      </c>
      <c r="IXU3" t="s">
        <v>7404</v>
      </c>
      <c r="IXV3" t="s">
        <v>7405</v>
      </c>
      <c r="IXW3" t="s">
        <v>7406</v>
      </c>
      <c r="IXX3" t="s">
        <v>7407</v>
      </c>
      <c r="IXY3" t="s">
        <v>7408</v>
      </c>
      <c r="IXZ3" t="s">
        <v>7409</v>
      </c>
      <c r="IYA3" t="s">
        <v>7410</v>
      </c>
      <c r="IYB3" t="s">
        <v>7411</v>
      </c>
      <c r="IYC3" t="s">
        <v>7412</v>
      </c>
      <c r="IYD3" t="s">
        <v>7413</v>
      </c>
      <c r="IYE3" t="s">
        <v>7414</v>
      </c>
      <c r="IYF3" t="s">
        <v>7415</v>
      </c>
      <c r="IYG3" t="s">
        <v>7416</v>
      </c>
      <c r="IYH3" t="s">
        <v>7417</v>
      </c>
      <c r="IYI3" t="s">
        <v>7418</v>
      </c>
      <c r="IYJ3" t="s">
        <v>7419</v>
      </c>
      <c r="IYK3" t="s">
        <v>7420</v>
      </c>
      <c r="IYL3" t="s">
        <v>7421</v>
      </c>
      <c r="IYM3" t="s">
        <v>7422</v>
      </c>
      <c r="IYN3" t="s">
        <v>7423</v>
      </c>
      <c r="IYO3" t="s">
        <v>7424</v>
      </c>
      <c r="IYP3" t="s">
        <v>7425</v>
      </c>
      <c r="IYQ3" t="s">
        <v>7426</v>
      </c>
      <c r="IYR3" t="s">
        <v>7427</v>
      </c>
      <c r="IYS3" t="s">
        <v>7428</v>
      </c>
      <c r="IYT3" t="s">
        <v>7429</v>
      </c>
      <c r="IYU3" t="s">
        <v>7430</v>
      </c>
      <c r="IYV3" t="s">
        <v>7431</v>
      </c>
      <c r="IYW3" t="s">
        <v>7432</v>
      </c>
      <c r="IYX3" t="s">
        <v>7433</v>
      </c>
      <c r="IYY3" t="s">
        <v>7434</v>
      </c>
      <c r="IYZ3" t="s">
        <v>7435</v>
      </c>
      <c r="IZA3" t="s">
        <v>7436</v>
      </c>
      <c r="IZB3" t="s">
        <v>7437</v>
      </c>
      <c r="IZC3" t="s">
        <v>7438</v>
      </c>
      <c r="IZD3" t="s">
        <v>7439</v>
      </c>
      <c r="IZE3" t="s">
        <v>7440</v>
      </c>
      <c r="IZF3" t="s">
        <v>7441</v>
      </c>
      <c r="IZG3" t="s">
        <v>7442</v>
      </c>
      <c r="IZH3" t="s">
        <v>7443</v>
      </c>
      <c r="IZI3" t="s">
        <v>7444</v>
      </c>
      <c r="IZJ3" t="s">
        <v>7445</v>
      </c>
      <c r="IZK3" t="s">
        <v>7446</v>
      </c>
      <c r="IZL3" t="s">
        <v>7447</v>
      </c>
      <c r="IZM3" t="s">
        <v>7448</v>
      </c>
      <c r="IZN3" t="s">
        <v>7449</v>
      </c>
      <c r="IZO3" t="s">
        <v>7450</v>
      </c>
      <c r="IZP3" t="s">
        <v>7451</v>
      </c>
      <c r="IZQ3" t="s">
        <v>7452</v>
      </c>
      <c r="IZR3" t="s">
        <v>7453</v>
      </c>
      <c r="IZS3" t="s">
        <v>7454</v>
      </c>
      <c r="IZT3" t="s">
        <v>7455</v>
      </c>
      <c r="IZU3" t="s">
        <v>7456</v>
      </c>
      <c r="IZV3" t="s">
        <v>7457</v>
      </c>
      <c r="IZW3" t="s">
        <v>7458</v>
      </c>
      <c r="IZX3" t="s">
        <v>7459</v>
      </c>
      <c r="IZY3" t="s">
        <v>7460</v>
      </c>
      <c r="IZZ3" t="s">
        <v>7461</v>
      </c>
      <c r="JAA3" t="s">
        <v>7462</v>
      </c>
      <c r="JAB3" t="s">
        <v>7463</v>
      </c>
      <c r="JAC3" t="s">
        <v>7464</v>
      </c>
      <c r="JAD3" t="s">
        <v>7465</v>
      </c>
      <c r="JAE3" t="s">
        <v>7466</v>
      </c>
      <c r="JAF3" t="s">
        <v>7467</v>
      </c>
      <c r="JAG3" t="s">
        <v>7468</v>
      </c>
      <c r="JAH3" t="s">
        <v>7469</v>
      </c>
      <c r="JAI3" t="s">
        <v>7470</v>
      </c>
      <c r="JAJ3" t="s">
        <v>7471</v>
      </c>
      <c r="JAK3" t="s">
        <v>7472</v>
      </c>
      <c r="JAL3" t="s">
        <v>7473</v>
      </c>
      <c r="JAM3" t="s">
        <v>7474</v>
      </c>
      <c r="JAN3" t="s">
        <v>7475</v>
      </c>
      <c r="JAO3" t="s">
        <v>7476</v>
      </c>
      <c r="JAP3" t="s">
        <v>7477</v>
      </c>
      <c r="JAQ3" t="s">
        <v>7478</v>
      </c>
      <c r="JAR3" t="s">
        <v>7479</v>
      </c>
      <c r="JAS3" t="s">
        <v>7480</v>
      </c>
      <c r="JAT3" t="s">
        <v>7481</v>
      </c>
      <c r="JAU3" t="s">
        <v>7482</v>
      </c>
      <c r="JAV3" t="s">
        <v>7483</v>
      </c>
      <c r="JAW3" t="s">
        <v>7484</v>
      </c>
      <c r="JAX3" t="s">
        <v>7485</v>
      </c>
      <c r="JAY3" t="s">
        <v>7486</v>
      </c>
      <c r="JAZ3" t="s">
        <v>7487</v>
      </c>
      <c r="JBA3" t="s">
        <v>7488</v>
      </c>
      <c r="JBB3" t="s">
        <v>7489</v>
      </c>
      <c r="JBC3" t="s">
        <v>7490</v>
      </c>
      <c r="JBD3" t="s">
        <v>7491</v>
      </c>
      <c r="JBE3" t="s">
        <v>7492</v>
      </c>
      <c r="JBF3" t="s">
        <v>7493</v>
      </c>
      <c r="JBG3" t="s">
        <v>7494</v>
      </c>
      <c r="JBH3" t="s">
        <v>7495</v>
      </c>
      <c r="JBI3" t="s">
        <v>7496</v>
      </c>
      <c r="JBJ3" t="s">
        <v>7497</v>
      </c>
      <c r="JBK3" t="s">
        <v>7498</v>
      </c>
      <c r="JBL3" t="s">
        <v>7499</v>
      </c>
      <c r="JBM3" t="s">
        <v>7500</v>
      </c>
      <c r="JBN3" t="s">
        <v>7501</v>
      </c>
      <c r="JBO3" t="s">
        <v>7502</v>
      </c>
      <c r="JBP3" t="s">
        <v>7503</v>
      </c>
      <c r="JBQ3" t="s">
        <v>7504</v>
      </c>
      <c r="JBR3" t="s">
        <v>7505</v>
      </c>
      <c r="JBS3" t="s">
        <v>7506</v>
      </c>
      <c r="JBT3" t="s">
        <v>7507</v>
      </c>
      <c r="JBU3" t="s">
        <v>7508</v>
      </c>
      <c r="JBV3" t="s">
        <v>7509</v>
      </c>
      <c r="JBW3" t="s">
        <v>7510</v>
      </c>
      <c r="JBX3" t="s">
        <v>7511</v>
      </c>
      <c r="JBY3" t="s">
        <v>7512</v>
      </c>
      <c r="JBZ3" t="s">
        <v>7513</v>
      </c>
      <c r="JCA3" t="s">
        <v>7514</v>
      </c>
      <c r="JCB3" t="s">
        <v>7515</v>
      </c>
      <c r="JCC3" t="s">
        <v>7516</v>
      </c>
      <c r="JCD3" t="s">
        <v>7517</v>
      </c>
      <c r="JCE3" t="s">
        <v>7518</v>
      </c>
      <c r="JCF3" t="s">
        <v>7519</v>
      </c>
      <c r="JCG3" t="s">
        <v>7520</v>
      </c>
      <c r="JCH3" t="s">
        <v>7521</v>
      </c>
      <c r="JCI3" t="s">
        <v>7522</v>
      </c>
      <c r="JCJ3" t="s">
        <v>7523</v>
      </c>
      <c r="JCK3" t="s">
        <v>7524</v>
      </c>
      <c r="JCL3" t="s">
        <v>7525</v>
      </c>
      <c r="JCM3" t="s">
        <v>7526</v>
      </c>
      <c r="JCN3" t="s">
        <v>7527</v>
      </c>
      <c r="JCO3" t="s">
        <v>7528</v>
      </c>
      <c r="JCP3" t="s">
        <v>7529</v>
      </c>
      <c r="JCQ3" t="s">
        <v>7530</v>
      </c>
      <c r="JCR3" t="s">
        <v>7531</v>
      </c>
      <c r="JCS3" t="s">
        <v>7532</v>
      </c>
      <c r="JCT3" t="s">
        <v>7533</v>
      </c>
      <c r="JCU3" t="s">
        <v>7534</v>
      </c>
      <c r="JCV3" t="s">
        <v>7535</v>
      </c>
      <c r="JCW3" t="s">
        <v>7536</v>
      </c>
      <c r="JCX3" t="s">
        <v>7537</v>
      </c>
      <c r="JCY3" t="s">
        <v>7538</v>
      </c>
      <c r="JCZ3" t="s">
        <v>7539</v>
      </c>
      <c r="JDA3" t="s">
        <v>7540</v>
      </c>
      <c r="JDB3" t="s">
        <v>7541</v>
      </c>
      <c r="JDC3" t="s">
        <v>7542</v>
      </c>
      <c r="JDD3" t="s">
        <v>7543</v>
      </c>
      <c r="JDE3" t="s">
        <v>7544</v>
      </c>
      <c r="JDF3" t="s">
        <v>7545</v>
      </c>
      <c r="JDG3" t="s">
        <v>7546</v>
      </c>
      <c r="JDH3" t="s">
        <v>7547</v>
      </c>
      <c r="JDI3" t="s">
        <v>7548</v>
      </c>
      <c r="JDJ3" t="s">
        <v>7549</v>
      </c>
      <c r="JDK3" t="s">
        <v>7550</v>
      </c>
      <c r="JDL3" t="s">
        <v>7551</v>
      </c>
      <c r="JDM3" t="s">
        <v>7552</v>
      </c>
      <c r="JDN3" t="s">
        <v>7553</v>
      </c>
      <c r="JDO3" t="s">
        <v>7554</v>
      </c>
      <c r="JDP3" t="s">
        <v>7555</v>
      </c>
      <c r="JDQ3" t="s">
        <v>7556</v>
      </c>
      <c r="JDR3" t="s">
        <v>7557</v>
      </c>
      <c r="JDS3" t="s">
        <v>7558</v>
      </c>
      <c r="JDT3" t="s">
        <v>7559</v>
      </c>
      <c r="JDU3" t="s">
        <v>7560</v>
      </c>
      <c r="JDV3" t="s">
        <v>7561</v>
      </c>
      <c r="JDW3" t="s">
        <v>7562</v>
      </c>
      <c r="JDX3" t="s">
        <v>7563</v>
      </c>
      <c r="JDY3" t="s">
        <v>7564</v>
      </c>
      <c r="JDZ3" t="s">
        <v>7565</v>
      </c>
      <c r="JEA3" t="s">
        <v>7566</v>
      </c>
      <c r="JEB3" t="s">
        <v>7567</v>
      </c>
      <c r="JEC3" t="s">
        <v>7568</v>
      </c>
      <c r="JED3" t="s">
        <v>7569</v>
      </c>
      <c r="JEE3" t="s">
        <v>7570</v>
      </c>
      <c r="JEF3" t="s">
        <v>7571</v>
      </c>
      <c r="JEG3" t="s">
        <v>7572</v>
      </c>
      <c r="JEH3" t="s">
        <v>7573</v>
      </c>
      <c r="JEI3" t="s">
        <v>7574</v>
      </c>
      <c r="JEJ3" t="s">
        <v>7575</v>
      </c>
      <c r="JEK3" t="s">
        <v>7576</v>
      </c>
      <c r="JEL3" t="s">
        <v>7577</v>
      </c>
      <c r="JEM3" t="s">
        <v>7578</v>
      </c>
      <c r="JEN3" t="s">
        <v>7579</v>
      </c>
      <c r="JEO3" t="s">
        <v>7580</v>
      </c>
      <c r="JEP3" t="s">
        <v>7581</v>
      </c>
      <c r="JEQ3" t="s">
        <v>7582</v>
      </c>
      <c r="JER3" t="s">
        <v>7583</v>
      </c>
      <c r="JES3" t="s">
        <v>7584</v>
      </c>
      <c r="JET3" t="s">
        <v>7585</v>
      </c>
      <c r="JEU3" t="s">
        <v>7586</v>
      </c>
      <c r="JEV3" t="s">
        <v>7587</v>
      </c>
      <c r="JEW3" t="s">
        <v>7588</v>
      </c>
      <c r="JEX3" t="s">
        <v>7589</v>
      </c>
      <c r="JEY3" t="s">
        <v>7590</v>
      </c>
      <c r="JEZ3" t="s">
        <v>7591</v>
      </c>
      <c r="JFA3" t="s">
        <v>7592</v>
      </c>
      <c r="JFB3" t="s">
        <v>7593</v>
      </c>
      <c r="JFC3" t="s">
        <v>7594</v>
      </c>
      <c r="JFD3" t="s">
        <v>7595</v>
      </c>
      <c r="JFE3" t="s">
        <v>7596</v>
      </c>
      <c r="JFF3" t="s">
        <v>7597</v>
      </c>
      <c r="JFG3" t="s">
        <v>7598</v>
      </c>
      <c r="JFH3" t="s">
        <v>7599</v>
      </c>
      <c r="JFI3" t="s">
        <v>7600</v>
      </c>
      <c r="JFJ3" t="s">
        <v>7601</v>
      </c>
      <c r="JFK3" t="s">
        <v>7602</v>
      </c>
      <c r="JFL3" t="s">
        <v>7603</v>
      </c>
      <c r="JFM3" t="s">
        <v>7604</v>
      </c>
      <c r="JFN3" t="s">
        <v>7605</v>
      </c>
      <c r="JFO3" t="s">
        <v>7606</v>
      </c>
      <c r="JFP3" t="s">
        <v>7607</v>
      </c>
      <c r="JFQ3" t="s">
        <v>7608</v>
      </c>
      <c r="JFR3" t="s">
        <v>7609</v>
      </c>
      <c r="JFS3" t="s">
        <v>7610</v>
      </c>
      <c r="JFT3" t="s">
        <v>7611</v>
      </c>
      <c r="JFU3" t="s">
        <v>7612</v>
      </c>
      <c r="JFV3" t="s">
        <v>7613</v>
      </c>
      <c r="JFW3" t="s">
        <v>7614</v>
      </c>
      <c r="JFX3" t="s">
        <v>7615</v>
      </c>
      <c r="JFY3" t="s">
        <v>7616</v>
      </c>
      <c r="JFZ3" t="s">
        <v>7617</v>
      </c>
      <c r="JGA3" t="s">
        <v>7618</v>
      </c>
      <c r="JGB3" t="s">
        <v>7619</v>
      </c>
      <c r="JGC3" t="s">
        <v>7620</v>
      </c>
      <c r="JGD3" t="s">
        <v>7621</v>
      </c>
      <c r="JGE3" t="s">
        <v>7622</v>
      </c>
      <c r="JGF3" t="s">
        <v>7623</v>
      </c>
      <c r="JGG3" t="s">
        <v>7624</v>
      </c>
      <c r="JGH3" t="s">
        <v>7625</v>
      </c>
      <c r="JGI3" t="s">
        <v>7626</v>
      </c>
      <c r="JGJ3" t="s">
        <v>7627</v>
      </c>
      <c r="JGK3" t="s">
        <v>7628</v>
      </c>
      <c r="JGL3" t="s">
        <v>7629</v>
      </c>
      <c r="JGM3" t="s">
        <v>7630</v>
      </c>
      <c r="JGN3" t="s">
        <v>7631</v>
      </c>
      <c r="JGO3" t="s">
        <v>7632</v>
      </c>
      <c r="JGP3" t="s">
        <v>7633</v>
      </c>
      <c r="JGQ3" t="s">
        <v>7634</v>
      </c>
      <c r="JGR3" t="s">
        <v>7635</v>
      </c>
      <c r="JGS3" t="s">
        <v>7636</v>
      </c>
      <c r="JGT3" t="s">
        <v>7637</v>
      </c>
      <c r="JGU3" t="s">
        <v>7638</v>
      </c>
      <c r="JGV3" t="s">
        <v>7639</v>
      </c>
      <c r="JGW3" t="s">
        <v>7640</v>
      </c>
      <c r="JGX3" t="s">
        <v>7641</v>
      </c>
      <c r="JGY3" t="s">
        <v>7642</v>
      </c>
      <c r="JGZ3" t="s">
        <v>7643</v>
      </c>
      <c r="JHA3" t="s">
        <v>7644</v>
      </c>
      <c r="JHB3" t="s">
        <v>7645</v>
      </c>
      <c r="JHC3" t="s">
        <v>7646</v>
      </c>
      <c r="JHD3" t="s">
        <v>7647</v>
      </c>
      <c r="JHE3" t="s">
        <v>7648</v>
      </c>
      <c r="JHF3" t="s">
        <v>7649</v>
      </c>
      <c r="JHG3" t="s">
        <v>7650</v>
      </c>
      <c r="JHH3" t="s">
        <v>7651</v>
      </c>
      <c r="JHI3" t="s">
        <v>7652</v>
      </c>
      <c r="JHJ3" t="s">
        <v>7653</v>
      </c>
      <c r="JHK3" t="s">
        <v>7654</v>
      </c>
      <c r="JHL3" t="s">
        <v>7655</v>
      </c>
      <c r="JHM3" t="s">
        <v>7656</v>
      </c>
      <c r="JHN3" t="s">
        <v>7657</v>
      </c>
      <c r="JHO3" t="s">
        <v>7658</v>
      </c>
      <c r="JHP3" t="s">
        <v>7659</v>
      </c>
      <c r="JHQ3" t="s">
        <v>7660</v>
      </c>
      <c r="JHR3" t="s">
        <v>7661</v>
      </c>
      <c r="JHS3" t="s">
        <v>7662</v>
      </c>
      <c r="JHT3" t="s">
        <v>7663</v>
      </c>
      <c r="JHU3" t="s">
        <v>7664</v>
      </c>
      <c r="JHV3" t="s">
        <v>7665</v>
      </c>
      <c r="JHW3" t="s">
        <v>7666</v>
      </c>
      <c r="JHX3" t="s">
        <v>7667</v>
      </c>
      <c r="JHY3" t="s">
        <v>7668</v>
      </c>
      <c r="JHZ3" t="s">
        <v>7669</v>
      </c>
      <c r="JIA3" t="s">
        <v>7670</v>
      </c>
      <c r="JIB3" t="s">
        <v>7671</v>
      </c>
      <c r="JIC3" t="s">
        <v>7672</v>
      </c>
      <c r="JID3" t="s">
        <v>7673</v>
      </c>
      <c r="JIE3" t="s">
        <v>7674</v>
      </c>
      <c r="JIF3" t="s">
        <v>7675</v>
      </c>
      <c r="JIG3" t="s">
        <v>7676</v>
      </c>
      <c r="JIH3" t="s">
        <v>7677</v>
      </c>
      <c r="JII3" t="s">
        <v>7678</v>
      </c>
      <c r="JIJ3" t="s">
        <v>7679</v>
      </c>
      <c r="JIK3" t="s">
        <v>7680</v>
      </c>
      <c r="JIL3" t="s">
        <v>7681</v>
      </c>
      <c r="JIM3" t="s">
        <v>7682</v>
      </c>
      <c r="JIN3" t="s">
        <v>7683</v>
      </c>
      <c r="JIO3" t="s">
        <v>7684</v>
      </c>
      <c r="JIP3" t="s">
        <v>7685</v>
      </c>
      <c r="JIQ3" t="s">
        <v>7686</v>
      </c>
      <c r="JIR3" t="s">
        <v>7687</v>
      </c>
      <c r="JIS3" t="s">
        <v>7688</v>
      </c>
      <c r="JIT3" t="s">
        <v>7689</v>
      </c>
      <c r="JIU3" t="s">
        <v>7690</v>
      </c>
      <c r="JIV3" t="s">
        <v>7691</v>
      </c>
      <c r="JIW3" t="s">
        <v>7692</v>
      </c>
      <c r="JIX3" t="s">
        <v>7693</v>
      </c>
      <c r="JIY3" t="s">
        <v>7694</v>
      </c>
      <c r="JIZ3" t="s">
        <v>7695</v>
      </c>
      <c r="JJA3" t="s">
        <v>7696</v>
      </c>
      <c r="JJB3" t="s">
        <v>7697</v>
      </c>
      <c r="JJC3" t="s">
        <v>7698</v>
      </c>
      <c r="JJD3" t="s">
        <v>7699</v>
      </c>
      <c r="JJE3" t="s">
        <v>7700</v>
      </c>
      <c r="JJF3" t="s">
        <v>7701</v>
      </c>
      <c r="JJG3" t="s">
        <v>7702</v>
      </c>
      <c r="JJH3" t="s">
        <v>7703</v>
      </c>
      <c r="JJI3" t="s">
        <v>7704</v>
      </c>
      <c r="JJJ3" t="s">
        <v>7705</v>
      </c>
      <c r="JJK3" t="s">
        <v>7706</v>
      </c>
      <c r="JJL3" t="s">
        <v>7707</v>
      </c>
      <c r="JJM3" t="s">
        <v>7708</v>
      </c>
      <c r="JJN3" t="s">
        <v>7709</v>
      </c>
      <c r="JJO3" t="s">
        <v>7710</v>
      </c>
      <c r="JJP3" t="s">
        <v>7711</v>
      </c>
      <c r="JJQ3" t="s">
        <v>7712</v>
      </c>
      <c r="JJR3" t="s">
        <v>7713</v>
      </c>
      <c r="JJS3" t="s">
        <v>7714</v>
      </c>
      <c r="JJT3" t="s">
        <v>7715</v>
      </c>
      <c r="JJU3" t="s">
        <v>7716</v>
      </c>
      <c r="JJV3" t="s">
        <v>7717</v>
      </c>
      <c r="JJW3" t="s">
        <v>7718</v>
      </c>
      <c r="JJX3" t="s">
        <v>7719</v>
      </c>
      <c r="JJY3" t="s">
        <v>7720</v>
      </c>
      <c r="JJZ3" t="s">
        <v>7721</v>
      </c>
      <c r="JKA3" t="s">
        <v>7722</v>
      </c>
      <c r="JKB3" t="s">
        <v>7723</v>
      </c>
      <c r="JKC3" t="s">
        <v>7724</v>
      </c>
      <c r="JKD3" t="s">
        <v>7725</v>
      </c>
      <c r="JKE3" t="s">
        <v>7726</v>
      </c>
      <c r="JKF3" t="s">
        <v>7727</v>
      </c>
      <c r="JKG3" t="s">
        <v>7728</v>
      </c>
      <c r="JKH3" t="s">
        <v>7729</v>
      </c>
      <c r="JKI3" t="s">
        <v>7730</v>
      </c>
      <c r="JKJ3" t="s">
        <v>7731</v>
      </c>
      <c r="JKK3" t="s">
        <v>7732</v>
      </c>
      <c r="JKL3" t="s">
        <v>7733</v>
      </c>
      <c r="JKM3" t="s">
        <v>7734</v>
      </c>
      <c r="JKN3" t="s">
        <v>7735</v>
      </c>
      <c r="JKO3" t="s">
        <v>7736</v>
      </c>
      <c r="JKP3" t="s">
        <v>7737</v>
      </c>
      <c r="JKQ3" t="s">
        <v>7738</v>
      </c>
      <c r="JKR3" t="s">
        <v>7739</v>
      </c>
      <c r="JKS3" t="s">
        <v>7740</v>
      </c>
      <c r="JKT3" t="s">
        <v>7741</v>
      </c>
      <c r="JKU3" t="s">
        <v>7742</v>
      </c>
      <c r="JKV3" t="s">
        <v>7743</v>
      </c>
      <c r="JKW3" t="s">
        <v>7744</v>
      </c>
      <c r="JKX3" t="s">
        <v>7745</v>
      </c>
      <c r="JKY3" t="s">
        <v>7746</v>
      </c>
      <c r="JKZ3" t="s">
        <v>7747</v>
      </c>
      <c r="JLA3" t="s">
        <v>7748</v>
      </c>
      <c r="JLB3" t="s">
        <v>7749</v>
      </c>
      <c r="JLC3" t="s">
        <v>7750</v>
      </c>
      <c r="JLD3" t="s">
        <v>7751</v>
      </c>
      <c r="JLE3" t="s">
        <v>7752</v>
      </c>
      <c r="JLF3" t="s">
        <v>7753</v>
      </c>
      <c r="JLG3" t="s">
        <v>7754</v>
      </c>
      <c r="JLH3" t="s">
        <v>7755</v>
      </c>
      <c r="JLI3" t="s">
        <v>7756</v>
      </c>
      <c r="JLJ3" t="s">
        <v>7757</v>
      </c>
      <c r="JLK3" t="s">
        <v>7758</v>
      </c>
      <c r="JLL3" t="s">
        <v>7759</v>
      </c>
      <c r="JLM3" t="s">
        <v>7760</v>
      </c>
      <c r="JLN3" t="s">
        <v>7761</v>
      </c>
      <c r="JLO3" t="s">
        <v>7762</v>
      </c>
      <c r="JLP3" t="s">
        <v>7763</v>
      </c>
      <c r="JLQ3" t="s">
        <v>7764</v>
      </c>
      <c r="JLR3" t="s">
        <v>7765</v>
      </c>
      <c r="JLS3" t="s">
        <v>7766</v>
      </c>
      <c r="JLT3" t="s">
        <v>7767</v>
      </c>
      <c r="JLU3" t="s">
        <v>7768</v>
      </c>
      <c r="JLV3" t="s">
        <v>7769</v>
      </c>
      <c r="JLW3" t="s">
        <v>7770</v>
      </c>
      <c r="JLX3" t="s">
        <v>7771</v>
      </c>
      <c r="JLY3" t="s">
        <v>7772</v>
      </c>
      <c r="JLZ3" t="s">
        <v>7773</v>
      </c>
      <c r="JMA3" t="s">
        <v>7774</v>
      </c>
      <c r="JMB3" t="s">
        <v>7775</v>
      </c>
      <c r="JMC3" t="s">
        <v>7776</v>
      </c>
      <c r="JMD3" t="s">
        <v>7777</v>
      </c>
      <c r="JME3" t="s">
        <v>7778</v>
      </c>
      <c r="JMF3" t="s">
        <v>7779</v>
      </c>
      <c r="JMG3" t="s">
        <v>7780</v>
      </c>
      <c r="JMH3" t="s">
        <v>7781</v>
      </c>
      <c r="JMI3" t="s">
        <v>7782</v>
      </c>
      <c r="JMJ3" t="s">
        <v>7783</v>
      </c>
      <c r="JMK3" t="s">
        <v>7784</v>
      </c>
      <c r="JML3" t="s">
        <v>7785</v>
      </c>
      <c r="JMM3" t="s">
        <v>7786</v>
      </c>
      <c r="JMN3" t="s">
        <v>7787</v>
      </c>
      <c r="JMO3" t="s">
        <v>7788</v>
      </c>
      <c r="JMP3" t="s">
        <v>7789</v>
      </c>
      <c r="JMQ3" t="s">
        <v>7790</v>
      </c>
      <c r="JMR3" t="s">
        <v>7791</v>
      </c>
      <c r="JMS3" t="s">
        <v>7792</v>
      </c>
      <c r="JMT3" t="s">
        <v>7793</v>
      </c>
      <c r="JMU3" t="s">
        <v>7794</v>
      </c>
      <c r="JMV3" t="s">
        <v>7795</v>
      </c>
      <c r="JMW3" t="s">
        <v>7796</v>
      </c>
      <c r="JMX3" t="s">
        <v>7797</v>
      </c>
      <c r="JMY3" t="s">
        <v>7798</v>
      </c>
      <c r="JMZ3" t="s">
        <v>7799</v>
      </c>
      <c r="JNA3" t="s">
        <v>7800</v>
      </c>
      <c r="JNB3" t="s">
        <v>7801</v>
      </c>
      <c r="JNC3" t="s">
        <v>7802</v>
      </c>
      <c r="JND3" t="s">
        <v>7803</v>
      </c>
      <c r="JNE3" t="s">
        <v>7804</v>
      </c>
      <c r="JNF3" t="s">
        <v>7805</v>
      </c>
      <c r="JNG3" t="s">
        <v>7806</v>
      </c>
      <c r="JNH3" t="s">
        <v>7807</v>
      </c>
      <c r="JNI3" t="s">
        <v>7808</v>
      </c>
      <c r="JNJ3" t="s">
        <v>7809</v>
      </c>
      <c r="JNK3" t="s">
        <v>7810</v>
      </c>
      <c r="JNL3" t="s">
        <v>7811</v>
      </c>
      <c r="JNM3" t="s">
        <v>7812</v>
      </c>
      <c r="JNN3" t="s">
        <v>7813</v>
      </c>
      <c r="JNO3" t="s">
        <v>7814</v>
      </c>
      <c r="JNP3" t="s">
        <v>7815</v>
      </c>
      <c r="JNQ3" t="s">
        <v>7816</v>
      </c>
      <c r="JNR3" t="s">
        <v>7817</v>
      </c>
      <c r="JNS3" t="s">
        <v>7818</v>
      </c>
      <c r="JNT3" t="s">
        <v>7819</v>
      </c>
      <c r="JNU3" t="s">
        <v>7820</v>
      </c>
      <c r="JNV3" t="s">
        <v>7821</v>
      </c>
      <c r="JNW3" t="s">
        <v>7822</v>
      </c>
      <c r="JNX3" t="s">
        <v>7823</v>
      </c>
      <c r="JNY3" t="s">
        <v>7824</v>
      </c>
      <c r="JNZ3" t="s">
        <v>7825</v>
      </c>
      <c r="JOA3" t="s">
        <v>7826</v>
      </c>
      <c r="JOB3" t="s">
        <v>7827</v>
      </c>
      <c r="JOC3" t="s">
        <v>7828</v>
      </c>
      <c r="JOD3" t="s">
        <v>7829</v>
      </c>
      <c r="JOE3" t="s">
        <v>7830</v>
      </c>
      <c r="JOF3" t="s">
        <v>7831</v>
      </c>
      <c r="JOG3" t="s">
        <v>7832</v>
      </c>
      <c r="JOH3" t="s">
        <v>7833</v>
      </c>
      <c r="JOI3" t="s">
        <v>7834</v>
      </c>
      <c r="JOJ3" t="s">
        <v>7835</v>
      </c>
      <c r="JOK3" t="s">
        <v>7836</v>
      </c>
      <c r="JOL3" t="s">
        <v>7837</v>
      </c>
      <c r="JOM3" t="s">
        <v>7838</v>
      </c>
      <c r="JON3" t="s">
        <v>7839</v>
      </c>
      <c r="JOO3" t="s">
        <v>7840</v>
      </c>
      <c r="JOP3" t="s">
        <v>7841</v>
      </c>
      <c r="JOQ3" t="s">
        <v>7842</v>
      </c>
      <c r="JOR3" t="s">
        <v>7843</v>
      </c>
      <c r="JOS3" t="s">
        <v>7844</v>
      </c>
      <c r="JOT3" t="s">
        <v>7845</v>
      </c>
      <c r="JOU3" t="s">
        <v>7846</v>
      </c>
      <c r="JOV3" t="s">
        <v>7847</v>
      </c>
      <c r="JOW3" t="s">
        <v>7848</v>
      </c>
      <c r="JOX3" t="s">
        <v>7849</v>
      </c>
      <c r="JOY3" t="s">
        <v>7850</v>
      </c>
      <c r="JOZ3" t="s">
        <v>7851</v>
      </c>
      <c r="JPA3" t="s">
        <v>7852</v>
      </c>
      <c r="JPB3" t="s">
        <v>7853</v>
      </c>
      <c r="JPC3" t="s">
        <v>7854</v>
      </c>
      <c r="JPD3" t="s">
        <v>7855</v>
      </c>
      <c r="JPE3" t="s">
        <v>7856</v>
      </c>
      <c r="JPF3" t="s">
        <v>7857</v>
      </c>
      <c r="JPG3" t="s">
        <v>7858</v>
      </c>
      <c r="JPH3" t="s">
        <v>7859</v>
      </c>
      <c r="JPI3" t="s">
        <v>7860</v>
      </c>
      <c r="JPJ3" t="s">
        <v>7861</v>
      </c>
      <c r="JPK3" t="s">
        <v>7862</v>
      </c>
      <c r="JPL3" t="s">
        <v>7863</v>
      </c>
      <c r="JPM3" t="s">
        <v>7864</v>
      </c>
      <c r="JPN3" t="s">
        <v>7865</v>
      </c>
      <c r="JPO3" t="s">
        <v>7866</v>
      </c>
      <c r="JPP3" t="s">
        <v>7867</v>
      </c>
      <c r="JPQ3" t="s">
        <v>7868</v>
      </c>
      <c r="JPR3" t="s">
        <v>7869</v>
      </c>
      <c r="JPS3" t="s">
        <v>7870</v>
      </c>
      <c r="JPT3" t="s">
        <v>7871</v>
      </c>
      <c r="JPU3" t="s">
        <v>7872</v>
      </c>
      <c r="JPV3" t="s">
        <v>7873</v>
      </c>
      <c r="JPW3" t="s">
        <v>7874</v>
      </c>
      <c r="JPX3" t="s">
        <v>7875</v>
      </c>
      <c r="JPY3" t="s">
        <v>7876</v>
      </c>
      <c r="JPZ3" t="s">
        <v>7877</v>
      </c>
      <c r="JQA3" t="s">
        <v>7878</v>
      </c>
      <c r="JQB3" t="s">
        <v>7879</v>
      </c>
      <c r="JQC3" t="s">
        <v>7880</v>
      </c>
      <c r="JQD3" t="s">
        <v>7881</v>
      </c>
      <c r="JQE3" t="s">
        <v>7882</v>
      </c>
      <c r="JQF3" t="s">
        <v>7883</v>
      </c>
      <c r="JQG3" t="s">
        <v>7884</v>
      </c>
      <c r="JQH3" t="s">
        <v>7885</v>
      </c>
      <c r="JQI3" t="s">
        <v>7886</v>
      </c>
      <c r="JQJ3" t="s">
        <v>7887</v>
      </c>
      <c r="JQK3" t="s">
        <v>7888</v>
      </c>
      <c r="JQL3" t="s">
        <v>7889</v>
      </c>
      <c r="JQM3" t="s">
        <v>7890</v>
      </c>
      <c r="JQN3" t="s">
        <v>7891</v>
      </c>
      <c r="JQO3" t="s">
        <v>7892</v>
      </c>
      <c r="JQP3" t="s">
        <v>7893</v>
      </c>
      <c r="JQQ3" t="s">
        <v>7894</v>
      </c>
      <c r="JQR3" t="s">
        <v>7895</v>
      </c>
      <c r="JQS3" t="s">
        <v>7896</v>
      </c>
      <c r="JQT3" t="s">
        <v>7897</v>
      </c>
      <c r="JQU3" t="s">
        <v>7898</v>
      </c>
      <c r="JQV3" t="s">
        <v>7899</v>
      </c>
      <c r="JQW3" t="s">
        <v>7900</v>
      </c>
      <c r="JQX3" t="s">
        <v>7901</v>
      </c>
      <c r="JQY3" t="s">
        <v>7902</v>
      </c>
      <c r="JQZ3" t="s">
        <v>7903</v>
      </c>
      <c r="JRA3" t="s">
        <v>7904</v>
      </c>
      <c r="JRB3" t="s">
        <v>7905</v>
      </c>
      <c r="JRC3" t="s">
        <v>7906</v>
      </c>
      <c r="JRD3" t="s">
        <v>7907</v>
      </c>
      <c r="JRE3" t="s">
        <v>7908</v>
      </c>
      <c r="JRF3" t="s">
        <v>7909</v>
      </c>
      <c r="JRG3" t="s">
        <v>7910</v>
      </c>
      <c r="JRH3" t="s">
        <v>7911</v>
      </c>
      <c r="JRI3" t="s">
        <v>7912</v>
      </c>
      <c r="JRJ3" t="s">
        <v>7913</v>
      </c>
      <c r="JRK3" t="s">
        <v>7914</v>
      </c>
      <c r="JRL3" t="s">
        <v>7915</v>
      </c>
      <c r="JRM3" t="s">
        <v>7916</v>
      </c>
      <c r="JRN3" t="s">
        <v>7917</v>
      </c>
      <c r="JRO3" t="s">
        <v>7918</v>
      </c>
      <c r="JRP3" t="s">
        <v>7919</v>
      </c>
      <c r="JRQ3" t="s">
        <v>7920</v>
      </c>
      <c r="JRR3" t="s">
        <v>7921</v>
      </c>
      <c r="JRS3" t="s">
        <v>7922</v>
      </c>
      <c r="JRT3" t="s">
        <v>7923</v>
      </c>
      <c r="JRU3" t="s">
        <v>7924</v>
      </c>
      <c r="JRV3" t="s">
        <v>7925</v>
      </c>
      <c r="JRW3" t="s">
        <v>7926</v>
      </c>
      <c r="JRX3" t="s">
        <v>7927</v>
      </c>
      <c r="JRY3" t="s">
        <v>7928</v>
      </c>
      <c r="JRZ3" t="s">
        <v>7929</v>
      </c>
      <c r="JSA3" t="s">
        <v>7930</v>
      </c>
      <c r="JSB3" t="s">
        <v>7931</v>
      </c>
      <c r="JSC3" t="s">
        <v>7932</v>
      </c>
      <c r="JSD3" t="s">
        <v>7933</v>
      </c>
      <c r="JSE3" t="s">
        <v>7934</v>
      </c>
      <c r="JSF3" t="s">
        <v>7935</v>
      </c>
      <c r="JSG3" t="s">
        <v>7936</v>
      </c>
      <c r="JSH3" t="s">
        <v>7937</v>
      </c>
      <c r="JSI3" t="s">
        <v>7938</v>
      </c>
      <c r="JSJ3" t="s">
        <v>7939</v>
      </c>
      <c r="JSK3" t="s">
        <v>7940</v>
      </c>
      <c r="JSL3" t="s">
        <v>7941</v>
      </c>
      <c r="JSM3" t="s">
        <v>7942</v>
      </c>
      <c r="JSN3" t="s">
        <v>7943</v>
      </c>
      <c r="JSO3" t="s">
        <v>7944</v>
      </c>
      <c r="JSP3" t="s">
        <v>7945</v>
      </c>
      <c r="JSQ3" t="s">
        <v>7946</v>
      </c>
      <c r="JSR3" t="s">
        <v>7947</v>
      </c>
      <c r="JSS3" t="s">
        <v>7948</v>
      </c>
      <c r="JST3" t="s">
        <v>7949</v>
      </c>
      <c r="JSU3" t="s">
        <v>7950</v>
      </c>
      <c r="JSV3" t="s">
        <v>7951</v>
      </c>
      <c r="JSW3" t="s">
        <v>7952</v>
      </c>
      <c r="JSX3" t="s">
        <v>7953</v>
      </c>
      <c r="JSY3" t="s">
        <v>7954</v>
      </c>
      <c r="JSZ3" t="s">
        <v>7955</v>
      </c>
      <c r="JTA3" t="s">
        <v>7956</v>
      </c>
      <c r="JTB3" t="s">
        <v>7957</v>
      </c>
      <c r="JTC3" t="s">
        <v>7958</v>
      </c>
      <c r="JTD3" t="s">
        <v>7959</v>
      </c>
      <c r="JTE3" t="s">
        <v>7960</v>
      </c>
      <c r="JTF3" t="s">
        <v>7961</v>
      </c>
      <c r="JTG3" t="s">
        <v>7962</v>
      </c>
      <c r="JTH3" t="s">
        <v>7963</v>
      </c>
      <c r="JTI3" t="s">
        <v>7964</v>
      </c>
      <c r="JTJ3" t="s">
        <v>7965</v>
      </c>
      <c r="JTK3" t="s">
        <v>7966</v>
      </c>
      <c r="JTL3" t="s">
        <v>7967</v>
      </c>
      <c r="JTM3" t="s">
        <v>7968</v>
      </c>
      <c r="JTN3" t="s">
        <v>7969</v>
      </c>
      <c r="JTO3" t="s">
        <v>7970</v>
      </c>
      <c r="JTP3" t="s">
        <v>7971</v>
      </c>
      <c r="JTQ3" t="s">
        <v>7972</v>
      </c>
      <c r="JTR3" t="s">
        <v>7973</v>
      </c>
      <c r="JTS3" t="s">
        <v>7974</v>
      </c>
      <c r="JTT3" t="s">
        <v>7975</v>
      </c>
      <c r="JTU3" t="s">
        <v>7976</v>
      </c>
      <c r="JTV3" t="s">
        <v>7977</v>
      </c>
      <c r="JTW3" t="s">
        <v>7978</v>
      </c>
      <c r="JTX3" t="s">
        <v>7979</v>
      </c>
      <c r="JTY3" t="s">
        <v>7980</v>
      </c>
      <c r="JTZ3" t="s">
        <v>7981</v>
      </c>
      <c r="JUA3" t="s">
        <v>7982</v>
      </c>
      <c r="JUB3" t="s">
        <v>7983</v>
      </c>
      <c r="JUC3" t="s">
        <v>7984</v>
      </c>
      <c r="JUD3" t="s">
        <v>7985</v>
      </c>
      <c r="JUE3" t="s">
        <v>7986</v>
      </c>
      <c r="JUF3" t="s">
        <v>7987</v>
      </c>
      <c r="JUG3" t="s">
        <v>7988</v>
      </c>
      <c r="JUH3" t="s">
        <v>7989</v>
      </c>
      <c r="JUI3" t="s">
        <v>7990</v>
      </c>
      <c r="JUJ3" t="s">
        <v>7991</v>
      </c>
      <c r="JUK3" t="s">
        <v>7992</v>
      </c>
      <c r="JUL3" t="s">
        <v>7993</v>
      </c>
      <c r="JUM3" t="s">
        <v>7994</v>
      </c>
      <c r="JUN3" t="s">
        <v>7995</v>
      </c>
      <c r="JUO3" t="s">
        <v>7996</v>
      </c>
      <c r="JUP3" t="s">
        <v>7997</v>
      </c>
      <c r="JUQ3" t="s">
        <v>7998</v>
      </c>
      <c r="JUR3" t="s">
        <v>7999</v>
      </c>
      <c r="JUS3" t="s">
        <v>8000</v>
      </c>
      <c r="JUT3" t="s">
        <v>8001</v>
      </c>
      <c r="JUU3" t="s">
        <v>8002</v>
      </c>
      <c r="JUV3" t="s">
        <v>8003</v>
      </c>
      <c r="JUW3" t="s">
        <v>8004</v>
      </c>
      <c r="JUX3" t="s">
        <v>8005</v>
      </c>
      <c r="JUY3" t="s">
        <v>8006</v>
      </c>
      <c r="JUZ3" t="s">
        <v>8007</v>
      </c>
      <c r="JVA3" t="s">
        <v>8008</v>
      </c>
      <c r="JVB3" t="s">
        <v>8009</v>
      </c>
      <c r="JVC3" t="s">
        <v>8010</v>
      </c>
      <c r="JVD3" t="s">
        <v>8011</v>
      </c>
      <c r="JVE3" t="s">
        <v>8012</v>
      </c>
      <c r="JVF3" t="s">
        <v>8013</v>
      </c>
      <c r="JVG3" t="s">
        <v>8014</v>
      </c>
      <c r="JVH3" t="s">
        <v>8015</v>
      </c>
      <c r="JVI3" t="s">
        <v>8016</v>
      </c>
      <c r="JVJ3" t="s">
        <v>8017</v>
      </c>
      <c r="JVK3" t="s">
        <v>8018</v>
      </c>
      <c r="JVL3" t="s">
        <v>8019</v>
      </c>
      <c r="JVM3" t="s">
        <v>8020</v>
      </c>
      <c r="JVN3" t="s">
        <v>8021</v>
      </c>
      <c r="JVO3" t="s">
        <v>8022</v>
      </c>
      <c r="JVP3" t="s">
        <v>8023</v>
      </c>
      <c r="JVQ3" t="s">
        <v>8024</v>
      </c>
      <c r="JVR3" t="s">
        <v>8025</v>
      </c>
      <c r="JVS3" t="s">
        <v>8026</v>
      </c>
      <c r="JVT3" t="s">
        <v>8027</v>
      </c>
      <c r="JVU3" t="s">
        <v>8028</v>
      </c>
      <c r="JVV3" t="s">
        <v>8029</v>
      </c>
      <c r="JVW3" t="s">
        <v>8030</v>
      </c>
      <c r="JVX3" t="s">
        <v>8031</v>
      </c>
      <c r="JVY3" t="s">
        <v>8032</v>
      </c>
      <c r="JVZ3" t="s">
        <v>8033</v>
      </c>
      <c r="JWA3" t="s">
        <v>8034</v>
      </c>
      <c r="JWB3" t="s">
        <v>8035</v>
      </c>
      <c r="JWC3" t="s">
        <v>8036</v>
      </c>
      <c r="JWD3" t="s">
        <v>8037</v>
      </c>
      <c r="JWE3" t="s">
        <v>8038</v>
      </c>
      <c r="JWF3" t="s">
        <v>8039</v>
      </c>
      <c r="JWG3" t="s">
        <v>8040</v>
      </c>
      <c r="JWH3" t="s">
        <v>8041</v>
      </c>
      <c r="JWI3" t="s">
        <v>8042</v>
      </c>
      <c r="JWJ3" t="s">
        <v>8043</v>
      </c>
      <c r="JWK3" t="s">
        <v>8044</v>
      </c>
      <c r="JWL3" t="s">
        <v>8045</v>
      </c>
      <c r="JWM3" t="s">
        <v>8046</v>
      </c>
      <c r="JWN3" t="s">
        <v>8047</v>
      </c>
      <c r="JWO3" t="s">
        <v>8048</v>
      </c>
      <c r="JWP3" t="s">
        <v>8049</v>
      </c>
      <c r="JWQ3" t="s">
        <v>8050</v>
      </c>
      <c r="JWR3" t="s">
        <v>8051</v>
      </c>
      <c r="JWS3" t="s">
        <v>8052</v>
      </c>
      <c r="JWT3" t="s">
        <v>8053</v>
      </c>
      <c r="JWU3" t="s">
        <v>8054</v>
      </c>
      <c r="JWV3" t="s">
        <v>8055</v>
      </c>
      <c r="JWW3" t="s">
        <v>8056</v>
      </c>
      <c r="JWX3" t="s">
        <v>8057</v>
      </c>
      <c r="JWY3" t="s">
        <v>8058</v>
      </c>
      <c r="JWZ3" t="s">
        <v>8059</v>
      </c>
      <c r="JXA3" t="s">
        <v>8060</v>
      </c>
      <c r="JXB3" t="s">
        <v>8061</v>
      </c>
      <c r="JXC3" t="s">
        <v>8062</v>
      </c>
      <c r="JXD3" t="s">
        <v>8063</v>
      </c>
      <c r="JXE3" t="s">
        <v>8064</v>
      </c>
      <c r="JXF3" t="s">
        <v>8065</v>
      </c>
      <c r="JXG3" t="s">
        <v>8066</v>
      </c>
      <c r="JXH3" t="s">
        <v>8067</v>
      </c>
      <c r="JXI3" t="s">
        <v>8068</v>
      </c>
      <c r="JXJ3" t="s">
        <v>8069</v>
      </c>
      <c r="JXK3" t="s">
        <v>8070</v>
      </c>
      <c r="JXL3" t="s">
        <v>8071</v>
      </c>
      <c r="JXM3" t="s">
        <v>8072</v>
      </c>
      <c r="JXN3" t="s">
        <v>8073</v>
      </c>
      <c r="JXO3" t="s">
        <v>8074</v>
      </c>
      <c r="JXP3" t="s">
        <v>8075</v>
      </c>
      <c r="JXQ3" t="s">
        <v>8076</v>
      </c>
      <c r="JXR3" t="s">
        <v>8077</v>
      </c>
      <c r="JXS3" t="s">
        <v>8078</v>
      </c>
      <c r="JXT3" t="s">
        <v>8079</v>
      </c>
      <c r="JXU3" t="s">
        <v>8080</v>
      </c>
      <c r="JXV3" t="s">
        <v>8081</v>
      </c>
      <c r="JXW3" t="s">
        <v>8082</v>
      </c>
      <c r="JXX3" t="s">
        <v>8083</v>
      </c>
      <c r="JXY3" t="s">
        <v>8084</v>
      </c>
      <c r="JXZ3" t="s">
        <v>8085</v>
      </c>
      <c r="JYA3" t="s">
        <v>8086</v>
      </c>
      <c r="JYB3" t="s">
        <v>8087</v>
      </c>
      <c r="JYC3" t="s">
        <v>8088</v>
      </c>
      <c r="JYD3" t="s">
        <v>8089</v>
      </c>
      <c r="JYE3" t="s">
        <v>8090</v>
      </c>
      <c r="JYF3" t="s">
        <v>8091</v>
      </c>
      <c r="JYG3" t="s">
        <v>8092</v>
      </c>
      <c r="JYH3" t="s">
        <v>8093</v>
      </c>
      <c r="JYI3" t="s">
        <v>8094</v>
      </c>
      <c r="JYJ3" t="s">
        <v>8095</v>
      </c>
      <c r="JYK3" t="s">
        <v>8096</v>
      </c>
      <c r="JYL3" t="s">
        <v>8097</v>
      </c>
      <c r="JYM3" t="s">
        <v>8098</v>
      </c>
      <c r="JYN3" t="s">
        <v>8099</v>
      </c>
      <c r="JYO3" t="s">
        <v>8100</v>
      </c>
      <c r="JYP3" t="s">
        <v>8101</v>
      </c>
      <c r="JYQ3" t="s">
        <v>8102</v>
      </c>
      <c r="JYR3" t="s">
        <v>8103</v>
      </c>
      <c r="JYS3" t="s">
        <v>8104</v>
      </c>
      <c r="JYT3" t="s">
        <v>8105</v>
      </c>
      <c r="JYU3" t="s">
        <v>8106</v>
      </c>
      <c r="JYV3" t="s">
        <v>8107</v>
      </c>
      <c r="JYW3" t="s">
        <v>8108</v>
      </c>
      <c r="JYX3" t="s">
        <v>8109</v>
      </c>
      <c r="JYY3" t="s">
        <v>8110</v>
      </c>
      <c r="JYZ3" t="s">
        <v>8111</v>
      </c>
      <c r="JZA3" t="s">
        <v>8112</v>
      </c>
      <c r="JZB3" t="s">
        <v>8113</v>
      </c>
      <c r="JZC3" t="s">
        <v>8114</v>
      </c>
      <c r="JZD3" t="s">
        <v>8115</v>
      </c>
      <c r="JZE3" t="s">
        <v>8116</v>
      </c>
      <c r="JZF3" t="s">
        <v>8117</v>
      </c>
      <c r="JZG3" t="s">
        <v>8118</v>
      </c>
      <c r="JZH3" t="s">
        <v>8119</v>
      </c>
      <c r="JZI3" t="s">
        <v>8120</v>
      </c>
      <c r="JZJ3" t="s">
        <v>8121</v>
      </c>
      <c r="JZK3" t="s">
        <v>8122</v>
      </c>
      <c r="JZL3" t="s">
        <v>8123</v>
      </c>
      <c r="JZM3" t="s">
        <v>8124</v>
      </c>
      <c r="JZN3" t="s">
        <v>8125</v>
      </c>
      <c r="JZO3" t="s">
        <v>8126</v>
      </c>
      <c r="JZP3" t="s">
        <v>8127</v>
      </c>
      <c r="JZQ3" t="s">
        <v>8128</v>
      </c>
      <c r="JZR3" t="s">
        <v>8129</v>
      </c>
      <c r="JZS3" t="s">
        <v>8130</v>
      </c>
      <c r="JZT3" t="s">
        <v>8131</v>
      </c>
      <c r="JZU3" t="s">
        <v>8132</v>
      </c>
      <c r="JZV3" t="s">
        <v>8133</v>
      </c>
      <c r="JZW3" t="s">
        <v>8134</v>
      </c>
      <c r="JZX3" t="s">
        <v>8135</v>
      </c>
      <c r="JZY3" t="s">
        <v>8136</v>
      </c>
      <c r="JZZ3" t="s">
        <v>8137</v>
      </c>
      <c r="KAA3" t="s">
        <v>8138</v>
      </c>
      <c r="KAB3" t="s">
        <v>8139</v>
      </c>
      <c r="KAC3" t="s">
        <v>8140</v>
      </c>
      <c r="KAD3" t="s">
        <v>8141</v>
      </c>
      <c r="KAE3" t="s">
        <v>8142</v>
      </c>
      <c r="KAF3" t="s">
        <v>8143</v>
      </c>
      <c r="KAG3" t="s">
        <v>8144</v>
      </c>
      <c r="KAH3" t="s">
        <v>8145</v>
      </c>
      <c r="KAI3" t="s">
        <v>8146</v>
      </c>
      <c r="KAJ3" t="s">
        <v>8147</v>
      </c>
      <c r="KAK3" t="s">
        <v>8148</v>
      </c>
      <c r="KAL3" t="s">
        <v>8149</v>
      </c>
      <c r="KAM3" t="s">
        <v>8150</v>
      </c>
      <c r="KAN3" t="s">
        <v>8151</v>
      </c>
      <c r="KAO3" t="s">
        <v>8152</v>
      </c>
      <c r="KAP3" t="s">
        <v>8153</v>
      </c>
      <c r="KAQ3" t="s">
        <v>8154</v>
      </c>
      <c r="KAR3" t="s">
        <v>8155</v>
      </c>
      <c r="KAS3" t="s">
        <v>8156</v>
      </c>
      <c r="KAT3" t="s">
        <v>8157</v>
      </c>
      <c r="KAU3" t="s">
        <v>8158</v>
      </c>
      <c r="KAV3" t="s">
        <v>8159</v>
      </c>
      <c r="KAW3" t="s">
        <v>8160</v>
      </c>
      <c r="KAX3" t="s">
        <v>8161</v>
      </c>
      <c r="KAY3" t="s">
        <v>8162</v>
      </c>
      <c r="KAZ3" t="s">
        <v>8163</v>
      </c>
      <c r="KBA3" t="s">
        <v>8164</v>
      </c>
      <c r="KBB3" t="s">
        <v>8165</v>
      </c>
      <c r="KBC3" t="s">
        <v>8166</v>
      </c>
      <c r="KBD3" t="s">
        <v>8167</v>
      </c>
      <c r="KBE3" t="s">
        <v>8168</v>
      </c>
      <c r="KBF3" t="s">
        <v>8169</v>
      </c>
      <c r="KBG3" t="s">
        <v>8170</v>
      </c>
      <c r="KBH3" t="s">
        <v>8171</v>
      </c>
      <c r="KBI3" t="s">
        <v>8172</v>
      </c>
      <c r="KBJ3" t="s">
        <v>8173</v>
      </c>
      <c r="KBK3" t="s">
        <v>8174</v>
      </c>
      <c r="KBL3" t="s">
        <v>8175</v>
      </c>
      <c r="KBM3" t="s">
        <v>8176</v>
      </c>
      <c r="KBN3" t="s">
        <v>8177</v>
      </c>
      <c r="KBO3" t="s">
        <v>8178</v>
      </c>
      <c r="KBP3" t="s">
        <v>8179</v>
      </c>
      <c r="KBQ3" t="s">
        <v>8180</v>
      </c>
      <c r="KBR3" t="s">
        <v>8181</v>
      </c>
      <c r="KBS3" t="s">
        <v>8182</v>
      </c>
      <c r="KBT3" t="s">
        <v>8183</v>
      </c>
      <c r="KBU3" t="s">
        <v>8184</v>
      </c>
      <c r="KBV3" t="s">
        <v>8185</v>
      </c>
      <c r="KBW3" t="s">
        <v>8186</v>
      </c>
      <c r="KBX3" t="s">
        <v>8187</v>
      </c>
      <c r="KBY3" t="s">
        <v>8188</v>
      </c>
      <c r="KBZ3" t="s">
        <v>8189</v>
      </c>
      <c r="KCA3" t="s">
        <v>8190</v>
      </c>
      <c r="KCB3" t="s">
        <v>8191</v>
      </c>
      <c r="KCC3" t="s">
        <v>8192</v>
      </c>
      <c r="KCD3" t="s">
        <v>8193</v>
      </c>
      <c r="KCE3" t="s">
        <v>8194</v>
      </c>
      <c r="KCF3" t="s">
        <v>8195</v>
      </c>
      <c r="KCG3" t="s">
        <v>8196</v>
      </c>
      <c r="KCH3" t="s">
        <v>8197</v>
      </c>
      <c r="KCI3" t="s">
        <v>8198</v>
      </c>
      <c r="KCJ3" t="s">
        <v>8199</v>
      </c>
      <c r="KCK3" t="s">
        <v>8200</v>
      </c>
      <c r="KCL3" t="s">
        <v>8201</v>
      </c>
      <c r="KCM3" t="s">
        <v>8202</v>
      </c>
      <c r="KCN3" t="s">
        <v>8203</v>
      </c>
      <c r="KCO3" t="s">
        <v>8204</v>
      </c>
      <c r="KCP3" t="s">
        <v>8205</v>
      </c>
      <c r="KCQ3" t="s">
        <v>8206</v>
      </c>
      <c r="KCR3" t="s">
        <v>8207</v>
      </c>
      <c r="KCS3" t="s">
        <v>8208</v>
      </c>
      <c r="KCT3" t="s">
        <v>8209</v>
      </c>
      <c r="KCU3" t="s">
        <v>8210</v>
      </c>
      <c r="KCV3" t="s">
        <v>8211</v>
      </c>
      <c r="KCW3" t="s">
        <v>8212</v>
      </c>
      <c r="KCX3" t="s">
        <v>8213</v>
      </c>
      <c r="KCY3" t="s">
        <v>8214</v>
      </c>
      <c r="KCZ3" t="s">
        <v>8215</v>
      </c>
      <c r="KDA3" t="s">
        <v>8216</v>
      </c>
      <c r="KDB3" t="s">
        <v>8217</v>
      </c>
      <c r="KDC3" t="s">
        <v>8218</v>
      </c>
      <c r="KDD3" t="s">
        <v>8219</v>
      </c>
      <c r="KDE3" t="s">
        <v>8220</v>
      </c>
      <c r="KDF3" t="s">
        <v>8221</v>
      </c>
      <c r="KDG3" t="s">
        <v>8222</v>
      </c>
      <c r="KDH3" t="s">
        <v>8223</v>
      </c>
      <c r="KDI3" t="s">
        <v>8224</v>
      </c>
      <c r="KDJ3" t="s">
        <v>8225</v>
      </c>
      <c r="KDK3" t="s">
        <v>8226</v>
      </c>
      <c r="KDL3" t="s">
        <v>8227</v>
      </c>
      <c r="KDM3" t="s">
        <v>8228</v>
      </c>
      <c r="KDN3" t="s">
        <v>8229</v>
      </c>
      <c r="KDO3" t="s">
        <v>8230</v>
      </c>
      <c r="KDP3" t="s">
        <v>8231</v>
      </c>
      <c r="KDQ3" t="s">
        <v>8232</v>
      </c>
      <c r="KDR3" t="s">
        <v>8233</v>
      </c>
      <c r="KDS3" t="s">
        <v>8234</v>
      </c>
      <c r="KDT3" t="s">
        <v>8235</v>
      </c>
      <c r="KDU3" t="s">
        <v>8236</v>
      </c>
      <c r="KDV3" t="s">
        <v>8237</v>
      </c>
      <c r="KDW3" t="s">
        <v>8238</v>
      </c>
      <c r="KDX3" t="s">
        <v>8239</v>
      </c>
      <c r="KDY3" t="s">
        <v>8240</v>
      </c>
      <c r="KDZ3" t="s">
        <v>8241</v>
      </c>
      <c r="KEA3" t="s">
        <v>8242</v>
      </c>
      <c r="KEB3" t="s">
        <v>8243</v>
      </c>
      <c r="KEC3" t="s">
        <v>8244</v>
      </c>
      <c r="KED3" t="s">
        <v>8245</v>
      </c>
      <c r="KEE3" t="s">
        <v>8246</v>
      </c>
      <c r="KEF3" t="s">
        <v>8247</v>
      </c>
      <c r="KEG3" t="s">
        <v>8248</v>
      </c>
      <c r="KEH3" t="s">
        <v>8249</v>
      </c>
      <c r="KEI3" t="s">
        <v>8250</v>
      </c>
      <c r="KEJ3" t="s">
        <v>8251</v>
      </c>
      <c r="KEK3" t="s">
        <v>8252</v>
      </c>
      <c r="KEL3" t="s">
        <v>8253</v>
      </c>
      <c r="KEM3" t="s">
        <v>8254</v>
      </c>
      <c r="KEN3" t="s">
        <v>8255</v>
      </c>
      <c r="KEO3" t="s">
        <v>8256</v>
      </c>
      <c r="KEP3" t="s">
        <v>8257</v>
      </c>
      <c r="KEQ3" t="s">
        <v>8258</v>
      </c>
      <c r="KER3" t="s">
        <v>8259</v>
      </c>
      <c r="KES3" t="s">
        <v>8260</v>
      </c>
      <c r="KET3" t="s">
        <v>8261</v>
      </c>
      <c r="KEU3" t="s">
        <v>8262</v>
      </c>
      <c r="KEV3" t="s">
        <v>8263</v>
      </c>
      <c r="KEW3" t="s">
        <v>8264</v>
      </c>
      <c r="KEX3" t="s">
        <v>8265</v>
      </c>
      <c r="KEY3" t="s">
        <v>8266</v>
      </c>
      <c r="KEZ3" t="s">
        <v>8267</v>
      </c>
      <c r="KFA3" t="s">
        <v>8268</v>
      </c>
      <c r="KFB3" t="s">
        <v>8269</v>
      </c>
      <c r="KFC3" t="s">
        <v>8270</v>
      </c>
      <c r="KFD3" t="s">
        <v>8271</v>
      </c>
      <c r="KFE3" t="s">
        <v>8272</v>
      </c>
      <c r="KFF3" t="s">
        <v>8273</v>
      </c>
      <c r="KFG3" t="s">
        <v>8274</v>
      </c>
      <c r="KFH3" t="s">
        <v>8275</v>
      </c>
      <c r="KFI3" t="s">
        <v>8276</v>
      </c>
      <c r="KFJ3" t="s">
        <v>8277</v>
      </c>
      <c r="KFK3" t="s">
        <v>8278</v>
      </c>
      <c r="KFL3" t="s">
        <v>8279</v>
      </c>
      <c r="KFM3" t="s">
        <v>8280</v>
      </c>
      <c r="KFN3" t="s">
        <v>8281</v>
      </c>
      <c r="KFO3" t="s">
        <v>8282</v>
      </c>
      <c r="KFP3" t="s">
        <v>8283</v>
      </c>
      <c r="KFQ3" t="s">
        <v>8284</v>
      </c>
      <c r="KFR3" t="s">
        <v>8285</v>
      </c>
      <c r="KFS3" t="s">
        <v>8286</v>
      </c>
      <c r="KFT3" t="s">
        <v>8287</v>
      </c>
      <c r="KFU3" t="s">
        <v>8288</v>
      </c>
      <c r="KFV3" t="s">
        <v>8289</v>
      </c>
      <c r="KFW3" t="s">
        <v>8290</v>
      </c>
      <c r="KFX3" t="s">
        <v>8291</v>
      </c>
      <c r="KFY3" t="s">
        <v>8292</v>
      </c>
      <c r="KFZ3" t="s">
        <v>8293</v>
      </c>
      <c r="KGA3" t="s">
        <v>8294</v>
      </c>
      <c r="KGB3" t="s">
        <v>8295</v>
      </c>
      <c r="KGC3" t="s">
        <v>8296</v>
      </c>
      <c r="KGD3" t="s">
        <v>8297</v>
      </c>
      <c r="KGE3" t="s">
        <v>8298</v>
      </c>
      <c r="KGF3" t="s">
        <v>8299</v>
      </c>
      <c r="KGG3" t="s">
        <v>8300</v>
      </c>
      <c r="KGH3" t="s">
        <v>8301</v>
      </c>
      <c r="KGI3" t="s">
        <v>8302</v>
      </c>
      <c r="KGJ3" t="s">
        <v>8303</v>
      </c>
      <c r="KGK3" t="s">
        <v>8304</v>
      </c>
      <c r="KGL3" t="s">
        <v>8305</v>
      </c>
      <c r="KGM3" t="s">
        <v>8306</v>
      </c>
      <c r="KGN3" t="s">
        <v>8307</v>
      </c>
      <c r="KGO3" t="s">
        <v>8308</v>
      </c>
      <c r="KGP3" t="s">
        <v>8309</v>
      </c>
      <c r="KGQ3" t="s">
        <v>8310</v>
      </c>
      <c r="KGR3" t="s">
        <v>8311</v>
      </c>
      <c r="KGS3" t="s">
        <v>8312</v>
      </c>
      <c r="KGT3" t="s">
        <v>8313</v>
      </c>
      <c r="KGU3" t="s">
        <v>8314</v>
      </c>
      <c r="KGV3" t="s">
        <v>8315</v>
      </c>
      <c r="KGW3" t="s">
        <v>8316</v>
      </c>
      <c r="KGX3" t="s">
        <v>8317</v>
      </c>
      <c r="KGY3" t="s">
        <v>8318</v>
      </c>
      <c r="KGZ3" t="s">
        <v>8319</v>
      </c>
      <c r="KHA3" t="s">
        <v>8320</v>
      </c>
      <c r="KHB3" t="s">
        <v>8321</v>
      </c>
      <c r="KHC3" t="s">
        <v>8322</v>
      </c>
      <c r="KHD3" t="s">
        <v>8323</v>
      </c>
      <c r="KHE3" t="s">
        <v>8324</v>
      </c>
      <c r="KHF3" t="s">
        <v>8325</v>
      </c>
      <c r="KHG3" t="s">
        <v>8326</v>
      </c>
      <c r="KHH3" t="s">
        <v>8327</v>
      </c>
      <c r="KHI3" t="s">
        <v>8328</v>
      </c>
      <c r="KHJ3" t="s">
        <v>8329</v>
      </c>
      <c r="KHK3" t="s">
        <v>8330</v>
      </c>
      <c r="KHL3" t="s">
        <v>8331</v>
      </c>
      <c r="KHM3" t="s">
        <v>8332</v>
      </c>
      <c r="KHN3" t="s">
        <v>8333</v>
      </c>
      <c r="KHO3" t="s">
        <v>8334</v>
      </c>
      <c r="KHP3" t="s">
        <v>8335</v>
      </c>
      <c r="KHQ3" t="s">
        <v>8336</v>
      </c>
      <c r="KHR3" t="s">
        <v>8337</v>
      </c>
      <c r="KHS3" t="s">
        <v>8338</v>
      </c>
      <c r="KHT3" t="s">
        <v>8339</v>
      </c>
      <c r="KHU3" t="s">
        <v>8340</v>
      </c>
      <c r="KHV3" t="s">
        <v>8341</v>
      </c>
      <c r="KHW3" t="s">
        <v>8342</v>
      </c>
      <c r="KHX3" t="s">
        <v>8343</v>
      </c>
      <c r="KHY3" t="s">
        <v>8344</v>
      </c>
      <c r="KHZ3" t="s">
        <v>8345</v>
      </c>
      <c r="KIA3" t="s">
        <v>8346</v>
      </c>
      <c r="KIB3" t="s">
        <v>8347</v>
      </c>
      <c r="KIC3" t="s">
        <v>8348</v>
      </c>
      <c r="KID3" t="s">
        <v>8349</v>
      </c>
      <c r="KIE3" t="s">
        <v>8350</v>
      </c>
      <c r="KIF3" t="s">
        <v>8351</v>
      </c>
      <c r="KIG3" t="s">
        <v>8352</v>
      </c>
      <c r="KIH3" t="s">
        <v>8353</v>
      </c>
      <c r="KII3" t="s">
        <v>8354</v>
      </c>
      <c r="KIJ3" t="s">
        <v>8355</v>
      </c>
      <c r="KIK3" t="s">
        <v>8356</v>
      </c>
      <c r="KIL3" t="s">
        <v>8357</v>
      </c>
      <c r="KIM3" t="s">
        <v>8358</v>
      </c>
      <c r="KIN3" t="s">
        <v>8359</v>
      </c>
      <c r="KIO3" t="s">
        <v>8360</v>
      </c>
      <c r="KIP3" t="s">
        <v>8361</v>
      </c>
      <c r="KIQ3" t="s">
        <v>8362</v>
      </c>
      <c r="KIR3" t="s">
        <v>8363</v>
      </c>
      <c r="KIS3" t="s">
        <v>8364</v>
      </c>
      <c r="KIT3" t="s">
        <v>8365</v>
      </c>
      <c r="KIU3" t="s">
        <v>8366</v>
      </c>
      <c r="KIV3" t="s">
        <v>8367</v>
      </c>
      <c r="KIW3" t="s">
        <v>8368</v>
      </c>
      <c r="KIX3" t="s">
        <v>8369</v>
      </c>
      <c r="KIY3" t="s">
        <v>8370</v>
      </c>
      <c r="KIZ3" t="s">
        <v>8371</v>
      </c>
      <c r="KJA3" t="s">
        <v>8372</v>
      </c>
      <c r="KJB3" t="s">
        <v>8373</v>
      </c>
      <c r="KJC3" t="s">
        <v>8374</v>
      </c>
      <c r="KJD3" t="s">
        <v>8375</v>
      </c>
      <c r="KJE3" t="s">
        <v>8376</v>
      </c>
      <c r="KJF3" t="s">
        <v>8377</v>
      </c>
      <c r="KJG3" t="s">
        <v>8378</v>
      </c>
      <c r="KJH3" t="s">
        <v>8379</v>
      </c>
      <c r="KJI3" t="s">
        <v>8380</v>
      </c>
      <c r="KJJ3" t="s">
        <v>8381</v>
      </c>
      <c r="KJK3" t="s">
        <v>8382</v>
      </c>
      <c r="KJL3" t="s">
        <v>8383</v>
      </c>
      <c r="KJM3" t="s">
        <v>8384</v>
      </c>
      <c r="KJN3" t="s">
        <v>8385</v>
      </c>
      <c r="KJO3" t="s">
        <v>8386</v>
      </c>
      <c r="KJP3" t="s">
        <v>8387</v>
      </c>
      <c r="KJQ3" t="s">
        <v>8388</v>
      </c>
      <c r="KJR3" t="s">
        <v>8389</v>
      </c>
      <c r="KJS3" t="s">
        <v>8390</v>
      </c>
      <c r="KJT3" t="s">
        <v>8391</v>
      </c>
      <c r="KJU3" t="s">
        <v>8392</v>
      </c>
      <c r="KJV3" t="s">
        <v>8393</v>
      </c>
      <c r="KJW3" t="s">
        <v>8394</v>
      </c>
      <c r="KJX3" t="s">
        <v>8395</v>
      </c>
      <c r="KJY3" t="s">
        <v>8396</v>
      </c>
      <c r="KJZ3" t="s">
        <v>8397</v>
      </c>
      <c r="KKA3" t="s">
        <v>8398</v>
      </c>
      <c r="KKB3" t="s">
        <v>8399</v>
      </c>
      <c r="KKC3" t="s">
        <v>8400</v>
      </c>
      <c r="KKD3" t="s">
        <v>8401</v>
      </c>
      <c r="KKE3" t="s">
        <v>8402</v>
      </c>
      <c r="KKF3" t="s">
        <v>8403</v>
      </c>
      <c r="KKG3" t="s">
        <v>8404</v>
      </c>
      <c r="KKH3" t="s">
        <v>8405</v>
      </c>
      <c r="KKI3" t="s">
        <v>8406</v>
      </c>
      <c r="KKJ3" t="s">
        <v>8407</v>
      </c>
      <c r="KKK3" t="s">
        <v>8408</v>
      </c>
      <c r="KKL3" t="s">
        <v>8409</v>
      </c>
      <c r="KKM3" t="s">
        <v>8410</v>
      </c>
      <c r="KKN3" t="s">
        <v>8411</v>
      </c>
      <c r="KKO3" t="s">
        <v>8412</v>
      </c>
      <c r="KKP3" t="s">
        <v>8413</v>
      </c>
      <c r="KKQ3" t="s">
        <v>8414</v>
      </c>
      <c r="KKR3" t="s">
        <v>8415</v>
      </c>
      <c r="KKS3" t="s">
        <v>8416</v>
      </c>
      <c r="KKT3" t="s">
        <v>8417</v>
      </c>
      <c r="KKU3" t="s">
        <v>8418</v>
      </c>
      <c r="KKV3" t="s">
        <v>8419</v>
      </c>
      <c r="KKW3" t="s">
        <v>8420</v>
      </c>
      <c r="KKX3" t="s">
        <v>8421</v>
      </c>
      <c r="KKY3" t="s">
        <v>8422</v>
      </c>
      <c r="KKZ3" t="s">
        <v>8423</v>
      </c>
      <c r="KLA3" t="s">
        <v>8424</v>
      </c>
      <c r="KLB3" t="s">
        <v>8425</v>
      </c>
      <c r="KLC3" t="s">
        <v>8426</v>
      </c>
      <c r="KLD3" t="s">
        <v>8427</v>
      </c>
      <c r="KLE3" t="s">
        <v>8428</v>
      </c>
      <c r="KLF3" t="s">
        <v>8429</v>
      </c>
      <c r="KLG3" t="s">
        <v>8430</v>
      </c>
      <c r="KLH3" t="s">
        <v>8431</v>
      </c>
      <c r="KLI3" t="s">
        <v>8432</v>
      </c>
      <c r="KLJ3" t="s">
        <v>8433</v>
      </c>
      <c r="KLK3" t="s">
        <v>8434</v>
      </c>
      <c r="KLL3" t="s">
        <v>8435</v>
      </c>
      <c r="KLM3" t="s">
        <v>8436</v>
      </c>
      <c r="KLN3" t="s">
        <v>8437</v>
      </c>
      <c r="KLO3" t="s">
        <v>8438</v>
      </c>
      <c r="KLP3" t="s">
        <v>8439</v>
      </c>
      <c r="KLQ3" t="s">
        <v>8440</v>
      </c>
      <c r="KLR3" t="s">
        <v>8441</v>
      </c>
      <c r="KLS3" t="s">
        <v>8442</v>
      </c>
      <c r="KLT3" t="s">
        <v>8443</v>
      </c>
      <c r="KLU3" t="s">
        <v>8444</v>
      </c>
      <c r="KLV3" t="s">
        <v>8445</v>
      </c>
      <c r="KLW3" t="s">
        <v>8446</v>
      </c>
      <c r="KLX3" t="s">
        <v>8447</v>
      </c>
      <c r="KLY3" t="s">
        <v>8448</v>
      </c>
      <c r="KLZ3" t="s">
        <v>8449</v>
      </c>
      <c r="KMA3" t="s">
        <v>8450</v>
      </c>
      <c r="KMB3" t="s">
        <v>8451</v>
      </c>
      <c r="KMC3" t="s">
        <v>8452</v>
      </c>
      <c r="KMD3" t="s">
        <v>8453</v>
      </c>
      <c r="KME3" t="s">
        <v>8454</v>
      </c>
      <c r="KMF3" t="s">
        <v>8455</v>
      </c>
      <c r="KMG3" t="s">
        <v>8456</v>
      </c>
      <c r="KMH3" t="s">
        <v>8457</v>
      </c>
      <c r="KMI3" t="s">
        <v>8458</v>
      </c>
      <c r="KMJ3" t="s">
        <v>8459</v>
      </c>
      <c r="KMK3" t="s">
        <v>8460</v>
      </c>
      <c r="KML3" t="s">
        <v>8461</v>
      </c>
      <c r="KMM3" t="s">
        <v>8462</v>
      </c>
      <c r="KMN3" t="s">
        <v>8463</v>
      </c>
      <c r="KMO3" t="s">
        <v>8464</v>
      </c>
      <c r="KMP3" t="s">
        <v>8465</v>
      </c>
      <c r="KMQ3" t="s">
        <v>8466</v>
      </c>
      <c r="KMR3" t="s">
        <v>8467</v>
      </c>
      <c r="KMS3" t="s">
        <v>8468</v>
      </c>
      <c r="KMT3" t="s">
        <v>8469</v>
      </c>
      <c r="KMU3" t="s">
        <v>8470</v>
      </c>
      <c r="KMV3" t="s">
        <v>8471</v>
      </c>
      <c r="KMW3" t="s">
        <v>8472</v>
      </c>
      <c r="KMX3" t="s">
        <v>8473</v>
      </c>
      <c r="KMY3" t="s">
        <v>8474</v>
      </c>
      <c r="KMZ3" t="s">
        <v>8475</v>
      </c>
      <c r="KNA3" t="s">
        <v>8476</v>
      </c>
      <c r="KNB3" t="s">
        <v>8477</v>
      </c>
      <c r="KNC3" t="s">
        <v>8478</v>
      </c>
      <c r="KND3" t="s">
        <v>8479</v>
      </c>
      <c r="KNE3" t="s">
        <v>8480</v>
      </c>
      <c r="KNF3" t="s">
        <v>8481</v>
      </c>
      <c r="KNG3" t="s">
        <v>8482</v>
      </c>
      <c r="KNH3" t="s">
        <v>8483</v>
      </c>
      <c r="KNI3" t="s">
        <v>8484</v>
      </c>
      <c r="KNJ3" t="s">
        <v>8485</v>
      </c>
      <c r="KNK3" t="s">
        <v>8486</v>
      </c>
      <c r="KNL3" t="s">
        <v>8487</v>
      </c>
      <c r="KNM3" t="s">
        <v>8488</v>
      </c>
      <c r="KNN3" t="s">
        <v>8489</v>
      </c>
      <c r="KNO3" t="s">
        <v>8490</v>
      </c>
      <c r="KNP3" t="s">
        <v>8491</v>
      </c>
      <c r="KNQ3" t="s">
        <v>8492</v>
      </c>
      <c r="KNR3" t="s">
        <v>8493</v>
      </c>
      <c r="KNS3" t="s">
        <v>8494</v>
      </c>
      <c r="KNT3" t="s">
        <v>8495</v>
      </c>
      <c r="KNU3" t="s">
        <v>8496</v>
      </c>
      <c r="KNV3" t="s">
        <v>8497</v>
      </c>
      <c r="KNW3" t="s">
        <v>8498</v>
      </c>
      <c r="KNX3" t="s">
        <v>8499</v>
      </c>
      <c r="KNY3" t="s">
        <v>8500</v>
      </c>
      <c r="KNZ3" t="s">
        <v>8501</v>
      </c>
      <c r="KOA3" t="s">
        <v>8502</v>
      </c>
      <c r="KOB3" t="s">
        <v>8503</v>
      </c>
      <c r="KOC3" t="s">
        <v>8504</v>
      </c>
      <c r="KOD3" t="s">
        <v>8505</v>
      </c>
      <c r="KOE3" t="s">
        <v>8506</v>
      </c>
      <c r="KOF3" t="s">
        <v>8507</v>
      </c>
      <c r="KOG3" t="s">
        <v>8508</v>
      </c>
      <c r="KOH3" t="s">
        <v>8509</v>
      </c>
      <c r="KOI3" t="s">
        <v>8510</v>
      </c>
      <c r="KOJ3" t="s">
        <v>8511</v>
      </c>
      <c r="KOK3" t="s">
        <v>8512</v>
      </c>
      <c r="KOL3" t="s">
        <v>8513</v>
      </c>
      <c r="KOM3" t="s">
        <v>8514</v>
      </c>
      <c r="KON3" t="s">
        <v>8515</v>
      </c>
      <c r="KOO3" t="s">
        <v>8516</v>
      </c>
      <c r="KOP3" t="s">
        <v>8517</v>
      </c>
      <c r="KOQ3" t="s">
        <v>8518</v>
      </c>
      <c r="KOR3" t="s">
        <v>8519</v>
      </c>
      <c r="KOS3" t="s">
        <v>8520</v>
      </c>
      <c r="KOT3" t="s">
        <v>8521</v>
      </c>
      <c r="KOU3" t="s">
        <v>8522</v>
      </c>
      <c r="KOV3" t="s">
        <v>8523</v>
      </c>
      <c r="KOW3" t="s">
        <v>8524</v>
      </c>
      <c r="KOX3" t="s">
        <v>8525</v>
      </c>
      <c r="KOY3" t="s">
        <v>8526</v>
      </c>
      <c r="KOZ3" t="s">
        <v>8527</v>
      </c>
      <c r="KPA3" t="s">
        <v>8528</v>
      </c>
      <c r="KPB3" t="s">
        <v>8529</v>
      </c>
      <c r="KPC3" t="s">
        <v>8530</v>
      </c>
      <c r="KPD3" t="s">
        <v>8531</v>
      </c>
      <c r="KPE3" t="s">
        <v>8532</v>
      </c>
      <c r="KPF3" t="s">
        <v>8533</v>
      </c>
      <c r="KPG3" t="s">
        <v>8534</v>
      </c>
      <c r="KPH3" t="s">
        <v>8535</v>
      </c>
      <c r="KPI3" t="s">
        <v>8536</v>
      </c>
      <c r="KPJ3" t="s">
        <v>8537</v>
      </c>
      <c r="KPK3" t="s">
        <v>8538</v>
      </c>
      <c r="KPL3" t="s">
        <v>8539</v>
      </c>
      <c r="KPM3" t="s">
        <v>8540</v>
      </c>
      <c r="KPN3" t="s">
        <v>8541</v>
      </c>
      <c r="KPO3" t="s">
        <v>8542</v>
      </c>
      <c r="KPP3" t="s">
        <v>8543</v>
      </c>
      <c r="KPQ3" t="s">
        <v>8544</v>
      </c>
      <c r="KPR3" t="s">
        <v>8545</v>
      </c>
      <c r="KPS3" t="s">
        <v>8546</v>
      </c>
      <c r="KPT3" t="s">
        <v>8547</v>
      </c>
      <c r="KPU3" t="s">
        <v>8548</v>
      </c>
      <c r="KPV3" t="s">
        <v>8549</v>
      </c>
      <c r="KPW3" t="s">
        <v>8550</v>
      </c>
      <c r="KPX3" t="s">
        <v>8551</v>
      </c>
      <c r="KPY3" t="s">
        <v>8552</v>
      </c>
      <c r="KPZ3" t="s">
        <v>8553</v>
      </c>
      <c r="KQA3" t="s">
        <v>8554</v>
      </c>
      <c r="KQB3" t="s">
        <v>8555</v>
      </c>
      <c r="KQC3" t="s">
        <v>8556</v>
      </c>
      <c r="KQD3" t="s">
        <v>8557</v>
      </c>
      <c r="KQE3" t="s">
        <v>8558</v>
      </c>
      <c r="KQF3" t="s">
        <v>8559</v>
      </c>
      <c r="KQG3" t="s">
        <v>8560</v>
      </c>
      <c r="KQH3" t="s">
        <v>8561</v>
      </c>
      <c r="KQI3" t="s">
        <v>8562</v>
      </c>
      <c r="KQJ3" t="s">
        <v>8563</v>
      </c>
      <c r="KQK3" t="s">
        <v>8564</v>
      </c>
      <c r="KQL3" t="s">
        <v>8565</v>
      </c>
      <c r="KQM3" t="s">
        <v>8566</v>
      </c>
      <c r="KQN3" t="s">
        <v>8567</v>
      </c>
      <c r="KQO3" t="s">
        <v>8568</v>
      </c>
      <c r="KQP3" t="s">
        <v>8569</v>
      </c>
      <c r="KQQ3" t="s">
        <v>8570</v>
      </c>
      <c r="KQR3" t="s">
        <v>8571</v>
      </c>
      <c r="KQS3" t="s">
        <v>8572</v>
      </c>
      <c r="KQT3" t="s">
        <v>8573</v>
      </c>
      <c r="KQU3" t="s">
        <v>8574</v>
      </c>
      <c r="KQV3" t="s">
        <v>8575</v>
      </c>
      <c r="KQW3" t="s">
        <v>8576</v>
      </c>
      <c r="KQX3" t="s">
        <v>8577</v>
      </c>
      <c r="KQY3" t="s">
        <v>8578</v>
      </c>
      <c r="KQZ3" t="s">
        <v>8579</v>
      </c>
      <c r="KRA3" t="s">
        <v>8580</v>
      </c>
      <c r="KRB3" t="s">
        <v>8581</v>
      </c>
      <c r="KRC3" t="s">
        <v>8582</v>
      </c>
      <c r="KRD3" t="s">
        <v>8583</v>
      </c>
      <c r="KRE3" t="s">
        <v>8584</v>
      </c>
      <c r="KRF3" t="s">
        <v>8585</v>
      </c>
      <c r="KRG3" t="s">
        <v>8586</v>
      </c>
      <c r="KRH3" t="s">
        <v>8587</v>
      </c>
      <c r="KRI3" t="s">
        <v>8588</v>
      </c>
      <c r="KRJ3" t="s">
        <v>8589</v>
      </c>
      <c r="KRK3" t="s">
        <v>8590</v>
      </c>
      <c r="KRL3" t="s">
        <v>8591</v>
      </c>
      <c r="KRM3" t="s">
        <v>8592</v>
      </c>
      <c r="KRN3" t="s">
        <v>8593</v>
      </c>
      <c r="KRO3" t="s">
        <v>8594</v>
      </c>
      <c r="KRP3" t="s">
        <v>8595</v>
      </c>
      <c r="KRQ3" t="s">
        <v>8596</v>
      </c>
      <c r="KRR3" t="s">
        <v>8597</v>
      </c>
      <c r="KRS3" t="s">
        <v>8598</v>
      </c>
      <c r="KRT3" t="s">
        <v>8599</v>
      </c>
      <c r="KRU3" t="s">
        <v>8600</v>
      </c>
      <c r="KRV3" t="s">
        <v>8601</v>
      </c>
      <c r="KRW3" t="s">
        <v>8602</v>
      </c>
      <c r="KRX3" t="s">
        <v>8603</v>
      </c>
      <c r="KRY3" t="s">
        <v>8604</v>
      </c>
      <c r="KRZ3" t="s">
        <v>8605</v>
      </c>
      <c r="KSA3" t="s">
        <v>8606</v>
      </c>
      <c r="KSB3" t="s">
        <v>8607</v>
      </c>
      <c r="KSC3" t="s">
        <v>8608</v>
      </c>
      <c r="KSD3" t="s">
        <v>8609</v>
      </c>
      <c r="KSE3" t="s">
        <v>8610</v>
      </c>
      <c r="KSF3" t="s">
        <v>8611</v>
      </c>
      <c r="KSG3" t="s">
        <v>8612</v>
      </c>
      <c r="KSH3" t="s">
        <v>8613</v>
      </c>
      <c r="KSI3" t="s">
        <v>8614</v>
      </c>
      <c r="KSJ3" t="s">
        <v>8615</v>
      </c>
      <c r="KSK3" t="s">
        <v>8616</v>
      </c>
      <c r="KSL3" t="s">
        <v>8617</v>
      </c>
      <c r="KSM3" t="s">
        <v>8618</v>
      </c>
      <c r="KSN3" t="s">
        <v>8619</v>
      </c>
      <c r="KSO3" t="s">
        <v>8620</v>
      </c>
      <c r="KSP3" t="s">
        <v>8621</v>
      </c>
      <c r="KSQ3" t="s">
        <v>8622</v>
      </c>
      <c r="KSR3" t="s">
        <v>8623</v>
      </c>
      <c r="KSS3" t="s">
        <v>8624</v>
      </c>
      <c r="KST3" t="s">
        <v>8625</v>
      </c>
      <c r="KSU3" t="s">
        <v>8626</v>
      </c>
      <c r="KSV3" t="s">
        <v>8627</v>
      </c>
      <c r="KSW3" t="s">
        <v>8628</v>
      </c>
      <c r="KSX3" t="s">
        <v>8629</v>
      </c>
      <c r="KSY3" t="s">
        <v>8630</v>
      </c>
      <c r="KSZ3" t="s">
        <v>8631</v>
      </c>
      <c r="KTA3" t="s">
        <v>8632</v>
      </c>
      <c r="KTB3" t="s">
        <v>8633</v>
      </c>
      <c r="KTC3" t="s">
        <v>8634</v>
      </c>
      <c r="KTD3" t="s">
        <v>8635</v>
      </c>
      <c r="KTE3" t="s">
        <v>8636</v>
      </c>
      <c r="KTF3" t="s">
        <v>8637</v>
      </c>
      <c r="KTG3" t="s">
        <v>8638</v>
      </c>
      <c r="KTH3" t="s">
        <v>8639</v>
      </c>
      <c r="KTI3" t="s">
        <v>8640</v>
      </c>
      <c r="KTJ3" t="s">
        <v>8641</v>
      </c>
      <c r="KTK3" t="s">
        <v>8642</v>
      </c>
      <c r="KTL3" t="s">
        <v>8643</v>
      </c>
      <c r="KTM3" t="s">
        <v>8644</v>
      </c>
      <c r="KTN3" t="s">
        <v>8645</v>
      </c>
      <c r="KTO3" t="s">
        <v>8646</v>
      </c>
      <c r="KTP3" t="s">
        <v>8647</v>
      </c>
      <c r="KTQ3" t="s">
        <v>8648</v>
      </c>
      <c r="KTR3" t="s">
        <v>8649</v>
      </c>
      <c r="KTS3" t="s">
        <v>8650</v>
      </c>
      <c r="KTT3" t="s">
        <v>8651</v>
      </c>
      <c r="KTU3" t="s">
        <v>8652</v>
      </c>
      <c r="KTV3" t="s">
        <v>8653</v>
      </c>
      <c r="KTW3" t="s">
        <v>8654</v>
      </c>
      <c r="KTX3" t="s">
        <v>8655</v>
      </c>
      <c r="KTY3" t="s">
        <v>8656</v>
      </c>
      <c r="KTZ3" t="s">
        <v>8657</v>
      </c>
      <c r="KUA3" t="s">
        <v>8658</v>
      </c>
      <c r="KUB3" t="s">
        <v>8659</v>
      </c>
      <c r="KUC3" t="s">
        <v>8660</v>
      </c>
      <c r="KUD3" t="s">
        <v>8661</v>
      </c>
      <c r="KUE3" t="s">
        <v>8662</v>
      </c>
      <c r="KUF3" t="s">
        <v>8663</v>
      </c>
      <c r="KUG3" t="s">
        <v>8664</v>
      </c>
      <c r="KUH3" t="s">
        <v>8665</v>
      </c>
      <c r="KUI3" t="s">
        <v>8666</v>
      </c>
      <c r="KUJ3" t="s">
        <v>8667</v>
      </c>
      <c r="KUK3" t="s">
        <v>8668</v>
      </c>
      <c r="KUL3" t="s">
        <v>8669</v>
      </c>
      <c r="KUM3" t="s">
        <v>8670</v>
      </c>
      <c r="KUN3" t="s">
        <v>8671</v>
      </c>
      <c r="KUO3" t="s">
        <v>8672</v>
      </c>
      <c r="KUP3" t="s">
        <v>8673</v>
      </c>
      <c r="KUQ3" t="s">
        <v>8674</v>
      </c>
      <c r="KUR3" t="s">
        <v>8675</v>
      </c>
      <c r="KUS3" t="s">
        <v>8676</v>
      </c>
      <c r="KUT3" t="s">
        <v>8677</v>
      </c>
      <c r="KUU3" t="s">
        <v>8678</v>
      </c>
      <c r="KUV3" t="s">
        <v>8679</v>
      </c>
      <c r="KUW3" t="s">
        <v>8680</v>
      </c>
      <c r="KUX3" t="s">
        <v>8681</v>
      </c>
      <c r="KUY3" t="s">
        <v>8682</v>
      </c>
      <c r="KUZ3" t="s">
        <v>8683</v>
      </c>
      <c r="KVA3" t="s">
        <v>8684</v>
      </c>
      <c r="KVB3" t="s">
        <v>8685</v>
      </c>
      <c r="KVC3" t="s">
        <v>8686</v>
      </c>
      <c r="KVD3" t="s">
        <v>8687</v>
      </c>
      <c r="KVE3" t="s">
        <v>8688</v>
      </c>
      <c r="KVF3" t="s">
        <v>8689</v>
      </c>
      <c r="KVG3" t="s">
        <v>8690</v>
      </c>
      <c r="KVH3" t="s">
        <v>8691</v>
      </c>
      <c r="KVI3" t="s">
        <v>8692</v>
      </c>
      <c r="KVJ3" t="s">
        <v>8693</v>
      </c>
      <c r="KVK3" t="s">
        <v>8694</v>
      </c>
      <c r="KVL3" t="s">
        <v>8695</v>
      </c>
      <c r="KVM3" t="s">
        <v>8696</v>
      </c>
      <c r="KVN3" t="s">
        <v>8697</v>
      </c>
      <c r="KVO3" t="s">
        <v>8698</v>
      </c>
      <c r="KVP3" t="s">
        <v>8699</v>
      </c>
      <c r="KVQ3" t="s">
        <v>8700</v>
      </c>
      <c r="KVR3" t="s">
        <v>8701</v>
      </c>
      <c r="KVS3" t="s">
        <v>8702</v>
      </c>
      <c r="KVT3" t="s">
        <v>8703</v>
      </c>
      <c r="KVU3" t="s">
        <v>8704</v>
      </c>
      <c r="KVV3" t="s">
        <v>8705</v>
      </c>
      <c r="KVW3" t="s">
        <v>8706</v>
      </c>
      <c r="KVX3" t="s">
        <v>8707</v>
      </c>
      <c r="KVY3" t="s">
        <v>8708</v>
      </c>
      <c r="KVZ3" t="s">
        <v>8709</v>
      </c>
      <c r="KWA3" t="s">
        <v>8710</v>
      </c>
      <c r="KWB3" t="s">
        <v>8711</v>
      </c>
      <c r="KWC3" t="s">
        <v>8712</v>
      </c>
      <c r="KWD3" t="s">
        <v>8713</v>
      </c>
      <c r="KWE3" t="s">
        <v>8714</v>
      </c>
      <c r="KWF3" t="s">
        <v>8715</v>
      </c>
      <c r="KWG3" t="s">
        <v>8716</v>
      </c>
      <c r="KWH3" t="s">
        <v>8717</v>
      </c>
      <c r="KWI3" t="s">
        <v>8718</v>
      </c>
      <c r="KWJ3" t="s">
        <v>8719</v>
      </c>
      <c r="KWK3" t="s">
        <v>8720</v>
      </c>
      <c r="KWL3" t="s">
        <v>8721</v>
      </c>
      <c r="KWM3" t="s">
        <v>8722</v>
      </c>
      <c r="KWN3" t="s">
        <v>8723</v>
      </c>
      <c r="KWO3" t="s">
        <v>8724</v>
      </c>
      <c r="KWP3" t="s">
        <v>8725</v>
      </c>
      <c r="KWQ3" t="s">
        <v>8726</v>
      </c>
      <c r="KWR3" t="s">
        <v>8727</v>
      </c>
      <c r="KWS3" t="s">
        <v>8728</v>
      </c>
      <c r="KWT3" t="s">
        <v>8729</v>
      </c>
      <c r="KWU3" t="s">
        <v>8730</v>
      </c>
      <c r="KWV3" t="s">
        <v>8731</v>
      </c>
      <c r="KWW3" t="s">
        <v>8732</v>
      </c>
      <c r="KWX3" t="s">
        <v>8733</v>
      </c>
      <c r="KWY3" t="s">
        <v>8734</v>
      </c>
      <c r="KWZ3" t="s">
        <v>8735</v>
      </c>
      <c r="KXA3" t="s">
        <v>8736</v>
      </c>
      <c r="KXB3" t="s">
        <v>8737</v>
      </c>
      <c r="KXC3" t="s">
        <v>8738</v>
      </c>
      <c r="KXD3" t="s">
        <v>8739</v>
      </c>
      <c r="KXE3" t="s">
        <v>8740</v>
      </c>
      <c r="KXF3" t="s">
        <v>8741</v>
      </c>
      <c r="KXG3" t="s">
        <v>8742</v>
      </c>
      <c r="KXH3" t="s">
        <v>8743</v>
      </c>
      <c r="KXI3" t="s">
        <v>8744</v>
      </c>
      <c r="KXJ3" t="s">
        <v>8745</v>
      </c>
      <c r="KXK3" t="s">
        <v>8746</v>
      </c>
      <c r="KXL3" t="s">
        <v>8747</v>
      </c>
      <c r="KXM3" t="s">
        <v>8748</v>
      </c>
      <c r="KXN3" t="s">
        <v>8749</v>
      </c>
      <c r="KXO3" t="s">
        <v>8750</v>
      </c>
      <c r="KXP3" t="s">
        <v>8751</v>
      </c>
      <c r="KXQ3" t="s">
        <v>8752</v>
      </c>
      <c r="KXR3" t="s">
        <v>8753</v>
      </c>
      <c r="KXS3" t="s">
        <v>8754</v>
      </c>
      <c r="KXT3" t="s">
        <v>8755</v>
      </c>
      <c r="KXU3" t="s">
        <v>8756</v>
      </c>
      <c r="KXV3" t="s">
        <v>8757</v>
      </c>
      <c r="KXW3" t="s">
        <v>8758</v>
      </c>
      <c r="KXX3" t="s">
        <v>8759</v>
      </c>
      <c r="KXY3" t="s">
        <v>8760</v>
      </c>
      <c r="KXZ3" t="s">
        <v>8761</v>
      </c>
      <c r="KYA3" t="s">
        <v>8762</v>
      </c>
      <c r="KYB3" t="s">
        <v>8763</v>
      </c>
      <c r="KYC3" t="s">
        <v>8764</v>
      </c>
      <c r="KYD3" t="s">
        <v>8765</v>
      </c>
      <c r="KYE3" t="s">
        <v>8766</v>
      </c>
      <c r="KYF3" t="s">
        <v>8767</v>
      </c>
      <c r="KYG3" t="s">
        <v>8768</v>
      </c>
      <c r="KYH3" t="s">
        <v>8769</v>
      </c>
      <c r="KYI3" t="s">
        <v>8770</v>
      </c>
      <c r="KYJ3" t="s">
        <v>8771</v>
      </c>
      <c r="KYK3" t="s">
        <v>8772</v>
      </c>
      <c r="KYL3" t="s">
        <v>8773</v>
      </c>
      <c r="KYM3" t="s">
        <v>8774</v>
      </c>
      <c r="KYN3" t="s">
        <v>8775</v>
      </c>
      <c r="KYO3" t="s">
        <v>8776</v>
      </c>
      <c r="KYP3" t="s">
        <v>8777</v>
      </c>
      <c r="KYQ3" t="s">
        <v>8778</v>
      </c>
      <c r="KYR3" t="s">
        <v>8779</v>
      </c>
      <c r="KYS3" t="s">
        <v>8780</v>
      </c>
      <c r="KYT3" t="s">
        <v>8781</v>
      </c>
      <c r="KYU3" t="s">
        <v>8782</v>
      </c>
      <c r="KYV3" t="s">
        <v>8783</v>
      </c>
      <c r="KYW3" t="s">
        <v>8784</v>
      </c>
      <c r="KYX3" t="s">
        <v>8785</v>
      </c>
      <c r="KYY3" t="s">
        <v>8786</v>
      </c>
      <c r="KYZ3" t="s">
        <v>8787</v>
      </c>
      <c r="KZA3" t="s">
        <v>8788</v>
      </c>
      <c r="KZB3" t="s">
        <v>8789</v>
      </c>
      <c r="KZC3" t="s">
        <v>8790</v>
      </c>
      <c r="KZD3" t="s">
        <v>8791</v>
      </c>
      <c r="KZE3" t="s">
        <v>8792</v>
      </c>
      <c r="KZF3" t="s">
        <v>8793</v>
      </c>
      <c r="KZG3" t="s">
        <v>8794</v>
      </c>
      <c r="KZH3" t="s">
        <v>8795</v>
      </c>
      <c r="KZI3" t="s">
        <v>8796</v>
      </c>
      <c r="KZJ3" t="s">
        <v>8797</v>
      </c>
      <c r="KZK3" t="s">
        <v>8798</v>
      </c>
      <c r="KZL3" t="s">
        <v>8799</v>
      </c>
      <c r="KZM3" t="s">
        <v>8800</v>
      </c>
      <c r="KZN3" t="s">
        <v>8801</v>
      </c>
      <c r="KZO3" t="s">
        <v>8802</v>
      </c>
      <c r="KZP3" t="s">
        <v>8803</v>
      </c>
      <c r="KZQ3" t="s">
        <v>8804</v>
      </c>
      <c r="KZR3" t="s">
        <v>8805</v>
      </c>
      <c r="KZS3" t="s">
        <v>8806</v>
      </c>
      <c r="KZT3" t="s">
        <v>8807</v>
      </c>
      <c r="KZU3" t="s">
        <v>8808</v>
      </c>
      <c r="KZV3" t="s">
        <v>8809</v>
      </c>
      <c r="KZW3" t="s">
        <v>8810</v>
      </c>
      <c r="KZX3" t="s">
        <v>8811</v>
      </c>
      <c r="KZY3" t="s">
        <v>8812</v>
      </c>
      <c r="KZZ3" t="s">
        <v>8813</v>
      </c>
      <c r="LAA3" t="s">
        <v>8814</v>
      </c>
      <c r="LAB3" t="s">
        <v>8815</v>
      </c>
      <c r="LAC3" t="s">
        <v>8816</v>
      </c>
      <c r="LAD3" t="s">
        <v>8817</v>
      </c>
      <c r="LAE3" t="s">
        <v>8818</v>
      </c>
      <c r="LAF3" t="s">
        <v>8819</v>
      </c>
      <c r="LAG3" t="s">
        <v>8820</v>
      </c>
      <c r="LAH3" t="s">
        <v>8821</v>
      </c>
      <c r="LAI3" t="s">
        <v>8822</v>
      </c>
      <c r="LAJ3" t="s">
        <v>8823</v>
      </c>
      <c r="LAK3" t="s">
        <v>8824</v>
      </c>
      <c r="LAL3" t="s">
        <v>8825</v>
      </c>
      <c r="LAM3" t="s">
        <v>8826</v>
      </c>
      <c r="LAN3" t="s">
        <v>8827</v>
      </c>
      <c r="LAO3" t="s">
        <v>8828</v>
      </c>
      <c r="LAP3" t="s">
        <v>8829</v>
      </c>
      <c r="LAQ3" t="s">
        <v>8830</v>
      </c>
      <c r="LAR3" t="s">
        <v>8831</v>
      </c>
      <c r="LAS3" t="s">
        <v>8832</v>
      </c>
      <c r="LAT3" t="s">
        <v>8833</v>
      </c>
      <c r="LAU3" t="s">
        <v>8834</v>
      </c>
      <c r="LAV3" t="s">
        <v>8835</v>
      </c>
      <c r="LAW3" t="s">
        <v>8836</v>
      </c>
      <c r="LAX3" t="s">
        <v>8837</v>
      </c>
      <c r="LAY3" t="s">
        <v>8838</v>
      </c>
      <c r="LAZ3" t="s">
        <v>8839</v>
      </c>
      <c r="LBA3" t="s">
        <v>8840</v>
      </c>
      <c r="LBB3" t="s">
        <v>8841</v>
      </c>
      <c r="LBC3" t="s">
        <v>8842</v>
      </c>
      <c r="LBD3" t="s">
        <v>8843</v>
      </c>
      <c r="LBE3" t="s">
        <v>8844</v>
      </c>
      <c r="LBF3" t="s">
        <v>8845</v>
      </c>
      <c r="LBG3" t="s">
        <v>8846</v>
      </c>
      <c r="LBH3" t="s">
        <v>8847</v>
      </c>
      <c r="LBI3" t="s">
        <v>8848</v>
      </c>
      <c r="LBJ3" t="s">
        <v>8849</v>
      </c>
      <c r="LBK3" t="s">
        <v>8850</v>
      </c>
      <c r="LBL3" t="s">
        <v>8851</v>
      </c>
      <c r="LBM3" t="s">
        <v>8852</v>
      </c>
      <c r="LBN3" t="s">
        <v>8853</v>
      </c>
      <c r="LBO3" t="s">
        <v>8854</v>
      </c>
      <c r="LBP3" t="s">
        <v>8855</v>
      </c>
      <c r="LBQ3" t="s">
        <v>8856</v>
      </c>
      <c r="LBR3" t="s">
        <v>8857</v>
      </c>
      <c r="LBS3" t="s">
        <v>8858</v>
      </c>
      <c r="LBT3" t="s">
        <v>8859</v>
      </c>
      <c r="LBU3" t="s">
        <v>8860</v>
      </c>
      <c r="LBV3" t="s">
        <v>8861</v>
      </c>
      <c r="LBW3" t="s">
        <v>8862</v>
      </c>
      <c r="LBX3" t="s">
        <v>8863</v>
      </c>
      <c r="LBY3" t="s">
        <v>8864</v>
      </c>
      <c r="LBZ3" t="s">
        <v>8865</v>
      </c>
      <c r="LCA3" t="s">
        <v>8866</v>
      </c>
      <c r="LCB3" t="s">
        <v>8867</v>
      </c>
      <c r="LCC3" t="s">
        <v>8868</v>
      </c>
      <c r="LCD3" t="s">
        <v>8869</v>
      </c>
      <c r="LCE3" t="s">
        <v>8870</v>
      </c>
      <c r="LCF3" t="s">
        <v>8871</v>
      </c>
      <c r="LCG3" t="s">
        <v>8872</v>
      </c>
      <c r="LCH3" t="s">
        <v>8873</v>
      </c>
      <c r="LCI3" t="s">
        <v>8874</v>
      </c>
      <c r="LCJ3" t="s">
        <v>8875</v>
      </c>
      <c r="LCK3" t="s">
        <v>8876</v>
      </c>
      <c r="LCL3" t="s">
        <v>8877</v>
      </c>
      <c r="LCM3" t="s">
        <v>8878</v>
      </c>
      <c r="LCN3" t="s">
        <v>8879</v>
      </c>
      <c r="LCO3" t="s">
        <v>8880</v>
      </c>
      <c r="LCP3" t="s">
        <v>8881</v>
      </c>
      <c r="LCQ3" t="s">
        <v>8882</v>
      </c>
      <c r="LCR3" t="s">
        <v>8883</v>
      </c>
      <c r="LCS3" t="s">
        <v>8884</v>
      </c>
      <c r="LCT3" t="s">
        <v>8885</v>
      </c>
      <c r="LCU3" t="s">
        <v>8886</v>
      </c>
      <c r="LCV3" t="s">
        <v>8887</v>
      </c>
      <c r="LCW3" t="s">
        <v>8888</v>
      </c>
      <c r="LCX3" t="s">
        <v>8889</v>
      </c>
      <c r="LCY3" t="s">
        <v>8890</v>
      </c>
      <c r="LCZ3" t="s">
        <v>8891</v>
      </c>
      <c r="LDA3" t="s">
        <v>8892</v>
      </c>
      <c r="LDB3" t="s">
        <v>8893</v>
      </c>
      <c r="LDC3" t="s">
        <v>8894</v>
      </c>
      <c r="LDD3" t="s">
        <v>8895</v>
      </c>
      <c r="LDE3" t="s">
        <v>8896</v>
      </c>
      <c r="LDF3" t="s">
        <v>8897</v>
      </c>
      <c r="LDG3" t="s">
        <v>8898</v>
      </c>
      <c r="LDH3" t="s">
        <v>8899</v>
      </c>
      <c r="LDI3" t="s">
        <v>8900</v>
      </c>
      <c r="LDJ3" t="s">
        <v>8901</v>
      </c>
      <c r="LDK3" t="s">
        <v>8902</v>
      </c>
      <c r="LDL3" t="s">
        <v>8903</v>
      </c>
      <c r="LDM3" t="s">
        <v>8904</v>
      </c>
      <c r="LDN3" t="s">
        <v>8905</v>
      </c>
      <c r="LDO3" t="s">
        <v>8906</v>
      </c>
      <c r="LDP3" t="s">
        <v>8907</v>
      </c>
      <c r="LDQ3" t="s">
        <v>8908</v>
      </c>
      <c r="LDR3" t="s">
        <v>8909</v>
      </c>
      <c r="LDS3" t="s">
        <v>8910</v>
      </c>
      <c r="LDT3" t="s">
        <v>8911</v>
      </c>
      <c r="LDU3" t="s">
        <v>8912</v>
      </c>
      <c r="LDV3" t="s">
        <v>8913</v>
      </c>
      <c r="LDW3" t="s">
        <v>8914</v>
      </c>
      <c r="LDX3" t="s">
        <v>8915</v>
      </c>
      <c r="LDY3" t="s">
        <v>8916</v>
      </c>
      <c r="LDZ3" t="s">
        <v>8917</v>
      </c>
      <c r="LEA3" t="s">
        <v>8918</v>
      </c>
      <c r="LEB3" t="s">
        <v>8919</v>
      </c>
      <c r="LEC3" t="s">
        <v>8920</v>
      </c>
      <c r="LED3" t="s">
        <v>8921</v>
      </c>
      <c r="LEE3" t="s">
        <v>8922</v>
      </c>
      <c r="LEF3" t="s">
        <v>8923</v>
      </c>
      <c r="LEG3" t="s">
        <v>8924</v>
      </c>
      <c r="LEH3" t="s">
        <v>8925</v>
      </c>
      <c r="LEI3" t="s">
        <v>8926</v>
      </c>
      <c r="LEJ3" t="s">
        <v>8927</v>
      </c>
      <c r="LEK3" t="s">
        <v>8928</v>
      </c>
      <c r="LEL3" t="s">
        <v>8929</v>
      </c>
      <c r="LEM3" t="s">
        <v>8930</v>
      </c>
      <c r="LEN3" t="s">
        <v>8931</v>
      </c>
      <c r="LEO3" t="s">
        <v>8932</v>
      </c>
      <c r="LEP3" t="s">
        <v>8933</v>
      </c>
      <c r="LEQ3" t="s">
        <v>8934</v>
      </c>
      <c r="LER3" t="s">
        <v>8935</v>
      </c>
      <c r="LES3" t="s">
        <v>8936</v>
      </c>
      <c r="LET3" t="s">
        <v>8937</v>
      </c>
      <c r="LEU3" t="s">
        <v>8938</v>
      </c>
      <c r="LEV3" t="s">
        <v>8939</v>
      </c>
      <c r="LEW3" t="s">
        <v>8940</v>
      </c>
      <c r="LEX3" t="s">
        <v>8941</v>
      </c>
      <c r="LEY3" t="s">
        <v>8942</v>
      </c>
      <c r="LEZ3" t="s">
        <v>8943</v>
      </c>
      <c r="LFA3" t="s">
        <v>8944</v>
      </c>
      <c r="LFB3" t="s">
        <v>8945</v>
      </c>
      <c r="LFC3" t="s">
        <v>8946</v>
      </c>
      <c r="LFD3" t="s">
        <v>8947</v>
      </c>
      <c r="LFE3" t="s">
        <v>8948</v>
      </c>
      <c r="LFF3" t="s">
        <v>8949</v>
      </c>
      <c r="LFG3" t="s">
        <v>8950</v>
      </c>
      <c r="LFH3" t="s">
        <v>8951</v>
      </c>
      <c r="LFI3" t="s">
        <v>8952</v>
      </c>
      <c r="LFJ3" t="s">
        <v>8953</v>
      </c>
      <c r="LFK3" t="s">
        <v>8954</v>
      </c>
      <c r="LFL3" t="s">
        <v>8955</v>
      </c>
      <c r="LFM3" t="s">
        <v>8956</v>
      </c>
      <c r="LFN3" t="s">
        <v>8957</v>
      </c>
      <c r="LFO3" t="s">
        <v>8958</v>
      </c>
      <c r="LFP3" t="s">
        <v>8959</v>
      </c>
      <c r="LFQ3" t="s">
        <v>8960</v>
      </c>
      <c r="LFR3" t="s">
        <v>8961</v>
      </c>
      <c r="LFS3" t="s">
        <v>8962</v>
      </c>
      <c r="LFT3" t="s">
        <v>8963</v>
      </c>
      <c r="LFU3" t="s">
        <v>8964</v>
      </c>
      <c r="LFV3" t="s">
        <v>8965</v>
      </c>
      <c r="LFW3" t="s">
        <v>8966</v>
      </c>
      <c r="LFX3" t="s">
        <v>8967</v>
      </c>
      <c r="LFY3" t="s">
        <v>8968</v>
      </c>
      <c r="LFZ3" t="s">
        <v>8969</v>
      </c>
      <c r="LGA3" t="s">
        <v>8970</v>
      </c>
      <c r="LGB3" t="s">
        <v>8971</v>
      </c>
      <c r="LGC3" t="s">
        <v>8972</v>
      </c>
      <c r="LGD3" t="s">
        <v>8973</v>
      </c>
      <c r="LGE3" t="s">
        <v>8974</v>
      </c>
      <c r="LGF3" t="s">
        <v>8975</v>
      </c>
      <c r="LGG3" t="s">
        <v>8976</v>
      </c>
      <c r="LGH3" t="s">
        <v>8977</v>
      </c>
      <c r="LGI3" t="s">
        <v>8978</v>
      </c>
      <c r="LGJ3" t="s">
        <v>8979</v>
      </c>
      <c r="LGK3" t="s">
        <v>8980</v>
      </c>
      <c r="LGL3" t="s">
        <v>8981</v>
      </c>
      <c r="LGM3" t="s">
        <v>8982</v>
      </c>
      <c r="LGN3" t="s">
        <v>8983</v>
      </c>
      <c r="LGO3" t="s">
        <v>8984</v>
      </c>
      <c r="LGP3" t="s">
        <v>8985</v>
      </c>
      <c r="LGQ3" t="s">
        <v>8986</v>
      </c>
      <c r="LGR3" t="s">
        <v>8987</v>
      </c>
      <c r="LGS3" t="s">
        <v>8988</v>
      </c>
      <c r="LGT3" t="s">
        <v>8989</v>
      </c>
      <c r="LGU3" t="s">
        <v>8990</v>
      </c>
      <c r="LGV3" t="s">
        <v>8991</v>
      </c>
      <c r="LGW3" t="s">
        <v>8992</v>
      </c>
      <c r="LGX3" t="s">
        <v>8993</v>
      </c>
      <c r="LGY3" t="s">
        <v>8994</v>
      </c>
      <c r="LGZ3" t="s">
        <v>8995</v>
      </c>
      <c r="LHA3" t="s">
        <v>8996</v>
      </c>
      <c r="LHB3" t="s">
        <v>8997</v>
      </c>
      <c r="LHC3" t="s">
        <v>8998</v>
      </c>
      <c r="LHD3" t="s">
        <v>8999</v>
      </c>
      <c r="LHE3" t="s">
        <v>9000</v>
      </c>
      <c r="LHF3" t="s">
        <v>9001</v>
      </c>
      <c r="LHG3" t="s">
        <v>9002</v>
      </c>
      <c r="LHH3" t="s">
        <v>9003</v>
      </c>
      <c r="LHI3" t="s">
        <v>9004</v>
      </c>
      <c r="LHJ3" t="s">
        <v>9005</v>
      </c>
      <c r="LHK3" t="s">
        <v>9006</v>
      </c>
      <c r="LHL3" t="s">
        <v>9007</v>
      </c>
      <c r="LHM3" t="s">
        <v>9008</v>
      </c>
      <c r="LHN3" t="s">
        <v>9009</v>
      </c>
      <c r="LHO3" t="s">
        <v>9010</v>
      </c>
      <c r="LHP3" t="s">
        <v>9011</v>
      </c>
      <c r="LHQ3" t="s">
        <v>9012</v>
      </c>
      <c r="LHR3" t="s">
        <v>9013</v>
      </c>
      <c r="LHS3" t="s">
        <v>9014</v>
      </c>
      <c r="LHT3" t="s">
        <v>9015</v>
      </c>
      <c r="LHU3" t="s">
        <v>9016</v>
      </c>
      <c r="LHV3" t="s">
        <v>9017</v>
      </c>
      <c r="LHW3" t="s">
        <v>9018</v>
      </c>
      <c r="LHX3" t="s">
        <v>9019</v>
      </c>
      <c r="LHY3" t="s">
        <v>9020</v>
      </c>
      <c r="LHZ3" t="s">
        <v>9021</v>
      </c>
      <c r="LIA3" t="s">
        <v>9022</v>
      </c>
      <c r="LIB3" t="s">
        <v>9023</v>
      </c>
      <c r="LIC3" t="s">
        <v>9024</v>
      </c>
      <c r="LID3" t="s">
        <v>9025</v>
      </c>
      <c r="LIE3" t="s">
        <v>9026</v>
      </c>
      <c r="LIF3" t="s">
        <v>9027</v>
      </c>
      <c r="LIG3" t="s">
        <v>9028</v>
      </c>
      <c r="LIH3" t="s">
        <v>9029</v>
      </c>
      <c r="LII3" t="s">
        <v>9030</v>
      </c>
      <c r="LIJ3" t="s">
        <v>9031</v>
      </c>
      <c r="LIK3" t="s">
        <v>9032</v>
      </c>
      <c r="LIL3" t="s">
        <v>9033</v>
      </c>
      <c r="LIM3" t="s">
        <v>9034</v>
      </c>
      <c r="LIN3" t="s">
        <v>9035</v>
      </c>
      <c r="LIO3" t="s">
        <v>9036</v>
      </c>
      <c r="LIP3" t="s">
        <v>9037</v>
      </c>
      <c r="LIQ3" t="s">
        <v>9038</v>
      </c>
      <c r="LIR3" t="s">
        <v>9039</v>
      </c>
      <c r="LIS3" t="s">
        <v>9040</v>
      </c>
      <c r="LIT3" t="s">
        <v>9041</v>
      </c>
      <c r="LIU3" t="s">
        <v>9042</v>
      </c>
      <c r="LIV3" t="s">
        <v>9043</v>
      </c>
      <c r="LIW3" t="s">
        <v>9044</v>
      </c>
      <c r="LIX3" t="s">
        <v>9045</v>
      </c>
      <c r="LIY3" t="s">
        <v>9046</v>
      </c>
      <c r="LIZ3" t="s">
        <v>9047</v>
      </c>
      <c r="LJA3" t="s">
        <v>9048</v>
      </c>
      <c r="LJB3" t="s">
        <v>9049</v>
      </c>
      <c r="LJC3" t="s">
        <v>9050</v>
      </c>
      <c r="LJD3" t="s">
        <v>9051</v>
      </c>
      <c r="LJE3" t="s">
        <v>9052</v>
      </c>
      <c r="LJF3" t="s">
        <v>9053</v>
      </c>
      <c r="LJG3" t="s">
        <v>9054</v>
      </c>
      <c r="LJH3" t="s">
        <v>9055</v>
      </c>
      <c r="LJI3" t="s">
        <v>9056</v>
      </c>
      <c r="LJJ3" t="s">
        <v>9057</v>
      </c>
      <c r="LJK3" t="s">
        <v>9058</v>
      </c>
      <c r="LJL3" t="s">
        <v>9059</v>
      </c>
      <c r="LJM3" t="s">
        <v>9060</v>
      </c>
      <c r="LJN3" t="s">
        <v>9061</v>
      </c>
      <c r="LJO3" t="s">
        <v>9062</v>
      </c>
      <c r="LJP3" t="s">
        <v>9063</v>
      </c>
      <c r="LJQ3" t="s">
        <v>9064</v>
      </c>
      <c r="LJR3" t="s">
        <v>9065</v>
      </c>
      <c r="LJS3" t="s">
        <v>9066</v>
      </c>
      <c r="LJT3" t="s">
        <v>9067</v>
      </c>
      <c r="LJU3" t="s">
        <v>9068</v>
      </c>
      <c r="LJV3" t="s">
        <v>9069</v>
      </c>
      <c r="LJW3" t="s">
        <v>9070</v>
      </c>
      <c r="LJX3" t="s">
        <v>9071</v>
      </c>
      <c r="LJY3" t="s">
        <v>9072</v>
      </c>
      <c r="LJZ3" t="s">
        <v>9073</v>
      </c>
      <c r="LKA3" t="s">
        <v>9074</v>
      </c>
      <c r="LKB3" t="s">
        <v>9075</v>
      </c>
      <c r="LKC3" t="s">
        <v>9076</v>
      </c>
      <c r="LKD3" t="s">
        <v>9077</v>
      </c>
      <c r="LKE3" t="s">
        <v>9078</v>
      </c>
      <c r="LKF3" t="s">
        <v>9079</v>
      </c>
      <c r="LKG3" t="s">
        <v>9080</v>
      </c>
      <c r="LKH3" t="s">
        <v>9081</v>
      </c>
      <c r="LKI3" t="s">
        <v>9082</v>
      </c>
      <c r="LKJ3" t="s">
        <v>9083</v>
      </c>
      <c r="LKK3" t="s">
        <v>9084</v>
      </c>
      <c r="LKL3" t="s">
        <v>9085</v>
      </c>
      <c r="LKM3" t="s">
        <v>9086</v>
      </c>
      <c r="LKN3" t="s">
        <v>9087</v>
      </c>
      <c r="LKO3" t="s">
        <v>9088</v>
      </c>
      <c r="LKP3" t="s">
        <v>9089</v>
      </c>
      <c r="LKQ3" t="s">
        <v>9090</v>
      </c>
      <c r="LKR3" t="s">
        <v>9091</v>
      </c>
      <c r="LKS3" t="s">
        <v>9092</v>
      </c>
      <c r="LKT3" t="s">
        <v>9093</v>
      </c>
      <c r="LKU3" t="s">
        <v>9094</v>
      </c>
      <c r="LKV3" t="s">
        <v>9095</v>
      </c>
      <c r="LKW3" t="s">
        <v>9096</v>
      </c>
      <c r="LKX3" t="s">
        <v>9097</v>
      </c>
      <c r="LKY3" t="s">
        <v>9098</v>
      </c>
      <c r="LKZ3" t="s">
        <v>9099</v>
      </c>
      <c r="LLA3" t="s">
        <v>9100</v>
      </c>
      <c r="LLB3" t="s">
        <v>9101</v>
      </c>
      <c r="LLC3" t="s">
        <v>9102</v>
      </c>
      <c r="LLD3" t="s">
        <v>9103</v>
      </c>
      <c r="LLE3" t="s">
        <v>9104</v>
      </c>
      <c r="LLF3" t="s">
        <v>9105</v>
      </c>
      <c r="LLG3" t="s">
        <v>9106</v>
      </c>
      <c r="LLH3" t="s">
        <v>9107</v>
      </c>
      <c r="LLI3" t="s">
        <v>9108</v>
      </c>
      <c r="LLJ3" t="s">
        <v>9109</v>
      </c>
      <c r="LLK3" t="s">
        <v>9110</v>
      </c>
      <c r="LLL3" t="s">
        <v>9111</v>
      </c>
      <c r="LLM3" t="s">
        <v>9112</v>
      </c>
      <c r="LLN3" t="s">
        <v>9113</v>
      </c>
      <c r="LLO3" t="s">
        <v>9114</v>
      </c>
      <c r="LLP3" t="s">
        <v>9115</v>
      </c>
      <c r="LLQ3" t="s">
        <v>9116</v>
      </c>
      <c r="LLR3" t="s">
        <v>9117</v>
      </c>
      <c r="LLS3" t="s">
        <v>9118</v>
      </c>
      <c r="LLT3" t="s">
        <v>9119</v>
      </c>
      <c r="LLU3" t="s">
        <v>9120</v>
      </c>
      <c r="LLV3" t="s">
        <v>9121</v>
      </c>
      <c r="LLW3" t="s">
        <v>9122</v>
      </c>
      <c r="LLX3" t="s">
        <v>9123</v>
      </c>
      <c r="LLY3" t="s">
        <v>9124</v>
      </c>
      <c r="LLZ3" t="s">
        <v>9125</v>
      </c>
      <c r="LMA3" t="s">
        <v>9126</v>
      </c>
      <c r="LMB3" t="s">
        <v>9127</v>
      </c>
      <c r="LMC3" t="s">
        <v>9128</v>
      </c>
      <c r="LMD3" t="s">
        <v>9129</v>
      </c>
      <c r="LME3" t="s">
        <v>9130</v>
      </c>
      <c r="LMF3" t="s">
        <v>9131</v>
      </c>
      <c r="LMG3" t="s">
        <v>9132</v>
      </c>
      <c r="LMH3" t="s">
        <v>9133</v>
      </c>
      <c r="LMI3" t="s">
        <v>9134</v>
      </c>
      <c r="LMJ3" t="s">
        <v>9135</v>
      </c>
      <c r="LMK3" t="s">
        <v>9136</v>
      </c>
      <c r="LML3" t="s">
        <v>9137</v>
      </c>
      <c r="LMM3" t="s">
        <v>9138</v>
      </c>
      <c r="LMN3" t="s">
        <v>9139</v>
      </c>
      <c r="LMO3" t="s">
        <v>9140</v>
      </c>
      <c r="LMP3" t="s">
        <v>9141</v>
      </c>
      <c r="LMQ3" t="s">
        <v>9142</v>
      </c>
      <c r="LMR3" t="s">
        <v>9143</v>
      </c>
      <c r="LMS3" t="s">
        <v>9144</v>
      </c>
      <c r="LMT3" t="s">
        <v>9145</v>
      </c>
      <c r="LMU3" t="s">
        <v>9146</v>
      </c>
      <c r="LMV3" t="s">
        <v>9147</v>
      </c>
      <c r="LMW3" t="s">
        <v>9148</v>
      </c>
      <c r="LMX3" t="s">
        <v>9149</v>
      </c>
      <c r="LMY3" t="s">
        <v>9150</v>
      </c>
      <c r="LMZ3" t="s">
        <v>9151</v>
      </c>
      <c r="LNA3" t="s">
        <v>9152</v>
      </c>
      <c r="LNB3" t="s">
        <v>9153</v>
      </c>
      <c r="LNC3" t="s">
        <v>9154</v>
      </c>
      <c r="LND3" t="s">
        <v>9155</v>
      </c>
      <c r="LNE3" t="s">
        <v>9156</v>
      </c>
      <c r="LNF3" t="s">
        <v>9157</v>
      </c>
      <c r="LNG3" t="s">
        <v>9158</v>
      </c>
      <c r="LNH3" t="s">
        <v>9159</v>
      </c>
      <c r="LNI3" t="s">
        <v>9160</v>
      </c>
      <c r="LNJ3" t="s">
        <v>9161</v>
      </c>
      <c r="LNK3" t="s">
        <v>9162</v>
      </c>
      <c r="LNL3" t="s">
        <v>9163</v>
      </c>
      <c r="LNM3" t="s">
        <v>9164</v>
      </c>
      <c r="LNN3" t="s">
        <v>9165</v>
      </c>
      <c r="LNO3" t="s">
        <v>9166</v>
      </c>
      <c r="LNP3" t="s">
        <v>9167</v>
      </c>
      <c r="LNQ3" t="s">
        <v>9168</v>
      </c>
      <c r="LNR3" t="s">
        <v>9169</v>
      </c>
      <c r="LNS3" t="s">
        <v>9170</v>
      </c>
      <c r="LNT3" t="s">
        <v>9171</v>
      </c>
      <c r="LNU3" t="s">
        <v>9172</v>
      </c>
      <c r="LNV3" t="s">
        <v>9173</v>
      </c>
      <c r="LNW3" t="s">
        <v>9174</v>
      </c>
      <c r="LNX3" t="s">
        <v>9175</v>
      </c>
      <c r="LNY3" t="s">
        <v>9176</v>
      </c>
      <c r="LNZ3" t="s">
        <v>9177</v>
      </c>
      <c r="LOA3" t="s">
        <v>9178</v>
      </c>
      <c r="LOB3" t="s">
        <v>9179</v>
      </c>
      <c r="LOC3" t="s">
        <v>9180</v>
      </c>
      <c r="LOD3" t="s">
        <v>9181</v>
      </c>
      <c r="LOE3" t="s">
        <v>9182</v>
      </c>
      <c r="LOF3" t="s">
        <v>9183</v>
      </c>
      <c r="LOG3" t="s">
        <v>9184</v>
      </c>
      <c r="LOH3" t="s">
        <v>9185</v>
      </c>
      <c r="LOI3" t="s">
        <v>9186</v>
      </c>
      <c r="LOJ3" t="s">
        <v>9187</v>
      </c>
      <c r="LOK3" t="s">
        <v>9188</v>
      </c>
      <c r="LOL3" t="s">
        <v>9189</v>
      </c>
      <c r="LOM3" t="s">
        <v>9190</v>
      </c>
      <c r="LON3" t="s">
        <v>9191</v>
      </c>
      <c r="LOO3" t="s">
        <v>9192</v>
      </c>
      <c r="LOP3" t="s">
        <v>9193</v>
      </c>
      <c r="LOQ3" t="s">
        <v>9194</v>
      </c>
      <c r="LOR3" t="s">
        <v>9195</v>
      </c>
      <c r="LOS3" t="s">
        <v>9196</v>
      </c>
      <c r="LOT3" t="s">
        <v>9197</v>
      </c>
      <c r="LOU3" t="s">
        <v>9198</v>
      </c>
      <c r="LOV3" t="s">
        <v>9199</v>
      </c>
      <c r="LOW3" t="s">
        <v>9200</v>
      </c>
      <c r="LOX3" t="s">
        <v>9201</v>
      </c>
      <c r="LOY3" t="s">
        <v>9202</v>
      </c>
      <c r="LOZ3" t="s">
        <v>9203</v>
      </c>
      <c r="LPA3" t="s">
        <v>9204</v>
      </c>
      <c r="LPB3" t="s">
        <v>9205</v>
      </c>
      <c r="LPC3" t="s">
        <v>9206</v>
      </c>
      <c r="LPD3" t="s">
        <v>9207</v>
      </c>
      <c r="LPE3" t="s">
        <v>9208</v>
      </c>
      <c r="LPF3" t="s">
        <v>9209</v>
      </c>
      <c r="LPG3" t="s">
        <v>9210</v>
      </c>
      <c r="LPH3" t="s">
        <v>9211</v>
      </c>
      <c r="LPI3" t="s">
        <v>9212</v>
      </c>
      <c r="LPJ3" t="s">
        <v>9213</v>
      </c>
      <c r="LPK3" t="s">
        <v>9214</v>
      </c>
      <c r="LPL3" t="s">
        <v>9215</v>
      </c>
      <c r="LPM3" t="s">
        <v>9216</v>
      </c>
      <c r="LPN3" t="s">
        <v>9217</v>
      </c>
      <c r="LPO3" t="s">
        <v>9218</v>
      </c>
      <c r="LPP3" t="s">
        <v>9219</v>
      </c>
      <c r="LPQ3" t="s">
        <v>9220</v>
      </c>
      <c r="LPR3" t="s">
        <v>9221</v>
      </c>
      <c r="LPS3" t="s">
        <v>9222</v>
      </c>
      <c r="LPT3" t="s">
        <v>9223</v>
      </c>
      <c r="LPU3" t="s">
        <v>9224</v>
      </c>
      <c r="LPV3" t="s">
        <v>9225</v>
      </c>
      <c r="LPW3" t="s">
        <v>9226</v>
      </c>
      <c r="LPX3" t="s">
        <v>9227</v>
      </c>
      <c r="LPY3" t="s">
        <v>9228</v>
      </c>
      <c r="LPZ3" t="s">
        <v>9229</v>
      </c>
      <c r="LQA3" t="s">
        <v>9230</v>
      </c>
      <c r="LQB3" t="s">
        <v>9231</v>
      </c>
      <c r="LQC3" t="s">
        <v>9232</v>
      </c>
      <c r="LQD3" t="s">
        <v>9233</v>
      </c>
      <c r="LQE3" t="s">
        <v>9234</v>
      </c>
      <c r="LQF3" t="s">
        <v>9235</v>
      </c>
      <c r="LQG3" t="s">
        <v>9236</v>
      </c>
      <c r="LQH3" t="s">
        <v>9237</v>
      </c>
      <c r="LQI3" t="s">
        <v>9238</v>
      </c>
      <c r="LQJ3" t="s">
        <v>9239</v>
      </c>
      <c r="LQK3" t="s">
        <v>9240</v>
      </c>
      <c r="LQL3" t="s">
        <v>9241</v>
      </c>
      <c r="LQM3" t="s">
        <v>9242</v>
      </c>
      <c r="LQN3" t="s">
        <v>9243</v>
      </c>
      <c r="LQO3" t="s">
        <v>9244</v>
      </c>
      <c r="LQP3" t="s">
        <v>9245</v>
      </c>
      <c r="LQQ3" t="s">
        <v>9246</v>
      </c>
      <c r="LQR3" t="s">
        <v>9247</v>
      </c>
      <c r="LQS3" t="s">
        <v>9248</v>
      </c>
      <c r="LQT3" t="s">
        <v>9249</v>
      </c>
      <c r="LQU3" t="s">
        <v>9250</v>
      </c>
      <c r="LQV3" t="s">
        <v>9251</v>
      </c>
      <c r="LQW3" t="s">
        <v>9252</v>
      </c>
      <c r="LQX3" t="s">
        <v>9253</v>
      </c>
      <c r="LQY3" t="s">
        <v>9254</v>
      </c>
      <c r="LQZ3" t="s">
        <v>9255</v>
      </c>
      <c r="LRA3" t="s">
        <v>9256</v>
      </c>
      <c r="LRB3" t="s">
        <v>9257</v>
      </c>
      <c r="LRC3" t="s">
        <v>9258</v>
      </c>
      <c r="LRD3" t="s">
        <v>9259</v>
      </c>
      <c r="LRE3" t="s">
        <v>9260</v>
      </c>
      <c r="LRF3" t="s">
        <v>9261</v>
      </c>
      <c r="LRG3" t="s">
        <v>9262</v>
      </c>
      <c r="LRH3" t="s">
        <v>9263</v>
      </c>
      <c r="LRI3" t="s">
        <v>9264</v>
      </c>
      <c r="LRJ3" t="s">
        <v>9265</v>
      </c>
      <c r="LRK3" t="s">
        <v>9266</v>
      </c>
      <c r="LRL3" t="s">
        <v>9267</v>
      </c>
      <c r="LRM3" t="s">
        <v>9268</v>
      </c>
      <c r="LRN3" t="s">
        <v>9269</v>
      </c>
      <c r="LRO3" t="s">
        <v>9270</v>
      </c>
      <c r="LRP3" t="s">
        <v>9271</v>
      </c>
      <c r="LRQ3" t="s">
        <v>9272</v>
      </c>
      <c r="LRR3" t="s">
        <v>9273</v>
      </c>
      <c r="LRS3" t="s">
        <v>9274</v>
      </c>
      <c r="LRT3" t="s">
        <v>9275</v>
      </c>
      <c r="LRU3" t="s">
        <v>9276</v>
      </c>
      <c r="LRV3" t="s">
        <v>9277</v>
      </c>
      <c r="LRW3" t="s">
        <v>9278</v>
      </c>
      <c r="LRX3" t="s">
        <v>9279</v>
      </c>
      <c r="LRY3" t="s">
        <v>9280</v>
      </c>
      <c r="LRZ3" t="s">
        <v>9281</v>
      </c>
      <c r="LSA3" t="s">
        <v>9282</v>
      </c>
      <c r="LSB3" t="s">
        <v>9283</v>
      </c>
      <c r="LSC3" t="s">
        <v>9284</v>
      </c>
      <c r="LSD3" t="s">
        <v>9285</v>
      </c>
      <c r="LSE3" t="s">
        <v>9286</v>
      </c>
      <c r="LSF3" t="s">
        <v>9287</v>
      </c>
      <c r="LSG3" t="s">
        <v>9288</v>
      </c>
      <c r="LSH3" t="s">
        <v>9289</v>
      </c>
      <c r="LSI3" t="s">
        <v>9290</v>
      </c>
      <c r="LSJ3" t="s">
        <v>9291</v>
      </c>
      <c r="LSK3" t="s">
        <v>9292</v>
      </c>
      <c r="LSL3" t="s">
        <v>9293</v>
      </c>
      <c r="LSM3" t="s">
        <v>9294</v>
      </c>
      <c r="LSN3" t="s">
        <v>9295</v>
      </c>
      <c r="LSO3" t="s">
        <v>9296</v>
      </c>
      <c r="LSP3" t="s">
        <v>9297</v>
      </c>
      <c r="LSQ3" t="s">
        <v>9298</v>
      </c>
      <c r="LSR3" t="s">
        <v>9299</v>
      </c>
      <c r="LSS3" t="s">
        <v>9300</v>
      </c>
      <c r="LST3" t="s">
        <v>9301</v>
      </c>
      <c r="LSU3" t="s">
        <v>9302</v>
      </c>
      <c r="LSV3" t="s">
        <v>9303</v>
      </c>
      <c r="LSW3" t="s">
        <v>9304</v>
      </c>
      <c r="LSX3" t="s">
        <v>9305</v>
      </c>
      <c r="LSY3" t="s">
        <v>9306</v>
      </c>
      <c r="LSZ3" t="s">
        <v>9307</v>
      </c>
      <c r="LTA3" t="s">
        <v>9308</v>
      </c>
      <c r="LTB3" t="s">
        <v>9309</v>
      </c>
      <c r="LTC3" t="s">
        <v>9310</v>
      </c>
      <c r="LTD3" t="s">
        <v>9311</v>
      </c>
      <c r="LTE3" t="s">
        <v>9312</v>
      </c>
      <c r="LTF3" t="s">
        <v>9313</v>
      </c>
      <c r="LTG3" t="s">
        <v>9314</v>
      </c>
      <c r="LTH3" t="s">
        <v>9315</v>
      </c>
      <c r="LTI3" t="s">
        <v>9316</v>
      </c>
      <c r="LTJ3" t="s">
        <v>9317</v>
      </c>
      <c r="LTK3" t="s">
        <v>9318</v>
      </c>
      <c r="LTL3" t="s">
        <v>9319</v>
      </c>
      <c r="LTM3" t="s">
        <v>9320</v>
      </c>
      <c r="LTN3" t="s">
        <v>9321</v>
      </c>
      <c r="LTO3" t="s">
        <v>9322</v>
      </c>
      <c r="LTP3" t="s">
        <v>9323</v>
      </c>
      <c r="LTQ3" t="s">
        <v>9324</v>
      </c>
      <c r="LTR3" t="s">
        <v>9325</v>
      </c>
      <c r="LTS3" t="s">
        <v>9326</v>
      </c>
      <c r="LTT3" t="s">
        <v>9327</v>
      </c>
      <c r="LTU3" t="s">
        <v>9328</v>
      </c>
      <c r="LTV3" t="s">
        <v>9329</v>
      </c>
      <c r="LTW3" t="s">
        <v>9330</v>
      </c>
      <c r="LTX3" t="s">
        <v>9331</v>
      </c>
      <c r="LTY3" t="s">
        <v>9332</v>
      </c>
      <c r="LTZ3" t="s">
        <v>9333</v>
      </c>
      <c r="LUA3" t="s">
        <v>9334</v>
      </c>
      <c r="LUB3" t="s">
        <v>9335</v>
      </c>
      <c r="LUC3" t="s">
        <v>9336</v>
      </c>
      <c r="LUD3" t="s">
        <v>9337</v>
      </c>
      <c r="LUE3" t="s">
        <v>9338</v>
      </c>
      <c r="LUF3" t="s">
        <v>9339</v>
      </c>
      <c r="LUG3" t="s">
        <v>9340</v>
      </c>
      <c r="LUH3" t="s">
        <v>9341</v>
      </c>
      <c r="LUI3" t="s">
        <v>9342</v>
      </c>
      <c r="LUJ3" t="s">
        <v>9343</v>
      </c>
      <c r="LUK3" t="s">
        <v>9344</v>
      </c>
      <c r="LUL3" t="s">
        <v>9345</v>
      </c>
      <c r="LUM3" t="s">
        <v>9346</v>
      </c>
      <c r="LUN3" t="s">
        <v>9347</v>
      </c>
      <c r="LUO3" t="s">
        <v>9348</v>
      </c>
      <c r="LUP3" t="s">
        <v>9349</v>
      </c>
      <c r="LUQ3" t="s">
        <v>9350</v>
      </c>
      <c r="LUR3" t="s">
        <v>9351</v>
      </c>
      <c r="LUS3" t="s">
        <v>9352</v>
      </c>
      <c r="LUT3" t="s">
        <v>9353</v>
      </c>
      <c r="LUU3" t="s">
        <v>9354</v>
      </c>
      <c r="LUV3" t="s">
        <v>9355</v>
      </c>
      <c r="LUW3" t="s">
        <v>9356</v>
      </c>
      <c r="LUX3" t="s">
        <v>9357</v>
      </c>
      <c r="LUY3" t="s">
        <v>9358</v>
      </c>
      <c r="LUZ3" t="s">
        <v>9359</v>
      </c>
      <c r="LVA3" t="s">
        <v>9360</v>
      </c>
      <c r="LVB3" t="s">
        <v>9361</v>
      </c>
      <c r="LVC3" t="s">
        <v>9362</v>
      </c>
      <c r="LVD3" t="s">
        <v>9363</v>
      </c>
      <c r="LVE3" t="s">
        <v>9364</v>
      </c>
      <c r="LVF3" t="s">
        <v>9365</v>
      </c>
      <c r="LVG3" t="s">
        <v>9366</v>
      </c>
      <c r="LVH3" t="s">
        <v>9367</v>
      </c>
      <c r="LVI3" t="s">
        <v>9368</v>
      </c>
      <c r="LVJ3" t="s">
        <v>9369</v>
      </c>
      <c r="LVK3" t="s">
        <v>9370</v>
      </c>
      <c r="LVL3" t="s">
        <v>9371</v>
      </c>
      <c r="LVM3" t="s">
        <v>9372</v>
      </c>
      <c r="LVN3" t="s">
        <v>9373</v>
      </c>
      <c r="LVO3" t="s">
        <v>9374</v>
      </c>
      <c r="LVP3" t="s">
        <v>9375</v>
      </c>
      <c r="LVQ3" t="s">
        <v>9376</v>
      </c>
      <c r="LVR3" t="s">
        <v>9377</v>
      </c>
      <c r="LVS3" t="s">
        <v>9378</v>
      </c>
      <c r="LVT3" t="s">
        <v>9379</v>
      </c>
      <c r="LVU3" t="s">
        <v>9380</v>
      </c>
      <c r="LVV3" t="s">
        <v>9381</v>
      </c>
      <c r="LVW3" t="s">
        <v>9382</v>
      </c>
      <c r="LVX3" t="s">
        <v>9383</v>
      </c>
      <c r="LVY3" t="s">
        <v>9384</v>
      </c>
      <c r="LVZ3" t="s">
        <v>9385</v>
      </c>
      <c r="LWA3" t="s">
        <v>9386</v>
      </c>
      <c r="LWB3" t="s">
        <v>9387</v>
      </c>
      <c r="LWC3" t="s">
        <v>9388</v>
      </c>
      <c r="LWD3" t="s">
        <v>9389</v>
      </c>
      <c r="LWE3" t="s">
        <v>9390</v>
      </c>
      <c r="LWF3" t="s">
        <v>9391</v>
      </c>
      <c r="LWG3" t="s">
        <v>9392</v>
      </c>
      <c r="LWH3" t="s">
        <v>9393</v>
      </c>
      <c r="LWI3" t="s">
        <v>9394</v>
      </c>
      <c r="LWJ3" t="s">
        <v>9395</v>
      </c>
      <c r="LWK3" t="s">
        <v>9396</v>
      </c>
      <c r="LWL3" t="s">
        <v>9397</v>
      </c>
      <c r="LWM3" t="s">
        <v>9398</v>
      </c>
      <c r="LWN3" t="s">
        <v>9399</v>
      </c>
      <c r="LWO3" t="s">
        <v>9400</v>
      </c>
      <c r="LWP3" t="s">
        <v>9401</v>
      </c>
      <c r="LWQ3" t="s">
        <v>9402</v>
      </c>
      <c r="LWR3" t="s">
        <v>9403</v>
      </c>
      <c r="LWS3" t="s">
        <v>9404</v>
      </c>
      <c r="LWT3" t="s">
        <v>9405</v>
      </c>
      <c r="LWU3" t="s">
        <v>9406</v>
      </c>
      <c r="LWV3" t="s">
        <v>9407</v>
      </c>
      <c r="LWW3" t="s">
        <v>9408</v>
      </c>
      <c r="LWX3" t="s">
        <v>9409</v>
      </c>
      <c r="LWY3" t="s">
        <v>9410</v>
      </c>
      <c r="LWZ3" t="s">
        <v>9411</v>
      </c>
      <c r="LXA3" t="s">
        <v>9412</v>
      </c>
      <c r="LXB3" t="s">
        <v>9413</v>
      </c>
      <c r="LXC3" t="s">
        <v>9414</v>
      </c>
      <c r="LXD3" t="s">
        <v>9415</v>
      </c>
      <c r="LXE3" t="s">
        <v>9416</v>
      </c>
      <c r="LXF3" t="s">
        <v>9417</v>
      </c>
      <c r="LXG3" t="s">
        <v>9418</v>
      </c>
      <c r="LXH3" t="s">
        <v>9419</v>
      </c>
      <c r="LXI3" t="s">
        <v>9420</v>
      </c>
      <c r="LXJ3" t="s">
        <v>9421</v>
      </c>
      <c r="LXK3" t="s">
        <v>9422</v>
      </c>
      <c r="LXL3" t="s">
        <v>9423</v>
      </c>
      <c r="LXM3" t="s">
        <v>9424</v>
      </c>
      <c r="LXN3" t="s">
        <v>9425</v>
      </c>
      <c r="LXO3" t="s">
        <v>9426</v>
      </c>
      <c r="LXP3" t="s">
        <v>9427</v>
      </c>
      <c r="LXQ3" t="s">
        <v>9428</v>
      </c>
      <c r="LXR3" t="s">
        <v>9429</v>
      </c>
      <c r="LXS3" t="s">
        <v>9430</v>
      </c>
      <c r="LXT3" t="s">
        <v>9431</v>
      </c>
      <c r="LXU3" t="s">
        <v>9432</v>
      </c>
      <c r="LXV3" t="s">
        <v>9433</v>
      </c>
      <c r="LXW3" t="s">
        <v>9434</v>
      </c>
      <c r="LXX3" t="s">
        <v>9435</v>
      </c>
      <c r="LXY3" t="s">
        <v>9436</v>
      </c>
      <c r="LXZ3" t="s">
        <v>9437</v>
      </c>
      <c r="LYA3" t="s">
        <v>9438</v>
      </c>
      <c r="LYB3" t="s">
        <v>9439</v>
      </c>
      <c r="LYC3" t="s">
        <v>9440</v>
      </c>
      <c r="LYD3" t="s">
        <v>9441</v>
      </c>
      <c r="LYE3" t="s">
        <v>9442</v>
      </c>
      <c r="LYF3" t="s">
        <v>9443</v>
      </c>
      <c r="LYG3" t="s">
        <v>9444</v>
      </c>
      <c r="LYH3" t="s">
        <v>9445</v>
      </c>
      <c r="LYI3" t="s">
        <v>9446</v>
      </c>
      <c r="LYJ3" t="s">
        <v>9447</v>
      </c>
      <c r="LYK3" t="s">
        <v>9448</v>
      </c>
      <c r="LYL3" t="s">
        <v>9449</v>
      </c>
      <c r="LYM3" t="s">
        <v>9450</v>
      </c>
      <c r="LYN3" t="s">
        <v>9451</v>
      </c>
      <c r="LYO3" t="s">
        <v>9452</v>
      </c>
      <c r="LYP3" t="s">
        <v>9453</v>
      </c>
      <c r="LYQ3" t="s">
        <v>9454</v>
      </c>
      <c r="LYR3" t="s">
        <v>9455</v>
      </c>
      <c r="LYS3" t="s">
        <v>9456</v>
      </c>
      <c r="LYT3" t="s">
        <v>9457</v>
      </c>
      <c r="LYU3" t="s">
        <v>9458</v>
      </c>
      <c r="LYV3" t="s">
        <v>9459</v>
      </c>
      <c r="LYW3" t="s">
        <v>9460</v>
      </c>
      <c r="LYX3" t="s">
        <v>9461</v>
      </c>
      <c r="LYY3" t="s">
        <v>9462</v>
      </c>
      <c r="LYZ3" t="s">
        <v>9463</v>
      </c>
      <c r="LZA3" t="s">
        <v>9464</v>
      </c>
      <c r="LZB3" t="s">
        <v>9465</v>
      </c>
      <c r="LZC3" t="s">
        <v>9466</v>
      </c>
      <c r="LZD3" t="s">
        <v>9467</v>
      </c>
      <c r="LZE3" t="s">
        <v>9468</v>
      </c>
      <c r="LZF3" t="s">
        <v>9469</v>
      </c>
      <c r="LZG3" t="s">
        <v>9470</v>
      </c>
      <c r="LZH3" t="s">
        <v>9471</v>
      </c>
      <c r="LZI3" t="s">
        <v>9472</v>
      </c>
      <c r="LZJ3" t="s">
        <v>9473</v>
      </c>
      <c r="LZK3" t="s">
        <v>9474</v>
      </c>
      <c r="LZL3" t="s">
        <v>9475</v>
      </c>
      <c r="LZM3" t="s">
        <v>9476</v>
      </c>
      <c r="LZN3" t="s">
        <v>9477</v>
      </c>
      <c r="LZO3" t="s">
        <v>9478</v>
      </c>
      <c r="LZP3" t="s">
        <v>9479</v>
      </c>
      <c r="LZQ3" t="s">
        <v>9480</v>
      </c>
      <c r="LZR3" t="s">
        <v>9481</v>
      </c>
      <c r="LZS3" t="s">
        <v>9482</v>
      </c>
      <c r="LZT3" t="s">
        <v>9483</v>
      </c>
      <c r="LZU3" t="s">
        <v>9484</v>
      </c>
      <c r="LZV3" t="s">
        <v>9485</v>
      </c>
      <c r="LZW3" t="s">
        <v>9486</v>
      </c>
      <c r="LZX3" t="s">
        <v>9487</v>
      </c>
      <c r="LZY3" t="s">
        <v>9488</v>
      </c>
      <c r="LZZ3" t="s">
        <v>9489</v>
      </c>
      <c r="MAA3" t="s">
        <v>9490</v>
      </c>
      <c r="MAB3" t="s">
        <v>9491</v>
      </c>
      <c r="MAC3" t="s">
        <v>9492</v>
      </c>
      <c r="MAD3" t="s">
        <v>9493</v>
      </c>
      <c r="MAE3" t="s">
        <v>9494</v>
      </c>
      <c r="MAF3" t="s">
        <v>9495</v>
      </c>
      <c r="MAG3" t="s">
        <v>9496</v>
      </c>
      <c r="MAH3" t="s">
        <v>9497</v>
      </c>
      <c r="MAI3" t="s">
        <v>9498</v>
      </c>
      <c r="MAJ3" t="s">
        <v>9499</v>
      </c>
      <c r="MAK3" t="s">
        <v>9500</v>
      </c>
      <c r="MAL3" t="s">
        <v>9501</v>
      </c>
      <c r="MAM3" t="s">
        <v>9502</v>
      </c>
      <c r="MAN3" t="s">
        <v>9503</v>
      </c>
      <c r="MAO3" t="s">
        <v>9504</v>
      </c>
      <c r="MAP3" t="s">
        <v>9505</v>
      </c>
      <c r="MAQ3" t="s">
        <v>9506</v>
      </c>
      <c r="MAR3" t="s">
        <v>9507</v>
      </c>
      <c r="MAS3" t="s">
        <v>9508</v>
      </c>
      <c r="MAT3" t="s">
        <v>9509</v>
      </c>
      <c r="MAU3" t="s">
        <v>9510</v>
      </c>
      <c r="MAV3" t="s">
        <v>9511</v>
      </c>
      <c r="MAW3" t="s">
        <v>9512</v>
      </c>
      <c r="MAX3" t="s">
        <v>9513</v>
      </c>
      <c r="MAY3" t="s">
        <v>9514</v>
      </c>
      <c r="MAZ3" t="s">
        <v>9515</v>
      </c>
      <c r="MBA3" t="s">
        <v>9516</v>
      </c>
      <c r="MBB3" t="s">
        <v>9517</v>
      </c>
      <c r="MBC3" t="s">
        <v>9518</v>
      </c>
      <c r="MBD3" t="s">
        <v>9519</v>
      </c>
      <c r="MBE3" t="s">
        <v>9520</v>
      </c>
      <c r="MBF3" t="s">
        <v>9521</v>
      </c>
      <c r="MBG3" t="s">
        <v>9522</v>
      </c>
      <c r="MBH3" t="s">
        <v>9523</v>
      </c>
      <c r="MBI3" t="s">
        <v>9524</v>
      </c>
      <c r="MBJ3" t="s">
        <v>9525</v>
      </c>
      <c r="MBK3" t="s">
        <v>9526</v>
      </c>
      <c r="MBL3" t="s">
        <v>9527</v>
      </c>
      <c r="MBM3" t="s">
        <v>9528</v>
      </c>
      <c r="MBN3" t="s">
        <v>9529</v>
      </c>
      <c r="MBO3" t="s">
        <v>9530</v>
      </c>
      <c r="MBP3" t="s">
        <v>9531</v>
      </c>
      <c r="MBQ3" t="s">
        <v>9532</v>
      </c>
      <c r="MBR3" t="s">
        <v>9533</v>
      </c>
      <c r="MBS3" t="s">
        <v>9534</v>
      </c>
      <c r="MBT3" t="s">
        <v>9535</v>
      </c>
      <c r="MBU3" t="s">
        <v>9536</v>
      </c>
      <c r="MBV3" t="s">
        <v>9537</v>
      </c>
      <c r="MBW3" t="s">
        <v>9538</v>
      </c>
      <c r="MBX3" t="s">
        <v>9539</v>
      </c>
      <c r="MBY3" t="s">
        <v>9540</v>
      </c>
      <c r="MBZ3" t="s">
        <v>9541</v>
      </c>
      <c r="MCA3" t="s">
        <v>9542</v>
      </c>
      <c r="MCB3" t="s">
        <v>9543</v>
      </c>
      <c r="MCC3" t="s">
        <v>9544</v>
      </c>
      <c r="MCD3" t="s">
        <v>9545</v>
      </c>
      <c r="MCE3" t="s">
        <v>9546</v>
      </c>
      <c r="MCF3" t="s">
        <v>9547</v>
      </c>
      <c r="MCG3" t="s">
        <v>9548</v>
      </c>
      <c r="MCH3" t="s">
        <v>9549</v>
      </c>
      <c r="MCI3" t="s">
        <v>9550</v>
      </c>
      <c r="MCJ3" t="s">
        <v>9551</v>
      </c>
      <c r="MCK3" t="s">
        <v>9552</v>
      </c>
      <c r="MCL3" t="s">
        <v>9553</v>
      </c>
      <c r="MCM3" t="s">
        <v>9554</v>
      </c>
      <c r="MCN3" t="s">
        <v>9555</v>
      </c>
      <c r="MCO3" t="s">
        <v>9556</v>
      </c>
      <c r="MCP3" t="s">
        <v>9557</v>
      </c>
      <c r="MCQ3" t="s">
        <v>9558</v>
      </c>
      <c r="MCR3" t="s">
        <v>9559</v>
      </c>
      <c r="MCS3" t="s">
        <v>9560</v>
      </c>
      <c r="MCT3" t="s">
        <v>9561</v>
      </c>
      <c r="MCU3" t="s">
        <v>9562</v>
      </c>
      <c r="MCV3" t="s">
        <v>9563</v>
      </c>
      <c r="MCW3" t="s">
        <v>9564</v>
      </c>
      <c r="MCX3" t="s">
        <v>9565</v>
      </c>
      <c r="MCY3" t="s">
        <v>9566</v>
      </c>
      <c r="MCZ3" t="s">
        <v>9567</v>
      </c>
      <c r="MDA3" t="s">
        <v>9568</v>
      </c>
      <c r="MDB3" t="s">
        <v>9569</v>
      </c>
      <c r="MDC3" t="s">
        <v>9570</v>
      </c>
      <c r="MDD3" t="s">
        <v>9571</v>
      </c>
      <c r="MDE3" t="s">
        <v>9572</v>
      </c>
      <c r="MDF3" t="s">
        <v>9573</v>
      </c>
      <c r="MDG3" t="s">
        <v>9574</v>
      </c>
      <c r="MDH3" t="s">
        <v>9575</v>
      </c>
      <c r="MDI3" t="s">
        <v>9576</v>
      </c>
      <c r="MDJ3" t="s">
        <v>9577</v>
      </c>
      <c r="MDK3" t="s">
        <v>9578</v>
      </c>
      <c r="MDL3" t="s">
        <v>9579</v>
      </c>
      <c r="MDM3" t="s">
        <v>9580</v>
      </c>
      <c r="MDN3" t="s">
        <v>9581</v>
      </c>
      <c r="MDO3" t="s">
        <v>9582</v>
      </c>
      <c r="MDP3" t="s">
        <v>9583</v>
      </c>
      <c r="MDQ3" t="s">
        <v>9584</v>
      </c>
      <c r="MDR3" t="s">
        <v>9585</v>
      </c>
      <c r="MDS3" t="s">
        <v>9586</v>
      </c>
      <c r="MDT3" t="s">
        <v>9587</v>
      </c>
      <c r="MDU3" t="s">
        <v>9588</v>
      </c>
      <c r="MDV3" t="s">
        <v>9589</v>
      </c>
      <c r="MDW3" t="s">
        <v>9590</v>
      </c>
      <c r="MDX3" t="s">
        <v>9591</v>
      </c>
      <c r="MDY3" t="s">
        <v>9592</v>
      </c>
      <c r="MDZ3" t="s">
        <v>9593</v>
      </c>
      <c r="MEA3" t="s">
        <v>9594</v>
      </c>
      <c r="MEB3" t="s">
        <v>9595</v>
      </c>
      <c r="MEC3" t="s">
        <v>9596</v>
      </c>
      <c r="MED3" t="s">
        <v>9597</v>
      </c>
      <c r="MEE3" t="s">
        <v>9598</v>
      </c>
      <c r="MEF3" t="s">
        <v>9599</v>
      </c>
      <c r="MEG3" t="s">
        <v>9600</v>
      </c>
      <c r="MEH3" t="s">
        <v>9601</v>
      </c>
      <c r="MEI3" t="s">
        <v>9602</v>
      </c>
      <c r="MEJ3" t="s">
        <v>9603</v>
      </c>
      <c r="MEK3" t="s">
        <v>9604</v>
      </c>
      <c r="MEL3" t="s">
        <v>9605</v>
      </c>
      <c r="MEM3" t="s">
        <v>9606</v>
      </c>
      <c r="MEN3" t="s">
        <v>9607</v>
      </c>
      <c r="MEO3" t="s">
        <v>9608</v>
      </c>
      <c r="MEP3" t="s">
        <v>9609</v>
      </c>
      <c r="MEQ3" t="s">
        <v>9610</v>
      </c>
      <c r="MER3" t="s">
        <v>9611</v>
      </c>
      <c r="MES3" t="s">
        <v>9612</v>
      </c>
      <c r="MET3" t="s">
        <v>9613</v>
      </c>
      <c r="MEU3" t="s">
        <v>9614</v>
      </c>
      <c r="MEV3" t="s">
        <v>9615</v>
      </c>
      <c r="MEW3" t="s">
        <v>9616</v>
      </c>
      <c r="MEX3" t="s">
        <v>9617</v>
      </c>
      <c r="MEY3" t="s">
        <v>9618</v>
      </c>
      <c r="MEZ3" t="s">
        <v>9619</v>
      </c>
      <c r="MFA3" t="s">
        <v>9620</v>
      </c>
      <c r="MFB3" t="s">
        <v>9621</v>
      </c>
      <c r="MFC3" t="s">
        <v>9622</v>
      </c>
      <c r="MFD3" t="s">
        <v>9623</v>
      </c>
      <c r="MFE3" t="s">
        <v>9624</v>
      </c>
      <c r="MFF3" t="s">
        <v>9625</v>
      </c>
      <c r="MFG3" t="s">
        <v>9626</v>
      </c>
      <c r="MFH3" t="s">
        <v>9627</v>
      </c>
      <c r="MFI3" t="s">
        <v>9628</v>
      </c>
      <c r="MFJ3" t="s">
        <v>9629</v>
      </c>
      <c r="MFK3" t="s">
        <v>9630</v>
      </c>
      <c r="MFL3" t="s">
        <v>9631</v>
      </c>
      <c r="MFM3" t="s">
        <v>9632</v>
      </c>
      <c r="MFN3" t="s">
        <v>9633</v>
      </c>
      <c r="MFO3" t="s">
        <v>9634</v>
      </c>
      <c r="MFP3" t="s">
        <v>9635</v>
      </c>
      <c r="MFQ3" t="s">
        <v>9636</v>
      </c>
      <c r="MFR3" t="s">
        <v>9637</v>
      </c>
      <c r="MFS3" t="s">
        <v>9638</v>
      </c>
      <c r="MFT3" t="s">
        <v>9639</v>
      </c>
      <c r="MFU3" t="s">
        <v>9640</v>
      </c>
      <c r="MFV3" t="s">
        <v>9641</v>
      </c>
      <c r="MFW3" t="s">
        <v>9642</v>
      </c>
      <c r="MFX3" t="s">
        <v>9643</v>
      </c>
      <c r="MFY3" t="s">
        <v>9644</v>
      </c>
      <c r="MFZ3" t="s">
        <v>9645</v>
      </c>
      <c r="MGA3" t="s">
        <v>9646</v>
      </c>
      <c r="MGB3" t="s">
        <v>9647</v>
      </c>
      <c r="MGC3" t="s">
        <v>9648</v>
      </c>
      <c r="MGD3" t="s">
        <v>9649</v>
      </c>
      <c r="MGE3" t="s">
        <v>9650</v>
      </c>
      <c r="MGF3" t="s">
        <v>9651</v>
      </c>
      <c r="MGG3" t="s">
        <v>9652</v>
      </c>
      <c r="MGH3" t="s">
        <v>9653</v>
      </c>
      <c r="MGI3" t="s">
        <v>9654</v>
      </c>
      <c r="MGJ3" t="s">
        <v>9655</v>
      </c>
      <c r="MGK3" t="s">
        <v>9656</v>
      </c>
      <c r="MGL3" t="s">
        <v>9657</v>
      </c>
      <c r="MGM3" t="s">
        <v>9658</v>
      </c>
      <c r="MGN3" t="s">
        <v>9659</v>
      </c>
      <c r="MGO3" t="s">
        <v>9660</v>
      </c>
      <c r="MGP3" t="s">
        <v>9661</v>
      </c>
      <c r="MGQ3" t="s">
        <v>9662</v>
      </c>
      <c r="MGR3" t="s">
        <v>9663</v>
      </c>
      <c r="MGS3" t="s">
        <v>9664</v>
      </c>
      <c r="MGT3" t="s">
        <v>9665</v>
      </c>
      <c r="MGU3" t="s">
        <v>9666</v>
      </c>
      <c r="MGV3" t="s">
        <v>9667</v>
      </c>
      <c r="MGW3" t="s">
        <v>9668</v>
      </c>
      <c r="MGX3" t="s">
        <v>9669</v>
      </c>
      <c r="MGY3" t="s">
        <v>9670</v>
      </c>
      <c r="MGZ3" t="s">
        <v>9671</v>
      </c>
      <c r="MHA3" t="s">
        <v>9672</v>
      </c>
      <c r="MHB3" t="s">
        <v>9673</v>
      </c>
      <c r="MHC3" t="s">
        <v>9674</v>
      </c>
      <c r="MHD3" t="s">
        <v>9675</v>
      </c>
      <c r="MHE3" t="s">
        <v>9676</v>
      </c>
      <c r="MHF3" t="s">
        <v>9677</v>
      </c>
      <c r="MHG3" t="s">
        <v>9678</v>
      </c>
      <c r="MHH3" t="s">
        <v>9679</v>
      </c>
      <c r="MHI3" t="s">
        <v>9680</v>
      </c>
      <c r="MHJ3" t="s">
        <v>9681</v>
      </c>
      <c r="MHK3" t="s">
        <v>9682</v>
      </c>
      <c r="MHL3" t="s">
        <v>9683</v>
      </c>
      <c r="MHM3" t="s">
        <v>9684</v>
      </c>
      <c r="MHN3" t="s">
        <v>9685</v>
      </c>
      <c r="MHO3" t="s">
        <v>9686</v>
      </c>
      <c r="MHP3" t="s">
        <v>9687</v>
      </c>
      <c r="MHQ3" t="s">
        <v>9688</v>
      </c>
      <c r="MHR3" t="s">
        <v>9689</v>
      </c>
      <c r="MHS3" t="s">
        <v>9690</v>
      </c>
      <c r="MHT3" t="s">
        <v>9691</v>
      </c>
      <c r="MHU3" t="s">
        <v>9692</v>
      </c>
      <c r="MHV3" t="s">
        <v>9693</v>
      </c>
      <c r="MHW3" t="s">
        <v>9694</v>
      </c>
      <c r="MHX3" t="s">
        <v>9695</v>
      </c>
      <c r="MHY3" t="s">
        <v>9696</v>
      </c>
      <c r="MHZ3" t="s">
        <v>9697</v>
      </c>
      <c r="MIA3" t="s">
        <v>9698</v>
      </c>
      <c r="MIB3" t="s">
        <v>9699</v>
      </c>
      <c r="MIC3" t="s">
        <v>9700</v>
      </c>
      <c r="MID3" t="s">
        <v>9701</v>
      </c>
      <c r="MIE3" t="s">
        <v>9702</v>
      </c>
      <c r="MIF3" t="s">
        <v>9703</v>
      </c>
      <c r="MIG3" t="s">
        <v>9704</v>
      </c>
      <c r="MIH3" t="s">
        <v>9705</v>
      </c>
      <c r="MII3" t="s">
        <v>9706</v>
      </c>
      <c r="MIJ3" t="s">
        <v>9707</v>
      </c>
      <c r="MIK3" t="s">
        <v>9708</v>
      </c>
      <c r="MIL3" t="s">
        <v>9709</v>
      </c>
      <c r="MIM3" t="s">
        <v>9710</v>
      </c>
      <c r="MIN3" t="s">
        <v>9711</v>
      </c>
      <c r="MIO3" t="s">
        <v>9712</v>
      </c>
      <c r="MIP3" t="s">
        <v>9713</v>
      </c>
      <c r="MIQ3" t="s">
        <v>9714</v>
      </c>
      <c r="MIR3" t="s">
        <v>9715</v>
      </c>
      <c r="MIS3" t="s">
        <v>9716</v>
      </c>
      <c r="MIT3" t="s">
        <v>9717</v>
      </c>
      <c r="MIU3" t="s">
        <v>9718</v>
      </c>
      <c r="MIV3" t="s">
        <v>9719</v>
      </c>
      <c r="MIW3" t="s">
        <v>9720</v>
      </c>
      <c r="MIX3" t="s">
        <v>9721</v>
      </c>
      <c r="MIY3" t="s">
        <v>9722</v>
      </c>
      <c r="MIZ3" t="s">
        <v>9723</v>
      </c>
      <c r="MJA3" t="s">
        <v>9724</v>
      </c>
      <c r="MJB3" t="s">
        <v>9725</v>
      </c>
      <c r="MJC3" t="s">
        <v>9726</v>
      </c>
      <c r="MJD3" t="s">
        <v>9727</v>
      </c>
      <c r="MJE3" t="s">
        <v>9728</v>
      </c>
      <c r="MJF3" t="s">
        <v>9729</v>
      </c>
      <c r="MJG3" t="s">
        <v>9730</v>
      </c>
      <c r="MJH3" t="s">
        <v>9731</v>
      </c>
      <c r="MJI3" t="s">
        <v>9732</v>
      </c>
      <c r="MJJ3" t="s">
        <v>9733</v>
      </c>
      <c r="MJK3" t="s">
        <v>9734</v>
      </c>
      <c r="MJL3" t="s">
        <v>9735</v>
      </c>
      <c r="MJM3" t="s">
        <v>9736</v>
      </c>
      <c r="MJN3" t="s">
        <v>9737</v>
      </c>
      <c r="MJO3" t="s">
        <v>9738</v>
      </c>
      <c r="MJP3" t="s">
        <v>9739</v>
      </c>
      <c r="MJQ3" t="s">
        <v>9740</v>
      </c>
      <c r="MJR3" t="s">
        <v>9741</v>
      </c>
      <c r="MJS3" t="s">
        <v>9742</v>
      </c>
      <c r="MJT3" t="s">
        <v>9743</v>
      </c>
      <c r="MJU3" t="s">
        <v>9744</v>
      </c>
      <c r="MJV3" t="s">
        <v>9745</v>
      </c>
      <c r="MJW3" t="s">
        <v>9746</v>
      </c>
      <c r="MJX3" t="s">
        <v>9747</v>
      </c>
      <c r="MJY3" t="s">
        <v>9748</v>
      </c>
      <c r="MJZ3" t="s">
        <v>9749</v>
      </c>
      <c r="MKA3" t="s">
        <v>9750</v>
      </c>
      <c r="MKB3" t="s">
        <v>9751</v>
      </c>
      <c r="MKC3" t="s">
        <v>9752</v>
      </c>
      <c r="MKD3" t="s">
        <v>9753</v>
      </c>
      <c r="MKE3" t="s">
        <v>9754</v>
      </c>
      <c r="MKF3" t="s">
        <v>9755</v>
      </c>
      <c r="MKG3" t="s">
        <v>9756</v>
      </c>
      <c r="MKH3" t="s">
        <v>9757</v>
      </c>
      <c r="MKI3" t="s">
        <v>9758</v>
      </c>
      <c r="MKJ3" t="s">
        <v>9759</v>
      </c>
      <c r="MKK3" t="s">
        <v>9760</v>
      </c>
      <c r="MKL3" t="s">
        <v>9761</v>
      </c>
      <c r="MKM3" t="s">
        <v>9762</v>
      </c>
      <c r="MKN3" t="s">
        <v>9763</v>
      </c>
      <c r="MKO3" t="s">
        <v>9764</v>
      </c>
      <c r="MKP3" t="s">
        <v>9765</v>
      </c>
      <c r="MKQ3" t="s">
        <v>9766</v>
      </c>
      <c r="MKR3" t="s">
        <v>9767</v>
      </c>
      <c r="MKS3" t="s">
        <v>9768</v>
      </c>
      <c r="MKT3" t="s">
        <v>9769</v>
      </c>
      <c r="MKU3" t="s">
        <v>9770</v>
      </c>
      <c r="MKV3" t="s">
        <v>9771</v>
      </c>
      <c r="MKW3" t="s">
        <v>9772</v>
      </c>
      <c r="MKX3" t="s">
        <v>9773</v>
      </c>
      <c r="MKY3" t="s">
        <v>9774</v>
      </c>
      <c r="MKZ3" t="s">
        <v>9775</v>
      </c>
      <c r="MLA3" t="s">
        <v>9776</v>
      </c>
      <c r="MLB3" t="s">
        <v>9777</v>
      </c>
      <c r="MLC3" t="s">
        <v>9778</v>
      </c>
      <c r="MLD3" t="s">
        <v>9779</v>
      </c>
      <c r="MLE3" t="s">
        <v>9780</v>
      </c>
      <c r="MLF3" t="s">
        <v>9781</v>
      </c>
      <c r="MLG3" t="s">
        <v>9782</v>
      </c>
      <c r="MLH3" t="s">
        <v>9783</v>
      </c>
      <c r="MLI3" t="s">
        <v>9784</v>
      </c>
      <c r="MLJ3" t="s">
        <v>9785</v>
      </c>
      <c r="MLK3" t="s">
        <v>9786</v>
      </c>
      <c r="MLL3" t="s">
        <v>9787</v>
      </c>
      <c r="MLM3" t="s">
        <v>9788</v>
      </c>
      <c r="MLN3" t="s">
        <v>9789</v>
      </c>
      <c r="MLO3" t="s">
        <v>9790</v>
      </c>
      <c r="MLP3" t="s">
        <v>9791</v>
      </c>
      <c r="MLQ3" t="s">
        <v>9792</v>
      </c>
      <c r="MLR3" t="s">
        <v>9793</v>
      </c>
      <c r="MLS3" t="s">
        <v>9794</v>
      </c>
      <c r="MLT3" t="s">
        <v>9795</v>
      </c>
      <c r="MLU3" t="s">
        <v>9796</v>
      </c>
      <c r="MLV3" t="s">
        <v>9797</v>
      </c>
      <c r="MLW3" t="s">
        <v>9798</v>
      </c>
      <c r="MLX3" t="s">
        <v>9799</v>
      </c>
      <c r="MLY3" t="s">
        <v>9800</v>
      </c>
      <c r="MLZ3" t="s">
        <v>9801</v>
      </c>
      <c r="MMA3" t="s">
        <v>9802</v>
      </c>
      <c r="MMB3" t="s">
        <v>9803</v>
      </c>
      <c r="MMC3" t="s">
        <v>9804</v>
      </c>
      <c r="MMD3" t="s">
        <v>9805</v>
      </c>
      <c r="MME3" t="s">
        <v>9806</v>
      </c>
      <c r="MMF3" t="s">
        <v>9807</v>
      </c>
      <c r="MMG3" t="s">
        <v>9808</v>
      </c>
      <c r="MMH3" t="s">
        <v>9809</v>
      </c>
      <c r="MMI3" t="s">
        <v>9810</v>
      </c>
      <c r="MMJ3" t="s">
        <v>9811</v>
      </c>
      <c r="MMK3" t="s">
        <v>9812</v>
      </c>
      <c r="MML3" t="s">
        <v>9813</v>
      </c>
      <c r="MMM3" t="s">
        <v>9814</v>
      </c>
      <c r="MMN3" t="s">
        <v>9815</v>
      </c>
      <c r="MMO3" t="s">
        <v>9816</v>
      </c>
      <c r="MMP3" t="s">
        <v>9817</v>
      </c>
      <c r="MMQ3" t="s">
        <v>9818</v>
      </c>
      <c r="MMR3" t="s">
        <v>9819</v>
      </c>
      <c r="MMS3" t="s">
        <v>9820</v>
      </c>
      <c r="MMT3" t="s">
        <v>9821</v>
      </c>
      <c r="MMU3" t="s">
        <v>9822</v>
      </c>
      <c r="MMV3" t="s">
        <v>9823</v>
      </c>
      <c r="MMW3" t="s">
        <v>9824</v>
      </c>
      <c r="MMX3" t="s">
        <v>9825</v>
      </c>
      <c r="MMY3" t="s">
        <v>9826</v>
      </c>
      <c r="MMZ3" t="s">
        <v>9827</v>
      </c>
      <c r="MNA3" t="s">
        <v>9828</v>
      </c>
      <c r="MNB3" t="s">
        <v>9829</v>
      </c>
      <c r="MNC3" t="s">
        <v>9830</v>
      </c>
      <c r="MND3" t="s">
        <v>9831</v>
      </c>
      <c r="MNE3" t="s">
        <v>9832</v>
      </c>
      <c r="MNF3" t="s">
        <v>9833</v>
      </c>
      <c r="MNG3" t="s">
        <v>9834</v>
      </c>
      <c r="MNH3" t="s">
        <v>9835</v>
      </c>
      <c r="MNI3" t="s">
        <v>9836</v>
      </c>
      <c r="MNJ3" t="s">
        <v>9837</v>
      </c>
      <c r="MNK3" t="s">
        <v>9838</v>
      </c>
      <c r="MNL3" t="s">
        <v>9839</v>
      </c>
      <c r="MNM3" t="s">
        <v>9840</v>
      </c>
      <c r="MNN3" t="s">
        <v>9841</v>
      </c>
      <c r="MNO3" t="s">
        <v>9842</v>
      </c>
      <c r="MNP3" t="s">
        <v>9843</v>
      </c>
      <c r="MNQ3" t="s">
        <v>9844</v>
      </c>
      <c r="MNR3" t="s">
        <v>9845</v>
      </c>
      <c r="MNS3" t="s">
        <v>9846</v>
      </c>
      <c r="MNT3" t="s">
        <v>9847</v>
      </c>
      <c r="MNU3" t="s">
        <v>9848</v>
      </c>
      <c r="MNV3" t="s">
        <v>9849</v>
      </c>
      <c r="MNW3" t="s">
        <v>9850</v>
      </c>
      <c r="MNX3" t="s">
        <v>9851</v>
      </c>
      <c r="MNY3" t="s">
        <v>9852</v>
      </c>
      <c r="MNZ3" t="s">
        <v>9853</v>
      </c>
      <c r="MOA3" t="s">
        <v>9854</v>
      </c>
      <c r="MOB3" t="s">
        <v>9855</v>
      </c>
      <c r="MOC3" t="s">
        <v>9856</v>
      </c>
      <c r="MOD3" t="s">
        <v>9857</v>
      </c>
      <c r="MOE3" t="s">
        <v>9858</v>
      </c>
      <c r="MOF3" t="s">
        <v>9859</v>
      </c>
      <c r="MOG3" t="s">
        <v>9860</v>
      </c>
      <c r="MOH3" t="s">
        <v>9861</v>
      </c>
      <c r="MOI3" t="s">
        <v>9862</v>
      </c>
      <c r="MOJ3" t="s">
        <v>9863</v>
      </c>
      <c r="MOK3" t="s">
        <v>9864</v>
      </c>
      <c r="MOL3" t="s">
        <v>9865</v>
      </c>
      <c r="MOM3" t="s">
        <v>9866</v>
      </c>
      <c r="MON3" t="s">
        <v>9867</v>
      </c>
      <c r="MOO3" t="s">
        <v>9868</v>
      </c>
      <c r="MOP3" t="s">
        <v>9869</v>
      </c>
      <c r="MOQ3" t="s">
        <v>9870</v>
      </c>
      <c r="MOR3" t="s">
        <v>9871</v>
      </c>
      <c r="MOS3" t="s">
        <v>9872</v>
      </c>
      <c r="MOT3" t="s">
        <v>9873</v>
      </c>
      <c r="MOU3" t="s">
        <v>9874</v>
      </c>
      <c r="MOV3" t="s">
        <v>9875</v>
      </c>
      <c r="MOW3" t="s">
        <v>9876</v>
      </c>
      <c r="MOX3" t="s">
        <v>9877</v>
      </c>
      <c r="MOY3" t="s">
        <v>9878</v>
      </c>
      <c r="MOZ3" t="s">
        <v>9879</v>
      </c>
      <c r="MPA3" t="s">
        <v>9880</v>
      </c>
      <c r="MPB3" t="s">
        <v>9881</v>
      </c>
      <c r="MPC3" t="s">
        <v>9882</v>
      </c>
      <c r="MPD3" t="s">
        <v>9883</v>
      </c>
      <c r="MPE3" t="s">
        <v>9884</v>
      </c>
      <c r="MPF3" t="s">
        <v>9885</v>
      </c>
      <c r="MPG3" t="s">
        <v>9886</v>
      </c>
      <c r="MPH3" t="s">
        <v>9887</v>
      </c>
      <c r="MPI3" t="s">
        <v>9888</v>
      </c>
      <c r="MPJ3" t="s">
        <v>9889</v>
      </c>
      <c r="MPK3" t="s">
        <v>9890</v>
      </c>
      <c r="MPL3" t="s">
        <v>9891</v>
      </c>
      <c r="MPM3" t="s">
        <v>9892</v>
      </c>
      <c r="MPN3" t="s">
        <v>9893</v>
      </c>
      <c r="MPO3" t="s">
        <v>9894</v>
      </c>
      <c r="MPP3" t="s">
        <v>9895</v>
      </c>
      <c r="MPQ3" t="s">
        <v>9896</v>
      </c>
      <c r="MPR3" t="s">
        <v>9897</v>
      </c>
      <c r="MPS3" t="s">
        <v>9898</v>
      </c>
      <c r="MPT3" t="s">
        <v>9899</v>
      </c>
      <c r="MPU3" t="s">
        <v>9900</v>
      </c>
      <c r="MPV3" t="s">
        <v>9901</v>
      </c>
      <c r="MPW3" t="s">
        <v>9902</v>
      </c>
      <c r="MPX3" t="s">
        <v>9903</v>
      </c>
      <c r="MPY3" t="s">
        <v>9904</v>
      </c>
      <c r="MPZ3" t="s">
        <v>9905</v>
      </c>
      <c r="MQA3" t="s">
        <v>9906</v>
      </c>
      <c r="MQB3" t="s">
        <v>9907</v>
      </c>
      <c r="MQC3" t="s">
        <v>9908</v>
      </c>
      <c r="MQD3" t="s">
        <v>9909</v>
      </c>
      <c r="MQE3" t="s">
        <v>9910</v>
      </c>
      <c r="MQF3" t="s">
        <v>9911</v>
      </c>
      <c r="MQG3" t="s">
        <v>9912</v>
      </c>
      <c r="MQH3" t="s">
        <v>9913</v>
      </c>
      <c r="MQI3" t="s">
        <v>9914</v>
      </c>
      <c r="MQJ3" t="s">
        <v>9915</v>
      </c>
      <c r="MQK3" t="s">
        <v>9916</v>
      </c>
      <c r="MQL3" t="s">
        <v>9917</v>
      </c>
      <c r="MQM3" t="s">
        <v>9918</v>
      </c>
      <c r="MQN3" t="s">
        <v>9919</v>
      </c>
      <c r="MQO3" t="s">
        <v>9920</v>
      </c>
      <c r="MQP3" t="s">
        <v>9921</v>
      </c>
      <c r="MQQ3" t="s">
        <v>9922</v>
      </c>
      <c r="MQR3" t="s">
        <v>9923</v>
      </c>
      <c r="MQS3" t="s">
        <v>9924</v>
      </c>
      <c r="MQT3" t="s">
        <v>9925</v>
      </c>
      <c r="MQU3" t="s">
        <v>9926</v>
      </c>
      <c r="MQV3" t="s">
        <v>9927</v>
      </c>
      <c r="MQW3" t="s">
        <v>9928</v>
      </c>
      <c r="MQX3" t="s">
        <v>9929</v>
      </c>
      <c r="MQY3" t="s">
        <v>9930</v>
      </c>
      <c r="MQZ3" t="s">
        <v>9931</v>
      </c>
      <c r="MRA3" t="s">
        <v>9932</v>
      </c>
      <c r="MRB3" t="s">
        <v>9933</v>
      </c>
      <c r="MRC3" t="s">
        <v>9934</v>
      </c>
      <c r="MRD3" t="s">
        <v>9935</v>
      </c>
      <c r="MRE3" t="s">
        <v>9936</v>
      </c>
      <c r="MRF3" t="s">
        <v>9937</v>
      </c>
      <c r="MRG3" t="s">
        <v>9938</v>
      </c>
      <c r="MRH3" t="s">
        <v>9939</v>
      </c>
      <c r="MRI3" t="s">
        <v>9940</v>
      </c>
      <c r="MRJ3" t="s">
        <v>9941</v>
      </c>
      <c r="MRK3" t="s">
        <v>9942</v>
      </c>
      <c r="MRL3" t="s">
        <v>9943</v>
      </c>
      <c r="MRM3" t="s">
        <v>9944</v>
      </c>
      <c r="MRN3" t="s">
        <v>9945</v>
      </c>
      <c r="MRO3" t="s">
        <v>9946</v>
      </c>
      <c r="MRP3" t="s">
        <v>9947</v>
      </c>
      <c r="MRQ3" t="s">
        <v>9948</v>
      </c>
      <c r="MRR3" t="s">
        <v>9949</v>
      </c>
      <c r="MRS3" t="s">
        <v>9950</v>
      </c>
      <c r="MRT3" t="s">
        <v>9951</v>
      </c>
      <c r="MRU3" t="s">
        <v>9952</v>
      </c>
      <c r="MRV3" t="s">
        <v>9953</v>
      </c>
      <c r="MRW3" t="s">
        <v>9954</v>
      </c>
      <c r="MRX3" t="s">
        <v>9955</v>
      </c>
      <c r="MRY3" t="s">
        <v>9956</v>
      </c>
      <c r="MRZ3" t="s">
        <v>9957</v>
      </c>
      <c r="MSA3" t="s">
        <v>9958</v>
      </c>
      <c r="MSB3" t="s">
        <v>9959</v>
      </c>
      <c r="MSC3" t="s">
        <v>9960</v>
      </c>
      <c r="MSD3" t="s">
        <v>9961</v>
      </c>
      <c r="MSE3" t="s">
        <v>9962</v>
      </c>
      <c r="MSF3" t="s">
        <v>9963</v>
      </c>
      <c r="MSG3" t="s">
        <v>9964</v>
      </c>
      <c r="MSH3" t="s">
        <v>9965</v>
      </c>
      <c r="MSI3" t="s">
        <v>9966</v>
      </c>
      <c r="MSJ3" t="s">
        <v>9967</v>
      </c>
      <c r="MSK3" t="s">
        <v>9968</v>
      </c>
      <c r="MSL3" t="s">
        <v>9969</v>
      </c>
      <c r="MSM3" t="s">
        <v>9970</v>
      </c>
      <c r="MSN3" t="s">
        <v>9971</v>
      </c>
      <c r="MSO3" t="s">
        <v>9972</v>
      </c>
      <c r="MSP3" t="s">
        <v>9973</v>
      </c>
      <c r="MSQ3" t="s">
        <v>9974</v>
      </c>
      <c r="MSR3" t="s">
        <v>9975</v>
      </c>
      <c r="MSS3" t="s">
        <v>9976</v>
      </c>
      <c r="MST3" t="s">
        <v>9977</v>
      </c>
      <c r="MSU3" t="s">
        <v>9978</v>
      </c>
      <c r="MSV3" t="s">
        <v>9979</v>
      </c>
      <c r="MSW3" t="s">
        <v>9980</v>
      </c>
      <c r="MSX3" t="s">
        <v>9981</v>
      </c>
      <c r="MSY3" t="s">
        <v>9982</v>
      </c>
      <c r="MSZ3" t="s">
        <v>9983</v>
      </c>
      <c r="MTA3" t="s">
        <v>9984</v>
      </c>
      <c r="MTB3" t="s">
        <v>9985</v>
      </c>
      <c r="MTC3" t="s">
        <v>9986</v>
      </c>
      <c r="MTD3" t="s">
        <v>9987</v>
      </c>
      <c r="MTE3" t="s">
        <v>9988</v>
      </c>
      <c r="MTF3" t="s">
        <v>9989</v>
      </c>
      <c r="MTG3" t="s">
        <v>9990</v>
      </c>
      <c r="MTH3" t="s">
        <v>9991</v>
      </c>
      <c r="MTI3" t="s">
        <v>9992</v>
      </c>
      <c r="MTJ3" t="s">
        <v>9993</v>
      </c>
      <c r="MTK3" t="s">
        <v>9994</v>
      </c>
      <c r="MTL3" t="s">
        <v>9995</v>
      </c>
      <c r="MTM3" t="s">
        <v>9996</v>
      </c>
      <c r="MTN3" t="s">
        <v>9997</v>
      </c>
      <c r="MTO3" t="s">
        <v>9998</v>
      </c>
      <c r="MTP3" t="s">
        <v>9999</v>
      </c>
      <c r="MTQ3" t="s">
        <v>10000</v>
      </c>
      <c r="MTR3" t="s">
        <v>10001</v>
      </c>
      <c r="MTS3" t="s">
        <v>10002</v>
      </c>
      <c r="MTT3" t="s">
        <v>10003</v>
      </c>
      <c r="MTU3" t="s">
        <v>10004</v>
      </c>
      <c r="MTV3" t="s">
        <v>10005</v>
      </c>
      <c r="MTW3" t="s">
        <v>10006</v>
      </c>
      <c r="MTX3" t="s">
        <v>10007</v>
      </c>
      <c r="MTY3" t="s">
        <v>10008</v>
      </c>
      <c r="MTZ3" t="s">
        <v>10009</v>
      </c>
      <c r="MUA3" t="s">
        <v>10010</v>
      </c>
      <c r="MUB3" t="s">
        <v>10011</v>
      </c>
      <c r="MUC3" t="s">
        <v>10012</v>
      </c>
      <c r="MUD3" t="s">
        <v>10013</v>
      </c>
      <c r="MUE3" t="s">
        <v>10014</v>
      </c>
      <c r="MUF3" t="s">
        <v>10015</v>
      </c>
      <c r="MUG3" t="s">
        <v>10016</v>
      </c>
      <c r="MUH3" t="s">
        <v>10017</v>
      </c>
      <c r="MUI3" t="s">
        <v>10018</v>
      </c>
      <c r="MUJ3" t="s">
        <v>10019</v>
      </c>
      <c r="MUK3" t="s">
        <v>10020</v>
      </c>
      <c r="MUL3" t="s">
        <v>10021</v>
      </c>
      <c r="MUM3" t="s">
        <v>10022</v>
      </c>
      <c r="MUN3" t="s">
        <v>10023</v>
      </c>
      <c r="MUO3" t="s">
        <v>10024</v>
      </c>
      <c r="MUP3" t="s">
        <v>10025</v>
      </c>
      <c r="MUQ3" t="s">
        <v>10026</v>
      </c>
      <c r="MUR3" t="s">
        <v>10027</v>
      </c>
      <c r="MUS3" t="s">
        <v>10028</v>
      </c>
      <c r="MUT3" t="s">
        <v>10029</v>
      </c>
      <c r="MUU3" t="s">
        <v>10030</v>
      </c>
      <c r="MUV3" t="s">
        <v>10031</v>
      </c>
      <c r="MUW3" t="s">
        <v>10032</v>
      </c>
      <c r="MUX3" t="s">
        <v>10033</v>
      </c>
      <c r="MUY3" t="s">
        <v>10034</v>
      </c>
      <c r="MUZ3" t="s">
        <v>10035</v>
      </c>
      <c r="MVA3" t="s">
        <v>10036</v>
      </c>
      <c r="MVB3" t="s">
        <v>10037</v>
      </c>
      <c r="MVC3" t="s">
        <v>10038</v>
      </c>
      <c r="MVD3" t="s">
        <v>10039</v>
      </c>
      <c r="MVE3" t="s">
        <v>10040</v>
      </c>
      <c r="MVF3" t="s">
        <v>10041</v>
      </c>
      <c r="MVG3" t="s">
        <v>10042</v>
      </c>
      <c r="MVH3" t="s">
        <v>10043</v>
      </c>
      <c r="MVI3" t="s">
        <v>10044</v>
      </c>
      <c r="MVJ3" t="s">
        <v>10045</v>
      </c>
      <c r="MVK3" t="s">
        <v>10046</v>
      </c>
      <c r="MVL3" t="s">
        <v>10047</v>
      </c>
      <c r="MVM3" t="s">
        <v>10048</v>
      </c>
      <c r="MVN3" t="s">
        <v>10049</v>
      </c>
      <c r="MVO3" t="s">
        <v>10050</v>
      </c>
      <c r="MVP3" t="s">
        <v>10051</v>
      </c>
      <c r="MVQ3" t="s">
        <v>10052</v>
      </c>
      <c r="MVR3" t="s">
        <v>10053</v>
      </c>
      <c r="MVS3" t="s">
        <v>10054</v>
      </c>
      <c r="MVT3" t="s">
        <v>10055</v>
      </c>
      <c r="MVU3" t="s">
        <v>10056</v>
      </c>
      <c r="MVV3" t="s">
        <v>10057</v>
      </c>
      <c r="MVW3" t="s">
        <v>10058</v>
      </c>
      <c r="MVX3" t="s">
        <v>10059</v>
      </c>
      <c r="MVY3" t="s">
        <v>10060</v>
      </c>
      <c r="MVZ3" t="s">
        <v>10061</v>
      </c>
      <c r="MWA3" t="s">
        <v>10062</v>
      </c>
      <c r="MWB3" t="s">
        <v>10063</v>
      </c>
      <c r="MWC3" t="s">
        <v>10064</v>
      </c>
      <c r="MWD3" t="s">
        <v>10065</v>
      </c>
      <c r="MWE3" t="s">
        <v>10066</v>
      </c>
      <c r="MWF3" t="s">
        <v>10067</v>
      </c>
      <c r="MWG3" t="s">
        <v>10068</v>
      </c>
      <c r="MWH3" t="s">
        <v>10069</v>
      </c>
      <c r="MWI3" t="s">
        <v>10070</v>
      </c>
      <c r="MWJ3" t="s">
        <v>10071</v>
      </c>
      <c r="MWK3" t="s">
        <v>10072</v>
      </c>
      <c r="MWL3" t="s">
        <v>10073</v>
      </c>
      <c r="MWM3" t="s">
        <v>10074</v>
      </c>
      <c r="MWN3" t="s">
        <v>10075</v>
      </c>
      <c r="MWO3" t="s">
        <v>10076</v>
      </c>
      <c r="MWP3" t="s">
        <v>10077</v>
      </c>
      <c r="MWQ3" t="s">
        <v>10078</v>
      </c>
      <c r="MWR3" t="s">
        <v>10079</v>
      </c>
      <c r="MWS3" t="s">
        <v>10080</v>
      </c>
      <c r="MWT3" t="s">
        <v>10081</v>
      </c>
      <c r="MWU3" t="s">
        <v>10082</v>
      </c>
      <c r="MWV3" t="s">
        <v>10083</v>
      </c>
      <c r="MWW3" t="s">
        <v>10084</v>
      </c>
      <c r="MWX3" t="s">
        <v>10085</v>
      </c>
      <c r="MWY3" t="s">
        <v>10086</v>
      </c>
      <c r="MWZ3" t="s">
        <v>10087</v>
      </c>
      <c r="MXA3" t="s">
        <v>10088</v>
      </c>
      <c r="MXB3" t="s">
        <v>10089</v>
      </c>
      <c r="MXC3" t="s">
        <v>10090</v>
      </c>
      <c r="MXD3" t="s">
        <v>10091</v>
      </c>
      <c r="MXE3" t="s">
        <v>10092</v>
      </c>
      <c r="MXF3" t="s">
        <v>10093</v>
      </c>
      <c r="MXG3" t="s">
        <v>10094</v>
      </c>
      <c r="MXH3" t="s">
        <v>10095</v>
      </c>
      <c r="MXI3" t="s">
        <v>10096</v>
      </c>
      <c r="MXJ3" t="s">
        <v>10097</v>
      </c>
      <c r="MXK3" t="s">
        <v>10098</v>
      </c>
      <c r="MXL3" t="s">
        <v>10099</v>
      </c>
      <c r="MXM3" t="s">
        <v>10100</v>
      </c>
      <c r="MXN3" t="s">
        <v>10101</v>
      </c>
      <c r="MXO3" t="s">
        <v>10102</v>
      </c>
      <c r="MXP3" t="s">
        <v>10103</v>
      </c>
      <c r="MXQ3" t="s">
        <v>10104</v>
      </c>
      <c r="MXR3" t="s">
        <v>10105</v>
      </c>
      <c r="MXS3" t="s">
        <v>10106</v>
      </c>
      <c r="MXT3" t="s">
        <v>10107</v>
      </c>
      <c r="MXU3" t="s">
        <v>10108</v>
      </c>
      <c r="MXV3" t="s">
        <v>10109</v>
      </c>
      <c r="MXW3" t="s">
        <v>10110</v>
      </c>
      <c r="MXX3" t="s">
        <v>10111</v>
      </c>
      <c r="MXY3" t="s">
        <v>10112</v>
      </c>
      <c r="MXZ3" t="s">
        <v>10113</v>
      </c>
      <c r="MYA3" t="s">
        <v>10114</v>
      </c>
      <c r="MYB3" t="s">
        <v>10115</v>
      </c>
      <c r="MYC3" t="s">
        <v>10116</v>
      </c>
      <c r="MYD3" t="s">
        <v>10117</v>
      </c>
      <c r="MYE3" t="s">
        <v>10118</v>
      </c>
      <c r="MYF3" t="s">
        <v>10119</v>
      </c>
      <c r="MYG3" t="s">
        <v>10120</v>
      </c>
      <c r="MYH3" t="s">
        <v>10121</v>
      </c>
      <c r="MYI3" t="s">
        <v>10122</v>
      </c>
      <c r="MYJ3" t="s">
        <v>10123</v>
      </c>
      <c r="MYK3" t="s">
        <v>10124</v>
      </c>
      <c r="MYL3" t="s">
        <v>10125</v>
      </c>
      <c r="MYM3" t="s">
        <v>10126</v>
      </c>
      <c r="MYN3" t="s">
        <v>10127</v>
      </c>
      <c r="MYO3" t="s">
        <v>10128</v>
      </c>
      <c r="MYP3" t="s">
        <v>10129</v>
      </c>
      <c r="MYQ3" t="s">
        <v>10130</v>
      </c>
      <c r="MYR3" t="s">
        <v>10131</v>
      </c>
      <c r="MYS3" t="s">
        <v>10132</v>
      </c>
      <c r="MYT3" t="s">
        <v>10133</v>
      </c>
      <c r="MYU3" t="s">
        <v>10134</v>
      </c>
      <c r="MYV3" t="s">
        <v>10135</v>
      </c>
      <c r="MYW3" t="s">
        <v>10136</v>
      </c>
      <c r="MYX3" t="s">
        <v>10137</v>
      </c>
      <c r="MYY3" t="s">
        <v>10138</v>
      </c>
      <c r="MYZ3" t="s">
        <v>10139</v>
      </c>
      <c r="MZA3" t="s">
        <v>10140</v>
      </c>
      <c r="MZB3" t="s">
        <v>10141</v>
      </c>
      <c r="MZC3" t="s">
        <v>10142</v>
      </c>
      <c r="MZD3" t="s">
        <v>10143</v>
      </c>
      <c r="MZE3" t="s">
        <v>10144</v>
      </c>
      <c r="MZF3" t="s">
        <v>10145</v>
      </c>
      <c r="MZG3" t="s">
        <v>10146</v>
      </c>
      <c r="MZH3" t="s">
        <v>10147</v>
      </c>
      <c r="MZI3" t="s">
        <v>10148</v>
      </c>
      <c r="MZJ3" t="s">
        <v>10149</v>
      </c>
      <c r="MZK3" t="s">
        <v>10150</v>
      </c>
      <c r="MZL3" t="s">
        <v>10151</v>
      </c>
      <c r="MZM3" t="s">
        <v>10152</v>
      </c>
      <c r="MZN3" t="s">
        <v>10153</v>
      </c>
      <c r="MZO3" t="s">
        <v>10154</v>
      </c>
      <c r="MZP3" t="s">
        <v>10155</v>
      </c>
      <c r="MZQ3" t="s">
        <v>10156</v>
      </c>
      <c r="MZR3" t="s">
        <v>10157</v>
      </c>
      <c r="MZS3" t="s">
        <v>10158</v>
      </c>
      <c r="MZT3" t="s">
        <v>10159</v>
      </c>
      <c r="MZU3" t="s">
        <v>10160</v>
      </c>
      <c r="MZV3" t="s">
        <v>10161</v>
      </c>
      <c r="MZW3" t="s">
        <v>10162</v>
      </c>
      <c r="MZX3" t="s">
        <v>10163</v>
      </c>
      <c r="MZY3" t="s">
        <v>10164</v>
      </c>
      <c r="MZZ3" t="s">
        <v>10165</v>
      </c>
      <c r="NAA3" t="s">
        <v>10166</v>
      </c>
      <c r="NAB3" t="s">
        <v>10167</v>
      </c>
      <c r="NAC3" t="s">
        <v>10168</v>
      </c>
      <c r="NAD3" t="s">
        <v>10169</v>
      </c>
      <c r="NAE3" t="s">
        <v>10170</v>
      </c>
      <c r="NAF3" t="s">
        <v>10171</v>
      </c>
      <c r="NAG3" t="s">
        <v>10172</v>
      </c>
      <c r="NAH3" t="s">
        <v>10173</v>
      </c>
      <c r="NAI3" t="s">
        <v>10174</v>
      </c>
      <c r="NAJ3" t="s">
        <v>10175</v>
      </c>
      <c r="NAK3" t="s">
        <v>10176</v>
      </c>
      <c r="NAL3" t="s">
        <v>10177</v>
      </c>
      <c r="NAM3" t="s">
        <v>10178</v>
      </c>
      <c r="NAN3" t="s">
        <v>10179</v>
      </c>
      <c r="NAO3" t="s">
        <v>10180</v>
      </c>
      <c r="NAP3" t="s">
        <v>10181</v>
      </c>
      <c r="NAQ3" t="s">
        <v>10182</v>
      </c>
      <c r="NAR3" t="s">
        <v>10183</v>
      </c>
      <c r="NAS3" t="s">
        <v>10184</v>
      </c>
      <c r="NAT3" t="s">
        <v>10185</v>
      </c>
      <c r="NAU3" t="s">
        <v>10186</v>
      </c>
      <c r="NAV3" t="s">
        <v>10187</v>
      </c>
      <c r="NAW3" t="s">
        <v>10188</v>
      </c>
      <c r="NAX3" t="s">
        <v>10189</v>
      </c>
      <c r="NAY3" t="s">
        <v>10190</v>
      </c>
      <c r="NAZ3" t="s">
        <v>10191</v>
      </c>
      <c r="NBA3" t="s">
        <v>10192</v>
      </c>
      <c r="NBB3" t="s">
        <v>10193</v>
      </c>
      <c r="NBC3" t="s">
        <v>10194</v>
      </c>
      <c r="NBD3" t="s">
        <v>10195</v>
      </c>
      <c r="NBE3" t="s">
        <v>10196</v>
      </c>
      <c r="NBF3" t="s">
        <v>10197</v>
      </c>
      <c r="NBG3" t="s">
        <v>10198</v>
      </c>
      <c r="NBH3" t="s">
        <v>10199</v>
      </c>
      <c r="NBI3" t="s">
        <v>10200</v>
      </c>
      <c r="NBJ3" t="s">
        <v>10201</v>
      </c>
      <c r="NBK3" t="s">
        <v>10202</v>
      </c>
      <c r="NBL3" t="s">
        <v>10203</v>
      </c>
      <c r="NBM3" t="s">
        <v>10204</v>
      </c>
      <c r="NBN3" t="s">
        <v>10205</v>
      </c>
      <c r="NBO3" t="s">
        <v>10206</v>
      </c>
      <c r="NBP3" t="s">
        <v>10207</v>
      </c>
      <c r="NBQ3" t="s">
        <v>10208</v>
      </c>
      <c r="NBR3" t="s">
        <v>10209</v>
      </c>
      <c r="NBS3" t="s">
        <v>10210</v>
      </c>
      <c r="NBT3" t="s">
        <v>10211</v>
      </c>
      <c r="NBU3" t="s">
        <v>10212</v>
      </c>
      <c r="NBV3" t="s">
        <v>10213</v>
      </c>
      <c r="NBW3" t="s">
        <v>10214</v>
      </c>
      <c r="NBX3" t="s">
        <v>10215</v>
      </c>
      <c r="NBY3" t="s">
        <v>10216</v>
      </c>
      <c r="NBZ3" t="s">
        <v>10217</v>
      </c>
      <c r="NCA3" t="s">
        <v>10218</v>
      </c>
      <c r="NCB3" t="s">
        <v>10219</v>
      </c>
      <c r="NCC3" t="s">
        <v>10220</v>
      </c>
      <c r="NCD3" t="s">
        <v>10221</v>
      </c>
      <c r="NCE3" t="s">
        <v>10222</v>
      </c>
      <c r="NCF3" t="s">
        <v>10223</v>
      </c>
      <c r="NCG3" t="s">
        <v>10224</v>
      </c>
      <c r="NCH3" t="s">
        <v>10225</v>
      </c>
      <c r="NCI3" t="s">
        <v>10226</v>
      </c>
      <c r="NCJ3" t="s">
        <v>10227</v>
      </c>
      <c r="NCK3" t="s">
        <v>10228</v>
      </c>
      <c r="NCL3" t="s">
        <v>10229</v>
      </c>
      <c r="NCM3" t="s">
        <v>10230</v>
      </c>
      <c r="NCN3" t="s">
        <v>10231</v>
      </c>
      <c r="NCO3" t="s">
        <v>10232</v>
      </c>
      <c r="NCP3" t="s">
        <v>10233</v>
      </c>
      <c r="NCQ3" t="s">
        <v>10234</v>
      </c>
      <c r="NCR3" t="s">
        <v>10235</v>
      </c>
      <c r="NCS3" t="s">
        <v>10236</v>
      </c>
      <c r="NCT3" t="s">
        <v>10237</v>
      </c>
      <c r="NCU3" t="s">
        <v>10238</v>
      </c>
      <c r="NCV3" t="s">
        <v>10239</v>
      </c>
      <c r="NCW3" t="s">
        <v>10240</v>
      </c>
      <c r="NCX3" t="s">
        <v>10241</v>
      </c>
      <c r="NCY3" t="s">
        <v>10242</v>
      </c>
      <c r="NCZ3" t="s">
        <v>10243</v>
      </c>
      <c r="NDA3" t="s">
        <v>10244</v>
      </c>
      <c r="NDB3" t="s">
        <v>10245</v>
      </c>
      <c r="NDC3" t="s">
        <v>10246</v>
      </c>
      <c r="NDD3" t="s">
        <v>10247</v>
      </c>
      <c r="NDE3" t="s">
        <v>10248</v>
      </c>
      <c r="NDF3" t="s">
        <v>10249</v>
      </c>
      <c r="NDG3" t="s">
        <v>10250</v>
      </c>
      <c r="NDH3" t="s">
        <v>10251</v>
      </c>
      <c r="NDI3" t="s">
        <v>10252</v>
      </c>
      <c r="NDJ3" t="s">
        <v>10253</v>
      </c>
      <c r="NDK3" t="s">
        <v>10254</v>
      </c>
      <c r="NDL3" t="s">
        <v>10255</v>
      </c>
      <c r="NDM3" t="s">
        <v>10256</v>
      </c>
      <c r="NDN3" t="s">
        <v>10257</v>
      </c>
      <c r="NDO3" t="s">
        <v>10258</v>
      </c>
      <c r="NDP3" t="s">
        <v>10259</v>
      </c>
      <c r="NDQ3" t="s">
        <v>10260</v>
      </c>
      <c r="NDR3" t="s">
        <v>10261</v>
      </c>
      <c r="NDS3" t="s">
        <v>10262</v>
      </c>
      <c r="NDT3" t="s">
        <v>10263</v>
      </c>
      <c r="NDU3" t="s">
        <v>10264</v>
      </c>
      <c r="NDV3" t="s">
        <v>10265</v>
      </c>
      <c r="NDW3" t="s">
        <v>10266</v>
      </c>
      <c r="NDX3" t="s">
        <v>10267</v>
      </c>
      <c r="NDY3" t="s">
        <v>10268</v>
      </c>
      <c r="NDZ3" t="s">
        <v>10269</v>
      </c>
      <c r="NEA3" t="s">
        <v>10270</v>
      </c>
      <c r="NEB3" t="s">
        <v>10271</v>
      </c>
      <c r="NEC3" t="s">
        <v>10272</v>
      </c>
      <c r="NED3" t="s">
        <v>10273</v>
      </c>
      <c r="NEE3" t="s">
        <v>10274</v>
      </c>
      <c r="NEF3" t="s">
        <v>10275</v>
      </c>
      <c r="NEG3" t="s">
        <v>10276</v>
      </c>
      <c r="NEH3" t="s">
        <v>10277</v>
      </c>
      <c r="NEI3" t="s">
        <v>10278</v>
      </c>
      <c r="NEJ3" t="s">
        <v>10279</v>
      </c>
      <c r="NEK3" t="s">
        <v>10280</v>
      </c>
      <c r="NEL3" t="s">
        <v>10281</v>
      </c>
      <c r="NEM3" t="s">
        <v>10282</v>
      </c>
      <c r="NEN3" t="s">
        <v>10283</v>
      </c>
      <c r="NEO3" t="s">
        <v>10284</v>
      </c>
      <c r="NEP3" t="s">
        <v>10285</v>
      </c>
      <c r="NEQ3" t="s">
        <v>10286</v>
      </c>
      <c r="NER3" t="s">
        <v>10287</v>
      </c>
      <c r="NES3" t="s">
        <v>10288</v>
      </c>
      <c r="NET3" t="s">
        <v>10289</v>
      </c>
      <c r="NEU3" t="s">
        <v>10290</v>
      </c>
      <c r="NEV3" t="s">
        <v>10291</v>
      </c>
      <c r="NEW3" t="s">
        <v>10292</v>
      </c>
      <c r="NEX3" t="s">
        <v>10293</v>
      </c>
      <c r="NEY3" t="s">
        <v>10294</v>
      </c>
      <c r="NEZ3" t="s">
        <v>10295</v>
      </c>
      <c r="NFA3" t="s">
        <v>10296</v>
      </c>
      <c r="NFB3" t="s">
        <v>10297</v>
      </c>
      <c r="NFC3" t="s">
        <v>10298</v>
      </c>
      <c r="NFD3" t="s">
        <v>10299</v>
      </c>
      <c r="NFE3" t="s">
        <v>10300</v>
      </c>
      <c r="NFF3" t="s">
        <v>10301</v>
      </c>
      <c r="NFG3" t="s">
        <v>10302</v>
      </c>
      <c r="NFH3" t="s">
        <v>10303</v>
      </c>
      <c r="NFI3" t="s">
        <v>10304</v>
      </c>
      <c r="NFJ3" t="s">
        <v>10305</v>
      </c>
      <c r="NFK3" t="s">
        <v>10306</v>
      </c>
      <c r="NFL3" t="s">
        <v>10307</v>
      </c>
      <c r="NFM3" t="s">
        <v>10308</v>
      </c>
      <c r="NFN3" t="s">
        <v>10309</v>
      </c>
      <c r="NFO3" t="s">
        <v>10310</v>
      </c>
      <c r="NFP3" t="s">
        <v>10311</v>
      </c>
      <c r="NFQ3" t="s">
        <v>10312</v>
      </c>
      <c r="NFR3" t="s">
        <v>10313</v>
      </c>
      <c r="NFS3" t="s">
        <v>10314</v>
      </c>
      <c r="NFT3" t="s">
        <v>10315</v>
      </c>
      <c r="NFU3" t="s">
        <v>10316</v>
      </c>
      <c r="NFV3" t="s">
        <v>10317</v>
      </c>
      <c r="NFW3" t="s">
        <v>10318</v>
      </c>
      <c r="NFX3" t="s">
        <v>10319</v>
      </c>
      <c r="NFY3" t="s">
        <v>10320</v>
      </c>
      <c r="NFZ3" t="s">
        <v>10321</v>
      </c>
      <c r="NGA3" t="s">
        <v>10322</v>
      </c>
      <c r="NGB3" t="s">
        <v>10323</v>
      </c>
      <c r="NGC3" t="s">
        <v>10324</v>
      </c>
      <c r="NGD3" t="s">
        <v>10325</v>
      </c>
      <c r="NGE3" t="s">
        <v>10326</v>
      </c>
      <c r="NGF3" t="s">
        <v>10327</v>
      </c>
      <c r="NGG3" t="s">
        <v>10328</v>
      </c>
      <c r="NGH3" t="s">
        <v>10329</v>
      </c>
      <c r="NGI3" t="s">
        <v>10330</v>
      </c>
      <c r="NGJ3" t="s">
        <v>10331</v>
      </c>
      <c r="NGK3" t="s">
        <v>10332</v>
      </c>
      <c r="NGL3" t="s">
        <v>10333</v>
      </c>
      <c r="NGM3" t="s">
        <v>10334</v>
      </c>
      <c r="NGN3" t="s">
        <v>10335</v>
      </c>
      <c r="NGO3" t="s">
        <v>10336</v>
      </c>
      <c r="NGP3" t="s">
        <v>10337</v>
      </c>
      <c r="NGQ3" t="s">
        <v>10338</v>
      </c>
      <c r="NGR3" t="s">
        <v>10339</v>
      </c>
      <c r="NGS3" t="s">
        <v>10340</v>
      </c>
      <c r="NGT3" t="s">
        <v>10341</v>
      </c>
      <c r="NGU3" t="s">
        <v>10342</v>
      </c>
      <c r="NGV3" t="s">
        <v>10343</v>
      </c>
      <c r="NGW3" t="s">
        <v>10344</v>
      </c>
      <c r="NGX3" t="s">
        <v>10345</v>
      </c>
      <c r="NGY3" t="s">
        <v>10346</v>
      </c>
      <c r="NGZ3" t="s">
        <v>10347</v>
      </c>
      <c r="NHA3" t="s">
        <v>10348</v>
      </c>
      <c r="NHB3" t="s">
        <v>10349</v>
      </c>
      <c r="NHC3" t="s">
        <v>10350</v>
      </c>
      <c r="NHD3" t="s">
        <v>10351</v>
      </c>
      <c r="NHE3" t="s">
        <v>10352</v>
      </c>
      <c r="NHF3" t="s">
        <v>10353</v>
      </c>
      <c r="NHG3" t="s">
        <v>10354</v>
      </c>
      <c r="NHH3" t="s">
        <v>10355</v>
      </c>
      <c r="NHI3" t="s">
        <v>10356</v>
      </c>
      <c r="NHJ3" t="s">
        <v>10357</v>
      </c>
      <c r="NHK3" t="s">
        <v>10358</v>
      </c>
      <c r="NHL3" t="s">
        <v>10359</v>
      </c>
      <c r="NHM3" t="s">
        <v>10360</v>
      </c>
      <c r="NHN3" t="s">
        <v>10361</v>
      </c>
      <c r="NHO3" t="s">
        <v>10362</v>
      </c>
      <c r="NHP3" t="s">
        <v>10363</v>
      </c>
      <c r="NHQ3" t="s">
        <v>10364</v>
      </c>
      <c r="NHR3" t="s">
        <v>10365</v>
      </c>
      <c r="NHS3" t="s">
        <v>10366</v>
      </c>
      <c r="NHT3" t="s">
        <v>10367</v>
      </c>
      <c r="NHU3" t="s">
        <v>10368</v>
      </c>
      <c r="NHV3" t="s">
        <v>10369</v>
      </c>
      <c r="NHW3" t="s">
        <v>10370</v>
      </c>
      <c r="NHX3" t="s">
        <v>10371</v>
      </c>
      <c r="NHY3" t="s">
        <v>10372</v>
      </c>
      <c r="NHZ3" t="s">
        <v>10373</v>
      </c>
      <c r="NIA3" t="s">
        <v>10374</v>
      </c>
      <c r="NIB3" t="s">
        <v>10375</v>
      </c>
      <c r="NIC3" t="s">
        <v>10376</v>
      </c>
      <c r="NID3" t="s">
        <v>10377</v>
      </c>
      <c r="NIE3" t="s">
        <v>10378</v>
      </c>
      <c r="NIF3" t="s">
        <v>10379</v>
      </c>
      <c r="NIG3" t="s">
        <v>10380</v>
      </c>
      <c r="NIH3" t="s">
        <v>10381</v>
      </c>
      <c r="NII3" t="s">
        <v>10382</v>
      </c>
      <c r="NIJ3" t="s">
        <v>10383</v>
      </c>
      <c r="NIK3" t="s">
        <v>10384</v>
      </c>
      <c r="NIL3" t="s">
        <v>10385</v>
      </c>
      <c r="NIM3" t="s">
        <v>10386</v>
      </c>
      <c r="NIN3" t="s">
        <v>10387</v>
      </c>
      <c r="NIO3" t="s">
        <v>10388</v>
      </c>
      <c r="NIP3" t="s">
        <v>10389</v>
      </c>
      <c r="NIQ3" t="s">
        <v>10390</v>
      </c>
      <c r="NIR3" t="s">
        <v>10391</v>
      </c>
      <c r="NIS3" t="s">
        <v>10392</v>
      </c>
      <c r="NIT3" t="s">
        <v>10393</v>
      </c>
      <c r="NIU3" t="s">
        <v>10394</v>
      </c>
      <c r="NIV3" t="s">
        <v>10395</v>
      </c>
      <c r="NIW3" t="s">
        <v>10396</v>
      </c>
      <c r="NIX3" t="s">
        <v>10397</v>
      </c>
      <c r="NIY3" t="s">
        <v>10398</v>
      </c>
      <c r="NIZ3" t="s">
        <v>10399</v>
      </c>
      <c r="NJA3" t="s">
        <v>10400</v>
      </c>
      <c r="NJB3" t="s">
        <v>10401</v>
      </c>
      <c r="NJC3" t="s">
        <v>10402</v>
      </c>
      <c r="NJD3" t="s">
        <v>10403</v>
      </c>
      <c r="NJE3" t="s">
        <v>10404</v>
      </c>
      <c r="NJF3" t="s">
        <v>10405</v>
      </c>
      <c r="NJG3" t="s">
        <v>10406</v>
      </c>
      <c r="NJH3" t="s">
        <v>10407</v>
      </c>
      <c r="NJI3" t="s">
        <v>10408</v>
      </c>
      <c r="NJJ3" t="s">
        <v>10409</v>
      </c>
      <c r="NJK3" t="s">
        <v>10410</v>
      </c>
      <c r="NJL3" t="s">
        <v>10411</v>
      </c>
      <c r="NJM3" t="s">
        <v>10412</v>
      </c>
      <c r="NJN3" t="s">
        <v>10413</v>
      </c>
      <c r="NJO3" t="s">
        <v>10414</v>
      </c>
      <c r="NJP3" t="s">
        <v>10415</v>
      </c>
      <c r="NJQ3" t="s">
        <v>10416</v>
      </c>
      <c r="NJR3" t="s">
        <v>10417</v>
      </c>
      <c r="NJS3" t="s">
        <v>10418</v>
      </c>
      <c r="NJT3" t="s">
        <v>10419</v>
      </c>
      <c r="NJU3" t="s">
        <v>10420</v>
      </c>
      <c r="NJV3" t="s">
        <v>10421</v>
      </c>
      <c r="NJW3" t="s">
        <v>10422</v>
      </c>
      <c r="NJX3" t="s">
        <v>10423</v>
      </c>
      <c r="NJY3" t="s">
        <v>10424</v>
      </c>
      <c r="NJZ3" t="s">
        <v>10425</v>
      </c>
      <c r="NKA3" t="s">
        <v>10426</v>
      </c>
      <c r="NKB3" t="s">
        <v>10427</v>
      </c>
      <c r="NKC3" t="s">
        <v>10428</v>
      </c>
      <c r="NKD3" t="s">
        <v>10429</v>
      </c>
      <c r="NKE3" t="s">
        <v>10430</v>
      </c>
      <c r="NKF3" t="s">
        <v>10431</v>
      </c>
      <c r="NKG3" t="s">
        <v>10432</v>
      </c>
      <c r="NKH3" t="s">
        <v>10433</v>
      </c>
      <c r="NKI3" t="s">
        <v>10434</v>
      </c>
      <c r="NKJ3" t="s">
        <v>10435</v>
      </c>
      <c r="NKK3" t="s">
        <v>10436</v>
      </c>
      <c r="NKL3" t="s">
        <v>10437</v>
      </c>
      <c r="NKM3" t="s">
        <v>10438</v>
      </c>
      <c r="NKN3" t="s">
        <v>10439</v>
      </c>
      <c r="NKO3" t="s">
        <v>10440</v>
      </c>
      <c r="NKP3" t="s">
        <v>10441</v>
      </c>
      <c r="NKQ3" t="s">
        <v>10442</v>
      </c>
      <c r="NKR3" t="s">
        <v>10443</v>
      </c>
      <c r="NKS3" t="s">
        <v>10444</v>
      </c>
      <c r="NKT3" t="s">
        <v>10445</v>
      </c>
      <c r="NKU3" t="s">
        <v>10446</v>
      </c>
      <c r="NKV3" t="s">
        <v>10447</v>
      </c>
      <c r="NKW3" t="s">
        <v>10448</v>
      </c>
      <c r="NKX3" t="s">
        <v>10449</v>
      </c>
      <c r="NKY3" t="s">
        <v>10450</v>
      </c>
      <c r="NKZ3" t="s">
        <v>10451</v>
      </c>
      <c r="NLA3" t="s">
        <v>10452</v>
      </c>
      <c r="NLB3" t="s">
        <v>10453</v>
      </c>
      <c r="NLC3" t="s">
        <v>10454</v>
      </c>
      <c r="NLD3" t="s">
        <v>10455</v>
      </c>
      <c r="NLE3" t="s">
        <v>10456</v>
      </c>
      <c r="NLF3" t="s">
        <v>10457</v>
      </c>
      <c r="NLG3" t="s">
        <v>10458</v>
      </c>
      <c r="NLH3" t="s">
        <v>10459</v>
      </c>
      <c r="NLI3" t="s">
        <v>10460</v>
      </c>
      <c r="NLJ3" t="s">
        <v>10461</v>
      </c>
      <c r="NLK3" t="s">
        <v>10462</v>
      </c>
      <c r="NLL3" t="s">
        <v>10463</v>
      </c>
      <c r="NLM3" t="s">
        <v>10464</v>
      </c>
      <c r="NLN3" t="s">
        <v>10465</v>
      </c>
      <c r="NLO3" t="s">
        <v>10466</v>
      </c>
      <c r="NLP3" t="s">
        <v>10467</v>
      </c>
      <c r="NLQ3" t="s">
        <v>10468</v>
      </c>
      <c r="NLR3" t="s">
        <v>10469</v>
      </c>
      <c r="NLS3" t="s">
        <v>10470</v>
      </c>
      <c r="NLT3" t="s">
        <v>10471</v>
      </c>
      <c r="NLU3" t="s">
        <v>10472</v>
      </c>
      <c r="NLV3" t="s">
        <v>10473</v>
      </c>
      <c r="NLW3" t="s">
        <v>10474</v>
      </c>
      <c r="NLX3" t="s">
        <v>10475</v>
      </c>
      <c r="NLY3" t="s">
        <v>10476</v>
      </c>
      <c r="NLZ3" t="s">
        <v>10477</v>
      </c>
      <c r="NMA3" t="s">
        <v>10478</v>
      </c>
      <c r="NMB3" t="s">
        <v>10479</v>
      </c>
      <c r="NMC3" t="s">
        <v>10480</v>
      </c>
      <c r="NMD3" t="s">
        <v>10481</v>
      </c>
      <c r="NME3" t="s">
        <v>10482</v>
      </c>
      <c r="NMF3" t="s">
        <v>10483</v>
      </c>
      <c r="NMG3" t="s">
        <v>10484</v>
      </c>
      <c r="NMH3" t="s">
        <v>10485</v>
      </c>
      <c r="NMI3" t="s">
        <v>10486</v>
      </c>
      <c r="NMJ3" t="s">
        <v>10487</v>
      </c>
      <c r="NMK3" t="s">
        <v>10488</v>
      </c>
      <c r="NML3" t="s">
        <v>10489</v>
      </c>
      <c r="NMM3" t="s">
        <v>10490</v>
      </c>
      <c r="NMN3" t="s">
        <v>10491</v>
      </c>
      <c r="NMO3" t="s">
        <v>10492</v>
      </c>
      <c r="NMP3" t="s">
        <v>10493</v>
      </c>
      <c r="NMQ3" t="s">
        <v>10494</v>
      </c>
      <c r="NMR3" t="s">
        <v>10495</v>
      </c>
      <c r="NMS3" t="s">
        <v>10496</v>
      </c>
      <c r="NMT3" t="s">
        <v>10497</v>
      </c>
      <c r="NMU3" t="s">
        <v>10498</v>
      </c>
      <c r="NMV3" t="s">
        <v>10499</v>
      </c>
      <c r="NMW3" t="s">
        <v>10500</v>
      </c>
      <c r="NMX3" t="s">
        <v>10501</v>
      </c>
      <c r="NMY3" t="s">
        <v>10502</v>
      </c>
      <c r="NMZ3" t="s">
        <v>10503</v>
      </c>
      <c r="NNA3" t="s">
        <v>10504</v>
      </c>
      <c r="NNB3" t="s">
        <v>10505</v>
      </c>
      <c r="NNC3" t="s">
        <v>10506</v>
      </c>
      <c r="NND3" t="s">
        <v>10507</v>
      </c>
      <c r="NNE3" t="s">
        <v>10508</v>
      </c>
      <c r="NNF3" t="s">
        <v>10509</v>
      </c>
      <c r="NNG3" t="s">
        <v>10510</v>
      </c>
      <c r="NNH3" t="s">
        <v>10511</v>
      </c>
      <c r="NNI3" t="s">
        <v>10512</v>
      </c>
      <c r="NNJ3" t="s">
        <v>10513</v>
      </c>
      <c r="NNK3" t="s">
        <v>10514</v>
      </c>
      <c r="NNL3" t="s">
        <v>10515</v>
      </c>
      <c r="NNM3" t="s">
        <v>10516</v>
      </c>
      <c r="NNN3" t="s">
        <v>10517</v>
      </c>
      <c r="NNO3" t="s">
        <v>10518</v>
      </c>
      <c r="NNP3" t="s">
        <v>10519</v>
      </c>
      <c r="NNQ3" t="s">
        <v>10520</v>
      </c>
      <c r="NNR3" t="s">
        <v>10521</v>
      </c>
      <c r="NNS3" t="s">
        <v>10522</v>
      </c>
      <c r="NNT3" t="s">
        <v>10523</v>
      </c>
      <c r="NNU3" t="s">
        <v>10524</v>
      </c>
      <c r="NNV3" t="s">
        <v>10525</v>
      </c>
      <c r="NNW3" t="s">
        <v>10526</v>
      </c>
      <c r="NNX3" t="s">
        <v>10527</v>
      </c>
      <c r="NNY3" t="s">
        <v>10528</v>
      </c>
      <c r="NNZ3" t="s">
        <v>10529</v>
      </c>
      <c r="NOA3" t="s">
        <v>10530</v>
      </c>
      <c r="NOB3" t="s">
        <v>10531</v>
      </c>
      <c r="NOC3" t="s">
        <v>10532</v>
      </c>
      <c r="NOD3" t="s">
        <v>10533</v>
      </c>
      <c r="NOE3" t="s">
        <v>10534</v>
      </c>
      <c r="NOF3" t="s">
        <v>10535</v>
      </c>
      <c r="NOG3" t="s">
        <v>10536</v>
      </c>
      <c r="NOH3" t="s">
        <v>10537</v>
      </c>
      <c r="NOI3" t="s">
        <v>10538</v>
      </c>
      <c r="NOJ3" t="s">
        <v>10539</v>
      </c>
      <c r="NOK3" t="s">
        <v>10540</v>
      </c>
      <c r="NOL3" t="s">
        <v>10541</v>
      </c>
      <c r="NOM3" t="s">
        <v>10542</v>
      </c>
      <c r="NON3" t="s">
        <v>10543</v>
      </c>
      <c r="NOO3" t="s">
        <v>10544</v>
      </c>
      <c r="NOP3" t="s">
        <v>10545</v>
      </c>
      <c r="NOQ3" t="s">
        <v>10546</v>
      </c>
      <c r="NOR3" t="s">
        <v>10547</v>
      </c>
      <c r="NOS3" t="s">
        <v>10548</v>
      </c>
      <c r="NOT3" t="s">
        <v>10549</v>
      </c>
      <c r="NOU3" t="s">
        <v>10550</v>
      </c>
      <c r="NOV3" t="s">
        <v>10551</v>
      </c>
      <c r="NOW3" t="s">
        <v>10552</v>
      </c>
      <c r="NOX3" t="s">
        <v>10553</v>
      </c>
      <c r="NOY3" t="s">
        <v>10554</v>
      </c>
      <c r="NOZ3" t="s">
        <v>10555</v>
      </c>
      <c r="NPA3" t="s">
        <v>10556</v>
      </c>
      <c r="NPB3" t="s">
        <v>10557</v>
      </c>
      <c r="NPC3" t="s">
        <v>10558</v>
      </c>
      <c r="NPD3" t="s">
        <v>10559</v>
      </c>
      <c r="NPE3" t="s">
        <v>10560</v>
      </c>
      <c r="NPF3" t="s">
        <v>10561</v>
      </c>
      <c r="NPG3" t="s">
        <v>10562</v>
      </c>
      <c r="NPH3" t="s">
        <v>10563</v>
      </c>
      <c r="NPI3" t="s">
        <v>10564</v>
      </c>
      <c r="NPJ3" t="s">
        <v>10565</v>
      </c>
      <c r="NPK3" t="s">
        <v>10566</v>
      </c>
      <c r="NPL3" t="s">
        <v>10567</v>
      </c>
      <c r="NPM3" t="s">
        <v>10568</v>
      </c>
      <c r="NPN3" t="s">
        <v>10569</v>
      </c>
      <c r="NPO3" t="s">
        <v>10570</v>
      </c>
      <c r="NPP3" t="s">
        <v>10571</v>
      </c>
      <c r="NPQ3" t="s">
        <v>10572</v>
      </c>
      <c r="NPR3" t="s">
        <v>10573</v>
      </c>
      <c r="NPS3" t="s">
        <v>10574</v>
      </c>
      <c r="NPT3" t="s">
        <v>10575</v>
      </c>
      <c r="NPU3" t="s">
        <v>10576</v>
      </c>
      <c r="NPV3" t="s">
        <v>10577</v>
      </c>
      <c r="NPW3" t="s">
        <v>10578</v>
      </c>
      <c r="NPX3" t="s">
        <v>10579</v>
      </c>
      <c r="NPY3" t="s">
        <v>10580</v>
      </c>
      <c r="NPZ3" t="s">
        <v>10581</v>
      </c>
      <c r="NQA3" t="s">
        <v>10582</v>
      </c>
      <c r="NQB3" t="s">
        <v>10583</v>
      </c>
      <c r="NQC3" t="s">
        <v>10584</v>
      </c>
      <c r="NQD3" t="s">
        <v>10585</v>
      </c>
      <c r="NQE3" t="s">
        <v>10586</v>
      </c>
      <c r="NQF3" t="s">
        <v>10587</v>
      </c>
      <c r="NQG3" t="s">
        <v>10588</v>
      </c>
      <c r="NQH3" t="s">
        <v>10589</v>
      </c>
      <c r="NQI3" t="s">
        <v>10590</v>
      </c>
      <c r="NQJ3" t="s">
        <v>10591</v>
      </c>
      <c r="NQK3" t="s">
        <v>10592</v>
      </c>
      <c r="NQL3" t="s">
        <v>10593</v>
      </c>
      <c r="NQM3" t="s">
        <v>10594</v>
      </c>
      <c r="NQN3" t="s">
        <v>10595</v>
      </c>
      <c r="NQO3" t="s">
        <v>10596</v>
      </c>
      <c r="NQP3" t="s">
        <v>10597</v>
      </c>
      <c r="NQQ3" t="s">
        <v>10598</v>
      </c>
      <c r="NQR3" t="s">
        <v>10599</v>
      </c>
      <c r="NQS3" t="s">
        <v>10600</v>
      </c>
      <c r="NQT3" t="s">
        <v>10601</v>
      </c>
      <c r="NQU3" t="s">
        <v>10602</v>
      </c>
      <c r="NQV3" t="s">
        <v>10603</v>
      </c>
      <c r="NQW3" t="s">
        <v>10604</v>
      </c>
      <c r="NQX3" t="s">
        <v>10605</v>
      </c>
      <c r="NQY3" t="s">
        <v>10606</v>
      </c>
      <c r="NQZ3" t="s">
        <v>10607</v>
      </c>
      <c r="NRA3" t="s">
        <v>10608</v>
      </c>
      <c r="NRB3" t="s">
        <v>10609</v>
      </c>
      <c r="NRC3" t="s">
        <v>10610</v>
      </c>
      <c r="NRD3" t="s">
        <v>10611</v>
      </c>
      <c r="NRE3" t="s">
        <v>10612</v>
      </c>
      <c r="NRF3" t="s">
        <v>10613</v>
      </c>
      <c r="NRG3" t="s">
        <v>10614</v>
      </c>
      <c r="NRH3" t="s">
        <v>10615</v>
      </c>
      <c r="NRI3" t="s">
        <v>10616</v>
      </c>
      <c r="NRJ3" t="s">
        <v>10617</v>
      </c>
      <c r="NRK3" t="s">
        <v>10618</v>
      </c>
      <c r="NRL3" t="s">
        <v>10619</v>
      </c>
      <c r="NRM3" t="s">
        <v>10620</v>
      </c>
      <c r="NRN3" t="s">
        <v>10621</v>
      </c>
      <c r="NRO3" t="s">
        <v>10622</v>
      </c>
      <c r="NRP3" t="s">
        <v>10623</v>
      </c>
      <c r="NRQ3" t="s">
        <v>10624</v>
      </c>
      <c r="NRR3" t="s">
        <v>10625</v>
      </c>
      <c r="NRS3" t="s">
        <v>10626</v>
      </c>
      <c r="NRT3" t="s">
        <v>10627</v>
      </c>
      <c r="NRU3" t="s">
        <v>10628</v>
      </c>
      <c r="NRV3" t="s">
        <v>10629</v>
      </c>
      <c r="NRW3" t="s">
        <v>10630</v>
      </c>
      <c r="NRX3" t="s">
        <v>10631</v>
      </c>
      <c r="NRY3" t="s">
        <v>10632</v>
      </c>
      <c r="NRZ3" t="s">
        <v>10633</v>
      </c>
      <c r="NSA3" t="s">
        <v>10634</v>
      </c>
      <c r="NSB3" t="s">
        <v>10635</v>
      </c>
      <c r="NSC3" t="s">
        <v>10636</v>
      </c>
      <c r="NSD3" t="s">
        <v>10637</v>
      </c>
      <c r="NSE3" t="s">
        <v>10638</v>
      </c>
      <c r="NSF3" t="s">
        <v>10639</v>
      </c>
      <c r="NSG3" t="s">
        <v>10640</v>
      </c>
      <c r="NSH3" t="s">
        <v>10641</v>
      </c>
      <c r="NSI3" t="s">
        <v>10642</v>
      </c>
      <c r="NSJ3" t="s">
        <v>10643</v>
      </c>
      <c r="NSK3" t="s">
        <v>10644</v>
      </c>
      <c r="NSL3" t="s">
        <v>10645</v>
      </c>
      <c r="NSM3" t="s">
        <v>10646</v>
      </c>
      <c r="NSN3" t="s">
        <v>10647</v>
      </c>
      <c r="NSO3" t="s">
        <v>10648</v>
      </c>
      <c r="NSP3" t="s">
        <v>10649</v>
      </c>
      <c r="NSQ3" t="s">
        <v>10650</v>
      </c>
      <c r="NSR3" t="s">
        <v>10651</v>
      </c>
      <c r="NSS3" t="s">
        <v>10652</v>
      </c>
      <c r="NST3" t="s">
        <v>10653</v>
      </c>
      <c r="NSU3" t="s">
        <v>10654</v>
      </c>
      <c r="NSV3" t="s">
        <v>10655</v>
      </c>
      <c r="NSW3" t="s">
        <v>10656</v>
      </c>
      <c r="NSX3" t="s">
        <v>10657</v>
      </c>
      <c r="NSY3" t="s">
        <v>10658</v>
      </c>
      <c r="NSZ3" t="s">
        <v>10659</v>
      </c>
      <c r="NTA3" t="s">
        <v>10660</v>
      </c>
      <c r="NTB3" t="s">
        <v>10661</v>
      </c>
      <c r="NTC3" t="s">
        <v>10662</v>
      </c>
      <c r="NTD3" t="s">
        <v>10663</v>
      </c>
      <c r="NTE3" t="s">
        <v>10664</v>
      </c>
      <c r="NTF3" t="s">
        <v>10665</v>
      </c>
      <c r="NTG3" t="s">
        <v>10666</v>
      </c>
      <c r="NTH3" t="s">
        <v>10667</v>
      </c>
      <c r="NTI3" t="s">
        <v>10668</v>
      </c>
      <c r="NTJ3" t="s">
        <v>10669</v>
      </c>
      <c r="NTK3" t="s">
        <v>10670</v>
      </c>
      <c r="NTL3" t="s">
        <v>10671</v>
      </c>
      <c r="NTM3" t="s">
        <v>10672</v>
      </c>
      <c r="NTN3" t="s">
        <v>10673</v>
      </c>
      <c r="NTO3" t="s">
        <v>10674</v>
      </c>
      <c r="NTP3" t="s">
        <v>10675</v>
      </c>
      <c r="NTQ3" t="s">
        <v>10676</v>
      </c>
      <c r="NTR3" t="s">
        <v>10677</v>
      </c>
      <c r="NTS3" t="s">
        <v>10678</v>
      </c>
      <c r="NTT3" t="s">
        <v>10679</v>
      </c>
      <c r="NTU3" t="s">
        <v>10680</v>
      </c>
      <c r="NTV3" t="s">
        <v>10681</v>
      </c>
      <c r="NTW3" t="s">
        <v>10682</v>
      </c>
      <c r="NTX3" t="s">
        <v>10683</v>
      </c>
      <c r="NTY3" t="s">
        <v>10684</v>
      </c>
      <c r="NTZ3" t="s">
        <v>10685</v>
      </c>
      <c r="NUA3" t="s">
        <v>10686</v>
      </c>
      <c r="NUB3" t="s">
        <v>10687</v>
      </c>
      <c r="NUC3" t="s">
        <v>10688</v>
      </c>
      <c r="NUD3" t="s">
        <v>10689</v>
      </c>
      <c r="NUE3" t="s">
        <v>10690</v>
      </c>
      <c r="NUF3" t="s">
        <v>10691</v>
      </c>
      <c r="NUG3" t="s">
        <v>10692</v>
      </c>
      <c r="NUH3" t="s">
        <v>10693</v>
      </c>
      <c r="NUI3" t="s">
        <v>10694</v>
      </c>
      <c r="NUJ3" t="s">
        <v>10695</v>
      </c>
      <c r="NUK3" t="s">
        <v>10696</v>
      </c>
      <c r="NUL3" t="s">
        <v>10697</v>
      </c>
      <c r="NUM3" t="s">
        <v>10698</v>
      </c>
      <c r="NUN3" t="s">
        <v>10699</v>
      </c>
      <c r="NUO3" t="s">
        <v>10700</v>
      </c>
      <c r="NUP3" t="s">
        <v>10701</v>
      </c>
      <c r="NUQ3" t="s">
        <v>10702</v>
      </c>
      <c r="NUR3" t="s">
        <v>10703</v>
      </c>
      <c r="NUS3" t="s">
        <v>10704</v>
      </c>
      <c r="NUT3" t="s">
        <v>10705</v>
      </c>
      <c r="NUU3" t="s">
        <v>10706</v>
      </c>
      <c r="NUV3" t="s">
        <v>10707</v>
      </c>
      <c r="NUW3" t="s">
        <v>10708</v>
      </c>
      <c r="NUX3" t="s">
        <v>10709</v>
      </c>
      <c r="NUY3" t="s">
        <v>10710</v>
      </c>
      <c r="NUZ3" t="s">
        <v>10711</v>
      </c>
      <c r="NVA3" t="s">
        <v>10712</v>
      </c>
      <c r="NVB3" t="s">
        <v>10713</v>
      </c>
      <c r="NVC3" t="s">
        <v>10714</v>
      </c>
      <c r="NVD3" t="s">
        <v>10715</v>
      </c>
      <c r="NVE3" t="s">
        <v>10716</v>
      </c>
      <c r="NVF3" t="s">
        <v>10717</v>
      </c>
      <c r="NVG3" t="s">
        <v>10718</v>
      </c>
      <c r="NVH3" t="s">
        <v>10719</v>
      </c>
      <c r="NVI3" t="s">
        <v>10720</v>
      </c>
      <c r="NVJ3" t="s">
        <v>10721</v>
      </c>
      <c r="NVK3" t="s">
        <v>10722</v>
      </c>
      <c r="NVL3" t="s">
        <v>10723</v>
      </c>
      <c r="NVM3" t="s">
        <v>10724</v>
      </c>
      <c r="NVN3" t="s">
        <v>10725</v>
      </c>
      <c r="NVO3" t="s">
        <v>10726</v>
      </c>
      <c r="NVP3" t="s">
        <v>10727</v>
      </c>
      <c r="NVQ3" t="s">
        <v>10728</v>
      </c>
      <c r="NVR3" t="s">
        <v>10729</v>
      </c>
      <c r="NVS3" t="s">
        <v>10730</v>
      </c>
      <c r="NVT3" t="s">
        <v>10731</v>
      </c>
      <c r="NVU3" t="s">
        <v>10732</v>
      </c>
      <c r="NVV3" t="s">
        <v>10733</v>
      </c>
      <c r="NVW3" t="s">
        <v>10734</v>
      </c>
      <c r="NVX3" t="s">
        <v>10735</v>
      </c>
      <c r="NVY3" t="s">
        <v>10736</v>
      </c>
      <c r="NVZ3" t="s">
        <v>10737</v>
      </c>
      <c r="NWA3" t="s">
        <v>10738</v>
      </c>
      <c r="NWB3" t="s">
        <v>10739</v>
      </c>
      <c r="NWC3" t="s">
        <v>10740</v>
      </c>
      <c r="NWD3" t="s">
        <v>10741</v>
      </c>
      <c r="NWE3" t="s">
        <v>10742</v>
      </c>
      <c r="NWF3" t="s">
        <v>10743</v>
      </c>
      <c r="NWG3" t="s">
        <v>10744</v>
      </c>
      <c r="NWH3" t="s">
        <v>10745</v>
      </c>
      <c r="NWI3" t="s">
        <v>10746</v>
      </c>
      <c r="NWJ3" t="s">
        <v>10747</v>
      </c>
      <c r="NWK3" t="s">
        <v>10748</v>
      </c>
      <c r="NWL3" t="s">
        <v>10749</v>
      </c>
      <c r="NWM3" t="s">
        <v>10750</v>
      </c>
      <c r="NWN3" t="s">
        <v>10751</v>
      </c>
      <c r="NWO3" t="s">
        <v>10752</v>
      </c>
      <c r="NWP3" t="s">
        <v>10753</v>
      </c>
      <c r="NWQ3" t="s">
        <v>10754</v>
      </c>
      <c r="NWR3" t="s">
        <v>10755</v>
      </c>
      <c r="NWS3" t="s">
        <v>10756</v>
      </c>
      <c r="NWT3" t="s">
        <v>10757</v>
      </c>
      <c r="NWU3" t="s">
        <v>10758</v>
      </c>
      <c r="NWV3" t="s">
        <v>10759</v>
      </c>
      <c r="NWW3" t="s">
        <v>10760</v>
      </c>
      <c r="NWX3" t="s">
        <v>10761</v>
      </c>
      <c r="NWY3" t="s">
        <v>10762</v>
      </c>
      <c r="NWZ3" t="s">
        <v>10763</v>
      </c>
      <c r="NXA3" t="s">
        <v>10764</v>
      </c>
      <c r="NXB3" t="s">
        <v>10765</v>
      </c>
      <c r="NXC3" t="s">
        <v>10766</v>
      </c>
      <c r="NXD3" t="s">
        <v>10767</v>
      </c>
      <c r="NXE3" t="s">
        <v>10768</v>
      </c>
      <c r="NXF3" t="s">
        <v>10769</v>
      </c>
      <c r="NXG3" t="s">
        <v>10770</v>
      </c>
      <c r="NXH3" t="s">
        <v>10771</v>
      </c>
      <c r="NXI3" t="s">
        <v>10772</v>
      </c>
      <c r="NXJ3" t="s">
        <v>10773</v>
      </c>
      <c r="NXK3" t="s">
        <v>10774</v>
      </c>
      <c r="NXL3" t="s">
        <v>10775</v>
      </c>
      <c r="NXM3" t="s">
        <v>10776</v>
      </c>
      <c r="NXN3" t="s">
        <v>10777</v>
      </c>
      <c r="NXO3" t="s">
        <v>10778</v>
      </c>
      <c r="NXP3" t="s">
        <v>10779</v>
      </c>
      <c r="NXQ3" t="s">
        <v>10780</v>
      </c>
      <c r="NXR3" t="s">
        <v>10781</v>
      </c>
      <c r="NXS3" t="s">
        <v>10782</v>
      </c>
      <c r="NXT3" t="s">
        <v>10783</v>
      </c>
      <c r="NXU3" t="s">
        <v>10784</v>
      </c>
      <c r="NXV3" t="s">
        <v>10785</v>
      </c>
      <c r="NXW3" t="s">
        <v>10786</v>
      </c>
      <c r="NXX3" t="s">
        <v>10787</v>
      </c>
      <c r="NXY3" t="s">
        <v>10788</v>
      </c>
      <c r="NXZ3" t="s">
        <v>10789</v>
      </c>
      <c r="NYA3" t="s">
        <v>10790</v>
      </c>
      <c r="NYB3" t="s">
        <v>10791</v>
      </c>
      <c r="NYC3" t="s">
        <v>10792</v>
      </c>
      <c r="NYD3" t="s">
        <v>10793</v>
      </c>
      <c r="NYE3" t="s">
        <v>10794</v>
      </c>
      <c r="NYF3" t="s">
        <v>10795</v>
      </c>
      <c r="NYG3" t="s">
        <v>10796</v>
      </c>
      <c r="NYH3" t="s">
        <v>10797</v>
      </c>
      <c r="NYI3" t="s">
        <v>10798</v>
      </c>
      <c r="NYJ3" t="s">
        <v>10799</v>
      </c>
      <c r="NYK3" t="s">
        <v>10800</v>
      </c>
      <c r="NYL3" t="s">
        <v>10801</v>
      </c>
      <c r="NYM3" t="s">
        <v>10802</v>
      </c>
      <c r="NYN3" t="s">
        <v>10803</v>
      </c>
      <c r="NYO3" t="s">
        <v>10804</v>
      </c>
      <c r="NYP3" t="s">
        <v>10805</v>
      </c>
      <c r="NYQ3" t="s">
        <v>10806</v>
      </c>
      <c r="NYR3" t="s">
        <v>10807</v>
      </c>
      <c r="NYS3" t="s">
        <v>10808</v>
      </c>
      <c r="NYT3" t="s">
        <v>10809</v>
      </c>
      <c r="NYU3" t="s">
        <v>10810</v>
      </c>
      <c r="NYV3" t="s">
        <v>10811</v>
      </c>
      <c r="NYW3" t="s">
        <v>10812</v>
      </c>
      <c r="NYX3" t="s">
        <v>10813</v>
      </c>
      <c r="NYY3" t="s">
        <v>10814</v>
      </c>
      <c r="NYZ3" t="s">
        <v>10815</v>
      </c>
      <c r="NZA3" t="s">
        <v>10816</v>
      </c>
      <c r="NZB3" t="s">
        <v>10817</v>
      </c>
      <c r="NZC3" t="s">
        <v>10818</v>
      </c>
      <c r="NZD3" t="s">
        <v>10819</v>
      </c>
      <c r="NZE3" t="s">
        <v>10820</v>
      </c>
      <c r="NZF3" t="s">
        <v>10821</v>
      </c>
      <c r="NZG3" t="s">
        <v>10822</v>
      </c>
      <c r="NZH3" t="s">
        <v>10823</v>
      </c>
      <c r="NZI3" t="s">
        <v>10824</v>
      </c>
      <c r="NZJ3" t="s">
        <v>10825</v>
      </c>
      <c r="NZK3" t="s">
        <v>10826</v>
      </c>
      <c r="NZL3" t="s">
        <v>10827</v>
      </c>
      <c r="NZM3" t="s">
        <v>10828</v>
      </c>
      <c r="NZN3" t="s">
        <v>10829</v>
      </c>
      <c r="NZO3" t="s">
        <v>10830</v>
      </c>
      <c r="NZP3" t="s">
        <v>10831</v>
      </c>
      <c r="NZQ3" t="s">
        <v>10832</v>
      </c>
      <c r="NZR3" t="s">
        <v>10833</v>
      </c>
      <c r="NZS3" t="s">
        <v>10834</v>
      </c>
      <c r="NZT3" t="s">
        <v>10835</v>
      </c>
      <c r="NZU3" t="s">
        <v>10836</v>
      </c>
      <c r="NZV3" t="s">
        <v>10837</v>
      </c>
      <c r="NZW3" t="s">
        <v>10838</v>
      </c>
      <c r="NZX3" t="s">
        <v>10839</v>
      </c>
      <c r="NZY3" t="s">
        <v>10840</v>
      </c>
      <c r="NZZ3" t="s">
        <v>10841</v>
      </c>
      <c r="OAA3" t="s">
        <v>10842</v>
      </c>
      <c r="OAB3" t="s">
        <v>10843</v>
      </c>
      <c r="OAC3" t="s">
        <v>10844</v>
      </c>
      <c r="OAD3" t="s">
        <v>10845</v>
      </c>
      <c r="OAE3" t="s">
        <v>10846</v>
      </c>
      <c r="OAF3" t="s">
        <v>10847</v>
      </c>
      <c r="OAG3" t="s">
        <v>10848</v>
      </c>
      <c r="OAH3" t="s">
        <v>10849</v>
      </c>
      <c r="OAI3" t="s">
        <v>10850</v>
      </c>
      <c r="OAJ3" t="s">
        <v>10851</v>
      </c>
      <c r="OAK3" t="s">
        <v>10852</v>
      </c>
      <c r="OAL3" t="s">
        <v>10853</v>
      </c>
      <c r="OAM3" t="s">
        <v>10854</v>
      </c>
      <c r="OAN3" t="s">
        <v>10855</v>
      </c>
      <c r="OAO3" t="s">
        <v>10856</v>
      </c>
      <c r="OAP3" t="s">
        <v>10857</v>
      </c>
      <c r="OAQ3" t="s">
        <v>10858</v>
      </c>
      <c r="OAR3" t="s">
        <v>10859</v>
      </c>
      <c r="OAS3" t="s">
        <v>10860</v>
      </c>
      <c r="OAT3" t="s">
        <v>10861</v>
      </c>
      <c r="OAU3" t="s">
        <v>10862</v>
      </c>
      <c r="OAV3" t="s">
        <v>10863</v>
      </c>
      <c r="OAW3" t="s">
        <v>10864</v>
      </c>
      <c r="OAX3" t="s">
        <v>10865</v>
      </c>
      <c r="OAY3" t="s">
        <v>10866</v>
      </c>
      <c r="OAZ3" t="s">
        <v>10867</v>
      </c>
      <c r="OBA3" t="s">
        <v>10868</v>
      </c>
      <c r="OBB3" t="s">
        <v>10869</v>
      </c>
      <c r="OBC3" t="s">
        <v>10870</v>
      </c>
      <c r="OBD3" t="s">
        <v>10871</v>
      </c>
      <c r="OBE3" t="s">
        <v>10872</v>
      </c>
      <c r="OBF3" t="s">
        <v>10873</v>
      </c>
      <c r="OBG3" t="s">
        <v>10874</v>
      </c>
      <c r="OBH3" t="s">
        <v>10875</v>
      </c>
      <c r="OBI3" t="s">
        <v>10876</v>
      </c>
      <c r="OBJ3" t="s">
        <v>10877</v>
      </c>
      <c r="OBK3" t="s">
        <v>10878</v>
      </c>
      <c r="OBL3" t="s">
        <v>10879</v>
      </c>
      <c r="OBM3" t="s">
        <v>10880</v>
      </c>
      <c r="OBN3" t="s">
        <v>10881</v>
      </c>
      <c r="OBO3" t="s">
        <v>10882</v>
      </c>
      <c r="OBP3" t="s">
        <v>10883</v>
      </c>
      <c r="OBQ3" t="s">
        <v>10884</v>
      </c>
      <c r="OBR3" t="s">
        <v>10885</v>
      </c>
      <c r="OBS3" t="s">
        <v>10886</v>
      </c>
      <c r="OBT3" t="s">
        <v>10887</v>
      </c>
      <c r="OBU3" t="s">
        <v>10888</v>
      </c>
      <c r="OBV3" t="s">
        <v>10889</v>
      </c>
      <c r="OBW3" t="s">
        <v>10890</v>
      </c>
      <c r="OBX3" t="s">
        <v>10891</v>
      </c>
      <c r="OBY3" t="s">
        <v>10892</v>
      </c>
      <c r="OBZ3" t="s">
        <v>10893</v>
      </c>
      <c r="OCA3" t="s">
        <v>10894</v>
      </c>
      <c r="OCB3" t="s">
        <v>10895</v>
      </c>
      <c r="OCC3" t="s">
        <v>10896</v>
      </c>
      <c r="OCD3" t="s">
        <v>10897</v>
      </c>
      <c r="OCE3" t="s">
        <v>10898</v>
      </c>
      <c r="OCF3" t="s">
        <v>10899</v>
      </c>
      <c r="OCG3" t="s">
        <v>10900</v>
      </c>
      <c r="OCH3" t="s">
        <v>10901</v>
      </c>
      <c r="OCI3" t="s">
        <v>10902</v>
      </c>
      <c r="OCJ3" t="s">
        <v>10903</v>
      </c>
      <c r="OCK3" t="s">
        <v>10904</v>
      </c>
      <c r="OCL3" t="s">
        <v>10905</v>
      </c>
      <c r="OCM3" t="s">
        <v>10906</v>
      </c>
      <c r="OCN3" t="s">
        <v>10907</v>
      </c>
      <c r="OCO3" t="s">
        <v>10908</v>
      </c>
      <c r="OCP3" t="s">
        <v>10909</v>
      </c>
      <c r="OCQ3" t="s">
        <v>10910</v>
      </c>
      <c r="OCR3" t="s">
        <v>10911</v>
      </c>
      <c r="OCS3" t="s">
        <v>10912</v>
      </c>
      <c r="OCT3" t="s">
        <v>10913</v>
      </c>
      <c r="OCU3" t="s">
        <v>10914</v>
      </c>
      <c r="OCV3" t="s">
        <v>10915</v>
      </c>
      <c r="OCW3" t="s">
        <v>10916</v>
      </c>
      <c r="OCX3" t="s">
        <v>10917</v>
      </c>
      <c r="OCY3" t="s">
        <v>10918</v>
      </c>
      <c r="OCZ3" t="s">
        <v>10919</v>
      </c>
      <c r="ODA3" t="s">
        <v>10920</v>
      </c>
      <c r="ODB3" t="s">
        <v>10921</v>
      </c>
      <c r="ODC3" t="s">
        <v>10922</v>
      </c>
      <c r="ODD3" t="s">
        <v>10923</v>
      </c>
      <c r="ODE3" t="s">
        <v>10924</v>
      </c>
      <c r="ODF3" t="s">
        <v>10925</v>
      </c>
      <c r="ODG3" t="s">
        <v>10926</v>
      </c>
      <c r="ODH3" t="s">
        <v>10927</v>
      </c>
      <c r="ODI3" t="s">
        <v>10928</v>
      </c>
      <c r="ODJ3" t="s">
        <v>10929</v>
      </c>
      <c r="ODK3" t="s">
        <v>10930</v>
      </c>
      <c r="ODL3" t="s">
        <v>10931</v>
      </c>
      <c r="ODM3" t="s">
        <v>10932</v>
      </c>
      <c r="ODN3" t="s">
        <v>10933</v>
      </c>
      <c r="ODO3" t="s">
        <v>10934</v>
      </c>
      <c r="ODP3" t="s">
        <v>10935</v>
      </c>
      <c r="ODQ3" t="s">
        <v>10936</v>
      </c>
      <c r="ODR3" t="s">
        <v>10937</v>
      </c>
      <c r="ODS3" t="s">
        <v>10938</v>
      </c>
      <c r="ODT3" t="s">
        <v>10939</v>
      </c>
      <c r="ODU3" t="s">
        <v>10940</v>
      </c>
      <c r="ODV3" t="s">
        <v>10941</v>
      </c>
      <c r="ODW3" t="s">
        <v>10942</v>
      </c>
      <c r="ODX3" t="s">
        <v>10943</v>
      </c>
      <c r="ODY3" t="s">
        <v>10944</v>
      </c>
      <c r="ODZ3" t="s">
        <v>10945</v>
      </c>
      <c r="OEA3" t="s">
        <v>10946</v>
      </c>
      <c r="OEB3" t="s">
        <v>10947</v>
      </c>
      <c r="OEC3" t="s">
        <v>10948</v>
      </c>
      <c r="OED3" t="s">
        <v>10949</v>
      </c>
      <c r="OEE3" t="s">
        <v>10950</v>
      </c>
      <c r="OEF3" t="s">
        <v>10951</v>
      </c>
      <c r="OEG3" t="s">
        <v>10952</v>
      </c>
      <c r="OEH3" t="s">
        <v>10953</v>
      </c>
      <c r="OEI3" t="s">
        <v>10954</v>
      </c>
      <c r="OEJ3" t="s">
        <v>10955</v>
      </c>
      <c r="OEK3" t="s">
        <v>10956</v>
      </c>
      <c r="OEL3" t="s">
        <v>10957</v>
      </c>
      <c r="OEM3" t="s">
        <v>10958</v>
      </c>
      <c r="OEN3" t="s">
        <v>10959</v>
      </c>
      <c r="OEO3" t="s">
        <v>10960</v>
      </c>
      <c r="OEP3" t="s">
        <v>10961</v>
      </c>
      <c r="OEQ3" t="s">
        <v>10962</v>
      </c>
      <c r="OER3" t="s">
        <v>10963</v>
      </c>
      <c r="OES3" t="s">
        <v>10964</v>
      </c>
      <c r="OET3" t="s">
        <v>10965</v>
      </c>
      <c r="OEU3" t="s">
        <v>10966</v>
      </c>
      <c r="OEV3" t="s">
        <v>10967</v>
      </c>
      <c r="OEW3" t="s">
        <v>10968</v>
      </c>
      <c r="OEX3" t="s">
        <v>10969</v>
      </c>
      <c r="OEY3" t="s">
        <v>10970</v>
      </c>
      <c r="OEZ3" t="s">
        <v>10971</v>
      </c>
      <c r="OFA3" t="s">
        <v>10972</v>
      </c>
      <c r="OFB3" t="s">
        <v>10973</v>
      </c>
      <c r="OFC3" t="s">
        <v>10974</v>
      </c>
      <c r="OFD3" t="s">
        <v>10975</v>
      </c>
      <c r="OFE3" t="s">
        <v>10976</v>
      </c>
      <c r="OFF3" t="s">
        <v>10977</v>
      </c>
      <c r="OFG3" t="s">
        <v>10978</v>
      </c>
      <c r="OFH3" t="s">
        <v>10979</v>
      </c>
      <c r="OFI3" t="s">
        <v>10980</v>
      </c>
      <c r="OFJ3" t="s">
        <v>10981</v>
      </c>
      <c r="OFK3" t="s">
        <v>10982</v>
      </c>
      <c r="OFL3" t="s">
        <v>10983</v>
      </c>
      <c r="OFM3" t="s">
        <v>10984</v>
      </c>
      <c r="OFN3" t="s">
        <v>10985</v>
      </c>
      <c r="OFO3" t="s">
        <v>10986</v>
      </c>
      <c r="OFP3" t="s">
        <v>10987</v>
      </c>
      <c r="OFQ3" t="s">
        <v>10988</v>
      </c>
      <c r="OFR3" t="s">
        <v>10989</v>
      </c>
      <c r="OFS3" t="s">
        <v>10990</v>
      </c>
      <c r="OFT3" t="s">
        <v>10991</v>
      </c>
      <c r="OFU3" t="s">
        <v>10992</v>
      </c>
      <c r="OFV3" t="s">
        <v>10993</v>
      </c>
      <c r="OFW3" t="s">
        <v>10994</v>
      </c>
      <c r="OFX3" t="s">
        <v>10995</v>
      </c>
      <c r="OFY3" t="s">
        <v>10996</v>
      </c>
      <c r="OFZ3" t="s">
        <v>10997</v>
      </c>
      <c r="OGA3" t="s">
        <v>10998</v>
      </c>
      <c r="OGB3" t="s">
        <v>10999</v>
      </c>
      <c r="OGC3" t="s">
        <v>11000</v>
      </c>
      <c r="OGD3" t="s">
        <v>11001</v>
      </c>
      <c r="OGE3" t="s">
        <v>11002</v>
      </c>
      <c r="OGF3" t="s">
        <v>11003</v>
      </c>
      <c r="OGG3" t="s">
        <v>11004</v>
      </c>
      <c r="OGH3" t="s">
        <v>11005</v>
      </c>
      <c r="OGI3" t="s">
        <v>11006</v>
      </c>
      <c r="OGJ3" t="s">
        <v>11007</v>
      </c>
      <c r="OGK3" t="s">
        <v>11008</v>
      </c>
      <c r="OGL3" t="s">
        <v>11009</v>
      </c>
      <c r="OGM3" t="s">
        <v>11010</v>
      </c>
      <c r="OGN3" t="s">
        <v>11011</v>
      </c>
      <c r="OGO3" t="s">
        <v>11012</v>
      </c>
      <c r="OGP3" t="s">
        <v>11013</v>
      </c>
      <c r="OGQ3" t="s">
        <v>11014</v>
      </c>
      <c r="OGR3" t="s">
        <v>11015</v>
      </c>
      <c r="OGS3" t="s">
        <v>11016</v>
      </c>
      <c r="OGT3" t="s">
        <v>11017</v>
      </c>
      <c r="OGU3" t="s">
        <v>11018</v>
      </c>
      <c r="OGV3" t="s">
        <v>11019</v>
      </c>
      <c r="OGW3" t="s">
        <v>11020</v>
      </c>
      <c r="OGX3" t="s">
        <v>11021</v>
      </c>
      <c r="OGY3" t="s">
        <v>11022</v>
      </c>
      <c r="OGZ3" t="s">
        <v>11023</v>
      </c>
      <c r="OHA3" t="s">
        <v>11024</v>
      </c>
      <c r="OHB3" t="s">
        <v>11025</v>
      </c>
      <c r="OHC3" t="s">
        <v>11026</v>
      </c>
      <c r="OHD3" t="s">
        <v>11027</v>
      </c>
      <c r="OHE3" t="s">
        <v>11028</v>
      </c>
      <c r="OHF3" t="s">
        <v>11029</v>
      </c>
      <c r="OHG3" t="s">
        <v>11030</v>
      </c>
      <c r="OHH3" t="s">
        <v>11031</v>
      </c>
      <c r="OHI3" t="s">
        <v>11032</v>
      </c>
      <c r="OHJ3" t="s">
        <v>11033</v>
      </c>
      <c r="OHK3" t="s">
        <v>11034</v>
      </c>
      <c r="OHL3" t="s">
        <v>11035</v>
      </c>
      <c r="OHM3" t="s">
        <v>11036</v>
      </c>
      <c r="OHN3" t="s">
        <v>11037</v>
      </c>
      <c r="OHO3" t="s">
        <v>11038</v>
      </c>
      <c r="OHP3" t="s">
        <v>11039</v>
      </c>
      <c r="OHQ3" t="s">
        <v>11040</v>
      </c>
      <c r="OHR3" t="s">
        <v>11041</v>
      </c>
      <c r="OHS3" t="s">
        <v>11042</v>
      </c>
      <c r="OHT3" t="s">
        <v>11043</v>
      </c>
      <c r="OHU3" t="s">
        <v>11044</v>
      </c>
      <c r="OHV3" t="s">
        <v>11045</v>
      </c>
      <c r="OHW3" t="s">
        <v>11046</v>
      </c>
      <c r="OHX3" t="s">
        <v>11047</v>
      </c>
      <c r="OHY3" t="s">
        <v>11048</v>
      </c>
      <c r="OHZ3" t="s">
        <v>11049</v>
      </c>
      <c r="OIA3" t="s">
        <v>11050</v>
      </c>
      <c r="OIB3" t="s">
        <v>11051</v>
      </c>
      <c r="OIC3" t="s">
        <v>11052</v>
      </c>
      <c r="OID3" t="s">
        <v>11053</v>
      </c>
      <c r="OIE3" t="s">
        <v>11054</v>
      </c>
      <c r="OIF3" t="s">
        <v>11055</v>
      </c>
      <c r="OIG3" t="s">
        <v>11056</v>
      </c>
      <c r="OIH3" t="s">
        <v>11057</v>
      </c>
      <c r="OII3" t="s">
        <v>11058</v>
      </c>
      <c r="OIJ3" t="s">
        <v>11059</v>
      </c>
      <c r="OIK3" t="s">
        <v>11060</v>
      </c>
      <c r="OIL3" t="s">
        <v>11061</v>
      </c>
      <c r="OIM3" t="s">
        <v>11062</v>
      </c>
      <c r="OIN3" t="s">
        <v>11063</v>
      </c>
      <c r="OIO3" t="s">
        <v>11064</v>
      </c>
      <c r="OIP3" t="s">
        <v>11065</v>
      </c>
      <c r="OIQ3" t="s">
        <v>11066</v>
      </c>
      <c r="OIR3" t="s">
        <v>11067</v>
      </c>
      <c r="OIS3" t="s">
        <v>11068</v>
      </c>
      <c r="OIT3" t="s">
        <v>11069</v>
      </c>
      <c r="OIU3" t="s">
        <v>11070</v>
      </c>
      <c r="OIV3" t="s">
        <v>11071</v>
      </c>
      <c r="OIW3" t="s">
        <v>11072</v>
      </c>
      <c r="OIX3" t="s">
        <v>11073</v>
      </c>
      <c r="OIY3" t="s">
        <v>11074</v>
      </c>
      <c r="OIZ3" t="s">
        <v>11075</v>
      </c>
      <c r="OJA3" t="s">
        <v>11076</v>
      </c>
      <c r="OJB3" t="s">
        <v>11077</v>
      </c>
      <c r="OJC3" t="s">
        <v>11078</v>
      </c>
      <c r="OJD3" t="s">
        <v>11079</v>
      </c>
      <c r="OJE3" t="s">
        <v>11080</v>
      </c>
      <c r="OJF3" t="s">
        <v>11081</v>
      </c>
      <c r="OJG3" t="s">
        <v>11082</v>
      </c>
      <c r="OJH3" t="s">
        <v>11083</v>
      </c>
      <c r="OJI3" t="s">
        <v>11084</v>
      </c>
      <c r="OJJ3" t="s">
        <v>11085</v>
      </c>
      <c r="OJK3" t="s">
        <v>11086</v>
      </c>
      <c r="OJL3" t="s">
        <v>11087</v>
      </c>
      <c r="OJM3" t="s">
        <v>11088</v>
      </c>
      <c r="OJN3" t="s">
        <v>11089</v>
      </c>
      <c r="OJO3" t="s">
        <v>11090</v>
      </c>
      <c r="OJP3" t="s">
        <v>11091</v>
      </c>
      <c r="OJQ3" t="s">
        <v>11092</v>
      </c>
      <c r="OJR3" t="s">
        <v>11093</v>
      </c>
      <c r="OJS3" t="s">
        <v>11094</v>
      </c>
      <c r="OJT3" t="s">
        <v>11095</v>
      </c>
      <c r="OJU3" t="s">
        <v>11096</v>
      </c>
      <c r="OJV3" t="s">
        <v>11097</v>
      </c>
      <c r="OJW3" t="s">
        <v>11098</v>
      </c>
      <c r="OJX3" t="s">
        <v>11099</v>
      </c>
      <c r="OJY3" t="s">
        <v>11100</v>
      </c>
      <c r="OJZ3" t="s">
        <v>11101</v>
      </c>
      <c r="OKA3" t="s">
        <v>11102</v>
      </c>
      <c r="OKB3" t="s">
        <v>11103</v>
      </c>
      <c r="OKC3" t="s">
        <v>11104</v>
      </c>
      <c r="OKD3" t="s">
        <v>11105</v>
      </c>
      <c r="OKE3" t="s">
        <v>11106</v>
      </c>
      <c r="OKF3" t="s">
        <v>11107</v>
      </c>
      <c r="OKG3" t="s">
        <v>11108</v>
      </c>
      <c r="OKH3" t="s">
        <v>11109</v>
      </c>
      <c r="OKI3" t="s">
        <v>11110</v>
      </c>
      <c r="OKJ3" t="s">
        <v>11111</v>
      </c>
      <c r="OKK3" t="s">
        <v>11112</v>
      </c>
      <c r="OKL3" t="s">
        <v>11113</v>
      </c>
      <c r="OKM3" t="s">
        <v>11114</v>
      </c>
      <c r="OKN3" t="s">
        <v>11115</v>
      </c>
      <c r="OKO3" t="s">
        <v>11116</v>
      </c>
      <c r="OKP3" t="s">
        <v>11117</v>
      </c>
      <c r="OKQ3" t="s">
        <v>11118</v>
      </c>
      <c r="OKR3" t="s">
        <v>11119</v>
      </c>
      <c r="OKS3" t="s">
        <v>11120</v>
      </c>
      <c r="OKT3" t="s">
        <v>11121</v>
      </c>
      <c r="OKU3" t="s">
        <v>11122</v>
      </c>
      <c r="OKV3" t="s">
        <v>11123</v>
      </c>
      <c r="OKW3" t="s">
        <v>11124</v>
      </c>
      <c r="OKX3" t="s">
        <v>11125</v>
      </c>
      <c r="OKY3" t="s">
        <v>11126</v>
      </c>
      <c r="OKZ3" t="s">
        <v>11127</v>
      </c>
      <c r="OLA3" t="s">
        <v>11128</v>
      </c>
      <c r="OLB3" t="s">
        <v>11129</v>
      </c>
      <c r="OLC3" t="s">
        <v>11130</v>
      </c>
      <c r="OLD3" t="s">
        <v>11131</v>
      </c>
      <c r="OLE3" t="s">
        <v>11132</v>
      </c>
      <c r="OLF3" t="s">
        <v>11133</v>
      </c>
      <c r="OLG3" t="s">
        <v>11134</v>
      </c>
      <c r="OLH3" t="s">
        <v>11135</v>
      </c>
      <c r="OLI3" t="s">
        <v>11136</v>
      </c>
      <c r="OLJ3" t="s">
        <v>11137</v>
      </c>
      <c r="OLK3" t="s">
        <v>11138</v>
      </c>
      <c r="OLL3" t="s">
        <v>11139</v>
      </c>
      <c r="OLM3" t="s">
        <v>11140</v>
      </c>
      <c r="OLN3" t="s">
        <v>11141</v>
      </c>
      <c r="OLO3" t="s">
        <v>11142</v>
      </c>
      <c r="OLP3" t="s">
        <v>11143</v>
      </c>
      <c r="OLQ3" t="s">
        <v>11144</v>
      </c>
      <c r="OLR3" t="s">
        <v>11145</v>
      </c>
      <c r="OLS3" t="s">
        <v>11146</v>
      </c>
      <c r="OLT3" t="s">
        <v>11147</v>
      </c>
      <c r="OLU3" t="s">
        <v>11148</v>
      </c>
      <c r="OLV3" t="s">
        <v>11149</v>
      </c>
      <c r="OLW3" t="s">
        <v>11150</v>
      </c>
      <c r="OLX3" t="s">
        <v>11151</v>
      </c>
      <c r="OLY3" t="s">
        <v>11152</v>
      </c>
      <c r="OLZ3" t="s">
        <v>11153</v>
      </c>
      <c r="OMA3" t="s">
        <v>11154</v>
      </c>
      <c r="OMB3" t="s">
        <v>11155</v>
      </c>
      <c r="OMC3" t="s">
        <v>11156</v>
      </c>
      <c r="OMD3" t="s">
        <v>11157</v>
      </c>
      <c r="OME3" t="s">
        <v>11158</v>
      </c>
      <c r="OMF3" t="s">
        <v>11159</v>
      </c>
      <c r="OMG3" t="s">
        <v>11160</v>
      </c>
      <c r="OMH3" t="s">
        <v>11161</v>
      </c>
      <c r="OMI3" t="s">
        <v>11162</v>
      </c>
      <c r="OMJ3" t="s">
        <v>11163</v>
      </c>
      <c r="OMK3" t="s">
        <v>11164</v>
      </c>
      <c r="OML3" t="s">
        <v>11165</v>
      </c>
      <c r="OMM3" t="s">
        <v>11166</v>
      </c>
      <c r="OMN3" t="s">
        <v>11167</v>
      </c>
      <c r="OMO3" t="s">
        <v>11168</v>
      </c>
      <c r="OMP3" t="s">
        <v>11169</v>
      </c>
      <c r="OMQ3" t="s">
        <v>11170</v>
      </c>
      <c r="OMR3" t="s">
        <v>11171</v>
      </c>
      <c r="OMS3" t="s">
        <v>11172</v>
      </c>
      <c r="OMT3" t="s">
        <v>11173</v>
      </c>
      <c r="OMU3" t="s">
        <v>11174</v>
      </c>
      <c r="OMV3" t="s">
        <v>11175</v>
      </c>
      <c r="OMW3" t="s">
        <v>11176</v>
      </c>
      <c r="OMX3" t="s">
        <v>11177</v>
      </c>
      <c r="OMY3" t="s">
        <v>11178</v>
      </c>
      <c r="OMZ3" t="s">
        <v>11179</v>
      </c>
      <c r="ONA3" t="s">
        <v>11180</v>
      </c>
      <c r="ONB3" t="s">
        <v>11181</v>
      </c>
      <c r="ONC3" t="s">
        <v>11182</v>
      </c>
      <c r="OND3" t="s">
        <v>11183</v>
      </c>
      <c r="ONE3" t="s">
        <v>11184</v>
      </c>
      <c r="ONF3" t="s">
        <v>11185</v>
      </c>
      <c r="ONG3" t="s">
        <v>11186</v>
      </c>
      <c r="ONH3" t="s">
        <v>11187</v>
      </c>
      <c r="ONI3" t="s">
        <v>11188</v>
      </c>
      <c r="ONJ3" t="s">
        <v>11189</v>
      </c>
      <c r="ONK3" t="s">
        <v>11190</v>
      </c>
      <c r="ONL3" t="s">
        <v>11191</v>
      </c>
      <c r="ONM3" t="s">
        <v>11192</v>
      </c>
      <c r="ONN3" t="s">
        <v>11193</v>
      </c>
      <c r="ONO3" t="s">
        <v>11194</v>
      </c>
      <c r="ONP3" t="s">
        <v>11195</v>
      </c>
      <c r="ONQ3" t="s">
        <v>11196</v>
      </c>
      <c r="ONR3" t="s">
        <v>11197</v>
      </c>
      <c r="ONS3" t="s">
        <v>11198</v>
      </c>
      <c r="ONT3" t="s">
        <v>11199</v>
      </c>
      <c r="ONU3" t="s">
        <v>11200</v>
      </c>
      <c r="ONV3" t="s">
        <v>11201</v>
      </c>
      <c r="ONW3" t="s">
        <v>11202</v>
      </c>
      <c r="ONX3" t="s">
        <v>11203</v>
      </c>
      <c r="ONY3" t="s">
        <v>11204</v>
      </c>
      <c r="ONZ3" t="s">
        <v>11205</v>
      </c>
      <c r="OOA3" t="s">
        <v>11206</v>
      </c>
      <c r="OOB3" t="s">
        <v>11207</v>
      </c>
      <c r="OOC3" t="s">
        <v>11208</v>
      </c>
      <c r="OOD3" t="s">
        <v>11209</v>
      </c>
      <c r="OOE3" t="s">
        <v>11210</v>
      </c>
      <c r="OOF3" t="s">
        <v>11211</v>
      </c>
      <c r="OOG3" t="s">
        <v>11212</v>
      </c>
      <c r="OOH3" t="s">
        <v>11213</v>
      </c>
      <c r="OOI3" t="s">
        <v>11214</v>
      </c>
      <c r="OOJ3" t="s">
        <v>11215</v>
      </c>
      <c r="OOK3" t="s">
        <v>11216</v>
      </c>
      <c r="OOL3" t="s">
        <v>11217</v>
      </c>
      <c r="OOM3" t="s">
        <v>11218</v>
      </c>
      <c r="OON3" t="s">
        <v>11219</v>
      </c>
      <c r="OOO3" t="s">
        <v>11220</v>
      </c>
      <c r="OOP3" t="s">
        <v>11221</v>
      </c>
      <c r="OOQ3" t="s">
        <v>11222</v>
      </c>
      <c r="OOR3" t="s">
        <v>11223</v>
      </c>
      <c r="OOS3" t="s">
        <v>11224</v>
      </c>
      <c r="OOT3" t="s">
        <v>11225</v>
      </c>
      <c r="OOU3" t="s">
        <v>11226</v>
      </c>
      <c r="OOV3" t="s">
        <v>11227</v>
      </c>
      <c r="OOW3" t="s">
        <v>11228</v>
      </c>
      <c r="OOX3" t="s">
        <v>11229</v>
      </c>
      <c r="OOY3" t="s">
        <v>11230</v>
      </c>
      <c r="OOZ3" t="s">
        <v>11231</v>
      </c>
      <c r="OPA3" t="s">
        <v>11232</v>
      </c>
      <c r="OPB3" t="s">
        <v>11233</v>
      </c>
      <c r="OPC3" t="s">
        <v>11234</v>
      </c>
      <c r="OPD3" t="s">
        <v>11235</v>
      </c>
      <c r="OPE3" t="s">
        <v>11236</v>
      </c>
      <c r="OPF3" t="s">
        <v>11237</v>
      </c>
      <c r="OPG3" t="s">
        <v>11238</v>
      </c>
      <c r="OPH3" t="s">
        <v>11239</v>
      </c>
      <c r="OPI3" t="s">
        <v>11240</v>
      </c>
      <c r="OPJ3" t="s">
        <v>11241</v>
      </c>
      <c r="OPK3" t="s">
        <v>11242</v>
      </c>
      <c r="OPL3" t="s">
        <v>11243</v>
      </c>
      <c r="OPM3" t="s">
        <v>11244</v>
      </c>
      <c r="OPN3" t="s">
        <v>11245</v>
      </c>
      <c r="OPO3" t="s">
        <v>11246</v>
      </c>
      <c r="OPP3" t="s">
        <v>11247</v>
      </c>
      <c r="OPQ3" t="s">
        <v>11248</v>
      </c>
      <c r="OPR3" t="s">
        <v>11249</v>
      </c>
      <c r="OPS3" t="s">
        <v>11250</v>
      </c>
      <c r="OPT3" t="s">
        <v>11251</v>
      </c>
      <c r="OPU3" t="s">
        <v>11252</v>
      </c>
      <c r="OPV3" t="s">
        <v>11253</v>
      </c>
      <c r="OPW3" t="s">
        <v>11254</v>
      </c>
      <c r="OPX3" t="s">
        <v>11255</v>
      </c>
      <c r="OPY3" t="s">
        <v>11256</v>
      </c>
      <c r="OPZ3" t="s">
        <v>11257</v>
      </c>
      <c r="OQA3" t="s">
        <v>11258</v>
      </c>
      <c r="OQB3" t="s">
        <v>11259</v>
      </c>
      <c r="OQC3" t="s">
        <v>11260</v>
      </c>
      <c r="OQD3" t="s">
        <v>11261</v>
      </c>
      <c r="OQE3" t="s">
        <v>11262</v>
      </c>
      <c r="OQF3" t="s">
        <v>11263</v>
      </c>
      <c r="OQG3" t="s">
        <v>11264</v>
      </c>
      <c r="OQH3" t="s">
        <v>11265</v>
      </c>
      <c r="OQI3" t="s">
        <v>11266</v>
      </c>
      <c r="OQJ3" t="s">
        <v>11267</v>
      </c>
      <c r="OQK3" t="s">
        <v>11268</v>
      </c>
      <c r="OQL3" t="s">
        <v>11269</v>
      </c>
      <c r="OQM3" t="s">
        <v>11270</v>
      </c>
      <c r="OQN3" t="s">
        <v>11271</v>
      </c>
      <c r="OQO3" t="s">
        <v>11272</v>
      </c>
      <c r="OQP3" t="s">
        <v>11273</v>
      </c>
      <c r="OQQ3" t="s">
        <v>11274</v>
      </c>
      <c r="OQR3" t="s">
        <v>11275</v>
      </c>
      <c r="OQS3" t="s">
        <v>11276</v>
      </c>
      <c r="OQT3" t="s">
        <v>11277</v>
      </c>
      <c r="OQU3" t="s">
        <v>11278</v>
      </c>
      <c r="OQV3" t="s">
        <v>11279</v>
      </c>
      <c r="OQW3" t="s">
        <v>11280</v>
      </c>
      <c r="OQX3" t="s">
        <v>11281</v>
      </c>
      <c r="OQY3" t="s">
        <v>11282</v>
      </c>
      <c r="OQZ3" t="s">
        <v>11283</v>
      </c>
      <c r="ORA3" t="s">
        <v>11284</v>
      </c>
      <c r="ORB3" t="s">
        <v>11285</v>
      </c>
      <c r="ORC3" t="s">
        <v>11286</v>
      </c>
      <c r="ORD3" t="s">
        <v>11287</v>
      </c>
      <c r="ORE3" t="s">
        <v>11288</v>
      </c>
      <c r="ORF3" t="s">
        <v>11289</v>
      </c>
      <c r="ORG3" t="s">
        <v>11290</v>
      </c>
      <c r="ORH3" t="s">
        <v>11291</v>
      </c>
      <c r="ORI3" t="s">
        <v>11292</v>
      </c>
      <c r="ORJ3" t="s">
        <v>11293</v>
      </c>
      <c r="ORK3" t="s">
        <v>11294</v>
      </c>
      <c r="ORL3" t="s">
        <v>11295</v>
      </c>
      <c r="ORM3" t="s">
        <v>11296</v>
      </c>
      <c r="ORN3" t="s">
        <v>11297</v>
      </c>
      <c r="ORO3" t="s">
        <v>11298</v>
      </c>
      <c r="ORP3" t="s">
        <v>11299</v>
      </c>
      <c r="ORQ3" t="s">
        <v>11300</v>
      </c>
      <c r="ORR3" t="s">
        <v>11301</v>
      </c>
      <c r="ORS3" t="s">
        <v>11302</v>
      </c>
      <c r="ORT3" t="s">
        <v>11303</v>
      </c>
      <c r="ORU3" t="s">
        <v>11304</v>
      </c>
      <c r="ORV3" t="s">
        <v>11305</v>
      </c>
      <c r="ORW3" t="s">
        <v>11306</v>
      </c>
      <c r="ORX3" t="s">
        <v>11307</v>
      </c>
      <c r="ORY3" t="s">
        <v>11308</v>
      </c>
      <c r="ORZ3" t="s">
        <v>11309</v>
      </c>
      <c r="OSA3" t="s">
        <v>11310</v>
      </c>
      <c r="OSB3" t="s">
        <v>11311</v>
      </c>
      <c r="OSC3" t="s">
        <v>11312</v>
      </c>
      <c r="OSD3" t="s">
        <v>11313</v>
      </c>
      <c r="OSE3" t="s">
        <v>11314</v>
      </c>
      <c r="OSF3" t="s">
        <v>11315</v>
      </c>
      <c r="OSG3" t="s">
        <v>11316</v>
      </c>
      <c r="OSH3" t="s">
        <v>11317</v>
      </c>
      <c r="OSI3" t="s">
        <v>11318</v>
      </c>
      <c r="OSJ3" t="s">
        <v>11319</v>
      </c>
      <c r="OSK3" t="s">
        <v>11320</v>
      </c>
      <c r="OSL3" t="s">
        <v>11321</v>
      </c>
      <c r="OSM3" t="s">
        <v>11322</v>
      </c>
      <c r="OSN3" t="s">
        <v>11323</v>
      </c>
      <c r="OSO3" t="s">
        <v>11324</v>
      </c>
      <c r="OSP3" t="s">
        <v>11325</v>
      </c>
      <c r="OSQ3" t="s">
        <v>11326</v>
      </c>
      <c r="OSR3" t="s">
        <v>11327</v>
      </c>
      <c r="OSS3" t="s">
        <v>11328</v>
      </c>
      <c r="OST3" t="s">
        <v>11329</v>
      </c>
      <c r="OSU3" t="s">
        <v>11330</v>
      </c>
      <c r="OSV3" t="s">
        <v>11331</v>
      </c>
      <c r="OSW3" t="s">
        <v>11332</v>
      </c>
      <c r="OSX3" t="s">
        <v>11333</v>
      </c>
      <c r="OSY3" t="s">
        <v>11334</v>
      </c>
      <c r="OSZ3" t="s">
        <v>11335</v>
      </c>
      <c r="OTA3" t="s">
        <v>11336</v>
      </c>
      <c r="OTB3" t="s">
        <v>11337</v>
      </c>
      <c r="OTC3" t="s">
        <v>11338</v>
      </c>
      <c r="OTD3" t="s">
        <v>11339</v>
      </c>
      <c r="OTE3" t="s">
        <v>11340</v>
      </c>
      <c r="OTF3" t="s">
        <v>11341</v>
      </c>
      <c r="OTG3" t="s">
        <v>11342</v>
      </c>
      <c r="OTH3" t="s">
        <v>11343</v>
      </c>
      <c r="OTI3" t="s">
        <v>11344</v>
      </c>
      <c r="OTJ3" t="s">
        <v>11345</v>
      </c>
      <c r="OTK3" t="s">
        <v>11346</v>
      </c>
      <c r="OTL3" t="s">
        <v>11347</v>
      </c>
      <c r="OTM3" t="s">
        <v>11348</v>
      </c>
      <c r="OTN3" t="s">
        <v>11349</v>
      </c>
      <c r="OTO3" t="s">
        <v>11350</v>
      </c>
      <c r="OTP3" t="s">
        <v>11351</v>
      </c>
      <c r="OTQ3" t="s">
        <v>11352</v>
      </c>
      <c r="OTR3" t="s">
        <v>11353</v>
      </c>
      <c r="OTS3" t="s">
        <v>11354</v>
      </c>
      <c r="OTT3" t="s">
        <v>11355</v>
      </c>
      <c r="OTU3" t="s">
        <v>11356</v>
      </c>
      <c r="OTV3" t="s">
        <v>11357</v>
      </c>
      <c r="OTW3" t="s">
        <v>11358</v>
      </c>
      <c r="OTX3" t="s">
        <v>11359</v>
      </c>
      <c r="OTY3" t="s">
        <v>11360</v>
      </c>
      <c r="OTZ3" t="s">
        <v>11361</v>
      </c>
      <c r="OUA3" t="s">
        <v>11362</v>
      </c>
      <c r="OUB3" t="s">
        <v>11363</v>
      </c>
      <c r="OUC3" t="s">
        <v>11364</v>
      </c>
      <c r="OUD3" t="s">
        <v>11365</v>
      </c>
      <c r="OUE3" t="s">
        <v>11366</v>
      </c>
      <c r="OUF3" t="s">
        <v>11367</v>
      </c>
      <c r="OUG3" t="s">
        <v>11368</v>
      </c>
      <c r="OUH3" t="s">
        <v>11369</v>
      </c>
      <c r="OUI3" t="s">
        <v>11370</v>
      </c>
      <c r="OUJ3" t="s">
        <v>11371</v>
      </c>
      <c r="OUK3" t="s">
        <v>11372</v>
      </c>
      <c r="OUL3" t="s">
        <v>11373</v>
      </c>
      <c r="OUM3" t="s">
        <v>11374</v>
      </c>
      <c r="OUN3" t="s">
        <v>11375</v>
      </c>
      <c r="OUO3" t="s">
        <v>11376</v>
      </c>
      <c r="OUP3" t="s">
        <v>11377</v>
      </c>
      <c r="OUQ3" t="s">
        <v>11378</v>
      </c>
      <c r="OUR3" t="s">
        <v>11379</v>
      </c>
      <c r="OUS3" t="s">
        <v>11380</v>
      </c>
      <c r="OUT3" t="s">
        <v>11381</v>
      </c>
      <c r="OUU3" t="s">
        <v>11382</v>
      </c>
      <c r="OUV3" t="s">
        <v>11383</v>
      </c>
      <c r="OUW3" t="s">
        <v>11384</v>
      </c>
      <c r="OUX3" t="s">
        <v>11385</v>
      </c>
      <c r="OUY3" t="s">
        <v>11386</v>
      </c>
      <c r="OUZ3" t="s">
        <v>11387</v>
      </c>
      <c r="OVA3" t="s">
        <v>11388</v>
      </c>
      <c r="OVB3" t="s">
        <v>11389</v>
      </c>
      <c r="OVC3" t="s">
        <v>11390</v>
      </c>
      <c r="OVD3" t="s">
        <v>11391</v>
      </c>
      <c r="OVE3" t="s">
        <v>11392</v>
      </c>
      <c r="OVF3" t="s">
        <v>11393</v>
      </c>
      <c r="OVG3" t="s">
        <v>11394</v>
      </c>
      <c r="OVH3" t="s">
        <v>11395</v>
      </c>
      <c r="OVI3" t="s">
        <v>11396</v>
      </c>
      <c r="OVJ3" t="s">
        <v>11397</v>
      </c>
      <c r="OVK3" t="s">
        <v>11398</v>
      </c>
      <c r="OVL3" t="s">
        <v>11399</v>
      </c>
      <c r="OVM3" t="s">
        <v>11400</v>
      </c>
      <c r="OVN3" t="s">
        <v>11401</v>
      </c>
      <c r="OVO3" t="s">
        <v>11402</v>
      </c>
      <c r="OVP3" t="s">
        <v>11403</v>
      </c>
      <c r="OVQ3" t="s">
        <v>11404</v>
      </c>
      <c r="OVR3" t="s">
        <v>11405</v>
      </c>
      <c r="OVS3" t="s">
        <v>11406</v>
      </c>
      <c r="OVT3" t="s">
        <v>11407</v>
      </c>
      <c r="OVU3" t="s">
        <v>11408</v>
      </c>
      <c r="OVV3" t="s">
        <v>11409</v>
      </c>
      <c r="OVW3" t="s">
        <v>11410</v>
      </c>
      <c r="OVX3" t="s">
        <v>11411</v>
      </c>
      <c r="OVY3" t="s">
        <v>11412</v>
      </c>
      <c r="OVZ3" t="s">
        <v>11413</v>
      </c>
      <c r="OWA3" t="s">
        <v>11414</v>
      </c>
      <c r="OWB3" t="s">
        <v>11415</v>
      </c>
      <c r="OWC3" t="s">
        <v>11416</v>
      </c>
      <c r="OWD3" t="s">
        <v>11417</v>
      </c>
      <c r="OWE3" t="s">
        <v>11418</v>
      </c>
      <c r="OWF3" t="s">
        <v>11419</v>
      </c>
      <c r="OWG3" t="s">
        <v>11420</v>
      </c>
      <c r="OWH3" t="s">
        <v>11421</v>
      </c>
      <c r="OWI3" t="s">
        <v>11422</v>
      </c>
      <c r="OWJ3" t="s">
        <v>11423</v>
      </c>
      <c r="OWK3" t="s">
        <v>11424</v>
      </c>
      <c r="OWL3" t="s">
        <v>11425</v>
      </c>
      <c r="OWM3" t="s">
        <v>11426</v>
      </c>
      <c r="OWN3" t="s">
        <v>11427</v>
      </c>
      <c r="OWO3" t="s">
        <v>11428</v>
      </c>
      <c r="OWP3" t="s">
        <v>11429</v>
      </c>
      <c r="OWQ3" t="s">
        <v>11430</v>
      </c>
      <c r="OWR3" t="s">
        <v>11431</v>
      </c>
      <c r="OWS3" t="s">
        <v>11432</v>
      </c>
      <c r="OWT3" t="s">
        <v>11433</v>
      </c>
      <c r="OWU3" t="s">
        <v>11434</v>
      </c>
      <c r="OWV3" t="s">
        <v>11435</v>
      </c>
      <c r="OWW3" t="s">
        <v>11436</v>
      </c>
      <c r="OWX3" t="s">
        <v>11437</v>
      </c>
      <c r="OWY3" t="s">
        <v>11438</v>
      </c>
      <c r="OWZ3" t="s">
        <v>11439</v>
      </c>
      <c r="OXA3" t="s">
        <v>11440</v>
      </c>
      <c r="OXB3" t="s">
        <v>11441</v>
      </c>
      <c r="OXC3" t="s">
        <v>11442</v>
      </c>
      <c r="OXD3" t="s">
        <v>11443</v>
      </c>
      <c r="OXE3" t="s">
        <v>11444</v>
      </c>
      <c r="OXF3" t="s">
        <v>11445</v>
      </c>
      <c r="OXG3" t="s">
        <v>11446</v>
      </c>
      <c r="OXH3" t="s">
        <v>11447</v>
      </c>
      <c r="OXI3" t="s">
        <v>11448</v>
      </c>
      <c r="OXJ3" t="s">
        <v>11449</v>
      </c>
      <c r="OXK3" t="s">
        <v>11450</v>
      </c>
      <c r="OXL3" t="s">
        <v>11451</v>
      </c>
      <c r="OXM3" t="s">
        <v>11452</v>
      </c>
      <c r="OXN3" t="s">
        <v>11453</v>
      </c>
      <c r="OXO3" t="s">
        <v>11454</v>
      </c>
      <c r="OXP3" t="s">
        <v>11455</v>
      </c>
      <c r="OXQ3" t="s">
        <v>11456</v>
      </c>
      <c r="OXR3" t="s">
        <v>11457</v>
      </c>
      <c r="OXS3" t="s">
        <v>11458</v>
      </c>
      <c r="OXT3" t="s">
        <v>11459</v>
      </c>
      <c r="OXU3" t="s">
        <v>11460</v>
      </c>
      <c r="OXV3" t="s">
        <v>11461</v>
      </c>
      <c r="OXW3" t="s">
        <v>11462</v>
      </c>
      <c r="OXX3" t="s">
        <v>11463</v>
      </c>
      <c r="OXY3" t="s">
        <v>11464</v>
      </c>
      <c r="OXZ3" t="s">
        <v>11465</v>
      </c>
      <c r="OYA3" t="s">
        <v>11466</v>
      </c>
      <c r="OYB3" t="s">
        <v>11467</v>
      </c>
      <c r="OYC3" t="s">
        <v>11468</v>
      </c>
      <c r="OYD3" t="s">
        <v>11469</v>
      </c>
      <c r="OYE3" t="s">
        <v>11470</v>
      </c>
      <c r="OYF3" t="s">
        <v>11471</v>
      </c>
      <c r="OYG3" t="s">
        <v>11472</v>
      </c>
      <c r="OYH3" t="s">
        <v>11473</v>
      </c>
      <c r="OYI3" t="s">
        <v>11474</v>
      </c>
      <c r="OYJ3" t="s">
        <v>11475</v>
      </c>
      <c r="OYK3" t="s">
        <v>11476</v>
      </c>
      <c r="OYL3" t="s">
        <v>11477</v>
      </c>
      <c r="OYM3" t="s">
        <v>11478</v>
      </c>
      <c r="OYN3" t="s">
        <v>11479</v>
      </c>
      <c r="OYO3" t="s">
        <v>11480</v>
      </c>
      <c r="OYP3" t="s">
        <v>11481</v>
      </c>
      <c r="OYQ3" t="s">
        <v>11482</v>
      </c>
      <c r="OYR3" t="s">
        <v>11483</v>
      </c>
      <c r="OYS3" t="s">
        <v>11484</v>
      </c>
      <c r="OYT3" t="s">
        <v>11485</v>
      </c>
      <c r="OYU3" t="s">
        <v>11486</v>
      </c>
      <c r="OYV3" t="s">
        <v>11487</v>
      </c>
      <c r="OYW3" t="s">
        <v>11488</v>
      </c>
      <c r="OYX3" t="s">
        <v>11489</v>
      </c>
      <c r="OYY3" t="s">
        <v>11490</v>
      </c>
      <c r="OYZ3" t="s">
        <v>11491</v>
      </c>
      <c r="OZA3" t="s">
        <v>11492</v>
      </c>
      <c r="OZB3" t="s">
        <v>11493</v>
      </c>
      <c r="OZC3" t="s">
        <v>11494</v>
      </c>
      <c r="OZD3" t="s">
        <v>11495</v>
      </c>
      <c r="OZE3" t="s">
        <v>11496</v>
      </c>
      <c r="OZF3" t="s">
        <v>11497</v>
      </c>
      <c r="OZG3" t="s">
        <v>11498</v>
      </c>
      <c r="OZH3" t="s">
        <v>11499</v>
      </c>
      <c r="OZI3" t="s">
        <v>11500</v>
      </c>
      <c r="OZJ3" t="s">
        <v>11501</v>
      </c>
      <c r="OZK3" t="s">
        <v>11502</v>
      </c>
      <c r="OZL3" t="s">
        <v>11503</v>
      </c>
      <c r="OZM3" t="s">
        <v>11504</v>
      </c>
      <c r="OZN3" t="s">
        <v>11505</v>
      </c>
      <c r="OZO3" t="s">
        <v>11506</v>
      </c>
      <c r="OZP3" t="s">
        <v>11507</v>
      </c>
      <c r="OZQ3" t="s">
        <v>11508</v>
      </c>
      <c r="OZR3" t="s">
        <v>11509</v>
      </c>
      <c r="OZS3" t="s">
        <v>11510</v>
      </c>
      <c r="OZT3" t="s">
        <v>11511</v>
      </c>
      <c r="OZU3" t="s">
        <v>11512</v>
      </c>
      <c r="OZV3" t="s">
        <v>11513</v>
      </c>
      <c r="OZW3" t="s">
        <v>11514</v>
      </c>
      <c r="OZX3" t="s">
        <v>11515</v>
      </c>
      <c r="OZY3" t="s">
        <v>11516</v>
      </c>
      <c r="OZZ3" t="s">
        <v>11517</v>
      </c>
      <c r="PAA3" t="s">
        <v>11518</v>
      </c>
      <c r="PAB3" t="s">
        <v>11519</v>
      </c>
      <c r="PAC3" t="s">
        <v>11520</v>
      </c>
      <c r="PAD3" t="s">
        <v>11521</v>
      </c>
      <c r="PAE3" t="s">
        <v>11522</v>
      </c>
      <c r="PAF3" t="s">
        <v>11523</v>
      </c>
      <c r="PAG3" t="s">
        <v>11524</v>
      </c>
      <c r="PAH3" t="s">
        <v>11525</v>
      </c>
      <c r="PAI3" t="s">
        <v>11526</v>
      </c>
      <c r="PAJ3" t="s">
        <v>11527</v>
      </c>
      <c r="PAK3" t="s">
        <v>11528</v>
      </c>
      <c r="PAL3" t="s">
        <v>11529</v>
      </c>
      <c r="PAM3" t="s">
        <v>11530</v>
      </c>
      <c r="PAN3" t="s">
        <v>11531</v>
      </c>
      <c r="PAO3" t="s">
        <v>11532</v>
      </c>
      <c r="PAP3" t="s">
        <v>11533</v>
      </c>
      <c r="PAQ3" t="s">
        <v>11534</v>
      </c>
      <c r="PAR3" t="s">
        <v>11535</v>
      </c>
      <c r="PAS3" t="s">
        <v>11536</v>
      </c>
      <c r="PAT3" t="s">
        <v>11537</v>
      </c>
      <c r="PAU3" t="s">
        <v>11538</v>
      </c>
      <c r="PAV3" t="s">
        <v>11539</v>
      </c>
      <c r="PAW3" t="s">
        <v>11540</v>
      </c>
      <c r="PAX3" t="s">
        <v>11541</v>
      </c>
      <c r="PAY3" t="s">
        <v>11542</v>
      </c>
      <c r="PAZ3" t="s">
        <v>11543</v>
      </c>
      <c r="PBA3" t="s">
        <v>11544</v>
      </c>
      <c r="PBB3" t="s">
        <v>11545</v>
      </c>
      <c r="PBC3" t="s">
        <v>11546</v>
      </c>
      <c r="PBD3" t="s">
        <v>11547</v>
      </c>
      <c r="PBE3" t="s">
        <v>11548</v>
      </c>
      <c r="PBF3" t="s">
        <v>11549</v>
      </c>
      <c r="PBG3" t="s">
        <v>11550</v>
      </c>
      <c r="PBH3" t="s">
        <v>11551</v>
      </c>
      <c r="PBI3" t="s">
        <v>11552</v>
      </c>
      <c r="PBJ3" t="s">
        <v>11553</v>
      </c>
      <c r="PBK3" t="s">
        <v>11554</v>
      </c>
      <c r="PBL3" t="s">
        <v>11555</v>
      </c>
      <c r="PBM3" t="s">
        <v>11556</v>
      </c>
      <c r="PBN3" t="s">
        <v>11557</v>
      </c>
      <c r="PBO3" t="s">
        <v>11558</v>
      </c>
      <c r="PBP3" t="s">
        <v>11559</v>
      </c>
      <c r="PBQ3" t="s">
        <v>11560</v>
      </c>
      <c r="PBR3" t="s">
        <v>11561</v>
      </c>
      <c r="PBS3" t="s">
        <v>11562</v>
      </c>
      <c r="PBT3" t="s">
        <v>11563</v>
      </c>
      <c r="PBU3" t="s">
        <v>11564</v>
      </c>
      <c r="PBV3" t="s">
        <v>11565</v>
      </c>
      <c r="PBW3" t="s">
        <v>11566</v>
      </c>
      <c r="PBX3" t="s">
        <v>11567</v>
      </c>
      <c r="PBY3" t="s">
        <v>11568</v>
      </c>
      <c r="PBZ3" t="s">
        <v>11569</v>
      </c>
      <c r="PCA3" t="s">
        <v>11570</v>
      </c>
      <c r="PCB3" t="s">
        <v>11571</v>
      </c>
      <c r="PCC3" t="s">
        <v>11572</v>
      </c>
      <c r="PCD3" t="s">
        <v>11573</v>
      </c>
      <c r="PCE3" t="s">
        <v>11574</v>
      </c>
      <c r="PCF3" t="s">
        <v>11575</v>
      </c>
      <c r="PCG3" t="s">
        <v>11576</v>
      </c>
      <c r="PCH3" t="s">
        <v>11577</v>
      </c>
      <c r="PCI3" t="s">
        <v>11578</v>
      </c>
      <c r="PCJ3" t="s">
        <v>11579</v>
      </c>
      <c r="PCK3" t="s">
        <v>11580</v>
      </c>
      <c r="PCL3" t="s">
        <v>11581</v>
      </c>
      <c r="PCM3" t="s">
        <v>11582</v>
      </c>
      <c r="PCN3" t="s">
        <v>11583</v>
      </c>
      <c r="PCO3" t="s">
        <v>11584</v>
      </c>
      <c r="PCP3" t="s">
        <v>11585</v>
      </c>
      <c r="PCQ3" t="s">
        <v>11586</v>
      </c>
      <c r="PCR3" t="s">
        <v>11587</v>
      </c>
      <c r="PCS3" t="s">
        <v>11588</v>
      </c>
      <c r="PCT3" t="s">
        <v>11589</v>
      </c>
      <c r="PCU3" t="s">
        <v>11590</v>
      </c>
      <c r="PCV3" t="s">
        <v>11591</v>
      </c>
      <c r="PCW3" t="s">
        <v>11592</v>
      </c>
      <c r="PCX3" t="s">
        <v>11593</v>
      </c>
      <c r="PCY3" t="s">
        <v>11594</v>
      </c>
      <c r="PCZ3" t="s">
        <v>11595</v>
      </c>
      <c r="PDA3" t="s">
        <v>11596</v>
      </c>
      <c r="PDB3" t="s">
        <v>11597</v>
      </c>
      <c r="PDC3" t="s">
        <v>11598</v>
      </c>
      <c r="PDD3" t="s">
        <v>11599</v>
      </c>
      <c r="PDE3" t="s">
        <v>11600</v>
      </c>
      <c r="PDF3" t="s">
        <v>11601</v>
      </c>
      <c r="PDG3" t="s">
        <v>11602</v>
      </c>
      <c r="PDH3" t="s">
        <v>11603</v>
      </c>
      <c r="PDI3" t="s">
        <v>11604</v>
      </c>
      <c r="PDJ3" t="s">
        <v>11605</v>
      </c>
      <c r="PDK3" t="s">
        <v>11606</v>
      </c>
      <c r="PDL3" t="s">
        <v>11607</v>
      </c>
      <c r="PDM3" t="s">
        <v>11608</v>
      </c>
      <c r="PDN3" t="s">
        <v>11609</v>
      </c>
      <c r="PDO3" t="s">
        <v>11610</v>
      </c>
      <c r="PDP3" t="s">
        <v>11611</v>
      </c>
      <c r="PDQ3" t="s">
        <v>11612</v>
      </c>
      <c r="PDR3" t="s">
        <v>11613</v>
      </c>
      <c r="PDS3" t="s">
        <v>11614</v>
      </c>
      <c r="PDT3" t="s">
        <v>11615</v>
      </c>
      <c r="PDU3" t="s">
        <v>11616</v>
      </c>
      <c r="PDV3" t="s">
        <v>11617</v>
      </c>
      <c r="PDW3" t="s">
        <v>11618</v>
      </c>
      <c r="PDX3" t="s">
        <v>11619</v>
      </c>
      <c r="PDY3" t="s">
        <v>11620</v>
      </c>
      <c r="PDZ3" t="s">
        <v>11621</v>
      </c>
      <c r="PEA3" t="s">
        <v>11622</v>
      </c>
      <c r="PEB3" t="s">
        <v>11623</v>
      </c>
      <c r="PEC3" t="s">
        <v>11624</v>
      </c>
      <c r="PED3" t="s">
        <v>11625</v>
      </c>
      <c r="PEE3" t="s">
        <v>11626</v>
      </c>
      <c r="PEF3" t="s">
        <v>11627</v>
      </c>
      <c r="PEG3" t="s">
        <v>11628</v>
      </c>
      <c r="PEH3" t="s">
        <v>11629</v>
      </c>
      <c r="PEI3" t="s">
        <v>11630</v>
      </c>
      <c r="PEJ3" t="s">
        <v>11631</v>
      </c>
      <c r="PEK3" t="s">
        <v>11632</v>
      </c>
      <c r="PEL3" t="s">
        <v>11633</v>
      </c>
      <c r="PEM3" t="s">
        <v>11634</v>
      </c>
      <c r="PEN3" t="s">
        <v>11635</v>
      </c>
      <c r="PEO3" t="s">
        <v>11636</v>
      </c>
      <c r="PEP3" t="s">
        <v>11637</v>
      </c>
      <c r="PEQ3" t="s">
        <v>11638</v>
      </c>
      <c r="PER3" t="s">
        <v>11639</v>
      </c>
      <c r="PES3" t="s">
        <v>11640</v>
      </c>
      <c r="PET3" t="s">
        <v>11641</v>
      </c>
      <c r="PEU3" t="s">
        <v>11642</v>
      </c>
      <c r="PEV3" t="s">
        <v>11643</v>
      </c>
      <c r="PEW3" t="s">
        <v>11644</v>
      </c>
      <c r="PEX3" t="s">
        <v>11645</v>
      </c>
      <c r="PEY3" t="s">
        <v>11646</v>
      </c>
      <c r="PEZ3" t="s">
        <v>11647</v>
      </c>
      <c r="PFA3" t="s">
        <v>11648</v>
      </c>
      <c r="PFB3" t="s">
        <v>11649</v>
      </c>
      <c r="PFC3" t="s">
        <v>11650</v>
      </c>
      <c r="PFD3" t="s">
        <v>11651</v>
      </c>
      <c r="PFE3" t="s">
        <v>11652</v>
      </c>
      <c r="PFF3" t="s">
        <v>11653</v>
      </c>
      <c r="PFG3" t="s">
        <v>11654</v>
      </c>
      <c r="PFH3" t="s">
        <v>11655</v>
      </c>
      <c r="PFI3" t="s">
        <v>11656</v>
      </c>
      <c r="PFJ3" t="s">
        <v>11657</v>
      </c>
      <c r="PFK3" t="s">
        <v>11658</v>
      </c>
      <c r="PFL3" t="s">
        <v>11659</v>
      </c>
      <c r="PFM3" t="s">
        <v>11660</v>
      </c>
      <c r="PFN3" t="s">
        <v>11661</v>
      </c>
      <c r="PFO3" t="s">
        <v>11662</v>
      </c>
      <c r="PFP3" t="s">
        <v>11663</v>
      </c>
      <c r="PFQ3" t="s">
        <v>11664</v>
      </c>
      <c r="PFR3" t="s">
        <v>11665</v>
      </c>
      <c r="PFS3" t="s">
        <v>11666</v>
      </c>
      <c r="PFT3" t="s">
        <v>11667</v>
      </c>
      <c r="PFU3" t="s">
        <v>11668</v>
      </c>
      <c r="PFV3" t="s">
        <v>11669</v>
      </c>
      <c r="PFW3" t="s">
        <v>11670</v>
      </c>
      <c r="PFX3" t="s">
        <v>11671</v>
      </c>
      <c r="PFY3" t="s">
        <v>11672</v>
      </c>
      <c r="PFZ3" t="s">
        <v>11673</v>
      </c>
      <c r="PGA3" t="s">
        <v>11674</v>
      </c>
      <c r="PGB3" t="s">
        <v>11675</v>
      </c>
      <c r="PGC3" t="s">
        <v>11676</v>
      </c>
      <c r="PGD3" t="s">
        <v>11677</v>
      </c>
      <c r="PGE3" t="s">
        <v>11678</v>
      </c>
      <c r="PGF3" t="s">
        <v>11679</v>
      </c>
      <c r="PGG3" t="s">
        <v>11680</v>
      </c>
      <c r="PGH3" t="s">
        <v>11681</v>
      </c>
      <c r="PGI3" t="s">
        <v>11682</v>
      </c>
      <c r="PGJ3" t="s">
        <v>11683</v>
      </c>
      <c r="PGK3" t="s">
        <v>11684</v>
      </c>
      <c r="PGL3" t="s">
        <v>11685</v>
      </c>
      <c r="PGM3" t="s">
        <v>11686</v>
      </c>
      <c r="PGN3" t="s">
        <v>11687</v>
      </c>
      <c r="PGO3" t="s">
        <v>11688</v>
      </c>
      <c r="PGP3" t="s">
        <v>11689</v>
      </c>
      <c r="PGQ3" t="s">
        <v>11690</v>
      </c>
      <c r="PGR3" t="s">
        <v>11691</v>
      </c>
      <c r="PGS3" t="s">
        <v>11692</v>
      </c>
      <c r="PGT3" t="s">
        <v>11693</v>
      </c>
      <c r="PGU3" t="s">
        <v>11694</v>
      </c>
      <c r="PGV3" t="s">
        <v>11695</v>
      </c>
      <c r="PGW3" t="s">
        <v>11696</v>
      </c>
      <c r="PGX3" t="s">
        <v>11697</v>
      </c>
      <c r="PGY3" t="s">
        <v>11698</v>
      </c>
      <c r="PGZ3" t="s">
        <v>11699</v>
      </c>
      <c r="PHA3" t="s">
        <v>11700</v>
      </c>
      <c r="PHB3" t="s">
        <v>11701</v>
      </c>
      <c r="PHC3" t="s">
        <v>11702</v>
      </c>
      <c r="PHD3" t="s">
        <v>11703</v>
      </c>
      <c r="PHE3" t="s">
        <v>11704</v>
      </c>
      <c r="PHF3" t="s">
        <v>11705</v>
      </c>
      <c r="PHG3" t="s">
        <v>11706</v>
      </c>
      <c r="PHH3" t="s">
        <v>11707</v>
      </c>
      <c r="PHI3" t="s">
        <v>11708</v>
      </c>
      <c r="PHJ3" t="s">
        <v>11709</v>
      </c>
      <c r="PHK3" t="s">
        <v>11710</v>
      </c>
      <c r="PHL3" t="s">
        <v>11711</v>
      </c>
      <c r="PHM3" t="s">
        <v>11712</v>
      </c>
      <c r="PHN3" t="s">
        <v>11713</v>
      </c>
      <c r="PHO3" t="s">
        <v>11714</v>
      </c>
      <c r="PHP3" t="s">
        <v>11715</v>
      </c>
      <c r="PHQ3" t="s">
        <v>11716</v>
      </c>
      <c r="PHR3" t="s">
        <v>11717</v>
      </c>
      <c r="PHS3" t="s">
        <v>11718</v>
      </c>
      <c r="PHT3" t="s">
        <v>11719</v>
      </c>
      <c r="PHU3" t="s">
        <v>11720</v>
      </c>
      <c r="PHV3" t="s">
        <v>11721</v>
      </c>
      <c r="PHW3" t="s">
        <v>11722</v>
      </c>
      <c r="PHX3" t="s">
        <v>11723</v>
      </c>
      <c r="PHY3" t="s">
        <v>11724</v>
      </c>
      <c r="PHZ3" t="s">
        <v>11725</v>
      </c>
      <c r="PIA3" t="s">
        <v>11726</v>
      </c>
      <c r="PIB3" t="s">
        <v>11727</v>
      </c>
      <c r="PIC3" t="s">
        <v>11728</v>
      </c>
      <c r="PID3" t="s">
        <v>11729</v>
      </c>
      <c r="PIE3" t="s">
        <v>11730</v>
      </c>
      <c r="PIF3" t="s">
        <v>11731</v>
      </c>
      <c r="PIG3" t="s">
        <v>11732</v>
      </c>
      <c r="PIH3" t="s">
        <v>11733</v>
      </c>
      <c r="PII3" t="s">
        <v>11734</v>
      </c>
      <c r="PIJ3" t="s">
        <v>11735</v>
      </c>
      <c r="PIK3" t="s">
        <v>11736</v>
      </c>
      <c r="PIL3" t="s">
        <v>11737</v>
      </c>
      <c r="PIM3" t="s">
        <v>11738</v>
      </c>
      <c r="PIN3" t="s">
        <v>11739</v>
      </c>
      <c r="PIO3" t="s">
        <v>11740</v>
      </c>
      <c r="PIP3" t="s">
        <v>11741</v>
      </c>
      <c r="PIQ3" t="s">
        <v>11742</v>
      </c>
      <c r="PIR3" t="s">
        <v>11743</v>
      </c>
      <c r="PIS3" t="s">
        <v>11744</v>
      </c>
      <c r="PIT3" t="s">
        <v>11745</v>
      </c>
      <c r="PIU3" t="s">
        <v>11746</v>
      </c>
      <c r="PIV3" t="s">
        <v>11747</v>
      </c>
      <c r="PIW3" t="s">
        <v>11748</v>
      </c>
      <c r="PIX3" t="s">
        <v>11749</v>
      </c>
      <c r="PIY3" t="s">
        <v>11750</v>
      </c>
      <c r="PIZ3" t="s">
        <v>11751</v>
      </c>
      <c r="PJA3" t="s">
        <v>11752</v>
      </c>
      <c r="PJB3" t="s">
        <v>11753</v>
      </c>
      <c r="PJC3" t="s">
        <v>11754</v>
      </c>
      <c r="PJD3" t="s">
        <v>11755</v>
      </c>
      <c r="PJE3" t="s">
        <v>11756</v>
      </c>
      <c r="PJF3" t="s">
        <v>11757</v>
      </c>
      <c r="PJG3" t="s">
        <v>11758</v>
      </c>
      <c r="PJH3" t="s">
        <v>11759</v>
      </c>
      <c r="PJI3" t="s">
        <v>11760</v>
      </c>
      <c r="PJJ3" t="s">
        <v>11761</v>
      </c>
      <c r="PJK3" t="s">
        <v>11762</v>
      </c>
      <c r="PJL3" t="s">
        <v>11763</v>
      </c>
      <c r="PJM3" t="s">
        <v>11764</v>
      </c>
      <c r="PJN3" t="s">
        <v>11765</v>
      </c>
      <c r="PJO3" t="s">
        <v>11766</v>
      </c>
      <c r="PJP3" t="s">
        <v>11767</v>
      </c>
      <c r="PJQ3" t="s">
        <v>11768</v>
      </c>
      <c r="PJR3" t="s">
        <v>11769</v>
      </c>
      <c r="PJS3" t="s">
        <v>11770</v>
      </c>
      <c r="PJT3" t="s">
        <v>11771</v>
      </c>
      <c r="PJU3" t="s">
        <v>11772</v>
      </c>
      <c r="PJV3" t="s">
        <v>11773</v>
      </c>
      <c r="PJW3" t="s">
        <v>11774</v>
      </c>
      <c r="PJX3" t="s">
        <v>11775</v>
      </c>
      <c r="PJY3" t="s">
        <v>11776</v>
      </c>
      <c r="PJZ3" t="s">
        <v>11777</v>
      </c>
      <c r="PKA3" t="s">
        <v>11778</v>
      </c>
      <c r="PKB3" t="s">
        <v>11779</v>
      </c>
      <c r="PKC3" t="s">
        <v>11780</v>
      </c>
      <c r="PKD3" t="s">
        <v>11781</v>
      </c>
      <c r="PKE3" t="s">
        <v>11782</v>
      </c>
      <c r="PKF3" t="s">
        <v>11783</v>
      </c>
      <c r="PKG3" t="s">
        <v>11784</v>
      </c>
      <c r="PKH3" t="s">
        <v>11785</v>
      </c>
      <c r="PKI3" t="s">
        <v>11786</v>
      </c>
      <c r="PKJ3" t="s">
        <v>11787</v>
      </c>
      <c r="PKK3" t="s">
        <v>11788</v>
      </c>
      <c r="PKL3" t="s">
        <v>11789</v>
      </c>
      <c r="PKM3" t="s">
        <v>11790</v>
      </c>
      <c r="PKN3" t="s">
        <v>11791</v>
      </c>
      <c r="PKO3" t="s">
        <v>11792</v>
      </c>
      <c r="PKP3" t="s">
        <v>11793</v>
      </c>
      <c r="PKQ3" t="s">
        <v>11794</v>
      </c>
      <c r="PKR3" t="s">
        <v>11795</v>
      </c>
      <c r="PKS3" t="s">
        <v>11796</v>
      </c>
      <c r="PKT3" t="s">
        <v>11797</v>
      </c>
      <c r="PKU3" t="s">
        <v>11798</v>
      </c>
      <c r="PKV3" t="s">
        <v>11799</v>
      </c>
      <c r="PKW3" t="s">
        <v>11800</v>
      </c>
      <c r="PKX3" t="s">
        <v>11801</v>
      </c>
      <c r="PKY3" t="s">
        <v>11802</v>
      </c>
      <c r="PKZ3" t="s">
        <v>11803</v>
      </c>
      <c r="PLA3" t="s">
        <v>11804</v>
      </c>
      <c r="PLB3" t="s">
        <v>11805</v>
      </c>
      <c r="PLC3" t="s">
        <v>11806</v>
      </c>
      <c r="PLD3" t="s">
        <v>11807</v>
      </c>
      <c r="PLE3" t="s">
        <v>11808</v>
      </c>
      <c r="PLF3" t="s">
        <v>11809</v>
      </c>
      <c r="PLG3" t="s">
        <v>11810</v>
      </c>
      <c r="PLH3" t="s">
        <v>11811</v>
      </c>
      <c r="PLI3" t="s">
        <v>11812</v>
      </c>
      <c r="PLJ3" t="s">
        <v>11813</v>
      </c>
      <c r="PLK3" t="s">
        <v>11814</v>
      </c>
      <c r="PLL3" t="s">
        <v>11815</v>
      </c>
      <c r="PLM3" t="s">
        <v>11816</v>
      </c>
      <c r="PLN3" t="s">
        <v>11817</v>
      </c>
      <c r="PLO3" t="s">
        <v>11818</v>
      </c>
      <c r="PLP3" t="s">
        <v>11819</v>
      </c>
      <c r="PLQ3" t="s">
        <v>11820</v>
      </c>
      <c r="PLR3" t="s">
        <v>11821</v>
      </c>
      <c r="PLS3" t="s">
        <v>11822</v>
      </c>
      <c r="PLT3" t="s">
        <v>11823</v>
      </c>
      <c r="PLU3" t="s">
        <v>11824</v>
      </c>
      <c r="PLV3" t="s">
        <v>11825</v>
      </c>
      <c r="PLW3" t="s">
        <v>11826</v>
      </c>
      <c r="PLX3" t="s">
        <v>11827</v>
      </c>
      <c r="PLY3" t="s">
        <v>11828</v>
      </c>
      <c r="PLZ3" t="s">
        <v>11829</v>
      </c>
      <c r="PMA3" t="s">
        <v>11830</v>
      </c>
      <c r="PMB3" t="s">
        <v>11831</v>
      </c>
      <c r="PMC3" t="s">
        <v>11832</v>
      </c>
      <c r="PMD3" t="s">
        <v>11833</v>
      </c>
      <c r="PME3" t="s">
        <v>11834</v>
      </c>
      <c r="PMF3" t="s">
        <v>11835</v>
      </c>
      <c r="PMG3" t="s">
        <v>11836</v>
      </c>
      <c r="PMH3" t="s">
        <v>11837</v>
      </c>
      <c r="PMI3" t="s">
        <v>11838</v>
      </c>
      <c r="PMJ3" t="s">
        <v>11839</v>
      </c>
      <c r="PMK3" t="s">
        <v>11840</v>
      </c>
      <c r="PML3" t="s">
        <v>11841</v>
      </c>
      <c r="PMM3" t="s">
        <v>11842</v>
      </c>
      <c r="PMN3" t="s">
        <v>11843</v>
      </c>
      <c r="PMO3" t="s">
        <v>11844</v>
      </c>
      <c r="PMP3" t="s">
        <v>11845</v>
      </c>
      <c r="PMQ3" t="s">
        <v>11846</v>
      </c>
      <c r="PMR3" t="s">
        <v>11847</v>
      </c>
      <c r="PMS3" t="s">
        <v>11848</v>
      </c>
      <c r="PMT3" t="s">
        <v>11849</v>
      </c>
      <c r="PMU3" t="s">
        <v>11850</v>
      </c>
      <c r="PMV3" t="s">
        <v>11851</v>
      </c>
      <c r="PMW3" t="s">
        <v>11852</v>
      </c>
      <c r="PMX3" t="s">
        <v>11853</v>
      </c>
      <c r="PMY3" t="s">
        <v>11854</v>
      </c>
      <c r="PMZ3" t="s">
        <v>11855</v>
      </c>
      <c r="PNA3" t="s">
        <v>11856</v>
      </c>
      <c r="PNB3" t="s">
        <v>11857</v>
      </c>
      <c r="PNC3" t="s">
        <v>11858</v>
      </c>
      <c r="PND3" t="s">
        <v>11859</v>
      </c>
      <c r="PNE3" t="s">
        <v>11860</v>
      </c>
      <c r="PNF3" t="s">
        <v>11861</v>
      </c>
      <c r="PNG3" t="s">
        <v>11862</v>
      </c>
      <c r="PNH3" t="s">
        <v>11863</v>
      </c>
      <c r="PNI3" t="s">
        <v>11864</v>
      </c>
      <c r="PNJ3" t="s">
        <v>11865</v>
      </c>
      <c r="PNK3" t="s">
        <v>11866</v>
      </c>
      <c r="PNL3" t="s">
        <v>11867</v>
      </c>
      <c r="PNM3" t="s">
        <v>11868</v>
      </c>
      <c r="PNN3" t="s">
        <v>11869</v>
      </c>
      <c r="PNO3" t="s">
        <v>11870</v>
      </c>
      <c r="PNP3" t="s">
        <v>11871</v>
      </c>
      <c r="PNQ3" t="s">
        <v>11872</v>
      </c>
      <c r="PNR3" t="s">
        <v>11873</v>
      </c>
      <c r="PNS3" t="s">
        <v>11874</v>
      </c>
      <c r="PNT3" t="s">
        <v>11875</v>
      </c>
      <c r="PNU3" t="s">
        <v>11876</v>
      </c>
      <c r="PNV3" t="s">
        <v>11877</v>
      </c>
      <c r="PNW3" t="s">
        <v>11878</v>
      </c>
      <c r="PNX3" t="s">
        <v>11879</v>
      </c>
      <c r="PNY3" t="s">
        <v>11880</v>
      </c>
      <c r="PNZ3" t="s">
        <v>11881</v>
      </c>
      <c r="POA3" t="s">
        <v>11882</v>
      </c>
      <c r="POB3" t="s">
        <v>11883</v>
      </c>
      <c r="POC3" t="s">
        <v>11884</v>
      </c>
      <c r="POD3" t="s">
        <v>11885</v>
      </c>
      <c r="POE3" t="s">
        <v>11886</v>
      </c>
      <c r="POF3" t="s">
        <v>11887</v>
      </c>
      <c r="POG3" t="s">
        <v>11888</v>
      </c>
      <c r="POH3" t="s">
        <v>11889</v>
      </c>
      <c r="POI3" t="s">
        <v>11890</v>
      </c>
      <c r="POJ3" t="s">
        <v>11891</v>
      </c>
      <c r="POK3" t="s">
        <v>11892</v>
      </c>
      <c r="POL3" t="s">
        <v>11893</v>
      </c>
      <c r="POM3" t="s">
        <v>11894</v>
      </c>
      <c r="PON3" t="s">
        <v>11895</v>
      </c>
      <c r="POO3" t="s">
        <v>11896</v>
      </c>
      <c r="POP3" t="s">
        <v>11897</v>
      </c>
      <c r="POQ3" t="s">
        <v>11898</v>
      </c>
      <c r="POR3" t="s">
        <v>11899</v>
      </c>
      <c r="POS3" t="s">
        <v>11900</v>
      </c>
      <c r="POT3" t="s">
        <v>11901</v>
      </c>
      <c r="POU3" t="s">
        <v>11902</v>
      </c>
      <c r="POV3" t="s">
        <v>11903</v>
      </c>
      <c r="POW3" t="s">
        <v>11904</v>
      </c>
      <c r="POX3" t="s">
        <v>11905</v>
      </c>
      <c r="POY3" t="s">
        <v>11906</v>
      </c>
      <c r="POZ3" t="s">
        <v>11907</v>
      </c>
      <c r="PPA3" t="s">
        <v>11908</v>
      </c>
      <c r="PPB3" t="s">
        <v>11909</v>
      </c>
      <c r="PPC3" t="s">
        <v>11910</v>
      </c>
      <c r="PPD3" t="s">
        <v>11911</v>
      </c>
      <c r="PPE3" t="s">
        <v>11912</v>
      </c>
      <c r="PPF3" t="s">
        <v>11913</v>
      </c>
      <c r="PPG3" t="s">
        <v>11914</v>
      </c>
      <c r="PPH3" t="s">
        <v>11915</v>
      </c>
      <c r="PPI3" t="s">
        <v>11916</v>
      </c>
      <c r="PPJ3" t="s">
        <v>11917</v>
      </c>
      <c r="PPK3" t="s">
        <v>11918</v>
      </c>
      <c r="PPL3" t="s">
        <v>11919</v>
      </c>
      <c r="PPM3" t="s">
        <v>11920</v>
      </c>
      <c r="PPN3" t="s">
        <v>11921</v>
      </c>
      <c r="PPO3" t="s">
        <v>11922</v>
      </c>
      <c r="PPP3" t="s">
        <v>11923</v>
      </c>
      <c r="PPQ3" t="s">
        <v>11924</v>
      </c>
      <c r="PPR3" t="s">
        <v>11925</v>
      </c>
      <c r="PPS3" t="s">
        <v>11926</v>
      </c>
      <c r="PPT3" t="s">
        <v>11927</v>
      </c>
      <c r="PPU3" t="s">
        <v>11928</v>
      </c>
      <c r="PPV3" t="s">
        <v>11929</v>
      </c>
      <c r="PPW3" t="s">
        <v>11930</v>
      </c>
      <c r="PPX3" t="s">
        <v>11931</v>
      </c>
      <c r="PPY3" t="s">
        <v>11932</v>
      </c>
      <c r="PPZ3" t="s">
        <v>11933</v>
      </c>
      <c r="PQA3" t="s">
        <v>11934</v>
      </c>
      <c r="PQB3" t="s">
        <v>11935</v>
      </c>
      <c r="PQC3" t="s">
        <v>11936</v>
      </c>
      <c r="PQD3" t="s">
        <v>11937</v>
      </c>
      <c r="PQE3" t="s">
        <v>11938</v>
      </c>
      <c r="PQF3" t="s">
        <v>11939</v>
      </c>
      <c r="PQG3" t="s">
        <v>11940</v>
      </c>
      <c r="PQH3" t="s">
        <v>11941</v>
      </c>
      <c r="PQI3" t="s">
        <v>11942</v>
      </c>
      <c r="PQJ3" t="s">
        <v>11943</v>
      </c>
      <c r="PQK3" t="s">
        <v>11944</v>
      </c>
      <c r="PQL3" t="s">
        <v>11945</v>
      </c>
      <c r="PQM3" t="s">
        <v>11946</v>
      </c>
      <c r="PQN3" t="s">
        <v>11947</v>
      </c>
      <c r="PQO3" t="s">
        <v>11948</v>
      </c>
      <c r="PQP3" t="s">
        <v>11949</v>
      </c>
      <c r="PQQ3" t="s">
        <v>11950</v>
      </c>
      <c r="PQR3" t="s">
        <v>11951</v>
      </c>
      <c r="PQS3" t="s">
        <v>11952</v>
      </c>
      <c r="PQT3" t="s">
        <v>11953</v>
      </c>
      <c r="PQU3" t="s">
        <v>11954</v>
      </c>
      <c r="PQV3" t="s">
        <v>11955</v>
      </c>
      <c r="PQW3" t="s">
        <v>11956</v>
      </c>
      <c r="PQX3" t="s">
        <v>11957</v>
      </c>
      <c r="PQY3" t="s">
        <v>11958</v>
      </c>
      <c r="PQZ3" t="s">
        <v>11959</v>
      </c>
      <c r="PRA3" t="s">
        <v>11960</v>
      </c>
      <c r="PRB3" t="s">
        <v>11961</v>
      </c>
      <c r="PRC3" t="s">
        <v>11962</v>
      </c>
      <c r="PRD3" t="s">
        <v>11963</v>
      </c>
      <c r="PRE3" t="s">
        <v>11964</v>
      </c>
      <c r="PRF3" t="s">
        <v>11965</v>
      </c>
      <c r="PRG3" t="s">
        <v>11966</v>
      </c>
      <c r="PRH3" t="s">
        <v>11967</v>
      </c>
      <c r="PRI3" t="s">
        <v>11968</v>
      </c>
      <c r="PRJ3" t="s">
        <v>11969</v>
      </c>
      <c r="PRK3" t="s">
        <v>11970</v>
      </c>
      <c r="PRL3" t="s">
        <v>11971</v>
      </c>
      <c r="PRM3" t="s">
        <v>11972</v>
      </c>
      <c r="PRN3" t="s">
        <v>11973</v>
      </c>
      <c r="PRO3" t="s">
        <v>11974</v>
      </c>
      <c r="PRP3" t="s">
        <v>11975</v>
      </c>
      <c r="PRQ3" t="s">
        <v>11976</v>
      </c>
      <c r="PRR3" t="s">
        <v>11977</v>
      </c>
      <c r="PRS3" t="s">
        <v>11978</v>
      </c>
      <c r="PRT3" t="s">
        <v>11979</v>
      </c>
      <c r="PRU3" t="s">
        <v>11980</v>
      </c>
      <c r="PRV3" t="s">
        <v>11981</v>
      </c>
      <c r="PRW3" t="s">
        <v>11982</v>
      </c>
      <c r="PRX3" t="s">
        <v>11983</v>
      </c>
      <c r="PRY3" t="s">
        <v>11984</v>
      </c>
      <c r="PRZ3" t="s">
        <v>11985</v>
      </c>
      <c r="PSA3" t="s">
        <v>11986</v>
      </c>
      <c r="PSB3" t="s">
        <v>11987</v>
      </c>
      <c r="PSC3" t="s">
        <v>11988</v>
      </c>
      <c r="PSD3" t="s">
        <v>11989</v>
      </c>
      <c r="PSE3" t="s">
        <v>11990</v>
      </c>
      <c r="PSF3" t="s">
        <v>11991</v>
      </c>
      <c r="PSG3" t="s">
        <v>11992</v>
      </c>
      <c r="PSH3" t="s">
        <v>11993</v>
      </c>
      <c r="PSI3" t="s">
        <v>11994</v>
      </c>
      <c r="PSJ3" t="s">
        <v>11995</v>
      </c>
      <c r="PSK3" t="s">
        <v>11996</v>
      </c>
      <c r="PSL3" t="s">
        <v>11997</v>
      </c>
      <c r="PSM3" t="s">
        <v>11998</v>
      </c>
      <c r="PSN3" t="s">
        <v>11999</v>
      </c>
      <c r="PSO3" t="s">
        <v>12000</v>
      </c>
      <c r="PSP3" t="s">
        <v>12001</v>
      </c>
      <c r="PSQ3" t="s">
        <v>12002</v>
      </c>
      <c r="PSR3" t="s">
        <v>12003</v>
      </c>
      <c r="PSS3" t="s">
        <v>12004</v>
      </c>
      <c r="PST3" t="s">
        <v>12005</v>
      </c>
      <c r="PSU3" t="s">
        <v>12006</v>
      </c>
      <c r="PSV3" t="s">
        <v>12007</v>
      </c>
      <c r="PSW3" t="s">
        <v>12008</v>
      </c>
      <c r="PSX3" t="s">
        <v>12009</v>
      </c>
      <c r="PSY3" t="s">
        <v>12010</v>
      </c>
      <c r="PSZ3" t="s">
        <v>12011</v>
      </c>
      <c r="PTA3" t="s">
        <v>12012</v>
      </c>
      <c r="PTB3" t="s">
        <v>12013</v>
      </c>
      <c r="PTC3" t="s">
        <v>12014</v>
      </c>
      <c r="PTD3" t="s">
        <v>12015</v>
      </c>
      <c r="PTE3" t="s">
        <v>12016</v>
      </c>
      <c r="PTF3" t="s">
        <v>12017</v>
      </c>
      <c r="PTG3" t="s">
        <v>12018</v>
      </c>
      <c r="PTH3" t="s">
        <v>12019</v>
      </c>
      <c r="PTI3" t="s">
        <v>12020</v>
      </c>
      <c r="PTJ3" t="s">
        <v>12021</v>
      </c>
      <c r="PTK3" t="s">
        <v>12022</v>
      </c>
      <c r="PTL3" t="s">
        <v>12023</v>
      </c>
      <c r="PTM3" t="s">
        <v>12024</v>
      </c>
      <c r="PTN3" t="s">
        <v>12025</v>
      </c>
      <c r="PTO3" t="s">
        <v>12026</v>
      </c>
      <c r="PTP3" t="s">
        <v>12027</v>
      </c>
      <c r="PTQ3" t="s">
        <v>12028</v>
      </c>
      <c r="PTR3" t="s">
        <v>12029</v>
      </c>
      <c r="PTS3" t="s">
        <v>12030</v>
      </c>
      <c r="PTT3" t="s">
        <v>12031</v>
      </c>
      <c r="PTU3" t="s">
        <v>12032</v>
      </c>
      <c r="PTV3" t="s">
        <v>12033</v>
      </c>
      <c r="PTW3" t="s">
        <v>12034</v>
      </c>
      <c r="PTX3" t="s">
        <v>12035</v>
      </c>
      <c r="PTY3" t="s">
        <v>12036</v>
      </c>
      <c r="PTZ3" t="s">
        <v>12037</v>
      </c>
      <c r="PUA3" t="s">
        <v>12038</v>
      </c>
      <c r="PUB3" t="s">
        <v>12039</v>
      </c>
      <c r="PUC3" t="s">
        <v>12040</v>
      </c>
      <c r="PUD3" t="s">
        <v>12041</v>
      </c>
      <c r="PUE3" t="s">
        <v>12042</v>
      </c>
      <c r="PUF3" t="s">
        <v>12043</v>
      </c>
      <c r="PUG3" t="s">
        <v>12044</v>
      </c>
      <c r="PUH3" t="s">
        <v>12045</v>
      </c>
      <c r="PUI3" t="s">
        <v>12046</v>
      </c>
      <c r="PUJ3" t="s">
        <v>12047</v>
      </c>
      <c r="PUK3" t="s">
        <v>12048</v>
      </c>
      <c r="PUL3" t="s">
        <v>12049</v>
      </c>
      <c r="PUM3" t="s">
        <v>12050</v>
      </c>
      <c r="PUN3" t="s">
        <v>12051</v>
      </c>
      <c r="PUO3" t="s">
        <v>12052</v>
      </c>
      <c r="PUP3" t="s">
        <v>12053</v>
      </c>
      <c r="PUQ3" t="s">
        <v>12054</v>
      </c>
      <c r="PUR3" t="s">
        <v>12055</v>
      </c>
      <c r="PUS3" t="s">
        <v>12056</v>
      </c>
      <c r="PUT3" t="s">
        <v>12057</v>
      </c>
      <c r="PUU3" t="s">
        <v>12058</v>
      </c>
      <c r="PUV3" t="s">
        <v>12059</v>
      </c>
      <c r="PUW3" t="s">
        <v>12060</v>
      </c>
      <c r="PUX3" t="s">
        <v>12061</v>
      </c>
      <c r="PUY3" t="s">
        <v>12062</v>
      </c>
      <c r="PUZ3" t="s">
        <v>12063</v>
      </c>
      <c r="PVA3" t="s">
        <v>12064</v>
      </c>
      <c r="PVB3" t="s">
        <v>12065</v>
      </c>
      <c r="PVC3" t="s">
        <v>12066</v>
      </c>
      <c r="PVD3" t="s">
        <v>12067</v>
      </c>
      <c r="PVE3" t="s">
        <v>12068</v>
      </c>
      <c r="PVF3" t="s">
        <v>12069</v>
      </c>
      <c r="PVG3" t="s">
        <v>12070</v>
      </c>
      <c r="PVH3" t="s">
        <v>12071</v>
      </c>
      <c r="PVI3" t="s">
        <v>12072</v>
      </c>
      <c r="PVJ3" t="s">
        <v>12073</v>
      </c>
      <c r="PVK3" t="s">
        <v>12074</v>
      </c>
      <c r="PVL3" t="s">
        <v>12075</v>
      </c>
      <c r="PVM3" t="s">
        <v>12076</v>
      </c>
      <c r="PVN3" t="s">
        <v>12077</v>
      </c>
      <c r="PVO3" t="s">
        <v>12078</v>
      </c>
      <c r="PVP3" t="s">
        <v>12079</v>
      </c>
      <c r="PVQ3" t="s">
        <v>12080</v>
      </c>
      <c r="PVR3" t="s">
        <v>12081</v>
      </c>
      <c r="PVS3" t="s">
        <v>12082</v>
      </c>
      <c r="PVT3" t="s">
        <v>12083</v>
      </c>
      <c r="PVU3" t="s">
        <v>12084</v>
      </c>
      <c r="PVV3" t="s">
        <v>12085</v>
      </c>
      <c r="PVW3" t="s">
        <v>12086</v>
      </c>
      <c r="PVX3" t="s">
        <v>12087</v>
      </c>
      <c r="PVY3" t="s">
        <v>12088</v>
      </c>
      <c r="PVZ3" t="s">
        <v>12089</v>
      </c>
      <c r="PWA3" t="s">
        <v>12090</v>
      </c>
      <c r="PWB3" t="s">
        <v>12091</v>
      </c>
      <c r="PWC3" t="s">
        <v>12092</v>
      </c>
      <c r="PWD3" t="s">
        <v>12093</v>
      </c>
      <c r="PWE3" t="s">
        <v>12094</v>
      </c>
      <c r="PWF3" t="s">
        <v>12095</v>
      </c>
      <c r="PWG3" t="s">
        <v>12096</v>
      </c>
      <c r="PWH3" t="s">
        <v>12097</v>
      </c>
      <c r="PWI3" t="s">
        <v>12098</v>
      </c>
      <c r="PWJ3" t="s">
        <v>12099</v>
      </c>
      <c r="PWK3" t="s">
        <v>12100</v>
      </c>
      <c r="PWL3" t="s">
        <v>12101</v>
      </c>
      <c r="PWM3" t="s">
        <v>12102</v>
      </c>
      <c r="PWN3" t="s">
        <v>12103</v>
      </c>
      <c r="PWO3" t="s">
        <v>12104</v>
      </c>
      <c r="PWP3" t="s">
        <v>12105</v>
      </c>
      <c r="PWQ3" t="s">
        <v>12106</v>
      </c>
      <c r="PWR3" t="s">
        <v>12107</v>
      </c>
      <c r="PWS3" t="s">
        <v>12108</v>
      </c>
      <c r="PWT3" t="s">
        <v>12109</v>
      </c>
      <c r="PWU3" t="s">
        <v>12110</v>
      </c>
      <c r="PWV3" t="s">
        <v>12111</v>
      </c>
      <c r="PWW3" t="s">
        <v>12112</v>
      </c>
      <c r="PWX3" t="s">
        <v>12113</v>
      </c>
      <c r="PWY3" t="s">
        <v>12114</v>
      </c>
      <c r="PWZ3" t="s">
        <v>12115</v>
      </c>
      <c r="PXA3" t="s">
        <v>12116</v>
      </c>
      <c r="PXB3" t="s">
        <v>12117</v>
      </c>
      <c r="PXC3" t="s">
        <v>12118</v>
      </c>
      <c r="PXD3" t="s">
        <v>12119</v>
      </c>
      <c r="PXE3" t="s">
        <v>12120</v>
      </c>
      <c r="PXF3" t="s">
        <v>12121</v>
      </c>
      <c r="PXG3" t="s">
        <v>12122</v>
      </c>
      <c r="PXH3" t="s">
        <v>12123</v>
      </c>
      <c r="PXI3" t="s">
        <v>12124</v>
      </c>
      <c r="PXJ3" t="s">
        <v>12125</v>
      </c>
      <c r="PXK3" t="s">
        <v>12126</v>
      </c>
      <c r="PXL3" t="s">
        <v>12127</v>
      </c>
      <c r="PXM3" t="s">
        <v>12128</v>
      </c>
      <c r="PXN3" t="s">
        <v>12129</v>
      </c>
      <c r="PXO3" t="s">
        <v>12130</v>
      </c>
      <c r="PXP3" t="s">
        <v>12131</v>
      </c>
      <c r="PXQ3" t="s">
        <v>12132</v>
      </c>
      <c r="PXR3" t="s">
        <v>12133</v>
      </c>
      <c r="PXS3" t="s">
        <v>12134</v>
      </c>
      <c r="PXT3" t="s">
        <v>12135</v>
      </c>
      <c r="PXU3" t="s">
        <v>12136</v>
      </c>
      <c r="PXV3" t="s">
        <v>12137</v>
      </c>
      <c r="PXW3" t="s">
        <v>12138</v>
      </c>
      <c r="PXX3" t="s">
        <v>12139</v>
      </c>
      <c r="PXY3" t="s">
        <v>12140</v>
      </c>
      <c r="PXZ3" t="s">
        <v>12141</v>
      </c>
      <c r="PYA3" t="s">
        <v>12142</v>
      </c>
      <c r="PYB3" t="s">
        <v>12143</v>
      </c>
      <c r="PYC3" t="s">
        <v>12144</v>
      </c>
      <c r="PYD3" t="s">
        <v>12145</v>
      </c>
      <c r="PYE3" t="s">
        <v>12146</v>
      </c>
      <c r="PYF3" t="s">
        <v>12147</v>
      </c>
      <c r="PYG3" t="s">
        <v>12148</v>
      </c>
      <c r="PYH3" t="s">
        <v>12149</v>
      </c>
      <c r="PYI3" t="s">
        <v>12150</v>
      </c>
      <c r="PYJ3" t="s">
        <v>12151</v>
      </c>
      <c r="PYK3" t="s">
        <v>12152</v>
      </c>
      <c r="PYL3" t="s">
        <v>12153</v>
      </c>
      <c r="PYM3" t="s">
        <v>12154</v>
      </c>
      <c r="PYN3" t="s">
        <v>12155</v>
      </c>
      <c r="PYO3" t="s">
        <v>12156</v>
      </c>
      <c r="PYP3" t="s">
        <v>12157</v>
      </c>
      <c r="PYQ3" t="s">
        <v>12158</v>
      </c>
      <c r="PYR3" t="s">
        <v>12159</v>
      </c>
      <c r="PYS3" t="s">
        <v>12160</v>
      </c>
      <c r="PYT3" t="s">
        <v>12161</v>
      </c>
      <c r="PYU3" t="s">
        <v>12162</v>
      </c>
      <c r="PYV3" t="s">
        <v>12163</v>
      </c>
      <c r="PYW3" t="s">
        <v>12164</v>
      </c>
      <c r="PYX3" t="s">
        <v>12165</v>
      </c>
      <c r="PYY3" t="s">
        <v>12166</v>
      </c>
      <c r="PYZ3" t="s">
        <v>12167</v>
      </c>
      <c r="PZA3" t="s">
        <v>12168</v>
      </c>
      <c r="PZB3" t="s">
        <v>12169</v>
      </c>
      <c r="PZC3" t="s">
        <v>12170</v>
      </c>
      <c r="PZD3" t="s">
        <v>12171</v>
      </c>
      <c r="PZE3" t="s">
        <v>12172</v>
      </c>
      <c r="PZF3" t="s">
        <v>12173</v>
      </c>
      <c r="PZG3" t="s">
        <v>12174</v>
      </c>
      <c r="PZH3" t="s">
        <v>12175</v>
      </c>
      <c r="PZI3" t="s">
        <v>12176</v>
      </c>
      <c r="PZJ3" t="s">
        <v>12177</v>
      </c>
      <c r="PZK3" t="s">
        <v>12178</v>
      </c>
      <c r="PZL3" t="s">
        <v>12179</v>
      </c>
      <c r="PZM3" t="s">
        <v>12180</v>
      </c>
      <c r="PZN3" t="s">
        <v>12181</v>
      </c>
      <c r="PZO3" t="s">
        <v>12182</v>
      </c>
      <c r="PZP3" t="s">
        <v>12183</v>
      </c>
      <c r="PZQ3" t="s">
        <v>12184</v>
      </c>
      <c r="PZR3" t="s">
        <v>12185</v>
      </c>
      <c r="PZS3" t="s">
        <v>12186</v>
      </c>
      <c r="PZT3" t="s">
        <v>12187</v>
      </c>
      <c r="PZU3" t="s">
        <v>12188</v>
      </c>
      <c r="PZV3" t="s">
        <v>12189</v>
      </c>
      <c r="PZW3" t="s">
        <v>12190</v>
      </c>
      <c r="PZX3" t="s">
        <v>12191</v>
      </c>
      <c r="PZY3" t="s">
        <v>12192</v>
      </c>
      <c r="PZZ3" t="s">
        <v>12193</v>
      </c>
      <c r="QAA3" t="s">
        <v>12194</v>
      </c>
      <c r="QAB3" t="s">
        <v>12195</v>
      </c>
      <c r="QAC3" t="s">
        <v>12196</v>
      </c>
      <c r="QAD3" t="s">
        <v>12197</v>
      </c>
      <c r="QAE3" t="s">
        <v>12198</v>
      </c>
      <c r="QAF3" t="s">
        <v>12199</v>
      </c>
      <c r="QAG3" t="s">
        <v>12200</v>
      </c>
      <c r="QAH3" t="s">
        <v>12201</v>
      </c>
      <c r="QAI3" t="s">
        <v>12202</v>
      </c>
      <c r="QAJ3" t="s">
        <v>12203</v>
      </c>
      <c r="QAK3" t="s">
        <v>12204</v>
      </c>
      <c r="QAL3" t="s">
        <v>12205</v>
      </c>
      <c r="QAM3" t="s">
        <v>12206</v>
      </c>
      <c r="QAN3" t="s">
        <v>12207</v>
      </c>
      <c r="QAO3" t="s">
        <v>12208</v>
      </c>
      <c r="QAP3" t="s">
        <v>12209</v>
      </c>
      <c r="QAQ3" t="s">
        <v>12210</v>
      </c>
      <c r="QAR3" t="s">
        <v>12211</v>
      </c>
      <c r="QAS3" t="s">
        <v>12212</v>
      </c>
      <c r="QAT3" t="s">
        <v>12213</v>
      </c>
      <c r="QAU3" t="s">
        <v>12214</v>
      </c>
      <c r="QAV3" t="s">
        <v>12215</v>
      </c>
      <c r="QAW3" t="s">
        <v>12216</v>
      </c>
      <c r="QAX3" t="s">
        <v>12217</v>
      </c>
      <c r="QAY3" t="s">
        <v>12218</v>
      </c>
      <c r="QAZ3" t="s">
        <v>12219</v>
      </c>
      <c r="QBA3" t="s">
        <v>12220</v>
      </c>
      <c r="QBB3" t="s">
        <v>12221</v>
      </c>
      <c r="QBC3" t="s">
        <v>12222</v>
      </c>
      <c r="QBD3" t="s">
        <v>12223</v>
      </c>
      <c r="QBE3" t="s">
        <v>12224</v>
      </c>
      <c r="QBF3" t="s">
        <v>12225</v>
      </c>
      <c r="QBG3" t="s">
        <v>12226</v>
      </c>
      <c r="QBH3" t="s">
        <v>12227</v>
      </c>
      <c r="QBI3" t="s">
        <v>12228</v>
      </c>
      <c r="QBJ3" t="s">
        <v>12229</v>
      </c>
      <c r="QBK3" t="s">
        <v>12230</v>
      </c>
      <c r="QBL3" t="s">
        <v>12231</v>
      </c>
      <c r="QBM3" t="s">
        <v>12232</v>
      </c>
      <c r="QBN3" t="s">
        <v>12233</v>
      </c>
      <c r="QBO3" t="s">
        <v>12234</v>
      </c>
      <c r="QBP3" t="s">
        <v>12235</v>
      </c>
      <c r="QBQ3" t="s">
        <v>12236</v>
      </c>
      <c r="QBR3" t="s">
        <v>12237</v>
      </c>
      <c r="QBS3" t="s">
        <v>12238</v>
      </c>
      <c r="QBT3" t="s">
        <v>12239</v>
      </c>
      <c r="QBU3" t="s">
        <v>12240</v>
      </c>
      <c r="QBV3" t="s">
        <v>12241</v>
      </c>
      <c r="QBW3" t="s">
        <v>12242</v>
      </c>
      <c r="QBX3" t="s">
        <v>12243</v>
      </c>
      <c r="QBY3" t="s">
        <v>12244</v>
      </c>
      <c r="QBZ3" t="s">
        <v>12245</v>
      </c>
      <c r="QCA3" t="s">
        <v>12246</v>
      </c>
      <c r="QCB3" t="s">
        <v>12247</v>
      </c>
      <c r="QCC3" t="s">
        <v>12248</v>
      </c>
      <c r="QCD3" t="s">
        <v>12249</v>
      </c>
      <c r="QCE3" t="s">
        <v>12250</v>
      </c>
      <c r="QCF3" t="s">
        <v>12251</v>
      </c>
      <c r="QCG3" t="s">
        <v>12252</v>
      </c>
      <c r="QCH3" t="s">
        <v>12253</v>
      </c>
      <c r="QCI3" t="s">
        <v>12254</v>
      </c>
      <c r="QCJ3" t="s">
        <v>12255</v>
      </c>
      <c r="QCK3" t="s">
        <v>12256</v>
      </c>
      <c r="QCL3" t="s">
        <v>12257</v>
      </c>
      <c r="QCM3" t="s">
        <v>12258</v>
      </c>
      <c r="QCN3" t="s">
        <v>12259</v>
      </c>
      <c r="QCO3" t="s">
        <v>12260</v>
      </c>
      <c r="QCP3" t="s">
        <v>12261</v>
      </c>
      <c r="QCQ3" t="s">
        <v>12262</v>
      </c>
      <c r="QCR3" t="s">
        <v>12263</v>
      </c>
      <c r="QCS3" t="s">
        <v>12264</v>
      </c>
      <c r="QCT3" t="s">
        <v>12265</v>
      </c>
      <c r="QCU3" t="s">
        <v>12266</v>
      </c>
      <c r="QCV3" t="s">
        <v>12267</v>
      </c>
      <c r="QCW3" t="s">
        <v>12268</v>
      </c>
      <c r="QCX3" t="s">
        <v>12269</v>
      </c>
      <c r="QCY3" t="s">
        <v>12270</v>
      </c>
      <c r="QCZ3" t="s">
        <v>12271</v>
      </c>
      <c r="QDA3" t="s">
        <v>12272</v>
      </c>
      <c r="QDB3" t="s">
        <v>12273</v>
      </c>
      <c r="QDC3" t="s">
        <v>12274</v>
      </c>
      <c r="QDD3" t="s">
        <v>12275</v>
      </c>
      <c r="QDE3" t="s">
        <v>12276</v>
      </c>
      <c r="QDF3" t="s">
        <v>12277</v>
      </c>
      <c r="QDG3" t="s">
        <v>12278</v>
      </c>
      <c r="QDH3" t="s">
        <v>12279</v>
      </c>
      <c r="QDI3" t="s">
        <v>12280</v>
      </c>
      <c r="QDJ3" t="s">
        <v>12281</v>
      </c>
      <c r="QDK3" t="s">
        <v>12282</v>
      </c>
      <c r="QDL3" t="s">
        <v>12283</v>
      </c>
      <c r="QDM3" t="s">
        <v>12284</v>
      </c>
      <c r="QDN3" t="s">
        <v>12285</v>
      </c>
      <c r="QDO3" t="s">
        <v>12286</v>
      </c>
      <c r="QDP3" t="s">
        <v>12287</v>
      </c>
      <c r="QDQ3" t="s">
        <v>12288</v>
      </c>
      <c r="QDR3" t="s">
        <v>12289</v>
      </c>
      <c r="QDS3" t="s">
        <v>12290</v>
      </c>
      <c r="QDT3" t="s">
        <v>12291</v>
      </c>
      <c r="QDU3" t="s">
        <v>12292</v>
      </c>
      <c r="QDV3" t="s">
        <v>12293</v>
      </c>
      <c r="QDW3" t="s">
        <v>12294</v>
      </c>
      <c r="QDX3" t="s">
        <v>12295</v>
      </c>
      <c r="QDY3" t="s">
        <v>12296</v>
      </c>
      <c r="QDZ3" t="s">
        <v>12297</v>
      </c>
      <c r="QEA3" t="s">
        <v>12298</v>
      </c>
      <c r="QEB3" t="s">
        <v>12299</v>
      </c>
      <c r="QEC3" t="s">
        <v>12300</v>
      </c>
      <c r="QED3" t="s">
        <v>12301</v>
      </c>
      <c r="QEE3" t="s">
        <v>12302</v>
      </c>
      <c r="QEF3" t="s">
        <v>12303</v>
      </c>
      <c r="QEG3" t="s">
        <v>12304</v>
      </c>
      <c r="QEH3" t="s">
        <v>12305</v>
      </c>
      <c r="QEI3" t="s">
        <v>12306</v>
      </c>
      <c r="QEJ3" t="s">
        <v>12307</v>
      </c>
      <c r="QEK3" t="s">
        <v>12308</v>
      </c>
      <c r="QEL3" t="s">
        <v>12309</v>
      </c>
      <c r="QEM3" t="s">
        <v>12310</v>
      </c>
      <c r="QEN3" t="s">
        <v>12311</v>
      </c>
      <c r="QEO3" t="s">
        <v>12312</v>
      </c>
      <c r="QEP3" t="s">
        <v>12313</v>
      </c>
      <c r="QEQ3" t="s">
        <v>12314</v>
      </c>
      <c r="QER3" t="s">
        <v>12315</v>
      </c>
      <c r="QES3" t="s">
        <v>12316</v>
      </c>
      <c r="QET3" t="s">
        <v>12317</v>
      </c>
      <c r="QEU3" t="s">
        <v>12318</v>
      </c>
      <c r="QEV3" t="s">
        <v>12319</v>
      </c>
      <c r="QEW3" t="s">
        <v>12320</v>
      </c>
      <c r="QEX3" t="s">
        <v>12321</v>
      </c>
      <c r="QEY3" t="s">
        <v>12322</v>
      </c>
      <c r="QEZ3" t="s">
        <v>12323</v>
      </c>
      <c r="QFA3" t="s">
        <v>12324</v>
      </c>
      <c r="QFB3" t="s">
        <v>12325</v>
      </c>
      <c r="QFC3" t="s">
        <v>12326</v>
      </c>
      <c r="QFD3" t="s">
        <v>12327</v>
      </c>
      <c r="QFE3" t="s">
        <v>12328</v>
      </c>
      <c r="QFF3" t="s">
        <v>12329</v>
      </c>
      <c r="QFG3" t="s">
        <v>12330</v>
      </c>
      <c r="QFH3" t="s">
        <v>12331</v>
      </c>
      <c r="QFI3" t="s">
        <v>12332</v>
      </c>
      <c r="QFJ3" t="s">
        <v>12333</v>
      </c>
      <c r="QFK3" t="s">
        <v>12334</v>
      </c>
      <c r="QFL3" t="s">
        <v>12335</v>
      </c>
      <c r="QFM3" t="s">
        <v>12336</v>
      </c>
      <c r="QFN3" t="s">
        <v>12337</v>
      </c>
      <c r="QFO3" t="s">
        <v>12338</v>
      </c>
      <c r="QFP3" t="s">
        <v>12339</v>
      </c>
      <c r="QFQ3" t="s">
        <v>12340</v>
      </c>
      <c r="QFR3" t="s">
        <v>12341</v>
      </c>
      <c r="QFS3" t="s">
        <v>12342</v>
      </c>
      <c r="QFT3" t="s">
        <v>12343</v>
      </c>
      <c r="QFU3" t="s">
        <v>12344</v>
      </c>
      <c r="QFV3" t="s">
        <v>12345</v>
      </c>
      <c r="QFW3" t="s">
        <v>12346</v>
      </c>
      <c r="QFX3" t="s">
        <v>12347</v>
      </c>
      <c r="QFY3" t="s">
        <v>12348</v>
      </c>
      <c r="QFZ3" t="s">
        <v>12349</v>
      </c>
      <c r="QGA3" t="s">
        <v>12350</v>
      </c>
      <c r="QGB3" t="s">
        <v>12351</v>
      </c>
      <c r="QGC3" t="s">
        <v>12352</v>
      </c>
      <c r="QGD3" t="s">
        <v>12353</v>
      </c>
      <c r="QGE3" t="s">
        <v>12354</v>
      </c>
      <c r="QGF3" t="s">
        <v>12355</v>
      </c>
      <c r="QGG3" t="s">
        <v>12356</v>
      </c>
      <c r="QGH3" t="s">
        <v>12357</v>
      </c>
      <c r="QGI3" t="s">
        <v>12358</v>
      </c>
      <c r="QGJ3" t="s">
        <v>12359</v>
      </c>
      <c r="QGK3" t="s">
        <v>12360</v>
      </c>
      <c r="QGL3" t="s">
        <v>12361</v>
      </c>
      <c r="QGM3" t="s">
        <v>12362</v>
      </c>
      <c r="QGN3" t="s">
        <v>12363</v>
      </c>
      <c r="QGO3" t="s">
        <v>12364</v>
      </c>
      <c r="QGP3" t="s">
        <v>12365</v>
      </c>
      <c r="QGQ3" t="s">
        <v>12366</v>
      </c>
      <c r="QGR3" t="s">
        <v>12367</v>
      </c>
      <c r="QGS3" t="s">
        <v>12368</v>
      </c>
      <c r="QGT3" t="s">
        <v>12369</v>
      </c>
      <c r="QGU3" t="s">
        <v>12370</v>
      </c>
      <c r="QGV3" t="s">
        <v>12371</v>
      </c>
      <c r="QGW3" t="s">
        <v>12372</v>
      </c>
      <c r="QGX3" t="s">
        <v>12373</v>
      </c>
      <c r="QGY3" t="s">
        <v>12374</v>
      </c>
      <c r="QGZ3" t="s">
        <v>12375</v>
      </c>
      <c r="QHA3" t="s">
        <v>12376</v>
      </c>
      <c r="QHB3" t="s">
        <v>12377</v>
      </c>
      <c r="QHC3" t="s">
        <v>12378</v>
      </c>
      <c r="QHD3" t="s">
        <v>12379</v>
      </c>
      <c r="QHE3" t="s">
        <v>12380</v>
      </c>
      <c r="QHF3" t="s">
        <v>12381</v>
      </c>
      <c r="QHG3" t="s">
        <v>12382</v>
      </c>
      <c r="QHH3" t="s">
        <v>12383</v>
      </c>
      <c r="QHI3" t="s">
        <v>12384</v>
      </c>
      <c r="QHJ3" t="s">
        <v>12385</v>
      </c>
      <c r="QHK3" t="s">
        <v>12386</v>
      </c>
      <c r="QHL3" t="s">
        <v>12387</v>
      </c>
      <c r="QHM3" t="s">
        <v>12388</v>
      </c>
      <c r="QHN3" t="s">
        <v>12389</v>
      </c>
      <c r="QHO3" t="s">
        <v>12390</v>
      </c>
      <c r="QHP3" t="s">
        <v>12391</v>
      </c>
      <c r="QHQ3" t="s">
        <v>12392</v>
      </c>
      <c r="QHR3" t="s">
        <v>12393</v>
      </c>
      <c r="QHS3" t="s">
        <v>12394</v>
      </c>
      <c r="QHT3" t="s">
        <v>12395</v>
      </c>
      <c r="QHU3" t="s">
        <v>12396</v>
      </c>
      <c r="QHV3" t="s">
        <v>12397</v>
      </c>
      <c r="QHW3" t="s">
        <v>12398</v>
      </c>
      <c r="QHX3" t="s">
        <v>12399</v>
      </c>
      <c r="QHY3" t="s">
        <v>12400</v>
      </c>
      <c r="QHZ3" t="s">
        <v>12401</v>
      </c>
      <c r="QIA3" t="s">
        <v>12402</v>
      </c>
      <c r="QIB3" t="s">
        <v>12403</v>
      </c>
      <c r="QIC3" t="s">
        <v>12404</v>
      </c>
      <c r="QID3" t="s">
        <v>12405</v>
      </c>
      <c r="QIE3" t="s">
        <v>12406</v>
      </c>
      <c r="QIF3" t="s">
        <v>12407</v>
      </c>
      <c r="QIG3" t="s">
        <v>12408</v>
      </c>
      <c r="QIH3" t="s">
        <v>12409</v>
      </c>
      <c r="QII3" t="s">
        <v>12410</v>
      </c>
      <c r="QIJ3" t="s">
        <v>12411</v>
      </c>
      <c r="QIK3" t="s">
        <v>12412</v>
      </c>
      <c r="QIL3" t="s">
        <v>12413</v>
      </c>
      <c r="QIM3" t="s">
        <v>12414</v>
      </c>
      <c r="QIN3" t="s">
        <v>12415</v>
      </c>
      <c r="QIO3" t="s">
        <v>12416</v>
      </c>
      <c r="QIP3" t="s">
        <v>12417</v>
      </c>
      <c r="QIQ3" t="s">
        <v>12418</v>
      </c>
      <c r="QIR3" t="s">
        <v>12419</v>
      </c>
      <c r="QIS3" t="s">
        <v>12420</v>
      </c>
      <c r="QIT3" t="s">
        <v>12421</v>
      </c>
      <c r="QIU3" t="s">
        <v>12422</v>
      </c>
      <c r="QIV3" t="s">
        <v>12423</v>
      </c>
      <c r="QIW3" t="s">
        <v>12424</v>
      </c>
      <c r="QIX3" t="s">
        <v>12425</v>
      </c>
      <c r="QIY3" t="s">
        <v>12426</v>
      </c>
      <c r="QIZ3" t="s">
        <v>12427</v>
      </c>
      <c r="QJA3" t="s">
        <v>12428</v>
      </c>
      <c r="QJB3" t="s">
        <v>12429</v>
      </c>
      <c r="QJC3" t="s">
        <v>12430</v>
      </c>
      <c r="QJD3" t="s">
        <v>12431</v>
      </c>
      <c r="QJE3" t="s">
        <v>12432</v>
      </c>
      <c r="QJF3" t="s">
        <v>12433</v>
      </c>
      <c r="QJG3" t="s">
        <v>12434</v>
      </c>
      <c r="QJH3" t="s">
        <v>12435</v>
      </c>
      <c r="QJI3" t="s">
        <v>12436</v>
      </c>
      <c r="QJJ3" t="s">
        <v>12437</v>
      </c>
      <c r="QJK3" t="s">
        <v>12438</v>
      </c>
      <c r="QJL3" t="s">
        <v>12439</v>
      </c>
      <c r="QJM3" t="s">
        <v>12440</v>
      </c>
      <c r="QJN3" t="s">
        <v>12441</v>
      </c>
      <c r="QJO3" t="s">
        <v>12442</v>
      </c>
      <c r="QJP3" t="s">
        <v>12443</v>
      </c>
      <c r="QJQ3" t="s">
        <v>12444</v>
      </c>
      <c r="QJR3" t="s">
        <v>12445</v>
      </c>
      <c r="QJS3" t="s">
        <v>12446</v>
      </c>
      <c r="QJT3" t="s">
        <v>12447</v>
      </c>
      <c r="QJU3" t="s">
        <v>12448</v>
      </c>
      <c r="QJV3" t="s">
        <v>12449</v>
      </c>
      <c r="QJW3" t="s">
        <v>12450</v>
      </c>
      <c r="QJX3" t="s">
        <v>12451</v>
      </c>
      <c r="QJY3" t="s">
        <v>12452</v>
      </c>
      <c r="QJZ3" t="s">
        <v>12453</v>
      </c>
      <c r="QKA3" t="s">
        <v>12454</v>
      </c>
      <c r="QKB3" t="s">
        <v>12455</v>
      </c>
      <c r="QKC3" t="s">
        <v>12456</v>
      </c>
      <c r="QKD3" t="s">
        <v>12457</v>
      </c>
      <c r="QKE3" t="s">
        <v>12458</v>
      </c>
      <c r="QKF3" t="s">
        <v>12459</v>
      </c>
      <c r="QKG3" t="s">
        <v>12460</v>
      </c>
      <c r="QKH3" t="s">
        <v>12461</v>
      </c>
      <c r="QKI3" t="s">
        <v>12462</v>
      </c>
      <c r="QKJ3" t="s">
        <v>12463</v>
      </c>
      <c r="QKK3" t="s">
        <v>12464</v>
      </c>
      <c r="QKL3" t="s">
        <v>12465</v>
      </c>
      <c r="QKM3" t="s">
        <v>12466</v>
      </c>
      <c r="QKN3" t="s">
        <v>12467</v>
      </c>
      <c r="QKO3" t="s">
        <v>12468</v>
      </c>
      <c r="QKP3" t="s">
        <v>12469</v>
      </c>
      <c r="QKQ3" t="s">
        <v>12470</v>
      </c>
      <c r="QKR3" t="s">
        <v>12471</v>
      </c>
      <c r="QKS3" t="s">
        <v>12472</v>
      </c>
      <c r="QKT3" t="s">
        <v>12473</v>
      </c>
      <c r="QKU3" t="s">
        <v>12474</v>
      </c>
      <c r="QKV3" t="s">
        <v>12475</v>
      </c>
      <c r="QKW3" t="s">
        <v>12476</v>
      </c>
      <c r="QKX3" t="s">
        <v>12477</v>
      </c>
      <c r="QKY3" t="s">
        <v>12478</v>
      </c>
      <c r="QKZ3" t="s">
        <v>12479</v>
      </c>
      <c r="QLA3" t="s">
        <v>12480</v>
      </c>
      <c r="QLB3" t="s">
        <v>12481</v>
      </c>
      <c r="QLC3" t="s">
        <v>12482</v>
      </c>
      <c r="QLD3" t="s">
        <v>12483</v>
      </c>
      <c r="QLE3" t="s">
        <v>12484</v>
      </c>
      <c r="QLF3" t="s">
        <v>12485</v>
      </c>
      <c r="QLG3" t="s">
        <v>12486</v>
      </c>
      <c r="QLH3" t="s">
        <v>12487</v>
      </c>
      <c r="QLI3" t="s">
        <v>12488</v>
      </c>
      <c r="QLJ3" t="s">
        <v>12489</v>
      </c>
      <c r="QLK3" t="s">
        <v>12490</v>
      </c>
      <c r="QLL3" t="s">
        <v>12491</v>
      </c>
      <c r="QLM3" t="s">
        <v>12492</v>
      </c>
      <c r="QLN3" t="s">
        <v>12493</v>
      </c>
      <c r="QLO3" t="s">
        <v>12494</v>
      </c>
      <c r="QLP3" t="s">
        <v>12495</v>
      </c>
      <c r="QLQ3" t="s">
        <v>12496</v>
      </c>
      <c r="QLR3" t="s">
        <v>12497</v>
      </c>
      <c r="QLS3" t="s">
        <v>12498</v>
      </c>
      <c r="QLT3" t="s">
        <v>12499</v>
      </c>
      <c r="QLU3" t="s">
        <v>12500</v>
      </c>
      <c r="QLV3" t="s">
        <v>12501</v>
      </c>
      <c r="QLW3" t="s">
        <v>12502</v>
      </c>
      <c r="QLX3" t="s">
        <v>12503</v>
      </c>
      <c r="QLY3" t="s">
        <v>12504</v>
      </c>
      <c r="QLZ3" t="s">
        <v>12505</v>
      </c>
      <c r="QMA3" t="s">
        <v>12506</v>
      </c>
      <c r="QMB3" t="s">
        <v>12507</v>
      </c>
      <c r="QMC3" t="s">
        <v>12508</v>
      </c>
      <c r="QMD3" t="s">
        <v>12509</v>
      </c>
      <c r="QME3" t="s">
        <v>12510</v>
      </c>
      <c r="QMF3" t="s">
        <v>12511</v>
      </c>
      <c r="QMG3" t="s">
        <v>12512</v>
      </c>
      <c r="QMH3" t="s">
        <v>12513</v>
      </c>
      <c r="QMI3" t="s">
        <v>12514</v>
      </c>
      <c r="QMJ3" t="s">
        <v>12515</v>
      </c>
      <c r="QMK3" t="s">
        <v>12516</v>
      </c>
      <c r="QML3" t="s">
        <v>12517</v>
      </c>
      <c r="QMM3" t="s">
        <v>12518</v>
      </c>
      <c r="QMN3" t="s">
        <v>12519</v>
      </c>
      <c r="QMO3" t="s">
        <v>12520</v>
      </c>
      <c r="QMP3" t="s">
        <v>12521</v>
      </c>
      <c r="QMQ3" t="s">
        <v>12522</v>
      </c>
      <c r="QMR3" t="s">
        <v>12523</v>
      </c>
      <c r="QMS3" t="s">
        <v>12524</v>
      </c>
      <c r="QMT3" t="s">
        <v>12525</v>
      </c>
      <c r="QMU3" t="s">
        <v>12526</v>
      </c>
      <c r="QMV3" t="s">
        <v>12527</v>
      </c>
      <c r="QMW3" t="s">
        <v>12528</v>
      </c>
      <c r="QMX3" t="s">
        <v>12529</v>
      </c>
      <c r="QMY3" t="s">
        <v>12530</v>
      </c>
      <c r="QMZ3" t="s">
        <v>12531</v>
      </c>
      <c r="QNA3" t="s">
        <v>12532</v>
      </c>
      <c r="QNB3" t="s">
        <v>12533</v>
      </c>
      <c r="QNC3" t="s">
        <v>12534</v>
      </c>
      <c r="QND3" t="s">
        <v>12535</v>
      </c>
      <c r="QNE3" t="s">
        <v>12536</v>
      </c>
      <c r="QNF3" t="s">
        <v>12537</v>
      </c>
      <c r="QNG3" t="s">
        <v>12538</v>
      </c>
      <c r="QNH3" t="s">
        <v>12539</v>
      </c>
      <c r="QNI3" t="s">
        <v>12540</v>
      </c>
      <c r="QNJ3" t="s">
        <v>12541</v>
      </c>
      <c r="QNK3" t="s">
        <v>12542</v>
      </c>
      <c r="QNL3" t="s">
        <v>12543</v>
      </c>
      <c r="QNM3" t="s">
        <v>12544</v>
      </c>
      <c r="QNN3" t="s">
        <v>12545</v>
      </c>
      <c r="QNO3" t="s">
        <v>12546</v>
      </c>
      <c r="QNP3" t="s">
        <v>12547</v>
      </c>
      <c r="QNQ3" t="s">
        <v>12548</v>
      </c>
      <c r="QNR3" t="s">
        <v>12549</v>
      </c>
      <c r="QNS3" t="s">
        <v>12550</v>
      </c>
      <c r="QNT3" t="s">
        <v>12551</v>
      </c>
      <c r="QNU3" t="s">
        <v>12552</v>
      </c>
      <c r="QNV3" t="s">
        <v>12553</v>
      </c>
      <c r="QNW3" t="s">
        <v>12554</v>
      </c>
      <c r="QNX3" t="s">
        <v>12555</v>
      </c>
      <c r="QNY3" t="s">
        <v>12556</v>
      </c>
      <c r="QNZ3" t="s">
        <v>12557</v>
      </c>
      <c r="QOA3" t="s">
        <v>12558</v>
      </c>
      <c r="QOB3" t="s">
        <v>12559</v>
      </c>
      <c r="QOC3" t="s">
        <v>12560</v>
      </c>
      <c r="QOD3" t="s">
        <v>12561</v>
      </c>
      <c r="QOE3" t="s">
        <v>12562</v>
      </c>
      <c r="QOF3" t="s">
        <v>12563</v>
      </c>
      <c r="QOG3" t="s">
        <v>12564</v>
      </c>
      <c r="QOH3" t="s">
        <v>12565</v>
      </c>
      <c r="QOI3" t="s">
        <v>12566</v>
      </c>
      <c r="QOJ3" t="s">
        <v>12567</v>
      </c>
      <c r="QOK3" t="s">
        <v>12568</v>
      </c>
      <c r="QOL3" t="s">
        <v>12569</v>
      </c>
      <c r="QOM3" t="s">
        <v>12570</v>
      </c>
      <c r="QON3" t="s">
        <v>12571</v>
      </c>
      <c r="QOO3" t="s">
        <v>12572</v>
      </c>
      <c r="QOP3" t="s">
        <v>12573</v>
      </c>
      <c r="QOQ3" t="s">
        <v>12574</v>
      </c>
      <c r="QOR3" t="s">
        <v>12575</v>
      </c>
      <c r="QOS3" t="s">
        <v>12576</v>
      </c>
      <c r="QOT3" t="s">
        <v>12577</v>
      </c>
      <c r="QOU3" t="s">
        <v>12578</v>
      </c>
      <c r="QOV3" t="s">
        <v>12579</v>
      </c>
      <c r="QOW3" t="s">
        <v>12580</v>
      </c>
      <c r="QOX3" t="s">
        <v>12581</v>
      </c>
      <c r="QOY3" t="s">
        <v>12582</v>
      </c>
      <c r="QOZ3" t="s">
        <v>12583</v>
      </c>
      <c r="QPA3" t="s">
        <v>12584</v>
      </c>
      <c r="QPB3" t="s">
        <v>12585</v>
      </c>
      <c r="QPC3" t="s">
        <v>12586</v>
      </c>
      <c r="QPD3" t="s">
        <v>12587</v>
      </c>
      <c r="QPE3" t="s">
        <v>12588</v>
      </c>
      <c r="QPF3" t="s">
        <v>12589</v>
      </c>
      <c r="QPG3" t="s">
        <v>12590</v>
      </c>
      <c r="QPH3" t="s">
        <v>12591</v>
      </c>
      <c r="QPI3" t="s">
        <v>12592</v>
      </c>
      <c r="QPJ3" t="s">
        <v>12593</v>
      </c>
      <c r="QPK3" t="s">
        <v>12594</v>
      </c>
      <c r="QPL3" t="s">
        <v>12595</v>
      </c>
      <c r="QPM3" t="s">
        <v>12596</v>
      </c>
      <c r="QPN3" t="s">
        <v>12597</v>
      </c>
      <c r="QPO3" t="s">
        <v>12598</v>
      </c>
      <c r="QPP3" t="s">
        <v>12599</v>
      </c>
      <c r="QPQ3" t="s">
        <v>12600</v>
      </c>
      <c r="QPR3" t="s">
        <v>12601</v>
      </c>
      <c r="QPS3" t="s">
        <v>12602</v>
      </c>
      <c r="QPT3" t="s">
        <v>12603</v>
      </c>
      <c r="QPU3" t="s">
        <v>12604</v>
      </c>
      <c r="QPV3" t="s">
        <v>12605</v>
      </c>
      <c r="QPW3" t="s">
        <v>12606</v>
      </c>
      <c r="QPX3" t="s">
        <v>12607</v>
      </c>
      <c r="QPY3" t="s">
        <v>12608</v>
      </c>
      <c r="QPZ3" t="s">
        <v>12609</v>
      </c>
      <c r="QQA3" t="s">
        <v>12610</v>
      </c>
      <c r="QQB3" t="s">
        <v>12611</v>
      </c>
      <c r="QQC3" t="s">
        <v>12612</v>
      </c>
      <c r="QQD3" t="s">
        <v>12613</v>
      </c>
      <c r="QQE3" t="s">
        <v>12614</v>
      </c>
      <c r="QQF3" t="s">
        <v>12615</v>
      </c>
      <c r="QQG3" t="s">
        <v>12616</v>
      </c>
      <c r="QQH3" t="s">
        <v>12617</v>
      </c>
      <c r="QQI3" t="s">
        <v>12618</v>
      </c>
      <c r="QQJ3" t="s">
        <v>12619</v>
      </c>
      <c r="QQK3" t="s">
        <v>12620</v>
      </c>
      <c r="QQL3" t="s">
        <v>12621</v>
      </c>
      <c r="QQM3" t="s">
        <v>12622</v>
      </c>
      <c r="QQN3" t="s">
        <v>12623</v>
      </c>
      <c r="QQO3" t="s">
        <v>12624</v>
      </c>
      <c r="QQP3" t="s">
        <v>12625</v>
      </c>
      <c r="QQQ3" t="s">
        <v>12626</v>
      </c>
      <c r="QQR3" t="s">
        <v>12627</v>
      </c>
      <c r="QQS3" t="s">
        <v>12628</v>
      </c>
      <c r="QQT3" t="s">
        <v>12629</v>
      </c>
      <c r="QQU3" t="s">
        <v>12630</v>
      </c>
      <c r="QQV3" t="s">
        <v>12631</v>
      </c>
      <c r="QQW3" t="s">
        <v>12632</v>
      </c>
      <c r="QQX3" t="s">
        <v>12633</v>
      </c>
      <c r="QQY3" t="s">
        <v>12634</v>
      </c>
      <c r="QQZ3" t="s">
        <v>12635</v>
      </c>
      <c r="QRA3" t="s">
        <v>12636</v>
      </c>
      <c r="QRB3" t="s">
        <v>12637</v>
      </c>
      <c r="QRC3" t="s">
        <v>12638</v>
      </c>
      <c r="QRD3" t="s">
        <v>12639</v>
      </c>
      <c r="QRE3" t="s">
        <v>12640</v>
      </c>
      <c r="QRF3" t="s">
        <v>12641</v>
      </c>
      <c r="QRG3" t="s">
        <v>12642</v>
      </c>
      <c r="QRH3" t="s">
        <v>12643</v>
      </c>
      <c r="QRI3" t="s">
        <v>12644</v>
      </c>
      <c r="QRJ3" t="s">
        <v>12645</v>
      </c>
      <c r="QRK3" t="s">
        <v>12646</v>
      </c>
      <c r="QRL3" t="s">
        <v>12647</v>
      </c>
      <c r="QRM3" t="s">
        <v>12648</v>
      </c>
      <c r="QRN3" t="s">
        <v>12649</v>
      </c>
      <c r="QRO3" t="s">
        <v>12650</v>
      </c>
      <c r="QRP3" t="s">
        <v>12651</v>
      </c>
      <c r="QRQ3" t="s">
        <v>12652</v>
      </c>
      <c r="QRR3" t="s">
        <v>12653</v>
      </c>
      <c r="QRS3" t="s">
        <v>12654</v>
      </c>
      <c r="QRT3" t="s">
        <v>12655</v>
      </c>
      <c r="QRU3" t="s">
        <v>12656</v>
      </c>
      <c r="QRV3" t="s">
        <v>12657</v>
      </c>
      <c r="QRW3" t="s">
        <v>12658</v>
      </c>
      <c r="QRX3" t="s">
        <v>12659</v>
      </c>
      <c r="QRY3" t="s">
        <v>12660</v>
      </c>
      <c r="QRZ3" t="s">
        <v>12661</v>
      </c>
      <c r="QSA3" t="s">
        <v>12662</v>
      </c>
      <c r="QSB3" t="s">
        <v>12663</v>
      </c>
      <c r="QSC3" t="s">
        <v>12664</v>
      </c>
      <c r="QSD3" t="s">
        <v>12665</v>
      </c>
      <c r="QSE3" t="s">
        <v>12666</v>
      </c>
      <c r="QSF3" t="s">
        <v>12667</v>
      </c>
      <c r="QSG3" t="s">
        <v>12668</v>
      </c>
      <c r="QSH3" t="s">
        <v>12669</v>
      </c>
      <c r="QSI3" t="s">
        <v>12670</v>
      </c>
      <c r="QSJ3" t="s">
        <v>12671</v>
      </c>
      <c r="QSK3" t="s">
        <v>12672</v>
      </c>
      <c r="QSL3" t="s">
        <v>12673</v>
      </c>
      <c r="QSM3" t="s">
        <v>12674</v>
      </c>
      <c r="QSN3" t="s">
        <v>12675</v>
      </c>
      <c r="QSO3" t="s">
        <v>12676</v>
      </c>
      <c r="QSP3" t="s">
        <v>12677</v>
      </c>
      <c r="QSQ3" t="s">
        <v>12678</v>
      </c>
      <c r="QSR3" t="s">
        <v>12679</v>
      </c>
      <c r="QSS3" t="s">
        <v>12680</v>
      </c>
      <c r="QST3" t="s">
        <v>12681</v>
      </c>
      <c r="QSU3" t="s">
        <v>12682</v>
      </c>
      <c r="QSV3" t="s">
        <v>12683</v>
      </c>
      <c r="QSW3" t="s">
        <v>12684</v>
      </c>
      <c r="QSX3" t="s">
        <v>12685</v>
      </c>
      <c r="QSY3" t="s">
        <v>12686</v>
      </c>
      <c r="QSZ3" t="s">
        <v>12687</v>
      </c>
      <c r="QTA3" t="s">
        <v>12688</v>
      </c>
      <c r="QTB3" t="s">
        <v>12689</v>
      </c>
      <c r="QTC3" t="s">
        <v>12690</v>
      </c>
      <c r="QTD3" t="s">
        <v>12691</v>
      </c>
      <c r="QTE3" t="s">
        <v>12692</v>
      </c>
      <c r="QTF3" t="s">
        <v>12693</v>
      </c>
      <c r="QTG3" t="s">
        <v>12694</v>
      </c>
      <c r="QTH3" t="s">
        <v>12695</v>
      </c>
      <c r="QTI3" t="s">
        <v>12696</v>
      </c>
      <c r="QTJ3" t="s">
        <v>12697</v>
      </c>
      <c r="QTK3" t="s">
        <v>12698</v>
      </c>
      <c r="QTL3" t="s">
        <v>12699</v>
      </c>
      <c r="QTM3" t="s">
        <v>12700</v>
      </c>
      <c r="QTN3" t="s">
        <v>12701</v>
      </c>
      <c r="QTO3" t="s">
        <v>12702</v>
      </c>
      <c r="QTP3" t="s">
        <v>12703</v>
      </c>
      <c r="QTQ3" t="s">
        <v>12704</v>
      </c>
      <c r="QTR3" t="s">
        <v>12705</v>
      </c>
      <c r="QTS3" t="s">
        <v>12706</v>
      </c>
      <c r="QTT3" t="s">
        <v>12707</v>
      </c>
      <c r="QTU3" t="s">
        <v>12708</v>
      </c>
      <c r="QTV3" t="s">
        <v>12709</v>
      </c>
      <c r="QTW3" t="s">
        <v>12710</v>
      </c>
      <c r="QTX3" t="s">
        <v>12711</v>
      </c>
      <c r="QTY3" t="s">
        <v>12712</v>
      </c>
      <c r="QTZ3" t="s">
        <v>12713</v>
      </c>
      <c r="QUA3" t="s">
        <v>12714</v>
      </c>
      <c r="QUB3" t="s">
        <v>12715</v>
      </c>
      <c r="QUC3" t="s">
        <v>12716</v>
      </c>
      <c r="QUD3" t="s">
        <v>12717</v>
      </c>
      <c r="QUE3" t="s">
        <v>12718</v>
      </c>
      <c r="QUF3" t="s">
        <v>12719</v>
      </c>
      <c r="QUG3" t="s">
        <v>12720</v>
      </c>
      <c r="QUH3" t="s">
        <v>12721</v>
      </c>
      <c r="QUI3" t="s">
        <v>12722</v>
      </c>
      <c r="QUJ3" t="s">
        <v>12723</v>
      </c>
      <c r="QUK3" t="s">
        <v>12724</v>
      </c>
      <c r="QUL3" t="s">
        <v>12725</v>
      </c>
      <c r="QUM3" t="s">
        <v>12726</v>
      </c>
      <c r="QUN3" t="s">
        <v>12727</v>
      </c>
      <c r="QUO3" t="s">
        <v>12728</v>
      </c>
      <c r="QUP3" t="s">
        <v>12729</v>
      </c>
      <c r="QUQ3" t="s">
        <v>12730</v>
      </c>
      <c r="QUR3" t="s">
        <v>12731</v>
      </c>
      <c r="QUS3" t="s">
        <v>12732</v>
      </c>
      <c r="QUT3" t="s">
        <v>12733</v>
      </c>
      <c r="QUU3" t="s">
        <v>12734</v>
      </c>
      <c r="QUV3" t="s">
        <v>12735</v>
      </c>
      <c r="QUW3" t="s">
        <v>12736</v>
      </c>
      <c r="QUX3" t="s">
        <v>12737</v>
      </c>
      <c r="QUY3" t="s">
        <v>12738</v>
      </c>
      <c r="QUZ3" t="s">
        <v>12739</v>
      </c>
      <c r="QVA3" t="s">
        <v>12740</v>
      </c>
      <c r="QVB3" t="s">
        <v>12741</v>
      </c>
      <c r="QVC3" t="s">
        <v>12742</v>
      </c>
      <c r="QVD3" t="s">
        <v>12743</v>
      </c>
      <c r="QVE3" t="s">
        <v>12744</v>
      </c>
      <c r="QVF3" t="s">
        <v>12745</v>
      </c>
      <c r="QVG3" t="s">
        <v>12746</v>
      </c>
      <c r="QVH3" t="s">
        <v>12747</v>
      </c>
      <c r="QVI3" t="s">
        <v>12748</v>
      </c>
      <c r="QVJ3" t="s">
        <v>12749</v>
      </c>
      <c r="QVK3" t="s">
        <v>12750</v>
      </c>
      <c r="QVL3" t="s">
        <v>12751</v>
      </c>
      <c r="QVM3" t="s">
        <v>12752</v>
      </c>
      <c r="QVN3" t="s">
        <v>12753</v>
      </c>
      <c r="QVO3" t="s">
        <v>12754</v>
      </c>
      <c r="QVP3" t="s">
        <v>12755</v>
      </c>
      <c r="QVQ3" t="s">
        <v>12756</v>
      </c>
      <c r="QVR3" t="s">
        <v>12757</v>
      </c>
      <c r="QVS3" t="s">
        <v>12758</v>
      </c>
      <c r="QVT3" t="s">
        <v>12759</v>
      </c>
      <c r="QVU3" t="s">
        <v>12760</v>
      </c>
      <c r="QVV3" t="s">
        <v>12761</v>
      </c>
      <c r="QVW3" t="s">
        <v>12762</v>
      </c>
      <c r="QVX3" t="s">
        <v>12763</v>
      </c>
      <c r="QVY3" t="s">
        <v>12764</v>
      </c>
      <c r="QVZ3" t="s">
        <v>12765</v>
      </c>
      <c r="QWA3" t="s">
        <v>12766</v>
      </c>
      <c r="QWB3" t="s">
        <v>12767</v>
      </c>
      <c r="QWC3" t="s">
        <v>12768</v>
      </c>
      <c r="QWD3" t="s">
        <v>12769</v>
      </c>
      <c r="QWE3" t="s">
        <v>12770</v>
      </c>
      <c r="QWF3" t="s">
        <v>12771</v>
      </c>
      <c r="QWG3" t="s">
        <v>12772</v>
      </c>
      <c r="QWH3" t="s">
        <v>12773</v>
      </c>
      <c r="QWI3" t="s">
        <v>12774</v>
      </c>
      <c r="QWJ3" t="s">
        <v>12775</v>
      </c>
      <c r="QWK3" t="s">
        <v>12776</v>
      </c>
      <c r="QWL3" t="s">
        <v>12777</v>
      </c>
      <c r="QWM3" t="s">
        <v>12778</v>
      </c>
      <c r="QWN3" t="s">
        <v>12779</v>
      </c>
      <c r="QWO3" t="s">
        <v>12780</v>
      </c>
      <c r="QWP3" t="s">
        <v>12781</v>
      </c>
      <c r="QWQ3" t="s">
        <v>12782</v>
      </c>
      <c r="QWR3" t="s">
        <v>12783</v>
      </c>
      <c r="QWS3" t="s">
        <v>12784</v>
      </c>
      <c r="QWT3" t="s">
        <v>12785</v>
      </c>
      <c r="QWU3" t="s">
        <v>12786</v>
      </c>
      <c r="QWV3" t="s">
        <v>12787</v>
      </c>
      <c r="QWW3" t="s">
        <v>12788</v>
      </c>
      <c r="QWX3" t="s">
        <v>12789</v>
      </c>
      <c r="QWY3" t="s">
        <v>12790</v>
      </c>
      <c r="QWZ3" t="s">
        <v>12791</v>
      </c>
      <c r="QXA3" t="s">
        <v>12792</v>
      </c>
      <c r="QXB3" t="s">
        <v>12793</v>
      </c>
      <c r="QXC3" t="s">
        <v>12794</v>
      </c>
      <c r="QXD3" t="s">
        <v>12795</v>
      </c>
      <c r="QXE3" t="s">
        <v>12796</v>
      </c>
      <c r="QXF3" t="s">
        <v>12797</v>
      </c>
      <c r="QXG3" t="s">
        <v>12798</v>
      </c>
      <c r="QXH3" t="s">
        <v>12799</v>
      </c>
      <c r="QXI3" t="s">
        <v>12800</v>
      </c>
      <c r="QXJ3" t="s">
        <v>12801</v>
      </c>
      <c r="QXK3" t="s">
        <v>12802</v>
      </c>
      <c r="QXL3" t="s">
        <v>12803</v>
      </c>
      <c r="QXM3" t="s">
        <v>12804</v>
      </c>
      <c r="QXN3" t="s">
        <v>12805</v>
      </c>
      <c r="QXO3" t="s">
        <v>12806</v>
      </c>
      <c r="QXP3" t="s">
        <v>12807</v>
      </c>
      <c r="QXQ3" t="s">
        <v>12808</v>
      </c>
      <c r="QXR3" t="s">
        <v>12809</v>
      </c>
      <c r="QXS3" t="s">
        <v>12810</v>
      </c>
      <c r="QXT3" t="s">
        <v>12811</v>
      </c>
      <c r="QXU3" t="s">
        <v>12812</v>
      </c>
      <c r="QXV3" t="s">
        <v>12813</v>
      </c>
      <c r="QXW3" t="s">
        <v>12814</v>
      </c>
      <c r="QXX3" t="s">
        <v>12815</v>
      </c>
      <c r="QXY3" t="s">
        <v>12816</v>
      </c>
      <c r="QXZ3" t="s">
        <v>12817</v>
      </c>
      <c r="QYA3" t="s">
        <v>12818</v>
      </c>
      <c r="QYB3" t="s">
        <v>12819</v>
      </c>
      <c r="QYC3" t="s">
        <v>12820</v>
      </c>
      <c r="QYD3" t="s">
        <v>12821</v>
      </c>
      <c r="QYE3" t="s">
        <v>12822</v>
      </c>
      <c r="QYF3" t="s">
        <v>12823</v>
      </c>
      <c r="QYG3" t="s">
        <v>12824</v>
      </c>
      <c r="QYH3" t="s">
        <v>12825</v>
      </c>
      <c r="QYI3" t="s">
        <v>12826</v>
      </c>
      <c r="QYJ3" t="s">
        <v>12827</v>
      </c>
      <c r="QYK3" t="s">
        <v>12828</v>
      </c>
      <c r="QYL3" t="s">
        <v>12829</v>
      </c>
      <c r="QYM3" t="s">
        <v>12830</v>
      </c>
      <c r="QYN3" t="s">
        <v>12831</v>
      </c>
      <c r="QYO3" t="s">
        <v>12832</v>
      </c>
      <c r="QYP3" t="s">
        <v>12833</v>
      </c>
      <c r="QYQ3" t="s">
        <v>12834</v>
      </c>
      <c r="QYR3" t="s">
        <v>12835</v>
      </c>
      <c r="QYS3" t="s">
        <v>12836</v>
      </c>
      <c r="QYT3" t="s">
        <v>12837</v>
      </c>
      <c r="QYU3" t="s">
        <v>12838</v>
      </c>
      <c r="QYV3" t="s">
        <v>12839</v>
      </c>
      <c r="QYW3" t="s">
        <v>12840</v>
      </c>
      <c r="QYX3" t="s">
        <v>12841</v>
      </c>
      <c r="QYY3" t="s">
        <v>12842</v>
      </c>
      <c r="QYZ3" t="s">
        <v>12843</v>
      </c>
      <c r="QZA3" t="s">
        <v>12844</v>
      </c>
      <c r="QZB3" t="s">
        <v>12845</v>
      </c>
      <c r="QZC3" t="s">
        <v>12846</v>
      </c>
      <c r="QZD3" t="s">
        <v>12847</v>
      </c>
      <c r="QZE3" t="s">
        <v>12848</v>
      </c>
      <c r="QZF3" t="s">
        <v>12849</v>
      </c>
      <c r="QZG3" t="s">
        <v>12850</v>
      </c>
      <c r="QZH3" t="s">
        <v>12851</v>
      </c>
      <c r="QZI3" t="s">
        <v>12852</v>
      </c>
      <c r="QZJ3" t="s">
        <v>12853</v>
      </c>
      <c r="QZK3" t="s">
        <v>12854</v>
      </c>
      <c r="QZL3" t="s">
        <v>12855</v>
      </c>
      <c r="QZM3" t="s">
        <v>12856</v>
      </c>
      <c r="QZN3" t="s">
        <v>12857</v>
      </c>
      <c r="QZO3" t="s">
        <v>12858</v>
      </c>
      <c r="QZP3" t="s">
        <v>12859</v>
      </c>
      <c r="QZQ3" t="s">
        <v>12860</v>
      </c>
      <c r="QZR3" t="s">
        <v>12861</v>
      </c>
      <c r="QZS3" t="s">
        <v>12862</v>
      </c>
      <c r="QZT3" t="s">
        <v>12863</v>
      </c>
      <c r="QZU3" t="s">
        <v>12864</v>
      </c>
      <c r="QZV3" t="s">
        <v>12865</v>
      </c>
      <c r="QZW3" t="s">
        <v>12866</v>
      </c>
      <c r="QZX3" t="s">
        <v>12867</v>
      </c>
      <c r="QZY3" t="s">
        <v>12868</v>
      </c>
      <c r="QZZ3" t="s">
        <v>12869</v>
      </c>
      <c r="RAA3" t="s">
        <v>12870</v>
      </c>
      <c r="RAB3" t="s">
        <v>12871</v>
      </c>
      <c r="RAC3" t="s">
        <v>12872</v>
      </c>
      <c r="RAD3" t="s">
        <v>12873</v>
      </c>
      <c r="RAE3" t="s">
        <v>12874</v>
      </c>
      <c r="RAF3" t="s">
        <v>12875</v>
      </c>
      <c r="RAG3" t="s">
        <v>12876</v>
      </c>
      <c r="RAH3" t="s">
        <v>12877</v>
      </c>
      <c r="RAI3" t="s">
        <v>12878</v>
      </c>
      <c r="RAJ3" t="s">
        <v>12879</v>
      </c>
      <c r="RAK3" t="s">
        <v>12880</v>
      </c>
      <c r="RAL3" t="s">
        <v>12881</v>
      </c>
      <c r="RAM3" t="s">
        <v>12882</v>
      </c>
      <c r="RAN3" t="s">
        <v>12883</v>
      </c>
      <c r="RAO3" t="s">
        <v>12884</v>
      </c>
      <c r="RAP3" t="s">
        <v>12885</v>
      </c>
      <c r="RAQ3" t="s">
        <v>12886</v>
      </c>
      <c r="RAR3" t="s">
        <v>12887</v>
      </c>
      <c r="RAS3" t="s">
        <v>12888</v>
      </c>
      <c r="RAT3" t="s">
        <v>12889</v>
      </c>
      <c r="RAU3" t="s">
        <v>12890</v>
      </c>
      <c r="RAV3" t="s">
        <v>12891</v>
      </c>
      <c r="RAW3" t="s">
        <v>12892</v>
      </c>
      <c r="RAX3" t="s">
        <v>12893</v>
      </c>
      <c r="RAY3" t="s">
        <v>12894</v>
      </c>
      <c r="RAZ3" t="s">
        <v>12895</v>
      </c>
      <c r="RBA3" t="s">
        <v>12896</v>
      </c>
      <c r="RBB3" t="s">
        <v>12897</v>
      </c>
      <c r="RBC3" t="s">
        <v>12898</v>
      </c>
      <c r="RBD3" t="s">
        <v>12899</v>
      </c>
      <c r="RBE3" t="s">
        <v>12900</v>
      </c>
      <c r="RBF3" t="s">
        <v>12901</v>
      </c>
      <c r="RBG3" t="s">
        <v>12902</v>
      </c>
      <c r="RBH3" t="s">
        <v>12903</v>
      </c>
      <c r="RBI3" t="s">
        <v>12904</v>
      </c>
      <c r="RBJ3" t="s">
        <v>12905</v>
      </c>
      <c r="RBK3" t="s">
        <v>12906</v>
      </c>
      <c r="RBL3" t="s">
        <v>12907</v>
      </c>
      <c r="RBM3" t="s">
        <v>12908</v>
      </c>
      <c r="RBN3" t="s">
        <v>12909</v>
      </c>
      <c r="RBO3" t="s">
        <v>12910</v>
      </c>
      <c r="RBP3" t="s">
        <v>12911</v>
      </c>
      <c r="RBQ3" t="s">
        <v>12912</v>
      </c>
      <c r="RBR3" t="s">
        <v>12913</v>
      </c>
      <c r="RBS3" t="s">
        <v>12914</v>
      </c>
      <c r="RBT3" t="s">
        <v>12915</v>
      </c>
      <c r="RBU3" t="s">
        <v>12916</v>
      </c>
      <c r="RBV3" t="s">
        <v>12917</v>
      </c>
      <c r="RBW3" t="s">
        <v>12918</v>
      </c>
      <c r="RBX3" t="s">
        <v>12919</v>
      </c>
      <c r="RBY3" t="s">
        <v>12920</v>
      </c>
      <c r="RBZ3" t="s">
        <v>12921</v>
      </c>
      <c r="RCA3" t="s">
        <v>12922</v>
      </c>
      <c r="RCB3" t="s">
        <v>12923</v>
      </c>
      <c r="RCC3" t="s">
        <v>12924</v>
      </c>
      <c r="RCD3" t="s">
        <v>12925</v>
      </c>
      <c r="RCE3" t="s">
        <v>12926</v>
      </c>
      <c r="RCF3" t="s">
        <v>12927</v>
      </c>
      <c r="RCG3" t="s">
        <v>12928</v>
      </c>
      <c r="RCH3" t="s">
        <v>12929</v>
      </c>
      <c r="RCI3" t="s">
        <v>12930</v>
      </c>
      <c r="RCJ3" t="s">
        <v>12931</v>
      </c>
      <c r="RCK3" t="s">
        <v>12932</v>
      </c>
      <c r="RCL3" t="s">
        <v>12933</v>
      </c>
      <c r="RCM3" t="s">
        <v>12934</v>
      </c>
      <c r="RCN3" t="s">
        <v>12935</v>
      </c>
      <c r="RCO3" t="s">
        <v>12936</v>
      </c>
      <c r="RCP3" t="s">
        <v>12937</v>
      </c>
      <c r="RCQ3" t="s">
        <v>12938</v>
      </c>
      <c r="RCR3" t="s">
        <v>12939</v>
      </c>
      <c r="RCS3" t="s">
        <v>12940</v>
      </c>
      <c r="RCT3" t="s">
        <v>12941</v>
      </c>
      <c r="RCU3" t="s">
        <v>12942</v>
      </c>
      <c r="RCV3" t="s">
        <v>12943</v>
      </c>
      <c r="RCW3" t="s">
        <v>12944</v>
      </c>
      <c r="RCX3" t="s">
        <v>12945</v>
      </c>
      <c r="RCY3" t="s">
        <v>12946</v>
      </c>
      <c r="RCZ3" t="s">
        <v>12947</v>
      </c>
      <c r="RDA3" t="s">
        <v>12948</v>
      </c>
      <c r="RDB3" t="s">
        <v>12949</v>
      </c>
      <c r="RDC3" t="s">
        <v>12950</v>
      </c>
      <c r="RDD3" t="s">
        <v>12951</v>
      </c>
      <c r="RDE3" t="s">
        <v>12952</v>
      </c>
      <c r="RDF3" t="s">
        <v>12953</v>
      </c>
      <c r="RDG3" t="s">
        <v>12954</v>
      </c>
      <c r="RDH3" t="s">
        <v>12955</v>
      </c>
      <c r="RDI3" t="s">
        <v>12956</v>
      </c>
      <c r="RDJ3" t="s">
        <v>12957</v>
      </c>
      <c r="RDK3" t="s">
        <v>12958</v>
      </c>
      <c r="RDL3" t="s">
        <v>12959</v>
      </c>
      <c r="RDM3" t="s">
        <v>12960</v>
      </c>
      <c r="RDN3" t="s">
        <v>12961</v>
      </c>
      <c r="RDO3" t="s">
        <v>12962</v>
      </c>
      <c r="RDP3" t="s">
        <v>12963</v>
      </c>
      <c r="RDQ3" t="s">
        <v>12964</v>
      </c>
      <c r="RDR3" t="s">
        <v>12965</v>
      </c>
      <c r="RDS3" t="s">
        <v>12966</v>
      </c>
      <c r="RDT3" t="s">
        <v>12967</v>
      </c>
      <c r="RDU3" t="s">
        <v>12968</v>
      </c>
      <c r="RDV3" t="s">
        <v>12969</v>
      </c>
      <c r="RDW3" t="s">
        <v>12970</v>
      </c>
      <c r="RDX3" t="s">
        <v>12971</v>
      </c>
      <c r="RDY3" t="s">
        <v>12972</v>
      </c>
      <c r="RDZ3" t="s">
        <v>12973</v>
      </c>
      <c r="REA3" t="s">
        <v>12974</v>
      </c>
      <c r="REB3" t="s">
        <v>12975</v>
      </c>
      <c r="REC3" t="s">
        <v>12976</v>
      </c>
      <c r="RED3" t="s">
        <v>12977</v>
      </c>
      <c r="REE3" t="s">
        <v>12978</v>
      </c>
      <c r="REF3" t="s">
        <v>12979</v>
      </c>
      <c r="REG3" t="s">
        <v>12980</v>
      </c>
      <c r="REH3" t="s">
        <v>12981</v>
      </c>
      <c r="REI3" t="s">
        <v>12982</v>
      </c>
      <c r="REJ3" t="s">
        <v>12983</v>
      </c>
      <c r="REK3" t="s">
        <v>12984</v>
      </c>
      <c r="REL3" t="s">
        <v>12985</v>
      </c>
      <c r="REM3" t="s">
        <v>12986</v>
      </c>
      <c r="REN3" t="s">
        <v>12987</v>
      </c>
      <c r="REO3" t="s">
        <v>12988</v>
      </c>
      <c r="REP3" t="s">
        <v>12989</v>
      </c>
      <c r="REQ3" t="s">
        <v>12990</v>
      </c>
      <c r="RER3" t="s">
        <v>12991</v>
      </c>
      <c r="RES3" t="s">
        <v>12992</v>
      </c>
      <c r="RET3" t="s">
        <v>12993</v>
      </c>
      <c r="REU3" t="s">
        <v>12994</v>
      </c>
      <c r="REV3" t="s">
        <v>12995</v>
      </c>
      <c r="REW3" t="s">
        <v>12996</v>
      </c>
      <c r="REX3" t="s">
        <v>12997</v>
      </c>
      <c r="REY3" t="s">
        <v>12998</v>
      </c>
      <c r="REZ3" t="s">
        <v>12999</v>
      </c>
      <c r="RFA3" t="s">
        <v>13000</v>
      </c>
      <c r="RFB3" t="s">
        <v>13001</v>
      </c>
      <c r="RFC3" t="s">
        <v>13002</v>
      </c>
      <c r="RFD3" t="s">
        <v>13003</v>
      </c>
      <c r="RFE3" t="s">
        <v>13004</v>
      </c>
      <c r="RFF3" t="s">
        <v>13005</v>
      </c>
      <c r="RFG3" t="s">
        <v>13006</v>
      </c>
      <c r="RFH3" t="s">
        <v>13007</v>
      </c>
      <c r="RFI3" t="s">
        <v>13008</v>
      </c>
      <c r="RFJ3" t="s">
        <v>13009</v>
      </c>
      <c r="RFK3" t="s">
        <v>13010</v>
      </c>
      <c r="RFL3" t="s">
        <v>13011</v>
      </c>
      <c r="RFM3" t="s">
        <v>13012</v>
      </c>
      <c r="RFN3" t="s">
        <v>13013</v>
      </c>
      <c r="RFO3" t="s">
        <v>13014</v>
      </c>
      <c r="RFP3" t="s">
        <v>13015</v>
      </c>
      <c r="RFQ3" t="s">
        <v>13016</v>
      </c>
      <c r="RFR3" t="s">
        <v>13017</v>
      </c>
      <c r="RFS3" t="s">
        <v>13018</v>
      </c>
      <c r="RFT3" t="s">
        <v>13019</v>
      </c>
      <c r="RFU3" t="s">
        <v>13020</v>
      </c>
      <c r="RFV3" t="s">
        <v>13021</v>
      </c>
      <c r="RFW3" t="s">
        <v>13022</v>
      </c>
      <c r="RFX3" t="s">
        <v>13023</v>
      </c>
      <c r="RFY3" t="s">
        <v>13024</v>
      </c>
      <c r="RFZ3" t="s">
        <v>13025</v>
      </c>
      <c r="RGA3" t="s">
        <v>13026</v>
      </c>
      <c r="RGB3" t="s">
        <v>13027</v>
      </c>
      <c r="RGC3" t="s">
        <v>13028</v>
      </c>
      <c r="RGD3" t="s">
        <v>13029</v>
      </c>
      <c r="RGE3" t="s">
        <v>13030</v>
      </c>
      <c r="RGF3" t="s">
        <v>13031</v>
      </c>
      <c r="RGG3" t="s">
        <v>13032</v>
      </c>
      <c r="RGH3" t="s">
        <v>13033</v>
      </c>
      <c r="RGI3" t="s">
        <v>13034</v>
      </c>
      <c r="RGJ3" t="s">
        <v>13035</v>
      </c>
      <c r="RGK3" t="s">
        <v>13036</v>
      </c>
      <c r="RGL3" t="s">
        <v>13037</v>
      </c>
      <c r="RGM3" t="s">
        <v>13038</v>
      </c>
      <c r="RGN3" t="s">
        <v>13039</v>
      </c>
      <c r="RGO3" t="s">
        <v>13040</v>
      </c>
      <c r="RGP3" t="s">
        <v>13041</v>
      </c>
      <c r="RGQ3" t="s">
        <v>13042</v>
      </c>
      <c r="RGR3" t="s">
        <v>13043</v>
      </c>
      <c r="RGS3" t="s">
        <v>13044</v>
      </c>
      <c r="RGT3" t="s">
        <v>13045</v>
      </c>
      <c r="RGU3" t="s">
        <v>13046</v>
      </c>
      <c r="RGV3" t="s">
        <v>13047</v>
      </c>
      <c r="RGW3" t="s">
        <v>13048</v>
      </c>
      <c r="RGX3" t="s">
        <v>13049</v>
      </c>
      <c r="RGY3" t="s">
        <v>13050</v>
      </c>
      <c r="RGZ3" t="s">
        <v>13051</v>
      </c>
      <c r="RHA3" t="s">
        <v>13052</v>
      </c>
      <c r="RHB3" t="s">
        <v>13053</v>
      </c>
      <c r="RHC3" t="s">
        <v>13054</v>
      </c>
      <c r="RHD3" t="s">
        <v>13055</v>
      </c>
      <c r="RHE3" t="s">
        <v>13056</v>
      </c>
      <c r="RHF3" t="s">
        <v>13057</v>
      </c>
      <c r="RHG3" t="s">
        <v>13058</v>
      </c>
      <c r="RHH3" t="s">
        <v>13059</v>
      </c>
      <c r="RHI3" t="s">
        <v>13060</v>
      </c>
      <c r="RHJ3" t="s">
        <v>13061</v>
      </c>
      <c r="RHK3" t="s">
        <v>13062</v>
      </c>
      <c r="RHL3" t="s">
        <v>13063</v>
      </c>
      <c r="RHM3" t="s">
        <v>13064</v>
      </c>
      <c r="RHN3" t="s">
        <v>13065</v>
      </c>
      <c r="RHO3" t="s">
        <v>13066</v>
      </c>
      <c r="RHP3" t="s">
        <v>13067</v>
      </c>
      <c r="RHQ3" t="s">
        <v>13068</v>
      </c>
      <c r="RHR3" t="s">
        <v>13069</v>
      </c>
      <c r="RHS3" t="s">
        <v>13070</v>
      </c>
      <c r="RHT3" t="s">
        <v>13071</v>
      </c>
      <c r="RHU3" t="s">
        <v>13072</v>
      </c>
      <c r="RHV3" t="s">
        <v>13073</v>
      </c>
      <c r="RHW3" t="s">
        <v>13074</v>
      </c>
      <c r="RHX3" t="s">
        <v>13075</v>
      </c>
      <c r="RHY3" t="s">
        <v>13076</v>
      </c>
      <c r="RHZ3" t="s">
        <v>13077</v>
      </c>
      <c r="RIA3" t="s">
        <v>13078</v>
      </c>
      <c r="RIB3" t="s">
        <v>13079</v>
      </c>
      <c r="RIC3" t="s">
        <v>13080</v>
      </c>
      <c r="RID3" t="s">
        <v>13081</v>
      </c>
      <c r="RIE3" t="s">
        <v>13082</v>
      </c>
      <c r="RIF3" t="s">
        <v>13083</v>
      </c>
      <c r="RIG3" t="s">
        <v>13084</v>
      </c>
      <c r="RIH3" t="s">
        <v>13085</v>
      </c>
      <c r="RII3" t="s">
        <v>13086</v>
      </c>
      <c r="RIJ3" t="s">
        <v>13087</v>
      </c>
      <c r="RIK3" t="s">
        <v>13088</v>
      </c>
      <c r="RIL3" t="s">
        <v>13089</v>
      </c>
      <c r="RIM3" t="s">
        <v>13090</v>
      </c>
      <c r="RIN3" t="s">
        <v>13091</v>
      </c>
      <c r="RIO3" t="s">
        <v>13092</v>
      </c>
      <c r="RIP3" t="s">
        <v>13093</v>
      </c>
      <c r="RIQ3" t="s">
        <v>13094</v>
      </c>
      <c r="RIR3" t="s">
        <v>13095</v>
      </c>
      <c r="RIS3" t="s">
        <v>13096</v>
      </c>
      <c r="RIT3" t="s">
        <v>13097</v>
      </c>
      <c r="RIU3" t="s">
        <v>13098</v>
      </c>
      <c r="RIV3" t="s">
        <v>13099</v>
      </c>
      <c r="RIW3" t="s">
        <v>13100</v>
      </c>
      <c r="RIX3" t="s">
        <v>13101</v>
      </c>
      <c r="RIY3" t="s">
        <v>13102</v>
      </c>
      <c r="RIZ3" t="s">
        <v>13103</v>
      </c>
      <c r="RJA3" t="s">
        <v>13104</v>
      </c>
      <c r="RJB3" t="s">
        <v>13105</v>
      </c>
      <c r="RJC3" t="s">
        <v>13106</v>
      </c>
      <c r="RJD3" t="s">
        <v>13107</v>
      </c>
      <c r="RJE3" t="s">
        <v>13108</v>
      </c>
      <c r="RJF3" t="s">
        <v>13109</v>
      </c>
      <c r="RJG3" t="s">
        <v>13110</v>
      </c>
      <c r="RJH3" t="s">
        <v>13111</v>
      </c>
      <c r="RJI3" t="s">
        <v>13112</v>
      </c>
      <c r="RJJ3" t="s">
        <v>13113</v>
      </c>
      <c r="RJK3" t="s">
        <v>13114</v>
      </c>
      <c r="RJL3" t="s">
        <v>13115</v>
      </c>
      <c r="RJM3" t="s">
        <v>13116</v>
      </c>
      <c r="RJN3" t="s">
        <v>13117</v>
      </c>
      <c r="RJO3" t="s">
        <v>13118</v>
      </c>
      <c r="RJP3" t="s">
        <v>13119</v>
      </c>
      <c r="RJQ3" t="s">
        <v>13120</v>
      </c>
      <c r="RJR3" t="s">
        <v>13121</v>
      </c>
      <c r="RJS3" t="s">
        <v>13122</v>
      </c>
      <c r="RJT3" t="s">
        <v>13123</v>
      </c>
      <c r="RJU3" t="s">
        <v>13124</v>
      </c>
      <c r="RJV3" t="s">
        <v>13125</v>
      </c>
      <c r="RJW3" t="s">
        <v>13126</v>
      </c>
      <c r="RJX3" t="s">
        <v>13127</v>
      </c>
      <c r="RJY3" t="s">
        <v>13128</v>
      </c>
      <c r="RJZ3" t="s">
        <v>13129</v>
      </c>
      <c r="RKA3" t="s">
        <v>13130</v>
      </c>
      <c r="RKB3" t="s">
        <v>13131</v>
      </c>
      <c r="RKC3" t="s">
        <v>13132</v>
      </c>
      <c r="RKD3" t="s">
        <v>13133</v>
      </c>
      <c r="RKE3" t="s">
        <v>13134</v>
      </c>
      <c r="RKF3" t="s">
        <v>13135</v>
      </c>
      <c r="RKG3" t="s">
        <v>13136</v>
      </c>
      <c r="RKH3" t="s">
        <v>13137</v>
      </c>
      <c r="RKI3" t="s">
        <v>13138</v>
      </c>
      <c r="RKJ3" t="s">
        <v>13139</v>
      </c>
      <c r="RKK3" t="s">
        <v>13140</v>
      </c>
      <c r="RKL3" t="s">
        <v>13141</v>
      </c>
      <c r="RKM3" t="s">
        <v>13142</v>
      </c>
      <c r="RKN3" t="s">
        <v>13143</v>
      </c>
      <c r="RKO3" t="s">
        <v>13144</v>
      </c>
      <c r="RKP3" t="s">
        <v>13145</v>
      </c>
      <c r="RKQ3" t="s">
        <v>13146</v>
      </c>
      <c r="RKR3" t="s">
        <v>13147</v>
      </c>
      <c r="RKS3" t="s">
        <v>13148</v>
      </c>
      <c r="RKT3" t="s">
        <v>13149</v>
      </c>
      <c r="RKU3" t="s">
        <v>13150</v>
      </c>
      <c r="RKV3" t="s">
        <v>13151</v>
      </c>
      <c r="RKW3" t="s">
        <v>13152</v>
      </c>
      <c r="RKX3" t="s">
        <v>13153</v>
      </c>
      <c r="RKY3" t="s">
        <v>13154</v>
      </c>
      <c r="RKZ3" t="s">
        <v>13155</v>
      </c>
      <c r="RLA3" t="s">
        <v>13156</v>
      </c>
      <c r="RLB3" t="s">
        <v>13157</v>
      </c>
      <c r="RLC3" t="s">
        <v>13158</v>
      </c>
      <c r="RLD3" t="s">
        <v>13159</v>
      </c>
      <c r="RLE3" t="s">
        <v>13160</v>
      </c>
      <c r="RLF3" t="s">
        <v>13161</v>
      </c>
      <c r="RLG3" t="s">
        <v>13162</v>
      </c>
      <c r="RLH3" t="s">
        <v>13163</v>
      </c>
      <c r="RLI3" t="s">
        <v>13164</v>
      </c>
      <c r="RLJ3" t="s">
        <v>13165</v>
      </c>
      <c r="RLK3" t="s">
        <v>13166</v>
      </c>
      <c r="RLL3" t="s">
        <v>13167</v>
      </c>
      <c r="RLM3" t="s">
        <v>13168</v>
      </c>
      <c r="RLN3" t="s">
        <v>13169</v>
      </c>
      <c r="RLO3" t="s">
        <v>13170</v>
      </c>
      <c r="RLP3" t="s">
        <v>13171</v>
      </c>
      <c r="RLQ3" t="s">
        <v>13172</v>
      </c>
      <c r="RLR3" t="s">
        <v>13173</v>
      </c>
      <c r="RLS3" t="s">
        <v>13174</v>
      </c>
      <c r="RLT3" t="s">
        <v>13175</v>
      </c>
      <c r="RLU3" t="s">
        <v>13176</v>
      </c>
      <c r="RLV3" t="s">
        <v>13177</v>
      </c>
      <c r="RLW3" t="s">
        <v>13178</v>
      </c>
      <c r="RLX3" t="s">
        <v>13179</v>
      </c>
      <c r="RLY3" t="s">
        <v>13180</v>
      </c>
      <c r="RLZ3" t="s">
        <v>13181</v>
      </c>
      <c r="RMA3" t="s">
        <v>13182</v>
      </c>
      <c r="RMB3" t="s">
        <v>13183</v>
      </c>
      <c r="RMC3" t="s">
        <v>13184</v>
      </c>
      <c r="RMD3" t="s">
        <v>13185</v>
      </c>
      <c r="RME3" t="s">
        <v>13186</v>
      </c>
      <c r="RMF3" t="s">
        <v>13187</v>
      </c>
      <c r="RMG3" t="s">
        <v>13188</v>
      </c>
      <c r="RMH3" t="s">
        <v>13189</v>
      </c>
      <c r="RMI3" t="s">
        <v>13190</v>
      </c>
      <c r="RMJ3" t="s">
        <v>13191</v>
      </c>
      <c r="RMK3" t="s">
        <v>13192</v>
      </c>
      <c r="RML3" t="s">
        <v>13193</v>
      </c>
      <c r="RMM3" t="s">
        <v>13194</v>
      </c>
      <c r="RMN3" t="s">
        <v>13195</v>
      </c>
      <c r="RMO3" t="s">
        <v>13196</v>
      </c>
      <c r="RMP3" t="s">
        <v>13197</v>
      </c>
      <c r="RMQ3" t="s">
        <v>13198</v>
      </c>
      <c r="RMR3" t="s">
        <v>13199</v>
      </c>
      <c r="RMS3" t="s">
        <v>13200</v>
      </c>
      <c r="RMT3" t="s">
        <v>13201</v>
      </c>
      <c r="RMU3" t="s">
        <v>13202</v>
      </c>
      <c r="RMV3" t="s">
        <v>13203</v>
      </c>
      <c r="RMW3" t="s">
        <v>13204</v>
      </c>
      <c r="RMX3" t="s">
        <v>13205</v>
      </c>
      <c r="RMY3" t="s">
        <v>13206</v>
      </c>
      <c r="RMZ3" t="s">
        <v>13207</v>
      </c>
      <c r="RNA3" t="s">
        <v>13208</v>
      </c>
      <c r="RNB3" t="s">
        <v>13209</v>
      </c>
      <c r="RNC3" t="s">
        <v>13210</v>
      </c>
      <c r="RND3" t="s">
        <v>13211</v>
      </c>
      <c r="RNE3" t="s">
        <v>13212</v>
      </c>
      <c r="RNF3" t="s">
        <v>13213</v>
      </c>
      <c r="RNG3" t="s">
        <v>13214</v>
      </c>
      <c r="RNH3" t="s">
        <v>13215</v>
      </c>
      <c r="RNI3" t="s">
        <v>13216</v>
      </c>
      <c r="RNJ3" t="s">
        <v>13217</v>
      </c>
      <c r="RNK3" t="s">
        <v>13218</v>
      </c>
      <c r="RNL3" t="s">
        <v>13219</v>
      </c>
      <c r="RNM3" t="s">
        <v>13220</v>
      </c>
      <c r="RNN3" t="s">
        <v>13221</v>
      </c>
      <c r="RNO3" t="s">
        <v>13222</v>
      </c>
      <c r="RNP3" t="s">
        <v>13223</v>
      </c>
      <c r="RNQ3" t="s">
        <v>13224</v>
      </c>
      <c r="RNR3" t="s">
        <v>13225</v>
      </c>
      <c r="RNS3" t="s">
        <v>13226</v>
      </c>
      <c r="RNT3" t="s">
        <v>13227</v>
      </c>
      <c r="RNU3" t="s">
        <v>13228</v>
      </c>
      <c r="RNV3" t="s">
        <v>13229</v>
      </c>
      <c r="RNW3" t="s">
        <v>13230</v>
      </c>
      <c r="RNX3" t="s">
        <v>13231</v>
      </c>
      <c r="RNY3" t="s">
        <v>13232</v>
      </c>
      <c r="RNZ3" t="s">
        <v>13233</v>
      </c>
      <c r="ROA3" t="s">
        <v>13234</v>
      </c>
      <c r="ROB3" t="s">
        <v>13235</v>
      </c>
      <c r="ROC3" t="s">
        <v>13236</v>
      </c>
      <c r="ROD3" t="s">
        <v>13237</v>
      </c>
      <c r="ROE3" t="s">
        <v>13238</v>
      </c>
      <c r="ROF3" t="s">
        <v>13239</v>
      </c>
      <c r="ROG3" t="s">
        <v>13240</v>
      </c>
      <c r="ROH3" t="s">
        <v>13241</v>
      </c>
      <c r="ROI3" t="s">
        <v>13242</v>
      </c>
      <c r="ROJ3" t="s">
        <v>13243</v>
      </c>
      <c r="ROK3" t="s">
        <v>13244</v>
      </c>
      <c r="ROL3" t="s">
        <v>13245</v>
      </c>
      <c r="ROM3" t="s">
        <v>13246</v>
      </c>
      <c r="RON3" t="s">
        <v>13247</v>
      </c>
      <c r="ROO3" t="s">
        <v>13248</v>
      </c>
      <c r="ROP3" t="s">
        <v>13249</v>
      </c>
      <c r="ROQ3" t="s">
        <v>13250</v>
      </c>
      <c r="ROR3" t="s">
        <v>13251</v>
      </c>
      <c r="ROS3" t="s">
        <v>13252</v>
      </c>
      <c r="ROT3" t="s">
        <v>13253</v>
      </c>
      <c r="ROU3" t="s">
        <v>13254</v>
      </c>
      <c r="ROV3" t="s">
        <v>13255</v>
      </c>
      <c r="ROW3" t="s">
        <v>13256</v>
      </c>
      <c r="ROX3" t="s">
        <v>13257</v>
      </c>
      <c r="ROY3" t="s">
        <v>13258</v>
      </c>
      <c r="ROZ3" t="s">
        <v>13259</v>
      </c>
      <c r="RPA3" t="s">
        <v>13260</v>
      </c>
      <c r="RPB3" t="s">
        <v>13261</v>
      </c>
      <c r="RPC3" t="s">
        <v>13262</v>
      </c>
      <c r="RPD3" t="s">
        <v>13263</v>
      </c>
      <c r="RPE3" t="s">
        <v>13264</v>
      </c>
      <c r="RPF3" t="s">
        <v>13265</v>
      </c>
      <c r="RPG3" t="s">
        <v>13266</v>
      </c>
      <c r="RPH3" t="s">
        <v>13267</v>
      </c>
      <c r="RPI3" t="s">
        <v>13268</v>
      </c>
      <c r="RPJ3" t="s">
        <v>13269</v>
      </c>
      <c r="RPK3" t="s">
        <v>13270</v>
      </c>
      <c r="RPL3" t="s">
        <v>13271</v>
      </c>
      <c r="RPM3" t="s">
        <v>13272</v>
      </c>
      <c r="RPN3" t="s">
        <v>13273</v>
      </c>
      <c r="RPO3" t="s">
        <v>13274</v>
      </c>
      <c r="RPP3" t="s">
        <v>13275</v>
      </c>
      <c r="RPQ3" t="s">
        <v>13276</v>
      </c>
      <c r="RPR3" t="s">
        <v>13277</v>
      </c>
      <c r="RPS3" t="s">
        <v>13278</v>
      </c>
      <c r="RPT3" t="s">
        <v>13279</v>
      </c>
      <c r="RPU3" t="s">
        <v>13280</v>
      </c>
      <c r="RPV3" t="s">
        <v>13281</v>
      </c>
      <c r="RPW3" t="s">
        <v>13282</v>
      </c>
      <c r="RPX3" t="s">
        <v>13283</v>
      </c>
      <c r="RPY3" t="s">
        <v>13284</v>
      </c>
      <c r="RPZ3" t="s">
        <v>13285</v>
      </c>
      <c r="RQA3" t="s">
        <v>13286</v>
      </c>
      <c r="RQB3" t="s">
        <v>13287</v>
      </c>
      <c r="RQC3" t="s">
        <v>13288</v>
      </c>
      <c r="RQD3" t="s">
        <v>13289</v>
      </c>
      <c r="RQE3" t="s">
        <v>13290</v>
      </c>
      <c r="RQF3" t="s">
        <v>13291</v>
      </c>
      <c r="RQG3" t="s">
        <v>13292</v>
      </c>
      <c r="RQH3" t="s">
        <v>13293</v>
      </c>
      <c r="RQI3" t="s">
        <v>13294</v>
      </c>
      <c r="RQJ3" t="s">
        <v>13295</v>
      </c>
      <c r="RQK3" t="s">
        <v>13296</v>
      </c>
      <c r="RQL3" t="s">
        <v>13297</v>
      </c>
      <c r="RQM3" t="s">
        <v>13298</v>
      </c>
      <c r="RQN3" t="s">
        <v>13299</v>
      </c>
      <c r="RQO3" t="s">
        <v>13300</v>
      </c>
      <c r="RQP3" t="s">
        <v>13301</v>
      </c>
      <c r="RQQ3" t="s">
        <v>13302</v>
      </c>
      <c r="RQR3" t="s">
        <v>13303</v>
      </c>
      <c r="RQS3" t="s">
        <v>13304</v>
      </c>
      <c r="RQT3" t="s">
        <v>13305</v>
      </c>
      <c r="RQU3" t="s">
        <v>13306</v>
      </c>
      <c r="RQV3" t="s">
        <v>13307</v>
      </c>
      <c r="RQW3" t="s">
        <v>13308</v>
      </c>
      <c r="RQX3" t="s">
        <v>13309</v>
      </c>
      <c r="RQY3" t="s">
        <v>13310</v>
      </c>
      <c r="RQZ3" t="s">
        <v>13311</v>
      </c>
      <c r="RRA3" t="s">
        <v>13312</v>
      </c>
      <c r="RRB3" t="s">
        <v>13313</v>
      </c>
      <c r="RRC3" t="s">
        <v>13314</v>
      </c>
      <c r="RRD3" t="s">
        <v>13315</v>
      </c>
      <c r="RRE3" t="s">
        <v>13316</v>
      </c>
      <c r="RRF3" t="s">
        <v>13317</v>
      </c>
      <c r="RRG3" t="s">
        <v>13318</v>
      </c>
      <c r="RRH3" t="s">
        <v>13319</v>
      </c>
      <c r="RRI3" t="s">
        <v>13320</v>
      </c>
      <c r="RRJ3" t="s">
        <v>13321</v>
      </c>
      <c r="RRK3" t="s">
        <v>13322</v>
      </c>
      <c r="RRL3" t="s">
        <v>13323</v>
      </c>
      <c r="RRM3" t="s">
        <v>13324</v>
      </c>
      <c r="RRN3" t="s">
        <v>13325</v>
      </c>
      <c r="RRO3" t="s">
        <v>13326</v>
      </c>
      <c r="RRP3" t="s">
        <v>13327</v>
      </c>
      <c r="RRQ3" t="s">
        <v>13328</v>
      </c>
      <c r="RRR3" t="s">
        <v>13329</v>
      </c>
      <c r="RRS3" t="s">
        <v>13330</v>
      </c>
      <c r="RRT3" t="s">
        <v>13331</v>
      </c>
      <c r="RRU3" t="s">
        <v>13332</v>
      </c>
      <c r="RRV3" t="s">
        <v>13333</v>
      </c>
      <c r="RRW3" t="s">
        <v>13334</v>
      </c>
      <c r="RRX3" t="s">
        <v>13335</v>
      </c>
      <c r="RRY3" t="s">
        <v>13336</v>
      </c>
      <c r="RRZ3" t="s">
        <v>13337</v>
      </c>
      <c r="RSA3" t="s">
        <v>13338</v>
      </c>
      <c r="RSB3" t="s">
        <v>13339</v>
      </c>
      <c r="RSC3" t="s">
        <v>13340</v>
      </c>
      <c r="RSD3" t="s">
        <v>13341</v>
      </c>
      <c r="RSE3" t="s">
        <v>13342</v>
      </c>
      <c r="RSF3" t="s">
        <v>13343</v>
      </c>
      <c r="RSG3" t="s">
        <v>13344</v>
      </c>
      <c r="RSH3" t="s">
        <v>13345</v>
      </c>
      <c r="RSI3" t="s">
        <v>13346</v>
      </c>
      <c r="RSJ3" t="s">
        <v>13347</v>
      </c>
      <c r="RSK3" t="s">
        <v>13348</v>
      </c>
      <c r="RSL3" t="s">
        <v>13349</v>
      </c>
      <c r="RSM3" t="s">
        <v>13350</v>
      </c>
      <c r="RSN3" t="s">
        <v>13351</v>
      </c>
      <c r="RSO3" t="s">
        <v>13352</v>
      </c>
      <c r="RSP3" t="s">
        <v>13353</v>
      </c>
      <c r="RSQ3" t="s">
        <v>13354</v>
      </c>
      <c r="RSR3" t="s">
        <v>13355</v>
      </c>
      <c r="RSS3" t="s">
        <v>13356</v>
      </c>
      <c r="RST3" t="s">
        <v>13357</v>
      </c>
      <c r="RSU3" t="s">
        <v>13358</v>
      </c>
      <c r="RSV3" t="s">
        <v>13359</v>
      </c>
      <c r="RSW3" t="s">
        <v>13360</v>
      </c>
      <c r="RSX3" t="s">
        <v>13361</v>
      </c>
      <c r="RSY3" t="s">
        <v>13362</v>
      </c>
      <c r="RSZ3" t="s">
        <v>13363</v>
      </c>
      <c r="RTA3" t="s">
        <v>13364</v>
      </c>
      <c r="RTB3" t="s">
        <v>13365</v>
      </c>
      <c r="RTC3" t="s">
        <v>13366</v>
      </c>
      <c r="RTD3" t="s">
        <v>13367</v>
      </c>
      <c r="RTE3" t="s">
        <v>13368</v>
      </c>
      <c r="RTF3" t="s">
        <v>13369</v>
      </c>
      <c r="RTG3" t="s">
        <v>13370</v>
      </c>
      <c r="RTH3" t="s">
        <v>13371</v>
      </c>
      <c r="RTI3" t="s">
        <v>13372</v>
      </c>
      <c r="RTJ3" t="s">
        <v>13373</v>
      </c>
      <c r="RTK3" t="s">
        <v>13374</v>
      </c>
      <c r="RTL3" t="s">
        <v>13375</v>
      </c>
      <c r="RTM3" t="s">
        <v>13376</v>
      </c>
      <c r="RTN3" t="s">
        <v>13377</v>
      </c>
      <c r="RTO3" t="s">
        <v>13378</v>
      </c>
      <c r="RTP3" t="s">
        <v>13379</v>
      </c>
      <c r="RTQ3" t="s">
        <v>13380</v>
      </c>
      <c r="RTR3" t="s">
        <v>13381</v>
      </c>
      <c r="RTS3" t="s">
        <v>13382</v>
      </c>
      <c r="RTT3" t="s">
        <v>13383</v>
      </c>
      <c r="RTU3" t="s">
        <v>13384</v>
      </c>
      <c r="RTV3" t="s">
        <v>13385</v>
      </c>
      <c r="RTW3" t="s">
        <v>13386</v>
      </c>
      <c r="RTX3" t="s">
        <v>13387</v>
      </c>
      <c r="RTY3" t="s">
        <v>13388</v>
      </c>
      <c r="RTZ3" t="s">
        <v>13389</v>
      </c>
      <c r="RUA3" t="s">
        <v>13390</v>
      </c>
      <c r="RUB3" t="s">
        <v>13391</v>
      </c>
      <c r="RUC3" t="s">
        <v>13392</v>
      </c>
      <c r="RUD3" t="s">
        <v>13393</v>
      </c>
      <c r="RUE3" t="s">
        <v>13394</v>
      </c>
      <c r="RUF3" t="s">
        <v>13395</v>
      </c>
      <c r="RUG3" t="s">
        <v>13396</v>
      </c>
      <c r="RUH3" t="s">
        <v>13397</v>
      </c>
      <c r="RUI3" t="s">
        <v>13398</v>
      </c>
      <c r="RUJ3" t="s">
        <v>13399</v>
      </c>
      <c r="RUK3" t="s">
        <v>13400</v>
      </c>
      <c r="RUL3" t="s">
        <v>13401</v>
      </c>
      <c r="RUM3" t="s">
        <v>13402</v>
      </c>
      <c r="RUN3" t="s">
        <v>13403</v>
      </c>
      <c r="RUO3" t="s">
        <v>13404</v>
      </c>
      <c r="RUP3" t="s">
        <v>13405</v>
      </c>
      <c r="RUQ3" t="s">
        <v>13406</v>
      </c>
      <c r="RUR3" t="s">
        <v>13407</v>
      </c>
      <c r="RUS3" t="s">
        <v>13408</v>
      </c>
      <c r="RUT3" t="s">
        <v>13409</v>
      </c>
      <c r="RUU3" t="s">
        <v>13410</v>
      </c>
      <c r="RUV3" t="s">
        <v>13411</v>
      </c>
      <c r="RUW3" t="s">
        <v>13412</v>
      </c>
      <c r="RUX3" t="s">
        <v>13413</v>
      </c>
      <c r="RUY3" t="s">
        <v>13414</v>
      </c>
      <c r="RUZ3" t="s">
        <v>13415</v>
      </c>
      <c r="RVA3" t="s">
        <v>13416</v>
      </c>
      <c r="RVB3" t="s">
        <v>13417</v>
      </c>
      <c r="RVC3" t="s">
        <v>13418</v>
      </c>
      <c r="RVD3" t="s">
        <v>13419</v>
      </c>
      <c r="RVE3" t="s">
        <v>13420</v>
      </c>
      <c r="RVF3" t="s">
        <v>13421</v>
      </c>
      <c r="RVG3" t="s">
        <v>13422</v>
      </c>
      <c r="RVH3" t="s">
        <v>13423</v>
      </c>
      <c r="RVI3" t="s">
        <v>13424</v>
      </c>
      <c r="RVJ3" t="s">
        <v>13425</v>
      </c>
      <c r="RVK3" t="s">
        <v>13426</v>
      </c>
      <c r="RVL3" t="s">
        <v>13427</v>
      </c>
      <c r="RVM3" t="s">
        <v>13428</v>
      </c>
      <c r="RVN3" t="s">
        <v>13429</v>
      </c>
      <c r="RVO3" t="s">
        <v>13430</v>
      </c>
      <c r="RVP3" t="s">
        <v>13431</v>
      </c>
      <c r="RVQ3" t="s">
        <v>13432</v>
      </c>
      <c r="RVR3" t="s">
        <v>13433</v>
      </c>
      <c r="RVS3" t="s">
        <v>13434</v>
      </c>
      <c r="RVT3" t="s">
        <v>13435</v>
      </c>
      <c r="RVU3" t="s">
        <v>13436</v>
      </c>
      <c r="RVV3" t="s">
        <v>13437</v>
      </c>
      <c r="RVW3" t="s">
        <v>13438</v>
      </c>
      <c r="RVX3" t="s">
        <v>13439</v>
      </c>
      <c r="RVY3" t="s">
        <v>13440</v>
      </c>
      <c r="RVZ3" t="s">
        <v>13441</v>
      </c>
      <c r="RWA3" t="s">
        <v>13442</v>
      </c>
      <c r="RWB3" t="s">
        <v>13443</v>
      </c>
      <c r="RWC3" t="s">
        <v>13444</v>
      </c>
      <c r="RWD3" t="s">
        <v>13445</v>
      </c>
      <c r="RWE3" t="s">
        <v>13446</v>
      </c>
      <c r="RWF3" t="s">
        <v>13447</v>
      </c>
      <c r="RWG3" t="s">
        <v>13448</v>
      </c>
      <c r="RWH3" t="s">
        <v>13449</v>
      </c>
      <c r="RWI3" t="s">
        <v>13450</v>
      </c>
      <c r="RWJ3" t="s">
        <v>13451</v>
      </c>
      <c r="RWK3" t="s">
        <v>13452</v>
      </c>
      <c r="RWL3" t="s">
        <v>13453</v>
      </c>
      <c r="RWM3" t="s">
        <v>13454</v>
      </c>
      <c r="RWN3" t="s">
        <v>13455</v>
      </c>
      <c r="RWO3" t="s">
        <v>13456</v>
      </c>
      <c r="RWP3" t="s">
        <v>13457</v>
      </c>
      <c r="RWQ3" t="s">
        <v>13458</v>
      </c>
      <c r="RWR3" t="s">
        <v>13459</v>
      </c>
      <c r="RWS3" t="s">
        <v>13460</v>
      </c>
      <c r="RWT3" t="s">
        <v>13461</v>
      </c>
      <c r="RWU3" t="s">
        <v>13462</v>
      </c>
      <c r="RWV3" t="s">
        <v>13463</v>
      </c>
      <c r="RWW3" t="s">
        <v>13464</v>
      </c>
      <c r="RWX3" t="s">
        <v>13465</v>
      </c>
      <c r="RWY3" t="s">
        <v>13466</v>
      </c>
      <c r="RWZ3" t="s">
        <v>13467</v>
      </c>
      <c r="RXA3" t="s">
        <v>13468</v>
      </c>
      <c r="RXB3" t="s">
        <v>13469</v>
      </c>
      <c r="RXC3" t="s">
        <v>13470</v>
      </c>
      <c r="RXD3" t="s">
        <v>13471</v>
      </c>
      <c r="RXE3" t="s">
        <v>13472</v>
      </c>
      <c r="RXF3" t="s">
        <v>13473</v>
      </c>
      <c r="RXG3" t="s">
        <v>13474</v>
      </c>
      <c r="RXH3" t="s">
        <v>13475</v>
      </c>
      <c r="RXI3" t="s">
        <v>13476</v>
      </c>
      <c r="RXJ3" t="s">
        <v>13477</v>
      </c>
      <c r="RXK3" t="s">
        <v>13478</v>
      </c>
      <c r="RXL3" t="s">
        <v>13479</v>
      </c>
      <c r="RXM3" t="s">
        <v>13480</v>
      </c>
      <c r="RXN3" t="s">
        <v>13481</v>
      </c>
      <c r="RXO3" t="s">
        <v>13482</v>
      </c>
      <c r="RXP3" t="s">
        <v>13483</v>
      </c>
      <c r="RXQ3" t="s">
        <v>13484</v>
      </c>
      <c r="RXR3" t="s">
        <v>13485</v>
      </c>
      <c r="RXS3" t="s">
        <v>13486</v>
      </c>
      <c r="RXT3" t="s">
        <v>13487</v>
      </c>
      <c r="RXU3" t="s">
        <v>13488</v>
      </c>
      <c r="RXV3" t="s">
        <v>13489</v>
      </c>
      <c r="RXW3" t="s">
        <v>13490</v>
      </c>
      <c r="RXX3" t="s">
        <v>13491</v>
      </c>
      <c r="RXY3" t="s">
        <v>13492</v>
      </c>
      <c r="RXZ3" t="s">
        <v>13493</v>
      </c>
      <c r="RYA3" t="s">
        <v>13494</v>
      </c>
      <c r="RYB3" t="s">
        <v>13495</v>
      </c>
      <c r="RYC3" t="s">
        <v>13496</v>
      </c>
      <c r="RYD3" t="s">
        <v>13497</v>
      </c>
      <c r="RYE3" t="s">
        <v>13498</v>
      </c>
      <c r="RYF3" t="s">
        <v>13499</v>
      </c>
      <c r="RYG3" t="s">
        <v>13500</v>
      </c>
      <c r="RYH3" t="s">
        <v>13501</v>
      </c>
      <c r="RYI3" t="s">
        <v>13502</v>
      </c>
      <c r="RYJ3" t="s">
        <v>13503</v>
      </c>
      <c r="RYK3" t="s">
        <v>13504</v>
      </c>
      <c r="RYL3" t="s">
        <v>13505</v>
      </c>
      <c r="RYM3" t="s">
        <v>13506</v>
      </c>
      <c r="RYN3" t="s">
        <v>13507</v>
      </c>
      <c r="RYO3" t="s">
        <v>13508</v>
      </c>
      <c r="RYP3" t="s">
        <v>13509</v>
      </c>
      <c r="RYQ3" t="s">
        <v>13510</v>
      </c>
      <c r="RYR3" t="s">
        <v>13511</v>
      </c>
      <c r="RYS3" t="s">
        <v>13512</v>
      </c>
      <c r="RYT3" t="s">
        <v>13513</v>
      </c>
      <c r="RYU3" t="s">
        <v>13514</v>
      </c>
      <c r="RYV3" t="s">
        <v>13515</v>
      </c>
      <c r="RYW3" t="s">
        <v>13516</v>
      </c>
      <c r="RYX3" t="s">
        <v>13517</v>
      </c>
      <c r="RYY3" t="s">
        <v>13518</v>
      </c>
      <c r="RYZ3" t="s">
        <v>13519</v>
      </c>
      <c r="RZA3" t="s">
        <v>13520</v>
      </c>
      <c r="RZB3" t="s">
        <v>13521</v>
      </c>
      <c r="RZC3" t="s">
        <v>13522</v>
      </c>
      <c r="RZD3" t="s">
        <v>13523</v>
      </c>
      <c r="RZE3" t="s">
        <v>13524</v>
      </c>
      <c r="RZF3" t="s">
        <v>13525</v>
      </c>
      <c r="RZG3" t="s">
        <v>13526</v>
      </c>
      <c r="RZH3" t="s">
        <v>13527</v>
      </c>
      <c r="RZI3" t="s">
        <v>13528</v>
      </c>
      <c r="RZJ3" t="s">
        <v>13529</v>
      </c>
      <c r="RZK3" t="s">
        <v>13530</v>
      </c>
      <c r="RZL3" t="s">
        <v>13531</v>
      </c>
      <c r="RZM3" t="s">
        <v>13532</v>
      </c>
      <c r="RZN3" t="s">
        <v>13533</v>
      </c>
      <c r="RZO3" t="s">
        <v>13534</v>
      </c>
      <c r="RZP3" t="s">
        <v>13535</v>
      </c>
      <c r="RZQ3" t="s">
        <v>13536</v>
      </c>
      <c r="RZR3" t="s">
        <v>13537</v>
      </c>
      <c r="RZS3" t="s">
        <v>13538</v>
      </c>
      <c r="RZT3" t="s">
        <v>13539</v>
      </c>
      <c r="RZU3" t="s">
        <v>13540</v>
      </c>
      <c r="RZV3" t="s">
        <v>13541</v>
      </c>
      <c r="RZW3" t="s">
        <v>13542</v>
      </c>
      <c r="RZX3" t="s">
        <v>13543</v>
      </c>
      <c r="RZY3" t="s">
        <v>13544</v>
      </c>
      <c r="RZZ3" t="s">
        <v>13545</v>
      </c>
      <c r="SAA3" t="s">
        <v>13546</v>
      </c>
      <c r="SAB3" t="s">
        <v>13547</v>
      </c>
      <c r="SAC3" t="s">
        <v>13548</v>
      </c>
      <c r="SAD3" t="s">
        <v>13549</v>
      </c>
      <c r="SAE3" t="s">
        <v>13550</v>
      </c>
      <c r="SAF3" t="s">
        <v>13551</v>
      </c>
      <c r="SAG3" t="s">
        <v>13552</v>
      </c>
      <c r="SAH3" t="s">
        <v>13553</v>
      </c>
      <c r="SAI3" t="s">
        <v>13554</v>
      </c>
      <c r="SAJ3" t="s">
        <v>13555</v>
      </c>
      <c r="SAK3" t="s">
        <v>13556</v>
      </c>
      <c r="SAL3" t="s">
        <v>13557</v>
      </c>
      <c r="SAM3" t="s">
        <v>13558</v>
      </c>
      <c r="SAN3" t="s">
        <v>13559</v>
      </c>
      <c r="SAO3" t="s">
        <v>13560</v>
      </c>
      <c r="SAP3" t="s">
        <v>13561</v>
      </c>
      <c r="SAQ3" t="s">
        <v>13562</v>
      </c>
      <c r="SAR3" t="s">
        <v>13563</v>
      </c>
      <c r="SAS3" t="s">
        <v>13564</v>
      </c>
      <c r="SAT3" t="s">
        <v>13565</v>
      </c>
      <c r="SAU3" t="s">
        <v>13566</v>
      </c>
      <c r="SAV3" t="s">
        <v>13567</v>
      </c>
      <c r="SAW3" t="s">
        <v>13568</v>
      </c>
      <c r="SAX3" t="s">
        <v>13569</v>
      </c>
      <c r="SAY3" t="s">
        <v>13570</v>
      </c>
      <c r="SAZ3" t="s">
        <v>13571</v>
      </c>
      <c r="SBA3" t="s">
        <v>13572</v>
      </c>
      <c r="SBB3" t="s">
        <v>13573</v>
      </c>
      <c r="SBC3" t="s">
        <v>13574</v>
      </c>
      <c r="SBD3" t="s">
        <v>13575</v>
      </c>
      <c r="SBE3" t="s">
        <v>13576</v>
      </c>
      <c r="SBF3" t="s">
        <v>13577</v>
      </c>
      <c r="SBG3" t="s">
        <v>13578</v>
      </c>
      <c r="SBH3" t="s">
        <v>13579</v>
      </c>
      <c r="SBI3" t="s">
        <v>13580</v>
      </c>
      <c r="SBJ3" t="s">
        <v>13581</v>
      </c>
      <c r="SBK3" t="s">
        <v>13582</v>
      </c>
      <c r="SBL3" t="s">
        <v>13583</v>
      </c>
      <c r="SBM3" t="s">
        <v>13584</v>
      </c>
      <c r="SBN3" t="s">
        <v>13585</v>
      </c>
      <c r="SBO3" t="s">
        <v>13586</v>
      </c>
      <c r="SBP3" t="s">
        <v>13587</v>
      </c>
      <c r="SBQ3" t="s">
        <v>13588</v>
      </c>
      <c r="SBR3" t="s">
        <v>13589</v>
      </c>
      <c r="SBS3" t="s">
        <v>13590</v>
      </c>
      <c r="SBT3" t="s">
        <v>13591</v>
      </c>
      <c r="SBU3" t="s">
        <v>13592</v>
      </c>
      <c r="SBV3" t="s">
        <v>13593</v>
      </c>
      <c r="SBW3" t="s">
        <v>13594</v>
      </c>
      <c r="SBX3" t="s">
        <v>13595</v>
      </c>
      <c r="SBY3" t="s">
        <v>13596</v>
      </c>
      <c r="SBZ3" t="s">
        <v>13597</v>
      </c>
      <c r="SCA3" t="s">
        <v>13598</v>
      </c>
      <c r="SCB3" t="s">
        <v>13599</v>
      </c>
      <c r="SCC3" t="s">
        <v>13600</v>
      </c>
      <c r="SCD3" t="s">
        <v>13601</v>
      </c>
      <c r="SCE3" t="s">
        <v>13602</v>
      </c>
      <c r="SCF3" t="s">
        <v>13603</v>
      </c>
      <c r="SCG3" t="s">
        <v>13604</v>
      </c>
      <c r="SCH3" t="s">
        <v>13605</v>
      </c>
      <c r="SCI3" t="s">
        <v>13606</v>
      </c>
      <c r="SCJ3" t="s">
        <v>13607</v>
      </c>
      <c r="SCK3" t="s">
        <v>13608</v>
      </c>
      <c r="SCL3" t="s">
        <v>13609</v>
      </c>
      <c r="SCM3" t="s">
        <v>13610</v>
      </c>
      <c r="SCN3" t="s">
        <v>13611</v>
      </c>
      <c r="SCO3" t="s">
        <v>13612</v>
      </c>
      <c r="SCP3" t="s">
        <v>13613</v>
      </c>
      <c r="SCQ3" t="s">
        <v>13614</v>
      </c>
      <c r="SCR3" t="s">
        <v>13615</v>
      </c>
      <c r="SCS3" t="s">
        <v>13616</v>
      </c>
      <c r="SCT3" t="s">
        <v>13617</v>
      </c>
      <c r="SCU3" t="s">
        <v>13618</v>
      </c>
      <c r="SCV3" t="s">
        <v>13619</v>
      </c>
      <c r="SCW3" t="s">
        <v>13620</v>
      </c>
      <c r="SCX3" t="s">
        <v>13621</v>
      </c>
      <c r="SCY3" t="s">
        <v>13622</v>
      </c>
      <c r="SCZ3" t="s">
        <v>13623</v>
      </c>
      <c r="SDA3" t="s">
        <v>13624</v>
      </c>
      <c r="SDB3" t="s">
        <v>13625</v>
      </c>
      <c r="SDC3" t="s">
        <v>13626</v>
      </c>
      <c r="SDD3" t="s">
        <v>13627</v>
      </c>
      <c r="SDE3" t="s">
        <v>13628</v>
      </c>
      <c r="SDF3" t="s">
        <v>13629</v>
      </c>
      <c r="SDG3" t="s">
        <v>13630</v>
      </c>
      <c r="SDH3" t="s">
        <v>13631</v>
      </c>
      <c r="SDI3" t="s">
        <v>13632</v>
      </c>
      <c r="SDJ3" t="s">
        <v>13633</v>
      </c>
      <c r="SDK3" t="s">
        <v>13634</v>
      </c>
      <c r="SDL3" t="s">
        <v>13635</v>
      </c>
      <c r="SDM3" t="s">
        <v>13636</v>
      </c>
      <c r="SDN3" t="s">
        <v>13637</v>
      </c>
      <c r="SDO3" t="s">
        <v>13638</v>
      </c>
      <c r="SDP3" t="s">
        <v>13639</v>
      </c>
      <c r="SDQ3" t="s">
        <v>13640</v>
      </c>
      <c r="SDR3" t="s">
        <v>13641</v>
      </c>
      <c r="SDS3" t="s">
        <v>13642</v>
      </c>
      <c r="SDT3" t="s">
        <v>13643</v>
      </c>
      <c r="SDU3" t="s">
        <v>13644</v>
      </c>
      <c r="SDV3" t="s">
        <v>13645</v>
      </c>
      <c r="SDW3" t="s">
        <v>13646</v>
      </c>
      <c r="SDX3" t="s">
        <v>13647</v>
      </c>
      <c r="SDY3" t="s">
        <v>13648</v>
      </c>
      <c r="SDZ3" t="s">
        <v>13649</v>
      </c>
      <c r="SEA3" t="s">
        <v>13650</v>
      </c>
      <c r="SEB3" t="s">
        <v>13651</v>
      </c>
      <c r="SEC3" t="s">
        <v>13652</v>
      </c>
      <c r="SED3" t="s">
        <v>13653</v>
      </c>
      <c r="SEE3" t="s">
        <v>13654</v>
      </c>
      <c r="SEF3" t="s">
        <v>13655</v>
      </c>
      <c r="SEG3" t="s">
        <v>13656</v>
      </c>
      <c r="SEH3" t="s">
        <v>13657</v>
      </c>
      <c r="SEI3" t="s">
        <v>13658</v>
      </c>
      <c r="SEJ3" t="s">
        <v>13659</v>
      </c>
      <c r="SEK3" t="s">
        <v>13660</v>
      </c>
      <c r="SEL3" t="s">
        <v>13661</v>
      </c>
      <c r="SEM3" t="s">
        <v>13662</v>
      </c>
      <c r="SEN3" t="s">
        <v>13663</v>
      </c>
      <c r="SEO3" t="s">
        <v>13664</v>
      </c>
      <c r="SEP3" t="s">
        <v>13665</v>
      </c>
      <c r="SEQ3" t="s">
        <v>13666</v>
      </c>
      <c r="SER3" t="s">
        <v>13667</v>
      </c>
      <c r="SES3" t="s">
        <v>13668</v>
      </c>
      <c r="SET3" t="s">
        <v>13669</v>
      </c>
      <c r="SEU3" t="s">
        <v>13670</v>
      </c>
      <c r="SEV3" t="s">
        <v>13671</v>
      </c>
      <c r="SEW3" t="s">
        <v>13672</v>
      </c>
      <c r="SEX3" t="s">
        <v>13673</v>
      </c>
      <c r="SEY3" t="s">
        <v>13674</v>
      </c>
      <c r="SEZ3" t="s">
        <v>13675</v>
      </c>
      <c r="SFA3" t="s">
        <v>13676</v>
      </c>
      <c r="SFB3" t="s">
        <v>13677</v>
      </c>
      <c r="SFC3" t="s">
        <v>13678</v>
      </c>
      <c r="SFD3" t="s">
        <v>13679</v>
      </c>
      <c r="SFE3" t="s">
        <v>13680</v>
      </c>
      <c r="SFF3" t="s">
        <v>13681</v>
      </c>
      <c r="SFG3" t="s">
        <v>13682</v>
      </c>
      <c r="SFH3" t="s">
        <v>13683</v>
      </c>
      <c r="SFI3" t="s">
        <v>13684</v>
      </c>
      <c r="SFJ3" t="s">
        <v>13685</v>
      </c>
      <c r="SFK3" t="s">
        <v>13686</v>
      </c>
      <c r="SFL3" t="s">
        <v>13687</v>
      </c>
      <c r="SFM3" t="s">
        <v>13688</v>
      </c>
      <c r="SFN3" t="s">
        <v>13689</v>
      </c>
      <c r="SFO3" t="s">
        <v>13690</v>
      </c>
      <c r="SFP3" t="s">
        <v>13691</v>
      </c>
      <c r="SFQ3" t="s">
        <v>13692</v>
      </c>
      <c r="SFR3" t="s">
        <v>13693</v>
      </c>
      <c r="SFS3" t="s">
        <v>13694</v>
      </c>
      <c r="SFT3" t="s">
        <v>13695</v>
      </c>
      <c r="SFU3" t="s">
        <v>13696</v>
      </c>
      <c r="SFV3" t="s">
        <v>13697</v>
      </c>
      <c r="SFW3" t="s">
        <v>13698</v>
      </c>
      <c r="SFX3" t="s">
        <v>13699</v>
      </c>
      <c r="SFY3" t="s">
        <v>13700</v>
      </c>
      <c r="SFZ3" t="s">
        <v>13701</v>
      </c>
      <c r="SGA3" t="s">
        <v>13702</v>
      </c>
      <c r="SGB3" t="s">
        <v>13703</v>
      </c>
      <c r="SGC3" t="s">
        <v>13704</v>
      </c>
      <c r="SGD3" t="s">
        <v>13705</v>
      </c>
      <c r="SGE3" t="s">
        <v>13706</v>
      </c>
      <c r="SGF3" t="s">
        <v>13707</v>
      </c>
      <c r="SGG3" t="s">
        <v>13708</v>
      </c>
      <c r="SGH3" t="s">
        <v>13709</v>
      </c>
      <c r="SGI3" t="s">
        <v>13710</v>
      </c>
      <c r="SGJ3" t="s">
        <v>13711</v>
      </c>
      <c r="SGK3" t="s">
        <v>13712</v>
      </c>
      <c r="SGL3" t="s">
        <v>13713</v>
      </c>
      <c r="SGM3" t="s">
        <v>13714</v>
      </c>
      <c r="SGN3" t="s">
        <v>13715</v>
      </c>
      <c r="SGO3" t="s">
        <v>13716</v>
      </c>
      <c r="SGP3" t="s">
        <v>13717</v>
      </c>
      <c r="SGQ3" t="s">
        <v>13718</v>
      </c>
      <c r="SGR3" t="s">
        <v>13719</v>
      </c>
      <c r="SGS3" t="s">
        <v>13720</v>
      </c>
      <c r="SGT3" t="s">
        <v>13721</v>
      </c>
      <c r="SGU3" t="s">
        <v>13722</v>
      </c>
      <c r="SGV3" t="s">
        <v>13723</v>
      </c>
      <c r="SGW3" t="s">
        <v>13724</v>
      </c>
      <c r="SGX3" t="s">
        <v>13725</v>
      </c>
      <c r="SGY3" t="s">
        <v>13726</v>
      </c>
      <c r="SGZ3" t="s">
        <v>13727</v>
      </c>
      <c r="SHA3" t="s">
        <v>13728</v>
      </c>
      <c r="SHB3" t="s">
        <v>13729</v>
      </c>
      <c r="SHC3" t="s">
        <v>13730</v>
      </c>
      <c r="SHD3" t="s">
        <v>13731</v>
      </c>
      <c r="SHE3" t="s">
        <v>13732</v>
      </c>
      <c r="SHF3" t="s">
        <v>13733</v>
      </c>
      <c r="SHG3" t="s">
        <v>13734</v>
      </c>
      <c r="SHH3" t="s">
        <v>13735</v>
      </c>
      <c r="SHI3" t="s">
        <v>13736</v>
      </c>
      <c r="SHJ3" t="s">
        <v>13737</v>
      </c>
      <c r="SHK3" t="s">
        <v>13738</v>
      </c>
      <c r="SHL3" t="s">
        <v>13739</v>
      </c>
      <c r="SHM3" t="s">
        <v>13740</v>
      </c>
      <c r="SHN3" t="s">
        <v>13741</v>
      </c>
      <c r="SHO3" t="s">
        <v>13742</v>
      </c>
      <c r="SHP3" t="s">
        <v>13743</v>
      </c>
      <c r="SHQ3" t="s">
        <v>13744</v>
      </c>
      <c r="SHR3" t="s">
        <v>13745</v>
      </c>
      <c r="SHS3" t="s">
        <v>13746</v>
      </c>
      <c r="SHT3" t="s">
        <v>13747</v>
      </c>
      <c r="SHU3" t="s">
        <v>13748</v>
      </c>
      <c r="SHV3" t="s">
        <v>13749</v>
      </c>
      <c r="SHW3" t="s">
        <v>13750</v>
      </c>
      <c r="SHX3" t="s">
        <v>13751</v>
      </c>
      <c r="SHY3" t="s">
        <v>13752</v>
      </c>
      <c r="SHZ3" t="s">
        <v>13753</v>
      </c>
      <c r="SIA3" t="s">
        <v>13754</v>
      </c>
      <c r="SIB3" t="s">
        <v>13755</v>
      </c>
      <c r="SIC3" t="s">
        <v>13756</v>
      </c>
      <c r="SID3" t="s">
        <v>13757</v>
      </c>
      <c r="SIE3" t="s">
        <v>13758</v>
      </c>
      <c r="SIF3" t="s">
        <v>13759</v>
      </c>
      <c r="SIG3" t="s">
        <v>13760</v>
      </c>
      <c r="SIH3" t="s">
        <v>13761</v>
      </c>
      <c r="SII3" t="s">
        <v>13762</v>
      </c>
      <c r="SIJ3" t="s">
        <v>13763</v>
      </c>
      <c r="SIK3" t="s">
        <v>13764</v>
      </c>
      <c r="SIL3" t="s">
        <v>13765</v>
      </c>
      <c r="SIM3" t="s">
        <v>13766</v>
      </c>
      <c r="SIN3" t="s">
        <v>13767</v>
      </c>
      <c r="SIO3" t="s">
        <v>13768</v>
      </c>
      <c r="SIP3" t="s">
        <v>13769</v>
      </c>
      <c r="SIQ3" t="s">
        <v>13770</v>
      </c>
      <c r="SIR3" t="s">
        <v>13771</v>
      </c>
      <c r="SIS3" t="s">
        <v>13772</v>
      </c>
      <c r="SIT3" t="s">
        <v>13773</v>
      </c>
      <c r="SIU3" t="s">
        <v>13774</v>
      </c>
      <c r="SIV3" t="s">
        <v>13775</v>
      </c>
      <c r="SIW3" t="s">
        <v>13776</v>
      </c>
      <c r="SIX3" t="s">
        <v>13777</v>
      </c>
      <c r="SIY3" t="s">
        <v>13778</v>
      </c>
      <c r="SIZ3" t="s">
        <v>13779</v>
      </c>
      <c r="SJA3" t="s">
        <v>13780</v>
      </c>
      <c r="SJB3" t="s">
        <v>13781</v>
      </c>
      <c r="SJC3" t="s">
        <v>13782</v>
      </c>
      <c r="SJD3" t="s">
        <v>13783</v>
      </c>
      <c r="SJE3" t="s">
        <v>13784</v>
      </c>
      <c r="SJF3" t="s">
        <v>13785</v>
      </c>
      <c r="SJG3" t="s">
        <v>13786</v>
      </c>
      <c r="SJH3" t="s">
        <v>13787</v>
      </c>
      <c r="SJI3" t="s">
        <v>13788</v>
      </c>
      <c r="SJJ3" t="s">
        <v>13789</v>
      </c>
      <c r="SJK3" t="s">
        <v>13790</v>
      </c>
      <c r="SJL3" t="s">
        <v>13791</v>
      </c>
      <c r="SJM3" t="s">
        <v>13792</v>
      </c>
      <c r="SJN3" t="s">
        <v>13793</v>
      </c>
      <c r="SJO3" t="s">
        <v>13794</v>
      </c>
      <c r="SJP3" t="s">
        <v>13795</v>
      </c>
      <c r="SJQ3" t="s">
        <v>13796</v>
      </c>
      <c r="SJR3" t="s">
        <v>13797</v>
      </c>
      <c r="SJS3" t="s">
        <v>13798</v>
      </c>
      <c r="SJT3" t="s">
        <v>13799</v>
      </c>
      <c r="SJU3" t="s">
        <v>13800</v>
      </c>
      <c r="SJV3" t="s">
        <v>13801</v>
      </c>
      <c r="SJW3" t="s">
        <v>13802</v>
      </c>
      <c r="SJX3" t="s">
        <v>13803</v>
      </c>
      <c r="SJY3" t="s">
        <v>13804</v>
      </c>
      <c r="SJZ3" t="s">
        <v>13805</v>
      </c>
      <c r="SKA3" t="s">
        <v>13806</v>
      </c>
      <c r="SKB3" t="s">
        <v>13807</v>
      </c>
      <c r="SKC3" t="s">
        <v>13808</v>
      </c>
      <c r="SKD3" t="s">
        <v>13809</v>
      </c>
      <c r="SKE3" t="s">
        <v>13810</v>
      </c>
      <c r="SKF3" t="s">
        <v>13811</v>
      </c>
      <c r="SKG3" t="s">
        <v>13812</v>
      </c>
      <c r="SKH3" t="s">
        <v>13813</v>
      </c>
      <c r="SKI3" t="s">
        <v>13814</v>
      </c>
      <c r="SKJ3" t="s">
        <v>13815</v>
      </c>
      <c r="SKK3" t="s">
        <v>13816</v>
      </c>
      <c r="SKL3" t="s">
        <v>13817</v>
      </c>
      <c r="SKM3" t="s">
        <v>13818</v>
      </c>
      <c r="SKN3" t="s">
        <v>13819</v>
      </c>
      <c r="SKO3" t="s">
        <v>13820</v>
      </c>
      <c r="SKP3" t="s">
        <v>13821</v>
      </c>
      <c r="SKQ3" t="s">
        <v>13822</v>
      </c>
      <c r="SKR3" t="s">
        <v>13823</v>
      </c>
      <c r="SKS3" t="s">
        <v>13824</v>
      </c>
      <c r="SKT3" t="s">
        <v>13825</v>
      </c>
      <c r="SKU3" t="s">
        <v>13826</v>
      </c>
      <c r="SKV3" t="s">
        <v>13827</v>
      </c>
      <c r="SKW3" t="s">
        <v>13828</v>
      </c>
      <c r="SKX3" t="s">
        <v>13829</v>
      </c>
      <c r="SKY3" t="s">
        <v>13830</v>
      </c>
      <c r="SKZ3" t="s">
        <v>13831</v>
      </c>
      <c r="SLA3" t="s">
        <v>13832</v>
      </c>
      <c r="SLB3" t="s">
        <v>13833</v>
      </c>
      <c r="SLC3" t="s">
        <v>13834</v>
      </c>
      <c r="SLD3" t="s">
        <v>13835</v>
      </c>
      <c r="SLE3" t="s">
        <v>13836</v>
      </c>
      <c r="SLF3" t="s">
        <v>13837</v>
      </c>
      <c r="SLG3" t="s">
        <v>13838</v>
      </c>
      <c r="SLH3" t="s">
        <v>13839</v>
      </c>
      <c r="SLI3" t="s">
        <v>13840</v>
      </c>
      <c r="SLJ3" t="s">
        <v>13841</v>
      </c>
      <c r="SLK3" t="s">
        <v>13842</v>
      </c>
      <c r="SLL3" t="s">
        <v>13843</v>
      </c>
      <c r="SLM3" t="s">
        <v>13844</v>
      </c>
      <c r="SLN3" t="s">
        <v>13845</v>
      </c>
      <c r="SLO3" t="s">
        <v>13846</v>
      </c>
      <c r="SLP3" t="s">
        <v>13847</v>
      </c>
      <c r="SLQ3" t="s">
        <v>13848</v>
      </c>
      <c r="SLR3" t="s">
        <v>13849</v>
      </c>
      <c r="SLS3" t="s">
        <v>13850</v>
      </c>
      <c r="SLT3" t="s">
        <v>13851</v>
      </c>
      <c r="SLU3" t="s">
        <v>13852</v>
      </c>
      <c r="SLV3" t="s">
        <v>13853</v>
      </c>
      <c r="SLW3" t="s">
        <v>13854</v>
      </c>
      <c r="SLX3" t="s">
        <v>13855</v>
      </c>
      <c r="SLY3" t="s">
        <v>13856</v>
      </c>
      <c r="SLZ3" t="s">
        <v>13857</v>
      </c>
      <c r="SMA3" t="s">
        <v>13858</v>
      </c>
      <c r="SMB3" t="s">
        <v>13859</v>
      </c>
      <c r="SMC3" t="s">
        <v>13860</v>
      </c>
      <c r="SMD3" t="s">
        <v>13861</v>
      </c>
      <c r="SME3" t="s">
        <v>13862</v>
      </c>
      <c r="SMF3" t="s">
        <v>13863</v>
      </c>
      <c r="SMG3" t="s">
        <v>13864</v>
      </c>
      <c r="SMH3" t="s">
        <v>13865</v>
      </c>
      <c r="SMI3" t="s">
        <v>13866</v>
      </c>
      <c r="SMJ3" t="s">
        <v>13867</v>
      </c>
      <c r="SMK3" t="s">
        <v>13868</v>
      </c>
      <c r="SML3" t="s">
        <v>13869</v>
      </c>
      <c r="SMM3" t="s">
        <v>13870</v>
      </c>
      <c r="SMN3" t="s">
        <v>13871</v>
      </c>
      <c r="SMO3" t="s">
        <v>13872</v>
      </c>
      <c r="SMP3" t="s">
        <v>13873</v>
      </c>
      <c r="SMQ3" t="s">
        <v>13874</v>
      </c>
      <c r="SMR3" t="s">
        <v>13875</v>
      </c>
      <c r="SMS3" t="s">
        <v>13876</v>
      </c>
      <c r="SMT3" t="s">
        <v>13877</v>
      </c>
      <c r="SMU3" t="s">
        <v>13878</v>
      </c>
      <c r="SMV3" t="s">
        <v>13879</v>
      </c>
      <c r="SMW3" t="s">
        <v>13880</v>
      </c>
      <c r="SMX3" t="s">
        <v>13881</v>
      </c>
      <c r="SMY3" t="s">
        <v>13882</v>
      </c>
      <c r="SMZ3" t="s">
        <v>13883</v>
      </c>
      <c r="SNA3" t="s">
        <v>13884</v>
      </c>
      <c r="SNB3" t="s">
        <v>13885</v>
      </c>
      <c r="SNC3" t="s">
        <v>13886</v>
      </c>
      <c r="SND3" t="s">
        <v>13887</v>
      </c>
      <c r="SNE3" t="s">
        <v>13888</v>
      </c>
      <c r="SNF3" t="s">
        <v>13889</v>
      </c>
      <c r="SNG3" t="s">
        <v>13890</v>
      </c>
      <c r="SNH3" t="s">
        <v>13891</v>
      </c>
      <c r="SNI3" t="s">
        <v>13892</v>
      </c>
      <c r="SNJ3" t="s">
        <v>13893</v>
      </c>
      <c r="SNK3" t="s">
        <v>13894</v>
      </c>
      <c r="SNL3" t="s">
        <v>13895</v>
      </c>
      <c r="SNM3" t="s">
        <v>13896</v>
      </c>
      <c r="SNN3" t="s">
        <v>13897</v>
      </c>
      <c r="SNO3" t="s">
        <v>13898</v>
      </c>
      <c r="SNP3" t="s">
        <v>13899</v>
      </c>
      <c r="SNQ3" t="s">
        <v>13900</v>
      </c>
      <c r="SNR3" t="s">
        <v>13901</v>
      </c>
      <c r="SNS3" t="s">
        <v>13902</v>
      </c>
      <c r="SNT3" t="s">
        <v>13903</v>
      </c>
      <c r="SNU3" t="s">
        <v>13904</v>
      </c>
      <c r="SNV3" t="s">
        <v>13905</v>
      </c>
      <c r="SNW3" t="s">
        <v>13906</v>
      </c>
      <c r="SNX3" t="s">
        <v>13907</v>
      </c>
      <c r="SNY3" t="s">
        <v>13908</v>
      </c>
      <c r="SNZ3" t="s">
        <v>13909</v>
      </c>
      <c r="SOA3" t="s">
        <v>13910</v>
      </c>
      <c r="SOB3" t="s">
        <v>13911</v>
      </c>
      <c r="SOC3" t="s">
        <v>13912</v>
      </c>
      <c r="SOD3" t="s">
        <v>13913</v>
      </c>
      <c r="SOE3" t="s">
        <v>13914</v>
      </c>
      <c r="SOF3" t="s">
        <v>13915</v>
      </c>
      <c r="SOG3" t="s">
        <v>13916</v>
      </c>
      <c r="SOH3" t="s">
        <v>13917</v>
      </c>
      <c r="SOI3" t="s">
        <v>13918</v>
      </c>
      <c r="SOJ3" t="s">
        <v>13919</v>
      </c>
      <c r="SOK3" t="s">
        <v>13920</v>
      </c>
      <c r="SOL3" t="s">
        <v>13921</v>
      </c>
      <c r="SOM3" t="s">
        <v>13922</v>
      </c>
      <c r="SON3" t="s">
        <v>13923</v>
      </c>
      <c r="SOO3" t="s">
        <v>13924</v>
      </c>
      <c r="SOP3" t="s">
        <v>13925</v>
      </c>
      <c r="SOQ3" t="s">
        <v>13926</v>
      </c>
      <c r="SOR3" t="s">
        <v>13927</v>
      </c>
      <c r="SOS3" t="s">
        <v>13928</v>
      </c>
      <c r="SOT3" t="s">
        <v>13929</v>
      </c>
      <c r="SOU3" t="s">
        <v>13930</v>
      </c>
      <c r="SOV3" t="s">
        <v>13931</v>
      </c>
      <c r="SOW3" t="s">
        <v>13932</v>
      </c>
      <c r="SOX3" t="s">
        <v>13933</v>
      </c>
      <c r="SOY3" t="s">
        <v>13934</v>
      </c>
      <c r="SOZ3" t="s">
        <v>13935</v>
      </c>
      <c r="SPA3" t="s">
        <v>13936</v>
      </c>
      <c r="SPB3" t="s">
        <v>13937</v>
      </c>
      <c r="SPC3" t="s">
        <v>13938</v>
      </c>
      <c r="SPD3" t="s">
        <v>13939</v>
      </c>
      <c r="SPE3" t="s">
        <v>13940</v>
      </c>
      <c r="SPF3" t="s">
        <v>13941</v>
      </c>
      <c r="SPG3" t="s">
        <v>13942</v>
      </c>
      <c r="SPH3" t="s">
        <v>13943</v>
      </c>
      <c r="SPI3" t="s">
        <v>13944</v>
      </c>
      <c r="SPJ3" t="s">
        <v>13945</v>
      </c>
      <c r="SPK3" t="s">
        <v>13946</v>
      </c>
      <c r="SPL3" t="s">
        <v>13947</v>
      </c>
      <c r="SPM3" t="s">
        <v>13948</v>
      </c>
      <c r="SPN3" t="s">
        <v>13949</v>
      </c>
      <c r="SPO3" t="s">
        <v>13950</v>
      </c>
      <c r="SPP3" t="s">
        <v>13951</v>
      </c>
      <c r="SPQ3" t="s">
        <v>13952</v>
      </c>
      <c r="SPR3" t="s">
        <v>13953</v>
      </c>
      <c r="SPS3" t="s">
        <v>13954</v>
      </c>
      <c r="SPT3" t="s">
        <v>13955</v>
      </c>
      <c r="SPU3" t="s">
        <v>13956</v>
      </c>
      <c r="SPV3" t="s">
        <v>13957</v>
      </c>
      <c r="SPW3" t="s">
        <v>13958</v>
      </c>
      <c r="SPX3" t="s">
        <v>13959</v>
      </c>
      <c r="SPY3" t="s">
        <v>13960</v>
      </c>
      <c r="SPZ3" t="s">
        <v>13961</v>
      </c>
      <c r="SQA3" t="s">
        <v>13962</v>
      </c>
      <c r="SQB3" t="s">
        <v>13963</v>
      </c>
      <c r="SQC3" t="s">
        <v>13964</v>
      </c>
      <c r="SQD3" t="s">
        <v>13965</v>
      </c>
      <c r="SQE3" t="s">
        <v>13966</v>
      </c>
      <c r="SQF3" t="s">
        <v>13967</v>
      </c>
      <c r="SQG3" t="s">
        <v>13968</v>
      </c>
      <c r="SQH3" t="s">
        <v>13969</v>
      </c>
      <c r="SQI3" t="s">
        <v>13970</v>
      </c>
      <c r="SQJ3" t="s">
        <v>13971</v>
      </c>
      <c r="SQK3" t="s">
        <v>13972</v>
      </c>
      <c r="SQL3" t="s">
        <v>13973</v>
      </c>
      <c r="SQM3" t="s">
        <v>13974</v>
      </c>
      <c r="SQN3" t="s">
        <v>13975</v>
      </c>
      <c r="SQO3" t="s">
        <v>13976</v>
      </c>
      <c r="SQP3" t="s">
        <v>13977</v>
      </c>
      <c r="SQQ3" t="s">
        <v>13978</v>
      </c>
      <c r="SQR3" t="s">
        <v>13979</v>
      </c>
      <c r="SQS3" t="s">
        <v>13980</v>
      </c>
      <c r="SQT3" t="s">
        <v>13981</v>
      </c>
      <c r="SQU3" t="s">
        <v>13982</v>
      </c>
      <c r="SQV3" t="s">
        <v>13983</v>
      </c>
      <c r="SQW3" t="s">
        <v>13984</v>
      </c>
      <c r="SQX3" t="s">
        <v>13985</v>
      </c>
      <c r="SQY3" t="s">
        <v>13986</v>
      </c>
      <c r="SQZ3" t="s">
        <v>13987</v>
      </c>
      <c r="SRA3" t="s">
        <v>13988</v>
      </c>
      <c r="SRB3" t="s">
        <v>13989</v>
      </c>
      <c r="SRC3" t="s">
        <v>13990</v>
      </c>
      <c r="SRD3" t="s">
        <v>13991</v>
      </c>
      <c r="SRE3" t="s">
        <v>13992</v>
      </c>
      <c r="SRF3" t="s">
        <v>13993</v>
      </c>
      <c r="SRG3" t="s">
        <v>13994</v>
      </c>
      <c r="SRH3" t="s">
        <v>13995</v>
      </c>
      <c r="SRI3" t="s">
        <v>13996</v>
      </c>
      <c r="SRJ3" t="s">
        <v>13997</v>
      </c>
      <c r="SRK3" t="s">
        <v>13998</v>
      </c>
      <c r="SRL3" t="s">
        <v>13999</v>
      </c>
      <c r="SRM3" t="s">
        <v>14000</v>
      </c>
      <c r="SRN3" t="s">
        <v>14001</v>
      </c>
      <c r="SRO3" t="s">
        <v>14002</v>
      </c>
      <c r="SRP3" t="s">
        <v>14003</v>
      </c>
      <c r="SRQ3" t="s">
        <v>14004</v>
      </c>
      <c r="SRR3" t="s">
        <v>14005</v>
      </c>
      <c r="SRS3" t="s">
        <v>14006</v>
      </c>
      <c r="SRT3" t="s">
        <v>14007</v>
      </c>
      <c r="SRU3" t="s">
        <v>14008</v>
      </c>
      <c r="SRV3" t="s">
        <v>14009</v>
      </c>
      <c r="SRW3" t="s">
        <v>14010</v>
      </c>
      <c r="SRX3" t="s">
        <v>14011</v>
      </c>
      <c r="SRY3" t="s">
        <v>14012</v>
      </c>
      <c r="SRZ3" t="s">
        <v>14013</v>
      </c>
      <c r="SSA3" t="s">
        <v>14014</v>
      </c>
      <c r="SSB3" t="s">
        <v>14015</v>
      </c>
      <c r="SSC3" t="s">
        <v>14016</v>
      </c>
      <c r="SSD3" t="s">
        <v>14017</v>
      </c>
      <c r="SSE3" t="s">
        <v>14018</v>
      </c>
      <c r="SSF3" t="s">
        <v>14019</v>
      </c>
      <c r="SSG3" t="s">
        <v>14020</v>
      </c>
      <c r="SSH3" t="s">
        <v>14021</v>
      </c>
      <c r="SSI3" t="s">
        <v>14022</v>
      </c>
      <c r="SSJ3" t="s">
        <v>14023</v>
      </c>
      <c r="SSK3" t="s">
        <v>14024</v>
      </c>
      <c r="SSL3" t="s">
        <v>14025</v>
      </c>
      <c r="SSM3" t="s">
        <v>14026</v>
      </c>
      <c r="SSN3" t="s">
        <v>14027</v>
      </c>
      <c r="SSO3" t="s">
        <v>14028</v>
      </c>
      <c r="SSP3" t="s">
        <v>14029</v>
      </c>
      <c r="SSQ3" t="s">
        <v>14030</v>
      </c>
      <c r="SSR3" t="s">
        <v>14031</v>
      </c>
      <c r="SSS3" t="s">
        <v>14032</v>
      </c>
      <c r="SST3" t="s">
        <v>14033</v>
      </c>
      <c r="SSU3" t="s">
        <v>14034</v>
      </c>
      <c r="SSV3" t="s">
        <v>14035</v>
      </c>
      <c r="SSW3" t="s">
        <v>14036</v>
      </c>
      <c r="SSX3" t="s">
        <v>14037</v>
      </c>
      <c r="SSY3" t="s">
        <v>14038</v>
      </c>
      <c r="SSZ3" t="s">
        <v>14039</v>
      </c>
      <c r="STA3" t="s">
        <v>14040</v>
      </c>
      <c r="STB3" t="s">
        <v>14041</v>
      </c>
      <c r="STC3" t="s">
        <v>14042</v>
      </c>
      <c r="STD3" t="s">
        <v>14043</v>
      </c>
      <c r="STE3" t="s">
        <v>14044</v>
      </c>
      <c r="STF3" t="s">
        <v>14045</v>
      </c>
      <c r="STG3" t="s">
        <v>14046</v>
      </c>
      <c r="STH3" t="s">
        <v>14047</v>
      </c>
      <c r="STI3" t="s">
        <v>14048</v>
      </c>
      <c r="STJ3" t="s">
        <v>14049</v>
      </c>
      <c r="STK3" t="s">
        <v>14050</v>
      </c>
      <c r="STL3" t="s">
        <v>14051</v>
      </c>
      <c r="STM3" t="s">
        <v>14052</v>
      </c>
      <c r="STN3" t="s">
        <v>14053</v>
      </c>
      <c r="STO3" t="s">
        <v>14054</v>
      </c>
      <c r="STP3" t="s">
        <v>14055</v>
      </c>
      <c r="STQ3" t="s">
        <v>14056</v>
      </c>
      <c r="STR3" t="s">
        <v>14057</v>
      </c>
      <c r="STS3" t="s">
        <v>14058</v>
      </c>
      <c r="STT3" t="s">
        <v>14059</v>
      </c>
      <c r="STU3" t="s">
        <v>14060</v>
      </c>
      <c r="STV3" t="s">
        <v>14061</v>
      </c>
      <c r="STW3" t="s">
        <v>14062</v>
      </c>
      <c r="STX3" t="s">
        <v>14063</v>
      </c>
      <c r="STY3" t="s">
        <v>14064</v>
      </c>
      <c r="STZ3" t="s">
        <v>14065</v>
      </c>
      <c r="SUA3" t="s">
        <v>14066</v>
      </c>
      <c r="SUB3" t="s">
        <v>14067</v>
      </c>
      <c r="SUC3" t="s">
        <v>14068</v>
      </c>
      <c r="SUD3" t="s">
        <v>14069</v>
      </c>
      <c r="SUE3" t="s">
        <v>14070</v>
      </c>
      <c r="SUF3" t="s">
        <v>14071</v>
      </c>
      <c r="SUG3" t="s">
        <v>14072</v>
      </c>
      <c r="SUH3" t="s">
        <v>14073</v>
      </c>
      <c r="SUI3" t="s">
        <v>14074</v>
      </c>
      <c r="SUJ3" t="s">
        <v>14075</v>
      </c>
      <c r="SUK3" t="s">
        <v>14076</v>
      </c>
      <c r="SUL3" t="s">
        <v>14077</v>
      </c>
      <c r="SUM3" t="s">
        <v>14078</v>
      </c>
      <c r="SUN3" t="s">
        <v>14079</v>
      </c>
      <c r="SUO3" t="s">
        <v>14080</v>
      </c>
      <c r="SUP3" t="s">
        <v>14081</v>
      </c>
      <c r="SUQ3" t="s">
        <v>14082</v>
      </c>
      <c r="SUR3" t="s">
        <v>14083</v>
      </c>
      <c r="SUS3" t="s">
        <v>14084</v>
      </c>
      <c r="SUT3" t="s">
        <v>14085</v>
      </c>
      <c r="SUU3" t="s">
        <v>14086</v>
      </c>
      <c r="SUV3" t="s">
        <v>14087</v>
      </c>
      <c r="SUW3" t="s">
        <v>14088</v>
      </c>
      <c r="SUX3" t="s">
        <v>14089</v>
      </c>
      <c r="SUY3" t="s">
        <v>14090</v>
      </c>
      <c r="SUZ3" t="s">
        <v>14091</v>
      </c>
      <c r="SVA3" t="s">
        <v>14092</v>
      </c>
      <c r="SVB3" t="s">
        <v>14093</v>
      </c>
      <c r="SVC3" t="s">
        <v>14094</v>
      </c>
      <c r="SVD3" t="s">
        <v>14095</v>
      </c>
      <c r="SVE3" t="s">
        <v>14096</v>
      </c>
      <c r="SVF3" t="s">
        <v>14097</v>
      </c>
      <c r="SVG3" t="s">
        <v>14098</v>
      </c>
      <c r="SVH3" t="s">
        <v>14099</v>
      </c>
      <c r="SVI3" t="s">
        <v>14100</v>
      </c>
      <c r="SVJ3" t="s">
        <v>14101</v>
      </c>
      <c r="SVK3" t="s">
        <v>14102</v>
      </c>
      <c r="SVL3" t="s">
        <v>14103</v>
      </c>
      <c r="SVM3" t="s">
        <v>14104</v>
      </c>
      <c r="SVN3" t="s">
        <v>14105</v>
      </c>
      <c r="SVO3" t="s">
        <v>14106</v>
      </c>
      <c r="SVP3" t="s">
        <v>14107</v>
      </c>
      <c r="SVQ3" t="s">
        <v>14108</v>
      </c>
      <c r="SVR3" t="s">
        <v>14109</v>
      </c>
      <c r="SVS3" t="s">
        <v>14110</v>
      </c>
      <c r="SVT3" t="s">
        <v>14111</v>
      </c>
      <c r="SVU3" t="s">
        <v>14112</v>
      </c>
      <c r="SVV3" t="s">
        <v>14113</v>
      </c>
      <c r="SVW3" t="s">
        <v>14114</v>
      </c>
      <c r="SVX3" t="s">
        <v>14115</v>
      </c>
      <c r="SVY3" t="s">
        <v>14116</v>
      </c>
      <c r="SVZ3" t="s">
        <v>14117</v>
      </c>
      <c r="SWA3" t="s">
        <v>14118</v>
      </c>
      <c r="SWB3" t="s">
        <v>14119</v>
      </c>
      <c r="SWC3" t="s">
        <v>14120</v>
      </c>
      <c r="SWD3" t="s">
        <v>14121</v>
      </c>
      <c r="SWE3" t="s">
        <v>14122</v>
      </c>
      <c r="SWF3" t="s">
        <v>14123</v>
      </c>
      <c r="SWG3" t="s">
        <v>14124</v>
      </c>
      <c r="SWH3" t="s">
        <v>14125</v>
      </c>
      <c r="SWI3" t="s">
        <v>14126</v>
      </c>
      <c r="SWJ3" t="s">
        <v>14127</v>
      </c>
      <c r="SWK3" t="s">
        <v>14128</v>
      </c>
      <c r="SWL3" t="s">
        <v>14129</v>
      </c>
      <c r="SWM3" t="s">
        <v>14130</v>
      </c>
      <c r="SWN3" t="s">
        <v>14131</v>
      </c>
      <c r="SWO3" t="s">
        <v>14132</v>
      </c>
      <c r="SWP3" t="s">
        <v>14133</v>
      </c>
      <c r="SWQ3" t="s">
        <v>14134</v>
      </c>
      <c r="SWR3" t="s">
        <v>14135</v>
      </c>
      <c r="SWS3" t="s">
        <v>14136</v>
      </c>
      <c r="SWT3" t="s">
        <v>14137</v>
      </c>
      <c r="SWU3" t="s">
        <v>14138</v>
      </c>
      <c r="SWV3" t="s">
        <v>14139</v>
      </c>
      <c r="SWW3" t="s">
        <v>14140</v>
      </c>
      <c r="SWX3" t="s">
        <v>14141</v>
      </c>
      <c r="SWY3" t="s">
        <v>14142</v>
      </c>
      <c r="SWZ3" t="s">
        <v>14143</v>
      </c>
      <c r="SXA3" t="s">
        <v>14144</v>
      </c>
      <c r="SXB3" t="s">
        <v>14145</v>
      </c>
      <c r="SXC3" t="s">
        <v>14146</v>
      </c>
      <c r="SXD3" t="s">
        <v>14147</v>
      </c>
      <c r="SXE3" t="s">
        <v>14148</v>
      </c>
      <c r="SXF3" t="s">
        <v>14149</v>
      </c>
      <c r="SXG3" t="s">
        <v>14150</v>
      </c>
      <c r="SXH3" t="s">
        <v>14151</v>
      </c>
      <c r="SXI3" t="s">
        <v>14152</v>
      </c>
      <c r="SXJ3" t="s">
        <v>14153</v>
      </c>
      <c r="SXK3" t="s">
        <v>14154</v>
      </c>
      <c r="SXL3" t="s">
        <v>14155</v>
      </c>
      <c r="SXM3" t="s">
        <v>14156</v>
      </c>
      <c r="SXN3" t="s">
        <v>14157</v>
      </c>
      <c r="SXO3" t="s">
        <v>14158</v>
      </c>
      <c r="SXP3" t="s">
        <v>14159</v>
      </c>
      <c r="SXQ3" t="s">
        <v>14160</v>
      </c>
      <c r="SXR3" t="s">
        <v>14161</v>
      </c>
      <c r="SXS3" t="s">
        <v>14162</v>
      </c>
      <c r="SXT3" t="s">
        <v>14163</v>
      </c>
      <c r="SXU3" t="s">
        <v>14164</v>
      </c>
      <c r="SXV3" t="s">
        <v>14165</v>
      </c>
      <c r="SXW3" t="s">
        <v>14166</v>
      </c>
      <c r="SXX3" t="s">
        <v>14167</v>
      </c>
      <c r="SXY3" t="s">
        <v>14168</v>
      </c>
      <c r="SXZ3" t="s">
        <v>14169</v>
      </c>
      <c r="SYA3" t="s">
        <v>14170</v>
      </c>
      <c r="SYB3" t="s">
        <v>14171</v>
      </c>
      <c r="SYC3" t="s">
        <v>14172</v>
      </c>
      <c r="SYD3" t="s">
        <v>14173</v>
      </c>
      <c r="SYE3" t="s">
        <v>14174</v>
      </c>
      <c r="SYF3" t="s">
        <v>14175</v>
      </c>
      <c r="SYG3" t="s">
        <v>14176</v>
      </c>
      <c r="SYH3" t="s">
        <v>14177</v>
      </c>
      <c r="SYI3" t="s">
        <v>14178</v>
      </c>
      <c r="SYJ3" t="s">
        <v>14179</v>
      </c>
      <c r="SYK3" t="s">
        <v>14180</v>
      </c>
      <c r="SYL3" t="s">
        <v>14181</v>
      </c>
      <c r="SYM3" t="s">
        <v>14182</v>
      </c>
      <c r="SYN3" t="s">
        <v>14183</v>
      </c>
      <c r="SYO3" t="s">
        <v>14184</v>
      </c>
      <c r="SYP3" t="s">
        <v>14185</v>
      </c>
      <c r="SYQ3" t="s">
        <v>14186</v>
      </c>
      <c r="SYR3" t="s">
        <v>14187</v>
      </c>
      <c r="SYS3" t="s">
        <v>14188</v>
      </c>
      <c r="SYT3" t="s">
        <v>14189</v>
      </c>
      <c r="SYU3" t="s">
        <v>14190</v>
      </c>
      <c r="SYV3" t="s">
        <v>14191</v>
      </c>
      <c r="SYW3" t="s">
        <v>14192</v>
      </c>
      <c r="SYX3" t="s">
        <v>14193</v>
      </c>
      <c r="SYY3" t="s">
        <v>14194</v>
      </c>
      <c r="SYZ3" t="s">
        <v>14195</v>
      </c>
      <c r="SZA3" t="s">
        <v>14196</v>
      </c>
      <c r="SZB3" t="s">
        <v>14197</v>
      </c>
      <c r="SZC3" t="s">
        <v>14198</v>
      </c>
      <c r="SZD3" t="s">
        <v>14199</v>
      </c>
      <c r="SZE3" t="s">
        <v>14200</v>
      </c>
      <c r="SZF3" t="s">
        <v>14201</v>
      </c>
      <c r="SZG3" t="s">
        <v>14202</v>
      </c>
      <c r="SZH3" t="s">
        <v>14203</v>
      </c>
      <c r="SZI3" t="s">
        <v>14204</v>
      </c>
      <c r="SZJ3" t="s">
        <v>14205</v>
      </c>
      <c r="SZK3" t="s">
        <v>14206</v>
      </c>
      <c r="SZL3" t="s">
        <v>14207</v>
      </c>
      <c r="SZM3" t="s">
        <v>14208</v>
      </c>
      <c r="SZN3" t="s">
        <v>14209</v>
      </c>
      <c r="SZO3" t="s">
        <v>14210</v>
      </c>
      <c r="SZP3" t="s">
        <v>14211</v>
      </c>
      <c r="SZQ3" t="s">
        <v>14212</v>
      </c>
      <c r="SZR3" t="s">
        <v>14213</v>
      </c>
      <c r="SZS3" t="s">
        <v>14214</v>
      </c>
      <c r="SZT3" t="s">
        <v>14215</v>
      </c>
      <c r="SZU3" t="s">
        <v>14216</v>
      </c>
      <c r="SZV3" t="s">
        <v>14217</v>
      </c>
      <c r="SZW3" t="s">
        <v>14218</v>
      </c>
      <c r="SZX3" t="s">
        <v>14219</v>
      </c>
      <c r="SZY3" t="s">
        <v>14220</v>
      </c>
      <c r="SZZ3" t="s">
        <v>14221</v>
      </c>
      <c r="TAA3" t="s">
        <v>14222</v>
      </c>
      <c r="TAB3" t="s">
        <v>14223</v>
      </c>
      <c r="TAC3" t="s">
        <v>14224</v>
      </c>
      <c r="TAD3" t="s">
        <v>14225</v>
      </c>
      <c r="TAE3" t="s">
        <v>14226</v>
      </c>
      <c r="TAF3" t="s">
        <v>14227</v>
      </c>
      <c r="TAG3" t="s">
        <v>14228</v>
      </c>
      <c r="TAH3" t="s">
        <v>14229</v>
      </c>
      <c r="TAI3" t="s">
        <v>14230</v>
      </c>
      <c r="TAJ3" t="s">
        <v>14231</v>
      </c>
      <c r="TAK3" t="s">
        <v>14232</v>
      </c>
      <c r="TAL3" t="s">
        <v>14233</v>
      </c>
      <c r="TAM3" t="s">
        <v>14234</v>
      </c>
      <c r="TAN3" t="s">
        <v>14235</v>
      </c>
      <c r="TAO3" t="s">
        <v>14236</v>
      </c>
      <c r="TAP3" t="s">
        <v>14237</v>
      </c>
      <c r="TAQ3" t="s">
        <v>14238</v>
      </c>
      <c r="TAR3" t="s">
        <v>14239</v>
      </c>
      <c r="TAS3" t="s">
        <v>14240</v>
      </c>
      <c r="TAT3" t="s">
        <v>14241</v>
      </c>
      <c r="TAU3" t="s">
        <v>14242</v>
      </c>
      <c r="TAV3" t="s">
        <v>14243</v>
      </c>
      <c r="TAW3" t="s">
        <v>14244</v>
      </c>
      <c r="TAX3" t="s">
        <v>14245</v>
      </c>
      <c r="TAY3" t="s">
        <v>14246</v>
      </c>
      <c r="TAZ3" t="s">
        <v>14247</v>
      </c>
      <c r="TBA3" t="s">
        <v>14248</v>
      </c>
      <c r="TBB3" t="s">
        <v>14249</v>
      </c>
      <c r="TBC3" t="s">
        <v>14250</v>
      </c>
      <c r="TBD3" t="s">
        <v>14251</v>
      </c>
      <c r="TBE3" t="s">
        <v>14252</v>
      </c>
      <c r="TBF3" t="s">
        <v>14253</v>
      </c>
      <c r="TBG3" t="s">
        <v>14254</v>
      </c>
      <c r="TBH3" t="s">
        <v>14255</v>
      </c>
      <c r="TBI3" t="s">
        <v>14256</v>
      </c>
      <c r="TBJ3" t="s">
        <v>14257</v>
      </c>
      <c r="TBK3" t="s">
        <v>14258</v>
      </c>
      <c r="TBL3" t="s">
        <v>14259</v>
      </c>
      <c r="TBM3" t="s">
        <v>14260</v>
      </c>
      <c r="TBN3" t="s">
        <v>14261</v>
      </c>
      <c r="TBO3" t="s">
        <v>14262</v>
      </c>
      <c r="TBP3" t="s">
        <v>14263</v>
      </c>
      <c r="TBQ3" t="s">
        <v>14264</v>
      </c>
      <c r="TBR3" t="s">
        <v>14265</v>
      </c>
      <c r="TBS3" t="s">
        <v>14266</v>
      </c>
      <c r="TBT3" t="s">
        <v>14267</v>
      </c>
      <c r="TBU3" t="s">
        <v>14268</v>
      </c>
      <c r="TBV3" t="s">
        <v>14269</v>
      </c>
      <c r="TBW3" t="s">
        <v>14270</v>
      </c>
      <c r="TBX3" t="s">
        <v>14271</v>
      </c>
      <c r="TBY3" t="s">
        <v>14272</v>
      </c>
      <c r="TBZ3" t="s">
        <v>14273</v>
      </c>
      <c r="TCA3" t="s">
        <v>14274</v>
      </c>
      <c r="TCB3" t="s">
        <v>14275</v>
      </c>
      <c r="TCC3" t="s">
        <v>14276</v>
      </c>
      <c r="TCD3" t="s">
        <v>14277</v>
      </c>
      <c r="TCE3" t="s">
        <v>14278</v>
      </c>
      <c r="TCF3" t="s">
        <v>14279</v>
      </c>
      <c r="TCG3" t="s">
        <v>14280</v>
      </c>
      <c r="TCH3" t="s">
        <v>14281</v>
      </c>
      <c r="TCI3" t="s">
        <v>14282</v>
      </c>
      <c r="TCJ3" t="s">
        <v>14283</v>
      </c>
      <c r="TCK3" t="s">
        <v>14284</v>
      </c>
      <c r="TCL3" t="s">
        <v>14285</v>
      </c>
      <c r="TCM3" t="s">
        <v>14286</v>
      </c>
      <c r="TCN3" t="s">
        <v>14287</v>
      </c>
      <c r="TCO3" t="s">
        <v>14288</v>
      </c>
      <c r="TCP3" t="s">
        <v>14289</v>
      </c>
      <c r="TCQ3" t="s">
        <v>14290</v>
      </c>
      <c r="TCR3" t="s">
        <v>14291</v>
      </c>
      <c r="TCS3" t="s">
        <v>14292</v>
      </c>
      <c r="TCT3" t="s">
        <v>14293</v>
      </c>
      <c r="TCU3" t="s">
        <v>14294</v>
      </c>
      <c r="TCV3" t="s">
        <v>14295</v>
      </c>
      <c r="TCW3" t="s">
        <v>14296</v>
      </c>
      <c r="TCX3" t="s">
        <v>14297</v>
      </c>
      <c r="TCY3" t="s">
        <v>14298</v>
      </c>
      <c r="TCZ3" t="s">
        <v>14299</v>
      </c>
      <c r="TDA3" t="s">
        <v>14300</v>
      </c>
      <c r="TDB3" t="s">
        <v>14301</v>
      </c>
      <c r="TDC3" t="s">
        <v>14302</v>
      </c>
      <c r="TDD3" t="s">
        <v>14303</v>
      </c>
      <c r="TDE3" t="s">
        <v>14304</v>
      </c>
      <c r="TDF3" t="s">
        <v>14305</v>
      </c>
      <c r="TDG3" t="s">
        <v>14306</v>
      </c>
      <c r="TDH3" t="s">
        <v>14307</v>
      </c>
      <c r="TDI3" t="s">
        <v>14308</v>
      </c>
      <c r="TDJ3" t="s">
        <v>14309</v>
      </c>
      <c r="TDK3" t="s">
        <v>14310</v>
      </c>
      <c r="TDL3" t="s">
        <v>14311</v>
      </c>
      <c r="TDM3" t="s">
        <v>14312</v>
      </c>
      <c r="TDN3" t="s">
        <v>14313</v>
      </c>
      <c r="TDO3" t="s">
        <v>14314</v>
      </c>
      <c r="TDP3" t="s">
        <v>14315</v>
      </c>
      <c r="TDQ3" t="s">
        <v>14316</v>
      </c>
      <c r="TDR3" t="s">
        <v>14317</v>
      </c>
      <c r="TDS3" t="s">
        <v>14318</v>
      </c>
      <c r="TDT3" t="s">
        <v>14319</v>
      </c>
      <c r="TDU3" t="s">
        <v>14320</v>
      </c>
      <c r="TDV3" t="s">
        <v>14321</v>
      </c>
      <c r="TDW3" t="s">
        <v>14322</v>
      </c>
      <c r="TDX3" t="s">
        <v>14323</v>
      </c>
      <c r="TDY3" t="s">
        <v>14324</v>
      </c>
      <c r="TDZ3" t="s">
        <v>14325</v>
      </c>
      <c r="TEA3" t="s">
        <v>14326</v>
      </c>
      <c r="TEB3" t="s">
        <v>14327</v>
      </c>
      <c r="TEC3" t="s">
        <v>14328</v>
      </c>
      <c r="TED3" t="s">
        <v>14329</v>
      </c>
      <c r="TEE3" t="s">
        <v>14330</v>
      </c>
      <c r="TEF3" t="s">
        <v>14331</v>
      </c>
      <c r="TEG3" t="s">
        <v>14332</v>
      </c>
      <c r="TEH3" t="s">
        <v>14333</v>
      </c>
      <c r="TEI3" t="s">
        <v>14334</v>
      </c>
      <c r="TEJ3" t="s">
        <v>14335</v>
      </c>
      <c r="TEK3" t="s">
        <v>14336</v>
      </c>
      <c r="TEL3" t="s">
        <v>14337</v>
      </c>
      <c r="TEM3" t="s">
        <v>14338</v>
      </c>
      <c r="TEN3" t="s">
        <v>14339</v>
      </c>
      <c r="TEO3" t="s">
        <v>14340</v>
      </c>
      <c r="TEP3" t="s">
        <v>14341</v>
      </c>
      <c r="TEQ3" t="s">
        <v>14342</v>
      </c>
      <c r="TER3" t="s">
        <v>14343</v>
      </c>
      <c r="TES3" t="s">
        <v>14344</v>
      </c>
      <c r="TET3" t="s">
        <v>14345</v>
      </c>
      <c r="TEU3" t="s">
        <v>14346</v>
      </c>
      <c r="TEV3" t="s">
        <v>14347</v>
      </c>
      <c r="TEW3" t="s">
        <v>14348</v>
      </c>
      <c r="TEX3" t="s">
        <v>14349</v>
      </c>
      <c r="TEY3" t="s">
        <v>14350</v>
      </c>
      <c r="TEZ3" t="s">
        <v>14351</v>
      </c>
      <c r="TFA3" t="s">
        <v>14352</v>
      </c>
      <c r="TFB3" t="s">
        <v>14353</v>
      </c>
      <c r="TFC3" t="s">
        <v>14354</v>
      </c>
      <c r="TFD3" t="s">
        <v>14355</v>
      </c>
      <c r="TFE3" t="s">
        <v>14356</v>
      </c>
      <c r="TFF3" t="s">
        <v>14357</v>
      </c>
      <c r="TFG3" t="s">
        <v>14358</v>
      </c>
      <c r="TFH3" t="s">
        <v>14359</v>
      </c>
      <c r="TFI3" t="s">
        <v>14360</v>
      </c>
      <c r="TFJ3" t="s">
        <v>14361</v>
      </c>
      <c r="TFK3" t="s">
        <v>14362</v>
      </c>
      <c r="TFL3" t="s">
        <v>14363</v>
      </c>
      <c r="TFM3" t="s">
        <v>14364</v>
      </c>
      <c r="TFN3" t="s">
        <v>14365</v>
      </c>
      <c r="TFO3" t="s">
        <v>14366</v>
      </c>
      <c r="TFP3" t="s">
        <v>14367</v>
      </c>
      <c r="TFQ3" t="s">
        <v>14368</v>
      </c>
      <c r="TFR3" t="s">
        <v>14369</v>
      </c>
      <c r="TFS3" t="s">
        <v>14370</v>
      </c>
      <c r="TFT3" t="s">
        <v>14371</v>
      </c>
      <c r="TFU3" t="s">
        <v>14372</v>
      </c>
      <c r="TFV3" t="s">
        <v>14373</v>
      </c>
      <c r="TFW3" t="s">
        <v>14374</v>
      </c>
      <c r="TFX3" t="s">
        <v>14375</v>
      </c>
      <c r="TFY3" t="s">
        <v>14376</v>
      </c>
      <c r="TFZ3" t="s">
        <v>14377</v>
      </c>
      <c r="TGA3" t="s">
        <v>14378</v>
      </c>
      <c r="TGB3" t="s">
        <v>14379</v>
      </c>
      <c r="TGC3" t="s">
        <v>14380</v>
      </c>
      <c r="TGD3" t="s">
        <v>14381</v>
      </c>
      <c r="TGE3" t="s">
        <v>14382</v>
      </c>
      <c r="TGF3" t="s">
        <v>14383</v>
      </c>
      <c r="TGG3" t="s">
        <v>14384</v>
      </c>
      <c r="TGH3" t="s">
        <v>14385</v>
      </c>
      <c r="TGI3" t="s">
        <v>14386</v>
      </c>
      <c r="TGJ3" t="s">
        <v>14387</v>
      </c>
      <c r="TGK3" t="s">
        <v>14388</v>
      </c>
      <c r="TGL3" t="s">
        <v>14389</v>
      </c>
      <c r="TGM3" t="s">
        <v>14390</v>
      </c>
      <c r="TGN3" t="s">
        <v>14391</v>
      </c>
      <c r="TGO3" t="s">
        <v>14392</v>
      </c>
      <c r="TGP3" t="s">
        <v>14393</v>
      </c>
      <c r="TGQ3" t="s">
        <v>14394</v>
      </c>
      <c r="TGR3" t="s">
        <v>14395</v>
      </c>
      <c r="TGS3" t="s">
        <v>14396</v>
      </c>
      <c r="TGT3" t="s">
        <v>14397</v>
      </c>
      <c r="TGU3" t="s">
        <v>14398</v>
      </c>
      <c r="TGV3" t="s">
        <v>14399</v>
      </c>
      <c r="TGW3" t="s">
        <v>14400</v>
      </c>
      <c r="TGX3" t="s">
        <v>14401</v>
      </c>
      <c r="TGY3" t="s">
        <v>14402</v>
      </c>
      <c r="TGZ3" t="s">
        <v>14403</v>
      </c>
      <c r="THA3" t="s">
        <v>14404</v>
      </c>
      <c r="THB3" t="s">
        <v>14405</v>
      </c>
      <c r="THC3" t="s">
        <v>14406</v>
      </c>
      <c r="THD3" t="s">
        <v>14407</v>
      </c>
      <c r="THE3" t="s">
        <v>14408</v>
      </c>
      <c r="THF3" t="s">
        <v>14409</v>
      </c>
      <c r="THG3" t="s">
        <v>14410</v>
      </c>
      <c r="THH3" t="s">
        <v>14411</v>
      </c>
      <c r="THI3" t="s">
        <v>14412</v>
      </c>
      <c r="THJ3" t="s">
        <v>14413</v>
      </c>
      <c r="THK3" t="s">
        <v>14414</v>
      </c>
      <c r="THL3" t="s">
        <v>14415</v>
      </c>
      <c r="THM3" t="s">
        <v>14416</v>
      </c>
      <c r="THN3" t="s">
        <v>14417</v>
      </c>
      <c r="THO3" t="s">
        <v>14418</v>
      </c>
      <c r="THP3" t="s">
        <v>14419</v>
      </c>
      <c r="THQ3" t="s">
        <v>14420</v>
      </c>
      <c r="THR3" t="s">
        <v>14421</v>
      </c>
      <c r="THS3" t="s">
        <v>14422</v>
      </c>
      <c r="THT3" t="s">
        <v>14423</v>
      </c>
      <c r="THU3" t="s">
        <v>14424</v>
      </c>
      <c r="THV3" t="s">
        <v>14425</v>
      </c>
      <c r="THW3" t="s">
        <v>14426</v>
      </c>
      <c r="THX3" t="s">
        <v>14427</v>
      </c>
      <c r="THY3" t="s">
        <v>14428</v>
      </c>
      <c r="THZ3" t="s">
        <v>14429</v>
      </c>
      <c r="TIA3" t="s">
        <v>14430</v>
      </c>
      <c r="TIB3" t="s">
        <v>14431</v>
      </c>
      <c r="TIC3" t="s">
        <v>14432</v>
      </c>
      <c r="TID3" t="s">
        <v>14433</v>
      </c>
      <c r="TIE3" t="s">
        <v>14434</v>
      </c>
      <c r="TIF3" t="s">
        <v>14435</v>
      </c>
      <c r="TIG3" t="s">
        <v>14436</v>
      </c>
      <c r="TIH3" t="s">
        <v>14437</v>
      </c>
      <c r="TII3" t="s">
        <v>14438</v>
      </c>
      <c r="TIJ3" t="s">
        <v>14439</v>
      </c>
      <c r="TIK3" t="s">
        <v>14440</v>
      </c>
      <c r="TIL3" t="s">
        <v>14441</v>
      </c>
      <c r="TIM3" t="s">
        <v>14442</v>
      </c>
      <c r="TIN3" t="s">
        <v>14443</v>
      </c>
      <c r="TIO3" t="s">
        <v>14444</v>
      </c>
      <c r="TIP3" t="s">
        <v>14445</v>
      </c>
      <c r="TIQ3" t="s">
        <v>14446</v>
      </c>
      <c r="TIR3" t="s">
        <v>14447</v>
      </c>
      <c r="TIS3" t="s">
        <v>14448</v>
      </c>
      <c r="TIT3" t="s">
        <v>14449</v>
      </c>
      <c r="TIU3" t="s">
        <v>14450</v>
      </c>
      <c r="TIV3" t="s">
        <v>14451</v>
      </c>
      <c r="TIW3" t="s">
        <v>14452</v>
      </c>
      <c r="TIX3" t="s">
        <v>14453</v>
      </c>
      <c r="TIY3" t="s">
        <v>14454</v>
      </c>
      <c r="TIZ3" t="s">
        <v>14455</v>
      </c>
      <c r="TJA3" t="s">
        <v>14456</v>
      </c>
      <c r="TJB3" t="s">
        <v>14457</v>
      </c>
      <c r="TJC3" t="s">
        <v>14458</v>
      </c>
      <c r="TJD3" t="s">
        <v>14459</v>
      </c>
      <c r="TJE3" t="s">
        <v>14460</v>
      </c>
      <c r="TJF3" t="s">
        <v>14461</v>
      </c>
      <c r="TJG3" t="s">
        <v>14462</v>
      </c>
      <c r="TJH3" t="s">
        <v>14463</v>
      </c>
      <c r="TJI3" t="s">
        <v>14464</v>
      </c>
      <c r="TJJ3" t="s">
        <v>14465</v>
      </c>
      <c r="TJK3" t="s">
        <v>14466</v>
      </c>
      <c r="TJL3" t="s">
        <v>14467</v>
      </c>
      <c r="TJM3" t="s">
        <v>14468</v>
      </c>
      <c r="TJN3" t="s">
        <v>14469</v>
      </c>
      <c r="TJO3" t="s">
        <v>14470</v>
      </c>
      <c r="TJP3" t="s">
        <v>14471</v>
      </c>
      <c r="TJQ3" t="s">
        <v>14472</v>
      </c>
      <c r="TJR3" t="s">
        <v>14473</v>
      </c>
      <c r="TJS3" t="s">
        <v>14474</v>
      </c>
      <c r="TJT3" t="s">
        <v>14475</v>
      </c>
      <c r="TJU3" t="s">
        <v>14476</v>
      </c>
      <c r="TJV3" t="s">
        <v>14477</v>
      </c>
      <c r="TJW3" t="s">
        <v>14478</v>
      </c>
      <c r="TJX3" t="s">
        <v>14479</v>
      </c>
      <c r="TJY3" t="s">
        <v>14480</v>
      </c>
      <c r="TJZ3" t="s">
        <v>14481</v>
      </c>
      <c r="TKA3" t="s">
        <v>14482</v>
      </c>
      <c r="TKB3" t="s">
        <v>14483</v>
      </c>
      <c r="TKC3" t="s">
        <v>14484</v>
      </c>
      <c r="TKD3" t="s">
        <v>14485</v>
      </c>
      <c r="TKE3" t="s">
        <v>14486</v>
      </c>
      <c r="TKF3" t="s">
        <v>14487</v>
      </c>
      <c r="TKG3" t="s">
        <v>14488</v>
      </c>
      <c r="TKH3" t="s">
        <v>14489</v>
      </c>
      <c r="TKI3" t="s">
        <v>14490</v>
      </c>
      <c r="TKJ3" t="s">
        <v>14491</v>
      </c>
      <c r="TKK3" t="s">
        <v>14492</v>
      </c>
      <c r="TKL3" t="s">
        <v>14493</v>
      </c>
      <c r="TKM3" t="s">
        <v>14494</v>
      </c>
      <c r="TKN3" t="s">
        <v>14495</v>
      </c>
      <c r="TKO3" t="s">
        <v>14496</v>
      </c>
      <c r="TKP3" t="s">
        <v>14497</v>
      </c>
      <c r="TKQ3" t="s">
        <v>14498</v>
      </c>
      <c r="TKR3" t="s">
        <v>14499</v>
      </c>
      <c r="TKS3" t="s">
        <v>14500</v>
      </c>
      <c r="TKT3" t="s">
        <v>14501</v>
      </c>
      <c r="TKU3" t="s">
        <v>14502</v>
      </c>
      <c r="TKV3" t="s">
        <v>14503</v>
      </c>
      <c r="TKW3" t="s">
        <v>14504</v>
      </c>
      <c r="TKX3" t="s">
        <v>14505</v>
      </c>
      <c r="TKY3" t="s">
        <v>14506</v>
      </c>
      <c r="TKZ3" t="s">
        <v>14507</v>
      </c>
      <c r="TLA3" t="s">
        <v>14508</v>
      </c>
      <c r="TLB3" t="s">
        <v>14509</v>
      </c>
      <c r="TLC3" t="s">
        <v>14510</v>
      </c>
      <c r="TLD3" t="s">
        <v>14511</v>
      </c>
      <c r="TLE3" t="s">
        <v>14512</v>
      </c>
      <c r="TLF3" t="s">
        <v>14513</v>
      </c>
      <c r="TLG3" t="s">
        <v>14514</v>
      </c>
      <c r="TLH3" t="s">
        <v>14515</v>
      </c>
      <c r="TLI3" t="s">
        <v>14516</v>
      </c>
      <c r="TLJ3" t="s">
        <v>14517</v>
      </c>
      <c r="TLK3" t="s">
        <v>14518</v>
      </c>
      <c r="TLL3" t="s">
        <v>14519</v>
      </c>
      <c r="TLM3" t="s">
        <v>14520</v>
      </c>
      <c r="TLN3" t="s">
        <v>14521</v>
      </c>
      <c r="TLO3" t="s">
        <v>14522</v>
      </c>
      <c r="TLP3" t="s">
        <v>14523</v>
      </c>
      <c r="TLQ3" t="s">
        <v>14524</v>
      </c>
      <c r="TLR3" t="s">
        <v>14525</v>
      </c>
      <c r="TLS3" t="s">
        <v>14526</v>
      </c>
      <c r="TLT3" t="s">
        <v>14527</v>
      </c>
      <c r="TLU3" t="s">
        <v>14528</v>
      </c>
      <c r="TLV3" t="s">
        <v>14529</v>
      </c>
      <c r="TLW3" t="s">
        <v>14530</v>
      </c>
      <c r="TLX3" t="s">
        <v>14531</v>
      </c>
      <c r="TLY3" t="s">
        <v>14532</v>
      </c>
      <c r="TLZ3" t="s">
        <v>14533</v>
      </c>
      <c r="TMA3" t="s">
        <v>14534</v>
      </c>
      <c r="TMB3" t="s">
        <v>14535</v>
      </c>
      <c r="TMC3" t="s">
        <v>14536</v>
      </c>
      <c r="TMD3" t="s">
        <v>14537</v>
      </c>
      <c r="TME3" t="s">
        <v>14538</v>
      </c>
      <c r="TMF3" t="s">
        <v>14539</v>
      </c>
      <c r="TMG3" t="s">
        <v>14540</v>
      </c>
      <c r="TMH3" t="s">
        <v>14541</v>
      </c>
      <c r="TMI3" t="s">
        <v>14542</v>
      </c>
      <c r="TMJ3" t="s">
        <v>14543</v>
      </c>
      <c r="TMK3" t="s">
        <v>14544</v>
      </c>
      <c r="TML3" t="s">
        <v>14545</v>
      </c>
      <c r="TMM3" t="s">
        <v>14546</v>
      </c>
      <c r="TMN3" t="s">
        <v>14547</v>
      </c>
      <c r="TMO3" t="s">
        <v>14548</v>
      </c>
      <c r="TMP3" t="s">
        <v>14549</v>
      </c>
      <c r="TMQ3" t="s">
        <v>14550</v>
      </c>
      <c r="TMR3" t="s">
        <v>14551</v>
      </c>
      <c r="TMS3" t="s">
        <v>14552</v>
      </c>
      <c r="TMT3" t="s">
        <v>14553</v>
      </c>
      <c r="TMU3" t="s">
        <v>14554</v>
      </c>
      <c r="TMV3" t="s">
        <v>14555</v>
      </c>
      <c r="TMW3" t="s">
        <v>14556</v>
      </c>
      <c r="TMX3" t="s">
        <v>14557</v>
      </c>
      <c r="TMY3" t="s">
        <v>14558</v>
      </c>
      <c r="TMZ3" t="s">
        <v>14559</v>
      </c>
      <c r="TNA3" t="s">
        <v>14560</v>
      </c>
      <c r="TNB3" t="s">
        <v>14561</v>
      </c>
      <c r="TNC3" t="s">
        <v>14562</v>
      </c>
      <c r="TND3" t="s">
        <v>14563</v>
      </c>
      <c r="TNE3" t="s">
        <v>14564</v>
      </c>
      <c r="TNF3" t="s">
        <v>14565</v>
      </c>
      <c r="TNG3" t="s">
        <v>14566</v>
      </c>
      <c r="TNH3" t="s">
        <v>14567</v>
      </c>
      <c r="TNI3" t="s">
        <v>14568</v>
      </c>
      <c r="TNJ3" t="s">
        <v>14569</v>
      </c>
      <c r="TNK3" t="s">
        <v>14570</v>
      </c>
      <c r="TNL3" t="s">
        <v>14571</v>
      </c>
      <c r="TNM3" t="s">
        <v>14572</v>
      </c>
      <c r="TNN3" t="s">
        <v>14573</v>
      </c>
      <c r="TNO3" t="s">
        <v>14574</v>
      </c>
      <c r="TNP3" t="s">
        <v>14575</v>
      </c>
      <c r="TNQ3" t="s">
        <v>14576</v>
      </c>
      <c r="TNR3" t="s">
        <v>14577</v>
      </c>
      <c r="TNS3" t="s">
        <v>14578</v>
      </c>
      <c r="TNT3" t="s">
        <v>14579</v>
      </c>
      <c r="TNU3" t="s">
        <v>14580</v>
      </c>
      <c r="TNV3" t="s">
        <v>14581</v>
      </c>
      <c r="TNW3" t="s">
        <v>14582</v>
      </c>
      <c r="TNX3" t="s">
        <v>14583</v>
      </c>
      <c r="TNY3" t="s">
        <v>14584</v>
      </c>
      <c r="TNZ3" t="s">
        <v>14585</v>
      </c>
      <c r="TOA3" t="s">
        <v>14586</v>
      </c>
      <c r="TOB3" t="s">
        <v>14587</v>
      </c>
      <c r="TOC3" t="s">
        <v>14588</v>
      </c>
      <c r="TOD3" t="s">
        <v>14589</v>
      </c>
      <c r="TOE3" t="s">
        <v>14590</v>
      </c>
      <c r="TOF3" t="s">
        <v>14591</v>
      </c>
      <c r="TOG3" t="s">
        <v>14592</v>
      </c>
      <c r="TOH3" t="s">
        <v>14593</v>
      </c>
      <c r="TOI3" t="s">
        <v>14594</v>
      </c>
      <c r="TOJ3" t="s">
        <v>14595</v>
      </c>
      <c r="TOK3" t="s">
        <v>14596</v>
      </c>
      <c r="TOL3" t="s">
        <v>14597</v>
      </c>
      <c r="TOM3" t="s">
        <v>14598</v>
      </c>
      <c r="TON3" t="s">
        <v>14599</v>
      </c>
      <c r="TOO3" t="s">
        <v>14600</v>
      </c>
      <c r="TOP3" t="s">
        <v>14601</v>
      </c>
      <c r="TOQ3" t="s">
        <v>14602</v>
      </c>
      <c r="TOR3" t="s">
        <v>14603</v>
      </c>
      <c r="TOS3" t="s">
        <v>14604</v>
      </c>
      <c r="TOT3" t="s">
        <v>14605</v>
      </c>
      <c r="TOU3" t="s">
        <v>14606</v>
      </c>
      <c r="TOV3" t="s">
        <v>14607</v>
      </c>
      <c r="TOW3" t="s">
        <v>14608</v>
      </c>
      <c r="TOX3" t="s">
        <v>14609</v>
      </c>
      <c r="TOY3" t="s">
        <v>14610</v>
      </c>
      <c r="TOZ3" t="s">
        <v>14611</v>
      </c>
      <c r="TPA3" t="s">
        <v>14612</v>
      </c>
      <c r="TPB3" t="s">
        <v>14613</v>
      </c>
      <c r="TPC3" t="s">
        <v>14614</v>
      </c>
      <c r="TPD3" t="s">
        <v>14615</v>
      </c>
      <c r="TPE3" t="s">
        <v>14616</v>
      </c>
      <c r="TPF3" t="s">
        <v>14617</v>
      </c>
      <c r="TPG3" t="s">
        <v>14618</v>
      </c>
      <c r="TPH3" t="s">
        <v>14619</v>
      </c>
      <c r="TPI3" t="s">
        <v>14620</v>
      </c>
      <c r="TPJ3" t="s">
        <v>14621</v>
      </c>
      <c r="TPK3" t="s">
        <v>14622</v>
      </c>
      <c r="TPL3" t="s">
        <v>14623</v>
      </c>
      <c r="TPM3" t="s">
        <v>14624</v>
      </c>
      <c r="TPN3" t="s">
        <v>14625</v>
      </c>
      <c r="TPO3" t="s">
        <v>14626</v>
      </c>
      <c r="TPP3" t="s">
        <v>14627</v>
      </c>
      <c r="TPQ3" t="s">
        <v>14628</v>
      </c>
      <c r="TPR3" t="s">
        <v>14629</v>
      </c>
      <c r="TPS3" t="s">
        <v>14630</v>
      </c>
      <c r="TPT3" t="s">
        <v>14631</v>
      </c>
      <c r="TPU3" t="s">
        <v>14632</v>
      </c>
      <c r="TPV3" t="s">
        <v>14633</v>
      </c>
      <c r="TPW3" t="s">
        <v>14634</v>
      </c>
      <c r="TPX3" t="s">
        <v>14635</v>
      </c>
      <c r="TPY3" t="s">
        <v>14636</v>
      </c>
      <c r="TPZ3" t="s">
        <v>14637</v>
      </c>
      <c r="TQA3" t="s">
        <v>14638</v>
      </c>
      <c r="TQB3" t="s">
        <v>14639</v>
      </c>
      <c r="TQC3" t="s">
        <v>14640</v>
      </c>
      <c r="TQD3" t="s">
        <v>14641</v>
      </c>
      <c r="TQE3" t="s">
        <v>14642</v>
      </c>
      <c r="TQF3" t="s">
        <v>14643</v>
      </c>
      <c r="TQG3" t="s">
        <v>14644</v>
      </c>
      <c r="TQH3" t="s">
        <v>14645</v>
      </c>
      <c r="TQI3" t="s">
        <v>14646</v>
      </c>
      <c r="TQJ3" t="s">
        <v>14647</v>
      </c>
      <c r="TQK3" t="s">
        <v>14648</v>
      </c>
      <c r="TQL3" t="s">
        <v>14649</v>
      </c>
      <c r="TQM3" t="s">
        <v>14650</v>
      </c>
      <c r="TQN3" t="s">
        <v>14651</v>
      </c>
      <c r="TQO3" t="s">
        <v>14652</v>
      </c>
      <c r="TQP3" t="s">
        <v>14653</v>
      </c>
      <c r="TQQ3" t="s">
        <v>14654</v>
      </c>
      <c r="TQR3" t="s">
        <v>14655</v>
      </c>
      <c r="TQS3" t="s">
        <v>14656</v>
      </c>
      <c r="TQT3" t="s">
        <v>14657</v>
      </c>
      <c r="TQU3" t="s">
        <v>14658</v>
      </c>
      <c r="TQV3" t="s">
        <v>14659</v>
      </c>
      <c r="TQW3" t="s">
        <v>14660</v>
      </c>
      <c r="TQX3" t="s">
        <v>14661</v>
      </c>
      <c r="TQY3" t="s">
        <v>14662</v>
      </c>
      <c r="TQZ3" t="s">
        <v>14663</v>
      </c>
      <c r="TRA3" t="s">
        <v>14664</v>
      </c>
      <c r="TRB3" t="s">
        <v>14665</v>
      </c>
      <c r="TRC3" t="s">
        <v>14666</v>
      </c>
      <c r="TRD3" t="s">
        <v>14667</v>
      </c>
      <c r="TRE3" t="s">
        <v>14668</v>
      </c>
      <c r="TRF3" t="s">
        <v>14669</v>
      </c>
      <c r="TRG3" t="s">
        <v>14670</v>
      </c>
      <c r="TRH3" t="s">
        <v>14671</v>
      </c>
      <c r="TRI3" t="s">
        <v>14672</v>
      </c>
      <c r="TRJ3" t="s">
        <v>14673</v>
      </c>
      <c r="TRK3" t="s">
        <v>14674</v>
      </c>
      <c r="TRL3" t="s">
        <v>14675</v>
      </c>
      <c r="TRM3" t="s">
        <v>14676</v>
      </c>
      <c r="TRN3" t="s">
        <v>14677</v>
      </c>
      <c r="TRO3" t="s">
        <v>14678</v>
      </c>
      <c r="TRP3" t="s">
        <v>14679</v>
      </c>
      <c r="TRQ3" t="s">
        <v>14680</v>
      </c>
      <c r="TRR3" t="s">
        <v>14681</v>
      </c>
      <c r="TRS3" t="s">
        <v>14682</v>
      </c>
      <c r="TRT3" t="s">
        <v>14683</v>
      </c>
      <c r="TRU3" t="s">
        <v>14684</v>
      </c>
      <c r="TRV3" t="s">
        <v>14685</v>
      </c>
      <c r="TRW3" t="s">
        <v>14686</v>
      </c>
      <c r="TRX3" t="s">
        <v>14687</v>
      </c>
      <c r="TRY3" t="s">
        <v>14688</v>
      </c>
      <c r="TRZ3" t="s">
        <v>14689</v>
      </c>
      <c r="TSA3" t="s">
        <v>14690</v>
      </c>
      <c r="TSB3" t="s">
        <v>14691</v>
      </c>
      <c r="TSC3" t="s">
        <v>14692</v>
      </c>
      <c r="TSD3" t="s">
        <v>14693</v>
      </c>
      <c r="TSE3" t="s">
        <v>14694</v>
      </c>
      <c r="TSF3" t="s">
        <v>14695</v>
      </c>
      <c r="TSG3" t="s">
        <v>14696</v>
      </c>
      <c r="TSH3" t="s">
        <v>14697</v>
      </c>
      <c r="TSI3" t="s">
        <v>14698</v>
      </c>
      <c r="TSJ3" t="s">
        <v>14699</v>
      </c>
      <c r="TSK3" t="s">
        <v>14700</v>
      </c>
      <c r="TSL3" t="s">
        <v>14701</v>
      </c>
      <c r="TSM3" t="s">
        <v>14702</v>
      </c>
      <c r="TSN3" t="s">
        <v>14703</v>
      </c>
      <c r="TSO3" t="s">
        <v>14704</v>
      </c>
      <c r="TSP3" t="s">
        <v>14705</v>
      </c>
      <c r="TSQ3" t="s">
        <v>14706</v>
      </c>
      <c r="TSR3" t="s">
        <v>14707</v>
      </c>
      <c r="TSS3" t="s">
        <v>14708</v>
      </c>
      <c r="TST3" t="s">
        <v>14709</v>
      </c>
      <c r="TSU3" t="s">
        <v>14710</v>
      </c>
      <c r="TSV3" t="s">
        <v>14711</v>
      </c>
      <c r="TSW3" t="s">
        <v>14712</v>
      </c>
      <c r="TSX3" t="s">
        <v>14713</v>
      </c>
      <c r="TSY3" t="s">
        <v>14714</v>
      </c>
      <c r="TSZ3" t="s">
        <v>14715</v>
      </c>
      <c r="TTA3" t="s">
        <v>14716</v>
      </c>
      <c r="TTB3" t="s">
        <v>14717</v>
      </c>
      <c r="TTC3" t="s">
        <v>14718</v>
      </c>
      <c r="TTD3" t="s">
        <v>14719</v>
      </c>
      <c r="TTE3" t="s">
        <v>14720</v>
      </c>
      <c r="TTF3" t="s">
        <v>14721</v>
      </c>
      <c r="TTG3" t="s">
        <v>14722</v>
      </c>
      <c r="TTH3" t="s">
        <v>14723</v>
      </c>
      <c r="TTI3" t="s">
        <v>14724</v>
      </c>
      <c r="TTJ3" t="s">
        <v>14725</v>
      </c>
      <c r="TTK3" t="s">
        <v>14726</v>
      </c>
      <c r="TTL3" t="s">
        <v>14727</v>
      </c>
      <c r="TTM3" t="s">
        <v>14728</v>
      </c>
      <c r="TTN3" t="s">
        <v>14729</v>
      </c>
      <c r="TTO3" t="s">
        <v>14730</v>
      </c>
      <c r="TTP3" t="s">
        <v>14731</v>
      </c>
      <c r="TTQ3" t="s">
        <v>14732</v>
      </c>
      <c r="TTR3" t="s">
        <v>14733</v>
      </c>
      <c r="TTS3" t="s">
        <v>14734</v>
      </c>
      <c r="TTT3" t="s">
        <v>14735</v>
      </c>
      <c r="TTU3" t="s">
        <v>14736</v>
      </c>
      <c r="TTV3" t="s">
        <v>14737</v>
      </c>
      <c r="TTW3" t="s">
        <v>14738</v>
      </c>
      <c r="TTX3" t="s">
        <v>14739</v>
      </c>
      <c r="TTY3" t="s">
        <v>14740</v>
      </c>
      <c r="TTZ3" t="s">
        <v>14741</v>
      </c>
      <c r="TUA3" t="s">
        <v>14742</v>
      </c>
      <c r="TUB3" t="s">
        <v>14743</v>
      </c>
      <c r="TUC3" t="s">
        <v>14744</v>
      </c>
      <c r="TUD3" t="s">
        <v>14745</v>
      </c>
      <c r="TUE3" t="s">
        <v>14746</v>
      </c>
      <c r="TUF3" t="s">
        <v>14747</v>
      </c>
      <c r="TUG3" t="s">
        <v>14748</v>
      </c>
      <c r="TUH3" t="s">
        <v>14749</v>
      </c>
      <c r="TUI3" t="s">
        <v>14750</v>
      </c>
      <c r="TUJ3" t="s">
        <v>14751</v>
      </c>
      <c r="TUK3" t="s">
        <v>14752</v>
      </c>
      <c r="TUL3" t="s">
        <v>14753</v>
      </c>
      <c r="TUM3" t="s">
        <v>14754</v>
      </c>
      <c r="TUN3" t="s">
        <v>14755</v>
      </c>
      <c r="TUO3" t="s">
        <v>14756</v>
      </c>
      <c r="TUP3" t="s">
        <v>14757</v>
      </c>
      <c r="TUQ3" t="s">
        <v>14758</v>
      </c>
      <c r="TUR3" t="s">
        <v>14759</v>
      </c>
      <c r="TUS3" t="s">
        <v>14760</v>
      </c>
      <c r="TUT3" t="s">
        <v>14761</v>
      </c>
      <c r="TUU3" t="s">
        <v>14762</v>
      </c>
      <c r="TUV3" t="s">
        <v>14763</v>
      </c>
      <c r="TUW3" t="s">
        <v>14764</v>
      </c>
      <c r="TUX3" t="s">
        <v>14765</v>
      </c>
      <c r="TUY3" t="s">
        <v>14766</v>
      </c>
      <c r="TUZ3" t="s">
        <v>14767</v>
      </c>
      <c r="TVA3" t="s">
        <v>14768</v>
      </c>
      <c r="TVB3" t="s">
        <v>14769</v>
      </c>
      <c r="TVC3" t="s">
        <v>14770</v>
      </c>
      <c r="TVD3" t="s">
        <v>14771</v>
      </c>
      <c r="TVE3" t="s">
        <v>14772</v>
      </c>
      <c r="TVF3" t="s">
        <v>14773</v>
      </c>
      <c r="TVG3" t="s">
        <v>14774</v>
      </c>
      <c r="TVH3" t="s">
        <v>14775</v>
      </c>
      <c r="TVI3" t="s">
        <v>14776</v>
      </c>
      <c r="TVJ3" t="s">
        <v>14777</v>
      </c>
      <c r="TVK3" t="s">
        <v>14778</v>
      </c>
      <c r="TVL3" t="s">
        <v>14779</v>
      </c>
      <c r="TVM3" t="s">
        <v>14780</v>
      </c>
      <c r="TVN3" t="s">
        <v>14781</v>
      </c>
      <c r="TVO3" t="s">
        <v>14782</v>
      </c>
      <c r="TVP3" t="s">
        <v>14783</v>
      </c>
      <c r="TVQ3" t="s">
        <v>14784</v>
      </c>
      <c r="TVR3" t="s">
        <v>14785</v>
      </c>
      <c r="TVS3" t="s">
        <v>14786</v>
      </c>
      <c r="TVT3" t="s">
        <v>14787</v>
      </c>
      <c r="TVU3" t="s">
        <v>14788</v>
      </c>
      <c r="TVV3" t="s">
        <v>14789</v>
      </c>
      <c r="TVW3" t="s">
        <v>14790</v>
      </c>
      <c r="TVX3" t="s">
        <v>14791</v>
      </c>
      <c r="TVY3" t="s">
        <v>14792</v>
      </c>
      <c r="TVZ3" t="s">
        <v>14793</v>
      </c>
      <c r="TWA3" t="s">
        <v>14794</v>
      </c>
      <c r="TWB3" t="s">
        <v>14795</v>
      </c>
      <c r="TWC3" t="s">
        <v>14796</v>
      </c>
      <c r="TWD3" t="s">
        <v>14797</v>
      </c>
      <c r="TWE3" t="s">
        <v>14798</v>
      </c>
      <c r="TWF3" t="s">
        <v>14799</v>
      </c>
      <c r="TWG3" t="s">
        <v>14800</v>
      </c>
      <c r="TWH3" t="s">
        <v>14801</v>
      </c>
      <c r="TWI3" t="s">
        <v>14802</v>
      </c>
      <c r="TWJ3" t="s">
        <v>14803</v>
      </c>
      <c r="TWK3" t="s">
        <v>14804</v>
      </c>
      <c r="TWL3" t="s">
        <v>14805</v>
      </c>
      <c r="TWM3" t="s">
        <v>14806</v>
      </c>
      <c r="TWN3" t="s">
        <v>14807</v>
      </c>
      <c r="TWO3" t="s">
        <v>14808</v>
      </c>
      <c r="TWP3" t="s">
        <v>14809</v>
      </c>
      <c r="TWQ3" t="s">
        <v>14810</v>
      </c>
      <c r="TWR3" t="s">
        <v>14811</v>
      </c>
      <c r="TWS3" t="s">
        <v>14812</v>
      </c>
      <c r="TWT3" t="s">
        <v>14813</v>
      </c>
      <c r="TWU3" t="s">
        <v>14814</v>
      </c>
      <c r="TWV3" t="s">
        <v>14815</v>
      </c>
      <c r="TWW3" t="s">
        <v>14816</v>
      </c>
      <c r="TWX3" t="s">
        <v>14817</v>
      </c>
      <c r="TWY3" t="s">
        <v>14818</v>
      </c>
      <c r="TWZ3" t="s">
        <v>14819</v>
      </c>
      <c r="TXA3" t="s">
        <v>14820</v>
      </c>
      <c r="TXB3" t="s">
        <v>14821</v>
      </c>
      <c r="TXC3" t="s">
        <v>14822</v>
      </c>
      <c r="TXD3" t="s">
        <v>14823</v>
      </c>
      <c r="TXE3" t="s">
        <v>14824</v>
      </c>
      <c r="TXF3" t="s">
        <v>14825</v>
      </c>
      <c r="TXG3" t="s">
        <v>14826</v>
      </c>
      <c r="TXH3" t="s">
        <v>14827</v>
      </c>
      <c r="TXI3" t="s">
        <v>14828</v>
      </c>
      <c r="TXJ3" t="s">
        <v>14829</v>
      </c>
      <c r="TXK3" t="s">
        <v>14830</v>
      </c>
      <c r="TXL3" t="s">
        <v>14831</v>
      </c>
      <c r="TXM3" t="s">
        <v>14832</v>
      </c>
      <c r="TXN3" t="s">
        <v>14833</v>
      </c>
      <c r="TXO3" t="s">
        <v>14834</v>
      </c>
      <c r="TXP3" t="s">
        <v>14835</v>
      </c>
      <c r="TXQ3" t="s">
        <v>14836</v>
      </c>
      <c r="TXR3" t="s">
        <v>14837</v>
      </c>
      <c r="TXS3" t="s">
        <v>14838</v>
      </c>
      <c r="TXT3" t="s">
        <v>14839</v>
      </c>
      <c r="TXU3" t="s">
        <v>14840</v>
      </c>
      <c r="TXV3" t="s">
        <v>14841</v>
      </c>
      <c r="TXW3" t="s">
        <v>14842</v>
      </c>
      <c r="TXX3" t="s">
        <v>14843</v>
      </c>
      <c r="TXY3" t="s">
        <v>14844</v>
      </c>
      <c r="TXZ3" t="s">
        <v>14845</v>
      </c>
      <c r="TYA3" t="s">
        <v>14846</v>
      </c>
      <c r="TYB3" t="s">
        <v>14847</v>
      </c>
      <c r="TYC3" t="s">
        <v>14848</v>
      </c>
      <c r="TYD3" t="s">
        <v>14849</v>
      </c>
      <c r="TYE3" t="s">
        <v>14850</v>
      </c>
      <c r="TYF3" t="s">
        <v>14851</v>
      </c>
      <c r="TYG3" t="s">
        <v>14852</v>
      </c>
      <c r="TYH3" t="s">
        <v>14853</v>
      </c>
      <c r="TYI3" t="s">
        <v>14854</v>
      </c>
      <c r="TYJ3" t="s">
        <v>14855</v>
      </c>
      <c r="TYK3" t="s">
        <v>14856</v>
      </c>
      <c r="TYL3" t="s">
        <v>14857</v>
      </c>
      <c r="TYM3" t="s">
        <v>14858</v>
      </c>
      <c r="TYN3" t="s">
        <v>14859</v>
      </c>
      <c r="TYO3" t="s">
        <v>14860</v>
      </c>
      <c r="TYP3" t="s">
        <v>14861</v>
      </c>
      <c r="TYQ3" t="s">
        <v>14862</v>
      </c>
      <c r="TYR3" t="s">
        <v>14863</v>
      </c>
      <c r="TYS3" t="s">
        <v>14864</v>
      </c>
      <c r="TYT3" t="s">
        <v>14865</v>
      </c>
      <c r="TYU3" t="s">
        <v>14866</v>
      </c>
      <c r="TYV3" t="s">
        <v>14867</v>
      </c>
      <c r="TYW3" t="s">
        <v>14868</v>
      </c>
      <c r="TYX3" t="s">
        <v>14869</v>
      </c>
      <c r="TYY3" t="s">
        <v>14870</v>
      </c>
      <c r="TYZ3" t="s">
        <v>14871</v>
      </c>
      <c r="TZA3" t="s">
        <v>14872</v>
      </c>
      <c r="TZB3" t="s">
        <v>14873</v>
      </c>
      <c r="TZC3" t="s">
        <v>14874</v>
      </c>
      <c r="TZD3" t="s">
        <v>14875</v>
      </c>
      <c r="TZE3" t="s">
        <v>14876</v>
      </c>
      <c r="TZF3" t="s">
        <v>14877</v>
      </c>
      <c r="TZG3" t="s">
        <v>14878</v>
      </c>
      <c r="TZH3" t="s">
        <v>14879</v>
      </c>
      <c r="TZI3" t="s">
        <v>14880</v>
      </c>
      <c r="TZJ3" t="s">
        <v>14881</v>
      </c>
      <c r="TZK3" t="s">
        <v>14882</v>
      </c>
      <c r="TZL3" t="s">
        <v>14883</v>
      </c>
      <c r="TZM3" t="s">
        <v>14884</v>
      </c>
      <c r="TZN3" t="s">
        <v>14885</v>
      </c>
      <c r="TZO3" t="s">
        <v>14886</v>
      </c>
      <c r="TZP3" t="s">
        <v>14887</v>
      </c>
      <c r="TZQ3" t="s">
        <v>14888</v>
      </c>
      <c r="TZR3" t="s">
        <v>14889</v>
      </c>
      <c r="TZS3" t="s">
        <v>14890</v>
      </c>
      <c r="TZT3" t="s">
        <v>14891</v>
      </c>
      <c r="TZU3" t="s">
        <v>14892</v>
      </c>
      <c r="TZV3" t="s">
        <v>14893</v>
      </c>
      <c r="TZW3" t="s">
        <v>14894</v>
      </c>
      <c r="TZX3" t="s">
        <v>14895</v>
      </c>
      <c r="TZY3" t="s">
        <v>14896</v>
      </c>
      <c r="TZZ3" t="s">
        <v>14897</v>
      </c>
      <c r="UAA3" t="s">
        <v>14898</v>
      </c>
      <c r="UAB3" t="s">
        <v>14899</v>
      </c>
      <c r="UAC3" t="s">
        <v>14900</v>
      </c>
      <c r="UAD3" t="s">
        <v>14901</v>
      </c>
      <c r="UAE3" t="s">
        <v>14902</v>
      </c>
      <c r="UAF3" t="s">
        <v>14903</v>
      </c>
      <c r="UAG3" t="s">
        <v>14904</v>
      </c>
      <c r="UAH3" t="s">
        <v>14905</v>
      </c>
      <c r="UAI3" t="s">
        <v>14906</v>
      </c>
      <c r="UAJ3" t="s">
        <v>14907</v>
      </c>
      <c r="UAK3" t="s">
        <v>14908</v>
      </c>
      <c r="UAL3" t="s">
        <v>14909</v>
      </c>
      <c r="UAM3" t="s">
        <v>14910</v>
      </c>
      <c r="UAN3" t="s">
        <v>14911</v>
      </c>
      <c r="UAO3" t="s">
        <v>14912</v>
      </c>
      <c r="UAP3" t="s">
        <v>14913</v>
      </c>
      <c r="UAQ3" t="s">
        <v>14914</v>
      </c>
      <c r="UAR3" t="s">
        <v>14915</v>
      </c>
      <c r="UAS3" t="s">
        <v>14916</v>
      </c>
      <c r="UAT3" t="s">
        <v>14917</v>
      </c>
      <c r="UAU3" t="s">
        <v>14918</v>
      </c>
      <c r="UAV3" t="s">
        <v>14919</v>
      </c>
      <c r="UAW3" t="s">
        <v>14920</v>
      </c>
      <c r="UAX3" t="s">
        <v>14921</v>
      </c>
      <c r="UAY3" t="s">
        <v>14922</v>
      </c>
      <c r="UAZ3" t="s">
        <v>14923</v>
      </c>
      <c r="UBA3" t="s">
        <v>14924</v>
      </c>
      <c r="UBB3" t="s">
        <v>14925</v>
      </c>
      <c r="UBC3" t="s">
        <v>14926</v>
      </c>
      <c r="UBD3" t="s">
        <v>14927</v>
      </c>
      <c r="UBE3" t="s">
        <v>14928</v>
      </c>
      <c r="UBF3" t="s">
        <v>14929</v>
      </c>
      <c r="UBG3" t="s">
        <v>14930</v>
      </c>
      <c r="UBH3" t="s">
        <v>14931</v>
      </c>
      <c r="UBI3" t="s">
        <v>14932</v>
      </c>
      <c r="UBJ3" t="s">
        <v>14933</v>
      </c>
      <c r="UBK3" t="s">
        <v>14934</v>
      </c>
      <c r="UBL3" t="s">
        <v>14935</v>
      </c>
      <c r="UBM3" t="s">
        <v>14936</v>
      </c>
      <c r="UBN3" t="s">
        <v>14937</v>
      </c>
      <c r="UBO3" t="s">
        <v>14938</v>
      </c>
      <c r="UBP3" t="s">
        <v>14939</v>
      </c>
      <c r="UBQ3" t="s">
        <v>14940</v>
      </c>
      <c r="UBR3" t="s">
        <v>14941</v>
      </c>
      <c r="UBS3" t="s">
        <v>14942</v>
      </c>
      <c r="UBT3" t="s">
        <v>14943</v>
      </c>
      <c r="UBU3" t="s">
        <v>14944</v>
      </c>
      <c r="UBV3" t="s">
        <v>14945</v>
      </c>
      <c r="UBW3" t="s">
        <v>14946</v>
      </c>
      <c r="UBX3" t="s">
        <v>14947</v>
      </c>
      <c r="UBY3" t="s">
        <v>14948</v>
      </c>
      <c r="UBZ3" t="s">
        <v>14949</v>
      </c>
      <c r="UCA3" t="s">
        <v>14950</v>
      </c>
      <c r="UCB3" t="s">
        <v>14951</v>
      </c>
      <c r="UCC3" t="s">
        <v>14952</v>
      </c>
      <c r="UCD3" t="s">
        <v>14953</v>
      </c>
      <c r="UCE3" t="s">
        <v>14954</v>
      </c>
      <c r="UCF3" t="s">
        <v>14955</v>
      </c>
      <c r="UCG3" t="s">
        <v>14956</v>
      </c>
      <c r="UCH3" t="s">
        <v>14957</v>
      </c>
      <c r="UCI3" t="s">
        <v>14958</v>
      </c>
      <c r="UCJ3" t="s">
        <v>14959</v>
      </c>
      <c r="UCK3" t="s">
        <v>14960</v>
      </c>
      <c r="UCL3" t="s">
        <v>14961</v>
      </c>
      <c r="UCM3" t="s">
        <v>14962</v>
      </c>
      <c r="UCN3" t="s">
        <v>14963</v>
      </c>
      <c r="UCO3" t="s">
        <v>14964</v>
      </c>
      <c r="UCP3" t="s">
        <v>14965</v>
      </c>
      <c r="UCQ3" t="s">
        <v>14966</v>
      </c>
      <c r="UCR3" t="s">
        <v>14967</v>
      </c>
      <c r="UCS3" t="s">
        <v>14968</v>
      </c>
      <c r="UCT3" t="s">
        <v>14969</v>
      </c>
      <c r="UCU3" t="s">
        <v>14970</v>
      </c>
      <c r="UCV3" t="s">
        <v>14971</v>
      </c>
      <c r="UCW3" t="s">
        <v>14972</v>
      </c>
      <c r="UCX3" t="s">
        <v>14973</v>
      </c>
      <c r="UCY3" t="s">
        <v>14974</v>
      </c>
      <c r="UCZ3" t="s">
        <v>14975</v>
      </c>
      <c r="UDA3" t="s">
        <v>14976</v>
      </c>
      <c r="UDB3" t="s">
        <v>14977</v>
      </c>
      <c r="UDC3" t="s">
        <v>14978</v>
      </c>
      <c r="UDD3" t="s">
        <v>14979</v>
      </c>
      <c r="UDE3" t="s">
        <v>14980</v>
      </c>
      <c r="UDF3" t="s">
        <v>14981</v>
      </c>
      <c r="UDG3" t="s">
        <v>14982</v>
      </c>
      <c r="UDH3" t="s">
        <v>14983</v>
      </c>
      <c r="UDI3" t="s">
        <v>14984</v>
      </c>
      <c r="UDJ3" t="s">
        <v>14985</v>
      </c>
      <c r="UDK3" t="s">
        <v>14986</v>
      </c>
      <c r="UDL3" t="s">
        <v>14987</v>
      </c>
      <c r="UDM3" t="s">
        <v>14988</v>
      </c>
      <c r="UDN3" t="s">
        <v>14989</v>
      </c>
      <c r="UDO3" t="s">
        <v>14990</v>
      </c>
      <c r="UDP3" t="s">
        <v>14991</v>
      </c>
      <c r="UDQ3" t="s">
        <v>14992</v>
      </c>
      <c r="UDR3" t="s">
        <v>14993</v>
      </c>
      <c r="UDS3" t="s">
        <v>14994</v>
      </c>
      <c r="UDT3" t="s">
        <v>14995</v>
      </c>
      <c r="UDU3" t="s">
        <v>14996</v>
      </c>
      <c r="UDV3" t="s">
        <v>14997</v>
      </c>
      <c r="UDW3" t="s">
        <v>14998</v>
      </c>
      <c r="UDX3" t="s">
        <v>14999</v>
      </c>
      <c r="UDY3" t="s">
        <v>15000</v>
      </c>
      <c r="UDZ3" t="s">
        <v>15001</v>
      </c>
      <c r="UEA3" t="s">
        <v>15002</v>
      </c>
      <c r="UEB3" t="s">
        <v>15003</v>
      </c>
      <c r="UEC3" t="s">
        <v>15004</v>
      </c>
      <c r="UED3" t="s">
        <v>15005</v>
      </c>
      <c r="UEE3" t="s">
        <v>15006</v>
      </c>
      <c r="UEF3" t="s">
        <v>15007</v>
      </c>
      <c r="UEG3" t="s">
        <v>15008</v>
      </c>
      <c r="UEH3" t="s">
        <v>15009</v>
      </c>
      <c r="UEI3" t="s">
        <v>15010</v>
      </c>
      <c r="UEJ3" t="s">
        <v>15011</v>
      </c>
      <c r="UEK3" t="s">
        <v>15012</v>
      </c>
      <c r="UEL3" t="s">
        <v>15013</v>
      </c>
      <c r="UEM3" t="s">
        <v>15014</v>
      </c>
      <c r="UEN3" t="s">
        <v>15015</v>
      </c>
      <c r="UEO3" t="s">
        <v>15016</v>
      </c>
      <c r="UEP3" t="s">
        <v>15017</v>
      </c>
      <c r="UEQ3" t="s">
        <v>15018</v>
      </c>
      <c r="UER3" t="s">
        <v>15019</v>
      </c>
      <c r="UES3" t="s">
        <v>15020</v>
      </c>
      <c r="UET3" t="s">
        <v>15021</v>
      </c>
      <c r="UEU3" t="s">
        <v>15022</v>
      </c>
      <c r="UEV3" t="s">
        <v>15023</v>
      </c>
      <c r="UEW3" t="s">
        <v>15024</v>
      </c>
      <c r="UEX3" t="s">
        <v>15025</v>
      </c>
      <c r="UEY3" t="s">
        <v>15026</v>
      </c>
      <c r="UEZ3" t="s">
        <v>15027</v>
      </c>
      <c r="UFA3" t="s">
        <v>15028</v>
      </c>
      <c r="UFB3" t="s">
        <v>15029</v>
      </c>
      <c r="UFC3" t="s">
        <v>15030</v>
      </c>
      <c r="UFD3" t="s">
        <v>15031</v>
      </c>
      <c r="UFE3" t="s">
        <v>15032</v>
      </c>
      <c r="UFF3" t="s">
        <v>15033</v>
      </c>
      <c r="UFG3" t="s">
        <v>15034</v>
      </c>
      <c r="UFH3" t="s">
        <v>15035</v>
      </c>
      <c r="UFI3" t="s">
        <v>15036</v>
      </c>
      <c r="UFJ3" t="s">
        <v>15037</v>
      </c>
      <c r="UFK3" t="s">
        <v>15038</v>
      </c>
      <c r="UFL3" t="s">
        <v>15039</v>
      </c>
      <c r="UFM3" t="s">
        <v>15040</v>
      </c>
      <c r="UFN3" t="s">
        <v>15041</v>
      </c>
      <c r="UFO3" t="s">
        <v>15042</v>
      </c>
      <c r="UFP3" t="s">
        <v>15043</v>
      </c>
      <c r="UFQ3" t="s">
        <v>15044</v>
      </c>
      <c r="UFR3" t="s">
        <v>15045</v>
      </c>
      <c r="UFS3" t="s">
        <v>15046</v>
      </c>
      <c r="UFT3" t="s">
        <v>15047</v>
      </c>
      <c r="UFU3" t="s">
        <v>15048</v>
      </c>
      <c r="UFV3" t="s">
        <v>15049</v>
      </c>
      <c r="UFW3" t="s">
        <v>15050</v>
      </c>
      <c r="UFX3" t="s">
        <v>15051</v>
      </c>
      <c r="UFY3" t="s">
        <v>15052</v>
      </c>
      <c r="UFZ3" t="s">
        <v>15053</v>
      </c>
      <c r="UGA3" t="s">
        <v>15054</v>
      </c>
      <c r="UGB3" t="s">
        <v>15055</v>
      </c>
      <c r="UGC3" t="s">
        <v>15056</v>
      </c>
      <c r="UGD3" t="s">
        <v>15057</v>
      </c>
      <c r="UGE3" t="s">
        <v>15058</v>
      </c>
      <c r="UGF3" t="s">
        <v>15059</v>
      </c>
      <c r="UGG3" t="s">
        <v>15060</v>
      </c>
      <c r="UGH3" t="s">
        <v>15061</v>
      </c>
      <c r="UGI3" t="s">
        <v>15062</v>
      </c>
      <c r="UGJ3" t="s">
        <v>15063</v>
      </c>
      <c r="UGK3" t="s">
        <v>15064</v>
      </c>
      <c r="UGL3" t="s">
        <v>15065</v>
      </c>
      <c r="UGM3" t="s">
        <v>15066</v>
      </c>
      <c r="UGN3" t="s">
        <v>15067</v>
      </c>
      <c r="UGO3" t="s">
        <v>15068</v>
      </c>
      <c r="UGP3" t="s">
        <v>15069</v>
      </c>
      <c r="UGQ3" t="s">
        <v>15070</v>
      </c>
      <c r="UGR3" t="s">
        <v>15071</v>
      </c>
      <c r="UGS3" t="s">
        <v>15072</v>
      </c>
      <c r="UGT3" t="s">
        <v>15073</v>
      </c>
      <c r="UGU3" t="s">
        <v>15074</v>
      </c>
      <c r="UGV3" t="s">
        <v>15075</v>
      </c>
      <c r="UGW3" t="s">
        <v>15076</v>
      </c>
      <c r="UGX3" t="s">
        <v>15077</v>
      </c>
      <c r="UGY3" t="s">
        <v>15078</v>
      </c>
      <c r="UGZ3" t="s">
        <v>15079</v>
      </c>
      <c r="UHA3" t="s">
        <v>15080</v>
      </c>
      <c r="UHB3" t="s">
        <v>15081</v>
      </c>
      <c r="UHC3" t="s">
        <v>15082</v>
      </c>
      <c r="UHD3" t="s">
        <v>15083</v>
      </c>
      <c r="UHE3" t="s">
        <v>15084</v>
      </c>
      <c r="UHF3" t="s">
        <v>15085</v>
      </c>
      <c r="UHG3" t="s">
        <v>15086</v>
      </c>
      <c r="UHH3" t="s">
        <v>15087</v>
      </c>
      <c r="UHI3" t="s">
        <v>15088</v>
      </c>
      <c r="UHJ3" t="s">
        <v>15089</v>
      </c>
      <c r="UHK3" t="s">
        <v>15090</v>
      </c>
      <c r="UHL3" t="s">
        <v>15091</v>
      </c>
      <c r="UHM3" t="s">
        <v>15092</v>
      </c>
      <c r="UHN3" t="s">
        <v>15093</v>
      </c>
      <c r="UHO3" t="s">
        <v>15094</v>
      </c>
      <c r="UHP3" t="s">
        <v>15095</v>
      </c>
      <c r="UHQ3" t="s">
        <v>15096</v>
      </c>
      <c r="UHR3" t="s">
        <v>15097</v>
      </c>
      <c r="UHS3" t="s">
        <v>15098</v>
      </c>
      <c r="UHT3" t="s">
        <v>15099</v>
      </c>
      <c r="UHU3" t="s">
        <v>15100</v>
      </c>
      <c r="UHV3" t="s">
        <v>15101</v>
      </c>
      <c r="UHW3" t="s">
        <v>15102</v>
      </c>
      <c r="UHX3" t="s">
        <v>15103</v>
      </c>
      <c r="UHY3" t="s">
        <v>15104</v>
      </c>
      <c r="UHZ3" t="s">
        <v>15105</v>
      </c>
      <c r="UIA3" t="s">
        <v>15106</v>
      </c>
      <c r="UIB3" t="s">
        <v>15107</v>
      </c>
      <c r="UIC3" t="s">
        <v>15108</v>
      </c>
      <c r="UID3" t="s">
        <v>15109</v>
      </c>
      <c r="UIE3" t="s">
        <v>15110</v>
      </c>
      <c r="UIF3" t="s">
        <v>15111</v>
      </c>
      <c r="UIG3" t="s">
        <v>15112</v>
      </c>
      <c r="UIH3" t="s">
        <v>15113</v>
      </c>
      <c r="UII3" t="s">
        <v>15114</v>
      </c>
      <c r="UIJ3" t="s">
        <v>15115</v>
      </c>
      <c r="UIK3" t="s">
        <v>15116</v>
      </c>
      <c r="UIL3" t="s">
        <v>15117</v>
      </c>
      <c r="UIM3" t="s">
        <v>15118</v>
      </c>
      <c r="UIN3" t="s">
        <v>15119</v>
      </c>
      <c r="UIO3" t="s">
        <v>15120</v>
      </c>
      <c r="UIP3" t="s">
        <v>15121</v>
      </c>
      <c r="UIQ3" t="s">
        <v>15122</v>
      </c>
      <c r="UIR3" t="s">
        <v>15123</v>
      </c>
      <c r="UIS3" t="s">
        <v>15124</v>
      </c>
      <c r="UIT3" t="s">
        <v>15125</v>
      </c>
      <c r="UIU3" t="s">
        <v>15126</v>
      </c>
      <c r="UIV3" t="s">
        <v>15127</v>
      </c>
      <c r="UIW3" t="s">
        <v>15128</v>
      </c>
      <c r="UIX3" t="s">
        <v>15129</v>
      </c>
      <c r="UIY3" t="s">
        <v>15130</v>
      </c>
      <c r="UIZ3" t="s">
        <v>15131</v>
      </c>
      <c r="UJA3" t="s">
        <v>15132</v>
      </c>
      <c r="UJB3" t="s">
        <v>15133</v>
      </c>
      <c r="UJC3" t="s">
        <v>15134</v>
      </c>
      <c r="UJD3" t="s">
        <v>15135</v>
      </c>
      <c r="UJE3" t="s">
        <v>15136</v>
      </c>
      <c r="UJF3" t="s">
        <v>15137</v>
      </c>
      <c r="UJG3" t="s">
        <v>15138</v>
      </c>
      <c r="UJH3" t="s">
        <v>15139</v>
      </c>
      <c r="UJI3" t="s">
        <v>15140</v>
      </c>
      <c r="UJJ3" t="s">
        <v>15141</v>
      </c>
      <c r="UJK3" t="s">
        <v>15142</v>
      </c>
      <c r="UJL3" t="s">
        <v>15143</v>
      </c>
      <c r="UJM3" t="s">
        <v>15144</v>
      </c>
      <c r="UJN3" t="s">
        <v>15145</v>
      </c>
      <c r="UJO3" t="s">
        <v>15146</v>
      </c>
      <c r="UJP3" t="s">
        <v>15147</v>
      </c>
      <c r="UJQ3" t="s">
        <v>15148</v>
      </c>
      <c r="UJR3" t="s">
        <v>15149</v>
      </c>
      <c r="UJS3" t="s">
        <v>15150</v>
      </c>
      <c r="UJT3" t="s">
        <v>15151</v>
      </c>
      <c r="UJU3" t="s">
        <v>15152</v>
      </c>
      <c r="UJV3" t="s">
        <v>15153</v>
      </c>
      <c r="UJW3" t="s">
        <v>15154</v>
      </c>
      <c r="UJX3" t="s">
        <v>15155</v>
      </c>
      <c r="UJY3" t="s">
        <v>15156</v>
      </c>
      <c r="UJZ3" t="s">
        <v>15157</v>
      </c>
      <c r="UKA3" t="s">
        <v>15158</v>
      </c>
      <c r="UKB3" t="s">
        <v>15159</v>
      </c>
      <c r="UKC3" t="s">
        <v>15160</v>
      </c>
      <c r="UKD3" t="s">
        <v>15161</v>
      </c>
      <c r="UKE3" t="s">
        <v>15162</v>
      </c>
      <c r="UKF3" t="s">
        <v>15163</v>
      </c>
      <c r="UKG3" t="s">
        <v>15164</v>
      </c>
      <c r="UKH3" t="s">
        <v>15165</v>
      </c>
      <c r="UKI3" t="s">
        <v>15166</v>
      </c>
      <c r="UKJ3" t="s">
        <v>15167</v>
      </c>
      <c r="UKK3" t="s">
        <v>15168</v>
      </c>
      <c r="UKL3" t="s">
        <v>15169</v>
      </c>
      <c r="UKM3" t="s">
        <v>15170</v>
      </c>
      <c r="UKN3" t="s">
        <v>15171</v>
      </c>
      <c r="UKO3" t="s">
        <v>15172</v>
      </c>
      <c r="UKP3" t="s">
        <v>15173</v>
      </c>
      <c r="UKQ3" t="s">
        <v>15174</v>
      </c>
      <c r="UKR3" t="s">
        <v>15175</v>
      </c>
      <c r="UKS3" t="s">
        <v>15176</v>
      </c>
      <c r="UKT3" t="s">
        <v>15177</v>
      </c>
      <c r="UKU3" t="s">
        <v>15178</v>
      </c>
      <c r="UKV3" t="s">
        <v>15179</v>
      </c>
      <c r="UKW3" t="s">
        <v>15180</v>
      </c>
      <c r="UKX3" t="s">
        <v>15181</v>
      </c>
      <c r="UKY3" t="s">
        <v>15182</v>
      </c>
      <c r="UKZ3" t="s">
        <v>15183</v>
      </c>
      <c r="ULA3" t="s">
        <v>15184</v>
      </c>
      <c r="ULB3" t="s">
        <v>15185</v>
      </c>
      <c r="ULC3" t="s">
        <v>15186</v>
      </c>
      <c r="ULD3" t="s">
        <v>15187</v>
      </c>
      <c r="ULE3" t="s">
        <v>15188</v>
      </c>
      <c r="ULF3" t="s">
        <v>15189</v>
      </c>
      <c r="ULG3" t="s">
        <v>15190</v>
      </c>
      <c r="ULH3" t="s">
        <v>15191</v>
      </c>
      <c r="ULI3" t="s">
        <v>15192</v>
      </c>
      <c r="ULJ3" t="s">
        <v>15193</v>
      </c>
      <c r="ULK3" t="s">
        <v>15194</v>
      </c>
      <c r="ULL3" t="s">
        <v>15195</v>
      </c>
      <c r="ULM3" t="s">
        <v>15196</v>
      </c>
      <c r="ULN3" t="s">
        <v>15197</v>
      </c>
      <c r="ULO3" t="s">
        <v>15198</v>
      </c>
      <c r="ULP3" t="s">
        <v>15199</v>
      </c>
      <c r="ULQ3" t="s">
        <v>15200</v>
      </c>
      <c r="ULR3" t="s">
        <v>15201</v>
      </c>
      <c r="ULS3" t="s">
        <v>15202</v>
      </c>
      <c r="ULT3" t="s">
        <v>15203</v>
      </c>
      <c r="ULU3" t="s">
        <v>15204</v>
      </c>
      <c r="ULV3" t="s">
        <v>15205</v>
      </c>
      <c r="ULW3" t="s">
        <v>15206</v>
      </c>
      <c r="ULX3" t="s">
        <v>15207</v>
      </c>
      <c r="ULY3" t="s">
        <v>15208</v>
      </c>
      <c r="ULZ3" t="s">
        <v>15209</v>
      </c>
      <c r="UMA3" t="s">
        <v>15210</v>
      </c>
      <c r="UMB3" t="s">
        <v>15211</v>
      </c>
      <c r="UMC3" t="s">
        <v>15212</v>
      </c>
      <c r="UMD3" t="s">
        <v>15213</v>
      </c>
      <c r="UME3" t="s">
        <v>15214</v>
      </c>
      <c r="UMF3" t="s">
        <v>15215</v>
      </c>
      <c r="UMG3" t="s">
        <v>15216</v>
      </c>
      <c r="UMH3" t="s">
        <v>15217</v>
      </c>
      <c r="UMI3" t="s">
        <v>15218</v>
      </c>
      <c r="UMJ3" t="s">
        <v>15219</v>
      </c>
      <c r="UMK3" t="s">
        <v>15220</v>
      </c>
      <c r="UML3" t="s">
        <v>15221</v>
      </c>
      <c r="UMM3" t="s">
        <v>15222</v>
      </c>
      <c r="UMN3" t="s">
        <v>15223</v>
      </c>
      <c r="UMO3" t="s">
        <v>15224</v>
      </c>
      <c r="UMP3" t="s">
        <v>15225</v>
      </c>
      <c r="UMQ3" t="s">
        <v>15226</v>
      </c>
      <c r="UMR3" t="s">
        <v>15227</v>
      </c>
      <c r="UMS3" t="s">
        <v>15228</v>
      </c>
      <c r="UMT3" t="s">
        <v>15229</v>
      </c>
      <c r="UMU3" t="s">
        <v>15230</v>
      </c>
      <c r="UMV3" t="s">
        <v>15231</v>
      </c>
      <c r="UMW3" t="s">
        <v>15232</v>
      </c>
      <c r="UMX3" t="s">
        <v>15233</v>
      </c>
      <c r="UMY3" t="s">
        <v>15234</v>
      </c>
      <c r="UMZ3" t="s">
        <v>15235</v>
      </c>
      <c r="UNA3" t="s">
        <v>15236</v>
      </c>
      <c r="UNB3" t="s">
        <v>15237</v>
      </c>
      <c r="UNC3" t="s">
        <v>15238</v>
      </c>
      <c r="UND3" t="s">
        <v>15239</v>
      </c>
      <c r="UNE3" t="s">
        <v>15240</v>
      </c>
      <c r="UNF3" t="s">
        <v>15241</v>
      </c>
      <c r="UNG3" t="s">
        <v>15242</v>
      </c>
      <c r="UNH3" t="s">
        <v>15243</v>
      </c>
      <c r="UNI3" t="s">
        <v>15244</v>
      </c>
      <c r="UNJ3" t="s">
        <v>15245</v>
      </c>
      <c r="UNK3" t="s">
        <v>15246</v>
      </c>
      <c r="UNL3" t="s">
        <v>15247</v>
      </c>
      <c r="UNM3" t="s">
        <v>15248</v>
      </c>
      <c r="UNN3" t="s">
        <v>15249</v>
      </c>
      <c r="UNO3" t="s">
        <v>15250</v>
      </c>
      <c r="UNP3" t="s">
        <v>15251</v>
      </c>
      <c r="UNQ3" t="s">
        <v>15252</v>
      </c>
      <c r="UNR3" t="s">
        <v>15253</v>
      </c>
      <c r="UNS3" t="s">
        <v>15254</v>
      </c>
      <c r="UNT3" t="s">
        <v>15255</v>
      </c>
      <c r="UNU3" t="s">
        <v>15256</v>
      </c>
      <c r="UNV3" t="s">
        <v>15257</v>
      </c>
      <c r="UNW3" t="s">
        <v>15258</v>
      </c>
      <c r="UNX3" t="s">
        <v>15259</v>
      </c>
      <c r="UNY3" t="s">
        <v>15260</v>
      </c>
      <c r="UNZ3" t="s">
        <v>15261</v>
      </c>
      <c r="UOA3" t="s">
        <v>15262</v>
      </c>
      <c r="UOB3" t="s">
        <v>15263</v>
      </c>
      <c r="UOC3" t="s">
        <v>15264</v>
      </c>
      <c r="UOD3" t="s">
        <v>15265</v>
      </c>
      <c r="UOE3" t="s">
        <v>15266</v>
      </c>
      <c r="UOF3" t="s">
        <v>15267</v>
      </c>
      <c r="UOG3" t="s">
        <v>15268</v>
      </c>
      <c r="UOH3" t="s">
        <v>15269</v>
      </c>
      <c r="UOI3" t="s">
        <v>15270</v>
      </c>
      <c r="UOJ3" t="s">
        <v>15271</v>
      </c>
      <c r="UOK3" t="s">
        <v>15272</v>
      </c>
      <c r="UOL3" t="s">
        <v>15273</v>
      </c>
      <c r="UOM3" t="s">
        <v>15274</v>
      </c>
      <c r="UON3" t="s">
        <v>15275</v>
      </c>
      <c r="UOO3" t="s">
        <v>15276</v>
      </c>
      <c r="UOP3" t="s">
        <v>15277</v>
      </c>
      <c r="UOQ3" t="s">
        <v>15278</v>
      </c>
      <c r="UOR3" t="s">
        <v>15279</v>
      </c>
      <c r="UOS3" t="s">
        <v>15280</v>
      </c>
      <c r="UOT3" t="s">
        <v>15281</v>
      </c>
      <c r="UOU3" t="s">
        <v>15282</v>
      </c>
      <c r="UOV3" t="s">
        <v>15283</v>
      </c>
      <c r="UOW3" t="s">
        <v>15284</v>
      </c>
      <c r="UOX3" t="s">
        <v>15285</v>
      </c>
      <c r="UOY3" t="s">
        <v>15286</v>
      </c>
      <c r="UOZ3" t="s">
        <v>15287</v>
      </c>
      <c r="UPA3" t="s">
        <v>15288</v>
      </c>
      <c r="UPB3" t="s">
        <v>15289</v>
      </c>
      <c r="UPC3" t="s">
        <v>15290</v>
      </c>
      <c r="UPD3" t="s">
        <v>15291</v>
      </c>
      <c r="UPE3" t="s">
        <v>15292</v>
      </c>
      <c r="UPF3" t="s">
        <v>15293</v>
      </c>
      <c r="UPG3" t="s">
        <v>15294</v>
      </c>
      <c r="UPH3" t="s">
        <v>15295</v>
      </c>
      <c r="UPI3" t="s">
        <v>15296</v>
      </c>
      <c r="UPJ3" t="s">
        <v>15297</v>
      </c>
      <c r="UPK3" t="s">
        <v>15298</v>
      </c>
      <c r="UPL3" t="s">
        <v>15299</v>
      </c>
      <c r="UPM3" t="s">
        <v>15300</v>
      </c>
      <c r="UPN3" t="s">
        <v>15301</v>
      </c>
      <c r="UPO3" t="s">
        <v>15302</v>
      </c>
      <c r="UPP3" t="s">
        <v>15303</v>
      </c>
      <c r="UPQ3" t="s">
        <v>15304</v>
      </c>
      <c r="UPR3" t="s">
        <v>15305</v>
      </c>
      <c r="UPS3" t="s">
        <v>15306</v>
      </c>
      <c r="UPT3" t="s">
        <v>15307</v>
      </c>
      <c r="UPU3" t="s">
        <v>15308</v>
      </c>
      <c r="UPV3" t="s">
        <v>15309</v>
      </c>
      <c r="UPW3" t="s">
        <v>15310</v>
      </c>
      <c r="UPX3" t="s">
        <v>15311</v>
      </c>
      <c r="UPY3" t="s">
        <v>15312</v>
      </c>
      <c r="UPZ3" t="s">
        <v>15313</v>
      </c>
      <c r="UQA3" t="s">
        <v>15314</v>
      </c>
      <c r="UQB3" t="s">
        <v>15315</v>
      </c>
      <c r="UQC3" t="s">
        <v>15316</v>
      </c>
      <c r="UQD3" t="s">
        <v>15317</v>
      </c>
      <c r="UQE3" t="s">
        <v>15318</v>
      </c>
      <c r="UQF3" t="s">
        <v>15319</v>
      </c>
      <c r="UQG3" t="s">
        <v>15320</v>
      </c>
      <c r="UQH3" t="s">
        <v>15321</v>
      </c>
      <c r="UQI3" t="s">
        <v>15322</v>
      </c>
      <c r="UQJ3" t="s">
        <v>15323</v>
      </c>
      <c r="UQK3" t="s">
        <v>15324</v>
      </c>
      <c r="UQL3" t="s">
        <v>15325</v>
      </c>
      <c r="UQM3" t="s">
        <v>15326</v>
      </c>
      <c r="UQN3" t="s">
        <v>15327</v>
      </c>
      <c r="UQO3" t="s">
        <v>15328</v>
      </c>
      <c r="UQP3" t="s">
        <v>15329</v>
      </c>
      <c r="UQQ3" t="s">
        <v>15330</v>
      </c>
      <c r="UQR3" t="s">
        <v>15331</v>
      </c>
      <c r="UQS3" t="s">
        <v>15332</v>
      </c>
      <c r="UQT3" t="s">
        <v>15333</v>
      </c>
      <c r="UQU3" t="s">
        <v>15334</v>
      </c>
      <c r="UQV3" t="s">
        <v>15335</v>
      </c>
      <c r="UQW3" t="s">
        <v>15336</v>
      </c>
      <c r="UQX3" t="s">
        <v>15337</v>
      </c>
      <c r="UQY3" t="s">
        <v>15338</v>
      </c>
      <c r="UQZ3" t="s">
        <v>15339</v>
      </c>
      <c r="URA3" t="s">
        <v>15340</v>
      </c>
      <c r="URB3" t="s">
        <v>15341</v>
      </c>
      <c r="URC3" t="s">
        <v>15342</v>
      </c>
      <c r="URD3" t="s">
        <v>15343</v>
      </c>
      <c r="URE3" t="s">
        <v>15344</v>
      </c>
      <c r="URF3" t="s">
        <v>15345</v>
      </c>
      <c r="URG3" t="s">
        <v>15346</v>
      </c>
      <c r="URH3" t="s">
        <v>15347</v>
      </c>
      <c r="URI3" t="s">
        <v>15348</v>
      </c>
      <c r="URJ3" t="s">
        <v>15349</v>
      </c>
      <c r="URK3" t="s">
        <v>15350</v>
      </c>
      <c r="URL3" t="s">
        <v>15351</v>
      </c>
      <c r="URM3" t="s">
        <v>15352</v>
      </c>
      <c r="URN3" t="s">
        <v>15353</v>
      </c>
      <c r="URO3" t="s">
        <v>15354</v>
      </c>
      <c r="URP3" t="s">
        <v>15355</v>
      </c>
      <c r="URQ3" t="s">
        <v>15356</v>
      </c>
      <c r="URR3" t="s">
        <v>15357</v>
      </c>
      <c r="URS3" t="s">
        <v>15358</v>
      </c>
      <c r="URT3" t="s">
        <v>15359</v>
      </c>
      <c r="URU3" t="s">
        <v>15360</v>
      </c>
      <c r="URV3" t="s">
        <v>15361</v>
      </c>
      <c r="URW3" t="s">
        <v>15362</v>
      </c>
      <c r="URX3" t="s">
        <v>15363</v>
      </c>
      <c r="URY3" t="s">
        <v>15364</v>
      </c>
      <c r="URZ3" t="s">
        <v>15365</v>
      </c>
      <c r="USA3" t="s">
        <v>15366</v>
      </c>
      <c r="USB3" t="s">
        <v>15367</v>
      </c>
      <c r="USC3" t="s">
        <v>15368</v>
      </c>
      <c r="USD3" t="s">
        <v>15369</v>
      </c>
      <c r="USE3" t="s">
        <v>15370</v>
      </c>
      <c r="USF3" t="s">
        <v>15371</v>
      </c>
      <c r="USG3" t="s">
        <v>15372</v>
      </c>
      <c r="USH3" t="s">
        <v>15373</v>
      </c>
      <c r="USI3" t="s">
        <v>15374</v>
      </c>
      <c r="USJ3" t="s">
        <v>15375</v>
      </c>
      <c r="USK3" t="s">
        <v>15376</v>
      </c>
      <c r="USL3" t="s">
        <v>15377</v>
      </c>
      <c r="USM3" t="s">
        <v>15378</v>
      </c>
      <c r="USN3" t="s">
        <v>15379</v>
      </c>
      <c r="USO3" t="s">
        <v>15380</v>
      </c>
      <c r="USP3" t="s">
        <v>15381</v>
      </c>
      <c r="USQ3" t="s">
        <v>15382</v>
      </c>
      <c r="USR3" t="s">
        <v>15383</v>
      </c>
      <c r="USS3" t="s">
        <v>15384</v>
      </c>
      <c r="UST3" t="s">
        <v>15385</v>
      </c>
      <c r="USU3" t="s">
        <v>15386</v>
      </c>
      <c r="USV3" t="s">
        <v>15387</v>
      </c>
      <c r="USW3" t="s">
        <v>15388</v>
      </c>
      <c r="USX3" t="s">
        <v>15389</v>
      </c>
      <c r="USY3" t="s">
        <v>15390</v>
      </c>
      <c r="USZ3" t="s">
        <v>15391</v>
      </c>
      <c r="UTA3" t="s">
        <v>15392</v>
      </c>
      <c r="UTB3" t="s">
        <v>15393</v>
      </c>
      <c r="UTC3" t="s">
        <v>15394</v>
      </c>
      <c r="UTD3" t="s">
        <v>15395</v>
      </c>
      <c r="UTE3" t="s">
        <v>15396</v>
      </c>
      <c r="UTF3" t="s">
        <v>15397</v>
      </c>
      <c r="UTG3" t="s">
        <v>15398</v>
      </c>
      <c r="UTH3" t="s">
        <v>15399</v>
      </c>
      <c r="UTI3" t="s">
        <v>15400</v>
      </c>
      <c r="UTJ3" t="s">
        <v>15401</v>
      </c>
      <c r="UTK3" t="s">
        <v>15402</v>
      </c>
      <c r="UTL3" t="s">
        <v>15403</v>
      </c>
      <c r="UTM3" t="s">
        <v>15404</v>
      </c>
      <c r="UTN3" t="s">
        <v>15405</v>
      </c>
      <c r="UTO3" t="s">
        <v>15406</v>
      </c>
      <c r="UTP3" t="s">
        <v>15407</v>
      </c>
      <c r="UTQ3" t="s">
        <v>15408</v>
      </c>
      <c r="UTR3" t="s">
        <v>15409</v>
      </c>
      <c r="UTS3" t="s">
        <v>15410</v>
      </c>
      <c r="UTT3" t="s">
        <v>15411</v>
      </c>
      <c r="UTU3" t="s">
        <v>15412</v>
      </c>
      <c r="UTV3" t="s">
        <v>15413</v>
      </c>
      <c r="UTW3" t="s">
        <v>15414</v>
      </c>
      <c r="UTX3" t="s">
        <v>15415</v>
      </c>
      <c r="UTY3" t="s">
        <v>15416</v>
      </c>
      <c r="UTZ3" t="s">
        <v>15417</v>
      </c>
      <c r="UUA3" t="s">
        <v>15418</v>
      </c>
      <c r="UUB3" t="s">
        <v>15419</v>
      </c>
      <c r="UUC3" t="s">
        <v>15420</v>
      </c>
      <c r="UUD3" t="s">
        <v>15421</v>
      </c>
      <c r="UUE3" t="s">
        <v>15422</v>
      </c>
      <c r="UUF3" t="s">
        <v>15423</v>
      </c>
      <c r="UUG3" t="s">
        <v>15424</v>
      </c>
      <c r="UUH3" t="s">
        <v>15425</v>
      </c>
      <c r="UUI3" t="s">
        <v>15426</v>
      </c>
      <c r="UUJ3" t="s">
        <v>15427</v>
      </c>
      <c r="UUK3" t="s">
        <v>15428</v>
      </c>
      <c r="UUL3" t="s">
        <v>15429</v>
      </c>
      <c r="UUM3" t="s">
        <v>15430</v>
      </c>
      <c r="UUN3" t="s">
        <v>15431</v>
      </c>
      <c r="UUO3" t="s">
        <v>15432</v>
      </c>
      <c r="UUP3" t="s">
        <v>15433</v>
      </c>
      <c r="UUQ3" t="s">
        <v>15434</v>
      </c>
      <c r="UUR3" t="s">
        <v>15435</v>
      </c>
      <c r="UUS3" t="s">
        <v>15436</v>
      </c>
      <c r="UUT3" t="s">
        <v>15437</v>
      </c>
      <c r="UUU3" t="s">
        <v>15438</v>
      </c>
      <c r="UUV3" t="s">
        <v>15439</v>
      </c>
      <c r="UUW3" t="s">
        <v>15440</v>
      </c>
      <c r="UUX3" t="s">
        <v>15441</v>
      </c>
      <c r="UUY3" t="s">
        <v>15442</v>
      </c>
      <c r="UUZ3" t="s">
        <v>15443</v>
      </c>
      <c r="UVA3" t="s">
        <v>15444</v>
      </c>
      <c r="UVB3" t="s">
        <v>15445</v>
      </c>
      <c r="UVC3" t="s">
        <v>15446</v>
      </c>
      <c r="UVD3" t="s">
        <v>15447</v>
      </c>
      <c r="UVE3" t="s">
        <v>15448</v>
      </c>
      <c r="UVF3" t="s">
        <v>15449</v>
      </c>
      <c r="UVG3" t="s">
        <v>15450</v>
      </c>
      <c r="UVH3" t="s">
        <v>15451</v>
      </c>
      <c r="UVI3" t="s">
        <v>15452</v>
      </c>
      <c r="UVJ3" t="s">
        <v>15453</v>
      </c>
      <c r="UVK3" t="s">
        <v>15454</v>
      </c>
      <c r="UVL3" t="s">
        <v>15455</v>
      </c>
      <c r="UVM3" t="s">
        <v>15456</v>
      </c>
      <c r="UVN3" t="s">
        <v>15457</v>
      </c>
      <c r="UVO3" t="s">
        <v>15458</v>
      </c>
      <c r="UVP3" t="s">
        <v>15459</v>
      </c>
      <c r="UVQ3" t="s">
        <v>15460</v>
      </c>
      <c r="UVR3" t="s">
        <v>15461</v>
      </c>
      <c r="UVS3" t="s">
        <v>15462</v>
      </c>
      <c r="UVT3" t="s">
        <v>15463</v>
      </c>
      <c r="UVU3" t="s">
        <v>15464</v>
      </c>
      <c r="UVV3" t="s">
        <v>15465</v>
      </c>
      <c r="UVW3" t="s">
        <v>15466</v>
      </c>
      <c r="UVX3" t="s">
        <v>15467</v>
      </c>
      <c r="UVY3" t="s">
        <v>15468</v>
      </c>
      <c r="UVZ3" t="s">
        <v>15469</v>
      </c>
      <c r="UWA3" t="s">
        <v>15470</v>
      </c>
      <c r="UWB3" t="s">
        <v>15471</v>
      </c>
      <c r="UWC3" t="s">
        <v>15472</v>
      </c>
      <c r="UWD3" t="s">
        <v>15473</v>
      </c>
      <c r="UWE3" t="s">
        <v>15474</v>
      </c>
      <c r="UWF3" t="s">
        <v>15475</v>
      </c>
      <c r="UWG3" t="s">
        <v>15476</v>
      </c>
      <c r="UWH3" t="s">
        <v>15477</v>
      </c>
      <c r="UWI3" t="s">
        <v>15478</v>
      </c>
      <c r="UWJ3" t="s">
        <v>15479</v>
      </c>
      <c r="UWK3" t="s">
        <v>15480</v>
      </c>
      <c r="UWL3" t="s">
        <v>15481</v>
      </c>
      <c r="UWM3" t="s">
        <v>15482</v>
      </c>
      <c r="UWN3" t="s">
        <v>15483</v>
      </c>
      <c r="UWO3" t="s">
        <v>15484</v>
      </c>
      <c r="UWP3" t="s">
        <v>15485</v>
      </c>
      <c r="UWQ3" t="s">
        <v>15486</v>
      </c>
      <c r="UWR3" t="s">
        <v>15487</v>
      </c>
      <c r="UWS3" t="s">
        <v>15488</v>
      </c>
      <c r="UWT3" t="s">
        <v>15489</v>
      </c>
      <c r="UWU3" t="s">
        <v>15490</v>
      </c>
      <c r="UWV3" t="s">
        <v>15491</v>
      </c>
      <c r="UWW3" t="s">
        <v>15492</v>
      </c>
      <c r="UWX3" t="s">
        <v>15493</v>
      </c>
      <c r="UWY3" t="s">
        <v>15494</v>
      </c>
      <c r="UWZ3" t="s">
        <v>15495</v>
      </c>
      <c r="UXA3" t="s">
        <v>15496</v>
      </c>
      <c r="UXB3" t="s">
        <v>15497</v>
      </c>
      <c r="UXC3" t="s">
        <v>15498</v>
      </c>
      <c r="UXD3" t="s">
        <v>15499</v>
      </c>
      <c r="UXE3" t="s">
        <v>15500</v>
      </c>
      <c r="UXF3" t="s">
        <v>15501</v>
      </c>
      <c r="UXG3" t="s">
        <v>15502</v>
      </c>
      <c r="UXH3" t="s">
        <v>15503</v>
      </c>
      <c r="UXI3" t="s">
        <v>15504</v>
      </c>
      <c r="UXJ3" t="s">
        <v>15505</v>
      </c>
      <c r="UXK3" t="s">
        <v>15506</v>
      </c>
      <c r="UXL3" t="s">
        <v>15507</v>
      </c>
      <c r="UXM3" t="s">
        <v>15508</v>
      </c>
      <c r="UXN3" t="s">
        <v>15509</v>
      </c>
      <c r="UXO3" t="s">
        <v>15510</v>
      </c>
      <c r="UXP3" t="s">
        <v>15511</v>
      </c>
      <c r="UXQ3" t="s">
        <v>15512</v>
      </c>
      <c r="UXR3" t="s">
        <v>15513</v>
      </c>
      <c r="UXS3" t="s">
        <v>15514</v>
      </c>
      <c r="UXT3" t="s">
        <v>15515</v>
      </c>
      <c r="UXU3" t="s">
        <v>15516</v>
      </c>
      <c r="UXV3" t="s">
        <v>15517</v>
      </c>
      <c r="UXW3" t="s">
        <v>15518</v>
      </c>
      <c r="UXX3" t="s">
        <v>15519</v>
      </c>
      <c r="UXY3" t="s">
        <v>15520</v>
      </c>
      <c r="UXZ3" t="s">
        <v>15521</v>
      </c>
      <c r="UYA3" t="s">
        <v>15522</v>
      </c>
      <c r="UYB3" t="s">
        <v>15523</v>
      </c>
      <c r="UYC3" t="s">
        <v>15524</v>
      </c>
      <c r="UYD3" t="s">
        <v>15525</v>
      </c>
      <c r="UYE3" t="s">
        <v>15526</v>
      </c>
      <c r="UYF3" t="s">
        <v>15527</v>
      </c>
      <c r="UYG3" t="s">
        <v>15528</v>
      </c>
      <c r="UYH3" t="s">
        <v>15529</v>
      </c>
      <c r="UYI3" t="s">
        <v>15530</v>
      </c>
      <c r="UYJ3" t="s">
        <v>15531</v>
      </c>
      <c r="UYK3" t="s">
        <v>15532</v>
      </c>
      <c r="UYL3" t="s">
        <v>15533</v>
      </c>
      <c r="UYM3" t="s">
        <v>15534</v>
      </c>
      <c r="UYN3" t="s">
        <v>15535</v>
      </c>
      <c r="UYO3" t="s">
        <v>15536</v>
      </c>
      <c r="UYP3" t="s">
        <v>15537</v>
      </c>
      <c r="UYQ3" t="s">
        <v>15538</v>
      </c>
      <c r="UYR3" t="s">
        <v>15539</v>
      </c>
      <c r="UYS3" t="s">
        <v>15540</v>
      </c>
      <c r="UYT3" t="s">
        <v>15541</v>
      </c>
      <c r="UYU3" t="s">
        <v>15542</v>
      </c>
      <c r="UYV3" t="s">
        <v>15543</v>
      </c>
      <c r="UYW3" t="s">
        <v>15544</v>
      </c>
      <c r="UYX3" t="s">
        <v>15545</v>
      </c>
      <c r="UYY3" t="s">
        <v>15546</v>
      </c>
      <c r="UYZ3" t="s">
        <v>15547</v>
      </c>
      <c r="UZA3" t="s">
        <v>15548</v>
      </c>
      <c r="UZB3" t="s">
        <v>15549</v>
      </c>
      <c r="UZC3" t="s">
        <v>15550</v>
      </c>
      <c r="UZD3" t="s">
        <v>15551</v>
      </c>
      <c r="UZE3" t="s">
        <v>15552</v>
      </c>
      <c r="UZF3" t="s">
        <v>15553</v>
      </c>
      <c r="UZG3" t="s">
        <v>15554</v>
      </c>
      <c r="UZH3" t="s">
        <v>15555</v>
      </c>
      <c r="UZI3" t="s">
        <v>15556</v>
      </c>
      <c r="UZJ3" t="s">
        <v>15557</v>
      </c>
      <c r="UZK3" t="s">
        <v>15558</v>
      </c>
      <c r="UZL3" t="s">
        <v>15559</v>
      </c>
      <c r="UZM3" t="s">
        <v>15560</v>
      </c>
      <c r="UZN3" t="s">
        <v>15561</v>
      </c>
      <c r="UZO3" t="s">
        <v>15562</v>
      </c>
      <c r="UZP3" t="s">
        <v>15563</v>
      </c>
      <c r="UZQ3" t="s">
        <v>15564</v>
      </c>
      <c r="UZR3" t="s">
        <v>15565</v>
      </c>
      <c r="UZS3" t="s">
        <v>15566</v>
      </c>
      <c r="UZT3" t="s">
        <v>15567</v>
      </c>
      <c r="UZU3" t="s">
        <v>15568</v>
      </c>
      <c r="UZV3" t="s">
        <v>15569</v>
      </c>
      <c r="UZW3" t="s">
        <v>15570</v>
      </c>
      <c r="UZX3" t="s">
        <v>15571</v>
      </c>
      <c r="UZY3" t="s">
        <v>15572</v>
      </c>
      <c r="UZZ3" t="s">
        <v>15573</v>
      </c>
      <c r="VAA3" t="s">
        <v>15574</v>
      </c>
      <c r="VAB3" t="s">
        <v>15575</v>
      </c>
      <c r="VAC3" t="s">
        <v>15576</v>
      </c>
      <c r="VAD3" t="s">
        <v>15577</v>
      </c>
      <c r="VAE3" t="s">
        <v>15578</v>
      </c>
      <c r="VAF3" t="s">
        <v>15579</v>
      </c>
      <c r="VAG3" t="s">
        <v>15580</v>
      </c>
      <c r="VAH3" t="s">
        <v>15581</v>
      </c>
      <c r="VAI3" t="s">
        <v>15582</v>
      </c>
      <c r="VAJ3" t="s">
        <v>15583</v>
      </c>
      <c r="VAK3" t="s">
        <v>15584</v>
      </c>
      <c r="VAL3" t="s">
        <v>15585</v>
      </c>
      <c r="VAM3" t="s">
        <v>15586</v>
      </c>
      <c r="VAN3" t="s">
        <v>15587</v>
      </c>
      <c r="VAO3" t="s">
        <v>15588</v>
      </c>
      <c r="VAP3" t="s">
        <v>15589</v>
      </c>
      <c r="VAQ3" t="s">
        <v>15590</v>
      </c>
      <c r="VAR3" t="s">
        <v>15591</v>
      </c>
      <c r="VAS3" t="s">
        <v>15592</v>
      </c>
      <c r="VAT3" t="s">
        <v>15593</v>
      </c>
      <c r="VAU3" t="s">
        <v>15594</v>
      </c>
      <c r="VAV3" t="s">
        <v>15595</v>
      </c>
      <c r="VAW3" t="s">
        <v>15596</v>
      </c>
      <c r="VAX3" t="s">
        <v>15597</v>
      </c>
      <c r="VAY3" t="s">
        <v>15598</v>
      </c>
      <c r="VAZ3" t="s">
        <v>15599</v>
      </c>
      <c r="VBA3" t="s">
        <v>15600</v>
      </c>
      <c r="VBB3" t="s">
        <v>15601</v>
      </c>
      <c r="VBC3" t="s">
        <v>15602</v>
      </c>
      <c r="VBD3" t="s">
        <v>15603</v>
      </c>
      <c r="VBE3" t="s">
        <v>15604</v>
      </c>
      <c r="VBF3" t="s">
        <v>15605</v>
      </c>
      <c r="VBG3" t="s">
        <v>15606</v>
      </c>
      <c r="VBH3" t="s">
        <v>15607</v>
      </c>
      <c r="VBI3" t="s">
        <v>15608</v>
      </c>
      <c r="VBJ3" t="s">
        <v>15609</v>
      </c>
      <c r="VBK3" t="s">
        <v>15610</v>
      </c>
      <c r="VBL3" t="s">
        <v>15611</v>
      </c>
      <c r="VBM3" t="s">
        <v>15612</v>
      </c>
      <c r="VBN3" t="s">
        <v>15613</v>
      </c>
      <c r="VBO3" t="s">
        <v>15614</v>
      </c>
      <c r="VBP3" t="s">
        <v>15615</v>
      </c>
      <c r="VBQ3" t="s">
        <v>15616</v>
      </c>
      <c r="VBR3" t="s">
        <v>15617</v>
      </c>
      <c r="VBS3" t="s">
        <v>15618</v>
      </c>
      <c r="VBT3" t="s">
        <v>15619</v>
      </c>
      <c r="VBU3" t="s">
        <v>15620</v>
      </c>
      <c r="VBV3" t="s">
        <v>15621</v>
      </c>
      <c r="VBW3" t="s">
        <v>15622</v>
      </c>
      <c r="VBX3" t="s">
        <v>15623</v>
      </c>
      <c r="VBY3" t="s">
        <v>15624</v>
      </c>
      <c r="VBZ3" t="s">
        <v>15625</v>
      </c>
      <c r="VCA3" t="s">
        <v>15626</v>
      </c>
      <c r="VCB3" t="s">
        <v>15627</v>
      </c>
      <c r="VCC3" t="s">
        <v>15628</v>
      </c>
      <c r="VCD3" t="s">
        <v>15629</v>
      </c>
      <c r="VCE3" t="s">
        <v>15630</v>
      </c>
      <c r="VCF3" t="s">
        <v>15631</v>
      </c>
      <c r="VCG3" t="s">
        <v>15632</v>
      </c>
      <c r="VCH3" t="s">
        <v>15633</v>
      </c>
      <c r="VCI3" t="s">
        <v>15634</v>
      </c>
      <c r="VCJ3" t="s">
        <v>15635</v>
      </c>
      <c r="VCK3" t="s">
        <v>15636</v>
      </c>
      <c r="VCL3" t="s">
        <v>15637</v>
      </c>
      <c r="VCM3" t="s">
        <v>15638</v>
      </c>
      <c r="VCN3" t="s">
        <v>15639</v>
      </c>
      <c r="VCO3" t="s">
        <v>15640</v>
      </c>
      <c r="VCP3" t="s">
        <v>15641</v>
      </c>
      <c r="VCQ3" t="s">
        <v>15642</v>
      </c>
      <c r="VCR3" t="s">
        <v>15643</v>
      </c>
      <c r="VCS3" t="s">
        <v>15644</v>
      </c>
      <c r="VCT3" t="s">
        <v>15645</v>
      </c>
      <c r="VCU3" t="s">
        <v>15646</v>
      </c>
      <c r="VCV3" t="s">
        <v>15647</v>
      </c>
      <c r="VCW3" t="s">
        <v>15648</v>
      </c>
      <c r="VCX3" t="s">
        <v>15649</v>
      </c>
      <c r="VCY3" t="s">
        <v>15650</v>
      </c>
      <c r="VCZ3" t="s">
        <v>15651</v>
      </c>
      <c r="VDA3" t="s">
        <v>15652</v>
      </c>
      <c r="VDB3" t="s">
        <v>15653</v>
      </c>
      <c r="VDC3" t="s">
        <v>15654</v>
      </c>
      <c r="VDD3" t="s">
        <v>15655</v>
      </c>
      <c r="VDE3" t="s">
        <v>15656</v>
      </c>
      <c r="VDF3" t="s">
        <v>15657</v>
      </c>
      <c r="VDG3" t="s">
        <v>15658</v>
      </c>
      <c r="VDH3" t="s">
        <v>15659</v>
      </c>
      <c r="VDI3" t="s">
        <v>15660</v>
      </c>
      <c r="VDJ3" t="s">
        <v>15661</v>
      </c>
      <c r="VDK3" t="s">
        <v>15662</v>
      </c>
      <c r="VDL3" t="s">
        <v>15663</v>
      </c>
      <c r="VDM3" t="s">
        <v>15664</v>
      </c>
      <c r="VDN3" t="s">
        <v>15665</v>
      </c>
      <c r="VDO3" t="s">
        <v>15666</v>
      </c>
      <c r="VDP3" t="s">
        <v>15667</v>
      </c>
      <c r="VDQ3" t="s">
        <v>15668</v>
      </c>
      <c r="VDR3" t="s">
        <v>15669</v>
      </c>
      <c r="VDS3" t="s">
        <v>15670</v>
      </c>
      <c r="VDT3" t="s">
        <v>15671</v>
      </c>
      <c r="VDU3" t="s">
        <v>15672</v>
      </c>
      <c r="VDV3" t="s">
        <v>15673</v>
      </c>
      <c r="VDW3" t="s">
        <v>15674</v>
      </c>
      <c r="VDX3" t="s">
        <v>15675</v>
      </c>
      <c r="VDY3" t="s">
        <v>15676</v>
      </c>
      <c r="VDZ3" t="s">
        <v>15677</v>
      </c>
      <c r="VEA3" t="s">
        <v>15678</v>
      </c>
      <c r="VEB3" t="s">
        <v>15679</v>
      </c>
      <c r="VEC3" t="s">
        <v>15680</v>
      </c>
      <c r="VED3" t="s">
        <v>15681</v>
      </c>
      <c r="VEE3" t="s">
        <v>15682</v>
      </c>
      <c r="VEF3" t="s">
        <v>15683</v>
      </c>
      <c r="VEG3" t="s">
        <v>15684</v>
      </c>
      <c r="VEH3" t="s">
        <v>15685</v>
      </c>
      <c r="VEI3" t="s">
        <v>15686</v>
      </c>
      <c r="VEJ3" t="s">
        <v>15687</v>
      </c>
      <c r="VEK3" t="s">
        <v>15688</v>
      </c>
      <c r="VEL3" t="s">
        <v>15689</v>
      </c>
      <c r="VEM3" t="s">
        <v>15690</v>
      </c>
      <c r="VEN3" t="s">
        <v>15691</v>
      </c>
      <c r="VEO3" t="s">
        <v>15692</v>
      </c>
      <c r="VEP3" t="s">
        <v>15693</v>
      </c>
      <c r="VEQ3" t="s">
        <v>15694</v>
      </c>
      <c r="VER3" t="s">
        <v>15695</v>
      </c>
      <c r="VES3" t="s">
        <v>15696</v>
      </c>
      <c r="VET3" t="s">
        <v>15697</v>
      </c>
      <c r="VEU3" t="s">
        <v>15698</v>
      </c>
      <c r="VEV3" t="s">
        <v>15699</v>
      </c>
      <c r="VEW3" t="s">
        <v>15700</v>
      </c>
      <c r="VEX3" t="s">
        <v>15701</v>
      </c>
      <c r="VEY3" t="s">
        <v>15702</v>
      </c>
      <c r="VEZ3" t="s">
        <v>15703</v>
      </c>
      <c r="VFA3" t="s">
        <v>15704</v>
      </c>
      <c r="VFB3" t="s">
        <v>15705</v>
      </c>
      <c r="VFC3" t="s">
        <v>15706</v>
      </c>
      <c r="VFD3" t="s">
        <v>15707</v>
      </c>
      <c r="VFE3" t="s">
        <v>15708</v>
      </c>
      <c r="VFF3" t="s">
        <v>15709</v>
      </c>
      <c r="VFG3" t="s">
        <v>15710</v>
      </c>
      <c r="VFH3" t="s">
        <v>15711</v>
      </c>
      <c r="VFI3" t="s">
        <v>15712</v>
      </c>
      <c r="VFJ3" t="s">
        <v>15713</v>
      </c>
      <c r="VFK3" t="s">
        <v>15714</v>
      </c>
      <c r="VFL3" t="s">
        <v>15715</v>
      </c>
      <c r="VFM3" t="s">
        <v>15716</v>
      </c>
      <c r="VFN3" t="s">
        <v>15717</v>
      </c>
      <c r="VFO3" t="s">
        <v>15718</v>
      </c>
      <c r="VFP3" t="s">
        <v>15719</v>
      </c>
      <c r="VFQ3" t="s">
        <v>15720</v>
      </c>
      <c r="VFR3" t="s">
        <v>15721</v>
      </c>
      <c r="VFS3" t="s">
        <v>15722</v>
      </c>
      <c r="VFT3" t="s">
        <v>15723</v>
      </c>
      <c r="VFU3" t="s">
        <v>15724</v>
      </c>
      <c r="VFV3" t="s">
        <v>15725</v>
      </c>
      <c r="VFW3" t="s">
        <v>15726</v>
      </c>
      <c r="VFX3" t="s">
        <v>15727</v>
      </c>
      <c r="VFY3" t="s">
        <v>15728</v>
      </c>
      <c r="VFZ3" t="s">
        <v>15729</v>
      </c>
      <c r="VGA3" t="s">
        <v>15730</v>
      </c>
      <c r="VGB3" t="s">
        <v>15731</v>
      </c>
      <c r="VGC3" t="s">
        <v>15732</v>
      </c>
      <c r="VGD3" t="s">
        <v>15733</v>
      </c>
      <c r="VGE3" t="s">
        <v>15734</v>
      </c>
      <c r="VGF3" t="s">
        <v>15735</v>
      </c>
      <c r="VGG3" t="s">
        <v>15736</v>
      </c>
      <c r="VGH3" t="s">
        <v>15737</v>
      </c>
      <c r="VGI3" t="s">
        <v>15738</v>
      </c>
      <c r="VGJ3" t="s">
        <v>15739</v>
      </c>
      <c r="VGK3" t="s">
        <v>15740</v>
      </c>
      <c r="VGL3" t="s">
        <v>15741</v>
      </c>
      <c r="VGM3" t="s">
        <v>15742</v>
      </c>
      <c r="VGN3" t="s">
        <v>15743</v>
      </c>
      <c r="VGO3" t="s">
        <v>15744</v>
      </c>
      <c r="VGP3" t="s">
        <v>15745</v>
      </c>
      <c r="VGQ3" t="s">
        <v>15746</v>
      </c>
      <c r="VGR3" t="s">
        <v>15747</v>
      </c>
      <c r="VGS3" t="s">
        <v>15748</v>
      </c>
      <c r="VGT3" t="s">
        <v>15749</v>
      </c>
      <c r="VGU3" t="s">
        <v>15750</v>
      </c>
      <c r="VGV3" t="s">
        <v>15751</v>
      </c>
      <c r="VGW3" t="s">
        <v>15752</v>
      </c>
      <c r="VGX3" t="s">
        <v>15753</v>
      </c>
      <c r="VGY3" t="s">
        <v>15754</v>
      </c>
      <c r="VGZ3" t="s">
        <v>15755</v>
      </c>
      <c r="VHA3" t="s">
        <v>15756</v>
      </c>
      <c r="VHB3" t="s">
        <v>15757</v>
      </c>
      <c r="VHC3" t="s">
        <v>15758</v>
      </c>
      <c r="VHD3" t="s">
        <v>15759</v>
      </c>
      <c r="VHE3" t="s">
        <v>15760</v>
      </c>
      <c r="VHF3" t="s">
        <v>15761</v>
      </c>
      <c r="VHG3" t="s">
        <v>15762</v>
      </c>
      <c r="VHH3" t="s">
        <v>15763</v>
      </c>
      <c r="VHI3" t="s">
        <v>15764</v>
      </c>
      <c r="VHJ3" t="s">
        <v>15765</v>
      </c>
      <c r="VHK3" t="s">
        <v>15766</v>
      </c>
      <c r="VHL3" t="s">
        <v>15767</v>
      </c>
      <c r="VHM3" t="s">
        <v>15768</v>
      </c>
      <c r="VHN3" t="s">
        <v>15769</v>
      </c>
      <c r="VHO3" t="s">
        <v>15770</v>
      </c>
      <c r="VHP3" t="s">
        <v>15771</v>
      </c>
      <c r="VHQ3" t="s">
        <v>15772</v>
      </c>
      <c r="VHR3" t="s">
        <v>15773</v>
      </c>
      <c r="VHS3" t="s">
        <v>15774</v>
      </c>
      <c r="VHT3" t="s">
        <v>15775</v>
      </c>
      <c r="VHU3" t="s">
        <v>15776</v>
      </c>
      <c r="VHV3" t="s">
        <v>15777</v>
      </c>
      <c r="VHW3" t="s">
        <v>15778</v>
      </c>
      <c r="VHX3" t="s">
        <v>15779</v>
      </c>
      <c r="VHY3" t="s">
        <v>15780</v>
      </c>
      <c r="VHZ3" t="s">
        <v>15781</v>
      </c>
      <c r="VIA3" t="s">
        <v>15782</v>
      </c>
      <c r="VIB3" t="s">
        <v>15783</v>
      </c>
      <c r="VIC3" t="s">
        <v>15784</v>
      </c>
      <c r="VID3" t="s">
        <v>15785</v>
      </c>
      <c r="VIE3" t="s">
        <v>15786</v>
      </c>
      <c r="VIF3" t="s">
        <v>15787</v>
      </c>
      <c r="VIG3" t="s">
        <v>15788</v>
      </c>
      <c r="VIH3" t="s">
        <v>15789</v>
      </c>
      <c r="VII3" t="s">
        <v>15790</v>
      </c>
      <c r="VIJ3" t="s">
        <v>15791</v>
      </c>
      <c r="VIK3" t="s">
        <v>15792</v>
      </c>
      <c r="VIL3" t="s">
        <v>15793</v>
      </c>
      <c r="VIM3" t="s">
        <v>15794</v>
      </c>
      <c r="VIN3" t="s">
        <v>15795</v>
      </c>
      <c r="VIO3" t="s">
        <v>15796</v>
      </c>
      <c r="VIP3" t="s">
        <v>15797</v>
      </c>
      <c r="VIQ3" t="s">
        <v>15798</v>
      </c>
      <c r="VIR3" t="s">
        <v>15799</v>
      </c>
      <c r="VIS3" t="s">
        <v>15800</v>
      </c>
      <c r="VIT3" t="s">
        <v>15801</v>
      </c>
      <c r="VIU3" t="s">
        <v>15802</v>
      </c>
      <c r="VIV3" t="s">
        <v>15803</v>
      </c>
      <c r="VIW3" t="s">
        <v>15804</v>
      </c>
      <c r="VIX3" t="s">
        <v>15805</v>
      </c>
      <c r="VIY3" t="s">
        <v>15806</v>
      </c>
      <c r="VIZ3" t="s">
        <v>15807</v>
      </c>
      <c r="VJA3" t="s">
        <v>15808</v>
      </c>
      <c r="VJB3" t="s">
        <v>15809</v>
      </c>
      <c r="VJC3" t="s">
        <v>15810</v>
      </c>
      <c r="VJD3" t="s">
        <v>15811</v>
      </c>
      <c r="VJE3" t="s">
        <v>15812</v>
      </c>
      <c r="VJF3" t="s">
        <v>15813</v>
      </c>
      <c r="VJG3" t="s">
        <v>15814</v>
      </c>
      <c r="VJH3" t="s">
        <v>15815</v>
      </c>
      <c r="VJI3" t="s">
        <v>15816</v>
      </c>
      <c r="VJJ3" t="s">
        <v>15817</v>
      </c>
      <c r="VJK3" t="s">
        <v>15818</v>
      </c>
      <c r="VJL3" t="s">
        <v>15819</v>
      </c>
      <c r="VJM3" t="s">
        <v>15820</v>
      </c>
      <c r="VJN3" t="s">
        <v>15821</v>
      </c>
      <c r="VJO3" t="s">
        <v>15822</v>
      </c>
      <c r="VJP3" t="s">
        <v>15823</v>
      </c>
      <c r="VJQ3" t="s">
        <v>15824</v>
      </c>
      <c r="VJR3" t="s">
        <v>15825</v>
      </c>
      <c r="VJS3" t="s">
        <v>15826</v>
      </c>
      <c r="VJT3" t="s">
        <v>15827</v>
      </c>
      <c r="VJU3" t="s">
        <v>15828</v>
      </c>
      <c r="VJV3" t="s">
        <v>15829</v>
      </c>
      <c r="VJW3" t="s">
        <v>15830</v>
      </c>
      <c r="VJX3" t="s">
        <v>15831</v>
      </c>
      <c r="VJY3" t="s">
        <v>15832</v>
      </c>
      <c r="VJZ3" t="s">
        <v>15833</v>
      </c>
      <c r="VKA3" t="s">
        <v>15834</v>
      </c>
      <c r="VKB3" t="s">
        <v>15835</v>
      </c>
      <c r="VKC3" t="s">
        <v>15836</v>
      </c>
      <c r="VKD3" t="s">
        <v>15837</v>
      </c>
      <c r="VKE3" t="s">
        <v>15838</v>
      </c>
      <c r="VKF3" t="s">
        <v>15839</v>
      </c>
      <c r="VKG3" t="s">
        <v>15840</v>
      </c>
      <c r="VKH3" t="s">
        <v>15841</v>
      </c>
      <c r="VKI3" t="s">
        <v>15842</v>
      </c>
      <c r="VKJ3" t="s">
        <v>15843</v>
      </c>
      <c r="VKK3" t="s">
        <v>15844</v>
      </c>
      <c r="VKL3" t="s">
        <v>15845</v>
      </c>
      <c r="VKM3" t="s">
        <v>15846</v>
      </c>
      <c r="VKN3" t="s">
        <v>15847</v>
      </c>
      <c r="VKO3" t="s">
        <v>15848</v>
      </c>
      <c r="VKP3" t="s">
        <v>15849</v>
      </c>
      <c r="VKQ3" t="s">
        <v>15850</v>
      </c>
      <c r="VKR3" t="s">
        <v>15851</v>
      </c>
      <c r="VKS3" t="s">
        <v>15852</v>
      </c>
      <c r="VKT3" t="s">
        <v>15853</v>
      </c>
      <c r="VKU3" t="s">
        <v>15854</v>
      </c>
      <c r="VKV3" t="s">
        <v>15855</v>
      </c>
      <c r="VKW3" t="s">
        <v>15856</v>
      </c>
      <c r="VKX3" t="s">
        <v>15857</v>
      </c>
      <c r="VKY3" t="s">
        <v>15858</v>
      </c>
      <c r="VKZ3" t="s">
        <v>15859</v>
      </c>
      <c r="VLA3" t="s">
        <v>15860</v>
      </c>
      <c r="VLB3" t="s">
        <v>15861</v>
      </c>
      <c r="VLC3" t="s">
        <v>15862</v>
      </c>
      <c r="VLD3" t="s">
        <v>15863</v>
      </c>
      <c r="VLE3" t="s">
        <v>15864</v>
      </c>
      <c r="VLF3" t="s">
        <v>15865</v>
      </c>
      <c r="VLG3" t="s">
        <v>15866</v>
      </c>
      <c r="VLH3" t="s">
        <v>15867</v>
      </c>
      <c r="VLI3" t="s">
        <v>15868</v>
      </c>
      <c r="VLJ3" t="s">
        <v>15869</v>
      </c>
      <c r="VLK3" t="s">
        <v>15870</v>
      </c>
      <c r="VLL3" t="s">
        <v>15871</v>
      </c>
      <c r="VLM3" t="s">
        <v>15872</v>
      </c>
      <c r="VLN3" t="s">
        <v>15873</v>
      </c>
      <c r="VLO3" t="s">
        <v>15874</v>
      </c>
      <c r="VLP3" t="s">
        <v>15875</v>
      </c>
      <c r="VLQ3" t="s">
        <v>15876</v>
      </c>
      <c r="VLR3" t="s">
        <v>15877</v>
      </c>
      <c r="VLS3" t="s">
        <v>15878</v>
      </c>
      <c r="VLT3" t="s">
        <v>15879</v>
      </c>
      <c r="VLU3" t="s">
        <v>15880</v>
      </c>
      <c r="VLV3" t="s">
        <v>15881</v>
      </c>
      <c r="VLW3" t="s">
        <v>15882</v>
      </c>
      <c r="VLX3" t="s">
        <v>15883</v>
      </c>
      <c r="VLY3" t="s">
        <v>15884</v>
      </c>
      <c r="VLZ3" t="s">
        <v>15885</v>
      </c>
      <c r="VMA3" t="s">
        <v>15886</v>
      </c>
      <c r="VMB3" t="s">
        <v>15887</v>
      </c>
      <c r="VMC3" t="s">
        <v>15888</v>
      </c>
      <c r="VMD3" t="s">
        <v>15889</v>
      </c>
      <c r="VME3" t="s">
        <v>15890</v>
      </c>
      <c r="VMF3" t="s">
        <v>15891</v>
      </c>
      <c r="VMG3" t="s">
        <v>15892</v>
      </c>
      <c r="VMH3" t="s">
        <v>15893</v>
      </c>
      <c r="VMI3" t="s">
        <v>15894</v>
      </c>
      <c r="VMJ3" t="s">
        <v>15895</v>
      </c>
      <c r="VMK3" t="s">
        <v>15896</v>
      </c>
      <c r="VML3" t="s">
        <v>15897</v>
      </c>
      <c r="VMM3" t="s">
        <v>15898</v>
      </c>
      <c r="VMN3" t="s">
        <v>15899</v>
      </c>
      <c r="VMO3" t="s">
        <v>15900</v>
      </c>
      <c r="VMP3" t="s">
        <v>15901</v>
      </c>
      <c r="VMQ3" t="s">
        <v>15902</v>
      </c>
      <c r="VMR3" t="s">
        <v>15903</v>
      </c>
      <c r="VMS3" t="s">
        <v>15904</v>
      </c>
      <c r="VMT3" t="s">
        <v>15905</v>
      </c>
      <c r="VMU3" t="s">
        <v>15906</v>
      </c>
      <c r="VMV3" t="s">
        <v>15907</v>
      </c>
      <c r="VMW3" t="s">
        <v>15908</v>
      </c>
      <c r="VMX3" t="s">
        <v>15909</v>
      </c>
      <c r="VMY3" t="s">
        <v>15910</v>
      </c>
      <c r="VMZ3" t="s">
        <v>15911</v>
      </c>
      <c r="VNA3" t="s">
        <v>15912</v>
      </c>
      <c r="VNB3" t="s">
        <v>15913</v>
      </c>
      <c r="VNC3" t="s">
        <v>15914</v>
      </c>
      <c r="VND3" t="s">
        <v>15915</v>
      </c>
      <c r="VNE3" t="s">
        <v>15916</v>
      </c>
      <c r="VNF3" t="s">
        <v>15917</v>
      </c>
      <c r="VNG3" t="s">
        <v>15918</v>
      </c>
      <c r="VNH3" t="s">
        <v>15919</v>
      </c>
      <c r="VNI3" t="s">
        <v>15920</v>
      </c>
      <c r="VNJ3" t="s">
        <v>15921</v>
      </c>
      <c r="VNK3" t="s">
        <v>15922</v>
      </c>
      <c r="VNL3" t="s">
        <v>15923</v>
      </c>
      <c r="VNM3" t="s">
        <v>15924</v>
      </c>
      <c r="VNN3" t="s">
        <v>15925</v>
      </c>
      <c r="VNO3" t="s">
        <v>15926</v>
      </c>
      <c r="VNP3" t="s">
        <v>15927</v>
      </c>
      <c r="VNQ3" t="s">
        <v>15928</v>
      </c>
      <c r="VNR3" t="s">
        <v>15929</v>
      </c>
      <c r="VNS3" t="s">
        <v>15930</v>
      </c>
      <c r="VNT3" t="s">
        <v>15931</v>
      </c>
      <c r="VNU3" t="s">
        <v>15932</v>
      </c>
      <c r="VNV3" t="s">
        <v>15933</v>
      </c>
      <c r="VNW3" t="s">
        <v>15934</v>
      </c>
      <c r="VNX3" t="s">
        <v>15935</v>
      </c>
      <c r="VNY3" t="s">
        <v>15936</v>
      </c>
      <c r="VNZ3" t="s">
        <v>15937</v>
      </c>
      <c r="VOA3" t="s">
        <v>15938</v>
      </c>
      <c r="VOB3" t="s">
        <v>15939</v>
      </c>
      <c r="VOC3" t="s">
        <v>15940</v>
      </c>
      <c r="VOD3" t="s">
        <v>15941</v>
      </c>
      <c r="VOE3" t="s">
        <v>15942</v>
      </c>
      <c r="VOF3" t="s">
        <v>15943</v>
      </c>
      <c r="VOG3" t="s">
        <v>15944</v>
      </c>
      <c r="VOH3" t="s">
        <v>15945</v>
      </c>
      <c r="VOI3" t="s">
        <v>15946</v>
      </c>
      <c r="VOJ3" t="s">
        <v>15947</v>
      </c>
      <c r="VOK3" t="s">
        <v>15948</v>
      </c>
      <c r="VOL3" t="s">
        <v>15949</v>
      </c>
      <c r="VOM3" t="s">
        <v>15950</v>
      </c>
      <c r="VON3" t="s">
        <v>15951</v>
      </c>
      <c r="VOO3" t="s">
        <v>15952</v>
      </c>
      <c r="VOP3" t="s">
        <v>15953</v>
      </c>
      <c r="VOQ3" t="s">
        <v>15954</v>
      </c>
      <c r="VOR3" t="s">
        <v>15955</v>
      </c>
      <c r="VOS3" t="s">
        <v>15956</v>
      </c>
      <c r="VOT3" t="s">
        <v>15957</v>
      </c>
      <c r="VOU3" t="s">
        <v>15958</v>
      </c>
      <c r="VOV3" t="s">
        <v>15959</v>
      </c>
      <c r="VOW3" t="s">
        <v>15960</v>
      </c>
      <c r="VOX3" t="s">
        <v>15961</v>
      </c>
      <c r="VOY3" t="s">
        <v>15962</v>
      </c>
      <c r="VOZ3" t="s">
        <v>15963</v>
      </c>
      <c r="VPA3" t="s">
        <v>15964</v>
      </c>
      <c r="VPB3" t="s">
        <v>15965</v>
      </c>
      <c r="VPC3" t="s">
        <v>15966</v>
      </c>
      <c r="VPD3" t="s">
        <v>15967</v>
      </c>
      <c r="VPE3" t="s">
        <v>15968</v>
      </c>
      <c r="VPF3" t="s">
        <v>15969</v>
      </c>
      <c r="VPG3" t="s">
        <v>15970</v>
      </c>
      <c r="VPH3" t="s">
        <v>15971</v>
      </c>
      <c r="VPI3" t="s">
        <v>15972</v>
      </c>
      <c r="VPJ3" t="s">
        <v>15973</v>
      </c>
      <c r="VPK3" t="s">
        <v>15974</v>
      </c>
      <c r="VPL3" t="s">
        <v>15975</v>
      </c>
      <c r="VPM3" t="s">
        <v>15976</v>
      </c>
      <c r="VPN3" t="s">
        <v>15977</v>
      </c>
      <c r="VPO3" t="s">
        <v>15978</v>
      </c>
      <c r="VPP3" t="s">
        <v>15979</v>
      </c>
      <c r="VPQ3" t="s">
        <v>15980</v>
      </c>
      <c r="VPR3" t="s">
        <v>15981</v>
      </c>
      <c r="VPS3" t="s">
        <v>15982</v>
      </c>
      <c r="VPT3" t="s">
        <v>15983</v>
      </c>
      <c r="VPU3" t="s">
        <v>15984</v>
      </c>
      <c r="VPV3" t="s">
        <v>15985</v>
      </c>
      <c r="VPW3" t="s">
        <v>15986</v>
      </c>
      <c r="VPX3" t="s">
        <v>15987</v>
      </c>
      <c r="VPY3" t="s">
        <v>15988</v>
      </c>
      <c r="VPZ3" t="s">
        <v>15989</v>
      </c>
      <c r="VQA3" t="s">
        <v>15990</v>
      </c>
      <c r="VQB3" t="s">
        <v>15991</v>
      </c>
      <c r="VQC3" t="s">
        <v>15992</v>
      </c>
      <c r="VQD3" t="s">
        <v>15993</v>
      </c>
      <c r="VQE3" t="s">
        <v>15994</v>
      </c>
      <c r="VQF3" t="s">
        <v>15995</v>
      </c>
      <c r="VQG3" t="s">
        <v>15996</v>
      </c>
      <c r="VQH3" t="s">
        <v>15997</v>
      </c>
      <c r="VQI3" t="s">
        <v>15998</v>
      </c>
      <c r="VQJ3" t="s">
        <v>15999</v>
      </c>
      <c r="VQK3" t="s">
        <v>16000</v>
      </c>
      <c r="VQL3" t="s">
        <v>16001</v>
      </c>
      <c r="VQM3" t="s">
        <v>16002</v>
      </c>
      <c r="VQN3" t="s">
        <v>16003</v>
      </c>
      <c r="VQO3" t="s">
        <v>16004</v>
      </c>
      <c r="VQP3" t="s">
        <v>16005</v>
      </c>
      <c r="VQQ3" t="s">
        <v>16006</v>
      </c>
      <c r="VQR3" t="s">
        <v>16007</v>
      </c>
      <c r="VQS3" t="s">
        <v>16008</v>
      </c>
      <c r="VQT3" t="s">
        <v>16009</v>
      </c>
      <c r="VQU3" t="s">
        <v>16010</v>
      </c>
      <c r="VQV3" t="s">
        <v>16011</v>
      </c>
      <c r="VQW3" t="s">
        <v>16012</v>
      </c>
      <c r="VQX3" t="s">
        <v>16013</v>
      </c>
      <c r="VQY3" t="s">
        <v>16014</v>
      </c>
      <c r="VQZ3" t="s">
        <v>16015</v>
      </c>
      <c r="VRA3" t="s">
        <v>16016</v>
      </c>
      <c r="VRB3" t="s">
        <v>16017</v>
      </c>
      <c r="VRC3" t="s">
        <v>16018</v>
      </c>
      <c r="VRD3" t="s">
        <v>16019</v>
      </c>
      <c r="VRE3" t="s">
        <v>16020</v>
      </c>
      <c r="VRF3" t="s">
        <v>16021</v>
      </c>
      <c r="VRG3" t="s">
        <v>16022</v>
      </c>
      <c r="VRH3" t="s">
        <v>16023</v>
      </c>
      <c r="VRI3" t="s">
        <v>16024</v>
      </c>
      <c r="VRJ3" t="s">
        <v>16025</v>
      </c>
      <c r="VRK3" t="s">
        <v>16026</v>
      </c>
      <c r="VRL3" t="s">
        <v>16027</v>
      </c>
      <c r="VRM3" t="s">
        <v>16028</v>
      </c>
      <c r="VRN3" t="s">
        <v>16029</v>
      </c>
      <c r="VRO3" t="s">
        <v>16030</v>
      </c>
      <c r="VRP3" t="s">
        <v>16031</v>
      </c>
      <c r="VRQ3" t="s">
        <v>16032</v>
      </c>
      <c r="VRR3" t="s">
        <v>16033</v>
      </c>
      <c r="VRS3" t="s">
        <v>16034</v>
      </c>
      <c r="VRT3" t="s">
        <v>16035</v>
      </c>
      <c r="VRU3" t="s">
        <v>16036</v>
      </c>
      <c r="VRV3" t="s">
        <v>16037</v>
      </c>
      <c r="VRW3" t="s">
        <v>16038</v>
      </c>
      <c r="VRX3" t="s">
        <v>16039</v>
      </c>
      <c r="VRY3" t="s">
        <v>16040</v>
      </c>
      <c r="VRZ3" t="s">
        <v>16041</v>
      </c>
      <c r="VSA3" t="s">
        <v>16042</v>
      </c>
      <c r="VSB3" t="s">
        <v>16043</v>
      </c>
      <c r="VSC3" t="s">
        <v>16044</v>
      </c>
      <c r="VSD3" t="s">
        <v>16045</v>
      </c>
      <c r="VSE3" t="s">
        <v>16046</v>
      </c>
      <c r="VSF3" t="s">
        <v>16047</v>
      </c>
      <c r="VSG3" t="s">
        <v>16048</v>
      </c>
      <c r="VSH3" t="s">
        <v>16049</v>
      </c>
      <c r="VSI3" t="s">
        <v>16050</v>
      </c>
      <c r="VSJ3" t="s">
        <v>16051</v>
      </c>
      <c r="VSK3" t="s">
        <v>16052</v>
      </c>
      <c r="VSL3" t="s">
        <v>16053</v>
      </c>
      <c r="VSM3" t="s">
        <v>16054</v>
      </c>
      <c r="VSN3" t="s">
        <v>16055</v>
      </c>
      <c r="VSO3" t="s">
        <v>16056</v>
      </c>
      <c r="VSP3" t="s">
        <v>16057</v>
      </c>
      <c r="VSQ3" t="s">
        <v>16058</v>
      </c>
      <c r="VSR3" t="s">
        <v>16059</v>
      </c>
      <c r="VSS3" t="s">
        <v>16060</v>
      </c>
      <c r="VST3" t="s">
        <v>16061</v>
      </c>
      <c r="VSU3" t="s">
        <v>16062</v>
      </c>
      <c r="VSV3" t="s">
        <v>16063</v>
      </c>
      <c r="VSW3" t="s">
        <v>16064</v>
      </c>
      <c r="VSX3" t="s">
        <v>16065</v>
      </c>
      <c r="VSY3" t="s">
        <v>16066</v>
      </c>
      <c r="VSZ3" t="s">
        <v>16067</v>
      </c>
      <c r="VTA3" t="s">
        <v>16068</v>
      </c>
      <c r="VTB3" t="s">
        <v>16069</v>
      </c>
      <c r="VTC3" t="s">
        <v>16070</v>
      </c>
      <c r="VTD3" t="s">
        <v>16071</v>
      </c>
      <c r="VTE3" t="s">
        <v>16072</v>
      </c>
      <c r="VTF3" t="s">
        <v>16073</v>
      </c>
      <c r="VTG3" t="s">
        <v>16074</v>
      </c>
      <c r="VTH3" t="s">
        <v>16075</v>
      </c>
      <c r="VTI3" t="s">
        <v>16076</v>
      </c>
      <c r="VTJ3" t="s">
        <v>16077</v>
      </c>
      <c r="VTK3" t="s">
        <v>16078</v>
      </c>
      <c r="VTL3" t="s">
        <v>16079</v>
      </c>
      <c r="VTM3" t="s">
        <v>16080</v>
      </c>
      <c r="VTN3" t="s">
        <v>16081</v>
      </c>
      <c r="VTO3" t="s">
        <v>16082</v>
      </c>
      <c r="VTP3" t="s">
        <v>16083</v>
      </c>
      <c r="VTQ3" t="s">
        <v>16084</v>
      </c>
      <c r="VTR3" t="s">
        <v>16085</v>
      </c>
      <c r="VTS3" t="s">
        <v>16086</v>
      </c>
      <c r="VTT3" t="s">
        <v>16087</v>
      </c>
      <c r="VTU3" t="s">
        <v>16088</v>
      </c>
      <c r="VTV3" t="s">
        <v>16089</v>
      </c>
      <c r="VTW3" t="s">
        <v>16090</v>
      </c>
      <c r="VTX3" t="s">
        <v>16091</v>
      </c>
      <c r="VTY3" t="s">
        <v>16092</v>
      </c>
      <c r="VTZ3" t="s">
        <v>16093</v>
      </c>
      <c r="VUA3" t="s">
        <v>16094</v>
      </c>
      <c r="VUB3" t="s">
        <v>16095</v>
      </c>
      <c r="VUC3" t="s">
        <v>16096</v>
      </c>
      <c r="VUD3" t="s">
        <v>16097</v>
      </c>
      <c r="VUE3" t="s">
        <v>16098</v>
      </c>
      <c r="VUF3" t="s">
        <v>16099</v>
      </c>
      <c r="VUG3" t="s">
        <v>16100</v>
      </c>
      <c r="VUH3" t="s">
        <v>16101</v>
      </c>
      <c r="VUI3" t="s">
        <v>16102</v>
      </c>
      <c r="VUJ3" t="s">
        <v>16103</v>
      </c>
      <c r="VUK3" t="s">
        <v>16104</v>
      </c>
      <c r="VUL3" t="s">
        <v>16105</v>
      </c>
      <c r="VUM3" t="s">
        <v>16106</v>
      </c>
      <c r="VUN3" t="s">
        <v>16107</v>
      </c>
      <c r="VUO3" t="s">
        <v>16108</v>
      </c>
      <c r="VUP3" t="s">
        <v>16109</v>
      </c>
      <c r="VUQ3" t="s">
        <v>16110</v>
      </c>
      <c r="VUR3" t="s">
        <v>16111</v>
      </c>
      <c r="VUS3" t="s">
        <v>16112</v>
      </c>
      <c r="VUT3" t="s">
        <v>16113</v>
      </c>
      <c r="VUU3" t="s">
        <v>16114</v>
      </c>
      <c r="VUV3" t="s">
        <v>16115</v>
      </c>
      <c r="VUW3" t="s">
        <v>16116</v>
      </c>
      <c r="VUX3" t="s">
        <v>16117</v>
      </c>
      <c r="VUY3" t="s">
        <v>16118</v>
      </c>
      <c r="VUZ3" t="s">
        <v>16119</v>
      </c>
      <c r="VVA3" t="s">
        <v>16120</v>
      </c>
      <c r="VVB3" t="s">
        <v>16121</v>
      </c>
      <c r="VVC3" t="s">
        <v>16122</v>
      </c>
      <c r="VVD3" t="s">
        <v>16123</v>
      </c>
      <c r="VVE3" t="s">
        <v>16124</v>
      </c>
      <c r="VVF3" t="s">
        <v>16125</v>
      </c>
      <c r="VVG3" t="s">
        <v>16126</v>
      </c>
      <c r="VVH3" t="s">
        <v>16127</v>
      </c>
      <c r="VVI3" t="s">
        <v>16128</v>
      </c>
      <c r="VVJ3" t="s">
        <v>16129</v>
      </c>
      <c r="VVK3" t="s">
        <v>16130</v>
      </c>
      <c r="VVL3" t="s">
        <v>16131</v>
      </c>
      <c r="VVM3" t="s">
        <v>16132</v>
      </c>
      <c r="VVN3" t="s">
        <v>16133</v>
      </c>
      <c r="VVO3" t="s">
        <v>16134</v>
      </c>
      <c r="VVP3" t="s">
        <v>16135</v>
      </c>
      <c r="VVQ3" t="s">
        <v>16136</v>
      </c>
      <c r="VVR3" t="s">
        <v>16137</v>
      </c>
      <c r="VVS3" t="s">
        <v>16138</v>
      </c>
      <c r="VVT3" t="s">
        <v>16139</v>
      </c>
      <c r="VVU3" t="s">
        <v>16140</v>
      </c>
      <c r="VVV3" t="s">
        <v>16141</v>
      </c>
      <c r="VVW3" t="s">
        <v>16142</v>
      </c>
      <c r="VVX3" t="s">
        <v>16143</v>
      </c>
      <c r="VVY3" t="s">
        <v>16144</v>
      </c>
      <c r="VVZ3" t="s">
        <v>16145</v>
      </c>
      <c r="VWA3" t="s">
        <v>16146</v>
      </c>
      <c r="VWB3" t="s">
        <v>16147</v>
      </c>
      <c r="VWC3" t="s">
        <v>16148</v>
      </c>
      <c r="VWD3" t="s">
        <v>16149</v>
      </c>
      <c r="VWE3" t="s">
        <v>16150</v>
      </c>
      <c r="VWF3" t="s">
        <v>16151</v>
      </c>
      <c r="VWG3" t="s">
        <v>16152</v>
      </c>
      <c r="VWH3" t="s">
        <v>16153</v>
      </c>
      <c r="VWI3" t="s">
        <v>16154</v>
      </c>
      <c r="VWJ3" t="s">
        <v>16155</v>
      </c>
      <c r="VWK3" t="s">
        <v>16156</v>
      </c>
      <c r="VWL3" t="s">
        <v>16157</v>
      </c>
      <c r="VWM3" t="s">
        <v>16158</v>
      </c>
      <c r="VWN3" t="s">
        <v>16159</v>
      </c>
      <c r="VWO3" t="s">
        <v>16160</v>
      </c>
      <c r="VWP3" t="s">
        <v>16161</v>
      </c>
      <c r="VWQ3" t="s">
        <v>16162</v>
      </c>
      <c r="VWR3" t="s">
        <v>16163</v>
      </c>
      <c r="VWS3" t="s">
        <v>16164</v>
      </c>
      <c r="VWT3" t="s">
        <v>16165</v>
      </c>
      <c r="VWU3" t="s">
        <v>16166</v>
      </c>
      <c r="VWV3" t="s">
        <v>16167</v>
      </c>
      <c r="VWW3" t="s">
        <v>16168</v>
      </c>
      <c r="VWX3" t="s">
        <v>16169</v>
      </c>
      <c r="VWY3" t="s">
        <v>16170</v>
      </c>
      <c r="VWZ3" t="s">
        <v>16171</v>
      </c>
      <c r="VXA3" t="s">
        <v>16172</v>
      </c>
      <c r="VXB3" t="s">
        <v>16173</v>
      </c>
      <c r="VXC3" t="s">
        <v>16174</v>
      </c>
      <c r="VXD3" t="s">
        <v>16175</v>
      </c>
      <c r="VXE3" t="s">
        <v>16176</v>
      </c>
      <c r="VXF3" t="s">
        <v>16177</v>
      </c>
      <c r="VXG3" t="s">
        <v>16178</v>
      </c>
      <c r="VXH3" t="s">
        <v>16179</v>
      </c>
      <c r="VXI3" t="s">
        <v>16180</v>
      </c>
      <c r="VXJ3" t="s">
        <v>16181</v>
      </c>
      <c r="VXK3" t="s">
        <v>16182</v>
      </c>
      <c r="VXL3" t="s">
        <v>16183</v>
      </c>
      <c r="VXM3" t="s">
        <v>16184</v>
      </c>
      <c r="VXN3" t="s">
        <v>16185</v>
      </c>
      <c r="VXO3" t="s">
        <v>16186</v>
      </c>
      <c r="VXP3" t="s">
        <v>16187</v>
      </c>
      <c r="VXQ3" t="s">
        <v>16188</v>
      </c>
      <c r="VXR3" t="s">
        <v>16189</v>
      </c>
      <c r="VXS3" t="s">
        <v>16190</v>
      </c>
      <c r="VXT3" t="s">
        <v>16191</v>
      </c>
      <c r="VXU3" t="s">
        <v>16192</v>
      </c>
      <c r="VXV3" t="s">
        <v>16193</v>
      </c>
      <c r="VXW3" t="s">
        <v>16194</v>
      </c>
      <c r="VXX3" t="s">
        <v>16195</v>
      </c>
      <c r="VXY3" t="s">
        <v>16196</v>
      </c>
      <c r="VXZ3" t="s">
        <v>16197</v>
      </c>
      <c r="VYA3" t="s">
        <v>16198</v>
      </c>
      <c r="VYB3" t="s">
        <v>16199</v>
      </c>
      <c r="VYC3" t="s">
        <v>16200</v>
      </c>
      <c r="VYD3" t="s">
        <v>16201</v>
      </c>
      <c r="VYE3" t="s">
        <v>16202</v>
      </c>
      <c r="VYF3" t="s">
        <v>16203</v>
      </c>
      <c r="VYG3" t="s">
        <v>16204</v>
      </c>
      <c r="VYH3" t="s">
        <v>16205</v>
      </c>
      <c r="VYI3" t="s">
        <v>16206</v>
      </c>
      <c r="VYJ3" t="s">
        <v>16207</v>
      </c>
      <c r="VYK3" t="s">
        <v>16208</v>
      </c>
      <c r="VYL3" t="s">
        <v>16209</v>
      </c>
      <c r="VYM3" t="s">
        <v>16210</v>
      </c>
      <c r="VYN3" t="s">
        <v>16211</v>
      </c>
      <c r="VYO3" t="s">
        <v>16212</v>
      </c>
      <c r="VYP3" t="s">
        <v>16213</v>
      </c>
      <c r="VYQ3" t="s">
        <v>16214</v>
      </c>
      <c r="VYR3" t="s">
        <v>16215</v>
      </c>
      <c r="VYS3" t="s">
        <v>16216</v>
      </c>
      <c r="VYT3" t="s">
        <v>16217</v>
      </c>
      <c r="VYU3" t="s">
        <v>16218</v>
      </c>
      <c r="VYV3" t="s">
        <v>16219</v>
      </c>
      <c r="VYW3" t="s">
        <v>16220</v>
      </c>
      <c r="VYX3" t="s">
        <v>16221</v>
      </c>
      <c r="VYY3" t="s">
        <v>16222</v>
      </c>
      <c r="VYZ3" t="s">
        <v>16223</v>
      </c>
      <c r="VZA3" t="s">
        <v>16224</v>
      </c>
      <c r="VZB3" t="s">
        <v>16225</v>
      </c>
      <c r="VZC3" t="s">
        <v>16226</v>
      </c>
      <c r="VZD3" t="s">
        <v>16227</v>
      </c>
      <c r="VZE3" t="s">
        <v>16228</v>
      </c>
      <c r="VZF3" t="s">
        <v>16229</v>
      </c>
      <c r="VZG3" t="s">
        <v>16230</v>
      </c>
      <c r="VZH3" t="s">
        <v>16231</v>
      </c>
      <c r="VZI3" t="s">
        <v>16232</v>
      </c>
      <c r="VZJ3" t="s">
        <v>16233</v>
      </c>
      <c r="VZK3" t="s">
        <v>16234</v>
      </c>
      <c r="VZL3" t="s">
        <v>16235</v>
      </c>
      <c r="VZM3" t="s">
        <v>16236</v>
      </c>
      <c r="VZN3" t="s">
        <v>16237</v>
      </c>
      <c r="VZO3" t="s">
        <v>16238</v>
      </c>
      <c r="VZP3" t="s">
        <v>16239</v>
      </c>
      <c r="VZQ3" t="s">
        <v>16240</v>
      </c>
      <c r="VZR3" t="s">
        <v>16241</v>
      </c>
      <c r="VZS3" t="s">
        <v>16242</v>
      </c>
      <c r="VZT3" t="s">
        <v>16243</v>
      </c>
      <c r="VZU3" t="s">
        <v>16244</v>
      </c>
      <c r="VZV3" t="s">
        <v>16245</v>
      </c>
      <c r="VZW3" t="s">
        <v>16246</v>
      </c>
      <c r="VZX3" t="s">
        <v>16247</v>
      </c>
      <c r="VZY3" t="s">
        <v>16248</v>
      </c>
      <c r="VZZ3" t="s">
        <v>16249</v>
      </c>
      <c r="WAA3" t="s">
        <v>16250</v>
      </c>
      <c r="WAB3" t="s">
        <v>16251</v>
      </c>
      <c r="WAC3" t="s">
        <v>16252</v>
      </c>
      <c r="WAD3" t="s">
        <v>16253</v>
      </c>
      <c r="WAE3" t="s">
        <v>16254</v>
      </c>
      <c r="WAF3" t="s">
        <v>16255</v>
      </c>
      <c r="WAG3" t="s">
        <v>16256</v>
      </c>
      <c r="WAH3" t="s">
        <v>16257</v>
      </c>
      <c r="WAI3" t="s">
        <v>16258</v>
      </c>
      <c r="WAJ3" t="s">
        <v>16259</v>
      </c>
      <c r="WAK3" t="s">
        <v>16260</v>
      </c>
      <c r="WAL3" t="s">
        <v>16261</v>
      </c>
      <c r="WAM3" t="s">
        <v>16262</v>
      </c>
      <c r="WAN3" t="s">
        <v>16263</v>
      </c>
      <c r="WAO3" t="s">
        <v>16264</v>
      </c>
      <c r="WAP3" t="s">
        <v>16265</v>
      </c>
      <c r="WAQ3" t="s">
        <v>16266</v>
      </c>
      <c r="WAR3" t="s">
        <v>16267</v>
      </c>
      <c r="WAS3" t="s">
        <v>16268</v>
      </c>
      <c r="WAT3" t="s">
        <v>16269</v>
      </c>
      <c r="WAU3" t="s">
        <v>16270</v>
      </c>
      <c r="WAV3" t="s">
        <v>16271</v>
      </c>
      <c r="WAW3" t="s">
        <v>16272</v>
      </c>
      <c r="WAX3" t="s">
        <v>16273</v>
      </c>
      <c r="WAY3" t="s">
        <v>16274</v>
      </c>
      <c r="WAZ3" t="s">
        <v>16275</v>
      </c>
      <c r="WBA3" t="s">
        <v>16276</v>
      </c>
      <c r="WBB3" t="s">
        <v>16277</v>
      </c>
      <c r="WBC3" t="s">
        <v>16278</v>
      </c>
      <c r="WBD3" t="s">
        <v>16279</v>
      </c>
      <c r="WBE3" t="s">
        <v>16280</v>
      </c>
      <c r="WBF3" t="s">
        <v>16281</v>
      </c>
      <c r="WBG3" t="s">
        <v>16282</v>
      </c>
      <c r="WBH3" t="s">
        <v>16283</v>
      </c>
      <c r="WBI3" t="s">
        <v>16284</v>
      </c>
      <c r="WBJ3" t="s">
        <v>16285</v>
      </c>
      <c r="WBK3" t="s">
        <v>16286</v>
      </c>
      <c r="WBL3" t="s">
        <v>16287</v>
      </c>
      <c r="WBM3" t="s">
        <v>16288</v>
      </c>
      <c r="WBN3" t="s">
        <v>16289</v>
      </c>
      <c r="WBO3" t="s">
        <v>16290</v>
      </c>
      <c r="WBP3" t="s">
        <v>16291</v>
      </c>
      <c r="WBQ3" t="s">
        <v>16292</v>
      </c>
      <c r="WBR3" t="s">
        <v>16293</v>
      </c>
      <c r="WBS3" t="s">
        <v>16294</v>
      </c>
      <c r="WBT3" t="s">
        <v>16295</v>
      </c>
      <c r="WBU3" t="s">
        <v>16296</v>
      </c>
      <c r="WBV3" t="s">
        <v>16297</v>
      </c>
      <c r="WBW3" t="s">
        <v>16298</v>
      </c>
      <c r="WBX3" t="s">
        <v>16299</v>
      </c>
      <c r="WBY3" t="s">
        <v>16300</v>
      </c>
      <c r="WBZ3" t="s">
        <v>16301</v>
      </c>
      <c r="WCA3" t="s">
        <v>16302</v>
      </c>
      <c r="WCB3" t="s">
        <v>16303</v>
      </c>
      <c r="WCC3" t="s">
        <v>16304</v>
      </c>
      <c r="WCD3" t="s">
        <v>16305</v>
      </c>
      <c r="WCE3" t="s">
        <v>16306</v>
      </c>
      <c r="WCF3" t="s">
        <v>16307</v>
      </c>
      <c r="WCG3" t="s">
        <v>16308</v>
      </c>
      <c r="WCH3" t="s">
        <v>16309</v>
      </c>
      <c r="WCI3" t="s">
        <v>16310</v>
      </c>
      <c r="WCJ3" t="s">
        <v>16311</v>
      </c>
      <c r="WCK3" t="s">
        <v>16312</v>
      </c>
      <c r="WCL3" t="s">
        <v>16313</v>
      </c>
      <c r="WCM3" t="s">
        <v>16314</v>
      </c>
      <c r="WCN3" t="s">
        <v>16315</v>
      </c>
      <c r="WCO3" t="s">
        <v>16316</v>
      </c>
      <c r="WCP3" t="s">
        <v>16317</v>
      </c>
      <c r="WCQ3" t="s">
        <v>16318</v>
      </c>
      <c r="WCR3" t="s">
        <v>16319</v>
      </c>
      <c r="WCS3" t="s">
        <v>16320</v>
      </c>
      <c r="WCT3" t="s">
        <v>16321</v>
      </c>
      <c r="WCU3" t="s">
        <v>16322</v>
      </c>
      <c r="WCV3" t="s">
        <v>16323</v>
      </c>
      <c r="WCW3" t="s">
        <v>16324</v>
      </c>
      <c r="WCX3" t="s">
        <v>16325</v>
      </c>
      <c r="WCY3" t="s">
        <v>16326</v>
      </c>
      <c r="WCZ3" t="s">
        <v>16327</v>
      </c>
      <c r="WDA3" t="s">
        <v>16328</v>
      </c>
      <c r="WDB3" t="s">
        <v>16329</v>
      </c>
      <c r="WDC3" t="s">
        <v>16330</v>
      </c>
      <c r="WDD3" t="s">
        <v>16331</v>
      </c>
      <c r="WDE3" t="s">
        <v>16332</v>
      </c>
      <c r="WDF3" t="s">
        <v>16333</v>
      </c>
      <c r="WDG3" t="s">
        <v>16334</v>
      </c>
      <c r="WDH3" t="s">
        <v>16335</v>
      </c>
      <c r="WDI3" t="s">
        <v>16336</v>
      </c>
      <c r="WDJ3" t="s">
        <v>16337</v>
      </c>
      <c r="WDK3" t="s">
        <v>16338</v>
      </c>
      <c r="WDL3" t="s">
        <v>16339</v>
      </c>
      <c r="WDM3" t="s">
        <v>16340</v>
      </c>
      <c r="WDN3" t="s">
        <v>16341</v>
      </c>
      <c r="WDO3" t="s">
        <v>16342</v>
      </c>
      <c r="WDP3" t="s">
        <v>16343</v>
      </c>
      <c r="WDQ3" t="s">
        <v>16344</v>
      </c>
      <c r="WDR3" t="s">
        <v>16345</v>
      </c>
      <c r="WDS3" t="s">
        <v>16346</v>
      </c>
      <c r="WDT3" t="s">
        <v>16347</v>
      </c>
      <c r="WDU3" t="s">
        <v>16348</v>
      </c>
      <c r="WDV3" t="s">
        <v>16349</v>
      </c>
      <c r="WDW3" t="s">
        <v>16350</v>
      </c>
      <c r="WDX3" t="s">
        <v>16351</v>
      </c>
      <c r="WDY3" t="s">
        <v>16352</v>
      </c>
      <c r="WDZ3" t="s">
        <v>16353</v>
      </c>
      <c r="WEA3" t="s">
        <v>16354</v>
      </c>
      <c r="WEB3" t="s">
        <v>16355</v>
      </c>
      <c r="WEC3" t="s">
        <v>16356</v>
      </c>
      <c r="WED3" t="s">
        <v>16357</v>
      </c>
      <c r="WEE3" t="s">
        <v>16358</v>
      </c>
      <c r="WEF3" t="s">
        <v>16359</v>
      </c>
      <c r="WEG3" t="s">
        <v>16360</v>
      </c>
      <c r="WEH3" t="s">
        <v>16361</v>
      </c>
      <c r="WEI3" t="s">
        <v>16362</v>
      </c>
      <c r="WEJ3" t="s">
        <v>16363</v>
      </c>
      <c r="WEK3" t="s">
        <v>16364</v>
      </c>
      <c r="WEL3" t="s">
        <v>16365</v>
      </c>
      <c r="WEM3" t="s">
        <v>16366</v>
      </c>
      <c r="WEN3" t="s">
        <v>16367</v>
      </c>
      <c r="WEO3" t="s">
        <v>16368</v>
      </c>
      <c r="WEP3" t="s">
        <v>16369</v>
      </c>
      <c r="WEQ3" t="s">
        <v>16370</v>
      </c>
      <c r="WER3" t="s">
        <v>16371</v>
      </c>
      <c r="WES3" t="s">
        <v>16372</v>
      </c>
      <c r="WET3" t="s">
        <v>16373</v>
      </c>
      <c r="WEU3" t="s">
        <v>16374</v>
      </c>
      <c r="WEV3" t="s">
        <v>16375</v>
      </c>
      <c r="WEW3" t="s">
        <v>16376</v>
      </c>
      <c r="WEX3" t="s">
        <v>16377</v>
      </c>
      <c r="WEY3" t="s">
        <v>16378</v>
      </c>
      <c r="WEZ3" t="s">
        <v>16379</v>
      </c>
      <c r="WFA3" t="s">
        <v>16380</v>
      </c>
      <c r="WFB3" t="s">
        <v>16381</v>
      </c>
      <c r="WFC3" t="s">
        <v>16382</v>
      </c>
      <c r="WFD3" t="s">
        <v>16383</v>
      </c>
      <c r="WFE3" t="s">
        <v>16384</v>
      </c>
      <c r="WFF3" t="s">
        <v>16385</v>
      </c>
      <c r="WFG3" t="s">
        <v>16386</v>
      </c>
      <c r="WFH3" t="s">
        <v>16387</v>
      </c>
      <c r="WFI3" t="s">
        <v>16388</v>
      </c>
      <c r="WFJ3" t="s">
        <v>16389</v>
      </c>
      <c r="WFK3" t="s">
        <v>16390</v>
      </c>
      <c r="WFL3" t="s">
        <v>16391</v>
      </c>
      <c r="WFM3" t="s">
        <v>16392</v>
      </c>
      <c r="WFN3" t="s">
        <v>16393</v>
      </c>
      <c r="WFO3" t="s">
        <v>16394</v>
      </c>
      <c r="WFP3" t="s">
        <v>16395</v>
      </c>
      <c r="WFQ3" t="s">
        <v>16396</v>
      </c>
      <c r="WFR3" t="s">
        <v>16397</v>
      </c>
      <c r="WFS3" t="s">
        <v>16398</v>
      </c>
      <c r="WFT3" t="s">
        <v>16399</v>
      </c>
      <c r="WFU3" t="s">
        <v>16400</v>
      </c>
      <c r="WFV3" t="s">
        <v>16401</v>
      </c>
      <c r="WFW3" t="s">
        <v>16402</v>
      </c>
      <c r="WFX3" t="s">
        <v>16403</v>
      </c>
      <c r="WFY3" t="s">
        <v>16404</v>
      </c>
      <c r="WFZ3" t="s">
        <v>16405</v>
      </c>
      <c r="WGA3" t="s">
        <v>16406</v>
      </c>
      <c r="WGB3" t="s">
        <v>16407</v>
      </c>
      <c r="WGC3" t="s">
        <v>16408</v>
      </c>
      <c r="WGD3" t="s">
        <v>16409</v>
      </c>
      <c r="WGE3" t="s">
        <v>16410</v>
      </c>
      <c r="WGF3" t="s">
        <v>16411</v>
      </c>
      <c r="WGG3" t="s">
        <v>16412</v>
      </c>
      <c r="WGH3" t="s">
        <v>16413</v>
      </c>
      <c r="WGI3" t="s">
        <v>16414</v>
      </c>
      <c r="WGJ3" t="s">
        <v>16415</v>
      </c>
      <c r="WGK3" t="s">
        <v>16416</v>
      </c>
      <c r="WGL3" t="s">
        <v>16417</v>
      </c>
      <c r="WGM3" t="s">
        <v>16418</v>
      </c>
      <c r="WGN3" t="s">
        <v>16419</v>
      </c>
      <c r="WGO3" t="s">
        <v>16420</v>
      </c>
      <c r="WGP3" t="s">
        <v>16421</v>
      </c>
      <c r="WGQ3" t="s">
        <v>16422</v>
      </c>
      <c r="WGR3" t="s">
        <v>16423</v>
      </c>
      <c r="WGS3" t="s">
        <v>16424</v>
      </c>
      <c r="WGT3" t="s">
        <v>16425</v>
      </c>
      <c r="WGU3" t="s">
        <v>16426</v>
      </c>
      <c r="WGV3" t="s">
        <v>16427</v>
      </c>
      <c r="WGW3" t="s">
        <v>16428</v>
      </c>
      <c r="WGX3" t="s">
        <v>16429</v>
      </c>
      <c r="WGY3" t="s">
        <v>16430</v>
      </c>
      <c r="WGZ3" t="s">
        <v>16431</v>
      </c>
      <c r="WHA3" t="s">
        <v>16432</v>
      </c>
      <c r="WHB3" t="s">
        <v>16433</v>
      </c>
      <c r="WHC3" t="s">
        <v>16434</v>
      </c>
      <c r="WHD3" t="s">
        <v>16435</v>
      </c>
      <c r="WHE3" t="s">
        <v>16436</v>
      </c>
      <c r="WHF3" t="s">
        <v>16437</v>
      </c>
      <c r="WHG3" t="s">
        <v>16438</v>
      </c>
      <c r="WHH3" t="s">
        <v>16439</v>
      </c>
      <c r="WHI3" t="s">
        <v>16440</v>
      </c>
      <c r="WHJ3" t="s">
        <v>16441</v>
      </c>
      <c r="WHK3" t="s">
        <v>16442</v>
      </c>
      <c r="WHL3" t="s">
        <v>16443</v>
      </c>
      <c r="WHM3" t="s">
        <v>16444</v>
      </c>
      <c r="WHN3" t="s">
        <v>16445</v>
      </c>
      <c r="WHO3" t="s">
        <v>16446</v>
      </c>
      <c r="WHP3" t="s">
        <v>16447</v>
      </c>
      <c r="WHQ3" t="s">
        <v>16448</v>
      </c>
      <c r="WHR3" t="s">
        <v>16449</v>
      </c>
      <c r="WHS3" t="s">
        <v>16450</v>
      </c>
      <c r="WHT3" t="s">
        <v>16451</v>
      </c>
      <c r="WHU3" t="s">
        <v>16452</v>
      </c>
      <c r="WHV3" t="s">
        <v>16453</v>
      </c>
      <c r="WHW3" t="s">
        <v>16454</v>
      </c>
      <c r="WHX3" t="s">
        <v>16455</v>
      </c>
      <c r="WHY3" t="s">
        <v>16456</v>
      </c>
      <c r="WHZ3" t="s">
        <v>16457</v>
      </c>
      <c r="WIA3" t="s">
        <v>16458</v>
      </c>
      <c r="WIB3" t="s">
        <v>16459</v>
      </c>
      <c r="WIC3" t="s">
        <v>16460</v>
      </c>
      <c r="WID3" t="s">
        <v>16461</v>
      </c>
      <c r="WIE3" t="s">
        <v>16462</v>
      </c>
      <c r="WIF3" t="s">
        <v>16463</v>
      </c>
      <c r="WIG3" t="s">
        <v>16464</v>
      </c>
      <c r="WIH3" t="s">
        <v>16465</v>
      </c>
      <c r="WII3" t="s">
        <v>16466</v>
      </c>
      <c r="WIJ3" t="s">
        <v>16467</v>
      </c>
      <c r="WIK3" t="s">
        <v>16468</v>
      </c>
      <c r="WIL3" t="s">
        <v>16469</v>
      </c>
      <c r="WIM3" t="s">
        <v>16470</v>
      </c>
      <c r="WIN3" t="s">
        <v>16471</v>
      </c>
      <c r="WIO3" t="s">
        <v>16472</v>
      </c>
      <c r="WIP3" t="s">
        <v>16473</v>
      </c>
      <c r="WIQ3" t="s">
        <v>16474</v>
      </c>
      <c r="WIR3" t="s">
        <v>16475</v>
      </c>
      <c r="WIS3" t="s">
        <v>16476</v>
      </c>
      <c r="WIT3" t="s">
        <v>16477</v>
      </c>
      <c r="WIU3" t="s">
        <v>16478</v>
      </c>
      <c r="WIV3" t="s">
        <v>16479</v>
      </c>
      <c r="WIW3" t="s">
        <v>16480</v>
      </c>
      <c r="WIX3" t="s">
        <v>16481</v>
      </c>
      <c r="WIY3" t="s">
        <v>16482</v>
      </c>
      <c r="WIZ3" t="s">
        <v>16483</v>
      </c>
      <c r="WJA3" t="s">
        <v>16484</v>
      </c>
      <c r="WJB3" t="s">
        <v>16485</v>
      </c>
      <c r="WJC3" t="s">
        <v>16486</v>
      </c>
      <c r="WJD3" t="s">
        <v>16487</v>
      </c>
      <c r="WJE3" t="s">
        <v>16488</v>
      </c>
      <c r="WJF3" t="s">
        <v>16489</v>
      </c>
      <c r="WJG3" t="s">
        <v>16490</v>
      </c>
      <c r="WJH3" t="s">
        <v>16491</v>
      </c>
      <c r="WJI3" t="s">
        <v>16492</v>
      </c>
      <c r="WJJ3" t="s">
        <v>16493</v>
      </c>
      <c r="WJK3" t="s">
        <v>16494</v>
      </c>
      <c r="WJL3" t="s">
        <v>16495</v>
      </c>
      <c r="WJM3" t="s">
        <v>16496</v>
      </c>
      <c r="WJN3" t="s">
        <v>16497</v>
      </c>
      <c r="WJO3" t="s">
        <v>16498</v>
      </c>
      <c r="WJP3" t="s">
        <v>16499</v>
      </c>
      <c r="WJQ3" t="s">
        <v>16500</v>
      </c>
      <c r="WJR3" t="s">
        <v>16501</v>
      </c>
      <c r="WJS3" t="s">
        <v>16502</v>
      </c>
      <c r="WJT3" t="s">
        <v>16503</v>
      </c>
      <c r="WJU3" t="s">
        <v>16504</v>
      </c>
      <c r="WJV3" t="s">
        <v>16505</v>
      </c>
      <c r="WJW3" t="s">
        <v>16506</v>
      </c>
      <c r="WJX3" t="s">
        <v>16507</v>
      </c>
      <c r="WJY3" t="s">
        <v>16508</v>
      </c>
      <c r="WJZ3" t="s">
        <v>16509</v>
      </c>
      <c r="WKA3" t="s">
        <v>16510</v>
      </c>
      <c r="WKB3" t="s">
        <v>16511</v>
      </c>
      <c r="WKC3" t="s">
        <v>16512</v>
      </c>
      <c r="WKD3" t="s">
        <v>16513</v>
      </c>
      <c r="WKE3" t="s">
        <v>16514</v>
      </c>
      <c r="WKF3" t="s">
        <v>16515</v>
      </c>
      <c r="WKG3" t="s">
        <v>16516</v>
      </c>
      <c r="WKH3" t="s">
        <v>16517</v>
      </c>
      <c r="WKI3" t="s">
        <v>16518</v>
      </c>
      <c r="WKJ3" t="s">
        <v>16519</v>
      </c>
      <c r="WKK3" t="s">
        <v>16520</v>
      </c>
      <c r="WKL3" t="s">
        <v>16521</v>
      </c>
      <c r="WKM3" t="s">
        <v>16522</v>
      </c>
      <c r="WKN3" t="s">
        <v>16523</v>
      </c>
      <c r="WKO3" t="s">
        <v>16524</v>
      </c>
      <c r="WKP3" t="s">
        <v>16525</v>
      </c>
      <c r="WKQ3" t="s">
        <v>16526</v>
      </c>
      <c r="WKR3" t="s">
        <v>16527</v>
      </c>
      <c r="WKS3" t="s">
        <v>16528</v>
      </c>
      <c r="WKT3" t="s">
        <v>16529</v>
      </c>
      <c r="WKU3" t="s">
        <v>16530</v>
      </c>
      <c r="WKV3" t="s">
        <v>16531</v>
      </c>
      <c r="WKW3" t="s">
        <v>16532</v>
      </c>
      <c r="WKX3" t="s">
        <v>16533</v>
      </c>
      <c r="WKY3" t="s">
        <v>16534</v>
      </c>
      <c r="WKZ3" t="s">
        <v>16535</v>
      </c>
      <c r="WLA3" t="s">
        <v>16536</v>
      </c>
      <c r="WLB3" t="s">
        <v>16537</v>
      </c>
      <c r="WLC3" t="s">
        <v>16538</v>
      </c>
      <c r="WLD3" t="s">
        <v>16539</v>
      </c>
      <c r="WLE3" t="s">
        <v>16540</v>
      </c>
      <c r="WLF3" t="s">
        <v>16541</v>
      </c>
      <c r="WLG3" t="s">
        <v>16542</v>
      </c>
      <c r="WLH3" t="s">
        <v>16543</v>
      </c>
      <c r="WLI3" t="s">
        <v>16544</v>
      </c>
      <c r="WLJ3" t="s">
        <v>16545</v>
      </c>
      <c r="WLK3" t="s">
        <v>16546</v>
      </c>
      <c r="WLL3" t="s">
        <v>16547</v>
      </c>
      <c r="WLM3" t="s">
        <v>16548</v>
      </c>
      <c r="WLN3" t="s">
        <v>16549</v>
      </c>
      <c r="WLO3" t="s">
        <v>16550</v>
      </c>
      <c r="WLP3" t="s">
        <v>16551</v>
      </c>
      <c r="WLQ3" t="s">
        <v>16552</v>
      </c>
      <c r="WLR3" t="s">
        <v>16553</v>
      </c>
      <c r="WLS3" t="s">
        <v>16554</v>
      </c>
      <c r="WLT3" t="s">
        <v>16555</v>
      </c>
      <c r="WLU3" t="s">
        <v>16556</v>
      </c>
      <c r="WLV3" t="s">
        <v>16557</v>
      </c>
      <c r="WLW3" t="s">
        <v>16558</v>
      </c>
      <c r="WLX3" t="s">
        <v>16559</v>
      </c>
      <c r="WLY3" t="s">
        <v>16560</v>
      </c>
      <c r="WLZ3" t="s">
        <v>16561</v>
      </c>
      <c r="WMA3" t="s">
        <v>16562</v>
      </c>
      <c r="WMB3" t="s">
        <v>16563</v>
      </c>
      <c r="WMC3" t="s">
        <v>16564</v>
      </c>
      <c r="WMD3" t="s">
        <v>16565</v>
      </c>
      <c r="WME3" t="s">
        <v>16566</v>
      </c>
      <c r="WMF3" t="s">
        <v>16567</v>
      </c>
      <c r="WMG3" t="s">
        <v>16568</v>
      </c>
      <c r="WMH3" t="s">
        <v>16569</v>
      </c>
      <c r="WMI3" t="s">
        <v>16570</v>
      </c>
      <c r="WMJ3" t="s">
        <v>16571</v>
      </c>
      <c r="WMK3" t="s">
        <v>16572</v>
      </c>
      <c r="WML3" t="s">
        <v>16573</v>
      </c>
      <c r="WMM3" t="s">
        <v>16574</v>
      </c>
      <c r="WMN3" t="s">
        <v>16575</v>
      </c>
      <c r="WMO3" t="s">
        <v>16576</v>
      </c>
      <c r="WMP3" t="s">
        <v>16577</v>
      </c>
      <c r="WMQ3" t="s">
        <v>16578</v>
      </c>
      <c r="WMR3" t="s">
        <v>16579</v>
      </c>
      <c r="WMS3" t="s">
        <v>16580</v>
      </c>
      <c r="WMT3" t="s">
        <v>16581</v>
      </c>
      <c r="WMU3" t="s">
        <v>16582</v>
      </c>
      <c r="WMV3" t="s">
        <v>16583</v>
      </c>
      <c r="WMW3" t="s">
        <v>16584</v>
      </c>
      <c r="WMX3" t="s">
        <v>16585</v>
      </c>
      <c r="WMY3" t="s">
        <v>16586</v>
      </c>
      <c r="WMZ3" t="s">
        <v>16587</v>
      </c>
      <c r="WNA3" t="s">
        <v>16588</v>
      </c>
      <c r="WNB3" t="s">
        <v>16589</v>
      </c>
      <c r="WNC3" t="s">
        <v>16590</v>
      </c>
      <c r="WND3" t="s">
        <v>16591</v>
      </c>
      <c r="WNE3" t="s">
        <v>16592</v>
      </c>
      <c r="WNF3" t="s">
        <v>16593</v>
      </c>
      <c r="WNG3" t="s">
        <v>16594</v>
      </c>
      <c r="WNH3" t="s">
        <v>16595</v>
      </c>
      <c r="WNI3" t="s">
        <v>16596</v>
      </c>
      <c r="WNJ3" t="s">
        <v>16597</v>
      </c>
      <c r="WNK3" t="s">
        <v>16598</v>
      </c>
      <c r="WNL3" t="s">
        <v>16599</v>
      </c>
      <c r="WNM3" t="s">
        <v>16600</v>
      </c>
      <c r="WNN3" t="s">
        <v>16601</v>
      </c>
      <c r="WNO3" t="s">
        <v>16602</v>
      </c>
      <c r="WNP3" t="s">
        <v>16603</v>
      </c>
      <c r="WNQ3" t="s">
        <v>16604</v>
      </c>
      <c r="WNR3" t="s">
        <v>16605</v>
      </c>
      <c r="WNS3" t="s">
        <v>16606</v>
      </c>
      <c r="WNT3" t="s">
        <v>16607</v>
      </c>
      <c r="WNU3" t="s">
        <v>16608</v>
      </c>
      <c r="WNV3" t="s">
        <v>16609</v>
      </c>
      <c r="WNW3" t="s">
        <v>16610</v>
      </c>
      <c r="WNX3" t="s">
        <v>16611</v>
      </c>
      <c r="WNY3" t="s">
        <v>16612</v>
      </c>
      <c r="WNZ3" t="s">
        <v>16613</v>
      </c>
      <c r="WOA3" t="s">
        <v>16614</v>
      </c>
      <c r="WOB3" t="s">
        <v>16615</v>
      </c>
      <c r="WOC3" t="s">
        <v>16616</v>
      </c>
      <c r="WOD3" t="s">
        <v>16617</v>
      </c>
      <c r="WOE3" t="s">
        <v>16618</v>
      </c>
      <c r="WOF3" t="s">
        <v>16619</v>
      </c>
      <c r="WOG3" t="s">
        <v>16620</v>
      </c>
      <c r="WOH3" t="s">
        <v>16621</v>
      </c>
      <c r="WOI3" t="s">
        <v>16622</v>
      </c>
      <c r="WOJ3" t="s">
        <v>16623</v>
      </c>
      <c r="WOK3" t="s">
        <v>16624</v>
      </c>
      <c r="WOL3" t="s">
        <v>16625</v>
      </c>
      <c r="WOM3" t="s">
        <v>16626</v>
      </c>
      <c r="WON3" t="s">
        <v>16627</v>
      </c>
      <c r="WOO3" t="s">
        <v>16628</v>
      </c>
      <c r="WOP3" t="s">
        <v>16629</v>
      </c>
      <c r="WOQ3" t="s">
        <v>16630</v>
      </c>
      <c r="WOR3" t="s">
        <v>16631</v>
      </c>
      <c r="WOS3" t="s">
        <v>16632</v>
      </c>
      <c r="WOT3" t="s">
        <v>16633</v>
      </c>
      <c r="WOU3" t="s">
        <v>16634</v>
      </c>
      <c r="WOV3" t="s">
        <v>16635</v>
      </c>
      <c r="WOW3" t="s">
        <v>16636</v>
      </c>
      <c r="WOX3" t="s">
        <v>16637</v>
      </c>
      <c r="WOY3" t="s">
        <v>16638</v>
      </c>
      <c r="WOZ3" t="s">
        <v>16639</v>
      </c>
      <c r="WPA3" t="s">
        <v>16640</v>
      </c>
      <c r="WPB3" t="s">
        <v>16641</v>
      </c>
      <c r="WPC3" t="s">
        <v>16642</v>
      </c>
      <c r="WPD3" t="s">
        <v>16643</v>
      </c>
      <c r="WPE3" t="s">
        <v>16644</v>
      </c>
      <c r="WPF3" t="s">
        <v>16645</v>
      </c>
      <c r="WPG3" t="s">
        <v>16646</v>
      </c>
      <c r="WPH3" t="s">
        <v>16647</v>
      </c>
      <c r="WPI3" t="s">
        <v>16648</v>
      </c>
      <c r="WPJ3" t="s">
        <v>16649</v>
      </c>
      <c r="WPK3" t="s">
        <v>16650</v>
      </c>
      <c r="WPL3" t="s">
        <v>16651</v>
      </c>
      <c r="WPM3" t="s">
        <v>16652</v>
      </c>
      <c r="WPN3" t="s">
        <v>16653</v>
      </c>
      <c r="WPO3" t="s">
        <v>16654</v>
      </c>
      <c r="WPP3" t="s">
        <v>16655</v>
      </c>
      <c r="WPQ3" t="s">
        <v>16656</v>
      </c>
      <c r="WPR3" t="s">
        <v>16657</v>
      </c>
      <c r="WPS3" t="s">
        <v>16658</v>
      </c>
      <c r="WPT3" t="s">
        <v>16659</v>
      </c>
      <c r="WPU3" t="s">
        <v>16660</v>
      </c>
      <c r="WPV3" t="s">
        <v>16661</v>
      </c>
      <c r="WPW3" t="s">
        <v>16662</v>
      </c>
      <c r="WPX3" t="s">
        <v>16663</v>
      </c>
      <c r="WPY3" t="s">
        <v>16664</v>
      </c>
      <c r="WPZ3" t="s">
        <v>16665</v>
      </c>
      <c r="WQA3" t="s">
        <v>16666</v>
      </c>
      <c r="WQB3" t="s">
        <v>16667</v>
      </c>
      <c r="WQC3" t="s">
        <v>16668</v>
      </c>
      <c r="WQD3" t="s">
        <v>16669</v>
      </c>
      <c r="WQE3" t="s">
        <v>16670</v>
      </c>
      <c r="WQF3" t="s">
        <v>16671</v>
      </c>
      <c r="WQG3" t="s">
        <v>16672</v>
      </c>
      <c r="WQH3" t="s">
        <v>16673</v>
      </c>
      <c r="WQI3" t="s">
        <v>16674</v>
      </c>
      <c r="WQJ3" t="s">
        <v>16675</v>
      </c>
      <c r="WQK3" t="s">
        <v>16676</v>
      </c>
      <c r="WQL3" t="s">
        <v>16677</v>
      </c>
      <c r="WQM3" t="s">
        <v>16678</v>
      </c>
      <c r="WQN3" t="s">
        <v>16679</v>
      </c>
      <c r="WQO3" t="s">
        <v>16680</v>
      </c>
      <c r="WQP3" t="s">
        <v>16681</v>
      </c>
      <c r="WQQ3" t="s">
        <v>16682</v>
      </c>
      <c r="WQR3" t="s">
        <v>16683</v>
      </c>
      <c r="WQS3" t="s">
        <v>16684</v>
      </c>
      <c r="WQT3" t="s">
        <v>16685</v>
      </c>
      <c r="WQU3" t="s">
        <v>16686</v>
      </c>
      <c r="WQV3" t="s">
        <v>16687</v>
      </c>
      <c r="WQW3" t="s">
        <v>16688</v>
      </c>
      <c r="WQX3" t="s">
        <v>16689</v>
      </c>
      <c r="WQY3" t="s">
        <v>16690</v>
      </c>
      <c r="WQZ3" t="s">
        <v>16691</v>
      </c>
      <c r="WRA3" t="s">
        <v>16692</v>
      </c>
      <c r="WRB3" t="s">
        <v>16693</v>
      </c>
      <c r="WRC3" t="s">
        <v>16694</v>
      </c>
      <c r="WRD3" t="s">
        <v>16695</v>
      </c>
      <c r="WRE3" t="s">
        <v>16696</v>
      </c>
      <c r="WRF3" t="s">
        <v>16697</v>
      </c>
      <c r="WRG3" t="s">
        <v>16698</v>
      </c>
      <c r="WRH3" t="s">
        <v>16699</v>
      </c>
      <c r="WRI3" t="s">
        <v>16700</v>
      </c>
      <c r="WRJ3" t="s">
        <v>16701</v>
      </c>
      <c r="WRK3" t="s">
        <v>16702</v>
      </c>
      <c r="WRL3" t="s">
        <v>16703</v>
      </c>
      <c r="WRM3" t="s">
        <v>16704</v>
      </c>
      <c r="WRN3" t="s">
        <v>16705</v>
      </c>
      <c r="WRO3" t="s">
        <v>16706</v>
      </c>
      <c r="WRP3" t="s">
        <v>16707</v>
      </c>
      <c r="WRQ3" t="s">
        <v>16708</v>
      </c>
      <c r="WRR3" t="s">
        <v>16709</v>
      </c>
      <c r="WRS3" t="s">
        <v>16710</v>
      </c>
      <c r="WRT3" t="s">
        <v>16711</v>
      </c>
      <c r="WRU3" t="s">
        <v>16712</v>
      </c>
      <c r="WRV3" t="s">
        <v>16713</v>
      </c>
      <c r="WRW3" t="s">
        <v>16714</v>
      </c>
      <c r="WRX3" t="s">
        <v>16715</v>
      </c>
      <c r="WRY3" t="s">
        <v>16716</v>
      </c>
      <c r="WRZ3" t="s">
        <v>16717</v>
      </c>
      <c r="WSA3" t="s">
        <v>16718</v>
      </c>
      <c r="WSB3" t="s">
        <v>16719</v>
      </c>
      <c r="WSC3" t="s">
        <v>16720</v>
      </c>
      <c r="WSD3" t="s">
        <v>16721</v>
      </c>
      <c r="WSE3" t="s">
        <v>16722</v>
      </c>
      <c r="WSF3" t="s">
        <v>16723</v>
      </c>
      <c r="WSG3" t="s">
        <v>16724</v>
      </c>
      <c r="WSH3" t="s">
        <v>16725</v>
      </c>
      <c r="WSI3" t="s">
        <v>16726</v>
      </c>
      <c r="WSJ3" t="s">
        <v>16727</v>
      </c>
      <c r="WSK3" t="s">
        <v>16728</v>
      </c>
      <c r="WSL3" t="s">
        <v>16729</v>
      </c>
      <c r="WSM3" t="s">
        <v>16730</v>
      </c>
      <c r="WSN3" t="s">
        <v>16731</v>
      </c>
      <c r="WSO3" t="s">
        <v>16732</v>
      </c>
      <c r="WSP3" t="s">
        <v>16733</v>
      </c>
      <c r="WSQ3" t="s">
        <v>16734</v>
      </c>
      <c r="WSR3" t="s">
        <v>16735</v>
      </c>
      <c r="WSS3" t="s">
        <v>16736</v>
      </c>
      <c r="WST3" t="s">
        <v>16737</v>
      </c>
      <c r="WSU3" t="s">
        <v>16738</v>
      </c>
      <c r="WSV3" t="s">
        <v>16739</v>
      </c>
      <c r="WSW3" t="s">
        <v>16740</v>
      </c>
      <c r="WSX3" t="s">
        <v>16741</v>
      </c>
      <c r="WSY3" t="s">
        <v>16742</v>
      </c>
      <c r="WSZ3" t="s">
        <v>16743</v>
      </c>
      <c r="WTA3" t="s">
        <v>16744</v>
      </c>
      <c r="WTB3" t="s">
        <v>16745</v>
      </c>
      <c r="WTC3" t="s">
        <v>16746</v>
      </c>
      <c r="WTD3" t="s">
        <v>16747</v>
      </c>
      <c r="WTE3" t="s">
        <v>16748</v>
      </c>
      <c r="WTF3" t="s">
        <v>16749</v>
      </c>
      <c r="WTG3" t="s">
        <v>16750</v>
      </c>
      <c r="WTH3" t="s">
        <v>16751</v>
      </c>
      <c r="WTI3" t="s">
        <v>16752</v>
      </c>
      <c r="WTJ3" t="s">
        <v>16753</v>
      </c>
      <c r="WTK3" t="s">
        <v>16754</v>
      </c>
      <c r="WTL3" t="s">
        <v>16755</v>
      </c>
      <c r="WTM3" t="s">
        <v>16756</v>
      </c>
      <c r="WTN3" t="s">
        <v>16757</v>
      </c>
      <c r="WTO3" t="s">
        <v>16758</v>
      </c>
      <c r="WTP3" t="s">
        <v>16759</v>
      </c>
      <c r="WTQ3" t="s">
        <v>16760</v>
      </c>
      <c r="WTR3" t="s">
        <v>16761</v>
      </c>
      <c r="WTS3" t="s">
        <v>16762</v>
      </c>
      <c r="WTT3" t="s">
        <v>16763</v>
      </c>
      <c r="WTU3" t="s">
        <v>16764</v>
      </c>
      <c r="WTV3" t="s">
        <v>16765</v>
      </c>
      <c r="WTW3" t="s">
        <v>16766</v>
      </c>
      <c r="WTX3" t="s">
        <v>16767</v>
      </c>
      <c r="WTY3" t="s">
        <v>16768</v>
      </c>
      <c r="WTZ3" t="s">
        <v>16769</v>
      </c>
      <c r="WUA3" t="s">
        <v>16770</v>
      </c>
      <c r="WUB3" t="s">
        <v>16771</v>
      </c>
      <c r="WUC3" t="s">
        <v>16772</v>
      </c>
      <c r="WUD3" t="s">
        <v>16773</v>
      </c>
      <c r="WUE3" t="s">
        <v>16774</v>
      </c>
      <c r="WUF3" t="s">
        <v>16775</v>
      </c>
      <c r="WUG3" t="s">
        <v>16776</v>
      </c>
      <c r="WUH3" t="s">
        <v>16777</v>
      </c>
      <c r="WUI3" t="s">
        <v>16778</v>
      </c>
      <c r="WUJ3" t="s">
        <v>16779</v>
      </c>
      <c r="WUK3" t="s">
        <v>16780</v>
      </c>
      <c r="WUL3" t="s">
        <v>16781</v>
      </c>
      <c r="WUM3" t="s">
        <v>16782</v>
      </c>
      <c r="WUN3" t="s">
        <v>16783</v>
      </c>
      <c r="WUO3" t="s">
        <v>16784</v>
      </c>
      <c r="WUP3" t="s">
        <v>16785</v>
      </c>
      <c r="WUQ3" t="s">
        <v>16786</v>
      </c>
      <c r="WUR3" t="s">
        <v>16787</v>
      </c>
      <c r="WUS3" t="s">
        <v>16788</v>
      </c>
      <c r="WUT3" t="s">
        <v>16789</v>
      </c>
      <c r="WUU3" t="s">
        <v>16790</v>
      </c>
      <c r="WUV3" t="s">
        <v>16791</v>
      </c>
      <c r="WUW3" t="s">
        <v>16792</v>
      </c>
      <c r="WUX3" t="s">
        <v>16793</v>
      </c>
      <c r="WUY3" t="s">
        <v>16794</v>
      </c>
      <c r="WUZ3" t="s">
        <v>16795</v>
      </c>
      <c r="WVA3" t="s">
        <v>16796</v>
      </c>
      <c r="WVB3" t="s">
        <v>16797</v>
      </c>
      <c r="WVC3" t="s">
        <v>16798</v>
      </c>
      <c r="WVD3" t="s">
        <v>16799</v>
      </c>
      <c r="WVE3" t="s">
        <v>16800</v>
      </c>
      <c r="WVF3" t="s">
        <v>16801</v>
      </c>
      <c r="WVG3" t="s">
        <v>16802</v>
      </c>
      <c r="WVH3" t="s">
        <v>16803</v>
      </c>
      <c r="WVI3" t="s">
        <v>16804</v>
      </c>
      <c r="WVJ3" t="s">
        <v>16805</v>
      </c>
      <c r="WVK3" t="s">
        <v>16806</v>
      </c>
      <c r="WVL3" t="s">
        <v>16807</v>
      </c>
      <c r="WVM3" t="s">
        <v>16808</v>
      </c>
      <c r="WVN3" t="s">
        <v>16809</v>
      </c>
      <c r="WVO3" t="s">
        <v>16810</v>
      </c>
      <c r="WVP3" t="s">
        <v>16811</v>
      </c>
      <c r="WVQ3" t="s">
        <v>16812</v>
      </c>
      <c r="WVR3" t="s">
        <v>16813</v>
      </c>
      <c r="WVS3" t="s">
        <v>16814</v>
      </c>
      <c r="WVT3" t="s">
        <v>16815</v>
      </c>
      <c r="WVU3" t="s">
        <v>16816</v>
      </c>
      <c r="WVV3" t="s">
        <v>16817</v>
      </c>
      <c r="WVW3" t="s">
        <v>16818</v>
      </c>
      <c r="WVX3" t="s">
        <v>16819</v>
      </c>
      <c r="WVY3" t="s">
        <v>16820</v>
      </c>
      <c r="WVZ3" t="s">
        <v>16821</v>
      </c>
      <c r="WWA3" t="s">
        <v>16822</v>
      </c>
      <c r="WWB3" t="s">
        <v>16823</v>
      </c>
      <c r="WWC3" t="s">
        <v>16824</v>
      </c>
      <c r="WWD3" t="s">
        <v>16825</v>
      </c>
      <c r="WWE3" t="s">
        <v>16826</v>
      </c>
      <c r="WWF3" t="s">
        <v>16827</v>
      </c>
      <c r="WWG3" t="s">
        <v>16828</v>
      </c>
      <c r="WWH3" t="s">
        <v>16829</v>
      </c>
      <c r="WWI3" t="s">
        <v>16830</v>
      </c>
      <c r="WWJ3" t="s">
        <v>16831</v>
      </c>
      <c r="WWK3" t="s">
        <v>16832</v>
      </c>
      <c r="WWL3" t="s">
        <v>16833</v>
      </c>
      <c r="WWM3" t="s">
        <v>16834</v>
      </c>
      <c r="WWN3" t="s">
        <v>16835</v>
      </c>
      <c r="WWO3" t="s">
        <v>16836</v>
      </c>
      <c r="WWP3" t="s">
        <v>16837</v>
      </c>
      <c r="WWQ3" t="s">
        <v>16838</v>
      </c>
      <c r="WWR3" t="s">
        <v>16839</v>
      </c>
      <c r="WWS3" t="s">
        <v>16840</v>
      </c>
      <c r="WWT3" t="s">
        <v>16841</v>
      </c>
      <c r="WWU3" t="s">
        <v>16842</v>
      </c>
      <c r="WWV3" t="s">
        <v>16843</v>
      </c>
      <c r="WWW3" t="s">
        <v>16844</v>
      </c>
      <c r="WWX3" t="s">
        <v>16845</v>
      </c>
      <c r="WWY3" t="s">
        <v>16846</v>
      </c>
      <c r="WWZ3" t="s">
        <v>16847</v>
      </c>
      <c r="WXA3" t="s">
        <v>16848</v>
      </c>
      <c r="WXB3" t="s">
        <v>16849</v>
      </c>
      <c r="WXC3" t="s">
        <v>16850</v>
      </c>
      <c r="WXD3" t="s">
        <v>16851</v>
      </c>
      <c r="WXE3" t="s">
        <v>16852</v>
      </c>
      <c r="WXF3" t="s">
        <v>16853</v>
      </c>
      <c r="WXG3" t="s">
        <v>16854</v>
      </c>
      <c r="WXH3" t="s">
        <v>16855</v>
      </c>
      <c r="WXI3" t="s">
        <v>16856</v>
      </c>
      <c r="WXJ3" t="s">
        <v>16857</v>
      </c>
      <c r="WXK3" t="s">
        <v>16858</v>
      </c>
      <c r="WXL3" t="s">
        <v>16859</v>
      </c>
      <c r="WXM3" t="s">
        <v>16860</v>
      </c>
      <c r="WXN3" t="s">
        <v>16861</v>
      </c>
      <c r="WXO3" t="s">
        <v>16862</v>
      </c>
      <c r="WXP3" t="s">
        <v>16863</v>
      </c>
      <c r="WXQ3" t="s">
        <v>16864</v>
      </c>
      <c r="WXR3" t="s">
        <v>16865</v>
      </c>
      <c r="WXS3" t="s">
        <v>16866</v>
      </c>
      <c r="WXT3" t="s">
        <v>16867</v>
      </c>
      <c r="WXU3" t="s">
        <v>16868</v>
      </c>
      <c r="WXV3" t="s">
        <v>16869</v>
      </c>
      <c r="WXW3" t="s">
        <v>16870</v>
      </c>
      <c r="WXX3" t="s">
        <v>16871</v>
      </c>
      <c r="WXY3" t="s">
        <v>16872</v>
      </c>
      <c r="WXZ3" t="s">
        <v>16873</v>
      </c>
      <c r="WYA3" t="s">
        <v>16874</v>
      </c>
      <c r="WYB3" t="s">
        <v>16875</v>
      </c>
      <c r="WYC3" t="s">
        <v>16876</v>
      </c>
      <c r="WYD3" t="s">
        <v>16877</v>
      </c>
      <c r="WYE3" t="s">
        <v>16878</v>
      </c>
      <c r="WYF3" t="s">
        <v>16879</v>
      </c>
      <c r="WYG3" t="s">
        <v>16880</v>
      </c>
      <c r="WYH3" t="s">
        <v>16881</v>
      </c>
      <c r="WYI3" t="s">
        <v>16882</v>
      </c>
      <c r="WYJ3" t="s">
        <v>16883</v>
      </c>
      <c r="WYK3" t="s">
        <v>16884</v>
      </c>
      <c r="WYL3" t="s">
        <v>16885</v>
      </c>
      <c r="WYM3" t="s">
        <v>16886</v>
      </c>
      <c r="WYN3" t="s">
        <v>16887</v>
      </c>
      <c r="WYO3" t="s">
        <v>16888</v>
      </c>
      <c r="WYP3" t="s">
        <v>16889</v>
      </c>
      <c r="WYQ3" t="s">
        <v>16890</v>
      </c>
      <c r="WYR3" t="s">
        <v>16891</v>
      </c>
      <c r="WYS3" t="s">
        <v>16892</v>
      </c>
      <c r="WYT3" t="s">
        <v>16893</v>
      </c>
      <c r="WYU3" t="s">
        <v>16894</v>
      </c>
      <c r="WYV3" t="s">
        <v>16895</v>
      </c>
      <c r="WYW3" t="s">
        <v>16896</v>
      </c>
      <c r="WYX3" t="s">
        <v>16897</v>
      </c>
      <c r="WYY3" t="s">
        <v>16898</v>
      </c>
      <c r="WYZ3" t="s">
        <v>16899</v>
      </c>
      <c r="WZA3" t="s">
        <v>16900</v>
      </c>
      <c r="WZB3" t="s">
        <v>16901</v>
      </c>
      <c r="WZC3" t="s">
        <v>16902</v>
      </c>
      <c r="WZD3" t="s">
        <v>16903</v>
      </c>
      <c r="WZE3" t="s">
        <v>16904</v>
      </c>
      <c r="WZF3" t="s">
        <v>16905</v>
      </c>
      <c r="WZG3" t="s">
        <v>16906</v>
      </c>
      <c r="WZH3" t="s">
        <v>16907</v>
      </c>
      <c r="WZI3" t="s">
        <v>16908</v>
      </c>
      <c r="WZJ3" t="s">
        <v>16909</v>
      </c>
      <c r="WZK3" t="s">
        <v>16910</v>
      </c>
      <c r="WZL3" t="s">
        <v>16911</v>
      </c>
      <c r="WZM3" t="s">
        <v>16912</v>
      </c>
      <c r="WZN3" t="s">
        <v>16913</v>
      </c>
      <c r="WZO3" t="s">
        <v>16914</v>
      </c>
      <c r="WZP3" t="s">
        <v>16915</v>
      </c>
      <c r="WZQ3" t="s">
        <v>16916</v>
      </c>
      <c r="WZR3" t="s">
        <v>16917</v>
      </c>
      <c r="WZS3" t="s">
        <v>16918</v>
      </c>
      <c r="WZT3" t="s">
        <v>16919</v>
      </c>
      <c r="WZU3" t="s">
        <v>16920</v>
      </c>
      <c r="WZV3" t="s">
        <v>16921</v>
      </c>
      <c r="WZW3" t="s">
        <v>16922</v>
      </c>
      <c r="WZX3" t="s">
        <v>16923</v>
      </c>
      <c r="WZY3" t="s">
        <v>16924</v>
      </c>
      <c r="WZZ3" t="s">
        <v>16925</v>
      </c>
      <c r="XAA3" t="s">
        <v>16926</v>
      </c>
      <c r="XAB3" t="s">
        <v>16927</v>
      </c>
      <c r="XAC3" t="s">
        <v>16928</v>
      </c>
      <c r="XAD3" t="s">
        <v>16929</v>
      </c>
      <c r="XAE3" t="s">
        <v>16930</v>
      </c>
      <c r="XAF3" t="s">
        <v>16931</v>
      </c>
      <c r="XAG3" t="s">
        <v>16932</v>
      </c>
      <c r="XAH3" t="s">
        <v>16933</v>
      </c>
      <c r="XAI3" t="s">
        <v>16934</v>
      </c>
      <c r="XAJ3" t="s">
        <v>16935</v>
      </c>
      <c r="XAK3" t="s">
        <v>16936</v>
      </c>
      <c r="XAL3" t="s">
        <v>16937</v>
      </c>
      <c r="XAM3" t="s">
        <v>16938</v>
      </c>
      <c r="XAN3" t="s">
        <v>16939</v>
      </c>
      <c r="XAO3" t="s">
        <v>16940</v>
      </c>
      <c r="XAP3" t="s">
        <v>16941</v>
      </c>
      <c r="XAQ3" t="s">
        <v>16942</v>
      </c>
      <c r="XAR3" t="s">
        <v>16943</v>
      </c>
      <c r="XAS3" t="s">
        <v>16944</v>
      </c>
      <c r="XAT3" t="s">
        <v>16945</v>
      </c>
      <c r="XAU3" t="s">
        <v>16946</v>
      </c>
      <c r="XAV3" t="s">
        <v>16947</v>
      </c>
      <c r="XAW3" t="s">
        <v>16948</v>
      </c>
      <c r="XAX3" t="s">
        <v>16949</v>
      </c>
      <c r="XAY3" t="s">
        <v>16950</v>
      </c>
      <c r="XAZ3" t="s">
        <v>16951</v>
      </c>
      <c r="XBA3" t="s">
        <v>16952</v>
      </c>
      <c r="XBB3" t="s">
        <v>16953</v>
      </c>
      <c r="XBC3" t="s">
        <v>16954</v>
      </c>
      <c r="XBD3" t="s">
        <v>16955</v>
      </c>
      <c r="XBE3" t="s">
        <v>16956</v>
      </c>
      <c r="XBF3" t="s">
        <v>16957</v>
      </c>
      <c r="XBG3" t="s">
        <v>16958</v>
      </c>
      <c r="XBH3" t="s">
        <v>16959</v>
      </c>
      <c r="XBI3" t="s">
        <v>16960</v>
      </c>
      <c r="XBJ3" t="s">
        <v>16961</v>
      </c>
      <c r="XBK3" t="s">
        <v>16962</v>
      </c>
      <c r="XBL3" t="s">
        <v>16963</v>
      </c>
      <c r="XBM3" t="s">
        <v>16964</v>
      </c>
      <c r="XBN3" t="s">
        <v>16965</v>
      </c>
      <c r="XBO3" t="s">
        <v>16966</v>
      </c>
      <c r="XBP3" t="s">
        <v>16967</v>
      </c>
      <c r="XBQ3" t="s">
        <v>16968</v>
      </c>
      <c r="XBR3" t="s">
        <v>16969</v>
      </c>
      <c r="XBS3" t="s">
        <v>16970</v>
      </c>
      <c r="XBT3" t="s">
        <v>16971</v>
      </c>
      <c r="XBU3" t="s">
        <v>16972</v>
      </c>
      <c r="XBV3" t="s">
        <v>16973</v>
      </c>
      <c r="XBW3" t="s">
        <v>16974</v>
      </c>
      <c r="XBX3" t="s">
        <v>16975</v>
      </c>
      <c r="XBY3" t="s">
        <v>16976</v>
      </c>
      <c r="XBZ3" t="s">
        <v>16977</v>
      </c>
      <c r="XCA3" t="s">
        <v>16978</v>
      </c>
      <c r="XCB3" t="s">
        <v>16979</v>
      </c>
      <c r="XCC3" t="s">
        <v>16980</v>
      </c>
      <c r="XCD3" t="s">
        <v>16981</v>
      </c>
      <c r="XCE3" t="s">
        <v>16982</v>
      </c>
      <c r="XCF3" t="s">
        <v>16983</v>
      </c>
      <c r="XCG3" t="s">
        <v>16984</v>
      </c>
      <c r="XCH3" t="s">
        <v>16985</v>
      </c>
      <c r="XCI3" t="s">
        <v>16986</v>
      </c>
      <c r="XCJ3" t="s">
        <v>16987</v>
      </c>
      <c r="XCK3" t="s">
        <v>16988</v>
      </c>
      <c r="XCL3" t="s">
        <v>16989</v>
      </c>
      <c r="XCM3" t="s">
        <v>16990</v>
      </c>
      <c r="XCN3" t="s">
        <v>16991</v>
      </c>
      <c r="XCO3" t="s">
        <v>16992</v>
      </c>
      <c r="XCP3" t="s">
        <v>16993</v>
      </c>
      <c r="XCQ3" t="s">
        <v>16994</v>
      </c>
      <c r="XCR3" t="s">
        <v>16995</v>
      </c>
      <c r="XCS3" t="s">
        <v>16996</v>
      </c>
      <c r="XCT3" t="s">
        <v>16997</v>
      </c>
      <c r="XCU3" t="s">
        <v>16998</v>
      </c>
      <c r="XCV3" t="s">
        <v>16999</v>
      </c>
      <c r="XCW3" t="s">
        <v>17000</v>
      </c>
      <c r="XCX3" t="s">
        <v>17001</v>
      </c>
      <c r="XCY3" t="s">
        <v>17002</v>
      </c>
      <c r="XCZ3" t="s">
        <v>17003</v>
      </c>
      <c r="XDA3" t="s">
        <v>17004</v>
      </c>
      <c r="XDB3" t="s">
        <v>17005</v>
      </c>
      <c r="XDC3" t="s">
        <v>17006</v>
      </c>
      <c r="XDD3" t="s">
        <v>17007</v>
      </c>
      <c r="XDE3" t="s">
        <v>17008</v>
      </c>
      <c r="XDF3" t="s">
        <v>17009</v>
      </c>
      <c r="XDG3" t="s">
        <v>17010</v>
      </c>
      <c r="XDH3" t="s">
        <v>17011</v>
      </c>
      <c r="XDI3" t="s">
        <v>17012</v>
      </c>
      <c r="XDJ3" t="s">
        <v>17013</v>
      </c>
      <c r="XDK3" t="s">
        <v>17014</v>
      </c>
      <c r="XDL3" t="s">
        <v>17015</v>
      </c>
      <c r="XDM3" t="s">
        <v>17016</v>
      </c>
      <c r="XDN3" t="s">
        <v>17017</v>
      </c>
      <c r="XDO3" t="s">
        <v>17018</v>
      </c>
      <c r="XDP3" t="s">
        <v>17019</v>
      </c>
      <c r="XDQ3" t="s">
        <v>17020</v>
      </c>
      <c r="XDR3" t="s">
        <v>17021</v>
      </c>
      <c r="XDS3" t="s">
        <v>17022</v>
      </c>
      <c r="XDT3" t="s">
        <v>17023</v>
      </c>
      <c r="XDU3" t="s">
        <v>17024</v>
      </c>
      <c r="XDV3" t="s">
        <v>17025</v>
      </c>
      <c r="XDW3" t="s">
        <v>17026</v>
      </c>
      <c r="XDX3" t="s">
        <v>17027</v>
      </c>
      <c r="XDY3" t="s">
        <v>17028</v>
      </c>
      <c r="XDZ3" t="s">
        <v>17029</v>
      </c>
      <c r="XEA3" t="s">
        <v>17030</v>
      </c>
      <c r="XEB3" t="s">
        <v>17031</v>
      </c>
      <c r="XEC3" t="s">
        <v>17032</v>
      </c>
      <c r="XED3" t="s">
        <v>17033</v>
      </c>
      <c r="XEE3" t="s">
        <v>17034</v>
      </c>
      <c r="XEF3" t="s">
        <v>17035</v>
      </c>
      <c r="XEG3" t="s">
        <v>17036</v>
      </c>
      <c r="XEH3" t="s">
        <v>17037</v>
      </c>
      <c r="XEI3" t="s">
        <v>17038</v>
      </c>
      <c r="XEJ3" t="s">
        <v>17039</v>
      </c>
      <c r="XEK3" t="s">
        <v>17040</v>
      </c>
      <c r="XEL3" t="s">
        <v>17041</v>
      </c>
      <c r="XEM3" t="s">
        <v>17042</v>
      </c>
      <c r="XEN3" t="s">
        <v>17043</v>
      </c>
      <c r="XEO3" t="s">
        <v>17044</v>
      </c>
      <c r="XEP3" t="s">
        <v>17045</v>
      </c>
      <c r="XEQ3" t="s">
        <v>17046</v>
      </c>
      <c r="XER3" t="s">
        <v>17047</v>
      </c>
      <c r="XES3" t="s">
        <v>17048</v>
      </c>
      <c r="XET3" t="s">
        <v>17049</v>
      </c>
      <c r="XEU3" t="s">
        <v>17050</v>
      </c>
      <c r="XEV3" t="s">
        <v>17051</v>
      </c>
      <c r="XEW3" t="s">
        <v>17052</v>
      </c>
      <c r="XEX3" t="s">
        <v>17053</v>
      </c>
      <c r="XEY3" t="s">
        <v>17054</v>
      </c>
      <c r="XEZ3" t="s">
        <v>17055</v>
      </c>
      <c r="XFA3" t="s">
        <v>17056</v>
      </c>
      <c r="XFB3" t="s">
        <v>17057</v>
      </c>
      <c r="XFC3" t="s">
        <v>17058</v>
      </c>
      <c r="XFD3" t="s">
        <v>17059</v>
      </c>
    </row>
    <row r="4" spans="1:16384" x14ac:dyDescent="0.35">
      <c r="A4" s="195">
        <v>46023</v>
      </c>
      <c r="B4" s="61" t="s">
        <v>7</v>
      </c>
      <c r="C4" s="231">
        <v>88776</v>
      </c>
      <c r="D4" s="208">
        <v>1515000</v>
      </c>
      <c r="E4" s="252">
        <f>C4-D4</f>
        <v>-1426224</v>
      </c>
      <c r="F4" s="61">
        <v>2000098</v>
      </c>
      <c r="G4" s="54"/>
      <c r="H4" s="61"/>
    </row>
    <row r="5" spans="1:16384" x14ac:dyDescent="0.35">
      <c r="A5" s="195">
        <v>46024</v>
      </c>
      <c r="B5" s="61" t="s">
        <v>66</v>
      </c>
      <c r="C5" s="231">
        <v>611154481</v>
      </c>
      <c r="D5" s="208"/>
      <c r="E5" s="252">
        <f>E4+C5-D5</f>
        <v>609728257</v>
      </c>
      <c r="F5" s="58"/>
      <c r="G5" s="54" t="s">
        <v>65</v>
      </c>
      <c r="H5" s="61" t="s">
        <v>430</v>
      </c>
    </row>
    <row r="6" spans="1:16384" x14ac:dyDescent="0.35">
      <c r="A6" s="195">
        <v>46024</v>
      </c>
      <c r="B6" s="61" t="s">
        <v>9</v>
      </c>
      <c r="C6" s="231"/>
      <c r="D6" s="208">
        <v>5000</v>
      </c>
      <c r="E6" s="252">
        <f t="shared" ref="E6:E68" si="0">E5+C6-D6</f>
        <v>609723257</v>
      </c>
      <c r="F6" s="61"/>
      <c r="G6" s="54"/>
      <c r="H6" s="61" t="s">
        <v>9</v>
      </c>
    </row>
    <row r="7" spans="1:16384" x14ac:dyDescent="0.35">
      <c r="A7" s="195">
        <v>46024</v>
      </c>
      <c r="B7" s="61" t="s">
        <v>9</v>
      </c>
      <c r="C7" s="231"/>
      <c r="D7" s="208">
        <v>500</v>
      </c>
      <c r="E7" s="252">
        <f t="shared" si="0"/>
        <v>609722757</v>
      </c>
      <c r="F7" s="61"/>
      <c r="G7" s="54"/>
      <c r="H7" s="61" t="s">
        <v>9</v>
      </c>
    </row>
    <row r="8" spans="1:16384" x14ac:dyDescent="0.35">
      <c r="A8" s="196">
        <v>46027</v>
      </c>
      <c r="B8" s="125" t="s">
        <v>67</v>
      </c>
      <c r="C8" s="232"/>
      <c r="D8" s="209">
        <v>500000</v>
      </c>
      <c r="E8" s="253">
        <f t="shared" si="0"/>
        <v>609222757</v>
      </c>
      <c r="F8" s="125"/>
      <c r="G8" s="126" t="s">
        <v>68</v>
      </c>
      <c r="H8" s="61" t="s">
        <v>445</v>
      </c>
    </row>
    <row r="9" spans="1:16384" x14ac:dyDescent="0.35">
      <c r="A9" s="196">
        <v>46027</v>
      </c>
      <c r="B9" s="125" t="s">
        <v>67</v>
      </c>
      <c r="C9" s="232"/>
      <c r="D9" s="209">
        <v>1000000</v>
      </c>
      <c r="E9" s="253">
        <f t="shared" si="0"/>
        <v>608222757</v>
      </c>
      <c r="F9" s="125"/>
      <c r="G9" s="126" t="s">
        <v>70</v>
      </c>
      <c r="H9" s="61" t="s">
        <v>445</v>
      </c>
    </row>
    <row r="10" spans="1:16384" x14ac:dyDescent="0.35">
      <c r="A10" s="196">
        <v>46027</v>
      </c>
      <c r="B10" s="125" t="s">
        <v>67</v>
      </c>
      <c r="C10" s="232"/>
      <c r="D10" s="209">
        <v>500000</v>
      </c>
      <c r="E10" s="253">
        <f t="shared" si="0"/>
        <v>607722757</v>
      </c>
      <c r="F10" s="125"/>
      <c r="G10" s="127" t="s">
        <v>69</v>
      </c>
      <c r="H10" s="61" t="s">
        <v>445</v>
      </c>
    </row>
    <row r="11" spans="1:16384" x14ac:dyDescent="0.35">
      <c r="A11" s="195">
        <v>46027</v>
      </c>
      <c r="B11" s="61" t="s">
        <v>260</v>
      </c>
      <c r="C11" s="231"/>
      <c r="D11" s="208">
        <v>39307680</v>
      </c>
      <c r="E11" s="252">
        <f t="shared" si="0"/>
        <v>568415077</v>
      </c>
      <c r="F11" s="61">
        <v>2000099</v>
      </c>
      <c r="G11" s="54" t="s">
        <v>363</v>
      </c>
      <c r="H11" s="61" t="s">
        <v>437</v>
      </c>
    </row>
    <row r="12" spans="1:16384" x14ac:dyDescent="0.35">
      <c r="A12" s="195">
        <v>46027</v>
      </c>
      <c r="B12" s="61" t="s">
        <v>347</v>
      </c>
      <c r="C12" s="231"/>
      <c r="D12" s="208">
        <v>42236800</v>
      </c>
      <c r="E12" s="252">
        <f t="shared" si="0"/>
        <v>526178277</v>
      </c>
      <c r="F12" s="61">
        <v>2000101</v>
      </c>
      <c r="G12" s="54" t="s">
        <v>363</v>
      </c>
      <c r="H12" s="61" t="s">
        <v>437</v>
      </c>
    </row>
    <row r="13" spans="1:16384" x14ac:dyDescent="0.35">
      <c r="A13" s="195">
        <v>46027</v>
      </c>
      <c r="B13" s="61" t="s">
        <v>269</v>
      </c>
      <c r="C13" s="231"/>
      <c r="D13" s="208">
        <v>23968000</v>
      </c>
      <c r="E13" s="252">
        <f t="shared" si="0"/>
        <v>502210277</v>
      </c>
      <c r="F13" s="61">
        <v>2000102</v>
      </c>
      <c r="G13" s="54" t="s">
        <v>363</v>
      </c>
      <c r="H13" s="61" t="s">
        <v>437</v>
      </c>
    </row>
    <row r="14" spans="1:16384" x14ac:dyDescent="0.35">
      <c r="A14" s="196">
        <v>46027</v>
      </c>
      <c r="B14" s="125" t="s">
        <v>73</v>
      </c>
      <c r="C14" s="232"/>
      <c r="D14" s="209">
        <v>31000000</v>
      </c>
      <c r="E14" s="253">
        <f t="shared" si="0"/>
        <v>471210277</v>
      </c>
      <c r="F14" s="125">
        <v>2000103</v>
      </c>
      <c r="G14" s="126" t="s">
        <v>56</v>
      </c>
      <c r="H14" s="61" t="s">
        <v>438</v>
      </c>
    </row>
    <row r="15" spans="1:16384" x14ac:dyDescent="0.35">
      <c r="A15" s="195">
        <v>46027</v>
      </c>
      <c r="B15" s="61" t="s">
        <v>11</v>
      </c>
      <c r="C15" s="231"/>
      <c r="D15" s="208">
        <v>5000</v>
      </c>
      <c r="E15" s="252">
        <f t="shared" si="0"/>
        <v>471205277</v>
      </c>
      <c r="F15" s="128"/>
      <c r="G15" s="54" t="s">
        <v>74</v>
      </c>
      <c r="H15" s="61" t="s">
        <v>441</v>
      </c>
    </row>
    <row r="16" spans="1:16384" x14ac:dyDescent="0.35">
      <c r="A16" s="195">
        <v>46027</v>
      </c>
      <c r="B16" s="61" t="s">
        <v>12</v>
      </c>
      <c r="C16" s="231"/>
      <c r="D16" s="208">
        <v>5325000</v>
      </c>
      <c r="E16" s="252">
        <f t="shared" si="0"/>
        <v>465880277</v>
      </c>
      <c r="F16" s="128"/>
      <c r="G16" s="54" t="s">
        <v>74</v>
      </c>
      <c r="H16" s="61" t="s">
        <v>441</v>
      </c>
    </row>
    <row r="17" spans="1:8" x14ac:dyDescent="0.35">
      <c r="A17" s="195">
        <v>46027</v>
      </c>
      <c r="B17" s="61" t="s">
        <v>13</v>
      </c>
      <c r="C17" s="231"/>
      <c r="D17" s="208">
        <v>500</v>
      </c>
      <c r="E17" s="252">
        <f t="shared" si="0"/>
        <v>465879777</v>
      </c>
      <c r="F17" s="128"/>
      <c r="G17" s="54" t="s">
        <v>74</v>
      </c>
      <c r="H17" s="61" t="s">
        <v>441</v>
      </c>
    </row>
    <row r="18" spans="1:8" x14ac:dyDescent="0.35">
      <c r="A18" s="195">
        <v>46027</v>
      </c>
      <c r="B18" s="61" t="s">
        <v>343</v>
      </c>
      <c r="C18" s="231"/>
      <c r="D18" s="208">
        <v>53850220</v>
      </c>
      <c r="E18" s="252">
        <f t="shared" si="0"/>
        <v>412029557</v>
      </c>
      <c r="F18" s="61">
        <v>2000104</v>
      </c>
      <c r="G18" s="54" t="s">
        <v>363</v>
      </c>
      <c r="H18" s="61" t="s">
        <v>437</v>
      </c>
    </row>
    <row r="19" spans="1:8" x14ac:dyDescent="0.35">
      <c r="A19" s="195">
        <v>46027</v>
      </c>
      <c r="B19" s="61" t="s">
        <v>360</v>
      </c>
      <c r="C19" s="231"/>
      <c r="D19" s="208">
        <v>12153600</v>
      </c>
      <c r="E19" s="252">
        <f t="shared" si="0"/>
        <v>399875957</v>
      </c>
      <c r="F19" s="58">
        <v>2000105</v>
      </c>
      <c r="G19" s="54" t="s">
        <v>363</v>
      </c>
      <c r="H19" s="61" t="s">
        <v>437</v>
      </c>
    </row>
    <row r="20" spans="1:8" x14ac:dyDescent="0.35">
      <c r="A20" s="195">
        <v>46027</v>
      </c>
      <c r="B20" s="61" t="s">
        <v>261</v>
      </c>
      <c r="C20" s="231"/>
      <c r="D20" s="208">
        <v>27785100</v>
      </c>
      <c r="E20" s="252">
        <f t="shared" si="0"/>
        <v>372090857</v>
      </c>
      <c r="F20" s="58">
        <v>2000106</v>
      </c>
      <c r="G20" s="54" t="s">
        <v>363</v>
      </c>
      <c r="H20" s="61" t="s">
        <v>437</v>
      </c>
    </row>
    <row r="21" spans="1:8" x14ac:dyDescent="0.35">
      <c r="A21" s="196">
        <v>46028</v>
      </c>
      <c r="B21" s="125" t="s">
        <v>71</v>
      </c>
      <c r="C21" s="232"/>
      <c r="D21" s="209">
        <v>3902000</v>
      </c>
      <c r="E21" s="253">
        <f t="shared" si="0"/>
        <v>368188857</v>
      </c>
      <c r="F21" s="129">
        <v>2000100</v>
      </c>
      <c r="G21" s="126" t="s">
        <v>72</v>
      </c>
      <c r="H21" s="61" t="s">
        <v>441</v>
      </c>
    </row>
    <row r="22" spans="1:8" x14ac:dyDescent="0.35">
      <c r="A22" s="195">
        <v>46028</v>
      </c>
      <c r="B22" s="61" t="s">
        <v>339</v>
      </c>
      <c r="C22" s="231"/>
      <c r="D22" s="208">
        <v>15270520</v>
      </c>
      <c r="E22" s="252">
        <f t="shared" si="0"/>
        <v>352918337</v>
      </c>
      <c r="F22" s="58">
        <v>2000107</v>
      </c>
      <c r="G22" s="54" t="s">
        <v>363</v>
      </c>
      <c r="H22" s="61" t="s">
        <v>437</v>
      </c>
    </row>
    <row r="23" spans="1:8" x14ac:dyDescent="0.35">
      <c r="A23" s="195">
        <v>46028</v>
      </c>
      <c r="B23" s="61" t="s">
        <v>349</v>
      </c>
      <c r="C23" s="231"/>
      <c r="D23" s="208">
        <v>24739200</v>
      </c>
      <c r="E23" s="252">
        <f t="shared" si="0"/>
        <v>328179137</v>
      </c>
      <c r="F23" s="58">
        <v>2000108</v>
      </c>
      <c r="G23" s="54" t="s">
        <v>363</v>
      </c>
      <c r="H23" s="61" t="s">
        <v>437</v>
      </c>
    </row>
    <row r="24" spans="1:8" x14ac:dyDescent="0.35">
      <c r="A24" s="196">
        <v>46028</v>
      </c>
      <c r="B24" s="125" t="s">
        <v>73</v>
      </c>
      <c r="C24" s="232"/>
      <c r="D24" s="209">
        <v>84000000</v>
      </c>
      <c r="E24" s="253">
        <f t="shared" si="0"/>
        <v>244179137</v>
      </c>
      <c r="F24" s="129">
        <v>2000109</v>
      </c>
      <c r="G24" s="126" t="s">
        <v>56</v>
      </c>
      <c r="H24" s="61" t="s">
        <v>438</v>
      </c>
    </row>
    <row r="25" spans="1:8" x14ac:dyDescent="0.35">
      <c r="A25" s="196">
        <v>46028</v>
      </c>
      <c r="B25" s="125" t="s">
        <v>14</v>
      </c>
      <c r="C25" s="232"/>
      <c r="D25" s="209">
        <v>2746353</v>
      </c>
      <c r="E25" s="253">
        <f t="shared" si="0"/>
        <v>241432784</v>
      </c>
      <c r="F25" s="129">
        <v>2000110</v>
      </c>
      <c r="G25" s="126" t="s">
        <v>319</v>
      </c>
      <c r="H25" s="61" t="s">
        <v>374</v>
      </c>
    </row>
    <row r="26" spans="1:8" x14ac:dyDescent="0.35">
      <c r="A26" s="195">
        <v>46029</v>
      </c>
      <c r="B26" s="61" t="s">
        <v>332</v>
      </c>
      <c r="C26" s="231"/>
      <c r="D26" s="208">
        <v>29407760</v>
      </c>
      <c r="E26" s="252">
        <f t="shared" si="0"/>
        <v>212025024</v>
      </c>
      <c r="F26" s="58">
        <v>2000111</v>
      </c>
      <c r="G26" s="54" t="s">
        <v>363</v>
      </c>
      <c r="H26" s="61" t="s">
        <v>437</v>
      </c>
    </row>
    <row r="27" spans="1:8" x14ac:dyDescent="0.35">
      <c r="A27" s="195">
        <v>46029</v>
      </c>
      <c r="B27" s="61" t="s">
        <v>339</v>
      </c>
      <c r="C27" s="231"/>
      <c r="D27" s="208">
        <v>23747140</v>
      </c>
      <c r="E27" s="252">
        <f t="shared" si="0"/>
        <v>188277884</v>
      </c>
      <c r="F27" s="58">
        <v>2000112</v>
      </c>
      <c r="G27" s="54" t="s">
        <v>363</v>
      </c>
      <c r="H27" s="61" t="s">
        <v>437</v>
      </c>
    </row>
    <row r="28" spans="1:8" x14ac:dyDescent="0.35">
      <c r="A28" s="195">
        <v>46029</v>
      </c>
      <c r="B28" s="61" t="s">
        <v>358</v>
      </c>
      <c r="C28" s="231"/>
      <c r="D28" s="208">
        <v>8694400</v>
      </c>
      <c r="E28" s="252">
        <f t="shared" si="0"/>
        <v>179583484</v>
      </c>
      <c r="F28" s="58">
        <v>2000113</v>
      </c>
      <c r="G28" s="54" t="s">
        <v>363</v>
      </c>
      <c r="H28" s="61" t="s">
        <v>437</v>
      </c>
    </row>
    <row r="29" spans="1:8" x14ac:dyDescent="0.35">
      <c r="A29" s="195">
        <v>46029</v>
      </c>
      <c r="B29" s="61" t="s">
        <v>75</v>
      </c>
      <c r="C29" s="231">
        <v>113519197</v>
      </c>
      <c r="D29" s="208"/>
      <c r="E29" s="252">
        <f t="shared" si="0"/>
        <v>293102681</v>
      </c>
      <c r="F29" s="58"/>
      <c r="G29" s="61" t="s">
        <v>76</v>
      </c>
      <c r="H29" s="61" t="s">
        <v>430</v>
      </c>
    </row>
    <row r="30" spans="1:8" x14ac:dyDescent="0.35">
      <c r="A30" s="195">
        <v>46034</v>
      </c>
      <c r="B30" s="61" t="s">
        <v>345</v>
      </c>
      <c r="C30" s="231"/>
      <c r="D30" s="208">
        <v>21144800</v>
      </c>
      <c r="E30" s="252">
        <f t="shared" si="0"/>
        <v>271957881</v>
      </c>
      <c r="F30" s="58">
        <v>2000114</v>
      </c>
      <c r="G30" s="54" t="s">
        <v>363</v>
      </c>
      <c r="H30" s="61" t="s">
        <v>437</v>
      </c>
    </row>
    <row r="31" spans="1:8" x14ac:dyDescent="0.35">
      <c r="A31" s="195">
        <v>46034</v>
      </c>
      <c r="B31" s="61" t="s">
        <v>352</v>
      </c>
      <c r="C31" s="231"/>
      <c r="D31" s="208">
        <v>8284800</v>
      </c>
      <c r="E31" s="252">
        <f t="shared" si="0"/>
        <v>263673081</v>
      </c>
      <c r="F31" s="58">
        <v>2000115</v>
      </c>
      <c r="G31" s="54" t="s">
        <v>363</v>
      </c>
      <c r="H31" s="61" t="s">
        <v>437</v>
      </c>
    </row>
    <row r="32" spans="1:8" x14ac:dyDescent="0.35">
      <c r="A32" s="195">
        <v>46034</v>
      </c>
      <c r="B32" s="61" t="s">
        <v>260</v>
      </c>
      <c r="C32" s="231"/>
      <c r="D32" s="208">
        <v>24095880</v>
      </c>
      <c r="E32" s="252">
        <f t="shared" si="0"/>
        <v>239577201</v>
      </c>
      <c r="F32" s="58">
        <v>2000116</v>
      </c>
      <c r="G32" s="54" t="s">
        <v>363</v>
      </c>
      <c r="H32" s="61" t="s">
        <v>437</v>
      </c>
    </row>
    <row r="33" spans="1:8" x14ac:dyDescent="0.35">
      <c r="A33" s="195">
        <v>46034</v>
      </c>
      <c r="B33" s="61" t="s">
        <v>351</v>
      </c>
      <c r="C33" s="231"/>
      <c r="D33" s="208">
        <v>22802000</v>
      </c>
      <c r="E33" s="252">
        <f t="shared" si="0"/>
        <v>216775201</v>
      </c>
      <c r="F33" s="58">
        <v>2000118</v>
      </c>
      <c r="G33" s="54" t="s">
        <v>363</v>
      </c>
      <c r="H33" s="61" t="s">
        <v>437</v>
      </c>
    </row>
    <row r="34" spans="1:8" x14ac:dyDescent="0.35">
      <c r="A34" s="195">
        <v>46034</v>
      </c>
      <c r="B34" s="61" t="s">
        <v>269</v>
      </c>
      <c r="C34" s="231"/>
      <c r="D34" s="208">
        <v>98617200</v>
      </c>
      <c r="E34" s="252">
        <f t="shared" si="0"/>
        <v>118158001</v>
      </c>
      <c r="F34" s="58">
        <v>2000119</v>
      </c>
      <c r="G34" s="54" t="s">
        <v>363</v>
      </c>
      <c r="H34" s="61" t="s">
        <v>437</v>
      </c>
    </row>
    <row r="35" spans="1:8" x14ac:dyDescent="0.35">
      <c r="A35" s="195">
        <v>46034</v>
      </c>
      <c r="B35" s="61" t="s">
        <v>261</v>
      </c>
      <c r="C35" s="231"/>
      <c r="D35" s="208">
        <v>6797420</v>
      </c>
      <c r="E35" s="252">
        <f t="shared" si="0"/>
        <v>111360581</v>
      </c>
      <c r="F35" s="58">
        <v>2000120</v>
      </c>
      <c r="G35" s="54" t="s">
        <v>363</v>
      </c>
      <c r="H35" s="61" t="s">
        <v>437</v>
      </c>
    </row>
    <row r="36" spans="1:8" x14ac:dyDescent="0.35">
      <c r="A36" s="195">
        <v>46034</v>
      </c>
      <c r="B36" s="61" t="s">
        <v>343</v>
      </c>
      <c r="C36" s="231"/>
      <c r="D36" s="208">
        <v>35873280</v>
      </c>
      <c r="E36" s="252">
        <f t="shared" si="0"/>
        <v>75487301</v>
      </c>
      <c r="F36" s="58">
        <v>2000121</v>
      </c>
      <c r="G36" s="54" t="s">
        <v>363</v>
      </c>
      <c r="H36" s="61" t="s">
        <v>437</v>
      </c>
    </row>
    <row r="37" spans="1:8" x14ac:dyDescent="0.35">
      <c r="A37" s="195">
        <v>46034</v>
      </c>
      <c r="B37" s="61" t="s">
        <v>347</v>
      </c>
      <c r="C37" s="231"/>
      <c r="D37" s="208">
        <v>30243200</v>
      </c>
      <c r="E37" s="252">
        <f t="shared" si="0"/>
        <v>45244101</v>
      </c>
      <c r="F37" s="58">
        <v>2000123</v>
      </c>
      <c r="G37" s="54" t="s">
        <v>363</v>
      </c>
      <c r="H37" s="61" t="s">
        <v>437</v>
      </c>
    </row>
    <row r="38" spans="1:8" x14ac:dyDescent="0.35">
      <c r="A38" s="196">
        <v>46035</v>
      </c>
      <c r="B38" s="125" t="s">
        <v>78</v>
      </c>
      <c r="C38" s="232"/>
      <c r="D38" s="209">
        <v>10000000</v>
      </c>
      <c r="E38" s="253">
        <f t="shared" si="0"/>
        <v>35244101</v>
      </c>
      <c r="F38" s="129">
        <v>2000124</v>
      </c>
      <c r="G38" s="125" t="s">
        <v>79</v>
      </c>
      <c r="H38" s="61" t="s">
        <v>439</v>
      </c>
    </row>
    <row r="39" spans="1:8" x14ac:dyDescent="0.35">
      <c r="A39" s="196">
        <v>46035</v>
      </c>
      <c r="B39" s="125" t="s">
        <v>14</v>
      </c>
      <c r="C39" s="232"/>
      <c r="D39" s="209">
        <v>2264410</v>
      </c>
      <c r="E39" s="253">
        <f t="shared" si="0"/>
        <v>32979691</v>
      </c>
      <c r="F39" s="129">
        <v>2000125</v>
      </c>
      <c r="G39" s="126" t="s">
        <v>319</v>
      </c>
      <c r="H39" s="61" t="s">
        <v>374</v>
      </c>
    </row>
    <row r="40" spans="1:8" x14ac:dyDescent="0.35">
      <c r="A40" s="195">
        <v>46036</v>
      </c>
      <c r="B40" s="61" t="s">
        <v>15</v>
      </c>
      <c r="C40" s="231"/>
      <c r="D40" s="208">
        <v>5330499</v>
      </c>
      <c r="E40" s="252">
        <f t="shared" si="0"/>
        <v>27649192</v>
      </c>
      <c r="F40" s="58">
        <v>2000127</v>
      </c>
      <c r="G40" s="61" t="s">
        <v>15</v>
      </c>
      <c r="H40" s="61" t="s">
        <v>445</v>
      </c>
    </row>
    <row r="41" spans="1:8" x14ac:dyDescent="0.35">
      <c r="A41" s="195">
        <v>46038</v>
      </c>
      <c r="B41" s="61" t="s">
        <v>87</v>
      </c>
      <c r="C41" s="231">
        <v>334017043</v>
      </c>
      <c r="D41" s="208"/>
      <c r="E41" s="252">
        <f t="shared" si="0"/>
        <v>361666235</v>
      </c>
      <c r="F41" s="58"/>
      <c r="G41" s="61" t="s">
        <v>88</v>
      </c>
      <c r="H41" s="61" t="s">
        <v>430</v>
      </c>
    </row>
    <row r="42" spans="1:8" x14ac:dyDescent="0.35">
      <c r="A42" s="195">
        <v>46038</v>
      </c>
      <c r="B42" s="61" t="s">
        <v>89</v>
      </c>
      <c r="C42" s="231">
        <v>14375928</v>
      </c>
      <c r="D42" s="208"/>
      <c r="E42" s="252">
        <f t="shared" si="0"/>
        <v>376042163</v>
      </c>
      <c r="F42" s="58"/>
      <c r="G42" s="61" t="s">
        <v>90</v>
      </c>
      <c r="H42" s="61" t="s">
        <v>430</v>
      </c>
    </row>
    <row r="43" spans="1:8" x14ac:dyDescent="0.35">
      <c r="A43" s="195">
        <v>46038</v>
      </c>
      <c r="B43" s="61" t="s">
        <v>480</v>
      </c>
      <c r="C43" s="233">
        <v>12000000</v>
      </c>
      <c r="D43" s="208"/>
      <c r="E43" s="252">
        <f t="shared" si="0"/>
        <v>388042163</v>
      </c>
      <c r="F43" s="58"/>
      <c r="G43" s="54" t="s">
        <v>91</v>
      </c>
      <c r="H43" s="61" t="s">
        <v>431</v>
      </c>
    </row>
    <row r="44" spans="1:8" x14ac:dyDescent="0.35">
      <c r="A44" s="195">
        <v>46038</v>
      </c>
      <c r="B44" s="61" t="s">
        <v>480</v>
      </c>
      <c r="C44" s="233">
        <v>15000000</v>
      </c>
      <c r="D44" s="208"/>
      <c r="E44" s="252">
        <f t="shared" si="0"/>
        <v>403042163</v>
      </c>
      <c r="F44" s="58"/>
      <c r="G44" s="54" t="s">
        <v>91</v>
      </c>
      <c r="H44" s="61" t="s">
        <v>431</v>
      </c>
    </row>
    <row r="45" spans="1:8" x14ac:dyDescent="0.35">
      <c r="A45" s="195">
        <v>46038</v>
      </c>
      <c r="B45" s="61" t="s">
        <v>480</v>
      </c>
      <c r="C45" s="233">
        <v>15000000</v>
      </c>
      <c r="D45" s="208"/>
      <c r="E45" s="252">
        <f t="shared" si="0"/>
        <v>418042163</v>
      </c>
      <c r="F45" s="58"/>
      <c r="G45" s="54" t="s">
        <v>91</v>
      </c>
      <c r="H45" s="61" t="s">
        <v>431</v>
      </c>
    </row>
    <row r="46" spans="1:8" x14ac:dyDescent="0.35">
      <c r="A46" s="196">
        <v>46038</v>
      </c>
      <c r="B46" s="125" t="s">
        <v>78</v>
      </c>
      <c r="C46" s="232"/>
      <c r="D46" s="209">
        <v>5000000</v>
      </c>
      <c r="E46" s="253">
        <f t="shared" si="0"/>
        <v>413042163</v>
      </c>
      <c r="F46" s="129">
        <v>2000128</v>
      </c>
      <c r="G46" s="125" t="s">
        <v>79</v>
      </c>
      <c r="H46" s="61" t="s">
        <v>439</v>
      </c>
    </row>
    <row r="47" spans="1:8" x14ac:dyDescent="0.35">
      <c r="A47" s="196">
        <v>46038</v>
      </c>
      <c r="B47" s="125" t="s">
        <v>73</v>
      </c>
      <c r="C47" s="232"/>
      <c r="D47" s="209">
        <v>70000000</v>
      </c>
      <c r="E47" s="253">
        <f t="shared" si="0"/>
        <v>343042163</v>
      </c>
      <c r="F47" s="129">
        <v>2000130</v>
      </c>
      <c r="G47" s="126" t="s">
        <v>56</v>
      </c>
      <c r="H47" s="61" t="s">
        <v>438</v>
      </c>
    </row>
    <row r="48" spans="1:8" x14ac:dyDescent="0.35">
      <c r="A48" s="195">
        <v>46041</v>
      </c>
      <c r="B48" s="61" t="s">
        <v>40</v>
      </c>
      <c r="C48" s="231"/>
      <c r="D48" s="208">
        <v>500000</v>
      </c>
      <c r="E48" s="252">
        <f t="shared" si="0"/>
        <v>342542163</v>
      </c>
      <c r="F48" s="58">
        <v>2000129</v>
      </c>
      <c r="G48" s="54" t="s">
        <v>205</v>
      </c>
      <c r="H48" s="61" t="s">
        <v>205</v>
      </c>
    </row>
    <row r="49" spans="1:8" x14ac:dyDescent="0.35">
      <c r="A49" s="195">
        <v>46041</v>
      </c>
      <c r="B49" s="61" t="s">
        <v>269</v>
      </c>
      <c r="C49" s="231"/>
      <c r="D49" s="208">
        <v>48942300</v>
      </c>
      <c r="E49" s="252">
        <f t="shared" si="0"/>
        <v>293599863</v>
      </c>
      <c r="F49" s="58">
        <v>2000131</v>
      </c>
      <c r="G49" s="54" t="s">
        <v>363</v>
      </c>
      <c r="H49" s="61" t="s">
        <v>437</v>
      </c>
    </row>
    <row r="50" spans="1:8" x14ac:dyDescent="0.35">
      <c r="A50" s="195">
        <v>46041</v>
      </c>
      <c r="B50" s="61" t="s">
        <v>11</v>
      </c>
      <c r="C50" s="231"/>
      <c r="D50" s="208">
        <v>5000</v>
      </c>
      <c r="E50" s="252">
        <f t="shared" si="0"/>
        <v>293594863</v>
      </c>
      <c r="F50" s="58"/>
      <c r="G50" s="54" t="s">
        <v>74</v>
      </c>
      <c r="H50" s="61" t="s">
        <v>441</v>
      </c>
    </row>
    <row r="51" spans="1:8" x14ac:dyDescent="0.35">
      <c r="A51" s="195">
        <v>46041</v>
      </c>
      <c r="B51" s="61" t="s">
        <v>12</v>
      </c>
      <c r="C51" s="231"/>
      <c r="D51" s="208">
        <v>5325000</v>
      </c>
      <c r="E51" s="252">
        <f t="shared" si="0"/>
        <v>288269863</v>
      </c>
      <c r="F51" s="58"/>
      <c r="G51" s="54" t="s">
        <v>74</v>
      </c>
      <c r="H51" s="61" t="s">
        <v>441</v>
      </c>
    </row>
    <row r="52" spans="1:8" x14ac:dyDescent="0.35">
      <c r="A52" s="195">
        <v>46041</v>
      </c>
      <c r="B52" s="61" t="s">
        <v>13</v>
      </c>
      <c r="C52" s="231"/>
      <c r="D52" s="208">
        <v>500</v>
      </c>
      <c r="E52" s="252">
        <f t="shared" si="0"/>
        <v>288269363</v>
      </c>
      <c r="F52" s="58"/>
      <c r="G52" s="54" t="s">
        <v>74</v>
      </c>
      <c r="H52" s="61" t="s">
        <v>441</v>
      </c>
    </row>
    <row r="53" spans="1:8" x14ac:dyDescent="0.35">
      <c r="A53" s="196">
        <v>46041</v>
      </c>
      <c r="B53" s="125" t="s">
        <v>362</v>
      </c>
      <c r="C53" s="232"/>
      <c r="D53" s="209">
        <v>10000000</v>
      </c>
      <c r="E53" s="253">
        <f t="shared" si="0"/>
        <v>278269363</v>
      </c>
      <c r="F53" s="129">
        <v>2000132</v>
      </c>
      <c r="G53" s="126" t="s">
        <v>361</v>
      </c>
      <c r="H53" s="61" t="s">
        <v>450</v>
      </c>
    </row>
    <row r="54" spans="1:8" x14ac:dyDescent="0.35">
      <c r="A54" s="195">
        <v>46041</v>
      </c>
      <c r="B54" s="61" t="s">
        <v>18</v>
      </c>
      <c r="C54" s="231"/>
      <c r="D54" s="208">
        <v>5000</v>
      </c>
      <c r="E54" s="252">
        <f t="shared" si="0"/>
        <v>278264363</v>
      </c>
      <c r="F54" s="58"/>
      <c r="G54" s="54" t="s">
        <v>101</v>
      </c>
      <c r="H54" s="61" t="s">
        <v>449</v>
      </c>
    </row>
    <row r="55" spans="1:8" x14ac:dyDescent="0.35">
      <c r="A55" s="195">
        <v>46041</v>
      </c>
      <c r="B55" s="61" t="s">
        <v>19</v>
      </c>
      <c r="C55" s="231"/>
      <c r="D55" s="208">
        <v>120000000</v>
      </c>
      <c r="E55" s="252">
        <f t="shared" si="0"/>
        <v>158264363</v>
      </c>
      <c r="F55" s="58"/>
      <c r="G55" s="54" t="s">
        <v>101</v>
      </c>
      <c r="H55" s="61" t="s">
        <v>449</v>
      </c>
    </row>
    <row r="56" spans="1:8" x14ac:dyDescent="0.35">
      <c r="A56" s="195">
        <v>46041</v>
      </c>
      <c r="B56" s="61" t="s">
        <v>20</v>
      </c>
      <c r="C56" s="231"/>
      <c r="D56" s="208">
        <v>500</v>
      </c>
      <c r="E56" s="252">
        <f t="shared" si="0"/>
        <v>158263863</v>
      </c>
      <c r="F56" s="58"/>
      <c r="G56" s="54" t="s">
        <v>101</v>
      </c>
      <c r="H56" s="61" t="s">
        <v>449</v>
      </c>
    </row>
    <row r="57" spans="1:8" x14ac:dyDescent="0.35">
      <c r="A57" s="195">
        <v>46042</v>
      </c>
      <c r="B57" s="61" t="s">
        <v>21</v>
      </c>
      <c r="C57" s="231"/>
      <c r="D57" s="208">
        <v>5000</v>
      </c>
      <c r="E57" s="252">
        <f t="shared" si="0"/>
        <v>158258863</v>
      </c>
      <c r="F57" s="58"/>
      <c r="G57" s="54" t="s">
        <v>101</v>
      </c>
      <c r="H57" s="61" t="s">
        <v>449</v>
      </c>
    </row>
    <row r="58" spans="1:8" x14ac:dyDescent="0.35">
      <c r="A58" s="195">
        <v>46042</v>
      </c>
      <c r="B58" s="61" t="s">
        <v>225</v>
      </c>
      <c r="C58" s="231"/>
      <c r="D58" s="208">
        <v>120000000</v>
      </c>
      <c r="E58" s="252">
        <f t="shared" si="0"/>
        <v>38258863</v>
      </c>
      <c r="F58" s="58"/>
      <c r="G58" s="54" t="s">
        <v>101</v>
      </c>
      <c r="H58" s="61" t="s">
        <v>449</v>
      </c>
    </row>
    <row r="59" spans="1:8" x14ac:dyDescent="0.35">
      <c r="A59" s="195">
        <v>46042</v>
      </c>
      <c r="B59" s="61" t="s">
        <v>22</v>
      </c>
      <c r="C59" s="231"/>
      <c r="D59" s="208">
        <v>500</v>
      </c>
      <c r="E59" s="252">
        <f t="shared" si="0"/>
        <v>38258363</v>
      </c>
      <c r="F59" s="58"/>
      <c r="G59" s="54" t="s">
        <v>101</v>
      </c>
      <c r="H59" s="61" t="s">
        <v>449</v>
      </c>
    </row>
    <row r="60" spans="1:8" x14ac:dyDescent="0.35">
      <c r="A60" s="196">
        <v>46042</v>
      </c>
      <c r="B60" s="125" t="s">
        <v>73</v>
      </c>
      <c r="C60" s="232"/>
      <c r="D60" s="209">
        <v>38000000</v>
      </c>
      <c r="E60" s="253">
        <f t="shared" si="0"/>
        <v>258363</v>
      </c>
      <c r="F60" s="129">
        <v>2000133</v>
      </c>
      <c r="G60" s="126" t="s">
        <v>56</v>
      </c>
      <c r="H60" s="61" t="s">
        <v>438</v>
      </c>
    </row>
    <row r="61" spans="1:8" x14ac:dyDescent="0.35">
      <c r="A61" s="195">
        <v>46045</v>
      </c>
      <c r="B61" s="61" t="s">
        <v>103</v>
      </c>
      <c r="C61" s="231">
        <v>262860533</v>
      </c>
      <c r="D61" s="208"/>
      <c r="E61" s="252">
        <f t="shared" si="0"/>
        <v>263118896</v>
      </c>
      <c r="F61" s="58"/>
      <c r="G61" s="61" t="s">
        <v>102</v>
      </c>
      <c r="H61" s="61" t="s">
        <v>430</v>
      </c>
    </row>
    <row r="62" spans="1:8" x14ac:dyDescent="0.35">
      <c r="A62" s="195">
        <v>46048</v>
      </c>
      <c r="B62" s="61" t="s">
        <v>23</v>
      </c>
      <c r="C62" s="231"/>
      <c r="D62" s="208">
        <v>20000</v>
      </c>
      <c r="E62" s="252">
        <f t="shared" si="0"/>
        <v>263098896</v>
      </c>
      <c r="F62" s="58"/>
      <c r="G62" s="54" t="s">
        <v>104</v>
      </c>
      <c r="H62" s="61" t="s">
        <v>9</v>
      </c>
    </row>
    <row r="63" spans="1:8" x14ac:dyDescent="0.35">
      <c r="A63" s="195">
        <v>46049</v>
      </c>
      <c r="B63" s="61" t="s">
        <v>106</v>
      </c>
      <c r="C63" s="231">
        <v>245019421</v>
      </c>
      <c r="D63" s="208"/>
      <c r="E63" s="252">
        <f t="shared" si="0"/>
        <v>508118317</v>
      </c>
      <c r="F63" s="132">
        <v>373529</v>
      </c>
      <c r="G63" s="61" t="s">
        <v>105</v>
      </c>
      <c r="H63" s="61" t="s">
        <v>430</v>
      </c>
    </row>
    <row r="64" spans="1:8" x14ac:dyDescent="0.35">
      <c r="A64" s="196">
        <v>46049</v>
      </c>
      <c r="B64" s="125" t="s">
        <v>73</v>
      </c>
      <c r="C64" s="232"/>
      <c r="D64" s="209">
        <v>75000000</v>
      </c>
      <c r="E64" s="253">
        <f t="shared" si="0"/>
        <v>433118317</v>
      </c>
      <c r="F64" s="129">
        <v>2000134</v>
      </c>
      <c r="G64" s="126" t="s">
        <v>56</v>
      </c>
      <c r="H64" s="61" t="s">
        <v>438</v>
      </c>
    </row>
    <row r="65" spans="1:8" x14ac:dyDescent="0.35">
      <c r="A65" s="195">
        <v>46052</v>
      </c>
      <c r="B65" s="61" t="s">
        <v>24</v>
      </c>
      <c r="C65" s="231">
        <v>81000000</v>
      </c>
      <c r="D65" s="208"/>
      <c r="E65" s="252">
        <f t="shared" si="0"/>
        <v>514118317</v>
      </c>
      <c r="F65" s="58"/>
      <c r="G65" s="54" t="s">
        <v>107</v>
      </c>
      <c r="H65" s="61" t="s">
        <v>431</v>
      </c>
    </row>
    <row r="66" spans="1:8" x14ac:dyDescent="0.35">
      <c r="A66" s="196">
        <v>46055</v>
      </c>
      <c r="B66" s="125" t="s">
        <v>73</v>
      </c>
      <c r="C66" s="232"/>
      <c r="D66" s="209">
        <v>65000000</v>
      </c>
      <c r="E66" s="253">
        <f t="shared" si="0"/>
        <v>449118317</v>
      </c>
      <c r="F66" s="129">
        <v>2000137</v>
      </c>
      <c r="G66" s="126" t="s">
        <v>56</v>
      </c>
      <c r="H66" s="61" t="s">
        <v>438</v>
      </c>
    </row>
    <row r="67" spans="1:8" x14ac:dyDescent="0.35">
      <c r="A67" s="195">
        <v>46055</v>
      </c>
      <c r="B67" s="61" t="s">
        <v>262</v>
      </c>
      <c r="C67" s="231"/>
      <c r="D67" s="208">
        <v>6822160</v>
      </c>
      <c r="E67" s="252">
        <f t="shared" si="0"/>
        <v>442296157</v>
      </c>
      <c r="F67" s="58">
        <v>2000139</v>
      </c>
      <c r="G67" s="54" t="s">
        <v>363</v>
      </c>
      <c r="H67" s="61" t="s">
        <v>437</v>
      </c>
    </row>
    <row r="68" spans="1:8" x14ac:dyDescent="0.35">
      <c r="A68" s="195">
        <v>46055</v>
      </c>
      <c r="B68" s="61" t="s">
        <v>25</v>
      </c>
      <c r="C68" s="231"/>
      <c r="D68" s="208">
        <v>10803500</v>
      </c>
      <c r="E68" s="252">
        <f t="shared" si="0"/>
        <v>431492657</v>
      </c>
      <c r="F68" s="58">
        <v>2000140</v>
      </c>
      <c r="G68" s="54" t="s">
        <v>202</v>
      </c>
      <c r="H68" s="61" t="s">
        <v>440</v>
      </c>
    </row>
    <row r="69" spans="1:8" x14ac:dyDescent="0.35">
      <c r="A69" s="195">
        <v>46055</v>
      </c>
      <c r="B69" s="61" t="s">
        <v>345</v>
      </c>
      <c r="C69" s="231"/>
      <c r="D69" s="208">
        <v>9616320</v>
      </c>
      <c r="E69" s="252">
        <f t="shared" ref="E69:E132" si="1">E68+C69-D69</f>
        <v>421876337</v>
      </c>
      <c r="F69" s="58">
        <v>2000142</v>
      </c>
      <c r="G69" s="54" t="s">
        <v>363</v>
      </c>
      <c r="H69" s="61" t="s">
        <v>437</v>
      </c>
    </row>
    <row r="70" spans="1:8" x14ac:dyDescent="0.35">
      <c r="A70" s="195">
        <v>46056</v>
      </c>
      <c r="B70" s="61" t="s">
        <v>357</v>
      </c>
      <c r="C70" s="231"/>
      <c r="D70" s="208">
        <v>94000000</v>
      </c>
      <c r="E70" s="252">
        <f t="shared" si="1"/>
        <v>327876337</v>
      </c>
      <c r="F70" s="58">
        <v>2000135</v>
      </c>
      <c r="G70" s="54" t="s">
        <v>110</v>
      </c>
      <c r="H70" s="61" t="s">
        <v>449</v>
      </c>
    </row>
    <row r="71" spans="1:8" x14ac:dyDescent="0.35">
      <c r="A71" s="196">
        <v>46056</v>
      </c>
      <c r="B71" s="125" t="s">
        <v>71</v>
      </c>
      <c r="C71" s="232"/>
      <c r="D71" s="209">
        <v>12660000</v>
      </c>
      <c r="E71" s="253">
        <f t="shared" si="1"/>
        <v>315216337</v>
      </c>
      <c r="F71" s="129">
        <v>2000138</v>
      </c>
      <c r="G71" s="126" t="s">
        <v>72</v>
      </c>
      <c r="H71" s="61" t="s">
        <v>441</v>
      </c>
    </row>
    <row r="72" spans="1:8" x14ac:dyDescent="0.35">
      <c r="A72" s="195">
        <v>46056</v>
      </c>
      <c r="B72" s="61" t="s">
        <v>9</v>
      </c>
      <c r="C72" s="231"/>
      <c r="D72" s="208">
        <v>500</v>
      </c>
      <c r="E72" s="252">
        <f t="shared" si="1"/>
        <v>315215837</v>
      </c>
      <c r="F72" s="61"/>
      <c r="G72" s="54"/>
      <c r="H72" s="61" t="s">
        <v>9</v>
      </c>
    </row>
    <row r="73" spans="1:8" x14ac:dyDescent="0.35">
      <c r="A73" s="195">
        <v>46056</v>
      </c>
      <c r="B73" s="61" t="s">
        <v>9</v>
      </c>
      <c r="C73" s="231"/>
      <c r="D73" s="208">
        <v>5000</v>
      </c>
      <c r="E73" s="252">
        <f t="shared" si="1"/>
        <v>315210837</v>
      </c>
      <c r="F73" s="61"/>
      <c r="G73" s="54"/>
      <c r="H73" s="61" t="s">
        <v>9</v>
      </c>
    </row>
    <row r="74" spans="1:8" x14ac:dyDescent="0.35">
      <c r="A74" s="196">
        <v>46056</v>
      </c>
      <c r="B74" s="125" t="s">
        <v>73</v>
      </c>
      <c r="C74" s="232"/>
      <c r="D74" s="209">
        <v>65000000</v>
      </c>
      <c r="E74" s="253">
        <f t="shared" si="1"/>
        <v>250210837</v>
      </c>
      <c r="F74" s="129">
        <v>2000143</v>
      </c>
      <c r="G74" s="126" t="s">
        <v>56</v>
      </c>
      <c r="H74" s="61" t="s">
        <v>438</v>
      </c>
    </row>
    <row r="75" spans="1:8" x14ac:dyDescent="0.35">
      <c r="A75" s="195">
        <v>46057</v>
      </c>
      <c r="B75" s="61" t="s">
        <v>11</v>
      </c>
      <c r="C75" s="231"/>
      <c r="D75" s="208">
        <v>5000</v>
      </c>
      <c r="E75" s="252">
        <f t="shared" si="1"/>
        <v>250205837</v>
      </c>
      <c r="F75" s="58"/>
      <c r="G75" s="54" t="s">
        <v>74</v>
      </c>
      <c r="H75" s="61" t="s">
        <v>441</v>
      </c>
    </row>
    <row r="76" spans="1:8" x14ac:dyDescent="0.35">
      <c r="A76" s="195">
        <v>46057</v>
      </c>
      <c r="B76" s="61" t="s">
        <v>11</v>
      </c>
      <c r="C76" s="231"/>
      <c r="D76" s="208">
        <v>6390000</v>
      </c>
      <c r="E76" s="252">
        <f t="shared" si="1"/>
        <v>243815837</v>
      </c>
      <c r="F76" s="58"/>
      <c r="G76" s="54" t="s">
        <v>74</v>
      </c>
      <c r="H76" s="61" t="s">
        <v>441</v>
      </c>
    </row>
    <row r="77" spans="1:8" x14ac:dyDescent="0.35">
      <c r="A77" s="195">
        <v>46057</v>
      </c>
      <c r="B77" s="61" t="s">
        <v>13</v>
      </c>
      <c r="C77" s="231"/>
      <c r="D77" s="208">
        <v>500</v>
      </c>
      <c r="E77" s="252">
        <f t="shared" si="1"/>
        <v>243815337</v>
      </c>
      <c r="F77" s="58"/>
      <c r="G77" s="54" t="s">
        <v>74</v>
      </c>
      <c r="H77" s="61" t="s">
        <v>441</v>
      </c>
    </row>
    <row r="78" spans="1:8" x14ac:dyDescent="0.35">
      <c r="A78" s="195">
        <v>46057</v>
      </c>
      <c r="B78" s="61" t="s">
        <v>480</v>
      </c>
      <c r="C78" s="231">
        <v>16000000</v>
      </c>
      <c r="D78" s="208"/>
      <c r="E78" s="252">
        <f t="shared" si="1"/>
        <v>259815337</v>
      </c>
      <c r="F78" s="58"/>
      <c r="G78" s="54" t="s">
        <v>117</v>
      </c>
      <c r="H78" s="61" t="s">
        <v>431</v>
      </c>
    </row>
    <row r="79" spans="1:8" x14ac:dyDescent="0.35">
      <c r="A79" s="195">
        <v>46057</v>
      </c>
      <c r="B79" s="61" t="s">
        <v>480</v>
      </c>
      <c r="C79" s="231">
        <v>20000000</v>
      </c>
      <c r="D79" s="208"/>
      <c r="E79" s="252">
        <f t="shared" si="1"/>
        <v>279815337</v>
      </c>
      <c r="F79" s="58"/>
      <c r="G79" s="54" t="s">
        <v>117</v>
      </c>
      <c r="H79" s="61" t="s">
        <v>431</v>
      </c>
    </row>
    <row r="80" spans="1:8" x14ac:dyDescent="0.35">
      <c r="A80" s="195">
        <v>46057</v>
      </c>
      <c r="B80" s="61" t="s">
        <v>480</v>
      </c>
      <c r="C80" s="231">
        <v>20000000</v>
      </c>
      <c r="D80" s="208"/>
      <c r="E80" s="252">
        <f t="shared" si="1"/>
        <v>299815337</v>
      </c>
      <c r="F80" s="58"/>
      <c r="G80" s="54" t="s">
        <v>117</v>
      </c>
      <c r="H80" s="61" t="s">
        <v>431</v>
      </c>
    </row>
    <row r="81" spans="1:8" x14ac:dyDescent="0.35">
      <c r="A81" s="196">
        <v>46057</v>
      </c>
      <c r="B81" s="125" t="s">
        <v>78</v>
      </c>
      <c r="C81" s="232"/>
      <c r="D81" s="209">
        <v>15000000</v>
      </c>
      <c r="E81" s="253">
        <f t="shared" si="1"/>
        <v>284815337</v>
      </c>
      <c r="F81" s="129">
        <v>2000144</v>
      </c>
      <c r="G81" s="125" t="s">
        <v>79</v>
      </c>
      <c r="H81" s="61" t="s">
        <v>439</v>
      </c>
    </row>
    <row r="82" spans="1:8" x14ac:dyDescent="0.35">
      <c r="A82" s="195">
        <v>46057</v>
      </c>
      <c r="B82" s="61" t="s">
        <v>121</v>
      </c>
      <c r="C82" s="231">
        <v>170637787</v>
      </c>
      <c r="D82" s="208"/>
      <c r="E82" s="252">
        <f t="shared" si="1"/>
        <v>455453124</v>
      </c>
      <c r="F82" s="61"/>
      <c r="G82" s="61" t="s">
        <v>120</v>
      </c>
      <c r="H82" s="61" t="s">
        <v>430</v>
      </c>
    </row>
    <row r="83" spans="1:8" x14ac:dyDescent="0.35">
      <c r="A83" s="196">
        <v>46057</v>
      </c>
      <c r="B83" s="125" t="s">
        <v>73</v>
      </c>
      <c r="C83" s="232"/>
      <c r="D83" s="209">
        <v>75000000</v>
      </c>
      <c r="E83" s="253">
        <f t="shared" si="1"/>
        <v>380453124</v>
      </c>
      <c r="F83" s="129">
        <v>2000146</v>
      </c>
      <c r="G83" s="126" t="s">
        <v>56</v>
      </c>
      <c r="H83" s="61" t="s">
        <v>438</v>
      </c>
    </row>
    <row r="84" spans="1:8" x14ac:dyDescent="0.35">
      <c r="A84" s="195">
        <v>46057</v>
      </c>
      <c r="B84" s="61" t="s">
        <v>111</v>
      </c>
      <c r="C84" s="231"/>
      <c r="D84" s="208">
        <v>9273083</v>
      </c>
      <c r="E84" s="252">
        <f t="shared" si="1"/>
        <v>371180041</v>
      </c>
      <c r="F84" s="130">
        <v>2000136</v>
      </c>
      <c r="G84" s="54" t="s">
        <v>112</v>
      </c>
      <c r="H84" s="61" t="s">
        <v>440</v>
      </c>
    </row>
    <row r="85" spans="1:8" x14ac:dyDescent="0.35">
      <c r="A85" s="196">
        <v>46058</v>
      </c>
      <c r="B85" s="125" t="s">
        <v>73</v>
      </c>
      <c r="C85" s="232"/>
      <c r="D85" s="209">
        <v>80000000</v>
      </c>
      <c r="E85" s="253">
        <f t="shared" si="1"/>
        <v>291180041</v>
      </c>
      <c r="F85" s="129">
        <v>2000148</v>
      </c>
      <c r="G85" s="126" t="s">
        <v>56</v>
      </c>
      <c r="H85" s="61" t="s">
        <v>438</v>
      </c>
    </row>
    <row r="86" spans="1:8" x14ac:dyDescent="0.35">
      <c r="A86" s="196">
        <v>46058</v>
      </c>
      <c r="B86" s="125" t="s">
        <v>73</v>
      </c>
      <c r="C86" s="232"/>
      <c r="D86" s="209">
        <v>84000000</v>
      </c>
      <c r="E86" s="253">
        <f t="shared" si="1"/>
        <v>207180041</v>
      </c>
      <c r="F86" s="129">
        <v>2000149</v>
      </c>
      <c r="G86" s="126" t="s">
        <v>56</v>
      </c>
      <c r="H86" s="61" t="s">
        <v>438</v>
      </c>
    </row>
    <row r="87" spans="1:8" x14ac:dyDescent="0.35">
      <c r="A87" s="195">
        <v>46059</v>
      </c>
      <c r="B87" s="61" t="s">
        <v>356</v>
      </c>
      <c r="C87" s="231"/>
      <c r="D87" s="208">
        <v>350000</v>
      </c>
      <c r="E87" s="252">
        <f t="shared" si="1"/>
        <v>206830041</v>
      </c>
      <c r="F87" s="58">
        <v>2000141</v>
      </c>
      <c r="G87" s="54" t="s">
        <v>116</v>
      </c>
      <c r="H87" s="61" t="s">
        <v>446</v>
      </c>
    </row>
    <row r="88" spans="1:8" x14ac:dyDescent="0.35">
      <c r="A88" s="195">
        <v>46059</v>
      </c>
      <c r="B88" s="61" t="s">
        <v>225</v>
      </c>
      <c r="C88" s="231"/>
      <c r="D88" s="208">
        <v>120000000</v>
      </c>
      <c r="E88" s="252">
        <f t="shared" si="1"/>
        <v>86830041</v>
      </c>
      <c r="F88" s="58">
        <v>2000145</v>
      </c>
      <c r="G88" s="54" t="s">
        <v>122</v>
      </c>
      <c r="H88" s="61" t="s">
        <v>449</v>
      </c>
    </row>
    <row r="89" spans="1:8" x14ac:dyDescent="0.35">
      <c r="A89" s="195">
        <v>46062</v>
      </c>
      <c r="B89" s="61" t="s">
        <v>123</v>
      </c>
      <c r="C89" s="231"/>
      <c r="D89" s="208">
        <v>8093000</v>
      </c>
      <c r="E89" s="252">
        <f t="shared" si="1"/>
        <v>78737041</v>
      </c>
      <c r="F89" s="130">
        <v>2000147</v>
      </c>
      <c r="G89" s="54" t="s">
        <v>124</v>
      </c>
      <c r="H89" s="61" t="s">
        <v>446</v>
      </c>
    </row>
    <row r="90" spans="1:8" x14ac:dyDescent="0.35">
      <c r="A90" s="195">
        <v>46062</v>
      </c>
      <c r="B90" s="61" t="s">
        <v>332</v>
      </c>
      <c r="C90" s="231"/>
      <c r="D90" s="208">
        <v>9061920</v>
      </c>
      <c r="E90" s="252">
        <f t="shared" si="1"/>
        <v>69675121</v>
      </c>
      <c r="F90" s="58">
        <v>2000150</v>
      </c>
      <c r="G90" s="54" t="s">
        <v>363</v>
      </c>
      <c r="H90" s="61" t="s">
        <v>437</v>
      </c>
    </row>
    <row r="91" spans="1:8" x14ac:dyDescent="0.35">
      <c r="A91" s="195">
        <v>46062</v>
      </c>
      <c r="B91" s="61" t="s">
        <v>354</v>
      </c>
      <c r="C91" s="231"/>
      <c r="D91" s="208">
        <v>10945480</v>
      </c>
      <c r="E91" s="252">
        <f t="shared" si="1"/>
        <v>58729641</v>
      </c>
      <c r="F91" s="58">
        <v>2000251</v>
      </c>
      <c r="G91" s="54" t="s">
        <v>363</v>
      </c>
      <c r="H91" s="61" t="s">
        <v>437</v>
      </c>
    </row>
    <row r="92" spans="1:8" x14ac:dyDescent="0.35">
      <c r="A92" s="195">
        <v>46062</v>
      </c>
      <c r="B92" s="61" t="s">
        <v>359</v>
      </c>
      <c r="C92" s="231"/>
      <c r="D92" s="208">
        <v>12030480</v>
      </c>
      <c r="E92" s="252">
        <f t="shared" si="1"/>
        <v>46699161</v>
      </c>
      <c r="F92" s="58">
        <v>2000252</v>
      </c>
      <c r="G92" s="54" t="s">
        <v>363</v>
      </c>
      <c r="H92" s="61" t="s">
        <v>437</v>
      </c>
    </row>
    <row r="93" spans="1:8" x14ac:dyDescent="0.35">
      <c r="A93" s="195">
        <v>46063</v>
      </c>
      <c r="B93" s="61" t="s">
        <v>343</v>
      </c>
      <c r="C93" s="231"/>
      <c r="D93" s="208">
        <v>5085900</v>
      </c>
      <c r="E93" s="252">
        <f t="shared" si="1"/>
        <v>41613261</v>
      </c>
      <c r="F93" s="58">
        <v>2000253</v>
      </c>
      <c r="G93" s="54" t="s">
        <v>363</v>
      </c>
      <c r="H93" s="61" t="s">
        <v>437</v>
      </c>
    </row>
    <row r="94" spans="1:8" x14ac:dyDescent="0.35">
      <c r="A94" s="195">
        <v>46063</v>
      </c>
      <c r="B94" s="61" t="s">
        <v>128</v>
      </c>
      <c r="C94" s="231">
        <v>171336460</v>
      </c>
      <c r="D94" s="208"/>
      <c r="E94" s="252">
        <f t="shared" si="1"/>
        <v>212949721</v>
      </c>
      <c r="F94" s="133"/>
      <c r="G94" s="61" t="s">
        <v>127</v>
      </c>
      <c r="H94" s="61" t="s">
        <v>430</v>
      </c>
    </row>
    <row r="95" spans="1:8" x14ac:dyDescent="0.35">
      <c r="A95" s="195">
        <v>46063</v>
      </c>
      <c r="B95" s="61" t="s">
        <v>362</v>
      </c>
      <c r="C95" s="231"/>
      <c r="D95" s="208">
        <v>10000000</v>
      </c>
      <c r="E95" s="252">
        <f t="shared" si="1"/>
        <v>202949721</v>
      </c>
      <c r="F95" s="58">
        <v>2000256</v>
      </c>
      <c r="G95" s="54" t="s">
        <v>361</v>
      </c>
      <c r="H95" s="61" t="s">
        <v>450</v>
      </c>
    </row>
    <row r="96" spans="1:8" x14ac:dyDescent="0.35">
      <c r="A96" s="196">
        <v>46063</v>
      </c>
      <c r="B96" s="125" t="s">
        <v>260</v>
      </c>
      <c r="C96" s="232"/>
      <c r="D96" s="209">
        <v>21908320</v>
      </c>
      <c r="E96" s="253">
        <f t="shared" si="1"/>
        <v>181041401</v>
      </c>
      <c r="F96" s="129">
        <v>2000257</v>
      </c>
      <c r="G96" s="126" t="s">
        <v>363</v>
      </c>
      <c r="H96" s="61" t="s">
        <v>437</v>
      </c>
    </row>
    <row r="97" spans="1:8" x14ac:dyDescent="0.35">
      <c r="A97" s="195">
        <v>46063</v>
      </c>
      <c r="B97" s="61" t="s">
        <v>348</v>
      </c>
      <c r="C97" s="231"/>
      <c r="D97" s="208">
        <v>4530960</v>
      </c>
      <c r="E97" s="252">
        <f t="shared" si="1"/>
        <v>176510441</v>
      </c>
      <c r="F97" s="58">
        <v>2000258</v>
      </c>
      <c r="G97" s="54" t="s">
        <v>363</v>
      </c>
      <c r="H97" s="61" t="s">
        <v>437</v>
      </c>
    </row>
    <row r="98" spans="1:8" x14ac:dyDescent="0.35">
      <c r="A98" s="196">
        <v>46063</v>
      </c>
      <c r="B98" s="125" t="s">
        <v>78</v>
      </c>
      <c r="C98" s="232"/>
      <c r="D98" s="209">
        <v>5000000</v>
      </c>
      <c r="E98" s="253">
        <f t="shared" si="1"/>
        <v>171510441</v>
      </c>
      <c r="F98" s="129">
        <v>2000259</v>
      </c>
      <c r="G98" s="125" t="s">
        <v>364</v>
      </c>
      <c r="H98" s="61" t="s">
        <v>439</v>
      </c>
    </row>
    <row r="99" spans="1:8" x14ac:dyDescent="0.35">
      <c r="A99" s="195">
        <v>46064</v>
      </c>
      <c r="B99" s="61" t="s">
        <v>126</v>
      </c>
      <c r="C99" s="231"/>
      <c r="D99" s="208">
        <v>1028000</v>
      </c>
      <c r="E99" s="252">
        <f t="shared" si="1"/>
        <v>170482441</v>
      </c>
      <c r="F99" s="130">
        <v>2000254</v>
      </c>
      <c r="G99" s="54" t="s">
        <v>125</v>
      </c>
      <c r="H99" s="61" t="s">
        <v>446</v>
      </c>
    </row>
    <row r="100" spans="1:8" x14ac:dyDescent="0.35">
      <c r="A100" s="195">
        <v>46064</v>
      </c>
      <c r="B100" s="61" t="s">
        <v>111</v>
      </c>
      <c r="C100" s="231"/>
      <c r="D100" s="208">
        <v>10000000</v>
      </c>
      <c r="E100" s="252">
        <f t="shared" si="1"/>
        <v>160482441</v>
      </c>
      <c r="F100" s="130">
        <v>2000255</v>
      </c>
      <c r="G100" s="54" t="s">
        <v>112</v>
      </c>
      <c r="H100" s="61" t="s">
        <v>440</v>
      </c>
    </row>
    <row r="101" spans="1:8" x14ac:dyDescent="0.35">
      <c r="A101" s="195">
        <v>46064</v>
      </c>
      <c r="B101" s="61" t="s">
        <v>26</v>
      </c>
      <c r="C101" s="231"/>
      <c r="D101" s="208">
        <v>314280</v>
      </c>
      <c r="E101" s="252">
        <f t="shared" si="1"/>
        <v>160168161</v>
      </c>
      <c r="F101" s="58">
        <v>2000260</v>
      </c>
      <c r="G101" s="54" t="s">
        <v>60</v>
      </c>
      <c r="H101" s="61" t="s">
        <v>447</v>
      </c>
    </row>
    <row r="102" spans="1:8" x14ac:dyDescent="0.35">
      <c r="A102" s="195">
        <v>46064</v>
      </c>
      <c r="B102" s="61" t="s">
        <v>332</v>
      </c>
      <c r="C102" s="231"/>
      <c r="D102" s="208">
        <v>9513280</v>
      </c>
      <c r="E102" s="252">
        <f t="shared" si="1"/>
        <v>150654881</v>
      </c>
      <c r="F102" s="58">
        <v>2000264</v>
      </c>
      <c r="G102" s="54" t="s">
        <v>363</v>
      </c>
      <c r="H102" s="61" t="s">
        <v>437</v>
      </c>
    </row>
    <row r="103" spans="1:8" x14ac:dyDescent="0.35">
      <c r="A103" s="195">
        <v>46064</v>
      </c>
      <c r="B103" s="61" t="s">
        <v>339</v>
      </c>
      <c r="C103" s="231"/>
      <c r="D103" s="208">
        <v>7529900</v>
      </c>
      <c r="E103" s="252">
        <f t="shared" si="1"/>
        <v>143124981</v>
      </c>
      <c r="F103" s="58">
        <v>2000265</v>
      </c>
      <c r="G103" s="54" t="s">
        <v>363</v>
      </c>
      <c r="H103" s="61" t="s">
        <v>437</v>
      </c>
    </row>
    <row r="104" spans="1:8" x14ac:dyDescent="0.35">
      <c r="A104" s="195">
        <v>46065</v>
      </c>
      <c r="B104" s="61" t="s">
        <v>129</v>
      </c>
      <c r="C104" s="231"/>
      <c r="D104" s="208">
        <v>345000</v>
      </c>
      <c r="E104" s="252">
        <f t="shared" si="1"/>
        <v>142779981</v>
      </c>
      <c r="F104" s="130">
        <v>2000262</v>
      </c>
      <c r="G104" s="54" t="s">
        <v>130</v>
      </c>
      <c r="H104" s="61" t="s">
        <v>446</v>
      </c>
    </row>
    <row r="105" spans="1:8" x14ac:dyDescent="0.35">
      <c r="A105" s="195">
        <v>46065</v>
      </c>
      <c r="B105" s="61" t="s">
        <v>142</v>
      </c>
      <c r="C105" s="231"/>
      <c r="D105" s="208">
        <v>5000000</v>
      </c>
      <c r="E105" s="252">
        <f t="shared" si="1"/>
        <v>137779981</v>
      </c>
      <c r="F105" s="130">
        <v>2000268</v>
      </c>
      <c r="G105" s="54" t="s">
        <v>143</v>
      </c>
      <c r="H105" s="61" t="s">
        <v>439</v>
      </c>
    </row>
    <row r="106" spans="1:8" x14ac:dyDescent="0.35">
      <c r="A106" s="195">
        <v>46066</v>
      </c>
      <c r="B106" s="61" t="s">
        <v>27</v>
      </c>
      <c r="C106" s="231"/>
      <c r="D106" s="208">
        <v>125000000</v>
      </c>
      <c r="E106" s="252">
        <f t="shared" si="1"/>
        <v>12779981</v>
      </c>
      <c r="F106" s="58"/>
      <c r="G106" s="54"/>
      <c r="H106" s="61" t="s">
        <v>27</v>
      </c>
    </row>
    <row r="107" spans="1:8" x14ac:dyDescent="0.35">
      <c r="A107" s="195">
        <v>46066</v>
      </c>
      <c r="B107" s="61" t="s">
        <v>353</v>
      </c>
      <c r="C107" s="231"/>
      <c r="D107" s="208">
        <v>1499503</v>
      </c>
      <c r="E107" s="252">
        <f t="shared" si="1"/>
        <v>11280478</v>
      </c>
      <c r="F107" s="58">
        <v>2000266</v>
      </c>
      <c r="G107" s="54" t="s">
        <v>132</v>
      </c>
      <c r="H107" s="61" t="s">
        <v>446</v>
      </c>
    </row>
    <row r="108" spans="1:8" x14ac:dyDescent="0.35">
      <c r="A108" s="195">
        <v>46066</v>
      </c>
      <c r="B108" s="61" t="s">
        <v>353</v>
      </c>
      <c r="C108" s="231"/>
      <c r="D108" s="208">
        <v>1816965</v>
      </c>
      <c r="E108" s="252">
        <f t="shared" si="1"/>
        <v>9463513</v>
      </c>
      <c r="F108" s="58">
        <v>2000267</v>
      </c>
      <c r="G108" s="54" t="s">
        <v>132</v>
      </c>
      <c r="H108" s="61" t="s">
        <v>446</v>
      </c>
    </row>
    <row r="109" spans="1:8" x14ac:dyDescent="0.35">
      <c r="A109" s="195">
        <v>46066</v>
      </c>
      <c r="B109" s="61" t="s">
        <v>140</v>
      </c>
      <c r="C109" s="231">
        <v>171569351</v>
      </c>
      <c r="D109" s="208"/>
      <c r="E109" s="252">
        <f t="shared" si="1"/>
        <v>181032864</v>
      </c>
      <c r="F109" s="58"/>
      <c r="G109" s="61" t="s">
        <v>141</v>
      </c>
      <c r="H109" s="61" t="s">
        <v>430</v>
      </c>
    </row>
    <row r="110" spans="1:8" x14ac:dyDescent="0.35">
      <c r="A110" s="195">
        <v>46066</v>
      </c>
      <c r="B110" s="61" t="s">
        <v>144</v>
      </c>
      <c r="C110" s="231"/>
      <c r="D110" s="208">
        <v>5000000</v>
      </c>
      <c r="E110" s="252">
        <f t="shared" si="1"/>
        <v>176032864</v>
      </c>
      <c r="F110" s="130">
        <v>2000269</v>
      </c>
      <c r="G110" s="54" t="s">
        <v>145</v>
      </c>
      <c r="H110" s="61" t="s">
        <v>440</v>
      </c>
    </row>
    <row r="111" spans="1:8" x14ac:dyDescent="0.35">
      <c r="A111" s="195">
        <v>46066</v>
      </c>
      <c r="B111" s="61" t="s">
        <v>28</v>
      </c>
      <c r="C111" s="231"/>
      <c r="D111" s="208">
        <v>19077600</v>
      </c>
      <c r="E111" s="252">
        <f t="shared" si="1"/>
        <v>156955264</v>
      </c>
      <c r="F111" s="58">
        <v>2000270</v>
      </c>
      <c r="G111" s="61" t="s">
        <v>148</v>
      </c>
      <c r="H111" s="61" t="s">
        <v>445</v>
      </c>
    </row>
    <row r="112" spans="1:8" x14ac:dyDescent="0.35">
      <c r="A112" s="195">
        <v>46066</v>
      </c>
      <c r="B112" s="61" t="s">
        <v>149</v>
      </c>
      <c r="C112" s="231"/>
      <c r="D112" s="208">
        <v>120000000</v>
      </c>
      <c r="E112" s="252">
        <f t="shared" si="1"/>
        <v>36955264</v>
      </c>
      <c r="F112" s="130">
        <v>2000272</v>
      </c>
      <c r="G112" s="54" t="s">
        <v>62</v>
      </c>
      <c r="H112" s="61" t="s">
        <v>265</v>
      </c>
    </row>
    <row r="113" spans="1:8" x14ac:dyDescent="0.35">
      <c r="A113" s="195">
        <v>46066</v>
      </c>
      <c r="B113" s="61" t="s">
        <v>151</v>
      </c>
      <c r="C113" s="231">
        <v>218627884</v>
      </c>
      <c r="D113" s="208"/>
      <c r="E113" s="252">
        <f t="shared" si="1"/>
        <v>255583148</v>
      </c>
      <c r="F113" s="133"/>
      <c r="G113" s="61" t="s">
        <v>150</v>
      </c>
      <c r="H113" s="61" t="s">
        <v>430</v>
      </c>
    </row>
    <row r="114" spans="1:8" x14ac:dyDescent="0.35">
      <c r="A114" s="196">
        <v>46066</v>
      </c>
      <c r="B114" s="125" t="s">
        <v>78</v>
      </c>
      <c r="C114" s="232"/>
      <c r="D114" s="209">
        <v>10000000</v>
      </c>
      <c r="E114" s="253">
        <f t="shared" si="1"/>
        <v>245583148</v>
      </c>
      <c r="F114" s="129">
        <v>2000274</v>
      </c>
      <c r="G114" s="125" t="s">
        <v>364</v>
      </c>
      <c r="H114" s="61" t="s">
        <v>439</v>
      </c>
    </row>
    <row r="115" spans="1:8" x14ac:dyDescent="0.35">
      <c r="A115" s="195">
        <v>46069</v>
      </c>
      <c r="B115" s="61" t="s">
        <v>198</v>
      </c>
      <c r="C115" s="231"/>
      <c r="D115" s="208">
        <v>771737</v>
      </c>
      <c r="E115" s="252">
        <f t="shared" si="1"/>
        <v>244811411</v>
      </c>
      <c r="F115" s="58">
        <v>2000263</v>
      </c>
      <c r="G115" s="54" t="s">
        <v>131</v>
      </c>
      <c r="H115" s="61" t="s">
        <v>374</v>
      </c>
    </row>
    <row r="116" spans="1:8" x14ac:dyDescent="0.35">
      <c r="A116" s="196">
        <v>46069</v>
      </c>
      <c r="B116" s="125" t="s">
        <v>71</v>
      </c>
      <c r="C116" s="232"/>
      <c r="D116" s="209">
        <v>7720000</v>
      </c>
      <c r="E116" s="253">
        <f t="shared" si="1"/>
        <v>237091411</v>
      </c>
      <c r="F116" s="129">
        <v>2000275</v>
      </c>
      <c r="G116" s="126" t="s">
        <v>72</v>
      </c>
      <c r="H116" s="61" t="s">
        <v>441</v>
      </c>
    </row>
    <row r="117" spans="1:8" x14ac:dyDescent="0.35">
      <c r="A117" s="195">
        <v>46069</v>
      </c>
      <c r="B117" s="61" t="s">
        <v>30</v>
      </c>
      <c r="C117" s="233"/>
      <c r="D117" s="208">
        <v>20000000</v>
      </c>
      <c r="E117" s="252">
        <f t="shared" si="1"/>
        <v>217091411</v>
      </c>
      <c r="F117" s="58">
        <v>2000276</v>
      </c>
      <c r="G117" s="54" t="s">
        <v>56</v>
      </c>
      <c r="H117" s="61" t="s">
        <v>438</v>
      </c>
    </row>
    <row r="118" spans="1:8" x14ac:dyDescent="0.35">
      <c r="A118" s="196">
        <v>46069</v>
      </c>
      <c r="B118" s="125" t="s">
        <v>73</v>
      </c>
      <c r="C118" s="232"/>
      <c r="D118" s="209">
        <v>12000000</v>
      </c>
      <c r="E118" s="253">
        <f t="shared" si="1"/>
        <v>205091411</v>
      </c>
      <c r="F118" s="129">
        <v>2000278</v>
      </c>
      <c r="G118" s="126" t="s">
        <v>56</v>
      </c>
      <c r="H118" s="61" t="s">
        <v>438</v>
      </c>
    </row>
    <row r="119" spans="1:8" x14ac:dyDescent="0.35">
      <c r="A119" s="195">
        <v>46069</v>
      </c>
      <c r="B119" s="61" t="s">
        <v>31</v>
      </c>
      <c r="C119" s="231"/>
      <c r="D119" s="208">
        <v>36000</v>
      </c>
      <c r="E119" s="252">
        <f t="shared" si="1"/>
        <v>205055411</v>
      </c>
      <c r="F119" s="58"/>
      <c r="G119" s="54"/>
      <c r="H119" s="61" t="s">
        <v>9</v>
      </c>
    </row>
    <row r="120" spans="1:8" x14ac:dyDescent="0.35">
      <c r="A120" s="196">
        <v>46069</v>
      </c>
      <c r="B120" s="125" t="s">
        <v>14</v>
      </c>
      <c r="C120" s="232"/>
      <c r="D120" s="209">
        <v>3151157</v>
      </c>
      <c r="E120" s="253">
        <f t="shared" si="1"/>
        <v>201904254</v>
      </c>
      <c r="F120" s="129">
        <v>2000279</v>
      </c>
      <c r="G120" s="126" t="s">
        <v>319</v>
      </c>
      <c r="H120" s="61" t="s">
        <v>374</v>
      </c>
    </row>
    <row r="121" spans="1:8" x14ac:dyDescent="0.35">
      <c r="A121" s="195">
        <v>46070</v>
      </c>
      <c r="B121" s="61" t="s">
        <v>152</v>
      </c>
      <c r="C121" s="231"/>
      <c r="D121" s="208">
        <v>1647511</v>
      </c>
      <c r="E121" s="252">
        <f t="shared" si="1"/>
        <v>200256743</v>
      </c>
      <c r="F121" s="130">
        <v>2000273</v>
      </c>
      <c r="G121" s="54" t="s">
        <v>153</v>
      </c>
      <c r="H121" s="61" t="s">
        <v>374</v>
      </c>
    </row>
    <row r="122" spans="1:8" x14ac:dyDescent="0.35">
      <c r="A122" s="195">
        <v>46070</v>
      </c>
      <c r="B122" s="61" t="s">
        <v>149</v>
      </c>
      <c r="C122" s="231"/>
      <c r="D122" s="208">
        <v>125000000</v>
      </c>
      <c r="E122" s="252">
        <f t="shared" si="1"/>
        <v>75256743</v>
      </c>
      <c r="F122" s="130">
        <v>2000280</v>
      </c>
      <c r="G122" s="54" t="s">
        <v>62</v>
      </c>
      <c r="H122" s="61" t="s">
        <v>265</v>
      </c>
    </row>
    <row r="123" spans="1:8" x14ac:dyDescent="0.35">
      <c r="A123" s="195">
        <v>46070</v>
      </c>
      <c r="B123" s="61" t="s">
        <v>111</v>
      </c>
      <c r="C123" s="231"/>
      <c r="D123" s="208">
        <v>7000000</v>
      </c>
      <c r="E123" s="252">
        <f t="shared" si="1"/>
        <v>68256743</v>
      </c>
      <c r="F123" s="130">
        <v>2000281</v>
      </c>
      <c r="G123" s="54" t="s">
        <v>112</v>
      </c>
      <c r="H123" s="61" t="s">
        <v>440</v>
      </c>
    </row>
    <row r="124" spans="1:8" x14ac:dyDescent="0.35">
      <c r="A124" s="195">
        <v>46070</v>
      </c>
      <c r="B124" s="61" t="s">
        <v>156</v>
      </c>
      <c r="C124" s="231">
        <v>77932624</v>
      </c>
      <c r="D124" s="208"/>
      <c r="E124" s="252">
        <f t="shared" si="1"/>
        <v>146189367</v>
      </c>
      <c r="F124" s="58"/>
      <c r="G124" s="54" t="s">
        <v>157</v>
      </c>
      <c r="H124" s="61" t="s">
        <v>430</v>
      </c>
    </row>
    <row r="125" spans="1:8" x14ac:dyDescent="0.35">
      <c r="A125" s="196">
        <v>46070</v>
      </c>
      <c r="B125" s="125" t="s">
        <v>78</v>
      </c>
      <c r="C125" s="232"/>
      <c r="D125" s="209">
        <v>6700000</v>
      </c>
      <c r="E125" s="253">
        <f t="shared" si="1"/>
        <v>139489367</v>
      </c>
      <c r="F125" s="129">
        <v>2000284</v>
      </c>
      <c r="G125" s="125" t="s">
        <v>364</v>
      </c>
      <c r="H125" s="61" t="s">
        <v>439</v>
      </c>
    </row>
    <row r="126" spans="1:8" x14ac:dyDescent="0.35">
      <c r="A126" s="196">
        <v>46070</v>
      </c>
      <c r="B126" s="125" t="s">
        <v>14</v>
      </c>
      <c r="C126" s="232"/>
      <c r="D126" s="209">
        <v>2000000</v>
      </c>
      <c r="E126" s="253">
        <f t="shared" si="1"/>
        <v>137489367</v>
      </c>
      <c r="F126" s="129">
        <v>2000285</v>
      </c>
      <c r="G126" s="126" t="s">
        <v>319</v>
      </c>
      <c r="H126" s="61" t="s">
        <v>374</v>
      </c>
    </row>
    <row r="127" spans="1:8" x14ac:dyDescent="0.35">
      <c r="A127" s="195">
        <v>46071</v>
      </c>
      <c r="B127" s="61" t="s">
        <v>338</v>
      </c>
      <c r="C127" s="231"/>
      <c r="D127" s="208">
        <v>2250000</v>
      </c>
      <c r="E127" s="252">
        <f t="shared" si="1"/>
        <v>135239367</v>
      </c>
      <c r="F127" s="58">
        <v>2000286</v>
      </c>
      <c r="G127" s="54" t="s">
        <v>163</v>
      </c>
      <c r="H127" s="61" t="s">
        <v>445</v>
      </c>
    </row>
    <row r="128" spans="1:8" x14ac:dyDescent="0.35">
      <c r="A128" s="195">
        <v>46072</v>
      </c>
      <c r="B128" s="61" t="s">
        <v>16</v>
      </c>
      <c r="C128" s="231">
        <v>7801503</v>
      </c>
      <c r="D128" s="208"/>
      <c r="E128" s="252">
        <f t="shared" si="1"/>
        <v>143040870</v>
      </c>
      <c r="F128" s="58"/>
      <c r="G128" s="61" t="s">
        <v>160</v>
      </c>
      <c r="H128" s="61" t="s">
        <v>430</v>
      </c>
    </row>
    <row r="129" spans="1:8" x14ac:dyDescent="0.35">
      <c r="A129" s="195">
        <v>46072</v>
      </c>
      <c r="B129" s="61" t="s">
        <v>11</v>
      </c>
      <c r="C129" s="231"/>
      <c r="D129" s="208">
        <v>5000</v>
      </c>
      <c r="E129" s="252">
        <f t="shared" si="1"/>
        <v>143035870</v>
      </c>
      <c r="F129" s="58"/>
      <c r="G129" s="54" t="s">
        <v>74</v>
      </c>
      <c r="H129" s="61" t="s">
        <v>441</v>
      </c>
    </row>
    <row r="130" spans="1:8" x14ac:dyDescent="0.35">
      <c r="A130" s="195">
        <v>46072</v>
      </c>
      <c r="B130" s="61" t="s">
        <v>12</v>
      </c>
      <c r="C130" s="231"/>
      <c r="D130" s="208">
        <v>6390000</v>
      </c>
      <c r="E130" s="252">
        <f t="shared" si="1"/>
        <v>136645870</v>
      </c>
      <c r="F130" s="58"/>
      <c r="G130" s="54" t="s">
        <v>74</v>
      </c>
      <c r="H130" s="61" t="s">
        <v>441</v>
      </c>
    </row>
    <row r="131" spans="1:8" x14ac:dyDescent="0.35">
      <c r="A131" s="195">
        <v>46072</v>
      </c>
      <c r="B131" s="61" t="s">
        <v>10</v>
      </c>
      <c r="C131" s="231"/>
      <c r="D131" s="208">
        <v>500</v>
      </c>
      <c r="E131" s="252">
        <f t="shared" si="1"/>
        <v>136645370</v>
      </c>
      <c r="F131" s="130"/>
      <c r="G131" s="54" t="s">
        <v>74</v>
      </c>
      <c r="H131" s="61" t="s">
        <v>441</v>
      </c>
    </row>
    <row r="132" spans="1:8" x14ac:dyDescent="0.35">
      <c r="A132" s="195">
        <v>46072</v>
      </c>
      <c r="B132" s="61" t="s">
        <v>198</v>
      </c>
      <c r="C132" s="231"/>
      <c r="D132" s="208">
        <v>833536</v>
      </c>
      <c r="E132" s="252">
        <f t="shared" si="1"/>
        <v>135811834</v>
      </c>
      <c r="F132" s="130">
        <v>2000287</v>
      </c>
      <c r="G132" s="54" t="s">
        <v>164</v>
      </c>
      <c r="H132" s="61" t="s">
        <v>374</v>
      </c>
    </row>
    <row r="133" spans="1:8" x14ac:dyDescent="0.35">
      <c r="A133" s="195">
        <v>46073</v>
      </c>
      <c r="B133" s="61" t="s">
        <v>152</v>
      </c>
      <c r="C133" s="231"/>
      <c r="D133" s="208">
        <v>420533</v>
      </c>
      <c r="E133" s="252">
        <f t="shared" ref="E133:E196" si="2">E132+C133-D133</f>
        <v>135391301</v>
      </c>
      <c r="F133" s="131">
        <v>2000288</v>
      </c>
      <c r="G133" s="54" t="s">
        <v>165</v>
      </c>
      <c r="H133" s="61" t="s">
        <v>374</v>
      </c>
    </row>
    <row r="134" spans="1:8" x14ac:dyDescent="0.35">
      <c r="A134" s="196">
        <v>46073</v>
      </c>
      <c r="B134" s="125" t="s">
        <v>78</v>
      </c>
      <c r="C134" s="232"/>
      <c r="D134" s="209">
        <v>5000000</v>
      </c>
      <c r="E134" s="253">
        <f t="shared" si="2"/>
        <v>130391301</v>
      </c>
      <c r="F134" s="129">
        <v>2000289</v>
      </c>
      <c r="G134" s="125" t="s">
        <v>364</v>
      </c>
      <c r="H134" s="61" t="s">
        <v>439</v>
      </c>
    </row>
    <row r="135" spans="1:8" x14ac:dyDescent="0.35">
      <c r="A135" s="195">
        <v>46076</v>
      </c>
      <c r="B135" s="61" t="s">
        <v>167</v>
      </c>
      <c r="C135" s="231">
        <v>151334869</v>
      </c>
      <c r="D135" s="208"/>
      <c r="E135" s="252">
        <f t="shared" si="2"/>
        <v>281726170</v>
      </c>
      <c r="F135" s="58"/>
      <c r="G135" s="61" t="s">
        <v>166</v>
      </c>
      <c r="H135" s="61" t="s">
        <v>430</v>
      </c>
    </row>
    <row r="136" spans="1:8" x14ac:dyDescent="0.35">
      <c r="A136" s="195">
        <v>46076</v>
      </c>
      <c r="B136" s="61" t="s">
        <v>169</v>
      </c>
      <c r="C136" s="231">
        <v>77976291</v>
      </c>
      <c r="D136" s="208"/>
      <c r="E136" s="252">
        <f t="shared" si="2"/>
        <v>359702461</v>
      </c>
      <c r="F136" s="58"/>
      <c r="G136" s="61" t="s">
        <v>168</v>
      </c>
      <c r="H136" s="61" t="s">
        <v>430</v>
      </c>
    </row>
    <row r="137" spans="1:8" x14ac:dyDescent="0.35">
      <c r="A137" s="196">
        <v>46076</v>
      </c>
      <c r="B137" s="125" t="s">
        <v>14</v>
      </c>
      <c r="C137" s="232"/>
      <c r="D137" s="209">
        <v>3164746</v>
      </c>
      <c r="E137" s="253">
        <f t="shared" si="2"/>
        <v>356537715</v>
      </c>
      <c r="F137" s="129">
        <v>2000290</v>
      </c>
      <c r="G137" s="126" t="s">
        <v>319</v>
      </c>
      <c r="H137" s="61" t="s">
        <v>374</v>
      </c>
    </row>
    <row r="138" spans="1:8" x14ac:dyDescent="0.35">
      <c r="A138" s="196">
        <v>46076</v>
      </c>
      <c r="B138" s="125" t="s">
        <v>14</v>
      </c>
      <c r="C138" s="232"/>
      <c r="D138" s="209">
        <v>2000000</v>
      </c>
      <c r="E138" s="253">
        <f t="shared" si="2"/>
        <v>354537715</v>
      </c>
      <c r="F138" s="129">
        <v>2000291</v>
      </c>
      <c r="G138" s="126" t="s">
        <v>319</v>
      </c>
      <c r="H138" s="61" t="s">
        <v>374</v>
      </c>
    </row>
    <row r="139" spans="1:8" x14ac:dyDescent="0.35">
      <c r="A139" s="195">
        <v>46076</v>
      </c>
      <c r="B139" s="61" t="s">
        <v>362</v>
      </c>
      <c r="C139" s="231"/>
      <c r="D139" s="208">
        <v>12000000</v>
      </c>
      <c r="E139" s="252">
        <f t="shared" si="2"/>
        <v>342537715</v>
      </c>
      <c r="F139" s="58">
        <v>2000295</v>
      </c>
      <c r="G139" s="54" t="s">
        <v>361</v>
      </c>
      <c r="H139" s="61" t="s">
        <v>450</v>
      </c>
    </row>
    <row r="140" spans="1:8" x14ac:dyDescent="0.35">
      <c r="A140" s="195">
        <v>46077</v>
      </c>
      <c r="B140" s="61" t="s">
        <v>158</v>
      </c>
      <c r="C140" s="231"/>
      <c r="D140" s="208">
        <v>5400000</v>
      </c>
      <c r="E140" s="252">
        <f t="shared" si="2"/>
        <v>337137715</v>
      </c>
      <c r="F140" s="130">
        <v>2000283</v>
      </c>
      <c r="G140" s="54" t="s">
        <v>159</v>
      </c>
      <c r="H140" s="61" t="s">
        <v>443</v>
      </c>
    </row>
    <row r="141" spans="1:8" x14ac:dyDescent="0.35">
      <c r="A141" s="196">
        <v>46077</v>
      </c>
      <c r="B141" s="125" t="s">
        <v>111</v>
      </c>
      <c r="C141" s="232"/>
      <c r="D141" s="209">
        <v>7000000</v>
      </c>
      <c r="E141" s="253">
        <f t="shared" si="2"/>
        <v>330137715</v>
      </c>
      <c r="F141" s="130">
        <v>2000292</v>
      </c>
      <c r="G141" s="126" t="s">
        <v>112</v>
      </c>
      <c r="H141" s="61" t="s">
        <v>440</v>
      </c>
    </row>
    <row r="142" spans="1:8" x14ac:dyDescent="0.35">
      <c r="A142" s="195">
        <v>46077</v>
      </c>
      <c r="B142" s="61" t="s">
        <v>149</v>
      </c>
      <c r="C142" s="231"/>
      <c r="D142" s="208">
        <v>125000000</v>
      </c>
      <c r="E142" s="252">
        <f t="shared" si="2"/>
        <v>205137715</v>
      </c>
      <c r="F142" s="130">
        <v>2000293</v>
      </c>
      <c r="G142" s="54" t="s">
        <v>62</v>
      </c>
      <c r="H142" s="61" t="s">
        <v>265</v>
      </c>
    </row>
    <row r="143" spans="1:8" x14ac:dyDescent="0.35">
      <c r="A143" s="195">
        <v>46077</v>
      </c>
      <c r="B143" s="61" t="s">
        <v>170</v>
      </c>
      <c r="C143" s="231"/>
      <c r="D143" s="208">
        <v>8000000</v>
      </c>
      <c r="E143" s="252">
        <f t="shared" si="2"/>
        <v>197137715</v>
      </c>
      <c r="F143" s="58">
        <v>2000294</v>
      </c>
      <c r="G143" s="54" t="s">
        <v>58</v>
      </c>
      <c r="H143" s="61" t="s">
        <v>445</v>
      </c>
    </row>
    <row r="144" spans="1:8" x14ac:dyDescent="0.35">
      <c r="A144" s="195">
        <v>46078</v>
      </c>
      <c r="B144" s="61" t="s">
        <v>355</v>
      </c>
      <c r="C144" s="231"/>
      <c r="D144" s="208">
        <v>5000000</v>
      </c>
      <c r="E144" s="252">
        <f t="shared" si="2"/>
        <v>192137715</v>
      </c>
      <c r="F144" s="130">
        <v>2000282</v>
      </c>
      <c r="G144" s="54" t="s">
        <v>154</v>
      </c>
      <c r="H144" s="61" t="s">
        <v>439</v>
      </c>
    </row>
    <row r="145" spans="1:8" x14ac:dyDescent="0.35">
      <c r="A145" s="196">
        <v>46078</v>
      </c>
      <c r="B145" s="125" t="s">
        <v>71</v>
      </c>
      <c r="C145" s="232"/>
      <c r="D145" s="209">
        <v>3880000</v>
      </c>
      <c r="E145" s="253">
        <f t="shared" si="2"/>
        <v>188257715</v>
      </c>
      <c r="F145" s="58">
        <v>2000296</v>
      </c>
      <c r="G145" s="126" t="s">
        <v>72</v>
      </c>
      <c r="H145" s="61" t="s">
        <v>441</v>
      </c>
    </row>
    <row r="146" spans="1:8" x14ac:dyDescent="0.35">
      <c r="A146" s="196">
        <v>46078</v>
      </c>
      <c r="B146" s="125" t="s">
        <v>73</v>
      </c>
      <c r="C146" s="232"/>
      <c r="D146" s="209">
        <v>16000000</v>
      </c>
      <c r="E146" s="253">
        <f t="shared" si="2"/>
        <v>172257715</v>
      </c>
      <c r="F146" s="129">
        <v>2000297</v>
      </c>
      <c r="G146" s="126" t="s">
        <v>56</v>
      </c>
      <c r="H146" s="61" t="s">
        <v>438</v>
      </c>
    </row>
    <row r="147" spans="1:8" x14ac:dyDescent="0.35">
      <c r="A147" s="195">
        <v>46079</v>
      </c>
      <c r="B147" s="61" t="s">
        <v>175</v>
      </c>
      <c r="C147" s="231">
        <v>7418574</v>
      </c>
      <c r="D147" s="208"/>
      <c r="E147" s="252">
        <f t="shared" si="2"/>
        <v>179676289</v>
      </c>
      <c r="F147" s="58"/>
      <c r="G147" s="61" t="s">
        <v>174</v>
      </c>
      <c r="H147" s="61" t="s">
        <v>433</v>
      </c>
    </row>
    <row r="148" spans="1:8" x14ac:dyDescent="0.35">
      <c r="A148" s="196">
        <v>46079</v>
      </c>
      <c r="B148" s="125" t="s">
        <v>78</v>
      </c>
      <c r="C148" s="232"/>
      <c r="D148" s="209">
        <v>5000000</v>
      </c>
      <c r="E148" s="253">
        <f t="shared" si="2"/>
        <v>174676289</v>
      </c>
      <c r="F148" s="129">
        <v>2000298</v>
      </c>
      <c r="G148" s="125" t="s">
        <v>364</v>
      </c>
      <c r="H148" s="61" t="s">
        <v>439</v>
      </c>
    </row>
    <row r="149" spans="1:8" x14ac:dyDescent="0.35">
      <c r="A149" s="195">
        <v>46079</v>
      </c>
      <c r="B149" s="61" t="s">
        <v>32</v>
      </c>
      <c r="C149" s="231"/>
      <c r="D149" s="208">
        <v>2467834</v>
      </c>
      <c r="E149" s="252">
        <f t="shared" si="2"/>
        <v>172208455</v>
      </c>
      <c r="F149" s="58">
        <v>2000299</v>
      </c>
      <c r="G149" s="54" t="s">
        <v>173</v>
      </c>
      <c r="H149" s="61" t="s">
        <v>446</v>
      </c>
    </row>
    <row r="150" spans="1:8" x14ac:dyDescent="0.35">
      <c r="A150" s="195">
        <v>46079</v>
      </c>
      <c r="B150" s="61" t="s">
        <v>33</v>
      </c>
      <c r="C150" s="231"/>
      <c r="D150" s="208">
        <v>3000</v>
      </c>
      <c r="E150" s="252">
        <f t="shared" si="2"/>
        <v>172205455</v>
      </c>
      <c r="F150" s="58">
        <v>2000299</v>
      </c>
      <c r="G150" s="54"/>
      <c r="H150" s="61" t="s">
        <v>9</v>
      </c>
    </row>
    <row r="151" spans="1:8" x14ac:dyDescent="0.35">
      <c r="A151" s="195">
        <v>46079</v>
      </c>
      <c r="B151" s="61" t="s">
        <v>34</v>
      </c>
      <c r="C151" s="231"/>
      <c r="D151" s="208">
        <v>300</v>
      </c>
      <c r="E151" s="252">
        <f t="shared" si="2"/>
        <v>172205155</v>
      </c>
      <c r="F151" s="58">
        <v>2000299</v>
      </c>
      <c r="G151" s="54"/>
      <c r="H151" s="61" t="s">
        <v>9</v>
      </c>
    </row>
    <row r="152" spans="1:8" x14ac:dyDescent="0.35">
      <c r="A152" s="196">
        <v>46080</v>
      </c>
      <c r="B152" s="125" t="s">
        <v>35</v>
      </c>
      <c r="C152" s="232"/>
      <c r="D152" s="209">
        <v>1199076</v>
      </c>
      <c r="E152" s="253">
        <f t="shared" si="2"/>
        <v>171006079</v>
      </c>
      <c r="F152" s="129">
        <v>2000300</v>
      </c>
      <c r="G152" s="126" t="s">
        <v>63</v>
      </c>
      <c r="H152" s="61" t="s">
        <v>441</v>
      </c>
    </row>
    <row r="153" spans="1:8" x14ac:dyDescent="0.35">
      <c r="A153" s="195">
        <v>46080</v>
      </c>
      <c r="B153" s="61" t="s">
        <v>27</v>
      </c>
      <c r="C153" s="231"/>
      <c r="D153" s="208">
        <v>130000000</v>
      </c>
      <c r="E153" s="252">
        <f t="shared" si="2"/>
        <v>41006079</v>
      </c>
      <c r="F153" s="58"/>
      <c r="G153" s="54"/>
      <c r="H153" s="61" t="s">
        <v>27</v>
      </c>
    </row>
    <row r="154" spans="1:8" x14ac:dyDescent="0.35">
      <c r="A154" s="195">
        <v>46083</v>
      </c>
      <c r="B154" s="61" t="s">
        <v>198</v>
      </c>
      <c r="C154" s="231"/>
      <c r="D154" s="208">
        <v>440996</v>
      </c>
      <c r="E154" s="252">
        <f t="shared" si="2"/>
        <v>40565083</v>
      </c>
      <c r="F154" s="58">
        <v>2000301</v>
      </c>
      <c r="G154" s="54" t="s">
        <v>199</v>
      </c>
      <c r="H154" s="61" t="s">
        <v>374</v>
      </c>
    </row>
    <row r="155" spans="1:8" x14ac:dyDescent="0.35">
      <c r="A155" s="195">
        <v>46083</v>
      </c>
      <c r="B155" s="61" t="s">
        <v>111</v>
      </c>
      <c r="C155" s="231"/>
      <c r="D155" s="208">
        <v>10000000</v>
      </c>
      <c r="E155" s="252">
        <f t="shared" si="2"/>
        <v>30565083</v>
      </c>
      <c r="F155" s="58">
        <v>2000302</v>
      </c>
      <c r="G155" s="54" t="s">
        <v>59</v>
      </c>
      <c r="H155" s="61" t="s">
        <v>440</v>
      </c>
    </row>
    <row r="156" spans="1:8" x14ac:dyDescent="0.35">
      <c r="A156" s="196">
        <v>46083</v>
      </c>
      <c r="B156" s="125" t="s">
        <v>67</v>
      </c>
      <c r="C156" s="232"/>
      <c r="D156" s="209">
        <v>1545000</v>
      </c>
      <c r="E156" s="253">
        <f t="shared" si="2"/>
        <v>29020083</v>
      </c>
      <c r="F156" s="129"/>
      <c r="G156" s="126" t="s">
        <v>201</v>
      </c>
      <c r="H156" s="61" t="s">
        <v>445</v>
      </c>
    </row>
    <row r="157" spans="1:8" x14ac:dyDescent="0.35">
      <c r="A157" s="196">
        <v>46083</v>
      </c>
      <c r="B157" s="125" t="s">
        <v>14</v>
      </c>
      <c r="C157" s="232"/>
      <c r="D157" s="209">
        <v>2836556</v>
      </c>
      <c r="E157" s="253">
        <f t="shared" si="2"/>
        <v>26183527</v>
      </c>
      <c r="F157" s="129">
        <v>2000304</v>
      </c>
      <c r="G157" s="126" t="s">
        <v>319</v>
      </c>
      <c r="H157" s="61" t="s">
        <v>374</v>
      </c>
    </row>
    <row r="158" spans="1:8" x14ac:dyDescent="0.35">
      <c r="A158" s="195">
        <v>46084</v>
      </c>
      <c r="B158" s="61" t="s">
        <v>152</v>
      </c>
      <c r="C158" s="231"/>
      <c r="D158" s="208">
        <v>468801</v>
      </c>
      <c r="E158" s="252">
        <f t="shared" si="2"/>
        <v>25714726</v>
      </c>
      <c r="F158" s="58">
        <v>2000303</v>
      </c>
      <c r="G158" s="54" t="s">
        <v>200</v>
      </c>
      <c r="H158" s="61" t="s">
        <v>374</v>
      </c>
    </row>
    <row r="159" spans="1:8" x14ac:dyDescent="0.35">
      <c r="A159" s="196">
        <v>46084</v>
      </c>
      <c r="B159" s="125" t="s">
        <v>14</v>
      </c>
      <c r="C159" s="232"/>
      <c r="D159" s="209">
        <v>3000000</v>
      </c>
      <c r="E159" s="253">
        <f t="shared" si="2"/>
        <v>22714726</v>
      </c>
      <c r="F159" s="129">
        <v>2000305</v>
      </c>
      <c r="G159" s="126" t="s">
        <v>319</v>
      </c>
      <c r="H159" s="61" t="s">
        <v>374</v>
      </c>
    </row>
    <row r="160" spans="1:8" x14ac:dyDescent="0.35">
      <c r="A160" s="195">
        <v>46084</v>
      </c>
      <c r="B160" s="61" t="s">
        <v>9</v>
      </c>
      <c r="C160" s="231"/>
      <c r="D160" s="208">
        <v>500</v>
      </c>
      <c r="E160" s="252">
        <f t="shared" si="2"/>
        <v>22714226</v>
      </c>
      <c r="F160" s="58"/>
      <c r="G160" s="54"/>
      <c r="H160" s="61" t="s">
        <v>9</v>
      </c>
    </row>
    <row r="161" spans="1:8" x14ac:dyDescent="0.35">
      <c r="A161" s="195">
        <v>46084</v>
      </c>
      <c r="B161" s="61" t="s">
        <v>9</v>
      </c>
      <c r="C161" s="231"/>
      <c r="D161" s="208">
        <v>5000</v>
      </c>
      <c r="E161" s="252">
        <f t="shared" si="2"/>
        <v>22709226</v>
      </c>
      <c r="F161" s="58"/>
      <c r="G161" s="54"/>
      <c r="H161" s="61" t="s">
        <v>9</v>
      </c>
    </row>
    <row r="162" spans="1:8" x14ac:dyDescent="0.35">
      <c r="A162" s="195">
        <v>46087</v>
      </c>
      <c r="B162" s="61" t="s">
        <v>25</v>
      </c>
      <c r="C162" s="231"/>
      <c r="D162" s="208">
        <v>10000000</v>
      </c>
      <c r="E162" s="252">
        <f t="shared" si="2"/>
        <v>12709226</v>
      </c>
      <c r="F162" s="58">
        <v>2000306</v>
      </c>
      <c r="G162" s="54" t="s">
        <v>202</v>
      </c>
      <c r="H162" s="61" t="s">
        <v>440</v>
      </c>
    </row>
    <row r="163" spans="1:8" x14ac:dyDescent="0.35">
      <c r="A163" s="195">
        <v>46090</v>
      </c>
      <c r="B163" s="61" t="s">
        <v>36</v>
      </c>
      <c r="C163" s="231"/>
      <c r="D163" s="208">
        <v>250000</v>
      </c>
      <c r="E163" s="252">
        <f t="shared" si="2"/>
        <v>12459226</v>
      </c>
      <c r="F163" s="58">
        <v>2000307</v>
      </c>
      <c r="G163" s="54" t="s">
        <v>203</v>
      </c>
      <c r="H163" s="61" t="s">
        <v>443</v>
      </c>
    </row>
    <row r="164" spans="1:8" x14ac:dyDescent="0.35">
      <c r="A164" s="196">
        <v>46090</v>
      </c>
      <c r="B164" s="125" t="s">
        <v>14</v>
      </c>
      <c r="C164" s="232"/>
      <c r="D164" s="209">
        <v>1230850</v>
      </c>
      <c r="E164" s="253">
        <f t="shared" si="2"/>
        <v>11228376</v>
      </c>
      <c r="F164" s="129">
        <v>2000310</v>
      </c>
      <c r="G164" s="126" t="s">
        <v>319</v>
      </c>
      <c r="H164" s="61" t="s">
        <v>374</v>
      </c>
    </row>
    <row r="165" spans="1:8" x14ac:dyDescent="0.35">
      <c r="A165" s="195">
        <v>46094</v>
      </c>
      <c r="B165" s="61" t="s">
        <v>37</v>
      </c>
      <c r="C165" s="231"/>
      <c r="D165" s="208">
        <v>600000</v>
      </c>
      <c r="E165" s="252">
        <f t="shared" si="2"/>
        <v>10628376</v>
      </c>
      <c r="F165" s="58"/>
      <c r="G165" s="54"/>
      <c r="H165" s="61" t="s">
        <v>37</v>
      </c>
    </row>
    <row r="166" spans="1:8" x14ac:dyDescent="0.35">
      <c r="A166" s="195">
        <v>46094</v>
      </c>
      <c r="B166" s="61" t="s">
        <v>37</v>
      </c>
      <c r="C166" s="231"/>
      <c r="D166" s="208">
        <v>60000</v>
      </c>
      <c r="E166" s="252">
        <f t="shared" si="2"/>
        <v>10568376</v>
      </c>
      <c r="F166" s="58"/>
      <c r="G166" s="54"/>
      <c r="H166" s="61" t="s">
        <v>37</v>
      </c>
    </row>
    <row r="167" spans="1:8" x14ac:dyDescent="0.35">
      <c r="A167" s="195">
        <v>46094</v>
      </c>
      <c r="B167" s="61" t="s">
        <v>38</v>
      </c>
      <c r="C167" s="231">
        <v>120000000</v>
      </c>
      <c r="D167" s="208"/>
      <c r="E167" s="252">
        <f t="shared" si="2"/>
        <v>130568376</v>
      </c>
      <c r="F167" s="58"/>
      <c r="G167" s="54"/>
      <c r="H167" s="61" t="s">
        <v>176</v>
      </c>
    </row>
    <row r="168" spans="1:8" x14ac:dyDescent="0.35">
      <c r="A168" s="195">
        <v>46094</v>
      </c>
      <c r="B168" s="61" t="s">
        <v>37</v>
      </c>
      <c r="C168" s="233"/>
      <c r="D168" s="208">
        <v>120000</v>
      </c>
      <c r="E168" s="252">
        <f t="shared" si="2"/>
        <v>130448376</v>
      </c>
      <c r="F168" s="58"/>
      <c r="G168" s="54"/>
      <c r="H168" s="61" t="s">
        <v>37</v>
      </c>
    </row>
    <row r="169" spans="1:8" x14ac:dyDescent="0.35">
      <c r="A169" s="195">
        <v>46097</v>
      </c>
      <c r="B169" s="61" t="s">
        <v>26</v>
      </c>
      <c r="C169" s="231"/>
      <c r="D169" s="208">
        <v>349200</v>
      </c>
      <c r="E169" s="252">
        <f t="shared" si="2"/>
        <v>130099176</v>
      </c>
      <c r="F169" s="58">
        <v>2000312</v>
      </c>
      <c r="G169" s="54" t="s">
        <v>60</v>
      </c>
      <c r="H169" s="61" t="s">
        <v>447</v>
      </c>
    </row>
    <row r="170" spans="1:8" x14ac:dyDescent="0.35">
      <c r="A170" s="196">
        <v>46098</v>
      </c>
      <c r="B170" s="125" t="s">
        <v>14</v>
      </c>
      <c r="C170" s="232"/>
      <c r="D170" s="209">
        <v>1166861</v>
      </c>
      <c r="E170" s="253">
        <f t="shared" si="2"/>
        <v>128932315</v>
      </c>
      <c r="F170" s="129">
        <v>2000313</v>
      </c>
      <c r="G170" s="126" t="s">
        <v>319</v>
      </c>
      <c r="H170" s="61" t="s">
        <v>374</v>
      </c>
    </row>
    <row r="171" spans="1:8" x14ac:dyDescent="0.35">
      <c r="A171" s="195">
        <v>46099</v>
      </c>
      <c r="B171" s="61" t="s">
        <v>152</v>
      </c>
      <c r="C171" s="231"/>
      <c r="D171" s="208">
        <v>770024</v>
      </c>
      <c r="E171" s="252">
        <f t="shared" si="2"/>
        <v>128162291</v>
      </c>
      <c r="F171" s="58">
        <v>2000314</v>
      </c>
      <c r="G171" s="54" t="s">
        <v>204</v>
      </c>
      <c r="H171" s="61" t="s">
        <v>374</v>
      </c>
    </row>
    <row r="172" spans="1:8" x14ac:dyDescent="0.35">
      <c r="A172" s="195">
        <v>46099</v>
      </c>
      <c r="B172" s="61" t="s">
        <v>338</v>
      </c>
      <c r="C172" s="231"/>
      <c r="D172" s="208">
        <v>2250000</v>
      </c>
      <c r="E172" s="252">
        <f t="shared" si="2"/>
        <v>125912291</v>
      </c>
      <c r="F172" s="58">
        <v>2000317</v>
      </c>
      <c r="G172" s="54" t="s">
        <v>163</v>
      </c>
      <c r="H172" s="61" t="s">
        <v>445</v>
      </c>
    </row>
    <row r="173" spans="1:8" x14ac:dyDescent="0.35">
      <c r="A173" s="195">
        <v>46099</v>
      </c>
      <c r="B173" s="61" t="s">
        <v>40</v>
      </c>
      <c r="C173" s="231"/>
      <c r="D173" s="208">
        <v>500000</v>
      </c>
      <c r="E173" s="252">
        <f t="shared" si="2"/>
        <v>125412291</v>
      </c>
      <c r="F173" s="58">
        <v>2000318</v>
      </c>
      <c r="G173" s="54" t="s">
        <v>205</v>
      </c>
      <c r="H173" s="61" t="s">
        <v>205</v>
      </c>
    </row>
    <row r="174" spans="1:8" x14ac:dyDescent="0.35">
      <c r="A174" s="195">
        <v>46099</v>
      </c>
      <c r="B174" s="61" t="s">
        <v>41</v>
      </c>
      <c r="C174" s="233">
        <v>65953197</v>
      </c>
      <c r="D174" s="208"/>
      <c r="E174" s="252">
        <f t="shared" si="2"/>
        <v>191365488</v>
      </c>
      <c r="F174" s="58"/>
      <c r="G174" s="54" t="s">
        <v>457</v>
      </c>
      <c r="H174" s="61" t="s">
        <v>434</v>
      </c>
    </row>
    <row r="175" spans="1:8" x14ac:dyDescent="0.35">
      <c r="A175" s="195">
        <v>46099</v>
      </c>
      <c r="B175" s="61" t="s">
        <v>42</v>
      </c>
      <c r="C175" s="231"/>
      <c r="D175" s="208">
        <v>420418</v>
      </c>
      <c r="E175" s="252">
        <f t="shared" si="2"/>
        <v>190945070</v>
      </c>
      <c r="F175" s="58">
        <v>2000319</v>
      </c>
      <c r="G175" s="54" t="s">
        <v>206</v>
      </c>
      <c r="H175" s="61" t="s">
        <v>374</v>
      </c>
    </row>
    <row r="176" spans="1:8" x14ac:dyDescent="0.35">
      <c r="A176" s="195">
        <v>46099</v>
      </c>
      <c r="B176" s="61" t="s">
        <v>43</v>
      </c>
      <c r="C176" s="231"/>
      <c r="D176" s="208">
        <v>1000000</v>
      </c>
      <c r="E176" s="252">
        <f t="shared" si="2"/>
        <v>189945070</v>
      </c>
      <c r="F176" s="58">
        <v>2000320</v>
      </c>
      <c r="G176" s="54" t="s">
        <v>207</v>
      </c>
      <c r="H176" s="61" t="s">
        <v>445</v>
      </c>
    </row>
    <row r="177" spans="1:8" x14ac:dyDescent="0.35">
      <c r="A177" s="195">
        <v>46100</v>
      </c>
      <c r="B177" s="61" t="s">
        <v>44</v>
      </c>
      <c r="C177" s="231">
        <v>42897018</v>
      </c>
      <c r="D177" s="208"/>
      <c r="E177" s="252">
        <f t="shared" si="2"/>
        <v>232842088</v>
      </c>
      <c r="F177" s="58"/>
      <c r="G177" s="54" t="s">
        <v>208</v>
      </c>
      <c r="H177" s="61" t="s">
        <v>431</v>
      </c>
    </row>
    <row r="178" spans="1:8" x14ac:dyDescent="0.35">
      <c r="A178" s="197">
        <v>46100</v>
      </c>
      <c r="B178" s="56" t="s">
        <v>45</v>
      </c>
      <c r="C178" s="234">
        <v>75834926</v>
      </c>
      <c r="D178" s="210"/>
      <c r="E178" s="254">
        <f t="shared" si="2"/>
        <v>308677014</v>
      </c>
      <c r="F178" s="130"/>
      <c r="G178" s="131" t="s">
        <v>209</v>
      </c>
      <c r="H178" s="134" t="s">
        <v>432</v>
      </c>
    </row>
    <row r="179" spans="1:8" x14ac:dyDescent="0.35">
      <c r="A179" s="195">
        <v>46100</v>
      </c>
      <c r="B179" s="61" t="s">
        <v>46</v>
      </c>
      <c r="C179" s="231"/>
      <c r="D179" s="208">
        <v>360000</v>
      </c>
      <c r="E179" s="252">
        <f t="shared" si="2"/>
        <v>308317014</v>
      </c>
      <c r="F179" s="58">
        <v>2000321</v>
      </c>
      <c r="G179" s="54" t="s">
        <v>210</v>
      </c>
      <c r="H179" s="61" t="s">
        <v>443</v>
      </c>
    </row>
    <row r="180" spans="1:8" x14ac:dyDescent="0.35">
      <c r="A180" s="196">
        <v>46100</v>
      </c>
      <c r="B180" s="125" t="s">
        <v>78</v>
      </c>
      <c r="C180" s="232"/>
      <c r="D180" s="209">
        <v>2000000</v>
      </c>
      <c r="E180" s="253">
        <f t="shared" si="2"/>
        <v>306317014</v>
      </c>
      <c r="F180" s="129">
        <v>2000322</v>
      </c>
      <c r="G180" s="125" t="s">
        <v>364</v>
      </c>
      <c r="H180" s="61" t="s">
        <v>439</v>
      </c>
    </row>
    <row r="181" spans="1:8" x14ac:dyDescent="0.35">
      <c r="A181" s="196">
        <v>46104</v>
      </c>
      <c r="B181" s="125" t="s">
        <v>73</v>
      </c>
      <c r="C181" s="232"/>
      <c r="D181" s="209">
        <v>15000000</v>
      </c>
      <c r="E181" s="253">
        <f t="shared" si="2"/>
        <v>291317014</v>
      </c>
      <c r="F181" s="129">
        <v>2000323</v>
      </c>
      <c r="G181" s="126" t="s">
        <v>56</v>
      </c>
      <c r="H181" s="61" t="s">
        <v>438</v>
      </c>
    </row>
    <row r="182" spans="1:8" x14ac:dyDescent="0.35">
      <c r="A182" s="195">
        <v>46104</v>
      </c>
      <c r="B182" s="61" t="s">
        <v>211</v>
      </c>
      <c r="C182" s="231">
        <v>42880000</v>
      </c>
      <c r="D182" s="208"/>
      <c r="E182" s="252">
        <f t="shared" si="2"/>
        <v>334197014</v>
      </c>
      <c r="F182" s="58"/>
      <c r="G182" s="54" t="s">
        <v>481</v>
      </c>
      <c r="H182" s="61" t="s">
        <v>431</v>
      </c>
    </row>
    <row r="183" spans="1:8" x14ac:dyDescent="0.35">
      <c r="A183" s="197">
        <v>46104</v>
      </c>
      <c r="B183" s="56" t="s">
        <v>45</v>
      </c>
      <c r="C183" s="234">
        <v>97596902</v>
      </c>
      <c r="D183" s="210"/>
      <c r="E183" s="254">
        <f t="shared" si="2"/>
        <v>431793916</v>
      </c>
      <c r="F183" s="130"/>
      <c r="G183" s="131"/>
      <c r="H183" s="61" t="s">
        <v>432</v>
      </c>
    </row>
    <row r="184" spans="1:8" x14ac:dyDescent="0.35">
      <c r="A184" s="195">
        <v>46104</v>
      </c>
      <c r="B184" s="61" t="s">
        <v>17</v>
      </c>
      <c r="C184" s="231">
        <v>650000</v>
      </c>
      <c r="D184" s="208"/>
      <c r="E184" s="252">
        <f t="shared" si="2"/>
        <v>432443916</v>
      </c>
      <c r="F184" s="61"/>
      <c r="G184" s="61"/>
      <c r="H184" s="61" t="s">
        <v>435</v>
      </c>
    </row>
    <row r="185" spans="1:8" x14ac:dyDescent="0.35">
      <c r="A185" s="195">
        <v>46105</v>
      </c>
      <c r="B185" s="61" t="s">
        <v>39</v>
      </c>
      <c r="C185" s="231"/>
      <c r="D185" s="208">
        <v>120000000</v>
      </c>
      <c r="E185" s="252">
        <f t="shared" si="2"/>
        <v>312443916</v>
      </c>
      <c r="F185" s="58">
        <v>2000311</v>
      </c>
      <c r="G185" s="54" t="s">
        <v>101</v>
      </c>
      <c r="H185" s="61" t="s">
        <v>449</v>
      </c>
    </row>
    <row r="186" spans="1:8" x14ac:dyDescent="0.35">
      <c r="A186" s="195">
        <v>46105</v>
      </c>
      <c r="B186" s="61" t="s">
        <v>27</v>
      </c>
      <c r="C186" s="231"/>
      <c r="D186" s="208">
        <v>245000000</v>
      </c>
      <c r="E186" s="252">
        <f t="shared" si="2"/>
        <v>67443916</v>
      </c>
      <c r="F186" s="58"/>
      <c r="G186" s="54"/>
      <c r="H186" s="61" t="s">
        <v>27</v>
      </c>
    </row>
    <row r="187" spans="1:8" x14ac:dyDescent="0.35">
      <c r="A187" s="195">
        <v>46105</v>
      </c>
      <c r="B187" s="61" t="s">
        <v>47</v>
      </c>
      <c r="C187" s="231"/>
      <c r="D187" s="208">
        <v>18108889</v>
      </c>
      <c r="E187" s="252">
        <f t="shared" si="2"/>
        <v>49335027</v>
      </c>
      <c r="F187" s="58"/>
      <c r="G187" s="54"/>
      <c r="H187" s="61" t="s">
        <v>47</v>
      </c>
    </row>
    <row r="188" spans="1:8" x14ac:dyDescent="0.35">
      <c r="A188" s="195">
        <v>46105</v>
      </c>
      <c r="B188" s="61" t="s">
        <v>48</v>
      </c>
      <c r="C188" s="231"/>
      <c r="D188" s="208">
        <v>3072833</v>
      </c>
      <c r="E188" s="252">
        <f t="shared" si="2"/>
        <v>46262194</v>
      </c>
      <c r="F188" s="58">
        <v>2000324</v>
      </c>
      <c r="G188" s="54" t="s">
        <v>216</v>
      </c>
      <c r="H188" s="61" t="s">
        <v>446</v>
      </c>
    </row>
    <row r="189" spans="1:8" x14ac:dyDescent="0.35">
      <c r="A189" s="195">
        <v>46105</v>
      </c>
      <c r="B189" s="61" t="s">
        <v>49</v>
      </c>
      <c r="C189" s="231"/>
      <c r="D189" s="208">
        <v>5000</v>
      </c>
      <c r="E189" s="252">
        <f t="shared" si="2"/>
        <v>46257194</v>
      </c>
      <c r="F189" s="58">
        <v>2000324</v>
      </c>
      <c r="G189" s="54"/>
      <c r="H189" s="61" t="s">
        <v>9</v>
      </c>
    </row>
    <row r="190" spans="1:8" x14ac:dyDescent="0.35">
      <c r="A190" s="195">
        <v>46105</v>
      </c>
      <c r="B190" s="61" t="s">
        <v>50</v>
      </c>
      <c r="C190" s="231"/>
      <c r="D190" s="208">
        <v>500</v>
      </c>
      <c r="E190" s="252">
        <f t="shared" si="2"/>
        <v>46256694</v>
      </c>
      <c r="F190" s="58">
        <v>2000324</v>
      </c>
      <c r="G190" s="54"/>
      <c r="H190" s="61" t="s">
        <v>9</v>
      </c>
    </row>
    <row r="191" spans="1:8" x14ac:dyDescent="0.35">
      <c r="A191" s="198">
        <v>46105</v>
      </c>
      <c r="B191" s="135" t="s">
        <v>16</v>
      </c>
      <c r="C191" s="235">
        <v>22899851</v>
      </c>
      <c r="D191" s="211"/>
      <c r="E191" s="255">
        <f t="shared" si="2"/>
        <v>69156545</v>
      </c>
      <c r="F191" s="136"/>
      <c r="G191" s="137"/>
      <c r="H191" s="135" t="s">
        <v>433</v>
      </c>
    </row>
    <row r="192" spans="1:8" x14ac:dyDescent="0.35">
      <c r="A192" s="195">
        <v>46105</v>
      </c>
      <c r="B192" s="61" t="s">
        <v>52</v>
      </c>
      <c r="C192" s="231"/>
      <c r="D192" s="208">
        <v>2640000</v>
      </c>
      <c r="E192" s="252">
        <f t="shared" si="2"/>
        <v>66516545</v>
      </c>
      <c r="F192" s="58">
        <v>2000327</v>
      </c>
      <c r="G192" s="54" t="s">
        <v>221</v>
      </c>
      <c r="H192" s="61" t="s">
        <v>443</v>
      </c>
    </row>
    <row r="193" spans="1:8" x14ac:dyDescent="0.35">
      <c r="A193" s="195">
        <v>46106</v>
      </c>
      <c r="B193" s="61" t="s">
        <v>217</v>
      </c>
      <c r="C193" s="231"/>
      <c r="D193" s="208">
        <v>748325</v>
      </c>
      <c r="E193" s="252">
        <f t="shared" si="2"/>
        <v>65768220</v>
      </c>
      <c r="F193" s="58">
        <v>2000325</v>
      </c>
      <c r="G193" s="54" t="s">
        <v>57</v>
      </c>
      <c r="H193" s="61" t="s">
        <v>374</v>
      </c>
    </row>
    <row r="194" spans="1:8" x14ac:dyDescent="0.35">
      <c r="A194" s="195">
        <v>46106</v>
      </c>
      <c r="B194" s="61" t="s">
        <v>217</v>
      </c>
      <c r="C194" s="231"/>
      <c r="D194" s="208">
        <v>1000000</v>
      </c>
      <c r="E194" s="252">
        <f t="shared" si="2"/>
        <v>64768220</v>
      </c>
      <c r="F194" s="58">
        <v>2000326</v>
      </c>
      <c r="G194" s="54" t="s">
        <v>218</v>
      </c>
      <c r="H194" s="61" t="s">
        <v>374</v>
      </c>
    </row>
    <row r="195" spans="1:8" x14ac:dyDescent="0.35">
      <c r="A195" s="195">
        <v>46106</v>
      </c>
      <c r="B195" s="61" t="s">
        <v>219</v>
      </c>
      <c r="C195" s="231"/>
      <c r="D195" s="208">
        <v>1810889</v>
      </c>
      <c r="E195" s="252">
        <f t="shared" si="2"/>
        <v>62957331</v>
      </c>
      <c r="F195" s="130"/>
      <c r="G195" s="54"/>
      <c r="H195" s="61" t="s">
        <v>9</v>
      </c>
    </row>
    <row r="196" spans="1:8" x14ac:dyDescent="0.35">
      <c r="A196" s="196">
        <v>46106</v>
      </c>
      <c r="B196" s="125" t="s">
        <v>67</v>
      </c>
      <c r="C196" s="232"/>
      <c r="D196" s="209">
        <v>1500000</v>
      </c>
      <c r="E196" s="253">
        <f t="shared" si="2"/>
        <v>61457331</v>
      </c>
      <c r="F196" s="129"/>
      <c r="G196" s="126" t="s">
        <v>223</v>
      </c>
      <c r="H196" s="61" t="s">
        <v>445</v>
      </c>
    </row>
    <row r="197" spans="1:8" x14ac:dyDescent="0.35">
      <c r="A197" s="195">
        <v>46106</v>
      </c>
      <c r="B197" s="61" t="s">
        <v>53</v>
      </c>
      <c r="C197" s="231"/>
      <c r="D197" s="208">
        <v>3366000</v>
      </c>
      <c r="E197" s="252">
        <f t="shared" ref="E197:E260" si="3">E196+C197-D197</f>
        <v>58091331</v>
      </c>
      <c r="F197" s="58">
        <v>2000329</v>
      </c>
      <c r="G197" s="54" t="s">
        <v>222</v>
      </c>
      <c r="H197" s="61" t="s">
        <v>446</v>
      </c>
    </row>
    <row r="198" spans="1:8" x14ac:dyDescent="0.35">
      <c r="A198" s="196">
        <v>46106</v>
      </c>
      <c r="B198" s="125" t="s">
        <v>73</v>
      </c>
      <c r="C198" s="232"/>
      <c r="D198" s="209">
        <v>25000000</v>
      </c>
      <c r="E198" s="253">
        <f t="shared" si="3"/>
        <v>33091331</v>
      </c>
      <c r="F198" s="129">
        <v>2000331</v>
      </c>
      <c r="G198" s="126" t="s">
        <v>56</v>
      </c>
      <c r="H198" s="61" t="s">
        <v>438</v>
      </c>
    </row>
    <row r="199" spans="1:8" x14ac:dyDescent="0.35">
      <c r="A199" s="196">
        <v>46106</v>
      </c>
      <c r="B199" s="125" t="s">
        <v>73</v>
      </c>
      <c r="C199" s="232"/>
      <c r="D199" s="209">
        <v>30000000</v>
      </c>
      <c r="E199" s="253">
        <f t="shared" si="3"/>
        <v>3091331</v>
      </c>
      <c r="F199" s="129">
        <v>2000332</v>
      </c>
      <c r="G199" s="126" t="s">
        <v>56</v>
      </c>
      <c r="H199" s="61" t="s">
        <v>438</v>
      </c>
    </row>
    <row r="200" spans="1:8" x14ac:dyDescent="0.35">
      <c r="A200" s="195">
        <v>46106</v>
      </c>
      <c r="B200" s="61" t="s">
        <v>42</v>
      </c>
      <c r="C200" s="231"/>
      <c r="D200" s="208">
        <v>439499</v>
      </c>
      <c r="E200" s="252">
        <f t="shared" si="3"/>
        <v>2651832</v>
      </c>
      <c r="F200" s="58">
        <v>2000333</v>
      </c>
      <c r="G200" s="54" t="s">
        <v>206</v>
      </c>
      <c r="H200" s="61" t="s">
        <v>374</v>
      </c>
    </row>
    <row r="201" spans="1:8" x14ac:dyDescent="0.35">
      <c r="A201" s="195">
        <v>46107</v>
      </c>
      <c r="B201" s="61" t="s">
        <v>37</v>
      </c>
      <c r="C201" s="231"/>
      <c r="D201" s="208">
        <v>600000</v>
      </c>
      <c r="E201" s="252">
        <f t="shared" si="3"/>
        <v>2051832</v>
      </c>
      <c r="F201" s="58"/>
      <c r="G201" s="54"/>
      <c r="H201" s="61" t="s">
        <v>37</v>
      </c>
    </row>
    <row r="202" spans="1:8" x14ac:dyDescent="0.35">
      <c r="A202" s="195">
        <v>46107</v>
      </c>
      <c r="B202" s="61" t="s">
        <v>37</v>
      </c>
      <c r="C202" s="231"/>
      <c r="D202" s="208">
        <v>60000</v>
      </c>
      <c r="E202" s="252">
        <f t="shared" si="3"/>
        <v>1991832</v>
      </c>
      <c r="F202" s="58"/>
      <c r="G202" s="54"/>
      <c r="H202" s="61" t="s">
        <v>37</v>
      </c>
    </row>
    <row r="203" spans="1:8" x14ac:dyDescent="0.35">
      <c r="A203" s="195">
        <v>46107</v>
      </c>
      <c r="B203" s="61" t="s">
        <v>38</v>
      </c>
      <c r="C203" s="231">
        <v>120000000</v>
      </c>
      <c r="D203" s="208"/>
      <c r="E203" s="252">
        <f t="shared" si="3"/>
        <v>121991832</v>
      </c>
      <c r="F203" s="58"/>
      <c r="G203" s="54"/>
      <c r="H203" s="61" t="s">
        <v>176</v>
      </c>
    </row>
    <row r="204" spans="1:8" x14ac:dyDescent="0.35">
      <c r="A204" s="195">
        <v>46107</v>
      </c>
      <c r="B204" s="61" t="s">
        <v>23</v>
      </c>
      <c r="C204" s="231"/>
      <c r="D204" s="208">
        <v>120000</v>
      </c>
      <c r="E204" s="252">
        <f t="shared" si="3"/>
        <v>121871832</v>
      </c>
      <c r="F204" s="58"/>
      <c r="G204" s="54"/>
      <c r="H204" s="61" t="s">
        <v>37</v>
      </c>
    </row>
    <row r="205" spans="1:8" x14ac:dyDescent="0.35">
      <c r="A205" s="195">
        <v>46108</v>
      </c>
      <c r="B205" s="61" t="s">
        <v>290</v>
      </c>
      <c r="C205" s="231"/>
      <c r="D205" s="208">
        <v>2134000</v>
      </c>
      <c r="E205" s="252">
        <f t="shared" si="3"/>
        <v>119737832</v>
      </c>
      <c r="F205" s="58">
        <v>2000330</v>
      </c>
      <c r="G205" s="54" t="s">
        <v>543</v>
      </c>
      <c r="H205" s="61" t="s">
        <v>445</v>
      </c>
    </row>
    <row r="206" spans="1:8" x14ac:dyDescent="0.35">
      <c r="A206" s="195">
        <v>46108</v>
      </c>
      <c r="B206" s="61" t="s">
        <v>37</v>
      </c>
      <c r="C206" s="231"/>
      <c r="D206" s="208">
        <v>1250000</v>
      </c>
      <c r="E206" s="252">
        <f t="shared" si="3"/>
        <v>118487832</v>
      </c>
      <c r="F206" s="58"/>
      <c r="G206" s="54"/>
      <c r="H206" s="61" t="s">
        <v>37</v>
      </c>
    </row>
    <row r="207" spans="1:8" x14ac:dyDescent="0.35">
      <c r="A207" s="195">
        <v>46108</v>
      </c>
      <c r="B207" s="61" t="s">
        <v>37</v>
      </c>
      <c r="C207" s="231"/>
      <c r="D207" s="208">
        <v>125000</v>
      </c>
      <c r="E207" s="252">
        <f t="shared" si="3"/>
        <v>118362832</v>
      </c>
      <c r="F207" s="58"/>
      <c r="G207" s="54"/>
      <c r="H207" s="61" t="s">
        <v>37</v>
      </c>
    </row>
    <row r="208" spans="1:8" x14ac:dyDescent="0.35">
      <c r="A208" s="195">
        <v>46108</v>
      </c>
      <c r="B208" s="61" t="s">
        <v>38</v>
      </c>
      <c r="C208" s="231">
        <v>250000000</v>
      </c>
      <c r="D208" s="208"/>
      <c r="E208" s="252">
        <f t="shared" si="3"/>
        <v>368362832</v>
      </c>
      <c r="F208" s="58"/>
      <c r="G208" s="54"/>
      <c r="H208" s="61" t="s">
        <v>176</v>
      </c>
    </row>
    <row r="209" spans="1:8" x14ac:dyDescent="0.35">
      <c r="A209" s="195">
        <v>46108</v>
      </c>
      <c r="B209" s="61" t="s">
        <v>23</v>
      </c>
      <c r="C209" s="231"/>
      <c r="D209" s="208">
        <v>250000</v>
      </c>
      <c r="E209" s="252">
        <f t="shared" si="3"/>
        <v>368112832</v>
      </c>
      <c r="F209" s="58"/>
      <c r="G209" s="54"/>
      <c r="H209" s="61" t="s">
        <v>37</v>
      </c>
    </row>
    <row r="210" spans="1:8" x14ac:dyDescent="0.35">
      <c r="A210" s="195">
        <v>46108</v>
      </c>
      <c r="B210" s="61" t="s">
        <v>152</v>
      </c>
      <c r="C210" s="231"/>
      <c r="D210" s="208">
        <v>1283334</v>
      </c>
      <c r="E210" s="252">
        <f t="shared" si="3"/>
        <v>366829498</v>
      </c>
      <c r="F210" s="58">
        <v>2000334</v>
      </c>
      <c r="G210" s="54" t="s">
        <v>224</v>
      </c>
      <c r="H210" s="61" t="s">
        <v>374</v>
      </c>
    </row>
    <row r="211" spans="1:8" s="2" customFormat="1" x14ac:dyDescent="0.35">
      <c r="A211" s="195">
        <v>46108</v>
      </c>
      <c r="B211" s="61" t="s">
        <v>225</v>
      </c>
      <c r="C211" s="231"/>
      <c r="D211" s="208">
        <v>120000000</v>
      </c>
      <c r="E211" s="252">
        <f t="shared" si="3"/>
        <v>246829498</v>
      </c>
      <c r="F211" s="58">
        <v>2000335</v>
      </c>
      <c r="G211" s="54" t="s">
        <v>122</v>
      </c>
      <c r="H211" s="61" t="s">
        <v>449</v>
      </c>
    </row>
    <row r="212" spans="1:8" x14ac:dyDescent="0.35">
      <c r="A212" s="195">
        <v>46108</v>
      </c>
      <c r="B212" s="61" t="s">
        <v>27</v>
      </c>
      <c r="C212" s="231"/>
      <c r="D212" s="208">
        <v>226829498</v>
      </c>
      <c r="E212" s="252">
        <f t="shared" si="3"/>
        <v>20000000</v>
      </c>
      <c r="F212" s="58"/>
      <c r="G212" s="54"/>
      <c r="H212" s="61" t="s">
        <v>27</v>
      </c>
    </row>
    <row r="213" spans="1:8" s="2" customFormat="1" x14ac:dyDescent="0.35">
      <c r="A213" s="195">
        <v>46108</v>
      </c>
      <c r="B213" s="61" t="s">
        <v>47</v>
      </c>
      <c r="C213" s="231"/>
      <c r="D213" s="208">
        <v>20000000</v>
      </c>
      <c r="E213" s="252">
        <f t="shared" si="3"/>
        <v>0</v>
      </c>
      <c r="F213" s="58"/>
      <c r="G213" s="54"/>
      <c r="H213" s="61" t="s">
        <v>47</v>
      </c>
    </row>
    <row r="214" spans="1:8" s="2" customFormat="1" x14ac:dyDescent="0.35">
      <c r="A214" s="195">
        <v>46108</v>
      </c>
      <c r="B214" s="61" t="s">
        <v>227</v>
      </c>
      <c r="C214" s="231"/>
      <c r="D214" s="208">
        <v>2000000</v>
      </c>
      <c r="E214" s="252">
        <f t="shared" si="3"/>
        <v>-2000000</v>
      </c>
      <c r="F214" s="130"/>
      <c r="G214" s="54"/>
      <c r="H214" s="61" t="s">
        <v>9</v>
      </c>
    </row>
    <row r="215" spans="1:8" x14ac:dyDescent="0.35">
      <c r="A215" s="196">
        <v>46111</v>
      </c>
      <c r="B215" s="125" t="s">
        <v>17</v>
      </c>
      <c r="C215" s="232">
        <v>20000000</v>
      </c>
      <c r="D215" s="209"/>
      <c r="E215" s="253">
        <f t="shared" si="3"/>
        <v>18000000</v>
      </c>
      <c r="F215" s="129"/>
      <c r="G215" s="126" t="s">
        <v>228</v>
      </c>
      <c r="H215" s="61" t="s">
        <v>435</v>
      </c>
    </row>
    <row r="216" spans="1:8" x14ac:dyDescent="0.35">
      <c r="A216" s="196">
        <v>46111</v>
      </c>
      <c r="B216" s="125" t="s">
        <v>17</v>
      </c>
      <c r="C216" s="232">
        <v>13000000</v>
      </c>
      <c r="D216" s="209"/>
      <c r="E216" s="253">
        <f t="shared" si="3"/>
        <v>31000000</v>
      </c>
      <c r="F216" s="129"/>
      <c r="G216" s="126" t="s">
        <v>228</v>
      </c>
      <c r="H216" s="61" t="s">
        <v>435</v>
      </c>
    </row>
    <row r="217" spans="1:8" x14ac:dyDescent="0.35">
      <c r="A217" s="196">
        <v>46111</v>
      </c>
      <c r="B217" s="125" t="s">
        <v>17</v>
      </c>
      <c r="C217" s="232">
        <v>15000000</v>
      </c>
      <c r="D217" s="209"/>
      <c r="E217" s="253">
        <f t="shared" si="3"/>
        <v>46000000</v>
      </c>
      <c r="F217" s="129"/>
      <c r="G217" s="126" t="s">
        <v>228</v>
      </c>
      <c r="H217" s="61" t="s">
        <v>435</v>
      </c>
    </row>
    <row r="218" spans="1:8" x14ac:dyDescent="0.35">
      <c r="A218" s="196">
        <v>46111</v>
      </c>
      <c r="B218" s="125" t="s">
        <v>17</v>
      </c>
      <c r="C218" s="232">
        <v>15000000</v>
      </c>
      <c r="D218" s="209"/>
      <c r="E218" s="253">
        <f t="shared" si="3"/>
        <v>61000000</v>
      </c>
      <c r="F218" s="129"/>
      <c r="G218" s="126" t="s">
        <v>228</v>
      </c>
      <c r="H218" s="61" t="s">
        <v>435</v>
      </c>
    </row>
    <row r="219" spans="1:8" x14ac:dyDescent="0.35">
      <c r="A219" s="196">
        <v>46111</v>
      </c>
      <c r="B219" s="125" t="s">
        <v>17</v>
      </c>
      <c r="C219" s="232">
        <v>15900000</v>
      </c>
      <c r="D219" s="209"/>
      <c r="E219" s="253">
        <f t="shared" si="3"/>
        <v>76900000</v>
      </c>
      <c r="F219" s="129"/>
      <c r="G219" s="126" t="s">
        <v>228</v>
      </c>
      <c r="H219" s="61" t="s">
        <v>435</v>
      </c>
    </row>
    <row r="220" spans="1:8" x14ac:dyDescent="0.35">
      <c r="A220" s="195">
        <v>46111</v>
      </c>
      <c r="B220" s="61" t="s">
        <v>27</v>
      </c>
      <c r="C220" s="231"/>
      <c r="D220" s="208">
        <v>76900000</v>
      </c>
      <c r="E220" s="252">
        <f t="shared" si="3"/>
        <v>0</v>
      </c>
      <c r="F220" s="58"/>
      <c r="G220" s="54"/>
      <c r="H220" s="61" t="s">
        <v>27</v>
      </c>
    </row>
    <row r="221" spans="1:8" x14ac:dyDescent="0.35">
      <c r="A221" s="196">
        <v>46112</v>
      </c>
      <c r="B221" s="125" t="s">
        <v>17</v>
      </c>
      <c r="C221" s="232">
        <v>15000000</v>
      </c>
      <c r="D221" s="209"/>
      <c r="E221" s="253">
        <f t="shared" si="3"/>
        <v>15000000</v>
      </c>
      <c r="F221" s="129"/>
      <c r="G221" s="126" t="s">
        <v>228</v>
      </c>
      <c r="H221" s="61" t="s">
        <v>435</v>
      </c>
    </row>
    <row r="222" spans="1:8" x14ac:dyDescent="0.35">
      <c r="A222" s="195">
        <v>46112</v>
      </c>
      <c r="B222" s="61" t="s">
        <v>27</v>
      </c>
      <c r="C222" s="231"/>
      <c r="D222" s="208">
        <v>15000000</v>
      </c>
      <c r="E222" s="252">
        <f t="shared" si="3"/>
        <v>0</v>
      </c>
      <c r="F222" s="58"/>
      <c r="G222" s="54"/>
      <c r="H222" s="61" t="s">
        <v>27</v>
      </c>
    </row>
    <row r="223" spans="1:8" x14ac:dyDescent="0.35">
      <c r="A223" s="195">
        <v>46112</v>
      </c>
      <c r="B223" s="61" t="s">
        <v>55</v>
      </c>
      <c r="C223" s="231"/>
      <c r="D223" s="208">
        <v>833</v>
      </c>
      <c r="E223" s="252">
        <f t="shared" si="3"/>
        <v>-833</v>
      </c>
      <c r="F223" s="58"/>
      <c r="G223" s="54"/>
      <c r="H223" s="61" t="s">
        <v>9</v>
      </c>
    </row>
    <row r="224" spans="1:8" x14ac:dyDescent="0.35">
      <c r="A224" s="195">
        <v>46112</v>
      </c>
      <c r="B224" s="61" t="s">
        <v>51</v>
      </c>
      <c r="C224" s="231"/>
      <c r="D224" s="208">
        <v>83</v>
      </c>
      <c r="E224" s="252">
        <f t="shared" si="3"/>
        <v>-916</v>
      </c>
      <c r="F224" s="58"/>
      <c r="G224" s="54"/>
      <c r="H224" s="61" t="s">
        <v>9</v>
      </c>
    </row>
    <row r="225" spans="1:8" x14ac:dyDescent="0.35">
      <c r="A225" s="197">
        <v>46113</v>
      </c>
      <c r="B225" s="56" t="s">
        <v>45</v>
      </c>
      <c r="C225" s="234">
        <v>147710262</v>
      </c>
      <c r="D225" s="210"/>
      <c r="E225" s="254">
        <f t="shared" si="3"/>
        <v>147709346</v>
      </c>
      <c r="F225" s="130"/>
      <c r="G225" s="131"/>
      <c r="H225" s="61" t="s">
        <v>432</v>
      </c>
    </row>
    <row r="226" spans="1:8" x14ac:dyDescent="0.35">
      <c r="A226" s="195">
        <v>46113</v>
      </c>
      <c r="B226" s="61" t="s">
        <v>492</v>
      </c>
      <c r="C226" s="231">
        <v>20000000</v>
      </c>
      <c r="D226" s="208"/>
      <c r="E226" s="252">
        <f t="shared" si="3"/>
        <v>167709346</v>
      </c>
      <c r="F226" s="58"/>
      <c r="G226" s="54" t="s">
        <v>493</v>
      </c>
      <c r="H226" s="61" t="s">
        <v>431</v>
      </c>
    </row>
    <row r="227" spans="1:8" x14ac:dyDescent="0.35">
      <c r="A227" s="195">
        <v>46113</v>
      </c>
      <c r="B227" s="61" t="s">
        <v>492</v>
      </c>
      <c r="C227" s="231">
        <v>12000000</v>
      </c>
      <c r="D227" s="208"/>
      <c r="E227" s="252">
        <f t="shared" si="3"/>
        <v>179709346</v>
      </c>
      <c r="F227" s="58"/>
      <c r="G227" s="54" t="s">
        <v>493</v>
      </c>
      <c r="H227" s="61" t="s">
        <v>431</v>
      </c>
    </row>
    <row r="228" spans="1:8" x14ac:dyDescent="0.35">
      <c r="A228" s="195">
        <v>46113</v>
      </c>
      <c r="B228" s="61" t="s">
        <v>27</v>
      </c>
      <c r="C228" s="231"/>
      <c r="D228" s="208">
        <v>179709346</v>
      </c>
      <c r="E228" s="252">
        <f t="shared" si="3"/>
        <v>0</v>
      </c>
      <c r="F228" s="58"/>
      <c r="G228" s="54"/>
      <c r="H228" s="61" t="s">
        <v>27</v>
      </c>
    </row>
    <row r="229" spans="1:8" x14ac:dyDescent="0.35">
      <c r="A229" s="196">
        <v>46114</v>
      </c>
      <c r="B229" s="125" t="s">
        <v>17</v>
      </c>
      <c r="C229" s="232">
        <v>3040000</v>
      </c>
      <c r="D229" s="209"/>
      <c r="E229" s="253">
        <f t="shared" si="3"/>
        <v>3040000</v>
      </c>
      <c r="F229" s="129"/>
      <c r="G229" s="126" t="s">
        <v>228</v>
      </c>
      <c r="H229" s="61" t="s">
        <v>435</v>
      </c>
    </row>
    <row r="230" spans="1:8" x14ac:dyDescent="0.35">
      <c r="A230" s="196">
        <v>46114</v>
      </c>
      <c r="B230" s="125" t="s">
        <v>17</v>
      </c>
      <c r="C230" s="232">
        <v>7500000</v>
      </c>
      <c r="D230" s="209"/>
      <c r="E230" s="253">
        <f t="shared" si="3"/>
        <v>10540000</v>
      </c>
      <c r="F230" s="129"/>
      <c r="G230" s="126" t="s">
        <v>228</v>
      </c>
      <c r="H230" s="61" t="s">
        <v>435</v>
      </c>
    </row>
    <row r="231" spans="1:8" x14ac:dyDescent="0.35">
      <c r="A231" s="197">
        <v>46114</v>
      </c>
      <c r="B231" s="56" t="s">
        <v>45</v>
      </c>
      <c r="C231" s="234">
        <v>74718778</v>
      </c>
      <c r="D231" s="210"/>
      <c r="E231" s="254">
        <f t="shared" si="3"/>
        <v>85258778</v>
      </c>
      <c r="F231" s="130"/>
      <c r="G231" s="131"/>
      <c r="H231" s="61" t="s">
        <v>432</v>
      </c>
    </row>
    <row r="232" spans="1:8" x14ac:dyDescent="0.35">
      <c r="A232" s="196">
        <v>46114</v>
      </c>
      <c r="B232" s="125" t="s">
        <v>17</v>
      </c>
      <c r="C232" s="232">
        <v>12000000</v>
      </c>
      <c r="D232" s="209"/>
      <c r="E232" s="253">
        <f t="shared" si="3"/>
        <v>97258778</v>
      </c>
      <c r="F232" s="129"/>
      <c r="G232" s="126" t="s">
        <v>228</v>
      </c>
      <c r="H232" s="61" t="s">
        <v>435</v>
      </c>
    </row>
    <row r="233" spans="1:8" x14ac:dyDescent="0.35">
      <c r="A233" s="196">
        <v>46114</v>
      </c>
      <c r="B233" s="125" t="s">
        <v>17</v>
      </c>
      <c r="C233" s="232">
        <v>4640000</v>
      </c>
      <c r="D233" s="209"/>
      <c r="E233" s="253">
        <f t="shared" si="3"/>
        <v>101898778</v>
      </c>
      <c r="F233" s="129"/>
      <c r="G233" s="126" t="s">
        <v>228</v>
      </c>
      <c r="H233" s="61" t="s">
        <v>435</v>
      </c>
    </row>
    <row r="234" spans="1:8" x14ac:dyDescent="0.35">
      <c r="A234" s="196">
        <v>46114</v>
      </c>
      <c r="B234" s="125" t="s">
        <v>17</v>
      </c>
      <c r="C234" s="232">
        <v>16602000</v>
      </c>
      <c r="D234" s="209"/>
      <c r="E234" s="253">
        <f t="shared" si="3"/>
        <v>118500778</v>
      </c>
      <c r="F234" s="129"/>
      <c r="G234" s="126" t="s">
        <v>228</v>
      </c>
      <c r="H234" s="61" t="s">
        <v>435</v>
      </c>
    </row>
    <row r="235" spans="1:8" x14ac:dyDescent="0.35">
      <c r="A235" s="196">
        <v>46114</v>
      </c>
      <c r="B235" s="125" t="s">
        <v>17</v>
      </c>
      <c r="C235" s="232">
        <v>13398000</v>
      </c>
      <c r="D235" s="209"/>
      <c r="E235" s="253">
        <f t="shared" si="3"/>
        <v>131898778</v>
      </c>
      <c r="F235" s="129"/>
      <c r="G235" s="126" t="s">
        <v>228</v>
      </c>
      <c r="H235" s="61" t="s">
        <v>435</v>
      </c>
    </row>
    <row r="236" spans="1:8" x14ac:dyDescent="0.35">
      <c r="A236" s="195">
        <v>46114</v>
      </c>
      <c r="B236" s="61" t="s">
        <v>27</v>
      </c>
      <c r="C236" s="231"/>
      <c r="D236" s="208">
        <v>1561156</v>
      </c>
      <c r="E236" s="252">
        <f t="shared" si="3"/>
        <v>130337622</v>
      </c>
      <c r="F236" s="58"/>
      <c r="G236" s="54"/>
      <c r="H236" s="61" t="s">
        <v>27</v>
      </c>
    </row>
    <row r="237" spans="1:8" x14ac:dyDescent="0.35">
      <c r="A237" s="195">
        <v>46114</v>
      </c>
      <c r="B237" s="61" t="s">
        <v>9</v>
      </c>
      <c r="C237" s="231"/>
      <c r="D237" s="208">
        <v>5000</v>
      </c>
      <c r="E237" s="252">
        <f t="shared" si="3"/>
        <v>130332622</v>
      </c>
      <c r="F237" s="58"/>
      <c r="G237" s="54"/>
      <c r="H237" s="61" t="s">
        <v>9</v>
      </c>
    </row>
    <row r="238" spans="1:8" x14ac:dyDescent="0.35">
      <c r="A238" s="195">
        <v>46114</v>
      </c>
      <c r="B238" s="61" t="s">
        <v>51</v>
      </c>
      <c r="C238" s="231"/>
      <c r="D238" s="208">
        <v>500</v>
      </c>
      <c r="E238" s="252">
        <f t="shared" si="3"/>
        <v>130332122</v>
      </c>
      <c r="F238" s="58"/>
      <c r="G238" s="54"/>
      <c r="H238" s="61" t="s">
        <v>9</v>
      </c>
    </row>
    <row r="239" spans="1:8" x14ac:dyDescent="0.35">
      <c r="A239" s="195">
        <v>46114</v>
      </c>
      <c r="B239" s="61" t="s">
        <v>9</v>
      </c>
      <c r="C239" s="231"/>
      <c r="D239" s="208">
        <v>5000</v>
      </c>
      <c r="E239" s="252">
        <f t="shared" si="3"/>
        <v>130327122</v>
      </c>
      <c r="F239" s="58"/>
      <c r="G239" s="54"/>
      <c r="H239" s="61" t="s">
        <v>9</v>
      </c>
    </row>
    <row r="240" spans="1:8" x14ac:dyDescent="0.35">
      <c r="A240" s="195">
        <v>46114</v>
      </c>
      <c r="B240" s="61" t="s">
        <v>9</v>
      </c>
      <c r="C240" s="231"/>
      <c r="D240" s="208">
        <v>500</v>
      </c>
      <c r="E240" s="252">
        <f t="shared" si="3"/>
        <v>130326622</v>
      </c>
      <c r="F240" s="58"/>
      <c r="G240" s="54"/>
      <c r="H240" s="61" t="s">
        <v>9</v>
      </c>
    </row>
    <row r="241" spans="1:8" x14ac:dyDescent="0.35">
      <c r="A241" s="195">
        <v>46119</v>
      </c>
      <c r="B241" s="61" t="s">
        <v>27</v>
      </c>
      <c r="C241" s="231"/>
      <c r="D241" s="208">
        <v>110326622</v>
      </c>
      <c r="E241" s="252">
        <f t="shared" si="3"/>
        <v>20000000</v>
      </c>
      <c r="F241" s="58"/>
      <c r="G241" s="54"/>
      <c r="H241" s="61" t="s">
        <v>27</v>
      </c>
    </row>
    <row r="242" spans="1:8" x14ac:dyDescent="0.35">
      <c r="A242" s="195">
        <v>46119</v>
      </c>
      <c r="B242" s="61" t="s">
        <v>47</v>
      </c>
      <c r="C242" s="231"/>
      <c r="D242" s="208">
        <v>20000000</v>
      </c>
      <c r="E242" s="252">
        <f t="shared" si="3"/>
        <v>0</v>
      </c>
      <c r="F242" s="58"/>
      <c r="G242" s="54"/>
      <c r="H242" s="61" t="s">
        <v>47</v>
      </c>
    </row>
    <row r="243" spans="1:8" x14ac:dyDescent="0.35">
      <c r="A243" s="197">
        <v>46119</v>
      </c>
      <c r="B243" s="56" t="s">
        <v>45</v>
      </c>
      <c r="C243" s="234">
        <v>148901254</v>
      </c>
      <c r="D243" s="210"/>
      <c r="E243" s="254">
        <f t="shared" si="3"/>
        <v>148901254</v>
      </c>
      <c r="F243" s="130"/>
      <c r="G243" s="131"/>
      <c r="H243" s="61" t="s">
        <v>432</v>
      </c>
    </row>
    <row r="244" spans="1:8" x14ac:dyDescent="0.35">
      <c r="A244" s="195">
        <v>46119</v>
      </c>
      <c r="B244" s="61" t="s">
        <v>27</v>
      </c>
      <c r="C244" s="231"/>
      <c r="D244" s="208">
        <v>148901254</v>
      </c>
      <c r="E244" s="252">
        <f t="shared" si="3"/>
        <v>0</v>
      </c>
      <c r="F244" s="58"/>
      <c r="G244" s="54"/>
      <c r="H244" s="61" t="s">
        <v>27</v>
      </c>
    </row>
    <row r="245" spans="1:8" x14ac:dyDescent="0.35">
      <c r="A245" s="195">
        <v>46119</v>
      </c>
      <c r="B245" s="61" t="s">
        <v>231</v>
      </c>
      <c r="C245" s="231"/>
      <c r="D245" s="208">
        <v>2000000</v>
      </c>
      <c r="E245" s="252">
        <f t="shared" si="3"/>
        <v>-2000000</v>
      </c>
      <c r="F245" s="58"/>
      <c r="G245" s="54"/>
      <c r="H245" s="61" t="s">
        <v>47</v>
      </c>
    </row>
    <row r="246" spans="1:8" x14ac:dyDescent="0.35">
      <c r="A246" s="197">
        <v>46120</v>
      </c>
      <c r="B246" s="56" t="s">
        <v>8</v>
      </c>
      <c r="C246" s="234">
        <v>270802500</v>
      </c>
      <c r="D246" s="210"/>
      <c r="E246" s="254">
        <f t="shared" si="3"/>
        <v>268802500</v>
      </c>
      <c r="F246" s="130"/>
      <c r="G246" s="131"/>
      <c r="H246" s="61" t="s">
        <v>430</v>
      </c>
    </row>
    <row r="247" spans="1:8" x14ac:dyDescent="0.35">
      <c r="A247" s="195">
        <v>46120</v>
      </c>
      <c r="B247" s="61" t="s">
        <v>44</v>
      </c>
      <c r="C247" s="231">
        <v>3738854</v>
      </c>
      <c r="D247" s="208"/>
      <c r="E247" s="252">
        <f t="shared" si="3"/>
        <v>272541354</v>
      </c>
      <c r="F247" s="58"/>
      <c r="G247" s="54" t="s">
        <v>232</v>
      </c>
      <c r="H247" s="61" t="s">
        <v>431</v>
      </c>
    </row>
    <row r="248" spans="1:8" x14ac:dyDescent="0.35">
      <c r="A248" s="195">
        <v>46121</v>
      </c>
      <c r="B248" s="61" t="s">
        <v>54</v>
      </c>
      <c r="C248" s="231"/>
      <c r="D248" s="208">
        <v>8742938</v>
      </c>
      <c r="E248" s="252">
        <f t="shared" si="3"/>
        <v>263798416</v>
      </c>
      <c r="F248" s="58">
        <v>2000336</v>
      </c>
      <c r="G248" s="54" t="s">
        <v>226</v>
      </c>
      <c r="H248" s="61" t="s">
        <v>442</v>
      </c>
    </row>
    <row r="249" spans="1:8" x14ac:dyDescent="0.35">
      <c r="A249" s="195">
        <v>46121</v>
      </c>
      <c r="B249" s="61" t="s">
        <v>27</v>
      </c>
      <c r="C249" s="231"/>
      <c r="D249" s="208">
        <v>240772124</v>
      </c>
      <c r="E249" s="252">
        <f t="shared" si="3"/>
        <v>23026292</v>
      </c>
      <c r="F249" s="58"/>
      <c r="G249" s="54"/>
      <c r="H249" s="61" t="s">
        <v>27</v>
      </c>
    </row>
    <row r="250" spans="1:8" x14ac:dyDescent="0.35">
      <c r="A250" s="197">
        <v>46121</v>
      </c>
      <c r="B250" s="56" t="s">
        <v>45</v>
      </c>
      <c r="C250" s="234">
        <v>73663237</v>
      </c>
      <c r="D250" s="210"/>
      <c r="E250" s="254">
        <f t="shared" si="3"/>
        <v>96689529</v>
      </c>
      <c r="F250" s="130"/>
      <c r="G250" s="131"/>
      <c r="H250" s="61" t="s">
        <v>432</v>
      </c>
    </row>
    <row r="251" spans="1:8" x14ac:dyDescent="0.35">
      <c r="A251" s="195">
        <v>46121</v>
      </c>
      <c r="B251" s="61" t="s">
        <v>233</v>
      </c>
      <c r="C251" s="231">
        <v>8150000</v>
      </c>
      <c r="D251" s="208"/>
      <c r="E251" s="252">
        <f t="shared" si="3"/>
        <v>104839529</v>
      </c>
      <c r="F251" s="58"/>
      <c r="G251" s="54" t="s">
        <v>234</v>
      </c>
      <c r="H251" s="61" t="s">
        <v>431</v>
      </c>
    </row>
    <row r="252" spans="1:8" x14ac:dyDescent="0.35">
      <c r="A252" s="195">
        <v>46121</v>
      </c>
      <c r="B252" s="61" t="s">
        <v>54</v>
      </c>
      <c r="C252" s="231"/>
      <c r="D252" s="208">
        <v>417119</v>
      </c>
      <c r="E252" s="252">
        <f t="shared" si="3"/>
        <v>104422410</v>
      </c>
      <c r="F252" s="58">
        <v>2000337</v>
      </c>
      <c r="G252" s="54" t="s">
        <v>237</v>
      </c>
      <c r="H252" s="61" t="s">
        <v>442</v>
      </c>
    </row>
    <row r="253" spans="1:8" x14ac:dyDescent="0.35">
      <c r="A253" s="195">
        <v>46121</v>
      </c>
      <c r="B253" s="61" t="s">
        <v>54</v>
      </c>
      <c r="C253" s="231"/>
      <c r="D253" s="208">
        <v>8214352</v>
      </c>
      <c r="E253" s="252">
        <f t="shared" si="3"/>
        <v>96208058</v>
      </c>
      <c r="F253" s="58">
        <v>2000338</v>
      </c>
      <c r="G253" s="54" t="s">
        <v>238</v>
      </c>
      <c r="H253" s="61" t="s">
        <v>442</v>
      </c>
    </row>
    <row r="254" spans="1:8" x14ac:dyDescent="0.35">
      <c r="A254" s="196">
        <v>46122</v>
      </c>
      <c r="B254" s="125" t="s">
        <v>73</v>
      </c>
      <c r="C254" s="232"/>
      <c r="D254" s="209">
        <v>20000000</v>
      </c>
      <c r="E254" s="253">
        <f t="shared" si="3"/>
        <v>76208058</v>
      </c>
      <c r="F254" s="129">
        <v>2000339</v>
      </c>
      <c r="G254" s="126" t="s">
        <v>56</v>
      </c>
      <c r="H254" s="61" t="s">
        <v>438</v>
      </c>
    </row>
    <row r="255" spans="1:8" x14ac:dyDescent="0.35">
      <c r="A255" s="195">
        <v>46122</v>
      </c>
      <c r="B255" s="61" t="s">
        <v>54</v>
      </c>
      <c r="C255" s="231"/>
      <c r="D255" s="208">
        <v>8513915</v>
      </c>
      <c r="E255" s="252">
        <f t="shared" si="3"/>
        <v>67694143</v>
      </c>
      <c r="F255" s="58">
        <v>2000340</v>
      </c>
      <c r="G255" s="54" t="s">
        <v>239</v>
      </c>
      <c r="H255" s="61" t="s">
        <v>442</v>
      </c>
    </row>
    <row r="256" spans="1:8" x14ac:dyDescent="0.35">
      <c r="A256" s="195">
        <v>46122</v>
      </c>
      <c r="B256" s="61" t="s">
        <v>491</v>
      </c>
      <c r="C256" s="231">
        <v>20000000</v>
      </c>
      <c r="D256" s="208"/>
      <c r="E256" s="252">
        <f t="shared" si="3"/>
        <v>87694143</v>
      </c>
      <c r="F256" s="58"/>
      <c r="G256" s="54" t="s">
        <v>494</v>
      </c>
      <c r="H256" s="61" t="s">
        <v>431</v>
      </c>
    </row>
    <row r="257" spans="1:8" x14ac:dyDescent="0.35">
      <c r="A257" s="195">
        <v>46122</v>
      </c>
      <c r="B257" s="61" t="s">
        <v>54</v>
      </c>
      <c r="C257" s="231"/>
      <c r="D257" s="208">
        <v>1647816</v>
      </c>
      <c r="E257" s="252">
        <f t="shared" si="3"/>
        <v>86046327</v>
      </c>
      <c r="F257" s="58">
        <v>2000341</v>
      </c>
      <c r="G257" s="54" t="s">
        <v>242</v>
      </c>
      <c r="H257" s="61" t="s">
        <v>442</v>
      </c>
    </row>
    <row r="258" spans="1:8" x14ac:dyDescent="0.35">
      <c r="A258" s="195">
        <v>46122</v>
      </c>
      <c r="B258" s="61" t="s">
        <v>233</v>
      </c>
      <c r="C258" s="231">
        <v>7850000</v>
      </c>
      <c r="D258" s="208"/>
      <c r="E258" s="252">
        <f t="shared" si="3"/>
        <v>93896327</v>
      </c>
      <c r="F258" s="58"/>
      <c r="G258" s="54" t="s">
        <v>243</v>
      </c>
      <c r="H258" s="61" t="s">
        <v>431</v>
      </c>
    </row>
    <row r="259" spans="1:8" x14ac:dyDescent="0.35">
      <c r="A259" s="195">
        <v>46122</v>
      </c>
      <c r="B259" s="61" t="s">
        <v>491</v>
      </c>
      <c r="C259" s="231">
        <v>17500000</v>
      </c>
      <c r="D259" s="208"/>
      <c r="E259" s="252">
        <f t="shared" si="3"/>
        <v>111396327</v>
      </c>
      <c r="F259" s="58"/>
      <c r="G259" s="54" t="s">
        <v>494</v>
      </c>
      <c r="H259" s="61" t="s">
        <v>431</v>
      </c>
    </row>
    <row r="260" spans="1:8" ht="14" customHeight="1" x14ac:dyDescent="0.35">
      <c r="A260" s="196">
        <v>46122</v>
      </c>
      <c r="B260" s="125" t="s">
        <v>73</v>
      </c>
      <c r="C260" s="232"/>
      <c r="D260" s="209">
        <v>10000000</v>
      </c>
      <c r="E260" s="253">
        <f t="shared" si="3"/>
        <v>101396327</v>
      </c>
      <c r="F260" s="129">
        <v>2000342</v>
      </c>
      <c r="G260" s="126" t="s">
        <v>56</v>
      </c>
      <c r="H260" s="61" t="s">
        <v>438</v>
      </c>
    </row>
    <row r="261" spans="1:8" ht="11.5" customHeight="1" x14ac:dyDescent="0.35">
      <c r="A261" s="195">
        <v>46122</v>
      </c>
      <c r="B261" s="61" t="s">
        <v>491</v>
      </c>
      <c r="C261" s="231">
        <v>20000000</v>
      </c>
      <c r="D261" s="208"/>
      <c r="E261" s="252">
        <f t="shared" ref="E261:E324" si="4">E260+C261-D261</f>
        <v>121396327</v>
      </c>
      <c r="F261" s="58"/>
      <c r="G261" s="54" t="s">
        <v>494</v>
      </c>
      <c r="H261" s="61" t="s">
        <v>431</v>
      </c>
    </row>
    <row r="262" spans="1:8" x14ac:dyDescent="0.35">
      <c r="A262" s="196">
        <v>46122</v>
      </c>
      <c r="B262" s="125" t="s">
        <v>78</v>
      </c>
      <c r="C262" s="232"/>
      <c r="D262" s="209">
        <v>6000000</v>
      </c>
      <c r="E262" s="253">
        <f t="shared" si="4"/>
        <v>115396327</v>
      </c>
      <c r="F262" s="129">
        <v>2000343</v>
      </c>
      <c r="G262" s="125" t="s">
        <v>364</v>
      </c>
      <c r="H262" s="61" t="s">
        <v>439</v>
      </c>
    </row>
    <row r="263" spans="1:8" x14ac:dyDescent="0.35">
      <c r="A263" s="195">
        <v>46122</v>
      </c>
      <c r="B263" s="61" t="s">
        <v>23</v>
      </c>
      <c r="C263" s="231"/>
      <c r="D263" s="208">
        <v>10000</v>
      </c>
      <c r="E263" s="252">
        <f t="shared" si="4"/>
        <v>115386327</v>
      </c>
      <c r="F263" s="61"/>
      <c r="G263" s="61"/>
      <c r="H263" s="61" t="s">
        <v>9</v>
      </c>
    </row>
    <row r="264" spans="1:8" x14ac:dyDescent="0.35">
      <c r="A264" s="199">
        <v>46122</v>
      </c>
      <c r="B264" s="98" t="s">
        <v>491</v>
      </c>
      <c r="C264" s="236">
        <v>20000000</v>
      </c>
      <c r="D264" s="212"/>
      <c r="E264" s="256">
        <f t="shared" si="4"/>
        <v>135386327</v>
      </c>
      <c r="F264" s="98"/>
      <c r="G264" s="54" t="s">
        <v>494</v>
      </c>
      <c r="H264" s="61" t="s">
        <v>431</v>
      </c>
    </row>
    <row r="265" spans="1:8" x14ac:dyDescent="0.35">
      <c r="A265" s="195">
        <v>46122</v>
      </c>
      <c r="B265" s="61" t="s">
        <v>233</v>
      </c>
      <c r="C265" s="231">
        <v>20000000</v>
      </c>
      <c r="D265" s="208"/>
      <c r="E265" s="252">
        <f t="shared" si="4"/>
        <v>155386327</v>
      </c>
      <c r="F265" s="61"/>
      <c r="G265" s="61" t="s">
        <v>485</v>
      </c>
      <c r="H265" s="61" t="s">
        <v>431</v>
      </c>
    </row>
    <row r="266" spans="1:8" x14ac:dyDescent="0.35">
      <c r="A266" s="195">
        <v>46122</v>
      </c>
      <c r="B266" s="61" t="s">
        <v>233</v>
      </c>
      <c r="C266" s="231">
        <v>12000000</v>
      </c>
      <c r="D266" s="208"/>
      <c r="E266" s="252">
        <f t="shared" si="4"/>
        <v>167386327</v>
      </c>
      <c r="F266" s="61"/>
      <c r="G266" s="61" t="s">
        <v>485</v>
      </c>
      <c r="H266" s="61" t="s">
        <v>431</v>
      </c>
    </row>
    <row r="267" spans="1:8" x14ac:dyDescent="0.35">
      <c r="A267" s="195">
        <v>46125</v>
      </c>
      <c r="B267" s="61" t="s">
        <v>54</v>
      </c>
      <c r="C267" s="231"/>
      <c r="D267" s="208">
        <v>8605306</v>
      </c>
      <c r="E267" s="252">
        <f t="shared" si="4"/>
        <v>158781021</v>
      </c>
      <c r="F267" s="58">
        <v>2000347</v>
      </c>
      <c r="G267" s="61" t="s">
        <v>278</v>
      </c>
      <c r="H267" s="61" t="s">
        <v>442</v>
      </c>
    </row>
    <row r="268" spans="1:8" x14ac:dyDescent="0.35">
      <c r="A268" s="195">
        <v>46125</v>
      </c>
      <c r="B268" s="61" t="s">
        <v>54</v>
      </c>
      <c r="C268" s="231"/>
      <c r="D268" s="208">
        <v>8467884</v>
      </c>
      <c r="E268" s="252">
        <f t="shared" si="4"/>
        <v>150313137</v>
      </c>
      <c r="F268" s="58">
        <v>2000348</v>
      </c>
      <c r="G268" s="61" t="s">
        <v>279</v>
      </c>
      <c r="H268" s="61" t="s">
        <v>442</v>
      </c>
    </row>
    <row r="269" spans="1:8" x14ac:dyDescent="0.35">
      <c r="A269" s="195">
        <v>46125</v>
      </c>
      <c r="B269" s="61" t="s">
        <v>233</v>
      </c>
      <c r="C269" s="231">
        <v>8000000</v>
      </c>
      <c r="D269" s="208"/>
      <c r="E269" s="252">
        <f t="shared" si="4"/>
        <v>158313137</v>
      </c>
      <c r="F269" s="58"/>
      <c r="G269" s="54" t="s">
        <v>486</v>
      </c>
      <c r="H269" s="61" t="s">
        <v>431</v>
      </c>
    </row>
    <row r="270" spans="1:8" x14ac:dyDescent="0.35">
      <c r="A270" s="195">
        <v>46125</v>
      </c>
      <c r="B270" s="61" t="s">
        <v>54</v>
      </c>
      <c r="C270" s="231"/>
      <c r="D270" s="208">
        <v>8662630</v>
      </c>
      <c r="E270" s="252">
        <f t="shared" si="4"/>
        <v>149650507</v>
      </c>
      <c r="F270" s="58">
        <v>2000349</v>
      </c>
      <c r="G270" s="61" t="s">
        <v>281</v>
      </c>
      <c r="H270" s="61" t="s">
        <v>442</v>
      </c>
    </row>
    <row r="271" spans="1:8" x14ac:dyDescent="0.35">
      <c r="A271" s="195">
        <v>46125</v>
      </c>
      <c r="B271" s="61" t="s">
        <v>245</v>
      </c>
      <c r="C271" s="231"/>
      <c r="D271" s="208">
        <v>5000</v>
      </c>
      <c r="E271" s="252">
        <f t="shared" si="4"/>
        <v>149645507</v>
      </c>
      <c r="F271" s="58"/>
      <c r="G271" s="54"/>
      <c r="H271" s="61" t="s">
        <v>9</v>
      </c>
    </row>
    <row r="272" spans="1:8" x14ac:dyDescent="0.35">
      <c r="A272" s="195">
        <v>46125</v>
      </c>
      <c r="B272" s="61" t="s">
        <v>246</v>
      </c>
      <c r="C272" s="231"/>
      <c r="D272" s="208">
        <v>2680000</v>
      </c>
      <c r="E272" s="252">
        <f t="shared" si="4"/>
        <v>146965507</v>
      </c>
      <c r="F272" s="58"/>
      <c r="G272" s="54" t="s">
        <v>282</v>
      </c>
      <c r="H272" s="61" t="s">
        <v>282</v>
      </c>
    </row>
    <row r="273" spans="1:8" x14ac:dyDescent="0.35">
      <c r="A273" s="195">
        <v>46125</v>
      </c>
      <c r="B273" s="61" t="s">
        <v>247</v>
      </c>
      <c r="C273" s="231"/>
      <c r="D273" s="208">
        <v>500</v>
      </c>
      <c r="E273" s="252">
        <f t="shared" si="4"/>
        <v>146965007</v>
      </c>
      <c r="F273" s="58"/>
      <c r="G273" s="54"/>
      <c r="H273" s="61" t="s">
        <v>9</v>
      </c>
    </row>
    <row r="274" spans="1:8" x14ac:dyDescent="0.35">
      <c r="A274" s="195">
        <v>46125</v>
      </c>
      <c r="B274" s="61" t="s">
        <v>28</v>
      </c>
      <c r="C274" s="231"/>
      <c r="D274" s="208">
        <v>8805300</v>
      </c>
      <c r="E274" s="252">
        <f t="shared" si="4"/>
        <v>138159707</v>
      </c>
      <c r="F274" s="58">
        <v>2000344</v>
      </c>
      <c r="G274" s="54" t="s">
        <v>148</v>
      </c>
      <c r="H274" s="61" t="s">
        <v>445</v>
      </c>
    </row>
    <row r="275" spans="1:8" x14ac:dyDescent="0.35">
      <c r="A275" s="197">
        <v>46125</v>
      </c>
      <c r="B275" s="56" t="s">
        <v>45</v>
      </c>
      <c r="C275" s="234">
        <v>147603626</v>
      </c>
      <c r="D275" s="210"/>
      <c r="E275" s="254">
        <f t="shared" si="4"/>
        <v>285763333</v>
      </c>
      <c r="F275" s="130" t="s">
        <v>248</v>
      </c>
      <c r="G275" s="131" t="s">
        <v>283</v>
      </c>
      <c r="H275" s="134" t="s">
        <v>432</v>
      </c>
    </row>
    <row r="276" spans="1:8" x14ac:dyDescent="0.35">
      <c r="A276" s="197">
        <v>46125</v>
      </c>
      <c r="B276" s="56" t="s">
        <v>16</v>
      </c>
      <c r="C276" s="234">
        <v>15589985</v>
      </c>
      <c r="D276" s="210"/>
      <c r="E276" s="254">
        <f t="shared" si="4"/>
        <v>301353318</v>
      </c>
      <c r="F276" s="130" t="s">
        <v>249</v>
      </c>
      <c r="G276" s="131" t="s">
        <v>284</v>
      </c>
      <c r="H276" s="61" t="s">
        <v>433</v>
      </c>
    </row>
    <row r="277" spans="1:8" x14ac:dyDescent="0.35">
      <c r="A277" s="195">
        <v>46125</v>
      </c>
      <c r="B277" s="61" t="s">
        <v>211</v>
      </c>
      <c r="C277" s="231">
        <v>84480000</v>
      </c>
      <c r="D277" s="208"/>
      <c r="E277" s="252">
        <f t="shared" si="4"/>
        <v>385833318</v>
      </c>
      <c r="F277" s="58"/>
      <c r="G277" s="54" t="s">
        <v>482</v>
      </c>
      <c r="H277" s="61" t="s">
        <v>431</v>
      </c>
    </row>
    <row r="278" spans="1:8" x14ac:dyDescent="0.35">
      <c r="A278" s="195">
        <v>46125</v>
      </c>
      <c r="B278" s="61" t="s">
        <v>25</v>
      </c>
      <c r="C278" s="231"/>
      <c r="D278" s="208">
        <v>20000000</v>
      </c>
      <c r="E278" s="252">
        <f t="shared" si="4"/>
        <v>365833318</v>
      </c>
      <c r="F278" s="58">
        <v>2000345</v>
      </c>
      <c r="G278" s="54" t="s">
        <v>202</v>
      </c>
      <c r="H278" s="61" t="s">
        <v>440</v>
      </c>
    </row>
    <row r="279" spans="1:8" x14ac:dyDescent="0.35">
      <c r="A279" s="195">
        <v>46126</v>
      </c>
      <c r="B279" s="61" t="s">
        <v>233</v>
      </c>
      <c r="C279" s="231">
        <v>16000000</v>
      </c>
      <c r="D279" s="208"/>
      <c r="E279" s="252">
        <f t="shared" si="4"/>
        <v>381833318</v>
      </c>
      <c r="F279" s="58"/>
      <c r="G279" s="54" t="s">
        <v>487</v>
      </c>
      <c r="H279" s="61" t="s">
        <v>431</v>
      </c>
    </row>
    <row r="280" spans="1:8" x14ac:dyDescent="0.35">
      <c r="A280" s="195">
        <v>46126</v>
      </c>
      <c r="B280" s="138" t="s">
        <v>233</v>
      </c>
      <c r="C280" s="231">
        <v>16000000</v>
      </c>
      <c r="D280" s="208"/>
      <c r="E280" s="252">
        <f t="shared" si="4"/>
        <v>397833318</v>
      </c>
      <c r="F280" s="58"/>
      <c r="G280" s="54" t="s">
        <v>487</v>
      </c>
      <c r="H280" s="61" t="s">
        <v>431</v>
      </c>
    </row>
    <row r="281" spans="1:8" x14ac:dyDescent="0.35">
      <c r="A281" s="195">
        <v>46126</v>
      </c>
      <c r="B281" s="61" t="s">
        <v>288</v>
      </c>
      <c r="C281" s="231"/>
      <c r="D281" s="208">
        <v>31975080</v>
      </c>
      <c r="E281" s="252">
        <f t="shared" si="4"/>
        <v>365858238</v>
      </c>
      <c r="F281" s="58">
        <v>2000346</v>
      </c>
      <c r="G281" s="54" t="s">
        <v>287</v>
      </c>
      <c r="H281" s="61" t="s">
        <v>436</v>
      </c>
    </row>
    <row r="282" spans="1:8" x14ac:dyDescent="0.35">
      <c r="A282" s="195">
        <v>46126</v>
      </c>
      <c r="B282" s="61" t="s">
        <v>211</v>
      </c>
      <c r="C282" s="231">
        <v>76800000</v>
      </c>
      <c r="D282" s="208"/>
      <c r="E282" s="252">
        <f t="shared" si="4"/>
        <v>442658238</v>
      </c>
      <c r="F282" s="58"/>
      <c r="G282" s="54" t="s">
        <v>483</v>
      </c>
      <c r="H282" s="61" t="s">
        <v>431</v>
      </c>
    </row>
    <row r="283" spans="1:8" x14ac:dyDescent="0.35">
      <c r="A283" s="195">
        <v>46127</v>
      </c>
      <c r="B283" s="61" t="s">
        <v>38</v>
      </c>
      <c r="C283" s="231">
        <v>300000000</v>
      </c>
      <c r="D283" s="208"/>
      <c r="E283" s="252">
        <f t="shared" si="4"/>
        <v>742658238</v>
      </c>
      <c r="F283" s="58"/>
      <c r="G283" s="54"/>
      <c r="H283" s="61" t="s">
        <v>176</v>
      </c>
    </row>
    <row r="284" spans="1:8" x14ac:dyDescent="0.35">
      <c r="A284" s="195">
        <v>46127</v>
      </c>
      <c r="B284" s="61" t="s">
        <v>291</v>
      </c>
      <c r="C284" s="231"/>
      <c r="D284" s="208">
        <v>300000</v>
      </c>
      <c r="E284" s="252">
        <f t="shared" si="4"/>
        <v>742358238</v>
      </c>
      <c r="F284" s="58"/>
      <c r="G284" s="54" t="s">
        <v>250</v>
      </c>
      <c r="H284" s="61" t="s">
        <v>37</v>
      </c>
    </row>
    <row r="285" spans="1:8" x14ac:dyDescent="0.35">
      <c r="A285" s="195">
        <v>46127</v>
      </c>
      <c r="B285" s="61" t="s">
        <v>291</v>
      </c>
      <c r="C285" s="231"/>
      <c r="D285" s="208">
        <v>1650000</v>
      </c>
      <c r="E285" s="252">
        <f t="shared" si="4"/>
        <v>740708238</v>
      </c>
      <c r="F285" s="58"/>
      <c r="G285" s="54" t="s">
        <v>250</v>
      </c>
      <c r="H285" s="61" t="s">
        <v>37</v>
      </c>
    </row>
    <row r="286" spans="1:8" x14ac:dyDescent="0.35">
      <c r="A286" s="195">
        <v>46127</v>
      </c>
      <c r="B286" s="61" t="s">
        <v>292</v>
      </c>
      <c r="C286" s="231"/>
      <c r="D286" s="208">
        <v>-31975080</v>
      </c>
      <c r="E286" s="252">
        <f t="shared" si="4"/>
        <v>772683318</v>
      </c>
      <c r="F286" s="58">
        <v>2000346</v>
      </c>
      <c r="G286" s="54" t="s">
        <v>251</v>
      </c>
      <c r="H286" s="61" t="s">
        <v>436</v>
      </c>
    </row>
    <row r="287" spans="1:8" x14ac:dyDescent="0.35">
      <c r="A287" s="195">
        <v>46127</v>
      </c>
      <c r="B287" s="61" t="s">
        <v>488</v>
      </c>
      <c r="C287" s="231">
        <v>7680000</v>
      </c>
      <c r="D287" s="208"/>
      <c r="E287" s="252">
        <f t="shared" si="4"/>
        <v>780363318</v>
      </c>
      <c r="F287" s="58"/>
      <c r="G287" s="54" t="s">
        <v>489</v>
      </c>
      <c r="H287" s="61" t="s">
        <v>431</v>
      </c>
    </row>
    <row r="288" spans="1:8" x14ac:dyDescent="0.35">
      <c r="A288" s="196">
        <v>46127</v>
      </c>
      <c r="B288" s="125" t="s">
        <v>73</v>
      </c>
      <c r="C288" s="232"/>
      <c r="D288" s="209">
        <v>20000000</v>
      </c>
      <c r="E288" s="253">
        <f t="shared" si="4"/>
        <v>760363318</v>
      </c>
      <c r="F288" s="129">
        <v>2000201</v>
      </c>
      <c r="G288" s="126" t="s">
        <v>56</v>
      </c>
      <c r="H288" s="61" t="s">
        <v>438</v>
      </c>
    </row>
    <row r="289" spans="1:8" x14ac:dyDescent="0.35">
      <c r="A289" s="195">
        <v>46127</v>
      </c>
      <c r="B289" s="61" t="s">
        <v>253</v>
      </c>
      <c r="C289" s="231">
        <v>46080000</v>
      </c>
      <c r="D289" s="208"/>
      <c r="E289" s="252">
        <f t="shared" si="4"/>
        <v>806443318</v>
      </c>
      <c r="F289" s="58"/>
      <c r="G289" s="54" t="s">
        <v>484</v>
      </c>
      <c r="H289" s="61" t="s">
        <v>431</v>
      </c>
    </row>
    <row r="290" spans="1:8" x14ac:dyDescent="0.35">
      <c r="A290" s="195">
        <v>46127</v>
      </c>
      <c r="B290" s="61" t="s">
        <v>488</v>
      </c>
      <c r="C290" s="231">
        <v>23040000</v>
      </c>
      <c r="D290" s="208"/>
      <c r="E290" s="252">
        <f t="shared" si="4"/>
        <v>829483318</v>
      </c>
      <c r="F290" s="58"/>
      <c r="G290" s="54" t="s">
        <v>490</v>
      </c>
      <c r="H290" s="61" t="s">
        <v>431</v>
      </c>
    </row>
    <row r="291" spans="1:8" x14ac:dyDescent="0.35">
      <c r="A291" s="195">
        <v>46128</v>
      </c>
      <c r="B291" s="61" t="s">
        <v>40</v>
      </c>
      <c r="C291" s="231"/>
      <c r="D291" s="208">
        <v>500000</v>
      </c>
      <c r="E291" s="252">
        <f t="shared" si="4"/>
        <v>828983318</v>
      </c>
      <c r="F291" s="58">
        <v>2000202</v>
      </c>
      <c r="G291" s="54" t="s">
        <v>205</v>
      </c>
      <c r="H291" s="61" t="s">
        <v>205</v>
      </c>
    </row>
    <row r="292" spans="1:8" x14ac:dyDescent="0.35">
      <c r="A292" s="195">
        <v>46128</v>
      </c>
      <c r="B292" s="61" t="s">
        <v>299</v>
      </c>
      <c r="C292" s="231"/>
      <c r="D292" s="208">
        <v>10000000</v>
      </c>
      <c r="E292" s="252">
        <f t="shared" si="4"/>
        <v>818983318</v>
      </c>
      <c r="F292" s="58">
        <v>2000203</v>
      </c>
      <c r="G292" s="54" t="s">
        <v>297</v>
      </c>
      <c r="H292" s="61" t="s">
        <v>450</v>
      </c>
    </row>
    <row r="293" spans="1:8" x14ac:dyDescent="0.35">
      <c r="A293" s="195">
        <v>46129</v>
      </c>
      <c r="B293" s="61" t="s">
        <v>41</v>
      </c>
      <c r="C293" s="231">
        <v>59224949</v>
      </c>
      <c r="D293" s="208"/>
      <c r="E293" s="252">
        <f t="shared" si="4"/>
        <v>878208267</v>
      </c>
      <c r="F293" s="61"/>
      <c r="G293" s="54" t="s">
        <v>300</v>
      </c>
      <c r="H293" s="134" t="s">
        <v>432</v>
      </c>
    </row>
    <row r="294" spans="1:8" x14ac:dyDescent="0.35">
      <c r="A294" s="195">
        <v>46129</v>
      </c>
      <c r="B294" s="61" t="s">
        <v>29</v>
      </c>
      <c r="C294" s="231"/>
      <c r="D294" s="208">
        <v>3600000</v>
      </c>
      <c r="E294" s="252">
        <f t="shared" si="4"/>
        <v>874608267</v>
      </c>
      <c r="F294" s="58">
        <v>2000204</v>
      </c>
      <c r="G294" s="61" t="s">
        <v>86</v>
      </c>
      <c r="H294" s="61" t="s">
        <v>441</v>
      </c>
    </row>
    <row r="295" spans="1:8" x14ac:dyDescent="0.35">
      <c r="A295" s="195">
        <v>46129</v>
      </c>
      <c r="B295" s="61" t="s">
        <v>338</v>
      </c>
      <c r="C295" s="231"/>
      <c r="D295" s="208">
        <v>1500000</v>
      </c>
      <c r="E295" s="252">
        <f t="shared" si="4"/>
        <v>873108267</v>
      </c>
      <c r="F295" s="58">
        <v>2000206</v>
      </c>
      <c r="G295" s="54" t="s">
        <v>163</v>
      </c>
      <c r="H295" s="61" t="s">
        <v>445</v>
      </c>
    </row>
    <row r="296" spans="1:8" x14ac:dyDescent="0.35">
      <c r="A296" s="195">
        <v>46129</v>
      </c>
      <c r="B296" s="61" t="s">
        <v>339</v>
      </c>
      <c r="C296" s="231"/>
      <c r="D296" s="208">
        <v>21443800</v>
      </c>
      <c r="E296" s="252">
        <f t="shared" si="4"/>
        <v>851664467</v>
      </c>
      <c r="F296" s="58">
        <v>2000207</v>
      </c>
      <c r="G296" s="54" t="s">
        <v>363</v>
      </c>
      <c r="H296" s="61" t="s">
        <v>437</v>
      </c>
    </row>
    <row r="297" spans="1:8" x14ac:dyDescent="0.35">
      <c r="A297" s="195">
        <v>46129</v>
      </c>
      <c r="B297" s="61" t="s">
        <v>27</v>
      </c>
      <c r="C297" s="231"/>
      <c r="D297" s="208">
        <v>500000000</v>
      </c>
      <c r="E297" s="252">
        <f t="shared" si="4"/>
        <v>351664467</v>
      </c>
      <c r="F297" s="58"/>
      <c r="G297" s="54"/>
      <c r="H297" s="61" t="s">
        <v>27</v>
      </c>
    </row>
    <row r="298" spans="1:8" x14ac:dyDescent="0.35">
      <c r="A298" s="195">
        <v>46129</v>
      </c>
      <c r="B298" s="61" t="s">
        <v>37</v>
      </c>
      <c r="C298" s="231"/>
      <c r="D298" s="208">
        <v>19555556</v>
      </c>
      <c r="E298" s="252">
        <f t="shared" si="4"/>
        <v>332108911</v>
      </c>
      <c r="F298" s="58"/>
      <c r="G298" s="54"/>
      <c r="H298" s="61" t="s">
        <v>47</v>
      </c>
    </row>
    <row r="299" spans="1:8" x14ac:dyDescent="0.35">
      <c r="A299" s="195">
        <v>46129</v>
      </c>
      <c r="B299" s="61" t="s">
        <v>37</v>
      </c>
      <c r="C299" s="231"/>
      <c r="D299" s="208">
        <v>1955556</v>
      </c>
      <c r="E299" s="252">
        <f t="shared" si="4"/>
        <v>330153355</v>
      </c>
      <c r="F299" s="58"/>
      <c r="G299" s="54"/>
      <c r="H299" s="61" t="s">
        <v>47</v>
      </c>
    </row>
    <row r="300" spans="1:8" x14ac:dyDescent="0.35">
      <c r="A300" s="195">
        <v>46132</v>
      </c>
      <c r="B300" s="61" t="s">
        <v>301</v>
      </c>
      <c r="C300" s="231"/>
      <c r="D300" s="208">
        <v>660000</v>
      </c>
      <c r="E300" s="252">
        <f t="shared" si="4"/>
        <v>329493355</v>
      </c>
      <c r="F300" s="58">
        <v>2000208</v>
      </c>
      <c r="G300" s="54" t="s">
        <v>302</v>
      </c>
      <c r="H300" s="61" t="s">
        <v>443</v>
      </c>
    </row>
    <row r="301" spans="1:8" x14ac:dyDescent="0.35">
      <c r="A301" s="195">
        <v>46132</v>
      </c>
      <c r="B301" s="61" t="s">
        <v>303</v>
      </c>
      <c r="C301" s="231"/>
      <c r="D301" s="208">
        <v>11485100</v>
      </c>
      <c r="E301" s="252">
        <f t="shared" si="4"/>
        <v>318008255</v>
      </c>
      <c r="F301" s="58">
        <v>2000209</v>
      </c>
      <c r="G301" s="54" t="s">
        <v>363</v>
      </c>
      <c r="H301" s="61" t="s">
        <v>437</v>
      </c>
    </row>
    <row r="302" spans="1:8" x14ac:dyDescent="0.35">
      <c r="A302" s="195">
        <v>46132</v>
      </c>
      <c r="B302" s="61" t="s">
        <v>41</v>
      </c>
      <c r="C302" s="231">
        <v>60889045</v>
      </c>
      <c r="D302" s="208"/>
      <c r="E302" s="252">
        <f t="shared" si="4"/>
        <v>378897300</v>
      </c>
      <c r="F302" s="61" t="s">
        <v>254</v>
      </c>
      <c r="G302" s="54" t="s">
        <v>304</v>
      </c>
      <c r="H302" s="134" t="s">
        <v>432</v>
      </c>
    </row>
    <row r="303" spans="1:8" x14ac:dyDescent="0.35">
      <c r="A303" s="196">
        <v>46132</v>
      </c>
      <c r="B303" s="125" t="s">
        <v>73</v>
      </c>
      <c r="C303" s="232"/>
      <c r="D303" s="209">
        <v>20000000</v>
      </c>
      <c r="E303" s="253">
        <f t="shared" si="4"/>
        <v>358897300</v>
      </c>
      <c r="F303" s="129">
        <v>2000217</v>
      </c>
      <c r="G303" s="126" t="s">
        <v>56</v>
      </c>
      <c r="H303" s="61" t="s">
        <v>438</v>
      </c>
    </row>
    <row r="304" spans="1:8" x14ac:dyDescent="0.35">
      <c r="A304" s="195">
        <v>46132</v>
      </c>
      <c r="B304" s="61" t="s">
        <v>339</v>
      </c>
      <c r="C304" s="231"/>
      <c r="D304" s="208">
        <v>5390100</v>
      </c>
      <c r="E304" s="252">
        <f t="shared" si="4"/>
        <v>353507200</v>
      </c>
      <c r="F304" s="58">
        <v>2000215</v>
      </c>
      <c r="G304" s="54" t="s">
        <v>363</v>
      </c>
      <c r="H304" s="61" t="s">
        <v>437</v>
      </c>
    </row>
    <row r="305" spans="1:8" x14ac:dyDescent="0.35">
      <c r="A305" s="195">
        <v>46132</v>
      </c>
      <c r="B305" s="61" t="s">
        <v>25</v>
      </c>
      <c r="C305" s="231"/>
      <c r="D305" s="208">
        <v>10000000</v>
      </c>
      <c r="E305" s="252">
        <f t="shared" si="4"/>
        <v>343507200</v>
      </c>
      <c r="F305" s="58">
        <v>2000210</v>
      </c>
      <c r="G305" s="54" t="s">
        <v>202</v>
      </c>
      <c r="H305" s="61" t="s">
        <v>440</v>
      </c>
    </row>
    <row r="306" spans="1:8" x14ac:dyDescent="0.35">
      <c r="A306" s="195">
        <v>46132</v>
      </c>
      <c r="B306" s="61" t="s">
        <v>255</v>
      </c>
      <c r="C306" s="231"/>
      <c r="D306" s="208">
        <v>674267</v>
      </c>
      <c r="E306" s="252">
        <f t="shared" si="4"/>
        <v>342832933</v>
      </c>
      <c r="F306" s="58">
        <v>2000218</v>
      </c>
      <c r="G306" s="54" t="s">
        <v>305</v>
      </c>
      <c r="H306" s="61" t="s">
        <v>374</v>
      </c>
    </row>
    <row r="307" spans="1:8" x14ac:dyDescent="0.35">
      <c r="A307" s="196">
        <v>46132</v>
      </c>
      <c r="B307" s="125" t="s">
        <v>73</v>
      </c>
      <c r="C307" s="232"/>
      <c r="D307" s="209">
        <v>39000000</v>
      </c>
      <c r="E307" s="253">
        <f t="shared" si="4"/>
        <v>303832933</v>
      </c>
      <c r="F307" s="129">
        <v>2000214</v>
      </c>
      <c r="G307" s="126" t="s">
        <v>56</v>
      </c>
      <c r="H307" s="61" t="s">
        <v>438</v>
      </c>
    </row>
    <row r="308" spans="1:8" x14ac:dyDescent="0.35">
      <c r="A308" s="195">
        <v>46132</v>
      </c>
      <c r="B308" s="61" t="s">
        <v>343</v>
      </c>
      <c r="C308" s="231"/>
      <c r="D308" s="208">
        <v>3784200</v>
      </c>
      <c r="E308" s="252">
        <f t="shared" si="4"/>
        <v>300048733</v>
      </c>
      <c r="F308" s="58">
        <v>2000219</v>
      </c>
      <c r="G308" s="54" t="s">
        <v>363</v>
      </c>
      <c r="H308" s="61" t="s">
        <v>437</v>
      </c>
    </row>
    <row r="309" spans="1:8" x14ac:dyDescent="0.35">
      <c r="A309" s="195">
        <v>46132</v>
      </c>
      <c r="B309" s="61" t="s">
        <v>332</v>
      </c>
      <c r="C309" s="231"/>
      <c r="D309" s="208">
        <v>26971700</v>
      </c>
      <c r="E309" s="252">
        <f t="shared" si="4"/>
        <v>273077033</v>
      </c>
      <c r="F309" s="58">
        <v>2000213</v>
      </c>
      <c r="G309" s="54" t="s">
        <v>363</v>
      </c>
      <c r="H309" s="61" t="s">
        <v>437</v>
      </c>
    </row>
    <row r="310" spans="1:8" x14ac:dyDescent="0.35">
      <c r="A310" s="195">
        <v>46133</v>
      </c>
      <c r="B310" s="61" t="s">
        <v>343</v>
      </c>
      <c r="C310" s="231"/>
      <c r="D310" s="208">
        <v>3768300</v>
      </c>
      <c r="E310" s="252">
        <f t="shared" si="4"/>
        <v>269308733</v>
      </c>
      <c r="F310" s="58">
        <v>2000222</v>
      </c>
      <c r="G310" s="54" t="s">
        <v>363</v>
      </c>
      <c r="H310" s="61" t="s">
        <v>437</v>
      </c>
    </row>
    <row r="311" spans="1:8" x14ac:dyDescent="0.35">
      <c r="A311" s="195">
        <v>46133</v>
      </c>
      <c r="B311" s="61" t="s">
        <v>303</v>
      </c>
      <c r="C311" s="231"/>
      <c r="D311" s="208">
        <v>14151000</v>
      </c>
      <c r="E311" s="252">
        <f t="shared" si="4"/>
        <v>255157733</v>
      </c>
      <c r="F311" s="58">
        <v>2000223</v>
      </c>
      <c r="G311" s="54" t="s">
        <v>363</v>
      </c>
      <c r="H311" s="61" t="s">
        <v>437</v>
      </c>
    </row>
    <row r="312" spans="1:8" x14ac:dyDescent="0.35">
      <c r="A312" s="195">
        <v>46134</v>
      </c>
      <c r="B312" s="61" t="s">
        <v>335</v>
      </c>
      <c r="C312" s="231"/>
      <c r="D312" s="208">
        <v>10430400</v>
      </c>
      <c r="E312" s="252">
        <f t="shared" si="4"/>
        <v>244727333</v>
      </c>
      <c r="F312" s="58">
        <v>2000224</v>
      </c>
      <c r="G312" s="54" t="s">
        <v>363</v>
      </c>
      <c r="H312" s="61" t="s">
        <v>437</v>
      </c>
    </row>
    <row r="313" spans="1:8" x14ac:dyDescent="0.35">
      <c r="A313" s="195">
        <v>46134</v>
      </c>
      <c r="B313" s="61" t="s">
        <v>306</v>
      </c>
      <c r="C313" s="231"/>
      <c r="D313" s="208">
        <v>6000000</v>
      </c>
      <c r="E313" s="252">
        <f t="shared" si="4"/>
        <v>238727333</v>
      </c>
      <c r="F313" s="58">
        <v>2000221</v>
      </c>
      <c r="G313" s="54"/>
      <c r="H313" s="61" t="s">
        <v>440</v>
      </c>
    </row>
    <row r="314" spans="1:8" x14ac:dyDescent="0.35">
      <c r="A314" s="195">
        <v>46134</v>
      </c>
      <c r="B314" s="61" t="s">
        <v>309</v>
      </c>
      <c r="C314" s="231"/>
      <c r="D314" s="208">
        <v>8147211</v>
      </c>
      <c r="E314" s="252">
        <f t="shared" si="4"/>
        <v>230580122</v>
      </c>
      <c r="F314" s="58">
        <v>2000350</v>
      </c>
      <c r="G314" s="54" t="s">
        <v>310</v>
      </c>
      <c r="H314" s="61" t="s">
        <v>439</v>
      </c>
    </row>
    <row r="315" spans="1:8" x14ac:dyDescent="0.35">
      <c r="A315" s="195">
        <v>46134</v>
      </c>
      <c r="B315" s="61" t="s">
        <v>339</v>
      </c>
      <c r="C315" s="231"/>
      <c r="D315" s="208">
        <v>13599800</v>
      </c>
      <c r="E315" s="252">
        <f t="shared" si="4"/>
        <v>216980322</v>
      </c>
      <c r="F315" s="58">
        <v>2000227</v>
      </c>
      <c r="G315" s="54" t="s">
        <v>363</v>
      </c>
      <c r="H315" s="61" t="s">
        <v>437</v>
      </c>
    </row>
    <row r="316" spans="1:8" x14ac:dyDescent="0.35">
      <c r="A316" s="195">
        <v>46135</v>
      </c>
      <c r="B316" s="61" t="s">
        <v>332</v>
      </c>
      <c r="C316" s="231"/>
      <c r="D316" s="208">
        <v>7139100</v>
      </c>
      <c r="E316" s="252">
        <f t="shared" si="4"/>
        <v>209841222</v>
      </c>
      <c r="F316" s="58">
        <v>2000229</v>
      </c>
      <c r="G316" s="54" t="s">
        <v>363</v>
      </c>
      <c r="H316" s="61" t="s">
        <v>437</v>
      </c>
    </row>
    <row r="317" spans="1:8" x14ac:dyDescent="0.35">
      <c r="A317" s="196">
        <v>46135</v>
      </c>
      <c r="B317" s="125" t="s">
        <v>67</v>
      </c>
      <c r="C317" s="232"/>
      <c r="D317" s="209">
        <v>1500000</v>
      </c>
      <c r="E317" s="253">
        <f t="shared" si="4"/>
        <v>208341222</v>
      </c>
      <c r="F317" s="129"/>
      <c r="G317" s="125" t="s">
        <v>256</v>
      </c>
      <c r="H317" s="61" t="s">
        <v>445</v>
      </c>
    </row>
    <row r="318" spans="1:8" x14ac:dyDescent="0.35">
      <c r="A318" s="196">
        <v>46135</v>
      </c>
      <c r="B318" s="125" t="s">
        <v>67</v>
      </c>
      <c r="C318" s="232"/>
      <c r="D318" s="209">
        <v>1500000</v>
      </c>
      <c r="E318" s="253">
        <f t="shared" si="4"/>
        <v>206841222</v>
      </c>
      <c r="F318" s="129"/>
      <c r="G318" s="125" t="s">
        <v>257</v>
      </c>
      <c r="H318" s="61" t="s">
        <v>445</v>
      </c>
    </row>
    <row r="319" spans="1:8" x14ac:dyDescent="0.35">
      <c r="A319" s="196">
        <v>46135</v>
      </c>
      <c r="B319" s="125" t="s">
        <v>73</v>
      </c>
      <c r="C319" s="232"/>
      <c r="D319" s="209">
        <v>5000000</v>
      </c>
      <c r="E319" s="253">
        <f t="shared" si="4"/>
        <v>201841222</v>
      </c>
      <c r="F319" s="129">
        <v>2000230</v>
      </c>
      <c r="G319" s="126" t="s">
        <v>56</v>
      </c>
      <c r="H319" s="61" t="s">
        <v>438</v>
      </c>
    </row>
    <row r="320" spans="1:8" x14ac:dyDescent="0.35">
      <c r="A320" s="195">
        <v>46135</v>
      </c>
      <c r="B320" s="61" t="s">
        <v>217</v>
      </c>
      <c r="C320" s="231"/>
      <c r="D320" s="208">
        <v>3500000</v>
      </c>
      <c r="E320" s="252">
        <f t="shared" si="4"/>
        <v>198341222</v>
      </c>
      <c r="F320" s="58">
        <v>2000225</v>
      </c>
      <c r="G320" s="54" t="s">
        <v>311</v>
      </c>
      <c r="H320" s="61" t="s">
        <v>374</v>
      </c>
    </row>
    <row r="321" spans="1:8" x14ac:dyDescent="0.35">
      <c r="A321" s="195">
        <v>46135</v>
      </c>
      <c r="B321" s="61" t="s">
        <v>339</v>
      </c>
      <c r="C321" s="231"/>
      <c r="D321" s="208">
        <v>30983800</v>
      </c>
      <c r="E321" s="252">
        <f t="shared" si="4"/>
        <v>167357422</v>
      </c>
      <c r="F321" s="58">
        <v>2000231</v>
      </c>
      <c r="G321" s="54" t="s">
        <v>363</v>
      </c>
      <c r="H321" s="61" t="s">
        <v>437</v>
      </c>
    </row>
    <row r="322" spans="1:8" x14ac:dyDescent="0.35">
      <c r="A322" s="195">
        <v>46136</v>
      </c>
      <c r="B322" s="61" t="s">
        <v>41</v>
      </c>
      <c r="C322" s="231">
        <v>60430684</v>
      </c>
      <c r="D322" s="208"/>
      <c r="E322" s="252">
        <f t="shared" si="4"/>
        <v>227788106</v>
      </c>
      <c r="F322" s="61" t="s">
        <v>258</v>
      </c>
      <c r="G322" s="54" t="s">
        <v>304</v>
      </c>
      <c r="H322" s="134" t="s">
        <v>432</v>
      </c>
    </row>
    <row r="323" spans="1:8" x14ac:dyDescent="0.35">
      <c r="A323" s="195">
        <v>46136</v>
      </c>
      <c r="B323" s="61" t="s">
        <v>41</v>
      </c>
      <c r="C323" s="231">
        <v>54268145</v>
      </c>
      <c r="D323" s="208"/>
      <c r="E323" s="252">
        <f t="shared" si="4"/>
        <v>282056251</v>
      </c>
      <c r="F323" s="61" t="s">
        <v>259</v>
      </c>
      <c r="G323" s="54" t="s">
        <v>304</v>
      </c>
      <c r="H323" s="134" t="s">
        <v>432</v>
      </c>
    </row>
    <row r="324" spans="1:8" x14ac:dyDescent="0.35">
      <c r="A324" s="195">
        <v>46136</v>
      </c>
      <c r="B324" s="61" t="s">
        <v>25</v>
      </c>
      <c r="C324" s="231"/>
      <c r="D324" s="208">
        <v>10000000</v>
      </c>
      <c r="E324" s="252">
        <f t="shared" si="4"/>
        <v>272056251</v>
      </c>
      <c r="F324" s="58">
        <v>2000232</v>
      </c>
      <c r="G324" s="54" t="s">
        <v>202</v>
      </c>
      <c r="H324" s="61" t="s">
        <v>440</v>
      </c>
    </row>
    <row r="325" spans="1:8" x14ac:dyDescent="0.35">
      <c r="A325" s="195">
        <v>46136</v>
      </c>
      <c r="B325" s="61" t="s">
        <v>152</v>
      </c>
      <c r="C325" s="231"/>
      <c r="D325" s="208">
        <v>579846</v>
      </c>
      <c r="E325" s="252">
        <f t="shared" ref="E325:E388" si="5">E324+C325-D325</f>
        <v>271476405</v>
      </c>
      <c r="F325" s="58">
        <v>2000226</v>
      </c>
      <c r="G325" s="54" t="s">
        <v>312</v>
      </c>
      <c r="H325" s="61" t="s">
        <v>374</v>
      </c>
    </row>
    <row r="326" spans="1:8" x14ac:dyDescent="0.35">
      <c r="A326" s="195">
        <v>46136</v>
      </c>
      <c r="B326" s="61" t="s">
        <v>198</v>
      </c>
      <c r="C326" s="231"/>
      <c r="D326" s="208">
        <v>686091</v>
      </c>
      <c r="E326" s="252">
        <f t="shared" si="5"/>
        <v>270790314</v>
      </c>
      <c r="F326" s="58">
        <v>2000228</v>
      </c>
      <c r="G326" s="54" t="s">
        <v>313</v>
      </c>
      <c r="H326" s="61" t="s">
        <v>374</v>
      </c>
    </row>
    <row r="327" spans="1:8" x14ac:dyDescent="0.35">
      <c r="A327" s="195">
        <v>46136</v>
      </c>
      <c r="B327" s="61" t="s">
        <v>314</v>
      </c>
      <c r="C327" s="231"/>
      <c r="D327" s="208">
        <v>5000000</v>
      </c>
      <c r="E327" s="252">
        <f t="shared" si="5"/>
        <v>265790314</v>
      </c>
      <c r="F327" s="58">
        <v>2000220</v>
      </c>
      <c r="G327" s="54" t="s">
        <v>315</v>
      </c>
      <c r="H327" s="61" t="s">
        <v>445</v>
      </c>
    </row>
    <row r="328" spans="1:8" x14ac:dyDescent="0.35">
      <c r="A328" s="195">
        <v>46136</v>
      </c>
      <c r="B328" s="61" t="s">
        <v>332</v>
      </c>
      <c r="C328" s="231"/>
      <c r="D328" s="208">
        <v>12853200</v>
      </c>
      <c r="E328" s="252">
        <f t="shared" si="5"/>
        <v>252937114</v>
      </c>
      <c r="F328" s="58">
        <v>2000234</v>
      </c>
      <c r="G328" s="54" t="s">
        <v>363</v>
      </c>
      <c r="H328" s="61" t="s">
        <v>437</v>
      </c>
    </row>
    <row r="329" spans="1:8" x14ac:dyDescent="0.35">
      <c r="A329" s="195">
        <v>46139</v>
      </c>
      <c r="B329" s="61" t="s">
        <v>339</v>
      </c>
      <c r="C329" s="231"/>
      <c r="D329" s="208">
        <v>26841400</v>
      </c>
      <c r="E329" s="252">
        <f t="shared" si="5"/>
        <v>226095714</v>
      </c>
      <c r="F329" s="58">
        <v>2000235</v>
      </c>
      <c r="G329" s="54" t="s">
        <v>363</v>
      </c>
      <c r="H329" s="61" t="s">
        <v>437</v>
      </c>
    </row>
    <row r="330" spans="1:8" x14ac:dyDescent="0.35">
      <c r="A330" s="195">
        <v>46139</v>
      </c>
      <c r="B330" s="61" t="s">
        <v>343</v>
      </c>
      <c r="C330" s="231"/>
      <c r="D330" s="208">
        <v>13240800</v>
      </c>
      <c r="E330" s="252">
        <f t="shared" si="5"/>
        <v>212854914</v>
      </c>
      <c r="F330" s="58">
        <v>2000236</v>
      </c>
      <c r="G330" s="54" t="s">
        <v>363</v>
      </c>
      <c r="H330" s="61" t="s">
        <v>437</v>
      </c>
    </row>
    <row r="331" spans="1:8" x14ac:dyDescent="0.35">
      <c r="A331" s="195">
        <v>46139</v>
      </c>
      <c r="B331" s="61" t="s">
        <v>332</v>
      </c>
      <c r="C331" s="231"/>
      <c r="D331" s="208">
        <v>5464800</v>
      </c>
      <c r="E331" s="252">
        <f t="shared" si="5"/>
        <v>207390114</v>
      </c>
      <c r="F331" s="58">
        <v>2000237</v>
      </c>
      <c r="G331" s="54" t="s">
        <v>363</v>
      </c>
      <c r="H331" s="61" t="s">
        <v>437</v>
      </c>
    </row>
    <row r="332" spans="1:8" x14ac:dyDescent="0.35">
      <c r="A332" s="195">
        <v>46139</v>
      </c>
      <c r="B332" s="61" t="s">
        <v>529</v>
      </c>
      <c r="C332" s="231"/>
      <c r="D332" s="208">
        <v>110000000</v>
      </c>
      <c r="E332" s="252">
        <f t="shared" si="5"/>
        <v>97390114</v>
      </c>
      <c r="F332" s="58">
        <v>2000233</v>
      </c>
      <c r="G332" s="61" t="s">
        <v>316</v>
      </c>
      <c r="H332" s="61" t="s">
        <v>265</v>
      </c>
    </row>
    <row r="333" spans="1:8" x14ac:dyDescent="0.35">
      <c r="A333" s="195">
        <v>46139</v>
      </c>
      <c r="B333" s="61" t="s">
        <v>343</v>
      </c>
      <c r="C333" s="231"/>
      <c r="D333" s="208">
        <v>4104000</v>
      </c>
      <c r="E333" s="252">
        <f t="shared" si="5"/>
        <v>93286114</v>
      </c>
      <c r="F333" s="58">
        <v>2000240</v>
      </c>
      <c r="G333" s="54" t="s">
        <v>363</v>
      </c>
      <c r="H333" s="61" t="s">
        <v>437</v>
      </c>
    </row>
    <row r="334" spans="1:8" x14ac:dyDescent="0.35">
      <c r="A334" s="195">
        <v>46140</v>
      </c>
      <c r="B334" s="61" t="s">
        <v>111</v>
      </c>
      <c r="C334" s="231"/>
      <c r="D334" s="208">
        <v>5000000</v>
      </c>
      <c r="E334" s="252">
        <f t="shared" si="5"/>
        <v>88286114</v>
      </c>
      <c r="F334" s="58">
        <v>2000238</v>
      </c>
      <c r="G334" s="54"/>
      <c r="H334" s="61" t="s">
        <v>440</v>
      </c>
    </row>
    <row r="335" spans="1:8" x14ac:dyDescent="0.35">
      <c r="A335" s="197">
        <v>46141</v>
      </c>
      <c r="B335" s="56" t="s">
        <v>8</v>
      </c>
      <c r="C335" s="234">
        <v>341070313</v>
      </c>
      <c r="D335" s="210"/>
      <c r="E335" s="254">
        <f t="shared" si="5"/>
        <v>429356427</v>
      </c>
      <c r="F335" s="130"/>
      <c r="G335" s="131" t="s">
        <v>317</v>
      </c>
      <c r="H335" s="61" t="s">
        <v>430</v>
      </c>
    </row>
    <row r="336" spans="1:8" x14ac:dyDescent="0.35">
      <c r="A336" s="195">
        <v>46141</v>
      </c>
      <c r="B336" s="61" t="s">
        <v>339</v>
      </c>
      <c r="C336" s="231"/>
      <c r="D336" s="208">
        <v>39322500</v>
      </c>
      <c r="E336" s="252">
        <f t="shared" si="5"/>
        <v>390033927</v>
      </c>
      <c r="F336" s="58">
        <v>2000244</v>
      </c>
      <c r="G336" s="54" t="s">
        <v>363</v>
      </c>
      <c r="H336" s="61" t="s">
        <v>437</v>
      </c>
    </row>
    <row r="337" spans="1:8" x14ac:dyDescent="0.35">
      <c r="A337" s="195">
        <v>46141</v>
      </c>
      <c r="B337" s="61" t="s">
        <v>343</v>
      </c>
      <c r="C337" s="231"/>
      <c r="D337" s="208">
        <v>26557200</v>
      </c>
      <c r="E337" s="252">
        <f t="shared" si="5"/>
        <v>363476727</v>
      </c>
      <c r="F337" s="58">
        <v>2000243</v>
      </c>
      <c r="G337" s="54" t="s">
        <v>363</v>
      </c>
      <c r="H337" s="61" t="s">
        <v>437</v>
      </c>
    </row>
    <row r="338" spans="1:8" x14ac:dyDescent="0.35">
      <c r="A338" s="195">
        <v>46142</v>
      </c>
      <c r="B338" s="138" t="s">
        <v>318</v>
      </c>
      <c r="C338" s="231"/>
      <c r="D338" s="208">
        <v>15735600</v>
      </c>
      <c r="E338" s="252">
        <f t="shared" si="5"/>
        <v>347741127</v>
      </c>
      <c r="F338" s="58">
        <v>2000242</v>
      </c>
      <c r="G338" s="54" t="s">
        <v>344</v>
      </c>
      <c r="H338" s="61" t="s">
        <v>437</v>
      </c>
    </row>
    <row r="339" spans="1:8" x14ac:dyDescent="0.35">
      <c r="A339" s="195">
        <v>46142</v>
      </c>
      <c r="B339" s="61" t="s">
        <v>332</v>
      </c>
      <c r="C339" s="231"/>
      <c r="D339" s="208">
        <v>12558140</v>
      </c>
      <c r="E339" s="252">
        <f t="shared" si="5"/>
        <v>335182987</v>
      </c>
      <c r="F339" s="58">
        <v>2000246</v>
      </c>
      <c r="G339" s="54" t="s">
        <v>363</v>
      </c>
      <c r="H339" s="61" t="s">
        <v>437</v>
      </c>
    </row>
    <row r="340" spans="1:8" x14ac:dyDescent="0.35">
      <c r="A340" s="195">
        <v>46142</v>
      </c>
      <c r="B340" s="61" t="s">
        <v>255</v>
      </c>
      <c r="C340" s="231"/>
      <c r="D340" s="208">
        <v>370315</v>
      </c>
      <c r="E340" s="252">
        <f t="shared" si="5"/>
        <v>334812672</v>
      </c>
      <c r="F340" s="58">
        <v>2000247</v>
      </c>
      <c r="G340" s="54" t="s">
        <v>305</v>
      </c>
      <c r="H340" s="61" t="s">
        <v>374</v>
      </c>
    </row>
    <row r="341" spans="1:8" x14ac:dyDescent="0.35">
      <c r="A341" s="195">
        <v>46142</v>
      </c>
      <c r="B341" s="61" t="s">
        <v>260</v>
      </c>
      <c r="C341" s="231"/>
      <c r="D341" s="208">
        <v>12123000</v>
      </c>
      <c r="E341" s="252">
        <f t="shared" si="5"/>
        <v>322689672</v>
      </c>
      <c r="F341" s="58">
        <v>2000248</v>
      </c>
      <c r="G341" s="54" t="s">
        <v>363</v>
      </c>
      <c r="H341" s="61" t="s">
        <v>437</v>
      </c>
    </row>
    <row r="342" spans="1:8" x14ac:dyDescent="0.35">
      <c r="A342" s="196">
        <v>46142</v>
      </c>
      <c r="B342" s="125" t="s">
        <v>14</v>
      </c>
      <c r="C342" s="232"/>
      <c r="D342" s="209">
        <v>2687632</v>
      </c>
      <c r="E342" s="253">
        <f t="shared" si="5"/>
        <v>320002040</v>
      </c>
      <c r="F342" s="129">
        <v>2000245</v>
      </c>
      <c r="G342" s="126" t="s">
        <v>319</v>
      </c>
      <c r="H342" s="61" t="s">
        <v>374</v>
      </c>
    </row>
    <row r="343" spans="1:8" x14ac:dyDescent="0.35">
      <c r="A343" s="195">
        <v>46142</v>
      </c>
      <c r="B343" s="61" t="s">
        <v>336</v>
      </c>
      <c r="C343" s="231"/>
      <c r="D343" s="208">
        <v>3877200</v>
      </c>
      <c r="E343" s="252">
        <f t="shared" si="5"/>
        <v>316124840</v>
      </c>
      <c r="F343" s="58">
        <v>2000250</v>
      </c>
      <c r="G343" s="54" t="s">
        <v>344</v>
      </c>
      <c r="H343" s="61" t="s">
        <v>437</v>
      </c>
    </row>
    <row r="344" spans="1:8" x14ac:dyDescent="0.35">
      <c r="A344" s="195">
        <v>46142</v>
      </c>
      <c r="B344" s="61" t="s">
        <v>152</v>
      </c>
      <c r="C344" s="231"/>
      <c r="D344" s="208">
        <v>1066316</v>
      </c>
      <c r="E344" s="252">
        <f t="shared" si="5"/>
        <v>315058524</v>
      </c>
      <c r="F344" s="58">
        <v>2000151</v>
      </c>
      <c r="G344" s="54" t="s">
        <v>320</v>
      </c>
      <c r="H344" s="61" t="s">
        <v>374</v>
      </c>
    </row>
    <row r="345" spans="1:8" x14ac:dyDescent="0.35">
      <c r="A345" s="195">
        <v>46142</v>
      </c>
      <c r="B345" s="61" t="s">
        <v>529</v>
      </c>
      <c r="C345" s="231"/>
      <c r="D345" s="208">
        <v>300000000</v>
      </c>
      <c r="E345" s="252">
        <f t="shared" si="5"/>
        <v>15058524</v>
      </c>
      <c r="F345" s="58">
        <v>2000241</v>
      </c>
      <c r="G345" s="61" t="s">
        <v>316</v>
      </c>
      <c r="H345" s="61" t="s">
        <v>265</v>
      </c>
    </row>
    <row r="346" spans="1:8" x14ac:dyDescent="0.35">
      <c r="A346" s="195">
        <v>46142</v>
      </c>
      <c r="B346" s="61" t="s">
        <v>261</v>
      </c>
      <c r="C346" s="231"/>
      <c r="D346" s="208">
        <v>11298880</v>
      </c>
      <c r="E346" s="252">
        <f t="shared" si="5"/>
        <v>3759644</v>
      </c>
      <c r="F346" s="58">
        <v>2000154</v>
      </c>
      <c r="G346" s="54" t="s">
        <v>363</v>
      </c>
      <c r="H346" s="61" t="s">
        <v>437</v>
      </c>
    </row>
    <row r="347" spans="1:8" x14ac:dyDescent="0.35">
      <c r="A347" s="195">
        <v>46142</v>
      </c>
      <c r="B347" s="61" t="s">
        <v>9</v>
      </c>
      <c r="C347" s="231"/>
      <c r="D347" s="208">
        <v>5000</v>
      </c>
      <c r="E347" s="252">
        <f t="shared" si="5"/>
        <v>3754644</v>
      </c>
      <c r="F347" s="58"/>
      <c r="G347" s="54"/>
      <c r="H347" s="61" t="s">
        <v>9</v>
      </c>
    </row>
    <row r="348" spans="1:8" x14ac:dyDescent="0.35">
      <c r="A348" s="195">
        <v>46142</v>
      </c>
      <c r="B348" s="61" t="s">
        <v>9</v>
      </c>
      <c r="C348" s="231"/>
      <c r="D348" s="208">
        <v>500</v>
      </c>
      <c r="E348" s="252">
        <f t="shared" si="5"/>
        <v>3754144</v>
      </c>
      <c r="F348" s="58"/>
      <c r="G348" s="54"/>
      <c r="H348" s="61" t="s">
        <v>9</v>
      </c>
    </row>
    <row r="349" spans="1:8" x14ac:dyDescent="0.35">
      <c r="A349" s="195">
        <v>46142</v>
      </c>
      <c r="B349" s="61" t="s">
        <v>9</v>
      </c>
      <c r="C349" s="231"/>
      <c r="D349" s="208">
        <v>2</v>
      </c>
      <c r="E349" s="257">
        <f t="shared" si="5"/>
        <v>3754142</v>
      </c>
      <c r="F349" s="58" t="s">
        <v>321</v>
      </c>
      <c r="G349" s="54"/>
      <c r="H349" s="61" t="s">
        <v>9</v>
      </c>
    </row>
    <row r="350" spans="1:8" x14ac:dyDescent="0.35">
      <c r="A350" s="195">
        <v>46146</v>
      </c>
      <c r="B350" s="61" t="s">
        <v>9</v>
      </c>
      <c r="C350" s="231"/>
      <c r="D350" s="208">
        <v>500</v>
      </c>
      <c r="E350" s="252">
        <f t="shared" si="5"/>
        <v>3753642</v>
      </c>
      <c r="F350" s="58"/>
      <c r="G350" s="54"/>
      <c r="H350" s="61" t="s">
        <v>9</v>
      </c>
    </row>
    <row r="351" spans="1:8" x14ac:dyDescent="0.35">
      <c r="A351" s="195">
        <v>46146</v>
      </c>
      <c r="B351" s="61" t="s">
        <v>9</v>
      </c>
      <c r="C351" s="231"/>
      <c r="D351" s="208">
        <v>5000</v>
      </c>
      <c r="E351" s="252">
        <f t="shared" si="5"/>
        <v>3748642</v>
      </c>
      <c r="F351" s="58"/>
      <c r="G351" s="54"/>
      <c r="H351" s="61" t="s">
        <v>9</v>
      </c>
    </row>
    <row r="352" spans="1:8" x14ac:dyDescent="0.35">
      <c r="A352" s="195">
        <v>46146</v>
      </c>
      <c r="B352" s="61" t="s">
        <v>28</v>
      </c>
      <c r="C352" s="231"/>
      <c r="D352" s="208">
        <v>1180000</v>
      </c>
      <c r="E352" s="252">
        <f t="shared" si="5"/>
        <v>2568642</v>
      </c>
      <c r="F352" s="58">
        <v>2000153</v>
      </c>
      <c r="G352" s="61" t="s">
        <v>148</v>
      </c>
      <c r="H352" s="61" t="s">
        <v>445</v>
      </c>
    </row>
    <row r="353" spans="1:8" x14ac:dyDescent="0.35">
      <c r="A353" s="195">
        <v>46146</v>
      </c>
      <c r="B353" s="61" t="s">
        <v>10</v>
      </c>
      <c r="C353" s="231"/>
      <c r="D353" s="208">
        <v>900000</v>
      </c>
      <c r="E353" s="252">
        <f t="shared" si="5"/>
        <v>1668642</v>
      </c>
      <c r="F353" s="58">
        <v>2000249</v>
      </c>
      <c r="G353" s="54" t="s">
        <v>334</v>
      </c>
      <c r="H353" s="61" t="s">
        <v>443</v>
      </c>
    </row>
    <row r="354" spans="1:8" x14ac:dyDescent="0.35">
      <c r="A354" s="195">
        <v>46146</v>
      </c>
      <c r="B354" s="61" t="s">
        <v>322</v>
      </c>
      <c r="C354" s="231">
        <v>300000000</v>
      </c>
      <c r="D354" s="208"/>
      <c r="E354" s="252">
        <f t="shared" si="5"/>
        <v>301668642</v>
      </c>
      <c r="F354" s="58">
        <v>2000241</v>
      </c>
      <c r="G354" s="54" t="s">
        <v>323</v>
      </c>
      <c r="H354" s="61" t="s">
        <v>436</v>
      </c>
    </row>
    <row r="355" spans="1:8" x14ac:dyDescent="0.35">
      <c r="A355" s="195">
        <v>46146</v>
      </c>
      <c r="B355" s="61" t="s">
        <v>37</v>
      </c>
      <c r="C355" s="231"/>
      <c r="D355" s="208">
        <v>1250000</v>
      </c>
      <c r="E355" s="252">
        <f t="shared" si="5"/>
        <v>300418642</v>
      </c>
      <c r="F355" s="58"/>
      <c r="G355" s="54"/>
      <c r="H355" s="61" t="s">
        <v>37</v>
      </c>
    </row>
    <row r="356" spans="1:8" x14ac:dyDescent="0.35">
      <c r="A356" s="195">
        <v>46146</v>
      </c>
      <c r="B356" s="61" t="s">
        <v>37</v>
      </c>
      <c r="C356" s="231"/>
      <c r="D356" s="208">
        <v>125000</v>
      </c>
      <c r="E356" s="252">
        <f t="shared" si="5"/>
        <v>300293642</v>
      </c>
      <c r="F356" s="58"/>
      <c r="G356" s="54"/>
      <c r="H356" s="61" t="s">
        <v>37</v>
      </c>
    </row>
    <row r="357" spans="1:8" x14ac:dyDescent="0.35">
      <c r="A357" s="195">
        <v>46146</v>
      </c>
      <c r="B357" s="61" t="s">
        <v>38</v>
      </c>
      <c r="C357" s="231">
        <v>250000000</v>
      </c>
      <c r="D357" s="208"/>
      <c r="E357" s="252">
        <f t="shared" si="5"/>
        <v>550293642</v>
      </c>
      <c r="F357" s="58"/>
      <c r="G357" s="54"/>
      <c r="H357" s="61" t="s">
        <v>176</v>
      </c>
    </row>
    <row r="358" spans="1:8" s="2" customFormat="1" x14ac:dyDescent="0.35">
      <c r="A358" s="195">
        <v>46146</v>
      </c>
      <c r="B358" s="61" t="s">
        <v>324</v>
      </c>
      <c r="C358" s="231"/>
      <c r="D358" s="208">
        <v>250000</v>
      </c>
      <c r="E358" s="252">
        <f t="shared" si="5"/>
        <v>550043642</v>
      </c>
      <c r="F358" s="58"/>
      <c r="G358" s="54"/>
      <c r="H358" s="61" t="s">
        <v>37</v>
      </c>
    </row>
    <row r="359" spans="1:8" s="2" customFormat="1" x14ac:dyDescent="0.35">
      <c r="A359" s="195">
        <v>46147</v>
      </c>
      <c r="B359" s="61" t="s">
        <v>335</v>
      </c>
      <c r="C359" s="231"/>
      <c r="D359" s="208">
        <v>11304320</v>
      </c>
      <c r="E359" s="252">
        <f t="shared" si="5"/>
        <v>538739322</v>
      </c>
      <c r="F359" s="58">
        <v>2000157</v>
      </c>
      <c r="G359" s="54" t="s">
        <v>363</v>
      </c>
      <c r="H359" s="61" t="s">
        <v>437</v>
      </c>
    </row>
    <row r="360" spans="1:8" s="2" customFormat="1" x14ac:dyDescent="0.35">
      <c r="A360" s="195">
        <v>46147</v>
      </c>
      <c r="B360" s="61" t="s">
        <v>332</v>
      </c>
      <c r="C360" s="231"/>
      <c r="D360" s="208">
        <v>14024320</v>
      </c>
      <c r="E360" s="252">
        <f t="shared" si="5"/>
        <v>524715002</v>
      </c>
      <c r="F360" s="58">
        <v>2000160</v>
      </c>
      <c r="G360" s="54" t="s">
        <v>363</v>
      </c>
      <c r="H360" s="61" t="s">
        <v>437</v>
      </c>
    </row>
    <row r="361" spans="1:8" s="2" customFormat="1" x14ac:dyDescent="0.35">
      <c r="A361" s="195">
        <v>46147</v>
      </c>
      <c r="B361" s="61" t="s">
        <v>336</v>
      </c>
      <c r="C361" s="231"/>
      <c r="D361" s="208">
        <v>6332160</v>
      </c>
      <c r="E361" s="252">
        <f t="shared" si="5"/>
        <v>518382842</v>
      </c>
      <c r="F361" s="58">
        <v>2000155</v>
      </c>
      <c r="G361" s="54" t="s">
        <v>344</v>
      </c>
      <c r="H361" s="61" t="s">
        <v>437</v>
      </c>
    </row>
    <row r="362" spans="1:8" s="2" customFormat="1" x14ac:dyDescent="0.35">
      <c r="A362" s="195">
        <v>46147</v>
      </c>
      <c r="B362" s="61" t="s">
        <v>261</v>
      </c>
      <c r="C362" s="231"/>
      <c r="D362" s="208">
        <v>14557440</v>
      </c>
      <c r="E362" s="252">
        <f t="shared" si="5"/>
        <v>503825402</v>
      </c>
      <c r="F362" s="58">
        <v>2000161</v>
      </c>
      <c r="G362" s="54" t="s">
        <v>363</v>
      </c>
      <c r="H362" s="61" t="s">
        <v>437</v>
      </c>
    </row>
    <row r="363" spans="1:8" s="2" customFormat="1" x14ac:dyDescent="0.35">
      <c r="A363" s="195">
        <v>46147</v>
      </c>
      <c r="B363" s="61" t="s">
        <v>198</v>
      </c>
      <c r="C363" s="231"/>
      <c r="D363" s="208">
        <v>767246</v>
      </c>
      <c r="E363" s="252">
        <f t="shared" si="5"/>
        <v>503058156</v>
      </c>
      <c r="F363" s="58">
        <v>2000152</v>
      </c>
      <c r="G363" s="54" t="s">
        <v>350</v>
      </c>
      <c r="H363" s="61" t="s">
        <v>374</v>
      </c>
    </row>
    <row r="364" spans="1:8" s="2" customFormat="1" x14ac:dyDescent="0.35">
      <c r="A364" s="195">
        <v>46147</v>
      </c>
      <c r="B364" s="61" t="s">
        <v>262</v>
      </c>
      <c r="C364" s="231"/>
      <c r="D364" s="208">
        <v>4077000</v>
      </c>
      <c r="E364" s="252">
        <f t="shared" si="5"/>
        <v>498981156</v>
      </c>
      <c r="F364" s="58">
        <v>2000166</v>
      </c>
      <c r="G364" s="54" t="s">
        <v>363</v>
      </c>
      <c r="H364" s="61" t="s">
        <v>437</v>
      </c>
    </row>
    <row r="365" spans="1:8" s="2" customFormat="1" x14ac:dyDescent="0.35">
      <c r="A365" s="195">
        <v>46147</v>
      </c>
      <c r="B365" s="61" t="s">
        <v>337</v>
      </c>
      <c r="C365" s="231"/>
      <c r="D365" s="208">
        <v>42241600</v>
      </c>
      <c r="E365" s="252">
        <f t="shared" si="5"/>
        <v>456739556</v>
      </c>
      <c r="F365" s="58">
        <v>2000163</v>
      </c>
      <c r="G365" s="54" t="s">
        <v>363</v>
      </c>
      <c r="H365" s="61" t="s">
        <v>437</v>
      </c>
    </row>
    <row r="366" spans="1:8" s="2" customFormat="1" x14ac:dyDescent="0.35">
      <c r="A366" s="195">
        <v>46147</v>
      </c>
      <c r="B366" s="61" t="s">
        <v>261</v>
      </c>
      <c r="C366" s="231"/>
      <c r="D366" s="208">
        <v>25758400</v>
      </c>
      <c r="E366" s="252">
        <f t="shared" si="5"/>
        <v>430981156</v>
      </c>
      <c r="F366" s="58">
        <v>2000158</v>
      </c>
      <c r="G366" s="54" t="s">
        <v>363</v>
      </c>
      <c r="H366" s="61" t="s">
        <v>437</v>
      </c>
    </row>
    <row r="367" spans="1:8" s="2" customFormat="1" x14ac:dyDescent="0.35">
      <c r="A367" s="195">
        <v>46147</v>
      </c>
      <c r="B367" s="61" t="s">
        <v>343</v>
      </c>
      <c r="C367" s="231"/>
      <c r="D367" s="208">
        <v>22906800</v>
      </c>
      <c r="E367" s="252">
        <f t="shared" si="5"/>
        <v>408074356</v>
      </c>
      <c r="F367" s="58">
        <v>2000164</v>
      </c>
      <c r="G367" s="54" t="s">
        <v>363</v>
      </c>
      <c r="H367" s="61" t="s">
        <v>437</v>
      </c>
    </row>
    <row r="368" spans="1:8" s="2" customFormat="1" x14ac:dyDescent="0.35">
      <c r="A368" s="197">
        <v>46147</v>
      </c>
      <c r="B368" s="56" t="s">
        <v>8</v>
      </c>
      <c r="C368" s="234">
        <v>116031414</v>
      </c>
      <c r="D368" s="210"/>
      <c r="E368" s="254">
        <f t="shared" si="5"/>
        <v>524105770</v>
      </c>
      <c r="F368" s="130"/>
      <c r="G368" s="131"/>
      <c r="H368" s="61" t="s">
        <v>430</v>
      </c>
    </row>
    <row r="369" spans="1:8" s="2" customFormat="1" x14ac:dyDescent="0.35">
      <c r="A369" s="196">
        <v>46147</v>
      </c>
      <c r="B369" s="125" t="s">
        <v>73</v>
      </c>
      <c r="C369" s="232"/>
      <c r="D369" s="209">
        <v>10000000</v>
      </c>
      <c r="E369" s="253">
        <f t="shared" si="5"/>
        <v>514105770</v>
      </c>
      <c r="F369" s="129">
        <v>2000167</v>
      </c>
      <c r="G369" s="126" t="s">
        <v>56</v>
      </c>
      <c r="H369" s="61" t="s">
        <v>438</v>
      </c>
    </row>
    <row r="370" spans="1:8" s="2" customFormat="1" x14ac:dyDescent="0.35">
      <c r="A370" s="195">
        <v>46147</v>
      </c>
      <c r="B370" s="61" t="s">
        <v>264</v>
      </c>
      <c r="C370" s="231"/>
      <c r="D370" s="208">
        <v>26139200</v>
      </c>
      <c r="E370" s="252">
        <f t="shared" si="5"/>
        <v>487966570</v>
      </c>
      <c r="F370" s="58">
        <v>2000156</v>
      </c>
      <c r="G370" s="54" t="s">
        <v>363</v>
      </c>
      <c r="H370" s="61" t="s">
        <v>437</v>
      </c>
    </row>
    <row r="371" spans="1:8" s="2" customFormat="1" x14ac:dyDescent="0.35">
      <c r="A371" s="195">
        <v>46147</v>
      </c>
      <c r="B371" s="61" t="s">
        <v>339</v>
      </c>
      <c r="C371" s="231"/>
      <c r="D371" s="208">
        <v>12566400</v>
      </c>
      <c r="E371" s="252">
        <f t="shared" si="5"/>
        <v>475400170</v>
      </c>
      <c r="F371" s="58">
        <v>2000159</v>
      </c>
      <c r="G371" s="54" t="s">
        <v>363</v>
      </c>
      <c r="H371" s="61" t="s">
        <v>437</v>
      </c>
    </row>
    <row r="372" spans="1:8" s="2" customFormat="1" x14ac:dyDescent="0.35">
      <c r="A372" s="195">
        <v>46147</v>
      </c>
      <c r="B372" s="61" t="s">
        <v>333</v>
      </c>
      <c r="C372" s="231"/>
      <c r="D372" s="208">
        <v>41811840</v>
      </c>
      <c r="E372" s="252">
        <f t="shared" si="5"/>
        <v>433588330</v>
      </c>
      <c r="F372" s="58">
        <v>2000165</v>
      </c>
      <c r="G372" s="54" t="s">
        <v>363</v>
      </c>
      <c r="H372" s="61" t="s">
        <v>437</v>
      </c>
    </row>
    <row r="373" spans="1:8" s="2" customFormat="1" x14ac:dyDescent="0.35">
      <c r="A373" s="195">
        <v>46147</v>
      </c>
      <c r="B373" s="61" t="s">
        <v>325</v>
      </c>
      <c r="C373" s="231"/>
      <c r="D373" s="208">
        <v>300000000</v>
      </c>
      <c r="E373" s="252">
        <f t="shared" si="5"/>
        <v>133588330</v>
      </c>
      <c r="F373" s="58">
        <v>2000241</v>
      </c>
      <c r="G373" s="54" t="s">
        <v>265</v>
      </c>
      <c r="H373" s="61" t="s">
        <v>265</v>
      </c>
    </row>
    <row r="374" spans="1:8" s="2" customFormat="1" x14ac:dyDescent="0.35">
      <c r="A374" s="195">
        <v>46148</v>
      </c>
      <c r="B374" s="61" t="s">
        <v>338</v>
      </c>
      <c r="C374" s="231"/>
      <c r="D374" s="208">
        <v>1200000</v>
      </c>
      <c r="E374" s="252">
        <f t="shared" si="5"/>
        <v>132388330</v>
      </c>
      <c r="F374" s="58">
        <v>2000170</v>
      </c>
      <c r="G374" s="54" t="s">
        <v>163</v>
      </c>
      <c r="H374" s="61" t="s">
        <v>445</v>
      </c>
    </row>
    <row r="375" spans="1:8" s="2" customFormat="1" x14ac:dyDescent="0.35">
      <c r="A375" s="195">
        <v>46148</v>
      </c>
      <c r="B375" s="61" t="s">
        <v>53</v>
      </c>
      <c r="C375" s="231"/>
      <c r="D375" s="208">
        <v>3060000</v>
      </c>
      <c r="E375" s="252">
        <f t="shared" si="5"/>
        <v>129328330</v>
      </c>
      <c r="F375" s="58">
        <v>2000169</v>
      </c>
      <c r="G375" s="54" t="s">
        <v>222</v>
      </c>
      <c r="H375" s="61" t="s">
        <v>446</v>
      </c>
    </row>
    <row r="376" spans="1:8" x14ac:dyDescent="0.35">
      <c r="A376" s="195">
        <v>46148</v>
      </c>
      <c r="B376" s="61" t="s">
        <v>329</v>
      </c>
      <c r="C376" s="231"/>
      <c r="D376" s="208">
        <v>3348000</v>
      </c>
      <c r="E376" s="252">
        <f t="shared" si="5"/>
        <v>125980330</v>
      </c>
      <c r="F376" s="58">
        <v>2000175</v>
      </c>
      <c r="G376" s="54" t="s">
        <v>363</v>
      </c>
      <c r="H376" s="61" t="s">
        <v>437</v>
      </c>
    </row>
    <row r="377" spans="1:8" x14ac:dyDescent="0.35">
      <c r="A377" s="195">
        <v>46148</v>
      </c>
      <c r="B377" s="61" t="s">
        <v>266</v>
      </c>
      <c r="C377" s="231"/>
      <c r="D377" s="208">
        <v>13910400</v>
      </c>
      <c r="E377" s="252">
        <f t="shared" si="5"/>
        <v>112069930</v>
      </c>
      <c r="F377" s="58">
        <v>2000173</v>
      </c>
      <c r="G377" s="54" t="s">
        <v>363</v>
      </c>
      <c r="H377" s="61" t="s">
        <v>437</v>
      </c>
    </row>
    <row r="378" spans="1:8" x14ac:dyDescent="0.35">
      <c r="A378" s="195">
        <v>46148</v>
      </c>
      <c r="B378" s="61" t="s">
        <v>267</v>
      </c>
      <c r="C378" s="231"/>
      <c r="D378" s="208">
        <v>13551040</v>
      </c>
      <c r="E378" s="252">
        <f t="shared" si="5"/>
        <v>98518890</v>
      </c>
      <c r="F378" s="58">
        <v>2000172</v>
      </c>
      <c r="G378" s="54" t="s">
        <v>363</v>
      </c>
      <c r="H378" s="61" t="s">
        <v>437</v>
      </c>
    </row>
    <row r="379" spans="1:8" x14ac:dyDescent="0.35">
      <c r="A379" s="195">
        <v>46148</v>
      </c>
      <c r="B379" s="61" t="s">
        <v>37</v>
      </c>
      <c r="C379" s="231"/>
      <c r="D379" s="208">
        <v>1300000</v>
      </c>
      <c r="E379" s="252">
        <f t="shared" si="5"/>
        <v>97218890</v>
      </c>
      <c r="F379" s="58"/>
      <c r="G379" s="54"/>
      <c r="H379" s="61" t="s">
        <v>37</v>
      </c>
    </row>
    <row r="380" spans="1:8" x14ac:dyDescent="0.35">
      <c r="A380" s="195">
        <v>46148</v>
      </c>
      <c r="B380" s="61" t="s">
        <v>37</v>
      </c>
      <c r="C380" s="231"/>
      <c r="D380" s="208">
        <v>130000</v>
      </c>
      <c r="E380" s="252">
        <f t="shared" si="5"/>
        <v>97088890</v>
      </c>
      <c r="F380" s="58"/>
      <c r="G380" s="54"/>
      <c r="H380" s="61" t="s">
        <v>37</v>
      </c>
    </row>
    <row r="381" spans="1:8" x14ac:dyDescent="0.35">
      <c r="A381" s="195">
        <v>46148</v>
      </c>
      <c r="B381" s="61" t="s">
        <v>38</v>
      </c>
      <c r="C381" s="231">
        <v>260000000</v>
      </c>
      <c r="D381" s="208"/>
      <c r="E381" s="252">
        <f t="shared" si="5"/>
        <v>357088890</v>
      </c>
      <c r="F381" s="58"/>
      <c r="G381" s="54"/>
      <c r="H381" s="61" t="s">
        <v>176</v>
      </c>
    </row>
    <row r="382" spans="1:8" x14ac:dyDescent="0.35">
      <c r="A382" s="195">
        <v>46148</v>
      </c>
      <c r="B382" s="61" t="s">
        <v>326</v>
      </c>
      <c r="C382" s="231"/>
      <c r="D382" s="208">
        <v>260000</v>
      </c>
      <c r="E382" s="252">
        <f t="shared" si="5"/>
        <v>356828890</v>
      </c>
      <c r="F382" s="58"/>
      <c r="G382" s="54"/>
      <c r="H382" s="61" t="s">
        <v>37</v>
      </c>
    </row>
    <row r="383" spans="1:8" x14ac:dyDescent="0.35">
      <c r="A383" s="195">
        <v>46148</v>
      </c>
      <c r="B383" s="61" t="s">
        <v>339</v>
      </c>
      <c r="C383" s="231"/>
      <c r="D383" s="208">
        <v>23364800</v>
      </c>
      <c r="E383" s="252">
        <f t="shared" si="5"/>
        <v>333464090</v>
      </c>
      <c r="F383" s="58">
        <v>2000168</v>
      </c>
      <c r="G383" s="54" t="s">
        <v>363</v>
      </c>
      <c r="H383" s="61" t="s">
        <v>437</v>
      </c>
    </row>
    <row r="384" spans="1:8" x14ac:dyDescent="0.35">
      <c r="A384" s="195">
        <v>46149</v>
      </c>
      <c r="B384" s="61" t="s">
        <v>333</v>
      </c>
      <c r="C384" s="231"/>
      <c r="D384" s="208">
        <v>40685760</v>
      </c>
      <c r="E384" s="252">
        <f t="shared" si="5"/>
        <v>292778330</v>
      </c>
      <c r="F384" s="58">
        <v>2000171</v>
      </c>
      <c r="G384" s="54" t="s">
        <v>363</v>
      </c>
      <c r="H384" s="61" t="s">
        <v>437</v>
      </c>
    </row>
    <row r="385" spans="1:8" x14ac:dyDescent="0.35">
      <c r="A385" s="195">
        <v>46149</v>
      </c>
      <c r="B385" s="61" t="s">
        <v>332</v>
      </c>
      <c r="C385" s="231"/>
      <c r="D385" s="208">
        <v>13072320</v>
      </c>
      <c r="E385" s="252">
        <f t="shared" si="5"/>
        <v>279706010</v>
      </c>
      <c r="F385" s="58">
        <v>2000178</v>
      </c>
      <c r="G385" s="54" t="s">
        <v>363</v>
      </c>
      <c r="H385" s="61" t="s">
        <v>437</v>
      </c>
    </row>
    <row r="386" spans="1:8" x14ac:dyDescent="0.35">
      <c r="A386" s="195">
        <v>46149</v>
      </c>
      <c r="B386" s="61" t="s">
        <v>152</v>
      </c>
      <c r="C386" s="231"/>
      <c r="D386" s="208">
        <v>786258</v>
      </c>
      <c r="E386" s="252">
        <f t="shared" si="5"/>
        <v>278919752</v>
      </c>
      <c r="F386" s="58">
        <v>2000177</v>
      </c>
      <c r="G386" s="54" t="s">
        <v>327</v>
      </c>
      <c r="H386" s="61" t="s">
        <v>374</v>
      </c>
    </row>
    <row r="387" spans="1:8" x14ac:dyDescent="0.35">
      <c r="A387" s="195">
        <v>46149</v>
      </c>
      <c r="B387" s="61" t="s">
        <v>262</v>
      </c>
      <c r="C387" s="231"/>
      <c r="D387" s="208">
        <v>15550080</v>
      </c>
      <c r="E387" s="252">
        <f t="shared" si="5"/>
        <v>263369672</v>
      </c>
      <c r="F387" s="58">
        <v>2000179</v>
      </c>
      <c r="G387" s="54" t="s">
        <v>363</v>
      </c>
      <c r="H387" s="61" t="s">
        <v>437</v>
      </c>
    </row>
    <row r="388" spans="1:8" x14ac:dyDescent="0.35">
      <c r="A388" s="195">
        <v>46149</v>
      </c>
      <c r="B388" s="61" t="s">
        <v>262</v>
      </c>
      <c r="C388" s="231"/>
      <c r="D388" s="208">
        <v>3046400</v>
      </c>
      <c r="E388" s="252">
        <f t="shared" si="5"/>
        <v>260323272</v>
      </c>
      <c r="F388" s="58">
        <v>2000180</v>
      </c>
      <c r="G388" s="54" t="s">
        <v>363</v>
      </c>
      <c r="H388" s="61" t="s">
        <v>437</v>
      </c>
    </row>
    <row r="389" spans="1:8" x14ac:dyDescent="0.35">
      <c r="A389" s="195">
        <v>46149</v>
      </c>
      <c r="B389" s="61" t="s">
        <v>339</v>
      </c>
      <c r="C389" s="231"/>
      <c r="D389" s="208">
        <v>35332800</v>
      </c>
      <c r="E389" s="252">
        <f t="shared" ref="E389:E452" si="6">E388+C389-D389</f>
        <v>224990472</v>
      </c>
      <c r="F389" s="58">
        <v>2000174</v>
      </c>
      <c r="G389" s="54" t="s">
        <v>363</v>
      </c>
      <c r="H389" s="61" t="s">
        <v>437</v>
      </c>
    </row>
    <row r="390" spans="1:8" x14ac:dyDescent="0.35">
      <c r="A390" s="195">
        <v>46149</v>
      </c>
      <c r="B390" s="61" t="s">
        <v>343</v>
      </c>
      <c r="C390" s="231"/>
      <c r="D390" s="208">
        <v>15201000</v>
      </c>
      <c r="E390" s="252">
        <f t="shared" si="6"/>
        <v>209789472</v>
      </c>
      <c r="F390" s="58">
        <v>2000174</v>
      </c>
      <c r="G390" s="54" t="s">
        <v>363</v>
      </c>
      <c r="H390" s="61" t="s">
        <v>437</v>
      </c>
    </row>
    <row r="391" spans="1:8" x14ac:dyDescent="0.35">
      <c r="A391" s="195">
        <v>46150</v>
      </c>
      <c r="B391" s="61" t="s">
        <v>362</v>
      </c>
      <c r="C391" s="231"/>
      <c r="D391" s="208">
        <v>19000000</v>
      </c>
      <c r="E391" s="252">
        <f t="shared" si="6"/>
        <v>190789472</v>
      </c>
      <c r="F391" s="58">
        <v>2000183</v>
      </c>
      <c r="G391" s="54" t="s">
        <v>361</v>
      </c>
      <c r="H391" s="61" t="s">
        <v>450</v>
      </c>
    </row>
    <row r="392" spans="1:8" x14ac:dyDescent="0.35">
      <c r="A392" s="195">
        <v>46150</v>
      </c>
      <c r="B392" s="61" t="s">
        <v>336</v>
      </c>
      <c r="C392" s="231"/>
      <c r="D392" s="208">
        <v>5951360</v>
      </c>
      <c r="E392" s="252">
        <f t="shared" si="6"/>
        <v>184838112</v>
      </c>
      <c r="F392" s="58">
        <v>2000185</v>
      </c>
      <c r="G392" s="54" t="s">
        <v>344</v>
      </c>
      <c r="H392" s="61" t="s">
        <v>437</v>
      </c>
    </row>
    <row r="393" spans="1:8" x14ac:dyDescent="0.35">
      <c r="A393" s="195">
        <v>46150</v>
      </c>
      <c r="B393" s="61" t="s">
        <v>262</v>
      </c>
      <c r="C393" s="231"/>
      <c r="D393" s="208">
        <v>13873860</v>
      </c>
      <c r="E393" s="252">
        <f t="shared" si="6"/>
        <v>170964252</v>
      </c>
      <c r="F393" s="58">
        <v>2000188</v>
      </c>
      <c r="G393" s="54" t="s">
        <v>363</v>
      </c>
      <c r="H393" s="61" t="s">
        <v>437</v>
      </c>
    </row>
    <row r="394" spans="1:8" x14ac:dyDescent="0.35">
      <c r="A394" s="195">
        <v>46150</v>
      </c>
      <c r="B394" s="61" t="s">
        <v>339</v>
      </c>
      <c r="C394" s="231"/>
      <c r="D394" s="208">
        <v>26824640</v>
      </c>
      <c r="E394" s="252">
        <f t="shared" si="6"/>
        <v>144139612</v>
      </c>
      <c r="F394" s="58">
        <v>2000186</v>
      </c>
      <c r="G394" s="54" t="s">
        <v>363</v>
      </c>
      <c r="H394" s="61" t="s">
        <v>437</v>
      </c>
    </row>
    <row r="395" spans="1:8" x14ac:dyDescent="0.35">
      <c r="A395" s="195">
        <v>46150</v>
      </c>
      <c r="B395" s="61" t="s">
        <v>333</v>
      </c>
      <c r="C395" s="231"/>
      <c r="D395" s="208">
        <v>13915520</v>
      </c>
      <c r="E395" s="252">
        <f t="shared" si="6"/>
        <v>130224092</v>
      </c>
      <c r="F395" s="58">
        <v>2000189</v>
      </c>
      <c r="G395" s="54" t="s">
        <v>363</v>
      </c>
      <c r="H395" s="61" t="s">
        <v>437</v>
      </c>
    </row>
    <row r="396" spans="1:8" x14ac:dyDescent="0.35">
      <c r="A396" s="195">
        <v>46150</v>
      </c>
      <c r="B396" s="61" t="s">
        <v>268</v>
      </c>
      <c r="C396" s="231"/>
      <c r="D396" s="208">
        <v>5400000</v>
      </c>
      <c r="E396" s="252">
        <f t="shared" si="6"/>
        <v>124824092</v>
      </c>
      <c r="F396" s="58">
        <v>2000181</v>
      </c>
      <c r="G396" s="54" t="s">
        <v>340</v>
      </c>
      <c r="H396" s="61" t="s">
        <v>443</v>
      </c>
    </row>
    <row r="397" spans="1:8" x14ac:dyDescent="0.35">
      <c r="A397" s="195">
        <v>46153</v>
      </c>
      <c r="B397" s="61" t="s">
        <v>332</v>
      </c>
      <c r="C397" s="231"/>
      <c r="D397" s="208">
        <v>13398840</v>
      </c>
      <c r="E397" s="252">
        <f t="shared" si="6"/>
        <v>111425252</v>
      </c>
      <c r="F397" s="58">
        <v>2000191</v>
      </c>
      <c r="G397" s="54" t="s">
        <v>363</v>
      </c>
      <c r="H397" s="61" t="s">
        <v>437</v>
      </c>
    </row>
    <row r="398" spans="1:8" x14ac:dyDescent="0.35">
      <c r="A398" s="195">
        <v>46153</v>
      </c>
      <c r="B398" s="61" t="s">
        <v>40</v>
      </c>
      <c r="C398" s="231"/>
      <c r="D398" s="208">
        <v>500000</v>
      </c>
      <c r="E398" s="252">
        <f t="shared" si="6"/>
        <v>110925252</v>
      </c>
      <c r="F398" s="58">
        <v>2000190</v>
      </c>
      <c r="G398" s="54" t="s">
        <v>205</v>
      </c>
      <c r="H398" s="61" t="s">
        <v>205</v>
      </c>
    </row>
    <row r="399" spans="1:8" x14ac:dyDescent="0.35">
      <c r="A399" s="195">
        <v>46153</v>
      </c>
      <c r="B399" s="61" t="s">
        <v>269</v>
      </c>
      <c r="C399" s="231"/>
      <c r="D399" s="208">
        <v>20000000</v>
      </c>
      <c r="E399" s="252">
        <f t="shared" si="6"/>
        <v>90925252</v>
      </c>
      <c r="F399" s="58">
        <v>2000197</v>
      </c>
      <c r="G399" s="54" t="s">
        <v>363</v>
      </c>
      <c r="H399" s="61" t="s">
        <v>437</v>
      </c>
    </row>
    <row r="400" spans="1:8" x14ac:dyDescent="0.35">
      <c r="A400" s="195">
        <v>46153</v>
      </c>
      <c r="B400" s="61" t="s">
        <v>269</v>
      </c>
      <c r="C400" s="231"/>
      <c r="D400" s="208">
        <v>30000000</v>
      </c>
      <c r="E400" s="252">
        <f t="shared" si="6"/>
        <v>60925252</v>
      </c>
      <c r="F400" s="58">
        <v>2000194</v>
      </c>
      <c r="G400" s="54" t="s">
        <v>363</v>
      </c>
      <c r="H400" s="61" t="s">
        <v>437</v>
      </c>
    </row>
    <row r="401" spans="1:8" x14ac:dyDescent="0.35">
      <c r="A401" s="195">
        <v>46153</v>
      </c>
      <c r="B401" s="61" t="s">
        <v>269</v>
      </c>
      <c r="C401" s="231"/>
      <c r="D401" s="208">
        <v>30000000</v>
      </c>
      <c r="E401" s="252">
        <f t="shared" si="6"/>
        <v>30925252</v>
      </c>
      <c r="F401" s="58">
        <v>2000196</v>
      </c>
      <c r="G401" s="54" t="s">
        <v>363</v>
      </c>
      <c r="H401" s="61" t="s">
        <v>437</v>
      </c>
    </row>
    <row r="402" spans="1:8" x14ac:dyDescent="0.35">
      <c r="A402" s="195">
        <v>46153</v>
      </c>
      <c r="B402" s="61" t="s">
        <v>16</v>
      </c>
      <c r="C402" s="231">
        <v>7413246</v>
      </c>
      <c r="D402" s="208"/>
      <c r="E402" s="252">
        <f t="shared" si="6"/>
        <v>38338498</v>
      </c>
      <c r="F402" s="58" t="s">
        <v>270</v>
      </c>
      <c r="G402" s="54" t="s">
        <v>341</v>
      </c>
      <c r="H402" s="61" t="s">
        <v>433</v>
      </c>
    </row>
    <row r="403" spans="1:8" x14ac:dyDescent="0.35">
      <c r="A403" s="195">
        <v>46153</v>
      </c>
      <c r="B403" s="61" t="s">
        <v>25</v>
      </c>
      <c r="C403" s="231"/>
      <c r="D403" s="208">
        <v>8000000</v>
      </c>
      <c r="E403" s="252">
        <f t="shared" si="6"/>
        <v>30338498</v>
      </c>
      <c r="F403" s="58">
        <v>2000187</v>
      </c>
      <c r="G403" s="54" t="s">
        <v>202</v>
      </c>
      <c r="H403" s="61" t="s">
        <v>440</v>
      </c>
    </row>
    <row r="404" spans="1:8" x14ac:dyDescent="0.35">
      <c r="A404" s="195">
        <v>46154</v>
      </c>
      <c r="B404" s="61" t="s">
        <v>271</v>
      </c>
      <c r="C404" s="231"/>
      <c r="D404" s="208">
        <v>11580660</v>
      </c>
      <c r="E404" s="252">
        <f t="shared" si="6"/>
        <v>18757838</v>
      </c>
      <c r="F404" s="58">
        <v>2000401</v>
      </c>
      <c r="G404" s="54" t="s">
        <v>363</v>
      </c>
      <c r="H404" s="61" t="s">
        <v>437</v>
      </c>
    </row>
    <row r="405" spans="1:8" x14ac:dyDescent="0.35">
      <c r="A405" s="195">
        <v>46154</v>
      </c>
      <c r="B405" s="61" t="s">
        <v>271</v>
      </c>
      <c r="C405" s="231"/>
      <c r="D405" s="208">
        <v>13972140</v>
      </c>
      <c r="E405" s="252">
        <f t="shared" si="6"/>
        <v>4785698</v>
      </c>
      <c r="F405" s="58">
        <v>2000402</v>
      </c>
      <c r="G405" s="54" t="s">
        <v>363</v>
      </c>
      <c r="H405" s="61" t="s">
        <v>437</v>
      </c>
    </row>
    <row r="406" spans="1:8" x14ac:dyDescent="0.35">
      <c r="A406" s="196">
        <v>46154</v>
      </c>
      <c r="B406" s="125" t="s">
        <v>342</v>
      </c>
      <c r="C406" s="232">
        <v>20000000</v>
      </c>
      <c r="D406" s="209"/>
      <c r="E406" s="253">
        <f t="shared" si="6"/>
        <v>24785698</v>
      </c>
      <c r="F406" s="129"/>
      <c r="G406" s="126" t="s">
        <v>272</v>
      </c>
      <c r="H406" s="61" t="s">
        <v>435</v>
      </c>
    </row>
    <row r="407" spans="1:8" x14ac:dyDescent="0.35">
      <c r="A407" s="196">
        <v>46154</v>
      </c>
      <c r="B407" s="125" t="s">
        <v>342</v>
      </c>
      <c r="C407" s="232">
        <v>15780650</v>
      </c>
      <c r="D407" s="209"/>
      <c r="E407" s="253">
        <f t="shared" si="6"/>
        <v>40566348</v>
      </c>
      <c r="F407" s="129"/>
      <c r="G407" s="125" t="s">
        <v>273</v>
      </c>
      <c r="H407" s="61" t="s">
        <v>435</v>
      </c>
    </row>
    <row r="408" spans="1:8" x14ac:dyDescent="0.35">
      <c r="A408" s="196">
        <v>46154</v>
      </c>
      <c r="B408" s="125" t="s">
        <v>342</v>
      </c>
      <c r="C408" s="232">
        <v>20000000</v>
      </c>
      <c r="D408" s="209"/>
      <c r="E408" s="253">
        <f t="shared" si="6"/>
        <v>60566348</v>
      </c>
      <c r="F408" s="129"/>
      <c r="G408" s="126" t="s">
        <v>272</v>
      </c>
      <c r="H408" s="61" t="s">
        <v>435</v>
      </c>
    </row>
    <row r="409" spans="1:8" x14ac:dyDescent="0.35">
      <c r="A409" s="196">
        <v>46154</v>
      </c>
      <c r="B409" s="125" t="s">
        <v>342</v>
      </c>
      <c r="C409" s="232">
        <v>20000000</v>
      </c>
      <c r="D409" s="209"/>
      <c r="E409" s="253">
        <f t="shared" si="6"/>
        <v>80566348</v>
      </c>
      <c r="F409" s="129"/>
      <c r="G409" s="126" t="s">
        <v>272</v>
      </c>
      <c r="H409" s="61" t="s">
        <v>435</v>
      </c>
    </row>
    <row r="410" spans="1:8" x14ac:dyDescent="0.35">
      <c r="A410" s="196">
        <v>46154</v>
      </c>
      <c r="B410" s="125" t="s">
        <v>342</v>
      </c>
      <c r="C410" s="232">
        <v>2000000</v>
      </c>
      <c r="D410" s="209"/>
      <c r="E410" s="253">
        <f t="shared" si="6"/>
        <v>82566348</v>
      </c>
      <c r="F410" s="129"/>
      <c r="G410" s="126" t="s">
        <v>272</v>
      </c>
      <c r="H410" s="61" t="s">
        <v>435</v>
      </c>
    </row>
    <row r="411" spans="1:8" x14ac:dyDescent="0.35">
      <c r="A411" s="196">
        <v>46154</v>
      </c>
      <c r="B411" s="125" t="s">
        <v>342</v>
      </c>
      <c r="C411" s="232">
        <v>20000000</v>
      </c>
      <c r="D411" s="209"/>
      <c r="E411" s="253">
        <f t="shared" si="6"/>
        <v>102566348</v>
      </c>
      <c r="F411" s="129"/>
      <c r="G411" s="126" t="s">
        <v>274</v>
      </c>
      <c r="H411" s="61" t="s">
        <v>435</v>
      </c>
    </row>
    <row r="412" spans="1:8" x14ac:dyDescent="0.35">
      <c r="A412" s="196">
        <v>46154</v>
      </c>
      <c r="B412" s="125" t="s">
        <v>342</v>
      </c>
      <c r="C412" s="232">
        <v>10000000</v>
      </c>
      <c r="D412" s="209"/>
      <c r="E412" s="253">
        <f t="shared" si="6"/>
        <v>112566348</v>
      </c>
      <c r="F412" s="129"/>
      <c r="G412" s="126" t="s">
        <v>274</v>
      </c>
      <c r="H412" s="61" t="s">
        <v>435</v>
      </c>
    </row>
    <row r="413" spans="1:8" x14ac:dyDescent="0.35">
      <c r="A413" s="195">
        <v>46154</v>
      </c>
      <c r="B413" s="61" t="s">
        <v>262</v>
      </c>
      <c r="C413" s="231"/>
      <c r="D413" s="208">
        <v>17854200</v>
      </c>
      <c r="E413" s="252">
        <f t="shared" si="6"/>
        <v>94712148</v>
      </c>
      <c r="F413" s="58">
        <v>2000198</v>
      </c>
      <c r="G413" s="54" t="s">
        <v>363</v>
      </c>
      <c r="H413" s="61" t="s">
        <v>437</v>
      </c>
    </row>
    <row r="414" spans="1:8" x14ac:dyDescent="0.35">
      <c r="A414" s="195">
        <v>46154</v>
      </c>
      <c r="B414" s="61" t="s">
        <v>269</v>
      </c>
      <c r="C414" s="231"/>
      <c r="D414" s="208">
        <v>67985800</v>
      </c>
      <c r="E414" s="252">
        <f t="shared" si="6"/>
        <v>26726348</v>
      </c>
      <c r="F414" s="58">
        <v>2000403</v>
      </c>
      <c r="G414" s="54" t="s">
        <v>363</v>
      </c>
      <c r="H414" s="61" t="s">
        <v>437</v>
      </c>
    </row>
    <row r="415" spans="1:8" x14ac:dyDescent="0.35">
      <c r="A415" s="195">
        <v>46154</v>
      </c>
      <c r="B415" s="61" t="s">
        <v>333</v>
      </c>
      <c r="C415" s="231"/>
      <c r="D415" s="208">
        <v>9555000</v>
      </c>
      <c r="E415" s="252">
        <f t="shared" si="6"/>
        <v>17171348</v>
      </c>
      <c r="F415" s="58">
        <v>2000404</v>
      </c>
      <c r="G415" s="54" t="s">
        <v>363</v>
      </c>
      <c r="H415" s="61" t="s">
        <v>437</v>
      </c>
    </row>
    <row r="416" spans="1:8" x14ac:dyDescent="0.35">
      <c r="A416" s="195">
        <v>46154</v>
      </c>
      <c r="B416" s="61" t="s">
        <v>291</v>
      </c>
      <c r="C416" s="231"/>
      <c r="D416" s="208">
        <v>300000</v>
      </c>
      <c r="E416" s="252">
        <f t="shared" si="6"/>
        <v>16871348</v>
      </c>
      <c r="F416" s="58"/>
      <c r="G416" s="54"/>
      <c r="H416" s="61" t="s">
        <v>37</v>
      </c>
    </row>
    <row r="417" spans="1:8" x14ac:dyDescent="0.35">
      <c r="A417" s="195">
        <v>46154</v>
      </c>
      <c r="B417" s="61" t="s">
        <v>37</v>
      </c>
      <c r="C417" s="231"/>
      <c r="D417" s="208">
        <v>1500000</v>
      </c>
      <c r="E417" s="252">
        <f t="shared" si="6"/>
        <v>15371348</v>
      </c>
      <c r="F417" s="58"/>
      <c r="G417" s="54"/>
      <c r="H417" s="61" t="s">
        <v>37</v>
      </c>
    </row>
    <row r="418" spans="1:8" x14ac:dyDescent="0.35">
      <c r="A418" s="195">
        <v>46154</v>
      </c>
      <c r="B418" s="61" t="s">
        <v>37</v>
      </c>
      <c r="C418" s="231"/>
      <c r="D418" s="208">
        <v>150000</v>
      </c>
      <c r="E418" s="252">
        <f t="shared" si="6"/>
        <v>15221348</v>
      </c>
      <c r="F418" s="58"/>
      <c r="G418" s="54"/>
      <c r="H418" s="61" t="s">
        <v>37</v>
      </c>
    </row>
    <row r="419" spans="1:8" x14ac:dyDescent="0.35">
      <c r="A419" s="195">
        <v>46154</v>
      </c>
      <c r="B419" s="61" t="s">
        <v>38</v>
      </c>
      <c r="C419" s="231">
        <v>300000000</v>
      </c>
      <c r="D419" s="208"/>
      <c r="E419" s="252">
        <f t="shared" si="6"/>
        <v>315221348</v>
      </c>
      <c r="F419" s="58"/>
      <c r="G419" s="54"/>
      <c r="H419" s="61" t="s">
        <v>176</v>
      </c>
    </row>
    <row r="420" spans="1:8" x14ac:dyDescent="0.35">
      <c r="A420" s="195">
        <v>46154</v>
      </c>
      <c r="B420" s="61" t="s">
        <v>336</v>
      </c>
      <c r="C420" s="231"/>
      <c r="D420" s="208">
        <v>18116280</v>
      </c>
      <c r="E420" s="252">
        <f t="shared" si="6"/>
        <v>297105068</v>
      </c>
      <c r="F420" s="58">
        <v>2000199</v>
      </c>
      <c r="G420" s="54" t="s">
        <v>344</v>
      </c>
      <c r="H420" s="61" t="s">
        <v>437</v>
      </c>
    </row>
    <row r="421" spans="1:8" x14ac:dyDescent="0.35">
      <c r="A421" s="195">
        <v>46154</v>
      </c>
      <c r="B421" s="61" t="s">
        <v>336</v>
      </c>
      <c r="C421" s="231"/>
      <c r="D421" s="208">
        <v>11613420</v>
      </c>
      <c r="E421" s="252">
        <f t="shared" si="6"/>
        <v>285491648</v>
      </c>
      <c r="F421" s="58">
        <v>2000407</v>
      </c>
      <c r="G421" s="54" t="s">
        <v>344</v>
      </c>
      <c r="H421" s="61" t="s">
        <v>437</v>
      </c>
    </row>
    <row r="422" spans="1:8" x14ac:dyDescent="0.35">
      <c r="A422" s="195">
        <v>46154</v>
      </c>
      <c r="B422" s="61" t="s">
        <v>343</v>
      </c>
      <c r="C422" s="231"/>
      <c r="D422" s="208">
        <v>20485920</v>
      </c>
      <c r="E422" s="252">
        <f t="shared" si="6"/>
        <v>265005728</v>
      </c>
      <c r="F422" s="58">
        <v>2000406</v>
      </c>
      <c r="G422" s="54" t="s">
        <v>363</v>
      </c>
      <c r="H422" s="61" t="s">
        <v>437</v>
      </c>
    </row>
    <row r="423" spans="1:8" x14ac:dyDescent="0.35">
      <c r="A423" s="195">
        <v>46154</v>
      </c>
      <c r="B423" s="61" t="s">
        <v>275</v>
      </c>
      <c r="C423" s="231"/>
      <c r="D423" s="208">
        <v>42421500</v>
      </c>
      <c r="E423" s="252">
        <f t="shared" si="6"/>
        <v>222584228</v>
      </c>
      <c r="F423" s="58">
        <v>2000200</v>
      </c>
      <c r="G423" s="54" t="s">
        <v>363</v>
      </c>
      <c r="H423" s="61" t="s">
        <v>437</v>
      </c>
    </row>
    <row r="424" spans="1:8" x14ac:dyDescent="0.35">
      <c r="A424" s="195">
        <v>46154</v>
      </c>
      <c r="B424" s="61" t="s">
        <v>26</v>
      </c>
      <c r="C424" s="231"/>
      <c r="D424" s="208">
        <v>349200</v>
      </c>
      <c r="E424" s="252">
        <f t="shared" si="6"/>
        <v>222235028</v>
      </c>
      <c r="F424" s="58">
        <v>2000405</v>
      </c>
      <c r="G424" s="54" t="s">
        <v>60</v>
      </c>
      <c r="H424" s="61" t="s">
        <v>445</v>
      </c>
    </row>
    <row r="425" spans="1:8" x14ac:dyDescent="0.35">
      <c r="A425" s="195">
        <v>46155</v>
      </c>
      <c r="B425" s="61" t="s">
        <v>329</v>
      </c>
      <c r="C425" s="231"/>
      <c r="D425" s="208">
        <v>3753600</v>
      </c>
      <c r="E425" s="252">
        <f t="shared" si="6"/>
        <v>218481428</v>
      </c>
      <c r="F425" s="58">
        <v>2000411</v>
      </c>
      <c r="G425" s="54" t="s">
        <v>363</v>
      </c>
      <c r="H425" s="61" t="s">
        <v>437</v>
      </c>
    </row>
    <row r="426" spans="1:8" x14ac:dyDescent="0.35">
      <c r="A426" s="195">
        <v>46155</v>
      </c>
      <c r="B426" s="61" t="s">
        <v>328</v>
      </c>
      <c r="C426" s="231"/>
      <c r="D426" s="208">
        <v>2241000</v>
      </c>
      <c r="E426" s="252">
        <f t="shared" si="6"/>
        <v>216240428</v>
      </c>
      <c r="F426" s="58">
        <v>2000409</v>
      </c>
      <c r="G426" s="54" t="s">
        <v>363</v>
      </c>
      <c r="H426" s="61" t="s">
        <v>437</v>
      </c>
    </row>
    <row r="427" spans="1:8" x14ac:dyDescent="0.35">
      <c r="A427" s="195">
        <v>46155</v>
      </c>
      <c r="B427" s="61" t="s">
        <v>42</v>
      </c>
      <c r="C427" s="231"/>
      <c r="D427" s="208">
        <v>806465</v>
      </c>
      <c r="E427" s="252">
        <f t="shared" si="6"/>
        <v>215433963</v>
      </c>
      <c r="F427" s="58">
        <v>2000410</v>
      </c>
      <c r="G427" s="54" t="s">
        <v>206</v>
      </c>
      <c r="H427" s="61" t="s">
        <v>374</v>
      </c>
    </row>
    <row r="428" spans="1:8" x14ac:dyDescent="0.35">
      <c r="A428" s="195">
        <v>46155</v>
      </c>
      <c r="B428" s="61" t="s">
        <v>271</v>
      </c>
      <c r="C428" s="231"/>
      <c r="D428" s="208">
        <v>13164060</v>
      </c>
      <c r="E428" s="252">
        <f t="shared" si="6"/>
        <v>202269903</v>
      </c>
      <c r="F428" s="58">
        <v>2000408</v>
      </c>
      <c r="G428" s="54" t="s">
        <v>363</v>
      </c>
      <c r="H428" s="61" t="s">
        <v>437</v>
      </c>
    </row>
    <row r="429" spans="1:8" x14ac:dyDescent="0.35">
      <c r="A429" s="195">
        <v>46155</v>
      </c>
      <c r="B429" s="61" t="s">
        <v>333</v>
      </c>
      <c r="C429" s="231"/>
      <c r="D429" s="208">
        <v>28627500</v>
      </c>
      <c r="E429" s="252">
        <f t="shared" si="6"/>
        <v>173642403</v>
      </c>
      <c r="F429" s="58">
        <v>2000412</v>
      </c>
      <c r="G429" s="54" t="s">
        <v>363</v>
      </c>
      <c r="H429" s="61" t="s">
        <v>437</v>
      </c>
    </row>
    <row r="430" spans="1:8" x14ac:dyDescent="0.35">
      <c r="A430" s="195">
        <v>46155</v>
      </c>
      <c r="B430" s="61" t="s">
        <v>37</v>
      </c>
      <c r="C430" s="231"/>
      <c r="D430" s="208">
        <v>2000000</v>
      </c>
      <c r="E430" s="252">
        <f t="shared" si="6"/>
        <v>171642403</v>
      </c>
      <c r="F430" s="58"/>
      <c r="G430" s="54"/>
      <c r="H430" s="61" t="s">
        <v>37</v>
      </c>
    </row>
    <row r="431" spans="1:8" x14ac:dyDescent="0.35">
      <c r="A431" s="195">
        <v>46155</v>
      </c>
      <c r="B431" s="61" t="s">
        <v>37</v>
      </c>
      <c r="C431" s="231"/>
      <c r="D431" s="208">
        <v>200000</v>
      </c>
      <c r="E431" s="252">
        <f t="shared" si="6"/>
        <v>171442403</v>
      </c>
      <c r="F431" s="58"/>
      <c r="G431" s="54"/>
      <c r="H431" s="61" t="s">
        <v>37</v>
      </c>
    </row>
    <row r="432" spans="1:8" x14ac:dyDescent="0.35">
      <c r="A432" s="195">
        <v>46155</v>
      </c>
      <c r="B432" s="61" t="s">
        <v>38</v>
      </c>
      <c r="C432" s="231">
        <v>400000000</v>
      </c>
      <c r="D432" s="208"/>
      <c r="E432" s="252">
        <f t="shared" si="6"/>
        <v>571442403</v>
      </c>
      <c r="F432" s="58"/>
      <c r="G432" s="54"/>
      <c r="H432" s="61" t="s">
        <v>176</v>
      </c>
    </row>
    <row r="433" spans="1:8" x14ac:dyDescent="0.35">
      <c r="A433" s="195">
        <v>46155</v>
      </c>
      <c r="B433" s="61" t="s">
        <v>23</v>
      </c>
      <c r="C433" s="231"/>
      <c r="D433" s="208">
        <v>400000</v>
      </c>
      <c r="E433" s="252">
        <f t="shared" si="6"/>
        <v>571042403</v>
      </c>
      <c r="F433" s="58"/>
      <c r="G433" s="54"/>
      <c r="H433" s="61" t="s">
        <v>37</v>
      </c>
    </row>
    <row r="434" spans="1:8" x14ac:dyDescent="0.35">
      <c r="A434" s="195">
        <v>46157</v>
      </c>
      <c r="B434" s="61" t="s">
        <v>332</v>
      </c>
      <c r="C434" s="231"/>
      <c r="D434" s="213">
        <v>23089000</v>
      </c>
      <c r="E434" s="252">
        <f t="shared" si="6"/>
        <v>547953403</v>
      </c>
      <c r="F434" s="61">
        <v>2000415</v>
      </c>
      <c r="G434" s="54" t="s">
        <v>363</v>
      </c>
      <c r="H434" s="61" t="s">
        <v>437</v>
      </c>
    </row>
    <row r="435" spans="1:8" x14ac:dyDescent="0.35">
      <c r="A435" s="195">
        <v>46157</v>
      </c>
      <c r="B435" s="61" t="s">
        <v>263</v>
      </c>
      <c r="C435" s="231"/>
      <c r="D435" s="214">
        <v>8178500</v>
      </c>
      <c r="E435" s="252">
        <f t="shared" si="6"/>
        <v>539774903</v>
      </c>
      <c r="F435" s="61">
        <v>2000413</v>
      </c>
      <c r="G435" s="54" t="s">
        <v>363</v>
      </c>
      <c r="H435" s="61" t="s">
        <v>437</v>
      </c>
    </row>
    <row r="436" spans="1:8" x14ac:dyDescent="0.35">
      <c r="A436" s="195">
        <v>46157</v>
      </c>
      <c r="B436" s="61" t="s">
        <v>330</v>
      </c>
      <c r="C436" s="231"/>
      <c r="D436" s="214">
        <v>7953000</v>
      </c>
      <c r="E436" s="252">
        <f t="shared" si="6"/>
        <v>531821903</v>
      </c>
      <c r="F436" s="61">
        <v>2000418</v>
      </c>
      <c r="G436" s="61" t="s">
        <v>344</v>
      </c>
      <c r="H436" s="61" t="s">
        <v>437</v>
      </c>
    </row>
    <row r="437" spans="1:8" x14ac:dyDescent="0.35">
      <c r="A437" s="195">
        <v>46157</v>
      </c>
      <c r="B437" s="61" t="s">
        <v>17</v>
      </c>
      <c r="C437" s="231">
        <v>13469000</v>
      </c>
      <c r="D437" s="214"/>
      <c r="E437" s="252">
        <f t="shared" si="6"/>
        <v>545290903</v>
      </c>
      <c r="F437" s="61"/>
      <c r="G437" s="61" t="s">
        <v>273</v>
      </c>
      <c r="H437" s="61" t="s">
        <v>435</v>
      </c>
    </row>
    <row r="438" spans="1:8" x14ac:dyDescent="0.35">
      <c r="A438" s="195">
        <v>46157</v>
      </c>
      <c r="B438" s="61" t="s">
        <v>17</v>
      </c>
      <c r="C438" s="231">
        <v>10000350</v>
      </c>
      <c r="D438" s="214"/>
      <c r="E438" s="252">
        <f t="shared" si="6"/>
        <v>555291253</v>
      </c>
      <c r="F438" s="61"/>
      <c r="G438" s="61" t="s">
        <v>273</v>
      </c>
      <c r="H438" s="61" t="s">
        <v>435</v>
      </c>
    </row>
    <row r="439" spans="1:8" x14ac:dyDescent="0.35">
      <c r="A439" s="195">
        <v>46157</v>
      </c>
      <c r="B439" s="61" t="s">
        <v>198</v>
      </c>
      <c r="C439" s="231"/>
      <c r="D439" s="214">
        <v>378252</v>
      </c>
      <c r="E439" s="252">
        <f t="shared" si="6"/>
        <v>554913001</v>
      </c>
      <c r="F439" s="61">
        <v>2000193</v>
      </c>
      <c r="G439" s="61" t="s">
        <v>458</v>
      </c>
      <c r="H439" s="61" t="s">
        <v>374</v>
      </c>
    </row>
    <row r="440" spans="1:8" x14ac:dyDescent="0.35">
      <c r="A440" s="195">
        <v>46157</v>
      </c>
      <c r="B440" s="61" t="s">
        <v>23</v>
      </c>
      <c r="C440" s="231"/>
      <c r="D440" s="214">
        <v>10000</v>
      </c>
      <c r="E440" s="252">
        <f t="shared" si="6"/>
        <v>554903001</v>
      </c>
      <c r="F440" s="61"/>
      <c r="G440" s="61"/>
      <c r="H440" s="61" t="s">
        <v>9</v>
      </c>
    </row>
    <row r="441" spans="1:8" x14ac:dyDescent="0.35">
      <c r="A441" s="195">
        <v>46157</v>
      </c>
      <c r="B441" s="61" t="s">
        <v>331</v>
      </c>
      <c r="C441" s="231"/>
      <c r="D441" s="214">
        <v>137763180</v>
      </c>
      <c r="E441" s="252">
        <f t="shared" si="6"/>
        <v>417139821</v>
      </c>
      <c r="F441" s="61">
        <v>2000416</v>
      </c>
      <c r="G441" s="61"/>
      <c r="H441" s="61" t="s">
        <v>437</v>
      </c>
    </row>
    <row r="442" spans="1:8" x14ac:dyDescent="0.35">
      <c r="A442" s="195">
        <v>46157</v>
      </c>
      <c r="B442" s="61" t="s">
        <v>339</v>
      </c>
      <c r="C442" s="231"/>
      <c r="D442" s="214">
        <v>14338500</v>
      </c>
      <c r="E442" s="252">
        <f t="shared" si="6"/>
        <v>402801321</v>
      </c>
      <c r="F442" s="61">
        <v>2000162</v>
      </c>
      <c r="G442" s="54" t="s">
        <v>363</v>
      </c>
      <c r="H442" s="61" t="s">
        <v>437</v>
      </c>
    </row>
    <row r="443" spans="1:8" x14ac:dyDescent="0.35">
      <c r="A443" s="195">
        <v>46157</v>
      </c>
      <c r="B443" s="61" t="s">
        <v>343</v>
      </c>
      <c r="C443" s="231"/>
      <c r="D443" s="214">
        <v>16384500</v>
      </c>
      <c r="E443" s="252">
        <f t="shared" si="6"/>
        <v>386416821</v>
      </c>
      <c r="F443" s="61">
        <v>2000421</v>
      </c>
      <c r="G443" s="54" t="s">
        <v>363</v>
      </c>
      <c r="H443" s="61" t="s">
        <v>437</v>
      </c>
    </row>
    <row r="444" spans="1:8" x14ac:dyDescent="0.35">
      <c r="A444" s="195">
        <v>46157</v>
      </c>
      <c r="B444" s="61" t="s">
        <v>332</v>
      </c>
      <c r="C444" s="231"/>
      <c r="D444" s="214">
        <v>24117500</v>
      </c>
      <c r="E444" s="252">
        <f t="shared" si="6"/>
        <v>362299321</v>
      </c>
      <c r="F444" s="61">
        <v>2000419</v>
      </c>
      <c r="G444" s="54" t="s">
        <v>363</v>
      </c>
      <c r="H444" s="61" t="s">
        <v>437</v>
      </c>
    </row>
    <row r="445" spans="1:8" x14ac:dyDescent="0.35">
      <c r="A445" s="195">
        <v>46157</v>
      </c>
      <c r="B445" s="61" t="s">
        <v>333</v>
      </c>
      <c r="C445" s="231"/>
      <c r="D445" s="214">
        <v>66528000</v>
      </c>
      <c r="E445" s="252">
        <f t="shared" si="6"/>
        <v>295771321</v>
      </c>
      <c r="F445" s="61">
        <v>2000420</v>
      </c>
      <c r="G445" s="54" t="s">
        <v>363</v>
      </c>
      <c r="H445" s="61" t="s">
        <v>437</v>
      </c>
    </row>
    <row r="446" spans="1:8" x14ac:dyDescent="0.35">
      <c r="A446" s="195">
        <v>46157</v>
      </c>
      <c r="B446" s="61" t="s">
        <v>152</v>
      </c>
      <c r="C446" s="231"/>
      <c r="D446" s="214">
        <v>470945</v>
      </c>
      <c r="E446" s="252">
        <f t="shared" si="6"/>
        <v>295300376</v>
      </c>
      <c r="F446" s="61">
        <v>2000414</v>
      </c>
      <c r="G446" s="54" t="s">
        <v>365</v>
      </c>
      <c r="H446" s="61" t="s">
        <v>374</v>
      </c>
    </row>
    <row r="447" spans="1:8" x14ac:dyDescent="0.35">
      <c r="A447" s="195">
        <v>46160</v>
      </c>
      <c r="B447" s="61" t="s">
        <v>368</v>
      </c>
      <c r="C447" s="231"/>
      <c r="D447" s="214">
        <v>10736360</v>
      </c>
      <c r="E447" s="252">
        <f t="shared" si="6"/>
        <v>284564016</v>
      </c>
      <c r="F447" s="61">
        <v>2000424</v>
      </c>
      <c r="G447" s="61" t="s">
        <v>363</v>
      </c>
      <c r="H447" s="61" t="s">
        <v>437</v>
      </c>
    </row>
    <row r="448" spans="1:8" x14ac:dyDescent="0.35">
      <c r="A448" s="197">
        <v>46160</v>
      </c>
      <c r="B448" s="56" t="s">
        <v>45</v>
      </c>
      <c r="C448" s="234">
        <v>71769380</v>
      </c>
      <c r="D448" s="215"/>
      <c r="E448" s="254">
        <f t="shared" si="6"/>
        <v>356333396</v>
      </c>
      <c r="F448" s="56"/>
      <c r="G448" s="131" t="s">
        <v>283</v>
      </c>
      <c r="H448" s="134" t="s">
        <v>432</v>
      </c>
    </row>
    <row r="449" spans="1:8" x14ac:dyDescent="0.35">
      <c r="A449" s="195">
        <v>46160</v>
      </c>
      <c r="B449" s="61" t="s">
        <v>366</v>
      </c>
      <c r="C449" s="231"/>
      <c r="D449" s="214">
        <v>13717000</v>
      </c>
      <c r="E449" s="252">
        <f t="shared" si="6"/>
        <v>342616396</v>
      </c>
      <c r="F449" s="61">
        <v>2000429</v>
      </c>
      <c r="G449" s="54" t="s">
        <v>363</v>
      </c>
      <c r="H449" s="61" t="s">
        <v>437</v>
      </c>
    </row>
    <row r="450" spans="1:8" x14ac:dyDescent="0.35">
      <c r="A450" s="196">
        <v>46160</v>
      </c>
      <c r="B450" s="125" t="s">
        <v>367</v>
      </c>
      <c r="C450" s="232"/>
      <c r="D450" s="216">
        <v>20000000</v>
      </c>
      <c r="E450" s="253">
        <f t="shared" si="6"/>
        <v>322616396</v>
      </c>
      <c r="F450" s="125">
        <v>2000427</v>
      </c>
      <c r="G450" s="126" t="s">
        <v>56</v>
      </c>
      <c r="H450" s="61" t="s">
        <v>438</v>
      </c>
    </row>
    <row r="451" spans="1:8" x14ac:dyDescent="0.35">
      <c r="A451" s="196">
        <v>46160</v>
      </c>
      <c r="B451" s="125" t="s">
        <v>367</v>
      </c>
      <c r="C451" s="232"/>
      <c r="D451" s="216">
        <v>20000000</v>
      </c>
      <c r="E451" s="253">
        <f t="shared" si="6"/>
        <v>302616396</v>
      </c>
      <c r="F451" s="125">
        <v>2000426</v>
      </c>
      <c r="G451" s="126" t="s">
        <v>56</v>
      </c>
      <c r="H451" s="61" t="s">
        <v>438</v>
      </c>
    </row>
    <row r="452" spans="1:8" x14ac:dyDescent="0.35">
      <c r="A452" s="196">
        <v>46160</v>
      </c>
      <c r="B452" s="125" t="s">
        <v>367</v>
      </c>
      <c r="C452" s="232"/>
      <c r="D452" s="216">
        <v>20000000</v>
      </c>
      <c r="E452" s="253">
        <f t="shared" si="6"/>
        <v>282616396</v>
      </c>
      <c r="F452" s="125">
        <v>2000428</v>
      </c>
      <c r="G452" s="126" t="s">
        <v>56</v>
      </c>
      <c r="H452" s="61" t="s">
        <v>438</v>
      </c>
    </row>
    <row r="453" spans="1:8" x14ac:dyDescent="0.35">
      <c r="A453" s="196">
        <v>46160</v>
      </c>
      <c r="B453" s="125" t="s">
        <v>42</v>
      </c>
      <c r="C453" s="232"/>
      <c r="D453" s="216">
        <v>419207</v>
      </c>
      <c r="E453" s="253">
        <f t="shared" ref="E453:E524" si="7">E452+C453-D453</f>
        <v>282197189</v>
      </c>
      <c r="F453" s="129">
        <v>2000431</v>
      </c>
      <c r="G453" s="126" t="s">
        <v>206</v>
      </c>
      <c r="H453" s="61" t="s">
        <v>374</v>
      </c>
    </row>
    <row r="454" spans="1:8" x14ac:dyDescent="0.35">
      <c r="A454" s="196">
        <v>46160</v>
      </c>
      <c r="B454" s="125" t="s">
        <v>343</v>
      </c>
      <c r="C454" s="232"/>
      <c r="D454" s="216">
        <v>18149600</v>
      </c>
      <c r="E454" s="253">
        <f t="shared" si="7"/>
        <v>264047589</v>
      </c>
      <c r="F454" s="125">
        <v>2000430</v>
      </c>
      <c r="G454" s="125"/>
      <c r="H454" s="61" t="s">
        <v>437</v>
      </c>
    </row>
    <row r="455" spans="1:8" x14ac:dyDescent="0.35">
      <c r="A455" s="195">
        <v>46161</v>
      </c>
      <c r="B455" s="61" t="s">
        <v>25</v>
      </c>
      <c r="C455" s="231"/>
      <c r="D455" s="214">
        <v>15000000</v>
      </c>
      <c r="E455" s="252">
        <f t="shared" si="7"/>
        <v>249047589</v>
      </c>
      <c r="F455" s="61">
        <v>2000425</v>
      </c>
      <c r="G455" s="54" t="s">
        <v>202</v>
      </c>
      <c r="H455" s="61" t="s">
        <v>440</v>
      </c>
    </row>
    <row r="456" spans="1:8" x14ac:dyDescent="0.35">
      <c r="A456" s="195">
        <v>46161</v>
      </c>
      <c r="B456" s="61" t="s">
        <v>339</v>
      </c>
      <c r="C456" s="231"/>
      <c r="D456" s="214">
        <v>6470720</v>
      </c>
      <c r="E456" s="252">
        <f t="shared" si="7"/>
        <v>242576869</v>
      </c>
      <c r="F456" s="61">
        <v>2000433</v>
      </c>
      <c r="G456" s="54" t="s">
        <v>363</v>
      </c>
      <c r="H456" s="61" t="s">
        <v>437</v>
      </c>
    </row>
    <row r="457" spans="1:8" x14ac:dyDescent="0.35">
      <c r="A457" s="195">
        <v>46161</v>
      </c>
      <c r="B457" s="61" t="s">
        <v>368</v>
      </c>
      <c r="C457" s="231"/>
      <c r="D457" s="214">
        <v>13753600</v>
      </c>
      <c r="E457" s="252">
        <f t="shared" si="7"/>
        <v>228823269</v>
      </c>
      <c r="F457" s="61">
        <v>2000434</v>
      </c>
      <c r="G457" s="54" t="s">
        <v>363</v>
      </c>
      <c r="H457" s="61" t="s">
        <v>437</v>
      </c>
    </row>
    <row r="458" spans="1:8" x14ac:dyDescent="0.35">
      <c r="A458" s="195">
        <v>46161</v>
      </c>
      <c r="B458" s="61" t="s">
        <v>111</v>
      </c>
      <c r="C458" s="231"/>
      <c r="D458" s="214">
        <v>5000000</v>
      </c>
      <c r="E458" s="252">
        <f t="shared" si="7"/>
        <v>223823269</v>
      </c>
      <c r="F458" s="61">
        <v>2000422</v>
      </c>
      <c r="G458" s="54" t="s">
        <v>112</v>
      </c>
      <c r="H458" s="61" t="s">
        <v>440</v>
      </c>
    </row>
    <row r="459" spans="1:8" x14ac:dyDescent="0.35">
      <c r="A459" s="195">
        <v>46161</v>
      </c>
      <c r="B459" s="61" t="s">
        <v>369</v>
      </c>
      <c r="C459" s="231"/>
      <c r="D459" s="214">
        <v>5000000</v>
      </c>
      <c r="E459" s="252">
        <f t="shared" si="7"/>
        <v>218823269</v>
      </c>
      <c r="F459" s="61">
        <v>2000423</v>
      </c>
      <c r="G459" s="54"/>
      <c r="H459" s="61" t="s">
        <v>440</v>
      </c>
    </row>
    <row r="460" spans="1:8" x14ac:dyDescent="0.35">
      <c r="A460" s="196">
        <v>46161</v>
      </c>
      <c r="B460" s="125" t="s">
        <v>14</v>
      </c>
      <c r="C460" s="232"/>
      <c r="D460" s="216">
        <v>2500000</v>
      </c>
      <c r="E460" s="253">
        <f t="shared" si="7"/>
        <v>216323269</v>
      </c>
      <c r="F460" s="125">
        <v>2000437</v>
      </c>
      <c r="G460" s="126" t="s">
        <v>319</v>
      </c>
      <c r="H460" s="61" t="s">
        <v>374</v>
      </c>
    </row>
    <row r="461" spans="1:8" x14ac:dyDescent="0.35">
      <c r="A461" s="195">
        <v>46161</v>
      </c>
      <c r="B461" s="61" t="s">
        <v>333</v>
      </c>
      <c r="C461" s="231"/>
      <c r="D461" s="214">
        <v>58753140</v>
      </c>
      <c r="E461" s="252">
        <f t="shared" si="7"/>
        <v>157570129</v>
      </c>
      <c r="F461" s="61">
        <v>2000432</v>
      </c>
      <c r="G461" s="54" t="s">
        <v>363</v>
      </c>
      <c r="H461" s="61" t="s">
        <v>437</v>
      </c>
    </row>
    <row r="462" spans="1:8" x14ac:dyDescent="0.35">
      <c r="A462" s="195">
        <v>46161</v>
      </c>
      <c r="B462" s="61" t="s">
        <v>370</v>
      </c>
      <c r="C462" s="231"/>
      <c r="D462" s="214">
        <v>14156800</v>
      </c>
      <c r="E462" s="252">
        <f t="shared" si="7"/>
        <v>143413329</v>
      </c>
      <c r="F462" s="61">
        <v>2000436</v>
      </c>
      <c r="G462" s="54" t="s">
        <v>363</v>
      </c>
      <c r="H462" s="61" t="s">
        <v>437</v>
      </c>
    </row>
    <row r="463" spans="1:8" x14ac:dyDescent="0.35">
      <c r="A463" s="195">
        <v>46161</v>
      </c>
      <c r="B463" s="61" t="s">
        <v>360</v>
      </c>
      <c r="C463" s="231"/>
      <c r="D463" s="214">
        <v>39698400</v>
      </c>
      <c r="E463" s="252">
        <f t="shared" si="7"/>
        <v>103714929</v>
      </c>
      <c r="F463" s="61">
        <v>2000435</v>
      </c>
      <c r="G463" s="54" t="s">
        <v>363</v>
      </c>
      <c r="H463" s="61" t="s">
        <v>437</v>
      </c>
    </row>
    <row r="464" spans="1:8" x14ac:dyDescent="0.35">
      <c r="A464" s="195">
        <v>46162</v>
      </c>
      <c r="B464" s="61" t="s">
        <v>336</v>
      </c>
      <c r="C464" s="231"/>
      <c r="D464" s="214">
        <v>8484560</v>
      </c>
      <c r="E464" s="252">
        <f t="shared" si="7"/>
        <v>95230369</v>
      </c>
      <c r="F464" s="61">
        <v>2000439</v>
      </c>
      <c r="G464" s="54" t="s">
        <v>363</v>
      </c>
      <c r="H464" s="61" t="s">
        <v>437</v>
      </c>
    </row>
    <row r="465" spans="1:8" x14ac:dyDescent="0.35">
      <c r="A465" s="195">
        <v>46162</v>
      </c>
      <c r="B465" s="61" t="s">
        <v>362</v>
      </c>
      <c r="C465" s="231"/>
      <c r="D465" s="214">
        <v>10000000</v>
      </c>
      <c r="E465" s="252">
        <f t="shared" si="7"/>
        <v>85230369</v>
      </c>
      <c r="F465" s="61">
        <v>2000438</v>
      </c>
      <c r="G465" s="54" t="s">
        <v>363</v>
      </c>
      <c r="H465" s="61" t="s">
        <v>437</v>
      </c>
    </row>
    <row r="466" spans="1:8" x14ac:dyDescent="0.35">
      <c r="A466" s="195">
        <v>46162</v>
      </c>
      <c r="B466" s="61" t="s">
        <v>23</v>
      </c>
      <c r="C466" s="231"/>
      <c r="D466" s="214">
        <v>20000</v>
      </c>
      <c r="E466" s="252">
        <f t="shared" si="7"/>
        <v>85210369</v>
      </c>
      <c r="F466" s="61"/>
      <c r="G466" s="61"/>
      <c r="H466" s="61" t="s">
        <v>9</v>
      </c>
    </row>
    <row r="467" spans="1:8" x14ac:dyDescent="0.35">
      <c r="A467" s="195">
        <v>46162</v>
      </c>
      <c r="B467" s="61" t="s">
        <v>360</v>
      </c>
      <c r="C467" s="231"/>
      <c r="D467" s="214">
        <v>26616800</v>
      </c>
      <c r="E467" s="252">
        <f t="shared" si="7"/>
        <v>58593569</v>
      </c>
      <c r="F467" s="61">
        <v>2000440</v>
      </c>
      <c r="G467" s="54" t="s">
        <v>363</v>
      </c>
      <c r="H467" s="61" t="s">
        <v>437</v>
      </c>
    </row>
    <row r="468" spans="1:8" x14ac:dyDescent="0.35">
      <c r="A468" s="195">
        <v>46162</v>
      </c>
      <c r="B468" s="61" t="s">
        <v>263</v>
      </c>
      <c r="C468" s="231"/>
      <c r="D468" s="214">
        <v>13977420</v>
      </c>
      <c r="E468" s="252">
        <f t="shared" si="7"/>
        <v>44616149</v>
      </c>
      <c r="F468" s="61">
        <v>2000441</v>
      </c>
      <c r="G468" s="54" t="s">
        <v>363</v>
      </c>
      <c r="H468" s="61" t="s">
        <v>437</v>
      </c>
    </row>
    <row r="469" spans="1:8" x14ac:dyDescent="0.35">
      <c r="A469" s="195">
        <v>46162</v>
      </c>
      <c r="B469" s="61" t="s">
        <v>45</v>
      </c>
      <c r="C469" s="231">
        <v>72865188</v>
      </c>
      <c r="D469" s="214"/>
      <c r="E469" s="252">
        <f t="shared" si="7"/>
        <v>117481337</v>
      </c>
      <c r="F469" s="61"/>
      <c r="G469" s="61" t="s">
        <v>371</v>
      </c>
      <c r="H469" s="61" t="s">
        <v>432</v>
      </c>
    </row>
    <row r="470" spans="1:8" x14ac:dyDescent="0.35">
      <c r="A470" s="195">
        <v>46162</v>
      </c>
      <c r="B470" s="61" t="s">
        <v>333</v>
      </c>
      <c r="C470" s="231"/>
      <c r="D470" s="214">
        <v>43300800</v>
      </c>
      <c r="E470" s="252">
        <f t="shared" si="7"/>
        <v>74180537</v>
      </c>
      <c r="F470" s="61">
        <v>2000442</v>
      </c>
      <c r="G470" s="54" t="s">
        <v>363</v>
      </c>
      <c r="H470" s="61" t="s">
        <v>437</v>
      </c>
    </row>
    <row r="471" spans="1:8" x14ac:dyDescent="0.35">
      <c r="A471" s="196">
        <v>46162</v>
      </c>
      <c r="B471" s="125" t="s">
        <v>372</v>
      </c>
      <c r="C471" s="232"/>
      <c r="D471" s="216">
        <v>586800</v>
      </c>
      <c r="E471" s="253">
        <f t="shared" si="7"/>
        <v>73593737</v>
      </c>
      <c r="F471" s="125">
        <v>2000445</v>
      </c>
      <c r="G471" s="126" t="s">
        <v>373</v>
      </c>
      <c r="H471" s="61" t="s">
        <v>443</v>
      </c>
    </row>
    <row r="472" spans="1:8" x14ac:dyDescent="0.35">
      <c r="A472" s="195">
        <v>46162</v>
      </c>
      <c r="B472" s="61" t="s">
        <v>339</v>
      </c>
      <c r="C472" s="231"/>
      <c r="D472" s="214">
        <v>13568800</v>
      </c>
      <c r="E472" s="252">
        <f t="shared" si="7"/>
        <v>60024937</v>
      </c>
      <c r="F472" s="61">
        <v>2000444</v>
      </c>
      <c r="G472" s="54" t="s">
        <v>363</v>
      </c>
      <c r="H472" s="61" t="s">
        <v>437</v>
      </c>
    </row>
    <row r="473" spans="1:8" x14ac:dyDescent="0.35">
      <c r="A473" s="195">
        <v>46162</v>
      </c>
      <c r="B473" s="61" t="s">
        <v>261</v>
      </c>
      <c r="C473" s="231"/>
      <c r="D473" s="214">
        <v>28621600</v>
      </c>
      <c r="E473" s="252">
        <f t="shared" si="7"/>
        <v>31403337</v>
      </c>
      <c r="F473" s="61">
        <v>2000443</v>
      </c>
      <c r="G473" s="54" t="s">
        <v>363</v>
      </c>
      <c r="H473" s="61" t="s">
        <v>437</v>
      </c>
    </row>
    <row r="474" spans="1:8" x14ac:dyDescent="0.35">
      <c r="A474" s="196">
        <v>46163</v>
      </c>
      <c r="B474" s="125" t="s">
        <v>78</v>
      </c>
      <c r="C474" s="232"/>
      <c r="D474" s="216">
        <v>589607</v>
      </c>
      <c r="E474" s="253">
        <f t="shared" si="7"/>
        <v>30813730</v>
      </c>
      <c r="F474" s="125">
        <v>2000446</v>
      </c>
      <c r="G474" s="126" t="s">
        <v>374</v>
      </c>
      <c r="H474" s="61" t="s">
        <v>374</v>
      </c>
    </row>
    <row r="475" spans="1:8" x14ac:dyDescent="0.35">
      <c r="A475" s="195">
        <v>46164</v>
      </c>
      <c r="B475" s="61" t="s">
        <v>333</v>
      </c>
      <c r="C475" s="231"/>
      <c r="D475" s="214">
        <v>14431200</v>
      </c>
      <c r="E475" s="252">
        <f t="shared" si="7"/>
        <v>16382530</v>
      </c>
      <c r="F475" s="61">
        <v>2000448</v>
      </c>
      <c r="G475" s="54" t="s">
        <v>363</v>
      </c>
      <c r="H475" s="61" t="s">
        <v>437</v>
      </c>
    </row>
    <row r="476" spans="1:8" x14ac:dyDescent="0.35">
      <c r="A476" s="195">
        <v>46168</v>
      </c>
      <c r="B476" s="61" t="s">
        <v>355</v>
      </c>
      <c r="C476" s="231"/>
      <c r="D476" s="214">
        <v>1546300</v>
      </c>
      <c r="E476" s="252">
        <f t="shared" si="7"/>
        <v>14836230</v>
      </c>
      <c r="F476" s="61">
        <v>2000447</v>
      </c>
      <c r="G476" s="54" t="s">
        <v>154</v>
      </c>
      <c r="H476" s="61" t="s">
        <v>439</v>
      </c>
    </row>
    <row r="477" spans="1:8" x14ac:dyDescent="0.35">
      <c r="A477" s="195">
        <v>46168</v>
      </c>
      <c r="B477" s="117">
        <v>10176000</v>
      </c>
      <c r="C477" s="231"/>
      <c r="D477" s="214">
        <v>8561520</v>
      </c>
      <c r="E477" s="252">
        <f t="shared" si="7"/>
        <v>6274710</v>
      </c>
      <c r="F477" s="61">
        <v>2000450</v>
      </c>
      <c r="G477" s="54" t="s">
        <v>363</v>
      </c>
      <c r="H477" s="61" t="s">
        <v>437</v>
      </c>
    </row>
    <row r="478" spans="1:8" x14ac:dyDescent="0.35">
      <c r="A478" s="195">
        <v>46168</v>
      </c>
      <c r="B478" s="61" t="s">
        <v>375</v>
      </c>
      <c r="C478" s="231">
        <v>81241193</v>
      </c>
      <c r="D478" s="214"/>
      <c r="E478" s="252">
        <f t="shared" si="7"/>
        <v>87515903</v>
      </c>
      <c r="F478" s="61"/>
      <c r="G478" s="61" t="s">
        <v>428</v>
      </c>
      <c r="H478" s="61" t="s">
        <v>434</v>
      </c>
    </row>
    <row r="479" spans="1:8" x14ac:dyDescent="0.35">
      <c r="A479" s="195">
        <v>46168</v>
      </c>
      <c r="B479" s="61" t="s">
        <v>17</v>
      </c>
      <c r="C479" s="231">
        <v>16800000</v>
      </c>
      <c r="D479" s="214"/>
      <c r="E479" s="252">
        <f t="shared" si="7"/>
        <v>104315903</v>
      </c>
      <c r="F479" s="61"/>
      <c r="G479" s="61" t="s">
        <v>376</v>
      </c>
      <c r="H479" s="61" t="s">
        <v>435</v>
      </c>
    </row>
    <row r="480" spans="1:8" x14ac:dyDescent="0.35">
      <c r="A480" s="195">
        <v>46168</v>
      </c>
      <c r="B480" s="61" t="s">
        <v>17</v>
      </c>
      <c r="C480" s="231">
        <v>15000000</v>
      </c>
      <c r="D480" s="214"/>
      <c r="E480" s="252">
        <f t="shared" si="7"/>
        <v>119315903</v>
      </c>
      <c r="F480" s="61"/>
      <c r="G480" s="61" t="s">
        <v>376</v>
      </c>
      <c r="H480" s="61" t="s">
        <v>435</v>
      </c>
    </row>
    <row r="481" spans="1:8" x14ac:dyDescent="0.35">
      <c r="A481" s="195">
        <v>46168</v>
      </c>
      <c r="B481" s="61" t="s">
        <v>366</v>
      </c>
      <c r="C481" s="231"/>
      <c r="D481" s="214">
        <v>13603680</v>
      </c>
      <c r="E481" s="252">
        <f t="shared" si="7"/>
        <v>105712223</v>
      </c>
      <c r="F481" s="61">
        <v>2000452</v>
      </c>
      <c r="G481" s="54" t="s">
        <v>363</v>
      </c>
      <c r="H481" s="61" t="s">
        <v>437</v>
      </c>
    </row>
    <row r="482" spans="1:8" x14ac:dyDescent="0.35">
      <c r="A482" s="195">
        <v>46168</v>
      </c>
      <c r="B482" s="61" t="s">
        <v>377</v>
      </c>
      <c r="C482" s="231"/>
      <c r="D482" s="214">
        <v>14935480</v>
      </c>
      <c r="E482" s="252">
        <f t="shared" si="7"/>
        <v>90776743</v>
      </c>
      <c r="F482" s="61">
        <v>2000451</v>
      </c>
      <c r="G482" s="54" t="s">
        <v>363</v>
      </c>
      <c r="H482" s="61" t="s">
        <v>437</v>
      </c>
    </row>
    <row r="483" spans="1:8" x14ac:dyDescent="0.35">
      <c r="A483" s="195">
        <v>46168</v>
      </c>
      <c r="B483" s="61" t="s">
        <v>45</v>
      </c>
      <c r="C483" s="237">
        <v>73310612</v>
      </c>
      <c r="D483" s="214"/>
      <c r="E483" s="252">
        <f t="shared" si="7"/>
        <v>164087355</v>
      </c>
      <c r="F483" s="61"/>
      <c r="G483" s="61" t="s">
        <v>378</v>
      </c>
      <c r="H483" s="61" t="s">
        <v>432</v>
      </c>
    </row>
    <row r="484" spans="1:8" x14ac:dyDescent="0.35">
      <c r="A484" s="195">
        <v>46168</v>
      </c>
      <c r="B484" s="61" t="s">
        <v>269</v>
      </c>
      <c r="C484" s="231"/>
      <c r="D484" s="214">
        <v>60000000</v>
      </c>
      <c r="E484" s="252">
        <f t="shared" si="7"/>
        <v>104087355</v>
      </c>
      <c r="F484" s="61">
        <v>2000449</v>
      </c>
      <c r="G484" s="54" t="s">
        <v>363</v>
      </c>
      <c r="H484" s="61" t="s">
        <v>437</v>
      </c>
    </row>
    <row r="485" spans="1:8" x14ac:dyDescent="0.35">
      <c r="A485" s="195">
        <v>46168</v>
      </c>
      <c r="B485" s="61" t="s">
        <v>45</v>
      </c>
      <c r="C485" s="238">
        <v>74461657</v>
      </c>
      <c r="D485" s="214"/>
      <c r="E485" s="252">
        <f t="shared" si="7"/>
        <v>178549012</v>
      </c>
      <c r="F485" s="61"/>
      <c r="G485" s="61" t="s">
        <v>379</v>
      </c>
      <c r="H485" s="61" t="s">
        <v>432</v>
      </c>
    </row>
    <row r="486" spans="1:8" x14ac:dyDescent="0.35">
      <c r="A486" s="195">
        <v>46170</v>
      </c>
      <c r="B486" s="61" t="s">
        <v>380</v>
      </c>
      <c r="C486" s="231"/>
      <c r="D486" s="214">
        <v>6048000</v>
      </c>
      <c r="E486" s="252">
        <f t="shared" si="7"/>
        <v>172501012</v>
      </c>
      <c r="F486" s="61">
        <v>2000453</v>
      </c>
      <c r="G486" s="54" t="s">
        <v>363</v>
      </c>
      <c r="H486" s="61" t="s">
        <v>437</v>
      </c>
    </row>
    <row r="487" spans="1:8" x14ac:dyDescent="0.35">
      <c r="A487" s="195">
        <v>46170</v>
      </c>
      <c r="B487" s="61" t="s">
        <v>260</v>
      </c>
      <c r="C487" s="231"/>
      <c r="D487" s="214">
        <v>14365000</v>
      </c>
      <c r="E487" s="252">
        <f t="shared" si="7"/>
        <v>158136012</v>
      </c>
      <c r="F487" s="61">
        <v>2000455</v>
      </c>
      <c r="G487" s="54" t="s">
        <v>363</v>
      </c>
      <c r="H487" s="61" t="s">
        <v>437</v>
      </c>
    </row>
    <row r="488" spans="1:8" x14ac:dyDescent="0.35">
      <c r="A488" s="195">
        <v>46170</v>
      </c>
      <c r="B488" s="61" t="s">
        <v>382</v>
      </c>
      <c r="C488" s="238">
        <v>10176000</v>
      </c>
      <c r="D488" s="214"/>
      <c r="E488" s="252">
        <f t="shared" si="7"/>
        <v>168312012</v>
      </c>
      <c r="F488" s="61"/>
      <c r="G488" s="61" t="s">
        <v>381</v>
      </c>
      <c r="H488" s="61" t="s">
        <v>435</v>
      </c>
    </row>
    <row r="489" spans="1:8" x14ac:dyDescent="0.35">
      <c r="A489" s="195">
        <v>46170</v>
      </c>
      <c r="B489" s="61" t="s">
        <v>383</v>
      </c>
      <c r="C489" s="231"/>
      <c r="D489" s="217">
        <v>14244800</v>
      </c>
      <c r="E489" s="252">
        <f t="shared" si="7"/>
        <v>154067212</v>
      </c>
      <c r="F489" s="118">
        <v>2000456</v>
      </c>
      <c r="G489" s="54" t="s">
        <v>363</v>
      </c>
      <c r="H489" s="61" t="s">
        <v>437</v>
      </c>
    </row>
    <row r="490" spans="1:8" x14ac:dyDescent="0.35">
      <c r="A490" s="195">
        <v>46170</v>
      </c>
      <c r="B490" s="61" t="s">
        <v>339</v>
      </c>
      <c r="C490" s="231"/>
      <c r="D490" s="217">
        <v>25073600</v>
      </c>
      <c r="E490" s="252">
        <f t="shared" si="7"/>
        <v>128993612</v>
      </c>
      <c r="F490" s="139">
        <v>2000458</v>
      </c>
      <c r="G490" s="54" t="s">
        <v>363</v>
      </c>
      <c r="H490" s="61" t="s">
        <v>437</v>
      </c>
    </row>
    <row r="491" spans="1:8" x14ac:dyDescent="0.35">
      <c r="A491" s="195">
        <v>46170</v>
      </c>
      <c r="B491" s="61" t="s">
        <v>263</v>
      </c>
      <c r="C491" s="231"/>
      <c r="D491" s="217">
        <v>19331400</v>
      </c>
      <c r="E491" s="252">
        <f t="shared" si="7"/>
        <v>109662212</v>
      </c>
      <c r="F491" s="118">
        <v>2000462</v>
      </c>
      <c r="G491" s="54" t="s">
        <v>363</v>
      </c>
      <c r="H491" s="61" t="s">
        <v>437</v>
      </c>
    </row>
    <row r="492" spans="1:8" x14ac:dyDescent="0.35">
      <c r="A492" s="195">
        <v>46171</v>
      </c>
      <c r="B492" s="61" t="s">
        <v>269</v>
      </c>
      <c r="C492" s="231"/>
      <c r="D492" s="217">
        <v>55254000</v>
      </c>
      <c r="E492" s="252">
        <f t="shared" si="7"/>
        <v>54408212</v>
      </c>
      <c r="F492" s="139">
        <v>2000463</v>
      </c>
      <c r="G492" s="54" t="s">
        <v>363</v>
      </c>
      <c r="H492" s="61" t="s">
        <v>437</v>
      </c>
    </row>
    <row r="493" spans="1:8" x14ac:dyDescent="0.35">
      <c r="A493" s="195">
        <v>46171</v>
      </c>
      <c r="B493" s="61" t="s">
        <v>343</v>
      </c>
      <c r="C493" s="231"/>
      <c r="D493" s="217">
        <v>10383660</v>
      </c>
      <c r="E493" s="252">
        <f t="shared" si="7"/>
        <v>44024552</v>
      </c>
      <c r="F493" s="118">
        <v>2000460</v>
      </c>
      <c r="G493" s="54" t="s">
        <v>363</v>
      </c>
      <c r="H493" s="61" t="s">
        <v>437</v>
      </c>
    </row>
    <row r="494" spans="1:8" x14ac:dyDescent="0.35">
      <c r="A494" s="195">
        <v>46171</v>
      </c>
      <c r="B494" s="61" t="s">
        <v>29</v>
      </c>
      <c r="C494" s="231"/>
      <c r="D494" s="217">
        <v>2140000</v>
      </c>
      <c r="E494" s="252">
        <f t="shared" si="7"/>
        <v>41884552</v>
      </c>
      <c r="F494" s="139">
        <v>2000457</v>
      </c>
      <c r="G494" s="61" t="s">
        <v>86</v>
      </c>
      <c r="H494" s="61" t="s">
        <v>441</v>
      </c>
    </row>
    <row r="495" spans="1:8" x14ac:dyDescent="0.35">
      <c r="A495" s="195">
        <v>46171</v>
      </c>
      <c r="B495" s="61" t="s">
        <v>152</v>
      </c>
      <c r="C495" s="231"/>
      <c r="D495" s="217">
        <v>622740</v>
      </c>
      <c r="E495" s="252">
        <f t="shared" si="7"/>
        <v>41261812</v>
      </c>
      <c r="F495" s="118">
        <v>2000459</v>
      </c>
      <c r="G495" s="61" t="s">
        <v>384</v>
      </c>
      <c r="H495" s="61" t="s">
        <v>374</v>
      </c>
    </row>
    <row r="496" spans="1:8" x14ac:dyDescent="0.35">
      <c r="A496" s="195">
        <v>46171</v>
      </c>
      <c r="B496" s="61" t="s">
        <v>260</v>
      </c>
      <c r="C496" s="231"/>
      <c r="D496" s="217">
        <v>12042000</v>
      </c>
      <c r="E496" s="252">
        <f t="shared" si="7"/>
        <v>29219812</v>
      </c>
      <c r="F496" s="139">
        <v>2000464</v>
      </c>
      <c r="G496" s="61" t="s">
        <v>86</v>
      </c>
      <c r="H496" s="61" t="s">
        <v>441</v>
      </c>
    </row>
    <row r="497" spans="1:8" x14ac:dyDescent="0.35">
      <c r="A497" s="195">
        <v>46171</v>
      </c>
      <c r="B497" s="61" t="s">
        <v>343</v>
      </c>
      <c r="C497" s="231"/>
      <c r="D497" s="217">
        <v>4648640</v>
      </c>
      <c r="E497" s="252">
        <f t="shared" si="7"/>
        <v>24571172</v>
      </c>
      <c r="F497" s="118">
        <v>2000466</v>
      </c>
      <c r="G497" s="61" t="s">
        <v>86</v>
      </c>
      <c r="H497" s="61" t="s">
        <v>441</v>
      </c>
    </row>
    <row r="498" spans="1:8" s="2" customFormat="1" x14ac:dyDescent="0.35">
      <c r="A498" s="195">
        <v>46174</v>
      </c>
      <c r="B498" s="61" t="s">
        <v>111</v>
      </c>
      <c r="C498" s="231"/>
      <c r="D498" s="217">
        <v>7000000</v>
      </c>
      <c r="E498" s="252">
        <f t="shared" si="7"/>
        <v>17571172</v>
      </c>
      <c r="F498" s="118">
        <v>2000461</v>
      </c>
      <c r="G498" s="61"/>
      <c r="H498" s="61" t="s">
        <v>440</v>
      </c>
    </row>
    <row r="499" spans="1:8" s="2" customFormat="1" x14ac:dyDescent="0.35">
      <c r="A499" s="195">
        <v>46174</v>
      </c>
      <c r="B499" s="61" t="s">
        <v>9</v>
      </c>
      <c r="C499" s="231"/>
      <c r="D499" s="217">
        <v>5000</v>
      </c>
      <c r="E499" s="252">
        <f t="shared" si="7"/>
        <v>17566172</v>
      </c>
      <c r="F499" s="118"/>
      <c r="G499" s="61"/>
      <c r="H499" s="61" t="s">
        <v>9</v>
      </c>
    </row>
    <row r="500" spans="1:8" s="2" customFormat="1" x14ac:dyDescent="0.35">
      <c r="A500" s="195">
        <v>46174</v>
      </c>
      <c r="B500" s="61" t="s">
        <v>9</v>
      </c>
      <c r="C500" s="231"/>
      <c r="D500" s="217">
        <v>500</v>
      </c>
      <c r="E500" s="252">
        <f t="shared" si="7"/>
        <v>17565672</v>
      </c>
      <c r="F500" s="118"/>
      <c r="G500" s="61"/>
      <c r="H500" s="61" t="s">
        <v>9</v>
      </c>
    </row>
    <row r="501" spans="1:8" s="2" customFormat="1" x14ac:dyDescent="0.35">
      <c r="A501" s="195">
        <v>46174</v>
      </c>
      <c r="B501" s="61" t="s">
        <v>391</v>
      </c>
      <c r="C501" s="231">
        <v>16000000</v>
      </c>
      <c r="D501" s="214"/>
      <c r="E501" s="252">
        <f t="shared" si="7"/>
        <v>33565672</v>
      </c>
      <c r="F501" s="119"/>
      <c r="G501" s="61" t="s">
        <v>390</v>
      </c>
      <c r="H501" s="61" t="s">
        <v>435</v>
      </c>
    </row>
    <row r="502" spans="1:8" s="2" customFormat="1" x14ac:dyDescent="0.35">
      <c r="A502" s="195">
        <v>46174</v>
      </c>
      <c r="B502" s="61" t="s">
        <v>386</v>
      </c>
      <c r="C502" s="231"/>
      <c r="D502" s="214">
        <v>11902120</v>
      </c>
      <c r="E502" s="252">
        <f t="shared" si="7"/>
        <v>21663552</v>
      </c>
      <c r="F502" s="119">
        <v>2000470</v>
      </c>
      <c r="G502" s="54" t="s">
        <v>363</v>
      </c>
      <c r="H502" s="61" t="s">
        <v>437</v>
      </c>
    </row>
    <row r="503" spans="1:8" s="2" customFormat="1" x14ac:dyDescent="0.35">
      <c r="A503" s="195">
        <v>46174</v>
      </c>
      <c r="B503" s="61" t="s">
        <v>260</v>
      </c>
      <c r="C503" s="231"/>
      <c r="D503" s="214">
        <v>7500000</v>
      </c>
      <c r="E503" s="252">
        <f t="shared" si="7"/>
        <v>14163552</v>
      </c>
      <c r="F503" s="119">
        <v>2000471</v>
      </c>
      <c r="G503" s="54" t="s">
        <v>363</v>
      </c>
      <c r="H503" s="61" t="s">
        <v>437</v>
      </c>
    </row>
    <row r="504" spans="1:8" s="2" customFormat="1" x14ac:dyDescent="0.35">
      <c r="A504" s="195">
        <v>46174</v>
      </c>
      <c r="B504" s="61" t="s">
        <v>387</v>
      </c>
      <c r="C504" s="231"/>
      <c r="D504" s="214">
        <v>850000</v>
      </c>
      <c r="E504" s="252">
        <f t="shared" si="7"/>
        <v>13313552</v>
      </c>
      <c r="F504" s="119">
        <v>2000468</v>
      </c>
      <c r="G504" s="61" t="s">
        <v>389</v>
      </c>
      <c r="H504" s="61" t="s">
        <v>447</v>
      </c>
    </row>
    <row r="505" spans="1:8" s="2" customFormat="1" x14ac:dyDescent="0.35">
      <c r="A505" s="195">
        <v>46174</v>
      </c>
      <c r="B505" s="61" t="s">
        <v>348</v>
      </c>
      <c r="C505" s="231"/>
      <c r="D505" s="214">
        <v>6165720</v>
      </c>
      <c r="E505" s="252">
        <f t="shared" si="7"/>
        <v>7147832</v>
      </c>
      <c r="F505" s="119">
        <v>2000473</v>
      </c>
      <c r="G505" s="54" t="s">
        <v>363</v>
      </c>
      <c r="H505" s="61" t="s">
        <v>437</v>
      </c>
    </row>
    <row r="506" spans="1:8" s="2" customFormat="1" x14ac:dyDescent="0.35">
      <c r="A506" s="195">
        <v>46174</v>
      </c>
      <c r="B506" s="61" t="s">
        <v>385</v>
      </c>
      <c r="C506" s="231"/>
      <c r="D506" s="214">
        <v>13781600</v>
      </c>
      <c r="E506" s="252">
        <f t="shared" si="7"/>
        <v>-6633768</v>
      </c>
      <c r="F506" s="119">
        <v>2000469</v>
      </c>
      <c r="G506" s="54" t="s">
        <v>363</v>
      </c>
      <c r="H506" s="61" t="s">
        <v>437</v>
      </c>
    </row>
    <row r="507" spans="1:8" s="2" customFormat="1" x14ac:dyDescent="0.35">
      <c r="A507" s="195">
        <v>46177</v>
      </c>
      <c r="B507" s="61" t="s">
        <v>393</v>
      </c>
      <c r="C507" s="231"/>
      <c r="D507" s="214">
        <v>2930000</v>
      </c>
      <c r="E507" s="252">
        <f t="shared" si="7"/>
        <v>-9563768</v>
      </c>
      <c r="F507" s="119"/>
      <c r="G507" s="61" t="s">
        <v>394</v>
      </c>
      <c r="H507" s="61" t="s">
        <v>282</v>
      </c>
    </row>
    <row r="508" spans="1:8" s="2" customFormat="1" x14ac:dyDescent="0.35">
      <c r="A508" s="195">
        <v>46177</v>
      </c>
      <c r="B508" s="61" t="s">
        <v>572</v>
      </c>
      <c r="C508" s="233">
        <v>74576400</v>
      </c>
      <c r="D508" s="213"/>
      <c r="E508" s="252">
        <f t="shared" si="7"/>
        <v>65012632</v>
      </c>
      <c r="F508" s="61"/>
      <c r="G508" s="61" t="s">
        <v>456</v>
      </c>
      <c r="H508" s="61" t="s">
        <v>431</v>
      </c>
    </row>
    <row r="509" spans="1:8" s="2" customFormat="1" x14ac:dyDescent="0.35">
      <c r="A509" s="195">
        <v>46177</v>
      </c>
      <c r="B509" s="61" t="s">
        <v>9</v>
      </c>
      <c r="C509" s="233"/>
      <c r="D509" s="213">
        <v>5000</v>
      </c>
      <c r="E509" s="252">
        <f t="shared" si="7"/>
        <v>65007632</v>
      </c>
      <c r="F509" s="61"/>
      <c r="G509" s="61"/>
      <c r="H509" s="61" t="s">
        <v>9</v>
      </c>
    </row>
    <row r="510" spans="1:8" s="2" customFormat="1" x14ac:dyDescent="0.35">
      <c r="A510" s="195">
        <v>46177</v>
      </c>
      <c r="B510" s="61" t="s">
        <v>9</v>
      </c>
      <c r="C510" s="233"/>
      <c r="D510" s="213">
        <v>500</v>
      </c>
      <c r="E510" s="252">
        <f t="shared" si="7"/>
        <v>65007132</v>
      </c>
      <c r="F510" s="61"/>
      <c r="G510" s="61"/>
      <c r="H510" s="61" t="s">
        <v>9</v>
      </c>
    </row>
    <row r="511" spans="1:8" s="2" customFormat="1" x14ac:dyDescent="0.35">
      <c r="A511" s="195">
        <v>46177</v>
      </c>
      <c r="B511" s="61" t="s">
        <v>332</v>
      </c>
      <c r="C511" s="231"/>
      <c r="D511" s="214">
        <v>9892760</v>
      </c>
      <c r="E511" s="252">
        <f t="shared" si="7"/>
        <v>55114372</v>
      </c>
      <c r="F511" s="61">
        <v>2000474</v>
      </c>
      <c r="G511" s="54" t="s">
        <v>363</v>
      </c>
      <c r="H511" s="61" t="s">
        <v>437</v>
      </c>
    </row>
    <row r="512" spans="1:8" s="2" customFormat="1" x14ac:dyDescent="0.35">
      <c r="A512" s="195">
        <v>46177</v>
      </c>
      <c r="B512" s="61" t="s">
        <v>395</v>
      </c>
      <c r="C512" s="231"/>
      <c r="D512" s="214">
        <v>290273</v>
      </c>
      <c r="E512" s="252">
        <f t="shared" si="7"/>
        <v>54824099</v>
      </c>
      <c r="F512" s="61">
        <v>2000475</v>
      </c>
      <c r="G512" s="61" t="s">
        <v>398</v>
      </c>
      <c r="H512" s="61" t="s">
        <v>374</v>
      </c>
    </row>
    <row r="513" spans="1:8" s="2" customFormat="1" x14ac:dyDescent="0.35">
      <c r="A513" s="195">
        <v>46177</v>
      </c>
      <c r="B513" s="61" t="s">
        <v>333</v>
      </c>
      <c r="C513" s="231"/>
      <c r="D513" s="214">
        <v>24519000</v>
      </c>
      <c r="E513" s="252">
        <f t="shared" si="7"/>
        <v>30305099</v>
      </c>
      <c r="F513" s="61">
        <v>2000477</v>
      </c>
      <c r="G513" s="54" t="s">
        <v>363</v>
      </c>
      <c r="H513" s="61" t="s">
        <v>437</v>
      </c>
    </row>
    <row r="514" spans="1:8" s="2" customFormat="1" x14ac:dyDescent="0.35">
      <c r="A514" s="195">
        <v>46177</v>
      </c>
      <c r="B514" s="61" t="s">
        <v>260</v>
      </c>
      <c r="C514" s="231"/>
      <c r="D514" s="214">
        <v>7784780</v>
      </c>
      <c r="E514" s="252">
        <f t="shared" si="7"/>
        <v>22520319</v>
      </c>
      <c r="F514" s="61">
        <v>2000478</v>
      </c>
      <c r="G514" s="54" t="s">
        <v>363</v>
      </c>
      <c r="H514" s="61" t="s">
        <v>437</v>
      </c>
    </row>
    <row r="515" spans="1:8" s="2" customFormat="1" x14ac:dyDescent="0.35">
      <c r="A515" s="195">
        <v>46177</v>
      </c>
      <c r="B515" s="61" t="s">
        <v>306</v>
      </c>
      <c r="C515" s="231"/>
      <c r="D515" s="214">
        <v>5000000</v>
      </c>
      <c r="E515" s="252">
        <f t="shared" si="7"/>
        <v>17520319</v>
      </c>
      <c r="F515" s="61">
        <v>2000479</v>
      </c>
      <c r="G515" s="61" t="s">
        <v>399</v>
      </c>
      <c r="H515" s="61" t="s">
        <v>440</v>
      </c>
    </row>
    <row r="516" spans="1:8" s="2" customFormat="1" x14ac:dyDescent="0.35">
      <c r="A516" s="195">
        <v>46178</v>
      </c>
      <c r="B516" s="61" t="s">
        <v>397</v>
      </c>
      <c r="C516" s="231"/>
      <c r="D516" s="214">
        <v>8619854</v>
      </c>
      <c r="E516" s="252">
        <f t="shared" si="7"/>
        <v>8900465</v>
      </c>
      <c r="F516" s="61">
        <v>2000480</v>
      </c>
      <c r="G516" s="61" t="s">
        <v>400</v>
      </c>
      <c r="H516" s="61" t="s">
        <v>374</v>
      </c>
    </row>
    <row r="517" spans="1:8" s="2" customFormat="1" x14ac:dyDescent="0.35">
      <c r="A517" s="195">
        <v>46178</v>
      </c>
      <c r="B517" s="61" t="s">
        <v>405</v>
      </c>
      <c r="C517" s="231"/>
      <c r="D517" s="213">
        <v>6000000</v>
      </c>
      <c r="E517" s="252">
        <f t="shared" si="7"/>
        <v>2900465</v>
      </c>
      <c r="F517" s="61">
        <v>2000483</v>
      </c>
      <c r="G517" s="61" t="s">
        <v>56</v>
      </c>
      <c r="H517" s="61" t="s">
        <v>438</v>
      </c>
    </row>
    <row r="518" spans="1:8" x14ac:dyDescent="0.35">
      <c r="A518" s="200">
        <v>46179</v>
      </c>
      <c r="B518" s="42" t="s">
        <v>414</v>
      </c>
      <c r="C518" s="239"/>
      <c r="D518" s="218"/>
      <c r="E518" s="252">
        <f t="shared" si="7"/>
        <v>2900465</v>
      </c>
      <c r="F518" s="42">
        <v>2000481</v>
      </c>
      <c r="G518" s="42"/>
      <c r="H518" s="37"/>
    </row>
    <row r="519" spans="1:8" s="2" customFormat="1" x14ac:dyDescent="0.35">
      <c r="A519" s="195">
        <v>46181</v>
      </c>
      <c r="B519" s="61" t="s">
        <v>406</v>
      </c>
      <c r="C519" s="231"/>
      <c r="D519" s="214">
        <v>8365483</v>
      </c>
      <c r="E519" s="252">
        <f t="shared" si="7"/>
        <v>-5465018</v>
      </c>
      <c r="F519" s="61">
        <v>2000484</v>
      </c>
      <c r="G519" s="61"/>
      <c r="H519" s="61" t="s">
        <v>442</v>
      </c>
    </row>
    <row r="520" spans="1:8" s="2" customFormat="1" x14ac:dyDescent="0.35">
      <c r="A520" s="195">
        <v>46181</v>
      </c>
      <c r="B520" s="61" t="s">
        <v>572</v>
      </c>
      <c r="C520" s="233">
        <v>70198515</v>
      </c>
      <c r="D520" s="213"/>
      <c r="E520" s="252">
        <f t="shared" si="7"/>
        <v>64733497</v>
      </c>
      <c r="F520" s="61"/>
      <c r="G520" s="61" t="s">
        <v>413</v>
      </c>
      <c r="H520" s="61" t="s">
        <v>431</v>
      </c>
    </row>
    <row r="521" spans="1:8" s="2" customFormat="1" x14ac:dyDescent="0.35">
      <c r="A521" s="195">
        <v>46181</v>
      </c>
      <c r="B521" s="61" t="s">
        <v>407</v>
      </c>
      <c r="C521" s="231"/>
      <c r="D521" s="214">
        <v>3825000</v>
      </c>
      <c r="E521" s="252">
        <f t="shared" si="7"/>
        <v>60908497</v>
      </c>
      <c r="F521" s="61">
        <v>2000485</v>
      </c>
      <c r="G521" s="61" t="s">
        <v>407</v>
      </c>
      <c r="H521" s="61" t="s">
        <v>446</v>
      </c>
    </row>
    <row r="522" spans="1:8" s="2" customFormat="1" x14ac:dyDescent="0.35">
      <c r="A522" s="195">
        <v>46181</v>
      </c>
      <c r="B522" s="61" t="s">
        <v>405</v>
      </c>
      <c r="C522" s="231"/>
      <c r="D522" s="213">
        <v>20000000</v>
      </c>
      <c r="E522" s="252">
        <f t="shared" si="7"/>
        <v>40908497</v>
      </c>
      <c r="F522" s="61">
        <v>2000486</v>
      </c>
      <c r="G522" s="61" t="s">
        <v>56</v>
      </c>
      <c r="H522" s="61" t="s">
        <v>438</v>
      </c>
    </row>
    <row r="523" spans="1:8" s="2" customFormat="1" x14ac:dyDescent="0.35">
      <c r="A523" s="195">
        <v>46182</v>
      </c>
      <c r="B523" s="61" t="s">
        <v>472</v>
      </c>
      <c r="C523" s="231"/>
      <c r="D523" s="213">
        <v>12046998</v>
      </c>
      <c r="E523" s="252">
        <f t="shared" si="7"/>
        <v>28861499</v>
      </c>
      <c r="F523" s="61">
        <v>2000487</v>
      </c>
      <c r="G523" s="61" t="s">
        <v>408</v>
      </c>
      <c r="H523" s="61" t="s">
        <v>444</v>
      </c>
    </row>
    <row r="524" spans="1:8" s="2" customFormat="1" x14ac:dyDescent="0.35">
      <c r="A524" s="195">
        <v>46182</v>
      </c>
      <c r="B524" s="61" t="s">
        <v>419</v>
      </c>
      <c r="C524" s="231">
        <v>12000000</v>
      </c>
      <c r="D524" s="213"/>
      <c r="E524" s="252">
        <f t="shared" si="7"/>
        <v>40861499</v>
      </c>
      <c r="F524" s="61"/>
      <c r="G524" s="61" t="s">
        <v>390</v>
      </c>
      <c r="H524" s="61" t="s">
        <v>435</v>
      </c>
    </row>
    <row r="525" spans="1:8" s="2" customFormat="1" x14ac:dyDescent="0.35">
      <c r="A525" s="195">
        <v>46182</v>
      </c>
      <c r="B525" s="61" t="s">
        <v>419</v>
      </c>
      <c r="C525" s="231">
        <v>13000000</v>
      </c>
      <c r="D525" s="213"/>
      <c r="E525" s="252">
        <f t="shared" ref="E525:E599" si="8">E524+C525-D525</f>
        <v>53861499</v>
      </c>
      <c r="F525" s="61"/>
      <c r="G525" s="61" t="s">
        <v>390</v>
      </c>
      <c r="H525" s="61" t="s">
        <v>435</v>
      </c>
    </row>
    <row r="526" spans="1:8" s="2" customFormat="1" x14ac:dyDescent="0.35">
      <c r="A526" s="195">
        <v>46182</v>
      </c>
      <c r="B526" s="61" t="s">
        <v>410</v>
      </c>
      <c r="C526" s="231"/>
      <c r="D526" s="213">
        <v>360000</v>
      </c>
      <c r="E526" s="252">
        <f t="shared" si="8"/>
        <v>53501499</v>
      </c>
      <c r="F526" s="61">
        <v>2000488</v>
      </c>
      <c r="G526" s="61" t="s">
        <v>60</v>
      </c>
      <c r="H526" s="61" t="s">
        <v>445</v>
      </c>
    </row>
    <row r="527" spans="1:8" s="2" customFormat="1" x14ac:dyDescent="0.35">
      <c r="A527" s="195">
        <v>46183</v>
      </c>
      <c r="B527" s="61" t="s">
        <v>46</v>
      </c>
      <c r="C527" s="231"/>
      <c r="D527" s="213">
        <v>120000</v>
      </c>
      <c r="E527" s="252">
        <f t="shared" si="8"/>
        <v>53381499</v>
      </c>
      <c r="F527" s="61">
        <v>2000490</v>
      </c>
      <c r="G527" s="61" t="s">
        <v>411</v>
      </c>
      <c r="H527" s="61" t="s">
        <v>443</v>
      </c>
    </row>
    <row r="528" spans="1:8" s="2" customFormat="1" x14ac:dyDescent="0.35">
      <c r="A528" s="195">
        <v>46183</v>
      </c>
      <c r="B528" s="61" t="s">
        <v>41</v>
      </c>
      <c r="C528" s="233">
        <v>6106317</v>
      </c>
      <c r="D528" s="208"/>
      <c r="E528" s="252">
        <f t="shared" si="8"/>
        <v>59487816</v>
      </c>
      <c r="F528" s="61"/>
      <c r="G528" s="61" t="s">
        <v>412</v>
      </c>
      <c r="H528" s="61" t="s">
        <v>432</v>
      </c>
    </row>
    <row r="529" spans="1:8" s="2" customFormat="1" x14ac:dyDescent="0.35">
      <c r="A529" s="195">
        <v>46184</v>
      </c>
      <c r="B529" s="61" t="s">
        <v>416</v>
      </c>
      <c r="C529" s="231"/>
      <c r="D529" s="213">
        <v>5000000</v>
      </c>
      <c r="E529" s="252">
        <f t="shared" si="8"/>
        <v>54487816</v>
      </c>
      <c r="F529" s="61">
        <v>2000491</v>
      </c>
      <c r="G529" s="61" t="s">
        <v>459</v>
      </c>
      <c r="H529" s="61" t="s">
        <v>445</v>
      </c>
    </row>
    <row r="530" spans="1:8" s="2" customFormat="1" x14ac:dyDescent="0.35">
      <c r="A530" s="195">
        <v>46184</v>
      </c>
      <c r="B530" s="61" t="s">
        <v>40</v>
      </c>
      <c r="C530" s="231"/>
      <c r="D530" s="214">
        <v>500000</v>
      </c>
      <c r="E530" s="252">
        <f t="shared" si="8"/>
        <v>53987816</v>
      </c>
      <c r="F530" s="61">
        <v>2000492</v>
      </c>
      <c r="G530" s="54" t="s">
        <v>205</v>
      </c>
      <c r="H530" s="61" t="s">
        <v>205</v>
      </c>
    </row>
    <row r="531" spans="1:8" s="2" customFormat="1" x14ac:dyDescent="0.35">
      <c r="A531" s="195">
        <v>46184</v>
      </c>
      <c r="B531" s="61" t="s">
        <v>111</v>
      </c>
      <c r="C531" s="231"/>
      <c r="D531" s="214">
        <v>6000000</v>
      </c>
      <c r="E531" s="252">
        <f t="shared" si="8"/>
        <v>47987816</v>
      </c>
      <c r="F531" s="61">
        <v>2000493</v>
      </c>
      <c r="G531" s="61" t="s">
        <v>112</v>
      </c>
      <c r="H531" s="61" t="s">
        <v>440</v>
      </c>
    </row>
    <row r="532" spans="1:8" s="2" customFormat="1" x14ac:dyDescent="0.35">
      <c r="A532" s="195">
        <v>46184</v>
      </c>
      <c r="B532" s="61" t="s">
        <v>418</v>
      </c>
      <c r="C532" s="231"/>
      <c r="D532" s="213">
        <v>3000000</v>
      </c>
      <c r="E532" s="252">
        <f t="shared" si="8"/>
        <v>44987816</v>
      </c>
      <c r="F532" s="61">
        <v>2000494</v>
      </c>
      <c r="G532" s="61" t="s">
        <v>417</v>
      </c>
      <c r="H532" s="61" t="s">
        <v>445</v>
      </c>
    </row>
    <row r="533" spans="1:8" s="2" customFormat="1" x14ac:dyDescent="0.35">
      <c r="A533" s="195">
        <v>46185</v>
      </c>
      <c r="B533" s="61" t="s">
        <v>54</v>
      </c>
      <c r="C533" s="231"/>
      <c r="D533" s="214">
        <v>1447629</v>
      </c>
      <c r="E533" s="252">
        <f t="shared" si="8"/>
        <v>43540187</v>
      </c>
      <c r="F533" s="61">
        <v>2000351</v>
      </c>
      <c r="G533" s="61" t="s">
        <v>420</v>
      </c>
      <c r="H533" s="61" t="s">
        <v>442</v>
      </c>
    </row>
    <row r="534" spans="1:8" s="2" customFormat="1" x14ac:dyDescent="0.35">
      <c r="A534" s="195">
        <v>46185</v>
      </c>
      <c r="B534" s="61" t="s">
        <v>56</v>
      </c>
      <c r="C534" s="231"/>
      <c r="D534" s="214">
        <v>12000000</v>
      </c>
      <c r="E534" s="252">
        <f t="shared" si="8"/>
        <v>31540187</v>
      </c>
      <c r="F534" s="61">
        <v>2000352</v>
      </c>
      <c r="G534" s="61" t="s">
        <v>56</v>
      </c>
      <c r="H534" s="61" t="s">
        <v>438</v>
      </c>
    </row>
    <row r="535" spans="1:8" s="2" customFormat="1" x14ac:dyDescent="0.35">
      <c r="A535" s="195">
        <v>46185</v>
      </c>
      <c r="B535" s="61" t="s">
        <v>198</v>
      </c>
      <c r="C535" s="231"/>
      <c r="D535" s="214">
        <v>1000000</v>
      </c>
      <c r="E535" s="252">
        <f t="shared" si="8"/>
        <v>30540187</v>
      </c>
      <c r="F535" s="61">
        <v>2000465</v>
      </c>
      <c r="G535" s="61" t="s">
        <v>374</v>
      </c>
      <c r="H535" s="61" t="s">
        <v>374</v>
      </c>
    </row>
    <row r="536" spans="1:8" s="2" customFormat="1" x14ac:dyDescent="0.35">
      <c r="A536" s="195">
        <v>46185</v>
      </c>
      <c r="B536" s="61" t="s">
        <v>460</v>
      </c>
      <c r="C536" s="231">
        <v>1000000</v>
      </c>
      <c r="D536" s="214"/>
      <c r="E536" s="252">
        <f t="shared" si="8"/>
        <v>31540187</v>
      </c>
      <c r="F536" s="61"/>
      <c r="G536" s="61"/>
      <c r="H536" s="61" t="s">
        <v>436</v>
      </c>
    </row>
    <row r="537" spans="1:8" s="2" customFormat="1" x14ac:dyDescent="0.35">
      <c r="A537" s="195">
        <v>46185</v>
      </c>
      <c r="B537" s="61" t="s">
        <v>9</v>
      </c>
      <c r="C537" s="231"/>
      <c r="D537" s="214">
        <v>22000</v>
      </c>
      <c r="E537" s="252">
        <f t="shared" si="8"/>
        <v>31518187</v>
      </c>
      <c r="F537" s="61"/>
      <c r="G537" s="61"/>
      <c r="H537" s="61" t="s">
        <v>9</v>
      </c>
    </row>
    <row r="538" spans="1:8" s="2" customFormat="1" x14ac:dyDescent="0.35">
      <c r="A538" s="195">
        <v>46177</v>
      </c>
      <c r="B538" s="61" t="s">
        <v>14</v>
      </c>
      <c r="C538" s="231"/>
      <c r="D538" s="214">
        <v>1635653</v>
      </c>
      <c r="E538" s="252">
        <f t="shared" si="8"/>
        <v>29882534</v>
      </c>
      <c r="F538" s="61">
        <v>2000467</v>
      </c>
      <c r="G538" s="61" t="s">
        <v>319</v>
      </c>
      <c r="H538" s="61" t="s">
        <v>374</v>
      </c>
    </row>
    <row r="539" spans="1:8" s="2" customFormat="1" x14ac:dyDescent="0.35">
      <c r="A539" s="195">
        <v>46188</v>
      </c>
      <c r="B539" s="61" t="s">
        <v>427</v>
      </c>
      <c r="C539" s="233">
        <v>16000000</v>
      </c>
      <c r="D539" s="208"/>
      <c r="E539" s="252">
        <f t="shared" si="8"/>
        <v>45882534</v>
      </c>
      <c r="F539" s="61"/>
      <c r="G539" s="61" t="s">
        <v>390</v>
      </c>
      <c r="H539" s="61" t="s">
        <v>435</v>
      </c>
    </row>
    <row r="540" spans="1:8" s="2" customFormat="1" x14ac:dyDescent="0.35">
      <c r="A540" s="195">
        <v>46189</v>
      </c>
      <c r="B540" s="61" t="s">
        <v>427</v>
      </c>
      <c r="C540" s="231">
        <v>5000000</v>
      </c>
      <c r="D540" s="208"/>
      <c r="E540" s="252">
        <f t="shared" si="8"/>
        <v>50882534</v>
      </c>
      <c r="F540" s="61"/>
      <c r="G540" s="61" t="s">
        <v>390</v>
      </c>
      <c r="H540" s="61" t="s">
        <v>435</v>
      </c>
    </row>
    <row r="541" spans="1:8" s="2" customFormat="1" x14ac:dyDescent="0.35">
      <c r="A541" s="195">
        <v>46189</v>
      </c>
      <c r="B541" s="61" t="s">
        <v>391</v>
      </c>
      <c r="C541" s="231">
        <v>9000000</v>
      </c>
      <c r="D541" s="214"/>
      <c r="E541" s="252">
        <f t="shared" si="8"/>
        <v>59882534</v>
      </c>
      <c r="F541" s="61"/>
      <c r="G541" s="61" t="s">
        <v>390</v>
      </c>
      <c r="H541" s="61" t="s">
        <v>435</v>
      </c>
    </row>
    <row r="542" spans="1:8" s="2" customFormat="1" x14ac:dyDescent="0.35">
      <c r="A542" s="195">
        <v>46189</v>
      </c>
      <c r="B542" s="61" t="s">
        <v>461</v>
      </c>
      <c r="C542" s="231"/>
      <c r="D542" s="214">
        <v>211200</v>
      </c>
      <c r="E542" s="252">
        <f t="shared" si="8"/>
        <v>59671334</v>
      </c>
      <c r="F542" s="61"/>
      <c r="G542" s="61" t="s">
        <v>462</v>
      </c>
      <c r="H542" s="61" t="s">
        <v>443</v>
      </c>
    </row>
    <row r="543" spans="1:8" s="2" customFormat="1" x14ac:dyDescent="0.35">
      <c r="A543" s="201">
        <v>46189</v>
      </c>
      <c r="B543" s="120" t="s">
        <v>71</v>
      </c>
      <c r="C543" s="240"/>
      <c r="D543" s="219">
        <v>5000000</v>
      </c>
      <c r="E543" s="258">
        <f t="shared" si="8"/>
        <v>54671334</v>
      </c>
      <c r="F543" s="120">
        <v>2000354</v>
      </c>
      <c r="G543" s="120"/>
      <c r="H543" s="120" t="s">
        <v>441</v>
      </c>
    </row>
    <row r="544" spans="1:8" s="2" customFormat="1" x14ac:dyDescent="0.35">
      <c r="A544" s="195">
        <v>46195</v>
      </c>
      <c r="B544" s="61" t="s">
        <v>425</v>
      </c>
      <c r="C544" s="231"/>
      <c r="D544" s="214">
        <v>42877070</v>
      </c>
      <c r="E544" s="252">
        <f t="shared" si="8"/>
        <v>11794264</v>
      </c>
      <c r="F544" s="61">
        <v>2000497</v>
      </c>
      <c r="G544" s="61" t="s">
        <v>421</v>
      </c>
      <c r="H544" s="61" t="s">
        <v>447</v>
      </c>
    </row>
    <row r="545" spans="1:8" s="2" customFormat="1" x14ac:dyDescent="0.35">
      <c r="A545" s="195">
        <v>46195</v>
      </c>
      <c r="B545" s="61" t="s">
        <v>426</v>
      </c>
      <c r="C545" s="231"/>
      <c r="D545" s="214">
        <v>2790000</v>
      </c>
      <c r="E545" s="252">
        <f t="shared" si="8"/>
        <v>9004264</v>
      </c>
      <c r="F545" s="61">
        <v>2000499</v>
      </c>
      <c r="G545" s="61" t="s">
        <v>422</v>
      </c>
      <c r="H545" s="61" t="s">
        <v>447</v>
      </c>
    </row>
    <row r="546" spans="1:8" s="2" customFormat="1" x14ac:dyDescent="0.35">
      <c r="A546" s="195">
        <v>46195</v>
      </c>
      <c r="B546" s="61" t="s">
        <v>426</v>
      </c>
      <c r="C546" s="231"/>
      <c r="D546" s="214">
        <v>3751950</v>
      </c>
      <c r="E546" s="252">
        <f t="shared" si="8"/>
        <v>5252314</v>
      </c>
      <c r="F546" s="61">
        <v>2000498</v>
      </c>
      <c r="G546" s="61" t="s">
        <v>423</v>
      </c>
      <c r="H546" s="61" t="s">
        <v>447</v>
      </c>
    </row>
    <row r="547" spans="1:8" s="2" customFormat="1" x14ac:dyDescent="0.35">
      <c r="A547" s="202">
        <v>46195</v>
      </c>
      <c r="B547" s="61" t="s">
        <v>426</v>
      </c>
      <c r="C547" s="241"/>
      <c r="D547" s="220">
        <v>375000</v>
      </c>
      <c r="E547" s="252">
        <f t="shared" si="8"/>
        <v>4877314</v>
      </c>
      <c r="F547" s="145">
        <v>2000500</v>
      </c>
      <c r="G547" s="61" t="s">
        <v>424</v>
      </c>
      <c r="H547" s="61" t="s">
        <v>447</v>
      </c>
    </row>
    <row r="548" spans="1:8" s="2" customFormat="1" x14ac:dyDescent="0.35">
      <c r="A548" s="202">
        <v>46189</v>
      </c>
      <c r="B548" s="61" t="s">
        <v>472</v>
      </c>
      <c r="C548" s="241"/>
      <c r="D548" s="208">
        <v>3349168</v>
      </c>
      <c r="E548" s="252">
        <f t="shared" si="8"/>
        <v>1528146</v>
      </c>
      <c r="F548" s="145">
        <v>2000356</v>
      </c>
      <c r="G548" s="61" t="s">
        <v>469</v>
      </c>
      <c r="H548" s="61" t="s">
        <v>444</v>
      </c>
    </row>
    <row r="549" spans="1:8" s="2" customFormat="1" x14ac:dyDescent="0.35">
      <c r="A549" s="202">
        <v>46195</v>
      </c>
      <c r="B549" s="61" t="s">
        <v>274</v>
      </c>
      <c r="C549" s="241">
        <v>8000000</v>
      </c>
      <c r="D549" s="220"/>
      <c r="E549" s="252">
        <f t="shared" si="8"/>
        <v>9528146</v>
      </c>
      <c r="F549" s="145"/>
      <c r="G549" s="61" t="s">
        <v>390</v>
      </c>
      <c r="H549" s="61" t="s">
        <v>435</v>
      </c>
    </row>
    <row r="550" spans="1:8" s="2" customFormat="1" x14ac:dyDescent="0.35">
      <c r="A550" s="202">
        <v>46195</v>
      </c>
      <c r="B550" s="61" t="s">
        <v>274</v>
      </c>
      <c r="C550" s="241">
        <v>16000000</v>
      </c>
      <c r="D550" s="220"/>
      <c r="E550" s="252">
        <f t="shared" si="8"/>
        <v>25528146</v>
      </c>
      <c r="F550" s="145"/>
      <c r="G550" s="61" t="s">
        <v>390</v>
      </c>
      <c r="H550" s="61" t="s">
        <v>435</v>
      </c>
    </row>
    <row r="551" spans="1:8" s="2" customFormat="1" x14ac:dyDescent="0.35">
      <c r="A551" s="202">
        <v>46195</v>
      </c>
      <c r="B551" s="61" t="s">
        <v>474</v>
      </c>
      <c r="C551" s="241">
        <v>16000000</v>
      </c>
      <c r="D551" s="220"/>
      <c r="E551" s="252">
        <f t="shared" si="8"/>
        <v>41528146</v>
      </c>
      <c r="F551" s="145"/>
      <c r="G551" s="61" t="s">
        <v>390</v>
      </c>
      <c r="H551" s="61" t="s">
        <v>435</v>
      </c>
    </row>
    <row r="552" spans="1:8" s="2" customFormat="1" x14ac:dyDescent="0.35">
      <c r="A552" s="202">
        <v>46195</v>
      </c>
      <c r="B552" s="61" t="s">
        <v>474</v>
      </c>
      <c r="C552" s="241">
        <v>10000000</v>
      </c>
      <c r="D552" s="220"/>
      <c r="E552" s="252">
        <f t="shared" si="8"/>
        <v>51528146</v>
      </c>
      <c r="F552" s="145"/>
      <c r="G552" s="61" t="s">
        <v>390</v>
      </c>
      <c r="H552" s="61" t="s">
        <v>435</v>
      </c>
    </row>
    <row r="553" spans="1:8" s="2" customFormat="1" x14ac:dyDescent="0.35">
      <c r="A553" s="202">
        <v>46195</v>
      </c>
      <c r="B553" s="61" t="s">
        <v>472</v>
      </c>
      <c r="C553" s="231"/>
      <c r="D553" s="214">
        <v>9488296</v>
      </c>
      <c r="E553" s="252">
        <f t="shared" si="8"/>
        <v>42039850</v>
      </c>
      <c r="F553" s="61">
        <v>2000358</v>
      </c>
      <c r="G553" s="61" t="s">
        <v>468</v>
      </c>
      <c r="H553" s="61" t="s">
        <v>444</v>
      </c>
    </row>
    <row r="554" spans="1:8" s="2" customFormat="1" x14ac:dyDescent="0.35">
      <c r="A554" s="202">
        <v>46195</v>
      </c>
      <c r="B554" s="61" t="s">
        <v>472</v>
      </c>
      <c r="C554" s="231"/>
      <c r="D554" s="214">
        <v>1880958</v>
      </c>
      <c r="E554" s="252">
        <f t="shared" si="8"/>
        <v>40158892</v>
      </c>
      <c r="F554" s="61">
        <v>2000359</v>
      </c>
      <c r="G554" s="61" t="s">
        <v>469</v>
      </c>
      <c r="H554" s="61" t="s">
        <v>444</v>
      </c>
    </row>
    <row r="555" spans="1:8" s="2" customFormat="1" x14ac:dyDescent="0.35">
      <c r="A555" s="202">
        <v>46199</v>
      </c>
      <c r="B555" s="61" t="s">
        <v>473</v>
      </c>
      <c r="C555" s="231"/>
      <c r="D555" s="214">
        <v>1816500</v>
      </c>
      <c r="E555" s="252">
        <f t="shared" si="8"/>
        <v>38342392</v>
      </c>
      <c r="F555" s="61">
        <v>2000360</v>
      </c>
      <c r="G555" s="61" t="s">
        <v>470</v>
      </c>
      <c r="H555" s="61" t="s">
        <v>446</v>
      </c>
    </row>
    <row r="556" spans="1:8" s="2" customFormat="1" x14ac:dyDescent="0.35">
      <c r="A556" s="202">
        <v>46199</v>
      </c>
      <c r="B556" s="61" t="s">
        <v>473</v>
      </c>
      <c r="C556" s="231"/>
      <c r="D556" s="214">
        <v>510000</v>
      </c>
      <c r="E556" s="252">
        <f t="shared" si="8"/>
        <v>37832392</v>
      </c>
      <c r="F556" s="61">
        <v>2000361</v>
      </c>
      <c r="G556" s="61" t="s">
        <v>471</v>
      </c>
      <c r="H556" s="61" t="s">
        <v>446</v>
      </c>
    </row>
    <row r="557" spans="1:8" s="2" customFormat="1" x14ac:dyDescent="0.35">
      <c r="A557" s="202">
        <v>46196</v>
      </c>
      <c r="B557" s="61" t="s">
        <v>39</v>
      </c>
      <c r="C557" s="231">
        <v>57561240</v>
      </c>
      <c r="D557" s="214"/>
      <c r="E557" s="252">
        <f t="shared" si="8"/>
        <v>95393632</v>
      </c>
      <c r="F557" s="61"/>
      <c r="G557" s="61" t="s">
        <v>500</v>
      </c>
      <c r="H557" s="61" t="s">
        <v>501</v>
      </c>
    </row>
    <row r="558" spans="1:8" s="2" customFormat="1" x14ac:dyDescent="0.35">
      <c r="A558" s="202">
        <v>46196</v>
      </c>
      <c r="B558" s="61" t="s">
        <v>54</v>
      </c>
      <c r="C558" s="231"/>
      <c r="D558" s="214">
        <v>8263348</v>
      </c>
      <c r="E558" s="252">
        <f t="shared" si="8"/>
        <v>87130284</v>
      </c>
      <c r="F558" s="61">
        <v>2000362</v>
      </c>
      <c r="G558" s="61" t="s">
        <v>498</v>
      </c>
      <c r="H558" s="61" t="s">
        <v>442</v>
      </c>
    </row>
    <row r="559" spans="1:8" s="2" customFormat="1" x14ac:dyDescent="0.35">
      <c r="A559" s="202">
        <v>46197</v>
      </c>
      <c r="B559" s="61" t="s">
        <v>54</v>
      </c>
      <c r="C559" s="231"/>
      <c r="D559" s="214">
        <v>4403578</v>
      </c>
      <c r="E559" s="252">
        <f t="shared" si="8"/>
        <v>82726706</v>
      </c>
      <c r="F559" s="61">
        <v>2000363</v>
      </c>
      <c r="G559" s="61" t="s">
        <v>499</v>
      </c>
      <c r="H559" s="61" t="s">
        <v>442</v>
      </c>
    </row>
    <row r="560" spans="1:8" s="2" customFormat="1" x14ac:dyDescent="0.35">
      <c r="A560" s="202">
        <v>46198</v>
      </c>
      <c r="B560" s="61" t="s">
        <v>475</v>
      </c>
      <c r="C560" s="231"/>
      <c r="D560" s="214">
        <v>3000000</v>
      </c>
      <c r="E560" s="252">
        <f t="shared" si="8"/>
        <v>79726706</v>
      </c>
      <c r="F560" s="61">
        <v>2000364</v>
      </c>
      <c r="G560" s="61" t="s">
        <v>477</v>
      </c>
      <c r="H560" s="61" t="s">
        <v>440</v>
      </c>
    </row>
    <row r="561" spans="1:8" s="2" customFormat="1" x14ac:dyDescent="0.35">
      <c r="A561" s="202">
        <v>46198</v>
      </c>
      <c r="B561" s="61" t="s">
        <v>476</v>
      </c>
      <c r="C561" s="231"/>
      <c r="D561" s="214">
        <v>1175570</v>
      </c>
      <c r="E561" s="252">
        <f t="shared" si="8"/>
        <v>78551136</v>
      </c>
      <c r="F561" s="61">
        <v>2000365</v>
      </c>
      <c r="G561" s="61" t="s">
        <v>478</v>
      </c>
      <c r="H561" s="61" t="s">
        <v>374</v>
      </c>
    </row>
    <row r="562" spans="1:8" s="2" customFormat="1" x14ac:dyDescent="0.35">
      <c r="A562" s="202">
        <v>46198</v>
      </c>
      <c r="B562" s="61" t="s">
        <v>71</v>
      </c>
      <c r="C562" s="231"/>
      <c r="D562" s="214">
        <v>3960000</v>
      </c>
      <c r="E562" s="252">
        <f t="shared" si="8"/>
        <v>74591136</v>
      </c>
      <c r="F562" s="61">
        <v>2000366</v>
      </c>
      <c r="G562" s="61" t="s">
        <v>495</v>
      </c>
      <c r="H562" s="61" t="s">
        <v>441</v>
      </c>
    </row>
    <row r="563" spans="1:8" s="2" customFormat="1" x14ac:dyDescent="0.35">
      <c r="A563" s="202">
        <v>46199</v>
      </c>
      <c r="B563" s="61" t="s">
        <v>362</v>
      </c>
      <c r="C563" s="231"/>
      <c r="D563" s="214">
        <v>10000000</v>
      </c>
      <c r="E563" s="252">
        <f t="shared" si="8"/>
        <v>64591136</v>
      </c>
      <c r="F563" s="61">
        <v>2000367</v>
      </c>
      <c r="G563" s="61" t="s">
        <v>496</v>
      </c>
      <c r="H563" s="61" t="s">
        <v>450</v>
      </c>
    </row>
    <row r="564" spans="1:8" s="2" customFormat="1" x14ac:dyDescent="0.35">
      <c r="A564" s="202">
        <v>46198</v>
      </c>
      <c r="B564" s="61" t="s">
        <v>67</v>
      </c>
      <c r="C564" s="231"/>
      <c r="D564" s="214">
        <v>1500000</v>
      </c>
      <c r="E564" s="252">
        <f t="shared" si="8"/>
        <v>63091136</v>
      </c>
      <c r="F564" s="61"/>
      <c r="G564" s="61" t="s">
        <v>497</v>
      </c>
      <c r="H564" s="61" t="s">
        <v>445</v>
      </c>
    </row>
    <row r="565" spans="1:8" s="2" customFormat="1" x14ac:dyDescent="0.35">
      <c r="A565" s="202">
        <v>46195</v>
      </c>
      <c r="B565" s="61" t="s">
        <v>198</v>
      </c>
      <c r="C565" s="231"/>
      <c r="D565" s="214">
        <v>1000000</v>
      </c>
      <c r="E565" s="252">
        <f t="shared" si="8"/>
        <v>62091136</v>
      </c>
      <c r="F565" s="61"/>
      <c r="G565" s="61" t="s">
        <v>374</v>
      </c>
      <c r="H565" s="61" t="s">
        <v>374</v>
      </c>
    </row>
    <row r="566" spans="1:8" x14ac:dyDescent="0.35">
      <c r="A566" s="202">
        <v>46199</v>
      </c>
      <c r="B566" s="61" t="s">
        <v>67</v>
      </c>
      <c r="C566" s="231"/>
      <c r="D566" s="214">
        <v>1500000</v>
      </c>
      <c r="E566" s="252">
        <f t="shared" si="8"/>
        <v>60591136</v>
      </c>
      <c r="F566" s="61"/>
      <c r="G566" s="61" t="s">
        <v>497</v>
      </c>
      <c r="H566" s="61" t="s">
        <v>445</v>
      </c>
    </row>
    <row r="567" spans="1:8" s="2" customFormat="1" x14ac:dyDescent="0.35">
      <c r="A567" s="202">
        <v>46199</v>
      </c>
      <c r="B567" s="61" t="s">
        <v>9</v>
      </c>
      <c r="C567" s="231"/>
      <c r="D567" s="214">
        <v>5000</v>
      </c>
      <c r="E567" s="252">
        <f t="shared" si="8"/>
        <v>60586136</v>
      </c>
      <c r="F567" s="61"/>
      <c r="G567" s="61"/>
      <c r="H567" s="61" t="s">
        <v>9</v>
      </c>
    </row>
    <row r="568" spans="1:8" s="2" customFormat="1" x14ac:dyDescent="0.35">
      <c r="A568" s="202">
        <v>46202</v>
      </c>
      <c r="B568" s="61" t="s">
        <v>488</v>
      </c>
      <c r="C568" s="231"/>
      <c r="D568" s="214">
        <v>10000000</v>
      </c>
      <c r="E568" s="252">
        <f t="shared" si="8"/>
        <v>50586136</v>
      </c>
      <c r="F568" s="61"/>
      <c r="G568" s="61" t="s">
        <v>576</v>
      </c>
      <c r="H568" s="61" t="s">
        <v>502</v>
      </c>
    </row>
    <row r="569" spans="1:8" s="2" customFormat="1" x14ac:dyDescent="0.35">
      <c r="A569" s="195">
        <v>46202</v>
      </c>
      <c r="B569" s="61" t="s">
        <v>9</v>
      </c>
      <c r="C569" s="233"/>
      <c r="D569" s="213">
        <v>5000</v>
      </c>
      <c r="E569" s="252">
        <f t="shared" si="8"/>
        <v>50581136</v>
      </c>
      <c r="F569" s="61"/>
      <c r="G569" s="61"/>
      <c r="H569" s="61" t="s">
        <v>9</v>
      </c>
    </row>
    <row r="570" spans="1:8" s="2" customFormat="1" x14ac:dyDescent="0.35">
      <c r="A570" s="195">
        <v>46202</v>
      </c>
      <c r="B570" s="61" t="s">
        <v>9</v>
      </c>
      <c r="C570" s="233"/>
      <c r="D570" s="213">
        <v>500</v>
      </c>
      <c r="E570" s="252">
        <f t="shared" si="8"/>
        <v>50580636</v>
      </c>
      <c r="F570" s="61"/>
      <c r="G570" s="61"/>
      <c r="H570" s="61" t="s">
        <v>9</v>
      </c>
    </row>
    <row r="571" spans="1:8" s="2" customFormat="1" x14ac:dyDescent="0.35">
      <c r="A571" s="195">
        <v>46202</v>
      </c>
      <c r="B571" s="61" t="s">
        <v>211</v>
      </c>
      <c r="C571" s="231"/>
      <c r="D571" s="214">
        <v>25000000</v>
      </c>
      <c r="E571" s="252">
        <f t="shared" si="8"/>
        <v>25580636</v>
      </c>
      <c r="F571" s="61"/>
      <c r="G571" s="61" t="s">
        <v>575</v>
      </c>
      <c r="H571" s="61" t="s">
        <v>502</v>
      </c>
    </row>
    <row r="572" spans="1:8" s="2" customFormat="1" x14ac:dyDescent="0.35">
      <c r="A572" s="201">
        <v>46202</v>
      </c>
      <c r="B572" s="120" t="s">
        <v>9</v>
      </c>
      <c r="C572" s="240"/>
      <c r="D572" s="219">
        <v>500</v>
      </c>
      <c r="E572" s="258">
        <f t="shared" si="8"/>
        <v>25580136</v>
      </c>
      <c r="F572" s="120"/>
      <c r="G572" s="120"/>
      <c r="H572" s="120" t="s">
        <v>9</v>
      </c>
    </row>
    <row r="573" spans="1:8" s="2" customFormat="1" x14ac:dyDescent="0.35">
      <c r="A573" s="195">
        <v>46203</v>
      </c>
      <c r="B573" s="61" t="s">
        <v>9</v>
      </c>
      <c r="C573" s="233"/>
      <c r="D573" s="213">
        <v>5000</v>
      </c>
      <c r="E573" s="252">
        <f t="shared" si="8"/>
        <v>25575136</v>
      </c>
      <c r="F573" s="61"/>
      <c r="G573" s="61"/>
      <c r="H573" s="61" t="s">
        <v>9</v>
      </c>
    </row>
    <row r="574" spans="1:8" s="2" customFormat="1" x14ac:dyDescent="0.35">
      <c r="A574" s="195">
        <v>46203</v>
      </c>
      <c r="B574" s="61" t="s">
        <v>9</v>
      </c>
      <c r="C574" s="233"/>
      <c r="D574" s="213">
        <v>500</v>
      </c>
      <c r="E574" s="252">
        <f t="shared" si="8"/>
        <v>25574636</v>
      </c>
      <c r="F574" s="61"/>
      <c r="G574" s="61"/>
      <c r="H574" s="61" t="s">
        <v>9</v>
      </c>
    </row>
    <row r="575" spans="1:8" s="2" customFormat="1" x14ac:dyDescent="0.35">
      <c r="A575" s="195">
        <v>46203</v>
      </c>
      <c r="B575" s="61" t="s">
        <v>9</v>
      </c>
      <c r="C575" s="233"/>
      <c r="D575" s="213">
        <v>258</v>
      </c>
      <c r="E575" s="252">
        <f t="shared" si="8"/>
        <v>25574378</v>
      </c>
      <c r="F575" s="61"/>
      <c r="G575" s="61"/>
      <c r="H575" s="61" t="s">
        <v>9</v>
      </c>
    </row>
    <row r="576" spans="1:8" s="2" customFormat="1" x14ac:dyDescent="0.35">
      <c r="A576" s="195">
        <v>46203</v>
      </c>
      <c r="B576" s="61" t="s">
        <v>9</v>
      </c>
      <c r="C576" s="233"/>
      <c r="D576" s="213">
        <v>26</v>
      </c>
      <c r="E576" s="252">
        <f t="shared" si="8"/>
        <v>25574352</v>
      </c>
      <c r="F576" s="61"/>
      <c r="G576" s="61"/>
      <c r="H576" s="61" t="s">
        <v>9</v>
      </c>
    </row>
    <row r="577" spans="1:8" s="2" customFormat="1" x14ac:dyDescent="0.35">
      <c r="A577" s="195">
        <v>46204</v>
      </c>
      <c r="B577" s="61" t="s">
        <v>9</v>
      </c>
      <c r="C577" s="233"/>
      <c r="D577" s="213">
        <v>5000</v>
      </c>
      <c r="E577" s="252">
        <f t="shared" si="8"/>
        <v>25569352</v>
      </c>
      <c r="F577" s="61"/>
      <c r="G577" s="61"/>
      <c r="H577" s="61" t="s">
        <v>9</v>
      </c>
    </row>
    <row r="578" spans="1:8" s="2" customFormat="1" x14ac:dyDescent="0.35">
      <c r="A578" s="195">
        <v>46204</v>
      </c>
      <c r="B578" s="61" t="s">
        <v>9</v>
      </c>
      <c r="C578" s="233"/>
      <c r="D578" s="213">
        <v>500</v>
      </c>
      <c r="E578" s="252">
        <f t="shared" si="8"/>
        <v>25568852</v>
      </c>
      <c r="F578" s="61"/>
      <c r="G578" s="61"/>
      <c r="H578" s="61" t="s">
        <v>9</v>
      </c>
    </row>
    <row r="579" spans="1:8" s="2" customFormat="1" x14ac:dyDescent="0.35">
      <c r="A579" s="195">
        <v>46205</v>
      </c>
      <c r="B579" s="61" t="s">
        <v>491</v>
      </c>
      <c r="C579" s="231"/>
      <c r="D579" s="214">
        <v>7657000</v>
      </c>
      <c r="E579" s="252">
        <f t="shared" si="8"/>
        <v>17911852</v>
      </c>
      <c r="F579" s="61">
        <v>2000368</v>
      </c>
      <c r="G579" s="61" t="s">
        <v>504</v>
      </c>
      <c r="H579" s="61" t="s">
        <v>502</v>
      </c>
    </row>
    <row r="580" spans="1:8" s="2" customFormat="1" x14ac:dyDescent="0.35">
      <c r="A580" s="195">
        <v>46206</v>
      </c>
      <c r="B580" s="61" t="s">
        <v>488</v>
      </c>
      <c r="C580" s="231"/>
      <c r="D580" s="214">
        <v>12985600</v>
      </c>
      <c r="E580" s="252">
        <f t="shared" si="8"/>
        <v>4926252</v>
      </c>
      <c r="F580" s="61"/>
      <c r="G580" s="61" t="s">
        <v>576</v>
      </c>
      <c r="H580" s="61" t="s">
        <v>502</v>
      </c>
    </row>
    <row r="581" spans="1:8" s="2" customFormat="1" x14ac:dyDescent="0.35">
      <c r="A581" s="195">
        <v>46206</v>
      </c>
      <c r="B581" s="61" t="s">
        <v>505</v>
      </c>
      <c r="C581" s="231"/>
      <c r="D581" s="214">
        <v>200000</v>
      </c>
      <c r="E581" s="252">
        <f t="shared" si="8"/>
        <v>4726252</v>
      </c>
      <c r="F581" s="61">
        <v>2000370</v>
      </c>
      <c r="G581" s="61" t="s">
        <v>506</v>
      </c>
      <c r="H581" s="61" t="s">
        <v>441</v>
      </c>
    </row>
    <row r="582" spans="1:8" s="2" customFormat="1" x14ac:dyDescent="0.35">
      <c r="A582" s="195">
        <v>46206</v>
      </c>
      <c r="B582" s="61" t="s">
        <v>40</v>
      </c>
      <c r="C582" s="231"/>
      <c r="D582" s="213">
        <v>500000</v>
      </c>
      <c r="E582" s="252">
        <f t="shared" si="8"/>
        <v>4226252</v>
      </c>
      <c r="F582" s="61"/>
      <c r="G582" s="61" t="s">
        <v>205</v>
      </c>
      <c r="H582" s="61" t="s">
        <v>205</v>
      </c>
    </row>
    <row r="583" spans="1:8" s="2" customFormat="1" x14ac:dyDescent="0.35">
      <c r="A583" s="195">
        <v>46206</v>
      </c>
      <c r="B583" s="61" t="s">
        <v>508</v>
      </c>
      <c r="C583" s="231"/>
      <c r="D583" s="213">
        <v>2930000</v>
      </c>
      <c r="E583" s="252">
        <f t="shared" si="8"/>
        <v>1296252</v>
      </c>
      <c r="F583" s="61"/>
      <c r="G583" s="61" t="s">
        <v>507</v>
      </c>
      <c r="H583" s="61" t="s">
        <v>282</v>
      </c>
    </row>
    <row r="584" spans="1:8" s="2" customFormat="1" x14ac:dyDescent="0.35">
      <c r="A584" s="195">
        <v>46209</v>
      </c>
      <c r="B584" s="61" t="s">
        <v>509</v>
      </c>
      <c r="C584" s="231">
        <v>2000000</v>
      </c>
      <c r="D584" s="213"/>
      <c r="E584" s="252">
        <f t="shared" si="8"/>
        <v>3296252</v>
      </c>
      <c r="F584" s="61"/>
      <c r="G584" s="61" t="s">
        <v>390</v>
      </c>
      <c r="H584" s="61" t="s">
        <v>435</v>
      </c>
    </row>
    <row r="585" spans="1:8" s="2" customFormat="1" x14ac:dyDescent="0.35">
      <c r="A585" s="195">
        <v>46210</v>
      </c>
      <c r="B585" s="61" t="s">
        <v>476</v>
      </c>
      <c r="C585" s="231"/>
      <c r="D585" s="213">
        <v>2500000</v>
      </c>
      <c r="E585" s="252">
        <f t="shared" si="8"/>
        <v>796252</v>
      </c>
      <c r="F585" s="61">
        <v>2000371</v>
      </c>
      <c r="G585" s="61" t="s">
        <v>478</v>
      </c>
      <c r="H585" s="61" t="s">
        <v>374</v>
      </c>
    </row>
    <row r="586" spans="1:8" s="2" customFormat="1" x14ac:dyDescent="0.35">
      <c r="A586" s="195">
        <v>46210</v>
      </c>
      <c r="B586" s="61" t="s">
        <v>9</v>
      </c>
      <c r="C586" s="231"/>
      <c r="D586" s="213">
        <v>5000</v>
      </c>
      <c r="E586" s="252">
        <f t="shared" si="8"/>
        <v>791252</v>
      </c>
      <c r="F586" s="61"/>
      <c r="G586" s="61"/>
      <c r="H586" s="61" t="s">
        <v>9</v>
      </c>
    </row>
    <row r="587" spans="1:8" s="2" customFormat="1" x14ac:dyDescent="0.35">
      <c r="A587" s="195">
        <v>46210</v>
      </c>
      <c r="B587" s="61" t="s">
        <v>9</v>
      </c>
      <c r="C587" s="231"/>
      <c r="D587" s="213">
        <v>500</v>
      </c>
      <c r="E587" s="252">
        <f t="shared" si="8"/>
        <v>790752</v>
      </c>
      <c r="F587" s="61"/>
      <c r="G587" s="61"/>
      <c r="H587" s="61" t="s">
        <v>9</v>
      </c>
    </row>
    <row r="588" spans="1:8" s="2" customFormat="1" x14ac:dyDescent="0.35">
      <c r="A588" s="195">
        <v>46211</v>
      </c>
      <c r="B588" s="61" t="s">
        <v>9</v>
      </c>
      <c r="C588" s="231"/>
      <c r="D588" s="213">
        <v>5000</v>
      </c>
      <c r="E588" s="252">
        <f t="shared" si="8"/>
        <v>785752</v>
      </c>
      <c r="F588" s="61"/>
      <c r="G588" s="61"/>
      <c r="H588" s="61" t="s">
        <v>9</v>
      </c>
    </row>
    <row r="589" spans="1:8" s="2" customFormat="1" x14ac:dyDescent="0.35">
      <c r="A589" s="195">
        <v>46211</v>
      </c>
      <c r="B589" s="61" t="s">
        <v>9</v>
      </c>
      <c r="C589" s="231"/>
      <c r="D589" s="213">
        <v>500</v>
      </c>
      <c r="E589" s="252">
        <f t="shared" si="8"/>
        <v>785252</v>
      </c>
      <c r="F589" s="61"/>
      <c r="G589" s="61"/>
      <c r="H589" s="61" t="s">
        <v>9</v>
      </c>
    </row>
    <row r="590" spans="1:8" s="2" customFormat="1" x14ac:dyDescent="0.35">
      <c r="A590" s="195">
        <v>46218</v>
      </c>
      <c r="B590" s="61" t="s">
        <v>41</v>
      </c>
      <c r="C590" s="233">
        <v>63347688</v>
      </c>
      <c r="D590" s="208"/>
      <c r="E590" s="252">
        <f t="shared" si="8"/>
        <v>64132940</v>
      </c>
      <c r="F590" s="61"/>
      <c r="G590" s="61" t="s">
        <v>511</v>
      </c>
      <c r="H590" s="61" t="s">
        <v>510</v>
      </c>
    </row>
    <row r="591" spans="1:8" s="2" customFormat="1" x14ac:dyDescent="0.35">
      <c r="A591" s="195">
        <v>46218</v>
      </c>
      <c r="B591" s="61" t="s">
        <v>529</v>
      </c>
      <c r="C591" s="231"/>
      <c r="D591" s="213">
        <v>60000000</v>
      </c>
      <c r="E591" s="252">
        <f t="shared" si="8"/>
        <v>4132940</v>
      </c>
      <c r="F591" s="61"/>
      <c r="G591" s="61" t="s">
        <v>316</v>
      </c>
      <c r="H591" s="61" t="s">
        <v>265</v>
      </c>
    </row>
    <row r="592" spans="1:8" s="2" customFormat="1" x14ac:dyDescent="0.35">
      <c r="A592" s="195">
        <v>46218</v>
      </c>
      <c r="B592" s="61" t="s">
        <v>14</v>
      </c>
      <c r="C592" s="231"/>
      <c r="D592" s="213">
        <v>2000000</v>
      </c>
      <c r="E592" s="252">
        <f t="shared" si="8"/>
        <v>2132940</v>
      </c>
      <c r="F592" s="61">
        <v>2000373</v>
      </c>
      <c r="G592" s="61" t="s">
        <v>478</v>
      </c>
      <c r="H592" s="61" t="s">
        <v>374</v>
      </c>
    </row>
    <row r="593" spans="1:8" s="2" customFormat="1" x14ac:dyDescent="0.35">
      <c r="A593" s="195">
        <v>46218</v>
      </c>
      <c r="B593" s="61" t="s">
        <v>8</v>
      </c>
      <c r="C593" s="231">
        <v>206484637</v>
      </c>
      <c r="D593" s="208"/>
      <c r="E593" s="252">
        <f t="shared" si="8"/>
        <v>208617577</v>
      </c>
      <c r="F593" s="61"/>
      <c r="G593" s="61" t="s">
        <v>512</v>
      </c>
      <c r="H593" s="61" t="s">
        <v>430</v>
      </c>
    </row>
    <row r="594" spans="1:8" s="2" customFormat="1" x14ac:dyDescent="0.35">
      <c r="A594" s="195">
        <v>46219</v>
      </c>
      <c r="B594" s="61" t="s">
        <v>54</v>
      </c>
      <c r="C594" s="231"/>
      <c r="D594" s="214">
        <v>8527429</v>
      </c>
      <c r="E594" s="252">
        <f t="shared" si="8"/>
        <v>200090148</v>
      </c>
      <c r="F594" s="61"/>
      <c r="G594" s="61" t="s">
        <v>523</v>
      </c>
      <c r="H594" s="61" t="s">
        <v>442</v>
      </c>
    </row>
    <row r="595" spans="1:8" s="2" customFormat="1" x14ac:dyDescent="0.35">
      <c r="A595" s="195">
        <v>46219</v>
      </c>
      <c r="B595" s="61" t="s">
        <v>54</v>
      </c>
      <c r="C595" s="231"/>
      <c r="D595" s="214">
        <v>8674569</v>
      </c>
      <c r="E595" s="252">
        <f t="shared" si="8"/>
        <v>191415579</v>
      </c>
      <c r="F595" s="61"/>
      <c r="G595" s="61" t="s">
        <v>524</v>
      </c>
      <c r="H595" s="61" t="s">
        <v>442</v>
      </c>
    </row>
    <row r="596" spans="1:8" s="2" customFormat="1" x14ac:dyDescent="0.35">
      <c r="A596" s="195">
        <v>46219</v>
      </c>
      <c r="B596" s="61" t="s">
        <v>54</v>
      </c>
      <c r="C596" s="231"/>
      <c r="D596" s="214">
        <v>8633676</v>
      </c>
      <c r="E596" s="252">
        <f t="shared" si="8"/>
        <v>182781903</v>
      </c>
      <c r="F596" s="61"/>
      <c r="G596" s="61" t="s">
        <v>525</v>
      </c>
      <c r="H596" s="61" t="s">
        <v>442</v>
      </c>
    </row>
    <row r="597" spans="1:8" s="2" customFormat="1" x14ac:dyDescent="0.35">
      <c r="A597" s="195">
        <v>46219</v>
      </c>
      <c r="B597" s="61" t="s">
        <v>54</v>
      </c>
      <c r="C597" s="231"/>
      <c r="D597" s="214">
        <v>8801880</v>
      </c>
      <c r="E597" s="252">
        <f t="shared" si="8"/>
        <v>173980023</v>
      </c>
      <c r="F597" s="61"/>
      <c r="G597" s="156" t="s">
        <v>526</v>
      </c>
      <c r="H597" s="61" t="s">
        <v>442</v>
      </c>
    </row>
    <row r="598" spans="1:8" s="2" customFormat="1" x14ac:dyDescent="0.35">
      <c r="A598" s="195">
        <v>46219</v>
      </c>
      <c r="B598" s="61" t="s">
        <v>513</v>
      </c>
      <c r="C598" s="231"/>
      <c r="D598" s="214">
        <v>20040000</v>
      </c>
      <c r="E598" s="252">
        <f t="shared" si="8"/>
        <v>153940023</v>
      </c>
      <c r="F598" s="61"/>
      <c r="G598" s="61" t="s">
        <v>575</v>
      </c>
      <c r="H598" s="61" t="s">
        <v>502</v>
      </c>
    </row>
    <row r="599" spans="1:8" s="2" customFormat="1" x14ac:dyDescent="0.35">
      <c r="A599" s="195">
        <v>46219</v>
      </c>
      <c r="B599" s="61" t="s">
        <v>253</v>
      </c>
      <c r="C599" s="231"/>
      <c r="D599" s="214">
        <v>7155200</v>
      </c>
      <c r="E599" s="252">
        <f t="shared" si="8"/>
        <v>146784823</v>
      </c>
      <c r="F599" s="61"/>
      <c r="G599" s="61" t="s">
        <v>577</v>
      </c>
      <c r="H599" s="61" t="s">
        <v>502</v>
      </c>
    </row>
    <row r="600" spans="1:8" s="2" customFormat="1" x14ac:dyDescent="0.35">
      <c r="A600" s="195">
        <v>46219</v>
      </c>
      <c r="B600" s="61" t="s">
        <v>514</v>
      </c>
      <c r="C600" s="231"/>
      <c r="D600" s="213">
        <v>100000000</v>
      </c>
      <c r="E600" s="252">
        <f t="shared" ref="E600:E663" si="9">E599+C600-D600</f>
        <v>46784823</v>
      </c>
      <c r="F600" s="61"/>
      <c r="G600" s="61"/>
      <c r="H600" s="61" t="s">
        <v>438</v>
      </c>
    </row>
    <row r="601" spans="1:8" s="2" customFormat="1" x14ac:dyDescent="0.35">
      <c r="A601" s="195">
        <v>46220</v>
      </c>
      <c r="B601" s="61" t="s">
        <v>9</v>
      </c>
      <c r="C601" s="231"/>
      <c r="D601" s="213">
        <v>5000</v>
      </c>
      <c r="E601" s="252">
        <f t="shared" si="9"/>
        <v>46779823</v>
      </c>
      <c r="F601" s="61"/>
      <c r="G601" s="61"/>
      <c r="H601" s="61" t="s">
        <v>9</v>
      </c>
    </row>
    <row r="602" spans="1:8" s="2" customFormat="1" x14ac:dyDescent="0.35">
      <c r="A602" s="195">
        <v>46220</v>
      </c>
      <c r="B602" s="61" t="s">
        <v>9</v>
      </c>
      <c r="C602" s="231"/>
      <c r="D602" s="213">
        <v>500</v>
      </c>
      <c r="E602" s="252">
        <f t="shared" si="9"/>
        <v>46779323</v>
      </c>
      <c r="F602" s="61"/>
      <c r="G602" s="61"/>
      <c r="H602" s="61" t="s">
        <v>9</v>
      </c>
    </row>
    <row r="603" spans="1:8" s="2" customFormat="1" x14ac:dyDescent="0.35">
      <c r="A603" s="195">
        <v>46220</v>
      </c>
      <c r="B603" s="61" t="s">
        <v>54</v>
      </c>
      <c r="C603" s="231"/>
      <c r="D603" s="213">
        <v>8401112</v>
      </c>
      <c r="E603" s="252">
        <f t="shared" si="9"/>
        <v>38378211</v>
      </c>
      <c r="F603" s="61"/>
      <c r="G603" s="61" t="s">
        <v>527</v>
      </c>
      <c r="H603" s="61" t="s">
        <v>442</v>
      </c>
    </row>
    <row r="604" spans="1:8" s="2" customFormat="1" x14ac:dyDescent="0.35">
      <c r="A604" s="195">
        <v>46220</v>
      </c>
      <c r="B604" s="61" t="s">
        <v>25</v>
      </c>
      <c r="C604" s="231"/>
      <c r="D604" s="213">
        <v>11000000</v>
      </c>
      <c r="E604" s="252">
        <f t="shared" si="9"/>
        <v>27378211</v>
      </c>
      <c r="F604" s="61"/>
      <c r="G604" s="61" t="s">
        <v>521</v>
      </c>
      <c r="H604" s="61" t="s">
        <v>440</v>
      </c>
    </row>
    <row r="605" spans="1:8" s="2" customFormat="1" x14ac:dyDescent="0.35">
      <c r="A605" s="195">
        <v>46220</v>
      </c>
      <c r="B605" s="61" t="s">
        <v>519</v>
      </c>
      <c r="C605" s="231"/>
      <c r="D605" s="213">
        <v>7000000</v>
      </c>
      <c r="E605" s="252">
        <f t="shared" si="9"/>
        <v>20378211</v>
      </c>
      <c r="F605" s="61"/>
      <c r="G605" s="61" t="s">
        <v>522</v>
      </c>
      <c r="H605" s="61" t="s">
        <v>440</v>
      </c>
    </row>
    <row r="606" spans="1:8" s="2" customFormat="1" x14ac:dyDescent="0.35">
      <c r="A606" s="195">
        <v>46220</v>
      </c>
      <c r="B606" s="61" t="s">
        <v>9</v>
      </c>
      <c r="C606" s="231"/>
      <c r="D606" s="213">
        <v>5000</v>
      </c>
      <c r="E606" s="252">
        <f t="shared" si="9"/>
        <v>20373211</v>
      </c>
      <c r="F606" s="61"/>
      <c r="G606" s="61"/>
      <c r="H606" s="61" t="s">
        <v>9</v>
      </c>
    </row>
    <row r="607" spans="1:8" s="2" customFormat="1" x14ac:dyDescent="0.35">
      <c r="A607" s="195">
        <v>46220</v>
      </c>
      <c r="B607" s="61" t="s">
        <v>9</v>
      </c>
      <c r="C607" s="231"/>
      <c r="D607" s="213">
        <v>500</v>
      </c>
      <c r="E607" s="252">
        <f t="shared" si="9"/>
        <v>20372711</v>
      </c>
      <c r="F607" s="61"/>
      <c r="G607" s="61"/>
      <c r="H607" s="61" t="s">
        <v>9</v>
      </c>
    </row>
    <row r="608" spans="1:8" s="2" customFormat="1" x14ac:dyDescent="0.35">
      <c r="A608" s="195">
        <v>46223</v>
      </c>
      <c r="B608" s="61" t="s">
        <v>532</v>
      </c>
      <c r="C608" s="231"/>
      <c r="D608" s="213">
        <v>800000</v>
      </c>
      <c r="E608" s="252">
        <f t="shared" si="9"/>
        <v>19572711</v>
      </c>
      <c r="F608" s="61"/>
      <c r="G608" s="61"/>
      <c r="H608" s="61" t="s">
        <v>445</v>
      </c>
    </row>
    <row r="609" spans="1:8" s="2" customFormat="1" x14ac:dyDescent="0.35">
      <c r="A609" s="195">
        <v>46223</v>
      </c>
      <c r="B609" s="61" t="s">
        <v>306</v>
      </c>
      <c r="C609" s="231"/>
      <c r="D609" s="213">
        <v>8000000</v>
      </c>
      <c r="E609" s="252">
        <f t="shared" si="9"/>
        <v>11572711</v>
      </c>
      <c r="F609" s="61">
        <v>2000386</v>
      </c>
      <c r="G609" s="61" t="s">
        <v>399</v>
      </c>
      <c r="H609" s="61" t="s">
        <v>440</v>
      </c>
    </row>
    <row r="610" spans="1:8" s="2" customFormat="1" x14ac:dyDescent="0.35">
      <c r="A610" s="195">
        <v>46224</v>
      </c>
      <c r="B610" s="61" t="s">
        <v>531</v>
      </c>
      <c r="C610" s="231"/>
      <c r="D610" s="213">
        <v>-800000</v>
      </c>
      <c r="E610" s="252">
        <f t="shared" si="9"/>
        <v>12372711</v>
      </c>
      <c r="F610" s="61"/>
      <c r="G610" s="61"/>
      <c r="H610" s="61" t="s">
        <v>436</v>
      </c>
    </row>
    <row r="611" spans="1:8" s="2" customFormat="1" x14ac:dyDescent="0.35">
      <c r="A611" s="201">
        <v>46224</v>
      </c>
      <c r="B611" s="120" t="s">
        <v>472</v>
      </c>
      <c r="C611" s="240"/>
      <c r="D611" s="219">
        <v>7979118</v>
      </c>
      <c r="E611" s="258">
        <f t="shared" si="9"/>
        <v>4393593</v>
      </c>
      <c r="F611" s="120">
        <v>2000387</v>
      </c>
      <c r="G611" s="120" t="s">
        <v>520</v>
      </c>
      <c r="H611" s="120" t="s">
        <v>444</v>
      </c>
    </row>
    <row r="612" spans="1:8" s="2" customFormat="1" x14ac:dyDescent="0.35">
      <c r="A612" s="195">
        <v>46218</v>
      </c>
      <c r="B612" s="61" t="s">
        <v>67</v>
      </c>
      <c r="C612" s="231"/>
      <c r="D612" s="214">
        <v>1500000</v>
      </c>
      <c r="E612" s="252">
        <f t="shared" si="9"/>
        <v>2893593</v>
      </c>
      <c r="F612" s="61"/>
      <c r="G612" s="61" t="s">
        <v>497</v>
      </c>
      <c r="H612" s="61" t="s">
        <v>445</v>
      </c>
    </row>
    <row r="613" spans="1:8" s="2" customFormat="1" x14ac:dyDescent="0.35">
      <c r="A613" s="195">
        <v>46226</v>
      </c>
      <c r="B613" s="61" t="s">
        <v>475</v>
      </c>
      <c r="C613" s="231"/>
      <c r="D613" s="214">
        <v>800000</v>
      </c>
      <c r="E613" s="252">
        <f t="shared" si="9"/>
        <v>2093593</v>
      </c>
      <c r="F613" s="61">
        <v>2000385</v>
      </c>
      <c r="G613" s="61" t="s">
        <v>564</v>
      </c>
      <c r="H613" s="61" t="s">
        <v>440</v>
      </c>
    </row>
    <row r="614" spans="1:8" s="2" customFormat="1" x14ac:dyDescent="0.35">
      <c r="A614" s="195">
        <v>46226</v>
      </c>
      <c r="B614" s="61" t="s">
        <v>375</v>
      </c>
      <c r="C614" s="233">
        <v>85870741</v>
      </c>
      <c r="D614" s="208"/>
      <c r="E614" s="252">
        <f t="shared" si="9"/>
        <v>87964334</v>
      </c>
      <c r="F614" s="61"/>
      <c r="G614" s="61" t="s">
        <v>528</v>
      </c>
      <c r="H614" s="61" t="s">
        <v>434</v>
      </c>
    </row>
    <row r="615" spans="1:8" s="2" customFormat="1" x14ac:dyDescent="0.35">
      <c r="A615" s="195">
        <v>46226</v>
      </c>
      <c r="B615" s="61" t="s">
        <v>529</v>
      </c>
      <c r="C615" s="231"/>
      <c r="D615" s="213">
        <v>11000000</v>
      </c>
      <c r="E615" s="252">
        <f t="shared" si="9"/>
        <v>76964334</v>
      </c>
      <c r="F615" s="61"/>
      <c r="G615" s="61" t="s">
        <v>316</v>
      </c>
      <c r="H615" s="61" t="s">
        <v>265</v>
      </c>
    </row>
    <row r="616" spans="1:8" s="2" customFormat="1" x14ac:dyDescent="0.35">
      <c r="A616" s="195">
        <v>46226</v>
      </c>
      <c r="B616" s="61" t="s">
        <v>529</v>
      </c>
      <c r="C616" s="231"/>
      <c r="D616" s="213">
        <v>19000000</v>
      </c>
      <c r="E616" s="252">
        <f t="shared" si="9"/>
        <v>57964334</v>
      </c>
      <c r="F616" s="61"/>
      <c r="G616" s="61" t="s">
        <v>316</v>
      </c>
      <c r="H616" s="61" t="s">
        <v>265</v>
      </c>
    </row>
    <row r="617" spans="1:8" s="2" customFormat="1" x14ac:dyDescent="0.35">
      <c r="A617" s="195">
        <v>46227</v>
      </c>
      <c r="B617" s="61" t="s">
        <v>54</v>
      </c>
      <c r="C617" s="231"/>
      <c r="D617" s="213">
        <v>8594584</v>
      </c>
      <c r="E617" s="252">
        <f t="shared" si="9"/>
        <v>49369750</v>
      </c>
      <c r="F617" s="61">
        <v>2000390</v>
      </c>
      <c r="G617" s="61" t="s">
        <v>530</v>
      </c>
      <c r="H617" s="61" t="s">
        <v>442</v>
      </c>
    </row>
    <row r="618" spans="1:8" s="2" customFormat="1" x14ac:dyDescent="0.35">
      <c r="A618" s="195">
        <v>46227</v>
      </c>
      <c r="B618" s="61" t="s">
        <v>14</v>
      </c>
      <c r="C618" s="231"/>
      <c r="D618" s="213">
        <v>3000000</v>
      </c>
      <c r="E618" s="252">
        <f t="shared" si="9"/>
        <v>46369750</v>
      </c>
      <c r="F618" s="61">
        <v>2000391</v>
      </c>
      <c r="G618" s="61" t="s">
        <v>478</v>
      </c>
      <c r="H618" s="61" t="s">
        <v>374</v>
      </c>
    </row>
    <row r="619" spans="1:8" s="2" customFormat="1" x14ac:dyDescent="0.35">
      <c r="A619" s="195">
        <v>46227</v>
      </c>
      <c r="B619" s="61" t="s">
        <v>533</v>
      </c>
      <c r="C619" s="231"/>
      <c r="D619" s="213">
        <v>660000</v>
      </c>
      <c r="E619" s="252">
        <f t="shared" si="9"/>
        <v>45709750</v>
      </c>
      <c r="F619" s="61">
        <v>2000392</v>
      </c>
      <c r="G619" s="61"/>
      <c r="H619" s="61" t="s">
        <v>443</v>
      </c>
    </row>
    <row r="620" spans="1:8" s="2" customFormat="1" x14ac:dyDescent="0.35">
      <c r="A620" s="195">
        <v>46227</v>
      </c>
      <c r="B620" s="61" t="s">
        <v>474</v>
      </c>
      <c r="C620" s="231"/>
      <c r="D620" s="213">
        <v>17000000</v>
      </c>
      <c r="E620" s="252">
        <f t="shared" si="9"/>
        <v>28709750</v>
      </c>
      <c r="F620" s="61">
        <v>2000393</v>
      </c>
      <c r="G620" s="61"/>
      <c r="H620" s="61" t="s">
        <v>438</v>
      </c>
    </row>
    <row r="621" spans="1:8" s="2" customFormat="1" x14ac:dyDescent="0.35">
      <c r="A621" s="195">
        <v>46228</v>
      </c>
      <c r="B621" s="61" t="s">
        <v>54</v>
      </c>
      <c r="C621" s="231"/>
      <c r="D621" s="213">
        <v>8462962</v>
      </c>
      <c r="E621" s="252">
        <f t="shared" si="9"/>
        <v>20246788</v>
      </c>
      <c r="F621" s="61">
        <v>2000394</v>
      </c>
      <c r="G621" s="61" t="s">
        <v>534</v>
      </c>
      <c r="H621" s="61" t="s">
        <v>442</v>
      </c>
    </row>
    <row r="622" spans="1:8" s="2" customFormat="1" x14ac:dyDescent="0.35">
      <c r="A622" s="195">
        <v>46230</v>
      </c>
      <c r="B622" s="61" t="s">
        <v>54</v>
      </c>
      <c r="C622" s="231"/>
      <c r="D622" s="213">
        <v>8540412</v>
      </c>
      <c r="E622" s="252">
        <f t="shared" si="9"/>
        <v>11706376</v>
      </c>
      <c r="F622" s="61">
        <v>2000396</v>
      </c>
      <c r="G622" s="61" t="s">
        <v>535</v>
      </c>
      <c r="H622" s="61" t="s">
        <v>442</v>
      </c>
    </row>
    <row r="623" spans="1:8" s="2" customFormat="1" x14ac:dyDescent="0.35">
      <c r="A623" s="195">
        <v>46230</v>
      </c>
      <c r="B623" s="61" t="s">
        <v>54</v>
      </c>
      <c r="C623" s="231"/>
      <c r="D623" s="213">
        <v>8465276</v>
      </c>
      <c r="E623" s="252">
        <f t="shared" si="9"/>
        <v>3241100</v>
      </c>
      <c r="F623" s="61">
        <v>2000395</v>
      </c>
      <c r="G623" s="61" t="s">
        <v>536</v>
      </c>
      <c r="H623" s="61" t="s">
        <v>442</v>
      </c>
    </row>
    <row r="624" spans="1:8" s="2" customFormat="1" x14ac:dyDescent="0.35">
      <c r="A624" s="195">
        <v>46231</v>
      </c>
      <c r="B624" s="61" t="s">
        <v>472</v>
      </c>
      <c r="C624" s="231"/>
      <c r="D624" s="213">
        <v>1713484</v>
      </c>
      <c r="E624" s="252">
        <f t="shared" si="9"/>
        <v>1527616</v>
      </c>
      <c r="F624" s="61">
        <v>2000398</v>
      </c>
      <c r="G624" s="61" t="s">
        <v>537</v>
      </c>
      <c r="H624" s="61" t="s">
        <v>444</v>
      </c>
    </row>
    <row r="625" spans="1:8" s="2" customFormat="1" x14ac:dyDescent="0.35">
      <c r="A625" s="195">
        <v>46230</v>
      </c>
      <c r="B625" s="61" t="s">
        <v>40</v>
      </c>
      <c r="C625" s="231"/>
      <c r="D625" s="213">
        <v>500000</v>
      </c>
      <c r="E625" s="252">
        <f t="shared" si="9"/>
        <v>1027616</v>
      </c>
      <c r="F625" s="58">
        <v>2000399</v>
      </c>
      <c r="G625" s="61" t="s">
        <v>205</v>
      </c>
      <c r="H625" s="61" t="s">
        <v>205</v>
      </c>
    </row>
    <row r="626" spans="1:8" s="2" customFormat="1" x14ac:dyDescent="0.35">
      <c r="A626" s="195">
        <v>46231</v>
      </c>
      <c r="B626" s="61" t="s">
        <v>563</v>
      </c>
      <c r="C626" s="231">
        <v>15000000</v>
      </c>
      <c r="D626" s="213"/>
      <c r="E626" s="252">
        <f t="shared" si="9"/>
        <v>16027616</v>
      </c>
      <c r="F626" s="58"/>
      <c r="G626" s="61" t="s">
        <v>390</v>
      </c>
      <c r="H626" s="61" t="s">
        <v>435</v>
      </c>
    </row>
    <row r="627" spans="1:8" s="2" customFormat="1" x14ac:dyDescent="0.35">
      <c r="A627" s="195">
        <v>46231</v>
      </c>
      <c r="B627" s="61" t="s">
        <v>54</v>
      </c>
      <c r="C627" s="231"/>
      <c r="D627" s="213">
        <v>620001</v>
      </c>
      <c r="E627" s="252">
        <f t="shared" si="9"/>
        <v>15407615</v>
      </c>
      <c r="F627" s="61">
        <v>2000400</v>
      </c>
      <c r="G627" s="61" t="s">
        <v>538</v>
      </c>
      <c r="H627" s="61" t="s">
        <v>442</v>
      </c>
    </row>
    <row r="628" spans="1:8" s="2" customFormat="1" x14ac:dyDescent="0.35">
      <c r="A628" s="195">
        <v>46232</v>
      </c>
      <c r="B628" s="61" t="s">
        <v>8</v>
      </c>
      <c r="C628" s="231">
        <v>259782980</v>
      </c>
      <c r="D628" s="213"/>
      <c r="E628" s="252">
        <f t="shared" si="9"/>
        <v>275190595</v>
      </c>
      <c r="F628" s="61"/>
      <c r="G628" s="61" t="s">
        <v>539</v>
      </c>
      <c r="H628" s="61" t="s">
        <v>430</v>
      </c>
    </row>
    <row r="629" spans="1:8" s="2" customFormat="1" x14ac:dyDescent="0.35">
      <c r="A629" s="195">
        <v>46233</v>
      </c>
      <c r="B629" s="61" t="s">
        <v>54</v>
      </c>
      <c r="C629" s="231"/>
      <c r="D629" s="213">
        <v>8701144</v>
      </c>
      <c r="E629" s="252">
        <f t="shared" si="9"/>
        <v>266489451</v>
      </c>
      <c r="F629" s="61">
        <v>2000551</v>
      </c>
      <c r="G629" s="61" t="s">
        <v>540</v>
      </c>
      <c r="H629" s="61" t="s">
        <v>442</v>
      </c>
    </row>
    <row r="630" spans="1:8" s="2" customFormat="1" x14ac:dyDescent="0.35">
      <c r="A630" s="195">
        <v>46233</v>
      </c>
      <c r="B630" s="61" t="s">
        <v>542</v>
      </c>
      <c r="C630" s="231"/>
      <c r="D630" s="213">
        <v>4926549</v>
      </c>
      <c r="E630" s="252">
        <f t="shared" si="9"/>
        <v>261562902</v>
      </c>
      <c r="F630" s="61">
        <v>2000553</v>
      </c>
      <c r="G630" s="61" t="s">
        <v>541</v>
      </c>
      <c r="H630" s="61" t="s">
        <v>444</v>
      </c>
    </row>
    <row r="631" spans="1:8" s="2" customFormat="1" x14ac:dyDescent="0.35">
      <c r="A631" s="195">
        <v>46233</v>
      </c>
      <c r="B631" s="61" t="s">
        <v>514</v>
      </c>
      <c r="C631" s="231"/>
      <c r="D631" s="213">
        <v>112000000</v>
      </c>
      <c r="E631" s="252">
        <f t="shared" si="9"/>
        <v>149562902</v>
      </c>
      <c r="F631" s="61">
        <v>2000552</v>
      </c>
      <c r="G631" s="61"/>
      <c r="H631" s="61" t="s">
        <v>438</v>
      </c>
    </row>
    <row r="632" spans="1:8" s="2" customFormat="1" x14ac:dyDescent="0.35">
      <c r="A632" s="195">
        <v>46233</v>
      </c>
      <c r="B632" s="61" t="s">
        <v>290</v>
      </c>
      <c r="C632" s="231"/>
      <c r="D632" s="213">
        <v>2134000</v>
      </c>
      <c r="E632" s="252">
        <f t="shared" si="9"/>
        <v>147428902</v>
      </c>
      <c r="F632" s="61">
        <v>2000554</v>
      </c>
      <c r="G632" s="61" t="s">
        <v>544</v>
      </c>
      <c r="H632" s="61" t="s">
        <v>445</v>
      </c>
    </row>
    <row r="633" spans="1:8" s="2" customFormat="1" x14ac:dyDescent="0.35">
      <c r="A633" s="195">
        <v>46233</v>
      </c>
      <c r="B633" s="61" t="s">
        <v>545</v>
      </c>
      <c r="C633" s="231">
        <v>1698699</v>
      </c>
      <c r="D633" s="213"/>
      <c r="E633" s="252">
        <f t="shared" si="9"/>
        <v>149127601</v>
      </c>
      <c r="F633" s="61"/>
      <c r="G633" s="61" t="s">
        <v>546</v>
      </c>
      <c r="H633" s="61" t="s">
        <v>435</v>
      </c>
    </row>
    <row r="634" spans="1:8" s="2" customFormat="1" x14ac:dyDescent="0.35">
      <c r="A634" s="195">
        <v>46234</v>
      </c>
      <c r="B634" s="61" t="s">
        <v>369</v>
      </c>
      <c r="C634" s="231"/>
      <c r="D634" s="213">
        <v>6000000</v>
      </c>
      <c r="E634" s="252">
        <f t="shared" si="9"/>
        <v>143127601</v>
      </c>
      <c r="F634" s="61">
        <v>2000556</v>
      </c>
      <c r="G634" s="61" t="s">
        <v>547</v>
      </c>
      <c r="H634" s="61" t="s">
        <v>440</v>
      </c>
    </row>
    <row r="635" spans="1:8" s="2" customFormat="1" x14ac:dyDescent="0.35">
      <c r="A635" s="195">
        <v>46234</v>
      </c>
      <c r="B635" s="61" t="s">
        <v>306</v>
      </c>
      <c r="C635" s="231"/>
      <c r="D635" s="213">
        <v>10000000</v>
      </c>
      <c r="E635" s="252">
        <f t="shared" si="9"/>
        <v>133127601</v>
      </c>
      <c r="F635" s="61">
        <v>2000557</v>
      </c>
      <c r="G635" s="61" t="s">
        <v>548</v>
      </c>
      <c r="H635" s="61" t="s">
        <v>440</v>
      </c>
    </row>
    <row r="636" spans="1:8" s="2" customFormat="1" x14ac:dyDescent="0.35">
      <c r="A636" s="195">
        <v>46235</v>
      </c>
      <c r="B636" s="61" t="s">
        <v>54</v>
      </c>
      <c r="C636" s="231"/>
      <c r="D636" s="213">
        <v>8775332</v>
      </c>
      <c r="E636" s="252">
        <f t="shared" si="9"/>
        <v>124352269</v>
      </c>
      <c r="F636" s="61">
        <v>2000558</v>
      </c>
      <c r="G636" s="61" t="s">
        <v>549</v>
      </c>
      <c r="H636" s="61" t="s">
        <v>442</v>
      </c>
    </row>
    <row r="637" spans="1:8" s="2" customFormat="1" x14ac:dyDescent="0.35">
      <c r="A637" s="195">
        <v>46237</v>
      </c>
      <c r="B637" s="61" t="s">
        <v>9</v>
      </c>
      <c r="C637" s="231"/>
      <c r="D637" s="213">
        <v>5000</v>
      </c>
      <c r="E637" s="252">
        <f t="shared" si="9"/>
        <v>124347269</v>
      </c>
      <c r="F637" s="61"/>
      <c r="G637" s="61"/>
      <c r="H637" s="61" t="s">
        <v>9</v>
      </c>
    </row>
    <row r="638" spans="1:8" s="2" customFormat="1" x14ac:dyDescent="0.35">
      <c r="A638" s="195">
        <v>46237</v>
      </c>
      <c r="B638" s="61" t="s">
        <v>9</v>
      </c>
      <c r="C638" s="231"/>
      <c r="D638" s="213">
        <v>500</v>
      </c>
      <c r="E638" s="252">
        <f t="shared" si="9"/>
        <v>124346769</v>
      </c>
      <c r="F638" s="61"/>
      <c r="G638" s="61"/>
      <c r="H638" s="61" t="s">
        <v>9</v>
      </c>
    </row>
    <row r="639" spans="1:8" s="2" customFormat="1" x14ac:dyDescent="0.35">
      <c r="A639" s="195">
        <v>46237</v>
      </c>
      <c r="B639" s="61" t="s">
        <v>274</v>
      </c>
      <c r="C639" s="231"/>
      <c r="D639" s="213">
        <v>20000000</v>
      </c>
      <c r="E639" s="252">
        <f t="shared" si="9"/>
        <v>104346769</v>
      </c>
      <c r="F639" s="61">
        <v>2000559</v>
      </c>
      <c r="G639" s="61" t="s">
        <v>56</v>
      </c>
      <c r="H639" s="61" t="s">
        <v>438</v>
      </c>
    </row>
    <row r="640" spans="1:8" s="2" customFormat="1" x14ac:dyDescent="0.35">
      <c r="A640" s="195">
        <v>46237</v>
      </c>
      <c r="B640" s="61" t="s">
        <v>529</v>
      </c>
      <c r="C640" s="231"/>
      <c r="D640" s="213">
        <v>19500000</v>
      </c>
      <c r="E640" s="252">
        <f t="shared" si="9"/>
        <v>84846769</v>
      </c>
      <c r="F640" s="61">
        <v>2000560</v>
      </c>
      <c r="G640" s="61" t="s">
        <v>558</v>
      </c>
      <c r="H640" s="61" t="s">
        <v>265</v>
      </c>
    </row>
    <row r="641" spans="1:8" s="2" customFormat="1" x14ac:dyDescent="0.35">
      <c r="A641" s="195">
        <v>46237</v>
      </c>
      <c r="B641" s="61" t="s">
        <v>362</v>
      </c>
      <c r="C641" s="231"/>
      <c r="D641" s="213">
        <v>1320000</v>
      </c>
      <c r="E641" s="252">
        <f t="shared" si="9"/>
        <v>83526769</v>
      </c>
      <c r="F641" s="61">
        <v>2000563</v>
      </c>
      <c r="G641" s="61" t="s">
        <v>550</v>
      </c>
      <c r="H641" s="61" t="s">
        <v>450</v>
      </c>
    </row>
    <row r="642" spans="1:8" s="2" customFormat="1" x14ac:dyDescent="0.35">
      <c r="A642" s="195">
        <v>46237</v>
      </c>
      <c r="B642" s="61" t="s">
        <v>274</v>
      </c>
      <c r="C642" s="231"/>
      <c r="D642" s="213">
        <v>19500000</v>
      </c>
      <c r="E642" s="252">
        <f t="shared" si="9"/>
        <v>64026769</v>
      </c>
      <c r="F642" s="61">
        <v>2000562</v>
      </c>
      <c r="G642" s="61" t="s">
        <v>56</v>
      </c>
      <c r="H642" s="61" t="s">
        <v>438</v>
      </c>
    </row>
    <row r="643" spans="1:8" s="2" customFormat="1" x14ac:dyDescent="0.35">
      <c r="A643" s="195">
        <v>46237</v>
      </c>
      <c r="B643" s="61" t="s">
        <v>474</v>
      </c>
      <c r="C643" s="231"/>
      <c r="D643" s="213">
        <v>20000000</v>
      </c>
      <c r="E643" s="252">
        <f t="shared" si="9"/>
        <v>44026769</v>
      </c>
      <c r="F643" s="61">
        <v>2000561</v>
      </c>
      <c r="G643" s="61" t="s">
        <v>56</v>
      </c>
      <c r="H643" s="61" t="s">
        <v>438</v>
      </c>
    </row>
    <row r="644" spans="1:8" s="2" customFormat="1" x14ac:dyDescent="0.35">
      <c r="A644" s="195">
        <v>46237</v>
      </c>
      <c r="B644" s="61" t="s">
        <v>542</v>
      </c>
      <c r="C644" s="231"/>
      <c r="D644" s="213">
        <v>3274988</v>
      </c>
      <c r="E644" s="252">
        <f t="shared" si="9"/>
        <v>40751781</v>
      </c>
      <c r="F644" s="61">
        <v>2000565</v>
      </c>
      <c r="G644" s="61" t="s">
        <v>551</v>
      </c>
      <c r="H644" s="61" t="s">
        <v>444</v>
      </c>
    </row>
    <row r="645" spans="1:8" s="2" customFormat="1" x14ac:dyDescent="0.35">
      <c r="A645" s="195">
        <v>46237</v>
      </c>
      <c r="B645" s="61" t="s">
        <v>472</v>
      </c>
      <c r="C645" s="231"/>
      <c r="D645" s="213">
        <v>6271810</v>
      </c>
      <c r="E645" s="252">
        <f t="shared" si="9"/>
        <v>34479971</v>
      </c>
      <c r="F645" s="61">
        <v>2000564</v>
      </c>
      <c r="G645" s="61" t="s">
        <v>552</v>
      </c>
      <c r="H645" s="61" t="s">
        <v>444</v>
      </c>
    </row>
    <row r="646" spans="1:8" s="2" customFormat="1" x14ac:dyDescent="0.35">
      <c r="A646" s="195">
        <v>46237</v>
      </c>
      <c r="B646" s="61" t="s">
        <v>556</v>
      </c>
      <c r="C646" s="231"/>
      <c r="D646" s="213">
        <v>1328439</v>
      </c>
      <c r="E646" s="252">
        <f t="shared" si="9"/>
        <v>33151532</v>
      </c>
      <c r="F646" s="61">
        <v>2000566</v>
      </c>
      <c r="G646" s="61" t="s">
        <v>557</v>
      </c>
      <c r="H646" s="61" t="s">
        <v>445</v>
      </c>
    </row>
    <row r="647" spans="1:8" s="2" customFormat="1" x14ac:dyDescent="0.35">
      <c r="A647" s="195">
        <v>46237</v>
      </c>
      <c r="B647" s="61" t="s">
        <v>545</v>
      </c>
      <c r="C647" s="231">
        <v>302738</v>
      </c>
      <c r="D647" s="213"/>
      <c r="E647" s="252">
        <f t="shared" si="9"/>
        <v>33454270</v>
      </c>
      <c r="F647" s="61"/>
      <c r="G647" s="61" t="s">
        <v>553</v>
      </c>
      <c r="H647" s="61" t="s">
        <v>435</v>
      </c>
    </row>
    <row r="648" spans="1:8" s="2" customFormat="1" x14ac:dyDescent="0.35">
      <c r="A648" s="195">
        <v>46238</v>
      </c>
      <c r="B648" s="61" t="s">
        <v>565</v>
      </c>
      <c r="C648" s="231"/>
      <c r="D648" s="213">
        <v>1200000</v>
      </c>
      <c r="E648" s="252">
        <f t="shared" si="9"/>
        <v>32254270</v>
      </c>
      <c r="F648" s="61"/>
      <c r="G648" s="61"/>
      <c r="H648" s="61" t="s">
        <v>565</v>
      </c>
    </row>
    <row r="649" spans="1:8" s="2" customFormat="1" x14ac:dyDescent="0.35">
      <c r="A649" s="195">
        <v>46239</v>
      </c>
      <c r="B649" s="61" t="s">
        <v>418</v>
      </c>
      <c r="C649" s="231"/>
      <c r="D649" s="213">
        <v>1500000</v>
      </c>
      <c r="E649" s="252">
        <f t="shared" si="9"/>
        <v>30754270</v>
      </c>
      <c r="F649" s="61">
        <v>2000568</v>
      </c>
      <c r="G649" s="61" t="s">
        <v>554</v>
      </c>
      <c r="H649" s="61" t="s">
        <v>445</v>
      </c>
    </row>
    <row r="650" spans="1:8" s="2" customFormat="1" x14ac:dyDescent="0.35">
      <c r="A650" s="195">
        <v>46244</v>
      </c>
      <c r="B650" s="61" t="s">
        <v>542</v>
      </c>
      <c r="C650" s="231"/>
      <c r="D650" s="213">
        <v>1634149</v>
      </c>
      <c r="E650" s="252">
        <f t="shared" si="9"/>
        <v>29120121</v>
      </c>
      <c r="F650" s="61">
        <v>2000569</v>
      </c>
      <c r="G650" s="61" t="s">
        <v>555</v>
      </c>
      <c r="H650" s="61" t="s">
        <v>444</v>
      </c>
    </row>
    <row r="651" spans="1:8" s="2" customFormat="1" x14ac:dyDescent="0.35">
      <c r="A651" s="195">
        <v>46244</v>
      </c>
      <c r="B651" s="61" t="s">
        <v>9</v>
      </c>
      <c r="C651" s="231"/>
      <c r="D651" s="213">
        <v>38500</v>
      </c>
      <c r="E651" s="252">
        <f t="shared" si="9"/>
        <v>29081621</v>
      </c>
      <c r="F651" s="61"/>
      <c r="G651" s="61" t="s">
        <v>566</v>
      </c>
      <c r="H651" s="61" t="s">
        <v>9</v>
      </c>
    </row>
    <row r="652" spans="1:8" s="2" customFormat="1" x14ac:dyDescent="0.35">
      <c r="A652" s="195">
        <v>46244</v>
      </c>
      <c r="B652" s="61" t="s">
        <v>9</v>
      </c>
      <c r="C652" s="231"/>
      <c r="D652" s="213">
        <v>38500</v>
      </c>
      <c r="E652" s="252">
        <f t="shared" si="9"/>
        <v>29043121</v>
      </c>
      <c r="F652" s="61"/>
      <c r="G652" s="61" t="s">
        <v>566</v>
      </c>
      <c r="H652" s="61" t="s">
        <v>9</v>
      </c>
    </row>
    <row r="653" spans="1:8" s="2" customFormat="1" x14ac:dyDescent="0.35">
      <c r="A653" s="195">
        <v>46244</v>
      </c>
      <c r="B653" s="61" t="s">
        <v>9</v>
      </c>
      <c r="C653" s="231"/>
      <c r="D653" s="213">
        <v>38500</v>
      </c>
      <c r="E653" s="252">
        <f t="shared" si="9"/>
        <v>29004621</v>
      </c>
      <c r="F653" s="61"/>
      <c r="G653" s="61" t="s">
        <v>566</v>
      </c>
      <c r="H653" s="61" t="s">
        <v>9</v>
      </c>
    </row>
    <row r="654" spans="1:8" s="2" customFormat="1" x14ac:dyDescent="0.35">
      <c r="A654" s="195">
        <v>46244</v>
      </c>
      <c r="B654" s="61" t="s">
        <v>9</v>
      </c>
      <c r="C654" s="231"/>
      <c r="D654" s="213">
        <v>38500</v>
      </c>
      <c r="E654" s="252">
        <f t="shared" si="9"/>
        <v>28966121</v>
      </c>
      <c r="F654" s="61"/>
      <c r="G654" s="61" t="s">
        <v>566</v>
      </c>
      <c r="H654" s="61" t="s">
        <v>9</v>
      </c>
    </row>
    <row r="655" spans="1:8" s="2" customFormat="1" x14ac:dyDescent="0.35">
      <c r="A655" s="195">
        <v>46244</v>
      </c>
      <c r="B655" s="61" t="s">
        <v>9</v>
      </c>
      <c r="C655" s="231"/>
      <c r="D655" s="213">
        <v>38500</v>
      </c>
      <c r="E655" s="252">
        <f t="shared" si="9"/>
        <v>28927621</v>
      </c>
      <c r="F655" s="61"/>
      <c r="G655" s="61" t="s">
        <v>566</v>
      </c>
      <c r="H655" s="61" t="s">
        <v>9</v>
      </c>
    </row>
    <row r="656" spans="1:8" s="2" customFormat="1" x14ac:dyDescent="0.35">
      <c r="A656" s="195">
        <v>46244</v>
      </c>
      <c r="B656" s="61" t="s">
        <v>9</v>
      </c>
      <c r="C656" s="231"/>
      <c r="D656" s="213">
        <v>38500</v>
      </c>
      <c r="E656" s="252">
        <f t="shared" si="9"/>
        <v>28889121</v>
      </c>
      <c r="F656" s="61"/>
      <c r="G656" s="61" t="s">
        <v>566</v>
      </c>
      <c r="H656" s="61" t="s">
        <v>9</v>
      </c>
    </row>
    <row r="657" spans="1:8" s="2" customFormat="1" x14ac:dyDescent="0.35">
      <c r="A657" s="195">
        <v>46244</v>
      </c>
      <c r="B657" s="61" t="s">
        <v>9</v>
      </c>
      <c r="C657" s="231"/>
      <c r="D657" s="213">
        <v>38500</v>
      </c>
      <c r="E657" s="252">
        <f t="shared" si="9"/>
        <v>28850621</v>
      </c>
      <c r="F657" s="61"/>
      <c r="G657" s="61" t="s">
        <v>566</v>
      </c>
      <c r="H657" s="61" t="s">
        <v>9</v>
      </c>
    </row>
    <row r="658" spans="1:8" s="2" customFormat="1" x14ac:dyDescent="0.35">
      <c r="A658" s="195">
        <v>46244</v>
      </c>
      <c r="B658" s="61" t="s">
        <v>9</v>
      </c>
      <c r="C658" s="231"/>
      <c r="D658" s="213">
        <v>38500</v>
      </c>
      <c r="E658" s="252">
        <f t="shared" si="9"/>
        <v>28812121</v>
      </c>
      <c r="F658" s="61"/>
      <c r="G658" s="61" t="s">
        <v>566</v>
      </c>
      <c r="H658" s="61" t="s">
        <v>9</v>
      </c>
    </row>
    <row r="659" spans="1:8" s="2" customFormat="1" x14ac:dyDescent="0.35">
      <c r="A659" s="195">
        <v>46244</v>
      </c>
      <c r="B659" s="61" t="s">
        <v>9</v>
      </c>
      <c r="C659" s="231"/>
      <c r="D659" s="213">
        <v>38500</v>
      </c>
      <c r="E659" s="252">
        <f t="shared" si="9"/>
        <v>28773621</v>
      </c>
      <c r="F659" s="61"/>
      <c r="G659" s="61" t="s">
        <v>566</v>
      </c>
      <c r="H659" s="61" t="s">
        <v>9</v>
      </c>
    </row>
    <row r="660" spans="1:8" s="2" customFormat="1" x14ac:dyDescent="0.35">
      <c r="A660" s="195">
        <v>46244</v>
      </c>
      <c r="B660" s="61" t="s">
        <v>9</v>
      </c>
      <c r="C660" s="231"/>
      <c r="D660" s="213">
        <v>38500</v>
      </c>
      <c r="E660" s="252">
        <f t="shared" si="9"/>
        <v>28735121</v>
      </c>
      <c r="F660" s="61"/>
      <c r="G660" s="61" t="s">
        <v>566</v>
      </c>
      <c r="H660" s="61" t="s">
        <v>9</v>
      </c>
    </row>
    <row r="661" spans="1:8" s="2" customFormat="1" x14ac:dyDescent="0.35">
      <c r="A661" s="195">
        <v>46244</v>
      </c>
      <c r="B661" s="61" t="s">
        <v>9</v>
      </c>
      <c r="C661" s="231"/>
      <c r="D661" s="213">
        <v>38500</v>
      </c>
      <c r="E661" s="252">
        <f t="shared" si="9"/>
        <v>28696621</v>
      </c>
      <c r="F661" s="61"/>
      <c r="G661" s="61" t="s">
        <v>566</v>
      </c>
      <c r="H661" s="61" t="s">
        <v>9</v>
      </c>
    </row>
    <row r="662" spans="1:8" s="2" customFormat="1" x14ac:dyDescent="0.35">
      <c r="A662" s="195">
        <v>46244</v>
      </c>
      <c r="B662" s="61" t="s">
        <v>9</v>
      </c>
      <c r="C662" s="231"/>
      <c r="D662" s="213">
        <v>38500</v>
      </c>
      <c r="E662" s="252">
        <f t="shared" si="9"/>
        <v>28658121</v>
      </c>
      <c r="F662" s="61"/>
      <c r="G662" s="61" t="s">
        <v>566</v>
      </c>
      <c r="H662" s="61" t="s">
        <v>9</v>
      </c>
    </row>
    <row r="663" spans="1:8" s="2" customFormat="1" x14ac:dyDescent="0.35">
      <c r="A663" s="195">
        <v>46244</v>
      </c>
      <c r="B663" s="61" t="s">
        <v>9</v>
      </c>
      <c r="C663" s="231"/>
      <c r="D663" s="213">
        <v>38500</v>
      </c>
      <c r="E663" s="252">
        <f t="shared" si="9"/>
        <v>28619621</v>
      </c>
      <c r="F663" s="61"/>
      <c r="G663" s="61" t="s">
        <v>566</v>
      </c>
      <c r="H663" s="61" t="s">
        <v>9</v>
      </c>
    </row>
    <row r="664" spans="1:8" s="2" customFormat="1" x14ac:dyDescent="0.35">
      <c r="A664" s="195">
        <v>46244</v>
      </c>
      <c r="B664" s="61" t="s">
        <v>9</v>
      </c>
      <c r="C664" s="231"/>
      <c r="D664" s="213">
        <v>38500</v>
      </c>
      <c r="E664" s="252">
        <f t="shared" ref="E664:E729" si="10">E663+C664-D664</f>
        <v>28581121</v>
      </c>
      <c r="F664" s="61"/>
      <c r="G664" s="61" t="s">
        <v>566</v>
      </c>
      <c r="H664" s="61" t="s">
        <v>9</v>
      </c>
    </row>
    <row r="665" spans="1:8" s="2" customFormat="1" x14ac:dyDescent="0.35">
      <c r="A665" s="195">
        <v>46244</v>
      </c>
      <c r="B665" s="61" t="s">
        <v>9</v>
      </c>
      <c r="C665" s="231"/>
      <c r="D665" s="213">
        <v>38500</v>
      </c>
      <c r="E665" s="252">
        <f t="shared" si="10"/>
        <v>28542621</v>
      </c>
      <c r="F665" s="61"/>
      <c r="G665" s="61" t="s">
        <v>566</v>
      </c>
      <c r="H665" s="61" t="s">
        <v>9</v>
      </c>
    </row>
    <row r="666" spans="1:8" s="2" customFormat="1" x14ac:dyDescent="0.35">
      <c r="A666" s="195">
        <v>46244</v>
      </c>
      <c r="B666" s="61" t="s">
        <v>9</v>
      </c>
      <c r="C666" s="231"/>
      <c r="D666" s="213">
        <v>38500</v>
      </c>
      <c r="E666" s="252">
        <f t="shared" si="10"/>
        <v>28504121</v>
      </c>
      <c r="F666" s="61"/>
      <c r="G666" s="61" t="s">
        <v>566</v>
      </c>
      <c r="H666" s="61" t="s">
        <v>9</v>
      </c>
    </row>
    <row r="667" spans="1:8" s="2" customFormat="1" x14ac:dyDescent="0.35">
      <c r="A667" s="195">
        <v>46244</v>
      </c>
      <c r="B667" s="61" t="s">
        <v>9</v>
      </c>
      <c r="C667" s="231"/>
      <c r="D667" s="213">
        <v>38500</v>
      </c>
      <c r="E667" s="252">
        <f t="shared" si="10"/>
        <v>28465621</v>
      </c>
      <c r="F667" s="61"/>
      <c r="G667" s="61" t="s">
        <v>566</v>
      </c>
      <c r="H667" s="61" t="s">
        <v>9</v>
      </c>
    </row>
    <row r="668" spans="1:8" s="2" customFormat="1" x14ac:dyDescent="0.35">
      <c r="A668" s="195">
        <v>46244</v>
      </c>
      <c r="B668" s="61" t="s">
        <v>9</v>
      </c>
      <c r="C668" s="231"/>
      <c r="D668" s="213">
        <v>38500</v>
      </c>
      <c r="E668" s="252">
        <f t="shared" si="10"/>
        <v>28427121</v>
      </c>
      <c r="F668" s="61"/>
      <c r="G668" s="61" t="s">
        <v>566</v>
      </c>
      <c r="H668" s="61" t="s">
        <v>9</v>
      </c>
    </row>
    <row r="669" spans="1:8" s="2" customFormat="1" x14ac:dyDescent="0.35">
      <c r="A669" s="195">
        <v>46244</v>
      </c>
      <c r="B669" s="61" t="s">
        <v>9</v>
      </c>
      <c r="C669" s="231"/>
      <c r="D669" s="213">
        <v>38500</v>
      </c>
      <c r="E669" s="252">
        <f t="shared" si="10"/>
        <v>28388621</v>
      </c>
      <c r="F669" s="61"/>
      <c r="G669" s="61" t="s">
        <v>566</v>
      </c>
      <c r="H669" s="61" t="s">
        <v>9</v>
      </c>
    </row>
    <row r="670" spans="1:8" s="2" customFormat="1" x14ac:dyDescent="0.35">
      <c r="A670" s="195">
        <v>46244</v>
      </c>
      <c r="B670" s="61" t="s">
        <v>9</v>
      </c>
      <c r="C670" s="231"/>
      <c r="D670" s="213">
        <v>38500</v>
      </c>
      <c r="E670" s="252">
        <f t="shared" si="10"/>
        <v>28350121</v>
      </c>
      <c r="F670" s="61"/>
      <c r="G670" s="61" t="s">
        <v>566</v>
      </c>
      <c r="H670" s="61" t="s">
        <v>9</v>
      </c>
    </row>
    <row r="671" spans="1:8" s="2" customFormat="1" x14ac:dyDescent="0.35">
      <c r="A671" s="195">
        <v>46244</v>
      </c>
      <c r="B671" s="61" t="s">
        <v>9</v>
      </c>
      <c r="C671" s="231"/>
      <c r="D671" s="213">
        <v>38500</v>
      </c>
      <c r="E671" s="252">
        <f t="shared" si="10"/>
        <v>28311621</v>
      </c>
      <c r="F671" s="61"/>
      <c r="G671" s="61" t="s">
        <v>566</v>
      </c>
      <c r="H671" s="61" t="s">
        <v>9</v>
      </c>
    </row>
    <row r="672" spans="1:8" s="2" customFormat="1" x14ac:dyDescent="0.35">
      <c r="A672" s="195">
        <v>46244</v>
      </c>
      <c r="B672" s="61" t="s">
        <v>9</v>
      </c>
      <c r="C672" s="231"/>
      <c r="D672" s="213">
        <v>38500</v>
      </c>
      <c r="E672" s="252">
        <f t="shared" si="10"/>
        <v>28273121</v>
      </c>
      <c r="F672" s="61"/>
      <c r="G672" s="61" t="s">
        <v>566</v>
      </c>
      <c r="H672" s="61" t="s">
        <v>9</v>
      </c>
    </row>
    <row r="673" spans="1:8" s="2" customFormat="1" x14ac:dyDescent="0.35">
      <c r="A673" s="195">
        <v>46244</v>
      </c>
      <c r="B673" s="61" t="s">
        <v>9</v>
      </c>
      <c r="C673" s="231"/>
      <c r="D673" s="213">
        <v>38500</v>
      </c>
      <c r="E673" s="252">
        <f t="shared" si="10"/>
        <v>28234621</v>
      </c>
      <c r="F673" s="61"/>
      <c r="G673" s="61" t="s">
        <v>566</v>
      </c>
      <c r="H673" s="61" t="s">
        <v>9</v>
      </c>
    </row>
    <row r="674" spans="1:8" s="2" customFormat="1" x14ac:dyDescent="0.35">
      <c r="A674" s="195">
        <v>46244</v>
      </c>
      <c r="B674" s="61" t="s">
        <v>9</v>
      </c>
      <c r="C674" s="231"/>
      <c r="D674" s="213">
        <v>38500</v>
      </c>
      <c r="E674" s="252">
        <f t="shared" si="10"/>
        <v>28196121</v>
      </c>
      <c r="F674" s="61"/>
      <c r="G674" s="61" t="s">
        <v>566</v>
      </c>
      <c r="H674" s="61" t="s">
        <v>9</v>
      </c>
    </row>
    <row r="675" spans="1:8" s="2" customFormat="1" x14ac:dyDescent="0.35">
      <c r="A675" s="195">
        <v>46244</v>
      </c>
      <c r="B675" s="61" t="s">
        <v>9</v>
      </c>
      <c r="C675" s="231"/>
      <c r="D675" s="213">
        <v>38500</v>
      </c>
      <c r="E675" s="252">
        <f t="shared" si="10"/>
        <v>28157621</v>
      </c>
      <c r="F675" s="61"/>
      <c r="G675" s="61" t="s">
        <v>566</v>
      </c>
      <c r="H675" s="61" t="s">
        <v>9</v>
      </c>
    </row>
    <row r="676" spans="1:8" s="2" customFormat="1" x14ac:dyDescent="0.35">
      <c r="A676" s="195">
        <v>46244</v>
      </c>
      <c r="B676" s="61" t="s">
        <v>9</v>
      </c>
      <c r="C676" s="231"/>
      <c r="D676" s="213">
        <v>38500</v>
      </c>
      <c r="E676" s="252">
        <f t="shared" si="10"/>
        <v>28119121</v>
      </c>
      <c r="F676" s="61"/>
      <c r="G676" s="61" t="s">
        <v>566</v>
      </c>
      <c r="H676" s="61" t="s">
        <v>9</v>
      </c>
    </row>
    <row r="677" spans="1:8" s="2" customFormat="1" x14ac:dyDescent="0.35">
      <c r="A677" s="195">
        <v>46245</v>
      </c>
      <c r="B677" s="61" t="s">
        <v>476</v>
      </c>
      <c r="C677" s="231"/>
      <c r="D677" s="213">
        <v>1310869</v>
      </c>
      <c r="E677" s="252">
        <f t="shared" si="10"/>
        <v>26808252</v>
      </c>
      <c r="F677" s="61">
        <v>2000572</v>
      </c>
      <c r="G677" s="61" t="s">
        <v>478</v>
      </c>
      <c r="H677" s="61" t="s">
        <v>374</v>
      </c>
    </row>
    <row r="678" spans="1:8" s="2" customFormat="1" x14ac:dyDescent="0.35">
      <c r="A678" s="195">
        <v>46245</v>
      </c>
      <c r="B678" s="61" t="s">
        <v>475</v>
      </c>
      <c r="C678" s="231"/>
      <c r="D678" s="213">
        <v>373450</v>
      </c>
      <c r="E678" s="252">
        <f t="shared" si="10"/>
        <v>26434802</v>
      </c>
      <c r="F678" s="61">
        <v>2000573</v>
      </c>
      <c r="G678" s="61" t="s">
        <v>477</v>
      </c>
      <c r="H678" s="61" t="s">
        <v>440</v>
      </c>
    </row>
    <row r="679" spans="1:8" s="2" customFormat="1" x14ac:dyDescent="0.35">
      <c r="A679" s="195">
        <v>46245</v>
      </c>
      <c r="B679" s="61" t="s">
        <v>54</v>
      </c>
      <c r="C679" s="231"/>
      <c r="D679" s="213">
        <v>6098503</v>
      </c>
      <c r="E679" s="252">
        <f t="shared" si="10"/>
        <v>20336299</v>
      </c>
      <c r="F679" s="61">
        <v>2000570</v>
      </c>
      <c r="G679" s="61"/>
      <c r="H679" s="61" t="s">
        <v>442</v>
      </c>
    </row>
    <row r="680" spans="1:8" s="2" customFormat="1" x14ac:dyDescent="0.35">
      <c r="A680" s="195">
        <v>46245</v>
      </c>
      <c r="B680" s="61" t="s">
        <v>472</v>
      </c>
      <c r="C680" s="231"/>
      <c r="D680" s="213">
        <v>11230088</v>
      </c>
      <c r="E680" s="252">
        <f t="shared" si="10"/>
        <v>9106211</v>
      </c>
      <c r="F680" s="61">
        <v>2000571</v>
      </c>
      <c r="G680" s="61"/>
      <c r="H680" s="61" t="s">
        <v>444</v>
      </c>
    </row>
    <row r="681" spans="1:8" s="2" customFormat="1" x14ac:dyDescent="0.35">
      <c r="A681" s="195">
        <v>46246</v>
      </c>
      <c r="B681" s="33" t="s">
        <v>561</v>
      </c>
      <c r="C681" s="242">
        <v>45591341</v>
      </c>
      <c r="D681" s="221"/>
      <c r="E681" s="252">
        <f t="shared" si="10"/>
        <v>54697552</v>
      </c>
      <c r="F681" s="33"/>
      <c r="G681" s="33" t="s">
        <v>567</v>
      </c>
      <c r="H681" s="33" t="s">
        <v>432</v>
      </c>
    </row>
    <row r="682" spans="1:8" s="2" customFormat="1" x14ac:dyDescent="0.35">
      <c r="A682" s="195">
        <v>46246</v>
      </c>
      <c r="B682" s="61" t="s">
        <v>260</v>
      </c>
      <c r="C682" s="233"/>
      <c r="D682" s="213">
        <v>6000000</v>
      </c>
      <c r="E682" s="252">
        <f t="shared" si="10"/>
        <v>48697552</v>
      </c>
      <c r="F682" s="61">
        <v>2000575</v>
      </c>
      <c r="G682" s="61" t="s">
        <v>559</v>
      </c>
      <c r="H682" s="61" t="s">
        <v>560</v>
      </c>
    </row>
    <row r="683" spans="1:8" s="2" customFormat="1" x14ac:dyDescent="0.35">
      <c r="A683" s="201">
        <v>46248</v>
      </c>
      <c r="B683" s="157" t="s">
        <v>375</v>
      </c>
      <c r="C683" s="243">
        <v>47294631</v>
      </c>
      <c r="D683" s="222"/>
      <c r="E683" s="258">
        <f t="shared" si="10"/>
        <v>95992183</v>
      </c>
      <c r="F683" s="157"/>
      <c r="G683" s="157" t="s">
        <v>568</v>
      </c>
      <c r="H683" s="157" t="s">
        <v>434</v>
      </c>
    </row>
    <row r="684" spans="1:8" s="2" customFormat="1" x14ac:dyDescent="0.35">
      <c r="A684" s="195">
        <v>46251</v>
      </c>
      <c r="B684" s="61" t="s">
        <v>562</v>
      </c>
      <c r="C684" s="231">
        <v>35000000</v>
      </c>
      <c r="D684" s="213"/>
      <c r="E684" s="252">
        <f t="shared" si="10"/>
        <v>130992183</v>
      </c>
      <c r="F684" s="61"/>
      <c r="G684" s="61"/>
      <c r="H684" s="61" t="s">
        <v>435</v>
      </c>
    </row>
    <row r="685" spans="1:8" s="2" customFormat="1" x14ac:dyDescent="0.35">
      <c r="A685" s="195">
        <v>46252</v>
      </c>
      <c r="B685" s="61" t="s">
        <v>542</v>
      </c>
      <c r="C685" s="231"/>
      <c r="D685" s="213">
        <v>3303826</v>
      </c>
      <c r="E685" s="252">
        <f t="shared" si="10"/>
        <v>127688357</v>
      </c>
      <c r="F685" s="61">
        <v>2000577</v>
      </c>
      <c r="G685" s="61" t="s">
        <v>569</v>
      </c>
      <c r="H685" s="61" t="s">
        <v>444</v>
      </c>
    </row>
    <row r="686" spans="1:8" s="2" customFormat="1" x14ac:dyDescent="0.35">
      <c r="A686" s="195">
        <v>46252</v>
      </c>
      <c r="B686" s="61" t="s">
        <v>570</v>
      </c>
      <c r="C686" s="231"/>
      <c r="D686" s="213">
        <v>120000000</v>
      </c>
      <c r="E686" s="252">
        <f t="shared" si="10"/>
        <v>7688357</v>
      </c>
      <c r="F686" s="61"/>
      <c r="G686" s="61" t="s">
        <v>570</v>
      </c>
      <c r="H686" s="61" t="s">
        <v>27</v>
      </c>
    </row>
    <row r="687" spans="1:8" s="2" customFormat="1" x14ac:dyDescent="0.35">
      <c r="A687" s="195">
        <v>46254</v>
      </c>
      <c r="B687" s="61" t="s">
        <v>572</v>
      </c>
      <c r="C687" s="233">
        <v>142602756</v>
      </c>
      <c r="D687" s="213"/>
      <c r="E687" s="252">
        <f t="shared" si="10"/>
        <v>150291113</v>
      </c>
      <c r="F687" s="61"/>
      <c r="G687" s="61" t="s">
        <v>571</v>
      </c>
      <c r="H687" s="61" t="s">
        <v>432</v>
      </c>
    </row>
    <row r="688" spans="1:8" s="2" customFormat="1" x14ac:dyDescent="0.35">
      <c r="A688" s="195">
        <v>46258</v>
      </c>
      <c r="B688" s="61" t="s">
        <v>360</v>
      </c>
      <c r="C688" s="231"/>
      <c r="D688" s="213">
        <v>14460600</v>
      </c>
      <c r="E688" s="252">
        <f t="shared" si="10"/>
        <v>135830513</v>
      </c>
      <c r="F688" s="61">
        <v>2000578</v>
      </c>
      <c r="G688" s="61" t="s">
        <v>559</v>
      </c>
      <c r="H688" s="61" t="s">
        <v>560</v>
      </c>
    </row>
    <row r="689" spans="1:8" s="2" customFormat="1" x14ac:dyDescent="0.35">
      <c r="A689" s="195">
        <v>46258</v>
      </c>
      <c r="B689" s="61" t="s">
        <v>573</v>
      </c>
      <c r="C689" s="231"/>
      <c r="D689" s="213">
        <v>10411520</v>
      </c>
      <c r="E689" s="252">
        <f t="shared" si="10"/>
        <v>125418993</v>
      </c>
      <c r="F689" s="61">
        <v>2000579</v>
      </c>
      <c r="G689" s="61" t="s">
        <v>559</v>
      </c>
      <c r="H689" s="61" t="s">
        <v>560</v>
      </c>
    </row>
    <row r="690" spans="1:8" s="2" customFormat="1" x14ac:dyDescent="0.35">
      <c r="A690" s="195">
        <v>46260</v>
      </c>
      <c r="B690" s="61" t="s">
        <v>67</v>
      </c>
      <c r="C690" s="231"/>
      <c r="D690" s="213">
        <v>1500000</v>
      </c>
      <c r="E690" s="252">
        <f t="shared" si="10"/>
        <v>123918993</v>
      </c>
      <c r="F690" s="61"/>
      <c r="G690" s="61" t="s">
        <v>497</v>
      </c>
      <c r="H690" s="61" t="s">
        <v>445</v>
      </c>
    </row>
    <row r="691" spans="1:8" s="2" customFormat="1" x14ac:dyDescent="0.35">
      <c r="A691" s="195">
        <v>46260</v>
      </c>
      <c r="B691" s="61" t="s">
        <v>331</v>
      </c>
      <c r="C691" s="231"/>
      <c r="D691" s="213">
        <v>31924200</v>
      </c>
      <c r="E691" s="252">
        <f t="shared" si="10"/>
        <v>91994793</v>
      </c>
      <c r="F691" s="61">
        <v>2000580</v>
      </c>
      <c r="G691" s="61" t="s">
        <v>559</v>
      </c>
      <c r="H691" s="61" t="s">
        <v>560</v>
      </c>
    </row>
    <row r="692" spans="1:8" s="2" customFormat="1" x14ac:dyDescent="0.35">
      <c r="A692" s="195">
        <v>46260</v>
      </c>
      <c r="B692" s="61" t="s">
        <v>578</v>
      </c>
      <c r="C692" s="231"/>
      <c r="D692" s="213">
        <v>31451600</v>
      </c>
      <c r="E692" s="252">
        <f t="shared" si="10"/>
        <v>60543193</v>
      </c>
      <c r="F692" s="61">
        <v>2000581</v>
      </c>
      <c r="G692" s="61" t="s">
        <v>559</v>
      </c>
      <c r="H692" s="61" t="s">
        <v>560</v>
      </c>
    </row>
    <row r="693" spans="1:8" s="2" customFormat="1" x14ac:dyDescent="0.35">
      <c r="A693" s="195">
        <v>46261</v>
      </c>
      <c r="B693" s="61" t="s">
        <v>579</v>
      </c>
      <c r="C693" s="231"/>
      <c r="D693" s="213">
        <v>22506000</v>
      </c>
      <c r="E693" s="252">
        <f t="shared" si="10"/>
        <v>38037193</v>
      </c>
      <c r="F693" s="61">
        <v>2000583</v>
      </c>
      <c r="G693" s="61" t="s">
        <v>559</v>
      </c>
      <c r="H693" s="61" t="s">
        <v>560</v>
      </c>
    </row>
    <row r="694" spans="1:8" s="2" customFormat="1" x14ac:dyDescent="0.35">
      <c r="A694" s="195">
        <v>46261</v>
      </c>
      <c r="B694" s="61" t="s">
        <v>580</v>
      </c>
      <c r="C694" s="231"/>
      <c r="D694" s="213">
        <v>14982000</v>
      </c>
      <c r="E694" s="252">
        <f t="shared" si="10"/>
        <v>23055193</v>
      </c>
      <c r="F694" s="61">
        <v>2000584</v>
      </c>
      <c r="G694" s="61" t="s">
        <v>559</v>
      </c>
      <c r="H694" s="61" t="s">
        <v>560</v>
      </c>
    </row>
    <row r="695" spans="1:8" s="2" customFormat="1" x14ac:dyDescent="0.35">
      <c r="A695" s="195">
        <v>46261</v>
      </c>
      <c r="B695" s="61" t="s">
        <v>40</v>
      </c>
      <c r="C695" s="231"/>
      <c r="D695" s="213">
        <v>500000</v>
      </c>
      <c r="E695" s="252">
        <f t="shared" si="10"/>
        <v>22555193</v>
      </c>
      <c r="F695" s="61">
        <v>2000582</v>
      </c>
      <c r="G695" s="61" t="s">
        <v>205</v>
      </c>
      <c r="H695" s="61" t="s">
        <v>205</v>
      </c>
    </row>
    <row r="696" spans="1:8" s="2" customFormat="1" x14ac:dyDescent="0.35">
      <c r="A696" s="195">
        <v>46262</v>
      </c>
      <c r="B696" s="61" t="s">
        <v>260</v>
      </c>
      <c r="C696" s="231"/>
      <c r="D696" s="213">
        <v>14874000</v>
      </c>
      <c r="E696" s="252">
        <f t="shared" si="10"/>
        <v>7681193</v>
      </c>
      <c r="F696" s="61">
        <v>2000586</v>
      </c>
      <c r="G696" s="61" t="s">
        <v>559</v>
      </c>
      <c r="H696" s="61" t="s">
        <v>560</v>
      </c>
    </row>
    <row r="697" spans="1:8" s="2" customFormat="1" x14ac:dyDescent="0.35">
      <c r="A697" s="195">
        <v>46262</v>
      </c>
      <c r="B697" s="61" t="s">
        <v>581</v>
      </c>
      <c r="C697" s="231"/>
      <c r="D697" s="213">
        <v>2450000</v>
      </c>
      <c r="E697" s="252">
        <f t="shared" si="10"/>
        <v>5231193</v>
      </c>
      <c r="F697" s="61">
        <v>2000587</v>
      </c>
      <c r="G697" s="61" t="s">
        <v>582</v>
      </c>
      <c r="H697" s="61" t="s">
        <v>445</v>
      </c>
    </row>
    <row r="698" spans="1:8" s="2" customFormat="1" x14ac:dyDescent="0.35">
      <c r="A698" s="195">
        <v>46265</v>
      </c>
      <c r="B698" s="61" t="s">
        <v>572</v>
      </c>
      <c r="C698" s="233">
        <v>76901834</v>
      </c>
      <c r="D698" s="213"/>
      <c r="E698" s="252">
        <f t="shared" si="10"/>
        <v>82133027</v>
      </c>
      <c r="F698" s="61"/>
      <c r="G698" s="61" t="s">
        <v>589</v>
      </c>
      <c r="H698" s="61" t="s">
        <v>432</v>
      </c>
    </row>
    <row r="699" spans="1:8" s="2" customFormat="1" x14ac:dyDescent="0.35">
      <c r="A699" s="195">
        <v>46266</v>
      </c>
      <c r="B699" s="61" t="s">
        <v>9</v>
      </c>
      <c r="C699" s="233"/>
      <c r="D699" s="213">
        <v>5000</v>
      </c>
      <c r="E699" s="252">
        <f t="shared" si="10"/>
        <v>82128027</v>
      </c>
      <c r="F699" s="61"/>
      <c r="G699" s="61"/>
      <c r="H699" s="61" t="s">
        <v>9</v>
      </c>
    </row>
    <row r="700" spans="1:8" s="2" customFormat="1" x14ac:dyDescent="0.35">
      <c r="A700" s="195">
        <v>46266</v>
      </c>
      <c r="B700" s="61" t="s">
        <v>9</v>
      </c>
      <c r="C700" s="233"/>
      <c r="D700" s="213">
        <v>500</v>
      </c>
      <c r="E700" s="252">
        <f t="shared" si="10"/>
        <v>82127527</v>
      </c>
      <c r="F700" s="61"/>
      <c r="G700" s="61"/>
      <c r="H700" s="61" t="s">
        <v>9</v>
      </c>
    </row>
    <row r="701" spans="1:8" s="2" customFormat="1" x14ac:dyDescent="0.35">
      <c r="A701" s="195">
        <v>46267</v>
      </c>
      <c r="B701" s="61" t="s">
        <v>529</v>
      </c>
      <c r="C701" s="231">
        <v>15000000</v>
      </c>
      <c r="D701" s="213"/>
      <c r="E701" s="252">
        <f t="shared" si="10"/>
        <v>97127527</v>
      </c>
      <c r="F701" s="61"/>
      <c r="G701" s="61"/>
      <c r="H701" s="61" t="s">
        <v>435</v>
      </c>
    </row>
    <row r="702" spans="1:8" s="2" customFormat="1" x14ac:dyDescent="0.35">
      <c r="A702" s="195">
        <v>46268</v>
      </c>
      <c r="B702" s="61" t="s">
        <v>529</v>
      </c>
      <c r="C702" s="231">
        <v>10000000</v>
      </c>
      <c r="D702" s="213"/>
      <c r="E702" s="252">
        <f t="shared" si="10"/>
        <v>107127527</v>
      </c>
      <c r="F702" s="61"/>
      <c r="G702" s="61"/>
      <c r="H702" s="61" t="s">
        <v>435</v>
      </c>
    </row>
    <row r="703" spans="1:8" s="2" customFormat="1" x14ac:dyDescent="0.35">
      <c r="A703" s="195">
        <v>46267</v>
      </c>
      <c r="B703" s="61" t="s">
        <v>260</v>
      </c>
      <c r="C703" s="231"/>
      <c r="D703" s="213">
        <v>14197300</v>
      </c>
      <c r="E703" s="252">
        <f t="shared" si="10"/>
        <v>92930227</v>
      </c>
      <c r="F703" s="61">
        <v>2000588</v>
      </c>
      <c r="G703" s="61" t="s">
        <v>559</v>
      </c>
      <c r="H703" s="61" t="s">
        <v>560</v>
      </c>
    </row>
    <row r="704" spans="1:8" s="2" customFormat="1" x14ac:dyDescent="0.35">
      <c r="A704" s="195">
        <v>46267</v>
      </c>
      <c r="B704" s="61" t="s">
        <v>583</v>
      </c>
      <c r="C704" s="231"/>
      <c r="D704" s="213">
        <v>4272700</v>
      </c>
      <c r="E704" s="252">
        <f t="shared" si="10"/>
        <v>88657527</v>
      </c>
      <c r="F704" s="61">
        <v>2000589</v>
      </c>
      <c r="G704" s="61" t="s">
        <v>559</v>
      </c>
      <c r="H704" s="61" t="s">
        <v>560</v>
      </c>
    </row>
    <row r="705" spans="1:9" s="2" customFormat="1" x14ac:dyDescent="0.35">
      <c r="A705" s="195">
        <v>46267</v>
      </c>
      <c r="B705" s="61" t="s">
        <v>584</v>
      </c>
      <c r="C705" s="231"/>
      <c r="D705" s="213">
        <v>14313400</v>
      </c>
      <c r="E705" s="252">
        <f t="shared" si="10"/>
        <v>74344127</v>
      </c>
      <c r="F705" s="61">
        <v>2000590</v>
      </c>
      <c r="G705" s="61" t="s">
        <v>559</v>
      </c>
      <c r="H705" s="61" t="s">
        <v>560</v>
      </c>
    </row>
    <row r="706" spans="1:9" s="2" customFormat="1" x14ac:dyDescent="0.35">
      <c r="A706" s="195">
        <v>46267</v>
      </c>
      <c r="B706" s="61" t="s">
        <v>333</v>
      </c>
      <c r="C706" s="231"/>
      <c r="D706" s="213">
        <v>12000000</v>
      </c>
      <c r="E706" s="252">
        <f t="shared" si="10"/>
        <v>62344127</v>
      </c>
      <c r="F706" s="61">
        <v>2000591</v>
      </c>
      <c r="G706" s="61" t="s">
        <v>559</v>
      </c>
      <c r="H706" s="61" t="s">
        <v>560</v>
      </c>
    </row>
    <row r="707" spans="1:9" s="2" customFormat="1" x14ac:dyDescent="0.35">
      <c r="A707" s="195">
        <v>46267</v>
      </c>
      <c r="B707" s="61" t="s">
        <v>590</v>
      </c>
      <c r="C707" s="231"/>
      <c r="D707" s="213">
        <v>6075500</v>
      </c>
      <c r="E707" s="252">
        <f t="shared" si="10"/>
        <v>56268627</v>
      </c>
      <c r="F707" s="61">
        <v>2000592</v>
      </c>
      <c r="G707" s="61" t="s">
        <v>559</v>
      </c>
      <c r="H707" s="61" t="s">
        <v>560</v>
      </c>
    </row>
    <row r="708" spans="1:9" s="2" customFormat="1" x14ac:dyDescent="0.35">
      <c r="A708" s="195">
        <v>46267</v>
      </c>
      <c r="B708" s="61" t="s">
        <v>579</v>
      </c>
      <c r="C708" s="231"/>
      <c r="D708" s="213">
        <v>16299600</v>
      </c>
      <c r="E708" s="252">
        <f t="shared" si="10"/>
        <v>39969027</v>
      </c>
      <c r="F708" s="61">
        <v>2000593</v>
      </c>
      <c r="G708" s="61" t="s">
        <v>559</v>
      </c>
      <c r="H708" s="61" t="s">
        <v>560</v>
      </c>
    </row>
    <row r="709" spans="1:9" s="2" customFormat="1" x14ac:dyDescent="0.35">
      <c r="A709" s="195">
        <v>46267</v>
      </c>
      <c r="B709" s="61" t="s">
        <v>585</v>
      </c>
      <c r="C709" s="231"/>
      <c r="D709" s="213">
        <v>14691600</v>
      </c>
      <c r="E709" s="252">
        <f t="shared" si="10"/>
        <v>25277427</v>
      </c>
      <c r="F709" s="61">
        <v>2000594</v>
      </c>
      <c r="G709" s="61" t="s">
        <v>559</v>
      </c>
      <c r="H709" s="61" t="s">
        <v>560</v>
      </c>
    </row>
    <row r="710" spans="1:9" s="2" customFormat="1" x14ac:dyDescent="0.35">
      <c r="A710" s="195">
        <v>46267</v>
      </c>
      <c r="B710" s="61" t="s">
        <v>586</v>
      </c>
      <c r="C710" s="231"/>
      <c r="D710" s="213">
        <v>10000000</v>
      </c>
      <c r="E710" s="252">
        <f t="shared" si="10"/>
        <v>15277427</v>
      </c>
      <c r="F710" s="61">
        <v>2000595</v>
      </c>
      <c r="G710" s="61" t="s">
        <v>559</v>
      </c>
      <c r="H710" s="61" t="s">
        <v>560</v>
      </c>
    </row>
    <row r="711" spans="1:9" s="159" customFormat="1" x14ac:dyDescent="0.35">
      <c r="A711" s="203">
        <v>46267</v>
      </c>
      <c r="B711" s="158" t="s">
        <v>587</v>
      </c>
      <c r="C711" s="244"/>
      <c r="D711" s="223">
        <v>11302900</v>
      </c>
      <c r="E711" s="259">
        <f t="shared" si="10"/>
        <v>3974527</v>
      </c>
      <c r="F711" s="158">
        <v>2000596</v>
      </c>
      <c r="G711" s="158" t="s">
        <v>559</v>
      </c>
      <c r="H711" s="158" t="s">
        <v>560</v>
      </c>
    </row>
    <row r="712" spans="1:9" s="169" customFormat="1" x14ac:dyDescent="0.35">
      <c r="A712" s="195">
        <v>46269</v>
      </c>
      <c r="B712" s="61" t="s">
        <v>529</v>
      </c>
      <c r="C712" s="233">
        <v>13000000</v>
      </c>
      <c r="D712" s="213"/>
      <c r="E712" s="260">
        <f t="shared" si="10"/>
        <v>16974527</v>
      </c>
      <c r="F712" s="168"/>
      <c r="G712" s="61"/>
      <c r="H712" s="61" t="s">
        <v>435</v>
      </c>
    </row>
    <row r="713" spans="1:9" s="2" customFormat="1" x14ac:dyDescent="0.35">
      <c r="A713" s="195">
        <v>46267</v>
      </c>
      <c r="B713" s="61" t="s">
        <v>588</v>
      </c>
      <c r="C713" s="233"/>
      <c r="D713" s="213">
        <v>16288800</v>
      </c>
      <c r="E713" s="260">
        <f t="shared" si="10"/>
        <v>685727</v>
      </c>
      <c r="F713" s="61">
        <v>2000598</v>
      </c>
      <c r="G713" s="61" t="s">
        <v>559</v>
      </c>
      <c r="H713" s="61" t="s">
        <v>560</v>
      </c>
    </row>
    <row r="714" spans="1:9" s="171" customFormat="1" x14ac:dyDescent="0.35">
      <c r="A714" s="204">
        <v>46272</v>
      </c>
      <c r="B714" s="144" t="s">
        <v>572</v>
      </c>
      <c r="C714" s="233">
        <v>142118332</v>
      </c>
      <c r="D714" s="213"/>
      <c r="E714" s="260">
        <f t="shared" si="10"/>
        <v>142804059</v>
      </c>
      <c r="F714" s="170"/>
      <c r="G714" s="144" t="s">
        <v>594</v>
      </c>
      <c r="H714" s="144" t="s">
        <v>432</v>
      </c>
      <c r="I714" s="171">
        <v>28856</v>
      </c>
    </row>
    <row r="715" spans="1:9" s="169" customFormat="1" x14ac:dyDescent="0.35">
      <c r="A715" s="195">
        <v>46272</v>
      </c>
      <c r="B715" s="61" t="s">
        <v>9</v>
      </c>
      <c r="C715" s="233"/>
      <c r="D715" s="213">
        <v>20000</v>
      </c>
      <c r="E715" s="260">
        <f t="shared" si="10"/>
        <v>142784059</v>
      </c>
      <c r="F715" s="168"/>
      <c r="G715" s="61"/>
      <c r="H715" s="61" t="s">
        <v>9</v>
      </c>
    </row>
    <row r="716" spans="1:9" s="2" customFormat="1" x14ac:dyDescent="0.35">
      <c r="A716" s="195">
        <v>46272</v>
      </c>
      <c r="B716" s="61" t="s">
        <v>592</v>
      </c>
      <c r="C716" s="233"/>
      <c r="D716" s="213">
        <v>10757200</v>
      </c>
      <c r="E716" s="260">
        <f t="shared" si="10"/>
        <v>132026859</v>
      </c>
      <c r="F716" s="61">
        <v>2000599</v>
      </c>
      <c r="G716" s="61" t="s">
        <v>559</v>
      </c>
      <c r="H716" s="61" t="s">
        <v>560</v>
      </c>
    </row>
    <row r="717" spans="1:9" s="2" customFormat="1" x14ac:dyDescent="0.35">
      <c r="A717" s="195">
        <v>46272</v>
      </c>
      <c r="B717" s="61" t="s">
        <v>593</v>
      </c>
      <c r="C717" s="233"/>
      <c r="D717" s="213">
        <v>3588977</v>
      </c>
      <c r="E717" s="260">
        <f t="shared" si="10"/>
        <v>128437882</v>
      </c>
      <c r="F717" s="61">
        <v>2000600</v>
      </c>
      <c r="G717" s="61" t="s">
        <v>591</v>
      </c>
      <c r="H717" s="61" t="s">
        <v>445</v>
      </c>
    </row>
    <row r="718" spans="1:9" s="2" customFormat="1" x14ac:dyDescent="0.35">
      <c r="A718" s="195">
        <v>46272</v>
      </c>
      <c r="B718" s="61" t="s">
        <v>578</v>
      </c>
      <c r="C718" s="233"/>
      <c r="D718" s="213">
        <v>10000000</v>
      </c>
      <c r="E718" s="260">
        <f t="shared" si="10"/>
        <v>118437882</v>
      </c>
      <c r="F718" s="61">
        <v>2000651</v>
      </c>
      <c r="G718" s="61" t="s">
        <v>559</v>
      </c>
      <c r="H718" s="61" t="s">
        <v>560</v>
      </c>
    </row>
    <row r="719" spans="1:9" s="2" customFormat="1" x14ac:dyDescent="0.35">
      <c r="A719" s="195">
        <v>46272</v>
      </c>
      <c r="B719" s="61" t="s">
        <v>260</v>
      </c>
      <c r="C719" s="233"/>
      <c r="D719" s="213">
        <v>14632800</v>
      </c>
      <c r="E719" s="260">
        <f t="shared" si="10"/>
        <v>103805082</v>
      </c>
      <c r="F719" s="61">
        <v>2000652</v>
      </c>
      <c r="G719" s="61" t="s">
        <v>559</v>
      </c>
      <c r="H719" s="61" t="s">
        <v>560</v>
      </c>
    </row>
    <row r="720" spans="1:9" s="2" customFormat="1" x14ac:dyDescent="0.35">
      <c r="A720" s="195">
        <v>46272</v>
      </c>
      <c r="B720" s="61" t="s">
        <v>333</v>
      </c>
      <c r="C720" s="233"/>
      <c r="D720" s="213">
        <v>15776800</v>
      </c>
      <c r="E720" s="260">
        <f t="shared" si="10"/>
        <v>88028282</v>
      </c>
      <c r="F720" s="61">
        <v>2000653</v>
      </c>
      <c r="G720" s="61" t="s">
        <v>559</v>
      </c>
      <c r="H720" s="61" t="s">
        <v>560</v>
      </c>
    </row>
    <row r="721" spans="1:9" s="2" customFormat="1" x14ac:dyDescent="0.35">
      <c r="A721" s="195">
        <v>46272</v>
      </c>
      <c r="B721" s="61" t="s">
        <v>585</v>
      </c>
      <c r="C721" s="233"/>
      <c r="D721" s="213">
        <v>13000000</v>
      </c>
      <c r="E721" s="260">
        <f t="shared" si="10"/>
        <v>75028282</v>
      </c>
      <c r="F721" s="61">
        <v>2000654</v>
      </c>
      <c r="G721" s="61" t="s">
        <v>559</v>
      </c>
      <c r="H721" s="61" t="s">
        <v>560</v>
      </c>
    </row>
    <row r="722" spans="1:9" s="2" customFormat="1" x14ac:dyDescent="0.35">
      <c r="A722" s="195">
        <v>46272</v>
      </c>
      <c r="B722" s="61" t="s">
        <v>588</v>
      </c>
      <c r="C722" s="233"/>
      <c r="D722" s="213">
        <v>16262400</v>
      </c>
      <c r="E722" s="260">
        <f t="shared" si="10"/>
        <v>58765882</v>
      </c>
      <c r="F722" s="61">
        <v>2000656</v>
      </c>
      <c r="G722" s="61" t="s">
        <v>559</v>
      </c>
      <c r="H722" s="61" t="s">
        <v>560</v>
      </c>
    </row>
    <row r="723" spans="1:9" s="2" customFormat="1" x14ac:dyDescent="0.35">
      <c r="A723" s="195">
        <v>46272</v>
      </c>
      <c r="B723" s="61" t="s">
        <v>348</v>
      </c>
      <c r="C723" s="233"/>
      <c r="D723" s="213">
        <v>15331800</v>
      </c>
      <c r="E723" s="260">
        <f t="shared" si="10"/>
        <v>43434082</v>
      </c>
      <c r="F723" s="61">
        <v>2000657</v>
      </c>
      <c r="G723" s="61" t="s">
        <v>559</v>
      </c>
      <c r="H723" s="61" t="s">
        <v>560</v>
      </c>
    </row>
    <row r="724" spans="1:9" s="2" customFormat="1" x14ac:dyDescent="0.35">
      <c r="A724" s="195">
        <v>46272</v>
      </c>
      <c r="B724" s="61" t="s">
        <v>595</v>
      </c>
      <c r="C724" s="233"/>
      <c r="D724" s="213">
        <v>16598800</v>
      </c>
      <c r="E724" s="260">
        <f t="shared" si="10"/>
        <v>26835282</v>
      </c>
      <c r="F724" s="61">
        <v>2000658</v>
      </c>
      <c r="G724" s="61" t="s">
        <v>559</v>
      </c>
      <c r="H724" s="61" t="s">
        <v>560</v>
      </c>
    </row>
    <row r="725" spans="1:9" s="2" customFormat="1" x14ac:dyDescent="0.35">
      <c r="A725" s="195">
        <v>46272</v>
      </c>
      <c r="B725" s="61" t="s">
        <v>596</v>
      </c>
      <c r="C725" s="233"/>
      <c r="D725" s="213">
        <v>14302200</v>
      </c>
      <c r="E725" s="260">
        <f t="shared" si="10"/>
        <v>12533082</v>
      </c>
      <c r="F725" s="61">
        <v>2000659</v>
      </c>
      <c r="G725" s="61" t="s">
        <v>559</v>
      </c>
      <c r="H725" s="61" t="s">
        <v>560</v>
      </c>
    </row>
    <row r="726" spans="1:9" s="2" customFormat="1" x14ac:dyDescent="0.35">
      <c r="A726" s="195">
        <v>46272</v>
      </c>
      <c r="B726" s="61" t="s">
        <v>579</v>
      </c>
      <c r="C726" s="233"/>
      <c r="D726" s="213">
        <v>16666800</v>
      </c>
      <c r="E726" s="260">
        <f t="shared" si="10"/>
        <v>-4133718</v>
      </c>
      <c r="F726" s="61">
        <v>2000660</v>
      </c>
      <c r="G726" s="61" t="s">
        <v>559</v>
      </c>
      <c r="H726" s="61" t="s">
        <v>560</v>
      </c>
    </row>
    <row r="727" spans="1:9" s="2" customFormat="1" x14ac:dyDescent="0.35">
      <c r="A727" s="195">
        <v>46273</v>
      </c>
      <c r="B727" s="61" t="s">
        <v>474</v>
      </c>
      <c r="C727" s="233">
        <v>1500000</v>
      </c>
      <c r="D727" s="213"/>
      <c r="E727" s="260">
        <f t="shared" si="10"/>
        <v>-2633718</v>
      </c>
      <c r="F727" s="61"/>
      <c r="G727" s="61"/>
      <c r="H727" s="61" t="s">
        <v>435</v>
      </c>
    </row>
    <row r="728" spans="1:9" s="172" customFormat="1" x14ac:dyDescent="0.35">
      <c r="A728" s="204">
        <v>46274</v>
      </c>
      <c r="B728" s="144" t="s">
        <v>572</v>
      </c>
      <c r="C728" s="233">
        <v>73787284</v>
      </c>
      <c r="D728" s="213"/>
      <c r="E728" s="260">
        <f t="shared" si="10"/>
        <v>71153566</v>
      </c>
      <c r="F728" s="144"/>
      <c r="G728" s="144" t="s">
        <v>598</v>
      </c>
      <c r="H728" s="144" t="s">
        <v>432</v>
      </c>
    </row>
    <row r="729" spans="1:9" s="172" customFormat="1" x14ac:dyDescent="0.35">
      <c r="A729" s="204">
        <v>46276</v>
      </c>
      <c r="B729" s="144" t="s">
        <v>572</v>
      </c>
      <c r="C729" s="233">
        <v>156061485</v>
      </c>
      <c r="D729" s="213"/>
      <c r="E729" s="260">
        <f t="shared" si="10"/>
        <v>227215051</v>
      </c>
      <c r="F729" s="144"/>
      <c r="G729" s="144" t="s">
        <v>601</v>
      </c>
      <c r="H729" s="144" t="s">
        <v>432</v>
      </c>
      <c r="I729" s="172">
        <v>-30569</v>
      </c>
    </row>
    <row r="730" spans="1:9" s="2" customFormat="1" x14ac:dyDescent="0.35">
      <c r="A730" s="195">
        <v>46275</v>
      </c>
      <c r="B730" s="61" t="s">
        <v>584</v>
      </c>
      <c r="C730" s="233"/>
      <c r="D730" s="213">
        <v>14038100</v>
      </c>
      <c r="E730" s="260">
        <f t="shared" ref="E730:E793" si="11">E729+C730-D730</f>
        <v>213176951</v>
      </c>
      <c r="F730" s="61">
        <v>2000662</v>
      </c>
      <c r="G730" s="61" t="s">
        <v>559</v>
      </c>
      <c r="H730" s="61" t="s">
        <v>560</v>
      </c>
    </row>
    <row r="731" spans="1:9" s="2" customFormat="1" x14ac:dyDescent="0.35">
      <c r="A731" s="195">
        <v>46275</v>
      </c>
      <c r="B731" s="61" t="s">
        <v>583</v>
      </c>
      <c r="C731" s="233"/>
      <c r="D731" s="213">
        <v>13946000</v>
      </c>
      <c r="E731" s="260">
        <f t="shared" si="11"/>
        <v>199230951</v>
      </c>
      <c r="F731" s="61">
        <v>2000663</v>
      </c>
      <c r="G731" s="61" t="s">
        <v>559</v>
      </c>
      <c r="H731" s="61" t="s">
        <v>560</v>
      </c>
    </row>
    <row r="732" spans="1:9" s="2" customFormat="1" x14ac:dyDescent="0.35">
      <c r="A732" s="195">
        <v>46275</v>
      </c>
      <c r="B732" s="61" t="s">
        <v>556</v>
      </c>
      <c r="C732" s="233"/>
      <c r="D732" s="213">
        <v>1180938</v>
      </c>
      <c r="E732" s="260">
        <f t="shared" si="11"/>
        <v>198050013</v>
      </c>
      <c r="F732" s="61">
        <v>2000664</v>
      </c>
      <c r="G732" s="61" t="s">
        <v>557</v>
      </c>
      <c r="H732" s="61" t="s">
        <v>445</v>
      </c>
    </row>
    <row r="733" spans="1:9" s="2" customFormat="1" x14ac:dyDescent="0.35">
      <c r="A733" s="195">
        <v>46275</v>
      </c>
      <c r="B733" s="61" t="s">
        <v>331</v>
      </c>
      <c r="C733" s="233"/>
      <c r="D733" s="213">
        <v>16755200</v>
      </c>
      <c r="E733" s="260">
        <f t="shared" si="11"/>
        <v>181294813</v>
      </c>
      <c r="F733" s="61">
        <v>2000665</v>
      </c>
      <c r="G733" s="61" t="s">
        <v>559</v>
      </c>
      <c r="H733" s="61" t="s">
        <v>560</v>
      </c>
    </row>
    <row r="734" spans="1:9" s="2" customFormat="1" x14ac:dyDescent="0.35">
      <c r="A734" s="195">
        <v>46275</v>
      </c>
      <c r="B734" s="61" t="s">
        <v>599</v>
      </c>
      <c r="C734" s="233"/>
      <c r="D734" s="213">
        <v>10720000</v>
      </c>
      <c r="E734" s="260">
        <f t="shared" si="11"/>
        <v>170574813</v>
      </c>
      <c r="F734" s="61">
        <v>2000666</v>
      </c>
      <c r="G734" s="61" t="s">
        <v>559</v>
      </c>
      <c r="H734" s="61" t="s">
        <v>560</v>
      </c>
    </row>
    <row r="735" spans="1:9" s="2" customFormat="1" x14ac:dyDescent="0.35">
      <c r="A735" s="195">
        <v>46275</v>
      </c>
      <c r="B735" s="61" t="s">
        <v>260</v>
      </c>
      <c r="C735" s="233"/>
      <c r="D735" s="213">
        <v>5000000</v>
      </c>
      <c r="E735" s="260">
        <f t="shared" si="11"/>
        <v>165574813</v>
      </c>
      <c r="F735" s="61">
        <v>2000667</v>
      </c>
      <c r="G735" s="61" t="s">
        <v>559</v>
      </c>
      <c r="H735" s="61" t="s">
        <v>560</v>
      </c>
    </row>
    <row r="736" spans="1:9" s="2" customFormat="1" x14ac:dyDescent="0.35">
      <c r="A736" s="195">
        <v>46275</v>
      </c>
      <c r="B736" s="61" t="s">
        <v>600</v>
      </c>
      <c r="C736" s="233"/>
      <c r="D736" s="213">
        <v>19409900</v>
      </c>
      <c r="E736" s="260">
        <f t="shared" si="11"/>
        <v>146164913</v>
      </c>
      <c r="F736" s="61">
        <v>2000668</v>
      </c>
      <c r="G736" s="61" t="s">
        <v>559</v>
      </c>
      <c r="H736" s="61" t="s">
        <v>560</v>
      </c>
    </row>
    <row r="737" spans="1:8" s="2" customFormat="1" x14ac:dyDescent="0.35">
      <c r="A737" s="195">
        <v>46276</v>
      </c>
      <c r="B737" s="61" t="s">
        <v>607</v>
      </c>
      <c r="C737" s="233"/>
      <c r="D737" s="213">
        <v>3280000</v>
      </c>
      <c r="E737" s="260">
        <f t="shared" si="11"/>
        <v>142884913</v>
      </c>
      <c r="F737" s="61"/>
      <c r="G737" s="61"/>
      <c r="H737" s="61" t="s">
        <v>445</v>
      </c>
    </row>
    <row r="738" spans="1:8" s="2" customFormat="1" x14ac:dyDescent="0.35">
      <c r="A738" s="195">
        <v>46276</v>
      </c>
      <c r="B738" s="61" t="s">
        <v>9</v>
      </c>
      <c r="C738" s="233"/>
      <c r="D738" s="213">
        <v>5000</v>
      </c>
      <c r="E738" s="260">
        <f t="shared" si="11"/>
        <v>142879913</v>
      </c>
      <c r="F738" s="61"/>
      <c r="G738" s="61"/>
      <c r="H738" s="61" t="s">
        <v>9</v>
      </c>
    </row>
    <row r="739" spans="1:8" s="2" customFormat="1" x14ac:dyDescent="0.35">
      <c r="A739" s="195">
        <v>46276</v>
      </c>
      <c r="B739" s="61" t="s">
        <v>9</v>
      </c>
      <c r="C739" s="233"/>
      <c r="D739" s="213">
        <v>500</v>
      </c>
      <c r="E739" s="260">
        <f t="shared" si="11"/>
        <v>142879413</v>
      </c>
      <c r="F739" s="61"/>
      <c r="G739" s="61"/>
      <c r="H739" s="61" t="s">
        <v>9</v>
      </c>
    </row>
    <row r="740" spans="1:8" s="2" customFormat="1" x14ac:dyDescent="0.35">
      <c r="A740" s="195">
        <v>46276</v>
      </c>
      <c r="B740" s="61" t="s">
        <v>213</v>
      </c>
      <c r="C740" s="233"/>
      <c r="D740" s="213">
        <v>4240000</v>
      </c>
      <c r="E740" s="260">
        <f t="shared" si="11"/>
        <v>138639413</v>
      </c>
      <c r="F740" s="61"/>
      <c r="G740" s="61"/>
      <c r="H740" s="61" t="s">
        <v>47</v>
      </c>
    </row>
    <row r="741" spans="1:8" s="2" customFormat="1" x14ac:dyDescent="0.35">
      <c r="A741" s="195">
        <v>46276</v>
      </c>
      <c r="B741" s="61" t="s">
        <v>37</v>
      </c>
      <c r="C741" s="233"/>
      <c r="D741" s="213">
        <v>424000</v>
      </c>
      <c r="E741" s="260">
        <f t="shared" si="11"/>
        <v>138215413</v>
      </c>
      <c r="F741" s="61"/>
      <c r="G741" s="61"/>
      <c r="H741" s="61" t="s">
        <v>37</v>
      </c>
    </row>
    <row r="742" spans="1:8" s="2" customFormat="1" x14ac:dyDescent="0.35">
      <c r="A742" s="195">
        <v>46279</v>
      </c>
      <c r="B742" s="61" t="s">
        <v>38</v>
      </c>
      <c r="C742" s="233">
        <v>250000000</v>
      </c>
      <c r="D742" s="213"/>
      <c r="E742" s="260">
        <f t="shared" si="11"/>
        <v>388215413</v>
      </c>
      <c r="F742" s="61"/>
      <c r="G742" s="61"/>
      <c r="H742" s="61" t="s">
        <v>176</v>
      </c>
    </row>
    <row r="743" spans="1:8" s="2" customFormat="1" x14ac:dyDescent="0.35">
      <c r="A743" s="195">
        <v>46279</v>
      </c>
      <c r="B743" s="61" t="s">
        <v>675</v>
      </c>
      <c r="C743" s="233"/>
      <c r="D743" s="213">
        <v>4000000</v>
      </c>
      <c r="E743" s="260">
        <f t="shared" si="11"/>
        <v>384215413</v>
      </c>
      <c r="F743" s="61"/>
      <c r="G743" s="61"/>
      <c r="H743" s="61" t="s">
        <v>37</v>
      </c>
    </row>
    <row r="744" spans="1:8" s="2" customFormat="1" x14ac:dyDescent="0.35">
      <c r="A744" s="195">
        <v>46279</v>
      </c>
      <c r="B744" s="61" t="s">
        <v>678</v>
      </c>
      <c r="C744" s="233"/>
      <c r="D744" s="213">
        <v>400000</v>
      </c>
      <c r="E744" s="260">
        <f t="shared" si="11"/>
        <v>383815413</v>
      </c>
      <c r="F744" s="61"/>
      <c r="G744" s="61"/>
      <c r="H744" s="61" t="s">
        <v>37</v>
      </c>
    </row>
    <row r="745" spans="1:8" s="2" customFormat="1" x14ac:dyDescent="0.35">
      <c r="A745" s="195">
        <v>46279</v>
      </c>
      <c r="B745" s="61" t="s">
        <v>9</v>
      </c>
      <c r="C745" s="233"/>
      <c r="D745" s="213">
        <v>250000</v>
      </c>
      <c r="E745" s="260">
        <f t="shared" si="11"/>
        <v>383565413</v>
      </c>
      <c r="F745" s="61"/>
      <c r="G745" s="61"/>
      <c r="H745" s="61" t="s">
        <v>37</v>
      </c>
    </row>
    <row r="746" spans="1:8" s="2" customFormat="1" x14ac:dyDescent="0.35">
      <c r="A746" s="195">
        <v>46279</v>
      </c>
      <c r="B746" s="61" t="s">
        <v>602</v>
      </c>
      <c r="C746" s="233"/>
      <c r="D746" s="213">
        <v>16463940</v>
      </c>
      <c r="E746" s="260">
        <f t="shared" si="11"/>
        <v>367101473</v>
      </c>
      <c r="F746" s="61">
        <v>2000670</v>
      </c>
      <c r="G746" s="61" t="s">
        <v>559</v>
      </c>
      <c r="H746" s="61" t="s">
        <v>560</v>
      </c>
    </row>
    <row r="747" spans="1:8" s="2" customFormat="1" x14ac:dyDescent="0.35">
      <c r="A747" s="195">
        <v>46279</v>
      </c>
      <c r="B747" s="61" t="s">
        <v>584</v>
      </c>
      <c r="C747" s="233"/>
      <c r="D747" s="213">
        <v>13961200</v>
      </c>
      <c r="E747" s="260">
        <f t="shared" si="11"/>
        <v>353140273</v>
      </c>
      <c r="F747" s="61">
        <v>2000672</v>
      </c>
      <c r="G747" s="61" t="s">
        <v>559</v>
      </c>
      <c r="H747" s="61" t="s">
        <v>560</v>
      </c>
    </row>
    <row r="748" spans="1:8" s="2" customFormat="1" x14ac:dyDescent="0.35">
      <c r="A748" s="195">
        <v>46279</v>
      </c>
      <c r="B748" s="61" t="s">
        <v>603</v>
      </c>
      <c r="C748" s="233"/>
      <c r="D748" s="213">
        <v>13004700</v>
      </c>
      <c r="E748" s="260">
        <f t="shared" si="11"/>
        <v>340135573</v>
      </c>
      <c r="F748" s="61">
        <v>2000671</v>
      </c>
      <c r="G748" s="61" t="s">
        <v>559</v>
      </c>
      <c r="H748" s="61" t="s">
        <v>560</v>
      </c>
    </row>
    <row r="749" spans="1:8" s="2" customFormat="1" x14ac:dyDescent="0.35">
      <c r="A749" s="195">
        <v>46279</v>
      </c>
      <c r="B749" s="61" t="s">
        <v>583</v>
      </c>
      <c r="C749" s="233"/>
      <c r="D749" s="213">
        <v>2000000</v>
      </c>
      <c r="E749" s="260">
        <f t="shared" si="11"/>
        <v>338135573</v>
      </c>
      <c r="F749" s="61">
        <v>2000674</v>
      </c>
      <c r="G749" s="61" t="s">
        <v>559</v>
      </c>
      <c r="H749" s="61" t="s">
        <v>560</v>
      </c>
    </row>
    <row r="750" spans="1:8" s="2" customFormat="1" x14ac:dyDescent="0.35">
      <c r="A750" s="195">
        <v>46279</v>
      </c>
      <c r="B750" s="61" t="s">
        <v>260</v>
      </c>
      <c r="C750" s="233"/>
      <c r="D750" s="213">
        <v>17164400</v>
      </c>
      <c r="E750" s="260">
        <f t="shared" si="11"/>
        <v>320971173</v>
      </c>
      <c r="F750" s="61">
        <v>2000673</v>
      </c>
      <c r="G750" s="61" t="s">
        <v>559</v>
      </c>
      <c r="H750" s="61" t="s">
        <v>560</v>
      </c>
    </row>
    <row r="751" spans="1:8" s="2" customFormat="1" x14ac:dyDescent="0.35">
      <c r="A751" s="195">
        <v>46279</v>
      </c>
      <c r="B751" s="61" t="s">
        <v>579</v>
      </c>
      <c r="C751" s="233"/>
      <c r="D751" s="213">
        <v>46675200</v>
      </c>
      <c r="E751" s="260">
        <f t="shared" si="11"/>
        <v>274295973</v>
      </c>
      <c r="F751" s="61">
        <v>2000675</v>
      </c>
      <c r="G751" s="61" t="s">
        <v>559</v>
      </c>
      <c r="H751" s="61" t="s">
        <v>560</v>
      </c>
    </row>
    <row r="752" spans="1:8" s="2" customFormat="1" x14ac:dyDescent="0.35">
      <c r="A752" s="195">
        <v>46279</v>
      </c>
      <c r="B752" s="61" t="s">
        <v>585</v>
      </c>
      <c r="C752" s="233"/>
      <c r="D752" s="213">
        <v>13711600</v>
      </c>
      <c r="E752" s="260">
        <f t="shared" si="11"/>
        <v>260584373</v>
      </c>
      <c r="F752" s="61">
        <v>2000676</v>
      </c>
      <c r="G752" s="61" t="s">
        <v>559</v>
      </c>
      <c r="H752" s="61" t="s">
        <v>560</v>
      </c>
    </row>
    <row r="753" spans="1:8" s="2" customFormat="1" x14ac:dyDescent="0.35">
      <c r="A753" s="195">
        <v>46279</v>
      </c>
      <c r="B753" s="61" t="s">
        <v>604</v>
      </c>
      <c r="C753" s="233"/>
      <c r="D753" s="213">
        <v>15424720</v>
      </c>
      <c r="E753" s="260">
        <f t="shared" si="11"/>
        <v>245159653</v>
      </c>
      <c r="F753" s="61">
        <v>2000677</v>
      </c>
      <c r="G753" s="61" t="s">
        <v>559</v>
      </c>
      <c r="H753" s="61" t="s">
        <v>560</v>
      </c>
    </row>
    <row r="754" spans="1:8" s="2" customFormat="1" x14ac:dyDescent="0.35">
      <c r="A754" s="195">
        <v>46279</v>
      </c>
      <c r="B754" s="61" t="s">
        <v>573</v>
      </c>
      <c r="C754" s="233"/>
      <c r="D754" s="213">
        <v>12827160</v>
      </c>
      <c r="E754" s="260">
        <f t="shared" si="11"/>
        <v>232332493</v>
      </c>
      <c r="F754" s="61">
        <v>2000678</v>
      </c>
      <c r="G754" s="61" t="s">
        <v>559</v>
      </c>
      <c r="H754" s="61" t="s">
        <v>560</v>
      </c>
    </row>
    <row r="755" spans="1:8" s="2" customFormat="1" x14ac:dyDescent="0.35">
      <c r="A755" s="195">
        <v>46279</v>
      </c>
      <c r="B755" s="61" t="s">
        <v>595</v>
      </c>
      <c r="C755" s="233"/>
      <c r="D755" s="213">
        <v>17379800</v>
      </c>
      <c r="E755" s="260">
        <f t="shared" si="11"/>
        <v>214952693</v>
      </c>
      <c r="F755" s="61">
        <v>2000679</v>
      </c>
      <c r="G755" s="61" t="s">
        <v>559</v>
      </c>
      <c r="H755" s="61" t="s">
        <v>560</v>
      </c>
    </row>
    <row r="756" spans="1:8" s="2" customFormat="1" x14ac:dyDescent="0.35">
      <c r="A756" s="195">
        <v>46279</v>
      </c>
      <c r="B756" s="61" t="s">
        <v>605</v>
      </c>
      <c r="C756" s="233"/>
      <c r="D756" s="213">
        <v>12240900</v>
      </c>
      <c r="E756" s="260">
        <f t="shared" si="11"/>
        <v>202711793</v>
      </c>
      <c r="F756" s="61">
        <v>2000680</v>
      </c>
      <c r="G756" s="61" t="s">
        <v>559</v>
      </c>
      <c r="H756" s="61" t="s">
        <v>560</v>
      </c>
    </row>
    <row r="757" spans="1:8" s="2" customFormat="1" x14ac:dyDescent="0.35">
      <c r="A757" s="195">
        <v>46279</v>
      </c>
      <c r="B757" s="61" t="s">
        <v>348</v>
      </c>
      <c r="C757" s="233"/>
      <c r="D757" s="213">
        <v>15075000</v>
      </c>
      <c r="E757" s="260">
        <f t="shared" si="11"/>
        <v>187636793</v>
      </c>
      <c r="F757" s="61">
        <v>2000681</v>
      </c>
      <c r="G757" s="61" t="s">
        <v>559</v>
      </c>
      <c r="H757" s="61" t="s">
        <v>560</v>
      </c>
    </row>
    <row r="758" spans="1:8" s="2" customFormat="1" x14ac:dyDescent="0.35">
      <c r="A758" s="195">
        <v>46279</v>
      </c>
      <c r="B758" s="61" t="s">
        <v>333</v>
      </c>
      <c r="C758" s="233"/>
      <c r="D758" s="213">
        <v>16870600</v>
      </c>
      <c r="E758" s="260">
        <f t="shared" si="11"/>
        <v>170766193</v>
      </c>
      <c r="F758" s="61">
        <v>2000682</v>
      </c>
      <c r="G758" s="61" t="s">
        <v>559</v>
      </c>
      <c r="H758" s="61" t="s">
        <v>560</v>
      </c>
    </row>
    <row r="759" spans="1:8" s="2" customFormat="1" x14ac:dyDescent="0.35">
      <c r="A759" s="195">
        <v>46283</v>
      </c>
      <c r="B759" s="61" t="s">
        <v>606</v>
      </c>
      <c r="C759" s="233"/>
      <c r="D759" s="213">
        <v>120000000</v>
      </c>
      <c r="E759" s="260">
        <f t="shared" si="11"/>
        <v>50766193</v>
      </c>
      <c r="F759" s="61"/>
      <c r="G759" s="61"/>
      <c r="H759" s="61" t="s">
        <v>27</v>
      </c>
    </row>
    <row r="760" spans="1:8" s="2" customFormat="1" x14ac:dyDescent="0.35">
      <c r="A760" s="195">
        <v>46283</v>
      </c>
      <c r="B760" s="61" t="s">
        <v>213</v>
      </c>
      <c r="C760" s="233"/>
      <c r="D760" s="213">
        <v>4693333</v>
      </c>
      <c r="E760" s="260">
        <f t="shared" si="11"/>
        <v>46072860</v>
      </c>
      <c r="F760" s="61"/>
      <c r="G760" s="61"/>
      <c r="H760" s="61" t="s">
        <v>47</v>
      </c>
    </row>
    <row r="761" spans="1:8" s="2" customFormat="1" x14ac:dyDescent="0.35">
      <c r="A761" s="195">
        <v>46283</v>
      </c>
      <c r="B761" s="61" t="s">
        <v>37</v>
      </c>
      <c r="C761" s="233"/>
      <c r="D761" s="213">
        <v>972222</v>
      </c>
      <c r="E761" s="260">
        <f t="shared" si="11"/>
        <v>45100638</v>
      </c>
      <c r="F761" s="61"/>
      <c r="G761" s="61"/>
      <c r="H761" s="61" t="s">
        <v>47</v>
      </c>
    </row>
    <row r="762" spans="1:8" s="2" customFormat="1" x14ac:dyDescent="0.35">
      <c r="A762" s="195">
        <v>46283</v>
      </c>
      <c r="B762" s="61" t="s">
        <v>37</v>
      </c>
      <c r="C762" s="233"/>
      <c r="D762" s="213">
        <v>469333</v>
      </c>
      <c r="E762" s="260">
        <f t="shared" si="11"/>
        <v>44631305</v>
      </c>
      <c r="F762" s="61"/>
      <c r="G762" s="61"/>
      <c r="H762" s="61" t="s">
        <v>47</v>
      </c>
    </row>
    <row r="763" spans="1:8" s="2" customFormat="1" x14ac:dyDescent="0.35">
      <c r="A763" s="195">
        <v>46280</v>
      </c>
      <c r="B763" s="61" t="s">
        <v>583</v>
      </c>
      <c r="C763" s="233"/>
      <c r="D763" s="213">
        <v>9000000</v>
      </c>
      <c r="E763" s="260">
        <f t="shared" si="11"/>
        <v>35631305</v>
      </c>
      <c r="F763" s="61">
        <v>2000683</v>
      </c>
      <c r="G763" s="61" t="s">
        <v>559</v>
      </c>
      <c r="H763" s="61" t="s">
        <v>560</v>
      </c>
    </row>
    <row r="764" spans="1:8" s="2" customFormat="1" x14ac:dyDescent="0.35">
      <c r="A764" s="195">
        <v>46280</v>
      </c>
      <c r="B764" s="61" t="s">
        <v>260</v>
      </c>
      <c r="C764" s="233"/>
      <c r="D764" s="213">
        <v>10000000</v>
      </c>
      <c r="E764" s="260">
        <f t="shared" si="11"/>
        <v>25631305</v>
      </c>
      <c r="F764" s="61">
        <v>2000684</v>
      </c>
      <c r="G764" s="61" t="s">
        <v>559</v>
      </c>
      <c r="H764" s="61" t="s">
        <v>560</v>
      </c>
    </row>
    <row r="765" spans="1:8" s="2" customFormat="1" x14ac:dyDescent="0.35">
      <c r="A765" s="195">
        <v>46280</v>
      </c>
      <c r="B765" s="61" t="s">
        <v>584</v>
      </c>
      <c r="C765" s="233"/>
      <c r="D765" s="213">
        <v>7000000</v>
      </c>
      <c r="E765" s="260">
        <f t="shared" si="11"/>
        <v>18631305</v>
      </c>
      <c r="F765" s="61">
        <v>2000685</v>
      </c>
      <c r="G765" s="61" t="s">
        <v>559</v>
      </c>
      <c r="H765" s="61" t="s">
        <v>560</v>
      </c>
    </row>
    <row r="766" spans="1:8" s="2" customFormat="1" x14ac:dyDescent="0.35">
      <c r="A766" s="195">
        <v>46280</v>
      </c>
      <c r="B766" s="61" t="s">
        <v>476</v>
      </c>
      <c r="C766" s="233"/>
      <c r="D766" s="213">
        <v>3192826</v>
      </c>
      <c r="E766" s="260">
        <f t="shared" si="11"/>
        <v>15438479</v>
      </c>
      <c r="F766" s="61">
        <v>2000687</v>
      </c>
      <c r="G766" s="61" t="s">
        <v>608</v>
      </c>
      <c r="H766" s="61" t="s">
        <v>445</v>
      </c>
    </row>
    <row r="767" spans="1:8" s="2" customFormat="1" x14ac:dyDescent="0.35">
      <c r="A767" s="195">
        <v>46280</v>
      </c>
      <c r="B767" s="61" t="s">
        <v>585</v>
      </c>
      <c r="C767" s="233"/>
      <c r="D767" s="213">
        <v>10000000</v>
      </c>
      <c r="E767" s="260">
        <f t="shared" si="11"/>
        <v>5438479</v>
      </c>
      <c r="F767" s="61">
        <v>2000686</v>
      </c>
      <c r="G767" s="61" t="s">
        <v>559</v>
      </c>
      <c r="H767" s="61" t="s">
        <v>560</v>
      </c>
    </row>
    <row r="768" spans="1:8" s="2" customFormat="1" x14ac:dyDescent="0.35">
      <c r="A768" s="195">
        <v>46280</v>
      </c>
      <c r="B768" s="61" t="s">
        <v>332</v>
      </c>
      <c r="C768" s="233"/>
      <c r="D768" s="213">
        <v>2000000</v>
      </c>
      <c r="E768" s="260">
        <f t="shared" si="11"/>
        <v>3438479</v>
      </c>
      <c r="F768" s="61">
        <v>2000688</v>
      </c>
      <c r="G768" s="61" t="s">
        <v>559</v>
      </c>
      <c r="H768" s="61" t="s">
        <v>560</v>
      </c>
    </row>
    <row r="769" spans="1:8" s="2" customFormat="1" x14ac:dyDescent="0.35">
      <c r="A769" s="195">
        <v>46280</v>
      </c>
      <c r="B769" s="61" t="s">
        <v>587</v>
      </c>
      <c r="C769" s="233"/>
      <c r="D769" s="213">
        <v>10000000</v>
      </c>
      <c r="E769" s="260">
        <f t="shared" si="11"/>
        <v>-6561521</v>
      </c>
      <c r="F769" s="61">
        <v>2000689</v>
      </c>
      <c r="G769" s="61" t="s">
        <v>559</v>
      </c>
      <c r="H769" s="61" t="s">
        <v>560</v>
      </c>
    </row>
    <row r="770" spans="1:8" s="2" customFormat="1" x14ac:dyDescent="0.35">
      <c r="A770" s="195">
        <v>46281</v>
      </c>
      <c r="B770" s="61" t="s">
        <v>38</v>
      </c>
      <c r="C770" s="233">
        <v>500000000</v>
      </c>
      <c r="D770" s="213"/>
      <c r="E770" s="260">
        <f t="shared" si="11"/>
        <v>493438479</v>
      </c>
      <c r="F770" s="61"/>
      <c r="G770" s="61"/>
      <c r="H770" s="61" t="s">
        <v>176</v>
      </c>
    </row>
    <row r="771" spans="1:8" s="2" customFormat="1" x14ac:dyDescent="0.35">
      <c r="A771" s="195">
        <v>46281</v>
      </c>
      <c r="B771" s="61" t="s">
        <v>9</v>
      </c>
      <c r="C771" s="233"/>
      <c r="D771" s="213">
        <v>500000</v>
      </c>
      <c r="E771" s="260">
        <f t="shared" si="11"/>
        <v>492938479</v>
      </c>
      <c r="F771" s="61"/>
      <c r="G771" s="61"/>
      <c r="H771" s="61" t="s">
        <v>37</v>
      </c>
    </row>
    <row r="772" spans="1:8" s="2" customFormat="1" x14ac:dyDescent="0.35">
      <c r="A772" s="195">
        <v>46281</v>
      </c>
      <c r="B772" s="61" t="s">
        <v>213</v>
      </c>
      <c r="C772" s="233"/>
      <c r="D772" s="213">
        <v>2500000</v>
      </c>
      <c r="E772" s="260">
        <f t="shared" si="11"/>
        <v>490438479</v>
      </c>
      <c r="F772" s="61"/>
      <c r="G772" s="61"/>
      <c r="H772" s="61" t="s">
        <v>37</v>
      </c>
    </row>
    <row r="773" spans="1:8" s="2" customFormat="1" x14ac:dyDescent="0.35">
      <c r="A773" s="195">
        <v>46281</v>
      </c>
      <c r="B773" s="61" t="s">
        <v>37</v>
      </c>
      <c r="C773" s="233"/>
      <c r="D773" s="213">
        <v>250000</v>
      </c>
      <c r="E773" s="260">
        <f t="shared" si="11"/>
        <v>490188479</v>
      </c>
      <c r="F773" s="61"/>
      <c r="G773" s="61"/>
      <c r="H773" s="61" t="s">
        <v>37</v>
      </c>
    </row>
    <row r="774" spans="1:8" s="2" customFormat="1" x14ac:dyDescent="0.35">
      <c r="A774" s="195">
        <v>46281</v>
      </c>
      <c r="B774" s="61" t="s">
        <v>260</v>
      </c>
      <c r="C774" s="233"/>
      <c r="D774" s="213">
        <v>18782800</v>
      </c>
      <c r="E774" s="260">
        <f t="shared" si="11"/>
        <v>471405679</v>
      </c>
      <c r="F774" s="61">
        <v>2000690</v>
      </c>
      <c r="G774" s="61" t="s">
        <v>559</v>
      </c>
      <c r="H774" s="61" t="s">
        <v>560</v>
      </c>
    </row>
    <row r="775" spans="1:8" s="2" customFormat="1" x14ac:dyDescent="0.35">
      <c r="A775" s="195">
        <v>46281</v>
      </c>
      <c r="B775" s="61" t="s">
        <v>595</v>
      </c>
      <c r="C775" s="233"/>
      <c r="D775" s="213">
        <v>13359800</v>
      </c>
      <c r="E775" s="260">
        <f t="shared" si="11"/>
        <v>458045879</v>
      </c>
      <c r="F775" s="61">
        <v>2000691</v>
      </c>
      <c r="G775" s="61" t="s">
        <v>559</v>
      </c>
      <c r="H775" s="61" t="s">
        <v>560</v>
      </c>
    </row>
    <row r="776" spans="1:8" s="2" customFormat="1" x14ac:dyDescent="0.35">
      <c r="A776" s="195">
        <v>46281</v>
      </c>
      <c r="B776" s="61" t="s">
        <v>587</v>
      </c>
      <c r="C776" s="233"/>
      <c r="D776" s="213">
        <v>4827100</v>
      </c>
      <c r="E776" s="260">
        <f t="shared" si="11"/>
        <v>453218779</v>
      </c>
      <c r="F776" s="61">
        <v>2000692</v>
      </c>
      <c r="G776" s="61" t="s">
        <v>559</v>
      </c>
      <c r="H776" s="61" t="s">
        <v>560</v>
      </c>
    </row>
    <row r="777" spans="1:8" s="2" customFormat="1" x14ac:dyDescent="0.35">
      <c r="A777" s="195">
        <v>46281</v>
      </c>
      <c r="B777" s="61" t="s">
        <v>332</v>
      </c>
      <c r="C777" s="233"/>
      <c r="D777" s="213">
        <v>14603720</v>
      </c>
      <c r="E777" s="260">
        <f t="shared" si="11"/>
        <v>438615059</v>
      </c>
      <c r="F777" s="61">
        <v>2000693</v>
      </c>
      <c r="G777" s="61" t="s">
        <v>559</v>
      </c>
      <c r="H777" s="61" t="s">
        <v>560</v>
      </c>
    </row>
    <row r="778" spans="1:8" s="2" customFormat="1" x14ac:dyDescent="0.35">
      <c r="A778" s="195">
        <v>46281</v>
      </c>
      <c r="B778" s="61" t="s">
        <v>609</v>
      </c>
      <c r="C778" s="233"/>
      <c r="D778" s="213">
        <v>12842800</v>
      </c>
      <c r="E778" s="260">
        <f t="shared" si="11"/>
        <v>425772259</v>
      </c>
      <c r="F778" s="61">
        <v>2000694</v>
      </c>
      <c r="G778" s="61" t="s">
        <v>559</v>
      </c>
      <c r="H778" s="61" t="s">
        <v>560</v>
      </c>
    </row>
    <row r="779" spans="1:8" s="2" customFormat="1" x14ac:dyDescent="0.35">
      <c r="A779" s="195">
        <v>46281</v>
      </c>
      <c r="B779" s="61" t="s">
        <v>610</v>
      </c>
      <c r="C779" s="233"/>
      <c r="D779" s="213">
        <v>2600000</v>
      </c>
      <c r="E779" s="260">
        <f t="shared" si="11"/>
        <v>423172259</v>
      </c>
      <c r="F779" s="61">
        <v>2000695</v>
      </c>
      <c r="G779" s="61" t="s">
        <v>495</v>
      </c>
      <c r="H779" s="61" t="s">
        <v>441</v>
      </c>
    </row>
    <row r="780" spans="1:8" s="2" customFormat="1" x14ac:dyDescent="0.35">
      <c r="A780" s="195">
        <v>46281</v>
      </c>
      <c r="B780" s="61" t="s">
        <v>585</v>
      </c>
      <c r="C780" s="233"/>
      <c r="D780" s="213">
        <v>4515580</v>
      </c>
      <c r="E780" s="260">
        <f t="shared" si="11"/>
        <v>418656679</v>
      </c>
      <c r="F780" s="61">
        <v>2000696</v>
      </c>
      <c r="G780" s="61" t="s">
        <v>559</v>
      </c>
      <c r="H780" s="61" t="s">
        <v>560</v>
      </c>
    </row>
    <row r="781" spans="1:8" s="2" customFormat="1" x14ac:dyDescent="0.35">
      <c r="A781" s="195">
        <v>46281</v>
      </c>
      <c r="B781" s="61" t="s">
        <v>579</v>
      </c>
      <c r="C781" s="233"/>
      <c r="D781" s="213">
        <v>26853200</v>
      </c>
      <c r="E781" s="260">
        <f t="shared" si="11"/>
        <v>391803479</v>
      </c>
      <c r="F781" s="61">
        <v>2000697</v>
      </c>
      <c r="G781" s="61" t="s">
        <v>559</v>
      </c>
      <c r="H781" s="61" t="s">
        <v>560</v>
      </c>
    </row>
    <row r="782" spans="1:8" s="2" customFormat="1" x14ac:dyDescent="0.35">
      <c r="A782" s="195">
        <v>46281</v>
      </c>
      <c r="B782" s="61" t="s">
        <v>573</v>
      </c>
      <c r="C782" s="233"/>
      <c r="D782" s="213">
        <v>5564320</v>
      </c>
      <c r="E782" s="260">
        <f t="shared" si="11"/>
        <v>386239159</v>
      </c>
      <c r="F782" s="61">
        <v>2000703</v>
      </c>
      <c r="G782" s="61" t="s">
        <v>559</v>
      </c>
      <c r="H782" s="61" t="s">
        <v>560</v>
      </c>
    </row>
    <row r="783" spans="1:8" s="2" customFormat="1" x14ac:dyDescent="0.35">
      <c r="A783" s="195">
        <v>46281</v>
      </c>
      <c r="B783" s="61" t="s">
        <v>333</v>
      </c>
      <c r="C783" s="233"/>
      <c r="D783" s="213">
        <v>13393300</v>
      </c>
      <c r="E783" s="260">
        <f t="shared" si="11"/>
        <v>372845859</v>
      </c>
      <c r="F783" s="61">
        <v>2000699</v>
      </c>
      <c r="G783" s="61" t="s">
        <v>559</v>
      </c>
      <c r="H783" s="61" t="s">
        <v>560</v>
      </c>
    </row>
    <row r="784" spans="1:8" s="2" customFormat="1" x14ac:dyDescent="0.35">
      <c r="A784" s="195">
        <v>46281</v>
      </c>
      <c r="B784" s="61" t="s">
        <v>611</v>
      </c>
      <c r="C784" s="233"/>
      <c r="D784" s="213">
        <v>13002000</v>
      </c>
      <c r="E784" s="260">
        <f t="shared" si="11"/>
        <v>359843859</v>
      </c>
      <c r="F784" s="61">
        <v>2000700</v>
      </c>
      <c r="G784" s="61" t="s">
        <v>559</v>
      </c>
      <c r="H784" s="61" t="s">
        <v>560</v>
      </c>
    </row>
    <row r="785" spans="1:8" s="2" customFormat="1" x14ac:dyDescent="0.35">
      <c r="A785" s="195">
        <v>46281</v>
      </c>
      <c r="B785" s="61" t="s">
        <v>604</v>
      </c>
      <c r="C785" s="233"/>
      <c r="D785" s="213">
        <v>15936000</v>
      </c>
      <c r="E785" s="260">
        <f t="shared" si="11"/>
        <v>343907859</v>
      </c>
      <c r="F785" s="61">
        <v>2000701</v>
      </c>
      <c r="G785" s="61" t="s">
        <v>559</v>
      </c>
      <c r="H785" s="61" t="s">
        <v>560</v>
      </c>
    </row>
    <row r="786" spans="1:8" s="2" customFormat="1" x14ac:dyDescent="0.35">
      <c r="A786" s="195">
        <v>46281</v>
      </c>
      <c r="B786" s="61" t="s">
        <v>612</v>
      </c>
      <c r="C786" s="233"/>
      <c r="D786" s="213">
        <v>10672200</v>
      </c>
      <c r="E786" s="260">
        <f t="shared" si="11"/>
        <v>333235659</v>
      </c>
      <c r="F786" s="61">
        <v>2000704</v>
      </c>
      <c r="G786" s="61" t="s">
        <v>559</v>
      </c>
      <c r="H786" s="61" t="s">
        <v>560</v>
      </c>
    </row>
    <row r="787" spans="1:8" s="2" customFormat="1" x14ac:dyDescent="0.35">
      <c r="A787" s="195">
        <v>46281</v>
      </c>
      <c r="B787" s="61" t="s">
        <v>331</v>
      </c>
      <c r="C787" s="233"/>
      <c r="D787" s="213">
        <v>35543600</v>
      </c>
      <c r="E787" s="260">
        <f t="shared" si="11"/>
        <v>297692059</v>
      </c>
      <c r="F787" s="61">
        <v>2000705</v>
      </c>
      <c r="G787" s="61" t="s">
        <v>559</v>
      </c>
      <c r="H787" s="61" t="s">
        <v>560</v>
      </c>
    </row>
    <row r="788" spans="1:8" s="2" customFormat="1" x14ac:dyDescent="0.35">
      <c r="A788" s="195">
        <v>46281</v>
      </c>
      <c r="B788" s="61" t="s">
        <v>476</v>
      </c>
      <c r="C788" s="233"/>
      <c r="D788" s="213">
        <v>2000000</v>
      </c>
      <c r="E788" s="260">
        <f t="shared" si="11"/>
        <v>295692059</v>
      </c>
      <c r="F788" s="61">
        <v>2000706</v>
      </c>
      <c r="G788" s="61" t="s">
        <v>608</v>
      </c>
      <c r="H788" s="61" t="s">
        <v>374</v>
      </c>
    </row>
    <row r="789" spans="1:8" s="2" customFormat="1" x14ac:dyDescent="0.35">
      <c r="A789" s="195">
        <v>46281</v>
      </c>
      <c r="B789" s="61" t="s">
        <v>584</v>
      </c>
      <c r="C789" s="233"/>
      <c r="D789" s="213">
        <v>6721600</v>
      </c>
      <c r="E789" s="260">
        <f t="shared" si="11"/>
        <v>288970459</v>
      </c>
      <c r="F789" s="61">
        <v>2000707</v>
      </c>
      <c r="G789" s="61" t="s">
        <v>559</v>
      </c>
      <c r="H789" s="61" t="s">
        <v>560</v>
      </c>
    </row>
    <row r="790" spans="1:8" s="2" customFormat="1" x14ac:dyDescent="0.35">
      <c r="A790" s="195">
        <v>46282</v>
      </c>
      <c r="B790" s="61" t="s">
        <v>623</v>
      </c>
      <c r="C790" s="233"/>
      <c r="D790" s="213">
        <v>38500</v>
      </c>
      <c r="E790" s="260">
        <f t="shared" si="11"/>
        <v>288931959</v>
      </c>
      <c r="F790" s="61"/>
      <c r="G790" s="61"/>
      <c r="H790" s="61" t="s">
        <v>9</v>
      </c>
    </row>
    <row r="791" spans="1:8" s="2" customFormat="1" x14ac:dyDescent="0.35">
      <c r="A791" s="195">
        <v>46282</v>
      </c>
      <c r="B791" s="61" t="s">
        <v>623</v>
      </c>
      <c r="C791" s="233"/>
      <c r="D791" s="213">
        <v>38500</v>
      </c>
      <c r="E791" s="260">
        <f t="shared" si="11"/>
        <v>288893459</v>
      </c>
      <c r="F791" s="61"/>
      <c r="G791" s="61"/>
      <c r="H791" s="61" t="s">
        <v>9</v>
      </c>
    </row>
    <row r="792" spans="1:8" s="2" customFormat="1" x14ac:dyDescent="0.35">
      <c r="A792" s="195">
        <v>46282</v>
      </c>
      <c r="B792" s="61" t="s">
        <v>623</v>
      </c>
      <c r="C792" s="233"/>
      <c r="D792" s="213">
        <v>38500</v>
      </c>
      <c r="E792" s="260">
        <f t="shared" si="11"/>
        <v>288854959</v>
      </c>
      <c r="F792" s="61"/>
      <c r="G792" s="61"/>
      <c r="H792" s="61" t="s">
        <v>9</v>
      </c>
    </row>
    <row r="793" spans="1:8" s="2" customFormat="1" x14ac:dyDescent="0.35">
      <c r="A793" s="195">
        <v>46282</v>
      </c>
      <c r="B793" s="61" t="s">
        <v>623</v>
      </c>
      <c r="C793" s="233"/>
      <c r="D793" s="213">
        <v>38500</v>
      </c>
      <c r="E793" s="260">
        <f t="shared" si="11"/>
        <v>288816459</v>
      </c>
      <c r="F793" s="61"/>
      <c r="G793" s="61"/>
      <c r="H793" s="61" t="s">
        <v>9</v>
      </c>
    </row>
    <row r="794" spans="1:8" s="2" customFormat="1" x14ac:dyDescent="0.35">
      <c r="A794" s="195">
        <v>46282</v>
      </c>
      <c r="B794" s="61" t="s">
        <v>615</v>
      </c>
      <c r="C794" s="233"/>
      <c r="D794" s="213">
        <v>125000</v>
      </c>
      <c r="E794" s="260">
        <f t="shared" ref="E794:E862" si="12">E793+C794-D794</f>
        <v>288691459</v>
      </c>
      <c r="F794" s="61">
        <v>2000708</v>
      </c>
      <c r="G794" s="61" t="s">
        <v>614</v>
      </c>
      <c r="H794" s="61" t="s">
        <v>445</v>
      </c>
    </row>
    <row r="795" spans="1:8" s="2" customFormat="1" x14ac:dyDescent="0.35">
      <c r="A795" s="195">
        <v>46282</v>
      </c>
      <c r="B795" s="61" t="s">
        <v>40</v>
      </c>
      <c r="C795" s="233"/>
      <c r="D795" s="213">
        <v>500000</v>
      </c>
      <c r="E795" s="260">
        <f t="shared" si="12"/>
        <v>288191459</v>
      </c>
      <c r="F795" s="61">
        <v>2000709</v>
      </c>
      <c r="G795" s="61" t="s">
        <v>205</v>
      </c>
      <c r="H795" s="61" t="s">
        <v>205</v>
      </c>
    </row>
    <row r="796" spans="1:8" s="2" customFormat="1" x14ac:dyDescent="0.35">
      <c r="A796" s="195">
        <v>46283</v>
      </c>
      <c r="B796" s="61" t="s">
        <v>606</v>
      </c>
      <c r="C796" s="233"/>
      <c r="D796" s="213">
        <v>250000000</v>
      </c>
      <c r="E796" s="260">
        <f t="shared" si="12"/>
        <v>38191459</v>
      </c>
      <c r="F796" s="61"/>
      <c r="G796" s="61"/>
      <c r="H796" s="61" t="s">
        <v>27</v>
      </c>
    </row>
    <row r="797" spans="1:8" s="2" customFormat="1" x14ac:dyDescent="0.35">
      <c r="A797" s="195">
        <v>46283</v>
      </c>
      <c r="B797" s="61" t="s">
        <v>213</v>
      </c>
      <c r="C797" s="233"/>
      <c r="D797" s="213">
        <v>9722222</v>
      </c>
      <c r="E797" s="260">
        <f t="shared" si="12"/>
        <v>28469237</v>
      </c>
      <c r="F797" s="61"/>
      <c r="G797" s="61"/>
      <c r="H797" s="61" t="s">
        <v>47</v>
      </c>
    </row>
    <row r="798" spans="1:8" s="2" customFormat="1" x14ac:dyDescent="0.35">
      <c r="A798" s="195">
        <v>46286</v>
      </c>
      <c r="B798" s="61" t="s">
        <v>38</v>
      </c>
      <c r="C798" s="233">
        <v>400000000</v>
      </c>
      <c r="D798" s="213"/>
      <c r="E798" s="260">
        <f t="shared" si="12"/>
        <v>428469237</v>
      </c>
      <c r="F798" s="61"/>
      <c r="G798" s="61"/>
      <c r="H798" s="61" t="s">
        <v>176</v>
      </c>
    </row>
    <row r="799" spans="1:8" s="2" customFormat="1" x14ac:dyDescent="0.35">
      <c r="A799" s="195">
        <v>46286</v>
      </c>
      <c r="B799" s="61" t="s">
        <v>213</v>
      </c>
      <c r="C799" s="233"/>
      <c r="D799" s="213">
        <v>2000000</v>
      </c>
      <c r="E799" s="260">
        <f t="shared" si="12"/>
        <v>426469237</v>
      </c>
      <c r="F799" s="61"/>
      <c r="G799" s="173"/>
      <c r="H799" s="61" t="s">
        <v>37</v>
      </c>
    </row>
    <row r="800" spans="1:8" s="2" customFormat="1" x14ac:dyDescent="0.35">
      <c r="A800" s="195">
        <v>46286</v>
      </c>
      <c r="B800" s="61" t="s">
        <v>37</v>
      </c>
      <c r="C800" s="233"/>
      <c r="D800" s="213">
        <v>400000</v>
      </c>
      <c r="E800" s="260">
        <f t="shared" si="12"/>
        <v>426069237</v>
      </c>
      <c r="F800" s="61"/>
      <c r="G800" s="61"/>
      <c r="H800" s="61" t="s">
        <v>37</v>
      </c>
    </row>
    <row r="801" spans="1:8" s="2" customFormat="1" x14ac:dyDescent="0.35">
      <c r="A801" s="195">
        <v>46286</v>
      </c>
      <c r="B801" s="61" t="s">
        <v>37</v>
      </c>
      <c r="C801" s="233"/>
      <c r="D801" s="213">
        <v>200000</v>
      </c>
      <c r="E801" s="260">
        <f t="shared" si="12"/>
        <v>425869237</v>
      </c>
      <c r="F801" s="61"/>
      <c r="G801" s="61"/>
      <c r="H801" s="61" t="s">
        <v>37</v>
      </c>
    </row>
    <row r="802" spans="1:8" s="2" customFormat="1" x14ac:dyDescent="0.35">
      <c r="A802" s="195">
        <v>46283</v>
      </c>
      <c r="B802" s="61" t="s">
        <v>583</v>
      </c>
      <c r="C802" s="233"/>
      <c r="D802" s="213">
        <v>6979500</v>
      </c>
      <c r="E802" s="260">
        <f t="shared" si="12"/>
        <v>418889737</v>
      </c>
      <c r="F802" s="61">
        <v>2000710</v>
      </c>
      <c r="G802" s="61" t="s">
        <v>559</v>
      </c>
      <c r="H802" s="61" t="s">
        <v>560</v>
      </c>
    </row>
    <row r="803" spans="1:8" s="2" customFormat="1" x14ac:dyDescent="0.35">
      <c r="A803" s="195">
        <v>46283</v>
      </c>
      <c r="B803" s="61" t="s">
        <v>260</v>
      </c>
      <c r="C803" s="233"/>
      <c r="D803" s="213">
        <v>14766800</v>
      </c>
      <c r="E803" s="260">
        <f t="shared" si="12"/>
        <v>404122937</v>
      </c>
      <c r="F803" s="61">
        <v>2000711</v>
      </c>
      <c r="G803" s="61" t="s">
        <v>559</v>
      </c>
      <c r="H803" s="61" t="s">
        <v>560</v>
      </c>
    </row>
    <row r="804" spans="1:8" s="2" customFormat="1" x14ac:dyDescent="0.35">
      <c r="A804" s="195">
        <v>46283</v>
      </c>
      <c r="B804" s="61" t="s">
        <v>332</v>
      </c>
      <c r="C804" s="233"/>
      <c r="D804" s="213">
        <v>5000000</v>
      </c>
      <c r="E804" s="260">
        <f t="shared" si="12"/>
        <v>399122937</v>
      </c>
      <c r="F804" s="61">
        <v>2000712</v>
      </c>
      <c r="G804" s="61" t="s">
        <v>559</v>
      </c>
      <c r="H804" s="61" t="s">
        <v>560</v>
      </c>
    </row>
    <row r="805" spans="1:8" s="2" customFormat="1" x14ac:dyDescent="0.35">
      <c r="A805" s="195">
        <v>46283</v>
      </c>
      <c r="B805" s="61" t="s">
        <v>585</v>
      </c>
      <c r="C805" s="233"/>
      <c r="D805" s="213">
        <v>5000000</v>
      </c>
      <c r="E805" s="260">
        <f t="shared" si="12"/>
        <v>394122937</v>
      </c>
      <c r="F805" s="61">
        <v>2000713</v>
      </c>
      <c r="G805" s="61" t="s">
        <v>559</v>
      </c>
      <c r="H805" s="61" t="s">
        <v>560</v>
      </c>
    </row>
    <row r="806" spans="1:8" s="2" customFormat="1" x14ac:dyDescent="0.35">
      <c r="A806" s="195">
        <v>46283</v>
      </c>
      <c r="B806" s="61" t="s">
        <v>579</v>
      </c>
      <c r="C806" s="233"/>
      <c r="D806" s="213">
        <v>10000000</v>
      </c>
      <c r="E806" s="260">
        <f t="shared" si="12"/>
        <v>384122937</v>
      </c>
      <c r="F806" s="61">
        <v>2000714</v>
      </c>
      <c r="G806" s="61" t="s">
        <v>559</v>
      </c>
      <c r="H806" s="61" t="s">
        <v>560</v>
      </c>
    </row>
    <row r="807" spans="1:8" s="2" customFormat="1" x14ac:dyDescent="0.35">
      <c r="A807" s="195">
        <v>46283</v>
      </c>
      <c r="B807" s="61" t="s">
        <v>611</v>
      </c>
      <c r="C807" s="233"/>
      <c r="D807" s="213">
        <v>16150200</v>
      </c>
      <c r="E807" s="260">
        <f t="shared" si="12"/>
        <v>367972737</v>
      </c>
      <c r="F807" s="61">
        <v>2000715</v>
      </c>
      <c r="G807" s="61" t="s">
        <v>559</v>
      </c>
      <c r="H807" s="61" t="s">
        <v>560</v>
      </c>
    </row>
    <row r="808" spans="1:8" s="2" customFormat="1" x14ac:dyDescent="0.35">
      <c r="A808" s="195">
        <v>46284</v>
      </c>
      <c r="B808" s="61" t="s">
        <v>267</v>
      </c>
      <c r="C808" s="233"/>
      <c r="D808" s="213">
        <v>15252600</v>
      </c>
      <c r="E808" s="260">
        <f t="shared" si="12"/>
        <v>352720137</v>
      </c>
      <c r="F808" s="61">
        <v>2000716</v>
      </c>
      <c r="G808" s="61" t="s">
        <v>559</v>
      </c>
      <c r="H808" s="61" t="s">
        <v>560</v>
      </c>
    </row>
    <row r="809" spans="1:8" s="2" customFormat="1" x14ac:dyDescent="0.35">
      <c r="A809" s="195">
        <v>46284</v>
      </c>
      <c r="B809" s="61" t="s">
        <v>613</v>
      </c>
      <c r="C809" s="233"/>
      <c r="D809" s="213">
        <v>15734400</v>
      </c>
      <c r="E809" s="260">
        <f t="shared" si="12"/>
        <v>336985737</v>
      </c>
      <c r="F809" s="61">
        <v>2000718</v>
      </c>
      <c r="G809" s="61" t="s">
        <v>559</v>
      </c>
      <c r="H809" s="61" t="s">
        <v>560</v>
      </c>
    </row>
    <row r="810" spans="1:8" s="2" customFormat="1" x14ac:dyDescent="0.35">
      <c r="A810" s="195">
        <v>46286</v>
      </c>
      <c r="B810" s="61" t="s">
        <v>584</v>
      </c>
      <c r="C810" s="233"/>
      <c r="D810" s="213">
        <v>15329600</v>
      </c>
      <c r="E810" s="260">
        <f t="shared" si="12"/>
        <v>321656137</v>
      </c>
      <c r="F810" s="61">
        <v>2000719</v>
      </c>
      <c r="G810" s="61" t="s">
        <v>559</v>
      </c>
      <c r="H810" s="61" t="s">
        <v>560</v>
      </c>
    </row>
    <row r="811" spans="1:8" s="2" customFormat="1" x14ac:dyDescent="0.35">
      <c r="A811" s="195">
        <v>46286</v>
      </c>
      <c r="B811" s="61" t="s">
        <v>578</v>
      </c>
      <c r="C811" s="233"/>
      <c r="D811" s="213">
        <v>23439500</v>
      </c>
      <c r="E811" s="260">
        <f t="shared" si="12"/>
        <v>298216637</v>
      </c>
      <c r="F811" s="61">
        <v>2000721</v>
      </c>
      <c r="G811" s="61" t="s">
        <v>559</v>
      </c>
      <c r="H811" s="61" t="s">
        <v>560</v>
      </c>
    </row>
    <row r="812" spans="1:8" s="2" customFormat="1" x14ac:dyDescent="0.35">
      <c r="A812" s="195">
        <v>46286</v>
      </c>
      <c r="B812" s="61" t="s">
        <v>267</v>
      </c>
      <c r="C812" s="233"/>
      <c r="D812" s="213">
        <v>15001800</v>
      </c>
      <c r="E812" s="260">
        <f t="shared" si="12"/>
        <v>283214837</v>
      </c>
      <c r="F812" s="61">
        <v>2000722</v>
      </c>
      <c r="G812" s="61" t="s">
        <v>559</v>
      </c>
      <c r="H812" s="61" t="s">
        <v>560</v>
      </c>
    </row>
    <row r="813" spans="1:8" s="2" customFormat="1" x14ac:dyDescent="0.35">
      <c r="A813" s="195">
        <v>46286</v>
      </c>
      <c r="B813" s="61" t="s">
        <v>585</v>
      </c>
      <c r="C813" s="233"/>
      <c r="D813" s="213">
        <v>10537600</v>
      </c>
      <c r="E813" s="260">
        <f t="shared" si="12"/>
        <v>272677237</v>
      </c>
      <c r="F813" s="61">
        <v>2000723</v>
      </c>
      <c r="G813" s="61" t="s">
        <v>559</v>
      </c>
      <c r="H813" s="61" t="s">
        <v>560</v>
      </c>
    </row>
    <row r="814" spans="1:8" s="2" customFormat="1" x14ac:dyDescent="0.35">
      <c r="A814" s="195">
        <v>46286</v>
      </c>
      <c r="B814" s="61" t="s">
        <v>332</v>
      </c>
      <c r="C814" s="233"/>
      <c r="D814" s="213">
        <v>7689780</v>
      </c>
      <c r="E814" s="260">
        <f t="shared" si="12"/>
        <v>264987457</v>
      </c>
      <c r="F814" s="61">
        <v>2000724</v>
      </c>
      <c r="G814" s="61" t="s">
        <v>559</v>
      </c>
      <c r="H814" s="61" t="s">
        <v>560</v>
      </c>
    </row>
    <row r="815" spans="1:8" s="2" customFormat="1" x14ac:dyDescent="0.35">
      <c r="A815" s="195">
        <v>46286</v>
      </c>
      <c r="B815" s="61" t="s">
        <v>579</v>
      </c>
      <c r="C815" s="233"/>
      <c r="D815" s="213">
        <v>32748800</v>
      </c>
      <c r="E815" s="260">
        <f t="shared" si="12"/>
        <v>232238657</v>
      </c>
      <c r="F815" s="61">
        <v>2000725</v>
      </c>
      <c r="G815" s="61" t="s">
        <v>559</v>
      </c>
      <c r="H815" s="61" t="s">
        <v>560</v>
      </c>
    </row>
    <row r="816" spans="1:8" s="2" customFormat="1" x14ac:dyDescent="0.35">
      <c r="A816" s="195">
        <v>46286</v>
      </c>
      <c r="B816" s="61" t="s">
        <v>599</v>
      </c>
      <c r="C816" s="233"/>
      <c r="D816" s="213">
        <v>11738400</v>
      </c>
      <c r="E816" s="260">
        <f t="shared" si="12"/>
        <v>220500257</v>
      </c>
      <c r="F816" s="61">
        <v>2000726</v>
      </c>
      <c r="G816" s="61" t="s">
        <v>559</v>
      </c>
      <c r="H816" s="61" t="s">
        <v>560</v>
      </c>
    </row>
    <row r="817" spans="1:8" s="2" customFormat="1" x14ac:dyDescent="0.35">
      <c r="A817" s="195">
        <v>46286</v>
      </c>
      <c r="B817" s="61" t="s">
        <v>618</v>
      </c>
      <c r="C817" s="233"/>
      <c r="D817" s="213">
        <v>16438450</v>
      </c>
      <c r="E817" s="260">
        <f t="shared" si="12"/>
        <v>204061807</v>
      </c>
      <c r="F817" s="61">
        <v>2000727</v>
      </c>
      <c r="G817" s="61" t="s">
        <v>559</v>
      </c>
      <c r="H817" s="61" t="s">
        <v>560</v>
      </c>
    </row>
    <row r="818" spans="1:8" s="2" customFormat="1" x14ac:dyDescent="0.35">
      <c r="A818" s="195">
        <v>46286</v>
      </c>
      <c r="B818" s="61" t="s">
        <v>333</v>
      </c>
      <c r="C818" s="233"/>
      <c r="D818" s="213">
        <v>10746800</v>
      </c>
      <c r="E818" s="260">
        <f t="shared" si="12"/>
        <v>193315007</v>
      </c>
      <c r="F818" s="61">
        <v>2000728</v>
      </c>
      <c r="G818" s="61" t="s">
        <v>559</v>
      </c>
      <c r="H818" s="61" t="s">
        <v>560</v>
      </c>
    </row>
    <row r="819" spans="1:8" s="2" customFormat="1" x14ac:dyDescent="0.35">
      <c r="A819" s="195">
        <v>46286</v>
      </c>
      <c r="B819" s="61" t="s">
        <v>592</v>
      </c>
      <c r="C819" s="233"/>
      <c r="D819" s="213">
        <v>13915900</v>
      </c>
      <c r="E819" s="260">
        <f t="shared" si="12"/>
        <v>179399107</v>
      </c>
      <c r="F819" s="61">
        <v>2000729</v>
      </c>
      <c r="G819" s="61" t="s">
        <v>559</v>
      </c>
      <c r="H819" s="61" t="s">
        <v>560</v>
      </c>
    </row>
    <row r="820" spans="1:8" s="2" customFormat="1" x14ac:dyDescent="0.35">
      <c r="A820" s="195">
        <v>46286</v>
      </c>
      <c r="B820" s="61" t="s">
        <v>619</v>
      </c>
      <c r="C820" s="233"/>
      <c r="D820" s="213">
        <v>15281200</v>
      </c>
      <c r="E820" s="260">
        <f t="shared" si="12"/>
        <v>164117907</v>
      </c>
      <c r="F820" s="61">
        <v>2000730</v>
      </c>
      <c r="G820" s="61" t="s">
        <v>559</v>
      </c>
      <c r="H820" s="61" t="s">
        <v>560</v>
      </c>
    </row>
    <row r="821" spans="1:8" s="2" customFormat="1" x14ac:dyDescent="0.35">
      <c r="A821" s="195">
        <v>46286</v>
      </c>
      <c r="B821" s="61" t="s">
        <v>595</v>
      </c>
      <c r="C821" s="233"/>
      <c r="D821" s="213">
        <v>17058200</v>
      </c>
      <c r="E821" s="260">
        <f t="shared" si="12"/>
        <v>147059707</v>
      </c>
      <c r="F821" s="61">
        <v>2000732</v>
      </c>
      <c r="G821" s="61" t="s">
        <v>559</v>
      </c>
      <c r="H821" s="61" t="s">
        <v>560</v>
      </c>
    </row>
    <row r="822" spans="1:8" s="2" customFormat="1" x14ac:dyDescent="0.35">
      <c r="A822" s="195">
        <v>46286</v>
      </c>
      <c r="B822" s="61" t="s">
        <v>620</v>
      </c>
      <c r="C822" s="233"/>
      <c r="D822" s="213">
        <v>3000000</v>
      </c>
      <c r="E822" s="260">
        <f t="shared" si="12"/>
        <v>144059707</v>
      </c>
      <c r="F822" s="61">
        <v>2000731</v>
      </c>
      <c r="G822" s="61" t="s">
        <v>621</v>
      </c>
      <c r="H822" s="61" t="s">
        <v>450</v>
      </c>
    </row>
    <row r="823" spans="1:8" s="2" customFormat="1" x14ac:dyDescent="0.35">
      <c r="A823" s="195">
        <v>46286</v>
      </c>
      <c r="B823" s="61" t="s">
        <v>260</v>
      </c>
      <c r="C823" s="233"/>
      <c r="D823" s="213">
        <v>14371500</v>
      </c>
      <c r="E823" s="260">
        <f t="shared" si="12"/>
        <v>129688207</v>
      </c>
      <c r="F823" s="61">
        <v>2000733</v>
      </c>
      <c r="G823" s="61" t="s">
        <v>559</v>
      </c>
      <c r="H823" s="61" t="s">
        <v>560</v>
      </c>
    </row>
    <row r="824" spans="1:8" s="2" customFormat="1" x14ac:dyDescent="0.35">
      <c r="A824" s="195">
        <v>46286</v>
      </c>
      <c r="B824" s="61" t="s">
        <v>604</v>
      </c>
      <c r="C824" s="233"/>
      <c r="D824" s="213">
        <v>2000000</v>
      </c>
      <c r="E824" s="260">
        <f t="shared" si="12"/>
        <v>127688207</v>
      </c>
      <c r="F824" s="61">
        <v>2000734</v>
      </c>
      <c r="G824" s="61" t="s">
        <v>559</v>
      </c>
      <c r="H824" s="61" t="s">
        <v>560</v>
      </c>
    </row>
    <row r="825" spans="1:8" s="2" customFormat="1" x14ac:dyDescent="0.35">
      <c r="A825" s="195">
        <v>46286</v>
      </c>
      <c r="B825" s="61" t="s">
        <v>586</v>
      </c>
      <c r="C825" s="233"/>
      <c r="D825" s="213">
        <v>15094200</v>
      </c>
      <c r="E825" s="260">
        <f t="shared" si="12"/>
        <v>112594007</v>
      </c>
      <c r="F825" s="61">
        <v>2000736</v>
      </c>
      <c r="G825" s="61" t="s">
        <v>559</v>
      </c>
      <c r="H825" s="61" t="s">
        <v>560</v>
      </c>
    </row>
    <row r="826" spans="1:8" s="2" customFormat="1" x14ac:dyDescent="0.35">
      <c r="A826" s="195">
        <v>46287</v>
      </c>
      <c r="B826" s="61" t="s">
        <v>611</v>
      </c>
      <c r="C826" s="233"/>
      <c r="D826" s="213">
        <v>13873200</v>
      </c>
      <c r="E826" s="260">
        <f t="shared" si="12"/>
        <v>98720807</v>
      </c>
      <c r="F826" s="61">
        <v>2000742</v>
      </c>
      <c r="G826" s="61" t="s">
        <v>559</v>
      </c>
      <c r="H826" s="61" t="s">
        <v>560</v>
      </c>
    </row>
    <row r="827" spans="1:8" s="2" customFormat="1" x14ac:dyDescent="0.35">
      <c r="A827" s="195">
        <v>46287</v>
      </c>
      <c r="B827" s="61" t="s">
        <v>587</v>
      </c>
      <c r="C827" s="233"/>
      <c r="D827" s="213">
        <v>11550800</v>
      </c>
      <c r="E827" s="260">
        <f t="shared" si="12"/>
        <v>87170007</v>
      </c>
      <c r="F827" s="61">
        <v>2000744</v>
      </c>
      <c r="G827" s="61" t="s">
        <v>559</v>
      </c>
      <c r="H827" s="61" t="s">
        <v>560</v>
      </c>
    </row>
    <row r="828" spans="1:8" s="2" customFormat="1" x14ac:dyDescent="0.35">
      <c r="A828" s="195">
        <v>46287</v>
      </c>
      <c r="B828" s="61" t="s">
        <v>542</v>
      </c>
      <c r="C828" s="233"/>
      <c r="D828" s="213">
        <v>180535</v>
      </c>
      <c r="E828" s="260">
        <f t="shared" si="12"/>
        <v>86989472</v>
      </c>
      <c r="F828" s="61">
        <v>2000739</v>
      </c>
      <c r="G828" s="61"/>
      <c r="H828" s="61" t="s">
        <v>444</v>
      </c>
    </row>
    <row r="829" spans="1:8" s="2" customFormat="1" x14ac:dyDescent="0.35">
      <c r="A829" s="195">
        <v>46287</v>
      </c>
      <c r="B829" s="61" t="s">
        <v>542</v>
      </c>
      <c r="C829" s="233"/>
      <c r="D829" s="213">
        <v>240983</v>
      </c>
      <c r="E829" s="260">
        <f t="shared" si="12"/>
        <v>86748489</v>
      </c>
      <c r="F829" s="61">
        <v>2000740</v>
      </c>
      <c r="G829" s="61"/>
      <c r="H829" s="61" t="s">
        <v>444</v>
      </c>
    </row>
    <row r="830" spans="1:8" s="2" customFormat="1" x14ac:dyDescent="0.35">
      <c r="A830" s="201">
        <v>46287</v>
      </c>
      <c r="B830" s="120" t="s">
        <v>542</v>
      </c>
      <c r="C830" s="240"/>
      <c r="D830" s="219">
        <v>1444676</v>
      </c>
      <c r="E830" s="259">
        <f t="shared" si="12"/>
        <v>85303813</v>
      </c>
      <c r="F830" s="120">
        <v>2000737</v>
      </c>
      <c r="G830" s="120"/>
      <c r="H830" s="120" t="s">
        <v>444</v>
      </c>
    </row>
    <row r="831" spans="1:8" s="2" customFormat="1" x14ac:dyDescent="0.35">
      <c r="A831" s="195">
        <v>46289</v>
      </c>
      <c r="B831" s="61" t="s">
        <v>38</v>
      </c>
      <c r="C831" s="233">
        <v>450000000</v>
      </c>
      <c r="D831" s="213"/>
      <c r="E831" s="260">
        <f t="shared" si="12"/>
        <v>535303813</v>
      </c>
      <c r="F831" s="61"/>
      <c r="G831" s="61"/>
      <c r="H831" s="61" t="s">
        <v>176</v>
      </c>
    </row>
    <row r="832" spans="1:8" s="2" customFormat="1" x14ac:dyDescent="0.35">
      <c r="A832" s="195">
        <v>46289</v>
      </c>
      <c r="B832" s="61" t="s">
        <v>213</v>
      </c>
      <c r="C832" s="233"/>
      <c r="D832" s="213">
        <f>0.5%*C831</f>
        <v>2250000</v>
      </c>
      <c r="E832" s="260">
        <f t="shared" si="12"/>
        <v>533053813</v>
      </c>
      <c r="F832" s="61"/>
      <c r="G832" s="61"/>
      <c r="H832" s="61" t="s">
        <v>37</v>
      </c>
    </row>
    <row r="833" spans="1:8" s="2" customFormat="1" x14ac:dyDescent="0.35">
      <c r="A833" s="195">
        <v>46289</v>
      </c>
      <c r="B833" s="61" t="s">
        <v>37</v>
      </c>
      <c r="C833" s="233"/>
      <c r="D833" s="213">
        <f>0.1%*C831</f>
        <v>450000</v>
      </c>
      <c r="E833" s="260">
        <f t="shared" si="12"/>
        <v>532603813</v>
      </c>
      <c r="F833" s="61"/>
      <c r="G833" s="61"/>
      <c r="H833" s="61" t="s">
        <v>37</v>
      </c>
    </row>
    <row r="834" spans="1:8" s="2" customFormat="1" x14ac:dyDescent="0.35">
      <c r="A834" s="195">
        <v>46289</v>
      </c>
      <c r="B834" s="61" t="s">
        <v>37</v>
      </c>
      <c r="C834" s="233"/>
      <c r="D834" s="213">
        <f>10%*D832</f>
        <v>225000</v>
      </c>
      <c r="E834" s="260">
        <f t="shared" si="12"/>
        <v>532378813</v>
      </c>
      <c r="F834" s="61"/>
      <c r="G834" s="61"/>
      <c r="H834" s="61" t="s">
        <v>37</v>
      </c>
    </row>
    <row r="835" spans="1:8" s="2" customFormat="1" x14ac:dyDescent="0.35">
      <c r="A835" s="195">
        <v>46286</v>
      </c>
      <c r="B835" s="61" t="s">
        <v>617</v>
      </c>
      <c r="C835" s="233"/>
      <c r="D835" s="213">
        <v>50000000</v>
      </c>
      <c r="E835" s="260">
        <f t="shared" si="12"/>
        <v>482378813</v>
      </c>
      <c r="F835" s="61">
        <v>2000735</v>
      </c>
      <c r="G835" s="61" t="s">
        <v>616</v>
      </c>
      <c r="H835" s="61" t="s">
        <v>438</v>
      </c>
    </row>
    <row r="836" spans="1:8" s="2" customFormat="1" x14ac:dyDescent="0.35">
      <c r="A836" s="195">
        <v>46287</v>
      </c>
      <c r="B836" s="61" t="s">
        <v>622</v>
      </c>
      <c r="C836" s="233"/>
      <c r="D836" s="213">
        <v>2890998</v>
      </c>
      <c r="E836" s="260">
        <f t="shared" si="12"/>
        <v>479487815</v>
      </c>
      <c r="F836" s="61">
        <v>2000741</v>
      </c>
      <c r="G836" s="61" t="s">
        <v>626</v>
      </c>
      <c r="H836" s="61" t="s">
        <v>445</v>
      </c>
    </row>
    <row r="837" spans="1:8" s="2" customFormat="1" x14ac:dyDescent="0.35">
      <c r="A837" s="195">
        <v>46288</v>
      </c>
      <c r="B837" s="61" t="s">
        <v>331</v>
      </c>
      <c r="C837" s="233"/>
      <c r="D837" s="213">
        <v>50605600</v>
      </c>
      <c r="E837" s="260">
        <f t="shared" si="12"/>
        <v>428882215</v>
      </c>
      <c r="F837" s="61">
        <v>2000743</v>
      </c>
      <c r="G837" s="61" t="s">
        <v>559</v>
      </c>
      <c r="H837" s="61" t="s">
        <v>560</v>
      </c>
    </row>
    <row r="838" spans="1:8" s="2" customFormat="1" x14ac:dyDescent="0.35">
      <c r="A838" s="195">
        <v>46288</v>
      </c>
      <c r="B838" s="61" t="s">
        <v>476</v>
      </c>
      <c r="C838" s="233"/>
      <c r="D838" s="213">
        <v>1247695</v>
      </c>
      <c r="E838" s="260">
        <f t="shared" si="12"/>
        <v>427634520</v>
      </c>
      <c r="F838" s="61">
        <v>2000745</v>
      </c>
      <c r="G838" s="61" t="s">
        <v>608</v>
      </c>
      <c r="H838" s="61" t="s">
        <v>374</v>
      </c>
    </row>
    <row r="839" spans="1:8" s="2" customFormat="1" x14ac:dyDescent="0.35">
      <c r="A839" s="195">
        <v>46289</v>
      </c>
      <c r="B839" s="61" t="s">
        <v>260</v>
      </c>
      <c r="C839" s="233"/>
      <c r="D839" s="213">
        <v>29118200</v>
      </c>
      <c r="E839" s="260">
        <f t="shared" si="12"/>
        <v>398516320</v>
      </c>
      <c r="F839" s="61">
        <v>2000746</v>
      </c>
      <c r="G839" s="61" t="s">
        <v>559</v>
      </c>
      <c r="H839" s="61" t="s">
        <v>560</v>
      </c>
    </row>
    <row r="840" spans="1:8" s="2" customFormat="1" x14ac:dyDescent="0.35">
      <c r="A840" s="195">
        <v>46289</v>
      </c>
      <c r="B840" s="61" t="s">
        <v>611</v>
      </c>
      <c r="C840" s="233"/>
      <c r="D840" s="213">
        <v>16935600</v>
      </c>
      <c r="E840" s="260">
        <f t="shared" si="12"/>
        <v>381580720</v>
      </c>
      <c r="F840" s="61">
        <v>2000747</v>
      </c>
      <c r="G840" s="61" t="s">
        <v>559</v>
      </c>
      <c r="H840" s="61" t="s">
        <v>560</v>
      </c>
    </row>
    <row r="841" spans="1:8" s="2" customFormat="1" x14ac:dyDescent="0.35">
      <c r="A841" s="195">
        <v>46289</v>
      </c>
      <c r="B841" s="61" t="s">
        <v>585</v>
      </c>
      <c r="C841" s="233"/>
      <c r="D841" s="213">
        <v>19204320</v>
      </c>
      <c r="E841" s="260">
        <f t="shared" si="12"/>
        <v>362376400</v>
      </c>
      <c r="F841" s="61">
        <v>2000748</v>
      </c>
      <c r="G841" s="61" t="s">
        <v>559</v>
      </c>
      <c r="H841" s="61" t="s">
        <v>560</v>
      </c>
    </row>
    <row r="842" spans="1:8" s="2" customFormat="1" x14ac:dyDescent="0.35">
      <c r="A842" s="195">
        <v>46289</v>
      </c>
      <c r="B842" s="61" t="s">
        <v>583</v>
      </c>
      <c r="C842" s="233"/>
      <c r="D842" s="213">
        <v>15523900</v>
      </c>
      <c r="E842" s="260">
        <f t="shared" si="12"/>
        <v>346852500</v>
      </c>
      <c r="F842" s="61">
        <v>2000502</v>
      </c>
      <c r="G842" s="61" t="s">
        <v>559</v>
      </c>
      <c r="H842" s="61" t="s">
        <v>560</v>
      </c>
    </row>
    <row r="843" spans="1:8" s="2" customFormat="1" x14ac:dyDescent="0.35">
      <c r="A843" s="195">
        <v>46289</v>
      </c>
      <c r="B843" s="61" t="s">
        <v>624</v>
      </c>
      <c r="C843" s="233"/>
      <c r="D843" s="213">
        <v>13065000</v>
      </c>
      <c r="E843" s="260">
        <f t="shared" si="12"/>
        <v>333787500</v>
      </c>
      <c r="F843" s="61">
        <v>2000501</v>
      </c>
      <c r="G843" s="61" t="s">
        <v>559</v>
      </c>
      <c r="H843" s="61" t="s">
        <v>560</v>
      </c>
    </row>
    <row r="844" spans="1:8" s="2" customFormat="1" x14ac:dyDescent="0.35">
      <c r="A844" s="195">
        <v>46289</v>
      </c>
      <c r="B844" s="61" t="s">
        <v>625</v>
      </c>
      <c r="C844" s="233"/>
      <c r="D844" s="213">
        <v>9715200</v>
      </c>
      <c r="E844" s="260">
        <f t="shared" si="12"/>
        <v>324072300</v>
      </c>
      <c r="F844" s="61">
        <v>2000750</v>
      </c>
      <c r="G844" s="61" t="s">
        <v>559</v>
      </c>
      <c r="H844" s="61" t="s">
        <v>560</v>
      </c>
    </row>
    <row r="845" spans="1:8" s="2" customFormat="1" x14ac:dyDescent="0.35">
      <c r="A845" s="195">
        <v>46289</v>
      </c>
      <c r="B845" s="61" t="s">
        <v>332</v>
      </c>
      <c r="C845" s="233"/>
      <c r="D845" s="213">
        <v>11062020</v>
      </c>
      <c r="E845" s="260">
        <f t="shared" si="12"/>
        <v>313010280</v>
      </c>
      <c r="F845" s="61">
        <v>2000503</v>
      </c>
      <c r="G845" s="61" t="s">
        <v>559</v>
      </c>
      <c r="H845" s="61" t="s">
        <v>560</v>
      </c>
    </row>
    <row r="846" spans="1:8" s="2" customFormat="1" x14ac:dyDescent="0.35">
      <c r="A846" s="195">
        <v>46289</v>
      </c>
      <c r="B846" s="61" t="s">
        <v>595</v>
      </c>
      <c r="C846" s="233"/>
      <c r="D846" s="213">
        <v>16616000</v>
      </c>
      <c r="E846" s="260">
        <f t="shared" si="12"/>
        <v>296394280</v>
      </c>
      <c r="F846" s="61">
        <v>2000504</v>
      </c>
      <c r="G846" s="61" t="s">
        <v>559</v>
      </c>
      <c r="H846" s="61" t="s">
        <v>560</v>
      </c>
    </row>
    <row r="847" spans="1:8" s="2" customFormat="1" x14ac:dyDescent="0.35">
      <c r="A847" s="195">
        <v>46289</v>
      </c>
      <c r="B847" s="61" t="s">
        <v>579</v>
      </c>
      <c r="C847" s="233"/>
      <c r="D847" s="213">
        <v>20719600</v>
      </c>
      <c r="E847" s="260">
        <f t="shared" si="12"/>
        <v>275674680</v>
      </c>
      <c r="F847" s="61">
        <v>2000505</v>
      </c>
      <c r="G847" s="61" t="s">
        <v>559</v>
      </c>
      <c r="H847" s="61" t="s">
        <v>560</v>
      </c>
    </row>
    <row r="848" spans="1:8" s="2" customFormat="1" x14ac:dyDescent="0.35">
      <c r="A848" s="195">
        <v>46289</v>
      </c>
      <c r="B848" s="61" t="s">
        <v>604</v>
      </c>
      <c r="C848" s="233"/>
      <c r="D848" s="213">
        <v>33231840</v>
      </c>
      <c r="E848" s="260">
        <f t="shared" si="12"/>
        <v>242442840</v>
      </c>
      <c r="F848" s="61">
        <v>2000506</v>
      </c>
      <c r="G848" s="61" t="s">
        <v>559</v>
      </c>
      <c r="H848" s="61" t="s">
        <v>560</v>
      </c>
    </row>
    <row r="849" spans="1:8" s="2" customFormat="1" x14ac:dyDescent="0.35">
      <c r="A849" s="195">
        <v>46289</v>
      </c>
      <c r="B849" s="61" t="s">
        <v>619</v>
      </c>
      <c r="C849" s="233"/>
      <c r="D849" s="213">
        <v>14480200</v>
      </c>
      <c r="E849" s="260">
        <f t="shared" si="12"/>
        <v>227962640</v>
      </c>
      <c r="F849" s="61">
        <v>2000507</v>
      </c>
      <c r="G849" s="61" t="s">
        <v>559</v>
      </c>
      <c r="H849" s="61" t="s">
        <v>560</v>
      </c>
    </row>
    <row r="850" spans="1:8" s="2" customFormat="1" x14ac:dyDescent="0.35">
      <c r="A850" s="195">
        <v>46289</v>
      </c>
      <c r="B850" s="61" t="s">
        <v>369</v>
      </c>
      <c r="C850" s="233"/>
      <c r="D850" s="213">
        <v>10000000</v>
      </c>
      <c r="E850" s="260">
        <f t="shared" si="12"/>
        <v>217962640</v>
      </c>
      <c r="F850" s="61">
        <v>2000511</v>
      </c>
      <c r="G850" s="61" t="s">
        <v>547</v>
      </c>
      <c r="H850" s="61" t="s">
        <v>440</v>
      </c>
    </row>
    <row r="851" spans="1:8" s="2" customFormat="1" x14ac:dyDescent="0.35">
      <c r="A851" s="195">
        <v>46289</v>
      </c>
      <c r="B851" s="61" t="s">
        <v>587</v>
      </c>
      <c r="C851" s="233"/>
      <c r="D851" s="213">
        <v>11410100</v>
      </c>
      <c r="E851" s="260">
        <f t="shared" si="12"/>
        <v>206552540</v>
      </c>
      <c r="F851" s="61">
        <v>2000512</v>
      </c>
      <c r="G851" s="61" t="s">
        <v>559</v>
      </c>
      <c r="H851" s="61" t="s">
        <v>560</v>
      </c>
    </row>
    <row r="852" spans="1:8" s="2" customFormat="1" x14ac:dyDescent="0.35">
      <c r="A852" s="195">
        <v>46289</v>
      </c>
      <c r="B852" s="61" t="s">
        <v>592</v>
      </c>
      <c r="C852" s="233"/>
      <c r="D852" s="213">
        <v>14371506</v>
      </c>
      <c r="E852" s="260">
        <f t="shared" si="12"/>
        <v>192181034</v>
      </c>
      <c r="F852" s="61">
        <v>2000509</v>
      </c>
      <c r="G852" s="61" t="s">
        <v>559</v>
      </c>
      <c r="H852" s="61" t="s">
        <v>560</v>
      </c>
    </row>
    <row r="853" spans="1:8" s="2" customFormat="1" x14ac:dyDescent="0.35">
      <c r="A853" s="195">
        <v>46289</v>
      </c>
      <c r="B853" s="61" t="s">
        <v>613</v>
      </c>
      <c r="C853" s="233"/>
      <c r="D853" s="213">
        <v>15052880</v>
      </c>
      <c r="E853" s="260">
        <f t="shared" si="12"/>
        <v>177128154</v>
      </c>
      <c r="F853" s="61">
        <v>2000510</v>
      </c>
      <c r="G853" s="61" t="s">
        <v>559</v>
      </c>
      <c r="H853" s="61" t="s">
        <v>560</v>
      </c>
    </row>
    <row r="854" spans="1:8" s="2" customFormat="1" x14ac:dyDescent="0.35">
      <c r="A854" s="195">
        <v>46290</v>
      </c>
      <c r="B854" s="61" t="s">
        <v>267</v>
      </c>
      <c r="C854" s="233"/>
      <c r="D854" s="213">
        <v>15107400</v>
      </c>
      <c r="E854" s="260">
        <f t="shared" si="12"/>
        <v>162020754</v>
      </c>
      <c r="F854" s="61">
        <v>2000514</v>
      </c>
      <c r="G854" s="61" t="s">
        <v>559</v>
      </c>
      <c r="H854" s="61" t="s">
        <v>560</v>
      </c>
    </row>
    <row r="855" spans="1:8" s="2" customFormat="1" x14ac:dyDescent="0.35">
      <c r="A855" s="195">
        <v>46290</v>
      </c>
      <c r="B855" s="61" t="s">
        <v>628</v>
      </c>
      <c r="C855" s="233"/>
      <c r="D855" s="213">
        <v>55000000</v>
      </c>
      <c r="E855" s="260">
        <f t="shared" si="12"/>
        <v>107020754</v>
      </c>
      <c r="F855" s="61">
        <v>2000513</v>
      </c>
      <c r="G855" s="61" t="s">
        <v>616</v>
      </c>
      <c r="H855" s="61" t="s">
        <v>438</v>
      </c>
    </row>
    <row r="856" spans="1:8" s="2" customFormat="1" x14ac:dyDescent="0.35">
      <c r="A856" s="195">
        <v>46290</v>
      </c>
      <c r="B856" s="61" t="s">
        <v>54</v>
      </c>
      <c r="C856" s="233"/>
      <c r="D856" s="213">
        <v>2306315</v>
      </c>
      <c r="E856" s="260">
        <f t="shared" si="12"/>
        <v>104714439</v>
      </c>
      <c r="F856" s="61">
        <v>2000515</v>
      </c>
      <c r="G856" s="61" t="s">
        <v>629</v>
      </c>
      <c r="H856" s="61" t="s">
        <v>442</v>
      </c>
    </row>
    <row r="857" spans="1:8" s="2" customFormat="1" x14ac:dyDescent="0.35">
      <c r="A857" s="195">
        <v>46290</v>
      </c>
      <c r="B857" s="61" t="s">
        <v>54</v>
      </c>
      <c r="C857" s="233"/>
      <c r="D857" s="213">
        <v>1549745</v>
      </c>
      <c r="E857" s="260">
        <f t="shared" si="12"/>
        <v>103164694</v>
      </c>
      <c r="F857" s="61">
        <v>2000520</v>
      </c>
      <c r="G857" s="61" t="s">
        <v>630</v>
      </c>
      <c r="H857" s="61" t="s">
        <v>442</v>
      </c>
    </row>
    <row r="858" spans="1:8" s="2" customFormat="1" x14ac:dyDescent="0.35">
      <c r="A858" s="195">
        <v>46290</v>
      </c>
      <c r="B858" s="61" t="s">
        <v>627</v>
      </c>
      <c r="C858" s="233"/>
      <c r="D858" s="213">
        <v>16508800</v>
      </c>
      <c r="E858" s="260">
        <f t="shared" si="12"/>
        <v>86655894</v>
      </c>
      <c r="F858" s="61">
        <v>2000517</v>
      </c>
      <c r="G858" s="61" t="s">
        <v>559</v>
      </c>
      <c r="H858" s="61" t="s">
        <v>560</v>
      </c>
    </row>
    <row r="859" spans="1:8" s="2" customFormat="1" x14ac:dyDescent="0.35">
      <c r="A859" s="195">
        <v>46290</v>
      </c>
      <c r="B859" s="61" t="s">
        <v>599</v>
      </c>
      <c r="C859" s="233"/>
      <c r="D859" s="213">
        <v>11644600</v>
      </c>
      <c r="E859" s="260">
        <f t="shared" si="12"/>
        <v>75011294</v>
      </c>
      <c r="F859" s="61">
        <v>2000516</v>
      </c>
      <c r="G859" s="61" t="s">
        <v>559</v>
      </c>
      <c r="H859" s="61" t="s">
        <v>560</v>
      </c>
    </row>
    <row r="860" spans="1:8" s="2" customFormat="1" x14ac:dyDescent="0.35">
      <c r="A860" s="195">
        <v>46290</v>
      </c>
      <c r="B860" s="61" t="s">
        <v>588</v>
      </c>
      <c r="C860" s="233"/>
      <c r="D860" s="213">
        <v>16979600</v>
      </c>
      <c r="E860" s="260">
        <f t="shared" si="12"/>
        <v>58031694</v>
      </c>
      <c r="F860" s="61">
        <v>2000518</v>
      </c>
      <c r="G860" s="61" t="s">
        <v>559</v>
      </c>
      <c r="H860" s="61" t="s">
        <v>560</v>
      </c>
    </row>
    <row r="861" spans="1:8" s="2" customFormat="1" x14ac:dyDescent="0.35">
      <c r="A861" s="195">
        <v>46290</v>
      </c>
      <c r="B861" s="61" t="s">
        <v>609</v>
      </c>
      <c r="C861" s="233"/>
      <c r="D861" s="213">
        <v>759000</v>
      </c>
      <c r="E861" s="260">
        <f t="shared" si="12"/>
        <v>57272694</v>
      </c>
      <c r="F861" s="61">
        <v>2000519</v>
      </c>
      <c r="G861" s="61" t="s">
        <v>559</v>
      </c>
      <c r="H861" s="61" t="s">
        <v>560</v>
      </c>
    </row>
    <row r="862" spans="1:8" s="2" customFormat="1" x14ac:dyDescent="0.35">
      <c r="A862" s="195">
        <v>46293</v>
      </c>
      <c r="B862" s="61" t="s">
        <v>631</v>
      </c>
      <c r="C862" s="233"/>
      <c r="D862" s="213">
        <v>1000000</v>
      </c>
      <c r="E862" s="260">
        <f t="shared" si="12"/>
        <v>56272694</v>
      </c>
      <c r="F862" s="61">
        <v>2000521</v>
      </c>
      <c r="G862" s="61" t="s">
        <v>632</v>
      </c>
      <c r="H862" s="61" t="s">
        <v>438</v>
      </c>
    </row>
    <row r="863" spans="1:8" s="2" customFormat="1" x14ac:dyDescent="0.35">
      <c r="A863" s="195">
        <v>46294</v>
      </c>
      <c r="B863" s="61" t="s">
        <v>38</v>
      </c>
      <c r="C863" s="233">
        <v>350000000</v>
      </c>
      <c r="D863" s="213"/>
      <c r="E863" s="260">
        <f t="shared" ref="E863:E926" si="13">E862+C863-D863</f>
        <v>406272694</v>
      </c>
      <c r="F863" s="61"/>
      <c r="G863" s="61"/>
      <c r="H863" s="61" t="s">
        <v>176</v>
      </c>
    </row>
    <row r="864" spans="1:8" s="2" customFormat="1" x14ac:dyDescent="0.35">
      <c r="A864" s="195">
        <v>46294</v>
      </c>
      <c r="B864" s="61" t="s">
        <v>213</v>
      </c>
      <c r="C864" s="233"/>
      <c r="D864" s="213">
        <f>+C863*0.5%</f>
        <v>1750000</v>
      </c>
      <c r="E864" s="260">
        <f t="shared" si="13"/>
        <v>404522694</v>
      </c>
      <c r="F864" s="61"/>
      <c r="G864" s="61"/>
      <c r="H864" s="61" t="s">
        <v>37</v>
      </c>
    </row>
    <row r="865" spans="1:8" s="2" customFormat="1" x14ac:dyDescent="0.35">
      <c r="A865" s="195">
        <v>46294</v>
      </c>
      <c r="B865" s="61" t="s">
        <v>37</v>
      </c>
      <c r="C865" s="233"/>
      <c r="D865" s="213">
        <f>0.1%*C863</f>
        <v>350000</v>
      </c>
      <c r="E865" s="260">
        <f t="shared" si="13"/>
        <v>404172694</v>
      </c>
      <c r="F865" s="61"/>
      <c r="G865" s="61"/>
      <c r="H865" s="61" t="s">
        <v>37</v>
      </c>
    </row>
    <row r="866" spans="1:8" s="2" customFormat="1" x14ac:dyDescent="0.35">
      <c r="A866" s="195">
        <v>46294</v>
      </c>
      <c r="B866" s="61" t="s">
        <v>37</v>
      </c>
      <c r="C866" s="233"/>
      <c r="D866" s="213">
        <f>10%*D864</f>
        <v>175000</v>
      </c>
      <c r="E866" s="260">
        <f t="shared" si="13"/>
        <v>403997694</v>
      </c>
      <c r="F866" s="61"/>
      <c r="G866" s="61"/>
      <c r="H866" s="61" t="s">
        <v>37</v>
      </c>
    </row>
    <row r="867" spans="1:8" s="2" customFormat="1" x14ac:dyDescent="0.35">
      <c r="A867" s="195">
        <v>46294</v>
      </c>
      <c r="B867" s="61" t="s">
        <v>625</v>
      </c>
      <c r="C867" s="233"/>
      <c r="D867" s="213">
        <v>16658400</v>
      </c>
      <c r="E867" s="260">
        <f t="shared" si="13"/>
        <v>387339294</v>
      </c>
      <c r="F867" s="61">
        <v>2000522</v>
      </c>
      <c r="G867" s="61" t="s">
        <v>559</v>
      </c>
      <c r="H867" s="61" t="s">
        <v>560</v>
      </c>
    </row>
    <row r="868" spans="1:8" s="2" customFormat="1" x14ac:dyDescent="0.35">
      <c r="A868" s="195">
        <v>46294</v>
      </c>
      <c r="B868" s="61" t="s">
        <v>583</v>
      </c>
      <c r="C868" s="233"/>
      <c r="D868" s="213">
        <v>16726000</v>
      </c>
      <c r="E868" s="260">
        <f t="shared" si="13"/>
        <v>370613294</v>
      </c>
      <c r="F868" s="61">
        <v>2000523</v>
      </c>
      <c r="G868" s="61" t="s">
        <v>559</v>
      </c>
      <c r="H868" s="61" t="s">
        <v>560</v>
      </c>
    </row>
    <row r="869" spans="1:8" s="2" customFormat="1" x14ac:dyDescent="0.35">
      <c r="A869" s="195">
        <v>46294</v>
      </c>
      <c r="B869" s="61" t="s">
        <v>260</v>
      </c>
      <c r="C869" s="233"/>
      <c r="D869" s="213">
        <v>12000000</v>
      </c>
      <c r="E869" s="260">
        <f t="shared" si="13"/>
        <v>358613294</v>
      </c>
      <c r="F869" s="61">
        <v>2000524</v>
      </c>
      <c r="G869" s="61" t="s">
        <v>559</v>
      </c>
      <c r="H869" s="61" t="s">
        <v>560</v>
      </c>
    </row>
    <row r="870" spans="1:8" s="2" customFormat="1" x14ac:dyDescent="0.35">
      <c r="A870" s="195">
        <v>46294</v>
      </c>
      <c r="B870" s="61" t="s">
        <v>25</v>
      </c>
      <c r="C870" s="233"/>
      <c r="D870" s="213">
        <v>10000000</v>
      </c>
      <c r="E870" s="260">
        <f t="shared" si="13"/>
        <v>348613294</v>
      </c>
      <c r="F870" s="61">
        <v>2000525</v>
      </c>
      <c r="G870" s="61" t="s">
        <v>521</v>
      </c>
      <c r="H870" s="61" t="s">
        <v>440</v>
      </c>
    </row>
    <row r="871" spans="1:8" s="2" customFormat="1" x14ac:dyDescent="0.35">
      <c r="A871" s="195">
        <v>46294</v>
      </c>
      <c r="B871" s="61" t="s">
        <v>633</v>
      </c>
      <c r="C871" s="233"/>
      <c r="D871" s="213">
        <v>6505760</v>
      </c>
      <c r="E871" s="260">
        <f t="shared" si="13"/>
        <v>342107534</v>
      </c>
      <c r="F871" s="61">
        <v>2000526</v>
      </c>
      <c r="G871" s="61" t="s">
        <v>559</v>
      </c>
      <c r="H871" s="61" t="s">
        <v>560</v>
      </c>
    </row>
    <row r="872" spans="1:8" s="2" customFormat="1" x14ac:dyDescent="0.35">
      <c r="A872" s="195">
        <v>46294</v>
      </c>
      <c r="B872" s="61" t="s">
        <v>633</v>
      </c>
      <c r="C872" s="233"/>
      <c r="D872" s="213">
        <v>4740960</v>
      </c>
      <c r="E872" s="260">
        <f t="shared" si="13"/>
        <v>337366574</v>
      </c>
      <c r="F872" s="61">
        <v>2000527</v>
      </c>
      <c r="G872" s="61" t="s">
        <v>559</v>
      </c>
      <c r="H872" s="61" t="s">
        <v>560</v>
      </c>
    </row>
    <row r="873" spans="1:8" s="2" customFormat="1" x14ac:dyDescent="0.35">
      <c r="A873" s="195">
        <v>46294</v>
      </c>
      <c r="B873" s="61" t="s">
        <v>604</v>
      </c>
      <c r="C873" s="233"/>
      <c r="D873" s="213">
        <v>16600000</v>
      </c>
      <c r="E873" s="260">
        <f t="shared" si="13"/>
        <v>320766574</v>
      </c>
      <c r="F873" s="61">
        <v>2000528</v>
      </c>
      <c r="G873" s="61" t="s">
        <v>559</v>
      </c>
      <c r="H873" s="61" t="s">
        <v>560</v>
      </c>
    </row>
    <row r="874" spans="1:8" s="2" customFormat="1" x14ac:dyDescent="0.35">
      <c r="A874" s="195">
        <v>46295</v>
      </c>
      <c r="B874" s="61" t="s">
        <v>628</v>
      </c>
      <c r="C874" s="233"/>
      <c r="D874" s="213">
        <v>60000000</v>
      </c>
      <c r="E874" s="260">
        <f t="shared" si="13"/>
        <v>260766574</v>
      </c>
      <c r="F874" s="61">
        <v>2000539</v>
      </c>
      <c r="G874" s="61" t="s">
        <v>616</v>
      </c>
      <c r="H874" s="61" t="s">
        <v>438</v>
      </c>
    </row>
    <row r="875" spans="1:8" s="2" customFormat="1" x14ac:dyDescent="0.35">
      <c r="A875" s="195">
        <v>46295</v>
      </c>
      <c r="B875" s="61" t="s">
        <v>260</v>
      </c>
      <c r="C875" s="233"/>
      <c r="D875" s="213">
        <v>12964200</v>
      </c>
      <c r="E875" s="260">
        <f t="shared" si="13"/>
        <v>247802374</v>
      </c>
      <c r="F875" s="61">
        <v>2000531</v>
      </c>
      <c r="G875" s="61" t="s">
        <v>559</v>
      </c>
      <c r="H875" s="61" t="s">
        <v>560</v>
      </c>
    </row>
    <row r="876" spans="1:8" s="2" customFormat="1" x14ac:dyDescent="0.35">
      <c r="A876" s="195">
        <v>46295</v>
      </c>
      <c r="B876" s="61" t="s">
        <v>638</v>
      </c>
      <c r="C876" s="233"/>
      <c r="D876" s="213">
        <v>16555700</v>
      </c>
      <c r="E876" s="260">
        <f t="shared" si="13"/>
        <v>231246674</v>
      </c>
      <c r="F876" s="61">
        <v>2000532</v>
      </c>
      <c r="G876" s="61" t="s">
        <v>559</v>
      </c>
      <c r="H876" s="61" t="s">
        <v>560</v>
      </c>
    </row>
    <row r="877" spans="1:8" s="2" customFormat="1" x14ac:dyDescent="0.35">
      <c r="A877" s="195">
        <v>46295</v>
      </c>
      <c r="B877" s="61" t="s">
        <v>14</v>
      </c>
      <c r="C877" s="233"/>
      <c r="D877" s="213">
        <v>2755880</v>
      </c>
      <c r="E877" s="260">
        <f t="shared" si="13"/>
        <v>228490794</v>
      </c>
      <c r="F877" s="61">
        <v>2000533</v>
      </c>
      <c r="G877" s="61" t="s">
        <v>608</v>
      </c>
      <c r="H877" s="61" t="s">
        <v>374</v>
      </c>
    </row>
    <row r="878" spans="1:8" s="2" customFormat="1" x14ac:dyDescent="0.35">
      <c r="A878" s="195">
        <v>46295</v>
      </c>
      <c r="B878" s="61" t="s">
        <v>634</v>
      </c>
      <c r="C878" s="233"/>
      <c r="D878" s="213">
        <v>16467000</v>
      </c>
      <c r="E878" s="260">
        <f t="shared" si="13"/>
        <v>212023794</v>
      </c>
      <c r="F878" s="61">
        <v>2000534</v>
      </c>
      <c r="G878" s="61" t="s">
        <v>559</v>
      </c>
      <c r="H878" s="61" t="s">
        <v>560</v>
      </c>
    </row>
    <row r="879" spans="1:8" s="2" customFormat="1" x14ac:dyDescent="0.35">
      <c r="A879" s="195">
        <v>46295</v>
      </c>
      <c r="B879" s="61" t="s">
        <v>635</v>
      </c>
      <c r="C879" s="233"/>
      <c r="D879" s="213">
        <v>14726600</v>
      </c>
      <c r="E879" s="260">
        <f t="shared" si="13"/>
        <v>197297194</v>
      </c>
      <c r="F879" s="61">
        <v>2000542</v>
      </c>
      <c r="G879" s="61" t="s">
        <v>559</v>
      </c>
      <c r="H879" s="61" t="s">
        <v>560</v>
      </c>
    </row>
    <row r="880" spans="1:8" s="2" customFormat="1" x14ac:dyDescent="0.35">
      <c r="A880" s="195">
        <v>46295</v>
      </c>
      <c r="B880" s="61" t="s">
        <v>639</v>
      </c>
      <c r="C880" s="233"/>
      <c r="D880" s="213">
        <v>9672400</v>
      </c>
      <c r="E880" s="260">
        <f t="shared" si="13"/>
        <v>187624794</v>
      </c>
      <c r="F880" s="61">
        <v>2000537</v>
      </c>
      <c r="G880" s="61" t="s">
        <v>559</v>
      </c>
      <c r="H880" s="61" t="s">
        <v>560</v>
      </c>
    </row>
    <row r="881" spans="1:9" s="2" customFormat="1" x14ac:dyDescent="0.35">
      <c r="A881" s="195">
        <v>46295</v>
      </c>
      <c r="B881" s="61" t="s">
        <v>640</v>
      </c>
      <c r="C881" s="233"/>
      <c r="D881" s="213">
        <v>50653200</v>
      </c>
      <c r="E881" s="260">
        <f t="shared" si="13"/>
        <v>136971594</v>
      </c>
      <c r="F881" s="61">
        <v>2000538</v>
      </c>
      <c r="G881" s="61" t="s">
        <v>559</v>
      </c>
      <c r="H881" s="61" t="s">
        <v>560</v>
      </c>
    </row>
    <row r="882" spans="1:9" s="2" customFormat="1" x14ac:dyDescent="0.35">
      <c r="A882" s="195">
        <v>46295</v>
      </c>
      <c r="B882" s="61" t="s">
        <v>54</v>
      </c>
      <c r="C882" s="233"/>
      <c r="D882" s="213">
        <v>2265647</v>
      </c>
      <c r="E882" s="260">
        <f t="shared" si="13"/>
        <v>134705947</v>
      </c>
      <c r="F882" s="61">
        <v>2000535</v>
      </c>
      <c r="G882" s="61" t="s">
        <v>641</v>
      </c>
      <c r="H882" s="61" t="s">
        <v>442</v>
      </c>
    </row>
    <row r="883" spans="1:9" s="2" customFormat="1" x14ac:dyDescent="0.35">
      <c r="A883" s="195">
        <v>46295</v>
      </c>
      <c r="B883" s="61" t="s">
        <v>54</v>
      </c>
      <c r="C883" s="233"/>
      <c r="D883" s="213">
        <v>1788871</v>
      </c>
      <c r="E883" s="260">
        <f t="shared" si="13"/>
        <v>132917076</v>
      </c>
      <c r="F883" s="61">
        <v>2000530</v>
      </c>
      <c r="G883" s="61" t="s">
        <v>642</v>
      </c>
      <c r="H883" s="61" t="s">
        <v>442</v>
      </c>
    </row>
    <row r="884" spans="1:9" s="2" customFormat="1" x14ac:dyDescent="0.35">
      <c r="A884" s="195">
        <v>46295</v>
      </c>
      <c r="B884" s="61" t="s">
        <v>604</v>
      </c>
      <c r="C884" s="233"/>
      <c r="D884" s="213">
        <v>16530140</v>
      </c>
      <c r="E884" s="260">
        <f t="shared" si="13"/>
        <v>116386936</v>
      </c>
      <c r="F884" s="61">
        <v>2000541</v>
      </c>
      <c r="G884" s="61" t="s">
        <v>559</v>
      </c>
      <c r="H884" s="61" t="s">
        <v>560</v>
      </c>
    </row>
    <row r="885" spans="1:9" s="2" customFormat="1" x14ac:dyDescent="0.35">
      <c r="A885" s="195">
        <v>46295</v>
      </c>
      <c r="B885" s="61" t="s">
        <v>633</v>
      </c>
      <c r="C885" s="233"/>
      <c r="D885" s="213">
        <v>15530960</v>
      </c>
      <c r="E885" s="260">
        <f t="shared" si="13"/>
        <v>100855976</v>
      </c>
      <c r="F885" s="61">
        <v>2000540</v>
      </c>
      <c r="G885" s="61" t="s">
        <v>559</v>
      </c>
      <c r="H885" s="61" t="s">
        <v>560</v>
      </c>
    </row>
    <row r="886" spans="1:9" s="2" customFormat="1" x14ac:dyDescent="0.35">
      <c r="A886" s="195">
        <v>46296</v>
      </c>
      <c r="B886" s="61" t="s">
        <v>9</v>
      </c>
      <c r="C886" s="233"/>
      <c r="D886" s="213">
        <v>5000</v>
      </c>
      <c r="E886" s="260">
        <f t="shared" si="13"/>
        <v>100850976</v>
      </c>
      <c r="F886" s="61"/>
      <c r="G886" s="61"/>
      <c r="H886" s="61" t="s">
        <v>9</v>
      </c>
    </row>
    <row r="887" spans="1:9" s="2" customFormat="1" x14ac:dyDescent="0.35">
      <c r="A887" s="195">
        <v>46296</v>
      </c>
      <c r="B887" s="61" t="s">
        <v>9</v>
      </c>
      <c r="C887" s="233"/>
      <c r="D887" s="213">
        <v>500</v>
      </c>
      <c r="E887" s="260">
        <f t="shared" si="13"/>
        <v>100850476</v>
      </c>
      <c r="F887" s="61"/>
      <c r="G887" s="61"/>
      <c r="H887" s="61" t="s">
        <v>9</v>
      </c>
    </row>
    <row r="888" spans="1:9" s="2" customFormat="1" x14ac:dyDescent="0.35">
      <c r="A888" s="195">
        <v>46296</v>
      </c>
      <c r="B888" s="61" t="s">
        <v>54</v>
      </c>
      <c r="C888" s="233"/>
      <c r="D888" s="213">
        <v>2298556</v>
      </c>
      <c r="E888" s="260">
        <f t="shared" si="13"/>
        <v>98551920</v>
      </c>
      <c r="F888" s="61"/>
      <c r="G888" s="61" t="s">
        <v>643</v>
      </c>
      <c r="H888" s="61" t="s">
        <v>442</v>
      </c>
    </row>
    <row r="889" spans="1:9" s="2" customFormat="1" x14ac:dyDescent="0.35">
      <c r="A889" s="195">
        <v>46296</v>
      </c>
      <c r="B889" s="61" t="s">
        <v>418</v>
      </c>
      <c r="C889" s="233"/>
      <c r="D889" s="213">
        <v>3000000</v>
      </c>
      <c r="E889" s="260">
        <f t="shared" si="13"/>
        <v>95551920</v>
      </c>
      <c r="F889" s="61">
        <v>2000543</v>
      </c>
      <c r="G889" s="61" t="s">
        <v>636</v>
      </c>
      <c r="H889" s="61" t="s">
        <v>450</v>
      </c>
    </row>
    <row r="890" spans="1:9" s="2" customFormat="1" x14ac:dyDescent="0.35">
      <c r="A890" s="195">
        <v>46296</v>
      </c>
      <c r="B890" s="61" t="s">
        <v>592</v>
      </c>
      <c r="C890" s="233"/>
      <c r="D890" s="213">
        <v>12625800</v>
      </c>
      <c r="E890" s="260">
        <f t="shared" si="13"/>
        <v>82926120</v>
      </c>
      <c r="F890" s="61">
        <v>2000536</v>
      </c>
      <c r="G890" s="61" t="s">
        <v>559</v>
      </c>
      <c r="H890" s="61" t="s">
        <v>560</v>
      </c>
    </row>
    <row r="891" spans="1:9" s="2" customFormat="1" x14ac:dyDescent="0.35">
      <c r="A891" s="195">
        <v>46297</v>
      </c>
      <c r="B891" s="61" t="s">
        <v>54</v>
      </c>
      <c r="C891" s="233"/>
      <c r="D891" s="213">
        <v>1928700</v>
      </c>
      <c r="E891" s="260">
        <f t="shared" si="13"/>
        <v>80997420</v>
      </c>
      <c r="F891" s="61"/>
      <c r="G891" s="61" t="s">
        <v>644</v>
      </c>
      <c r="H891" s="61" t="s">
        <v>442</v>
      </c>
    </row>
    <row r="892" spans="1:9" s="2" customFormat="1" x14ac:dyDescent="0.35">
      <c r="A892" s="195">
        <v>46297</v>
      </c>
      <c r="B892" s="61" t="s">
        <v>637</v>
      </c>
      <c r="C892" s="233"/>
      <c r="D892" s="213">
        <v>50000000</v>
      </c>
      <c r="E892" s="260">
        <f t="shared" si="13"/>
        <v>30997420</v>
      </c>
      <c r="F892" s="61">
        <v>2000544</v>
      </c>
      <c r="G892" s="61" t="s">
        <v>122</v>
      </c>
      <c r="H892" s="61" t="s">
        <v>449</v>
      </c>
    </row>
    <row r="893" spans="1:9" s="2" customFormat="1" x14ac:dyDescent="0.35">
      <c r="A893" s="195">
        <v>46298</v>
      </c>
      <c r="B893" s="61" t="s">
        <v>54</v>
      </c>
      <c r="C893" s="233"/>
      <c r="D893" s="213">
        <v>2302301</v>
      </c>
      <c r="E893" s="260">
        <f t="shared" si="13"/>
        <v>28695119</v>
      </c>
      <c r="F893" s="61"/>
      <c r="G893" s="61" t="s">
        <v>645</v>
      </c>
      <c r="H893" s="61" t="s">
        <v>442</v>
      </c>
    </row>
    <row r="894" spans="1:9" s="2" customFormat="1" x14ac:dyDescent="0.35">
      <c r="A894" s="195">
        <v>46300</v>
      </c>
      <c r="B894" s="61" t="s">
        <v>8</v>
      </c>
      <c r="C894" s="233">
        <v>405413896</v>
      </c>
      <c r="D894" s="213"/>
      <c r="E894" s="260">
        <f t="shared" si="13"/>
        <v>434109015</v>
      </c>
      <c r="F894" s="61"/>
      <c r="G894" s="61" t="s">
        <v>660</v>
      </c>
      <c r="H894" s="61" t="s">
        <v>430</v>
      </c>
      <c r="I894" s="2">
        <v>69859</v>
      </c>
    </row>
    <row r="895" spans="1:9" s="2" customFormat="1" x14ac:dyDescent="0.35">
      <c r="A895" s="195">
        <v>46301</v>
      </c>
      <c r="B895" s="61" t="s">
        <v>8</v>
      </c>
      <c r="C895" s="233">
        <v>213395000</v>
      </c>
      <c r="D895" s="213"/>
      <c r="E895" s="260">
        <f t="shared" si="13"/>
        <v>647504015</v>
      </c>
      <c r="F895" s="61"/>
      <c r="G895" s="61" t="s">
        <v>668</v>
      </c>
      <c r="H895" s="61" t="s">
        <v>430</v>
      </c>
    </row>
    <row r="896" spans="1:9" s="2" customFormat="1" x14ac:dyDescent="0.35">
      <c r="A896" s="195">
        <v>46301</v>
      </c>
      <c r="B896" s="61" t="s">
        <v>54</v>
      </c>
      <c r="C896" s="233"/>
      <c r="D896" s="213">
        <v>2332321</v>
      </c>
      <c r="E896" s="260">
        <f t="shared" si="13"/>
        <v>645171694</v>
      </c>
      <c r="F896" s="61"/>
      <c r="G896" s="61" t="s">
        <v>646</v>
      </c>
      <c r="H896" s="61" t="s">
        <v>442</v>
      </c>
    </row>
    <row r="897" spans="1:8" s="2" customFormat="1" x14ac:dyDescent="0.35">
      <c r="A897" s="195">
        <v>46301</v>
      </c>
      <c r="B897" s="61" t="s">
        <v>54</v>
      </c>
      <c r="C897" s="233"/>
      <c r="D897" s="213">
        <v>136349</v>
      </c>
      <c r="E897" s="260">
        <f t="shared" si="13"/>
        <v>645035345</v>
      </c>
      <c r="F897" s="61"/>
      <c r="G897" s="61" t="s">
        <v>642</v>
      </c>
      <c r="H897" s="61" t="s">
        <v>442</v>
      </c>
    </row>
    <row r="898" spans="1:8" s="2" customFormat="1" x14ac:dyDescent="0.35">
      <c r="A898" s="195">
        <v>46301</v>
      </c>
      <c r="B898" s="61" t="s">
        <v>333</v>
      </c>
      <c r="C898" s="233"/>
      <c r="D898" s="213">
        <v>13886400</v>
      </c>
      <c r="E898" s="260">
        <f t="shared" si="13"/>
        <v>631148945</v>
      </c>
      <c r="F898" s="61">
        <v>2000545</v>
      </c>
      <c r="G898" s="61" t="s">
        <v>559</v>
      </c>
      <c r="H898" s="61" t="s">
        <v>651</v>
      </c>
    </row>
    <row r="899" spans="1:8" s="2" customFormat="1" x14ac:dyDescent="0.35">
      <c r="A899" s="195">
        <v>46301</v>
      </c>
      <c r="B899" s="61" t="s">
        <v>604</v>
      </c>
      <c r="C899" s="233"/>
      <c r="D899" s="213">
        <v>15278960</v>
      </c>
      <c r="E899" s="260">
        <f t="shared" si="13"/>
        <v>615869985</v>
      </c>
      <c r="F899" s="61">
        <v>2000546</v>
      </c>
      <c r="G899" s="61" t="s">
        <v>559</v>
      </c>
      <c r="H899" s="61" t="s">
        <v>651</v>
      </c>
    </row>
    <row r="900" spans="1:8" s="2" customFormat="1" x14ac:dyDescent="0.35">
      <c r="A900" s="195">
        <v>46301</v>
      </c>
      <c r="B900" s="61" t="s">
        <v>624</v>
      </c>
      <c r="C900" s="233"/>
      <c r="D900" s="213">
        <v>13259400</v>
      </c>
      <c r="E900" s="260">
        <f t="shared" si="13"/>
        <v>602610585</v>
      </c>
      <c r="F900" s="61">
        <v>2000548</v>
      </c>
      <c r="G900" s="61" t="s">
        <v>559</v>
      </c>
      <c r="H900" s="61" t="s">
        <v>651</v>
      </c>
    </row>
    <row r="901" spans="1:8" s="2" customFormat="1" x14ac:dyDescent="0.35">
      <c r="A901" s="195">
        <v>46301</v>
      </c>
      <c r="B901" s="61" t="s">
        <v>647</v>
      </c>
      <c r="C901" s="233"/>
      <c r="D901" s="213">
        <v>17074200</v>
      </c>
      <c r="E901" s="260">
        <f t="shared" si="13"/>
        <v>585536385</v>
      </c>
      <c r="F901" s="61">
        <v>2000547</v>
      </c>
      <c r="G901" s="61" t="s">
        <v>559</v>
      </c>
      <c r="H901" s="61" t="s">
        <v>651</v>
      </c>
    </row>
    <row r="902" spans="1:8" s="2" customFormat="1" x14ac:dyDescent="0.35">
      <c r="A902" s="195">
        <v>46301</v>
      </c>
      <c r="B902" s="61" t="s">
        <v>585</v>
      </c>
      <c r="C902" s="233"/>
      <c r="D902" s="213">
        <v>9999840</v>
      </c>
      <c r="E902" s="260">
        <f t="shared" si="13"/>
        <v>575536545</v>
      </c>
      <c r="F902" s="61">
        <v>2000549</v>
      </c>
      <c r="G902" s="61" t="s">
        <v>559</v>
      </c>
      <c r="H902" s="61" t="s">
        <v>651</v>
      </c>
    </row>
    <row r="903" spans="1:8" s="2" customFormat="1" x14ac:dyDescent="0.35">
      <c r="A903" s="195">
        <v>46301</v>
      </c>
      <c r="B903" s="61" t="s">
        <v>260</v>
      </c>
      <c r="C903" s="233"/>
      <c r="D903" s="213">
        <v>5000000</v>
      </c>
      <c r="E903" s="260">
        <f t="shared" si="13"/>
        <v>570536545</v>
      </c>
      <c r="F903" s="61">
        <v>2000550</v>
      </c>
      <c r="G903" s="61" t="s">
        <v>559</v>
      </c>
      <c r="H903" s="61" t="s">
        <v>651</v>
      </c>
    </row>
    <row r="904" spans="1:8" s="2" customFormat="1" x14ac:dyDescent="0.35">
      <c r="A904" s="195">
        <v>46301</v>
      </c>
      <c r="B904" s="61" t="s">
        <v>267</v>
      </c>
      <c r="C904" s="233"/>
      <c r="D904" s="213">
        <v>4778400</v>
      </c>
      <c r="E904" s="260">
        <f t="shared" si="13"/>
        <v>565758145</v>
      </c>
      <c r="F904" s="61">
        <v>2000601</v>
      </c>
      <c r="G904" s="61" t="s">
        <v>559</v>
      </c>
      <c r="H904" s="61" t="s">
        <v>651</v>
      </c>
    </row>
    <row r="905" spans="1:8" s="2" customFormat="1" x14ac:dyDescent="0.35">
      <c r="A905" s="195">
        <v>46301</v>
      </c>
      <c r="B905" s="61" t="s">
        <v>476</v>
      </c>
      <c r="C905" s="233"/>
      <c r="D905" s="213">
        <v>3466756</v>
      </c>
      <c r="E905" s="260">
        <f t="shared" si="13"/>
        <v>562291389</v>
      </c>
      <c r="F905" s="61">
        <v>2000603</v>
      </c>
      <c r="G905" s="61" t="s">
        <v>608</v>
      </c>
      <c r="H905" s="61" t="s">
        <v>650</v>
      </c>
    </row>
    <row r="906" spans="1:8" s="2" customFormat="1" x14ac:dyDescent="0.35">
      <c r="A906" s="195">
        <v>46302</v>
      </c>
      <c r="B906" s="61" t="s">
        <v>584</v>
      </c>
      <c r="C906" s="233"/>
      <c r="D906" s="213">
        <v>500000</v>
      </c>
      <c r="E906" s="260">
        <f t="shared" si="13"/>
        <v>561791389</v>
      </c>
      <c r="F906" s="61">
        <v>2000606</v>
      </c>
      <c r="G906" s="61" t="s">
        <v>559</v>
      </c>
      <c r="H906" s="61" t="s">
        <v>651</v>
      </c>
    </row>
    <row r="907" spans="1:8" s="2" customFormat="1" x14ac:dyDescent="0.35">
      <c r="A907" s="195">
        <v>46302</v>
      </c>
      <c r="B907" s="61" t="s">
        <v>260</v>
      </c>
      <c r="C907" s="233"/>
      <c r="D907" s="213">
        <v>15724900</v>
      </c>
      <c r="E907" s="260">
        <f t="shared" si="13"/>
        <v>546066489</v>
      </c>
      <c r="F907" s="61">
        <v>2000607</v>
      </c>
      <c r="G907" s="61" t="s">
        <v>559</v>
      </c>
      <c r="H907" s="61" t="s">
        <v>651</v>
      </c>
    </row>
    <row r="908" spans="1:8" s="2" customFormat="1" x14ac:dyDescent="0.35">
      <c r="A908" s="195">
        <v>46302</v>
      </c>
      <c r="B908" s="61" t="s">
        <v>595</v>
      </c>
      <c r="C908" s="233"/>
      <c r="D908" s="213">
        <v>17074200</v>
      </c>
      <c r="E908" s="260">
        <f t="shared" si="13"/>
        <v>528992289</v>
      </c>
      <c r="F908" s="61">
        <v>2000608</v>
      </c>
      <c r="G908" s="61" t="s">
        <v>559</v>
      </c>
      <c r="H908" s="61" t="s">
        <v>651</v>
      </c>
    </row>
    <row r="909" spans="1:8" s="2" customFormat="1" x14ac:dyDescent="0.35">
      <c r="A909" s="195">
        <v>46302</v>
      </c>
      <c r="B909" s="61" t="s">
        <v>588</v>
      </c>
      <c r="C909" s="233"/>
      <c r="D909" s="213">
        <v>16809600</v>
      </c>
      <c r="E909" s="260">
        <f t="shared" si="13"/>
        <v>512182689</v>
      </c>
      <c r="F909" s="61">
        <v>2000610</v>
      </c>
      <c r="G909" s="61" t="s">
        <v>559</v>
      </c>
      <c r="H909" s="61" t="s">
        <v>651</v>
      </c>
    </row>
    <row r="910" spans="1:8" s="2" customFormat="1" x14ac:dyDescent="0.35">
      <c r="A910" s="195">
        <v>46302</v>
      </c>
      <c r="B910" s="61" t="s">
        <v>654</v>
      </c>
      <c r="C910" s="233"/>
      <c r="D910" s="213">
        <v>3530000</v>
      </c>
      <c r="E910" s="260">
        <f t="shared" si="13"/>
        <v>508652689</v>
      </c>
      <c r="F910" s="61" t="s">
        <v>503</v>
      </c>
      <c r="G910" s="61"/>
      <c r="H910" s="61" t="s">
        <v>650</v>
      </c>
    </row>
    <row r="911" spans="1:8" s="2" customFormat="1" x14ac:dyDescent="0.35">
      <c r="A911" s="195">
        <v>46302</v>
      </c>
      <c r="B911" s="61" t="s">
        <v>9</v>
      </c>
      <c r="C911" s="233"/>
      <c r="D911" s="213">
        <v>5000</v>
      </c>
      <c r="E911" s="260">
        <f t="shared" si="13"/>
        <v>508647689</v>
      </c>
      <c r="F911" s="61"/>
      <c r="G911" s="61"/>
      <c r="H911" s="61" t="s">
        <v>9</v>
      </c>
    </row>
    <row r="912" spans="1:8" s="2" customFormat="1" x14ac:dyDescent="0.35">
      <c r="A912" s="195">
        <v>46302</v>
      </c>
      <c r="B912" s="61" t="s">
        <v>9</v>
      </c>
      <c r="C912" s="233"/>
      <c r="D912" s="213">
        <v>500</v>
      </c>
      <c r="E912" s="260">
        <f t="shared" si="13"/>
        <v>508647189</v>
      </c>
      <c r="F912" s="61"/>
      <c r="G912" s="61"/>
      <c r="H912" s="61" t="s">
        <v>9</v>
      </c>
    </row>
    <row r="913" spans="1:9" s="2" customFormat="1" x14ac:dyDescent="0.35">
      <c r="A913" s="195">
        <v>46302</v>
      </c>
      <c r="B913" s="61" t="s">
        <v>653</v>
      </c>
      <c r="C913" s="233"/>
      <c r="D913" s="213">
        <v>5000000</v>
      </c>
      <c r="E913" s="260">
        <f t="shared" si="13"/>
        <v>503647189</v>
      </c>
      <c r="F913" s="61">
        <v>2000611</v>
      </c>
      <c r="G913" s="61" t="s">
        <v>655</v>
      </c>
      <c r="H913" s="61" t="s">
        <v>450</v>
      </c>
    </row>
    <row r="914" spans="1:9" s="2" customFormat="1" x14ac:dyDescent="0.35">
      <c r="A914" s="195">
        <v>46302</v>
      </c>
      <c r="B914" s="61" t="s">
        <v>653</v>
      </c>
      <c r="C914" s="233"/>
      <c r="D914" s="213">
        <v>3800000</v>
      </c>
      <c r="E914" s="260">
        <f t="shared" si="13"/>
        <v>499847189</v>
      </c>
      <c r="F914" s="61">
        <v>2000612</v>
      </c>
      <c r="G914" s="61" t="s">
        <v>656</v>
      </c>
      <c r="H914" s="61" t="s">
        <v>450</v>
      </c>
    </row>
    <row r="915" spans="1:9" s="2" customFormat="1" x14ac:dyDescent="0.35">
      <c r="A915" s="195">
        <v>46302</v>
      </c>
      <c r="B915" s="61" t="s">
        <v>653</v>
      </c>
      <c r="C915" s="233"/>
      <c r="D915" s="213">
        <v>1000000</v>
      </c>
      <c r="E915" s="260">
        <f t="shared" si="13"/>
        <v>498847189</v>
      </c>
      <c r="F915" s="61">
        <v>2000613</v>
      </c>
      <c r="G915" s="61" t="s">
        <v>657</v>
      </c>
      <c r="H915" s="61" t="s">
        <v>450</v>
      </c>
    </row>
    <row r="916" spans="1:9" s="2" customFormat="1" x14ac:dyDescent="0.35">
      <c r="A916" s="195">
        <v>46302</v>
      </c>
      <c r="B916" s="61" t="s">
        <v>628</v>
      </c>
      <c r="C916" s="233"/>
      <c r="D916" s="213">
        <v>90000000</v>
      </c>
      <c r="E916" s="260">
        <f t="shared" si="13"/>
        <v>408847189</v>
      </c>
      <c r="F916" s="61"/>
      <c r="G916" s="61" t="s">
        <v>616</v>
      </c>
      <c r="H916" s="61" t="s">
        <v>438</v>
      </c>
    </row>
    <row r="917" spans="1:9" s="2" customFormat="1" x14ac:dyDescent="0.35">
      <c r="A917" s="195">
        <v>46303</v>
      </c>
      <c r="B917" s="61" t="s">
        <v>604</v>
      </c>
      <c r="C917" s="233"/>
      <c r="D917" s="213">
        <v>16546200</v>
      </c>
      <c r="E917" s="260">
        <f t="shared" si="13"/>
        <v>392300989</v>
      </c>
      <c r="F917" s="61"/>
      <c r="G917" s="61" t="s">
        <v>559</v>
      </c>
      <c r="H917" s="61" t="s">
        <v>651</v>
      </c>
      <c r="I917" s="174"/>
    </row>
    <row r="918" spans="1:9" s="2" customFormat="1" x14ac:dyDescent="0.35">
      <c r="A918" s="195">
        <v>46303</v>
      </c>
      <c r="B918" s="61" t="s">
        <v>54</v>
      </c>
      <c r="C918" s="233"/>
      <c r="D918" s="213">
        <v>2343183</v>
      </c>
      <c r="E918" s="260">
        <f t="shared" si="13"/>
        <v>389957806</v>
      </c>
      <c r="F918" s="61"/>
      <c r="G918" s="61" t="s">
        <v>659</v>
      </c>
      <c r="H918" s="61" t="s">
        <v>442</v>
      </c>
    </row>
    <row r="919" spans="1:9" s="2" customFormat="1" x14ac:dyDescent="0.35">
      <c r="A919" s="195">
        <v>46303</v>
      </c>
      <c r="B919" s="61" t="s">
        <v>54</v>
      </c>
      <c r="C919" s="233"/>
      <c r="D919" s="213">
        <v>56250</v>
      </c>
      <c r="E919" s="260">
        <f t="shared" si="13"/>
        <v>389901556</v>
      </c>
      <c r="F919" s="61"/>
      <c r="G919" s="61" t="s">
        <v>658</v>
      </c>
      <c r="H919" s="61" t="s">
        <v>442</v>
      </c>
    </row>
    <row r="920" spans="1:9" s="2" customFormat="1" x14ac:dyDescent="0.35">
      <c r="A920" s="195">
        <v>46303</v>
      </c>
      <c r="B920" s="61" t="s">
        <v>410</v>
      </c>
      <c r="C920" s="233"/>
      <c r="D920" s="213">
        <v>349500</v>
      </c>
      <c r="E920" s="260">
        <f t="shared" si="13"/>
        <v>389552056</v>
      </c>
      <c r="F920" s="61"/>
      <c r="G920" s="61" t="s">
        <v>664</v>
      </c>
      <c r="H920" s="61" t="s">
        <v>650</v>
      </c>
    </row>
    <row r="921" spans="1:9" s="2" customFormat="1" x14ac:dyDescent="0.35">
      <c r="A921" s="195">
        <v>46303</v>
      </c>
      <c r="B921" s="61" t="s">
        <v>661</v>
      </c>
      <c r="C921" s="233"/>
      <c r="D921" s="213">
        <v>247250</v>
      </c>
      <c r="E921" s="260">
        <f t="shared" si="13"/>
        <v>389304806</v>
      </c>
      <c r="F921" s="61"/>
      <c r="G921" s="61" t="s">
        <v>665</v>
      </c>
      <c r="H921" s="61" t="s">
        <v>650</v>
      </c>
    </row>
    <row r="922" spans="1:9" s="2" customFormat="1" x14ac:dyDescent="0.35">
      <c r="A922" s="195">
        <v>46303</v>
      </c>
      <c r="B922" s="61" t="s">
        <v>662</v>
      </c>
      <c r="C922" s="233"/>
      <c r="D922" s="213">
        <v>5000000</v>
      </c>
      <c r="E922" s="260">
        <f t="shared" si="13"/>
        <v>384304806</v>
      </c>
      <c r="F922" s="61"/>
      <c r="G922" s="61" t="s">
        <v>559</v>
      </c>
      <c r="H922" s="61" t="s">
        <v>651</v>
      </c>
    </row>
    <row r="923" spans="1:9" s="2" customFormat="1" x14ac:dyDescent="0.35">
      <c r="A923" s="195">
        <v>46303</v>
      </c>
      <c r="B923" s="61" t="s">
        <v>663</v>
      </c>
      <c r="C923" s="233"/>
      <c r="D923" s="213">
        <v>270000</v>
      </c>
      <c r="E923" s="260">
        <f t="shared" si="13"/>
        <v>384034806</v>
      </c>
      <c r="F923" s="61"/>
      <c r="G923" s="61" t="s">
        <v>666</v>
      </c>
      <c r="H923" s="61" t="s">
        <v>650</v>
      </c>
    </row>
    <row r="924" spans="1:9" s="2" customFormat="1" x14ac:dyDescent="0.35">
      <c r="A924" s="195">
        <v>46303</v>
      </c>
      <c r="B924" s="61" t="s">
        <v>54</v>
      </c>
      <c r="C924" s="233"/>
      <c r="D924" s="213">
        <v>1932222</v>
      </c>
      <c r="E924" s="260">
        <f t="shared" si="13"/>
        <v>382102584</v>
      </c>
      <c r="F924" s="61"/>
      <c r="G924" s="61" t="s">
        <v>667</v>
      </c>
      <c r="H924" s="61" t="s">
        <v>442</v>
      </c>
    </row>
    <row r="925" spans="1:9" s="2" customFormat="1" x14ac:dyDescent="0.35">
      <c r="A925" s="195">
        <v>46304</v>
      </c>
      <c r="B925" s="61" t="s">
        <v>54</v>
      </c>
      <c r="C925" s="233"/>
      <c r="D925" s="213">
        <v>60000</v>
      </c>
      <c r="E925" s="260">
        <f t="shared" si="13"/>
        <v>382042584</v>
      </c>
      <c r="F925" s="61"/>
      <c r="G925" s="61" t="s">
        <v>669</v>
      </c>
      <c r="H925" s="61" t="s">
        <v>442</v>
      </c>
    </row>
    <row r="926" spans="1:9" s="169" customFormat="1" x14ac:dyDescent="0.35">
      <c r="A926" s="205">
        <v>46304</v>
      </c>
      <c r="B926" s="168" t="s">
        <v>676</v>
      </c>
      <c r="C926" s="245"/>
      <c r="D926" s="224">
        <v>1388889</v>
      </c>
      <c r="E926" s="260">
        <f t="shared" si="13"/>
        <v>380653695</v>
      </c>
      <c r="F926" s="168"/>
      <c r="G926" s="168"/>
      <c r="H926" s="168" t="s">
        <v>37</v>
      </c>
    </row>
    <row r="927" spans="1:9" s="169" customFormat="1" x14ac:dyDescent="0.35">
      <c r="A927" s="205">
        <v>46304</v>
      </c>
      <c r="B927" s="178" t="s">
        <v>677</v>
      </c>
      <c r="C927" s="246"/>
      <c r="D927" s="225">
        <v>138889</v>
      </c>
      <c r="E927" s="260">
        <f t="shared" ref="E927:E937" si="14">E926+C927-D927</f>
        <v>380514806</v>
      </c>
      <c r="F927" s="178"/>
      <c r="G927" s="178"/>
      <c r="H927" s="178" t="s">
        <v>37</v>
      </c>
    </row>
    <row r="928" spans="1:9" x14ac:dyDescent="0.35">
      <c r="A928" s="202">
        <v>46301</v>
      </c>
      <c r="B928" s="145" t="s">
        <v>606</v>
      </c>
      <c r="C928" s="247"/>
      <c r="D928" s="226">
        <v>300000000</v>
      </c>
      <c r="E928" s="260">
        <f t="shared" si="14"/>
        <v>80514806</v>
      </c>
      <c r="F928" s="145"/>
      <c r="G928" s="145"/>
      <c r="H928" s="145" t="s">
        <v>27</v>
      </c>
    </row>
    <row r="929" spans="1:9" x14ac:dyDescent="0.35">
      <c r="A929" s="195">
        <v>46301</v>
      </c>
      <c r="B929" s="61" t="s">
        <v>213</v>
      </c>
      <c r="C929" s="233"/>
      <c r="D929" s="213">
        <v>11800000</v>
      </c>
      <c r="E929" s="260">
        <f t="shared" si="14"/>
        <v>68714806</v>
      </c>
      <c r="F929" s="61"/>
      <c r="G929" s="61"/>
      <c r="H929" s="61" t="s">
        <v>47</v>
      </c>
      <c r="I929" s="175"/>
    </row>
    <row r="930" spans="1:9" x14ac:dyDescent="0.35">
      <c r="A930" s="195">
        <v>46304</v>
      </c>
      <c r="B930" s="61" t="s">
        <v>213</v>
      </c>
      <c r="C930" s="233"/>
      <c r="D930" s="213">
        <v>1180000</v>
      </c>
      <c r="E930" s="260">
        <f t="shared" si="14"/>
        <v>67534806</v>
      </c>
      <c r="F930" s="61"/>
      <c r="G930" s="61"/>
      <c r="H930" s="61" t="s">
        <v>47</v>
      </c>
      <c r="I930" s="175"/>
    </row>
    <row r="931" spans="1:9" x14ac:dyDescent="0.35">
      <c r="A931" s="195">
        <v>46302</v>
      </c>
      <c r="B931" s="61" t="s">
        <v>652</v>
      </c>
      <c r="C931" s="233"/>
      <c r="D931" s="213">
        <v>15067800</v>
      </c>
      <c r="E931" s="260">
        <f t="shared" si="14"/>
        <v>52467006</v>
      </c>
      <c r="F931" s="61">
        <v>2000609</v>
      </c>
      <c r="G931" s="61" t="s">
        <v>559</v>
      </c>
      <c r="H931" s="61" t="s">
        <v>651</v>
      </c>
      <c r="I931" s="175"/>
    </row>
    <row r="932" spans="1:9" x14ac:dyDescent="0.35">
      <c r="A932" s="195">
        <v>46304</v>
      </c>
      <c r="B932" s="61" t="s">
        <v>54</v>
      </c>
      <c r="C932" s="233"/>
      <c r="D932" s="213">
        <v>45000</v>
      </c>
      <c r="E932" s="260">
        <f t="shared" si="14"/>
        <v>52422006</v>
      </c>
      <c r="F932" s="61"/>
      <c r="G932" s="61" t="s">
        <v>670</v>
      </c>
      <c r="H932" s="61" t="s">
        <v>442</v>
      </c>
      <c r="I932" s="175"/>
    </row>
    <row r="933" spans="1:9" x14ac:dyDescent="0.35">
      <c r="A933" s="195">
        <v>46305</v>
      </c>
      <c r="B933" s="61" t="s">
        <v>673</v>
      </c>
      <c r="C933" s="233"/>
      <c r="D933" s="213">
        <v>13094400</v>
      </c>
      <c r="E933" s="260">
        <f t="shared" si="14"/>
        <v>39327606</v>
      </c>
      <c r="F933" s="61">
        <v>2000621</v>
      </c>
      <c r="G933" s="61"/>
      <c r="H933" s="61" t="s">
        <v>651</v>
      </c>
      <c r="I933" s="175"/>
    </row>
    <row r="934" spans="1:9" x14ac:dyDescent="0.35">
      <c r="A934" s="195">
        <v>46305</v>
      </c>
      <c r="B934" s="61" t="s">
        <v>332</v>
      </c>
      <c r="C934" s="233"/>
      <c r="D934" s="213">
        <v>15964200</v>
      </c>
      <c r="E934" s="260">
        <f t="shared" si="14"/>
        <v>23363406</v>
      </c>
      <c r="F934" s="61">
        <v>2000622</v>
      </c>
      <c r="G934" s="61"/>
      <c r="H934" s="61" t="s">
        <v>651</v>
      </c>
      <c r="I934" s="175"/>
    </row>
    <row r="935" spans="1:9" x14ac:dyDescent="0.35">
      <c r="A935" s="195">
        <v>46305</v>
      </c>
      <c r="B935" s="61" t="s">
        <v>260</v>
      </c>
      <c r="C935" s="233"/>
      <c r="D935" s="213">
        <v>8607700</v>
      </c>
      <c r="E935" s="260">
        <f t="shared" si="14"/>
        <v>14755706</v>
      </c>
      <c r="F935" s="61">
        <v>2000624</v>
      </c>
      <c r="G935" s="61"/>
      <c r="H935" s="61" t="s">
        <v>651</v>
      </c>
      <c r="I935" s="175"/>
    </row>
    <row r="936" spans="1:9" x14ac:dyDescent="0.35">
      <c r="A936" s="195">
        <v>46305</v>
      </c>
      <c r="B936" s="61" t="s">
        <v>572</v>
      </c>
      <c r="C936" s="233">
        <v>237543348</v>
      </c>
      <c r="D936" s="213"/>
      <c r="E936" s="260">
        <f t="shared" si="14"/>
        <v>252299054</v>
      </c>
      <c r="F936" s="61"/>
      <c r="G936" s="61" t="s">
        <v>674</v>
      </c>
      <c r="H936" s="61" t="s">
        <v>432</v>
      </c>
      <c r="I936" s="174">
        <v>28206</v>
      </c>
    </row>
    <row r="937" spans="1:9" x14ac:dyDescent="0.35">
      <c r="A937" s="201">
        <v>46305</v>
      </c>
      <c r="B937" s="120" t="s">
        <v>585</v>
      </c>
      <c r="C937" s="240"/>
      <c r="D937" s="219">
        <v>13230800</v>
      </c>
      <c r="E937" s="259">
        <f t="shared" si="14"/>
        <v>239068254</v>
      </c>
      <c r="F937" s="120">
        <v>2000626</v>
      </c>
      <c r="G937" s="120" t="s">
        <v>559</v>
      </c>
      <c r="H937" s="120" t="s">
        <v>651</v>
      </c>
      <c r="I937" s="174"/>
    </row>
    <row r="938" spans="1:9" x14ac:dyDescent="0.35">
      <c r="A938" s="206">
        <v>46301</v>
      </c>
      <c r="B938" s="37" t="s">
        <v>38</v>
      </c>
      <c r="C938" s="248">
        <v>350000000</v>
      </c>
      <c r="D938" s="227"/>
      <c r="E938" s="261">
        <f t="shared" ref="E938:E956" si="15">E937+C938-D938</f>
        <v>589068254</v>
      </c>
      <c r="F938" s="37"/>
      <c r="G938" s="37"/>
      <c r="H938" s="37" t="s">
        <v>176</v>
      </c>
      <c r="I938" s="175"/>
    </row>
    <row r="939" spans="1:9" x14ac:dyDescent="0.35">
      <c r="A939" s="206">
        <v>46301</v>
      </c>
      <c r="B939" s="37" t="s">
        <v>213</v>
      </c>
      <c r="C939" s="248"/>
      <c r="D939" s="227">
        <f>+C938*0.5%</f>
        <v>1750000</v>
      </c>
      <c r="E939" s="261">
        <f t="shared" si="15"/>
        <v>587318254</v>
      </c>
      <c r="F939" s="37"/>
      <c r="G939" s="37"/>
      <c r="H939" s="37" t="s">
        <v>37</v>
      </c>
      <c r="I939" s="175"/>
    </row>
    <row r="940" spans="1:9" x14ac:dyDescent="0.35">
      <c r="A940" s="206">
        <v>46301</v>
      </c>
      <c r="B940" s="37" t="s">
        <v>37</v>
      </c>
      <c r="C940" s="248"/>
      <c r="D940" s="227">
        <f>0.1%*C938</f>
        <v>350000</v>
      </c>
      <c r="E940" s="261">
        <f t="shared" si="15"/>
        <v>586968254</v>
      </c>
      <c r="F940" s="37"/>
      <c r="G940" s="37"/>
      <c r="H940" s="37" t="s">
        <v>37</v>
      </c>
      <c r="I940" s="175"/>
    </row>
    <row r="941" spans="1:9" x14ac:dyDescent="0.35">
      <c r="A941" s="206">
        <v>46301</v>
      </c>
      <c r="B941" s="37" t="s">
        <v>37</v>
      </c>
      <c r="C941" s="248"/>
      <c r="D941" s="227">
        <f>10%*D939</f>
        <v>175000</v>
      </c>
      <c r="E941" s="261">
        <f t="shared" si="15"/>
        <v>586793254</v>
      </c>
      <c r="F941" s="37"/>
      <c r="G941" s="37"/>
      <c r="H941" s="37" t="s">
        <v>37</v>
      </c>
      <c r="I941" s="175"/>
    </row>
    <row r="942" spans="1:9" x14ac:dyDescent="0.35">
      <c r="A942" s="206">
        <v>46301</v>
      </c>
      <c r="B942" s="37" t="s">
        <v>648</v>
      </c>
      <c r="C942" s="248"/>
      <c r="D942" s="227">
        <v>238000</v>
      </c>
      <c r="E942" s="261">
        <f t="shared" si="15"/>
        <v>586555254</v>
      </c>
      <c r="F942" s="37">
        <v>2000602</v>
      </c>
      <c r="G942" s="37" t="s">
        <v>649</v>
      </c>
      <c r="H942" s="37" t="s">
        <v>650</v>
      </c>
      <c r="I942" s="175"/>
    </row>
    <row r="943" spans="1:9" x14ac:dyDescent="0.35">
      <c r="A943" s="206">
        <v>46305</v>
      </c>
      <c r="B943" s="37" t="s">
        <v>672</v>
      </c>
      <c r="C943" s="248"/>
      <c r="D943" s="227">
        <v>400000</v>
      </c>
      <c r="E943" s="261">
        <f t="shared" si="15"/>
        <v>586155254</v>
      </c>
      <c r="F943" s="37">
        <v>2000620</v>
      </c>
      <c r="G943" s="37"/>
      <c r="H943" s="37" t="s">
        <v>650</v>
      </c>
      <c r="I943" s="175"/>
    </row>
    <row r="944" spans="1:9" x14ac:dyDescent="0.35">
      <c r="A944" s="206">
        <v>46305</v>
      </c>
      <c r="B944" s="37" t="s">
        <v>290</v>
      </c>
      <c r="C944" s="248"/>
      <c r="D944" s="227">
        <v>3201000</v>
      </c>
      <c r="E944" s="261">
        <f t="shared" si="15"/>
        <v>582954254</v>
      </c>
      <c r="F944" s="37">
        <v>2000623</v>
      </c>
      <c r="G944" s="37"/>
      <c r="H944" s="37" t="s">
        <v>650</v>
      </c>
      <c r="I944" s="175"/>
    </row>
    <row r="945" spans="1:9" x14ac:dyDescent="0.35">
      <c r="A945" s="206">
        <v>46305</v>
      </c>
      <c r="B945" s="37" t="s">
        <v>556</v>
      </c>
      <c r="C945" s="248"/>
      <c r="D945" s="227">
        <v>8458894</v>
      </c>
      <c r="E945" s="261">
        <f t="shared" si="15"/>
        <v>574495360</v>
      </c>
      <c r="F945" s="37">
        <v>2000625</v>
      </c>
      <c r="G945" s="37"/>
      <c r="H945" s="37" t="s">
        <v>650</v>
      </c>
      <c r="I945" s="175"/>
    </row>
    <row r="946" spans="1:9" x14ac:dyDescent="0.35">
      <c r="A946" s="206">
        <v>46307</v>
      </c>
      <c r="B946" s="37" t="s">
        <v>662</v>
      </c>
      <c r="C946" s="249"/>
      <c r="D946" s="227">
        <v>10815600</v>
      </c>
      <c r="E946" s="261">
        <f t="shared" si="15"/>
        <v>563679760</v>
      </c>
      <c r="F946" s="37">
        <v>2000628</v>
      </c>
      <c r="G946" s="37" t="s">
        <v>559</v>
      </c>
      <c r="H946" s="37" t="s">
        <v>651</v>
      </c>
    </row>
    <row r="947" spans="1:9" x14ac:dyDescent="0.35">
      <c r="A947" s="206">
        <v>46307</v>
      </c>
      <c r="B947" s="37" t="s">
        <v>599</v>
      </c>
      <c r="C947" s="249"/>
      <c r="D947" s="228">
        <v>9318600</v>
      </c>
      <c r="E947" s="261">
        <f t="shared" si="15"/>
        <v>554361160</v>
      </c>
      <c r="F947" s="37">
        <v>2000627</v>
      </c>
      <c r="G947" s="37" t="s">
        <v>559</v>
      </c>
      <c r="H947" s="37" t="s">
        <v>651</v>
      </c>
    </row>
    <row r="948" spans="1:9" x14ac:dyDescent="0.35">
      <c r="A948" s="206">
        <v>46307</v>
      </c>
      <c r="B948" s="37" t="s">
        <v>573</v>
      </c>
      <c r="C948" s="249"/>
      <c r="D948" s="228">
        <v>12586000</v>
      </c>
      <c r="E948" s="261">
        <f t="shared" si="15"/>
        <v>541775160</v>
      </c>
      <c r="F948" s="37">
        <v>2000629</v>
      </c>
      <c r="G948" s="37" t="s">
        <v>559</v>
      </c>
      <c r="H948" s="37" t="s">
        <v>651</v>
      </c>
    </row>
    <row r="949" spans="1:9" x14ac:dyDescent="0.35">
      <c r="A949" s="206">
        <v>46307</v>
      </c>
      <c r="B949" s="37" t="s">
        <v>333</v>
      </c>
      <c r="C949" s="249"/>
      <c r="D949" s="228">
        <v>11661200</v>
      </c>
      <c r="E949" s="261">
        <f t="shared" si="15"/>
        <v>530113960</v>
      </c>
      <c r="F949" s="37">
        <v>2000630</v>
      </c>
      <c r="G949" s="37" t="s">
        <v>559</v>
      </c>
      <c r="H949" s="37" t="s">
        <v>651</v>
      </c>
    </row>
    <row r="950" spans="1:9" x14ac:dyDescent="0.35">
      <c r="A950" s="206">
        <v>46307</v>
      </c>
      <c r="B950" s="37" t="s">
        <v>609</v>
      </c>
      <c r="C950" s="249"/>
      <c r="D950" s="228">
        <v>14309040</v>
      </c>
      <c r="E950" s="261">
        <f t="shared" si="15"/>
        <v>515804920</v>
      </c>
      <c r="F950" s="37">
        <v>2000632</v>
      </c>
      <c r="G950" s="37" t="s">
        <v>559</v>
      </c>
      <c r="H950" s="37" t="s">
        <v>651</v>
      </c>
    </row>
    <row r="951" spans="1:9" x14ac:dyDescent="0.35">
      <c r="A951" s="206">
        <v>46307</v>
      </c>
      <c r="B951" s="37" t="s">
        <v>584</v>
      </c>
      <c r="C951" s="249"/>
      <c r="D951" s="228">
        <v>7500000</v>
      </c>
      <c r="E951" s="261">
        <f t="shared" si="15"/>
        <v>508304920</v>
      </c>
      <c r="F951" s="37">
        <v>2000633</v>
      </c>
      <c r="G951" s="37" t="s">
        <v>559</v>
      </c>
      <c r="H951" s="37" t="s">
        <v>651</v>
      </c>
    </row>
    <row r="952" spans="1:9" x14ac:dyDescent="0.35">
      <c r="A952" s="206">
        <v>46307</v>
      </c>
      <c r="B952" s="37" t="s">
        <v>331</v>
      </c>
      <c r="C952" s="249"/>
      <c r="D952" s="228">
        <v>31867200</v>
      </c>
      <c r="E952" s="261">
        <f t="shared" si="15"/>
        <v>476437720</v>
      </c>
      <c r="F952" s="37">
        <v>2000634</v>
      </c>
      <c r="G952" s="37" t="s">
        <v>559</v>
      </c>
      <c r="H952" s="37" t="s">
        <v>651</v>
      </c>
    </row>
    <row r="953" spans="1:9" x14ac:dyDescent="0.35">
      <c r="A953" s="206">
        <v>46307</v>
      </c>
      <c r="B953" s="37" t="s">
        <v>679</v>
      </c>
      <c r="C953" s="249"/>
      <c r="D953" s="228">
        <v>5400000</v>
      </c>
      <c r="E953" s="261">
        <f t="shared" si="15"/>
        <v>471037720</v>
      </c>
      <c r="F953" s="37">
        <v>2000635</v>
      </c>
      <c r="G953" s="37" t="s">
        <v>681</v>
      </c>
      <c r="H953" s="37" t="s">
        <v>650</v>
      </c>
    </row>
    <row r="954" spans="1:9" x14ac:dyDescent="0.35">
      <c r="A954" s="206">
        <v>46308</v>
      </c>
      <c r="B954" s="37" t="s">
        <v>680</v>
      </c>
      <c r="C954" s="249"/>
      <c r="D954" s="228">
        <v>1200000</v>
      </c>
      <c r="E954" s="261">
        <f t="shared" si="15"/>
        <v>469837720</v>
      </c>
      <c r="F954" s="37">
        <v>2000636</v>
      </c>
      <c r="G954" s="37" t="s">
        <v>682</v>
      </c>
      <c r="H954" s="37" t="s">
        <v>443</v>
      </c>
    </row>
    <row r="955" spans="1:9" x14ac:dyDescent="0.35">
      <c r="A955" s="206">
        <v>46308</v>
      </c>
      <c r="B955" s="37" t="s">
        <v>476</v>
      </c>
      <c r="C955" s="249"/>
      <c r="D955" s="228">
        <v>3374517</v>
      </c>
      <c r="E955" s="261">
        <f t="shared" si="15"/>
        <v>466463203</v>
      </c>
      <c r="F955" s="37">
        <v>2000639</v>
      </c>
      <c r="G955" s="37" t="s">
        <v>608</v>
      </c>
      <c r="H955" s="37" t="s">
        <v>374</v>
      </c>
    </row>
    <row r="956" spans="1:9" x14ac:dyDescent="0.35">
      <c r="A956" s="206">
        <v>46308</v>
      </c>
      <c r="B956" s="37" t="s">
        <v>8</v>
      </c>
      <c r="C956" s="249">
        <f>870817.64*655.957</f>
        <v>571218926.68148005</v>
      </c>
      <c r="D956" s="228"/>
      <c r="E956" s="261">
        <f t="shared" si="15"/>
        <v>1037682129.6814801</v>
      </c>
      <c r="F956" s="37"/>
      <c r="G956" s="37" t="s">
        <v>683</v>
      </c>
      <c r="H956" s="37" t="s">
        <v>430</v>
      </c>
    </row>
    <row r="957" spans="1:9" s="268" customFormat="1" x14ac:dyDescent="0.35">
      <c r="A957" s="206">
        <v>46309</v>
      </c>
      <c r="B957" s="37" t="s">
        <v>584</v>
      </c>
      <c r="C957" s="249"/>
      <c r="D957" s="228">
        <v>4641800</v>
      </c>
      <c r="E957" s="261">
        <f t="shared" ref="E957:E962" si="16">E956+C957-D957</f>
        <v>1033040329.6814801</v>
      </c>
      <c r="F957" s="37">
        <v>2000647</v>
      </c>
      <c r="G957" s="37" t="s">
        <v>559</v>
      </c>
      <c r="H957" s="37"/>
    </row>
    <row r="958" spans="1:9" s="268" customFormat="1" x14ac:dyDescent="0.35">
      <c r="A958" s="206">
        <v>46309</v>
      </c>
      <c r="B958" s="37" t="s">
        <v>585</v>
      </c>
      <c r="C958" s="249"/>
      <c r="D958" s="228">
        <v>13274200</v>
      </c>
      <c r="E958" s="261">
        <f t="shared" si="16"/>
        <v>1019766129.6814801</v>
      </c>
      <c r="F958" s="37">
        <v>2000646</v>
      </c>
      <c r="G958" s="37" t="s">
        <v>559</v>
      </c>
      <c r="H958" s="37"/>
    </row>
    <row r="959" spans="1:9" s="268" customFormat="1" x14ac:dyDescent="0.35">
      <c r="A959" s="206">
        <v>46309</v>
      </c>
      <c r="B959" s="37" t="s">
        <v>17060</v>
      </c>
      <c r="C959" s="249"/>
      <c r="D959" s="228">
        <v>8109600</v>
      </c>
      <c r="E959" s="261">
        <f t="shared" si="16"/>
        <v>1011656529.6814801</v>
      </c>
      <c r="F959" s="37">
        <v>2000648</v>
      </c>
      <c r="G959" s="37" t="s">
        <v>559</v>
      </c>
      <c r="H959" s="37"/>
    </row>
    <row r="960" spans="1:9" s="268" customFormat="1" x14ac:dyDescent="0.35">
      <c r="A960" s="206">
        <v>46309</v>
      </c>
      <c r="B960" s="37" t="s">
        <v>369</v>
      </c>
      <c r="C960" s="249"/>
      <c r="D960" s="228">
        <v>3000000</v>
      </c>
      <c r="E960" s="261">
        <f t="shared" si="16"/>
        <v>1008656529.6814801</v>
      </c>
      <c r="F960" s="37">
        <v>2000649</v>
      </c>
      <c r="G960" s="37" t="s">
        <v>547</v>
      </c>
      <c r="H960" s="37" t="s">
        <v>440</v>
      </c>
    </row>
    <row r="961" spans="1:8" s="268" customFormat="1" x14ac:dyDescent="0.35">
      <c r="A961" s="206">
        <v>46309</v>
      </c>
      <c r="B961" s="37" t="s">
        <v>604</v>
      </c>
      <c r="C961" s="249"/>
      <c r="D961" s="228">
        <v>16288800</v>
      </c>
      <c r="E961" s="261">
        <f t="shared" si="16"/>
        <v>992367729.68148005</v>
      </c>
      <c r="F961" s="37">
        <v>2000640</v>
      </c>
      <c r="G961" s="37" t="s">
        <v>559</v>
      </c>
      <c r="H961" s="37"/>
    </row>
    <row r="962" spans="1:8" s="268" customFormat="1" x14ac:dyDescent="0.35">
      <c r="A962" s="263">
        <v>46310</v>
      </c>
      <c r="B962" s="264" t="s">
        <v>583</v>
      </c>
      <c r="C962" s="265"/>
      <c r="D962" s="266">
        <v>6169000</v>
      </c>
      <c r="E962" s="267">
        <f t="shared" si="16"/>
        <v>986198729.68148005</v>
      </c>
      <c r="F962" s="264">
        <v>2000650</v>
      </c>
      <c r="G962" s="264" t="s">
        <v>559</v>
      </c>
      <c r="H962" s="264"/>
    </row>
    <row r="963" spans="1:8" s="268" customFormat="1" x14ac:dyDescent="0.35">
      <c r="A963" s="263">
        <v>46310</v>
      </c>
      <c r="B963" s="264" t="s">
        <v>604</v>
      </c>
      <c r="C963" s="265"/>
      <c r="D963" s="266">
        <v>5843800</v>
      </c>
      <c r="E963" s="267">
        <f>E962+C963-D963</f>
        <v>980354929.68148005</v>
      </c>
      <c r="F963" s="264">
        <v>2000751</v>
      </c>
      <c r="G963" s="264" t="s">
        <v>559</v>
      </c>
      <c r="H963" s="264"/>
    </row>
  </sheetData>
  <mergeCells count="1">
    <mergeCell ref="A1:G1"/>
  </mergeCells>
  <conditionalFormatting sqref="F1:F613 F615:F1048576">
    <cfRule type="duplicateValues" dxfId="3" priority="1"/>
  </conditionalFormatting>
  <pageMargins left="0.7" right="0.7" top="0.75" bottom="0.75" header="0.3" footer="0.3"/>
  <pageSetup paperSize="9" scale="10" fitToHeight="0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2BFC8-6959-4EEB-BF6F-0FD538364A82}">
  <dimension ref="B3:Y44"/>
  <sheetViews>
    <sheetView zoomScale="81" workbookViewId="0">
      <pane ySplit="4" topLeftCell="A27" activePane="bottomLeft" state="frozen"/>
      <selection pane="bottomLeft" activeCell="D26" sqref="D26"/>
    </sheetView>
  </sheetViews>
  <sheetFormatPr baseColWidth="10" defaultColWidth="8.7265625" defaultRowHeight="14.5" x14ac:dyDescent="0.35"/>
  <cols>
    <col min="2" max="2" width="14.90625" customWidth="1"/>
    <col min="3" max="3" width="16.1796875" bestFit="1" customWidth="1"/>
    <col min="4" max="4" width="17.7265625" bestFit="1" customWidth="1"/>
    <col min="6" max="6" width="15.453125" customWidth="1"/>
    <col min="7" max="7" width="27.6328125" customWidth="1"/>
    <col min="8" max="8" width="21.26953125" bestFit="1" customWidth="1"/>
    <col min="9" max="11" width="15.453125" customWidth="1"/>
    <col min="13" max="14" width="17.6328125" customWidth="1"/>
    <col min="15" max="15" width="23.453125" bestFit="1" customWidth="1"/>
    <col min="16" max="18" width="17.6328125" customWidth="1"/>
    <col min="20" max="20" width="10.453125" bestFit="1" customWidth="1"/>
    <col min="21" max="21" width="28.08984375" customWidth="1"/>
    <col min="22" max="22" width="23.453125" bestFit="1" customWidth="1"/>
    <col min="23" max="25" width="15.90625" customWidth="1"/>
  </cols>
  <sheetData>
    <row r="3" spans="2:25" ht="18.5" x14ac:dyDescent="0.45">
      <c r="F3" s="183" t="s">
        <v>435</v>
      </c>
      <c r="G3" s="184"/>
      <c r="H3" s="109">
        <f>SUBTOTAL(9,H5:H10000)</f>
        <v>0</v>
      </c>
      <c r="I3" s="180" t="s">
        <v>3</v>
      </c>
      <c r="J3" s="181"/>
      <c r="K3" s="182"/>
      <c r="M3" s="183" t="s">
        <v>438</v>
      </c>
      <c r="N3" s="184"/>
      <c r="O3" s="109">
        <f>SUBTOTAL(9,O5:O10000)</f>
        <v>0</v>
      </c>
      <c r="P3" s="180" t="s">
        <v>455</v>
      </c>
      <c r="Q3" s="181"/>
      <c r="R3" s="182"/>
      <c r="T3" s="183" t="s">
        <v>265</v>
      </c>
      <c r="U3" s="184"/>
      <c r="V3" s="109">
        <f>SUBTOTAL(9,V5:V10000)</f>
        <v>0</v>
      </c>
      <c r="W3" s="180" t="s">
        <v>455</v>
      </c>
      <c r="X3" s="181"/>
      <c r="Y3" s="182"/>
    </row>
    <row r="4" spans="2:25" x14ac:dyDescent="0.35">
      <c r="B4" s="112" t="s">
        <v>451</v>
      </c>
      <c r="C4" s="112" t="s">
        <v>452</v>
      </c>
      <c r="D4" s="112" t="s">
        <v>453</v>
      </c>
      <c r="F4" s="110" t="s">
        <v>80</v>
      </c>
      <c r="G4" s="110" t="s">
        <v>2</v>
      </c>
      <c r="H4" s="110" t="s">
        <v>81</v>
      </c>
      <c r="I4" s="110" t="s">
        <v>82</v>
      </c>
      <c r="J4" s="110" t="s">
        <v>346</v>
      </c>
      <c r="K4" s="110" t="s">
        <v>429</v>
      </c>
      <c r="M4" s="110" t="s">
        <v>80</v>
      </c>
      <c r="N4" s="110" t="s">
        <v>2</v>
      </c>
      <c r="O4" s="110" t="s">
        <v>81</v>
      </c>
      <c r="P4" s="110" t="s">
        <v>82</v>
      </c>
      <c r="Q4" s="110" t="s">
        <v>346</v>
      </c>
      <c r="R4" s="110" t="s">
        <v>429</v>
      </c>
      <c r="T4" s="110" t="s">
        <v>80</v>
      </c>
      <c r="U4" s="110" t="s">
        <v>2</v>
      </c>
      <c r="V4" s="110" t="s">
        <v>81</v>
      </c>
      <c r="W4" s="110" t="s">
        <v>82</v>
      </c>
      <c r="X4" s="110" t="s">
        <v>346</v>
      </c>
      <c r="Y4" s="110" t="s">
        <v>429</v>
      </c>
    </row>
    <row r="5" spans="2:25" x14ac:dyDescent="0.35">
      <c r="B5" s="37" t="s">
        <v>435</v>
      </c>
      <c r="C5" s="113">
        <f>H3</f>
        <v>0</v>
      </c>
      <c r="D5" s="113"/>
      <c r="F5" s="111" t="e" cm="1" vm="1">
        <f t="array" aca="1" ref="F5" ca="1">_xlfn.CHOOSECOLS(_xlfn._xlws.FILTER(STATEMENT!A3:H10035,STATEMENT!H3:H10035="CAISSE DEPOSIT"),1,2,3,6,7,8)</f>
        <v>#NAME?</v>
      </c>
      <c r="G5" s="37"/>
      <c r="H5" s="48"/>
      <c r="I5" s="37"/>
      <c r="J5" s="37"/>
      <c r="K5" s="37"/>
      <c r="M5" s="111" t="e" cm="1" vm="1">
        <f t="array" aca="1" ref="M5" ca="1">_xlfn.CHOOSECOLS(_xlfn._xlws.FILTER(STATEMENT!A3:H10035,STATEMENT!H3:H10035="WITHDRAWAL"),1,2,4,6,7,8)</f>
        <v>#NAME?</v>
      </c>
      <c r="N5" s="37"/>
      <c r="O5" s="48"/>
      <c r="P5" s="37"/>
      <c r="Q5" s="37"/>
      <c r="R5" s="37"/>
      <c r="T5" s="111" t="e" cm="1" vm="1">
        <f t="array" aca="1" ref="T5" ca="1">_xlfn.CHOOSECOLS(_xlfn._xlws.FILTER(STATEMENT!A3:H10035,STATEMENT!H3:H10035="MITC"),1,2,4,6,7,8)</f>
        <v>#NAME?</v>
      </c>
      <c r="U5" s="37"/>
      <c r="V5" s="48"/>
      <c r="W5" s="37"/>
      <c r="X5" s="37"/>
      <c r="Y5" s="37"/>
    </row>
    <row r="6" spans="2:25" x14ac:dyDescent="0.35">
      <c r="B6" s="37" t="s">
        <v>438</v>
      </c>
      <c r="C6" s="113"/>
      <c r="D6" s="113">
        <f>O3</f>
        <v>0</v>
      </c>
      <c r="F6" s="111"/>
      <c r="G6" s="37"/>
      <c r="H6" s="48"/>
      <c r="I6" s="37"/>
      <c r="J6" s="37"/>
      <c r="K6" s="37"/>
      <c r="M6" s="111"/>
      <c r="N6" s="37"/>
      <c r="O6" s="48"/>
      <c r="P6" s="37"/>
      <c r="Q6" s="37"/>
      <c r="R6" s="37"/>
      <c r="T6" s="111"/>
      <c r="U6" s="37"/>
      <c r="V6" s="48"/>
      <c r="W6" s="37"/>
      <c r="X6" s="37"/>
      <c r="Y6" s="37"/>
    </row>
    <row r="7" spans="2:25" x14ac:dyDescent="0.35">
      <c r="B7" s="37" t="s">
        <v>265</v>
      </c>
      <c r="C7" s="37"/>
      <c r="D7" s="113">
        <f>V3</f>
        <v>0</v>
      </c>
      <c r="F7" s="111"/>
      <c r="G7" s="37"/>
      <c r="H7" s="48"/>
      <c r="I7" s="37"/>
      <c r="J7" s="37"/>
      <c r="K7" s="37"/>
      <c r="M7" s="111"/>
      <c r="N7" s="37"/>
      <c r="O7" s="48"/>
      <c r="P7" s="37"/>
      <c r="Q7" s="37"/>
      <c r="R7" s="37"/>
      <c r="T7" s="111"/>
      <c r="U7" s="37"/>
      <c r="V7" s="48"/>
      <c r="W7" s="37"/>
      <c r="X7" s="37"/>
      <c r="Y7" s="37"/>
    </row>
    <row r="8" spans="2:25" x14ac:dyDescent="0.35">
      <c r="B8" s="37" t="s">
        <v>454</v>
      </c>
      <c r="C8" s="114">
        <f>SUM(C5:C7)</f>
        <v>0</v>
      </c>
      <c r="D8" s="114">
        <f>SUM(D5:D7)</f>
        <v>0</v>
      </c>
      <c r="F8" s="111"/>
      <c r="G8" s="37"/>
      <c r="H8" s="48"/>
      <c r="I8" s="37"/>
      <c r="J8" s="37"/>
      <c r="K8" s="37"/>
      <c r="M8" s="111"/>
      <c r="N8" s="37"/>
      <c r="O8" s="48"/>
      <c r="P8" s="37"/>
      <c r="Q8" s="37"/>
      <c r="R8" s="37"/>
      <c r="T8" s="111"/>
      <c r="U8" s="37"/>
      <c r="V8" s="48"/>
      <c r="W8" s="37"/>
      <c r="X8" s="37"/>
      <c r="Y8" s="37"/>
    </row>
    <row r="9" spans="2:25" x14ac:dyDescent="0.35">
      <c r="F9" s="111"/>
      <c r="G9" s="37"/>
      <c r="H9" s="48"/>
      <c r="I9" s="37"/>
      <c r="J9" s="37"/>
      <c r="K9" s="37"/>
      <c r="M9" s="111"/>
      <c r="N9" s="37"/>
      <c r="O9" s="48"/>
      <c r="P9" s="37"/>
      <c r="Q9" s="37"/>
      <c r="R9" s="37"/>
      <c r="T9" s="111"/>
      <c r="U9" s="37"/>
      <c r="V9" s="48"/>
      <c r="W9" s="37"/>
      <c r="X9" s="37"/>
      <c r="Y9" s="37"/>
    </row>
    <row r="10" spans="2:25" x14ac:dyDescent="0.35">
      <c r="F10" s="111"/>
      <c r="G10" s="37"/>
      <c r="H10" s="48"/>
      <c r="I10" s="37"/>
      <c r="J10" s="37"/>
      <c r="K10" s="37"/>
      <c r="M10" s="111"/>
      <c r="N10" s="37"/>
      <c r="O10" s="48"/>
      <c r="P10" s="37"/>
      <c r="Q10" s="37"/>
      <c r="R10" s="37"/>
      <c r="T10" s="111"/>
      <c r="U10" s="37"/>
      <c r="V10" s="48"/>
      <c r="W10" s="37"/>
      <c r="X10" s="37"/>
      <c r="Y10" s="37"/>
    </row>
    <row r="11" spans="2:25" x14ac:dyDescent="0.35">
      <c r="F11" s="111"/>
      <c r="G11" s="37"/>
      <c r="H11" s="48"/>
      <c r="I11" s="37"/>
      <c r="J11" s="37"/>
      <c r="K11" s="37"/>
      <c r="M11" s="111"/>
      <c r="N11" s="37"/>
      <c r="O11" s="48"/>
      <c r="P11" s="37"/>
      <c r="Q11" s="37"/>
      <c r="R11" s="37"/>
      <c r="T11" s="111"/>
      <c r="U11" s="37"/>
      <c r="V11" s="48"/>
      <c r="W11" s="37"/>
      <c r="X11" s="37"/>
      <c r="Y11" s="37"/>
    </row>
    <row r="12" spans="2:25" x14ac:dyDescent="0.35">
      <c r="F12" s="111"/>
      <c r="G12" s="37"/>
      <c r="H12" s="48"/>
      <c r="I12" s="37"/>
      <c r="J12" s="37"/>
      <c r="K12" s="37"/>
      <c r="M12" s="111"/>
      <c r="N12" s="37"/>
      <c r="O12" s="48"/>
      <c r="P12" s="37"/>
      <c r="Q12" s="37"/>
      <c r="R12" s="37"/>
      <c r="T12" s="111"/>
      <c r="U12" s="37"/>
      <c r="V12" s="48"/>
      <c r="W12" s="37"/>
      <c r="X12" s="37"/>
      <c r="Y12" s="37"/>
    </row>
    <row r="13" spans="2:25" x14ac:dyDescent="0.35">
      <c r="F13" s="111"/>
      <c r="G13" s="37"/>
      <c r="H13" s="48"/>
      <c r="I13" s="37"/>
      <c r="J13" s="37"/>
      <c r="K13" s="37"/>
      <c r="M13" s="111"/>
      <c r="N13" s="37"/>
      <c r="O13" s="48"/>
      <c r="P13" s="37"/>
      <c r="Q13" s="37"/>
      <c r="R13" s="37"/>
      <c r="T13" s="111"/>
      <c r="U13" s="37"/>
      <c r="V13" s="48"/>
      <c r="W13" s="37"/>
      <c r="X13" s="37"/>
      <c r="Y13" s="37"/>
    </row>
    <row r="14" spans="2:25" x14ac:dyDescent="0.35">
      <c r="F14" s="111"/>
      <c r="G14" s="37"/>
      <c r="H14" s="48"/>
      <c r="I14" s="37"/>
      <c r="J14" s="37"/>
      <c r="K14" s="37"/>
      <c r="M14" s="111"/>
      <c r="N14" s="37"/>
      <c r="O14" s="48"/>
      <c r="P14" s="37"/>
      <c r="Q14" s="37"/>
      <c r="R14" s="37"/>
      <c r="T14" s="111"/>
      <c r="U14" s="37"/>
      <c r="V14" s="48"/>
      <c r="W14" s="37"/>
      <c r="X14" s="37"/>
      <c r="Y14" s="37"/>
    </row>
    <row r="15" spans="2:25" x14ac:dyDescent="0.35">
      <c r="F15" s="111"/>
      <c r="G15" s="37"/>
      <c r="H15" s="48"/>
      <c r="I15" s="37"/>
      <c r="J15" s="37"/>
      <c r="K15" s="37"/>
      <c r="M15" s="111"/>
      <c r="N15" s="37"/>
      <c r="O15" s="48"/>
      <c r="P15" s="37"/>
      <c r="Q15" s="37"/>
      <c r="R15" s="37"/>
      <c r="T15" s="111"/>
      <c r="U15" s="37"/>
      <c r="V15" s="48"/>
      <c r="W15" s="37"/>
      <c r="X15" s="37"/>
      <c r="Y15" s="37"/>
    </row>
    <row r="16" spans="2:25" x14ac:dyDescent="0.35">
      <c r="F16" s="111"/>
      <c r="G16" s="37"/>
      <c r="H16" s="48"/>
      <c r="I16" s="37"/>
      <c r="J16" s="37"/>
      <c r="K16" s="37"/>
      <c r="M16" s="111"/>
      <c r="N16" s="37"/>
      <c r="O16" s="48"/>
      <c r="P16" s="37"/>
      <c r="Q16" s="37"/>
      <c r="R16" s="37"/>
      <c r="T16" s="111"/>
      <c r="U16" s="37"/>
      <c r="V16" s="48"/>
      <c r="W16" s="37"/>
      <c r="X16" s="37"/>
      <c r="Y16" s="37"/>
    </row>
    <row r="17" spans="6:25" x14ac:dyDescent="0.35">
      <c r="F17" s="111"/>
      <c r="G17" s="37"/>
      <c r="H17" s="48"/>
      <c r="I17" s="37"/>
      <c r="J17" s="37"/>
      <c r="K17" s="37"/>
      <c r="M17" s="111"/>
      <c r="N17" s="37"/>
      <c r="O17" s="48"/>
      <c r="P17" s="37"/>
      <c r="Q17" s="37"/>
      <c r="R17" s="37"/>
      <c r="T17" s="111"/>
      <c r="U17" s="37"/>
      <c r="V17" s="48"/>
      <c r="W17" s="37"/>
      <c r="X17" s="37"/>
      <c r="Y17" s="37"/>
    </row>
    <row r="18" spans="6:25" x14ac:dyDescent="0.35">
      <c r="F18" s="111"/>
      <c r="G18" s="37"/>
      <c r="H18" s="48"/>
      <c r="I18" s="37"/>
      <c r="J18" s="37"/>
      <c r="K18" s="37"/>
      <c r="M18" s="111"/>
      <c r="N18" s="37"/>
      <c r="O18" s="48"/>
      <c r="P18" s="37"/>
      <c r="Q18" s="37"/>
      <c r="R18" s="37"/>
      <c r="T18" s="111"/>
      <c r="U18" s="37"/>
      <c r="V18" s="48"/>
      <c r="W18" s="37"/>
      <c r="X18" s="37"/>
      <c r="Y18" s="37"/>
    </row>
    <row r="19" spans="6:25" x14ac:dyDescent="0.35">
      <c r="F19" s="111"/>
      <c r="G19" s="37"/>
      <c r="H19" s="48"/>
      <c r="I19" s="37"/>
      <c r="J19" s="37"/>
      <c r="K19" s="37"/>
      <c r="M19" s="111"/>
      <c r="N19" s="37"/>
      <c r="O19" s="48"/>
      <c r="P19" s="37"/>
      <c r="Q19" s="37"/>
      <c r="R19" s="37"/>
      <c r="T19" s="111"/>
      <c r="U19" s="37"/>
      <c r="V19" s="48"/>
      <c r="W19" s="37"/>
      <c r="X19" s="37"/>
      <c r="Y19" s="37"/>
    </row>
    <row r="20" spans="6:25" x14ac:dyDescent="0.35">
      <c r="F20" s="111"/>
      <c r="G20" s="37"/>
      <c r="H20" s="48"/>
      <c r="I20" s="37"/>
      <c r="J20" s="37"/>
      <c r="K20" s="37"/>
      <c r="M20" s="111"/>
      <c r="N20" s="37"/>
      <c r="O20" s="48"/>
      <c r="P20" s="37"/>
      <c r="Q20" s="37"/>
      <c r="R20" s="37"/>
      <c r="T20" s="111"/>
      <c r="U20" s="37"/>
      <c r="V20" s="48"/>
      <c r="W20" s="37"/>
      <c r="X20" s="37"/>
      <c r="Y20" s="37"/>
    </row>
    <row r="21" spans="6:25" x14ac:dyDescent="0.35">
      <c r="F21" s="111"/>
      <c r="G21" s="37"/>
      <c r="H21" s="48"/>
      <c r="I21" s="37"/>
      <c r="J21" s="37"/>
      <c r="K21" s="37"/>
      <c r="M21" s="111"/>
      <c r="N21" s="37"/>
      <c r="O21" s="48"/>
      <c r="P21" s="37"/>
      <c r="Q21" s="37"/>
      <c r="R21" s="37"/>
      <c r="T21" s="111"/>
      <c r="U21" s="37"/>
      <c r="V21" s="48"/>
      <c r="W21" s="37"/>
      <c r="X21" s="37"/>
      <c r="Y21" s="37"/>
    </row>
    <row r="22" spans="6:25" x14ac:dyDescent="0.35">
      <c r="F22" s="111"/>
      <c r="G22" s="37"/>
      <c r="H22" s="48"/>
      <c r="I22" s="37"/>
      <c r="J22" s="37"/>
      <c r="K22" s="37"/>
      <c r="M22" s="111"/>
      <c r="N22" s="37"/>
      <c r="O22" s="48"/>
      <c r="P22" s="37"/>
      <c r="Q22" s="37"/>
      <c r="R22" s="37"/>
      <c r="T22" s="111"/>
      <c r="U22" s="37"/>
      <c r="V22" s="48"/>
      <c r="W22" s="37"/>
      <c r="X22" s="37"/>
      <c r="Y22" s="37"/>
    </row>
    <row r="23" spans="6:25" x14ac:dyDescent="0.35">
      <c r="F23" s="111"/>
      <c r="G23" s="37"/>
      <c r="H23" s="48"/>
      <c r="I23" s="37"/>
      <c r="J23" s="37"/>
      <c r="K23" s="37"/>
      <c r="M23" s="111"/>
      <c r="N23" s="37"/>
      <c r="O23" s="48"/>
      <c r="P23" s="37"/>
      <c r="Q23" s="37"/>
      <c r="R23" s="37"/>
      <c r="T23" s="111"/>
      <c r="U23" s="37"/>
      <c r="V23" s="48"/>
      <c r="W23" s="37"/>
      <c r="X23" s="37"/>
      <c r="Y23" s="37"/>
    </row>
    <row r="24" spans="6:25" x14ac:dyDescent="0.35">
      <c r="F24" s="111"/>
      <c r="G24" s="37"/>
      <c r="H24" s="48"/>
      <c r="I24" s="37"/>
      <c r="J24" s="37"/>
      <c r="K24" s="37"/>
      <c r="M24" s="111"/>
      <c r="N24" s="37"/>
      <c r="O24" s="48"/>
      <c r="P24" s="37"/>
      <c r="Q24" s="37"/>
      <c r="R24" s="37"/>
      <c r="T24" s="111"/>
      <c r="U24" s="37"/>
      <c r="V24" s="48"/>
      <c r="W24" s="37"/>
      <c r="X24" s="37"/>
      <c r="Y24" s="37"/>
    </row>
    <row r="25" spans="6:25" x14ac:dyDescent="0.35">
      <c r="F25" s="111"/>
      <c r="G25" s="37"/>
      <c r="H25" s="48"/>
      <c r="I25" s="37"/>
      <c r="J25" s="37"/>
      <c r="K25" s="37"/>
      <c r="M25" s="111"/>
      <c r="N25" s="37"/>
      <c r="O25" s="48"/>
      <c r="P25" s="37"/>
      <c r="Q25" s="37"/>
      <c r="R25" s="37"/>
      <c r="T25" s="111"/>
      <c r="U25" s="37"/>
      <c r="V25" s="48"/>
      <c r="W25" s="37"/>
      <c r="X25" s="37"/>
      <c r="Y25" s="37"/>
    </row>
    <row r="26" spans="6:25" x14ac:dyDescent="0.35">
      <c r="F26" s="111"/>
      <c r="G26" s="37"/>
      <c r="H26" s="48"/>
      <c r="I26" s="37"/>
      <c r="J26" s="37"/>
      <c r="K26" s="37"/>
      <c r="M26" s="111"/>
      <c r="N26" s="37"/>
      <c r="O26" s="48"/>
      <c r="P26" s="37"/>
      <c r="Q26" s="37"/>
      <c r="R26" s="37"/>
      <c r="T26" s="111"/>
      <c r="U26" s="37"/>
      <c r="V26" s="48"/>
      <c r="W26" s="37"/>
      <c r="X26" s="37"/>
      <c r="Y26" s="37"/>
    </row>
    <row r="27" spans="6:25" x14ac:dyDescent="0.35">
      <c r="F27" s="111"/>
      <c r="G27" s="37"/>
      <c r="H27" s="48"/>
      <c r="I27" s="37"/>
      <c r="J27" s="37"/>
      <c r="K27" s="37"/>
      <c r="M27" s="111"/>
      <c r="N27" s="37"/>
      <c r="O27" s="48"/>
      <c r="P27" s="37"/>
      <c r="Q27" s="37"/>
      <c r="R27" s="37"/>
      <c r="T27" s="111"/>
      <c r="U27" s="37"/>
      <c r="V27" s="48"/>
      <c r="W27" s="37"/>
      <c r="X27" s="37"/>
      <c r="Y27" s="37"/>
    </row>
    <row r="28" spans="6:25" x14ac:dyDescent="0.35">
      <c r="F28" s="111"/>
      <c r="G28" s="37"/>
      <c r="H28" s="48"/>
      <c r="I28" s="37"/>
      <c r="J28" s="37"/>
      <c r="K28" s="37"/>
      <c r="M28" s="111"/>
      <c r="N28" s="37"/>
      <c r="O28" s="48"/>
      <c r="P28" s="37"/>
      <c r="Q28" s="37"/>
      <c r="R28" s="37"/>
      <c r="T28" s="111"/>
      <c r="U28" s="37"/>
      <c r="V28" s="48"/>
      <c r="W28" s="37"/>
      <c r="X28" s="37"/>
      <c r="Y28" s="37"/>
    </row>
    <row r="29" spans="6:25" x14ac:dyDescent="0.35">
      <c r="F29" s="111"/>
      <c r="G29" s="37"/>
      <c r="H29" s="48"/>
      <c r="I29" s="37"/>
      <c r="J29" s="37"/>
      <c r="K29" s="37"/>
      <c r="M29" s="111"/>
      <c r="N29" s="37"/>
      <c r="O29" s="48"/>
      <c r="P29" s="37"/>
      <c r="Q29" s="37"/>
      <c r="R29" s="37"/>
      <c r="T29" s="111"/>
      <c r="U29" s="37"/>
      <c r="V29" s="48"/>
      <c r="W29" s="37"/>
      <c r="X29" s="37"/>
      <c r="Y29" s="37"/>
    </row>
    <row r="30" spans="6:25" x14ac:dyDescent="0.35">
      <c r="F30" s="111"/>
      <c r="G30" s="37"/>
      <c r="H30" s="48"/>
      <c r="I30" s="37"/>
      <c r="J30" s="37"/>
      <c r="K30" s="37"/>
      <c r="M30" s="111"/>
      <c r="N30" s="37"/>
      <c r="O30" s="48"/>
      <c r="P30" s="37"/>
      <c r="Q30" s="37"/>
      <c r="R30" s="37"/>
      <c r="T30" s="111"/>
      <c r="U30" s="37"/>
      <c r="V30" s="48"/>
      <c r="W30" s="37"/>
      <c r="X30" s="37"/>
      <c r="Y30" s="37"/>
    </row>
    <row r="31" spans="6:25" x14ac:dyDescent="0.35">
      <c r="F31" s="111"/>
      <c r="G31" s="37"/>
      <c r="H31" s="48"/>
      <c r="I31" s="37"/>
      <c r="J31" s="37"/>
      <c r="K31" s="37"/>
      <c r="M31" s="111"/>
      <c r="N31" s="37"/>
      <c r="O31" s="48"/>
      <c r="P31" s="37"/>
      <c r="Q31" s="37"/>
      <c r="R31" s="37"/>
      <c r="T31" s="111"/>
      <c r="U31" s="37"/>
      <c r="V31" s="48"/>
      <c r="W31" s="37"/>
      <c r="X31" s="37"/>
      <c r="Y31" s="37"/>
    </row>
    <row r="32" spans="6:25" x14ac:dyDescent="0.35">
      <c r="F32" s="111"/>
      <c r="G32" s="37"/>
      <c r="H32" s="48"/>
      <c r="I32" s="37"/>
      <c r="J32" s="37"/>
      <c r="K32" s="37"/>
      <c r="M32" s="111"/>
      <c r="N32" s="37"/>
      <c r="O32" s="48"/>
      <c r="P32" s="37"/>
      <c r="Q32" s="37"/>
      <c r="R32" s="37"/>
      <c r="T32" s="111"/>
      <c r="U32" s="37"/>
      <c r="V32" s="48"/>
      <c r="W32" s="37"/>
      <c r="X32" s="37"/>
      <c r="Y32" s="37"/>
    </row>
    <row r="33" spans="6:25" x14ac:dyDescent="0.35">
      <c r="F33" s="111"/>
      <c r="G33" s="37"/>
      <c r="H33" s="48"/>
      <c r="I33" s="37"/>
      <c r="J33" s="37"/>
      <c r="K33" s="37"/>
      <c r="M33" s="111"/>
      <c r="N33" s="37"/>
      <c r="O33" s="48"/>
      <c r="P33" s="37"/>
      <c r="Q33" s="37"/>
      <c r="R33" s="37"/>
      <c r="T33" s="111"/>
      <c r="U33" s="37"/>
      <c r="V33" s="48"/>
      <c r="W33" s="37"/>
      <c r="X33" s="37"/>
      <c r="Y33" s="37"/>
    </row>
    <row r="34" spans="6:25" x14ac:dyDescent="0.35">
      <c r="F34" s="111"/>
      <c r="G34" s="37"/>
      <c r="H34" s="48"/>
      <c r="I34" s="37"/>
      <c r="J34" s="37"/>
      <c r="K34" s="37"/>
      <c r="M34" s="111"/>
      <c r="N34" s="37"/>
      <c r="O34" s="48"/>
      <c r="P34" s="37"/>
      <c r="Q34" s="37"/>
      <c r="R34" s="37"/>
      <c r="T34" s="111"/>
      <c r="U34" s="37"/>
      <c r="V34" s="48"/>
      <c r="W34" s="37"/>
      <c r="X34" s="37"/>
      <c r="Y34" s="37"/>
    </row>
    <row r="35" spans="6:25" x14ac:dyDescent="0.35">
      <c r="F35" s="111"/>
      <c r="G35" s="37"/>
      <c r="H35" s="37"/>
      <c r="I35" s="37"/>
      <c r="J35" s="37"/>
      <c r="K35" s="37"/>
      <c r="M35" s="111"/>
      <c r="N35" s="37"/>
      <c r="O35" s="37"/>
      <c r="P35" s="37"/>
      <c r="Q35" s="37"/>
      <c r="R35" s="37"/>
      <c r="T35" s="111"/>
      <c r="U35" s="37"/>
      <c r="V35" s="37"/>
      <c r="W35" s="37"/>
      <c r="X35" s="37"/>
      <c r="Y35" s="37"/>
    </row>
    <row r="36" spans="6:25" x14ac:dyDescent="0.35">
      <c r="F36" s="111"/>
      <c r="G36" s="37"/>
      <c r="H36" s="37"/>
      <c r="I36" s="37"/>
      <c r="J36" s="37"/>
      <c r="K36" s="37"/>
      <c r="M36" s="111"/>
      <c r="N36" s="37"/>
      <c r="O36" s="37"/>
      <c r="P36" s="37"/>
      <c r="Q36" s="37"/>
      <c r="R36" s="37"/>
      <c r="T36" s="111"/>
      <c r="U36" s="37"/>
      <c r="V36" s="37"/>
      <c r="W36" s="37"/>
      <c r="X36" s="37"/>
      <c r="Y36" s="37"/>
    </row>
    <row r="37" spans="6:25" x14ac:dyDescent="0.35">
      <c r="F37" s="111"/>
      <c r="G37" s="37"/>
      <c r="H37" s="37"/>
      <c r="I37" s="37"/>
      <c r="J37" s="37"/>
      <c r="K37" s="37"/>
      <c r="M37" s="111"/>
      <c r="N37" s="37"/>
      <c r="O37" s="37"/>
      <c r="P37" s="37"/>
      <c r="Q37" s="37"/>
      <c r="R37" s="37"/>
      <c r="T37" s="111"/>
      <c r="U37" s="37"/>
      <c r="V37" s="37"/>
      <c r="W37" s="37"/>
      <c r="X37" s="37"/>
      <c r="Y37" s="37"/>
    </row>
    <row r="38" spans="6:25" x14ac:dyDescent="0.35">
      <c r="F38" s="111"/>
      <c r="G38" s="37"/>
      <c r="H38" s="37"/>
      <c r="I38" s="37"/>
      <c r="J38" s="37"/>
      <c r="K38" s="37"/>
      <c r="M38" s="111"/>
      <c r="N38" s="37"/>
      <c r="O38" s="37"/>
      <c r="P38" s="37"/>
      <c r="Q38" s="37"/>
      <c r="R38" s="37"/>
      <c r="T38" s="111"/>
      <c r="U38" s="37"/>
      <c r="V38" s="37"/>
      <c r="W38" s="37"/>
      <c r="X38" s="37"/>
      <c r="Y38" s="37"/>
    </row>
    <row r="39" spans="6:25" x14ac:dyDescent="0.35">
      <c r="F39" s="111"/>
      <c r="G39" s="37"/>
      <c r="H39" s="37"/>
      <c r="I39" s="37"/>
      <c r="J39" s="37"/>
      <c r="K39" s="37"/>
      <c r="M39" s="111"/>
      <c r="N39" s="37"/>
      <c r="O39" s="37"/>
      <c r="P39" s="37"/>
      <c r="Q39" s="37"/>
      <c r="R39" s="37"/>
      <c r="T39" s="111"/>
      <c r="U39" s="37"/>
      <c r="V39" s="37"/>
      <c r="W39" s="37"/>
      <c r="X39" s="37"/>
      <c r="Y39" s="37"/>
    </row>
    <row r="40" spans="6:25" x14ac:dyDescent="0.35">
      <c r="F40" s="111"/>
      <c r="G40" s="37"/>
      <c r="H40" s="37"/>
      <c r="I40" s="37"/>
      <c r="J40" s="37"/>
      <c r="K40" s="37"/>
    </row>
    <row r="41" spans="6:25" x14ac:dyDescent="0.35">
      <c r="F41" s="111"/>
      <c r="G41" s="37"/>
      <c r="H41" s="37"/>
      <c r="I41" s="37"/>
      <c r="J41" s="37"/>
      <c r="K41" s="37"/>
    </row>
    <row r="42" spans="6:25" x14ac:dyDescent="0.35">
      <c r="F42" s="111"/>
      <c r="G42" s="37"/>
      <c r="H42" s="37"/>
      <c r="I42" s="37"/>
      <c r="J42" s="37"/>
      <c r="K42" s="37"/>
    </row>
    <row r="43" spans="6:25" x14ac:dyDescent="0.35">
      <c r="F43" s="111"/>
      <c r="G43" s="37"/>
      <c r="H43" s="37"/>
      <c r="I43" s="37"/>
      <c r="J43" s="37"/>
      <c r="K43" s="37"/>
    </row>
    <row r="44" spans="6:25" x14ac:dyDescent="0.35">
      <c r="F44" s="111"/>
      <c r="G44" s="37"/>
      <c r="H44" s="37"/>
      <c r="I44" s="37"/>
      <c r="J44" s="37"/>
      <c r="K44" s="37"/>
    </row>
  </sheetData>
  <mergeCells count="6">
    <mergeCell ref="W3:Y3"/>
    <mergeCell ref="F3:G3"/>
    <mergeCell ref="I3:K3"/>
    <mergeCell ref="M3:N3"/>
    <mergeCell ref="P3:R3"/>
    <mergeCell ref="T3:U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F680E-BF73-4F86-9D7C-EE5B42EF6E88}">
  <dimension ref="B3:BJ89"/>
  <sheetViews>
    <sheetView topLeftCell="C1" zoomScale="96" zoomScaleNormal="100" workbookViewId="0">
      <pane ySplit="3" topLeftCell="A14" activePane="bottomLeft" state="frozen"/>
      <selection pane="bottomLeft" activeCell="F27" sqref="F27"/>
    </sheetView>
  </sheetViews>
  <sheetFormatPr baseColWidth="10" defaultColWidth="8.7265625" defaultRowHeight="14.5" x14ac:dyDescent="0.35"/>
  <cols>
    <col min="2" max="2" width="21.1796875" bestFit="1" customWidth="1"/>
    <col min="3" max="4" width="18.90625" bestFit="1" customWidth="1"/>
    <col min="5" max="5" width="9.90625" customWidth="1"/>
    <col min="6" max="6" width="17.90625" customWidth="1"/>
    <col min="7" max="7" width="21.1796875" bestFit="1" customWidth="1"/>
    <col min="8" max="8" width="22.36328125" bestFit="1" customWidth="1"/>
    <col min="9" max="10" width="22.36328125" customWidth="1"/>
    <col min="11" max="11" width="22.453125" customWidth="1"/>
    <col min="12" max="12" width="20.7265625" style="164" customWidth="1"/>
    <col min="14" max="15" width="16.7265625" customWidth="1"/>
    <col min="16" max="16" width="23.26953125" bestFit="1" customWidth="1"/>
    <col min="17" max="18" width="16.7265625" customWidth="1"/>
    <col min="19" max="19" width="21.08984375" bestFit="1" customWidth="1"/>
    <col min="21" max="21" width="18.36328125" customWidth="1"/>
    <col min="22" max="22" width="21.1796875" bestFit="1" customWidth="1"/>
    <col min="23" max="23" width="23.26953125" bestFit="1" customWidth="1"/>
    <col min="24" max="26" width="18.36328125" customWidth="1"/>
    <col min="28" max="29" width="19.1796875" customWidth="1"/>
    <col min="30" max="30" width="19.81640625" bestFit="1" customWidth="1"/>
    <col min="31" max="32" width="19.1796875" customWidth="1"/>
    <col min="33" max="33" width="17.08984375" bestFit="1" customWidth="1"/>
    <col min="35" max="40" width="19.7265625" customWidth="1"/>
    <col min="42" max="47" width="18.6328125" customWidth="1"/>
    <col min="49" max="50" width="16.90625" customWidth="1"/>
    <col min="51" max="51" width="18.36328125" bestFit="1" customWidth="1"/>
    <col min="52" max="54" width="16.90625" customWidth="1"/>
    <col min="56" max="56" width="18.1796875" customWidth="1"/>
    <col min="57" max="57" width="21.6328125" customWidth="1"/>
    <col min="58" max="58" width="23.453125" customWidth="1"/>
    <col min="59" max="62" width="18.1796875" customWidth="1"/>
  </cols>
  <sheetData>
    <row r="3" spans="2:62" ht="18.5" x14ac:dyDescent="0.45">
      <c r="B3" s="112" t="s">
        <v>451</v>
      </c>
      <c r="C3" s="112" t="s">
        <v>452</v>
      </c>
      <c r="D3" s="112" t="s">
        <v>453</v>
      </c>
      <c r="F3" s="183" t="s">
        <v>518</v>
      </c>
      <c r="G3" s="184"/>
      <c r="H3" s="109"/>
      <c r="I3" s="147"/>
      <c r="J3" s="147"/>
      <c r="K3" s="148"/>
      <c r="L3" s="163"/>
      <c r="N3" s="183" t="s">
        <v>176</v>
      </c>
      <c r="O3" s="184"/>
      <c r="P3" s="109">
        <f>SUBTOTAL(9,P5:P10000)</f>
        <v>0</v>
      </c>
      <c r="Q3" s="180" t="s">
        <v>455</v>
      </c>
      <c r="R3" s="181"/>
      <c r="S3" s="182"/>
      <c r="U3" s="183" t="s">
        <v>27</v>
      </c>
      <c r="V3" s="184"/>
      <c r="W3" s="109">
        <f>SUBTOTAL(9,W5:W10000)</f>
        <v>0</v>
      </c>
      <c r="X3" s="180" t="s">
        <v>455</v>
      </c>
      <c r="Y3" s="181"/>
      <c r="Z3" s="182"/>
      <c r="AB3" s="183" t="s">
        <v>47</v>
      </c>
      <c r="AC3" s="184"/>
      <c r="AD3" s="109">
        <f>SUBTOTAL(9,AD5:AD10000)</f>
        <v>0</v>
      </c>
      <c r="AE3" s="180" t="s">
        <v>455</v>
      </c>
      <c r="AF3" s="181"/>
      <c r="AG3" s="182"/>
      <c r="AI3" s="183" t="s">
        <v>37</v>
      </c>
      <c r="AJ3" s="184"/>
      <c r="AK3" s="109">
        <f>SUBTOTAL(9,AK5:AK10000)</f>
        <v>0</v>
      </c>
      <c r="AL3" s="180" t="s">
        <v>455</v>
      </c>
      <c r="AM3" s="181"/>
      <c r="AN3" s="182"/>
      <c r="AP3" s="183" t="s">
        <v>9</v>
      </c>
      <c r="AQ3" s="184"/>
      <c r="AR3" s="109">
        <f>SUBTOTAL(9,AR5:AR10000)</f>
        <v>0</v>
      </c>
      <c r="AS3" s="180" t="s">
        <v>455</v>
      </c>
      <c r="AT3" s="181"/>
      <c r="AU3" s="182"/>
      <c r="AW3" s="183" t="s">
        <v>448</v>
      </c>
      <c r="AX3" s="184"/>
      <c r="AY3" s="109">
        <f>SUBTOTAL(9,AY5:AY10000)</f>
        <v>0</v>
      </c>
      <c r="AZ3" s="180" t="s">
        <v>455</v>
      </c>
      <c r="BA3" s="181"/>
      <c r="BB3" s="182"/>
      <c r="BD3" s="183" t="s">
        <v>436</v>
      </c>
      <c r="BE3" s="184"/>
      <c r="BF3" s="109">
        <f>SUBTOTAL(9,BF5:BF10000)</f>
        <v>0</v>
      </c>
      <c r="BG3" s="109">
        <f>SUBTOTAL(9,BG5:BG10000)</f>
        <v>0</v>
      </c>
      <c r="BH3" s="180"/>
      <c r="BI3" s="181"/>
      <c r="BJ3" s="182"/>
    </row>
    <row r="4" spans="2:62" ht="22.5" customHeight="1" x14ac:dyDescent="0.35">
      <c r="B4" s="80" t="s">
        <v>479</v>
      </c>
      <c r="C4" s="80"/>
      <c r="D4" s="141">
        <v>2000000000</v>
      </c>
      <c r="F4" s="166" t="s">
        <v>80</v>
      </c>
      <c r="G4" s="166" t="s">
        <v>2</v>
      </c>
      <c r="H4" s="166" t="s">
        <v>3</v>
      </c>
      <c r="I4" s="166" t="s">
        <v>455</v>
      </c>
      <c r="J4" s="166" t="s">
        <v>5</v>
      </c>
      <c r="K4" s="166" t="s">
        <v>515</v>
      </c>
      <c r="L4" s="167" t="s">
        <v>517</v>
      </c>
      <c r="N4" s="110" t="s">
        <v>80</v>
      </c>
      <c r="O4" s="110" t="s">
        <v>2</v>
      </c>
      <c r="P4" s="110" t="s">
        <v>81</v>
      </c>
      <c r="Q4" s="110" t="s">
        <v>82</v>
      </c>
      <c r="R4" s="110" t="s">
        <v>346</v>
      </c>
      <c r="S4" s="110" t="s">
        <v>429</v>
      </c>
      <c r="U4" s="110" t="s">
        <v>80</v>
      </c>
      <c r="V4" s="110" t="s">
        <v>2</v>
      </c>
      <c r="W4" s="110" t="s">
        <v>81</v>
      </c>
      <c r="X4" s="110" t="s">
        <v>82</v>
      </c>
      <c r="Y4" s="110" t="s">
        <v>346</v>
      </c>
      <c r="Z4" s="110" t="s">
        <v>429</v>
      </c>
      <c r="AB4" s="110" t="s">
        <v>80</v>
      </c>
      <c r="AC4" s="110" t="s">
        <v>2</v>
      </c>
      <c r="AD4" s="110" t="s">
        <v>81</v>
      </c>
      <c r="AE4" s="110" t="s">
        <v>82</v>
      </c>
      <c r="AF4" s="110" t="s">
        <v>346</v>
      </c>
      <c r="AG4" s="110" t="s">
        <v>429</v>
      </c>
      <c r="AI4" s="110" t="s">
        <v>80</v>
      </c>
      <c r="AJ4" s="110" t="s">
        <v>2</v>
      </c>
      <c r="AK4" s="110" t="s">
        <v>81</v>
      </c>
      <c r="AL4" s="110" t="s">
        <v>82</v>
      </c>
      <c r="AM4" s="110" t="s">
        <v>346</v>
      </c>
      <c r="AN4" s="110" t="s">
        <v>429</v>
      </c>
      <c r="AP4" s="110" t="s">
        <v>80</v>
      </c>
      <c r="AQ4" s="110" t="s">
        <v>2</v>
      </c>
      <c r="AR4" s="110" t="s">
        <v>81</v>
      </c>
      <c r="AS4" s="110" t="s">
        <v>82</v>
      </c>
      <c r="AT4" s="110" t="s">
        <v>346</v>
      </c>
      <c r="AU4" s="110" t="s">
        <v>429</v>
      </c>
      <c r="AW4" s="110" t="s">
        <v>80</v>
      </c>
      <c r="AX4" s="110" t="s">
        <v>2</v>
      </c>
      <c r="AY4" s="110" t="s">
        <v>81</v>
      </c>
      <c r="AZ4" s="110" t="s">
        <v>82</v>
      </c>
      <c r="BA4" s="110" t="s">
        <v>346</v>
      </c>
      <c r="BB4" s="110" t="s">
        <v>429</v>
      </c>
      <c r="BD4" s="110" t="s">
        <v>80</v>
      </c>
      <c r="BE4" s="110" t="s">
        <v>2</v>
      </c>
      <c r="BF4" s="110" t="s">
        <v>3</v>
      </c>
      <c r="BG4" s="110" t="s">
        <v>455</v>
      </c>
      <c r="BH4" s="110" t="s">
        <v>82</v>
      </c>
      <c r="BI4" s="110" t="s">
        <v>346</v>
      </c>
      <c r="BJ4" s="110" t="s">
        <v>429</v>
      </c>
    </row>
    <row r="5" spans="2:62" x14ac:dyDescent="0.35">
      <c r="B5" s="37" t="s">
        <v>176</v>
      </c>
      <c r="C5" s="113">
        <f>P3</f>
        <v>0</v>
      </c>
      <c r="D5" s="113"/>
      <c r="F5" s="149"/>
      <c r="G5" s="50" t="s">
        <v>516</v>
      </c>
      <c r="H5" s="150">
        <v>2000000000</v>
      </c>
      <c r="I5" s="150"/>
      <c r="J5" s="155">
        <f>H5-I5</f>
        <v>2000000000</v>
      </c>
      <c r="K5" s="50"/>
      <c r="L5" s="149"/>
      <c r="N5" s="111" t="e" cm="1" vm="1">
        <f t="array" aca="1" ref="N5" ca="1">_xlfn.CHOOSECOLS(_xlfn._xlws.FILTER(STATEMENT!A3:H10035,STATEMENT!H3:H10035="MISE EN PLACE DE PRÊT"),1,2,3,6,7,8)</f>
        <v>#NAME?</v>
      </c>
      <c r="O5" s="37"/>
      <c r="P5" s="48"/>
      <c r="Q5" s="37"/>
      <c r="R5" s="37"/>
      <c r="S5" s="37"/>
      <c r="U5" s="111" t="e" cm="1" vm="1">
        <f t="array" aca="1" ref="U5" ca="1">_xlfn.CHOOSECOLS(_xlfn._xlws.FILTER(STATEMENT!A3:H10035,STATEMENT!H3:H10035="REMBOURSEMENT PRET"),1,2,4,6,7,8)</f>
        <v>#NAME?</v>
      </c>
      <c r="V5" s="37"/>
      <c r="W5" s="48"/>
      <c r="X5" s="37"/>
      <c r="Y5" s="37"/>
      <c r="Z5" s="37"/>
      <c r="AB5" s="111" t="e" cm="1" vm="1">
        <f t="array" aca="1" ref="AB5" ca="1">_xlfn.CHOOSECOLS(_xlfn._xlws.FILTER(STATEMENT!A3:H10035,STATEMENT!H3:H10035="INTERETS SUR PRET"),1,2,4,6,7,8)</f>
        <v>#NAME?</v>
      </c>
      <c r="AC5" s="37"/>
      <c r="AD5" s="48"/>
      <c r="AE5" s="37"/>
      <c r="AF5" s="37"/>
      <c r="AG5" s="37"/>
      <c r="AI5" s="111" t="e" cm="1" vm="1">
        <f t="array" aca="1" ref="AI5" ca="1">_xlfn.CHOOSECOLS(_xlfn._xlws.FILTER(STATEMENT!A3:H10035,STATEMENT!H3:H10035="FRAIS SUR PRET"),1,2,4,6,7,8)</f>
        <v>#NAME?</v>
      </c>
      <c r="AJ5" s="37"/>
      <c r="AK5" s="48"/>
      <c r="AL5" s="37"/>
      <c r="AM5" s="37"/>
      <c r="AN5" s="37"/>
      <c r="AP5" s="111" t="e" cm="1" vm="1">
        <f t="array" aca="1" ref="AP5" ca="1">_xlfn.CHOOSECOLS(_xlfn._xlws.FILTER(STATEMENT!A3:H10035,STATEMENT!H3:H10035="FRAIS BANCAIRE"),1,2,4,6,7,8)</f>
        <v>#NAME?</v>
      </c>
      <c r="AQ5" s="37"/>
      <c r="AR5" s="48"/>
      <c r="AS5" s="37"/>
      <c r="AT5" s="37"/>
      <c r="AU5" s="37"/>
      <c r="AW5" s="111" t="e" cm="1" vm="1">
        <f t="array" aca="1" ref="AW5" ca="1">_xlfn.CHOOSECOLS(_xlfn._xlws.FILTER(STATEMENT!A3:H10035,STATEMENT!H3:H10035="FRAIS DE TIRAGE"),1,2,4,6,7,8)</f>
        <v>#NAME?</v>
      </c>
      <c r="AX5" s="37"/>
      <c r="AY5" s="48"/>
      <c r="AZ5" s="37"/>
      <c r="BA5" s="37"/>
      <c r="BB5" s="37"/>
      <c r="BD5" s="111" t="e" cm="1" vm="1">
        <f t="array" aca="1" ref="BD5" ca="1">_xlfn.CHOOSECOLS(_xlfn._xlws.FILTER(STATEMENT!A3:H10035,STATEMENT!H3:H10035="CONTRE ECRITURE"),1,2,3,4,6,7,8)</f>
        <v>#NAME?</v>
      </c>
      <c r="BE5" s="37"/>
      <c r="BF5" s="48"/>
      <c r="BG5" s="48"/>
      <c r="BH5" s="37"/>
      <c r="BI5" s="37"/>
      <c r="BJ5" s="37"/>
    </row>
    <row r="6" spans="2:62" x14ac:dyDescent="0.35">
      <c r="B6" s="37" t="s">
        <v>27</v>
      </c>
      <c r="C6" s="113"/>
      <c r="D6" s="113">
        <f>W3</f>
        <v>0</v>
      </c>
      <c r="F6" s="151">
        <v>46066</v>
      </c>
      <c r="G6" s="152" t="s">
        <v>27</v>
      </c>
      <c r="H6" s="152"/>
      <c r="I6" s="153">
        <v>125000000</v>
      </c>
      <c r="J6" s="154">
        <f>J5+H6-I6</f>
        <v>1875000000</v>
      </c>
      <c r="K6" s="152"/>
      <c r="L6" s="151"/>
      <c r="N6" s="111"/>
      <c r="O6" s="37"/>
      <c r="P6" s="48"/>
      <c r="Q6" s="37"/>
      <c r="R6" s="37"/>
      <c r="S6" s="37"/>
      <c r="U6" s="111"/>
      <c r="V6" s="37"/>
      <c r="W6" s="48"/>
      <c r="X6" s="37"/>
      <c r="Y6" s="37"/>
      <c r="Z6" s="37"/>
      <c r="AB6" s="111"/>
      <c r="AC6" s="37"/>
      <c r="AD6" s="48"/>
      <c r="AE6" s="37"/>
      <c r="AF6" s="37"/>
      <c r="AG6" s="37"/>
      <c r="AI6" s="111"/>
      <c r="AJ6" s="37"/>
      <c r="AK6" s="48"/>
      <c r="AL6" s="37"/>
      <c r="AM6" s="37"/>
      <c r="AN6" s="37"/>
      <c r="AP6" s="111"/>
      <c r="AQ6" s="37"/>
      <c r="AR6" s="48"/>
      <c r="AS6" s="37"/>
      <c r="AT6" s="37"/>
      <c r="AU6" s="37"/>
      <c r="AW6" s="111"/>
      <c r="AX6" s="37"/>
      <c r="AY6" s="48"/>
      <c r="AZ6" s="37"/>
      <c r="BA6" s="37"/>
      <c r="BB6" s="37"/>
      <c r="BD6" s="111"/>
      <c r="BE6" s="37"/>
      <c r="BF6" s="48"/>
      <c r="BG6" s="48"/>
      <c r="BH6" s="37"/>
      <c r="BI6" s="37"/>
      <c r="BJ6" s="37"/>
    </row>
    <row r="7" spans="2:62" x14ac:dyDescent="0.35">
      <c r="B7" s="142" t="s">
        <v>454</v>
      </c>
      <c r="C7" s="143">
        <f>SUM(C4:C6)</f>
        <v>0</v>
      </c>
      <c r="D7" s="143">
        <f>SUM(D4:D6)</f>
        <v>2000000000</v>
      </c>
      <c r="F7" s="151">
        <v>46080</v>
      </c>
      <c r="G7" s="152" t="s">
        <v>27</v>
      </c>
      <c r="H7" s="152"/>
      <c r="I7" s="153">
        <v>130000000</v>
      </c>
      <c r="J7" s="154">
        <f t="shared" ref="J7:J29" si="0">J6+H7-I7</f>
        <v>1745000000</v>
      </c>
      <c r="K7" s="152"/>
      <c r="L7" s="151"/>
      <c r="N7" s="111"/>
      <c r="O7" s="37"/>
      <c r="P7" s="48"/>
      <c r="Q7" s="37"/>
      <c r="R7" s="37"/>
      <c r="S7" s="37"/>
      <c r="U7" s="111"/>
      <c r="V7" s="37"/>
      <c r="W7" s="48"/>
      <c r="X7" s="37"/>
      <c r="Y7" s="37"/>
      <c r="Z7" s="37"/>
      <c r="AB7" s="111"/>
      <c r="AC7" s="37"/>
      <c r="AD7" s="48"/>
      <c r="AE7" s="37"/>
      <c r="AF7" s="37"/>
      <c r="AG7" s="37"/>
      <c r="AI7" s="111"/>
      <c r="AJ7" s="37"/>
      <c r="AK7" s="48"/>
      <c r="AL7" s="37"/>
      <c r="AM7" s="37"/>
      <c r="AN7" s="37"/>
      <c r="AP7" s="111"/>
      <c r="AQ7" s="37"/>
      <c r="AR7" s="48"/>
      <c r="AS7" s="37"/>
      <c r="AT7" s="37"/>
      <c r="AU7" s="37"/>
      <c r="AW7" s="111"/>
      <c r="AX7" s="37"/>
      <c r="AY7" s="48"/>
      <c r="AZ7" s="37"/>
      <c r="BA7" s="37"/>
      <c r="BB7" s="37"/>
      <c r="BD7" s="111"/>
      <c r="BE7" s="37"/>
      <c r="BF7" s="48"/>
      <c r="BG7" s="48"/>
      <c r="BH7" s="37"/>
      <c r="BI7" s="37"/>
      <c r="BJ7" s="37"/>
    </row>
    <row r="8" spans="2:62" x14ac:dyDescent="0.35">
      <c r="B8" s="144" t="s">
        <v>5</v>
      </c>
      <c r="C8" s="185">
        <f>C7-D7</f>
        <v>-2000000000</v>
      </c>
      <c r="D8" s="186"/>
      <c r="F8" s="160">
        <v>46094</v>
      </c>
      <c r="G8" s="161" t="s">
        <v>38</v>
      </c>
      <c r="H8" s="162">
        <v>120000000</v>
      </c>
      <c r="I8" s="162"/>
      <c r="J8" s="68">
        <f t="shared" si="0"/>
        <v>1865000000</v>
      </c>
      <c r="K8" s="67" t="s">
        <v>597</v>
      </c>
      <c r="L8" s="160">
        <v>46278</v>
      </c>
      <c r="N8" s="111"/>
      <c r="O8" s="37"/>
      <c r="P8" s="48"/>
      <c r="Q8" s="37"/>
      <c r="R8" s="37"/>
      <c r="S8" s="37"/>
      <c r="U8" s="111"/>
      <c r="V8" s="37"/>
      <c r="W8" s="48"/>
      <c r="X8" s="37"/>
      <c r="Y8" s="37"/>
      <c r="Z8" s="37"/>
      <c r="AB8" s="111"/>
      <c r="AC8" s="37"/>
      <c r="AD8" s="48"/>
      <c r="AE8" s="37"/>
      <c r="AF8" s="37"/>
      <c r="AG8" s="37"/>
      <c r="AI8" s="111"/>
      <c r="AJ8" s="37"/>
      <c r="AK8" s="48"/>
      <c r="AL8" s="37"/>
      <c r="AM8" s="37"/>
      <c r="AN8" s="37"/>
      <c r="AP8" s="111"/>
      <c r="AQ8" s="37"/>
      <c r="AR8" s="48"/>
      <c r="AS8" s="37"/>
      <c r="AT8" s="37"/>
      <c r="AU8" s="37"/>
      <c r="AW8" s="111"/>
      <c r="AX8" s="37"/>
      <c r="AY8" s="48"/>
      <c r="AZ8" s="37"/>
      <c r="BA8" s="37"/>
      <c r="BB8" s="37"/>
      <c r="BD8" s="111"/>
      <c r="BE8" s="37"/>
      <c r="BF8" s="48"/>
      <c r="BG8" s="48"/>
      <c r="BH8" s="37"/>
      <c r="BI8" s="37"/>
      <c r="BJ8" s="37"/>
    </row>
    <row r="9" spans="2:62" x14ac:dyDescent="0.35">
      <c r="F9" s="151">
        <v>46105</v>
      </c>
      <c r="G9" s="152" t="s">
        <v>27</v>
      </c>
      <c r="H9" s="152"/>
      <c r="I9" s="153">
        <v>245000000</v>
      </c>
      <c r="J9" s="154">
        <f t="shared" si="0"/>
        <v>1620000000</v>
      </c>
      <c r="K9" s="152"/>
      <c r="L9" s="151"/>
      <c r="N9" s="111"/>
      <c r="O9" s="37"/>
      <c r="P9" s="48"/>
      <c r="Q9" s="37"/>
      <c r="R9" s="37"/>
      <c r="S9" s="37"/>
      <c r="U9" s="111"/>
      <c r="V9" s="37"/>
      <c r="W9" s="48"/>
      <c r="X9" s="37"/>
      <c r="Y9" s="37"/>
      <c r="Z9" s="37"/>
      <c r="AB9" s="111"/>
      <c r="AC9" s="37"/>
      <c r="AD9" s="48"/>
      <c r="AE9" s="37"/>
      <c r="AF9" s="37"/>
      <c r="AG9" s="37"/>
      <c r="AI9" s="111"/>
      <c r="AJ9" s="37"/>
      <c r="AK9" s="48"/>
      <c r="AL9" s="37"/>
      <c r="AM9" s="37"/>
      <c r="AN9" s="37"/>
      <c r="AP9" s="111"/>
      <c r="AQ9" s="37"/>
      <c r="AR9" s="48"/>
      <c r="AS9" s="37"/>
      <c r="AT9" s="37"/>
      <c r="AU9" s="37"/>
      <c r="AW9" s="111"/>
      <c r="AX9" s="37"/>
      <c r="AY9" s="48"/>
      <c r="AZ9" s="37"/>
      <c r="BA9" s="37"/>
      <c r="BB9" s="37"/>
      <c r="BD9" s="111"/>
      <c r="BE9" s="37"/>
      <c r="BF9" s="48"/>
      <c r="BG9" s="48"/>
      <c r="BH9" s="37"/>
      <c r="BI9" s="37"/>
      <c r="BJ9" s="37"/>
    </row>
    <row r="10" spans="2:62" x14ac:dyDescent="0.35">
      <c r="B10" s="112" t="s">
        <v>451</v>
      </c>
      <c r="C10" s="112" t="s">
        <v>452</v>
      </c>
      <c r="D10" s="112" t="s">
        <v>453</v>
      </c>
      <c r="F10" s="160">
        <v>46107</v>
      </c>
      <c r="G10" s="161" t="s">
        <v>38</v>
      </c>
      <c r="H10" s="162">
        <v>120000000</v>
      </c>
      <c r="I10" s="162"/>
      <c r="J10" s="68">
        <f t="shared" si="0"/>
        <v>1740000000</v>
      </c>
      <c r="K10" s="161"/>
      <c r="L10" s="160">
        <v>46291</v>
      </c>
      <c r="N10" s="111"/>
      <c r="O10" s="37"/>
      <c r="P10" s="48"/>
      <c r="Q10" s="37"/>
      <c r="R10" s="37"/>
      <c r="S10" s="37"/>
      <c r="U10" s="111"/>
      <c r="V10" s="37"/>
      <c r="W10" s="48"/>
      <c r="X10" s="37"/>
      <c r="Y10" s="37"/>
      <c r="Z10" s="37"/>
      <c r="AB10" s="111"/>
      <c r="AC10" s="37"/>
      <c r="AD10" s="48"/>
      <c r="AE10" s="37"/>
      <c r="AF10" s="37"/>
      <c r="AG10" s="37"/>
      <c r="AI10" s="111"/>
      <c r="AJ10" s="37"/>
      <c r="AK10" s="48"/>
      <c r="AL10" s="37"/>
      <c r="AM10" s="37"/>
      <c r="AN10" s="37"/>
      <c r="AP10" s="111"/>
      <c r="AQ10" s="37"/>
      <c r="AR10" s="48"/>
      <c r="AS10" s="37"/>
      <c r="AT10" s="37"/>
      <c r="AU10" s="37"/>
      <c r="AW10" s="111"/>
      <c r="AX10" s="37"/>
      <c r="AY10" s="48"/>
      <c r="AZ10" s="37"/>
      <c r="BA10" s="37"/>
      <c r="BB10" s="37"/>
      <c r="BD10" s="111"/>
      <c r="BE10" s="37"/>
      <c r="BF10" s="48"/>
      <c r="BG10" s="48"/>
      <c r="BH10" s="37"/>
      <c r="BI10" s="37"/>
      <c r="BJ10" s="37"/>
    </row>
    <row r="11" spans="2:62" x14ac:dyDescent="0.35">
      <c r="B11" s="37" t="s">
        <v>47</v>
      </c>
      <c r="C11" s="113"/>
      <c r="D11" s="113">
        <f>AD3</f>
        <v>0</v>
      </c>
      <c r="F11" s="151">
        <v>46108</v>
      </c>
      <c r="G11" s="152" t="s">
        <v>27</v>
      </c>
      <c r="H11" s="152"/>
      <c r="I11" s="153">
        <v>226829498</v>
      </c>
      <c r="J11" s="154">
        <f t="shared" si="0"/>
        <v>1513170502</v>
      </c>
      <c r="K11" s="152"/>
      <c r="L11" s="151"/>
      <c r="N11" s="111"/>
      <c r="O11" s="37"/>
      <c r="P11" s="48"/>
      <c r="Q11" s="37"/>
      <c r="R11" s="37"/>
      <c r="S11" s="37"/>
      <c r="U11" s="111"/>
      <c r="V11" s="37"/>
      <c r="W11" s="48"/>
      <c r="X11" s="37"/>
      <c r="Y11" s="37"/>
      <c r="Z11" s="37"/>
      <c r="AB11" s="111"/>
      <c r="AC11" s="37"/>
      <c r="AD11" s="48"/>
      <c r="AE11" s="37"/>
      <c r="AF11" s="37"/>
      <c r="AG11" s="37"/>
      <c r="AI11" s="111"/>
      <c r="AJ11" s="37"/>
      <c r="AK11" s="48"/>
      <c r="AL11" s="37"/>
      <c r="AM11" s="37"/>
      <c r="AN11" s="37"/>
      <c r="AP11" s="111"/>
      <c r="AQ11" s="37"/>
      <c r="AR11" s="48"/>
      <c r="AS11" s="37"/>
      <c r="AT11" s="37"/>
      <c r="AU11" s="37"/>
      <c r="AW11" s="111"/>
      <c r="AX11" s="37"/>
      <c r="AY11" s="48"/>
      <c r="AZ11" s="37"/>
      <c r="BA11" s="37"/>
      <c r="BB11" s="37"/>
      <c r="BD11" s="111"/>
      <c r="BE11" s="37"/>
      <c r="BF11" s="48"/>
      <c r="BG11" s="48"/>
      <c r="BH11" s="37"/>
      <c r="BI11" s="37"/>
      <c r="BJ11" s="37"/>
    </row>
    <row r="12" spans="2:62" x14ac:dyDescent="0.35">
      <c r="B12" s="37" t="s">
        <v>37</v>
      </c>
      <c r="C12" s="113"/>
      <c r="D12" s="113">
        <f>AK3</f>
        <v>0</v>
      </c>
      <c r="F12" s="160">
        <v>46108</v>
      </c>
      <c r="G12" s="161" t="s">
        <v>38</v>
      </c>
      <c r="H12" s="162">
        <v>250000000</v>
      </c>
      <c r="I12" s="162"/>
      <c r="J12" s="68">
        <f t="shared" si="0"/>
        <v>1763170502</v>
      </c>
      <c r="K12" s="161"/>
      <c r="L12" s="160">
        <v>46292</v>
      </c>
      <c r="N12" s="111"/>
      <c r="O12" s="37"/>
      <c r="P12" s="48"/>
      <c r="Q12" s="37"/>
      <c r="R12" s="37"/>
      <c r="S12" s="37"/>
      <c r="U12" s="111"/>
      <c r="V12" s="37"/>
      <c r="W12" s="48"/>
      <c r="X12" s="37"/>
      <c r="Y12" s="37"/>
      <c r="Z12" s="37"/>
      <c r="AB12" s="111"/>
      <c r="AC12" s="37"/>
      <c r="AD12" s="48"/>
      <c r="AE12" s="37"/>
      <c r="AF12" s="37"/>
      <c r="AG12" s="37"/>
      <c r="AI12" s="111"/>
      <c r="AJ12" s="37"/>
      <c r="AK12" s="48"/>
      <c r="AL12" s="37"/>
      <c r="AM12" s="37"/>
      <c r="AN12" s="37"/>
      <c r="AP12" s="111"/>
      <c r="AQ12" s="37"/>
      <c r="AR12" s="48"/>
      <c r="AS12" s="37"/>
      <c r="AT12" s="37"/>
      <c r="AU12" s="37"/>
      <c r="AW12" s="111"/>
      <c r="AX12" s="37"/>
      <c r="AY12" s="48"/>
      <c r="AZ12" s="37"/>
      <c r="BA12" s="37"/>
      <c r="BB12" s="37"/>
      <c r="BD12" s="111"/>
      <c r="BE12" s="37"/>
      <c r="BF12" s="48"/>
      <c r="BG12" s="48"/>
      <c r="BH12" s="37"/>
      <c r="BI12" s="37"/>
      <c r="BJ12" s="37"/>
    </row>
    <row r="13" spans="2:62" x14ac:dyDescent="0.35">
      <c r="B13" s="37" t="s">
        <v>454</v>
      </c>
      <c r="C13" s="114">
        <f>SUM(C11:C12)</f>
        <v>0</v>
      </c>
      <c r="D13" s="114">
        <f>SUM(D11:D12)</f>
        <v>0</v>
      </c>
      <c r="F13" s="151">
        <v>46111</v>
      </c>
      <c r="G13" s="152" t="s">
        <v>27</v>
      </c>
      <c r="H13" s="152"/>
      <c r="I13" s="153">
        <v>76900000</v>
      </c>
      <c r="J13" s="154">
        <f t="shared" si="0"/>
        <v>1686270502</v>
      </c>
      <c r="K13" s="152"/>
      <c r="L13" s="151"/>
      <c r="N13" s="111"/>
      <c r="O13" s="37"/>
      <c r="P13" s="48"/>
      <c r="Q13" s="37"/>
      <c r="R13" s="37"/>
      <c r="S13" s="37"/>
      <c r="U13" s="111"/>
      <c r="V13" s="37"/>
      <c r="W13" s="48"/>
      <c r="X13" s="37"/>
      <c r="Y13" s="37"/>
      <c r="Z13" s="37"/>
      <c r="AB13" s="111"/>
      <c r="AC13" s="37"/>
      <c r="AD13" s="48"/>
      <c r="AE13" s="37"/>
      <c r="AF13" s="37"/>
      <c r="AG13" s="37"/>
      <c r="AI13" s="111"/>
      <c r="AJ13" s="37"/>
      <c r="AK13" s="48"/>
      <c r="AL13" s="37"/>
      <c r="AM13" s="37"/>
      <c r="AN13" s="37"/>
      <c r="AP13" s="111"/>
      <c r="AQ13" s="37"/>
      <c r="AR13" s="48"/>
      <c r="AS13" s="37"/>
      <c r="AT13" s="37"/>
      <c r="AU13" s="37"/>
      <c r="AW13" s="111"/>
      <c r="AX13" s="37"/>
      <c r="AY13" s="48"/>
      <c r="AZ13" s="37"/>
      <c r="BA13" s="37"/>
      <c r="BB13" s="37"/>
      <c r="BD13" s="111"/>
      <c r="BE13" s="37"/>
      <c r="BF13" s="48"/>
      <c r="BG13" s="48"/>
      <c r="BH13" s="37"/>
      <c r="BI13" s="37"/>
      <c r="BJ13" s="37"/>
    </row>
    <row r="14" spans="2:62" x14ac:dyDescent="0.35">
      <c r="F14" s="151">
        <v>46112</v>
      </c>
      <c r="G14" s="152" t="s">
        <v>27</v>
      </c>
      <c r="H14" s="152"/>
      <c r="I14" s="153">
        <v>15000000</v>
      </c>
      <c r="J14" s="154">
        <f t="shared" si="0"/>
        <v>1671270502</v>
      </c>
      <c r="K14" s="152"/>
      <c r="L14" s="151"/>
      <c r="N14" s="111"/>
      <c r="O14" s="37"/>
      <c r="P14" s="48"/>
      <c r="Q14" s="37"/>
      <c r="R14" s="37"/>
      <c r="S14" s="37"/>
      <c r="U14" s="111"/>
      <c r="V14" s="37"/>
      <c r="W14" s="48"/>
      <c r="X14" s="37"/>
      <c r="Y14" s="37"/>
      <c r="Z14" s="37"/>
      <c r="AB14" s="111"/>
      <c r="AC14" s="37"/>
      <c r="AD14" s="48"/>
      <c r="AE14" s="37"/>
      <c r="AF14" s="37"/>
      <c r="AG14" s="37"/>
      <c r="AI14" s="111"/>
      <c r="AJ14" s="37"/>
      <c r="AK14" s="48"/>
      <c r="AL14" s="37"/>
      <c r="AM14" s="37"/>
      <c r="AN14" s="37"/>
      <c r="AP14" s="111"/>
      <c r="AQ14" s="37"/>
      <c r="AR14" s="48"/>
      <c r="AS14" s="37"/>
      <c r="AT14" s="37"/>
      <c r="AU14" s="37"/>
      <c r="AW14" s="111"/>
      <c r="AX14" s="37"/>
      <c r="AY14" s="48"/>
      <c r="AZ14" s="37"/>
      <c r="BA14" s="37"/>
      <c r="BB14" s="37"/>
      <c r="BD14" s="111"/>
      <c r="BE14" s="37"/>
      <c r="BF14" s="48"/>
      <c r="BG14" s="48"/>
      <c r="BH14" s="37"/>
      <c r="BI14" s="37"/>
      <c r="BJ14" s="37"/>
    </row>
    <row r="15" spans="2:62" x14ac:dyDescent="0.35">
      <c r="F15" s="151">
        <v>46113</v>
      </c>
      <c r="G15" s="152" t="s">
        <v>27</v>
      </c>
      <c r="H15" s="152"/>
      <c r="I15" s="153">
        <v>179709346</v>
      </c>
      <c r="J15" s="154">
        <f t="shared" si="0"/>
        <v>1491561156</v>
      </c>
      <c r="K15" s="152"/>
      <c r="L15" s="151"/>
      <c r="N15" s="111"/>
      <c r="O15" s="37"/>
      <c r="P15" s="48"/>
      <c r="Q15" s="37"/>
      <c r="R15" s="37"/>
      <c r="S15" s="37"/>
      <c r="U15" s="111"/>
      <c r="V15" s="37"/>
      <c r="W15" s="48"/>
      <c r="X15" s="37"/>
      <c r="Y15" s="37"/>
      <c r="Z15" s="37"/>
      <c r="AB15" s="111"/>
      <c r="AC15" s="37"/>
      <c r="AD15" s="48"/>
      <c r="AE15" s="37"/>
      <c r="AF15" s="37"/>
      <c r="AG15" s="37"/>
      <c r="AI15" s="111"/>
      <c r="AJ15" s="37"/>
      <c r="AK15" s="48"/>
      <c r="AL15" s="37"/>
      <c r="AM15" s="37"/>
      <c r="AN15" s="37"/>
      <c r="AP15" s="111"/>
      <c r="AQ15" s="37"/>
      <c r="AR15" s="48"/>
      <c r="AS15" s="37"/>
      <c r="AT15" s="37"/>
      <c r="AU15" s="37"/>
      <c r="AW15" s="111"/>
      <c r="AX15" s="37"/>
      <c r="AY15" s="48"/>
      <c r="AZ15" s="37"/>
      <c r="BA15" s="37"/>
      <c r="BB15" s="37"/>
      <c r="BD15" s="111"/>
      <c r="BE15" s="37"/>
      <c r="BF15" s="48"/>
      <c r="BG15" s="48"/>
      <c r="BH15" s="37"/>
      <c r="BI15" s="37"/>
      <c r="BJ15" s="37"/>
    </row>
    <row r="16" spans="2:62" x14ac:dyDescent="0.35">
      <c r="B16" s="112" t="s">
        <v>451</v>
      </c>
      <c r="C16" s="112" t="s">
        <v>452</v>
      </c>
      <c r="D16" s="112" t="s">
        <v>453</v>
      </c>
      <c r="F16" s="151">
        <v>46114</v>
      </c>
      <c r="G16" s="152" t="s">
        <v>27</v>
      </c>
      <c r="H16" s="152"/>
      <c r="I16" s="153">
        <v>1561156</v>
      </c>
      <c r="J16" s="154">
        <f t="shared" si="0"/>
        <v>1490000000</v>
      </c>
      <c r="K16" s="152"/>
      <c r="L16" s="151"/>
      <c r="N16" s="111"/>
      <c r="O16" s="37"/>
      <c r="P16" s="48"/>
      <c r="Q16" s="37"/>
      <c r="R16" s="37"/>
      <c r="S16" s="37"/>
      <c r="U16" s="111"/>
      <c r="V16" s="37"/>
      <c r="W16" s="48"/>
      <c r="X16" s="37"/>
      <c r="Y16" s="37"/>
      <c r="Z16" s="37"/>
      <c r="AB16" s="111"/>
      <c r="AC16" s="37"/>
      <c r="AD16" s="48"/>
      <c r="AE16" s="37"/>
      <c r="AF16" s="37"/>
      <c r="AG16" s="37"/>
      <c r="AI16" s="111"/>
      <c r="AJ16" s="37"/>
      <c r="AK16" s="48"/>
      <c r="AL16" s="37"/>
      <c r="AM16" s="37"/>
      <c r="AN16" s="37"/>
      <c r="AP16" s="111"/>
      <c r="AQ16" s="37"/>
      <c r="AR16" s="48"/>
      <c r="AS16" s="37"/>
      <c r="AT16" s="37"/>
      <c r="AU16" s="37"/>
      <c r="AW16" s="111"/>
      <c r="AX16" s="37"/>
      <c r="AY16" s="48"/>
      <c r="AZ16" s="37"/>
      <c r="BA16" s="37"/>
      <c r="BB16" s="37"/>
      <c r="BD16" s="111"/>
      <c r="BE16" s="37"/>
      <c r="BF16" s="48"/>
      <c r="BG16" s="48"/>
      <c r="BH16" s="37"/>
      <c r="BI16" s="37"/>
      <c r="BJ16" s="37"/>
    </row>
    <row r="17" spans="2:62" x14ac:dyDescent="0.35">
      <c r="B17" s="37" t="s">
        <v>9</v>
      </c>
      <c r="C17" s="113"/>
      <c r="D17" s="113">
        <f>AR3</f>
        <v>0</v>
      </c>
      <c r="F17" s="151">
        <v>46119</v>
      </c>
      <c r="G17" s="152" t="s">
        <v>27</v>
      </c>
      <c r="H17" s="152"/>
      <c r="I17" s="153">
        <v>110326622</v>
      </c>
      <c r="J17" s="154">
        <f t="shared" si="0"/>
        <v>1379673378</v>
      </c>
      <c r="K17" s="152"/>
      <c r="L17" s="151"/>
      <c r="N17" s="111"/>
      <c r="O17" s="37"/>
      <c r="P17" s="48"/>
      <c r="Q17" s="37"/>
      <c r="R17" s="37"/>
      <c r="S17" s="37"/>
      <c r="U17" s="111"/>
      <c r="V17" s="37"/>
      <c r="W17" s="48"/>
      <c r="X17" s="37"/>
      <c r="Y17" s="37"/>
      <c r="Z17" s="37"/>
      <c r="AB17" s="111"/>
      <c r="AC17" s="37"/>
      <c r="AD17" s="48"/>
      <c r="AE17" s="37"/>
      <c r="AF17" s="37"/>
      <c r="AG17" s="37"/>
      <c r="AI17" s="111"/>
      <c r="AJ17" s="37"/>
      <c r="AK17" s="48"/>
      <c r="AL17" s="37"/>
      <c r="AM17" s="37"/>
      <c r="AN17" s="37"/>
      <c r="AP17" s="111"/>
      <c r="AQ17" s="37"/>
      <c r="AR17" s="48"/>
      <c r="AS17" s="37"/>
      <c r="AT17" s="37"/>
      <c r="AU17" s="37"/>
      <c r="AW17" s="111"/>
      <c r="AX17" s="37"/>
      <c r="AY17" s="48"/>
      <c r="AZ17" s="37"/>
      <c r="BA17" s="37"/>
      <c r="BB17" s="37"/>
      <c r="BD17" s="111"/>
      <c r="BE17" s="37"/>
      <c r="BF17" s="48"/>
      <c r="BG17" s="48"/>
      <c r="BH17" s="37"/>
      <c r="BI17" s="37"/>
      <c r="BJ17" s="37"/>
    </row>
    <row r="18" spans="2:62" x14ac:dyDescent="0.35">
      <c r="B18" s="37" t="s">
        <v>448</v>
      </c>
      <c r="C18" s="113"/>
      <c r="D18" s="113">
        <f>AY3</f>
        <v>0</v>
      </c>
      <c r="F18" s="151">
        <v>46119</v>
      </c>
      <c r="G18" s="152" t="s">
        <v>27</v>
      </c>
      <c r="H18" s="152"/>
      <c r="I18" s="153">
        <v>148901254</v>
      </c>
      <c r="J18" s="154">
        <f t="shared" si="0"/>
        <v>1230772124</v>
      </c>
      <c r="K18" s="152"/>
      <c r="L18" s="151"/>
      <c r="N18" s="111"/>
      <c r="O18" s="37"/>
      <c r="P18" s="48"/>
      <c r="Q18" s="37"/>
      <c r="R18" s="37"/>
      <c r="S18" s="37"/>
      <c r="U18" s="111"/>
      <c r="V18" s="37"/>
      <c r="W18" s="48"/>
      <c r="X18" s="37"/>
      <c r="Y18" s="37"/>
      <c r="Z18" s="37"/>
      <c r="AB18" s="111"/>
      <c r="AC18" s="37"/>
      <c r="AD18" s="48"/>
      <c r="AE18" s="37"/>
      <c r="AF18" s="37"/>
      <c r="AG18" s="37"/>
      <c r="AI18" s="111"/>
      <c r="AJ18" s="37"/>
      <c r="AK18" s="48"/>
      <c r="AL18" s="37"/>
      <c r="AM18" s="37"/>
      <c r="AN18" s="37"/>
      <c r="AP18" s="111"/>
      <c r="AQ18" s="37"/>
      <c r="AR18" s="48"/>
      <c r="AS18" s="37"/>
      <c r="AT18" s="37"/>
      <c r="AU18" s="37"/>
      <c r="AW18" s="111"/>
      <c r="AX18" s="37"/>
      <c r="AY18" s="48"/>
      <c r="AZ18" s="37"/>
      <c r="BA18" s="37"/>
      <c r="BB18" s="37"/>
      <c r="BD18" s="111"/>
      <c r="BE18" s="37"/>
      <c r="BF18" s="48"/>
      <c r="BG18" s="48"/>
      <c r="BH18" s="37"/>
      <c r="BI18" s="37"/>
      <c r="BJ18" s="37"/>
    </row>
    <row r="19" spans="2:62" x14ac:dyDescent="0.35">
      <c r="B19" s="37" t="s">
        <v>436</v>
      </c>
      <c r="C19" s="113">
        <f>BF3</f>
        <v>0</v>
      </c>
      <c r="D19" s="113">
        <f>BG3</f>
        <v>0</v>
      </c>
      <c r="F19" s="151">
        <v>46121</v>
      </c>
      <c r="G19" s="152" t="s">
        <v>27</v>
      </c>
      <c r="H19" s="152"/>
      <c r="I19" s="153">
        <v>240772124</v>
      </c>
      <c r="J19" s="154">
        <f t="shared" si="0"/>
        <v>990000000</v>
      </c>
      <c r="K19" s="152"/>
      <c r="L19" s="151"/>
      <c r="N19" s="111"/>
      <c r="O19" s="37"/>
      <c r="P19" s="48"/>
      <c r="Q19" s="37"/>
      <c r="R19" s="37"/>
      <c r="S19" s="37"/>
      <c r="U19" s="111"/>
      <c r="V19" s="37"/>
      <c r="W19" s="48"/>
      <c r="X19" s="37"/>
      <c r="Y19" s="37"/>
      <c r="Z19" s="37"/>
      <c r="AB19" s="111"/>
      <c r="AC19" s="37"/>
      <c r="AD19" s="48"/>
      <c r="AE19" s="37"/>
      <c r="AF19" s="37"/>
      <c r="AG19" s="37"/>
      <c r="AI19" s="111"/>
      <c r="AJ19" s="37"/>
      <c r="AK19" s="48"/>
      <c r="AL19" s="37"/>
      <c r="AM19" s="37"/>
      <c r="AN19" s="37"/>
      <c r="AP19" s="111"/>
      <c r="AQ19" s="37"/>
      <c r="AR19" s="48"/>
      <c r="AS19" s="37"/>
      <c r="AT19" s="37"/>
      <c r="AU19" s="37"/>
      <c r="AW19" s="111"/>
      <c r="AX19" s="37"/>
      <c r="AY19" s="48"/>
      <c r="AZ19" s="37"/>
      <c r="BA19" s="37"/>
      <c r="BB19" s="37"/>
      <c r="BD19" s="111"/>
      <c r="BE19" s="37"/>
      <c r="BF19" s="48"/>
      <c r="BG19" s="48"/>
      <c r="BH19" s="37"/>
      <c r="BI19" s="37"/>
      <c r="BJ19" s="37"/>
    </row>
    <row r="20" spans="2:62" x14ac:dyDescent="0.35">
      <c r="B20" s="37" t="s">
        <v>454</v>
      </c>
      <c r="C20" s="114">
        <f>SUM(C18:C19)</f>
        <v>0</v>
      </c>
      <c r="D20" s="114">
        <f>SUM(D17:D19)</f>
        <v>0</v>
      </c>
      <c r="F20" s="160">
        <v>46127</v>
      </c>
      <c r="G20" s="161" t="s">
        <v>38</v>
      </c>
      <c r="H20" s="162">
        <v>300000000</v>
      </c>
      <c r="I20" s="162"/>
      <c r="J20" s="68">
        <f t="shared" si="0"/>
        <v>1290000000</v>
      </c>
      <c r="K20" s="161"/>
      <c r="L20" s="160">
        <v>46310</v>
      </c>
      <c r="N20" s="111"/>
      <c r="O20" s="37"/>
      <c r="P20" s="48"/>
      <c r="Q20" s="37"/>
      <c r="R20" s="37"/>
      <c r="S20" s="37"/>
      <c r="U20" s="111"/>
      <c r="V20" s="37"/>
      <c r="W20" s="48"/>
      <c r="X20" s="37"/>
      <c r="Y20" s="37"/>
      <c r="Z20" s="37"/>
      <c r="AB20" s="111"/>
      <c r="AC20" s="37"/>
      <c r="AD20" s="48"/>
      <c r="AE20" s="37"/>
      <c r="AF20" s="37"/>
      <c r="AG20" s="37"/>
      <c r="AI20" s="111"/>
      <c r="AJ20" s="37"/>
      <c r="AK20" s="48"/>
      <c r="AL20" s="37"/>
      <c r="AM20" s="37"/>
      <c r="AN20" s="37"/>
      <c r="AP20" s="111"/>
      <c r="AQ20" s="37"/>
      <c r="AR20" s="48"/>
      <c r="AS20" s="37"/>
      <c r="AT20" s="37"/>
      <c r="AU20" s="37"/>
      <c r="AW20" s="111"/>
      <c r="AX20" s="37"/>
      <c r="AY20" s="48"/>
      <c r="AZ20" s="37"/>
      <c r="BA20" s="37"/>
      <c r="BB20" s="37"/>
      <c r="BD20" s="111"/>
      <c r="BE20" s="37"/>
      <c r="BF20" s="48"/>
      <c r="BG20" s="48"/>
      <c r="BH20" s="37"/>
      <c r="BI20" s="37"/>
      <c r="BJ20" s="37"/>
    </row>
    <row r="21" spans="2:62" x14ac:dyDescent="0.35">
      <c r="F21" s="149">
        <v>46146</v>
      </c>
      <c r="G21" s="50" t="s">
        <v>38</v>
      </c>
      <c r="H21" s="150">
        <v>250000000</v>
      </c>
      <c r="I21" s="150"/>
      <c r="J21" s="155">
        <f t="shared" si="0"/>
        <v>1540000000</v>
      </c>
      <c r="K21" s="50"/>
      <c r="L21" s="149">
        <v>46330</v>
      </c>
      <c r="N21" s="111"/>
      <c r="O21" s="37"/>
      <c r="P21" s="48"/>
      <c r="Q21" s="37"/>
      <c r="R21" s="37"/>
      <c r="S21" s="37"/>
      <c r="U21" s="111"/>
      <c r="V21" s="37"/>
      <c r="W21" s="48"/>
      <c r="X21" s="37"/>
      <c r="Y21" s="37"/>
      <c r="Z21" s="37"/>
      <c r="AB21" s="111"/>
      <c r="AC21" s="37"/>
      <c r="AD21" s="48"/>
      <c r="AE21" s="37"/>
      <c r="AF21" s="37"/>
      <c r="AG21" s="37"/>
      <c r="AI21" s="111"/>
      <c r="AJ21" s="37"/>
      <c r="AK21" s="48"/>
      <c r="AL21" s="37"/>
      <c r="AM21" s="37"/>
      <c r="AN21" s="37"/>
      <c r="AP21" s="111"/>
      <c r="AQ21" s="37"/>
      <c r="AR21" s="48"/>
      <c r="AS21" s="37"/>
      <c r="AT21" s="37"/>
      <c r="AU21" s="37"/>
      <c r="AW21" s="111"/>
      <c r="AX21" s="37"/>
      <c r="AY21" s="48"/>
      <c r="AZ21" s="37"/>
      <c r="BA21" s="37"/>
      <c r="BB21" s="37"/>
      <c r="BD21" s="111"/>
      <c r="BE21" s="37"/>
      <c r="BF21" s="48"/>
      <c r="BG21" s="48"/>
      <c r="BH21" s="37"/>
      <c r="BI21" s="37"/>
      <c r="BJ21" s="37"/>
    </row>
    <row r="22" spans="2:62" x14ac:dyDescent="0.35">
      <c r="F22" s="149">
        <v>46148</v>
      </c>
      <c r="G22" s="50" t="s">
        <v>38</v>
      </c>
      <c r="H22" s="150">
        <v>260000000</v>
      </c>
      <c r="I22" s="150"/>
      <c r="J22" s="155">
        <f t="shared" si="0"/>
        <v>1800000000</v>
      </c>
      <c r="K22" s="50"/>
      <c r="L22" s="149">
        <v>46332</v>
      </c>
      <c r="N22" s="111"/>
      <c r="O22" s="37"/>
      <c r="P22" s="48"/>
      <c r="Q22" s="37"/>
      <c r="R22" s="37"/>
      <c r="S22" s="37"/>
      <c r="U22" s="111"/>
      <c r="V22" s="37"/>
      <c r="W22" s="48"/>
      <c r="X22" s="37"/>
      <c r="Y22" s="37"/>
      <c r="Z22" s="37"/>
      <c r="AB22" s="111"/>
      <c r="AC22" s="37"/>
      <c r="AD22" s="48"/>
      <c r="AE22" s="37"/>
      <c r="AF22" s="37"/>
      <c r="AG22" s="37"/>
      <c r="AI22" s="111"/>
      <c r="AJ22" s="37"/>
      <c r="AK22" s="48"/>
      <c r="AL22" s="37"/>
      <c r="AM22" s="37"/>
      <c r="AN22" s="37"/>
      <c r="AP22" s="111"/>
      <c r="AQ22" s="37"/>
      <c r="AR22" s="48"/>
      <c r="AS22" s="37"/>
      <c r="AT22" s="37"/>
      <c r="AU22" s="37"/>
      <c r="AW22" s="111"/>
      <c r="AX22" s="37"/>
      <c r="AY22" s="48"/>
      <c r="AZ22" s="37"/>
      <c r="BA22" s="37"/>
      <c r="BB22" s="37"/>
      <c r="BD22" s="111"/>
      <c r="BE22" s="37"/>
      <c r="BF22" s="48"/>
      <c r="BG22" s="48"/>
      <c r="BH22" s="37"/>
      <c r="BI22" s="37"/>
      <c r="BJ22" s="37"/>
    </row>
    <row r="23" spans="2:62" x14ac:dyDescent="0.35">
      <c r="F23" s="149">
        <v>46154</v>
      </c>
      <c r="G23" s="50" t="s">
        <v>38</v>
      </c>
      <c r="H23" s="150">
        <v>300000000</v>
      </c>
      <c r="I23" s="150"/>
      <c r="J23" s="155">
        <f t="shared" si="0"/>
        <v>2100000000</v>
      </c>
      <c r="K23" s="50"/>
      <c r="L23" s="149">
        <v>46338</v>
      </c>
      <c r="N23" s="111"/>
      <c r="O23" s="37"/>
      <c r="P23" s="48"/>
      <c r="Q23" s="37"/>
      <c r="R23" s="37"/>
      <c r="S23" s="37"/>
      <c r="U23" s="111"/>
      <c r="V23" s="37"/>
      <c r="W23" s="48"/>
      <c r="X23" s="37"/>
      <c r="Y23" s="37"/>
      <c r="Z23" s="37"/>
      <c r="AB23" s="111"/>
      <c r="AC23" s="37"/>
      <c r="AD23" s="48"/>
      <c r="AE23" s="37"/>
      <c r="AF23" s="37"/>
      <c r="AG23" s="37"/>
      <c r="AI23" s="111"/>
      <c r="AJ23" s="37"/>
      <c r="AK23" s="48"/>
      <c r="AL23" s="37"/>
      <c r="AM23" s="37"/>
      <c r="AN23" s="37"/>
      <c r="AP23" s="111"/>
      <c r="AQ23" s="37"/>
      <c r="AR23" s="48"/>
      <c r="AS23" s="37"/>
      <c r="AT23" s="37"/>
      <c r="AU23" s="37"/>
      <c r="AW23" s="111"/>
      <c r="AX23" s="37"/>
      <c r="AY23" s="48"/>
      <c r="AZ23" s="37"/>
      <c r="BA23" s="37"/>
      <c r="BB23" s="37"/>
      <c r="BD23" s="111"/>
      <c r="BE23" s="37"/>
      <c r="BF23" s="48"/>
      <c r="BG23" s="48"/>
      <c r="BH23" s="37"/>
      <c r="BI23" s="37"/>
      <c r="BJ23" s="37"/>
    </row>
    <row r="24" spans="2:62" x14ac:dyDescent="0.35">
      <c r="F24" s="149">
        <v>46155</v>
      </c>
      <c r="G24" s="50" t="s">
        <v>38</v>
      </c>
      <c r="H24" s="150">
        <v>400000000</v>
      </c>
      <c r="I24" s="150"/>
      <c r="J24" s="155">
        <f t="shared" si="0"/>
        <v>2500000000</v>
      </c>
      <c r="K24" s="50"/>
      <c r="L24" s="149">
        <v>46339</v>
      </c>
      <c r="N24" s="111"/>
      <c r="O24" s="37"/>
      <c r="P24" s="48"/>
      <c r="Q24" s="37"/>
      <c r="R24" s="37"/>
      <c r="S24" s="37"/>
      <c r="U24" s="111"/>
      <c r="V24" s="37"/>
      <c r="W24" s="48"/>
      <c r="X24" s="37"/>
      <c r="Y24" s="37"/>
      <c r="Z24" s="37"/>
      <c r="AB24" s="111"/>
      <c r="AC24" s="37"/>
      <c r="AD24" s="48"/>
      <c r="AE24" s="37"/>
      <c r="AF24" s="37"/>
      <c r="AG24" s="37"/>
      <c r="AI24" s="111"/>
      <c r="AJ24" s="37"/>
      <c r="AK24" s="48"/>
      <c r="AL24" s="37"/>
      <c r="AM24" s="37"/>
      <c r="AN24" s="37"/>
      <c r="AP24" s="111"/>
      <c r="AQ24" s="37"/>
      <c r="AR24" s="48"/>
      <c r="AS24" s="37"/>
      <c r="AT24" s="37"/>
      <c r="AU24" s="37"/>
      <c r="AW24" s="111"/>
      <c r="AX24" s="37"/>
      <c r="AY24" s="48"/>
      <c r="AZ24" s="37"/>
      <c r="BA24" s="37"/>
      <c r="BB24" s="37"/>
      <c r="BD24" s="111"/>
      <c r="BE24" s="37"/>
      <c r="BF24" s="48"/>
      <c r="BG24" s="48"/>
      <c r="BH24" s="37"/>
      <c r="BI24" s="37"/>
      <c r="BJ24" s="37"/>
    </row>
    <row r="25" spans="2:62" x14ac:dyDescent="0.35">
      <c r="F25" s="151">
        <v>46129</v>
      </c>
      <c r="G25" s="152" t="s">
        <v>27</v>
      </c>
      <c r="H25" s="153"/>
      <c r="I25" s="153">
        <v>500000000</v>
      </c>
      <c r="J25" s="154">
        <f t="shared" si="0"/>
        <v>2000000000</v>
      </c>
      <c r="K25" s="152"/>
      <c r="L25" s="151"/>
      <c r="N25" s="111"/>
      <c r="O25" s="37"/>
      <c r="P25" s="48"/>
      <c r="Q25" s="37"/>
      <c r="R25" s="37"/>
      <c r="S25" s="37"/>
      <c r="U25" s="111"/>
      <c r="V25" s="37"/>
      <c r="W25" s="48"/>
      <c r="X25" s="37"/>
      <c r="Y25" s="37"/>
      <c r="Z25" s="37"/>
      <c r="AB25" s="111"/>
      <c r="AC25" s="37"/>
      <c r="AD25" s="48"/>
      <c r="AE25" s="37"/>
      <c r="AF25" s="37"/>
      <c r="AG25" s="37"/>
      <c r="AI25" s="111"/>
      <c r="AJ25" s="37"/>
      <c r="AK25" s="48"/>
      <c r="AL25" s="37"/>
      <c r="AM25" s="37"/>
      <c r="AN25" s="37"/>
      <c r="AP25" s="111"/>
      <c r="AQ25" s="37"/>
      <c r="AR25" s="48"/>
      <c r="AS25" s="37"/>
      <c r="AT25" s="37"/>
      <c r="AU25" s="37"/>
      <c r="AW25" s="111"/>
      <c r="AX25" s="37"/>
      <c r="AY25" s="48"/>
      <c r="AZ25" s="37"/>
      <c r="BA25" s="37"/>
      <c r="BB25" s="37"/>
      <c r="BD25" s="111"/>
      <c r="BE25" s="37"/>
      <c r="BF25" s="48"/>
      <c r="BG25" s="48"/>
      <c r="BH25" s="37"/>
      <c r="BI25" s="37"/>
      <c r="BJ25" s="37"/>
    </row>
    <row r="26" spans="2:62" x14ac:dyDescent="0.35">
      <c r="F26" s="151">
        <v>46252</v>
      </c>
      <c r="G26" s="152" t="s">
        <v>27</v>
      </c>
      <c r="H26" s="153"/>
      <c r="I26" s="153">
        <v>120000000</v>
      </c>
      <c r="J26" s="154">
        <f t="shared" si="0"/>
        <v>1880000000</v>
      </c>
      <c r="K26" s="152"/>
      <c r="L26" s="151"/>
      <c r="N26" s="111"/>
      <c r="O26" s="37"/>
      <c r="P26" s="48"/>
      <c r="Q26" s="37"/>
      <c r="R26" s="37"/>
      <c r="S26" s="37"/>
      <c r="U26" s="111"/>
      <c r="V26" s="37"/>
      <c r="W26" s="48"/>
      <c r="X26" s="37"/>
      <c r="Y26" s="37"/>
      <c r="Z26" s="37"/>
      <c r="AB26" s="111"/>
      <c r="AC26" s="37"/>
      <c r="AD26" s="48"/>
      <c r="AE26" s="37"/>
      <c r="AF26" s="37"/>
      <c r="AG26" s="37"/>
      <c r="AI26" s="111"/>
      <c r="AJ26" s="37"/>
      <c r="AK26" s="48"/>
      <c r="AL26" s="37"/>
      <c r="AM26" s="37"/>
      <c r="AN26" s="37"/>
      <c r="AP26" s="111"/>
      <c r="AQ26" s="37"/>
      <c r="AR26" s="48"/>
      <c r="AS26" s="37"/>
      <c r="AT26" s="37"/>
      <c r="AU26" s="37"/>
      <c r="AW26" s="111"/>
      <c r="AX26" s="37"/>
      <c r="AY26" s="48"/>
      <c r="AZ26" s="37"/>
      <c r="BA26" s="37"/>
      <c r="BB26" s="37"/>
      <c r="BD26" s="111"/>
      <c r="BE26" s="37"/>
      <c r="BF26" s="48"/>
      <c r="BG26" s="48"/>
      <c r="BH26" s="37"/>
      <c r="BI26" s="37"/>
      <c r="BJ26" s="37"/>
    </row>
    <row r="27" spans="2:62" x14ac:dyDescent="0.35">
      <c r="F27" s="149">
        <v>46279</v>
      </c>
      <c r="G27" s="50" t="s">
        <v>38</v>
      </c>
      <c r="H27" s="70">
        <v>250000000</v>
      </c>
      <c r="I27" s="70"/>
      <c r="J27" s="165">
        <f t="shared" si="0"/>
        <v>2130000000</v>
      </c>
      <c r="K27" s="37"/>
      <c r="L27" s="149">
        <v>46455</v>
      </c>
      <c r="N27" s="111"/>
      <c r="O27" s="37"/>
      <c r="P27" s="70"/>
      <c r="Q27" s="37"/>
      <c r="R27" s="37"/>
      <c r="S27" s="37"/>
      <c r="U27" s="111"/>
      <c r="V27" s="37"/>
      <c r="W27" s="70"/>
      <c r="X27" s="37"/>
      <c r="Y27" s="37"/>
      <c r="Z27" s="37"/>
      <c r="AB27" s="111"/>
      <c r="AC27" s="37"/>
      <c r="AD27" s="70"/>
      <c r="AE27" s="37"/>
      <c r="AF27" s="37"/>
      <c r="AG27" s="37"/>
      <c r="AI27" s="111"/>
      <c r="AJ27" s="37"/>
      <c r="AK27" s="70"/>
      <c r="AL27" s="37"/>
      <c r="AM27" s="37"/>
      <c r="AN27" s="37"/>
      <c r="AP27" s="111"/>
      <c r="AQ27" s="37"/>
      <c r="AR27" s="70"/>
      <c r="AS27" s="37"/>
      <c r="AT27" s="37"/>
      <c r="AU27" s="37"/>
      <c r="AW27" s="111"/>
      <c r="AX27" s="37"/>
      <c r="AY27" s="70"/>
      <c r="AZ27" s="37"/>
      <c r="BA27" s="37"/>
      <c r="BB27" s="37"/>
      <c r="BD27" s="111"/>
      <c r="BE27" s="37"/>
      <c r="BF27" s="70"/>
      <c r="BG27" s="70"/>
      <c r="BH27" s="37"/>
      <c r="BI27" s="37"/>
      <c r="BJ27" s="37"/>
    </row>
    <row r="28" spans="2:62" x14ac:dyDescent="0.35">
      <c r="F28" s="151">
        <v>46280</v>
      </c>
      <c r="G28" s="152" t="s">
        <v>27</v>
      </c>
      <c r="H28" s="153"/>
      <c r="I28" s="153">
        <v>120000000</v>
      </c>
      <c r="J28" s="154">
        <f t="shared" si="0"/>
        <v>2010000000</v>
      </c>
      <c r="K28" s="152"/>
      <c r="L28" s="151"/>
      <c r="N28" s="111"/>
      <c r="O28" s="37"/>
      <c r="P28" s="48"/>
      <c r="Q28" s="37"/>
      <c r="R28" s="37"/>
      <c r="S28" s="37"/>
      <c r="U28" s="111"/>
      <c r="V28" s="37"/>
      <c r="W28" s="48"/>
      <c r="X28" s="37"/>
      <c r="Y28" s="37"/>
      <c r="Z28" s="37"/>
      <c r="AB28" s="111"/>
      <c r="AC28" s="37"/>
      <c r="AD28" s="48"/>
      <c r="AE28" s="37"/>
      <c r="AF28" s="37"/>
      <c r="AG28" s="37"/>
      <c r="AI28" s="111"/>
      <c r="AJ28" s="37"/>
      <c r="AK28" s="48"/>
      <c r="AL28" s="37"/>
      <c r="AM28" s="37"/>
      <c r="AN28" s="37"/>
      <c r="AP28" s="111"/>
      <c r="AQ28" s="37"/>
      <c r="AR28" s="48"/>
      <c r="AS28" s="37"/>
      <c r="AT28" s="37"/>
      <c r="AU28" s="37"/>
      <c r="AW28" s="111"/>
      <c r="AX28" s="37"/>
      <c r="AY28" s="48"/>
      <c r="AZ28" s="37"/>
      <c r="BA28" s="37"/>
      <c r="BB28" s="37"/>
      <c r="BD28" s="111"/>
      <c r="BE28" s="37"/>
      <c r="BF28" s="48"/>
      <c r="BG28" s="48"/>
      <c r="BH28" s="37"/>
      <c r="BI28" s="37"/>
      <c r="BJ28" s="37"/>
    </row>
    <row r="29" spans="2:62" x14ac:dyDescent="0.35">
      <c r="F29" s="149">
        <v>46281</v>
      </c>
      <c r="G29" s="50" t="s">
        <v>38</v>
      </c>
      <c r="H29" s="48">
        <v>500000000</v>
      </c>
      <c r="I29" s="48"/>
      <c r="J29" s="116">
        <f t="shared" si="0"/>
        <v>2510000000</v>
      </c>
      <c r="K29" s="37"/>
      <c r="L29" s="111"/>
      <c r="N29" s="111"/>
      <c r="O29" s="37"/>
      <c r="P29" s="48"/>
      <c r="Q29" s="37"/>
      <c r="R29" s="37"/>
      <c r="S29" s="37"/>
      <c r="U29" s="111"/>
      <c r="V29" s="37"/>
      <c r="W29" s="48"/>
      <c r="X29" s="37"/>
      <c r="Y29" s="37"/>
      <c r="Z29" s="37"/>
      <c r="AB29" s="111"/>
      <c r="AC29" s="37"/>
      <c r="AD29" s="48"/>
      <c r="AE29" s="37"/>
      <c r="AF29" s="37"/>
      <c r="AG29" s="37"/>
      <c r="AI29" s="111"/>
      <c r="AJ29" s="37"/>
      <c r="AK29" s="48"/>
      <c r="AL29" s="37"/>
      <c r="AM29" s="37"/>
      <c r="AN29" s="37"/>
      <c r="AP29" s="111"/>
      <c r="AQ29" s="37"/>
      <c r="AR29" s="48"/>
      <c r="AS29" s="37"/>
      <c r="AT29" s="37"/>
      <c r="AU29" s="37"/>
      <c r="AW29" s="111"/>
      <c r="AX29" s="37"/>
      <c r="AY29" s="48"/>
      <c r="AZ29" s="37"/>
      <c r="BA29" s="37"/>
      <c r="BB29" s="37"/>
      <c r="BD29" s="111"/>
      <c r="BE29" s="37"/>
      <c r="BF29" s="48"/>
      <c r="BG29" s="48"/>
      <c r="BH29" s="37"/>
      <c r="BI29" s="37"/>
      <c r="BJ29" s="37"/>
    </row>
    <row r="30" spans="2:62" x14ac:dyDescent="0.35">
      <c r="F30" s="151">
        <v>46282</v>
      </c>
      <c r="G30" s="152" t="s">
        <v>27</v>
      </c>
      <c r="H30" s="153"/>
      <c r="I30" s="153">
        <v>250000000</v>
      </c>
      <c r="J30" s="154">
        <f t="shared" ref="J30:J32" si="1">J29+H30-I30</f>
        <v>2260000000</v>
      </c>
      <c r="K30" s="152"/>
      <c r="L30" s="151"/>
      <c r="N30" s="111"/>
      <c r="O30" s="37"/>
      <c r="P30" s="48"/>
      <c r="Q30" s="37"/>
      <c r="R30" s="37"/>
      <c r="S30" s="37"/>
      <c r="U30" s="111"/>
      <c r="V30" s="37"/>
      <c r="W30" s="48"/>
      <c r="X30" s="37"/>
      <c r="Y30" s="37"/>
      <c r="Z30" s="37"/>
      <c r="AB30" s="111"/>
      <c r="AC30" s="37"/>
      <c r="AD30" s="48"/>
      <c r="AE30" s="37"/>
      <c r="AF30" s="37"/>
      <c r="AG30" s="37"/>
      <c r="AI30" s="111"/>
      <c r="AJ30" s="37"/>
      <c r="AK30" s="48"/>
      <c r="AL30" s="37"/>
      <c r="AM30" s="37"/>
      <c r="AN30" s="37"/>
      <c r="AP30" s="111"/>
      <c r="AQ30" s="37"/>
      <c r="AR30" s="48"/>
      <c r="AS30" s="37"/>
      <c r="AT30" s="37"/>
      <c r="AU30" s="37"/>
      <c r="AW30" s="111"/>
      <c r="AX30" s="37"/>
      <c r="AY30" s="48"/>
      <c r="AZ30" s="37"/>
      <c r="BA30" s="37"/>
      <c r="BB30" s="37"/>
      <c r="BD30" s="111"/>
      <c r="BE30" s="37"/>
      <c r="BF30" s="48"/>
      <c r="BG30" s="48"/>
      <c r="BH30" s="37"/>
      <c r="BI30" s="37"/>
      <c r="BJ30" s="37"/>
    </row>
    <row r="31" spans="2:62" x14ac:dyDescent="0.35">
      <c r="F31" s="149">
        <v>46281</v>
      </c>
      <c r="G31" s="50" t="s">
        <v>38</v>
      </c>
      <c r="H31" s="48">
        <v>400000000</v>
      </c>
      <c r="I31" s="48"/>
      <c r="J31" s="116">
        <f t="shared" si="1"/>
        <v>2660000000</v>
      </c>
      <c r="K31" s="37"/>
      <c r="L31" s="111"/>
      <c r="N31" s="111"/>
      <c r="O31" s="37"/>
      <c r="P31" s="48"/>
      <c r="Q31" s="37"/>
      <c r="R31" s="37"/>
      <c r="S31" s="37"/>
      <c r="U31" s="111"/>
      <c r="V31" s="37"/>
      <c r="W31" s="48"/>
      <c r="X31" s="37"/>
      <c r="Y31" s="37"/>
      <c r="Z31" s="37"/>
      <c r="AB31" s="111"/>
      <c r="AC31" s="37"/>
      <c r="AD31" s="48"/>
      <c r="AE31" s="37"/>
      <c r="AF31" s="37"/>
      <c r="AG31" s="37"/>
      <c r="AI31" s="111"/>
      <c r="AJ31" s="37"/>
      <c r="AK31" s="48"/>
      <c r="AL31" s="37"/>
      <c r="AM31" s="37"/>
      <c r="AN31" s="37"/>
      <c r="AP31" s="111"/>
      <c r="AQ31" s="37"/>
      <c r="AR31" s="48"/>
      <c r="AS31" s="37"/>
      <c r="AT31" s="37"/>
      <c r="AU31" s="37"/>
      <c r="AW31" s="111"/>
      <c r="AX31" s="37"/>
      <c r="AY31" s="48"/>
      <c r="AZ31" s="37"/>
      <c r="BA31" s="37"/>
      <c r="BB31" s="37"/>
      <c r="BD31" s="111"/>
      <c r="BE31" s="37"/>
      <c r="BF31" s="48"/>
      <c r="BG31" s="48"/>
      <c r="BH31" s="37"/>
      <c r="BI31" s="37"/>
      <c r="BJ31" s="37"/>
    </row>
    <row r="32" spans="2:62" x14ac:dyDescent="0.35">
      <c r="F32" s="149">
        <v>46286</v>
      </c>
      <c r="G32" s="50" t="s">
        <v>38</v>
      </c>
      <c r="H32" s="48">
        <v>450000000</v>
      </c>
      <c r="I32" s="48"/>
      <c r="J32" s="116">
        <f t="shared" si="1"/>
        <v>3110000000</v>
      </c>
      <c r="K32" s="37"/>
      <c r="L32" s="111"/>
      <c r="N32" s="111"/>
      <c r="O32" s="37"/>
      <c r="P32" s="48"/>
      <c r="Q32" s="37"/>
      <c r="R32" s="37"/>
      <c r="S32" s="37"/>
      <c r="U32" s="111"/>
      <c r="V32" s="37"/>
      <c r="W32" s="48"/>
      <c r="X32" s="37"/>
      <c r="Y32" s="37"/>
      <c r="Z32" s="37"/>
      <c r="AB32" s="111"/>
      <c r="AC32" s="37"/>
      <c r="AD32" s="48"/>
      <c r="AE32" s="37"/>
      <c r="AF32" s="37"/>
      <c r="AG32" s="37"/>
      <c r="AI32" s="111"/>
      <c r="AJ32" s="37"/>
      <c r="AK32" s="48"/>
      <c r="AL32" s="37"/>
      <c r="AM32" s="37"/>
      <c r="AN32" s="37"/>
      <c r="AP32" s="111"/>
      <c r="AQ32" s="37"/>
      <c r="AR32" s="48"/>
      <c r="AS32" s="37"/>
      <c r="AT32" s="37"/>
      <c r="AU32" s="37"/>
      <c r="AW32" s="111"/>
      <c r="AX32" s="37"/>
      <c r="AY32" s="48"/>
      <c r="AZ32" s="37"/>
      <c r="BA32" s="37"/>
      <c r="BB32" s="37"/>
      <c r="BD32" s="111"/>
      <c r="BE32" s="37"/>
      <c r="BF32" s="48"/>
      <c r="BG32" s="48"/>
      <c r="BH32" s="37"/>
      <c r="BI32" s="37"/>
      <c r="BJ32" s="37"/>
    </row>
    <row r="33" spans="6:62" x14ac:dyDescent="0.35">
      <c r="F33" s="149">
        <v>46294</v>
      </c>
      <c r="G33" s="50" t="s">
        <v>38</v>
      </c>
      <c r="H33" s="48">
        <v>350000000</v>
      </c>
      <c r="I33" s="48"/>
      <c r="J33" s="116">
        <f t="shared" ref="J33:J34" si="2">J32+H33-I33</f>
        <v>3460000000</v>
      </c>
      <c r="K33" s="37"/>
      <c r="L33" s="111"/>
      <c r="N33" s="111"/>
      <c r="O33" s="37"/>
      <c r="P33" s="48"/>
      <c r="Q33" s="37"/>
      <c r="R33" s="37"/>
      <c r="S33" s="37"/>
      <c r="U33" s="111"/>
      <c r="V33" s="37"/>
      <c r="W33" s="48"/>
      <c r="X33" s="37"/>
      <c r="Y33" s="37"/>
      <c r="Z33" s="37"/>
      <c r="AB33" s="111"/>
      <c r="AC33" s="37"/>
      <c r="AD33" s="48"/>
      <c r="AE33" s="37"/>
      <c r="AF33" s="37"/>
      <c r="AG33" s="37"/>
      <c r="AI33" s="111"/>
      <c r="AJ33" s="37"/>
      <c r="AK33" s="48"/>
      <c r="AL33" s="37"/>
      <c r="AM33" s="37"/>
      <c r="AN33" s="37"/>
      <c r="AP33" s="111"/>
      <c r="AQ33" s="37"/>
      <c r="AR33" s="48"/>
      <c r="AS33" s="37"/>
      <c r="AT33" s="37"/>
      <c r="AU33" s="37"/>
      <c r="AW33" s="111"/>
      <c r="AX33" s="37"/>
      <c r="AY33" s="48"/>
      <c r="AZ33" s="37"/>
      <c r="BA33" s="37"/>
      <c r="BB33" s="37"/>
      <c r="BD33" s="111"/>
      <c r="BE33" s="37"/>
      <c r="BF33" s="48"/>
      <c r="BG33" s="48"/>
      <c r="BH33" s="37"/>
      <c r="BI33" s="37"/>
      <c r="BJ33" s="37"/>
    </row>
    <row r="34" spans="6:62" x14ac:dyDescent="0.35">
      <c r="F34" s="151">
        <v>46301</v>
      </c>
      <c r="G34" s="152" t="s">
        <v>27</v>
      </c>
      <c r="H34" s="153"/>
      <c r="I34" s="153">
        <v>300000000</v>
      </c>
      <c r="J34" s="154">
        <f t="shared" si="2"/>
        <v>3160000000</v>
      </c>
      <c r="K34" s="152"/>
      <c r="L34" s="177" t="s">
        <v>671</v>
      </c>
      <c r="N34" s="111"/>
      <c r="O34" s="37"/>
      <c r="P34" s="48"/>
      <c r="Q34" s="37"/>
      <c r="R34" s="37"/>
      <c r="S34" s="37"/>
      <c r="U34" s="111"/>
      <c r="V34" s="37"/>
      <c r="W34" s="48"/>
      <c r="X34" s="37"/>
      <c r="Y34" s="37"/>
      <c r="Z34" s="37"/>
      <c r="AB34" s="111"/>
      <c r="AC34" s="37"/>
      <c r="AD34" s="48"/>
      <c r="AE34" s="37"/>
      <c r="AF34" s="37"/>
      <c r="AG34" s="37"/>
      <c r="AI34" s="111"/>
      <c r="AJ34" s="37"/>
      <c r="AK34" s="48"/>
      <c r="AL34" s="37"/>
      <c r="AM34" s="37"/>
      <c r="AN34" s="37"/>
      <c r="AP34" s="111"/>
      <c r="AQ34" s="37"/>
      <c r="AR34" s="48"/>
      <c r="AS34" s="37"/>
      <c r="AT34" s="37"/>
      <c r="AU34" s="37"/>
      <c r="AW34" s="111"/>
      <c r="AX34" s="37"/>
      <c r="AY34" s="48"/>
      <c r="AZ34" s="37"/>
      <c r="BA34" s="37"/>
      <c r="BB34" s="37"/>
      <c r="BD34" s="111"/>
      <c r="BE34" s="37"/>
      <c r="BF34" s="48"/>
      <c r="BG34" s="48"/>
      <c r="BH34" s="37"/>
      <c r="BI34" s="37"/>
      <c r="BJ34" s="37"/>
    </row>
    <row r="35" spans="6:62" x14ac:dyDescent="0.35">
      <c r="F35" s="149">
        <v>46301</v>
      </c>
      <c r="G35" s="50" t="s">
        <v>38</v>
      </c>
      <c r="H35" s="48">
        <v>350000000</v>
      </c>
      <c r="I35" s="48"/>
      <c r="J35" s="116">
        <f t="shared" ref="J35" si="3">J34+H35-I35</f>
        <v>3510000000</v>
      </c>
      <c r="K35" s="37"/>
      <c r="L35" s="176" t="s">
        <v>671</v>
      </c>
      <c r="N35" s="111"/>
      <c r="O35" s="37"/>
      <c r="P35" s="37"/>
      <c r="Q35" s="37"/>
      <c r="R35" s="37"/>
      <c r="S35" s="37"/>
      <c r="U35" s="111"/>
      <c r="V35" s="37"/>
      <c r="W35" s="37"/>
      <c r="X35" s="37"/>
      <c r="Y35" s="37"/>
      <c r="Z35" s="37"/>
      <c r="AB35" s="111"/>
      <c r="AC35" s="37"/>
      <c r="AD35" s="37"/>
      <c r="AE35" s="37"/>
      <c r="AF35" s="37"/>
      <c r="AG35" s="37"/>
      <c r="AI35" s="111"/>
      <c r="AJ35" s="37"/>
      <c r="AK35" s="37"/>
      <c r="AL35" s="37"/>
      <c r="AM35" s="37"/>
      <c r="AN35" s="37"/>
      <c r="AP35" s="111"/>
      <c r="AQ35" s="37"/>
      <c r="AR35" s="37"/>
      <c r="AS35" s="37"/>
      <c r="AT35" s="37"/>
      <c r="AU35" s="37"/>
      <c r="AW35" s="111"/>
      <c r="AX35" s="37"/>
      <c r="AY35" s="37"/>
      <c r="AZ35" s="37"/>
      <c r="BA35" s="37"/>
      <c r="BB35" s="37"/>
      <c r="BD35" s="111"/>
      <c r="BE35" s="37"/>
      <c r="BF35" s="37"/>
      <c r="BG35" s="37"/>
      <c r="BH35" s="37"/>
      <c r="BI35" s="37"/>
      <c r="BJ35" s="37"/>
    </row>
    <row r="36" spans="6:62" x14ac:dyDescent="0.35">
      <c r="F36" s="111"/>
      <c r="G36" s="37"/>
      <c r="H36" s="37"/>
      <c r="I36" s="37"/>
      <c r="J36" s="37"/>
      <c r="K36" s="37"/>
      <c r="L36" s="111"/>
      <c r="N36" s="111"/>
      <c r="O36" s="37"/>
      <c r="P36" s="37"/>
      <c r="Q36" s="37"/>
      <c r="R36" s="37"/>
      <c r="S36" s="37"/>
      <c r="U36" s="111"/>
      <c r="V36" s="37"/>
      <c r="W36" s="37"/>
      <c r="X36" s="37"/>
      <c r="Y36" s="37"/>
      <c r="Z36" s="37"/>
      <c r="AB36" s="111"/>
      <c r="AC36" s="37"/>
      <c r="AD36" s="37"/>
      <c r="AE36" s="37"/>
      <c r="AF36" s="37"/>
      <c r="AG36" s="37"/>
      <c r="AI36" s="111"/>
      <c r="AJ36" s="37"/>
      <c r="AK36" s="37"/>
      <c r="AL36" s="37"/>
      <c r="AM36" s="37"/>
      <c r="AN36" s="37"/>
      <c r="AP36" s="111"/>
      <c r="AQ36" s="37"/>
      <c r="AR36" s="37"/>
      <c r="AS36" s="37"/>
      <c r="AT36" s="37"/>
      <c r="AU36" s="37"/>
      <c r="AW36" s="111"/>
      <c r="AX36" s="37"/>
      <c r="AY36" s="37"/>
      <c r="AZ36" s="37"/>
      <c r="BA36" s="37"/>
      <c r="BB36" s="37"/>
      <c r="BD36" s="111"/>
      <c r="BE36" s="37"/>
      <c r="BF36" s="37"/>
      <c r="BG36" s="37"/>
      <c r="BH36" s="37"/>
      <c r="BI36" s="37"/>
      <c r="BJ36" s="37"/>
    </row>
    <row r="37" spans="6:62" x14ac:dyDescent="0.35">
      <c r="F37" s="111"/>
      <c r="G37" s="37"/>
      <c r="H37" s="37"/>
      <c r="I37" s="37"/>
      <c r="J37" s="37"/>
      <c r="K37" s="37"/>
      <c r="L37" s="111"/>
      <c r="N37" s="111"/>
      <c r="O37" s="37"/>
      <c r="P37" s="37"/>
      <c r="Q37" s="37"/>
      <c r="R37" s="37"/>
      <c r="S37" s="37"/>
      <c r="U37" s="111"/>
      <c r="V37" s="37"/>
      <c r="W37" s="37"/>
      <c r="X37" s="37"/>
      <c r="Y37" s="37"/>
      <c r="Z37" s="37"/>
      <c r="AB37" s="111"/>
      <c r="AC37" s="37"/>
      <c r="AD37" s="37"/>
      <c r="AE37" s="37"/>
      <c r="AF37" s="37"/>
      <c r="AG37" s="37"/>
      <c r="AI37" s="111"/>
      <c r="AJ37" s="37"/>
      <c r="AK37" s="37"/>
      <c r="AL37" s="37"/>
      <c r="AM37" s="37"/>
      <c r="AN37" s="37"/>
      <c r="AP37" s="111"/>
      <c r="AQ37" s="37"/>
      <c r="AR37" s="37"/>
      <c r="AS37" s="37"/>
      <c r="AT37" s="37"/>
      <c r="AU37" s="37"/>
      <c r="AW37" s="111"/>
      <c r="AX37" s="37"/>
      <c r="AY37" s="37"/>
      <c r="AZ37" s="37"/>
      <c r="BA37" s="37"/>
      <c r="BB37" s="37"/>
      <c r="BD37" s="111"/>
      <c r="BE37" s="37"/>
      <c r="BF37" s="37"/>
      <c r="BG37" s="37"/>
      <c r="BH37" s="37"/>
      <c r="BI37" s="37"/>
      <c r="BJ37" s="37"/>
    </row>
    <row r="38" spans="6:62" x14ac:dyDescent="0.35">
      <c r="F38" s="111"/>
      <c r="G38" s="37"/>
      <c r="H38" s="37"/>
      <c r="I38" s="37"/>
      <c r="J38" s="37"/>
      <c r="K38" s="37"/>
      <c r="L38" s="111"/>
      <c r="N38" s="111"/>
      <c r="O38" s="37"/>
      <c r="P38" s="37"/>
      <c r="Q38" s="37"/>
      <c r="R38" s="37"/>
      <c r="S38" s="37"/>
      <c r="U38" s="111"/>
      <c r="V38" s="37"/>
      <c r="W38" s="37"/>
      <c r="X38" s="37"/>
      <c r="Y38" s="37"/>
      <c r="Z38" s="37"/>
      <c r="AB38" s="111"/>
      <c r="AC38" s="37"/>
      <c r="AD38" s="37"/>
      <c r="AE38" s="37"/>
      <c r="AF38" s="37"/>
      <c r="AG38" s="37"/>
      <c r="AI38" s="111"/>
      <c r="AJ38" s="37"/>
      <c r="AK38" s="37"/>
      <c r="AL38" s="37"/>
      <c r="AM38" s="37"/>
      <c r="AN38" s="37"/>
      <c r="AP38" s="111"/>
      <c r="AQ38" s="37"/>
      <c r="AR38" s="37"/>
      <c r="AS38" s="37"/>
      <c r="AT38" s="37"/>
      <c r="AU38" s="37"/>
      <c r="AW38" s="111"/>
      <c r="AX38" s="37"/>
      <c r="AY38" s="37"/>
      <c r="AZ38" s="37"/>
      <c r="BA38" s="37"/>
      <c r="BB38" s="37"/>
      <c r="BD38" s="111"/>
      <c r="BE38" s="37"/>
      <c r="BF38" s="37"/>
      <c r="BG38" s="37"/>
      <c r="BH38" s="37"/>
      <c r="BI38" s="37"/>
      <c r="BJ38" s="37"/>
    </row>
    <row r="39" spans="6:62" x14ac:dyDescent="0.35">
      <c r="F39" s="111"/>
      <c r="G39" s="37"/>
      <c r="H39" s="37"/>
      <c r="I39" s="37"/>
      <c r="J39" s="37"/>
      <c r="K39" s="37"/>
      <c r="L39" s="111"/>
      <c r="N39" s="111"/>
      <c r="O39" s="37"/>
      <c r="P39" s="37"/>
      <c r="Q39" s="37"/>
      <c r="R39" s="37"/>
      <c r="S39" s="37"/>
      <c r="U39" s="111"/>
      <c r="V39" s="37"/>
      <c r="W39" s="37"/>
      <c r="X39" s="37"/>
      <c r="Y39" s="37"/>
      <c r="Z39" s="37"/>
      <c r="AB39" s="111"/>
      <c r="AC39" s="37"/>
      <c r="AD39" s="37"/>
      <c r="AE39" s="37"/>
      <c r="AF39" s="37"/>
      <c r="AG39" s="37"/>
      <c r="AI39" s="111"/>
      <c r="AJ39" s="37"/>
      <c r="AK39" s="37"/>
      <c r="AL39" s="37"/>
      <c r="AM39" s="37"/>
      <c r="AN39" s="37"/>
      <c r="AP39" s="111"/>
      <c r="AQ39" s="37"/>
      <c r="AR39" s="37"/>
      <c r="AS39" s="37"/>
      <c r="AT39" s="37"/>
      <c r="AU39" s="37"/>
      <c r="AW39" s="111"/>
      <c r="AX39" s="37"/>
      <c r="AY39" s="37"/>
      <c r="AZ39" s="37"/>
      <c r="BA39" s="37"/>
      <c r="BB39" s="37"/>
      <c r="BD39" s="111"/>
      <c r="BE39" s="37"/>
      <c r="BF39" s="37"/>
      <c r="BG39" s="37"/>
      <c r="BH39" s="37"/>
      <c r="BI39" s="37"/>
      <c r="BJ39" s="37"/>
    </row>
    <row r="40" spans="6:62" x14ac:dyDescent="0.35">
      <c r="AP40" s="111"/>
      <c r="AQ40" s="37"/>
      <c r="AR40" s="37"/>
      <c r="AS40" s="37"/>
      <c r="AT40" s="37"/>
      <c r="AU40" s="37"/>
    </row>
    <row r="41" spans="6:62" x14ac:dyDescent="0.35">
      <c r="AP41" s="111"/>
      <c r="AQ41" s="37"/>
      <c r="AR41" s="37"/>
      <c r="AS41" s="37"/>
      <c r="AT41" s="37"/>
      <c r="AU41" s="37"/>
    </row>
    <row r="42" spans="6:62" x14ac:dyDescent="0.35">
      <c r="AP42" s="111"/>
      <c r="AQ42" s="37"/>
      <c r="AR42" s="37"/>
      <c r="AS42" s="37"/>
      <c r="AT42" s="37"/>
      <c r="AU42" s="37"/>
    </row>
    <row r="43" spans="6:62" x14ac:dyDescent="0.35">
      <c r="AP43" s="111"/>
      <c r="AQ43" s="37"/>
      <c r="AR43" s="37"/>
      <c r="AS43" s="37"/>
      <c r="AT43" s="37"/>
      <c r="AU43" s="37"/>
    </row>
    <row r="44" spans="6:62" x14ac:dyDescent="0.35">
      <c r="AP44" s="111"/>
      <c r="AQ44" s="37"/>
      <c r="AR44" s="37"/>
      <c r="AS44" s="37"/>
      <c r="AT44" s="37"/>
      <c r="AU44" s="37"/>
    </row>
    <row r="45" spans="6:62" x14ac:dyDescent="0.35">
      <c r="AP45" s="111"/>
      <c r="AQ45" s="37"/>
      <c r="AR45" s="37"/>
      <c r="AS45" s="37"/>
      <c r="AT45" s="37"/>
      <c r="AU45" s="37"/>
    </row>
    <row r="46" spans="6:62" x14ac:dyDescent="0.35">
      <c r="AP46" s="111"/>
      <c r="AQ46" s="37"/>
      <c r="AR46" s="37"/>
      <c r="AS46" s="37"/>
      <c r="AT46" s="37"/>
      <c r="AU46" s="37"/>
    </row>
    <row r="47" spans="6:62" x14ac:dyDescent="0.35">
      <c r="AP47" s="111"/>
      <c r="AQ47" s="37"/>
      <c r="AR47" s="37"/>
      <c r="AS47" s="37"/>
      <c r="AT47" s="37"/>
      <c r="AU47" s="37"/>
    </row>
    <row r="48" spans="6:62" x14ac:dyDescent="0.35">
      <c r="AP48" s="111"/>
      <c r="AQ48" s="37"/>
      <c r="AR48" s="37"/>
      <c r="AS48" s="37"/>
      <c r="AT48" s="37"/>
      <c r="AU48" s="37"/>
    </row>
    <row r="49" spans="42:47" x14ac:dyDescent="0.35">
      <c r="AP49" s="111"/>
      <c r="AQ49" s="37"/>
      <c r="AR49" s="37"/>
      <c r="AS49" s="37"/>
      <c r="AT49" s="37"/>
      <c r="AU49" s="37"/>
    </row>
    <row r="50" spans="42:47" x14ac:dyDescent="0.35">
      <c r="AP50" s="111"/>
      <c r="AQ50" s="37"/>
      <c r="AR50" s="37"/>
      <c r="AS50" s="37"/>
      <c r="AT50" s="37"/>
      <c r="AU50" s="37"/>
    </row>
    <row r="51" spans="42:47" x14ac:dyDescent="0.35">
      <c r="AP51" s="111"/>
      <c r="AQ51" s="37"/>
      <c r="AR51" s="37"/>
      <c r="AS51" s="37"/>
      <c r="AT51" s="37"/>
      <c r="AU51" s="37"/>
    </row>
    <row r="52" spans="42:47" x14ac:dyDescent="0.35">
      <c r="AP52" s="111"/>
      <c r="AQ52" s="37"/>
      <c r="AR52" s="37"/>
      <c r="AS52" s="37"/>
      <c r="AT52" s="37"/>
      <c r="AU52" s="37"/>
    </row>
    <row r="53" spans="42:47" x14ac:dyDescent="0.35">
      <c r="AP53" s="111"/>
      <c r="AQ53" s="37"/>
      <c r="AR53" s="37"/>
      <c r="AS53" s="37"/>
      <c r="AT53" s="37"/>
      <c r="AU53" s="37"/>
    </row>
    <row r="54" spans="42:47" x14ac:dyDescent="0.35">
      <c r="AP54" s="111"/>
      <c r="AQ54" s="37"/>
      <c r="AR54" s="37"/>
      <c r="AS54" s="37"/>
      <c r="AT54" s="37"/>
      <c r="AU54" s="37"/>
    </row>
    <row r="55" spans="42:47" x14ac:dyDescent="0.35">
      <c r="AP55" s="111"/>
      <c r="AQ55" s="37"/>
      <c r="AR55" s="37"/>
      <c r="AS55" s="37"/>
      <c r="AT55" s="37"/>
      <c r="AU55" s="37"/>
    </row>
    <row r="56" spans="42:47" x14ac:dyDescent="0.35">
      <c r="AP56" s="111"/>
      <c r="AQ56" s="37"/>
      <c r="AR56" s="37"/>
      <c r="AS56" s="37"/>
      <c r="AT56" s="37"/>
      <c r="AU56" s="37"/>
    </row>
    <row r="57" spans="42:47" x14ac:dyDescent="0.35">
      <c r="AP57" s="111"/>
      <c r="AQ57" s="37"/>
      <c r="AR57" s="37"/>
      <c r="AS57" s="37"/>
      <c r="AT57" s="37"/>
      <c r="AU57" s="37"/>
    </row>
    <row r="58" spans="42:47" x14ac:dyDescent="0.35">
      <c r="AP58" s="111"/>
      <c r="AQ58" s="37"/>
      <c r="AR58" s="37"/>
      <c r="AS58" s="37"/>
      <c r="AT58" s="37"/>
      <c r="AU58" s="37"/>
    </row>
    <row r="59" spans="42:47" x14ac:dyDescent="0.35">
      <c r="AP59" s="111"/>
      <c r="AQ59" s="37"/>
      <c r="AR59" s="37"/>
      <c r="AS59" s="37"/>
      <c r="AT59" s="37"/>
      <c r="AU59" s="37"/>
    </row>
    <row r="60" spans="42:47" x14ac:dyDescent="0.35">
      <c r="AP60" s="111"/>
      <c r="AQ60" s="37"/>
      <c r="AR60" s="37"/>
      <c r="AS60" s="37"/>
      <c r="AT60" s="37"/>
      <c r="AU60" s="37"/>
    </row>
    <row r="61" spans="42:47" x14ac:dyDescent="0.35">
      <c r="AP61" s="111"/>
      <c r="AQ61" s="37"/>
      <c r="AR61" s="37"/>
      <c r="AS61" s="37"/>
      <c r="AT61" s="37"/>
      <c r="AU61" s="37"/>
    </row>
    <row r="62" spans="42:47" x14ac:dyDescent="0.35">
      <c r="AP62" s="111"/>
      <c r="AQ62" s="37"/>
      <c r="AR62" s="37"/>
      <c r="AS62" s="37"/>
      <c r="AT62" s="37"/>
      <c r="AU62" s="37"/>
    </row>
    <row r="63" spans="42:47" x14ac:dyDescent="0.35">
      <c r="AP63" s="111"/>
      <c r="AQ63" s="37"/>
      <c r="AR63" s="37"/>
      <c r="AS63" s="37"/>
      <c r="AT63" s="37"/>
      <c r="AU63" s="37"/>
    </row>
    <row r="64" spans="42:47" x14ac:dyDescent="0.35">
      <c r="AP64" s="111"/>
      <c r="AQ64" s="37"/>
      <c r="AR64" s="37"/>
      <c r="AS64" s="37"/>
      <c r="AT64" s="37"/>
      <c r="AU64" s="37"/>
    </row>
    <row r="65" spans="42:47" x14ac:dyDescent="0.35">
      <c r="AP65" s="111"/>
      <c r="AQ65" s="37"/>
      <c r="AR65" s="37"/>
      <c r="AS65" s="37"/>
      <c r="AT65" s="37"/>
      <c r="AU65" s="37"/>
    </row>
    <row r="66" spans="42:47" x14ac:dyDescent="0.35">
      <c r="AP66" s="111"/>
      <c r="AQ66" s="37"/>
      <c r="AR66" s="37"/>
      <c r="AS66" s="37"/>
      <c r="AT66" s="37"/>
      <c r="AU66" s="37"/>
    </row>
    <row r="67" spans="42:47" x14ac:dyDescent="0.35">
      <c r="AP67" s="111"/>
      <c r="AQ67" s="37"/>
      <c r="AR67" s="37"/>
      <c r="AS67" s="37"/>
      <c r="AT67" s="37"/>
      <c r="AU67" s="37"/>
    </row>
    <row r="68" spans="42:47" x14ac:dyDescent="0.35">
      <c r="AP68" s="111"/>
      <c r="AQ68" s="37"/>
      <c r="AR68" s="37"/>
      <c r="AS68" s="37"/>
      <c r="AT68" s="37"/>
      <c r="AU68" s="37"/>
    </row>
    <row r="69" spans="42:47" x14ac:dyDescent="0.35">
      <c r="AP69" s="111"/>
      <c r="AQ69" s="37"/>
      <c r="AR69" s="37"/>
      <c r="AS69" s="37"/>
      <c r="AT69" s="37"/>
      <c r="AU69" s="37"/>
    </row>
    <row r="70" spans="42:47" x14ac:dyDescent="0.35">
      <c r="AP70" s="111"/>
      <c r="AQ70" s="37"/>
      <c r="AR70" s="37"/>
      <c r="AS70" s="37"/>
      <c r="AT70" s="37"/>
      <c r="AU70" s="37"/>
    </row>
    <row r="71" spans="42:47" x14ac:dyDescent="0.35">
      <c r="AP71" s="111"/>
      <c r="AQ71" s="37"/>
      <c r="AR71" s="37"/>
      <c r="AS71" s="37"/>
      <c r="AT71" s="37"/>
      <c r="AU71" s="37"/>
    </row>
    <row r="72" spans="42:47" x14ac:dyDescent="0.35">
      <c r="AP72" s="111"/>
      <c r="AQ72" s="37"/>
      <c r="AR72" s="37"/>
      <c r="AS72" s="37"/>
      <c r="AT72" s="37"/>
      <c r="AU72" s="37"/>
    </row>
    <row r="73" spans="42:47" x14ac:dyDescent="0.35">
      <c r="AP73" s="111"/>
      <c r="AQ73" s="37"/>
      <c r="AR73" s="37"/>
      <c r="AS73" s="37"/>
      <c r="AT73" s="37"/>
      <c r="AU73" s="37"/>
    </row>
    <row r="74" spans="42:47" x14ac:dyDescent="0.35">
      <c r="AP74" s="111"/>
      <c r="AQ74" s="37"/>
      <c r="AR74" s="37"/>
      <c r="AS74" s="37"/>
      <c r="AT74" s="37"/>
      <c r="AU74" s="37"/>
    </row>
    <row r="75" spans="42:47" x14ac:dyDescent="0.35">
      <c r="AP75" s="111"/>
      <c r="AQ75" s="37"/>
      <c r="AR75" s="37"/>
      <c r="AS75" s="37"/>
      <c r="AT75" s="37"/>
      <c r="AU75" s="37"/>
    </row>
    <row r="76" spans="42:47" x14ac:dyDescent="0.35">
      <c r="AP76" s="111"/>
      <c r="AQ76" s="37"/>
      <c r="AR76" s="37"/>
      <c r="AS76" s="37"/>
      <c r="AT76" s="37"/>
      <c r="AU76" s="37"/>
    </row>
    <row r="77" spans="42:47" x14ac:dyDescent="0.35">
      <c r="AP77" s="111"/>
      <c r="AQ77" s="37"/>
      <c r="AR77" s="37"/>
      <c r="AS77" s="37"/>
      <c r="AT77" s="37"/>
      <c r="AU77" s="37"/>
    </row>
    <row r="78" spans="42:47" x14ac:dyDescent="0.35">
      <c r="AP78" s="111"/>
      <c r="AQ78" s="37"/>
      <c r="AR78" s="37"/>
      <c r="AS78" s="37"/>
      <c r="AT78" s="37"/>
      <c r="AU78" s="37"/>
    </row>
    <row r="79" spans="42:47" x14ac:dyDescent="0.35">
      <c r="AP79" s="111"/>
      <c r="AQ79" s="37"/>
      <c r="AR79" s="37"/>
      <c r="AS79" s="37"/>
      <c r="AT79" s="37"/>
      <c r="AU79" s="37"/>
    </row>
    <row r="80" spans="42:47" x14ac:dyDescent="0.35">
      <c r="AP80" s="111"/>
      <c r="AQ80" s="37"/>
      <c r="AR80" s="37"/>
      <c r="AS80" s="37"/>
      <c r="AT80" s="37"/>
      <c r="AU80" s="37"/>
    </row>
    <row r="81" spans="42:47" x14ac:dyDescent="0.35">
      <c r="AP81" s="111"/>
      <c r="AQ81" s="37"/>
      <c r="AR81" s="37"/>
      <c r="AS81" s="37"/>
      <c r="AT81" s="37"/>
      <c r="AU81" s="37"/>
    </row>
    <row r="82" spans="42:47" x14ac:dyDescent="0.35">
      <c r="AP82" s="111"/>
      <c r="AQ82" s="37"/>
      <c r="AR82" s="37"/>
      <c r="AS82" s="37"/>
      <c r="AT82" s="37"/>
      <c r="AU82" s="37"/>
    </row>
    <row r="83" spans="42:47" x14ac:dyDescent="0.35">
      <c r="AP83" s="111"/>
      <c r="AQ83" s="37"/>
      <c r="AR83" s="37"/>
      <c r="AS83" s="37"/>
      <c r="AT83" s="37"/>
      <c r="AU83" s="37"/>
    </row>
    <row r="84" spans="42:47" x14ac:dyDescent="0.35">
      <c r="AP84" s="111"/>
      <c r="AQ84" s="37"/>
      <c r="AR84" s="37"/>
      <c r="AS84" s="37"/>
      <c r="AT84" s="37"/>
      <c r="AU84" s="37"/>
    </row>
    <row r="85" spans="42:47" x14ac:dyDescent="0.35">
      <c r="AP85" s="111"/>
      <c r="AQ85" s="37"/>
      <c r="AR85" s="37"/>
      <c r="AS85" s="37"/>
      <c r="AT85" s="37"/>
      <c r="AU85" s="37"/>
    </row>
    <row r="86" spans="42:47" x14ac:dyDescent="0.35">
      <c r="AP86" s="111"/>
      <c r="AQ86" s="37"/>
      <c r="AR86" s="37"/>
      <c r="AS86" s="37"/>
      <c r="AT86" s="37"/>
      <c r="AU86" s="37"/>
    </row>
    <row r="87" spans="42:47" x14ac:dyDescent="0.35">
      <c r="AP87" s="111"/>
    </row>
    <row r="88" spans="42:47" x14ac:dyDescent="0.35">
      <c r="AP88" s="111"/>
    </row>
    <row r="89" spans="42:47" x14ac:dyDescent="0.35">
      <c r="AP89" s="111"/>
    </row>
  </sheetData>
  <mergeCells count="16">
    <mergeCell ref="N3:O3"/>
    <mergeCell ref="Q3:S3"/>
    <mergeCell ref="C8:D8"/>
    <mergeCell ref="BH3:BJ3"/>
    <mergeCell ref="AW3:AX3"/>
    <mergeCell ref="AZ3:BB3"/>
    <mergeCell ref="F3:G3"/>
    <mergeCell ref="U3:V3"/>
    <mergeCell ref="X3:Z3"/>
    <mergeCell ref="AB3:AC3"/>
    <mergeCell ref="AE3:AG3"/>
    <mergeCell ref="AI3:AJ3"/>
    <mergeCell ref="AL3:AN3"/>
    <mergeCell ref="AP3:AQ3"/>
    <mergeCell ref="AS3:AU3"/>
    <mergeCell ref="BD3:BE3"/>
  </mergeCells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1E41E-8539-4A90-BDEF-A8E6B7AFE406}">
  <dimension ref="B3:R30"/>
  <sheetViews>
    <sheetView workbookViewId="0">
      <selection activeCell="W10" sqref="W10"/>
    </sheetView>
  </sheetViews>
  <sheetFormatPr baseColWidth="10" defaultColWidth="8.7265625" defaultRowHeight="14.5" x14ac:dyDescent="0.35"/>
  <cols>
    <col min="2" max="2" width="21.1796875" bestFit="1" customWidth="1"/>
    <col min="3" max="3" width="16.1796875" bestFit="1" customWidth="1"/>
    <col min="4" max="4" width="17.36328125" bestFit="1" customWidth="1"/>
    <col min="6" max="7" width="16.08984375" customWidth="1"/>
    <col min="8" max="8" width="19.08984375" bestFit="1" customWidth="1"/>
    <col min="9" max="11" width="16.08984375" customWidth="1"/>
    <col min="13" max="13" width="16.453125" customWidth="1"/>
    <col min="14" max="14" width="21.6328125" bestFit="1" customWidth="1"/>
    <col min="15" max="15" width="20.36328125" bestFit="1" customWidth="1"/>
    <col min="16" max="16" width="16.453125" customWidth="1"/>
    <col min="17" max="17" width="72.6328125" bestFit="1" customWidth="1"/>
    <col min="18" max="18" width="16.453125" customWidth="1"/>
  </cols>
  <sheetData>
    <row r="3" spans="2:18" ht="18.5" x14ac:dyDescent="0.45">
      <c r="F3" s="183" t="s">
        <v>501</v>
      </c>
      <c r="G3" s="184"/>
      <c r="H3" s="109">
        <f>SUBTOTAL(9,H5:H10000)</f>
        <v>0</v>
      </c>
      <c r="I3" s="180" t="s">
        <v>3</v>
      </c>
      <c r="J3" s="181"/>
      <c r="K3" s="182"/>
      <c r="M3" s="183" t="s">
        <v>502</v>
      </c>
      <c r="N3" s="184"/>
      <c r="O3" s="109">
        <f>SUBTOTAL(9,O5:O10000)</f>
        <v>0</v>
      </c>
      <c r="P3" s="180" t="s">
        <v>455</v>
      </c>
      <c r="Q3" s="181"/>
      <c r="R3" s="182"/>
    </row>
    <row r="4" spans="2:18" x14ac:dyDescent="0.35">
      <c r="B4" s="112" t="s">
        <v>451</v>
      </c>
      <c r="C4" s="112" t="s">
        <v>452</v>
      </c>
      <c r="D4" s="112" t="s">
        <v>453</v>
      </c>
      <c r="F4" s="110" t="s">
        <v>80</v>
      </c>
      <c r="G4" s="110" t="s">
        <v>2</v>
      </c>
      <c r="H4" s="110" t="s">
        <v>81</v>
      </c>
      <c r="I4" s="110" t="s">
        <v>82</v>
      </c>
      <c r="J4" s="110" t="s">
        <v>346</v>
      </c>
      <c r="K4" s="110" t="s">
        <v>429</v>
      </c>
      <c r="M4" s="110" t="s">
        <v>80</v>
      </c>
      <c r="N4" s="110" t="s">
        <v>2</v>
      </c>
      <c r="O4" s="110" t="s">
        <v>81</v>
      </c>
      <c r="P4" s="110" t="s">
        <v>82</v>
      </c>
      <c r="Q4" s="110" t="s">
        <v>346</v>
      </c>
      <c r="R4" s="110" t="s">
        <v>429</v>
      </c>
    </row>
    <row r="5" spans="2:18" x14ac:dyDescent="0.35">
      <c r="B5" s="80" t="s">
        <v>501</v>
      </c>
      <c r="C5" s="146">
        <f>H3</f>
        <v>0</v>
      </c>
      <c r="D5" s="141" t="s">
        <v>503</v>
      </c>
      <c r="F5" s="111" t="e" cm="1" vm="1">
        <f t="array" aca="1" ref="F5" ca="1">_xlfn.CHOOSECOLS(_xlfn._xlws.FILTER(STATEMENT!A3:H10035,STATEMENT!H3:H10035="ENCAISSEMENT"),1,2,3,6,7,8)</f>
        <v>#NAME?</v>
      </c>
      <c r="G5" s="37"/>
      <c r="H5" s="48"/>
      <c r="I5" s="37"/>
      <c r="J5" s="37"/>
      <c r="K5" s="37"/>
      <c r="M5" s="111" t="e" cm="1" vm="1">
        <f t="array" aca="1" ref="M5" ca="1">_xlfn.CHOOSECOLS(_xlfn._xlws.FILTER(STATEMENT!A3:H10035,STATEMENT!H3:H10035="REMBOURSEMENT"),1,2,4,6,7,8)</f>
        <v>#NAME?</v>
      </c>
      <c r="N5" s="37"/>
      <c r="O5" s="48"/>
      <c r="P5" s="37"/>
      <c r="Q5" s="37"/>
      <c r="R5" s="37"/>
    </row>
    <row r="6" spans="2:18" x14ac:dyDescent="0.35">
      <c r="B6" s="37" t="s">
        <v>502</v>
      </c>
      <c r="C6" s="113" t="s">
        <v>503</v>
      </c>
      <c r="D6" s="113">
        <f>O3</f>
        <v>0</v>
      </c>
      <c r="F6" s="111"/>
      <c r="G6" s="37"/>
      <c r="H6" s="48"/>
      <c r="I6" s="37"/>
      <c r="J6" s="37"/>
      <c r="K6" s="37"/>
      <c r="M6" s="111"/>
      <c r="N6" s="37"/>
      <c r="O6" s="48"/>
      <c r="P6" s="37"/>
      <c r="Q6" s="37"/>
      <c r="R6" s="37"/>
    </row>
    <row r="7" spans="2:18" x14ac:dyDescent="0.35">
      <c r="B7" s="37" t="s">
        <v>454</v>
      </c>
      <c r="C7" s="113">
        <f>SUM(C5:C6)</f>
        <v>0</v>
      </c>
      <c r="D7" s="113">
        <f>SUM(D5:D6)</f>
        <v>0</v>
      </c>
      <c r="F7" s="111"/>
      <c r="G7" s="37"/>
      <c r="H7" s="48"/>
      <c r="I7" s="37"/>
      <c r="J7" s="37"/>
      <c r="K7" s="37"/>
      <c r="M7" s="111"/>
      <c r="N7" s="37"/>
      <c r="O7" s="48"/>
      <c r="P7" s="37"/>
      <c r="Q7" s="37"/>
      <c r="R7" s="37"/>
    </row>
    <row r="8" spans="2:18" x14ac:dyDescent="0.35">
      <c r="F8" s="111"/>
      <c r="G8" s="37"/>
      <c r="H8" s="48"/>
      <c r="I8" s="37"/>
      <c r="J8" s="37"/>
      <c r="K8" s="37"/>
      <c r="M8" s="111"/>
      <c r="N8" s="37"/>
      <c r="O8" s="48"/>
      <c r="P8" s="37"/>
      <c r="Q8" s="37"/>
      <c r="R8" s="37"/>
    </row>
    <row r="9" spans="2:18" x14ac:dyDescent="0.35">
      <c r="F9" s="111"/>
      <c r="G9" s="37"/>
      <c r="H9" s="48"/>
      <c r="I9" s="37"/>
      <c r="J9" s="37"/>
      <c r="K9" s="37"/>
      <c r="M9" s="111"/>
      <c r="N9" s="37"/>
      <c r="O9" s="48"/>
      <c r="P9" s="37"/>
      <c r="Q9" s="37"/>
      <c r="R9" s="37"/>
    </row>
    <row r="10" spans="2:18" x14ac:dyDescent="0.35">
      <c r="F10" s="111"/>
      <c r="G10" s="37"/>
      <c r="H10" s="48"/>
      <c r="I10" s="37"/>
      <c r="J10" s="37"/>
      <c r="K10" s="37"/>
      <c r="M10" s="111"/>
      <c r="N10" s="37"/>
      <c r="O10" s="48"/>
      <c r="P10" s="37"/>
      <c r="Q10" s="37"/>
      <c r="R10" s="37"/>
    </row>
    <row r="11" spans="2:18" x14ac:dyDescent="0.35">
      <c r="F11" s="111"/>
      <c r="G11" s="37"/>
      <c r="H11" s="48"/>
      <c r="I11" s="37"/>
      <c r="J11" s="37"/>
      <c r="K11" s="37"/>
      <c r="M11" s="111"/>
      <c r="N11" s="37"/>
      <c r="O11" s="48"/>
      <c r="P11" s="37"/>
      <c r="Q11" s="37"/>
      <c r="R11" s="37"/>
    </row>
    <row r="12" spans="2:18" x14ac:dyDescent="0.35">
      <c r="F12" s="111"/>
      <c r="G12" s="37"/>
      <c r="H12" s="48"/>
      <c r="I12" s="37"/>
      <c r="J12" s="37"/>
      <c r="K12" s="37"/>
      <c r="M12" s="111"/>
      <c r="N12" s="37"/>
      <c r="O12" s="48"/>
      <c r="P12" s="37"/>
      <c r="Q12" s="37"/>
      <c r="R12" s="37"/>
    </row>
    <row r="13" spans="2:18" x14ac:dyDescent="0.35">
      <c r="F13" s="111"/>
      <c r="G13" s="37"/>
      <c r="H13" s="48"/>
      <c r="I13" s="37"/>
      <c r="J13" s="37"/>
      <c r="K13" s="37"/>
      <c r="M13" s="111"/>
      <c r="N13" s="37"/>
      <c r="O13" s="48"/>
      <c r="P13" s="37"/>
      <c r="Q13" s="37"/>
      <c r="R13" s="37"/>
    </row>
    <row r="14" spans="2:18" x14ac:dyDescent="0.35">
      <c r="F14" s="111"/>
      <c r="G14" s="37"/>
      <c r="H14" s="48"/>
      <c r="I14" s="37"/>
      <c r="J14" s="37"/>
      <c r="K14" s="37"/>
      <c r="M14" s="111"/>
      <c r="N14" s="37"/>
      <c r="O14" s="48"/>
      <c r="P14" s="37"/>
      <c r="Q14" s="37"/>
      <c r="R14" s="37"/>
    </row>
    <row r="15" spans="2:18" x14ac:dyDescent="0.35">
      <c r="F15" s="111"/>
      <c r="G15" s="37"/>
      <c r="H15" s="48"/>
      <c r="I15" s="37"/>
      <c r="J15" s="37"/>
      <c r="K15" s="37"/>
      <c r="M15" s="111"/>
      <c r="N15" s="37"/>
      <c r="O15" s="48"/>
      <c r="P15" s="37"/>
      <c r="Q15" s="37"/>
      <c r="R15" s="37"/>
    </row>
    <row r="16" spans="2:18" x14ac:dyDescent="0.35">
      <c r="F16" s="111"/>
      <c r="G16" s="37"/>
      <c r="H16" s="48"/>
      <c r="I16" s="37"/>
      <c r="J16" s="37"/>
      <c r="K16" s="37"/>
      <c r="M16" s="111"/>
      <c r="N16" s="37"/>
      <c r="O16" s="48"/>
      <c r="P16" s="37"/>
      <c r="Q16" s="37"/>
      <c r="R16" s="37"/>
    </row>
    <row r="17" spans="6:18" x14ac:dyDescent="0.35">
      <c r="F17" s="111"/>
      <c r="G17" s="37"/>
      <c r="H17" s="48"/>
      <c r="I17" s="37"/>
      <c r="J17" s="37"/>
      <c r="K17" s="37"/>
      <c r="M17" s="111"/>
      <c r="N17" s="37"/>
      <c r="O17" s="48"/>
      <c r="P17" s="37"/>
      <c r="Q17" s="37"/>
      <c r="R17" s="37"/>
    </row>
    <row r="18" spans="6:18" x14ac:dyDescent="0.35">
      <c r="F18" s="111"/>
      <c r="G18" s="37"/>
      <c r="H18" s="48"/>
      <c r="I18" s="37"/>
      <c r="J18" s="37"/>
      <c r="K18" s="37"/>
      <c r="M18" s="111"/>
      <c r="N18" s="37"/>
      <c r="O18" s="48"/>
      <c r="P18" s="37"/>
      <c r="Q18" s="37"/>
      <c r="R18" s="37"/>
    </row>
    <row r="19" spans="6:18" x14ac:dyDescent="0.35">
      <c r="F19" s="111"/>
      <c r="G19" s="37"/>
      <c r="H19" s="48"/>
      <c r="I19" s="37"/>
      <c r="J19" s="37"/>
      <c r="K19" s="37"/>
      <c r="M19" s="111"/>
      <c r="N19" s="37"/>
      <c r="O19" s="48"/>
      <c r="P19" s="37"/>
      <c r="Q19" s="37"/>
      <c r="R19" s="37"/>
    </row>
    <row r="20" spans="6:18" x14ac:dyDescent="0.35">
      <c r="F20" s="111"/>
      <c r="G20" s="37"/>
      <c r="H20" s="48"/>
      <c r="I20" s="37"/>
      <c r="J20" s="37"/>
      <c r="K20" s="37"/>
      <c r="M20" s="111"/>
      <c r="N20" s="37"/>
      <c r="O20" s="48"/>
      <c r="P20" s="37"/>
      <c r="Q20" s="37"/>
      <c r="R20" s="37"/>
    </row>
    <row r="21" spans="6:18" x14ac:dyDescent="0.35">
      <c r="F21" s="111"/>
      <c r="G21" s="37"/>
      <c r="H21" s="48"/>
      <c r="I21" s="37"/>
      <c r="J21" s="37"/>
      <c r="K21" s="37"/>
      <c r="M21" s="111"/>
      <c r="N21" s="37"/>
      <c r="O21" s="48"/>
      <c r="P21" s="37"/>
      <c r="Q21" s="37"/>
      <c r="R21" s="37"/>
    </row>
    <row r="22" spans="6:18" x14ac:dyDescent="0.35">
      <c r="F22" s="111"/>
      <c r="G22" s="37"/>
      <c r="H22" s="48"/>
      <c r="I22" s="37"/>
      <c r="J22" s="37"/>
      <c r="K22" s="37"/>
      <c r="M22" s="111"/>
      <c r="N22" s="37"/>
      <c r="O22" s="48"/>
      <c r="P22" s="37"/>
      <c r="Q22" s="37"/>
      <c r="R22" s="37"/>
    </row>
    <row r="23" spans="6:18" x14ac:dyDescent="0.35">
      <c r="F23" s="111"/>
      <c r="G23" s="37"/>
      <c r="H23" s="48"/>
      <c r="I23" s="37"/>
      <c r="J23" s="37"/>
      <c r="K23" s="37"/>
      <c r="M23" s="111"/>
      <c r="N23" s="37"/>
      <c r="O23" s="48"/>
      <c r="P23" s="37"/>
      <c r="Q23" s="37"/>
      <c r="R23" s="37"/>
    </row>
    <row r="24" spans="6:18" x14ac:dyDescent="0.35">
      <c r="F24" s="111"/>
      <c r="G24" s="37"/>
      <c r="H24" s="48"/>
      <c r="I24" s="37"/>
      <c r="J24" s="37"/>
      <c r="K24" s="37"/>
      <c r="M24" s="111"/>
      <c r="N24" s="37"/>
      <c r="O24" s="48"/>
      <c r="P24" s="37"/>
      <c r="Q24" s="37"/>
      <c r="R24" s="37"/>
    </row>
    <row r="25" spans="6:18" x14ac:dyDescent="0.35">
      <c r="F25" s="111"/>
      <c r="G25" s="37"/>
      <c r="H25" s="48"/>
      <c r="I25" s="37"/>
      <c r="J25" s="37"/>
      <c r="K25" s="37"/>
      <c r="M25" s="111"/>
      <c r="N25" s="37"/>
      <c r="O25" s="48"/>
      <c r="P25" s="37"/>
      <c r="Q25" s="37"/>
      <c r="R25" s="37"/>
    </row>
    <row r="26" spans="6:18" x14ac:dyDescent="0.35">
      <c r="F26" s="111"/>
      <c r="G26" s="37"/>
      <c r="H26" s="48"/>
      <c r="I26" s="37"/>
      <c r="J26" s="37"/>
      <c r="K26" s="37"/>
      <c r="M26" s="111"/>
      <c r="N26" s="37"/>
      <c r="O26" s="48"/>
      <c r="P26" s="37"/>
      <c r="Q26" s="37"/>
      <c r="R26" s="37"/>
    </row>
    <row r="27" spans="6:18" x14ac:dyDescent="0.35">
      <c r="F27" s="111"/>
      <c r="G27" s="37"/>
      <c r="H27" s="48"/>
      <c r="I27" s="37"/>
      <c r="J27" s="37"/>
      <c r="K27" s="37"/>
      <c r="M27" s="111"/>
      <c r="N27" s="37"/>
      <c r="O27" s="48"/>
      <c r="P27" s="37"/>
      <c r="Q27" s="37"/>
      <c r="R27" s="37"/>
    </row>
    <row r="28" spans="6:18" x14ac:dyDescent="0.35">
      <c r="F28" s="111"/>
      <c r="G28" s="37"/>
      <c r="H28" s="48"/>
      <c r="I28" s="37"/>
      <c r="J28" s="37"/>
      <c r="K28" s="37"/>
      <c r="M28" s="111"/>
      <c r="N28" s="37"/>
      <c r="O28" s="48"/>
      <c r="P28" s="37"/>
      <c r="Q28" s="37"/>
      <c r="R28" s="37"/>
    </row>
    <row r="29" spans="6:18" x14ac:dyDescent="0.35">
      <c r="F29" s="111"/>
      <c r="G29" s="37"/>
      <c r="H29" s="48"/>
      <c r="I29" s="37"/>
      <c r="J29" s="37"/>
      <c r="K29" s="37"/>
      <c r="M29" s="111"/>
      <c r="N29" s="37"/>
      <c r="O29" s="48"/>
      <c r="P29" s="37"/>
      <c r="Q29" s="37"/>
      <c r="R29" s="37"/>
    </row>
    <row r="30" spans="6:18" x14ac:dyDescent="0.35">
      <c r="F30" s="111"/>
      <c r="G30" s="37"/>
      <c r="H30" s="48"/>
      <c r="I30" s="37"/>
      <c r="J30" s="37"/>
      <c r="K30" s="37"/>
      <c r="M30" s="111"/>
      <c r="N30" s="37"/>
      <c r="O30" s="48"/>
      <c r="P30" s="37"/>
      <c r="Q30" s="37"/>
      <c r="R30" s="37"/>
    </row>
  </sheetData>
  <mergeCells count="4">
    <mergeCell ref="F3:G3"/>
    <mergeCell ref="I3:K3"/>
    <mergeCell ref="M3:N3"/>
    <mergeCell ref="P3:R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B2440-6136-4289-9290-0DD866760BEF}">
  <sheetPr>
    <tabColor rgb="FF92D050"/>
  </sheetPr>
  <dimension ref="B2:AS38"/>
  <sheetViews>
    <sheetView workbookViewId="0">
      <pane ySplit="3" topLeftCell="A4" activePane="bottomLeft" state="frozen"/>
      <selection pane="bottomLeft" activeCell="I8" sqref="I8"/>
    </sheetView>
  </sheetViews>
  <sheetFormatPr baseColWidth="10" defaultColWidth="8.7265625" defaultRowHeight="14.5" x14ac:dyDescent="0.35"/>
  <cols>
    <col min="2" max="2" width="22.08984375" bestFit="1" customWidth="1"/>
    <col min="3" max="3" width="18.36328125" bestFit="1" customWidth="1"/>
    <col min="5" max="6" width="16.81640625" customWidth="1"/>
    <col min="7" max="7" width="22.36328125" bestFit="1" customWidth="1"/>
    <col min="8" max="10" width="16.81640625" customWidth="1"/>
    <col min="12" max="12" width="16.81640625" customWidth="1"/>
    <col min="13" max="13" width="36.81640625" bestFit="1" customWidth="1"/>
    <col min="14" max="14" width="22.36328125" bestFit="1" customWidth="1"/>
    <col min="15" max="17" width="16.81640625" customWidth="1"/>
    <col min="19" max="20" width="16.81640625" customWidth="1"/>
    <col min="21" max="21" width="22.36328125" bestFit="1" customWidth="1"/>
    <col min="22" max="24" width="16.81640625" customWidth="1"/>
    <col min="26" max="27" width="16.81640625" customWidth="1"/>
    <col min="28" max="28" width="22.36328125" bestFit="1" customWidth="1"/>
    <col min="29" max="31" width="16.81640625" customWidth="1"/>
    <col min="33" max="33" width="16.81640625" customWidth="1"/>
    <col min="34" max="34" width="40.54296875" bestFit="1" customWidth="1"/>
    <col min="35" max="35" width="22.36328125" bestFit="1" customWidth="1"/>
    <col min="36" max="38" width="16.81640625" customWidth="1"/>
    <col min="40" max="41" width="17.90625" customWidth="1"/>
    <col min="42" max="42" width="22.36328125" bestFit="1" customWidth="1"/>
    <col min="43" max="45" width="17.90625" customWidth="1"/>
  </cols>
  <sheetData>
    <row r="2" spans="2:45" ht="18.5" x14ac:dyDescent="0.45">
      <c r="E2" s="183" t="s">
        <v>430</v>
      </c>
      <c r="F2" s="184"/>
      <c r="G2" s="109">
        <f>SUBTOTAL(9,G4:G10000)</f>
        <v>0</v>
      </c>
      <c r="H2" s="180" t="s">
        <v>3</v>
      </c>
      <c r="I2" s="181"/>
      <c r="J2" s="182"/>
      <c r="L2" s="183" t="s">
        <v>433</v>
      </c>
      <c r="M2" s="184"/>
      <c r="N2" s="109">
        <f>SUBTOTAL(9,N4:N10000)</f>
        <v>0</v>
      </c>
      <c r="O2" s="180" t="s">
        <v>3</v>
      </c>
      <c r="P2" s="181"/>
      <c r="Q2" s="182"/>
      <c r="S2" s="183" t="s">
        <v>431</v>
      </c>
      <c r="T2" s="184"/>
      <c r="U2" s="109">
        <f>SUBTOTAL(9,U4:U10000)</f>
        <v>0</v>
      </c>
      <c r="V2" s="180" t="s">
        <v>3</v>
      </c>
      <c r="W2" s="181"/>
      <c r="X2" s="182"/>
      <c r="Z2" s="183" t="s">
        <v>434</v>
      </c>
      <c r="AA2" s="184"/>
      <c r="AB2" s="109">
        <f>SUBTOTAL(9,AB4:AB10000)</f>
        <v>0</v>
      </c>
      <c r="AC2" s="180" t="s">
        <v>3</v>
      </c>
      <c r="AD2" s="181"/>
      <c r="AE2" s="182"/>
      <c r="AG2" s="183" t="s">
        <v>432</v>
      </c>
      <c r="AH2" s="184"/>
      <c r="AI2" s="109">
        <f>SUBTOTAL(9,AI4:AI10000)</f>
        <v>0</v>
      </c>
      <c r="AJ2" s="180" t="s">
        <v>3</v>
      </c>
      <c r="AK2" s="181"/>
      <c r="AL2" s="182"/>
      <c r="AN2" s="183" t="s">
        <v>510</v>
      </c>
      <c r="AO2" s="184"/>
      <c r="AP2" s="109">
        <f>SUBTOTAL(9,AP4:AP10000)</f>
        <v>0</v>
      </c>
      <c r="AQ2" s="180" t="s">
        <v>3</v>
      </c>
      <c r="AR2" s="181"/>
      <c r="AS2" s="182"/>
    </row>
    <row r="3" spans="2:45" x14ac:dyDescent="0.35">
      <c r="B3" s="112" t="s">
        <v>451</v>
      </c>
      <c r="C3" s="112" t="s">
        <v>452</v>
      </c>
      <c r="E3" s="110" t="s">
        <v>80</v>
      </c>
      <c r="F3" s="110" t="s">
        <v>2</v>
      </c>
      <c r="G3" s="110" t="s">
        <v>81</v>
      </c>
      <c r="H3" s="110" t="s">
        <v>82</v>
      </c>
      <c r="I3" s="110" t="s">
        <v>346</v>
      </c>
      <c r="J3" s="110" t="s">
        <v>429</v>
      </c>
      <c r="L3" s="110" t="s">
        <v>80</v>
      </c>
      <c r="M3" s="110" t="s">
        <v>2</v>
      </c>
      <c r="N3" s="110" t="s">
        <v>81</v>
      </c>
      <c r="O3" s="110" t="s">
        <v>82</v>
      </c>
      <c r="P3" s="110" t="s">
        <v>346</v>
      </c>
      <c r="Q3" s="110" t="s">
        <v>429</v>
      </c>
      <c r="S3" s="110" t="s">
        <v>80</v>
      </c>
      <c r="T3" s="110" t="s">
        <v>2</v>
      </c>
      <c r="U3" s="110" t="s">
        <v>81</v>
      </c>
      <c r="V3" s="110" t="s">
        <v>82</v>
      </c>
      <c r="W3" s="110" t="s">
        <v>346</v>
      </c>
      <c r="X3" s="110" t="s">
        <v>429</v>
      </c>
      <c r="Z3" s="110" t="s">
        <v>80</v>
      </c>
      <c r="AA3" s="110" t="s">
        <v>2</v>
      </c>
      <c r="AB3" s="110" t="s">
        <v>81</v>
      </c>
      <c r="AC3" s="110" t="s">
        <v>82</v>
      </c>
      <c r="AD3" s="110" t="s">
        <v>346</v>
      </c>
      <c r="AE3" s="110" t="s">
        <v>429</v>
      </c>
      <c r="AG3" s="110" t="s">
        <v>80</v>
      </c>
      <c r="AH3" s="110" t="s">
        <v>2</v>
      </c>
      <c r="AI3" s="110" t="s">
        <v>81</v>
      </c>
      <c r="AJ3" s="110" t="s">
        <v>82</v>
      </c>
      <c r="AK3" s="110" t="s">
        <v>346</v>
      </c>
      <c r="AL3" s="110" t="s">
        <v>429</v>
      </c>
      <c r="AN3" s="110" t="s">
        <v>80</v>
      </c>
      <c r="AO3" s="110" t="s">
        <v>2</v>
      </c>
      <c r="AP3" s="110" t="s">
        <v>81</v>
      </c>
      <c r="AQ3" s="110" t="s">
        <v>82</v>
      </c>
      <c r="AR3" s="110" t="s">
        <v>346</v>
      </c>
      <c r="AS3" s="110" t="s">
        <v>429</v>
      </c>
    </row>
    <row r="4" spans="2:45" x14ac:dyDescent="0.35">
      <c r="B4" s="37" t="s">
        <v>434</v>
      </c>
      <c r="C4" s="113">
        <f>AB2</f>
        <v>0</v>
      </c>
      <c r="E4" s="111" t="e" cm="1" vm="1">
        <f t="array" aca="1" ref="E4" ca="1">_xlfn.CHOOSECOLS(_xlfn._xlws.FILTER(STATEMENT!A3:H10035,STATEMENT!H3:H10035="SALES/ SHEA BUTER"),1,2,3,6,7,8)</f>
        <v>#NAME?</v>
      </c>
      <c r="F4" s="37"/>
      <c r="G4" s="48"/>
      <c r="H4" s="37"/>
      <c r="I4" s="37"/>
      <c r="J4" s="37"/>
      <c r="L4" s="111" t="e" cm="1" vm="1">
        <f t="array" aca="1" ref="L4" ca="1">_xlfn.CHOOSECOLS(_xlfn._xlws.FILTER(STATEMENT!A3:H10035,STATEMENT!H3:H10035="SALES/ SHEA NUT MEAL"),1,2,3,6,7,8)</f>
        <v>#NAME?</v>
      </c>
      <c r="M4" s="37"/>
      <c r="N4" s="48"/>
      <c r="O4" s="37"/>
      <c r="P4" s="37"/>
      <c r="Q4" s="37"/>
      <c r="S4" s="111" t="e" cm="1" vm="1">
        <f t="array" aca="1" ref="S4" ca="1">_xlfn.CHOOSECOLS(_xlfn._xlws.FILTER(STATEMENT!A3:H10035,STATEMENT!H3:H10035="SALES/ UD CAKE"),1,2,3,6,7,8)</f>
        <v>#NAME?</v>
      </c>
      <c r="T4" s="37"/>
      <c r="U4" s="48"/>
      <c r="V4" s="37"/>
      <c r="W4" s="37"/>
      <c r="X4" s="37"/>
      <c r="Z4" s="111" t="e" cm="1" vm="1">
        <f t="array" aca="1" ref="Z4" ca="1">_xlfn.CHOOSECOLS(_xlfn._xlws.FILTER(STATEMENT!A3:H10035,STATEMENT!H3:H10035="SALES/ COTTON SEED OIL"),1,2,3,6,7,8)</f>
        <v>#NAME?</v>
      </c>
      <c r="AA4" s="37"/>
      <c r="AB4" s="48"/>
      <c r="AC4" s="37"/>
      <c r="AD4" s="37"/>
      <c r="AE4" s="37"/>
      <c r="AG4" s="111" t="e" cm="1" vm="1">
        <f t="array" aca="1" ref="AG4" ca="1">_xlfn.CHOOSECOLS(_xlfn._xlws.FILTER(STATEMENT!A3:H10035,STATEMENT!H3:H10035="SALES/ SOYABEAN"),1,2,3,6,7,8)</f>
        <v>#NAME?</v>
      </c>
      <c r="AH4" s="37"/>
      <c r="AI4" s="48"/>
      <c r="AJ4" s="37"/>
      <c r="AK4" s="37"/>
      <c r="AL4" s="37"/>
      <c r="AN4" s="111" t="e" cm="1" vm="1">
        <f t="array" aca="1" ref="AN4" ca="1">_xlfn.CHOOSECOLS(_xlfn._xlws.FILTER(STATEMENT!A3:H10035,STATEMENT!H3:H10035="SALES/ SOYA MEAL"),1,2,3,6,7,8)</f>
        <v>#NAME?</v>
      </c>
      <c r="AO4" s="37"/>
      <c r="AP4" s="48"/>
      <c r="AQ4" s="37"/>
      <c r="AR4" s="37"/>
      <c r="AS4" s="37"/>
    </row>
    <row r="5" spans="2:45" x14ac:dyDescent="0.35">
      <c r="B5" s="37" t="s">
        <v>430</v>
      </c>
      <c r="C5" s="113">
        <f>G2</f>
        <v>0</v>
      </c>
      <c r="E5" s="111"/>
      <c r="F5" s="37"/>
      <c r="G5" s="48"/>
      <c r="H5" s="37"/>
      <c r="I5" s="37"/>
      <c r="J5" s="37"/>
      <c r="L5" s="111"/>
      <c r="M5" s="37"/>
      <c r="N5" s="48"/>
      <c r="O5" s="37"/>
      <c r="P5" s="37"/>
      <c r="Q5" s="37"/>
      <c r="S5" s="111"/>
      <c r="T5" s="37"/>
      <c r="U5" s="48"/>
      <c r="V5" s="37"/>
      <c r="W5" s="37"/>
      <c r="X5" s="37"/>
      <c r="Z5" s="111"/>
      <c r="AA5" s="37"/>
      <c r="AB5" s="48"/>
      <c r="AC5" s="37"/>
      <c r="AD5" s="37"/>
      <c r="AE5" s="37"/>
      <c r="AG5" s="111"/>
      <c r="AH5" s="37"/>
      <c r="AI5" s="48"/>
      <c r="AJ5" s="37"/>
      <c r="AK5" s="37"/>
      <c r="AL5" s="37"/>
      <c r="AN5" s="111"/>
      <c r="AO5" s="37"/>
      <c r="AP5" s="48"/>
      <c r="AQ5" s="37"/>
      <c r="AR5" s="37"/>
      <c r="AS5" s="37"/>
    </row>
    <row r="6" spans="2:45" x14ac:dyDescent="0.35">
      <c r="B6" s="37" t="s">
        <v>433</v>
      </c>
      <c r="C6" s="113">
        <f>N2</f>
        <v>0</v>
      </c>
      <c r="E6" s="111"/>
      <c r="F6" s="37"/>
      <c r="G6" s="48"/>
      <c r="H6" s="37"/>
      <c r="I6" s="37"/>
      <c r="J6" s="37"/>
      <c r="L6" s="111"/>
      <c r="M6" s="37"/>
      <c r="N6" s="48"/>
      <c r="O6" s="37"/>
      <c r="P6" s="37"/>
      <c r="Q6" s="37"/>
      <c r="S6" s="111"/>
      <c r="T6" s="37"/>
      <c r="U6" s="48"/>
      <c r="V6" s="37"/>
      <c r="W6" s="37"/>
      <c r="X6" s="37"/>
      <c r="Z6" s="111"/>
      <c r="AA6" s="37"/>
      <c r="AB6" s="48"/>
      <c r="AC6" s="37"/>
      <c r="AD6" s="37"/>
      <c r="AE6" s="37"/>
      <c r="AG6" s="111"/>
      <c r="AH6" s="37"/>
      <c r="AI6" s="48"/>
      <c r="AJ6" s="37"/>
      <c r="AK6" s="37"/>
      <c r="AL6" s="37"/>
      <c r="AN6" s="111"/>
      <c r="AO6" s="37"/>
      <c r="AP6" s="48"/>
      <c r="AQ6" s="37"/>
      <c r="AR6" s="37"/>
      <c r="AS6" s="37"/>
    </row>
    <row r="7" spans="2:45" x14ac:dyDescent="0.35">
      <c r="B7" s="37" t="s">
        <v>432</v>
      </c>
      <c r="C7" s="113">
        <f>AI2</f>
        <v>0</v>
      </c>
      <c r="E7" s="111"/>
      <c r="F7" s="37"/>
      <c r="G7" s="48"/>
      <c r="H7" s="37"/>
      <c r="I7" s="37"/>
      <c r="J7" s="37"/>
      <c r="L7" s="111"/>
      <c r="M7" s="37"/>
      <c r="N7" s="48"/>
      <c r="O7" s="37"/>
      <c r="P7" s="37"/>
      <c r="Q7" s="37"/>
      <c r="S7" s="111"/>
      <c r="T7" s="37"/>
      <c r="U7" s="48"/>
      <c r="V7" s="37"/>
      <c r="W7" s="37"/>
      <c r="X7" s="37"/>
      <c r="Z7" s="111"/>
      <c r="AA7" s="37"/>
      <c r="AB7" s="48"/>
      <c r="AC7" s="37"/>
      <c r="AD7" s="37"/>
      <c r="AE7" s="37"/>
      <c r="AG7" s="111"/>
      <c r="AH7" s="37"/>
      <c r="AI7" s="48"/>
      <c r="AJ7" s="37"/>
      <c r="AK7" s="37"/>
      <c r="AL7" s="37"/>
      <c r="AN7" s="111"/>
      <c r="AO7" s="37"/>
      <c r="AP7" s="48"/>
      <c r="AQ7" s="37"/>
      <c r="AR7" s="37"/>
      <c r="AS7" s="37"/>
    </row>
    <row r="8" spans="2:45" x14ac:dyDescent="0.35">
      <c r="B8" s="37" t="s">
        <v>431</v>
      </c>
      <c r="C8" s="113">
        <f>U2</f>
        <v>0</v>
      </c>
      <c r="E8" s="111"/>
      <c r="F8" s="37"/>
      <c r="G8" s="48"/>
      <c r="H8" s="37"/>
      <c r="I8" s="37"/>
      <c r="J8" s="37"/>
      <c r="L8" s="111"/>
      <c r="M8" s="37"/>
      <c r="N8" s="48"/>
      <c r="O8" s="37"/>
      <c r="P8" s="37"/>
      <c r="Q8" s="37"/>
      <c r="S8" s="111"/>
      <c r="T8" s="37"/>
      <c r="U8" s="48"/>
      <c r="V8" s="37"/>
      <c r="W8" s="37"/>
      <c r="X8" s="37"/>
      <c r="Z8" s="111"/>
      <c r="AA8" s="37"/>
      <c r="AB8" s="48"/>
      <c r="AC8" s="37"/>
      <c r="AD8" s="37"/>
      <c r="AE8" s="37"/>
      <c r="AG8" s="111"/>
      <c r="AH8" s="37"/>
      <c r="AI8" s="48"/>
      <c r="AJ8" s="37"/>
      <c r="AK8" s="37"/>
      <c r="AL8" s="37"/>
      <c r="AN8" s="111"/>
      <c r="AO8" s="37"/>
      <c r="AP8" s="48"/>
      <c r="AQ8" s="37"/>
      <c r="AR8" s="37"/>
      <c r="AS8" s="37"/>
    </row>
    <row r="9" spans="2:45" x14ac:dyDescent="0.35">
      <c r="B9" s="37" t="s">
        <v>510</v>
      </c>
      <c r="C9" s="113">
        <f>AP2</f>
        <v>0</v>
      </c>
      <c r="E9" s="111"/>
      <c r="F9" s="37"/>
      <c r="G9" s="48"/>
      <c r="H9" s="37"/>
      <c r="I9" s="37"/>
      <c r="J9" s="37"/>
      <c r="L9" s="111"/>
      <c r="M9" s="37"/>
      <c r="N9" s="48"/>
      <c r="O9" s="37"/>
      <c r="P9" s="37"/>
      <c r="Q9" s="37"/>
      <c r="S9" s="111"/>
      <c r="T9" s="37"/>
      <c r="U9" s="48"/>
      <c r="V9" s="37"/>
      <c r="W9" s="37"/>
      <c r="X9" s="37"/>
      <c r="Z9" s="111"/>
      <c r="AA9" s="37"/>
      <c r="AB9" s="48"/>
      <c r="AC9" s="37"/>
      <c r="AD9" s="37"/>
      <c r="AE9" s="37"/>
      <c r="AG9" s="111"/>
      <c r="AH9" s="37"/>
      <c r="AI9" s="48"/>
      <c r="AJ9" s="37"/>
      <c r="AK9" s="37"/>
      <c r="AL9" s="37"/>
      <c r="AN9" s="111"/>
      <c r="AO9" s="37"/>
      <c r="AP9" s="48"/>
      <c r="AQ9" s="37"/>
      <c r="AR9" s="37"/>
      <c r="AS9" s="37"/>
    </row>
    <row r="10" spans="2:45" x14ac:dyDescent="0.35">
      <c r="B10" s="61" t="s">
        <v>454</v>
      </c>
      <c r="C10" s="114">
        <f>SUM(C4:C9)</f>
        <v>0</v>
      </c>
      <c r="E10" s="111"/>
      <c r="F10" s="37"/>
      <c r="G10" s="48"/>
      <c r="H10" s="37"/>
      <c r="I10" s="37"/>
      <c r="J10" s="37"/>
      <c r="L10" s="111"/>
      <c r="M10" s="37"/>
      <c r="N10" s="48"/>
      <c r="O10" s="37"/>
      <c r="P10" s="37"/>
      <c r="Q10" s="37"/>
      <c r="S10" s="111"/>
      <c r="T10" s="37"/>
      <c r="U10" s="48"/>
      <c r="V10" s="37"/>
      <c r="W10" s="37"/>
      <c r="X10" s="37"/>
      <c r="Z10" s="111"/>
      <c r="AA10" s="37"/>
      <c r="AB10" s="48"/>
      <c r="AC10" s="37"/>
      <c r="AD10" s="37"/>
      <c r="AE10" s="37"/>
      <c r="AG10" s="111"/>
      <c r="AH10" s="37"/>
      <c r="AI10" s="48"/>
      <c r="AJ10" s="37"/>
      <c r="AK10" s="37"/>
      <c r="AL10" s="37"/>
      <c r="AN10" s="111"/>
      <c r="AO10" s="37"/>
      <c r="AP10" s="48"/>
      <c r="AQ10" s="37"/>
      <c r="AR10" s="37"/>
      <c r="AS10" s="37"/>
    </row>
    <row r="11" spans="2:45" x14ac:dyDescent="0.35">
      <c r="E11" s="111"/>
      <c r="F11" s="37"/>
      <c r="G11" s="48"/>
      <c r="H11" s="37"/>
      <c r="I11" s="37"/>
      <c r="J11" s="37"/>
      <c r="L11" s="111"/>
      <c r="M11" s="37"/>
      <c r="N11" s="48"/>
      <c r="O11" s="37"/>
      <c r="P11" s="37"/>
      <c r="Q11" s="37"/>
      <c r="S11" s="111"/>
      <c r="T11" s="37"/>
      <c r="U11" s="48"/>
      <c r="V11" s="37"/>
      <c r="W11" s="37"/>
      <c r="X11" s="37"/>
      <c r="Z11" s="111"/>
      <c r="AA11" s="37"/>
      <c r="AB11" s="48"/>
      <c r="AC11" s="37"/>
      <c r="AD11" s="37"/>
      <c r="AE11" s="37"/>
      <c r="AG11" s="111"/>
      <c r="AH11" s="37"/>
      <c r="AI11" s="48"/>
      <c r="AJ11" s="37"/>
      <c r="AK11" s="37"/>
      <c r="AL11" s="37"/>
      <c r="AN11" s="111"/>
      <c r="AO11" s="37"/>
      <c r="AP11" s="48"/>
      <c r="AQ11" s="37"/>
      <c r="AR11" s="37"/>
      <c r="AS11" s="37"/>
    </row>
    <row r="12" spans="2:45" x14ac:dyDescent="0.35">
      <c r="E12" s="111"/>
      <c r="F12" s="37"/>
      <c r="G12" s="48"/>
      <c r="H12" s="37"/>
      <c r="I12" s="37"/>
      <c r="J12" s="37"/>
      <c r="L12" s="111"/>
      <c r="M12" s="37"/>
      <c r="N12" s="48"/>
      <c r="O12" s="37"/>
      <c r="P12" s="37"/>
      <c r="Q12" s="37"/>
      <c r="S12" s="111"/>
      <c r="T12" s="37"/>
      <c r="U12" s="48"/>
      <c r="V12" s="37"/>
      <c r="W12" s="37"/>
      <c r="X12" s="37"/>
      <c r="Z12" s="111"/>
      <c r="AA12" s="37"/>
      <c r="AB12" s="48"/>
      <c r="AC12" s="37"/>
      <c r="AD12" s="37"/>
      <c r="AE12" s="37"/>
      <c r="AG12" s="111"/>
      <c r="AH12" s="37"/>
      <c r="AI12" s="48"/>
      <c r="AJ12" s="37"/>
      <c r="AK12" s="37"/>
      <c r="AL12" s="37"/>
      <c r="AN12" s="111"/>
      <c r="AO12" s="37"/>
      <c r="AP12" s="48"/>
      <c r="AQ12" s="37"/>
      <c r="AR12" s="37"/>
      <c r="AS12" s="37"/>
    </row>
    <row r="13" spans="2:45" x14ac:dyDescent="0.35">
      <c r="E13" s="111"/>
      <c r="F13" s="37"/>
      <c r="G13" s="48"/>
      <c r="H13" s="37"/>
      <c r="I13" s="37"/>
      <c r="J13" s="37"/>
      <c r="L13" s="111"/>
      <c r="M13" s="37"/>
      <c r="N13" s="48"/>
      <c r="O13" s="37"/>
      <c r="P13" s="37"/>
      <c r="Q13" s="37"/>
      <c r="S13" s="111"/>
      <c r="T13" s="37"/>
      <c r="U13" s="48"/>
      <c r="V13" s="37"/>
      <c r="W13" s="37"/>
      <c r="X13" s="37"/>
      <c r="Z13" s="111"/>
      <c r="AA13" s="37"/>
      <c r="AB13" s="48"/>
      <c r="AC13" s="37"/>
      <c r="AD13" s="37"/>
      <c r="AE13" s="37"/>
      <c r="AG13" s="111"/>
      <c r="AH13" s="37"/>
      <c r="AI13" s="48"/>
      <c r="AJ13" s="37"/>
      <c r="AK13" s="37"/>
      <c r="AL13" s="37"/>
      <c r="AN13" s="111"/>
      <c r="AO13" s="37"/>
      <c r="AP13" s="48"/>
      <c r="AQ13" s="37"/>
      <c r="AR13" s="37"/>
      <c r="AS13" s="37"/>
    </row>
    <row r="14" spans="2:45" x14ac:dyDescent="0.35">
      <c r="E14" s="111"/>
      <c r="F14" s="37"/>
      <c r="G14" s="48"/>
      <c r="H14" s="37"/>
      <c r="I14" s="37"/>
      <c r="J14" s="37"/>
      <c r="L14" s="111"/>
      <c r="M14" s="37"/>
      <c r="N14" s="48"/>
      <c r="O14" s="37"/>
      <c r="P14" s="37"/>
      <c r="Q14" s="37"/>
      <c r="S14" s="111"/>
      <c r="T14" s="37"/>
      <c r="U14" s="48"/>
      <c r="V14" s="37"/>
      <c r="W14" s="37"/>
      <c r="X14" s="37"/>
      <c r="Z14" s="111"/>
      <c r="AA14" s="37"/>
      <c r="AB14" s="48"/>
      <c r="AC14" s="37"/>
      <c r="AD14" s="37"/>
      <c r="AE14" s="37"/>
      <c r="AG14" s="111"/>
      <c r="AH14" s="37"/>
      <c r="AI14" s="48"/>
      <c r="AJ14" s="37"/>
      <c r="AK14" s="37"/>
      <c r="AL14" s="37"/>
      <c r="AN14" s="111"/>
      <c r="AO14" s="37"/>
      <c r="AP14" s="48"/>
      <c r="AQ14" s="37"/>
      <c r="AR14" s="37"/>
      <c r="AS14" s="37"/>
    </row>
    <row r="15" spans="2:45" x14ac:dyDescent="0.35">
      <c r="E15" s="111"/>
      <c r="F15" s="37"/>
      <c r="G15" s="48"/>
      <c r="H15" s="37"/>
      <c r="I15" s="37"/>
      <c r="J15" s="37"/>
      <c r="L15" s="111"/>
      <c r="M15" s="37"/>
      <c r="N15" s="48"/>
      <c r="O15" s="37"/>
      <c r="P15" s="37"/>
      <c r="Q15" s="37"/>
      <c r="S15" s="111"/>
      <c r="T15" s="37"/>
      <c r="U15" s="48"/>
      <c r="V15" s="37"/>
      <c r="W15" s="37"/>
      <c r="X15" s="37"/>
      <c r="Z15" s="111"/>
      <c r="AA15" s="37"/>
      <c r="AB15" s="48"/>
      <c r="AC15" s="37"/>
      <c r="AD15" s="37"/>
      <c r="AE15" s="37"/>
      <c r="AG15" s="111"/>
      <c r="AH15" s="37"/>
      <c r="AI15" s="48"/>
      <c r="AJ15" s="37"/>
      <c r="AK15" s="37"/>
      <c r="AL15" s="37"/>
      <c r="AN15" s="111"/>
      <c r="AO15" s="37"/>
      <c r="AP15" s="48"/>
      <c r="AQ15" s="37"/>
      <c r="AR15" s="37"/>
      <c r="AS15" s="37"/>
    </row>
    <row r="16" spans="2:45" x14ac:dyDescent="0.35">
      <c r="E16" s="111"/>
      <c r="F16" s="37"/>
      <c r="G16" s="48"/>
      <c r="H16" s="37"/>
      <c r="I16" s="37"/>
      <c r="J16" s="37"/>
      <c r="L16" s="111"/>
      <c r="M16" s="37"/>
      <c r="N16" s="48"/>
      <c r="O16" s="37"/>
      <c r="P16" s="37"/>
      <c r="Q16" s="37"/>
      <c r="S16" s="111"/>
      <c r="T16" s="37"/>
      <c r="U16" s="48"/>
      <c r="V16" s="37"/>
      <c r="W16" s="37"/>
      <c r="X16" s="37"/>
      <c r="Z16" s="111"/>
      <c r="AA16" s="37"/>
      <c r="AB16" s="48"/>
      <c r="AC16" s="37"/>
      <c r="AD16" s="37"/>
      <c r="AE16" s="37"/>
      <c r="AG16" s="111"/>
      <c r="AH16" s="37"/>
      <c r="AI16" s="48"/>
      <c r="AJ16" s="37"/>
      <c r="AK16" s="37"/>
      <c r="AL16" s="37"/>
      <c r="AN16" s="111"/>
      <c r="AO16" s="37"/>
      <c r="AP16" s="48"/>
      <c r="AQ16" s="37"/>
      <c r="AR16" s="37"/>
      <c r="AS16" s="37"/>
    </row>
    <row r="17" spans="5:45" x14ac:dyDescent="0.35">
      <c r="E17" s="111"/>
      <c r="F17" s="37"/>
      <c r="G17" s="48"/>
      <c r="H17" s="37"/>
      <c r="I17" s="37"/>
      <c r="J17" s="37"/>
      <c r="L17" s="111"/>
      <c r="M17" s="37"/>
      <c r="N17" s="48"/>
      <c r="O17" s="37"/>
      <c r="P17" s="37"/>
      <c r="Q17" s="37"/>
      <c r="S17" s="111"/>
      <c r="T17" s="37"/>
      <c r="U17" s="48"/>
      <c r="V17" s="37"/>
      <c r="W17" s="37"/>
      <c r="X17" s="37"/>
      <c r="Z17" s="111"/>
      <c r="AA17" s="37"/>
      <c r="AB17" s="48"/>
      <c r="AC17" s="37"/>
      <c r="AD17" s="37"/>
      <c r="AE17" s="37"/>
      <c r="AG17" s="111"/>
      <c r="AH17" s="37"/>
      <c r="AI17" s="48"/>
      <c r="AJ17" s="37"/>
      <c r="AK17" s="37"/>
      <c r="AL17" s="37"/>
      <c r="AN17" s="111"/>
      <c r="AO17" s="37"/>
      <c r="AP17" s="48"/>
      <c r="AQ17" s="37"/>
      <c r="AR17" s="37"/>
      <c r="AS17" s="37"/>
    </row>
    <row r="18" spans="5:45" x14ac:dyDescent="0.35">
      <c r="E18" s="111"/>
      <c r="F18" s="37"/>
      <c r="G18" s="48"/>
      <c r="H18" s="37"/>
      <c r="I18" s="37"/>
      <c r="J18" s="37"/>
      <c r="L18" s="111"/>
      <c r="M18" s="37"/>
      <c r="N18" s="48"/>
      <c r="O18" s="37"/>
      <c r="P18" s="37"/>
      <c r="Q18" s="37"/>
      <c r="S18" s="111"/>
      <c r="T18" s="37"/>
      <c r="U18" s="48"/>
      <c r="V18" s="37"/>
      <c r="W18" s="37"/>
      <c r="X18" s="37"/>
      <c r="Z18" s="111"/>
      <c r="AA18" s="37"/>
      <c r="AB18" s="48"/>
      <c r="AC18" s="37"/>
      <c r="AD18" s="37"/>
      <c r="AE18" s="37"/>
      <c r="AG18" s="111"/>
      <c r="AH18" s="37"/>
      <c r="AI18" s="48"/>
      <c r="AJ18" s="37"/>
      <c r="AK18" s="37"/>
      <c r="AL18" s="37"/>
      <c r="AN18" s="111"/>
      <c r="AO18" s="37"/>
      <c r="AP18" s="48"/>
      <c r="AQ18" s="37"/>
      <c r="AR18" s="37"/>
      <c r="AS18" s="37"/>
    </row>
    <row r="19" spans="5:45" x14ac:dyDescent="0.35">
      <c r="E19" s="111"/>
      <c r="F19" s="37"/>
      <c r="G19" s="48"/>
      <c r="H19" s="37"/>
      <c r="I19" s="37"/>
      <c r="J19" s="37"/>
      <c r="L19" s="111"/>
      <c r="M19" s="37"/>
      <c r="N19" s="48"/>
      <c r="O19" s="37"/>
      <c r="P19" s="37"/>
      <c r="Q19" s="37"/>
      <c r="S19" s="111"/>
      <c r="T19" s="37"/>
      <c r="U19" s="48"/>
      <c r="V19" s="37"/>
      <c r="W19" s="37"/>
      <c r="X19" s="37"/>
      <c r="Z19" s="111"/>
      <c r="AA19" s="37"/>
      <c r="AB19" s="48"/>
      <c r="AC19" s="37"/>
      <c r="AD19" s="37"/>
      <c r="AE19" s="37"/>
      <c r="AG19" s="111"/>
      <c r="AH19" s="37"/>
      <c r="AI19" s="48"/>
      <c r="AJ19" s="37"/>
      <c r="AK19" s="37"/>
      <c r="AL19" s="37"/>
      <c r="AN19" s="111"/>
      <c r="AO19" s="37"/>
      <c r="AP19" s="48"/>
      <c r="AQ19" s="37"/>
      <c r="AR19" s="37"/>
      <c r="AS19" s="37"/>
    </row>
    <row r="20" spans="5:45" x14ac:dyDescent="0.35">
      <c r="E20" s="111"/>
      <c r="F20" s="37"/>
      <c r="G20" s="48"/>
      <c r="H20" s="37"/>
      <c r="I20" s="37"/>
      <c r="J20" s="37"/>
      <c r="L20" s="111"/>
      <c r="M20" s="37"/>
      <c r="N20" s="48"/>
      <c r="O20" s="37"/>
      <c r="P20" s="37"/>
      <c r="Q20" s="37"/>
      <c r="S20" s="111"/>
      <c r="T20" s="37"/>
      <c r="U20" s="48"/>
      <c r="V20" s="37"/>
      <c r="W20" s="37"/>
      <c r="X20" s="37"/>
      <c r="Z20" s="111"/>
      <c r="AA20" s="37"/>
      <c r="AB20" s="48"/>
      <c r="AC20" s="37"/>
      <c r="AD20" s="37"/>
      <c r="AE20" s="37"/>
      <c r="AG20" s="111"/>
      <c r="AH20" s="37"/>
      <c r="AI20" s="48"/>
      <c r="AJ20" s="37"/>
      <c r="AK20" s="37"/>
      <c r="AL20" s="37"/>
      <c r="AN20" s="111"/>
      <c r="AO20" s="37"/>
      <c r="AP20" s="48"/>
      <c r="AQ20" s="37"/>
      <c r="AR20" s="37"/>
      <c r="AS20" s="37"/>
    </row>
    <row r="21" spans="5:45" x14ac:dyDescent="0.35">
      <c r="E21" s="111"/>
      <c r="F21" s="37"/>
      <c r="G21" s="48"/>
      <c r="H21" s="37"/>
      <c r="I21" s="37"/>
      <c r="J21" s="37"/>
      <c r="L21" s="111"/>
      <c r="M21" s="37"/>
      <c r="N21" s="48"/>
      <c r="O21" s="37"/>
      <c r="P21" s="37"/>
      <c r="Q21" s="37"/>
      <c r="S21" s="111"/>
      <c r="T21" s="37"/>
      <c r="U21" s="48"/>
      <c r="V21" s="37"/>
      <c r="W21" s="37"/>
      <c r="X21" s="37"/>
      <c r="Z21" s="111"/>
      <c r="AA21" s="37"/>
      <c r="AB21" s="48"/>
      <c r="AC21" s="37"/>
      <c r="AD21" s="37"/>
      <c r="AE21" s="37"/>
      <c r="AG21" s="111"/>
      <c r="AH21" s="37"/>
      <c r="AI21" s="48"/>
      <c r="AJ21" s="37"/>
      <c r="AK21" s="37"/>
      <c r="AL21" s="37"/>
      <c r="AN21" s="111"/>
      <c r="AO21" s="37"/>
      <c r="AP21" s="48"/>
      <c r="AQ21" s="37"/>
      <c r="AR21" s="37"/>
      <c r="AS21" s="37"/>
    </row>
    <row r="22" spans="5:45" x14ac:dyDescent="0.35">
      <c r="E22" s="111"/>
      <c r="F22" s="37"/>
      <c r="G22" s="48"/>
      <c r="H22" s="37"/>
      <c r="I22" s="37"/>
      <c r="J22" s="37"/>
      <c r="L22" s="111"/>
      <c r="M22" s="37"/>
      <c r="N22" s="48"/>
      <c r="O22" s="37"/>
      <c r="P22" s="37"/>
      <c r="Q22" s="37"/>
      <c r="S22" s="111"/>
      <c r="T22" s="37"/>
      <c r="U22" s="48"/>
      <c r="V22" s="37"/>
      <c r="W22" s="37"/>
      <c r="X22" s="37"/>
      <c r="Z22" s="111"/>
      <c r="AA22" s="37"/>
      <c r="AB22" s="48"/>
      <c r="AC22" s="37"/>
      <c r="AD22" s="37"/>
      <c r="AE22" s="37"/>
      <c r="AG22" s="111"/>
      <c r="AH22" s="37"/>
      <c r="AI22" s="48"/>
      <c r="AJ22" s="37"/>
      <c r="AK22" s="37"/>
      <c r="AL22" s="37"/>
      <c r="AN22" s="111"/>
      <c r="AO22" s="37"/>
      <c r="AP22" s="48"/>
      <c r="AQ22" s="37"/>
      <c r="AR22" s="37"/>
      <c r="AS22" s="37"/>
    </row>
    <row r="23" spans="5:45" x14ac:dyDescent="0.35">
      <c r="E23" s="111"/>
      <c r="F23" s="37"/>
      <c r="G23" s="48"/>
      <c r="H23" s="37"/>
      <c r="I23" s="37"/>
      <c r="J23" s="37"/>
      <c r="L23" s="111"/>
      <c r="M23" s="37"/>
      <c r="N23" s="48"/>
      <c r="O23" s="37"/>
      <c r="P23" s="37"/>
      <c r="Q23" s="37"/>
      <c r="S23" s="111"/>
      <c r="T23" s="37"/>
      <c r="U23" s="48"/>
      <c r="V23" s="37"/>
      <c r="W23" s="37"/>
      <c r="X23" s="37"/>
      <c r="Z23" s="111"/>
      <c r="AA23" s="37"/>
      <c r="AB23" s="48"/>
      <c r="AC23" s="37"/>
      <c r="AD23" s="37"/>
      <c r="AE23" s="37"/>
      <c r="AG23" s="111"/>
      <c r="AH23" s="37"/>
      <c r="AI23" s="48"/>
      <c r="AJ23" s="37"/>
      <c r="AK23" s="37"/>
      <c r="AL23" s="37"/>
      <c r="AN23" s="111"/>
      <c r="AO23" s="37"/>
      <c r="AP23" s="48"/>
      <c r="AQ23" s="37"/>
      <c r="AR23" s="37"/>
      <c r="AS23" s="37"/>
    </row>
    <row r="24" spans="5:45" x14ac:dyDescent="0.35">
      <c r="E24" s="111"/>
      <c r="F24" s="37"/>
      <c r="G24" s="48"/>
      <c r="H24" s="37"/>
      <c r="I24" s="37"/>
      <c r="J24" s="37"/>
      <c r="L24" s="111"/>
      <c r="M24" s="37"/>
      <c r="N24" s="48"/>
      <c r="O24" s="37"/>
      <c r="P24" s="37"/>
      <c r="Q24" s="37"/>
      <c r="S24" s="111"/>
      <c r="T24" s="37"/>
      <c r="U24" s="48"/>
      <c r="V24" s="37"/>
      <c r="W24" s="37"/>
      <c r="X24" s="37"/>
      <c r="Z24" s="111"/>
      <c r="AA24" s="37"/>
      <c r="AB24" s="48"/>
      <c r="AC24" s="37"/>
      <c r="AD24" s="37"/>
      <c r="AE24" s="37"/>
      <c r="AG24" s="111"/>
      <c r="AH24" s="37"/>
      <c r="AI24" s="48"/>
      <c r="AJ24" s="37"/>
      <c r="AK24" s="37"/>
      <c r="AL24" s="37"/>
      <c r="AN24" s="111"/>
      <c r="AO24" s="37"/>
      <c r="AP24" s="48"/>
      <c r="AQ24" s="37"/>
      <c r="AR24" s="37"/>
      <c r="AS24" s="37"/>
    </row>
    <row r="25" spans="5:45" x14ac:dyDescent="0.35">
      <c r="E25" s="111"/>
      <c r="F25" s="37"/>
      <c r="G25" s="48"/>
      <c r="H25" s="37"/>
      <c r="I25" s="37"/>
      <c r="J25" s="37"/>
      <c r="L25" s="111"/>
      <c r="M25" s="37"/>
      <c r="N25" s="48"/>
      <c r="O25" s="37"/>
      <c r="P25" s="37"/>
      <c r="Q25" s="37"/>
      <c r="S25" s="111"/>
      <c r="T25" s="37"/>
      <c r="U25" s="48"/>
      <c r="V25" s="37"/>
      <c r="W25" s="37"/>
      <c r="X25" s="37"/>
      <c r="Z25" s="111"/>
      <c r="AA25" s="37"/>
      <c r="AB25" s="48"/>
      <c r="AC25" s="37"/>
      <c r="AD25" s="37"/>
      <c r="AE25" s="37"/>
      <c r="AG25" s="111"/>
      <c r="AH25" s="37"/>
      <c r="AI25" s="48"/>
      <c r="AJ25" s="37"/>
      <c r="AK25" s="37"/>
      <c r="AL25" s="37"/>
      <c r="AN25" s="111"/>
      <c r="AO25" s="37"/>
      <c r="AP25" s="48"/>
      <c r="AQ25" s="37"/>
      <c r="AR25" s="37"/>
      <c r="AS25" s="37"/>
    </row>
    <row r="26" spans="5:45" x14ac:dyDescent="0.35">
      <c r="E26" s="111"/>
      <c r="F26" s="37"/>
      <c r="G26" s="48"/>
      <c r="H26" s="37"/>
      <c r="I26" s="37"/>
      <c r="J26" s="37"/>
      <c r="L26" s="111"/>
      <c r="M26" s="37"/>
      <c r="N26" s="48"/>
      <c r="O26" s="37"/>
      <c r="P26" s="37"/>
      <c r="Q26" s="37"/>
      <c r="S26" s="111"/>
      <c r="T26" s="37"/>
      <c r="U26" s="48"/>
      <c r="V26" s="37"/>
      <c r="W26" s="37"/>
      <c r="X26" s="37"/>
      <c r="Z26" s="111"/>
      <c r="AA26" s="37"/>
      <c r="AB26" s="48"/>
      <c r="AC26" s="37"/>
      <c r="AD26" s="37"/>
      <c r="AE26" s="37"/>
      <c r="AG26" s="111"/>
      <c r="AH26" s="37"/>
      <c r="AI26" s="48"/>
      <c r="AJ26" s="37"/>
      <c r="AK26" s="37"/>
      <c r="AL26" s="37"/>
      <c r="AN26" s="111"/>
      <c r="AO26" s="37"/>
      <c r="AP26" s="48"/>
      <c r="AQ26" s="37"/>
      <c r="AR26" s="37"/>
      <c r="AS26" s="37"/>
    </row>
    <row r="27" spans="5:45" x14ac:dyDescent="0.35">
      <c r="E27" s="111"/>
      <c r="F27" s="37"/>
      <c r="G27" s="48"/>
      <c r="H27" s="37"/>
      <c r="I27" s="37"/>
      <c r="J27" s="37"/>
      <c r="L27" s="111"/>
      <c r="M27" s="37"/>
      <c r="N27" s="48"/>
      <c r="O27" s="37"/>
      <c r="P27" s="37"/>
      <c r="Q27" s="37"/>
      <c r="S27" s="111"/>
      <c r="T27" s="37"/>
      <c r="U27" s="48"/>
      <c r="V27" s="37"/>
      <c r="W27" s="37"/>
      <c r="X27" s="37"/>
      <c r="Z27" s="111"/>
      <c r="AA27" s="37"/>
      <c r="AB27" s="48"/>
      <c r="AC27" s="37"/>
      <c r="AD27" s="37"/>
      <c r="AE27" s="37"/>
      <c r="AG27" s="111"/>
      <c r="AH27" s="37"/>
      <c r="AI27" s="48"/>
      <c r="AJ27" s="37"/>
      <c r="AK27" s="37"/>
      <c r="AL27" s="37"/>
      <c r="AN27" s="111"/>
      <c r="AO27" s="37"/>
      <c r="AP27" s="48"/>
      <c r="AQ27" s="37"/>
      <c r="AR27" s="37"/>
      <c r="AS27" s="37"/>
    </row>
    <row r="28" spans="5:45" x14ac:dyDescent="0.35">
      <c r="E28" s="111"/>
      <c r="F28" s="37"/>
      <c r="G28" s="48"/>
      <c r="H28" s="37"/>
      <c r="I28" s="37"/>
      <c r="J28" s="37"/>
      <c r="L28" s="111"/>
      <c r="M28" s="37"/>
      <c r="N28" s="48"/>
      <c r="O28" s="37"/>
      <c r="P28" s="37"/>
      <c r="Q28" s="37"/>
      <c r="S28" s="111"/>
      <c r="T28" s="37"/>
      <c r="U28" s="48"/>
      <c r="V28" s="37"/>
      <c r="W28" s="37"/>
      <c r="X28" s="37"/>
      <c r="Z28" s="111"/>
      <c r="AA28" s="37"/>
      <c r="AB28" s="48"/>
      <c r="AC28" s="37"/>
      <c r="AD28" s="37"/>
      <c r="AE28" s="37"/>
      <c r="AG28" s="111"/>
      <c r="AH28" s="37"/>
      <c r="AI28" s="48"/>
      <c r="AJ28" s="37"/>
      <c r="AK28" s="37"/>
      <c r="AL28" s="37"/>
      <c r="AN28" s="111"/>
      <c r="AO28" s="37"/>
      <c r="AP28" s="48"/>
      <c r="AQ28" s="37"/>
      <c r="AR28" s="37"/>
      <c r="AS28" s="37"/>
    </row>
    <row r="29" spans="5:45" x14ac:dyDescent="0.35">
      <c r="E29" s="111"/>
      <c r="F29" s="37"/>
      <c r="G29" s="48"/>
      <c r="H29" s="37"/>
      <c r="I29" s="37"/>
      <c r="J29" s="37"/>
      <c r="L29" s="111"/>
      <c r="M29" s="37"/>
      <c r="N29" s="48"/>
      <c r="O29" s="37"/>
      <c r="P29" s="37"/>
      <c r="Q29" s="37"/>
      <c r="S29" s="111"/>
      <c r="T29" s="37"/>
      <c r="U29" s="48"/>
      <c r="V29" s="37"/>
      <c r="W29" s="37"/>
      <c r="X29" s="37"/>
      <c r="Z29" s="111"/>
      <c r="AA29" s="37"/>
      <c r="AB29" s="48"/>
      <c r="AC29" s="37"/>
      <c r="AD29" s="37"/>
      <c r="AE29" s="37"/>
      <c r="AG29" s="111"/>
      <c r="AH29" s="37"/>
      <c r="AI29" s="48"/>
      <c r="AJ29" s="37"/>
      <c r="AK29" s="37"/>
      <c r="AL29" s="37"/>
      <c r="AN29" s="111"/>
      <c r="AO29" s="37"/>
      <c r="AP29" s="48"/>
      <c r="AQ29" s="37"/>
      <c r="AR29" s="37"/>
      <c r="AS29" s="37"/>
    </row>
    <row r="30" spans="5:45" x14ac:dyDescent="0.35">
      <c r="E30" s="111"/>
      <c r="F30" s="37"/>
      <c r="G30" s="48"/>
      <c r="H30" s="37"/>
      <c r="I30" s="37"/>
      <c r="J30" s="37"/>
      <c r="L30" s="111"/>
      <c r="M30" s="37"/>
      <c r="N30" s="48"/>
      <c r="O30" s="37"/>
      <c r="P30" s="37"/>
      <c r="Q30" s="37"/>
      <c r="S30" s="111"/>
      <c r="T30" s="37"/>
      <c r="U30" s="48"/>
      <c r="V30" s="37"/>
      <c r="W30" s="37"/>
      <c r="X30" s="37"/>
      <c r="Z30" s="111"/>
      <c r="AA30" s="37"/>
      <c r="AB30" s="48"/>
      <c r="AC30" s="37"/>
      <c r="AD30" s="37"/>
      <c r="AE30" s="37"/>
      <c r="AG30" s="111"/>
      <c r="AH30" s="37"/>
      <c r="AI30" s="48"/>
      <c r="AJ30" s="37"/>
      <c r="AK30" s="37"/>
      <c r="AL30" s="37"/>
      <c r="AN30" s="111"/>
      <c r="AO30" s="37"/>
      <c r="AP30" s="48"/>
      <c r="AQ30" s="37"/>
      <c r="AR30" s="37"/>
      <c r="AS30" s="37"/>
    </row>
    <row r="31" spans="5:45" x14ac:dyDescent="0.35">
      <c r="E31" s="111"/>
      <c r="F31" s="37"/>
      <c r="G31" s="48"/>
      <c r="H31" s="37"/>
      <c r="I31" s="37"/>
      <c r="J31" s="37"/>
      <c r="L31" s="111"/>
      <c r="M31" s="37"/>
      <c r="N31" s="48"/>
      <c r="O31" s="37"/>
      <c r="P31" s="37"/>
      <c r="Q31" s="37"/>
      <c r="S31" s="111"/>
      <c r="T31" s="37"/>
      <c r="U31" s="48"/>
      <c r="V31" s="37"/>
      <c r="W31" s="37"/>
      <c r="X31" s="37"/>
      <c r="Z31" s="111"/>
      <c r="AA31" s="37"/>
      <c r="AB31" s="48"/>
      <c r="AC31" s="37"/>
      <c r="AD31" s="37"/>
      <c r="AE31" s="37"/>
      <c r="AG31" s="111"/>
      <c r="AH31" s="37"/>
      <c r="AI31" s="48"/>
      <c r="AJ31" s="37"/>
      <c r="AK31" s="37"/>
      <c r="AL31" s="37"/>
      <c r="AN31" s="111"/>
      <c r="AO31" s="37"/>
      <c r="AP31" s="48"/>
      <c r="AQ31" s="37"/>
      <c r="AR31" s="37"/>
      <c r="AS31" s="37"/>
    </row>
    <row r="32" spans="5:45" x14ac:dyDescent="0.35">
      <c r="E32" s="111"/>
      <c r="F32" s="37"/>
      <c r="G32" s="48"/>
      <c r="H32" s="37"/>
      <c r="I32" s="37"/>
      <c r="J32" s="37"/>
      <c r="L32" s="111"/>
      <c r="M32" s="37"/>
      <c r="N32" s="48"/>
      <c r="O32" s="37"/>
      <c r="P32" s="37"/>
      <c r="Q32" s="37"/>
      <c r="S32" s="111"/>
      <c r="T32" s="37"/>
      <c r="U32" s="48"/>
      <c r="V32" s="37"/>
      <c r="W32" s="37"/>
      <c r="X32" s="37"/>
      <c r="Z32" s="111"/>
      <c r="AA32" s="37"/>
      <c r="AB32" s="48"/>
      <c r="AC32" s="37"/>
      <c r="AD32" s="37"/>
      <c r="AE32" s="37"/>
      <c r="AG32" s="111"/>
      <c r="AH32" s="37"/>
      <c r="AI32" s="48"/>
      <c r="AJ32" s="37"/>
      <c r="AK32" s="37"/>
      <c r="AL32" s="37"/>
      <c r="AN32" s="111"/>
      <c r="AO32" s="37"/>
      <c r="AP32" s="48"/>
      <c r="AQ32" s="37"/>
      <c r="AR32" s="37"/>
      <c r="AS32" s="37"/>
    </row>
    <row r="33" spans="5:45" x14ac:dyDescent="0.35">
      <c r="E33" s="111"/>
      <c r="F33" s="37"/>
      <c r="G33" s="48"/>
      <c r="H33" s="37"/>
      <c r="I33" s="37"/>
      <c r="J33" s="37"/>
      <c r="L33" s="111"/>
      <c r="M33" s="37"/>
      <c r="N33" s="48"/>
      <c r="O33" s="37"/>
      <c r="P33" s="37"/>
      <c r="Q33" s="37"/>
      <c r="S33" s="111"/>
      <c r="T33" s="37"/>
      <c r="U33" s="48"/>
      <c r="V33" s="37"/>
      <c r="W33" s="37"/>
      <c r="X33" s="37"/>
      <c r="Z33" s="111"/>
      <c r="AA33" s="37"/>
      <c r="AB33" s="48"/>
      <c r="AC33" s="37"/>
      <c r="AD33" s="37"/>
      <c r="AE33" s="37"/>
      <c r="AG33" s="111"/>
      <c r="AH33" s="37"/>
      <c r="AI33" s="48"/>
      <c r="AJ33" s="37"/>
      <c r="AK33" s="37"/>
      <c r="AL33" s="37"/>
      <c r="AN33" s="111"/>
      <c r="AO33" s="37"/>
      <c r="AP33" s="48"/>
      <c r="AQ33" s="37"/>
      <c r="AR33" s="37"/>
      <c r="AS33" s="37"/>
    </row>
    <row r="34" spans="5:45" x14ac:dyDescent="0.35">
      <c r="E34" s="111"/>
      <c r="F34" s="37"/>
      <c r="G34" s="37"/>
      <c r="H34" s="37"/>
      <c r="I34" s="37"/>
      <c r="J34" s="37"/>
      <c r="L34" s="111"/>
      <c r="M34" s="37"/>
      <c r="N34" s="37"/>
      <c r="O34" s="37"/>
      <c r="P34" s="37"/>
      <c r="Q34" s="37"/>
      <c r="S34" s="111"/>
      <c r="T34" s="37"/>
      <c r="U34" s="37"/>
      <c r="V34" s="37"/>
      <c r="W34" s="37"/>
      <c r="X34" s="37"/>
      <c r="Z34" s="111"/>
      <c r="AA34" s="37"/>
      <c r="AB34" s="37"/>
      <c r="AC34" s="37"/>
      <c r="AD34" s="37"/>
      <c r="AE34" s="37"/>
      <c r="AG34" s="111"/>
      <c r="AH34" s="37"/>
      <c r="AI34" s="37"/>
      <c r="AJ34" s="37"/>
      <c r="AK34" s="37"/>
      <c r="AL34" s="37"/>
      <c r="AN34" s="111"/>
      <c r="AO34" s="37"/>
      <c r="AP34" s="37"/>
      <c r="AQ34" s="37"/>
      <c r="AR34" s="37"/>
      <c r="AS34" s="37"/>
    </row>
    <row r="35" spans="5:45" x14ac:dyDescent="0.35">
      <c r="E35" s="111"/>
      <c r="F35" s="37"/>
      <c r="G35" s="37"/>
      <c r="H35" s="37"/>
      <c r="I35" s="37"/>
      <c r="J35" s="37"/>
      <c r="L35" s="111"/>
      <c r="M35" s="37"/>
      <c r="N35" s="37"/>
      <c r="O35" s="37"/>
      <c r="P35" s="37"/>
      <c r="Q35" s="37"/>
      <c r="S35" s="111"/>
      <c r="T35" s="37"/>
      <c r="U35" s="37"/>
      <c r="V35" s="37"/>
      <c r="W35" s="37"/>
      <c r="X35" s="37"/>
      <c r="Z35" s="111"/>
      <c r="AA35" s="37"/>
      <c r="AB35" s="37"/>
      <c r="AC35" s="37"/>
      <c r="AD35" s="37"/>
      <c r="AE35" s="37"/>
      <c r="AG35" s="111"/>
      <c r="AH35" s="37"/>
      <c r="AI35" s="37"/>
      <c r="AJ35" s="37"/>
      <c r="AK35" s="37"/>
      <c r="AL35" s="37"/>
      <c r="AN35" s="111"/>
      <c r="AO35" s="37"/>
      <c r="AP35" s="37"/>
      <c r="AQ35" s="37"/>
      <c r="AR35" s="37"/>
      <c r="AS35" s="37"/>
    </row>
    <row r="36" spans="5:45" x14ac:dyDescent="0.35">
      <c r="E36" s="111"/>
      <c r="F36" s="37"/>
      <c r="G36" s="37"/>
      <c r="H36" s="37"/>
      <c r="I36" s="37"/>
      <c r="J36" s="37"/>
      <c r="L36" s="111"/>
      <c r="M36" s="37"/>
      <c r="N36" s="37"/>
      <c r="O36" s="37"/>
      <c r="P36" s="37"/>
      <c r="Q36" s="37"/>
      <c r="S36" s="111"/>
      <c r="T36" s="37"/>
      <c r="U36" s="37"/>
      <c r="V36" s="37"/>
      <c r="W36" s="37"/>
      <c r="X36" s="37"/>
      <c r="Z36" s="111"/>
      <c r="AA36" s="37"/>
      <c r="AB36" s="37"/>
      <c r="AC36" s="37"/>
      <c r="AD36" s="37"/>
      <c r="AE36" s="37"/>
      <c r="AG36" s="111"/>
      <c r="AH36" s="37"/>
      <c r="AI36" s="37"/>
      <c r="AJ36" s="37"/>
      <c r="AK36" s="37"/>
      <c r="AL36" s="37"/>
      <c r="AN36" s="111"/>
      <c r="AO36" s="37"/>
      <c r="AP36" s="37"/>
      <c r="AQ36" s="37"/>
      <c r="AR36" s="37"/>
      <c r="AS36" s="37"/>
    </row>
    <row r="37" spans="5:45" x14ac:dyDescent="0.35">
      <c r="E37" s="111"/>
      <c r="F37" s="37"/>
      <c r="G37" s="37"/>
      <c r="H37" s="37"/>
      <c r="I37" s="37"/>
      <c r="J37" s="37"/>
      <c r="L37" s="111"/>
      <c r="M37" s="37"/>
      <c r="N37" s="37"/>
      <c r="O37" s="37"/>
      <c r="P37" s="37"/>
      <c r="Q37" s="37"/>
      <c r="S37" s="111"/>
      <c r="T37" s="37"/>
      <c r="U37" s="37"/>
      <c r="V37" s="37"/>
      <c r="W37" s="37"/>
      <c r="X37" s="37"/>
      <c r="Z37" s="111"/>
      <c r="AA37" s="37"/>
      <c r="AB37" s="37"/>
      <c r="AC37" s="37"/>
      <c r="AD37" s="37"/>
      <c r="AE37" s="37"/>
      <c r="AG37" s="111"/>
      <c r="AH37" s="37"/>
      <c r="AI37" s="37"/>
      <c r="AJ37" s="37"/>
      <c r="AK37" s="37"/>
      <c r="AL37" s="37"/>
      <c r="AN37" s="111"/>
      <c r="AO37" s="37"/>
      <c r="AP37" s="37"/>
      <c r="AQ37" s="37"/>
      <c r="AR37" s="37"/>
      <c r="AS37" s="37"/>
    </row>
    <row r="38" spans="5:45" x14ac:dyDescent="0.35">
      <c r="E38" s="111"/>
      <c r="F38" s="37"/>
      <c r="G38" s="37"/>
      <c r="H38" s="37"/>
      <c r="I38" s="37"/>
      <c r="J38" s="37"/>
      <c r="L38" s="111"/>
      <c r="M38" s="37"/>
      <c r="N38" s="37"/>
      <c r="O38" s="37"/>
      <c r="P38" s="37"/>
      <c r="Q38" s="37"/>
      <c r="S38" s="111"/>
      <c r="T38" s="37"/>
      <c r="U38" s="37"/>
      <c r="V38" s="37"/>
      <c r="W38" s="37"/>
      <c r="X38" s="37"/>
      <c r="Z38" s="111"/>
      <c r="AA38" s="37"/>
      <c r="AB38" s="37"/>
      <c r="AC38" s="37"/>
      <c r="AD38" s="37"/>
      <c r="AE38" s="37"/>
      <c r="AG38" s="111"/>
      <c r="AH38" s="37"/>
      <c r="AI38" s="37"/>
      <c r="AJ38" s="37"/>
      <c r="AK38" s="37"/>
      <c r="AL38" s="37"/>
      <c r="AN38" s="111"/>
      <c r="AO38" s="37"/>
      <c r="AP38" s="37"/>
      <c r="AQ38" s="37"/>
      <c r="AR38" s="37"/>
      <c r="AS38" s="37"/>
    </row>
  </sheetData>
  <autoFilter ref="S3:X3" xr:uid="{98EB2440-6136-4289-9290-0DD866760BEF}"/>
  <mergeCells count="12">
    <mergeCell ref="AN2:AO2"/>
    <mergeCell ref="AQ2:AS2"/>
    <mergeCell ref="AJ2:AL2"/>
    <mergeCell ref="E2:F2"/>
    <mergeCell ref="H2:J2"/>
    <mergeCell ref="L2:M2"/>
    <mergeCell ref="O2:Q2"/>
    <mergeCell ref="S2:T2"/>
    <mergeCell ref="V2:X2"/>
    <mergeCell ref="Z2:AA2"/>
    <mergeCell ref="AC2:AE2"/>
    <mergeCell ref="AG2:AH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84632-5319-4FE5-BEC7-F20043189CF1}">
  <sheetPr>
    <tabColor rgb="FFFFC000"/>
  </sheetPr>
  <dimension ref="B3:X146"/>
  <sheetViews>
    <sheetView topLeftCell="T1" workbookViewId="0">
      <selection activeCell="B8" sqref="B8"/>
    </sheetView>
  </sheetViews>
  <sheetFormatPr baseColWidth="10" defaultColWidth="8.7265625" defaultRowHeight="14.5" x14ac:dyDescent="0.35"/>
  <cols>
    <col min="2" max="2" width="22.08984375" bestFit="1" customWidth="1"/>
    <col min="3" max="3" width="17.7265625" bestFit="1" customWidth="1"/>
    <col min="5" max="6" width="16.81640625" customWidth="1"/>
    <col min="7" max="7" width="22.36328125" bestFit="1" customWidth="1"/>
    <col min="8" max="9" width="16.81640625" customWidth="1"/>
    <col min="10" max="10" width="22.90625" bestFit="1" customWidth="1"/>
    <col min="12" max="12" width="17.1796875" customWidth="1"/>
    <col min="13" max="13" width="21.6328125" customWidth="1"/>
    <col min="14" max="14" width="22.36328125" bestFit="1" customWidth="1"/>
    <col min="15" max="17" width="17.1796875" customWidth="1"/>
    <col min="19" max="20" width="18.1796875" customWidth="1"/>
    <col min="21" max="21" width="19.08984375" bestFit="1" customWidth="1"/>
    <col min="22" max="25" width="18.1796875" customWidth="1"/>
  </cols>
  <sheetData>
    <row r="3" spans="2:24" ht="18.5" x14ac:dyDescent="0.45">
      <c r="E3" s="183" t="s">
        <v>449</v>
      </c>
      <c r="F3" s="184"/>
      <c r="G3" s="109">
        <f>SUBTOTAL(9,G5:G10000)</f>
        <v>0</v>
      </c>
      <c r="H3" s="180" t="s">
        <v>455</v>
      </c>
      <c r="I3" s="181"/>
      <c r="J3" s="182"/>
      <c r="L3" s="183" t="s">
        <v>437</v>
      </c>
      <c r="M3" s="184"/>
      <c r="N3" s="109">
        <f>SUBTOTAL(9,N5:N10000)</f>
        <v>0</v>
      </c>
      <c r="O3" s="180" t="s">
        <v>455</v>
      </c>
      <c r="P3" s="181"/>
      <c r="Q3" s="182"/>
      <c r="S3" s="183" t="s">
        <v>574</v>
      </c>
      <c r="T3" s="184"/>
      <c r="U3" s="109">
        <f>SUBTOTAL(9,U5:U10000)</f>
        <v>0</v>
      </c>
      <c r="V3" s="180" t="s">
        <v>455</v>
      </c>
      <c r="W3" s="181"/>
      <c r="X3" s="182"/>
    </row>
    <row r="4" spans="2:24" x14ac:dyDescent="0.35">
      <c r="B4" s="112" t="s">
        <v>451</v>
      </c>
      <c r="C4" s="112" t="s">
        <v>453</v>
      </c>
      <c r="E4" s="110" t="s">
        <v>80</v>
      </c>
      <c r="F4" s="110" t="s">
        <v>2</v>
      </c>
      <c r="G4" s="110" t="s">
        <v>81</v>
      </c>
      <c r="H4" s="110" t="s">
        <v>82</v>
      </c>
      <c r="I4" s="110" t="s">
        <v>346</v>
      </c>
      <c r="J4" s="110" t="s">
        <v>429</v>
      </c>
      <c r="L4" s="110" t="s">
        <v>80</v>
      </c>
      <c r="M4" s="110" t="s">
        <v>2</v>
      </c>
      <c r="N4" s="110" t="s">
        <v>81</v>
      </c>
      <c r="O4" s="110" t="s">
        <v>82</v>
      </c>
      <c r="P4" s="110" t="s">
        <v>346</v>
      </c>
      <c r="Q4" s="110" t="s">
        <v>429</v>
      </c>
      <c r="S4" s="110" t="s">
        <v>80</v>
      </c>
      <c r="T4" s="110" t="s">
        <v>2</v>
      </c>
      <c r="U4" s="110" t="s">
        <v>81</v>
      </c>
      <c r="V4" s="110" t="s">
        <v>82</v>
      </c>
      <c r="W4" s="110" t="s">
        <v>346</v>
      </c>
      <c r="X4" s="110" t="s">
        <v>429</v>
      </c>
    </row>
    <row r="5" spans="2:24" x14ac:dyDescent="0.35">
      <c r="B5" s="37" t="s">
        <v>449</v>
      </c>
      <c r="C5" s="113">
        <f>G3</f>
        <v>0</v>
      </c>
      <c r="E5" s="111" t="e" cm="1" vm="1">
        <f t="array" aca="1" ref="E5" ca="1">_xlfn.CHOOSECOLS(_xlfn._xlws.FILTER(STATEMENT!A3:H10035,STATEMENT!H3:H10035="PURCHASE/ COTTON SEED"),1,2,4,6,7,8)</f>
        <v>#NAME?</v>
      </c>
      <c r="F5" s="37"/>
      <c r="G5" s="48"/>
      <c r="H5" s="37"/>
      <c r="I5" s="37"/>
      <c r="J5" s="37"/>
      <c r="L5" s="111" t="e" cm="1" vm="1">
        <f t="array" aca="1" ref="L5" ca="1">_xlfn.CHOOSECOLS(_xlfn._xlws.FILTER(STATEMENT!A3:H10035,STATEMENT!H3:H10035="PURCHASE/ SOYA"),1,2,4,6,7,8)</f>
        <v>#NAME?</v>
      </c>
      <c r="M5" s="37"/>
      <c r="N5" s="48"/>
      <c r="O5" s="37"/>
      <c r="P5" s="37"/>
      <c r="Q5" s="37"/>
      <c r="S5" s="111" t="e" cm="1" vm="1">
        <f t="array" aca="1" ref="S5" ca="1">_xlfn.CHOOSECOLS(_xlfn._xlws.FILTER(STATEMENT!A3:H10035,STATEMENT!H3:H10035="PURCHASE/ SHEA"),1,2,4,6,7,8)</f>
        <v>#NAME?</v>
      </c>
      <c r="T5" s="37"/>
      <c r="U5" s="48"/>
      <c r="V5" s="37"/>
      <c r="W5" s="37"/>
      <c r="X5" s="37"/>
    </row>
    <row r="6" spans="2:24" x14ac:dyDescent="0.35">
      <c r="B6" s="37" t="s">
        <v>437</v>
      </c>
      <c r="C6" s="113">
        <f>N3</f>
        <v>0</v>
      </c>
      <c r="E6" s="111"/>
      <c r="F6" s="37"/>
      <c r="G6" s="48"/>
      <c r="H6" s="37"/>
      <c r="I6" s="37"/>
      <c r="J6" s="37"/>
      <c r="L6" s="111"/>
      <c r="M6" s="37"/>
      <c r="N6" s="48"/>
      <c r="O6" s="37"/>
      <c r="P6" s="37"/>
      <c r="Q6" s="37"/>
      <c r="S6" s="111"/>
      <c r="T6" s="37"/>
      <c r="U6" s="48"/>
      <c r="V6" s="37"/>
      <c r="W6" s="37"/>
      <c r="X6" s="37"/>
    </row>
    <row r="7" spans="2:24" x14ac:dyDescent="0.35">
      <c r="B7" s="37" t="s">
        <v>574</v>
      </c>
      <c r="C7" s="113">
        <f>U3</f>
        <v>0</v>
      </c>
      <c r="E7" s="111"/>
      <c r="F7" s="37"/>
      <c r="G7" s="48"/>
      <c r="H7" s="37"/>
      <c r="I7" s="37"/>
      <c r="J7" s="37"/>
      <c r="L7" s="111"/>
      <c r="M7" s="37"/>
      <c r="N7" s="48"/>
      <c r="O7" s="37"/>
      <c r="P7" s="37"/>
      <c r="Q7" s="37"/>
      <c r="S7" s="111"/>
      <c r="T7" s="37"/>
      <c r="U7" s="48"/>
      <c r="V7" s="37"/>
      <c r="W7" s="37"/>
      <c r="X7" s="37"/>
    </row>
    <row r="8" spans="2:24" x14ac:dyDescent="0.35">
      <c r="B8" s="37" t="s">
        <v>454</v>
      </c>
      <c r="C8" s="113">
        <f>SUM(C5:C7)</f>
        <v>0</v>
      </c>
      <c r="E8" s="111"/>
      <c r="F8" s="37"/>
      <c r="G8" s="48"/>
      <c r="H8" s="37"/>
      <c r="I8" s="37"/>
      <c r="J8" s="37"/>
      <c r="L8" s="111"/>
      <c r="M8" s="37"/>
      <c r="N8" s="48"/>
      <c r="O8" s="37"/>
      <c r="P8" s="37"/>
      <c r="Q8" s="37"/>
      <c r="S8" s="111"/>
      <c r="T8" s="37"/>
      <c r="U8" s="48"/>
      <c r="V8" s="37"/>
      <c r="W8" s="37"/>
      <c r="X8" s="37"/>
    </row>
    <row r="9" spans="2:24" x14ac:dyDescent="0.35">
      <c r="E9" s="111"/>
      <c r="F9" s="37"/>
      <c r="G9" s="48"/>
      <c r="H9" s="37"/>
      <c r="I9" s="37"/>
      <c r="J9" s="37"/>
      <c r="L9" s="111"/>
      <c r="M9" s="37"/>
      <c r="N9" s="48"/>
      <c r="O9" s="37"/>
      <c r="P9" s="37"/>
      <c r="Q9" s="37"/>
      <c r="S9" s="111"/>
      <c r="T9" s="37"/>
      <c r="U9" s="48"/>
      <c r="V9" s="37"/>
      <c r="W9" s="37"/>
      <c r="X9" s="37"/>
    </row>
    <row r="10" spans="2:24" x14ac:dyDescent="0.35">
      <c r="E10" s="111"/>
      <c r="F10" s="37"/>
      <c r="G10" s="48"/>
      <c r="H10" s="37"/>
      <c r="I10" s="37"/>
      <c r="J10" s="37"/>
      <c r="L10" s="111"/>
      <c r="M10" s="37"/>
      <c r="N10" s="48"/>
      <c r="O10" s="37"/>
      <c r="P10" s="37"/>
      <c r="Q10" s="37"/>
      <c r="S10" s="111"/>
      <c r="T10" s="37"/>
      <c r="U10" s="48"/>
      <c r="V10" s="37"/>
      <c r="W10" s="37"/>
      <c r="X10" s="37"/>
    </row>
    <row r="11" spans="2:24" x14ac:dyDescent="0.35">
      <c r="E11" s="111"/>
      <c r="F11" s="37"/>
      <c r="G11" s="48"/>
      <c r="H11" s="37"/>
      <c r="I11" s="37"/>
      <c r="J11" s="37"/>
      <c r="L11" s="111"/>
      <c r="M11" s="37"/>
      <c r="N11" s="48"/>
      <c r="O11" s="37"/>
      <c r="P11" s="37"/>
      <c r="Q11" s="37"/>
      <c r="S11" s="111"/>
      <c r="T11" s="37"/>
      <c r="U11" s="48"/>
      <c r="V11" s="37"/>
      <c r="W11" s="37"/>
      <c r="X11" s="37"/>
    </row>
    <row r="12" spans="2:24" x14ac:dyDescent="0.35">
      <c r="E12" s="111"/>
      <c r="F12" s="37"/>
      <c r="G12" s="48"/>
      <c r="H12" s="37"/>
      <c r="I12" s="37"/>
      <c r="J12" s="37"/>
      <c r="L12" s="111"/>
      <c r="M12" s="37"/>
      <c r="N12" s="48"/>
      <c r="O12" s="37"/>
      <c r="P12" s="37"/>
      <c r="Q12" s="37"/>
      <c r="S12" s="111"/>
      <c r="T12" s="37"/>
      <c r="U12" s="48"/>
      <c r="V12" s="37"/>
      <c r="W12" s="37"/>
      <c r="X12" s="37"/>
    </row>
    <row r="13" spans="2:24" x14ac:dyDescent="0.35">
      <c r="E13" s="111"/>
      <c r="F13" s="37"/>
      <c r="G13" s="48"/>
      <c r="H13" s="37"/>
      <c r="I13" s="37"/>
      <c r="J13" s="37"/>
      <c r="L13" s="111"/>
      <c r="M13" s="37"/>
      <c r="N13" s="48"/>
      <c r="O13" s="37"/>
      <c r="P13" s="37"/>
      <c r="Q13" s="37"/>
      <c r="S13" s="111"/>
      <c r="T13" s="37"/>
      <c r="U13" s="48"/>
      <c r="V13" s="37"/>
      <c r="W13" s="37"/>
      <c r="X13" s="37"/>
    </row>
    <row r="14" spans="2:24" x14ac:dyDescent="0.35">
      <c r="E14" s="111"/>
      <c r="F14" s="37"/>
      <c r="G14" s="48"/>
      <c r="H14" s="37"/>
      <c r="I14" s="37"/>
      <c r="J14" s="37"/>
      <c r="L14" s="111"/>
      <c r="M14" s="37"/>
      <c r="N14" s="48"/>
      <c r="O14" s="37"/>
      <c r="P14" s="37"/>
      <c r="Q14" s="37"/>
      <c r="S14" s="111"/>
      <c r="T14" s="37"/>
      <c r="U14" s="48"/>
      <c r="V14" s="37"/>
      <c r="W14" s="37"/>
      <c r="X14" s="37"/>
    </row>
    <row r="15" spans="2:24" x14ac:dyDescent="0.35">
      <c r="E15" s="111"/>
      <c r="F15" s="37"/>
      <c r="G15" s="48"/>
      <c r="H15" s="37"/>
      <c r="I15" s="37"/>
      <c r="J15" s="37"/>
      <c r="L15" s="111"/>
      <c r="M15" s="37"/>
      <c r="N15" s="48"/>
      <c r="O15" s="37"/>
      <c r="P15" s="37"/>
      <c r="Q15" s="37"/>
      <c r="S15" s="111"/>
      <c r="T15" s="37"/>
      <c r="U15" s="48"/>
      <c r="V15" s="37"/>
      <c r="W15" s="37"/>
      <c r="X15" s="37"/>
    </row>
    <row r="16" spans="2:24" x14ac:dyDescent="0.35">
      <c r="E16" s="111"/>
      <c r="F16" s="37"/>
      <c r="G16" s="48"/>
      <c r="H16" s="37"/>
      <c r="I16" s="37"/>
      <c r="J16" s="37"/>
      <c r="L16" s="111"/>
      <c r="M16" s="37"/>
      <c r="N16" s="48"/>
      <c r="O16" s="37"/>
      <c r="P16" s="37"/>
      <c r="Q16" s="37"/>
      <c r="S16" s="111"/>
      <c r="T16" s="37"/>
      <c r="U16" s="48"/>
      <c r="V16" s="37"/>
      <c r="W16" s="37"/>
      <c r="X16" s="37"/>
    </row>
    <row r="17" spans="5:24" x14ac:dyDescent="0.35">
      <c r="E17" s="111"/>
      <c r="F17" s="37"/>
      <c r="G17" s="48"/>
      <c r="H17" s="37"/>
      <c r="I17" s="37"/>
      <c r="J17" s="37"/>
      <c r="L17" s="111"/>
      <c r="M17" s="37"/>
      <c r="N17" s="48"/>
      <c r="O17" s="37"/>
      <c r="P17" s="37"/>
      <c r="Q17" s="37"/>
      <c r="S17" s="111"/>
      <c r="T17" s="37"/>
      <c r="U17" s="48"/>
      <c r="V17" s="37"/>
      <c r="W17" s="37"/>
      <c r="X17" s="37"/>
    </row>
    <row r="18" spans="5:24" x14ac:dyDescent="0.35">
      <c r="E18" s="111"/>
      <c r="F18" s="37"/>
      <c r="G18" s="48"/>
      <c r="H18" s="37"/>
      <c r="I18" s="37"/>
      <c r="J18" s="37"/>
      <c r="L18" s="111"/>
      <c r="M18" s="37"/>
      <c r="N18" s="48"/>
      <c r="O18" s="37"/>
      <c r="P18" s="37"/>
      <c r="Q18" s="37"/>
      <c r="S18" s="111"/>
      <c r="T18" s="37"/>
      <c r="U18" s="48"/>
      <c r="V18" s="37"/>
      <c r="W18" s="37"/>
      <c r="X18" s="37"/>
    </row>
    <row r="19" spans="5:24" x14ac:dyDescent="0.35">
      <c r="E19" s="111"/>
      <c r="F19" s="37"/>
      <c r="G19" s="48"/>
      <c r="H19" s="37"/>
      <c r="I19" s="37"/>
      <c r="J19" s="37"/>
      <c r="L19" s="111"/>
      <c r="M19" s="37"/>
      <c r="N19" s="48"/>
      <c r="O19" s="37"/>
      <c r="P19" s="37"/>
      <c r="Q19" s="37"/>
      <c r="S19" s="111"/>
      <c r="T19" s="37"/>
      <c r="U19" s="48"/>
      <c r="V19" s="37"/>
      <c r="W19" s="37"/>
      <c r="X19" s="37"/>
    </row>
    <row r="20" spans="5:24" x14ac:dyDescent="0.35">
      <c r="E20" s="111"/>
      <c r="F20" s="37"/>
      <c r="G20" s="48"/>
      <c r="H20" s="37"/>
      <c r="I20" s="37"/>
      <c r="J20" s="37"/>
      <c r="L20" s="111"/>
      <c r="M20" s="37"/>
      <c r="N20" s="48"/>
      <c r="O20" s="37"/>
      <c r="P20" s="37"/>
      <c r="Q20" s="37"/>
      <c r="S20" s="111"/>
      <c r="T20" s="37"/>
      <c r="U20" s="48"/>
      <c r="V20" s="37"/>
      <c r="W20" s="37"/>
      <c r="X20" s="37"/>
    </row>
    <row r="21" spans="5:24" x14ac:dyDescent="0.35">
      <c r="E21" s="111"/>
      <c r="F21" s="37"/>
      <c r="G21" s="48"/>
      <c r="H21" s="37"/>
      <c r="I21" s="37"/>
      <c r="J21" s="37"/>
      <c r="L21" s="111"/>
      <c r="M21" s="37"/>
      <c r="N21" s="48"/>
      <c r="O21" s="37"/>
      <c r="P21" s="37"/>
      <c r="Q21" s="37"/>
      <c r="S21" s="111"/>
      <c r="T21" s="37"/>
      <c r="U21" s="48"/>
      <c r="V21" s="37"/>
      <c r="W21" s="37"/>
      <c r="X21" s="37"/>
    </row>
    <row r="22" spans="5:24" x14ac:dyDescent="0.35">
      <c r="E22" s="111"/>
      <c r="F22" s="37"/>
      <c r="G22" s="48"/>
      <c r="H22" s="37"/>
      <c r="I22" s="37"/>
      <c r="J22" s="37"/>
      <c r="L22" s="111"/>
      <c r="M22" s="37"/>
      <c r="N22" s="48"/>
      <c r="O22" s="37"/>
      <c r="P22" s="37"/>
      <c r="Q22" s="37"/>
      <c r="S22" s="111"/>
      <c r="T22" s="37"/>
      <c r="U22" s="48"/>
      <c r="V22" s="37"/>
      <c r="W22" s="37"/>
      <c r="X22" s="37"/>
    </row>
    <row r="23" spans="5:24" x14ac:dyDescent="0.35">
      <c r="E23" s="111"/>
      <c r="F23" s="37"/>
      <c r="G23" s="48"/>
      <c r="H23" s="37"/>
      <c r="I23" s="37"/>
      <c r="J23" s="37"/>
      <c r="L23" s="111"/>
      <c r="M23" s="37"/>
      <c r="N23" s="48"/>
      <c r="O23" s="37"/>
      <c r="P23" s="37"/>
      <c r="Q23" s="37"/>
      <c r="S23" s="111"/>
      <c r="T23" s="37"/>
      <c r="U23" s="48"/>
      <c r="V23" s="37"/>
      <c r="W23" s="37"/>
      <c r="X23" s="37"/>
    </row>
    <row r="24" spans="5:24" x14ac:dyDescent="0.35">
      <c r="E24" s="111"/>
      <c r="F24" s="37"/>
      <c r="G24" s="48"/>
      <c r="H24" s="37"/>
      <c r="I24" s="37"/>
      <c r="J24" s="37"/>
      <c r="L24" s="111"/>
      <c r="M24" s="37"/>
      <c r="N24" s="48"/>
      <c r="O24" s="37"/>
      <c r="P24" s="37"/>
      <c r="Q24" s="37"/>
      <c r="S24" s="111"/>
      <c r="T24" s="37"/>
      <c r="U24" s="48"/>
      <c r="V24" s="37"/>
      <c r="W24" s="37"/>
      <c r="X24" s="37"/>
    </row>
    <row r="25" spans="5:24" x14ac:dyDescent="0.35">
      <c r="E25" s="111"/>
      <c r="F25" s="37"/>
      <c r="G25" s="48"/>
      <c r="H25" s="37"/>
      <c r="I25" s="37"/>
      <c r="J25" s="37"/>
      <c r="L25" s="111"/>
      <c r="M25" s="37"/>
      <c r="N25" s="48"/>
      <c r="O25" s="37"/>
      <c r="P25" s="37"/>
      <c r="Q25" s="37"/>
      <c r="S25" s="111"/>
      <c r="T25" s="37"/>
      <c r="U25" s="48"/>
      <c r="V25" s="37"/>
      <c r="W25" s="37"/>
      <c r="X25" s="37"/>
    </row>
    <row r="26" spans="5:24" x14ac:dyDescent="0.35">
      <c r="E26" s="111"/>
      <c r="F26" s="37"/>
      <c r="G26" s="48"/>
      <c r="H26" s="37"/>
      <c r="I26" s="37"/>
      <c r="J26" s="37"/>
      <c r="L26" s="111"/>
      <c r="M26" s="37"/>
      <c r="N26" s="48"/>
      <c r="O26" s="37"/>
      <c r="P26" s="37"/>
      <c r="Q26" s="37"/>
      <c r="S26" s="111"/>
      <c r="T26" s="37"/>
      <c r="U26" s="48"/>
      <c r="V26" s="37"/>
      <c r="W26" s="37"/>
      <c r="X26" s="37"/>
    </row>
    <row r="27" spans="5:24" x14ac:dyDescent="0.35">
      <c r="E27" s="111"/>
      <c r="F27" s="37"/>
      <c r="G27" s="48"/>
      <c r="H27" s="37"/>
      <c r="I27" s="37"/>
      <c r="J27" s="37"/>
      <c r="L27" s="111"/>
      <c r="M27" s="37"/>
      <c r="N27" s="48"/>
      <c r="O27" s="37"/>
      <c r="P27" s="37"/>
      <c r="Q27" s="37"/>
      <c r="S27" s="111"/>
      <c r="T27" s="37"/>
      <c r="U27" s="48"/>
      <c r="V27" s="37"/>
      <c r="W27" s="37"/>
      <c r="X27" s="37"/>
    </row>
    <row r="28" spans="5:24" x14ac:dyDescent="0.35">
      <c r="E28" s="111"/>
      <c r="F28" s="37"/>
      <c r="G28" s="48"/>
      <c r="H28" s="37"/>
      <c r="I28" s="37"/>
      <c r="J28" s="37"/>
      <c r="L28" s="111"/>
      <c r="M28" s="37"/>
      <c r="N28" s="48"/>
      <c r="O28" s="37"/>
      <c r="P28" s="37"/>
      <c r="Q28" s="37"/>
      <c r="S28" s="111"/>
      <c r="T28" s="37"/>
      <c r="U28" s="48"/>
      <c r="V28" s="37"/>
      <c r="W28" s="37"/>
      <c r="X28" s="37"/>
    </row>
    <row r="29" spans="5:24" x14ac:dyDescent="0.35">
      <c r="E29" s="111"/>
      <c r="F29" s="37"/>
      <c r="G29" s="48"/>
      <c r="H29" s="37"/>
      <c r="I29" s="37"/>
      <c r="J29" s="37"/>
      <c r="L29" s="111"/>
      <c r="M29" s="37"/>
      <c r="N29" s="48"/>
      <c r="O29" s="37"/>
      <c r="P29" s="37"/>
      <c r="Q29" s="37"/>
      <c r="S29" s="111"/>
      <c r="T29" s="37"/>
      <c r="U29" s="48"/>
      <c r="V29" s="37"/>
      <c r="W29" s="37"/>
      <c r="X29" s="37"/>
    </row>
    <row r="30" spans="5:24" x14ac:dyDescent="0.35">
      <c r="E30" s="111"/>
      <c r="F30" s="37"/>
      <c r="G30" s="48"/>
      <c r="H30" s="37"/>
      <c r="I30" s="37"/>
      <c r="J30" s="37"/>
      <c r="L30" s="111"/>
      <c r="M30" s="37"/>
      <c r="N30" s="48"/>
      <c r="O30" s="37"/>
      <c r="P30" s="37"/>
      <c r="Q30" s="37"/>
      <c r="S30" s="111"/>
      <c r="T30" s="37"/>
      <c r="U30" s="48"/>
      <c r="V30" s="37"/>
      <c r="W30" s="37"/>
      <c r="X30" s="37"/>
    </row>
    <row r="31" spans="5:24" x14ac:dyDescent="0.35">
      <c r="E31" s="111"/>
      <c r="F31" s="37"/>
      <c r="G31" s="48"/>
      <c r="H31" s="37"/>
      <c r="I31" s="37"/>
      <c r="J31" s="37"/>
      <c r="L31" s="111"/>
      <c r="M31" s="37"/>
      <c r="N31" s="48"/>
      <c r="O31" s="37"/>
      <c r="P31" s="37"/>
      <c r="Q31" s="37"/>
      <c r="S31" s="111"/>
      <c r="T31" s="37"/>
      <c r="U31" s="48"/>
      <c r="V31" s="37"/>
      <c r="W31" s="37"/>
      <c r="X31" s="37"/>
    </row>
    <row r="32" spans="5:24" x14ac:dyDescent="0.35">
      <c r="E32" s="111"/>
      <c r="F32" s="37"/>
      <c r="G32" s="48"/>
      <c r="H32" s="37"/>
      <c r="I32" s="37"/>
      <c r="J32" s="37"/>
      <c r="L32" s="111"/>
      <c r="M32" s="37"/>
      <c r="N32" s="48"/>
      <c r="O32" s="37"/>
      <c r="P32" s="37"/>
      <c r="Q32" s="37"/>
      <c r="S32" s="111"/>
      <c r="T32" s="37"/>
      <c r="U32" s="48"/>
      <c r="V32" s="37"/>
      <c r="W32" s="37"/>
      <c r="X32" s="37"/>
    </row>
    <row r="33" spans="5:24" x14ac:dyDescent="0.35">
      <c r="E33" s="111"/>
      <c r="F33" s="37"/>
      <c r="G33" s="48"/>
      <c r="H33" s="37"/>
      <c r="I33" s="37"/>
      <c r="J33" s="37"/>
      <c r="L33" s="111"/>
      <c r="M33" s="37"/>
      <c r="N33" s="48"/>
      <c r="O33" s="37"/>
      <c r="P33" s="37"/>
      <c r="Q33" s="37"/>
      <c r="S33" s="111"/>
      <c r="T33" s="37"/>
      <c r="U33" s="48"/>
      <c r="V33" s="37"/>
      <c r="W33" s="37"/>
      <c r="X33" s="37"/>
    </row>
    <row r="34" spans="5:24" x14ac:dyDescent="0.35">
      <c r="E34" s="111"/>
      <c r="F34" s="37"/>
      <c r="G34" s="48"/>
      <c r="H34" s="37"/>
      <c r="I34" s="37"/>
      <c r="J34" s="37"/>
      <c r="L34" s="111"/>
      <c r="M34" s="37"/>
      <c r="N34" s="48"/>
      <c r="O34" s="37"/>
      <c r="P34" s="37"/>
      <c r="Q34" s="37"/>
      <c r="S34" s="111"/>
      <c r="T34" s="37"/>
      <c r="U34" s="48"/>
      <c r="V34" s="37"/>
      <c r="W34" s="37"/>
      <c r="X34" s="37"/>
    </row>
    <row r="35" spans="5:24" x14ac:dyDescent="0.35">
      <c r="E35" s="111"/>
      <c r="F35" s="37"/>
      <c r="G35" s="37"/>
      <c r="H35" s="37"/>
      <c r="I35" s="37"/>
      <c r="J35" s="37"/>
      <c r="L35" s="111"/>
      <c r="M35" s="37"/>
      <c r="N35" s="48"/>
      <c r="O35" s="37"/>
      <c r="P35" s="37"/>
      <c r="Q35" s="37"/>
      <c r="S35" s="111"/>
      <c r="T35" s="37"/>
      <c r="U35" s="48"/>
      <c r="V35" s="37"/>
      <c r="W35" s="37"/>
      <c r="X35" s="37"/>
    </row>
    <row r="36" spans="5:24" x14ac:dyDescent="0.35">
      <c r="E36" s="111"/>
      <c r="F36" s="37"/>
      <c r="G36" s="37"/>
      <c r="H36" s="37"/>
      <c r="I36" s="37"/>
      <c r="J36" s="37"/>
      <c r="L36" s="111"/>
      <c r="M36" s="37"/>
      <c r="N36" s="48"/>
      <c r="O36" s="37"/>
      <c r="P36" s="37"/>
      <c r="Q36" s="37"/>
      <c r="S36" s="111"/>
      <c r="T36" s="37"/>
      <c r="U36" s="48"/>
      <c r="V36" s="37"/>
      <c r="W36" s="37"/>
      <c r="X36" s="37"/>
    </row>
    <row r="37" spans="5:24" x14ac:dyDescent="0.35">
      <c r="E37" s="111"/>
      <c r="F37" s="37"/>
      <c r="G37" s="37"/>
      <c r="H37" s="37"/>
      <c r="I37" s="37"/>
      <c r="J37" s="37"/>
      <c r="L37" s="111"/>
      <c r="M37" s="37"/>
      <c r="N37" s="48"/>
      <c r="O37" s="37"/>
      <c r="P37" s="37"/>
      <c r="Q37" s="37"/>
      <c r="S37" s="111"/>
      <c r="T37" s="37"/>
      <c r="U37" s="48"/>
      <c r="V37" s="37"/>
      <c r="W37" s="37"/>
      <c r="X37" s="37"/>
    </row>
    <row r="38" spans="5:24" x14ac:dyDescent="0.35">
      <c r="E38" s="111"/>
      <c r="F38" s="37"/>
      <c r="G38" s="37"/>
      <c r="H38" s="37"/>
      <c r="I38" s="37"/>
      <c r="J38" s="37"/>
      <c r="L38" s="111"/>
      <c r="M38" s="37"/>
      <c r="N38" s="48"/>
      <c r="O38" s="37"/>
      <c r="P38" s="37"/>
      <c r="Q38" s="37"/>
      <c r="S38" s="111"/>
      <c r="T38" s="37"/>
      <c r="U38" s="48"/>
      <c r="V38" s="37"/>
      <c r="W38" s="37"/>
      <c r="X38" s="37"/>
    </row>
    <row r="39" spans="5:24" x14ac:dyDescent="0.35">
      <c r="E39" s="111"/>
      <c r="F39" s="37"/>
      <c r="G39" s="37"/>
      <c r="H39" s="37"/>
      <c r="I39" s="37"/>
      <c r="J39" s="37"/>
      <c r="L39" s="111"/>
      <c r="M39" s="37"/>
      <c r="N39" s="48"/>
      <c r="O39" s="37"/>
      <c r="P39" s="37"/>
      <c r="Q39" s="37"/>
      <c r="S39" s="111"/>
      <c r="T39" s="37"/>
      <c r="U39" s="48"/>
      <c r="V39" s="37"/>
      <c r="W39" s="37"/>
      <c r="X39" s="37"/>
    </row>
    <row r="40" spans="5:24" x14ac:dyDescent="0.35">
      <c r="L40" s="111"/>
      <c r="M40" s="37"/>
      <c r="N40" s="48"/>
      <c r="O40" s="37"/>
      <c r="P40" s="37"/>
      <c r="Q40" s="37"/>
      <c r="S40" s="111"/>
      <c r="T40" s="37"/>
      <c r="U40" s="48"/>
      <c r="V40" s="37"/>
      <c r="W40" s="37"/>
      <c r="X40" s="37"/>
    </row>
    <row r="41" spans="5:24" x14ac:dyDescent="0.35">
      <c r="L41" s="111"/>
      <c r="M41" s="37"/>
      <c r="N41" s="48"/>
      <c r="O41" s="37"/>
      <c r="P41" s="37"/>
      <c r="Q41" s="37"/>
      <c r="S41" s="111"/>
      <c r="T41" s="37"/>
      <c r="U41" s="48"/>
      <c r="V41" s="37"/>
      <c r="W41" s="37"/>
      <c r="X41" s="37"/>
    </row>
    <row r="42" spans="5:24" x14ac:dyDescent="0.35">
      <c r="L42" s="111"/>
      <c r="M42" s="37"/>
      <c r="N42" s="48"/>
      <c r="O42" s="37"/>
      <c r="P42" s="37"/>
      <c r="Q42" s="37"/>
      <c r="S42" s="111"/>
      <c r="T42" s="37"/>
      <c r="U42" s="48"/>
      <c r="V42" s="37"/>
      <c r="W42" s="37"/>
      <c r="X42" s="37"/>
    </row>
    <row r="43" spans="5:24" x14ac:dyDescent="0.35">
      <c r="L43" s="111"/>
      <c r="M43" s="37"/>
      <c r="N43" s="48"/>
      <c r="O43" s="37"/>
      <c r="P43" s="37"/>
      <c r="Q43" s="37"/>
      <c r="S43" s="111"/>
      <c r="T43" s="37"/>
      <c r="U43" s="48"/>
      <c r="V43" s="37"/>
      <c r="W43" s="37"/>
      <c r="X43" s="37"/>
    </row>
    <row r="44" spans="5:24" x14ac:dyDescent="0.35">
      <c r="L44" s="111"/>
      <c r="M44" s="37"/>
      <c r="N44" s="48"/>
      <c r="O44" s="37"/>
      <c r="P44" s="37"/>
      <c r="Q44" s="37"/>
      <c r="S44" s="111"/>
      <c r="T44" s="37"/>
      <c r="U44" s="48"/>
      <c r="V44" s="37"/>
      <c r="W44" s="37"/>
      <c r="X44" s="37"/>
    </row>
    <row r="45" spans="5:24" x14ac:dyDescent="0.35">
      <c r="L45" s="111"/>
      <c r="M45" s="37"/>
      <c r="N45" s="48"/>
      <c r="O45" s="37"/>
      <c r="P45" s="37"/>
      <c r="Q45" s="37"/>
      <c r="S45" s="111"/>
      <c r="T45" s="37"/>
      <c r="U45" s="48"/>
      <c r="V45" s="37"/>
      <c r="W45" s="37"/>
      <c r="X45" s="37"/>
    </row>
    <row r="46" spans="5:24" x14ac:dyDescent="0.35">
      <c r="L46" s="111"/>
      <c r="M46" s="37"/>
      <c r="N46" s="48"/>
      <c r="O46" s="37"/>
      <c r="P46" s="37"/>
      <c r="Q46" s="37"/>
      <c r="S46" s="111"/>
      <c r="T46" s="37"/>
      <c r="U46" s="48"/>
      <c r="V46" s="37"/>
      <c r="W46" s="37"/>
      <c r="X46" s="37"/>
    </row>
    <row r="47" spans="5:24" x14ac:dyDescent="0.35">
      <c r="L47" s="111"/>
      <c r="M47" s="37"/>
      <c r="N47" s="48"/>
      <c r="O47" s="37"/>
      <c r="P47" s="37"/>
      <c r="Q47" s="37"/>
      <c r="S47" s="111"/>
      <c r="T47" s="37"/>
      <c r="U47" s="48"/>
      <c r="V47" s="37"/>
      <c r="W47" s="37"/>
      <c r="X47" s="37"/>
    </row>
    <row r="48" spans="5:24" x14ac:dyDescent="0.35">
      <c r="L48" s="111"/>
      <c r="M48" s="37"/>
      <c r="N48" s="48"/>
      <c r="O48" s="37"/>
      <c r="P48" s="37"/>
      <c r="Q48" s="37"/>
      <c r="S48" s="111"/>
      <c r="T48" s="37"/>
      <c r="U48" s="48"/>
      <c r="V48" s="37"/>
      <c r="W48" s="37"/>
      <c r="X48" s="37"/>
    </row>
    <row r="49" spans="12:24" x14ac:dyDescent="0.35">
      <c r="L49" s="111"/>
      <c r="M49" s="37"/>
      <c r="N49" s="48"/>
      <c r="O49" s="37"/>
      <c r="P49" s="37"/>
      <c r="Q49" s="37"/>
      <c r="S49" s="111"/>
      <c r="T49" s="37"/>
      <c r="U49" s="48"/>
      <c r="V49" s="37"/>
      <c r="W49" s="37"/>
      <c r="X49" s="37"/>
    </row>
    <row r="50" spans="12:24" x14ac:dyDescent="0.35">
      <c r="L50" s="111"/>
      <c r="M50" s="37"/>
      <c r="N50" s="48"/>
      <c r="O50" s="37"/>
      <c r="P50" s="37"/>
      <c r="Q50" s="37"/>
      <c r="S50" s="111"/>
      <c r="T50" s="37"/>
      <c r="U50" s="48"/>
      <c r="V50" s="37"/>
      <c r="W50" s="37"/>
      <c r="X50" s="37"/>
    </row>
    <row r="51" spans="12:24" x14ac:dyDescent="0.35">
      <c r="L51" s="111"/>
      <c r="M51" s="37"/>
      <c r="N51" s="48"/>
      <c r="O51" s="37"/>
      <c r="P51" s="37"/>
      <c r="Q51" s="37"/>
      <c r="S51" s="111"/>
      <c r="T51" s="37"/>
      <c r="U51" s="48"/>
      <c r="V51" s="37"/>
      <c r="W51" s="37"/>
      <c r="X51" s="37"/>
    </row>
    <row r="52" spans="12:24" x14ac:dyDescent="0.35">
      <c r="L52" s="111"/>
      <c r="M52" s="37"/>
      <c r="N52" s="48"/>
      <c r="O52" s="37"/>
      <c r="P52" s="37"/>
      <c r="Q52" s="37"/>
      <c r="S52" s="111"/>
      <c r="T52" s="37"/>
      <c r="U52" s="48"/>
      <c r="V52" s="37"/>
      <c r="W52" s="37"/>
      <c r="X52" s="37"/>
    </row>
    <row r="53" spans="12:24" x14ac:dyDescent="0.35">
      <c r="L53" s="111"/>
      <c r="M53" s="37"/>
      <c r="N53" s="48"/>
      <c r="O53" s="37"/>
      <c r="P53" s="37"/>
      <c r="Q53" s="37"/>
      <c r="S53" s="111"/>
      <c r="T53" s="37"/>
      <c r="U53" s="48"/>
      <c r="V53" s="37"/>
      <c r="W53" s="37"/>
      <c r="X53" s="37"/>
    </row>
    <row r="54" spans="12:24" x14ac:dyDescent="0.35">
      <c r="L54" s="111"/>
      <c r="M54" s="37"/>
      <c r="N54" s="48"/>
      <c r="O54" s="37"/>
      <c r="P54" s="37"/>
      <c r="Q54" s="37"/>
      <c r="S54" s="111"/>
      <c r="T54" s="37"/>
      <c r="U54" s="48"/>
      <c r="V54" s="37"/>
      <c r="W54" s="37"/>
      <c r="X54" s="37"/>
    </row>
    <row r="55" spans="12:24" x14ac:dyDescent="0.35">
      <c r="L55" s="111"/>
      <c r="M55" s="37"/>
      <c r="N55" s="48"/>
      <c r="O55" s="37"/>
      <c r="P55" s="37"/>
      <c r="Q55" s="37"/>
      <c r="S55" s="111"/>
      <c r="T55" s="37"/>
      <c r="U55" s="48"/>
      <c r="V55" s="37"/>
      <c r="W55" s="37"/>
      <c r="X55" s="37"/>
    </row>
    <row r="56" spans="12:24" x14ac:dyDescent="0.35">
      <c r="L56" s="111"/>
      <c r="M56" s="37"/>
      <c r="N56" s="48"/>
      <c r="O56" s="37"/>
      <c r="P56" s="37"/>
      <c r="Q56" s="37"/>
      <c r="S56" s="111"/>
      <c r="T56" s="37"/>
      <c r="U56" s="48"/>
      <c r="V56" s="37"/>
      <c r="W56" s="37"/>
      <c r="X56" s="37"/>
    </row>
    <row r="57" spans="12:24" x14ac:dyDescent="0.35">
      <c r="L57" s="111"/>
      <c r="M57" s="37"/>
      <c r="N57" s="48"/>
      <c r="O57" s="37"/>
      <c r="P57" s="37"/>
      <c r="Q57" s="37"/>
      <c r="S57" s="111"/>
      <c r="T57" s="37"/>
      <c r="U57" s="48"/>
      <c r="V57" s="37"/>
      <c r="W57" s="37"/>
      <c r="X57" s="37"/>
    </row>
    <row r="58" spans="12:24" x14ac:dyDescent="0.35">
      <c r="L58" s="111"/>
      <c r="M58" s="37"/>
      <c r="N58" s="48"/>
      <c r="O58" s="37"/>
      <c r="P58" s="37"/>
      <c r="Q58" s="37"/>
      <c r="S58" s="111"/>
      <c r="T58" s="37"/>
      <c r="U58" s="48"/>
      <c r="V58" s="37"/>
      <c r="W58" s="37"/>
      <c r="X58" s="37"/>
    </row>
    <row r="59" spans="12:24" x14ac:dyDescent="0.35">
      <c r="L59" s="111"/>
      <c r="M59" s="37"/>
      <c r="N59" s="48"/>
      <c r="O59" s="37"/>
      <c r="P59" s="37"/>
      <c r="Q59" s="37"/>
      <c r="S59" s="111"/>
      <c r="T59" s="37"/>
      <c r="U59" s="48"/>
      <c r="V59" s="37"/>
      <c r="W59" s="37"/>
      <c r="X59" s="37"/>
    </row>
    <row r="60" spans="12:24" x14ac:dyDescent="0.35">
      <c r="L60" s="111"/>
      <c r="M60" s="37"/>
      <c r="N60" s="48"/>
      <c r="O60" s="37"/>
      <c r="P60" s="37"/>
      <c r="Q60" s="37"/>
      <c r="S60" s="111"/>
      <c r="T60" s="37"/>
      <c r="U60" s="48"/>
      <c r="V60" s="37"/>
      <c r="W60" s="37"/>
      <c r="X60" s="37"/>
    </row>
    <row r="61" spans="12:24" x14ac:dyDescent="0.35">
      <c r="L61" s="111"/>
      <c r="M61" s="37"/>
      <c r="N61" s="48"/>
      <c r="O61" s="37"/>
      <c r="P61" s="37"/>
      <c r="Q61" s="37"/>
      <c r="S61" s="111"/>
      <c r="T61" s="37"/>
      <c r="U61" s="48"/>
      <c r="V61" s="37"/>
      <c r="W61" s="37"/>
      <c r="X61" s="37"/>
    </row>
    <row r="62" spans="12:24" x14ac:dyDescent="0.35">
      <c r="L62" s="111"/>
      <c r="M62" s="37"/>
      <c r="N62" s="48"/>
      <c r="O62" s="37"/>
      <c r="P62" s="37"/>
      <c r="Q62" s="37"/>
      <c r="S62" s="111"/>
      <c r="T62" s="37"/>
      <c r="U62" s="48"/>
      <c r="V62" s="37"/>
      <c r="W62" s="37"/>
      <c r="X62" s="37"/>
    </row>
    <row r="63" spans="12:24" x14ac:dyDescent="0.35">
      <c r="L63" s="111"/>
      <c r="M63" s="37"/>
      <c r="N63" s="48"/>
      <c r="O63" s="37"/>
      <c r="P63" s="37"/>
      <c r="Q63" s="37"/>
      <c r="S63" s="111"/>
      <c r="T63" s="37"/>
      <c r="U63" s="48"/>
      <c r="V63" s="37"/>
      <c r="W63" s="37"/>
      <c r="X63" s="37"/>
    </row>
    <row r="64" spans="12:24" x14ac:dyDescent="0.35">
      <c r="L64" s="111"/>
      <c r="M64" s="37"/>
      <c r="N64" s="48"/>
      <c r="O64" s="37"/>
      <c r="P64" s="37"/>
      <c r="Q64" s="37"/>
      <c r="S64" s="111"/>
      <c r="T64" s="37"/>
      <c r="U64" s="48"/>
      <c r="V64" s="37"/>
      <c r="W64" s="37"/>
      <c r="X64" s="37"/>
    </row>
    <row r="65" spans="12:24" x14ac:dyDescent="0.35">
      <c r="L65" s="111"/>
      <c r="M65" s="37"/>
      <c r="N65" s="48"/>
      <c r="O65" s="37"/>
      <c r="P65" s="37"/>
      <c r="Q65" s="37"/>
      <c r="S65" s="111"/>
      <c r="T65" s="37"/>
      <c r="U65" s="48"/>
      <c r="V65" s="37"/>
      <c r="W65" s="37"/>
      <c r="X65" s="37"/>
    </row>
    <row r="66" spans="12:24" x14ac:dyDescent="0.35">
      <c r="L66" s="111"/>
      <c r="M66" s="37"/>
      <c r="N66" s="48"/>
      <c r="O66" s="37"/>
      <c r="P66" s="37"/>
      <c r="Q66" s="37"/>
      <c r="S66" s="111"/>
      <c r="T66" s="37"/>
      <c r="U66" s="48"/>
      <c r="V66" s="37"/>
      <c r="W66" s="37"/>
      <c r="X66" s="37"/>
    </row>
    <row r="67" spans="12:24" x14ac:dyDescent="0.35">
      <c r="L67" s="111"/>
      <c r="M67" s="37"/>
      <c r="N67" s="48"/>
      <c r="O67" s="37"/>
      <c r="P67" s="37"/>
      <c r="Q67" s="37"/>
      <c r="S67" s="111"/>
      <c r="T67" s="37"/>
      <c r="U67" s="48"/>
      <c r="V67" s="37"/>
      <c r="W67" s="37"/>
      <c r="X67" s="37"/>
    </row>
    <row r="68" spans="12:24" x14ac:dyDescent="0.35">
      <c r="L68" s="111"/>
      <c r="M68" s="37"/>
      <c r="N68" s="48"/>
      <c r="O68" s="37"/>
      <c r="P68" s="37"/>
      <c r="Q68" s="37"/>
      <c r="S68" s="111"/>
      <c r="T68" s="37"/>
      <c r="U68" s="48"/>
      <c r="V68" s="37"/>
      <c r="W68" s="37"/>
      <c r="X68" s="37"/>
    </row>
    <row r="69" spans="12:24" x14ac:dyDescent="0.35">
      <c r="L69" s="111"/>
      <c r="M69" s="37"/>
      <c r="N69" s="48"/>
      <c r="O69" s="37"/>
      <c r="P69" s="37"/>
      <c r="Q69" s="37"/>
      <c r="S69" s="111"/>
      <c r="T69" s="37"/>
      <c r="U69" s="48"/>
      <c r="V69" s="37"/>
      <c r="W69" s="37"/>
      <c r="X69" s="37"/>
    </row>
    <row r="70" spans="12:24" x14ac:dyDescent="0.35">
      <c r="L70" s="111"/>
      <c r="M70" s="37"/>
      <c r="N70" s="48"/>
      <c r="O70" s="37"/>
      <c r="P70" s="37"/>
      <c r="Q70" s="37"/>
      <c r="S70" s="111"/>
      <c r="T70" s="37"/>
      <c r="U70" s="48"/>
      <c r="V70" s="37"/>
      <c r="W70" s="37"/>
      <c r="X70" s="37"/>
    </row>
    <row r="71" spans="12:24" x14ac:dyDescent="0.35">
      <c r="L71" s="111"/>
      <c r="M71" s="37"/>
      <c r="N71" s="48"/>
      <c r="O71" s="37"/>
      <c r="P71" s="37"/>
      <c r="Q71" s="37"/>
      <c r="S71" s="111"/>
      <c r="T71" s="37"/>
      <c r="U71" s="48"/>
      <c r="V71" s="37"/>
      <c r="W71" s="37"/>
      <c r="X71" s="37"/>
    </row>
    <row r="72" spans="12:24" x14ac:dyDescent="0.35">
      <c r="L72" s="111"/>
      <c r="M72" s="37"/>
      <c r="N72" s="48"/>
      <c r="O72" s="37"/>
      <c r="P72" s="37"/>
      <c r="Q72" s="37"/>
      <c r="S72" s="111"/>
      <c r="T72" s="37"/>
      <c r="U72" s="48"/>
      <c r="V72" s="37"/>
      <c r="W72" s="37"/>
      <c r="X72" s="37"/>
    </row>
    <row r="73" spans="12:24" x14ac:dyDescent="0.35">
      <c r="L73" s="111"/>
      <c r="M73" s="37"/>
      <c r="N73" s="48"/>
      <c r="O73" s="37"/>
      <c r="P73" s="37"/>
      <c r="Q73" s="37"/>
      <c r="S73" s="111"/>
      <c r="T73" s="37"/>
      <c r="U73" s="48"/>
      <c r="V73" s="37"/>
      <c r="W73" s="37"/>
      <c r="X73" s="37"/>
    </row>
    <row r="74" spans="12:24" x14ac:dyDescent="0.35">
      <c r="L74" s="111"/>
      <c r="M74" s="37"/>
      <c r="N74" s="48"/>
      <c r="O74" s="37"/>
      <c r="P74" s="37"/>
      <c r="Q74" s="37"/>
      <c r="S74" s="111"/>
      <c r="T74" s="37"/>
      <c r="U74" s="48"/>
      <c r="V74" s="37"/>
      <c r="W74" s="37"/>
      <c r="X74" s="37"/>
    </row>
    <row r="75" spans="12:24" x14ac:dyDescent="0.35">
      <c r="L75" s="111"/>
      <c r="M75" s="37"/>
      <c r="N75" s="48"/>
      <c r="O75" s="37"/>
      <c r="P75" s="37"/>
      <c r="Q75" s="37"/>
      <c r="S75" s="111"/>
      <c r="T75" s="37"/>
      <c r="U75" s="48"/>
      <c r="V75" s="37"/>
      <c r="W75" s="37"/>
      <c r="X75" s="37"/>
    </row>
    <row r="76" spans="12:24" x14ac:dyDescent="0.35">
      <c r="L76" s="111"/>
      <c r="M76" s="37"/>
      <c r="N76" s="48"/>
      <c r="O76" s="37"/>
      <c r="P76" s="37"/>
      <c r="Q76" s="37"/>
      <c r="S76" s="111"/>
      <c r="T76" s="37"/>
      <c r="U76" s="48"/>
      <c r="V76" s="37"/>
      <c r="W76" s="37"/>
      <c r="X76" s="37"/>
    </row>
    <row r="77" spans="12:24" x14ac:dyDescent="0.35">
      <c r="L77" s="111"/>
      <c r="M77" s="37"/>
      <c r="N77" s="48"/>
      <c r="O77" s="37"/>
      <c r="P77" s="37"/>
      <c r="Q77" s="37"/>
      <c r="S77" s="111"/>
      <c r="T77" s="37"/>
      <c r="U77" s="48"/>
      <c r="V77" s="37"/>
      <c r="W77" s="37"/>
      <c r="X77" s="37"/>
    </row>
    <row r="78" spans="12:24" x14ac:dyDescent="0.35">
      <c r="L78" s="111"/>
      <c r="M78" s="37"/>
      <c r="N78" s="48"/>
      <c r="O78" s="37"/>
      <c r="P78" s="37"/>
      <c r="Q78" s="37"/>
      <c r="S78" s="111"/>
      <c r="T78" s="37"/>
      <c r="U78" s="48"/>
      <c r="V78" s="37"/>
      <c r="W78" s="37"/>
      <c r="X78" s="37"/>
    </row>
    <row r="79" spans="12:24" x14ac:dyDescent="0.35">
      <c r="L79" s="111"/>
      <c r="M79" s="37"/>
      <c r="N79" s="48"/>
      <c r="O79" s="37"/>
      <c r="P79" s="37"/>
      <c r="Q79" s="37"/>
      <c r="S79" s="111"/>
      <c r="T79" s="37"/>
      <c r="U79" s="48"/>
      <c r="V79" s="37"/>
      <c r="W79" s="37"/>
      <c r="X79" s="37"/>
    </row>
    <row r="80" spans="12:24" x14ac:dyDescent="0.35">
      <c r="L80" s="111"/>
      <c r="M80" s="37"/>
      <c r="N80" s="48"/>
      <c r="O80" s="37"/>
      <c r="P80" s="37"/>
      <c r="Q80" s="37"/>
      <c r="S80" s="111"/>
      <c r="T80" s="37"/>
      <c r="U80" s="48"/>
      <c r="V80" s="37"/>
      <c r="W80" s="37"/>
      <c r="X80" s="37"/>
    </row>
    <row r="81" spans="12:24" x14ac:dyDescent="0.35">
      <c r="L81" s="111"/>
      <c r="M81" s="37"/>
      <c r="N81" s="48"/>
      <c r="O81" s="37"/>
      <c r="P81" s="37"/>
      <c r="Q81" s="37"/>
      <c r="S81" s="111"/>
      <c r="T81" s="37"/>
      <c r="U81" s="48"/>
      <c r="V81" s="37"/>
      <c r="W81" s="37"/>
      <c r="X81" s="37"/>
    </row>
    <row r="82" spans="12:24" x14ac:dyDescent="0.35">
      <c r="L82" s="111"/>
      <c r="M82" s="37"/>
      <c r="N82" s="48"/>
      <c r="O82" s="37"/>
      <c r="P82" s="37"/>
      <c r="Q82" s="37"/>
      <c r="S82" s="111"/>
      <c r="T82" s="37"/>
      <c r="U82" s="48"/>
      <c r="V82" s="37"/>
      <c r="W82" s="37"/>
      <c r="X82" s="37"/>
    </row>
    <row r="83" spans="12:24" x14ac:dyDescent="0.35">
      <c r="L83" s="111"/>
      <c r="M83" s="37"/>
      <c r="N83" s="48"/>
      <c r="O83" s="37"/>
      <c r="P83" s="37"/>
      <c r="Q83" s="37"/>
      <c r="S83" s="111"/>
      <c r="T83" s="37"/>
      <c r="U83" s="48"/>
      <c r="V83" s="37"/>
      <c r="W83" s="37"/>
      <c r="X83" s="37"/>
    </row>
    <row r="84" spans="12:24" x14ac:dyDescent="0.35">
      <c r="L84" s="111"/>
      <c r="M84" s="37"/>
      <c r="N84" s="48"/>
      <c r="O84" s="37"/>
      <c r="P84" s="37"/>
      <c r="Q84" s="37"/>
      <c r="S84" s="111"/>
      <c r="T84" s="37"/>
      <c r="U84" s="48"/>
      <c r="V84" s="37"/>
      <c r="W84" s="37"/>
      <c r="X84" s="37"/>
    </row>
    <row r="85" spans="12:24" x14ac:dyDescent="0.35">
      <c r="L85" s="111"/>
      <c r="M85" s="37"/>
      <c r="N85" s="48"/>
      <c r="O85" s="37"/>
      <c r="P85" s="37"/>
      <c r="Q85" s="37"/>
      <c r="S85" s="111"/>
      <c r="T85" s="37"/>
      <c r="U85" s="48"/>
      <c r="V85" s="37"/>
      <c r="W85" s="37"/>
      <c r="X85" s="37"/>
    </row>
    <row r="86" spans="12:24" x14ac:dyDescent="0.35">
      <c r="L86" s="111"/>
      <c r="M86" s="37"/>
      <c r="N86" s="48"/>
      <c r="O86" s="37"/>
      <c r="P86" s="37"/>
      <c r="Q86" s="37"/>
      <c r="S86" s="111"/>
      <c r="T86" s="37"/>
      <c r="U86" s="48"/>
      <c r="V86" s="37"/>
      <c r="W86" s="37"/>
      <c r="X86" s="37"/>
    </row>
    <row r="87" spans="12:24" x14ac:dyDescent="0.35">
      <c r="L87" s="111"/>
      <c r="M87" s="37"/>
      <c r="N87" s="48"/>
      <c r="O87" s="37"/>
      <c r="P87" s="37"/>
      <c r="Q87" s="37"/>
      <c r="S87" s="111"/>
      <c r="T87" s="37"/>
      <c r="U87" s="48"/>
      <c r="V87" s="37"/>
      <c r="W87" s="37"/>
      <c r="X87" s="37"/>
    </row>
    <row r="88" spans="12:24" x14ac:dyDescent="0.35">
      <c r="L88" s="111"/>
      <c r="M88" s="37"/>
      <c r="N88" s="48"/>
      <c r="O88" s="37"/>
      <c r="P88" s="37"/>
      <c r="Q88" s="37"/>
      <c r="S88" s="111"/>
      <c r="T88" s="37"/>
      <c r="U88" s="48"/>
      <c r="V88" s="37"/>
      <c r="W88" s="37"/>
      <c r="X88" s="37"/>
    </row>
    <row r="89" spans="12:24" x14ac:dyDescent="0.35">
      <c r="L89" s="111"/>
      <c r="M89" s="37"/>
      <c r="N89" s="48"/>
      <c r="O89" s="37"/>
      <c r="P89" s="37"/>
      <c r="Q89" s="37"/>
      <c r="S89" s="111"/>
      <c r="T89" s="37"/>
      <c r="U89" s="48"/>
      <c r="V89" s="37"/>
      <c r="W89" s="37"/>
      <c r="X89" s="37"/>
    </row>
    <row r="90" spans="12:24" x14ac:dyDescent="0.35">
      <c r="L90" s="111"/>
      <c r="M90" s="37"/>
      <c r="N90" s="48"/>
      <c r="O90" s="37"/>
      <c r="P90" s="37"/>
      <c r="Q90" s="37"/>
      <c r="S90" s="111"/>
      <c r="T90" s="37"/>
      <c r="U90" s="48"/>
      <c r="V90" s="37"/>
      <c r="W90" s="37"/>
      <c r="X90" s="37"/>
    </row>
    <row r="91" spans="12:24" x14ac:dyDescent="0.35">
      <c r="L91" s="111"/>
      <c r="M91" s="37"/>
      <c r="N91" s="48"/>
      <c r="O91" s="37"/>
      <c r="P91" s="37"/>
      <c r="Q91" s="37"/>
      <c r="S91" s="111"/>
      <c r="T91" s="37"/>
      <c r="U91" s="48"/>
      <c r="V91" s="37"/>
      <c r="W91" s="37"/>
      <c r="X91" s="37"/>
    </row>
    <row r="92" spans="12:24" x14ac:dyDescent="0.35">
      <c r="L92" s="111"/>
      <c r="M92" s="37"/>
      <c r="N92" s="48"/>
      <c r="O92" s="37"/>
      <c r="P92" s="37"/>
      <c r="Q92" s="37"/>
      <c r="S92" s="111"/>
      <c r="T92" s="37"/>
      <c r="U92" s="48"/>
      <c r="V92" s="37"/>
      <c r="W92" s="37"/>
      <c r="X92" s="37"/>
    </row>
    <row r="93" spans="12:24" x14ac:dyDescent="0.35">
      <c r="L93" s="111"/>
      <c r="M93" s="37"/>
      <c r="N93" s="48"/>
      <c r="O93" s="37"/>
      <c r="P93" s="37"/>
      <c r="Q93" s="37"/>
      <c r="S93" s="111"/>
      <c r="T93" s="37"/>
      <c r="U93" s="48"/>
      <c r="V93" s="37"/>
      <c r="W93" s="37"/>
      <c r="X93" s="37"/>
    </row>
    <row r="94" spans="12:24" x14ac:dyDescent="0.35">
      <c r="L94" s="111"/>
      <c r="M94" s="37"/>
      <c r="N94" s="48"/>
      <c r="O94" s="37"/>
      <c r="P94" s="37"/>
      <c r="Q94" s="37"/>
      <c r="S94" s="111"/>
      <c r="T94" s="37"/>
      <c r="U94" s="48"/>
      <c r="V94" s="37"/>
      <c r="W94" s="37"/>
      <c r="X94" s="37"/>
    </row>
    <row r="95" spans="12:24" x14ac:dyDescent="0.35">
      <c r="L95" s="111"/>
      <c r="M95" s="37"/>
      <c r="N95" s="48"/>
      <c r="O95" s="37"/>
      <c r="P95" s="37"/>
      <c r="Q95" s="37"/>
      <c r="S95" s="111"/>
      <c r="T95" s="37"/>
      <c r="U95" s="48"/>
      <c r="V95" s="37"/>
      <c r="W95" s="37"/>
      <c r="X95" s="37"/>
    </row>
    <row r="96" spans="12:24" x14ac:dyDescent="0.35">
      <c r="L96" s="111"/>
      <c r="M96" s="37"/>
      <c r="N96" s="48"/>
      <c r="O96" s="37"/>
      <c r="P96" s="37"/>
      <c r="Q96" s="37"/>
      <c r="S96" s="111"/>
      <c r="T96" s="37"/>
      <c r="U96" s="48"/>
      <c r="V96" s="37"/>
      <c r="W96" s="37"/>
      <c r="X96" s="37"/>
    </row>
    <row r="97" spans="12:24" x14ac:dyDescent="0.35">
      <c r="L97" s="111"/>
      <c r="M97" s="37"/>
      <c r="N97" s="48"/>
      <c r="O97" s="37"/>
      <c r="P97" s="37"/>
      <c r="Q97" s="37"/>
      <c r="S97" s="111"/>
      <c r="T97" s="37"/>
      <c r="U97" s="48"/>
      <c r="V97" s="37"/>
      <c r="W97" s="37"/>
      <c r="X97" s="37"/>
    </row>
    <row r="98" spans="12:24" x14ac:dyDescent="0.35">
      <c r="L98" s="111"/>
      <c r="M98" s="37"/>
      <c r="N98" s="48"/>
      <c r="O98" s="37"/>
      <c r="P98" s="37"/>
      <c r="Q98" s="37"/>
      <c r="S98" s="111"/>
      <c r="T98" s="37"/>
      <c r="U98" s="48"/>
      <c r="V98" s="37"/>
      <c r="W98" s="37"/>
      <c r="X98" s="37"/>
    </row>
    <row r="99" spans="12:24" x14ac:dyDescent="0.35">
      <c r="L99" s="111"/>
      <c r="M99" s="37"/>
      <c r="N99" s="48"/>
      <c r="O99" s="37"/>
      <c r="P99" s="37"/>
      <c r="Q99" s="37"/>
      <c r="S99" s="111"/>
      <c r="T99" s="37"/>
      <c r="U99" s="48"/>
      <c r="V99" s="37"/>
      <c r="W99" s="37"/>
      <c r="X99" s="37"/>
    </row>
    <row r="100" spans="12:24" x14ac:dyDescent="0.35">
      <c r="L100" s="111"/>
      <c r="M100" s="37"/>
      <c r="N100" s="48"/>
      <c r="O100" s="37"/>
      <c r="P100" s="37"/>
      <c r="Q100" s="37"/>
      <c r="S100" s="111"/>
      <c r="T100" s="37"/>
      <c r="U100" s="48"/>
      <c r="V100" s="37"/>
      <c r="W100" s="37"/>
      <c r="X100" s="37"/>
    </row>
    <row r="101" spans="12:24" x14ac:dyDescent="0.35">
      <c r="L101" s="111"/>
      <c r="M101" s="37"/>
      <c r="N101" s="48"/>
      <c r="O101" s="37"/>
      <c r="P101" s="37"/>
      <c r="Q101" s="37"/>
      <c r="S101" s="111"/>
      <c r="T101" s="37"/>
      <c r="U101" s="48"/>
      <c r="V101" s="37"/>
      <c r="W101" s="37"/>
      <c r="X101" s="37"/>
    </row>
    <row r="102" spans="12:24" x14ac:dyDescent="0.35">
      <c r="L102" s="111"/>
      <c r="M102" s="37"/>
      <c r="N102" s="48"/>
      <c r="O102" s="37"/>
      <c r="P102" s="37"/>
      <c r="Q102" s="37"/>
      <c r="S102" s="111"/>
      <c r="T102" s="37"/>
      <c r="U102" s="48"/>
      <c r="V102" s="37"/>
      <c r="W102" s="37"/>
      <c r="X102" s="37"/>
    </row>
    <row r="103" spans="12:24" x14ac:dyDescent="0.35">
      <c r="L103" s="111"/>
      <c r="M103" s="37"/>
      <c r="N103" s="48"/>
      <c r="O103" s="37"/>
      <c r="P103" s="37"/>
      <c r="Q103" s="37"/>
      <c r="S103" s="111"/>
      <c r="T103" s="37"/>
      <c r="U103" s="48"/>
      <c r="V103" s="37"/>
      <c r="W103" s="37"/>
      <c r="X103" s="37"/>
    </row>
    <row r="104" spans="12:24" x14ac:dyDescent="0.35">
      <c r="L104" s="111"/>
      <c r="M104" s="37"/>
      <c r="N104" s="48"/>
      <c r="O104" s="37"/>
      <c r="P104" s="37"/>
      <c r="Q104" s="37"/>
      <c r="S104" s="111"/>
      <c r="T104" s="37"/>
      <c r="U104" s="48"/>
      <c r="V104" s="37"/>
      <c r="W104" s="37"/>
      <c r="X104" s="37"/>
    </row>
    <row r="105" spans="12:24" x14ac:dyDescent="0.35">
      <c r="L105" s="111"/>
      <c r="M105" s="37"/>
      <c r="N105" s="48"/>
      <c r="O105" s="37"/>
      <c r="P105" s="37"/>
      <c r="Q105" s="37"/>
      <c r="S105" s="111"/>
      <c r="T105" s="37"/>
      <c r="U105" s="48"/>
      <c r="V105" s="37"/>
      <c r="W105" s="37"/>
      <c r="X105" s="37"/>
    </row>
    <row r="106" spans="12:24" x14ac:dyDescent="0.35">
      <c r="L106" s="111"/>
      <c r="M106" s="37"/>
      <c r="N106" s="48"/>
      <c r="O106" s="37"/>
      <c r="P106" s="37"/>
      <c r="Q106" s="37"/>
      <c r="S106" s="111"/>
      <c r="T106" s="37"/>
      <c r="U106" s="48"/>
      <c r="V106" s="37"/>
      <c r="W106" s="37"/>
      <c r="X106" s="37"/>
    </row>
    <row r="107" spans="12:24" x14ac:dyDescent="0.35">
      <c r="L107" s="111"/>
      <c r="M107" s="37"/>
      <c r="N107" s="48"/>
      <c r="O107" s="37"/>
      <c r="P107" s="37"/>
      <c r="Q107" s="37"/>
      <c r="S107" s="111"/>
      <c r="T107" s="37"/>
      <c r="U107" s="48"/>
      <c r="V107" s="37"/>
      <c r="W107" s="37"/>
      <c r="X107" s="37"/>
    </row>
    <row r="108" spans="12:24" x14ac:dyDescent="0.35">
      <c r="L108" s="111"/>
      <c r="M108" s="37"/>
      <c r="N108" s="48"/>
      <c r="O108" s="37"/>
      <c r="P108" s="37"/>
      <c r="Q108" s="37"/>
      <c r="S108" s="111"/>
      <c r="T108" s="37"/>
      <c r="U108" s="48"/>
      <c r="V108" s="37"/>
      <c r="W108" s="37"/>
      <c r="X108" s="37"/>
    </row>
    <row r="109" spans="12:24" x14ac:dyDescent="0.35">
      <c r="L109" s="111"/>
      <c r="M109" s="37"/>
      <c r="N109" s="48"/>
      <c r="O109" s="37"/>
      <c r="P109" s="37"/>
      <c r="Q109" s="37"/>
      <c r="S109" s="111"/>
      <c r="T109" s="37"/>
      <c r="U109" s="48"/>
      <c r="V109" s="37"/>
      <c r="W109" s="37"/>
      <c r="X109" s="37"/>
    </row>
    <row r="110" spans="12:24" x14ac:dyDescent="0.35">
      <c r="L110" s="111"/>
      <c r="M110" s="37"/>
      <c r="N110" s="48"/>
      <c r="O110" s="37"/>
      <c r="P110" s="37"/>
      <c r="Q110" s="37"/>
      <c r="S110" s="111"/>
      <c r="T110" s="37"/>
      <c r="U110" s="48"/>
      <c r="V110" s="37"/>
      <c r="W110" s="37"/>
      <c r="X110" s="37"/>
    </row>
    <row r="111" spans="12:24" x14ac:dyDescent="0.35">
      <c r="L111" s="111"/>
      <c r="M111" s="37"/>
      <c r="N111" s="48"/>
      <c r="O111" s="37"/>
      <c r="P111" s="37"/>
      <c r="Q111" s="37"/>
      <c r="S111" s="111"/>
      <c r="T111" s="37"/>
      <c r="U111" s="48"/>
      <c r="V111" s="37"/>
      <c r="W111" s="37"/>
      <c r="X111" s="37"/>
    </row>
    <row r="112" spans="12:24" x14ac:dyDescent="0.35">
      <c r="L112" s="111"/>
      <c r="M112" s="37"/>
      <c r="N112" s="48"/>
      <c r="O112" s="37"/>
      <c r="P112" s="37"/>
      <c r="Q112" s="37"/>
      <c r="S112" s="111"/>
      <c r="T112" s="37"/>
      <c r="U112" s="48"/>
      <c r="V112" s="37"/>
      <c r="W112" s="37"/>
      <c r="X112" s="37"/>
    </row>
    <row r="113" spans="12:24" x14ac:dyDescent="0.35">
      <c r="L113" s="111"/>
      <c r="M113" s="37"/>
      <c r="N113" s="48"/>
      <c r="O113" s="37"/>
      <c r="P113" s="37"/>
      <c r="Q113" s="37"/>
      <c r="S113" s="111"/>
      <c r="T113" s="37"/>
      <c r="U113" s="48"/>
      <c r="V113" s="37"/>
      <c r="W113" s="37"/>
      <c r="X113" s="37"/>
    </row>
    <row r="114" spans="12:24" x14ac:dyDescent="0.35">
      <c r="L114" s="111"/>
      <c r="M114" s="37"/>
      <c r="N114" s="48"/>
      <c r="O114" s="37"/>
      <c r="P114" s="37"/>
      <c r="Q114" s="37"/>
      <c r="S114" s="111"/>
      <c r="T114" s="37"/>
      <c r="U114" s="48"/>
      <c r="V114" s="37"/>
      <c r="W114" s="37"/>
      <c r="X114" s="37"/>
    </row>
    <row r="115" spans="12:24" x14ac:dyDescent="0.35">
      <c r="L115" s="111"/>
      <c r="M115" s="37"/>
      <c r="N115" s="48"/>
      <c r="O115" s="37"/>
      <c r="P115" s="37"/>
      <c r="Q115" s="37"/>
      <c r="S115" s="111"/>
      <c r="T115" s="37"/>
      <c r="U115" s="48"/>
      <c r="V115" s="37"/>
      <c r="W115" s="37"/>
      <c r="X115" s="37"/>
    </row>
    <row r="116" spans="12:24" x14ac:dyDescent="0.35">
      <c r="L116" s="111"/>
      <c r="M116" s="37"/>
      <c r="N116" s="48"/>
      <c r="O116" s="37"/>
      <c r="P116" s="37"/>
      <c r="Q116" s="37"/>
      <c r="S116" s="111"/>
      <c r="T116" s="37"/>
      <c r="U116" s="48"/>
      <c r="V116" s="37"/>
      <c r="W116" s="37"/>
      <c r="X116" s="37"/>
    </row>
    <row r="117" spans="12:24" x14ac:dyDescent="0.35">
      <c r="L117" s="111"/>
      <c r="M117" s="37"/>
      <c r="N117" s="48"/>
      <c r="O117" s="37"/>
      <c r="P117" s="37"/>
      <c r="Q117" s="37"/>
      <c r="S117" s="111"/>
      <c r="T117" s="37"/>
      <c r="U117" s="48"/>
      <c r="V117" s="37"/>
      <c r="W117" s="37"/>
      <c r="X117" s="37"/>
    </row>
    <row r="118" spans="12:24" x14ac:dyDescent="0.35">
      <c r="L118" s="111"/>
      <c r="M118" s="37"/>
      <c r="N118" s="48"/>
      <c r="O118" s="37"/>
      <c r="P118" s="37"/>
      <c r="Q118" s="37"/>
      <c r="S118" s="111"/>
      <c r="T118" s="37"/>
      <c r="U118" s="48"/>
      <c r="V118" s="37"/>
      <c r="W118" s="37"/>
      <c r="X118" s="37"/>
    </row>
    <row r="119" spans="12:24" x14ac:dyDescent="0.35">
      <c r="L119" s="111"/>
      <c r="M119" s="37"/>
      <c r="N119" s="48"/>
      <c r="O119" s="37"/>
      <c r="P119" s="37"/>
      <c r="Q119" s="37"/>
      <c r="S119" s="111"/>
      <c r="T119" s="37"/>
      <c r="U119" s="48"/>
      <c r="V119" s="37"/>
      <c r="W119" s="37"/>
      <c r="X119" s="37"/>
    </row>
    <row r="120" spans="12:24" x14ac:dyDescent="0.35">
      <c r="L120" s="111"/>
      <c r="M120" s="37"/>
      <c r="N120" s="48"/>
      <c r="O120" s="37"/>
      <c r="P120" s="37"/>
      <c r="Q120" s="37"/>
      <c r="S120" s="111"/>
      <c r="T120" s="37"/>
      <c r="U120" s="48"/>
      <c r="V120" s="37"/>
      <c r="W120" s="37"/>
      <c r="X120" s="37"/>
    </row>
    <row r="121" spans="12:24" x14ac:dyDescent="0.35">
      <c r="L121" s="111"/>
      <c r="M121" s="37"/>
      <c r="N121" s="48"/>
      <c r="O121" s="37"/>
      <c r="P121" s="37"/>
      <c r="Q121" s="37"/>
      <c r="S121" s="111"/>
      <c r="T121" s="37"/>
      <c r="U121" s="48"/>
      <c r="V121" s="37"/>
      <c r="W121" s="37"/>
      <c r="X121" s="37"/>
    </row>
    <row r="122" spans="12:24" x14ac:dyDescent="0.35">
      <c r="L122" s="111"/>
      <c r="M122" s="37"/>
      <c r="N122" s="48"/>
      <c r="O122" s="37"/>
      <c r="P122" s="37"/>
      <c r="Q122" s="37"/>
      <c r="S122" s="111"/>
      <c r="T122" s="37"/>
      <c r="U122" s="48"/>
      <c r="V122" s="37"/>
      <c r="W122" s="37"/>
      <c r="X122" s="37"/>
    </row>
    <row r="123" spans="12:24" x14ac:dyDescent="0.35">
      <c r="L123" s="111"/>
      <c r="M123" s="37"/>
      <c r="N123" s="48"/>
      <c r="O123" s="37"/>
      <c r="P123" s="37"/>
      <c r="Q123" s="37"/>
      <c r="S123" s="111"/>
      <c r="T123" s="37"/>
      <c r="U123" s="48"/>
      <c r="V123" s="37"/>
      <c r="W123" s="37"/>
      <c r="X123" s="37"/>
    </row>
    <row r="124" spans="12:24" x14ac:dyDescent="0.35">
      <c r="L124" s="111"/>
      <c r="M124" s="37"/>
      <c r="N124" s="48"/>
      <c r="O124" s="37"/>
      <c r="P124" s="37"/>
      <c r="Q124" s="37"/>
      <c r="S124" s="111"/>
      <c r="T124" s="37"/>
      <c r="U124" s="48"/>
      <c r="V124" s="37"/>
      <c r="W124" s="37"/>
      <c r="X124" s="37"/>
    </row>
    <row r="125" spans="12:24" x14ac:dyDescent="0.35">
      <c r="L125" s="111"/>
      <c r="M125" s="37"/>
      <c r="N125" s="48"/>
      <c r="O125" s="37"/>
      <c r="P125" s="37"/>
      <c r="Q125" s="37"/>
      <c r="S125" s="111"/>
      <c r="T125" s="37"/>
      <c r="U125" s="48"/>
      <c r="V125" s="37"/>
      <c r="W125" s="37"/>
      <c r="X125" s="37"/>
    </row>
    <row r="126" spans="12:24" x14ac:dyDescent="0.35">
      <c r="L126" s="111"/>
      <c r="M126" s="37"/>
      <c r="N126" s="48"/>
      <c r="O126" s="37"/>
      <c r="P126" s="37"/>
      <c r="Q126" s="37"/>
      <c r="S126" s="111"/>
      <c r="T126" s="37"/>
      <c r="U126" s="48"/>
      <c r="V126" s="37"/>
      <c r="W126" s="37"/>
      <c r="X126" s="37"/>
    </row>
    <row r="127" spans="12:24" x14ac:dyDescent="0.35">
      <c r="L127" s="111"/>
      <c r="M127" s="37"/>
      <c r="N127" s="48"/>
      <c r="O127" s="37"/>
      <c r="P127" s="37"/>
      <c r="Q127" s="37"/>
      <c r="S127" s="111"/>
      <c r="T127" s="37"/>
      <c r="U127" s="48"/>
      <c r="V127" s="37"/>
      <c r="W127" s="37"/>
      <c r="X127" s="37"/>
    </row>
    <row r="128" spans="12:24" x14ac:dyDescent="0.35">
      <c r="L128" s="111"/>
      <c r="M128" s="37"/>
      <c r="N128" s="48"/>
      <c r="O128" s="37"/>
      <c r="P128" s="37"/>
      <c r="Q128" s="37"/>
      <c r="S128" s="111"/>
      <c r="T128" s="37"/>
      <c r="U128" s="48"/>
      <c r="V128" s="37"/>
      <c r="W128" s="37"/>
      <c r="X128" s="37"/>
    </row>
    <row r="129" spans="12:24" x14ac:dyDescent="0.35">
      <c r="L129" s="111"/>
      <c r="M129" s="37"/>
      <c r="N129" s="48"/>
      <c r="O129" s="37"/>
      <c r="P129" s="37"/>
      <c r="Q129" s="37"/>
      <c r="S129" s="111"/>
      <c r="T129" s="37"/>
      <c r="U129" s="48"/>
      <c r="V129" s="37"/>
      <c r="W129" s="37"/>
      <c r="X129" s="37"/>
    </row>
    <row r="130" spans="12:24" x14ac:dyDescent="0.35">
      <c r="L130" s="111"/>
      <c r="M130" s="37"/>
      <c r="N130" s="48"/>
      <c r="O130" s="37"/>
      <c r="P130" s="37"/>
      <c r="Q130" s="37"/>
      <c r="S130" s="111"/>
      <c r="T130" s="37"/>
      <c r="U130" s="48"/>
      <c r="V130" s="37"/>
      <c r="W130" s="37"/>
      <c r="X130" s="37"/>
    </row>
    <row r="131" spans="12:24" x14ac:dyDescent="0.35">
      <c r="L131" s="111"/>
      <c r="M131" s="37"/>
      <c r="N131" s="48"/>
      <c r="O131" s="37"/>
      <c r="P131" s="37"/>
      <c r="Q131" s="37"/>
      <c r="S131" s="111"/>
      <c r="T131" s="37"/>
      <c r="U131" s="48"/>
      <c r="V131" s="37"/>
      <c r="W131" s="37"/>
      <c r="X131" s="37"/>
    </row>
    <row r="132" spans="12:24" x14ac:dyDescent="0.35">
      <c r="L132" s="111"/>
      <c r="M132" s="37"/>
      <c r="N132" s="48"/>
      <c r="O132" s="37"/>
      <c r="P132" s="37"/>
      <c r="Q132" s="37"/>
      <c r="S132" s="111"/>
      <c r="T132" s="37"/>
      <c r="U132" s="48"/>
      <c r="V132" s="37"/>
      <c r="W132" s="37"/>
      <c r="X132" s="37"/>
    </row>
    <row r="133" spans="12:24" x14ac:dyDescent="0.35">
      <c r="L133" s="111"/>
      <c r="M133" s="37"/>
      <c r="N133" s="48"/>
      <c r="O133" s="37"/>
      <c r="P133" s="37"/>
      <c r="Q133" s="37"/>
      <c r="S133" s="111"/>
      <c r="T133" s="37"/>
      <c r="U133" s="48"/>
      <c r="V133" s="37"/>
      <c r="W133" s="37"/>
      <c r="X133" s="37"/>
    </row>
    <row r="134" spans="12:24" x14ac:dyDescent="0.35">
      <c r="L134" s="111"/>
      <c r="M134" s="37"/>
      <c r="N134" s="48"/>
      <c r="O134" s="37"/>
      <c r="P134" s="37"/>
      <c r="Q134" s="37"/>
      <c r="S134" s="111"/>
      <c r="T134" s="37"/>
      <c r="U134" s="48"/>
      <c r="V134" s="37"/>
      <c r="W134" s="37"/>
      <c r="X134" s="37"/>
    </row>
    <row r="135" spans="12:24" x14ac:dyDescent="0.35">
      <c r="L135" s="111"/>
      <c r="M135" s="37"/>
      <c r="N135" s="48"/>
      <c r="O135" s="37"/>
      <c r="P135" s="37"/>
      <c r="Q135" s="37"/>
      <c r="S135" s="111"/>
      <c r="T135" s="37"/>
      <c r="U135" s="48"/>
      <c r="V135" s="37"/>
      <c r="W135" s="37"/>
      <c r="X135" s="37"/>
    </row>
    <row r="136" spans="12:24" x14ac:dyDescent="0.35">
      <c r="L136" s="111"/>
      <c r="M136" s="37"/>
      <c r="N136" s="48"/>
      <c r="O136" s="37"/>
      <c r="P136" s="37"/>
      <c r="Q136" s="37"/>
      <c r="S136" s="111"/>
      <c r="T136" s="37"/>
      <c r="U136" s="48"/>
      <c r="V136" s="37"/>
      <c r="W136" s="37"/>
      <c r="X136" s="37"/>
    </row>
    <row r="137" spans="12:24" x14ac:dyDescent="0.35">
      <c r="L137" s="111"/>
      <c r="M137" s="37"/>
      <c r="N137" s="48"/>
      <c r="O137" s="37"/>
      <c r="P137" s="37"/>
      <c r="Q137" s="37"/>
      <c r="S137" s="111"/>
      <c r="T137" s="37"/>
      <c r="U137" s="48"/>
      <c r="V137" s="37"/>
      <c r="W137" s="37"/>
      <c r="X137" s="37"/>
    </row>
    <row r="138" spans="12:24" x14ac:dyDescent="0.35">
      <c r="L138" s="111"/>
      <c r="M138" s="37"/>
      <c r="N138" s="48"/>
      <c r="O138" s="37"/>
      <c r="P138" s="37"/>
      <c r="Q138" s="37"/>
      <c r="S138" s="111"/>
      <c r="T138" s="37"/>
      <c r="U138" s="48"/>
      <c r="V138" s="37"/>
      <c r="W138" s="37"/>
      <c r="X138" s="37"/>
    </row>
    <row r="139" spans="12:24" x14ac:dyDescent="0.35">
      <c r="L139" s="111"/>
      <c r="M139" s="37"/>
      <c r="N139" s="48"/>
      <c r="O139" s="37"/>
      <c r="P139" s="37"/>
      <c r="Q139" s="37"/>
      <c r="S139" s="111"/>
      <c r="T139" s="37"/>
      <c r="U139" s="48"/>
      <c r="V139" s="37"/>
      <c r="W139" s="37"/>
      <c r="X139" s="37"/>
    </row>
    <row r="140" spans="12:24" x14ac:dyDescent="0.35">
      <c r="L140" s="111"/>
      <c r="M140" s="37"/>
      <c r="N140" s="48"/>
      <c r="O140" s="37"/>
      <c r="P140" s="37"/>
      <c r="Q140" s="37"/>
      <c r="S140" s="111"/>
      <c r="T140" s="37"/>
      <c r="U140" s="48"/>
      <c r="V140" s="37"/>
      <c r="W140" s="37"/>
      <c r="X140" s="37"/>
    </row>
    <row r="141" spans="12:24" x14ac:dyDescent="0.35">
      <c r="L141" s="111"/>
      <c r="M141" s="37"/>
      <c r="N141" s="48"/>
      <c r="O141" s="37"/>
      <c r="P141" s="37"/>
      <c r="Q141" s="37"/>
      <c r="S141" s="111"/>
      <c r="T141" s="37"/>
      <c r="U141" s="48"/>
      <c r="V141" s="37"/>
      <c r="W141" s="37"/>
      <c r="X141" s="37"/>
    </row>
    <row r="142" spans="12:24" x14ac:dyDescent="0.35">
      <c r="L142" s="111"/>
      <c r="M142" s="37"/>
      <c r="N142" s="48"/>
      <c r="O142" s="37"/>
      <c r="P142" s="37"/>
      <c r="Q142" s="37"/>
    </row>
    <row r="143" spans="12:24" x14ac:dyDescent="0.35">
      <c r="L143" s="111"/>
      <c r="M143" s="37"/>
      <c r="N143" s="48"/>
      <c r="O143" s="37"/>
      <c r="P143" s="37"/>
      <c r="Q143" s="37"/>
    </row>
    <row r="144" spans="12:24" x14ac:dyDescent="0.35">
      <c r="L144" s="111"/>
      <c r="M144" s="37"/>
      <c r="N144" s="48"/>
      <c r="O144" s="37"/>
      <c r="P144" s="37"/>
      <c r="Q144" s="37"/>
    </row>
    <row r="145" spans="12:17" x14ac:dyDescent="0.35">
      <c r="L145" s="111"/>
      <c r="M145" s="37"/>
      <c r="N145" s="48"/>
      <c r="O145" s="37"/>
      <c r="P145" s="37"/>
      <c r="Q145" s="37"/>
    </row>
    <row r="146" spans="12:17" x14ac:dyDescent="0.35">
      <c r="L146" s="111"/>
      <c r="M146" s="37"/>
      <c r="N146" s="48"/>
      <c r="O146" s="37"/>
      <c r="P146" s="37"/>
      <c r="Q146" s="37"/>
    </row>
  </sheetData>
  <mergeCells count="6">
    <mergeCell ref="V3:X3"/>
    <mergeCell ref="E3:F3"/>
    <mergeCell ref="H3:J3"/>
    <mergeCell ref="L3:M3"/>
    <mergeCell ref="O3:Q3"/>
    <mergeCell ref="S3:T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E8458-6C8A-43F9-8387-60E1558F4DBD}">
  <sheetPr>
    <tabColor rgb="FFFFC000"/>
  </sheetPr>
  <dimension ref="B4:X40"/>
  <sheetViews>
    <sheetView topLeftCell="N1" workbookViewId="0">
      <selection activeCell="X22" sqref="X22"/>
    </sheetView>
  </sheetViews>
  <sheetFormatPr baseColWidth="10" defaultColWidth="8.7265625" defaultRowHeight="14.5" x14ac:dyDescent="0.35"/>
  <cols>
    <col min="2" max="2" width="22.90625" bestFit="1" customWidth="1"/>
    <col min="3" max="3" width="17.36328125" bestFit="1" customWidth="1"/>
    <col min="5" max="6" width="17.36328125" customWidth="1"/>
    <col min="7" max="7" width="20.36328125" bestFit="1" customWidth="1"/>
    <col min="8" max="10" width="17.36328125" customWidth="1"/>
    <col min="12" max="13" width="17.36328125" customWidth="1"/>
    <col min="14" max="14" width="20.36328125" bestFit="1" customWidth="1"/>
    <col min="15" max="17" width="17.36328125" customWidth="1"/>
    <col min="19" max="20" width="17.36328125" customWidth="1"/>
    <col min="21" max="21" width="19.08984375" bestFit="1" customWidth="1"/>
    <col min="22" max="24" width="17.36328125" customWidth="1"/>
  </cols>
  <sheetData>
    <row r="4" spans="2:24" ht="18.5" x14ac:dyDescent="0.45">
      <c r="E4" s="183" t="s">
        <v>442</v>
      </c>
      <c r="F4" s="184"/>
      <c r="G4" s="109">
        <f>SUBTOTAL(9,G6:G10000)</f>
        <v>0</v>
      </c>
      <c r="H4" s="180" t="s">
        <v>455</v>
      </c>
      <c r="I4" s="181"/>
      <c r="J4" s="182"/>
      <c r="L4" s="183" t="s">
        <v>440</v>
      </c>
      <c r="M4" s="184"/>
      <c r="N4" s="109">
        <f>SUBTOTAL(9,N6:N10000)</f>
        <v>0</v>
      </c>
      <c r="O4" s="180" t="s">
        <v>455</v>
      </c>
      <c r="P4" s="181"/>
      <c r="Q4" s="182"/>
      <c r="S4" s="183" t="s">
        <v>444</v>
      </c>
      <c r="T4" s="184"/>
      <c r="U4" s="109">
        <f>SUBTOTAL(9,U6:U10000)</f>
        <v>0</v>
      </c>
      <c r="V4" s="180" t="s">
        <v>455</v>
      </c>
      <c r="W4" s="181"/>
      <c r="X4" s="182"/>
    </row>
    <row r="5" spans="2:24" x14ac:dyDescent="0.35">
      <c r="B5" s="112" t="s">
        <v>451</v>
      </c>
      <c r="C5" s="112" t="s">
        <v>453</v>
      </c>
      <c r="E5" s="110" t="s">
        <v>80</v>
      </c>
      <c r="F5" s="110" t="s">
        <v>2</v>
      </c>
      <c r="G5" s="110" t="s">
        <v>81</v>
      </c>
      <c r="H5" s="110" t="s">
        <v>82</v>
      </c>
      <c r="I5" s="110" t="s">
        <v>346</v>
      </c>
      <c r="J5" s="110" t="s">
        <v>429</v>
      </c>
      <c r="L5" s="110" t="s">
        <v>80</v>
      </c>
      <c r="M5" s="110" t="s">
        <v>2</v>
      </c>
      <c r="N5" s="110" t="s">
        <v>81</v>
      </c>
      <c r="O5" s="110" t="s">
        <v>82</v>
      </c>
      <c r="P5" s="110" t="s">
        <v>346</v>
      </c>
      <c r="Q5" s="110" t="s">
        <v>429</v>
      </c>
      <c r="S5" s="110" t="s">
        <v>80</v>
      </c>
      <c r="T5" s="110" t="s">
        <v>2</v>
      </c>
      <c r="U5" s="110" t="s">
        <v>81</v>
      </c>
      <c r="V5" s="110" t="s">
        <v>82</v>
      </c>
      <c r="W5" s="110" t="s">
        <v>346</v>
      </c>
      <c r="X5" s="110" t="s">
        <v>429</v>
      </c>
    </row>
    <row r="6" spans="2:24" x14ac:dyDescent="0.35">
      <c r="B6" s="37" t="s">
        <v>442</v>
      </c>
      <c r="C6" s="113">
        <f>G4</f>
        <v>0</v>
      </c>
      <c r="E6" s="111" t="e" cm="1" vm="1">
        <f t="array" aca="1" ref="E6" ca="1">_xlfn.CHOOSECOLS(_xlfn._xlws.FILTER(STATEMENT!A3:H10035,STATEMENT!H3:H10035="BFU"),1,2,4,6,7,8)</f>
        <v>#NAME?</v>
      </c>
      <c r="F6" s="37"/>
      <c r="G6" s="48"/>
      <c r="H6" s="37"/>
      <c r="I6" s="37"/>
      <c r="J6" s="37"/>
      <c r="L6" s="111" t="e" cm="1" vm="1">
        <f t="array" aca="1" ref="L6" ca="1">_xlfn.CHOOSECOLS(_xlfn._xlws.FILTER(STATEMENT!A3:H10035,STATEMENT!H3:H10035="TRANSITER"),1,2,4,6,7,8)</f>
        <v>#NAME?</v>
      </c>
      <c r="M6" s="37"/>
      <c r="N6" s="48"/>
      <c r="O6" s="37"/>
      <c r="P6" s="37"/>
      <c r="Q6" s="37"/>
      <c r="S6" s="111" t="e" cm="1" vm="1">
        <f t="array" aca="1" ref="S6" ca="1">_xlfn.CHOOSECOLS(_xlfn._xlws.FILTER(STATEMENT!A3:H10035,STATEMENT!H3:H10035="EXP/ FRET PAYMENT"),1,2,4,6,7,8)</f>
        <v>#NAME?</v>
      </c>
      <c r="T6" s="37"/>
      <c r="U6" s="48"/>
      <c r="V6" s="37"/>
      <c r="W6" s="37"/>
      <c r="X6" s="37"/>
    </row>
    <row r="7" spans="2:24" x14ac:dyDescent="0.35">
      <c r="B7" s="37" t="s">
        <v>440</v>
      </c>
      <c r="C7" s="113">
        <f>N4</f>
        <v>0</v>
      </c>
      <c r="E7" s="111"/>
      <c r="F7" s="37"/>
      <c r="G7" s="48"/>
      <c r="H7" s="37"/>
      <c r="I7" s="37"/>
      <c r="J7" s="37"/>
      <c r="L7" s="111"/>
      <c r="M7" s="37"/>
      <c r="N7" s="48"/>
      <c r="O7" s="37"/>
      <c r="P7" s="37"/>
      <c r="Q7" s="37"/>
      <c r="S7" s="111"/>
      <c r="T7" s="37"/>
      <c r="U7" s="48"/>
      <c r="V7" s="37"/>
      <c r="W7" s="37"/>
      <c r="X7" s="37"/>
    </row>
    <row r="8" spans="2:24" x14ac:dyDescent="0.35">
      <c r="B8" s="37" t="s">
        <v>444</v>
      </c>
      <c r="C8" s="113">
        <f>U4</f>
        <v>0</v>
      </c>
      <c r="E8" s="111"/>
      <c r="F8" s="37"/>
      <c r="G8" s="48"/>
      <c r="H8" s="37"/>
      <c r="I8" s="37"/>
      <c r="J8" s="37"/>
      <c r="L8" s="111"/>
      <c r="M8" s="37"/>
      <c r="N8" s="48"/>
      <c r="O8" s="37"/>
      <c r="P8" s="37"/>
      <c r="Q8" s="37"/>
      <c r="S8" s="111"/>
      <c r="T8" s="37"/>
      <c r="U8" s="48"/>
      <c r="V8" s="37"/>
      <c r="W8" s="37"/>
      <c r="X8" s="37"/>
    </row>
    <row r="9" spans="2:24" x14ac:dyDescent="0.35">
      <c r="B9" s="61" t="s">
        <v>454</v>
      </c>
      <c r="C9" s="114">
        <f>SUM(C6:C8)</f>
        <v>0</v>
      </c>
      <c r="E9" s="111"/>
      <c r="F9" s="37"/>
      <c r="G9" s="48"/>
      <c r="H9" s="37"/>
      <c r="I9" s="37"/>
      <c r="J9" s="37"/>
      <c r="L9" s="111"/>
      <c r="M9" s="37"/>
      <c r="N9" s="48"/>
      <c r="O9" s="37"/>
      <c r="P9" s="37"/>
      <c r="Q9" s="37"/>
      <c r="S9" s="111"/>
      <c r="T9" s="37"/>
      <c r="U9" s="48"/>
      <c r="V9" s="37"/>
      <c r="W9" s="37"/>
      <c r="X9" s="37"/>
    </row>
    <row r="10" spans="2:24" x14ac:dyDescent="0.35">
      <c r="E10" s="111"/>
      <c r="F10" s="37"/>
      <c r="G10" s="48"/>
      <c r="H10" s="37"/>
      <c r="I10" s="37"/>
      <c r="J10" s="37"/>
      <c r="L10" s="111"/>
      <c r="M10" s="37"/>
      <c r="N10" s="48"/>
      <c r="O10" s="37"/>
      <c r="P10" s="37"/>
      <c r="Q10" s="37"/>
      <c r="S10" s="111"/>
      <c r="T10" s="37"/>
      <c r="U10" s="48"/>
      <c r="V10" s="37"/>
      <c r="W10" s="37"/>
      <c r="X10" s="37"/>
    </row>
    <row r="11" spans="2:24" x14ac:dyDescent="0.35">
      <c r="E11" s="111"/>
      <c r="F11" s="37"/>
      <c r="G11" s="48"/>
      <c r="H11" s="37"/>
      <c r="I11" s="37"/>
      <c r="J11" s="37"/>
      <c r="L11" s="111"/>
      <c r="M11" s="37"/>
      <c r="N11" s="48"/>
      <c r="O11" s="37"/>
      <c r="P11" s="37"/>
      <c r="Q11" s="37"/>
      <c r="S11" s="111"/>
      <c r="T11" s="37"/>
      <c r="U11" s="48"/>
      <c r="V11" s="37"/>
      <c r="W11" s="37"/>
      <c r="X11" s="37"/>
    </row>
    <row r="12" spans="2:24" x14ac:dyDescent="0.35">
      <c r="E12" s="111"/>
      <c r="F12" s="37"/>
      <c r="G12" s="48"/>
      <c r="H12" s="37"/>
      <c r="I12" s="37"/>
      <c r="J12" s="37"/>
      <c r="L12" s="111"/>
      <c r="M12" s="37"/>
      <c r="N12" s="48"/>
      <c r="O12" s="37"/>
      <c r="P12" s="37"/>
      <c r="Q12" s="37"/>
      <c r="S12" s="111"/>
      <c r="T12" s="37"/>
      <c r="U12" s="48"/>
      <c r="V12" s="37"/>
      <c r="W12" s="37"/>
      <c r="X12" s="37"/>
    </row>
    <row r="13" spans="2:24" x14ac:dyDescent="0.35">
      <c r="E13" s="111"/>
      <c r="F13" s="37"/>
      <c r="G13" s="48"/>
      <c r="H13" s="37"/>
      <c r="I13" s="37"/>
      <c r="J13" s="37"/>
      <c r="L13" s="111"/>
      <c r="M13" s="37"/>
      <c r="N13" s="48"/>
      <c r="O13" s="37"/>
      <c r="P13" s="37"/>
      <c r="Q13" s="37"/>
      <c r="S13" s="111"/>
      <c r="T13" s="37"/>
      <c r="U13" s="48"/>
      <c r="V13" s="37"/>
      <c r="W13" s="37"/>
      <c r="X13" s="37"/>
    </row>
    <row r="14" spans="2:24" x14ac:dyDescent="0.35">
      <c r="E14" s="111"/>
      <c r="F14" s="37"/>
      <c r="G14" s="48"/>
      <c r="H14" s="37"/>
      <c r="I14" s="37"/>
      <c r="J14" s="37"/>
      <c r="L14" s="111"/>
      <c r="M14" s="37"/>
      <c r="N14" s="48"/>
      <c r="O14" s="37"/>
      <c r="P14" s="37"/>
      <c r="Q14" s="37"/>
      <c r="S14" s="111"/>
      <c r="T14" s="37"/>
      <c r="U14" s="48"/>
      <c r="V14" s="37"/>
      <c r="W14" s="37"/>
      <c r="X14" s="37"/>
    </row>
    <row r="15" spans="2:24" x14ac:dyDescent="0.35">
      <c r="E15" s="111"/>
      <c r="F15" s="37"/>
      <c r="G15" s="48"/>
      <c r="H15" s="37"/>
      <c r="I15" s="37"/>
      <c r="J15" s="37"/>
      <c r="L15" s="111"/>
      <c r="M15" s="37"/>
      <c r="N15" s="48"/>
      <c r="O15" s="37"/>
      <c r="P15" s="37"/>
      <c r="Q15" s="37"/>
      <c r="S15" s="111"/>
      <c r="T15" s="37"/>
      <c r="U15" s="48"/>
      <c r="V15" s="37"/>
      <c r="W15" s="37"/>
      <c r="X15" s="37"/>
    </row>
    <row r="16" spans="2:24" x14ac:dyDescent="0.35">
      <c r="E16" s="111"/>
      <c r="F16" s="37"/>
      <c r="G16" s="48"/>
      <c r="H16" s="37"/>
      <c r="I16" s="37"/>
      <c r="J16" s="37"/>
      <c r="L16" s="111"/>
      <c r="M16" s="37"/>
      <c r="N16" s="48"/>
      <c r="O16" s="37"/>
      <c r="P16" s="37"/>
      <c r="Q16" s="37"/>
      <c r="S16" s="111"/>
      <c r="T16" s="37"/>
      <c r="U16" s="48"/>
      <c r="V16" s="37"/>
      <c r="W16" s="37"/>
      <c r="X16" s="37"/>
    </row>
    <row r="17" spans="5:24" x14ac:dyDescent="0.35">
      <c r="E17" s="111"/>
      <c r="F17" s="37"/>
      <c r="G17" s="48"/>
      <c r="H17" s="37"/>
      <c r="I17" s="37"/>
      <c r="J17" s="37"/>
      <c r="L17" s="111"/>
      <c r="M17" s="37"/>
      <c r="N17" s="48"/>
      <c r="O17" s="37"/>
      <c r="P17" s="37"/>
      <c r="Q17" s="37"/>
      <c r="S17" s="111"/>
      <c r="T17" s="37"/>
      <c r="U17" s="48"/>
      <c r="V17" s="37"/>
      <c r="W17" s="37"/>
      <c r="X17" s="37"/>
    </row>
    <row r="18" spans="5:24" x14ac:dyDescent="0.35">
      <c r="E18" s="111"/>
      <c r="F18" s="37"/>
      <c r="G18" s="48"/>
      <c r="H18" s="37"/>
      <c r="I18" s="37"/>
      <c r="J18" s="37"/>
      <c r="L18" s="111"/>
      <c r="M18" s="37"/>
      <c r="N18" s="48"/>
      <c r="O18" s="37"/>
      <c r="P18" s="37"/>
      <c r="Q18" s="37"/>
      <c r="S18" s="111"/>
      <c r="T18" s="37"/>
      <c r="U18" s="48"/>
      <c r="V18" s="37"/>
      <c r="W18" s="37"/>
      <c r="X18" s="37"/>
    </row>
    <row r="19" spans="5:24" x14ac:dyDescent="0.35">
      <c r="E19" s="111"/>
      <c r="F19" s="37"/>
      <c r="G19" s="48"/>
      <c r="H19" s="37"/>
      <c r="I19" s="37"/>
      <c r="J19" s="37"/>
      <c r="L19" s="111"/>
      <c r="M19" s="37"/>
      <c r="N19" s="48"/>
      <c r="O19" s="37"/>
      <c r="P19" s="37"/>
      <c r="Q19" s="37"/>
      <c r="S19" s="111"/>
      <c r="T19" s="37"/>
      <c r="U19" s="48"/>
      <c r="V19" s="37"/>
      <c r="W19" s="37"/>
      <c r="X19" s="37"/>
    </row>
    <row r="20" spans="5:24" x14ac:dyDescent="0.35">
      <c r="E20" s="111"/>
      <c r="F20" s="37"/>
      <c r="G20" s="48"/>
      <c r="H20" s="37"/>
      <c r="I20" s="37"/>
      <c r="J20" s="37"/>
      <c r="L20" s="111"/>
      <c r="M20" s="37"/>
      <c r="N20" s="48"/>
      <c r="O20" s="37"/>
      <c r="P20" s="37"/>
      <c r="Q20" s="37"/>
      <c r="S20" s="111"/>
      <c r="T20" s="37"/>
      <c r="U20" s="48"/>
      <c r="V20" s="37"/>
      <c r="W20" s="37"/>
      <c r="X20" s="37"/>
    </row>
    <row r="21" spans="5:24" x14ac:dyDescent="0.35">
      <c r="E21" s="111"/>
      <c r="F21" s="37"/>
      <c r="G21" s="48"/>
      <c r="H21" s="37"/>
      <c r="I21" s="37"/>
      <c r="J21" s="37"/>
      <c r="L21" s="111"/>
      <c r="M21" s="37"/>
      <c r="N21" s="48"/>
      <c r="O21" s="37"/>
      <c r="P21" s="37"/>
      <c r="Q21" s="37"/>
      <c r="S21" s="111"/>
      <c r="T21" s="37"/>
      <c r="U21" s="48"/>
      <c r="V21" s="37"/>
      <c r="W21" s="37"/>
      <c r="X21" s="37"/>
    </row>
    <row r="22" spans="5:24" x14ac:dyDescent="0.35">
      <c r="E22" s="111"/>
      <c r="F22" s="37"/>
      <c r="G22" s="48"/>
      <c r="H22" s="37"/>
      <c r="I22" s="37"/>
      <c r="J22" s="37"/>
      <c r="L22" s="111"/>
      <c r="M22" s="37"/>
      <c r="N22" s="48"/>
      <c r="O22" s="37"/>
      <c r="P22" s="37"/>
      <c r="Q22" s="37"/>
      <c r="S22" s="111"/>
      <c r="T22" s="37"/>
      <c r="U22" s="48"/>
      <c r="V22" s="37"/>
      <c r="W22" s="37"/>
      <c r="X22" s="37"/>
    </row>
    <row r="23" spans="5:24" x14ac:dyDescent="0.35">
      <c r="E23" s="111"/>
      <c r="F23" s="37"/>
      <c r="G23" s="48"/>
      <c r="H23" s="37"/>
      <c r="I23" s="37"/>
      <c r="J23" s="37"/>
      <c r="L23" s="111"/>
      <c r="M23" s="37"/>
      <c r="N23" s="48"/>
      <c r="O23" s="37"/>
      <c r="P23" s="37"/>
      <c r="Q23" s="37"/>
      <c r="S23" s="111"/>
      <c r="T23" s="37"/>
      <c r="U23" s="48"/>
      <c r="V23" s="37"/>
      <c r="W23" s="37"/>
      <c r="X23" s="37"/>
    </row>
    <row r="24" spans="5:24" x14ac:dyDescent="0.35">
      <c r="E24" s="111"/>
      <c r="F24" s="37"/>
      <c r="G24" s="48"/>
      <c r="H24" s="37"/>
      <c r="I24" s="37"/>
      <c r="J24" s="37"/>
      <c r="L24" s="111"/>
      <c r="M24" s="37"/>
      <c r="N24" s="48"/>
      <c r="O24" s="37"/>
      <c r="P24" s="37"/>
      <c r="Q24" s="37"/>
      <c r="S24" s="111"/>
      <c r="T24" s="37"/>
      <c r="U24" s="48"/>
      <c r="V24" s="37"/>
      <c r="W24" s="37"/>
      <c r="X24" s="37"/>
    </row>
    <row r="25" spans="5:24" x14ac:dyDescent="0.35">
      <c r="E25" s="111"/>
      <c r="F25" s="37"/>
      <c r="G25" s="48"/>
      <c r="H25" s="37"/>
      <c r="I25" s="37"/>
      <c r="J25" s="37"/>
      <c r="L25" s="111"/>
      <c r="M25" s="37"/>
      <c r="N25" s="48"/>
      <c r="O25" s="37"/>
      <c r="P25" s="37"/>
      <c r="Q25" s="37"/>
      <c r="S25" s="111"/>
      <c r="T25" s="37"/>
      <c r="U25" s="48"/>
      <c r="V25" s="37"/>
      <c r="W25" s="37"/>
      <c r="X25" s="37"/>
    </row>
    <row r="26" spans="5:24" x14ac:dyDescent="0.35">
      <c r="E26" s="111"/>
      <c r="F26" s="37"/>
      <c r="G26" s="48"/>
      <c r="H26" s="37"/>
      <c r="I26" s="37"/>
      <c r="J26" s="37"/>
      <c r="L26" s="111"/>
      <c r="M26" s="37"/>
      <c r="N26" s="48"/>
      <c r="O26" s="37"/>
      <c r="P26" s="37"/>
      <c r="Q26" s="37"/>
      <c r="S26" s="111"/>
      <c r="T26" s="37"/>
      <c r="U26" s="48"/>
      <c r="V26" s="37"/>
      <c r="W26" s="37"/>
      <c r="X26" s="37"/>
    </row>
    <row r="27" spans="5:24" x14ac:dyDescent="0.35">
      <c r="E27" s="111"/>
      <c r="F27" s="37"/>
      <c r="G27" s="48"/>
      <c r="H27" s="37"/>
      <c r="I27" s="37"/>
      <c r="J27" s="37"/>
      <c r="L27" s="111"/>
      <c r="M27" s="37"/>
      <c r="N27" s="48"/>
      <c r="O27" s="37"/>
      <c r="P27" s="37"/>
      <c r="Q27" s="37"/>
      <c r="S27" s="111"/>
      <c r="T27" s="37"/>
      <c r="U27" s="48"/>
      <c r="V27" s="37"/>
      <c r="W27" s="37"/>
      <c r="X27" s="37"/>
    </row>
    <row r="28" spans="5:24" x14ac:dyDescent="0.35">
      <c r="E28" s="111"/>
      <c r="F28" s="37"/>
      <c r="G28" s="48"/>
      <c r="H28" s="37"/>
      <c r="I28" s="37"/>
      <c r="J28" s="37"/>
      <c r="L28" s="111"/>
      <c r="M28" s="37"/>
      <c r="N28" s="48"/>
      <c r="O28" s="37"/>
      <c r="P28" s="37"/>
      <c r="Q28" s="37"/>
      <c r="S28" s="111"/>
      <c r="T28" s="37"/>
      <c r="U28" s="48"/>
      <c r="V28" s="37"/>
      <c r="W28" s="37"/>
      <c r="X28" s="37"/>
    </row>
    <row r="29" spans="5:24" x14ac:dyDescent="0.35">
      <c r="E29" s="111"/>
      <c r="F29" s="37"/>
      <c r="G29" s="48"/>
      <c r="H29" s="37"/>
      <c r="I29" s="37"/>
      <c r="J29" s="37"/>
      <c r="L29" s="111"/>
      <c r="M29" s="37"/>
      <c r="N29" s="48"/>
      <c r="O29" s="37"/>
      <c r="P29" s="37"/>
      <c r="Q29" s="37"/>
      <c r="S29" s="111"/>
      <c r="T29" s="37"/>
      <c r="U29" s="48"/>
      <c r="V29" s="37"/>
      <c r="W29" s="37"/>
      <c r="X29" s="37"/>
    </row>
    <row r="30" spans="5:24" x14ac:dyDescent="0.35">
      <c r="E30" s="111"/>
      <c r="F30" s="37"/>
      <c r="G30" s="48"/>
      <c r="H30" s="37"/>
      <c r="I30" s="37"/>
      <c r="J30" s="37"/>
      <c r="L30" s="111"/>
      <c r="M30" s="37"/>
      <c r="N30" s="48"/>
      <c r="O30" s="37"/>
      <c r="P30" s="37"/>
      <c r="Q30" s="37"/>
      <c r="S30" s="111"/>
      <c r="T30" s="37"/>
      <c r="U30" s="48"/>
      <c r="V30" s="37"/>
      <c r="W30" s="37"/>
      <c r="X30" s="37"/>
    </row>
    <row r="31" spans="5:24" x14ac:dyDescent="0.35">
      <c r="E31" s="111"/>
      <c r="F31" s="37"/>
      <c r="G31" s="48"/>
      <c r="H31" s="37"/>
      <c r="I31" s="37"/>
      <c r="J31" s="37"/>
      <c r="L31" s="111"/>
      <c r="M31" s="37"/>
      <c r="N31" s="48"/>
      <c r="O31" s="37"/>
      <c r="P31" s="37"/>
      <c r="Q31" s="37"/>
      <c r="S31" s="111"/>
      <c r="T31" s="37"/>
      <c r="U31" s="48"/>
      <c r="V31" s="37"/>
      <c r="W31" s="37"/>
      <c r="X31" s="37"/>
    </row>
    <row r="32" spans="5:24" x14ac:dyDescent="0.35">
      <c r="E32" s="111"/>
      <c r="F32" s="37"/>
      <c r="G32" s="48"/>
      <c r="H32" s="37"/>
      <c r="I32" s="37"/>
      <c r="J32" s="37"/>
      <c r="L32" s="111"/>
      <c r="M32" s="37"/>
      <c r="N32" s="48"/>
      <c r="O32" s="37"/>
      <c r="P32" s="37"/>
      <c r="Q32" s="37"/>
      <c r="S32" s="111"/>
      <c r="T32" s="37"/>
      <c r="U32" s="48"/>
      <c r="V32" s="37"/>
      <c r="W32" s="37"/>
      <c r="X32" s="37"/>
    </row>
    <row r="33" spans="5:24" x14ac:dyDescent="0.35">
      <c r="E33" s="111"/>
      <c r="F33" s="37"/>
      <c r="G33" s="48"/>
      <c r="H33" s="37"/>
      <c r="I33" s="37"/>
      <c r="J33" s="37"/>
      <c r="L33" s="111"/>
      <c r="M33" s="37"/>
      <c r="N33" s="48"/>
      <c r="O33" s="37"/>
      <c r="P33" s="37"/>
      <c r="Q33" s="37"/>
      <c r="S33" s="111"/>
      <c r="T33" s="37"/>
      <c r="U33" s="48"/>
      <c r="V33" s="37"/>
      <c r="W33" s="37"/>
      <c r="X33" s="37"/>
    </row>
    <row r="34" spans="5:24" x14ac:dyDescent="0.35">
      <c r="E34" s="111"/>
      <c r="F34" s="37"/>
      <c r="G34" s="48"/>
      <c r="H34" s="37"/>
      <c r="I34" s="37"/>
      <c r="J34" s="37"/>
      <c r="L34" s="111"/>
      <c r="M34" s="37"/>
      <c r="N34" s="48"/>
      <c r="O34" s="37"/>
      <c r="P34" s="37"/>
      <c r="Q34" s="37"/>
      <c r="S34" s="111"/>
      <c r="T34" s="37"/>
      <c r="U34" s="48"/>
      <c r="V34" s="37"/>
      <c r="W34" s="37"/>
      <c r="X34" s="37"/>
    </row>
    <row r="35" spans="5:24" x14ac:dyDescent="0.35">
      <c r="E35" s="111"/>
      <c r="F35" s="37"/>
      <c r="G35" s="48"/>
      <c r="H35" s="37"/>
      <c r="I35" s="37"/>
      <c r="J35" s="37"/>
      <c r="L35" s="111"/>
      <c r="M35" s="37"/>
      <c r="N35" s="48"/>
      <c r="O35" s="37"/>
      <c r="P35" s="37"/>
      <c r="Q35" s="37"/>
      <c r="S35" s="111"/>
      <c r="T35" s="37"/>
      <c r="U35" s="48"/>
      <c r="V35" s="37"/>
      <c r="W35" s="37"/>
      <c r="X35" s="37"/>
    </row>
    <row r="36" spans="5:24" x14ac:dyDescent="0.35">
      <c r="E36" s="111"/>
      <c r="F36" s="37"/>
      <c r="G36" s="37"/>
      <c r="H36" s="37"/>
      <c r="I36" s="37"/>
      <c r="J36" s="37"/>
      <c r="L36" s="111"/>
      <c r="M36" s="37"/>
      <c r="N36" s="37"/>
      <c r="O36" s="37"/>
      <c r="P36" s="37"/>
      <c r="Q36" s="37"/>
      <c r="S36" s="111"/>
      <c r="T36" s="37"/>
      <c r="U36" s="37"/>
      <c r="V36" s="37"/>
      <c r="W36" s="37"/>
      <c r="X36" s="37"/>
    </row>
    <row r="37" spans="5:24" x14ac:dyDescent="0.35">
      <c r="E37" s="111"/>
      <c r="F37" s="37"/>
      <c r="G37" s="37"/>
      <c r="H37" s="37"/>
      <c r="I37" s="37"/>
      <c r="J37" s="37"/>
      <c r="L37" s="111"/>
      <c r="M37" s="37"/>
      <c r="N37" s="37"/>
      <c r="O37" s="37"/>
      <c r="P37" s="37"/>
      <c r="Q37" s="37"/>
      <c r="S37" s="111"/>
      <c r="T37" s="37"/>
      <c r="U37" s="37"/>
      <c r="V37" s="37"/>
      <c r="W37" s="37"/>
      <c r="X37" s="37"/>
    </row>
    <row r="38" spans="5:24" x14ac:dyDescent="0.35">
      <c r="E38" s="111"/>
      <c r="F38" s="37"/>
      <c r="G38" s="37"/>
      <c r="H38" s="37"/>
      <c r="I38" s="37"/>
      <c r="J38" s="37"/>
      <c r="L38" s="111"/>
      <c r="M38" s="37"/>
      <c r="N38" s="37"/>
      <c r="O38" s="37"/>
      <c r="P38" s="37"/>
      <c r="Q38" s="37"/>
      <c r="S38" s="111"/>
      <c r="T38" s="37"/>
      <c r="U38" s="37"/>
      <c r="V38" s="37"/>
      <c r="W38" s="37"/>
      <c r="X38" s="37"/>
    </row>
    <row r="39" spans="5:24" x14ac:dyDescent="0.35">
      <c r="E39" s="111"/>
      <c r="F39" s="37"/>
      <c r="G39" s="37"/>
      <c r="H39" s="37"/>
      <c r="I39" s="37"/>
      <c r="J39" s="37"/>
      <c r="L39" s="111"/>
      <c r="M39" s="37"/>
      <c r="N39" s="37"/>
      <c r="O39" s="37"/>
      <c r="P39" s="37"/>
      <c r="Q39" s="37"/>
      <c r="S39" s="111"/>
      <c r="T39" s="37"/>
      <c r="U39" s="37"/>
      <c r="V39" s="37"/>
      <c r="W39" s="37"/>
      <c r="X39" s="37"/>
    </row>
    <row r="40" spans="5:24" x14ac:dyDescent="0.35">
      <c r="E40" s="111"/>
      <c r="F40" s="37"/>
      <c r="G40" s="37"/>
      <c r="H40" s="37"/>
      <c r="I40" s="37"/>
      <c r="J40" s="37"/>
      <c r="L40" s="111"/>
      <c r="M40" s="37"/>
      <c r="N40" s="37"/>
      <c r="O40" s="37"/>
      <c r="P40" s="37"/>
      <c r="Q40" s="37"/>
      <c r="S40" s="111"/>
      <c r="T40" s="37"/>
      <c r="U40" s="37"/>
      <c r="V40" s="37"/>
      <c r="W40" s="37"/>
      <c r="X40" s="37"/>
    </row>
  </sheetData>
  <mergeCells count="6">
    <mergeCell ref="V4:X4"/>
    <mergeCell ref="E4:F4"/>
    <mergeCell ref="H4:J4"/>
    <mergeCell ref="L4:M4"/>
    <mergeCell ref="O4:Q4"/>
    <mergeCell ref="S4:T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C1569-5653-417D-8DB3-66A3077DAB20}">
  <sheetPr>
    <tabColor rgb="FFFFC000"/>
  </sheetPr>
  <dimension ref="B3:CB52"/>
  <sheetViews>
    <sheetView zoomScale="85" zoomScaleNormal="85" workbookViewId="0">
      <selection activeCell="C17" sqref="C17"/>
    </sheetView>
  </sheetViews>
  <sheetFormatPr baseColWidth="10" defaultColWidth="8.7265625" defaultRowHeight="14.5" x14ac:dyDescent="0.35"/>
  <cols>
    <col min="2" max="2" width="23.54296875" bestFit="1" customWidth="1"/>
    <col min="3" max="3" width="18.6328125" bestFit="1" customWidth="1"/>
    <col min="5" max="6" width="14.1796875" customWidth="1"/>
    <col min="7" max="7" width="17.26953125" customWidth="1"/>
    <col min="8" max="10" width="14.1796875" customWidth="1"/>
    <col min="12" max="13" width="17.1796875" customWidth="1"/>
    <col min="14" max="14" width="19.08984375" bestFit="1" customWidth="1"/>
    <col min="15" max="17" width="17.1796875" customWidth="1"/>
    <col min="19" max="19" width="14.08984375" customWidth="1"/>
    <col min="20" max="20" width="17.36328125" customWidth="1"/>
    <col min="21" max="21" width="19.08984375" bestFit="1" customWidth="1"/>
    <col min="22" max="24" width="14.7265625" customWidth="1"/>
    <col min="26" max="27" width="17.90625" customWidth="1"/>
    <col min="28" max="28" width="19.08984375" bestFit="1" customWidth="1"/>
    <col min="29" max="31" width="17.90625" customWidth="1"/>
    <col min="33" max="34" width="17.7265625" customWidth="1"/>
    <col min="35" max="35" width="19.08984375" bestFit="1" customWidth="1"/>
    <col min="36" max="38" width="17.7265625" customWidth="1"/>
    <col min="40" max="41" width="17.90625" customWidth="1"/>
    <col min="42" max="42" width="19.08984375" bestFit="1" customWidth="1"/>
    <col min="43" max="45" width="17.90625" customWidth="1"/>
    <col min="47" max="48" width="18.36328125" customWidth="1"/>
    <col min="49" max="49" width="19.08984375" bestFit="1" customWidth="1"/>
    <col min="50" max="52" width="18.36328125" customWidth="1"/>
    <col min="54" max="59" width="18.36328125" customWidth="1"/>
    <col min="61" max="62" width="18.54296875" customWidth="1"/>
    <col min="63" max="63" width="19.08984375" bestFit="1" customWidth="1"/>
    <col min="64" max="66" width="18.54296875" customWidth="1"/>
    <col min="68" max="69" width="18.453125" customWidth="1"/>
    <col min="70" max="70" width="19.08984375" bestFit="1" customWidth="1"/>
    <col min="71" max="73" width="18.453125" customWidth="1"/>
    <col min="75" max="76" width="18.1796875" customWidth="1"/>
    <col min="77" max="77" width="19.08984375" bestFit="1" customWidth="1"/>
    <col min="78" max="80" width="18.1796875" customWidth="1"/>
  </cols>
  <sheetData>
    <row r="3" spans="2:80" ht="18.5" x14ac:dyDescent="0.45">
      <c r="E3" s="183" t="s">
        <v>565</v>
      </c>
      <c r="F3" s="184"/>
      <c r="G3" s="109">
        <f>SUBTOTAL(9,G5:G10000)</f>
        <v>0</v>
      </c>
      <c r="H3" s="180" t="s">
        <v>455</v>
      </c>
      <c r="I3" s="181"/>
      <c r="J3" s="182"/>
      <c r="L3" s="183" t="s">
        <v>205</v>
      </c>
      <c r="M3" s="184"/>
      <c r="N3" s="109">
        <f>SUBTOTAL(9,N5:N10000)</f>
        <v>0</v>
      </c>
      <c r="O3" s="180" t="s">
        <v>455</v>
      </c>
      <c r="P3" s="181"/>
      <c r="Q3" s="182"/>
      <c r="S3" s="183" t="s">
        <v>441</v>
      </c>
      <c r="T3" s="184"/>
      <c r="U3" s="109">
        <f>SUBTOTAL(9,U5:U10000)</f>
        <v>0</v>
      </c>
      <c r="V3" s="180" t="s">
        <v>455</v>
      </c>
      <c r="W3" s="181"/>
      <c r="X3" s="182"/>
      <c r="Z3" s="183" t="s">
        <v>446</v>
      </c>
      <c r="AA3" s="184"/>
      <c r="AB3" s="109">
        <f>SUBTOTAL(9,AB5:AB10000)</f>
        <v>0</v>
      </c>
      <c r="AC3" s="180" t="s">
        <v>455</v>
      </c>
      <c r="AD3" s="181"/>
      <c r="AE3" s="182"/>
      <c r="AG3" s="183" t="s">
        <v>374</v>
      </c>
      <c r="AH3" s="184"/>
      <c r="AI3" s="109">
        <f>SUBTOTAL(9,AI5:AI10000)</f>
        <v>0</v>
      </c>
      <c r="AJ3" s="180" t="s">
        <v>455</v>
      </c>
      <c r="AK3" s="181"/>
      <c r="AL3" s="182"/>
      <c r="AN3" s="183" t="s">
        <v>443</v>
      </c>
      <c r="AO3" s="184"/>
      <c r="AP3" s="109">
        <f>SUBTOTAL(9,AP5:AP10000)</f>
        <v>0</v>
      </c>
      <c r="AQ3" s="180" t="s">
        <v>455</v>
      </c>
      <c r="AR3" s="181"/>
      <c r="AS3" s="182"/>
      <c r="AU3" s="183" t="s">
        <v>447</v>
      </c>
      <c r="AV3" s="184"/>
      <c r="AW3" s="109">
        <f>SUBTOTAL(9,AW5:AW10000)</f>
        <v>0</v>
      </c>
      <c r="AX3" s="180" t="s">
        <v>455</v>
      </c>
      <c r="AY3" s="181"/>
      <c r="AZ3" s="182"/>
      <c r="BB3" s="183" t="s">
        <v>282</v>
      </c>
      <c r="BC3" s="184"/>
      <c r="BD3" s="109">
        <f>SUBTOTAL(9,BD5:BD10000)</f>
        <v>0</v>
      </c>
      <c r="BE3" s="180" t="s">
        <v>455</v>
      </c>
      <c r="BF3" s="181"/>
      <c r="BG3" s="182"/>
      <c r="BI3" s="183" t="s">
        <v>439</v>
      </c>
      <c r="BJ3" s="184"/>
      <c r="BK3" s="109">
        <f>SUBTOTAL(9,BK5:BK10000)</f>
        <v>0</v>
      </c>
      <c r="BL3" s="180" t="s">
        <v>455</v>
      </c>
      <c r="BM3" s="181"/>
      <c r="BN3" s="182"/>
      <c r="BP3" s="183" t="s">
        <v>450</v>
      </c>
      <c r="BQ3" s="184"/>
      <c r="BR3" s="109">
        <f>SUBTOTAL(9,BR5:BR10000)</f>
        <v>0</v>
      </c>
      <c r="BS3" s="180" t="s">
        <v>455</v>
      </c>
      <c r="BT3" s="181"/>
      <c r="BU3" s="182"/>
      <c r="BW3" s="183" t="s">
        <v>445</v>
      </c>
      <c r="BX3" s="184"/>
      <c r="BY3" s="109">
        <f>SUBTOTAL(9,BY5:BY10000)</f>
        <v>0</v>
      </c>
      <c r="BZ3" s="180" t="s">
        <v>455</v>
      </c>
      <c r="CA3" s="181"/>
      <c r="CB3" s="182"/>
    </row>
    <row r="4" spans="2:80" x14ac:dyDescent="0.35">
      <c r="B4" s="112" t="s">
        <v>451</v>
      </c>
      <c r="C4" s="112" t="s">
        <v>453</v>
      </c>
      <c r="E4" s="110" t="s">
        <v>80</v>
      </c>
      <c r="F4" s="110" t="s">
        <v>2</v>
      </c>
      <c r="G4" s="110" t="s">
        <v>81</v>
      </c>
      <c r="H4" s="110" t="s">
        <v>82</v>
      </c>
      <c r="I4" s="110" t="s">
        <v>346</v>
      </c>
      <c r="J4" s="110" t="s">
        <v>429</v>
      </c>
      <c r="L4" s="110" t="s">
        <v>80</v>
      </c>
      <c r="M4" s="110" t="s">
        <v>2</v>
      </c>
      <c r="N4" s="110" t="s">
        <v>81</v>
      </c>
      <c r="O4" s="110" t="s">
        <v>82</v>
      </c>
      <c r="P4" s="110" t="s">
        <v>346</v>
      </c>
      <c r="Q4" s="110" t="s">
        <v>429</v>
      </c>
      <c r="S4" s="110" t="s">
        <v>80</v>
      </c>
      <c r="T4" s="110" t="s">
        <v>2</v>
      </c>
      <c r="U4" s="110" t="s">
        <v>81</v>
      </c>
      <c r="V4" s="110" t="s">
        <v>82</v>
      </c>
      <c r="W4" s="110" t="s">
        <v>346</v>
      </c>
      <c r="X4" s="110" t="s">
        <v>429</v>
      </c>
      <c r="Z4" s="110" t="s">
        <v>80</v>
      </c>
      <c r="AA4" s="110" t="s">
        <v>2</v>
      </c>
      <c r="AB4" s="110" t="s">
        <v>81</v>
      </c>
      <c r="AC4" s="110" t="s">
        <v>82</v>
      </c>
      <c r="AD4" s="110" t="s">
        <v>346</v>
      </c>
      <c r="AE4" s="110" t="s">
        <v>429</v>
      </c>
      <c r="AG4" s="110" t="s">
        <v>80</v>
      </c>
      <c r="AH4" s="110" t="s">
        <v>2</v>
      </c>
      <c r="AI4" s="110" t="s">
        <v>81</v>
      </c>
      <c r="AJ4" s="110" t="s">
        <v>82</v>
      </c>
      <c r="AK4" s="110" t="s">
        <v>346</v>
      </c>
      <c r="AL4" s="110" t="s">
        <v>429</v>
      </c>
      <c r="AN4" s="110" t="s">
        <v>80</v>
      </c>
      <c r="AO4" s="110" t="s">
        <v>2</v>
      </c>
      <c r="AP4" s="110" t="s">
        <v>81</v>
      </c>
      <c r="AQ4" s="110" t="s">
        <v>82</v>
      </c>
      <c r="AR4" s="110" t="s">
        <v>346</v>
      </c>
      <c r="AS4" s="110" t="s">
        <v>429</v>
      </c>
      <c r="AU4" s="110" t="s">
        <v>80</v>
      </c>
      <c r="AV4" s="110" t="s">
        <v>2</v>
      </c>
      <c r="AW4" s="110" t="s">
        <v>81</v>
      </c>
      <c r="AX4" s="110" t="s">
        <v>82</v>
      </c>
      <c r="AY4" s="110" t="s">
        <v>346</v>
      </c>
      <c r="AZ4" s="110" t="s">
        <v>429</v>
      </c>
      <c r="BB4" s="110" t="s">
        <v>80</v>
      </c>
      <c r="BC4" s="110" t="s">
        <v>2</v>
      </c>
      <c r="BD4" s="110" t="s">
        <v>81</v>
      </c>
      <c r="BE4" s="110" t="s">
        <v>82</v>
      </c>
      <c r="BF4" s="110" t="s">
        <v>346</v>
      </c>
      <c r="BG4" s="110" t="s">
        <v>429</v>
      </c>
      <c r="BI4" s="110" t="s">
        <v>80</v>
      </c>
      <c r="BJ4" s="110" t="s">
        <v>2</v>
      </c>
      <c r="BK4" s="110" t="s">
        <v>81</v>
      </c>
      <c r="BL4" s="110" t="s">
        <v>82</v>
      </c>
      <c r="BM4" s="110" t="s">
        <v>346</v>
      </c>
      <c r="BN4" s="110" t="s">
        <v>429</v>
      </c>
      <c r="BP4" s="110" t="s">
        <v>80</v>
      </c>
      <c r="BQ4" s="110" t="s">
        <v>2</v>
      </c>
      <c r="BR4" s="110" t="s">
        <v>81</v>
      </c>
      <c r="BS4" s="110" t="s">
        <v>82</v>
      </c>
      <c r="BT4" s="110" t="s">
        <v>346</v>
      </c>
      <c r="BU4" s="110" t="s">
        <v>429</v>
      </c>
      <c r="BW4" s="110" t="s">
        <v>80</v>
      </c>
      <c r="BX4" s="110" t="s">
        <v>2</v>
      </c>
      <c r="BY4" s="110" t="s">
        <v>81</v>
      </c>
      <c r="BZ4" s="110" t="s">
        <v>82</v>
      </c>
      <c r="CA4" s="110" t="s">
        <v>346</v>
      </c>
      <c r="CB4" s="110" t="s">
        <v>429</v>
      </c>
    </row>
    <row r="5" spans="2:80" x14ac:dyDescent="0.35">
      <c r="B5" s="37" t="s">
        <v>205</v>
      </c>
      <c r="C5" s="113">
        <f>N3</f>
        <v>0</v>
      </c>
      <c r="E5" s="111" t="e" cm="1" vm="1">
        <f t="array" aca="1" ref="E5" ca="1">_xlfn.CHOOSECOLS(_xlfn._xlws.FILTER(STATEMENT!A2:H10035,STATEMENT!H2:H10035="DGI"),1,2,4,6,7,8)</f>
        <v>#NAME?</v>
      </c>
      <c r="F5" s="37"/>
      <c r="G5" s="48"/>
      <c r="H5" s="37"/>
      <c r="I5" s="37"/>
      <c r="J5" s="37"/>
      <c r="L5" s="111" t="e" cm="1" vm="1">
        <f t="array" aca="1" ref="L5" ca="1">_xlfn.CHOOSECOLS(_xlfn._xlws.FILTER(STATEMENT!A2:H10035,STATEMENT!H2:H10035="PURCHASE OF PETROL"),1,2,4,6,7,8)</f>
        <v>#NAME?</v>
      </c>
      <c r="M5" s="37"/>
      <c r="N5" s="48"/>
      <c r="O5" s="37"/>
      <c r="P5" s="37"/>
      <c r="Q5" s="37"/>
      <c r="S5" s="111" t="e" cm="1" vm="1">
        <f t="array" aca="1" ref="S5" ca="1">_xlfn.CHOOSECOLS(_xlfn._xlws.FILTER(STATEMENT!A2:H10035,STATEMENT!H2:H10035="PURCHASE/ PP BAGS"),1,2,4,6,7,8)</f>
        <v>#NAME?</v>
      </c>
      <c r="T5" s="37"/>
      <c r="U5" s="48"/>
      <c r="V5" s="37"/>
      <c r="W5" s="37"/>
      <c r="X5" s="37"/>
      <c r="Z5" s="111" t="e" cm="1" vm="1">
        <f t="array" aca="1" ref="Z5" ca="1">_xlfn.CHOOSECOLS(_xlfn._xlws.FILTER(STATEMENT!A2:H10035,STATEMENT!H2:H10035="PURCHASE/ OTHERS"),1,2,4,6,7,8)</f>
        <v>#NAME?</v>
      </c>
      <c r="AA5" s="37"/>
      <c r="AB5" s="48"/>
      <c r="AC5" s="37"/>
      <c r="AD5" s="37"/>
      <c r="AE5" s="37"/>
      <c r="AG5" s="111" t="e" cm="1" vm="1">
        <f t="array" aca="1" ref="AG5" ca="1">_xlfn.CHOOSECOLS(_xlfn._xlws.FILTER(STATEMENT!A2:H10035,STATEMENT!H2:H10035="LABOUR WORK"),1,2,4,6,7,8)</f>
        <v>#NAME?</v>
      </c>
      <c r="AH5" s="37"/>
      <c r="AI5" s="48"/>
      <c r="AJ5" s="37"/>
      <c r="AK5" s="37"/>
      <c r="AL5" s="37"/>
      <c r="AN5" s="111" t="e" cm="1" vm="1">
        <f t="array" aca="1" ref="AN5" ca="1">_xlfn.CHOOSECOLS(_xlfn._xlws.FILTER(STATEMENT!A2:H10035,STATEMENT!H2:H10035="HOUSE RENT"),1,2,4,6,7,8)</f>
        <v>#NAME?</v>
      </c>
      <c r="AO5" s="37"/>
      <c r="AP5" s="48"/>
      <c r="AQ5" s="37"/>
      <c r="AR5" s="37"/>
      <c r="AS5" s="37"/>
      <c r="AU5" s="111" t="e" cm="1" vm="1">
        <f t="array" aca="1" ref="AU5" ca="1">_xlfn.CHOOSECOLS(_xlfn._xlws.FILTER(STATEMENT!A2:H10035,STATEMENT!H2:H10035="FACTORY CHARGES"),1,2,4,6,7,8)</f>
        <v>#NAME?</v>
      </c>
      <c r="AV5" s="37"/>
      <c r="AW5" s="48"/>
      <c r="AX5" s="37"/>
      <c r="AY5" s="37"/>
      <c r="AZ5" s="37"/>
      <c r="BB5" s="111" t="e" cm="1" vm="1">
        <f t="array" aca="1" ref="BB5" ca="1">_xlfn.CHOOSECOLS(_xlfn._xlws.FILTER(STATEMENT!A2:H10035,STATEMENT!H2:H10035="SALARY"),1,2,4,6,7,8)</f>
        <v>#NAME?</v>
      </c>
      <c r="BC5" s="37"/>
      <c r="BD5" s="48"/>
      <c r="BE5" s="37"/>
      <c r="BF5" s="37"/>
      <c r="BG5" s="37"/>
      <c r="BI5" s="111" t="e" cm="1" vm="1">
        <f t="array" aca="1" ref="BI5" ca="1">_xlfn.CHOOSECOLS(_xlfn._xlws.FILTER(STATEMENT!A2:H10035,STATEMENT!H2:H10035="TRANSPORT/COTTON SEED"),1,2,4,6,7,8)</f>
        <v>#NAME?</v>
      </c>
      <c r="BJ5" s="37"/>
      <c r="BK5" s="48"/>
      <c r="BL5" s="37"/>
      <c r="BM5" s="37"/>
      <c r="BN5" s="37"/>
      <c r="BP5" s="111" t="e" cm="1" vm="1">
        <f t="array" aca="1" ref="BP5" ca="1">_xlfn.CHOOSECOLS(_xlfn._xlws.FILTER(STATEMENT!A2:H10035,STATEMENT!H2:H10035="CONSTRUCTION"),1,2,4,6,7,8)</f>
        <v>#NAME?</v>
      </c>
      <c r="BQ5" s="37"/>
      <c r="BR5" s="48"/>
      <c r="BS5" s="37"/>
      <c r="BT5" s="37"/>
      <c r="BU5" s="37"/>
      <c r="BW5" s="111" t="e" cm="1" vm="1">
        <f t="array" aca="1" ref="BW5" ca="1">_xlfn.CHOOSECOLS(_xlfn._xlws.FILTER(STATEMENT!A2:H10035,STATEMENT!H2:H10035="SERVICES"),1,2,4,6,7,8)</f>
        <v>#NAME?</v>
      </c>
      <c r="BX5" s="37"/>
      <c r="BY5" s="48"/>
      <c r="BZ5" s="37"/>
      <c r="CA5" s="37"/>
      <c r="CB5" s="37"/>
    </row>
    <row r="6" spans="2:80" x14ac:dyDescent="0.35">
      <c r="B6" s="37" t="s">
        <v>441</v>
      </c>
      <c r="C6" s="113">
        <f>U3</f>
        <v>0</v>
      </c>
      <c r="E6" s="111"/>
      <c r="F6" s="37"/>
      <c r="G6" s="48"/>
      <c r="H6" s="37"/>
      <c r="I6" s="37"/>
      <c r="J6" s="37"/>
      <c r="L6" s="111"/>
      <c r="M6" s="37"/>
      <c r="N6" s="48"/>
      <c r="O6" s="37"/>
      <c r="P6" s="37"/>
      <c r="Q6" s="37"/>
      <c r="S6" s="111"/>
      <c r="T6" s="37"/>
      <c r="U6" s="48"/>
      <c r="V6" s="37"/>
      <c r="W6" s="37"/>
      <c r="X6" s="37"/>
      <c r="Z6" s="111"/>
      <c r="AA6" s="37"/>
      <c r="AB6" s="48"/>
      <c r="AC6" s="37"/>
      <c r="AD6" s="37"/>
      <c r="AE6" s="37"/>
      <c r="AG6" s="111"/>
      <c r="AH6" s="37"/>
      <c r="AI6" s="48"/>
      <c r="AJ6" s="37"/>
      <c r="AK6" s="37"/>
      <c r="AL6" s="37"/>
      <c r="AN6" s="111"/>
      <c r="AO6" s="37"/>
      <c r="AP6" s="48"/>
      <c r="AQ6" s="37"/>
      <c r="AR6" s="37"/>
      <c r="AS6" s="37"/>
      <c r="AU6" s="111"/>
      <c r="AV6" s="37"/>
      <c r="AW6" s="48"/>
      <c r="AX6" s="37"/>
      <c r="AY6" s="37"/>
      <c r="AZ6" s="37"/>
      <c r="BB6" s="111"/>
      <c r="BC6" s="37"/>
      <c r="BD6" s="48"/>
      <c r="BE6" s="37"/>
      <c r="BF6" s="37"/>
      <c r="BG6" s="37"/>
      <c r="BI6" s="111"/>
      <c r="BJ6" s="37"/>
      <c r="BK6" s="48"/>
      <c r="BL6" s="37"/>
      <c r="BM6" s="37"/>
      <c r="BN6" s="37"/>
      <c r="BP6" s="111"/>
      <c r="BQ6" s="37"/>
      <c r="BR6" s="48"/>
      <c r="BS6" s="37"/>
      <c r="BT6" s="37"/>
      <c r="BU6" s="37"/>
      <c r="BW6" s="111"/>
      <c r="BX6" s="37"/>
      <c r="BY6" s="48"/>
      <c r="BZ6" s="37"/>
      <c r="CA6" s="37"/>
      <c r="CB6" s="37"/>
    </row>
    <row r="7" spans="2:80" x14ac:dyDescent="0.35">
      <c r="B7" s="115" t="s">
        <v>446</v>
      </c>
      <c r="C7" s="113">
        <f>AB3</f>
        <v>0</v>
      </c>
      <c r="E7" s="111"/>
      <c r="F7" s="37"/>
      <c r="G7" s="48"/>
      <c r="H7" s="37"/>
      <c r="I7" s="37"/>
      <c r="J7" s="37"/>
      <c r="L7" s="111"/>
      <c r="M7" s="37"/>
      <c r="N7" s="48"/>
      <c r="O7" s="37"/>
      <c r="P7" s="37"/>
      <c r="Q7" s="37"/>
      <c r="S7" s="111"/>
      <c r="T7" s="37"/>
      <c r="U7" s="48"/>
      <c r="V7" s="37"/>
      <c r="W7" s="37"/>
      <c r="X7" s="37"/>
      <c r="Z7" s="111"/>
      <c r="AA7" s="37"/>
      <c r="AB7" s="48"/>
      <c r="AC7" s="37"/>
      <c r="AD7" s="37"/>
      <c r="AE7" s="37"/>
      <c r="AG7" s="111"/>
      <c r="AH7" s="37"/>
      <c r="AI7" s="48"/>
      <c r="AJ7" s="37"/>
      <c r="AK7" s="37"/>
      <c r="AL7" s="37"/>
      <c r="AN7" s="111"/>
      <c r="AO7" s="37"/>
      <c r="AP7" s="48"/>
      <c r="AQ7" s="37"/>
      <c r="AR7" s="37"/>
      <c r="AS7" s="37"/>
      <c r="AU7" s="111"/>
      <c r="AV7" s="37"/>
      <c r="AW7" s="48"/>
      <c r="AX7" s="37"/>
      <c r="AY7" s="37"/>
      <c r="AZ7" s="37"/>
      <c r="BB7" s="111"/>
      <c r="BC7" s="37"/>
      <c r="BD7" s="48"/>
      <c r="BE7" s="37"/>
      <c r="BF7" s="37"/>
      <c r="BG7" s="37"/>
      <c r="BI7" s="111"/>
      <c r="BJ7" s="37"/>
      <c r="BK7" s="48"/>
      <c r="BL7" s="37"/>
      <c r="BM7" s="37"/>
      <c r="BN7" s="37"/>
      <c r="BP7" s="111"/>
      <c r="BQ7" s="37"/>
      <c r="BR7" s="48"/>
      <c r="BS7" s="37"/>
      <c r="BT7" s="37"/>
      <c r="BU7" s="37"/>
      <c r="BW7" s="111"/>
      <c r="BX7" s="37"/>
      <c r="BY7" s="48"/>
      <c r="BZ7" s="37"/>
      <c r="CA7" s="37"/>
      <c r="CB7" s="37"/>
    </row>
    <row r="8" spans="2:80" x14ac:dyDescent="0.35">
      <c r="B8" s="37" t="s">
        <v>374</v>
      </c>
      <c r="C8" s="113">
        <f>AI3</f>
        <v>0</v>
      </c>
      <c r="E8" s="111"/>
      <c r="F8" s="37"/>
      <c r="G8" s="48"/>
      <c r="H8" s="37"/>
      <c r="I8" s="37"/>
      <c r="J8" s="37"/>
      <c r="L8" s="111"/>
      <c r="M8" s="37"/>
      <c r="N8" s="48"/>
      <c r="O8" s="37"/>
      <c r="P8" s="37"/>
      <c r="Q8" s="37"/>
      <c r="S8" s="111"/>
      <c r="T8" s="37"/>
      <c r="U8" s="48"/>
      <c r="V8" s="37"/>
      <c r="W8" s="37"/>
      <c r="X8" s="37"/>
      <c r="Z8" s="111"/>
      <c r="AA8" s="37"/>
      <c r="AB8" s="48"/>
      <c r="AC8" s="37"/>
      <c r="AD8" s="37"/>
      <c r="AE8" s="37"/>
      <c r="AG8" s="111"/>
      <c r="AH8" s="37"/>
      <c r="AI8" s="48"/>
      <c r="AJ8" s="37"/>
      <c r="AK8" s="37"/>
      <c r="AL8" s="37"/>
      <c r="AN8" s="111"/>
      <c r="AO8" s="37"/>
      <c r="AP8" s="48"/>
      <c r="AQ8" s="37"/>
      <c r="AR8" s="37"/>
      <c r="AS8" s="37"/>
      <c r="AU8" s="111"/>
      <c r="AV8" s="37"/>
      <c r="AW8" s="48"/>
      <c r="AX8" s="37"/>
      <c r="AY8" s="37"/>
      <c r="AZ8" s="37"/>
      <c r="BB8" s="111"/>
      <c r="BC8" s="37"/>
      <c r="BD8" s="48"/>
      <c r="BE8" s="37"/>
      <c r="BF8" s="37"/>
      <c r="BG8" s="37"/>
      <c r="BI8" s="111"/>
      <c r="BJ8" s="37"/>
      <c r="BK8" s="48"/>
      <c r="BL8" s="37"/>
      <c r="BM8" s="37"/>
      <c r="BN8" s="37"/>
      <c r="BP8" s="111"/>
      <c r="BQ8" s="37"/>
      <c r="BR8" s="48"/>
      <c r="BS8" s="37"/>
      <c r="BT8" s="37"/>
      <c r="BU8" s="37"/>
      <c r="BW8" s="111"/>
      <c r="BX8" s="37"/>
      <c r="BY8" s="48"/>
      <c r="BZ8" s="37"/>
      <c r="CA8" s="37"/>
      <c r="CB8" s="37"/>
    </row>
    <row r="9" spans="2:80" x14ac:dyDescent="0.35">
      <c r="B9" s="37" t="s">
        <v>443</v>
      </c>
      <c r="C9" s="113">
        <f>AP3</f>
        <v>0</v>
      </c>
      <c r="E9" s="111"/>
      <c r="F9" s="37"/>
      <c r="G9" s="48"/>
      <c r="H9" s="37"/>
      <c r="I9" s="37"/>
      <c r="J9" s="37"/>
      <c r="L9" s="111"/>
      <c r="M9" s="37"/>
      <c r="N9" s="48"/>
      <c r="O9" s="37"/>
      <c r="P9" s="37"/>
      <c r="Q9" s="37"/>
      <c r="S9" s="111"/>
      <c r="T9" s="37"/>
      <c r="U9" s="48"/>
      <c r="V9" s="37"/>
      <c r="W9" s="37"/>
      <c r="X9" s="37"/>
      <c r="Z9" s="111"/>
      <c r="AA9" s="37"/>
      <c r="AB9" s="48"/>
      <c r="AC9" s="37"/>
      <c r="AD9" s="37"/>
      <c r="AE9" s="37"/>
      <c r="AG9" s="111"/>
      <c r="AH9" s="37"/>
      <c r="AI9" s="48"/>
      <c r="AJ9" s="37"/>
      <c r="AK9" s="37"/>
      <c r="AL9" s="37"/>
      <c r="AN9" s="111"/>
      <c r="AO9" s="37"/>
      <c r="AP9" s="48"/>
      <c r="AQ9" s="37"/>
      <c r="AR9" s="37"/>
      <c r="AS9" s="37"/>
      <c r="AU9" s="111"/>
      <c r="AV9" s="37"/>
      <c r="AW9" s="48"/>
      <c r="AX9" s="37"/>
      <c r="AY9" s="37"/>
      <c r="AZ9" s="37"/>
      <c r="BB9" s="111"/>
      <c r="BC9" s="37"/>
      <c r="BD9" s="48"/>
      <c r="BE9" s="37"/>
      <c r="BF9" s="37"/>
      <c r="BG9" s="37"/>
      <c r="BI9" s="111"/>
      <c r="BJ9" s="37"/>
      <c r="BK9" s="48"/>
      <c r="BL9" s="37"/>
      <c r="BM9" s="37"/>
      <c r="BN9" s="37"/>
      <c r="BP9" s="111"/>
      <c r="BQ9" s="37"/>
      <c r="BR9" s="48"/>
      <c r="BS9" s="37"/>
      <c r="BT9" s="37"/>
      <c r="BU9" s="37"/>
      <c r="BW9" s="111"/>
      <c r="BX9" s="37"/>
      <c r="BY9" s="48"/>
      <c r="BZ9" s="37"/>
      <c r="CA9" s="37"/>
      <c r="CB9" s="37"/>
    </row>
    <row r="10" spans="2:80" x14ac:dyDescent="0.35">
      <c r="B10" s="37" t="s">
        <v>447</v>
      </c>
      <c r="C10" s="113">
        <f>AW3</f>
        <v>0</v>
      </c>
      <c r="E10" s="111"/>
      <c r="F10" s="37"/>
      <c r="G10" s="48"/>
      <c r="H10" s="37"/>
      <c r="I10" s="37"/>
      <c r="J10" s="37"/>
      <c r="L10" s="111"/>
      <c r="M10" s="37"/>
      <c r="N10" s="48"/>
      <c r="O10" s="37"/>
      <c r="P10" s="37"/>
      <c r="Q10" s="37"/>
      <c r="S10" s="111"/>
      <c r="T10" s="37"/>
      <c r="U10" s="48"/>
      <c r="V10" s="37"/>
      <c r="W10" s="37"/>
      <c r="X10" s="37"/>
      <c r="Z10" s="111"/>
      <c r="AA10" s="37"/>
      <c r="AB10" s="48"/>
      <c r="AC10" s="37"/>
      <c r="AD10" s="37"/>
      <c r="AE10" s="37"/>
      <c r="AG10" s="111"/>
      <c r="AH10" s="37"/>
      <c r="AI10" s="48"/>
      <c r="AJ10" s="37"/>
      <c r="AK10" s="37"/>
      <c r="AL10" s="37"/>
      <c r="AN10" s="111"/>
      <c r="AO10" s="37"/>
      <c r="AP10" s="48"/>
      <c r="AQ10" s="37"/>
      <c r="AR10" s="37"/>
      <c r="AS10" s="37"/>
      <c r="AU10" s="111"/>
      <c r="AV10" s="37"/>
      <c r="AW10" s="48"/>
      <c r="AX10" s="37"/>
      <c r="AY10" s="37"/>
      <c r="AZ10" s="37"/>
      <c r="BB10" s="111"/>
      <c r="BC10" s="37"/>
      <c r="BD10" s="48"/>
      <c r="BE10" s="37"/>
      <c r="BF10" s="37"/>
      <c r="BG10" s="37"/>
      <c r="BI10" s="111"/>
      <c r="BJ10" s="37"/>
      <c r="BK10" s="48"/>
      <c r="BL10" s="37"/>
      <c r="BM10" s="37"/>
      <c r="BN10" s="37"/>
      <c r="BP10" s="111"/>
      <c r="BQ10" s="37"/>
      <c r="BR10" s="48"/>
      <c r="BS10" s="37"/>
      <c r="BT10" s="37"/>
      <c r="BU10" s="37"/>
      <c r="BW10" s="111"/>
      <c r="BX10" s="37"/>
      <c r="BY10" s="48"/>
      <c r="BZ10" s="37"/>
      <c r="CA10" s="37"/>
      <c r="CB10" s="37"/>
    </row>
    <row r="11" spans="2:80" x14ac:dyDescent="0.35">
      <c r="B11" s="37" t="s">
        <v>282</v>
      </c>
      <c r="C11" s="113">
        <f>BD3</f>
        <v>0</v>
      </c>
      <c r="E11" s="111"/>
      <c r="F11" s="37"/>
      <c r="G11" s="48"/>
      <c r="H11" s="37"/>
      <c r="I11" s="37"/>
      <c r="J11" s="37"/>
      <c r="L11" s="111"/>
      <c r="M11" s="37"/>
      <c r="N11" s="48"/>
      <c r="O11" s="37"/>
      <c r="P11" s="37"/>
      <c r="Q11" s="37"/>
      <c r="S11" s="111"/>
      <c r="T11" s="37"/>
      <c r="U11" s="48"/>
      <c r="V11" s="37"/>
      <c r="W11" s="37"/>
      <c r="X11" s="37"/>
      <c r="Z11" s="111"/>
      <c r="AA11" s="37"/>
      <c r="AB11" s="48"/>
      <c r="AC11" s="37"/>
      <c r="AD11" s="37"/>
      <c r="AE11" s="37"/>
      <c r="AG11" s="111"/>
      <c r="AH11" s="37"/>
      <c r="AI11" s="48"/>
      <c r="AJ11" s="37"/>
      <c r="AK11" s="37"/>
      <c r="AL11" s="37"/>
      <c r="AN11" s="111"/>
      <c r="AO11" s="37"/>
      <c r="AP11" s="48"/>
      <c r="AQ11" s="37"/>
      <c r="AR11" s="37"/>
      <c r="AS11" s="37"/>
      <c r="AU11" s="111"/>
      <c r="AV11" s="37"/>
      <c r="AW11" s="48"/>
      <c r="AX11" s="37"/>
      <c r="AY11" s="37"/>
      <c r="AZ11" s="37"/>
      <c r="BB11" s="111"/>
      <c r="BC11" s="37"/>
      <c r="BD11" s="48"/>
      <c r="BE11" s="37"/>
      <c r="BF11" s="37"/>
      <c r="BG11" s="37"/>
      <c r="BI11" s="111"/>
      <c r="BJ11" s="37"/>
      <c r="BK11" s="48"/>
      <c r="BL11" s="37"/>
      <c r="BM11" s="37"/>
      <c r="BN11" s="37"/>
      <c r="BP11" s="111"/>
      <c r="BQ11" s="37"/>
      <c r="BR11" s="48"/>
      <c r="BS11" s="37"/>
      <c r="BT11" s="37"/>
      <c r="BU11" s="37"/>
      <c r="BW11" s="111"/>
      <c r="BX11" s="37"/>
      <c r="BY11" s="48"/>
      <c r="BZ11" s="37"/>
      <c r="CA11" s="37"/>
      <c r="CB11" s="37"/>
    </row>
    <row r="12" spans="2:80" x14ac:dyDescent="0.35">
      <c r="B12" s="115" t="s">
        <v>439</v>
      </c>
      <c r="C12" s="113">
        <f>BK3</f>
        <v>0</v>
      </c>
      <c r="E12" s="111"/>
      <c r="F12" s="37"/>
      <c r="G12" s="48"/>
      <c r="H12" s="37"/>
      <c r="I12" s="37"/>
      <c r="J12" s="37"/>
      <c r="L12" s="111"/>
      <c r="M12" s="37"/>
      <c r="N12" s="48"/>
      <c r="O12" s="37"/>
      <c r="P12" s="37"/>
      <c r="Q12" s="37"/>
      <c r="S12" s="111"/>
      <c r="T12" s="37"/>
      <c r="U12" s="48"/>
      <c r="V12" s="37"/>
      <c r="W12" s="37"/>
      <c r="X12" s="37"/>
      <c r="Z12" s="111"/>
      <c r="AA12" s="37"/>
      <c r="AB12" s="48"/>
      <c r="AC12" s="37"/>
      <c r="AD12" s="37"/>
      <c r="AE12" s="37"/>
      <c r="AG12" s="111"/>
      <c r="AH12" s="37"/>
      <c r="AI12" s="48"/>
      <c r="AJ12" s="37"/>
      <c r="AK12" s="37"/>
      <c r="AL12" s="37"/>
      <c r="AN12" s="111"/>
      <c r="AO12" s="37"/>
      <c r="AP12" s="48"/>
      <c r="AQ12" s="37"/>
      <c r="AR12" s="37"/>
      <c r="AS12" s="37"/>
      <c r="AU12" s="111"/>
      <c r="AV12" s="37"/>
      <c r="AW12" s="48"/>
      <c r="AX12" s="37"/>
      <c r="AY12" s="37"/>
      <c r="AZ12" s="37"/>
      <c r="BB12" s="111"/>
      <c r="BC12" s="37"/>
      <c r="BD12" s="48"/>
      <c r="BE12" s="37"/>
      <c r="BF12" s="37"/>
      <c r="BG12" s="37"/>
      <c r="BI12" s="111"/>
      <c r="BJ12" s="37"/>
      <c r="BK12" s="48"/>
      <c r="BL12" s="37"/>
      <c r="BM12" s="37"/>
      <c r="BN12" s="37"/>
      <c r="BP12" s="111"/>
      <c r="BQ12" s="37"/>
      <c r="BR12" s="48"/>
      <c r="BS12" s="37"/>
      <c r="BT12" s="37"/>
      <c r="BU12" s="37"/>
      <c r="BW12" s="111"/>
      <c r="BX12" s="37"/>
      <c r="BY12" s="48"/>
      <c r="BZ12" s="37"/>
      <c r="CA12" s="37"/>
      <c r="CB12" s="37"/>
    </row>
    <row r="13" spans="2:80" x14ac:dyDescent="0.35">
      <c r="B13" s="37" t="s">
        <v>450</v>
      </c>
      <c r="C13" s="113">
        <f>BR3</f>
        <v>0</v>
      </c>
      <c r="E13" s="111"/>
      <c r="F13" s="37"/>
      <c r="G13" s="48"/>
      <c r="H13" s="37"/>
      <c r="I13" s="37"/>
      <c r="J13" s="37"/>
      <c r="L13" s="111"/>
      <c r="M13" s="37"/>
      <c r="N13" s="48"/>
      <c r="O13" s="37"/>
      <c r="P13" s="37"/>
      <c r="Q13" s="37"/>
      <c r="S13" s="111"/>
      <c r="T13" s="37"/>
      <c r="U13" s="48"/>
      <c r="V13" s="37"/>
      <c r="W13" s="37"/>
      <c r="X13" s="37"/>
      <c r="Z13" s="111"/>
      <c r="AA13" s="37"/>
      <c r="AB13" s="48"/>
      <c r="AC13" s="37"/>
      <c r="AD13" s="37"/>
      <c r="AE13" s="37"/>
      <c r="AG13" s="111"/>
      <c r="AH13" s="37"/>
      <c r="AI13" s="48"/>
      <c r="AJ13" s="37"/>
      <c r="AK13" s="37"/>
      <c r="AL13" s="37"/>
      <c r="AN13" s="111"/>
      <c r="AO13" s="37"/>
      <c r="AP13" s="48"/>
      <c r="AQ13" s="37"/>
      <c r="AR13" s="37"/>
      <c r="AS13" s="37"/>
      <c r="AU13" s="111"/>
      <c r="AV13" s="37"/>
      <c r="AW13" s="48"/>
      <c r="AX13" s="37"/>
      <c r="AY13" s="37"/>
      <c r="AZ13" s="37"/>
      <c r="BB13" s="111"/>
      <c r="BC13" s="37"/>
      <c r="BD13" s="48"/>
      <c r="BE13" s="37"/>
      <c r="BF13" s="37"/>
      <c r="BG13" s="37"/>
      <c r="BI13" s="111"/>
      <c r="BJ13" s="37"/>
      <c r="BK13" s="48"/>
      <c r="BL13" s="37"/>
      <c r="BM13" s="37"/>
      <c r="BN13" s="37"/>
      <c r="BP13" s="111"/>
      <c r="BQ13" s="37"/>
      <c r="BR13" s="48"/>
      <c r="BS13" s="37"/>
      <c r="BT13" s="37"/>
      <c r="BU13" s="37"/>
      <c r="BW13" s="111"/>
      <c r="BX13" s="37"/>
      <c r="BY13" s="48"/>
      <c r="BZ13" s="37"/>
      <c r="CA13" s="37"/>
      <c r="CB13" s="37"/>
    </row>
    <row r="14" spans="2:80" x14ac:dyDescent="0.35">
      <c r="B14" s="37" t="s">
        <v>445</v>
      </c>
      <c r="C14" s="113">
        <f>BY3</f>
        <v>0</v>
      </c>
      <c r="E14" s="111"/>
      <c r="F14" s="37"/>
      <c r="G14" s="48"/>
      <c r="H14" s="37"/>
      <c r="I14" s="37"/>
      <c r="J14" s="37"/>
      <c r="L14" s="111"/>
      <c r="M14" s="37"/>
      <c r="N14" s="48"/>
      <c r="O14" s="37"/>
      <c r="P14" s="37"/>
      <c r="Q14" s="37"/>
      <c r="S14" s="111"/>
      <c r="T14" s="37"/>
      <c r="U14" s="48"/>
      <c r="V14" s="37"/>
      <c r="W14" s="37"/>
      <c r="X14" s="37"/>
      <c r="Z14" s="111"/>
      <c r="AA14" s="37"/>
      <c r="AB14" s="48"/>
      <c r="AC14" s="37"/>
      <c r="AD14" s="37"/>
      <c r="AE14" s="37"/>
      <c r="AG14" s="111"/>
      <c r="AH14" s="37"/>
      <c r="AI14" s="48"/>
      <c r="AJ14" s="37"/>
      <c r="AK14" s="37"/>
      <c r="AL14" s="37"/>
      <c r="AN14" s="111"/>
      <c r="AO14" s="37"/>
      <c r="AP14" s="48"/>
      <c r="AQ14" s="37"/>
      <c r="AR14" s="37"/>
      <c r="AS14" s="37"/>
      <c r="AU14" s="111"/>
      <c r="AV14" s="37"/>
      <c r="AW14" s="48"/>
      <c r="AX14" s="37"/>
      <c r="AY14" s="37"/>
      <c r="AZ14" s="37"/>
      <c r="BB14" s="111"/>
      <c r="BC14" s="37"/>
      <c r="BD14" s="48"/>
      <c r="BE14" s="37"/>
      <c r="BF14" s="37"/>
      <c r="BG14" s="37"/>
      <c r="BI14" s="111"/>
      <c r="BJ14" s="37"/>
      <c r="BK14" s="48"/>
      <c r="BL14" s="37"/>
      <c r="BM14" s="37"/>
      <c r="BN14" s="37"/>
      <c r="BP14" s="111"/>
      <c r="BQ14" s="37"/>
      <c r="BR14" s="48"/>
      <c r="BS14" s="37"/>
      <c r="BT14" s="37"/>
      <c r="BU14" s="37"/>
      <c r="BW14" s="111"/>
      <c r="BX14" s="37"/>
      <c r="BY14" s="48"/>
      <c r="BZ14" s="37"/>
      <c r="CA14" s="37"/>
      <c r="CB14" s="37"/>
    </row>
    <row r="15" spans="2:80" x14ac:dyDescent="0.35">
      <c r="B15" s="37" t="s">
        <v>565</v>
      </c>
      <c r="C15" s="113">
        <f>G3</f>
        <v>0</v>
      </c>
      <c r="E15" s="111"/>
      <c r="F15" s="37"/>
      <c r="G15" s="48"/>
      <c r="H15" s="37"/>
      <c r="I15" s="37"/>
      <c r="J15" s="37"/>
      <c r="L15" s="111"/>
      <c r="M15" s="37"/>
      <c r="N15" s="48"/>
      <c r="O15" s="37"/>
      <c r="P15" s="37"/>
      <c r="Q15" s="37"/>
      <c r="S15" s="111"/>
      <c r="T15" s="37"/>
      <c r="U15" s="48"/>
      <c r="V15" s="37"/>
      <c r="W15" s="37"/>
      <c r="X15" s="37"/>
      <c r="Z15" s="111"/>
      <c r="AA15" s="37"/>
      <c r="AB15" s="48"/>
      <c r="AC15" s="37"/>
      <c r="AD15" s="37"/>
      <c r="AE15" s="37"/>
      <c r="AG15" s="111"/>
      <c r="AH15" s="37"/>
      <c r="AI15" s="48"/>
      <c r="AJ15" s="37"/>
      <c r="AK15" s="37"/>
      <c r="AL15" s="37"/>
      <c r="AN15" s="111"/>
      <c r="AO15" s="37"/>
      <c r="AP15" s="48"/>
      <c r="AQ15" s="37"/>
      <c r="AR15" s="37"/>
      <c r="AS15" s="37"/>
      <c r="AU15" s="111"/>
      <c r="AV15" s="37"/>
      <c r="AW15" s="48"/>
      <c r="AX15" s="37"/>
      <c r="AY15" s="37"/>
      <c r="AZ15" s="37"/>
      <c r="BB15" s="111"/>
      <c r="BC15" s="37"/>
      <c r="BD15" s="48"/>
      <c r="BE15" s="37"/>
      <c r="BF15" s="37"/>
      <c r="BG15" s="37"/>
      <c r="BI15" s="111"/>
      <c r="BJ15" s="37"/>
      <c r="BK15" s="48"/>
      <c r="BL15" s="37"/>
      <c r="BM15" s="37"/>
      <c r="BN15" s="37"/>
      <c r="BP15" s="111"/>
      <c r="BQ15" s="37"/>
      <c r="BR15" s="48"/>
      <c r="BS15" s="37"/>
      <c r="BT15" s="37"/>
      <c r="BU15" s="37"/>
      <c r="BW15" s="111"/>
      <c r="BX15" s="37"/>
      <c r="BY15" s="48"/>
      <c r="BZ15" s="37"/>
      <c r="CA15" s="37"/>
      <c r="CB15" s="37"/>
    </row>
    <row r="16" spans="2:80" x14ac:dyDescent="0.35">
      <c r="B16" s="61" t="s">
        <v>454</v>
      </c>
      <c r="C16" s="114">
        <f>SUM(C5:C15)</f>
        <v>0</v>
      </c>
      <c r="E16" s="111"/>
      <c r="F16" s="37"/>
      <c r="G16" s="48"/>
      <c r="H16" s="37"/>
      <c r="I16" s="37"/>
      <c r="J16" s="37"/>
      <c r="L16" s="111"/>
      <c r="M16" s="37"/>
      <c r="N16" s="48"/>
      <c r="O16" s="37"/>
      <c r="P16" s="37"/>
      <c r="Q16" s="37"/>
      <c r="S16" s="111"/>
      <c r="T16" s="37"/>
      <c r="U16" s="48"/>
      <c r="V16" s="37"/>
      <c r="W16" s="37"/>
      <c r="X16" s="37"/>
      <c r="Z16" s="111"/>
      <c r="AA16" s="37"/>
      <c r="AB16" s="48"/>
      <c r="AC16" s="37"/>
      <c r="AD16" s="37"/>
      <c r="AE16" s="37"/>
      <c r="AG16" s="111"/>
      <c r="AH16" s="37"/>
      <c r="AI16" s="48"/>
      <c r="AJ16" s="37"/>
      <c r="AK16" s="37"/>
      <c r="AL16" s="37"/>
      <c r="AN16" s="111"/>
      <c r="AO16" s="37"/>
      <c r="AP16" s="48"/>
      <c r="AQ16" s="37"/>
      <c r="AR16" s="37"/>
      <c r="AS16" s="37"/>
      <c r="AU16" s="111"/>
      <c r="AV16" s="37"/>
      <c r="AW16" s="48"/>
      <c r="AX16" s="37"/>
      <c r="AY16" s="37"/>
      <c r="AZ16" s="37"/>
      <c r="BB16" s="111"/>
      <c r="BC16" s="37"/>
      <c r="BD16" s="48"/>
      <c r="BE16" s="37"/>
      <c r="BF16" s="37"/>
      <c r="BG16" s="37"/>
      <c r="BI16" s="111"/>
      <c r="BJ16" s="37"/>
      <c r="BK16" s="48"/>
      <c r="BL16" s="37"/>
      <c r="BM16" s="37"/>
      <c r="BN16" s="37"/>
      <c r="BP16" s="111"/>
      <c r="BQ16" s="37"/>
      <c r="BR16" s="48"/>
      <c r="BS16" s="37"/>
      <c r="BT16" s="37"/>
      <c r="BU16" s="37"/>
      <c r="BW16" s="111"/>
      <c r="BX16" s="37"/>
      <c r="BY16" s="48"/>
      <c r="BZ16" s="37"/>
      <c r="CA16" s="37"/>
      <c r="CB16" s="37"/>
    </row>
    <row r="17" spans="5:80" x14ac:dyDescent="0.35">
      <c r="E17" s="111"/>
      <c r="F17" s="37"/>
      <c r="G17" s="48"/>
      <c r="H17" s="37"/>
      <c r="I17" s="37"/>
      <c r="J17" s="37"/>
      <c r="L17" s="111"/>
      <c r="M17" s="37"/>
      <c r="N17" s="48"/>
      <c r="O17" s="37"/>
      <c r="P17" s="37"/>
      <c r="Q17" s="37"/>
      <c r="S17" s="111"/>
      <c r="T17" s="37"/>
      <c r="U17" s="48"/>
      <c r="V17" s="37"/>
      <c r="W17" s="37"/>
      <c r="X17" s="37"/>
      <c r="Z17" s="111"/>
      <c r="AA17" s="37"/>
      <c r="AB17" s="48"/>
      <c r="AC17" s="37"/>
      <c r="AD17" s="37"/>
      <c r="AE17" s="37"/>
      <c r="AG17" s="111"/>
      <c r="AH17" s="37"/>
      <c r="AI17" s="48"/>
      <c r="AJ17" s="37"/>
      <c r="AK17" s="37"/>
      <c r="AL17" s="37"/>
      <c r="AN17" s="111"/>
      <c r="AO17" s="37"/>
      <c r="AP17" s="48"/>
      <c r="AQ17" s="37"/>
      <c r="AR17" s="37"/>
      <c r="AS17" s="37"/>
      <c r="AU17" s="111"/>
      <c r="AV17" s="37"/>
      <c r="AW17" s="48"/>
      <c r="AX17" s="37"/>
      <c r="AY17" s="37"/>
      <c r="AZ17" s="37"/>
      <c r="BB17" s="111"/>
      <c r="BC17" s="37"/>
      <c r="BD17" s="48"/>
      <c r="BE17" s="37"/>
      <c r="BF17" s="37"/>
      <c r="BG17" s="37"/>
      <c r="BI17" s="111"/>
      <c r="BJ17" s="37"/>
      <c r="BK17" s="48"/>
      <c r="BL17" s="37"/>
      <c r="BM17" s="37"/>
      <c r="BN17" s="37"/>
      <c r="BP17" s="111"/>
      <c r="BQ17" s="37"/>
      <c r="BR17" s="48"/>
      <c r="BS17" s="37"/>
      <c r="BT17" s="37"/>
      <c r="BU17" s="37"/>
      <c r="BW17" s="111"/>
      <c r="BX17" s="37"/>
      <c r="BY17" s="48"/>
      <c r="BZ17" s="37"/>
      <c r="CA17" s="37"/>
      <c r="CB17" s="37"/>
    </row>
    <row r="18" spans="5:80" x14ac:dyDescent="0.35">
      <c r="E18" s="111"/>
      <c r="F18" s="37"/>
      <c r="G18" s="48"/>
      <c r="H18" s="37"/>
      <c r="I18" s="37"/>
      <c r="J18" s="37"/>
      <c r="L18" s="111"/>
      <c r="M18" s="37"/>
      <c r="N18" s="48"/>
      <c r="O18" s="37"/>
      <c r="P18" s="37"/>
      <c r="Q18" s="37"/>
      <c r="S18" s="111"/>
      <c r="T18" s="37"/>
      <c r="U18" s="48"/>
      <c r="V18" s="37"/>
      <c r="W18" s="37"/>
      <c r="X18" s="37"/>
      <c r="Z18" s="111"/>
      <c r="AA18" s="37"/>
      <c r="AB18" s="48"/>
      <c r="AC18" s="37"/>
      <c r="AD18" s="37"/>
      <c r="AE18" s="37"/>
      <c r="AG18" s="111"/>
      <c r="AH18" s="37"/>
      <c r="AI18" s="48"/>
      <c r="AJ18" s="37"/>
      <c r="AK18" s="37"/>
      <c r="AL18" s="37"/>
      <c r="AN18" s="111"/>
      <c r="AO18" s="37"/>
      <c r="AP18" s="48"/>
      <c r="AQ18" s="37"/>
      <c r="AR18" s="37"/>
      <c r="AS18" s="37"/>
      <c r="AU18" s="111"/>
      <c r="AV18" s="37"/>
      <c r="AW18" s="48"/>
      <c r="AX18" s="37"/>
      <c r="AY18" s="37"/>
      <c r="AZ18" s="37"/>
      <c r="BB18" s="111"/>
      <c r="BC18" s="37"/>
      <c r="BD18" s="48"/>
      <c r="BE18" s="37"/>
      <c r="BF18" s="37"/>
      <c r="BG18" s="37"/>
      <c r="BI18" s="111"/>
      <c r="BJ18" s="37"/>
      <c r="BK18" s="48"/>
      <c r="BL18" s="37"/>
      <c r="BM18" s="37"/>
      <c r="BN18" s="37"/>
      <c r="BP18" s="111"/>
      <c r="BQ18" s="37"/>
      <c r="BR18" s="48"/>
      <c r="BS18" s="37"/>
      <c r="BT18" s="37"/>
      <c r="BU18" s="37"/>
      <c r="BW18" s="111"/>
      <c r="BX18" s="37"/>
      <c r="BY18" s="48"/>
      <c r="BZ18" s="37"/>
      <c r="CA18" s="37"/>
      <c r="CB18" s="37"/>
    </row>
    <row r="19" spans="5:80" x14ac:dyDescent="0.35">
      <c r="E19" s="111"/>
      <c r="F19" s="37"/>
      <c r="G19" s="48"/>
      <c r="H19" s="37"/>
      <c r="I19" s="37"/>
      <c r="J19" s="37"/>
      <c r="L19" s="111"/>
      <c r="M19" s="37"/>
      <c r="N19" s="48"/>
      <c r="O19" s="37"/>
      <c r="P19" s="37"/>
      <c r="Q19" s="37"/>
      <c r="S19" s="111"/>
      <c r="T19" s="37"/>
      <c r="U19" s="48"/>
      <c r="V19" s="37"/>
      <c r="W19" s="37"/>
      <c r="X19" s="37"/>
      <c r="Z19" s="111"/>
      <c r="AA19" s="37"/>
      <c r="AB19" s="48"/>
      <c r="AC19" s="37"/>
      <c r="AD19" s="37"/>
      <c r="AE19" s="37"/>
      <c r="AG19" s="111"/>
      <c r="AH19" s="37"/>
      <c r="AI19" s="48"/>
      <c r="AJ19" s="37"/>
      <c r="AK19" s="37"/>
      <c r="AL19" s="37"/>
      <c r="AN19" s="111"/>
      <c r="AO19" s="37"/>
      <c r="AP19" s="48"/>
      <c r="AQ19" s="37"/>
      <c r="AR19" s="37"/>
      <c r="AS19" s="37"/>
      <c r="AU19" s="111"/>
      <c r="AV19" s="37"/>
      <c r="AW19" s="48"/>
      <c r="AX19" s="37"/>
      <c r="AY19" s="37"/>
      <c r="AZ19" s="37"/>
      <c r="BB19" s="111"/>
      <c r="BC19" s="37"/>
      <c r="BD19" s="48"/>
      <c r="BE19" s="37"/>
      <c r="BF19" s="37"/>
      <c r="BG19" s="37"/>
      <c r="BI19" s="111"/>
      <c r="BJ19" s="37"/>
      <c r="BK19" s="48"/>
      <c r="BL19" s="37"/>
      <c r="BM19" s="37"/>
      <c r="BN19" s="37"/>
      <c r="BP19" s="111"/>
      <c r="BQ19" s="37"/>
      <c r="BR19" s="48"/>
      <c r="BS19" s="37"/>
      <c r="BT19" s="37"/>
      <c r="BU19" s="37"/>
      <c r="BW19" s="111"/>
      <c r="BX19" s="37"/>
      <c r="BY19" s="48"/>
      <c r="BZ19" s="37"/>
      <c r="CA19" s="37"/>
      <c r="CB19" s="37"/>
    </row>
    <row r="20" spans="5:80" x14ac:dyDescent="0.35">
      <c r="E20" s="111"/>
      <c r="F20" s="37"/>
      <c r="G20" s="48"/>
      <c r="H20" s="37"/>
      <c r="I20" s="37"/>
      <c r="J20" s="37"/>
      <c r="L20" s="111"/>
      <c r="M20" s="37"/>
      <c r="N20" s="48"/>
      <c r="O20" s="37"/>
      <c r="P20" s="37"/>
      <c r="Q20" s="37"/>
      <c r="S20" s="111"/>
      <c r="T20" s="37"/>
      <c r="U20" s="48"/>
      <c r="V20" s="37"/>
      <c r="W20" s="37"/>
      <c r="X20" s="37"/>
      <c r="Z20" s="111"/>
      <c r="AA20" s="37"/>
      <c r="AB20" s="48"/>
      <c r="AC20" s="37"/>
      <c r="AD20" s="37"/>
      <c r="AE20" s="37"/>
      <c r="AG20" s="111"/>
      <c r="AH20" s="37"/>
      <c r="AI20" s="48"/>
      <c r="AJ20" s="37"/>
      <c r="AK20" s="37"/>
      <c r="AL20" s="37"/>
      <c r="AN20" s="111"/>
      <c r="AO20" s="37"/>
      <c r="AP20" s="48"/>
      <c r="AQ20" s="37"/>
      <c r="AR20" s="37"/>
      <c r="AS20" s="37"/>
      <c r="AU20" s="111"/>
      <c r="AV20" s="37"/>
      <c r="AW20" s="48"/>
      <c r="AX20" s="37"/>
      <c r="AY20" s="37"/>
      <c r="AZ20" s="37"/>
      <c r="BB20" s="111"/>
      <c r="BC20" s="37"/>
      <c r="BD20" s="48"/>
      <c r="BE20" s="37"/>
      <c r="BF20" s="37"/>
      <c r="BG20" s="37"/>
      <c r="BI20" s="111"/>
      <c r="BJ20" s="37"/>
      <c r="BK20" s="48"/>
      <c r="BL20" s="37"/>
      <c r="BM20" s="37"/>
      <c r="BN20" s="37"/>
      <c r="BP20" s="111"/>
      <c r="BQ20" s="37"/>
      <c r="BR20" s="48"/>
      <c r="BS20" s="37"/>
      <c r="BT20" s="37"/>
      <c r="BU20" s="37"/>
      <c r="BW20" s="111"/>
      <c r="BX20" s="37"/>
      <c r="BY20" s="48"/>
      <c r="BZ20" s="37"/>
      <c r="CA20" s="37"/>
      <c r="CB20" s="37"/>
    </row>
    <row r="21" spans="5:80" x14ac:dyDescent="0.35">
      <c r="E21" s="111"/>
      <c r="F21" s="37"/>
      <c r="G21" s="48"/>
      <c r="H21" s="37"/>
      <c r="I21" s="37"/>
      <c r="J21" s="37"/>
      <c r="L21" s="111"/>
      <c r="M21" s="37"/>
      <c r="N21" s="48"/>
      <c r="O21" s="37"/>
      <c r="P21" s="37"/>
      <c r="Q21" s="37"/>
      <c r="S21" s="111"/>
      <c r="T21" s="37"/>
      <c r="U21" s="48"/>
      <c r="V21" s="37"/>
      <c r="W21" s="37"/>
      <c r="X21" s="37"/>
      <c r="Z21" s="111"/>
      <c r="AA21" s="37"/>
      <c r="AB21" s="48"/>
      <c r="AC21" s="37"/>
      <c r="AD21" s="37"/>
      <c r="AE21" s="37"/>
      <c r="AG21" s="111"/>
      <c r="AH21" s="37"/>
      <c r="AI21" s="48"/>
      <c r="AJ21" s="37"/>
      <c r="AK21" s="37"/>
      <c r="AL21" s="37"/>
      <c r="AN21" s="111"/>
      <c r="AO21" s="37"/>
      <c r="AP21" s="48"/>
      <c r="AQ21" s="37"/>
      <c r="AR21" s="37"/>
      <c r="AS21" s="37"/>
      <c r="AU21" s="111"/>
      <c r="AV21" s="37"/>
      <c r="AW21" s="48"/>
      <c r="AX21" s="37"/>
      <c r="AY21" s="37"/>
      <c r="AZ21" s="37"/>
      <c r="BB21" s="111"/>
      <c r="BC21" s="37"/>
      <c r="BD21" s="48"/>
      <c r="BE21" s="37"/>
      <c r="BF21" s="37"/>
      <c r="BG21" s="37"/>
      <c r="BI21" s="111"/>
      <c r="BJ21" s="37"/>
      <c r="BK21" s="48"/>
      <c r="BL21" s="37"/>
      <c r="BM21" s="37"/>
      <c r="BN21" s="37"/>
      <c r="BP21" s="111"/>
      <c r="BQ21" s="37"/>
      <c r="BR21" s="48"/>
      <c r="BS21" s="37"/>
      <c r="BT21" s="37"/>
      <c r="BU21" s="37"/>
      <c r="BW21" s="111"/>
      <c r="BX21" s="37"/>
      <c r="BY21" s="48"/>
      <c r="BZ21" s="37"/>
      <c r="CA21" s="37"/>
      <c r="CB21" s="37"/>
    </row>
    <row r="22" spans="5:80" x14ac:dyDescent="0.35">
      <c r="E22" s="111"/>
      <c r="F22" s="37"/>
      <c r="G22" s="48"/>
      <c r="H22" s="37"/>
      <c r="I22" s="37"/>
      <c r="J22" s="37"/>
      <c r="L22" s="111"/>
      <c r="M22" s="37"/>
      <c r="N22" s="48"/>
      <c r="O22" s="37"/>
      <c r="P22" s="37"/>
      <c r="Q22" s="37"/>
      <c r="S22" s="111"/>
      <c r="T22" s="37"/>
      <c r="U22" s="48"/>
      <c r="V22" s="37"/>
      <c r="W22" s="37"/>
      <c r="X22" s="37"/>
      <c r="Z22" s="111"/>
      <c r="AA22" s="37"/>
      <c r="AB22" s="48"/>
      <c r="AC22" s="37"/>
      <c r="AD22" s="37"/>
      <c r="AE22" s="37"/>
      <c r="AG22" s="111"/>
      <c r="AH22" s="37"/>
      <c r="AI22" s="48"/>
      <c r="AJ22" s="37"/>
      <c r="AK22" s="37"/>
      <c r="AL22" s="37"/>
      <c r="AN22" s="111"/>
      <c r="AO22" s="37"/>
      <c r="AP22" s="48"/>
      <c r="AQ22" s="37"/>
      <c r="AR22" s="37"/>
      <c r="AS22" s="37"/>
      <c r="AU22" s="111"/>
      <c r="AV22" s="37"/>
      <c r="AW22" s="48"/>
      <c r="AX22" s="37"/>
      <c r="AY22" s="37"/>
      <c r="AZ22" s="37"/>
      <c r="BB22" s="111"/>
      <c r="BC22" s="37"/>
      <c r="BD22" s="48"/>
      <c r="BE22" s="37"/>
      <c r="BF22" s="37"/>
      <c r="BG22" s="37"/>
      <c r="BI22" s="111"/>
      <c r="BJ22" s="37"/>
      <c r="BK22" s="48"/>
      <c r="BL22" s="37"/>
      <c r="BM22" s="37"/>
      <c r="BN22" s="37"/>
      <c r="BP22" s="111"/>
      <c r="BQ22" s="37"/>
      <c r="BR22" s="48"/>
      <c r="BS22" s="37"/>
      <c r="BT22" s="37"/>
      <c r="BU22" s="37"/>
      <c r="BW22" s="111"/>
      <c r="BX22" s="37"/>
      <c r="BY22" s="48"/>
      <c r="BZ22" s="37"/>
      <c r="CA22" s="37"/>
      <c r="CB22" s="37"/>
    </row>
    <row r="23" spans="5:80" x14ac:dyDescent="0.35">
      <c r="E23" s="111"/>
      <c r="F23" s="37"/>
      <c r="G23" s="48"/>
      <c r="H23" s="37"/>
      <c r="I23" s="37"/>
      <c r="J23" s="37"/>
      <c r="L23" s="111"/>
      <c r="M23" s="37"/>
      <c r="N23" s="48"/>
      <c r="O23" s="37"/>
      <c r="P23" s="37"/>
      <c r="Q23" s="37"/>
      <c r="S23" s="111"/>
      <c r="T23" s="37"/>
      <c r="U23" s="48"/>
      <c r="V23" s="37"/>
      <c r="W23" s="37"/>
      <c r="X23" s="37"/>
      <c r="Z23" s="111"/>
      <c r="AA23" s="37"/>
      <c r="AB23" s="48"/>
      <c r="AC23" s="37"/>
      <c r="AD23" s="37"/>
      <c r="AE23" s="37"/>
      <c r="AG23" s="111"/>
      <c r="AH23" s="37"/>
      <c r="AI23" s="48"/>
      <c r="AJ23" s="37"/>
      <c r="AK23" s="37"/>
      <c r="AL23" s="37"/>
      <c r="AN23" s="111"/>
      <c r="AO23" s="37"/>
      <c r="AP23" s="48"/>
      <c r="AQ23" s="37"/>
      <c r="AR23" s="37"/>
      <c r="AS23" s="37"/>
      <c r="AU23" s="111"/>
      <c r="AV23" s="37"/>
      <c r="AW23" s="48"/>
      <c r="AX23" s="37"/>
      <c r="AY23" s="37"/>
      <c r="AZ23" s="37"/>
      <c r="BB23" s="111"/>
      <c r="BC23" s="37"/>
      <c r="BD23" s="48"/>
      <c r="BE23" s="37"/>
      <c r="BF23" s="37"/>
      <c r="BG23" s="37"/>
      <c r="BI23" s="111"/>
      <c r="BJ23" s="37"/>
      <c r="BK23" s="48"/>
      <c r="BL23" s="37"/>
      <c r="BM23" s="37"/>
      <c r="BN23" s="37"/>
      <c r="BP23" s="111"/>
      <c r="BQ23" s="37"/>
      <c r="BR23" s="48"/>
      <c r="BS23" s="37"/>
      <c r="BT23" s="37"/>
      <c r="BU23" s="37"/>
      <c r="BW23" s="111"/>
      <c r="BX23" s="37"/>
      <c r="BY23" s="48"/>
      <c r="BZ23" s="37"/>
      <c r="CA23" s="37"/>
      <c r="CB23" s="37"/>
    </row>
    <row r="24" spans="5:80" x14ac:dyDescent="0.35">
      <c r="E24" s="111"/>
      <c r="F24" s="37"/>
      <c r="G24" s="48"/>
      <c r="H24" s="37"/>
      <c r="I24" s="37"/>
      <c r="J24" s="37"/>
      <c r="L24" s="111"/>
      <c r="M24" s="37"/>
      <c r="N24" s="48"/>
      <c r="O24" s="37"/>
      <c r="P24" s="37"/>
      <c r="Q24" s="37"/>
      <c r="S24" s="111"/>
      <c r="T24" s="37"/>
      <c r="U24" s="48"/>
      <c r="V24" s="37"/>
      <c r="W24" s="37"/>
      <c r="X24" s="37"/>
      <c r="Z24" s="111"/>
      <c r="AA24" s="37"/>
      <c r="AB24" s="48"/>
      <c r="AC24" s="37"/>
      <c r="AD24" s="37"/>
      <c r="AE24" s="37"/>
      <c r="AG24" s="111"/>
      <c r="AH24" s="37"/>
      <c r="AI24" s="48"/>
      <c r="AJ24" s="37"/>
      <c r="AK24" s="37"/>
      <c r="AL24" s="37"/>
      <c r="AN24" s="111"/>
      <c r="AO24" s="37"/>
      <c r="AP24" s="48"/>
      <c r="AQ24" s="37"/>
      <c r="AR24" s="37"/>
      <c r="AS24" s="37"/>
      <c r="AU24" s="111"/>
      <c r="AV24" s="37"/>
      <c r="AW24" s="48"/>
      <c r="AX24" s="37"/>
      <c r="AY24" s="37"/>
      <c r="AZ24" s="37"/>
      <c r="BB24" s="111"/>
      <c r="BC24" s="37"/>
      <c r="BD24" s="48"/>
      <c r="BE24" s="37"/>
      <c r="BF24" s="37"/>
      <c r="BG24" s="37"/>
      <c r="BI24" s="111"/>
      <c r="BJ24" s="37"/>
      <c r="BK24" s="48"/>
      <c r="BL24" s="37"/>
      <c r="BM24" s="37"/>
      <c r="BN24" s="37"/>
      <c r="BP24" s="111"/>
      <c r="BQ24" s="37"/>
      <c r="BR24" s="48"/>
      <c r="BS24" s="37"/>
      <c r="BT24" s="37"/>
      <c r="BU24" s="37"/>
      <c r="BW24" s="111"/>
      <c r="BX24" s="37"/>
      <c r="BY24" s="48"/>
      <c r="BZ24" s="37"/>
      <c r="CA24" s="37"/>
      <c r="CB24" s="37"/>
    </row>
    <row r="25" spans="5:80" x14ac:dyDescent="0.35">
      <c r="E25" s="111"/>
      <c r="F25" s="37"/>
      <c r="G25" s="48"/>
      <c r="H25" s="37"/>
      <c r="I25" s="37"/>
      <c r="J25" s="37"/>
      <c r="L25" s="111"/>
      <c r="M25" s="37"/>
      <c r="N25" s="48"/>
      <c r="O25" s="37"/>
      <c r="P25" s="37"/>
      <c r="Q25" s="37"/>
      <c r="S25" s="111"/>
      <c r="T25" s="37"/>
      <c r="U25" s="48"/>
      <c r="V25" s="37"/>
      <c r="W25" s="37"/>
      <c r="X25" s="37"/>
      <c r="Z25" s="111"/>
      <c r="AA25" s="37"/>
      <c r="AB25" s="48"/>
      <c r="AC25" s="37"/>
      <c r="AD25" s="37"/>
      <c r="AE25" s="37"/>
      <c r="AG25" s="111"/>
      <c r="AH25" s="37"/>
      <c r="AI25" s="48"/>
      <c r="AJ25" s="37"/>
      <c r="AK25" s="37"/>
      <c r="AL25" s="37"/>
      <c r="AN25" s="111"/>
      <c r="AO25" s="37"/>
      <c r="AP25" s="48"/>
      <c r="AQ25" s="37"/>
      <c r="AR25" s="37"/>
      <c r="AS25" s="37"/>
      <c r="AU25" s="111"/>
      <c r="AV25" s="37"/>
      <c r="AW25" s="48"/>
      <c r="AX25" s="37"/>
      <c r="AY25" s="37"/>
      <c r="AZ25" s="37"/>
      <c r="BB25" s="111"/>
      <c r="BC25" s="37"/>
      <c r="BD25" s="48"/>
      <c r="BE25" s="37"/>
      <c r="BF25" s="37"/>
      <c r="BG25" s="37"/>
      <c r="BI25" s="111"/>
      <c r="BJ25" s="37"/>
      <c r="BK25" s="48"/>
      <c r="BL25" s="37"/>
      <c r="BM25" s="37"/>
      <c r="BN25" s="37"/>
      <c r="BP25" s="111"/>
      <c r="BQ25" s="37"/>
      <c r="BR25" s="48"/>
      <c r="BS25" s="37"/>
      <c r="BT25" s="37"/>
      <c r="BU25" s="37"/>
      <c r="BW25" s="111"/>
      <c r="BX25" s="37"/>
      <c r="BY25" s="48"/>
      <c r="BZ25" s="37"/>
      <c r="CA25" s="37"/>
      <c r="CB25" s="37"/>
    </row>
    <row r="26" spans="5:80" x14ac:dyDescent="0.35">
      <c r="E26" s="111"/>
      <c r="F26" s="37"/>
      <c r="G26" s="48"/>
      <c r="H26" s="37"/>
      <c r="I26" s="37"/>
      <c r="J26" s="37"/>
      <c r="L26" s="111"/>
      <c r="M26" s="37"/>
      <c r="N26" s="48"/>
      <c r="O26" s="37"/>
      <c r="P26" s="37"/>
      <c r="Q26" s="37"/>
      <c r="S26" s="111"/>
      <c r="T26" s="37"/>
      <c r="U26" s="48"/>
      <c r="V26" s="37"/>
      <c r="W26" s="37"/>
      <c r="X26" s="37"/>
      <c r="Z26" s="111"/>
      <c r="AA26" s="37"/>
      <c r="AB26" s="48"/>
      <c r="AC26" s="37"/>
      <c r="AD26" s="37"/>
      <c r="AE26" s="37"/>
      <c r="AG26" s="111"/>
      <c r="AH26" s="37"/>
      <c r="AI26" s="48"/>
      <c r="AJ26" s="37"/>
      <c r="AK26" s="37"/>
      <c r="AL26" s="37"/>
      <c r="AN26" s="111"/>
      <c r="AO26" s="37"/>
      <c r="AP26" s="48"/>
      <c r="AQ26" s="37"/>
      <c r="AR26" s="37"/>
      <c r="AS26" s="37"/>
      <c r="AU26" s="111"/>
      <c r="AV26" s="37"/>
      <c r="AW26" s="48"/>
      <c r="AX26" s="37"/>
      <c r="AY26" s="37"/>
      <c r="AZ26" s="37"/>
      <c r="BB26" s="111"/>
      <c r="BC26" s="37"/>
      <c r="BD26" s="48"/>
      <c r="BE26" s="37"/>
      <c r="BF26" s="37"/>
      <c r="BG26" s="37"/>
      <c r="BI26" s="111"/>
      <c r="BJ26" s="37"/>
      <c r="BK26" s="48"/>
      <c r="BL26" s="37"/>
      <c r="BM26" s="37"/>
      <c r="BN26" s="37"/>
      <c r="BP26" s="111"/>
      <c r="BQ26" s="37"/>
      <c r="BR26" s="48"/>
      <c r="BS26" s="37"/>
      <c r="BT26" s="37"/>
      <c r="BU26" s="37"/>
      <c r="BW26" s="111"/>
      <c r="BX26" s="37"/>
      <c r="BY26" s="48"/>
      <c r="BZ26" s="37"/>
      <c r="CA26" s="37"/>
      <c r="CB26" s="37"/>
    </row>
    <row r="27" spans="5:80" x14ac:dyDescent="0.35">
      <c r="E27" s="111"/>
      <c r="F27" s="37"/>
      <c r="G27" s="48"/>
      <c r="H27" s="37"/>
      <c r="I27" s="37"/>
      <c r="J27" s="37"/>
      <c r="L27" s="111"/>
      <c r="M27" s="37"/>
      <c r="N27" s="48"/>
      <c r="O27" s="37"/>
      <c r="P27" s="37"/>
      <c r="Q27" s="37"/>
      <c r="S27" s="111"/>
      <c r="T27" s="37"/>
      <c r="U27" s="48"/>
      <c r="V27" s="37"/>
      <c r="W27" s="37"/>
      <c r="X27" s="37"/>
      <c r="Z27" s="111"/>
      <c r="AA27" s="37"/>
      <c r="AB27" s="48"/>
      <c r="AC27" s="37"/>
      <c r="AD27" s="37"/>
      <c r="AE27" s="37"/>
      <c r="AG27" s="111"/>
      <c r="AH27" s="37"/>
      <c r="AI27" s="48"/>
      <c r="AJ27" s="37"/>
      <c r="AK27" s="37"/>
      <c r="AL27" s="37"/>
      <c r="AN27" s="111"/>
      <c r="AO27" s="37"/>
      <c r="AP27" s="48"/>
      <c r="AQ27" s="37"/>
      <c r="AR27" s="37"/>
      <c r="AS27" s="37"/>
      <c r="AU27" s="111"/>
      <c r="AV27" s="37"/>
      <c r="AW27" s="48"/>
      <c r="AX27" s="37"/>
      <c r="AY27" s="37"/>
      <c r="AZ27" s="37"/>
      <c r="BB27" s="111"/>
      <c r="BC27" s="37"/>
      <c r="BD27" s="48"/>
      <c r="BE27" s="37"/>
      <c r="BF27" s="37"/>
      <c r="BG27" s="37"/>
      <c r="BI27" s="111"/>
      <c r="BJ27" s="37"/>
      <c r="BK27" s="48"/>
      <c r="BL27" s="37"/>
      <c r="BM27" s="37"/>
      <c r="BN27" s="37"/>
      <c r="BP27" s="111"/>
      <c r="BQ27" s="37"/>
      <c r="BR27" s="48"/>
      <c r="BS27" s="37"/>
      <c r="BT27" s="37"/>
      <c r="BU27" s="37"/>
      <c r="BW27" s="111"/>
      <c r="BX27" s="37"/>
      <c r="BY27" s="48"/>
      <c r="BZ27" s="37"/>
      <c r="CA27" s="37"/>
      <c r="CB27" s="37"/>
    </row>
    <row r="28" spans="5:80" x14ac:dyDescent="0.35">
      <c r="E28" s="111"/>
      <c r="F28" s="37"/>
      <c r="G28" s="48"/>
      <c r="H28" s="37"/>
      <c r="I28" s="37"/>
      <c r="J28" s="37"/>
      <c r="L28" s="111"/>
      <c r="M28" s="37"/>
      <c r="N28" s="48"/>
      <c r="O28" s="37"/>
      <c r="P28" s="37"/>
      <c r="Q28" s="37"/>
      <c r="S28" s="111"/>
      <c r="T28" s="37"/>
      <c r="U28" s="48"/>
      <c r="V28" s="37"/>
      <c r="W28" s="37"/>
      <c r="X28" s="37"/>
      <c r="Z28" s="111"/>
      <c r="AA28" s="37"/>
      <c r="AB28" s="48"/>
      <c r="AC28" s="37"/>
      <c r="AD28" s="37"/>
      <c r="AE28" s="37"/>
      <c r="AG28" s="111"/>
      <c r="AH28" s="37"/>
      <c r="AI28" s="48"/>
      <c r="AJ28" s="37"/>
      <c r="AK28" s="37"/>
      <c r="AL28" s="37"/>
      <c r="AN28" s="111"/>
      <c r="AO28" s="37"/>
      <c r="AP28" s="48"/>
      <c r="AQ28" s="37"/>
      <c r="AR28" s="37"/>
      <c r="AS28" s="37"/>
      <c r="AU28" s="111"/>
      <c r="AV28" s="37"/>
      <c r="AW28" s="48"/>
      <c r="AX28" s="37"/>
      <c r="AY28" s="37"/>
      <c r="AZ28" s="37"/>
      <c r="BB28" s="111"/>
      <c r="BC28" s="37"/>
      <c r="BD28" s="48"/>
      <c r="BE28" s="37"/>
      <c r="BF28" s="37"/>
      <c r="BG28" s="37"/>
      <c r="BI28" s="111"/>
      <c r="BJ28" s="37"/>
      <c r="BK28" s="48"/>
      <c r="BL28" s="37"/>
      <c r="BM28" s="37"/>
      <c r="BN28" s="37"/>
      <c r="BP28" s="111"/>
      <c r="BQ28" s="37"/>
      <c r="BR28" s="48"/>
      <c r="BS28" s="37"/>
      <c r="BT28" s="37"/>
      <c r="BU28" s="37"/>
      <c r="BW28" s="111"/>
      <c r="BX28" s="37"/>
      <c r="BY28" s="48"/>
      <c r="BZ28" s="37"/>
      <c r="CA28" s="37"/>
      <c r="CB28" s="37"/>
    </row>
    <row r="29" spans="5:80" x14ac:dyDescent="0.35">
      <c r="E29" s="111"/>
      <c r="F29" s="37"/>
      <c r="G29" s="48"/>
      <c r="H29" s="37"/>
      <c r="I29" s="37"/>
      <c r="J29" s="37"/>
      <c r="L29" s="111"/>
      <c r="M29" s="37"/>
      <c r="N29" s="48"/>
      <c r="O29" s="37"/>
      <c r="P29" s="37"/>
      <c r="Q29" s="37"/>
      <c r="S29" s="111"/>
      <c r="T29" s="37"/>
      <c r="U29" s="48"/>
      <c r="V29" s="37"/>
      <c r="W29" s="37"/>
      <c r="X29" s="37"/>
      <c r="Z29" s="111"/>
      <c r="AA29" s="37"/>
      <c r="AB29" s="48"/>
      <c r="AC29" s="37"/>
      <c r="AD29" s="37"/>
      <c r="AE29" s="37"/>
      <c r="AG29" s="111"/>
      <c r="AH29" s="37"/>
      <c r="AI29" s="48"/>
      <c r="AJ29" s="37"/>
      <c r="AK29" s="37"/>
      <c r="AL29" s="37"/>
      <c r="AN29" s="111"/>
      <c r="AO29" s="37"/>
      <c r="AP29" s="48"/>
      <c r="AQ29" s="37"/>
      <c r="AR29" s="37"/>
      <c r="AS29" s="37"/>
      <c r="AU29" s="111"/>
      <c r="AV29" s="37"/>
      <c r="AW29" s="48"/>
      <c r="AX29" s="37"/>
      <c r="AY29" s="37"/>
      <c r="AZ29" s="37"/>
      <c r="BB29" s="111"/>
      <c r="BC29" s="37"/>
      <c r="BD29" s="48"/>
      <c r="BE29" s="37"/>
      <c r="BF29" s="37"/>
      <c r="BG29" s="37"/>
      <c r="BI29" s="111"/>
      <c r="BJ29" s="37"/>
      <c r="BK29" s="48"/>
      <c r="BL29" s="37"/>
      <c r="BM29" s="37"/>
      <c r="BN29" s="37"/>
      <c r="BP29" s="111"/>
      <c r="BQ29" s="37"/>
      <c r="BR29" s="48"/>
      <c r="BS29" s="37"/>
      <c r="BT29" s="37"/>
      <c r="BU29" s="37"/>
      <c r="BW29" s="111"/>
      <c r="BX29" s="37"/>
      <c r="BY29" s="48"/>
      <c r="BZ29" s="37"/>
      <c r="CA29" s="37"/>
      <c r="CB29" s="37"/>
    </row>
    <row r="30" spans="5:80" x14ac:dyDescent="0.35">
      <c r="E30" s="111"/>
      <c r="F30" s="37"/>
      <c r="G30" s="48"/>
      <c r="H30" s="37"/>
      <c r="I30" s="37"/>
      <c r="J30" s="37"/>
      <c r="L30" s="111"/>
      <c r="M30" s="37"/>
      <c r="N30" s="48"/>
      <c r="O30" s="37"/>
      <c r="P30" s="37"/>
      <c r="Q30" s="37"/>
      <c r="S30" s="111"/>
      <c r="T30" s="37"/>
      <c r="U30" s="48"/>
      <c r="V30" s="37"/>
      <c r="W30" s="37"/>
      <c r="X30" s="37"/>
      <c r="Z30" s="111"/>
      <c r="AA30" s="37"/>
      <c r="AB30" s="48"/>
      <c r="AC30" s="37"/>
      <c r="AD30" s="37"/>
      <c r="AE30" s="37"/>
      <c r="AG30" s="111"/>
      <c r="AH30" s="37"/>
      <c r="AI30" s="48"/>
      <c r="AJ30" s="37"/>
      <c r="AK30" s="37"/>
      <c r="AL30" s="37"/>
      <c r="AN30" s="111"/>
      <c r="AO30" s="37"/>
      <c r="AP30" s="48"/>
      <c r="AQ30" s="37"/>
      <c r="AR30" s="37"/>
      <c r="AS30" s="37"/>
      <c r="AU30" s="111"/>
      <c r="AV30" s="37"/>
      <c r="AW30" s="48"/>
      <c r="AX30" s="37"/>
      <c r="AY30" s="37"/>
      <c r="AZ30" s="37"/>
      <c r="BB30" s="111"/>
      <c r="BC30" s="37"/>
      <c r="BD30" s="48"/>
      <c r="BE30" s="37"/>
      <c r="BF30" s="37"/>
      <c r="BG30" s="37"/>
      <c r="BI30" s="111"/>
      <c r="BJ30" s="37"/>
      <c r="BK30" s="48"/>
      <c r="BL30" s="37"/>
      <c r="BM30" s="37"/>
      <c r="BN30" s="37"/>
      <c r="BP30" s="111"/>
      <c r="BQ30" s="37"/>
      <c r="BR30" s="48"/>
      <c r="BS30" s="37"/>
      <c r="BT30" s="37"/>
      <c r="BU30" s="37"/>
      <c r="BW30" s="111"/>
      <c r="BX30" s="37"/>
      <c r="BY30" s="48"/>
      <c r="BZ30" s="37"/>
      <c r="CA30" s="37"/>
      <c r="CB30" s="37"/>
    </row>
    <row r="31" spans="5:80" x14ac:dyDescent="0.35">
      <c r="E31" s="111"/>
      <c r="F31" s="37"/>
      <c r="G31" s="48"/>
      <c r="H31" s="37"/>
      <c r="I31" s="37"/>
      <c r="J31" s="37"/>
      <c r="L31" s="111"/>
      <c r="M31" s="37"/>
      <c r="N31" s="48"/>
      <c r="O31" s="37"/>
      <c r="P31" s="37"/>
      <c r="Q31" s="37"/>
      <c r="S31" s="111"/>
      <c r="T31" s="37"/>
      <c r="U31" s="48"/>
      <c r="V31" s="37"/>
      <c r="W31" s="37"/>
      <c r="X31" s="37"/>
      <c r="Z31" s="111"/>
      <c r="AA31" s="37"/>
      <c r="AB31" s="48"/>
      <c r="AC31" s="37"/>
      <c r="AD31" s="37"/>
      <c r="AE31" s="37"/>
      <c r="AG31" s="111"/>
      <c r="AH31" s="37"/>
      <c r="AI31" s="48"/>
      <c r="AJ31" s="37"/>
      <c r="AK31" s="37"/>
      <c r="AL31" s="37"/>
      <c r="AN31" s="111"/>
      <c r="AO31" s="37"/>
      <c r="AP31" s="48"/>
      <c r="AQ31" s="37"/>
      <c r="AR31" s="37"/>
      <c r="AS31" s="37"/>
      <c r="AU31" s="111"/>
      <c r="AV31" s="37"/>
      <c r="AW31" s="48"/>
      <c r="AX31" s="37"/>
      <c r="AY31" s="37"/>
      <c r="AZ31" s="37"/>
      <c r="BB31" s="111"/>
      <c r="BC31" s="37"/>
      <c r="BD31" s="48"/>
      <c r="BE31" s="37"/>
      <c r="BF31" s="37"/>
      <c r="BG31" s="37"/>
      <c r="BI31" s="111"/>
      <c r="BJ31" s="37"/>
      <c r="BK31" s="48"/>
      <c r="BL31" s="37"/>
      <c r="BM31" s="37"/>
      <c r="BN31" s="37"/>
      <c r="BP31" s="111"/>
      <c r="BQ31" s="37"/>
      <c r="BR31" s="48"/>
      <c r="BS31" s="37"/>
      <c r="BT31" s="37"/>
      <c r="BU31" s="37"/>
      <c r="BW31" s="111"/>
      <c r="BX31" s="37"/>
      <c r="BY31" s="48"/>
      <c r="BZ31" s="37"/>
      <c r="CA31" s="37"/>
      <c r="CB31" s="37"/>
    </row>
    <row r="32" spans="5:80" x14ac:dyDescent="0.35">
      <c r="E32" s="111"/>
      <c r="F32" s="37"/>
      <c r="G32" s="48"/>
      <c r="H32" s="37"/>
      <c r="I32" s="37"/>
      <c r="J32" s="37"/>
      <c r="L32" s="111"/>
      <c r="M32" s="37"/>
      <c r="N32" s="48"/>
      <c r="O32" s="37"/>
      <c r="P32" s="37"/>
      <c r="Q32" s="37"/>
      <c r="S32" s="111"/>
      <c r="T32" s="37"/>
      <c r="U32" s="48"/>
      <c r="V32" s="37"/>
      <c r="W32" s="37"/>
      <c r="X32" s="37"/>
      <c r="Z32" s="111"/>
      <c r="AA32" s="37"/>
      <c r="AB32" s="48"/>
      <c r="AC32" s="37"/>
      <c r="AD32" s="37"/>
      <c r="AE32" s="37"/>
      <c r="AG32" s="111"/>
      <c r="AH32" s="37"/>
      <c r="AI32" s="48"/>
      <c r="AJ32" s="37"/>
      <c r="AK32" s="37"/>
      <c r="AL32" s="37"/>
      <c r="AN32" s="111"/>
      <c r="AO32" s="37"/>
      <c r="AP32" s="48"/>
      <c r="AQ32" s="37"/>
      <c r="AR32" s="37"/>
      <c r="AS32" s="37"/>
      <c r="AU32" s="111"/>
      <c r="AV32" s="37"/>
      <c r="AW32" s="48"/>
      <c r="AX32" s="37"/>
      <c r="AY32" s="37"/>
      <c r="AZ32" s="37"/>
      <c r="BB32" s="111"/>
      <c r="BC32" s="37"/>
      <c r="BD32" s="48"/>
      <c r="BE32" s="37"/>
      <c r="BF32" s="37"/>
      <c r="BG32" s="37"/>
      <c r="BI32" s="111"/>
      <c r="BJ32" s="37"/>
      <c r="BK32" s="48"/>
      <c r="BL32" s="37"/>
      <c r="BM32" s="37"/>
      <c r="BN32" s="37"/>
      <c r="BP32" s="111"/>
      <c r="BQ32" s="37"/>
      <c r="BR32" s="48"/>
      <c r="BS32" s="37"/>
      <c r="BT32" s="37"/>
      <c r="BU32" s="37"/>
      <c r="BW32" s="111"/>
      <c r="BX32" s="37"/>
      <c r="BY32" s="48"/>
      <c r="BZ32" s="37"/>
      <c r="CA32" s="37"/>
      <c r="CB32" s="37"/>
    </row>
    <row r="33" spans="5:80" x14ac:dyDescent="0.35">
      <c r="E33" s="111"/>
      <c r="F33" s="37"/>
      <c r="G33" s="48"/>
      <c r="H33" s="37"/>
      <c r="I33" s="37"/>
      <c r="J33" s="37"/>
      <c r="L33" s="111"/>
      <c r="M33" s="37"/>
      <c r="N33" s="48"/>
      <c r="O33" s="37"/>
      <c r="P33" s="37"/>
      <c r="Q33" s="37"/>
      <c r="S33" s="111"/>
      <c r="T33" s="37"/>
      <c r="U33" s="48"/>
      <c r="V33" s="37"/>
      <c r="W33" s="37"/>
      <c r="X33" s="37"/>
      <c r="Z33" s="111"/>
      <c r="AA33" s="37"/>
      <c r="AB33" s="48"/>
      <c r="AC33" s="37"/>
      <c r="AD33" s="37"/>
      <c r="AE33" s="37"/>
      <c r="AG33" s="111"/>
      <c r="AH33" s="37"/>
      <c r="AI33" s="48"/>
      <c r="AJ33" s="37"/>
      <c r="AK33" s="37"/>
      <c r="AL33" s="37"/>
      <c r="AN33" s="111"/>
      <c r="AO33" s="37"/>
      <c r="AP33" s="48"/>
      <c r="AQ33" s="37"/>
      <c r="AR33" s="37"/>
      <c r="AS33" s="37"/>
      <c r="AU33" s="111"/>
      <c r="AV33" s="37"/>
      <c r="AW33" s="48"/>
      <c r="AX33" s="37"/>
      <c r="AY33" s="37"/>
      <c r="AZ33" s="37"/>
      <c r="BB33" s="111"/>
      <c r="BC33" s="37"/>
      <c r="BD33" s="48"/>
      <c r="BE33" s="37"/>
      <c r="BF33" s="37"/>
      <c r="BG33" s="37"/>
      <c r="BI33" s="111"/>
      <c r="BJ33" s="37"/>
      <c r="BK33" s="48"/>
      <c r="BL33" s="37"/>
      <c r="BM33" s="37"/>
      <c r="BN33" s="37"/>
      <c r="BP33" s="111"/>
      <c r="BQ33" s="37"/>
      <c r="BR33" s="48"/>
      <c r="BS33" s="37"/>
      <c r="BT33" s="37"/>
      <c r="BU33" s="37"/>
      <c r="BW33" s="111"/>
      <c r="BX33" s="37"/>
      <c r="BY33" s="48"/>
      <c r="BZ33" s="37"/>
      <c r="CA33" s="37"/>
      <c r="CB33" s="37"/>
    </row>
    <row r="34" spans="5:80" x14ac:dyDescent="0.35">
      <c r="E34" s="111"/>
      <c r="F34" s="37"/>
      <c r="G34" s="48"/>
      <c r="H34" s="37"/>
      <c r="I34" s="37"/>
      <c r="J34" s="37"/>
      <c r="L34" s="111"/>
      <c r="M34" s="37"/>
      <c r="N34" s="48"/>
      <c r="O34" s="37"/>
      <c r="P34" s="37"/>
      <c r="Q34" s="37"/>
      <c r="S34" s="111"/>
      <c r="T34" s="37"/>
      <c r="U34" s="48"/>
      <c r="V34" s="37"/>
      <c r="W34" s="37"/>
      <c r="X34" s="37"/>
      <c r="Z34" s="111"/>
      <c r="AA34" s="37"/>
      <c r="AB34" s="48"/>
      <c r="AC34" s="37"/>
      <c r="AD34" s="37"/>
      <c r="AE34" s="37"/>
      <c r="AG34" s="111"/>
      <c r="AH34" s="37"/>
      <c r="AI34" s="48"/>
      <c r="AJ34" s="37"/>
      <c r="AK34" s="37"/>
      <c r="AL34" s="37"/>
      <c r="AN34" s="111"/>
      <c r="AO34" s="37"/>
      <c r="AP34" s="48"/>
      <c r="AQ34" s="37"/>
      <c r="AR34" s="37"/>
      <c r="AS34" s="37"/>
      <c r="AU34" s="111"/>
      <c r="AV34" s="37"/>
      <c r="AW34" s="48"/>
      <c r="AX34" s="37"/>
      <c r="AY34" s="37"/>
      <c r="AZ34" s="37"/>
      <c r="BB34" s="111"/>
      <c r="BC34" s="37"/>
      <c r="BD34" s="48"/>
      <c r="BE34" s="37"/>
      <c r="BF34" s="37"/>
      <c r="BG34" s="37"/>
      <c r="BI34" s="111"/>
      <c r="BJ34" s="37"/>
      <c r="BK34" s="48"/>
      <c r="BL34" s="37"/>
      <c r="BM34" s="37"/>
      <c r="BN34" s="37"/>
      <c r="BP34" s="111"/>
      <c r="BQ34" s="37"/>
      <c r="BR34" s="48"/>
      <c r="BS34" s="37"/>
      <c r="BT34" s="37"/>
      <c r="BU34" s="37"/>
      <c r="BW34" s="111"/>
      <c r="BX34" s="37"/>
      <c r="BY34" s="48"/>
      <c r="BZ34" s="37"/>
      <c r="CA34" s="37"/>
      <c r="CB34" s="37"/>
    </row>
    <row r="35" spans="5:80" x14ac:dyDescent="0.35">
      <c r="E35" s="111"/>
      <c r="F35" s="37"/>
      <c r="G35" s="37"/>
      <c r="H35" s="37"/>
      <c r="I35" s="37"/>
      <c r="J35" s="37"/>
      <c r="L35" s="111"/>
      <c r="M35" s="37"/>
      <c r="N35" s="37"/>
      <c r="O35" s="37"/>
      <c r="P35" s="37"/>
      <c r="Q35" s="37"/>
      <c r="S35" s="111"/>
      <c r="T35" s="37"/>
      <c r="U35" s="37"/>
      <c r="V35" s="37"/>
      <c r="W35" s="37"/>
      <c r="X35" s="37"/>
      <c r="Z35" s="111"/>
      <c r="AA35" s="37"/>
      <c r="AB35" s="37"/>
      <c r="AC35" s="37"/>
      <c r="AD35" s="37"/>
      <c r="AE35" s="37"/>
      <c r="AG35" s="111"/>
      <c r="AH35" s="37"/>
      <c r="AI35" s="48"/>
      <c r="AJ35" s="37"/>
      <c r="AK35" s="37"/>
      <c r="AL35" s="37"/>
      <c r="AN35" s="111"/>
      <c r="AO35" s="37"/>
      <c r="AP35" s="37"/>
      <c r="AQ35" s="37"/>
      <c r="AR35" s="37"/>
      <c r="AS35" s="37"/>
      <c r="AU35" s="111"/>
      <c r="AV35" s="37"/>
      <c r="AW35" s="37"/>
      <c r="AX35" s="37"/>
      <c r="AY35" s="37"/>
      <c r="AZ35" s="37"/>
      <c r="BB35" s="111"/>
      <c r="BC35" s="37"/>
      <c r="BD35" s="37"/>
      <c r="BE35" s="37"/>
      <c r="BF35" s="37"/>
      <c r="BG35" s="37"/>
      <c r="BI35" s="111"/>
      <c r="BJ35" s="37"/>
      <c r="BK35" s="37"/>
      <c r="BL35" s="37"/>
      <c r="BM35" s="37"/>
      <c r="BN35" s="37"/>
      <c r="BP35" s="111"/>
      <c r="BQ35" s="37"/>
      <c r="BR35" s="37"/>
      <c r="BS35" s="37"/>
      <c r="BT35" s="37"/>
      <c r="BU35" s="37"/>
      <c r="BW35" s="111"/>
      <c r="BX35" s="37"/>
      <c r="BY35" s="37"/>
      <c r="BZ35" s="37"/>
      <c r="CA35" s="37"/>
      <c r="CB35" s="37"/>
    </row>
    <row r="36" spans="5:80" x14ac:dyDescent="0.35">
      <c r="E36" s="111"/>
      <c r="F36" s="37"/>
      <c r="G36" s="37"/>
      <c r="H36" s="37"/>
      <c r="I36" s="37"/>
      <c r="J36" s="37"/>
      <c r="L36" s="111"/>
      <c r="M36" s="37"/>
      <c r="N36" s="37"/>
      <c r="O36" s="37"/>
      <c r="P36" s="37"/>
      <c r="Q36" s="37"/>
      <c r="S36" s="111"/>
      <c r="T36" s="37"/>
      <c r="U36" s="37"/>
      <c r="V36" s="37"/>
      <c r="W36" s="37"/>
      <c r="X36" s="37"/>
      <c r="Z36" s="111"/>
      <c r="AA36" s="37"/>
      <c r="AB36" s="37"/>
      <c r="AC36" s="37"/>
      <c r="AD36" s="37"/>
      <c r="AE36" s="37"/>
      <c r="AG36" s="111"/>
      <c r="AH36" s="37"/>
      <c r="AI36" s="48"/>
      <c r="AJ36" s="37"/>
      <c r="AK36" s="37"/>
      <c r="AL36" s="37"/>
      <c r="AN36" s="111"/>
      <c r="AO36" s="37"/>
      <c r="AP36" s="37"/>
      <c r="AQ36" s="37"/>
      <c r="AR36" s="37"/>
      <c r="AS36" s="37"/>
      <c r="AU36" s="111"/>
      <c r="AV36" s="37"/>
      <c r="AW36" s="37"/>
      <c r="AX36" s="37"/>
      <c r="AY36" s="37"/>
      <c r="AZ36" s="37"/>
      <c r="BB36" s="111"/>
      <c r="BC36" s="37"/>
      <c r="BD36" s="37"/>
      <c r="BE36" s="37"/>
      <c r="BF36" s="37"/>
      <c r="BG36" s="37"/>
      <c r="BI36" s="111"/>
      <c r="BJ36" s="37"/>
      <c r="BK36" s="37"/>
      <c r="BL36" s="37"/>
      <c r="BM36" s="37"/>
      <c r="BN36" s="37"/>
      <c r="BP36" s="111"/>
      <c r="BQ36" s="37"/>
      <c r="BR36" s="37"/>
      <c r="BS36" s="37"/>
      <c r="BT36" s="37"/>
      <c r="BU36" s="37"/>
      <c r="BW36" s="111"/>
      <c r="BX36" s="37"/>
      <c r="BY36" s="37"/>
      <c r="BZ36" s="37"/>
      <c r="CA36" s="37"/>
      <c r="CB36" s="37"/>
    </row>
    <row r="37" spans="5:80" x14ac:dyDescent="0.35">
      <c r="E37" s="111"/>
      <c r="F37" s="37"/>
      <c r="G37" s="37"/>
      <c r="H37" s="37"/>
      <c r="I37" s="37"/>
      <c r="J37" s="37"/>
      <c r="L37" s="111"/>
      <c r="M37" s="37"/>
      <c r="N37" s="37"/>
      <c r="O37" s="37"/>
      <c r="P37" s="37"/>
      <c r="Q37" s="37"/>
      <c r="S37" s="111"/>
      <c r="T37" s="37"/>
      <c r="U37" s="37"/>
      <c r="V37" s="37"/>
      <c r="W37" s="37"/>
      <c r="X37" s="37"/>
      <c r="Z37" s="111"/>
      <c r="AA37" s="37"/>
      <c r="AB37" s="37"/>
      <c r="AC37" s="37"/>
      <c r="AD37" s="37"/>
      <c r="AE37" s="37"/>
      <c r="AG37" s="111"/>
      <c r="AH37" s="37"/>
      <c r="AI37" s="48"/>
      <c r="AJ37" s="37"/>
      <c r="AK37" s="37"/>
      <c r="AL37" s="37"/>
      <c r="AN37" s="111"/>
      <c r="AO37" s="37"/>
      <c r="AP37" s="37"/>
      <c r="AQ37" s="37"/>
      <c r="AR37" s="37"/>
      <c r="AS37" s="37"/>
      <c r="AU37" s="111"/>
      <c r="AV37" s="37"/>
      <c r="AW37" s="37"/>
      <c r="AX37" s="37"/>
      <c r="AY37" s="37"/>
      <c r="AZ37" s="37"/>
      <c r="BB37" s="111"/>
      <c r="BC37" s="37"/>
      <c r="BD37" s="37"/>
      <c r="BE37" s="37"/>
      <c r="BF37" s="37"/>
      <c r="BG37" s="37"/>
      <c r="BI37" s="111"/>
      <c r="BJ37" s="37"/>
      <c r="BK37" s="37"/>
      <c r="BL37" s="37"/>
      <c r="BM37" s="37"/>
      <c r="BN37" s="37"/>
      <c r="BP37" s="111"/>
      <c r="BQ37" s="37"/>
      <c r="BR37" s="37"/>
      <c r="BS37" s="37"/>
      <c r="BT37" s="37"/>
      <c r="BU37" s="37"/>
      <c r="BW37" s="111"/>
      <c r="BX37" s="37"/>
      <c r="BY37" s="37"/>
      <c r="BZ37" s="37"/>
      <c r="CA37" s="37"/>
      <c r="CB37" s="37"/>
    </row>
    <row r="38" spans="5:80" x14ac:dyDescent="0.35">
      <c r="E38" s="111"/>
      <c r="F38" s="37"/>
      <c r="G38" s="37"/>
      <c r="H38" s="37"/>
      <c r="I38" s="37"/>
      <c r="J38" s="37"/>
      <c r="L38" s="111"/>
      <c r="M38" s="37"/>
      <c r="N38" s="37"/>
      <c r="O38" s="37"/>
      <c r="P38" s="37"/>
      <c r="Q38" s="37"/>
      <c r="S38" s="111"/>
      <c r="T38" s="37"/>
      <c r="U38" s="37"/>
      <c r="V38" s="37"/>
      <c r="W38" s="37"/>
      <c r="X38" s="37"/>
      <c r="Z38" s="111"/>
      <c r="AA38" s="37"/>
      <c r="AB38" s="37"/>
      <c r="AC38" s="37"/>
      <c r="AD38" s="37"/>
      <c r="AE38" s="37"/>
      <c r="AG38" s="111"/>
      <c r="AH38" s="37"/>
      <c r="AI38" s="48"/>
      <c r="AJ38" s="37"/>
      <c r="AK38" s="37"/>
      <c r="AL38" s="37"/>
      <c r="AN38" s="111"/>
      <c r="AO38" s="37"/>
      <c r="AP38" s="37"/>
      <c r="AQ38" s="37"/>
      <c r="AR38" s="37"/>
      <c r="AS38" s="37"/>
      <c r="AU38" s="111"/>
      <c r="AV38" s="37"/>
      <c r="AW38" s="37"/>
      <c r="AX38" s="37"/>
      <c r="AY38" s="37"/>
      <c r="AZ38" s="37"/>
      <c r="BB38" s="111"/>
      <c r="BC38" s="37"/>
      <c r="BD38" s="37"/>
      <c r="BE38" s="37"/>
      <c r="BF38" s="37"/>
      <c r="BG38" s="37"/>
      <c r="BI38" s="111"/>
      <c r="BJ38" s="37"/>
      <c r="BK38" s="37"/>
      <c r="BL38" s="37"/>
      <c r="BM38" s="37"/>
      <c r="BN38" s="37"/>
      <c r="BP38" s="111"/>
      <c r="BQ38" s="37"/>
      <c r="BR38" s="37"/>
      <c r="BS38" s="37"/>
      <c r="BT38" s="37"/>
      <c r="BU38" s="37"/>
      <c r="BW38" s="111"/>
      <c r="BX38" s="37"/>
      <c r="BY38" s="37"/>
      <c r="BZ38" s="37"/>
      <c r="CA38" s="37"/>
      <c r="CB38" s="37"/>
    </row>
    <row r="39" spans="5:80" x14ac:dyDescent="0.35">
      <c r="E39" s="111"/>
      <c r="F39" s="37"/>
      <c r="G39" s="37"/>
      <c r="H39" s="37"/>
      <c r="I39" s="37"/>
      <c r="J39" s="37"/>
      <c r="L39" s="111"/>
      <c r="M39" s="37"/>
      <c r="N39" s="37"/>
      <c r="O39" s="37"/>
      <c r="P39" s="37"/>
      <c r="Q39" s="37"/>
      <c r="S39" s="111"/>
      <c r="T39" s="37"/>
      <c r="U39" s="37"/>
      <c r="V39" s="37"/>
      <c r="W39" s="37"/>
      <c r="X39" s="37"/>
      <c r="Z39" s="111"/>
      <c r="AA39" s="37"/>
      <c r="AB39" s="37"/>
      <c r="AC39" s="37"/>
      <c r="AD39" s="37"/>
      <c r="AE39" s="37"/>
      <c r="AG39" s="111"/>
      <c r="AH39" s="37"/>
      <c r="AI39" s="48"/>
      <c r="AJ39" s="37"/>
      <c r="AK39" s="37"/>
      <c r="AL39" s="37"/>
      <c r="AN39" s="111"/>
      <c r="AO39" s="37"/>
      <c r="AP39" s="37"/>
      <c r="AQ39" s="37"/>
      <c r="AR39" s="37"/>
      <c r="AS39" s="37"/>
      <c r="AU39" s="111"/>
      <c r="AV39" s="37"/>
      <c r="AW39" s="37"/>
      <c r="AX39" s="37"/>
      <c r="AY39" s="37"/>
      <c r="AZ39" s="37"/>
      <c r="BB39" s="111"/>
      <c r="BC39" s="37"/>
      <c r="BD39" s="37"/>
      <c r="BE39" s="37"/>
      <c r="BF39" s="37"/>
      <c r="BG39" s="37"/>
      <c r="BI39" s="111"/>
      <c r="BJ39" s="37"/>
      <c r="BK39" s="37"/>
      <c r="BL39" s="37"/>
      <c r="BM39" s="37"/>
      <c r="BN39" s="37"/>
      <c r="BP39" s="111"/>
      <c r="BQ39" s="37"/>
      <c r="BR39" s="37"/>
      <c r="BS39" s="37"/>
      <c r="BT39" s="37"/>
      <c r="BU39" s="37"/>
      <c r="BW39" s="111"/>
      <c r="BX39" s="37"/>
      <c r="BY39" s="37"/>
      <c r="BZ39" s="37"/>
      <c r="CA39" s="37"/>
      <c r="CB39" s="37"/>
    </row>
    <row r="40" spans="5:80" x14ac:dyDescent="0.35">
      <c r="AG40" s="111"/>
      <c r="AH40" s="37"/>
      <c r="AI40" s="48"/>
      <c r="AJ40" s="37"/>
      <c r="AK40" s="37"/>
      <c r="AL40" s="37"/>
    </row>
    <row r="41" spans="5:80" x14ac:dyDescent="0.35">
      <c r="AG41" s="111"/>
      <c r="AH41" s="37"/>
      <c r="AI41" s="48"/>
      <c r="AJ41" s="37"/>
      <c r="AK41" s="37"/>
      <c r="AL41" s="37"/>
    </row>
    <row r="42" spans="5:80" x14ac:dyDescent="0.35">
      <c r="AG42" s="111"/>
      <c r="AH42" s="37"/>
      <c r="AI42" s="48"/>
      <c r="AJ42" s="37"/>
      <c r="AK42" s="37"/>
      <c r="AL42" s="37"/>
    </row>
    <row r="43" spans="5:80" x14ac:dyDescent="0.35">
      <c r="AG43" s="111"/>
      <c r="AH43" s="37"/>
      <c r="AI43" s="48"/>
      <c r="AJ43" s="37"/>
      <c r="AK43" s="37"/>
      <c r="AL43" s="37"/>
    </row>
    <row r="44" spans="5:80" x14ac:dyDescent="0.35">
      <c r="AG44" s="111"/>
      <c r="AH44" s="37"/>
      <c r="AI44" s="48"/>
      <c r="AJ44" s="37"/>
      <c r="AK44" s="37"/>
      <c r="AL44" s="37"/>
    </row>
    <row r="45" spans="5:80" x14ac:dyDescent="0.35">
      <c r="AG45" s="111"/>
      <c r="AH45" s="37"/>
      <c r="AI45" s="48"/>
      <c r="AJ45" s="37"/>
      <c r="AK45" s="37"/>
      <c r="AL45" s="37"/>
    </row>
    <row r="46" spans="5:80" x14ac:dyDescent="0.35">
      <c r="AG46" s="111"/>
      <c r="AH46" s="37"/>
      <c r="AI46" s="48"/>
      <c r="AJ46" s="37"/>
      <c r="AK46" s="37"/>
      <c r="AL46" s="37"/>
    </row>
    <row r="47" spans="5:80" x14ac:dyDescent="0.35">
      <c r="AG47" s="111"/>
      <c r="AH47" s="37"/>
      <c r="AI47" s="48"/>
      <c r="AJ47" s="37"/>
      <c r="AK47" s="37"/>
      <c r="AL47" s="37"/>
    </row>
    <row r="48" spans="5:80" x14ac:dyDescent="0.35">
      <c r="AG48" s="111"/>
      <c r="AH48" s="37"/>
      <c r="AI48" s="48"/>
      <c r="AJ48" s="37"/>
      <c r="AK48" s="37"/>
      <c r="AL48" s="37"/>
    </row>
    <row r="49" spans="33:38" x14ac:dyDescent="0.35">
      <c r="AG49" s="111"/>
      <c r="AH49" s="37"/>
      <c r="AI49" s="48"/>
      <c r="AJ49" s="37"/>
      <c r="AK49" s="37"/>
      <c r="AL49" s="37"/>
    </row>
    <row r="50" spans="33:38" x14ac:dyDescent="0.35">
      <c r="AG50" s="111"/>
      <c r="AH50" s="37"/>
      <c r="AI50" s="48"/>
      <c r="AJ50" s="37"/>
      <c r="AK50" s="37"/>
      <c r="AL50" s="37"/>
    </row>
    <row r="51" spans="33:38" x14ac:dyDescent="0.35">
      <c r="AG51" s="111"/>
      <c r="AH51" s="37"/>
      <c r="AI51" s="48"/>
      <c r="AJ51" s="37"/>
      <c r="AK51" s="37"/>
      <c r="AL51" s="37"/>
    </row>
    <row r="52" spans="33:38" x14ac:dyDescent="0.35">
      <c r="AG52" s="111"/>
      <c r="AH52" s="37"/>
      <c r="AI52" s="48"/>
      <c r="AJ52" s="37"/>
      <c r="AK52" s="37"/>
      <c r="AL52" s="37"/>
    </row>
  </sheetData>
  <mergeCells count="22">
    <mergeCell ref="E3:F3"/>
    <mergeCell ref="H3:J3"/>
    <mergeCell ref="AX3:AZ3"/>
    <mergeCell ref="L3:M3"/>
    <mergeCell ref="O3:Q3"/>
    <mergeCell ref="S3:T3"/>
    <mergeCell ref="V3:X3"/>
    <mergeCell ref="Z3:AA3"/>
    <mergeCell ref="AC3:AE3"/>
    <mergeCell ref="AG3:AH3"/>
    <mergeCell ref="AJ3:AL3"/>
    <mergeCell ref="AN3:AO3"/>
    <mergeCell ref="AQ3:AS3"/>
    <mergeCell ref="AU3:AV3"/>
    <mergeCell ref="BW3:BX3"/>
    <mergeCell ref="BZ3:CB3"/>
    <mergeCell ref="BB3:BC3"/>
    <mergeCell ref="BE3:BG3"/>
    <mergeCell ref="BI3:BJ3"/>
    <mergeCell ref="BL3:BN3"/>
    <mergeCell ref="BP3:BQ3"/>
    <mergeCell ref="BS3:BU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29"/>
  <sheetViews>
    <sheetView workbookViewId="0">
      <selection sqref="A1:D1"/>
    </sheetView>
  </sheetViews>
  <sheetFormatPr baseColWidth="10" defaultColWidth="8.7265625" defaultRowHeight="14.5" x14ac:dyDescent="0.35"/>
  <cols>
    <col min="1" max="1" width="9.7265625" bestFit="1" customWidth="1"/>
    <col min="2" max="2" width="13.6328125" bestFit="1" customWidth="1"/>
    <col min="3" max="3" width="8" bestFit="1" customWidth="1"/>
    <col min="4" max="4" width="28.7265625" bestFit="1" customWidth="1"/>
    <col min="6" max="9" width="14.6328125" customWidth="1"/>
    <col min="13" max="13" width="9.7265625" bestFit="1" customWidth="1"/>
    <col min="14" max="14" width="14.26953125" bestFit="1" customWidth="1"/>
    <col min="16" max="16" width="28.7265625" bestFit="1" customWidth="1"/>
    <col min="18" max="18" width="9.7265625" bestFit="1" customWidth="1"/>
    <col min="19" max="19" width="11.54296875" bestFit="1" customWidth="1"/>
    <col min="21" max="21" width="28.7265625" bestFit="1" customWidth="1"/>
    <col min="23" max="23" width="9.7265625" bestFit="1" customWidth="1"/>
    <col min="26" max="26" width="17.54296875" bestFit="1" customWidth="1"/>
    <col min="28" max="28" width="9.7265625" bestFit="1" customWidth="1"/>
    <col min="29" max="29" width="11.54296875" bestFit="1" customWidth="1"/>
    <col min="31" max="31" width="34.1796875" bestFit="1" customWidth="1"/>
    <col min="33" max="33" width="9.7265625" bestFit="1" customWidth="1"/>
    <col min="34" max="34" width="11.54296875" bestFit="1" customWidth="1"/>
    <col min="35" max="35" width="8" bestFit="1" customWidth="1"/>
    <col min="36" max="36" width="34.1796875" bestFit="1" customWidth="1"/>
    <col min="38" max="38" width="9.7265625" bestFit="1" customWidth="1"/>
    <col min="39" max="39" width="10.54296875" bestFit="1" customWidth="1"/>
    <col min="41" max="41" width="14.81640625" bestFit="1" customWidth="1"/>
  </cols>
  <sheetData>
    <row r="1" spans="1:41" x14ac:dyDescent="0.35">
      <c r="A1" s="188" t="s">
        <v>113</v>
      </c>
      <c r="B1" s="188"/>
      <c r="C1" s="188"/>
      <c r="D1" s="188"/>
      <c r="F1" s="188" t="s">
        <v>115</v>
      </c>
      <c r="G1" s="188"/>
      <c r="H1" s="188"/>
      <c r="I1" s="188"/>
      <c r="M1" s="188" t="s">
        <v>77</v>
      </c>
      <c r="N1" s="188"/>
      <c r="O1" s="188"/>
      <c r="P1" s="188"/>
      <c r="R1" s="187" t="s">
        <v>85</v>
      </c>
      <c r="S1" s="187"/>
      <c r="T1" s="187"/>
      <c r="U1" s="187"/>
      <c r="W1" s="187" t="s">
        <v>98</v>
      </c>
      <c r="X1" s="187"/>
      <c r="Y1" s="187"/>
      <c r="Z1" s="187"/>
      <c r="AB1" s="187" t="s">
        <v>100</v>
      </c>
      <c r="AC1" s="187"/>
      <c r="AD1" s="187"/>
      <c r="AE1" s="187"/>
      <c r="AG1" s="187" t="s">
        <v>146</v>
      </c>
      <c r="AH1" s="187"/>
      <c r="AI1" s="187"/>
      <c r="AJ1" s="187"/>
      <c r="AL1" s="187" t="s">
        <v>155</v>
      </c>
      <c r="AM1" s="187"/>
      <c r="AN1" s="187"/>
      <c r="AO1" s="187"/>
    </row>
    <row r="2" spans="1:41" x14ac:dyDescent="0.35">
      <c r="A2" s="37"/>
      <c r="B2" s="37"/>
      <c r="C2" s="37"/>
      <c r="D2" s="37"/>
      <c r="F2" s="37"/>
      <c r="G2" s="37"/>
      <c r="H2" s="37"/>
      <c r="I2" s="37"/>
      <c r="M2" s="37"/>
      <c r="N2" s="37"/>
      <c r="O2" s="37"/>
      <c r="P2" s="37"/>
      <c r="R2" s="37"/>
      <c r="S2" s="37"/>
      <c r="T2" s="37"/>
      <c r="U2" s="37"/>
      <c r="W2" s="37"/>
      <c r="X2" s="37"/>
      <c r="Y2" s="37"/>
      <c r="Z2" s="37"/>
      <c r="AB2" s="37"/>
      <c r="AC2" s="37"/>
      <c r="AD2" s="37"/>
      <c r="AE2" s="37"/>
      <c r="AG2" s="37"/>
      <c r="AH2" s="37"/>
      <c r="AI2" s="37"/>
      <c r="AJ2" s="37"/>
      <c r="AL2" s="37"/>
      <c r="AM2" s="37"/>
      <c r="AN2" s="37"/>
      <c r="AO2" s="37"/>
    </row>
    <row r="3" spans="1:41" x14ac:dyDescent="0.35">
      <c r="A3" s="50" t="s">
        <v>80</v>
      </c>
      <c r="B3" s="50" t="s">
        <v>81</v>
      </c>
      <c r="C3" s="50" t="s">
        <v>82</v>
      </c>
      <c r="D3" s="50" t="s">
        <v>83</v>
      </c>
      <c r="F3" s="50" t="s">
        <v>80</v>
      </c>
      <c r="G3" s="50" t="s">
        <v>81</v>
      </c>
      <c r="H3" s="50" t="s">
        <v>82</v>
      </c>
      <c r="I3" s="50" t="s">
        <v>83</v>
      </c>
      <c r="M3" s="50" t="s">
        <v>80</v>
      </c>
      <c r="N3" s="50" t="s">
        <v>81</v>
      </c>
      <c r="O3" s="50" t="s">
        <v>82</v>
      </c>
      <c r="P3" s="50" t="s">
        <v>83</v>
      </c>
      <c r="R3" s="50" t="s">
        <v>80</v>
      </c>
      <c r="S3" s="50" t="s">
        <v>81</v>
      </c>
      <c r="T3" s="50" t="s">
        <v>82</v>
      </c>
      <c r="U3" s="50" t="s">
        <v>83</v>
      </c>
      <c r="W3" s="105" t="s">
        <v>80</v>
      </c>
      <c r="X3" s="105" t="s">
        <v>81</v>
      </c>
      <c r="Y3" s="105" t="s">
        <v>82</v>
      </c>
      <c r="Z3" s="105" t="s">
        <v>83</v>
      </c>
      <c r="AB3" s="50" t="s">
        <v>80</v>
      </c>
      <c r="AC3" s="50" t="s">
        <v>81</v>
      </c>
      <c r="AD3" s="50" t="s">
        <v>82</v>
      </c>
      <c r="AE3" s="50" t="s">
        <v>83</v>
      </c>
      <c r="AG3" s="50" t="s">
        <v>80</v>
      </c>
      <c r="AH3" s="50" t="s">
        <v>81</v>
      </c>
      <c r="AI3" s="50" t="s">
        <v>82</v>
      </c>
      <c r="AJ3" s="50" t="s">
        <v>83</v>
      </c>
      <c r="AL3" s="50" t="s">
        <v>80</v>
      </c>
      <c r="AM3" s="50" t="s">
        <v>81</v>
      </c>
      <c r="AN3" s="50" t="s">
        <v>82</v>
      </c>
      <c r="AO3" s="50" t="s">
        <v>83</v>
      </c>
    </row>
    <row r="4" spans="1:41" x14ac:dyDescent="0.35">
      <c r="A4" s="37"/>
      <c r="B4" s="37"/>
      <c r="C4" s="37"/>
      <c r="D4" s="37"/>
      <c r="F4" s="37"/>
      <c r="G4" s="37"/>
      <c r="H4" s="37"/>
      <c r="I4" s="37"/>
      <c r="M4" s="37"/>
      <c r="N4" s="37"/>
      <c r="O4" s="37"/>
      <c r="P4" s="37"/>
      <c r="R4" s="37"/>
      <c r="S4" s="37"/>
      <c r="T4" s="37"/>
      <c r="U4" s="37"/>
      <c r="W4" s="80"/>
      <c r="X4" s="80"/>
      <c r="Y4" s="80"/>
      <c r="Z4" s="80"/>
      <c r="AB4" s="37"/>
      <c r="AC4" s="37"/>
      <c r="AD4" s="37"/>
      <c r="AE4" s="37"/>
      <c r="AG4" s="37"/>
      <c r="AH4" s="37"/>
      <c r="AI4" s="37"/>
      <c r="AJ4" s="37"/>
      <c r="AL4" s="37"/>
      <c r="AM4" s="37"/>
      <c r="AN4" s="37"/>
      <c r="AO4" s="37"/>
    </row>
    <row r="5" spans="1:41" x14ac:dyDescent="0.35">
      <c r="A5" s="45">
        <v>46055</v>
      </c>
      <c r="B5" s="39">
        <v>10803500</v>
      </c>
      <c r="C5" s="41">
        <v>2000140</v>
      </c>
      <c r="D5" s="37" t="s">
        <v>114</v>
      </c>
      <c r="F5" s="45">
        <v>46057</v>
      </c>
      <c r="G5" s="39">
        <v>9273083</v>
      </c>
      <c r="H5" s="41">
        <v>2000136</v>
      </c>
      <c r="I5" s="37" t="s">
        <v>114</v>
      </c>
      <c r="M5" s="91">
        <v>46035</v>
      </c>
      <c r="N5" s="104">
        <v>10000000</v>
      </c>
      <c r="O5" s="80">
        <v>2000124</v>
      </c>
      <c r="P5" s="80" t="s">
        <v>84</v>
      </c>
      <c r="R5" s="45">
        <v>46028</v>
      </c>
      <c r="S5" s="39">
        <v>3902000</v>
      </c>
      <c r="T5" s="41">
        <v>2000100</v>
      </c>
      <c r="U5" s="37" t="s">
        <v>86</v>
      </c>
      <c r="W5" s="79">
        <v>46041</v>
      </c>
      <c r="X5" s="82">
        <v>500000</v>
      </c>
      <c r="Y5" s="102">
        <v>2000129</v>
      </c>
      <c r="Z5" s="80" t="s">
        <v>99</v>
      </c>
      <c r="AB5" s="79">
        <v>46041</v>
      </c>
      <c r="AC5" s="82">
        <v>10000000</v>
      </c>
      <c r="AD5" s="102">
        <v>2000132</v>
      </c>
      <c r="AE5" s="80"/>
      <c r="AG5" s="38">
        <v>46066</v>
      </c>
      <c r="AH5" s="39">
        <v>5000000</v>
      </c>
      <c r="AI5" s="41">
        <v>2000269</v>
      </c>
      <c r="AJ5" s="37" t="s">
        <v>147</v>
      </c>
      <c r="AL5" s="38">
        <v>46078</v>
      </c>
      <c r="AM5" s="39">
        <v>5000000</v>
      </c>
      <c r="AN5" s="102">
        <v>2000282</v>
      </c>
      <c r="AO5" s="37" t="s">
        <v>147</v>
      </c>
    </row>
    <row r="6" spans="1:41" x14ac:dyDescent="0.35">
      <c r="A6" s="45">
        <v>46087</v>
      </c>
      <c r="B6" s="103">
        <v>10000000</v>
      </c>
      <c r="C6" s="41">
        <v>2000306</v>
      </c>
      <c r="D6" s="37" t="s">
        <v>114</v>
      </c>
      <c r="F6" s="45">
        <v>46064</v>
      </c>
      <c r="G6" s="82">
        <v>10000000</v>
      </c>
      <c r="H6" s="102">
        <v>2000255</v>
      </c>
      <c r="I6" s="80" t="s">
        <v>114</v>
      </c>
      <c r="M6" s="91">
        <v>46038</v>
      </c>
      <c r="N6" s="82">
        <v>5000000</v>
      </c>
      <c r="O6" s="102">
        <v>2000128</v>
      </c>
      <c r="P6" s="80" t="s">
        <v>84</v>
      </c>
      <c r="R6" s="38">
        <v>46069</v>
      </c>
      <c r="S6" s="39">
        <v>7720000</v>
      </c>
      <c r="T6" s="41">
        <v>2000275</v>
      </c>
      <c r="U6" s="37" t="s">
        <v>86</v>
      </c>
      <c r="W6" s="91">
        <v>46099</v>
      </c>
      <c r="X6" s="82">
        <v>500000</v>
      </c>
      <c r="Y6" s="102">
        <v>2000318</v>
      </c>
      <c r="Z6" s="80" t="s">
        <v>99</v>
      </c>
      <c r="AB6" s="91">
        <v>46066</v>
      </c>
      <c r="AC6" s="82">
        <v>1499503</v>
      </c>
      <c r="AD6" s="102">
        <v>2000266</v>
      </c>
      <c r="AE6" s="84" t="s">
        <v>132</v>
      </c>
      <c r="AG6" s="45"/>
      <c r="AH6" s="51"/>
      <c r="AI6" s="58"/>
      <c r="AJ6" s="54"/>
      <c r="AL6" s="37"/>
      <c r="AM6" s="37"/>
      <c r="AN6" s="37"/>
      <c r="AO6" s="37"/>
    </row>
    <row r="7" spans="1:41" x14ac:dyDescent="0.35">
      <c r="A7" s="45">
        <v>46125</v>
      </c>
      <c r="B7" s="47">
        <v>20000000</v>
      </c>
      <c r="C7" s="37">
        <v>2000345</v>
      </c>
      <c r="D7" s="37" t="s">
        <v>114</v>
      </c>
      <c r="F7" s="45">
        <v>46070</v>
      </c>
      <c r="G7" s="82">
        <v>7000000</v>
      </c>
      <c r="H7" s="102">
        <v>2000281</v>
      </c>
      <c r="I7" s="80" t="s">
        <v>114</v>
      </c>
      <c r="M7" s="79">
        <v>46057</v>
      </c>
      <c r="N7" s="82">
        <v>15000000</v>
      </c>
      <c r="O7" s="102">
        <v>2000144</v>
      </c>
      <c r="P7" s="80" t="s">
        <v>84</v>
      </c>
      <c r="R7" s="38">
        <v>46078</v>
      </c>
      <c r="S7" s="39">
        <v>3880000</v>
      </c>
      <c r="T7" s="41">
        <v>2000296</v>
      </c>
      <c r="U7" s="37" t="s">
        <v>86</v>
      </c>
      <c r="W7" s="91">
        <v>46128</v>
      </c>
      <c r="X7" s="82">
        <v>500000</v>
      </c>
      <c r="Y7" s="80">
        <v>2000202</v>
      </c>
      <c r="Z7" s="80" t="s">
        <v>99</v>
      </c>
      <c r="AB7" s="91">
        <v>46066</v>
      </c>
      <c r="AC7" s="82">
        <v>1816965</v>
      </c>
      <c r="AD7" s="102">
        <v>2000267</v>
      </c>
      <c r="AE7" s="84" t="s">
        <v>132</v>
      </c>
      <c r="AG7" s="6"/>
      <c r="AH7" s="3"/>
      <c r="AI7" s="5"/>
      <c r="AJ7" s="4"/>
    </row>
    <row r="8" spans="1:41" x14ac:dyDescent="0.35">
      <c r="A8" s="45">
        <v>46132</v>
      </c>
      <c r="B8" s="47">
        <v>10000000</v>
      </c>
      <c r="C8" s="41">
        <v>2000210</v>
      </c>
      <c r="D8" s="37" t="s">
        <v>114</v>
      </c>
      <c r="F8" s="38">
        <v>46077</v>
      </c>
      <c r="G8" s="82">
        <v>7000000</v>
      </c>
      <c r="H8" s="102">
        <v>2000292</v>
      </c>
      <c r="I8" s="80" t="s">
        <v>114</v>
      </c>
      <c r="M8" s="79">
        <v>46063</v>
      </c>
      <c r="N8" s="82">
        <v>5000000</v>
      </c>
      <c r="O8" s="102">
        <v>2000259</v>
      </c>
      <c r="P8" s="80" t="s">
        <v>84</v>
      </c>
      <c r="R8" s="45">
        <v>46129</v>
      </c>
      <c r="S8" s="59">
        <v>3600000</v>
      </c>
      <c r="T8" s="41">
        <v>2000204</v>
      </c>
      <c r="U8" s="37" t="s">
        <v>86</v>
      </c>
      <c r="W8" s="91">
        <v>46153</v>
      </c>
      <c r="X8" s="82">
        <v>500000</v>
      </c>
      <c r="Y8" s="102">
        <v>2000190</v>
      </c>
      <c r="Z8" s="80" t="s">
        <v>99</v>
      </c>
      <c r="AB8" s="79">
        <v>46077</v>
      </c>
      <c r="AC8" s="82">
        <v>8000000</v>
      </c>
      <c r="AD8" s="102">
        <v>2000294</v>
      </c>
      <c r="AE8" s="80" t="s">
        <v>171</v>
      </c>
    </row>
    <row r="9" spans="1:41" x14ac:dyDescent="0.35">
      <c r="A9" s="45">
        <v>46136</v>
      </c>
      <c r="B9" s="48">
        <v>10000000</v>
      </c>
      <c r="C9" s="41">
        <v>2000232</v>
      </c>
      <c r="D9" s="37" t="s">
        <v>114</v>
      </c>
      <c r="F9" s="45">
        <v>46083</v>
      </c>
      <c r="G9" s="82">
        <v>10000000</v>
      </c>
      <c r="H9" s="102">
        <v>2000302</v>
      </c>
      <c r="I9" s="80" t="s">
        <v>114</v>
      </c>
      <c r="M9" s="79">
        <v>46066</v>
      </c>
      <c r="N9" s="82">
        <v>10000000</v>
      </c>
      <c r="O9" s="102">
        <v>2000274</v>
      </c>
      <c r="P9" s="80" t="s">
        <v>84</v>
      </c>
      <c r="R9" s="45">
        <v>46171</v>
      </c>
      <c r="S9" s="59">
        <v>2140000</v>
      </c>
      <c r="T9" s="41">
        <v>2000457</v>
      </c>
      <c r="U9" s="37" t="s">
        <v>86</v>
      </c>
      <c r="W9" s="45">
        <v>46184</v>
      </c>
      <c r="X9" s="51">
        <v>500000</v>
      </c>
      <c r="Y9" s="37">
        <v>2000492</v>
      </c>
      <c r="Z9" s="80" t="s">
        <v>99</v>
      </c>
      <c r="AB9" s="79">
        <v>46076</v>
      </c>
      <c r="AC9" s="82">
        <v>12000000</v>
      </c>
      <c r="AD9" s="102">
        <v>2000295</v>
      </c>
      <c r="AE9" s="80" t="s">
        <v>172</v>
      </c>
    </row>
    <row r="10" spans="1:41" x14ac:dyDescent="0.35">
      <c r="A10" s="45">
        <v>46153</v>
      </c>
      <c r="B10" s="48">
        <v>8000000</v>
      </c>
      <c r="C10" s="41">
        <v>2000187</v>
      </c>
      <c r="D10" s="37" t="s">
        <v>114</v>
      </c>
      <c r="F10" s="45">
        <v>46140</v>
      </c>
      <c r="G10" s="39">
        <v>5000000</v>
      </c>
      <c r="H10" s="37">
        <v>2000238</v>
      </c>
      <c r="I10" s="37" t="s">
        <v>114</v>
      </c>
      <c r="M10" s="79">
        <v>46070</v>
      </c>
      <c r="N10" s="82">
        <v>6700000</v>
      </c>
      <c r="O10" s="102">
        <v>2000284</v>
      </c>
      <c r="P10" s="80" t="s">
        <v>84</v>
      </c>
      <c r="R10" s="6"/>
      <c r="S10" s="7"/>
      <c r="X10" s="3"/>
      <c r="AB10" s="79">
        <v>46079</v>
      </c>
      <c r="AC10" s="82">
        <v>2467834</v>
      </c>
      <c r="AD10" s="102">
        <v>2000299</v>
      </c>
      <c r="AE10" s="84" t="s">
        <v>132</v>
      </c>
    </row>
    <row r="11" spans="1:41" x14ac:dyDescent="0.35">
      <c r="A11" s="45">
        <v>46161</v>
      </c>
      <c r="B11" s="48">
        <v>15000000</v>
      </c>
      <c r="C11" s="41">
        <v>2000425</v>
      </c>
      <c r="D11" s="37" t="s">
        <v>114</v>
      </c>
      <c r="F11" s="45">
        <v>46161</v>
      </c>
      <c r="G11" s="39">
        <v>5000000</v>
      </c>
      <c r="H11" s="37">
        <v>2000422</v>
      </c>
      <c r="I11" s="37" t="s">
        <v>114</v>
      </c>
      <c r="M11" s="79">
        <v>46073</v>
      </c>
      <c r="N11" s="82">
        <v>5000000</v>
      </c>
      <c r="O11" s="102">
        <v>2000289</v>
      </c>
      <c r="P11" s="80" t="s">
        <v>84</v>
      </c>
      <c r="R11" s="6"/>
      <c r="S11" s="7"/>
      <c r="X11" s="3"/>
      <c r="AB11" s="91">
        <v>46128</v>
      </c>
      <c r="AC11" s="82">
        <v>10000000</v>
      </c>
      <c r="AD11" s="102">
        <v>2000203</v>
      </c>
      <c r="AE11" s="84" t="s">
        <v>298</v>
      </c>
    </row>
    <row r="12" spans="1:41" x14ac:dyDescent="0.35">
      <c r="M12" s="38">
        <v>46079</v>
      </c>
      <c r="N12" s="59">
        <v>5000000</v>
      </c>
      <c r="O12" s="41">
        <v>2000298</v>
      </c>
      <c r="P12" s="37" t="s">
        <v>84</v>
      </c>
      <c r="R12" s="6"/>
      <c r="S12" s="7"/>
      <c r="X12" s="3"/>
    </row>
    <row r="13" spans="1:41" x14ac:dyDescent="0.35">
      <c r="M13" s="45">
        <v>46100</v>
      </c>
      <c r="N13" s="59">
        <v>2000000</v>
      </c>
      <c r="O13" s="41">
        <v>2000322</v>
      </c>
      <c r="P13" s="37" t="s">
        <v>84</v>
      </c>
      <c r="R13" s="6"/>
      <c r="S13" s="7"/>
      <c r="X13" s="3"/>
    </row>
    <row r="14" spans="1:41" x14ac:dyDescent="0.35">
      <c r="M14" s="45">
        <v>46091</v>
      </c>
      <c r="N14" s="59">
        <v>6000000</v>
      </c>
      <c r="O14" s="41">
        <v>2000343</v>
      </c>
      <c r="P14" s="37" t="s">
        <v>84</v>
      </c>
      <c r="R14" s="6"/>
      <c r="S14" s="7"/>
      <c r="X14" s="3"/>
    </row>
    <row r="15" spans="1:41" x14ac:dyDescent="0.35">
      <c r="N15" s="7"/>
      <c r="R15" s="6"/>
      <c r="S15" s="7"/>
      <c r="X15" s="3"/>
    </row>
    <row r="16" spans="1:41" x14ac:dyDescent="0.35">
      <c r="N16" s="7"/>
      <c r="R16" s="6"/>
      <c r="S16" s="7"/>
      <c r="X16" s="3"/>
    </row>
    <row r="17" spans="1:24" x14ac:dyDescent="0.35">
      <c r="N17" s="7"/>
      <c r="R17" s="6"/>
      <c r="S17" s="7"/>
      <c r="X17" s="3"/>
    </row>
    <row r="18" spans="1:24" x14ac:dyDescent="0.35">
      <c r="N18" s="7"/>
      <c r="R18" s="6"/>
      <c r="S18" s="7"/>
      <c r="X18" s="3"/>
    </row>
    <row r="19" spans="1:24" x14ac:dyDescent="0.35">
      <c r="N19" s="7"/>
      <c r="R19" s="6"/>
      <c r="S19" s="7"/>
      <c r="X19" s="3"/>
    </row>
    <row r="20" spans="1:24" x14ac:dyDescent="0.35">
      <c r="I20" s="2"/>
      <c r="R20" s="6"/>
      <c r="S20" s="7"/>
      <c r="X20" s="3"/>
    </row>
    <row r="21" spans="1:24" x14ac:dyDescent="0.35">
      <c r="A21" s="188" t="s">
        <v>161</v>
      </c>
      <c r="B21" s="188"/>
      <c r="C21" s="188"/>
      <c r="D21" s="188"/>
      <c r="F21" s="188" t="s">
        <v>307</v>
      </c>
      <c r="G21" s="188"/>
      <c r="H21" s="188"/>
      <c r="I21" s="188"/>
      <c r="R21" s="6"/>
      <c r="S21" s="7"/>
      <c r="X21" s="3"/>
    </row>
    <row r="22" spans="1:24" x14ac:dyDescent="0.35">
      <c r="A22" s="37"/>
      <c r="B22" s="37"/>
      <c r="C22" s="37"/>
      <c r="D22" s="37"/>
      <c r="F22" s="37"/>
      <c r="G22" s="37"/>
      <c r="H22" s="37"/>
      <c r="I22" s="37"/>
      <c r="R22" s="6"/>
      <c r="S22" s="7"/>
      <c r="X22" s="3"/>
    </row>
    <row r="23" spans="1:24" x14ac:dyDescent="0.35">
      <c r="A23" s="50" t="s">
        <v>80</v>
      </c>
      <c r="B23" s="50" t="s">
        <v>81</v>
      </c>
      <c r="C23" s="50" t="s">
        <v>82</v>
      </c>
      <c r="D23" s="50" t="s">
        <v>83</v>
      </c>
      <c r="F23" s="50" t="s">
        <v>80</v>
      </c>
      <c r="G23" s="50" t="s">
        <v>81</v>
      </c>
      <c r="H23" s="50" t="s">
        <v>82</v>
      </c>
      <c r="I23" s="50" t="s">
        <v>83</v>
      </c>
      <c r="R23" s="6"/>
      <c r="S23" s="7"/>
      <c r="X23" s="3"/>
    </row>
    <row r="24" spans="1:24" x14ac:dyDescent="0.35">
      <c r="A24" s="37"/>
      <c r="B24" s="37"/>
      <c r="C24" s="37"/>
      <c r="D24" s="37"/>
      <c r="F24" s="45">
        <v>46134</v>
      </c>
      <c r="G24" s="48">
        <v>6000000</v>
      </c>
      <c r="H24" s="37">
        <v>2000221</v>
      </c>
      <c r="I24" s="37" t="s">
        <v>308</v>
      </c>
      <c r="R24" s="6"/>
      <c r="S24" s="7"/>
    </row>
    <row r="25" spans="1:24" x14ac:dyDescent="0.35">
      <c r="A25" s="38">
        <v>46070</v>
      </c>
      <c r="B25" s="39">
        <v>2000000</v>
      </c>
      <c r="C25" s="41">
        <v>2000285</v>
      </c>
      <c r="D25" s="37" t="s">
        <v>162</v>
      </c>
      <c r="F25" s="45"/>
      <c r="G25" s="39"/>
      <c r="H25" s="41"/>
      <c r="I25" s="37"/>
      <c r="R25" s="6"/>
      <c r="S25" s="7"/>
    </row>
    <row r="26" spans="1:24" x14ac:dyDescent="0.35">
      <c r="A26" s="38">
        <v>46076</v>
      </c>
      <c r="B26" s="39">
        <v>2000000</v>
      </c>
      <c r="C26" s="41">
        <v>2000291</v>
      </c>
      <c r="D26" s="37" t="s">
        <v>162</v>
      </c>
      <c r="F26" s="37"/>
      <c r="G26" s="37"/>
      <c r="H26" s="37"/>
      <c r="I26" s="37"/>
      <c r="R26" s="6"/>
      <c r="S26" s="7"/>
    </row>
    <row r="27" spans="1:24" x14ac:dyDescent="0.35">
      <c r="A27" s="45">
        <v>46084</v>
      </c>
      <c r="B27" s="37">
        <v>3000000</v>
      </c>
      <c r="C27" s="37">
        <v>2000305</v>
      </c>
      <c r="D27" s="37" t="s">
        <v>162</v>
      </c>
      <c r="F27" s="37"/>
      <c r="G27" s="37"/>
      <c r="H27" s="37"/>
      <c r="I27" s="37"/>
    </row>
    <row r="28" spans="1:24" x14ac:dyDescent="0.35">
      <c r="A28" s="45">
        <v>46106</v>
      </c>
      <c r="B28" s="37">
        <v>1000000</v>
      </c>
      <c r="C28" s="37">
        <v>2000326</v>
      </c>
      <c r="D28" s="37" t="s">
        <v>162</v>
      </c>
      <c r="F28" s="37"/>
      <c r="G28" s="37"/>
      <c r="H28" s="37"/>
      <c r="I28" s="37"/>
    </row>
    <row r="29" spans="1:24" x14ac:dyDescent="0.35">
      <c r="A29" s="45">
        <v>46135</v>
      </c>
      <c r="B29" s="37">
        <v>3500000</v>
      </c>
      <c r="C29" s="37">
        <v>2000225</v>
      </c>
      <c r="D29" s="37" t="s">
        <v>162</v>
      </c>
      <c r="F29" s="37"/>
      <c r="G29" s="37"/>
      <c r="H29" s="37"/>
      <c r="I29" s="37"/>
    </row>
  </sheetData>
  <mergeCells count="10">
    <mergeCell ref="AG1:AJ1"/>
    <mergeCell ref="AL1:AO1"/>
    <mergeCell ref="A21:D21"/>
    <mergeCell ref="M1:P1"/>
    <mergeCell ref="R1:U1"/>
    <mergeCell ref="W1:Z1"/>
    <mergeCell ref="AB1:AE1"/>
    <mergeCell ref="A1:D1"/>
    <mergeCell ref="F1:I1"/>
    <mergeCell ref="F21:I2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E28"/>
  <sheetViews>
    <sheetView workbookViewId="0">
      <pane ySplit="2" topLeftCell="A12" activePane="bottomLeft" state="frozen"/>
      <selection pane="bottomLeft" activeCell="D27" sqref="D27"/>
    </sheetView>
  </sheetViews>
  <sheetFormatPr baseColWidth="10" defaultColWidth="8.7265625" defaultRowHeight="14.5" x14ac:dyDescent="0.35"/>
  <cols>
    <col min="1" max="1" width="9.54296875" bestFit="1" customWidth="1"/>
    <col min="2" max="2" width="11.54296875" bestFit="1" customWidth="1"/>
    <col min="3" max="3" width="29.26953125" bestFit="1" customWidth="1"/>
    <col min="4" max="4" width="31" bestFit="1" customWidth="1"/>
    <col min="5" max="5" width="41.7265625" customWidth="1"/>
  </cols>
  <sheetData>
    <row r="2" spans="1:5" x14ac:dyDescent="0.35">
      <c r="A2" s="57" t="s">
        <v>80</v>
      </c>
      <c r="B2" s="57" t="s">
        <v>92</v>
      </c>
      <c r="C2" s="57" t="s">
        <v>93</v>
      </c>
      <c r="D2" s="57" t="s">
        <v>94</v>
      </c>
      <c r="E2" s="57" t="s">
        <v>392</v>
      </c>
    </row>
    <row r="3" spans="1:5" x14ac:dyDescent="0.35">
      <c r="A3" s="45">
        <v>46038</v>
      </c>
      <c r="B3" s="51">
        <v>12000000</v>
      </c>
      <c r="C3" s="191" t="s">
        <v>95</v>
      </c>
      <c r="D3" s="191" t="s">
        <v>96</v>
      </c>
      <c r="E3" s="192" t="s">
        <v>97</v>
      </c>
    </row>
    <row r="4" spans="1:5" x14ac:dyDescent="0.35">
      <c r="A4" s="45">
        <v>46038</v>
      </c>
      <c r="B4" s="39">
        <v>15000000</v>
      </c>
      <c r="C4" s="191"/>
      <c r="D4" s="191"/>
      <c r="E4" s="192"/>
    </row>
    <row r="5" spans="1:5" x14ac:dyDescent="0.35">
      <c r="A5" s="45">
        <v>46038</v>
      </c>
      <c r="B5" s="39">
        <v>15000000</v>
      </c>
      <c r="C5" s="191"/>
      <c r="D5" s="191"/>
      <c r="E5" s="192"/>
    </row>
    <row r="6" spans="1:5" ht="29" x14ac:dyDescent="0.35">
      <c r="A6" s="45">
        <v>46052</v>
      </c>
      <c r="B6" s="39">
        <v>81000000</v>
      </c>
      <c r="C6" s="37" t="s">
        <v>108</v>
      </c>
      <c r="D6" s="52" t="s">
        <v>109</v>
      </c>
      <c r="E6" s="53" t="s">
        <v>107</v>
      </c>
    </row>
    <row r="7" spans="1:5" x14ac:dyDescent="0.35">
      <c r="A7" s="38">
        <v>46057</v>
      </c>
      <c r="B7" s="39">
        <v>16000000</v>
      </c>
      <c r="C7" s="37" t="s">
        <v>119</v>
      </c>
      <c r="D7" s="60" t="s">
        <v>118</v>
      </c>
      <c r="E7" s="193" t="s">
        <v>117</v>
      </c>
    </row>
    <row r="8" spans="1:5" x14ac:dyDescent="0.35">
      <c r="A8" s="38">
        <v>46057</v>
      </c>
      <c r="B8" s="39">
        <v>20000000</v>
      </c>
      <c r="C8" s="37" t="s">
        <v>119</v>
      </c>
      <c r="D8" s="60" t="s">
        <v>118</v>
      </c>
      <c r="E8" s="193"/>
    </row>
    <row r="9" spans="1:5" x14ac:dyDescent="0.35">
      <c r="A9" s="38">
        <v>46057</v>
      </c>
      <c r="B9" s="39">
        <v>20000000</v>
      </c>
      <c r="C9" s="37" t="s">
        <v>119</v>
      </c>
      <c r="D9" s="60" t="s">
        <v>118</v>
      </c>
      <c r="E9" s="193"/>
    </row>
    <row r="10" spans="1:5" x14ac:dyDescent="0.35">
      <c r="A10" s="45">
        <v>46104</v>
      </c>
      <c r="B10" s="39">
        <v>42880000</v>
      </c>
      <c r="C10" s="37" t="s">
        <v>212</v>
      </c>
      <c r="D10" s="37" t="s">
        <v>211</v>
      </c>
      <c r="E10" s="37"/>
    </row>
    <row r="11" spans="1:5" x14ac:dyDescent="0.35">
      <c r="A11" s="45">
        <v>46113</v>
      </c>
      <c r="B11" s="39">
        <v>20000000</v>
      </c>
      <c r="C11" s="189" t="s">
        <v>229</v>
      </c>
      <c r="D11" s="189" t="s">
        <v>230</v>
      </c>
      <c r="E11" s="37"/>
    </row>
    <row r="12" spans="1:5" x14ac:dyDescent="0.35">
      <c r="A12" s="45">
        <v>46113</v>
      </c>
      <c r="B12" s="39">
        <v>12000000</v>
      </c>
      <c r="C12" s="189"/>
      <c r="D12" s="189"/>
      <c r="E12" s="37"/>
    </row>
    <row r="13" spans="1:5" x14ac:dyDescent="0.35">
      <c r="A13" s="45">
        <v>46121</v>
      </c>
      <c r="B13" s="39">
        <v>8150000</v>
      </c>
      <c r="C13" s="37" t="s">
        <v>235</v>
      </c>
      <c r="D13" s="60" t="s">
        <v>236</v>
      </c>
      <c r="E13" s="40" t="s">
        <v>234</v>
      </c>
    </row>
    <row r="14" spans="1:5" x14ac:dyDescent="0.35">
      <c r="A14" s="45">
        <v>46122</v>
      </c>
      <c r="B14" s="39">
        <v>20000000</v>
      </c>
      <c r="C14" s="189" t="s">
        <v>277</v>
      </c>
      <c r="D14" s="61" t="s">
        <v>240</v>
      </c>
      <c r="E14" s="190" t="s">
        <v>241</v>
      </c>
    </row>
    <row r="15" spans="1:5" x14ac:dyDescent="0.35">
      <c r="A15" s="45">
        <v>46122</v>
      </c>
      <c r="B15" s="39">
        <v>20000000</v>
      </c>
      <c r="C15" s="189"/>
      <c r="D15" s="61" t="s">
        <v>240</v>
      </c>
      <c r="E15" s="190"/>
    </row>
    <row r="16" spans="1:5" x14ac:dyDescent="0.35">
      <c r="A16" s="45">
        <v>46122</v>
      </c>
      <c r="B16" s="39">
        <v>17500000</v>
      </c>
      <c r="C16" s="189"/>
      <c r="D16" s="61" t="s">
        <v>240</v>
      </c>
      <c r="E16" s="190"/>
    </row>
    <row r="17" spans="1:5" x14ac:dyDescent="0.35">
      <c r="A17" s="45">
        <v>46122</v>
      </c>
      <c r="B17" s="39">
        <v>7850000</v>
      </c>
      <c r="C17" s="37" t="s">
        <v>244</v>
      </c>
      <c r="D17" s="60" t="s">
        <v>236</v>
      </c>
      <c r="E17" s="54" t="s">
        <v>243</v>
      </c>
    </row>
    <row r="18" spans="1:5" x14ac:dyDescent="0.35">
      <c r="A18" s="55">
        <v>46122</v>
      </c>
      <c r="B18" s="43">
        <v>20000000</v>
      </c>
      <c r="C18" s="42"/>
      <c r="D18" s="56" t="s">
        <v>276</v>
      </c>
      <c r="E18" s="37"/>
    </row>
    <row r="19" spans="1:5" x14ac:dyDescent="0.35">
      <c r="A19" s="45">
        <v>46122</v>
      </c>
      <c r="B19" s="39">
        <v>20000000</v>
      </c>
      <c r="C19" s="189" t="s">
        <v>229</v>
      </c>
      <c r="D19" s="189" t="s">
        <v>236</v>
      </c>
      <c r="E19" s="37"/>
    </row>
    <row r="20" spans="1:5" x14ac:dyDescent="0.35">
      <c r="A20" s="45">
        <v>46122</v>
      </c>
      <c r="B20" s="39">
        <v>12000000</v>
      </c>
      <c r="C20" s="189"/>
      <c r="D20" s="189"/>
      <c r="E20" s="37"/>
    </row>
    <row r="21" spans="1:5" x14ac:dyDescent="0.35">
      <c r="A21" s="45">
        <v>46125</v>
      </c>
      <c r="B21" s="39">
        <v>8000000</v>
      </c>
      <c r="C21" s="37" t="s">
        <v>280</v>
      </c>
      <c r="D21" s="37" t="s">
        <v>236</v>
      </c>
      <c r="E21" s="37"/>
    </row>
    <row r="22" spans="1:5" x14ac:dyDescent="0.35">
      <c r="A22" s="45">
        <v>46125</v>
      </c>
      <c r="B22" s="40">
        <v>84480000</v>
      </c>
      <c r="C22" s="37" t="s">
        <v>285</v>
      </c>
      <c r="D22" s="37" t="s">
        <v>211</v>
      </c>
      <c r="E22" s="37"/>
    </row>
    <row r="23" spans="1:5" x14ac:dyDescent="0.35">
      <c r="A23" s="45">
        <v>46126</v>
      </c>
      <c r="B23" s="39">
        <v>16000000</v>
      </c>
      <c r="C23" s="189" t="s">
        <v>286</v>
      </c>
      <c r="D23" s="37" t="s">
        <v>236</v>
      </c>
      <c r="E23" s="37"/>
    </row>
    <row r="24" spans="1:5" x14ac:dyDescent="0.35">
      <c r="A24" s="45">
        <v>46126</v>
      </c>
      <c r="B24" s="39">
        <v>16000000</v>
      </c>
      <c r="C24" s="189"/>
      <c r="D24" s="37" t="s">
        <v>236</v>
      </c>
      <c r="E24" s="37"/>
    </row>
    <row r="25" spans="1:5" x14ac:dyDescent="0.35">
      <c r="A25" s="45">
        <v>46126</v>
      </c>
      <c r="B25" s="39">
        <v>76800000</v>
      </c>
      <c r="C25" s="37" t="s">
        <v>289</v>
      </c>
      <c r="D25" s="37" t="s">
        <v>211</v>
      </c>
      <c r="E25" s="37"/>
    </row>
    <row r="26" spans="1:5" x14ac:dyDescent="0.35">
      <c r="A26" s="45">
        <v>46127</v>
      </c>
      <c r="B26" s="39">
        <v>7680000</v>
      </c>
      <c r="C26" s="37" t="s">
        <v>293</v>
      </c>
      <c r="D26" s="37" t="s">
        <v>252</v>
      </c>
      <c r="E26" s="37"/>
    </row>
    <row r="27" spans="1:5" x14ac:dyDescent="0.35">
      <c r="A27" s="45">
        <v>46127</v>
      </c>
      <c r="B27" s="40">
        <v>46080000</v>
      </c>
      <c r="C27" s="37" t="s">
        <v>294</v>
      </c>
      <c r="D27" s="37" t="s">
        <v>295</v>
      </c>
      <c r="E27" s="37"/>
    </row>
    <row r="28" spans="1:5" x14ac:dyDescent="0.35">
      <c r="A28" s="45">
        <v>46127</v>
      </c>
      <c r="B28" s="39">
        <v>23040000</v>
      </c>
      <c r="C28" s="37" t="s">
        <v>296</v>
      </c>
      <c r="D28" s="37" t="s">
        <v>252</v>
      </c>
      <c r="E28" s="37"/>
    </row>
  </sheetData>
  <autoFilter ref="A2:E2" xr:uid="{00000000-0001-0000-0200-000000000000}"/>
  <mergeCells count="11">
    <mergeCell ref="C3:C5"/>
    <mergeCell ref="D3:D5"/>
    <mergeCell ref="E3:E5"/>
    <mergeCell ref="E7:E9"/>
    <mergeCell ref="C11:C12"/>
    <mergeCell ref="D11:D12"/>
    <mergeCell ref="C19:C20"/>
    <mergeCell ref="D19:D20"/>
    <mergeCell ref="C23:C24"/>
    <mergeCell ref="C14:C16"/>
    <mergeCell ref="E14:E1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E3B5E-AEB1-4F88-8D5F-1C4811958043}">
  <dimension ref="B1:F410"/>
  <sheetViews>
    <sheetView workbookViewId="0">
      <pane xSplit="1" ySplit="3" topLeftCell="B351" activePane="bottomRight" state="frozen"/>
      <selection pane="topRight" activeCell="B1" sqref="B1"/>
      <selection pane="bottomLeft" activeCell="A4" sqref="A4"/>
      <selection pane="bottomRight" activeCell="C259" sqref="C259"/>
    </sheetView>
  </sheetViews>
  <sheetFormatPr baseColWidth="10" defaultColWidth="8.7265625" defaultRowHeight="14.5" x14ac:dyDescent="0.35"/>
  <cols>
    <col min="2" max="2" width="10.90625" bestFit="1" customWidth="1"/>
    <col min="3" max="3" width="60.90625" bestFit="1" customWidth="1"/>
    <col min="4" max="4" width="14.6328125" style="35" bestFit="1" customWidth="1"/>
    <col min="5" max="5" width="11.08984375" style="76" bestFit="1" customWidth="1"/>
    <col min="6" max="6" width="118.08984375" bestFit="1" customWidth="1"/>
  </cols>
  <sheetData>
    <row r="1" spans="2:6" x14ac:dyDescent="0.35">
      <c r="C1" s="2" t="s">
        <v>401</v>
      </c>
    </row>
    <row r="3" spans="2:6" ht="29" x14ac:dyDescent="0.35">
      <c r="B3" s="66" t="s">
        <v>1</v>
      </c>
      <c r="C3" s="67" t="s">
        <v>2</v>
      </c>
      <c r="D3" s="68" t="s">
        <v>4</v>
      </c>
      <c r="E3" s="73" t="s">
        <v>6</v>
      </c>
      <c r="F3" s="69" t="s">
        <v>346</v>
      </c>
    </row>
    <row r="4" spans="2:6" x14ac:dyDescent="0.35">
      <c r="B4" s="38">
        <v>46023</v>
      </c>
      <c r="C4" s="37" t="s">
        <v>7</v>
      </c>
      <c r="D4" s="70">
        <v>1515000</v>
      </c>
      <c r="E4" s="75">
        <v>2000098</v>
      </c>
      <c r="F4" s="40"/>
    </row>
    <row r="5" spans="2:6" x14ac:dyDescent="0.35">
      <c r="B5" s="38">
        <v>46027</v>
      </c>
      <c r="C5" s="37" t="s">
        <v>260</v>
      </c>
      <c r="D5" s="70">
        <v>39307680</v>
      </c>
      <c r="E5" s="75">
        <v>2000099</v>
      </c>
      <c r="F5" s="40" t="s">
        <v>363</v>
      </c>
    </row>
    <row r="6" spans="2:6" x14ac:dyDescent="0.35">
      <c r="B6" s="38">
        <v>46028</v>
      </c>
      <c r="C6" s="37" t="s">
        <v>71</v>
      </c>
      <c r="D6" s="70">
        <v>3902000</v>
      </c>
      <c r="E6" s="77">
        <v>2000100</v>
      </c>
      <c r="F6" s="40" t="s">
        <v>72</v>
      </c>
    </row>
    <row r="7" spans="2:6" x14ac:dyDescent="0.35">
      <c r="B7" s="38">
        <v>46027</v>
      </c>
      <c r="C7" s="37" t="s">
        <v>347</v>
      </c>
      <c r="D7" s="70">
        <v>42236800</v>
      </c>
      <c r="E7" s="75">
        <v>2000101</v>
      </c>
      <c r="F7" s="40" t="s">
        <v>363</v>
      </c>
    </row>
    <row r="8" spans="2:6" x14ac:dyDescent="0.35">
      <c r="B8" s="38">
        <v>46027</v>
      </c>
      <c r="C8" s="37" t="s">
        <v>269</v>
      </c>
      <c r="D8" s="70">
        <v>23968000</v>
      </c>
      <c r="E8" s="75">
        <v>2000102</v>
      </c>
      <c r="F8" s="40" t="s">
        <v>363</v>
      </c>
    </row>
    <row r="9" spans="2:6" x14ac:dyDescent="0.35">
      <c r="B9" s="38">
        <v>46027</v>
      </c>
      <c r="C9" s="37" t="s">
        <v>73</v>
      </c>
      <c r="D9" s="70">
        <v>31000000</v>
      </c>
      <c r="E9" s="75">
        <v>2000103</v>
      </c>
      <c r="F9" s="40" t="s">
        <v>56</v>
      </c>
    </row>
    <row r="10" spans="2:6" x14ac:dyDescent="0.35">
      <c r="B10" s="38">
        <v>46027</v>
      </c>
      <c r="C10" s="37" t="s">
        <v>343</v>
      </c>
      <c r="D10" s="70">
        <v>53850220</v>
      </c>
      <c r="E10" s="75">
        <v>2000104</v>
      </c>
      <c r="F10" s="40" t="s">
        <v>363</v>
      </c>
    </row>
    <row r="11" spans="2:6" x14ac:dyDescent="0.35">
      <c r="B11" s="38">
        <v>46027</v>
      </c>
      <c r="C11" s="37" t="s">
        <v>360</v>
      </c>
      <c r="D11" s="70">
        <v>12153600</v>
      </c>
      <c r="E11" s="77">
        <v>2000105</v>
      </c>
      <c r="F11" s="40" t="s">
        <v>363</v>
      </c>
    </row>
    <row r="12" spans="2:6" x14ac:dyDescent="0.35">
      <c r="B12" s="38">
        <v>46027</v>
      </c>
      <c r="C12" s="37" t="s">
        <v>261</v>
      </c>
      <c r="D12" s="70">
        <v>27785100</v>
      </c>
      <c r="E12" s="77">
        <v>2000106</v>
      </c>
      <c r="F12" s="40" t="s">
        <v>363</v>
      </c>
    </row>
    <row r="13" spans="2:6" x14ac:dyDescent="0.35">
      <c r="B13" s="38">
        <v>46028</v>
      </c>
      <c r="C13" s="37" t="s">
        <v>339</v>
      </c>
      <c r="D13" s="70">
        <v>15270520</v>
      </c>
      <c r="E13" s="77">
        <v>2000107</v>
      </c>
      <c r="F13" s="40" t="s">
        <v>363</v>
      </c>
    </row>
    <row r="14" spans="2:6" x14ac:dyDescent="0.35">
      <c r="B14" s="38">
        <v>46028</v>
      </c>
      <c r="C14" s="37" t="s">
        <v>349</v>
      </c>
      <c r="D14" s="70">
        <v>24739200</v>
      </c>
      <c r="E14" s="77">
        <v>2000108</v>
      </c>
      <c r="F14" s="40" t="s">
        <v>363</v>
      </c>
    </row>
    <row r="15" spans="2:6" x14ac:dyDescent="0.35">
      <c r="B15" s="38">
        <v>46028</v>
      </c>
      <c r="C15" s="37" t="s">
        <v>73</v>
      </c>
      <c r="D15" s="70">
        <v>84000000</v>
      </c>
      <c r="E15" s="77">
        <v>2000109</v>
      </c>
      <c r="F15" s="40" t="s">
        <v>56</v>
      </c>
    </row>
    <row r="16" spans="2:6" x14ac:dyDescent="0.35">
      <c r="B16" s="38">
        <v>46028</v>
      </c>
      <c r="C16" s="37" t="s">
        <v>14</v>
      </c>
      <c r="D16" s="70">
        <v>2746353</v>
      </c>
      <c r="E16" s="77">
        <v>2000110</v>
      </c>
      <c r="F16" s="40" t="s">
        <v>319</v>
      </c>
    </row>
    <row r="17" spans="2:6" x14ac:dyDescent="0.35">
      <c r="B17" s="38">
        <v>46029</v>
      </c>
      <c r="C17" s="37" t="s">
        <v>332</v>
      </c>
      <c r="D17" s="70">
        <v>29407760</v>
      </c>
      <c r="E17" s="77">
        <v>2000111</v>
      </c>
      <c r="F17" s="40" t="s">
        <v>363</v>
      </c>
    </row>
    <row r="18" spans="2:6" x14ac:dyDescent="0.35">
      <c r="B18" s="38">
        <v>46029</v>
      </c>
      <c r="C18" s="37" t="s">
        <v>339</v>
      </c>
      <c r="D18" s="70">
        <v>23747140</v>
      </c>
      <c r="E18" s="77">
        <v>2000112</v>
      </c>
      <c r="F18" s="40" t="s">
        <v>363</v>
      </c>
    </row>
    <row r="19" spans="2:6" x14ac:dyDescent="0.35">
      <c r="B19" s="38">
        <v>46029</v>
      </c>
      <c r="C19" s="37" t="s">
        <v>358</v>
      </c>
      <c r="D19" s="70">
        <v>8694400</v>
      </c>
      <c r="E19" s="77">
        <v>2000113</v>
      </c>
      <c r="F19" s="40" t="s">
        <v>363</v>
      </c>
    </row>
    <row r="20" spans="2:6" x14ac:dyDescent="0.35">
      <c r="B20" s="38">
        <v>46034</v>
      </c>
      <c r="C20" s="37" t="s">
        <v>345</v>
      </c>
      <c r="D20" s="70">
        <v>21144800</v>
      </c>
      <c r="E20" s="77">
        <v>2000114</v>
      </c>
      <c r="F20" s="40" t="s">
        <v>363</v>
      </c>
    </row>
    <row r="21" spans="2:6" x14ac:dyDescent="0.35">
      <c r="B21" s="38">
        <v>46034</v>
      </c>
      <c r="C21" s="37" t="s">
        <v>352</v>
      </c>
      <c r="D21" s="70">
        <v>8284800</v>
      </c>
      <c r="E21" s="77">
        <v>2000115</v>
      </c>
      <c r="F21" s="40" t="s">
        <v>363</v>
      </c>
    </row>
    <row r="22" spans="2:6" x14ac:dyDescent="0.35">
      <c r="B22" s="38">
        <v>46034</v>
      </c>
      <c r="C22" s="37" t="s">
        <v>260</v>
      </c>
      <c r="D22" s="70">
        <v>24095880</v>
      </c>
      <c r="E22" s="77">
        <v>2000116</v>
      </c>
      <c r="F22" s="40" t="s">
        <v>363</v>
      </c>
    </row>
    <row r="23" spans="2:6" x14ac:dyDescent="0.35">
      <c r="B23" s="38">
        <v>46034</v>
      </c>
      <c r="C23" s="37" t="s">
        <v>351</v>
      </c>
      <c r="D23" s="70">
        <v>22802000</v>
      </c>
      <c r="E23" s="77">
        <v>2000118</v>
      </c>
      <c r="F23" s="40" t="s">
        <v>363</v>
      </c>
    </row>
    <row r="24" spans="2:6" x14ac:dyDescent="0.35">
      <c r="B24" s="38">
        <v>46034</v>
      </c>
      <c r="C24" s="37" t="s">
        <v>269</v>
      </c>
      <c r="D24" s="70">
        <v>98617200</v>
      </c>
      <c r="E24" s="77">
        <v>2000119</v>
      </c>
      <c r="F24" s="40" t="s">
        <v>363</v>
      </c>
    </row>
    <row r="25" spans="2:6" x14ac:dyDescent="0.35">
      <c r="B25" s="38">
        <v>46034</v>
      </c>
      <c r="C25" s="37" t="s">
        <v>261</v>
      </c>
      <c r="D25" s="70">
        <v>6797420</v>
      </c>
      <c r="E25" s="77">
        <v>2000120</v>
      </c>
      <c r="F25" s="40" t="s">
        <v>363</v>
      </c>
    </row>
    <row r="26" spans="2:6" x14ac:dyDescent="0.35">
      <c r="B26" s="38">
        <v>46034</v>
      </c>
      <c r="C26" s="37" t="s">
        <v>343</v>
      </c>
      <c r="D26" s="70">
        <v>35873280</v>
      </c>
      <c r="E26" s="77">
        <v>2000121</v>
      </c>
      <c r="F26" s="40" t="s">
        <v>363</v>
      </c>
    </row>
    <row r="27" spans="2:6" x14ac:dyDescent="0.35">
      <c r="B27" s="79"/>
      <c r="C27" s="85" t="s">
        <v>402</v>
      </c>
      <c r="D27" s="81"/>
      <c r="E27" s="86">
        <v>2000122</v>
      </c>
      <c r="F27" s="80"/>
    </row>
    <row r="28" spans="2:6" x14ac:dyDescent="0.35">
      <c r="B28" s="38">
        <v>46034</v>
      </c>
      <c r="C28" s="37" t="s">
        <v>347</v>
      </c>
      <c r="D28" s="70">
        <v>30243200</v>
      </c>
      <c r="E28" s="77">
        <v>2000123</v>
      </c>
      <c r="F28" s="40" t="s">
        <v>363</v>
      </c>
    </row>
    <row r="29" spans="2:6" x14ac:dyDescent="0.35">
      <c r="B29" s="38">
        <v>46035</v>
      </c>
      <c r="C29" s="37" t="s">
        <v>78</v>
      </c>
      <c r="D29" s="70">
        <v>10000000</v>
      </c>
      <c r="E29" s="77">
        <v>2000124</v>
      </c>
      <c r="F29" s="37" t="s">
        <v>79</v>
      </c>
    </row>
    <row r="30" spans="2:6" x14ac:dyDescent="0.35">
      <c r="B30" s="38">
        <v>46035</v>
      </c>
      <c r="C30" s="37" t="s">
        <v>14</v>
      </c>
      <c r="D30" s="70">
        <v>2264410</v>
      </c>
      <c r="E30" s="77">
        <v>2000125</v>
      </c>
      <c r="F30" s="40" t="s">
        <v>319</v>
      </c>
    </row>
    <row r="31" spans="2:6" x14ac:dyDescent="0.35">
      <c r="B31" s="79"/>
      <c r="C31" s="85" t="s">
        <v>402</v>
      </c>
      <c r="D31" s="81"/>
      <c r="E31" s="86">
        <v>2000126</v>
      </c>
      <c r="F31" s="84"/>
    </row>
    <row r="32" spans="2:6" x14ac:dyDescent="0.35">
      <c r="B32" s="38">
        <v>46036</v>
      </c>
      <c r="C32" s="37" t="s">
        <v>15</v>
      </c>
      <c r="D32" s="70">
        <v>5330499</v>
      </c>
      <c r="E32" s="77">
        <v>2000127</v>
      </c>
      <c r="F32" s="37" t="s">
        <v>15</v>
      </c>
    </row>
    <row r="33" spans="2:6" x14ac:dyDescent="0.35">
      <c r="B33" s="38">
        <v>46038</v>
      </c>
      <c r="C33" s="37" t="s">
        <v>78</v>
      </c>
      <c r="D33" s="70">
        <v>5000000</v>
      </c>
      <c r="E33" s="77">
        <v>2000128</v>
      </c>
      <c r="F33" s="37" t="s">
        <v>79</v>
      </c>
    </row>
    <row r="34" spans="2:6" x14ac:dyDescent="0.35">
      <c r="B34" s="38">
        <v>46041</v>
      </c>
      <c r="C34" s="37" t="s">
        <v>40</v>
      </c>
      <c r="D34" s="70">
        <v>500000</v>
      </c>
      <c r="E34" s="77">
        <v>2000129</v>
      </c>
      <c r="F34" s="40" t="s">
        <v>205</v>
      </c>
    </row>
    <row r="35" spans="2:6" x14ac:dyDescent="0.35">
      <c r="B35" s="38">
        <v>46038</v>
      </c>
      <c r="C35" s="37" t="s">
        <v>73</v>
      </c>
      <c r="D35" s="70">
        <v>70000000</v>
      </c>
      <c r="E35" s="77">
        <v>2000130</v>
      </c>
      <c r="F35" s="40" t="s">
        <v>56</v>
      </c>
    </row>
    <row r="36" spans="2:6" x14ac:dyDescent="0.35">
      <c r="B36" s="38">
        <v>46041</v>
      </c>
      <c r="C36" s="37" t="s">
        <v>269</v>
      </c>
      <c r="D36" s="70">
        <v>48942300</v>
      </c>
      <c r="E36" s="77">
        <v>2000131</v>
      </c>
      <c r="F36" s="40" t="s">
        <v>363</v>
      </c>
    </row>
    <row r="37" spans="2:6" x14ac:dyDescent="0.35">
      <c r="B37" s="38">
        <v>46041</v>
      </c>
      <c r="C37" s="37" t="s">
        <v>362</v>
      </c>
      <c r="D37" s="70">
        <v>10000000</v>
      </c>
      <c r="E37" s="77">
        <v>2000132</v>
      </c>
      <c r="F37" s="40" t="s">
        <v>361</v>
      </c>
    </row>
    <row r="38" spans="2:6" x14ac:dyDescent="0.35">
      <c r="B38" s="38">
        <v>46042</v>
      </c>
      <c r="C38" s="37" t="s">
        <v>73</v>
      </c>
      <c r="D38" s="70">
        <v>38000000</v>
      </c>
      <c r="E38" s="77">
        <v>2000133</v>
      </c>
      <c r="F38" s="40" t="s">
        <v>56</v>
      </c>
    </row>
    <row r="39" spans="2:6" x14ac:dyDescent="0.35">
      <c r="B39" s="38">
        <v>46049</v>
      </c>
      <c r="C39" s="37" t="s">
        <v>73</v>
      </c>
      <c r="D39" s="70">
        <v>75000000</v>
      </c>
      <c r="E39" s="77">
        <v>2000134</v>
      </c>
      <c r="F39" s="40" t="s">
        <v>56</v>
      </c>
    </row>
    <row r="40" spans="2:6" x14ac:dyDescent="0.35">
      <c r="B40" s="38">
        <v>46056</v>
      </c>
      <c r="C40" s="37" t="s">
        <v>357</v>
      </c>
      <c r="D40" s="70">
        <v>94000000</v>
      </c>
      <c r="E40" s="77">
        <v>2000135</v>
      </c>
      <c r="F40" s="40" t="s">
        <v>110</v>
      </c>
    </row>
    <row r="41" spans="2:6" x14ac:dyDescent="0.35">
      <c r="B41" s="38">
        <v>46057</v>
      </c>
      <c r="C41" s="37" t="s">
        <v>111</v>
      </c>
      <c r="D41" s="70">
        <v>9273083</v>
      </c>
      <c r="E41" s="77">
        <v>2000136</v>
      </c>
      <c r="F41" s="40" t="s">
        <v>112</v>
      </c>
    </row>
    <row r="42" spans="2:6" x14ac:dyDescent="0.35">
      <c r="B42" s="38">
        <v>46055</v>
      </c>
      <c r="C42" s="37" t="s">
        <v>73</v>
      </c>
      <c r="D42" s="70">
        <v>65000000</v>
      </c>
      <c r="E42" s="77">
        <v>2000137</v>
      </c>
      <c r="F42" s="40" t="s">
        <v>56</v>
      </c>
    </row>
    <row r="43" spans="2:6" x14ac:dyDescent="0.35">
      <c r="B43" s="38">
        <v>46056</v>
      </c>
      <c r="C43" s="37" t="s">
        <v>71</v>
      </c>
      <c r="D43" s="70">
        <v>12660000</v>
      </c>
      <c r="E43" s="77">
        <v>2000138</v>
      </c>
      <c r="F43" s="40" t="s">
        <v>72</v>
      </c>
    </row>
    <row r="44" spans="2:6" x14ac:dyDescent="0.35">
      <c r="B44" s="38">
        <v>46055</v>
      </c>
      <c r="C44" s="37" t="s">
        <v>262</v>
      </c>
      <c r="D44" s="70">
        <v>6822160</v>
      </c>
      <c r="E44" s="77">
        <v>2000139</v>
      </c>
      <c r="F44" s="40" t="s">
        <v>363</v>
      </c>
    </row>
    <row r="45" spans="2:6" x14ac:dyDescent="0.35">
      <c r="B45" s="38">
        <v>46055</v>
      </c>
      <c r="C45" s="37" t="s">
        <v>25</v>
      </c>
      <c r="D45" s="70">
        <v>10803500</v>
      </c>
      <c r="E45" s="77">
        <v>2000140</v>
      </c>
      <c r="F45" s="40" t="s">
        <v>202</v>
      </c>
    </row>
    <row r="46" spans="2:6" x14ac:dyDescent="0.35">
      <c r="B46" s="38">
        <v>46059</v>
      </c>
      <c r="C46" s="37" t="s">
        <v>356</v>
      </c>
      <c r="D46" s="70">
        <v>350000</v>
      </c>
      <c r="E46" s="77">
        <v>2000141</v>
      </c>
      <c r="F46" s="40" t="s">
        <v>116</v>
      </c>
    </row>
    <row r="47" spans="2:6" x14ac:dyDescent="0.35">
      <c r="B47" s="38">
        <v>46055</v>
      </c>
      <c r="C47" s="37" t="s">
        <v>345</v>
      </c>
      <c r="D47" s="70">
        <v>9616320</v>
      </c>
      <c r="E47" s="77">
        <v>2000142</v>
      </c>
      <c r="F47" s="40" t="s">
        <v>363</v>
      </c>
    </row>
    <row r="48" spans="2:6" x14ac:dyDescent="0.35">
      <c r="B48" s="38">
        <v>46056</v>
      </c>
      <c r="C48" s="37" t="s">
        <v>73</v>
      </c>
      <c r="D48" s="70">
        <v>65000000</v>
      </c>
      <c r="E48" s="77">
        <v>2000143</v>
      </c>
      <c r="F48" s="40" t="s">
        <v>56</v>
      </c>
    </row>
    <row r="49" spans="2:6" x14ac:dyDescent="0.35">
      <c r="B49" s="38">
        <v>46057</v>
      </c>
      <c r="C49" s="37" t="s">
        <v>78</v>
      </c>
      <c r="D49" s="70">
        <v>15000000</v>
      </c>
      <c r="E49" s="77">
        <v>2000144</v>
      </c>
      <c r="F49" s="37" t="s">
        <v>79</v>
      </c>
    </row>
    <row r="50" spans="2:6" x14ac:dyDescent="0.35">
      <c r="B50" s="38">
        <v>46059</v>
      </c>
      <c r="C50" s="37" t="s">
        <v>225</v>
      </c>
      <c r="D50" s="70">
        <v>120000000</v>
      </c>
      <c r="E50" s="77">
        <v>2000145</v>
      </c>
      <c r="F50" s="40" t="s">
        <v>122</v>
      </c>
    </row>
    <row r="51" spans="2:6" x14ac:dyDescent="0.35">
      <c r="B51" s="38">
        <v>46057</v>
      </c>
      <c r="C51" s="37" t="s">
        <v>73</v>
      </c>
      <c r="D51" s="70">
        <v>75000000</v>
      </c>
      <c r="E51" s="77">
        <v>2000146</v>
      </c>
      <c r="F51" s="40" t="s">
        <v>56</v>
      </c>
    </row>
    <row r="52" spans="2:6" x14ac:dyDescent="0.35">
      <c r="B52" s="38">
        <v>46062</v>
      </c>
      <c r="C52" s="37" t="s">
        <v>123</v>
      </c>
      <c r="D52" s="70">
        <v>8093000</v>
      </c>
      <c r="E52" s="77">
        <v>2000147</v>
      </c>
      <c r="F52" s="40" t="s">
        <v>124</v>
      </c>
    </row>
    <row r="53" spans="2:6" x14ac:dyDescent="0.35">
      <c r="B53" s="38">
        <v>46058</v>
      </c>
      <c r="C53" s="37" t="s">
        <v>73</v>
      </c>
      <c r="D53" s="70">
        <v>80000000</v>
      </c>
      <c r="E53" s="77">
        <v>2000148</v>
      </c>
      <c r="F53" s="40" t="s">
        <v>56</v>
      </c>
    </row>
    <row r="54" spans="2:6" x14ac:dyDescent="0.35">
      <c r="B54" s="38">
        <v>46058</v>
      </c>
      <c r="C54" s="37" t="s">
        <v>73</v>
      </c>
      <c r="D54" s="70">
        <v>84000000</v>
      </c>
      <c r="E54" s="77">
        <v>2000149</v>
      </c>
      <c r="F54" s="40" t="s">
        <v>56</v>
      </c>
    </row>
    <row r="55" spans="2:6" x14ac:dyDescent="0.35">
      <c r="B55" s="38">
        <v>46062</v>
      </c>
      <c r="C55" s="37" t="s">
        <v>332</v>
      </c>
      <c r="D55" s="70">
        <v>9061920</v>
      </c>
      <c r="E55" s="77">
        <v>2000150</v>
      </c>
      <c r="F55" s="40" t="s">
        <v>363</v>
      </c>
    </row>
    <row r="56" spans="2:6" x14ac:dyDescent="0.35">
      <c r="B56" s="44">
        <v>46142</v>
      </c>
      <c r="C56" s="37" t="s">
        <v>152</v>
      </c>
      <c r="D56" s="70">
        <v>1066316</v>
      </c>
      <c r="E56" s="77">
        <v>2000151</v>
      </c>
      <c r="F56" s="40" t="s">
        <v>320</v>
      </c>
    </row>
    <row r="57" spans="2:6" x14ac:dyDescent="0.35">
      <c r="B57" s="44">
        <v>46147</v>
      </c>
      <c r="C57" s="37" t="s">
        <v>198</v>
      </c>
      <c r="D57" s="70">
        <v>767246</v>
      </c>
      <c r="E57" s="77">
        <v>2000152</v>
      </c>
      <c r="F57" s="40" t="s">
        <v>350</v>
      </c>
    </row>
    <row r="58" spans="2:6" x14ac:dyDescent="0.35">
      <c r="B58" s="44">
        <v>46146</v>
      </c>
      <c r="C58" s="37" t="s">
        <v>28</v>
      </c>
      <c r="D58" s="70">
        <v>1180000</v>
      </c>
      <c r="E58" s="77">
        <v>2000153</v>
      </c>
      <c r="F58" s="37" t="s">
        <v>148</v>
      </c>
    </row>
    <row r="59" spans="2:6" x14ac:dyDescent="0.35">
      <c r="B59" s="44">
        <v>46142</v>
      </c>
      <c r="C59" s="37" t="s">
        <v>261</v>
      </c>
      <c r="D59" s="70">
        <v>11298880</v>
      </c>
      <c r="E59" s="77">
        <v>2000154</v>
      </c>
      <c r="F59" s="40" t="s">
        <v>363</v>
      </c>
    </row>
    <row r="60" spans="2:6" x14ac:dyDescent="0.35">
      <c r="B60" s="44">
        <v>46147</v>
      </c>
      <c r="C60" s="37" t="s">
        <v>336</v>
      </c>
      <c r="D60" s="70">
        <v>6332160</v>
      </c>
      <c r="E60" s="77">
        <v>2000155</v>
      </c>
      <c r="F60" s="40" t="s">
        <v>344</v>
      </c>
    </row>
    <row r="61" spans="2:6" x14ac:dyDescent="0.35">
      <c r="B61" s="44">
        <v>46147</v>
      </c>
      <c r="C61" s="37" t="s">
        <v>264</v>
      </c>
      <c r="D61" s="70">
        <v>26139200</v>
      </c>
      <c r="E61" s="77">
        <v>2000156</v>
      </c>
      <c r="F61" s="40" t="s">
        <v>363</v>
      </c>
    </row>
    <row r="62" spans="2:6" x14ac:dyDescent="0.35">
      <c r="B62" s="44">
        <v>46147</v>
      </c>
      <c r="C62" s="37" t="s">
        <v>335</v>
      </c>
      <c r="D62" s="70">
        <v>11304320</v>
      </c>
      <c r="E62" s="77">
        <v>2000157</v>
      </c>
      <c r="F62" s="40" t="s">
        <v>363</v>
      </c>
    </row>
    <row r="63" spans="2:6" x14ac:dyDescent="0.35">
      <c r="B63" s="44">
        <v>46147</v>
      </c>
      <c r="C63" s="37" t="s">
        <v>261</v>
      </c>
      <c r="D63" s="70">
        <v>25758400</v>
      </c>
      <c r="E63" s="77">
        <v>2000158</v>
      </c>
      <c r="F63" s="40" t="s">
        <v>363</v>
      </c>
    </row>
    <row r="64" spans="2:6" x14ac:dyDescent="0.35">
      <c r="B64" s="44">
        <v>46147</v>
      </c>
      <c r="C64" s="37" t="s">
        <v>339</v>
      </c>
      <c r="D64" s="70">
        <v>12566400</v>
      </c>
      <c r="E64" s="77">
        <v>2000159</v>
      </c>
      <c r="F64" s="40" t="s">
        <v>363</v>
      </c>
    </row>
    <row r="65" spans="2:6" x14ac:dyDescent="0.35">
      <c r="B65" s="44">
        <v>46147</v>
      </c>
      <c r="C65" s="37" t="s">
        <v>332</v>
      </c>
      <c r="D65" s="70">
        <v>14024320</v>
      </c>
      <c r="E65" s="77">
        <v>2000160</v>
      </c>
      <c r="F65" s="40" t="s">
        <v>363</v>
      </c>
    </row>
    <row r="66" spans="2:6" x14ac:dyDescent="0.35">
      <c r="B66" s="44">
        <v>46147</v>
      </c>
      <c r="C66" s="37" t="s">
        <v>261</v>
      </c>
      <c r="D66" s="70">
        <v>14557440</v>
      </c>
      <c r="E66" s="77">
        <v>2000161</v>
      </c>
      <c r="F66" s="40" t="s">
        <v>363</v>
      </c>
    </row>
    <row r="67" spans="2:6" x14ac:dyDescent="0.35">
      <c r="B67" s="45">
        <v>46157</v>
      </c>
      <c r="C67" s="37" t="s">
        <v>339</v>
      </c>
      <c r="D67" s="46">
        <v>14338500</v>
      </c>
      <c r="E67" s="75">
        <v>2000162</v>
      </c>
      <c r="F67" s="40" t="s">
        <v>363</v>
      </c>
    </row>
    <row r="68" spans="2:6" x14ac:dyDescent="0.35">
      <c r="B68" s="44">
        <v>46147</v>
      </c>
      <c r="C68" s="37" t="s">
        <v>337</v>
      </c>
      <c r="D68" s="70">
        <v>42241600</v>
      </c>
      <c r="E68" s="77">
        <v>2000163</v>
      </c>
      <c r="F68" s="40" t="s">
        <v>363</v>
      </c>
    </row>
    <row r="69" spans="2:6" s="101" customFormat="1" x14ac:dyDescent="0.35">
      <c r="B69" s="100">
        <v>46147</v>
      </c>
      <c r="C69" s="80" t="s">
        <v>343</v>
      </c>
      <c r="D69" s="81">
        <v>22906800</v>
      </c>
      <c r="E69" s="83">
        <v>2000164</v>
      </c>
      <c r="F69" s="84" t="s">
        <v>363</v>
      </c>
    </row>
    <row r="70" spans="2:6" x14ac:dyDescent="0.35">
      <c r="B70" s="44">
        <v>46147</v>
      </c>
      <c r="C70" s="37" t="s">
        <v>333</v>
      </c>
      <c r="D70" s="70">
        <v>41811840</v>
      </c>
      <c r="E70" s="77">
        <v>2000165</v>
      </c>
      <c r="F70" s="40" t="s">
        <v>363</v>
      </c>
    </row>
    <row r="71" spans="2:6" x14ac:dyDescent="0.35">
      <c r="B71" s="44">
        <v>46147</v>
      </c>
      <c r="C71" s="37" t="s">
        <v>262</v>
      </c>
      <c r="D71" s="70">
        <v>4077000</v>
      </c>
      <c r="E71" s="77">
        <v>2000166</v>
      </c>
      <c r="F71" s="40" t="s">
        <v>363</v>
      </c>
    </row>
    <row r="72" spans="2:6" x14ac:dyDescent="0.35">
      <c r="B72" s="44">
        <v>46147</v>
      </c>
      <c r="C72" s="37" t="s">
        <v>73</v>
      </c>
      <c r="D72" s="70">
        <v>10000000</v>
      </c>
      <c r="E72" s="77">
        <v>2000167</v>
      </c>
      <c r="F72" s="40" t="s">
        <v>56</v>
      </c>
    </row>
    <row r="73" spans="2:6" x14ac:dyDescent="0.35">
      <c r="B73" s="44">
        <v>46148</v>
      </c>
      <c r="C73" s="37" t="s">
        <v>339</v>
      </c>
      <c r="D73" s="70">
        <v>23364800</v>
      </c>
      <c r="E73" s="77">
        <v>2000168</v>
      </c>
      <c r="F73" s="40" t="s">
        <v>363</v>
      </c>
    </row>
    <row r="74" spans="2:6" x14ac:dyDescent="0.35">
      <c r="B74" s="44">
        <v>46148</v>
      </c>
      <c r="C74" s="37" t="s">
        <v>53</v>
      </c>
      <c r="D74" s="70">
        <v>3060000</v>
      </c>
      <c r="E74" s="77">
        <v>2000169</v>
      </c>
      <c r="F74" s="40" t="s">
        <v>222</v>
      </c>
    </row>
    <row r="75" spans="2:6" x14ac:dyDescent="0.35">
      <c r="B75" s="44">
        <v>46148</v>
      </c>
      <c r="C75" s="37" t="s">
        <v>338</v>
      </c>
      <c r="D75" s="70">
        <v>1200000</v>
      </c>
      <c r="E75" s="77">
        <v>2000170</v>
      </c>
      <c r="F75" s="40" t="s">
        <v>163</v>
      </c>
    </row>
    <row r="76" spans="2:6" x14ac:dyDescent="0.35">
      <c r="B76" s="44">
        <v>46149</v>
      </c>
      <c r="C76" s="37" t="s">
        <v>333</v>
      </c>
      <c r="D76" s="70">
        <v>40685760</v>
      </c>
      <c r="E76" s="77">
        <v>2000171</v>
      </c>
      <c r="F76" s="40" t="s">
        <v>363</v>
      </c>
    </row>
    <row r="77" spans="2:6" x14ac:dyDescent="0.35">
      <c r="B77" s="44">
        <v>46148</v>
      </c>
      <c r="C77" s="37" t="s">
        <v>267</v>
      </c>
      <c r="D77" s="70">
        <v>13551040</v>
      </c>
      <c r="E77" s="77">
        <v>2000172</v>
      </c>
      <c r="F77" s="40" t="s">
        <v>363</v>
      </c>
    </row>
    <row r="78" spans="2:6" x14ac:dyDescent="0.35">
      <c r="B78" s="44">
        <v>46148</v>
      </c>
      <c r="C78" s="37" t="s">
        <v>266</v>
      </c>
      <c r="D78" s="70">
        <v>13910400</v>
      </c>
      <c r="E78" s="77">
        <v>2000173</v>
      </c>
      <c r="F78" s="40" t="s">
        <v>363</v>
      </c>
    </row>
    <row r="79" spans="2:6" x14ac:dyDescent="0.35">
      <c r="B79" s="44">
        <v>46149</v>
      </c>
      <c r="C79" s="37" t="s">
        <v>339</v>
      </c>
      <c r="D79" s="70">
        <v>35332800</v>
      </c>
      <c r="E79" s="77">
        <v>2000174</v>
      </c>
      <c r="F79" s="40" t="s">
        <v>363</v>
      </c>
    </row>
    <row r="80" spans="2:6" x14ac:dyDescent="0.35">
      <c r="B80" s="44">
        <v>46149</v>
      </c>
      <c r="C80" s="37" t="s">
        <v>343</v>
      </c>
      <c r="D80" s="70">
        <v>15201000</v>
      </c>
      <c r="E80" s="77">
        <v>2000176</v>
      </c>
      <c r="F80" s="40" t="s">
        <v>363</v>
      </c>
    </row>
    <row r="81" spans="2:6" x14ac:dyDescent="0.35">
      <c r="B81" s="44">
        <v>46148</v>
      </c>
      <c r="C81" s="37" t="s">
        <v>329</v>
      </c>
      <c r="D81" s="70">
        <v>3348000</v>
      </c>
      <c r="E81" s="77">
        <v>2000175</v>
      </c>
      <c r="F81" s="40" t="s">
        <v>363</v>
      </c>
    </row>
    <row r="82" spans="2:6" x14ac:dyDescent="0.35">
      <c r="B82" s="44">
        <v>46149</v>
      </c>
      <c r="C82" s="37" t="s">
        <v>152</v>
      </c>
      <c r="D82" s="70">
        <v>786258</v>
      </c>
      <c r="E82" s="77">
        <v>2000177</v>
      </c>
      <c r="F82" s="40" t="s">
        <v>327</v>
      </c>
    </row>
    <row r="83" spans="2:6" x14ac:dyDescent="0.35">
      <c r="B83" s="44">
        <v>46149</v>
      </c>
      <c r="C83" s="37" t="s">
        <v>332</v>
      </c>
      <c r="D83" s="70">
        <v>13072320</v>
      </c>
      <c r="E83" s="77">
        <v>2000178</v>
      </c>
      <c r="F83" s="40" t="s">
        <v>363</v>
      </c>
    </row>
    <row r="84" spans="2:6" x14ac:dyDescent="0.35">
      <c r="B84" s="44">
        <v>46149</v>
      </c>
      <c r="C84" s="37" t="s">
        <v>262</v>
      </c>
      <c r="D84" s="70">
        <v>15550080</v>
      </c>
      <c r="E84" s="77">
        <v>2000179</v>
      </c>
      <c r="F84" s="40" t="s">
        <v>363</v>
      </c>
    </row>
    <row r="85" spans="2:6" x14ac:dyDescent="0.35">
      <c r="B85" s="44">
        <v>46149</v>
      </c>
      <c r="C85" s="37" t="s">
        <v>262</v>
      </c>
      <c r="D85" s="70">
        <v>3046400</v>
      </c>
      <c r="E85" s="77">
        <v>2000180</v>
      </c>
      <c r="F85" s="40" t="s">
        <v>363</v>
      </c>
    </row>
    <row r="86" spans="2:6" x14ac:dyDescent="0.35">
      <c r="B86" s="44">
        <v>46150</v>
      </c>
      <c r="C86" s="37" t="s">
        <v>268</v>
      </c>
      <c r="D86" s="70">
        <v>5400000</v>
      </c>
      <c r="E86" s="77">
        <v>2000181</v>
      </c>
      <c r="F86" s="40" t="s">
        <v>340</v>
      </c>
    </row>
    <row r="87" spans="2:6" x14ac:dyDescent="0.35">
      <c r="B87" s="90"/>
      <c r="C87" s="85" t="s">
        <v>402</v>
      </c>
      <c r="D87" s="88"/>
      <c r="E87" s="86">
        <v>2000182</v>
      </c>
      <c r="F87" s="89"/>
    </row>
    <row r="88" spans="2:6" x14ac:dyDescent="0.35">
      <c r="B88" s="44">
        <v>46150</v>
      </c>
      <c r="C88" s="37" t="s">
        <v>362</v>
      </c>
      <c r="D88" s="70">
        <v>19000000</v>
      </c>
      <c r="E88" s="77">
        <v>2000183</v>
      </c>
      <c r="F88" s="40" t="s">
        <v>361</v>
      </c>
    </row>
    <row r="89" spans="2:6" x14ac:dyDescent="0.35">
      <c r="B89" s="90"/>
      <c r="C89" s="85" t="s">
        <v>402</v>
      </c>
      <c r="D89" s="88"/>
      <c r="E89" s="86">
        <v>2000184</v>
      </c>
      <c r="F89" s="89"/>
    </row>
    <row r="90" spans="2:6" x14ac:dyDescent="0.35">
      <c r="B90" s="44">
        <v>46150</v>
      </c>
      <c r="C90" s="37" t="s">
        <v>336</v>
      </c>
      <c r="D90" s="70">
        <v>5951360</v>
      </c>
      <c r="E90" s="77">
        <v>2000185</v>
      </c>
      <c r="F90" s="40" t="s">
        <v>344</v>
      </c>
    </row>
    <row r="91" spans="2:6" x14ac:dyDescent="0.35">
      <c r="B91" s="44">
        <v>46150</v>
      </c>
      <c r="C91" s="37" t="s">
        <v>339</v>
      </c>
      <c r="D91" s="70">
        <v>26824640</v>
      </c>
      <c r="E91" s="77">
        <v>2000186</v>
      </c>
      <c r="F91" s="40" t="s">
        <v>363</v>
      </c>
    </row>
    <row r="92" spans="2:6" x14ac:dyDescent="0.35">
      <c r="B92" s="44">
        <v>46153</v>
      </c>
      <c r="C92" s="37" t="s">
        <v>25</v>
      </c>
      <c r="D92" s="70">
        <v>8000000</v>
      </c>
      <c r="E92" s="77">
        <v>2000187</v>
      </c>
      <c r="F92" s="40" t="s">
        <v>202</v>
      </c>
    </row>
    <row r="93" spans="2:6" x14ac:dyDescent="0.35">
      <c r="B93" s="44">
        <v>46150</v>
      </c>
      <c r="C93" s="37" t="s">
        <v>262</v>
      </c>
      <c r="D93" s="70">
        <v>13873860</v>
      </c>
      <c r="E93" s="77">
        <v>2000188</v>
      </c>
      <c r="F93" s="40" t="s">
        <v>363</v>
      </c>
    </row>
    <row r="94" spans="2:6" x14ac:dyDescent="0.35">
      <c r="B94" s="44">
        <v>46150</v>
      </c>
      <c r="C94" s="37" t="s">
        <v>333</v>
      </c>
      <c r="D94" s="70">
        <v>13915520</v>
      </c>
      <c r="E94" s="77">
        <v>2000189</v>
      </c>
      <c r="F94" s="40" t="s">
        <v>363</v>
      </c>
    </row>
    <row r="95" spans="2:6" x14ac:dyDescent="0.35">
      <c r="B95" s="44">
        <v>46153</v>
      </c>
      <c r="C95" s="37" t="s">
        <v>40</v>
      </c>
      <c r="D95" s="70">
        <v>500000</v>
      </c>
      <c r="E95" s="77">
        <v>2000190</v>
      </c>
      <c r="F95" s="40" t="s">
        <v>205</v>
      </c>
    </row>
    <row r="96" spans="2:6" x14ac:dyDescent="0.35">
      <c r="B96" s="44">
        <v>46153</v>
      </c>
      <c r="C96" s="37" t="s">
        <v>332</v>
      </c>
      <c r="D96" s="70">
        <v>13398840</v>
      </c>
      <c r="E96" s="77">
        <v>2000191</v>
      </c>
      <c r="F96" s="40" t="s">
        <v>363</v>
      </c>
    </row>
    <row r="97" spans="2:6" x14ac:dyDescent="0.35">
      <c r="B97" s="90"/>
      <c r="C97" s="85" t="s">
        <v>402</v>
      </c>
      <c r="D97" s="88"/>
      <c r="E97" s="86">
        <v>2000192</v>
      </c>
      <c r="F97" s="89"/>
    </row>
    <row r="98" spans="2:6" x14ac:dyDescent="0.35">
      <c r="B98" s="45">
        <v>46157</v>
      </c>
      <c r="C98" s="37" t="s">
        <v>10</v>
      </c>
      <c r="D98" s="46">
        <v>378252</v>
      </c>
      <c r="E98" s="75">
        <v>2000193</v>
      </c>
      <c r="F98" s="37"/>
    </row>
    <row r="99" spans="2:6" x14ac:dyDescent="0.35">
      <c r="B99" s="44">
        <v>46153</v>
      </c>
      <c r="C99" s="37" t="s">
        <v>269</v>
      </c>
      <c r="D99" s="70">
        <v>30000000</v>
      </c>
      <c r="E99" s="77">
        <v>2000194</v>
      </c>
      <c r="F99" s="40" t="s">
        <v>363</v>
      </c>
    </row>
    <row r="100" spans="2:6" x14ac:dyDescent="0.35">
      <c r="B100" s="90"/>
      <c r="C100" s="85" t="s">
        <v>402</v>
      </c>
      <c r="D100" s="88"/>
      <c r="E100" s="86">
        <v>2000195</v>
      </c>
      <c r="F100" s="89"/>
    </row>
    <row r="101" spans="2:6" x14ac:dyDescent="0.35">
      <c r="B101" s="44">
        <v>46153</v>
      </c>
      <c r="C101" s="37" t="s">
        <v>269</v>
      </c>
      <c r="D101" s="70">
        <v>30000000</v>
      </c>
      <c r="E101" s="77">
        <v>2000196</v>
      </c>
      <c r="F101" s="40" t="s">
        <v>363</v>
      </c>
    </row>
    <row r="102" spans="2:6" x14ac:dyDescent="0.35">
      <c r="B102" s="44">
        <v>46153</v>
      </c>
      <c r="C102" s="37" t="s">
        <v>269</v>
      </c>
      <c r="D102" s="70">
        <v>20000000</v>
      </c>
      <c r="E102" s="77">
        <v>2000197</v>
      </c>
      <c r="F102" s="40" t="s">
        <v>363</v>
      </c>
    </row>
    <row r="103" spans="2:6" x14ac:dyDescent="0.35">
      <c r="B103" s="44">
        <v>46154</v>
      </c>
      <c r="C103" s="37" t="s">
        <v>262</v>
      </c>
      <c r="D103" s="70">
        <v>17854200</v>
      </c>
      <c r="E103" s="77">
        <v>2000198</v>
      </c>
      <c r="F103" s="40" t="s">
        <v>363</v>
      </c>
    </row>
    <row r="104" spans="2:6" x14ac:dyDescent="0.35">
      <c r="B104" s="44">
        <v>46154</v>
      </c>
      <c r="C104" s="37" t="s">
        <v>336</v>
      </c>
      <c r="D104" s="70">
        <v>18116280</v>
      </c>
      <c r="E104" s="77">
        <v>2000199</v>
      </c>
      <c r="F104" s="40" t="s">
        <v>344</v>
      </c>
    </row>
    <row r="105" spans="2:6" x14ac:dyDescent="0.35">
      <c r="B105" s="44">
        <v>46154</v>
      </c>
      <c r="C105" s="37" t="s">
        <v>275</v>
      </c>
      <c r="D105" s="70">
        <v>42421500</v>
      </c>
      <c r="E105" s="77">
        <v>2000200</v>
      </c>
      <c r="F105" s="40" t="s">
        <v>363</v>
      </c>
    </row>
    <row r="106" spans="2:6" x14ac:dyDescent="0.35">
      <c r="B106" s="44">
        <v>46127</v>
      </c>
      <c r="C106" s="37" t="s">
        <v>73</v>
      </c>
      <c r="D106" s="70">
        <v>20000000</v>
      </c>
      <c r="E106" s="77">
        <v>2000201</v>
      </c>
      <c r="F106" s="40" t="s">
        <v>56</v>
      </c>
    </row>
    <row r="107" spans="2:6" x14ac:dyDescent="0.35">
      <c r="B107" s="44">
        <v>46128</v>
      </c>
      <c r="C107" s="37" t="s">
        <v>40</v>
      </c>
      <c r="D107" s="70">
        <v>500000</v>
      </c>
      <c r="E107" s="77">
        <v>2000202</v>
      </c>
      <c r="F107" s="40" t="s">
        <v>205</v>
      </c>
    </row>
    <row r="108" spans="2:6" x14ac:dyDescent="0.35">
      <c r="B108" s="44">
        <v>46128</v>
      </c>
      <c r="C108" s="37" t="s">
        <v>299</v>
      </c>
      <c r="D108" s="70">
        <v>10000000</v>
      </c>
      <c r="E108" s="77">
        <v>2000203</v>
      </c>
      <c r="F108" s="40" t="s">
        <v>297</v>
      </c>
    </row>
    <row r="109" spans="2:6" x14ac:dyDescent="0.35">
      <c r="B109" s="44">
        <v>46129</v>
      </c>
      <c r="C109" s="37" t="s">
        <v>29</v>
      </c>
      <c r="D109" s="70">
        <v>3600000</v>
      </c>
      <c r="E109" s="77">
        <v>2000204</v>
      </c>
      <c r="F109" s="37" t="s">
        <v>86</v>
      </c>
    </row>
    <row r="110" spans="2:6" x14ac:dyDescent="0.35">
      <c r="B110" s="44">
        <v>46129</v>
      </c>
      <c r="C110" s="37" t="s">
        <v>338</v>
      </c>
      <c r="D110" s="70">
        <v>1500000</v>
      </c>
      <c r="E110" s="77">
        <v>2000206</v>
      </c>
      <c r="F110" s="40" t="s">
        <v>163</v>
      </c>
    </row>
    <row r="111" spans="2:6" x14ac:dyDescent="0.35">
      <c r="B111" s="44">
        <v>46129</v>
      </c>
      <c r="C111" s="37" t="s">
        <v>339</v>
      </c>
      <c r="D111" s="70">
        <v>21443800</v>
      </c>
      <c r="E111" s="77">
        <v>2000207</v>
      </c>
      <c r="F111" s="40" t="s">
        <v>363</v>
      </c>
    </row>
    <row r="112" spans="2:6" x14ac:dyDescent="0.35">
      <c r="B112" s="44">
        <v>46132</v>
      </c>
      <c r="C112" s="37" t="s">
        <v>301</v>
      </c>
      <c r="D112" s="70">
        <v>660000</v>
      </c>
      <c r="E112" s="77">
        <v>2000208</v>
      </c>
      <c r="F112" s="40" t="s">
        <v>302</v>
      </c>
    </row>
    <row r="113" spans="2:6" x14ac:dyDescent="0.35">
      <c r="B113" s="44">
        <v>46132</v>
      </c>
      <c r="C113" s="37" t="s">
        <v>303</v>
      </c>
      <c r="D113" s="70">
        <v>11485100</v>
      </c>
      <c r="E113" s="77">
        <v>2000209</v>
      </c>
      <c r="F113" s="40" t="s">
        <v>363</v>
      </c>
    </row>
    <row r="114" spans="2:6" x14ac:dyDescent="0.35">
      <c r="B114" s="44">
        <v>46132</v>
      </c>
      <c r="C114" s="37" t="s">
        <v>25</v>
      </c>
      <c r="D114" s="70">
        <v>10000000</v>
      </c>
      <c r="E114" s="77">
        <v>2000210</v>
      </c>
      <c r="F114" s="40" t="s">
        <v>202</v>
      </c>
    </row>
    <row r="115" spans="2:6" x14ac:dyDescent="0.35">
      <c r="B115" s="87"/>
      <c r="C115" s="85" t="s">
        <v>402</v>
      </c>
      <c r="D115" s="88"/>
      <c r="E115" s="86">
        <v>2000212</v>
      </c>
      <c r="F115" s="89"/>
    </row>
    <row r="116" spans="2:6" x14ac:dyDescent="0.35">
      <c r="B116" s="44">
        <v>46132</v>
      </c>
      <c r="C116" s="37" t="s">
        <v>332</v>
      </c>
      <c r="D116" s="70">
        <v>26971700</v>
      </c>
      <c r="E116" s="77">
        <v>2000213</v>
      </c>
      <c r="F116" s="40" t="s">
        <v>363</v>
      </c>
    </row>
    <row r="117" spans="2:6" x14ac:dyDescent="0.35">
      <c r="B117" s="44">
        <v>46132</v>
      </c>
      <c r="C117" s="37" t="s">
        <v>73</v>
      </c>
      <c r="D117" s="70">
        <v>39000000</v>
      </c>
      <c r="E117" s="77">
        <v>2000214</v>
      </c>
      <c r="F117" s="40" t="s">
        <v>56</v>
      </c>
    </row>
    <row r="118" spans="2:6" x14ac:dyDescent="0.35">
      <c r="B118" s="44">
        <v>46132</v>
      </c>
      <c r="C118" s="37" t="s">
        <v>339</v>
      </c>
      <c r="D118" s="70">
        <v>5390100</v>
      </c>
      <c r="E118" s="77">
        <v>2000215</v>
      </c>
      <c r="F118" s="40" t="s">
        <v>363</v>
      </c>
    </row>
    <row r="119" spans="2:6" x14ac:dyDescent="0.35">
      <c r="B119" s="87"/>
      <c r="C119" s="85" t="s">
        <v>402</v>
      </c>
      <c r="D119" s="88"/>
      <c r="E119" s="95">
        <v>2000216</v>
      </c>
      <c r="F119" s="96"/>
    </row>
    <row r="120" spans="2:6" x14ac:dyDescent="0.35">
      <c r="B120" s="44">
        <v>46132</v>
      </c>
      <c r="C120" s="37" t="s">
        <v>73</v>
      </c>
      <c r="D120" s="70">
        <v>20000000</v>
      </c>
      <c r="E120" s="77">
        <v>2000217</v>
      </c>
      <c r="F120" s="40" t="s">
        <v>56</v>
      </c>
    </row>
    <row r="121" spans="2:6" x14ac:dyDescent="0.35">
      <c r="B121" s="44">
        <v>46132</v>
      </c>
      <c r="C121" s="37" t="s">
        <v>255</v>
      </c>
      <c r="D121" s="70">
        <v>674267</v>
      </c>
      <c r="E121" s="77">
        <v>2000218</v>
      </c>
      <c r="F121" s="40" t="s">
        <v>305</v>
      </c>
    </row>
    <row r="122" spans="2:6" x14ac:dyDescent="0.35">
      <c r="B122" s="44">
        <v>46132</v>
      </c>
      <c r="C122" s="37" t="s">
        <v>343</v>
      </c>
      <c r="D122" s="70">
        <v>3784200</v>
      </c>
      <c r="E122" s="77">
        <v>2000219</v>
      </c>
      <c r="F122" s="40" t="s">
        <v>363</v>
      </c>
    </row>
    <row r="123" spans="2:6" x14ac:dyDescent="0.35">
      <c r="B123" s="44">
        <v>46136</v>
      </c>
      <c r="C123" s="37" t="s">
        <v>314</v>
      </c>
      <c r="D123" s="70">
        <v>5000000</v>
      </c>
      <c r="E123" s="77">
        <v>2000220</v>
      </c>
      <c r="F123" s="40" t="s">
        <v>315</v>
      </c>
    </row>
    <row r="124" spans="2:6" x14ac:dyDescent="0.35">
      <c r="B124" s="44">
        <v>46134</v>
      </c>
      <c r="C124" s="37" t="s">
        <v>306</v>
      </c>
      <c r="D124" s="70">
        <v>6000000</v>
      </c>
      <c r="E124" s="77">
        <v>2000221</v>
      </c>
      <c r="F124" s="40"/>
    </row>
    <row r="125" spans="2:6" x14ac:dyDescent="0.35">
      <c r="B125" s="44">
        <v>46133</v>
      </c>
      <c r="C125" s="37" t="s">
        <v>343</v>
      </c>
      <c r="D125" s="70">
        <v>3768300</v>
      </c>
      <c r="E125" s="77">
        <v>2000222</v>
      </c>
      <c r="F125" s="40" t="s">
        <v>363</v>
      </c>
    </row>
    <row r="126" spans="2:6" x14ac:dyDescent="0.35">
      <c r="B126" s="44">
        <v>46133</v>
      </c>
      <c r="C126" s="37" t="s">
        <v>303</v>
      </c>
      <c r="D126" s="70">
        <v>14151000</v>
      </c>
      <c r="E126" s="77">
        <v>2000223</v>
      </c>
      <c r="F126" s="40" t="s">
        <v>363</v>
      </c>
    </row>
    <row r="127" spans="2:6" x14ac:dyDescent="0.35">
      <c r="B127" s="44">
        <v>46134</v>
      </c>
      <c r="C127" s="37" t="s">
        <v>335</v>
      </c>
      <c r="D127" s="70">
        <v>10430400</v>
      </c>
      <c r="E127" s="77">
        <v>2000224</v>
      </c>
      <c r="F127" s="40" t="s">
        <v>363</v>
      </c>
    </row>
    <row r="128" spans="2:6" x14ac:dyDescent="0.35">
      <c r="B128" s="44">
        <v>46135</v>
      </c>
      <c r="C128" s="37" t="s">
        <v>217</v>
      </c>
      <c r="D128" s="70">
        <v>3500000</v>
      </c>
      <c r="E128" s="77">
        <v>2000225</v>
      </c>
      <c r="F128" s="40" t="s">
        <v>311</v>
      </c>
    </row>
    <row r="129" spans="2:6" x14ac:dyDescent="0.35">
      <c r="B129" s="44">
        <v>46136</v>
      </c>
      <c r="C129" s="37" t="s">
        <v>152</v>
      </c>
      <c r="D129" s="70">
        <v>579846</v>
      </c>
      <c r="E129" s="77">
        <v>2000226</v>
      </c>
      <c r="F129" s="40" t="s">
        <v>312</v>
      </c>
    </row>
    <row r="130" spans="2:6" x14ac:dyDescent="0.35">
      <c r="B130" s="44">
        <v>46134</v>
      </c>
      <c r="C130" s="37" t="s">
        <v>339</v>
      </c>
      <c r="D130" s="70">
        <v>13599800</v>
      </c>
      <c r="E130" s="77">
        <v>2000227</v>
      </c>
      <c r="F130" s="40" t="s">
        <v>363</v>
      </c>
    </row>
    <row r="131" spans="2:6" x14ac:dyDescent="0.35">
      <c r="B131" s="44">
        <v>46136</v>
      </c>
      <c r="C131" s="37" t="s">
        <v>198</v>
      </c>
      <c r="D131" s="70">
        <v>686091</v>
      </c>
      <c r="E131" s="77">
        <v>2000228</v>
      </c>
      <c r="F131" s="40" t="s">
        <v>313</v>
      </c>
    </row>
    <row r="132" spans="2:6" x14ac:dyDescent="0.35">
      <c r="B132" s="44">
        <v>46135</v>
      </c>
      <c r="C132" s="37" t="s">
        <v>332</v>
      </c>
      <c r="D132" s="70">
        <v>7139100</v>
      </c>
      <c r="E132" s="77">
        <v>2000229</v>
      </c>
      <c r="F132" s="40" t="s">
        <v>363</v>
      </c>
    </row>
    <row r="133" spans="2:6" x14ac:dyDescent="0.35">
      <c r="B133" s="44">
        <v>46135</v>
      </c>
      <c r="C133" s="37" t="s">
        <v>73</v>
      </c>
      <c r="D133" s="70">
        <v>5000000</v>
      </c>
      <c r="E133" s="77">
        <v>2000230</v>
      </c>
      <c r="F133" s="40" t="s">
        <v>56</v>
      </c>
    </row>
    <row r="134" spans="2:6" x14ac:dyDescent="0.35">
      <c r="B134" s="44">
        <v>46135</v>
      </c>
      <c r="C134" s="37" t="s">
        <v>339</v>
      </c>
      <c r="D134" s="70">
        <v>30983800</v>
      </c>
      <c r="E134" s="77">
        <v>2000231</v>
      </c>
      <c r="F134" s="40" t="s">
        <v>363</v>
      </c>
    </row>
    <row r="135" spans="2:6" x14ac:dyDescent="0.35">
      <c r="B135" s="44">
        <v>46136</v>
      </c>
      <c r="C135" s="37" t="s">
        <v>25</v>
      </c>
      <c r="D135" s="70">
        <v>10000000</v>
      </c>
      <c r="E135" s="77">
        <v>2000232</v>
      </c>
      <c r="F135" s="40" t="s">
        <v>202</v>
      </c>
    </row>
    <row r="136" spans="2:6" x14ac:dyDescent="0.35">
      <c r="B136" s="44">
        <v>46139</v>
      </c>
      <c r="C136" s="37" t="s">
        <v>316</v>
      </c>
      <c r="D136" s="70">
        <v>110000000</v>
      </c>
      <c r="E136" s="77">
        <v>2000233</v>
      </c>
      <c r="F136" s="40" t="s">
        <v>265</v>
      </c>
    </row>
    <row r="137" spans="2:6" x14ac:dyDescent="0.35">
      <c r="B137" s="44">
        <v>46136</v>
      </c>
      <c r="C137" s="37" t="s">
        <v>332</v>
      </c>
      <c r="D137" s="70">
        <v>12853200</v>
      </c>
      <c r="E137" s="77">
        <v>2000234</v>
      </c>
      <c r="F137" s="40" t="s">
        <v>363</v>
      </c>
    </row>
    <row r="138" spans="2:6" x14ac:dyDescent="0.35">
      <c r="B138" s="44">
        <v>46139</v>
      </c>
      <c r="C138" s="37" t="s">
        <v>339</v>
      </c>
      <c r="D138" s="70">
        <v>26841400</v>
      </c>
      <c r="E138" s="77">
        <v>2000235</v>
      </c>
      <c r="F138" s="40" t="s">
        <v>363</v>
      </c>
    </row>
    <row r="139" spans="2:6" x14ac:dyDescent="0.35">
      <c r="B139" s="44">
        <v>46139</v>
      </c>
      <c r="C139" s="37" t="s">
        <v>343</v>
      </c>
      <c r="D139" s="70">
        <v>13240800</v>
      </c>
      <c r="E139" s="77">
        <v>2000236</v>
      </c>
      <c r="F139" s="40" t="s">
        <v>363</v>
      </c>
    </row>
    <row r="140" spans="2:6" x14ac:dyDescent="0.35">
      <c r="B140" s="44">
        <v>46139</v>
      </c>
      <c r="C140" s="37" t="s">
        <v>332</v>
      </c>
      <c r="D140" s="70">
        <v>5464800</v>
      </c>
      <c r="E140" s="77">
        <v>2000237</v>
      </c>
      <c r="F140" s="40" t="s">
        <v>363</v>
      </c>
    </row>
    <row r="141" spans="2:6" x14ac:dyDescent="0.35">
      <c r="B141" s="44">
        <v>46140</v>
      </c>
      <c r="C141" s="37" t="s">
        <v>111</v>
      </c>
      <c r="D141" s="70">
        <v>5000000</v>
      </c>
      <c r="E141" s="77">
        <v>2000238</v>
      </c>
      <c r="F141" s="40"/>
    </row>
    <row r="142" spans="2:6" x14ac:dyDescent="0.35">
      <c r="B142" s="90"/>
      <c r="C142" s="85" t="s">
        <v>402</v>
      </c>
      <c r="D142" s="88"/>
      <c r="E142" s="86">
        <v>2000239</v>
      </c>
      <c r="F142" s="89"/>
    </row>
    <row r="143" spans="2:6" x14ac:dyDescent="0.35">
      <c r="B143" s="44">
        <v>46139</v>
      </c>
      <c r="C143" s="37" t="s">
        <v>343</v>
      </c>
      <c r="D143" s="70">
        <v>4104000</v>
      </c>
      <c r="E143" s="77">
        <v>2000240</v>
      </c>
      <c r="F143" s="40" t="s">
        <v>363</v>
      </c>
    </row>
    <row r="144" spans="2:6" x14ac:dyDescent="0.35">
      <c r="B144" s="44">
        <v>46142</v>
      </c>
      <c r="C144" s="37" t="s">
        <v>316</v>
      </c>
      <c r="D144" s="70">
        <v>300000000</v>
      </c>
      <c r="E144" s="77">
        <v>2000241</v>
      </c>
      <c r="F144" s="40" t="s">
        <v>265</v>
      </c>
    </row>
    <row r="145" spans="2:6" x14ac:dyDescent="0.35">
      <c r="B145" s="44">
        <v>46146</v>
      </c>
      <c r="C145" s="37" t="s">
        <v>322</v>
      </c>
      <c r="D145" s="70"/>
      <c r="E145" s="77">
        <v>2000241</v>
      </c>
      <c r="F145" s="40" t="s">
        <v>323</v>
      </c>
    </row>
    <row r="146" spans="2:6" x14ac:dyDescent="0.35">
      <c r="B146" s="44">
        <v>46147</v>
      </c>
      <c r="C146" s="37" t="s">
        <v>325</v>
      </c>
      <c r="D146" s="70">
        <v>300000000</v>
      </c>
      <c r="E146" s="77">
        <v>2000241</v>
      </c>
      <c r="F146" s="40" t="s">
        <v>265</v>
      </c>
    </row>
    <row r="147" spans="2:6" x14ac:dyDescent="0.35">
      <c r="B147" s="44">
        <v>46142</v>
      </c>
      <c r="C147" s="44" t="s">
        <v>318</v>
      </c>
      <c r="D147" s="70">
        <v>15735600</v>
      </c>
      <c r="E147" s="77">
        <v>2000242</v>
      </c>
      <c r="F147" s="40" t="s">
        <v>344</v>
      </c>
    </row>
    <row r="148" spans="2:6" x14ac:dyDescent="0.35">
      <c r="B148" s="44">
        <v>46141</v>
      </c>
      <c r="C148" s="37" t="s">
        <v>343</v>
      </c>
      <c r="D148" s="70">
        <v>26557200</v>
      </c>
      <c r="E148" s="77">
        <v>2000243</v>
      </c>
      <c r="F148" s="40" t="s">
        <v>363</v>
      </c>
    </row>
    <row r="149" spans="2:6" x14ac:dyDescent="0.35">
      <c r="B149" s="44">
        <v>46141</v>
      </c>
      <c r="C149" s="37" t="s">
        <v>339</v>
      </c>
      <c r="D149" s="70">
        <v>39322500</v>
      </c>
      <c r="E149" s="77">
        <v>2000244</v>
      </c>
      <c r="F149" s="40" t="s">
        <v>363</v>
      </c>
    </row>
    <row r="150" spans="2:6" x14ac:dyDescent="0.35">
      <c r="B150" s="44">
        <v>46142</v>
      </c>
      <c r="C150" s="37" t="s">
        <v>14</v>
      </c>
      <c r="D150" s="70">
        <v>2687632</v>
      </c>
      <c r="E150" s="77">
        <v>2000245</v>
      </c>
      <c r="F150" s="40" t="s">
        <v>319</v>
      </c>
    </row>
    <row r="151" spans="2:6" x14ac:dyDescent="0.35">
      <c r="B151" s="44">
        <v>46142</v>
      </c>
      <c r="C151" s="37" t="s">
        <v>332</v>
      </c>
      <c r="D151" s="70">
        <v>12558140</v>
      </c>
      <c r="E151" s="77">
        <v>2000246</v>
      </c>
      <c r="F151" s="40" t="s">
        <v>363</v>
      </c>
    </row>
    <row r="152" spans="2:6" x14ac:dyDescent="0.35">
      <c r="B152" s="44">
        <v>46142</v>
      </c>
      <c r="C152" s="37" t="s">
        <v>255</v>
      </c>
      <c r="D152" s="70">
        <v>370315</v>
      </c>
      <c r="E152" s="77">
        <v>2000247</v>
      </c>
      <c r="F152" s="40" t="s">
        <v>305</v>
      </c>
    </row>
    <row r="153" spans="2:6" x14ac:dyDescent="0.35">
      <c r="B153" s="44">
        <v>46142</v>
      </c>
      <c r="C153" s="37" t="s">
        <v>260</v>
      </c>
      <c r="D153" s="70">
        <v>12123000</v>
      </c>
      <c r="E153" s="77">
        <v>2000248</v>
      </c>
      <c r="F153" s="40" t="s">
        <v>363</v>
      </c>
    </row>
    <row r="154" spans="2:6" x14ac:dyDescent="0.35">
      <c r="B154" s="44">
        <v>46146</v>
      </c>
      <c r="C154" s="37" t="s">
        <v>10</v>
      </c>
      <c r="D154" s="70">
        <v>900000</v>
      </c>
      <c r="E154" s="77">
        <v>2000249</v>
      </c>
      <c r="F154" s="40" t="s">
        <v>334</v>
      </c>
    </row>
    <row r="155" spans="2:6" x14ac:dyDescent="0.35">
      <c r="B155" s="44">
        <v>46142</v>
      </c>
      <c r="C155" s="37" t="s">
        <v>336</v>
      </c>
      <c r="D155" s="70">
        <v>3877200</v>
      </c>
      <c r="E155" s="77">
        <v>2000250</v>
      </c>
      <c r="F155" s="40" t="s">
        <v>344</v>
      </c>
    </row>
    <row r="156" spans="2:6" x14ac:dyDescent="0.35">
      <c r="B156" s="38">
        <v>46062</v>
      </c>
      <c r="C156" s="37" t="s">
        <v>354</v>
      </c>
      <c r="D156" s="70">
        <v>10945480</v>
      </c>
      <c r="E156" s="77">
        <v>2000251</v>
      </c>
      <c r="F156" s="40" t="s">
        <v>363</v>
      </c>
    </row>
    <row r="157" spans="2:6" x14ac:dyDescent="0.35">
      <c r="B157" s="38">
        <v>46062</v>
      </c>
      <c r="C157" s="37" t="s">
        <v>359</v>
      </c>
      <c r="D157" s="70">
        <v>12030480</v>
      </c>
      <c r="E157" s="77">
        <v>2000252</v>
      </c>
      <c r="F157" s="40" t="s">
        <v>363</v>
      </c>
    </row>
    <row r="158" spans="2:6" x14ac:dyDescent="0.35">
      <c r="B158" s="38">
        <v>46063</v>
      </c>
      <c r="C158" s="37" t="s">
        <v>343</v>
      </c>
      <c r="D158" s="70">
        <v>5085900</v>
      </c>
      <c r="E158" s="77">
        <v>2000253</v>
      </c>
      <c r="F158" s="40" t="s">
        <v>363</v>
      </c>
    </row>
    <row r="159" spans="2:6" x14ac:dyDescent="0.35">
      <c r="B159" s="38">
        <v>46064</v>
      </c>
      <c r="C159" s="37" t="s">
        <v>126</v>
      </c>
      <c r="D159" s="70">
        <v>1028000</v>
      </c>
      <c r="E159" s="77">
        <v>2000254</v>
      </c>
      <c r="F159" s="40" t="s">
        <v>125</v>
      </c>
    </row>
    <row r="160" spans="2:6" x14ac:dyDescent="0.35">
      <c r="B160" s="38">
        <v>46064</v>
      </c>
      <c r="C160" s="37" t="s">
        <v>111</v>
      </c>
      <c r="D160" s="70">
        <v>10000000</v>
      </c>
      <c r="E160" s="77">
        <v>2000255</v>
      </c>
      <c r="F160" s="40" t="s">
        <v>112</v>
      </c>
    </row>
    <row r="161" spans="2:6" x14ac:dyDescent="0.35">
      <c r="B161" s="38">
        <v>46063</v>
      </c>
      <c r="C161" s="37" t="s">
        <v>362</v>
      </c>
      <c r="D161" s="70">
        <v>10000000</v>
      </c>
      <c r="E161" s="77">
        <v>2000256</v>
      </c>
      <c r="F161" s="40" t="s">
        <v>361</v>
      </c>
    </row>
    <row r="162" spans="2:6" x14ac:dyDescent="0.35">
      <c r="B162" s="38">
        <v>46063</v>
      </c>
      <c r="C162" s="37" t="s">
        <v>260</v>
      </c>
      <c r="D162" s="70">
        <v>21908320</v>
      </c>
      <c r="E162" s="77">
        <v>2000257</v>
      </c>
      <c r="F162" s="40" t="s">
        <v>363</v>
      </c>
    </row>
    <row r="163" spans="2:6" x14ac:dyDescent="0.35">
      <c r="B163" s="38">
        <v>46063</v>
      </c>
      <c r="C163" s="37" t="s">
        <v>348</v>
      </c>
      <c r="D163" s="70">
        <v>4530960</v>
      </c>
      <c r="E163" s="77">
        <v>2000258</v>
      </c>
      <c r="F163" s="40" t="s">
        <v>363</v>
      </c>
    </row>
    <row r="164" spans="2:6" x14ac:dyDescent="0.35">
      <c r="B164" s="38">
        <v>46063</v>
      </c>
      <c r="C164" s="37" t="s">
        <v>78</v>
      </c>
      <c r="D164" s="70">
        <v>5000000</v>
      </c>
      <c r="E164" s="77">
        <v>2000259</v>
      </c>
      <c r="F164" s="37" t="s">
        <v>364</v>
      </c>
    </row>
    <row r="165" spans="2:6" x14ac:dyDescent="0.35">
      <c r="B165" s="38">
        <v>46064</v>
      </c>
      <c r="C165" s="37" t="s">
        <v>26</v>
      </c>
      <c r="D165" s="70">
        <v>314280</v>
      </c>
      <c r="E165" s="77">
        <v>2000260</v>
      </c>
      <c r="F165" s="40" t="s">
        <v>60</v>
      </c>
    </row>
    <row r="166" spans="2:6" x14ac:dyDescent="0.35">
      <c r="B166" s="87"/>
      <c r="C166" s="85" t="s">
        <v>402</v>
      </c>
      <c r="D166" s="88"/>
      <c r="E166" s="86">
        <v>2000261</v>
      </c>
      <c r="F166" s="89"/>
    </row>
    <row r="167" spans="2:6" x14ac:dyDescent="0.35">
      <c r="B167" s="38">
        <v>46065</v>
      </c>
      <c r="C167" s="37" t="s">
        <v>129</v>
      </c>
      <c r="D167" s="70">
        <v>345000</v>
      </c>
      <c r="E167" s="77">
        <v>2000262</v>
      </c>
      <c r="F167" s="40" t="s">
        <v>130</v>
      </c>
    </row>
    <row r="168" spans="2:6" x14ac:dyDescent="0.35">
      <c r="B168" s="38">
        <v>46069</v>
      </c>
      <c r="C168" s="37" t="s">
        <v>198</v>
      </c>
      <c r="D168" s="70">
        <v>771737</v>
      </c>
      <c r="E168" s="77">
        <v>2000263</v>
      </c>
      <c r="F168" s="40" t="s">
        <v>131</v>
      </c>
    </row>
    <row r="169" spans="2:6" x14ac:dyDescent="0.35">
      <c r="B169" s="38">
        <v>46064</v>
      </c>
      <c r="C169" s="37" t="s">
        <v>332</v>
      </c>
      <c r="D169" s="70">
        <v>9513280</v>
      </c>
      <c r="E169" s="77">
        <v>2000264</v>
      </c>
      <c r="F169" s="40" t="s">
        <v>363</v>
      </c>
    </row>
    <row r="170" spans="2:6" x14ac:dyDescent="0.35">
      <c r="B170" s="38">
        <v>46064</v>
      </c>
      <c r="C170" s="37" t="s">
        <v>339</v>
      </c>
      <c r="D170" s="70">
        <v>7529900</v>
      </c>
      <c r="E170" s="77">
        <v>2000265</v>
      </c>
      <c r="F170" s="40" t="s">
        <v>363</v>
      </c>
    </row>
    <row r="171" spans="2:6" x14ac:dyDescent="0.35">
      <c r="B171" s="38">
        <v>46066</v>
      </c>
      <c r="C171" s="37" t="s">
        <v>353</v>
      </c>
      <c r="D171" s="70">
        <v>1499503</v>
      </c>
      <c r="E171" s="77">
        <v>2000266</v>
      </c>
      <c r="F171" s="40" t="s">
        <v>132</v>
      </c>
    </row>
    <row r="172" spans="2:6" x14ac:dyDescent="0.35">
      <c r="B172" s="38">
        <v>46066</v>
      </c>
      <c r="C172" s="37" t="s">
        <v>353</v>
      </c>
      <c r="D172" s="70">
        <v>1816965</v>
      </c>
      <c r="E172" s="77">
        <v>2000267</v>
      </c>
      <c r="F172" s="40" t="s">
        <v>132</v>
      </c>
    </row>
    <row r="173" spans="2:6" x14ac:dyDescent="0.35">
      <c r="B173" s="38">
        <v>46065</v>
      </c>
      <c r="C173" s="37" t="s">
        <v>142</v>
      </c>
      <c r="D173" s="70">
        <v>5000000</v>
      </c>
      <c r="E173" s="77">
        <v>2000268</v>
      </c>
      <c r="F173" s="40" t="s">
        <v>143</v>
      </c>
    </row>
    <row r="174" spans="2:6" x14ac:dyDescent="0.35">
      <c r="B174" s="38">
        <v>46066</v>
      </c>
      <c r="C174" s="37" t="s">
        <v>144</v>
      </c>
      <c r="D174" s="70">
        <v>5000000</v>
      </c>
      <c r="E174" s="77">
        <v>2000269</v>
      </c>
      <c r="F174" s="40" t="s">
        <v>145</v>
      </c>
    </row>
    <row r="175" spans="2:6" x14ac:dyDescent="0.35">
      <c r="B175" s="38">
        <v>46066</v>
      </c>
      <c r="C175" s="37" t="s">
        <v>28</v>
      </c>
      <c r="D175" s="70">
        <v>19077600</v>
      </c>
      <c r="E175" s="77">
        <v>2000270</v>
      </c>
      <c r="F175" s="37" t="s">
        <v>148</v>
      </c>
    </row>
    <row r="176" spans="2:6" x14ac:dyDescent="0.35">
      <c r="B176" s="87"/>
      <c r="C176" s="85" t="s">
        <v>402</v>
      </c>
      <c r="D176" s="88"/>
      <c r="E176" s="86">
        <v>2000271</v>
      </c>
      <c r="F176" s="85"/>
    </row>
    <row r="177" spans="2:6" x14ac:dyDescent="0.35">
      <c r="B177" s="38">
        <v>46066</v>
      </c>
      <c r="C177" s="37" t="s">
        <v>149</v>
      </c>
      <c r="D177" s="70">
        <v>120000000</v>
      </c>
      <c r="E177" s="77">
        <v>2000272</v>
      </c>
      <c r="F177" s="40" t="s">
        <v>62</v>
      </c>
    </row>
    <row r="178" spans="2:6" x14ac:dyDescent="0.35">
      <c r="B178" s="38">
        <v>46070</v>
      </c>
      <c r="C178" s="37" t="s">
        <v>152</v>
      </c>
      <c r="D178" s="70">
        <v>1647511</v>
      </c>
      <c r="E178" s="77">
        <v>2000273</v>
      </c>
      <c r="F178" s="40" t="s">
        <v>153</v>
      </c>
    </row>
    <row r="179" spans="2:6" x14ac:dyDescent="0.35">
      <c r="B179" s="38">
        <v>46066</v>
      </c>
      <c r="C179" s="37" t="s">
        <v>78</v>
      </c>
      <c r="D179" s="70">
        <v>10000000</v>
      </c>
      <c r="E179" s="77">
        <v>2000274</v>
      </c>
      <c r="F179" s="37" t="s">
        <v>364</v>
      </c>
    </row>
    <row r="180" spans="2:6" x14ac:dyDescent="0.35">
      <c r="B180" s="38">
        <v>46069</v>
      </c>
      <c r="C180" s="37" t="s">
        <v>71</v>
      </c>
      <c r="D180" s="70">
        <v>7720000</v>
      </c>
      <c r="E180" s="77">
        <v>2000275</v>
      </c>
      <c r="F180" s="40" t="s">
        <v>72</v>
      </c>
    </row>
    <row r="181" spans="2:6" x14ac:dyDescent="0.35">
      <c r="B181" s="38">
        <v>46069</v>
      </c>
      <c r="C181" s="37" t="s">
        <v>30</v>
      </c>
      <c r="D181" s="70">
        <v>20000000</v>
      </c>
      <c r="E181" s="77">
        <v>2000276</v>
      </c>
      <c r="F181" s="40" t="s">
        <v>61</v>
      </c>
    </row>
    <row r="182" spans="2:6" x14ac:dyDescent="0.35">
      <c r="B182" s="87"/>
      <c r="C182" s="85" t="s">
        <v>402</v>
      </c>
      <c r="D182" s="88"/>
      <c r="E182" s="86">
        <v>2000277</v>
      </c>
      <c r="F182" s="89"/>
    </row>
    <row r="183" spans="2:6" x14ac:dyDescent="0.35">
      <c r="B183" s="38">
        <v>46069</v>
      </c>
      <c r="C183" s="37" t="s">
        <v>73</v>
      </c>
      <c r="D183" s="70">
        <v>12000000</v>
      </c>
      <c r="E183" s="77">
        <v>2000278</v>
      </c>
      <c r="F183" s="40" t="s">
        <v>56</v>
      </c>
    </row>
    <row r="184" spans="2:6" x14ac:dyDescent="0.35">
      <c r="B184" s="38">
        <v>46069</v>
      </c>
      <c r="C184" s="37" t="s">
        <v>14</v>
      </c>
      <c r="D184" s="70">
        <v>3151157</v>
      </c>
      <c r="E184" s="77">
        <v>2000279</v>
      </c>
      <c r="F184" s="40" t="s">
        <v>319</v>
      </c>
    </row>
    <row r="185" spans="2:6" x14ac:dyDescent="0.35">
      <c r="B185" s="38">
        <v>46070</v>
      </c>
      <c r="C185" s="37" t="s">
        <v>149</v>
      </c>
      <c r="D185" s="70">
        <v>125000000</v>
      </c>
      <c r="E185" s="77">
        <v>2000280</v>
      </c>
      <c r="F185" s="40" t="s">
        <v>62</v>
      </c>
    </row>
    <row r="186" spans="2:6" x14ac:dyDescent="0.35">
      <c r="B186" s="38">
        <v>46070</v>
      </c>
      <c r="C186" s="37" t="s">
        <v>111</v>
      </c>
      <c r="D186" s="70">
        <v>7000000</v>
      </c>
      <c r="E186" s="77">
        <v>2000281</v>
      </c>
      <c r="F186" s="40" t="s">
        <v>112</v>
      </c>
    </row>
    <row r="187" spans="2:6" x14ac:dyDescent="0.35">
      <c r="B187" s="38">
        <v>46078</v>
      </c>
      <c r="C187" s="37" t="s">
        <v>355</v>
      </c>
      <c r="D187" s="70">
        <v>5000000</v>
      </c>
      <c r="E187" s="77">
        <v>2000282</v>
      </c>
      <c r="F187" s="40" t="s">
        <v>154</v>
      </c>
    </row>
    <row r="188" spans="2:6" x14ac:dyDescent="0.35">
      <c r="B188" s="38">
        <v>46077</v>
      </c>
      <c r="C188" s="37" t="s">
        <v>158</v>
      </c>
      <c r="D188" s="70">
        <v>5400000</v>
      </c>
      <c r="E188" s="77">
        <v>2000283</v>
      </c>
      <c r="F188" s="40" t="s">
        <v>159</v>
      </c>
    </row>
    <row r="189" spans="2:6" x14ac:dyDescent="0.35">
      <c r="B189" s="38">
        <v>46070</v>
      </c>
      <c r="C189" s="37" t="s">
        <v>78</v>
      </c>
      <c r="D189" s="70">
        <v>6700000</v>
      </c>
      <c r="E189" s="77">
        <v>2000284</v>
      </c>
      <c r="F189" s="37" t="s">
        <v>364</v>
      </c>
    </row>
    <row r="190" spans="2:6" x14ac:dyDescent="0.35">
      <c r="B190" s="38">
        <v>46070</v>
      </c>
      <c r="C190" s="37" t="s">
        <v>14</v>
      </c>
      <c r="D190" s="70">
        <v>2000000</v>
      </c>
      <c r="E190" s="77">
        <v>2000285</v>
      </c>
      <c r="F190" s="40" t="s">
        <v>319</v>
      </c>
    </row>
    <row r="191" spans="2:6" x14ac:dyDescent="0.35">
      <c r="B191" s="38">
        <v>46071</v>
      </c>
      <c r="C191" s="37" t="s">
        <v>338</v>
      </c>
      <c r="D191" s="70">
        <v>2250000</v>
      </c>
      <c r="E191" s="77">
        <v>2000286</v>
      </c>
      <c r="F191" s="40" t="s">
        <v>163</v>
      </c>
    </row>
    <row r="192" spans="2:6" x14ac:dyDescent="0.35">
      <c r="B192" s="38">
        <v>46072</v>
      </c>
      <c r="C192" s="37" t="s">
        <v>198</v>
      </c>
      <c r="D192" s="70">
        <v>833536</v>
      </c>
      <c r="E192" s="77">
        <v>2000287</v>
      </c>
      <c r="F192" s="40" t="s">
        <v>164</v>
      </c>
    </row>
    <row r="193" spans="2:6" x14ac:dyDescent="0.35">
      <c r="B193" s="38">
        <v>46073</v>
      </c>
      <c r="C193" s="37" t="s">
        <v>152</v>
      </c>
      <c r="D193" s="70">
        <v>420533</v>
      </c>
      <c r="E193" s="78">
        <v>2000288</v>
      </c>
      <c r="F193" s="40" t="s">
        <v>165</v>
      </c>
    </row>
    <row r="194" spans="2:6" x14ac:dyDescent="0.35">
      <c r="B194" s="38">
        <v>46073</v>
      </c>
      <c r="C194" s="37" t="s">
        <v>78</v>
      </c>
      <c r="D194" s="70">
        <v>5000000</v>
      </c>
      <c r="E194" s="77">
        <v>2000289</v>
      </c>
      <c r="F194" s="37" t="s">
        <v>364</v>
      </c>
    </row>
    <row r="195" spans="2:6" x14ac:dyDescent="0.35">
      <c r="B195" s="38">
        <v>46076</v>
      </c>
      <c r="C195" s="37" t="s">
        <v>14</v>
      </c>
      <c r="D195" s="70">
        <v>3164746</v>
      </c>
      <c r="E195" s="77">
        <v>2000290</v>
      </c>
      <c r="F195" s="40" t="s">
        <v>319</v>
      </c>
    </row>
    <row r="196" spans="2:6" x14ac:dyDescent="0.35">
      <c r="B196" s="38">
        <v>46076</v>
      </c>
      <c r="C196" s="37" t="s">
        <v>14</v>
      </c>
      <c r="D196" s="70">
        <v>2000000</v>
      </c>
      <c r="E196" s="77">
        <v>2000291</v>
      </c>
      <c r="F196" s="40" t="s">
        <v>319</v>
      </c>
    </row>
    <row r="197" spans="2:6" x14ac:dyDescent="0.35">
      <c r="B197" s="38">
        <v>46077</v>
      </c>
      <c r="C197" s="37" t="s">
        <v>111</v>
      </c>
      <c r="D197" s="70">
        <v>7000000</v>
      </c>
      <c r="E197" s="77">
        <v>2000292</v>
      </c>
      <c r="F197" s="40" t="s">
        <v>112</v>
      </c>
    </row>
    <row r="198" spans="2:6" x14ac:dyDescent="0.35">
      <c r="B198" s="38">
        <v>46077</v>
      </c>
      <c r="C198" s="37" t="s">
        <v>149</v>
      </c>
      <c r="D198" s="70">
        <v>125000000</v>
      </c>
      <c r="E198" s="77">
        <v>2000293</v>
      </c>
      <c r="F198" s="40" t="s">
        <v>62</v>
      </c>
    </row>
    <row r="199" spans="2:6" x14ac:dyDescent="0.35">
      <c r="B199" s="38">
        <v>46077</v>
      </c>
      <c r="C199" s="37" t="s">
        <v>170</v>
      </c>
      <c r="D199" s="70">
        <v>8000000</v>
      </c>
      <c r="E199" s="77">
        <v>2000294</v>
      </c>
      <c r="F199" s="40" t="s">
        <v>58</v>
      </c>
    </row>
    <row r="200" spans="2:6" x14ac:dyDescent="0.35">
      <c r="B200" s="38">
        <v>46076</v>
      </c>
      <c r="C200" s="37" t="s">
        <v>362</v>
      </c>
      <c r="D200" s="70">
        <v>12000000</v>
      </c>
      <c r="E200" s="77">
        <v>2000295</v>
      </c>
      <c r="F200" s="40" t="s">
        <v>361</v>
      </c>
    </row>
    <row r="201" spans="2:6" x14ac:dyDescent="0.35">
      <c r="B201" s="38">
        <v>46078</v>
      </c>
      <c r="C201" s="37" t="s">
        <v>71</v>
      </c>
      <c r="D201" s="70">
        <v>3880000</v>
      </c>
      <c r="E201" s="77">
        <v>2000296</v>
      </c>
      <c r="F201" s="40" t="s">
        <v>72</v>
      </c>
    </row>
    <row r="202" spans="2:6" x14ac:dyDescent="0.35">
      <c r="B202" s="38">
        <v>46078</v>
      </c>
      <c r="C202" s="37" t="s">
        <v>73</v>
      </c>
      <c r="D202" s="70">
        <v>16000000</v>
      </c>
      <c r="E202" s="77">
        <v>2000297</v>
      </c>
      <c r="F202" s="40" t="s">
        <v>56</v>
      </c>
    </row>
    <row r="203" spans="2:6" x14ac:dyDescent="0.35">
      <c r="B203" s="38">
        <v>46079</v>
      </c>
      <c r="C203" s="37" t="s">
        <v>78</v>
      </c>
      <c r="D203" s="70">
        <v>5000000</v>
      </c>
      <c r="E203" s="77">
        <v>2000298</v>
      </c>
      <c r="F203" s="37" t="s">
        <v>364</v>
      </c>
    </row>
    <row r="204" spans="2:6" x14ac:dyDescent="0.35">
      <c r="B204" s="38">
        <v>46079</v>
      </c>
      <c r="C204" s="37" t="s">
        <v>32</v>
      </c>
      <c r="D204" s="70">
        <v>2467834</v>
      </c>
      <c r="E204" s="77">
        <v>2000299</v>
      </c>
      <c r="F204" s="40" t="s">
        <v>173</v>
      </c>
    </row>
    <row r="205" spans="2:6" x14ac:dyDescent="0.35">
      <c r="B205" s="38">
        <v>46079</v>
      </c>
      <c r="C205" s="37" t="s">
        <v>33</v>
      </c>
      <c r="D205" s="70">
        <v>3000</v>
      </c>
      <c r="E205" s="77">
        <v>2000299</v>
      </c>
      <c r="F205" s="40"/>
    </row>
    <row r="206" spans="2:6" x14ac:dyDescent="0.35">
      <c r="B206" s="38">
        <v>46079</v>
      </c>
      <c r="C206" s="37" t="s">
        <v>34</v>
      </c>
      <c r="D206" s="70">
        <v>300</v>
      </c>
      <c r="E206" s="77">
        <v>2000299</v>
      </c>
      <c r="F206" s="40"/>
    </row>
    <row r="207" spans="2:6" x14ac:dyDescent="0.35">
      <c r="B207" s="38">
        <v>46080</v>
      </c>
      <c r="C207" s="37" t="s">
        <v>35</v>
      </c>
      <c r="D207" s="70">
        <v>1199076</v>
      </c>
      <c r="E207" s="77">
        <v>2000300</v>
      </c>
      <c r="F207" s="40" t="s">
        <v>63</v>
      </c>
    </row>
    <row r="208" spans="2:6" x14ac:dyDescent="0.35">
      <c r="B208" s="38">
        <v>46083</v>
      </c>
      <c r="C208" s="37" t="s">
        <v>198</v>
      </c>
      <c r="D208" s="70">
        <v>440996</v>
      </c>
      <c r="E208" s="77">
        <v>2000301</v>
      </c>
      <c r="F208" s="40" t="s">
        <v>199</v>
      </c>
    </row>
    <row r="209" spans="2:6" x14ac:dyDescent="0.35">
      <c r="B209" s="38">
        <v>46083</v>
      </c>
      <c r="C209" s="37" t="s">
        <v>111</v>
      </c>
      <c r="D209" s="70">
        <v>10000000</v>
      </c>
      <c r="E209" s="77">
        <v>2000302</v>
      </c>
      <c r="F209" s="40" t="s">
        <v>59</v>
      </c>
    </row>
    <row r="210" spans="2:6" x14ac:dyDescent="0.35">
      <c r="B210" s="38">
        <v>46084</v>
      </c>
      <c r="C210" s="37" t="s">
        <v>152</v>
      </c>
      <c r="D210" s="70">
        <v>468801</v>
      </c>
      <c r="E210" s="77">
        <v>2000303</v>
      </c>
      <c r="F210" s="40" t="s">
        <v>200</v>
      </c>
    </row>
    <row r="211" spans="2:6" x14ac:dyDescent="0.35">
      <c r="B211" s="38">
        <v>46083</v>
      </c>
      <c r="C211" s="37" t="s">
        <v>14</v>
      </c>
      <c r="D211" s="70">
        <v>2836556</v>
      </c>
      <c r="E211" s="77">
        <v>2000304</v>
      </c>
      <c r="F211" s="40" t="s">
        <v>319</v>
      </c>
    </row>
    <row r="212" spans="2:6" x14ac:dyDescent="0.35">
      <c r="B212" s="38">
        <v>46084</v>
      </c>
      <c r="C212" s="37" t="s">
        <v>14</v>
      </c>
      <c r="D212" s="70">
        <v>3000000</v>
      </c>
      <c r="E212" s="77">
        <v>2000305</v>
      </c>
      <c r="F212" s="40" t="s">
        <v>319</v>
      </c>
    </row>
    <row r="213" spans="2:6" x14ac:dyDescent="0.35">
      <c r="B213" s="38">
        <v>46087</v>
      </c>
      <c r="C213" s="37" t="s">
        <v>25</v>
      </c>
      <c r="D213" s="70">
        <v>10000000</v>
      </c>
      <c r="E213" s="77">
        <v>2000306</v>
      </c>
      <c r="F213" s="40" t="s">
        <v>202</v>
      </c>
    </row>
    <row r="214" spans="2:6" x14ac:dyDescent="0.35">
      <c r="B214" s="38">
        <v>46090</v>
      </c>
      <c r="C214" s="37" t="s">
        <v>36</v>
      </c>
      <c r="D214" s="70">
        <v>250000</v>
      </c>
      <c r="E214" s="77">
        <v>2000307</v>
      </c>
      <c r="F214" s="40" t="s">
        <v>203</v>
      </c>
    </row>
    <row r="215" spans="2:6" x14ac:dyDescent="0.35">
      <c r="B215" s="87"/>
      <c r="C215" s="85" t="s">
        <v>402</v>
      </c>
      <c r="D215" s="88"/>
      <c r="E215" s="86">
        <v>2000308</v>
      </c>
      <c r="F215" s="89"/>
    </row>
    <row r="216" spans="2:6" x14ac:dyDescent="0.35">
      <c r="B216" s="87"/>
      <c r="C216" s="85" t="s">
        <v>402</v>
      </c>
      <c r="D216" s="88"/>
      <c r="E216" s="86">
        <v>2000309</v>
      </c>
      <c r="F216" s="89"/>
    </row>
    <row r="217" spans="2:6" x14ac:dyDescent="0.35">
      <c r="B217" s="38">
        <v>46090</v>
      </c>
      <c r="C217" s="37" t="s">
        <v>14</v>
      </c>
      <c r="D217" s="70">
        <v>1230850</v>
      </c>
      <c r="E217" s="77">
        <v>2000310</v>
      </c>
      <c r="F217" s="40" t="s">
        <v>319</v>
      </c>
    </row>
    <row r="218" spans="2:6" x14ac:dyDescent="0.35">
      <c r="B218" s="38">
        <v>46105</v>
      </c>
      <c r="C218" s="37" t="s">
        <v>39</v>
      </c>
      <c r="D218" s="70">
        <v>120000000</v>
      </c>
      <c r="E218" s="77">
        <v>2000311</v>
      </c>
      <c r="F218" s="40" t="s">
        <v>101</v>
      </c>
    </row>
    <row r="219" spans="2:6" x14ac:dyDescent="0.35">
      <c r="B219" s="38">
        <v>46097</v>
      </c>
      <c r="C219" s="37" t="s">
        <v>26</v>
      </c>
      <c r="D219" s="70">
        <v>349200</v>
      </c>
      <c r="E219" s="77">
        <v>2000312</v>
      </c>
      <c r="F219" s="40" t="s">
        <v>60</v>
      </c>
    </row>
    <row r="220" spans="2:6" x14ac:dyDescent="0.35">
      <c r="B220" s="38">
        <v>46098</v>
      </c>
      <c r="C220" s="37" t="s">
        <v>14</v>
      </c>
      <c r="D220" s="70">
        <v>1166861</v>
      </c>
      <c r="E220" s="77">
        <v>2000313</v>
      </c>
      <c r="F220" s="40" t="s">
        <v>319</v>
      </c>
    </row>
    <row r="221" spans="2:6" x14ac:dyDescent="0.35">
      <c r="B221" s="38">
        <v>46099</v>
      </c>
      <c r="C221" s="37" t="s">
        <v>152</v>
      </c>
      <c r="D221" s="70">
        <v>770024</v>
      </c>
      <c r="E221" s="77">
        <v>2000314</v>
      </c>
      <c r="F221" s="40" t="s">
        <v>204</v>
      </c>
    </row>
    <row r="222" spans="2:6" x14ac:dyDescent="0.35">
      <c r="B222" s="97"/>
      <c r="C222" s="98" t="s">
        <v>402</v>
      </c>
      <c r="D222" s="99"/>
      <c r="E222" s="95">
        <v>2000315</v>
      </c>
      <c r="F222" s="40"/>
    </row>
    <row r="223" spans="2:6" x14ac:dyDescent="0.35">
      <c r="B223" s="97"/>
      <c r="C223" s="98" t="s">
        <v>402</v>
      </c>
      <c r="D223" s="99"/>
      <c r="E223" s="95">
        <v>2000316</v>
      </c>
      <c r="F223" s="40"/>
    </row>
    <row r="224" spans="2:6" x14ac:dyDescent="0.35">
      <c r="B224" s="38">
        <v>46099</v>
      </c>
      <c r="C224" s="37" t="s">
        <v>338</v>
      </c>
      <c r="D224" s="70">
        <v>2250000</v>
      </c>
      <c r="E224" s="77">
        <v>2000317</v>
      </c>
      <c r="F224" s="40" t="s">
        <v>163</v>
      </c>
    </row>
    <row r="225" spans="2:6" x14ac:dyDescent="0.35">
      <c r="B225" s="38">
        <v>46099</v>
      </c>
      <c r="C225" s="37" t="s">
        <v>40</v>
      </c>
      <c r="D225" s="70">
        <v>500000</v>
      </c>
      <c r="E225" s="77">
        <v>2000318</v>
      </c>
      <c r="F225" s="40" t="s">
        <v>205</v>
      </c>
    </row>
    <row r="226" spans="2:6" x14ac:dyDescent="0.35">
      <c r="B226" s="38">
        <v>46099</v>
      </c>
      <c r="C226" s="37" t="s">
        <v>42</v>
      </c>
      <c r="D226" s="70">
        <v>420418</v>
      </c>
      <c r="E226" s="77">
        <v>2000319</v>
      </c>
      <c r="F226" s="40" t="s">
        <v>206</v>
      </c>
    </row>
    <row r="227" spans="2:6" x14ac:dyDescent="0.35">
      <c r="B227" s="38">
        <v>46099</v>
      </c>
      <c r="C227" s="37" t="s">
        <v>43</v>
      </c>
      <c r="D227" s="70">
        <v>1000000</v>
      </c>
      <c r="E227" s="77">
        <v>2000320</v>
      </c>
      <c r="F227" s="40" t="s">
        <v>207</v>
      </c>
    </row>
    <row r="228" spans="2:6" x14ac:dyDescent="0.35">
      <c r="B228" s="38">
        <v>46100</v>
      </c>
      <c r="C228" s="37" t="s">
        <v>46</v>
      </c>
      <c r="D228" s="70">
        <v>360000</v>
      </c>
      <c r="E228" s="77">
        <v>2000321</v>
      </c>
      <c r="F228" s="40" t="s">
        <v>210</v>
      </c>
    </row>
    <row r="229" spans="2:6" x14ac:dyDescent="0.35">
      <c r="B229" s="38">
        <v>46100</v>
      </c>
      <c r="C229" s="37" t="s">
        <v>78</v>
      </c>
      <c r="D229" s="70">
        <v>2000000</v>
      </c>
      <c r="E229" s="77">
        <v>2000322</v>
      </c>
      <c r="F229" s="37" t="s">
        <v>364</v>
      </c>
    </row>
    <row r="230" spans="2:6" x14ac:dyDescent="0.35">
      <c r="B230" s="38">
        <v>46104</v>
      </c>
      <c r="C230" s="37" t="s">
        <v>73</v>
      </c>
      <c r="D230" s="70">
        <v>15000000</v>
      </c>
      <c r="E230" s="77">
        <v>2000323</v>
      </c>
      <c r="F230" s="40" t="s">
        <v>56</v>
      </c>
    </row>
    <row r="231" spans="2:6" x14ac:dyDescent="0.35">
      <c r="B231" s="38">
        <v>46105</v>
      </c>
      <c r="C231" s="37" t="s">
        <v>48</v>
      </c>
      <c r="D231" s="70">
        <v>3072833</v>
      </c>
      <c r="E231" s="77">
        <v>2000324</v>
      </c>
      <c r="F231" s="40" t="s">
        <v>216</v>
      </c>
    </row>
    <row r="232" spans="2:6" x14ac:dyDescent="0.35">
      <c r="B232" s="38">
        <v>46105</v>
      </c>
      <c r="C232" s="37" t="s">
        <v>49</v>
      </c>
      <c r="D232" s="70">
        <v>5000</v>
      </c>
      <c r="E232" s="77">
        <v>2000324</v>
      </c>
      <c r="F232" s="40"/>
    </row>
    <row r="233" spans="2:6" x14ac:dyDescent="0.35">
      <c r="B233" s="38">
        <v>46105</v>
      </c>
      <c r="C233" s="37" t="s">
        <v>50</v>
      </c>
      <c r="D233" s="70">
        <v>500</v>
      </c>
      <c r="E233" s="77">
        <v>2000324</v>
      </c>
      <c r="F233" s="40"/>
    </row>
    <row r="234" spans="2:6" x14ac:dyDescent="0.35">
      <c r="B234" s="38">
        <v>46106</v>
      </c>
      <c r="C234" s="37" t="s">
        <v>217</v>
      </c>
      <c r="D234" s="70">
        <v>748325</v>
      </c>
      <c r="E234" s="77">
        <v>2000325</v>
      </c>
      <c r="F234" s="40" t="s">
        <v>57</v>
      </c>
    </row>
    <row r="235" spans="2:6" x14ac:dyDescent="0.35">
      <c r="B235" s="38">
        <v>46106</v>
      </c>
      <c r="C235" s="37" t="s">
        <v>217</v>
      </c>
      <c r="D235" s="70">
        <v>1000000</v>
      </c>
      <c r="E235" s="77">
        <v>2000326</v>
      </c>
      <c r="F235" s="40" t="s">
        <v>218</v>
      </c>
    </row>
    <row r="236" spans="2:6" x14ac:dyDescent="0.35">
      <c r="B236" s="38">
        <v>46105</v>
      </c>
      <c r="C236" s="37" t="s">
        <v>52</v>
      </c>
      <c r="D236" s="70">
        <v>2640000</v>
      </c>
      <c r="E236" s="77">
        <v>2000327</v>
      </c>
      <c r="F236" s="40" t="s">
        <v>221</v>
      </c>
    </row>
    <row r="237" spans="2:6" x14ac:dyDescent="0.35">
      <c r="B237" s="87"/>
      <c r="C237" s="85" t="s">
        <v>402</v>
      </c>
      <c r="D237" s="88"/>
      <c r="E237" s="86">
        <v>2000328</v>
      </c>
      <c r="F237" s="89"/>
    </row>
    <row r="238" spans="2:6" x14ac:dyDescent="0.35">
      <c r="B238" s="38">
        <v>46106</v>
      </c>
      <c r="C238" s="37" t="s">
        <v>53</v>
      </c>
      <c r="D238" s="70">
        <v>3366000</v>
      </c>
      <c r="E238" s="77">
        <v>2000329</v>
      </c>
      <c r="F238" s="40" t="s">
        <v>222</v>
      </c>
    </row>
    <row r="239" spans="2:6" x14ac:dyDescent="0.35">
      <c r="B239" s="38">
        <v>46108</v>
      </c>
      <c r="C239" s="37" t="s">
        <v>290</v>
      </c>
      <c r="D239" s="70">
        <v>2134000</v>
      </c>
      <c r="E239" s="77">
        <v>2000330</v>
      </c>
      <c r="F239" s="40" t="s">
        <v>64</v>
      </c>
    </row>
    <row r="240" spans="2:6" x14ac:dyDescent="0.35">
      <c r="B240" s="38">
        <v>46106</v>
      </c>
      <c r="C240" s="37" t="s">
        <v>73</v>
      </c>
      <c r="D240" s="70">
        <v>25000000</v>
      </c>
      <c r="E240" s="77">
        <v>2000331</v>
      </c>
      <c r="F240" s="40" t="s">
        <v>56</v>
      </c>
    </row>
    <row r="241" spans="2:6" x14ac:dyDescent="0.35">
      <c r="B241" s="38">
        <v>46106</v>
      </c>
      <c r="C241" s="37" t="s">
        <v>73</v>
      </c>
      <c r="D241" s="70">
        <v>30000000</v>
      </c>
      <c r="E241" s="77">
        <v>2000332</v>
      </c>
      <c r="F241" s="40" t="s">
        <v>56</v>
      </c>
    </row>
    <row r="242" spans="2:6" x14ac:dyDescent="0.35">
      <c r="B242" s="38">
        <v>46106</v>
      </c>
      <c r="C242" s="37" t="s">
        <v>42</v>
      </c>
      <c r="D242" s="70">
        <v>439499</v>
      </c>
      <c r="E242" s="77">
        <v>2000333</v>
      </c>
      <c r="F242" s="40" t="s">
        <v>206</v>
      </c>
    </row>
    <row r="243" spans="2:6" x14ac:dyDescent="0.35">
      <c r="B243" s="38">
        <v>46108</v>
      </c>
      <c r="C243" s="37" t="s">
        <v>152</v>
      </c>
      <c r="D243" s="70">
        <v>1283334</v>
      </c>
      <c r="E243" s="77">
        <v>2000334</v>
      </c>
      <c r="F243" s="40" t="s">
        <v>224</v>
      </c>
    </row>
    <row r="244" spans="2:6" x14ac:dyDescent="0.35">
      <c r="B244" s="38">
        <v>46108</v>
      </c>
      <c r="C244" s="37" t="s">
        <v>225</v>
      </c>
      <c r="D244" s="70">
        <v>120000000</v>
      </c>
      <c r="E244" s="77">
        <v>2000335</v>
      </c>
      <c r="F244" s="40" t="s">
        <v>122</v>
      </c>
    </row>
    <row r="245" spans="2:6" x14ac:dyDescent="0.35">
      <c r="B245" s="38">
        <v>46121</v>
      </c>
      <c r="C245" s="37" t="s">
        <v>54</v>
      </c>
      <c r="D245" s="70">
        <v>8742938</v>
      </c>
      <c r="E245" s="77">
        <v>2000336</v>
      </c>
      <c r="F245" s="40" t="s">
        <v>226</v>
      </c>
    </row>
    <row r="246" spans="2:6" x14ac:dyDescent="0.35">
      <c r="B246" s="38">
        <v>46121</v>
      </c>
      <c r="C246" s="37" t="s">
        <v>54</v>
      </c>
      <c r="D246" s="70">
        <v>417119</v>
      </c>
      <c r="E246" s="77">
        <v>2000337</v>
      </c>
      <c r="F246" s="40" t="s">
        <v>237</v>
      </c>
    </row>
    <row r="247" spans="2:6" x14ac:dyDescent="0.35">
      <c r="B247" s="38">
        <v>46121</v>
      </c>
      <c r="C247" s="37" t="s">
        <v>54</v>
      </c>
      <c r="D247" s="70">
        <v>8214352</v>
      </c>
      <c r="E247" s="77">
        <v>2000338</v>
      </c>
      <c r="F247" s="40" t="s">
        <v>238</v>
      </c>
    </row>
    <row r="248" spans="2:6" x14ac:dyDescent="0.35">
      <c r="B248" s="38">
        <v>46122</v>
      </c>
      <c r="C248" s="37" t="s">
        <v>73</v>
      </c>
      <c r="D248" s="70">
        <v>20000000</v>
      </c>
      <c r="E248" s="77">
        <v>2000339</v>
      </c>
      <c r="F248" s="40" t="s">
        <v>56</v>
      </c>
    </row>
    <row r="249" spans="2:6" x14ac:dyDescent="0.35">
      <c r="B249" s="38">
        <v>46122</v>
      </c>
      <c r="C249" s="37" t="s">
        <v>54</v>
      </c>
      <c r="D249" s="70">
        <v>8513915</v>
      </c>
      <c r="E249" s="77">
        <v>2000340</v>
      </c>
      <c r="F249" s="40" t="s">
        <v>239</v>
      </c>
    </row>
    <row r="250" spans="2:6" x14ac:dyDescent="0.35">
      <c r="B250" s="38">
        <v>46122</v>
      </c>
      <c r="C250" s="37" t="s">
        <v>54</v>
      </c>
      <c r="D250" s="70">
        <v>1647816</v>
      </c>
      <c r="E250" s="77">
        <v>2000341</v>
      </c>
      <c r="F250" s="40" t="s">
        <v>242</v>
      </c>
    </row>
    <row r="251" spans="2:6" x14ac:dyDescent="0.35">
      <c r="B251" s="38">
        <v>46122</v>
      </c>
      <c r="C251" s="37" t="s">
        <v>73</v>
      </c>
      <c r="D251" s="70">
        <v>10000000</v>
      </c>
      <c r="E251" s="77">
        <v>2000342</v>
      </c>
      <c r="F251" s="40" t="s">
        <v>56</v>
      </c>
    </row>
    <row r="252" spans="2:6" x14ac:dyDescent="0.35">
      <c r="B252" s="38">
        <v>46122</v>
      </c>
      <c r="C252" s="37" t="s">
        <v>78</v>
      </c>
      <c r="D252" s="70">
        <v>6000000</v>
      </c>
      <c r="E252" s="77">
        <v>2000343</v>
      </c>
      <c r="F252" s="37" t="s">
        <v>364</v>
      </c>
    </row>
    <row r="253" spans="2:6" x14ac:dyDescent="0.35">
      <c r="B253" s="100">
        <v>46122</v>
      </c>
      <c r="C253" s="80" t="s">
        <v>28</v>
      </c>
      <c r="D253" s="81">
        <v>8805300</v>
      </c>
      <c r="E253" s="83">
        <v>2000344</v>
      </c>
      <c r="F253" s="80"/>
    </row>
    <row r="254" spans="2:6" x14ac:dyDescent="0.35">
      <c r="B254" s="44">
        <v>46125</v>
      </c>
      <c r="C254" s="37" t="s">
        <v>25</v>
      </c>
      <c r="D254" s="70">
        <v>20000000</v>
      </c>
      <c r="E254" s="77">
        <v>2000345</v>
      </c>
      <c r="F254" s="40" t="s">
        <v>202</v>
      </c>
    </row>
    <row r="255" spans="2:6" x14ac:dyDescent="0.35">
      <c r="B255" s="44">
        <v>46126</v>
      </c>
      <c r="C255" s="37" t="s">
        <v>288</v>
      </c>
      <c r="D255" s="70">
        <v>31975080</v>
      </c>
      <c r="E255" s="77">
        <v>2000346</v>
      </c>
      <c r="F255" s="40" t="s">
        <v>287</v>
      </c>
    </row>
    <row r="256" spans="2:6" x14ac:dyDescent="0.35">
      <c r="B256" s="44">
        <v>46127</v>
      </c>
      <c r="C256" s="37" t="s">
        <v>292</v>
      </c>
      <c r="D256" s="70">
        <v>-31975080</v>
      </c>
      <c r="E256" s="77">
        <v>2000346</v>
      </c>
      <c r="F256" s="40" t="s">
        <v>251</v>
      </c>
    </row>
    <row r="257" spans="2:6" x14ac:dyDescent="0.35">
      <c r="B257" s="44">
        <v>46125</v>
      </c>
      <c r="C257" s="37" t="s">
        <v>54</v>
      </c>
      <c r="D257" s="70">
        <v>8605306</v>
      </c>
      <c r="E257" s="77">
        <v>2000347</v>
      </c>
      <c r="F257" s="37" t="s">
        <v>278</v>
      </c>
    </row>
    <row r="258" spans="2:6" x14ac:dyDescent="0.35">
      <c r="B258" s="44">
        <v>46125</v>
      </c>
      <c r="C258" s="37" t="s">
        <v>54</v>
      </c>
      <c r="D258" s="70">
        <v>8467884</v>
      </c>
      <c r="E258" s="77">
        <v>2000348</v>
      </c>
      <c r="F258" s="37" t="s">
        <v>279</v>
      </c>
    </row>
    <row r="259" spans="2:6" x14ac:dyDescent="0.35">
      <c r="B259" s="44">
        <v>46125</v>
      </c>
      <c r="C259" s="37" t="s">
        <v>54</v>
      </c>
      <c r="D259" s="70">
        <v>8662630</v>
      </c>
      <c r="E259" s="77">
        <v>2000349</v>
      </c>
      <c r="F259" s="37" t="s">
        <v>281</v>
      </c>
    </row>
    <row r="260" spans="2:6" x14ac:dyDescent="0.35">
      <c r="B260" s="44">
        <v>46134</v>
      </c>
      <c r="C260" s="37" t="s">
        <v>309</v>
      </c>
      <c r="D260" s="70">
        <v>8147211</v>
      </c>
      <c r="E260" s="77">
        <v>2000350</v>
      </c>
      <c r="F260" s="40" t="s">
        <v>310</v>
      </c>
    </row>
    <row r="261" spans="2:6" x14ac:dyDescent="0.35">
      <c r="B261" s="44"/>
      <c r="C261" s="37"/>
      <c r="D261" s="70"/>
      <c r="E261" s="77">
        <v>2000351</v>
      </c>
      <c r="F261" s="40"/>
    </row>
    <row r="262" spans="2:6" x14ac:dyDescent="0.35">
      <c r="B262" s="44"/>
      <c r="C262" s="37"/>
      <c r="D262" s="70"/>
      <c r="E262" s="77">
        <v>2000352</v>
      </c>
      <c r="F262" s="40"/>
    </row>
    <row r="263" spans="2:6" x14ac:dyDescent="0.35">
      <c r="B263" s="44"/>
      <c r="C263" s="37"/>
      <c r="D263" s="70"/>
      <c r="E263" s="77">
        <v>2000353</v>
      </c>
      <c r="F263" s="40"/>
    </row>
    <row r="264" spans="2:6" x14ac:dyDescent="0.35">
      <c r="B264" s="44"/>
      <c r="C264" s="37"/>
      <c r="D264" s="70"/>
      <c r="E264" s="77">
        <v>2000354</v>
      </c>
      <c r="F264" s="40"/>
    </row>
    <row r="265" spans="2:6" x14ac:dyDescent="0.35">
      <c r="B265" s="44"/>
      <c r="C265" s="37"/>
      <c r="D265" s="70"/>
      <c r="E265" s="77">
        <v>2000355</v>
      </c>
      <c r="F265" s="40"/>
    </row>
    <row r="266" spans="2:6" x14ac:dyDescent="0.35">
      <c r="B266" s="44"/>
      <c r="C266" s="37"/>
      <c r="D266" s="70"/>
      <c r="E266" s="77">
        <v>2000356</v>
      </c>
      <c r="F266" s="40"/>
    </row>
    <row r="267" spans="2:6" x14ac:dyDescent="0.35">
      <c r="B267" s="44"/>
      <c r="C267" s="37"/>
      <c r="D267" s="70"/>
      <c r="E267" s="77">
        <v>2000357</v>
      </c>
      <c r="F267" s="40"/>
    </row>
    <row r="268" spans="2:6" x14ac:dyDescent="0.35">
      <c r="B268" s="44"/>
      <c r="C268" s="37"/>
      <c r="D268" s="70"/>
      <c r="E268" s="77">
        <v>2000358</v>
      </c>
      <c r="F268" s="40"/>
    </row>
    <row r="269" spans="2:6" x14ac:dyDescent="0.35">
      <c r="B269" s="44"/>
      <c r="C269" s="37"/>
      <c r="D269" s="70"/>
      <c r="E269" s="77">
        <v>2000359</v>
      </c>
      <c r="F269" s="40"/>
    </row>
    <row r="270" spans="2:6" x14ac:dyDescent="0.35">
      <c r="B270" s="44"/>
      <c r="C270" s="37"/>
      <c r="D270" s="70"/>
      <c r="E270" s="77">
        <v>2000360</v>
      </c>
      <c r="F270" s="40"/>
    </row>
    <row r="271" spans="2:6" x14ac:dyDescent="0.35">
      <c r="B271" s="44"/>
      <c r="C271" s="37"/>
      <c r="D271" s="70"/>
      <c r="E271" s="77">
        <v>2000361</v>
      </c>
      <c r="F271" s="40"/>
    </row>
    <row r="272" spans="2:6" x14ac:dyDescent="0.35">
      <c r="B272" s="44"/>
      <c r="C272" s="37"/>
      <c r="D272" s="70"/>
      <c r="E272" s="77">
        <v>2000362</v>
      </c>
      <c r="F272" s="40"/>
    </row>
    <row r="273" spans="2:6" x14ac:dyDescent="0.35">
      <c r="B273" s="44"/>
      <c r="C273" s="37"/>
      <c r="D273" s="70"/>
      <c r="E273" s="77">
        <v>2000363</v>
      </c>
      <c r="F273" s="40"/>
    </row>
    <row r="274" spans="2:6" x14ac:dyDescent="0.35">
      <c r="B274" s="44"/>
      <c r="C274" s="37"/>
      <c r="D274" s="70"/>
      <c r="E274" s="77">
        <v>2000364</v>
      </c>
      <c r="F274" s="40"/>
    </row>
    <row r="275" spans="2:6" x14ac:dyDescent="0.35">
      <c r="B275" s="44"/>
      <c r="C275" s="37"/>
      <c r="D275" s="70"/>
      <c r="E275" s="77">
        <v>2000365</v>
      </c>
      <c r="F275" s="40"/>
    </row>
    <row r="276" spans="2:6" x14ac:dyDescent="0.35">
      <c r="B276" s="44"/>
      <c r="C276" s="37"/>
      <c r="D276" s="70"/>
      <c r="E276" s="77">
        <v>2000366</v>
      </c>
      <c r="F276" s="40"/>
    </row>
    <row r="277" spans="2:6" x14ac:dyDescent="0.35">
      <c r="B277" s="44"/>
      <c r="C277" s="37"/>
      <c r="D277" s="70"/>
      <c r="E277" s="77">
        <v>2000367</v>
      </c>
      <c r="F277" s="40"/>
    </row>
    <row r="278" spans="2:6" x14ac:dyDescent="0.35">
      <c r="B278" s="44"/>
      <c r="C278" s="37"/>
      <c r="D278" s="70"/>
      <c r="E278" s="77">
        <v>2000368</v>
      </c>
      <c r="F278" s="40"/>
    </row>
    <row r="279" spans="2:6" x14ac:dyDescent="0.35">
      <c r="B279" s="44"/>
      <c r="C279" s="37"/>
      <c r="D279" s="70"/>
      <c r="E279" s="77">
        <v>2000369</v>
      </c>
      <c r="F279" s="40"/>
    </row>
    <row r="280" spans="2:6" x14ac:dyDescent="0.35">
      <c r="B280" s="44"/>
      <c r="C280" s="37"/>
      <c r="D280" s="70"/>
      <c r="E280" s="77">
        <v>2000370</v>
      </c>
      <c r="F280" s="40"/>
    </row>
    <row r="281" spans="2:6" x14ac:dyDescent="0.35">
      <c r="B281" s="44"/>
      <c r="C281" s="37"/>
      <c r="D281" s="70"/>
      <c r="E281" s="77">
        <v>2000371</v>
      </c>
      <c r="F281" s="40"/>
    </row>
    <row r="282" spans="2:6" x14ac:dyDescent="0.35">
      <c r="B282" s="44"/>
      <c r="C282" s="37"/>
      <c r="D282" s="70"/>
      <c r="E282" s="77">
        <v>2000372</v>
      </c>
      <c r="F282" s="40"/>
    </row>
    <row r="283" spans="2:6" x14ac:dyDescent="0.35">
      <c r="B283" s="44"/>
      <c r="C283" s="37"/>
      <c r="D283" s="70"/>
      <c r="E283" s="77">
        <v>2000373</v>
      </c>
      <c r="F283" s="40"/>
    </row>
    <row r="284" spans="2:6" x14ac:dyDescent="0.35">
      <c r="B284" s="44"/>
      <c r="C284" s="37"/>
      <c r="D284" s="70"/>
      <c r="E284" s="77">
        <v>2000374</v>
      </c>
      <c r="F284" s="40"/>
    </row>
    <row r="285" spans="2:6" x14ac:dyDescent="0.35">
      <c r="B285" s="44"/>
      <c r="C285" s="37"/>
      <c r="D285" s="70"/>
      <c r="E285" s="77">
        <v>2000375</v>
      </c>
      <c r="F285" s="40"/>
    </row>
    <row r="286" spans="2:6" x14ac:dyDescent="0.35">
      <c r="B286" s="44"/>
      <c r="C286" s="37"/>
      <c r="D286" s="70"/>
      <c r="E286" s="77">
        <v>2000376</v>
      </c>
      <c r="F286" s="40"/>
    </row>
    <row r="287" spans="2:6" x14ac:dyDescent="0.35">
      <c r="B287" s="44"/>
      <c r="C287" s="37"/>
      <c r="D287" s="70"/>
      <c r="E287" s="77">
        <v>2000377</v>
      </c>
      <c r="F287" s="40"/>
    </row>
    <row r="288" spans="2:6" x14ac:dyDescent="0.35">
      <c r="B288" s="44"/>
      <c r="C288" s="37"/>
      <c r="D288" s="70"/>
      <c r="E288" s="77">
        <v>2000378</v>
      </c>
      <c r="F288" s="40"/>
    </row>
    <row r="289" spans="2:6" x14ac:dyDescent="0.35">
      <c r="B289" s="44"/>
      <c r="C289" s="37"/>
      <c r="D289" s="70"/>
      <c r="E289" s="77">
        <v>2000379</v>
      </c>
      <c r="F289" s="40"/>
    </row>
    <row r="290" spans="2:6" x14ac:dyDescent="0.35">
      <c r="B290" s="44"/>
      <c r="C290" s="37"/>
      <c r="D290" s="70"/>
      <c r="E290" s="77">
        <v>2000380</v>
      </c>
      <c r="F290" s="40"/>
    </row>
    <row r="291" spans="2:6" x14ac:dyDescent="0.35">
      <c r="B291" s="44"/>
      <c r="C291" s="37"/>
      <c r="D291" s="70"/>
      <c r="E291" s="77">
        <v>2000381</v>
      </c>
      <c r="F291" s="40"/>
    </row>
    <row r="292" spans="2:6" x14ac:dyDescent="0.35">
      <c r="B292" s="44"/>
      <c r="C292" s="37"/>
      <c r="D292" s="70"/>
      <c r="E292" s="77">
        <v>2000382</v>
      </c>
      <c r="F292" s="40"/>
    </row>
    <row r="293" spans="2:6" x14ac:dyDescent="0.35">
      <c r="B293" s="44"/>
      <c r="C293" s="37"/>
      <c r="D293" s="70"/>
      <c r="E293" s="77">
        <v>2000383</v>
      </c>
      <c r="F293" s="40"/>
    </row>
    <row r="294" spans="2:6" x14ac:dyDescent="0.35">
      <c r="B294" s="44"/>
      <c r="C294" s="37"/>
      <c r="D294" s="70"/>
      <c r="E294" s="77">
        <v>2000384</v>
      </c>
      <c r="F294" s="40"/>
    </row>
    <row r="295" spans="2:6" x14ac:dyDescent="0.35">
      <c r="B295" s="44"/>
      <c r="C295" s="37"/>
      <c r="D295" s="70"/>
      <c r="E295" s="77">
        <v>2000385</v>
      </c>
      <c r="F295" s="40"/>
    </row>
    <row r="296" spans="2:6" x14ac:dyDescent="0.35">
      <c r="B296" s="44"/>
      <c r="C296" s="37"/>
      <c r="D296" s="70"/>
      <c r="E296" s="77">
        <v>2000386</v>
      </c>
      <c r="F296" s="40"/>
    </row>
    <row r="297" spans="2:6" x14ac:dyDescent="0.35">
      <c r="B297" s="44"/>
      <c r="C297" s="37"/>
      <c r="D297" s="70"/>
      <c r="E297" s="77">
        <v>2000387</v>
      </c>
      <c r="F297" s="40"/>
    </row>
    <row r="298" spans="2:6" x14ac:dyDescent="0.35">
      <c r="B298" s="44"/>
      <c r="C298" s="37"/>
      <c r="D298" s="70"/>
      <c r="E298" s="77">
        <v>2000388</v>
      </c>
      <c r="F298" s="40"/>
    </row>
    <row r="299" spans="2:6" x14ac:dyDescent="0.35">
      <c r="B299" s="44"/>
      <c r="C299" s="37"/>
      <c r="D299" s="70"/>
      <c r="E299" s="77">
        <v>2000389</v>
      </c>
      <c r="F299" s="40"/>
    </row>
    <row r="300" spans="2:6" x14ac:dyDescent="0.35">
      <c r="B300" s="44"/>
      <c r="C300" s="37"/>
      <c r="D300" s="70"/>
      <c r="E300" s="77">
        <v>2000390</v>
      </c>
      <c r="F300" s="40"/>
    </row>
    <row r="301" spans="2:6" x14ac:dyDescent="0.35">
      <c r="B301" s="44"/>
      <c r="C301" s="37"/>
      <c r="D301" s="70"/>
      <c r="E301" s="77">
        <v>2000391</v>
      </c>
      <c r="F301" s="40"/>
    </row>
    <row r="302" spans="2:6" x14ac:dyDescent="0.35">
      <c r="B302" s="44"/>
      <c r="C302" s="37"/>
      <c r="D302" s="70"/>
      <c r="E302" s="77">
        <v>2000392</v>
      </c>
      <c r="F302" s="40"/>
    </row>
    <row r="303" spans="2:6" x14ac:dyDescent="0.35">
      <c r="B303" s="44"/>
      <c r="C303" s="37"/>
      <c r="D303" s="70"/>
      <c r="E303" s="77">
        <v>2000393</v>
      </c>
      <c r="F303" s="40"/>
    </row>
    <row r="304" spans="2:6" x14ac:dyDescent="0.35">
      <c r="B304" s="44"/>
      <c r="C304" s="37"/>
      <c r="D304" s="70"/>
      <c r="E304" s="77">
        <v>2000394</v>
      </c>
      <c r="F304" s="40"/>
    </row>
    <row r="305" spans="2:6" x14ac:dyDescent="0.35">
      <c r="B305" s="44"/>
      <c r="C305" s="37"/>
      <c r="D305" s="70"/>
      <c r="E305" s="77">
        <v>2000395</v>
      </c>
      <c r="F305" s="40"/>
    </row>
    <row r="306" spans="2:6" x14ac:dyDescent="0.35">
      <c r="B306" s="44"/>
      <c r="C306" s="37"/>
      <c r="D306" s="70"/>
      <c r="E306" s="77">
        <v>2000396</v>
      </c>
      <c r="F306" s="40"/>
    </row>
    <row r="307" spans="2:6" x14ac:dyDescent="0.35">
      <c r="B307" s="44"/>
      <c r="C307" s="37"/>
      <c r="D307" s="70"/>
      <c r="E307" s="77">
        <v>2000397</v>
      </c>
      <c r="F307" s="40"/>
    </row>
    <row r="308" spans="2:6" x14ac:dyDescent="0.35">
      <c r="B308" s="44"/>
      <c r="C308" s="37"/>
      <c r="D308" s="70"/>
      <c r="E308" s="77">
        <v>2000398</v>
      </c>
      <c r="F308" s="40"/>
    </row>
    <row r="309" spans="2:6" x14ac:dyDescent="0.35">
      <c r="B309" s="44"/>
      <c r="C309" s="37"/>
      <c r="D309" s="70"/>
      <c r="E309" s="77">
        <v>2000399</v>
      </c>
      <c r="F309" s="40"/>
    </row>
    <row r="310" spans="2:6" x14ac:dyDescent="0.35">
      <c r="B310" s="44"/>
      <c r="C310" s="37"/>
      <c r="D310" s="70"/>
      <c r="E310" s="77">
        <v>2000400</v>
      </c>
      <c r="F310" s="40"/>
    </row>
    <row r="311" spans="2:6" x14ac:dyDescent="0.35">
      <c r="B311" s="44">
        <v>46154</v>
      </c>
      <c r="C311" s="37" t="s">
        <v>271</v>
      </c>
      <c r="D311" s="70">
        <v>11580660</v>
      </c>
      <c r="E311" s="77">
        <v>2000401</v>
      </c>
      <c r="F311" s="40" t="s">
        <v>363</v>
      </c>
    </row>
    <row r="312" spans="2:6" x14ac:dyDescent="0.35">
      <c r="B312" s="44">
        <v>46154</v>
      </c>
      <c r="C312" s="37" t="s">
        <v>271</v>
      </c>
      <c r="D312" s="70">
        <v>13972140</v>
      </c>
      <c r="E312" s="77">
        <v>2000402</v>
      </c>
      <c r="F312" s="40" t="s">
        <v>363</v>
      </c>
    </row>
    <row r="313" spans="2:6" x14ac:dyDescent="0.35">
      <c r="B313" s="44">
        <v>46154</v>
      </c>
      <c r="C313" s="37" t="s">
        <v>269</v>
      </c>
      <c r="D313" s="70">
        <v>67985800</v>
      </c>
      <c r="E313" s="77">
        <v>2000403</v>
      </c>
      <c r="F313" s="40" t="s">
        <v>363</v>
      </c>
    </row>
    <row r="314" spans="2:6" x14ac:dyDescent="0.35">
      <c r="B314" s="44">
        <v>46154</v>
      </c>
      <c r="C314" s="37" t="s">
        <v>333</v>
      </c>
      <c r="D314" s="70">
        <v>9555000</v>
      </c>
      <c r="E314" s="77">
        <v>2000404</v>
      </c>
      <c r="F314" s="40" t="s">
        <v>363</v>
      </c>
    </row>
    <row r="315" spans="2:6" x14ac:dyDescent="0.35">
      <c r="B315" s="44">
        <v>46154</v>
      </c>
      <c r="C315" s="37" t="s">
        <v>26</v>
      </c>
      <c r="D315" s="70">
        <v>349200</v>
      </c>
      <c r="E315" s="77">
        <v>2000405</v>
      </c>
      <c r="F315" s="40" t="s">
        <v>60</v>
      </c>
    </row>
    <row r="316" spans="2:6" x14ac:dyDescent="0.35">
      <c r="B316" s="44">
        <v>46154</v>
      </c>
      <c r="C316" s="37" t="s">
        <v>343</v>
      </c>
      <c r="D316" s="70">
        <v>20485920</v>
      </c>
      <c r="E316" s="77">
        <v>2000406</v>
      </c>
      <c r="F316" s="40" t="s">
        <v>363</v>
      </c>
    </row>
    <row r="317" spans="2:6" x14ac:dyDescent="0.35">
      <c r="B317" s="44">
        <v>46154</v>
      </c>
      <c r="C317" s="37" t="s">
        <v>336</v>
      </c>
      <c r="D317" s="70">
        <v>11613420</v>
      </c>
      <c r="E317" s="77">
        <v>2000407</v>
      </c>
      <c r="F317" s="40" t="s">
        <v>344</v>
      </c>
    </row>
    <row r="318" spans="2:6" x14ac:dyDescent="0.35">
      <c r="B318" s="44">
        <v>46155</v>
      </c>
      <c r="C318" s="37" t="s">
        <v>271</v>
      </c>
      <c r="D318" s="70">
        <v>13164060</v>
      </c>
      <c r="E318" s="77">
        <v>2000408</v>
      </c>
      <c r="F318" s="40" t="s">
        <v>363</v>
      </c>
    </row>
    <row r="319" spans="2:6" x14ac:dyDescent="0.35">
      <c r="B319" s="44">
        <v>46155</v>
      </c>
      <c r="C319" s="37" t="s">
        <v>328</v>
      </c>
      <c r="D319" s="70">
        <v>2241000</v>
      </c>
      <c r="E319" s="77">
        <v>2000409</v>
      </c>
      <c r="F319" s="40" t="s">
        <v>363</v>
      </c>
    </row>
    <row r="320" spans="2:6" x14ac:dyDescent="0.35">
      <c r="B320" s="44">
        <v>46155</v>
      </c>
      <c r="C320" s="37" t="s">
        <v>42</v>
      </c>
      <c r="D320" s="70">
        <v>806465</v>
      </c>
      <c r="E320" s="77">
        <v>2000410</v>
      </c>
      <c r="F320" s="40" t="s">
        <v>206</v>
      </c>
    </row>
    <row r="321" spans="2:6" x14ac:dyDescent="0.35">
      <c r="B321" s="44">
        <v>46155</v>
      </c>
      <c r="C321" s="37" t="s">
        <v>329</v>
      </c>
      <c r="D321" s="70">
        <v>3753600</v>
      </c>
      <c r="E321" s="77">
        <v>2000411</v>
      </c>
      <c r="F321" s="40" t="s">
        <v>363</v>
      </c>
    </row>
    <row r="322" spans="2:6" x14ac:dyDescent="0.35">
      <c r="B322" s="44">
        <v>46155</v>
      </c>
      <c r="C322" s="37" t="s">
        <v>333</v>
      </c>
      <c r="D322" s="70">
        <v>28627500</v>
      </c>
      <c r="E322" s="77">
        <v>2000412</v>
      </c>
      <c r="F322" s="40" t="s">
        <v>363</v>
      </c>
    </row>
    <row r="323" spans="2:6" x14ac:dyDescent="0.35">
      <c r="B323" s="45">
        <v>46157</v>
      </c>
      <c r="C323" s="37" t="s">
        <v>263</v>
      </c>
      <c r="D323" s="46">
        <v>8178500</v>
      </c>
      <c r="E323" s="75">
        <v>2000413</v>
      </c>
      <c r="F323" s="40" t="s">
        <v>363</v>
      </c>
    </row>
    <row r="324" spans="2:6" x14ac:dyDescent="0.35">
      <c r="B324" s="45">
        <v>46157</v>
      </c>
      <c r="C324" s="37" t="s">
        <v>152</v>
      </c>
      <c r="D324" s="46">
        <v>470945</v>
      </c>
      <c r="E324" s="75">
        <v>2000414</v>
      </c>
      <c r="F324" s="40" t="s">
        <v>365</v>
      </c>
    </row>
    <row r="325" spans="2:6" x14ac:dyDescent="0.35">
      <c r="B325" s="45">
        <v>46157</v>
      </c>
      <c r="C325" s="37" t="s">
        <v>332</v>
      </c>
      <c r="D325" s="46">
        <v>23089000</v>
      </c>
      <c r="E325" s="75">
        <v>2000415</v>
      </c>
      <c r="F325" s="40" t="s">
        <v>363</v>
      </c>
    </row>
    <row r="326" spans="2:6" x14ac:dyDescent="0.35">
      <c r="B326" s="45">
        <v>46157</v>
      </c>
      <c r="C326" s="37" t="s">
        <v>331</v>
      </c>
      <c r="D326" s="46">
        <v>137763180</v>
      </c>
      <c r="E326" s="75">
        <v>2000416</v>
      </c>
      <c r="F326" s="37"/>
    </row>
    <row r="327" spans="2:6" x14ac:dyDescent="0.35">
      <c r="B327" s="92"/>
      <c r="C327" s="85" t="s">
        <v>402</v>
      </c>
      <c r="D327" s="88"/>
      <c r="E327" s="93">
        <v>2000417</v>
      </c>
      <c r="F327" s="85"/>
    </row>
    <row r="328" spans="2:6" x14ac:dyDescent="0.35">
      <c r="B328" s="45">
        <v>46157</v>
      </c>
      <c r="C328" s="37" t="s">
        <v>330</v>
      </c>
      <c r="D328" s="46">
        <v>7953000</v>
      </c>
      <c r="E328" s="75">
        <v>2000418</v>
      </c>
      <c r="F328" s="37"/>
    </row>
    <row r="329" spans="2:6" x14ac:dyDescent="0.35">
      <c r="B329" s="45">
        <v>46157</v>
      </c>
      <c r="C329" s="37" t="s">
        <v>332</v>
      </c>
      <c r="D329" s="46">
        <v>24117500</v>
      </c>
      <c r="E329" s="75">
        <v>2000419</v>
      </c>
      <c r="F329" s="40" t="s">
        <v>363</v>
      </c>
    </row>
    <row r="330" spans="2:6" x14ac:dyDescent="0.35">
      <c r="B330" s="45">
        <v>46157</v>
      </c>
      <c r="C330" s="37" t="s">
        <v>333</v>
      </c>
      <c r="D330" s="46">
        <v>66528000</v>
      </c>
      <c r="E330" s="75">
        <v>2000420</v>
      </c>
      <c r="F330" s="40" t="s">
        <v>363</v>
      </c>
    </row>
    <row r="331" spans="2:6" x14ac:dyDescent="0.35">
      <c r="B331" s="45">
        <v>46157</v>
      </c>
      <c r="C331" s="37" t="s">
        <v>343</v>
      </c>
      <c r="D331" s="46">
        <v>16384500</v>
      </c>
      <c r="E331" s="75">
        <v>2000421</v>
      </c>
      <c r="F331" s="40" t="s">
        <v>363</v>
      </c>
    </row>
    <row r="332" spans="2:6" x14ac:dyDescent="0.35">
      <c r="B332" s="45">
        <v>46161</v>
      </c>
      <c r="C332" s="37" t="s">
        <v>111</v>
      </c>
      <c r="D332" s="46">
        <v>5000000</v>
      </c>
      <c r="E332" s="75">
        <v>2000422</v>
      </c>
      <c r="F332" s="40" t="s">
        <v>112</v>
      </c>
    </row>
    <row r="333" spans="2:6" x14ac:dyDescent="0.35">
      <c r="B333" s="45">
        <v>46161</v>
      </c>
      <c r="C333" s="37" t="s">
        <v>369</v>
      </c>
      <c r="D333" s="46">
        <v>5000000</v>
      </c>
      <c r="E333" s="75">
        <v>2000423</v>
      </c>
      <c r="F333" s="40"/>
    </row>
    <row r="334" spans="2:6" x14ac:dyDescent="0.35">
      <c r="B334" s="45">
        <v>46160</v>
      </c>
      <c r="C334" s="37" t="s">
        <v>368</v>
      </c>
      <c r="D334" s="46">
        <v>10736360</v>
      </c>
      <c r="E334" s="75">
        <v>2000424</v>
      </c>
      <c r="F334" s="37" t="s">
        <v>363</v>
      </c>
    </row>
    <row r="335" spans="2:6" x14ac:dyDescent="0.35">
      <c r="B335" s="45">
        <v>46161</v>
      </c>
      <c r="C335" s="37" t="s">
        <v>25</v>
      </c>
      <c r="D335" s="46">
        <v>15000000</v>
      </c>
      <c r="E335" s="75">
        <v>2000425</v>
      </c>
      <c r="F335" s="40" t="s">
        <v>202</v>
      </c>
    </row>
    <row r="336" spans="2:6" x14ac:dyDescent="0.35">
      <c r="B336" s="45">
        <v>46160</v>
      </c>
      <c r="C336" s="37" t="s">
        <v>367</v>
      </c>
      <c r="D336" s="46">
        <v>20000000</v>
      </c>
      <c r="E336" s="75">
        <v>2000426</v>
      </c>
      <c r="F336" s="40" t="s">
        <v>56</v>
      </c>
    </row>
    <row r="337" spans="2:6" x14ac:dyDescent="0.35">
      <c r="B337" s="45">
        <v>46160</v>
      </c>
      <c r="C337" s="37" t="s">
        <v>367</v>
      </c>
      <c r="D337" s="46">
        <v>20000000</v>
      </c>
      <c r="E337" s="75">
        <v>2000427</v>
      </c>
      <c r="F337" s="40" t="s">
        <v>56</v>
      </c>
    </row>
    <row r="338" spans="2:6" x14ac:dyDescent="0.35">
      <c r="B338" s="45">
        <v>46160</v>
      </c>
      <c r="C338" s="37" t="s">
        <v>367</v>
      </c>
      <c r="D338" s="46">
        <v>20000000</v>
      </c>
      <c r="E338" s="75">
        <v>2000428</v>
      </c>
      <c r="F338" s="40" t="s">
        <v>56</v>
      </c>
    </row>
    <row r="339" spans="2:6" x14ac:dyDescent="0.35">
      <c r="B339" s="45">
        <v>46160</v>
      </c>
      <c r="C339" s="37" t="s">
        <v>366</v>
      </c>
      <c r="D339" s="46">
        <v>13717000</v>
      </c>
      <c r="E339" s="75">
        <v>2000429</v>
      </c>
      <c r="F339" s="40" t="s">
        <v>363</v>
      </c>
    </row>
    <row r="340" spans="2:6" x14ac:dyDescent="0.35">
      <c r="B340" s="45">
        <v>46160</v>
      </c>
      <c r="C340" s="37" t="s">
        <v>343</v>
      </c>
      <c r="D340" s="46">
        <v>18149600</v>
      </c>
      <c r="E340" s="75">
        <v>2000430</v>
      </c>
      <c r="F340" s="37"/>
    </row>
    <row r="341" spans="2:6" x14ac:dyDescent="0.35">
      <c r="B341" s="45">
        <v>46160</v>
      </c>
      <c r="C341" s="37" t="s">
        <v>42</v>
      </c>
      <c r="D341" s="46">
        <v>419207</v>
      </c>
      <c r="E341" s="77">
        <v>2000431</v>
      </c>
      <c r="F341" s="40" t="s">
        <v>206</v>
      </c>
    </row>
    <row r="342" spans="2:6" x14ac:dyDescent="0.35">
      <c r="B342" s="45">
        <v>46161</v>
      </c>
      <c r="C342" s="37" t="s">
        <v>333</v>
      </c>
      <c r="D342" s="46">
        <v>58753140</v>
      </c>
      <c r="E342" s="75">
        <v>2000432</v>
      </c>
      <c r="F342" s="40" t="s">
        <v>363</v>
      </c>
    </row>
    <row r="343" spans="2:6" x14ac:dyDescent="0.35">
      <c r="B343" s="45">
        <v>46161</v>
      </c>
      <c r="C343" s="37" t="s">
        <v>339</v>
      </c>
      <c r="D343" s="46">
        <v>6470720</v>
      </c>
      <c r="E343" s="75">
        <v>2000433</v>
      </c>
      <c r="F343" s="40" t="s">
        <v>363</v>
      </c>
    </row>
    <row r="344" spans="2:6" x14ac:dyDescent="0.35">
      <c r="B344" s="45">
        <v>46161</v>
      </c>
      <c r="C344" s="37" t="s">
        <v>368</v>
      </c>
      <c r="D344" s="46">
        <v>13753600</v>
      </c>
      <c r="E344" s="75">
        <v>2000434</v>
      </c>
      <c r="F344" s="40" t="s">
        <v>363</v>
      </c>
    </row>
    <row r="345" spans="2:6" x14ac:dyDescent="0.35">
      <c r="B345" s="45">
        <v>46161</v>
      </c>
      <c r="C345" s="37" t="s">
        <v>360</v>
      </c>
      <c r="D345" s="46">
        <v>39698400</v>
      </c>
      <c r="E345" s="75">
        <v>2000435</v>
      </c>
      <c r="F345" s="40" t="s">
        <v>363</v>
      </c>
    </row>
    <row r="346" spans="2:6" x14ac:dyDescent="0.35">
      <c r="B346" s="45">
        <v>46161</v>
      </c>
      <c r="C346" s="37" t="s">
        <v>370</v>
      </c>
      <c r="D346" s="46">
        <v>14156800</v>
      </c>
      <c r="E346" s="75">
        <v>2000436</v>
      </c>
      <c r="F346" s="40" t="s">
        <v>363</v>
      </c>
    </row>
    <row r="347" spans="2:6" x14ac:dyDescent="0.35">
      <c r="B347" s="45">
        <v>46161</v>
      </c>
      <c r="C347" s="37" t="s">
        <v>14</v>
      </c>
      <c r="D347" s="46">
        <v>2500000</v>
      </c>
      <c r="E347" s="75">
        <v>2000437</v>
      </c>
      <c r="F347" s="40" t="s">
        <v>319</v>
      </c>
    </row>
    <row r="348" spans="2:6" x14ac:dyDescent="0.35">
      <c r="B348" s="45">
        <v>46162</v>
      </c>
      <c r="C348" s="37" t="s">
        <v>362</v>
      </c>
      <c r="D348" s="46">
        <v>10000000</v>
      </c>
      <c r="E348" s="75">
        <v>2000438</v>
      </c>
      <c r="F348" s="40" t="s">
        <v>363</v>
      </c>
    </row>
    <row r="349" spans="2:6" x14ac:dyDescent="0.35">
      <c r="B349" s="45">
        <v>46162</v>
      </c>
      <c r="C349" s="37" t="s">
        <v>336</v>
      </c>
      <c r="D349" s="46">
        <v>8484560</v>
      </c>
      <c r="E349" s="75">
        <v>2000439</v>
      </c>
      <c r="F349" s="40" t="s">
        <v>363</v>
      </c>
    </row>
    <row r="350" spans="2:6" x14ac:dyDescent="0.35">
      <c r="B350" s="45">
        <v>46162</v>
      </c>
      <c r="C350" s="37" t="s">
        <v>360</v>
      </c>
      <c r="D350" s="70">
        <v>26616800</v>
      </c>
      <c r="E350" s="75">
        <v>2000440</v>
      </c>
      <c r="F350" s="40" t="s">
        <v>363</v>
      </c>
    </row>
    <row r="351" spans="2:6" x14ac:dyDescent="0.35">
      <c r="B351" s="45">
        <v>46162</v>
      </c>
      <c r="C351" s="37" t="s">
        <v>263</v>
      </c>
      <c r="D351" s="70">
        <v>13977420</v>
      </c>
      <c r="E351" s="75">
        <v>2000441</v>
      </c>
      <c r="F351" s="40" t="s">
        <v>363</v>
      </c>
    </row>
    <row r="352" spans="2:6" x14ac:dyDescent="0.35">
      <c r="B352" s="45">
        <v>46162</v>
      </c>
      <c r="C352" s="37" t="s">
        <v>333</v>
      </c>
      <c r="D352" s="70">
        <v>43300800</v>
      </c>
      <c r="E352" s="75">
        <v>2000442</v>
      </c>
      <c r="F352" s="40" t="s">
        <v>363</v>
      </c>
    </row>
    <row r="353" spans="2:6" x14ac:dyDescent="0.35">
      <c r="B353" s="45">
        <v>46162</v>
      </c>
      <c r="C353" s="37" t="s">
        <v>261</v>
      </c>
      <c r="D353" s="70">
        <v>28621600</v>
      </c>
      <c r="E353" s="75">
        <v>2000443</v>
      </c>
      <c r="F353" s="40" t="s">
        <v>363</v>
      </c>
    </row>
    <row r="354" spans="2:6" x14ac:dyDescent="0.35">
      <c r="B354" s="45">
        <v>46162</v>
      </c>
      <c r="C354" s="37" t="s">
        <v>339</v>
      </c>
      <c r="D354" s="70">
        <v>13568800</v>
      </c>
      <c r="E354" s="75">
        <v>2000444</v>
      </c>
      <c r="F354" s="40" t="s">
        <v>363</v>
      </c>
    </row>
    <row r="355" spans="2:6" x14ac:dyDescent="0.35">
      <c r="B355" s="45">
        <v>46162</v>
      </c>
      <c r="C355" s="37" t="s">
        <v>372</v>
      </c>
      <c r="D355" s="70">
        <v>586800</v>
      </c>
      <c r="E355" s="75">
        <v>2000445</v>
      </c>
      <c r="F355" s="40" t="s">
        <v>373</v>
      </c>
    </row>
    <row r="356" spans="2:6" x14ac:dyDescent="0.35">
      <c r="B356" s="45">
        <v>46163</v>
      </c>
      <c r="C356" s="37" t="s">
        <v>78</v>
      </c>
      <c r="D356" s="70">
        <v>589607</v>
      </c>
      <c r="E356" s="75">
        <v>2000446</v>
      </c>
      <c r="F356" s="40" t="s">
        <v>374</v>
      </c>
    </row>
    <row r="357" spans="2:6" x14ac:dyDescent="0.35">
      <c r="B357" s="45">
        <v>46168</v>
      </c>
      <c r="C357" s="37" t="s">
        <v>355</v>
      </c>
      <c r="D357" s="70">
        <v>1546300</v>
      </c>
      <c r="E357" s="75">
        <v>2000447</v>
      </c>
      <c r="F357" s="40" t="s">
        <v>154</v>
      </c>
    </row>
    <row r="358" spans="2:6" x14ac:dyDescent="0.35">
      <c r="B358" s="45">
        <v>46164</v>
      </c>
      <c r="C358" s="37" t="s">
        <v>333</v>
      </c>
      <c r="D358" s="70">
        <v>14431200</v>
      </c>
      <c r="E358" s="75">
        <v>2000448</v>
      </c>
      <c r="F358" s="40" t="s">
        <v>363</v>
      </c>
    </row>
    <row r="359" spans="2:6" x14ac:dyDescent="0.35">
      <c r="B359" s="45">
        <v>46168</v>
      </c>
      <c r="C359" s="37" t="s">
        <v>269</v>
      </c>
      <c r="D359" s="70">
        <v>60000000</v>
      </c>
      <c r="E359" s="75">
        <v>2000449</v>
      </c>
      <c r="F359" s="40" t="s">
        <v>363</v>
      </c>
    </row>
    <row r="360" spans="2:6" x14ac:dyDescent="0.35">
      <c r="B360" s="45">
        <v>46168</v>
      </c>
      <c r="C360" s="49">
        <v>10176000</v>
      </c>
      <c r="D360" s="70">
        <v>8561520</v>
      </c>
      <c r="E360" s="75">
        <v>2000450</v>
      </c>
      <c r="F360" s="40" t="s">
        <v>363</v>
      </c>
    </row>
    <row r="361" spans="2:6" x14ac:dyDescent="0.35">
      <c r="B361" s="45">
        <v>46168</v>
      </c>
      <c r="C361" s="37" t="s">
        <v>377</v>
      </c>
      <c r="D361" s="70">
        <v>14935480</v>
      </c>
      <c r="E361" s="75">
        <v>2000451</v>
      </c>
      <c r="F361" s="40" t="s">
        <v>363</v>
      </c>
    </row>
    <row r="362" spans="2:6" x14ac:dyDescent="0.35">
      <c r="B362" s="45">
        <v>46168</v>
      </c>
      <c r="C362" s="37" t="s">
        <v>366</v>
      </c>
      <c r="D362" s="70">
        <v>13603680</v>
      </c>
      <c r="E362" s="75">
        <v>2000452</v>
      </c>
      <c r="F362" s="40" t="s">
        <v>363</v>
      </c>
    </row>
    <row r="363" spans="2:6" x14ac:dyDescent="0.35">
      <c r="B363" s="45">
        <v>46170</v>
      </c>
      <c r="C363" s="37" t="s">
        <v>380</v>
      </c>
      <c r="D363" s="70">
        <v>6048000</v>
      </c>
      <c r="E363" s="75">
        <v>2000453</v>
      </c>
      <c r="F363" s="40" t="s">
        <v>363</v>
      </c>
    </row>
    <row r="364" spans="2:6" x14ac:dyDescent="0.35">
      <c r="B364" s="92"/>
      <c r="C364" s="85" t="s">
        <v>402</v>
      </c>
      <c r="D364" s="88"/>
      <c r="E364" s="93">
        <v>2000454</v>
      </c>
      <c r="F364" s="85"/>
    </row>
    <row r="365" spans="2:6" x14ac:dyDescent="0.35">
      <c r="B365" s="45">
        <v>46170</v>
      </c>
      <c r="C365" s="37" t="s">
        <v>260</v>
      </c>
      <c r="D365" s="70">
        <v>14365000</v>
      </c>
      <c r="E365" s="75">
        <v>2000455</v>
      </c>
      <c r="F365" s="40" t="s">
        <v>363</v>
      </c>
    </row>
    <row r="366" spans="2:6" x14ac:dyDescent="0.35">
      <c r="B366" s="45">
        <v>46170</v>
      </c>
      <c r="C366" s="37" t="s">
        <v>383</v>
      </c>
      <c r="D366" s="94">
        <v>14244800</v>
      </c>
      <c r="E366" s="74">
        <v>2000456</v>
      </c>
      <c r="F366" s="40" t="s">
        <v>363</v>
      </c>
    </row>
    <row r="367" spans="2:6" x14ac:dyDescent="0.35">
      <c r="B367" s="45">
        <v>46171</v>
      </c>
      <c r="C367" s="37" t="s">
        <v>29</v>
      </c>
      <c r="D367" s="94">
        <v>2140000</v>
      </c>
      <c r="E367" s="74">
        <v>2000457</v>
      </c>
      <c r="F367" s="37" t="s">
        <v>86</v>
      </c>
    </row>
    <row r="368" spans="2:6" x14ac:dyDescent="0.35">
      <c r="B368" s="45">
        <v>46170</v>
      </c>
      <c r="C368" s="37" t="s">
        <v>339</v>
      </c>
      <c r="D368" s="94">
        <v>25073600</v>
      </c>
      <c r="E368" s="74">
        <v>2000458</v>
      </c>
      <c r="F368" s="40" t="s">
        <v>363</v>
      </c>
    </row>
    <row r="369" spans="2:6" x14ac:dyDescent="0.35">
      <c r="B369" s="45">
        <v>46171</v>
      </c>
      <c r="C369" s="37" t="s">
        <v>152</v>
      </c>
      <c r="D369" s="94">
        <v>622740</v>
      </c>
      <c r="E369" s="74">
        <v>2000459</v>
      </c>
      <c r="F369" s="37" t="s">
        <v>384</v>
      </c>
    </row>
    <row r="370" spans="2:6" x14ac:dyDescent="0.35">
      <c r="B370" s="45">
        <v>46171</v>
      </c>
      <c r="C370" s="37" t="s">
        <v>343</v>
      </c>
      <c r="D370" s="94">
        <v>10383660</v>
      </c>
      <c r="E370" s="74">
        <v>2000460</v>
      </c>
      <c r="F370" s="40" t="s">
        <v>363</v>
      </c>
    </row>
    <row r="371" spans="2:6" x14ac:dyDescent="0.35">
      <c r="B371" s="45">
        <v>46174</v>
      </c>
      <c r="C371" s="37" t="s">
        <v>403</v>
      </c>
      <c r="D371" s="94">
        <v>7000000</v>
      </c>
      <c r="E371" s="74">
        <v>2000461</v>
      </c>
      <c r="F371" s="40" t="s">
        <v>440</v>
      </c>
    </row>
    <row r="372" spans="2:6" x14ac:dyDescent="0.35">
      <c r="B372" s="45">
        <v>46170</v>
      </c>
      <c r="C372" s="37" t="s">
        <v>263</v>
      </c>
      <c r="D372" s="94">
        <v>19331400</v>
      </c>
      <c r="E372" s="74">
        <v>2000462</v>
      </c>
      <c r="F372" s="40" t="s">
        <v>363</v>
      </c>
    </row>
    <row r="373" spans="2:6" x14ac:dyDescent="0.35">
      <c r="B373" s="45">
        <v>46171</v>
      </c>
      <c r="C373" s="37" t="s">
        <v>269</v>
      </c>
      <c r="D373" s="94">
        <v>55254000</v>
      </c>
      <c r="E373" s="74">
        <v>2000463</v>
      </c>
      <c r="F373" s="40" t="s">
        <v>363</v>
      </c>
    </row>
    <row r="374" spans="2:6" x14ac:dyDescent="0.35">
      <c r="B374" s="45">
        <v>46171</v>
      </c>
      <c r="C374" s="37" t="s">
        <v>260</v>
      </c>
      <c r="D374" s="94">
        <v>12042000</v>
      </c>
      <c r="E374" s="74">
        <v>2000464</v>
      </c>
      <c r="F374" s="37" t="s">
        <v>86</v>
      </c>
    </row>
    <row r="375" spans="2:6" x14ac:dyDescent="0.35">
      <c r="B375" s="45">
        <v>46185</v>
      </c>
      <c r="C375" s="37" t="s">
        <v>198</v>
      </c>
      <c r="D375" s="94">
        <v>1000000</v>
      </c>
      <c r="E375" s="74">
        <v>2000465</v>
      </c>
      <c r="F375" s="37" t="s">
        <v>374</v>
      </c>
    </row>
    <row r="376" spans="2:6" x14ac:dyDescent="0.35">
      <c r="B376" s="45">
        <v>46171</v>
      </c>
      <c r="C376" s="37" t="s">
        <v>343</v>
      </c>
      <c r="D376" s="94">
        <v>4648640</v>
      </c>
      <c r="E376" s="74">
        <v>2000466</v>
      </c>
      <c r="F376" s="37" t="s">
        <v>86</v>
      </c>
    </row>
    <row r="377" spans="2:6" x14ac:dyDescent="0.35">
      <c r="B377" s="45">
        <v>46177</v>
      </c>
      <c r="C377" s="37" t="s">
        <v>404</v>
      </c>
      <c r="D377" s="94">
        <v>1635653</v>
      </c>
      <c r="E377" s="74">
        <v>2000467</v>
      </c>
      <c r="F377" s="37" t="s">
        <v>374</v>
      </c>
    </row>
    <row r="378" spans="2:6" x14ac:dyDescent="0.35">
      <c r="B378" s="45">
        <v>46174</v>
      </c>
      <c r="C378" s="37" t="s">
        <v>387</v>
      </c>
      <c r="D378" s="70">
        <v>850000</v>
      </c>
      <c r="E378" s="75">
        <v>2000468</v>
      </c>
      <c r="F378" s="37" t="s">
        <v>389</v>
      </c>
    </row>
    <row r="379" spans="2:6" x14ac:dyDescent="0.35">
      <c r="B379" s="45">
        <v>46174</v>
      </c>
      <c r="C379" s="37" t="s">
        <v>385</v>
      </c>
      <c r="D379" s="70">
        <v>13781600</v>
      </c>
      <c r="E379" s="75">
        <v>2000469</v>
      </c>
      <c r="F379" s="37" t="s">
        <v>388</v>
      </c>
    </row>
    <row r="380" spans="2:6" x14ac:dyDescent="0.35">
      <c r="B380" s="45">
        <v>46174</v>
      </c>
      <c r="C380" s="37" t="s">
        <v>386</v>
      </c>
      <c r="D380" s="70">
        <v>11902120</v>
      </c>
      <c r="E380" s="75">
        <v>2000470</v>
      </c>
      <c r="F380" s="37" t="s">
        <v>388</v>
      </c>
    </row>
    <row r="381" spans="2:6" x14ac:dyDescent="0.35">
      <c r="B381" s="45">
        <v>46174</v>
      </c>
      <c r="C381" s="37" t="s">
        <v>260</v>
      </c>
      <c r="D381" s="70">
        <v>7500000</v>
      </c>
      <c r="E381" s="75">
        <v>2000471</v>
      </c>
      <c r="F381" s="37" t="s">
        <v>388</v>
      </c>
    </row>
    <row r="382" spans="2:6" x14ac:dyDescent="0.35">
      <c r="B382" s="45">
        <v>46174</v>
      </c>
      <c r="C382" s="37" t="s">
        <v>348</v>
      </c>
      <c r="D382" s="70">
        <v>6165720</v>
      </c>
      <c r="E382" s="75">
        <v>2000473</v>
      </c>
      <c r="F382" s="37" t="s">
        <v>388</v>
      </c>
    </row>
    <row r="383" spans="2:6" x14ac:dyDescent="0.35">
      <c r="B383" s="45">
        <v>46177</v>
      </c>
      <c r="C383" s="37" t="s">
        <v>332</v>
      </c>
      <c r="D383" s="70">
        <v>9892760</v>
      </c>
      <c r="E383" s="75">
        <v>2000474</v>
      </c>
      <c r="F383" s="37" t="s">
        <v>388</v>
      </c>
    </row>
    <row r="384" spans="2:6" x14ac:dyDescent="0.35">
      <c r="B384" s="45">
        <v>46177</v>
      </c>
      <c r="C384" s="37" t="s">
        <v>395</v>
      </c>
      <c r="D384" s="70">
        <v>290273</v>
      </c>
      <c r="E384" s="75">
        <v>2000475</v>
      </c>
      <c r="F384" s="37" t="s">
        <v>398</v>
      </c>
    </row>
    <row r="385" spans="2:6" x14ac:dyDescent="0.35">
      <c r="B385" s="92"/>
      <c r="C385" s="85" t="s">
        <v>402</v>
      </c>
      <c r="D385" s="88"/>
      <c r="E385" s="93">
        <v>2000476</v>
      </c>
      <c r="F385" s="85" t="s">
        <v>402</v>
      </c>
    </row>
    <row r="386" spans="2:6" x14ac:dyDescent="0.35">
      <c r="B386" s="45">
        <v>46177</v>
      </c>
      <c r="C386" s="37" t="s">
        <v>333</v>
      </c>
      <c r="D386" s="70">
        <v>24519000</v>
      </c>
      <c r="E386" s="75">
        <v>2000477</v>
      </c>
      <c r="F386" s="37" t="s">
        <v>388</v>
      </c>
    </row>
    <row r="387" spans="2:6" x14ac:dyDescent="0.35">
      <c r="B387" s="45">
        <v>46177</v>
      </c>
      <c r="C387" s="37" t="s">
        <v>260</v>
      </c>
      <c r="D387" s="70">
        <v>7784780</v>
      </c>
      <c r="E387" s="75">
        <v>2000478</v>
      </c>
      <c r="F387" s="37" t="s">
        <v>388</v>
      </c>
    </row>
    <row r="388" spans="2:6" x14ac:dyDescent="0.35">
      <c r="B388" s="45">
        <v>46177</v>
      </c>
      <c r="C388" s="37" t="s">
        <v>396</v>
      </c>
      <c r="D388" s="70">
        <v>5000000</v>
      </c>
      <c r="E388" s="75">
        <v>2000479</v>
      </c>
      <c r="F388" s="37" t="s">
        <v>399</v>
      </c>
    </row>
    <row r="389" spans="2:6" x14ac:dyDescent="0.35">
      <c r="B389" s="45">
        <v>46178</v>
      </c>
      <c r="C389" s="37" t="s">
        <v>397</v>
      </c>
      <c r="D389" s="70">
        <v>8619854</v>
      </c>
      <c r="E389" s="75">
        <v>2000480</v>
      </c>
      <c r="F389" s="37" t="s">
        <v>400</v>
      </c>
    </row>
    <row r="390" spans="2:6" x14ac:dyDescent="0.35">
      <c r="B390" s="92"/>
      <c r="C390" s="85" t="s">
        <v>414</v>
      </c>
      <c r="D390" s="88"/>
      <c r="E390" s="93">
        <v>2000481</v>
      </c>
      <c r="F390" s="85" t="s">
        <v>402</v>
      </c>
    </row>
    <row r="391" spans="2:6" x14ac:dyDescent="0.35">
      <c r="B391" s="72"/>
      <c r="C391" s="71"/>
      <c r="D391" s="107"/>
      <c r="E391" s="140">
        <v>2000482</v>
      </c>
      <c r="F391" s="71"/>
    </row>
    <row r="392" spans="2:6" x14ac:dyDescent="0.35">
      <c r="B392" s="45">
        <v>46178</v>
      </c>
      <c r="C392" s="37" t="s">
        <v>405</v>
      </c>
      <c r="D392" s="70">
        <v>6000000</v>
      </c>
      <c r="E392" s="75">
        <v>2000483</v>
      </c>
      <c r="F392" s="37" t="s">
        <v>56</v>
      </c>
    </row>
    <row r="393" spans="2:6" x14ac:dyDescent="0.35">
      <c r="B393" s="45">
        <v>46181</v>
      </c>
      <c r="C393" s="37" t="s">
        <v>406</v>
      </c>
      <c r="D393" s="70">
        <v>8365483</v>
      </c>
      <c r="E393" s="75">
        <v>2000484</v>
      </c>
      <c r="F393" s="37"/>
    </row>
    <row r="394" spans="2:6" x14ac:dyDescent="0.35">
      <c r="B394" s="45">
        <v>46181</v>
      </c>
      <c r="C394" s="37" t="s">
        <v>407</v>
      </c>
      <c r="D394" s="70">
        <v>3825000</v>
      </c>
      <c r="E394" s="75">
        <v>2000485</v>
      </c>
      <c r="F394" s="37"/>
    </row>
    <row r="395" spans="2:6" x14ac:dyDescent="0.35">
      <c r="B395" s="45">
        <v>46181</v>
      </c>
      <c r="C395" s="37" t="s">
        <v>405</v>
      </c>
      <c r="D395" s="70">
        <v>20000000</v>
      </c>
      <c r="E395" s="75">
        <v>2000486</v>
      </c>
      <c r="F395" s="37" t="s">
        <v>56</v>
      </c>
    </row>
    <row r="396" spans="2:6" x14ac:dyDescent="0.35">
      <c r="B396" s="45">
        <v>46182</v>
      </c>
      <c r="C396" s="37" t="s">
        <v>408</v>
      </c>
      <c r="D396" s="70">
        <v>12046998</v>
      </c>
      <c r="E396" s="75">
        <v>2000487</v>
      </c>
      <c r="F396" s="37" t="s">
        <v>409</v>
      </c>
    </row>
    <row r="397" spans="2:6" x14ac:dyDescent="0.35">
      <c r="B397" s="45">
        <v>46182</v>
      </c>
      <c r="C397" s="37" t="s">
        <v>410</v>
      </c>
      <c r="D397" s="70">
        <v>360000</v>
      </c>
      <c r="E397" s="75">
        <v>2000488</v>
      </c>
      <c r="F397" s="37" t="s">
        <v>60</v>
      </c>
    </row>
    <row r="398" spans="2:6" x14ac:dyDescent="0.35">
      <c r="B398" s="72"/>
      <c r="C398" s="71"/>
      <c r="D398" s="107"/>
      <c r="E398" s="140">
        <v>2000489</v>
      </c>
      <c r="F398" s="71"/>
    </row>
    <row r="399" spans="2:6" x14ac:dyDescent="0.35">
      <c r="B399" s="45">
        <v>46183</v>
      </c>
      <c r="C399" s="37" t="s">
        <v>46</v>
      </c>
      <c r="D399" s="70">
        <v>120000</v>
      </c>
      <c r="E399" s="75">
        <v>2000490</v>
      </c>
      <c r="F399" s="37" t="s">
        <v>411</v>
      </c>
    </row>
    <row r="400" spans="2:6" x14ac:dyDescent="0.35">
      <c r="B400" s="45">
        <v>46184</v>
      </c>
      <c r="C400" s="37" t="s">
        <v>416</v>
      </c>
      <c r="D400" s="70">
        <v>5000000</v>
      </c>
      <c r="E400" s="75">
        <v>2000491</v>
      </c>
      <c r="F400" s="37" t="s">
        <v>415</v>
      </c>
    </row>
    <row r="401" spans="2:6" x14ac:dyDescent="0.35">
      <c r="B401" s="45">
        <v>46184</v>
      </c>
      <c r="C401" s="37" t="s">
        <v>40</v>
      </c>
      <c r="D401" s="70">
        <v>500000</v>
      </c>
      <c r="E401" s="75">
        <v>2000492</v>
      </c>
      <c r="F401" s="37" t="s">
        <v>205</v>
      </c>
    </row>
    <row r="402" spans="2:6" x14ac:dyDescent="0.35">
      <c r="B402" s="45">
        <v>46184</v>
      </c>
      <c r="C402" s="37" t="s">
        <v>111</v>
      </c>
      <c r="D402" s="70">
        <v>6000000</v>
      </c>
      <c r="E402" s="75">
        <v>2000493</v>
      </c>
      <c r="F402" s="37" t="s">
        <v>112</v>
      </c>
    </row>
    <row r="403" spans="2:6" x14ac:dyDescent="0.35">
      <c r="B403" s="45">
        <v>46184</v>
      </c>
      <c r="C403" s="37" t="s">
        <v>418</v>
      </c>
      <c r="D403" s="70">
        <v>3000000</v>
      </c>
      <c r="E403" s="75">
        <v>2000494</v>
      </c>
      <c r="F403" s="37" t="s">
        <v>417</v>
      </c>
    </row>
    <row r="404" spans="2:6" x14ac:dyDescent="0.35">
      <c r="B404" s="72"/>
      <c r="C404" s="71"/>
      <c r="D404" s="107"/>
      <c r="E404" s="140">
        <v>2000495</v>
      </c>
      <c r="F404" s="71"/>
    </row>
    <row r="405" spans="2:6" x14ac:dyDescent="0.35">
      <c r="B405" s="72"/>
      <c r="C405" s="71"/>
      <c r="D405" s="107"/>
      <c r="E405" s="140">
        <v>2000496</v>
      </c>
      <c r="F405" s="71"/>
    </row>
    <row r="406" spans="2:6" x14ac:dyDescent="0.35">
      <c r="B406" s="45">
        <v>46185</v>
      </c>
      <c r="C406" s="37" t="s">
        <v>425</v>
      </c>
      <c r="D406" s="70">
        <v>42877070</v>
      </c>
      <c r="E406" s="75">
        <v>2000497</v>
      </c>
      <c r="F406" s="37" t="s">
        <v>421</v>
      </c>
    </row>
    <row r="407" spans="2:6" x14ac:dyDescent="0.35">
      <c r="B407" s="45">
        <v>46185</v>
      </c>
      <c r="C407" s="37" t="s">
        <v>426</v>
      </c>
      <c r="D407" s="70">
        <v>3751950</v>
      </c>
      <c r="E407" s="75">
        <v>2000498</v>
      </c>
      <c r="F407" s="37" t="s">
        <v>423</v>
      </c>
    </row>
    <row r="408" spans="2:6" x14ac:dyDescent="0.35">
      <c r="B408" s="45">
        <v>46185</v>
      </c>
      <c r="C408" s="37" t="s">
        <v>426</v>
      </c>
      <c r="D408" s="70">
        <v>2790000</v>
      </c>
      <c r="E408" s="75">
        <v>2000499</v>
      </c>
      <c r="F408" s="37" t="s">
        <v>422</v>
      </c>
    </row>
    <row r="409" spans="2:6" x14ac:dyDescent="0.35">
      <c r="B409" s="45">
        <v>46185</v>
      </c>
      <c r="C409" s="37" t="s">
        <v>426</v>
      </c>
      <c r="D409" s="70">
        <v>375000</v>
      </c>
      <c r="E409" s="75">
        <v>2000500</v>
      </c>
      <c r="F409" s="37" t="s">
        <v>424</v>
      </c>
    </row>
    <row r="410" spans="2:6" x14ac:dyDescent="0.35">
      <c r="D410"/>
      <c r="E410"/>
    </row>
  </sheetData>
  <autoFilter ref="B3:F389" xr:uid="{17EE3B5E-AEB1-4F88-8D5F-1C4811958043}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J58"/>
  <sheetViews>
    <sheetView workbookViewId="0">
      <selection activeCell="B20" sqref="B20"/>
    </sheetView>
  </sheetViews>
  <sheetFormatPr baseColWidth="10" defaultColWidth="8.7265625" defaultRowHeight="14.5" x14ac:dyDescent="0.35"/>
  <cols>
    <col min="1" max="1" width="9.81640625" bestFit="1" customWidth="1"/>
    <col min="2" max="2" width="21.81640625" bestFit="1" customWidth="1"/>
    <col min="3" max="4" width="15.26953125" bestFit="1" customWidth="1"/>
    <col min="5" max="5" width="17.08984375" bestFit="1" customWidth="1"/>
    <col min="6" max="6" width="46.81640625" bestFit="1" customWidth="1"/>
    <col min="8" max="8" width="19.6328125" bestFit="1" customWidth="1"/>
    <col min="9" max="9" width="11" bestFit="1" customWidth="1"/>
    <col min="10" max="10" width="16.1796875" bestFit="1" customWidth="1"/>
  </cols>
  <sheetData>
    <row r="2" spans="1:10" x14ac:dyDescent="0.35">
      <c r="A2" s="8" t="s">
        <v>1</v>
      </c>
      <c r="B2" s="9" t="s">
        <v>133</v>
      </c>
      <c r="C2" s="10" t="s">
        <v>134</v>
      </c>
      <c r="D2" s="10" t="s">
        <v>135</v>
      </c>
      <c r="E2" s="10" t="s">
        <v>136</v>
      </c>
      <c r="F2" s="11" t="s">
        <v>137</v>
      </c>
      <c r="H2" s="62" t="s">
        <v>213</v>
      </c>
      <c r="I2" s="37"/>
      <c r="J2" s="37"/>
    </row>
    <row r="3" spans="1:10" x14ac:dyDescent="0.35">
      <c r="A3" s="12"/>
      <c r="B3" s="13"/>
      <c r="C3" s="14" t="s">
        <v>139</v>
      </c>
      <c r="D3" s="14" t="s">
        <v>139</v>
      </c>
      <c r="E3" s="14" t="s">
        <v>139</v>
      </c>
      <c r="F3" s="15"/>
      <c r="H3" s="63" t="s">
        <v>214</v>
      </c>
      <c r="I3" s="63" t="s">
        <v>215</v>
      </c>
      <c r="J3" s="37"/>
    </row>
    <row r="4" spans="1:10" x14ac:dyDescent="0.35">
      <c r="A4" s="16"/>
      <c r="B4" s="17"/>
      <c r="C4" s="18"/>
      <c r="D4" s="18"/>
      <c r="E4" s="18"/>
      <c r="F4" s="19"/>
      <c r="H4" s="37"/>
      <c r="I4" s="37"/>
      <c r="J4" s="37"/>
    </row>
    <row r="5" spans="1:10" x14ac:dyDescent="0.35">
      <c r="A5" s="20">
        <v>46023</v>
      </c>
      <c r="B5" s="21" t="s">
        <v>138</v>
      </c>
      <c r="C5" s="18"/>
      <c r="D5" s="18"/>
      <c r="E5" s="18">
        <f>C5</f>
        <v>0</v>
      </c>
      <c r="F5" s="19"/>
      <c r="H5" s="45">
        <v>46105</v>
      </c>
      <c r="I5" s="48">
        <v>18108899</v>
      </c>
      <c r="J5" s="37"/>
    </row>
    <row r="6" spans="1:10" x14ac:dyDescent="0.35">
      <c r="A6" s="22"/>
      <c r="B6" s="17"/>
      <c r="C6" s="18"/>
      <c r="D6" s="18"/>
      <c r="E6" s="23">
        <f t="shared" ref="E6:E58" si="0">E5+C6-D6</f>
        <v>0</v>
      </c>
      <c r="F6" s="19"/>
      <c r="H6" s="45">
        <v>46106</v>
      </c>
      <c r="I6" s="39">
        <v>1810889</v>
      </c>
      <c r="J6" s="37" t="s">
        <v>220</v>
      </c>
    </row>
    <row r="7" spans="1:10" x14ac:dyDescent="0.35">
      <c r="A7" s="27">
        <v>46066</v>
      </c>
      <c r="B7" s="33" t="s">
        <v>27</v>
      </c>
      <c r="C7" s="24"/>
      <c r="D7" s="24">
        <v>125000000</v>
      </c>
      <c r="E7" s="23">
        <f t="shared" si="0"/>
        <v>-125000000</v>
      </c>
      <c r="F7" s="19"/>
      <c r="H7" s="45">
        <v>46108</v>
      </c>
      <c r="I7" s="48">
        <v>20000000</v>
      </c>
      <c r="J7" s="37"/>
    </row>
    <row r="8" spans="1:10" x14ac:dyDescent="0.35">
      <c r="A8" s="27">
        <v>46080</v>
      </c>
      <c r="B8" s="33" t="s">
        <v>27</v>
      </c>
      <c r="C8" s="24"/>
      <c r="D8" s="24">
        <v>130000000</v>
      </c>
      <c r="E8" s="23">
        <f t="shared" si="0"/>
        <v>-255000000</v>
      </c>
      <c r="F8" s="19"/>
      <c r="H8" s="45">
        <v>46119</v>
      </c>
      <c r="I8" s="48">
        <v>20000000</v>
      </c>
      <c r="J8" s="37"/>
    </row>
    <row r="9" spans="1:10" x14ac:dyDescent="0.35">
      <c r="A9" s="32">
        <v>46094</v>
      </c>
      <c r="B9" s="33" t="s">
        <v>176</v>
      </c>
      <c r="C9" s="34">
        <v>120000000</v>
      </c>
      <c r="D9" s="24"/>
      <c r="E9" s="23">
        <f t="shared" si="0"/>
        <v>-135000000</v>
      </c>
      <c r="F9" s="19" t="s">
        <v>177</v>
      </c>
      <c r="H9" s="45">
        <v>46129</v>
      </c>
      <c r="I9" s="48">
        <v>1955556</v>
      </c>
      <c r="J9" s="37" t="s">
        <v>220</v>
      </c>
    </row>
    <row r="10" spans="1:10" x14ac:dyDescent="0.35">
      <c r="A10" s="32">
        <v>46105</v>
      </c>
      <c r="B10" s="33" t="s">
        <v>27</v>
      </c>
      <c r="C10" s="34"/>
      <c r="D10" s="24">
        <v>245000000</v>
      </c>
      <c r="E10" s="23">
        <f t="shared" si="0"/>
        <v>-380000000</v>
      </c>
      <c r="F10" s="19"/>
      <c r="I10" s="35"/>
    </row>
    <row r="11" spans="1:10" x14ac:dyDescent="0.35">
      <c r="A11" s="32">
        <v>46107</v>
      </c>
      <c r="B11" s="33" t="s">
        <v>176</v>
      </c>
      <c r="C11" s="34">
        <v>120000000</v>
      </c>
      <c r="D11" s="34"/>
      <c r="E11" s="23">
        <f t="shared" si="0"/>
        <v>-260000000</v>
      </c>
      <c r="F11" s="19" t="s">
        <v>178</v>
      </c>
      <c r="I11" s="35"/>
    </row>
    <row r="12" spans="1:10" x14ac:dyDescent="0.35">
      <c r="A12" s="32">
        <v>46108</v>
      </c>
      <c r="B12" s="33" t="s">
        <v>176</v>
      </c>
      <c r="C12" s="34">
        <v>250000000</v>
      </c>
      <c r="D12" s="34"/>
      <c r="E12" s="23">
        <f t="shared" si="0"/>
        <v>-10000000</v>
      </c>
      <c r="F12" s="17" t="s">
        <v>179</v>
      </c>
      <c r="I12" s="35"/>
    </row>
    <row r="13" spans="1:10" x14ac:dyDescent="0.35">
      <c r="A13" s="32">
        <v>46108</v>
      </c>
      <c r="B13" s="33" t="s">
        <v>27</v>
      </c>
      <c r="C13" s="34"/>
      <c r="D13" s="34">
        <v>226829498</v>
      </c>
      <c r="E13" s="23">
        <f t="shared" si="0"/>
        <v>-236829498</v>
      </c>
      <c r="F13" s="17"/>
      <c r="I13" s="35"/>
    </row>
    <row r="14" spans="1:10" x14ac:dyDescent="0.35">
      <c r="A14" s="32">
        <v>46111</v>
      </c>
      <c r="B14" s="33" t="s">
        <v>27</v>
      </c>
      <c r="C14" s="34"/>
      <c r="D14" s="34">
        <v>76900000</v>
      </c>
      <c r="E14" s="23">
        <f t="shared" si="0"/>
        <v>-313729498</v>
      </c>
      <c r="F14" s="17"/>
      <c r="I14" s="35"/>
    </row>
    <row r="15" spans="1:10" x14ac:dyDescent="0.35">
      <c r="A15" s="32">
        <v>46111</v>
      </c>
      <c r="B15" s="33" t="s">
        <v>27</v>
      </c>
      <c r="C15" s="34"/>
      <c r="D15" s="34">
        <v>15000000</v>
      </c>
      <c r="E15" s="23">
        <f t="shared" si="0"/>
        <v>-328729498</v>
      </c>
      <c r="F15" s="17"/>
      <c r="I15" s="35"/>
    </row>
    <row r="16" spans="1:10" x14ac:dyDescent="0.35">
      <c r="A16" s="32">
        <v>46113</v>
      </c>
      <c r="B16" s="33" t="s">
        <v>27</v>
      </c>
      <c r="C16" s="34"/>
      <c r="D16" s="1">
        <v>179709346</v>
      </c>
      <c r="E16" s="23">
        <f t="shared" si="0"/>
        <v>-508438844</v>
      </c>
      <c r="F16" s="17"/>
      <c r="I16" s="35"/>
    </row>
    <row r="17" spans="1:9" x14ac:dyDescent="0.35">
      <c r="A17" s="32">
        <v>46114</v>
      </c>
      <c r="B17" s="33" t="s">
        <v>27</v>
      </c>
      <c r="C17" s="34"/>
      <c r="D17" s="1">
        <v>1561156</v>
      </c>
      <c r="E17" s="23">
        <f t="shared" si="0"/>
        <v>-510000000</v>
      </c>
      <c r="F17" s="17"/>
      <c r="I17" s="35"/>
    </row>
    <row r="18" spans="1:9" x14ac:dyDescent="0.35">
      <c r="A18" s="32">
        <v>46119</v>
      </c>
      <c r="B18" s="33" t="s">
        <v>27</v>
      </c>
      <c r="C18" s="34"/>
      <c r="D18" s="1">
        <v>110326622</v>
      </c>
      <c r="E18" s="23">
        <f t="shared" si="0"/>
        <v>-620326622</v>
      </c>
      <c r="F18" s="17"/>
      <c r="I18" s="35"/>
    </row>
    <row r="19" spans="1:9" x14ac:dyDescent="0.35">
      <c r="A19" s="32">
        <v>46119</v>
      </c>
      <c r="B19" s="33" t="s">
        <v>27</v>
      </c>
      <c r="C19" s="34"/>
      <c r="D19" s="1">
        <v>148901254</v>
      </c>
      <c r="E19" s="23">
        <f t="shared" si="0"/>
        <v>-769227876</v>
      </c>
      <c r="F19" s="17"/>
      <c r="I19" s="35"/>
    </row>
    <row r="20" spans="1:9" x14ac:dyDescent="0.35">
      <c r="A20" s="32">
        <v>46121</v>
      </c>
      <c r="B20" s="33" t="s">
        <v>27</v>
      </c>
      <c r="C20" s="34"/>
      <c r="D20" s="1">
        <v>240772124</v>
      </c>
      <c r="E20" s="23">
        <f t="shared" si="0"/>
        <v>-1010000000</v>
      </c>
      <c r="F20" s="17"/>
      <c r="I20" s="35"/>
    </row>
    <row r="21" spans="1:9" x14ac:dyDescent="0.35">
      <c r="A21" s="32">
        <v>46129</v>
      </c>
      <c r="B21" s="33" t="s">
        <v>27</v>
      </c>
      <c r="C21" s="34"/>
      <c r="D21" s="1">
        <v>500000000</v>
      </c>
      <c r="E21" s="23">
        <f t="shared" si="0"/>
        <v>-1510000000</v>
      </c>
      <c r="F21" s="17"/>
      <c r="I21" s="35"/>
    </row>
    <row r="22" spans="1:9" x14ac:dyDescent="0.35">
      <c r="A22" s="32">
        <v>46127</v>
      </c>
      <c r="B22" s="33" t="s">
        <v>176</v>
      </c>
      <c r="C22" s="36">
        <v>300000000</v>
      </c>
      <c r="D22" s="36"/>
      <c r="E22" s="23">
        <f t="shared" si="0"/>
        <v>-1210000000</v>
      </c>
      <c r="F22" s="17" t="s">
        <v>180</v>
      </c>
      <c r="I22" s="35"/>
    </row>
    <row r="23" spans="1:9" x14ac:dyDescent="0.35">
      <c r="A23" s="32">
        <v>46146</v>
      </c>
      <c r="B23" s="33" t="s">
        <v>176</v>
      </c>
      <c r="C23" s="36">
        <v>250000000</v>
      </c>
      <c r="D23" s="25"/>
      <c r="E23" s="23">
        <f t="shared" si="0"/>
        <v>-960000000</v>
      </c>
      <c r="F23" s="17"/>
      <c r="I23" s="35"/>
    </row>
    <row r="24" spans="1:9" x14ac:dyDescent="0.35">
      <c r="A24" s="32">
        <v>46148</v>
      </c>
      <c r="B24" s="33" t="s">
        <v>176</v>
      </c>
      <c r="C24" s="36">
        <v>260000000</v>
      </c>
      <c r="D24" s="26"/>
      <c r="E24" s="23">
        <f t="shared" si="0"/>
        <v>-700000000</v>
      </c>
      <c r="F24" s="17"/>
      <c r="I24" s="35"/>
    </row>
    <row r="25" spans="1:9" x14ac:dyDescent="0.35">
      <c r="A25" s="32">
        <v>46154</v>
      </c>
      <c r="B25" s="33" t="s">
        <v>176</v>
      </c>
      <c r="C25" s="36">
        <v>300000000</v>
      </c>
      <c r="D25" s="25"/>
      <c r="E25" s="23">
        <f t="shared" si="0"/>
        <v>-400000000</v>
      </c>
      <c r="F25" s="19" t="s">
        <v>181</v>
      </c>
      <c r="I25" s="35"/>
    </row>
    <row r="26" spans="1:9" x14ac:dyDescent="0.35">
      <c r="A26" s="32">
        <v>46155</v>
      </c>
      <c r="B26" s="33" t="s">
        <v>176</v>
      </c>
      <c r="C26" s="36">
        <v>400000000</v>
      </c>
      <c r="D26" s="25"/>
      <c r="E26" s="23">
        <f t="shared" si="0"/>
        <v>0</v>
      </c>
      <c r="F26" s="19"/>
      <c r="I26" s="35"/>
    </row>
    <row r="27" spans="1:9" x14ac:dyDescent="0.35">
      <c r="A27" s="27"/>
      <c r="B27" s="17"/>
      <c r="C27" s="24"/>
      <c r="D27" s="24"/>
      <c r="E27" s="23">
        <f t="shared" si="0"/>
        <v>0</v>
      </c>
      <c r="F27" s="17"/>
      <c r="I27" s="35"/>
    </row>
    <row r="28" spans="1:9" x14ac:dyDescent="0.35">
      <c r="A28" s="27"/>
      <c r="B28" s="17"/>
      <c r="C28" s="25"/>
      <c r="D28" s="24"/>
      <c r="E28" s="23">
        <f t="shared" si="0"/>
        <v>0</v>
      </c>
      <c r="F28" s="19"/>
      <c r="I28" s="35"/>
    </row>
    <row r="29" spans="1:9" x14ac:dyDescent="0.35">
      <c r="A29" s="27"/>
      <c r="B29" s="17"/>
      <c r="C29" s="24"/>
      <c r="D29" s="24"/>
      <c r="E29" s="23">
        <f t="shared" si="0"/>
        <v>0</v>
      </c>
      <c r="F29" s="17"/>
      <c r="I29" s="35"/>
    </row>
    <row r="30" spans="1:9" x14ac:dyDescent="0.35">
      <c r="A30" s="27"/>
      <c r="B30" s="17"/>
      <c r="C30" s="24"/>
      <c r="D30" s="24"/>
      <c r="E30" s="23">
        <f t="shared" si="0"/>
        <v>0</v>
      </c>
      <c r="F30" s="19"/>
      <c r="I30" s="35"/>
    </row>
    <row r="31" spans="1:9" x14ac:dyDescent="0.35">
      <c r="A31" s="27"/>
      <c r="B31" s="17"/>
      <c r="C31" s="24"/>
      <c r="D31" s="24"/>
      <c r="E31" s="23">
        <f t="shared" si="0"/>
        <v>0</v>
      </c>
      <c r="F31" s="19"/>
      <c r="I31" s="35"/>
    </row>
    <row r="32" spans="1:9" x14ac:dyDescent="0.35">
      <c r="A32" s="27"/>
      <c r="B32" s="17"/>
      <c r="C32" s="24"/>
      <c r="D32" s="24"/>
      <c r="E32" s="23">
        <f t="shared" si="0"/>
        <v>0</v>
      </c>
      <c r="F32" s="19"/>
      <c r="I32" s="35"/>
    </row>
    <row r="33" spans="1:9" x14ac:dyDescent="0.35">
      <c r="A33" s="27"/>
      <c r="B33" s="17"/>
      <c r="C33" s="24"/>
      <c r="D33" s="24"/>
      <c r="E33" s="23">
        <f t="shared" si="0"/>
        <v>0</v>
      </c>
      <c r="F33" s="19"/>
      <c r="I33" s="35"/>
    </row>
    <row r="34" spans="1:9" x14ac:dyDescent="0.35">
      <c r="A34" s="27"/>
      <c r="B34" s="17"/>
      <c r="C34" s="24"/>
      <c r="D34" s="24"/>
      <c r="E34" s="23">
        <f t="shared" si="0"/>
        <v>0</v>
      </c>
      <c r="F34" s="19"/>
      <c r="I34" s="35"/>
    </row>
    <row r="35" spans="1:9" x14ac:dyDescent="0.35">
      <c r="A35" s="27"/>
      <c r="B35" s="17"/>
      <c r="C35" s="24"/>
      <c r="D35" s="24"/>
      <c r="E35" s="23">
        <f t="shared" si="0"/>
        <v>0</v>
      </c>
      <c r="F35" s="19"/>
    </row>
    <row r="36" spans="1:9" x14ac:dyDescent="0.35">
      <c r="A36" s="27"/>
      <c r="B36" s="17"/>
      <c r="C36" s="24"/>
      <c r="D36" s="24"/>
      <c r="E36" s="23">
        <f t="shared" si="0"/>
        <v>0</v>
      </c>
      <c r="F36" s="19"/>
    </row>
    <row r="37" spans="1:9" x14ac:dyDescent="0.35">
      <c r="A37" s="27"/>
      <c r="B37" s="17"/>
      <c r="C37" s="24"/>
      <c r="D37" s="24"/>
      <c r="E37" s="23">
        <f t="shared" si="0"/>
        <v>0</v>
      </c>
      <c r="F37" s="19"/>
    </row>
    <row r="38" spans="1:9" x14ac:dyDescent="0.35">
      <c r="A38" s="27"/>
      <c r="B38" s="17"/>
      <c r="C38" s="24"/>
      <c r="D38" s="24"/>
      <c r="E38" s="23">
        <f t="shared" si="0"/>
        <v>0</v>
      </c>
      <c r="F38" s="19"/>
    </row>
    <row r="39" spans="1:9" x14ac:dyDescent="0.35">
      <c r="A39" s="27"/>
      <c r="B39" s="17"/>
      <c r="C39" s="24"/>
      <c r="D39" s="24"/>
      <c r="E39" s="23">
        <f t="shared" si="0"/>
        <v>0</v>
      </c>
      <c r="F39" s="19"/>
    </row>
    <row r="40" spans="1:9" x14ac:dyDescent="0.35">
      <c r="A40" s="27"/>
      <c r="B40" s="17"/>
      <c r="C40" s="24"/>
      <c r="D40" s="24"/>
      <c r="E40" s="23">
        <f t="shared" si="0"/>
        <v>0</v>
      </c>
      <c r="F40" s="19"/>
    </row>
    <row r="41" spans="1:9" x14ac:dyDescent="0.35">
      <c r="A41" s="27"/>
      <c r="B41" s="17"/>
      <c r="C41" s="24"/>
      <c r="D41" s="24"/>
      <c r="E41" s="23">
        <f t="shared" si="0"/>
        <v>0</v>
      </c>
      <c r="F41" s="19"/>
    </row>
    <row r="42" spans="1:9" x14ac:dyDescent="0.35">
      <c r="E42" s="23">
        <f t="shared" si="0"/>
        <v>0</v>
      </c>
    </row>
    <row r="43" spans="1:9" x14ac:dyDescent="0.35">
      <c r="E43" s="23">
        <f t="shared" si="0"/>
        <v>0</v>
      </c>
    </row>
    <row r="44" spans="1:9" x14ac:dyDescent="0.35">
      <c r="E44" s="23">
        <f t="shared" si="0"/>
        <v>0</v>
      </c>
    </row>
    <row r="45" spans="1:9" x14ac:dyDescent="0.35">
      <c r="E45" s="23">
        <f t="shared" si="0"/>
        <v>0</v>
      </c>
    </row>
    <row r="46" spans="1:9" x14ac:dyDescent="0.35">
      <c r="E46" s="23">
        <f t="shared" si="0"/>
        <v>0</v>
      </c>
    </row>
    <row r="47" spans="1:9" x14ac:dyDescent="0.35">
      <c r="E47" s="23">
        <f t="shared" si="0"/>
        <v>0</v>
      </c>
    </row>
    <row r="48" spans="1:9" x14ac:dyDescent="0.35">
      <c r="E48" s="23">
        <f t="shared" si="0"/>
        <v>0</v>
      </c>
    </row>
    <row r="49" spans="5:5" x14ac:dyDescent="0.35">
      <c r="E49" s="23">
        <f t="shared" si="0"/>
        <v>0</v>
      </c>
    </row>
    <row r="50" spans="5:5" x14ac:dyDescent="0.35">
      <c r="E50" s="23">
        <f t="shared" si="0"/>
        <v>0</v>
      </c>
    </row>
    <row r="51" spans="5:5" x14ac:dyDescent="0.35">
      <c r="E51" s="23">
        <f t="shared" si="0"/>
        <v>0</v>
      </c>
    </row>
    <row r="52" spans="5:5" x14ac:dyDescent="0.35">
      <c r="E52" s="23">
        <f t="shared" si="0"/>
        <v>0</v>
      </c>
    </row>
    <row r="53" spans="5:5" x14ac:dyDescent="0.35">
      <c r="E53" s="23">
        <f t="shared" si="0"/>
        <v>0</v>
      </c>
    </row>
    <row r="54" spans="5:5" x14ac:dyDescent="0.35">
      <c r="E54" s="23">
        <f t="shared" si="0"/>
        <v>0</v>
      </c>
    </row>
    <row r="55" spans="5:5" x14ac:dyDescent="0.35">
      <c r="E55" s="23">
        <f t="shared" si="0"/>
        <v>0</v>
      </c>
    </row>
    <row r="56" spans="5:5" x14ac:dyDescent="0.35">
      <c r="E56" s="23">
        <f t="shared" si="0"/>
        <v>0</v>
      </c>
    </row>
    <row r="57" spans="5:5" x14ac:dyDescent="0.35">
      <c r="E57" s="23">
        <f t="shared" si="0"/>
        <v>0</v>
      </c>
    </row>
    <row r="58" spans="5:5" x14ac:dyDescent="0.35">
      <c r="E58" s="23">
        <f t="shared" si="0"/>
        <v>0</v>
      </c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P27"/>
  <sheetViews>
    <sheetView workbookViewId="0">
      <selection activeCell="E10" sqref="E10"/>
    </sheetView>
  </sheetViews>
  <sheetFormatPr baseColWidth="10" defaultColWidth="8.7265625" defaultRowHeight="14.5" x14ac:dyDescent="0.35"/>
  <cols>
    <col min="1" max="1" width="10.1796875" bestFit="1" customWidth="1"/>
    <col min="2" max="2" width="31.26953125" bestFit="1" customWidth="1"/>
    <col min="3" max="4" width="15.26953125" bestFit="1" customWidth="1"/>
    <col min="5" max="5" width="16.54296875" bestFit="1" customWidth="1"/>
    <col min="6" max="6" width="24.453125" bestFit="1" customWidth="1"/>
    <col min="8" max="8" width="15.26953125" bestFit="1" customWidth="1"/>
    <col min="11" max="11" width="15.26953125" bestFit="1" customWidth="1"/>
    <col min="14" max="14" width="14.26953125" bestFit="1" customWidth="1"/>
    <col min="16" max="16" width="16.81640625" bestFit="1" customWidth="1"/>
  </cols>
  <sheetData>
    <row r="3" spans="1:16" x14ac:dyDescent="0.35">
      <c r="A3" s="8" t="s">
        <v>1</v>
      </c>
      <c r="B3" s="9" t="s">
        <v>133</v>
      </c>
      <c r="C3" s="10" t="s">
        <v>134</v>
      </c>
      <c r="D3" s="10" t="s">
        <v>135</v>
      </c>
      <c r="E3" s="10" t="s">
        <v>136</v>
      </c>
    </row>
    <row r="4" spans="1:16" x14ac:dyDescent="0.35">
      <c r="A4" s="12"/>
      <c r="B4" s="13"/>
      <c r="C4" s="14" t="s">
        <v>139</v>
      </c>
      <c r="D4" s="14" t="s">
        <v>139</v>
      </c>
      <c r="E4" s="14" t="s">
        <v>139</v>
      </c>
    </row>
    <row r="5" spans="1:16" x14ac:dyDescent="0.35">
      <c r="A5" s="16"/>
      <c r="B5" s="17"/>
      <c r="C5" s="18"/>
      <c r="D5" s="18"/>
      <c r="E5" s="18"/>
    </row>
    <row r="6" spans="1:16" x14ac:dyDescent="0.35">
      <c r="A6" s="20"/>
      <c r="B6" s="21" t="s">
        <v>138</v>
      </c>
      <c r="C6" s="18"/>
      <c r="D6" s="18"/>
      <c r="E6" s="18">
        <f>C6</f>
        <v>0</v>
      </c>
      <c r="J6" t="s">
        <v>193</v>
      </c>
      <c r="K6" s="28">
        <f>106000000+13000000</f>
        <v>119000000</v>
      </c>
    </row>
    <row r="7" spans="1:16" x14ac:dyDescent="0.35">
      <c r="A7" s="22"/>
      <c r="B7" s="17"/>
      <c r="C7" s="18"/>
      <c r="D7" s="18"/>
      <c r="E7" s="23">
        <f t="shared" ref="E7:E26" si="0">E6+C7-D7</f>
        <v>0</v>
      </c>
      <c r="J7" t="s">
        <v>194</v>
      </c>
      <c r="K7" s="28">
        <v>16000000</v>
      </c>
    </row>
    <row r="8" spans="1:16" x14ac:dyDescent="0.35">
      <c r="A8" s="27">
        <v>46155</v>
      </c>
      <c r="B8" s="17" t="s">
        <v>182</v>
      </c>
      <c r="C8" s="24">
        <v>574042403</v>
      </c>
      <c r="D8" s="24"/>
      <c r="E8" s="23">
        <f t="shared" si="0"/>
        <v>574042403</v>
      </c>
      <c r="J8" t="s">
        <v>195</v>
      </c>
      <c r="K8" s="28">
        <v>14338000</v>
      </c>
      <c r="P8" s="28">
        <v>1510000000</v>
      </c>
    </row>
    <row r="9" spans="1:16" x14ac:dyDescent="0.35">
      <c r="A9" s="27">
        <v>46155</v>
      </c>
      <c r="B9" s="17" t="s">
        <v>183</v>
      </c>
      <c r="C9" s="24"/>
      <c r="D9" s="24">
        <v>8178500</v>
      </c>
      <c r="E9" s="23">
        <f t="shared" si="0"/>
        <v>565863903</v>
      </c>
      <c r="F9" t="s">
        <v>184</v>
      </c>
      <c r="H9" s="28">
        <v>223000000</v>
      </c>
      <c r="J9" t="s">
        <v>196</v>
      </c>
      <c r="K9" s="28">
        <v>24117000</v>
      </c>
    </row>
    <row r="10" spans="1:16" x14ac:dyDescent="0.35">
      <c r="A10" s="27">
        <v>46155</v>
      </c>
      <c r="B10" s="17" t="s">
        <v>185</v>
      </c>
      <c r="C10" s="24"/>
      <c r="D10" s="24">
        <v>470945</v>
      </c>
      <c r="E10" s="23">
        <f t="shared" si="0"/>
        <v>565392958</v>
      </c>
      <c r="F10" t="s">
        <v>186</v>
      </c>
      <c r="H10" s="28">
        <v>61000000</v>
      </c>
    </row>
    <row r="11" spans="1:16" x14ac:dyDescent="0.35">
      <c r="A11" s="27">
        <v>46156</v>
      </c>
      <c r="B11" s="17" t="s">
        <v>187</v>
      </c>
      <c r="C11" s="24"/>
      <c r="D11" s="24">
        <v>23089000</v>
      </c>
      <c r="E11" s="23">
        <f t="shared" si="0"/>
        <v>542303958</v>
      </c>
      <c r="F11" t="s">
        <v>189</v>
      </c>
    </row>
    <row r="12" spans="1:16" x14ac:dyDescent="0.35">
      <c r="A12" s="27">
        <v>46156</v>
      </c>
      <c r="B12" s="17" t="s">
        <v>188</v>
      </c>
      <c r="C12" s="24"/>
      <c r="D12" s="24">
        <v>137763180</v>
      </c>
      <c r="E12" s="23">
        <f t="shared" si="0"/>
        <v>404540778</v>
      </c>
      <c r="F12" t="s">
        <v>190</v>
      </c>
      <c r="H12" s="29">
        <f>SUM(H9:H11)</f>
        <v>284000000</v>
      </c>
      <c r="K12" s="29">
        <f>SUM(K6:K11)</f>
        <v>173455000</v>
      </c>
    </row>
    <row r="13" spans="1:16" x14ac:dyDescent="0.35">
      <c r="A13" s="27">
        <v>46157</v>
      </c>
      <c r="B13" s="17" t="s">
        <v>191</v>
      </c>
      <c r="C13" s="24"/>
      <c r="D13" s="24">
        <v>7953000</v>
      </c>
      <c r="E13" s="23">
        <f t="shared" si="0"/>
        <v>396587778</v>
      </c>
      <c r="F13" t="s">
        <v>192</v>
      </c>
    </row>
    <row r="14" spans="1:16" x14ac:dyDescent="0.35">
      <c r="A14" s="27"/>
      <c r="B14" s="30" t="s">
        <v>197</v>
      </c>
      <c r="C14" s="31"/>
      <c r="D14" s="31">
        <v>173455000</v>
      </c>
      <c r="E14" s="23">
        <f t="shared" si="0"/>
        <v>223132778</v>
      </c>
      <c r="M14">
        <f>1500*15500</f>
        <v>23250000</v>
      </c>
      <c r="N14" s="28">
        <f>M14+39000000</f>
        <v>62250000</v>
      </c>
    </row>
    <row r="15" spans="1:16" x14ac:dyDescent="0.35">
      <c r="A15" s="27"/>
      <c r="B15" s="17"/>
      <c r="C15" s="25"/>
      <c r="D15" s="25"/>
      <c r="E15" s="23">
        <f t="shared" si="0"/>
        <v>223132778</v>
      </c>
    </row>
    <row r="16" spans="1:16" x14ac:dyDescent="0.35">
      <c r="A16" s="27"/>
      <c r="B16" s="17"/>
      <c r="C16" s="25"/>
      <c r="D16" s="25"/>
      <c r="E16" s="23">
        <f t="shared" si="0"/>
        <v>223132778</v>
      </c>
      <c r="F16" s="29"/>
      <c r="H16" s="28"/>
    </row>
    <row r="17" spans="1:8" x14ac:dyDescent="0.35">
      <c r="A17" s="27"/>
      <c r="B17" s="17"/>
      <c r="C17" s="25"/>
      <c r="D17" s="26"/>
      <c r="E17" s="23">
        <f t="shared" si="0"/>
        <v>223132778</v>
      </c>
      <c r="H17" s="29"/>
    </row>
    <row r="18" spans="1:8" x14ac:dyDescent="0.35">
      <c r="A18" s="27"/>
      <c r="B18" s="17"/>
      <c r="C18" s="25"/>
      <c r="D18" s="25"/>
      <c r="E18" s="23">
        <f t="shared" si="0"/>
        <v>223132778</v>
      </c>
    </row>
    <row r="19" spans="1:8" x14ac:dyDescent="0.35">
      <c r="A19" s="27"/>
      <c r="B19" s="17"/>
      <c r="C19" s="25"/>
      <c r="D19" s="25"/>
      <c r="E19" s="23">
        <f t="shared" si="0"/>
        <v>223132778</v>
      </c>
      <c r="H19" s="29"/>
    </row>
    <row r="20" spans="1:8" x14ac:dyDescent="0.35">
      <c r="A20" s="27"/>
      <c r="B20" s="17"/>
      <c r="C20" s="25"/>
      <c r="D20" s="25"/>
      <c r="E20" s="23">
        <f t="shared" si="0"/>
        <v>223132778</v>
      </c>
    </row>
    <row r="21" spans="1:8" x14ac:dyDescent="0.35">
      <c r="A21" s="27"/>
      <c r="B21" s="17"/>
      <c r="C21" s="25"/>
      <c r="D21" s="25"/>
      <c r="E21" s="23">
        <f t="shared" si="0"/>
        <v>223132778</v>
      </c>
    </row>
    <row r="22" spans="1:8" x14ac:dyDescent="0.35">
      <c r="A22" s="27"/>
      <c r="B22" s="17"/>
      <c r="C22" s="25"/>
      <c r="D22" s="25"/>
      <c r="E22" s="23">
        <f t="shared" si="0"/>
        <v>223132778</v>
      </c>
    </row>
    <row r="23" spans="1:8" x14ac:dyDescent="0.35">
      <c r="A23" s="27"/>
      <c r="B23" s="17"/>
      <c r="C23" s="25"/>
      <c r="D23" s="25"/>
      <c r="E23" s="23">
        <f t="shared" si="0"/>
        <v>223132778</v>
      </c>
    </row>
    <row r="24" spans="1:8" x14ac:dyDescent="0.35">
      <c r="A24" s="27"/>
      <c r="B24" s="17"/>
      <c r="C24" s="25"/>
      <c r="D24" s="25"/>
      <c r="E24" s="23">
        <f t="shared" si="0"/>
        <v>223132778</v>
      </c>
    </row>
    <row r="25" spans="1:8" x14ac:dyDescent="0.35">
      <c r="A25" s="27"/>
      <c r="B25" s="17"/>
      <c r="C25" s="25"/>
      <c r="D25" s="25"/>
      <c r="E25" s="23">
        <f t="shared" si="0"/>
        <v>223132778</v>
      </c>
    </row>
    <row r="26" spans="1:8" x14ac:dyDescent="0.35">
      <c r="A26" s="27"/>
      <c r="B26" s="17"/>
      <c r="C26" s="25"/>
      <c r="D26" s="25"/>
      <c r="E26" s="23">
        <f t="shared" si="0"/>
        <v>223132778</v>
      </c>
    </row>
    <row r="27" spans="1:8" x14ac:dyDescent="0.35">
      <c r="A27" s="27"/>
      <c r="B27" s="17"/>
      <c r="C27" s="25"/>
      <c r="D27" s="25"/>
      <c r="E27" s="23">
        <f>E26+C27-D27</f>
        <v>223132778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14</vt:i4>
      </vt:variant>
    </vt:vector>
  </HeadingPairs>
  <TitlesOfParts>
    <vt:vector size="14" baseType="lpstr">
      <vt:lpstr>CHECKING</vt:lpstr>
      <vt:lpstr>STATEMENT</vt:lpstr>
      <vt:lpstr>MVT CAISSE</vt:lpstr>
      <vt:lpstr>BANK</vt:lpstr>
      <vt:lpstr>REMBOURSEMENT_ENCAISSEMENT</vt:lpstr>
      <vt:lpstr>VENTES_EXP_LOC_(CREDIT)</vt:lpstr>
      <vt:lpstr>ACHAT MP_(DEBIT)</vt:lpstr>
      <vt:lpstr>DEP_EXP_ACC_(DEBIT)</vt:lpstr>
      <vt:lpstr>AUTRES_DEP_(DEBIT)</vt:lpstr>
      <vt:lpstr>CHEQUE GIVE ON COMPANYS NAME,</vt:lpstr>
      <vt:lpstr>UD CAKE SALES</vt:lpstr>
      <vt:lpstr>SUIVI CHEQUIER</vt:lpstr>
      <vt:lpstr>SUIVI PRET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Alliance BODJRENOU</cp:lastModifiedBy>
  <cp:lastPrinted>2026-10-16T13:15:09Z</cp:lastPrinted>
  <dcterms:created xsi:type="dcterms:W3CDTF">2026-05-01T11:28:53Z</dcterms:created>
  <dcterms:modified xsi:type="dcterms:W3CDTF">2026-10-16T17:42:32Z</dcterms:modified>
</cp:coreProperties>
</file>