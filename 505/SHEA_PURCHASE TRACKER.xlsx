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OneDrive\Desktop\DATA\505\"/>
    </mc:Choice>
  </mc:AlternateContent>
  <xr:revisionPtr revIDLastSave="0" documentId="13_ncr:1_{D2357CD6-AF75-4E2E-8C75-BD0F280F3649}" xr6:coauthVersionLast="47" xr6:coauthVersionMax="47" xr10:uidLastSave="{00000000-0000-0000-0000-000000000000}"/>
  <bookViews>
    <workbookView xWindow="-90" yWindow="0" windowWidth="9780" windowHeight="11370" tabRatio="500" firstSheet="3" activeTab="3" xr2:uid="{00000000-000D-0000-FFFF-FFFF00000000}"/>
  </bookViews>
  <sheets>
    <sheet name="Tableau de Bord" sheetId="1" r:id="rId1"/>
    <sheet name="Bons de Commande" sheetId="2" r:id="rId2"/>
    <sheet name="CODE FRS" sheetId="7" r:id="rId3"/>
    <sheet name="Commandes Dechargees" sheetId="3" r:id="rId4"/>
    <sheet name="Releve Comptes Fournisseurs" sheetId="4" r:id="rId5"/>
    <sheet name="Sheet1" sheetId="8" r:id="rId6"/>
  </sheets>
  <definedNames>
    <definedName name="_xlnm._FilterDatabase" localSheetId="1" hidden="1">'Bons de Commande'!$C$4:$K$67</definedName>
    <definedName name="_xlnm._FilterDatabase" localSheetId="2" hidden="1">'CODE FRS'!$B$3:$C$65</definedName>
    <definedName name="_xlnm._FilterDatabase" localSheetId="3" hidden="1">'Commandes Dechargees'!$A$4:$Q$45</definedName>
    <definedName name="_xlnm._FilterDatabase" localSheetId="4" hidden="1">'Releve Comptes Fournisseurs'!$C$4:$L$50</definedName>
    <definedName name="_xlnm._FilterDatabase" localSheetId="5" hidden="1">Sheet1!$F$26:$L$26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10" i="3" l="1"/>
  <c r="K210" i="3"/>
  <c r="M210" i="3" s="1"/>
  <c r="N210" i="3" s="1" a="1"/>
  <c r="N210" i="3" s="1"/>
  <c r="E209" i="3"/>
  <c r="K209" i="3"/>
  <c r="M209" i="3" s="1"/>
  <c r="N209" i="3" s="1" a="1"/>
  <c r="N209" i="3" s="1"/>
  <c r="E208" i="3"/>
  <c r="K208" i="3"/>
  <c r="M208" i="3" s="1"/>
  <c r="N208" i="3" s="1" a="1"/>
  <c r="N208" i="3" s="1"/>
  <c r="E207" i="3"/>
  <c r="K207" i="3"/>
  <c r="M207" i="3" s="1"/>
  <c r="N207" i="3" s="1" a="1"/>
  <c r="N207" i="3" s="1"/>
  <c r="L177" i="3"/>
  <c r="E206" i="3" l="1"/>
  <c r="K206" i="3"/>
  <c r="M206" i="3" s="1"/>
  <c r="N206" i="3" s="1" a="1"/>
  <c r="N206" i="3" s="1"/>
  <c r="E205" i="3"/>
  <c r="K205" i="3"/>
  <c r="M205" i="3" s="1"/>
  <c r="N205" i="3" s="1" a="1"/>
  <c r="N205" i="3" s="1"/>
  <c r="E204" i="3"/>
  <c r="K204" i="3"/>
  <c r="M204" i="3" s="1"/>
  <c r="N204" i="3" s="1" a="1"/>
  <c r="N204" i="3" s="1"/>
  <c r="E203" i="3"/>
  <c r="K203" i="3"/>
  <c r="M203" i="3" s="1"/>
  <c r="N203" i="3" s="1" a="1"/>
  <c r="N203" i="3" s="1"/>
  <c r="E202" i="3"/>
  <c r="K202" i="3"/>
  <c r="M202" i="3" s="1"/>
  <c r="N202" i="3" s="1" a="1"/>
  <c r="N202" i="3" s="1"/>
  <c r="E201" i="3"/>
  <c r="K201" i="3"/>
  <c r="M201" i="3" s="1"/>
  <c r="N201" i="3" s="1" a="1"/>
  <c r="N201" i="3" s="1"/>
  <c r="E200" i="3"/>
  <c r="K200" i="3"/>
  <c r="M200" i="3" s="1"/>
  <c r="N200" i="3" s="1" a="1"/>
  <c r="N200" i="3" s="1"/>
  <c r="E199" i="3"/>
  <c r="K199" i="3"/>
  <c r="M199" i="3" s="1"/>
  <c r="N199" i="3" s="1" a="1"/>
  <c r="N199" i="3" s="1"/>
  <c r="E198" i="3"/>
  <c r="K198" i="3"/>
  <c r="M198" i="3" s="1"/>
  <c r="N198" i="3" s="1" a="1"/>
  <c r="N198" i="3" s="1"/>
  <c r="E197" i="3"/>
  <c r="K197" i="3"/>
  <c r="M197" i="3" s="1"/>
  <c r="N197" i="3" s="1" a="1"/>
  <c r="N197" i="3" s="1"/>
  <c r="E196" i="3"/>
  <c r="K196" i="3"/>
  <c r="M196" i="3" s="1"/>
  <c r="N196" i="3" s="1" a="1"/>
  <c r="N196" i="3" s="1"/>
  <c r="E195" i="3"/>
  <c r="K195" i="3"/>
  <c r="M195" i="3" s="1"/>
  <c r="N195" i="3" s="1" a="1"/>
  <c r="N195" i="3" s="1"/>
  <c r="E194" i="3"/>
  <c r="K194" i="3"/>
  <c r="M194" i="3" s="1"/>
  <c r="N194" i="3" s="1" a="1"/>
  <c r="N194" i="3" s="1"/>
  <c r="E193" i="3"/>
  <c r="K193" i="3"/>
  <c r="M193" i="3" s="1"/>
  <c r="N193" i="3" s="1" a="1"/>
  <c r="N193" i="3" s="1"/>
  <c r="E192" i="3"/>
  <c r="K192" i="3"/>
  <c r="M192" i="3" s="1"/>
  <c r="N192" i="3" s="1" a="1"/>
  <c r="N192" i="3" s="1"/>
  <c r="E191" i="3"/>
  <c r="K191" i="3"/>
  <c r="M191" i="3" s="1"/>
  <c r="N191" i="3" s="1" a="1"/>
  <c r="N191" i="3" s="1"/>
  <c r="E190" i="3"/>
  <c r="K190" i="3"/>
  <c r="M190" i="3" s="1"/>
  <c r="N190" i="3" s="1" a="1"/>
  <c r="N190" i="3" s="1"/>
  <c r="E189" i="3"/>
  <c r="K189" i="3"/>
  <c r="M189" i="3" s="1"/>
  <c r="N189" i="3" s="1" a="1"/>
  <c r="N189" i="3" s="1"/>
  <c r="E188" i="3"/>
  <c r="K188" i="3"/>
  <c r="M188" i="3" s="1"/>
  <c r="N188" i="3" s="1" a="1"/>
  <c r="N188" i="3" s="1"/>
  <c r="E181" i="3"/>
  <c r="E187" i="3"/>
  <c r="K187" i="3"/>
  <c r="M187" i="3" s="1"/>
  <c r="N187" i="3" s="1" a="1"/>
  <c r="N187" i="3" s="1"/>
  <c r="E186" i="3"/>
  <c r="K186" i="3"/>
  <c r="M186" i="3" s="1"/>
  <c r="N186" i="3" s="1" a="1"/>
  <c r="N186" i="3" s="1"/>
  <c r="E185" i="3"/>
  <c r="K185" i="3"/>
  <c r="M185" i="3" s="1"/>
  <c r="N185" i="3" s="1" a="1"/>
  <c r="N185" i="3" s="1"/>
  <c r="E184" i="3"/>
  <c r="K184" i="3"/>
  <c r="M184" i="3" s="1"/>
  <c r="N184" i="3" s="1" a="1"/>
  <c r="N184" i="3" s="1"/>
  <c r="E183" i="3"/>
  <c r="K183" i="3"/>
  <c r="M183" i="3" s="1"/>
  <c r="N183" i="3" s="1" a="1"/>
  <c r="N183" i="3" s="1"/>
  <c r="L119" i="3"/>
  <c r="L140" i="3"/>
  <c r="L107" i="3" l="1"/>
  <c r="E182" i="3"/>
  <c r="K182" i="3"/>
  <c r="M182" i="3" s="1"/>
  <c r="N182" i="3" s="1" a="1"/>
  <c r="N182" i="3" s="1"/>
  <c r="K181" i="3"/>
  <c r="M181" i="3" s="1"/>
  <c r="N181" i="3" s="1" a="1"/>
  <c r="N181" i="3" s="1"/>
  <c r="E180" i="3"/>
  <c r="K180" i="3"/>
  <c r="M180" i="3" s="1"/>
  <c r="N180" i="3" s="1" a="1"/>
  <c r="N180" i="3" s="1"/>
  <c r="E179" i="3"/>
  <c r="K179" i="3"/>
  <c r="M179" i="3" s="1"/>
  <c r="N179" i="3" s="1" a="1"/>
  <c r="N179" i="3" s="1"/>
  <c r="E178" i="3"/>
  <c r="K178" i="3"/>
  <c r="M178" i="3" s="1"/>
  <c r="N178" i="3" s="1" a="1"/>
  <c r="N178" i="3" s="1"/>
  <c r="E177" i="3"/>
  <c r="K177" i="3"/>
  <c r="M177" i="3" s="1"/>
  <c r="N177" i="3" s="1" a="1"/>
  <c r="N177" i="3" s="1"/>
  <c r="E176" i="3"/>
  <c r="K176" i="3"/>
  <c r="E175" i="3"/>
  <c r="K175" i="3"/>
  <c r="M175" i="3" s="1"/>
  <c r="N175" i="3" s="1" a="1"/>
  <c r="N175" i="3" s="1"/>
  <c r="E174" i="3"/>
  <c r="K174" i="3"/>
  <c r="M174" i="3" s="1"/>
  <c r="N174" i="3" s="1" a="1"/>
  <c r="N174" i="3" s="1"/>
  <c r="E173" i="3"/>
  <c r="K173" i="3"/>
  <c r="M173" i="3" s="1"/>
  <c r="N173" i="3" s="1" a="1"/>
  <c r="N173" i="3" s="1"/>
  <c r="E172" i="3"/>
  <c r="K172" i="3"/>
  <c r="M172" i="3" s="1"/>
  <c r="N172" i="3" s="1" a="1"/>
  <c r="N172" i="3" s="1"/>
  <c r="E171" i="3"/>
  <c r="K171" i="3"/>
  <c r="M171" i="3" s="1"/>
  <c r="N171" i="3" s="1" a="1"/>
  <c r="N171" i="3" s="1"/>
  <c r="E170" i="3"/>
  <c r="K170" i="3"/>
  <c r="M170" i="3" s="1"/>
  <c r="N170" i="3" s="1" a="1"/>
  <c r="N170" i="3" s="1"/>
  <c r="E169" i="3"/>
  <c r="K169" i="3"/>
  <c r="M169" i="3" s="1"/>
  <c r="N169" i="3" s="1" a="1"/>
  <c r="N169" i="3" s="1"/>
  <c r="E168" i="3"/>
  <c r="K168" i="3"/>
  <c r="M168" i="3" s="1"/>
  <c r="N168" i="3" s="1" a="1"/>
  <c r="N168" i="3" s="1"/>
  <c r="E167" i="3"/>
  <c r="K167" i="3"/>
  <c r="M167" i="3" s="1"/>
  <c r="N167" i="3" s="1" a="1"/>
  <c r="N167" i="3" s="1"/>
  <c r="E166" i="3"/>
  <c r="K166" i="3"/>
  <c r="M166" i="3" s="1"/>
  <c r="N166" i="3" s="1" a="1"/>
  <c r="N166" i="3" s="1"/>
  <c r="E165" i="3"/>
  <c r="K165" i="3"/>
  <c r="M165" i="3" s="1"/>
  <c r="N165" i="3" s="1" a="1"/>
  <c r="N165" i="3" s="1"/>
  <c r="E164" i="3"/>
  <c r="K164" i="3"/>
  <c r="M164" i="3" s="1"/>
  <c r="N164" i="3" s="1" a="1"/>
  <c r="N164" i="3" s="1"/>
  <c r="E163" i="3"/>
  <c r="K163" i="3"/>
  <c r="M163" i="3" s="1"/>
  <c r="N163" i="3" s="1" a="1"/>
  <c r="N163" i="3" s="1"/>
  <c r="E162" i="3"/>
  <c r="K162" i="3"/>
  <c r="M162" i="3" s="1"/>
  <c r="N162" i="3" s="1" a="1"/>
  <c r="N162" i="3" s="1"/>
  <c r="H114" i="3"/>
  <c r="M176" i="3" l="1"/>
  <c r="N176" i="3" s="1" a="1"/>
  <c r="N176" i="3" s="1"/>
  <c r="F281" i="2"/>
  <c r="K281" i="2"/>
  <c r="F280" i="2"/>
  <c r="K280" i="2"/>
  <c r="F279" i="2"/>
  <c r="K279" i="2"/>
  <c r="F278" i="2"/>
  <c r="K278" i="2"/>
  <c r="F277" i="2"/>
  <c r="K277" i="2"/>
  <c r="F276" i="2"/>
  <c r="K276" i="2"/>
  <c r="F275" i="2"/>
  <c r="K275" i="2"/>
  <c r="F274" i="2"/>
  <c r="K274" i="2"/>
  <c r="F273" i="2"/>
  <c r="K273" i="2"/>
  <c r="F272" i="2"/>
  <c r="K272" i="2"/>
  <c r="F271" i="2"/>
  <c r="K271" i="2"/>
  <c r="F270" i="2"/>
  <c r="K270" i="2"/>
  <c r="F269" i="2"/>
  <c r="K269" i="2"/>
  <c r="F268" i="2"/>
  <c r="K268" i="2"/>
  <c r="F267" i="2"/>
  <c r="K267" i="2"/>
  <c r="F266" i="2"/>
  <c r="K266" i="2"/>
  <c r="F265" i="2"/>
  <c r="K265" i="2"/>
  <c r="F264" i="2"/>
  <c r="K264" i="2"/>
  <c r="F263" i="2"/>
  <c r="K263" i="2"/>
  <c r="F262" i="2"/>
  <c r="K262" i="2"/>
  <c r="F261" i="2"/>
  <c r="K261" i="2"/>
  <c r="F260" i="2"/>
  <c r="K260" i="2"/>
  <c r="F259" i="2"/>
  <c r="K259" i="2"/>
  <c r="F258" i="2"/>
  <c r="K258" i="2"/>
  <c r="F257" i="2"/>
  <c r="K257" i="2"/>
  <c r="F256" i="2"/>
  <c r="K256" i="2"/>
  <c r="F255" i="2"/>
  <c r="K255" i="2"/>
  <c r="F254" i="2"/>
  <c r="K254" i="2"/>
  <c r="F253" i="2"/>
  <c r="K253" i="2"/>
  <c r="F252" i="2"/>
  <c r="K252" i="2"/>
  <c r="F251" i="2"/>
  <c r="K251" i="2"/>
  <c r="F250" i="2"/>
  <c r="K250" i="2"/>
  <c r="F249" i="2"/>
  <c r="K249" i="2"/>
  <c r="F248" i="2"/>
  <c r="K248" i="2"/>
  <c r="F247" i="2"/>
  <c r="K247" i="2"/>
  <c r="F246" i="2"/>
  <c r="K246" i="2"/>
  <c r="L110" i="3"/>
  <c r="F245" i="2"/>
  <c r="K245" i="2"/>
  <c r="F244" i="2"/>
  <c r="K244" i="2"/>
  <c r="F243" i="2"/>
  <c r="K243" i="2"/>
  <c r="F242" i="2"/>
  <c r="K242" i="2"/>
  <c r="F241" i="2"/>
  <c r="K241" i="2"/>
  <c r="F240" i="2"/>
  <c r="K240" i="2"/>
  <c r="F239" i="2"/>
  <c r="K239" i="2"/>
  <c r="F238" i="2"/>
  <c r="K238" i="2"/>
  <c r="F237" i="2"/>
  <c r="K237" i="2"/>
  <c r="F236" i="2"/>
  <c r="K236" i="2"/>
  <c r="E161" i="3"/>
  <c r="K161" i="3"/>
  <c r="M161" i="3" s="1"/>
  <c r="N161" i="3" s="1" a="1"/>
  <c r="N161" i="3" s="1"/>
  <c r="E160" i="3"/>
  <c r="K160" i="3"/>
  <c r="M160" i="3" s="1"/>
  <c r="N160" i="3" s="1" a="1"/>
  <c r="N160" i="3" s="1"/>
  <c r="E159" i="3"/>
  <c r="K159" i="3"/>
  <c r="M159" i="3" s="1"/>
  <c r="N159" i="3" s="1" a="1"/>
  <c r="N159" i="3" s="1"/>
  <c r="E158" i="3"/>
  <c r="K158" i="3"/>
  <c r="M158" i="3" s="1"/>
  <c r="N158" i="3" s="1" a="1"/>
  <c r="N158" i="3" s="1"/>
  <c r="E157" i="3"/>
  <c r="K157" i="3"/>
  <c r="M157" i="3" s="1"/>
  <c r="N157" i="3" s="1" a="1"/>
  <c r="N157" i="3" s="1"/>
  <c r="E156" i="3"/>
  <c r="K156" i="3"/>
  <c r="M156" i="3" s="1"/>
  <c r="N156" i="3" s="1" a="1"/>
  <c r="N156" i="3" s="1"/>
  <c r="K155" i="3"/>
  <c r="M155" i="3" s="1"/>
  <c r="N155" i="3" s="1" a="1"/>
  <c r="N155" i="3" s="1"/>
  <c r="E155" i="3"/>
  <c r="E154" i="3"/>
  <c r="K154" i="3"/>
  <c r="M154" i="3" s="1"/>
  <c r="N154" i="3" s="1" a="1"/>
  <c r="N154" i="3" s="1"/>
  <c r="E153" i="3"/>
  <c r="K153" i="3"/>
  <c r="M153" i="3" s="1"/>
  <c r="N153" i="3" s="1" a="1"/>
  <c r="N153" i="3" s="1"/>
  <c r="E152" i="3"/>
  <c r="K152" i="3"/>
  <c r="M152" i="3" s="1"/>
  <c r="N152" i="3" s="1" a="1"/>
  <c r="N152" i="3" s="1"/>
  <c r="E151" i="3"/>
  <c r="K151" i="3"/>
  <c r="M151" i="3" s="1"/>
  <c r="N151" i="3" s="1" a="1"/>
  <c r="N151" i="3" s="1"/>
  <c r="E150" i="3"/>
  <c r="K150" i="3"/>
  <c r="M150" i="3" s="1"/>
  <c r="N150" i="3" s="1" a="1"/>
  <c r="N150" i="3" s="1"/>
  <c r="E149" i="3"/>
  <c r="K149" i="3"/>
  <c r="M149" i="3" s="1"/>
  <c r="N149" i="3" s="1" a="1"/>
  <c r="N149" i="3" s="1"/>
  <c r="E148" i="3"/>
  <c r="K148" i="3"/>
  <c r="M148" i="3" s="1"/>
  <c r="N148" i="3" s="1" a="1"/>
  <c r="N148" i="3" s="1"/>
  <c r="E147" i="3"/>
  <c r="K147" i="3"/>
  <c r="M147" i="3" s="1"/>
  <c r="N147" i="3" s="1" a="1"/>
  <c r="N147" i="3" s="1"/>
  <c r="E146" i="3"/>
  <c r="K146" i="3"/>
  <c r="M146" i="3" s="1"/>
  <c r="N146" i="3" s="1" a="1"/>
  <c r="N146" i="3" s="1"/>
  <c r="E145" i="3"/>
  <c r="K145" i="3"/>
  <c r="M145" i="3" s="1"/>
  <c r="N145" i="3" s="1" a="1"/>
  <c r="N145" i="3" s="1"/>
  <c r="E144" i="3"/>
  <c r="K144" i="3"/>
  <c r="M144" i="3" s="1"/>
  <c r="N144" i="3" s="1" a="1"/>
  <c r="N144" i="3" s="1"/>
  <c r="E143" i="3"/>
  <c r="K143" i="3"/>
  <c r="M143" i="3" s="1"/>
  <c r="N143" i="3" s="1" a="1"/>
  <c r="N143" i="3" s="1"/>
  <c r="E142" i="3"/>
  <c r="K142" i="3"/>
  <c r="M142" i="3" s="1"/>
  <c r="N142" i="3" s="1" a="1"/>
  <c r="N142" i="3" s="1"/>
  <c r="E141" i="3"/>
  <c r="K141" i="3"/>
  <c r="M141" i="3" s="1"/>
  <c r="N141" i="3" s="1" a="1"/>
  <c r="N141" i="3" s="1"/>
  <c r="E140" i="3"/>
  <c r="K140" i="3"/>
  <c r="M140" i="3" s="1"/>
  <c r="N140" i="3" s="1" a="1"/>
  <c r="N140" i="3" s="1"/>
  <c r="J38" i="8"/>
  <c r="L92" i="3"/>
  <c r="K227" i="2" l="1"/>
  <c r="K228" i="2"/>
  <c r="K229" i="2"/>
  <c r="K230" i="2"/>
  <c r="K231" i="2"/>
  <c r="K232" i="2"/>
  <c r="K233" i="2"/>
  <c r="K234" i="2"/>
  <c r="K235" i="2"/>
  <c r="F235" i="2"/>
  <c r="F234" i="2"/>
  <c r="F233" i="2"/>
  <c r="F232" i="2"/>
  <c r="F231" i="2"/>
  <c r="F230" i="2"/>
  <c r="F229" i="2"/>
  <c r="F228" i="2"/>
  <c r="F227" i="2"/>
  <c r="F226" i="2"/>
  <c r="K226" i="2"/>
  <c r="F225" i="2"/>
  <c r="K225" i="2"/>
  <c r="F224" i="2"/>
  <c r="K224" i="2"/>
  <c r="F223" i="2"/>
  <c r="K223" i="2"/>
  <c r="F222" i="2"/>
  <c r="K222" i="2"/>
  <c r="F221" i="2"/>
  <c r="K221" i="2"/>
  <c r="F220" i="2"/>
  <c r="K220" i="2"/>
  <c r="F219" i="2"/>
  <c r="K219" i="2"/>
  <c r="F218" i="2"/>
  <c r="K218" i="2"/>
  <c r="F217" i="2"/>
  <c r="K217" i="2"/>
  <c r="F216" i="2"/>
  <c r="K216" i="2"/>
  <c r="E139" i="3"/>
  <c r="K139" i="3"/>
  <c r="M139" i="3" s="1"/>
  <c r="N139" i="3" s="1" a="1"/>
  <c r="N139" i="3" s="1"/>
  <c r="E138" i="3"/>
  <c r="K138" i="3"/>
  <c r="M138" i="3" s="1"/>
  <c r="N138" i="3" s="1" a="1"/>
  <c r="N138" i="3" s="1"/>
  <c r="E137" i="3"/>
  <c r="K137" i="3"/>
  <c r="M137" i="3" s="1"/>
  <c r="N137" i="3" s="1" a="1"/>
  <c r="N137" i="3" s="1"/>
  <c r="E136" i="3"/>
  <c r="K136" i="3"/>
  <c r="M136" i="3" s="1"/>
  <c r="N136" i="3" s="1" a="1"/>
  <c r="N136" i="3" s="1"/>
  <c r="E135" i="3"/>
  <c r="K135" i="3"/>
  <c r="M135" i="3" s="1"/>
  <c r="N135" i="3" s="1" a="1"/>
  <c r="N135" i="3" s="1"/>
  <c r="E134" i="3"/>
  <c r="K134" i="3"/>
  <c r="M134" i="3" s="1"/>
  <c r="N134" i="3" s="1" a="1"/>
  <c r="N134" i="3" s="1"/>
  <c r="E133" i="3"/>
  <c r="K133" i="3"/>
  <c r="M133" i="3" s="1"/>
  <c r="N133" i="3" s="1" a="1"/>
  <c r="N133" i="3" s="1"/>
  <c r="E132" i="3"/>
  <c r="K132" i="3"/>
  <c r="M132" i="3" s="1"/>
  <c r="N132" i="3" s="1" a="1"/>
  <c r="N132" i="3" s="1"/>
  <c r="E131" i="3"/>
  <c r="K131" i="3"/>
  <c r="M131" i="3" s="1"/>
  <c r="N131" i="3" s="1" a="1"/>
  <c r="N131" i="3" s="1"/>
  <c r="L91" i="3" l="1"/>
  <c r="L78" i="3"/>
  <c r="L97" i="3" l="1"/>
  <c r="L95" i="3"/>
  <c r="F215" i="2"/>
  <c r="K215" i="2"/>
  <c r="F214" i="2"/>
  <c r="K214" i="2"/>
  <c r="F213" i="2"/>
  <c r="K213" i="2"/>
  <c r="F212" i="2"/>
  <c r="K212" i="2"/>
  <c r="E130" i="3" l="1"/>
  <c r="K130" i="3"/>
  <c r="M130" i="3" s="1"/>
  <c r="N130" i="3" s="1" a="1"/>
  <c r="N130" i="3" s="1"/>
  <c r="E129" i="3"/>
  <c r="K129" i="3"/>
  <c r="M129" i="3" s="1"/>
  <c r="N129" i="3" s="1" a="1"/>
  <c r="N129" i="3" s="1"/>
  <c r="E128" i="3"/>
  <c r="K128" i="3"/>
  <c r="M128" i="3" s="1"/>
  <c r="N128" i="3" s="1" a="1"/>
  <c r="N128" i="3" s="1"/>
  <c r="E127" i="3"/>
  <c r="K127" i="3"/>
  <c r="M127" i="3" s="1"/>
  <c r="N127" i="3" s="1" a="1"/>
  <c r="N127" i="3" s="1"/>
  <c r="E126" i="3"/>
  <c r="K126" i="3"/>
  <c r="M126" i="3" s="1"/>
  <c r="N126" i="3" s="1" a="1"/>
  <c r="N126" i="3" s="1"/>
  <c r="E125" i="3"/>
  <c r="K125" i="3"/>
  <c r="M125" i="3" s="1"/>
  <c r="N125" i="3" s="1" a="1"/>
  <c r="N125" i="3" s="1"/>
  <c r="E124" i="3"/>
  <c r="K124" i="3"/>
  <c r="M124" i="3" s="1"/>
  <c r="N124" i="3" s="1" a="1"/>
  <c r="N124" i="3" s="1"/>
  <c r="E123" i="3"/>
  <c r="K123" i="3"/>
  <c r="M123" i="3" s="1"/>
  <c r="N123" i="3" s="1" a="1"/>
  <c r="N123" i="3" s="1"/>
  <c r="E122" i="3"/>
  <c r="K122" i="3"/>
  <c r="M122" i="3" s="1"/>
  <c r="N122" i="3" s="1" a="1"/>
  <c r="N122" i="3" s="1"/>
  <c r="E121" i="3"/>
  <c r="K121" i="3"/>
  <c r="M121" i="3" s="1"/>
  <c r="N121" i="3" s="1" a="1"/>
  <c r="N121" i="3" s="1"/>
  <c r="E120" i="3"/>
  <c r="K120" i="3"/>
  <c r="M120" i="3" s="1"/>
  <c r="N120" i="3" s="1" a="1"/>
  <c r="N120" i="3" s="1"/>
  <c r="E119" i="3"/>
  <c r="K119" i="3"/>
  <c r="M119" i="3" s="1"/>
  <c r="N119" i="3" s="1" a="1"/>
  <c r="N119" i="3" s="1"/>
  <c r="E118" i="3"/>
  <c r="K118" i="3"/>
  <c r="M118" i="3" s="1"/>
  <c r="N118" i="3" s="1" a="1"/>
  <c r="N118" i="3" s="1"/>
  <c r="E117" i="3"/>
  <c r="K117" i="3"/>
  <c r="M117" i="3" s="1"/>
  <c r="N117" i="3" s="1" a="1"/>
  <c r="N117" i="3" s="1"/>
  <c r="E116" i="3"/>
  <c r="K116" i="3"/>
  <c r="M116" i="3" s="1"/>
  <c r="N116" i="3" s="1" a="1"/>
  <c r="N116" i="3" s="1"/>
  <c r="E115" i="3"/>
  <c r="K115" i="3"/>
  <c r="M115" i="3" s="1"/>
  <c r="N115" i="3" s="1" a="1"/>
  <c r="N115" i="3" s="1"/>
  <c r="E114" i="3"/>
  <c r="K114" i="3"/>
  <c r="M114" i="3" s="1"/>
  <c r="N114" i="3" s="1" a="1"/>
  <c r="N114" i="3" s="1"/>
  <c r="L65" i="3"/>
  <c r="L71" i="3"/>
  <c r="L74" i="3"/>
  <c r="E113" i="3" l="1"/>
  <c r="K113" i="3"/>
  <c r="M113" i="3" s="1"/>
  <c r="N113" i="3" s="1" a="1"/>
  <c r="N113" i="3" s="1"/>
  <c r="E112" i="3"/>
  <c r="K112" i="3"/>
  <c r="M112" i="3" s="1"/>
  <c r="N112" i="3" s="1" a="1"/>
  <c r="N112" i="3" s="1"/>
  <c r="E111" i="3"/>
  <c r="K111" i="3"/>
  <c r="M111" i="3" s="1"/>
  <c r="N111" i="3" s="1" a="1"/>
  <c r="N111" i="3" s="1"/>
  <c r="E110" i="3"/>
  <c r="K110" i="3"/>
  <c r="M110" i="3" s="1"/>
  <c r="N110" i="3" s="1" a="1"/>
  <c r="N110" i="3" s="1"/>
  <c r="E109" i="3"/>
  <c r="K109" i="3"/>
  <c r="M109" i="3" s="1"/>
  <c r="N109" i="3" s="1" a="1"/>
  <c r="N109" i="3" s="1"/>
  <c r="F211" i="2"/>
  <c r="F210" i="2"/>
  <c r="K210" i="2"/>
  <c r="F209" i="2"/>
  <c r="K209" i="2"/>
  <c r="F208" i="2"/>
  <c r="K208" i="2"/>
  <c r="F207" i="2"/>
  <c r="K207" i="2"/>
  <c r="E108" i="3"/>
  <c r="K108" i="3"/>
  <c r="M108" i="3" s="1"/>
  <c r="N108" i="3" s="1" a="1"/>
  <c r="N108" i="3" s="1"/>
  <c r="E107" i="3"/>
  <c r="K107" i="3"/>
  <c r="M107" i="3" s="1"/>
  <c r="N107" i="3" s="1" a="1"/>
  <c r="N107" i="3" s="1"/>
  <c r="E106" i="3"/>
  <c r="K106" i="3"/>
  <c r="M106" i="3" s="1"/>
  <c r="N106" i="3" s="1" a="1"/>
  <c r="N106" i="3" s="1"/>
  <c r="E105" i="3"/>
  <c r="K105" i="3"/>
  <c r="M105" i="3" s="1"/>
  <c r="N105" i="3" s="1" a="1"/>
  <c r="N105" i="3" s="1"/>
  <c r="F206" i="2"/>
  <c r="K206" i="2"/>
  <c r="F205" i="2"/>
  <c r="K205" i="2"/>
  <c r="F204" i="2"/>
  <c r="K204" i="2"/>
  <c r="F203" i="2"/>
  <c r="K203" i="2"/>
  <c r="F202" i="2"/>
  <c r="K202" i="2"/>
  <c r="E104" i="3"/>
  <c r="K104" i="3"/>
  <c r="M104" i="3" s="1"/>
  <c r="N104" i="3" s="1" a="1"/>
  <c r="N104" i="3" s="1"/>
  <c r="E103" i="3"/>
  <c r="K103" i="3"/>
  <c r="M103" i="3" s="1"/>
  <c r="N103" i="3" s="1" a="1"/>
  <c r="N103" i="3" s="1"/>
  <c r="E102" i="3"/>
  <c r="K102" i="3"/>
  <c r="M102" i="3" s="1"/>
  <c r="N102" i="3" s="1" a="1"/>
  <c r="N102" i="3" s="1"/>
  <c r="E101" i="3"/>
  <c r="K101" i="3"/>
  <c r="M101" i="3" s="1"/>
  <c r="N101" i="3" s="1" a="1"/>
  <c r="N101" i="3" s="1"/>
  <c r="E100" i="3"/>
  <c r="K100" i="3"/>
  <c r="M100" i="3" s="1"/>
  <c r="N100" i="3" s="1" a="1"/>
  <c r="N100" i="3" s="1"/>
  <c r="F201" i="2"/>
  <c r="K201" i="2"/>
  <c r="F200" i="2"/>
  <c r="K200" i="2"/>
  <c r="F199" i="2"/>
  <c r="K199" i="2"/>
  <c r="F198" i="2"/>
  <c r="K198" i="2"/>
  <c r="F197" i="2"/>
  <c r="K197" i="2"/>
  <c r="F196" i="2"/>
  <c r="K196" i="2"/>
  <c r="F195" i="2"/>
  <c r="K195" i="2"/>
  <c r="F194" i="2"/>
  <c r="K194" i="2"/>
  <c r="F193" i="2"/>
  <c r="K193" i="2"/>
  <c r="F192" i="2"/>
  <c r="K192" i="2"/>
  <c r="F191" i="2"/>
  <c r="K191" i="2"/>
  <c r="F190" i="2"/>
  <c r="K190" i="2"/>
  <c r="F189" i="2"/>
  <c r="K189" i="2"/>
  <c r="F188" i="2"/>
  <c r="K188" i="2"/>
  <c r="E99" i="3"/>
  <c r="K99" i="3"/>
  <c r="M99" i="3" s="1"/>
  <c r="N99" i="3" s="1" a="1"/>
  <c r="N99" i="3" s="1"/>
  <c r="E98" i="3"/>
  <c r="K98" i="3"/>
  <c r="M98" i="3" s="1"/>
  <c r="N98" i="3" s="1" a="1"/>
  <c r="N98" i="3" s="1"/>
  <c r="E97" i="3"/>
  <c r="K97" i="3"/>
  <c r="M97" i="3" s="1"/>
  <c r="N97" i="3" s="1" a="1"/>
  <c r="N97" i="3" s="1"/>
  <c r="E96" i="3"/>
  <c r="K96" i="3"/>
  <c r="M96" i="3" s="1"/>
  <c r="N96" i="3" s="1" a="1"/>
  <c r="N96" i="3" s="1"/>
  <c r="E95" i="3"/>
  <c r="K95" i="3"/>
  <c r="M95" i="3" s="1"/>
  <c r="N95" i="3" s="1" a="1"/>
  <c r="N95" i="3" s="1"/>
  <c r="E94" i="3"/>
  <c r="K94" i="3"/>
  <c r="M94" i="3" s="1"/>
  <c r="N94" i="3" s="1" a="1"/>
  <c r="N94" i="3" s="1"/>
  <c r="E93" i="3"/>
  <c r="K93" i="3"/>
  <c r="M93" i="3" s="1"/>
  <c r="N93" i="3" s="1" a="1"/>
  <c r="N93" i="3" s="1"/>
  <c r="E92" i="3"/>
  <c r="K92" i="3"/>
  <c r="M92" i="3" s="1"/>
  <c r="N92" i="3" s="1" a="1"/>
  <c r="N92" i="3" s="1"/>
  <c r="C50" i="4"/>
  <c r="H50" i="4" s="1"/>
  <c r="J50" i="4" l="1"/>
  <c r="D50" i="4"/>
  <c r="I50" i="4"/>
  <c r="G50" i="4"/>
  <c r="E50" i="4"/>
  <c r="K50" i="4" l="1"/>
  <c r="L50" i="4"/>
  <c r="F187" i="2" l="1"/>
  <c r="K187" i="2"/>
  <c r="C49" i="4"/>
  <c r="I49" i="4" s="1"/>
  <c r="E91" i="3"/>
  <c r="K91" i="3"/>
  <c r="M91" i="3" s="1"/>
  <c r="N91" i="3" s="1" a="1"/>
  <c r="N91" i="3" s="1"/>
  <c r="E90" i="3"/>
  <c r="K90" i="3"/>
  <c r="M90" i="3" s="1"/>
  <c r="N90" i="3" s="1" a="1"/>
  <c r="N90" i="3" s="1"/>
  <c r="E89" i="3"/>
  <c r="K89" i="3"/>
  <c r="M89" i="3" s="1"/>
  <c r="N89" i="3" s="1" a="1"/>
  <c r="N89" i="3" s="1"/>
  <c r="E88" i="3"/>
  <c r="K88" i="3"/>
  <c r="M88" i="3" s="1"/>
  <c r="N88" i="3" s="1" a="1"/>
  <c r="N88" i="3" s="1"/>
  <c r="F186" i="2"/>
  <c r="K186" i="2"/>
  <c r="F185" i="2"/>
  <c r="K185" i="2"/>
  <c r="F184" i="2"/>
  <c r="K184" i="2"/>
  <c r="F183" i="2"/>
  <c r="K183" i="2"/>
  <c r="F182" i="2"/>
  <c r="K182" i="2"/>
  <c r="F181" i="2"/>
  <c r="K181" i="2"/>
  <c r="F180" i="2"/>
  <c r="K180" i="2"/>
  <c r="F179" i="2"/>
  <c r="K179" i="2"/>
  <c r="F178" i="2"/>
  <c r="K178" i="2"/>
  <c r="H49" i="4" l="1"/>
  <c r="G49" i="4"/>
  <c r="E49" i="4"/>
  <c r="D49" i="4"/>
  <c r="J49" i="4"/>
  <c r="L49" i="4" s="1"/>
  <c r="K49" i="4" l="1"/>
  <c r="L42" i="3" l="1"/>
  <c r="L38" i="3"/>
  <c r="F177" i="2" l="1"/>
  <c r="K177" i="2"/>
  <c r="F176" i="2" l="1"/>
  <c r="K176" i="2"/>
  <c r="C48" i="4"/>
  <c r="H48" i="4" s="1"/>
  <c r="C47" i="4"/>
  <c r="D47" i="4" s="1"/>
  <c r="C45" i="4"/>
  <c r="G45" i="4" s="1"/>
  <c r="C46" i="4"/>
  <c r="D46" i="4" s="1"/>
  <c r="L52" i="3"/>
  <c r="F175" i="2"/>
  <c r="K175" i="2"/>
  <c r="F174" i="2"/>
  <c r="K174" i="2"/>
  <c r="F173" i="2"/>
  <c r="K173" i="2"/>
  <c r="F172" i="2"/>
  <c r="K172" i="2"/>
  <c r="L51" i="3"/>
  <c r="F171" i="2"/>
  <c r="K171" i="2"/>
  <c r="F170" i="2"/>
  <c r="K170" i="2"/>
  <c r="F169" i="2"/>
  <c r="K169" i="2"/>
  <c r="F168" i="2"/>
  <c r="K168" i="2"/>
  <c r="F167" i="2"/>
  <c r="K167" i="2"/>
  <c r="F166" i="2"/>
  <c r="K166" i="2"/>
  <c r="F165" i="2"/>
  <c r="K165" i="2"/>
  <c r="F164" i="2"/>
  <c r="K164" i="2"/>
  <c r="F163" i="2"/>
  <c r="K163" i="2"/>
  <c r="F162" i="2"/>
  <c r="K162" i="2"/>
  <c r="F161" i="2"/>
  <c r="K161" i="2"/>
  <c r="F160" i="2"/>
  <c r="K160" i="2"/>
  <c r="F159" i="2"/>
  <c r="K159" i="2"/>
  <c r="F158" i="2"/>
  <c r="K158" i="2"/>
  <c r="F157" i="2"/>
  <c r="K157" i="2"/>
  <c r="F156" i="2"/>
  <c r="K156" i="2"/>
  <c r="E87" i="3"/>
  <c r="K87" i="3"/>
  <c r="M87" i="3" s="1"/>
  <c r="N87" i="3" s="1" a="1"/>
  <c r="N87" i="3" s="1"/>
  <c r="E86" i="3"/>
  <c r="K86" i="3"/>
  <c r="M86" i="3" s="1"/>
  <c r="N86" i="3" s="1" a="1"/>
  <c r="N86" i="3" s="1"/>
  <c r="E85" i="3"/>
  <c r="K85" i="3"/>
  <c r="M85" i="3" s="1"/>
  <c r="N85" i="3" s="1" a="1"/>
  <c r="N85" i="3" s="1"/>
  <c r="E84" i="3"/>
  <c r="K84" i="3"/>
  <c r="M84" i="3" s="1"/>
  <c r="N84" i="3" s="1" a="1"/>
  <c r="N84" i="3" s="1"/>
  <c r="E83" i="3"/>
  <c r="K83" i="3"/>
  <c r="M83" i="3" s="1"/>
  <c r="N83" i="3" s="1" a="1"/>
  <c r="N83" i="3" s="1"/>
  <c r="E82" i="3"/>
  <c r="K82" i="3"/>
  <c r="M82" i="3" s="1"/>
  <c r="N82" i="3" s="1" a="1"/>
  <c r="N82" i="3" s="1"/>
  <c r="E81" i="3"/>
  <c r="K81" i="3"/>
  <c r="M81" i="3" s="1"/>
  <c r="N81" i="3" s="1" a="1"/>
  <c r="N81" i="3" s="1"/>
  <c r="E80" i="3"/>
  <c r="K80" i="3"/>
  <c r="M80" i="3" s="1"/>
  <c r="N80" i="3" s="1" a="1"/>
  <c r="N80" i="3" s="1"/>
  <c r="E79" i="3"/>
  <c r="K79" i="3"/>
  <c r="M79" i="3" s="1"/>
  <c r="N79" i="3" s="1" a="1"/>
  <c r="N79" i="3" s="1"/>
  <c r="E78" i="3"/>
  <c r="K78" i="3"/>
  <c r="M78" i="3" s="1"/>
  <c r="N78" i="3" s="1" a="1"/>
  <c r="N78" i="3" s="1"/>
  <c r="E77" i="3"/>
  <c r="K77" i="3"/>
  <c r="M77" i="3" s="1"/>
  <c r="N77" i="3" s="1" a="1"/>
  <c r="N77" i="3" s="1"/>
  <c r="E76" i="3"/>
  <c r="K76" i="3"/>
  <c r="M76" i="3" s="1"/>
  <c r="N76" i="3" s="1" a="1"/>
  <c r="N76" i="3" s="1"/>
  <c r="E75" i="3"/>
  <c r="K75" i="3"/>
  <c r="M75" i="3" s="1"/>
  <c r="N75" i="3" s="1" a="1"/>
  <c r="N75" i="3" s="1"/>
  <c r="E74" i="3"/>
  <c r="K74" i="3"/>
  <c r="M74" i="3" s="1"/>
  <c r="N74" i="3" s="1" a="1"/>
  <c r="N74" i="3" s="1"/>
  <c r="E73" i="3"/>
  <c r="K73" i="3"/>
  <c r="M73" i="3" s="1"/>
  <c r="N73" i="3" s="1" a="1"/>
  <c r="N73" i="3" s="1"/>
  <c r="E72" i="3"/>
  <c r="K72" i="3"/>
  <c r="M72" i="3" s="1"/>
  <c r="N72" i="3" s="1" a="1"/>
  <c r="N72" i="3" s="1"/>
  <c r="E67" i="3"/>
  <c r="K67" i="3"/>
  <c r="M67" i="3" s="1"/>
  <c r="N67" i="3" s="1" a="1"/>
  <c r="N67" i="3" s="1"/>
  <c r="L36" i="3"/>
  <c r="L35" i="3"/>
  <c r="L41" i="3"/>
  <c r="L45" i="3"/>
  <c r="E47" i="4" l="1"/>
  <c r="J45" i="4"/>
  <c r="I45" i="4"/>
  <c r="H46" i="4"/>
  <c r="H45" i="4"/>
  <c r="E45" i="4"/>
  <c r="D45" i="4"/>
  <c r="G48" i="4"/>
  <c r="G46" i="4"/>
  <c r="J48" i="4"/>
  <c r="E48" i="4"/>
  <c r="J47" i="4"/>
  <c r="H47" i="4"/>
  <c r="J46" i="4"/>
  <c r="E46" i="4"/>
  <c r="G47" i="4"/>
  <c r="I48" i="4"/>
  <c r="D48" i="4"/>
  <c r="I46" i="4"/>
  <c r="E71" i="3"/>
  <c r="K71" i="3"/>
  <c r="M71" i="3" s="1"/>
  <c r="N71" i="3" s="1" a="1"/>
  <c r="N71" i="3" s="1"/>
  <c r="E70" i="3"/>
  <c r="K70" i="3"/>
  <c r="M70" i="3" s="1"/>
  <c r="N70" i="3" s="1" a="1"/>
  <c r="N70" i="3" s="1"/>
  <c r="E69" i="3"/>
  <c r="K69" i="3"/>
  <c r="M69" i="3" s="1"/>
  <c r="N69" i="3" s="1" a="1"/>
  <c r="N69" i="3" s="1"/>
  <c r="E68" i="3"/>
  <c r="K68" i="3"/>
  <c r="M68" i="3" s="1"/>
  <c r="N68" i="3" s="1" a="1"/>
  <c r="N68" i="3" s="1"/>
  <c r="E66" i="3"/>
  <c r="K66" i="3"/>
  <c r="M66" i="3" s="1"/>
  <c r="N66" i="3" s="1" a="1"/>
  <c r="N66" i="3" s="1"/>
  <c r="K147" i="2"/>
  <c r="K148" i="2"/>
  <c r="K149" i="2"/>
  <c r="K150" i="2"/>
  <c r="K151" i="2"/>
  <c r="K152" i="2"/>
  <c r="K153" i="2"/>
  <c r="K154" i="2"/>
  <c r="K155" i="2"/>
  <c r="F155" i="2"/>
  <c r="F154" i="2"/>
  <c r="F153" i="2"/>
  <c r="F152" i="2"/>
  <c r="F151" i="2"/>
  <c r="F150" i="2"/>
  <c r="F149" i="2"/>
  <c r="F148" i="2"/>
  <c r="F147" i="2"/>
  <c r="L46" i="4" l="1"/>
  <c r="L45" i="4"/>
  <c r="K45" i="4"/>
  <c r="I47" i="4"/>
  <c r="L47" i="4" s="1"/>
  <c r="K46" i="4"/>
  <c r="L48" i="4"/>
  <c r="K48" i="4"/>
  <c r="C44" i="4"/>
  <c r="D44" i="4" s="1"/>
  <c r="F146" i="2"/>
  <c r="K146" i="2"/>
  <c r="F145" i="2"/>
  <c r="K145" i="2"/>
  <c r="F144" i="2"/>
  <c r="K144" i="2"/>
  <c r="F143" i="2"/>
  <c r="K143" i="2"/>
  <c r="F142" i="2"/>
  <c r="K142" i="2"/>
  <c r="F141" i="2"/>
  <c r="K141" i="2"/>
  <c r="F140" i="2"/>
  <c r="K140" i="2"/>
  <c r="E65" i="3"/>
  <c r="K65" i="3"/>
  <c r="M65" i="3" s="1"/>
  <c r="N65" i="3" s="1" a="1"/>
  <c r="N65" i="3" s="1"/>
  <c r="E64" i="3"/>
  <c r="K64" i="3"/>
  <c r="M64" i="3" s="1"/>
  <c r="N64" i="3" s="1" a="1"/>
  <c r="N64" i="3" s="1"/>
  <c r="E63" i="3"/>
  <c r="K63" i="3"/>
  <c r="M63" i="3" s="1"/>
  <c r="N63" i="3" s="1" a="1"/>
  <c r="N63" i="3" s="1"/>
  <c r="E62" i="3"/>
  <c r="M62" i="3"/>
  <c r="N62" i="3" s="1" a="1"/>
  <c r="N62" i="3" s="1"/>
  <c r="K47" i="4" l="1"/>
  <c r="E44" i="4"/>
  <c r="J44" i="4"/>
  <c r="I44" i="4"/>
  <c r="H44" i="4"/>
  <c r="G44" i="4"/>
  <c r="K44" i="4" l="1"/>
  <c r="L44" i="4"/>
  <c r="F139" i="2" l="1"/>
  <c r="K139" i="2"/>
  <c r="F138" i="2"/>
  <c r="K138" i="2"/>
  <c r="E61" i="3"/>
  <c r="K61" i="3"/>
  <c r="M61" i="3" s="1"/>
  <c r="N61" i="3" s="1" a="1"/>
  <c r="N61" i="3" s="1"/>
  <c r="E60" i="3" l="1"/>
  <c r="K60" i="3"/>
  <c r="M60" i="3" s="1"/>
  <c r="N60" i="3" s="1" a="1"/>
  <c r="N60" i="3" s="1"/>
  <c r="E59" i="3"/>
  <c r="K59" i="3"/>
  <c r="M59" i="3" s="1"/>
  <c r="N59" i="3" s="1" a="1"/>
  <c r="N59" i="3" s="1"/>
  <c r="E58" i="3"/>
  <c r="K58" i="3"/>
  <c r="M58" i="3" s="1"/>
  <c r="N58" i="3" s="1" a="1"/>
  <c r="N58" i="3" s="1"/>
  <c r="E57" i="3"/>
  <c r="K57" i="3"/>
  <c r="M57" i="3" s="1"/>
  <c r="N57" i="3" s="1" a="1"/>
  <c r="N57" i="3" s="1"/>
  <c r="E56" i="3"/>
  <c r="K56" i="3"/>
  <c r="M56" i="3" s="1"/>
  <c r="N56" i="3" s="1" a="1"/>
  <c r="N56" i="3" s="1"/>
  <c r="F137" i="2"/>
  <c r="F136" i="2"/>
  <c r="K137" i="2"/>
  <c r="F135" i="2"/>
  <c r="K135" i="2"/>
  <c r="K136" i="2"/>
  <c r="F129" i="2"/>
  <c r="F130" i="2"/>
  <c r="F131" i="2"/>
  <c r="F132" i="2"/>
  <c r="F133" i="2"/>
  <c r="F134" i="2"/>
  <c r="K129" i="2"/>
  <c r="K130" i="2"/>
  <c r="K131" i="2"/>
  <c r="K132" i="2"/>
  <c r="K133" i="2"/>
  <c r="K134" i="2"/>
  <c r="F128" i="2"/>
  <c r="K128" i="2"/>
  <c r="F122" i="2"/>
  <c r="F127" i="2"/>
  <c r="K127" i="2"/>
  <c r="F126" i="2"/>
  <c r="K126" i="2"/>
  <c r="L37" i="3"/>
  <c r="L32" i="3"/>
  <c r="C41" i="4" l="1"/>
  <c r="I41" i="4" s="1"/>
  <c r="C42" i="4"/>
  <c r="D42" i="4" s="1"/>
  <c r="C43" i="4"/>
  <c r="D43" i="4" s="1"/>
  <c r="F121" i="2"/>
  <c r="F123" i="2"/>
  <c r="F124" i="2"/>
  <c r="F125" i="2"/>
  <c r="K121" i="2"/>
  <c r="K122" i="2"/>
  <c r="K123" i="2"/>
  <c r="K124" i="2"/>
  <c r="K125" i="2"/>
  <c r="F120" i="2"/>
  <c r="K120" i="2"/>
  <c r="J42" i="4" l="1"/>
  <c r="I42" i="4"/>
  <c r="E41" i="4"/>
  <c r="J41" i="4"/>
  <c r="L41" i="4" s="1"/>
  <c r="G41" i="4"/>
  <c r="H42" i="4"/>
  <c r="G42" i="4"/>
  <c r="E42" i="4"/>
  <c r="H41" i="4"/>
  <c r="J43" i="4"/>
  <c r="I43" i="4"/>
  <c r="H43" i="4"/>
  <c r="D41" i="4"/>
  <c r="G43" i="4"/>
  <c r="E43" i="4"/>
  <c r="K42" i="4" l="1"/>
  <c r="L42" i="4"/>
  <c r="K41" i="4"/>
  <c r="L43" i="4"/>
  <c r="K43" i="4"/>
  <c r="F119" i="2" l="1"/>
  <c r="K119" i="2"/>
  <c r="F118" i="2"/>
  <c r="K118" i="2"/>
  <c r="I10" i="1" l="1"/>
  <c r="F117" i="2"/>
  <c r="C40" i="4"/>
  <c r="J40" i="4" s="1"/>
  <c r="K117" i="2"/>
  <c r="E55" i="3"/>
  <c r="K55" i="3"/>
  <c r="M55" i="3" s="1"/>
  <c r="N55" i="3" s="1" a="1"/>
  <c r="N55" i="3" s="1"/>
  <c r="E54" i="3"/>
  <c r="K54" i="3"/>
  <c r="M54" i="3" s="1"/>
  <c r="N54" i="3" s="1" a="1"/>
  <c r="N54" i="3" s="1"/>
  <c r="E53" i="3"/>
  <c r="K53" i="3"/>
  <c r="M53" i="3" s="1"/>
  <c r="N53" i="3" s="1" a="1"/>
  <c r="N53" i="3" s="1"/>
  <c r="C38" i="4"/>
  <c r="D38" i="4" s="1"/>
  <c r="C39" i="4"/>
  <c r="G39" i="4" s="1"/>
  <c r="F116" i="2"/>
  <c r="K116" i="2"/>
  <c r="F115" i="2"/>
  <c r="K115" i="2"/>
  <c r="F114" i="2"/>
  <c r="K114" i="2"/>
  <c r="F113" i="2"/>
  <c r="K113" i="2"/>
  <c r="F112" i="2"/>
  <c r="K112" i="2"/>
  <c r="F111" i="2"/>
  <c r="K111" i="2"/>
  <c r="F110" i="2"/>
  <c r="K110" i="2"/>
  <c r="H40" i="4" l="1"/>
  <c r="E40" i="4"/>
  <c r="I40" i="4"/>
  <c r="L40" i="4" s="1"/>
  <c r="G40" i="4"/>
  <c r="D40" i="4"/>
  <c r="H38" i="4"/>
  <c r="H39" i="4"/>
  <c r="G38" i="4"/>
  <c r="J39" i="4"/>
  <c r="E39" i="4"/>
  <c r="J38" i="4"/>
  <c r="E38" i="4"/>
  <c r="I39" i="4"/>
  <c r="D39" i="4"/>
  <c r="I38" i="4"/>
  <c r="K40" i="4" l="1"/>
  <c r="K39" i="4"/>
  <c r="K38" i="4"/>
  <c r="L38" i="4"/>
  <c r="L39" i="4"/>
  <c r="E52" i="3" l="1"/>
  <c r="K52" i="3"/>
  <c r="M52" i="3" s="1"/>
  <c r="N52" i="3" s="1" a="1"/>
  <c r="N52" i="3" s="1"/>
  <c r="F109" i="2"/>
  <c r="K109" i="2"/>
  <c r="F108" i="2"/>
  <c r="K108" i="2"/>
  <c r="E51" i="3"/>
  <c r="K51" i="3"/>
  <c r="M51" i="3" s="1"/>
  <c r="N51" i="3" s="1" a="1"/>
  <c r="N51" i="3" s="1"/>
  <c r="E50" i="3"/>
  <c r="K50" i="3"/>
  <c r="M50" i="3" s="1"/>
  <c r="N50" i="3" s="1" a="1"/>
  <c r="N50" i="3" s="1"/>
  <c r="E49" i="3"/>
  <c r="K49" i="3"/>
  <c r="M49" i="3" s="1"/>
  <c r="N49" i="3" s="1" a="1"/>
  <c r="N49" i="3" s="1"/>
  <c r="E48" i="3"/>
  <c r="K48" i="3"/>
  <c r="M48" i="3" s="1"/>
  <c r="N48" i="3" s="1" a="1"/>
  <c r="N48" i="3" s="1"/>
  <c r="F107" i="2"/>
  <c r="K107" i="2"/>
  <c r="F106" i="2"/>
  <c r="K106" i="2"/>
  <c r="J3" i="3" l="1"/>
  <c r="I3" i="3"/>
  <c r="H3" i="3"/>
  <c r="F105" i="2"/>
  <c r="K105" i="2"/>
  <c r="F104" i="2"/>
  <c r="K104" i="2"/>
  <c r="F103" i="2"/>
  <c r="K103" i="2"/>
  <c r="K47" i="3"/>
  <c r="M47" i="3" s="1"/>
  <c r="N47" i="3" s="1" a="1"/>
  <c r="N47" i="3" s="1"/>
  <c r="E47" i="3"/>
  <c r="K46" i="3"/>
  <c r="M46" i="3" s="1"/>
  <c r="N46" i="3" s="1" a="1"/>
  <c r="N46" i="3" s="1"/>
  <c r="E46" i="3"/>
  <c r="C36" i="4" l="1"/>
  <c r="E36" i="4" s="1"/>
  <c r="C37" i="4"/>
  <c r="D37" i="4" s="1"/>
  <c r="F102" i="2"/>
  <c r="K102" i="2"/>
  <c r="F101" i="2"/>
  <c r="K101" i="2"/>
  <c r="F100" i="2"/>
  <c r="K100" i="2"/>
  <c r="F99" i="2"/>
  <c r="K43" i="3"/>
  <c r="M43" i="3" s="1"/>
  <c r="N43" i="3" s="1" a="1"/>
  <c r="N43" i="3" s="1"/>
  <c r="K44" i="3"/>
  <c r="M44" i="3" s="1"/>
  <c r="N44" i="3" s="1" a="1"/>
  <c r="N44" i="3" s="1"/>
  <c r="K45" i="3"/>
  <c r="M45" i="3" s="1"/>
  <c r="N45" i="3" s="1" a="1"/>
  <c r="N45" i="3" s="1"/>
  <c r="C12" i="4"/>
  <c r="E43" i="3"/>
  <c r="E44" i="3"/>
  <c r="E45" i="3"/>
  <c r="K42" i="3"/>
  <c r="M42" i="3" s="1"/>
  <c r="N42" i="3" s="1" a="1"/>
  <c r="N42" i="3" s="1"/>
  <c r="E42" i="3"/>
  <c r="L28" i="3"/>
  <c r="J36" i="4" l="1"/>
  <c r="I37" i="4"/>
  <c r="E37" i="4"/>
  <c r="I36" i="4"/>
  <c r="D36" i="4"/>
  <c r="H37" i="4"/>
  <c r="H36" i="4"/>
  <c r="G37" i="4"/>
  <c r="G36" i="4"/>
  <c r="J37" i="4"/>
  <c r="L36" i="4" l="1"/>
  <c r="L37" i="4"/>
  <c r="K36" i="4"/>
  <c r="K37" i="4"/>
  <c r="E5" i="1" l="1"/>
  <c r="C34" i="4"/>
  <c r="D34" i="4" s="1"/>
  <c r="C35" i="4"/>
  <c r="H35" i="4" s="1"/>
  <c r="C29" i="4"/>
  <c r="E29" i="4" s="1"/>
  <c r="C30" i="4"/>
  <c r="J30" i="4" s="1"/>
  <c r="C31" i="4"/>
  <c r="I31" i="4" s="1"/>
  <c r="C32" i="4"/>
  <c r="G32" i="4" s="1"/>
  <c r="C33" i="4"/>
  <c r="H33" i="4" s="1"/>
  <c r="K5" i="2"/>
  <c r="K6" i="2"/>
  <c r="K7" i="2"/>
  <c r="K9" i="2"/>
  <c r="K11" i="2"/>
  <c r="K12" i="2"/>
  <c r="K13" i="2"/>
  <c r="K14" i="2"/>
  <c r="K15" i="2"/>
  <c r="K18" i="2"/>
  <c r="K19" i="2"/>
  <c r="K21" i="2"/>
  <c r="K22" i="2"/>
  <c r="K25" i="2"/>
  <c r="K26" i="2"/>
  <c r="K27" i="2"/>
  <c r="K29" i="2"/>
  <c r="K30" i="2"/>
  <c r="K31" i="2"/>
  <c r="K35" i="2"/>
  <c r="K36" i="2"/>
  <c r="K37" i="2"/>
  <c r="K40" i="2"/>
  <c r="K41" i="2"/>
  <c r="K42" i="2"/>
  <c r="K43" i="2"/>
  <c r="K45" i="2"/>
  <c r="K46" i="2"/>
  <c r="K47" i="2"/>
  <c r="K48" i="2"/>
  <c r="K49" i="2"/>
  <c r="K50" i="2"/>
  <c r="K52" i="2"/>
  <c r="K53" i="2"/>
  <c r="K55" i="2"/>
  <c r="K56" i="2"/>
  <c r="K57" i="2"/>
  <c r="K58" i="2"/>
  <c r="K59" i="2"/>
  <c r="K62" i="2"/>
  <c r="K63" i="2"/>
  <c r="K64" i="2"/>
  <c r="K65" i="2"/>
  <c r="K66" i="2"/>
  <c r="K67" i="2"/>
  <c r="K68" i="2"/>
  <c r="K69" i="2"/>
  <c r="K70" i="2"/>
  <c r="K72" i="2"/>
  <c r="K73" i="2"/>
  <c r="K74" i="2"/>
  <c r="K75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E5" i="3"/>
  <c r="L25" i="3"/>
  <c r="L10" i="3"/>
  <c r="L14" i="3"/>
  <c r="E37" i="3"/>
  <c r="L5" i="3"/>
  <c r="L3" i="3" s="1"/>
  <c r="K6" i="3"/>
  <c r="M6" i="3" s="1"/>
  <c r="N6" i="3" s="1" a="1"/>
  <c r="N6" i="3" s="1"/>
  <c r="K7" i="3"/>
  <c r="M7" i="3" s="1"/>
  <c r="N7" i="3" s="1" a="1"/>
  <c r="N7" i="3" s="1"/>
  <c r="K8" i="3"/>
  <c r="M8" i="3" s="1"/>
  <c r="N8" i="3" s="1" a="1"/>
  <c r="N8" i="3" s="1"/>
  <c r="K9" i="3"/>
  <c r="M9" i="3" s="1"/>
  <c r="N9" i="3" s="1" a="1"/>
  <c r="N9" i="3" s="1"/>
  <c r="K10" i="3"/>
  <c r="K11" i="3"/>
  <c r="M11" i="3" s="1"/>
  <c r="N11" i="3" s="1" a="1"/>
  <c r="N11" i="3" s="1"/>
  <c r="K12" i="3"/>
  <c r="M12" i="3" s="1"/>
  <c r="N12" i="3" s="1" a="1"/>
  <c r="N12" i="3" s="1"/>
  <c r="K13" i="3"/>
  <c r="M13" i="3" s="1"/>
  <c r="N13" i="3" s="1" a="1"/>
  <c r="N13" i="3" s="1"/>
  <c r="K14" i="3"/>
  <c r="K15" i="3"/>
  <c r="M15" i="3" s="1"/>
  <c r="N15" i="3" s="1" a="1"/>
  <c r="N15" i="3" s="1"/>
  <c r="K16" i="3"/>
  <c r="M16" i="3" s="1"/>
  <c r="N16" i="3" s="1" a="1"/>
  <c r="N16" i="3" s="1"/>
  <c r="K17" i="3"/>
  <c r="M17" i="3" s="1"/>
  <c r="N17" i="3" s="1" a="1"/>
  <c r="N17" i="3" s="1"/>
  <c r="K18" i="3"/>
  <c r="M18" i="3" s="1"/>
  <c r="N18" i="3" s="1" a="1"/>
  <c r="N18" i="3" s="1"/>
  <c r="K19" i="3"/>
  <c r="M19" i="3" s="1"/>
  <c r="N19" i="3" s="1" a="1"/>
  <c r="N19" i="3" s="1"/>
  <c r="K20" i="3"/>
  <c r="M20" i="3" s="1"/>
  <c r="N20" i="3" s="1" a="1"/>
  <c r="N20" i="3" s="1"/>
  <c r="K21" i="3"/>
  <c r="M21" i="3" s="1"/>
  <c r="N21" i="3" s="1" a="1"/>
  <c r="N21" i="3" s="1"/>
  <c r="K22" i="3"/>
  <c r="M22" i="3" s="1"/>
  <c r="N22" i="3" s="1" a="1"/>
  <c r="N22" i="3" s="1"/>
  <c r="K23" i="3"/>
  <c r="M23" i="3" s="1"/>
  <c r="N23" i="3" s="1" a="1"/>
  <c r="N23" i="3" s="1"/>
  <c r="K24" i="3"/>
  <c r="M24" i="3" s="1"/>
  <c r="N24" i="3" s="1" a="1"/>
  <c r="N24" i="3" s="1"/>
  <c r="K25" i="3"/>
  <c r="M25" i="3" s="1"/>
  <c r="N25" i="3" s="1" a="1"/>
  <c r="N25" i="3" s="1"/>
  <c r="K26" i="3"/>
  <c r="M26" i="3" s="1"/>
  <c r="N26" i="3" s="1" a="1"/>
  <c r="N26" i="3" s="1"/>
  <c r="K27" i="3"/>
  <c r="M27" i="3" s="1"/>
  <c r="N27" i="3" s="1" a="1"/>
  <c r="N27" i="3" s="1"/>
  <c r="K28" i="3"/>
  <c r="M28" i="3" s="1"/>
  <c r="N28" i="3" s="1" a="1"/>
  <c r="N28" i="3" s="1"/>
  <c r="K29" i="3"/>
  <c r="M29" i="3" s="1"/>
  <c r="N29" i="3" s="1" a="1"/>
  <c r="N29" i="3" s="1"/>
  <c r="K30" i="3"/>
  <c r="M30" i="3" s="1"/>
  <c r="N30" i="3" s="1" a="1"/>
  <c r="N30" i="3" s="1"/>
  <c r="K31" i="3"/>
  <c r="M31" i="3" s="1"/>
  <c r="N31" i="3" s="1" a="1"/>
  <c r="N31" i="3" s="1"/>
  <c r="K32" i="3"/>
  <c r="M32" i="3" s="1"/>
  <c r="N32" i="3" s="1" a="1"/>
  <c r="N32" i="3" s="1"/>
  <c r="K33" i="3"/>
  <c r="M33" i="3" s="1"/>
  <c r="N33" i="3" s="1" a="1"/>
  <c r="N33" i="3" s="1"/>
  <c r="K34" i="3"/>
  <c r="M34" i="3" s="1"/>
  <c r="N34" i="3" s="1" a="1"/>
  <c r="N34" i="3" s="1"/>
  <c r="K35" i="3"/>
  <c r="M35" i="3" s="1"/>
  <c r="N35" i="3" s="1" a="1"/>
  <c r="N35" i="3" s="1"/>
  <c r="K36" i="3"/>
  <c r="M36" i="3" s="1"/>
  <c r="N36" i="3" s="1" a="1"/>
  <c r="N36" i="3" s="1"/>
  <c r="K37" i="3"/>
  <c r="M37" i="3" s="1"/>
  <c r="N37" i="3" s="1" a="1"/>
  <c r="N37" i="3" s="1"/>
  <c r="K38" i="3"/>
  <c r="M38" i="3" s="1"/>
  <c r="N38" i="3" s="1" a="1"/>
  <c r="N38" i="3" s="1"/>
  <c r="K39" i="3"/>
  <c r="M39" i="3" s="1"/>
  <c r="N39" i="3" s="1" a="1"/>
  <c r="N39" i="3" s="1"/>
  <c r="K40" i="3"/>
  <c r="M40" i="3" s="1"/>
  <c r="N40" i="3" s="1" a="1"/>
  <c r="N40" i="3" s="1"/>
  <c r="K41" i="3"/>
  <c r="M41" i="3" s="1"/>
  <c r="N41" i="3" s="1" a="1"/>
  <c r="N41" i="3" s="1"/>
  <c r="K5" i="3"/>
  <c r="M10" i="3" l="1"/>
  <c r="N10" i="3" s="1" a="1"/>
  <c r="N10" i="3" s="1"/>
  <c r="M5" i="3"/>
  <c r="N5" i="3" s="1" a="1"/>
  <c r="N5" i="3" s="1"/>
  <c r="M14" i="3"/>
  <c r="N14" i="3" s="1" a="1"/>
  <c r="N14" i="3" s="1"/>
  <c r="K3" i="3"/>
  <c r="H32" i="4"/>
  <c r="I29" i="4"/>
  <c r="D31" i="4"/>
  <c r="H29" i="4"/>
  <c r="J34" i="4"/>
  <c r="J32" i="4"/>
  <c r="G31" i="4"/>
  <c r="I34" i="4"/>
  <c r="H31" i="4"/>
  <c r="J31" i="4"/>
  <c r="K31" i="4" s="1"/>
  <c r="G29" i="4"/>
  <c r="J29" i="4"/>
  <c r="E31" i="4"/>
  <c r="I32" i="4"/>
  <c r="D32" i="4"/>
  <c r="I35" i="4"/>
  <c r="E33" i="4"/>
  <c r="D30" i="4"/>
  <c r="I33" i="4"/>
  <c r="H30" i="4"/>
  <c r="E32" i="4"/>
  <c r="D29" i="4"/>
  <c r="H34" i="4"/>
  <c r="G35" i="4"/>
  <c r="G33" i="4"/>
  <c r="E30" i="4"/>
  <c r="G34" i="4"/>
  <c r="J33" i="4"/>
  <c r="I30" i="4"/>
  <c r="L30" i="4" s="1"/>
  <c r="J35" i="4"/>
  <c r="E35" i="4"/>
  <c r="D33" i="4"/>
  <c r="E34" i="4"/>
  <c r="D35" i="4"/>
  <c r="G30" i="4"/>
  <c r="L31" i="4" l="1"/>
  <c r="L29" i="4"/>
  <c r="L32" i="4"/>
  <c r="K32" i="4"/>
  <c r="L34" i="4"/>
  <c r="K29" i="4"/>
  <c r="K34" i="4"/>
  <c r="K33" i="4"/>
  <c r="K35" i="4"/>
  <c r="L33" i="4"/>
  <c r="K30" i="4"/>
  <c r="L35" i="4"/>
  <c r="E34" i="3"/>
  <c r="E35" i="3"/>
  <c r="E36" i="3"/>
  <c r="E38" i="3"/>
  <c r="E39" i="3"/>
  <c r="E40" i="3"/>
  <c r="E41" i="3"/>
  <c r="E23" i="3"/>
  <c r="E24" i="3"/>
  <c r="E25" i="3"/>
  <c r="E26" i="3"/>
  <c r="E27" i="3"/>
  <c r="E28" i="3"/>
  <c r="E29" i="3"/>
  <c r="E30" i="3"/>
  <c r="E31" i="3"/>
  <c r="E32" i="3"/>
  <c r="E33" i="3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A10" i="1"/>
  <c r="I5" i="1"/>
  <c r="G5" i="1"/>
  <c r="C5" i="1"/>
  <c r="C28" i="4"/>
  <c r="D28" i="4" s="1"/>
  <c r="C27" i="4"/>
  <c r="D27" i="4" s="1"/>
  <c r="C6" i="4"/>
  <c r="D6" i="4" s="1"/>
  <c r="C7" i="4"/>
  <c r="D7" i="4" s="1"/>
  <c r="C8" i="4"/>
  <c r="D8" i="4" s="1"/>
  <c r="C9" i="4"/>
  <c r="J9" i="4" s="1"/>
  <c r="C10" i="4"/>
  <c r="D10" i="4" s="1"/>
  <c r="C11" i="4"/>
  <c r="H11" i="4" s="1"/>
  <c r="D12" i="4"/>
  <c r="C13" i="4"/>
  <c r="D13" i="4" s="1"/>
  <c r="C14" i="4"/>
  <c r="D14" i="4" s="1"/>
  <c r="C15" i="4"/>
  <c r="D15" i="4" s="1"/>
  <c r="C16" i="4"/>
  <c r="J16" i="4" s="1"/>
  <c r="C17" i="4"/>
  <c r="I17" i="4" s="1"/>
  <c r="C18" i="4"/>
  <c r="I18" i="4" s="1"/>
  <c r="C19" i="4"/>
  <c r="J19" i="4" s="1"/>
  <c r="C20" i="4"/>
  <c r="D20" i="4" s="1"/>
  <c r="C21" i="4"/>
  <c r="J21" i="4" s="1"/>
  <c r="C22" i="4"/>
  <c r="D22" i="4" s="1"/>
  <c r="C23" i="4"/>
  <c r="J23" i="4" s="1"/>
  <c r="C24" i="4"/>
  <c r="I24" i="4" s="1"/>
  <c r="C25" i="4"/>
  <c r="D25" i="4" s="1"/>
  <c r="C26" i="4"/>
  <c r="J26" i="4" s="1"/>
  <c r="C5" i="4"/>
  <c r="J5" i="4" s="1"/>
  <c r="M3" i="3" l="1"/>
  <c r="I28" i="4"/>
  <c r="K5" i="1"/>
  <c r="E10" i="1"/>
  <c r="C10" i="1"/>
  <c r="G27" i="4"/>
  <c r="I27" i="4"/>
  <c r="G12" i="4"/>
  <c r="D9" i="4"/>
  <c r="E18" i="4"/>
  <c r="E17" i="4"/>
  <c r="G10" i="4"/>
  <c r="I26" i="4"/>
  <c r="J17" i="4"/>
  <c r="E11" i="4"/>
  <c r="G9" i="4"/>
  <c r="I19" i="4"/>
  <c r="J11" i="4"/>
  <c r="D17" i="4"/>
  <c r="G28" i="4"/>
  <c r="H19" i="4"/>
  <c r="I12" i="4"/>
  <c r="E19" i="4"/>
  <c r="G11" i="4"/>
  <c r="H18" i="4"/>
  <c r="I11" i="4"/>
  <c r="D26" i="4"/>
  <c r="G26" i="4"/>
  <c r="H17" i="4"/>
  <c r="I10" i="4"/>
  <c r="J18" i="4"/>
  <c r="D19" i="4"/>
  <c r="D11" i="4"/>
  <c r="G19" i="4"/>
  <c r="I9" i="4"/>
  <c r="I25" i="4"/>
  <c r="G25" i="4"/>
  <c r="J20" i="4"/>
  <c r="H20" i="4"/>
  <c r="E20" i="4"/>
  <c r="D23" i="4"/>
  <c r="D18" i="4"/>
  <c r="E28" i="4"/>
  <c r="E12" i="4"/>
  <c r="G20" i="4"/>
  <c r="H28" i="4"/>
  <c r="H12" i="4"/>
  <c r="I20" i="4"/>
  <c r="J28" i="4"/>
  <c r="J12" i="4"/>
  <c r="E27" i="4"/>
  <c r="H27" i="4"/>
  <c r="J27" i="4"/>
  <c r="E26" i="4"/>
  <c r="E10" i="4"/>
  <c r="G18" i="4"/>
  <c r="H26" i="4"/>
  <c r="H10" i="4"/>
  <c r="J10" i="4"/>
  <c r="D21" i="4"/>
  <c r="E25" i="4"/>
  <c r="E9" i="4"/>
  <c r="G17" i="4"/>
  <c r="H25" i="4"/>
  <c r="H9" i="4"/>
  <c r="J25" i="4"/>
  <c r="D16" i="4"/>
  <c r="E8" i="4"/>
  <c r="G8" i="4"/>
  <c r="E23" i="4"/>
  <c r="E15" i="4"/>
  <c r="E7" i="4"/>
  <c r="G23" i="4"/>
  <c r="G15" i="4"/>
  <c r="G7" i="4"/>
  <c r="H23" i="4"/>
  <c r="H15" i="4"/>
  <c r="H7" i="4"/>
  <c r="I23" i="4"/>
  <c r="K23" i="4" s="1"/>
  <c r="I15" i="4"/>
  <c r="I7" i="4"/>
  <c r="J15" i="4"/>
  <c r="J7" i="4"/>
  <c r="E24" i="4"/>
  <c r="G24" i="4"/>
  <c r="H24" i="4"/>
  <c r="H8" i="4"/>
  <c r="I16" i="4"/>
  <c r="J24" i="4"/>
  <c r="J8" i="4"/>
  <c r="D24" i="4"/>
  <c r="E22" i="4"/>
  <c r="E14" i="4"/>
  <c r="E6" i="4"/>
  <c r="G22" i="4"/>
  <c r="G14" i="4"/>
  <c r="G6" i="4"/>
  <c r="H22" i="4"/>
  <c r="H14" i="4"/>
  <c r="H6" i="4"/>
  <c r="I22" i="4"/>
  <c r="I14" i="4"/>
  <c r="I6" i="4"/>
  <c r="J22" i="4"/>
  <c r="J14" i="4"/>
  <c r="J6" i="4"/>
  <c r="E16" i="4"/>
  <c r="G16" i="4"/>
  <c r="H16" i="4"/>
  <c r="I8" i="4"/>
  <c r="E21" i="4"/>
  <c r="E13" i="4"/>
  <c r="E5" i="4"/>
  <c r="G21" i="4"/>
  <c r="G13" i="4"/>
  <c r="G5" i="4"/>
  <c r="H21" i="4"/>
  <c r="H13" i="4"/>
  <c r="H5" i="4"/>
  <c r="I21" i="4"/>
  <c r="I13" i="4"/>
  <c r="I5" i="4"/>
  <c r="J13" i="4"/>
  <c r="L28" i="4" l="1"/>
  <c r="G10" i="1"/>
  <c r="K27" i="4"/>
  <c r="K28" i="4"/>
  <c r="L27" i="4"/>
  <c r="J3" i="4"/>
  <c r="I3" i="4"/>
  <c r="H3" i="4"/>
  <c r="G3" i="4"/>
  <c r="E3" i="4"/>
  <c r="D5" i="4" l="1"/>
  <c r="E6" i="3" l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5" i="2"/>
  <c r="K24" i="4" l="1"/>
  <c r="L21" i="4"/>
  <c r="K16" i="4"/>
  <c r="K20" i="4" l="1"/>
  <c r="L5" i="4"/>
  <c r="K7" i="4"/>
  <c r="K15" i="4"/>
  <c r="K6" i="4"/>
  <c r="K8" i="4"/>
  <c r="K14" i="4"/>
  <c r="L17" i="4"/>
  <c r="L11" i="4"/>
  <c r="L23" i="4"/>
  <c r="L9" i="4"/>
  <c r="L12" i="4"/>
  <c r="K17" i="4"/>
  <c r="L20" i="4"/>
  <c r="K25" i="4"/>
  <c r="K13" i="4"/>
  <c r="K21" i="4"/>
  <c r="L13" i="4"/>
  <c r="K9" i="4"/>
  <c r="L8" i="4"/>
  <c r="K12" i="4"/>
  <c r="L19" i="4"/>
  <c r="L15" i="4"/>
  <c r="L22" i="4"/>
  <c r="L25" i="4"/>
  <c r="L18" i="4"/>
  <c r="L7" i="4"/>
  <c r="L14" i="4"/>
  <c r="L24" i="4"/>
  <c r="L6" i="4"/>
  <c r="L16" i="4"/>
  <c r="L26" i="4"/>
  <c r="K11" i="4"/>
  <c r="K19" i="4"/>
  <c r="K10" i="4"/>
  <c r="K18" i="4"/>
  <c r="K26" i="4"/>
  <c r="L10" i="4"/>
  <c r="K22" i="4"/>
  <c r="K5" i="4"/>
  <c r="K3" i="4" l="1"/>
  <c r="K211" i="2"/>
  <c r="F12" i="4" s="1"/>
  <c r="K10" i="1"/>
  <c r="A5" i="1"/>
  <c r="F41" i="4" l="1"/>
  <c r="F32" i="4"/>
  <c r="F21" i="4"/>
  <c r="F6" i="4"/>
  <c r="F50" i="4"/>
  <c r="F39" i="4"/>
  <c r="F48" i="4"/>
  <c r="F29" i="4"/>
  <c r="F18" i="4"/>
  <c r="F8" i="4"/>
  <c r="F20" i="4"/>
  <c r="F45" i="4"/>
  <c r="F33" i="4"/>
  <c r="F28" i="4"/>
  <c r="F34" i="4"/>
  <c r="F23" i="4"/>
  <c r="F37" i="4"/>
  <c r="F25" i="4"/>
  <c r="F22" i="4"/>
  <c r="F40" i="4"/>
  <c r="F38" i="4"/>
  <c r="F7" i="4"/>
  <c r="F15" i="4"/>
  <c r="F30" i="4"/>
  <c r="F26" i="4"/>
  <c r="F11" i="4"/>
  <c r="F17" i="4"/>
  <c r="F24" i="4"/>
  <c r="F14" i="4"/>
  <c r="F19" i="4"/>
  <c r="F16" i="4"/>
  <c r="F42" i="4"/>
  <c r="F5" i="4"/>
  <c r="F36" i="4"/>
  <c r="F35" i="4"/>
  <c r="F27" i="4"/>
  <c r="F49" i="4"/>
  <c r="F46" i="4"/>
  <c r="F13" i="4"/>
  <c r="F31" i="4"/>
  <c r="F10" i="4"/>
  <c r="F43" i="4"/>
  <c r="F47" i="4"/>
  <c r="F9" i="4"/>
  <c r="F44" i="4"/>
  <c r="F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tc={49EAC73E-3278-4A00-8546-DA413827C04F}</author>
  </authors>
  <commentList>
    <comment ref="D119" authorId="0" shapeId="0" xr:uid="{49EAC73E-3278-4A00-8546-DA413827C04F}">
      <text>
        <r>
          <rPr>
            <sz val="11"/>
            <color theme="1"/>
            <rFont val="Calibri"/>
            <family val="2"/>
            <charset val="1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Mr ISAAC de Mme KADIATOU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<sst xmlns="http://schemas.openxmlformats.org/spreadsheetml/2006/main" count="2536" uniqueCount="957">
  <si>
    <t>BONS DE COMMANDE EMIS</t>
  </si>
  <si>
    <t>CAMIONS DECHARGES</t>
  </si>
  <si>
    <t>EN ATTENTE DE DECHARGEMENT</t>
  </si>
  <si>
    <t>POIDS NET TOTAL LIVRE (KG)</t>
  </si>
  <si>
    <t>MONTANT TOTAL ACHATS (FCFA)</t>
  </si>
  <si>
    <t>SOLDE RESTANT DU (FCFA)</t>
  </si>
  <si>
    <t>MONTANT PAYE (FCFA)</t>
  </si>
  <si>
    <t>% MONTANT PAYE</t>
  </si>
  <si>
    <t>LIVRAISONS NON PAYEES</t>
  </si>
  <si>
    <t>LIVRAISONS PARTIELLEMENT PAYEES</t>
  </si>
  <si>
    <t>FOURNISSEURS ACTIFS</t>
  </si>
  <si>
    <t>ECARTS PO/CAMION A VERIFIER</t>
  </si>
  <si>
    <t>Fournisseur</t>
  </si>
  <si>
    <t>Montant Du</t>
  </si>
  <si>
    <t>Statut Paiement</t>
  </si>
  <si>
    <t>Date</t>
  </si>
  <si>
    <t>N° BC</t>
  </si>
  <si>
    <t>N° Camion</t>
  </si>
  <si>
    <t>Contact Chauffeur</t>
  </si>
  <si>
    <t>Verdict Labo</t>
  </si>
  <si>
    <t>Poids Net (KG)</t>
  </si>
  <si>
    <t>Statut Livraison</t>
  </si>
  <si>
    <t>COMMANDES DECHARGEES &amp; PAIEMENTS</t>
  </si>
  <si>
    <t>Date Dechargement</t>
  </si>
  <si>
    <t>Nb Sacs</t>
  </si>
  <si>
    <t>PU (FCFA/KG)</t>
  </si>
  <si>
    <t>Montant Paye</t>
  </si>
  <si>
    <t>Solde Restant</t>
  </si>
  <si>
    <t>Lieu Stockage</t>
  </si>
  <si>
    <t>RELEVE DE COMPTES PAR FOURNISSEUR</t>
  </si>
  <si>
    <t>Nb BC Passes</t>
  </si>
  <si>
    <t>Nb Camions Livres</t>
  </si>
  <si>
    <t>Poids Net Livre (KG)</t>
  </si>
  <si>
    <t>Montant Total Du (FCFA)</t>
  </si>
  <si>
    <t>Montant Paye (FCFA)</t>
  </si>
  <si>
    <t>Solde Restant Du (FCFA)</t>
  </si>
  <si>
    <t>% Paye</t>
  </si>
  <si>
    <t>AHEGNI CASIMIR</t>
  </si>
  <si>
    <t>AHOSSI GABIN</t>
  </si>
  <si>
    <t>BADAROU SAID</t>
  </si>
  <si>
    <t>BRISSO BIO ALIDOU</t>
  </si>
  <si>
    <t>CHIGBLO FERDINAND</t>
  </si>
  <si>
    <t>COMLAN MAHOUSSE JOSPIN</t>
  </si>
  <si>
    <t>DOSSA MATHURIN</t>
  </si>
  <si>
    <t>FIOGBE</t>
  </si>
  <si>
    <t>GBAGBE MATHIAS</t>
  </si>
  <si>
    <t>GOUDO DOSSOU ROMAIN</t>
  </si>
  <si>
    <t>GOUNOU ELISABETH</t>
  </si>
  <si>
    <t>ISMAEL WASSIOU</t>
  </si>
  <si>
    <t>MOISE YENAFO</t>
  </si>
  <si>
    <t>ODOUTAN OLANIRAN HAMED</t>
  </si>
  <si>
    <t>TCHANIGA SAMSON</t>
  </si>
  <si>
    <t>VLAVONOU PIERRE</t>
  </si>
  <si>
    <t>BC-001</t>
  </si>
  <si>
    <t>CA7583RB/AP2290RB</t>
  </si>
  <si>
    <t>DECHARGE</t>
  </si>
  <si>
    <t>BC-002</t>
  </si>
  <si>
    <t>BL6012RB/AS9458RB</t>
  </si>
  <si>
    <t>ISMAEL WASSIOU/ Mme ELISABETH</t>
  </si>
  <si>
    <t>BC-003</t>
  </si>
  <si>
    <t>BU4105RB/BS8146RB</t>
  </si>
  <si>
    <t>BC-004</t>
  </si>
  <si>
    <t>BT4680RB/BJ0826RB</t>
  </si>
  <si>
    <t>EN ATTENTE</t>
  </si>
  <si>
    <t>BC-005</t>
  </si>
  <si>
    <t>CD0085RB/AN4107RB</t>
  </si>
  <si>
    <t>BC-006</t>
  </si>
  <si>
    <t>BD6541RB/BD6542RB</t>
  </si>
  <si>
    <t>BC-007</t>
  </si>
  <si>
    <t>BC-008</t>
  </si>
  <si>
    <t>CH7143RB/BU4686RB</t>
  </si>
  <si>
    <t>BC-009</t>
  </si>
  <si>
    <t>BC-010</t>
  </si>
  <si>
    <t>BM5662RB/BB9141RB</t>
  </si>
  <si>
    <t>BC-011</t>
  </si>
  <si>
    <t>BZ6773RB/AM0814RB</t>
  </si>
  <si>
    <t>BC-012</t>
  </si>
  <si>
    <t>CB0469RB/BZ8567RB</t>
  </si>
  <si>
    <t>BC-013</t>
  </si>
  <si>
    <t xml:space="preserve"> AN3809RB/AS6857RB</t>
  </si>
  <si>
    <t>BC-014</t>
  </si>
  <si>
    <t>BC-015</t>
  </si>
  <si>
    <t>AZ4227RB/AE4983RB</t>
  </si>
  <si>
    <t>ALLASSANE MARWANE</t>
  </si>
  <si>
    <t>BC-016</t>
  </si>
  <si>
    <t>BF4794RB/BG3245RB</t>
  </si>
  <si>
    <t>BC-017</t>
  </si>
  <si>
    <t>BN9320RB/1254RB</t>
  </si>
  <si>
    <t>BC-018</t>
  </si>
  <si>
    <t>CA0713RB/BH0362RB</t>
  </si>
  <si>
    <t>BC-019</t>
  </si>
  <si>
    <t>CK9046RB/CB6301RB</t>
  </si>
  <si>
    <t>BC-020</t>
  </si>
  <si>
    <t>BS4562RB/AY6037RB</t>
  </si>
  <si>
    <t>BC-021</t>
  </si>
  <si>
    <t>CB6228RB/CC4818RB</t>
  </si>
  <si>
    <t>CE1927RB/BC7835RB</t>
  </si>
  <si>
    <t>BC-022</t>
  </si>
  <si>
    <t>BB9793RB/BD3472RB</t>
  </si>
  <si>
    <t>BC-023</t>
  </si>
  <si>
    <t>BR9516RB/BD8968RB</t>
  </si>
  <si>
    <t>BC-024</t>
  </si>
  <si>
    <t>BY2229RB/BD4807RB</t>
  </si>
  <si>
    <t>BC-025</t>
  </si>
  <si>
    <t>CF7090RB/AZ1276RB</t>
  </si>
  <si>
    <t>BC-026</t>
  </si>
  <si>
    <t>CG9072RB/CC4676RB</t>
  </si>
  <si>
    <t>BC-027</t>
  </si>
  <si>
    <t>BA0693RB/BG9156RB</t>
  </si>
  <si>
    <t>BC-028</t>
  </si>
  <si>
    <t>BS9080RB/BB2652RB</t>
  </si>
  <si>
    <t>BC-029</t>
  </si>
  <si>
    <t>BC-030</t>
  </si>
  <si>
    <t>BC-031</t>
  </si>
  <si>
    <t>BC-032</t>
  </si>
  <si>
    <t>BC-033</t>
  </si>
  <si>
    <t>AP7150RB/AL0466RB</t>
  </si>
  <si>
    <t>BC-034</t>
  </si>
  <si>
    <t>AZ8985RB/AN0577RB</t>
  </si>
  <si>
    <t>ROLAND ADANHONDJI</t>
  </si>
  <si>
    <t>BC-035</t>
  </si>
  <si>
    <t>BU9958RB/AL0499RB</t>
  </si>
  <si>
    <t>BC-036</t>
  </si>
  <si>
    <t>CE6743RB/CC9634RB</t>
  </si>
  <si>
    <t>BC-037</t>
  </si>
  <si>
    <t>BC-038</t>
  </si>
  <si>
    <t>BC-039</t>
  </si>
  <si>
    <t>BC-040</t>
  </si>
  <si>
    <t>BC-041</t>
  </si>
  <si>
    <t>BP4509RB/AV2192RB</t>
  </si>
  <si>
    <t>BC-042</t>
  </si>
  <si>
    <t>AT8153RB/BN3081RB</t>
  </si>
  <si>
    <t>BC-043</t>
  </si>
  <si>
    <t>BY1669RB/BY1665RB</t>
  </si>
  <si>
    <t>BC-044</t>
  </si>
  <si>
    <t>CB6370RB/ BY4656RB</t>
  </si>
  <si>
    <t>BC-045</t>
  </si>
  <si>
    <t>CL0201RB/CJ8154RB</t>
  </si>
  <si>
    <t>BC-046</t>
  </si>
  <si>
    <t>BU0599RB/BC0599RB</t>
  </si>
  <si>
    <t>BC-047</t>
  </si>
  <si>
    <t>CE7131RB/CE8609RB</t>
  </si>
  <si>
    <t>BC-048</t>
  </si>
  <si>
    <t>CE6019RB/CE6020RB</t>
  </si>
  <si>
    <t>BC-049</t>
  </si>
  <si>
    <t>CB6790RB/BT1547RB</t>
  </si>
  <si>
    <t>BC-050</t>
  </si>
  <si>
    <t>BT0362RB/BT3698RB</t>
  </si>
  <si>
    <t>BC-051</t>
  </si>
  <si>
    <t xml:space="preserve"> BY5570RB/BH1863RB</t>
  </si>
  <si>
    <t>BC-052</t>
  </si>
  <si>
    <t>BC-053</t>
  </si>
  <si>
    <t>BC-054</t>
  </si>
  <si>
    <t>BC-055</t>
  </si>
  <si>
    <t>BC-056</t>
  </si>
  <si>
    <t>BC-057</t>
  </si>
  <si>
    <t>BC-058</t>
  </si>
  <si>
    <t>BC-059</t>
  </si>
  <si>
    <t>BC-060</t>
  </si>
  <si>
    <t>BC-061</t>
  </si>
  <si>
    <t>BC-062</t>
  </si>
  <si>
    <t>BC-063</t>
  </si>
  <si>
    <t>CG9846RB/CG9873RB</t>
  </si>
  <si>
    <t>WEIGHMENT TICKET</t>
  </si>
  <si>
    <t>GDIZ</t>
  </si>
  <si>
    <t>CL7219RB/CH7144RB</t>
  </si>
  <si>
    <t>BZ6773RB/AN0814RB</t>
  </si>
  <si>
    <t>CB5092RB/AG6029RB</t>
  </si>
  <si>
    <t>BN9320RB/BC1254RB</t>
  </si>
  <si>
    <t>CC8393RB/CC8391RB</t>
  </si>
  <si>
    <t>CB2032RB/CB1943RB</t>
  </si>
  <si>
    <t>BC-064</t>
  </si>
  <si>
    <t>BC-065</t>
  </si>
  <si>
    <t>BC-066</t>
  </si>
  <si>
    <t>BC-067</t>
  </si>
  <si>
    <t>BC-068</t>
  </si>
  <si>
    <t>BC-069</t>
  </si>
  <si>
    <t>BC-070</t>
  </si>
  <si>
    <t>BC-071</t>
  </si>
  <si>
    <t>BC-072</t>
  </si>
  <si>
    <t>BC-073</t>
  </si>
  <si>
    <t>NOEL DOLEME</t>
  </si>
  <si>
    <t>BC-074</t>
  </si>
  <si>
    <t>BC-075</t>
  </si>
  <si>
    <t>BC-076</t>
  </si>
  <si>
    <t>BC-077</t>
  </si>
  <si>
    <t>BC-078</t>
  </si>
  <si>
    <t>BC-079</t>
  </si>
  <si>
    <t>BC-080</t>
  </si>
  <si>
    <t>CD6234RB/CD6233RB</t>
  </si>
  <si>
    <t>BN5162/ BS1546RB</t>
  </si>
  <si>
    <t>BD4987RB/BE6187RB</t>
  </si>
  <si>
    <t>FAGRO SOUROU GILDAS</t>
  </si>
  <si>
    <t>FRS00001</t>
  </si>
  <si>
    <t>FRS00002</t>
  </si>
  <si>
    <t>FRS00003</t>
  </si>
  <si>
    <t>FRS00004</t>
  </si>
  <si>
    <t>FRS00005</t>
  </si>
  <si>
    <t>FRS00006</t>
  </si>
  <si>
    <t>FRS00007</t>
  </si>
  <si>
    <t>FRS00008</t>
  </si>
  <si>
    <t>FRS00009</t>
  </si>
  <si>
    <t>FRS00010</t>
  </si>
  <si>
    <t>FRS00011</t>
  </si>
  <si>
    <t>FRS00012</t>
  </si>
  <si>
    <t>FRS00013</t>
  </si>
  <si>
    <t>FRS00014</t>
  </si>
  <si>
    <t>FRS00015</t>
  </si>
  <si>
    <t>FRS00016</t>
  </si>
  <si>
    <t>FRS00017</t>
  </si>
  <si>
    <t>FRS00018</t>
  </si>
  <si>
    <t>FRS00019</t>
  </si>
  <si>
    <t>FRS00020</t>
  </si>
  <si>
    <t>FRS00021</t>
  </si>
  <si>
    <t>FRS00022</t>
  </si>
  <si>
    <t xml:space="preserve">CODE </t>
  </si>
  <si>
    <t>NOM DU FOURNISSEUR</t>
  </si>
  <si>
    <t>Code Frs</t>
  </si>
  <si>
    <t>FRS00023</t>
  </si>
  <si>
    <t>CODE FOURNISSEUR</t>
  </si>
  <si>
    <t>CH7143RB</t>
  </si>
  <si>
    <t xml:space="preserve"> 0197436870 ET 0141422926</t>
  </si>
  <si>
    <t>01 97502513 ET 0144635683</t>
  </si>
  <si>
    <t>01 97502513 ET 0151084124</t>
  </si>
  <si>
    <t>01 97502513 ET 0159551025</t>
  </si>
  <si>
    <t>0195036013 ET 0196902499</t>
  </si>
  <si>
    <t>DAA-HINGBANON VIRGILE</t>
  </si>
  <si>
    <t xml:space="preserve">BONS DE COMMANDE </t>
  </si>
  <si>
    <t>FRS00024</t>
  </si>
  <si>
    <t>Nb rejet</t>
  </si>
  <si>
    <t>APROUVE</t>
  </si>
  <si>
    <t>REJETE</t>
  </si>
  <si>
    <t>BX9971RB</t>
  </si>
  <si>
    <t>BS4324RB /4374RB</t>
  </si>
  <si>
    <t>CC2786RB/AT7647RB</t>
  </si>
  <si>
    <t>CJ4249RB/AU9045RB</t>
  </si>
  <si>
    <t xml:space="preserve"> CC2368RB/BP2534RB</t>
  </si>
  <si>
    <t>BY6831RB/BC1375RB</t>
  </si>
  <si>
    <t>BP6016RB/BB1424RB</t>
  </si>
  <si>
    <t>CE3990RB/CE0722RB</t>
  </si>
  <si>
    <t>CJ1106RB/BT4254RB</t>
  </si>
  <si>
    <t>BN8284RB/AH6563RB</t>
  </si>
  <si>
    <t>BE0581RB/AZ5255RB</t>
  </si>
  <si>
    <t>CH2008RB/BA5975RB</t>
  </si>
  <si>
    <t>BU6129/BU5781RB</t>
  </si>
  <si>
    <t>BR5745/AX3586RB</t>
  </si>
  <si>
    <t>BS5267/4602RB</t>
  </si>
  <si>
    <t>BS9163RB/CD2740RB</t>
  </si>
  <si>
    <t>CL2204RB/BV2541RB</t>
  </si>
  <si>
    <t>CK5227/CK6157RB</t>
  </si>
  <si>
    <t>BF6815/BA3127RB</t>
  </si>
  <si>
    <t>BS6715RB/AP8439RB</t>
  </si>
  <si>
    <t>CA7583/AP2290RB</t>
  </si>
  <si>
    <t>CA5858/AC1719 RB</t>
  </si>
  <si>
    <t>CE4892RB/AX7785RB</t>
  </si>
  <si>
    <t>BS7274RB/AE2056RB</t>
  </si>
  <si>
    <t>BY0595RB/BT9372RB</t>
  </si>
  <si>
    <t xml:space="preserve"> AX8757RB/AJ9269RB</t>
  </si>
  <si>
    <t>CG4463RB/CE6958RB</t>
  </si>
  <si>
    <t>CD0405RB/AN1489RB</t>
  </si>
  <si>
    <t>BT1725RB</t>
  </si>
  <si>
    <t>BE0559RB/BD8562RB</t>
  </si>
  <si>
    <t>Transaction</t>
  </si>
  <si>
    <t>Code FRS</t>
  </si>
  <si>
    <t>-</t>
  </si>
  <si>
    <t>Order QTY(MT)</t>
  </si>
  <si>
    <t>FRS00025</t>
  </si>
  <si>
    <t>ASSOGBA LEON</t>
  </si>
  <si>
    <t>AZOGA ARMAND</t>
  </si>
  <si>
    <t>FRS00026</t>
  </si>
  <si>
    <t>CF1589RB/BS9736RB</t>
  </si>
  <si>
    <t>CK6314RB/CK6312RB</t>
  </si>
  <si>
    <t>EDKO BUSINESS/ KOGNANNOU EDMOND</t>
  </si>
  <si>
    <t>FRS00027</t>
  </si>
  <si>
    <t>AX3391RB/AT2651RB</t>
  </si>
  <si>
    <t>CC9207RB/CG3619RB</t>
  </si>
  <si>
    <t xml:space="preserve"> AU8941RB/AZ4819RB</t>
  </si>
  <si>
    <t>BG1751RB/AY8891RB</t>
  </si>
  <si>
    <t>TCHANIGA LEONARD</t>
  </si>
  <si>
    <t>FRS00028</t>
  </si>
  <si>
    <t>AMAH SEIDOU</t>
  </si>
  <si>
    <t>FRS00029</t>
  </si>
  <si>
    <t>CA9598RB/AT3703RB</t>
  </si>
  <si>
    <t>BZ4700RB/BD8405RB</t>
  </si>
  <si>
    <t>BP2914RB/T8377RB</t>
  </si>
  <si>
    <t>CA6378RB/CA6373RB</t>
  </si>
  <si>
    <t>CL6144RB/Cl6145RB</t>
  </si>
  <si>
    <t>BY2242RB/AF9323RB</t>
  </si>
  <si>
    <t>ATACLE STEPHANE</t>
  </si>
  <si>
    <t>FRS00030</t>
  </si>
  <si>
    <t>BC-081</t>
  </si>
  <si>
    <t>BC-082</t>
  </si>
  <si>
    <t>BC-083</t>
  </si>
  <si>
    <t>BC-084</t>
  </si>
  <si>
    <t>BC-085</t>
  </si>
  <si>
    <t>BC-086</t>
  </si>
  <si>
    <t>BC-087</t>
  </si>
  <si>
    <t>BC-088</t>
  </si>
  <si>
    <t>BC-089</t>
  </si>
  <si>
    <t>BC-090</t>
  </si>
  <si>
    <t>BC-091</t>
  </si>
  <si>
    <t>BC-092</t>
  </si>
  <si>
    <t>BC-093</t>
  </si>
  <si>
    <t>BC-094</t>
  </si>
  <si>
    <t>BY5570RB/BH1863RB</t>
  </si>
  <si>
    <t>AY3969RB/AD0138RB</t>
  </si>
  <si>
    <t>BP5945RB/BY8609RB</t>
  </si>
  <si>
    <t>CA5858RB/AC1719RB</t>
  </si>
  <si>
    <t>PROSPERE</t>
  </si>
  <si>
    <t>FRS00031</t>
  </si>
  <si>
    <t>BX1108RB/BX1109RB</t>
  </si>
  <si>
    <t>CL2204RB/BU2541RB</t>
  </si>
  <si>
    <t>BU0599RB/BC5874RB</t>
  </si>
  <si>
    <t>Bon de paiement</t>
  </si>
  <si>
    <t>CHQ-0131-2026</t>
  </si>
  <si>
    <t>CHQ-0144-2026</t>
  </si>
  <si>
    <t>CHQ-0138-2026</t>
  </si>
  <si>
    <t>CHQ-0129-2026 &amp; CHQ-0138-2026</t>
  </si>
  <si>
    <t>CHQ-0151-2026</t>
  </si>
  <si>
    <t>CHQ-0133-2026</t>
  </si>
  <si>
    <t>CHQ-0136-2026</t>
  </si>
  <si>
    <t>CHQ-0147-2026</t>
  </si>
  <si>
    <t>CHQ-0145-2026</t>
  </si>
  <si>
    <t>CHQ-0149-2026</t>
  </si>
  <si>
    <t>CHQ-0152-2026</t>
  </si>
  <si>
    <t>CHQ-0156-2026</t>
  </si>
  <si>
    <t>CC-0071-2026 &amp; CHQ-0153-2026</t>
  </si>
  <si>
    <t>CHQ-0150-2026</t>
  </si>
  <si>
    <t xml:space="preserve"> CG9072RB/CC4676RB</t>
  </si>
  <si>
    <t>BA8553RB/BB0493RB</t>
  </si>
  <si>
    <t>CHQ-0158-2026</t>
  </si>
  <si>
    <t>CC-0075-2026 &amp; CHQ-0159-2026</t>
  </si>
  <si>
    <t>CHQ-0160-2026</t>
  </si>
  <si>
    <t>AX8757RB/AJ9269RB</t>
  </si>
  <si>
    <t>CK5227RB/CK6157RB</t>
  </si>
  <si>
    <t>BC-095</t>
  </si>
  <si>
    <t>BV4861RB/BV4862RB</t>
  </si>
  <si>
    <t>BC-096</t>
  </si>
  <si>
    <t>HASSANE SEYNI</t>
  </si>
  <si>
    <t>FRS00032</t>
  </si>
  <si>
    <t>CC4841RB/AP2269RB</t>
  </si>
  <si>
    <t>BC-097</t>
  </si>
  <si>
    <t>GODONOU CHARLES</t>
  </si>
  <si>
    <t>FRS00033</t>
  </si>
  <si>
    <t>CD1342RB/BT1490RB</t>
  </si>
  <si>
    <t>BC-098</t>
  </si>
  <si>
    <t>CHQ-0165-2026</t>
  </si>
  <si>
    <t>CE6245RB/BT9604RB</t>
  </si>
  <si>
    <t>BC-100</t>
  </si>
  <si>
    <t>CA4699RB/CA5733RB</t>
  </si>
  <si>
    <t>BC-101</t>
  </si>
  <si>
    <t>BV6373RB/AB3109RB</t>
  </si>
  <si>
    <t>BC-102</t>
  </si>
  <si>
    <t>BC-103</t>
  </si>
  <si>
    <t>ƁU2205RB/BC8445RB</t>
  </si>
  <si>
    <t>AN8637RB/AD0023RB</t>
  </si>
  <si>
    <t>CA6378RB/CA6379RB</t>
  </si>
  <si>
    <t>BC-104</t>
  </si>
  <si>
    <t>CF0609RB/0565RB</t>
  </si>
  <si>
    <t>BC-105</t>
  </si>
  <si>
    <t>BE4064RB/AN2472RB</t>
  </si>
  <si>
    <t>CL6144RB/CL6145RB</t>
  </si>
  <si>
    <t>BC-106</t>
  </si>
  <si>
    <t>BJ0371RB/AH9481RB</t>
  </si>
  <si>
    <t>BC-107</t>
  </si>
  <si>
    <t>BR1679RB/AZ2904RB</t>
  </si>
  <si>
    <t>BC-108</t>
  </si>
  <si>
    <t>BT4057RB/BH1734RB</t>
  </si>
  <si>
    <t>BC-109</t>
  </si>
  <si>
    <t>CF5787RB/BY2104RB</t>
  </si>
  <si>
    <t>BC-110</t>
  </si>
  <si>
    <t>BB3603RB/AY1488RB</t>
  </si>
  <si>
    <t>HOUNTON NICOLAS</t>
  </si>
  <si>
    <t>FRS00034</t>
  </si>
  <si>
    <t>BC-111</t>
  </si>
  <si>
    <t xml:space="preserve"> CD6560RB/AS9619RB</t>
  </si>
  <si>
    <t>BC-112</t>
  </si>
  <si>
    <t>FRS00035</t>
  </si>
  <si>
    <t>CB6668RB/CC2899RB</t>
  </si>
  <si>
    <t>HERVE KOBOLOU</t>
  </si>
  <si>
    <t>CE9160RB/AL1655RB</t>
  </si>
  <si>
    <t>BC-099</t>
  </si>
  <si>
    <t>ADANNON BLOND</t>
  </si>
  <si>
    <t>BR3872RB/BV3758RB</t>
  </si>
  <si>
    <t>BC-113</t>
  </si>
  <si>
    <t>FRS00036</t>
  </si>
  <si>
    <t>TABLEAU DE BORD - ACHATS KARITE &amp; FOURNISSEURS</t>
  </si>
  <si>
    <t>BC-114</t>
  </si>
  <si>
    <t>BC-115</t>
  </si>
  <si>
    <t>CB2771RB/BV2923RB</t>
  </si>
  <si>
    <t>SABI SARA MAMADOU</t>
  </si>
  <si>
    <t>FRS00037</t>
  </si>
  <si>
    <t>BC6553RB/BC6554RB</t>
  </si>
  <si>
    <t>BC-116</t>
  </si>
  <si>
    <t>BC-117</t>
  </si>
  <si>
    <t>BC-118</t>
  </si>
  <si>
    <t>BC-119</t>
  </si>
  <si>
    <t>BC-120</t>
  </si>
  <si>
    <t>BC-121</t>
  </si>
  <si>
    <t>BA6457RB/AF5349RB</t>
  </si>
  <si>
    <t>Mr LOUIS</t>
  </si>
  <si>
    <t>FRS00038</t>
  </si>
  <si>
    <t>BT2729RB/BT2986RB</t>
  </si>
  <si>
    <t>FRS00039</t>
  </si>
  <si>
    <t>Mr MOMO</t>
  </si>
  <si>
    <t>BX8487RB/ BS9645RB</t>
  </si>
  <si>
    <t>BT2739RB/ 2987RB</t>
  </si>
  <si>
    <t>BX8487RB/BS9645RB</t>
  </si>
  <si>
    <t>CHQ-0139-2026 &amp; CHQ-0146-2026</t>
  </si>
  <si>
    <t>CHQ-0167-2026</t>
  </si>
  <si>
    <t>CHQ-0162-2026 &amp; CHQ-0168-2026</t>
  </si>
  <si>
    <t>CHQ-0169-2026</t>
  </si>
  <si>
    <t>CC-0074-2026 &amp; CHQ-0163-2026 &amp; CHQ-0171-2026</t>
  </si>
  <si>
    <t>CHQ-0172-2026</t>
  </si>
  <si>
    <t>CHQ-0173-2026</t>
  </si>
  <si>
    <t>CHQ-0175-2026</t>
  </si>
  <si>
    <t>BC-122</t>
  </si>
  <si>
    <t>BS3652RB/3653RB</t>
  </si>
  <si>
    <t>BC-123</t>
  </si>
  <si>
    <t>CHQ-0176-2026</t>
  </si>
  <si>
    <t>BG4809RB/BP3763RB</t>
  </si>
  <si>
    <t>BC-124</t>
  </si>
  <si>
    <t>BC-125</t>
  </si>
  <si>
    <t>BC-126</t>
  </si>
  <si>
    <t>BC-127</t>
  </si>
  <si>
    <t>BC-128</t>
  </si>
  <si>
    <t>BC-129</t>
  </si>
  <si>
    <t>BC-130</t>
  </si>
  <si>
    <t>BD6172RB/AG2864RB</t>
  </si>
  <si>
    <t>CD5503RB/BP1368RB</t>
  </si>
  <si>
    <t>BC6242RB/AU5794RB</t>
  </si>
  <si>
    <t>BL7712RB</t>
  </si>
  <si>
    <t>BC-131</t>
  </si>
  <si>
    <t>BC-132</t>
  </si>
  <si>
    <t>CC0738RB/BX6397RB</t>
  </si>
  <si>
    <t>BC-133</t>
  </si>
  <si>
    <t>BU1050RB/AY7402RB</t>
  </si>
  <si>
    <t>BS1649RB/BT0719RB</t>
  </si>
  <si>
    <t>CF0609RB/CF0565RB</t>
  </si>
  <si>
    <t>BU6129RB/BU5781RB</t>
  </si>
  <si>
    <t>BC-134</t>
  </si>
  <si>
    <t>BV9692RB/BV8811RB</t>
  </si>
  <si>
    <t>BC-135</t>
  </si>
  <si>
    <t>SYLVAIN</t>
  </si>
  <si>
    <t>BR5745RB/AX3586RB</t>
  </si>
  <si>
    <t>BL8976RB/AP2371RB</t>
  </si>
  <si>
    <t>CC4207RB/CD6286RB</t>
  </si>
  <si>
    <t>HOUNDJREBO G.PAULETTE</t>
  </si>
  <si>
    <t>FRS00040</t>
  </si>
  <si>
    <t>BY0018RB/AV9086RB</t>
  </si>
  <si>
    <t>BC-136</t>
  </si>
  <si>
    <t>BM4824RB/AH7640RB</t>
  </si>
  <si>
    <t>BE4894RB/AP7240RB</t>
  </si>
  <si>
    <t>CE3529RB/AE7747RB</t>
  </si>
  <si>
    <t>BT9887RB/BE4710RB</t>
  </si>
  <si>
    <t>0157164140/0141216731</t>
  </si>
  <si>
    <t>CF7087RB/BL7764RB</t>
  </si>
  <si>
    <t>BC-137</t>
  </si>
  <si>
    <t>BC-138</t>
  </si>
  <si>
    <t>BC-139</t>
  </si>
  <si>
    <t>BC-140</t>
  </si>
  <si>
    <t>BC-141</t>
  </si>
  <si>
    <t>BC-142</t>
  </si>
  <si>
    <t>MENSAH DANIEL JOEL</t>
  </si>
  <si>
    <t>CC-0095-2026</t>
  </si>
  <si>
    <t>CC-0098-2026</t>
  </si>
  <si>
    <t>BC-143</t>
  </si>
  <si>
    <t>BU0917RB/BM5975RB</t>
  </si>
  <si>
    <t>PANKAJ KUMAR</t>
  </si>
  <si>
    <t>BZ0376RB/BU7028RB</t>
  </si>
  <si>
    <t>AS3628RB/BF8361RB</t>
  </si>
  <si>
    <t>BG3491RB/BG3492RB</t>
  </si>
  <si>
    <t>BD8254RB/AN4912RB</t>
  </si>
  <si>
    <t>AKPAKPO NOURIDINE</t>
  </si>
  <si>
    <t>FRS00041</t>
  </si>
  <si>
    <t>BU0866RB/AG7735RB</t>
  </si>
  <si>
    <t>CE8096RB/8099RB</t>
  </si>
  <si>
    <t>FRS00042</t>
  </si>
  <si>
    <t>N’DOKPO IREMAN</t>
  </si>
  <si>
    <t>BC-144</t>
  </si>
  <si>
    <t>BC-145</t>
  </si>
  <si>
    <t>BC-146</t>
  </si>
  <si>
    <t>BC-147</t>
  </si>
  <si>
    <t>BC-148</t>
  </si>
  <si>
    <t>BC-149</t>
  </si>
  <si>
    <t>BC-150</t>
  </si>
  <si>
    <t>BC-151</t>
  </si>
  <si>
    <t>BY5716RB/BY3843RB</t>
  </si>
  <si>
    <t>FRS00043</t>
  </si>
  <si>
    <t>CC2790RB/CC2385RB</t>
  </si>
  <si>
    <t>BD6172RB/AG2S64RB</t>
  </si>
  <si>
    <t>CHQ-0170-2026 &amp;CHQ-0186-2026</t>
  </si>
  <si>
    <t>CHQ-0177-2026 &amp; CHQ-0187-2026</t>
  </si>
  <si>
    <t>CHQ-0169-2026 &amp; CHQ-0188-2026</t>
  </si>
  <si>
    <t>CC-0099-2026</t>
  </si>
  <si>
    <t>CHQ-0174-2026 &amp; CHQ-0189-2026</t>
  </si>
  <si>
    <t>CC-0083-2026 &amp; CC-0094-2026 &amp; CHQ-0190-2026</t>
  </si>
  <si>
    <t>CHQ-0200-2026</t>
  </si>
  <si>
    <t>CHQ-0193-2026</t>
  </si>
  <si>
    <t>CHQ-0196-2026</t>
  </si>
  <si>
    <t>CHQ-0197-2026</t>
  </si>
  <si>
    <t>CHQ-0198-2026</t>
  </si>
  <si>
    <t>CHQ-0199-2026</t>
  </si>
  <si>
    <t>CHQ-0201-2026</t>
  </si>
  <si>
    <t>BT2739RB/BT2986RB</t>
  </si>
  <si>
    <t>BS4273RB/BM9382RB</t>
  </si>
  <si>
    <t>CL0086RB/AG5575RB</t>
  </si>
  <si>
    <t>BF8361RB/AS3628RB</t>
  </si>
  <si>
    <t>BX0236RB/BP0463RB</t>
  </si>
  <si>
    <t>CD9875RB/CD9877RB</t>
  </si>
  <si>
    <t>CD6560RB/AS9619RB</t>
  </si>
  <si>
    <t>BD8254RB/BR3877RB</t>
  </si>
  <si>
    <t>BX8310RB/BX9639RB</t>
  </si>
  <si>
    <t>BA6457RB/AE5394RB</t>
  </si>
  <si>
    <t>CHQ-0205-2026</t>
  </si>
  <si>
    <t>BZ3139RB/BC1946RB</t>
  </si>
  <si>
    <t>CA2295RB/AJ0480RB</t>
  </si>
  <si>
    <t>BB9217RB/AU4365RB</t>
  </si>
  <si>
    <t>BC-152</t>
  </si>
  <si>
    <t>BC-153</t>
  </si>
  <si>
    <t>BC-154</t>
  </si>
  <si>
    <t>7268RB/BX7269RB</t>
  </si>
  <si>
    <t>BY0595RB/BT1373RB</t>
  </si>
  <si>
    <t>AS6395RB/AS6381RB</t>
  </si>
  <si>
    <t>WANGNANNON ABEL</t>
  </si>
  <si>
    <t>FRS00044</t>
  </si>
  <si>
    <t>CC9004RB/BF5036RB</t>
  </si>
  <si>
    <t>BC-155</t>
  </si>
  <si>
    <t>BC-156</t>
  </si>
  <si>
    <t>BC-157</t>
  </si>
  <si>
    <t>BC-158</t>
  </si>
  <si>
    <t>BX9920RB/BM9472RB</t>
  </si>
  <si>
    <t>CA6600RB/CA8723RB</t>
  </si>
  <si>
    <t>BZ1249RB/BZ5112RB</t>
  </si>
  <si>
    <t>BC-159</t>
  </si>
  <si>
    <t>BC-160</t>
  </si>
  <si>
    <t>BC-161</t>
  </si>
  <si>
    <t>BC-162</t>
  </si>
  <si>
    <t>CB6887RB</t>
  </si>
  <si>
    <t>CK2776RB</t>
  </si>
  <si>
    <t>CB7441RB/CB1833RB</t>
  </si>
  <si>
    <t>CH6339RB/BL4267RB</t>
  </si>
  <si>
    <t>BM6378/BJ0669RB</t>
  </si>
  <si>
    <t>BC-163</t>
  </si>
  <si>
    <t>BC-164</t>
  </si>
  <si>
    <t>BC-165</t>
  </si>
  <si>
    <t>BC-166</t>
  </si>
  <si>
    <t>BC-167</t>
  </si>
  <si>
    <t>CHQ-0195-2026 &amp; CHQ-0207-2026</t>
  </si>
  <si>
    <t>CHQ-0208-2026</t>
  </si>
  <si>
    <t>BD4361RB/BV3227RB</t>
  </si>
  <si>
    <t>BR4469RB/BE0831RB</t>
  </si>
  <si>
    <t>CHQ-0209-2026</t>
  </si>
  <si>
    <t>CHQ-0194-2026 &amp; CHQ-0209-2026</t>
  </si>
  <si>
    <t>CHQ-0210-2026</t>
  </si>
  <si>
    <t>BC-168</t>
  </si>
  <si>
    <t>BC-169</t>
  </si>
  <si>
    <t>BC-170</t>
  </si>
  <si>
    <t>BC-171</t>
  </si>
  <si>
    <t>AR0918RB/AR0751RB</t>
  </si>
  <si>
    <t>CHQ-0211-2026</t>
  </si>
  <si>
    <t>CHQ-0212-2026</t>
  </si>
  <si>
    <t>CH4303RB/CD2378RB</t>
  </si>
  <si>
    <t>BC-172</t>
  </si>
  <si>
    <t>BC-173</t>
  </si>
  <si>
    <t>BT3075RB /BR9056RB</t>
  </si>
  <si>
    <t>CHQ-0213-2026</t>
  </si>
  <si>
    <t>CHQ-0184-2026 &amp; CHQ-0214-2026</t>
  </si>
  <si>
    <t>CHQ-0192-2026 &amp; CHQ-0214-2026</t>
  </si>
  <si>
    <t>BV1233RB/CA8238RB</t>
  </si>
  <si>
    <t>BN7554RB/AV8632RB</t>
  </si>
  <si>
    <t>HOUEDANOU JUSTIN</t>
  </si>
  <si>
    <t>FRS00045</t>
  </si>
  <si>
    <t>AR4612RB/BK0674RB</t>
  </si>
  <si>
    <t>BX0581RB/AX4556RB</t>
  </si>
  <si>
    <t>CL5427RB/BB0754RB</t>
  </si>
  <si>
    <t>AX1339RB/AG7502RB</t>
  </si>
  <si>
    <t>AT1252RB/AT3930RB</t>
  </si>
  <si>
    <t>BC-174</t>
  </si>
  <si>
    <t>BC-175</t>
  </si>
  <si>
    <t>BC-176</t>
  </si>
  <si>
    <t>BC-177</t>
  </si>
  <si>
    <t>BC-178</t>
  </si>
  <si>
    <t>BC-179</t>
  </si>
  <si>
    <t>BC-180</t>
  </si>
  <si>
    <t>BC-181</t>
  </si>
  <si>
    <t>BC-182</t>
  </si>
  <si>
    <t>Hospice</t>
  </si>
  <si>
    <t>BC-183</t>
  </si>
  <si>
    <t>BC-184</t>
  </si>
  <si>
    <t>KOUMENOUGBO MARUIS</t>
  </si>
  <si>
    <t>FRS00046</t>
  </si>
  <si>
    <t>CC2315RB</t>
  </si>
  <si>
    <t>CHQ-0219-2026</t>
  </si>
  <si>
    <t>ANNULE</t>
  </si>
  <si>
    <t>CHQ-0220-2026</t>
  </si>
  <si>
    <t>MONTCHO NOBERT</t>
  </si>
  <si>
    <t>CHQ-0222-2026</t>
  </si>
  <si>
    <t>BM6378RB/BJ0689RB</t>
  </si>
  <si>
    <t>CC0530RB/Y4535RB</t>
  </si>
  <si>
    <t>CK6287RB/CK6523RB</t>
  </si>
  <si>
    <t>BV9692RB/BV9811RB</t>
  </si>
  <si>
    <t>BE4715RB/AD0539RB</t>
  </si>
  <si>
    <t>CA6600RB/CA8326RB</t>
  </si>
  <si>
    <t>CH3119RB/AS9095RB</t>
  </si>
  <si>
    <t>BP5945RB/BY 8609RB</t>
  </si>
  <si>
    <t>BT8152RB/BT8150RB</t>
  </si>
  <si>
    <t>BD7461RB/BE5492RB</t>
  </si>
  <si>
    <t>BU4348RB/CA1024RB</t>
  </si>
  <si>
    <t>CC2595RB</t>
  </si>
  <si>
    <t>BV0879RB/AR6890RB</t>
  </si>
  <si>
    <t>CC4207RB</t>
  </si>
  <si>
    <t>CA5363RB</t>
  </si>
  <si>
    <t>BR7384RB/AP3753RB</t>
  </si>
  <si>
    <t>BS5267RB/AL4802RB</t>
  </si>
  <si>
    <t>CF7640RB/CF7822RB</t>
  </si>
  <si>
    <t>CJ4361RB/AX9406RB</t>
  </si>
  <si>
    <t>BC-185</t>
  </si>
  <si>
    <t>BC-186</t>
  </si>
  <si>
    <t>BC-187</t>
  </si>
  <si>
    <t>BC-188</t>
  </si>
  <si>
    <t>BC-189</t>
  </si>
  <si>
    <t>BC-190</t>
  </si>
  <si>
    <t>BC-191</t>
  </si>
  <si>
    <t>BC-192</t>
  </si>
  <si>
    <t>BC-193</t>
  </si>
  <si>
    <t>BC-194</t>
  </si>
  <si>
    <t>BC-195</t>
  </si>
  <si>
    <t>BC-196</t>
  </si>
  <si>
    <t>BC-197</t>
  </si>
  <si>
    <t>CJ0436RB/BT5953RB</t>
  </si>
  <si>
    <t>CH8791RB/CK0290RB</t>
  </si>
  <si>
    <t>CB6887RB/CQ0182RB</t>
  </si>
  <si>
    <t>BC-198</t>
  </si>
  <si>
    <t xml:space="preserve"> BS5349RB/BS5348RB</t>
  </si>
  <si>
    <t>BC-199</t>
  </si>
  <si>
    <t>BU1244RB/BV9648RB</t>
  </si>
  <si>
    <t>BC-200</t>
  </si>
  <si>
    <t>BC-201</t>
  </si>
  <si>
    <t xml:space="preserve"> CJ5557RB/CJ1535RB</t>
  </si>
  <si>
    <t>BY2540RB/AM9033RB</t>
  </si>
  <si>
    <t>BC-202</t>
  </si>
  <si>
    <t>CK2776RB/CK0348RB</t>
  </si>
  <si>
    <t>BP0618RB/BA8940RB</t>
  </si>
  <si>
    <t>BC-203</t>
  </si>
  <si>
    <t>CL0086RB</t>
  </si>
  <si>
    <t>BC-204</t>
  </si>
  <si>
    <t>BX7455RB/AM4012RB</t>
  </si>
  <si>
    <t>BC-205</t>
  </si>
  <si>
    <t>BN7448RB/AN5495RB</t>
  </si>
  <si>
    <t>BC-206</t>
  </si>
  <si>
    <t>BV6583RB/BN7484</t>
  </si>
  <si>
    <t>BC-207</t>
  </si>
  <si>
    <t>CF9265RB</t>
  </si>
  <si>
    <t>CC4813RB/CD6281RB</t>
  </si>
  <si>
    <t>AS6395RN/AS6381RN</t>
  </si>
  <si>
    <t>CHQ-0227-2026</t>
  </si>
  <si>
    <t>CHQ-0228-2026</t>
  </si>
  <si>
    <t>CHQ-0216-2026 &amp; CHQ-0228-2026</t>
  </si>
  <si>
    <t>CHQ-0229-2026</t>
  </si>
  <si>
    <t>CHQ-0217-2026 &amp; CHQ-0230-2026</t>
  </si>
  <si>
    <t>CHQ-0231-2026</t>
  </si>
  <si>
    <t>CHQ-0221-2026 &amp; CC-0106-2026 &amp; CHQ-0231-2026</t>
  </si>
  <si>
    <t>CHQ-0232-2026</t>
  </si>
  <si>
    <t>CHQ-0234-2026</t>
  </si>
  <si>
    <t>CHQ-0233-2026</t>
  </si>
  <si>
    <t>CHQ-0235-2026</t>
  </si>
  <si>
    <t>CHQ-0236-2026</t>
  </si>
  <si>
    <t>CHQ-0237-2026</t>
  </si>
  <si>
    <t>CHQ-0238-2026</t>
  </si>
  <si>
    <t>CHQ-0239-2026</t>
  </si>
  <si>
    <t>BT3075RB/BR9056RB</t>
  </si>
  <si>
    <t>AV6281RB/BC4547RB</t>
  </si>
  <si>
    <t>CC3342RB/CC3320RB</t>
  </si>
  <si>
    <t>CJ5557RB/CJ1535RB</t>
  </si>
  <si>
    <t>BV1335RB/AR9674RB</t>
  </si>
  <si>
    <t>CL2595RB/BX8143RB</t>
  </si>
  <si>
    <t>AU7277RB/AX349SRB</t>
  </si>
  <si>
    <t>BZ 3764RB/BZ 3763RB</t>
  </si>
  <si>
    <t>AGUETON MATHIAS</t>
  </si>
  <si>
    <t>FRS00047</t>
  </si>
  <si>
    <t>BS9711RB /BX0221RB</t>
  </si>
  <si>
    <t>AMINOU KIKI</t>
  </si>
  <si>
    <t>FRS00048</t>
  </si>
  <si>
    <t>CF1588RB/BS9736RB</t>
  </si>
  <si>
    <t>BC-208</t>
  </si>
  <si>
    <t>BC-209</t>
  </si>
  <si>
    <t>BC-210</t>
  </si>
  <si>
    <t>BC-211</t>
  </si>
  <si>
    <t>CHQ-0248-2026</t>
  </si>
  <si>
    <t>CHQ-0246-2026 &amp; CHQ-0249-2026</t>
  </si>
  <si>
    <t>CHQ-0250-2026</t>
  </si>
  <si>
    <t>CHQ-0251-2026</t>
  </si>
  <si>
    <t>CHQ-0254-2026</t>
  </si>
  <si>
    <t>CHQ-0255-2026</t>
  </si>
  <si>
    <t>CHQ-0256-2026</t>
  </si>
  <si>
    <t>CHQ-0242-2026 &amp; CHQ-0262-2026</t>
  </si>
  <si>
    <t>CHQ-0257-2026</t>
  </si>
  <si>
    <t>CHQ-0258-2026</t>
  </si>
  <si>
    <t>CHQ-0259-2026</t>
  </si>
  <si>
    <t>CHQ-0260-2026</t>
  </si>
  <si>
    <t>CHQ-0247-2026</t>
  </si>
  <si>
    <t>CHQ-0241-2026 &amp; CHQ-0247-2026</t>
  </si>
  <si>
    <t>CHQ-0244-2026 &amp; CHQ-0253-2026</t>
  </si>
  <si>
    <t>CA5363RB/CF5085RB</t>
  </si>
  <si>
    <t>BU1724RB/BU1725RB</t>
  </si>
  <si>
    <t>BS5349RB/BS5348RB</t>
  </si>
  <si>
    <t>BR7383RB/AF3753RB</t>
  </si>
  <si>
    <t>CA1763RB/2571RB</t>
  </si>
  <si>
    <t>CB1267RB/AX5462RB</t>
  </si>
  <si>
    <t>AHEGNI HIPPOLYTE</t>
  </si>
  <si>
    <t>FRS00049</t>
  </si>
  <si>
    <t>BU6218RB/BU5950RB</t>
  </si>
  <si>
    <t>CB9758RB /BG3184RB</t>
  </si>
  <si>
    <t>BB7270RB/Y4528RB</t>
  </si>
  <si>
    <t>BM2405RB/BM2537RB</t>
  </si>
  <si>
    <t>AGBESSADJI FERNAND</t>
  </si>
  <si>
    <t>FRS00050</t>
  </si>
  <si>
    <t>BU5793RB/AY0257RB</t>
  </si>
  <si>
    <t>BP6298RB/BE9619RB</t>
  </si>
  <si>
    <t>BC-212</t>
  </si>
  <si>
    <t>BC-213</t>
  </si>
  <si>
    <t>BC-214</t>
  </si>
  <si>
    <t>BC-215</t>
  </si>
  <si>
    <t>BC-216</t>
  </si>
  <si>
    <t>BC-217</t>
  </si>
  <si>
    <t>BC-218</t>
  </si>
  <si>
    <t>BC-219</t>
  </si>
  <si>
    <t>BC-220</t>
  </si>
  <si>
    <t>BC-221</t>
  </si>
  <si>
    <t>BC-222</t>
  </si>
  <si>
    <t>BC-213_</t>
  </si>
  <si>
    <t>AZ9858RB/BA3187RB</t>
  </si>
  <si>
    <t>BH9734RB/AU2883RB</t>
  </si>
  <si>
    <t>BR2061RB/BR2061RB</t>
  </si>
  <si>
    <t>CC4172RB/CC6078RB</t>
  </si>
  <si>
    <t>BX1081RB/BX1082RB</t>
  </si>
  <si>
    <t>CF5292RB/BT5099RB</t>
  </si>
  <si>
    <t>BR8361RB /BS0670RB</t>
  </si>
  <si>
    <t>BB1162RB/BB1148RB</t>
  </si>
  <si>
    <t>AX4490RB/AZ9013RB</t>
  </si>
  <si>
    <t>BC-223</t>
  </si>
  <si>
    <t>BC-224</t>
  </si>
  <si>
    <t>BC-225</t>
  </si>
  <si>
    <t>BC-226</t>
  </si>
  <si>
    <t>BC-227</t>
  </si>
  <si>
    <t>BC-228</t>
  </si>
  <si>
    <t>BC-229</t>
  </si>
  <si>
    <t>BC-230</t>
  </si>
  <si>
    <t>CHQ-0240-2026  &amp; CHQ-0264-2026</t>
  </si>
  <si>
    <t>CHQ-0265-2026</t>
  </si>
  <si>
    <t>CHQ-0268-2026</t>
  </si>
  <si>
    <t>CHQ-0269-2026</t>
  </si>
  <si>
    <t>wer</t>
  </si>
  <si>
    <t>DOSSA DOGNON MATHURIN</t>
  </si>
  <si>
    <t>PURCHASE OF SHEA</t>
  </si>
  <si>
    <t>DOSSOU GOUDOU ROMAIN</t>
  </si>
  <si>
    <t>SEYNI HASSANE</t>
  </si>
  <si>
    <t>DATE</t>
  </si>
  <si>
    <t>MONTANT</t>
  </si>
  <si>
    <t>NO CHEQUE</t>
  </si>
  <si>
    <t>DESCRIPTION</t>
  </si>
  <si>
    <t>TOTAL</t>
  </si>
  <si>
    <t>COMLAN MAHOUSSE</t>
  </si>
  <si>
    <t>MONTCHO NORBERT</t>
  </si>
  <si>
    <t>ACCLOMBESSI LOUIS</t>
  </si>
  <si>
    <t>FOURNISSEUR</t>
  </si>
  <si>
    <t>NB CHEQUE</t>
  </si>
  <si>
    <t>CHQ-0270-2026</t>
  </si>
  <si>
    <t>FRS00051</t>
  </si>
  <si>
    <t>Mme ROSE</t>
  </si>
  <si>
    <t>CH1044RB/CH1043RB</t>
  </si>
  <si>
    <t>CA1763RB/AR2571RB</t>
  </si>
  <si>
    <t>AL5174RB/AR2338RB</t>
  </si>
  <si>
    <t>CF9265RB/CF6734RB</t>
  </si>
  <si>
    <t>BV6583RB/BN7484RB</t>
  </si>
  <si>
    <t>BZ3764RB/BZ3763RB</t>
  </si>
  <si>
    <t>BE3081RB/BE3082RB</t>
  </si>
  <si>
    <t>BS9711RB/BX0221RB</t>
  </si>
  <si>
    <t>BT6961RB/AT1852RB</t>
  </si>
  <si>
    <t>BS3473RB/BS7499RB</t>
  </si>
  <si>
    <t>BC-231</t>
  </si>
  <si>
    <t>FRS00052</t>
  </si>
  <si>
    <t>RAMDAN ADAM</t>
  </si>
  <si>
    <t>CG1468RB/AU5458RB</t>
  </si>
  <si>
    <t>BC-232</t>
  </si>
  <si>
    <t>CH4863RB/AM4775RB</t>
  </si>
  <si>
    <t>BC-233</t>
  </si>
  <si>
    <t>FRS00053</t>
  </si>
  <si>
    <t>FRED MAKITA</t>
  </si>
  <si>
    <t>BC-234</t>
  </si>
  <si>
    <t>CF7287RB</t>
  </si>
  <si>
    <t>BC-235</t>
  </si>
  <si>
    <t>BC-236</t>
  </si>
  <si>
    <t>CE5406RB/CB7487RB</t>
  </si>
  <si>
    <t>BC-237</t>
  </si>
  <si>
    <t>BC-238</t>
  </si>
  <si>
    <t>AH7261RB/BX8341RB</t>
  </si>
  <si>
    <t>BG5496RB/BN2261RB</t>
  </si>
  <si>
    <t>BC-239</t>
  </si>
  <si>
    <t>CL7219RB</t>
  </si>
  <si>
    <t>BC-240</t>
  </si>
  <si>
    <t>CHQ-0273-2026</t>
  </si>
  <si>
    <t>CHQ-0274-2026</t>
  </si>
  <si>
    <t>CHQ-0267-2026 &amp; CHQ-0276-2026</t>
  </si>
  <si>
    <t>CHQ-0275-2026</t>
  </si>
  <si>
    <t>AM9773RB/AM9774RB</t>
  </si>
  <si>
    <t>AS8230RB/AX5255RB</t>
  </si>
  <si>
    <t>BC-241</t>
  </si>
  <si>
    <t>BC-242</t>
  </si>
  <si>
    <t>BB1051RB/AR6757RB</t>
  </si>
  <si>
    <t>BC-243</t>
  </si>
  <si>
    <t>BA1086RB/AF1899RB</t>
  </si>
  <si>
    <t>BC-244</t>
  </si>
  <si>
    <t>AV5903RB/AC2684RB</t>
  </si>
  <si>
    <t>BC-245</t>
  </si>
  <si>
    <t>FRS00054</t>
  </si>
  <si>
    <t>ASSOUNI WAHABOU</t>
  </si>
  <si>
    <t>BN0185RB/AY0236RB</t>
  </si>
  <si>
    <t>BC-246</t>
  </si>
  <si>
    <t>BY4655RB/CG5413RB</t>
  </si>
  <si>
    <t>BC-247</t>
  </si>
  <si>
    <t>BC-248</t>
  </si>
  <si>
    <t>BC-249</t>
  </si>
  <si>
    <t>BS8406RB/BH2994RB</t>
  </si>
  <si>
    <t>BC-250</t>
  </si>
  <si>
    <t>BD6670RB/BC8452RB</t>
  </si>
  <si>
    <t>BC-251</t>
  </si>
  <si>
    <t>BF5270RB/BF5272RB</t>
  </si>
  <si>
    <t>BC-252</t>
  </si>
  <si>
    <t>CG4034RB</t>
  </si>
  <si>
    <t>BC-253</t>
  </si>
  <si>
    <t>BC-254</t>
  </si>
  <si>
    <t>BR2580RB/CC3813RB</t>
  </si>
  <si>
    <t>BC-255</t>
  </si>
  <si>
    <t>CB7962RB/CC1997RB</t>
  </si>
  <si>
    <t>BC-256</t>
  </si>
  <si>
    <t>FRS00055</t>
  </si>
  <si>
    <t>ABDOU AZIZ</t>
  </si>
  <si>
    <t>BC-257</t>
  </si>
  <si>
    <t>BD2087RB/BD2088RB</t>
  </si>
  <si>
    <t>BC-258</t>
  </si>
  <si>
    <t>AY2106RB/AY2107RB</t>
  </si>
  <si>
    <t>BC-259</t>
  </si>
  <si>
    <t>BZ8477RB/AD2055RB</t>
  </si>
  <si>
    <t>BC-260</t>
  </si>
  <si>
    <t>FRS00056</t>
  </si>
  <si>
    <t>FREEMAN</t>
  </si>
  <si>
    <t>CG3252RB/CG3365RB</t>
  </si>
  <si>
    <t>BC-262</t>
  </si>
  <si>
    <t>FRS00057</t>
  </si>
  <si>
    <t>KPADONOU SOUROU</t>
  </si>
  <si>
    <t>BV1174RB/BV1137RB</t>
  </si>
  <si>
    <t>BC-263</t>
  </si>
  <si>
    <t>CH8791RB</t>
  </si>
  <si>
    <t>BC-264</t>
  </si>
  <si>
    <t>BD2652RB/Z3332RB</t>
  </si>
  <si>
    <t>BC-265</t>
  </si>
  <si>
    <t>BH3279RB/AN6675RB</t>
  </si>
  <si>
    <t>BC-267</t>
  </si>
  <si>
    <t>BC-266</t>
  </si>
  <si>
    <t>BV3604RB/AF4311RB</t>
  </si>
  <si>
    <t>BX7268RB/BX7269RB</t>
  </si>
  <si>
    <t>BC-268</t>
  </si>
  <si>
    <t>CK6669RB/AS0139RB</t>
  </si>
  <si>
    <t>BY0595RB/BT9373RB</t>
  </si>
  <si>
    <t>BC-269</t>
  </si>
  <si>
    <t>BC-270</t>
  </si>
  <si>
    <t>BC-271</t>
  </si>
  <si>
    <t>FRS00058</t>
  </si>
  <si>
    <t>MM LEKKER</t>
  </si>
  <si>
    <t>AX2950RB/AY4562RB</t>
  </si>
  <si>
    <t>BC-272</t>
  </si>
  <si>
    <t>BN4683RB/CF1021RB</t>
  </si>
  <si>
    <t>BC-273</t>
  </si>
  <si>
    <t>BT7986RB/7988RB</t>
  </si>
  <si>
    <t>BC-274</t>
  </si>
  <si>
    <t>CHQ-0245-2026  &amp; CHQ-0266-2026 &amp; CHQ-0277-2026</t>
  </si>
  <si>
    <t>CHQ-0278-2026</t>
  </si>
  <si>
    <t>CHQ-0279-2026</t>
  </si>
  <si>
    <t>CHQ-0280-2026</t>
  </si>
  <si>
    <t>CHQ-0281-2026</t>
  </si>
  <si>
    <t>CHQ-0282-2026</t>
  </si>
  <si>
    <t>CHQ-283-2026</t>
  </si>
  <si>
    <t>CHQ-0284-2026</t>
  </si>
  <si>
    <t>CHQ-0286-2026</t>
  </si>
  <si>
    <t>CHQ-0288-2026</t>
  </si>
  <si>
    <t>CHQ-0290-2026</t>
  </si>
  <si>
    <t>CHQ-0291-2026</t>
  </si>
  <si>
    <t>BD6670RB/BC8458RB</t>
  </si>
  <si>
    <t>CF7287RB/BD4567RB</t>
  </si>
  <si>
    <t>BV3975RB/AN0463RB</t>
  </si>
  <si>
    <t>CF5192RB/BT5099RB</t>
  </si>
  <si>
    <t>FRS00059</t>
  </si>
  <si>
    <t>MR MOUSSA</t>
  </si>
  <si>
    <t>BK2938RB/BD3428RB</t>
  </si>
  <si>
    <t>AX4490RB/AE9013RB</t>
  </si>
  <si>
    <t>AX6480RB/AX6481RB</t>
  </si>
  <si>
    <t>CK4346RB</t>
  </si>
  <si>
    <t>CH4863RB/AM4675RB</t>
  </si>
  <si>
    <t>AZ9858RB/BA3181RB</t>
  </si>
  <si>
    <t>FRS00060</t>
  </si>
  <si>
    <t>MR TIDJANI</t>
  </si>
  <si>
    <t>CD4852RB/BR1647RB</t>
  </si>
  <si>
    <t>CHQ-0311-202</t>
  </si>
  <si>
    <t>CHQ-0305-2026</t>
  </si>
  <si>
    <t>CHQ-0306-2026</t>
  </si>
  <si>
    <t>CHQ-0287-2026 &amp; CHQ-0306-2026</t>
  </si>
  <si>
    <t>CHQ-0312-2026</t>
  </si>
  <si>
    <t>CHQ-0309-2026</t>
  </si>
  <si>
    <t>CHQ-0301-2026</t>
  </si>
  <si>
    <t>CHQ-0300-2026</t>
  </si>
  <si>
    <t>CHQ-0318-2026</t>
  </si>
  <si>
    <t>CHQ-0295-2026</t>
  </si>
  <si>
    <t>CHQ-0298-2026</t>
  </si>
  <si>
    <t>CHQ-0297-2026</t>
  </si>
  <si>
    <t>CHQ-0302-2026</t>
  </si>
  <si>
    <t>CHQ-0303-2026</t>
  </si>
  <si>
    <t>CHQ-283-2026 &amp; CHQ-0307-2026</t>
  </si>
  <si>
    <t>CHQ-0310-2026</t>
  </si>
  <si>
    <t>CHQ-0315-2026</t>
  </si>
  <si>
    <t>CHQ-0316-2026</t>
  </si>
  <si>
    <t>CHQ-0321-2026</t>
  </si>
  <si>
    <t>CHQ-0323-2026</t>
  </si>
  <si>
    <t>BT4866RB/BT4599RB</t>
  </si>
  <si>
    <t>BS2916RB/BJ2443RB</t>
  </si>
  <si>
    <t>BE8673RB/BP2961RB</t>
  </si>
  <si>
    <t>FRS00061</t>
  </si>
  <si>
    <t>YAROU BAGUIRI</t>
  </si>
  <si>
    <t>BF8012RB/BB6287RB</t>
  </si>
  <si>
    <t>CH0818RB/CH0816RB</t>
  </si>
  <si>
    <t>CB9758RB/BG3184RB</t>
  </si>
  <si>
    <t>CH5581RB</t>
  </si>
  <si>
    <t>BR8361RB/BS0670RB</t>
  </si>
  <si>
    <t>CB6370RB/BY4656RB</t>
  </si>
  <si>
    <t>BN4942RB/AH9816RB</t>
  </si>
  <si>
    <t>BX5247RB/BX9982RB</t>
  </si>
  <si>
    <t>FRS00062</t>
  </si>
  <si>
    <t>ALEXANDRE</t>
  </si>
  <si>
    <t>BV3756RB/BR3861RB</t>
  </si>
  <si>
    <t>CHQ-0271-2026</t>
  </si>
  <si>
    <t>CHQ-0304-2026</t>
  </si>
  <si>
    <t>CHQ-0329-2026</t>
  </si>
  <si>
    <t>CHQ-0354-2026</t>
  </si>
  <si>
    <t>CHQ-0379-2026</t>
  </si>
  <si>
    <t>CHQ-0372-2026</t>
  </si>
  <si>
    <t>CHQ-0347-2026</t>
  </si>
  <si>
    <t>CHQ-0339-2026</t>
  </si>
  <si>
    <t>CHQ-0326-2026</t>
  </si>
  <si>
    <t>CHQ-0299-2026 &amp; CHQ-0325-2026</t>
  </si>
  <si>
    <t>CHQ-0345-2026</t>
  </si>
  <si>
    <t>CHQ-0370-2026 &amp; CHQ-0348-2026</t>
  </si>
  <si>
    <t xml:space="preserve">40.78 mt </t>
  </si>
  <si>
    <t>Column1</t>
  </si>
  <si>
    <t>BA8695RB/BB6601RB</t>
  </si>
  <si>
    <t>CA7583RB:AP2290RB</t>
  </si>
  <si>
    <t>BB7092RB/BC5197RB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</si>
</sst>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[$XOF]\ * #,##0_);_([$XOF]\ * \(#,##0\);_([$XOF]\ * &quot;-&quot;_);_(@_)"/>
    <numFmt numFmtId="168" formatCode="###\ ###\ ###\ ###"/>
  </numFmts>
  <fonts count="29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8"/>
      <color rgb="FF1F3864"/>
      <name val="Arial"/>
      <family val="2"/>
    </font>
    <font>
      <b/>
      <sz val="9"/>
      <color rgb="FF1F3864"/>
      <name val="Arial"/>
      <family val="2"/>
    </font>
    <font>
      <b/>
      <sz val="14"/>
      <color rgb="FF2E5395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charset val="1"/>
    </font>
    <font>
      <b/>
      <sz val="12"/>
      <color theme="1"/>
      <name val="Calibri"/>
      <family val="2"/>
    </font>
    <font>
      <b/>
      <sz val="10"/>
      <color rgb="FFFFFFFF"/>
      <name val="Arial"/>
      <family val="2"/>
    </font>
    <font>
      <b/>
      <sz val="10"/>
      <color rgb="FFFFFFFF"/>
      <name val="Arial"/>
      <family val="2"/>
      <charset val="1"/>
    </font>
    <font>
      <b/>
      <sz val="12"/>
      <name val="Arial"/>
      <family val="2"/>
    </font>
    <font>
      <b/>
      <sz val="12"/>
      <color rgb="FF0070C0"/>
      <name val="Arial"/>
      <family val="2"/>
    </font>
    <font>
      <sz val="11"/>
      <color theme="1"/>
      <name val="Calibri"/>
      <family val="2"/>
    </font>
    <font>
      <b/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1F3864"/>
      <name val="Arial"/>
      <family val="2"/>
    </font>
    <font>
      <sz val="1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rgb="FF0070C0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sz val="14"/>
      <color theme="1"/>
      <name val="Calibri"/>
      <family val="2"/>
      <charset val="1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9F9F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rgb="FFB7C3DA"/>
      </left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 style="thin">
        <color rgb="FFB7C3DA"/>
      </right>
      <top/>
      <bottom style="thin">
        <color rgb="FFB7C3D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C3DA"/>
      </right>
      <top style="thin">
        <color rgb="FFB7C3DA"/>
      </top>
      <bottom style="thin">
        <color rgb="FFB7C3DA"/>
      </bottom>
      <diagonal/>
    </border>
    <border>
      <left style="thin">
        <color rgb="FFB7C3DA"/>
      </left>
      <right/>
      <top style="thin">
        <color rgb="FFB7C3DA"/>
      </top>
      <bottom style="thin">
        <color rgb="FFB7C3DA"/>
      </bottom>
      <diagonal/>
    </border>
    <border>
      <left/>
      <right style="thin">
        <color rgb="FFB7C3DA"/>
      </right>
      <top/>
      <bottom style="thin">
        <color rgb="FFB7C3DA"/>
      </bottom>
      <diagonal/>
    </border>
    <border>
      <left style="thin">
        <color rgb="FFB7C3DA"/>
      </left>
      <right/>
      <top/>
      <bottom style="thin">
        <color rgb="FFB7C3DA"/>
      </bottom>
      <diagonal/>
    </border>
    <border>
      <left style="thin">
        <color rgb="FFB7C3DA"/>
      </left>
      <right style="thin">
        <color rgb="FFB7C3DA"/>
      </right>
      <top style="thin">
        <color rgb="FFB7C3DA"/>
      </top>
      <bottom/>
      <diagonal/>
    </border>
    <border>
      <left style="thin">
        <color rgb="FFB7C3DA"/>
      </left>
      <right/>
      <top style="thin">
        <color rgb="FFB7C3DA"/>
      </top>
      <bottom/>
      <diagonal/>
    </border>
    <border>
      <left/>
      <right style="thin">
        <color rgb="FFB7C3DA"/>
      </right>
      <top style="thin">
        <color rgb="FFB7C3DA"/>
      </top>
      <bottom/>
      <diagonal/>
    </border>
  </borders>
  <cellStyleXfs count="2">
    <xf numFmtId="0" fontId="0" fillId="0" borderId="0"/>
    <xf numFmtId="164" fontId="2" fillId="0" borderId="0" applyBorder="0" applyAlignment="0" applyProtection="0"/>
  </cellStyleXfs>
  <cellXfs count="82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 wrapText="1"/>
    </xf>
    <xf numFmtId="0" fontId="9" fillId="0" borderId="1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1" fillId="6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3" fillId="2" borderId="2" xfId="0" applyFont="1" applyFill="1" applyBorder="1" applyAlignment="1">
      <alignment horizontal="center" vertical="center" wrapText="1"/>
    </xf>
    <xf numFmtId="0" fontId="9" fillId="5" borderId="4" xfId="0" applyFont="1" applyFill="1" applyBorder="1"/>
    <xf numFmtId="0" fontId="12" fillId="2" borderId="6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9" fontId="0" fillId="0" borderId="5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167" fontId="21" fillId="0" borderId="3" xfId="0" applyNumberFormat="1" applyFont="1" applyBorder="1" applyAlignment="1">
      <alignment horizontal="center" vertical="center"/>
    </xf>
    <xf numFmtId="167" fontId="22" fillId="0" borderId="3" xfId="0" applyNumberFormat="1" applyFont="1" applyBorder="1" applyAlignment="1">
      <alignment horizontal="center" vertical="center"/>
    </xf>
    <xf numFmtId="167" fontId="23" fillId="0" borderId="3" xfId="0" applyNumberFormat="1" applyFont="1" applyBorder="1" applyAlignment="1">
      <alignment horizontal="center" vertical="center"/>
    </xf>
    <xf numFmtId="167" fontId="24" fillId="0" borderId="3" xfId="0" applyNumberFormat="1" applyFont="1" applyBorder="1" applyAlignment="1">
      <alignment horizontal="center" vertical="center"/>
    </xf>
    <xf numFmtId="0" fontId="25" fillId="0" borderId="3" xfId="0" applyFont="1" applyBorder="1"/>
    <xf numFmtId="14" fontId="5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3" fontId="0" fillId="0" borderId="8" xfId="0" applyNumberForma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4" fontId="0" fillId="7" borderId="8" xfId="0" applyNumberFormat="1" applyFill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4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14" fontId="5" fillId="2" borderId="6" xfId="0" applyNumberFormat="1" applyFont="1" applyFill="1" applyBorder="1" applyAlignment="1">
      <alignment horizontal="center" vertical="center" wrapText="1"/>
    </xf>
    <xf numFmtId="3" fontId="20" fillId="0" borderId="8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1" fillId="0" borderId="3" xfId="0" applyFont="1" applyBorder="1"/>
    <xf numFmtId="166" fontId="21" fillId="0" borderId="3" xfId="0" applyNumberFormat="1" applyFont="1" applyBorder="1"/>
    <xf numFmtId="0" fontId="16" fillId="0" borderId="3" xfId="0" applyFont="1" applyBorder="1"/>
    <xf numFmtId="166" fontId="27" fillId="0" borderId="3" xfId="1" applyNumberFormat="1" applyFont="1" applyBorder="1"/>
    <xf numFmtId="0" fontId="27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168" fontId="27" fillId="0" borderId="3" xfId="0" applyNumberFormat="1" applyFont="1" applyBorder="1" applyAlignment="1">
      <alignment horizontal="center" vertical="center"/>
    </xf>
    <xf numFmtId="166" fontId="1" fillId="0" borderId="3" xfId="1" applyNumberFormat="1" applyFont="1" applyBorder="1"/>
    <xf numFmtId="15" fontId="1" fillId="0" borderId="3" xfId="0" applyNumberFormat="1" applyFont="1" applyBorder="1"/>
    <xf numFmtId="0" fontId="1" fillId="0" borderId="3" xfId="0" applyFont="1" applyBorder="1"/>
    <xf numFmtId="15" fontId="28" fillId="0" borderId="3" xfId="0" applyNumberFormat="1" applyFont="1" applyBorder="1"/>
    <xf numFmtId="0" fontId="28" fillId="0" borderId="3" xfId="0" applyFont="1" applyBorder="1"/>
    <xf numFmtId="166" fontId="28" fillId="0" borderId="3" xfId="1" applyNumberFormat="1" applyFont="1" applyBorder="1"/>
    <xf numFmtId="15" fontId="16" fillId="0" borderId="3" xfId="0" applyNumberFormat="1" applyFont="1" applyBorder="1"/>
    <xf numFmtId="0" fontId="16" fillId="8" borderId="3" xfId="0" applyFont="1" applyFill="1" applyBorder="1"/>
    <xf numFmtId="0" fontId="1" fillId="8" borderId="3" xfId="0" applyFont="1" applyFill="1" applyBorder="1"/>
    <xf numFmtId="0" fontId="26" fillId="0" borderId="1" xfId="0" applyFont="1" applyBorder="1" applyAlignment="1">
      <alignment horizontal="center" vertical="center" wrapText="1"/>
    </xf>
    <xf numFmtId="3" fontId="0" fillId="9" borderId="8" xfId="0" applyNumberFormat="1" applyFill="1" applyBorder="1" applyAlignment="1">
      <alignment horizontal="center" vertical="center" wrapText="1"/>
    </xf>
    <xf numFmtId="0" fontId="25" fillId="0" borderId="0" xfId="0" applyFont="1"/>
    <xf numFmtId="3" fontId="0" fillId="0" borderId="0" xfId="0" applyNumberFormat="1"/>
    <xf numFmtId="0" fontId="11" fillId="0" borderId="3" xfId="0" applyFont="1" applyBorder="1" applyAlignment="1">
      <alignment horizontal="center" vertical="center"/>
    </xf>
    <xf numFmtId="166" fontId="14" fillId="0" borderId="3" xfId="1" applyNumberFormat="1" applyFont="1" applyBorder="1" applyAlignment="1">
      <alignment horizontal="center" vertical="center"/>
    </xf>
    <xf numFmtId="166" fontId="15" fillId="0" borderId="3" xfId="1" applyNumberFormat="1" applyFont="1" applyBorder="1" applyAlignment="1">
      <alignment horizontal="center" vertical="center"/>
    </xf>
    <xf numFmtId="166" fontId="17" fillId="0" borderId="3" xfId="1" applyNumberFormat="1" applyFont="1" applyBorder="1" applyAlignment="1">
      <alignment horizontal="center" vertical="center"/>
    </xf>
    <xf numFmtId="166" fontId="18" fillId="0" borderId="3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3" fontId="19" fillId="4" borderId="1" xfId="0" applyNumberFormat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61">
    <dxf>
      <font>
        <color rgb="FF9C0006"/>
      </font>
      <fill>
        <patternFill>
          <bgColor rgb="FFFFC7CE"/>
        </patternFill>
      </fill>
    </dxf>
    <dxf>
      <font>
        <b/>
        <color rgb="FFB00020"/>
      </font>
      <fill>
        <patternFill>
          <bgColor rgb="FFFBD5D5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1E7B45"/>
      </font>
      <fill>
        <patternFill>
          <bgColor rgb="FFC6E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B00020"/>
      </font>
      <fill>
        <patternFill>
          <bgColor rgb="FFFBD5D5"/>
        </patternFill>
      </fill>
    </dxf>
    <dxf>
      <font>
        <b/>
        <color rgb="FF1E7B45"/>
      </font>
      <fill>
        <patternFill>
          <bgColor rgb="FFC6E7CE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i val="0"/>
        <color rgb="FFFF0000"/>
      </font>
      <fill>
        <patternFill>
          <bgColor theme="9" tint="0.39994506668294322"/>
        </patternFill>
      </fill>
    </dxf>
    <dxf>
      <font>
        <b/>
        <i val="0"/>
        <color theme="6" tint="-0.24994659260841701"/>
      </font>
      <fill>
        <patternFill>
          <bgColor rgb="FFBEF0D2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/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  <fill>
        <patternFill patternType="solid">
          <fgColor rgb="FFF9F9F9"/>
          <bgColor rgb="FFF2F2F2"/>
        </patternFill>
      </fill>
      <border diagonalUp="0" diagonalDown="0"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fill>
        <patternFill patternType="solid">
          <fgColor rgb="FFF9F9F9"/>
          <bgColor rgb="FFF2F2F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7C3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/>
        <bottom/>
      </border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textRotation="0" indent="0" justifyLastLine="0" shrinkToFit="0" readingOrder="0"/>
    </dxf>
    <dxf>
      <numFmt numFmtId="19" formatCode="dd/mm/yyyy"/>
      <alignment horizontal="center" textRotation="0" indent="0" justifyLastLine="0" shrinkToFit="0" readingOrder="0"/>
    </dxf>
    <dxf>
      <border outline="0">
        <top style="thin">
          <color rgb="FFB7C3DA"/>
        </top>
      </border>
    </dxf>
    <dxf>
      <border outline="0">
        <bottom style="thin">
          <color rgb="FFB7C3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/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3" formatCode="#,##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 style="thin">
          <color rgb="FFB7C3DA"/>
        </right>
        <top style="thin">
          <color rgb="FFB7C3DA"/>
        </top>
        <bottom style="thin">
          <color rgb="FFB7C3DA"/>
        </bottom>
        <vertical/>
        <horizontal/>
      </border>
    </dxf>
    <dxf>
      <border outline="0">
        <top style="thin">
          <color rgb="FFB7C3DA"/>
        </top>
      </border>
    </dxf>
    <dxf>
      <border outline="0">
        <left style="thin">
          <color rgb="FFB7C3DA"/>
        </left>
        <right style="thin">
          <color rgb="FFB7C3DA"/>
        </right>
        <top style="thin">
          <color rgb="FFB7C3DA"/>
        </top>
        <bottom style="thin">
          <color rgb="FFB7C3DA"/>
        </bottom>
      </border>
    </dxf>
    <dxf>
      <border outline="0">
        <bottom style="thin">
          <color rgb="FFB7C3DA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333333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C3DA"/>
        </left>
        <right style="thin">
          <color rgb="FFB7C3DA"/>
        </right>
        <top/>
        <bottom/>
      </border>
    </dxf>
  </dxfs>
  <tableStyles count="1" defaultTableStyle="TableStyleMedium2" defaultPivotStyle="PivotStyleLight16">
    <tableStyle name="Invisible" pivot="0" table="0" count="0" xr9:uid="{62A0204B-1D55-4306-9238-8154B51746AE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9C6500"/>
      <rgbColor rgb="FF800080"/>
      <rgbColor rgb="FF1E7B45"/>
      <rgbColor rgb="FFB7C3DA"/>
      <rgbColor rgb="FF878787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7CE"/>
      <rgbColor rgb="FFF9F9F9"/>
      <rgbColor rgb="FF99CCFF"/>
      <rgbColor rgb="FFFF99CC"/>
      <rgbColor rgb="FFCC99FF"/>
      <rgbColor rgb="FFFBD5D5"/>
      <rgbColor rgb="FF4F81BD"/>
      <rgbColor rgb="FF33CCCC"/>
      <rgbColor rgb="FF9BBB59"/>
      <rgbColor rgb="FFFFCC00"/>
      <rgbColor rgb="FFC9A227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C0504D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BEF0D2"/>
      <color rgb="FFCBF5CF"/>
      <color rgb="FF00A44A"/>
      <color rgb="FF75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8E82D7-BA2E-4B55-87A7-9FC717923960}" name="Table1" displayName="Table1" ref="C4:K281" totalsRowShown="0" headerRowDxfId="39" headerRowBorderDxfId="38" tableBorderDxfId="37">
  <autoFilter ref="C4:K281" xr:uid="{398E82D7-BA2E-4B55-87A7-9FC717923960}">
    <filterColumn colId="7">
      <filters>
        <filter val="EN ATTENTE"/>
      </filters>
    </filterColumn>
  </autoFilter>
  <sortState xmlns:xlrd2="http://schemas.microsoft.com/office/spreadsheetml/2017/richdata2" ref="C5:K98">
    <sortCondition ref="C4:C98"/>
  </sortState>
  <tableColumns count="9">
    <tableColumn id="1" xr3:uid="{FE1B363F-477E-4B2E-9110-44BCDD63E340}" name="Date" dataDxfId="36"/>
    <tableColumn id="2" xr3:uid="{EE4B2E0C-33B1-4CCE-92E7-536867B6D55B}" name="N° BC" dataDxfId="35"/>
    <tableColumn id="10" xr3:uid="{4C451A94-D173-4160-931B-071999BE3AAA}" name="Code Frs" dataDxfId="34"/>
    <tableColumn id="3" xr3:uid="{136E78C7-470B-4E49-BDC4-6DB2ABF76194}" name="Fournisseur">
      <calculatedColumnFormula>_xlfn.XLOOKUP(Table1[[#This Row],[Code Frs]],'CODE FRS'!B:B,'CODE FRS'!C:C)</calculatedColumnFormula>
    </tableColumn>
    <tableColumn id="4" xr3:uid="{698273FE-39A4-41E2-B2C5-06272F986802}" name="N° Camion" dataDxfId="33"/>
    <tableColumn id="5" xr3:uid="{F0023935-E92E-424E-B849-52A16ABF9378}" name="Contact Chauffeur" dataDxfId="32"/>
    <tableColumn id="11" xr3:uid="{6D2B6170-2330-4D61-9BD1-8262210CB69A}" name="Order QTY(MT)" dataDxfId="31"/>
    <tableColumn id="6" xr3:uid="{7378A816-5207-4500-B071-729FFFC67397}" name="Verdict Labo" dataDxfId="30"/>
    <tableColumn id="9" xr3:uid="{5018D851-D4EA-4CCF-B628-8C56751FE5C9}" name="Statut Livraison" dataDxfId="29">
      <calculatedColumnFormula>_xlfn.IFNA(_xlfn.XLOOKUP(Table1[[#This Row],[N° BC]],'Commandes Dechargees'!B:B,'Commandes Dechargees'!P:P),"EN ATTENTE DE DECHARGEMENT")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EAA48A-542C-48EA-8AB2-78CCAECFE920}" name="Table2" displayName="Table2" ref="A4:R210" totalsRowShown="0" headerRowDxfId="60" headerRowBorderDxfId="59" tableBorderDxfId="58" totalsRowBorderDxfId="57">
  <autoFilter ref="A4:R210" xr:uid="{D3EAA48A-542C-48EA-8AB2-78CCAECFE920}"/>
  <sortState xmlns:xlrd2="http://schemas.microsoft.com/office/spreadsheetml/2017/richdata2" ref="A25:Q41">
    <sortCondition descending="1" ref="E4:E55"/>
  </sortState>
  <tableColumns count="18">
    <tableColumn id="1" xr3:uid="{D5269B60-2A06-47BF-9545-207BE868F06B}" name="Date Dechargement" dataDxfId="56"/>
    <tableColumn id="2" xr3:uid="{A2228A87-71F8-4BAE-9C77-36A209A69538}" name="N° BC" dataDxfId="55"/>
    <tableColumn id="3" xr3:uid="{8E11B5AB-0409-4B1D-8A19-10B6F8A31ADF}" name="Transaction" dataDxfId="54"/>
    <tableColumn id="4" xr3:uid="{DF434DD2-CAEC-41B2-84D9-51205D5BFA36}" name="Code Frs" dataDxfId="53"/>
    <tableColumn id="5" xr3:uid="{40345446-021D-4F75-8B6C-714821AEA39C}" name="Fournisseur" dataDxfId="52">
      <calculatedColumnFormula>_xlfn.XLOOKUP(D5,'CODE FRS'!B:B,'CODE FRS'!C:C)</calculatedColumnFormula>
    </tableColumn>
    <tableColumn id="6" xr3:uid="{A933F1BE-DC43-453C-8329-A455DD87A888}" name="N° Camion" dataDxfId="51"/>
    <tableColumn id="7" xr3:uid="{A8A9F77E-0F63-4623-A3F8-F6E7E238F4E3}" name="WEIGHMENT TICKET" dataDxfId="50"/>
    <tableColumn id="8" xr3:uid="{B75E5174-1385-481A-8E46-A4066B18D828}" name="Poids Net (KG)" dataDxfId="49"/>
    <tableColumn id="9" xr3:uid="{BBC79CCA-963A-40B5-AF15-22D13ADA63D1}" name="Nb Sacs" dataDxfId="48"/>
    <tableColumn id="10" xr3:uid="{BA0A2F9A-9FAF-44D6-B9C6-DA33092C3A80}" name="PU (FCFA/KG)" dataDxfId="47"/>
    <tableColumn id="11" xr3:uid="{C41BBBE5-1935-4953-8A06-DCFC802B5033}" name="Montant Du" dataDxfId="46">
      <calculatedColumnFormula>H5*J5</calculatedColumnFormula>
    </tableColumn>
    <tableColumn id="12" xr3:uid="{F9EA5E3E-3273-4E3B-A365-B4034B1444D4}" name="Montant Paye" dataDxfId="45"/>
    <tableColumn id="13" xr3:uid="{2477C53F-BDAD-4A09-91EF-E7887F445ACA}" name="Solde Restant" dataDxfId="44">
      <calculatedColumnFormula>K5-L5</calculatedColumnFormula>
    </tableColumn>
    <tableColumn id="14" xr3:uid="{AC9075BF-ED6F-45D4-A354-833AF74906E3}" name="Statut Paiement" dataDxfId="43">
      <calculatedColumnFormula array="1">_xlfn.IFS(M5=0,"PAYE", M5&lt;0,"SURPLUS", K5=M5,"NON PAYE", TRUE,"PARTIEL")</calculatedColumnFormula>
    </tableColumn>
    <tableColumn id="15" xr3:uid="{2FF568DF-B4F4-4737-A4E9-471C1625CD5A}" name="Bon de paiement" dataDxfId="42"/>
    <tableColumn id="16" xr3:uid="{5A1490F6-A0CB-42A1-9AFB-DF199D7D9F48}" name="Statut Livraison" dataDxfId="41"/>
    <tableColumn id="17" xr3:uid="{CAF598C7-3FB9-477D-99B4-C365B245937D}" name="Lieu Stockage" dataDxfId="40"/>
    <tableColumn id="18" xr3:uid="{B4D082B3-D43E-4929-8260-F062C856FAC6}" name="Column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AD43CD-002D-4AB5-B8BC-5CC1491C5E6F}" name="Table3" displayName="Table3" ref="C4:L50" totalsRowShown="0" headerRowDxfId="28" dataDxfId="26" headerRowBorderDxfId="27" tableBorderDxfId="25" totalsRowBorderDxfId="24">
  <autoFilter ref="C4:L50" xr:uid="{97AD43CD-002D-4AB5-B8BC-5CC1491C5E6F}"/>
  <tableColumns count="10">
    <tableColumn id="1" xr3:uid="{BB6F30DD-6C4C-4641-A311-059D15A91D50}" name="Code FRS" dataDxfId="23">
      <calculatedColumnFormula>'CODE FRS'!B4</calculatedColumnFormula>
    </tableColumn>
    <tableColumn id="2" xr3:uid="{CDBCB2D3-D39D-41FB-B1C6-44633F9676ED}" name="Fournisseur" dataDxfId="22">
      <calculatedColumnFormula>_xlfn.XLOOKUP(C5,'CODE FRS'!B:B,'CODE FRS'!C:C)</calculatedColumnFormula>
    </tableColumn>
    <tableColumn id="3" xr3:uid="{7BB73260-46D5-41FE-AF09-E7013B5D9BD5}" name="Nb BC Passes" dataDxfId="21">
      <calculatedColumnFormula>COUNTIF('Bons de Commande'!E:E,Table3[[#This Row],[Code FRS]])</calculatedColumnFormula>
    </tableColumn>
    <tableColumn id="4" xr3:uid="{0F5C8462-6DAC-4B9C-89AF-ADECF74A13B5}" name="Nb rejet" dataDxfId="20">
      <calculatedColumnFormula>COUNTIFS(Table1[Statut Livraison],"REJETE",Table1[Fournisseur],Table3[[#This Row],[Fournisseur]])</calculatedColumnFormula>
    </tableColumn>
    <tableColumn id="5" xr3:uid="{F2B97116-F54C-490A-B25C-9F44E2635347}" name="Nb Camions Livres" dataDxfId="19">
      <calculatedColumnFormula>COUNTIF('Commandes Dechargees'!D:D,Table3[[#This Row],[Code FRS]])</calculatedColumnFormula>
    </tableColumn>
    <tableColumn id="6" xr3:uid="{7995F7F4-6DFB-4286-A262-10A19624E4BB}" name="Poids Net Livre (KG)" dataDxfId="18">
      <calculatedColumnFormula>SUMIFS('Commandes Dechargees'!H:H,'Commandes Dechargees'!D:D,Table3[[#This Row],[Code FRS]])</calculatedColumnFormula>
    </tableColumn>
    <tableColumn id="7" xr3:uid="{46748998-15B6-40DB-8AB4-6FD6B4BEBBBA}" name="Montant Total Du (FCFA)" dataDxfId="17">
      <calculatedColumnFormula>SUMIFS('Commandes Dechargees'!K:K,'Commandes Dechargees'!D:D,Table3[[#This Row],[Code FRS]])</calculatedColumnFormula>
    </tableColumn>
    <tableColumn id="8" xr3:uid="{6540FC38-720A-4D96-BD48-11578A782EB1}" name="Montant Paye (FCFA)" dataDxfId="16">
      <calculatedColumnFormula>SUMIFS('Commandes Dechargees'!L:L,'Commandes Dechargees'!D:D,Table3[[#This Row],[Code FRS]])</calculatedColumnFormula>
    </tableColumn>
    <tableColumn id="9" xr3:uid="{588F1D16-0E65-46AF-AE7B-4AC82EF673F0}" name="Solde Restant Du (FCFA)" dataDxfId="15">
      <calculatedColumnFormula>I5-J5</calculatedColumnFormula>
    </tableColumn>
    <tableColumn id="10" xr3:uid="{A219B73C-E51C-42B7-B5DB-4D1695DBB30E}" name="% Paye" dataDxfId="14">
      <calculatedColumnFormula>IFERROR(J5/I5,0)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19" dT="2026-09-01T10:24:05.36" personId="{00000000-0000-0000-0000-000000000000}" id="{49EAC73E-3278-4A00-8546-DA413827C04F}">
    <text>Mr ISAAC de Mme KADIATOU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rgb="FF1F3864"/>
    <pageSetUpPr fitToPage="1"/>
  </sheetPr>
  <dimension ref="A1:L10"/>
  <sheetViews>
    <sheetView showGridLines="0" zoomScaleNormal="100" workbookViewId="0">
      <selection activeCell="F13" sqref="F13"/>
    </sheetView>
  </sheetViews>
  <sheetFormatPr baseColWidth="10" defaultColWidth="8.6328125" defaultRowHeight="14.5" x14ac:dyDescent="0.35"/>
  <cols>
    <col min="1" max="12" width="13" customWidth="1"/>
  </cols>
  <sheetData>
    <row r="1" spans="1:12" ht="45.75" customHeight="1" x14ac:dyDescent="0.35">
      <c r="A1" s="74" t="s">
        <v>386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2" ht="18" customHeight="1" x14ac:dyDescent="0.3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4" spans="1:12" ht="27.75" customHeight="1" x14ac:dyDescent="0.35">
      <c r="A4" s="76" t="s">
        <v>0</v>
      </c>
      <c r="B4" s="76"/>
      <c r="C4" s="76" t="s">
        <v>1</v>
      </c>
      <c r="D4" s="76"/>
      <c r="E4" s="76" t="s">
        <v>2</v>
      </c>
      <c r="F4" s="76"/>
      <c r="G4" s="76" t="s">
        <v>3</v>
      </c>
      <c r="H4" s="76"/>
      <c r="I4" s="76" t="s">
        <v>4</v>
      </c>
      <c r="J4" s="76"/>
      <c r="K4" s="76" t="s">
        <v>5</v>
      </c>
      <c r="L4" s="76"/>
    </row>
    <row r="5" spans="1:12" ht="19.5" customHeight="1" x14ac:dyDescent="0.35">
      <c r="A5" s="77">
        <f>COUNTA('Bons de Commande'!D5:D1048576)</f>
        <v>277</v>
      </c>
      <c r="B5" s="77"/>
      <c r="C5" s="77">
        <f>COUNTA('Commandes Dechargees'!D5:D1048576)</f>
        <v>206</v>
      </c>
      <c r="D5" s="77"/>
      <c r="E5" s="79">
        <f>COUNTIF('Bons de Commande'!J5:J1048576,"EN ATTENTE")</f>
        <v>141</v>
      </c>
      <c r="F5" s="77"/>
      <c r="G5" s="77">
        <f>SUM('Commandes Dechargees'!H5:H1048576)</f>
        <v>8761330</v>
      </c>
      <c r="H5" s="77"/>
      <c r="I5" s="77">
        <f>SUM('Commandes Dechargees'!K5:K1048576)</f>
        <v>2912240270</v>
      </c>
      <c r="J5" s="77"/>
      <c r="K5" s="77">
        <f>SUM('Commandes Dechargees'!M5:M1048576)</f>
        <v>600435374</v>
      </c>
      <c r="L5" s="77"/>
    </row>
    <row r="6" spans="1:12" ht="19.5" customHeight="1" x14ac:dyDescent="0.35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</row>
    <row r="7" spans="1:12" ht="19.5" customHeight="1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</row>
    <row r="9" spans="1:12" ht="25.5" customHeight="1" x14ac:dyDescent="0.35">
      <c r="A9" s="78" t="s">
        <v>6</v>
      </c>
      <c r="B9" s="78"/>
      <c r="C9" s="78" t="s">
        <v>7</v>
      </c>
      <c r="D9" s="78"/>
      <c r="E9" s="78" t="s">
        <v>8</v>
      </c>
      <c r="F9" s="78"/>
      <c r="G9" s="78" t="s">
        <v>9</v>
      </c>
      <c r="H9" s="78"/>
      <c r="I9" s="78" t="s">
        <v>10</v>
      </c>
      <c r="J9" s="78"/>
      <c r="K9" s="78" t="s">
        <v>11</v>
      </c>
      <c r="L9" s="78"/>
    </row>
    <row r="10" spans="1:12" ht="21.75" customHeight="1" x14ac:dyDescent="0.35">
      <c r="A10" s="80">
        <f>SUM('Commandes Dechargees'!L5:L1048576)</f>
        <v>2311804896</v>
      </c>
      <c r="B10" s="80"/>
      <c r="C10" s="81">
        <f>A10/I5</f>
        <v>0.79382354533542665</v>
      </c>
      <c r="D10" s="81"/>
      <c r="E10" s="80">
        <f>COUNTIF('Commandes Dechargees'!N5:N1048576,"NON PAYE")</f>
        <v>43</v>
      </c>
      <c r="F10" s="80"/>
      <c r="G10" s="80">
        <f>COUNTIF('Commandes Dechargees'!N5:N1048576,"PARTIEL")</f>
        <v>7</v>
      </c>
      <c r="H10" s="80"/>
      <c r="I10" s="80">
        <f>COUNTA(_xlfn.UNIQUE('Commandes Dechargees'!D5:D1048576))</f>
        <v>46</v>
      </c>
      <c r="J10" s="80"/>
      <c r="K10" s="80">
        <f>COUNTIF('Bons de Commande'!D5:D1048576,"NONE")</f>
        <v>0</v>
      </c>
      <c r="L10" s="80"/>
    </row>
  </sheetData>
  <mergeCells count="26">
    <mergeCell ref="K10:L10"/>
    <mergeCell ref="A10:B10"/>
    <mergeCell ref="C10:D10"/>
    <mergeCell ref="E10:F10"/>
    <mergeCell ref="G10:H10"/>
    <mergeCell ref="I10:J10"/>
    <mergeCell ref="K5:L7"/>
    <mergeCell ref="A9:B9"/>
    <mergeCell ref="C9:D9"/>
    <mergeCell ref="E9:F9"/>
    <mergeCell ref="G9:H9"/>
    <mergeCell ref="I9:J9"/>
    <mergeCell ref="K9:L9"/>
    <mergeCell ref="A5:B7"/>
    <mergeCell ref="C5:D7"/>
    <mergeCell ref="E5:F7"/>
    <mergeCell ref="G5:H7"/>
    <mergeCell ref="I5:J7"/>
    <mergeCell ref="A1:L1"/>
    <mergeCell ref="A2:L2"/>
    <mergeCell ref="A4:B4"/>
    <mergeCell ref="C4:D4"/>
    <mergeCell ref="E4:F4"/>
    <mergeCell ref="G4:H4"/>
    <mergeCell ref="I4:J4"/>
    <mergeCell ref="K4:L4"/>
  </mergeCells>
  <pageMargins left="0.3" right="0.3" top="0.4" bottom="0.4" header="0.511811023622047" footer="0.511811023622047"/>
  <pageSetup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tabColor rgb="FF2E5395"/>
    <pageSetUpPr fitToPage="1"/>
  </sheetPr>
  <dimension ref="B1:K281"/>
  <sheetViews>
    <sheetView showGridLines="0" topLeftCell="F1" zoomScale="87" zoomScaleNormal="87" workbookViewId="0">
      <pane ySplit="4" topLeftCell="A271" activePane="bottomLeft" state="frozen"/>
      <selection pane="bottomLeft" activeCell="H279" sqref="H279"/>
    </sheetView>
  </sheetViews>
  <sheetFormatPr baseColWidth="10" defaultColWidth="8.6328125" defaultRowHeight="14.5" x14ac:dyDescent="0.35"/>
  <cols>
    <col min="3" max="3" width="37.90625" style="40" bestFit="1" customWidth="1"/>
    <col min="4" max="4" width="15.08984375" style="40" customWidth="1"/>
    <col min="5" max="5" width="19.08984375" customWidth="1"/>
    <col min="6" max="6" width="30.81640625" bestFit="1" customWidth="1"/>
    <col min="7" max="7" width="22.54296875" style="40" bestFit="1" customWidth="1"/>
    <col min="8" max="8" width="26.26953125" style="41" bestFit="1" customWidth="1"/>
    <col min="9" max="9" width="26.26953125" customWidth="1"/>
    <col min="10" max="10" width="19.81640625" style="40" bestFit="1" customWidth="1"/>
    <col min="11" max="11" width="33.6328125" style="40" customWidth="1"/>
  </cols>
  <sheetData>
    <row r="1" spans="3:11" ht="42" customHeight="1" x14ac:dyDescent="0.35">
      <c r="C1" s="38" t="s">
        <v>227</v>
      </c>
      <c r="D1" s="38"/>
      <c r="E1" s="9"/>
      <c r="F1" s="9"/>
      <c r="G1" s="38"/>
      <c r="H1" s="38"/>
      <c r="I1" s="9"/>
      <c r="J1" s="38"/>
      <c r="K1" s="38"/>
    </row>
    <row r="2" spans="3:11" ht="18" customHeight="1" x14ac:dyDescent="0.35">
      <c r="C2" s="39"/>
      <c r="D2" s="39"/>
      <c r="E2" s="10"/>
      <c r="F2" s="10"/>
      <c r="G2" s="39"/>
      <c r="H2" s="39"/>
      <c r="I2" s="10"/>
      <c r="J2" s="39"/>
      <c r="K2" s="39"/>
    </row>
    <row r="4" spans="3:11" ht="34" customHeight="1" x14ac:dyDescent="0.35">
      <c r="C4" s="28" t="s">
        <v>15</v>
      </c>
      <c r="D4" s="11" t="s">
        <v>16</v>
      </c>
      <c r="E4" s="6" t="s">
        <v>217</v>
      </c>
      <c r="F4" s="6" t="s">
        <v>12</v>
      </c>
      <c r="G4" s="6" t="s">
        <v>17</v>
      </c>
      <c r="H4" s="6" t="s">
        <v>18</v>
      </c>
      <c r="I4" s="11" t="s">
        <v>265</v>
      </c>
      <c r="J4" s="6" t="s">
        <v>19</v>
      </c>
      <c r="K4" s="11" t="s">
        <v>21</v>
      </c>
    </row>
    <row r="5" spans="3:11" ht="25.5" hidden="1" customHeight="1" x14ac:dyDescent="0.35">
      <c r="C5" s="1">
        <v>46239</v>
      </c>
      <c r="D5" s="2" t="s">
        <v>53</v>
      </c>
      <c r="E5" s="2" t="s">
        <v>193</v>
      </c>
      <c r="F5" s="3" t="str">
        <f>_xlfn.XLOOKUP(Table1[[#This Row],[Code Frs]],'CODE FRS'!B:B,'CODE FRS'!C:C)</f>
        <v>TCHANIGA SAMSON</v>
      </c>
      <c r="G5" s="2" t="s">
        <v>54</v>
      </c>
      <c r="H5" s="2">
        <v>197257982</v>
      </c>
      <c r="I5" s="2">
        <v>50</v>
      </c>
      <c r="J5" s="2" t="s">
        <v>230</v>
      </c>
      <c r="K5" s="2" t="str">
        <f>_xlfn.IFNA(_xlfn.XLOOKUP(Table1[[#This Row],[N° BC]],'Commandes Dechargees'!B:B,'Commandes Dechargees'!P:P),"EN ATTENTE DE DECHARGEMENT")</f>
        <v>DECHARGE</v>
      </c>
    </row>
    <row r="6" spans="3:11" ht="25.5" hidden="1" customHeight="1" x14ac:dyDescent="0.35">
      <c r="C6" s="1">
        <v>46241</v>
      </c>
      <c r="D6" s="2" t="s">
        <v>56</v>
      </c>
      <c r="E6" s="2" t="s">
        <v>194</v>
      </c>
      <c r="F6" s="3" t="str">
        <f>_xlfn.XLOOKUP(Table1[[#This Row],[Code Frs]],'CODE FRS'!B:B,'CODE FRS'!C:C)</f>
        <v>ISMAEL WASSIOU/ Mme ELISABETH</v>
      </c>
      <c r="G6" s="2" t="s">
        <v>57</v>
      </c>
      <c r="H6" s="2">
        <v>194252204</v>
      </c>
      <c r="I6" s="2">
        <v>50</v>
      </c>
      <c r="J6" s="2" t="s">
        <v>230</v>
      </c>
      <c r="K6" s="2" t="str">
        <f>_xlfn.IFNA(_xlfn.XLOOKUP(Table1[[#This Row],[N° BC]],'Commandes Dechargees'!B:B,'Commandes Dechargees'!P:P),"EN ATTENTE DE DECHARGEMENT")</f>
        <v>DECHARGE</v>
      </c>
    </row>
    <row r="7" spans="3:11" ht="25.5" hidden="1" customHeight="1" x14ac:dyDescent="0.35">
      <c r="C7" s="1">
        <v>46242</v>
      </c>
      <c r="D7" s="2" t="s">
        <v>59</v>
      </c>
      <c r="E7" s="2" t="s">
        <v>193</v>
      </c>
      <c r="F7" s="3" t="str">
        <f>_xlfn.XLOOKUP(Table1[[#This Row],[Code Frs]],'CODE FRS'!B:B,'CODE FRS'!C:C)</f>
        <v>TCHANIGA SAMSON</v>
      </c>
      <c r="G7" s="2" t="s">
        <v>60</v>
      </c>
      <c r="H7" s="2">
        <v>162958703</v>
      </c>
      <c r="I7" s="2">
        <v>50</v>
      </c>
      <c r="J7" s="2" t="s">
        <v>230</v>
      </c>
      <c r="K7" s="2" t="str">
        <f>_xlfn.IFNA(_xlfn.XLOOKUP(Table1[[#This Row],[N° BC]],'Commandes Dechargees'!B:B,'Commandes Dechargees'!P:P),"EN ATTENTE DE DECHARGEMENT")</f>
        <v>DECHARGE</v>
      </c>
    </row>
    <row r="8" spans="3:11" ht="25.5" hidden="1" customHeight="1" x14ac:dyDescent="0.35">
      <c r="C8" s="1">
        <v>46244</v>
      </c>
      <c r="D8" s="2" t="s">
        <v>61</v>
      </c>
      <c r="E8" s="2" t="s">
        <v>193</v>
      </c>
      <c r="F8" s="3" t="str">
        <f>_xlfn.XLOOKUP(Table1[[#This Row],[Code Frs]],'CODE FRS'!B:B,'CODE FRS'!C:C)</f>
        <v>TCHANIGA SAMSON</v>
      </c>
      <c r="G8" s="2" t="s">
        <v>62</v>
      </c>
      <c r="H8" s="2">
        <v>197881184</v>
      </c>
      <c r="I8" s="2">
        <v>50</v>
      </c>
      <c r="J8" s="2" t="s">
        <v>231</v>
      </c>
      <c r="K8" s="2" t="s">
        <v>231</v>
      </c>
    </row>
    <row r="9" spans="3:11" ht="25.5" hidden="1" customHeight="1" x14ac:dyDescent="0.35">
      <c r="C9" s="1">
        <v>46244</v>
      </c>
      <c r="D9" s="2" t="s">
        <v>64</v>
      </c>
      <c r="E9" s="2" t="s">
        <v>193</v>
      </c>
      <c r="F9" s="3" t="str">
        <f>_xlfn.XLOOKUP(Table1[[#This Row],[Code Frs]],'CODE FRS'!B:B,'CODE FRS'!C:C)</f>
        <v>TCHANIGA SAMSON</v>
      </c>
      <c r="G9" s="2" t="s">
        <v>65</v>
      </c>
      <c r="H9" s="2">
        <v>196026166</v>
      </c>
      <c r="I9" s="2">
        <v>45</v>
      </c>
      <c r="J9" s="2" t="s">
        <v>230</v>
      </c>
      <c r="K9" s="2" t="str">
        <f>_xlfn.IFNA(_xlfn.XLOOKUP(Table1[[#This Row],[N° BC]],'Commandes Dechargees'!B:B,'Commandes Dechargees'!P:P),"EN ATTENTE DE DECHARGEMENT")</f>
        <v>DECHARGE</v>
      </c>
    </row>
    <row r="10" spans="3:11" ht="25.5" hidden="1" customHeight="1" x14ac:dyDescent="0.35">
      <c r="C10" s="1">
        <v>46244</v>
      </c>
      <c r="D10" s="2" t="s">
        <v>66</v>
      </c>
      <c r="E10" s="2" t="s">
        <v>195</v>
      </c>
      <c r="F10" s="3" t="str">
        <f>_xlfn.XLOOKUP(Table1[[#This Row],[Code Frs]],'CODE FRS'!B:B,'CODE FRS'!C:C)</f>
        <v>BADAROU SAID</v>
      </c>
      <c r="G10" s="2" t="s">
        <v>67</v>
      </c>
      <c r="H10" s="2">
        <v>140534093</v>
      </c>
      <c r="I10" s="2">
        <v>50</v>
      </c>
      <c r="J10" s="2" t="s">
        <v>231</v>
      </c>
      <c r="K10" s="2" t="s">
        <v>231</v>
      </c>
    </row>
    <row r="11" spans="3:11" ht="25.5" hidden="1" customHeight="1" x14ac:dyDescent="0.35">
      <c r="C11" s="1">
        <v>46244</v>
      </c>
      <c r="D11" s="2" t="s">
        <v>68</v>
      </c>
      <c r="E11" s="2" t="s">
        <v>194</v>
      </c>
      <c r="F11" s="3" t="str">
        <f>_xlfn.XLOOKUP(Table1[[#This Row],[Code Frs]],'CODE FRS'!B:B,'CODE FRS'!C:C)</f>
        <v>ISMAEL WASSIOU/ Mme ELISABETH</v>
      </c>
      <c r="G11" s="2" t="s">
        <v>165</v>
      </c>
      <c r="H11" s="2">
        <v>153139048</v>
      </c>
      <c r="I11" s="2">
        <v>50</v>
      </c>
      <c r="J11" s="2" t="s">
        <v>230</v>
      </c>
      <c r="K11" s="2" t="str">
        <f>_xlfn.IFNA(_xlfn.XLOOKUP(Table1[[#This Row],[N° BC]],'Commandes Dechargees'!B:B,'Commandes Dechargees'!P:P),"EN ATTENTE DE DECHARGEMENT")</f>
        <v>DECHARGE</v>
      </c>
    </row>
    <row r="12" spans="3:11" ht="25.5" customHeight="1" x14ac:dyDescent="0.35">
      <c r="C12" s="1">
        <v>46244</v>
      </c>
      <c r="D12" s="2" t="s">
        <v>69</v>
      </c>
      <c r="E12" s="2" t="s">
        <v>196</v>
      </c>
      <c r="F12" s="3" t="str">
        <f>_xlfn.XLOOKUP(Table1[[#This Row],[Code Frs]],'CODE FRS'!B:B,'CODE FRS'!C:C)</f>
        <v>ISMAEL WASSIOU</v>
      </c>
      <c r="G12" s="2" t="s">
        <v>220</v>
      </c>
      <c r="H12" s="2">
        <v>197275693</v>
      </c>
      <c r="I12" s="2">
        <v>50</v>
      </c>
      <c r="J12" s="2" t="s">
        <v>63</v>
      </c>
      <c r="K12" s="2" t="str">
        <f>_xlfn.IFNA(_xlfn.XLOOKUP(Table1[[#This Row],[N° BC]],'Commandes Dechargees'!B:B,'Commandes Dechargees'!P:P),"EN ATTENTE DE DECHARGEMENT")</f>
        <v>EN ATTENTE DE DECHARGEMENT</v>
      </c>
    </row>
    <row r="13" spans="3:11" ht="25.5" hidden="1" customHeight="1" x14ac:dyDescent="0.35">
      <c r="C13" s="1">
        <v>46244</v>
      </c>
      <c r="D13" s="2" t="s">
        <v>71</v>
      </c>
      <c r="E13" s="2" t="s">
        <v>194</v>
      </c>
      <c r="F13" s="3" t="str">
        <f>_xlfn.XLOOKUP(Table1[[#This Row],[Code Frs]],'CODE FRS'!B:B,'CODE FRS'!C:C)</f>
        <v>ISMAEL WASSIOU/ Mme ELISABETH</v>
      </c>
      <c r="G13" s="2" t="s">
        <v>70</v>
      </c>
      <c r="H13" s="2">
        <v>196804429</v>
      </c>
      <c r="I13" s="2">
        <v>50</v>
      </c>
      <c r="J13" s="2" t="s">
        <v>230</v>
      </c>
      <c r="K13" s="2" t="str">
        <f>_xlfn.IFNA(_xlfn.XLOOKUP(Table1[[#This Row],[N° BC]],'Commandes Dechargees'!B:B,'Commandes Dechargees'!P:P),"EN ATTENTE DE DECHARGEMENT")</f>
        <v>DECHARGE</v>
      </c>
    </row>
    <row r="14" spans="3:11" ht="25.5" customHeight="1" x14ac:dyDescent="0.35">
      <c r="C14" s="1">
        <v>46246</v>
      </c>
      <c r="D14" s="2" t="s">
        <v>72</v>
      </c>
      <c r="E14" s="2" t="s">
        <v>195</v>
      </c>
      <c r="F14" s="3" t="str">
        <f>_xlfn.XLOOKUP(Table1[[#This Row],[Code Frs]],'CODE FRS'!B:B,'CODE FRS'!C:C)</f>
        <v>BADAROU SAID</v>
      </c>
      <c r="G14" s="2" t="s">
        <v>73</v>
      </c>
      <c r="H14" s="2" t="s">
        <v>264</v>
      </c>
      <c r="I14" s="2">
        <v>50</v>
      </c>
      <c r="J14" s="2" t="s">
        <v>63</v>
      </c>
      <c r="K14" s="2" t="str">
        <f>_xlfn.IFNA(_xlfn.XLOOKUP(Table1[[#This Row],[N° BC]],'Commandes Dechargees'!B:B,'Commandes Dechargees'!P:P),"EN ATTENTE DE DECHARGEMENT")</f>
        <v>EN ATTENTE DE DECHARGEMENT</v>
      </c>
    </row>
    <row r="15" spans="3:11" ht="25.5" hidden="1" customHeight="1" x14ac:dyDescent="0.35">
      <c r="C15" s="1">
        <v>46246</v>
      </c>
      <c r="D15" s="2" t="s">
        <v>74</v>
      </c>
      <c r="E15" s="2" t="s">
        <v>194</v>
      </c>
      <c r="F15" s="3" t="str">
        <f>_xlfn.XLOOKUP(Table1[[#This Row],[Code Frs]],'CODE FRS'!B:B,'CODE FRS'!C:C)</f>
        <v>ISMAEL WASSIOU/ Mme ELISABETH</v>
      </c>
      <c r="G15" s="2" t="s">
        <v>75</v>
      </c>
      <c r="H15" s="2">
        <v>164555251</v>
      </c>
      <c r="I15" s="2">
        <v>50</v>
      </c>
      <c r="J15" s="2" t="s">
        <v>230</v>
      </c>
      <c r="K15" s="2" t="str">
        <f>_xlfn.IFNA(_xlfn.XLOOKUP(Table1[[#This Row],[N° BC]],'Commandes Dechargees'!B:B,'Commandes Dechargees'!P:P),"EN ATTENTE DE DECHARGEMENT")</f>
        <v>DECHARGE</v>
      </c>
    </row>
    <row r="16" spans="3:11" ht="25.5" hidden="1" customHeight="1" x14ac:dyDescent="0.35">
      <c r="C16" s="1">
        <v>46246</v>
      </c>
      <c r="D16" s="2" t="s">
        <v>76</v>
      </c>
      <c r="E16" s="2" t="s">
        <v>196</v>
      </c>
      <c r="F16" s="3" t="str">
        <f>_xlfn.XLOOKUP(Table1[[#This Row],[Code Frs]],'CODE FRS'!B:B,'CODE FRS'!C:C)</f>
        <v>ISMAEL WASSIOU</v>
      </c>
      <c r="G16" s="2" t="s">
        <v>77</v>
      </c>
      <c r="H16" s="2">
        <v>19063102</v>
      </c>
      <c r="I16" s="2">
        <v>50</v>
      </c>
      <c r="J16" s="2" t="s">
        <v>231</v>
      </c>
      <c r="K16" s="2" t="s">
        <v>231</v>
      </c>
    </row>
    <row r="17" spans="3:11" ht="25.5" hidden="1" customHeight="1" x14ac:dyDescent="0.35">
      <c r="C17" s="1">
        <v>46247</v>
      </c>
      <c r="D17" s="2" t="s">
        <v>78</v>
      </c>
      <c r="E17" s="2" t="s">
        <v>195</v>
      </c>
      <c r="F17" s="3" t="str">
        <f>_xlfn.XLOOKUP(Table1[[#This Row],[Code Frs]],'CODE FRS'!B:B,'CODE FRS'!C:C)</f>
        <v>BADAROU SAID</v>
      </c>
      <c r="G17" s="2" t="s">
        <v>79</v>
      </c>
      <c r="H17" s="2">
        <v>140296383</v>
      </c>
      <c r="I17" s="2">
        <v>50</v>
      </c>
      <c r="J17" s="2" t="s">
        <v>231</v>
      </c>
      <c r="K17" s="2" t="s">
        <v>231</v>
      </c>
    </row>
    <row r="18" spans="3:11" ht="25.5" customHeight="1" x14ac:dyDescent="0.35">
      <c r="C18" s="1">
        <v>46247</v>
      </c>
      <c r="D18" s="2" t="s">
        <v>80</v>
      </c>
      <c r="E18" s="2" t="s">
        <v>195</v>
      </c>
      <c r="F18" s="3" t="str">
        <f>_xlfn.XLOOKUP(Table1[[#This Row],[Code Frs]],'CODE FRS'!B:B,'CODE FRS'!C:C)</f>
        <v>BADAROU SAID</v>
      </c>
      <c r="G18" s="2" t="s">
        <v>73</v>
      </c>
      <c r="H18" s="2">
        <v>196042763</v>
      </c>
      <c r="I18" s="2">
        <v>50</v>
      </c>
      <c r="J18" s="2" t="s">
        <v>63</v>
      </c>
      <c r="K18" s="2" t="str">
        <f>_xlfn.IFNA(_xlfn.XLOOKUP(Table1[[#This Row],[N° BC]],'Commandes Dechargees'!B:B,'Commandes Dechargees'!P:P),"EN ATTENTE DE DECHARGEMENT")</f>
        <v>EN ATTENTE DE DECHARGEMENT</v>
      </c>
    </row>
    <row r="19" spans="3:11" ht="25.5" hidden="1" customHeight="1" x14ac:dyDescent="0.35">
      <c r="C19" s="1">
        <v>46247</v>
      </c>
      <c r="D19" s="2" t="s">
        <v>81</v>
      </c>
      <c r="E19" s="2" t="s">
        <v>197</v>
      </c>
      <c r="F19" s="3" t="str">
        <f>_xlfn.XLOOKUP(Table1[[#This Row],[Code Frs]],'CODE FRS'!B:B,'CODE FRS'!C:C)</f>
        <v>ALLASSANE MARWANE</v>
      </c>
      <c r="G19" s="2" t="s">
        <v>82</v>
      </c>
      <c r="H19" s="2">
        <v>197742448</v>
      </c>
      <c r="I19" s="2">
        <v>50</v>
      </c>
      <c r="J19" s="2" t="s">
        <v>230</v>
      </c>
      <c r="K19" s="2" t="str">
        <f>_xlfn.IFNA(_xlfn.XLOOKUP(Table1[[#This Row],[N° BC]],'Commandes Dechargees'!B:B,'Commandes Dechargees'!P:P),"EN ATTENTE DE DECHARGEMENT")</f>
        <v>DECHARGE</v>
      </c>
    </row>
    <row r="20" spans="3:11" ht="25.5" hidden="1" customHeight="1" x14ac:dyDescent="0.35">
      <c r="C20" s="1">
        <v>46247</v>
      </c>
      <c r="D20" s="2" t="s">
        <v>84</v>
      </c>
      <c r="E20" s="2" t="s">
        <v>197</v>
      </c>
      <c r="F20" s="3" t="str">
        <f>_xlfn.XLOOKUP(Table1[[#This Row],[Code Frs]],'CODE FRS'!B:B,'CODE FRS'!C:C)</f>
        <v>ALLASSANE MARWANE</v>
      </c>
      <c r="G20" s="2" t="s">
        <v>85</v>
      </c>
      <c r="H20" s="2">
        <v>148696900</v>
      </c>
      <c r="I20" s="2">
        <v>50</v>
      </c>
      <c r="J20" s="2" t="s">
        <v>231</v>
      </c>
      <c r="K20" s="2" t="s">
        <v>231</v>
      </c>
    </row>
    <row r="21" spans="3:11" ht="25.5" hidden="1" customHeight="1" x14ac:dyDescent="0.35">
      <c r="C21" s="1">
        <v>46247</v>
      </c>
      <c r="D21" s="2" t="s">
        <v>86</v>
      </c>
      <c r="E21" s="2" t="s">
        <v>198</v>
      </c>
      <c r="F21" s="3" t="str">
        <f>_xlfn.XLOOKUP(Table1[[#This Row],[Code Frs]],'CODE FRS'!B:B,'CODE FRS'!C:C)</f>
        <v>VLAVONOU PIERRE</v>
      </c>
      <c r="G21" s="2" t="s">
        <v>87</v>
      </c>
      <c r="H21" s="2">
        <v>198209181</v>
      </c>
      <c r="I21" s="2">
        <v>45</v>
      </c>
      <c r="J21" s="2" t="s">
        <v>230</v>
      </c>
      <c r="K21" s="2" t="str">
        <f>_xlfn.IFNA(_xlfn.XLOOKUP(Table1[[#This Row],[N° BC]],'Commandes Dechargees'!B:B,'Commandes Dechargees'!P:P),"EN ATTENTE DE DECHARGEMENT")</f>
        <v>DECHARGE</v>
      </c>
    </row>
    <row r="22" spans="3:11" ht="25.5" hidden="1" customHeight="1" x14ac:dyDescent="0.35">
      <c r="C22" s="1">
        <v>46247</v>
      </c>
      <c r="D22" s="2" t="s">
        <v>88</v>
      </c>
      <c r="E22" s="2" t="s">
        <v>198</v>
      </c>
      <c r="F22" s="3" t="str">
        <f>_xlfn.XLOOKUP(Table1[[#This Row],[Code Frs]],'CODE FRS'!B:B,'CODE FRS'!C:C)</f>
        <v>VLAVONOU PIERRE</v>
      </c>
      <c r="G22" s="2" t="s">
        <v>89</v>
      </c>
      <c r="H22" s="2">
        <v>193946883</v>
      </c>
      <c r="I22" s="2">
        <v>45</v>
      </c>
      <c r="J22" s="2" t="s">
        <v>230</v>
      </c>
      <c r="K22" s="2" t="str">
        <f>_xlfn.IFNA(_xlfn.XLOOKUP(Table1[[#This Row],[N° BC]],'Commandes Dechargees'!B:B,'Commandes Dechargees'!P:P),"EN ATTENTE DE DECHARGEMENT")</f>
        <v>DECHARGE</v>
      </c>
    </row>
    <row r="23" spans="3:11" ht="25.5" hidden="1" customHeight="1" x14ac:dyDescent="0.35">
      <c r="C23" s="1">
        <v>46247</v>
      </c>
      <c r="D23" s="2" t="s">
        <v>90</v>
      </c>
      <c r="E23" s="2" t="s">
        <v>199</v>
      </c>
      <c r="F23" s="3" t="str">
        <f>_xlfn.XLOOKUP(Table1[[#This Row],[Code Frs]],'CODE FRS'!B:B,'CODE FRS'!C:C)</f>
        <v>BRISSO BIO ALIDOU</v>
      </c>
      <c r="G23" s="2" t="s">
        <v>91</v>
      </c>
      <c r="H23" s="2">
        <v>196562615</v>
      </c>
      <c r="I23" s="2">
        <v>50</v>
      </c>
      <c r="J23" s="2" t="s">
        <v>231</v>
      </c>
      <c r="K23" s="2" t="s">
        <v>231</v>
      </c>
    </row>
    <row r="24" spans="3:11" ht="25.5" hidden="1" customHeight="1" x14ac:dyDescent="0.35">
      <c r="C24" s="1">
        <v>46247</v>
      </c>
      <c r="D24" s="2" t="s">
        <v>92</v>
      </c>
      <c r="E24" s="2" t="s">
        <v>199</v>
      </c>
      <c r="F24" s="3" t="str">
        <f>_xlfn.XLOOKUP(Table1[[#This Row],[Code Frs]],'CODE FRS'!B:B,'CODE FRS'!C:C)</f>
        <v>BRISSO BIO ALIDOU</v>
      </c>
      <c r="G24" s="2" t="s">
        <v>93</v>
      </c>
      <c r="H24" s="2">
        <v>197703410</v>
      </c>
      <c r="I24" s="2">
        <v>50</v>
      </c>
      <c r="J24" s="2" t="s">
        <v>231</v>
      </c>
      <c r="K24" s="2" t="s">
        <v>231</v>
      </c>
    </row>
    <row r="25" spans="3:11" ht="25.5" hidden="1" customHeight="1" x14ac:dyDescent="0.35">
      <c r="C25" s="1">
        <v>46247</v>
      </c>
      <c r="D25" s="2" t="s">
        <v>94</v>
      </c>
      <c r="E25" s="2" t="s">
        <v>193</v>
      </c>
      <c r="F25" s="3" t="str">
        <f>_xlfn.XLOOKUP(Table1[[#This Row],[Code Frs]],'CODE FRS'!B:B,'CODE FRS'!C:C)</f>
        <v>TCHANIGA SAMSON</v>
      </c>
      <c r="G25" s="2" t="s">
        <v>95</v>
      </c>
      <c r="H25" s="2" t="s">
        <v>264</v>
      </c>
      <c r="I25" s="2">
        <v>50</v>
      </c>
      <c r="J25" s="2" t="s">
        <v>230</v>
      </c>
      <c r="K25" s="2" t="str">
        <f>_xlfn.IFNA(_xlfn.XLOOKUP(Table1[[#This Row],[N° BC]],'Commandes Dechargees'!B:B,'Commandes Dechargees'!P:P),"EN ATTENTE DE DECHARGEMENT")</f>
        <v>DECHARGE</v>
      </c>
    </row>
    <row r="26" spans="3:11" ht="25.5" hidden="1" customHeight="1" x14ac:dyDescent="0.35">
      <c r="C26" s="1">
        <v>46248</v>
      </c>
      <c r="D26" s="2" t="s">
        <v>97</v>
      </c>
      <c r="E26" s="2" t="s">
        <v>201</v>
      </c>
      <c r="F26" s="3" t="str">
        <f>_xlfn.XLOOKUP(Table1[[#This Row],[Code Frs]],'CODE FRS'!B:B,'CODE FRS'!C:C)</f>
        <v>GOUDO DOSSOU ROMAIN</v>
      </c>
      <c r="G26" s="2" t="s">
        <v>98</v>
      </c>
      <c r="H26" s="2">
        <v>197114423</v>
      </c>
      <c r="I26" s="2">
        <v>50</v>
      </c>
      <c r="J26" s="2" t="s">
        <v>230</v>
      </c>
      <c r="K26" s="2" t="str">
        <f>_xlfn.IFNA(_xlfn.XLOOKUP(Table1[[#This Row],[N° BC]],'Commandes Dechargees'!B:B,'Commandes Dechargees'!P:P),"EN ATTENTE DE DECHARGEMENT")</f>
        <v>DECHARGE</v>
      </c>
    </row>
    <row r="27" spans="3:11" ht="25.5" customHeight="1" x14ac:dyDescent="0.35">
      <c r="C27" s="1">
        <v>46248</v>
      </c>
      <c r="D27" s="2" t="s">
        <v>99</v>
      </c>
      <c r="E27" s="2" t="s">
        <v>202</v>
      </c>
      <c r="F27" s="3" t="str">
        <f>_xlfn.XLOOKUP(Table1[[#This Row],[Code Frs]],'CODE FRS'!B:B,'CODE FRS'!C:C)</f>
        <v>COMLAN MAHOUSSE JOSPIN</v>
      </c>
      <c r="G27" s="2" t="s">
        <v>100</v>
      </c>
      <c r="H27" s="2">
        <v>162835009</v>
      </c>
      <c r="I27" s="2">
        <v>40</v>
      </c>
      <c r="J27" s="2" t="s">
        <v>63</v>
      </c>
      <c r="K27" s="2" t="str">
        <f>_xlfn.IFNA(_xlfn.XLOOKUP(Table1[[#This Row],[N° BC]],'Commandes Dechargees'!B:B,'Commandes Dechargees'!P:P),"EN ATTENTE DE DECHARGEMENT")</f>
        <v>EN ATTENTE DE DECHARGEMENT</v>
      </c>
    </row>
    <row r="28" spans="3:11" ht="25.5" hidden="1" customHeight="1" x14ac:dyDescent="0.35">
      <c r="C28" s="1">
        <v>46248</v>
      </c>
      <c r="D28" s="2" t="s">
        <v>101</v>
      </c>
      <c r="E28" s="2" t="s">
        <v>203</v>
      </c>
      <c r="F28" s="3" t="str">
        <f>_xlfn.XLOOKUP(Table1[[#This Row],[Code Frs]],'CODE FRS'!B:B,'CODE FRS'!C:C)</f>
        <v>CHIGBLO FERDINAND</v>
      </c>
      <c r="G28" s="2" t="s">
        <v>102</v>
      </c>
      <c r="H28" s="2">
        <v>140861444</v>
      </c>
      <c r="I28" s="2">
        <v>50</v>
      </c>
      <c r="J28" s="2" t="s">
        <v>231</v>
      </c>
      <c r="K28" s="2" t="s">
        <v>231</v>
      </c>
    </row>
    <row r="29" spans="3:11" ht="25.5" hidden="1" customHeight="1" x14ac:dyDescent="0.35">
      <c r="C29" s="1">
        <v>46248</v>
      </c>
      <c r="D29" s="2" t="s">
        <v>103</v>
      </c>
      <c r="E29" s="2" t="s">
        <v>204</v>
      </c>
      <c r="F29" s="3" t="str">
        <f>_xlfn.XLOOKUP(Table1[[#This Row],[Code Frs]],'CODE FRS'!B:B,'CODE FRS'!C:C)</f>
        <v>ROLAND ADANHONDJI</v>
      </c>
      <c r="G29" s="2" t="s">
        <v>104</v>
      </c>
      <c r="H29" s="2">
        <v>197365988</v>
      </c>
      <c r="I29" s="2">
        <v>45</v>
      </c>
      <c r="J29" s="2" t="s">
        <v>594</v>
      </c>
      <c r="K29" s="2" t="str">
        <f>_xlfn.IFNA(_xlfn.XLOOKUP(Table1[[#This Row],[N° BC]],'Commandes Dechargees'!B:B,'Commandes Dechargees'!P:P),"EN ATTENTE DE DECHARGEMENT")</f>
        <v>EN ATTENTE DE DECHARGEMENT</v>
      </c>
    </row>
    <row r="30" spans="3:11" ht="25.5" hidden="1" customHeight="1" x14ac:dyDescent="0.35">
      <c r="C30" s="1">
        <v>46248</v>
      </c>
      <c r="D30" s="2" t="s">
        <v>105</v>
      </c>
      <c r="E30" s="2" t="s">
        <v>193</v>
      </c>
      <c r="F30" s="3" t="str">
        <f>_xlfn.XLOOKUP(Table1[[#This Row],[Code Frs]],'CODE FRS'!B:B,'CODE FRS'!C:C)</f>
        <v>TCHANIGA SAMSON</v>
      </c>
      <c r="G30" s="2" t="s">
        <v>328</v>
      </c>
      <c r="H30" s="2">
        <v>141192392</v>
      </c>
      <c r="I30" s="2">
        <v>35</v>
      </c>
      <c r="J30" s="2" t="s">
        <v>230</v>
      </c>
      <c r="K30" s="2" t="str">
        <f>_xlfn.IFNA(_xlfn.XLOOKUP(Table1[[#This Row],[N° BC]],'Commandes Dechargees'!B:B,'Commandes Dechargees'!P:P),"EN ATTENTE DE DECHARGEMENT")</f>
        <v>DECHARGE</v>
      </c>
    </row>
    <row r="31" spans="3:11" ht="25.5" hidden="1" customHeight="1" x14ac:dyDescent="0.35">
      <c r="C31" s="1">
        <v>46248</v>
      </c>
      <c r="D31" s="2" t="s">
        <v>107</v>
      </c>
      <c r="E31" s="2" t="s">
        <v>205</v>
      </c>
      <c r="F31" s="3" t="str">
        <f>_xlfn.XLOOKUP(Table1[[#This Row],[Code Frs]],'CODE FRS'!B:B,'CODE FRS'!C:C)</f>
        <v>MENSAH DANIEL JOEL</v>
      </c>
      <c r="G31" s="2" t="s">
        <v>108</v>
      </c>
      <c r="H31" s="2">
        <v>162765372</v>
      </c>
      <c r="I31" s="2">
        <v>45</v>
      </c>
      <c r="J31" s="2" t="s">
        <v>230</v>
      </c>
      <c r="K31" s="2" t="str">
        <f>_xlfn.IFNA(_xlfn.XLOOKUP(Table1[[#This Row],[N° BC]],'Commandes Dechargees'!B:B,'Commandes Dechargees'!P:P),"EN ATTENTE DE DECHARGEMENT")</f>
        <v>DECHARGE</v>
      </c>
    </row>
    <row r="32" spans="3:11" ht="25.5" hidden="1" customHeight="1" x14ac:dyDescent="0.35">
      <c r="C32" s="1">
        <v>46248</v>
      </c>
      <c r="D32" s="2" t="s">
        <v>109</v>
      </c>
      <c r="E32" s="2" t="s">
        <v>195</v>
      </c>
      <c r="F32" s="3" t="str">
        <f>_xlfn.XLOOKUP(Table1[[#This Row],[Code Frs]],'CODE FRS'!B:B,'CODE FRS'!C:C)</f>
        <v>BADAROU SAID</v>
      </c>
      <c r="G32" s="2" t="s">
        <v>110</v>
      </c>
      <c r="H32" s="2">
        <v>163435902</v>
      </c>
      <c r="I32" s="2">
        <v>50</v>
      </c>
      <c r="J32" s="2" t="s">
        <v>231</v>
      </c>
      <c r="K32" s="2" t="s">
        <v>231</v>
      </c>
    </row>
    <row r="33" spans="3:11" ht="25.5" hidden="1" customHeight="1" x14ac:dyDescent="0.35">
      <c r="C33" s="1">
        <v>46248</v>
      </c>
      <c r="D33" s="2" t="s">
        <v>111</v>
      </c>
      <c r="E33" s="2" t="s">
        <v>201</v>
      </c>
      <c r="F33" s="3" t="str">
        <f>_xlfn.XLOOKUP(Table1[[#This Row],[Code Frs]],'CODE FRS'!B:B,'CODE FRS'!C:C)</f>
        <v>GOUDO DOSSOU ROMAIN</v>
      </c>
      <c r="G33" s="2" t="s">
        <v>232</v>
      </c>
      <c r="H33" s="2">
        <v>197291416</v>
      </c>
      <c r="I33" s="2">
        <v>50</v>
      </c>
      <c r="J33" s="2" t="s">
        <v>231</v>
      </c>
      <c r="K33" s="2" t="s">
        <v>231</v>
      </c>
    </row>
    <row r="34" spans="3:11" ht="25.5" hidden="1" customHeight="1" x14ac:dyDescent="0.35">
      <c r="C34" s="1">
        <v>46248</v>
      </c>
      <c r="D34" s="2" t="s">
        <v>112</v>
      </c>
      <c r="E34" s="2" t="s">
        <v>201</v>
      </c>
      <c r="F34" s="3" t="str">
        <f>_xlfn.XLOOKUP(Table1[[#This Row],[Code Frs]],'CODE FRS'!B:B,'CODE FRS'!C:C)</f>
        <v>GOUDO DOSSOU ROMAIN</v>
      </c>
      <c r="G34" s="2" t="s">
        <v>329</v>
      </c>
      <c r="H34" s="2">
        <v>167127112</v>
      </c>
      <c r="I34" s="2">
        <v>50</v>
      </c>
      <c r="J34" s="2" t="s">
        <v>231</v>
      </c>
      <c r="K34" s="2" t="s">
        <v>231</v>
      </c>
    </row>
    <row r="35" spans="3:11" ht="25.5" customHeight="1" x14ac:dyDescent="0.35">
      <c r="C35" s="1">
        <v>46249</v>
      </c>
      <c r="D35" s="2" t="s">
        <v>113</v>
      </c>
      <c r="E35" s="2" t="s">
        <v>206</v>
      </c>
      <c r="F35" s="3" t="str">
        <f>_xlfn.XLOOKUP(Table1[[#This Row],[Code Frs]],'CODE FRS'!B:B,'CODE FRS'!C:C)</f>
        <v>FIOGBE</v>
      </c>
      <c r="G35" s="2" t="s">
        <v>233</v>
      </c>
      <c r="H35" s="2">
        <v>194304813</v>
      </c>
      <c r="I35" s="2">
        <v>55</v>
      </c>
      <c r="J35" s="2" t="s">
        <v>63</v>
      </c>
      <c r="K35" s="2" t="str">
        <f>_xlfn.IFNA(_xlfn.XLOOKUP(Table1[[#This Row],[N° BC]],'Commandes Dechargees'!B:B,'Commandes Dechargees'!P:P),"EN ATTENTE DE DECHARGEMENT")</f>
        <v>EN ATTENTE DE DECHARGEMENT</v>
      </c>
    </row>
    <row r="36" spans="3:11" ht="25.5" hidden="1" customHeight="1" x14ac:dyDescent="0.35">
      <c r="C36" s="1">
        <v>46249</v>
      </c>
      <c r="D36" s="2" t="s">
        <v>114</v>
      </c>
      <c r="E36" s="2" t="s">
        <v>207</v>
      </c>
      <c r="F36" s="3" t="str">
        <f>_xlfn.XLOOKUP(Table1[[#This Row],[Code Frs]],'CODE FRS'!B:B,'CODE FRS'!C:C)</f>
        <v>GBAGBE MATHIAS</v>
      </c>
      <c r="G36" s="2" t="s">
        <v>305</v>
      </c>
      <c r="H36" s="2">
        <v>143756265</v>
      </c>
      <c r="I36" s="2">
        <v>50</v>
      </c>
      <c r="J36" s="2" t="s">
        <v>230</v>
      </c>
      <c r="K36" s="2" t="str">
        <f>_xlfn.IFNA(_xlfn.XLOOKUP(Table1[[#This Row],[N° BC]],'Commandes Dechargees'!B:B,'Commandes Dechargees'!P:P),"EN ATTENTE DE DECHARGEMENT")</f>
        <v>DECHARGE</v>
      </c>
    </row>
    <row r="37" spans="3:11" ht="25.5" hidden="1" customHeight="1" x14ac:dyDescent="0.35">
      <c r="C37" s="1">
        <v>46249</v>
      </c>
      <c r="D37" s="2" t="s">
        <v>115</v>
      </c>
      <c r="E37" s="2" t="s">
        <v>208</v>
      </c>
      <c r="F37" s="3" t="str">
        <f>_xlfn.XLOOKUP(Table1[[#This Row],[Code Frs]],'CODE FRS'!B:B,'CODE FRS'!C:C)</f>
        <v>AHEGNI CASIMIR</v>
      </c>
      <c r="G37" s="2" t="s">
        <v>116</v>
      </c>
      <c r="H37" s="2" t="s">
        <v>221</v>
      </c>
      <c r="I37" s="2">
        <v>50</v>
      </c>
      <c r="J37" s="2" t="s">
        <v>230</v>
      </c>
      <c r="K37" s="2" t="str">
        <f>_xlfn.IFNA(_xlfn.XLOOKUP(Table1[[#This Row],[N° BC]],'Commandes Dechargees'!B:B,'Commandes Dechargees'!P:P),"EN ATTENTE DE DECHARGEMENT")</f>
        <v>DECHARGE</v>
      </c>
    </row>
    <row r="38" spans="3:11" ht="25.5" hidden="1" customHeight="1" x14ac:dyDescent="0.35">
      <c r="C38" s="1">
        <v>46249</v>
      </c>
      <c r="D38" s="2" t="s">
        <v>117</v>
      </c>
      <c r="E38" s="2" t="s">
        <v>204</v>
      </c>
      <c r="F38" s="3" t="str">
        <f>_xlfn.XLOOKUP(Table1[[#This Row],[Code Frs]],'CODE FRS'!B:B,'CODE FRS'!C:C)</f>
        <v>ROLAND ADANHONDJI</v>
      </c>
      <c r="G38" s="2" t="s">
        <v>118</v>
      </c>
      <c r="H38" s="2">
        <v>197760647</v>
      </c>
      <c r="I38" s="2">
        <v>45</v>
      </c>
      <c r="J38" s="2" t="s">
        <v>231</v>
      </c>
      <c r="K38" s="2" t="s">
        <v>231</v>
      </c>
    </row>
    <row r="39" spans="3:11" ht="25.5" hidden="1" customHeight="1" x14ac:dyDescent="0.35">
      <c r="C39" s="1">
        <v>46249</v>
      </c>
      <c r="D39" s="2" t="s">
        <v>120</v>
      </c>
      <c r="E39" s="2" t="s">
        <v>203</v>
      </c>
      <c r="F39" s="3" t="str">
        <f>_xlfn.XLOOKUP(Table1[[#This Row],[Code Frs]],'CODE FRS'!B:B,'CODE FRS'!C:C)</f>
        <v>CHIGBLO FERDINAND</v>
      </c>
      <c r="G39" s="2" t="s">
        <v>121</v>
      </c>
      <c r="H39" s="2" t="s">
        <v>222</v>
      </c>
      <c r="I39" s="2">
        <v>50</v>
      </c>
      <c r="J39" s="2" t="s">
        <v>231</v>
      </c>
      <c r="K39" s="2" t="s">
        <v>231</v>
      </c>
    </row>
    <row r="40" spans="3:11" ht="25.5" customHeight="1" x14ac:dyDescent="0.35">
      <c r="C40" s="1">
        <v>46249</v>
      </c>
      <c r="D40" s="2" t="s">
        <v>122</v>
      </c>
      <c r="E40" s="2" t="s">
        <v>203</v>
      </c>
      <c r="F40" s="3" t="str">
        <f>_xlfn.XLOOKUP(Table1[[#This Row],[Code Frs]],'CODE FRS'!B:B,'CODE FRS'!C:C)</f>
        <v>CHIGBLO FERDINAND</v>
      </c>
      <c r="G40" s="2" t="s">
        <v>123</v>
      </c>
      <c r="H40" s="2" t="s">
        <v>223</v>
      </c>
      <c r="I40" s="2">
        <v>50</v>
      </c>
      <c r="J40" s="2" t="s">
        <v>63</v>
      </c>
      <c r="K40" s="2" t="str">
        <f>_xlfn.IFNA(_xlfn.XLOOKUP(Table1[[#This Row],[N° BC]],'Commandes Dechargees'!B:B,'Commandes Dechargees'!P:P),"EN ATTENTE DE DECHARGEMENT")</f>
        <v>EN ATTENTE DE DECHARGEMENT</v>
      </c>
    </row>
    <row r="41" spans="3:11" ht="25.5" hidden="1" customHeight="1" x14ac:dyDescent="0.35">
      <c r="C41" s="1">
        <v>46249</v>
      </c>
      <c r="D41" s="2" t="s">
        <v>124</v>
      </c>
      <c r="E41" s="2" t="s">
        <v>203</v>
      </c>
      <c r="F41" s="3" t="str">
        <f>_xlfn.XLOOKUP(Table1[[#This Row],[Code Frs]],'CODE FRS'!B:B,'CODE FRS'!C:C)</f>
        <v>CHIGBLO FERDINAND</v>
      </c>
      <c r="G41" s="2" t="s">
        <v>234</v>
      </c>
      <c r="H41" s="2" t="s">
        <v>224</v>
      </c>
      <c r="I41" s="2">
        <v>51</v>
      </c>
      <c r="J41" s="2" t="s">
        <v>594</v>
      </c>
      <c r="K41" s="2" t="str">
        <f>_xlfn.IFNA(_xlfn.XLOOKUP(Table1[[#This Row],[N° BC]],'Commandes Dechargees'!B:B,'Commandes Dechargees'!P:P),"EN ATTENTE DE DECHARGEMENT")</f>
        <v>EN ATTENTE DE DECHARGEMENT</v>
      </c>
    </row>
    <row r="42" spans="3:11" ht="25.5" customHeight="1" x14ac:dyDescent="0.35">
      <c r="C42" s="1">
        <v>46249</v>
      </c>
      <c r="D42" s="2" t="s">
        <v>125</v>
      </c>
      <c r="E42" s="2" t="s">
        <v>193</v>
      </c>
      <c r="F42" s="3" t="str">
        <f>_xlfn.XLOOKUP(Table1[[#This Row],[Code Frs]],'CODE FRS'!B:B,'CODE FRS'!C:C)</f>
        <v>TCHANIGA SAMSON</v>
      </c>
      <c r="G42" s="2" t="s">
        <v>235</v>
      </c>
      <c r="H42" s="2" t="s">
        <v>225</v>
      </c>
      <c r="I42" s="2">
        <v>50</v>
      </c>
      <c r="J42" s="2" t="s">
        <v>63</v>
      </c>
      <c r="K42" s="2" t="str">
        <f>_xlfn.IFNA(_xlfn.XLOOKUP(Table1[[#This Row],[N° BC]],'Commandes Dechargees'!B:B,'Commandes Dechargees'!P:P),"EN ATTENTE DE DECHARGEMENT")</f>
        <v>EN ATTENTE DE DECHARGEMENT</v>
      </c>
    </row>
    <row r="43" spans="3:11" ht="25.5" hidden="1" customHeight="1" x14ac:dyDescent="0.35">
      <c r="C43" s="1">
        <v>46249</v>
      </c>
      <c r="D43" s="2" t="s">
        <v>126</v>
      </c>
      <c r="E43" s="2" t="s">
        <v>209</v>
      </c>
      <c r="F43" s="3" t="str">
        <f>_xlfn.XLOOKUP(Table1[[#This Row],[Code Frs]],'CODE FRS'!B:B,'CODE FRS'!C:C)</f>
        <v>AHOSSI GABIN</v>
      </c>
      <c r="G43" s="2" t="s">
        <v>170</v>
      </c>
      <c r="H43" s="2">
        <v>195501197</v>
      </c>
      <c r="I43" s="2">
        <v>35</v>
      </c>
      <c r="J43" s="2" t="s">
        <v>230</v>
      </c>
      <c r="K43" s="2" t="str">
        <f>_xlfn.IFNA(_xlfn.XLOOKUP(Table1[[#This Row],[N° BC]],'Commandes Dechargees'!B:B,'Commandes Dechargees'!P:P),"EN ATTENTE DE DECHARGEMENT")</f>
        <v>DECHARGE</v>
      </c>
    </row>
    <row r="44" spans="3:11" ht="25.5" hidden="1" customHeight="1" x14ac:dyDescent="0.35">
      <c r="C44" s="1">
        <v>46251</v>
      </c>
      <c r="D44" s="2" t="s">
        <v>127</v>
      </c>
      <c r="E44" s="2" t="s">
        <v>210</v>
      </c>
      <c r="F44" s="3" t="str">
        <f>_xlfn.XLOOKUP(Table1[[#This Row],[Code Frs]],'CODE FRS'!B:B,'CODE FRS'!C:C)</f>
        <v>ODOUTAN OLANIRAN HAMED</v>
      </c>
      <c r="G44" s="2" t="s">
        <v>236</v>
      </c>
      <c r="H44" s="2">
        <v>196657698</v>
      </c>
      <c r="I44" s="2">
        <v>50</v>
      </c>
      <c r="J44" s="2" t="s">
        <v>231</v>
      </c>
      <c r="K44" s="2" t="s">
        <v>231</v>
      </c>
    </row>
    <row r="45" spans="3:11" ht="25.5" hidden="1" customHeight="1" x14ac:dyDescent="0.35">
      <c r="C45" s="1">
        <v>46251</v>
      </c>
      <c r="D45" s="2" t="s">
        <v>128</v>
      </c>
      <c r="E45" s="2" t="s">
        <v>195</v>
      </c>
      <c r="F45" s="3" t="str">
        <f>_xlfn.XLOOKUP(Table1[[#This Row],[Code Frs]],'CODE FRS'!B:B,'CODE FRS'!C:C)</f>
        <v>BADAROU SAID</v>
      </c>
      <c r="G45" s="2" t="s">
        <v>129</v>
      </c>
      <c r="H45" s="2">
        <v>197491513</v>
      </c>
      <c r="I45" s="2">
        <v>50</v>
      </c>
      <c r="J45" s="2" t="s">
        <v>230</v>
      </c>
      <c r="K45" s="2" t="str">
        <f>_xlfn.IFNA(_xlfn.XLOOKUP(Table1[[#This Row],[N° BC]],'Commandes Dechargees'!B:B,'Commandes Dechargees'!P:P),"EN ATTENTE DE DECHARGEMENT")</f>
        <v>DECHARGE</v>
      </c>
    </row>
    <row r="46" spans="3:11" ht="25.5" hidden="1" customHeight="1" x14ac:dyDescent="0.35">
      <c r="C46" s="1">
        <v>46251</v>
      </c>
      <c r="D46" s="2" t="s">
        <v>130</v>
      </c>
      <c r="E46" s="2" t="s">
        <v>195</v>
      </c>
      <c r="F46" s="3" t="str">
        <f>_xlfn.XLOOKUP(Table1[[#This Row],[Code Frs]],'CODE FRS'!B:B,'CODE FRS'!C:C)</f>
        <v>BADAROU SAID</v>
      </c>
      <c r="G46" s="2" t="s">
        <v>131</v>
      </c>
      <c r="H46" s="2">
        <v>166359660</v>
      </c>
      <c r="I46" s="2">
        <v>45</v>
      </c>
      <c r="J46" s="2" t="s">
        <v>230</v>
      </c>
      <c r="K46" s="2" t="str">
        <f>_xlfn.IFNA(_xlfn.XLOOKUP(Table1[[#This Row],[N° BC]],'Commandes Dechargees'!B:B,'Commandes Dechargees'!P:P),"EN ATTENTE DE DECHARGEMENT")</f>
        <v>DECHARGE</v>
      </c>
    </row>
    <row r="47" spans="3:11" ht="25.5" hidden="1" customHeight="1" x14ac:dyDescent="0.35">
      <c r="C47" s="1">
        <v>46251</v>
      </c>
      <c r="D47" s="2" t="s">
        <v>132</v>
      </c>
      <c r="E47" s="2" t="s">
        <v>195</v>
      </c>
      <c r="F47" s="3" t="str">
        <f>_xlfn.XLOOKUP(Table1[[#This Row],[Code Frs]],'CODE FRS'!B:B,'CODE FRS'!C:C)</f>
        <v>BADAROU SAID</v>
      </c>
      <c r="G47" s="2" t="s">
        <v>133</v>
      </c>
      <c r="H47" s="2" t="s">
        <v>264</v>
      </c>
      <c r="I47" s="2">
        <v>45</v>
      </c>
      <c r="J47" s="2" t="s">
        <v>230</v>
      </c>
      <c r="K47" s="2" t="str">
        <f>_xlfn.IFNA(_xlfn.XLOOKUP(Table1[[#This Row],[N° BC]],'Commandes Dechargees'!B:B,'Commandes Dechargees'!P:P),"EN ATTENTE DE DECHARGEMENT")</f>
        <v>DECHARGE</v>
      </c>
    </row>
    <row r="48" spans="3:11" ht="25.5" hidden="1" customHeight="1" x14ac:dyDescent="0.35">
      <c r="C48" s="1">
        <v>46251</v>
      </c>
      <c r="D48" s="2" t="s">
        <v>134</v>
      </c>
      <c r="E48" s="2" t="s">
        <v>203</v>
      </c>
      <c r="F48" s="3" t="str">
        <f>_xlfn.XLOOKUP(Table1[[#This Row],[Code Frs]],'CODE FRS'!B:B,'CODE FRS'!C:C)</f>
        <v>CHIGBLO FERDINAND</v>
      </c>
      <c r="G48" s="2" t="s">
        <v>135</v>
      </c>
      <c r="H48" s="2">
        <v>196902628</v>
      </c>
      <c r="I48" s="2">
        <v>50</v>
      </c>
      <c r="J48" s="2" t="s">
        <v>594</v>
      </c>
      <c r="K48" s="2" t="str">
        <f>_xlfn.IFNA(_xlfn.XLOOKUP(Table1[[#This Row],[N° BC]],'Commandes Dechargees'!B:B,'Commandes Dechargees'!P:P),"EN ATTENTE DE DECHARGEMENT")</f>
        <v>EN ATTENTE DE DECHARGEMENT</v>
      </c>
    </row>
    <row r="49" spans="3:11" ht="25.5" hidden="1" customHeight="1" x14ac:dyDescent="0.35">
      <c r="C49" s="1">
        <v>46251</v>
      </c>
      <c r="D49" s="2" t="s">
        <v>136</v>
      </c>
      <c r="E49" s="2" t="s">
        <v>203</v>
      </c>
      <c r="F49" s="3" t="str">
        <f>_xlfn.XLOOKUP(Table1[[#This Row],[Code Frs]],'CODE FRS'!B:B,'CODE FRS'!C:C)</f>
        <v>CHIGBLO FERDINAND</v>
      </c>
      <c r="G49" s="2" t="s">
        <v>137</v>
      </c>
      <c r="H49" s="2">
        <v>161741332</v>
      </c>
      <c r="I49" s="2">
        <v>50</v>
      </c>
      <c r="J49" s="2" t="s">
        <v>230</v>
      </c>
      <c r="K49" s="2" t="str">
        <f>_xlfn.IFNA(_xlfn.XLOOKUP(Table1[[#This Row],[N° BC]],'Commandes Dechargees'!B:B,'Commandes Dechargees'!P:P),"EN ATTENTE DE DECHARGEMENT")</f>
        <v>DECHARGE</v>
      </c>
    </row>
    <row r="50" spans="3:11" ht="25.5" hidden="1" customHeight="1" x14ac:dyDescent="0.35">
      <c r="C50" s="1">
        <v>46251</v>
      </c>
      <c r="D50" s="2" t="s">
        <v>138</v>
      </c>
      <c r="E50" s="2" t="s">
        <v>195</v>
      </c>
      <c r="F50" s="3" t="str">
        <f>_xlfn.XLOOKUP(Table1[[#This Row],[Code Frs]],'CODE FRS'!B:B,'CODE FRS'!C:C)</f>
        <v>BADAROU SAID</v>
      </c>
      <c r="G50" s="2" t="s">
        <v>139</v>
      </c>
      <c r="H50" s="2">
        <v>160177879</v>
      </c>
      <c r="I50" s="2">
        <v>50</v>
      </c>
      <c r="J50" s="2" t="s">
        <v>230</v>
      </c>
      <c r="K50" s="2" t="str">
        <f>_xlfn.IFNA(_xlfn.XLOOKUP(Table1[[#This Row],[N° BC]],'Commandes Dechargees'!B:B,'Commandes Dechargees'!P:P),"EN ATTENTE DE DECHARGEMENT")</f>
        <v>DECHARGE</v>
      </c>
    </row>
    <row r="51" spans="3:11" ht="25.5" hidden="1" customHeight="1" x14ac:dyDescent="0.35">
      <c r="C51" s="1">
        <v>46251</v>
      </c>
      <c r="D51" s="2" t="s">
        <v>140</v>
      </c>
      <c r="E51" s="2" t="s">
        <v>193</v>
      </c>
      <c r="F51" s="3" t="str">
        <f>_xlfn.XLOOKUP(Table1[[#This Row],[Code Frs]],'CODE FRS'!B:B,'CODE FRS'!C:C)</f>
        <v>TCHANIGA SAMSON</v>
      </c>
      <c r="G51" s="2" t="s">
        <v>141</v>
      </c>
      <c r="H51" s="2">
        <v>152755334</v>
      </c>
      <c r="I51" s="2">
        <v>50</v>
      </c>
      <c r="J51" s="2" t="s">
        <v>231</v>
      </c>
      <c r="K51" s="2" t="s">
        <v>231</v>
      </c>
    </row>
    <row r="52" spans="3:11" ht="25.5" hidden="1" customHeight="1" x14ac:dyDescent="0.35">
      <c r="C52" s="1">
        <v>46251</v>
      </c>
      <c r="D52" s="2" t="s">
        <v>142</v>
      </c>
      <c r="E52" s="2" t="s">
        <v>193</v>
      </c>
      <c r="F52" s="3" t="str">
        <f>_xlfn.XLOOKUP(Table1[[#This Row],[Code Frs]],'CODE FRS'!B:B,'CODE FRS'!C:C)</f>
        <v>TCHANIGA SAMSON</v>
      </c>
      <c r="G52" s="2" t="s">
        <v>143</v>
      </c>
      <c r="H52" s="2">
        <v>194951894</v>
      </c>
      <c r="I52" s="2">
        <v>48</v>
      </c>
      <c r="J52" s="2" t="s">
        <v>230</v>
      </c>
      <c r="K52" s="2" t="str">
        <f>_xlfn.IFNA(_xlfn.XLOOKUP(Table1[[#This Row],[N° BC]],'Commandes Dechargees'!B:B,'Commandes Dechargees'!P:P),"EN ATTENTE DE DECHARGEMENT")</f>
        <v>DECHARGE</v>
      </c>
    </row>
    <row r="53" spans="3:11" ht="25.5" hidden="1" customHeight="1" x14ac:dyDescent="0.35">
      <c r="C53" s="1">
        <v>46251</v>
      </c>
      <c r="D53" s="2" t="s">
        <v>144</v>
      </c>
      <c r="E53" s="2" t="s">
        <v>196</v>
      </c>
      <c r="F53" s="3" t="str">
        <f>_xlfn.XLOOKUP(Table1[[#This Row],[Code Frs]],'CODE FRS'!B:B,'CODE FRS'!C:C)</f>
        <v>ISMAEL WASSIOU</v>
      </c>
      <c r="G53" s="2" t="s">
        <v>145</v>
      </c>
      <c r="H53" s="2">
        <v>162991973</v>
      </c>
      <c r="I53" s="2">
        <v>50</v>
      </c>
      <c r="J53" s="2" t="s">
        <v>230</v>
      </c>
      <c r="K53" s="2" t="str">
        <f>_xlfn.IFNA(_xlfn.XLOOKUP(Table1[[#This Row],[N° BC]],'Commandes Dechargees'!B:B,'Commandes Dechargees'!P:P),"EN ATTENTE DE DECHARGEMENT")</f>
        <v>DECHARGE</v>
      </c>
    </row>
    <row r="54" spans="3:11" ht="25.5" hidden="1" customHeight="1" x14ac:dyDescent="0.35">
      <c r="C54" s="1">
        <v>46251</v>
      </c>
      <c r="D54" s="2" t="s">
        <v>146</v>
      </c>
      <c r="E54" s="2" t="s">
        <v>202</v>
      </c>
      <c r="F54" s="3" t="str">
        <f>_xlfn.XLOOKUP(Table1[[#This Row],[Code Frs]],'CODE FRS'!B:B,'CODE FRS'!C:C)</f>
        <v>COMLAN MAHOUSSE JOSPIN</v>
      </c>
      <c r="G54" s="2" t="s">
        <v>147</v>
      </c>
      <c r="H54" s="2">
        <v>167887501</v>
      </c>
      <c r="I54" s="2">
        <v>50</v>
      </c>
      <c r="J54" s="2" t="s">
        <v>231</v>
      </c>
      <c r="K54" s="2" t="s">
        <v>231</v>
      </c>
    </row>
    <row r="55" spans="3:11" ht="25.5" hidden="1" customHeight="1" x14ac:dyDescent="0.35">
      <c r="C55" s="1">
        <v>46252</v>
      </c>
      <c r="D55" s="2" t="s">
        <v>148</v>
      </c>
      <c r="E55" s="2" t="s">
        <v>193</v>
      </c>
      <c r="F55" s="3" t="str">
        <f>_xlfn.XLOOKUP(Table1[[#This Row],[Code Frs]],'CODE FRS'!B:B,'CODE FRS'!C:C)</f>
        <v>TCHANIGA SAMSON</v>
      </c>
      <c r="G55" s="2" t="s">
        <v>149</v>
      </c>
      <c r="H55" s="2">
        <v>194499732</v>
      </c>
      <c r="I55" s="2">
        <v>50</v>
      </c>
      <c r="J55" s="2" t="s">
        <v>230</v>
      </c>
      <c r="K55" s="2" t="str">
        <f>_xlfn.IFNA(_xlfn.XLOOKUP(Table1[[#This Row],[N° BC]],'Commandes Dechargees'!B:B,'Commandes Dechargees'!P:P),"EN ATTENTE DE DECHARGEMENT")</f>
        <v>DECHARGE</v>
      </c>
    </row>
    <row r="56" spans="3:11" ht="25.5" hidden="1" customHeight="1" x14ac:dyDescent="0.35">
      <c r="C56" s="1">
        <v>46252</v>
      </c>
      <c r="D56" s="2" t="s">
        <v>150</v>
      </c>
      <c r="E56" s="2" t="s">
        <v>211</v>
      </c>
      <c r="F56" s="3" t="str">
        <f>_xlfn.XLOOKUP(Table1[[#This Row],[Code Frs]],'CODE FRS'!B:B,'CODE FRS'!C:C)</f>
        <v>GOUNOU ELISABETH</v>
      </c>
      <c r="G56" s="2" t="s">
        <v>237</v>
      </c>
      <c r="H56" s="2">
        <v>148003238</v>
      </c>
      <c r="I56" s="2">
        <v>50</v>
      </c>
      <c r="J56" s="2" t="s">
        <v>230</v>
      </c>
      <c r="K56" s="2" t="str">
        <f>_xlfn.IFNA(_xlfn.XLOOKUP(Table1[[#This Row],[N° BC]],'Commandes Dechargees'!B:B,'Commandes Dechargees'!P:P),"EN ATTENTE DE DECHARGEMENT")</f>
        <v>DECHARGE</v>
      </c>
    </row>
    <row r="57" spans="3:11" ht="25.5" customHeight="1" x14ac:dyDescent="0.35">
      <c r="C57" s="1">
        <v>46252</v>
      </c>
      <c r="D57" s="2" t="s">
        <v>151</v>
      </c>
      <c r="E57" s="2" t="s">
        <v>208</v>
      </c>
      <c r="F57" s="3" t="str">
        <f>_xlfn.XLOOKUP(Table1[[#This Row],[Code Frs]],'CODE FRS'!B:B,'CODE FRS'!C:C)</f>
        <v>AHEGNI CASIMIR</v>
      </c>
      <c r="G57" s="2" t="s">
        <v>238</v>
      </c>
      <c r="H57" s="2">
        <v>144032700</v>
      </c>
      <c r="I57" s="2">
        <v>50</v>
      </c>
      <c r="J57" s="2" t="s">
        <v>63</v>
      </c>
      <c r="K57" s="2" t="str">
        <f>_xlfn.IFNA(_xlfn.XLOOKUP(Table1[[#This Row],[N° BC]],'Commandes Dechargees'!B:B,'Commandes Dechargees'!P:P),"EN ATTENTE DE DECHARGEMENT")</f>
        <v>EN ATTENTE DE DECHARGEMENT</v>
      </c>
    </row>
    <row r="58" spans="3:11" ht="25.5" customHeight="1" x14ac:dyDescent="0.35">
      <c r="C58" s="1">
        <v>46252</v>
      </c>
      <c r="D58" s="2" t="s">
        <v>152</v>
      </c>
      <c r="E58" s="2" t="s">
        <v>198</v>
      </c>
      <c r="F58" s="3" t="str">
        <f>_xlfn.XLOOKUP(Table1[[#This Row],[Code Frs]],'CODE FRS'!B:B,'CODE FRS'!C:C)</f>
        <v>VLAVONOU PIERRE</v>
      </c>
      <c r="G58" s="2" t="s">
        <v>239</v>
      </c>
      <c r="H58" s="2">
        <v>161628072</v>
      </c>
      <c r="I58" s="2">
        <v>40</v>
      </c>
      <c r="J58" s="2" t="s">
        <v>63</v>
      </c>
      <c r="K58" s="2" t="str">
        <f>_xlfn.IFNA(_xlfn.XLOOKUP(Table1[[#This Row],[N° BC]],'Commandes Dechargees'!B:B,'Commandes Dechargees'!P:P),"EN ATTENTE DE DECHARGEMENT")</f>
        <v>EN ATTENTE DE DECHARGEMENT</v>
      </c>
    </row>
    <row r="59" spans="3:11" ht="25.5" customHeight="1" x14ac:dyDescent="0.35">
      <c r="C59" s="1">
        <v>46252</v>
      </c>
      <c r="D59" s="2" t="s">
        <v>153</v>
      </c>
      <c r="E59" s="2" t="s">
        <v>212</v>
      </c>
      <c r="F59" s="29" t="str">
        <f>_xlfn.XLOOKUP(Table1[[#This Row],[Code Frs]],'CODE FRS'!B:B,'CODE FRS'!C:C)</f>
        <v>DOSSA MATHURIN</v>
      </c>
      <c r="G59" s="2" t="s">
        <v>240</v>
      </c>
      <c r="H59" s="2">
        <v>144599373</v>
      </c>
      <c r="I59" s="2">
        <v>50</v>
      </c>
      <c r="J59" s="2" t="s">
        <v>63</v>
      </c>
      <c r="K59" s="2" t="str">
        <f>_xlfn.IFNA(_xlfn.XLOOKUP(Table1[[#This Row],[N° BC]],'Commandes Dechargees'!B:B,'Commandes Dechargees'!P:P),"EN ATTENTE DE DECHARGEMENT")</f>
        <v>EN ATTENTE DE DECHARGEMENT</v>
      </c>
    </row>
    <row r="60" spans="3:11" ht="25.5" hidden="1" customHeight="1" x14ac:dyDescent="0.35">
      <c r="C60" s="1">
        <v>46253</v>
      </c>
      <c r="D60" s="2" t="s">
        <v>154</v>
      </c>
      <c r="E60" s="2" t="s">
        <v>206</v>
      </c>
      <c r="F60" s="3" t="str">
        <f>_xlfn.XLOOKUP(Table1[[#This Row],[Code Frs]],'CODE FRS'!B:B,'CODE FRS'!C:C)</f>
        <v>FIOGBE</v>
      </c>
      <c r="G60" s="2" t="s">
        <v>241</v>
      </c>
      <c r="H60" s="2">
        <v>166552623</v>
      </c>
      <c r="I60" s="2">
        <v>50</v>
      </c>
      <c r="J60" s="2" t="s">
        <v>231</v>
      </c>
      <c r="K60" s="2" t="s">
        <v>231</v>
      </c>
    </row>
    <row r="61" spans="3:11" ht="25.5" hidden="1" customHeight="1" x14ac:dyDescent="0.35">
      <c r="C61" s="1">
        <v>46253</v>
      </c>
      <c r="D61" s="2" t="s">
        <v>155</v>
      </c>
      <c r="E61" s="2" t="s">
        <v>193</v>
      </c>
      <c r="F61" s="3" t="str">
        <f>_xlfn.XLOOKUP(Table1[[#This Row],[Code Frs]],'CODE FRS'!B:B,'CODE FRS'!C:C)</f>
        <v>TCHANIGA SAMSON</v>
      </c>
      <c r="G61" s="2" t="s">
        <v>242</v>
      </c>
      <c r="H61" s="2">
        <v>193400076</v>
      </c>
      <c r="I61" s="2">
        <v>50</v>
      </c>
      <c r="J61" s="2" t="s">
        <v>231</v>
      </c>
      <c r="K61" s="2" t="s">
        <v>231</v>
      </c>
    </row>
    <row r="62" spans="3:11" ht="25.5" hidden="1" customHeight="1" x14ac:dyDescent="0.35">
      <c r="C62" s="1">
        <v>46253</v>
      </c>
      <c r="D62" s="2" t="s">
        <v>156</v>
      </c>
      <c r="E62" s="2" t="s">
        <v>213</v>
      </c>
      <c r="F62" s="3" t="str">
        <f>_xlfn.XLOOKUP(Table1[[#This Row],[Code Frs]],'CODE FRS'!B:B,'CODE FRS'!C:C)</f>
        <v>NOEL DOLEME</v>
      </c>
      <c r="G62" s="2" t="s">
        <v>243</v>
      </c>
      <c r="H62" s="2">
        <v>144278738</v>
      </c>
      <c r="I62" s="2">
        <v>42</v>
      </c>
      <c r="J62" s="2" t="s">
        <v>230</v>
      </c>
      <c r="K62" s="2" t="str">
        <f>_xlfn.IFNA(_xlfn.XLOOKUP(Table1[[#This Row],[N° BC]],'Commandes Dechargees'!B:B,'Commandes Dechargees'!P:P),"EN ATTENTE DE DECHARGEMENT")</f>
        <v>DECHARGE</v>
      </c>
    </row>
    <row r="63" spans="3:11" ht="25.5" hidden="1" customHeight="1" x14ac:dyDescent="0.35">
      <c r="C63" s="1">
        <v>46253</v>
      </c>
      <c r="D63" s="2" t="s">
        <v>157</v>
      </c>
      <c r="E63" s="2" t="s">
        <v>208</v>
      </c>
      <c r="F63" s="3" t="str">
        <f>_xlfn.XLOOKUP(Table1[[#This Row],[Code Frs]],'CODE FRS'!B:B,'CODE FRS'!C:C)</f>
        <v>AHEGNI CASIMIR</v>
      </c>
      <c r="G63" s="2" t="s">
        <v>244</v>
      </c>
      <c r="H63" s="2">
        <v>165164733</v>
      </c>
      <c r="I63" s="2">
        <v>50</v>
      </c>
      <c r="J63" s="2" t="s">
        <v>230</v>
      </c>
      <c r="K63" s="2" t="str">
        <f>_xlfn.IFNA(_xlfn.XLOOKUP(Table1[[#This Row],[N° BC]],'Commandes Dechargees'!B:B,'Commandes Dechargees'!P:P),"EN ATTENTE DE DECHARGEMENT")</f>
        <v>DECHARGE</v>
      </c>
    </row>
    <row r="64" spans="3:11" ht="25.5" hidden="1" customHeight="1" x14ac:dyDescent="0.35">
      <c r="C64" s="1">
        <v>46253</v>
      </c>
      <c r="D64" s="2" t="s">
        <v>158</v>
      </c>
      <c r="E64" s="2" t="s">
        <v>208</v>
      </c>
      <c r="F64" s="3" t="str">
        <f>_xlfn.XLOOKUP(Table1[[#This Row],[Code Frs]],'CODE FRS'!B:B,'CODE FRS'!C:C)</f>
        <v>AHEGNI CASIMIR</v>
      </c>
      <c r="G64" s="2" t="s">
        <v>245</v>
      </c>
      <c r="H64" s="2">
        <v>156841695</v>
      </c>
      <c r="I64" s="2">
        <v>50</v>
      </c>
      <c r="J64" s="2" t="s">
        <v>230</v>
      </c>
      <c r="K64" s="2" t="str">
        <f>_xlfn.IFNA(_xlfn.XLOOKUP(Table1[[#This Row],[N° BC]],'Commandes Dechargees'!B:B,'Commandes Dechargees'!P:P),"EN ATTENTE DE DECHARGEMENT")</f>
        <v>DECHARGE</v>
      </c>
    </row>
    <row r="65" spans="3:11" ht="25.5" customHeight="1" x14ac:dyDescent="0.35">
      <c r="C65" s="1">
        <v>46253</v>
      </c>
      <c r="D65" s="2" t="s">
        <v>159</v>
      </c>
      <c r="E65" s="2" t="s">
        <v>198</v>
      </c>
      <c r="F65" s="3" t="str">
        <f>_xlfn.XLOOKUP(Table1[[#This Row],[Code Frs]],'CODE FRS'!B:B,'CODE FRS'!C:C)</f>
        <v>VLAVONOU PIERRE</v>
      </c>
      <c r="G65" s="2" t="s">
        <v>246</v>
      </c>
      <c r="H65" s="2">
        <v>197379795</v>
      </c>
      <c r="I65" s="2">
        <v>50</v>
      </c>
      <c r="J65" s="2" t="s">
        <v>63</v>
      </c>
      <c r="K65" s="2" t="str">
        <f>_xlfn.IFNA(_xlfn.XLOOKUP(Table1[[#This Row],[N° BC]],'Commandes Dechargees'!B:B,'Commandes Dechargees'!P:P),"EN ATTENTE DE DECHARGEMENT")</f>
        <v>EN ATTENTE DE DECHARGEMENT</v>
      </c>
    </row>
    <row r="66" spans="3:11" ht="25.5" hidden="1" customHeight="1" x14ac:dyDescent="0.35">
      <c r="C66" s="1">
        <v>46254</v>
      </c>
      <c r="D66" s="2" t="s">
        <v>160</v>
      </c>
      <c r="E66" s="2" t="s">
        <v>193</v>
      </c>
      <c r="F66" s="3" t="str">
        <f>_xlfn.XLOOKUP(Table1[[#This Row],[Code Frs]],'CODE FRS'!B:B,'CODE FRS'!C:C)</f>
        <v>TCHANIGA SAMSON</v>
      </c>
      <c r="G66" s="2" t="s">
        <v>247</v>
      </c>
      <c r="H66" s="2">
        <v>197700732</v>
      </c>
      <c r="I66" s="2">
        <v>46</v>
      </c>
      <c r="J66" s="2" t="s">
        <v>230</v>
      </c>
      <c r="K66" s="2" t="str">
        <f>_xlfn.IFNA(_xlfn.XLOOKUP(Table1[[#This Row],[N° BC]],'Commandes Dechargees'!B:B,'Commandes Dechargees'!P:P),"EN ATTENTE DE DECHARGEMENT")</f>
        <v>DECHARGE</v>
      </c>
    </row>
    <row r="67" spans="3:11" ht="25.5" hidden="1" customHeight="1" x14ac:dyDescent="0.35">
      <c r="C67" s="1">
        <v>46254</v>
      </c>
      <c r="D67" s="2" t="s">
        <v>161</v>
      </c>
      <c r="E67" s="2" t="s">
        <v>214</v>
      </c>
      <c r="F67" s="3" t="str">
        <f>_xlfn.XLOOKUP(Table1[[#This Row],[Code Frs]],'CODE FRS'!B:B,'CODE FRS'!C:C)</f>
        <v>DAA-HINGBANON VIRGILE</v>
      </c>
      <c r="G67" s="2" t="s">
        <v>306</v>
      </c>
      <c r="H67" s="2">
        <v>197383815</v>
      </c>
      <c r="I67" s="2">
        <v>38</v>
      </c>
      <c r="J67" s="2" t="s">
        <v>230</v>
      </c>
      <c r="K67" s="2" t="str">
        <f>_xlfn.IFNA(_xlfn.XLOOKUP(Table1[[#This Row],[N° BC]],'Commandes Dechargees'!B:B,'Commandes Dechargees'!P:P),"EN ATTENTE DE DECHARGEMENT")</f>
        <v>DECHARGE</v>
      </c>
    </row>
    <row r="68" spans="3:11" ht="25.5" hidden="1" customHeight="1" x14ac:dyDescent="0.35">
      <c r="C68" s="1">
        <v>46254</v>
      </c>
      <c r="D68" s="2" t="s">
        <v>171</v>
      </c>
      <c r="E68" s="2" t="s">
        <v>198</v>
      </c>
      <c r="F68" s="3" t="str">
        <f>_xlfn.XLOOKUP(Table1[[#This Row],[Code Frs]],'CODE FRS'!B:B,'CODE FRS'!C:C)</f>
        <v>VLAVONOU PIERRE</v>
      </c>
      <c r="G68" s="2" t="s">
        <v>248</v>
      </c>
      <c r="H68" s="2">
        <v>190365237</v>
      </c>
      <c r="I68" s="2">
        <v>45</v>
      </c>
      <c r="J68" s="2" t="s">
        <v>230</v>
      </c>
      <c r="K68" s="2" t="str">
        <f>_xlfn.IFNA(_xlfn.XLOOKUP(Table1[[#This Row],[N° BC]],'Commandes Dechargees'!B:B,'Commandes Dechargees'!P:P),"EN ATTENTE DE DECHARGEMENT")</f>
        <v>DECHARGE</v>
      </c>
    </row>
    <row r="69" spans="3:11" ht="25.5" hidden="1" customHeight="1" x14ac:dyDescent="0.35">
      <c r="C69" s="1">
        <v>46254</v>
      </c>
      <c r="D69" s="2" t="s">
        <v>172</v>
      </c>
      <c r="E69" s="2" t="s">
        <v>208</v>
      </c>
      <c r="F69" s="3" t="str">
        <f>_xlfn.XLOOKUP(Table1[[#This Row],[Code Frs]],'CODE FRS'!B:B,'CODE FRS'!C:C)</f>
        <v>AHEGNI CASIMIR</v>
      </c>
      <c r="G69" s="2" t="s">
        <v>249</v>
      </c>
      <c r="H69" s="2">
        <v>141544135</v>
      </c>
      <c r="I69" s="2">
        <v>50</v>
      </c>
      <c r="J69" s="2" t="s">
        <v>230</v>
      </c>
      <c r="K69" s="2" t="str">
        <f>_xlfn.IFNA(_xlfn.XLOOKUP(Table1[[#This Row],[N° BC]],'Commandes Dechargees'!B:B,'Commandes Dechargees'!P:P),"EN ATTENTE DE DECHARGEMENT")</f>
        <v>DECHARGE</v>
      </c>
    </row>
    <row r="70" spans="3:11" ht="25.5" customHeight="1" x14ac:dyDescent="0.35">
      <c r="C70" s="1">
        <v>46254</v>
      </c>
      <c r="D70" s="2" t="s">
        <v>173</v>
      </c>
      <c r="E70" s="2" t="s">
        <v>208</v>
      </c>
      <c r="F70" s="3" t="str">
        <f>_xlfn.XLOOKUP(Table1[[#This Row],[Code Frs]],'CODE FRS'!B:B,'CODE FRS'!C:C)</f>
        <v>AHEGNI CASIMIR</v>
      </c>
      <c r="G70" s="2" t="s">
        <v>250</v>
      </c>
      <c r="H70" s="2">
        <v>169763269</v>
      </c>
      <c r="I70" s="2">
        <v>50</v>
      </c>
      <c r="J70" s="2" t="s">
        <v>63</v>
      </c>
      <c r="K70" s="2" t="str">
        <f>_xlfn.IFNA(_xlfn.XLOOKUP(Table1[[#This Row],[N° BC]],'Commandes Dechargees'!B:B,'Commandes Dechargees'!P:P),"EN ATTENTE DE DECHARGEMENT")</f>
        <v>EN ATTENTE DE DECHARGEMENT</v>
      </c>
    </row>
    <row r="71" spans="3:11" ht="25.5" hidden="1" customHeight="1" x14ac:dyDescent="0.35">
      <c r="C71" s="1">
        <v>46254</v>
      </c>
      <c r="D71" s="2" t="s">
        <v>174</v>
      </c>
      <c r="E71" s="2" t="s">
        <v>201</v>
      </c>
      <c r="F71" s="3" t="str">
        <f>_xlfn.XLOOKUP(Table1[[#This Row],[Code Frs]],'CODE FRS'!B:B,'CODE FRS'!C:C)</f>
        <v>GOUDO DOSSOU ROMAIN</v>
      </c>
      <c r="G71" s="2" t="s">
        <v>189</v>
      </c>
      <c r="H71" s="2">
        <v>196909282</v>
      </c>
      <c r="I71" s="2">
        <v>50</v>
      </c>
      <c r="J71" s="2" t="s">
        <v>231</v>
      </c>
      <c r="K71" s="2" t="s">
        <v>231</v>
      </c>
    </row>
    <row r="72" spans="3:11" ht="25.5" customHeight="1" x14ac:dyDescent="0.35">
      <c r="C72" s="1">
        <v>46255</v>
      </c>
      <c r="D72" s="2" t="s">
        <v>175</v>
      </c>
      <c r="E72" s="2" t="s">
        <v>201</v>
      </c>
      <c r="F72" s="3" t="str">
        <f>_xlfn.XLOOKUP(Table1[[#This Row],[Code Frs]],'CODE FRS'!B:B,'CODE FRS'!C:C)</f>
        <v>GOUDO DOSSOU ROMAIN</v>
      </c>
      <c r="G72" s="2" t="s">
        <v>251</v>
      </c>
      <c r="H72" s="2">
        <v>196909282</v>
      </c>
      <c r="I72" s="2">
        <v>50</v>
      </c>
      <c r="J72" s="2" t="s">
        <v>63</v>
      </c>
      <c r="K72" s="2" t="str">
        <f>_xlfn.IFNA(_xlfn.XLOOKUP(Table1[[#This Row],[N° BC]],'Commandes Dechargees'!B:B,'Commandes Dechargees'!P:P),"EN ATTENTE DE DECHARGEMENT")</f>
        <v>EN ATTENTE DE DECHARGEMENT</v>
      </c>
    </row>
    <row r="73" spans="3:11" ht="25.5" hidden="1" customHeight="1" x14ac:dyDescent="0.35">
      <c r="C73" s="1">
        <v>46255</v>
      </c>
      <c r="D73" s="2" t="s">
        <v>176</v>
      </c>
      <c r="E73" s="2" t="s">
        <v>208</v>
      </c>
      <c r="F73" s="3" t="str">
        <f>_xlfn.XLOOKUP(Table1[[#This Row],[Code Frs]],'CODE FRS'!B:B,'CODE FRS'!C:C)</f>
        <v>AHEGNI CASIMIR</v>
      </c>
      <c r="G73" s="2" t="s">
        <v>252</v>
      </c>
      <c r="H73" s="2">
        <v>162060618</v>
      </c>
      <c r="I73" s="2">
        <v>50</v>
      </c>
      <c r="J73" s="2" t="s">
        <v>230</v>
      </c>
      <c r="K73" s="2" t="str">
        <f>_xlfn.IFNA(_xlfn.XLOOKUP(Table1[[#This Row],[N° BC]],'Commandes Dechargees'!B:B,'Commandes Dechargees'!P:P),"EN ATTENTE DE DECHARGEMENT")</f>
        <v>DECHARGE</v>
      </c>
    </row>
    <row r="74" spans="3:11" ht="25.5" hidden="1" customHeight="1" x14ac:dyDescent="0.35">
      <c r="C74" s="1">
        <v>46255</v>
      </c>
      <c r="D74" s="2" t="s">
        <v>177</v>
      </c>
      <c r="E74" s="2" t="s">
        <v>208</v>
      </c>
      <c r="F74" s="3" t="str">
        <f>_xlfn.XLOOKUP(Table1[[#This Row],[Code Frs]],'CODE FRS'!B:B,'CODE FRS'!C:C)</f>
        <v>AHEGNI CASIMIR</v>
      </c>
      <c r="G74" s="2" t="s">
        <v>253</v>
      </c>
      <c r="H74" s="2">
        <v>143039404</v>
      </c>
      <c r="I74" s="2">
        <v>50</v>
      </c>
      <c r="J74" s="2" t="s">
        <v>230</v>
      </c>
      <c r="K74" s="2" t="str">
        <f>_xlfn.IFNA(_xlfn.XLOOKUP(Table1[[#This Row],[N° BC]],'Commandes Dechargees'!B:B,'Commandes Dechargees'!P:P),"EN ATTENTE DE DECHARGEMENT")</f>
        <v>DECHARGE</v>
      </c>
    </row>
    <row r="75" spans="3:11" ht="25.5" customHeight="1" x14ac:dyDescent="0.35">
      <c r="C75" s="1">
        <v>46255</v>
      </c>
      <c r="D75" s="2" t="s">
        <v>178</v>
      </c>
      <c r="E75" s="2" t="s">
        <v>199</v>
      </c>
      <c r="F75" s="3" t="str">
        <f>_xlfn.XLOOKUP(Table1[[#This Row],[Code Frs]],'CODE FRS'!B:B,'CODE FRS'!C:C)</f>
        <v>BRISSO BIO ALIDOU</v>
      </c>
      <c r="G75" s="2" t="s">
        <v>190</v>
      </c>
      <c r="H75" s="2">
        <v>166193674</v>
      </c>
      <c r="I75" s="2">
        <v>50</v>
      </c>
      <c r="J75" s="2" t="s">
        <v>63</v>
      </c>
      <c r="K75" s="2" t="str">
        <f>_xlfn.IFNA(_xlfn.XLOOKUP(Table1[[#This Row],[N° BC]],'Commandes Dechargees'!B:B,'Commandes Dechargees'!P:P),"EN ATTENTE DE DECHARGEMENT")</f>
        <v>EN ATTENTE DE DECHARGEMENT</v>
      </c>
    </row>
    <row r="76" spans="3:11" ht="25.5" hidden="1" customHeight="1" x14ac:dyDescent="0.35">
      <c r="C76" s="1">
        <v>46255</v>
      </c>
      <c r="D76" s="2" t="s">
        <v>179</v>
      </c>
      <c r="E76" s="2" t="s">
        <v>202</v>
      </c>
      <c r="F76" s="3" t="str">
        <f>_xlfn.XLOOKUP(Table1[[#This Row],[Code Frs]],'CODE FRS'!B:B,'CODE FRS'!C:C)</f>
        <v>COMLAN MAHOUSSE JOSPIN</v>
      </c>
      <c r="G76" s="2" t="s">
        <v>254</v>
      </c>
      <c r="H76" s="2">
        <v>166326936</v>
      </c>
      <c r="I76" s="2">
        <v>50</v>
      </c>
      <c r="J76" s="2" t="s">
        <v>231</v>
      </c>
      <c r="K76" s="2" t="s">
        <v>231</v>
      </c>
    </row>
    <row r="77" spans="3:11" ht="25.5" customHeight="1" x14ac:dyDescent="0.35">
      <c r="C77" s="1">
        <v>46255</v>
      </c>
      <c r="D77" s="2" t="s">
        <v>180</v>
      </c>
      <c r="E77" s="2" t="s">
        <v>213</v>
      </c>
      <c r="F77" s="3" t="str">
        <f>_xlfn.XLOOKUP(Table1[[#This Row],[Code Frs]],'CODE FRS'!B:B,'CODE FRS'!C:C)</f>
        <v>NOEL DOLEME</v>
      </c>
      <c r="G77" s="2" t="s">
        <v>255</v>
      </c>
      <c r="H77" s="2">
        <v>197967072</v>
      </c>
      <c r="I77" s="2">
        <v>45</v>
      </c>
      <c r="J77" s="2" t="s">
        <v>63</v>
      </c>
      <c r="K77" s="2" t="str">
        <f>_xlfn.IFNA(_xlfn.XLOOKUP(Table1[[#This Row],[N° BC]],'Commandes Dechargees'!B:B,'Commandes Dechargees'!P:P),"EN ATTENTE DE DECHARGEMENT")</f>
        <v>EN ATTENTE DE DECHARGEMENT</v>
      </c>
    </row>
    <row r="78" spans="3:11" ht="25.5" customHeight="1" x14ac:dyDescent="0.35">
      <c r="C78" s="1">
        <v>46255</v>
      </c>
      <c r="D78" s="2" t="s">
        <v>182</v>
      </c>
      <c r="E78" s="2" t="s">
        <v>213</v>
      </c>
      <c r="F78" s="3" t="str">
        <f>_xlfn.XLOOKUP(Table1[[#This Row],[Code Frs]],'CODE FRS'!B:B,'CODE FRS'!C:C)</f>
        <v>NOEL DOLEME</v>
      </c>
      <c r="G78" s="2" t="s">
        <v>256</v>
      </c>
      <c r="H78" s="2">
        <v>143644032</v>
      </c>
      <c r="I78" s="2">
        <v>43</v>
      </c>
      <c r="J78" s="2" t="s">
        <v>63</v>
      </c>
      <c r="K78" s="2" t="str">
        <f>_xlfn.IFNA(_xlfn.XLOOKUP(Table1[[#This Row],[N° BC]],'Commandes Dechargees'!B:B,'Commandes Dechargees'!P:P),"EN ATTENTE DE DECHARGEMENT")</f>
        <v>EN ATTENTE DE DECHARGEMENT</v>
      </c>
    </row>
    <row r="79" spans="3:11" ht="25.5" hidden="1" customHeight="1" x14ac:dyDescent="0.35">
      <c r="C79" s="1">
        <v>46255</v>
      </c>
      <c r="D79" s="2" t="s">
        <v>183</v>
      </c>
      <c r="E79" s="2" t="s">
        <v>195</v>
      </c>
      <c r="F79" s="3" t="str">
        <f>_xlfn.XLOOKUP(Table1[[#This Row],[Code Frs]],'CODE FRS'!B:B,'CODE FRS'!C:C)</f>
        <v>BADAROU SAID</v>
      </c>
      <c r="G79" s="2" t="s">
        <v>257</v>
      </c>
      <c r="H79" s="2">
        <v>197383256</v>
      </c>
      <c r="I79" s="2">
        <v>50</v>
      </c>
      <c r="J79" s="2" t="s">
        <v>230</v>
      </c>
      <c r="K79" s="2" t="str">
        <f>_xlfn.IFNA(_xlfn.XLOOKUP(Table1[[#This Row],[N° BC]],'Commandes Dechargees'!B:B,'Commandes Dechargees'!P:P),"EN ATTENTE DE DECHARGEMENT")</f>
        <v>DECHARGE</v>
      </c>
    </row>
    <row r="80" spans="3:11" ht="25.5" hidden="1" customHeight="1" x14ac:dyDescent="0.35">
      <c r="C80" s="1">
        <v>46255</v>
      </c>
      <c r="D80" s="2" t="s">
        <v>184</v>
      </c>
      <c r="E80" s="2" t="s">
        <v>193</v>
      </c>
      <c r="F80" s="3" t="str">
        <f>_xlfn.XLOOKUP(Table1[[#This Row],[Code Frs]],'CODE FRS'!B:B,'CODE FRS'!C:C)</f>
        <v>TCHANIGA SAMSON</v>
      </c>
      <c r="G80" s="2" t="s">
        <v>258</v>
      </c>
      <c r="H80" s="2">
        <v>152872506</v>
      </c>
      <c r="I80" s="2">
        <v>48</v>
      </c>
      <c r="J80" s="2" t="s">
        <v>230</v>
      </c>
      <c r="K80" s="2" t="str">
        <f>_xlfn.IFNA(_xlfn.XLOOKUP(Table1[[#This Row],[N° BC]],'Commandes Dechargees'!B:B,'Commandes Dechargees'!P:P),"EN ATTENTE DE DECHARGEMENT")</f>
        <v>DECHARGE</v>
      </c>
    </row>
    <row r="81" spans="2:11" ht="25.5" customHeight="1" x14ac:dyDescent="0.35">
      <c r="C81" s="1">
        <v>46256</v>
      </c>
      <c r="D81" s="2" t="s">
        <v>185</v>
      </c>
      <c r="E81" s="2" t="s">
        <v>213</v>
      </c>
      <c r="F81" s="3" t="str">
        <f>_xlfn.XLOOKUP(Table1[[#This Row],[Code Frs]],'CODE FRS'!B:B,'CODE FRS'!C:C)</f>
        <v>NOEL DOLEME</v>
      </c>
      <c r="G81" s="2" t="s">
        <v>259</v>
      </c>
      <c r="H81" s="2">
        <v>160198409</v>
      </c>
      <c r="I81" s="2">
        <v>45</v>
      </c>
      <c r="J81" s="2" t="s">
        <v>63</v>
      </c>
      <c r="K81" s="2" t="str">
        <f>_xlfn.IFNA(_xlfn.XLOOKUP(Table1[[#This Row],[N° BC]],'Commandes Dechargees'!B:B,'Commandes Dechargees'!P:P),"EN ATTENTE DE DECHARGEMENT")</f>
        <v>EN ATTENTE DE DECHARGEMENT</v>
      </c>
    </row>
    <row r="82" spans="2:11" ht="25.5" hidden="1" customHeight="1" x14ac:dyDescent="0.35">
      <c r="C82" s="1">
        <v>46256</v>
      </c>
      <c r="D82" s="2" t="s">
        <v>186</v>
      </c>
      <c r="E82" s="2" t="s">
        <v>201</v>
      </c>
      <c r="F82" s="3" t="str">
        <f>_xlfn.XLOOKUP(Table1[[#This Row],[Code Frs]],'CODE FRS'!B:B,'CODE FRS'!C:C)</f>
        <v>GOUDO DOSSOU ROMAIN</v>
      </c>
      <c r="G82" s="2" t="s">
        <v>191</v>
      </c>
      <c r="H82" s="2">
        <v>196527302</v>
      </c>
      <c r="I82" s="2">
        <v>43</v>
      </c>
      <c r="J82" s="2" t="s">
        <v>230</v>
      </c>
      <c r="K82" s="2" t="str">
        <f>_xlfn.IFNA(_xlfn.XLOOKUP(Table1[[#This Row],[N° BC]],'Commandes Dechargees'!B:B,'Commandes Dechargees'!P:P),"EN ATTENTE DE DECHARGEMENT")</f>
        <v>DECHARGE</v>
      </c>
    </row>
    <row r="83" spans="2:11" ht="25.5" customHeight="1" x14ac:dyDescent="0.35">
      <c r="C83" s="1">
        <v>46256</v>
      </c>
      <c r="D83" s="2" t="s">
        <v>187</v>
      </c>
      <c r="E83" s="2" t="s">
        <v>218</v>
      </c>
      <c r="F83" s="3" t="str">
        <f>_xlfn.XLOOKUP(Table1[[#This Row],[Code Frs]],'CODE FRS'!B:B,'CODE FRS'!C:C)</f>
        <v>FAGRO SOUROU GILDAS</v>
      </c>
      <c r="G83" s="2" t="s">
        <v>260</v>
      </c>
      <c r="H83" s="2">
        <v>140391210</v>
      </c>
      <c r="I83" s="2">
        <v>47</v>
      </c>
      <c r="J83" s="2" t="s">
        <v>63</v>
      </c>
      <c r="K83" s="2" t="str">
        <f>_xlfn.IFNA(_xlfn.XLOOKUP(Table1[[#This Row],[N° BC]],'Commandes Dechargees'!B:B,'Commandes Dechargees'!P:P),"EN ATTENTE DE DECHARGEMENT")</f>
        <v>EN ATTENTE DE DECHARGEMENT</v>
      </c>
    </row>
    <row r="84" spans="2:11" ht="25.5" hidden="1" customHeight="1" x14ac:dyDescent="0.35">
      <c r="C84" s="1">
        <v>46256</v>
      </c>
      <c r="D84" s="2" t="s">
        <v>188</v>
      </c>
      <c r="E84" s="2" t="s">
        <v>193</v>
      </c>
      <c r="F84" s="3" t="str">
        <f>_xlfn.XLOOKUP(Table1[[#This Row],[Code Frs]],'CODE FRS'!B:B,'CODE FRS'!C:C)</f>
        <v>TCHANIGA SAMSON</v>
      </c>
      <c r="G84" s="2" t="s">
        <v>261</v>
      </c>
      <c r="H84" s="2">
        <v>194971590</v>
      </c>
      <c r="I84" s="2">
        <v>45</v>
      </c>
      <c r="J84" s="2" t="s">
        <v>230</v>
      </c>
      <c r="K84" s="2" t="str">
        <f>_xlfn.IFNA(_xlfn.XLOOKUP(Table1[[#This Row],[N° BC]],'Commandes Dechargees'!B:B,'Commandes Dechargees'!P:P),"EN ATTENTE DE DECHARGEMENT")</f>
        <v>DECHARGE</v>
      </c>
    </row>
    <row r="85" spans="2:11" ht="25.5" customHeight="1" x14ac:dyDescent="0.35">
      <c r="C85" s="1">
        <v>46258</v>
      </c>
      <c r="D85" s="2" t="s">
        <v>290</v>
      </c>
      <c r="E85" s="2" t="s">
        <v>193</v>
      </c>
      <c r="F85" s="3" t="str">
        <f>_xlfn.XLOOKUP(Table1[[#This Row],[Code Frs]],'CODE FRS'!B:B,'CODE FRS'!C:C)</f>
        <v>TCHANIGA SAMSON</v>
      </c>
      <c r="G85" s="2" t="s">
        <v>242</v>
      </c>
      <c r="H85" s="2">
        <v>193400076</v>
      </c>
      <c r="I85" s="2">
        <v>45</v>
      </c>
      <c r="J85" s="2" t="s">
        <v>63</v>
      </c>
      <c r="K85" s="2" t="str">
        <f>_xlfn.IFNA(_xlfn.XLOOKUP(Table1[[#This Row],[N° BC]],'Commandes Dechargees'!B:B,'Commandes Dechargees'!P:P),"EN ATTENTE DE DECHARGEMENT")</f>
        <v>EN ATTENTE DE DECHARGEMENT</v>
      </c>
    </row>
    <row r="86" spans="2:11" ht="25.5" hidden="1" customHeight="1" x14ac:dyDescent="0.35">
      <c r="C86" s="1">
        <v>46258</v>
      </c>
      <c r="D86" s="2" t="s">
        <v>291</v>
      </c>
      <c r="E86" s="2" t="s">
        <v>266</v>
      </c>
      <c r="F86" s="3" t="str">
        <f>_xlfn.XLOOKUP(Table1[[#This Row],[Code Frs]],'CODE FRS'!B:B,'CODE FRS'!C:C)</f>
        <v>ASSOGBA LEON</v>
      </c>
      <c r="G86" s="2" t="s">
        <v>238</v>
      </c>
      <c r="H86" s="2">
        <v>144032700</v>
      </c>
      <c r="I86" s="2">
        <v>45</v>
      </c>
      <c r="J86" s="2" t="s">
        <v>230</v>
      </c>
      <c r="K86" s="2" t="str">
        <f>_xlfn.IFNA(_xlfn.XLOOKUP(Table1[[#This Row],[N° BC]],'Commandes Dechargees'!B:B,'Commandes Dechargees'!P:P),"EN ATTENTE DE DECHARGEMENT")</f>
        <v>DECHARGE</v>
      </c>
    </row>
    <row r="87" spans="2:11" ht="25.5" hidden="1" customHeight="1" x14ac:dyDescent="0.35">
      <c r="C87" s="1">
        <v>46258</v>
      </c>
      <c r="D87" s="2" t="s">
        <v>292</v>
      </c>
      <c r="E87" s="2" t="s">
        <v>212</v>
      </c>
      <c r="F87" s="3" t="str">
        <f>_xlfn.XLOOKUP(Table1[[#This Row],[Code Frs]],'CODE FRS'!B:B,'CODE FRS'!C:C)</f>
        <v>DOSSA MATHURIN</v>
      </c>
      <c r="G87" s="2" t="s">
        <v>270</v>
      </c>
      <c r="H87" s="2">
        <v>169403795</v>
      </c>
      <c r="I87" s="2">
        <v>45</v>
      </c>
      <c r="J87" s="2" t="s">
        <v>230</v>
      </c>
      <c r="K87" s="2" t="str">
        <f>_xlfn.IFNA(_xlfn.XLOOKUP(Table1[[#This Row],[N° BC]],'Commandes Dechargees'!B:B,'Commandes Dechargees'!P:P),"EN ATTENTE DE DECHARGEMENT")</f>
        <v>DECHARGE</v>
      </c>
    </row>
    <row r="88" spans="2:11" ht="25.5" customHeight="1" x14ac:dyDescent="0.35">
      <c r="C88" s="1">
        <v>46258</v>
      </c>
      <c r="D88" s="2" t="s">
        <v>293</v>
      </c>
      <c r="E88" s="2" t="s">
        <v>269</v>
      </c>
      <c r="F88" s="3" t="str">
        <f>_xlfn.XLOOKUP(Table1[[#This Row],[Code Frs]],'CODE FRS'!B:B,'CODE FRS'!C:C)</f>
        <v>AZOGA ARMAND</v>
      </c>
      <c r="G88" s="2" t="s">
        <v>271</v>
      </c>
      <c r="H88" s="2">
        <v>196794484</v>
      </c>
      <c r="I88" s="2">
        <v>50</v>
      </c>
      <c r="J88" s="2" t="s">
        <v>63</v>
      </c>
      <c r="K88" s="2" t="str">
        <f>_xlfn.IFNA(_xlfn.XLOOKUP(Table1[[#This Row],[N° BC]],'Commandes Dechargees'!B:B,'Commandes Dechargees'!P:P),"EN ATTENTE DE DECHARGEMENT")</f>
        <v>EN ATTENTE DE DECHARGEMENT</v>
      </c>
    </row>
    <row r="89" spans="2:11" ht="25.5" customHeight="1" x14ac:dyDescent="0.35">
      <c r="C89" s="1">
        <v>46258</v>
      </c>
      <c r="D89" s="2" t="s">
        <v>294</v>
      </c>
      <c r="E89" s="2" t="s">
        <v>273</v>
      </c>
      <c r="F89" s="3" t="str">
        <f>_xlfn.XLOOKUP(Table1[[#This Row],[Code Frs]],'CODE FRS'!B:B,'CODE FRS'!C:C)</f>
        <v>EDKO BUSINESS/ KOGNANNOU EDMOND</v>
      </c>
      <c r="G89" s="2" t="s">
        <v>274</v>
      </c>
      <c r="H89" s="2">
        <v>197630157</v>
      </c>
      <c r="I89" s="2">
        <v>50</v>
      </c>
      <c r="J89" s="2" t="s">
        <v>63</v>
      </c>
      <c r="K89" s="2" t="str">
        <f>_xlfn.IFNA(_xlfn.XLOOKUP(Table1[[#This Row],[N° BC]],'Commandes Dechargees'!B:B,'Commandes Dechargees'!P:P),"EN ATTENTE DE DECHARGEMENT")</f>
        <v>EN ATTENTE DE DECHARGEMENT</v>
      </c>
    </row>
    <row r="90" spans="2:11" ht="25.5" hidden="1" customHeight="1" x14ac:dyDescent="0.35">
      <c r="C90" s="1">
        <v>46258</v>
      </c>
      <c r="D90" s="2" t="s">
        <v>295</v>
      </c>
      <c r="E90" s="2" t="s">
        <v>208</v>
      </c>
      <c r="F90" s="3" t="str">
        <f>_xlfn.XLOOKUP(Table1[[#This Row],[Code Frs]],'CODE FRS'!B:B,'CODE FRS'!C:C)</f>
        <v>AHEGNI CASIMIR</v>
      </c>
      <c r="G90" s="2" t="s">
        <v>275</v>
      </c>
      <c r="H90" s="2">
        <v>141224742</v>
      </c>
      <c r="I90" s="2">
        <v>50</v>
      </c>
      <c r="J90" s="2" t="s">
        <v>230</v>
      </c>
      <c r="K90" s="2" t="str">
        <f>_xlfn.IFNA(_xlfn.XLOOKUP(Table1[[#This Row],[N° BC]],'Commandes Dechargees'!B:B,'Commandes Dechargees'!P:P),"EN ATTENTE DE DECHARGEMENT")</f>
        <v>DECHARGE</v>
      </c>
    </row>
    <row r="91" spans="2:11" ht="25.5" customHeight="1" x14ac:dyDescent="0.35">
      <c r="C91" s="1">
        <v>46258</v>
      </c>
      <c r="D91" s="2" t="s">
        <v>296</v>
      </c>
      <c r="E91" s="2" t="s">
        <v>213</v>
      </c>
      <c r="F91" s="3" t="str">
        <f>_xlfn.XLOOKUP(Table1[[#This Row],[Code Frs]],'CODE FRS'!B:B,'CODE FRS'!C:C)</f>
        <v>NOEL DOLEME</v>
      </c>
      <c r="G91" s="2" t="s">
        <v>276</v>
      </c>
      <c r="H91" s="2">
        <v>192789907</v>
      </c>
      <c r="I91" s="2">
        <v>50</v>
      </c>
      <c r="J91" s="2" t="s">
        <v>63</v>
      </c>
      <c r="K91" s="2" t="str">
        <f>_xlfn.IFNA(_xlfn.XLOOKUP(Table1[[#This Row],[N° BC]],'Commandes Dechargees'!B:B,'Commandes Dechargees'!P:P),"EN ATTENTE DE DECHARGEMENT")</f>
        <v>EN ATTENTE DE DECHARGEMENT</v>
      </c>
    </row>
    <row r="92" spans="2:11" ht="25.5" hidden="1" customHeight="1" x14ac:dyDescent="0.35">
      <c r="C92" s="1">
        <v>46258</v>
      </c>
      <c r="D92" s="2" t="s">
        <v>297</v>
      </c>
      <c r="E92" s="2" t="s">
        <v>279</v>
      </c>
      <c r="F92" s="3" t="str">
        <f>_xlfn.XLOOKUP(Table1[[#This Row],[Code Frs]],'CODE FRS'!B:B,'CODE FRS'!C:C)</f>
        <v>TCHANIGA LEONARD</v>
      </c>
      <c r="G92" s="2" t="s">
        <v>277</v>
      </c>
      <c r="H92" s="2">
        <v>197135003</v>
      </c>
      <c r="I92" s="2">
        <v>50</v>
      </c>
      <c r="J92" s="2" t="s">
        <v>230</v>
      </c>
      <c r="K92" s="2" t="str">
        <f>_xlfn.IFNA(_xlfn.XLOOKUP(Table1[[#This Row],[N° BC]],'Commandes Dechargees'!B:B,'Commandes Dechargees'!P:P),"EN ATTENTE DE DECHARGEMENT")</f>
        <v>DECHARGE</v>
      </c>
    </row>
    <row r="93" spans="2:11" ht="25.5" customHeight="1" x14ac:dyDescent="0.35">
      <c r="C93" s="1">
        <v>46259</v>
      </c>
      <c r="D93" s="2" t="s">
        <v>298</v>
      </c>
      <c r="E93" s="2" t="s">
        <v>281</v>
      </c>
      <c r="F93" s="3" t="str">
        <f>_xlfn.XLOOKUP(Table1[[#This Row],[Code Frs]],'CODE FRS'!B:B,'CODE FRS'!C:C)</f>
        <v>AMAH SEIDOU</v>
      </c>
      <c r="G93" s="2" t="s">
        <v>282</v>
      </c>
      <c r="H93" s="2">
        <v>196403039</v>
      </c>
      <c r="I93" s="2">
        <v>50</v>
      </c>
      <c r="J93" s="2" t="s">
        <v>63</v>
      </c>
      <c r="K93" s="2" t="str">
        <f>_xlfn.IFNA(_xlfn.XLOOKUP(Table1[[#This Row],[N° BC]],'Commandes Dechargees'!B:B,'Commandes Dechargees'!P:P),"EN ATTENTE DE DECHARGEMENT")</f>
        <v>EN ATTENTE DE DECHARGEMENT</v>
      </c>
    </row>
    <row r="94" spans="2:11" ht="25.5" customHeight="1" x14ac:dyDescent="0.35">
      <c r="B94" t="s">
        <v>443</v>
      </c>
      <c r="C94" s="1">
        <v>46259</v>
      </c>
      <c r="D94" s="2" t="s">
        <v>299</v>
      </c>
      <c r="E94" s="2" t="s">
        <v>218</v>
      </c>
      <c r="F94" s="3" t="str">
        <f>_xlfn.XLOOKUP(Table1[[#This Row],[Code Frs]],'CODE FRS'!B:B,'CODE FRS'!C:C)</f>
        <v>FAGRO SOUROU GILDAS</v>
      </c>
      <c r="G94" s="2" t="s">
        <v>283</v>
      </c>
      <c r="H94" s="2">
        <v>195203681</v>
      </c>
      <c r="I94" s="2">
        <v>50</v>
      </c>
      <c r="J94" s="2" t="s">
        <v>63</v>
      </c>
      <c r="K94" s="2" t="str">
        <f>_xlfn.IFNA(_xlfn.XLOOKUP(Table1[[#This Row],[N° BC]],'Commandes Dechargees'!B:B,'Commandes Dechargees'!P:P),"EN ATTENTE DE DECHARGEMENT")</f>
        <v>EN ATTENTE DE DECHARGEMENT</v>
      </c>
    </row>
    <row r="95" spans="2:11" ht="25.5" hidden="1" customHeight="1" x14ac:dyDescent="0.35">
      <c r="C95" s="1">
        <v>46259</v>
      </c>
      <c r="D95" s="2" t="s">
        <v>300</v>
      </c>
      <c r="E95" s="2" t="s">
        <v>213</v>
      </c>
      <c r="F95" s="3" t="str">
        <f>_xlfn.XLOOKUP(Table1[[#This Row],[Code Frs]],'CODE FRS'!B:B,'CODE FRS'!C:C)</f>
        <v>NOEL DOLEME</v>
      </c>
      <c r="G95" s="2" t="s">
        <v>284</v>
      </c>
      <c r="H95" s="2">
        <v>147396206</v>
      </c>
      <c r="I95" s="2">
        <v>50</v>
      </c>
      <c r="J95" s="2" t="s">
        <v>230</v>
      </c>
      <c r="K95" s="2" t="str">
        <f>_xlfn.IFNA(_xlfn.XLOOKUP(Table1[[#This Row],[N° BC]],'Commandes Dechargees'!B:B,'Commandes Dechargees'!P:P),"EN ATTENTE DE DECHARGEMENT")</f>
        <v>DECHARGE</v>
      </c>
    </row>
    <row r="96" spans="2:11" ht="25.5" hidden="1" customHeight="1" x14ac:dyDescent="0.35">
      <c r="C96" s="1">
        <v>46259</v>
      </c>
      <c r="D96" s="2" t="s">
        <v>301</v>
      </c>
      <c r="E96" s="2" t="s">
        <v>213</v>
      </c>
      <c r="F96" s="3" t="str">
        <f>_xlfn.XLOOKUP(Table1[[#This Row],[Code Frs]],'CODE FRS'!B:B,'CODE FRS'!C:C)</f>
        <v>NOEL DOLEME</v>
      </c>
      <c r="G96" s="2" t="s">
        <v>285</v>
      </c>
      <c r="H96" s="2">
        <v>164197050</v>
      </c>
      <c r="I96" s="2">
        <v>50</v>
      </c>
      <c r="J96" s="2" t="s">
        <v>230</v>
      </c>
      <c r="K96" s="2" t="str">
        <f>_xlfn.IFNA(_xlfn.XLOOKUP(Table1[[#This Row],[N° BC]],'Commandes Dechargees'!B:B,'Commandes Dechargees'!P:P),"EN ATTENTE DE DECHARGEMENT")</f>
        <v>DECHARGE</v>
      </c>
    </row>
    <row r="97" spans="3:11" ht="25.5" hidden="1" customHeight="1" x14ac:dyDescent="0.35">
      <c r="C97" s="1">
        <v>46259</v>
      </c>
      <c r="D97" s="2" t="s">
        <v>302</v>
      </c>
      <c r="E97" s="2" t="s">
        <v>212</v>
      </c>
      <c r="F97" s="3" t="str">
        <f>_xlfn.XLOOKUP(Table1[[#This Row],[Code Frs]],'CODE FRS'!B:B,'CODE FRS'!C:C)</f>
        <v>DOSSA MATHURIN</v>
      </c>
      <c r="G97" s="2" t="s">
        <v>286</v>
      </c>
      <c r="H97" s="2">
        <v>160964375</v>
      </c>
      <c r="I97" s="2">
        <v>50</v>
      </c>
      <c r="J97" s="2" t="s">
        <v>230</v>
      </c>
      <c r="K97" s="2" t="str">
        <f>_xlfn.IFNA(_xlfn.XLOOKUP(Table1[[#This Row],[N° BC]],'Commandes Dechargees'!B:B,'Commandes Dechargees'!P:P),"EN ATTENTE DE DECHARGEMENT")</f>
        <v>DECHARGE</v>
      </c>
    </row>
    <row r="98" spans="3:11" ht="25.5" customHeight="1" x14ac:dyDescent="0.35">
      <c r="C98" s="1">
        <v>46260</v>
      </c>
      <c r="D98" s="2" t="s">
        <v>303</v>
      </c>
      <c r="E98" s="2" t="s">
        <v>289</v>
      </c>
      <c r="F98" s="3" t="str">
        <f>_xlfn.XLOOKUP(Table1[[#This Row],[Code Frs]],'CODE FRS'!B:B,'CODE FRS'!C:C)</f>
        <v>ATACLE STEPHANE</v>
      </c>
      <c r="G98" s="2" t="s">
        <v>287</v>
      </c>
      <c r="H98" s="2">
        <v>147361593</v>
      </c>
      <c r="I98" s="2">
        <v>50</v>
      </c>
      <c r="J98" s="2" t="s">
        <v>63</v>
      </c>
      <c r="K98" s="2" t="str">
        <f>_xlfn.IFNA(_xlfn.XLOOKUP(Table1[[#This Row],[N° BC]],'Commandes Dechargees'!B:B,'Commandes Dechargees'!P:P),"EN ATTENTE DE DECHARGEMENT")</f>
        <v>EN ATTENTE DE DECHARGEMENT</v>
      </c>
    </row>
    <row r="99" spans="3:11" ht="25.5" hidden="1" customHeight="1" x14ac:dyDescent="0.35">
      <c r="C99" s="1">
        <v>46260</v>
      </c>
      <c r="D99" s="2" t="s">
        <v>335</v>
      </c>
      <c r="E99" s="2" t="s">
        <v>266</v>
      </c>
      <c r="F99" s="3" t="str">
        <f>_xlfn.XLOOKUP(Table1[[#This Row],[Code Frs]],'CODE FRS'!B:B,'CODE FRS'!C:C)</f>
        <v>ASSOGBA LEON</v>
      </c>
      <c r="G99" s="2" t="s">
        <v>336</v>
      </c>
      <c r="H99" s="2">
        <v>140563191</v>
      </c>
      <c r="I99" s="2">
        <v>26</v>
      </c>
      <c r="J99" s="2" t="s">
        <v>231</v>
      </c>
      <c r="K99" s="2" t="s">
        <v>231</v>
      </c>
    </row>
    <row r="100" spans="3:11" ht="25.5" hidden="1" customHeight="1" x14ac:dyDescent="0.35">
      <c r="C100" s="1">
        <v>46261</v>
      </c>
      <c r="D100" s="2" t="s">
        <v>337</v>
      </c>
      <c r="E100" s="2" t="s">
        <v>339</v>
      </c>
      <c r="F100" s="3" t="str">
        <f>_xlfn.XLOOKUP(Table1[[#This Row],[Code Frs]],'CODE FRS'!B:B,'CODE FRS'!C:C)</f>
        <v>HASSANE SEYNI</v>
      </c>
      <c r="G100" s="2" t="s">
        <v>340</v>
      </c>
      <c r="H100" s="2">
        <v>190375507</v>
      </c>
      <c r="I100" s="2">
        <v>50</v>
      </c>
      <c r="J100" s="2" t="s">
        <v>230</v>
      </c>
      <c r="K100" s="2" t="str">
        <f>_xlfn.IFNA(_xlfn.XLOOKUP(Table1[[#This Row],[N° BC]],'Commandes Dechargees'!B:B,'Commandes Dechargees'!P:P),"EN ATTENTE DE DECHARGEMENT")</f>
        <v>DECHARGE</v>
      </c>
    </row>
    <row r="101" spans="3:11" ht="25.5" customHeight="1" x14ac:dyDescent="0.35">
      <c r="C101" s="1">
        <v>46261</v>
      </c>
      <c r="D101" s="2" t="s">
        <v>341</v>
      </c>
      <c r="E101" s="2" t="s">
        <v>343</v>
      </c>
      <c r="F101" s="3" t="str">
        <f>_xlfn.XLOOKUP(Table1[[#This Row],[Code Frs]],'CODE FRS'!B:B,'CODE FRS'!C:C)</f>
        <v>GODONOU CHARLES</v>
      </c>
      <c r="G101" s="2" t="s">
        <v>344</v>
      </c>
      <c r="H101" s="2">
        <v>197077611</v>
      </c>
      <c r="I101" s="2">
        <v>50</v>
      </c>
      <c r="J101" s="2" t="s">
        <v>63</v>
      </c>
      <c r="K101" s="2" t="str">
        <f>_xlfn.IFNA(_xlfn.XLOOKUP(Table1[[#This Row],[N° BC]],'Commandes Dechargees'!B:B,'Commandes Dechargees'!P:P),"EN ATTENTE DE DECHARGEMENT")</f>
        <v>EN ATTENTE DE DECHARGEMENT</v>
      </c>
    </row>
    <row r="102" spans="3:11" ht="25.5" hidden="1" customHeight="1" x14ac:dyDescent="0.35">
      <c r="C102" s="1">
        <v>46261</v>
      </c>
      <c r="D102" s="2" t="s">
        <v>345</v>
      </c>
      <c r="E102" s="2" t="s">
        <v>212</v>
      </c>
      <c r="F102" s="3" t="str">
        <f>_xlfn.XLOOKUP(Table1[[#This Row],[Code Frs]],'CODE FRS'!B:B,'CODE FRS'!C:C)</f>
        <v>DOSSA MATHURIN</v>
      </c>
      <c r="G102" s="2" t="s">
        <v>60</v>
      </c>
      <c r="H102" s="2">
        <v>141364776</v>
      </c>
      <c r="I102" s="2">
        <v>50</v>
      </c>
      <c r="J102" s="2" t="s">
        <v>230</v>
      </c>
      <c r="K102" s="2" t="str">
        <f>_xlfn.IFNA(_xlfn.XLOOKUP(Table1[[#This Row],[N° BC]],'Commandes Dechargees'!B:B,'Commandes Dechargees'!P:P),"EN ATTENTE DE DECHARGEMENT")</f>
        <v>DECHARGE</v>
      </c>
    </row>
    <row r="103" spans="3:11" ht="25.5" hidden="1" customHeight="1" x14ac:dyDescent="0.35">
      <c r="C103" s="1">
        <v>46261</v>
      </c>
      <c r="D103" s="2" t="s">
        <v>381</v>
      </c>
      <c r="E103" s="2" t="s">
        <v>211</v>
      </c>
      <c r="F103" s="3" t="str">
        <f>_xlfn.XLOOKUP(Table1[[#This Row],[Code Frs]],'CODE FRS'!B:B,'CODE FRS'!C:C)</f>
        <v>GOUNOU ELISABETH</v>
      </c>
      <c r="G103" s="2" t="s">
        <v>347</v>
      </c>
      <c r="H103" s="2">
        <v>140865057</v>
      </c>
      <c r="I103" s="2">
        <v>50</v>
      </c>
      <c r="J103" s="2" t="s">
        <v>230</v>
      </c>
      <c r="K103" s="2" t="str">
        <f>_xlfn.IFNA(_xlfn.XLOOKUP(Table1[[#This Row],[N° BC]],'Commandes Dechargees'!B:B,'Commandes Dechargees'!P:P),"EN ATTENTE DE DECHARGEMENT")</f>
        <v>DECHARGE</v>
      </c>
    </row>
    <row r="104" spans="3:11" ht="25.5" customHeight="1" x14ac:dyDescent="0.35">
      <c r="C104" s="1">
        <v>46261</v>
      </c>
      <c r="D104" s="2" t="s">
        <v>348</v>
      </c>
      <c r="E104" s="2" t="s">
        <v>213</v>
      </c>
      <c r="F104" s="3" t="str">
        <f>_xlfn.XLOOKUP(Table1[[#This Row],[Code Frs]],'CODE FRS'!B:B,'CODE FRS'!C:C)</f>
        <v>NOEL DOLEME</v>
      </c>
      <c r="G104" s="2" t="s">
        <v>349</v>
      </c>
      <c r="H104" s="2">
        <v>143040567</v>
      </c>
      <c r="I104" s="2">
        <v>40</v>
      </c>
      <c r="J104" s="2" t="s">
        <v>63</v>
      </c>
      <c r="K104" s="2" t="str">
        <f>_xlfn.IFNA(_xlfn.XLOOKUP(Table1[[#This Row],[N° BC]],'Commandes Dechargees'!B:B,'Commandes Dechargees'!P:P),"EN ATTENTE DE DECHARGEMENT")</f>
        <v>EN ATTENTE DE DECHARGEMENT</v>
      </c>
    </row>
    <row r="105" spans="3:11" ht="25.5" hidden="1" customHeight="1" x14ac:dyDescent="0.35">
      <c r="C105" s="1">
        <v>46261</v>
      </c>
      <c r="D105" s="2" t="s">
        <v>350</v>
      </c>
      <c r="E105" s="2" t="s">
        <v>193</v>
      </c>
      <c r="F105" s="3" t="str">
        <f>_xlfn.XLOOKUP(Table1[[#This Row],[Code Frs]],'CODE FRS'!B:B,'CODE FRS'!C:C)</f>
        <v>TCHANIGA SAMSON</v>
      </c>
      <c r="G105" s="2" t="s">
        <v>351</v>
      </c>
      <c r="H105" s="2">
        <v>143935990</v>
      </c>
      <c r="I105" s="2">
        <v>40</v>
      </c>
      <c r="J105" s="2" t="s">
        <v>230</v>
      </c>
      <c r="K105" s="2" t="str">
        <f>_xlfn.IFNA(_xlfn.XLOOKUP(Table1[[#This Row],[N° BC]],'Commandes Dechargees'!B:B,'Commandes Dechargees'!P:P),"EN ATTENTE DE DECHARGEMENT")</f>
        <v>DECHARGE</v>
      </c>
    </row>
    <row r="106" spans="3:11" ht="25.5" customHeight="1" x14ac:dyDescent="0.35">
      <c r="C106" s="1">
        <v>46262</v>
      </c>
      <c r="D106" s="2" t="s">
        <v>352</v>
      </c>
      <c r="E106" s="2" t="s">
        <v>214</v>
      </c>
      <c r="F106" s="3" t="str">
        <f>_xlfn.XLOOKUP(Table1[[#This Row],[Code Frs]],'CODE FRS'!B:B,'CODE FRS'!C:C)</f>
        <v>DAA-HINGBANON VIRGILE</v>
      </c>
      <c r="G106" s="2" t="s">
        <v>355</v>
      </c>
      <c r="H106" s="2">
        <v>141644743</v>
      </c>
      <c r="I106" s="2">
        <v>45</v>
      </c>
      <c r="J106" s="2" t="s">
        <v>63</v>
      </c>
      <c r="K106" s="2" t="str">
        <f>_xlfn.IFNA(_xlfn.XLOOKUP(Table1[[#This Row],[N° BC]],'Commandes Dechargees'!B:B,'Commandes Dechargees'!P:P),"EN ATTENTE DE DECHARGEMENT")</f>
        <v>EN ATTENTE DE DECHARGEMENT</v>
      </c>
    </row>
    <row r="107" spans="3:11" ht="25.5" customHeight="1" x14ac:dyDescent="0.35">
      <c r="C107" s="1">
        <v>46262</v>
      </c>
      <c r="D107" s="2" t="s">
        <v>353</v>
      </c>
      <c r="E107" s="2" t="s">
        <v>214</v>
      </c>
      <c r="F107" s="3" t="str">
        <f>_xlfn.XLOOKUP(Table1[[#This Row],[Code Frs]],'CODE FRS'!B:B,'CODE FRS'!C:C)</f>
        <v>DAA-HINGBANON VIRGILE</v>
      </c>
      <c r="G107" s="2" t="s">
        <v>354</v>
      </c>
      <c r="H107" s="2">
        <v>197990265</v>
      </c>
      <c r="I107" s="2">
        <v>50</v>
      </c>
      <c r="J107" s="2" t="s">
        <v>63</v>
      </c>
      <c r="K107" s="2" t="str">
        <f>_xlfn.IFNA(_xlfn.XLOOKUP(Table1[[#This Row],[N° BC]],'Commandes Dechargees'!B:B,'Commandes Dechargees'!P:P),"EN ATTENTE DE DECHARGEMENT")</f>
        <v>EN ATTENTE DE DECHARGEMENT</v>
      </c>
    </row>
    <row r="108" spans="3:11" ht="25.5" hidden="1" customHeight="1" x14ac:dyDescent="0.35">
      <c r="C108" s="1">
        <v>46263</v>
      </c>
      <c r="D108" s="2" t="s">
        <v>357</v>
      </c>
      <c r="E108" s="2" t="s">
        <v>339</v>
      </c>
      <c r="F108" s="3" t="str">
        <f>_xlfn.XLOOKUP(Table1[[#This Row],[Code Frs]],'CODE FRS'!B:B,'CODE FRS'!C:C)</f>
        <v>HASSANE SEYNI</v>
      </c>
      <c r="G108" s="2" t="s">
        <v>358</v>
      </c>
      <c r="H108" s="2">
        <v>195627243</v>
      </c>
      <c r="I108" s="2">
        <v>50</v>
      </c>
      <c r="J108" s="2" t="s">
        <v>230</v>
      </c>
      <c r="K108" s="2" t="str">
        <f>_xlfn.IFNA(_xlfn.XLOOKUP(Table1[[#This Row],[N° BC]],'Commandes Dechargees'!B:B,'Commandes Dechargees'!P:P),"EN ATTENTE DE DECHARGEMENT")</f>
        <v>DECHARGE</v>
      </c>
    </row>
    <row r="109" spans="3:11" ht="25.5" customHeight="1" x14ac:dyDescent="0.35">
      <c r="C109" s="1">
        <v>46263</v>
      </c>
      <c r="D109" s="2" t="s">
        <v>359</v>
      </c>
      <c r="E109" s="2" t="s">
        <v>266</v>
      </c>
      <c r="F109" s="3" t="str">
        <f>_xlfn.XLOOKUP(Table1[[#This Row],[Code Frs]],'CODE FRS'!B:B,'CODE FRS'!C:C)</f>
        <v>ASSOGBA LEON</v>
      </c>
      <c r="G109" s="2" t="s">
        <v>360</v>
      </c>
      <c r="H109" s="2">
        <v>192601383</v>
      </c>
      <c r="I109" s="2">
        <v>23</v>
      </c>
      <c r="J109" s="2" t="s">
        <v>63</v>
      </c>
      <c r="K109" s="2" t="str">
        <f>_xlfn.IFNA(_xlfn.XLOOKUP(Table1[[#This Row],[N° BC]],'Commandes Dechargees'!B:B,'Commandes Dechargees'!P:P),"EN ATTENTE DE DECHARGEMENT")</f>
        <v>EN ATTENTE DE DECHARGEMENT</v>
      </c>
    </row>
    <row r="110" spans="3:11" ht="25.5" hidden="1" customHeight="1" x14ac:dyDescent="0.35">
      <c r="C110" s="1">
        <v>46265</v>
      </c>
      <c r="D110" s="2" t="s">
        <v>362</v>
      </c>
      <c r="E110" s="2" t="s">
        <v>208</v>
      </c>
      <c r="F110" s="3" t="str">
        <f>_xlfn.XLOOKUP(Table1[[#This Row],[Code Frs]],'CODE FRS'!B:B,'CODE FRS'!C:C)</f>
        <v>AHEGNI CASIMIR</v>
      </c>
      <c r="G110" s="2" t="s">
        <v>363</v>
      </c>
      <c r="H110" s="2">
        <v>197401647</v>
      </c>
      <c r="I110" s="2">
        <v>50</v>
      </c>
      <c r="J110" s="2" t="s">
        <v>230</v>
      </c>
      <c r="K110" s="2" t="str">
        <f>_xlfn.IFNA(_xlfn.XLOOKUP(Table1[[#This Row],[N° BC]],'Commandes Dechargees'!B:B,'Commandes Dechargees'!P:P),"EN ATTENTE DE DECHARGEMENT")</f>
        <v>DECHARGE</v>
      </c>
    </row>
    <row r="111" spans="3:11" ht="25.5" hidden="1" customHeight="1" x14ac:dyDescent="0.35">
      <c r="C111" s="1">
        <v>46265</v>
      </c>
      <c r="D111" s="2" t="s">
        <v>364</v>
      </c>
      <c r="E111" s="2" t="s">
        <v>208</v>
      </c>
      <c r="F111" s="3" t="str">
        <f>_xlfn.XLOOKUP(Table1[[#This Row],[Code Frs]],'CODE FRS'!B:B,'CODE FRS'!C:C)</f>
        <v>AHEGNI CASIMIR</v>
      </c>
      <c r="G111" s="2" t="s">
        <v>365</v>
      </c>
      <c r="H111" s="2">
        <v>140270310</v>
      </c>
      <c r="I111" s="2">
        <v>50</v>
      </c>
      <c r="J111" s="2" t="s">
        <v>230</v>
      </c>
      <c r="K111" s="2" t="str">
        <f>_xlfn.IFNA(_xlfn.XLOOKUP(Table1[[#This Row],[N° BC]],'Commandes Dechargees'!B:B,'Commandes Dechargees'!P:P),"EN ATTENTE DE DECHARGEMENT")</f>
        <v>DECHARGE</v>
      </c>
    </row>
    <row r="112" spans="3:11" ht="25.5" customHeight="1" x14ac:dyDescent="0.35">
      <c r="C112" s="1">
        <v>46265</v>
      </c>
      <c r="D112" s="2" t="s">
        <v>366</v>
      </c>
      <c r="E112" s="2" t="s">
        <v>202</v>
      </c>
      <c r="F112" s="3" t="str">
        <f>_xlfn.XLOOKUP(Table1[[#This Row],[Code Frs]],'CODE FRS'!B:B,'CODE FRS'!C:C)</f>
        <v>COMLAN MAHOUSSE JOSPIN</v>
      </c>
      <c r="G112" s="2" t="s">
        <v>367</v>
      </c>
      <c r="H112" s="2">
        <v>194026558</v>
      </c>
      <c r="I112" s="2">
        <v>45</v>
      </c>
      <c r="J112" s="2" t="s">
        <v>63</v>
      </c>
      <c r="K112" s="2" t="str">
        <f>_xlfn.IFNA(_xlfn.XLOOKUP(Table1[[#This Row],[N° BC]],'Commandes Dechargees'!B:B,'Commandes Dechargees'!P:P),"EN ATTENTE DE DECHARGEMENT")</f>
        <v>EN ATTENTE DE DECHARGEMENT</v>
      </c>
    </row>
    <row r="113" spans="3:11" ht="25.5" customHeight="1" x14ac:dyDescent="0.35">
      <c r="C113" s="1">
        <v>46265</v>
      </c>
      <c r="D113" s="2" t="s">
        <v>368</v>
      </c>
      <c r="E113" s="2" t="s">
        <v>213</v>
      </c>
      <c r="F113" s="3" t="str">
        <f>_xlfn.XLOOKUP(Table1[[#This Row],[Code Frs]],'CODE FRS'!B:B,'CODE FRS'!C:C)</f>
        <v>NOEL DOLEME</v>
      </c>
      <c r="G113" s="2" t="s">
        <v>369</v>
      </c>
      <c r="H113" s="2">
        <v>197995642</v>
      </c>
      <c r="I113" s="2">
        <v>40</v>
      </c>
      <c r="J113" s="2" t="s">
        <v>63</v>
      </c>
      <c r="K113" s="2" t="str">
        <f>_xlfn.IFNA(_xlfn.XLOOKUP(Table1[[#This Row],[N° BC]],'Commandes Dechargees'!B:B,'Commandes Dechargees'!P:P),"EN ATTENTE DE DECHARGEMENT")</f>
        <v>EN ATTENTE DE DECHARGEMENT</v>
      </c>
    </row>
    <row r="114" spans="3:11" ht="25.5" customHeight="1" x14ac:dyDescent="0.35">
      <c r="C114" s="19">
        <v>46265</v>
      </c>
      <c r="D114" s="2" t="s">
        <v>370</v>
      </c>
      <c r="E114" s="2" t="s">
        <v>213</v>
      </c>
      <c r="F114" s="3" t="str">
        <f>_xlfn.XLOOKUP(Table1[[#This Row],[Code Frs]],'CODE FRS'!B:B,'CODE FRS'!C:C)</f>
        <v>NOEL DOLEME</v>
      </c>
      <c r="G114" s="2" t="s">
        <v>371</v>
      </c>
      <c r="H114" s="2">
        <v>161346460</v>
      </c>
      <c r="I114" s="2">
        <v>50</v>
      </c>
      <c r="J114" s="2" t="s">
        <v>63</v>
      </c>
      <c r="K114" s="2" t="str">
        <f>_xlfn.IFNA(_xlfn.XLOOKUP(Table1[[#This Row],[N° BC]],'Commandes Dechargees'!B:B,'Commandes Dechargees'!P:P),"EN ATTENTE DE DECHARGEMENT")</f>
        <v>EN ATTENTE DE DECHARGEMENT</v>
      </c>
    </row>
    <row r="115" spans="3:11" ht="25.5" hidden="1" customHeight="1" x14ac:dyDescent="0.35">
      <c r="C115" s="19">
        <v>46265</v>
      </c>
      <c r="D115" s="2" t="s">
        <v>374</v>
      </c>
      <c r="E115" s="2" t="s">
        <v>373</v>
      </c>
      <c r="F115" s="3" t="str">
        <f>_xlfn.XLOOKUP(Table1[[#This Row],[Code Frs]],'CODE FRS'!B:B,'CODE FRS'!C:C)</f>
        <v>HOUNTON NICOLAS</v>
      </c>
      <c r="G115" s="2" t="s">
        <v>375</v>
      </c>
      <c r="H115" s="2">
        <v>169577598</v>
      </c>
      <c r="I115" s="2">
        <v>50</v>
      </c>
      <c r="J115" s="2" t="s">
        <v>230</v>
      </c>
      <c r="K115" s="2" t="str">
        <f>_xlfn.IFNA(_xlfn.XLOOKUP(Table1[[#This Row],[N° BC]],'Commandes Dechargees'!B:B,'Commandes Dechargees'!P:P),"EN ATTENTE DE DECHARGEMENT")</f>
        <v>DECHARGE</v>
      </c>
    </row>
    <row r="116" spans="3:11" ht="25.5" customHeight="1" x14ac:dyDescent="0.35">
      <c r="C116" s="19">
        <v>46265</v>
      </c>
      <c r="D116" s="2" t="s">
        <v>376</v>
      </c>
      <c r="E116" s="2" t="s">
        <v>200</v>
      </c>
      <c r="F116" s="3" t="str">
        <f>_xlfn.XLOOKUP(Table1[[#This Row],[Code Frs]],'CODE FRS'!B:B,'CODE FRS'!C:C)</f>
        <v>HERVE KOBOLOU</v>
      </c>
      <c r="G116" s="2" t="s">
        <v>378</v>
      </c>
      <c r="H116" s="2">
        <v>196321044</v>
      </c>
      <c r="I116" s="2">
        <v>50</v>
      </c>
      <c r="J116" s="2" t="s">
        <v>63</v>
      </c>
      <c r="K116" s="2" t="str">
        <f>_xlfn.IFNA(_xlfn.XLOOKUP(Table1[[#This Row],[N° BC]],'Commandes Dechargees'!B:B,'Commandes Dechargees'!P:P),"EN ATTENTE DE DECHARGEMENT")</f>
        <v>EN ATTENTE DE DECHARGEMENT</v>
      </c>
    </row>
    <row r="117" spans="3:11" ht="25.5" customHeight="1" x14ac:dyDescent="0.35">
      <c r="C117" s="19">
        <v>46266</v>
      </c>
      <c r="D117" s="2" t="s">
        <v>384</v>
      </c>
      <c r="E117" s="2" t="s">
        <v>385</v>
      </c>
      <c r="F117" s="3" t="str">
        <f>_xlfn.XLOOKUP(Table1[[#This Row],[Code Frs]],'CODE FRS'!B:B,'CODE FRS'!C:C)</f>
        <v>ADANNON BLOND</v>
      </c>
      <c r="G117" s="2" t="s">
        <v>383</v>
      </c>
      <c r="H117" s="2">
        <v>167320348</v>
      </c>
      <c r="I117" s="2">
        <v>50</v>
      </c>
      <c r="J117" s="2" t="s">
        <v>63</v>
      </c>
      <c r="K117" s="2" t="str">
        <f>_xlfn.IFNA(_xlfn.XLOOKUP(Table1[[#This Row],[N° BC]],'Commandes Dechargees'!B:B,'Commandes Dechargees'!P:P),"EN ATTENTE DE DECHARGEMENT")</f>
        <v>EN ATTENTE DE DECHARGEMENT</v>
      </c>
    </row>
    <row r="118" spans="3:11" ht="25.5" hidden="1" customHeight="1" x14ac:dyDescent="0.35">
      <c r="C118" s="19">
        <v>46266</v>
      </c>
      <c r="D118" s="2" t="s">
        <v>387</v>
      </c>
      <c r="E118" s="2" t="s">
        <v>208</v>
      </c>
      <c r="F118" s="3" t="str">
        <f>_xlfn.XLOOKUP(Table1[[#This Row],[Code Frs]],'CODE FRS'!B:B,'CODE FRS'!C:C)</f>
        <v>AHEGNI CASIMIR</v>
      </c>
      <c r="G118" s="2" t="s">
        <v>389</v>
      </c>
      <c r="H118" s="2">
        <v>128340027</v>
      </c>
      <c r="I118" s="2">
        <v>50</v>
      </c>
      <c r="J118" s="2" t="s">
        <v>230</v>
      </c>
      <c r="K118" s="2" t="str">
        <f>_xlfn.IFNA(_xlfn.XLOOKUP(Table1[[#This Row],[N° BC]],'Commandes Dechargees'!B:B,'Commandes Dechargees'!P:P),"EN ATTENTE DE DECHARGEMENT")</f>
        <v>DECHARGE</v>
      </c>
    </row>
    <row r="119" spans="3:11" ht="25.5" hidden="1" customHeight="1" x14ac:dyDescent="0.35">
      <c r="C119" s="19">
        <v>46266</v>
      </c>
      <c r="D119" s="2" t="s">
        <v>388</v>
      </c>
      <c r="E119" s="2" t="s">
        <v>391</v>
      </c>
      <c r="F119" s="3" t="str">
        <f>_xlfn.XLOOKUP(Table1[[#This Row],[Code Frs]],'CODE FRS'!B:B,'CODE FRS'!C:C)</f>
        <v>SABI SARA MAMADOU</v>
      </c>
      <c r="G119" s="2" t="s">
        <v>392</v>
      </c>
      <c r="H119" s="2">
        <v>195207012</v>
      </c>
      <c r="I119" s="2">
        <v>32</v>
      </c>
      <c r="J119" s="2" t="s">
        <v>230</v>
      </c>
      <c r="K119" s="2" t="str">
        <f>_xlfn.IFNA(_xlfn.XLOOKUP(Table1[[#This Row],[N° BC]],'Commandes Dechargees'!B:B,'Commandes Dechargees'!P:P),"EN ATTENTE DE DECHARGEMENT")</f>
        <v>DECHARGE</v>
      </c>
    </row>
    <row r="120" spans="3:11" ht="25.5" hidden="1" customHeight="1" x14ac:dyDescent="0.35">
      <c r="C120" s="19">
        <v>46266</v>
      </c>
      <c r="D120" s="2" t="s">
        <v>393</v>
      </c>
      <c r="E120" s="2" t="s">
        <v>213</v>
      </c>
      <c r="F120" s="3" t="str">
        <f>_xlfn.XLOOKUP(Table1[[#This Row],[Code Frs]],'CODE FRS'!B:B,'CODE FRS'!C:C)</f>
        <v>NOEL DOLEME</v>
      </c>
      <c r="G120" s="2" t="s">
        <v>399</v>
      </c>
      <c r="H120" s="2">
        <v>196416063</v>
      </c>
      <c r="I120" s="2">
        <v>42</v>
      </c>
      <c r="J120" s="2" t="s">
        <v>230</v>
      </c>
      <c r="K120" s="2" t="str">
        <f>_xlfn.IFNA(_xlfn.XLOOKUP(Table1[[#This Row],[N° BC]],'Commandes Dechargees'!B:B,'Commandes Dechargees'!P:P),"EN ATTENTE DE DECHARGEMENT")</f>
        <v>DECHARGE</v>
      </c>
    </row>
    <row r="121" spans="3:11" ht="25.5" hidden="1" customHeight="1" x14ac:dyDescent="0.35">
      <c r="C121" s="19">
        <v>46266</v>
      </c>
      <c r="D121" s="2" t="s">
        <v>394</v>
      </c>
      <c r="E121" s="2" t="s">
        <v>196</v>
      </c>
      <c r="F121" s="3" t="str">
        <f>_xlfn.XLOOKUP(Table1[[#This Row],[Code Frs]],'CODE FRS'!B:B,'CODE FRS'!C:C)</f>
        <v>ISMAEL WASSIOU</v>
      </c>
      <c r="G121" s="2" t="s">
        <v>446</v>
      </c>
      <c r="H121" s="2">
        <v>166220268</v>
      </c>
      <c r="I121" s="2">
        <v>50</v>
      </c>
      <c r="J121" s="2" t="s">
        <v>230</v>
      </c>
      <c r="K121" s="2" t="str">
        <f>_xlfn.IFNA(_xlfn.XLOOKUP(Table1[[#This Row],[N° BC]],'Commandes Dechargees'!B:B,'Commandes Dechargees'!P:P),"EN ATTENTE DE DECHARGEMENT")</f>
        <v>DECHARGE</v>
      </c>
    </row>
    <row r="122" spans="3:11" ht="25.5" customHeight="1" x14ac:dyDescent="0.35">
      <c r="C122" s="19">
        <v>46266</v>
      </c>
      <c r="D122" s="2" t="s">
        <v>395</v>
      </c>
      <c r="E122" s="2" t="s">
        <v>401</v>
      </c>
      <c r="F122" s="3" t="str">
        <f>_xlfn.XLOOKUP(Table1[[#This Row],[Code Frs]],'CODE FRS'!B:B,'CODE FRS'!C:C)</f>
        <v>Mr LOUIS</v>
      </c>
      <c r="G122" s="2" t="s">
        <v>402</v>
      </c>
      <c r="H122" s="2">
        <v>195889495</v>
      </c>
      <c r="I122" s="2">
        <v>50</v>
      </c>
      <c r="J122" s="2" t="s">
        <v>63</v>
      </c>
      <c r="K122" s="2" t="str">
        <f>_xlfn.IFNA(_xlfn.XLOOKUP(Table1[[#This Row],[N° BC]],'Commandes Dechargees'!B:B,'Commandes Dechargees'!P:P),"EN ATTENTE DE DECHARGEMENT")</f>
        <v>EN ATTENTE DE DECHARGEMENT</v>
      </c>
    </row>
    <row r="123" spans="3:11" ht="25.5" customHeight="1" x14ac:dyDescent="0.35">
      <c r="C123" s="19">
        <v>46266</v>
      </c>
      <c r="D123" s="2" t="s">
        <v>396</v>
      </c>
      <c r="E123" s="2" t="s">
        <v>403</v>
      </c>
      <c r="F123" s="3" t="str">
        <f>_xlfn.XLOOKUP(Table1[[#This Row],[Code Frs]],'CODE FRS'!B:B,'CODE FRS'!C:C)</f>
        <v>Mr MOMO</v>
      </c>
      <c r="G123" s="2" t="s">
        <v>405</v>
      </c>
      <c r="H123" s="2">
        <v>194203500</v>
      </c>
      <c r="I123" s="2">
        <v>50</v>
      </c>
      <c r="J123" s="2" t="s">
        <v>63</v>
      </c>
      <c r="K123" s="2" t="str">
        <f>_xlfn.IFNA(_xlfn.XLOOKUP(Table1[[#This Row],[N° BC]],'Commandes Dechargees'!B:B,'Commandes Dechargees'!P:P),"EN ATTENTE DE DECHARGEMENT")</f>
        <v>EN ATTENTE DE DECHARGEMENT</v>
      </c>
    </row>
    <row r="124" spans="3:11" ht="25.5" hidden="1" customHeight="1" x14ac:dyDescent="0.35">
      <c r="C124" s="19">
        <v>46266</v>
      </c>
      <c r="D124" s="2" t="s">
        <v>397</v>
      </c>
      <c r="E124" s="2" t="s">
        <v>198</v>
      </c>
      <c r="F124" s="3" t="str">
        <f>_xlfn.XLOOKUP(Table1[[#This Row],[Code Frs]],'CODE FRS'!B:B,'CODE FRS'!C:C)</f>
        <v>VLAVONOU PIERRE</v>
      </c>
      <c r="G124" s="2" t="s">
        <v>406</v>
      </c>
      <c r="H124" s="2">
        <v>195889495</v>
      </c>
      <c r="I124" s="2">
        <v>50</v>
      </c>
      <c r="J124" s="2" t="s">
        <v>230</v>
      </c>
      <c r="K124" s="2" t="str">
        <f>_xlfn.IFNA(_xlfn.XLOOKUP(Table1[[#This Row],[N° BC]],'Commandes Dechargees'!B:B,'Commandes Dechargees'!P:P),"EN ATTENTE DE DECHARGEMENT")</f>
        <v>DECHARGE</v>
      </c>
    </row>
    <row r="125" spans="3:11" ht="25.5" hidden="1" customHeight="1" x14ac:dyDescent="0.35">
      <c r="C125" s="19">
        <v>46266</v>
      </c>
      <c r="D125" s="2" t="s">
        <v>398</v>
      </c>
      <c r="E125" s="2" t="s">
        <v>403</v>
      </c>
      <c r="F125" s="3" t="str">
        <f>_xlfn.XLOOKUP(Table1[[#This Row],[Code Frs]],'CODE FRS'!B:B,'CODE FRS'!C:C)</f>
        <v>Mr MOMO</v>
      </c>
      <c r="G125" s="2" t="s">
        <v>407</v>
      </c>
      <c r="H125" s="2">
        <v>194203500</v>
      </c>
      <c r="I125" s="2">
        <v>50</v>
      </c>
      <c r="J125" s="2" t="s">
        <v>230</v>
      </c>
      <c r="K125" s="2" t="str">
        <f>_xlfn.IFNA(_xlfn.XLOOKUP(Table1[[#This Row],[N° BC]],'Commandes Dechargees'!B:B,'Commandes Dechargees'!P:P),"EN ATTENTE DE DECHARGEMENT")</f>
        <v>DECHARGE</v>
      </c>
    </row>
    <row r="126" spans="3:11" ht="25.5" customHeight="1" x14ac:dyDescent="0.35">
      <c r="C126" s="19">
        <v>46266</v>
      </c>
      <c r="D126" s="2" t="s">
        <v>416</v>
      </c>
      <c r="E126" s="2" t="s">
        <v>403</v>
      </c>
      <c r="F126" s="3" t="str">
        <f>_xlfn.XLOOKUP(Table1[[#This Row],[Code Frs]],'CODE FRS'!B:B,'CODE FRS'!C:C)</f>
        <v>Mr MOMO</v>
      </c>
      <c r="G126" s="2" t="s">
        <v>417</v>
      </c>
      <c r="H126" s="2">
        <v>140530344</v>
      </c>
      <c r="I126" s="2">
        <v>50</v>
      </c>
      <c r="J126" s="2" t="s">
        <v>63</v>
      </c>
      <c r="K126" s="2" t="str">
        <f>_xlfn.IFNA(_xlfn.XLOOKUP(Table1[[#This Row],[N° BC]],'Commandes Dechargees'!B:B,'Commandes Dechargees'!P:P),"EN ATTENTE DE DECHARGEMENT")</f>
        <v>EN ATTENTE DE DECHARGEMENT</v>
      </c>
    </row>
    <row r="127" spans="3:11" ht="25.5" hidden="1" customHeight="1" x14ac:dyDescent="0.35">
      <c r="C127" s="19">
        <v>46267</v>
      </c>
      <c r="D127" s="2" t="s">
        <v>418</v>
      </c>
      <c r="E127" s="2" t="s">
        <v>208</v>
      </c>
      <c r="F127" s="3" t="str">
        <f>_xlfn.XLOOKUP(Table1[[#This Row],[Code Frs]],'CODE FRS'!B:B,'CODE FRS'!C:C)</f>
        <v>AHEGNI CASIMIR</v>
      </c>
      <c r="G127" s="2" t="s">
        <v>275</v>
      </c>
      <c r="H127" s="2">
        <v>196807477</v>
      </c>
      <c r="I127" s="2">
        <v>50</v>
      </c>
      <c r="J127" s="2" t="s">
        <v>230</v>
      </c>
      <c r="K127" s="2" t="str">
        <f>_xlfn.IFNA(_xlfn.XLOOKUP(Table1[[#This Row],[N° BC]],'Commandes Dechargees'!B:B,'Commandes Dechargees'!P:P),"EN ATTENTE DE DECHARGEMENT")</f>
        <v>DECHARGE</v>
      </c>
    </row>
    <row r="128" spans="3:11" ht="25.5" customHeight="1" x14ac:dyDescent="0.35">
      <c r="C128" s="19">
        <v>46267</v>
      </c>
      <c r="D128" s="2" t="s">
        <v>421</v>
      </c>
      <c r="E128" s="2" t="s">
        <v>208</v>
      </c>
      <c r="F128" s="3" t="str">
        <f>_xlfn.XLOOKUP(Table1[[#This Row],[Code Frs]],'CODE FRS'!B:B,'CODE FRS'!C:C)</f>
        <v>AHEGNI CASIMIR</v>
      </c>
      <c r="G128" s="2" t="s">
        <v>420</v>
      </c>
      <c r="H128" s="2">
        <v>141345038</v>
      </c>
      <c r="I128" s="2">
        <v>50</v>
      </c>
      <c r="J128" s="2" t="s">
        <v>63</v>
      </c>
      <c r="K128" s="2" t="str">
        <f>_xlfn.IFNA(_xlfn.XLOOKUP(Table1[[#This Row],[N° BC]],'Commandes Dechargees'!B:B,'Commandes Dechargees'!P:P),"EN ATTENTE DE DECHARGEMENT")</f>
        <v>EN ATTENTE DE DECHARGEMENT</v>
      </c>
    </row>
    <row r="129" spans="2:11" ht="25.5" hidden="1" customHeight="1" x14ac:dyDescent="0.35">
      <c r="C129" s="19">
        <v>46267</v>
      </c>
      <c r="D129" s="2" t="s">
        <v>422</v>
      </c>
      <c r="E129" s="2" t="s">
        <v>208</v>
      </c>
      <c r="F129" s="3" t="str">
        <f>_xlfn.XLOOKUP(Table1[[#This Row],[Code Frs]],'CODE FRS'!B:B,'CODE FRS'!C:C)</f>
        <v>AHEGNI CASIMIR</v>
      </c>
      <c r="G129" s="2" t="s">
        <v>506</v>
      </c>
      <c r="H129" s="2">
        <v>140901200</v>
      </c>
      <c r="I129" s="2">
        <v>50</v>
      </c>
      <c r="J129" s="2" t="s">
        <v>230</v>
      </c>
      <c r="K129" s="2" t="str">
        <f>_xlfn.IFNA(_xlfn.XLOOKUP(Table1[[#This Row],[N° BC]],'Commandes Dechargees'!B:B,'Commandes Dechargees'!P:P),"EN ATTENTE DE DECHARGEMENT")</f>
        <v>DECHARGE</v>
      </c>
    </row>
    <row r="130" spans="2:11" ht="25.5" hidden="1" customHeight="1" x14ac:dyDescent="0.35">
      <c r="C130" s="19">
        <v>46267</v>
      </c>
      <c r="D130" s="2" t="s">
        <v>423</v>
      </c>
      <c r="E130" s="2" t="s">
        <v>207</v>
      </c>
      <c r="F130" s="3" t="str">
        <f>_xlfn.XLOOKUP(Table1[[#This Row],[Code Frs]],'CODE FRS'!B:B,'CODE FRS'!C:C)</f>
        <v>GBAGBE MATHIAS</v>
      </c>
      <c r="G130" s="2" t="s">
        <v>428</v>
      </c>
      <c r="H130" s="2">
        <v>167060953</v>
      </c>
      <c r="I130" s="2">
        <v>50</v>
      </c>
      <c r="J130" s="2" t="s">
        <v>230</v>
      </c>
      <c r="K130" s="2" t="str">
        <f>_xlfn.IFNA(_xlfn.XLOOKUP(Table1[[#This Row],[N° BC]],'Commandes Dechargees'!B:B,'Commandes Dechargees'!P:P),"EN ATTENTE DE DECHARGEMENT")</f>
        <v>DECHARGE</v>
      </c>
    </row>
    <row r="131" spans="2:11" ht="25.5" hidden="1" customHeight="1" x14ac:dyDescent="0.35">
      <c r="C131" s="19">
        <v>46267</v>
      </c>
      <c r="D131" s="2" t="s">
        <v>424</v>
      </c>
      <c r="E131" s="2" t="s">
        <v>193</v>
      </c>
      <c r="F131" s="3" t="str">
        <f>_xlfn.XLOOKUP(Table1[[#This Row],[Code Frs]],'CODE FRS'!B:B,'CODE FRS'!C:C)</f>
        <v>TCHANIGA SAMSON</v>
      </c>
      <c r="G131" s="2" t="s">
        <v>429</v>
      </c>
      <c r="H131" s="2">
        <v>196805328</v>
      </c>
      <c r="I131" s="2">
        <v>45</v>
      </c>
      <c r="J131" s="2" t="s">
        <v>230</v>
      </c>
      <c r="K131" s="2" t="str">
        <f>_xlfn.IFNA(_xlfn.XLOOKUP(Table1[[#This Row],[N° BC]],'Commandes Dechargees'!B:B,'Commandes Dechargees'!P:P),"EN ATTENTE DE DECHARGEMENT")</f>
        <v>DECHARGE</v>
      </c>
    </row>
    <row r="132" spans="2:11" ht="25.5" hidden="1" customHeight="1" x14ac:dyDescent="0.35">
      <c r="C132" s="19">
        <v>46267</v>
      </c>
      <c r="D132" s="2" t="s">
        <v>425</v>
      </c>
      <c r="E132" s="2" t="s">
        <v>193</v>
      </c>
      <c r="F132" s="3" t="str">
        <f>_xlfn.XLOOKUP(Table1[[#This Row],[Code Frs]],'CODE FRS'!B:B,'CODE FRS'!C:C)</f>
        <v>TCHANIGA SAMSON</v>
      </c>
      <c r="G132" s="2" t="s">
        <v>430</v>
      </c>
      <c r="H132" s="2">
        <v>144719651</v>
      </c>
      <c r="I132" s="2">
        <v>44</v>
      </c>
      <c r="J132" s="2" t="s">
        <v>230</v>
      </c>
      <c r="K132" s="2" t="str">
        <f>_xlfn.IFNA(_xlfn.XLOOKUP(Table1[[#This Row],[N° BC]],'Commandes Dechargees'!B:B,'Commandes Dechargees'!P:P),"EN ATTENTE DE DECHARGEMENT")</f>
        <v>DECHARGE</v>
      </c>
    </row>
    <row r="133" spans="2:11" ht="25.5" customHeight="1" x14ac:dyDescent="0.35">
      <c r="C133" s="19">
        <v>46267</v>
      </c>
      <c r="D133" s="2" t="s">
        <v>426</v>
      </c>
      <c r="E133" s="2" t="s">
        <v>193</v>
      </c>
      <c r="F133" s="3" t="str">
        <f>_xlfn.XLOOKUP(Table1[[#This Row],[Code Frs]],'CODE FRS'!B:B,'CODE FRS'!C:C)</f>
        <v>TCHANIGA SAMSON</v>
      </c>
      <c r="G133" s="2" t="s">
        <v>431</v>
      </c>
      <c r="H133" s="2">
        <v>148170596</v>
      </c>
      <c r="I133" s="2">
        <v>13</v>
      </c>
      <c r="J133" s="2" t="s">
        <v>63</v>
      </c>
      <c r="K133" s="2" t="str">
        <f>_xlfn.IFNA(_xlfn.XLOOKUP(Table1[[#This Row],[N° BC]],'Commandes Dechargees'!B:B,'Commandes Dechargees'!P:P),"EN ATTENTE DE DECHARGEMENT")</f>
        <v>EN ATTENTE DE DECHARGEMENT</v>
      </c>
    </row>
    <row r="134" spans="2:11" ht="25.5" hidden="1" customHeight="1" x14ac:dyDescent="0.35">
      <c r="C134" s="19">
        <v>46267</v>
      </c>
      <c r="D134" s="2" t="s">
        <v>427</v>
      </c>
      <c r="E134" s="2" t="s">
        <v>212</v>
      </c>
      <c r="F134" s="3" t="str">
        <f>_xlfn.XLOOKUP(Table1[[#This Row],[Code Frs]],'CODE FRS'!B:B,'CODE FRS'!C:C)</f>
        <v>DOSSA MATHURIN</v>
      </c>
      <c r="G134" s="2" t="s">
        <v>286</v>
      </c>
      <c r="H134" s="2">
        <v>160964375</v>
      </c>
      <c r="I134" s="2">
        <v>50</v>
      </c>
      <c r="J134" s="2" t="s">
        <v>230</v>
      </c>
      <c r="K134" s="2" t="str">
        <f>_xlfn.IFNA(_xlfn.XLOOKUP(Table1[[#This Row],[N° BC]],'Commandes Dechargees'!B:B,'Commandes Dechargees'!P:P),"EN ATTENTE DE DECHARGEMENT")</f>
        <v>DECHARGE</v>
      </c>
    </row>
    <row r="135" spans="2:11" ht="25.5" hidden="1" customHeight="1" x14ac:dyDescent="0.35">
      <c r="C135" s="19">
        <v>46267</v>
      </c>
      <c r="D135" s="2" t="s">
        <v>432</v>
      </c>
      <c r="E135" s="2" t="s">
        <v>339</v>
      </c>
      <c r="F135" s="3" t="str">
        <f>_xlfn.XLOOKUP(Table1[[#This Row],[Code Frs]],'CODE FRS'!B:B,'CODE FRS'!C:C)</f>
        <v>HASSANE SEYNI</v>
      </c>
      <c r="G135" s="2" t="s">
        <v>434</v>
      </c>
      <c r="H135" s="2">
        <v>143140250</v>
      </c>
      <c r="I135" s="2">
        <v>52</v>
      </c>
      <c r="J135" s="2" t="s">
        <v>230</v>
      </c>
      <c r="K135" s="2" t="str">
        <f>_xlfn.IFNA(_xlfn.XLOOKUP(Table1[[#This Row],[N° BC]],'Commandes Dechargees'!B:B,'Commandes Dechargees'!P:P),"EN ATTENTE DE DECHARGEMENT")</f>
        <v>DECHARGE</v>
      </c>
    </row>
    <row r="136" spans="2:11" ht="25.5" hidden="1" customHeight="1" x14ac:dyDescent="0.35">
      <c r="C136" s="19">
        <v>46267</v>
      </c>
      <c r="D136" s="2" t="s">
        <v>433</v>
      </c>
      <c r="E136" s="2" t="s">
        <v>193</v>
      </c>
      <c r="F136" s="3" t="str">
        <f>_xlfn.XLOOKUP(Table1[[#This Row],[Code Frs]],'CODE FRS'!B:B,'CODE FRS'!C:C)</f>
        <v>TCHANIGA SAMSON</v>
      </c>
      <c r="G136" s="2" t="s">
        <v>436</v>
      </c>
      <c r="H136" s="2">
        <v>167001187</v>
      </c>
      <c r="I136" s="2">
        <v>50</v>
      </c>
      <c r="J136" s="2" t="s">
        <v>230</v>
      </c>
      <c r="K136" s="2" t="str">
        <f>_xlfn.IFNA(_xlfn.XLOOKUP(Table1[[#This Row],[N° BC]],'Commandes Dechargees'!B:B,'Commandes Dechargees'!P:P),"EN ATTENTE DE DECHARGEMENT")</f>
        <v>DECHARGE</v>
      </c>
    </row>
    <row r="137" spans="2:11" ht="25.5" hidden="1" customHeight="1" x14ac:dyDescent="0.35">
      <c r="C137" s="19">
        <v>46267</v>
      </c>
      <c r="D137" s="2" t="s">
        <v>435</v>
      </c>
      <c r="E137" s="2" t="s">
        <v>193</v>
      </c>
      <c r="F137" s="3" t="str">
        <f>_xlfn.XLOOKUP(Table1[[#This Row],[Code Frs]],'CODE FRS'!B:B,'CODE FRS'!C:C)</f>
        <v>TCHANIGA SAMSON</v>
      </c>
      <c r="G137" s="2" t="s">
        <v>437</v>
      </c>
      <c r="H137" s="2">
        <v>169086051</v>
      </c>
      <c r="I137" s="2">
        <v>47</v>
      </c>
      <c r="J137" s="2" t="s">
        <v>230</v>
      </c>
      <c r="K137" s="2" t="str">
        <f>_xlfn.IFNA(_xlfn.XLOOKUP(Table1[[#This Row],[N° BC]],'Commandes Dechargees'!B:B,'Commandes Dechargees'!P:P),"EN ATTENTE DE DECHARGEMENT")</f>
        <v>DECHARGE</v>
      </c>
    </row>
    <row r="138" spans="2:11" ht="25.5" hidden="1" customHeight="1" x14ac:dyDescent="0.35">
      <c r="C138" s="19">
        <v>46267</v>
      </c>
      <c r="D138" s="2" t="s">
        <v>440</v>
      </c>
      <c r="E138" s="2" t="s">
        <v>214</v>
      </c>
      <c r="F138" s="3" t="str">
        <f>_xlfn.XLOOKUP(Table1[[#This Row],[Code Frs]],'CODE FRS'!B:B,'CODE FRS'!C:C)</f>
        <v>DAA-HINGBANON VIRGILE</v>
      </c>
      <c r="G138" s="2" t="s">
        <v>441</v>
      </c>
      <c r="H138" s="2">
        <v>197473351</v>
      </c>
      <c r="I138" s="2">
        <v>50</v>
      </c>
      <c r="J138" s="2" t="s">
        <v>230</v>
      </c>
      <c r="K138" s="2" t="str">
        <f>_xlfn.IFNA(_xlfn.XLOOKUP(Table1[[#This Row],[N° BC]],'Commandes Dechargees'!B:B,'Commandes Dechargees'!P:P),"EN ATTENTE DE DECHARGEMENT")</f>
        <v>DECHARGE</v>
      </c>
    </row>
    <row r="139" spans="2:11" ht="25.5" customHeight="1" x14ac:dyDescent="0.35">
      <c r="B139" t="s">
        <v>587</v>
      </c>
      <c r="C139" s="19">
        <v>46268</v>
      </c>
      <c r="D139" s="2" t="s">
        <v>442</v>
      </c>
      <c r="E139" s="2" t="s">
        <v>448</v>
      </c>
      <c r="F139" s="3" t="str">
        <f>_xlfn.XLOOKUP(Table1[[#This Row],[Code Frs]],'CODE FRS'!B:B,'CODE FRS'!C:C)</f>
        <v>HOUNDJREBO G.PAULETTE</v>
      </c>
      <c r="G139" s="2" t="s">
        <v>449</v>
      </c>
      <c r="H139" s="2">
        <v>143925288</v>
      </c>
      <c r="I139" s="2">
        <v>50</v>
      </c>
      <c r="J139" s="2" t="s">
        <v>63</v>
      </c>
      <c r="K139" s="2" t="str">
        <f>_xlfn.IFNA(_xlfn.XLOOKUP(Table1[[#This Row],[N° BC]],'Commandes Dechargees'!B:B,'Commandes Dechargees'!P:P),"EN ATTENTE DE DECHARGEMENT")</f>
        <v>EN ATTENTE DE DECHARGEMENT</v>
      </c>
    </row>
    <row r="140" spans="2:11" ht="25.5" customHeight="1" x14ac:dyDescent="0.35">
      <c r="B140" t="s">
        <v>587</v>
      </c>
      <c r="C140" s="19">
        <v>46268</v>
      </c>
      <c r="D140" s="2" t="s">
        <v>450</v>
      </c>
      <c r="E140" s="2" t="s">
        <v>448</v>
      </c>
      <c r="F140" s="3" t="str">
        <f>_xlfn.XLOOKUP(Table1[[#This Row],[Code Frs]],'CODE FRS'!B:B,'CODE FRS'!C:C)</f>
        <v>HOUNDJREBO G.PAULETTE</v>
      </c>
      <c r="G140" s="2" t="s">
        <v>451</v>
      </c>
      <c r="H140" s="2">
        <v>194399235</v>
      </c>
      <c r="I140" s="2">
        <v>50</v>
      </c>
      <c r="J140" s="2" t="s">
        <v>63</v>
      </c>
      <c r="K140" s="2" t="str">
        <f>_xlfn.IFNA(_xlfn.XLOOKUP(Table1[[#This Row],[N° BC]],'Commandes Dechargees'!B:B,'Commandes Dechargees'!P:P),"EN ATTENTE DE DECHARGEMENT")</f>
        <v>EN ATTENTE DE DECHARGEMENT</v>
      </c>
    </row>
    <row r="141" spans="2:11" ht="25.5" hidden="1" customHeight="1" x14ac:dyDescent="0.35">
      <c r="C141" s="19">
        <v>46268</v>
      </c>
      <c r="D141" s="2" t="s">
        <v>457</v>
      </c>
      <c r="E141" s="2" t="s">
        <v>212</v>
      </c>
      <c r="F141" s="29" t="str">
        <f>_xlfn.XLOOKUP(Table1[[#This Row],[Code Frs]],'CODE FRS'!B:B,'CODE FRS'!C:C)</f>
        <v>DOSSA MATHURIN</v>
      </c>
      <c r="G141" s="2" t="s">
        <v>452</v>
      </c>
      <c r="H141" s="2">
        <v>192601613</v>
      </c>
      <c r="I141" s="2">
        <v>50</v>
      </c>
      <c r="J141" s="2" t="s">
        <v>230</v>
      </c>
      <c r="K141" s="2" t="str">
        <f>_xlfn.IFNA(_xlfn.XLOOKUP(Table1[[#This Row],[N° BC]],'Commandes Dechargees'!B:B,'Commandes Dechargees'!P:P),"EN ATTENTE DE DECHARGEMENT")</f>
        <v>DECHARGE</v>
      </c>
    </row>
    <row r="142" spans="2:11" ht="25.5" hidden="1" customHeight="1" x14ac:dyDescent="0.35">
      <c r="C142" s="19">
        <v>46268</v>
      </c>
      <c r="D142" s="2" t="s">
        <v>458</v>
      </c>
      <c r="E142" s="2" t="s">
        <v>212</v>
      </c>
      <c r="F142" s="29" t="str">
        <f>_xlfn.XLOOKUP(Table1[[#This Row],[Code Frs]],'CODE FRS'!B:B,'CODE FRS'!C:C)</f>
        <v>DOSSA MATHURIN</v>
      </c>
      <c r="G142" s="2" t="s">
        <v>453</v>
      </c>
      <c r="H142" s="2">
        <v>141596071</v>
      </c>
      <c r="I142" s="2">
        <v>50</v>
      </c>
      <c r="J142" s="2" t="s">
        <v>230</v>
      </c>
      <c r="K142" s="2" t="str">
        <f>_xlfn.IFNA(_xlfn.XLOOKUP(Table1[[#This Row],[N° BC]],'Commandes Dechargees'!B:B,'Commandes Dechargees'!P:P),"EN ATTENTE DE DECHARGEMENT")</f>
        <v>DECHARGE</v>
      </c>
    </row>
    <row r="143" spans="2:11" ht="25.5" hidden="1" customHeight="1" x14ac:dyDescent="0.35">
      <c r="C143" s="19">
        <v>46268</v>
      </c>
      <c r="D143" s="2" t="s">
        <v>459</v>
      </c>
      <c r="E143" s="2" t="s">
        <v>269</v>
      </c>
      <c r="F143" s="3" t="str">
        <f>_xlfn.XLOOKUP(Table1[[#This Row],[Code Frs]],'CODE FRS'!B:B,'CODE FRS'!C:C)</f>
        <v>AZOGA ARMAND</v>
      </c>
      <c r="G143" s="2" t="s">
        <v>508</v>
      </c>
      <c r="H143" s="2">
        <v>141770835</v>
      </c>
      <c r="I143" s="2">
        <v>50</v>
      </c>
      <c r="J143" s="2" t="s">
        <v>230</v>
      </c>
      <c r="K143" s="2" t="str">
        <f>_xlfn.IFNA(_xlfn.XLOOKUP(Table1[[#This Row],[N° BC]],'Commandes Dechargees'!B:B,'Commandes Dechargees'!P:P),"EN ATTENTE DE DECHARGEMENT")</f>
        <v>DECHARGE</v>
      </c>
    </row>
    <row r="144" spans="2:11" ht="25.5" hidden="1" customHeight="1" x14ac:dyDescent="0.35">
      <c r="C144" s="19">
        <v>46268</v>
      </c>
      <c r="D144" s="2" t="s">
        <v>460</v>
      </c>
      <c r="E144" s="2" t="s">
        <v>193</v>
      </c>
      <c r="F144" s="3" t="str">
        <f>_xlfn.XLOOKUP(Table1[[#This Row],[Code Frs]],'CODE FRS'!B:B,'CODE FRS'!C:C)</f>
        <v>TCHANIGA SAMSON</v>
      </c>
      <c r="G144" s="2" t="s">
        <v>454</v>
      </c>
      <c r="H144" s="2" t="s">
        <v>455</v>
      </c>
      <c r="I144" s="2">
        <v>52</v>
      </c>
      <c r="J144" s="2" t="s">
        <v>230</v>
      </c>
      <c r="K144" s="2" t="str">
        <f>_xlfn.IFNA(_xlfn.XLOOKUP(Table1[[#This Row],[N° BC]],'Commandes Dechargees'!B:B,'Commandes Dechargees'!P:P),"EN ATTENTE DE DECHARGEMENT")</f>
        <v>DECHARGE</v>
      </c>
    </row>
    <row r="145" spans="2:11" ht="25.5" hidden="1" customHeight="1" x14ac:dyDescent="0.35">
      <c r="C145" s="19">
        <v>46268</v>
      </c>
      <c r="D145" s="2" t="s">
        <v>461</v>
      </c>
      <c r="E145" s="2" t="s">
        <v>195</v>
      </c>
      <c r="F145" s="3" t="str">
        <f>_xlfn.XLOOKUP(Table1[[#This Row],[Code Frs]],'CODE FRS'!B:B,'CODE FRS'!C:C)</f>
        <v>BADAROU SAID</v>
      </c>
      <c r="G145" s="2" t="s">
        <v>67</v>
      </c>
      <c r="H145" s="2">
        <v>140534093</v>
      </c>
      <c r="I145" s="2">
        <v>50</v>
      </c>
      <c r="J145" s="2" t="s">
        <v>230</v>
      </c>
      <c r="K145" s="2" t="str">
        <f>_xlfn.IFNA(_xlfn.XLOOKUP(Table1[[#This Row],[N° BC]],'Commandes Dechargees'!B:B,'Commandes Dechargees'!P:P),"EN ATTENTE DE DECHARGEMENT")</f>
        <v>DECHARGE</v>
      </c>
    </row>
    <row r="146" spans="2:11" ht="25.5" customHeight="1" x14ac:dyDescent="0.35">
      <c r="C146" s="19">
        <v>46269</v>
      </c>
      <c r="D146" s="2" t="s">
        <v>462</v>
      </c>
      <c r="E146" s="2" t="s">
        <v>403</v>
      </c>
      <c r="F146" s="3" t="str">
        <f>_xlfn.XLOOKUP(Table1[[#This Row],[Code Frs]],'CODE FRS'!B:B,'CODE FRS'!C:C)</f>
        <v>Mr MOMO</v>
      </c>
      <c r="G146" s="2" t="s">
        <v>456</v>
      </c>
      <c r="H146" s="2">
        <v>169375282</v>
      </c>
      <c r="I146" s="2">
        <v>50</v>
      </c>
      <c r="J146" s="2" t="s">
        <v>63</v>
      </c>
      <c r="K146" s="2" t="str">
        <f>_xlfn.IFNA(_xlfn.XLOOKUP(Table1[[#This Row],[N° BC]],'Commandes Dechargees'!B:B,'Commandes Dechargees'!P:P),"EN ATTENTE DE DECHARGEMENT")</f>
        <v>EN ATTENTE DE DECHARGEMENT</v>
      </c>
    </row>
    <row r="147" spans="2:11" ht="25.5" customHeight="1" x14ac:dyDescent="0.35">
      <c r="C147" s="19">
        <v>46270</v>
      </c>
      <c r="D147" s="2" t="s">
        <v>466</v>
      </c>
      <c r="E147" s="2" t="s">
        <v>228</v>
      </c>
      <c r="F147" s="3" t="str">
        <f>_xlfn.XLOOKUP(Table1[[#This Row],[Code Frs]],'CODE FRS'!B:B,'CODE FRS'!C:C)</f>
        <v>MOISE YENAFO</v>
      </c>
      <c r="G147" s="2" t="s">
        <v>467</v>
      </c>
      <c r="H147" s="2">
        <v>197013087</v>
      </c>
      <c r="I147" s="2">
        <v>50</v>
      </c>
      <c r="J147" s="2" t="s">
        <v>63</v>
      </c>
      <c r="K147" s="2" t="str">
        <f>_xlfn.IFNA(_xlfn.XLOOKUP(Table1[[#This Row],[N° BC]],'Commandes Dechargees'!B:B,'Commandes Dechargees'!P:P),"EN ATTENTE DE DECHARGEMENT")</f>
        <v>EN ATTENTE DE DECHARGEMENT</v>
      </c>
    </row>
    <row r="148" spans="2:11" ht="25.5" customHeight="1" x14ac:dyDescent="0.35">
      <c r="C148" s="19">
        <v>46270</v>
      </c>
      <c r="D148" s="2" t="s">
        <v>479</v>
      </c>
      <c r="E148" s="2" t="s">
        <v>198</v>
      </c>
      <c r="F148" s="3" t="str">
        <f>_xlfn.XLOOKUP(Table1[[#This Row],[Code Frs]],'CODE FRS'!B:B,'CODE FRS'!C:C)</f>
        <v>VLAVONOU PIERRE</v>
      </c>
      <c r="G148" s="2" t="s">
        <v>336</v>
      </c>
      <c r="H148" s="2">
        <v>140563191</v>
      </c>
      <c r="I148" s="2">
        <v>50</v>
      </c>
      <c r="J148" s="2" t="s">
        <v>63</v>
      </c>
      <c r="K148" s="2" t="str">
        <f>_xlfn.IFNA(_xlfn.XLOOKUP(Table1[[#This Row],[N° BC]],'Commandes Dechargees'!B:B,'Commandes Dechargees'!P:P),"EN ATTENTE DE DECHARGEMENT")</f>
        <v>EN ATTENTE DE DECHARGEMENT</v>
      </c>
    </row>
    <row r="149" spans="2:11" ht="25.5" hidden="1" customHeight="1" x14ac:dyDescent="0.35">
      <c r="C149" s="19">
        <v>46270</v>
      </c>
      <c r="D149" s="2" t="s">
        <v>480</v>
      </c>
      <c r="E149" s="2" t="s">
        <v>377</v>
      </c>
      <c r="F149" s="3" t="str">
        <f>_xlfn.XLOOKUP(Table1[[#This Row],[Code Frs]],'CODE FRS'!B:B,'CODE FRS'!C:C)</f>
        <v>PANKAJ KUMAR</v>
      </c>
      <c r="G149" s="2" t="s">
        <v>509</v>
      </c>
      <c r="H149" s="2">
        <v>197188123</v>
      </c>
      <c r="I149" s="2">
        <v>50</v>
      </c>
      <c r="J149" s="2" t="s">
        <v>230</v>
      </c>
      <c r="K149" s="2" t="str">
        <f>_xlfn.IFNA(_xlfn.XLOOKUP(Table1[[#This Row],[N° BC]],'Commandes Dechargees'!B:B,'Commandes Dechargees'!P:P),"EN ATTENTE DE DECHARGEMENT")</f>
        <v>DECHARGE</v>
      </c>
    </row>
    <row r="150" spans="2:11" ht="25.5" customHeight="1" x14ac:dyDescent="0.35">
      <c r="B150" t="s">
        <v>587</v>
      </c>
      <c r="C150" s="19">
        <v>46270</v>
      </c>
      <c r="D150" s="2" t="s">
        <v>481</v>
      </c>
      <c r="E150" s="2" t="s">
        <v>448</v>
      </c>
      <c r="F150" s="3" t="str">
        <f>_xlfn.XLOOKUP(Table1[[#This Row],[Code Frs]],'CODE FRS'!B:B,'CODE FRS'!C:C)</f>
        <v>HOUNDJREBO G.PAULETTE</v>
      </c>
      <c r="G150" s="2" t="s">
        <v>469</v>
      </c>
      <c r="H150" s="2">
        <v>144868166</v>
      </c>
      <c r="I150" s="2">
        <v>50</v>
      </c>
      <c r="J150" s="2" t="s">
        <v>63</v>
      </c>
      <c r="K150" s="2" t="str">
        <f>_xlfn.IFNA(_xlfn.XLOOKUP(Table1[[#This Row],[N° BC]],'Commandes Dechargees'!B:B,'Commandes Dechargees'!P:P),"EN ATTENTE DE DECHARGEMENT")</f>
        <v>EN ATTENTE DE DECHARGEMENT</v>
      </c>
    </row>
    <row r="151" spans="2:11" ht="25.5" hidden="1" customHeight="1" x14ac:dyDescent="0.35">
      <c r="C151" s="19">
        <v>46270</v>
      </c>
      <c r="D151" s="2" t="s">
        <v>482</v>
      </c>
      <c r="E151" s="2" t="s">
        <v>208</v>
      </c>
      <c r="F151" s="3" t="str">
        <f>_xlfn.XLOOKUP(Table1[[#This Row],[Code Frs]],'CODE FRS'!B:B,'CODE FRS'!C:C)</f>
        <v>AHEGNI CASIMIR</v>
      </c>
      <c r="G151" s="2" t="s">
        <v>470</v>
      </c>
      <c r="H151" s="2">
        <v>196116306</v>
      </c>
      <c r="I151" s="2">
        <v>50</v>
      </c>
      <c r="J151" s="2" t="s">
        <v>230</v>
      </c>
      <c r="K151" s="2" t="str">
        <f>_xlfn.IFNA(_xlfn.XLOOKUP(Table1[[#This Row],[N° BC]],'Commandes Dechargees'!B:B,'Commandes Dechargees'!P:P),"EN ATTENTE DE DECHARGEMENT")</f>
        <v>DECHARGE</v>
      </c>
    </row>
    <row r="152" spans="2:11" ht="25.5" customHeight="1" x14ac:dyDescent="0.35">
      <c r="B152" t="s">
        <v>587</v>
      </c>
      <c r="C152" s="19">
        <v>46270</v>
      </c>
      <c r="D152" s="2" t="s">
        <v>483</v>
      </c>
      <c r="E152" s="2" t="s">
        <v>448</v>
      </c>
      <c r="F152" s="3" t="str">
        <f>_xlfn.XLOOKUP(Table1[[#This Row],[Code Frs]],'CODE FRS'!B:B,'CODE FRS'!C:C)</f>
        <v>HOUNDJREBO G.PAULETTE</v>
      </c>
      <c r="G152" s="2" t="s">
        <v>471</v>
      </c>
      <c r="H152" s="2">
        <v>191324207</v>
      </c>
      <c r="I152" s="2">
        <v>50</v>
      </c>
      <c r="J152" s="2" t="s">
        <v>63</v>
      </c>
      <c r="K152" s="2" t="str">
        <f>_xlfn.IFNA(_xlfn.XLOOKUP(Table1[[#This Row],[N° BC]],'Commandes Dechargees'!B:B,'Commandes Dechargees'!P:P),"EN ATTENTE DE DECHARGEMENT")</f>
        <v>EN ATTENTE DE DECHARGEMENT</v>
      </c>
    </row>
    <row r="153" spans="2:11" ht="25.5" hidden="1" customHeight="1" x14ac:dyDescent="0.35">
      <c r="C153" s="19">
        <v>46270</v>
      </c>
      <c r="D153" s="2" t="s">
        <v>484</v>
      </c>
      <c r="E153" s="2" t="s">
        <v>209</v>
      </c>
      <c r="F153" s="3" t="str">
        <f>_xlfn.XLOOKUP(Table1[[#This Row],[Code Frs]],'CODE FRS'!B:B,'CODE FRS'!C:C)</f>
        <v>AHOSSI GABIN</v>
      </c>
      <c r="G153" s="2" t="s">
        <v>472</v>
      </c>
      <c r="H153" s="2">
        <v>141124775</v>
      </c>
      <c r="I153" s="2">
        <v>40</v>
      </c>
      <c r="J153" s="2" t="s">
        <v>230</v>
      </c>
      <c r="K153" s="2" t="str">
        <f>_xlfn.IFNA(_xlfn.XLOOKUP(Table1[[#This Row],[N° BC]],'Commandes Dechargees'!B:B,'Commandes Dechargees'!P:P),"EN ATTENTE DE DECHARGEMENT")</f>
        <v>DECHARGE</v>
      </c>
    </row>
    <row r="154" spans="2:11" ht="25.5" hidden="1" customHeight="1" x14ac:dyDescent="0.35">
      <c r="C154" s="19">
        <v>46270</v>
      </c>
      <c r="D154" s="2" t="s">
        <v>485</v>
      </c>
      <c r="E154" s="2" t="s">
        <v>474</v>
      </c>
      <c r="F154" s="3" t="str">
        <f>_xlfn.XLOOKUP(Table1[[#This Row],[Code Frs]],'CODE FRS'!B:B,'CODE FRS'!C:C)</f>
        <v>AKPAKPO NOURIDINE</v>
      </c>
      <c r="G154" s="2" t="s">
        <v>475</v>
      </c>
      <c r="H154" s="2">
        <v>196222029</v>
      </c>
      <c r="I154" s="2">
        <v>35</v>
      </c>
      <c r="J154" s="2" t="s">
        <v>230</v>
      </c>
      <c r="K154" s="2" t="str">
        <f>_xlfn.IFNA(_xlfn.XLOOKUP(Table1[[#This Row],[N° BC]],'Commandes Dechargees'!B:B,'Commandes Dechargees'!P:P),"EN ATTENTE DE DECHARGEMENT")</f>
        <v>DECHARGE</v>
      </c>
    </row>
    <row r="155" spans="2:11" ht="25.5" customHeight="1" x14ac:dyDescent="0.35">
      <c r="C155" s="19">
        <v>46272</v>
      </c>
      <c r="D155" s="2" t="s">
        <v>486</v>
      </c>
      <c r="E155" s="2" t="s">
        <v>477</v>
      </c>
      <c r="F155" s="3" t="str">
        <f>_xlfn.XLOOKUP(Table1[[#This Row],[Code Frs]],'CODE FRS'!B:B,'CODE FRS'!C:C)</f>
        <v>N’DOKPO IREMAN</v>
      </c>
      <c r="G155" s="2" t="s">
        <v>476</v>
      </c>
      <c r="H155" s="2">
        <v>167835319</v>
      </c>
      <c r="I155" s="2">
        <v>50</v>
      </c>
      <c r="J155" s="2" t="s">
        <v>63</v>
      </c>
      <c r="K155" s="2" t="str">
        <f>_xlfn.IFNA(_xlfn.XLOOKUP(Table1[[#This Row],[N° BC]],'Commandes Dechargees'!B:B,'Commandes Dechargees'!P:P),"EN ATTENTE DE DECHARGEMENT")</f>
        <v>EN ATTENTE DE DECHARGEMENT</v>
      </c>
    </row>
    <row r="156" spans="2:11" ht="25.5" customHeight="1" x14ac:dyDescent="0.35">
      <c r="C156" s="19">
        <v>46272</v>
      </c>
      <c r="D156" s="2" t="s">
        <v>518</v>
      </c>
      <c r="E156" s="2" t="s">
        <v>202</v>
      </c>
      <c r="F156" s="3" t="str">
        <f>_xlfn.XLOOKUP(Table1[[#This Row],[Code Frs]],'CODE FRS'!B:B,'CODE FRS'!C:C)</f>
        <v>COMLAN MAHOUSSE JOSPIN</v>
      </c>
      <c r="G156" s="2" t="s">
        <v>515</v>
      </c>
      <c r="H156" s="2">
        <v>140507471</v>
      </c>
      <c r="I156" s="2">
        <v>50</v>
      </c>
      <c r="J156" s="2" t="s">
        <v>63</v>
      </c>
      <c r="K156" s="2" t="str">
        <f>_xlfn.IFNA(_xlfn.XLOOKUP(Table1[[#This Row],[N° BC]],'Commandes Dechargees'!B:B,'Commandes Dechargees'!P:P),"EN ATTENTE DE DECHARGEMENT")</f>
        <v>EN ATTENTE DE DECHARGEMENT</v>
      </c>
    </row>
    <row r="157" spans="2:11" ht="25.5" hidden="1" customHeight="1" x14ac:dyDescent="0.35">
      <c r="C157" s="19">
        <v>46272</v>
      </c>
      <c r="D157" s="2" t="s">
        <v>519</v>
      </c>
      <c r="E157" s="2" t="s">
        <v>203</v>
      </c>
      <c r="F157" s="3" t="str">
        <f>_xlfn.XLOOKUP(Table1[[#This Row],[Code Frs]],'CODE FRS'!B:B,'CODE FRS'!C:C)</f>
        <v>CHIGBLO FERDINAND</v>
      </c>
      <c r="G157" s="2" t="s">
        <v>516</v>
      </c>
      <c r="H157" s="2">
        <v>197720743</v>
      </c>
      <c r="I157" s="2">
        <v>50</v>
      </c>
      <c r="J157" s="2" t="s">
        <v>230</v>
      </c>
      <c r="K157" s="2" t="str">
        <f>_xlfn.IFNA(_xlfn.XLOOKUP(Table1[[#This Row],[N° BC]],'Commandes Dechargees'!B:B,'Commandes Dechargees'!P:P),"EN ATTENTE DE DECHARGEMENT")</f>
        <v>DECHARGE</v>
      </c>
    </row>
    <row r="158" spans="2:11" ht="25.5" hidden="1" customHeight="1" x14ac:dyDescent="0.35">
      <c r="C158" s="19">
        <v>46272</v>
      </c>
      <c r="D158" s="2" t="s">
        <v>520</v>
      </c>
      <c r="E158" s="2" t="s">
        <v>203</v>
      </c>
      <c r="F158" s="3" t="str">
        <f>_xlfn.XLOOKUP(Table1[[#This Row],[Code Frs]],'CODE FRS'!B:B,'CODE FRS'!C:C)</f>
        <v>CHIGBLO FERDINAND</v>
      </c>
      <c r="G158" s="2" t="s">
        <v>517</v>
      </c>
      <c r="H158" s="2">
        <v>169232897</v>
      </c>
      <c r="I158" s="2">
        <v>51</v>
      </c>
      <c r="J158" s="2" t="s">
        <v>230</v>
      </c>
      <c r="K158" s="2" t="str">
        <f>_xlfn.IFNA(_xlfn.XLOOKUP(Table1[[#This Row],[N° BC]],'Commandes Dechargees'!B:B,'Commandes Dechargees'!P:P),"EN ATTENTE DE DECHARGEMENT")</f>
        <v>DECHARGE</v>
      </c>
    </row>
    <row r="159" spans="2:11" ht="25.5" customHeight="1" x14ac:dyDescent="0.35">
      <c r="C159" s="19">
        <v>46272</v>
      </c>
      <c r="D159" s="2" t="s">
        <v>527</v>
      </c>
      <c r="E159" s="2" t="s">
        <v>212</v>
      </c>
      <c r="F159" s="29" t="str">
        <f>_xlfn.XLOOKUP(Table1[[#This Row],[Code Frs]],'CODE FRS'!B:B,'CODE FRS'!C:C)</f>
        <v>DOSSA MATHURIN</v>
      </c>
      <c r="G159" s="2" t="s">
        <v>521</v>
      </c>
      <c r="H159" s="2">
        <v>151297794</v>
      </c>
      <c r="I159" s="2">
        <v>50</v>
      </c>
      <c r="J159" s="2" t="s">
        <v>63</v>
      </c>
      <c r="K159" s="2" t="str">
        <f>_xlfn.IFNA(_xlfn.XLOOKUP(Table1[[#This Row],[N° BC]],'Commandes Dechargees'!B:B,'Commandes Dechargees'!P:P),"EN ATTENTE DE DECHARGEMENT")</f>
        <v>EN ATTENTE DE DECHARGEMENT</v>
      </c>
    </row>
    <row r="160" spans="2:11" ht="25.5" customHeight="1" x14ac:dyDescent="0.35">
      <c r="C160" s="19">
        <v>46272</v>
      </c>
      <c r="D160" s="2" t="s">
        <v>528</v>
      </c>
      <c r="E160" s="2" t="s">
        <v>212</v>
      </c>
      <c r="F160" s="29" t="str">
        <f>_xlfn.XLOOKUP(Table1[[#This Row],[Code Frs]],'CODE FRS'!B:B,'CODE FRS'!C:C)</f>
        <v>DOSSA MATHURIN</v>
      </c>
      <c r="G160" s="2" t="s">
        <v>522</v>
      </c>
      <c r="H160" s="2">
        <v>144620429</v>
      </c>
      <c r="I160" s="2">
        <v>43</v>
      </c>
      <c r="J160" s="2" t="s">
        <v>63</v>
      </c>
      <c r="K160" s="2" t="str">
        <f>_xlfn.IFNA(_xlfn.XLOOKUP(Table1[[#This Row],[N° BC]],'Commandes Dechargees'!B:B,'Commandes Dechargees'!P:P),"EN ATTENTE DE DECHARGEMENT")</f>
        <v>EN ATTENTE DE DECHARGEMENT</v>
      </c>
    </row>
    <row r="161" spans="3:11" ht="25.5" hidden="1" customHeight="1" x14ac:dyDescent="0.35">
      <c r="C161" s="19">
        <v>46272</v>
      </c>
      <c r="D161" s="2" t="s">
        <v>529</v>
      </c>
      <c r="E161" s="2" t="s">
        <v>385</v>
      </c>
      <c r="F161" s="3" t="str">
        <f>_xlfn.XLOOKUP(Table1[[#This Row],[Code Frs]],'CODE FRS'!B:B,'CODE FRS'!C:C)</f>
        <v>ADANNON BLOND</v>
      </c>
      <c r="G161" s="2" t="s">
        <v>523</v>
      </c>
      <c r="H161" s="2">
        <v>164483898</v>
      </c>
      <c r="I161" s="2">
        <v>50</v>
      </c>
      <c r="J161" s="2" t="s">
        <v>230</v>
      </c>
      <c r="K161" s="2" t="str">
        <f>_xlfn.IFNA(_xlfn.XLOOKUP(Table1[[#This Row],[N° BC]],'Commandes Dechargees'!B:B,'Commandes Dechargees'!P:P),"EN ATTENTE DE DECHARGEMENT")</f>
        <v>DECHARGE</v>
      </c>
    </row>
    <row r="162" spans="3:11" ht="25.5" hidden="1" customHeight="1" x14ac:dyDescent="0.35">
      <c r="C162" s="19">
        <v>46272</v>
      </c>
      <c r="D162" s="2" t="s">
        <v>530</v>
      </c>
      <c r="E162" s="2" t="s">
        <v>525</v>
      </c>
      <c r="F162" s="3" t="str">
        <f>_xlfn.XLOOKUP(Table1[[#This Row],[Code Frs]],'CODE FRS'!B:B,'CODE FRS'!C:C)</f>
        <v>WANGNANNON ABEL</v>
      </c>
      <c r="G162" s="2" t="s">
        <v>526</v>
      </c>
      <c r="H162" s="2">
        <v>149221504</v>
      </c>
      <c r="I162" s="2">
        <v>50</v>
      </c>
      <c r="J162" s="2" t="s">
        <v>230</v>
      </c>
      <c r="K162" s="2" t="str">
        <f>_xlfn.IFNA(_xlfn.XLOOKUP(Table1[[#This Row],[N° BC]],'Commandes Dechargees'!B:B,'Commandes Dechargees'!P:P),"EN ATTENTE DE DECHARGEMENT")</f>
        <v>DECHARGE</v>
      </c>
    </row>
    <row r="163" spans="3:11" ht="25.5" hidden="1" customHeight="1" x14ac:dyDescent="0.35">
      <c r="C163" s="19">
        <v>46272</v>
      </c>
      <c r="D163" s="2" t="s">
        <v>534</v>
      </c>
      <c r="E163" s="2" t="s">
        <v>525</v>
      </c>
      <c r="F163" s="3" t="str">
        <f>_xlfn.XLOOKUP(Table1[[#This Row],[Code Frs]],'CODE FRS'!B:B,'CODE FRS'!C:C)</f>
        <v>WANGNANNON ABEL</v>
      </c>
      <c r="G163" s="2" t="s">
        <v>531</v>
      </c>
      <c r="H163" s="2">
        <v>162289032</v>
      </c>
      <c r="I163" s="2">
        <v>50</v>
      </c>
      <c r="J163" s="2" t="s">
        <v>230</v>
      </c>
      <c r="K163" s="2" t="str">
        <f>_xlfn.IFNA(_xlfn.XLOOKUP(Table1[[#This Row],[N° BC]],'Commandes Dechargees'!B:B,'Commandes Dechargees'!P:P),"EN ATTENTE DE DECHARGEMENT")</f>
        <v>DECHARGE</v>
      </c>
    </row>
    <row r="164" spans="3:11" ht="25.5" hidden="1" customHeight="1" x14ac:dyDescent="0.35">
      <c r="C164" s="19">
        <v>46272</v>
      </c>
      <c r="D164" s="2" t="s">
        <v>535</v>
      </c>
      <c r="E164" s="2" t="s">
        <v>201</v>
      </c>
      <c r="F164" s="3" t="str">
        <f>_xlfn.XLOOKUP(Table1[[#This Row],[Code Frs]],'CODE FRS'!B:B,'CODE FRS'!C:C)</f>
        <v>GOUDO DOSSOU ROMAIN</v>
      </c>
      <c r="G164" s="2" t="s">
        <v>532</v>
      </c>
      <c r="H164" s="2">
        <v>197011939</v>
      </c>
      <c r="I164" s="2">
        <v>50</v>
      </c>
      <c r="J164" s="2" t="s">
        <v>230</v>
      </c>
      <c r="K164" s="2" t="str">
        <f>_xlfn.IFNA(_xlfn.XLOOKUP(Table1[[#This Row],[N° BC]],'Commandes Dechargees'!B:B,'Commandes Dechargees'!P:P),"EN ATTENTE DE DECHARGEMENT")</f>
        <v>DECHARGE</v>
      </c>
    </row>
    <row r="165" spans="3:11" ht="25.5" customHeight="1" x14ac:dyDescent="0.35">
      <c r="C165" s="19">
        <v>46272</v>
      </c>
      <c r="D165" s="2" t="s">
        <v>536</v>
      </c>
      <c r="E165" s="2" t="s">
        <v>198</v>
      </c>
      <c r="F165" s="3" t="str">
        <f>_xlfn.XLOOKUP(Table1[[#This Row],[Code Frs]],'CODE FRS'!B:B,'CODE FRS'!C:C)</f>
        <v>VLAVONOU PIERRE</v>
      </c>
      <c r="G165" s="2" t="s">
        <v>533</v>
      </c>
      <c r="H165" s="2">
        <v>163984524</v>
      </c>
      <c r="I165" s="2">
        <v>50</v>
      </c>
      <c r="J165" s="2" t="s">
        <v>63</v>
      </c>
      <c r="K165" s="2" t="str">
        <f>_xlfn.IFNA(_xlfn.XLOOKUP(Table1[[#This Row],[N° BC]],'Commandes Dechargees'!B:B,'Commandes Dechargees'!P:P),"EN ATTENTE DE DECHARGEMENT")</f>
        <v>EN ATTENTE DE DECHARGEMENT</v>
      </c>
    </row>
    <row r="166" spans="3:11" ht="25.5" hidden="1" customHeight="1" x14ac:dyDescent="0.35">
      <c r="C166" s="19">
        <v>46272</v>
      </c>
      <c r="D166" s="2" t="s">
        <v>537</v>
      </c>
      <c r="E166" s="2" t="s">
        <v>196</v>
      </c>
      <c r="F166" s="3" t="str">
        <f>_xlfn.XLOOKUP(Table1[[#This Row],[Code Frs]],'CODE FRS'!B:B,'CODE FRS'!C:C)</f>
        <v>ISMAEL WASSIOU</v>
      </c>
      <c r="G166" s="2" t="s">
        <v>631</v>
      </c>
      <c r="H166" s="2">
        <v>196804429</v>
      </c>
      <c r="I166" s="2">
        <v>50</v>
      </c>
      <c r="J166" s="2" t="s">
        <v>230</v>
      </c>
      <c r="K166" s="2" t="str">
        <f>_xlfn.IFNA(_xlfn.XLOOKUP(Table1[[#This Row],[N° BC]],'Commandes Dechargees'!B:B,'Commandes Dechargees'!P:P),"EN ATTENTE DE DECHARGEMENT")</f>
        <v>DECHARGE</v>
      </c>
    </row>
    <row r="167" spans="3:11" ht="25.5" hidden="1" customHeight="1" x14ac:dyDescent="0.35">
      <c r="C167" s="19">
        <v>46272</v>
      </c>
      <c r="D167" s="2" t="s">
        <v>543</v>
      </c>
      <c r="E167" s="2" t="s">
        <v>196</v>
      </c>
      <c r="F167" s="3" t="str">
        <f>_xlfn.XLOOKUP(Table1[[#This Row],[Code Frs]],'CODE FRS'!B:B,'CODE FRS'!C:C)</f>
        <v>ISMAEL WASSIOU</v>
      </c>
      <c r="G167" s="2" t="s">
        <v>538</v>
      </c>
      <c r="H167" s="2">
        <v>194554092</v>
      </c>
      <c r="I167" s="2">
        <v>50</v>
      </c>
      <c r="J167" s="2" t="s">
        <v>230</v>
      </c>
      <c r="K167" s="2" t="str">
        <f>_xlfn.IFNA(_xlfn.XLOOKUP(Table1[[#This Row],[N° BC]],'Commandes Dechargees'!B:B,'Commandes Dechargees'!P:P),"EN ATTENTE DE DECHARGEMENT")</f>
        <v>DECHARGE</v>
      </c>
    </row>
    <row r="168" spans="3:11" ht="25.5" customHeight="1" x14ac:dyDescent="0.35">
      <c r="C168" s="19">
        <v>46272</v>
      </c>
      <c r="D168" s="2" t="s">
        <v>544</v>
      </c>
      <c r="E168" s="2" t="s">
        <v>196</v>
      </c>
      <c r="F168" s="3" t="str">
        <f>_xlfn.XLOOKUP(Table1[[#This Row],[Code Frs]],'CODE FRS'!B:B,'CODE FRS'!C:C)</f>
        <v>ISMAEL WASSIOU</v>
      </c>
      <c r="G168" s="2" t="s">
        <v>539</v>
      </c>
      <c r="H168" s="2">
        <v>147198881</v>
      </c>
      <c r="I168" s="2">
        <v>50</v>
      </c>
      <c r="J168" s="2" t="s">
        <v>63</v>
      </c>
      <c r="K168" s="2" t="str">
        <f>_xlfn.IFNA(_xlfn.XLOOKUP(Table1[[#This Row],[N° BC]],'Commandes Dechargees'!B:B,'Commandes Dechargees'!P:P),"EN ATTENTE DE DECHARGEMENT")</f>
        <v>EN ATTENTE DE DECHARGEMENT</v>
      </c>
    </row>
    <row r="169" spans="3:11" ht="25.5" hidden="1" customHeight="1" x14ac:dyDescent="0.35">
      <c r="C169" s="19">
        <v>46272</v>
      </c>
      <c r="D169" s="2" t="s">
        <v>545</v>
      </c>
      <c r="E169" s="2" t="s">
        <v>195</v>
      </c>
      <c r="F169" s="3" t="str">
        <f>_xlfn.XLOOKUP(Table1[[#This Row],[Code Frs]],'CODE FRS'!B:B,'CODE FRS'!C:C)</f>
        <v>BADAROU SAID</v>
      </c>
      <c r="G169" s="2" t="s">
        <v>540</v>
      </c>
      <c r="H169" s="2">
        <v>169575904</v>
      </c>
      <c r="I169" s="2">
        <v>50</v>
      </c>
      <c r="J169" s="2" t="s">
        <v>230</v>
      </c>
      <c r="K169" s="2" t="str">
        <f>_xlfn.IFNA(_xlfn.XLOOKUP(Table1[[#This Row],[N° BC]],'Commandes Dechargees'!B:B,'Commandes Dechargees'!P:P),"EN ATTENTE DE DECHARGEMENT")</f>
        <v>DECHARGE</v>
      </c>
    </row>
    <row r="170" spans="3:11" ht="25.5" customHeight="1" x14ac:dyDescent="0.35">
      <c r="C170" s="19">
        <v>46272</v>
      </c>
      <c r="D170" s="2" t="s">
        <v>546</v>
      </c>
      <c r="E170" s="2" t="s">
        <v>208</v>
      </c>
      <c r="F170" s="3" t="str">
        <f>_xlfn.XLOOKUP(Table1[[#This Row],[Code Frs]],'CODE FRS'!B:B,'CODE FRS'!C:C)</f>
        <v>AHEGNI CASIMIR</v>
      </c>
      <c r="G170" s="2" t="s">
        <v>541</v>
      </c>
      <c r="H170" s="2">
        <v>197795735</v>
      </c>
      <c r="I170" s="2">
        <v>50</v>
      </c>
      <c r="J170" s="2" t="s">
        <v>63</v>
      </c>
      <c r="K170" s="2" t="str">
        <f>_xlfn.IFNA(_xlfn.XLOOKUP(Table1[[#This Row],[N° BC]],'Commandes Dechargees'!B:B,'Commandes Dechargees'!P:P),"EN ATTENTE DE DECHARGEMENT")</f>
        <v>EN ATTENTE DE DECHARGEMENT</v>
      </c>
    </row>
    <row r="171" spans="3:11" ht="25.5" hidden="1" customHeight="1" x14ac:dyDescent="0.35">
      <c r="C171" s="19">
        <v>46272</v>
      </c>
      <c r="D171" s="2" t="s">
        <v>547</v>
      </c>
      <c r="E171" s="2" t="s">
        <v>207</v>
      </c>
      <c r="F171" s="3" t="str">
        <f>_xlfn.XLOOKUP(Table1[[#This Row],[Code Frs]],'CODE FRS'!B:B,'CODE FRS'!C:C)</f>
        <v>GBAGBE MATHIAS</v>
      </c>
      <c r="G171" s="2" t="s">
        <v>542</v>
      </c>
      <c r="H171" s="2">
        <v>141320954</v>
      </c>
      <c r="I171" s="2">
        <v>50</v>
      </c>
      <c r="J171" s="2" t="s">
        <v>230</v>
      </c>
      <c r="K171" s="2" t="str">
        <f>_xlfn.IFNA(_xlfn.XLOOKUP(Table1[[#This Row],[N° BC]],'Commandes Dechargees'!B:B,'Commandes Dechargees'!P:P),"EN ATTENTE DE DECHARGEMENT")</f>
        <v>DECHARGE</v>
      </c>
    </row>
    <row r="172" spans="3:11" ht="25.5" hidden="1" customHeight="1" x14ac:dyDescent="0.35">
      <c r="C172" s="19">
        <v>46272</v>
      </c>
      <c r="D172" s="2" t="s">
        <v>555</v>
      </c>
      <c r="E172" s="2" t="s">
        <v>339</v>
      </c>
      <c r="F172" s="3" t="str">
        <f>_xlfn.XLOOKUP(Table1[[#This Row],[Code Frs]],'CODE FRS'!B:B,'CODE FRS'!C:C)</f>
        <v>HASSANE SEYNI</v>
      </c>
      <c r="G172" s="2" t="s">
        <v>550</v>
      </c>
      <c r="H172" s="2">
        <v>140346046</v>
      </c>
      <c r="I172" s="2">
        <v>40</v>
      </c>
      <c r="J172" s="2" t="s">
        <v>230</v>
      </c>
      <c r="K172" s="2" t="str">
        <f>_xlfn.IFNA(_xlfn.XLOOKUP(Table1[[#This Row],[N° BC]],'Commandes Dechargees'!B:B,'Commandes Dechargees'!P:P),"EN ATTENTE DE DECHARGEMENT")</f>
        <v>DECHARGE</v>
      </c>
    </row>
    <row r="173" spans="3:11" ht="25.5" hidden="1" customHeight="1" x14ac:dyDescent="0.35">
      <c r="C173" s="19">
        <v>46273</v>
      </c>
      <c r="D173" s="2" t="s">
        <v>556</v>
      </c>
      <c r="E173" s="2" t="s">
        <v>196</v>
      </c>
      <c r="F173" s="3" t="str">
        <f>_xlfn.XLOOKUP(Table1[[#This Row],[Code Frs]],'CODE FRS'!B:B,'CODE FRS'!C:C)</f>
        <v>ISMAEL WASSIOU</v>
      </c>
      <c r="G173" s="2" t="s">
        <v>630</v>
      </c>
      <c r="H173" s="2" t="s">
        <v>264</v>
      </c>
      <c r="I173" s="2">
        <v>50</v>
      </c>
      <c r="J173" s="2" t="s">
        <v>230</v>
      </c>
      <c r="K173" s="2" t="str">
        <f>_xlfn.IFNA(_xlfn.XLOOKUP(Table1[[#This Row],[N° BC]],'Commandes Dechargees'!B:B,'Commandes Dechargees'!P:P),"EN ATTENTE DE DECHARGEMENT")</f>
        <v>DECHARGE</v>
      </c>
    </row>
    <row r="174" spans="3:11" ht="25.5" customHeight="1" x14ac:dyDescent="0.35">
      <c r="C174" s="19">
        <v>46273</v>
      </c>
      <c r="D174" s="2" t="s">
        <v>557</v>
      </c>
      <c r="E174" s="2" t="s">
        <v>401</v>
      </c>
      <c r="F174" s="3" t="str">
        <f>_xlfn.XLOOKUP(Table1[[#This Row],[Code Frs]],'CODE FRS'!B:B,'CODE FRS'!C:C)</f>
        <v>Mr LOUIS</v>
      </c>
      <c r="G174" s="2" t="s">
        <v>551</v>
      </c>
      <c r="H174" s="2" t="s">
        <v>264</v>
      </c>
      <c r="I174" s="2">
        <v>50</v>
      </c>
      <c r="J174" s="2" t="s">
        <v>63</v>
      </c>
      <c r="K174" s="2" t="str">
        <f>_xlfn.IFNA(_xlfn.XLOOKUP(Table1[[#This Row],[N° BC]],'Commandes Dechargees'!B:B,'Commandes Dechargees'!P:P),"EN ATTENTE DE DECHARGEMENT")</f>
        <v>EN ATTENTE DE DECHARGEMENT</v>
      </c>
    </row>
    <row r="175" spans="3:11" ht="25.5" customHeight="1" x14ac:dyDescent="0.35">
      <c r="C175" s="19">
        <v>46273</v>
      </c>
      <c r="D175" s="2" t="s">
        <v>558</v>
      </c>
      <c r="E175" s="2" t="s">
        <v>208</v>
      </c>
      <c r="F175" s="3" t="str">
        <f>_xlfn.XLOOKUP(Table1[[#This Row],[Code Frs]],'CODE FRS'!B:B,'CODE FRS'!C:C)</f>
        <v>AHEGNI CASIMIR</v>
      </c>
      <c r="G175" s="2" t="s">
        <v>559</v>
      </c>
      <c r="H175" s="2">
        <v>167540735</v>
      </c>
      <c r="I175" s="2">
        <v>50</v>
      </c>
      <c r="J175" s="2" t="s">
        <v>63</v>
      </c>
      <c r="K175" s="2" t="str">
        <f>_xlfn.IFNA(_xlfn.XLOOKUP(Table1[[#This Row],[N° BC]],'Commandes Dechargees'!B:B,'Commandes Dechargees'!P:P),"EN ATTENTE DE DECHARGEMENT")</f>
        <v>DECHARGE</v>
      </c>
    </row>
    <row r="176" spans="3:11" ht="25.5" hidden="1" customHeight="1" x14ac:dyDescent="0.35">
      <c r="C176" s="19">
        <v>46273</v>
      </c>
      <c r="D176" s="2" t="s">
        <v>563</v>
      </c>
      <c r="E176" s="2" t="s">
        <v>339</v>
      </c>
      <c r="F176" s="3" t="str">
        <f>_xlfn.XLOOKUP(Table1[[#This Row],[Code Frs]],'CODE FRS'!B:B,'CODE FRS'!C:C)</f>
        <v>HASSANE SEYNI</v>
      </c>
      <c r="G176" s="2" t="s">
        <v>562</v>
      </c>
      <c r="H176" s="2">
        <v>169033589</v>
      </c>
      <c r="I176" s="2">
        <v>40</v>
      </c>
      <c r="J176" s="2" t="s">
        <v>230</v>
      </c>
      <c r="K176" s="2" t="str">
        <f>_xlfn.IFNA(_xlfn.XLOOKUP(Table1[[#This Row],[N° BC]],'Commandes Dechargees'!B:B,'Commandes Dechargees'!P:P),"EN ATTENTE DE DECHARGEMENT")</f>
        <v>DECHARGE</v>
      </c>
    </row>
    <row r="177" spans="3:11" ht="25.5" hidden="1" customHeight="1" x14ac:dyDescent="0.35">
      <c r="C177" s="19">
        <v>46274</v>
      </c>
      <c r="D177" s="2" t="s">
        <v>564</v>
      </c>
      <c r="E177" s="2" t="s">
        <v>193</v>
      </c>
      <c r="F177" s="3" t="str">
        <f>_xlfn.XLOOKUP(Table1[[#This Row],[Code Frs]],'CODE FRS'!B:B,'CODE FRS'!C:C)</f>
        <v>TCHANIGA SAMSON</v>
      </c>
      <c r="G177" s="2" t="s">
        <v>565</v>
      </c>
      <c r="H177" s="2">
        <v>163752699</v>
      </c>
      <c r="I177" s="2">
        <v>50</v>
      </c>
      <c r="J177" s="2" t="s">
        <v>230</v>
      </c>
      <c r="K177" s="2" t="str">
        <f>_xlfn.IFNA(_xlfn.XLOOKUP(Table1[[#This Row],[N° BC]],'Commandes Dechargees'!B:B,'Commandes Dechargees'!P:P),"EN ATTENTE DE DECHARGEMENT")</f>
        <v>DECHARGE</v>
      </c>
    </row>
    <row r="178" spans="3:11" ht="25.5" hidden="1" customHeight="1" x14ac:dyDescent="0.35">
      <c r="C178" s="19">
        <v>46274</v>
      </c>
      <c r="D178" s="2" t="s">
        <v>578</v>
      </c>
      <c r="E178" s="2" t="s">
        <v>196</v>
      </c>
      <c r="F178" s="3" t="str">
        <f>_xlfn.XLOOKUP(Table1[[#This Row],[Code Frs]],'CODE FRS'!B:B,'CODE FRS'!C:C)</f>
        <v>ISMAEL WASSIOU</v>
      </c>
      <c r="G178" s="2" t="s">
        <v>654</v>
      </c>
      <c r="H178" s="2">
        <v>194448829</v>
      </c>
      <c r="I178" s="2">
        <v>50</v>
      </c>
      <c r="J178" s="2" t="s">
        <v>230</v>
      </c>
      <c r="K178" s="2" t="str">
        <f>_xlfn.IFNA(_xlfn.XLOOKUP(Table1[[#This Row],[N° BC]],'Commandes Dechargees'!B:B,'Commandes Dechargees'!P:P),"EN ATTENTE DE DECHARGEMENT")</f>
        <v>DECHARGE</v>
      </c>
    </row>
    <row r="179" spans="3:11" ht="25.5" hidden="1" customHeight="1" x14ac:dyDescent="0.35">
      <c r="C179" s="19">
        <v>46274</v>
      </c>
      <c r="D179" s="2" t="s">
        <v>579</v>
      </c>
      <c r="E179" s="2" t="s">
        <v>213</v>
      </c>
      <c r="F179" s="3" t="str">
        <f>_xlfn.XLOOKUP(Table1[[#This Row],[Code Frs]],'CODE FRS'!B:B,'CODE FRS'!C:C)</f>
        <v>NOEL DOLEME</v>
      </c>
      <c r="G179" s="2" t="s">
        <v>569</v>
      </c>
      <c r="H179" s="2">
        <v>195750304</v>
      </c>
      <c r="I179" s="2">
        <v>50</v>
      </c>
      <c r="J179" s="2" t="s">
        <v>230</v>
      </c>
      <c r="K179" s="2" t="str">
        <f>_xlfn.IFNA(_xlfn.XLOOKUP(Table1[[#This Row],[N° BC]],'Commandes Dechargees'!B:B,'Commandes Dechargees'!P:P),"EN ATTENTE DE DECHARGEMENT")</f>
        <v>DECHARGE</v>
      </c>
    </row>
    <row r="180" spans="3:11" ht="25.5" customHeight="1" x14ac:dyDescent="0.35">
      <c r="C180" s="19">
        <v>46274</v>
      </c>
      <c r="D180" s="2" t="s">
        <v>580</v>
      </c>
      <c r="E180" s="2" t="s">
        <v>213</v>
      </c>
      <c r="F180" s="3" t="str">
        <f>_xlfn.XLOOKUP(Table1[[#This Row],[Code Frs]],'CODE FRS'!B:B,'CODE FRS'!C:C)</f>
        <v>NOEL DOLEME</v>
      </c>
      <c r="G180" s="2" t="s">
        <v>570</v>
      </c>
      <c r="H180" s="2">
        <v>143412685</v>
      </c>
      <c r="I180" s="2">
        <v>45</v>
      </c>
      <c r="J180" s="2" t="s">
        <v>63</v>
      </c>
      <c r="K180" s="2" t="str">
        <f>_xlfn.IFNA(_xlfn.XLOOKUP(Table1[[#This Row],[N° BC]],'Commandes Dechargees'!B:B,'Commandes Dechargees'!P:P),"EN ATTENTE DE DECHARGEMENT")</f>
        <v>DECHARGE</v>
      </c>
    </row>
    <row r="181" spans="3:11" ht="25.5" hidden="1" customHeight="1" x14ac:dyDescent="0.35">
      <c r="C181" s="19">
        <v>46274</v>
      </c>
      <c r="D181" s="2" t="s">
        <v>581</v>
      </c>
      <c r="E181" s="2" t="s">
        <v>572</v>
      </c>
      <c r="F181" s="3" t="str">
        <f>_xlfn.XLOOKUP(Table1[[#This Row],[Code Frs]],'CODE FRS'!B:B,'CODE FRS'!C:C)</f>
        <v>HOUEDANOU JUSTIN</v>
      </c>
      <c r="G181" s="2" t="s">
        <v>573</v>
      </c>
      <c r="H181" s="2">
        <v>144701570</v>
      </c>
      <c r="I181" s="2">
        <v>41</v>
      </c>
      <c r="J181" s="2" t="s">
        <v>230</v>
      </c>
      <c r="K181" s="2" t="str">
        <f>_xlfn.IFNA(_xlfn.XLOOKUP(Table1[[#This Row],[N° BC]],'Commandes Dechargees'!B:B,'Commandes Dechargees'!P:P),"EN ATTENTE DE DECHARGEMENT")</f>
        <v>DECHARGE</v>
      </c>
    </row>
    <row r="182" spans="3:11" ht="25.5" customHeight="1" x14ac:dyDescent="0.35">
      <c r="C182" s="19">
        <v>46275</v>
      </c>
      <c r="D182" s="2" t="s">
        <v>582</v>
      </c>
      <c r="E182" s="2" t="s">
        <v>202</v>
      </c>
      <c r="F182" s="3" t="str">
        <f>_xlfn.XLOOKUP(Table1[[#This Row],[Code Frs]],'CODE FRS'!B:B,'CODE FRS'!C:C)</f>
        <v>COMLAN MAHOUSSE JOSPIN</v>
      </c>
      <c r="G182" s="2" t="s">
        <v>574</v>
      </c>
      <c r="H182" s="2">
        <v>169472524</v>
      </c>
      <c r="I182" s="2">
        <v>33</v>
      </c>
      <c r="J182" s="2" t="s">
        <v>63</v>
      </c>
      <c r="K182" s="2" t="str">
        <f>_xlfn.IFNA(_xlfn.XLOOKUP(Table1[[#This Row],[N° BC]],'Commandes Dechargees'!B:B,'Commandes Dechargees'!P:P),"EN ATTENTE DE DECHARGEMENT")</f>
        <v>EN ATTENTE DE DECHARGEMENT</v>
      </c>
    </row>
    <row r="183" spans="3:11" ht="25.5" hidden="1" customHeight="1" x14ac:dyDescent="0.35">
      <c r="C183" s="19">
        <v>46275</v>
      </c>
      <c r="D183" s="2" t="s">
        <v>583</v>
      </c>
      <c r="E183" s="2" t="s">
        <v>193</v>
      </c>
      <c r="F183" s="3" t="str">
        <f>_xlfn.XLOOKUP(Table1[[#This Row],[Code Frs]],'CODE FRS'!B:B,'CODE FRS'!C:C)</f>
        <v>TCHANIGA SAMSON</v>
      </c>
      <c r="G183" s="2" t="s">
        <v>143</v>
      </c>
      <c r="H183" s="2">
        <v>194951894</v>
      </c>
      <c r="I183" s="2">
        <v>48</v>
      </c>
      <c r="J183" s="2" t="s">
        <v>230</v>
      </c>
      <c r="K183" s="2" t="str">
        <f>_xlfn.IFNA(_xlfn.XLOOKUP(Table1[[#This Row],[N° BC]],'Commandes Dechargees'!B:B,'Commandes Dechargees'!P:P),"EN ATTENTE DE DECHARGEMENT")</f>
        <v>DECHARGE</v>
      </c>
    </row>
    <row r="184" spans="3:11" ht="25.5" hidden="1" customHeight="1" x14ac:dyDescent="0.35">
      <c r="C184" s="19">
        <v>46275</v>
      </c>
      <c r="D184" s="2" t="s">
        <v>584</v>
      </c>
      <c r="E184" s="2" t="s">
        <v>193</v>
      </c>
      <c r="F184" s="3" t="str">
        <f>_xlfn.XLOOKUP(Table1[[#This Row],[Code Frs]],'CODE FRS'!B:B,'CODE FRS'!C:C)</f>
        <v>TCHANIGA SAMSON</v>
      </c>
      <c r="G184" s="2" t="s">
        <v>575</v>
      </c>
      <c r="H184" s="2">
        <v>197517818</v>
      </c>
      <c r="I184" s="2">
        <v>40</v>
      </c>
      <c r="J184" s="2" t="s">
        <v>230</v>
      </c>
      <c r="K184" s="2" t="str">
        <f>_xlfn.IFNA(_xlfn.XLOOKUP(Table1[[#This Row],[N° BC]],'Commandes Dechargees'!B:B,'Commandes Dechargees'!P:P),"EN ATTENTE DE DECHARGEMENT")</f>
        <v>DECHARGE</v>
      </c>
    </row>
    <row r="185" spans="3:11" ht="25.5" customHeight="1" x14ac:dyDescent="0.35">
      <c r="C185" s="19">
        <v>46275</v>
      </c>
      <c r="D185" s="2" t="s">
        <v>585</v>
      </c>
      <c r="E185" s="2" t="s">
        <v>208</v>
      </c>
      <c r="F185" s="3" t="str">
        <f>_xlfn.XLOOKUP(Table1[[#This Row],[Code Frs]],'CODE FRS'!B:B,'CODE FRS'!C:C)</f>
        <v>AHEGNI CASIMIR</v>
      </c>
      <c r="G185" s="2" t="s">
        <v>576</v>
      </c>
      <c r="H185" s="2">
        <v>195249339</v>
      </c>
      <c r="I185" s="2">
        <v>50</v>
      </c>
      <c r="J185" s="2" t="s">
        <v>63</v>
      </c>
      <c r="K185" s="2" t="str">
        <f>_xlfn.IFNA(_xlfn.XLOOKUP(Table1[[#This Row],[N° BC]],'Commandes Dechargees'!B:B,'Commandes Dechargees'!P:P),"EN ATTENTE DE DECHARGEMENT")</f>
        <v>EN ATTENTE DE DECHARGEMENT</v>
      </c>
    </row>
    <row r="186" spans="3:11" ht="25.5" customHeight="1" x14ac:dyDescent="0.35">
      <c r="C186" s="19">
        <v>46275</v>
      </c>
      <c r="D186" s="2" t="s">
        <v>586</v>
      </c>
      <c r="E186" s="2" t="s">
        <v>266</v>
      </c>
      <c r="F186" s="3" t="str">
        <f>_xlfn.XLOOKUP(Table1[[#This Row],[Code Frs]],'CODE FRS'!B:B,'CODE FRS'!C:C)</f>
        <v>ASSOGBA LEON</v>
      </c>
      <c r="G186" s="2" t="s">
        <v>577</v>
      </c>
      <c r="H186" s="2">
        <v>196174359</v>
      </c>
      <c r="I186" s="2">
        <v>50</v>
      </c>
      <c r="J186" s="2" t="s">
        <v>63</v>
      </c>
      <c r="K186" s="2" t="str">
        <f>_xlfn.IFNA(_xlfn.XLOOKUP(Table1[[#This Row],[N° BC]],'Commandes Dechargees'!B:B,'Commandes Dechargees'!P:P),"EN ATTENTE DE DECHARGEMENT")</f>
        <v>EN ATTENTE DE DECHARGEMENT</v>
      </c>
    </row>
    <row r="187" spans="3:11" ht="25.5" hidden="1" customHeight="1" x14ac:dyDescent="0.35">
      <c r="C187" s="19">
        <v>46275</v>
      </c>
      <c r="D187" s="2" t="s">
        <v>588</v>
      </c>
      <c r="E187" s="2" t="s">
        <v>591</v>
      </c>
      <c r="F187" s="3" t="str">
        <f>_xlfn.XLOOKUP(Table1[[#This Row],[Code Frs]],'CODE FRS'!B:B,'CODE FRS'!C:C)</f>
        <v>KOUMENOUGBO MARUIS</v>
      </c>
      <c r="G187" s="2" t="s">
        <v>592</v>
      </c>
      <c r="H187" s="2" t="s">
        <v>264</v>
      </c>
      <c r="I187" s="2">
        <v>17</v>
      </c>
      <c r="J187" s="2" t="s">
        <v>230</v>
      </c>
      <c r="K187" s="2" t="str">
        <f>_xlfn.IFNA(_xlfn.XLOOKUP(Table1[[#This Row],[N° BC]],'Commandes Dechargees'!B:B,'Commandes Dechargees'!P:P),"EN ATTENTE DE DECHARGEMENT")</f>
        <v>DECHARGE</v>
      </c>
    </row>
    <row r="188" spans="3:11" ht="25.5" customHeight="1" x14ac:dyDescent="0.35">
      <c r="C188" s="19">
        <v>46275</v>
      </c>
      <c r="D188" s="2" t="s">
        <v>589</v>
      </c>
      <c r="E188" s="2" t="s">
        <v>213</v>
      </c>
      <c r="F188" s="3" t="str">
        <f>_xlfn.XLOOKUP(Table1[[#This Row],[Code Frs]],'CODE FRS'!B:B,'CODE FRS'!C:C)</f>
        <v>NOEL DOLEME</v>
      </c>
      <c r="G188" s="2" t="s">
        <v>604</v>
      </c>
      <c r="H188" s="2">
        <v>194338432</v>
      </c>
      <c r="I188" s="2">
        <v>45</v>
      </c>
      <c r="J188" s="2" t="s">
        <v>63</v>
      </c>
      <c r="K188" s="2" t="str">
        <f>_xlfn.IFNA(_xlfn.XLOOKUP(Table1[[#This Row],[N° BC]],'Commandes Dechargees'!B:B,'Commandes Dechargees'!P:P),"EN ATTENTE DE DECHARGEMENT")</f>
        <v>DECHARGE</v>
      </c>
    </row>
    <row r="189" spans="3:11" ht="25.5" hidden="1" customHeight="1" x14ac:dyDescent="0.35">
      <c r="C189" s="19">
        <v>46275</v>
      </c>
      <c r="D189" s="2" t="s">
        <v>617</v>
      </c>
      <c r="E189" s="2" t="s">
        <v>214</v>
      </c>
      <c r="F189" s="3" t="str">
        <f>_xlfn.XLOOKUP(Table1[[#This Row],[Code Frs]],'CODE FRS'!B:B,'CODE FRS'!C:C)</f>
        <v>DAA-HINGBANON VIRGILE</v>
      </c>
      <c r="G189" s="2" t="s">
        <v>605</v>
      </c>
      <c r="H189" s="2">
        <v>197383815</v>
      </c>
      <c r="I189" s="2">
        <v>38</v>
      </c>
      <c r="J189" s="2" t="s">
        <v>230</v>
      </c>
      <c r="K189" s="2" t="str">
        <f>_xlfn.IFNA(_xlfn.XLOOKUP(Table1[[#This Row],[N° BC]],'Commandes Dechargees'!B:B,'Commandes Dechargees'!P:P),"EN ATTENTE DE DECHARGEMENT")</f>
        <v>DECHARGE</v>
      </c>
    </row>
    <row r="190" spans="3:11" ht="25.5" hidden="1" customHeight="1" x14ac:dyDescent="0.35">
      <c r="C190" s="19">
        <v>46275</v>
      </c>
      <c r="D190" s="2" t="s">
        <v>618</v>
      </c>
      <c r="E190" s="2" t="s">
        <v>214</v>
      </c>
      <c r="F190" s="3" t="str">
        <f>_xlfn.XLOOKUP(Table1[[#This Row],[Code Frs]],'CODE FRS'!B:B,'CODE FRS'!C:C)</f>
        <v>DAA-HINGBANON VIRGILE</v>
      </c>
      <c r="G190" s="2" t="s">
        <v>606</v>
      </c>
      <c r="H190" s="2">
        <v>141544131</v>
      </c>
      <c r="I190" s="2">
        <v>35</v>
      </c>
      <c r="J190" s="2" t="s">
        <v>230</v>
      </c>
      <c r="K190" s="2" t="str">
        <f>_xlfn.IFNA(_xlfn.XLOOKUP(Table1[[#This Row],[N° BC]],'Commandes Dechargees'!B:B,'Commandes Dechargees'!P:P),"EN ATTENTE DE DECHARGEMENT")</f>
        <v>DECHARGE</v>
      </c>
    </row>
    <row r="191" spans="3:11" ht="25.5" hidden="1" customHeight="1" x14ac:dyDescent="0.35">
      <c r="C191" s="19">
        <v>46275</v>
      </c>
      <c r="D191" s="2" t="s">
        <v>619</v>
      </c>
      <c r="E191" s="2" t="s">
        <v>403</v>
      </c>
      <c r="F191" s="3" t="str">
        <f>_xlfn.XLOOKUP(Table1[[#This Row],[Code Frs]],'CODE FRS'!B:B,'CODE FRS'!C:C)</f>
        <v>Mr MOMO</v>
      </c>
      <c r="G191" s="2" t="s">
        <v>607</v>
      </c>
      <c r="H191" s="2">
        <v>164474274</v>
      </c>
      <c r="I191" s="2">
        <v>50</v>
      </c>
      <c r="J191" s="2" t="s">
        <v>230</v>
      </c>
      <c r="K191" s="2" t="str">
        <f>_xlfn.IFNA(_xlfn.XLOOKUP(Table1[[#This Row],[N° BC]],'Commandes Dechargees'!B:B,'Commandes Dechargees'!P:P),"EN ATTENTE DE DECHARGEMENT")</f>
        <v>DECHARGE</v>
      </c>
    </row>
    <row r="192" spans="3:11" ht="25.5" hidden="1" customHeight="1" x14ac:dyDescent="0.35">
      <c r="C192" s="19">
        <v>46276</v>
      </c>
      <c r="D192" s="2" t="s">
        <v>620</v>
      </c>
      <c r="E192" s="2" t="s">
        <v>201</v>
      </c>
      <c r="F192" s="3" t="str">
        <f>_xlfn.XLOOKUP(Table1[[#This Row],[Code Frs]],'CODE FRS'!B:B,'CODE FRS'!C:C)</f>
        <v>GOUDO DOSSOU ROMAIN</v>
      </c>
      <c r="G192" s="2" t="s">
        <v>608</v>
      </c>
      <c r="H192" s="2">
        <v>166784282</v>
      </c>
      <c r="I192" s="2">
        <v>50</v>
      </c>
      <c r="J192" s="2" t="s">
        <v>230</v>
      </c>
      <c r="K192" s="2" t="str">
        <f>_xlfn.IFNA(_xlfn.XLOOKUP(Table1[[#This Row],[N° BC]],'Commandes Dechargees'!B:B,'Commandes Dechargees'!P:P),"EN ATTENTE DE DECHARGEMENT")</f>
        <v>DECHARGE</v>
      </c>
    </row>
    <row r="193" spans="3:11" ht="25.5" hidden="1" customHeight="1" x14ac:dyDescent="0.35">
      <c r="C193" s="19">
        <v>46276</v>
      </c>
      <c r="D193" s="2" t="s">
        <v>621</v>
      </c>
      <c r="E193" s="2" t="s">
        <v>196</v>
      </c>
      <c r="F193" s="3" t="str">
        <f>_xlfn.XLOOKUP(Table1[[#This Row],[Code Frs]],'CODE FRS'!B:B,'CODE FRS'!C:C)</f>
        <v>ISMAEL WASSIOU</v>
      </c>
      <c r="G193" s="2" t="s">
        <v>609</v>
      </c>
      <c r="H193" s="2">
        <v>144234747</v>
      </c>
      <c r="I193" s="2">
        <v>50</v>
      </c>
      <c r="J193" s="2" t="s">
        <v>230</v>
      </c>
      <c r="K193" s="2" t="str">
        <f>_xlfn.IFNA(_xlfn.XLOOKUP(Table1[[#This Row],[N° BC]],'Commandes Dechargees'!B:B,'Commandes Dechargees'!P:P),"EN ATTENTE DE DECHARGEMENT")</f>
        <v>DECHARGE</v>
      </c>
    </row>
    <row r="194" spans="3:11" ht="25.5" hidden="1" customHeight="1" x14ac:dyDescent="0.35">
      <c r="C194" s="19">
        <v>46276</v>
      </c>
      <c r="D194" s="2" t="s">
        <v>622</v>
      </c>
      <c r="E194" s="2" t="s">
        <v>339</v>
      </c>
      <c r="F194" s="3" t="str">
        <f>_xlfn.XLOOKUP(Table1[[#This Row],[Code Frs]],'CODE FRS'!B:B,'CODE FRS'!C:C)</f>
        <v>HASSANE SEYNI</v>
      </c>
      <c r="G194" s="2" t="s">
        <v>610</v>
      </c>
      <c r="H194" s="2">
        <v>143578850</v>
      </c>
      <c r="I194" s="2">
        <v>50</v>
      </c>
      <c r="J194" s="2" t="s">
        <v>230</v>
      </c>
      <c r="K194" s="2" t="str">
        <f>_xlfn.IFNA(_xlfn.XLOOKUP(Table1[[#This Row],[N° BC]],'Commandes Dechargees'!B:B,'Commandes Dechargees'!P:P),"EN ATTENTE DE DECHARGEMENT")</f>
        <v>DECHARGE</v>
      </c>
    </row>
    <row r="195" spans="3:11" ht="25.5" customHeight="1" x14ac:dyDescent="0.35">
      <c r="C195" s="19">
        <v>46276</v>
      </c>
      <c r="D195" s="2" t="s">
        <v>623</v>
      </c>
      <c r="E195" s="2" t="s">
        <v>196</v>
      </c>
      <c r="F195" s="3" t="str">
        <f>_xlfn.XLOOKUP(Table1[[#This Row],[Code Frs]],'CODE FRS'!B:B,'CODE FRS'!C:C)</f>
        <v>ISMAEL WASSIOU</v>
      </c>
      <c r="G195" s="2" t="s">
        <v>611</v>
      </c>
      <c r="H195" s="2">
        <v>144296907</v>
      </c>
      <c r="I195" s="2">
        <v>50</v>
      </c>
      <c r="J195" s="2" t="s">
        <v>63</v>
      </c>
      <c r="K195" s="2" t="str">
        <f>_xlfn.IFNA(_xlfn.XLOOKUP(Table1[[#This Row],[N° BC]],'Commandes Dechargees'!B:B,'Commandes Dechargees'!P:P),"EN ATTENTE DE DECHARGEMENT")</f>
        <v>DECHARGE</v>
      </c>
    </row>
    <row r="196" spans="3:11" ht="25.5" hidden="1" customHeight="1" x14ac:dyDescent="0.35">
      <c r="C196" s="19">
        <v>46276</v>
      </c>
      <c r="D196" s="2" t="s">
        <v>624</v>
      </c>
      <c r="E196" s="2" t="s">
        <v>196</v>
      </c>
      <c r="F196" s="3" t="str">
        <f>_xlfn.XLOOKUP(Table1[[#This Row],[Code Frs]],'CODE FRS'!B:B,'CODE FRS'!C:C)</f>
        <v>ISMAEL WASSIOU</v>
      </c>
      <c r="G196" s="2" t="s">
        <v>612</v>
      </c>
      <c r="H196" s="2">
        <v>166220268</v>
      </c>
      <c r="I196" s="2">
        <v>50</v>
      </c>
      <c r="J196" s="2" t="s">
        <v>230</v>
      </c>
      <c r="K196" s="2" t="str">
        <f>_xlfn.IFNA(_xlfn.XLOOKUP(Table1[[#This Row],[N° BC]],'Commandes Dechargees'!B:B,'Commandes Dechargees'!P:P),"EN ATTENTE DE DECHARGEMENT")</f>
        <v>DECHARGE</v>
      </c>
    </row>
    <row r="197" spans="3:11" ht="25.5" hidden="1" customHeight="1" x14ac:dyDescent="0.35">
      <c r="C197" s="19">
        <v>46276</v>
      </c>
      <c r="D197" s="2" t="s">
        <v>625</v>
      </c>
      <c r="E197" s="2" t="s">
        <v>572</v>
      </c>
      <c r="F197" s="3" t="str">
        <f>_xlfn.XLOOKUP(Table1[[#This Row],[Code Frs]],'CODE FRS'!B:B,'CODE FRS'!C:C)</f>
        <v>HOUEDANOU JUSTIN</v>
      </c>
      <c r="G197" s="2" t="s">
        <v>613</v>
      </c>
      <c r="H197" s="2">
        <v>141277475</v>
      </c>
      <c r="I197" s="2">
        <v>35</v>
      </c>
      <c r="J197" s="2" t="s">
        <v>230</v>
      </c>
      <c r="K197" s="2" t="str">
        <f>_xlfn.IFNA(_xlfn.XLOOKUP(Table1[[#This Row],[N° BC]],'Commandes Dechargees'!B:B,'Commandes Dechargees'!P:P),"EN ATTENTE DE DECHARGEMENT")</f>
        <v>DECHARGE</v>
      </c>
    </row>
    <row r="198" spans="3:11" ht="25.5" customHeight="1" x14ac:dyDescent="0.35">
      <c r="C198" s="19">
        <v>46276</v>
      </c>
      <c r="D198" s="2" t="s">
        <v>626</v>
      </c>
      <c r="E198" s="2" t="s">
        <v>266</v>
      </c>
      <c r="F198" s="3" t="str">
        <f>_xlfn.XLOOKUP(Table1[[#This Row],[Code Frs]],'CODE FRS'!B:B,'CODE FRS'!C:C)</f>
        <v>ASSOGBA LEON</v>
      </c>
      <c r="G198" s="2" t="s">
        <v>614</v>
      </c>
      <c r="H198" s="2">
        <v>197379795</v>
      </c>
      <c r="I198" s="2">
        <v>45</v>
      </c>
      <c r="J198" s="2" t="s">
        <v>63</v>
      </c>
      <c r="K198" s="2" t="str">
        <f>_xlfn.IFNA(_xlfn.XLOOKUP(Table1[[#This Row],[N° BC]],'Commandes Dechargees'!B:B,'Commandes Dechargees'!P:P),"EN ATTENTE DE DECHARGEMENT")</f>
        <v>EN ATTENTE DE DECHARGEMENT</v>
      </c>
    </row>
    <row r="199" spans="3:11" ht="25.5" customHeight="1" x14ac:dyDescent="0.35">
      <c r="C199" s="19">
        <v>46276</v>
      </c>
      <c r="D199" s="2" t="s">
        <v>627</v>
      </c>
      <c r="E199" s="2" t="s">
        <v>269</v>
      </c>
      <c r="F199" s="3" t="str">
        <f>_xlfn.XLOOKUP(Table1[[#This Row],[Code Frs]],'CODE FRS'!B:B,'CODE FRS'!C:C)</f>
        <v>AZOGA ARMAND</v>
      </c>
      <c r="G199" s="2" t="s">
        <v>615</v>
      </c>
      <c r="H199" s="2">
        <v>148003457</v>
      </c>
      <c r="I199" s="2">
        <v>50</v>
      </c>
      <c r="J199" s="2" t="s">
        <v>63</v>
      </c>
      <c r="K199" s="2" t="str">
        <f>_xlfn.IFNA(_xlfn.XLOOKUP(Table1[[#This Row],[N° BC]],'Commandes Dechargees'!B:B,'Commandes Dechargees'!P:P),"EN ATTENTE DE DECHARGEMENT")</f>
        <v>DECHARGE</v>
      </c>
    </row>
    <row r="200" spans="3:11" ht="25.5" customHeight="1" x14ac:dyDescent="0.35">
      <c r="C200" s="19">
        <v>46276</v>
      </c>
      <c r="D200" s="2" t="s">
        <v>628</v>
      </c>
      <c r="E200" s="2" t="s">
        <v>269</v>
      </c>
      <c r="F200" s="3" t="str">
        <f>_xlfn.XLOOKUP(Table1[[#This Row],[Code Frs]],'CODE FRS'!B:B,'CODE FRS'!C:C)</f>
        <v>AZOGA ARMAND</v>
      </c>
      <c r="G200" s="2" t="s">
        <v>365</v>
      </c>
      <c r="H200" s="2">
        <v>140270310</v>
      </c>
      <c r="I200" s="2">
        <v>50</v>
      </c>
      <c r="J200" s="2" t="s">
        <v>63</v>
      </c>
      <c r="K200" s="2" t="str">
        <f>_xlfn.IFNA(_xlfn.XLOOKUP(Table1[[#This Row],[N° BC]],'Commandes Dechargees'!B:B,'Commandes Dechargees'!P:P),"EN ATTENTE DE DECHARGEMENT")</f>
        <v>DECHARGE</v>
      </c>
    </row>
    <row r="201" spans="3:11" ht="25.5" customHeight="1" x14ac:dyDescent="0.35">
      <c r="C201" s="19">
        <v>46276</v>
      </c>
      <c r="D201" s="2" t="s">
        <v>629</v>
      </c>
      <c r="E201" s="2" t="s">
        <v>208</v>
      </c>
      <c r="F201" s="3" t="str">
        <f>_xlfn.XLOOKUP(Table1[[#This Row],[Code Frs]],'CODE FRS'!B:B,'CODE FRS'!C:C)</f>
        <v>AHEGNI CASIMIR</v>
      </c>
      <c r="G201" s="2" t="s">
        <v>616</v>
      </c>
      <c r="H201" s="2">
        <v>196432278</v>
      </c>
      <c r="I201" s="2">
        <v>50</v>
      </c>
      <c r="J201" s="2" t="s">
        <v>63</v>
      </c>
      <c r="K201" s="2" t="str">
        <f>_xlfn.IFNA(_xlfn.XLOOKUP(Table1[[#This Row],[N° BC]],'Commandes Dechargees'!B:B,'Commandes Dechargees'!P:P),"EN ATTENTE DE DECHARGEMENT")</f>
        <v>EN ATTENTE DE DECHARGEMENT</v>
      </c>
    </row>
    <row r="202" spans="3:11" ht="25.5" hidden="1" customHeight="1" x14ac:dyDescent="0.35">
      <c r="C202" s="19">
        <v>46276</v>
      </c>
      <c r="D202" s="2" t="s">
        <v>633</v>
      </c>
      <c r="E202" s="2" t="s">
        <v>198</v>
      </c>
      <c r="F202" s="3" t="str">
        <f>_xlfn.XLOOKUP(Table1[[#This Row],[Code Frs]],'CODE FRS'!B:B,'CODE FRS'!C:C)</f>
        <v>VLAVONOU PIERRE</v>
      </c>
      <c r="G202" s="2" t="s">
        <v>634</v>
      </c>
      <c r="H202" s="2">
        <v>144232584</v>
      </c>
      <c r="I202" s="2">
        <v>50</v>
      </c>
      <c r="J202" s="2" t="s">
        <v>230</v>
      </c>
      <c r="K202" s="2" t="str">
        <f>_xlfn.IFNA(_xlfn.XLOOKUP(Table1[[#This Row],[N° BC]],'Commandes Dechargees'!B:B,'Commandes Dechargees'!P:P),"EN ATTENTE DE DECHARGEMENT")</f>
        <v>DECHARGE</v>
      </c>
    </row>
    <row r="203" spans="3:11" ht="25.5" hidden="1" customHeight="1" x14ac:dyDescent="0.35">
      <c r="C203" s="19">
        <v>46277</v>
      </c>
      <c r="D203" s="2" t="s">
        <v>635</v>
      </c>
      <c r="E203" s="2" t="s">
        <v>208</v>
      </c>
      <c r="F203" s="3" t="str">
        <f>_xlfn.XLOOKUP(Table1[[#This Row],[Code Frs]],'CODE FRS'!B:B,'CODE FRS'!C:C)</f>
        <v>AHEGNI CASIMIR</v>
      </c>
      <c r="G203" s="2" t="s">
        <v>636</v>
      </c>
      <c r="H203" s="2">
        <v>191965547</v>
      </c>
      <c r="I203" s="2">
        <v>50</v>
      </c>
      <c r="J203" s="2" t="s">
        <v>230</v>
      </c>
      <c r="K203" s="2" t="str">
        <f>_xlfn.IFNA(_xlfn.XLOOKUP(Table1[[#This Row],[N° BC]],'Commandes Dechargees'!B:B,'Commandes Dechargees'!P:P),"EN ATTENTE DE DECHARGEMENT")</f>
        <v>DECHARGE</v>
      </c>
    </row>
    <row r="204" spans="3:11" ht="25.5" hidden="1" customHeight="1" x14ac:dyDescent="0.35">
      <c r="C204" s="19">
        <v>46277</v>
      </c>
      <c r="D204" s="2" t="s">
        <v>637</v>
      </c>
      <c r="E204" s="2" t="s">
        <v>339</v>
      </c>
      <c r="F204" s="3" t="str">
        <f>_xlfn.XLOOKUP(Table1[[#This Row],[Code Frs]],'CODE FRS'!B:B,'CODE FRS'!C:C)</f>
        <v>HASSANE SEYNI</v>
      </c>
      <c r="G204" s="2" t="s">
        <v>358</v>
      </c>
      <c r="H204" s="2">
        <v>195627243</v>
      </c>
      <c r="I204" s="2">
        <v>50</v>
      </c>
      <c r="J204" s="2" t="s">
        <v>230</v>
      </c>
      <c r="K204" s="2" t="str">
        <f>_xlfn.IFNA(_xlfn.XLOOKUP(Table1[[#This Row],[N° BC]],'Commandes Dechargees'!B:B,'Commandes Dechargees'!P:P),"EN ATTENTE DE DECHARGEMENT")</f>
        <v>DECHARGE</v>
      </c>
    </row>
    <row r="205" spans="3:11" ht="25.5" hidden="1" customHeight="1" x14ac:dyDescent="0.35">
      <c r="C205" s="19">
        <v>46277</v>
      </c>
      <c r="D205" s="2" t="s">
        <v>638</v>
      </c>
      <c r="E205" s="2" t="s">
        <v>403</v>
      </c>
      <c r="F205" s="3" t="str">
        <f>_xlfn.XLOOKUP(Table1[[#This Row],[Code Frs]],'CODE FRS'!B:B,'CODE FRS'!C:C)</f>
        <v>Mr MOMO</v>
      </c>
      <c r="G205" s="2" t="s">
        <v>639</v>
      </c>
      <c r="H205" s="2">
        <v>140770721</v>
      </c>
      <c r="I205" s="2">
        <v>50</v>
      </c>
      <c r="J205" s="2" t="s">
        <v>230</v>
      </c>
      <c r="K205" s="2" t="str">
        <f>_xlfn.IFNA(_xlfn.XLOOKUP(Table1[[#This Row],[N° BC]],'Commandes Dechargees'!B:B,'Commandes Dechargees'!P:P),"EN ATTENTE DE DECHARGEMENT")</f>
        <v>DECHARGE</v>
      </c>
    </row>
    <row r="206" spans="3:11" ht="25.5" customHeight="1" x14ac:dyDescent="0.35">
      <c r="C206" s="19">
        <v>46277</v>
      </c>
      <c r="D206" s="2" t="s">
        <v>641</v>
      </c>
      <c r="E206" s="2" t="s">
        <v>403</v>
      </c>
      <c r="F206" s="3" t="str">
        <f>_xlfn.XLOOKUP(Table1[[#This Row],[Code Frs]],'CODE FRS'!B:B,'CODE FRS'!C:C)</f>
        <v>Mr MOMO</v>
      </c>
      <c r="G206" s="2" t="s">
        <v>640</v>
      </c>
      <c r="H206" s="2">
        <v>197000603</v>
      </c>
      <c r="I206" s="2">
        <v>50</v>
      </c>
      <c r="J206" s="2" t="s">
        <v>63</v>
      </c>
      <c r="K206" s="2" t="str">
        <f>_xlfn.IFNA(_xlfn.XLOOKUP(Table1[[#This Row],[N° BC]],'Commandes Dechargees'!B:B,'Commandes Dechargees'!P:P),"EN ATTENTE DE DECHARGEMENT")</f>
        <v>EN ATTENTE DE DECHARGEMENT</v>
      </c>
    </row>
    <row r="207" spans="3:11" ht="25.5" hidden="1" customHeight="1" x14ac:dyDescent="0.35">
      <c r="C207" s="19">
        <v>46279</v>
      </c>
      <c r="D207" s="2" t="s">
        <v>644</v>
      </c>
      <c r="E207" s="2" t="s">
        <v>208</v>
      </c>
      <c r="F207" s="3" t="str">
        <f>_xlfn.XLOOKUP(Table1[[#This Row],[Code Frs]],'CODE FRS'!B:B,'CODE FRS'!C:C)</f>
        <v>AHEGNI CASIMIR</v>
      </c>
      <c r="G207" s="2" t="s">
        <v>645</v>
      </c>
      <c r="H207" s="2">
        <v>140901200</v>
      </c>
      <c r="I207" s="2">
        <v>50</v>
      </c>
      <c r="J207" s="2" t="s">
        <v>230</v>
      </c>
      <c r="K207" s="2" t="str">
        <f>_xlfn.IFNA(_xlfn.XLOOKUP(Table1[[#This Row],[N° BC]],'Commandes Dechargees'!B:B,'Commandes Dechargees'!P:P),"EN ATTENTE DE DECHARGEMENT")</f>
        <v>DECHARGE</v>
      </c>
    </row>
    <row r="208" spans="3:11" ht="25.5" customHeight="1" x14ac:dyDescent="0.35">
      <c r="C208" s="19">
        <v>46279</v>
      </c>
      <c r="D208" s="2" t="s">
        <v>646</v>
      </c>
      <c r="E208" s="2" t="s">
        <v>193</v>
      </c>
      <c r="F208" s="3" t="str">
        <f>_xlfn.XLOOKUP(Table1[[#This Row],[Code Frs]],'CODE FRS'!B:B,'CODE FRS'!C:C)</f>
        <v>TCHANIGA SAMSON</v>
      </c>
      <c r="G208" s="2" t="s">
        <v>647</v>
      </c>
      <c r="H208" s="2">
        <v>166560563</v>
      </c>
      <c r="I208" s="2">
        <v>40</v>
      </c>
      <c r="J208" s="2" t="s">
        <v>63</v>
      </c>
      <c r="K208" s="2" t="str">
        <f>_xlfn.IFNA(_xlfn.XLOOKUP(Table1[[#This Row],[N° BC]],'Commandes Dechargees'!B:B,'Commandes Dechargees'!P:P),"EN ATTENTE DE DECHARGEMENT")</f>
        <v>EN ATTENTE DE DECHARGEMENT</v>
      </c>
    </row>
    <row r="209" spans="3:11" ht="25.5" customHeight="1" x14ac:dyDescent="0.35">
      <c r="C209" s="19">
        <v>46279</v>
      </c>
      <c r="D209" s="2" t="s">
        <v>648</v>
      </c>
      <c r="E209" s="2" t="s">
        <v>208</v>
      </c>
      <c r="F209" s="3" t="str">
        <f>_xlfn.XLOOKUP(Table1[[#This Row],[Code Frs]],'CODE FRS'!B:B,'CODE FRS'!C:C)</f>
        <v>AHEGNI CASIMIR</v>
      </c>
      <c r="G209" s="2" t="s">
        <v>649</v>
      </c>
      <c r="H209" s="2">
        <v>156048708</v>
      </c>
      <c r="I209" s="2">
        <v>50</v>
      </c>
      <c r="J209" s="2" t="s">
        <v>63</v>
      </c>
      <c r="K209" s="2" t="str">
        <f>_xlfn.IFNA(_xlfn.XLOOKUP(Table1[[#This Row],[N° BC]],'Commandes Dechargees'!B:B,'Commandes Dechargees'!P:P),"EN ATTENTE DE DECHARGEMENT")</f>
        <v>EN ATTENTE DE DECHARGEMENT</v>
      </c>
    </row>
    <row r="210" spans="3:11" ht="25.5" customHeight="1" x14ac:dyDescent="0.35">
      <c r="C210" s="19">
        <v>46279</v>
      </c>
      <c r="D210" s="2" t="s">
        <v>650</v>
      </c>
      <c r="E210" s="2" t="s">
        <v>203</v>
      </c>
      <c r="F210" s="3" t="str">
        <f>_xlfn.XLOOKUP(Table1[[#This Row],[Code Frs]],'CODE FRS'!B:B,'CODE FRS'!C:C)</f>
        <v>CHIGBLO FERDINAND</v>
      </c>
      <c r="G210" s="2" t="s">
        <v>651</v>
      </c>
      <c r="H210" s="2">
        <v>197227042</v>
      </c>
      <c r="I210" s="2">
        <v>45</v>
      </c>
      <c r="J210" s="2" t="s">
        <v>63</v>
      </c>
      <c r="K210" s="2" t="str">
        <f>_xlfn.IFNA(_xlfn.XLOOKUP(Table1[[#This Row],[N° BC]],'Commandes Dechargees'!B:B,'Commandes Dechargees'!P:P),"EN ATTENTE DE DECHARGEMENT")</f>
        <v>EN ATTENTE DE DECHARGEMENT</v>
      </c>
    </row>
    <row r="211" spans="3:11" ht="25.5" customHeight="1" x14ac:dyDescent="0.35">
      <c r="C211" s="19">
        <v>46279</v>
      </c>
      <c r="D211" s="2" t="s">
        <v>652</v>
      </c>
      <c r="E211" s="2" t="s">
        <v>196</v>
      </c>
      <c r="F211" s="3" t="str">
        <f>_xlfn.XLOOKUP(Table1[[#This Row],[Code Frs]],'CODE FRS'!B:B,'CODE FRS'!C:C)</f>
        <v>ISMAEL WASSIOU</v>
      </c>
      <c r="G211" s="2" t="s">
        <v>653</v>
      </c>
      <c r="H211" s="2">
        <v>196313620</v>
      </c>
      <c r="I211" s="2">
        <v>50</v>
      </c>
      <c r="J211" s="2" t="s">
        <v>63</v>
      </c>
      <c r="K211" s="2" t="str">
        <f>_xlfn.IFNA(_xlfn.XLOOKUP(Table1[[#This Row],[N° BC]],'Commandes Dechargees'!B:B,'Commandes Dechargees'!P:P),"EN ATTENTE DE DECHARGEMENT")</f>
        <v>DECHARGE</v>
      </c>
    </row>
    <row r="212" spans="3:11" ht="25.5" customHeight="1" x14ac:dyDescent="0.35">
      <c r="C212" s="19">
        <v>46279</v>
      </c>
      <c r="D212" s="2" t="s">
        <v>685</v>
      </c>
      <c r="E212" s="2" t="s">
        <v>377</v>
      </c>
      <c r="F212" s="3" t="str">
        <f>_xlfn.XLOOKUP(Table1[[#This Row],[Code Frs]],'CODE FRS'!B:B,'CODE FRS'!C:C)</f>
        <v>PANKAJ KUMAR</v>
      </c>
      <c r="G212" s="2" t="s">
        <v>678</v>
      </c>
      <c r="H212" s="2">
        <v>166299247</v>
      </c>
      <c r="I212" s="2">
        <v>50</v>
      </c>
      <c r="J212" s="2" t="s">
        <v>63</v>
      </c>
      <c r="K212" s="2" t="str">
        <f>_xlfn.IFNA(_xlfn.XLOOKUP(Table1[[#This Row],[N° BC]],'Commandes Dechargees'!B:B,'Commandes Dechargees'!P:P),"EN ATTENTE DE DECHARGEMENT")</f>
        <v>EN ATTENTE DE DECHARGEMENT</v>
      </c>
    </row>
    <row r="213" spans="3:11" ht="25.5" customHeight="1" x14ac:dyDescent="0.35">
      <c r="C213" s="19">
        <v>46279</v>
      </c>
      <c r="D213" s="2" t="s">
        <v>686</v>
      </c>
      <c r="E213" s="2" t="s">
        <v>680</v>
      </c>
      <c r="F213" s="3" t="str">
        <f>_xlfn.XLOOKUP(Table1[[#This Row],[Code Frs]],'CODE FRS'!B:B,'CODE FRS'!C:C)</f>
        <v>AGUETON MATHIAS</v>
      </c>
      <c r="G213" s="2" t="s">
        <v>681</v>
      </c>
      <c r="H213" s="2">
        <v>141210720</v>
      </c>
      <c r="I213" s="2">
        <v>40</v>
      </c>
      <c r="J213" s="2" t="s">
        <v>63</v>
      </c>
      <c r="K213" s="2" t="str">
        <f>_xlfn.IFNA(_xlfn.XLOOKUP(Table1[[#This Row],[N° BC]],'Commandes Dechargees'!B:B,'Commandes Dechargees'!P:P),"EN ATTENTE DE DECHARGEMENT")</f>
        <v>DECHARGE</v>
      </c>
    </row>
    <row r="214" spans="3:11" ht="25.5" customHeight="1" x14ac:dyDescent="0.35">
      <c r="C214" s="19">
        <v>46279</v>
      </c>
      <c r="D214" s="2" t="s">
        <v>687</v>
      </c>
      <c r="E214" s="2" t="s">
        <v>683</v>
      </c>
      <c r="F214" s="3" t="str">
        <f>_xlfn.XLOOKUP(Table1[[#This Row],[Code Frs]],'CODE FRS'!B:B,'CODE FRS'!C:C)</f>
        <v>AMINOU KIKI</v>
      </c>
      <c r="G214" s="2" t="s">
        <v>684</v>
      </c>
      <c r="H214" s="2">
        <v>169403795</v>
      </c>
      <c r="I214" s="2">
        <v>50</v>
      </c>
      <c r="J214" s="2" t="s">
        <v>63</v>
      </c>
      <c r="K214" s="2" t="str">
        <f>_xlfn.IFNA(_xlfn.XLOOKUP(Table1[[#This Row],[N° BC]],'Commandes Dechargees'!B:B,'Commandes Dechargees'!P:P),"EN ATTENTE DE DECHARGEMENT")</f>
        <v>DECHARGE</v>
      </c>
    </row>
    <row r="215" spans="3:11" ht="25.5" customHeight="1" x14ac:dyDescent="0.35">
      <c r="C215" s="19">
        <v>46279</v>
      </c>
      <c r="D215" s="2" t="s">
        <v>688</v>
      </c>
      <c r="E215" s="2" t="s">
        <v>339</v>
      </c>
      <c r="F215" s="3" t="str">
        <f>_xlfn.XLOOKUP(Table1[[#This Row],[Code Frs]],'CODE FRS'!B:B,'CODE FRS'!C:C)</f>
        <v>HASSANE SEYNI</v>
      </c>
      <c r="G215" s="2" t="s">
        <v>434</v>
      </c>
      <c r="H215" s="2">
        <v>143140250</v>
      </c>
      <c r="I215" s="2">
        <v>52</v>
      </c>
      <c r="J215" s="2" t="s">
        <v>63</v>
      </c>
      <c r="K215" s="2" t="str">
        <f>_xlfn.IFNA(_xlfn.XLOOKUP(Table1[[#This Row],[N° BC]],'Commandes Dechargees'!B:B,'Commandes Dechargees'!P:P),"EN ATTENTE DE DECHARGEMENT")</f>
        <v>EN ATTENTE DE DECHARGEMENT</v>
      </c>
    </row>
    <row r="216" spans="3:11" ht="25.5" customHeight="1" x14ac:dyDescent="0.35">
      <c r="C216" s="19">
        <v>46279</v>
      </c>
      <c r="D216" s="2" t="s">
        <v>720</v>
      </c>
      <c r="E216" s="2" t="s">
        <v>213</v>
      </c>
      <c r="F216" s="3" t="str">
        <f>_xlfn.XLOOKUP(Table1[[#This Row],[Code Frs]],'CODE FRS'!B:B,'CODE FRS'!C:C)</f>
        <v>NOEL DOLEME</v>
      </c>
      <c r="G216" s="2" t="s">
        <v>708</v>
      </c>
      <c r="H216" s="2">
        <v>166109014</v>
      </c>
      <c r="I216" s="2">
        <v>40</v>
      </c>
      <c r="J216" s="2" t="s">
        <v>63</v>
      </c>
      <c r="K216" s="2" t="str">
        <f>_xlfn.IFNA(_xlfn.XLOOKUP(Table1[[#This Row],[N° BC]],'Commandes Dechargees'!B:B,'Commandes Dechargees'!P:P),"EN ATTENTE DE DECHARGEMENT")</f>
        <v>DECHARGE</v>
      </c>
    </row>
    <row r="217" spans="3:11" ht="25.5" customHeight="1" x14ac:dyDescent="0.35">
      <c r="C217" s="19">
        <v>46280</v>
      </c>
      <c r="D217" s="2" t="s">
        <v>721</v>
      </c>
      <c r="E217" s="2" t="s">
        <v>207</v>
      </c>
      <c r="F217" s="3" t="str">
        <f>_xlfn.XLOOKUP(Table1[[#This Row],[Code Frs]],'CODE FRS'!B:B,'CODE FRS'!C:C)</f>
        <v>GBAGBE MATHIAS</v>
      </c>
      <c r="G217" s="2" t="s">
        <v>709</v>
      </c>
      <c r="H217" s="2">
        <v>196621820</v>
      </c>
      <c r="I217" s="2">
        <v>50</v>
      </c>
      <c r="J217" s="2" t="s">
        <v>63</v>
      </c>
      <c r="K217" s="2" t="str">
        <f>_xlfn.IFNA(_xlfn.XLOOKUP(Table1[[#This Row],[N° BC]],'Commandes Dechargees'!B:B,'Commandes Dechargees'!P:P),"EN ATTENTE DE DECHARGEMENT")</f>
        <v>EN ATTENTE DE DECHARGEMENT</v>
      </c>
    </row>
    <row r="218" spans="3:11" ht="25.5" customHeight="1" x14ac:dyDescent="0.35">
      <c r="C218" s="19">
        <v>46280</v>
      </c>
      <c r="D218" s="2" t="s">
        <v>731</v>
      </c>
      <c r="E218" s="2" t="s">
        <v>711</v>
      </c>
      <c r="F218" s="3" t="str">
        <f>_xlfn.XLOOKUP(Table1[[#This Row],[Code Frs]],'CODE FRS'!B:B,'CODE FRS'!C:C)</f>
        <v>AHEGNI HIPPOLYTE</v>
      </c>
      <c r="G218" s="2" t="s">
        <v>712</v>
      </c>
      <c r="H218" s="2">
        <v>141337898</v>
      </c>
      <c r="I218" s="2">
        <v>48</v>
      </c>
      <c r="J218" s="2" t="s">
        <v>63</v>
      </c>
      <c r="K218" s="2" t="str">
        <f>_xlfn.IFNA(_xlfn.XLOOKUP(Table1[[#This Row],[N° BC]],'Commandes Dechargees'!B:B,'Commandes Dechargees'!P:P),"EN ATTENTE DE DECHARGEMENT")</f>
        <v>EN ATTENTE DE DECHARGEMENT</v>
      </c>
    </row>
    <row r="219" spans="3:11" ht="25.5" customHeight="1" x14ac:dyDescent="0.35">
      <c r="C219" s="19">
        <v>46280</v>
      </c>
      <c r="D219" s="2" t="s">
        <v>722</v>
      </c>
      <c r="E219" s="2" t="s">
        <v>208</v>
      </c>
      <c r="F219" s="3" t="str">
        <f>_xlfn.XLOOKUP(Table1[[#This Row],[Code Frs]],'CODE FRS'!B:B,'CODE FRS'!C:C)</f>
        <v>AHEGNI CASIMIR</v>
      </c>
      <c r="G219" s="2" t="s">
        <v>713</v>
      </c>
      <c r="H219" s="2">
        <v>196649324</v>
      </c>
      <c r="I219" s="2">
        <v>50</v>
      </c>
      <c r="J219" s="2" t="s">
        <v>63</v>
      </c>
      <c r="K219" s="2" t="str">
        <f>_xlfn.IFNA(_xlfn.XLOOKUP(Table1[[#This Row],[N° BC]],'Commandes Dechargees'!B:B,'Commandes Dechargees'!P:P),"EN ATTENTE DE DECHARGEMENT")</f>
        <v>EN ATTENTE DE DECHARGEMENT</v>
      </c>
    </row>
    <row r="220" spans="3:11" ht="25.5" customHeight="1" x14ac:dyDescent="0.35">
      <c r="C220" s="19">
        <v>46280</v>
      </c>
      <c r="D220" s="2" t="s">
        <v>723</v>
      </c>
      <c r="E220" s="2" t="s">
        <v>208</v>
      </c>
      <c r="F220" s="3" t="str">
        <f>_xlfn.XLOOKUP(Table1[[#This Row],[Code Frs]],'CODE FRS'!B:B,'CODE FRS'!C:C)</f>
        <v>AHEGNI CASIMIR</v>
      </c>
      <c r="G220" s="2" t="s">
        <v>714</v>
      </c>
      <c r="H220" s="2">
        <v>197989239</v>
      </c>
      <c r="I220" s="2">
        <v>50</v>
      </c>
      <c r="J220" s="2" t="s">
        <v>63</v>
      </c>
      <c r="K220" s="2" t="str">
        <f>_xlfn.IFNA(_xlfn.XLOOKUP(Table1[[#This Row],[N° BC]],'Commandes Dechargees'!B:B,'Commandes Dechargees'!P:P),"EN ATTENTE DE DECHARGEMENT")</f>
        <v>EN ATTENTE DE DECHARGEMENT</v>
      </c>
    </row>
    <row r="221" spans="3:11" ht="25.5" customHeight="1" x14ac:dyDescent="0.35">
      <c r="C221" s="19">
        <v>46280</v>
      </c>
      <c r="D221" s="2" t="s">
        <v>724</v>
      </c>
      <c r="E221" s="2" t="s">
        <v>208</v>
      </c>
      <c r="F221" s="3" t="str">
        <f>_xlfn.XLOOKUP(Table1[[#This Row],[Code Frs]],'CODE FRS'!B:B,'CODE FRS'!C:C)</f>
        <v>AHEGNI CASIMIR</v>
      </c>
      <c r="G221" s="2" t="s">
        <v>715</v>
      </c>
      <c r="H221" s="2">
        <v>166463688</v>
      </c>
      <c r="I221" s="2">
        <v>50</v>
      </c>
      <c r="J221" s="2" t="s">
        <v>63</v>
      </c>
      <c r="K221" s="2" t="str">
        <f>_xlfn.IFNA(_xlfn.XLOOKUP(Table1[[#This Row],[N° BC]],'Commandes Dechargees'!B:B,'Commandes Dechargees'!P:P),"EN ATTENTE DE DECHARGEMENT")</f>
        <v>EN ATTENTE DE DECHARGEMENT</v>
      </c>
    </row>
    <row r="222" spans="3:11" ht="25.5" customHeight="1" x14ac:dyDescent="0.35">
      <c r="C222" s="19">
        <v>46280</v>
      </c>
      <c r="D222" s="2" t="s">
        <v>725</v>
      </c>
      <c r="E222" s="2" t="s">
        <v>207</v>
      </c>
      <c r="F222" s="3" t="str">
        <f>_xlfn.XLOOKUP(Table1[[#This Row],[Code Frs]],'CODE FRS'!B:B,'CODE FRS'!C:C)</f>
        <v>GBAGBE MATHIAS</v>
      </c>
      <c r="G222" s="2" t="s">
        <v>709</v>
      </c>
      <c r="H222" s="2">
        <v>196621820</v>
      </c>
      <c r="I222" s="2">
        <v>50</v>
      </c>
      <c r="J222" s="2" t="s">
        <v>63</v>
      </c>
      <c r="K222" s="2" t="str">
        <f>_xlfn.IFNA(_xlfn.XLOOKUP(Table1[[#This Row],[N° BC]],'Commandes Dechargees'!B:B,'Commandes Dechargees'!P:P),"EN ATTENTE DE DECHARGEMENT")</f>
        <v>EN ATTENTE DE DECHARGEMENT</v>
      </c>
    </row>
    <row r="223" spans="3:11" ht="25.5" customHeight="1" x14ac:dyDescent="0.35">
      <c r="C223" s="19">
        <v>46280</v>
      </c>
      <c r="D223" s="2" t="s">
        <v>726</v>
      </c>
      <c r="E223" s="2" t="s">
        <v>717</v>
      </c>
      <c r="F223" s="3" t="str">
        <f>_xlfn.XLOOKUP(Table1[[#This Row],[Code Frs]],'CODE FRS'!B:B,'CODE FRS'!C:C)</f>
        <v>AGBESSADJI FERNAND</v>
      </c>
      <c r="G223" s="2" t="s">
        <v>718</v>
      </c>
      <c r="H223" s="2">
        <v>141175913</v>
      </c>
      <c r="I223" s="2">
        <v>40</v>
      </c>
      <c r="J223" s="2" t="s">
        <v>63</v>
      </c>
      <c r="K223" s="2" t="str">
        <f>_xlfn.IFNA(_xlfn.XLOOKUP(Table1[[#This Row],[N° BC]],'Commandes Dechargees'!B:B,'Commandes Dechargees'!P:P),"EN ATTENTE DE DECHARGEMENT")</f>
        <v>EN ATTENTE DE DECHARGEMENT</v>
      </c>
    </row>
    <row r="224" spans="3:11" ht="25.5" customHeight="1" x14ac:dyDescent="0.35">
      <c r="C224" s="19">
        <v>46280</v>
      </c>
      <c r="D224" s="2" t="s">
        <v>727</v>
      </c>
      <c r="E224" s="2" t="s">
        <v>228</v>
      </c>
      <c r="F224" s="3" t="str">
        <f>_xlfn.XLOOKUP(Table1[[#This Row],[Code Frs]],'CODE FRS'!B:B,'CODE FRS'!C:C)</f>
        <v>MOISE YENAFO</v>
      </c>
      <c r="G224" s="2" t="s">
        <v>719</v>
      </c>
      <c r="H224" s="2">
        <v>148314446</v>
      </c>
      <c r="I224" s="2">
        <v>50</v>
      </c>
      <c r="J224" s="2" t="s">
        <v>63</v>
      </c>
      <c r="K224" s="2" t="str">
        <f>_xlfn.IFNA(_xlfn.XLOOKUP(Table1[[#This Row],[N° BC]],'Commandes Dechargees'!B:B,'Commandes Dechargees'!P:P),"EN ATTENTE DE DECHARGEMENT")</f>
        <v>EN ATTENTE DE DECHARGEMENT</v>
      </c>
    </row>
    <row r="225" spans="3:11" ht="25.5" customHeight="1" x14ac:dyDescent="0.35">
      <c r="C225" s="19">
        <v>46280</v>
      </c>
      <c r="D225" s="2" t="s">
        <v>728</v>
      </c>
      <c r="E225" s="2" t="s">
        <v>195</v>
      </c>
      <c r="F225" s="3" t="str">
        <f>_xlfn.XLOOKUP(Table1[[#This Row],[Code Frs]],'CODE FRS'!B:B,'CODE FRS'!C:C)</f>
        <v>BADAROU SAID</v>
      </c>
      <c r="G225" s="2" t="s">
        <v>131</v>
      </c>
      <c r="H225" s="2">
        <v>169575904</v>
      </c>
      <c r="I225" s="2">
        <v>50</v>
      </c>
      <c r="J225" s="2" t="s">
        <v>63</v>
      </c>
      <c r="K225" s="2" t="str">
        <f>_xlfn.IFNA(_xlfn.XLOOKUP(Table1[[#This Row],[N° BC]],'Commandes Dechargees'!B:B,'Commandes Dechargees'!P:P),"EN ATTENTE DE DECHARGEMENT")</f>
        <v>EN ATTENTE DE DECHARGEMENT</v>
      </c>
    </row>
    <row r="226" spans="3:11" ht="25.5" customHeight="1" x14ac:dyDescent="0.35">
      <c r="C226" s="19">
        <v>46281</v>
      </c>
      <c r="D226" s="2" t="s">
        <v>729</v>
      </c>
      <c r="E226" s="2" t="s">
        <v>717</v>
      </c>
      <c r="F226" s="3" t="str">
        <f>_xlfn.XLOOKUP(Table1[[#This Row],[Code Frs]],'CODE FRS'!B:B,'CODE FRS'!C:C)</f>
        <v>AGBESSADJI FERNAND</v>
      </c>
      <c r="G226" s="2" t="s">
        <v>732</v>
      </c>
      <c r="H226" s="2">
        <v>197377030</v>
      </c>
      <c r="I226" s="2">
        <v>40</v>
      </c>
      <c r="J226" s="2" t="s">
        <v>63</v>
      </c>
      <c r="K226" s="2" t="str">
        <f>_xlfn.IFNA(_xlfn.XLOOKUP(Table1[[#This Row],[N° BC]],'Commandes Dechargees'!B:B,'Commandes Dechargees'!P:P),"EN ATTENTE DE DECHARGEMENT")</f>
        <v>DECHARGE</v>
      </c>
    </row>
    <row r="227" spans="3:11" ht="25.5" customHeight="1" x14ac:dyDescent="0.35">
      <c r="C227" s="19">
        <v>46281</v>
      </c>
      <c r="D227" s="2" t="s">
        <v>730</v>
      </c>
      <c r="E227" s="2" t="s">
        <v>403</v>
      </c>
      <c r="F227" s="3" t="str">
        <f>_xlfn.XLOOKUP(Table1[[#This Row],[Code Frs]],'CODE FRS'!B:B,'CODE FRS'!C:C)</f>
        <v>Mr MOMO</v>
      </c>
      <c r="G227" s="2" t="s">
        <v>733</v>
      </c>
      <c r="H227" s="2">
        <v>140530344</v>
      </c>
      <c r="I227" s="2">
        <v>50</v>
      </c>
      <c r="J227" s="2" t="s">
        <v>63</v>
      </c>
      <c r="K227" s="2" t="str">
        <f>_xlfn.IFNA(_xlfn.XLOOKUP(Table1[[#This Row],[N° BC]],'Commandes Dechargees'!B:B,'Commandes Dechargees'!P:P),"EN ATTENTE DE DECHARGEMENT")</f>
        <v>EN ATTENTE DE DECHARGEMENT</v>
      </c>
    </row>
    <row r="228" spans="3:11" ht="25.5" customHeight="1" x14ac:dyDescent="0.35">
      <c r="C228" s="19">
        <v>46281</v>
      </c>
      <c r="D228" s="2" t="s">
        <v>741</v>
      </c>
      <c r="E228" s="2" t="s">
        <v>198</v>
      </c>
      <c r="F228" s="3" t="str">
        <f>_xlfn.XLOOKUP(Table1[[#This Row],[Code Frs]],'CODE FRS'!B:B,'CODE FRS'!C:C)</f>
        <v>VLAVONOU PIERRE</v>
      </c>
      <c r="G228" s="2" t="s">
        <v>734</v>
      </c>
      <c r="H228" s="2">
        <v>197019848</v>
      </c>
      <c r="I228" s="2">
        <v>50</v>
      </c>
      <c r="J228" s="2" t="s">
        <v>63</v>
      </c>
      <c r="K228" s="2" t="str">
        <f>_xlfn.IFNA(_xlfn.XLOOKUP(Table1[[#This Row],[N° BC]],'Commandes Dechargees'!B:B,'Commandes Dechargees'!P:P),"EN ATTENTE DE DECHARGEMENT")</f>
        <v>EN ATTENTE DE DECHARGEMENT</v>
      </c>
    </row>
    <row r="229" spans="3:11" ht="25.5" customHeight="1" x14ac:dyDescent="0.35">
      <c r="C229" s="19">
        <v>46281</v>
      </c>
      <c r="D229" s="2" t="s">
        <v>742</v>
      </c>
      <c r="E229" s="2" t="s">
        <v>339</v>
      </c>
      <c r="F229" s="3" t="str">
        <f>_xlfn.XLOOKUP(Table1[[#This Row],[Code Frs]],'CODE FRS'!B:B,'CODE FRS'!C:C)</f>
        <v>HASSANE SEYNI</v>
      </c>
      <c r="G229" s="2" t="s">
        <v>735</v>
      </c>
      <c r="H229" s="2">
        <v>166867231</v>
      </c>
      <c r="I229" s="2">
        <v>50</v>
      </c>
      <c r="J229" s="2" t="s">
        <v>63</v>
      </c>
      <c r="K229" s="2" t="str">
        <f>_xlfn.IFNA(_xlfn.XLOOKUP(Table1[[#This Row],[N° BC]],'Commandes Dechargees'!B:B,'Commandes Dechargees'!P:P),"EN ATTENTE DE DECHARGEMENT")</f>
        <v>EN ATTENTE DE DECHARGEMENT</v>
      </c>
    </row>
    <row r="230" spans="3:11" ht="25.5" customHeight="1" x14ac:dyDescent="0.35">
      <c r="C230" s="19">
        <v>46281</v>
      </c>
      <c r="D230" s="2" t="s">
        <v>743</v>
      </c>
      <c r="E230" s="2" t="s">
        <v>377</v>
      </c>
      <c r="F230" s="3" t="str">
        <f>_xlfn.XLOOKUP(Table1[[#This Row],[Code Frs]],'CODE FRS'!B:B,'CODE FRS'!C:C)</f>
        <v>PANKAJ KUMAR</v>
      </c>
      <c r="G230" s="2" t="s">
        <v>736</v>
      </c>
      <c r="H230" s="2">
        <v>196168343</v>
      </c>
      <c r="I230" s="2">
        <v>35</v>
      </c>
      <c r="J230" s="2" t="s">
        <v>63</v>
      </c>
      <c r="K230" s="2" t="str">
        <f>_xlfn.IFNA(_xlfn.XLOOKUP(Table1[[#This Row],[N° BC]],'Commandes Dechargees'!B:B,'Commandes Dechargees'!P:P),"EN ATTENTE DE DECHARGEMENT")</f>
        <v>DECHARGE</v>
      </c>
    </row>
    <row r="231" spans="3:11" ht="25.5" customHeight="1" x14ac:dyDescent="0.35">
      <c r="C231" s="19">
        <v>46281</v>
      </c>
      <c r="D231" s="2" t="s">
        <v>744</v>
      </c>
      <c r="E231" s="2" t="s">
        <v>211</v>
      </c>
      <c r="F231" s="3" t="str">
        <f>_xlfn.XLOOKUP(Table1[[#This Row],[Code Frs]],'CODE FRS'!B:B,'CODE FRS'!C:C)</f>
        <v>GOUNOU ELISABETH</v>
      </c>
      <c r="G231" s="2" t="s">
        <v>347</v>
      </c>
      <c r="H231" s="2">
        <v>140865057</v>
      </c>
      <c r="I231" s="2">
        <v>50</v>
      </c>
      <c r="J231" s="2" t="s">
        <v>63</v>
      </c>
      <c r="K231" s="2" t="str">
        <f>_xlfn.IFNA(_xlfn.XLOOKUP(Table1[[#This Row],[N° BC]],'Commandes Dechargees'!B:B,'Commandes Dechargees'!P:P),"EN ATTENTE DE DECHARGEMENT")</f>
        <v>EN ATTENTE DE DECHARGEMENT</v>
      </c>
    </row>
    <row r="232" spans="3:11" ht="25.5" customHeight="1" x14ac:dyDescent="0.35">
      <c r="C232" s="19">
        <v>46281</v>
      </c>
      <c r="D232" s="2" t="s">
        <v>745</v>
      </c>
      <c r="E232" s="2" t="s">
        <v>211</v>
      </c>
      <c r="F232" s="3" t="str">
        <f>_xlfn.XLOOKUP(Table1[[#This Row],[Code Frs]],'CODE FRS'!B:B,'CODE FRS'!C:C)</f>
        <v>GOUNOU ELISABETH</v>
      </c>
      <c r="G232" s="2" t="s">
        <v>737</v>
      </c>
      <c r="H232" s="2">
        <v>140865057</v>
      </c>
      <c r="I232" s="2">
        <v>50</v>
      </c>
      <c r="J232" s="2" t="s">
        <v>63</v>
      </c>
      <c r="K232" s="2" t="str">
        <f>_xlfn.IFNA(_xlfn.XLOOKUP(Table1[[#This Row],[N° BC]],'Commandes Dechargees'!B:B,'Commandes Dechargees'!P:P),"EN ATTENTE DE DECHARGEMENT")</f>
        <v>EN ATTENTE DE DECHARGEMENT</v>
      </c>
    </row>
    <row r="233" spans="3:11" ht="25.5" customHeight="1" x14ac:dyDescent="0.35">
      <c r="C233" s="19">
        <v>46281</v>
      </c>
      <c r="D233" s="2" t="s">
        <v>746</v>
      </c>
      <c r="E233" s="2" t="s">
        <v>201</v>
      </c>
      <c r="F233" s="3" t="str">
        <f>_xlfn.XLOOKUP(Table1[[#This Row],[Code Frs]],'CODE FRS'!B:B,'CODE FRS'!C:C)</f>
        <v>GOUDO DOSSOU ROMAIN</v>
      </c>
      <c r="G233" s="2" t="s">
        <v>738</v>
      </c>
      <c r="H233" s="2" t="s">
        <v>264</v>
      </c>
      <c r="I233" s="2">
        <v>50</v>
      </c>
      <c r="J233" s="2" t="s">
        <v>63</v>
      </c>
      <c r="K233" s="2" t="str">
        <f>_xlfn.IFNA(_xlfn.XLOOKUP(Table1[[#This Row],[N° BC]],'Commandes Dechargees'!B:B,'Commandes Dechargees'!P:P),"EN ATTENTE DE DECHARGEMENT")</f>
        <v>EN ATTENTE DE DECHARGEMENT</v>
      </c>
    </row>
    <row r="234" spans="3:11" ht="25.5" customHeight="1" x14ac:dyDescent="0.35">
      <c r="C234" s="19">
        <v>46282</v>
      </c>
      <c r="D234" s="2" t="s">
        <v>747</v>
      </c>
      <c r="E234" s="2" t="s">
        <v>343</v>
      </c>
      <c r="F234" s="3" t="str">
        <f>_xlfn.XLOOKUP(Table1[[#This Row],[Code Frs]],'CODE FRS'!B:B,'CODE FRS'!C:C)</f>
        <v>GODONOU CHARLES</v>
      </c>
      <c r="G234" s="2" t="s">
        <v>739</v>
      </c>
      <c r="H234" s="2">
        <v>140723790</v>
      </c>
      <c r="I234" s="2">
        <v>50</v>
      </c>
      <c r="J234" s="2" t="s">
        <v>63</v>
      </c>
      <c r="K234" s="2" t="str">
        <f>_xlfn.IFNA(_xlfn.XLOOKUP(Table1[[#This Row],[N° BC]],'Commandes Dechargees'!B:B,'Commandes Dechargees'!P:P),"EN ATTENTE DE DECHARGEMENT")</f>
        <v>EN ATTENTE DE DECHARGEMENT</v>
      </c>
    </row>
    <row r="235" spans="3:11" ht="25.5" customHeight="1" x14ac:dyDescent="0.35">
      <c r="C235" s="19">
        <v>46282</v>
      </c>
      <c r="D235" s="2" t="s">
        <v>748</v>
      </c>
      <c r="E235" s="2" t="s">
        <v>193</v>
      </c>
      <c r="F235" s="3" t="str">
        <f>_xlfn.XLOOKUP(Table1[[#This Row],[Code Frs]],'CODE FRS'!B:B,'CODE FRS'!C:C)</f>
        <v>TCHANIGA SAMSON</v>
      </c>
      <c r="G235" s="2" t="s">
        <v>740</v>
      </c>
      <c r="H235" s="2">
        <v>167965034</v>
      </c>
      <c r="I235" s="2">
        <v>50</v>
      </c>
      <c r="J235" s="2" t="s">
        <v>63</v>
      </c>
      <c r="K235" s="2" t="str">
        <f>_xlfn.IFNA(_xlfn.XLOOKUP(Table1[[#This Row],[N° BC]],'Commandes Dechargees'!B:B,'Commandes Dechargees'!P:P),"EN ATTENTE DE DECHARGEMENT")</f>
        <v>DECHARGE</v>
      </c>
    </row>
    <row r="236" spans="3:11" ht="25.5" customHeight="1" x14ac:dyDescent="0.35">
      <c r="C236" s="19">
        <v>46286</v>
      </c>
      <c r="D236" s="2" t="s">
        <v>781</v>
      </c>
      <c r="E236" s="2" t="s">
        <v>212</v>
      </c>
      <c r="F236" s="3" t="str">
        <f>_xlfn.XLOOKUP(Table1[[#This Row],[Code Frs]],'CODE FRS'!B:B,'CODE FRS'!C:C)</f>
        <v>DOSSA MATHURIN</v>
      </c>
      <c r="G236" s="2" t="s">
        <v>780</v>
      </c>
      <c r="H236" s="2">
        <v>1963661961</v>
      </c>
      <c r="I236" s="2">
        <v>50</v>
      </c>
      <c r="J236" s="2" t="s">
        <v>63</v>
      </c>
      <c r="K236" s="2" t="str">
        <f>_xlfn.IFNA(_xlfn.XLOOKUP(Table1[[#This Row],[N° BC]],'Commandes Dechargees'!B:B,'Commandes Dechargees'!P:P),"EN ATTENTE DE DECHARGEMENT")</f>
        <v>EN ATTENTE DE DECHARGEMENT</v>
      </c>
    </row>
    <row r="237" spans="3:11" ht="25.5" customHeight="1" x14ac:dyDescent="0.35">
      <c r="C237" s="19">
        <v>46286</v>
      </c>
      <c r="D237" s="2" t="s">
        <v>785</v>
      </c>
      <c r="E237" s="2" t="s">
        <v>782</v>
      </c>
      <c r="F237" s="3" t="str">
        <f>_xlfn.XLOOKUP(Table1[[#This Row],[Code Frs]],'CODE FRS'!B:B,'CODE FRS'!C:C)</f>
        <v>RAMDAN ADAM</v>
      </c>
      <c r="G237" s="2" t="s">
        <v>784</v>
      </c>
      <c r="H237" s="2">
        <v>197320220</v>
      </c>
      <c r="I237" s="2">
        <v>50</v>
      </c>
      <c r="J237" s="2" t="s">
        <v>63</v>
      </c>
      <c r="K237" s="2" t="str">
        <f>_xlfn.IFNA(_xlfn.XLOOKUP(Table1[[#This Row],[N° BC]],'Commandes Dechargees'!B:B,'Commandes Dechargees'!P:P),"EN ATTENTE DE DECHARGEMENT")</f>
        <v>EN ATTENTE DE DECHARGEMENT</v>
      </c>
    </row>
    <row r="238" spans="3:11" ht="25.5" customHeight="1" x14ac:dyDescent="0.35">
      <c r="C238" s="19">
        <v>46286</v>
      </c>
      <c r="D238" s="2" t="s">
        <v>787</v>
      </c>
      <c r="E238" s="2" t="s">
        <v>339</v>
      </c>
      <c r="F238" s="3" t="str">
        <f>_xlfn.XLOOKUP(Table1[[#This Row],[Code Frs]],'CODE FRS'!B:B,'CODE FRS'!C:C)</f>
        <v>HASSANE SEYNI</v>
      </c>
      <c r="G238" s="2" t="s">
        <v>786</v>
      </c>
      <c r="H238" s="2">
        <v>195944906</v>
      </c>
      <c r="I238" s="2">
        <v>50</v>
      </c>
      <c r="J238" s="2" t="s">
        <v>63</v>
      </c>
      <c r="K238" s="2" t="str">
        <f>_xlfn.IFNA(_xlfn.XLOOKUP(Table1[[#This Row],[N° BC]],'Commandes Dechargees'!B:B,'Commandes Dechargees'!P:P),"EN ATTENTE DE DECHARGEMENT")</f>
        <v>DECHARGE</v>
      </c>
    </row>
    <row r="239" spans="3:11" ht="25.5" customHeight="1" x14ac:dyDescent="0.35">
      <c r="C239" s="19">
        <v>46286</v>
      </c>
      <c r="D239" s="2" t="s">
        <v>790</v>
      </c>
      <c r="E239" s="2" t="s">
        <v>788</v>
      </c>
      <c r="F239" s="3" t="str">
        <f>_xlfn.XLOOKUP(Table1[[#This Row],[Code Frs]],'CODE FRS'!B:B,'CODE FRS'!C:C)</f>
        <v>FRED MAKITA</v>
      </c>
      <c r="G239" s="2" t="s">
        <v>779</v>
      </c>
      <c r="H239" s="2">
        <v>167131901</v>
      </c>
      <c r="I239" s="2">
        <v>41</v>
      </c>
      <c r="J239" s="2" t="s">
        <v>63</v>
      </c>
      <c r="K239" s="2" t="str">
        <f>_xlfn.IFNA(_xlfn.XLOOKUP(Table1[[#This Row],[N° BC]],'Commandes Dechargees'!B:B,'Commandes Dechargees'!P:P),"EN ATTENTE DE DECHARGEMENT")</f>
        <v>EN ATTENTE DE DECHARGEMENT</v>
      </c>
    </row>
    <row r="240" spans="3:11" ht="25.5" customHeight="1" x14ac:dyDescent="0.35">
      <c r="C240" s="19">
        <v>46286</v>
      </c>
      <c r="D240" s="2" t="s">
        <v>792</v>
      </c>
      <c r="E240" s="2" t="s">
        <v>207</v>
      </c>
      <c r="F240" s="3" t="str">
        <f>_xlfn.XLOOKUP(Table1[[#This Row],[Code Frs]],'CODE FRS'!B:B,'CODE FRS'!C:C)</f>
        <v>GBAGBE MATHIAS</v>
      </c>
      <c r="G240" s="2" t="s">
        <v>791</v>
      </c>
      <c r="H240" s="2">
        <v>197419726</v>
      </c>
      <c r="I240" s="2">
        <v>50</v>
      </c>
      <c r="J240" s="2" t="s">
        <v>63</v>
      </c>
      <c r="K240" s="2" t="str">
        <f>_xlfn.IFNA(_xlfn.XLOOKUP(Table1[[#This Row],[N° BC]],'Commandes Dechargees'!B:B,'Commandes Dechargees'!P:P),"EN ATTENTE DE DECHARGEMENT")</f>
        <v>DECHARGE</v>
      </c>
    </row>
    <row r="241" spans="3:11" ht="25.5" customHeight="1" x14ac:dyDescent="0.35">
      <c r="C241" s="19">
        <v>46286</v>
      </c>
      <c r="D241" s="2" t="s">
        <v>793</v>
      </c>
      <c r="E241" s="2" t="s">
        <v>212</v>
      </c>
      <c r="F241" s="3" t="str">
        <f>_xlfn.XLOOKUP(Table1[[#This Row],[Code Frs]],'CODE FRS'!B:B,'CODE FRS'!C:C)</f>
        <v>DOSSA MATHURIN</v>
      </c>
      <c r="G241" s="2" t="s">
        <v>361</v>
      </c>
      <c r="H241" s="2">
        <v>160964375</v>
      </c>
      <c r="I241" s="2">
        <v>50</v>
      </c>
      <c r="J241" s="2" t="s">
        <v>63</v>
      </c>
      <c r="K241" s="2" t="str">
        <f>_xlfn.IFNA(_xlfn.XLOOKUP(Table1[[#This Row],[N° BC]],'Commandes Dechargees'!B:B,'Commandes Dechargees'!P:P),"EN ATTENTE DE DECHARGEMENT")</f>
        <v>EN ATTENTE DE DECHARGEMENT</v>
      </c>
    </row>
    <row r="242" spans="3:11" ht="25.5" customHeight="1" x14ac:dyDescent="0.35">
      <c r="C242" s="19">
        <v>46286</v>
      </c>
      <c r="D242" s="2" t="s">
        <v>795</v>
      </c>
      <c r="E242" s="2" t="s">
        <v>193</v>
      </c>
      <c r="F242" s="3" t="str">
        <f>_xlfn.XLOOKUP(Table1[[#This Row],[Code Frs]],'CODE FRS'!B:B,'CODE FRS'!C:C)</f>
        <v>TCHANIGA SAMSON</v>
      </c>
      <c r="G242" s="2" t="s">
        <v>794</v>
      </c>
      <c r="H242" s="2">
        <v>141237386</v>
      </c>
      <c r="I242" s="2">
        <v>50</v>
      </c>
      <c r="J242" s="2" t="s">
        <v>63</v>
      </c>
      <c r="K242" s="2" t="str">
        <f>_xlfn.IFNA(_xlfn.XLOOKUP(Table1[[#This Row],[N° BC]],'Commandes Dechargees'!B:B,'Commandes Dechargees'!P:P),"EN ATTENTE DE DECHARGEMENT")</f>
        <v>DECHARGE</v>
      </c>
    </row>
    <row r="243" spans="3:11" ht="25.5" customHeight="1" x14ac:dyDescent="0.35">
      <c r="C243" s="19">
        <v>46286</v>
      </c>
      <c r="D243" s="2" t="s">
        <v>796</v>
      </c>
      <c r="E243" s="2" t="s">
        <v>193</v>
      </c>
      <c r="F243" s="3" t="str">
        <f>_xlfn.XLOOKUP(Table1[[#This Row],[Code Frs]],'CODE FRS'!B:B,'CODE FRS'!C:C)</f>
        <v>TCHANIGA SAMSON</v>
      </c>
      <c r="G243" s="2" t="s">
        <v>797</v>
      </c>
      <c r="H243" s="2">
        <v>148316518</v>
      </c>
      <c r="I243" s="2">
        <v>60</v>
      </c>
      <c r="J243" s="2" t="s">
        <v>63</v>
      </c>
      <c r="K243" s="2" t="str">
        <f>_xlfn.IFNA(_xlfn.XLOOKUP(Table1[[#This Row],[N° BC]],'Commandes Dechargees'!B:B,'Commandes Dechargees'!P:P),"EN ATTENTE DE DECHARGEMENT")</f>
        <v>EN ATTENTE DE DECHARGEMENT</v>
      </c>
    </row>
    <row r="244" spans="3:11" ht="25.5" customHeight="1" x14ac:dyDescent="0.35">
      <c r="C244" s="19">
        <v>46286</v>
      </c>
      <c r="D244" s="2" t="s">
        <v>799</v>
      </c>
      <c r="E244" s="2" t="s">
        <v>193</v>
      </c>
      <c r="F244" s="3" t="str">
        <f>_xlfn.XLOOKUP(Table1[[#This Row],[Code Frs]],'CODE FRS'!B:B,'CODE FRS'!C:C)</f>
        <v>TCHANIGA SAMSON</v>
      </c>
      <c r="G244" s="2" t="s">
        <v>798</v>
      </c>
      <c r="H244" s="2">
        <v>194102705</v>
      </c>
      <c r="I244" s="2">
        <v>40</v>
      </c>
      <c r="J244" s="2" t="s">
        <v>63</v>
      </c>
      <c r="K244" s="2" t="str">
        <f>_xlfn.IFNA(_xlfn.XLOOKUP(Table1[[#This Row],[N° BC]],'Commandes Dechargees'!B:B,'Commandes Dechargees'!P:P),"EN ATTENTE DE DECHARGEMENT")</f>
        <v>DECHARGE</v>
      </c>
    </row>
    <row r="245" spans="3:11" ht="25.5" customHeight="1" x14ac:dyDescent="0.35">
      <c r="C245" s="19">
        <v>46286</v>
      </c>
      <c r="D245" s="2" t="s">
        <v>801</v>
      </c>
      <c r="E245" s="2" t="s">
        <v>196</v>
      </c>
      <c r="F245" s="3" t="str">
        <f>_xlfn.XLOOKUP(Table1[[#This Row],[Code Frs]],'CODE FRS'!B:B,'CODE FRS'!C:C)</f>
        <v>ISMAEL WASSIOU</v>
      </c>
      <c r="G245" s="2" t="s">
        <v>800</v>
      </c>
      <c r="H245" s="2">
        <v>153139048</v>
      </c>
      <c r="I245" s="2">
        <v>50</v>
      </c>
      <c r="J245" s="2" t="s">
        <v>63</v>
      </c>
      <c r="K245" s="2" t="str">
        <f>_xlfn.IFNA(_xlfn.XLOOKUP(Table1[[#This Row],[N° BC]],'Commandes Dechargees'!B:B,'Commandes Dechargees'!P:P),"EN ATTENTE DE DECHARGEMENT")</f>
        <v>EN ATTENTE DE DECHARGEMENT</v>
      </c>
    </row>
    <row r="246" spans="3:11" ht="25.5" customHeight="1" x14ac:dyDescent="0.35">
      <c r="C246" s="19">
        <v>46286</v>
      </c>
      <c r="D246" s="2" t="s">
        <v>801</v>
      </c>
      <c r="E246" s="2" t="s">
        <v>218</v>
      </c>
      <c r="F246" s="3" t="str">
        <f>_xlfn.XLOOKUP(Table1[[#This Row],[Code Frs]],'CODE FRS'!B:B,'CODE FRS'!C:C)</f>
        <v>FAGRO SOUROU GILDAS</v>
      </c>
      <c r="G246" s="2" t="s">
        <v>806</v>
      </c>
      <c r="H246" s="2">
        <v>196022511</v>
      </c>
      <c r="I246" s="2">
        <v>45</v>
      </c>
      <c r="J246" s="2" t="s">
        <v>63</v>
      </c>
      <c r="K246" s="2" t="str">
        <f>_xlfn.IFNA(_xlfn.XLOOKUP(Table1[[#This Row],[N° BC]],'Commandes Dechargees'!B:B,'Commandes Dechargees'!P:P),"EN ATTENTE DE DECHARGEMENT")</f>
        <v>EN ATTENTE DE DECHARGEMENT</v>
      </c>
    </row>
    <row r="247" spans="3:11" ht="25.5" customHeight="1" x14ac:dyDescent="0.35">
      <c r="C247" s="19">
        <v>46286</v>
      </c>
      <c r="D247" s="2" t="s">
        <v>808</v>
      </c>
      <c r="E247" s="2" t="s">
        <v>343</v>
      </c>
      <c r="F247" s="3" t="str">
        <f>_xlfn.XLOOKUP(Table1[[#This Row],[Code Frs]],'CODE FRS'!B:B,'CODE FRS'!C:C)</f>
        <v>GODONOU CHARLES</v>
      </c>
      <c r="G247" s="2" t="s">
        <v>807</v>
      </c>
      <c r="H247" s="2">
        <v>197827805</v>
      </c>
      <c r="I247" s="2">
        <v>50</v>
      </c>
      <c r="J247" s="2" t="s">
        <v>63</v>
      </c>
      <c r="K247" s="2" t="str">
        <f>_xlfn.IFNA(_xlfn.XLOOKUP(Table1[[#This Row],[N° BC]],'Commandes Dechargees'!B:B,'Commandes Dechargees'!P:P),"EN ATTENTE DE DECHARGEMENT")</f>
        <v>DECHARGE</v>
      </c>
    </row>
    <row r="248" spans="3:11" ht="25.5" customHeight="1" x14ac:dyDescent="0.35">
      <c r="C248" s="19">
        <v>46286</v>
      </c>
      <c r="D248" s="2" t="s">
        <v>809</v>
      </c>
      <c r="E248" s="2" t="s">
        <v>339</v>
      </c>
      <c r="F248" s="3" t="str">
        <f>_xlfn.XLOOKUP(Table1[[#This Row],[Code Frs]],'CODE FRS'!B:B,'CODE FRS'!C:C)</f>
        <v>HASSANE SEYNI</v>
      </c>
      <c r="G248" s="2" t="s">
        <v>550</v>
      </c>
      <c r="H248" s="2">
        <v>140346046</v>
      </c>
      <c r="I248" s="2">
        <v>40</v>
      </c>
      <c r="J248" s="2" t="s">
        <v>63</v>
      </c>
      <c r="K248" s="2" t="str">
        <f>_xlfn.IFNA(_xlfn.XLOOKUP(Table1[[#This Row],[N° BC]],'Commandes Dechargees'!B:B,'Commandes Dechargees'!P:P),"EN ATTENTE DE DECHARGEMENT")</f>
        <v>EN ATTENTE DE DECHARGEMENT</v>
      </c>
    </row>
    <row r="249" spans="3:11" ht="25.5" customHeight="1" x14ac:dyDescent="0.35">
      <c r="C249" s="19">
        <v>46286</v>
      </c>
      <c r="D249" s="2" t="s">
        <v>811</v>
      </c>
      <c r="E249" s="2" t="s">
        <v>195</v>
      </c>
      <c r="F249" s="3" t="str">
        <f>_xlfn.XLOOKUP(Table1[[#This Row],[Code Frs]],'CODE FRS'!B:B,'CODE FRS'!C:C)</f>
        <v>BADAROU SAID</v>
      </c>
      <c r="G249" s="2" t="s">
        <v>810</v>
      </c>
      <c r="H249" s="2"/>
      <c r="I249" s="2">
        <v>45</v>
      </c>
      <c r="J249" s="2" t="s">
        <v>63</v>
      </c>
      <c r="K249" s="2" t="str">
        <f>_xlfn.IFNA(_xlfn.XLOOKUP(Table1[[#This Row],[N° BC]],'Commandes Dechargees'!B:B,'Commandes Dechargees'!P:P),"EN ATTENTE DE DECHARGEMENT")</f>
        <v>EN ATTENTE DE DECHARGEMENT</v>
      </c>
    </row>
    <row r="250" spans="3:11" ht="25.5" customHeight="1" x14ac:dyDescent="0.35">
      <c r="C250" s="19">
        <v>46286</v>
      </c>
      <c r="D250" s="2" t="s">
        <v>813</v>
      </c>
      <c r="E250" s="2" t="s">
        <v>203</v>
      </c>
      <c r="F250" s="3" t="str">
        <f>_xlfn.XLOOKUP(Table1[[#This Row],[Code Frs]],'CODE FRS'!B:B,'CODE FRS'!C:C)</f>
        <v>CHIGBLO FERDINAND</v>
      </c>
      <c r="G250" s="2" t="s">
        <v>812</v>
      </c>
      <c r="H250" s="2">
        <v>143454560</v>
      </c>
      <c r="I250" s="2">
        <v>20</v>
      </c>
      <c r="J250" s="2" t="s">
        <v>63</v>
      </c>
      <c r="K250" s="2" t="str">
        <f>_xlfn.IFNA(_xlfn.XLOOKUP(Table1[[#This Row],[N° BC]],'Commandes Dechargees'!B:B,'Commandes Dechargees'!P:P),"EN ATTENTE DE DECHARGEMENT")</f>
        <v>DECHARGE</v>
      </c>
    </row>
    <row r="251" spans="3:11" ht="25.5" customHeight="1" x14ac:dyDescent="0.35">
      <c r="C251" s="19">
        <v>46286</v>
      </c>
      <c r="D251" s="2" t="s">
        <v>815</v>
      </c>
      <c r="E251" s="2" t="s">
        <v>203</v>
      </c>
      <c r="F251" s="3" t="str">
        <f>_xlfn.XLOOKUP(Table1[[#This Row],[Code Frs]],'CODE FRS'!B:B,'CODE FRS'!C:C)</f>
        <v>CHIGBLO FERDINAND</v>
      </c>
      <c r="G251" s="2" t="s">
        <v>814</v>
      </c>
      <c r="H251" s="2">
        <v>143454560</v>
      </c>
      <c r="I251" s="2">
        <v>45</v>
      </c>
      <c r="J251" s="2" t="s">
        <v>63</v>
      </c>
      <c r="K251" s="2" t="str">
        <f>_xlfn.IFNA(_xlfn.XLOOKUP(Table1[[#This Row],[N° BC]],'Commandes Dechargees'!B:B,'Commandes Dechargees'!P:P),"EN ATTENTE DE DECHARGEMENT")</f>
        <v>EN ATTENTE DE DECHARGEMENT</v>
      </c>
    </row>
    <row r="252" spans="3:11" ht="25.5" customHeight="1" x14ac:dyDescent="0.35">
      <c r="C252" s="19">
        <v>46286</v>
      </c>
      <c r="D252" s="2" t="s">
        <v>819</v>
      </c>
      <c r="E252" s="2" t="s">
        <v>816</v>
      </c>
      <c r="F252" s="3" t="str">
        <f>_xlfn.XLOOKUP(Table1[[#This Row],[Code Frs]],'CODE FRS'!B:B,'CODE FRS'!C:C)</f>
        <v>ASSOUNI WAHABOU</v>
      </c>
      <c r="G252" s="2" t="s">
        <v>818</v>
      </c>
      <c r="H252" s="2">
        <v>195017020</v>
      </c>
      <c r="I252" s="2">
        <v>50</v>
      </c>
      <c r="J252" s="2" t="s">
        <v>63</v>
      </c>
      <c r="K252" s="2" t="str">
        <f>_xlfn.IFNA(_xlfn.XLOOKUP(Table1[[#This Row],[N° BC]],'Commandes Dechargees'!B:B,'Commandes Dechargees'!P:P),"EN ATTENTE DE DECHARGEMENT")</f>
        <v>EN ATTENTE DE DECHARGEMENT</v>
      </c>
    </row>
    <row r="253" spans="3:11" ht="25.5" customHeight="1" x14ac:dyDescent="0.35">
      <c r="C253" s="19">
        <v>46286</v>
      </c>
      <c r="D253" s="2" t="s">
        <v>821</v>
      </c>
      <c r="E253" s="2" t="s">
        <v>816</v>
      </c>
      <c r="F253" s="3" t="str">
        <f>_xlfn.XLOOKUP(Table1[[#This Row],[Code Frs]],'CODE FRS'!B:B,'CODE FRS'!C:C)</f>
        <v>ASSOUNI WAHABOU</v>
      </c>
      <c r="G253" s="2" t="s">
        <v>820</v>
      </c>
      <c r="H253" s="2">
        <v>194120728</v>
      </c>
      <c r="I253" s="2">
        <v>50</v>
      </c>
      <c r="J253" s="2" t="s">
        <v>63</v>
      </c>
      <c r="K253" s="2" t="str">
        <f>_xlfn.IFNA(_xlfn.XLOOKUP(Table1[[#This Row],[N° BC]],'Commandes Dechargees'!B:B,'Commandes Dechargees'!P:P),"EN ATTENTE DE DECHARGEMENT")</f>
        <v>DECHARGE</v>
      </c>
    </row>
    <row r="254" spans="3:11" ht="25.5" customHeight="1" x14ac:dyDescent="0.35">
      <c r="C254" s="19">
        <v>46286</v>
      </c>
      <c r="D254" s="2" t="s">
        <v>822</v>
      </c>
      <c r="E254" s="2" t="s">
        <v>403</v>
      </c>
      <c r="F254" s="3" t="str">
        <f>_xlfn.XLOOKUP(Table1[[#This Row],[Code Frs]],'CODE FRS'!B:B,'CODE FRS'!C:C)</f>
        <v>Mr MOMO</v>
      </c>
      <c r="G254" s="2" t="s">
        <v>674</v>
      </c>
      <c r="H254" s="2">
        <v>140770721</v>
      </c>
      <c r="I254" s="2">
        <v>50</v>
      </c>
      <c r="J254" s="2" t="s">
        <v>63</v>
      </c>
      <c r="K254" s="2" t="str">
        <f>_xlfn.IFNA(_xlfn.XLOOKUP(Table1[[#This Row],[N° BC]],'Commandes Dechargees'!B:B,'Commandes Dechargees'!P:P),"EN ATTENTE DE DECHARGEMENT")</f>
        <v>EN ATTENTE DE DECHARGEMENT</v>
      </c>
    </row>
    <row r="255" spans="3:11" ht="25.5" customHeight="1" x14ac:dyDescent="0.35">
      <c r="C255" s="19">
        <v>46286</v>
      </c>
      <c r="D255" s="2" t="s">
        <v>823</v>
      </c>
      <c r="E255" s="2" t="s">
        <v>196</v>
      </c>
      <c r="F255" s="3" t="str">
        <f>_xlfn.XLOOKUP(Table1[[#This Row],[Code Frs]],'CODE FRS'!B:B,'CODE FRS'!C:C)</f>
        <v>ISMAEL WASSIOU</v>
      </c>
      <c r="G255" s="2" t="s">
        <v>220</v>
      </c>
      <c r="H255" s="2">
        <v>197275693</v>
      </c>
      <c r="I255" s="2">
        <v>50</v>
      </c>
      <c r="J255" s="2" t="s">
        <v>63</v>
      </c>
      <c r="K255" s="2" t="str">
        <f>_xlfn.IFNA(_xlfn.XLOOKUP(Table1[[#This Row],[N° BC]],'Commandes Dechargees'!B:B,'Commandes Dechargees'!P:P),"EN ATTENTE DE DECHARGEMENT")</f>
        <v>EN ATTENTE DE DECHARGEMENT</v>
      </c>
    </row>
    <row r="256" spans="3:11" ht="25.5" customHeight="1" x14ac:dyDescent="0.35">
      <c r="C256" s="19">
        <v>46286</v>
      </c>
      <c r="D256" s="2" t="s">
        <v>823</v>
      </c>
      <c r="E256" s="2" t="s">
        <v>193</v>
      </c>
      <c r="F256" s="3" t="str">
        <f>_xlfn.XLOOKUP(Table1[[#This Row],[Code Frs]],'CODE FRS'!B:B,'CODE FRS'!C:C)</f>
        <v>TCHANIGA SAMSON</v>
      </c>
      <c r="G256" s="2" t="s">
        <v>824</v>
      </c>
      <c r="H256" s="2">
        <v>157602172</v>
      </c>
      <c r="I256" s="2">
        <v>60</v>
      </c>
      <c r="J256" s="2" t="s">
        <v>63</v>
      </c>
      <c r="K256" s="2" t="str">
        <f>_xlfn.IFNA(_xlfn.XLOOKUP(Table1[[#This Row],[N° BC]],'Commandes Dechargees'!B:B,'Commandes Dechargees'!P:P),"EN ATTENTE DE DECHARGEMENT")</f>
        <v>EN ATTENTE DE DECHARGEMENT</v>
      </c>
    </row>
    <row r="257" spans="3:11" ht="25.5" customHeight="1" x14ac:dyDescent="0.35">
      <c r="C257" s="19">
        <v>46286</v>
      </c>
      <c r="D257" s="2" t="s">
        <v>825</v>
      </c>
      <c r="E257" s="2" t="s">
        <v>269</v>
      </c>
      <c r="F257" s="3" t="str">
        <f>_xlfn.XLOOKUP(Table1[[#This Row],[Code Frs]],'CODE FRS'!B:B,'CODE FRS'!C:C)</f>
        <v>AZOGA ARMAND</v>
      </c>
      <c r="G257" s="2" t="s">
        <v>512</v>
      </c>
      <c r="H257" s="2">
        <v>196799650</v>
      </c>
      <c r="I257" s="2">
        <v>50</v>
      </c>
      <c r="J257" s="2" t="s">
        <v>63</v>
      </c>
      <c r="K257" s="2" t="str">
        <f>_xlfn.IFNA(_xlfn.XLOOKUP(Table1[[#This Row],[N° BC]],'Commandes Dechargees'!B:B,'Commandes Dechargees'!P:P),"EN ATTENTE DE DECHARGEMENT")</f>
        <v>DECHARGE</v>
      </c>
    </row>
    <row r="258" spans="3:11" ht="25.5" customHeight="1" x14ac:dyDescent="0.35">
      <c r="C258" s="19">
        <v>46286</v>
      </c>
      <c r="D258" s="2" t="s">
        <v>827</v>
      </c>
      <c r="E258" s="2" t="s">
        <v>269</v>
      </c>
      <c r="F258" s="3" t="str">
        <f>_xlfn.XLOOKUP(Table1[[#This Row],[Code Frs]],'CODE FRS'!B:B,'CODE FRS'!C:C)</f>
        <v>AZOGA ARMAND</v>
      </c>
      <c r="G258" s="2" t="s">
        <v>826</v>
      </c>
      <c r="H258" s="2">
        <v>196886616</v>
      </c>
      <c r="I258" s="2">
        <v>50</v>
      </c>
      <c r="J258" s="2" t="s">
        <v>63</v>
      </c>
      <c r="K258" s="2" t="str">
        <f>_xlfn.IFNA(_xlfn.XLOOKUP(Table1[[#This Row],[N° BC]],'Commandes Dechargees'!B:B,'Commandes Dechargees'!P:P),"EN ATTENTE DE DECHARGEMENT")</f>
        <v>DECHARGE</v>
      </c>
    </row>
    <row r="259" spans="3:11" ht="25.5" customHeight="1" x14ac:dyDescent="0.35">
      <c r="C259" s="19">
        <v>46286</v>
      </c>
      <c r="D259" s="2" t="s">
        <v>829</v>
      </c>
      <c r="E259" s="2" t="s">
        <v>269</v>
      </c>
      <c r="F259" s="3" t="str">
        <f>_xlfn.XLOOKUP(Table1[[#This Row],[Code Frs]],'CODE FRS'!B:B,'CODE FRS'!C:C)</f>
        <v>AZOGA ARMAND</v>
      </c>
      <c r="G259" s="2" t="s">
        <v>828</v>
      </c>
      <c r="H259" s="2">
        <v>144293870</v>
      </c>
      <c r="I259" s="2">
        <v>50</v>
      </c>
      <c r="J259" s="2" t="s">
        <v>63</v>
      </c>
      <c r="K259" s="2" t="str">
        <f>_xlfn.IFNA(_xlfn.XLOOKUP(Table1[[#This Row],[N° BC]],'Commandes Dechargees'!B:B,'Commandes Dechargees'!P:P),"EN ATTENTE DE DECHARGEMENT")</f>
        <v>EN ATTENTE DE DECHARGEMENT</v>
      </c>
    </row>
    <row r="260" spans="3:11" ht="25.5" customHeight="1" x14ac:dyDescent="0.35">
      <c r="C260" s="19">
        <v>46286</v>
      </c>
      <c r="D260" s="2" t="s">
        <v>831</v>
      </c>
      <c r="E260" s="2" t="s">
        <v>196</v>
      </c>
      <c r="F260" s="3" t="str">
        <f>_xlfn.XLOOKUP(Table1[[#This Row],[Code Frs]],'CODE FRS'!B:B,'CODE FRS'!C:C)</f>
        <v>ISMAEL WASSIOU</v>
      </c>
      <c r="G260" s="2" t="s">
        <v>830</v>
      </c>
      <c r="H260" s="2">
        <v>197262135</v>
      </c>
      <c r="I260" s="2">
        <v>50</v>
      </c>
      <c r="J260" s="2" t="s">
        <v>63</v>
      </c>
      <c r="K260" s="2" t="str">
        <f>_xlfn.IFNA(_xlfn.XLOOKUP(Table1[[#This Row],[N° BC]],'Commandes Dechargees'!B:B,'Commandes Dechargees'!P:P),"EN ATTENTE DE DECHARGEMENT")</f>
        <v>EN ATTENTE DE DECHARGEMENT</v>
      </c>
    </row>
    <row r="261" spans="3:11" ht="25.5" customHeight="1" x14ac:dyDescent="0.35">
      <c r="C261" s="19">
        <v>46286</v>
      </c>
      <c r="D261" s="2" t="s">
        <v>832</v>
      </c>
      <c r="E261" s="2" t="s">
        <v>193</v>
      </c>
      <c r="F261" s="3" t="str">
        <f>_xlfn.XLOOKUP(Table1[[#This Row],[Code Frs]],'CODE FRS'!B:B,'CODE FRS'!C:C)</f>
        <v>TCHANIGA SAMSON</v>
      </c>
      <c r="G261" s="2" t="s">
        <v>824</v>
      </c>
      <c r="H261" s="2">
        <v>157602172</v>
      </c>
      <c r="I261" s="2">
        <v>60</v>
      </c>
      <c r="J261" s="2" t="s">
        <v>63</v>
      </c>
      <c r="K261" s="2" t="str">
        <f>_xlfn.IFNA(_xlfn.XLOOKUP(Table1[[#This Row],[N° BC]],'Commandes Dechargees'!B:B,'Commandes Dechargees'!P:P),"EN ATTENTE DE DECHARGEMENT")</f>
        <v>EN ATTENTE DE DECHARGEMENT</v>
      </c>
    </row>
    <row r="262" spans="3:11" ht="25.5" customHeight="1" x14ac:dyDescent="0.35">
      <c r="C262" s="19">
        <v>46286</v>
      </c>
      <c r="D262" s="2" t="s">
        <v>834</v>
      </c>
      <c r="E262" s="2" t="s">
        <v>212</v>
      </c>
      <c r="F262" s="3" t="str">
        <f>_xlfn.XLOOKUP(Table1[[#This Row],[Code Frs]],'CODE FRS'!B:B,'CODE FRS'!C:C)</f>
        <v>DOSSA MATHURIN</v>
      </c>
      <c r="G262" s="2" t="s">
        <v>833</v>
      </c>
      <c r="H262" s="2">
        <v>149054628</v>
      </c>
      <c r="I262" s="2">
        <v>50</v>
      </c>
      <c r="J262" s="2" t="s">
        <v>63</v>
      </c>
      <c r="K262" s="2" t="str">
        <f>_xlfn.IFNA(_xlfn.XLOOKUP(Table1[[#This Row],[N° BC]],'Commandes Dechargees'!B:B,'Commandes Dechargees'!P:P),"EN ATTENTE DE DECHARGEMENT")</f>
        <v>DECHARGE</v>
      </c>
    </row>
    <row r="263" spans="3:11" ht="25.5" customHeight="1" x14ac:dyDescent="0.35">
      <c r="C263" s="19">
        <v>46286</v>
      </c>
      <c r="D263" s="2" t="s">
        <v>836</v>
      </c>
      <c r="E263" s="2" t="s">
        <v>403</v>
      </c>
      <c r="F263" s="3" t="str">
        <f>_xlfn.XLOOKUP(Table1[[#This Row],[Code Frs]],'CODE FRS'!B:B,'CODE FRS'!C:C)</f>
        <v>Mr MOMO</v>
      </c>
      <c r="G263" s="2" t="s">
        <v>835</v>
      </c>
      <c r="H263" s="2">
        <v>194811647</v>
      </c>
      <c r="I263" s="2">
        <v>50</v>
      </c>
      <c r="J263" s="2" t="s">
        <v>63</v>
      </c>
      <c r="K263" s="2" t="str">
        <f>_xlfn.IFNA(_xlfn.XLOOKUP(Table1[[#This Row],[N° BC]],'Commandes Dechargees'!B:B,'Commandes Dechargees'!P:P),"EN ATTENTE DE DECHARGEMENT")</f>
        <v>EN ATTENTE DE DECHARGEMENT</v>
      </c>
    </row>
    <row r="264" spans="3:11" ht="25.5" customHeight="1" x14ac:dyDescent="0.35">
      <c r="C264" s="19">
        <v>46286</v>
      </c>
      <c r="D264" s="2" t="s">
        <v>839</v>
      </c>
      <c r="E264" s="2" t="s">
        <v>837</v>
      </c>
      <c r="F264" s="3" t="str">
        <f>_xlfn.XLOOKUP(Table1[[#This Row],[Code Frs]],'CODE FRS'!B:B,'CODE FRS'!C:C)</f>
        <v>ABDOU AZIZ</v>
      </c>
      <c r="G264" s="2" t="s">
        <v>807</v>
      </c>
      <c r="H264" s="2">
        <v>197827805</v>
      </c>
      <c r="I264" s="2">
        <v>45</v>
      </c>
      <c r="J264" s="2" t="s">
        <v>63</v>
      </c>
      <c r="K264" s="2" t="str">
        <f>_xlfn.IFNA(_xlfn.XLOOKUP(Table1[[#This Row],[N° BC]],'Commandes Dechargees'!B:B,'Commandes Dechargees'!P:P),"EN ATTENTE DE DECHARGEMENT")</f>
        <v>EN ATTENTE DE DECHARGEMENT</v>
      </c>
    </row>
    <row r="265" spans="3:11" ht="25.5" customHeight="1" x14ac:dyDescent="0.35">
      <c r="C265" s="19">
        <v>46286</v>
      </c>
      <c r="D265" s="2" t="s">
        <v>841</v>
      </c>
      <c r="E265" s="2" t="s">
        <v>212</v>
      </c>
      <c r="F265" s="3" t="str">
        <f>_xlfn.XLOOKUP(Table1[[#This Row],[Code Frs]],'CODE FRS'!B:B,'CODE FRS'!C:C)</f>
        <v>DOSSA MATHURIN</v>
      </c>
      <c r="G265" s="2" t="s">
        <v>840</v>
      </c>
      <c r="H265" s="2">
        <v>1444421</v>
      </c>
      <c r="I265" s="2">
        <v>43</v>
      </c>
      <c r="J265" s="2" t="s">
        <v>63</v>
      </c>
      <c r="K265" s="2" t="str">
        <f>_xlfn.IFNA(_xlfn.XLOOKUP(Table1[[#This Row],[N° BC]],'Commandes Dechargees'!B:B,'Commandes Dechargees'!P:P),"EN ATTENTE DE DECHARGEMENT")</f>
        <v>DECHARGE</v>
      </c>
    </row>
    <row r="266" spans="3:11" ht="25.5" customHeight="1" x14ac:dyDescent="0.35">
      <c r="C266" s="19">
        <v>46286</v>
      </c>
      <c r="D266" s="2" t="s">
        <v>843</v>
      </c>
      <c r="E266" s="2" t="s">
        <v>403</v>
      </c>
      <c r="F266" s="3" t="str">
        <f>_xlfn.XLOOKUP(Table1[[#This Row],[Code Frs]],'CODE FRS'!B:B,'CODE FRS'!C:C)</f>
        <v>Mr MOMO</v>
      </c>
      <c r="G266" s="2" t="s">
        <v>842</v>
      </c>
      <c r="H266" s="2">
        <v>140530344</v>
      </c>
      <c r="I266" s="2">
        <v>50</v>
      </c>
      <c r="J266" s="2" t="s">
        <v>63</v>
      </c>
      <c r="K266" s="2" t="str">
        <f>_xlfn.IFNA(_xlfn.XLOOKUP(Table1[[#This Row],[N° BC]],'Commandes Dechargees'!B:B,'Commandes Dechargees'!P:P),"EN ATTENTE DE DECHARGEMENT")</f>
        <v>EN ATTENTE DE DECHARGEMENT</v>
      </c>
    </row>
    <row r="267" spans="3:11" ht="25.5" customHeight="1" x14ac:dyDescent="0.35">
      <c r="C267" s="19">
        <v>46286</v>
      </c>
      <c r="D267" s="2" t="s">
        <v>845</v>
      </c>
      <c r="E267" s="2" t="s">
        <v>193</v>
      </c>
      <c r="F267" s="3" t="str">
        <f>_xlfn.XLOOKUP(Table1[[#This Row],[Code Frs]],'CODE FRS'!B:B,'CODE FRS'!C:C)</f>
        <v>TCHANIGA SAMSON</v>
      </c>
      <c r="G267" s="2" t="s">
        <v>844</v>
      </c>
      <c r="H267" s="2">
        <v>141373714</v>
      </c>
      <c r="I267" s="2">
        <v>48</v>
      </c>
      <c r="J267" s="2" t="s">
        <v>63</v>
      </c>
      <c r="K267" s="2" t="str">
        <f>_xlfn.IFNA(_xlfn.XLOOKUP(Table1[[#This Row],[N° BC]],'Commandes Dechargees'!B:B,'Commandes Dechargees'!P:P),"EN ATTENTE DE DECHARGEMENT")</f>
        <v>EN ATTENTE DE DECHARGEMENT</v>
      </c>
    </row>
    <row r="268" spans="3:11" ht="25.5" customHeight="1" x14ac:dyDescent="0.35">
      <c r="C268" s="19">
        <v>46286</v>
      </c>
      <c r="D268" s="2" t="s">
        <v>849</v>
      </c>
      <c r="E268" s="2" t="s">
        <v>846</v>
      </c>
      <c r="F268" s="3" t="str">
        <f>_xlfn.XLOOKUP(Table1[[#This Row],[Code Frs]],'CODE FRS'!B:B,'CODE FRS'!C:C)</f>
        <v>FREEMAN</v>
      </c>
      <c r="G268" s="2" t="s">
        <v>848</v>
      </c>
      <c r="H268" s="2">
        <v>194239394</v>
      </c>
      <c r="I268" s="2">
        <v>50</v>
      </c>
      <c r="J268" s="2" t="s">
        <v>63</v>
      </c>
      <c r="K268" s="2" t="str">
        <f>_xlfn.IFNA(_xlfn.XLOOKUP(Table1[[#This Row],[N° BC]],'Commandes Dechargees'!B:B,'Commandes Dechargees'!P:P),"EN ATTENTE DE DECHARGEMENT")</f>
        <v>EN ATTENTE DE DECHARGEMENT</v>
      </c>
    </row>
    <row r="269" spans="3:11" ht="25.5" customHeight="1" x14ac:dyDescent="0.35">
      <c r="C269" s="19">
        <v>46286</v>
      </c>
      <c r="D269" s="2" t="s">
        <v>853</v>
      </c>
      <c r="E269" s="2" t="s">
        <v>850</v>
      </c>
      <c r="F269" s="3" t="str">
        <f>_xlfn.XLOOKUP(Table1[[#This Row],[Code Frs]],'CODE FRS'!B:B,'CODE FRS'!C:C)</f>
        <v>KPADONOU SOUROU</v>
      </c>
      <c r="G269" s="2" t="s">
        <v>852</v>
      </c>
      <c r="H269" s="2">
        <v>196022511</v>
      </c>
      <c r="I269" s="2">
        <v>50</v>
      </c>
      <c r="J269" s="2" t="s">
        <v>63</v>
      </c>
      <c r="K269" s="2" t="str">
        <f>_xlfn.IFNA(_xlfn.XLOOKUP(Table1[[#This Row],[N° BC]],'Commandes Dechargees'!B:B,'Commandes Dechargees'!P:P),"EN ATTENTE DE DECHARGEMENT")</f>
        <v>DECHARGE</v>
      </c>
    </row>
    <row r="270" spans="3:11" ht="25.5" customHeight="1" x14ac:dyDescent="0.35">
      <c r="C270" s="19">
        <v>46286</v>
      </c>
      <c r="D270" s="2" t="s">
        <v>855</v>
      </c>
      <c r="E270" s="2" t="s">
        <v>196</v>
      </c>
      <c r="F270" s="3" t="str">
        <f>_xlfn.XLOOKUP(Table1[[#This Row],[Code Frs]],'CODE FRS'!B:B,'CODE FRS'!C:C)</f>
        <v>ISMAEL WASSIOU</v>
      </c>
      <c r="G270" s="2" t="s">
        <v>854</v>
      </c>
      <c r="H270" s="2">
        <v>196804429</v>
      </c>
      <c r="I270" s="2">
        <v>50</v>
      </c>
      <c r="J270" s="2" t="s">
        <v>63</v>
      </c>
      <c r="K270" s="2" t="str">
        <f>_xlfn.IFNA(_xlfn.XLOOKUP(Table1[[#This Row],[N° BC]],'Commandes Dechargees'!B:B,'Commandes Dechargees'!P:P),"EN ATTENTE DE DECHARGEMENT")</f>
        <v>EN ATTENTE DE DECHARGEMENT</v>
      </c>
    </row>
    <row r="271" spans="3:11" ht="25.5" customHeight="1" x14ac:dyDescent="0.35">
      <c r="C271" s="19">
        <v>46286</v>
      </c>
      <c r="D271" s="2" t="s">
        <v>857</v>
      </c>
      <c r="E271" s="2" t="s">
        <v>207</v>
      </c>
      <c r="F271" s="3" t="str">
        <f>_xlfn.XLOOKUP(Table1[[#This Row],[Code Frs]],'CODE FRS'!B:B,'CODE FRS'!C:C)</f>
        <v>GBAGBE MATHIAS</v>
      </c>
      <c r="G271" s="2" t="s">
        <v>856</v>
      </c>
      <c r="H271" s="2">
        <v>162591245</v>
      </c>
      <c r="I271" s="2">
        <v>50</v>
      </c>
      <c r="J271" s="2" t="s">
        <v>63</v>
      </c>
      <c r="K271" s="2" t="str">
        <f>_xlfn.IFNA(_xlfn.XLOOKUP(Table1[[#This Row],[N° BC]],'Commandes Dechargees'!B:B,'Commandes Dechargees'!P:P),"EN ATTENTE DE DECHARGEMENT")</f>
        <v>EN ATTENTE DE DECHARGEMENT</v>
      </c>
    </row>
    <row r="272" spans="3:11" ht="25.5" customHeight="1" x14ac:dyDescent="0.35">
      <c r="C272" s="19">
        <v>46286</v>
      </c>
      <c r="D272" s="2" t="s">
        <v>860</v>
      </c>
      <c r="E272" s="2" t="s">
        <v>269</v>
      </c>
      <c r="F272" s="3" t="str">
        <f>_xlfn.XLOOKUP(Table1[[#This Row],[Code Frs]],'CODE FRS'!B:B,'CODE FRS'!C:C)</f>
        <v>AZOGA ARMAND</v>
      </c>
      <c r="G272" s="2" t="s">
        <v>858</v>
      </c>
      <c r="H272" s="2">
        <v>196708677</v>
      </c>
      <c r="I272" s="2">
        <v>50</v>
      </c>
      <c r="J272" s="2" t="s">
        <v>63</v>
      </c>
      <c r="K272" s="2" t="str">
        <f>_xlfn.IFNA(_xlfn.XLOOKUP(Table1[[#This Row],[N° BC]],'Commandes Dechargees'!B:B,'Commandes Dechargees'!P:P),"EN ATTENTE DE DECHARGEMENT")</f>
        <v>DECHARGE</v>
      </c>
    </row>
    <row r="273" spans="3:11" ht="25.5" customHeight="1" x14ac:dyDescent="0.35">
      <c r="C273" s="19">
        <v>46286</v>
      </c>
      <c r="D273" s="2" t="s">
        <v>859</v>
      </c>
      <c r="E273" s="2" t="s">
        <v>228</v>
      </c>
      <c r="F273" s="3" t="str">
        <f>_xlfn.XLOOKUP(Table1[[#This Row],[Code Frs]],'CODE FRS'!B:B,'CODE FRS'!C:C)</f>
        <v>MOISE YENAFO</v>
      </c>
      <c r="G273" s="2" t="s">
        <v>861</v>
      </c>
      <c r="H273" s="2">
        <v>197087388</v>
      </c>
      <c r="I273" s="2">
        <v>45</v>
      </c>
      <c r="J273" s="2" t="s">
        <v>63</v>
      </c>
      <c r="K273" s="2" t="str">
        <f>_xlfn.IFNA(_xlfn.XLOOKUP(Table1[[#This Row],[N° BC]],'Commandes Dechargees'!B:B,'Commandes Dechargees'!P:P),"EN ATTENTE DE DECHARGEMENT")</f>
        <v>EN ATTENTE DE DECHARGEMENT</v>
      </c>
    </row>
    <row r="274" spans="3:11" ht="25.5" customHeight="1" x14ac:dyDescent="0.35">
      <c r="C274" s="19">
        <v>46286</v>
      </c>
      <c r="D274" s="2" t="s">
        <v>863</v>
      </c>
      <c r="E274" s="2" t="s">
        <v>213</v>
      </c>
      <c r="F274" s="3" t="str">
        <f>_xlfn.XLOOKUP(Table1[[#This Row],[Code Frs]],'CODE FRS'!B:B,'CODE FRS'!C:C)</f>
        <v>NOEL DOLEME</v>
      </c>
      <c r="G274" s="2" t="s">
        <v>862</v>
      </c>
      <c r="H274" s="2">
        <v>151297794</v>
      </c>
      <c r="I274" s="2">
        <v>43.5</v>
      </c>
      <c r="J274" s="2" t="s">
        <v>63</v>
      </c>
      <c r="K274" s="2" t="str">
        <f>_xlfn.IFNA(_xlfn.XLOOKUP(Table1[[#This Row],[N° BC]],'Commandes Dechargees'!B:B,'Commandes Dechargees'!P:P),"EN ATTENTE DE DECHARGEMENT")</f>
        <v>EN ATTENTE DE DECHARGEMENT</v>
      </c>
    </row>
    <row r="275" spans="3:11" ht="25.5" customHeight="1" x14ac:dyDescent="0.35">
      <c r="C275" s="19">
        <v>46286</v>
      </c>
      <c r="D275" s="2" t="s">
        <v>863</v>
      </c>
      <c r="E275" s="2" t="s">
        <v>193</v>
      </c>
      <c r="F275" s="3" t="str">
        <f>_xlfn.XLOOKUP(Table1[[#This Row],[Code Frs]],'CODE FRS'!B:B,'CODE FRS'!C:C)</f>
        <v>TCHANIGA SAMSON</v>
      </c>
      <c r="G275" s="2" t="s">
        <v>864</v>
      </c>
      <c r="H275" s="2">
        <v>197880631</v>
      </c>
      <c r="I275" s="2">
        <v>50</v>
      </c>
      <c r="J275" s="2" t="s">
        <v>63</v>
      </c>
      <c r="K275" s="2" t="str">
        <f>_xlfn.IFNA(_xlfn.XLOOKUP(Table1[[#This Row],[N° BC]],'Commandes Dechargees'!B:B,'Commandes Dechargees'!P:P),"EN ATTENTE DE DECHARGEMENT")</f>
        <v>EN ATTENTE DE DECHARGEMENT</v>
      </c>
    </row>
    <row r="276" spans="3:11" ht="25.5" customHeight="1" x14ac:dyDescent="0.35">
      <c r="C276" s="19">
        <v>46286</v>
      </c>
      <c r="D276" s="2" t="s">
        <v>866</v>
      </c>
      <c r="E276" s="2" t="s">
        <v>213</v>
      </c>
      <c r="F276" s="3" t="str">
        <f>_xlfn.XLOOKUP(Table1[[#This Row],[Code Frs]],'CODE FRS'!B:B,'CODE FRS'!C:C)</f>
        <v>NOEL DOLEME</v>
      </c>
      <c r="G276" s="2" t="s">
        <v>865</v>
      </c>
      <c r="H276" s="2">
        <v>144620429</v>
      </c>
      <c r="I276" s="2">
        <v>43</v>
      </c>
      <c r="J276" s="2" t="s">
        <v>63</v>
      </c>
      <c r="K276" s="2" t="str">
        <f>_xlfn.IFNA(_xlfn.XLOOKUP(Table1[[#This Row],[N° BC]],'Commandes Dechargees'!B:B,'Commandes Dechargees'!P:P),"EN ATTENTE DE DECHARGEMENT")</f>
        <v>EN ATTENTE DE DECHARGEMENT</v>
      </c>
    </row>
    <row r="277" spans="3:11" ht="25.5" customHeight="1" x14ac:dyDescent="0.35">
      <c r="C277" s="19">
        <v>46286</v>
      </c>
      <c r="D277" s="2" t="s">
        <v>867</v>
      </c>
      <c r="E277" s="2" t="s">
        <v>208</v>
      </c>
      <c r="F277" s="3" t="str">
        <f>_xlfn.XLOOKUP(Table1[[#This Row],[Code Frs]],'CODE FRS'!B:B,'CODE FRS'!C:C)</f>
        <v>AHEGNI CASIMIR</v>
      </c>
      <c r="G277" s="2" t="s">
        <v>54</v>
      </c>
      <c r="H277" s="2">
        <v>162060618</v>
      </c>
      <c r="I277" s="2">
        <v>50</v>
      </c>
      <c r="J277" s="2" t="s">
        <v>63</v>
      </c>
      <c r="K277" s="2" t="str">
        <f>_xlfn.IFNA(_xlfn.XLOOKUP(Table1[[#This Row],[N° BC]],'Commandes Dechargees'!B:B,'Commandes Dechargees'!P:P),"EN ATTENTE DE DECHARGEMENT")</f>
        <v>EN ATTENTE DE DECHARGEMENT</v>
      </c>
    </row>
    <row r="278" spans="3:11" ht="25.5" customHeight="1" x14ac:dyDescent="0.35">
      <c r="C278" s="19">
        <v>46286</v>
      </c>
      <c r="D278" s="2" t="s">
        <v>868</v>
      </c>
      <c r="E278" s="2" t="s">
        <v>208</v>
      </c>
      <c r="F278" s="3" t="str">
        <f>_xlfn.XLOOKUP(Table1[[#This Row],[Code Frs]],'CODE FRS'!B:B,'CODE FRS'!C:C)</f>
        <v>AHEGNI CASIMIR</v>
      </c>
      <c r="G278" s="2" t="s">
        <v>645</v>
      </c>
      <c r="H278" s="2">
        <v>140901200</v>
      </c>
      <c r="I278" s="2">
        <v>50</v>
      </c>
      <c r="J278" s="2" t="s">
        <v>63</v>
      </c>
      <c r="K278" s="2" t="str">
        <f>_xlfn.IFNA(_xlfn.XLOOKUP(Table1[[#This Row],[N° BC]],'Commandes Dechargees'!B:B,'Commandes Dechargees'!P:P),"EN ATTENTE DE DECHARGEMENT")</f>
        <v>EN ATTENTE DE DECHARGEMENT</v>
      </c>
    </row>
    <row r="279" spans="3:11" ht="25.5" customHeight="1" x14ac:dyDescent="0.35">
      <c r="C279" s="19">
        <v>46286</v>
      </c>
      <c r="D279" s="2" t="s">
        <v>872</v>
      </c>
      <c r="E279" s="2" t="s">
        <v>869</v>
      </c>
      <c r="F279" s="3" t="str">
        <f>_xlfn.XLOOKUP(Table1[[#This Row],[Code Frs]],'CODE FRS'!B:B,'CODE FRS'!C:C)</f>
        <v>MM LEKKER</v>
      </c>
      <c r="G279" s="2" t="s">
        <v>871</v>
      </c>
      <c r="H279" s="2">
        <v>194265065</v>
      </c>
      <c r="I279" s="2">
        <v>45</v>
      </c>
      <c r="J279" s="2" t="s">
        <v>63</v>
      </c>
      <c r="K279" s="2" t="str">
        <f>_xlfn.IFNA(_xlfn.XLOOKUP(Table1[[#This Row],[N° BC]],'Commandes Dechargees'!B:B,'Commandes Dechargees'!P:P),"EN ATTENTE DE DECHARGEMENT")</f>
        <v>EN ATTENTE DE DECHARGEMENT</v>
      </c>
    </row>
    <row r="280" spans="3:11" ht="25.5" customHeight="1" x14ac:dyDescent="0.35">
      <c r="C280" s="19">
        <v>46286</v>
      </c>
      <c r="D280" s="2" t="s">
        <v>874</v>
      </c>
      <c r="E280" s="2" t="s">
        <v>403</v>
      </c>
      <c r="F280" s="3" t="str">
        <f>_xlfn.XLOOKUP(Table1[[#This Row],[Code Frs]],'CODE FRS'!B:B,'CODE FRS'!C:C)</f>
        <v>Mr MOMO</v>
      </c>
      <c r="G280" s="2" t="s">
        <v>873</v>
      </c>
      <c r="H280" s="2">
        <v>197043803</v>
      </c>
      <c r="I280" s="2">
        <v>50</v>
      </c>
      <c r="J280" s="2" t="s">
        <v>63</v>
      </c>
      <c r="K280" s="2" t="str">
        <f>_xlfn.IFNA(_xlfn.XLOOKUP(Table1[[#This Row],[N° BC]],'Commandes Dechargees'!B:B,'Commandes Dechargees'!P:P),"EN ATTENTE DE DECHARGEMENT")</f>
        <v>EN ATTENTE DE DECHARGEMENT</v>
      </c>
    </row>
    <row r="281" spans="3:11" ht="25.5" customHeight="1" x14ac:dyDescent="0.35">
      <c r="C281" s="19">
        <v>46286</v>
      </c>
      <c r="D281" s="2" t="s">
        <v>876</v>
      </c>
      <c r="E281" s="2" t="s">
        <v>269</v>
      </c>
      <c r="F281" s="3" t="str">
        <f>_xlfn.XLOOKUP(Table1[[#This Row],[Code Frs]],'CODE FRS'!B:B,'CODE FRS'!C:C)</f>
        <v>AZOGA ARMAND</v>
      </c>
      <c r="G281" s="2" t="s">
        <v>875</v>
      </c>
      <c r="H281" s="2">
        <v>147233259</v>
      </c>
      <c r="I281" s="2">
        <v>50</v>
      </c>
      <c r="J281" s="2" t="s">
        <v>63</v>
      </c>
      <c r="K281" s="2" t="str">
        <f>_xlfn.IFNA(_xlfn.XLOOKUP(Table1[[#This Row],[N° BC]],'Commandes Dechargees'!B:B,'Commandes Dechargees'!P:P),"EN ATTENTE DE DECHARGEMENT")</f>
        <v>EN ATTENTE DE DECHARGEMENT</v>
      </c>
    </row>
  </sheetData>
  <phoneticPr fontId="10" type="noConversion"/>
  <conditionalFormatting sqref="D5:D281">
    <cfRule type="duplicateValues" dxfId="13" priority="44"/>
  </conditionalFormatting>
  <conditionalFormatting sqref="J1:J1048576">
    <cfRule type="cellIs" dxfId="12" priority="3" operator="equal">
      <formula>"APPROUVE"</formula>
    </cfRule>
  </conditionalFormatting>
  <conditionalFormatting sqref="J5:J281">
    <cfRule type="cellIs" dxfId="11" priority="8" operator="equal">
      <formula>"REJETE"</formula>
    </cfRule>
    <cfRule type="cellIs" dxfId="10" priority="9" operator="equal">
      <formula>"EN ATTENTE"</formula>
    </cfRule>
  </conditionalFormatting>
  <conditionalFormatting sqref="K1:K1048576">
    <cfRule type="cellIs" dxfId="9" priority="2" operator="equal">
      <formula>"REJETE"</formula>
    </cfRule>
  </conditionalFormatting>
  <conditionalFormatting sqref="K5:K281">
    <cfRule type="cellIs" dxfId="8" priority="6" operator="equal">
      <formula>"DECHARGE"</formula>
    </cfRule>
    <cfRule type="cellIs" dxfId="7" priority="7" operator="equal">
      <formula>"EN ATTENTE DE DECHARGEMENT"</formula>
    </cfRule>
  </conditionalFormatting>
  <pageMargins left="0.3" right="0.3" top="0.4" bottom="0.4" header="0.511811023622047" footer="0.511811023622047"/>
  <pageSetup scale="52" fitToHeight="0" orientation="landscape" horizontalDpi="300" verticalDpi="30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3F2131-85FC-4607-AA20-F85A4D4DF45C}">
          <x14:formula1>
            <xm:f>'CODE FRS'!$F$4:$F$6</xm:f>
          </x14:formula1>
          <xm:sqref>J30:J40 J42:J47 J5:J28 J49:J207</xm:sqref>
        </x14:dataValidation>
        <x14:dataValidation type="list" allowBlank="1" showInputMessage="1" showErrorMessage="1" xr:uid="{126B3011-2C6C-4956-B865-0F8B8357AE38}">
          <x14:formula1>
            <xm:f>'CODE FRS'!$G$4:$G$6</xm:f>
          </x14:formula1>
          <xm:sqref>K5:K281</xm:sqref>
        </x14:dataValidation>
        <x14:dataValidation type="list" allowBlank="1" showInputMessage="1" showErrorMessage="1" xr:uid="{DA2B8892-2805-4181-93BB-6C6224E05472}">
          <x14:formula1>
            <xm:f>'CODE FRS'!$F$4:$F$8</xm:f>
          </x14:formula1>
          <xm:sqref>J41 J48</xm:sqref>
        </x14:dataValidation>
        <x14:dataValidation type="list" allowBlank="1" showInputMessage="1" showErrorMessage="1" xr:uid="{C569D2B9-43CD-472F-AE11-A73E505C18DB}">
          <x14:formula1>
            <xm:f>'CODE FRS'!$F$4:$F$7</xm:f>
          </x14:formula1>
          <xm:sqref>J29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1BF51-B1BC-4EE8-B3B4-D95F9E6E9ADD}">
  <sheetPr codeName="Feuil3" filterMode="1">
    <pageSetUpPr fitToPage="1"/>
  </sheetPr>
  <dimension ref="A1:K65"/>
  <sheetViews>
    <sheetView zoomScale="70" zoomScaleNormal="70" workbookViewId="0">
      <selection activeCell="B19" sqref="B19"/>
    </sheetView>
  </sheetViews>
  <sheetFormatPr baseColWidth="10" defaultColWidth="8.7265625" defaultRowHeight="14.5" x14ac:dyDescent="0.35"/>
  <cols>
    <col min="2" max="2" width="16.1796875" customWidth="1"/>
    <col min="3" max="3" width="50.08984375" bestFit="1" customWidth="1"/>
    <col min="6" max="6" width="12.1796875" bestFit="1" customWidth="1"/>
    <col min="7" max="7" width="28.7265625" bestFit="1" customWidth="1"/>
  </cols>
  <sheetData>
    <row r="1" spans="1:11" ht="23" x14ac:dyDescent="0.35">
      <c r="A1" s="9" t="s">
        <v>219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23.5" customHeight="1" x14ac:dyDescent="0.35">
      <c r="B3" s="8" t="s">
        <v>215</v>
      </c>
      <c r="C3" s="8" t="s">
        <v>216</v>
      </c>
      <c r="F3" s="8" t="s">
        <v>19</v>
      </c>
      <c r="G3" s="8" t="s">
        <v>21</v>
      </c>
    </row>
    <row r="4" spans="1:11" ht="18.5" hidden="1" x14ac:dyDescent="0.45">
      <c r="B4" s="27" t="s">
        <v>193</v>
      </c>
      <c r="C4" s="27" t="s">
        <v>51</v>
      </c>
      <c r="F4" s="7" t="s">
        <v>230</v>
      </c>
      <c r="G4" s="7" t="s">
        <v>55</v>
      </c>
    </row>
    <row r="5" spans="1:11" ht="18.5" hidden="1" x14ac:dyDescent="0.45">
      <c r="B5" s="27" t="s">
        <v>194</v>
      </c>
      <c r="C5" s="27" t="s">
        <v>58</v>
      </c>
      <c r="F5" s="7" t="s">
        <v>231</v>
      </c>
      <c r="G5" s="7" t="s">
        <v>231</v>
      </c>
    </row>
    <row r="6" spans="1:11" ht="18.5" hidden="1" x14ac:dyDescent="0.45">
      <c r="B6" s="27" t="s">
        <v>195</v>
      </c>
      <c r="C6" s="27" t="s">
        <v>39</v>
      </c>
      <c r="F6" s="7" t="s">
        <v>63</v>
      </c>
      <c r="G6" s="7" t="s">
        <v>2</v>
      </c>
    </row>
    <row r="7" spans="1:11" ht="18.5" hidden="1" x14ac:dyDescent="0.45">
      <c r="B7" s="27" t="s">
        <v>196</v>
      </c>
      <c r="C7" s="27" t="s">
        <v>48</v>
      </c>
      <c r="F7" s="7" t="s">
        <v>594</v>
      </c>
      <c r="G7" s="7" t="s">
        <v>594</v>
      </c>
    </row>
    <row r="8" spans="1:11" ht="18.5" hidden="1" x14ac:dyDescent="0.45">
      <c r="B8" s="27" t="s">
        <v>197</v>
      </c>
      <c r="C8" s="27" t="s">
        <v>83</v>
      </c>
      <c r="F8" s="7"/>
      <c r="G8" s="7"/>
    </row>
    <row r="9" spans="1:11" ht="18.5" hidden="1" x14ac:dyDescent="0.45">
      <c r="B9" s="27" t="s">
        <v>198</v>
      </c>
      <c r="C9" s="27" t="s">
        <v>52</v>
      </c>
      <c r="F9" s="7"/>
      <c r="G9" s="7"/>
    </row>
    <row r="10" spans="1:11" ht="18.5" hidden="1" x14ac:dyDescent="0.45">
      <c r="B10" s="27" t="s">
        <v>199</v>
      </c>
      <c r="C10" s="27" t="s">
        <v>40</v>
      </c>
    </row>
    <row r="11" spans="1:11" ht="18.5" hidden="1" x14ac:dyDescent="0.45">
      <c r="B11" s="27" t="s">
        <v>200</v>
      </c>
      <c r="C11" s="27" t="s">
        <v>379</v>
      </c>
    </row>
    <row r="12" spans="1:11" ht="18.5" hidden="1" x14ac:dyDescent="0.45">
      <c r="B12" s="27" t="s">
        <v>201</v>
      </c>
      <c r="C12" s="27" t="s">
        <v>46</v>
      </c>
    </row>
    <row r="13" spans="1:11" ht="18.5" hidden="1" x14ac:dyDescent="0.45">
      <c r="B13" s="27" t="s">
        <v>202</v>
      </c>
      <c r="C13" s="27" t="s">
        <v>42</v>
      </c>
    </row>
    <row r="14" spans="1:11" ht="18.5" hidden="1" x14ac:dyDescent="0.45">
      <c r="B14" s="27" t="s">
        <v>203</v>
      </c>
      <c r="C14" s="27" t="s">
        <v>41</v>
      </c>
    </row>
    <row r="15" spans="1:11" ht="18.5" hidden="1" x14ac:dyDescent="0.45">
      <c r="B15" s="27" t="s">
        <v>204</v>
      </c>
      <c r="C15" s="27" t="s">
        <v>119</v>
      </c>
    </row>
    <row r="16" spans="1:11" ht="18.5" hidden="1" x14ac:dyDescent="0.45">
      <c r="B16" s="27" t="s">
        <v>205</v>
      </c>
      <c r="C16" s="27" t="s">
        <v>463</v>
      </c>
    </row>
    <row r="17" spans="2:3" ht="18.5" hidden="1" x14ac:dyDescent="0.45">
      <c r="B17" s="27" t="s">
        <v>206</v>
      </c>
      <c r="C17" s="27" t="s">
        <v>44</v>
      </c>
    </row>
    <row r="18" spans="2:3" ht="18.5" hidden="1" x14ac:dyDescent="0.45">
      <c r="B18" s="27" t="s">
        <v>207</v>
      </c>
      <c r="C18" s="27" t="s">
        <v>45</v>
      </c>
    </row>
    <row r="19" spans="2:3" ht="18.5" x14ac:dyDescent="0.45">
      <c r="B19" s="27" t="s">
        <v>208</v>
      </c>
      <c r="C19" s="27" t="s">
        <v>37</v>
      </c>
    </row>
    <row r="20" spans="2:3" ht="18.5" hidden="1" x14ac:dyDescent="0.45">
      <c r="B20" s="27" t="s">
        <v>209</v>
      </c>
      <c r="C20" s="27" t="s">
        <v>38</v>
      </c>
    </row>
    <row r="21" spans="2:3" ht="18.5" hidden="1" x14ac:dyDescent="0.45">
      <c r="B21" s="27" t="s">
        <v>210</v>
      </c>
      <c r="C21" s="27" t="s">
        <v>50</v>
      </c>
    </row>
    <row r="22" spans="2:3" ht="18.5" hidden="1" x14ac:dyDescent="0.45">
      <c r="B22" s="27" t="s">
        <v>211</v>
      </c>
      <c r="C22" s="27" t="s">
        <v>47</v>
      </c>
    </row>
    <row r="23" spans="2:3" ht="18.5" hidden="1" x14ac:dyDescent="0.45">
      <c r="B23" s="27" t="s">
        <v>212</v>
      </c>
      <c r="C23" s="27" t="s">
        <v>43</v>
      </c>
    </row>
    <row r="24" spans="2:3" ht="18.5" hidden="1" x14ac:dyDescent="0.45">
      <c r="B24" s="27" t="s">
        <v>213</v>
      </c>
      <c r="C24" s="27" t="s">
        <v>181</v>
      </c>
    </row>
    <row r="25" spans="2:3" ht="18.5" hidden="1" x14ac:dyDescent="0.45">
      <c r="B25" s="27" t="s">
        <v>214</v>
      </c>
      <c r="C25" s="27" t="s">
        <v>226</v>
      </c>
    </row>
    <row r="26" spans="2:3" ht="18.5" hidden="1" x14ac:dyDescent="0.45">
      <c r="B26" s="27" t="s">
        <v>218</v>
      </c>
      <c r="C26" s="27" t="s">
        <v>192</v>
      </c>
    </row>
    <row r="27" spans="2:3" ht="18.5" hidden="1" x14ac:dyDescent="0.45">
      <c r="B27" s="27" t="s">
        <v>228</v>
      </c>
      <c r="C27" s="27" t="s">
        <v>49</v>
      </c>
    </row>
    <row r="28" spans="2:3" ht="18.5" hidden="1" x14ac:dyDescent="0.45">
      <c r="B28" s="27" t="s">
        <v>266</v>
      </c>
      <c r="C28" s="27" t="s">
        <v>267</v>
      </c>
    </row>
    <row r="29" spans="2:3" ht="18.5" hidden="1" x14ac:dyDescent="0.45">
      <c r="B29" s="27" t="s">
        <v>269</v>
      </c>
      <c r="C29" s="27" t="s">
        <v>268</v>
      </c>
    </row>
    <row r="30" spans="2:3" ht="18.5" hidden="1" x14ac:dyDescent="0.45">
      <c r="B30" s="27" t="s">
        <v>273</v>
      </c>
      <c r="C30" s="27" t="s">
        <v>272</v>
      </c>
    </row>
    <row r="31" spans="2:3" ht="18.5" hidden="1" x14ac:dyDescent="0.45">
      <c r="B31" s="27" t="s">
        <v>279</v>
      </c>
      <c r="C31" s="27" t="s">
        <v>278</v>
      </c>
    </row>
    <row r="32" spans="2:3" ht="18.5" hidden="1" x14ac:dyDescent="0.45">
      <c r="B32" s="27" t="s">
        <v>281</v>
      </c>
      <c r="C32" s="27" t="s">
        <v>280</v>
      </c>
    </row>
    <row r="33" spans="2:3" ht="18.5" hidden="1" x14ac:dyDescent="0.45">
      <c r="B33" s="27" t="s">
        <v>289</v>
      </c>
      <c r="C33" s="27" t="s">
        <v>288</v>
      </c>
    </row>
    <row r="34" spans="2:3" ht="18.5" hidden="1" x14ac:dyDescent="0.45">
      <c r="B34" s="27" t="s">
        <v>309</v>
      </c>
      <c r="C34" s="27" t="s">
        <v>308</v>
      </c>
    </row>
    <row r="35" spans="2:3" ht="18.5" hidden="1" x14ac:dyDescent="0.45">
      <c r="B35" s="27" t="s">
        <v>339</v>
      </c>
      <c r="C35" s="27" t="s">
        <v>338</v>
      </c>
    </row>
    <row r="36" spans="2:3" ht="18.5" hidden="1" x14ac:dyDescent="0.45">
      <c r="B36" s="27" t="s">
        <v>343</v>
      </c>
      <c r="C36" s="27" t="s">
        <v>342</v>
      </c>
    </row>
    <row r="37" spans="2:3" ht="18.5" hidden="1" x14ac:dyDescent="0.45">
      <c r="B37" s="27" t="s">
        <v>373</v>
      </c>
      <c r="C37" s="27" t="s">
        <v>372</v>
      </c>
    </row>
    <row r="38" spans="2:3" ht="18.5" hidden="1" x14ac:dyDescent="0.45">
      <c r="B38" s="27" t="s">
        <v>377</v>
      </c>
      <c r="C38" s="27" t="s">
        <v>468</v>
      </c>
    </row>
    <row r="39" spans="2:3" ht="18.5" hidden="1" x14ac:dyDescent="0.45">
      <c r="B39" s="27" t="s">
        <v>385</v>
      </c>
      <c r="C39" s="27" t="s">
        <v>382</v>
      </c>
    </row>
    <row r="40" spans="2:3" ht="18.5" hidden="1" x14ac:dyDescent="0.45">
      <c r="B40" s="27" t="s">
        <v>391</v>
      </c>
      <c r="C40" s="27" t="s">
        <v>390</v>
      </c>
    </row>
    <row r="41" spans="2:3" ht="18.5" hidden="1" x14ac:dyDescent="0.45">
      <c r="B41" s="27" t="s">
        <v>401</v>
      </c>
      <c r="C41" s="27" t="s">
        <v>400</v>
      </c>
    </row>
    <row r="42" spans="2:3" ht="18.5" hidden="1" x14ac:dyDescent="0.45">
      <c r="B42" s="27" t="s">
        <v>403</v>
      </c>
      <c r="C42" s="27" t="s">
        <v>404</v>
      </c>
    </row>
    <row r="43" spans="2:3" ht="18.5" hidden="1" x14ac:dyDescent="0.45">
      <c r="B43" s="27" t="s">
        <v>448</v>
      </c>
      <c r="C43" s="27" t="s">
        <v>447</v>
      </c>
    </row>
    <row r="44" spans="2:3" ht="18.5" hidden="1" x14ac:dyDescent="0.45">
      <c r="B44" s="27" t="s">
        <v>474</v>
      </c>
      <c r="C44" s="27" t="s">
        <v>473</v>
      </c>
    </row>
    <row r="45" spans="2:3" ht="18.5" hidden="1" x14ac:dyDescent="0.45">
      <c r="B45" s="27" t="s">
        <v>477</v>
      </c>
      <c r="C45" s="27" t="s">
        <v>478</v>
      </c>
    </row>
    <row r="46" spans="2:3" ht="18.5" hidden="1" x14ac:dyDescent="0.45">
      <c r="B46" s="27" t="s">
        <v>488</v>
      </c>
      <c r="C46" s="27" t="s">
        <v>596</v>
      </c>
    </row>
    <row r="47" spans="2:3" ht="18.5" hidden="1" x14ac:dyDescent="0.45">
      <c r="B47" s="27" t="s">
        <v>525</v>
      </c>
      <c r="C47" s="27" t="s">
        <v>524</v>
      </c>
    </row>
    <row r="48" spans="2:3" ht="18.5" hidden="1" x14ac:dyDescent="0.45">
      <c r="B48" s="27" t="s">
        <v>572</v>
      </c>
      <c r="C48" s="27" t="s">
        <v>571</v>
      </c>
    </row>
    <row r="49" spans="2:6" ht="18.5" hidden="1" x14ac:dyDescent="0.45">
      <c r="B49" s="27" t="s">
        <v>591</v>
      </c>
      <c r="C49" s="27" t="s">
        <v>590</v>
      </c>
    </row>
    <row r="50" spans="2:6" ht="18.5" hidden="1" x14ac:dyDescent="0.45">
      <c r="B50" s="27" t="s">
        <v>680</v>
      </c>
      <c r="C50" s="27" t="s">
        <v>679</v>
      </c>
      <c r="F50" s="27"/>
    </row>
    <row r="51" spans="2:6" ht="18.5" hidden="1" x14ac:dyDescent="0.45">
      <c r="B51" s="27" t="s">
        <v>683</v>
      </c>
      <c r="C51" s="27" t="s">
        <v>682</v>
      </c>
    </row>
    <row r="52" spans="2:6" ht="18.5" hidden="1" x14ac:dyDescent="0.45">
      <c r="B52" s="27" t="s">
        <v>711</v>
      </c>
      <c r="C52" s="27" t="s">
        <v>710</v>
      </c>
    </row>
    <row r="53" spans="2:6" ht="18.5" hidden="1" x14ac:dyDescent="0.45">
      <c r="B53" s="27" t="s">
        <v>717</v>
      </c>
      <c r="C53" s="27" t="s">
        <v>716</v>
      </c>
    </row>
    <row r="54" spans="2:6" ht="18.5" hidden="1" x14ac:dyDescent="0.45">
      <c r="B54" s="27" t="s">
        <v>769</v>
      </c>
      <c r="C54" s="27" t="s">
        <v>770</v>
      </c>
    </row>
    <row r="55" spans="2:6" ht="18.5" hidden="1" x14ac:dyDescent="0.45">
      <c r="B55" s="27" t="s">
        <v>782</v>
      </c>
      <c r="C55" s="27" t="s">
        <v>783</v>
      </c>
    </row>
    <row r="56" spans="2:6" ht="18.5" hidden="1" x14ac:dyDescent="0.45">
      <c r="B56" s="27" t="s">
        <v>788</v>
      </c>
      <c r="C56" s="27" t="s">
        <v>789</v>
      </c>
    </row>
    <row r="57" spans="2:6" ht="18.5" hidden="1" x14ac:dyDescent="0.45">
      <c r="B57" s="27" t="s">
        <v>816</v>
      </c>
      <c r="C57" s="27" t="s">
        <v>817</v>
      </c>
    </row>
    <row r="58" spans="2:6" ht="18.5" hidden="1" x14ac:dyDescent="0.45">
      <c r="B58" s="27" t="s">
        <v>837</v>
      </c>
      <c r="C58" s="27" t="s">
        <v>838</v>
      </c>
    </row>
    <row r="59" spans="2:6" ht="18.5" hidden="1" x14ac:dyDescent="0.45">
      <c r="B59" s="27" t="s">
        <v>846</v>
      </c>
      <c r="C59" s="27" t="s">
        <v>847</v>
      </c>
    </row>
    <row r="60" spans="2:6" ht="18.5" hidden="1" x14ac:dyDescent="0.45">
      <c r="B60" s="27" t="s">
        <v>850</v>
      </c>
      <c r="C60" s="27" t="s">
        <v>851</v>
      </c>
    </row>
    <row r="61" spans="2:6" ht="18.5" hidden="1" x14ac:dyDescent="0.45">
      <c r="B61" s="27" t="s">
        <v>869</v>
      </c>
      <c r="C61" s="27" t="s">
        <v>870</v>
      </c>
    </row>
    <row r="62" spans="2:6" ht="18.5" hidden="1" x14ac:dyDescent="0.45">
      <c r="B62" s="27" t="s">
        <v>893</v>
      </c>
      <c r="C62" s="27" t="s">
        <v>894</v>
      </c>
    </row>
    <row r="63" spans="2:6" ht="18.5" hidden="1" x14ac:dyDescent="0.45">
      <c r="B63" s="27" t="s">
        <v>901</v>
      </c>
      <c r="C63" s="27" t="s">
        <v>902</v>
      </c>
    </row>
    <row r="64" spans="2:6" ht="18.5" hidden="1" x14ac:dyDescent="0.45">
      <c r="B64" s="27" t="s">
        <v>927</v>
      </c>
      <c r="C64" s="27" t="s">
        <v>928</v>
      </c>
      <c r="D64" s="66"/>
    </row>
    <row r="65" spans="2:3" ht="18.5" hidden="1" x14ac:dyDescent="0.45">
      <c r="B65" s="27" t="s">
        <v>937</v>
      </c>
      <c r="C65" s="27" t="s">
        <v>938</v>
      </c>
    </row>
  </sheetData>
  <autoFilter ref="B3:C65" xr:uid="{29E1BF51-B1BC-4EE8-B3B4-D95F9E6E9ADD}">
    <filterColumn colId="1">
      <filters>
        <filter val="AHEGNI CASIMIR"/>
      </filters>
    </filterColumn>
  </autoFilter>
  <phoneticPr fontId="10" type="noConversion"/>
  <pageMargins left="0.7" right="0.7" top="0.75" bottom="0.75" header="0.3" footer="0.3"/>
  <pageSetup paperSize="9" scale="5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4">
    <tabColor rgb="FFC9A227"/>
    <pageSetUpPr fitToPage="1"/>
  </sheetPr>
  <dimension ref="A1:R219"/>
  <sheetViews>
    <sheetView showGridLines="0" tabSelected="1" zoomScale="68" zoomScaleNormal="68" workbookViewId="0">
      <pane ySplit="4" topLeftCell="A196" activePane="bottomLeft" state="frozen"/>
      <selection pane="bottomLeft" activeCell="C211" sqref="C211"/>
    </sheetView>
  </sheetViews>
  <sheetFormatPr baseColWidth="10" defaultColWidth="8.6328125" defaultRowHeight="14.5" x14ac:dyDescent="0.35"/>
  <cols>
    <col min="1" max="1" width="19.26953125" customWidth="1"/>
    <col min="2" max="3" width="16" customWidth="1"/>
    <col min="4" max="4" width="18.6328125" bestFit="1" customWidth="1"/>
    <col min="5" max="5" width="50.08984375" bestFit="1" customWidth="1"/>
    <col min="6" max="7" width="22" customWidth="1"/>
    <col min="8" max="8" width="15.36328125" customWidth="1"/>
    <col min="9" max="9" width="10" customWidth="1"/>
    <col min="10" max="10" width="15.08984375" customWidth="1"/>
    <col min="11" max="11" width="21.26953125" customWidth="1"/>
    <col min="12" max="13" width="20.36328125" bestFit="1" customWidth="1"/>
    <col min="14" max="14" width="16.08984375" customWidth="1"/>
    <col min="15" max="15" width="30.453125" bestFit="1" customWidth="1"/>
    <col min="16" max="16" width="16.26953125" customWidth="1"/>
    <col min="17" max="17" width="14.54296875" customWidth="1"/>
  </cols>
  <sheetData>
    <row r="1" spans="1:18" ht="42" customHeight="1" x14ac:dyDescent="0.3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8" customHeight="1" x14ac:dyDescent="0.3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33.5" customHeight="1" x14ac:dyDescent="0.35">
      <c r="H3" s="22">
        <f>SUBTOTAL(9,Table2[Poids Net (KG)])</f>
        <v>8761330</v>
      </c>
      <c r="I3" s="22">
        <f>SUBTOTAL(9,Table2[Nb Sacs])</f>
        <v>92222</v>
      </c>
      <c r="J3" s="23">
        <f>AVERAGE(Table2[PU (FCFA/KG)])</f>
        <v>332.3349514563107</v>
      </c>
      <c r="K3" s="24">
        <f>SUBTOTAL(9,Table2[Montant Du])</f>
        <v>2912240270</v>
      </c>
      <c r="L3" s="26">
        <f>SUBTOTAL(9,Table2[Montant Paye])</f>
        <v>2311804896</v>
      </c>
      <c r="M3" s="25">
        <f>SUBTOTAL(9,Table2[Solde Restant])</f>
        <v>600435374</v>
      </c>
    </row>
    <row r="4" spans="1:18" ht="45.5" customHeight="1" x14ac:dyDescent="0.35">
      <c r="A4" s="44" t="s">
        <v>23</v>
      </c>
      <c r="B4" s="14" t="s">
        <v>16</v>
      </c>
      <c r="C4" s="14" t="s">
        <v>262</v>
      </c>
      <c r="D4" s="14" t="s">
        <v>217</v>
      </c>
      <c r="E4" s="6" t="s">
        <v>12</v>
      </c>
      <c r="F4" s="6" t="s">
        <v>17</v>
      </c>
      <c r="G4" s="6" t="s">
        <v>163</v>
      </c>
      <c r="H4" s="6" t="s">
        <v>20</v>
      </c>
      <c r="I4" s="6" t="s">
        <v>24</v>
      </c>
      <c r="J4" s="6" t="s">
        <v>25</v>
      </c>
      <c r="K4" s="6" t="s">
        <v>13</v>
      </c>
      <c r="L4" s="6" t="s">
        <v>26</v>
      </c>
      <c r="M4" s="6" t="s">
        <v>27</v>
      </c>
      <c r="N4" s="6" t="s">
        <v>14</v>
      </c>
      <c r="O4" s="6" t="s">
        <v>313</v>
      </c>
      <c r="P4" s="14" t="s">
        <v>21</v>
      </c>
      <c r="Q4" s="15" t="s">
        <v>28</v>
      </c>
      <c r="R4" s="6" t="s">
        <v>953</v>
      </c>
    </row>
    <row r="5" spans="1:18" ht="18.5" customHeight="1" x14ac:dyDescent="0.35">
      <c r="A5" s="42">
        <v>46245</v>
      </c>
      <c r="B5" s="1" t="s">
        <v>53</v>
      </c>
      <c r="C5" s="17">
        <v>1004</v>
      </c>
      <c r="D5" s="1" t="s">
        <v>193</v>
      </c>
      <c r="E5" s="3" t="str">
        <f>_xlfn.XLOOKUP(D5,'CODE FRS'!B:B,'CODE FRS'!C:C)</f>
        <v>TCHANIGA SAMSON</v>
      </c>
      <c r="F5" s="2" t="s">
        <v>54</v>
      </c>
      <c r="G5" s="2">
        <v>34650</v>
      </c>
      <c r="H5" s="4">
        <v>47300</v>
      </c>
      <c r="I5" s="4">
        <v>452</v>
      </c>
      <c r="J5" s="4">
        <v>330</v>
      </c>
      <c r="K5" s="4">
        <f>H5*J5</f>
        <v>15609000</v>
      </c>
      <c r="L5" s="4">
        <f>6000000+9609000</f>
        <v>15609000</v>
      </c>
      <c r="M5" s="4">
        <f>K5-L5</f>
        <v>0</v>
      </c>
      <c r="N5" s="2" t="str" cm="1">
        <f t="array" ref="N5">_xlfn.IFS(M5=0,"PAYE", M5&lt;0,"SURPLUS", K5=M5,"NON PAYE", TRUE,"PARTIEL")</f>
        <v>PAYE</v>
      </c>
      <c r="O5" s="18" t="s">
        <v>317</v>
      </c>
      <c r="P5" s="18" t="s">
        <v>55</v>
      </c>
      <c r="Q5" s="21" t="s">
        <v>164</v>
      </c>
    </row>
    <row r="6" spans="1:18" x14ac:dyDescent="0.35">
      <c r="A6" s="42">
        <v>46244</v>
      </c>
      <c r="B6" s="1" t="s">
        <v>56</v>
      </c>
      <c r="C6" s="17">
        <v>1003</v>
      </c>
      <c r="D6" s="1" t="s">
        <v>194</v>
      </c>
      <c r="E6" s="3" t="str">
        <f>_xlfn.XLOOKUP(D6,'CODE FRS'!B:B,'CODE FRS'!C:C)</f>
        <v>ISMAEL WASSIOU/ Mme ELISABETH</v>
      </c>
      <c r="F6" s="2" t="s">
        <v>57</v>
      </c>
      <c r="G6" s="2">
        <v>34599</v>
      </c>
      <c r="H6" s="4">
        <v>49380</v>
      </c>
      <c r="I6" s="4">
        <v>467</v>
      </c>
      <c r="J6" s="4">
        <v>330</v>
      </c>
      <c r="K6" s="4">
        <f t="shared" ref="K6:K47" si="0">H6*J6</f>
        <v>16295400</v>
      </c>
      <c r="L6" s="4">
        <v>16295400</v>
      </c>
      <c r="M6" s="4">
        <f t="shared" ref="M6:M47" si="1">K6-L6</f>
        <v>0</v>
      </c>
      <c r="N6" s="2" t="str" cm="1">
        <f t="array" ref="N6">_xlfn.IFS(M6=0,"PAYE", M6&lt;0,"SURPLUS", K6=M6,"NON PAYE", TRUE,"PARTIEL")</f>
        <v>PAYE</v>
      </c>
      <c r="O6" s="18" t="s">
        <v>319</v>
      </c>
      <c r="P6" s="18" t="s">
        <v>55</v>
      </c>
      <c r="Q6" s="21" t="s">
        <v>164</v>
      </c>
    </row>
    <row r="7" spans="1:18" x14ac:dyDescent="0.35">
      <c r="A7" s="42">
        <v>46245</v>
      </c>
      <c r="B7" s="19" t="s">
        <v>59</v>
      </c>
      <c r="C7" s="17">
        <v>1001</v>
      </c>
      <c r="D7" s="1" t="s">
        <v>193</v>
      </c>
      <c r="E7" s="3" t="str">
        <f>_xlfn.XLOOKUP(D7,'CODE FRS'!B:B,'CODE FRS'!C:C)</f>
        <v>TCHANIGA SAMSON</v>
      </c>
      <c r="F7" s="2" t="s">
        <v>60</v>
      </c>
      <c r="G7" s="2">
        <v>34658</v>
      </c>
      <c r="H7" s="4">
        <v>50160</v>
      </c>
      <c r="I7" s="4">
        <v>490</v>
      </c>
      <c r="J7" s="4">
        <v>330</v>
      </c>
      <c r="K7" s="4">
        <f t="shared" si="0"/>
        <v>16552800</v>
      </c>
      <c r="L7" s="4">
        <v>16552800</v>
      </c>
      <c r="M7" s="4">
        <f t="shared" si="1"/>
        <v>0</v>
      </c>
      <c r="N7" s="2" t="str" cm="1">
        <f t="array" ref="N7">_xlfn.IFS(M7=0,"PAYE", M7&lt;0,"SURPLUS", K7=M7,"NON PAYE", TRUE,"PARTIEL")</f>
        <v>PAYE</v>
      </c>
      <c r="O7" s="18" t="s">
        <v>314</v>
      </c>
      <c r="P7" s="18" t="s">
        <v>55</v>
      </c>
      <c r="Q7" s="21" t="s">
        <v>164</v>
      </c>
    </row>
    <row r="8" spans="1:18" x14ac:dyDescent="0.35">
      <c r="A8" s="42">
        <v>46247</v>
      </c>
      <c r="B8" s="1" t="s">
        <v>68</v>
      </c>
      <c r="C8" s="17">
        <v>1002</v>
      </c>
      <c r="D8" s="1" t="s">
        <v>194</v>
      </c>
      <c r="E8" s="3" t="str">
        <f>_xlfn.XLOOKUP(D8,'CODE FRS'!B:B,'CODE FRS'!C:C)</f>
        <v>ISMAEL WASSIOU/ Mme ELISABETH</v>
      </c>
      <c r="F8" s="2" t="s">
        <v>165</v>
      </c>
      <c r="G8" s="2">
        <v>34726</v>
      </c>
      <c r="H8" s="4">
        <v>49600</v>
      </c>
      <c r="I8" s="4">
        <v>508</v>
      </c>
      <c r="J8" s="4">
        <v>330</v>
      </c>
      <c r="K8" s="4">
        <f t="shared" si="0"/>
        <v>16368000</v>
      </c>
      <c r="L8" s="4">
        <v>0</v>
      </c>
      <c r="M8" s="4">
        <f t="shared" si="1"/>
        <v>16368000</v>
      </c>
      <c r="N8" s="2" t="str" cm="1">
        <f t="array" ref="N8">_xlfn.IFS(M8=0,"PAYE", M8&lt;0,"SURPLUS", K8=M8,"NON PAYE", TRUE,"PARTIEL")</f>
        <v>NON PAYE</v>
      </c>
      <c r="O8" s="18"/>
      <c r="P8" s="18" t="s">
        <v>55</v>
      </c>
      <c r="Q8" s="21" t="s">
        <v>164</v>
      </c>
    </row>
    <row r="9" spans="1:18" x14ac:dyDescent="0.35">
      <c r="A9" s="42">
        <v>46248</v>
      </c>
      <c r="B9" s="1" t="s">
        <v>64</v>
      </c>
      <c r="C9" s="17">
        <v>1005</v>
      </c>
      <c r="D9" s="1" t="s">
        <v>193</v>
      </c>
      <c r="E9" s="3" t="str">
        <f>_xlfn.XLOOKUP(D9,'CODE FRS'!B:B,'CODE FRS'!C:C)</f>
        <v>TCHANIGA SAMSON</v>
      </c>
      <c r="F9" s="2" t="s">
        <v>65</v>
      </c>
      <c r="G9" s="2">
        <v>34768</v>
      </c>
      <c r="H9" s="4">
        <v>40720</v>
      </c>
      <c r="I9" s="4">
        <v>370</v>
      </c>
      <c r="J9" s="4">
        <v>320</v>
      </c>
      <c r="K9" s="4">
        <f t="shared" si="0"/>
        <v>13030400</v>
      </c>
      <c r="L9" s="4">
        <v>13030400</v>
      </c>
      <c r="M9" s="4">
        <f t="shared" si="1"/>
        <v>0</v>
      </c>
      <c r="N9" s="2" t="str" cm="1">
        <f t="array" ref="N9">_xlfn.IFS(M9=0,"PAYE", M9&lt;0,"SURPLUS", K9=M9,"NON PAYE", TRUE,"PARTIEL")</f>
        <v>PAYE</v>
      </c>
      <c r="O9" s="18" t="s">
        <v>318</v>
      </c>
      <c r="P9" s="18" t="s">
        <v>55</v>
      </c>
      <c r="Q9" s="21" t="s">
        <v>164</v>
      </c>
    </row>
    <row r="10" spans="1:18" ht="28.5" customHeight="1" x14ac:dyDescent="0.35">
      <c r="A10" s="42">
        <v>46248</v>
      </c>
      <c r="B10" s="20"/>
      <c r="C10" s="17">
        <v>1006</v>
      </c>
      <c r="D10" s="1" t="s">
        <v>213</v>
      </c>
      <c r="E10" s="3" t="str">
        <f>_xlfn.XLOOKUP(D10,'CODE FRS'!B:B,'CODE FRS'!C:C)</f>
        <v>NOEL DOLEME</v>
      </c>
      <c r="F10" s="2" t="s">
        <v>96</v>
      </c>
      <c r="G10" s="2">
        <v>34753</v>
      </c>
      <c r="H10" s="4">
        <v>47500</v>
      </c>
      <c r="I10" s="4">
        <v>448</v>
      </c>
      <c r="J10" s="4">
        <v>330</v>
      </c>
      <c r="K10" s="4">
        <f t="shared" si="0"/>
        <v>15675000</v>
      </c>
      <c r="L10" s="4">
        <f>7000000+8675000</f>
        <v>15675000</v>
      </c>
      <c r="M10" s="4">
        <f t="shared" si="1"/>
        <v>0</v>
      </c>
      <c r="N10" s="2" t="str" cm="1">
        <f t="array" ref="N10">_xlfn.IFS(M10=0,"PAYE", M10&lt;0,"SURPLUS", K10=M10,"NON PAYE", TRUE,"PARTIEL")</f>
        <v>PAYE</v>
      </c>
      <c r="O10" s="18" t="s">
        <v>408</v>
      </c>
      <c r="P10" s="18" t="s">
        <v>55</v>
      </c>
      <c r="Q10" s="21" t="s">
        <v>164</v>
      </c>
    </row>
    <row r="11" spans="1:18" x14ac:dyDescent="0.35">
      <c r="A11" s="42">
        <v>46248</v>
      </c>
      <c r="B11" s="1" t="s">
        <v>71</v>
      </c>
      <c r="C11" s="17">
        <v>1007</v>
      </c>
      <c r="D11" s="1" t="s">
        <v>194</v>
      </c>
      <c r="E11" s="3" t="str">
        <f>_xlfn.XLOOKUP(D11,'CODE FRS'!B:B,'CODE FRS'!C:C)</f>
        <v>ISMAEL WASSIOU/ Mme ELISABETH</v>
      </c>
      <c r="F11" s="2" t="s">
        <v>70</v>
      </c>
      <c r="G11" s="2">
        <v>34762</v>
      </c>
      <c r="H11" s="4">
        <v>50120</v>
      </c>
      <c r="I11" s="4">
        <v>490</v>
      </c>
      <c r="J11" s="4">
        <v>330</v>
      </c>
      <c r="K11" s="4">
        <f t="shared" si="0"/>
        <v>16539600</v>
      </c>
      <c r="L11" s="4">
        <v>16539600</v>
      </c>
      <c r="M11" s="4">
        <f t="shared" si="1"/>
        <v>0</v>
      </c>
      <c r="N11" s="2" t="str" cm="1">
        <f t="array" ref="N11">_xlfn.IFS(M11=0,"PAYE", M11&lt;0,"SURPLUS", K11=M11,"NON PAYE", TRUE,"PARTIEL")</f>
        <v>PAYE</v>
      </c>
      <c r="O11" s="18" t="s">
        <v>319</v>
      </c>
      <c r="P11" s="18" t="s">
        <v>55</v>
      </c>
      <c r="Q11" s="21" t="s">
        <v>164</v>
      </c>
    </row>
    <row r="12" spans="1:18" x14ac:dyDescent="0.35">
      <c r="A12" s="42">
        <v>46249</v>
      </c>
      <c r="B12" s="1" t="s">
        <v>88</v>
      </c>
      <c r="C12" s="17">
        <v>1008</v>
      </c>
      <c r="D12" s="1" t="s">
        <v>198</v>
      </c>
      <c r="E12" s="3" t="str">
        <f>_xlfn.XLOOKUP(D12,'CODE FRS'!B:B,'CODE FRS'!C:C)</f>
        <v>VLAVONOU PIERRE</v>
      </c>
      <c r="F12" s="2" t="s">
        <v>89</v>
      </c>
      <c r="G12" s="2">
        <v>34786</v>
      </c>
      <c r="H12" s="4">
        <v>39240</v>
      </c>
      <c r="I12" s="4">
        <v>367</v>
      </c>
      <c r="J12" s="4">
        <v>330</v>
      </c>
      <c r="K12" s="4">
        <f t="shared" si="0"/>
        <v>12949200</v>
      </c>
      <c r="L12" s="4">
        <v>12949200</v>
      </c>
      <c r="M12" s="4">
        <f t="shared" si="1"/>
        <v>0</v>
      </c>
      <c r="N12" s="2" t="str" cm="1">
        <f t="array" ref="N12">_xlfn.IFS(M12=0,"PAYE", M12&lt;0,"SURPLUS", K12=M12,"NON PAYE", TRUE,"PARTIEL")</f>
        <v>PAYE</v>
      </c>
      <c r="O12" s="18" t="s">
        <v>320</v>
      </c>
      <c r="P12" s="18" t="s">
        <v>55</v>
      </c>
      <c r="Q12" s="21" t="s">
        <v>164</v>
      </c>
    </row>
    <row r="13" spans="1:18" x14ac:dyDescent="0.35">
      <c r="A13" s="42">
        <v>46251</v>
      </c>
      <c r="B13" s="1" t="s">
        <v>94</v>
      </c>
      <c r="C13" s="17">
        <v>1009</v>
      </c>
      <c r="D13" s="1" t="s">
        <v>193</v>
      </c>
      <c r="E13" s="3" t="str">
        <f>_xlfn.XLOOKUP(D13,'CODE FRS'!B:B,'CODE FRS'!C:C)</f>
        <v>TCHANIGA SAMSON</v>
      </c>
      <c r="F13" s="2" t="s">
        <v>95</v>
      </c>
      <c r="G13" s="2">
        <v>34820</v>
      </c>
      <c r="H13" s="4">
        <v>49640</v>
      </c>
      <c r="I13" s="4">
        <v>467</v>
      </c>
      <c r="J13" s="4">
        <v>330</v>
      </c>
      <c r="K13" s="4">
        <f t="shared" si="0"/>
        <v>16381200</v>
      </c>
      <c r="L13" s="4">
        <v>16381200</v>
      </c>
      <c r="M13" s="4">
        <f t="shared" si="1"/>
        <v>0</v>
      </c>
      <c r="N13" s="2" t="str" cm="1">
        <f t="array" ref="N13">_xlfn.IFS(M13=0,"PAYE", M13&lt;0,"SURPLUS", K13=M13,"NON PAYE", TRUE,"PARTIEL")</f>
        <v>PAYE</v>
      </c>
      <c r="O13" s="18" t="s">
        <v>316</v>
      </c>
      <c r="P13" s="18" t="s">
        <v>55</v>
      </c>
      <c r="Q13" s="21" t="s">
        <v>164</v>
      </c>
    </row>
    <row r="14" spans="1:18" x14ac:dyDescent="0.35">
      <c r="A14" s="42">
        <v>46251</v>
      </c>
      <c r="B14" s="1" t="s">
        <v>105</v>
      </c>
      <c r="C14" s="17">
        <v>1010</v>
      </c>
      <c r="D14" s="1" t="s">
        <v>193</v>
      </c>
      <c r="E14" s="3" t="str">
        <f>_xlfn.XLOOKUP(D14,'CODE FRS'!B:B,'CODE FRS'!C:C)</f>
        <v>TCHANIGA SAMSON</v>
      </c>
      <c r="F14" s="2" t="s">
        <v>106</v>
      </c>
      <c r="G14" s="2">
        <v>34823</v>
      </c>
      <c r="H14" s="4">
        <v>30320</v>
      </c>
      <c r="I14" s="4">
        <v>292</v>
      </c>
      <c r="J14" s="4">
        <v>330</v>
      </c>
      <c r="K14" s="4">
        <f t="shared" si="0"/>
        <v>10005600</v>
      </c>
      <c r="L14" s="4">
        <f>8000000+2005600</f>
        <v>10005600</v>
      </c>
      <c r="M14" s="4">
        <f t="shared" si="1"/>
        <v>0</v>
      </c>
      <c r="N14" s="2" t="str" cm="1">
        <f t="array" ref="N14">_xlfn.IFS(M14=0,"PAYE", M14&lt;0,"SURPLUS", K14=M14,"NON PAYE", TRUE,"PARTIEL")</f>
        <v>PAYE</v>
      </c>
      <c r="O14" s="18" t="s">
        <v>318</v>
      </c>
      <c r="P14" s="18" t="s">
        <v>55</v>
      </c>
      <c r="Q14" s="21" t="s">
        <v>164</v>
      </c>
    </row>
    <row r="15" spans="1:18" x14ac:dyDescent="0.35">
      <c r="A15" s="42">
        <v>46251</v>
      </c>
      <c r="B15" s="1" t="s">
        <v>74</v>
      </c>
      <c r="C15" s="17">
        <v>1011</v>
      </c>
      <c r="D15" s="1" t="s">
        <v>194</v>
      </c>
      <c r="E15" s="3" t="str">
        <f>_xlfn.XLOOKUP(D15,'CODE FRS'!B:B,'CODE FRS'!C:C)</f>
        <v>ISMAEL WASSIOU/ Mme ELISABETH</v>
      </c>
      <c r="F15" s="2" t="s">
        <v>166</v>
      </c>
      <c r="G15" s="2">
        <v>34816</v>
      </c>
      <c r="H15" s="4">
        <v>47140</v>
      </c>
      <c r="I15" s="4">
        <v>495</v>
      </c>
      <c r="J15" s="4">
        <v>330</v>
      </c>
      <c r="K15" s="4">
        <f t="shared" si="0"/>
        <v>15556200</v>
      </c>
      <c r="L15" s="4">
        <v>0</v>
      </c>
      <c r="M15" s="4">
        <f t="shared" si="1"/>
        <v>15556200</v>
      </c>
      <c r="N15" s="2" t="str" cm="1">
        <f t="array" ref="N15">_xlfn.IFS(M15=0,"PAYE", M15&lt;0,"SURPLUS", K15=M15,"NON PAYE", TRUE,"PARTIEL")</f>
        <v>NON PAYE</v>
      </c>
      <c r="O15" s="18"/>
      <c r="P15" s="18" t="s">
        <v>55</v>
      </c>
      <c r="Q15" s="21" t="s">
        <v>164</v>
      </c>
    </row>
    <row r="16" spans="1:18" x14ac:dyDescent="0.35">
      <c r="A16" s="42">
        <v>46251</v>
      </c>
      <c r="B16" s="1" t="s">
        <v>81</v>
      </c>
      <c r="C16" s="17">
        <v>1012</v>
      </c>
      <c r="D16" s="1" t="s">
        <v>197</v>
      </c>
      <c r="E16" s="3" t="str">
        <f>_xlfn.XLOOKUP(D16,'CODE FRS'!B:B,'CODE FRS'!C:C)</f>
        <v>ALLASSANE MARWANE</v>
      </c>
      <c r="F16" s="2" t="s">
        <v>82</v>
      </c>
      <c r="G16" s="2">
        <v>34817</v>
      </c>
      <c r="H16" s="4">
        <v>46060</v>
      </c>
      <c r="I16" s="4">
        <v>470</v>
      </c>
      <c r="J16" s="4">
        <v>330</v>
      </c>
      <c r="K16" s="4">
        <f t="shared" si="0"/>
        <v>15199800</v>
      </c>
      <c r="L16" s="4">
        <v>15199800</v>
      </c>
      <c r="M16" s="4">
        <f t="shared" si="1"/>
        <v>0</v>
      </c>
      <c r="N16" s="2" t="str" cm="1">
        <f t="array" ref="N16">_xlfn.IFS(M16=0,"PAYE", M16&lt;0,"SURPLUS", K16=M16,"NON PAYE", TRUE,"PARTIEL")</f>
        <v>PAYE</v>
      </c>
      <c r="O16" s="18" t="s">
        <v>330</v>
      </c>
      <c r="P16" s="18" t="s">
        <v>55</v>
      </c>
      <c r="Q16" s="21" t="s">
        <v>164</v>
      </c>
    </row>
    <row r="17" spans="1:17" x14ac:dyDescent="0.35">
      <c r="A17" s="42">
        <v>46252</v>
      </c>
      <c r="B17" s="1" t="s">
        <v>142</v>
      </c>
      <c r="C17" s="17">
        <v>1013</v>
      </c>
      <c r="D17" s="1" t="s">
        <v>193</v>
      </c>
      <c r="E17" s="3" t="str">
        <f>_xlfn.XLOOKUP(D17,'CODE FRS'!B:B,'CODE FRS'!C:C)</f>
        <v>TCHANIGA SAMSON</v>
      </c>
      <c r="F17" s="2" t="s">
        <v>143</v>
      </c>
      <c r="G17" s="2">
        <v>34861</v>
      </c>
      <c r="H17" s="4">
        <v>47340</v>
      </c>
      <c r="I17" s="4">
        <v>442</v>
      </c>
      <c r="J17" s="4">
        <v>330</v>
      </c>
      <c r="K17" s="4">
        <f t="shared" si="0"/>
        <v>15622200</v>
      </c>
      <c r="L17" s="4">
        <v>15622200</v>
      </c>
      <c r="M17" s="4">
        <f t="shared" si="1"/>
        <v>0</v>
      </c>
      <c r="N17" s="2" t="str" cm="1">
        <f t="array" ref="N17">_xlfn.IFS(M17=0,"PAYE", M17&lt;0,"SURPLUS", K17=M17,"NON PAYE", TRUE,"PARTIEL")</f>
        <v>PAYE</v>
      </c>
      <c r="O17" s="18" t="s">
        <v>315</v>
      </c>
      <c r="P17" s="18" t="s">
        <v>55</v>
      </c>
      <c r="Q17" s="21" t="s">
        <v>164</v>
      </c>
    </row>
    <row r="18" spans="1:17" x14ac:dyDescent="0.35">
      <c r="A18" s="42">
        <v>46252</v>
      </c>
      <c r="B18" s="20"/>
      <c r="C18" s="17">
        <v>1014</v>
      </c>
      <c r="D18" s="1" t="s">
        <v>198</v>
      </c>
      <c r="E18" s="3" t="str">
        <f>_xlfn.XLOOKUP(D18,'CODE FRS'!B:B,'CODE FRS'!C:C)</f>
        <v>VLAVONOU PIERRE</v>
      </c>
      <c r="F18" s="2" t="s">
        <v>167</v>
      </c>
      <c r="G18" s="2">
        <v>34848</v>
      </c>
      <c r="H18" s="4">
        <v>43820</v>
      </c>
      <c r="I18" s="4">
        <v>408</v>
      </c>
      <c r="J18" s="4">
        <v>330</v>
      </c>
      <c r="K18" s="4">
        <f t="shared" si="0"/>
        <v>14460600</v>
      </c>
      <c r="L18" s="4">
        <v>14460600</v>
      </c>
      <c r="M18" s="4">
        <f t="shared" si="1"/>
        <v>0</v>
      </c>
      <c r="N18" s="2" t="str" cm="1">
        <f t="array" ref="N18">_xlfn.IFS(M18=0,"PAYE", M18&lt;0,"SURPLUS", K18=M18,"NON PAYE", TRUE,"PARTIEL")</f>
        <v>PAYE</v>
      </c>
      <c r="O18" s="18" t="s">
        <v>321</v>
      </c>
      <c r="P18" s="18" t="s">
        <v>55</v>
      </c>
      <c r="Q18" s="21" t="s">
        <v>164</v>
      </c>
    </row>
    <row r="19" spans="1:17" x14ac:dyDescent="0.35">
      <c r="A19" s="42">
        <v>46252</v>
      </c>
      <c r="B19" s="1" t="s">
        <v>86</v>
      </c>
      <c r="C19" s="17">
        <v>1015</v>
      </c>
      <c r="D19" s="1" t="s">
        <v>198</v>
      </c>
      <c r="E19" s="3" t="str">
        <f>_xlfn.XLOOKUP(D19,'CODE FRS'!B:B,'CODE FRS'!C:C)</f>
        <v>VLAVONOU PIERRE</v>
      </c>
      <c r="F19" s="2" t="s">
        <v>168</v>
      </c>
      <c r="G19" s="2">
        <v>34849</v>
      </c>
      <c r="H19" s="4">
        <v>40020</v>
      </c>
      <c r="I19" s="4">
        <v>392</v>
      </c>
      <c r="J19" s="4">
        <v>330</v>
      </c>
      <c r="K19" s="4">
        <f t="shared" si="0"/>
        <v>13206600</v>
      </c>
      <c r="L19" s="4">
        <v>13206600</v>
      </c>
      <c r="M19" s="4">
        <f t="shared" si="1"/>
        <v>0</v>
      </c>
      <c r="N19" s="2" t="str" cm="1">
        <f t="array" ref="N19">_xlfn.IFS(M19=0,"PAYE", M19&lt;0,"SURPLUS", K19=M19,"NON PAYE", TRUE,"PARTIEL")</f>
        <v>PAYE</v>
      </c>
      <c r="O19" s="18" t="s">
        <v>324</v>
      </c>
      <c r="P19" s="18" t="s">
        <v>55</v>
      </c>
      <c r="Q19" s="21" t="s">
        <v>164</v>
      </c>
    </row>
    <row r="20" spans="1:17" x14ac:dyDescent="0.35">
      <c r="A20" s="42">
        <v>46252</v>
      </c>
      <c r="B20" s="20"/>
      <c r="C20" s="17">
        <v>1016</v>
      </c>
      <c r="D20" s="1" t="s">
        <v>198</v>
      </c>
      <c r="E20" s="3" t="str">
        <f>_xlfn.XLOOKUP(D20,'CODE FRS'!B:B,'CODE FRS'!C:C)</f>
        <v>VLAVONOU PIERRE</v>
      </c>
      <c r="F20" s="2" t="s">
        <v>169</v>
      </c>
      <c r="G20" s="2">
        <v>34847</v>
      </c>
      <c r="H20" s="4">
        <v>45460</v>
      </c>
      <c r="I20" s="4">
        <v>436</v>
      </c>
      <c r="J20" s="4">
        <v>330</v>
      </c>
      <c r="K20" s="4">
        <f t="shared" si="0"/>
        <v>15001800</v>
      </c>
      <c r="L20" s="4">
        <v>15001800</v>
      </c>
      <c r="M20" s="4">
        <f t="shared" si="1"/>
        <v>0</v>
      </c>
      <c r="N20" s="2" t="str" cm="1">
        <f t="array" ref="N20">_xlfn.IFS(M20=0,"PAYE", M20&lt;0,"SURPLUS", K20=M20,"NON PAYE", TRUE,"PARTIEL")</f>
        <v>PAYE</v>
      </c>
      <c r="O20" s="18" t="s">
        <v>322</v>
      </c>
      <c r="P20" s="18" t="s">
        <v>55</v>
      </c>
      <c r="Q20" s="21" t="s">
        <v>164</v>
      </c>
    </row>
    <row r="21" spans="1:17" x14ac:dyDescent="0.35">
      <c r="A21" s="42">
        <v>46253</v>
      </c>
      <c r="B21" s="1" t="s">
        <v>126</v>
      </c>
      <c r="C21" s="17">
        <v>1017</v>
      </c>
      <c r="D21" s="1" t="s">
        <v>209</v>
      </c>
      <c r="E21" s="3" t="str">
        <f>_xlfn.XLOOKUP(D21,'CODE FRS'!B:B,'CODE FRS'!C:C)</f>
        <v>AHOSSI GABIN</v>
      </c>
      <c r="F21" s="2" t="s">
        <v>170</v>
      </c>
      <c r="G21" s="2">
        <v>34870</v>
      </c>
      <c r="H21" s="4">
        <v>31360</v>
      </c>
      <c r="I21" s="4">
        <v>290</v>
      </c>
      <c r="J21" s="4">
        <v>332</v>
      </c>
      <c r="K21" s="4">
        <f t="shared" si="0"/>
        <v>10411520</v>
      </c>
      <c r="L21" s="4">
        <v>10411520</v>
      </c>
      <c r="M21" s="4">
        <f t="shared" si="1"/>
        <v>0</v>
      </c>
      <c r="N21" s="2" t="str" cm="1">
        <f t="array" ref="N21">_xlfn.IFS(M21=0,"PAYE", M21&lt;0,"SURPLUS", K21=M21,"NON PAYE", TRUE,"PARTIEL")</f>
        <v>PAYE</v>
      </c>
      <c r="O21" s="18" t="s">
        <v>323</v>
      </c>
      <c r="P21" s="18" t="s">
        <v>55</v>
      </c>
      <c r="Q21" s="21" t="s">
        <v>164</v>
      </c>
    </row>
    <row r="22" spans="1:17" x14ac:dyDescent="0.35">
      <c r="A22" s="42">
        <v>46253</v>
      </c>
      <c r="B22" s="20"/>
      <c r="C22" s="17">
        <v>1018</v>
      </c>
      <c r="D22" s="1" t="s">
        <v>228</v>
      </c>
      <c r="E22" s="3" t="str">
        <f>_xlfn.XLOOKUP(D22,'CODE FRS'!B:B,'CODE FRS'!C:C)</f>
        <v>MOISE YENAFO</v>
      </c>
      <c r="F22" s="2" t="s">
        <v>162</v>
      </c>
      <c r="G22" s="2">
        <v>34868</v>
      </c>
      <c r="H22" s="4">
        <v>31960</v>
      </c>
      <c r="I22" s="4">
        <v>332</v>
      </c>
      <c r="J22" s="4">
        <v>330</v>
      </c>
      <c r="K22" s="4">
        <f t="shared" si="0"/>
        <v>10546800</v>
      </c>
      <c r="L22" s="4">
        <v>10546800</v>
      </c>
      <c r="M22" s="4">
        <f t="shared" si="1"/>
        <v>0</v>
      </c>
      <c r="N22" s="2" t="str" cm="1">
        <f t="array" ref="N22">_xlfn.IFS(M22=0,"PAYE", M22&lt;0,"SURPLUS", K22=M22,"NON PAYE", TRUE,"PARTIEL")</f>
        <v>PAYE</v>
      </c>
      <c r="O22" s="18" t="s">
        <v>327</v>
      </c>
      <c r="P22" s="18" t="s">
        <v>55</v>
      </c>
      <c r="Q22" s="21" t="s">
        <v>164</v>
      </c>
    </row>
    <row r="23" spans="1:17" x14ac:dyDescent="0.35">
      <c r="A23" s="42">
        <v>46254</v>
      </c>
      <c r="B23" s="1" t="s">
        <v>128</v>
      </c>
      <c r="C23" s="17">
        <v>1019</v>
      </c>
      <c r="D23" s="1" t="s">
        <v>195</v>
      </c>
      <c r="E23" s="3" t="str">
        <f>_xlfn.XLOOKUP(D23,'CODE FRS'!B:B,'CODE FRS'!C:C)</f>
        <v>BADAROU SAID</v>
      </c>
      <c r="F23" s="2" t="s">
        <v>129</v>
      </c>
      <c r="G23" s="2">
        <v>34908</v>
      </c>
      <c r="H23" s="4">
        <v>48600</v>
      </c>
      <c r="I23" s="4">
        <v>461</v>
      </c>
      <c r="J23" s="4">
        <v>340</v>
      </c>
      <c r="K23" s="4">
        <f t="shared" si="0"/>
        <v>16524000</v>
      </c>
      <c r="L23" s="4">
        <v>16524000</v>
      </c>
      <c r="M23" s="4">
        <f t="shared" si="1"/>
        <v>0</v>
      </c>
      <c r="N23" s="2" t="str" cm="1">
        <f t="array" ref="N23">_xlfn.IFS(M23=0,"PAYE", M23&lt;0,"SURPLUS", K23=M23,"NON PAYE", TRUE,"PARTIEL")</f>
        <v>PAYE</v>
      </c>
      <c r="O23" s="18" t="s">
        <v>325</v>
      </c>
      <c r="P23" s="18" t="s">
        <v>55</v>
      </c>
      <c r="Q23" s="21" t="s">
        <v>164</v>
      </c>
    </row>
    <row r="24" spans="1:17" x14ac:dyDescent="0.35">
      <c r="A24" s="42">
        <v>46254</v>
      </c>
      <c r="B24" s="1" t="s">
        <v>132</v>
      </c>
      <c r="C24" s="17">
        <v>1020</v>
      </c>
      <c r="D24" s="1" t="s">
        <v>195</v>
      </c>
      <c r="E24" s="3" t="str">
        <f>_xlfn.XLOOKUP(D24,'CODE FRS'!B:B,'CODE FRS'!C:C)</f>
        <v>BADAROU SAID</v>
      </c>
      <c r="F24" s="2" t="s">
        <v>133</v>
      </c>
      <c r="G24" s="2">
        <v>34928</v>
      </c>
      <c r="H24" s="4">
        <v>44560</v>
      </c>
      <c r="I24" s="4">
        <v>430</v>
      </c>
      <c r="J24" s="4">
        <v>335</v>
      </c>
      <c r="K24" s="4">
        <f t="shared" si="0"/>
        <v>14927600</v>
      </c>
      <c r="L24" s="4">
        <v>14927600</v>
      </c>
      <c r="M24" s="4">
        <f t="shared" si="1"/>
        <v>0</v>
      </c>
      <c r="N24" s="2" t="str" cm="1">
        <f t="array" ref="N24">_xlfn.IFS(M24=0,"PAYE", M24&lt;0,"SURPLUS", K24=M24,"NON PAYE", TRUE,"PARTIEL")</f>
        <v>PAYE</v>
      </c>
      <c r="O24" s="18" t="s">
        <v>325</v>
      </c>
      <c r="P24" s="18" t="s">
        <v>55</v>
      </c>
      <c r="Q24" s="21" t="s">
        <v>164</v>
      </c>
    </row>
    <row r="25" spans="1:17" ht="18" customHeight="1" x14ac:dyDescent="0.35">
      <c r="A25" s="42">
        <v>46254</v>
      </c>
      <c r="B25" s="1" t="s">
        <v>97</v>
      </c>
      <c r="C25" s="17">
        <v>1021</v>
      </c>
      <c r="D25" s="1" t="s">
        <v>201</v>
      </c>
      <c r="E25" s="3" t="str">
        <f>_xlfn.XLOOKUP(D25,'CODE FRS'!B:B,'CODE FRS'!C:C)</f>
        <v>GOUDO DOSSOU ROMAIN</v>
      </c>
      <c r="F25" s="2" t="s">
        <v>98</v>
      </c>
      <c r="G25" s="2">
        <v>34913</v>
      </c>
      <c r="H25" s="4">
        <v>34980</v>
      </c>
      <c r="I25" s="4">
        <v>405</v>
      </c>
      <c r="J25" s="4">
        <v>330</v>
      </c>
      <c r="K25" s="4">
        <f t="shared" ref="K25:K41" si="2">H25*J25</f>
        <v>11543400</v>
      </c>
      <c r="L25" s="4">
        <f>200000+11343400</f>
        <v>11543400</v>
      </c>
      <c r="M25" s="4">
        <f t="shared" ref="M25:M41" si="3">K25-L25</f>
        <v>0</v>
      </c>
      <c r="N25" s="2" t="str" cm="1">
        <f t="array" ref="N25">_xlfn.IFS(M25=0,"PAYE", M25&lt;0,"SURPLUS", K25=M25,"NON PAYE", TRUE,"PARTIEL")</f>
        <v>PAYE</v>
      </c>
      <c r="O25" s="18" t="s">
        <v>326</v>
      </c>
      <c r="P25" s="18" t="s">
        <v>55</v>
      </c>
      <c r="Q25" s="21" t="s">
        <v>164</v>
      </c>
    </row>
    <row r="26" spans="1:17" x14ac:dyDescent="0.35">
      <c r="A26" s="42">
        <v>46255</v>
      </c>
      <c r="B26" s="1" t="s">
        <v>136</v>
      </c>
      <c r="C26" s="17">
        <v>1022</v>
      </c>
      <c r="D26" s="1" t="s">
        <v>203</v>
      </c>
      <c r="E26" s="3" t="str">
        <f>_xlfn.XLOOKUP(D26,'CODE FRS'!B:B,'CODE FRS'!C:C)</f>
        <v>CHIGBLO FERDINAND</v>
      </c>
      <c r="F26" s="2" t="s">
        <v>137</v>
      </c>
      <c r="G26" s="2">
        <v>34972</v>
      </c>
      <c r="H26" s="4">
        <v>45400</v>
      </c>
      <c r="I26" s="4">
        <v>420</v>
      </c>
      <c r="J26" s="4">
        <v>330</v>
      </c>
      <c r="K26" s="4">
        <f t="shared" si="2"/>
        <v>14982000</v>
      </c>
      <c r="L26" s="4">
        <v>14982000</v>
      </c>
      <c r="M26" s="4">
        <f t="shared" si="3"/>
        <v>0</v>
      </c>
      <c r="N26" s="2" t="str" cm="1">
        <f t="array" ref="N26">_xlfn.IFS(M26=0,"PAYE", M26&lt;0,"SURPLUS", K26=M26,"NON PAYE", TRUE,"PARTIEL")</f>
        <v>PAYE</v>
      </c>
      <c r="O26" s="18" t="s">
        <v>332</v>
      </c>
      <c r="P26" s="18" t="s">
        <v>55</v>
      </c>
      <c r="Q26" s="21" t="s">
        <v>164</v>
      </c>
    </row>
    <row r="27" spans="1:17" x14ac:dyDescent="0.35">
      <c r="A27" s="42">
        <v>46255</v>
      </c>
      <c r="B27" s="1" t="s">
        <v>144</v>
      </c>
      <c r="C27" s="17">
        <v>1023</v>
      </c>
      <c r="D27" s="1" t="s">
        <v>196</v>
      </c>
      <c r="E27" s="3" t="str">
        <f>_xlfn.XLOOKUP(D27,'CODE FRS'!B:B,'CODE FRS'!C:C)</f>
        <v>ISMAEL WASSIOU</v>
      </c>
      <c r="F27" s="2" t="s">
        <v>145</v>
      </c>
      <c r="G27" s="2">
        <v>34964</v>
      </c>
      <c r="H27" s="4">
        <v>46160</v>
      </c>
      <c r="I27" s="4">
        <v>484</v>
      </c>
      <c r="J27" s="4">
        <v>330</v>
      </c>
      <c r="K27" s="4">
        <f t="shared" si="2"/>
        <v>15232800</v>
      </c>
      <c r="L27" s="4">
        <v>15232800</v>
      </c>
      <c r="M27" s="4">
        <f t="shared" si="3"/>
        <v>0</v>
      </c>
      <c r="N27" s="2" t="str" cm="1">
        <f t="array" ref="N27">_xlfn.IFS(M27=0,"PAYE", M27&lt;0,"SURPLUS", K27=M27,"NON PAYE", TRUE,"PARTIEL")</f>
        <v>PAYE</v>
      </c>
      <c r="O27" s="18" t="s">
        <v>503</v>
      </c>
      <c r="P27" s="18" t="s">
        <v>55</v>
      </c>
      <c r="Q27" s="21" t="s">
        <v>164</v>
      </c>
    </row>
    <row r="28" spans="1:17" x14ac:dyDescent="0.35">
      <c r="A28" s="42">
        <v>46255</v>
      </c>
      <c r="B28" s="1" t="s">
        <v>115</v>
      </c>
      <c r="C28" s="17">
        <v>1024</v>
      </c>
      <c r="D28" s="1" t="s">
        <v>208</v>
      </c>
      <c r="E28" s="3" t="str">
        <f>_xlfn.XLOOKUP(D28,'CODE FRS'!B:B,'CODE FRS'!C:C)</f>
        <v>AHEGNI CASIMIR</v>
      </c>
      <c r="F28" s="2" t="s">
        <v>116</v>
      </c>
      <c r="G28" s="2">
        <v>34989</v>
      </c>
      <c r="H28" s="4">
        <v>33980</v>
      </c>
      <c r="I28" s="4">
        <v>336</v>
      </c>
      <c r="J28" s="4">
        <v>340</v>
      </c>
      <c r="K28" s="4">
        <f t="shared" si="2"/>
        <v>11553200</v>
      </c>
      <c r="L28" s="4">
        <f>5000000+6553200</f>
        <v>11553200</v>
      </c>
      <c r="M28" s="4">
        <f t="shared" si="3"/>
        <v>0</v>
      </c>
      <c r="N28" s="2" t="str" cm="1">
        <f t="array" ref="N28">_xlfn.IFS(M28=0,"PAYE", M28&lt;0,"SURPLUS", K28=M28,"NON PAYE", TRUE,"PARTIEL")</f>
        <v>PAYE</v>
      </c>
      <c r="O28" s="18" t="s">
        <v>331</v>
      </c>
      <c r="P28" s="18" t="s">
        <v>55</v>
      </c>
      <c r="Q28" s="21" t="s">
        <v>164</v>
      </c>
    </row>
    <row r="29" spans="1:17" x14ac:dyDescent="0.35">
      <c r="A29" s="42">
        <v>46256</v>
      </c>
      <c r="B29" s="1" t="s">
        <v>148</v>
      </c>
      <c r="C29" s="17">
        <v>1025</v>
      </c>
      <c r="D29" s="1" t="s">
        <v>193</v>
      </c>
      <c r="E29" s="3" t="str">
        <f>_xlfn.XLOOKUP(D29,'CODE FRS'!B:B,'CODE FRS'!C:C)</f>
        <v>TCHANIGA SAMSON</v>
      </c>
      <c r="F29" s="2" t="s">
        <v>304</v>
      </c>
      <c r="G29" s="2">
        <v>34995</v>
      </c>
      <c r="H29" s="4">
        <v>44400</v>
      </c>
      <c r="I29" s="4">
        <v>420</v>
      </c>
      <c r="J29" s="4">
        <v>335</v>
      </c>
      <c r="K29" s="4">
        <f t="shared" si="2"/>
        <v>14874000</v>
      </c>
      <c r="L29" s="4">
        <v>14874000</v>
      </c>
      <c r="M29" s="4">
        <f t="shared" si="3"/>
        <v>0</v>
      </c>
      <c r="N29" s="2" t="str" cm="1">
        <f t="array" ref="N29">_xlfn.IFS(M29=0,"PAYE", M29&lt;0,"SURPLUS", K29=M29,"NON PAYE", TRUE,"PARTIEL")</f>
        <v>PAYE</v>
      </c>
      <c r="O29" s="18" t="s">
        <v>346</v>
      </c>
      <c r="P29" s="18" t="s">
        <v>55</v>
      </c>
      <c r="Q29" s="21" t="s">
        <v>164</v>
      </c>
    </row>
    <row r="30" spans="1:17" x14ac:dyDescent="0.35">
      <c r="A30" s="42">
        <v>46256</v>
      </c>
      <c r="B30" s="1" t="s">
        <v>150</v>
      </c>
      <c r="C30" s="17">
        <v>1026</v>
      </c>
      <c r="D30" s="1" t="s">
        <v>211</v>
      </c>
      <c r="E30" s="3" t="str">
        <f>_xlfn.XLOOKUP(D30,'CODE FRS'!B:B,'CODE FRS'!C:C)</f>
        <v>GOUNOU ELISABETH</v>
      </c>
      <c r="F30" s="2" t="s">
        <v>237</v>
      </c>
      <c r="G30" s="2">
        <v>34996</v>
      </c>
      <c r="H30" s="4">
        <v>49360</v>
      </c>
      <c r="I30" s="4">
        <v>460</v>
      </c>
      <c r="J30" s="4">
        <v>330</v>
      </c>
      <c r="K30" s="4">
        <f t="shared" si="2"/>
        <v>16288800</v>
      </c>
      <c r="L30" s="4">
        <v>16288800</v>
      </c>
      <c r="M30" s="4">
        <f t="shared" si="3"/>
        <v>0</v>
      </c>
      <c r="N30" s="2" t="str" cm="1">
        <f t="array" ref="N30">_xlfn.IFS(M30=0,"PAYE", M30&lt;0,"SURPLUS", K30=M30,"NON PAYE", TRUE,"PARTIEL")</f>
        <v>PAYE</v>
      </c>
      <c r="O30" s="18" t="s">
        <v>419</v>
      </c>
      <c r="P30" s="18" t="s">
        <v>55</v>
      </c>
      <c r="Q30" s="21" t="s">
        <v>164</v>
      </c>
    </row>
    <row r="31" spans="1:17" x14ac:dyDescent="0.35">
      <c r="A31" s="42">
        <v>46258</v>
      </c>
      <c r="B31" s="1" t="s">
        <v>156</v>
      </c>
      <c r="C31" s="17">
        <v>1027</v>
      </c>
      <c r="D31" s="1" t="s">
        <v>213</v>
      </c>
      <c r="E31" s="3" t="str">
        <f>_xlfn.XLOOKUP(D31,'CODE FRS'!B:B,'CODE FRS'!C:C)</f>
        <v>NOEL DOLEME</v>
      </c>
      <c r="F31" s="2" t="s">
        <v>243</v>
      </c>
      <c r="G31" s="2">
        <v>35009</v>
      </c>
      <c r="H31" s="4">
        <v>44520</v>
      </c>
      <c r="I31" s="4">
        <v>437</v>
      </c>
      <c r="J31" s="4">
        <v>330</v>
      </c>
      <c r="K31" s="4">
        <f t="shared" si="2"/>
        <v>14691600</v>
      </c>
      <c r="L31" s="4">
        <v>14691600</v>
      </c>
      <c r="M31" s="4">
        <f t="shared" si="3"/>
        <v>0</v>
      </c>
      <c r="N31" s="2" t="str" cm="1">
        <f t="array" ref="N31">_xlfn.IFS(M31=0,"PAYE", M31&lt;0,"SURPLUS", K31=M31,"NON PAYE", TRUE,"PARTIEL")</f>
        <v>PAYE</v>
      </c>
      <c r="O31" s="18" t="s">
        <v>414</v>
      </c>
      <c r="P31" s="18" t="s">
        <v>55</v>
      </c>
      <c r="Q31" s="21" t="s">
        <v>164</v>
      </c>
    </row>
    <row r="32" spans="1:17" x14ac:dyDescent="0.35">
      <c r="A32" s="42">
        <v>46258</v>
      </c>
      <c r="B32" s="1" t="s">
        <v>114</v>
      </c>
      <c r="C32" s="17">
        <v>1028</v>
      </c>
      <c r="D32" s="1" t="s">
        <v>207</v>
      </c>
      <c r="E32" s="3" t="str">
        <f>_xlfn.XLOOKUP(D32,'CODE FRS'!B:B,'CODE FRS'!C:C)</f>
        <v>GBAGBE MATHIAS</v>
      </c>
      <c r="F32" s="2" t="s">
        <v>305</v>
      </c>
      <c r="G32" s="2">
        <v>35014</v>
      </c>
      <c r="H32" s="4">
        <v>39620</v>
      </c>
      <c r="I32" s="4">
        <v>454</v>
      </c>
      <c r="J32" s="4">
        <v>335</v>
      </c>
      <c r="K32" s="4">
        <f t="shared" si="2"/>
        <v>13272700</v>
      </c>
      <c r="L32" s="4">
        <f>9000000+4272700</f>
        <v>13272700</v>
      </c>
      <c r="M32" s="4">
        <f t="shared" si="3"/>
        <v>0</v>
      </c>
      <c r="N32" s="2" t="str" cm="1">
        <f t="array" ref="N32">_xlfn.IFS(M32=0,"PAYE", M32&lt;0,"SURPLUS", K32=M32,"NON PAYE", TRUE,"PARTIEL")</f>
        <v>PAYE</v>
      </c>
      <c r="O32" s="18" t="s">
        <v>410</v>
      </c>
      <c r="P32" s="18" t="s">
        <v>55</v>
      </c>
      <c r="Q32" s="21" t="s">
        <v>164</v>
      </c>
    </row>
    <row r="33" spans="1:17" x14ac:dyDescent="0.35">
      <c r="A33" s="42">
        <v>46258</v>
      </c>
      <c r="B33" s="1" t="s">
        <v>161</v>
      </c>
      <c r="C33" s="17">
        <v>1029</v>
      </c>
      <c r="D33" s="1" t="s">
        <v>214</v>
      </c>
      <c r="E33" s="3" t="str">
        <f>_xlfn.XLOOKUP(D33,'CODE FRS'!B:B,'CODE FRS'!C:C)</f>
        <v>DAA-HINGBANON VIRGILE</v>
      </c>
      <c r="F33" s="2" t="s">
        <v>306</v>
      </c>
      <c r="G33" s="2">
        <v>35033</v>
      </c>
      <c r="H33" s="4">
        <v>33740</v>
      </c>
      <c r="I33" s="4">
        <v>301</v>
      </c>
      <c r="J33" s="4">
        <v>335</v>
      </c>
      <c r="K33" s="4">
        <f t="shared" si="2"/>
        <v>11302900</v>
      </c>
      <c r="L33" s="4">
        <v>11302900</v>
      </c>
      <c r="M33" s="4">
        <f t="shared" si="3"/>
        <v>0</v>
      </c>
      <c r="N33" s="2" t="str" cm="1">
        <f t="array" ref="N33">_xlfn.IFS(M33=0,"PAYE", M33&lt;0,"SURPLUS", K33=M33,"NON PAYE", TRUE,"PARTIEL")</f>
        <v>PAYE</v>
      </c>
      <c r="O33" s="18" t="s">
        <v>415</v>
      </c>
      <c r="P33" s="18" t="s">
        <v>55</v>
      </c>
      <c r="Q33" s="21" t="s">
        <v>164</v>
      </c>
    </row>
    <row r="34" spans="1:17" x14ac:dyDescent="0.35">
      <c r="A34" s="42">
        <v>46258</v>
      </c>
      <c r="B34" s="1" t="s">
        <v>177</v>
      </c>
      <c r="C34" s="17">
        <v>1030</v>
      </c>
      <c r="D34" s="1" t="s">
        <v>208</v>
      </c>
      <c r="E34" s="3" t="str">
        <f>_xlfn.XLOOKUP(D34,'CODE FRS'!B:B,'CODE FRS'!C:C)</f>
        <v>AHEGNI CASIMIR</v>
      </c>
      <c r="F34" s="2" t="s">
        <v>307</v>
      </c>
      <c r="G34" s="2">
        <v>35036</v>
      </c>
      <c r="H34" s="4">
        <v>46920</v>
      </c>
      <c r="I34" s="4">
        <v>479</v>
      </c>
      <c r="J34" s="4">
        <v>340</v>
      </c>
      <c r="K34" s="4">
        <f t="shared" si="2"/>
        <v>15952800</v>
      </c>
      <c r="L34" s="4">
        <v>15952800</v>
      </c>
      <c r="M34" s="4">
        <f t="shared" si="3"/>
        <v>0</v>
      </c>
      <c r="N34" s="2" t="str" cm="1">
        <f t="array" ref="N34">_xlfn.IFS(M34=0,"PAYE", M34&lt;0,"SURPLUS", K34=M34,"NON PAYE", TRUE,"PARTIEL")</f>
        <v>PAYE</v>
      </c>
      <c r="O34" s="18" t="s">
        <v>331</v>
      </c>
      <c r="P34" s="18" t="s">
        <v>55</v>
      </c>
      <c r="Q34" s="21" t="s">
        <v>164</v>
      </c>
    </row>
    <row r="35" spans="1:17" x14ac:dyDescent="0.35">
      <c r="A35" s="42">
        <v>46259</v>
      </c>
      <c r="B35" s="20"/>
      <c r="C35" s="17">
        <v>1031</v>
      </c>
      <c r="D35" s="1" t="s">
        <v>309</v>
      </c>
      <c r="E35" s="3" t="str">
        <f>_xlfn.XLOOKUP(D35,'CODE FRS'!B:B,'CODE FRS'!C:C)</f>
        <v>PROSPERE</v>
      </c>
      <c r="F35" s="2" t="s">
        <v>310</v>
      </c>
      <c r="G35" s="2">
        <v>35101</v>
      </c>
      <c r="H35" s="4">
        <v>42160</v>
      </c>
      <c r="I35" s="4">
        <v>419</v>
      </c>
      <c r="J35" s="4">
        <v>330</v>
      </c>
      <c r="K35" s="4">
        <f t="shared" si="2"/>
        <v>13912800</v>
      </c>
      <c r="L35" s="4">
        <f>10000000+3912800</f>
        <v>13912800</v>
      </c>
      <c r="M35" s="4">
        <f t="shared" si="3"/>
        <v>0</v>
      </c>
      <c r="N35" s="2" t="str" cm="1">
        <f t="array" ref="N35">_xlfn.IFS(M35=0,"PAYE", M35&lt;0,"SURPLUS", K35=M35,"NON PAYE", TRUE,"PARTIEL")</f>
        <v>PAYE</v>
      </c>
      <c r="O35" s="18" t="s">
        <v>495</v>
      </c>
      <c r="P35" s="18" t="s">
        <v>55</v>
      </c>
      <c r="Q35" s="21" t="s">
        <v>164</v>
      </c>
    </row>
    <row r="36" spans="1:17" ht="29" x14ac:dyDescent="0.35">
      <c r="A36" s="42">
        <v>46259</v>
      </c>
      <c r="B36" s="1" t="s">
        <v>171</v>
      </c>
      <c r="C36" s="17">
        <v>1032</v>
      </c>
      <c r="D36" s="1" t="s">
        <v>198</v>
      </c>
      <c r="E36" s="3" t="str">
        <f>_xlfn.XLOOKUP(D36,'CODE FRS'!B:B,'CODE FRS'!C:C)</f>
        <v>VLAVONOU PIERRE</v>
      </c>
      <c r="F36" s="2" t="s">
        <v>311</v>
      </c>
      <c r="G36" s="2">
        <v>35083</v>
      </c>
      <c r="H36" s="4">
        <v>50320</v>
      </c>
      <c r="I36" s="4">
        <v>490</v>
      </c>
      <c r="J36" s="4">
        <v>335</v>
      </c>
      <c r="K36" s="4">
        <f t="shared" si="2"/>
        <v>16857200</v>
      </c>
      <c r="L36" s="4">
        <f>1000000+5000000+10757200</f>
        <v>16757200</v>
      </c>
      <c r="M36" s="4">
        <f t="shared" si="3"/>
        <v>100000</v>
      </c>
      <c r="N36" s="2" t="str" cm="1">
        <f t="array" ref="N36">_xlfn.IFS(M36=0,"PAYE", M36&lt;0,"SURPLUS", K36=M36,"NON PAYE", TRUE,"PARTIEL")</f>
        <v>PARTIEL</v>
      </c>
      <c r="O36" s="18" t="s">
        <v>496</v>
      </c>
      <c r="P36" s="18" t="s">
        <v>55</v>
      </c>
      <c r="Q36" s="21" t="s">
        <v>164</v>
      </c>
    </row>
    <row r="37" spans="1:17" ht="29" x14ac:dyDescent="0.35">
      <c r="A37" s="42">
        <v>46259</v>
      </c>
      <c r="B37" s="1" t="s">
        <v>107</v>
      </c>
      <c r="C37" s="17">
        <v>1033</v>
      </c>
      <c r="D37" s="1" t="s">
        <v>205</v>
      </c>
      <c r="E37" s="3" t="str">
        <f>_xlfn.XLOOKUP(D37,'CODE FRS'!B:B,'CODE FRS'!C:C)</f>
        <v>MENSAH DANIEL JOEL</v>
      </c>
      <c r="F37" s="2" t="s">
        <v>108</v>
      </c>
      <c r="G37" s="2">
        <v>35063</v>
      </c>
      <c r="H37" s="4">
        <v>45300</v>
      </c>
      <c r="I37" s="4">
        <v>532</v>
      </c>
      <c r="J37" s="4">
        <v>335</v>
      </c>
      <c r="K37" s="4">
        <f t="shared" si="2"/>
        <v>15175500</v>
      </c>
      <c r="L37" s="4">
        <f>100000+9000000+6075500</f>
        <v>15175500</v>
      </c>
      <c r="M37" s="4">
        <f t="shared" si="3"/>
        <v>0</v>
      </c>
      <c r="N37" s="2" t="str" cm="1">
        <f t="array" ref="N37">_xlfn.IFS(M37=0,"PAYE", M37&lt;0,"SURPLUS", K37=M37,"NON PAYE", TRUE,"PARTIEL")</f>
        <v>PAYE</v>
      </c>
      <c r="O37" s="18" t="s">
        <v>412</v>
      </c>
      <c r="P37" s="18" t="s">
        <v>55</v>
      </c>
      <c r="Q37" s="21" t="s">
        <v>164</v>
      </c>
    </row>
    <row r="38" spans="1:17" x14ac:dyDescent="0.35">
      <c r="A38" s="42">
        <v>46259</v>
      </c>
      <c r="B38" s="1" t="s">
        <v>138</v>
      </c>
      <c r="C38" s="17">
        <v>1034</v>
      </c>
      <c r="D38" s="1" t="s">
        <v>195</v>
      </c>
      <c r="E38" s="3" t="str">
        <f>_xlfn.XLOOKUP(D38,'CODE FRS'!B:B,'CODE FRS'!C:C)</f>
        <v>BADAROU SAID</v>
      </c>
      <c r="F38" s="2" t="s">
        <v>312</v>
      </c>
      <c r="G38" s="2">
        <v>35085</v>
      </c>
      <c r="H38" s="4">
        <v>20900</v>
      </c>
      <c r="I38" s="4">
        <v>220</v>
      </c>
      <c r="J38" s="4">
        <v>345</v>
      </c>
      <c r="K38" s="4">
        <f t="shared" si="2"/>
        <v>7210500</v>
      </c>
      <c r="L38" s="4">
        <f>5000000+2210500</f>
        <v>7210500</v>
      </c>
      <c r="M38" s="4">
        <f t="shared" si="3"/>
        <v>0</v>
      </c>
      <c r="N38" s="2" t="str" cm="1">
        <f t="array" ref="N38">_xlfn.IFS(M38=0,"PAYE", M38&lt;0,"SURPLUS", K38=M38,"NON PAYE", TRUE,"PARTIEL")</f>
        <v>PAYE</v>
      </c>
      <c r="O38" s="18" t="s">
        <v>567</v>
      </c>
      <c r="P38" s="18" t="s">
        <v>55</v>
      </c>
      <c r="Q38" s="21" t="s">
        <v>164</v>
      </c>
    </row>
    <row r="39" spans="1:17" x14ac:dyDescent="0.35">
      <c r="A39" s="42">
        <v>46259</v>
      </c>
      <c r="B39" s="1" t="s">
        <v>184</v>
      </c>
      <c r="C39" s="17">
        <v>1035</v>
      </c>
      <c r="D39" s="1" t="s">
        <v>193</v>
      </c>
      <c r="E39" s="3" t="str">
        <f>_xlfn.XLOOKUP(D39,'CODE FRS'!B:B,'CODE FRS'!C:C)</f>
        <v>TCHANIGA SAMSON</v>
      </c>
      <c r="F39" s="2" t="s">
        <v>258</v>
      </c>
      <c r="G39" s="2">
        <v>35074</v>
      </c>
      <c r="H39" s="4">
        <v>42380</v>
      </c>
      <c r="I39" s="4">
        <v>460</v>
      </c>
      <c r="J39" s="4">
        <v>335</v>
      </c>
      <c r="K39" s="4">
        <f t="shared" si="2"/>
        <v>14197300</v>
      </c>
      <c r="L39" s="4">
        <v>14197300</v>
      </c>
      <c r="M39" s="4">
        <f t="shared" si="3"/>
        <v>0</v>
      </c>
      <c r="N39" s="2" t="str" cm="1">
        <f t="array" ref="N39">_xlfn.IFS(M39=0,"PAYE", M39&lt;0,"SURPLUS", K39=M39,"NON PAYE", TRUE,"PARTIEL")</f>
        <v>PAYE</v>
      </c>
      <c r="O39" s="18" t="s">
        <v>409</v>
      </c>
      <c r="P39" s="18" t="s">
        <v>55</v>
      </c>
      <c r="Q39" s="21" t="s">
        <v>164</v>
      </c>
    </row>
    <row r="40" spans="1:17" x14ac:dyDescent="0.35">
      <c r="A40" s="42">
        <v>46259</v>
      </c>
      <c r="B40" s="1"/>
      <c r="C40" s="17">
        <v>1036</v>
      </c>
      <c r="D40" s="1" t="s">
        <v>201</v>
      </c>
      <c r="E40" s="3" t="str">
        <f>_xlfn.XLOOKUP(D40,'CODE FRS'!B:B,'CODE FRS'!C:C)</f>
        <v>GOUDO DOSSOU ROMAIN</v>
      </c>
      <c r="F40" s="2" t="s">
        <v>98</v>
      </c>
      <c r="G40" s="2">
        <v>35127</v>
      </c>
      <c r="H40" s="4">
        <v>2700</v>
      </c>
      <c r="I40" s="4">
        <v>22</v>
      </c>
      <c r="J40" s="4">
        <v>330</v>
      </c>
      <c r="K40" s="4">
        <f t="shared" si="2"/>
        <v>891000</v>
      </c>
      <c r="L40" s="4">
        <v>891000</v>
      </c>
      <c r="M40" s="4">
        <f t="shared" si="3"/>
        <v>0</v>
      </c>
      <c r="N40" s="2" t="str" cm="1">
        <f t="array" ref="N40">_xlfn.IFS(M40=0,"PAYE", M40&lt;0,"SURPLUS", K40=M40,"NON PAYE", TRUE,"PARTIEL")</f>
        <v>PAYE</v>
      </c>
      <c r="O40" s="18" t="s">
        <v>411</v>
      </c>
      <c r="P40" s="18" t="s">
        <v>55</v>
      </c>
      <c r="Q40" s="21" t="s">
        <v>164</v>
      </c>
    </row>
    <row r="41" spans="1:17" x14ac:dyDescent="0.35">
      <c r="A41" s="42">
        <v>46259</v>
      </c>
      <c r="B41" s="1" t="s">
        <v>186</v>
      </c>
      <c r="C41" s="17">
        <v>1037</v>
      </c>
      <c r="D41" s="1" t="s">
        <v>201</v>
      </c>
      <c r="E41" s="3" t="str">
        <f>_xlfn.XLOOKUP(D41,'CODE FRS'!B:B,'CODE FRS'!C:C)</f>
        <v>GOUDO DOSSOU ROMAIN</v>
      </c>
      <c r="F41" s="2" t="s">
        <v>191</v>
      </c>
      <c r="G41" s="2">
        <v>35124</v>
      </c>
      <c r="H41" s="4">
        <v>51320</v>
      </c>
      <c r="I41" s="4">
        <v>475</v>
      </c>
      <c r="J41" s="4">
        <v>330</v>
      </c>
      <c r="K41" s="4">
        <f t="shared" si="2"/>
        <v>16935600</v>
      </c>
      <c r="L41" s="4">
        <f>13422400+2900000</f>
        <v>16322400</v>
      </c>
      <c r="M41" s="4">
        <f t="shared" si="3"/>
        <v>613200</v>
      </c>
      <c r="N41" s="2" t="str" cm="1">
        <f t="array" ref="N41">_xlfn.IFS(M41=0,"PAYE", M41&lt;0,"SURPLUS", K41=M41,"NON PAYE", TRUE,"PARTIEL")</f>
        <v>PARTIEL</v>
      </c>
      <c r="O41" s="18" t="s">
        <v>493</v>
      </c>
      <c r="P41" s="18" t="s">
        <v>55</v>
      </c>
      <c r="Q41" s="21" t="s">
        <v>164</v>
      </c>
    </row>
    <row r="42" spans="1:17" x14ac:dyDescent="0.35">
      <c r="A42" s="42">
        <v>46260</v>
      </c>
      <c r="B42" s="1" t="s">
        <v>183</v>
      </c>
      <c r="C42" s="17">
        <v>1038</v>
      </c>
      <c r="D42" s="1" t="s">
        <v>195</v>
      </c>
      <c r="E42" s="3" t="str">
        <f>_xlfn.XLOOKUP(D42,'CODE FRS'!B:B,'CODE FRS'!C:C)</f>
        <v>BADAROU SAID</v>
      </c>
      <c r="F42" s="2" t="s">
        <v>333</v>
      </c>
      <c r="G42" s="2">
        <v>35157</v>
      </c>
      <c r="H42" s="4">
        <v>45500</v>
      </c>
      <c r="I42" s="4">
        <v>485</v>
      </c>
      <c r="J42" s="4">
        <v>345</v>
      </c>
      <c r="K42" s="4">
        <f t="shared" si="0"/>
        <v>15697500</v>
      </c>
      <c r="L42" s="4">
        <f>10000000+5697500</f>
        <v>15697500</v>
      </c>
      <c r="M42" s="4">
        <f t="shared" si="1"/>
        <v>0</v>
      </c>
      <c r="N42" s="2" t="str" cm="1">
        <f t="array" ref="N42">_xlfn.IFS(M42=0,"PAYE", M42&lt;0,"SURPLUS", K42=M42,"NON PAYE", TRUE,"PARTIEL")</f>
        <v>PAYE</v>
      </c>
      <c r="O42" s="18" t="s">
        <v>568</v>
      </c>
      <c r="P42" s="18" t="s">
        <v>55</v>
      </c>
      <c r="Q42" s="21" t="s">
        <v>164</v>
      </c>
    </row>
    <row r="43" spans="1:17" x14ac:dyDescent="0.35">
      <c r="A43" s="42">
        <v>46260</v>
      </c>
      <c r="B43" s="1" t="s">
        <v>176</v>
      </c>
      <c r="C43" s="17">
        <v>1039</v>
      </c>
      <c r="D43" s="1" t="s">
        <v>208</v>
      </c>
      <c r="E43" s="3" t="str">
        <f>_xlfn.XLOOKUP(D43,'CODE FRS'!B:B,'CODE FRS'!C:C)</f>
        <v>AHEGNI CASIMIR</v>
      </c>
      <c r="F43" s="2" t="s">
        <v>54</v>
      </c>
      <c r="G43" s="2">
        <v>35182</v>
      </c>
      <c r="H43" s="4">
        <v>47940</v>
      </c>
      <c r="I43" s="4">
        <v>475</v>
      </c>
      <c r="J43" s="4">
        <v>340</v>
      </c>
      <c r="K43" s="4">
        <f t="shared" si="0"/>
        <v>16299600</v>
      </c>
      <c r="L43" s="4">
        <v>16299600</v>
      </c>
      <c r="M43" s="4">
        <f t="shared" si="1"/>
        <v>0</v>
      </c>
      <c r="N43" s="2" t="str" cm="1">
        <f t="array" ref="N43">_xlfn.IFS(M43=0,"PAYE", M43&lt;0,"SURPLUS", K43=M43,"NON PAYE", TRUE,"PARTIEL")</f>
        <v>PAYE</v>
      </c>
      <c r="O43" s="18" t="s">
        <v>413</v>
      </c>
      <c r="P43" s="18" t="s">
        <v>55</v>
      </c>
      <c r="Q43" s="21" t="s">
        <v>164</v>
      </c>
    </row>
    <row r="44" spans="1:17" x14ac:dyDescent="0.35">
      <c r="A44" s="42">
        <v>46260</v>
      </c>
      <c r="B44" s="1" t="s">
        <v>172</v>
      </c>
      <c r="C44" s="17">
        <v>1040</v>
      </c>
      <c r="D44" s="1" t="s">
        <v>208</v>
      </c>
      <c r="E44" s="3" t="str">
        <f>_xlfn.XLOOKUP(D44,'CODE FRS'!B:B,'CODE FRS'!C:C)</f>
        <v>AHEGNI CASIMIR</v>
      </c>
      <c r="F44" s="2" t="s">
        <v>334</v>
      </c>
      <c r="G44" s="2">
        <v>35180</v>
      </c>
      <c r="H44" s="4">
        <v>49020</v>
      </c>
      <c r="I44" s="4">
        <v>502</v>
      </c>
      <c r="J44" s="4">
        <v>340</v>
      </c>
      <c r="K44" s="4">
        <f t="shared" si="0"/>
        <v>16666800</v>
      </c>
      <c r="L44" s="4">
        <v>16666800</v>
      </c>
      <c r="M44" s="4">
        <f t="shared" si="1"/>
        <v>0</v>
      </c>
      <c r="N44" s="2" t="str" cm="1">
        <f t="array" ref="N44">_xlfn.IFS(M44=0,"PAYE", M44&lt;0,"SURPLUS", K44=M44,"NON PAYE", TRUE,"PARTIEL")</f>
        <v>PAYE</v>
      </c>
      <c r="O44" s="18" t="s">
        <v>497</v>
      </c>
      <c r="P44" s="18" t="s">
        <v>55</v>
      </c>
      <c r="Q44" s="21" t="s">
        <v>164</v>
      </c>
    </row>
    <row r="45" spans="1:17" x14ac:dyDescent="0.35">
      <c r="A45" s="42">
        <v>46260</v>
      </c>
      <c r="B45" s="20"/>
      <c r="C45" s="17">
        <v>1041</v>
      </c>
      <c r="D45" s="1" t="s">
        <v>200</v>
      </c>
      <c r="E45" s="3" t="str">
        <f>_xlfn.XLOOKUP(D45,'CODE FRS'!B:B,'CODE FRS'!C:C)</f>
        <v>HERVE KOBOLOU</v>
      </c>
      <c r="F45" s="2" t="s">
        <v>57</v>
      </c>
      <c r="G45" s="2">
        <v>35137</v>
      </c>
      <c r="H45" s="4">
        <v>49400</v>
      </c>
      <c r="I45" s="4">
        <v>468</v>
      </c>
      <c r="J45" s="4">
        <v>330</v>
      </c>
      <c r="K45" s="4">
        <f t="shared" si="0"/>
        <v>16302000</v>
      </c>
      <c r="L45" s="4">
        <f>10000000+6202000</f>
        <v>16202000</v>
      </c>
      <c r="M45" s="4">
        <f t="shared" si="1"/>
        <v>100000</v>
      </c>
      <c r="N45" s="2" t="str" cm="1">
        <f t="array" ref="N45">_xlfn.IFS(M45=0,"PAYE", M45&lt;0,"SURPLUS", K45=M45,"NON PAYE", TRUE,"PARTIEL")</f>
        <v>PARTIEL</v>
      </c>
      <c r="O45" s="18" t="s">
        <v>492</v>
      </c>
      <c r="P45" s="18" t="s">
        <v>55</v>
      </c>
      <c r="Q45" s="21" t="s">
        <v>164</v>
      </c>
    </row>
    <row r="46" spans="1:17" x14ac:dyDescent="0.35">
      <c r="A46" s="42">
        <v>46261</v>
      </c>
      <c r="B46" s="1" t="s">
        <v>292</v>
      </c>
      <c r="C46" s="17">
        <v>1042</v>
      </c>
      <c r="D46" s="1" t="s">
        <v>212</v>
      </c>
      <c r="E46" s="3" t="str">
        <f>_xlfn.XLOOKUP(D46,'CODE FRS'!B:B,'CODE FRS'!C:C)</f>
        <v>DOSSA MATHURIN</v>
      </c>
      <c r="F46" s="2" t="s">
        <v>270</v>
      </c>
      <c r="G46" s="2">
        <v>35194</v>
      </c>
      <c r="H46" s="4">
        <v>50060</v>
      </c>
      <c r="I46" s="4">
        <v>512</v>
      </c>
      <c r="J46" s="4">
        <v>335</v>
      </c>
      <c r="K46" s="4">
        <f t="shared" si="0"/>
        <v>16770100</v>
      </c>
      <c r="L46" s="4">
        <v>0</v>
      </c>
      <c r="M46" s="4">
        <f t="shared" si="1"/>
        <v>16770100</v>
      </c>
      <c r="N46" s="2" t="str" cm="1">
        <f t="array" ref="N46">_xlfn.IFS(M46=0,"PAYE", M46&lt;0,"SURPLUS", K46=M46,"NON PAYE", TRUE,"PARTIEL")</f>
        <v>NON PAYE</v>
      </c>
      <c r="O46" s="18" t="s">
        <v>491</v>
      </c>
      <c r="P46" s="18" t="s">
        <v>55</v>
      </c>
      <c r="Q46" s="21" t="s">
        <v>164</v>
      </c>
    </row>
    <row r="47" spans="1:17" x14ac:dyDescent="0.35">
      <c r="A47" s="42">
        <v>46261</v>
      </c>
      <c r="B47" s="1" t="s">
        <v>160</v>
      </c>
      <c r="C47" s="17">
        <v>1043</v>
      </c>
      <c r="D47" s="1" t="s">
        <v>193</v>
      </c>
      <c r="E47" s="3" t="str">
        <f>_xlfn.XLOOKUP(D47,'CODE FRS'!B:B,'CODE FRS'!C:C)</f>
        <v>TCHANIGA SAMSON</v>
      </c>
      <c r="F47" s="2" t="s">
        <v>247</v>
      </c>
      <c r="G47" s="2">
        <v>35243</v>
      </c>
      <c r="H47" s="4">
        <v>45620</v>
      </c>
      <c r="I47" s="4">
        <v>450</v>
      </c>
      <c r="J47" s="4">
        <v>335</v>
      </c>
      <c r="K47" s="4">
        <f t="shared" si="0"/>
        <v>15282700</v>
      </c>
      <c r="L47" s="4">
        <v>15282700</v>
      </c>
      <c r="M47" s="4">
        <f t="shared" si="1"/>
        <v>0</v>
      </c>
      <c r="N47" s="2" t="str" cm="1">
        <f t="array" ref="N47">_xlfn.IFS(M47=0,"PAYE", M47&lt;0,"SURPLUS", K47=M47,"NON PAYE", TRUE,"PARTIEL")</f>
        <v>PAYE</v>
      </c>
      <c r="O47" s="18" t="s">
        <v>464</v>
      </c>
      <c r="P47" s="18" t="s">
        <v>55</v>
      </c>
      <c r="Q47" s="21" t="s">
        <v>164</v>
      </c>
    </row>
    <row r="48" spans="1:17" x14ac:dyDescent="0.35">
      <c r="A48" s="42">
        <v>46262</v>
      </c>
      <c r="B48" s="1" t="s">
        <v>291</v>
      </c>
      <c r="C48" s="17">
        <v>1044</v>
      </c>
      <c r="D48" s="1" t="s">
        <v>266</v>
      </c>
      <c r="E48" s="3" t="str">
        <f>_xlfn.XLOOKUP(D48,'CODE FRS'!B:B,'CODE FRS'!C:C)</f>
        <v>ASSOGBA LEON</v>
      </c>
      <c r="F48" s="2" t="s">
        <v>238</v>
      </c>
      <c r="G48" s="2">
        <v>35276</v>
      </c>
      <c r="H48" s="4">
        <v>43340</v>
      </c>
      <c r="I48" s="4">
        <v>401</v>
      </c>
      <c r="J48" s="4">
        <v>330</v>
      </c>
      <c r="K48" s="4">
        <f t="shared" ref="K48:K71" si="4">H48*J48</f>
        <v>14302200</v>
      </c>
      <c r="L48" s="4">
        <v>14302200</v>
      </c>
      <c r="M48" s="4">
        <f t="shared" ref="M48:M71" si="5">K48-L48</f>
        <v>0</v>
      </c>
      <c r="N48" s="2" t="str" cm="1">
        <f t="array" ref="N48">_xlfn.IFS(M48=0,"PAYE", M48&lt;0,"SURPLUS", K48=M48,"NON PAYE", TRUE,"PARTIEL")</f>
        <v>PAYE</v>
      </c>
      <c r="O48" s="18" t="s">
        <v>502</v>
      </c>
      <c r="P48" s="18" t="s">
        <v>55</v>
      </c>
      <c r="Q48" s="21" t="s">
        <v>164</v>
      </c>
    </row>
    <row r="49" spans="1:17" x14ac:dyDescent="0.35">
      <c r="A49" s="42">
        <v>46262</v>
      </c>
      <c r="B49" s="1" t="s">
        <v>188</v>
      </c>
      <c r="C49" s="17">
        <v>1045</v>
      </c>
      <c r="D49" s="1" t="s">
        <v>193</v>
      </c>
      <c r="E49" s="3" t="str">
        <f>_xlfn.XLOOKUP(D49,'CODE FRS'!B:B,'CODE FRS'!C:C)</f>
        <v>TCHANIGA SAMSON</v>
      </c>
      <c r="F49" s="2" t="s">
        <v>261</v>
      </c>
      <c r="G49" s="2">
        <v>35271</v>
      </c>
      <c r="H49" s="4">
        <v>43680</v>
      </c>
      <c r="I49" s="4">
        <v>448</v>
      </c>
      <c r="J49" s="4">
        <v>335</v>
      </c>
      <c r="K49" s="4">
        <f t="shared" si="4"/>
        <v>14632800</v>
      </c>
      <c r="L49" s="4">
        <v>14632800</v>
      </c>
      <c r="M49" s="4">
        <f t="shared" si="5"/>
        <v>0</v>
      </c>
      <c r="N49" s="2" t="str" cm="1">
        <f t="array" ref="N49">_xlfn.IFS(M49=0,"PAYE", M49&lt;0,"SURPLUS", K49=M49,"NON PAYE", TRUE,"PARTIEL")</f>
        <v>PAYE</v>
      </c>
      <c r="O49" s="18" t="s">
        <v>498</v>
      </c>
      <c r="P49" s="18" t="s">
        <v>55</v>
      </c>
      <c r="Q49" s="21" t="s">
        <v>164</v>
      </c>
    </row>
    <row r="50" spans="1:17" x14ac:dyDescent="0.35">
      <c r="A50" s="42">
        <v>46262</v>
      </c>
      <c r="B50" s="1" t="s">
        <v>295</v>
      </c>
      <c r="C50" s="17">
        <v>1046</v>
      </c>
      <c r="D50" s="1" t="s">
        <v>208</v>
      </c>
      <c r="E50" s="3" t="str">
        <f>_xlfn.XLOOKUP(D50,'CODE FRS'!B:B,'CODE FRS'!C:C)</f>
        <v>AHEGNI CASIMIR</v>
      </c>
      <c r="F50" s="2" t="s">
        <v>275</v>
      </c>
      <c r="G50" s="2">
        <v>35291</v>
      </c>
      <c r="H50" s="4">
        <v>34280</v>
      </c>
      <c r="I50" s="4">
        <v>360</v>
      </c>
      <c r="J50" s="4">
        <v>340</v>
      </c>
      <c r="K50" s="4">
        <f t="shared" si="4"/>
        <v>11655200</v>
      </c>
      <c r="L50" s="4">
        <v>11655200</v>
      </c>
      <c r="M50" s="4">
        <f t="shared" si="5"/>
        <v>0</v>
      </c>
      <c r="N50" s="2" t="str" cm="1">
        <f t="array" ref="N50">_xlfn.IFS(M50=0,"PAYE", M50&lt;0,"SURPLUS", K50=M50,"NON PAYE", TRUE,"PARTIEL")</f>
        <v>PAYE</v>
      </c>
      <c r="O50" s="18" t="s">
        <v>465</v>
      </c>
      <c r="P50" s="18" t="s">
        <v>55</v>
      </c>
      <c r="Q50" s="21" t="s">
        <v>164</v>
      </c>
    </row>
    <row r="51" spans="1:17" x14ac:dyDescent="0.35">
      <c r="A51" s="42">
        <v>46262</v>
      </c>
      <c r="B51" s="1" t="s">
        <v>301</v>
      </c>
      <c r="C51" s="17">
        <v>1047</v>
      </c>
      <c r="D51" s="1" t="s">
        <v>213</v>
      </c>
      <c r="E51" s="3" t="str">
        <f>_xlfn.XLOOKUP(D51,'CODE FRS'!B:B,'CODE FRS'!C:C)</f>
        <v>NOEL DOLEME</v>
      </c>
      <c r="F51" s="2" t="s">
        <v>356</v>
      </c>
      <c r="G51" s="2">
        <v>35275</v>
      </c>
      <c r="H51" s="4">
        <v>47860</v>
      </c>
      <c r="I51" s="4">
        <v>470</v>
      </c>
      <c r="J51" s="4">
        <v>330</v>
      </c>
      <c r="K51" s="4">
        <f t="shared" si="4"/>
        <v>15793800</v>
      </c>
      <c r="L51" s="4">
        <f>13000000+2793800</f>
        <v>15793800</v>
      </c>
      <c r="M51" s="4">
        <f t="shared" si="5"/>
        <v>0</v>
      </c>
      <c r="N51" s="2" t="str" cm="1">
        <f t="array" ref="N51">_xlfn.IFS(M51=0,"PAYE", M51&lt;0,"SURPLUS", K51=M51,"NON PAYE", TRUE,"PARTIEL")</f>
        <v>PAYE</v>
      </c>
      <c r="O51" s="18" t="s">
        <v>548</v>
      </c>
      <c r="P51" s="18" t="s">
        <v>55</v>
      </c>
      <c r="Q51" s="21" t="s">
        <v>164</v>
      </c>
    </row>
    <row r="52" spans="1:17" x14ac:dyDescent="0.35">
      <c r="A52" s="42">
        <v>46263</v>
      </c>
      <c r="B52" s="1" t="s">
        <v>302</v>
      </c>
      <c r="C52" s="17">
        <v>1048</v>
      </c>
      <c r="D52" s="1" t="s">
        <v>212</v>
      </c>
      <c r="E52" s="3" t="str">
        <f>_xlfn.XLOOKUP(D52,'CODE FRS'!B:B,'CODE FRS'!C:C)</f>
        <v>DOSSA MATHURIN</v>
      </c>
      <c r="F52" s="2" t="s">
        <v>361</v>
      </c>
      <c r="G52" s="2">
        <v>35297</v>
      </c>
      <c r="H52" s="4">
        <v>50080</v>
      </c>
      <c r="I52" s="4">
        <v>470</v>
      </c>
      <c r="J52" s="4">
        <v>335</v>
      </c>
      <c r="K52" s="4">
        <f t="shared" si="4"/>
        <v>16776800</v>
      </c>
      <c r="L52" s="4">
        <f>15776800+1000000</f>
        <v>16776800</v>
      </c>
      <c r="M52" s="4">
        <f t="shared" si="5"/>
        <v>0</v>
      </c>
      <c r="N52" s="2" t="str" cm="1">
        <f t="array" ref="N52">_xlfn.IFS(M52=0,"PAYE", M52&lt;0,"SURPLUS", K52=M52,"NON PAYE", TRUE,"PARTIEL")</f>
        <v>PAYE</v>
      </c>
      <c r="O52" s="18" t="s">
        <v>553</v>
      </c>
      <c r="P52" s="18" t="s">
        <v>55</v>
      </c>
      <c r="Q52" s="21" t="s">
        <v>164</v>
      </c>
    </row>
    <row r="53" spans="1:17" x14ac:dyDescent="0.35">
      <c r="A53" s="42">
        <v>46265</v>
      </c>
      <c r="B53" s="20"/>
      <c r="C53" s="17">
        <v>1049</v>
      </c>
      <c r="D53" s="1" t="s">
        <v>202</v>
      </c>
      <c r="E53" s="3" t="str">
        <f>_xlfn.XLOOKUP(D53,'CODE FRS'!B:B,'CODE FRS'!C:C)</f>
        <v>COMLAN MAHOUSSE JOSPIN</v>
      </c>
      <c r="F53" s="2" t="s">
        <v>380</v>
      </c>
      <c r="G53" s="2">
        <v>35382</v>
      </c>
      <c r="H53" s="4">
        <v>46460</v>
      </c>
      <c r="I53" s="4">
        <v>500</v>
      </c>
      <c r="J53" s="4">
        <v>330</v>
      </c>
      <c r="K53" s="4">
        <f t="shared" si="4"/>
        <v>15331800</v>
      </c>
      <c r="L53" s="4">
        <v>15331800</v>
      </c>
      <c r="M53" s="4">
        <f t="shared" si="5"/>
        <v>0</v>
      </c>
      <c r="N53" s="2" t="str" cm="1">
        <f t="array" ref="N53">_xlfn.IFS(M53=0,"PAYE", M53&lt;0,"SURPLUS", K53=M53,"NON PAYE", TRUE,"PARTIEL")</f>
        <v>PAYE</v>
      </c>
      <c r="O53" s="18" t="s">
        <v>500</v>
      </c>
      <c r="P53" s="18" t="s">
        <v>55</v>
      </c>
      <c r="Q53" s="21" t="s">
        <v>164</v>
      </c>
    </row>
    <row r="54" spans="1:17" x14ac:dyDescent="0.35">
      <c r="A54" s="42">
        <v>46265</v>
      </c>
      <c r="B54" s="1" t="s">
        <v>130</v>
      </c>
      <c r="C54" s="17">
        <v>1050</v>
      </c>
      <c r="D54" s="1" t="s">
        <v>195</v>
      </c>
      <c r="E54" s="3" t="str">
        <f>_xlfn.XLOOKUP(D54,'CODE FRS'!B:B,'CODE FRS'!C:C)</f>
        <v>BADAROU SAID</v>
      </c>
      <c r="F54" s="2" t="s">
        <v>131</v>
      </c>
      <c r="G54" s="2">
        <v>35408</v>
      </c>
      <c r="H54" s="4">
        <v>26800</v>
      </c>
      <c r="I54" s="4">
        <v>300</v>
      </c>
      <c r="J54" s="4">
        <v>340</v>
      </c>
      <c r="K54" s="4">
        <f t="shared" si="4"/>
        <v>9112000</v>
      </c>
      <c r="L54" s="4">
        <v>9112000</v>
      </c>
      <c r="M54" s="4">
        <f t="shared" si="5"/>
        <v>0</v>
      </c>
      <c r="N54" s="2" t="str" cm="1">
        <f t="array" ref="N54">_xlfn.IFS(M54=0,"PAYE", M54&lt;0,"SURPLUS", K54=M54,"NON PAYE", TRUE,"PARTIEL")</f>
        <v>PAYE</v>
      </c>
      <c r="O54" s="18" t="s">
        <v>494</v>
      </c>
      <c r="P54" s="18" t="s">
        <v>55</v>
      </c>
      <c r="Q54" s="21" t="s">
        <v>164</v>
      </c>
    </row>
    <row r="55" spans="1:17" x14ac:dyDescent="0.35">
      <c r="A55" s="42">
        <v>46265</v>
      </c>
      <c r="B55" s="1" t="s">
        <v>381</v>
      </c>
      <c r="C55" s="17">
        <v>1051</v>
      </c>
      <c r="D55" s="1" t="s">
        <v>211</v>
      </c>
      <c r="E55" s="3" t="str">
        <f>_xlfn.XLOOKUP(D55,'CODE FRS'!B:B,'CODE FRS'!C:C)</f>
        <v>GOUNOU ELISABETH</v>
      </c>
      <c r="F55" s="2" t="s">
        <v>347</v>
      </c>
      <c r="G55" s="2">
        <v>35332</v>
      </c>
      <c r="H55" s="4">
        <v>49280</v>
      </c>
      <c r="I55" s="4">
        <v>516</v>
      </c>
      <c r="J55" s="4">
        <v>330</v>
      </c>
      <c r="K55" s="4">
        <f t="shared" si="4"/>
        <v>16262400</v>
      </c>
      <c r="L55" s="4">
        <v>16262400</v>
      </c>
      <c r="M55" s="4">
        <f t="shared" si="5"/>
        <v>0</v>
      </c>
      <c r="N55" s="2" t="str" cm="1">
        <f t="array" ref="N55">_xlfn.IFS(M55=0,"PAYE", M55&lt;0,"SURPLUS", K55=M55,"NON PAYE", TRUE,"PARTIEL")</f>
        <v>PAYE</v>
      </c>
      <c r="O55" s="18" t="s">
        <v>499</v>
      </c>
      <c r="P55" s="18" t="s">
        <v>55</v>
      </c>
      <c r="Q55" s="21" t="s">
        <v>164</v>
      </c>
    </row>
    <row r="56" spans="1:17" x14ac:dyDescent="0.35">
      <c r="A56" s="42">
        <v>46266</v>
      </c>
      <c r="B56" s="1" t="s">
        <v>357</v>
      </c>
      <c r="C56" s="17">
        <v>1052</v>
      </c>
      <c r="D56" s="1" t="s">
        <v>339</v>
      </c>
      <c r="E56" s="3" t="str">
        <f>_xlfn.XLOOKUP(D56,'CODE FRS'!B:B,'CODE FRS'!C:C)</f>
        <v>HASSANE SEYNI</v>
      </c>
      <c r="F56" s="2" t="s">
        <v>438</v>
      </c>
      <c r="G56" s="2">
        <v>35412</v>
      </c>
      <c r="H56" s="4">
        <v>48820</v>
      </c>
      <c r="I56" s="4">
        <v>541</v>
      </c>
      <c r="J56" s="4">
        <v>340</v>
      </c>
      <c r="K56" s="4">
        <f t="shared" si="4"/>
        <v>16598800</v>
      </c>
      <c r="L56" s="4">
        <v>16598800</v>
      </c>
      <c r="M56" s="4">
        <f t="shared" si="5"/>
        <v>0</v>
      </c>
      <c r="N56" s="2" t="str" cm="1">
        <f t="array" ref="N56">_xlfn.IFS(M56=0,"PAYE", M56&lt;0,"SURPLUS", K56=M56,"NON PAYE", TRUE,"PARTIEL")</f>
        <v>PAYE</v>
      </c>
      <c r="O56" s="18" t="s">
        <v>501</v>
      </c>
      <c r="P56" s="18" t="s">
        <v>55</v>
      </c>
      <c r="Q56" s="21" t="s">
        <v>164</v>
      </c>
    </row>
    <row r="57" spans="1:17" x14ac:dyDescent="0.35">
      <c r="A57" s="42">
        <v>46266</v>
      </c>
      <c r="B57" s="1" t="s">
        <v>345</v>
      </c>
      <c r="C57" s="17">
        <v>1053</v>
      </c>
      <c r="D57" s="1" t="s">
        <v>212</v>
      </c>
      <c r="E57" s="3" t="str">
        <f>_xlfn.XLOOKUP(D57,'CODE FRS'!B:B,'CODE FRS'!C:C)</f>
        <v>DOSSA MATHURIN</v>
      </c>
      <c r="F57" s="2" t="s">
        <v>60</v>
      </c>
      <c r="G57" s="2">
        <v>35422</v>
      </c>
      <c r="H57" s="4">
        <v>45100</v>
      </c>
      <c r="I57" s="4">
        <v>438</v>
      </c>
      <c r="J57" s="4">
        <v>335</v>
      </c>
      <c r="K57" s="4">
        <f t="shared" si="4"/>
        <v>15108500</v>
      </c>
      <c r="L57" s="4">
        <v>15108500</v>
      </c>
      <c r="M57" s="4">
        <f t="shared" si="5"/>
        <v>0</v>
      </c>
      <c r="N57" s="2" t="str" cm="1">
        <f t="array" ref="N57">_xlfn.IFS(M57=0,"PAYE", M57&lt;0,"SURPLUS", K57=M57,"NON PAYE", TRUE,"PARTIEL")</f>
        <v>PAYE</v>
      </c>
      <c r="O57" s="18" t="s">
        <v>552</v>
      </c>
      <c r="P57" s="18" t="s">
        <v>55</v>
      </c>
      <c r="Q57" s="21" t="s">
        <v>164</v>
      </c>
    </row>
    <row r="58" spans="1:17" x14ac:dyDescent="0.35">
      <c r="A58" s="42">
        <v>46266</v>
      </c>
      <c r="B58" s="1" t="s">
        <v>350</v>
      </c>
      <c r="C58" s="17">
        <v>1054</v>
      </c>
      <c r="D58" s="1" t="s">
        <v>193</v>
      </c>
      <c r="E58" s="3" t="str">
        <f>_xlfn.XLOOKUP(D58,'CODE FRS'!B:B,'CODE FRS'!C:C)</f>
        <v>TCHANIGA SAMSON</v>
      </c>
      <c r="F58" s="2" t="s">
        <v>351</v>
      </c>
      <c r="G58" s="2">
        <v>35453</v>
      </c>
      <c r="H58" s="4">
        <v>40020</v>
      </c>
      <c r="I58" s="4">
        <v>417</v>
      </c>
      <c r="J58" s="4">
        <v>335</v>
      </c>
      <c r="K58" s="4">
        <f t="shared" si="4"/>
        <v>13406700</v>
      </c>
      <c r="L58" s="4">
        <v>13406700</v>
      </c>
      <c r="M58" s="4">
        <f t="shared" si="5"/>
        <v>0</v>
      </c>
      <c r="N58" s="2" t="str" cm="1">
        <f t="array" ref="N58">_xlfn.IFS(M58=0,"PAYE", M58&lt;0,"SURPLUS", K58=M58,"NON PAYE", TRUE,"PARTIEL")</f>
        <v>PAYE</v>
      </c>
      <c r="O58" s="18" t="s">
        <v>514</v>
      </c>
      <c r="P58" s="18" t="s">
        <v>55</v>
      </c>
      <c r="Q58" s="21" t="s">
        <v>164</v>
      </c>
    </row>
    <row r="59" spans="1:17" x14ac:dyDescent="0.35">
      <c r="A59" s="42">
        <v>46266</v>
      </c>
      <c r="B59" s="1" t="s">
        <v>337</v>
      </c>
      <c r="C59" s="17">
        <v>1055</v>
      </c>
      <c r="D59" s="1" t="s">
        <v>339</v>
      </c>
      <c r="E59" s="3" t="str">
        <f>_xlfn.XLOOKUP(D59,'CODE FRS'!B:B,'CODE FRS'!C:C)</f>
        <v>HASSANE SEYNI</v>
      </c>
      <c r="F59" s="2" t="s">
        <v>340</v>
      </c>
      <c r="G59" s="2">
        <v>35411</v>
      </c>
      <c r="H59" s="4">
        <v>47680</v>
      </c>
      <c r="I59" s="4">
        <v>512</v>
      </c>
      <c r="J59" s="4">
        <v>340</v>
      </c>
      <c r="K59" s="4">
        <f t="shared" si="4"/>
        <v>16211200</v>
      </c>
      <c r="L59" s="4">
        <v>16211200</v>
      </c>
      <c r="M59" s="4">
        <f t="shared" si="5"/>
        <v>0</v>
      </c>
      <c r="N59" s="2" t="str" cm="1">
        <f t="array" ref="N59">_xlfn.IFS(M59=0,"PAYE", M59&lt;0,"SURPLUS", K59=M59,"NON PAYE", TRUE,"PARTIEL")</f>
        <v>PAYE</v>
      </c>
      <c r="O59" s="18" t="s">
        <v>561</v>
      </c>
      <c r="P59" s="18" t="s">
        <v>55</v>
      </c>
      <c r="Q59" s="21" t="s">
        <v>164</v>
      </c>
    </row>
    <row r="60" spans="1:17" x14ac:dyDescent="0.35">
      <c r="A60" s="42">
        <v>46266</v>
      </c>
      <c r="B60" s="1" t="s">
        <v>157</v>
      </c>
      <c r="C60" s="17">
        <v>1056</v>
      </c>
      <c r="D60" s="1" t="s">
        <v>208</v>
      </c>
      <c r="E60" s="3" t="str">
        <f>_xlfn.XLOOKUP(D60,'CODE FRS'!B:B,'CODE FRS'!C:C)</f>
        <v>AHEGNI CASIMIR</v>
      </c>
      <c r="F60" s="2" t="s">
        <v>439</v>
      </c>
      <c r="G60" s="2">
        <v>35423</v>
      </c>
      <c r="H60" s="4">
        <v>48220</v>
      </c>
      <c r="I60" s="4">
        <v>480</v>
      </c>
      <c r="J60" s="4">
        <v>340</v>
      </c>
      <c r="K60" s="4">
        <f t="shared" si="4"/>
        <v>16394800</v>
      </c>
      <c r="L60" s="4">
        <v>16394800</v>
      </c>
      <c r="M60" s="4">
        <f>K60-L60</f>
        <v>0</v>
      </c>
      <c r="N60" s="2" t="str" cm="1">
        <f t="array" ref="N60">_xlfn.IFS(M60=0,"PAYE", M60&lt;0,"SURPLUS", K60=M60,"NON PAYE", TRUE,"PARTIEL")</f>
        <v>PAYE</v>
      </c>
      <c r="O60" s="18" t="s">
        <v>554</v>
      </c>
      <c r="P60" s="18" t="s">
        <v>55</v>
      </c>
      <c r="Q60" s="21" t="s">
        <v>164</v>
      </c>
    </row>
    <row r="61" spans="1:17" x14ac:dyDescent="0.35">
      <c r="A61" s="42">
        <v>46267</v>
      </c>
      <c r="B61" s="1" t="s">
        <v>364</v>
      </c>
      <c r="C61" s="17">
        <v>1057</v>
      </c>
      <c r="D61" s="1" t="s">
        <v>208</v>
      </c>
      <c r="E61" s="3" t="str">
        <f>_xlfn.XLOOKUP(D61,'CODE FRS'!B:B,'CODE FRS'!C:C)</f>
        <v>AHEGNI CASIMIR</v>
      </c>
      <c r="F61" s="2" t="s">
        <v>365</v>
      </c>
      <c r="G61" s="2">
        <v>35476</v>
      </c>
      <c r="H61" s="4">
        <v>48300</v>
      </c>
      <c r="I61" s="4">
        <v>516</v>
      </c>
      <c r="J61" s="4">
        <v>340</v>
      </c>
      <c r="K61" s="4">
        <f t="shared" si="4"/>
        <v>16422000</v>
      </c>
      <c r="L61" s="4">
        <v>16422000</v>
      </c>
      <c r="M61" s="4">
        <f t="shared" si="5"/>
        <v>0</v>
      </c>
      <c r="N61" s="2" t="str" cm="1">
        <f t="array" ref="N61">_xlfn.IFS(M61=0,"PAYE", M61&lt;0,"SURPLUS", K61=M61,"NON PAYE", TRUE,"PARTIEL")</f>
        <v>PAYE</v>
      </c>
      <c r="O61" s="18" t="s">
        <v>554</v>
      </c>
      <c r="P61" s="18" t="s">
        <v>55</v>
      </c>
      <c r="Q61" s="21" t="s">
        <v>164</v>
      </c>
    </row>
    <row r="62" spans="1:17" x14ac:dyDescent="0.35">
      <c r="A62" s="42">
        <v>46268</v>
      </c>
      <c r="B62" s="1" t="s">
        <v>158</v>
      </c>
      <c r="C62" s="17">
        <v>1058</v>
      </c>
      <c r="D62" s="1" t="s">
        <v>208</v>
      </c>
      <c r="E62" s="3" t="str">
        <f>_xlfn.XLOOKUP(D62,'CODE FRS'!B:B,'CODE FRS'!C:C)</f>
        <v>AHEGNI CASIMIR</v>
      </c>
      <c r="F62" s="2" t="s">
        <v>444</v>
      </c>
      <c r="G62" s="2">
        <v>35516</v>
      </c>
      <c r="H62" s="4">
        <v>32320</v>
      </c>
      <c r="I62" s="4">
        <v>346</v>
      </c>
      <c r="J62" s="4">
        <v>340</v>
      </c>
      <c r="K62" s="4">
        <v>10988800</v>
      </c>
      <c r="L62" s="4">
        <v>10988800</v>
      </c>
      <c r="M62" s="4">
        <f t="shared" si="5"/>
        <v>0</v>
      </c>
      <c r="N62" s="2" t="str" cm="1">
        <f t="array" ref="N62">_xlfn.IFS(M62=0,"PAYE", M62&lt;0,"SURPLUS", K62=M62,"NON PAYE", TRUE,"PARTIEL")</f>
        <v>PAYE</v>
      </c>
      <c r="O62" s="18" t="s">
        <v>663</v>
      </c>
      <c r="P62" s="18" t="s">
        <v>55</v>
      </c>
      <c r="Q62" s="21" t="s">
        <v>164</v>
      </c>
    </row>
    <row r="63" spans="1:17" x14ac:dyDescent="0.35">
      <c r="A63" s="42">
        <v>46268</v>
      </c>
      <c r="B63" s="1"/>
      <c r="C63" s="17">
        <v>1059</v>
      </c>
      <c r="D63" s="1" t="s">
        <v>228</v>
      </c>
      <c r="E63" s="3" t="str">
        <f>_xlfn.XLOOKUP(D63,'CODE FRS'!B:B,'CODE FRS'!C:C)</f>
        <v>MOISE YENAFO</v>
      </c>
      <c r="F63" s="2" t="s">
        <v>445</v>
      </c>
      <c r="G63" s="2">
        <v>35514</v>
      </c>
      <c r="H63" s="4">
        <v>33820</v>
      </c>
      <c r="I63" s="4">
        <v>375</v>
      </c>
      <c r="J63" s="4">
        <v>330</v>
      </c>
      <c r="K63" s="4">
        <f t="shared" si="4"/>
        <v>11160600</v>
      </c>
      <c r="L63" s="4">
        <v>11160600</v>
      </c>
      <c r="M63" s="4">
        <f t="shared" si="5"/>
        <v>0</v>
      </c>
      <c r="N63" s="2" t="str" cm="1">
        <f t="array" ref="N63">_xlfn.IFS(M63=0,"PAYE", M63&lt;0,"SURPLUS", K63=M63,"NON PAYE", TRUE,"PARTIEL")</f>
        <v>PAYE</v>
      </c>
      <c r="O63" s="18" t="s">
        <v>549</v>
      </c>
      <c r="P63" s="18" t="s">
        <v>55</v>
      </c>
      <c r="Q63" s="21" t="s">
        <v>164</v>
      </c>
    </row>
    <row r="64" spans="1:17" x14ac:dyDescent="0.35">
      <c r="A64" s="42">
        <v>46268</v>
      </c>
      <c r="B64" s="1" t="s">
        <v>394</v>
      </c>
      <c r="C64" s="17">
        <v>1060</v>
      </c>
      <c r="D64" s="1" t="s">
        <v>196</v>
      </c>
      <c r="E64" s="3" t="str">
        <f>_xlfn.XLOOKUP(D64,'CODE FRS'!B:B,'CODE FRS'!C:C)</f>
        <v>ISMAEL WASSIOU</v>
      </c>
      <c r="F64" s="2" t="s">
        <v>446</v>
      </c>
      <c r="G64" s="2">
        <v>35517</v>
      </c>
      <c r="H64" s="4">
        <v>49280</v>
      </c>
      <c r="I64" s="4">
        <v>497</v>
      </c>
      <c r="J64" s="4">
        <v>340</v>
      </c>
      <c r="K64" s="4">
        <f t="shared" si="4"/>
        <v>16755200</v>
      </c>
      <c r="L64" s="4">
        <v>16755200</v>
      </c>
      <c r="M64" s="4">
        <f t="shared" si="5"/>
        <v>0</v>
      </c>
      <c r="N64" s="2" t="str" cm="1">
        <f t="array" ref="N64">_xlfn.IFS(M64=0,"PAYE", M64&lt;0,"SURPLUS", K64=M64,"NON PAYE", TRUE,"PARTIEL")</f>
        <v>PAYE</v>
      </c>
      <c r="O64" s="18" t="s">
        <v>593</v>
      </c>
      <c r="P64" s="18" t="s">
        <v>55</v>
      </c>
      <c r="Q64" s="21" t="s">
        <v>164</v>
      </c>
    </row>
    <row r="65" spans="1:17" ht="29" x14ac:dyDescent="0.35">
      <c r="A65" s="42">
        <v>46268</v>
      </c>
      <c r="B65" s="1" t="s">
        <v>424</v>
      </c>
      <c r="C65" s="17">
        <v>1061</v>
      </c>
      <c r="D65" s="1" t="s">
        <v>193</v>
      </c>
      <c r="E65" s="3" t="str">
        <f>_xlfn.XLOOKUP(D65,'CODE FRS'!B:B,'CODE FRS'!C:C)</f>
        <v>TCHANIGA SAMSON</v>
      </c>
      <c r="F65" s="2" t="s">
        <v>429</v>
      </c>
      <c r="G65" s="2">
        <v>35518</v>
      </c>
      <c r="H65" s="4">
        <v>25780</v>
      </c>
      <c r="I65" s="4">
        <v>247</v>
      </c>
      <c r="J65" s="4">
        <v>335</v>
      </c>
      <c r="K65" s="4">
        <f t="shared" si="4"/>
        <v>8636300</v>
      </c>
      <c r="L65" s="4">
        <f>5000000+1500000+2136300</f>
        <v>8636300</v>
      </c>
      <c r="M65" s="4">
        <f t="shared" si="5"/>
        <v>0</v>
      </c>
      <c r="N65" s="2" t="str" cm="1">
        <f t="array" ref="N65">_xlfn.IFS(M65=0,"PAYE", M65&lt;0,"SURPLUS", K65=M65,"NON PAYE", TRUE,"PARTIEL")</f>
        <v>PAYE</v>
      </c>
      <c r="O65" s="18" t="s">
        <v>662</v>
      </c>
      <c r="P65" s="18" t="s">
        <v>55</v>
      </c>
      <c r="Q65" s="21" t="s">
        <v>164</v>
      </c>
    </row>
    <row r="66" spans="1:17" x14ac:dyDescent="0.35">
      <c r="A66" s="42">
        <v>46269</v>
      </c>
      <c r="B66" s="1"/>
      <c r="C66" s="17">
        <v>1062</v>
      </c>
      <c r="D66" s="1" t="s">
        <v>309</v>
      </c>
      <c r="E66" s="3" t="str">
        <f>_xlfn.XLOOKUP(D66,'CODE FRS'!B:B,'CODE FRS'!C:C)</f>
        <v>PROSPERE</v>
      </c>
      <c r="F66" s="2" t="s">
        <v>487</v>
      </c>
      <c r="G66" s="2">
        <v>35525</v>
      </c>
      <c r="H66" s="4">
        <v>46000</v>
      </c>
      <c r="I66" s="4">
        <v>450</v>
      </c>
      <c r="J66" s="4">
        <v>330</v>
      </c>
      <c r="K66" s="4">
        <f t="shared" si="4"/>
        <v>15180000</v>
      </c>
      <c r="L66" s="4">
        <v>15180000</v>
      </c>
      <c r="M66" s="4">
        <f t="shared" si="5"/>
        <v>0</v>
      </c>
      <c r="N66" s="2" t="str" cm="1">
        <f t="array" ref="N66">_xlfn.IFS(M66=0,"PAYE", M66&lt;0,"SURPLUS", K66=M66,"NON PAYE", TRUE,"PARTIEL")</f>
        <v>PAYE</v>
      </c>
      <c r="O66" s="18" t="s">
        <v>566</v>
      </c>
      <c r="P66" s="18" t="s">
        <v>55</v>
      </c>
      <c r="Q66" s="21" t="s">
        <v>164</v>
      </c>
    </row>
    <row r="67" spans="1:17" x14ac:dyDescent="0.35">
      <c r="A67" s="42">
        <v>46269</v>
      </c>
      <c r="B67" s="1" t="s">
        <v>398</v>
      </c>
      <c r="C67" s="17">
        <v>1063</v>
      </c>
      <c r="D67" s="1" t="s">
        <v>403</v>
      </c>
      <c r="E67" s="3" t="str">
        <f>_xlfn.XLOOKUP(D67,'CODE FRS'!B:B,'CODE FRS'!C:C)</f>
        <v>Mr MOMO</v>
      </c>
      <c r="F67" s="2" t="s">
        <v>407</v>
      </c>
      <c r="G67" s="2">
        <v>35522</v>
      </c>
      <c r="H67" s="4">
        <v>37840</v>
      </c>
      <c r="I67" s="4">
        <v>336</v>
      </c>
      <c r="J67" s="4">
        <v>330</v>
      </c>
      <c r="K67" s="4">
        <f>H67*J67</f>
        <v>12487200</v>
      </c>
      <c r="L67" s="4">
        <v>12487200</v>
      </c>
      <c r="M67" s="4">
        <f>K67-L67</f>
        <v>0</v>
      </c>
      <c r="N67" s="2" t="str" cm="1">
        <f t="array" ref="N67">_xlfn.IFS(M67=0,"PAYE", M67&lt;0,"SURPLUS", K67=M67,"NON PAYE", TRUE,"PARTIEL")</f>
        <v>PAYE</v>
      </c>
      <c r="O67" s="18" t="s">
        <v>560</v>
      </c>
      <c r="P67" s="18" t="s">
        <v>55</v>
      </c>
      <c r="Q67" s="21" t="s">
        <v>164</v>
      </c>
    </row>
    <row r="68" spans="1:17" x14ac:dyDescent="0.35">
      <c r="A68" s="42">
        <v>46269</v>
      </c>
      <c r="B68" s="20"/>
      <c r="C68" s="17">
        <v>1064</v>
      </c>
      <c r="D68" s="1" t="s">
        <v>488</v>
      </c>
      <c r="E68" s="3" t="str">
        <f>_xlfn.XLOOKUP(D68,'CODE FRS'!B:B,'CODE FRS'!C:C)</f>
        <v>MONTCHO NOBERT</v>
      </c>
      <c r="F68" s="2" t="s">
        <v>489</v>
      </c>
      <c r="G68" s="2">
        <v>35540</v>
      </c>
      <c r="H68" s="4">
        <v>57940</v>
      </c>
      <c r="I68" s="4">
        <v>613</v>
      </c>
      <c r="J68" s="4">
        <v>335</v>
      </c>
      <c r="K68" s="4">
        <f t="shared" si="4"/>
        <v>19409900</v>
      </c>
      <c r="L68" s="4">
        <v>19409900</v>
      </c>
      <c r="M68" s="4">
        <f t="shared" si="5"/>
        <v>0</v>
      </c>
      <c r="N68" s="2" t="str" cm="1">
        <f t="array" ref="N68">_xlfn.IFS(M68=0,"PAYE", M68&lt;0,"SURPLUS", K68=M68,"NON PAYE", TRUE,"PARTIEL")</f>
        <v>PAYE</v>
      </c>
      <c r="O68" s="18" t="s">
        <v>597</v>
      </c>
      <c r="P68" s="18" t="s">
        <v>55</v>
      </c>
      <c r="Q68" s="21" t="s">
        <v>164</v>
      </c>
    </row>
    <row r="69" spans="1:17" x14ac:dyDescent="0.35">
      <c r="A69" s="42">
        <v>46269</v>
      </c>
      <c r="B69" s="1" t="s">
        <v>362</v>
      </c>
      <c r="C69" s="17">
        <v>1065</v>
      </c>
      <c r="D69" s="1" t="s">
        <v>208</v>
      </c>
      <c r="E69" s="3" t="str">
        <f>_xlfn.XLOOKUP(D69,'CODE FRS'!B:B,'CODE FRS'!C:C)</f>
        <v>AHEGNI CASIMIR</v>
      </c>
      <c r="F69" s="2" t="s">
        <v>363</v>
      </c>
      <c r="G69" s="2">
        <v>35524</v>
      </c>
      <c r="H69" s="4">
        <v>30640</v>
      </c>
      <c r="I69" s="4">
        <v>392</v>
      </c>
      <c r="J69" s="4">
        <v>340</v>
      </c>
      <c r="K69" s="4">
        <f t="shared" si="4"/>
        <v>10417600</v>
      </c>
      <c r="L69" s="4">
        <v>10417600</v>
      </c>
      <c r="M69" s="4">
        <f t="shared" si="5"/>
        <v>0</v>
      </c>
      <c r="N69" s="2" t="str" cm="1">
        <f t="array" ref="N69">_xlfn.IFS(M69=0,"PAYE", M69&lt;0,"SURPLUS", K69=M69,"NON PAYE", TRUE,"PARTIEL")</f>
        <v>PAYE</v>
      </c>
      <c r="O69" s="18" t="s">
        <v>663</v>
      </c>
      <c r="P69" s="18" t="s">
        <v>55</v>
      </c>
      <c r="Q69" s="21" t="s">
        <v>164</v>
      </c>
    </row>
    <row r="70" spans="1:17" x14ac:dyDescent="0.35">
      <c r="A70" s="42">
        <v>46270</v>
      </c>
      <c r="B70" s="1" t="s">
        <v>432</v>
      </c>
      <c r="C70" s="17">
        <v>1066</v>
      </c>
      <c r="D70" s="1" t="s">
        <v>339</v>
      </c>
      <c r="E70" s="3" t="str">
        <f>_xlfn.XLOOKUP(D70,'CODE FRS'!B:B,'CODE FRS'!C:C)</f>
        <v>HASSANE SEYNI</v>
      </c>
      <c r="F70" s="2" t="s">
        <v>434</v>
      </c>
      <c r="G70" s="2">
        <v>35551</v>
      </c>
      <c r="H70" s="4">
        <v>51880</v>
      </c>
      <c r="I70" s="4">
        <v>533</v>
      </c>
      <c r="J70" s="4">
        <v>335</v>
      </c>
      <c r="K70" s="4">
        <f t="shared" si="4"/>
        <v>17379800</v>
      </c>
      <c r="L70" s="4">
        <v>17379800</v>
      </c>
      <c r="M70" s="4">
        <f t="shared" si="5"/>
        <v>0</v>
      </c>
      <c r="N70" s="2" t="str" cm="1">
        <f t="array" ref="N70">_xlfn.IFS(M70=0,"PAYE", M70&lt;0,"SURPLUS", K70=M70,"NON PAYE", TRUE,"PARTIEL")</f>
        <v>PAYE</v>
      </c>
      <c r="O70" s="18" t="s">
        <v>667</v>
      </c>
      <c r="P70" s="18" t="s">
        <v>55</v>
      </c>
      <c r="Q70" s="21" t="s">
        <v>164</v>
      </c>
    </row>
    <row r="71" spans="1:17" x14ac:dyDescent="0.35">
      <c r="A71" s="42">
        <v>46270</v>
      </c>
      <c r="B71" s="1" t="s">
        <v>423</v>
      </c>
      <c r="C71" s="17">
        <v>1067</v>
      </c>
      <c r="D71" s="1" t="s">
        <v>207</v>
      </c>
      <c r="E71" s="3" t="str">
        <f>_xlfn.XLOOKUP(D71,'CODE FRS'!B:B,'CODE FRS'!C:C)</f>
        <v>GBAGBE MATHIAS</v>
      </c>
      <c r="F71" s="2" t="s">
        <v>490</v>
      </c>
      <c r="G71" s="2">
        <v>35550</v>
      </c>
      <c r="H71" s="4">
        <v>47600</v>
      </c>
      <c r="I71" s="4">
        <v>498</v>
      </c>
      <c r="J71" s="4">
        <v>335</v>
      </c>
      <c r="K71" s="4">
        <f t="shared" si="4"/>
        <v>15946000</v>
      </c>
      <c r="L71" s="4">
        <f>13946000+2000000</f>
        <v>15946000</v>
      </c>
      <c r="M71" s="4">
        <f t="shared" si="5"/>
        <v>0</v>
      </c>
      <c r="N71" s="2" t="str" cm="1">
        <f t="array" ref="N71">_xlfn.IFS(M71=0,"PAYE", M71&lt;0,"SURPLUS", K71=M71,"NON PAYE", TRUE,"PARTIEL")</f>
        <v>PAYE</v>
      </c>
      <c r="O71" s="18" t="s">
        <v>660</v>
      </c>
      <c r="P71" s="18" t="s">
        <v>55</v>
      </c>
      <c r="Q71" s="21" t="s">
        <v>164</v>
      </c>
    </row>
    <row r="72" spans="1:17" x14ac:dyDescent="0.35">
      <c r="A72" s="42">
        <v>46270</v>
      </c>
      <c r="B72" s="1" t="s">
        <v>397</v>
      </c>
      <c r="C72" s="17">
        <v>1068</v>
      </c>
      <c r="D72" s="1" t="s">
        <v>401</v>
      </c>
      <c r="E72" s="3" t="str">
        <f>_xlfn.XLOOKUP(D72,'CODE FRS'!B:B,'CODE FRS'!C:C)</f>
        <v>Mr LOUIS</v>
      </c>
      <c r="F72" s="2" t="s">
        <v>504</v>
      </c>
      <c r="G72" s="2">
        <v>35568</v>
      </c>
      <c r="H72" s="4">
        <v>49740</v>
      </c>
      <c r="I72" s="4">
        <v>503</v>
      </c>
      <c r="J72" s="4">
        <v>331</v>
      </c>
      <c r="K72" s="4">
        <f t="shared" ref="K72:K87" si="6">H72*J72</f>
        <v>16463940</v>
      </c>
      <c r="L72" s="4">
        <v>16463940</v>
      </c>
      <c r="M72" s="4">
        <f t="shared" ref="M72:M87" si="7">K72-L72</f>
        <v>0</v>
      </c>
      <c r="N72" s="2" t="str" cm="1">
        <f t="array" ref="N72">_xlfn.IFS(M72=0,"PAYE", M72&lt;0,"SURPLUS", K72=M72,"NON PAYE", TRUE,"PARTIEL")</f>
        <v>PAYE</v>
      </c>
      <c r="O72" s="18" t="s">
        <v>656</v>
      </c>
      <c r="P72" s="18" t="s">
        <v>55</v>
      </c>
      <c r="Q72" s="21" t="s">
        <v>164</v>
      </c>
    </row>
    <row r="73" spans="1:17" x14ac:dyDescent="0.35">
      <c r="A73" s="42">
        <v>46270</v>
      </c>
      <c r="B73" s="1" t="s">
        <v>435</v>
      </c>
      <c r="C73" s="17">
        <v>1069</v>
      </c>
      <c r="D73" s="1" t="s">
        <v>193</v>
      </c>
      <c r="E73" s="3" t="str">
        <f>_xlfn.XLOOKUP(D73,'CODE FRS'!B:B,'CODE FRS'!C:C)</f>
        <v>TCHANIGA SAMSON</v>
      </c>
      <c r="F73" s="2" t="s">
        <v>437</v>
      </c>
      <c r="G73" s="2">
        <v>35580</v>
      </c>
      <c r="H73" s="4">
        <v>47020</v>
      </c>
      <c r="I73" s="4">
        <v>482</v>
      </c>
      <c r="J73" s="4">
        <v>335</v>
      </c>
      <c r="K73" s="4">
        <f t="shared" si="6"/>
        <v>15751700</v>
      </c>
      <c r="L73" s="4">
        <v>15751700</v>
      </c>
      <c r="M73" s="4">
        <f t="shared" si="7"/>
        <v>0</v>
      </c>
      <c r="N73" s="2" t="str" cm="1">
        <f t="array" ref="N73">_xlfn.IFS(M73=0,"PAYE", M73&lt;0,"SURPLUS", K73=M73,"NON PAYE", TRUE,"PARTIEL")</f>
        <v>PAYE</v>
      </c>
      <c r="O73" s="18" t="s">
        <v>514</v>
      </c>
      <c r="P73" s="18" t="s">
        <v>55</v>
      </c>
      <c r="Q73" s="21" t="s">
        <v>164</v>
      </c>
    </row>
    <row r="74" spans="1:17" x14ac:dyDescent="0.35">
      <c r="A74" s="42">
        <v>46270</v>
      </c>
      <c r="B74" s="20"/>
      <c r="C74" s="17">
        <v>1070</v>
      </c>
      <c r="D74" s="1" t="s">
        <v>201</v>
      </c>
      <c r="E74" s="3" t="str">
        <f>_xlfn.XLOOKUP(D74,'CODE FRS'!B:B,'CODE FRS'!C:C)</f>
        <v>GOUDO DOSSOU ROMAIN</v>
      </c>
      <c r="F74" s="2" t="s">
        <v>505</v>
      </c>
      <c r="G74" s="2">
        <v>35570</v>
      </c>
      <c r="H74" s="4">
        <v>50860</v>
      </c>
      <c r="I74" s="4">
        <v>512</v>
      </c>
      <c r="J74" s="4">
        <v>335</v>
      </c>
      <c r="K74" s="4">
        <f t="shared" si="6"/>
        <v>17038100</v>
      </c>
      <c r="L74" s="4">
        <f>14038100+3000000</f>
        <v>17038100</v>
      </c>
      <c r="M74" s="4">
        <f t="shared" si="7"/>
        <v>0</v>
      </c>
      <c r="N74" s="2" t="str" cm="1">
        <f t="array" ref="N74">_xlfn.IFS(M74=0,"PAYE", M74&lt;0,"SURPLUS", K74=M74,"NON PAYE", TRUE,"PARTIEL")</f>
        <v>PAYE</v>
      </c>
      <c r="O74" s="18" t="s">
        <v>658</v>
      </c>
      <c r="P74" s="18" t="s">
        <v>55</v>
      </c>
      <c r="Q74" s="21" t="s">
        <v>164</v>
      </c>
    </row>
    <row r="75" spans="1:17" x14ac:dyDescent="0.35">
      <c r="A75" s="42">
        <v>46272</v>
      </c>
      <c r="B75" s="1" t="s">
        <v>422</v>
      </c>
      <c r="C75" s="17">
        <v>1071</v>
      </c>
      <c r="D75" s="1" t="s">
        <v>208</v>
      </c>
      <c r="E75" s="3" t="str">
        <f>_xlfn.XLOOKUP(D75,'CODE FRS'!B:B,'CODE FRS'!C:C)</f>
        <v>AHEGNI CASIMIR</v>
      </c>
      <c r="F75" s="2" t="s">
        <v>506</v>
      </c>
      <c r="G75" s="2">
        <v>35584</v>
      </c>
      <c r="H75" s="4">
        <v>34240</v>
      </c>
      <c r="I75" s="4">
        <v>324</v>
      </c>
      <c r="J75" s="4">
        <v>340</v>
      </c>
      <c r="K75" s="4">
        <f t="shared" si="6"/>
        <v>11641600</v>
      </c>
      <c r="L75" s="4">
        <v>11641600</v>
      </c>
      <c r="M75" s="4">
        <f t="shared" si="7"/>
        <v>0</v>
      </c>
      <c r="N75" s="2" t="str" cm="1">
        <f t="array" ref="N75">_xlfn.IFS(M75=0,"PAYE", M75&lt;0,"SURPLUS", K75=M75,"NON PAYE", TRUE,"PARTIEL")</f>
        <v>PAYE</v>
      </c>
      <c r="O75" s="18" t="s">
        <v>663</v>
      </c>
      <c r="P75" s="18" t="s">
        <v>55</v>
      </c>
      <c r="Q75" s="21" t="s">
        <v>164</v>
      </c>
    </row>
    <row r="76" spans="1:17" x14ac:dyDescent="0.35">
      <c r="A76" s="42">
        <v>46272</v>
      </c>
      <c r="B76" s="1" t="s">
        <v>433</v>
      </c>
      <c r="C76" s="17">
        <v>1072</v>
      </c>
      <c r="D76" s="1" t="s">
        <v>193</v>
      </c>
      <c r="E76" s="3" t="str">
        <f>_xlfn.XLOOKUP(D76,'CODE FRS'!B:B,'CODE FRS'!C:C)</f>
        <v>TCHANIGA SAMSON</v>
      </c>
      <c r="F76" s="2" t="s">
        <v>436</v>
      </c>
      <c r="G76" s="2">
        <v>35613</v>
      </c>
      <c r="H76" s="4">
        <v>44860</v>
      </c>
      <c r="I76" s="4">
        <v>470</v>
      </c>
      <c r="J76" s="4">
        <v>335</v>
      </c>
      <c r="K76" s="4">
        <f t="shared" si="6"/>
        <v>15028100</v>
      </c>
      <c r="L76" s="4">
        <v>15028100</v>
      </c>
      <c r="M76" s="4">
        <f t="shared" si="7"/>
        <v>0</v>
      </c>
      <c r="N76" s="2" t="str" cm="1">
        <f t="array" ref="N76">_xlfn.IFS(M76=0,"PAYE", M76&lt;0,"SURPLUS", K76=M76,"NON PAYE", TRUE,"PARTIEL")</f>
        <v>PAYE</v>
      </c>
      <c r="O76" s="18" t="s">
        <v>661</v>
      </c>
      <c r="P76" s="18" t="s">
        <v>55</v>
      </c>
      <c r="Q76" s="21" t="s">
        <v>164</v>
      </c>
    </row>
    <row r="77" spans="1:17" x14ac:dyDescent="0.35">
      <c r="A77" s="42">
        <v>46272</v>
      </c>
      <c r="B77" s="1" t="s">
        <v>482</v>
      </c>
      <c r="C77" s="17">
        <v>1073</v>
      </c>
      <c r="D77" s="1" t="s">
        <v>208</v>
      </c>
      <c r="E77" s="3" t="str">
        <f>_xlfn.XLOOKUP(D77,'CODE FRS'!B:B,'CODE FRS'!C:C)</f>
        <v>AHEGNI CASIMIR</v>
      </c>
      <c r="F77" s="2" t="s">
        <v>507</v>
      </c>
      <c r="G77" s="2">
        <v>35612</v>
      </c>
      <c r="H77" s="4">
        <v>40080</v>
      </c>
      <c r="I77" s="4">
        <v>425</v>
      </c>
      <c r="J77" s="4">
        <v>340</v>
      </c>
      <c r="K77" s="4">
        <f t="shared" si="6"/>
        <v>13627200</v>
      </c>
      <c r="L77" s="4">
        <v>13627200</v>
      </c>
      <c r="M77" s="4">
        <f t="shared" si="7"/>
        <v>0</v>
      </c>
      <c r="N77" s="2" t="str" cm="1">
        <f t="array" ref="N77">_xlfn.IFS(M77=0,"PAYE", M77&lt;0,"SURPLUS", K77=M77,"NON PAYE", TRUE,"PARTIEL")</f>
        <v>PAYE</v>
      </c>
      <c r="O77" s="18" t="s">
        <v>663</v>
      </c>
      <c r="P77" s="18" t="s">
        <v>55</v>
      </c>
      <c r="Q77" s="21" t="s">
        <v>164</v>
      </c>
    </row>
    <row r="78" spans="1:17" x14ac:dyDescent="0.35">
      <c r="A78" s="42">
        <v>46272</v>
      </c>
      <c r="B78" s="1" t="s">
        <v>425</v>
      </c>
      <c r="C78" s="17">
        <v>1074</v>
      </c>
      <c r="D78" s="1" t="s">
        <v>193</v>
      </c>
      <c r="E78" s="3" t="str">
        <f>_xlfn.XLOOKUP(D78,'CODE FRS'!B:B,'CODE FRS'!C:C)</f>
        <v>TCHANIGA SAMSON</v>
      </c>
      <c r="F78" s="2" t="s">
        <v>430</v>
      </c>
      <c r="G78" s="2">
        <v>35618</v>
      </c>
      <c r="H78" s="4">
        <v>38040</v>
      </c>
      <c r="I78" s="4">
        <v>408</v>
      </c>
      <c r="J78" s="4">
        <v>335</v>
      </c>
      <c r="K78" s="4">
        <f t="shared" si="6"/>
        <v>12743400</v>
      </c>
      <c r="L78" s="4">
        <f>10000000+2743400</f>
        <v>12743400</v>
      </c>
      <c r="M78" s="4">
        <f t="shared" si="7"/>
        <v>0</v>
      </c>
      <c r="N78" s="2" t="str" cm="1">
        <f t="array" ref="N78">_xlfn.IFS(M78=0,"PAYE", M78&lt;0,"SURPLUS", K78=M78,"NON PAYE", TRUE,"PARTIEL")</f>
        <v>PAYE</v>
      </c>
      <c r="O78" s="18" t="s">
        <v>702</v>
      </c>
      <c r="P78" s="18" t="s">
        <v>55</v>
      </c>
      <c r="Q78" s="21" t="s">
        <v>164</v>
      </c>
    </row>
    <row r="79" spans="1:17" x14ac:dyDescent="0.35">
      <c r="A79" s="42">
        <v>46272</v>
      </c>
      <c r="B79" s="1" t="s">
        <v>418</v>
      </c>
      <c r="C79" s="17">
        <v>1075</v>
      </c>
      <c r="D79" s="1" t="s">
        <v>208</v>
      </c>
      <c r="E79" s="3" t="str">
        <f>_xlfn.XLOOKUP(D79,'CODE FRS'!B:B,'CODE FRS'!C:C)</f>
        <v>AHEGNI CASIMIR</v>
      </c>
      <c r="F79" s="2" t="s">
        <v>275</v>
      </c>
      <c r="G79" s="2">
        <v>35579</v>
      </c>
      <c r="H79" s="4">
        <v>34660</v>
      </c>
      <c r="I79" s="4">
        <v>374</v>
      </c>
      <c r="J79" s="4">
        <v>340</v>
      </c>
      <c r="K79" s="4">
        <f t="shared" si="6"/>
        <v>11784400</v>
      </c>
      <c r="L79" s="4">
        <v>11784400</v>
      </c>
      <c r="M79" s="4">
        <f t="shared" si="7"/>
        <v>0</v>
      </c>
      <c r="N79" s="2" t="str" cm="1">
        <f t="array" ref="N79">_xlfn.IFS(M79=0,"PAYE", M79&lt;0,"SURPLUS", K79=M79,"NON PAYE", TRUE,"PARTIEL")</f>
        <v>PAYE</v>
      </c>
      <c r="O79" s="18" t="s">
        <v>693</v>
      </c>
      <c r="P79" s="18" t="s">
        <v>55</v>
      </c>
      <c r="Q79" s="21" t="s">
        <v>164</v>
      </c>
    </row>
    <row r="80" spans="1:17" x14ac:dyDescent="0.35">
      <c r="A80" s="42">
        <v>46272</v>
      </c>
      <c r="B80" s="1" t="s">
        <v>459</v>
      </c>
      <c r="C80" s="17">
        <v>1076</v>
      </c>
      <c r="D80" s="1" t="s">
        <v>269</v>
      </c>
      <c r="E80" s="3" t="str">
        <f>_xlfn.XLOOKUP(D80,'CODE FRS'!B:B,'CODE FRS'!C:C)</f>
        <v>AZOGA ARMAND</v>
      </c>
      <c r="F80" s="2" t="s">
        <v>508</v>
      </c>
      <c r="G80" s="2">
        <v>35616</v>
      </c>
      <c r="H80" s="4">
        <v>46460</v>
      </c>
      <c r="I80" s="4">
        <v>567</v>
      </c>
      <c r="J80" s="4">
        <v>332</v>
      </c>
      <c r="K80" s="4">
        <f t="shared" si="6"/>
        <v>15424720</v>
      </c>
      <c r="L80" s="4">
        <v>15424720</v>
      </c>
      <c r="M80" s="4">
        <f t="shared" si="7"/>
        <v>0</v>
      </c>
      <c r="N80" s="2" t="str" cm="1">
        <f t="array" ref="N80">_xlfn.IFS(M80=0,"PAYE", M80&lt;0,"SURPLUS", K80=M80,"NON PAYE", TRUE,"PARTIEL")</f>
        <v>PAYE</v>
      </c>
      <c r="O80" s="18" t="s">
        <v>664</v>
      </c>
      <c r="P80" s="18" t="s">
        <v>55</v>
      </c>
      <c r="Q80" s="21" t="s">
        <v>164</v>
      </c>
    </row>
    <row r="81" spans="1:17" x14ac:dyDescent="0.35">
      <c r="A81" s="42">
        <v>46273</v>
      </c>
      <c r="B81" s="1" t="s">
        <v>480</v>
      </c>
      <c r="C81" s="17">
        <v>1077</v>
      </c>
      <c r="D81" s="1" t="s">
        <v>377</v>
      </c>
      <c r="E81" s="3" t="str">
        <f>_xlfn.XLOOKUP(D81,'CODE FRS'!B:B,'CODE FRS'!C:C)</f>
        <v>PANKAJ KUMAR</v>
      </c>
      <c r="F81" s="2" t="s">
        <v>509</v>
      </c>
      <c r="G81" s="2">
        <v>35627</v>
      </c>
      <c r="H81" s="4">
        <v>32000</v>
      </c>
      <c r="I81" s="4">
        <v>320</v>
      </c>
      <c r="J81" s="4">
        <v>335</v>
      </c>
      <c r="K81" s="4">
        <f t="shared" si="6"/>
        <v>10720000</v>
      </c>
      <c r="L81" s="4">
        <v>10720000</v>
      </c>
      <c r="M81" s="4">
        <f t="shared" si="7"/>
        <v>0</v>
      </c>
      <c r="N81" s="2" t="str" cm="1">
        <f t="array" ref="N81">_xlfn.IFS(M81=0,"PAYE", M81&lt;0,"SURPLUS", K81=M81,"NON PAYE", TRUE,"PARTIEL")</f>
        <v>PAYE</v>
      </c>
      <c r="O81" s="18" t="s">
        <v>595</v>
      </c>
      <c r="P81" s="18" t="s">
        <v>55</v>
      </c>
      <c r="Q81" s="21" t="s">
        <v>164</v>
      </c>
    </row>
    <row r="82" spans="1:17" x14ac:dyDescent="0.35">
      <c r="A82" s="42">
        <v>46273</v>
      </c>
      <c r="B82" s="1" t="s">
        <v>374</v>
      </c>
      <c r="C82" s="17">
        <v>1078</v>
      </c>
      <c r="D82" s="1" t="s">
        <v>373</v>
      </c>
      <c r="E82" s="3" t="str">
        <f>_xlfn.XLOOKUP(D82,'CODE FRS'!B:B,'CODE FRS'!C:C)</f>
        <v>HOUNTON NICOLAS</v>
      </c>
      <c r="F82" s="2" t="s">
        <v>510</v>
      </c>
      <c r="G82" s="2">
        <v>35640</v>
      </c>
      <c r="H82" s="4">
        <v>38820</v>
      </c>
      <c r="I82" s="4">
        <v>412</v>
      </c>
      <c r="J82" s="4">
        <v>335</v>
      </c>
      <c r="K82" s="4">
        <f t="shared" si="6"/>
        <v>13004700</v>
      </c>
      <c r="L82" s="4">
        <v>13004700</v>
      </c>
      <c r="M82" s="4">
        <f t="shared" si="7"/>
        <v>0</v>
      </c>
      <c r="N82" s="2" t="str" cm="1">
        <f t="array" ref="N82">_xlfn.IFS(M82=0,"PAYE", M82&lt;0,"SURPLUS", K82=M82,"NON PAYE", TRUE,"PARTIEL")</f>
        <v>PAYE</v>
      </c>
      <c r="O82" s="18" t="s">
        <v>659</v>
      </c>
      <c r="P82" s="18" t="s">
        <v>55</v>
      </c>
      <c r="Q82" s="21" t="s">
        <v>164</v>
      </c>
    </row>
    <row r="83" spans="1:17" x14ac:dyDescent="0.35">
      <c r="A83" s="42">
        <v>46273</v>
      </c>
      <c r="B83" s="1" t="s">
        <v>427</v>
      </c>
      <c r="C83" s="17">
        <v>1079</v>
      </c>
      <c r="D83" s="1" t="s">
        <v>212</v>
      </c>
      <c r="E83" s="3" t="str">
        <f>_xlfn.XLOOKUP(D83,'CODE FRS'!B:B,'CODE FRS'!C:C)</f>
        <v>DOSSA MATHURIN</v>
      </c>
      <c r="F83" s="2" t="s">
        <v>361</v>
      </c>
      <c r="G83" s="2">
        <v>35619</v>
      </c>
      <c r="H83" s="4">
        <v>50360</v>
      </c>
      <c r="I83" s="4">
        <v>506</v>
      </c>
      <c r="J83" s="4">
        <v>335</v>
      </c>
      <c r="K83" s="4">
        <f t="shared" si="6"/>
        <v>16870600</v>
      </c>
      <c r="L83" s="4">
        <v>16870600</v>
      </c>
      <c r="M83" s="4">
        <f t="shared" si="7"/>
        <v>0</v>
      </c>
      <c r="N83" s="2" t="str" cm="1">
        <f t="array" ref="N83">_xlfn.IFS(M83=0,"PAYE", M83&lt;0,"SURPLUS", K83=M83,"NON PAYE", TRUE,"PARTIEL")</f>
        <v>PAYE</v>
      </c>
      <c r="O83" s="18" t="s">
        <v>670</v>
      </c>
      <c r="P83" s="18" t="s">
        <v>55</v>
      </c>
      <c r="Q83" s="21" t="s">
        <v>164</v>
      </c>
    </row>
    <row r="84" spans="1:17" x14ac:dyDescent="0.35">
      <c r="A84" s="42">
        <v>46273</v>
      </c>
      <c r="B84" s="1" t="s">
        <v>485</v>
      </c>
      <c r="C84" s="17">
        <v>1080</v>
      </c>
      <c r="D84" s="1" t="s">
        <v>474</v>
      </c>
      <c r="E84" s="3" t="str">
        <f>_xlfn.XLOOKUP(D84,'CODE FRS'!B:B,'CODE FRS'!C:C)</f>
        <v>AKPAKPO NOURIDINE</v>
      </c>
      <c r="F84" s="2" t="s">
        <v>475</v>
      </c>
      <c r="G84" s="2">
        <v>35647</v>
      </c>
      <c r="H84" s="4">
        <v>36540</v>
      </c>
      <c r="I84" s="4">
        <v>400</v>
      </c>
      <c r="J84" s="4">
        <v>335</v>
      </c>
      <c r="K84" s="4">
        <f t="shared" si="6"/>
        <v>12240900</v>
      </c>
      <c r="L84" s="4">
        <v>12240900</v>
      </c>
      <c r="M84" s="4">
        <f t="shared" si="7"/>
        <v>0</v>
      </c>
      <c r="N84" s="2" t="str" cm="1">
        <f t="array" ref="N84">_xlfn.IFS(M84=0,"PAYE", M84&lt;0,"SURPLUS", K84=M84,"NON PAYE", TRUE,"PARTIEL")</f>
        <v>PAYE</v>
      </c>
      <c r="O84" s="18" t="s">
        <v>668</v>
      </c>
      <c r="P84" s="18" t="s">
        <v>55</v>
      </c>
      <c r="Q84" s="21" t="s">
        <v>164</v>
      </c>
    </row>
    <row r="85" spans="1:17" x14ac:dyDescent="0.35">
      <c r="A85" s="42">
        <v>46273</v>
      </c>
      <c r="B85" s="1" t="s">
        <v>484</v>
      </c>
      <c r="C85" s="17">
        <v>1081</v>
      </c>
      <c r="D85" s="1" t="s">
        <v>209</v>
      </c>
      <c r="E85" s="3" t="str">
        <f>_xlfn.XLOOKUP(D85,'CODE FRS'!B:B,'CODE FRS'!C:C)</f>
        <v>AHOSSI GABIN</v>
      </c>
      <c r="F85" s="2" t="s">
        <v>511</v>
      </c>
      <c r="G85" s="2">
        <v>35642</v>
      </c>
      <c r="H85" s="4">
        <v>38520</v>
      </c>
      <c r="I85" s="4">
        <v>448</v>
      </c>
      <c r="J85" s="4">
        <v>333</v>
      </c>
      <c r="K85" s="4">
        <f t="shared" si="6"/>
        <v>12827160</v>
      </c>
      <c r="L85" s="4">
        <v>12827160</v>
      </c>
      <c r="M85" s="4">
        <f t="shared" si="7"/>
        <v>0</v>
      </c>
      <c r="N85" s="2" t="str" cm="1">
        <f t="array" ref="N85">_xlfn.IFS(M85=0,"PAYE", M85&lt;0,"SURPLUS", K85=M85,"NON PAYE", TRUE,"PARTIEL")</f>
        <v>PAYE</v>
      </c>
      <c r="O85" s="18" t="s">
        <v>666</v>
      </c>
      <c r="P85" s="18" t="s">
        <v>55</v>
      </c>
      <c r="Q85" s="21" t="s">
        <v>164</v>
      </c>
    </row>
    <row r="86" spans="1:17" x14ac:dyDescent="0.35">
      <c r="A86" s="42">
        <v>46273</v>
      </c>
      <c r="B86" s="20"/>
      <c r="C86" s="17">
        <v>1082</v>
      </c>
      <c r="D86" s="1" t="s">
        <v>202</v>
      </c>
      <c r="E86" s="3" t="str">
        <f>_xlfn.XLOOKUP(D86,'CODE FRS'!B:B,'CODE FRS'!C:C)</f>
        <v>COMLAN MAHOUSSE JOSPIN</v>
      </c>
      <c r="F86" s="2" t="s">
        <v>512</v>
      </c>
      <c r="G86" s="2">
        <v>35646</v>
      </c>
      <c r="H86" s="4">
        <v>45000</v>
      </c>
      <c r="I86" s="4">
        <v>481</v>
      </c>
      <c r="J86" s="4">
        <v>335</v>
      </c>
      <c r="K86" s="4">
        <f t="shared" si="6"/>
        <v>15075000</v>
      </c>
      <c r="L86" s="4">
        <v>15075000</v>
      </c>
      <c r="M86" s="4">
        <f t="shared" si="7"/>
        <v>0</v>
      </c>
      <c r="N86" s="2" t="str" cm="1">
        <f t="array" ref="N86">_xlfn.IFS(M86=0,"PAYE", M86&lt;0,"SURPLUS", K86=M86,"NON PAYE", TRUE,"PARTIEL")</f>
        <v>PAYE</v>
      </c>
      <c r="O86" s="18" t="s">
        <v>669</v>
      </c>
      <c r="P86" s="18" t="s">
        <v>55</v>
      </c>
      <c r="Q86" s="21" t="s">
        <v>164</v>
      </c>
    </row>
    <row r="87" spans="1:17" x14ac:dyDescent="0.35">
      <c r="A87" s="42">
        <v>46273</v>
      </c>
      <c r="B87" s="1" t="s">
        <v>393</v>
      </c>
      <c r="C87" s="17">
        <v>1083</v>
      </c>
      <c r="D87" s="1" t="s">
        <v>213</v>
      </c>
      <c r="E87" s="3" t="str">
        <f>_xlfn.XLOOKUP(D87,'CODE FRS'!B:B,'CODE FRS'!C:C)</f>
        <v>NOEL DOLEME</v>
      </c>
      <c r="F87" s="2" t="s">
        <v>513</v>
      </c>
      <c r="G87" s="2">
        <v>35628</v>
      </c>
      <c r="H87" s="4">
        <v>41300</v>
      </c>
      <c r="I87" s="4">
        <v>433</v>
      </c>
      <c r="J87" s="4">
        <v>332</v>
      </c>
      <c r="K87" s="4">
        <f t="shared" si="6"/>
        <v>13711600</v>
      </c>
      <c r="L87" s="4">
        <v>13711600</v>
      </c>
      <c r="M87" s="4">
        <f t="shared" si="7"/>
        <v>0</v>
      </c>
      <c r="N87" s="2" t="str" cm="1">
        <f t="array" ref="N87">_xlfn.IFS(M87=0,"PAYE", M87&lt;0,"SURPLUS", K87=M87,"NON PAYE", TRUE,"PARTIEL")</f>
        <v>PAYE</v>
      </c>
      <c r="O87" s="18" t="s">
        <v>665</v>
      </c>
      <c r="P87" s="18" t="s">
        <v>55</v>
      </c>
      <c r="Q87" s="21" t="s">
        <v>164</v>
      </c>
    </row>
    <row r="88" spans="1:17" x14ac:dyDescent="0.35">
      <c r="A88" s="42">
        <v>46274</v>
      </c>
      <c r="B88" s="31" t="s">
        <v>387</v>
      </c>
      <c r="C88" s="17">
        <v>1084</v>
      </c>
      <c r="D88" s="1" t="s">
        <v>208</v>
      </c>
      <c r="E88" s="32" t="str">
        <f>_xlfn.XLOOKUP(D88,'CODE FRS'!B:B,'CODE FRS'!C:C)</f>
        <v>AHEGNI CASIMIR</v>
      </c>
      <c r="F88" s="30" t="s">
        <v>389</v>
      </c>
      <c r="G88" s="30">
        <v>35654</v>
      </c>
      <c r="H88" s="33">
        <v>44320</v>
      </c>
      <c r="I88" s="33">
        <v>412</v>
      </c>
      <c r="J88" s="33">
        <v>340</v>
      </c>
      <c r="K88" s="33">
        <f t="shared" ref="K88:K99" si="8">H88*J88</f>
        <v>15068800</v>
      </c>
      <c r="L88" s="4">
        <v>15068800</v>
      </c>
      <c r="M88" s="33">
        <f t="shared" ref="M88:M99" si="9">K88-L88</f>
        <v>0</v>
      </c>
      <c r="N88" s="2" t="str" cm="1">
        <f t="array" ref="N88">_xlfn.IFS(M88=0,"PAYE", M88&lt;0,"SURPLUS", K88=M88,"NON PAYE", TRUE,"PARTIEL")</f>
        <v>PAYE</v>
      </c>
      <c r="O88" s="34" t="s">
        <v>693</v>
      </c>
      <c r="P88" s="18" t="s">
        <v>55</v>
      </c>
      <c r="Q88" s="21" t="s">
        <v>164</v>
      </c>
    </row>
    <row r="89" spans="1:17" x14ac:dyDescent="0.35">
      <c r="A89" s="42">
        <v>46274</v>
      </c>
      <c r="B89" s="31" t="s">
        <v>458</v>
      </c>
      <c r="C89" s="17">
        <v>1085</v>
      </c>
      <c r="D89" s="1" t="s">
        <v>212</v>
      </c>
      <c r="E89" s="32" t="str">
        <f>_xlfn.XLOOKUP(D89,'CODE FRS'!B:B,'CODE FRS'!C:C)</f>
        <v>DOSSA MATHURIN</v>
      </c>
      <c r="F89" s="30" t="s">
        <v>453</v>
      </c>
      <c r="G89" s="30">
        <v>35652</v>
      </c>
      <c r="H89" s="33">
        <v>39980</v>
      </c>
      <c r="I89" s="33">
        <v>440</v>
      </c>
      <c r="J89" s="33">
        <v>335</v>
      </c>
      <c r="K89" s="33">
        <f t="shared" si="8"/>
        <v>13393300</v>
      </c>
      <c r="L89" s="4">
        <v>13393300</v>
      </c>
      <c r="M89" s="33">
        <f t="shared" si="9"/>
        <v>0</v>
      </c>
      <c r="N89" s="2" t="str" cm="1">
        <f t="array" ref="N89">_xlfn.IFS(M89=0,"PAYE", M89&lt;0,"SURPLUS", K89=M89,"NON PAYE", TRUE,"PARTIEL")</f>
        <v>PAYE</v>
      </c>
      <c r="O89" s="34" t="s">
        <v>695</v>
      </c>
      <c r="P89" s="18" t="s">
        <v>55</v>
      </c>
      <c r="Q89" s="21" t="s">
        <v>164</v>
      </c>
    </row>
    <row r="90" spans="1:17" x14ac:dyDescent="0.35">
      <c r="A90" s="42">
        <v>46274</v>
      </c>
      <c r="B90" s="31" t="s">
        <v>534</v>
      </c>
      <c r="C90" s="17">
        <v>1086</v>
      </c>
      <c r="D90" s="31" t="s">
        <v>201</v>
      </c>
      <c r="E90" s="32" t="str">
        <f>_xlfn.XLOOKUP(D90,'CODE FRS'!B:B,'CODE FRS'!C:C)</f>
        <v>GOUDO DOSSOU ROMAIN</v>
      </c>
      <c r="F90" s="30" t="s">
        <v>531</v>
      </c>
      <c r="G90" s="30">
        <v>35650</v>
      </c>
      <c r="H90" s="33">
        <v>32720</v>
      </c>
      <c r="I90" s="33">
        <v>371</v>
      </c>
      <c r="J90" s="33">
        <v>335</v>
      </c>
      <c r="K90" s="33">
        <f t="shared" si="8"/>
        <v>10961200</v>
      </c>
      <c r="L90" s="4">
        <v>10961200</v>
      </c>
      <c r="M90" s="33">
        <f t="shared" si="9"/>
        <v>0</v>
      </c>
      <c r="N90" s="2" t="str" cm="1">
        <f t="array" ref="N90">_xlfn.IFS(M90=0,"PAYE", M90&lt;0,"SURPLUS", K90=M90,"NON PAYE", TRUE,"PARTIEL")</f>
        <v>PAYE</v>
      </c>
      <c r="O90" s="34" t="s">
        <v>657</v>
      </c>
      <c r="P90" s="18" t="s">
        <v>55</v>
      </c>
      <c r="Q90" s="21" t="s">
        <v>164</v>
      </c>
    </row>
    <row r="91" spans="1:17" x14ac:dyDescent="0.35">
      <c r="A91" s="42">
        <v>46274</v>
      </c>
      <c r="B91" s="31" t="s">
        <v>300</v>
      </c>
      <c r="C91" s="17">
        <v>1087</v>
      </c>
      <c r="D91" s="1" t="s">
        <v>213</v>
      </c>
      <c r="E91" s="32" t="str">
        <f>_xlfn.XLOOKUP(D91,'CODE FRS'!B:B,'CODE FRS'!C:C)</f>
        <v>NOEL DOLEME</v>
      </c>
      <c r="F91" s="30" t="s">
        <v>284</v>
      </c>
      <c r="G91" s="30">
        <v>35651</v>
      </c>
      <c r="H91" s="33">
        <v>43540</v>
      </c>
      <c r="I91" s="33">
        <v>507</v>
      </c>
      <c r="J91" s="33">
        <v>332</v>
      </c>
      <c r="K91" s="33">
        <f t="shared" si="8"/>
        <v>14455280</v>
      </c>
      <c r="L91" s="4">
        <f>10000000+4515500</f>
        <v>14515500</v>
      </c>
      <c r="M91" s="33">
        <f t="shared" si="9"/>
        <v>-60220</v>
      </c>
      <c r="N91" s="2" t="str" cm="1">
        <f t="array" ref="N91">_xlfn.IFS(M91=0,"PAYE", M91&lt;0,"SURPLUS", K91=M91,"NON PAYE", TRUE,"PARTIEL")</f>
        <v>SURPLUS</v>
      </c>
      <c r="O91" s="34" t="s">
        <v>703</v>
      </c>
      <c r="P91" s="18" t="s">
        <v>55</v>
      </c>
      <c r="Q91" s="21" t="s">
        <v>164</v>
      </c>
    </row>
    <row r="92" spans="1:17" x14ac:dyDescent="0.35">
      <c r="A92" s="42">
        <v>46275</v>
      </c>
      <c r="B92" s="31" t="s">
        <v>547</v>
      </c>
      <c r="C92" s="17">
        <v>1088</v>
      </c>
      <c r="D92" s="31" t="s">
        <v>207</v>
      </c>
      <c r="E92" s="32" t="str">
        <f>_xlfn.XLOOKUP(D92,'CODE FRS'!B:B,'CODE FRS'!C:C)</f>
        <v>GBAGBE MATHIAS</v>
      </c>
      <c r="F92" s="30" t="s">
        <v>598</v>
      </c>
      <c r="G92" s="30">
        <v>35681</v>
      </c>
      <c r="H92" s="33">
        <v>47700</v>
      </c>
      <c r="I92" s="33">
        <v>468</v>
      </c>
      <c r="J92" s="33">
        <v>335</v>
      </c>
      <c r="K92" s="33">
        <f t="shared" si="8"/>
        <v>15979500</v>
      </c>
      <c r="L92" s="4">
        <f>9000000+6979500</f>
        <v>15979500</v>
      </c>
      <c r="M92" s="33">
        <f t="shared" si="9"/>
        <v>0</v>
      </c>
      <c r="N92" s="2" t="str" cm="1">
        <f t="array" ref="N92">_xlfn.IFS(M92=0,"PAYE", M92&lt;0,"SURPLUS", K92=M92,"NON PAYE", TRUE,"PARTIEL")</f>
        <v>PAYE</v>
      </c>
      <c r="O92" s="34" t="s">
        <v>749</v>
      </c>
      <c r="P92" s="18" t="s">
        <v>55</v>
      </c>
      <c r="Q92" s="21" t="s">
        <v>164</v>
      </c>
    </row>
    <row r="93" spans="1:17" x14ac:dyDescent="0.35">
      <c r="A93" s="42">
        <v>46275</v>
      </c>
      <c r="B93" s="35"/>
      <c r="C93" s="17">
        <v>1089</v>
      </c>
      <c r="D93" s="31" t="s">
        <v>343</v>
      </c>
      <c r="E93" s="32" t="str">
        <f>_xlfn.XLOOKUP(D93,'CODE FRS'!B:B,'CODE FRS'!C:C)</f>
        <v>GODONOU CHARLES</v>
      </c>
      <c r="F93" s="30" t="s">
        <v>599</v>
      </c>
      <c r="G93" s="30">
        <v>35687</v>
      </c>
      <c r="H93" s="33">
        <v>38800</v>
      </c>
      <c r="I93" s="33">
        <v>420</v>
      </c>
      <c r="J93" s="33">
        <v>331</v>
      </c>
      <c r="K93" s="33">
        <f t="shared" si="8"/>
        <v>12842800</v>
      </c>
      <c r="L93" s="4">
        <v>12842800</v>
      </c>
      <c r="M93" s="33">
        <f t="shared" si="9"/>
        <v>0</v>
      </c>
      <c r="N93" s="2" t="str" cm="1">
        <f t="array" ref="N93">_xlfn.IFS(M93=0,"PAYE", M93&lt;0,"SURPLUS", K93=M93,"NON PAYE", TRUE,"PARTIEL")</f>
        <v>PAYE</v>
      </c>
      <c r="O93" s="34" t="s">
        <v>692</v>
      </c>
      <c r="P93" s="18" t="s">
        <v>55</v>
      </c>
      <c r="Q93" s="21" t="s">
        <v>164</v>
      </c>
    </row>
    <row r="94" spans="1:17" x14ac:dyDescent="0.35">
      <c r="A94" s="42">
        <v>46275</v>
      </c>
      <c r="B94" s="35"/>
      <c r="C94" s="17">
        <v>1090</v>
      </c>
      <c r="D94" s="31" t="s">
        <v>572</v>
      </c>
      <c r="E94" s="32" t="str">
        <f>_xlfn.XLOOKUP(D94,'CODE FRS'!B:B,'CODE FRS'!C:C)</f>
        <v>HOUEDANOU JUSTIN</v>
      </c>
      <c r="F94" s="30" t="s">
        <v>600</v>
      </c>
      <c r="G94" s="30">
        <v>35708</v>
      </c>
      <c r="H94" s="33">
        <v>44120</v>
      </c>
      <c r="I94" s="33">
        <v>487</v>
      </c>
      <c r="J94" s="33">
        <v>331</v>
      </c>
      <c r="K94" s="33">
        <f t="shared" si="8"/>
        <v>14603720</v>
      </c>
      <c r="L94" s="4">
        <v>14603720</v>
      </c>
      <c r="M94" s="33">
        <f t="shared" si="9"/>
        <v>0</v>
      </c>
      <c r="N94" s="2" t="str" cm="1">
        <f t="array" ref="N94">_xlfn.IFS(M94=0,"PAYE", M94&lt;0,"SURPLUS", K94=M94,"NON PAYE", TRUE,"PARTIEL")</f>
        <v>PAYE</v>
      </c>
      <c r="O94" s="34" t="s">
        <v>691</v>
      </c>
      <c r="P94" s="18" t="s">
        <v>55</v>
      </c>
      <c r="Q94" s="21" t="s">
        <v>164</v>
      </c>
    </row>
    <row r="95" spans="1:17" x14ac:dyDescent="0.35">
      <c r="A95" s="42">
        <v>46275</v>
      </c>
      <c r="B95" s="31" t="s">
        <v>440</v>
      </c>
      <c r="C95" s="17">
        <v>1091</v>
      </c>
      <c r="D95" s="31" t="s">
        <v>214</v>
      </c>
      <c r="E95" s="32" t="str">
        <f>_xlfn.XLOOKUP(D95,'CODE FRS'!B:B,'CODE FRS'!C:C)</f>
        <v>DAA-HINGBANON VIRGILE</v>
      </c>
      <c r="F95" s="30" t="s">
        <v>601</v>
      </c>
      <c r="G95" s="30">
        <v>35709</v>
      </c>
      <c r="H95" s="33">
        <v>44260</v>
      </c>
      <c r="I95" s="33">
        <v>406</v>
      </c>
      <c r="J95" s="33">
        <v>335</v>
      </c>
      <c r="K95" s="33">
        <f t="shared" si="8"/>
        <v>14827100</v>
      </c>
      <c r="L95" s="4">
        <f>10000000+4827100</f>
        <v>14827100</v>
      </c>
      <c r="M95" s="33">
        <f t="shared" si="9"/>
        <v>0</v>
      </c>
      <c r="N95" s="2" t="str" cm="1">
        <f t="array" ref="N95">_xlfn.IFS(M95=0,"PAYE", M95&lt;0,"SURPLUS", K95=M95,"NON PAYE", TRUE,"PARTIEL")</f>
        <v>PAYE</v>
      </c>
      <c r="O95" s="34" t="s">
        <v>690</v>
      </c>
      <c r="P95" s="18" t="s">
        <v>55</v>
      </c>
      <c r="Q95" s="21" t="s">
        <v>164</v>
      </c>
    </row>
    <row r="96" spans="1:17" x14ac:dyDescent="0.35">
      <c r="A96" s="42">
        <v>46275</v>
      </c>
      <c r="B96" s="35"/>
      <c r="C96" s="17">
        <v>1092</v>
      </c>
      <c r="D96" s="31" t="s">
        <v>269</v>
      </c>
      <c r="E96" s="32" t="str">
        <f>_xlfn.XLOOKUP(D96,'CODE FRS'!B:B,'CODE FRS'!C:C)</f>
        <v>AZOGA ARMAND</v>
      </c>
      <c r="F96" s="30" t="s">
        <v>602</v>
      </c>
      <c r="G96" s="30">
        <v>35679</v>
      </c>
      <c r="H96" s="33">
        <v>48000</v>
      </c>
      <c r="I96" s="33">
        <v>460</v>
      </c>
      <c r="J96" s="33">
        <v>332</v>
      </c>
      <c r="K96" s="33">
        <f t="shared" si="8"/>
        <v>15936000</v>
      </c>
      <c r="L96" s="4">
        <v>15936000</v>
      </c>
      <c r="M96" s="33">
        <f t="shared" si="9"/>
        <v>0</v>
      </c>
      <c r="N96" s="2" t="str" cm="1">
        <f t="array" ref="N96">_xlfn.IFS(M96=0,"PAYE", M96&lt;0,"SURPLUS", K96=M96,"NON PAYE", TRUE,"PARTIEL")</f>
        <v>PAYE</v>
      </c>
      <c r="O96" s="34" t="s">
        <v>698</v>
      </c>
      <c r="P96" s="18" t="s">
        <v>55</v>
      </c>
      <c r="Q96" s="21" t="s">
        <v>164</v>
      </c>
    </row>
    <row r="97" spans="1:17" x14ac:dyDescent="0.35">
      <c r="A97" s="42">
        <v>46275</v>
      </c>
      <c r="B97" s="31" t="s">
        <v>535</v>
      </c>
      <c r="C97" s="17">
        <v>1093</v>
      </c>
      <c r="D97" s="31" t="s">
        <v>201</v>
      </c>
      <c r="E97" s="32" t="str">
        <f>_xlfn.XLOOKUP(D97,'CODE FRS'!B:B,'CODE FRS'!C:C)</f>
        <v>GOUDO DOSSOU ROMAIN</v>
      </c>
      <c r="F97" s="30" t="s">
        <v>603</v>
      </c>
      <c r="G97" s="30">
        <v>35678</v>
      </c>
      <c r="H97" s="33">
        <v>40960</v>
      </c>
      <c r="I97" s="33">
        <v>465</v>
      </c>
      <c r="J97" s="33">
        <v>335</v>
      </c>
      <c r="K97" s="33">
        <f t="shared" si="8"/>
        <v>13721600</v>
      </c>
      <c r="L97" s="4">
        <f>7000000+6721600</f>
        <v>13721600</v>
      </c>
      <c r="M97" s="33">
        <f t="shared" si="9"/>
        <v>0</v>
      </c>
      <c r="N97" s="2" t="str" cm="1">
        <f t="array" ref="N97">_xlfn.IFS(M97=0,"PAYE", M97&lt;0,"SURPLUS", K97=M97,"NON PAYE", TRUE,"PARTIEL")</f>
        <v>PAYE</v>
      </c>
      <c r="O97" s="47" t="s">
        <v>696</v>
      </c>
      <c r="P97" s="18" t="s">
        <v>55</v>
      </c>
      <c r="Q97" s="21" t="s">
        <v>164</v>
      </c>
    </row>
    <row r="98" spans="1:17" x14ac:dyDescent="0.35">
      <c r="A98" s="42">
        <v>46275</v>
      </c>
      <c r="B98" s="31" t="s">
        <v>555</v>
      </c>
      <c r="C98" s="17">
        <v>1094</v>
      </c>
      <c r="D98" s="31" t="s">
        <v>339</v>
      </c>
      <c r="E98" s="32" t="str">
        <f>_xlfn.XLOOKUP(D98,'CODE FRS'!B:B,'CODE FRS'!C:C)</f>
        <v>HASSANE SEYNI</v>
      </c>
      <c r="F98" s="30" t="s">
        <v>550</v>
      </c>
      <c r="G98" s="30">
        <v>35680</v>
      </c>
      <c r="H98" s="33">
        <v>39880</v>
      </c>
      <c r="I98" s="33">
        <v>411</v>
      </c>
      <c r="J98" s="33">
        <v>335</v>
      </c>
      <c r="K98" s="33">
        <f t="shared" si="8"/>
        <v>13359800</v>
      </c>
      <c r="L98" s="4">
        <v>13359800</v>
      </c>
      <c r="M98" s="33">
        <f t="shared" si="9"/>
        <v>0</v>
      </c>
      <c r="N98" s="2" t="str" cm="1">
        <f t="array" ref="N98">_xlfn.IFS(M98=0,"PAYE", M98&lt;0,"SURPLUS", K98=M98,"NON PAYE", TRUE,"PARTIEL")</f>
        <v>PAYE</v>
      </c>
      <c r="O98" s="34" t="s">
        <v>689</v>
      </c>
      <c r="P98" s="18" t="s">
        <v>55</v>
      </c>
      <c r="Q98" s="21" t="s">
        <v>164</v>
      </c>
    </row>
    <row r="99" spans="1:17" x14ac:dyDescent="0.35">
      <c r="A99" s="42">
        <v>46275</v>
      </c>
      <c r="B99" s="31" t="s">
        <v>388</v>
      </c>
      <c r="C99" s="17">
        <v>1095</v>
      </c>
      <c r="D99" s="31" t="s">
        <v>391</v>
      </c>
      <c r="E99" s="32" t="str">
        <f>_xlfn.XLOOKUP(D99,'CODE FRS'!B:B,'CODE FRS'!C:C)</f>
        <v>SABI SARA MAMADOU</v>
      </c>
      <c r="F99" s="30" t="s">
        <v>392</v>
      </c>
      <c r="G99" s="30">
        <v>35713</v>
      </c>
      <c r="H99" s="33">
        <v>32340</v>
      </c>
      <c r="I99" s="33">
        <v>327</v>
      </c>
      <c r="J99" s="33">
        <v>330</v>
      </c>
      <c r="K99" s="33">
        <f t="shared" si="8"/>
        <v>10672200</v>
      </c>
      <c r="L99" s="4">
        <v>10672200</v>
      </c>
      <c r="M99" s="33">
        <f t="shared" si="9"/>
        <v>0</v>
      </c>
      <c r="N99" s="2" t="str" cm="1">
        <f t="array" ref="N99">_xlfn.IFS(M99=0,"PAYE", M99&lt;0,"SURPLUS", K99=M99,"NON PAYE", TRUE,"PARTIEL")</f>
        <v>PAYE</v>
      </c>
      <c r="O99" s="34" t="s">
        <v>699</v>
      </c>
      <c r="P99" s="18" t="s">
        <v>55</v>
      </c>
      <c r="Q99" s="21" t="s">
        <v>164</v>
      </c>
    </row>
    <row r="100" spans="1:17" x14ac:dyDescent="0.35">
      <c r="A100" s="43">
        <v>46276</v>
      </c>
      <c r="B100" s="31" t="s">
        <v>556</v>
      </c>
      <c r="C100" s="36">
        <v>1096</v>
      </c>
      <c r="D100" s="31" t="s">
        <v>196</v>
      </c>
      <c r="E100" s="32" t="str">
        <f>_xlfn.XLOOKUP(D100,'CODE FRS'!B:B,'CODE FRS'!C:C)</f>
        <v>ISMAEL WASSIOU</v>
      </c>
      <c r="F100" s="30" t="s">
        <v>630</v>
      </c>
      <c r="G100" s="30">
        <v>35733</v>
      </c>
      <c r="H100" s="33">
        <v>54780</v>
      </c>
      <c r="I100" s="33">
        <v>512</v>
      </c>
      <c r="J100" s="33">
        <v>340</v>
      </c>
      <c r="K100" s="33">
        <f t="shared" ref="K100:K108" si="10">H100*J100</f>
        <v>18625200</v>
      </c>
      <c r="L100" s="33">
        <v>18625200</v>
      </c>
      <c r="M100" s="33">
        <f t="shared" ref="M100:M108" si="11">K100-L100</f>
        <v>0</v>
      </c>
      <c r="N100" s="2" t="str" cm="1">
        <f t="array" ref="N100">_xlfn.IFS(M100=0,"PAYE", M100&lt;0,"SURPLUS", K100=M100,"NON PAYE", TRUE,"PARTIEL")</f>
        <v>PAYE</v>
      </c>
      <c r="O100" s="34" t="s">
        <v>700</v>
      </c>
      <c r="P100" s="18" t="s">
        <v>55</v>
      </c>
      <c r="Q100" s="21" t="s">
        <v>164</v>
      </c>
    </row>
    <row r="101" spans="1:17" x14ac:dyDescent="0.35">
      <c r="A101" s="43">
        <v>46276</v>
      </c>
      <c r="B101" s="31" t="s">
        <v>537</v>
      </c>
      <c r="C101" s="36">
        <v>1097</v>
      </c>
      <c r="D101" s="31" t="s">
        <v>196</v>
      </c>
      <c r="E101" s="32" t="str">
        <f>_xlfn.XLOOKUP(D101,'CODE FRS'!B:B,'CODE FRS'!C:C)</f>
        <v>ISMAEL WASSIOU</v>
      </c>
      <c r="F101" s="30" t="s">
        <v>631</v>
      </c>
      <c r="G101" s="30">
        <v>35734</v>
      </c>
      <c r="H101" s="33">
        <v>49760</v>
      </c>
      <c r="I101" s="33">
        <v>549</v>
      </c>
      <c r="J101" s="33">
        <v>340</v>
      </c>
      <c r="K101" s="33">
        <f t="shared" si="10"/>
        <v>16918400</v>
      </c>
      <c r="L101" s="33">
        <v>16918400</v>
      </c>
      <c r="M101" s="33">
        <f t="shared" si="11"/>
        <v>0</v>
      </c>
      <c r="N101" s="2" t="str" cm="1">
        <f t="array" ref="N101">_xlfn.IFS(M101=0,"PAYE", M101&lt;0,"SURPLUS", K101=M101,"NON PAYE", TRUE,"PARTIEL")</f>
        <v>PAYE</v>
      </c>
      <c r="O101" s="34" t="s">
        <v>700</v>
      </c>
      <c r="P101" s="34" t="s">
        <v>55</v>
      </c>
      <c r="Q101" s="37" t="s">
        <v>164</v>
      </c>
    </row>
    <row r="102" spans="1:17" x14ac:dyDescent="0.35">
      <c r="A102" s="42">
        <v>46276</v>
      </c>
      <c r="B102" s="1" t="s">
        <v>520</v>
      </c>
      <c r="C102" s="17">
        <v>1098</v>
      </c>
      <c r="D102" s="1" t="s">
        <v>203</v>
      </c>
      <c r="E102" s="3" t="str">
        <f>_xlfn.XLOOKUP(D102,'CODE FRS'!B:B,'CODE FRS'!C:C)</f>
        <v>CHIGBLO FERDINAND</v>
      </c>
      <c r="F102" s="2" t="s">
        <v>517</v>
      </c>
      <c r="G102" s="2">
        <v>35721</v>
      </c>
      <c r="H102" s="4">
        <v>46220</v>
      </c>
      <c r="I102" s="4">
        <v>549</v>
      </c>
      <c r="J102" s="4">
        <v>330</v>
      </c>
      <c r="K102" s="4">
        <f t="shared" si="10"/>
        <v>15252600</v>
      </c>
      <c r="L102" s="4">
        <v>15252600</v>
      </c>
      <c r="M102" s="4">
        <f t="shared" si="11"/>
        <v>0</v>
      </c>
      <c r="N102" s="2" t="str" cm="1">
        <f t="array" ref="N102">_xlfn.IFS(M102=0,"PAYE", M102&lt;0,"SURPLUS", K102=M102,"NON PAYE", TRUE,"PARTIEL")</f>
        <v>PAYE</v>
      </c>
      <c r="O102" s="64" t="s">
        <v>768</v>
      </c>
      <c r="P102" s="34" t="s">
        <v>55</v>
      </c>
      <c r="Q102" s="37" t="s">
        <v>164</v>
      </c>
    </row>
    <row r="103" spans="1:17" x14ac:dyDescent="0.35">
      <c r="A103" s="43">
        <v>46276</v>
      </c>
      <c r="B103" s="31" t="s">
        <v>588</v>
      </c>
      <c r="C103" s="36">
        <v>1099</v>
      </c>
      <c r="D103" s="31" t="s">
        <v>209</v>
      </c>
      <c r="E103" s="32" t="str">
        <f>_xlfn.XLOOKUP(D103,'CODE FRS'!B:B,'CODE FRS'!C:C)</f>
        <v>AHOSSI GABIN</v>
      </c>
      <c r="F103" s="30" t="s">
        <v>592</v>
      </c>
      <c r="G103" s="30">
        <v>35736</v>
      </c>
      <c r="H103" s="33">
        <v>16760</v>
      </c>
      <c r="I103" s="33">
        <v>157</v>
      </c>
      <c r="J103" s="33">
        <v>332</v>
      </c>
      <c r="K103" s="33">
        <f t="shared" si="10"/>
        <v>5564320</v>
      </c>
      <c r="L103" s="33">
        <v>5564320</v>
      </c>
      <c r="M103" s="33">
        <f t="shared" si="11"/>
        <v>0</v>
      </c>
      <c r="N103" s="2" t="str" cm="1">
        <f t="array" ref="N103">_xlfn.IFS(M103=0,"PAYE", M103&lt;0,"SURPLUS", K103=M103,"NON PAYE", TRUE,"PARTIEL")</f>
        <v>PAYE</v>
      </c>
      <c r="O103" s="34" t="s">
        <v>694</v>
      </c>
      <c r="P103" s="34" t="s">
        <v>55</v>
      </c>
      <c r="Q103" s="37" t="s">
        <v>164</v>
      </c>
    </row>
    <row r="104" spans="1:17" x14ac:dyDescent="0.35">
      <c r="A104" s="42">
        <v>46276</v>
      </c>
      <c r="B104" s="1" t="s">
        <v>543</v>
      </c>
      <c r="C104" s="17">
        <v>1100</v>
      </c>
      <c r="D104" s="1" t="s">
        <v>196</v>
      </c>
      <c r="E104" s="3" t="str">
        <f>_xlfn.XLOOKUP(D104,'CODE FRS'!B:B,'CODE FRS'!C:C)</f>
        <v>ISMAEL WASSIOU</v>
      </c>
      <c r="F104" s="2" t="s">
        <v>632</v>
      </c>
      <c r="G104" s="2">
        <v>35735</v>
      </c>
      <c r="H104" s="4">
        <v>49700</v>
      </c>
      <c r="I104" s="4">
        <v>539</v>
      </c>
      <c r="J104" s="4">
        <v>340</v>
      </c>
      <c r="K104" s="4">
        <f t="shared" si="10"/>
        <v>16898000</v>
      </c>
      <c r="L104" s="4">
        <v>16898000</v>
      </c>
      <c r="M104" s="4">
        <f t="shared" si="11"/>
        <v>0</v>
      </c>
      <c r="N104" s="2" t="str" cm="1">
        <f t="array" ref="N104">_xlfn.IFS(M104=0,"PAYE", M104&lt;0,"SURPLUS", K104=M104,"NON PAYE", TRUE,"PARTIEL")</f>
        <v>PAYE</v>
      </c>
      <c r="O104" s="18" t="s">
        <v>913</v>
      </c>
      <c r="P104" s="18" t="s">
        <v>55</v>
      </c>
      <c r="Q104" s="21" t="s">
        <v>164</v>
      </c>
    </row>
    <row r="105" spans="1:17" x14ac:dyDescent="0.35">
      <c r="A105" s="43">
        <v>46277</v>
      </c>
      <c r="B105" s="35"/>
      <c r="C105" s="36">
        <v>1101</v>
      </c>
      <c r="D105" s="31" t="s">
        <v>196</v>
      </c>
      <c r="E105" s="32" t="str">
        <f>_xlfn.XLOOKUP(D105,'CODE FRS'!B:B,'CODE FRS'!C:C)</f>
        <v>ISMAEL WASSIOU</v>
      </c>
      <c r="F105" s="30" t="s">
        <v>642</v>
      </c>
      <c r="G105" s="30">
        <v>35759</v>
      </c>
      <c r="H105" s="33">
        <v>49640</v>
      </c>
      <c r="I105" s="33">
        <v>514</v>
      </c>
      <c r="J105" s="4">
        <v>340</v>
      </c>
      <c r="K105" s="33">
        <f t="shared" si="10"/>
        <v>16877600</v>
      </c>
      <c r="L105" s="4">
        <v>16877600</v>
      </c>
      <c r="M105" s="33">
        <f t="shared" si="11"/>
        <v>0</v>
      </c>
      <c r="N105" s="2" t="str" cm="1">
        <f t="array" ref="N105">_xlfn.IFS(M105=0,"PAYE", M105&lt;0,"SURPLUS", K105=M105,"NON PAYE", TRUE,"PARTIEL")</f>
        <v>PAYE</v>
      </c>
      <c r="O105" s="34" t="s">
        <v>913</v>
      </c>
      <c r="P105" s="18" t="s">
        <v>55</v>
      </c>
      <c r="Q105" s="21" t="s">
        <v>164</v>
      </c>
    </row>
    <row r="106" spans="1:17" x14ac:dyDescent="0.35">
      <c r="A106" s="43">
        <v>46277</v>
      </c>
      <c r="B106" s="31" t="s">
        <v>519</v>
      </c>
      <c r="C106" s="36">
        <v>1102</v>
      </c>
      <c r="D106" s="31" t="s">
        <v>203</v>
      </c>
      <c r="E106" s="32" t="str">
        <f>_xlfn.XLOOKUP(D106,'CODE FRS'!B:B,'CODE FRS'!C:C)</f>
        <v>CHIGBLO FERDINAND</v>
      </c>
      <c r="F106" s="30" t="s">
        <v>516</v>
      </c>
      <c r="G106" s="30">
        <v>35758</v>
      </c>
      <c r="H106" s="33">
        <v>45460</v>
      </c>
      <c r="I106" s="33">
        <v>536</v>
      </c>
      <c r="J106" s="33">
        <v>330</v>
      </c>
      <c r="K106" s="33">
        <f t="shared" si="10"/>
        <v>15001800</v>
      </c>
      <c r="L106" s="4">
        <v>15001800</v>
      </c>
      <c r="M106" s="33">
        <f t="shared" si="11"/>
        <v>0</v>
      </c>
      <c r="N106" s="2" t="str" cm="1">
        <f t="array" ref="N106">_xlfn.IFS(M106=0,"PAYE", M106&lt;0,"SURPLUS", K106=M106,"NON PAYE", TRUE,"PARTIEL")</f>
        <v>PAYE</v>
      </c>
      <c r="O106" s="64" t="s">
        <v>805</v>
      </c>
      <c r="P106" s="18" t="s">
        <v>55</v>
      </c>
      <c r="Q106" s="21" t="s">
        <v>164</v>
      </c>
    </row>
    <row r="107" spans="1:17" ht="29" x14ac:dyDescent="0.35">
      <c r="A107" s="43">
        <v>46277</v>
      </c>
      <c r="B107" s="31" t="s">
        <v>581</v>
      </c>
      <c r="C107" s="36">
        <v>1103</v>
      </c>
      <c r="D107" s="31" t="s">
        <v>572</v>
      </c>
      <c r="E107" s="32" t="str">
        <f>_xlfn.XLOOKUP(D107,'CODE FRS'!B:B,'CODE FRS'!C:C)</f>
        <v>HOUEDANOU JUSTIN</v>
      </c>
      <c r="F107" s="30" t="s">
        <v>573</v>
      </c>
      <c r="G107" s="30">
        <v>35760</v>
      </c>
      <c r="H107" s="33">
        <v>44380</v>
      </c>
      <c r="I107" s="33">
        <v>420</v>
      </c>
      <c r="J107" s="33">
        <v>331</v>
      </c>
      <c r="K107" s="33">
        <f t="shared" si="10"/>
        <v>14689780</v>
      </c>
      <c r="L107" s="4">
        <f>2000000+5000000+7689780</f>
        <v>14689780</v>
      </c>
      <c r="M107" s="33">
        <f t="shared" si="11"/>
        <v>0</v>
      </c>
      <c r="N107" s="2" t="str" cm="1">
        <f t="array" ref="N107">_xlfn.IFS(M107=0,"PAYE", M107&lt;0,"SURPLUS", K107=M107,"NON PAYE", TRUE,"PARTIEL")</f>
        <v>PAYE</v>
      </c>
      <c r="O107" s="34" t="s">
        <v>877</v>
      </c>
      <c r="P107" s="18" t="s">
        <v>55</v>
      </c>
      <c r="Q107" s="21" t="s">
        <v>164</v>
      </c>
    </row>
    <row r="108" spans="1:17" x14ac:dyDescent="0.35">
      <c r="A108" s="43">
        <v>46277</v>
      </c>
      <c r="B108" s="35"/>
      <c r="C108" s="36">
        <v>1104</v>
      </c>
      <c r="D108" s="31" t="s">
        <v>403</v>
      </c>
      <c r="E108" s="32" t="str">
        <f>_xlfn.XLOOKUP(D108,'CODE FRS'!B:B,'CODE FRS'!C:C)</f>
        <v>Mr MOMO</v>
      </c>
      <c r="F108" s="30" t="s">
        <v>643</v>
      </c>
      <c r="G108" s="30">
        <v>35761</v>
      </c>
      <c r="H108" s="33">
        <v>39400</v>
      </c>
      <c r="I108" s="33">
        <v>474</v>
      </c>
      <c r="J108" s="33">
        <v>330</v>
      </c>
      <c r="K108" s="33">
        <f t="shared" si="10"/>
        <v>13002000</v>
      </c>
      <c r="L108" s="4">
        <v>13002000</v>
      </c>
      <c r="M108" s="33">
        <f t="shared" si="11"/>
        <v>0</v>
      </c>
      <c r="N108" s="2" t="str" cm="1">
        <f t="array" ref="N108">_xlfn.IFS(M108=0,"PAYE", M108&lt;0,"SURPLUS", K108=M108,"NON PAYE", TRUE,"PARTIEL")</f>
        <v>PAYE</v>
      </c>
      <c r="O108" s="34" t="s">
        <v>697</v>
      </c>
      <c r="P108" s="18" t="s">
        <v>55</v>
      </c>
      <c r="Q108" s="21" t="s">
        <v>164</v>
      </c>
    </row>
    <row r="109" spans="1:17" x14ac:dyDescent="0.35">
      <c r="A109" s="43">
        <v>46278</v>
      </c>
      <c r="B109" s="31" t="s">
        <v>578</v>
      </c>
      <c r="C109" s="36">
        <v>1105</v>
      </c>
      <c r="D109" s="31" t="s">
        <v>196</v>
      </c>
      <c r="E109" s="32" t="str">
        <f>_xlfn.XLOOKUP(D109,'CODE FRS'!B:B,'CODE FRS'!C:C)</f>
        <v>ISMAEL WASSIOU</v>
      </c>
      <c r="F109" s="30" t="s">
        <v>654</v>
      </c>
      <c r="G109" s="30">
        <v>35782</v>
      </c>
      <c r="H109" s="33">
        <v>49500</v>
      </c>
      <c r="I109" s="33">
        <v>534</v>
      </c>
      <c r="J109" s="4">
        <v>340</v>
      </c>
      <c r="K109" s="33">
        <f t="shared" ref="K109:K130" si="12">H109*J109</f>
        <v>16830000</v>
      </c>
      <c r="L109" s="4">
        <v>16830000</v>
      </c>
      <c r="M109" s="33">
        <f t="shared" ref="M109:M130" si="13">K109-L109</f>
        <v>0</v>
      </c>
      <c r="N109" s="2" t="str" cm="1">
        <f t="array" ref="N109">_xlfn.IFS(M109=0,"PAYE", M109&lt;0,"SURPLUS", K109=M109,"NON PAYE", TRUE,"PARTIEL")</f>
        <v>PAYE</v>
      </c>
      <c r="O109" s="34" t="s">
        <v>913</v>
      </c>
      <c r="P109" s="18" t="s">
        <v>55</v>
      </c>
      <c r="Q109" s="21" t="s">
        <v>164</v>
      </c>
    </row>
    <row r="110" spans="1:17" x14ac:dyDescent="0.35">
      <c r="A110" s="43">
        <v>46278</v>
      </c>
      <c r="B110" s="31" t="s">
        <v>579</v>
      </c>
      <c r="C110" s="36">
        <v>1106</v>
      </c>
      <c r="D110" s="31" t="s">
        <v>213</v>
      </c>
      <c r="E110" s="32" t="str">
        <f>_xlfn.XLOOKUP(D110,'CODE FRS'!B:B,'CODE FRS'!C:C)</f>
        <v>NOEL DOLEME</v>
      </c>
      <c r="F110" s="30" t="s">
        <v>569</v>
      </c>
      <c r="G110" s="30">
        <v>35773</v>
      </c>
      <c r="H110" s="33">
        <v>46800</v>
      </c>
      <c r="I110" s="33">
        <v>476</v>
      </c>
      <c r="J110" s="33">
        <v>332</v>
      </c>
      <c r="K110" s="33">
        <f t="shared" si="12"/>
        <v>15537600</v>
      </c>
      <c r="L110" s="4">
        <f>5000000+10537600</f>
        <v>15537600</v>
      </c>
      <c r="M110" s="33">
        <f t="shared" si="13"/>
        <v>0</v>
      </c>
      <c r="N110" s="2" t="str" cm="1">
        <f t="array" ref="N110">_xlfn.IFS(M110=0,"PAYE", M110&lt;0,"SURPLUS", K110=M110,"NON PAYE", TRUE,"PARTIEL")</f>
        <v>PAYE</v>
      </c>
      <c r="O110" s="34" t="s">
        <v>804</v>
      </c>
      <c r="P110" s="18" t="s">
        <v>55</v>
      </c>
      <c r="Q110" s="21" t="s">
        <v>164</v>
      </c>
    </row>
    <row r="111" spans="1:17" x14ac:dyDescent="0.35">
      <c r="A111" s="43">
        <v>46278</v>
      </c>
      <c r="B111" s="31" t="s">
        <v>460</v>
      </c>
      <c r="C111" s="36">
        <v>1107</v>
      </c>
      <c r="D111" s="31" t="s">
        <v>193</v>
      </c>
      <c r="E111" s="32" t="str">
        <f>_xlfn.XLOOKUP(D111,'CODE FRS'!B:B,'CODE FRS'!C:C)</f>
        <v>TCHANIGA SAMSON</v>
      </c>
      <c r="F111" s="30" t="s">
        <v>454</v>
      </c>
      <c r="G111" s="30">
        <v>35774</v>
      </c>
      <c r="H111" s="33">
        <v>44080</v>
      </c>
      <c r="I111" s="33">
        <v>438</v>
      </c>
      <c r="J111" s="33">
        <v>335</v>
      </c>
      <c r="K111" s="33">
        <f t="shared" si="12"/>
        <v>14766800</v>
      </c>
      <c r="L111" s="4">
        <v>14766800</v>
      </c>
      <c r="M111" s="33">
        <f t="shared" si="13"/>
        <v>0</v>
      </c>
      <c r="N111" s="2" t="str" cm="1">
        <f t="array" ref="N111">_xlfn.IFS(M111=0,"PAYE", M111&lt;0,"SURPLUS", K111=M111,"NON PAYE", TRUE,"PARTIEL")</f>
        <v>PAYE</v>
      </c>
      <c r="O111" s="34" t="s">
        <v>750</v>
      </c>
      <c r="P111" s="18" t="s">
        <v>55</v>
      </c>
      <c r="Q111" s="21" t="s">
        <v>164</v>
      </c>
    </row>
    <row r="112" spans="1:17" x14ac:dyDescent="0.35">
      <c r="A112" s="43">
        <v>46278</v>
      </c>
      <c r="B112" s="31" t="s">
        <v>529</v>
      </c>
      <c r="C112" s="36">
        <v>1108</v>
      </c>
      <c r="D112" s="31" t="s">
        <v>385</v>
      </c>
      <c r="E112" s="32" t="str">
        <f>_xlfn.XLOOKUP(D112,'CODE FRS'!B:B,'CODE FRS'!C:C)</f>
        <v>ADANNON BLOND</v>
      </c>
      <c r="F112" s="30" t="s">
        <v>655</v>
      </c>
      <c r="G112" s="30">
        <v>35780</v>
      </c>
      <c r="H112" s="33">
        <v>47680</v>
      </c>
      <c r="I112" s="33">
        <v>644</v>
      </c>
      <c r="J112" s="33">
        <v>330</v>
      </c>
      <c r="K112" s="33">
        <f t="shared" si="12"/>
        <v>15734400</v>
      </c>
      <c r="L112" s="4">
        <v>15734400</v>
      </c>
      <c r="M112" s="33">
        <f t="shared" si="13"/>
        <v>0</v>
      </c>
      <c r="N112" s="2" t="str" cm="1">
        <f t="array" ref="N112">_xlfn.IFS(M112=0,"PAYE", M112&lt;0,"SURPLUS", K112=M112,"NON PAYE", TRUE,"PARTIEL")</f>
        <v>PAYE</v>
      </c>
      <c r="O112" s="34" t="s">
        <v>940</v>
      </c>
      <c r="P112" s="18" t="s">
        <v>55</v>
      </c>
      <c r="Q112" s="21" t="s">
        <v>164</v>
      </c>
    </row>
    <row r="113" spans="1:17" x14ac:dyDescent="0.35">
      <c r="A113" s="43">
        <v>46278</v>
      </c>
      <c r="B113" s="31" t="s">
        <v>583</v>
      </c>
      <c r="C113" s="36">
        <v>1109</v>
      </c>
      <c r="D113" s="31" t="s">
        <v>193</v>
      </c>
      <c r="E113" s="32" t="str">
        <f>_xlfn.XLOOKUP(D113,'CODE FRS'!B:B,'CODE FRS'!C:C)</f>
        <v>TCHANIGA SAMSON</v>
      </c>
      <c r="F113" s="30" t="s">
        <v>143</v>
      </c>
      <c r="G113" s="30">
        <v>35779</v>
      </c>
      <c r="H113" s="33">
        <v>47880</v>
      </c>
      <c r="I113" s="33">
        <v>450</v>
      </c>
      <c r="J113" s="33">
        <v>335</v>
      </c>
      <c r="K113" s="33">
        <f t="shared" si="12"/>
        <v>16039800</v>
      </c>
      <c r="L113" s="4">
        <v>16038400</v>
      </c>
      <c r="M113" s="33">
        <f t="shared" si="13"/>
        <v>1400</v>
      </c>
      <c r="N113" s="2" t="str" cm="1">
        <f t="array" ref="N113">_xlfn.IFS(M113=0,"PAYE", M113&lt;0,"SURPLUS", K113=M113,"NON PAYE", TRUE,"PARTIEL")</f>
        <v>PARTIEL</v>
      </c>
      <c r="O113" s="34" t="s">
        <v>701</v>
      </c>
      <c r="P113" s="18" t="s">
        <v>55</v>
      </c>
      <c r="Q113" s="21" t="s">
        <v>164</v>
      </c>
    </row>
    <row r="114" spans="1:17" x14ac:dyDescent="0.35">
      <c r="A114" s="43">
        <v>46278</v>
      </c>
      <c r="B114" s="31" t="s">
        <v>530</v>
      </c>
      <c r="C114" s="36">
        <v>1110</v>
      </c>
      <c r="D114" s="31" t="s">
        <v>525</v>
      </c>
      <c r="E114" s="32" t="str">
        <f>_xlfn.XLOOKUP(D114,'CODE FRS'!B:B,'CODE FRS'!C:C)</f>
        <v>WANGNANNON ABEL</v>
      </c>
      <c r="F114" s="30" t="s">
        <v>526</v>
      </c>
      <c r="G114" s="30">
        <v>35785</v>
      </c>
      <c r="H114" s="33">
        <f>49520-450</f>
        <v>49070</v>
      </c>
      <c r="I114" s="33">
        <v>524</v>
      </c>
      <c r="J114" s="33">
        <v>335</v>
      </c>
      <c r="K114" s="33">
        <f t="shared" si="12"/>
        <v>16438450</v>
      </c>
      <c r="L114" s="4">
        <v>16438450</v>
      </c>
      <c r="M114" s="33">
        <f t="shared" si="13"/>
        <v>0</v>
      </c>
      <c r="N114" s="2" t="str" cm="1">
        <f t="array" ref="N114">_xlfn.IFS(M114=0,"PAYE", M114&lt;0,"SURPLUS", K114=M114,"NON PAYE", TRUE,"PARTIEL")</f>
        <v>PAYE</v>
      </c>
      <c r="O114" s="34" t="s">
        <v>880</v>
      </c>
      <c r="P114" s="18" t="s">
        <v>55</v>
      </c>
      <c r="Q114" s="21" t="s">
        <v>164</v>
      </c>
    </row>
    <row r="115" spans="1:17" x14ac:dyDescent="0.35">
      <c r="A115" s="43">
        <v>46279</v>
      </c>
      <c r="B115" s="31" t="s">
        <v>564</v>
      </c>
      <c r="C115" s="36">
        <v>1111</v>
      </c>
      <c r="D115" s="31" t="s">
        <v>193</v>
      </c>
      <c r="E115" s="32" t="str">
        <f>_xlfn.XLOOKUP(D115,'CODE FRS'!B:B,'CODE FRS'!C:C)</f>
        <v>TCHANIGA SAMSON</v>
      </c>
      <c r="F115" s="30" t="s">
        <v>671</v>
      </c>
      <c r="G115" s="30">
        <v>35839</v>
      </c>
      <c r="H115" s="33">
        <v>42900</v>
      </c>
      <c r="I115" s="33">
        <v>461</v>
      </c>
      <c r="J115" s="33">
        <v>335</v>
      </c>
      <c r="K115" s="33">
        <f t="shared" si="12"/>
        <v>14371500</v>
      </c>
      <c r="L115" s="4">
        <v>14371500</v>
      </c>
      <c r="M115" s="33">
        <f t="shared" si="13"/>
        <v>0</v>
      </c>
      <c r="N115" s="2" t="str" cm="1">
        <f t="array" ref="N115">_xlfn.IFS(M115=0,"PAYE", M115&lt;0,"SURPLUS", K115=M115,"NON PAYE", TRUE,"PARTIEL")</f>
        <v>PAYE</v>
      </c>
      <c r="O115" s="34" t="s">
        <v>885</v>
      </c>
      <c r="P115" s="18" t="s">
        <v>55</v>
      </c>
      <c r="Q115" s="21" t="s">
        <v>164</v>
      </c>
    </row>
    <row r="116" spans="1:17" x14ac:dyDescent="0.35">
      <c r="A116" s="43">
        <v>46279</v>
      </c>
      <c r="B116" s="31" t="s">
        <v>617</v>
      </c>
      <c r="C116" s="36">
        <v>1112</v>
      </c>
      <c r="D116" s="31" t="s">
        <v>214</v>
      </c>
      <c r="E116" s="32" t="str">
        <f>_xlfn.XLOOKUP(D116,'CODE FRS'!B:B,'CODE FRS'!C:C)</f>
        <v>DAA-HINGBANON VIRGILE</v>
      </c>
      <c r="F116" s="30" t="s">
        <v>306</v>
      </c>
      <c r="G116" s="30">
        <v>35796</v>
      </c>
      <c r="H116" s="33">
        <v>34480</v>
      </c>
      <c r="I116" s="33">
        <v>321</v>
      </c>
      <c r="J116" s="33">
        <v>335</v>
      </c>
      <c r="K116" s="33">
        <f t="shared" si="12"/>
        <v>11550800</v>
      </c>
      <c r="L116" s="4">
        <v>11550800</v>
      </c>
      <c r="M116" s="33">
        <f t="shared" si="13"/>
        <v>0</v>
      </c>
      <c r="N116" s="2" t="str" cm="1">
        <f t="array" ref="N116">_xlfn.IFS(M116=0,"PAYE", M116&lt;0,"SURPLUS", K116=M116,"NON PAYE", TRUE,"PARTIEL")</f>
        <v>PAYE</v>
      </c>
      <c r="O116" s="34" t="s">
        <v>888</v>
      </c>
      <c r="P116" s="18" t="s">
        <v>55</v>
      </c>
      <c r="Q116" s="21" t="s">
        <v>164</v>
      </c>
    </row>
    <row r="117" spans="1:17" x14ac:dyDescent="0.35">
      <c r="A117" s="43">
        <v>46279</v>
      </c>
      <c r="B117" s="31" t="s">
        <v>563</v>
      </c>
      <c r="C117" s="36">
        <v>1113</v>
      </c>
      <c r="D117" s="31" t="s">
        <v>339</v>
      </c>
      <c r="E117" s="32" t="str">
        <f>_xlfn.XLOOKUP(D117,'CODE FRS'!B:B,'CODE FRS'!C:C)</f>
        <v>HASSANE SEYNI</v>
      </c>
      <c r="F117" s="30" t="s">
        <v>562</v>
      </c>
      <c r="G117" s="30">
        <v>35803</v>
      </c>
      <c r="H117" s="33">
        <v>50920</v>
      </c>
      <c r="I117" s="33">
        <v>572</v>
      </c>
      <c r="J117" s="33">
        <v>335</v>
      </c>
      <c r="K117" s="33">
        <f t="shared" si="12"/>
        <v>17058200</v>
      </c>
      <c r="L117" s="4">
        <v>17058200</v>
      </c>
      <c r="M117" s="33">
        <f t="shared" si="13"/>
        <v>0</v>
      </c>
      <c r="N117" s="2" t="str" cm="1">
        <f t="array" ref="N117">_xlfn.IFS(M117=0,"PAYE", M117&lt;0,"SURPLUS", K117=M117,"NON PAYE", TRUE,"PARTIEL")</f>
        <v>PAYE</v>
      </c>
      <c r="O117" s="34" t="s">
        <v>884</v>
      </c>
      <c r="P117" s="18" t="s">
        <v>55</v>
      </c>
      <c r="Q117" s="21" t="s">
        <v>164</v>
      </c>
    </row>
    <row r="118" spans="1:17" x14ac:dyDescent="0.35">
      <c r="A118" s="43">
        <v>46279</v>
      </c>
      <c r="B118" s="31" t="s">
        <v>461</v>
      </c>
      <c r="C118" s="36">
        <v>1114</v>
      </c>
      <c r="D118" s="31" t="s">
        <v>195</v>
      </c>
      <c r="E118" s="32" t="str">
        <f>_xlfn.XLOOKUP(D118,'CODE FRS'!B:B,'CODE FRS'!C:C)</f>
        <v>BADAROU SAID</v>
      </c>
      <c r="F118" s="30" t="s">
        <v>67</v>
      </c>
      <c r="G118" s="30">
        <v>35795</v>
      </c>
      <c r="H118" s="33">
        <v>17700</v>
      </c>
      <c r="I118" s="33">
        <v>200</v>
      </c>
      <c r="J118" s="33">
        <v>335</v>
      </c>
      <c r="K118" s="33">
        <f t="shared" si="12"/>
        <v>5929500</v>
      </c>
      <c r="L118" s="4">
        <v>5929500</v>
      </c>
      <c r="M118" s="33">
        <f t="shared" si="13"/>
        <v>0</v>
      </c>
      <c r="N118" s="2" t="str" cm="1">
        <f t="array" ref="N118">_xlfn.IFS(M118=0,"PAYE", M118&lt;0,"SURPLUS", K118=M118,"NON PAYE", TRUE,"PARTIEL")</f>
        <v>PAYE</v>
      </c>
      <c r="O118" s="34" t="s">
        <v>803</v>
      </c>
      <c r="P118" s="18" t="s">
        <v>55</v>
      </c>
      <c r="Q118" s="21" t="s">
        <v>164</v>
      </c>
    </row>
    <row r="119" spans="1:17" x14ac:dyDescent="0.35">
      <c r="A119" s="43">
        <v>46279</v>
      </c>
      <c r="B119" s="31" t="s">
        <v>297</v>
      </c>
      <c r="C119" s="36">
        <v>1115</v>
      </c>
      <c r="D119" s="31" t="s">
        <v>279</v>
      </c>
      <c r="E119" s="32" t="str">
        <f>_xlfn.XLOOKUP(D119,'CODE FRS'!B:B,'CODE FRS'!C:C)</f>
        <v>TCHANIGA LEONARD</v>
      </c>
      <c r="F119" s="30" t="s">
        <v>672</v>
      </c>
      <c r="G119" s="30">
        <v>35840</v>
      </c>
      <c r="H119" s="33">
        <v>44120</v>
      </c>
      <c r="I119" s="33">
        <v>498</v>
      </c>
      <c r="J119" s="33">
        <v>335</v>
      </c>
      <c r="K119" s="33">
        <f t="shared" si="12"/>
        <v>14780200</v>
      </c>
      <c r="L119" s="4">
        <f>300000+14480200</f>
        <v>14780200</v>
      </c>
      <c r="M119" s="33">
        <f t="shared" si="13"/>
        <v>0</v>
      </c>
      <c r="N119" s="2" t="str" cm="1">
        <f t="array" ref="N119">_xlfn.IFS(M119=0,"PAYE", M119&lt;0,"SURPLUS", K119=M119,"NON PAYE", TRUE,"PARTIEL")</f>
        <v>PAYE</v>
      </c>
      <c r="O119" s="34" t="s">
        <v>918</v>
      </c>
      <c r="P119" s="18" t="s">
        <v>55</v>
      </c>
      <c r="Q119" s="21" t="s">
        <v>164</v>
      </c>
    </row>
    <row r="120" spans="1:17" x14ac:dyDescent="0.35">
      <c r="A120" s="43">
        <v>46279</v>
      </c>
      <c r="B120" s="31" t="s">
        <v>457</v>
      </c>
      <c r="C120" s="36">
        <v>1116</v>
      </c>
      <c r="D120" s="31" t="s">
        <v>212</v>
      </c>
      <c r="E120" s="32" t="str">
        <f>_xlfn.XLOOKUP(D120,'CODE FRS'!B:B,'CODE FRS'!C:C)</f>
        <v>DOSSA MATHURIN</v>
      </c>
      <c r="F120" s="30" t="s">
        <v>452</v>
      </c>
      <c r="G120" s="30">
        <v>35804</v>
      </c>
      <c r="H120" s="33">
        <v>32080</v>
      </c>
      <c r="I120" s="33">
        <v>325</v>
      </c>
      <c r="J120" s="33">
        <v>335</v>
      </c>
      <c r="K120" s="33">
        <f t="shared" si="12"/>
        <v>10746800</v>
      </c>
      <c r="L120" s="4">
        <v>10746800</v>
      </c>
      <c r="M120" s="33">
        <f t="shared" si="13"/>
        <v>0</v>
      </c>
      <c r="N120" s="2" t="str" cm="1">
        <f t="array" ref="N120">_xlfn.IFS(M120=0,"PAYE", M120&lt;0,"SURPLUS", K120=M120,"NON PAYE", TRUE,"PARTIEL")</f>
        <v>PAYE</v>
      </c>
      <c r="O120" s="34" t="s">
        <v>881</v>
      </c>
      <c r="P120" s="18" t="s">
        <v>55</v>
      </c>
      <c r="Q120" s="21" t="s">
        <v>164</v>
      </c>
    </row>
    <row r="121" spans="1:17" x14ac:dyDescent="0.35">
      <c r="A121" s="43">
        <v>46279</v>
      </c>
      <c r="B121" s="35"/>
      <c r="C121" s="36">
        <v>1117</v>
      </c>
      <c r="D121" s="31" t="s">
        <v>198</v>
      </c>
      <c r="E121" s="32" t="str">
        <f>_xlfn.XLOOKUP(D121,'CODE FRS'!B:B,'CODE FRS'!C:C)</f>
        <v>VLAVONOU PIERRE</v>
      </c>
      <c r="F121" s="30" t="s">
        <v>673</v>
      </c>
      <c r="G121" s="30">
        <v>35842</v>
      </c>
      <c r="H121" s="33">
        <v>41540</v>
      </c>
      <c r="I121" s="33">
        <v>462</v>
      </c>
      <c r="J121" s="33">
        <v>335</v>
      </c>
      <c r="K121" s="33">
        <f t="shared" si="12"/>
        <v>13915900</v>
      </c>
      <c r="L121" s="4">
        <v>13915900</v>
      </c>
      <c r="M121" s="33">
        <f t="shared" si="13"/>
        <v>0</v>
      </c>
      <c r="N121" s="2" t="str" cm="1">
        <f t="array" ref="N121">_xlfn.IFS(M121=0,"PAYE", M121&lt;0,"SURPLUS", K121=M121,"NON PAYE", TRUE,"PARTIEL")</f>
        <v>PAYE</v>
      </c>
      <c r="O121" s="45" t="s">
        <v>882</v>
      </c>
      <c r="P121" s="18" t="s">
        <v>55</v>
      </c>
      <c r="Q121" s="21" t="s">
        <v>164</v>
      </c>
    </row>
    <row r="122" spans="1:17" x14ac:dyDescent="0.35">
      <c r="A122" s="43">
        <v>46279</v>
      </c>
      <c r="B122" s="31" t="s">
        <v>638</v>
      </c>
      <c r="C122" s="36">
        <v>1118</v>
      </c>
      <c r="D122" s="31" t="s">
        <v>403</v>
      </c>
      <c r="E122" s="32" t="str">
        <f>_xlfn.XLOOKUP(D122,'CODE FRS'!B:B,'CODE FRS'!C:C)</f>
        <v>Mr MOMO</v>
      </c>
      <c r="F122" s="30" t="s">
        <v>674</v>
      </c>
      <c r="G122" s="30">
        <v>35855</v>
      </c>
      <c r="H122" s="33">
        <v>48940</v>
      </c>
      <c r="I122" s="33">
        <v>507</v>
      </c>
      <c r="J122" s="33">
        <v>330</v>
      </c>
      <c r="K122" s="33">
        <f t="shared" si="12"/>
        <v>16150200</v>
      </c>
      <c r="L122" s="4">
        <v>16150200</v>
      </c>
      <c r="M122" s="33">
        <f t="shared" si="13"/>
        <v>0</v>
      </c>
      <c r="N122" s="2" t="str" cm="1">
        <f t="array" ref="N122">_xlfn.IFS(M122=0,"PAYE", M122&lt;0,"SURPLUS", K122=M122,"NON PAYE", TRUE,"PARTIEL")</f>
        <v>PAYE</v>
      </c>
      <c r="O122" s="34" t="s">
        <v>752</v>
      </c>
      <c r="P122" s="18" t="s">
        <v>55</v>
      </c>
      <c r="Q122" s="21" t="s">
        <v>164</v>
      </c>
    </row>
    <row r="123" spans="1:17" x14ac:dyDescent="0.35">
      <c r="A123" s="43">
        <v>46280</v>
      </c>
      <c r="B123" s="31" t="s">
        <v>584</v>
      </c>
      <c r="C123" s="36">
        <v>1119</v>
      </c>
      <c r="D123" s="31" t="s">
        <v>193</v>
      </c>
      <c r="E123" s="32" t="str">
        <f>_xlfn.XLOOKUP(D123,'CODE FRS'!B:B,'CODE FRS'!C:C)</f>
        <v>TCHANIGA SAMSON</v>
      </c>
      <c r="F123" s="30" t="s">
        <v>575</v>
      </c>
      <c r="G123" s="30">
        <v>35851</v>
      </c>
      <c r="H123" s="33">
        <v>40540</v>
      </c>
      <c r="I123" s="33">
        <v>460</v>
      </c>
      <c r="J123" s="33">
        <v>335</v>
      </c>
      <c r="K123" s="33">
        <f t="shared" si="12"/>
        <v>13580900</v>
      </c>
      <c r="L123" s="4">
        <v>13580900</v>
      </c>
      <c r="M123" s="33">
        <f t="shared" si="13"/>
        <v>0</v>
      </c>
      <c r="N123" s="2" t="str" cm="1">
        <f t="array" ref="N123">_xlfn.IFS(M123=0,"PAYE", M123&lt;0,"SURPLUS", K123=M123,"NON PAYE", TRUE,"PARTIEL")</f>
        <v>PAYE</v>
      </c>
      <c r="O123" s="34" t="s">
        <v>915</v>
      </c>
      <c r="P123" s="18" t="s">
        <v>55</v>
      </c>
      <c r="Q123" s="21" t="s">
        <v>164</v>
      </c>
    </row>
    <row r="124" spans="1:17" x14ac:dyDescent="0.35">
      <c r="A124" s="43">
        <v>46280</v>
      </c>
      <c r="B124" s="31" t="s">
        <v>622</v>
      </c>
      <c r="C124" s="36">
        <v>1120</v>
      </c>
      <c r="D124" s="31" t="s">
        <v>339</v>
      </c>
      <c r="E124" s="32" t="str">
        <f>_xlfn.XLOOKUP(D124,'CODE FRS'!B:B,'CODE FRS'!C:C)</f>
        <v>HASSANE SEYNI</v>
      </c>
      <c r="F124" s="30" t="s">
        <v>610</v>
      </c>
      <c r="G124" s="30">
        <v>35854</v>
      </c>
      <c r="H124" s="33">
        <v>49600</v>
      </c>
      <c r="I124" s="33">
        <v>568</v>
      </c>
      <c r="J124" s="33">
        <v>335</v>
      </c>
      <c r="K124" s="33">
        <f t="shared" si="12"/>
        <v>16616000</v>
      </c>
      <c r="L124" s="4">
        <v>16616000</v>
      </c>
      <c r="M124" s="33">
        <f t="shared" si="13"/>
        <v>0</v>
      </c>
      <c r="N124" s="2" t="str" cm="1">
        <f t="array" ref="N124">_xlfn.IFS(M124=0,"PAYE", M124&lt;0,"SURPLUS", K124=M124,"NON PAYE", TRUE,"PARTIEL")</f>
        <v>PAYE</v>
      </c>
      <c r="O124" s="34" t="s">
        <v>941</v>
      </c>
      <c r="P124" s="18" t="s">
        <v>55</v>
      </c>
      <c r="Q124" s="21" t="s">
        <v>164</v>
      </c>
    </row>
    <row r="125" spans="1:17" x14ac:dyDescent="0.35">
      <c r="A125" s="43">
        <v>46280</v>
      </c>
      <c r="B125" s="35"/>
      <c r="C125" s="36">
        <v>1121</v>
      </c>
      <c r="D125" s="31" t="s">
        <v>403</v>
      </c>
      <c r="E125" s="32" t="str">
        <f>_xlfn.XLOOKUP(D125,'CODE FRS'!B:B,'CODE FRS'!C:C)</f>
        <v>Mr MOMO</v>
      </c>
      <c r="F125" s="30" t="s">
        <v>675</v>
      </c>
      <c r="G125" s="30">
        <v>35870</v>
      </c>
      <c r="H125" s="33">
        <v>42040</v>
      </c>
      <c r="I125" s="33">
        <v>460</v>
      </c>
      <c r="J125" s="33">
        <v>330</v>
      </c>
      <c r="K125" s="33">
        <f t="shared" si="12"/>
        <v>13873200</v>
      </c>
      <c r="L125" s="4">
        <v>13873200</v>
      </c>
      <c r="M125" s="33">
        <f t="shared" si="13"/>
        <v>0</v>
      </c>
      <c r="N125" s="2" t="str" cm="1">
        <f t="array" ref="N125">_xlfn.IFS(M125=0,"PAYE", M125&lt;0,"SURPLUS", K125=M125,"NON PAYE", TRUE,"PARTIEL")</f>
        <v>PAYE</v>
      </c>
      <c r="O125" s="34" t="s">
        <v>887</v>
      </c>
      <c r="P125" s="18" t="s">
        <v>55</v>
      </c>
      <c r="Q125" s="21" t="s">
        <v>164</v>
      </c>
    </row>
    <row r="126" spans="1:17" x14ac:dyDescent="0.35">
      <c r="A126" s="43">
        <v>46280</v>
      </c>
      <c r="B126" s="31" t="s">
        <v>621</v>
      </c>
      <c r="C126" s="36">
        <v>1122</v>
      </c>
      <c r="D126" s="31" t="s">
        <v>403</v>
      </c>
      <c r="E126" s="32" t="str">
        <f>_xlfn.XLOOKUP(D126,'CODE FRS'!B:B,'CODE FRS'!C:C)</f>
        <v>Mr MOMO</v>
      </c>
      <c r="F126" s="30" t="s">
        <v>676</v>
      </c>
      <c r="G126" s="30">
        <v>35852</v>
      </c>
      <c r="H126" s="33">
        <v>42040</v>
      </c>
      <c r="I126" s="33">
        <v>523</v>
      </c>
      <c r="J126" s="33">
        <v>330</v>
      </c>
      <c r="K126" s="33">
        <f t="shared" si="12"/>
        <v>13873200</v>
      </c>
      <c r="L126" s="4">
        <v>13873200</v>
      </c>
      <c r="M126" s="33">
        <f t="shared" si="13"/>
        <v>0</v>
      </c>
      <c r="N126" s="2" t="str" cm="1">
        <f t="array" ref="N126">_xlfn.IFS(M126=0,"PAYE", M126&lt;0,"SURPLUS", K126=M126,"NON PAYE", TRUE,"PARTIEL")</f>
        <v>PAYE</v>
      </c>
      <c r="O126" s="34" t="s">
        <v>887</v>
      </c>
      <c r="P126" s="18" t="s">
        <v>55</v>
      </c>
      <c r="Q126" s="21" t="s">
        <v>164</v>
      </c>
    </row>
    <row r="127" spans="1:17" x14ac:dyDescent="0.35">
      <c r="A127" s="43">
        <v>46280</v>
      </c>
      <c r="B127" s="31" t="s">
        <v>545</v>
      </c>
      <c r="C127" s="36">
        <v>1123</v>
      </c>
      <c r="D127" s="31" t="s">
        <v>195</v>
      </c>
      <c r="E127" s="32" t="str">
        <f>_xlfn.XLOOKUP(D127,'CODE FRS'!B:B,'CODE FRS'!C:C)</f>
        <v>BADAROU SAID</v>
      </c>
      <c r="F127" s="46" t="s">
        <v>540</v>
      </c>
      <c r="G127" s="30">
        <v>35859</v>
      </c>
      <c r="H127" s="33">
        <v>51500</v>
      </c>
      <c r="I127" s="33">
        <v>648</v>
      </c>
      <c r="J127" s="33">
        <v>340</v>
      </c>
      <c r="K127" s="33">
        <f t="shared" si="12"/>
        <v>17510000</v>
      </c>
      <c r="L127" s="4">
        <v>17510000</v>
      </c>
      <c r="M127" s="33">
        <f t="shared" si="13"/>
        <v>0</v>
      </c>
      <c r="N127" s="2" t="str" cm="1">
        <f t="array" ref="N127">_xlfn.IFS(M127=0,"PAYE", M127&lt;0,"SURPLUS", K127=M127,"NON PAYE", TRUE,"PARTIEL")</f>
        <v>PAYE</v>
      </c>
      <c r="O127" s="34" t="s">
        <v>803</v>
      </c>
      <c r="P127" s="18" t="s">
        <v>55</v>
      </c>
      <c r="Q127" s="21" t="s">
        <v>164</v>
      </c>
    </row>
    <row r="128" spans="1:17" x14ac:dyDescent="0.35">
      <c r="A128" s="43">
        <v>46280</v>
      </c>
      <c r="B128" s="35"/>
      <c r="C128" s="36">
        <v>1124</v>
      </c>
      <c r="D128" s="31" t="s">
        <v>208</v>
      </c>
      <c r="E128" s="32" t="str">
        <f>_xlfn.XLOOKUP(D128,'CODE FRS'!B:B,'CODE FRS'!C:C)</f>
        <v>AHEGNI CASIMIR</v>
      </c>
      <c r="F128" s="30" t="s">
        <v>677</v>
      </c>
      <c r="G128" s="30">
        <v>35868</v>
      </c>
      <c r="H128" s="33">
        <v>47640</v>
      </c>
      <c r="I128" s="33">
        <v>601</v>
      </c>
      <c r="J128" s="33">
        <v>340</v>
      </c>
      <c r="K128" s="33">
        <f t="shared" si="12"/>
        <v>16197600</v>
      </c>
      <c r="L128" s="4">
        <v>16197600</v>
      </c>
      <c r="M128" s="33">
        <f t="shared" si="13"/>
        <v>0</v>
      </c>
      <c r="N128" s="2" t="str" cm="1">
        <f t="array" ref="N128">_xlfn.IFS(M128=0,"PAYE", M128&lt;0,"SURPLUS", K128=M128,"NON PAYE", TRUE,"PARTIEL")</f>
        <v>PAYE</v>
      </c>
      <c r="O128" s="34" t="s">
        <v>878</v>
      </c>
      <c r="P128" s="18" t="s">
        <v>55</v>
      </c>
      <c r="Q128" s="21" t="s">
        <v>164</v>
      </c>
    </row>
    <row r="129" spans="1:17" x14ac:dyDescent="0.35">
      <c r="A129" s="43">
        <v>46280</v>
      </c>
      <c r="B129" s="31" t="s">
        <v>635</v>
      </c>
      <c r="C129" s="36">
        <v>1125</v>
      </c>
      <c r="D129" s="31" t="s">
        <v>208</v>
      </c>
      <c r="E129" s="32" t="str">
        <f>_xlfn.XLOOKUP(D129,'CODE FRS'!B:B,'CODE FRS'!C:C)</f>
        <v>AHEGNI CASIMIR</v>
      </c>
      <c r="F129" s="30" t="s">
        <v>636</v>
      </c>
      <c r="G129" s="30">
        <v>35853</v>
      </c>
      <c r="H129" s="33">
        <v>48680</v>
      </c>
      <c r="I129" s="33">
        <v>571</v>
      </c>
      <c r="J129" s="33">
        <v>340</v>
      </c>
      <c r="K129" s="33">
        <f t="shared" si="12"/>
        <v>16551200</v>
      </c>
      <c r="L129" s="4">
        <v>16551200</v>
      </c>
      <c r="M129" s="33">
        <f t="shared" si="13"/>
        <v>0</v>
      </c>
      <c r="N129" s="2" t="str" cm="1">
        <f t="array" ref="N129">_xlfn.IFS(M129=0,"PAYE", M129&lt;0,"SURPLUS", K129=M129,"NON PAYE", TRUE,"PARTIEL")</f>
        <v>PAYE</v>
      </c>
      <c r="O129" s="34" t="s">
        <v>878</v>
      </c>
      <c r="P129" s="18" t="s">
        <v>55</v>
      </c>
      <c r="Q129" s="21" t="s">
        <v>164</v>
      </c>
    </row>
    <row r="130" spans="1:17" x14ac:dyDescent="0.35">
      <c r="A130" s="43">
        <v>46280</v>
      </c>
      <c r="B130" s="31" t="s">
        <v>618</v>
      </c>
      <c r="C130" s="36">
        <v>1126</v>
      </c>
      <c r="D130" s="31" t="s">
        <v>214</v>
      </c>
      <c r="E130" s="32" t="str">
        <f>_xlfn.XLOOKUP(D130,'CODE FRS'!B:B,'CODE FRS'!C:C)</f>
        <v>DAA-HINGBANON VIRGILE</v>
      </c>
      <c r="F130" s="30" t="s">
        <v>606</v>
      </c>
      <c r="G130" s="30">
        <v>35860</v>
      </c>
      <c r="H130" s="33">
        <v>34060</v>
      </c>
      <c r="I130" s="33">
        <v>388</v>
      </c>
      <c r="J130" s="33">
        <v>335</v>
      </c>
      <c r="K130" s="33">
        <f t="shared" si="12"/>
        <v>11410100</v>
      </c>
      <c r="L130" s="4">
        <v>11410100</v>
      </c>
      <c r="M130" s="33">
        <f t="shared" si="13"/>
        <v>0</v>
      </c>
      <c r="N130" s="2" t="str" cm="1">
        <f t="array" ref="N130">_xlfn.IFS(M130=0,"PAYE", M130&lt;0,"SURPLUS", K130=M130,"NON PAYE", TRUE,"PARTIEL")</f>
        <v>PAYE</v>
      </c>
      <c r="O130" s="34" t="s">
        <v>909</v>
      </c>
      <c r="P130" s="18" t="s">
        <v>55</v>
      </c>
      <c r="Q130" s="21" t="s">
        <v>164</v>
      </c>
    </row>
    <row r="131" spans="1:17" x14ac:dyDescent="0.35">
      <c r="A131" s="43">
        <v>46281</v>
      </c>
      <c r="B131" s="31" t="s">
        <v>624</v>
      </c>
      <c r="C131" s="36">
        <v>1127</v>
      </c>
      <c r="D131" s="31" t="s">
        <v>196</v>
      </c>
      <c r="E131" s="32" t="str">
        <f>_xlfn.XLOOKUP(D131,'CODE FRS'!B:B,'CODE FRS'!C:C)</f>
        <v>ISMAEL WASSIOU</v>
      </c>
      <c r="F131" s="30" t="s">
        <v>704</v>
      </c>
      <c r="G131" s="30">
        <v>35906</v>
      </c>
      <c r="H131" s="33">
        <v>49580</v>
      </c>
      <c r="I131" s="33">
        <v>531</v>
      </c>
      <c r="J131" s="33">
        <v>330</v>
      </c>
      <c r="K131" s="33">
        <f t="shared" ref="K131:K139" si="14">H131*J131</f>
        <v>16361400</v>
      </c>
      <c r="L131" s="33">
        <v>16361400</v>
      </c>
      <c r="M131" s="33">
        <f t="shared" ref="M131:M139" si="15">K131-L131</f>
        <v>0</v>
      </c>
      <c r="N131" s="2" t="str" cm="1">
        <f t="array" ref="N131">_xlfn.IFS(M131=0,"PAYE", M131&lt;0,"SURPLUS", K131=M131,"NON PAYE", TRUE,"PARTIEL")</f>
        <v>PAYE</v>
      </c>
      <c r="O131" s="34"/>
      <c r="P131" s="18" t="s">
        <v>55</v>
      </c>
      <c r="Q131" s="21" t="s">
        <v>164</v>
      </c>
    </row>
    <row r="132" spans="1:17" x14ac:dyDescent="0.35">
      <c r="A132" s="43">
        <v>46281</v>
      </c>
      <c r="B132" s="35"/>
      <c r="C132" s="36">
        <v>1128</v>
      </c>
      <c r="D132" s="31" t="s">
        <v>279</v>
      </c>
      <c r="E132" s="32" t="str">
        <f>_xlfn.XLOOKUP(D132,'CODE FRS'!B:B,'CODE FRS'!C:C)</f>
        <v>TCHANIGA LEONARD</v>
      </c>
      <c r="F132" s="30" t="s">
        <v>705</v>
      </c>
      <c r="G132" s="30">
        <v>35911</v>
      </c>
      <c r="H132" s="33">
        <v>44720</v>
      </c>
      <c r="I132" s="33">
        <v>520</v>
      </c>
      <c r="J132" s="33">
        <v>335</v>
      </c>
      <c r="K132" s="33">
        <f t="shared" si="14"/>
        <v>14981200</v>
      </c>
      <c r="L132" s="33">
        <v>14981200</v>
      </c>
      <c r="M132" s="33">
        <f t="shared" si="15"/>
        <v>0</v>
      </c>
      <c r="N132" s="2" t="str" cm="1">
        <f t="array" ref="N132">_xlfn.IFS(M132=0,"PAYE", M132&lt;0,"SURPLUS", K132=M132,"NON PAYE", TRUE,"PARTIEL")</f>
        <v>PAYE</v>
      </c>
      <c r="O132" s="34" t="s">
        <v>883</v>
      </c>
      <c r="P132" s="18" t="s">
        <v>55</v>
      </c>
      <c r="Q132" s="21" t="s">
        <v>164</v>
      </c>
    </row>
    <row r="133" spans="1:17" x14ac:dyDescent="0.35">
      <c r="A133" s="43">
        <v>46281</v>
      </c>
      <c r="B133" s="31" t="s">
        <v>620</v>
      </c>
      <c r="C133" s="36">
        <v>1129</v>
      </c>
      <c r="D133" s="31" t="s">
        <v>201</v>
      </c>
      <c r="E133" s="32" t="str">
        <f>_xlfn.XLOOKUP(D133,'CODE FRS'!B:B,'CODE FRS'!C:C)</f>
        <v>GOUDO DOSSOU ROMAIN</v>
      </c>
      <c r="F133" s="30" t="s">
        <v>608</v>
      </c>
      <c r="G133" s="30">
        <v>35890</v>
      </c>
      <c r="H133" s="33">
        <v>45760</v>
      </c>
      <c r="I133" s="33">
        <v>565</v>
      </c>
      <c r="J133" s="33">
        <v>335</v>
      </c>
      <c r="K133" s="33">
        <f t="shared" si="14"/>
        <v>15329600</v>
      </c>
      <c r="L133" s="33">
        <v>15329600</v>
      </c>
      <c r="M133" s="33">
        <f t="shared" si="15"/>
        <v>0</v>
      </c>
      <c r="N133" s="2" t="str" cm="1">
        <f t="array" ref="N133">_xlfn.IFS(M133=0,"PAYE", M133&lt;0,"SURPLUS", K133=M133,"NON PAYE", TRUE,"PARTIEL")</f>
        <v>PAYE</v>
      </c>
      <c r="O133" s="34" t="s">
        <v>802</v>
      </c>
      <c r="P133" s="18" t="s">
        <v>55</v>
      </c>
      <c r="Q133" s="21" t="s">
        <v>164</v>
      </c>
    </row>
    <row r="134" spans="1:17" x14ac:dyDescent="0.35">
      <c r="A134" s="43">
        <v>46281</v>
      </c>
      <c r="B134" s="31" t="s">
        <v>644</v>
      </c>
      <c r="C134" s="36">
        <v>1130</v>
      </c>
      <c r="D134" s="31" t="s">
        <v>208</v>
      </c>
      <c r="E134" s="32" t="str">
        <f>_xlfn.XLOOKUP(D134,'CODE FRS'!B:B,'CODE FRS'!C:C)</f>
        <v>AHEGNI CASIMIR</v>
      </c>
      <c r="F134" s="30" t="s">
        <v>506</v>
      </c>
      <c r="G134" s="30">
        <v>35898</v>
      </c>
      <c r="H134" s="33">
        <v>34300</v>
      </c>
      <c r="I134" s="33">
        <v>375</v>
      </c>
      <c r="J134" s="33">
        <v>330</v>
      </c>
      <c r="K134" s="33">
        <f t="shared" si="14"/>
        <v>11319000</v>
      </c>
      <c r="L134" s="33">
        <v>10000000</v>
      </c>
      <c r="M134" s="33">
        <f t="shared" si="15"/>
        <v>1319000</v>
      </c>
      <c r="N134" s="2" t="str" cm="1">
        <f t="array" ref="N134">_xlfn.IFS(M134=0,"PAYE", M134&lt;0,"SURPLUS", K134=M134,"NON PAYE", TRUE,"PARTIEL")</f>
        <v>PARTIEL</v>
      </c>
      <c r="O134" s="34" t="s">
        <v>751</v>
      </c>
      <c r="P134" s="18" t="s">
        <v>55</v>
      </c>
      <c r="Q134" s="21" t="s">
        <v>164</v>
      </c>
    </row>
    <row r="135" spans="1:17" x14ac:dyDescent="0.35">
      <c r="A135" s="43">
        <v>46281</v>
      </c>
      <c r="B135" s="31" t="s">
        <v>633</v>
      </c>
      <c r="C135" s="36">
        <v>1131</v>
      </c>
      <c r="D135" s="31" t="s">
        <v>198</v>
      </c>
      <c r="E135" s="32" t="str">
        <f>_xlfn.XLOOKUP(D135,'CODE FRS'!B:B,'CODE FRS'!C:C)</f>
        <v>VLAVONOU PIERRE</v>
      </c>
      <c r="F135" s="30" t="s">
        <v>706</v>
      </c>
      <c r="G135" s="30">
        <v>35897</v>
      </c>
      <c r="H135" s="33">
        <v>42900</v>
      </c>
      <c r="I135" s="33">
        <v>438</v>
      </c>
      <c r="J135" s="33">
        <v>335</v>
      </c>
      <c r="K135" s="33">
        <f t="shared" si="14"/>
        <v>14371500</v>
      </c>
      <c r="L135" s="33">
        <v>14371506</v>
      </c>
      <c r="M135" s="65">
        <f t="shared" si="15"/>
        <v>-6</v>
      </c>
      <c r="N135" s="2" t="str" cm="1">
        <f t="array" ref="N135">_xlfn.IFS(M135=0,"PAYE", M135&lt;0,"SURPLUS", K135=M135,"NON PAYE", TRUE,"PARTIEL")</f>
        <v>SURPLUS</v>
      </c>
      <c r="O135" s="34" t="s">
        <v>919</v>
      </c>
      <c r="P135" s="18" t="s">
        <v>55</v>
      </c>
      <c r="Q135" s="21" t="s">
        <v>164</v>
      </c>
    </row>
    <row r="136" spans="1:17" x14ac:dyDescent="0.35">
      <c r="A136" s="43">
        <v>46281</v>
      </c>
      <c r="B136" s="35"/>
      <c r="C136" s="36">
        <v>1132</v>
      </c>
      <c r="D136" s="31" t="s">
        <v>309</v>
      </c>
      <c r="E136" s="32" t="str">
        <f>_xlfn.XLOOKUP(D136,'CODE FRS'!B:B,'CODE FRS'!C:C)</f>
        <v>PROSPERE</v>
      </c>
      <c r="F136" s="30" t="s">
        <v>487</v>
      </c>
      <c r="G136" s="30">
        <v>35905</v>
      </c>
      <c r="H136" s="33">
        <v>45740</v>
      </c>
      <c r="I136" s="33">
        <v>526</v>
      </c>
      <c r="J136" s="33">
        <v>330</v>
      </c>
      <c r="K136" s="33">
        <f t="shared" si="14"/>
        <v>15094200</v>
      </c>
      <c r="L136" s="33">
        <v>15094200</v>
      </c>
      <c r="M136" s="33">
        <f t="shared" si="15"/>
        <v>0</v>
      </c>
      <c r="N136" s="2" t="str" cm="1">
        <f t="array" ref="N136">_xlfn.IFS(M136=0,"PAYE", M136&lt;0,"SURPLUS", K136=M136,"NON PAYE", TRUE,"PARTIEL")</f>
        <v>PAYE</v>
      </c>
      <c r="O136" s="34" t="s">
        <v>886</v>
      </c>
      <c r="P136" s="18" t="s">
        <v>55</v>
      </c>
      <c r="Q136" s="21" t="s">
        <v>164</v>
      </c>
    </row>
    <row r="137" spans="1:17" x14ac:dyDescent="0.35">
      <c r="A137" s="43">
        <v>46281</v>
      </c>
      <c r="B137" s="31" t="s">
        <v>625</v>
      </c>
      <c r="C137" s="36">
        <v>1133</v>
      </c>
      <c r="D137" s="31" t="s">
        <v>572</v>
      </c>
      <c r="E137" s="32" t="str">
        <f>_xlfn.XLOOKUP(D137,'CODE FRS'!B:B,'CODE FRS'!C:C)</f>
        <v>HOUEDANOU JUSTIN</v>
      </c>
      <c r="F137" s="30" t="s">
        <v>707</v>
      </c>
      <c r="G137" s="30">
        <v>35912</v>
      </c>
      <c r="H137" s="33">
        <v>33420</v>
      </c>
      <c r="I137" s="33">
        <v>357</v>
      </c>
      <c r="J137" s="33">
        <v>331</v>
      </c>
      <c r="K137" s="33">
        <f t="shared" si="14"/>
        <v>11062020</v>
      </c>
      <c r="L137" s="33">
        <v>11062020</v>
      </c>
      <c r="M137" s="33">
        <f t="shared" si="15"/>
        <v>0</v>
      </c>
      <c r="N137" s="2" t="str" cm="1">
        <f t="array" ref="N137">_xlfn.IFS(M137=0,"PAYE", M137&lt;0,"SURPLUS", K137=M137,"NON PAYE", TRUE,"PARTIEL")</f>
        <v>PAYE</v>
      </c>
      <c r="O137" s="34" t="s">
        <v>917</v>
      </c>
      <c r="P137" s="18" t="s">
        <v>55</v>
      </c>
      <c r="Q137" s="21" t="s">
        <v>164</v>
      </c>
    </row>
    <row r="138" spans="1:17" x14ac:dyDescent="0.35">
      <c r="A138" s="43">
        <v>46281</v>
      </c>
      <c r="B138" s="31" t="s">
        <v>619</v>
      </c>
      <c r="C138" s="36">
        <v>1134</v>
      </c>
      <c r="D138" s="31" t="s">
        <v>403</v>
      </c>
      <c r="E138" s="32" t="str">
        <f>_xlfn.XLOOKUP(D138,'CODE FRS'!B:B,'CODE FRS'!C:C)</f>
        <v>Mr MOMO</v>
      </c>
      <c r="F138" s="30" t="s">
        <v>607</v>
      </c>
      <c r="G138" s="30">
        <v>35907</v>
      </c>
      <c r="H138" s="33">
        <v>51320</v>
      </c>
      <c r="I138" s="33">
        <v>520</v>
      </c>
      <c r="J138" s="33">
        <v>330</v>
      </c>
      <c r="K138" s="33">
        <f t="shared" si="14"/>
        <v>16935600</v>
      </c>
      <c r="L138" s="33">
        <v>16935600</v>
      </c>
      <c r="M138" s="33">
        <f t="shared" si="15"/>
        <v>0</v>
      </c>
      <c r="N138" s="2" t="str" cm="1">
        <f t="array" ref="N138">_xlfn.IFS(M138=0,"PAYE", M138&lt;0,"SURPLUS", K138=M138,"NON PAYE", TRUE,"PARTIEL")</f>
        <v>PAYE</v>
      </c>
      <c r="O138" s="34" t="s">
        <v>914</v>
      </c>
      <c r="P138" s="18" t="s">
        <v>55</v>
      </c>
      <c r="Q138" s="21" t="s">
        <v>164</v>
      </c>
    </row>
    <row r="139" spans="1:17" x14ac:dyDescent="0.35">
      <c r="A139" s="43">
        <v>46281</v>
      </c>
      <c r="B139" s="31" t="s">
        <v>637</v>
      </c>
      <c r="C139" s="36">
        <v>1135</v>
      </c>
      <c r="D139" s="31" t="s">
        <v>339</v>
      </c>
      <c r="E139" s="32" t="str">
        <f>_xlfn.XLOOKUP(D139,'CODE FRS'!B:B,'CODE FRS'!C:C)</f>
        <v>HASSANE SEYNI</v>
      </c>
      <c r="F139" s="30" t="s">
        <v>438</v>
      </c>
      <c r="G139" s="30">
        <v>35910</v>
      </c>
      <c r="H139" s="33">
        <v>49420</v>
      </c>
      <c r="I139" s="33">
        <v>580</v>
      </c>
      <c r="J139" s="33">
        <v>335</v>
      </c>
      <c r="K139" s="33">
        <f t="shared" si="14"/>
        <v>16555700</v>
      </c>
      <c r="L139" s="33">
        <v>16555700</v>
      </c>
      <c r="M139" s="33">
        <f t="shared" si="15"/>
        <v>0</v>
      </c>
      <c r="N139" s="2" t="str" cm="1">
        <f t="array" ref="N139">_xlfn.IFS(M139=0,"PAYE", M139&lt;0,"SURPLUS", K139=M139,"NON PAYE", TRUE,"PARTIEL")</f>
        <v>PAYE</v>
      </c>
      <c r="O139" s="34" t="s">
        <v>942</v>
      </c>
      <c r="P139" s="18" t="s">
        <v>55</v>
      </c>
      <c r="Q139" s="21" t="s">
        <v>164</v>
      </c>
    </row>
    <row r="140" spans="1:17" x14ac:dyDescent="0.35">
      <c r="A140" s="43">
        <v>46282</v>
      </c>
      <c r="B140" s="31" t="s">
        <v>628</v>
      </c>
      <c r="C140" s="36">
        <v>1136</v>
      </c>
      <c r="D140" s="31" t="s">
        <v>269</v>
      </c>
      <c r="E140" s="32" t="str">
        <f>_xlfn.XLOOKUP(D140,'CODE FRS'!B:B,'CODE FRS'!C:C)</f>
        <v>AZOGA ARMAND</v>
      </c>
      <c r="F140" s="30" t="s">
        <v>365</v>
      </c>
      <c r="G140" s="30">
        <v>35927</v>
      </c>
      <c r="H140" s="33">
        <v>49160</v>
      </c>
      <c r="I140" s="33">
        <v>525</v>
      </c>
      <c r="J140" s="33">
        <v>332</v>
      </c>
      <c r="K140" s="33">
        <f t="shared" ref="K140:K161" si="16">H140*J140</f>
        <v>16321120</v>
      </c>
      <c r="L140" s="33">
        <f>2000000+14321120</f>
        <v>16321120</v>
      </c>
      <c r="M140" s="33">
        <f t="shared" ref="M140:M161" si="17">K140-L140</f>
        <v>0</v>
      </c>
      <c r="N140" s="2" t="str" cm="1">
        <f t="array" ref="N140">_xlfn.IFS(M140=0,"PAYE", M140&lt;0,"SURPLUS", K140=M140,"NON PAYE", TRUE,"PARTIEL")</f>
        <v>PAYE</v>
      </c>
      <c r="O140" s="34" t="s">
        <v>907</v>
      </c>
      <c r="P140" s="34" t="s">
        <v>55</v>
      </c>
      <c r="Q140" s="37" t="s">
        <v>164</v>
      </c>
    </row>
    <row r="141" spans="1:17" x14ac:dyDescent="0.35">
      <c r="A141" s="43">
        <v>46282</v>
      </c>
      <c r="B141" s="31"/>
      <c r="C141" s="36">
        <v>1137</v>
      </c>
      <c r="D141" s="31" t="s">
        <v>769</v>
      </c>
      <c r="E141" s="32" t="str">
        <f>_xlfn.XLOOKUP(D141,'CODE FRS'!B:B,'CODE FRS'!C:C)</f>
        <v>Mme ROSE</v>
      </c>
      <c r="F141" s="30" t="s">
        <v>771</v>
      </c>
      <c r="G141" s="30">
        <v>35951</v>
      </c>
      <c r="H141" s="33">
        <v>49280</v>
      </c>
      <c r="I141" s="33">
        <v>518</v>
      </c>
      <c r="J141" s="33">
        <v>335</v>
      </c>
      <c r="K141" s="33">
        <f t="shared" si="16"/>
        <v>16508800</v>
      </c>
      <c r="L141" s="33">
        <v>16508800</v>
      </c>
      <c r="M141" s="33">
        <f t="shared" si="17"/>
        <v>0</v>
      </c>
      <c r="N141" s="2" t="str" cm="1">
        <f t="array" ref="N141">_xlfn.IFS(M141=0,"PAYE", M141&lt;0,"SURPLUS", K141=M141,"NON PAYE", TRUE,"PARTIEL")</f>
        <v>PAYE</v>
      </c>
      <c r="O141" s="34" t="s">
        <v>920</v>
      </c>
      <c r="P141" s="34" t="s">
        <v>55</v>
      </c>
      <c r="Q141" s="37" t="s">
        <v>164</v>
      </c>
    </row>
    <row r="142" spans="1:17" x14ac:dyDescent="0.35">
      <c r="A142" s="43">
        <v>46282</v>
      </c>
      <c r="B142" s="31"/>
      <c r="C142" s="36">
        <v>1138</v>
      </c>
      <c r="D142" s="31" t="s">
        <v>198</v>
      </c>
      <c r="E142" s="32" t="str">
        <f>_xlfn.XLOOKUP(D142,'CODE FRS'!B:B,'CODE FRS'!C:C)</f>
        <v>VLAVONOU PIERRE</v>
      </c>
      <c r="F142" s="30" t="s">
        <v>709</v>
      </c>
      <c r="G142" s="30">
        <v>35937</v>
      </c>
      <c r="H142" s="33">
        <v>46340</v>
      </c>
      <c r="I142" s="33">
        <v>477</v>
      </c>
      <c r="J142" s="33">
        <v>335</v>
      </c>
      <c r="K142" s="33">
        <f t="shared" si="16"/>
        <v>15523900</v>
      </c>
      <c r="L142" s="33">
        <v>15523900</v>
      </c>
      <c r="M142" s="33">
        <f t="shared" si="17"/>
        <v>0</v>
      </c>
      <c r="N142" s="2" t="str" cm="1">
        <f t="array" ref="N142">_xlfn.IFS(M142=0,"PAYE", M142&lt;0,"SURPLUS", K142=M142,"NON PAYE", TRUE,"PARTIEL")</f>
        <v>PAYE</v>
      </c>
      <c r="O142" s="34" t="s">
        <v>911</v>
      </c>
      <c r="P142" s="34" t="s">
        <v>55</v>
      </c>
      <c r="Q142" s="37" t="s">
        <v>164</v>
      </c>
    </row>
    <row r="143" spans="1:17" x14ac:dyDescent="0.35">
      <c r="A143" s="43">
        <v>46282</v>
      </c>
      <c r="B143" s="31" t="s">
        <v>743</v>
      </c>
      <c r="C143" s="36">
        <v>1139</v>
      </c>
      <c r="D143" s="31" t="s">
        <v>377</v>
      </c>
      <c r="E143" s="32" t="str">
        <f>_xlfn.XLOOKUP(D143,'CODE FRS'!B:B,'CODE FRS'!C:C)</f>
        <v>PANKAJ KUMAR</v>
      </c>
      <c r="F143" s="30" t="s">
        <v>736</v>
      </c>
      <c r="G143" s="30">
        <v>35950</v>
      </c>
      <c r="H143" s="33">
        <v>35040</v>
      </c>
      <c r="I143" s="33">
        <v>403</v>
      </c>
      <c r="J143" s="33">
        <v>335</v>
      </c>
      <c r="K143" s="33">
        <f t="shared" si="16"/>
        <v>11738400</v>
      </c>
      <c r="L143" s="33">
        <v>11738400</v>
      </c>
      <c r="M143" s="33">
        <f t="shared" si="17"/>
        <v>0</v>
      </c>
      <c r="N143" s="2" t="str" cm="1">
        <f t="array" ref="N143">_xlfn.IFS(M143=0,"PAYE", M143&lt;0,"SURPLUS", K143=M143,"NON PAYE", TRUE,"PARTIEL")</f>
        <v>PAYE</v>
      </c>
      <c r="O143" s="34" t="s">
        <v>879</v>
      </c>
      <c r="P143" s="34" t="s">
        <v>55</v>
      </c>
      <c r="Q143" s="37" t="s">
        <v>164</v>
      </c>
    </row>
    <row r="144" spans="1:17" x14ac:dyDescent="0.35">
      <c r="A144" s="43">
        <v>46282</v>
      </c>
      <c r="B144" s="31" t="s">
        <v>627</v>
      </c>
      <c r="C144" s="36">
        <v>1140</v>
      </c>
      <c r="D144" s="31" t="s">
        <v>269</v>
      </c>
      <c r="E144" s="32" t="str">
        <f>_xlfn.XLOOKUP(D144,'CODE FRS'!B:B,'CODE FRS'!C:C)</f>
        <v>AZOGA ARMAND</v>
      </c>
      <c r="F144" s="30" t="s">
        <v>615</v>
      </c>
      <c r="G144" s="30">
        <v>35938</v>
      </c>
      <c r="H144" s="33">
        <v>56960</v>
      </c>
      <c r="I144" s="33">
        <v>523</v>
      </c>
      <c r="J144" s="33">
        <v>332</v>
      </c>
      <c r="K144" s="33">
        <f t="shared" si="16"/>
        <v>18910720</v>
      </c>
      <c r="L144" s="33">
        <v>18910720</v>
      </c>
      <c r="M144" s="33">
        <f t="shared" si="17"/>
        <v>0</v>
      </c>
      <c r="N144" s="2" t="str" cm="1">
        <f t="array" ref="N144">_xlfn.IFS(M144=0,"PAYE", M144&lt;0,"SURPLUS", K144=M144,"NON PAYE", TRUE,"PARTIEL")</f>
        <v>PAYE</v>
      </c>
      <c r="O144" s="34" t="s">
        <v>906</v>
      </c>
      <c r="P144" s="34" t="s">
        <v>55</v>
      </c>
      <c r="Q144" s="37" t="s">
        <v>164</v>
      </c>
    </row>
    <row r="145" spans="1:17" x14ac:dyDescent="0.35">
      <c r="A145" s="43">
        <v>46282</v>
      </c>
      <c r="B145" s="31" t="s">
        <v>720</v>
      </c>
      <c r="C145" s="36">
        <v>1141</v>
      </c>
      <c r="D145" s="31" t="s">
        <v>213</v>
      </c>
      <c r="E145" s="32" t="str">
        <f>_xlfn.XLOOKUP(D145,'CODE FRS'!B:B,'CODE FRS'!C:C)</f>
        <v>NOEL DOLEME</v>
      </c>
      <c r="F145" s="30" t="s">
        <v>772</v>
      </c>
      <c r="G145" s="30">
        <v>35939</v>
      </c>
      <c r="H145" s="33">
        <v>36760</v>
      </c>
      <c r="I145" s="33">
        <v>463</v>
      </c>
      <c r="J145" s="33">
        <v>332</v>
      </c>
      <c r="K145" s="33">
        <f t="shared" si="16"/>
        <v>12204320</v>
      </c>
      <c r="L145" s="33">
        <v>12204320</v>
      </c>
      <c r="M145" s="33">
        <f t="shared" si="17"/>
        <v>0</v>
      </c>
      <c r="N145" s="2" t="str" cm="1">
        <f t="array" ref="N145">_xlfn.IFS(M145=0,"PAYE", M145&lt;0,"SURPLUS", K145=M145,"NON PAYE", TRUE,"PARTIEL")</f>
        <v>PAYE</v>
      </c>
      <c r="O145" s="34" t="s">
        <v>949</v>
      </c>
      <c r="P145" s="34" t="s">
        <v>55</v>
      </c>
      <c r="Q145" s="37" t="s">
        <v>164</v>
      </c>
    </row>
    <row r="146" spans="1:17" x14ac:dyDescent="0.35">
      <c r="A146" s="43">
        <v>46282</v>
      </c>
      <c r="B146" s="31"/>
      <c r="C146" s="36">
        <v>1142</v>
      </c>
      <c r="D146" s="31" t="s">
        <v>228</v>
      </c>
      <c r="E146" s="32" t="str">
        <f>_xlfn.XLOOKUP(D146,'CODE FRS'!B:B,'CODE FRS'!C:C)</f>
        <v>MOISE YENAFO</v>
      </c>
      <c r="F146" s="30" t="s">
        <v>773</v>
      </c>
      <c r="G146" s="30">
        <v>35940</v>
      </c>
      <c r="H146" s="33">
        <v>29440</v>
      </c>
      <c r="I146" s="33">
        <v>294</v>
      </c>
      <c r="J146" s="33">
        <v>330</v>
      </c>
      <c r="K146" s="33">
        <f t="shared" si="16"/>
        <v>9715200</v>
      </c>
      <c r="L146" s="33">
        <v>9715200</v>
      </c>
      <c r="M146" s="33">
        <f t="shared" si="17"/>
        <v>0</v>
      </c>
      <c r="N146" s="2" t="str" cm="1">
        <f t="array" ref="N146">_xlfn.IFS(M146=0,"PAYE", M146&lt;0,"SURPLUS", K146=M146,"NON PAYE", TRUE,"PARTIEL")</f>
        <v>PAYE</v>
      </c>
      <c r="O146" s="34" t="s">
        <v>916</v>
      </c>
      <c r="P146" s="34" t="s">
        <v>55</v>
      </c>
      <c r="Q146" s="37" t="s">
        <v>164</v>
      </c>
    </row>
    <row r="147" spans="1:17" x14ac:dyDescent="0.35">
      <c r="A147" s="43">
        <v>46282</v>
      </c>
      <c r="B147" s="31"/>
      <c r="C147" s="36">
        <v>1143</v>
      </c>
      <c r="D147" s="31" t="s">
        <v>385</v>
      </c>
      <c r="E147" s="32" t="str">
        <f>_xlfn.XLOOKUP(D147,'CODE FRS'!B:B,'CODE FRS'!C:C)</f>
        <v>ADANNON BLOND</v>
      </c>
      <c r="F147" s="30" t="s">
        <v>383</v>
      </c>
      <c r="G147" s="30">
        <v>35941</v>
      </c>
      <c r="H147" s="33">
        <v>45340</v>
      </c>
      <c r="I147" s="33">
        <v>552</v>
      </c>
      <c r="J147" s="33">
        <v>332</v>
      </c>
      <c r="K147" s="33">
        <f t="shared" si="16"/>
        <v>15052880</v>
      </c>
      <c r="L147" s="33">
        <v>15052880</v>
      </c>
      <c r="M147" s="33">
        <f t="shared" si="17"/>
        <v>0</v>
      </c>
      <c r="N147" s="2" t="str" cm="1">
        <f t="array" ref="N147">_xlfn.IFS(M147=0,"PAYE", M147&lt;0,"SURPLUS", K147=M147,"NON PAYE", TRUE,"PARTIEL")</f>
        <v>PAYE</v>
      </c>
      <c r="O147" s="34" t="s">
        <v>904</v>
      </c>
      <c r="P147" s="34" t="s">
        <v>55</v>
      </c>
      <c r="Q147" s="37" t="s">
        <v>164</v>
      </c>
    </row>
    <row r="148" spans="1:17" x14ac:dyDescent="0.35">
      <c r="A148" s="43">
        <v>46286</v>
      </c>
      <c r="B148" s="31" t="s">
        <v>580</v>
      </c>
      <c r="C148" s="36">
        <v>1144</v>
      </c>
      <c r="D148" s="31" t="s">
        <v>213</v>
      </c>
      <c r="E148" s="32" t="str">
        <f>_xlfn.XLOOKUP(D148,'CODE FRS'!B:B,'CODE FRS'!C:C)</f>
        <v>NOEL DOLEME</v>
      </c>
      <c r="F148" s="30" t="s">
        <v>570</v>
      </c>
      <c r="G148" s="30">
        <v>35928</v>
      </c>
      <c r="H148" s="33">
        <v>40680</v>
      </c>
      <c r="I148" s="33">
        <v>495</v>
      </c>
      <c r="J148" s="33">
        <v>332</v>
      </c>
      <c r="K148" s="33">
        <f t="shared" si="16"/>
        <v>13505760</v>
      </c>
      <c r="L148" s="33">
        <v>13505760</v>
      </c>
      <c r="M148" s="33">
        <f t="shared" si="17"/>
        <v>0</v>
      </c>
      <c r="N148" s="2" t="str" cm="1">
        <f t="array" ref="N148">_xlfn.IFS(M148=0,"PAYE", M148&lt;0,"SURPLUS", K148=M148,"NON PAYE", TRUE,"PARTIEL")</f>
        <v>PAYE</v>
      </c>
      <c r="O148" s="34" t="s">
        <v>949</v>
      </c>
      <c r="P148" s="34" t="s">
        <v>55</v>
      </c>
      <c r="Q148" s="37" t="s">
        <v>164</v>
      </c>
    </row>
    <row r="149" spans="1:17" x14ac:dyDescent="0.35">
      <c r="A149" s="43">
        <v>46282</v>
      </c>
      <c r="B149" s="31" t="s">
        <v>652</v>
      </c>
      <c r="C149" s="36">
        <v>1145</v>
      </c>
      <c r="D149" s="31" t="s">
        <v>196</v>
      </c>
      <c r="E149" s="32" t="str">
        <f>_xlfn.XLOOKUP(D149,'CODE FRS'!B:B,'CODE FRS'!C:C)</f>
        <v>ISMAEL WASSIOU</v>
      </c>
      <c r="F149" s="30" t="s">
        <v>774</v>
      </c>
      <c r="G149" s="30">
        <v>35954</v>
      </c>
      <c r="H149" s="33">
        <v>49760</v>
      </c>
      <c r="I149" s="33">
        <v>530</v>
      </c>
      <c r="J149" s="33">
        <v>330</v>
      </c>
      <c r="K149" s="33">
        <f t="shared" si="16"/>
        <v>16420800</v>
      </c>
      <c r="L149" s="33">
        <v>16420800</v>
      </c>
      <c r="M149" s="33">
        <f t="shared" si="17"/>
        <v>0</v>
      </c>
      <c r="N149" s="2" t="str" cm="1">
        <f t="array" ref="N149">_xlfn.IFS(M149=0,"PAYE", M149&lt;0,"SURPLUS", K149=M149,"NON PAYE", TRUE,"PARTIEL")</f>
        <v>PAYE</v>
      </c>
      <c r="O149" s="34" t="s">
        <v>700</v>
      </c>
      <c r="P149" s="34" t="s">
        <v>55</v>
      </c>
      <c r="Q149" s="37" t="s">
        <v>164</v>
      </c>
    </row>
    <row r="150" spans="1:17" x14ac:dyDescent="0.35">
      <c r="A150" s="43">
        <v>46283</v>
      </c>
      <c r="B150" s="31"/>
      <c r="C150" s="36">
        <v>1146</v>
      </c>
      <c r="D150" s="31" t="s">
        <v>208</v>
      </c>
      <c r="E150" s="32" t="str">
        <f>_xlfn.XLOOKUP(D150,'CODE FRS'!B:B,'CODE FRS'!C:C)</f>
        <v>AHEGNI CASIMIR</v>
      </c>
      <c r="F150" s="30" t="s">
        <v>616</v>
      </c>
      <c r="G150" s="30">
        <v>35960</v>
      </c>
      <c r="H150" s="33">
        <v>60940</v>
      </c>
      <c r="I150" s="33">
        <v>722</v>
      </c>
      <c r="J150" s="33">
        <v>340</v>
      </c>
      <c r="K150" s="33">
        <f t="shared" si="16"/>
        <v>20719600</v>
      </c>
      <c r="L150" s="33">
        <v>20719600</v>
      </c>
      <c r="M150" s="33">
        <f t="shared" si="17"/>
        <v>0</v>
      </c>
      <c r="N150" s="2" t="str" cm="1">
        <f t="array" ref="N150">_xlfn.IFS(M150=0,"PAYE", M150&lt;0,"SURPLUS", K150=M150,"NON PAYE", TRUE,"PARTIEL")</f>
        <v>PAYE</v>
      </c>
      <c r="O150" s="34" t="s">
        <v>905</v>
      </c>
      <c r="P150" s="34" t="s">
        <v>55</v>
      </c>
      <c r="Q150" s="37" t="s">
        <v>164</v>
      </c>
    </row>
    <row r="151" spans="1:17" x14ac:dyDescent="0.35">
      <c r="A151" s="43">
        <v>46283</v>
      </c>
      <c r="B151" s="31" t="s">
        <v>558</v>
      </c>
      <c r="C151" s="36">
        <v>1147</v>
      </c>
      <c r="D151" s="31" t="s">
        <v>208</v>
      </c>
      <c r="E151" s="32" t="str">
        <f>_xlfn.XLOOKUP(D151,'CODE FRS'!B:B,'CODE FRS'!C:C)</f>
        <v>AHEGNI CASIMIR</v>
      </c>
      <c r="F151" s="30" t="s">
        <v>559</v>
      </c>
      <c r="G151" s="30">
        <v>35976</v>
      </c>
      <c r="H151" s="33">
        <v>23560</v>
      </c>
      <c r="I151" s="33">
        <v>287</v>
      </c>
      <c r="J151" s="33">
        <v>330</v>
      </c>
      <c r="K151" s="33">
        <f t="shared" si="16"/>
        <v>7774800</v>
      </c>
      <c r="L151" s="33">
        <v>0</v>
      </c>
      <c r="M151" s="33">
        <f t="shared" si="17"/>
        <v>7774800</v>
      </c>
      <c r="N151" s="2" t="str" cm="1">
        <f t="array" ref="N151">_xlfn.IFS(M151=0,"PAYE", M151&lt;0,"SURPLUS", K151=M151,"NON PAYE", TRUE,"PARTIEL")</f>
        <v>NON PAYE</v>
      </c>
      <c r="O151" s="34"/>
      <c r="P151" s="34" t="s">
        <v>55</v>
      </c>
      <c r="Q151" s="37" t="s">
        <v>164</v>
      </c>
    </row>
    <row r="152" spans="1:17" x14ac:dyDescent="0.35">
      <c r="A152" s="43">
        <v>46283</v>
      </c>
      <c r="B152" s="31"/>
      <c r="C152" s="36">
        <v>1148</v>
      </c>
      <c r="D152" s="31" t="s">
        <v>213</v>
      </c>
      <c r="E152" s="32" t="str">
        <f>_xlfn.XLOOKUP(D152,'CODE FRS'!B:B,'CODE FRS'!C:C)</f>
        <v>NOEL DOLEME</v>
      </c>
      <c r="F152" s="30" t="s">
        <v>510</v>
      </c>
      <c r="G152" s="30">
        <v>35969</v>
      </c>
      <c r="H152" s="33">
        <v>14280</v>
      </c>
      <c r="I152" s="33">
        <v>161</v>
      </c>
      <c r="J152" s="33">
        <v>332</v>
      </c>
      <c r="K152" s="33">
        <f t="shared" si="16"/>
        <v>4740960</v>
      </c>
      <c r="L152" s="33">
        <v>4740960</v>
      </c>
      <c r="M152" s="33">
        <f t="shared" si="17"/>
        <v>0</v>
      </c>
      <c r="N152" s="2" t="str" cm="1">
        <f t="array" ref="N152">_xlfn.IFS(M152=0,"PAYE", M152&lt;0,"SURPLUS", K152=M152,"NON PAYE", TRUE,"PARTIEL")</f>
        <v>PAYE</v>
      </c>
      <c r="O152" s="34" t="s">
        <v>948</v>
      </c>
      <c r="P152" s="34" t="s">
        <v>55</v>
      </c>
      <c r="Q152" s="37" t="s">
        <v>164</v>
      </c>
    </row>
    <row r="153" spans="1:17" x14ac:dyDescent="0.35">
      <c r="A153" s="43">
        <v>46283</v>
      </c>
      <c r="B153" s="31"/>
      <c r="C153" s="36">
        <v>1149</v>
      </c>
      <c r="D153" s="31" t="s">
        <v>228</v>
      </c>
      <c r="E153" s="32" t="str">
        <f>_xlfn.XLOOKUP(D153,'CODE FRS'!B:B,'CODE FRS'!C:C)</f>
        <v>MOISE YENAFO</v>
      </c>
      <c r="F153" s="30" t="s">
        <v>719</v>
      </c>
      <c r="G153" s="30">
        <v>35975</v>
      </c>
      <c r="H153" s="33">
        <v>50480</v>
      </c>
      <c r="I153" s="33">
        <v>512</v>
      </c>
      <c r="J153" s="33">
        <v>330</v>
      </c>
      <c r="K153" s="33">
        <f t="shared" si="16"/>
        <v>16658400</v>
      </c>
      <c r="L153" s="33">
        <v>16658400</v>
      </c>
      <c r="M153" s="33">
        <f t="shared" si="17"/>
        <v>0</v>
      </c>
      <c r="N153" s="2" t="str" cm="1">
        <f t="array" ref="N153">_xlfn.IFS(M153=0,"PAYE", M153&lt;0,"SURPLUS", K153=M153,"NON PAYE", TRUE,"PARTIEL")</f>
        <v>PAYE</v>
      </c>
      <c r="O153" s="34" t="s">
        <v>922</v>
      </c>
      <c r="P153" s="34" t="s">
        <v>55</v>
      </c>
      <c r="Q153" s="37" t="s">
        <v>164</v>
      </c>
    </row>
    <row r="154" spans="1:17" x14ac:dyDescent="0.35">
      <c r="A154" s="43">
        <v>46283</v>
      </c>
      <c r="B154" s="31"/>
      <c r="C154" s="36">
        <v>1150</v>
      </c>
      <c r="D154" s="31" t="s">
        <v>203</v>
      </c>
      <c r="E154" s="32" t="str">
        <f>_xlfn.XLOOKUP(D154,'CODE FRS'!B:B,'CODE FRS'!C:C)</f>
        <v>CHIGBLO FERDINAND</v>
      </c>
      <c r="F154" s="30" t="s">
        <v>775</v>
      </c>
      <c r="G154" s="30">
        <v>35959</v>
      </c>
      <c r="H154" s="33">
        <v>45780</v>
      </c>
      <c r="I154" s="33">
        <v>502</v>
      </c>
      <c r="J154" s="33">
        <v>330</v>
      </c>
      <c r="K154" s="33">
        <f t="shared" si="16"/>
        <v>15107400</v>
      </c>
      <c r="L154" s="33">
        <v>15107400</v>
      </c>
      <c r="M154" s="33">
        <f t="shared" si="17"/>
        <v>0</v>
      </c>
      <c r="N154" s="2" t="str" cm="1">
        <f t="array" ref="N154">_xlfn.IFS(M154=0,"PAYE", M154&lt;0,"SURPLUS", K154=M154,"NON PAYE", TRUE,"PARTIEL")</f>
        <v>PAYE</v>
      </c>
      <c r="O154" s="34" t="s">
        <v>908</v>
      </c>
      <c r="P154" s="34" t="s">
        <v>55</v>
      </c>
      <c r="Q154" s="37" t="s">
        <v>164</v>
      </c>
    </row>
    <row r="155" spans="1:17" x14ac:dyDescent="0.35">
      <c r="A155" s="43">
        <v>46283</v>
      </c>
      <c r="B155" s="31"/>
      <c r="C155" s="36">
        <v>1151</v>
      </c>
      <c r="D155" s="31" t="s">
        <v>193</v>
      </c>
      <c r="E155" s="32" t="str">
        <f>_xlfn.XLOOKUP(D155,'CODE FRS'!B:B,'CODE FRS'!C:C)</f>
        <v>TCHANIGA SAMSON</v>
      </c>
      <c r="F155" s="30" t="s">
        <v>647</v>
      </c>
      <c r="G155" s="30">
        <v>35961</v>
      </c>
      <c r="H155" s="33">
        <v>46380</v>
      </c>
      <c r="I155" s="33">
        <v>501</v>
      </c>
      <c r="J155" s="33">
        <v>335</v>
      </c>
      <c r="K155" s="33">
        <f t="shared" si="16"/>
        <v>15537300</v>
      </c>
      <c r="L155" s="33">
        <v>15537300</v>
      </c>
      <c r="M155" s="33">
        <f t="shared" si="17"/>
        <v>0</v>
      </c>
      <c r="N155" s="2" t="str" cm="1">
        <f t="array" ref="N155">_xlfn.IFS(M155=0,"PAYE", M155&lt;0,"SURPLUS", K155=M155,"NON PAYE", TRUE,"PARTIEL")</f>
        <v>PAYE</v>
      </c>
      <c r="O155" s="34" t="s">
        <v>915</v>
      </c>
      <c r="P155" s="34" t="s">
        <v>55</v>
      </c>
      <c r="Q155" s="37" t="s">
        <v>164</v>
      </c>
    </row>
    <row r="156" spans="1:17" x14ac:dyDescent="0.35">
      <c r="A156" s="43">
        <v>46283</v>
      </c>
      <c r="B156" s="31"/>
      <c r="C156" s="36">
        <v>1152</v>
      </c>
      <c r="D156" s="31" t="s">
        <v>377</v>
      </c>
      <c r="E156" s="32" t="str">
        <f>_xlfn.XLOOKUP(D156,'CODE FRS'!B:B,'CODE FRS'!C:C)</f>
        <v>PANKAJ KUMAR</v>
      </c>
      <c r="F156" s="30" t="s">
        <v>776</v>
      </c>
      <c r="G156" s="30">
        <v>35989</v>
      </c>
      <c r="H156" s="33">
        <v>34760</v>
      </c>
      <c r="I156" s="33">
        <v>340</v>
      </c>
      <c r="J156" s="33">
        <v>335</v>
      </c>
      <c r="K156" s="33">
        <f t="shared" si="16"/>
        <v>11644600</v>
      </c>
      <c r="L156" s="33">
        <v>11644600</v>
      </c>
      <c r="M156" s="33">
        <f t="shared" si="17"/>
        <v>0</v>
      </c>
      <c r="N156" s="2" t="str" cm="1">
        <f t="array" ref="N156">_xlfn.IFS(M156=0,"PAYE", M156&lt;0,"SURPLUS", K156=M156,"NON PAYE", TRUE,"PARTIEL")</f>
        <v>PAYE</v>
      </c>
      <c r="O156" s="34" t="s">
        <v>921</v>
      </c>
      <c r="P156" s="34" t="s">
        <v>55</v>
      </c>
      <c r="Q156" s="37" t="s">
        <v>164</v>
      </c>
    </row>
    <row r="157" spans="1:17" x14ac:dyDescent="0.35">
      <c r="A157" s="43">
        <v>46283</v>
      </c>
      <c r="B157" s="31"/>
      <c r="C157" s="36">
        <v>1153</v>
      </c>
      <c r="D157" s="31" t="s">
        <v>203</v>
      </c>
      <c r="E157" s="32" t="str">
        <f>_xlfn.XLOOKUP(D157,'CODE FRS'!B:B,'CODE FRS'!C:C)</f>
        <v>CHIGBLO FERDINAND</v>
      </c>
      <c r="F157" s="30" t="s">
        <v>718</v>
      </c>
      <c r="G157" s="30">
        <v>35958</v>
      </c>
      <c r="H157" s="33">
        <v>39000</v>
      </c>
      <c r="I157" s="33">
        <v>515</v>
      </c>
      <c r="J157" s="33">
        <v>335</v>
      </c>
      <c r="K157" s="33">
        <f t="shared" si="16"/>
        <v>13065000</v>
      </c>
      <c r="L157" s="33">
        <v>13065000</v>
      </c>
      <c r="M157" s="33">
        <f t="shared" si="17"/>
        <v>0</v>
      </c>
      <c r="N157" s="2" t="str" cm="1">
        <f t="array" ref="N157">_xlfn.IFS(M157=0,"PAYE", M157&lt;0,"SURPLUS", K157=M157,"NON PAYE", TRUE,"PARTIEL")</f>
        <v>PAYE</v>
      </c>
      <c r="O157" s="34" t="s">
        <v>910</v>
      </c>
      <c r="P157" s="34" t="s">
        <v>55</v>
      </c>
      <c r="Q157" s="37" t="s">
        <v>164</v>
      </c>
    </row>
    <row r="158" spans="1:17" x14ac:dyDescent="0.35">
      <c r="A158" s="43">
        <v>46284</v>
      </c>
      <c r="B158" s="31"/>
      <c r="C158" s="36">
        <v>1154</v>
      </c>
      <c r="D158" s="31" t="s">
        <v>213</v>
      </c>
      <c r="E158" s="32" t="str">
        <f>_xlfn.XLOOKUP(D158,'CODE FRS'!B:B,'CODE FRS'!C:C)</f>
        <v>NOEL DOLEME</v>
      </c>
      <c r="F158" s="30" t="s">
        <v>777</v>
      </c>
      <c r="G158" s="30">
        <v>35962</v>
      </c>
      <c r="H158" s="33">
        <v>43960</v>
      </c>
      <c r="I158" s="33">
        <v>562</v>
      </c>
      <c r="J158" s="33">
        <v>330</v>
      </c>
      <c r="K158" s="33">
        <f t="shared" si="16"/>
        <v>14506800</v>
      </c>
      <c r="L158" s="33">
        <v>0</v>
      </c>
      <c r="M158" s="33">
        <f t="shared" si="17"/>
        <v>14506800</v>
      </c>
      <c r="N158" s="2" t="str" cm="1">
        <f t="array" ref="N158">_xlfn.IFS(M158=0,"PAYE", M158&lt;0,"SURPLUS", K158=M158,"NON PAYE", TRUE,"PARTIEL")</f>
        <v>NON PAYE</v>
      </c>
      <c r="O158" s="34"/>
      <c r="P158" s="34" t="s">
        <v>55</v>
      </c>
      <c r="Q158" s="37" t="s">
        <v>164</v>
      </c>
    </row>
    <row r="159" spans="1:17" x14ac:dyDescent="0.35">
      <c r="A159" s="43">
        <v>46284</v>
      </c>
      <c r="B159" s="31" t="s">
        <v>686</v>
      </c>
      <c r="C159" s="36">
        <v>1155</v>
      </c>
      <c r="D159" s="31" t="s">
        <v>680</v>
      </c>
      <c r="E159" s="32" t="str">
        <f>_xlfn.XLOOKUP(D159,'CODE FRS'!B:B,'CODE FRS'!C:C)</f>
        <v>AGUETON MATHIAS</v>
      </c>
      <c r="F159" s="30" t="s">
        <v>778</v>
      </c>
      <c r="G159" s="30">
        <v>36000</v>
      </c>
      <c r="H159" s="33">
        <v>45660</v>
      </c>
      <c r="I159" s="33">
        <v>457</v>
      </c>
      <c r="J159" s="33">
        <v>330</v>
      </c>
      <c r="K159" s="33">
        <f t="shared" si="16"/>
        <v>15067800</v>
      </c>
      <c r="L159" s="33">
        <v>0</v>
      </c>
      <c r="M159" s="33">
        <f t="shared" si="17"/>
        <v>15067800</v>
      </c>
      <c r="N159" s="2" t="str" cm="1">
        <f t="array" ref="N159">_xlfn.IFS(M159=0,"PAYE", M159&lt;0,"SURPLUS", K159=M159,"NON PAYE", TRUE,"PARTIEL")</f>
        <v>NON PAYE</v>
      </c>
      <c r="O159" s="34"/>
      <c r="P159" s="34" t="s">
        <v>55</v>
      </c>
      <c r="Q159" s="37" t="s">
        <v>164</v>
      </c>
    </row>
    <row r="160" spans="1:17" x14ac:dyDescent="0.35">
      <c r="A160" s="43">
        <v>46284</v>
      </c>
      <c r="B160" s="31" t="s">
        <v>589</v>
      </c>
      <c r="C160" s="36">
        <v>1156</v>
      </c>
      <c r="D160" s="31" t="s">
        <v>213</v>
      </c>
      <c r="E160" s="32" t="str">
        <f>_xlfn.XLOOKUP(D160,'CODE FRS'!B:B,'CODE FRS'!C:C)</f>
        <v>NOEL DOLEME</v>
      </c>
      <c r="F160" s="30" t="s">
        <v>604</v>
      </c>
      <c r="G160" s="30">
        <v>35994</v>
      </c>
      <c r="H160" s="33">
        <v>46780</v>
      </c>
      <c r="I160" s="33">
        <v>519</v>
      </c>
      <c r="J160" s="33">
        <v>332</v>
      </c>
      <c r="K160" s="33">
        <f t="shared" si="16"/>
        <v>15530960</v>
      </c>
      <c r="L160" s="33">
        <v>15530960</v>
      </c>
      <c r="M160" s="33">
        <f t="shared" si="17"/>
        <v>0</v>
      </c>
      <c r="N160" s="2" t="str" cm="1">
        <f t="array" ref="N160">_xlfn.IFS(M160=0,"PAYE", M160&lt;0,"SURPLUS", K160=M160,"NON PAYE", TRUE,"PARTIEL")</f>
        <v>PAYE</v>
      </c>
      <c r="O160" s="34" t="s">
        <v>947</v>
      </c>
      <c r="P160" s="34" t="s">
        <v>55</v>
      </c>
      <c r="Q160" s="37" t="s">
        <v>164</v>
      </c>
    </row>
    <row r="161" spans="1:17" x14ac:dyDescent="0.35">
      <c r="A161" s="43">
        <v>46284</v>
      </c>
      <c r="B161" s="31"/>
      <c r="C161" s="36">
        <v>1157</v>
      </c>
      <c r="D161" s="31" t="s">
        <v>198</v>
      </c>
      <c r="E161" s="32" t="str">
        <f>_xlfn.XLOOKUP(D161,'CODE FRS'!B:B,'CODE FRS'!C:C)</f>
        <v>VLAVONOU PIERRE</v>
      </c>
      <c r="F161" s="30" t="s">
        <v>779</v>
      </c>
      <c r="G161" s="30">
        <v>35995</v>
      </c>
      <c r="H161" s="33">
        <v>38260</v>
      </c>
      <c r="I161" s="33">
        <v>444</v>
      </c>
      <c r="J161" s="33">
        <v>330</v>
      </c>
      <c r="K161" s="33">
        <f t="shared" si="16"/>
        <v>12625800</v>
      </c>
      <c r="L161" s="33">
        <v>0</v>
      </c>
      <c r="M161" s="33">
        <f t="shared" si="17"/>
        <v>12625800</v>
      </c>
      <c r="N161" s="2" t="str" cm="1">
        <f t="array" ref="N161">_xlfn.IFS(M161=0,"PAYE", M161&lt;0,"SURPLUS", K161=M161,"NON PAYE", TRUE,"PARTIEL")</f>
        <v>NON PAYE</v>
      </c>
      <c r="O161" s="34"/>
      <c r="P161" s="34" t="s">
        <v>55</v>
      </c>
      <c r="Q161" s="37" t="s">
        <v>164</v>
      </c>
    </row>
    <row r="162" spans="1:17" x14ac:dyDescent="0.35">
      <c r="A162" s="43">
        <v>46285</v>
      </c>
      <c r="B162" s="31" t="s">
        <v>623</v>
      </c>
      <c r="C162" s="36">
        <v>1158</v>
      </c>
      <c r="D162" s="31" t="s">
        <v>196</v>
      </c>
      <c r="E162" s="32" t="str">
        <f>_xlfn.XLOOKUP(D162,'CODE FRS'!B:B,'CODE FRS'!C:C)</f>
        <v>ISMAEL WASSIOU</v>
      </c>
      <c r="F162" s="30" t="s">
        <v>446</v>
      </c>
      <c r="G162" s="30">
        <v>36001</v>
      </c>
      <c r="H162" s="33">
        <v>48540</v>
      </c>
      <c r="I162" s="33">
        <v>500</v>
      </c>
      <c r="J162" s="33">
        <v>340</v>
      </c>
      <c r="K162" s="33">
        <f t="shared" ref="K162:K174" si="18">H162*J162</f>
        <v>16503600</v>
      </c>
      <c r="L162" s="33">
        <v>16503600</v>
      </c>
      <c r="M162" s="33">
        <f t="shared" ref="M162:M174" si="19">K162-L162</f>
        <v>0</v>
      </c>
      <c r="N162" s="2" t="str" cm="1">
        <f t="array" ref="N162">_xlfn.IFS(M162=0,"PAYE", M162&lt;0,"SURPLUS", K162=M162,"NON PAYE", TRUE,"PARTIEL")</f>
        <v>PAYE</v>
      </c>
      <c r="O162" s="34" t="s">
        <v>944</v>
      </c>
      <c r="P162" s="34" t="s">
        <v>55</v>
      </c>
      <c r="Q162" s="37" t="s">
        <v>164</v>
      </c>
    </row>
    <row r="163" spans="1:17" x14ac:dyDescent="0.35">
      <c r="A163" s="43">
        <v>46285</v>
      </c>
      <c r="B163" s="31" t="s">
        <v>687</v>
      </c>
      <c r="C163" s="36">
        <v>1159</v>
      </c>
      <c r="D163" s="31" t="s">
        <v>683</v>
      </c>
      <c r="E163" s="32" t="str">
        <f>_xlfn.XLOOKUP(D163,'CODE FRS'!B:B,'CODE FRS'!C:C)</f>
        <v>AMINOU KIKI</v>
      </c>
      <c r="F163" s="30" t="s">
        <v>270</v>
      </c>
      <c r="G163" s="30">
        <v>35999</v>
      </c>
      <c r="H163" s="33">
        <v>49900</v>
      </c>
      <c r="I163" s="33">
        <v>522</v>
      </c>
      <c r="J163" s="33">
        <v>330</v>
      </c>
      <c r="K163" s="33">
        <f t="shared" si="18"/>
        <v>16467000</v>
      </c>
      <c r="L163" s="33">
        <v>0</v>
      </c>
      <c r="M163" s="33">
        <f t="shared" si="19"/>
        <v>16467000</v>
      </c>
      <c r="N163" s="2" t="str" cm="1">
        <f t="array" ref="N163">_xlfn.IFS(M163=0,"PAYE", M163&lt;0,"SURPLUS", K163=M163,"NON PAYE", TRUE,"PARTIEL")</f>
        <v>NON PAYE</v>
      </c>
      <c r="O163" s="34"/>
      <c r="P163" s="34" t="s">
        <v>55</v>
      </c>
      <c r="Q163" s="37" t="s">
        <v>164</v>
      </c>
    </row>
    <row r="164" spans="1:17" x14ac:dyDescent="0.35">
      <c r="A164" s="43">
        <v>46285</v>
      </c>
      <c r="B164" s="31" t="s">
        <v>795</v>
      </c>
      <c r="C164" s="36">
        <v>1160</v>
      </c>
      <c r="D164" s="31" t="s">
        <v>193</v>
      </c>
      <c r="E164" s="32" t="str">
        <f>_xlfn.XLOOKUP(D164,'CODE FRS'!B:B,'CODE FRS'!C:C)</f>
        <v>TCHANIGA SAMSON</v>
      </c>
      <c r="F164" s="30" t="s">
        <v>794</v>
      </c>
      <c r="G164" s="30">
        <v>36015</v>
      </c>
      <c r="H164" s="33">
        <v>46360</v>
      </c>
      <c r="I164" s="33">
        <v>447</v>
      </c>
      <c r="J164" s="33">
        <v>330</v>
      </c>
      <c r="K164" s="33">
        <f t="shared" si="18"/>
        <v>15298800</v>
      </c>
      <c r="L164" s="33">
        <v>12000000</v>
      </c>
      <c r="M164" s="33">
        <f t="shared" si="19"/>
        <v>3298800</v>
      </c>
      <c r="N164" s="2" t="str" cm="1">
        <f t="array" ref="N164">_xlfn.IFS(M164=0,"PAYE", M164&lt;0,"SURPLUS", K164=M164,"NON PAYE", TRUE,"PARTIEL")</f>
        <v>PARTIEL</v>
      </c>
      <c r="O164" s="34" t="s">
        <v>923</v>
      </c>
      <c r="P164" s="34" t="s">
        <v>55</v>
      </c>
      <c r="Q164" s="37" t="s">
        <v>164</v>
      </c>
    </row>
    <row r="165" spans="1:17" x14ac:dyDescent="0.35">
      <c r="A165" s="43">
        <v>46285</v>
      </c>
      <c r="B165" s="31" t="s">
        <v>827</v>
      </c>
      <c r="C165" s="36">
        <v>1161</v>
      </c>
      <c r="D165" s="31" t="s">
        <v>269</v>
      </c>
      <c r="E165" s="32" t="str">
        <f>_xlfn.XLOOKUP(D165,'CODE FRS'!B:B,'CODE FRS'!C:C)</f>
        <v>AZOGA ARMAND</v>
      </c>
      <c r="F165" s="30" t="s">
        <v>889</v>
      </c>
      <c r="G165" s="30">
        <v>36014</v>
      </c>
      <c r="H165" s="33">
        <v>50000</v>
      </c>
      <c r="I165" s="33">
        <v>485</v>
      </c>
      <c r="J165" s="33">
        <v>330</v>
      </c>
      <c r="K165" s="33">
        <f t="shared" si="18"/>
        <v>16500000</v>
      </c>
      <c r="L165" s="33">
        <v>0</v>
      </c>
      <c r="M165" s="33">
        <f t="shared" si="19"/>
        <v>16500000</v>
      </c>
      <c r="N165" s="2" t="str" cm="1">
        <f t="array" ref="N165">_xlfn.IFS(M165=0,"PAYE", M165&lt;0,"SURPLUS", K165=M165,"NON PAYE", TRUE,"PARTIEL")</f>
        <v>NON PAYE</v>
      </c>
      <c r="O165" s="34"/>
      <c r="P165" s="34" t="s">
        <v>55</v>
      </c>
      <c r="Q165" s="37" t="s">
        <v>164</v>
      </c>
    </row>
    <row r="166" spans="1:17" x14ac:dyDescent="0.35">
      <c r="A166" s="43">
        <v>46285</v>
      </c>
      <c r="B166" s="31" t="s">
        <v>792</v>
      </c>
      <c r="C166" s="36">
        <v>1162</v>
      </c>
      <c r="D166" s="31" t="s">
        <v>207</v>
      </c>
      <c r="E166" s="32" t="str">
        <f>_xlfn.XLOOKUP(D166,'CODE FRS'!B:B,'CODE FRS'!C:C)</f>
        <v>GBAGBE MATHIAS</v>
      </c>
      <c r="F166" s="30" t="s">
        <v>890</v>
      </c>
      <c r="G166" s="30">
        <v>36016</v>
      </c>
      <c r="H166" s="33">
        <v>50380</v>
      </c>
      <c r="I166" s="33">
        <v>623</v>
      </c>
      <c r="J166" s="33">
        <v>332</v>
      </c>
      <c r="K166" s="33">
        <f t="shared" si="18"/>
        <v>16726160</v>
      </c>
      <c r="L166" s="33">
        <v>16726000</v>
      </c>
      <c r="M166" s="33">
        <f t="shared" si="19"/>
        <v>160</v>
      </c>
      <c r="N166" s="2" t="str" cm="1">
        <f t="array" ref="N166">_xlfn.IFS(M166=0,"PAYE", M166&lt;0,"SURPLUS", K166=M166,"NON PAYE", TRUE,"PARTIEL")</f>
        <v>PARTIEL</v>
      </c>
      <c r="O166" s="34"/>
      <c r="P166" s="34" t="s">
        <v>55</v>
      </c>
      <c r="Q166" s="37" t="s">
        <v>164</v>
      </c>
    </row>
    <row r="167" spans="1:17" x14ac:dyDescent="0.35">
      <c r="A167" s="43">
        <v>46286</v>
      </c>
      <c r="B167" s="31" t="s">
        <v>825</v>
      </c>
      <c r="C167" s="36">
        <v>1163</v>
      </c>
      <c r="D167" s="31" t="s">
        <v>269</v>
      </c>
      <c r="E167" s="32" t="str">
        <f>_xlfn.XLOOKUP(D167,'CODE FRS'!B:B,'CODE FRS'!C:C)</f>
        <v>AZOGA ARMAND</v>
      </c>
      <c r="F167" s="30" t="s">
        <v>512</v>
      </c>
      <c r="G167" s="30">
        <v>36047</v>
      </c>
      <c r="H167" s="33">
        <v>49940</v>
      </c>
      <c r="I167" s="33">
        <v>523</v>
      </c>
      <c r="J167" s="33">
        <v>330</v>
      </c>
      <c r="K167" s="33">
        <f t="shared" si="18"/>
        <v>16480200</v>
      </c>
      <c r="L167" s="33">
        <v>0</v>
      </c>
      <c r="M167" s="33">
        <f t="shared" si="19"/>
        <v>16480200</v>
      </c>
      <c r="N167" s="2" t="str" cm="1">
        <f t="array" ref="N167">_xlfn.IFS(M167=0,"PAYE", M167&lt;0,"SURPLUS", K167=M167,"NON PAYE", TRUE,"PARTIEL")</f>
        <v>NON PAYE</v>
      </c>
      <c r="O167" s="34"/>
      <c r="P167" s="34" t="s">
        <v>55</v>
      </c>
      <c r="Q167" s="37" t="s">
        <v>164</v>
      </c>
    </row>
    <row r="168" spans="1:17" x14ac:dyDescent="0.35">
      <c r="A168" s="43">
        <v>46286</v>
      </c>
      <c r="B168" s="31" t="s">
        <v>813</v>
      </c>
      <c r="C168" s="36">
        <v>1164</v>
      </c>
      <c r="D168" s="31" t="s">
        <v>203</v>
      </c>
      <c r="E168" s="32" t="str">
        <f>_xlfn.XLOOKUP(D168,'CODE FRS'!B:B,'CODE FRS'!C:C)</f>
        <v>CHIGBLO FERDINAND</v>
      </c>
      <c r="F168" s="30" t="s">
        <v>812</v>
      </c>
      <c r="G168" s="30">
        <v>36057</v>
      </c>
      <c r="H168" s="33">
        <v>14480</v>
      </c>
      <c r="I168" s="33">
        <v>129</v>
      </c>
      <c r="J168" s="33">
        <v>330</v>
      </c>
      <c r="K168" s="33">
        <f t="shared" si="18"/>
        <v>4778400</v>
      </c>
      <c r="L168" s="33">
        <v>0</v>
      </c>
      <c r="M168" s="33">
        <f t="shared" si="19"/>
        <v>4778400</v>
      </c>
      <c r="N168" s="2" t="str" cm="1">
        <f t="array" ref="N168">_xlfn.IFS(M168=0,"PAYE", M168&lt;0,"SURPLUS", K168=M168,"NON PAYE", TRUE,"PARTIEL")</f>
        <v>NON PAYE</v>
      </c>
      <c r="O168" s="34"/>
      <c r="P168" s="34" t="s">
        <v>55</v>
      </c>
      <c r="Q168" s="37" t="s">
        <v>164</v>
      </c>
    </row>
    <row r="169" spans="1:17" x14ac:dyDescent="0.35">
      <c r="A169" s="43">
        <v>46286</v>
      </c>
      <c r="B169" s="31"/>
      <c r="C169" s="36">
        <v>1165</v>
      </c>
      <c r="D169" s="31" t="s">
        <v>269</v>
      </c>
      <c r="E169" s="32" t="str">
        <f>_xlfn.XLOOKUP(D169,'CODE FRS'!B:B,'CODE FRS'!C:C)</f>
        <v>AZOGA ARMAND</v>
      </c>
      <c r="F169" s="30" t="s">
        <v>891</v>
      </c>
      <c r="G169" s="30">
        <v>36068</v>
      </c>
      <c r="H169" s="33">
        <v>46160</v>
      </c>
      <c r="I169" s="33">
        <v>522</v>
      </c>
      <c r="J169" s="33">
        <v>330</v>
      </c>
      <c r="K169" s="33">
        <f t="shared" si="18"/>
        <v>15232800</v>
      </c>
      <c r="L169" s="33">
        <v>0</v>
      </c>
      <c r="M169" s="33">
        <f t="shared" si="19"/>
        <v>15232800</v>
      </c>
      <c r="N169" s="2" t="str" cm="1">
        <f t="array" ref="N169">_xlfn.IFS(M169=0,"PAYE", M169&lt;0,"SURPLUS", K169=M169,"NON PAYE", TRUE,"PARTIEL")</f>
        <v>NON PAYE</v>
      </c>
      <c r="O169" s="34"/>
      <c r="P169" s="34" t="s">
        <v>55</v>
      </c>
      <c r="Q169" s="37" t="s">
        <v>164</v>
      </c>
    </row>
    <row r="170" spans="1:17" x14ac:dyDescent="0.35">
      <c r="A170" s="43">
        <v>46286</v>
      </c>
      <c r="B170" s="31" t="s">
        <v>799</v>
      </c>
      <c r="C170" s="36">
        <v>1166</v>
      </c>
      <c r="D170" s="31" t="s">
        <v>193</v>
      </c>
      <c r="E170" s="32" t="str">
        <f>_xlfn.XLOOKUP(D170,'CODE FRS'!B:B,'CODE FRS'!C:C)</f>
        <v>TCHANIGA SAMSON</v>
      </c>
      <c r="F170" s="30" t="s">
        <v>798</v>
      </c>
      <c r="G170" s="30">
        <v>36050</v>
      </c>
      <c r="H170" s="33">
        <v>28160</v>
      </c>
      <c r="I170" s="33">
        <v>297</v>
      </c>
      <c r="J170" s="33">
        <v>330</v>
      </c>
      <c r="K170" s="33">
        <f t="shared" si="18"/>
        <v>9292800</v>
      </c>
      <c r="L170" s="33">
        <v>9292800</v>
      </c>
      <c r="M170" s="33">
        <f t="shared" si="19"/>
        <v>0</v>
      </c>
      <c r="N170" s="2" t="str" cm="1">
        <f t="array" ref="N170">_xlfn.IFS(M170=0,"PAYE", M170&lt;0,"SURPLUS", K170=M170,"NON PAYE", TRUE,"PARTIEL")</f>
        <v>PAYE</v>
      </c>
      <c r="O170" s="34"/>
      <c r="P170" s="34" t="s">
        <v>55</v>
      </c>
      <c r="Q170" s="37" t="s">
        <v>164</v>
      </c>
    </row>
    <row r="171" spans="1:17" x14ac:dyDescent="0.35">
      <c r="A171" s="43">
        <v>47383</v>
      </c>
      <c r="B171" s="31" t="s">
        <v>860</v>
      </c>
      <c r="C171" s="36">
        <v>1167</v>
      </c>
      <c r="D171" s="31" t="s">
        <v>269</v>
      </c>
      <c r="E171" s="32" t="str">
        <f>_xlfn.XLOOKUP(D171,'CODE FRS'!B:B,'CODE FRS'!C:C)</f>
        <v>AZOGA ARMAND</v>
      </c>
      <c r="F171" s="30" t="s">
        <v>858</v>
      </c>
      <c r="G171" s="30">
        <v>36048</v>
      </c>
      <c r="H171" s="33">
        <v>50140</v>
      </c>
      <c r="I171" s="33">
        <v>556</v>
      </c>
      <c r="J171" s="33">
        <v>330</v>
      </c>
      <c r="K171" s="33">
        <f t="shared" si="18"/>
        <v>16546200</v>
      </c>
      <c r="L171" s="33">
        <v>0</v>
      </c>
      <c r="M171" s="33">
        <f t="shared" si="19"/>
        <v>16546200</v>
      </c>
      <c r="N171" s="2" t="str" cm="1">
        <f t="array" ref="N171">_xlfn.IFS(M171=0,"PAYE", M171&lt;0,"SURPLUS", K171=M171,"NON PAYE", TRUE,"PARTIEL")</f>
        <v>NON PAYE</v>
      </c>
      <c r="O171" s="34"/>
      <c r="P171" s="34" t="s">
        <v>55</v>
      </c>
      <c r="Q171" s="37" t="s">
        <v>164</v>
      </c>
    </row>
    <row r="172" spans="1:17" x14ac:dyDescent="0.35">
      <c r="A172" s="43">
        <v>46287</v>
      </c>
      <c r="B172" s="31"/>
      <c r="C172" s="36">
        <v>1168</v>
      </c>
      <c r="D172" s="31" t="s">
        <v>211</v>
      </c>
      <c r="E172" s="32" t="str">
        <f>_xlfn.XLOOKUP(D172,'CODE FRS'!B:B,'CODE FRS'!C:C)</f>
        <v>GOUNOU ELISABETH</v>
      </c>
      <c r="F172" s="30" t="s">
        <v>892</v>
      </c>
      <c r="G172" s="30">
        <v>36053</v>
      </c>
      <c r="H172" s="33">
        <v>49440</v>
      </c>
      <c r="I172" s="33">
        <v>554</v>
      </c>
      <c r="J172" s="33">
        <v>340</v>
      </c>
      <c r="K172" s="33">
        <f t="shared" si="18"/>
        <v>16809600</v>
      </c>
      <c r="L172" s="33">
        <v>16979600</v>
      </c>
      <c r="M172" s="33">
        <f t="shared" si="19"/>
        <v>-170000</v>
      </c>
      <c r="N172" s="2" t="str" cm="1">
        <f t="array" ref="N172">_xlfn.IFS(M172=0,"PAYE", M172&lt;0,"SURPLUS", K172=M172,"NON PAYE", TRUE,"PARTIEL")</f>
        <v>SURPLUS</v>
      </c>
      <c r="O172" s="34"/>
      <c r="P172" s="34" t="s">
        <v>55</v>
      </c>
      <c r="Q172" s="37" t="s">
        <v>164</v>
      </c>
    </row>
    <row r="173" spans="1:17" x14ac:dyDescent="0.35">
      <c r="A173" s="43">
        <v>46287</v>
      </c>
      <c r="B173" s="31" t="s">
        <v>841</v>
      </c>
      <c r="C173" s="36">
        <v>1169</v>
      </c>
      <c r="D173" s="31" t="s">
        <v>212</v>
      </c>
      <c r="E173" s="32" t="str">
        <f>_xlfn.XLOOKUP(D173,'CODE FRS'!B:B,'CODE FRS'!C:C)</f>
        <v>DOSSA MATHURIN</v>
      </c>
      <c r="F173" s="30" t="s">
        <v>840</v>
      </c>
      <c r="G173" s="30">
        <v>36077</v>
      </c>
      <c r="H173" s="33">
        <v>42080</v>
      </c>
      <c r="I173" s="33">
        <v>425</v>
      </c>
      <c r="J173" s="33">
        <v>330</v>
      </c>
      <c r="K173" s="33">
        <f t="shared" si="18"/>
        <v>13886400</v>
      </c>
      <c r="L173" s="33">
        <v>0</v>
      </c>
      <c r="M173" s="33">
        <f t="shared" si="19"/>
        <v>13886400</v>
      </c>
      <c r="N173" s="2" t="str" cm="1">
        <f t="array" ref="N173">_xlfn.IFS(M173=0,"PAYE", M173&lt;0,"SURPLUS", K173=M173,"NON PAYE", TRUE,"PARTIEL")</f>
        <v>NON PAYE</v>
      </c>
      <c r="O173" s="34"/>
      <c r="P173" s="34" t="s">
        <v>55</v>
      </c>
      <c r="Q173" s="37" t="s">
        <v>164</v>
      </c>
    </row>
    <row r="174" spans="1:17" x14ac:dyDescent="0.35">
      <c r="A174" s="43">
        <v>46287</v>
      </c>
      <c r="B174" s="31"/>
      <c r="C174" s="36">
        <v>1170</v>
      </c>
      <c r="D174" s="31" t="s">
        <v>893</v>
      </c>
      <c r="E174" s="32" t="str">
        <f>_xlfn.XLOOKUP(D174,'CODE FRS'!B:B,'CODE FRS'!C:C)</f>
        <v>MR MOUSSA</v>
      </c>
      <c r="F174" s="30" t="s">
        <v>895</v>
      </c>
      <c r="G174" s="30">
        <v>36054</v>
      </c>
      <c r="H174" s="33">
        <v>2300</v>
      </c>
      <c r="I174" s="33">
        <v>28</v>
      </c>
      <c r="J174" s="33">
        <v>330</v>
      </c>
      <c r="K174" s="33">
        <f t="shared" si="18"/>
        <v>759000</v>
      </c>
      <c r="L174" s="33">
        <v>759000</v>
      </c>
      <c r="M174" s="33">
        <f t="shared" si="19"/>
        <v>0</v>
      </c>
      <c r="N174" s="2" t="str" cm="1">
        <f t="array" ref="N174">_xlfn.IFS(M174=0,"PAYE", M174&lt;0,"SURPLUS", K174=M174,"NON PAYE", TRUE,"PARTIEL")</f>
        <v>PAYE</v>
      </c>
      <c r="O174" s="34" t="s">
        <v>912</v>
      </c>
      <c r="P174" s="34" t="s">
        <v>55</v>
      </c>
      <c r="Q174" s="37" t="s">
        <v>164</v>
      </c>
    </row>
    <row r="175" spans="1:17" x14ac:dyDescent="0.35">
      <c r="A175" s="43">
        <v>46290</v>
      </c>
      <c r="B175" s="31"/>
      <c r="C175" s="36">
        <v>1171</v>
      </c>
      <c r="D175" s="31" t="s">
        <v>269</v>
      </c>
      <c r="E175" s="32" t="str">
        <f>_xlfn.XLOOKUP(D175,'CODE FRS'!B:B,'CODE FRS'!C:C)</f>
        <v>AZOGA ARMAND</v>
      </c>
      <c r="F175" s="30" t="s">
        <v>592</v>
      </c>
      <c r="G175" s="30">
        <v>36175</v>
      </c>
      <c r="H175" s="33">
        <v>17860</v>
      </c>
      <c r="I175" s="33">
        <v>167</v>
      </c>
      <c r="J175" s="33">
        <v>330</v>
      </c>
      <c r="K175" s="33">
        <f t="shared" ref="K175:K182" si="20">H175*J175</f>
        <v>5893800</v>
      </c>
      <c r="L175" s="33">
        <v>0</v>
      </c>
      <c r="M175" s="33">
        <f t="shared" ref="M175:M182" si="21">K175-L175</f>
        <v>5893800</v>
      </c>
      <c r="N175" s="2" t="str" cm="1">
        <f t="array" ref="N175">_xlfn.IFS(M175=0,"PAYE", M175&lt;0,"SURPLUS", K175=M175,"NON PAYE", TRUE,"PARTIEL")</f>
        <v>NON PAYE</v>
      </c>
      <c r="O175" s="34"/>
      <c r="P175" s="34" t="s">
        <v>55</v>
      </c>
      <c r="Q175" s="37" t="s">
        <v>164</v>
      </c>
    </row>
    <row r="176" spans="1:17" x14ac:dyDescent="0.35">
      <c r="A176" s="43">
        <v>46290</v>
      </c>
      <c r="B176" s="31" t="s">
        <v>748</v>
      </c>
      <c r="C176" s="36">
        <v>1172</v>
      </c>
      <c r="D176" s="31" t="s">
        <v>193</v>
      </c>
      <c r="E176" s="32" t="str">
        <f>_xlfn.XLOOKUP(D176,'CODE FRS'!B:B,'CODE FRS'!C:C)</f>
        <v>TCHANIGA SAMSON</v>
      </c>
      <c r="F176" s="30" t="s">
        <v>896</v>
      </c>
      <c r="G176" s="30">
        <v>36178</v>
      </c>
      <c r="H176" s="33">
        <v>46940</v>
      </c>
      <c r="I176" s="33">
        <v>626</v>
      </c>
      <c r="J176" s="33">
        <v>330</v>
      </c>
      <c r="K176" s="33">
        <f t="shared" si="20"/>
        <v>15490200</v>
      </c>
      <c r="L176" s="33">
        <v>0</v>
      </c>
      <c r="M176" s="33">
        <f t="shared" si="21"/>
        <v>15490200</v>
      </c>
      <c r="N176" s="2" t="str" cm="1">
        <f t="array" ref="N176">_xlfn.IFS(M176=0,"PAYE", M176&lt;0,"SURPLUS", K176=M176,"NON PAYE", TRUE,"PARTIEL")</f>
        <v>NON PAYE</v>
      </c>
      <c r="O176" s="34"/>
      <c r="P176" s="34" t="s">
        <v>55</v>
      </c>
      <c r="Q176" s="37" t="s">
        <v>164</v>
      </c>
    </row>
    <row r="177" spans="1:17" x14ac:dyDescent="0.35">
      <c r="A177" s="43">
        <v>46290</v>
      </c>
      <c r="B177" s="31"/>
      <c r="C177" s="36">
        <v>1173</v>
      </c>
      <c r="D177" s="31" t="s">
        <v>193</v>
      </c>
      <c r="E177" s="32" t="str">
        <f>_xlfn.XLOOKUP(D177,'CODE FRS'!B:B,'CODE FRS'!C:C)</f>
        <v>TCHANIGA SAMSON</v>
      </c>
      <c r="F177" s="30" t="s">
        <v>897</v>
      </c>
      <c r="G177" s="30">
        <v>36176</v>
      </c>
      <c r="H177" s="33">
        <v>40620</v>
      </c>
      <c r="I177" s="33">
        <v>470</v>
      </c>
      <c r="J177" s="33">
        <v>335</v>
      </c>
      <c r="K177" s="33">
        <f t="shared" si="20"/>
        <v>13607700</v>
      </c>
      <c r="L177" s="33">
        <f>8607700+5000000</f>
        <v>13607700</v>
      </c>
      <c r="M177" s="33">
        <f t="shared" si="21"/>
        <v>0</v>
      </c>
      <c r="N177" s="2" t="str" cm="1">
        <f t="array" ref="N177">_xlfn.IFS(M177=0,"PAYE", M177&lt;0,"SURPLUS", K177=M177,"NON PAYE", TRUE,"PARTIEL")</f>
        <v>PAYE</v>
      </c>
      <c r="O177" s="34" t="s">
        <v>951</v>
      </c>
      <c r="P177" s="34" t="s">
        <v>55</v>
      </c>
      <c r="Q177" s="37" t="s">
        <v>164</v>
      </c>
    </row>
    <row r="178" spans="1:17" x14ac:dyDescent="0.35">
      <c r="A178" s="43">
        <v>46290</v>
      </c>
      <c r="B178" s="31"/>
      <c r="C178" s="36">
        <v>1174</v>
      </c>
      <c r="D178" s="31" t="s">
        <v>213</v>
      </c>
      <c r="E178" s="32" t="str">
        <f>_xlfn.XLOOKUP(D178,'CODE FRS'!B:B,'CODE FRS'!C:C)</f>
        <v>NOEL DOLEME</v>
      </c>
      <c r="F178" s="30" t="s">
        <v>898</v>
      </c>
      <c r="G178" s="30">
        <v>36177</v>
      </c>
      <c r="H178" s="33">
        <v>30120</v>
      </c>
      <c r="I178" s="33">
        <v>319</v>
      </c>
      <c r="J178" s="33">
        <v>332</v>
      </c>
      <c r="K178" s="33">
        <f t="shared" si="20"/>
        <v>9999840</v>
      </c>
      <c r="L178" s="33">
        <v>9999840</v>
      </c>
      <c r="M178" s="33">
        <f t="shared" si="21"/>
        <v>0</v>
      </c>
      <c r="N178" s="2" t="str" cm="1">
        <f t="array" ref="N178">_xlfn.IFS(M178=0,"PAYE", M178&lt;0,"SURPLUS", K178=M178,"NON PAYE", TRUE,"PARTIEL")</f>
        <v>PAYE</v>
      </c>
      <c r="O178" s="34" t="s">
        <v>946</v>
      </c>
      <c r="P178" s="34" t="s">
        <v>55</v>
      </c>
      <c r="Q178" s="37" t="s">
        <v>164</v>
      </c>
    </row>
    <row r="179" spans="1:17" x14ac:dyDescent="0.35">
      <c r="A179" s="43">
        <v>46290</v>
      </c>
      <c r="B179" s="31" t="s">
        <v>787</v>
      </c>
      <c r="C179" s="36">
        <v>1175</v>
      </c>
      <c r="D179" s="31" t="s">
        <v>339</v>
      </c>
      <c r="E179" s="32" t="str">
        <f>_xlfn.XLOOKUP(D179,'CODE FRS'!B:B,'CODE FRS'!C:C)</f>
        <v>HASSANE SEYNI</v>
      </c>
      <c r="F179" s="30" t="s">
        <v>899</v>
      </c>
      <c r="G179" s="30">
        <v>36174</v>
      </c>
      <c r="H179" s="33">
        <v>51740</v>
      </c>
      <c r="I179" s="33">
        <v>500</v>
      </c>
      <c r="J179" s="33">
        <v>330</v>
      </c>
      <c r="K179" s="33">
        <f t="shared" si="20"/>
        <v>17074200</v>
      </c>
      <c r="L179" s="33">
        <v>17074200</v>
      </c>
      <c r="M179" s="33">
        <f t="shared" si="21"/>
        <v>0</v>
      </c>
      <c r="N179" s="2" t="str" cm="1">
        <f t="array" ref="N179">_xlfn.IFS(M179=0,"PAYE", M179&lt;0,"SURPLUS", K179=M179,"NON PAYE", TRUE,"PARTIEL")</f>
        <v>PAYE</v>
      </c>
      <c r="O179" s="34" t="s">
        <v>943</v>
      </c>
      <c r="P179" s="34" t="s">
        <v>55</v>
      </c>
      <c r="Q179" s="37" t="s">
        <v>164</v>
      </c>
    </row>
    <row r="180" spans="1:17" x14ac:dyDescent="0.35">
      <c r="A180" s="43">
        <v>46291</v>
      </c>
      <c r="B180" s="31" t="s">
        <v>729</v>
      </c>
      <c r="C180" s="36">
        <v>1177</v>
      </c>
      <c r="D180" s="31" t="s">
        <v>717</v>
      </c>
      <c r="E180" s="32" t="str">
        <f>_xlfn.XLOOKUP(D180,'CODE FRS'!B:B,'CODE FRS'!C:C)</f>
        <v>AGBESSADJI FERNAND</v>
      </c>
      <c r="F180" s="30" t="s">
        <v>900</v>
      </c>
      <c r="G180" s="30">
        <v>36205</v>
      </c>
      <c r="H180" s="33">
        <v>40180</v>
      </c>
      <c r="I180" s="33">
        <v>337</v>
      </c>
      <c r="J180" s="33">
        <v>330</v>
      </c>
      <c r="K180" s="33">
        <f t="shared" si="20"/>
        <v>13259400</v>
      </c>
      <c r="L180" s="33">
        <v>13259400</v>
      </c>
      <c r="M180" s="33">
        <f t="shared" si="21"/>
        <v>0</v>
      </c>
      <c r="N180" s="2" t="str" cm="1">
        <f t="array" ref="N180">_xlfn.IFS(M180=0,"PAYE", M180&lt;0,"SURPLUS", K180=M180,"NON PAYE", TRUE,"PARTIEL")</f>
        <v>PAYE</v>
      </c>
      <c r="O180" s="34" t="s">
        <v>950</v>
      </c>
      <c r="P180" s="34" t="s">
        <v>55</v>
      </c>
      <c r="Q180" s="37" t="s">
        <v>164</v>
      </c>
    </row>
    <row r="181" spans="1:17" x14ac:dyDescent="0.35">
      <c r="A181" s="43">
        <v>46291</v>
      </c>
      <c r="B181" s="31" t="s">
        <v>834</v>
      </c>
      <c r="C181" s="36">
        <v>1178</v>
      </c>
      <c r="D181" s="31" t="s">
        <v>212</v>
      </c>
      <c r="E181" s="32" t="str">
        <f>_xlfn.XLOOKUP(D181,'CODE FRS'!B:B,'CODE FRS'!C:C)</f>
        <v>DOSSA MATHURIN</v>
      </c>
      <c r="F181" s="30" t="s">
        <v>833</v>
      </c>
      <c r="G181" s="30">
        <v>36255</v>
      </c>
      <c r="H181" s="33">
        <v>35640</v>
      </c>
      <c r="I181" s="33">
        <v>390</v>
      </c>
      <c r="J181" s="33">
        <v>330</v>
      </c>
      <c r="K181" s="33">
        <f t="shared" si="20"/>
        <v>11761200</v>
      </c>
      <c r="L181" s="33">
        <v>0</v>
      </c>
      <c r="M181" s="33">
        <f t="shared" si="21"/>
        <v>11761200</v>
      </c>
      <c r="N181" s="2" t="str" cm="1">
        <f t="array" ref="N181">_xlfn.IFS(M181=0,"PAYE", M181&lt;0,"SURPLUS", K181=M181,"NON PAYE", TRUE,"PARTIEL")</f>
        <v>NON PAYE</v>
      </c>
      <c r="O181" s="34"/>
      <c r="P181" s="34" t="s">
        <v>55</v>
      </c>
      <c r="Q181" s="37" t="s">
        <v>164</v>
      </c>
    </row>
    <row r="182" spans="1:17" x14ac:dyDescent="0.35">
      <c r="A182" s="43">
        <v>46291</v>
      </c>
      <c r="B182" s="31"/>
      <c r="C182" s="36">
        <v>1179</v>
      </c>
      <c r="D182" s="31" t="s">
        <v>901</v>
      </c>
      <c r="E182" s="32" t="str">
        <f>_xlfn.XLOOKUP(D182,'CODE FRS'!B:B,'CODE FRS'!C:C)</f>
        <v>MR TIDJANI</v>
      </c>
      <c r="F182" s="30" t="s">
        <v>903</v>
      </c>
      <c r="G182" s="30">
        <v>36259</v>
      </c>
      <c r="H182" s="33">
        <v>51740</v>
      </c>
      <c r="I182" s="33">
        <v>531</v>
      </c>
      <c r="J182" s="33">
        <v>330</v>
      </c>
      <c r="K182" s="33">
        <f t="shared" si="20"/>
        <v>17074200</v>
      </c>
      <c r="L182" s="33">
        <v>0</v>
      </c>
      <c r="M182" s="33">
        <f t="shared" si="21"/>
        <v>17074200</v>
      </c>
      <c r="N182" s="2" t="str" cm="1">
        <f t="array" ref="N182">_xlfn.IFS(M182=0,"PAYE", M182&lt;0,"SURPLUS", K182=M182,"NON PAYE", TRUE,"PARTIEL")</f>
        <v>NON PAYE</v>
      </c>
      <c r="O182" s="34"/>
      <c r="P182" s="34" t="s">
        <v>55</v>
      </c>
      <c r="Q182" s="37" t="s">
        <v>164</v>
      </c>
    </row>
    <row r="183" spans="1:17" x14ac:dyDescent="0.35">
      <c r="A183" s="43">
        <v>46295</v>
      </c>
      <c r="B183" s="31"/>
      <c r="C183" s="36">
        <v>1180</v>
      </c>
      <c r="D183" s="31" t="s">
        <v>213</v>
      </c>
      <c r="E183" s="32" t="str">
        <f>_xlfn.XLOOKUP(D183,'CODE FRS'!B:B,'CODE FRS'!C:C)</f>
        <v>NOEL DOLEME</v>
      </c>
      <c r="F183" s="30" t="s">
        <v>924</v>
      </c>
      <c r="G183" s="30">
        <v>36260</v>
      </c>
      <c r="H183" s="33">
        <v>42240</v>
      </c>
      <c r="I183" s="33">
        <v>507</v>
      </c>
      <c r="J183" s="33">
        <v>330</v>
      </c>
      <c r="K183" s="33">
        <f t="shared" ref="K183:K192" si="22">H183*J183</f>
        <v>13939200</v>
      </c>
      <c r="L183" s="33">
        <v>0</v>
      </c>
      <c r="M183" s="33">
        <f t="shared" ref="M183:M192" si="23">K183-L183</f>
        <v>13939200</v>
      </c>
      <c r="N183" s="30" t="str">
        <f t="array" ref="N183">_xlfn.IFS(M183=0,"PAYE", M183&lt;0,"SURPLUS", K183=M183,"NON PAYE", TRUE,"PARTIEL")</f>
        <v>NON PAYE</v>
      </c>
      <c r="O183" s="34"/>
      <c r="P183" s="34" t="s">
        <v>55</v>
      </c>
      <c r="Q183" s="37" t="s">
        <v>164</v>
      </c>
    </row>
    <row r="184" spans="1:17" x14ac:dyDescent="0.35">
      <c r="A184" s="43">
        <v>46296</v>
      </c>
      <c r="B184" s="31" t="s">
        <v>853</v>
      </c>
      <c r="C184" s="36">
        <v>1181</v>
      </c>
      <c r="D184" s="31" t="s">
        <v>850</v>
      </c>
      <c r="E184" s="32" t="str">
        <f>_xlfn.XLOOKUP(D184,'CODE FRS'!B:B,'CODE FRS'!C:C)</f>
        <v>KPADONOU SOUROU</v>
      </c>
      <c r="F184" s="30" t="s">
        <v>852</v>
      </c>
      <c r="G184" s="30">
        <v>36256</v>
      </c>
      <c r="H184" s="33">
        <v>49580</v>
      </c>
      <c r="I184" s="33">
        <v>546</v>
      </c>
      <c r="J184" s="33">
        <v>320</v>
      </c>
      <c r="K184" s="33">
        <f t="shared" si="22"/>
        <v>15865600</v>
      </c>
      <c r="L184" s="33">
        <v>0</v>
      </c>
      <c r="M184" s="33">
        <f t="shared" si="23"/>
        <v>15865600</v>
      </c>
      <c r="N184" s="30" t="str">
        <f t="array" ref="N184">_xlfn.IFS(M184=0,"PAYE", M184&lt;0,"SURPLUS", K184=M184,"NON PAYE", TRUE,"PARTIEL")</f>
        <v>NON PAYE</v>
      </c>
      <c r="O184" s="34"/>
      <c r="P184" s="34" t="s">
        <v>55</v>
      </c>
      <c r="Q184" s="37" t="s">
        <v>164</v>
      </c>
    </row>
    <row r="185" spans="1:17" x14ac:dyDescent="0.35">
      <c r="A185" s="43">
        <v>46296</v>
      </c>
      <c r="B185" s="31" t="s">
        <v>821</v>
      </c>
      <c r="C185" s="36">
        <v>1182</v>
      </c>
      <c r="D185" s="31" t="s">
        <v>816</v>
      </c>
      <c r="E185" s="32" t="str">
        <f>_xlfn.XLOOKUP(D185,'CODE FRS'!B:B,'CODE FRS'!C:C)</f>
        <v>ASSOUNI WAHABOU</v>
      </c>
      <c r="F185" s="30" t="s">
        <v>820</v>
      </c>
      <c r="G185" s="30">
        <v>36268</v>
      </c>
      <c r="H185" s="33">
        <v>46300</v>
      </c>
      <c r="I185" s="33">
        <v>474</v>
      </c>
      <c r="J185" s="33">
        <v>330</v>
      </c>
      <c r="K185" s="33">
        <f t="shared" si="22"/>
        <v>15279000</v>
      </c>
      <c r="L185" s="33">
        <v>0</v>
      </c>
      <c r="M185" s="33">
        <f t="shared" si="23"/>
        <v>15279000</v>
      </c>
      <c r="N185" s="30" t="str">
        <f t="array" ref="N185">_xlfn.IFS(M185=0,"PAYE", M185&lt;0,"SURPLUS", K185=M185,"NON PAYE", TRUE,"PARTIEL")</f>
        <v>NON PAYE</v>
      </c>
      <c r="O185" s="34"/>
      <c r="P185" s="34" t="s">
        <v>55</v>
      </c>
      <c r="Q185" s="37" t="s">
        <v>164</v>
      </c>
    </row>
    <row r="186" spans="1:17" x14ac:dyDescent="0.35">
      <c r="A186" s="43">
        <v>46296</v>
      </c>
      <c r="B186" s="31" t="s">
        <v>808</v>
      </c>
      <c r="C186" s="36">
        <v>1183</v>
      </c>
      <c r="D186" s="31" t="s">
        <v>343</v>
      </c>
      <c r="E186" s="32" t="str">
        <f>_xlfn.XLOOKUP(D186,'CODE FRS'!B:B,'CODE FRS'!C:C)</f>
        <v>GODONOU CHARLES</v>
      </c>
      <c r="F186" s="30" t="s">
        <v>807</v>
      </c>
      <c r="G186" s="30">
        <v>36266</v>
      </c>
      <c r="H186" s="33">
        <v>45440</v>
      </c>
      <c r="I186" s="33">
        <v>462</v>
      </c>
      <c r="J186" s="33">
        <v>316</v>
      </c>
      <c r="K186" s="33">
        <f t="shared" si="22"/>
        <v>14359040</v>
      </c>
      <c r="L186" s="33">
        <v>0</v>
      </c>
      <c r="M186" s="33">
        <f t="shared" si="23"/>
        <v>14359040</v>
      </c>
      <c r="N186" s="30" t="str">
        <f t="array" ref="N186">_xlfn.IFS(M186=0,"PAYE", M186&lt;0,"SURPLUS", K186=M186,"NON PAYE", TRUE,"PARTIEL")</f>
        <v>NON PAYE</v>
      </c>
      <c r="O186" s="34"/>
      <c r="P186" s="34" t="s">
        <v>55</v>
      </c>
      <c r="Q186" s="37" t="s">
        <v>164</v>
      </c>
    </row>
    <row r="187" spans="1:17" x14ac:dyDescent="0.35">
      <c r="A187" s="43">
        <v>46296</v>
      </c>
      <c r="B187" s="31"/>
      <c r="C187" s="36">
        <v>1184</v>
      </c>
      <c r="D187" s="31" t="s">
        <v>194</v>
      </c>
      <c r="E187" s="32" t="str">
        <f>_xlfn.XLOOKUP(D187,'CODE FRS'!B:B,'CODE FRS'!C:C)</f>
        <v>ISMAEL WASSIOU/ Mme ELISABETH</v>
      </c>
      <c r="F187" s="30" t="s">
        <v>631</v>
      </c>
      <c r="G187" s="30">
        <v>36265</v>
      </c>
      <c r="H187" s="33">
        <v>49560</v>
      </c>
      <c r="I187" s="33">
        <v>517</v>
      </c>
      <c r="J187" s="33">
        <v>310</v>
      </c>
      <c r="K187" s="33">
        <f t="shared" si="22"/>
        <v>15363600</v>
      </c>
      <c r="L187" s="33">
        <v>0</v>
      </c>
      <c r="M187" s="33">
        <f t="shared" si="23"/>
        <v>15363600</v>
      </c>
      <c r="N187" s="30" t="str">
        <f t="array" ref="N187">_xlfn.IFS(M187=0,"PAYE", M187&lt;0,"SURPLUS", K187=M187,"NON PAYE", TRUE,"PARTIEL")</f>
        <v>NON PAYE</v>
      </c>
      <c r="O187" s="34"/>
      <c r="P187" s="34" t="s">
        <v>55</v>
      </c>
      <c r="Q187" s="37" t="s">
        <v>164</v>
      </c>
    </row>
    <row r="188" spans="1:17" x14ac:dyDescent="0.35">
      <c r="A188" s="43">
        <v>46297</v>
      </c>
      <c r="B188" s="31"/>
      <c r="C188" s="36">
        <v>1185</v>
      </c>
      <c r="D188" s="31" t="s">
        <v>209</v>
      </c>
      <c r="E188" s="32" t="str">
        <f>_xlfn.XLOOKUP(D188,'CODE FRS'!B:B,'CODE FRS'!C:C)</f>
        <v>AHOSSI GABIN</v>
      </c>
      <c r="F188" s="30" t="s">
        <v>925</v>
      </c>
      <c r="G188" s="30">
        <v>36451</v>
      </c>
      <c r="H188" s="33">
        <v>40600</v>
      </c>
      <c r="I188" s="33">
        <v>412</v>
      </c>
      <c r="J188" s="33">
        <v>310</v>
      </c>
      <c r="K188" s="33">
        <f t="shared" si="22"/>
        <v>12586000</v>
      </c>
      <c r="L188" s="33">
        <v>0</v>
      </c>
      <c r="M188" s="33">
        <f t="shared" si="23"/>
        <v>12586000</v>
      </c>
      <c r="N188" s="30" t="str">
        <f t="array" ref="N188">_xlfn.IFS(M188=0,"PAYE", M188&lt;0,"SURPLUS", K188=M188,"NON PAYE", TRUE,"PARTIEL")</f>
        <v>NON PAYE</v>
      </c>
      <c r="O188" s="34"/>
      <c r="P188" s="34" t="s">
        <v>55</v>
      </c>
      <c r="Q188" s="37" t="s">
        <v>164</v>
      </c>
    </row>
    <row r="189" spans="1:17" x14ac:dyDescent="0.35">
      <c r="A189" s="43">
        <v>46297</v>
      </c>
      <c r="B189" s="31"/>
      <c r="C189" s="36">
        <v>1186</v>
      </c>
      <c r="D189" s="31" t="s">
        <v>193</v>
      </c>
      <c r="E189" s="32" t="str">
        <f>_xlfn.XLOOKUP(D189,'CODE FRS'!B:B,'CODE FRS'!C:C)</f>
        <v>TCHANIGA SAMSON</v>
      </c>
      <c r="F189" s="30" t="s">
        <v>844</v>
      </c>
      <c r="G189" s="30">
        <v>36452</v>
      </c>
      <c r="H189" s="33">
        <v>46380</v>
      </c>
      <c r="I189" s="33">
        <v>454</v>
      </c>
      <c r="J189" s="33">
        <v>330</v>
      </c>
      <c r="K189" s="33">
        <f t="shared" si="22"/>
        <v>15305400</v>
      </c>
      <c r="L189" s="33">
        <v>15305400</v>
      </c>
      <c r="M189" s="33">
        <f t="shared" si="23"/>
        <v>0</v>
      </c>
      <c r="N189" s="30" t="str">
        <f t="array" ref="N189">_xlfn.IFS(M189=0,"PAYE", M189&lt;0,"SURPLUS", K189=M189,"NON PAYE", TRUE,"PARTIEL")</f>
        <v>PAYE</v>
      </c>
      <c r="O189" s="34"/>
      <c r="P189" s="34" t="s">
        <v>55</v>
      </c>
      <c r="Q189" s="37" t="s">
        <v>164</v>
      </c>
    </row>
    <row r="190" spans="1:17" x14ac:dyDescent="0.35">
      <c r="A190" s="43">
        <v>46297</v>
      </c>
      <c r="B190" s="31"/>
      <c r="C190" s="36">
        <v>1187</v>
      </c>
      <c r="D190" s="31" t="s">
        <v>572</v>
      </c>
      <c r="E190" s="32" t="str">
        <f>_xlfn.XLOOKUP(D190,'CODE FRS'!B:B,'CODE FRS'!C:C)</f>
        <v>HOUEDANOU JUSTIN</v>
      </c>
      <c r="F190" s="30" t="s">
        <v>600</v>
      </c>
      <c r="G190" s="30">
        <v>36448</v>
      </c>
      <c r="H190" s="33">
        <v>50680</v>
      </c>
      <c r="I190" s="33">
        <v>499</v>
      </c>
      <c r="J190" s="33">
        <v>315</v>
      </c>
      <c r="K190" s="33">
        <f t="shared" si="22"/>
        <v>15964200</v>
      </c>
      <c r="L190" s="33">
        <v>0</v>
      </c>
      <c r="M190" s="33">
        <f t="shared" si="23"/>
        <v>15964200</v>
      </c>
      <c r="N190" s="30" t="str">
        <f t="array" ref="N190">_xlfn.IFS(M190=0,"PAYE", M190&lt;0,"SURPLUS", K190=M190,"NON PAYE", TRUE,"PARTIEL")</f>
        <v>NON PAYE</v>
      </c>
      <c r="O190" s="34"/>
      <c r="P190" s="34" t="s">
        <v>55</v>
      </c>
      <c r="Q190" s="37" t="s">
        <v>164</v>
      </c>
    </row>
    <row r="191" spans="1:17" x14ac:dyDescent="0.35">
      <c r="A191" s="43">
        <v>46297</v>
      </c>
      <c r="B191" s="31"/>
      <c r="C191" s="36">
        <v>1188</v>
      </c>
      <c r="D191" s="31" t="s">
        <v>213</v>
      </c>
      <c r="E191" s="32" t="str">
        <f>_xlfn.XLOOKUP(D191,'CODE FRS'!B:B,'CODE FRS'!C:C)</f>
        <v>NOEL DOLEME</v>
      </c>
      <c r="F191" s="30" t="s">
        <v>926</v>
      </c>
      <c r="G191" s="30">
        <v>36450</v>
      </c>
      <c r="H191" s="33">
        <v>42680</v>
      </c>
      <c r="I191" s="33">
        <v>454</v>
      </c>
      <c r="J191" s="33">
        <v>310</v>
      </c>
      <c r="K191" s="33">
        <f t="shared" si="22"/>
        <v>13230800</v>
      </c>
      <c r="L191" s="33">
        <v>13230800</v>
      </c>
      <c r="M191" s="33">
        <f t="shared" si="23"/>
        <v>0</v>
      </c>
      <c r="N191" s="30" t="str">
        <f t="array" ref="N191">_xlfn.IFS(M191=0,"PAYE", M191&lt;0,"SURPLUS", K191=M191,"NON PAYE", TRUE,"PARTIEL")</f>
        <v>PAYE</v>
      </c>
      <c r="O191" s="34" t="s">
        <v>945</v>
      </c>
      <c r="P191" s="34" t="s">
        <v>55</v>
      </c>
      <c r="Q191" s="37" t="s">
        <v>164</v>
      </c>
    </row>
    <row r="192" spans="1:17" x14ac:dyDescent="0.35">
      <c r="A192" s="43">
        <v>46297</v>
      </c>
      <c r="B192" s="31"/>
      <c r="C192" s="36">
        <v>1189</v>
      </c>
      <c r="D192" s="31" t="s">
        <v>927</v>
      </c>
      <c r="E192" s="32" t="str">
        <f>_xlfn.XLOOKUP(D192,'CODE FRS'!B:B,'CODE FRS'!C:C)</f>
        <v>YAROU BAGUIRI</v>
      </c>
      <c r="F192" s="30" t="s">
        <v>929</v>
      </c>
      <c r="G192" s="30">
        <v>36454</v>
      </c>
      <c r="H192" s="33">
        <v>26160</v>
      </c>
      <c r="I192" s="33">
        <v>251</v>
      </c>
      <c r="J192" s="33">
        <v>330</v>
      </c>
      <c r="K192" s="33">
        <f t="shared" si="22"/>
        <v>8632800</v>
      </c>
      <c r="L192" s="33">
        <v>0</v>
      </c>
      <c r="M192" s="33">
        <f t="shared" si="23"/>
        <v>8632800</v>
      </c>
      <c r="N192" s="30" t="str">
        <f t="array" ref="N192">_xlfn.IFS(M192=0,"PAYE", M192&lt;0,"SURPLUS", K192=M192,"NON PAYE", TRUE,"PARTIEL")</f>
        <v>NON PAYE</v>
      </c>
      <c r="O192" s="34"/>
      <c r="P192" s="34" t="s">
        <v>55</v>
      </c>
      <c r="Q192" s="37" t="s">
        <v>164</v>
      </c>
    </row>
    <row r="193" spans="1:18" x14ac:dyDescent="0.35">
      <c r="A193" s="43">
        <v>46298</v>
      </c>
      <c r="B193" s="31"/>
      <c r="C193" s="36">
        <v>1190</v>
      </c>
      <c r="D193" s="31" t="s">
        <v>377</v>
      </c>
      <c r="E193" s="32" t="str">
        <f>_xlfn.XLOOKUP(D193,'CODE FRS'!B:B,'CODE FRS'!C:C)</f>
        <v>PANKAJ KUMAR</v>
      </c>
      <c r="F193" s="30" t="s">
        <v>930</v>
      </c>
      <c r="G193" s="30">
        <v>36484</v>
      </c>
      <c r="H193" s="33">
        <v>30060</v>
      </c>
      <c r="I193" s="33">
        <v>284</v>
      </c>
      <c r="J193" s="33">
        <v>310</v>
      </c>
      <c r="K193" s="33">
        <f t="shared" ref="K193:K201" si="24">H193*J193</f>
        <v>9318600</v>
      </c>
      <c r="L193" s="33">
        <v>0</v>
      </c>
      <c r="M193" s="33">
        <f t="shared" ref="M193:M201" si="25">K193-L193</f>
        <v>9318600</v>
      </c>
      <c r="N193" s="30" t="str" cm="1">
        <f t="array" ref="N193">_xlfn.IFS(M193=0,"PAYE", M193&lt;0,"SURPLUS", K193=M193,"NON PAYE", TRUE,"PARTIEL")</f>
        <v>NON PAYE</v>
      </c>
      <c r="O193" s="34"/>
      <c r="P193" s="34" t="s">
        <v>55</v>
      </c>
      <c r="Q193" s="37" t="s">
        <v>164</v>
      </c>
    </row>
    <row r="194" spans="1:18" x14ac:dyDescent="0.35">
      <c r="A194" s="43">
        <v>46298</v>
      </c>
      <c r="B194" s="31"/>
      <c r="C194" s="36">
        <v>1191</v>
      </c>
      <c r="D194" s="31" t="s">
        <v>208</v>
      </c>
      <c r="E194" s="32" t="str">
        <f>_xlfn.XLOOKUP(D194,'CODE FRS'!B:B,'CODE FRS'!C:C)</f>
        <v>AHEGNI CASIMIR</v>
      </c>
      <c r="F194" s="30" t="s">
        <v>931</v>
      </c>
      <c r="G194" s="30">
        <v>36483</v>
      </c>
      <c r="H194" s="33">
        <v>47560</v>
      </c>
      <c r="I194" s="33">
        <v>481</v>
      </c>
      <c r="J194" s="33">
        <v>330</v>
      </c>
      <c r="K194" s="33">
        <f t="shared" si="24"/>
        <v>15694800</v>
      </c>
      <c r="L194" s="33">
        <v>0</v>
      </c>
      <c r="M194" s="33">
        <f t="shared" si="25"/>
        <v>15694800</v>
      </c>
      <c r="N194" s="30" t="str" cm="1">
        <f t="array" ref="N194">_xlfn.IFS(M194=0,"PAYE", M194&lt;0,"SURPLUS", K194=M194,"NON PAYE", TRUE,"PARTIEL")</f>
        <v>NON PAYE</v>
      </c>
      <c r="O194" s="34"/>
      <c r="P194" s="34" t="s">
        <v>55</v>
      </c>
      <c r="Q194" s="37" t="s">
        <v>164</v>
      </c>
    </row>
    <row r="195" spans="1:18" x14ac:dyDescent="0.35">
      <c r="A195" s="43">
        <v>46301</v>
      </c>
      <c r="B195" s="31"/>
      <c r="C195" s="36">
        <v>1192</v>
      </c>
      <c r="D195" s="31" t="s">
        <v>207</v>
      </c>
      <c r="E195" s="32" t="str">
        <f>_xlfn.XLOOKUP(D195,'CODE FRS'!B:B,'CODE FRS'!C:C)</f>
        <v>GBAGBE MATHIAS</v>
      </c>
      <c r="F195" s="30" t="s">
        <v>932</v>
      </c>
      <c r="G195" s="30">
        <v>36548</v>
      </c>
      <c r="H195" s="33">
        <v>19900</v>
      </c>
      <c r="I195" s="33">
        <v>194</v>
      </c>
      <c r="J195" s="33">
        <v>330</v>
      </c>
      <c r="K195" s="33">
        <f t="shared" si="24"/>
        <v>6567000</v>
      </c>
      <c r="L195" s="33">
        <v>0</v>
      </c>
      <c r="M195" s="33">
        <f t="shared" si="25"/>
        <v>6567000</v>
      </c>
      <c r="N195" s="30" t="str" cm="1">
        <f t="array" ref="N195">_xlfn.IFS(M195=0,"PAYE", M195&lt;0,"SURPLUS", K195=M195,"NON PAYE", TRUE,"PARTIEL")</f>
        <v>NON PAYE</v>
      </c>
      <c r="O195" s="34"/>
      <c r="P195" s="34" t="s">
        <v>55</v>
      </c>
      <c r="Q195" s="37" t="s">
        <v>164</v>
      </c>
    </row>
    <row r="196" spans="1:18" x14ac:dyDescent="0.35">
      <c r="A196" s="43">
        <v>46301</v>
      </c>
      <c r="B196" s="31"/>
      <c r="C196" s="36">
        <v>1193</v>
      </c>
      <c r="D196" s="31" t="s">
        <v>208</v>
      </c>
      <c r="E196" s="32" t="str">
        <f>_xlfn.XLOOKUP(D196,'CODE FRS'!B:B,'CODE FRS'!C:C)</f>
        <v>AHEGNI CASIMIR</v>
      </c>
      <c r="F196" s="30" t="s">
        <v>506</v>
      </c>
      <c r="G196" s="30">
        <v>36530</v>
      </c>
      <c r="H196" s="33">
        <v>28140</v>
      </c>
      <c r="I196" s="33">
        <v>340</v>
      </c>
      <c r="J196" s="33">
        <v>330</v>
      </c>
      <c r="K196" s="33">
        <f t="shared" si="24"/>
        <v>9286200</v>
      </c>
      <c r="L196" s="33">
        <v>0</v>
      </c>
      <c r="M196" s="33">
        <f t="shared" si="25"/>
        <v>9286200</v>
      </c>
      <c r="N196" s="30" t="str" cm="1">
        <f t="array" ref="N196">_xlfn.IFS(M196=0,"PAYE", M196&lt;0,"SURPLUS", K196=M196,"NON PAYE", TRUE,"PARTIEL")</f>
        <v>NON PAYE</v>
      </c>
      <c r="O196" s="34"/>
      <c r="P196" s="34" t="s">
        <v>55</v>
      </c>
      <c r="Q196" s="37" t="s">
        <v>164</v>
      </c>
    </row>
    <row r="197" spans="1:18" x14ac:dyDescent="0.35">
      <c r="A197" s="43">
        <v>46301</v>
      </c>
      <c r="B197" s="31"/>
      <c r="C197" s="36">
        <v>1194</v>
      </c>
      <c r="D197" s="31" t="s">
        <v>193</v>
      </c>
      <c r="E197" s="32" t="str">
        <f>_xlfn.XLOOKUP(D197,'CODE FRS'!B:B,'CODE FRS'!C:C)</f>
        <v>TCHANIGA SAMSON</v>
      </c>
      <c r="F197" s="30" t="s">
        <v>794</v>
      </c>
      <c r="G197" s="30">
        <v>36545</v>
      </c>
      <c r="H197" s="33">
        <v>51220</v>
      </c>
      <c r="I197" s="33">
        <v>504</v>
      </c>
      <c r="J197" s="33">
        <v>330</v>
      </c>
      <c r="K197" s="33">
        <f t="shared" si="24"/>
        <v>16902600</v>
      </c>
      <c r="L197" s="33">
        <v>0</v>
      </c>
      <c r="M197" s="33">
        <f t="shared" si="25"/>
        <v>16902600</v>
      </c>
      <c r="N197" s="30" t="str" cm="1">
        <f t="array" ref="N197">_xlfn.IFS(M197=0,"PAYE", M197&lt;0,"SURPLUS", K197=M197,"NON PAYE", TRUE,"PARTIEL")</f>
        <v>NON PAYE</v>
      </c>
      <c r="O197" s="34"/>
      <c r="P197" s="34" t="s">
        <v>55</v>
      </c>
      <c r="Q197" s="37" t="s">
        <v>164</v>
      </c>
    </row>
    <row r="198" spans="1:18" x14ac:dyDescent="0.35">
      <c r="A198" s="43">
        <v>46301</v>
      </c>
      <c r="B198" s="31"/>
      <c r="C198" s="36">
        <v>1195</v>
      </c>
      <c r="D198" s="31" t="s">
        <v>201</v>
      </c>
      <c r="E198" s="32" t="str">
        <f>_xlfn.XLOOKUP(D198,'CODE FRS'!B:B,'CODE FRS'!C:C)</f>
        <v>GOUDO DOSSOU ROMAIN</v>
      </c>
      <c r="F198" s="30" t="s">
        <v>933</v>
      </c>
      <c r="G198" s="30">
        <v>36531</v>
      </c>
      <c r="H198" s="33">
        <v>33460</v>
      </c>
      <c r="I198" s="33">
        <v>326</v>
      </c>
      <c r="J198" s="33">
        <v>310</v>
      </c>
      <c r="K198" s="33">
        <f t="shared" si="24"/>
        <v>10372600</v>
      </c>
      <c r="L198" s="33">
        <v>0</v>
      </c>
      <c r="M198" s="33">
        <f t="shared" si="25"/>
        <v>10372600</v>
      </c>
      <c r="N198" s="30" t="str" cm="1">
        <f t="array" ref="N198">_xlfn.IFS(M198=0,"PAYE", M198&lt;0,"SURPLUS", K198=M198,"NON PAYE", TRUE,"PARTIEL")</f>
        <v>NON PAYE</v>
      </c>
      <c r="O198" s="34"/>
      <c r="P198" s="34" t="s">
        <v>55</v>
      </c>
      <c r="Q198" s="37" t="s">
        <v>164</v>
      </c>
      <c r="R198" t="s">
        <v>952</v>
      </c>
    </row>
    <row r="199" spans="1:18" x14ac:dyDescent="0.35">
      <c r="A199" s="43">
        <v>46301</v>
      </c>
      <c r="B199" s="31"/>
      <c r="C199" s="36">
        <v>1196</v>
      </c>
      <c r="D199" s="31" t="s">
        <v>208</v>
      </c>
      <c r="E199" s="32" t="str">
        <f>_xlfn.XLOOKUP(D199,'CODE FRS'!B:B,'CODE FRS'!C:C)</f>
        <v>AHEGNI CASIMIR</v>
      </c>
      <c r="F199" s="30" t="s">
        <v>934</v>
      </c>
      <c r="G199" s="30">
        <v>36541</v>
      </c>
      <c r="H199" s="33">
        <v>50060</v>
      </c>
      <c r="I199" s="33">
        <v>476</v>
      </c>
      <c r="J199" s="33">
        <v>330</v>
      </c>
      <c r="K199" s="33">
        <f t="shared" si="24"/>
        <v>16519800</v>
      </c>
      <c r="L199" s="33">
        <v>0</v>
      </c>
      <c r="M199" s="33">
        <f t="shared" si="25"/>
        <v>16519800</v>
      </c>
      <c r="N199" s="30" t="str" cm="1">
        <f t="array" ref="N199">_xlfn.IFS(M199=0,"PAYE", M199&lt;0,"SURPLUS", K199=M199,"NON PAYE", TRUE,"PARTIEL")</f>
        <v>NON PAYE</v>
      </c>
      <c r="O199" s="34"/>
      <c r="P199" s="34" t="s">
        <v>55</v>
      </c>
      <c r="Q199" s="37" t="s">
        <v>164</v>
      </c>
    </row>
    <row r="200" spans="1:18" x14ac:dyDescent="0.35">
      <c r="A200" s="43">
        <v>46301</v>
      </c>
      <c r="B200" s="31"/>
      <c r="C200" s="36">
        <v>1197</v>
      </c>
      <c r="D200" s="31" t="s">
        <v>213</v>
      </c>
      <c r="E200" s="32" t="str">
        <f>_xlfn.XLOOKUP(D200,'CODE FRS'!B:B,'CODE FRS'!C:C)</f>
        <v>NOEL DOLEME</v>
      </c>
      <c r="F200" s="30" t="s">
        <v>865</v>
      </c>
      <c r="G200" s="30">
        <v>36543</v>
      </c>
      <c r="H200" s="33">
        <v>42820</v>
      </c>
      <c r="I200" s="33">
        <v>421</v>
      </c>
      <c r="J200" s="33">
        <v>310</v>
      </c>
      <c r="K200" s="33">
        <f t="shared" si="24"/>
        <v>13274200</v>
      </c>
      <c r="L200" s="33">
        <v>0</v>
      </c>
      <c r="M200" s="33">
        <f t="shared" si="25"/>
        <v>13274200</v>
      </c>
      <c r="N200" s="30" t="str" cm="1">
        <f t="array" ref="N200">_xlfn.IFS(M200=0,"PAYE", M200&lt;0,"SURPLUS", K200=M200,"NON PAYE", TRUE,"PARTIEL")</f>
        <v>NON PAYE</v>
      </c>
      <c r="O200" s="34"/>
      <c r="P200" s="34" t="s">
        <v>55</v>
      </c>
      <c r="Q200" s="37" t="s">
        <v>164</v>
      </c>
    </row>
    <row r="201" spans="1:18" x14ac:dyDescent="0.35">
      <c r="A201" s="43">
        <v>46301</v>
      </c>
      <c r="B201" s="31"/>
      <c r="C201" s="36">
        <v>1198</v>
      </c>
      <c r="D201" s="31" t="s">
        <v>193</v>
      </c>
      <c r="E201" s="32" t="str">
        <f>_xlfn.XLOOKUP(D201,'CODE FRS'!B:B,'CODE FRS'!C:C)</f>
        <v>TCHANIGA SAMSON</v>
      </c>
      <c r="F201" s="30" t="s">
        <v>935</v>
      </c>
      <c r="G201" s="30">
        <v>36544</v>
      </c>
      <c r="H201" s="33">
        <v>40020</v>
      </c>
      <c r="I201" s="33">
        <v>445</v>
      </c>
      <c r="J201" s="33">
        <v>330</v>
      </c>
      <c r="K201" s="33">
        <f t="shared" si="24"/>
        <v>13206600</v>
      </c>
      <c r="L201" s="33">
        <v>0</v>
      </c>
      <c r="M201" s="33">
        <f t="shared" si="25"/>
        <v>13206600</v>
      </c>
      <c r="N201" s="30" t="str" cm="1">
        <f t="array" ref="N201">_xlfn.IFS(M201=0,"PAYE", M201&lt;0,"SURPLUS", K201=M201,"NON PAYE", TRUE,"PARTIEL")</f>
        <v>NON PAYE</v>
      </c>
      <c r="O201" s="34"/>
      <c r="P201" s="34" t="s">
        <v>55</v>
      </c>
      <c r="Q201" s="37" t="s">
        <v>164</v>
      </c>
    </row>
    <row r="202" spans="1:18" x14ac:dyDescent="0.35">
      <c r="A202" s="43">
        <v>46302</v>
      </c>
      <c r="B202" s="31"/>
      <c r="C202" s="36">
        <v>1199</v>
      </c>
      <c r="D202" s="31" t="s">
        <v>339</v>
      </c>
      <c r="E202" s="32" t="str">
        <f>_xlfn.XLOOKUP(D202,'CODE FRS'!B:B,'CODE FRS'!C:C)</f>
        <v>HASSANE SEYNI</v>
      </c>
      <c r="F202" s="30" t="s">
        <v>434</v>
      </c>
      <c r="G202" s="30">
        <v>36547</v>
      </c>
      <c r="H202" s="33">
        <v>50060</v>
      </c>
      <c r="I202" s="33">
        <v>600</v>
      </c>
      <c r="J202" s="33">
        <v>330</v>
      </c>
      <c r="K202" s="33">
        <f t="shared" ref="K202:K210" si="26">H202*J202</f>
        <v>16519800</v>
      </c>
      <c r="L202" s="33">
        <v>0</v>
      </c>
      <c r="M202" s="33">
        <f t="shared" ref="M202:M210" si="27">K202-L202</f>
        <v>16519800</v>
      </c>
      <c r="N202" s="30" t="str" cm="1">
        <f t="array" ref="N202">_xlfn.IFS(M202=0,"PAYE", M202&lt;0,"SURPLUS", K202=M202,"NON PAYE", TRUE,"PARTIEL")</f>
        <v>NON PAYE</v>
      </c>
      <c r="O202" s="34"/>
      <c r="P202" s="34" t="s">
        <v>55</v>
      </c>
      <c r="Q202" s="37" t="s">
        <v>164</v>
      </c>
    </row>
    <row r="203" spans="1:18" x14ac:dyDescent="0.35">
      <c r="A203" s="43">
        <v>46302</v>
      </c>
      <c r="B203" s="31"/>
      <c r="C203" s="36">
        <v>1200</v>
      </c>
      <c r="D203" s="31" t="s">
        <v>208</v>
      </c>
      <c r="E203" s="32" t="str">
        <f>_xlfn.XLOOKUP(D203,'CODE FRS'!B:B,'CODE FRS'!C:C)</f>
        <v>AHEGNI CASIMIR</v>
      </c>
      <c r="F203" s="30" t="s">
        <v>307</v>
      </c>
      <c r="G203" s="30">
        <v>36549</v>
      </c>
      <c r="H203" s="33">
        <v>45460</v>
      </c>
      <c r="I203" s="33">
        <v>485</v>
      </c>
      <c r="J203" s="33">
        <v>330</v>
      </c>
      <c r="K203" s="33">
        <f t="shared" si="26"/>
        <v>15001800</v>
      </c>
      <c r="L203" s="33">
        <v>0</v>
      </c>
      <c r="M203" s="33">
        <f t="shared" si="27"/>
        <v>15001800</v>
      </c>
      <c r="N203" s="30" t="str" cm="1">
        <f t="array" ref="N203">_xlfn.IFS(M203=0,"PAYE", M203&lt;0,"SURPLUS", K203=M203,"NON PAYE", TRUE,"PARTIEL")</f>
        <v>NON PAYE</v>
      </c>
      <c r="O203" s="34"/>
      <c r="P203" s="34" t="s">
        <v>55</v>
      </c>
      <c r="Q203" s="37" t="s">
        <v>164</v>
      </c>
    </row>
    <row r="204" spans="1:18" x14ac:dyDescent="0.35">
      <c r="A204" s="43">
        <v>46305</v>
      </c>
      <c r="B204" s="31"/>
      <c r="C204" s="36">
        <v>1201</v>
      </c>
      <c r="D204" s="31" t="s">
        <v>193</v>
      </c>
      <c r="E204" s="32" t="str">
        <f>_xlfn.XLOOKUP(D204,'CODE FRS'!B:B,'CODE FRS'!C:C)</f>
        <v>TCHANIGA SAMSON</v>
      </c>
      <c r="F204" s="30" t="s">
        <v>304</v>
      </c>
      <c r="G204" s="30">
        <v>36667</v>
      </c>
      <c r="H204" s="33">
        <v>51020</v>
      </c>
      <c r="I204" s="33">
        <v>485</v>
      </c>
      <c r="J204" s="33">
        <v>330</v>
      </c>
      <c r="K204" s="33">
        <f t="shared" si="26"/>
        <v>16836600</v>
      </c>
      <c r="L204" s="33">
        <v>0</v>
      </c>
      <c r="M204" s="33">
        <f t="shared" si="27"/>
        <v>16836600</v>
      </c>
      <c r="N204" s="30" t="str" cm="1">
        <f t="array" ref="N204">_xlfn.IFS(M204=0,"PAYE", M204&lt;0,"SURPLUS", K204=M204,"NON PAYE", TRUE,"PARTIEL")</f>
        <v>NON PAYE</v>
      </c>
      <c r="O204" s="34"/>
      <c r="P204" s="34" t="s">
        <v>55</v>
      </c>
      <c r="Q204" s="37" t="s">
        <v>164</v>
      </c>
    </row>
    <row r="205" spans="1:18" x14ac:dyDescent="0.35">
      <c r="A205" s="43">
        <v>46305</v>
      </c>
      <c r="B205" s="31"/>
      <c r="C205" s="36">
        <v>1202</v>
      </c>
      <c r="D205" s="31" t="s">
        <v>193</v>
      </c>
      <c r="E205" s="32" t="str">
        <f>_xlfn.XLOOKUP(D205,'CODE FRS'!B:B,'CODE FRS'!C:C)</f>
        <v>TCHANIGA SAMSON</v>
      </c>
      <c r="F205" s="30" t="s">
        <v>936</v>
      </c>
      <c r="G205" s="30">
        <v>36672</v>
      </c>
      <c r="H205" s="33">
        <v>45940</v>
      </c>
      <c r="I205" s="33">
        <v>444</v>
      </c>
      <c r="J205" s="33">
        <v>340</v>
      </c>
      <c r="K205" s="33">
        <f t="shared" si="26"/>
        <v>15619600</v>
      </c>
      <c r="L205" s="33">
        <v>15724900</v>
      </c>
      <c r="M205" s="33">
        <f t="shared" si="27"/>
        <v>-105300</v>
      </c>
      <c r="N205" s="30" t="str" cm="1">
        <f t="array" ref="N205">_xlfn.IFS(M205=0,"PAYE", M205&lt;0,"SURPLUS", K205=M205,"NON PAYE", TRUE,"PARTIEL")</f>
        <v>SURPLUS</v>
      </c>
      <c r="O205" s="34"/>
      <c r="P205" s="34" t="s">
        <v>55</v>
      </c>
      <c r="Q205" s="37" t="s">
        <v>164</v>
      </c>
    </row>
    <row r="206" spans="1:18" x14ac:dyDescent="0.35">
      <c r="A206" s="43">
        <v>46305</v>
      </c>
      <c r="B206" s="31"/>
      <c r="C206" s="36">
        <v>1203</v>
      </c>
      <c r="D206" s="31" t="s">
        <v>937</v>
      </c>
      <c r="E206" s="32" t="str">
        <f>_xlfn.XLOOKUP(D206,'CODE FRS'!B:B,'CODE FRS'!C:C)</f>
        <v>ALEXANDRE</v>
      </c>
      <c r="F206" s="30" t="s">
        <v>939</v>
      </c>
      <c r="G206" s="30">
        <v>36668</v>
      </c>
      <c r="H206" s="33">
        <v>48900</v>
      </c>
      <c r="I206" s="33">
        <v>557</v>
      </c>
      <c r="J206" s="33">
        <v>330</v>
      </c>
      <c r="K206" s="33">
        <f t="shared" si="26"/>
        <v>16137000</v>
      </c>
      <c r="L206" s="33">
        <v>0</v>
      </c>
      <c r="M206" s="33">
        <f t="shared" si="27"/>
        <v>16137000</v>
      </c>
      <c r="N206" s="30" t="str" cm="1">
        <f t="array" ref="N206">_xlfn.IFS(M206=0,"PAYE", M206&lt;0,"SURPLUS", K206=M206,"NON PAYE", TRUE,"PARTIEL")</f>
        <v>NON PAYE</v>
      </c>
      <c r="O206" s="34"/>
      <c r="P206" s="34" t="s">
        <v>55</v>
      </c>
      <c r="Q206" s="37" t="s">
        <v>164</v>
      </c>
    </row>
    <row r="207" spans="1:18" x14ac:dyDescent="0.35">
      <c r="A207" s="43">
        <v>46307</v>
      </c>
      <c r="B207" s="31"/>
      <c r="C207" s="36">
        <v>1204</v>
      </c>
      <c r="D207" s="31" t="s">
        <v>213</v>
      </c>
      <c r="E207" s="32" t="str">
        <f>_xlfn.XLOOKUP(D207,'CODE FRS'!B:B,'CODE FRS'!C:C)</f>
        <v>NOEL DOLEME</v>
      </c>
      <c r="F207" s="30" t="s">
        <v>954</v>
      </c>
      <c r="G207" s="30">
        <v>36671</v>
      </c>
      <c r="H207" s="33">
        <v>36560</v>
      </c>
      <c r="I207" s="33">
        <v>443</v>
      </c>
      <c r="J207" s="33">
        <v>330</v>
      </c>
      <c r="K207" s="33">
        <f t="shared" si="26"/>
        <v>12064800</v>
      </c>
      <c r="L207" s="33">
        <v>0</v>
      </c>
      <c r="M207" s="33">
        <f t="shared" si="27"/>
        <v>12064800</v>
      </c>
      <c r="N207" s="30" t="str" cm="1">
        <f t="array" ref="N207">_xlfn.IFS(M207=0,"PAYE", M207&lt;0,"SURPLUS", K207=M207,"NON PAYE", TRUE,"PARTIEL")</f>
        <v>NON PAYE</v>
      </c>
      <c r="O207" s="34"/>
      <c r="P207" s="34" t="s">
        <v>55</v>
      </c>
      <c r="Q207" s="37" t="s">
        <v>164</v>
      </c>
    </row>
    <row r="208" spans="1:18" x14ac:dyDescent="0.35">
      <c r="A208" s="43">
        <v>46307</v>
      </c>
      <c r="B208" s="31"/>
      <c r="C208" s="36">
        <v>1205</v>
      </c>
      <c r="D208" s="31" t="s">
        <v>208</v>
      </c>
      <c r="E208" s="32" t="str">
        <f>_xlfn.XLOOKUP(D208,'CODE FRS'!B:B,'CODE FRS'!C:C)</f>
        <v>AHEGNI CASIMIR</v>
      </c>
      <c r="F208" s="30" t="s">
        <v>955</v>
      </c>
      <c r="G208" s="30">
        <v>36702</v>
      </c>
      <c r="H208" s="33">
        <v>51560</v>
      </c>
      <c r="I208" s="33">
        <v>522</v>
      </c>
      <c r="J208" s="33">
        <v>330</v>
      </c>
      <c r="K208" s="33">
        <f t="shared" si="26"/>
        <v>17014800</v>
      </c>
      <c r="L208" s="33">
        <v>0</v>
      </c>
      <c r="M208" s="33">
        <f t="shared" si="27"/>
        <v>17014800</v>
      </c>
      <c r="N208" s="30" t="str" cm="1">
        <f t="array" ref="N208">_xlfn.IFS(M208=0,"PAYE", M208&lt;0,"SURPLUS", K208=M208,"NON PAYE", TRUE,"PARTIEL")</f>
        <v>NON PAYE</v>
      </c>
      <c r="O208" s="34"/>
      <c r="P208" s="34" t="s">
        <v>55</v>
      </c>
      <c r="Q208" s="37" t="s">
        <v>164</v>
      </c>
    </row>
    <row r="209" spans="1:17" x14ac:dyDescent="0.35">
      <c r="A209" s="43">
        <v>46308</v>
      </c>
      <c r="B209" s="31"/>
      <c r="C209" s="36">
        <v>1206</v>
      </c>
      <c r="D209" s="31" t="s">
        <v>208</v>
      </c>
      <c r="E209" s="32" t="str">
        <f>_xlfn.XLOOKUP(D209,'CODE FRS'!B:B,'CODE FRS'!C:C)</f>
        <v>AHEGNI CASIMIR</v>
      </c>
      <c r="F209" s="30" t="s">
        <v>715</v>
      </c>
      <c r="G209" s="30">
        <v>36711</v>
      </c>
      <c r="H209" s="33">
        <v>50660</v>
      </c>
      <c r="I209" s="33">
        <v>535</v>
      </c>
      <c r="J209" s="33">
        <v>330</v>
      </c>
      <c r="K209" s="33">
        <f t="shared" si="26"/>
        <v>16717800</v>
      </c>
      <c r="L209" s="33">
        <v>0</v>
      </c>
      <c r="M209" s="33">
        <f t="shared" si="27"/>
        <v>16717800</v>
      </c>
      <c r="N209" s="30" t="str" cm="1">
        <f t="array" ref="N209">_xlfn.IFS(M209=0,"PAYE", M209&lt;0,"SURPLUS", K209=M209,"NON PAYE", TRUE,"PARTIEL")</f>
        <v>NON PAYE</v>
      </c>
      <c r="O209" s="34"/>
      <c r="P209" s="34" t="s">
        <v>55</v>
      </c>
      <c r="Q209" s="37" t="s">
        <v>164</v>
      </c>
    </row>
    <row r="210" spans="1:17" x14ac:dyDescent="0.35">
      <c r="A210" s="43">
        <v>46308</v>
      </c>
      <c r="B210" s="31"/>
      <c r="C210" s="36">
        <v>1207</v>
      </c>
      <c r="D210" s="31" t="s">
        <v>193</v>
      </c>
      <c r="E210" s="32" t="str">
        <f>_xlfn.XLOOKUP(D210,'CODE FRS'!B:B,'CODE FRS'!C:C)</f>
        <v>TCHANIGA SAMSON</v>
      </c>
      <c r="F210" s="30" t="s">
        <v>956</v>
      </c>
      <c r="G210" s="30">
        <v>36738</v>
      </c>
      <c r="H210" s="33">
        <v>39800</v>
      </c>
      <c r="I210" s="33">
        <v>450</v>
      </c>
      <c r="J210" s="33">
        <v>330</v>
      </c>
      <c r="K210" s="33">
        <f t="shared" si="26"/>
        <v>13134000</v>
      </c>
      <c r="L210" s="33">
        <v>0</v>
      </c>
      <c r="M210" s="33">
        <f t="shared" si="27"/>
        <v>13134000</v>
      </c>
      <c r="N210" s="30" t="str" cm="1">
        <f t="array" ref="N210">_xlfn.IFS(M210=0,"PAYE", M210&lt;0,"SURPLUS", K210=M210,"NON PAYE", TRUE,"PARTIEL")</f>
        <v>NON PAYE</v>
      </c>
      <c r="O210" s="34"/>
      <c r="P210" s="34" t="s">
        <v>55</v>
      </c>
      <c r="Q210" s="37" t="s">
        <v>164</v>
      </c>
    </row>
    <row r="219" spans="1:17" x14ac:dyDescent="0.35">
      <c r="M219" s="67"/>
    </row>
  </sheetData>
  <conditionalFormatting sqref="G1:G1048576">
    <cfRule type="duplicateValues" dxfId="6" priority="1"/>
    <cfRule type="duplicateValues" dxfId="5" priority="2"/>
    <cfRule type="duplicateValues" dxfId="4" priority="3"/>
  </conditionalFormatting>
  <conditionalFormatting sqref="N5:P210">
    <cfRule type="cellIs" dxfId="3" priority="5" operator="equal">
      <formula>"PAYE"</formula>
    </cfRule>
    <cfRule type="cellIs" dxfId="2" priority="6" operator="equal">
      <formula>"PARTIEL"</formula>
    </cfRule>
    <cfRule type="cellIs" dxfId="1" priority="7" operator="equal">
      <formula>"NON PAYE"</formula>
    </cfRule>
  </conditionalFormatting>
  <pageMargins left="0.3" right="0.3" top="0.4" bottom="0.4" header="0.511811023622047" footer="0.511811023622047"/>
  <pageSetup scale="38" fitToHeight="0" orientation="landscape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5">
    <tabColor rgb="FF7030A0"/>
    <pageSetUpPr fitToPage="1"/>
  </sheetPr>
  <dimension ref="C1:N50"/>
  <sheetViews>
    <sheetView showGridLines="0" topLeftCell="C1" zoomScale="85" zoomScaleNormal="85" workbookViewId="0">
      <pane ySplit="4" topLeftCell="A19" activePane="bottomLeft" state="frozen"/>
      <selection pane="bottomLeft" activeCell="G23" sqref="G23"/>
    </sheetView>
  </sheetViews>
  <sheetFormatPr baseColWidth="10" defaultColWidth="8.6328125" defaultRowHeight="14.5" x14ac:dyDescent="0.35"/>
  <cols>
    <col min="3" max="3" width="14.1796875" bestFit="1" customWidth="1"/>
    <col min="4" max="4" width="36.26953125" customWidth="1"/>
    <col min="5" max="5" width="18" bestFit="1" customWidth="1"/>
    <col min="6" max="6" width="12.36328125" bestFit="1" customWidth="1"/>
    <col min="7" max="7" width="22.1796875" bestFit="1" customWidth="1"/>
    <col min="8" max="8" width="20.453125" customWidth="1"/>
    <col min="9" max="9" width="24.1796875" customWidth="1"/>
    <col min="10" max="10" width="22.08984375" customWidth="1"/>
    <col min="11" max="11" width="24.1796875" customWidth="1"/>
    <col min="12" max="12" width="15.90625" customWidth="1"/>
  </cols>
  <sheetData>
    <row r="1" spans="3:14" ht="42" customHeight="1" x14ac:dyDescent="0.35">
      <c r="C1" s="74" t="s">
        <v>29</v>
      </c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3:14" ht="18" customHeight="1" x14ac:dyDescent="0.35"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3:14" s="41" customFormat="1" ht="31.5" customHeight="1" x14ac:dyDescent="0.35">
      <c r="E3" s="68">
        <f>SUBTOTAL(9,Table3[Nb BC Passes])</f>
        <v>264</v>
      </c>
      <c r="F3" s="68">
        <f>SUBTOTAL(9,Table3[Nb rejet])</f>
        <v>21</v>
      </c>
      <c r="G3" s="68">
        <f>SUBTOTAL(9,Table3[Nb Camions Livres])</f>
        <v>196</v>
      </c>
      <c r="H3" s="69">
        <f>SUBTOTAL(9,Table3[Poids Net Livre (KG)])</f>
        <v>8351330</v>
      </c>
      <c r="I3" s="70">
        <f>SUBTOTAL(9,Table3[Montant Total Du (FCFA)])</f>
        <v>2777189670</v>
      </c>
      <c r="J3" s="71">
        <f>SUBTOTAL(9,Table3[Montant Paye (FCFA)])</f>
        <v>2281277696</v>
      </c>
      <c r="K3" s="72">
        <f>SUBTOTAL(9,Table3[Solde Restant Du (FCFA)])</f>
        <v>495911974</v>
      </c>
      <c r="L3" s="73"/>
    </row>
    <row r="4" spans="3:14" ht="31.5" customHeight="1" x14ac:dyDescent="0.35">
      <c r="C4" s="13" t="s">
        <v>263</v>
      </c>
      <c r="D4" s="14" t="s">
        <v>12</v>
      </c>
      <c r="E4" s="6" t="s">
        <v>30</v>
      </c>
      <c r="F4" s="6" t="s">
        <v>229</v>
      </c>
      <c r="G4" s="6" t="s">
        <v>31</v>
      </c>
      <c r="H4" s="6" t="s">
        <v>32</v>
      </c>
      <c r="I4" s="6" t="s">
        <v>33</v>
      </c>
      <c r="J4" s="6" t="s">
        <v>34</v>
      </c>
      <c r="K4" s="6" t="s">
        <v>35</v>
      </c>
      <c r="L4" s="15" t="s">
        <v>36</v>
      </c>
    </row>
    <row r="5" spans="3:14" ht="20.5" customHeight="1" x14ac:dyDescent="0.35">
      <c r="C5" s="12" t="str">
        <f>'CODE FRS'!B4</f>
        <v>FRS00001</v>
      </c>
      <c r="D5" s="5" t="str">
        <f>_xlfn.XLOOKUP(C5,'CODE FRS'!B:B,'CODE FRS'!C:C)</f>
        <v>TCHANIGA SAMSON</v>
      </c>
      <c r="E5" s="2">
        <f>COUNTIF('Bons de Commande'!E:E,Table3[[#This Row],[Code FRS]])</f>
        <v>34</v>
      </c>
      <c r="F5" s="2">
        <f>COUNTIFS(Table1[Statut Livraison],"REJETE",Table1[Fournisseur],Table3[[#This Row],[Fournisseur]])</f>
        <v>3</v>
      </c>
      <c r="G5" s="2">
        <f>COUNTIF('Commandes Dechargees'!D:D,Table3[[#This Row],[Code FRS]])</f>
        <v>30</v>
      </c>
      <c r="H5" s="4">
        <f>SUMIFS('Commandes Dechargees'!H:H,'Commandes Dechargees'!D:D,Table3[[#This Row],[Code FRS]])</f>
        <v>1295520</v>
      </c>
      <c r="I5" s="4">
        <f>SUMIFS('Commandes Dechargees'!K:K,'Commandes Dechargees'!D:D,Table3[[#This Row],[Code FRS]])</f>
        <v>430744800</v>
      </c>
      <c r="J5" s="4">
        <f>SUMIFS('Commandes Dechargees'!L:L,'Commandes Dechargees'!D:D,Table3[[#This Row],[Code FRS]])</f>
        <v>351979900</v>
      </c>
      <c r="K5" s="4">
        <f t="shared" ref="K5:K26" si="0">I5-J5</f>
        <v>78764900</v>
      </c>
      <c r="L5" s="16">
        <f t="shared" ref="L5:L28" si="1">IFERROR(J5/I5,0)</f>
        <v>0.81714254008405907</v>
      </c>
    </row>
    <row r="6" spans="3:14" ht="20.5" customHeight="1" x14ac:dyDescent="0.35">
      <c r="C6" s="12" t="str">
        <f>'CODE FRS'!B5</f>
        <v>FRS00002</v>
      </c>
      <c r="D6" s="5" t="str">
        <f>_xlfn.XLOOKUP(C6,'CODE FRS'!B:B,'CODE FRS'!C:C)</f>
        <v>ISMAEL WASSIOU/ Mme ELISABETH</v>
      </c>
      <c r="E6" s="2">
        <f>COUNTIF('Bons de Commande'!E:E,Table3[[#This Row],[Code FRS]])</f>
        <v>4</v>
      </c>
      <c r="F6" s="2">
        <f>COUNTIFS(Table1[Statut Livraison],"REJETE",Table1[Fournisseur],Table3[[#This Row],[Fournisseur]])</f>
        <v>0</v>
      </c>
      <c r="G6" s="2">
        <f>COUNTIF('Commandes Dechargees'!D:D,Table3[[#This Row],[Code FRS]])</f>
        <v>5</v>
      </c>
      <c r="H6" s="4">
        <f>SUMIFS('Commandes Dechargees'!H:H,'Commandes Dechargees'!D:D,Table3[[#This Row],[Code FRS]])</f>
        <v>245800</v>
      </c>
      <c r="I6" s="4">
        <f>SUMIFS('Commandes Dechargees'!K:K,'Commandes Dechargees'!D:D,Table3[[#This Row],[Code FRS]])</f>
        <v>80122800</v>
      </c>
      <c r="J6" s="4">
        <f>SUMIFS('Commandes Dechargees'!L:L,'Commandes Dechargees'!D:D,Table3[[#This Row],[Code FRS]])</f>
        <v>32835000</v>
      </c>
      <c r="K6" s="4">
        <f t="shared" si="0"/>
        <v>47287800</v>
      </c>
      <c r="L6" s="16">
        <f t="shared" si="1"/>
        <v>0.40980844403840105</v>
      </c>
    </row>
    <row r="7" spans="3:14" ht="20.5" customHeight="1" x14ac:dyDescent="0.35">
      <c r="C7" s="12" t="str">
        <f>'CODE FRS'!B6</f>
        <v>FRS00003</v>
      </c>
      <c r="D7" s="5" t="str">
        <f>_xlfn.XLOOKUP(C7,'CODE FRS'!B:B,'CODE FRS'!C:C)</f>
        <v>BADAROU SAID</v>
      </c>
      <c r="E7" s="2">
        <f>COUNTIF('Bons de Commande'!E:E,Table3[[#This Row],[Code FRS]])</f>
        <v>14</v>
      </c>
      <c r="F7" s="2">
        <f>COUNTIFS(Table1[Statut Livraison],"REJETE",Table1[Fournisseur],Table3[[#This Row],[Fournisseur]])</f>
        <v>3</v>
      </c>
      <c r="G7" s="2">
        <f>COUNTIF('Commandes Dechargees'!D:D,Table3[[#This Row],[Code FRS]])</f>
        <v>7</v>
      </c>
      <c r="H7" s="4">
        <f>SUMIFS('Commandes Dechargees'!H:H,'Commandes Dechargees'!D:D,Table3[[#This Row],[Code FRS]])</f>
        <v>255560</v>
      </c>
      <c r="I7" s="4">
        <f>SUMIFS('Commandes Dechargees'!K:K,'Commandes Dechargees'!D:D,Table3[[#This Row],[Code FRS]])</f>
        <v>86911100</v>
      </c>
      <c r="J7" s="4">
        <f>SUMIFS('Commandes Dechargees'!L:L,'Commandes Dechargees'!D:D,Table3[[#This Row],[Code FRS]])</f>
        <v>86911100</v>
      </c>
      <c r="K7" s="4">
        <f t="shared" si="0"/>
        <v>0</v>
      </c>
      <c r="L7" s="16">
        <f t="shared" si="1"/>
        <v>1</v>
      </c>
    </row>
    <row r="8" spans="3:14" ht="20.5" customHeight="1" x14ac:dyDescent="0.35">
      <c r="C8" s="12" t="str">
        <f>'CODE FRS'!B7</f>
        <v>FRS00004</v>
      </c>
      <c r="D8" s="5" t="str">
        <f>_xlfn.XLOOKUP(C8,'CODE FRS'!B:B,'CODE FRS'!C:C)</f>
        <v>ISMAEL WASSIOU</v>
      </c>
      <c r="E8" s="2">
        <f>COUNTIF('Bons de Commande'!E:E,Table3[[#This Row],[Code FRS]])</f>
        <v>17</v>
      </c>
      <c r="F8" s="2">
        <f>COUNTIFS(Table1[Statut Livraison],"REJETE",Table1[Fournisseur],Table3[[#This Row],[Fournisseur]])</f>
        <v>1</v>
      </c>
      <c r="G8" s="2">
        <f>COUNTIF('Commandes Dechargees'!D:D,Table3[[#This Row],[Code FRS]])</f>
        <v>10</v>
      </c>
      <c r="H8" s="4">
        <f>SUMIFS('Commandes Dechargees'!H:H,'Commandes Dechargees'!D:D,Table3[[#This Row],[Code FRS]])</f>
        <v>496700</v>
      </c>
      <c r="I8" s="4">
        <f>SUMIFS('Commandes Dechargees'!K:K,'Commandes Dechargees'!D:D,Table3[[#This Row],[Code FRS]])</f>
        <v>167423000</v>
      </c>
      <c r="J8" s="4">
        <f>SUMIFS('Commandes Dechargees'!L:L,'Commandes Dechargees'!D:D,Table3[[#This Row],[Code FRS]])</f>
        <v>167423000</v>
      </c>
      <c r="K8" s="4">
        <f t="shared" si="0"/>
        <v>0</v>
      </c>
      <c r="L8" s="16">
        <f t="shared" si="1"/>
        <v>1</v>
      </c>
    </row>
    <row r="9" spans="3:14" ht="20.5" customHeight="1" x14ac:dyDescent="0.35">
      <c r="C9" s="12" t="str">
        <f>'CODE FRS'!B8</f>
        <v>FRS00005</v>
      </c>
      <c r="D9" s="5" t="str">
        <f>_xlfn.XLOOKUP(C9,'CODE FRS'!B:B,'CODE FRS'!C:C)</f>
        <v>ALLASSANE MARWANE</v>
      </c>
      <c r="E9" s="2">
        <f>COUNTIF('Bons de Commande'!E:E,Table3[[#This Row],[Code FRS]])</f>
        <v>2</v>
      </c>
      <c r="F9" s="2">
        <f>COUNTIFS(Table1[Statut Livraison],"REJETE",Table1[Fournisseur],Table3[[#This Row],[Fournisseur]])</f>
        <v>1</v>
      </c>
      <c r="G9" s="2">
        <f>COUNTIF('Commandes Dechargees'!D:D,Table3[[#This Row],[Code FRS]])</f>
        <v>1</v>
      </c>
      <c r="H9" s="4">
        <f>SUMIFS('Commandes Dechargees'!H:H,'Commandes Dechargees'!D:D,Table3[[#This Row],[Code FRS]])</f>
        <v>46060</v>
      </c>
      <c r="I9" s="4">
        <f>SUMIFS('Commandes Dechargees'!K:K,'Commandes Dechargees'!D:D,Table3[[#This Row],[Code FRS]])</f>
        <v>15199800</v>
      </c>
      <c r="J9" s="4">
        <f>SUMIFS('Commandes Dechargees'!L:L,'Commandes Dechargees'!D:D,Table3[[#This Row],[Code FRS]])</f>
        <v>15199800</v>
      </c>
      <c r="K9" s="4">
        <f t="shared" si="0"/>
        <v>0</v>
      </c>
      <c r="L9" s="16">
        <f t="shared" si="1"/>
        <v>1</v>
      </c>
    </row>
    <row r="10" spans="3:14" ht="20.5" customHeight="1" x14ac:dyDescent="0.35">
      <c r="C10" s="12" t="str">
        <f>'CODE FRS'!B9</f>
        <v>FRS00006</v>
      </c>
      <c r="D10" s="5" t="str">
        <f>_xlfn.XLOOKUP(C10,'CODE FRS'!B:B,'CODE FRS'!C:C)</f>
        <v>VLAVONOU PIERRE</v>
      </c>
      <c r="E10" s="2">
        <f>COUNTIF('Bons de Commande'!E:E,Table3[[#This Row],[Code FRS]])</f>
        <v>10</v>
      </c>
      <c r="F10" s="2">
        <f>COUNTIFS(Table1[Statut Livraison],"REJETE",Table1[Fournisseur],Table3[[#This Row],[Fournisseur]])</f>
        <v>0</v>
      </c>
      <c r="G10" s="2">
        <f>COUNTIF('Commandes Dechargees'!D:D,Table3[[#This Row],[Code FRS]])</f>
        <v>9</v>
      </c>
      <c r="H10" s="4">
        <f>SUMIFS('Commandes Dechargees'!H:H,'Commandes Dechargees'!D:D,Table3[[#This Row],[Code FRS]])</f>
        <v>387900</v>
      </c>
      <c r="I10" s="4">
        <f>SUMIFS('Commandes Dechargees'!K:K,'Commandes Dechargees'!D:D,Table3[[#This Row],[Code FRS]])</f>
        <v>128912500</v>
      </c>
      <c r="J10" s="4">
        <f>SUMIFS('Commandes Dechargees'!L:L,'Commandes Dechargees'!D:D,Table3[[#This Row],[Code FRS]])</f>
        <v>116186706</v>
      </c>
      <c r="K10" s="4">
        <f t="shared" si="0"/>
        <v>12725794</v>
      </c>
      <c r="L10" s="16">
        <f t="shared" si="1"/>
        <v>0.90128347522544361</v>
      </c>
    </row>
    <row r="11" spans="3:14" ht="20.5" customHeight="1" x14ac:dyDescent="0.35">
      <c r="C11" s="12" t="str">
        <f>'CODE FRS'!B10</f>
        <v>FRS00007</v>
      </c>
      <c r="D11" s="5" t="str">
        <f>_xlfn.XLOOKUP(C11,'CODE FRS'!B:B,'CODE FRS'!C:C)</f>
        <v>BRISSO BIO ALIDOU</v>
      </c>
      <c r="E11" s="2">
        <f>COUNTIF('Bons de Commande'!E:E,Table3[[#This Row],[Code FRS]])</f>
        <v>3</v>
      </c>
      <c r="F11" s="2">
        <f>COUNTIFS(Table1[Statut Livraison],"REJETE",Table1[Fournisseur],Table3[[#This Row],[Fournisseur]])</f>
        <v>2</v>
      </c>
      <c r="G11" s="2">
        <f>COUNTIF('Commandes Dechargees'!D:D,Table3[[#This Row],[Code FRS]])</f>
        <v>0</v>
      </c>
      <c r="H11" s="4">
        <f>SUMIFS('Commandes Dechargees'!H:H,'Commandes Dechargees'!D:D,Table3[[#This Row],[Code FRS]])</f>
        <v>0</v>
      </c>
      <c r="I11" s="4">
        <f>SUMIFS('Commandes Dechargees'!K:K,'Commandes Dechargees'!D:D,Table3[[#This Row],[Code FRS]])</f>
        <v>0</v>
      </c>
      <c r="J11" s="4">
        <f>SUMIFS('Commandes Dechargees'!L:L,'Commandes Dechargees'!D:D,Table3[[#This Row],[Code FRS]])</f>
        <v>0</v>
      </c>
      <c r="K11" s="4">
        <f t="shared" si="0"/>
        <v>0</v>
      </c>
      <c r="L11" s="16">
        <f t="shared" si="1"/>
        <v>0</v>
      </c>
    </row>
    <row r="12" spans="3:14" ht="20.5" customHeight="1" x14ac:dyDescent="0.35">
      <c r="C12" s="12" t="str">
        <f>'CODE FRS'!B11</f>
        <v>FRS00008</v>
      </c>
      <c r="D12" s="5" t="str">
        <f>_xlfn.XLOOKUP(C12,'CODE FRS'!B:B,'CODE FRS'!C:C)</f>
        <v>HERVE KOBOLOU</v>
      </c>
      <c r="E12" s="2">
        <f>COUNTIF('Bons de Commande'!E:E,Table3[[#This Row],[Code FRS]])</f>
        <v>1</v>
      </c>
      <c r="F12" s="2">
        <f>COUNTIFS(Table1[Statut Livraison],"REJETE",Table1[Fournisseur],Table3[[#This Row],[Fournisseur]])</f>
        <v>0</v>
      </c>
      <c r="G12" s="2">
        <f>COUNTIF('Commandes Dechargees'!D:D,Table3[[#This Row],[Code FRS]])</f>
        <v>1</v>
      </c>
      <c r="H12" s="4">
        <f>SUMIFS('Commandes Dechargees'!H:H,'Commandes Dechargees'!D:D,Table3[[#This Row],[Code FRS]])</f>
        <v>49400</v>
      </c>
      <c r="I12" s="4">
        <f>SUMIFS('Commandes Dechargees'!K:K,'Commandes Dechargees'!D:D,Table3[[#This Row],[Code FRS]])</f>
        <v>16302000</v>
      </c>
      <c r="J12" s="4">
        <f>SUMIFS('Commandes Dechargees'!L:L,'Commandes Dechargees'!D:D,Table3[[#This Row],[Code FRS]])</f>
        <v>16202000</v>
      </c>
      <c r="K12" s="4">
        <f t="shared" si="0"/>
        <v>100000</v>
      </c>
      <c r="L12" s="16">
        <f t="shared" si="1"/>
        <v>0.99386578333946751</v>
      </c>
    </row>
    <row r="13" spans="3:14" ht="20.5" customHeight="1" x14ac:dyDescent="0.35">
      <c r="C13" s="12" t="str">
        <f>'CODE FRS'!B12</f>
        <v>FRS00009</v>
      </c>
      <c r="D13" s="5" t="str">
        <f>_xlfn.XLOOKUP(C13,'CODE FRS'!B:B,'CODE FRS'!C:C)</f>
        <v>GOUDO DOSSOU ROMAIN</v>
      </c>
      <c r="E13" s="2">
        <f>COUNTIF('Bons de Commande'!E:E,Table3[[#This Row],[Code FRS]])</f>
        <v>9</v>
      </c>
      <c r="F13" s="2">
        <f>COUNTIFS(Table1[Statut Livraison],"REJETE",Table1[Fournisseur],Table3[[#This Row],[Fournisseur]])</f>
        <v>3</v>
      </c>
      <c r="G13" s="2">
        <f>COUNTIF('Commandes Dechargees'!D:D,Table3[[#This Row],[Code FRS]])</f>
        <v>8</v>
      </c>
      <c r="H13" s="4">
        <f>SUMIFS('Commandes Dechargees'!H:H,'Commandes Dechargees'!D:D,Table3[[#This Row],[Code FRS]])</f>
        <v>292760</v>
      </c>
      <c r="I13" s="4">
        <f>SUMIFS('Commandes Dechargees'!K:K,'Commandes Dechargees'!D:D,Table3[[#This Row],[Code FRS]])</f>
        <v>96793100</v>
      </c>
      <c r="J13" s="4">
        <f>SUMIFS('Commandes Dechargees'!L:L,'Commandes Dechargees'!D:D,Table3[[#This Row],[Code FRS]])</f>
        <v>85807300</v>
      </c>
      <c r="K13" s="4">
        <f t="shared" si="0"/>
        <v>10985800</v>
      </c>
      <c r="L13" s="16">
        <f t="shared" si="1"/>
        <v>0.88650224034564451</v>
      </c>
    </row>
    <row r="14" spans="3:14" ht="20.5" customHeight="1" x14ac:dyDescent="0.35">
      <c r="C14" s="12" t="str">
        <f>'CODE FRS'!B13</f>
        <v>FRS00010</v>
      </c>
      <c r="D14" s="5" t="str">
        <f>_xlfn.XLOOKUP(C14,'CODE FRS'!B:B,'CODE FRS'!C:C)</f>
        <v>COMLAN MAHOUSSE JOSPIN</v>
      </c>
      <c r="E14" s="2">
        <f>COUNTIF('Bons de Commande'!E:E,Table3[[#This Row],[Code FRS]])</f>
        <v>6</v>
      </c>
      <c r="F14" s="2">
        <f>COUNTIFS(Table1[Statut Livraison],"REJETE",Table1[Fournisseur],Table3[[#This Row],[Fournisseur]])</f>
        <v>2</v>
      </c>
      <c r="G14" s="2">
        <f>COUNTIF('Commandes Dechargees'!D:D,Table3[[#This Row],[Code FRS]])</f>
        <v>2</v>
      </c>
      <c r="H14" s="4">
        <f>SUMIFS('Commandes Dechargees'!H:H,'Commandes Dechargees'!D:D,Table3[[#This Row],[Code FRS]])</f>
        <v>91460</v>
      </c>
      <c r="I14" s="4">
        <f>SUMIFS('Commandes Dechargees'!K:K,'Commandes Dechargees'!D:D,Table3[[#This Row],[Code FRS]])</f>
        <v>30406800</v>
      </c>
      <c r="J14" s="4">
        <f>SUMIFS('Commandes Dechargees'!L:L,'Commandes Dechargees'!D:D,Table3[[#This Row],[Code FRS]])</f>
        <v>30406800</v>
      </c>
      <c r="K14" s="4">
        <f t="shared" si="0"/>
        <v>0</v>
      </c>
      <c r="L14" s="16">
        <f t="shared" si="1"/>
        <v>1</v>
      </c>
    </row>
    <row r="15" spans="3:14" ht="20.5" customHeight="1" x14ac:dyDescent="0.35">
      <c r="C15" s="12" t="str">
        <f>'CODE FRS'!B14</f>
        <v>FRS00011</v>
      </c>
      <c r="D15" s="5" t="str">
        <f>_xlfn.XLOOKUP(C15,'CODE FRS'!B:B,'CODE FRS'!C:C)</f>
        <v>CHIGBLO FERDINAND</v>
      </c>
      <c r="E15" s="2">
        <f>COUNTIF('Bons de Commande'!E:E,Table3[[#This Row],[Code FRS]])</f>
        <v>11</v>
      </c>
      <c r="F15" s="2">
        <f>COUNTIFS(Table1[Statut Livraison],"REJETE",Table1[Fournisseur],Table3[[#This Row],[Fournisseur]])</f>
        <v>2</v>
      </c>
      <c r="G15" s="2">
        <f>COUNTIF('Commandes Dechargees'!D:D,Table3[[#This Row],[Code FRS]])</f>
        <v>6</v>
      </c>
      <c r="H15" s="4">
        <f>SUMIFS('Commandes Dechargees'!H:H,'Commandes Dechargees'!D:D,Table3[[#This Row],[Code FRS]])</f>
        <v>236340</v>
      </c>
      <c r="I15" s="4">
        <f>SUMIFS('Commandes Dechargees'!K:K,'Commandes Dechargees'!D:D,Table3[[#This Row],[Code FRS]])</f>
        <v>78187200</v>
      </c>
      <c r="J15" s="4">
        <f>SUMIFS('Commandes Dechargees'!L:L,'Commandes Dechargees'!D:D,Table3[[#This Row],[Code FRS]])</f>
        <v>73408800</v>
      </c>
      <c r="K15" s="4">
        <f t="shared" si="0"/>
        <v>4778400</v>
      </c>
      <c r="L15" s="16">
        <f t="shared" si="1"/>
        <v>0.93888513720915956</v>
      </c>
    </row>
    <row r="16" spans="3:14" ht="20.5" customHeight="1" x14ac:dyDescent="0.35">
      <c r="C16" s="12" t="str">
        <f>'CODE FRS'!B15</f>
        <v>FRS00012</v>
      </c>
      <c r="D16" s="5" t="str">
        <f>_xlfn.XLOOKUP(C16,'CODE FRS'!B:B,'CODE FRS'!C:C)</f>
        <v>ROLAND ADANHONDJI</v>
      </c>
      <c r="E16" s="2">
        <f>COUNTIF('Bons de Commande'!E:E,Table3[[#This Row],[Code FRS]])</f>
        <v>2</v>
      </c>
      <c r="F16" s="2">
        <f>COUNTIFS(Table1[Statut Livraison],"REJETE",Table1[Fournisseur],Table3[[#This Row],[Fournisseur]])</f>
        <v>1</v>
      </c>
      <c r="G16" s="2">
        <f>COUNTIF('Commandes Dechargees'!D:D,Table3[[#This Row],[Code FRS]])</f>
        <v>0</v>
      </c>
      <c r="H16" s="4">
        <f>SUMIFS('Commandes Dechargees'!H:H,'Commandes Dechargees'!D:D,Table3[[#This Row],[Code FRS]])</f>
        <v>0</v>
      </c>
      <c r="I16" s="4">
        <f>SUMIFS('Commandes Dechargees'!K:K,'Commandes Dechargees'!D:D,Table3[[#This Row],[Code FRS]])</f>
        <v>0</v>
      </c>
      <c r="J16" s="4">
        <f>SUMIFS('Commandes Dechargees'!L:L,'Commandes Dechargees'!D:D,Table3[[#This Row],[Code FRS]])</f>
        <v>0</v>
      </c>
      <c r="K16" s="4">
        <f t="shared" si="0"/>
        <v>0</v>
      </c>
      <c r="L16" s="16">
        <f t="shared" si="1"/>
        <v>0</v>
      </c>
    </row>
    <row r="17" spans="3:12" ht="20.5" customHeight="1" x14ac:dyDescent="0.35">
      <c r="C17" s="12" t="str">
        <f>'CODE FRS'!B16</f>
        <v>FRS00013</v>
      </c>
      <c r="D17" s="5" t="str">
        <f>_xlfn.XLOOKUP(C17,'CODE FRS'!B:B,'CODE FRS'!C:C)</f>
        <v>MENSAH DANIEL JOEL</v>
      </c>
      <c r="E17" s="2">
        <f>COUNTIF('Bons de Commande'!E:E,Table3[[#This Row],[Code FRS]])</f>
        <v>1</v>
      </c>
      <c r="F17" s="2">
        <f>COUNTIFS(Table1[Statut Livraison],"REJETE",Table1[Fournisseur],Table3[[#This Row],[Fournisseur]])</f>
        <v>0</v>
      </c>
      <c r="G17" s="2">
        <f>COUNTIF('Commandes Dechargees'!D:D,Table3[[#This Row],[Code FRS]])</f>
        <v>1</v>
      </c>
      <c r="H17" s="4">
        <f>SUMIFS('Commandes Dechargees'!H:H,'Commandes Dechargees'!D:D,Table3[[#This Row],[Code FRS]])</f>
        <v>45300</v>
      </c>
      <c r="I17" s="4">
        <f>SUMIFS('Commandes Dechargees'!K:K,'Commandes Dechargees'!D:D,Table3[[#This Row],[Code FRS]])</f>
        <v>15175500</v>
      </c>
      <c r="J17" s="4">
        <f>SUMIFS('Commandes Dechargees'!L:L,'Commandes Dechargees'!D:D,Table3[[#This Row],[Code FRS]])</f>
        <v>15175500</v>
      </c>
      <c r="K17" s="4">
        <f t="shared" si="0"/>
        <v>0</v>
      </c>
      <c r="L17" s="16">
        <f t="shared" si="1"/>
        <v>1</v>
      </c>
    </row>
    <row r="18" spans="3:12" ht="20.5" customHeight="1" x14ac:dyDescent="0.35">
      <c r="C18" s="12" t="str">
        <f>'CODE FRS'!B17</f>
        <v>FRS00014</v>
      </c>
      <c r="D18" s="5" t="str">
        <f>_xlfn.XLOOKUP(C18,'CODE FRS'!B:B,'CODE FRS'!C:C)</f>
        <v>FIOGBE</v>
      </c>
      <c r="E18" s="2">
        <f>COUNTIF('Bons de Commande'!E:E,Table3[[#This Row],[Code FRS]])</f>
        <v>2</v>
      </c>
      <c r="F18" s="2">
        <f>COUNTIFS(Table1[Statut Livraison],"REJETE",Table1[Fournisseur],Table3[[#This Row],[Fournisseur]])</f>
        <v>1</v>
      </c>
      <c r="G18" s="2">
        <f>COUNTIF('Commandes Dechargees'!D:D,Table3[[#This Row],[Code FRS]])</f>
        <v>0</v>
      </c>
      <c r="H18" s="4">
        <f>SUMIFS('Commandes Dechargees'!H:H,'Commandes Dechargees'!D:D,Table3[[#This Row],[Code FRS]])</f>
        <v>0</v>
      </c>
      <c r="I18" s="4">
        <f>SUMIFS('Commandes Dechargees'!K:K,'Commandes Dechargees'!D:D,Table3[[#This Row],[Code FRS]])</f>
        <v>0</v>
      </c>
      <c r="J18" s="4">
        <f>SUMIFS('Commandes Dechargees'!L:L,'Commandes Dechargees'!D:D,Table3[[#This Row],[Code FRS]])</f>
        <v>0</v>
      </c>
      <c r="K18" s="4">
        <f t="shared" si="0"/>
        <v>0</v>
      </c>
      <c r="L18" s="16">
        <f t="shared" si="1"/>
        <v>0</v>
      </c>
    </row>
    <row r="19" spans="3:12" ht="20.5" customHeight="1" x14ac:dyDescent="0.35">
      <c r="C19" s="12" t="str">
        <f>'CODE FRS'!B18</f>
        <v>FRS00015</v>
      </c>
      <c r="D19" s="5" t="str">
        <f>_xlfn.XLOOKUP(C19,'CODE FRS'!B:B,'CODE FRS'!C:C)</f>
        <v>GBAGBE MATHIAS</v>
      </c>
      <c r="E19" s="2">
        <f>COUNTIF('Bons de Commande'!E:E,Table3[[#This Row],[Code FRS]])</f>
        <v>7</v>
      </c>
      <c r="F19" s="2">
        <f>COUNTIFS(Table1[Statut Livraison],"REJETE",Table1[Fournisseur],Table3[[#This Row],[Fournisseur]])</f>
        <v>0</v>
      </c>
      <c r="G19" s="2">
        <f>COUNTIF('Commandes Dechargees'!D:D,Table3[[#This Row],[Code FRS]])</f>
        <v>5</v>
      </c>
      <c r="H19" s="4">
        <f>SUMIFS('Commandes Dechargees'!H:H,'Commandes Dechargees'!D:D,Table3[[#This Row],[Code FRS]])</f>
        <v>205200</v>
      </c>
      <c r="I19" s="4">
        <f>SUMIFS('Commandes Dechargees'!K:K,'Commandes Dechargees'!D:D,Table3[[#This Row],[Code FRS]])</f>
        <v>68491360</v>
      </c>
      <c r="J19" s="4">
        <f>SUMIFS('Commandes Dechargees'!L:L,'Commandes Dechargees'!D:D,Table3[[#This Row],[Code FRS]])</f>
        <v>61924200</v>
      </c>
      <c r="K19" s="4">
        <f t="shared" si="0"/>
        <v>6567160</v>
      </c>
      <c r="L19" s="16">
        <f t="shared" si="1"/>
        <v>0.90411695723372987</v>
      </c>
    </row>
    <row r="20" spans="3:12" ht="20.5" customHeight="1" x14ac:dyDescent="0.35">
      <c r="C20" s="12" t="str">
        <f>'CODE FRS'!B19</f>
        <v>FRS00016</v>
      </c>
      <c r="D20" s="5" t="str">
        <f>_xlfn.XLOOKUP(C20,'CODE FRS'!B:B,'CODE FRS'!C:C)</f>
        <v>AHEGNI CASIMIR</v>
      </c>
      <c r="E20" s="2">
        <f>COUNTIF('Bons de Commande'!E:E,Table3[[#This Row],[Code FRS]])</f>
        <v>28</v>
      </c>
      <c r="F20" s="2">
        <f>COUNTIFS(Table1[Statut Livraison],"REJETE",Table1[Fournisseur],Table3[[#This Row],[Fournisseur]])</f>
        <v>0</v>
      </c>
      <c r="G20" s="2">
        <f>COUNTIF('Commandes Dechargees'!D:D,Table3[[#This Row],[Code FRS]])</f>
        <v>24</v>
      </c>
      <c r="H20" s="4">
        <f>SUMIFS('Commandes Dechargees'!H:H,'Commandes Dechargees'!D:D,Table3[[#This Row],[Code FRS]])</f>
        <v>1013480</v>
      </c>
      <c r="I20" s="4">
        <f>SUMIFS('Commandes Dechargees'!K:K,'Commandes Dechargees'!D:D,Table3[[#This Row],[Code FRS]])</f>
        <v>341270200</v>
      </c>
      <c r="J20" s="4">
        <f>SUMIFS('Commandes Dechargees'!L:L,'Commandes Dechargees'!D:D,Table3[[#This Row],[Code FRS]])</f>
        <v>241941200</v>
      </c>
      <c r="K20" s="4">
        <f t="shared" si="0"/>
        <v>99329000</v>
      </c>
      <c r="L20" s="16">
        <f t="shared" si="1"/>
        <v>0.70894323618059829</v>
      </c>
    </row>
    <row r="21" spans="3:12" ht="20.5" customHeight="1" x14ac:dyDescent="0.35">
      <c r="C21" s="12" t="str">
        <f>'CODE FRS'!B20</f>
        <v>FRS00017</v>
      </c>
      <c r="D21" s="5" t="str">
        <f>_xlfn.XLOOKUP(C21,'CODE FRS'!B:B,'CODE FRS'!C:C)</f>
        <v>AHOSSI GABIN</v>
      </c>
      <c r="E21" s="2">
        <f>COUNTIF('Bons de Commande'!E:E,Table3[[#This Row],[Code FRS]])</f>
        <v>2</v>
      </c>
      <c r="F21" s="2">
        <f>COUNTIFS(Table1[Statut Livraison],"REJETE",Table1[Fournisseur],Table3[[#This Row],[Fournisseur]])</f>
        <v>0</v>
      </c>
      <c r="G21" s="2">
        <f>COUNTIF('Commandes Dechargees'!D:D,Table3[[#This Row],[Code FRS]])</f>
        <v>4</v>
      </c>
      <c r="H21" s="4">
        <f>SUMIFS('Commandes Dechargees'!H:H,'Commandes Dechargees'!D:D,Table3[[#This Row],[Code FRS]])</f>
        <v>127240</v>
      </c>
      <c r="I21" s="4">
        <f>SUMIFS('Commandes Dechargees'!K:K,'Commandes Dechargees'!D:D,Table3[[#This Row],[Code FRS]])</f>
        <v>41389000</v>
      </c>
      <c r="J21" s="4">
        <f>SUMIFS('Commandes Dechargees'!L:L,'Commandes Dechargees'!D:D,Table3[[#This Row],[Code FRS]])</f>
        <v>28803000</v>
      </c>
      <c r="K21" s="4">
        <f t="shared" si="0"/>
        <v>12586000</v>
      </c>
      <c r="L21" s="16">
        <f t="shared" si="1"/>
        <v>0.69590954118243975</v>
      </c>
    </row>
    <row r="22" spans="3:12" ht="20.5" customHeight="1" x14ac:dyDescent="0.35">
      <c r="C22" s="12" t="str">
        <f>'CODE FRS'!B21</f>
        <v>FRS00018</v>
      </c>
      <c r="D22" s="5" t="str">
        <f>_xlfn.XLOOKUP(C22,'CODE FRS'!B:B,'CODE FRS'!C:C)</f>
        <v>ODOUTAN OLANIRAN HAMED</v>
      </c>
      <c r="E22" s="2">
        <f>COUNTIF('Bons de Commande'!E:E,Table3[[#This Row],[Code FRS]])</f>
        <v>1</v>
      </c>
      <c r="F22" s="2">
        <f>COUNTIFS(Table1[Statut Livraison],"REJETE",Table1[Fournisseur],Table3[[#This Row],[Fournisseur]])</f>
        <v>1</v>
      </c>
      <c r="G22" s="2">
        <f>COUNTIF('Commandes Dechargees'!D:D,Table3[[#This Row],[Code FRS]])</f>
        <v>0</v>
      </c>
      <c r="H22" s="4">
        <f>SUMIFS('Commandes Dechargees'!H:H,'Commandes Dechargees'!D:D,Table3[[#This Row],[Code FRS]])</f>
        <v>0</v>
      </c>
      <c r="I22" s="4">
        <f>SUMIFS('Commandes Dechargees'!K:K,'Commandes Dechargees'!D:D,Table3[[#This Row],[Code FRS]])</f>
        <v>0</v>
      </c>
      <c r="J22" s="4">
        <f>SUMIFS('Commandes Dechargees'!L:L,'Commandes Dechargees'!D:D,Table3[[#This Row],[Code FRS]])</f>
        <v>0</v>
      </c>
      <c r="K22" s="4">
        <f t="shared" si="0"/>
        <v>0</v>
      </c>
      <c r="L22" s="16">
        <f t="shared" si="1"/>
        <v>0</v>
      </c>
    </row>
    <row r="23" spans="3:12" ht="20.5" customHeight="1" x14ac:dyDescent="0.35">
      <c r="C23" s="12" t="str">
        <f>'CODE FRS'!B22</f>
        <v>FRS00019</v>
      </c>
      <c r="D23" s="5" t="str">
        <f>_xlfn.XLOOKUP(C23,'CODE FRS'!B:B,'CODE FRS'!C:C)</f>
        <v>GOUNOU ELISABETH</v>
      </c>
      <c r="E23" s="2">
        <f>COUNTIF('Bons de Commande'!E:E,Table3[[#This Row],[Code FRS]])</f>
        <v>4</v>
      </c>
      <c r="F23" s="2">
        <f>COUNTIFS(Table1[Statut Livraison],"REJETE",Table1[Fournisseur],Table3[[#This Row],[Fournisseur]])</f>
        <v>0</v>
      </c>
      <c r="G23" s="2">
        <f>COUNTIF('Commandes Dechargees'!D:D,Table3[[#This Row],[Code FRS]])</f>
        <v>3</v>
      </c>
      <c r="H23" s="4">
        <f>SUMIFS('Commandes Dechargees'!H:H,'Commandes Dechargees'!D:D,Table3[[#This Row],[Code FRS]])</f>
        <v>148080</v>
      </c>
      <c r="I23" s="4">
        <f>SUMIFS('Commandes Dechargees'!K:K,'Commandes Dechargees'!D:D,Table3[[#This Row],[Code FRS]])</f>
        <v>49360800</v>
      </c>
      <c r="J23" s="4">
        <f>SUMIFS('Commandes Dechargees'!L:L,'Commandes Dechargees'!D:D,Table3[[#This Row],[Code FRS]])</f>
        <v>49530800</v>
      </c>
      <c r="K23" s="4">
        <f>I23-J23</f>
        <v>-170000</v>
      </c>
      <c r="L23" s="16">
        <f t="shared" si="1"/>
        <v>1.0034440284598305</v>
      </c>
    </row>
    <row r="24" spans="3:12" ht="20.5" customHeight="1" x14ac:dyDescent="0.35">
      <c r="C24" s="12" t="str">
        <f>'CODE FRS'!B23</f>
        <v>FRS00020</v>
      </c>
      <c r="D24" s="5" t="str">
        <f>_xlfn.XLOOKUP(C24,'CODE FRS'!B:B,'CODE FRS'!C:C)</f>
        <v>DOSSA MATHURIN</v>
      </c>
      <c r="E24" s="2">
        <f>COUNTIF('Bons de Commande'!E:E,Table3[[#This Row],[Code FRS]])</f>
        <v>13</v>
      </c>
      <c r="F24" s="2">
        <f>COUNTIFS(Table1[Statut Livraison],"REJETE",Table1[Fournisseur],Table3[[#This Row],[Fournisseur]])</f>
        <v>0</v>
      </c>
      <c r="G24" s="2">
        <f>COUNTIF('Commandes Dechargees'!D:D,Table3[[#This Row],[Code FRS]])</f>
        <v>8</v>
      </c>
      <c r="H24" s="4">
        <f>SUMIFS('Commandes Dechargees'!H:H,'Commandes Dechargees'!D:D,Table3[[#This Row],[Code FRS]])</f>
        <v>345380</v>
      </c>
      <c r="I24" s="4">
        <f>SUMIFS('Commandes Dechargees'!K:K,'Commandes Dechargees'!D:D,Table3[[#This Row],[Code FRS]])</f>
        <v>115313700</v>
      </c>
      <c r="J24" s="4">
        <f>SUMIFS('Commandes Dechargees'!L:L,'Commandes Dechargees'!D:D,Table3[[#This Row],[Code FRS]])</f>
        <v>72896000</v>
      </c>
      <c r="K24" s="4">
        <f t="shared" si="0"/>
        <v>42417700</v>
      </c>
      <c r="L24" s="16">
        <f t="shared" si="1"/>
        <v>0.6321538550926733</v>
      </c>
    </row>
    <row r="25" spans="3:12" ht="20.5" customHeight="1" x14ac:dyDescent="0.35">
      <c r="C25" s="12" t="str">
        <f>'CODE FRS'!B24</f>
        <v>FRS00021</v>
      </c>
      <c r="D25" s="5" t="str">
        <f>_xlfn.XLOOKUP(C25,'CODE FRS'!B:B,'CODE FRS'!C:C)</f>
        <v>NOEL DOLEME</v>
      </c>
      <c r="E25" s="2">
        <f>COUNTIF('Bons de Commande'!E:E,Table3[[#This Row],[Code FRS]])</f>
        <v>17</v>
      </c>
      <c r="F25" s="2">
        <f>COUNTIFS(Table1[Statut Livraison],"REJETE",Table1[Fournisseur],Table3[[#This Row],[Fournisseur]])</f>
        <v>0</v>
      </c>
      <c r="G25" s="2">
        <f>COUNTIF('Commandes Dechargees'!D:D,Table3[[#This Row],[Code FRS]])</f>
        <v>16</v>
      </c>
      <c r="H25" s="4">
        <f>SUMIFS('Commandes Dechargees'!H:H,'Commandes Dechargees'!D:D,Table3[[#This Row],[Code FRS]])</f>
        <v>648400</v>
      </c>
      <c r="I25" s="4">
        <f>SUMIFS('Commandes Dechargees'!K:K,'Commandes Dechargees'!D:D,Table3[[#This Row],[Code FRS]])</f>
        <v>212862520</v>
      </c>
      <c r="J25" s="4">
        <f>SUMIFS('Commandes Dechargees'!L:L,'Commandes Dechargees'!D:D,Table3[[#This Row],[Code FRS]])</f>
        <v>159137740</v>
      </c>
      <c r="K25" s="4">
        <f t="shared" si="0"/>
        <v>53724780</v>
      </c>
      <c r="L25" s="16">
        <f t="shared" si="1"/>
        <v>0.74760808055828709</v>
      </c>
    </row>
    <row r="26" spans="3:12" ht="20.5" customHeight="1" x14ac:dyDescent="0.35">
      <c r="C26" s="12" t="str">
        <f>'CODE FRS'!B25</f>
        <v>FRS00022</v>
      </c>
      <c r="D26" s="5" t="str">
        <f>_xlfn.XLOOKUP(C26,'CODE FRS'!B:B,'CODE FRS'!C:C)</f>
        <v>DAA-HINGBANON VIRGILE</v>
      </c>
      <c r="E26" s="2">
        <f>COUNTIF('Bons de Commande'!E:E,Table3[[#This Row],[Code FRS]])</f>
        <v>6</v>
      </c>
      <c r="F26" s="2">
        <f>COUNTIFS(Table1[Statut Livraison],"REJETE",Table1[Fournisseur],Table3[[#This Row],[Fournisseur]])</f>
        <v>0</v>
      </c>
      <c r="G26" s="2">
        <f>COUNTIF('Commandes Dechargees'!D:D,Table3[[#This Row],[Code FRS]])</f>
        <v>4</v>
      </c>
      <c r="H26" s="4">
        <f>SUMIFS('Commandes Dechargees'!H:H,'Commandes Dechargees'!D:D,Table3[[#This Row],[Code FRS]])</f>
        <v>146540</v>
      </c>
      <c r="I26" s="4">
        <f>SUMIFS('Commandes Dechargees'!K:K,'Commandes Dechargees'!D:D,Table3[[#This Row],[Code FRS]])</f>
        <v>49090900</v>
      </c>
      <c r="J26" s="4">
        <f>SUMIFS('Commandes Dechargees'!L:L,'Commandes Dechargees'!D:D,Table3[[#This Row],[Code FRS]])</f>
        <v>49090900</v>
      </c>
      <c r="K26" s="4">
        <f t="shared" si="0"/>
        <v>0</v>
      </c>
      <c r="L26" s="16">
        <f t="shared" si="1"/>
        <v>1</v>
      </c>
    </row>
    <row r="27" spans="3:12" ht="20.5" customHeight="1" x14ac:dyDescent="0.35">
      <c r="C27" s="12" t="str">
        <f>'CODE FRS'!B26</f>
        <v>FRS00023</v>
      </c>
      <c r="D27" s="5" t="str">
        <f>_xlfn.XLOOKUP(C27,'CODE FRS'!B:B,'CODE FRS'!C:C)</f>
        <v>FAGRO SOUROU GILDAS</v>
      </c>
      <c r="E27" s="2">
        <f>COUNTIF('Bons de Commande'!E:E,Table3[[#This Row],[Code FRS]])</f>
        <v>3</v>
      </c>
      <c r="F27" s="2">
        <f>COUNTIFS(Table1[Statut Livraison],"REJETE",Table1[Fournisseur],Table3[[#This Row],[Fournisseur]])</f>
        <v>0</v>
      </c>
      <c r="G27" s="2">
        <f>COUNTIF('Commandes Dechargees'!D:D,Table3[[#This Row],[Code FRS]])</f>
        <v>0</v>
      </c>
      <c r="H27" s="4">
        <f>SUMIFS('Commandes Dechargees'!H:H,'Commandes Dechargees'!D:D,Table3[[#This Row],[Code FRS]])</f>
        <v>0</v>
      </c>
      <c r="I27" s="4">
        <f>SUMIFS('Commandes Dechargees'!K:K,'Commandes Dechargees'!D:D,Table3[[#This Row],[Code FRS]])</f>
        <v>0</v>
      </c>
      <c r="J27" s="4">
        <f>SUMIFS('Commandes Dechargees'!L:L,'Commandes Dechargees'!D:D,Table3[[#This Row],[Code FRS]])</f>
        <v>0</v>
      </c>
      <c r="K27" s="4">
        <f>I27-J27</f>
        <v>0</v>
      </c>
      <c r="L27" s="16">
        <f t="shared" si="1"/>
        <v>0</v>
      </c>
    </row>
    <row r="28" spans="3:12" ht="20.5" customHeight="1" x14ac:dyDescent="0.35">
      <c r="C28" s="12" t="str">
        <f>'CODE FRS'!B27</f>
        <v>FRS00024</v>
      </c>
      <c r="D28" s="5" t="str">
        <f>_xlfn.XLOOKUP(C28,'CODE FRS'!B:B,'CODE FRS'!C:C)</f>
        <v>MOISE YENAFO</v>
      </c>
      <c r="E28" s="2">
        <f>COUNTIF('Bons de Commande'!E:E,Table3[[#This Row],[Code FRS]])</f>
        <v>3</v>
      </c>
      <c r="F28" s="2">
        <f>COUNTIFS(Table1[Statut Livraison],"REJETE",Table1[Fournisseur],Table3[[#This Row],[Fournisseur]])</f>
        <v>0</v>
      </c>
      <c r="G28" s="2">
        <f>COUNTIF('Commandes Dechargees'!D:D,Table3[[#This Row],[Code FRS]])</f>
        <v>4</v>
      </c>
      <c r="H28" s="4">
        <f>SUMIFS('Commandes Dechargees'!H:H,'Commandes Dechargees'!D:D,Table3[[#This Row],[Code FRS]])</f>
        <v>145700</v>
      </c>
      <c r="I28" s="4">
        <f>SUMIFS('Commandes Dechargees'!K:K,'Commandes Dechargees'!D:D,Table3[[#This Row],[Code FRS]])</f>
        <v>48081000</v>
      </c>
      <c r="J28" s="4">
        <f>SUMIFS('Commandes Dechargees'!L:L,'Commandes Dechargees'!D:D,Table3[[#This Row],[Code FRS]])</f>
        <v>48081000</v>
      </c>
      <c r="K28" s="4">
        <f>I28-J28</f>
        <v>0</v>
      </c>
      <c r="L28" s="16">
        <f t="shared" si="1"/>
        <v>1</v>
      </c>
    </row>
    <row r="29" spans="3:12" ht="20.5" customHeight="1" x14ac:dyDescent="0.35">
      <c r="C29" s="12" t="str">
        <f>'CODE FRS'!B28</f>
        <v>FRS00025</v>
      </c>
      <c r="D29" s="5" t="str">
        <f>_xlfn.XLOOKUP(C29,'CODE FRS'!B:B,'CODE FRS'!C:C)</f>
        <v>ASSOGBA LEON</v>
      </c>
      <c r="E29" s="2">
        <f>COUNTIF('Bons de Commande'!E:E,Table3[[#This Row],[Code FRS]])</f>
        <v>5</v>
      </c>
      <c r="F29" s="2">
        <f>COUNTIFS(Table1[Statut Livraison],"REJETE",Table1[Fournisseur],Table3[[#This Row],[Fournisseur]])</f>
        <v>1</v>
      </c>
      <c r="G29" s="2">
        <f>COUNTIF('Commandes Dechargees'!D:D,Table3[[#This Row],[Code FRS]])</f>
        <v>1</v>
      </c>
      <c r="H29" s="4">
        <f>SUMIFS('Commandes Dechargees'!H:H,'Commandes Dechargees'!D:D,Table3[[#This Row],[Code FRS]])</f>
        <v>43340</v>
      </c>
      <c r="I29" s="4">
        <f>SUMIFS('Commandes Dechargees'!K:K,'Commandes Dechargees'!D:D,Table3[[#This Row],[Code FRS]])</f>
        <v>14302200</v>
      </c>
      <c r="J29" s="4">
        <f>SUMIFS('Commandes Dechargees'!L:L,'Commandes Dechargees'!D:D,Table3[[#This Row],[Code FRS]])</f>
        <v>14302200</v>
      </c>
      <c r="K29" s="4">
        <f t="shared" ref="K29:K33" si="2">I29-J29</f>
        <v>0</v>
      </c>
      <c r="L29" s="16">
        <f t="shared" ref="L29:L33" si="3">IFERROR(J29/I29,0)</f>
        <v>1</v>
      </c>
    </row>
    <row r="30" spans="3:12" ht="20.5" customHeight="1" x14ac:dyDescent="0.35">
      <c r="C30" s="12" t="str">
        <f>'CODE FRS'!B29</f>
        <v>FRS00026</v>
      </c>
      <c r="D30" s="5" t="str">
        <f>_xlfn.XLOOKUP(C30,'CODE FRS'!B:B,'CODE FRS'!C:C)</f>
        <v>AZOGA ARMAND</v>
      </c>
      <c r="E30" s="2">
        <f>COUNTIF('Bons de Commande'!E:E,Table3[[#This Row],[Code FRS]])</f>
        <v>9</v>
      </c>
      <c r="F30" s="2">
        <f>COUNTIFS(Table1[Statut Livraison],"REJETE",Table1[Fournisseur],Table3[[#This Row],[Fournisseur]])</f>
        <v>0</v>
      </c>
      <c r="G30" s="2">
        <f>COUNTIF('Commandes Dechargees'!D:D,Table3[[#This Row],[Code FRS]])</f>
        <v>9</v>
      </c>
      <c r="H30" s="4">
        <f>SUMIFS('Commandes Dechargees'!H:H,'Commandes Dechargees'!D:D,Table3[[#This Row],[Code FRS]])</f>
        <v>414680</v>
      </c>
      <c r="I30" s="4">
        <f>SUMIFS('Commandes Dechargees'!K:K,'Commandes Dechargees'!D:D,Table3[[#This Row],[Code FRS]])</f>
        <v>137245560</v>
      </c>
      <c r="J30" s="4">
        <f>SUMIFS('Commandes Dechargees'!L:L,'Commandes Dechargees'!D:D,Table3[[#This Row],[Code FRS]])</f>
        <v>66592560</v>
      </c>
      <c r="K30" s="4">
        <f t="shared" si="2"/>
        <v>70653000</v>
      </c>
      <c r="L30" s="16">
        <f t="shared" si="3"/>
        <v>0.48520739031557741</v>
      </c>
    </row>
    <row r="31" spans="3:12" ht="20.5" customHeight="1" x14ac:dyDescent="0.35">
      <c r="C31" s="12" t="str">
        <f>'CODE FRS'!B30</f>
        <v>FRS00027</v>
      </c>
      <c r="D31" s="5" t="str">
        <f>_xlfn.XLOOKUP(C31,'CODE FRS'!B:B,'CODE FRS'!C:C)</f>
        <v>EDKO BUSINESS/ KOGNANNOU EDMOND</v>
      </c>
      <c r="E31" s="2">
        <f>COUNTIF('Bons de Commande'!E:E,Table3[[#This Row],[Code FRS]])</f>
        <v>1</v>
      </c>
      <c r="F31" s="2">
        <f>COUNTIFS(Table1[Statut Livraison],"REJETE",Table1[Fournisseur],Table3[[#This Row],[Fournisseur]])</f>
        <v>0</v>
      </c>
      <c r="G31" s="2">
        <f>COUNTIF('Commandes Dechargees'!D:D,Table3[[#This Row],[Code FRS]])</f>
        <v>0</v>
      </c>
      <c r="H31" s="4">
        <f>SUMIFS('Commandes Dechargees'!H:H,'Commandes Dechargees'!D:D,Table3[[#This Row],[Code FRS]])</f>
        <v>0</v>
      </c>
      <c r="I31" s="4">
        <f>SUMIFS('Commandes Dechargees'!K:K,'Commandes Dechargees'!D:D,Table3[[#This Row],[Code FRS]])</f>
        <v>0</v>
      </c>
      <c r="J31" s="4">
        <f>SUMIFS('Commandes Dechargees'!L:L,'Commandes Dechargees'!D:D,Table3[[#This Row],[Code FRS]])</f>
        <v>0</v>
      </c>
      <c r="K31" s="4">
        <f t="shared" si="2"/>
        <v>0</v>
      </c>
      <c r="L31" s="16">
        <f t="shared" si="3"/>
        <v>0</v>
      </c>
    </row>
    <row r="32" spans="3:12" ht="20.5" customHeight="1" x14ac:dyDescent="0.35">
      <c r="C32" s="12" t="str">
        <f>'CODE FRS'!B31</f>
        <v>FRS00028</v>
      </c>
      <c r="D32" s="5" t="str">
        <f>_xlfn.XLOOKUP(C32,'CODE FRS'!B:B,'CODE FRS'!C:C)</f>
        <v>TCHANIGA LEONARD</v>
      </c>
      <c r="E32" s="2">
        <f>COUNTIF('Bons de Commande'!E:E,Table3[[#This Row],[Code FRS]])</f>
        <v>1</v>
      </c>
      <c r="F32" s="2">
        <f>COUNTIFS(Table1[Statut Livraison],"REJETE",Table1[Fournisseur],Table3[[#This Row],[Fournisseur]])</f>
        <v>0</v>
      </c>
      <c r="G32" s="2">
        <f>COUNTIF('Commandes Dechargees'!D:D,Table3[[#This Row],[Code FRS]])</f>
        <v>2</v>
      </c>
      <c r="H32" s="4">
        <f>SUMIFS('Commandes Dechargees'!H:H,'Commandes Dechargees'!D:D,Table3[[#This Row],[Code FRS]])</f>
        <v>88840</v>
      </c>
      <c r="I32" s="4">
        <f>SUMIFS('Commandes Dechargees'!K:K,'Commandes Dechargees'!D:D,Table3[[#This Row],[Code FRS]])</f>
        <v>29761400</v>
      </c>
      <c r="J32" s="4">
        <f>SUMIFS('Commandes Dechargees'!L:L,'Commandes Dechargees'!D:D,Table3[[#This Row],[Code FRS]])</f>
        <v>29761400</v>
      </c>
      <c r="K32" s="4">
        <f t="shared" si="2"/>
        <v>0</v>
      </c>
      <c r="L32" s="16">
        <f t="shared" si="3"/>
        <v>1</v>
      </c>
    </row>
    <row r="33" spans="3:12" ht="20.5" customHeight="1" x14ac:dyDescent="0.35">
      <c r="C33" s="12" t="str">
        <f>'CODE FRS'!B32</f>
        <v>FRS00029</v>
      </c>
      <c r="D33" s="5" t="str">
        <f>_xlfn.XLOOKUP(C33,'CODE FRS'!B:B,'CODE FRS'!C:C)</f>
        <v>AMAH SEIDOU</v>
      </c>
      <c r="E33" s="2">
        <f>COUNTIF('Bons de Commande'!E:E,Table3[[#This Row],[Code FRS]])</f>
        <v>1</v>
      </c>
      <c r="F33" s="2">
        <f>COUNTIFS(Table1[Statut Livraison],"REJETE",Table1[Fournisseur],Table3[[#This Row],[Fournisseur]])</f>
        <v>0</v>
      </c>
      <c r="G33" s="2">
        <f>COUNTIF('Commandes Dechargees'!D:D,Table3[[#This Row],[Code FRS]])</f>
        <v>0</v>
      </c>
      <c r="H33" s="4">
        <f>SUMIFS('Commandes Dechargees'!H:H,'Commandes Dechargees'!D:D,Table3[[#This Row],[Code FRS]])</f>
        <v>0</v>
      </c>
      <c r="I33" s="4">
        <f>SUMIFS('Commandes Dechargees'!K:K,'Commandes Dechargees'!D:D,Table3[[#This Row],[Code FRS]])</f>
        <v>0</v>
      </c>
      <c r="J33" s="4">
        <f>SUMIFS('Commandes Dechargees'!L:L,'Commandes Dechargees'!D:D,Table3[[#This Row],[Code FRS]])</f>
        <v>0</v>
      </c>
      <c r="K33" s="4">
        <f t="shared" si="2"/>
        <v>0</v>
      </c>
      <c r="L33" s="16">
        <f t="shared" si="3"/>
        <v>0</v>
      </c>
    </row>
    <row r="34" spans="3:12" ht="20.5" customHeight="1" x14ac:dyDescent="0.35">
      <c r="C34" s="12" t="str">
        <f>'CODE FRS'!B33</f>
        <v>FRS00030</v>
      </c>
      <c r="D34" s="5" t="str">
        <f>_xlfn.XLOOKUP(C34,'CODE FRS'!B:B,'CODE FRS'!C:C)</f>
        <v>ATACLE STEPHANE</v>
      </c>
      <c r="E34" s="2">
        <f>COUNTIF('Bons de Commande'!E:E,Table3[[#This Row],[Code FRS]])</f>
        <v>1</v>
      </c>
      <c r="F34" s="2">
        <f>COUNTIFS(Table1[Statut Livraison],"REJETE",Table1[Fournisseur],Table3[[#This Row],[Fournisseur]])</f>
        <v>0</v>
      </c>
      <c r="G34" s="2">
        <f>COUNTIF('Commandes Dechargees'!D:D,Table3[[#This Row],[Code FRS]])</f>
        <v>0</v>
      </c>
      <c r="H34" s="4">
        <f>SUMIFS('Commandes Dechargees'!H:H,'Commandes Dechargees'!D:D,Table3[[#This Row],[Code FRS]])</f>
        <v>0</v>
      </c>
      <c r="I34" s="4">
        <f>SUMIFS('Commandes Dechargees'!K:K,'Commandes Dechargees'!D:D,Table3[[#This Row],[Code FRS]])</f>
        <v>0</v>
      </c>
      <c r="J34" s="4">
        <f>SUMIFS('Commandes Dechargees'!L:L,'Commandes Dechargees'!D:D,Table3[[#This Row],[Code FRS]])</f>
        <v>0</v>
      </c>
      <c r="K34" s="4">
        <f t="shared" ref="K34:K35" si="4">I34-J34</f>
        <v>0</v>
      </c>
      <c r="L34" s="16">
        <f t="shared" ref="L34:L35" si="5">IFERROR(J34/I34,0)</f>
        <v>0</v>
      </c>
    </row>
    <row r="35" spans="3:12" ht="20.5" customHeight="1" x14ac:dyDescent="0.35">
      <c r="C35" s="12" t="str">
        <f>'CODE FRS'!B34</f>
        <v>FRS00031</v>
      </c>
      <c r="D35" s="5" t="str">
        <f>_xlfn.XLOOKUP(C35,'CODE FRS'!B:B,'CODE FRS'!C:C)</f>
        <v>PROSPERE</v>
      </c>
      <c r="E35" s="2">
        <f>COUNTIF('Bons de Commande'!E:E,Table3[[#This Row],[Code FRS]])</f>
        <v>0</v>
      </c>
      <c r="F35" s="2">
        <f>COUNTIFS(Table1[Statut Livraison],"REJETE",Table1[Fournisseur],Table3[[#This Row],[Fournisseur]])</f>
        <v>0</v>
      </c>
      <c r="G35" s="2">
        <f>COUNTIF('Commandes Dechargees'!D:D,Table3[[#This Row],[Code FRS]])</f>
        <v>3</v>
      </c>
      <c r="H35" s="4">
        <f>SUMIFS('Commandes Dechargees'!H:H,'Commandes Dechargees'!D:D,Table3[[#This Row],[Code FRS]])</f>
        <v>133900</v>
      </c>
      <c r="I35" s="4">
        <f>SUMIFS('Commandes Dechargees'!K:K,'Commandes Dechargees'!D:D,Table3[[#This Row],[Code FRS]])</f>
        <v>44187000</v>
      </c>
      <c r="J35" s="4">
        <f>SUMIFS('Commandes Dechargees'!L:L,'Commandes Dechargees'!D:D,Table3[[#This Row],[Code FRS]])</f>
        <v>44187000</v>
      </c>
      <c r="K35" s="4">
        <f t="shared" si="4"/>
        <v>0</v>
      </c>
      <c r="L35" s="16">
        <f t="shared" si="5"/>
        <v>1</v>
      </c>
    </row>
    <row r="36" spans="3:12" ht="20.5" customHeight="1" x14ac:dyDescent="0.35">
      <c r="C36" s="12" t="str">
        <f>'CODE FRS'!B35</f>
        <v>FRS00032</v>
      </c>
      <c r="D36" s="5" t="str">
        <f>_xlfn.XLOOKUP(C36,'CODE FRS'!B:B,'CODE FRS'!C:C)</f>
        <v>HASSANE SEYNI</v>
      </c>
      <c r="E36" s="2">
        <f>COUNTIF('Bons de Commande'!E:E,Table3[[#This Row],[Code FRS]])</f>
        <v>11</v>
      </c>
      <c r="F36" s="2">
        <f>COUNTIFS(Table1[Statut Livraison],"REJETE",Table1[Fournisseur],Table3[[#This Row],[Fournisseur]])</f>
        <v>0</v>
      </c>
      <c r="G36" s="2">
        <f>COUNTIF('Commandes Dechargees'!D:D,Table3[[#This Row],[Code FRS]])</f>
        <v>9</v>
      </c>
      <c r="H36" s="4">
        <f>SUMIFS('Commandes Dechargees'!H:H,'Commandes Dechargees'!D:D,Table3[[#This Row],[Code FRS]])</f>
        <v>440000</v>
      </c>
      <c r="I36" s="4">
        <f>SUMIFS('Commandes Dechargees'!K:K,'Commandes Dechargees'!D:D,Table3[[#This Row],[Code FRS]])</f>
        <v>147373500</v>
      </c>
      <c r="J36" s="4">
        <f>SUMIFS('Commandes Dechargees'!L:L,'Commandes Dechargees'!D:D,Table3[[#This Row],[Code FRS]])</f>
        <v>130853700</v>
      </c>
      <c r="K36" s="4">
        <f t="shared" ref="K36:K37" si="6">I36-J36</f>
        <v>16519800</v>
      </c>
      <c r="L36" s="16">
        <f t="shared" ref="L36:L37" si="7">IFERROR(J36/I36,0)</f>
        <v>0.88790522040936803</v>
      </c>
    </row>
    <row r="37" spans="3:12" ht="20.5" customHeight="1" x14ac:dyDescent="0.35">
      <c r="C37" s="12" t="str">
        <f>'CODE FRS'!B36</f>
        <v>FRS00033</v>
      </c>
      <c r="D37" s="5" t="str">
        <f>_xlfn.XLOOKUP(C37,'CODE FRS'!B:B,'CODE FRS'!C:C)</f>
        <v>GODONOU CHARLES</v>
      </c>
      <c r="E37" s="2">
        <f>COUNTIF('Bons de Commande'!E:E,Table3[[#This Row],[Code FRS]])</f>
        <v>3</v>
      </c>
      <c r="F37" s="2">
        <f>COUNTIFS(Table1[Statut Livraison],"REJETE",Table1[Fournisseur],Table3[[#This Row],[Fournisseur]])</f>
        <v>0</v>
      </c>
      <c r="G37" s="2">
        <f>COUNTIF('Commandes Dechargees'!D:D,Table3[[#This Row],[Code FRS]])</f>
        <v>2</v>
      </c>
      <c r="H37" s="4">
        <f>SUMIFS('Commandes Dechargees'!H:H,'Commandes Dechargees'!D:D,Table3[[#This Row],[Code FRS]])</f>
        <v>84240</v>
      </c>
      <c r="I37" s="4">
        <f>SUMIFS('Commandes Dechargees'!K:K,'Commandes Dechargees'!D:D,Table3[[#This Row],[Code FRS]])</f>
        <v>27201840</v>
      </c>
      <c r="J37" s="4">
        <f>SUMIFS('Commandes Dechargees'!L:L,'Commandes Dechargees'!D:D,Table3[[#This Row],[Code FRS]])</f>
        <v>12842800</v>
      </c>
      <c r="K37" s="4">
        <f t="shared" si="6"/>
        <v>14359040</v>
      </c>
      <c r="L37" s="16">
        <f t="shared" si="7"/>
        <v>0.47212982651173596</v>
      </c>
    </row>
    <row r="38" spans="3:12" ht="20.5" customHeight="1" x14ac:dyDescent="0.35">
      <c r="C38" s="12" t="str">
        <f>'CODE FRS'!B37</f>
        <v>FRS00034</v>
      </c>
      <c r="D38" s="5" t="str">
        <f>_xlfn.XLOOKUP(C38,'CODE FRS'!B:B,'CODE FRS'!C:C)</f>
        <v>HOUNTON NICOLAS</v>
      </c>
      <c r="E38" s="2">
        <f>COUNTIF('Bons de Commande'!E:E,Table3[[#This Row],[Code FRS]])</f>
        <v>1</v>
      </c>
      <c r="F38" s="2">
        <f>COUNTIFS(Table1[Statut Livraison],"REJETE",Table1[Fournisseur],Table3[[#This Row],[Fournisseur]])</f>
        <v>0</v>
      </c>
      <c r="G38" s="2">
        <f>COUNTIF('Commandes Dechargees'!D:D,Table3[[#This Row],[Code FRS]])</f>
        <v>1</v>
      </c>
      <c r="H38" s="4">
        <f>SUMIFS('Commandes Dechargees'!H:H,'Commandes Dechargees'!D:D,Table3[[#This Row],[Code FRS]])</f>
        <v>38820</v>
      </c>
      <c r="I38" s="4">
        <f>SUMIFS('Commandes Dechargees'!K:K,'Commandes Dechargees'!D:D,Table3[[#This Row],[Code FRS]])</f>
        <v>13004700</v>
      </c>
      <c r="J38" s="4">
        <f>SUMIFS('Commandes Dechargees'!L:L,'Commandes Dechargees'!D:D,Table3[[#This Row],[Code FRS]])</f>
        <v>13004700</v>
      </c>
      <c r="K38" s="4">
        <f t="shared" ref="K38:K39" si="8">I38-J38</f>
        <v>0</v>
      </c>
      <c r="L38" s="16">
        <f t="shared" ref="L38:L39" si="9">IFERROR(J38/I38,0)</f>
        <v>1</v>
      </c>
    </row>
    <row r="39" spans="3:12" ht="20.5" customHeight="1" x14ac:dyDescent="0.35">
      <c r="C39" s="12" t="str">
        <f>'CODE FRS'!B38</f>
        <v>FRS00035</v>
      </c>
      <c r="D39" s="5" t="str">
        <f>_xlfn.XLOOKUP(C39,'CODE FRS'!B:B,'CODE FRS'!C:C)</f>
        <v>PANKAJ KUMAR</v>
      </c>
      <c r="E39" s="2">
        <f>COUNTIF('Bons de Commande'!E:E,Table3[[#This Row],[Code FRS]])</f>
        <v>3</v>
      </c>
      <c r="F39" s="2">
        <f>COUNTIFS(Table1[Statut Livraison],"REJETE",Table1[Fournisseur],Table3[[#This Row],[Fournisseur]])</f>
        <v>0</v>
      </c>
      <c r="G39" s="2">
        <f>COUNTIF('Commandes Dechargees'!D:D,Table3[[#This Row],[Code FRS]])</f>
        <v>4</v>
      </c>
      <c r="H39" s="4">
        <f>SUMIFS('Commandes Dechargees'!H:H,'Commandes Dechargees'!D:D,Table3[[#This Row],[Code FRS]])</f>
        <v>131860</v>
      </c>
      <c r="I39" s="4">
        <f>SUMIFS('Commandes Dechargees'!K:K,'Commandes Dechargees'!D:D,Table3[[#This Row],[Code FRS]])</f>
        <v>43421600</v>
      </c>
      <c r="J39" s="4">
        <f>SUMIFS('Commandes Dechargees'!L:L,'Commandes Dechargees'!D:D,Table3[[#This Row],[Code FRS]])</f>
        <v>34103000</v>
      </c>
      <c r="K39" s="4">
        <f t="shared" si="8"/>
        <v>9318600</v>
      </c>
      <c r="L39" s="16">
        <f t="shared" si="9"/>
        <v>0.78539252353667299</v>
      </c>
    </row>
    <row r="40" spans="3:12" ht="20.5" customHeight="1" x14ac:dyDescent="0.35">
      <c r="C40" s="12" t="str">
        <f>'CODE FRS'!B39</f>
        <v>FRS00036</v>
      </c>
      <c r="D40" s="5" t="str">
        <f>_xlfn.XLOOKUP(C40,'CODE FRS'!B:B,'CODE FRS'!C:C)</f>
        <v>ADANNON BLOND</v>
      </c>
      <c r="E40" s="2">
        <f>COUNTIF('Bons de Commande'!E:E,Table3[[#This Row],[Code FRS]])</f>
        <v>2</v>
      </c>
      <c r="F40" s="2">
        <f>COUNTIFS(Table1[Statut Livraison],"REJETE",Table1[Fournisseur],Table3[[#This Row],[Fournisseur]])</f>
        <v>0</v>
      </c>
      <c r="G40" s="2">
        <f>COUNTIF('Commandes Dechargees'!D:D,Table3[[#This Row],[Code FRS]])</f>
        <v>2</v>
      </c>
      <c r="H40" s="4">
        <f>SUMIFS('Commandes Dechargees'!H:H,'Commandes Dechargees'!D:D,Table3[[#This Row],[Code FRS]])</f>
        <v>93020</v>
      </c>
      <c r="I40" s="4">
        <f>SUMIFS('Commandes Dechargees'!K:K,'Commandes Dechargees'!D:D,Table3[[#This Row],[Code FRS]])</f>
        <v>30787280</v>
      </c>
      <c r="J40" s="4">
        <f>SUMIFS('Commandes Dechargees'!L:L,'Commandes Dechargees'!D:D,Table3[[#This Row],[Code FRS]])</f>
        <v>30787280</v>
      </c>
      <c r="K40" s="4">
        <f t="shared" ref="K40" si="10">I40-J40</f>
        <v>0</v>
      </c>
      <c r="L40" s="16">
        <f t="shared" ref="L40" si="11">IFERROR(J40/I40,0)</f>
        <v>1</v>
      </c>
    </row>
    <row r="41" spans="3:12" ht="20.5" customHeight="1" x14ac:dyDescent="0.35">
      <c r="C41" s="12" t="str">
        <f>'CODE FRS'!B40</f>
        <v>FRS00037</v>
      </c>
      <c r="D41" s="5" t="str">
        <f>_xlfn.XLOOKUP(C41,'CODE FRS'!B:B,'CODE FRS'!C:C)</f>
        <v>SABI SARA MAMADOU</v>
      </c>
      <c r="E41" s="2">
        <f>COUNTIF('Bons de Commande'!E:E,Table3[[#This Row],[Code FRS]])</f>
        <v>1</v>
      </c>
      <c r="F41" s="2">
        <f>COUNTIFS(Table1[Statut Livraison],"REJETE",Table1[Fournisseur],Table3[[#This Row],[Fournisseur]])</f>
        <v>0</v>
      </c>
      <c r="G41" s="2">
        <f>COUNTIF('Commandes Dechargees'!D:D,Table3[[#This Row],[Code FRS]])</f>
        <v>1</v>
      </c>
      <c r="H41" s="4">
        <f>SUMIFS('Commandes Dechargees'!H:H,'Commandes Dechargees'!D:D,Table3[[#This Row],[Code FRS]])</f>
        <v>32340</v>
      </c>
      <c r="I41" s="4">
        <f>SUMIFS('Commandes Dechargees'!K:K,'Commandes Dechargees'!D:D,Table3[[#This Row],[Code FRS]])</f>
        <v>10672200</v>
      </c>
      <c r="J41" s="4">
        <f>SUMIFS('Commandes Dechargees'!L:L,'Commandes Dechargees'!D:D,Table3[[#This Row],[Code FRS]])</f>
        <v>10672200</v>
      </c>
      <c r="K41" s="4">
        <f t="shared" ref="K41:K43" si="12">I41-J41</f>
        <v>0</v>
      </c>
      <c r="L41" s="16">
        <f t="shared" ref="L41:L43" si="13">IFERROR(J41/I41,0)</f>
        <v>1</v>
      </c>
    </row>
    <row r="42" spans="3:12" ht="20.5" customHeight="1" x14ac:dyDescent="0.35">
      <c r="C42" s="12" t="str">
        <f>'CODE FRS'!B41</f>
        <v>FRS00038</v>
      </c>
      <c r="D42" s="5" t="str">
        <f>_xlfn.XLOOKUP(C42,'CODE FRS'!B:B,'CODE FRS'!C:C)</f>
        <v>Mr LOUIS</v>
      </c>
      <c r="E42" s="2">
        <f>COUNTIF('Bons de Commande'!E:E,Table3[[#This Row],[Code FRS]])</f>
        <v>2</v>
      </c>
      <c r="F42" s="2">
        <f>COUNTIFS(Table1[Statut Livraison],"REJETE",Table1[Fournisseur],Table3[[#This Row],[Fournisseur]])</f>
        <v>0</v>
      </c>
      <c r="G42" s="2">
        <f>COUNTIF('Commandes Dechargees'!D:D,Table3[[#This Row],[Code FRS]])</f>
        <v>1</v>
      </c>
      <c r="H42" s="4">
        <f>SUMIFS('Commandes Dechargees'!H:H,'Commandes Dechargees'!D:D,Table3[[#This Row],[Code FRS]])</f>
        <v>49740</v>
      </c>
      <c r="I42" s="4">
        <f>SUMIFS('Commandes Dechargees'!K:K,'Commandes Dechargees'!D:D,Table3[[#This Row],[Code FRS]])</f>
        <v>16463940</v>
      </c>
      <c r="J42" s="4">
        <f>SUMIFS('Commandes Dechargees'!L:L,'Commandes Dechargees'!D:D,Table3[[#This Row],[Code FRS]])</f>
        <v>16463940</v>
      </c>
      <c r="K42" s="4">
        <f t="shared" si="12"/>
        <v>0</v>
      </c>
      <c r="L42" s="16">
        <f t="shared" si="13"/>
        <v>1</v>
      </c>
    </row>
    <row r="43" spans="3:12" ht="20.5" customHeight="1" x14ac:dyDescent="0.35">
      <c r="C43" s="12" t="str">
        <f>'CODE FRS'!B42</f>
        <v>FRS00039</v>
      </c>
      <c r="D43" s="5" t="str">
        <f>_xlfn.XLOOKUP(C43,'CODE FRS'!B:B,'CODE FRS'!C:C)</f>
        <v>Mr MOMO</v>
      </c>
      <c r="E43" s="2">
        <f>COUNTIF('Bons de Commande'!E:E,Table3[[#This Row],[Code FRS]])</f>
        <v>12</v>
      </c>
      <c r="F43" s="2">
        <f>COUNTIFS(Table1[Statut Livraison],"REJETE",Table1[Fournisseur],Table3[[#This Row],[Fournisseur]])</f>
        <v>0</v>
      </c>
      <c r="G43" s="2">
        <f>COUNTIF('Commandes Dechargees'!D:D,Table3[[#This Row],[Code FRS]])</f>
        <v>6</v>
      </c>
      <c r="H43" s="4">
        <f>SUMIFS('Commandes Dechargees'!H:H,'Commandes Dechargees'!D:D,Table3[[#This Row],[Code FRS]])</f>
        <v>261580</v>
      </c>
      <c r="I43" s="4">
        <f>SUMIFS('Commandes Dechargees'!K:K,'Commandes Dechargees'!D:D,Table3[[#This Row],[Code FRS]])</f>
        <v>86321400</v>
      </c>
      <c r="J43" s="4">
        <f>SUMIFS('Commandes Dechargees'!L:L,'Commandes Dechargees'!D:D,Table3[[#This Row],[Code FRS]])</f>
        <v>86321400</v>
      </c>
      <c r="K43" s="4">
        <f t="shared" si="12"/>
        <v>0</v>
      </c>
      <c r="L43" s="16">
        <f t="shared" si="13"/>
        <v>1</v>
      </c>
    </row>
    <row r="44" spans="3:12" ht="20.5" customHeight="1" x14ac:dyDescent="0.35">
      <c r="C44" s="12" t="str">
        <f>'CODE FRS'!B43</f>
        <v>FRS00040</v>
      </c>
      <c r="D44" s="5" t="str">
        <f>_xlfn.XLOOKUP(C44,'CODE FRS'!B:B,'CODE FRS'!C:C)</f>
        <v>HOUNDJREBO G.PAULETTE</v>
      </c>
      <c r="E44" s="2">
        <f>COUNTIF('Bons de Commande'!E:E,Table3[[#This Row],[Code FRS]])</f>
        <v>4</v>
      </c>
      <c r="F44" s="2">
        <f>COUNTIFS(Table1[Statut Livraison],"REJETE",Table1[Fournisseur],Table3[[#This Row],[Fournisseur]])</f>
        <v>0</v>
      </c>
      <c r="G44" s="2">
        <f>COUNTIF('Commandes Dechargees'!D:D,Table3[[#This Row],[Code FRS]])</f>
        <v>0</v>
      </c>
      <c r="H44" s="4">
        <f>SUMIFS('Commandes Dechargees'!H:H,'Commandes Dechargees'!D:D,Table3[[#This Row],[Code FRS]])</f>
        <v>0</v>
      </c>
      <c r="I44" s="4">
        <f>SUMIFS('Commandes Dechargees'!K:K,'Commandes Dechargees'!D:D,Table3[[#This Row],[Code FRS]])</f>
        <v>0</v>
      </c>
      <c r="J44" s="4">
        <f>SUMIFS('Commandes Dechargees'!L:L,'Commandes Dechargees'!D:D,Table3[[#This Row],[Code FRS]])</f>
        <v>0</v>
      </c>
      <c r="K44" s="4">
        <f>I44-J44</f>
        <v>0</v>
      </c>
      <c r="L44" s="16">
        <f>IFERROR(J44/I44,0)</f>
        <v>0</v>
      </c>
    </row>
    <row r="45" spans="3:12" ht="20.5" customHeight="1" x14ac:dyDescent="0.35">
      <c r="C45" s="12" t="str">
        <f>'CODE FRS'!B44</f>
        <v>FRS00041</v>
      </c>
      <c r="D45" s="5" t="str">
        <f>_xlfn.XLOOKUP(C45,'CODE FRS'!B:B,'CODE FRS'!C:C)</f>
        <v>AKPAKPO NOURIDINE</v>
      </c>
      <c r="E45" s="2">
        <f>COUNTIF('Bons de Commande'!E:E,Table3[[#This Row],[Code FRS]])</f>
        <v>1</v>
      </c>
      <c r="F45" s="2">
        <f>COUNTIFS(Table1[Statut Livraison],"REJETE",Table1[Fournisseur],Table3[[#This Row],[Fournisseur]])</f>
        <v>0</v>
      </c>
      <c r="G45" s="2">
        <f>COUNTIF('Commandes Dechargees'!D:D,Table3[[#This Row],[Code FRS]])</f>
        <v>1</v>
      </c>
      <c r="H45" s="4">
        <f>SUMIFS('Commandes Dechargees'!H:H,'Commandes Dechargees'!D:D,Table3[[#This Row],[Code FRS]])</f>
        <v>36540</v>
      </c>
      <c r="I45" s="4">
        <f>SUMIFS('Commandes Dechargees'!K:K,'Commandes Dechargees'!D:D,Table3[[#This Row],[Code FRS]])</f>
        <v>12240900</v>
      </c>
      <c r="J45" s="4">
        <f>SUMIFS('Commandes Dechargees'!L:L,'Commandes Dechargees'!D:D,Table3[[#This Row],[Code FRS]])</f>
        <v>12240900</v>
      </c>
      <c r="K45" s="4">
        <f t="shared" ref="K45:K46" si="14">I45-J45</f>
        <v>0</v>
      </c>
      <c r="L45" s="16">
        <f t="shared" ref="L45:L46" si="15">IFERROR(J45/I45,0)</f>
        <v>1</v>
      </c>
    </row>
    <row r="46" spans="3:12" ht="20.5" customHeight="1" x14ac:dyDescent="0.35">
      <c r="C46" s="12" t="str">
        <f>'CODE FRS'!B45</f>
        <v>FRS00042</v>
      </c>
      <c r="D46" s="5" t="str">
        <f>_xlfn.XLOOKUP(C46,'CODE FRS'!B:B,'CODE FRS'!C:C)</f>
        <v>N’DOKPO IREMAN</v>
      </c>
      <c r="E46" s="2">
        <f>COUNTIF('Bons de Commande'!E:E,Table3[[#This Row],[Code FRS]])</f>
        <v>1</v>
      </c>
      <c r="F46" s="2">
        <f>COUNTIFS(Table1[Statut Livraison],"REJETE",Table1[Fournisseur],Table3[[#This Row],[Fournisseur]])</f>
        <v>0</v>
      </c>
      <c r="G46" s="2">
        <f>COUNTIF('Commandes Dechargees'!D:D,Table3[[#This Row],[Code FRS]])</f>
        <v>0</v>
      </c>
      <c r="H46" s="4">
        <f>SUMIFS('Commandes Dechargees'!H:H,'Commandes Dechargees'!D:D,Table3[[#This Row],[Code FRS]])</f>
        <v>0</v>
      </c>
      <c r="I46" s="4">
        <f>SUMIFS('Commandes Dechargees'!K:K,'Commandes Dechargees'!D:D,Table3[[#This Row],[Code FRS]])</f>
        <v>0</v>
      </c>
      <c r="J46" s="4">
        <f>SUMIFS('Commandes Dechargees'!L:L,'Commandes Dechargees'!D:D,Table3[[#This Row],[Code FRS]])</f>
        <v>0</v>
      </c>
      <c r="K46" s="4">
        <f t="shared" si="14"/>
        <v>0</v>
      </c>
      <c r="L46" s="16">
        <f t="shared" si="15"/>
        <v>0</v>
      </c>
    </row>
    <row r="47" spans="3:12" ht="20.5" customHeight="1" x14ac:dyDescent="0.35">
      <c r="C47" s="12" t="str">
        <f>'CODE FRS'!B46</f>
        <v>FRS00043</v>
      </c>
      <c r="D47" s="5" t="str">
        <f>_xlfn.XLOOKUP(C47,'CODE FRS'!B:B,'CODE FRS'!C:C)</f>
        <v>MONTCHO NOBERT</v>
      </c>
      <c r="E47" s="2">
        <f>COUNTIF('Bons de Commande'!E:E,Table3[[#This Row],[Code FRS]])</f>
        <v>0</v>
      </c>
      <c r="F47" s="2">
        <f>COUNTIFS(Table1[Statut Livraison],"REJETE",Table1[Fournisseur],Table3[[#This Row],[Fournisseur]])</f>
        <v>0</v>
      </c>
      <c r="G47" s="2">
        <f>COUNTIF('Commandes Dechargees'!D:D,Table3[[#This Row],[Code FRS]])</f>
        <v>1</v>
      </c>
      <c r="H47" s="4">
        <f>SUMIFS('Commandes Dechargees'!H:H,'Commandes Dechargees'!D:D,Table3[[#This Row],[Code FRS]])</f>
        <v>57940</v>
      </c>
      <c r="I47" s="4">
        <f>SUMIFS('Commandes Dechargees'!K:K,'Commandes Dechargees'!D:D,Table3[[#This Row],[Code FRS]])</f>
        <v>19409900</v>
      </c>
      <c r="J47" s="4">
        <f>SUMIFS('Commandes Dechargees'!L:L,'Commandes Dechargees'!D:D,Table3[[#This Row],[Code FRS]])</f>
        <v>19409900</v>
      </c>
      <c r="K47" s="4">
        <f>I47-J47</f>
        <v>0</v>
      </c>
      <c r="L47" s="16">
        <f>IFERROR(J47/I47,0)</f>
        <v>1</v>
      </c>
    </row>
    <row r="48" spans="3:12" ht="20.5" customHeight="1" x14ac:dyDescent="0.35">
      <c r="C48" s="12" t="str">
        <f>'CODE FRS'!B47</f>
        <v>FRS00044</v>
      </c>
      <c r="D48" s="5" t="str">
        <f>_xlfn.XLOOKUP(C48,'CODE FRS'!B:B,'CODE FRS'!C:C)</f>
        <v>WANGNANNON ABEL</v>
      </c>
      <c r="E48" s="2">
        <f>COUNTIF('Bons de Commande'!E:E,Table3[[#This Row],[Code FRS]])</f>
        <v>2</v>
      </c>
      <c r="F48" s="2">
        <f>COUNTIFS(Table1[Statut Livraison],"REJETE",Table1[Fournisseur],Table3[[#This Row],[Fournisseur]])</f>
        <v>0</v>
      </c>
      <c r="G48" s="2">
        <f>COUNTIF('Commandes Dechargees'!D:D,Table3[[#This Row],[Code FRS]])</f>
        <v>1</v>
      </c>
      <c r="H48" s="4">
        <f>SUMIFS('Commandes Dechargees'!H:H,'Commandes Dechargees'!D:D,Table3[[#This Row],[Code FRS]])</f>
        <v>49070</v>
      </c>
      <c r="I48" s="4">
        <f>SUMIFS('Commandes Dechargees'!K:K,'Commandes Dechargees'!D:D,Table3[[#This Row],[Code FRS]])</f>
        <v>16438450</v>
      </c>
      <c r="J48" s="4">
        <f>SUMIFS('Commandes Dechargees'!L:L,'Commandes Dechargees'!D:D,Table3[[#This Row],[Code FRS]])</f>
        <v>16438450</v>
      </c>
      <c r="K48" s="4">
        <f t="shared" ref="K48" si="16">I48-J48</f>
        <v>0</v>
      </c>
      <c r="L48" s="16">
        <f t="shared" ref="L48" si="17">IFERROR(J48/I48,0)</f>
        <v>1</v>
      </c>
    </row>
    <row r="49" spans="3:12" ht="20.5" customHeight="1" x14ac:dyDescent="0.35">
      <c r="C49" s="12" t="str">
        <f>'CODE FRS'!B48</f>
        <v>FRS00045</v>
      </c>
      <c r="D49" s="5" t="str">
        <f>_xlfn.XLOOKUP(C49,'CODE FRS'!B:B,'CODE FRS'!C:C)</f>
        <v>HOUEDANOU JUSTIN</v>
      </c>
      <c r="E49" s="2">
        <f>COUNTIF('Bons de Commande'!E:E,Table3[[#This Row],[Code FRS]])</f>
        <v>2</v>
      </c>
      <c r="F49" s="2">
        <f>COUNTIFS(Table1[Statut Livraison],"REJETE",Table1[Fournisseur],Table3[[#This Row],[Fournisseur]])</f>
        <v>0</v>
      </c>
      <c r="G49" s="2">
        <f>COUNTIF('Commandes Dechargees'!D:D,Table3[[#This Row],[Code FRS]])</f>
        <v>4</v>
      </c>
      <c r="H49" s="4">
        <f>SUMIFS('Commandes Dechargees'!H:H,'Commandes Dechargees'!D:D,Table3[[#This Row],[Code FRS]])</f>
        <v>172600</v>
      </c>
      <c r="I49" s="4">
        <f>SUMIFS('Commandes Dechargees'!K:K,'Commandes Dechargees'!D:D,Table3[[#This Row],[Code FRS]])</f>
        <v>56319720</v>
      </c>
      <c r="J49" s="4">
        <f>SUMIFS('Commandes Dechargees'!L:L,'Commandes Dechargees'!D:D,Table3[[#This Row],[Code FRS]])</f>
        <v>40355520</v>
      </c>
      <c r="K49" s="4">
        <f>I49-J49</f>
        <v>15964200</v>
      </c>
      <c r="L49" s="16">
        <f>IFERROR(J49/I49,0)</f>
        <v>0.71654333508760337</v>
      </c>
    </row>
    <row r="50" spans="3:12" ht="20.5" customHeight="1" x14ac:dyDescent="0.35">
      <c r="C50" s="12" t="str">
        <f>'CODE FRS'!B49</f>
        <v>FRS00046</v>
      </c>
      <c r="D50" s="5" t="str">
        <f>_xlfn.XLOOKUP(C50,'CODE FRS'!B:B,'CODE FRS'!C:C)</f>
        <v>KOUMENOUGBO MARUIS</v>
      </c>
      <c r="E50" s="2">
        <f>COUNTIF('Bons de Commande'!E:E,Table3[[#This Row],[Code FRS]])</f>
        <v>1</v>
      </c>
      <c r="F50" s="2">
        <f>COUNTIFS(Table1[Statut Livraison],"REJETE",Table1[Fournisseur],Table3[[#This Row],[Fournisseur]])</f>
        <v>0</v>
      </c>
      <c r="G50" s="2">
        <f>COUNTIF('Commandes Dechargees'!D:D,Table3[[#This Row],[Code FRS]])</f>
        <v>0</v>
      </c>
      <c r="H50" s="4">
        <f>SUMIFS('Commandes Dechargees'!H:H,'Commandes Dechargees'!D:D,Table3[[#This Row],[Code FRS]])</f>
        <v>0</v>
      </c>
      <c r="I50" s="4">
        <f>SUMIFS('Commandes Dechargees'!K:K,'Commandes Dechargees'!D:D,Table3[[#This Row],[Code FRS]])</f>
        <v>0</v>
      </c>
      <c r="J50" s="4">
        <f>SUMIFS('Commandes Dechargees'!L:L,'Commandes Dechargees'!D:D,Table3[[#This Row],[Code FRS]])</f>
        <v>0</v>
      </c>
      <c r="K50" s="4">
        <f t="shared" ref="K50" si="18">I50-J50</f>
        <v>0</v>
      </c>
      <c r="L50" s="16">
        <f t="shared" ref="L50" si="19">IFERROR(J50/I50,0)</f>
        <v>0</v>
      </c>
    </row>
  </sheetData>
  <mergeCells count="2">
    <mergeCell ref="C1:N1"/>
    <mergeCell ref="C2:N2"/>
  </mergeCells>
  <conditionalFormatting sqref="K5:K50">
    <cfRule type="colorScale" priority="45">
      <colorScale>
        <cfvo type="min"/>
        <cfvo type="max"/>
        <color rgb="FFFCFCFF"/>
        <color rgb="FFF8696B"/>
      </colorScale>
    </cfRule>
  </conditionalFormatting>
  <conditionalFormatting sqref="L1:L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{014F4F33-5032-4659-B030-2D8930A355C5}</x14:id>
        </ext>
      </extLst>
    </cfRule>
  </conditionalFormatting>
  <pageMargins left="0.3" right="0.3" top="0.4" bottom="0.4" header="0.511811023622047" footer="0.511811023622047"/>
  <pageSetup scale="55" fitToHeight="0" orientation="landscape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14F4F33-5032-4659-B030-2D8930A355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4590B-ED09-43A5-8A5C-BF5EC12F3D1B}">
  <sheetPr codeName="Feuil6">
    <pageSetUpPr fitToPage="1"/>
  </sheetPr>
  <dimension ref="F1:L39"/>
  <sheetViews>
    <sheetView topLeftCell="B1" workbookViewId="0">
      <selection activeCell="K2" sqref="K2"/>
    </sheetView>
  </sheetViews>
  <sheetFormatPr baseColWidth="10" defaultColWidth="8.7265625" defaultRowHeight="14.5" x14ac:dyDescent="0.35"/>
  <cols>
    <col min="8" max="8" width="13.81640625" customWidth="1"/>
    <col min="9" max="9" width="31" customWidth="1"/>
    <col min="10" max="10" width="16.81640625" customWidth="1"/>
    <col min="11" max="11" width="13.453125" customWidth="1"/>
    <col min="12" max="12" width="23.36328125" customWidth="1"/>
  </cols>
  <sheetData>
    <row r="1" spans="6:12" x14ac:dyDescent="0.35">
      <c r="F1" t="s">
        <v>753</v>
      </c>
    </row>
    <row r="2" spans="6:12" x14ac:dyDescent="0.35">
      <c r="H2" s="52" t="s">
        <v>758</v>
      </c>
      <c r="I2" s="53" t="s">
        <v>766</v>
      </c>
      <c r="J2" s="54" t="s">
        <v>759</v>
      </c>
      <c r="K2" s="52" t="s">
        <v>760</v>
      </c>
      <c r="L2" s="54" t="s">
        <v>761</v>
      </c>
    </row>
    <row r="3" spans="6:12" x14ac:dyDescent="0.35">
      <c r="H3" s="56">
        <v>46267</v>
      </c>
      <c r="I3" s="57" t="s">
        <v>754</v>
      </c>
      <c r="J3" s="55">
        <v>12000000</v>
      </c>
      <c r="K3" s="57">
        <v>2000591</v>
      </c>
      <c r="L3" s="57" t="s">
        <v>755</v>
      </c>
    </row>
    <row r="4" spans="6:12" x14ac:dyDescent="0.35">
      <c r="H4" s="56">
        <v>46267</v>
      </c>
      <c r="I4" s="57" t="s">
        <v>463</v>
      </c>
      <c r="J4" s="55">
        <v>6075500</v>
      </c>
      <c r="K4" s="63">
        <v>2000592</v>
      </c>
      <c r="L4" s="57" t="s">
        <v>755</v>
      </c>
    </row>
    <row r="5" spans="6:12" x14ac:dyDescent="0.35">
      <c r="H5" s="56">
        <v>46267</v>
      </c>
      <c r="I5" s="57" t="s">
        <v>37</v>
      </c>
      <c r="J5" s="55">
        <v>16299600</v>
      </c>
      <c r="K5" s="63">
        <v>2000593</v>
      </c>
      <c r="L5" s="57" t="s">
        <v>755</v>
      </c>
    </row>
    <row r="6" spans="6:12" x14ac:dyDescent="0.35">
      <c r="H6" s="56">
        <v>46267</v>
      </c>
      <c r="I6" s="57" t="s">
        <v>181</v>
      </c>
      <c r="J6" s="55">
        <v>14691600</v>
      </c>
      <c r="K6" s="63">
        <v>2000594</v>
      </c>
      <c r="L6" s="57" t="s">
        <v>755</v>
      </c>
    </row>
    <row r="7" spans="6:12" x14ac:dyDescent="0.35">
      <c r="H7" s="56">
        <v>46267</v>
      </c>
      <c r="I7" s="57" t="s">
        <v>308</v>
      </c>
      <c r="J7" s="55">
        <v>10000000</v>
      </c>
      <c r="K7" s="63">
        <v>2000595</v>
      </c>
      <c r="L7" s="57" t="s">
        <v>755</v>
      </c>
    </row>
    <row r="8" spans="6:12" x14ac:dyDescent="0.35">
      <c r="H8" s="58">
        <v>46267</v>
      </c>
      <c r="I8" s="59" t="s">
        <v>226</v>
      </c>
      <c r="J8" s="60">
        <v>11302900</v>
      </c>
      <c r="K8" s="63">
        <v>2000596</v>
      </c>
      <c r="L8" s="59" t="s">
        <v>755</v>
      </c>
    </row>
    <row r="9" spans="6:12" x14ac:dyDescent="0.35">
      <c r="H9" s="61">
        <v>46267</v>
      </c>
      <c r="I9" s="50" t="s">
        <v>47</v>
      </c>
      <c r="J9" s="55">
        <v>16288800</v>
      </c>
      <c r="K9" s="62">
        <v>2000598</v>
      </c>
      <c r="L9" s="50" t="s">
        <v>755</v>
      </c>
    </row>
    <row r="10" spans="6:12" x14ac:dyDescent="0.35">
      <c r="H10" s="61">
        <v>46272</v>
      </c>
      <c r="I10" s="50" t="s">
        <v>52</v>
      </c>
      <c r="J10" s="55">
        <v>10757200</v>
      </c>
      <c r="K10" s="62">
        <v>2000599</v>
      </c>
      <c r="L10" s="50" t="s">
        <v>755</v>
      </c>
    </row>
    <row r="11" spans="6:12" x14ac:dyDescent="0.35">
      <c r="H11" s="61">
        <v>46272</v>
      </c>
      <c r="I11" s="50" t="s">
        <v>39</v>
      </c>
      <c r="J11" s="55">
        <v>10000000</v>
      </c>
      <c r="K11" s="62">
        <v>2000651</v>
      </c>
      <c r="L11" s="50" t="s">
        <v>755</v>
      </c>
    </row>
    <row r="12" spans="6:12" x14ac:dyDescent="0.35">
      <c r="H12" s="61">
        <v>46272</v>
      </c>
      <c r="I12" s="50" t="s">
        <v>51</v>
      </c>
      <c r="J12" s="55">
        <v>14632800</v>
      </c>
      <c r="K12" s="62">
        <v>2000652</v>
      </c>
      <c r="L12" s="50" t="s">
        <v>755</v>
      </c>
    </row>
    <row r="13" spans="6:12" x14ac:dyDescent="0.35">
      <c r="H13" s="61">
        <v>46272</v>
      </c>
      <c r="I13" s="50" t="s">
        <v>754</v>
      </c>
      <c r="J13" s="55">
        <v>15776800</v>
      </c>
      <c r="K13" s="62">
        <v>2000653</v>
      </c>
      <c r="L13" s="50" t="s">
        <v>755</v>
      </c>
    </row>
    <row r="14" spans="6:12" x14ac:dyDescent="0.35">
      <c r="H14" s="61">
        <v>46272</v>
      </c>
      <c r="I14" s="50" t="s">
        <v>181</v>
      </c>
      <c r="J14" s="55">
        <v>13000000</v>
      </c>
      <c r="K14" s="62">
        <v>2000654</v>
      </c>
      <c r="L14" s="50" t="s">
        <v>755</v>
      </c>
    </row>
    <row r="15" spans="6:12" x14ac:dyDescent="0.35">
      <c r="H15" s="61">
        <v>46272</v>
      </c>
      <c r="I15" s="50" t="s">
        <v>47</v>
      </c>
      <c r="J15" s="55">
        <v>16262400</v>
      </c>
      <c r="K15" s="62">
        <v>2000656</v>
      </c>
      <c r="L15" s="50" t="s">
        <v>755</v>
      </c>
    </row>
    <row r="16" spans="6:12" x14ac:dyDescent="0.35">
      <c r="H16" s="61">
        <v>46272</v>
      </c>
      <c r="I16" s="50" t="s">
        <v>763</v>
      </c>
      <c r="J16" s="55">
        <v>15331800</v>
      </c>
      <c r="K16" s="62">
        <v>2000657</v>
      </c>
      <c r="L16" s="50" t="s">
        <v>755</v>
      </c>
    </row>
    <row r="17" spans="8:12" x14ac:dyDescent="0.35">
      <c r="H17" s="61">
        <v>46272</v>
      </c>
      <c r="I17" s="50" t="s">
        <v>757</v>
      </c>
      <c r="J17" s="55">
        <v>16598800</v>
      </c>
      <c r="K17" s="62">
        <v>2000658</v>
      </c>
      <c r="L17" s="50" t="s">
        <v>755</v>
      </c>
    </row>
    <row r="18" spans="8:12" x14ac:dyDescent="0.35">
      <c r="H18" s="61">
        <v>46272</v>
      </c>
      <c r="I18" s="50" t="s">
        <v>267</v>
      </c>
      <c r="J18" s="55">
        <v>14302200</v>
      </c>
      <c r="K18" s="62">
        <v>2000659</v>
      </c>
      <c r="L18" s="50" t="s">
        <v>755</v>
      </c>
    </row>
    <row r="19" spans="8:12" x14ac:dyDescent="0.35">
      <c r="H19" s="61">
        <v>46272</v>
      </c>
      <c r="I19" s="50" t="s">
        <v>37</v>
      </c>
      <c r="J19" s="55">
        <v>16666800</v>
      </c>
      <c r="K19" s="62">
        <v>2000660</v>
      </c>
      <c r="L19" s="50" t="s">
        <v>755</v>
      </c>
    </row>
    <row r="20" spans="8:12" x14ac:dyDescent="0.35">
      <c r="H20" s="61">
        <v>46275</v>
      </c>
      <c r="I20" s="50" t="s">
        <v>756</v>
      </c>
      <c r="J20" s="55">
        <v>14038100</v>
      </c>
      <c r="K20" s="62">
        <v>2000662</v>
      </c>
      <c r="L20" s="50" t="s">
        <v>755</v>
      </c>
    </row>
    <row r="21" spans="8:12" x14ac:dyDescent="0.35">
      <c r="H21" s="61">
        <v>46275</v>
      </c>
      <c r="I21" s="50" t="s">
        <v>45</v>
      </c>
      <c r="J21" s="55">
        <v>13946000</v>
      </c>
      <c r="K21" s="50">
        <v>2000663</v>
      </c>
      <c r="L21" s="50" t="s">
        <v>755</v>
      </c>
    </row>
    <row r="22" spans="8:12" x14ac:dyDescent="0.35">
      <c r="H22" s="61">
        <v>46275</v>
      </c>
      <c r="I22" s="50" t="s">
        <v>48</v>
      </c>
      <c r="J22" s="55">
        <v>16755200</v>
      </c>
      <c r="K22" s="62">
        <v>2000665</v>
      </c>
      <c r="L22" s="50" t="s">
        <v>755</v>
      </c>
    </row>
    <row r="23" spans="8:12" x14ac:dyDescent="0.35">
      <c r="H23" s="61">
        <v>46275</v>
      </c>
      <c r="I23" s="50" t="s">
        <v>468</v>
      </c>
      <c r="J23" s="55">
        <v>10720000</v>
      </c>
      <c r="K23" s="62">
        <v>2000666</v>
      </c>
      <c r="L23" s="50" t="s">
        <v>755</v>
      </c>
    </row>
    <row r="24" spans="8:12" x14ac:dyDescent="0.35">
      <c r="H24" s="61">
        <v>46275</v>
      </c>
      <c r="I24" s="50" t="s">
        <v>51</v>
      </c>
      <c r="J24" s="55">
        <v>5000000</v>
      </c>
      <c r="K24" s="62">
        <v>2000667</v>
      </c>
      <c r="L24" s="50" t="s">
        <v>755</v>
      </c>
    </row>
    <row r="25" spans="8:12" x14ac:dyDescent="0.35">
      <c r="H25" s="61">
        <v>46275</v>
      </c>
      <c r="I25" s="50" t="s">
        <v>764</v>
      </c>
      <c r="J25" s="55">
        <v>19409900</v>
      </c>
      <c r="K25" s="62">
        <v>2000668</v>
      </c>
      <c r="L25" s="50" t="s">
        <v>755</v>
      </c>
    </row>
    <row r="26" spans="8:12" x14ac:dyDescent="0.35">
      <c r="H26" s="61">
        <v>46279</v>
      </c>
      <c r="I26" s="50" t="s">
        <v>765</v>
      </c>
      <c r="J26" s="55">
        <v>16463940</v>
      </c>
      <c r="K26" s="50">
        <v>2000670</v>
      </c>
      <c r="L26" s="50" t="s">
        <v>755</v>
      </c>
    </row>
    <row r="27" spans="8:12" x14ac:dyDescent="0.35">
      <c r="H27" s="61">
        <v>46279</v>
      </c>
      <c r="I27" s="50" t="s">
        <v>372</v>
      </c>
      <c r="J27" s="55">
        <v>13004700</v>
      </c>
      <c r="K27" s="62">
        <v>2000671</v>
      </c>
      <c r="L27" s="50" t="s">
        <v>755</v>
      </c>
    </row>
    <row r="28" spans="8:12" x14ac:dyDescent="0.35">
      <c r="H28" s="61">
        <v>46279</v>
      </c>
      <c r="I28" s="50" t="s">
        <v>756</v>
      </c>
      <c r="J28" s="55">
        <v>13961200</v>
      </c>
      <c r="K28" s="62">
        <v>2000672</v>
      </c>
      <c r="L28" s="50" t="s">
        <v>755</v>
      </c>
    </row>
    <row r="29" spans="8:12" x14ac:dyDescent="0.35">
      <c r="H29" s="61">
        <v>46279</v>
      </c>
      <c r="I29" s="50" t="s">
        <v>51</v>
      </c>
      <c r="J29" s="55">
        <v>17164400</v>
      </c>
      <c r="K29" s="62">
        <v>2000673</v>
      </c>
      <c r="L29" s="50" t="s">
        <v>755</v>
      </c>
    </row>
    <row r="30" spans="8:12" x14ac:dyDescent="0.35">
      <c r="H30" s="61">
        <v>46279</v>
      </c>
      <c r="I30" s="50" t="s">
        <v>45</v>
      </c>
      <c r="J30" s="55">
        <v>2000000</v>
      </c>
      <c r="K30" s="62">
        <v>2000674</v>
      </c>
      <c r="L30" s="50" t="s">
        <v>755</v>
      </c>
    </row>
    <row r="31" spans="8:12" x14ac:dyDescent="0.35">
      <c r="H31" s="61">
        <v>46279</v>
      </c>
      <c r="I31" s="50" t="s">
        <v>37</v>
      </c>
      <c r="J31" s="55">
        <v>46675200</v>
      </c>
      <c r="K31" s="62">
        <v>2000675</v>
      </c>
      <c r="L31" s="50" t="s">
        <v>755</v>
      </c>
    </row>
    <row r="32" spans="8:12" x14ac:dyDescent="0.35">
      <c r="H32" s="61">
        <v>46279</v>
      </c>
      <c r="I32" s="50" t="s">
        <v>181</v>
      </c>
      <c r="J32" s="55">
        <v>13711600</v>
      </c>
      <c r="K32" s="62">
        <v>2000676</v>
      </c>
      <c r="L32" s="50" t="s">
        <v>755</v>
      </c>
    </row>
    <row r="33" spans="8:12" x14ac:dyDescent="0.35">
      <c r="H33" s="61">
        <v>46279</v>
      </c>
      <c r="I33" s="50" t="s">
        <v>268</v>
      </c>
      <c r="J33" s="55">
        <v>15424720</v>
      </c>
      <c r="K33" s="62">
        <v>2000677</v>
      </c>
      <c r="L33" s="50" t="s">
        <v>755</v>
      </c>
    </row>
    <row r="34" spans="8:12" x14ac:dyDescent="0.35">
      <c r="H34" s="61">
        <v>46279</v>
      </c>
      <c r="I34" s="50" t="s">
        <v>38</v>
      </c>
      <c r="J34" s="55">
        <v>12827160</v>
      </c>
      <c r="K34" s="62">
        <v>2000678</v>
      </c>
      <c r="L34" s="50" t="s">
        <v>755</v>
      </c>
    </row>
    <row r="35" spans="8:12" x14ac:dyDescent="0.35">
      <c r="H35" s="61">
        <v>46279</v>
      </c>
      <c r="I35" s="50" t="s">
        <v>757</v>
      </c>
      <c r="J35" s="55">
        <v>17379800</v>
      </c>
      <c r="K35" s="62">
        <v>2000679</v>
      </c>
      <c r="L35" s="50" t="s">
        <v>755</v>
      </c>
    </row>
    <row r="36" spans="8:12" x14ac:dyDescent="0.35">
      <c r="H36" s="61">
        <v>46279</v>
      </c>
      <c r="I36" s="50" t="s">
        <v>473</v>
      </c>
      <c r="J36" s="55">
        <v>12240900</v>
      </c>
      <c r="K36" s="62">
        <v>2000680</v>
      </c>
      <c r="L36" s="50" t="s">
        <v>755</v>
      </c>
    </row>
    <row r="37" spans="8:12" x14ac:dyDescent="0.35">
      <c r="H37" s="61">
        <v>46279</v>
      </c>
      <c r="I37" s="50" t="s">
        <v>763</v>
      </c>
      <c r="J37" s="55">
        <v>15075000</v>
      </c>
      <c r="K37" s="62">
        <v>2000681</v>
      </c>
      <c r="L37" s="50" t="s">
        <v>755</v>
      </c>
    </row>
    <row r="38" spans="8:12" x14ac:dyDescent="0.35">
      <c r="I38" s="48" t="s">
        <v>762</v>
      </c>
      <c r="J38" s="49">
        <f>SUM(J3:J37)</f>
        <v>505785020</v>
      </c>
    </row>
    <row r="39" spans="8:12" x14ac:dyDescent="0.35">
      <c r="I39" s="48" t="s">
        <v>767</v>
      </c>
      <c r="J39" s="51">
        <v>35</v>
      </c>
    </row>
  </sheetData>
  <conditionalFormatting sqref="K2:K37">
    <cfRule type="duplicateValues" dxfId="0" priority="1"/>
  </conditionalFormatting>
  <pageMargins left="0.7" right="0.7" top="0.75" bottom="0.75" header="0.3" footer="0.3"/>
  <pageSetup paperSize="9" scale="85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Bons de Commande</vt:lpstr>
      <vt:lpstr>CODE FRS</vt:lpstr>
      <vt:lpstr>Commandes Dechargees</vt:lpstr>
      <vt:lpstr>Releve Comptes Fournisseurs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Alliance BODJRENOU</cp:lastModifiedBy>
  <cp:revision>1</cp:revision>
  <cp:lastPrinted>2026-10-10T14:04:36Z</cp:lastPrinted>
  <dcterms:created xsi:type="dcterms:W3CDTF">2026-08-25T09:47:12Z</dcterms:created>
  <dcterms:modified xsi:type="dcterms:W3CDTF">2026-10-16T08:46:31Z</dcterms:modified>
  <dc:language>en-US</dc:language>
</cp:coreProperties>
</file>