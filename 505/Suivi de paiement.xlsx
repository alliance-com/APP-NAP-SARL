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TA\505\"/>
    </mc:Choice>
  </mc:AlternateContent>
  <xr:revisionPtr revIDLastSave="0" documentId="13_ncr:1_{5E708038-43B1-45F1-A245-3A833B018499}" xr6:coauthVersionLast="47" xr6:coauthVersionMax="47" xr10:uidLastSave="{00000000-0000-0000-0000-000000000000}"/>
  <bookViews>
    <workbookView xWindow="-110" yWindow="-110" windowWidth="19420" windowHeight="11500" firstSheet="2" activeTab="2" xr2:uid="{B6EF3B88-6FAB-49BD-80CC-5D878176B759}"/>
  </bookViews>
  <sheets>
    <sheet name="FICHE (2)" sheetId="7" state="hidden" r:id="rId1"/>
    <sheet name="Mvt Caisse" sheetId="5" state="hidden" r:id="rId2"/>
    <sheet name="DEPENSES" sheetId="3" r:id="rId3"/>
    <sheet name="FICHE" sheetId="2" r:id="rId4"/>
    <sheet name="VERSEMENTS" sheetId="4" r:id="rId5"/>
  </sheets>
  <definedNames>
    <definedName name="_xlnm._FilterDatabase" localSheetId="1" hidden="1">'Mvt Caisse'!$C$13:$H$13</definedName>
    <definedName name="_xlnm._FilterDatabase" localSheetId="4" hidden="1">VERSEMENTS!$C$3:$H$3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66" i="3" l="1"/>
  <c r="M536" i="3" l="1"/>
  <c r="B517" i="3"/>
  <c r="M131" i="3"/>
  <c r="M130" i="3"/>
  <c r="H31" i="2"/>
  <c r="H30" i="2"/>
  <c r="H29" i="2"/>
  <c r="H22" i="2"/>
  <c r="G22" i="2"/>
  <c r="G24" i="2" s="1"/>
  <c r="E22" i="2"/>
  <c r="D22" i="2"/>
  <c r="H18" i="2"/>
  <c r="H17" i="2"/>
  <c r="H16" i="2"/>
  <c r="E16" i="2"/>
  <c r="H15" i="2"/>
  <c r="E15" i="2"/>
  <c r="H13" i="2"/>
  <c r="G24" i="7"/>
  <c r="O513" i="3"/>
  <c r="O518" i="3"/>
  <c r="O515" i="3"/>
  <c r="O538" i="3"/>
  <c r="O517" i="3"/>
  <c r="O520" i="3"/>
  <c r="O516" i="3"/>
  <c r="O514" i="3"/>
  <c r="O539" i="3"/>
  <c r="E13" i="2" l="1"/>
  <c r="F26" i="2" l="1"/>
  <c r="O262" i="3"/>
  <c r="O119" i="3"/>
  <c r="O260" i="3"/>
  <c r="O70" i="3"/>
  <c r="O130" i="3"/>
  <c r="O63" i="3"/>
  <c r="O272" i="3"/>
  <c r="O266" i="3"/>
  <c r="O395" i="3"/>
  <c r="O412" i="3"/>
  <c r="O286" i="3"/>
  <c r="O420" i="3"/>
  <c r="O432" i="3"/>
  <c r="O121" i="3"/>
  <c r="O281" i="3"/>
  <c r="O475" i="3"/>
  <c r="O127" i="3"/>
  <c r="O339" i="3"/>
  <c r="O289" i="3"/>
  <c r="O110" i="3"/>
  <c r="O399" i="3"/>
  <c r="O330" i="3"/>
  <c r="O111" i="3"/>
  <c r="O353" i="3"/>
  <c r="O261" i="3"/>
  <c r="O347" i="3"/>
  <c r="O342" i="3"/>
  <c r="O313" i="3"/>
  <c r="O61" i="3"/>
  <c r="O423" i="3"/>
  <c r="O321" i="3"/>
  <c r="O438" i="3"/>
  <c r="O122" i="3"/>
  <c r="O431" i="3"/>
  <c r="O408" i="3"/>
  <c r="O398" i="3"/>
  <c r="O421" i="3"/>
  <c r="O107" i="3"/>
  <c r="O369" i="3"/>
  <c r="O66" i="3"/>
  <c r="O120" i="3"/>
  <c r="O287" i="3"/>
  <c r="O349" i="3"/>
  <c r="O436" i="3"/>
  <c r="O444" i="3"/>
  <c r="O133" i="3"/>
  <c r="O265" i="3"/>
  <c r="O263" i="3"/>
  <c r="O328" i="3"/>
  <c r="O320" i="3"/>
  <c r="O462" i="3"/>
  <c r="O317" i="3"/>
  <c r="O394" i="3"/>
  <c r="O449" i="3"/>
  <c r="O97" i="3"/>
  <c r="O424" i="3"/>
  <c r="O124" i="3"/>
  <c r="O414" i="3"/>
  <c r="O348" i="3"/>
  <c r="O322" i="3"/>
  <c r="O351" i="3"/>
  <c r="O275" i="3"/>
  <c r="O346" i="3"/>
  <c r="O76" i="3"/>
  <c r="O331" i="3"/>
  <c r="O456" i="3"/>
  <c r="O126" i="3"/>
  <c r="O429" i="3"/>
  <c r="O101" i="3"/>
  <c r="O443" i="3"/>
  <c r="O77" i="3"/>
  <c r="O92" i="3"/>
  <c r="O376" i="3"/>
  <c r="O337" i="3"/>
  <c r="O274" i="3"/>
  <c r="O457" i="3"/>
  <c r="O454" i="3"/>
  <c r="O446" i="3"/>
  <c r="O283" i="3"/>
  <c r="O411" i="3"/>
  <c r="O284" i="3"/>
  <c r="O264" i="3"/>
  <c r="O333" i="3"/>
  <c r="O452" i="3"/>
  <c r="O102" i="3"/>
  <c r="O425" i="3"/>
  <c r="O451" i="3"/>
  <c r="O292" i="3"/>
  <c r="O310" i="3"/>
  <c r="O367" i="3"/>
  <c r="O290" i="3"/>
  <c r="O426" i="3"/>
  <c r="O83" i="3"/>
  <c r="O105" i="3"/>
  <c r="O471" i="3"/>
  <c r="O277" i="3"/>
  <c r="O372" i="3"/>
  <c r="O285" i="3"/>
  <c r="O403" i="3"/>
  <c r="O106" i="3"/>
  <c r="O67" i="3"/>
  <c r="O364" i="3"/>
  <c r="O128" i="3"/>
  <c r="O62" i="3"/>
  <c r="O79" i="3"/>
  <c r="O410" i="3"/>
  <c r="O383" i="3"/>
  <c r="O86" i="3"/>
  <c r="O336" i="3"/>
  <c r="O354" i="3"/>
  <c r="O299" i="3"/>
  <c r="O404" i="3"/>
  <c r="O375" i="3"/>
  <c r="O439" i="3"/>
  <c r="O428" i="3"/>
  <c r="O269" i="3"/>
  <c r="O442" i="3"/>
  <c r="O279" i="3"/>
  <c r="O273" i="3"/>
  <c r="O113" i="3"/>
  <c r="O453" i="3"/>
  <c r="O307" i="3"/>
  <c r="O271" i="3"/>
  <c r="O268" i="3"/>
  <c r="O437" i="3"/>
  <c r="O306" i="3"/>
  <c r="O315" i="3"/>
  <c r="O371" i="3"/>
  <c r="O293" i="3"/>
  <c r="O85" i="3"/>
  <c r="O335" i="3"/>
  <c r="O419" i="3"/>
  <c r="O387" i="3"/>
  <c r="O132" i="3"/>
  <c r="O131" i="3"/>
  <c r="O64" i="3"/>
  <c r="O69" i="3"/>
  <c r="O391" i="3"/>
  <c r="O90" i="3"/>
  <c r="O401" i="3"/>
  <c r="O427" i="3"/>
  <c r="O366" i="3"/>
  <c r="O380" i="3"/>
  <c r="O302" i="3"/>
  <c r="O379" i="3"/>
  <c r="O291" i="3"/>
  <c r="O384" i="3"/>
  <c r="O323" i="3"/>
  <c r="O365" i="3"/>
  <c r="O343" i="3"/>
  <c r="O308" i="3"/>
  <c r="O433" i="3"/>
  <c r="O96" i="3"/>
  <c r="O327" i="3"/>
  <c r="O314" i="3"/>
  <c r="O282" i="3"/>
  <c r="O392" i="3"/>
  <c r="O99" i="3"/>
  <c r="O305" i="3"/>
  <c r="O406" i="3"/>
  <c r="O455" i="3"/>
  <c r="O312" i="3"/>
  <c r="O344" i="3"/>
  <c r="O326" i="3"/>
  <c r="O345" i="3"/>
  <c r="O87" i="3"/>
  <c r="O71" i="3"/>
  <c r="O318" i="3"/>
  <c r="O434" i="3"/>
  <c r="O381" i="3"/>
  <c r="O109" i="3"/>
  <c r="O448" i="3"/>
  <c r="O311" i="3"/>
  <c r="O329" i="3"/>
  <c r="O447" i="3"/>
  <c r="O363" i="3"/>
  <c r="O103" i="3"/>
  <c r="O78" i="3"/>
  <c r="O377" i="3"/>
  <c r="O80" i="3"/>
  <c r="O325" i="3"/>
  <c r="O396" i="3"/>
  <c r="O89" i="3"/>
  <c r="O309" i="3"/>
  <c r="O402" i="3"/>
  <c r="O435" i="3"/>
  <c r="O267" i="3"/>
  <c r="O332" i="3"/>
  <c r="O338" i="3"/>
  <c r="O100" i="3"/>
  <c r="O374" i="3"/>
  <c r="O298" i="3"/>
  <c r="O418" i="3"/>
  <c r="O116" i="3"/>
  <c r="O259" i="3"/>
  <c r="O104" i="3"/>
  <c r="O476" i="3"/>
  <c r="O440" i="3"/>
  <c r="O385" i="3"/>
  <c r="O91" i="3"/>
  <c r="O295" i="3"/>
  <c r="O340" i="3"/>
  <c r="O386" i="3"/>
  <c r="O362" i="3"/>
  <c r="O415" i="3"/>
  <c r="O300" i="3"/>
  <c r="O368" i="3"/>
  <c r="O117" i="3"/>
  <c r="O108" i="3"/>
  <c r="O134" i="3"/>
  <c r="O72" i="3"/>
  <c r="O430" i="3"/>
  <c r="O341" i="3"/>
  <c r="O118" i="3"/>
  <c r="O88" i="3"/>
  <c r="O278" i="3"/>
  <c r="O450" i="3"/>
  <c r="O288" i="3"/>
  <c r="O382" i="3"/>
  <c r="O297" i="3"/>
  <c r="O393" i="3"/>
  <c r="O445" i="3"/>
  <c r="O324" i="3"/>
  <c r="O319" i="3"/>
  <c r="O413" i="3"/>
  <c r="O123" i="3"/>
  <c r="O361" i="3"/>
  <c r="O135" i="3"/>
  <c r="O304" i="3"/>
  <c r="O270" i="3"/>
  <c r="O276" i="3"/>
  <c r="O112" i="3"/>
  <c r="O422" i="3"/>
  <c r="O296" i="3"/>
  <c r="O388" i="3"/>
  <c r="O95" i="3"/>
  <c r="O397" i="3"/>
  <c r="O60" i="3"/>
  <c r="O370" i="3"/>
  <c r="O409" i="3"/>
  <c r="O405" i="3"/>
  <c r="O390" i="3"/>
  <c r="O474" i="3"/>
  <c r="O350" i="3"/>
  <c r="O407" i="3"/>
  <c r="O93" i="3"/>
  <c r="O378" i="3"/>
  <c r="O334" i="3"/>
  <c r="O316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<sst xmlns="http://schemas.openxmlformats.org/spreadsheetml/2006/main" count="7363" uniqueCount="1742">
  <si>
    <t>Date</t>
  </si>
  <si>
    <t>No de transaction</t>
  </si>
  <si>
    <t>Type d'operation</t>
  </si>
  <si>
    <t>Prestataires/Fournisseurs</t>
  </si>
  <si>
    <t>Num. Pieces d'identite</t>
  </si>
  <si>
    <t>Date d'expiration</t>
  </si>
  <si>
    <t>Addresse /Telephone</t>
  </si>
  <si>
    <t>Numero de cheque</t>
  </si>
  <si>
    <t>Details des operations</t>
  </si>
  <si>
    <t>Produit</t>
  </si>
  <si>
    <t>Description/Objet du paiement</t>
  </si>
  <si>
    <t>Numero de facture</t>
  </si>
  <si>
    <t>Banque</t>
  </si>
  <si>
    <t>Bénéficiaire</t>
  </si>
  <si>
    <t>Nom du bénéficiaire</t>
  </si>
  <si>
    <t>NB: Toute remise de chèque doit être confirmée par signature du bénéficiaire et accompagnée d’une copie du chèque et pièce pour fins de traçabilité.</t>
  </si>
  <si>
    <t>Montant</t>
  </si>
  <si>
    <t>Bon de paiement</t>
  </si>
  <si>
    <t>Montant Total</t>
  </si>
  <si>
    <t>Observation</t>
  </si>
  <si>
    <t>Montant en lettre :</t>
  </si>
  <si>
    <t>Mode paiement</t>
  </si>
  <si>
    <t>Comptablité</t>
  </si>
  <si>
    <t>visa</t>
  </si>
  <si>
    <t>Manager logistics</t>
  </si>
  <si>
    <t>STE NAP SARL</t>
  </si>
  <si>
    <r>
      <t>PLOT NO 14 GLODJIGBE ECONIMIC ZONEREPUBLIC OF BENIN</t>
    </r>
    <r>
      <rPr>
        <sz val="14"/>
        <color rgb="FF000000"/>
        <rFont val="Trebuchet MS"/>
        <family val="2"/>
      </rPr>
      <t xml:space="preserve"> </t>
    </r>
    <r>
      <rPr>
        <b/>
        <sz val="14"/>
        <color rgb="FF000000"/>
        <rFont val="Trebuchet MS"/>
        <family val="2"/>
      </rPr>
      <t>RCCM RB / COT / 21 B 30710, IFU 3202113334014 TEL: +229 0194940414, 0197974506</t>
    </r>
  </si>
  <si>
    <t>Montant en lettre</t>
  </si>
  <si>
    <t>PURCHASE</t>
  </si>
  <si>
    <t>SOYABEAN</t>
  </si>
  <si>
    <t>PURCHASE OF SOYABEAN</t>
  </si>
  <si>
    <t>100% PAYE</t>
  </si>
  <si>
    <t>ECOBANK BENIN</t>
  </si>
  <si>
    <t>CHEQUE</t>
  </si>
  <si>
    <t>CHQ-0001-2026</t>
  </si>
  <si>
    <t>YAI ADEYEMI LUC</t>
  </si>
  <si>
    <t>23PP15910</t>
  </si>
  <si>
    <t>CHQ-0002-2026</t>
  </si>
  <si>
    <t>AHOUDJI GLORIA BENEDICTE</t>
  </si>
  <si>
    <t>0162547373</t>
  </si>
  <si>
    <t>CH8683RB/BJ1173RB_39940KG</t>
  </si>
  <si>
    <t>Treize millions sept cent quatre-vingt-un mille six cents Franc CFA</t>
  </si>
  <si>
    <t>Onze millions neuf cent vingt cent vingt Francs CFA</t>
  </si>
  <si>
    <t>BP6526RB/A9598RB_49220KG</t>
  </si>
  <si>
    <t>0197040978</t>
  </si>
  <si>
    <t>CHQ-0003-2026</t>
  </si>
  <si>
    <t>TCHANIGA SAMSON</t>
  </si>
  <si>
    <t>AVANCE</t>
  </si>
  <si>
    <t>0195036013</t>
  </si>
  <si>
    <t>Sept millions cinq cent francs CFA</t>
  </si>
  <si>
    <t>CHQ-0004-2026</t>
  </si>
  <si>
    <t>SERVICE</t>
  </si>
  <si>
    <t>UNITE SPE INCENDIE &amp; SECOURS GDIZ</t>
  </si>
  <si>
    <t>TCHANOU AKOGNIKOU PARFAIT</t>
  </si>
  <si>
    <t>0194061972</t>
  </si>
  <si>
    <t>0025-2026/NAP/GR/CC</t>
  </si>
  <si>
    <t>Ref doc</t>
  </si>
  <si>
    <t>PAYE</t>
  </si>
  <si>
    <t>Huit cent ciquante mille franc CFA</t>
  </si>
  <si>
    <t>COTATION FINACIERE POUR LA COMPAGNIe DEPARTEMENTALE DE SAPEURS POMPIERS</t>
  </si>
  <si>
    <t>CHQ-0005-2026</t>
  </si>
  <si>
    <t>COMLAN MAHOUSSE</t>
  </si>
  <si>
    <t>0197780148</t>
  </si>
  <si>
    <t>-</t>
  </si>
  <si>
    <t>Six millions cent soixante cinq sept cent vingt francs CFA</t>
  </si>
  <si>
    <t>DATE</t>
  </si>
  <si>
    <t>LIBELLE</t>
  </si>
  <si>
    <t>DEBIT</t>
  </si>
  <si>
    <t>CREDIT</t>
  </si>
  <si>
    <t>SOLDE</t>
  </si>
  <si>
    <t>MOTIF</t>
  </si>
  <si>
    <t>MOUVEMENT DE CAISSE</t>
  </si>
  <si>
    <t>SOLDE INITIAL</t>
  </si>
  <si>
    <t>NOM DU DEPOSANT</t>
  </si>
  <si>
    <t>MOTIF DE VERSEMENT</t>
  </si>
  <si>
    <t>MONTANT</t>
  </si>
  <si>
    <t>SUIVI DES VERSEMENTS</t>
  </si>
  <si>
    <t>BANQUE</t>
  </si>
  <si>
    <t>GARBA IBRAHIM</t>
  </si>
  <si>
    <t>RECETTE</t>
  </si>
  <si>
    <t>DOC REF</t>
  </si>
  <si>
    <t>M33CHDP261520548</t>
  </si>
  <si>
    <t>EXPORT</t>
  </si>
  <si>
    <t>SOGLO MARTIAL</t>
  </si>
  <si>
    <t>0197601003</t>
  </si>
  <si>
    <t>ACHAT BL-MANIPULATION-FRAIS SEGUB-TIMBRE-ACHAT PLOMB</t>
  </si>
  <si>
    <t>Quarante neuf mille six cent ciquante huit francs CFA</t>
  </si>
  <si>
    <t>ESPECES</t>
  </si>
  <si>
    <t>CAISSE</t>
  </si>
  <si>
    <t>BJCOOA260021857/ EBKG15552571 _MEDUCT182978</t>
  </si>
  <si>
    <t>ALFRED</t>
  </si>
  <si>
    <t>BJCOOPX260001101/ EBKG15552571 _MEDUCT182978</t>
  </si>
  <si>
    <t>INTERNATIONAL SHIPS AND PORT SECURITY (ISPS)</t>
  </si>
  <si>
    <t>Quarante un mille trois cents francs CFA</t>
  </si>
  <si>
    <t>BJCOOA260025613/ EBKG15552571 _MEDUCT182978</t>
  </si>
  <si>
    <t>Vingt neuf mille cinq cent franc CFA</t>
  </si>
  <si>
    <t>BJCOOA260030030/ EBKG15552571 _MEDUCT182978</t>
  </si>
  <si>
    <t>Dix sept mille soixante six francs CFA</t>
  </si>
  <si>
    <t>BJCOOA260030014/ EBKG15552571 _MEDUCT182978</t>
  </si>
  <si>
    <t>Qatre vingt seize six cent quatre vingt deux francs CFA</t>
  </si>
  <si>
    <t>BJCOOA260030252/ EBKG15552571 _MEDUCT182978</t>
  </si>
  <si>
    <t>FRAIS DE RETARD BL</t>
  </si>
  <si>
    <t>Soixante mille francs CFA</t>
  </si>
  <si>
    <t>BJCOOP260009286/ EBKG15552571 _MEDUCT182978</t>
  </si>
  <si>
    <t>COMMISION EXP CHARGES FOR EQUIPMENT</t>
  </si>
  <si>
    <t>LETTRE DE GARANTIE</t>
  </si>
  <si>
    <t>COMMISSION EXP CHARGES FOR EQUIPMENT</t>
  </si>
  <si>
    <t>CC-0001-2026</t>
  </si>
  <si>
    <t>CC-0002-2026</t>
  </si>
  <si>
    <t>HOUEDANOU ENAGNON JUSTIN</t>
  </si>
  <si>
    <t>0197684561</t>
  </si>
  <si>
    <t>28/2/2031</t>
  </si>
  <si>
    <t>WEIGHMENT TICKET ATRAL : 6615 _ 39380 KG</t>
  </si>
  <si>
    <t>Deux millions francs CFA</t>
  </si>
  <si>
    <t>CC-0003-2026</t>
  </si>
  <si>
    <t>FRET EXPORT</t>
  </si>
  <si>
    <t>TRANSFERT DHL</t>
  </si>
  <si>
    <t>DHL</t>
  </si>
  <si>
    <t>WAYBILL : 7171660414</t>
  </si>
  <si>
    <t>benincustomerservice@dhl.com</t>
  </si>
  <si>
    <t>TRANSFERT DE DOCUMENT PAR DHL (COO_267756955)</t>
  </si>
  <si>
    <t>Soixante trois mille neuf cents deux francs CFA</t>
  </si>
  <si>
    <t>MOBILE MONEY</t>
  </si>
  <si>
    <t>BD0410563</t>
  </si>
  <si>
    <t>SHARMA RISHI</t>
  </si>
  <si>
    <t>ATLANTIC BANK BENIN</t>
  </si>
  <si>
    <t>CHQ-0006-2026</t>
  </si>
  <si>
    <t>ADMIN</t>
  </si>
  <si>
    <t>ORDRE DE VIREMENT SALAIRE MAI 2026</t>
  </si>
  <si>
    <t>Deux millions neuf cent trente mille francs CFA</t>
  </si>
  <si>
    <t>VIREMENT</t>
  </si>
  <si>
    <t>N_0221-2026-OV/NAP/AG/DIR/CC</t>
  </si>
  <si>
    <t>Six millions trois cent vingt cinq mille sept cent soixante douze francs CFA</t>
  </si>
  <si>
    <t>CHQ-0007-2026</t>
  </si>
  <si>
    <t>Neuf millions huit cent quatre vingt douze sept cent soixante francs CFA</t>
  </si>
  <si>
    <t>UD DE CAKE</t>
  </si>
  <si>
    <t>KLOTOE GOUTON MARIUS</t>
  </si>
  <si>
    <t>18/3/2031</t>
  </si>
  <si>
    <t>0190767272</t>
  </si>
  <si>
    <t>STICHING &amp; SCALING UD DE CAKE</t>
  </si>
  <si>
    <t>Deux cent qutre vingt dix mille deux cent soixante treize francs CFA</t>
  </si>
  <si>
    <t>CHQ-0008-2026</t>
  </si>
  <si>
    <t>0052/PS-26</t>
  </si>
  <si>
    <t>IDRISSOU APHISSOU</t>
  </si>
  <si>
    <t>PRESTATION DE MANUTENTION GRAINE DE COTON/SOJA/KARITE</t>
  </si>
  <si>
    <t>EM01767228-17</t>
  </si>
  <si>
    <t>Un million trois cent vingt huit mille quatre cent ciquante neuf francs CFA</t>
  </si>
  <si>
    <t>BIIC</t>
  </si>
  <si>
    <t>UD DE CAKE/SOJA/COTON</t>
  </si>
  <si>
    <t>CHQ-0009-2026</t>
  </si>
  <si>
    <t>30/8/2027</t>
  </si>
  <si>
    <t>0196109481</t>
  </si>
  <si>
    <t>CC0004-2026</t>
  </si>
  <si>
    <t>ENTRETIEN</t>
  </si>
  <si>
    <t>HOUNKONSI FLORENT</t>
  </si>
  <si>
    <t>24/03/2031</t>
  </si>
  <si>
    <t>0196199915</t>
  </si>
  <si>
    <t>NETOYAGE BUREAU</t>
  </si>
  <si>
    <t>NETOYAGE TANK</t>
  </si>
  <si>
    <t>Vingt mille franc CFA</t>
  </si>
  <si>
    <t>Trois mille franc CFA</t>
  </si>
  <si>
    <t>OLAITAN COMMUNICATION</t>
  </si>
  <si>
    <t>CHQ-0010-2026</t>
  </si>
  <si>
    <t>23/03/2031</t>
  </si>
  <si>
    <t>0166757962</t>
  </si>
  <si>
    <t>Vingt quatre millions cinq cent dix neuf mille francs CFA</t>
  </si>
  <si>
    <t>DOSSA DOGNON MATHURIN</t>
  </si>
  <si>
    <t>NETTOYAGE BUREAU</t>
  </si>
  <si>
    <t>NETTOYAGE TANK</t>
  </si>
  <si>
    <t>Vingt trois mille francs CFA</t>
  </si>
  <si>
    <t>CHQ-0011-2026</t>
  </si>
  <si>
    <t>Sept millions sept cent quatre-vingt-quatre mille sept cent quatre-vingts francs CFA</t>
  </si>
  <si>
    <t>CA6981RB/AM469RB_50780KG_WT29687</t>
  </si>
  <si>
    <t>`</t>
  </si>
  <si>
    <t>CHQ-0012-2026</t>
  </si>
  <si>
    <t>SERVICE TRANSIT</t>
  </si>
  <si>
    <t>TRANS SOHA</t>
  </si>
  <si>
    <t>GNAMY THEODORA LANDINE</t>
  </si>
  <si>
    <t>FRAIS DE PRESTATION_TRANSITAIRE TRANS SOHA</t>
  </si>
  <si>
    <t>Cinq millions francs CFA</t>
  </si>
  <si>
    <t>CHQ-0013-2026</t>
  </si>
  <si>
    <t>ITM BENIN</t>
  </si>
  <si>
    <t>Huit millions six cent dix neuf mille huit cent cinquante quatre francs CFA</t>
  </si>
  <si>
    <t>EM01172215-940</t>
  </si>
  <si>
    <t>PRODUCTION ET ENSACHAGE TOUTEAUX COTON / PRODUCTION DOC ENSILLAGE CHAUDIERE SOJA/ FRAIS DE GESTION PERSONNEL</t>
  </si>
  <si>
    <t>DJIBRIL IMOURANA</t>
  </si>
  <si>
    <t>Ref Doc</t>
  </si>
  <si>
    <t>Dix millions franc cfa</t>
  </si>
  <si>
    <t>MOUSSA IBRAHIM</t>
  </si>
  <si>
    <t>CHQ-0014-2026</t>
  </si>
  <si>
    <t>RETRAIT POUR NAP SARL/MOUSSA IBRAHIM</t>
  </si>
  <si>
    <t>RETRAIT POUR NAP SARL/GARBA BOURAIMA</t>
  </si>
  <si>
    <t>Six millions francs CFA</t>
  </si>
  <si>
    <t>CHQ-0015-2026</t>
  </si>
  <si>
    <t>GARBA BOURAIMA</t>
  </si>
  <si>
    <t>CHQ-0016-2026</t>
  </si>
  <si>
    <t>NOCIBE</t>
  </si>
  <si>
    <t>Deux millions quatre cents soixante sept mille huit cent trente quatre francs CFA</t>
  </si>
  <si>
    <t>CHQ-0017-2026</t>
  </si>
  <si>
    <t>BFU</t>
  </si>
  <si>
    <t>SEGUB GUCE</t>
  </si>
  <si>
    <t>USN-26128837</t>
  </si>
  <si>
    <t>PAYEMENT BFU USN-26128837 POUR BL 270942290</t>
  </si>
  <si>
    <t>38 MT OF CEMENT</t>
  </si>
  <si>
    <t>CHQ-0018-2026</t>
  </si>
  <si>
    <t>GROUPE D'INTERMEDIATION POUR L'AFRIQUE</t>
  </si>
  <si>
    <t>LISSASSI JANVIER</t>
  </si>
  <si>
    <t>0197026779</t>
  </si>
  <si>
    <t>R5L2TZKF4ETEZW4ZDP5EBIXG</t>
  </si>
  <si>
    <t>ACHAT CONTRE FACTURE DE Sacs de soude caustique</t>
  </si>
  <si>
    <t>Huit millions trois cent soixante cinq mille quatre cent quatre vingt trois mille franc CFA</t>
  </si>
  <si>
    <t>Trois millions huit cent vingt cinq mille franc CFA</t>
  </si>
  <si>
    <t>USN-26125069</t>
  </si>
  <si>
    <t>USN-26126443</t>
  </si>
  <si>
    <t>USN-26127384</t>
  </si>
  <si>
    <t>USN-26126441</t>
  </si>
  <si>
    <t>USN-26125053</t>
  </si>
  <si>
    <t>USN-26127276</t>
  </si>
  <si>
    <t>ONLINE</t>
  </si>
  <si>
    <t>PAYEMENT BFU USN-26125069 POUR BL 270866616</t>
  </si>
  <si>
    <t>PAYEMENT BFU USN-26126443 POUR BL 270866825</t>
  </si>
  <si>
    <t>PAYEMENT BFU USN-26127384 POUR BL 270942127</t>
  </si>
  <si>
    <t>PAYEMENT BFU USN-26126441 POUR BL 270942248</t>
  </si>
  <si>
    <t>PAYEMENT BFU USN-26125053 POUR BL 270942275</t>
  </si>
  <si>
    <t>PAYEMENT BFU USN-26127276 POUR BL 271284995</t>
  </si>
  <si>
    <t>Huit millions trois cent ciquante sept mille trois cent quatre vingt dix huit francs CFA</t>
  </si>
  <si>
    <t>Huit milions deux cent qutre vingt dix huit mille deux cent seize francs CFA</t>
  </si>
  <si>
    <t>Huit millions deux cent trente six mille sept cent soixante huit francs CFA</t>
  </si>
  <si>
    <t>Huit millions deux cent soixante dix huit mille cent quatre vingt trois francs CFA</t>
  </si>
  <si>
    <t>Huit millions sept cent soixante sept mille huit cent trente sept francs CFA</t>
  </si>
  <si>
    <t>Un million trois cent trente mille neuf cent vingt un francs CFA</t>
  </si>
  <si>
    <t>CHQ-0019-2026</t>
  </si>
  <si>
    <t>Vingt millions francs CFA</t>
  </si>
  <si>
    <t>CHQ-0020-2026</t>
  </si>
  <si>
    <t>MAERSK</t>
  </si>
  <si>
    <t>Douze millions 46 mille neuf cent quatre vingt dix huit francs CFA</t>
  </si>
  <si>
    <t>CHQ-0021-2026</t>
  </si>
  <si>
    <t>SECURITE DGIZ</t>
  </si>
  <si>
    <t>HELIOS SECURITY SERVICES SARL</t>
  </si>
  <si>
    <t>0160601730</t>
  </si>
  <si>
    <t>FACTURE N EM01030403-470</t>
  </si>
  <si>
    <t>MISE A DISPOSITIOM D'AGENT DE SECURITE POUR LE MOIS DE MAI</t>
  </si>
  <si>
    <t>Trois cents soixante mille franc CFA</t>
  </si>
  <si>
    <t>CHQ-0022-2026</t>
  </si>
  <si>
    <t>OLABI LABOUR WORK SOYA ACCOMPTE</t>
  </si>
  <si>
    <t xml:space="preserve">AVANCE </t>
  </si>
  <si>
    <t>Deux millions cinq cents mille franc CFA</t>
  </si>
  <si>
    <t>Neuf cents quqtre vingt quatre mille neuf cents vingt quatre</t>
  </si>
  <si>
    <t>CHQ-0023-2026</t>
  </si>
  <si>
    <t>FACTURE POUR RETOUR VIDE DE 01 TC DE 20' TLLU2296161(22G1)//BOOKING 271486702</t>
  </si>
  <si>
    <t>Facture Administrative 265000443</t>
  </si>
  <si>
    <t>Qarante sux huit cents soixante dix neuf</t>
  </si>
  <si>
    <t>SALARY AND LOCAL ALLOWANCE MAY 2026</t>
  </si>
  <si>
    <t>SALARY</t>
  </si>
  <si>
    <t>ADIGNON SYLVAIN</t>
  </si>
  <si>
    <t>EMPLOYE USINE</t>
  </si>
  <si>
    <t>ADIMI RODRIGUE</t>
  </si>
  <si>
    <t>ETS KOKO SUPER</t>
  </si>
  <si>
    <t>PURCHASE OF PETROL</t>
  </si>
  <si>
    <t>Cinq cents mille francs CFA</t>
  </si>
  <si>
    <t>JNP SA</t>
  </si>
  <si>
    <t>CHQ-0024-2026</t>
  </si>
  <si>
    <t xml:space="preserve">RAJIBER TRANSITER EXPORT ACC </t>
  </si>
  <si>
    <t>STE ORDI TRADING</t>
  </si>
  <si>
    <t>KINHO VODOUNOUN SETH LIE ROSLIN</t>
  </si>
  <si>
    <t>0196194609</t>
  </si>
  <si>
    <t>CHQ-0025-2026</t>
  </si>
  <si>
    <t>13/07/2027</t>
  </si>
  <si>
    <t>2ND AVANCE. INSULATION WORK . OIL MILLE, SEP SECTION, BOILER ETC</t>
  </si>
  <si>
    <t>ABDULSALAM OLAKUNLEABDUL JELIL</t>
  </si>
  <si>
    <t>B00154349</t>
  </si>
  <si>
    <t>20/11/2034</t>
  </si>
  <si>
    <t>Trois millions francs CFA</t>
  </si>
  <si>
    <t>CHQ-0026-2026</t>
  </si>
  <si>
    <t>CC-0005-2026</t>
  </si>
  <si>
    <t>CHQ-0027-2026</t>
  </si>
  <si>
    <t>CC-0006-2026</t>
  </si>
  <si>
    <t>01 95 55 78 89</t>
  </si>
  <si>
    <t>Sept millions neuf cents quatre vingt douze mille trois cents trente mille francs CFA</t>
  </si>
  <si>
    <t>PAYEMENT BFU USN-26132503 POUR BL 271285091</t>
  </si>
  <si>
    <t>USN-26132503</t>
  </si>
  <si>
    <t>CHQ-0028-2026</t>
  </si>
  <si>
    <t>Quarante deux millions huit cent soixante sept mille soixante dix francs CFA</t>
  </si>
  <si>
    <t>9027000883/9027000946/9027000983</t>
  </si>
  <si>
    <t>FRAIS DE CONSOMMATION ELECTRICITE NOV, DEC 2025 &amp; JAN 2026</t>
  </si>
  <si>
    <t>ELECTRICITE-GDIZ</t>
  </si>
  <si>
    <t>SIPI BENIN SA</t>
  </si>
  <si>
    <t>GEDC</t>
  </si>
  <si>
    <t>CHQ-0029-2026</t>
  </si>
  <si>
    <t>Deux millions sept cents quatre vingt dix mille francs CFA</t>
  </si>
  <si>
    <t>CHQ-0030-2026</t>
  </si>
  <si>
    <t>PONT BASCULE- GDIZ</t>
  </si>
  <si>
    <t>PESAGE CAMION NOV, DEC 2025 &amp; JAN 2026</t>
  </si>
  <si>
    <t>9111502190/9111502237/9111502433</t>
  </si>
  <si>
    <t>Trois millions sept cent ciquante un mille neut cent cinquante francs CFA</t>
  </si>
  <si>
    <t>FRAIS DE CONSOMMATION EAU NOV, DEC 2025 &amp; JAN 2026</t>
  </si>
  <si>
    <t>9111502166/9111502235/9111504200</t>
  </si>
  <si>
    <t>EAU-GDIZ</t>
  </si>
  <si>
    <t>CHQ-0031-2026</t>
  </si>
  <si>
    <t>Tois cent soixante quinze mille francs CFA</t>
  </si>
  <si>
    <t>LOCATION GRUE</t>
  </si>
  <si>
    <t>SERVICE-GDIZ</t>
  </si>
  <si>
    <t>CHQ-0032-2026</t>
  </si>
  <si>
    <t>PAN TRADING</t>
  </si>
  <si>
    <t>VERSEMENT D'ESPECE PAR MITC</t>
  </si>
  <si>
    <t>MAHARASHTRA SOLVENT EXTRACTION-EXPORT</t>
  </si>
  <si>
    <t xml:space="preserve"> INVOICE NAP-1033-2026 AND NAP-1043-2026</t>
  </si>
  <si>
    <t xml:space="preserve"> INVOICE NAP-1038-2026A</t>
  </si>
  <si>
    <t>Un million quatre cent quarante sept mille six cent vingt neuf francs CFA</t>
  </si>
  <si>
    <t>Un million huit cent quarante cinq mille cinq cent ciquante sept francs CFA</t>
  </si>
  <si>
    <t>PAYEMENT BFU USN-26132380 POUR BL 271285265</t>
  </si>
  <si>
    <t>USN-26132380</t>
  </si>
  <si>
    <t>CHQ-0033-2026</t>
  </si>
  <si>
    <t>M33CHDP261660033</t>
  </si>
  <si>
    <t>AFFO MOUSSA IBRAHIM</t>
  </si>
  <si>
    <t>4839552</t>
  </si>
  <si>
    <t>BENIN COTON</t>
  </si>
  <si>
    <t>30601</t>
  </si>
  <si>
    <t>30499</t>
  </si>
  <si>
    <t>CHQ-0034-2026</t>
  </si>
  <si>
    <t>AFRICA ROUTE</t>
  </si>
  <si>
    <t> EM013834802 </t>
  </si>
  <si>
    <t>SAC PP</t>
  </si>
  <si>
    <t>FIOGBE PRUDENCIO</t>
  </si>
  <si>
    <t>CHQ-0035-2026</t>
  </si>
  <si>
    <t>ADAM MOUSSA</t>
  </si>
  <si>
    <t>Deuc cents onze mille deux cents francs CFA</t>
  </si>
  <si>
    <t>LOYER MAISON AKODE GILCHRIST/ BOUNGE LODERS/ JUNE-JULY-AUGUST 2026</t>
  </si>
  <si>
    <t>CC-0007-2026</t>
  </si>
  <si>
    <t>HOUNVLESSI HOSPICE</t>
  </si>
  <si>
    <t>21PP35301</t>
  </si>
  <si>
    <t>21/11/2027</t>
  </si>
  <si>
    <t>SALARY MAY 2026</t>
  </si>
  <si>
    <t>Deux cent cinquante mille francs CFA</t>
  </si>
  <si>
    <t>CHQ-0036-2026</t>
  </si>
  <si>
    <t>MITC SARL</t>
  </si>
  <si>
    <t>Soixante treize millions francs CFA</t>
  </si>
  <si>
    <t>ATLANTIQUE BANK BENIN</t>
  </si>
  <si>
    <t>REMISE</t>
  </si>
  <si>
    <t>CHQ-0037-2026</t>
  </si>
  <si>
    <t>Treize millions huit neuf mille huit cent quatre vingt francs CFA</t>
  </si>
  <si>
    <t>CH8683RB/BJ1173RB_45880KG_Ticket : 30802</t>
  </si>
  <si>
    <t>CHQ-0038-2026</t>
  </si>
  <si>
    <t>Trois millions quatre cent quarante neuf mille cent soixante huit francs CFA</t>
  </si>
  <si>
    <t>PAYEMENT FRET EXPORT POUR LES BL : 270866825, 270866616</t>
  </si>
  <si>
    <t>CHQ-0039-2026</t>
  </si>
  <si>
    <t>0166562863</t>
  </si>
  <si>
    <t>HAMA INTER</t>
  </si>
  <si>
    <t>EGOUCHOLA TETEDE DAMIEN</t>
  </si>
  <si>
    <t>Vingt cinq millions francs CFA</t>
  </si>
  <si>
    <t>CHQ-0040-2026</t>
  </si>
  <si>
    <t>RETAIT ESPECES</t>
  </si>
  <si>
    <t>NAP SARL</t>
  </si>
  <si>
    <t>Deux cent millions francs CFA</t>
  </si>
  <si>
    <t>REMISE DE CHEQUE DE NAP POUR MITC SARL</t>
  </si>
  <si>
    <t>CHQ-0041-2026</t>
  </si>
  <si>
    <t>PAYEMENT FRET EXPORT POUR LES BL :270323644, 270942248,270942127,269555573, 270942275, 271284995</t>
  </si>
  <si>
    <t>CHQ-0042-2026</t>
  </si>
  <si>
    <t>CHQ-0043-2026</t>
  </si>
  <si>
    <t>PAYEMENT FRET EXPORT POUR LES BL : 270942127, 270942275, 270942290, 271285091, 271284995, 271285265, 271486702</t>
  </si>
  <si>
    <t>Neuf millions quatre cent quatre vingt huit mille deux cent quatre vingt seize francs CFA</t>
  </si>
  <si>
    <t>Un million huit cent quatre vingt mille neuf cent ciquante huit francs CFA</t>
  </si>
  <si>
    <t>CHQ-0044-2026</t>
  </si>
  <si>
    <t>ESH OLDAH ENTERPRISE</t>
  </si>
  <si>
    <t>ADEDJOUMOU ZACHARIE</t>
  </si>
  <si>
    <t>0196422242</t>
  </si>
  <si>
    <t>Un million huit cent seize mille cinq cent francs CFA</t>
  </si>
  <si>
    <t>Cinq cent dix mille francs CFA</t>
  </si>
  <si>
    <t>MATERIAL OF GURU TECH _ 1.8 COTTON EXPAILER MATERIAL</t>
  </si>
  <si>
    <t>OIL MILL MATERIAL</t>
  </si>
  <si>
    <t>CHQ-0045-2026</t>
  </si>
  <si>
    <t>WAYBILL : 2489910581</t>
  </si>
  <si>
    <t>TRANSFERT DE DOCUMENT PAR DHL</t>
  </si>
  <si>
    <t>CC-0008-2026</t>
  </si>
  <si>
    <t>M33CHDP261730035</t>
  </si>
  <si>
    <t>M33CHDP261730036</t>
  </si>
  <si>
    <t>M33CHDP261730530</t>
  </si>
  <si>
    <t>M33CHDP261730531</t>
  </si>
  <si>
    <t>CHQ-0046-2026</t>
  </si>
  <si>
    <t>USN-26136828</t>
  </si>
  <si>
    <t>PAYEMENT BFU USN-26136828 POUR BL 271320798</t>
  </si>
  <si>
    <t>Huit millions deux cent soixante trois mille trois cent quarante huit francs CFA</t>
  </si>
  <si>
    <t>CHQ-0047-2026</t>
  </si>
  <si>
    <t>USN-26136887</t>
  </si>
  <si>
    <t>PAYEMENT BFU USN-26136887 POUR BL 271337976</t>
  </si>
  <si>
    <t>Quatre millions quatre cent trois mille cinq cent soixante dix huit francs CFA</t>
  </si>
  <si>
    <t>PROSPERITY AND GLORY OF GOD</t>
  </si>
  <si>
    <t>FRAIS DE PRESTATION_TRANSITAIRE_ ALFRED</t>
  </si>
  <si>
    <t>CHQ-0048-2026</t>
  </si>
  <si>
    <t>WAYBILL : 9550147524/9250148891/9250152796</t>
  </si>
  <si>
    <t>Cent quatre vingt onze mille sept cent six francs CFA</t>
  </si>
  <si>
    <t>CC-0009-2026</t>
  </si>
  <si>
    <t>PAYEMENT FRET EXPORT POUR LES BL : 270942248</t>
  </si>
  <si>
    <t>CHQ-0049-2026</t>
  </si>
  <si>
    <t>0055PS-26 / 0057PS-26</t>
  </si>
  <si>
    <t>LABOUR WORK SOYA ACC</t>
  </si>
  <si>
    <t>Un million cent soixante quinze mille cinq cent soixante dix francs CFA</t>
  </si>
  <si>
    <t>CC-0010-2026</t>
  </si>
  <si>
    <t>COQ/COW</t>
  </si>
  <si>
    <t>GLOHI GEOFRANE</t>
  </si>
  <si>
    <t>ETABLISSEMENT DE COQ &amp; COW</t>
  </si>
  <si>
    <t>CHQ-0050-2026</t>
  </si>
  <si>
    <t>PURCHASE OF PP BAGS FROM MR PRUDENCE</t>
  </si>
  <si>
    <t>Trois millions neuf cent soixante mille francs CFA</t>
  </si>
  <si>
    <t>CHQ-0051-2026</t>
  </si>
  <si>
    <t>CHQ-0052-2026</t>
  </si>
  <si>
    <t>VOYELO FINANGNON</t>
  </si>
  <si>
    <t>0197963302</t>
  </si>
  <si>
    <t>CONSTRUCTION DE MAGASIN GLO DJIGBE</t>
  </si>
  <si>
    <t>CC-0011-2026</t>
  </si>
  <si>
    <t>Deux cent mille francs CFA</t>
  </si>
  <si>
    <t>STE DE PAPETERIE MODERNE</t>
  </si>
  <si>
    <t>CC-0012-2026</t>
  </si>
  <si>
    <t>ACHAT DE FOURNITURE BUREAU</t>
  </si>
  <si>
    <t>Trois mille deux cent vingt sept francs CFA</t>
  </si>
  <si>
    <t>CC-0013-2026</t>
  </si>
  <si>
    <t>MARILOG AFRICA</t>
  </si>
  <si>
    <t>VERIFICATION DE STOCK USINE DE GDIZ &amp; SITE DE SEKOU</t>
  </si>
  <si>
    <t>Un million cinq cent mille francs CFA</t>
  </si>
  <si>
    <t>CC-0014-2026</t>
  </si>
  <si>
    <t>LA GRACE DE DIEU</t>
  </si>
  <si>
    <t>ESSENCE</t>
  </si>
  <si>
    <t>CC-0015-2026</t>
  </si>
  <si>
    <t>CERCLE DE DIEU</t>
  </si>
  <si>
    <t>Cent quatre vingt douze mille neuf cent quatre francs CFA</t>
  </si>
  <si>
    <t>ZOMASSI  COFFI MARCELIN</t>
  </si>
  <si>
    <t>CHQ-0053-2026</t>
  </si>
  <si>
    <t>0197055264</t>
  </si>
  <si>
    <t>ALLADA HOUSE RENT REMAINED</t>
  </si>
  <si>
    <t>Cent vingt mille francs CFA</t>
  </si>
  <si>
    <t>CC-0016-2026</t>
  </si>
  <si>
    <t>WAYBILL : 7018927156</t>
  </si>
  <si>
    <t>CANCELED</t>
  </si>
  <si>
    <t>CC-0017-2026</t>
  </si>
  <si>
    <t>WAYBILL : 1790527410</t>
  </si>
  <si>
    <t>Cent vingt sept mille huit cent quatre francs CFA</t>
  </si>
  <si>
    <t>CC-0018-2026</t>
  </si>
  <si>
    <t>TELEX</t>
  </si>
  <si>
    <t>REQUEST OF TELEX BL269555573</t>
  </si>
  <si>
    <t>Vingt mille quatre cent quatre vingt onze francs CFA</t>
  </si>
  <si>
    <t>CC-0019-2026</t>
  </si>
  <si>
    <t>VIGAN JUSTIN</t>
  </si>
  <si>
    <t>Cent quatre vingt dix mille cent soixante deux francs CFA</t>
  </si>
  <si>
    <t>CC-0020-2026</t>
  </si>
  <si>
    <t>COMPTABILITE</t>
  </si>
  <si>
    <t>SYNEX CONSULTING</t>
  </si>
  <si>
    <t>MISSION DE PRESTATION DES COMPTES AU TITRE DE L'EXERCICE 2025</t>
  </si>
  <si>
    <t>MANGLAM TOURS ET TRAVELS</t>
  </si>
  <si>
    <t>CHQ-0054-2026</t>
  </si>
  <si>
    <t>INVOICE NO : 1565</t>
  </si>
  <si>
    <t>FORMALITES DE VOYAGE</t>
  </si>
  <si>
    <t>Neuf millions douze mille deux cent francs CFA</t>
  </si>
  <si>
    <t>USN-26149382</t>
  </si>
  <si>
    <t>Huit millions huit cent un mille cinq cent vingt cinq francs CFA</t>
  </si>
  <si>
    <t>PAYEMENT BFU USN-26149382 POUR BL 271172507</t>
  </si>
  <si>
    <t>USN-26149558</t>
  </si>
  <si>
    <t>PAYEMENT BFU USN-26149558 POUR LA LETTRE DE VOITURE LV-1093-2026</t>
  </si>
  <si>
    <t>Un million huit cent cinq mille trois cent soixante dix francs CFA</t>
  </si>
  <si>
    <t>Sept millions francs CFA</t>
  </si>
  <si>
    <t>RAJIBER</t>
  </si>
  <si>
    <t>CHQ-0055-2026</t>
  </si>
  <si>
    <t>TRANSIT</t>
  </si>
  <si>
    <t>FRAIS DE PRESTATION POUR LE TRANSITAIRE RAJIBER - MMAF</t>
  </si>
  <si>
    <t>EL HADJ GUEYE</t>
  </si>
  <si>
    <t>TOUBA KHAIRA, SENEGAL</t>
  </si>
  <si>
    <t>REMBOURSEMENT DE COMMANDE NON EXECUTEE A EL HADJ GUEYE</t>
  </si>
  <si>
    <t>CHQ-0056-2026</t>
  </si>
  <si>
    <t>CHQ-0057-2026</t>
  </si>
  <si>
    <t>UNIRISE SARL</t>
  </si>
  <si>
    <t>HAMO/ VILLA No/ S/89/DAKAR, SENEGAL</t>
  </si>
  <si>
    <t>REMBOURSEMENT DE COMMANDE NON EXECUTEE A UNIRISE</t>
  </si>
  <si>
    <t>PURCHASE RETURN</t>
  </si>
  <si>
    <t>USN-26136784</t>
  </si>
  <si>
    <t>PAYEMENT BFU USN-26136784 POUR BL 271319205</t>
  </si>
  <si>
    <t>USN-26149844</t>
  </si>
  <si>
    <t>USN-26138982</t>
  </si>
  <si>
    <t>PAYEMENT BFU USN-26149844 POUR LE BL 271322421</t>
  </si>
  <si>
    <t>RENOUVELLEMNT BFU USN-26136784</t>
  </si>
  <si>
    <t>RENOUVELLEMNT BFU USN-26138982</t>
  </si>
  <si>
    <t>USN-26138988</t>
  </si>
  <si>
    <t>USN-26137511</t>
  </si>
  <si>
    <t>USN-26138983</t>
  </si>
  <si>
    <t>PAYEMENT BFU USN-26138988 POUR LE BL 271172498</t>
  </si>
  <si>
    <t>PAYEMENT BFU USN-26136887 POUR LE BL 271321384</t>
  </si>
  <si>
    <t>PAYEMENT BFU USN-26138982 POUR LE BL 272005087</t>
  </si>
  <si>
    <t>PAYEMENT BFU USN-26138983 POUR LE BL 272299963</t>
  </si>
  <si>
    <t>PAYEMENT BFU USN-26137511 POUR LE BL 271285360</t>
  </si>
  <si>
    <t>USN-26136780</t>
  </si>
  <si>
    <t>PAYEMENT BFU USN-26136780 POUR BL 271486702</t>
  </si>
  <si>
    <t>RENOUVELLEMENT BFU USN-26136828</t>
  </si>
  <si>
    <t>Huit millions neuf cent quatre vingt neuf mille deux cent six francs CFA</t>
  </si>
  <si>
    <t>Huit millions cinq cent soixante dix neuf mille huit cent ciquante deux francs CFA</t>
  </si>
  <si>
    <t>Cent quatre vingt trois mille sept cent cinquante francs CFA</t>
  </si>
  <si>
    <t>Vingt six mille deux cent cinquante francs CFA</t>
  </si>
  <si>
    <t>Quatre millions quatre cent douze mille trois cent quarante un francs CFA</t>
  </si>
  <si>
    <t>Un million sept cent quarante-six mille trois cent vingt-huit francs CFA</t>
  </si>
  <si>
    <t>Un million sept cent trois mille trois cent huit francs CFA</t>
  </si>
  <si>
    <t>Sept cent quatre-vingt-dix-neuf mille huit cent cinquante-neuf francs CFA</t>
  </si>
  <si>
    <t>Deux cent soixante-quatorze mille huit cent quatre-vingt-seize francs CFA.</t>
  </si>
  <si>
    <t>Un million deux cent quatre-vingt-dix-neuf mille sept cent soixante-quinze francs CFA</t>
  </si>
  <si>
    <t>Cent cinquante-sept mille cinq cents francs CFA</t>
  </si>
  <si>
    <t>CHQ-0058-2026</t>
  </si>
  <si>
    <t>SOCIETE SOMAF</t>
  </si>
  <si>
    <t>AMADOU ABDOUL-GANIOU</t>
  </si>
  <si>
    <t>0195944087</t>
  </si>
  <si>
    <t>Sept millions six cents cinquante sept mille francs CFA</t>
  </si>
  <si>
    <t>REMBOURSEMENT DE COMMANDE NON EXECUTEE A STE SOMAF_ 1000 MT UD CAKE</t>
  </si>
  <si>
    <t xml:space="preserve"> INVOICE NAP-1080-2026</t>
  </si>
  <si>
    <t xml:space="preserve"> INVOICE NAP-1083-2026</t>
  </si>
  <si>
    <t>SANJAY SOYA PRIVATE LIMITED</t>
  </si>
  <si>
    <t>RENOUVELLEMENT BFU USN-26137511</t>
  </si>
  <si>
    <t>RENOUVELLEMENT BFU USN-26136887</t>
  </si>
  <si>
    <t>Deux cent dix mille francs CFA</t>
  </si>
  <si>
    <t>Douze millions neuf cent quatre-vingt-cinq mille six cents francs CFA</t>
  </si>
  <si>
    <t>CHQ-0059-2026</t>
  </si>
  <si>
    <t>PURCHASE OF DRY BAGS</t>
  </si>
  <si>
    <t>Deux cents mille francs CFA</t>
  </si>
  <si>
    <t>CHQ-0060-2026</t>
  </si>
  <si>
    <t>REDDY'S PACKAGINGS</t>
  </si>
  <si>
    <t>AHEHEHINNOU JEAN FORTUNE ABRAHAM</t>
  </si>
  <si>
    <t>EM01353518-281</t>
  </si>
  <si>
    <t>CHQ-0061-2026</t>
  </si>
  <si>
    <t>CHQ-0062-2026</t>
  </si>
  <si>
    <t>CHQ-0063-2026</t>
  </si>
  <si>
    <t>Cent trente million francs CFA</t>
  </si>
  <si>
    <t>CHQ-0064-2026</t>
  </si>
  <si>
    <t>Douze millions francs CFA</t>
  </si>
  <si>
    <t>CHQ-0065-2026</t>
  </si>
  <si>
    <t>FRAIS DE PRESTATION_TRANSITAIRE HAMA INTER</t>
  </si>
  <si>
    <t>Neuf millions francs CFA</t>
  </si>
  <si>
    <t>Nom du percepteur</t>
  </si>
  <si>
    <t>CHQ-0066-2026</t>
  </si>
  <si>
    <t>CHQ-0067-2026</t>
  </si>
  <si>
    <t>SALARY JUNE 2026</t>
  </si>
  <si>
    <t>CHQ-0068-2026</t>
  </si>
  <si>
    <t>M33CHDP261870033</t>
  </si>
  <si>
    <t>CHQ-0069-2026</t>
  </si>
  <si>
    <t>CEVA LOGISTICS</t>
  </si>
  <si>
    <t>IMPORT</t>
  </si>
  <si>
    <t>TCOO00007825</t>
  </si>
  <si>
    <t>TCOO00007739</t>
  </si>
  <si>
    <t>TCOO00008191</t>
  </si>
  <si>
    <t>TCOO00007702</t>
  </si>
  <si>
    <t>Deux millions huit cent soixante neuf mille neuf cent quatre vingt dix sept francs CFA</t>
  </si>
  <si>
    <t>Frais de prestation  sur importation</t>
  </si>
  <si>
    <t>CHQ-0070-2026</t>
  </si>
  <si>
    <t>SIAB SA</t>
  </si>
  <si>
    <t>PROFORMA 26PHT1205</t>
  </si>
  <si>
    <t>Deux millions neuf cent quatre vingt quinze cinq cent trente neuf francs CFA</t>
  </si>
  <si>
    <t>ACHAT DE FER A BETON 6/8/14 PC ARMEL_PROJECT 12 : TANK FORM - SOAP PIT AREA - PARKING</t>
  </si>
  <si>
    <t>38 MT OF CEMENT_ PROJECT 12 : TANK FORM - SOAP PIT AREA - PARKING</t>
  </si>
  <si>
    <t>SBEE</t>
  </si>
  <si>
    <t>CC-0021-2026</t>
  </si>
  <si>
    <t>REF 2524422</t>
  </si>
  <si>
    <t>PAIEMENT FACTURE D'ELECTRICITE SBEE</t>
  </si>
  <si>
    <t>Vingt sept mille trois cent cinquante cinq francs CFA</t>
  </si>
  <si>
    <t>CC-0022-2026</t>
  </si>
  <si>
    <t>WAYBILL : 6192239734</t>
  </si>
  <si>
    <t>CHQ-0071-2026</t>
  </si>
  <si>
    <t>ETS OCAMISS</t>
  </si>
  <si>
    <t>ODJOUGBELE SOUROU TOUSSAINT</t>
  </si>
  <si>
    <t>23PP33566</t>
  </si>
  <si>
    <t>ACHAT DE PRODUIT CHIMIQUE</t>
  </si>
  <si>
    <t>Quatre cent soixante cinq mille six cent francs CFA</t>
  </si>
  <si>
    <t>EM01166112-128/EM01166112-129/EM01166112-126</t>
  </si>
  <si>
    <t>DOC/PREPARATORY/CHAUDIERE/ENTRETIEN/RAFINERIE/ FRAIS DE GESTION PERSONNEL</t>
  </si>
  <si>
    <t>Quatre millions trois cent quatre vingt trois mille sept cent vingt neuf francs CFA</t>
  </si>
  <si>
    <t>CHQ-0072-2026</t>
  </si>
  <si>
    <t>INSTALLATION PARA SOL ET TONNERE</t>
  </si>
  <si>
    <t>Deux millions trois cent quatre vingt un mille francs CFA</t>
  </si>
  <si>
    <t>CHQ-0073-2026</t>
  </si>
  <si>
    <t>CHQ-0074-2026</t>
  </si>
  <si>
    <t>MISE A DISPOSITIOM D'AGENT DE SECURITE POUR LE MOIS DE JUIN</t>
  </si>
  <si>
    <t>Trois cent quarante neuf mille deux cent francs CFA</t>
  </si>
  <si>
    <t>GUINNIN ASSIBA IRENE</t>
  </si>
  <si>
    <t>CHQ-0075-2026</t>
  </si>
  <si>
    <t>REMBOURSEMENT DE COMMANDE NON EXECUTEE A DERE IMPORT EXPORT SARL U</t>
  </si>
  <si>
    <t>UD CAKE</t>
  </si>
  <si>
    <t>DERE IMPORT EXPORT SARL U</t>
  </si>
  <si>
    <t>ADETONAH DAMIEN</t>
  </si>
  <si>
    <t>0166464244</t>
  </si>
  <si>
    <t>Treize millions sept cent soixante sept mille cent francs CFA</t>
  </si>
  <si>
    <t>Un million deux cent mille francs CFA</t>
  </si>
  <si>
    <t>CHQ-0076-2026</t>
  </si>
  <si>
    <t>ABOKY MIDOKPE DIDIER</t>
  </si>
  <si>
    <t>0197870565</t>
  </si>
  <si>
    <t>LOYER MAISON GLO</t>
  </si>
  <si>
    <t>Sept cent mille francs CFA</t>
  </si>
  <si>
    <t>PRODUCTION DES NOTES DE CALCULS DES SCHEMAS ELECTRIQUES / PRESTATION POUR LA CERTIFICATION/REDEVANCE A REVERSER A CONTRELEC</t>
  </si>
  <si>
    <t>082/MBT/DG/2026</t>
  </si>
  <si>
    <t>MB TECHNOLOGIES</t>
  </si>
  <si>
    <t>CHQ-0077-2026</t>
  </si>
  <si>
    <t>CHQ-0078-2026</t>
  </si>
  <si>
    <t>Deux millions</t>
  </si>
  <si>
    <t>Soixante millions francs CFA</t>
  </si>
  <si>
    <t>CHQ-0079-2026</t>
  </si>
  <si>
    <t>CHQ-0080-2026</t>
  </si>
  <si>
    <t>CHQ-0081-2026</t>
  </si>
  <si>
    <t>CHQ-0090-2026</t>
  </si>
  <si>
    <t>CHQ-0091-2026</t>
  </si>
  <si>
    <t>Onze millions francs CFA</t>
  </si>
  <si>
    <t>FAYE ABDOU</t>
  </si>
  <si>
    <t>BOBO-DIOULASSO, BURKINA-FASO</t>
  </si>
  <si>
    <t>REMBOURSEMENT DE COMMANDE NON EXECUTEE A FAYE ABDOU</t>
  </si>
  <si>
    <t>Sept million cent cinquante cinq mille deux cent francs CFA</t>
  </si>
  <si>
    <t>Vingt millions quarante mille francs CFA</t>
  </si>
  <si>
    <t>CHQ-0082-2026</t>
  </si>
  <si>
    <t>CHQ-0083-2026</t>
  </si>
  <si>
    <t>CHQ-0084-2026</t>
  </si>
  <si>
    <t>CHQ-0085-2026</t>
  </si>
  <si>
    <t>PAYEMENT BFU USN-26164384 POUR LE BL 272826117</t>
  </si>
  <si>
    <t>PAYEMENT BFU USN-26164775 POUR LE EBKG17592002</t>
  </si>
  <si>
    <t>PAYEMENT BFU USN-26164763 POUR LE EBKG17613603</t>
  </si>
  <si>
    <t>PAYEMENT BFU USN-26164685 POUR LE EBKG17675052</t>
  </si>
  <si>
    <t>Huit million huit cent un mille huit cent quatre vingt francs CFA</t>
  </si>
  <si>
    <t>Huit million six cent soixante quatorze mille cinq cent soixante neuf francs CFA</t>
  </si>
  <si>
    <t>Huit million six cent trente trois mille six cent soixante seize francs CFA</t>
  </si>
  <si>
    <t>Huit millions cinq cent vingt sept mille qutre cent vingt neud francs CFA</t>
  </si>
  <si>
    <t>CHQ-0086-2026</t>
  </si>
  <si>
    <t>PAYEMENT BFU USN-USN-26164687 POUR LE EBKG17674853</t>
  </si>
  <si>
    <t>Huit millions quatre cent un mille cent douze francs CFA</t>
  </si>
  <si>
    <t>CC-0023-2026</t>
  </si>
  <si>
    <t>JUSTIN VIGAN</t>
  </si>
  <si>
    <t>No 058/PS-26</t>
  </si>
  <si>
    <t>Cent sept mille neuf cent trente neuf francs CFA</t>
  </si>
  <si>
    <t>8924266129</t>
  </si>
  <si>
    <t>Cent million francs CFA</t>
  </si>
  <si>
    <t>REMISE DE CHEQUE POUR NAP BIIC</t>
  </si>
  <si>
    <t>CHQ-0087-2026</t>
  </si>
  <si>
    <t>CC-0024-2026</t>
  </si>
  <si>
    <t>FACTURE 13195</t>
  </si>
  <si>
    <t>Quarante un mille quatre cent quarante huit francs CFA</t>
  </si>
  <si>
    <t>CBP</t>
  </si>
  <si>
    <t>FACTURE 35059-2026</t>
  </si>
  <si>
    <t>Onze mille huit cent cinquante francs CFA</t>
  </si>
  <si>
    <t>CC-0025-2026</t>
  </si>
  <si>
    <t>CC-0026-2026</t>
  </si>
  <si>
    <t>CC-0027-2026</t>
  </si>
  <si>
    <t>SONAEC</t>
  </si>
  <si>
    <t>FACTURE CC246704</t>
  </si>
  <si>
    <t>Quarante huit mille trois cent francs CFA</t>
  </si>
  <si>
    <t>CC-0028-2026</t>
  </si>
  <si>
    <t>REF 2559224</t>
  </si>
  <si>
    <t>PAIEMENT FACTURE D'ELECTRICITE SBEE/ ZE PLAQUE</t>
  </si>
  <si>
    <t>Vingt mille deux cents francs CFA</t>
  </si>
  <si>
    <t>CC-0029-2026</t>
  </si>
  <si>
    <t>Huit millions francs CFA</t>
  </si>
  <si>
    <t>CHQ-0088-2026</t>
  </si>
  <si>
    <t>PAYEMENT FRET EXPORT POUR LES BL : 271285360, 271321384, 271320798, 271319205, 272005087, 272299963</t>
  </si>
  <si>
    <t>Sept millions neuf cents soixante dix neuf mille cent dix huit francs CFA</t>
  </si>
  <si>
    <t>CHQ-0089-2026</t>
  </si>
  <si>
    <t>USN-26164775</t>
  </si>
  <si>
    <t>USN-26164763</t>
  </si>
  <si>
    <t>USN-26164685</t>
  </si>
  <si>
    <t>USN-26164384</t>
  </si>
  <si>
    <t>USN-26164687</t>
  </si>
  <si>
    <t>USN-26157127</t>
  </si>
  <si>
    <t>USN-26155790</t>
  </si>
  <si>
    <t>USN-26163264</t>
  </si>
  <si>
    <t>USN-26164383</t>
  </si>
  <si>
    <t>USN-26160270</t>
  </si>
  <si>
    <t>USN-26167702</t>
  </si>
  <si>
    <t>USN-26167822</t>
  </si>
  <si>
    <t>PAYEMENT BFU USN-26157127 POUR LE BL 272808713</t>
  </si>
  <si>
    <t>PAYEMENT BFU USN-26155790 POUR LE BL 271321717</t>
  </si>
  <si>
    <t>PAYEMENT BFU USN-26163264 POUR LE BL MEDUCT202800</t>
  </si>
  <si>
    <t>PAYEMENT BFU USN-26164383 POUR LE BL 272826293</t>
  </si>
  <si>
    <t>PAYEMENT BFU USN-26160270 POUR LE BL MEDUCT202875</t>
  </si>
  <si>
    <t>PAYEMENT BFU USN-26167702 POUR LE BL 272826020</t>
  </si>
  <si>
    <t>PAYEMENT BFU USN-26167822 POUR LE BL 273955686</t>
  </si>
  <si>
    <t>Huit millions sept cent cinquante-huit mille trois cent un francs CFA</t>
  </si>
  <si>
    <t>Un million six cent cinquante et un mille cent cinquante-sept francs CFA</t>
  </si>
  <si>
    <t>Huit millions cinq cent seize mille cinq cent soixante-seize francs CFA</t>
  </si>
  <si>
    <t>Un million six cent quatre mille huit cent quatre-vingt-douze francs CFA</t>
  </si>
  <si>
    <t>Huit millions cinq cent cinquante-sept mille cinq cent trente-sept francs CFA</t>
  </si>
  <si>
    <t>Huit millions cinq cent soixante-douze mille huit cent cinquante-neuf francs CFA</t>
  </si>
  <si>
    <t>Huit millions sept cent vingt-cinq mille cent cinquante-sept francs CFA</t>
  </si>
  <si>
    <t>FRAIS DE PRESTATION_TRANSITAIRE_ ALFRED_FORMALITES EXPORT POUR 6 TANKERS</t>
  </si>
  <si>
    <t>Huit cent mille francs CFA</t>
  </si>
  <si>
    <t>EM01549525-48</t>
  </si>
  <si>
    <t>SALARY AND LOCAL ALLOWANCE JUIN 2026</t>
  </si>
  <si>
    <t>CC-0030-2026</t>
  </si>
  <si>
    <t>270-FACT</t>
  </si>
  <si>
    <t>CC-0031-2026</t>
  </si>
  <si>
    <t>STE PAPETERIE MODERNE SARL</t>
  </si>
  <si>
    <t>Trois mille vingt six francs CFA</t>
  </si>
  <si>
    <t>CC-0032-2026</t>
  </si>
  <si>
    <t>Dix-neuf millions francs CFA</t>
  </si>
  <si>
    <t>CHQ-0093-2026</t>
  </si>
  <si>
    <t>CHQ-0094-2026</t>
  </si>
  <si>
    <t>USN-26169467</t>
  </si>
  <si>
    <t>PAYEMENT BFU USN-26169467 POUR LE EBKG17777623</t>
  </si>
  <si>
    <t>Huit millions cinq cent quatre vingt quatorze mille cinq cent quatre vingt quatre fransc CFA</t>
  </si>
  <si>
    <t>CHQ-0095-2026</t>
  </si>
  <si>
    <t>PAIEMENT FACTURE D'ELECTRICITE SBEE/ AJAY BABU</t>
  </si>
  <si>
    <t>Cinquante mille francs CFA</t>
  </si>
  <si>
    <t>CC-0033-2026</t>
  </si>
  <si>
    <t>REF 2627531</t>
  </si>
  <si>
    <t>CHQ-0096-2026</t>
  </si>
  <si>
    <t>CC-0034-2026</t>
  </si>
  <si>
    <t>REF aaec52a885</t>
  </si>
  <si>
    <t>PAIEMENT FACTURE D'ELECTRICITE SBEE/ MAISON GLO</t>
  </si>
  <si>
    <t>Cent mille francs CFA</t>
  </si>
  <si>
    <t>Six cent soixante mille francs CFA</t>
  </si>
  <si>
    <t>GBETOHO EZECKIEL</t>
  </si>
  <si>
    <t>0151472487</t>
  </si>
  <si>
    <t>CHQ-0097-2026</t>
  </si>
  <si>
    <t>LOYER MAISON ARCONVILLE/Mr RAJ KUMAR / PERIODE DE 06 JUILLET AU 5 OCTOBRE 2026</t>
  </si>
  <si>
    <t>Dix-sept millions francs CFA</t>
  </si>
  <si>
    <t>CHQ-0098-2026</t>
  </si>
  <si>
    <t>CHQ-0099-2026</t>
  </si>
  <si>
    <t>USN-26170702</t>
  </si>
  <si>
    <t>PAYEMENT BFU USN-26170702 POUR LE 273955510</t>
  </si>
  <si>
    <t>Huit millions quatre soixante deux mille neuf cent soixante deux mille francs CFA</t>
  </si>
  <si>
    <t>WAYBILL : 4074627966</t>
  </si>
  <si>
    <t>CC-0035-2026</t>
  </si>
  <si>
    <t>USN-26172299</t>
  </si>
  <si>
    <t>Huit cinq cent quarante mille quatre cent douze francs CFA</t>
  </si>
  <si>
    <t>PAYEMENT BFU USN-26172299 POUR LE EBKG17835515</t>
  </si>
  <si>
    <t>USN-26172392</t>
  </si>
  <si>
    <t>Huit millions quatre cent soixante cinq mille deux cent soixante seize francs CFA</t>
  </si>
  <si>
    <t>PAYEMENT BFU USN-26172392 POUR LE EBKG17812040</t>
  </si>
  <si>
    <t>CHQ-0100-2026</t>
  </si>
  <si>
    <t>CHQ-0101-2026</t>
  </si>
  <si>
    <t>PAYEMENT FRET EXPORT POUR LES BL : 271337976, 271172498</t>
  </si>
  <si>
    <t>Un million sept cent treize mille quatre cent quatre vingt quatre francs CFA</t>
  </si>
  <si>
    <t>CHQ-0102-2026</t>
  </si>
  <si>
    <t>CHQ-0103-2026</t>
  </si>
  <si>
    <t>Six cent vingt mille un francs CFA</t>
  </si>
  <si>
    <t>USN-26172142</t>
  </si>
  <si>
    <t>PAYEMENT BFU USN-26172142 POUR LE 274567204</t>
  </si>
  <si>
    <t>PAIEMENT FACTURE D'ELECTRICITE SBEE/ NAP OFFICE</t>
  </si>
  <si>
    <t>Vingt quatre neuf cent francs CFA</t>
  </si>
  <si>
    <t>REF DGT3EQONVF</t>
  </si>
  <si>
    <t>CC-0036-2026</t>
  </si>
  <si>
    <t>CHQ-0104-2026</t>
  </si>
  <si>
    <t>CC-0037-2026</t>
  </si>
  <si>
    <t>FRAIS D'ETABLISSEMENT DES NON-GMO</t>
  </si>
  <si>
    <t>Huit millions sept cent un mille cent qurante quatre francs CFA</t>
  </si>
  <si>
    <t>USN-26173238</t>
  </si>
  <si>
    <t>PAYEMENT BFU USN-26173238 POUR LE EBKG17893173</t>
  </si>
  <si>
    <t>CHQ-0105-2026</t>
  </si>
  <si>
    <t>CHQ-0106-2026</t>
  </si>
  <si>
    <t>MSC BENIN</t>
  </si>
  <si>
    <t>PAYEMENT FRET EXPORT POUR LES BL : MEDUCT203949, MEDUCT203212, MEDUCT203477</t>
  </si>
  <si>
    <t>Quatre millions neuf cent vingt six mille cinq cent quarante neuf francs CFA</t>
  </si>
  <si>
    <t>CC-0038-2026</t>
  </si>
  <si>
    <t>Trois cent mille francs CFA</t>
  </si>
  <si>
    <t>CHQ-0107-2026</t>
  </si>
  <si>
    <t>Cent douze million francs CFA</t>
  </si>
  <si>
    <t>CC-0039-2026</t>
  </si>
  <si>
    <t>No 059/PS-26</t>
  </si>
  <si>
    <t>Quatre vingt deux mille neuf cent cinquante quatre francs CFA</t>
  </si>
  <si>
    <t>CHQ-0108-2026</t>
  </si>
  <si>
    <t>ACE GLOBAL</t>
  </si>
  <si>
    <t>GLONI</t>
  </si>
  <si>
    <t>SETON AMOUROS GEOFRANE</t>
  </si>
  <si>
    <t>0168457478</t>
  </si>
  <si>
    <t>Ref 043 &amp; 028</t>
  </si>
  <si>
    <t>FRAIS DE TIERCE DETENTION DE SITE DE STOCKAGE GDIZ GLO-DJIGBE // Mois de MARS et AVRIL</t>
  </si>
  <si>
    <t>Deux millions cent trente quatre mille francs CFA</t>
  </si>
  <si>
    <t>CERTIFICAT DE QUALITE ET DE POIDS POUR 10 BL</t>
  </si>
  <si>
    <t>Six cents mille francs CFA</t>
  </si>
  <si>
    <t>CC-0040-2026</t>
  </si>
  <si>
    <t>CC-0041-2026</t>
  </si>
  <si>
    <t>CC-0042-2026</t>
  </si>
  <si>
    <t>Vingt cinq mille deux cent cinquante francs CFA</t>
  </si>
  <si>
    <t>Quinze mille cent cinquante francs CFA</t>
  </si>
  <si>
    <t>REF 2697622</t>
  </si>
  <si>
    <t>REF 2698084</t>
  </si>
  <si>
    <t>Quarante mille quatre cent francs CFA</t>
  </si>
  <si>
    <t>SOINS DENTAIRE / NARALASETTI AJE YABABU</t>
  </si>
  <si>
    <t>ED05001152</t>
  </si>
  <si>
    <t>CC-0043-2026</t>
  </si>
  <si>
    <t>AUTRE</t>
  </si>
  <si>
    <t>CABINET DENTAIRE DIAMON</t>
  </si>
  <si>
    <t>NARALASETTI AJE YABABU</t>
  </si>
  <si>
    <t>CC-0044-2026</t>
  </si>
  <si>
    <t>NAGA SRINIVAS</t>
  </si>
  <si>
    <t>EM01066672-282</t>
  </si>
  <si>
    <t>PRESTATION DE SOINS MEDICAUX DE NAGA SRINIVAS</t>
  </si>
  <si>
    <t>Quatre vingt mille francs CFA</t>
  </si>
  <si>
    <t>DB TRADING</t>
  </si>
  <si>
    <t>FRAIS DE PRESTATION_TRANSITAIRE_ RAJIBER</t>
  </si>
  <si>
    <t>CHQ-0109-2026</t>
  </si>
  <si>
    <t>CHQ-0110-2026</t>
  </si>
  <si>
    <t>CHQ-0111-2026</t>
  </si>
  <si>
    <t>USN-26173954</t>
  </si>
  <si>
    <t>PAYEMENT BFU USN-26173954 POUR LE EBKG17835437</t>
  </si>
  <si>
    <t>Huit millions sept cent soixante quinze mille trois cent trente deux francs CFA</t>
  </si>
  <si>
    <t>CHQ-0112-2026</t>
  </si>
  <si>
    <t>Un million trois vingt mille francs CFA</t>
  </si>
  <si>
    <t>CHQ-0113-2026</t>
  </si>
  <si>
    <t>CONSTRUCTION DU TANK / FACTORY GDIZ</t>
  </si>
  <si>
    <t>Cent quinze mille cinq cent francs CFA</t>
  </si>
  <si>
    <t>CC-0045-2026</t>
  </si>
  <si>
    <t>30 SACS DE CIMENT / Mr. ARMEL</t>
  </si>
  <si>
    <t>CHQ-0114-2026</t>
  </si>
  <si>
    <t>Dix neuf million cinq cent mille francs CFA</t>
  </si>
  <si>
    <t>WAYBILL : 2408274606</t>
  </si>
  <si>
    <t>CC-0046-2026</t>
  </si>
  <si>
    <t>PAYEMENT FRET EXPORT POUR LES BL :  MEDUCT202800, MEDUCT202875</t>
  </si>
  <si>
    <t>Trois millions deux cents soixante quatorze mille neuf cent quatre vingt huit francs CFA</t>
  </si>
  <si>
    <t>PAYEMENT FRET EXPORT POUR LES BL : 271172507, 272808713, 271322421, 271321717</t>
  </si>
  <si>
    <t>Six millions deux cent soixante onze mille huit cent dix francs CFA</t>
  </si>
  <si>
    <t>CHQ-0115-2026</t>
  </si>
  <si>
    <t>CHQ-0116-2026</t>
  </si>
  <si>
    <t>DOC/ENTRETIEN/AUTRES/ FRAIS DE GESTION PERSONNEL</t>
  </si>
  <si>
    <t xml:space="preserve">EM01174215-968 </t>
  </si>
  <si>
    <t>EM01174215-985</t>
  </si>
  <si>
    <t>Un million trois cent vingt huit mille quatre cent trente neuf francs CFA</t>
  </si>
  <si>
    <t>CHQ-0117-2026</t>
  </si>
  <si>
    <t>CC-0047-2026</t>
  </si>
  <si>
    <t>HPC</t>
  </si>
  <si>
    <t>MAINTENANCE PC</t>
  </si>
  <si>
    <t>Cinquante un mille francs CFA</t>
  </si>
  <si>
    <t>OJ REAL CONSTRUCTION COMPANY LIMITED</t>
  </si>
  <si>
    <t>CHQ-0118-2026</t>
  </si>
  <si>
    <t>SOLVENT PLANT OIL MILLS OUTSTANDING WORKS / BOILER HOUSE OUTSTANDING WORKS</t>
  </si>
  <si>
    <t>CHQ-0119-2026</t>
  </si>
  <si>
    <t>CHQ-0120-2026</t>
  </si>
  <si>
    <t>RAPPORTS DU COMMISSAIRE AUX COMPTES SUR LES COMPTES ANNUELS DE L'EXCERCICE CLOS LE 31-12-2025</t>
  </si>
  <si>
    <t>CC-0048-2026</t>
  </si>
  <si>
    <t>GANDOTE MARTIAL SEDJRO</t>
  </si>
  <si>
    <t>21PP36956</t>
  </si>
  <si>
    <t>SOYA MEAL</t>
  </si>
  <si>
    <t>GOUNOU OCEANE</t>
  </si>
  <si>
    <t>0195353454</t>
  </si>
  <si>
    <t>REMBOURSEMENT DE COMMANDE NON EXECUTEE A GOUNOU OCEANE</t>
  </si>
  <si>
    <t>CHQ-0121-2026</t>
  </si>
  <si>
    <t>PAYEMENT FRET EXPORT POUR LES BL : MEDUCT204509</t>
  </si>
  <si>
    <t>CHQ-0122-2026</t>
  </si>
  <si>
    <t>CC-0049-2026</t>
  </si>
  <si>
    <t>FRAIS D'ETABLISSEMENT DES NON-GMO / Bl MEDUCT202800</t>
  </si>
  <si>
    <t>CHQ-0123-2026</t>
  </si>
  <si>
    <t>FRAIS DE PRESTATION_TRANSITAIRE_ ALFRED_FORMALITES EXPORT POUR 3 TANKERS</t>
  </si>
  <si>
    <t>CHQ-0124-2026</t>
  </si>
  <si>
    <t>EM01549525-49</t>
  </si>
  <si>
    <t>ORDRE DE VIREMENT SALAIRE  2026</t>
  </si>
  <si>
    <t>N_0034-2026-OV/NAP/AG/DIR/CC</t>
  </si>
  <si>
    <t>CHQ-0125-2026</t>
  </si>
  <si>
    <t>SBIN</t>
  </si>
  <si>
    <t>K0004233855</t>
  </si>
  <si>
    <t>CONNEXION INTERNET OFFICE</t>
  </si>
  <si>
    <t>CC-0050-2026</t>
  </si>
  <si>
    <t>No 2602951282-001D/BN</t>
  </si>
  <si>
    <t>ETABLISSEMENT DE CARTE BIOMETRIQUE DE GARBA BOURAIMA</t>
  </si>
  <si>
    <t>CC-0051-2026</t>
  </si>
  <si>
    <t>PAYEMENT BFU USN-26185932 POUR LE EBKG18009098</t>
  </si>
  <si>
    <t>CHQ-0126-2026</t>
  </si>
  <si>
    <t>PAYEMENT FACTURE COMMISSION EXPORT POUR LES BL : 274133691, 274133543</t>
  </si>
  <si>
    <t>CC-0052-2026</t>
  </si>
  <si>
    <t>CHQ-0127-2026</t>
  </si>
  <si>
    <t>PAYEMENT FACTURE ACHAT BL ET FRET  EXPORT POUR LES BL : 274133691, 274133543, 272826020, 272826117, 273955510, 273955686, 272826293, 274567204</t>
  </si>
  <si>
    <t>WAYBILL : 7393715173</t>
  </si>
  <si>
    <t>WAYBILL : 3439610930</t>
  </si>
  <si>
    <t>CC-0053-2026</t>
  </si>
  <si>
    <t>CC-0054-2026</t>
  </si>
  <si>
    <t>MISE A DISPOSITIOM D'AGENT DE SECURITE POUR LE MOIS DE JUILLET</t>
  </si>
  <si>
    <t>CHQ-0128-2026</t>
  </si>
  <si>
    <t>SHEA</t>
  </si>
  <si>
    <t>PURCHASE OF SHEA</t>
  </si>
  <si>
    <t>BL6012RB/AS9458RB_49.38 MT_Ticket 34599</t>
  </si>
  <si>
    <t>CHQ-0129-2026</t>
  </si>
  <si>
    <t>CC-0055-2026</t>
  </si>
  <si>
    <t>FRAIS D'ETABLISSEMENT DES NON-GMO / BL MEDUCT202875</t>
  </si>
  <si>
    <t>TANK FORM - SOAP PIT AREA - PARKING</t>
  </si>
  <si>
    <t>CHQ-0130-2026</t>
  </si>
  <si>
    <t>PAYEMENT FACTURE COMMISSION  EXPORT POUR LES BL : 272826020, 272826117, 273955510, 273955686, 272826293, 274567204</t>
  </si>
  <si>
    <t>CC-0056-2026</t>
  </si>
  <si>
    <t>CHQ-0131-2026</t>
  </si>
  <si>
    <t>BU4105RB_50.16 MT</t>
  </si>
  <si>
    <t>CC-0057-2026</t>
  </si>
  <si>
    <t>FACTURE POUR DE TELEX BL 271337976 &amp; 271172498</t>
  </si>
  <si>
    <t>PAIEMENT FACTURE D'ELECTRICITE SBEE/ ALLADA</t>
  </si>
  <si>
    <t>REF 2836843</t>
  </si>
  <si>
    <t>CC-0058-2026</t>
  </si>
  <si>
    <t>REMISE DE CHEQUE DE NAP ATLANTIQUE COMPTE POUR NAP ECOBANK</t>
  </si>
  <si>
    <t>CHQ-0132-2026</t>
  </si>
  <si>
    <t>BL6012RB/AS9458RB_49.38 MT &amp; CH7143RB/BD4686RB_50.12 MT</t>
  </si>
  <si>
    <t>OSSENI ABOU SAMS-DINE</t>
  </si>
  <si>
    <t>CHQ-0133-2026</t>
  </si>
  <si>
    <t>ISMAEL WASSIOU</t>
  </si>
  <si>
    <t>REQUEST OF TELEX BL 272005087, 272299963, 271285360</t>
  </si>
  <si>
    <t>CC-0059-2026</t>
  </si>
  <si>
    <t>WAYBILL : 2926070173</t>
  </si>
  <si>
    <t>CC-0061-2026</t>
  </si>
  <si>
    <t>CC-0060-2026</t>
  </si>
  <si>
    <t>CC-0062-2026</t>
  </si>
  <si>
    <t>REQUEST OF TELEX BL 271321384</t>
  </si>
  <si>
    <t>NOEL DOLEME</t>
  </si>
  <si>
    <t>BADJOGOUN EVELINE NESTORINE</t>
  </si>
  <si>
    <t>0162360473</t>
  </si>
  <si>
    <t>CC-0063-2026</t>
  </si>
  <si>
    <t>FRAIS D'ETABLISSEMENT DES NON-GMO / BL 271322421 ET BL272808713</t>
  </si>
  <si>
    <t>SIGN BOARD</t>
  </si>
  <si>
    <t>AVHEC BENI</t>
  </si>
  <si>
    <t>ATTIGLA VIANNEY HERVE COSSI</t>
  </si>
  <si>
    <t>0196815102</t>
  </si>
  <si>
    <t>CHQ-0135-2026</t>
  </si>
  <si>
    <t>VLAVONOU PIERRE</t>
  </si>
  <si>
    <t>CHQ-0136-2026</t>
  </si>
  <si>
    <t>CHQ-0137-2026</t>
  </si>
  <si>
    <t>CHQ-0138-2026</t>
  </si>
  <si>
    <t>CHQ-0139-2026</t>
  </si>
  <si>
    <t>PAYEMENT FRET EXPORT POUR LES BL : MEDUCT203543, MEDUCT205191</t>
  </si>
  <si>
    <t>CHQ-0140-2026</t>
  </si>
  <si>
    <t>FRAIS DE PRESTATION_TRANSITAIRE PROSPERITY AND GLORY</t>
  </si>
  <si>
    <t>CHQ-0141-2026</t>
  </si>
  <si>
    <t>CHQ-0142-2026</t>
  </si>
  <si>
    <t>KARITE</t>
  </si>
  <si>
    <t>PRESTATION DE MANUTENTION GRAINE DE KARITE</t>
  </si>
  <si>
    <t>CC-0064-2026</t>
  </si>
  <si>
    <t>CERTICAT</t>
  </si>
  <si>
    <t>FRAIS DE PRESTATION_POUR CERTICAT EXPRESS BL 271322421</t>
  </si>
  <si>
    <t>CHQ-0143-2026</t>
  </si>
  <si>
    <t>Un million cent quatre-vingt-douze mille cinq cents francs CFA.</t>
  </si>
  <si>
    <t>EM01166112-114</t>
  </si>
  <si>
    <t>CC-0065-2026</t>
  </si>
  <si>
    <t>FRAIS D'ETABLISSEMENT DES NON-GMO 271321717  // 274133691 // 273955686 // 273955510 // 272826020</t>
  </si>
  <si>
    <t>Cinq Cent mille francs CFA</t>
  </si>
  <si>
    <t>CE6019RB_47.34 MT</t>
  </si>
  <si>
    <t>CHQ-0144-2026</t>
  </si>
  <si>
    <t>CHQ-0145-2026</t>
  </si>
  <si>
    <t>23PP67637</t>
  </si>
  <si>
    <t>CHQ-0146-2026</t>
  </si>
  <si>
    <t>CE1927RB/BC7835RB_47.50 MT</t>
  </si>
  <si>
    <t>WAYBILL : 8550163344</t>
  </si>
  <si>
    <t>WAYBILL : 6406435991</t>
  </si>
  <si>
    <t>WAYBILL : 8488455032</t>
  </si>
  <si>
    <t>343-FACT</t>
  </si>
  <si>
    <t>REF aaec572d2f</t>
  </si>
  <si>
    <t>CC-0066-2026</t>
  </si>
  <si>
    <t>CC-0067-2026</t>
  </si>
  <si>
    <t>CC-0068-2026</t>
  </si>
  <si>
    <t>CC-0069-2026</t>
  </si>
  <si>
    <t>CC-0070-2026</t>
  </si>
  <si>
    <t>DOSSOU GOUDOU ROMAIN</t>
  </si>
  <si>
    <t>BB9793RB/BD3472RB_34.98 MT</t>
  </si>
  <si>
    <t>CC-0071-2026</t>
  </si>
  <si>
    <t>0197720697</t>
  </si>
  <si>
    <t>CHQ-0147-2026</t>
  </si>
  <si>
    <t>CHQ-0148-2026</t>
  </si>
  <si>
    <t>CB5092RB/AG6029RB_43.82 MT</t>
  </si>
  <si>
    <t>CG9872RB/CC4676RB_30.32 MT</t>
  </si>
  <si>
    <t>FRAIS D'ETABLISSEMENT DES NON-GMO / Bl 272826117</t>
  </si>
  <si>
    <t>CC-0072-2026</t>
  </si>
  <si>
    <t>CB 2032 RB / CB 1943 RB_31.36 MT</t>
  </si>
  <si>
    <t>AHOSSI GABIN</t>
  </si>
  <si>
    <t>CHQ-0149-2026</t>
  </si>
  <si>
    <t>YENAFO MOISE</t>
  </si>
  <si>
    <t>CG9846RB/CG9873RB_31.96 MT</t>
  </si>
  <si>
    <t>CHQ-0150-2026</t>
  </si>
  <si>
    <t>CHQ-0151-2026</t>
  </si>
  <si>
    <t>CG9072RB_30.32 MT / CD0085RB_40.72 MT</t>
  </si>
  <si>
    <t>BN9320RB/BC1254RB_40.02 MT</t>
  </si>
  <si>
    <t>DAOUDA MACHOUDI</t>
  </si>
  <si>
    <t>CHQ-0152-2026</t>
  </si>
  <si>
    <t>FRAIS D'ETABLISSEMENT DES NON-GMO / Bl MEDUCT204509, MEDUCT203543, 274133543</t>
  </si>
  <si>
    <t>CC-0073-2026</t>
  </si>
  <si>
    <t>CHQ-0153-2026</t>
  </si>
  <si>
    <t>LABOUR WORK SHEA ACC</t>
  </si>
  <si>
    <t>CHQ-0154-2026</t>
  </si>
  <si>
    <t>CHQ-0155-2026</t>
  </si>
  <si>
    <t>CL7219RB_49.60 MT &amp; BZ6773RB_47.14MT</t>
  </si>
  <si>
    <t>BADAROU SAID</t>
  </si>
  <si>
    <t>27/2/27</t>
  </si>
  <si>
    <t>01977337270</t>
  </si>
  <si>
    <t>BP4509RB_48.60 MT &amp; BY1669RB_44.56 MT</t>
  </si>
  <si>
    <t>CHQ-0156-2026</t>
  </si>
  <si>
    <t>KPADONOU SOUROU JOEL</t>
  </si>
  <si>
    <t>GBADAMASSI AKITOLA ALABI</t>
  </si>
  <si>
    <t>0196309042</t>
  </si>
  <si>
    <t>BA0693RB/BG9156RB_45.30 MT</t>
  </si>
  <si>
    <t>CC-0074-2026</t>
  </si>
  <si>
    <t>MEHSAN DANIEL JOEL</t>
  </si>
  <si>
    <t>CH2008RB/BA5975RB_44.52 MT</t>
  </si>
  <si>
    <t>CA0713RB/BH0362RB_39.24 MT</t>
  </si>
  <si>
    <t>CC8393RB/CC8391RB_45.46 MT</t>
  </si>
  <si>
    <t>ORDI TRADING COMPANY</t>
  </si>
  <si>
    <t>CHQ-0157-2026</t>
  </si>
  <si>
    <t>AZ4227RB/AE4983RB_46.06 MT</t>
  </si>
  <si>
    <t>ALLASSANE MARWANE</t>
  </si>
  <si>
    <t>0147114549</t>
  </si>
  <si>
    <t>CHQ-0158-2026</t>
  </si>
  <si>
    <t>CHQ-0159-2026</t>
  </si>
  <si>
    <t>AHEGNI CASIMIR</t>
  </si>
  <si>
    <t>AHEGNI HIPPOLYTE</t>
  </si>
  <si>
    <t>0196034539</t>
  </si>
  <si>
    <t>AP7150RB/AL0466RB_33.98 MT &amp; CA5858RB/AC1719RB_46.92 MT</t>
  </si>
  <si>
    <t>CL0201RB/CJ8154RB_45.4 MT</t>
  </si>
  <si>
    <t>CHIBLO FERDINAND</t>
  </si>
  <si>
    <t>0197502513</t>
  </si>
  <si>
    <t>CHQ-0160-2026</t>
  </si>
  <si>
    <t>AHOUANSOTODE BAUDELAIRE AIME</t>
  </si>
  <si>
    <t>ROOFING BOILER</t>
  </si>
  <si>
    <t>CHQ-0161-2026</t>
  </si>
  <si>
    <t>AY3969RB/AD0138RB_39.62 MT</t>
  </si>
  <si>
    <t>GBAGBE MATHIAS</t>
  </si>
  <si>
    <t>CHQ-0162-2026</t>
  </si>
  <si>
    <t>CHQ-0163-2026</t>
  </si>
  <si>
    <t>CC-0075-2026</t>
  </si>
  <si>
    <t>REQUEST OF TELEX BL 271172507</t>
  </si>
  <si>
    <t>CC-0076-2026</t>
  </si>
  <si>
    <t>WAYBILL : 1609260870</t>
  </si>
  <si>
    <t>WAYBILL : 6863120714</t>
  </si>
  <si>
    <t>CC-0077-2026</t>
  </si>
  <si>
    <t>CC-0078-2026</t>
  </si>
  <si>
    <t>CC-0079-2026</t>
  </si>
  <si>
    <t>HUILE  A MOTEUR VIDANGE POUR VEHICULE ADMINISTRATIF</t>
  </si>
  <si>
    <t>REF 2916710</t>
  </si>
  <si>
    <t>PAIEMENT FACTURE D'ELECTRICITE SBEE/ MAISON DES CEO</t>
  </si>
  <si>
    <t>CC-0080-2026</t>
  </si>
  <si>
    <t>CC-0081-2026</t>
  </si>
  <si>
    <t>ELECTRO ZONE</t>
  </si>
  <si>
    <t>REF FACT 0002536</t>
  </si>
  <si>
    <t>ACHAT TELEVISION</t>
  </si>
  <si>
    <t>CHQ-0164-2026</t>
  </si>
  <si>
    <t>BY5570RB/BH1863RB_44.4 MT</t>
  </si>
  <si>
    <t>CHQ-0165-2026</t>
  </si>
  <si>
    <t>CHQ-0166-2026</t>
  </si>
  <si>
    <t>WAYBILL : 8997737490 /8997734686</t>
  </si>
  <si>
    <t>CC-0082-2026</t>
  </si>
  <si>
    <t>CL2204RB/BU2541RB_50.32 MT</t>
  </si>
  <si>
    <t>CC-0083-2026</t>
  </si>
  <si>
    <t>FRAIS D'ETABLISSEMENT DES NON-GMO / BL 274567204 &amp; 272826293</t>
  </si>
  <si>
    <t>CC-0084-2026</t>
  </si>
  <si>
    <t>PAYEMENT FRET EXPORT POUR LES BL : MEDUCT204962, MEDUCT205431, MEDUCT206777</t>
  </si>
  <si>
    <t>CC-0085-2026</t>
  </si>
  <si>
    <t>PAYEMENT FRET EXPORT POUR LES BL : MEDUCT205464</t>
  </si>
  <si>
    <t>CC-0086-2026</t>
  </si>
  <si>
    <t>CC-0087-2026</t>
  </si>
  <si>
    <t>PAYEMENT FACTURE RECTIF POUR LES BL : MEDUCT204962, MEDUCT205431, MEDUCT206777</t>
  </si>
  <si>
    <t>CG4463RB/CE6958RB_42.38 MT</t>
  </si>
  <si>
    <t>CC-0088-2026</t>
  </si>
  <si>
    <t>CHQ-0167-2026</t>
  </si>
  <si>
    <t>CHQ-0168-2026</t>
  </si>
  <si>
    <t>BB9793RB/BD3472RB_2.7 MT &amp; BD4987RB/BE6187RB_51.32 MT</t>
  </si>
  <si>
    <t>CHQ-0169-2026</t>
  </si>
  <si>
    <t>CF1589RB/BS9736RB_50.06 MT</t>
  </si>
  <si>
    <t>CHQ-0170-2026</t>
  </si>
  <si>
    <t>CHQ-0171-2026</t>
  </si>
  <si>
    <t>CA7583RB/AP2290RB_47.94 MT</t>
  </si>
  <si>
    <t>CHQ-0172-2026</t>
  </si>
  <si>
    <t>CHQ-0173-2026</t>
  </si>
  <si>
    <t>BX1108RB/BX1109RB_42.16 MT</t>
  </si>
  <si>
    <t>CHQ-0174-2026</t>
  </si>
  <si>
    <t>PROSPERE</t>
  </si>
  <si>
    <t>EDIKOU GAEL</t>
  </si>
  <si>
    <t>BP5945RB/BY8609RB_33.74 MT</t>
  </si>
  <si>
    <t>DAA-HINGBANON VIRGILE</t>
  </si>
  <si>
    <t>CHQ-0175-2026</t>
  </si>
  <si>
    <t>GOUNOU ELISABETH</t>
  </si>
  <si>
    <t>TOKOU OROU KINNOU CHRYSOSTOME</t>
  </si>
  <si>
    <t>BY6831RB/BC1375RB_49.36 MT</t>
  </si>
  <si>
    <t>CHQ-0176-2026</t>
  </si>
  <si>
    <t>KOBOLOU HERVE</t>
  </si>
  <si>
    <t>0164370133</t>
  </si>
  <si>
    <t>BL6012RB/AS9458RB_49.40 MT</t>
  </si>
  <si>
    <t>CHQ-0177-2026</t>
  </si>
  <si>
    <t>CHQ-0178-2026</t>
  </si>
  <si>
    <t>HOUSE RENT SEPT-OCT-NOV 2026 : AJAY BABU</t>
  </si>
  <si>
    <t>KPATINDE AKODEA EMMANUEL</t>
  </si>
  <si>
    <t>LOKOSSOU URBAIN</t>
  </si>
  <si>
    <t>A10230100190410</t>
  </si>
  <si>
    <t>CHQ-0179-2026</t>
  </si>
  <si>
    <t>CHQ-0180-2026</t>
  </si>
  <si>
    <t>REF aaec5b0d20</t>
  </si>
  <si>
    <t>FRAIS DE CONSOMMATION ELECTRICITE FEV, MAR &amp; AVR 2026</t>
  </si>
  <si>
    <t>EAU/SERVICE-GDIZ</t>
  </si>
  <si>
    <t>FRAIS DE CONSOMMATION EAU FEV, MAR, AVR 2026</t>
  </si>
  <si>
    <t>PESAGE CAMION NOV, FEV, MAR, AVR 2026</t>
  </si>
  <si>
    <t>CHQ-0181-2026</t>
  </si>
  <si>
    <t>CHQ-0182-2026</t>
  </si>
  <si>
    <t>CHQ-0183-2026</t>
  </si>
  <si>
    <t>CAISSE GDIZ</t>
  </si>
  <si>
    <t>TRANSFERT DE FOND</t>
  </si>
  <si>
    <t>CC-0089-2026</t>
  </si>
  <si>
    <t>CC-0090-2026</t>
  </si>
  <si>
    <t>PAYEMENT FACTURE RECTIF POUR LES BL : MEDUCT205464</t>
  </si>
  <si>
    <t>BU0599RB/BC5874RB_20.9 MT</t>
  </si>
  <si>
    <t>CHQ-0184-2026</t>
  </si>
  <si>
    <t>REQUEST OF TELEX BL 274567204, 272826293</t>
  </si>
  <si>
    <t>CC-0091-2026</t>
  </si>
  <si>
    <t>WAYBILL : 4130821343</t>
  </si>
  <si>
    <t>CC-0092-2026</t>
  </si>
  <si>
    <t>CC-0093-2026</t>
  </si>
  <si>
    <t>WAYBILL : 1121401315, 8227327953, 8227317420</t>
  </si>
  <si>
    <t>CENTRE DE FORMATION EN SECURITE INCENDIE</t>
  </si>
  <si>
    <t>CHQ-0185-2026</t>
  </si>
  <si>
    <t>EM01032541-498, EM01032541-499, EM01032541-500</t>
  </si>
  <si>
    <t>RECHARGE,FOURNITURE, VERIFICATION ET ENTRETIEN D'EXTINCTEURS</t>
  </si>
  <si>
    <t>CC-0094-2026</t>
  </si>
  <si>
    <t>CC-0095-2026</t>
  </si>
  <si>
    <t>BS9163RB/CD2740RB_45.62 MT</t>
  </si>
  <si>
    <t>SONEB</t>
  </si>
  <si>
    <t>FE678032102352/FE679032102353</t>
  </si>
  <si>
    <t>FACTURE D'EAU OFFICE NAP MISSEBO</t>
  </si>
  <si>
    <t>WAYBILL : 3852052584</t>
  </si>
  <si>
    <t>CC-0096-2026</t>
  </si>
  <si>
    <t>CC-0097-2026</t>
  </si>
  <si>
    <t>CC-0098-2026</t>
  </si>
  <si>
    <t>CHQ-0186-2026</t>
  </si>
  <si>
    <t>CHQ-0187-2026</t>
  </si>
  <si>
    <t>AHOUANDJOGBE CONSTANTIN</t>
  </si>
  <si>
    <t>0169121012</t>
  </si>
  <si>
    <t>BD4987RB/BE6187RB_51.32 MT</t>
  </si>
  <si>
    <t>CHQ-0188-2026</t>
  </si>
  <si>
    <t>AT8153RB/BN3081RB_26.8 MT</t>
  </si>
  <si>
    <t>CC-0099-2026</t>
  </si>
  <si>
    <t>CHQ-0189-2026</t>
  </si>
  <si>
    <t>CHQ-0190-2026</t>
  </si>
  <si>
    <t>AFRICAINE DES ASSURANCES SA</t>
  </si>
  <si>
    <t>ABASSI ABOUDOU FATAHI</t>
  </si>
  <si>
    <t>0197724199</t>
  </si>
  <si>
    <t>FACT NO 2211/2026/090007</t>
  </si>
  <si>
    <t>FRAIS ASSURANCE STOCK</t>
  </si>
  <si>
    <t>CHQ-0191-2026</t>
  </si>
  <si>
    <t>AX8757RB/AJ9269RB_45.5 MT</t>
  </si>
  <si>
    <t>CHQ-0192-2026</t>
  </si>
  <si>
    <t>BE0559RB/BD8562RB_43.68 MT</t>
  </si>
  <si>
    <t>CHQ-0193-2026</t>
  </si>
  <si>
    <t>CL6144RB/CL6145RB_50.08 MT</t>
  </si>
  <si>
    <t>CHQ-0194-2026</t>
  </si>
  <si>
    <t>CA6378RB/CA6379RB_47.86 MT</t>
  </si>
  <si>
    <t>CHQ-0195-2026</t>
  </si>
  <si>
    <t>TOKOU CHRYSOSTOME</t>
  </si>
  <si>
    <t>CE6245RB/BT9604RB_49.28 MT</t>
  </si>
  <si>
    <t>CHQ-0196-2026</t>
  </si>
  <si>
    <t>CE9160RB/AL1655RB_46.46 MT</t>
  </si>
  <si>
    <t>KIKI FLORENT</t>
  </si>
  <si>
    <t>CHQ-0197-2026</t>
  </si>
  <si>
    <t>CC9207RB/CG3619RB_34.28 MT</t>
  </si>
  <si>
    <t>SEYNI HASSANE</t>
  </si>
  <si>
    <t>SEYNI YACOUBA HASSANE</t>
  </si>
  <si>
    <t>0190375507</t>
  </si>
  <si>
    <t>0160216426</t>
  </si>
  <si>
    <t>CHQ-0198-2026</t>
  </si>
  <si>
    <t>CF0609RB/CF0565RB_48.82 MT</t>
  </si>
  <si>
    <t>ASSOGBA LEON</t>
  </si>
  <si>
    <t>0197364800</t>
  </si>
  <si>
    <t>BP6016RB/BB1424RB_43.34 MT</t>
  </si>
  <si>
    <t>CHQ-0199-2026</t>
  </si>
  <si>
    <t>CK5227RB/CK6157RB_49.02 MT</t>
  </si>
  <si>
    <t>CHQ-0200-2026</t>
  </si>
  <si>
    <t>PAIEMENT FACTURE D'ELECTRICITE SBEE/ WH ALLADA</t>
  </si>
  <si>
    <t>REF 3041569</t>
  </si>
  <si>
    <t>CC-0100-2026</t>
  </si>
  <si>
    <t>WAYBILL : 1501909360</t>
  </si>
  <si>
    <t>CC-0101-2026</t>
  </si>
  <si>
    <t>CB6790RB/BT1547RB_46.16 MT</t>
  </si>
  <si>
    <t>CHQ-0201-2026</t>
  </si>
  <si>
    <t>Installation of heating coils in tank of 125 Mt</t>
  </si>
  <si>
    <t>SOGLO JOSE</t>
  </si>
  <si>
    <t>0196167756</t>
  </si>
  <si>
    <t>CC-0102-2026</t>
  </si>
  <si>
    <t>CHQ-0202-2026</t>
  </si>
  <si>
    <t>CC-0103-2026</t>
  </si>
  <si>
    <t>CHQ-0203-2026</t>
  </si>
  <si>
    <t>DEGLA SOTONGNON ARMAND</t>
  </si>
  <si>
    <t>HOUSE RENT : GLO</t>
  </si>
  <si>
    <t>CHQ-0204-2026</t>
  </si>
  <si>
    <t>BV6373RB/AB3109RB_40.02 MT // BS1649RB/BT0719RB_47.02 MT</t>
  </si>
  <si>
    <t>CHQ-0205-2026</t>
  </si>
  <si>
    <t>CHQ-0206-2026</t>
  </si>
  <si>
    <t>MISE A DISPOSITIOM D'AGENT DE SECURITE POUR LE MOIS DE AOUT</t>
  </si>
  <si>
    <t>CHQ-0207-2026</t>
  </si>
  <si>
    <t>BL8976RB/AP2371RB_33.82 MT</t>
  </si>
  <si>
    <t>CHQ-0208-2026</t>
  </si>
  <si>
    <t>BU4105RB/BS8146RB_45.10 MT</t>
  </si>
  <si>
    <t>CHQ-0209-2026</t>
  </si>
  <si>
    <t>CHQ-0210-2026</t>
  </si>
  <si>
    <t>BU6129RB/BU5781RB_48.22 MT &amp; BR1679RB/AZ2904RB_48.30 MT</t>
  </si>
  <si>
    <t>BX8487RB/BS9645RB_37.84 MT</t>
  </si>
  <si>
    <t>Mr MOMO</t>
  </si>
  <si>
    <t>TCHOUKOU ULERICH</t>
  </si>
  <si>
    <t>CHQ-0211-2026</t>
  </si>
  <si>
    <t>CC4841RB/AP2269RB_47.68 MT</t>
  </si>
  <si>
    <t>CHQ-0212-2026</t>
  </si>
  <si>
    <t>BY5716RB/BY3843RB_46.00 MT</t>
  </si>
  <si>
    <t>CHQ-0213-2026</t>
  </si>
  <si>
    <t>BU0599RB/BC5874RB_20.9 MT &amp; AX8757RB/AJ9269RB_45.50 MT</t>
  </si>
  <si>
    <t>CHQ-0214-2026</t>
  </si>
  <si>
    <t>CHQ-0215-2026</t>
  </si>
  <si>
    <t>BS4273RB/BM9382RB_35.57 MT</t>
  </si>
  <si>
    <t>CHQ-0216-2026</t>
  </si>
  <si>
    <t>BD6172RB/AG2S64RB_35.55 MT</t>
  </si>
  <si>
    <t>CHQ-0217-2026</t>
  </si>
  <si>
    <t>EM01174215-1187</t>
  </si>
  <si>
    <t>CHQ-0218-2026</t>
  </si>
  <si>
    <t>CC4207RB/CD6286RB_49.28 MT</t>
  </si>
  <si>
    <t>Seize millions sept cent cinquante cinq mille deux cent francs CFA</t>
  </si>
  <si>
    <t>CHQ-0219-2026</t>
  </si>
  <si>
    <t>CD9875RB/CD9877RB_32 MT</t>
  </si>
  <si>
    <t>Dix millions sept cent vingt mille francs CFA</t>
  </si>
  <si>
    <t>PANKAJ KUMAR</t>
  </si>
  <si>
    <t>CHQ-0220-2026</t>
  </si>
  <si>
    <t>CD5503RB/BP1368RB_25.78 MT</t>
  </si>
  <si>
    <t>CHQ-0221-2026</t>
  </si>
  <si>
    <t>CC2790RB/CC2385RB_57.94 MT</t>
  </si>
  <si>
    <t>Dix neuf millions quatre cent neuf mille neuf cents francs CFA</t>
  </si>
  <si>
    <t>CHQ-0222-2026</t>
  </si>
  <si>
    <t>MONTCHO NORBERT</t>
  </si>
  <si>
    <t>WOROU BIENVENU</t>
  </si>
  <si>
    <t>0196471359</t>
  </si>
  <si>
    <t>salaries and local allowance of indian people</t>
  </si>
  <si>
    <t>GARBA IBRAHIMA</t>
  </si>
  <si>
    <t>CHQ-0223-2026</t>
  </si>
  <si>
    <t>CC-0104-2026</t>
  </si>
  <si>
    <t>SALAIRE AOUT 2026 / PAYE DIMANCHE JUIN-JUILLET-AOUT 2026</t>
  </si>
  <si>
    <t>Six millions huit cent deux mille francs CFA</t>
  </si>
  <si>
    <t>REF 3083291</t>
  </si>
  <si>
    <t>Cent un mille francs CFA</t>
  </si>
  <si>
    <t>CC-0105-2026</t>
  </si>
  <si>
    <t>FRAIS DE CONSOMMATION ELECTRICITE MAI, JUIN &amp; JUL 2026</t>
  </si>
  <si>
    <t>FRAIS DE CONSOMMATION EAU MAI, JUN, JUL 2026</t>
  </si>
  <si>
    <t>PESAGE CAMION NOV, MAI, JUN, JUL 2026</t>
  </si>
  <si>
    <t>CHQ-0224-2026</t>
  </si>
  <si>
    <t>CHQ-0225-2026</t>
  </si>
  <si>
    <t>CHQ-0226-2026</t>
  </si>
  <si>
    <t>BT2739RB/BT2986RB_49.74</t>
  </si>
  <si>
    <t>CHQ-0227-2026</t>
  </si>
  <si>
    <t>ACCLOMBESSI LOUIS</t>
  </si>
  <si>
    <t>BX9920RB/BM9472RB_32.72 MT</t>
  </si>
  <si>
    <t>CHQ-0228-2026</t>
  </si>
  <si>
    <t>CD6560RB/AS9619RB_38.82 MT</t>
  </si>
  <si>
    <t>HOUNTON NICOLAS</t>
  </si>
  <si>
    <t>21PP46440</t>
  </si>
  <si>
    <t>CHQ-0229-2026</t>
  </si>
  <si>
    <t>CHQ-0230-2026</t>
  </si>
  <si>
    <t>CD5503RB/BP1368RB_25.78 MT &amp; BU1050RB/AY7402RB_44.86 MT</t>
  </si>
  <si>
    <t>CC-0106-2026</t>
  </si>
  <si>
    <t>CHQ-0231-2026</t>
  </si>
  <si>
    <t>CHQ-0232-2026</t>
  </si>
  <si>
    <t>BR5745RB/AX3586RB_32.32 MT  &amp; BJ0371RB/AH9481RB_30.64 MT &amp; CL0086RB/AG5575RB_34.24 MT &amp; BF8361RB/AS3628RB_40.08 MT</t>
  </si>
  <si>
    <t>CHQ-0233-2026</t>
  </si>
  <si>
    <t>BA6457RB/AE5394RB_41.30 MT</t>
  </si>
  <si>
    <t>CHQ-0234-2026</t>
  </si>
  <si>
    <t>BX0236RB/BP0463RB_46.46 MT</t>
  </si>
  <si>
    <t>AZOGA ARMAND</t>
  </si>
  <si>
    <t>CHQ-0235-2026</t>
  </si>
  <si>
    <t>BD8254RB/BR3877RB_38.52 MT</t>
  </si>
  <si>
    <t>CHQ-0236-2026</t>
  </si>
  <si>
    <t>CC0738RB/BX6397RB_51.88 MT</t>
  </si>
  <si>
    <t>Dix sept millions trois cent soixante dix neuf mille huit cent francs CFA</t>
  </si>
  <si>
    <t>CHQ-0237-2026</t>
  </si>
  <si>
    <t>AKPAKPO NOURIDINE</t>
  </si>
  <si>
    <t>TOKPONDE AKONDE ALEXANDRE</t>
  </si>
  <si>
    <t>BU0866RB/AG7735RB_36.54 MT</t>
  </si>
  <si>
    <t>CHQ-0238-2026</t>
  </si>
  <si>
    <t>BX8310RB/BX9639RB_45.00 MT</t>
  </si>
  <si>
    <t>CHQ-0239-2026</t>
  </si>
  <si>
    <t>CL6144RB/CL6145RB_50.36 MT</t>
  </si>
  <si>
    <t>WAYBILL : 7723913223</t>
  </si>
  <si>
    <t>CC-0107-2026</t>
  </si>
  <si>
    <t>BM6378RB/BJ0689RB_47.70 MT</t>
  </si>
  <si>
    <t>CHQ-0240-2026</t>
  </si>
  <si>
    <t>CHQ-0241-2026</t>
  </si>
  <si>
    <t>BC6242RB/AU5794RB_38.040 MT</t>
  </si>
  <si>
    <t>CHQ-0242-2026</t>
  </si>
  <si>
    <t>CA6600RB/CA8326RB_40.96 MT</t>
  </si>
  <si>
    <t>CHQ-0243-2026</t>
  </si>
  <si>
    <t>REF : EM01767228-37</t>
  </si>
  <si>
    <t>CHQ-0244-2026</t>
  </si>
  <si>
    <t>BP2914RB/T8377RB_43.54 MT</t>
  </si>
  <si>
    <t>REF EM01767228-29</t>
  </si>
  <si>
    <t>REF EM01767228-30</t>
  </si>
  <si>
    <t>AR4612RB/BK0674RB_44.38 MT</t>
  </si>
  <si>
    <t>CHQ-0245-2026</t>
  </si>
  <si>
    <t>BV9692RB/BV9811RB_44.26 MT</t>
  </si>
  <si>
    <t>CHQ-0246-2026</t>
  </si>
  <si>
    <t>CHQ-0247-2026</t>
  </si>
  <si>
    <t>CE6019RB/CE6020RB_47.88 MT</t>
  </si>
  <si>
    <t>CHQ-0248-2026</t>
  </si>
  <si>
    <t>BD4361RB/BV3227RB_39.88 MT</t>
  </si>
  <si>
    <t>CHQ-0249-2026</t>
  </si>
  <si>
    <t>CK6287RB/CK6523RB_44,12 MT</t>
  </si>
  <si>
    <t>CHQ-0250-2026</t>
  </si>
  <si>
    <t>GODONOU CHARLES</t>
  </si>
  <si>
    <t>CC0530RB/Y4535RB_38.80 MT</t>
  </si>
  <si>
    <t>CHQ-0251-2026</t>
  </si>
  <si>
    <t>TCHEGNON BRICE</t>
  </si>
  <si>
    <t>EM1383480-3</t>
  </si>
  <si>
    <t>Deux millions six cents francs CFA</t>
  </si>
  <si>
    <t>CHQ-0252-2026</t>
  </si>
  <si>
    <t>CHQ-0253-2026</t>
  </si>
  <si>
    <t>CHQ-0254-2026</t>
  </si>
  <si>
    <t>CC9207RB/CG3619RB_34.66 MT &amp; CB2771RB/BV2923RB_44.32 MT</t>
  </si>
  <si>
    <t>CHQ-0255-2026</t>
  </si>
  <si>
    <t>CC2315RB_16.76 MT</t>
  </si>
  <si>
    <t>CHQ-0256-2026</t>
  </si>
  <si>
    <t>CE3529RB/AE7747RB_39.98 MT</t>
  </si>
  <si>
    <t>CHQ-0257-2026</t>
  </si>
  <si>
    <t>BP0618RB/BA8940RB_39.40 MT</t>
  </si>
  <si>
    <t>CHQ-0258-2026</t>
  </si>
  <si>
    <t>BE4715RB/AD0539RB_48 MT</t>
  </si>
  <si>
    <t>HOUNKANLIN MARUIS</t>
  </si>
  <si>
    <t>CHQ-0259-2026</t>
  </si>
  <si>
    <t>SABI SARA MAMADOU</t>
  </si>
  <si>
    <t>BC6553RB/BC6554RB_32.34 MT</t>
  </si>
  <si>
    <t>HINWAZOUNDE MAHOUTIN ISAAC</t>
  </si>
  <si>
    <t>0195175670</t>
  </si>
  <si>
    <t>CHQ-0260-2026</t>
  </si>
  <si>
    <t>CJ0436RB/BT5953RB_54.78 MT &amp; CH8791RB/CK0290RB_49.76 MT</t>
  </si>
  <si>
    <t>CHQ-0261-2026</t>
  </si>
  <si>
    <t>CHQ-0262-2026</t>
  </si>
  <si>
    <t>CC-0108-2026</t>
  </si>
  <si>
    <t>CC-0109-2026</t>
  </si>
  <si>
    <t>OTHERS EXPENCES</t>
  </si>
  <si>
    <t>WAYBILL : 1448431574, 3234632811, 3234641572</t>
  </si>
  <si>
    <t>AUTRES DEPENSES</t>
  </si>
  <si>
    <t>FRAIS D'ETABLISSEMENT DES NON-GMO / BL MEDUCT205191, MEDUCT204962, MEDUCT205431, MEDUCT205464, MEDUCT206777</t>
  </si>
  <si>
    <t>CC-0110-2026</t>
  </si>
  <si>
    <t>REF 3122636</t>
  </si>
  <si>
    <t>CC-0111-2026</t>
  </si>
  <si>
    <t>WAYBILL : 7460048750, 3506305946, 3506318362</t>
  </si>
  <si>
    <t>CC-0112-2026</t>
  </si>
  <si>
    <t>CHQ-0263-2026</t>
  </si>
  <si>
    <t>CHQ-0264-2026</t>
  </si>
  <si>
    <t>CHQ-0265-2026</t>
  </si>
  <si>
    <t>BT9887RB/BE4710RB_44.08 MT</t>
  </si>
  <si>
    <t>CHQ-0266-2026</t>
  </si>
  <si>
    <t>CHQ-0267-2026</t>
  </si>
  <si>
    <t>CL0086RB/AG5575RB_34.30 MT</t>
  </si>
  <si>
    <t>CHQ-0268-2026</t>
  </si>
  <si>
    <t>CHQ-0269-2026</t>
  </si>
  <si>
    <t>CJ5557RB/CJ1535RB_48.94 MT</t>
  </si>
  <si>
    <t>CHQ-0270-2026</t>
  </si>
  <si>
    <t>CHIGBLO FERDINAND</t>
  </si>
  <si>
    <t>BB9217RB/AU4365RB_46.22 MT</t>
  </si>
  <si>
    <t>AS6395RN/AS6381RN_47.68 MT</t>
  </si>
  <si>
    <t>CHQ-0271-2026</t>
  </si>
  <si>
    <t>ADANNON BLOND</t>
  </si>
  <si>
    <t>ADANNON ALPHONSE MISSIMAWOU</t>
  </si>
  <si>
    <t>0167679413</t>
  </si>
  <si>
    <t>AJAY BABU</t>
  </si>
  <si>
    <t>LOCAL ALLOWANCE OF SEPT MONTH 2026</t>
  </si>
  <si>
    <t>CHQ-0272-2026</t>
  </si>
  <si>
    <t>CHQ-0273-2026</t>
  </si>
  <si>
    <t>BU4348RB_45.76 MT</t>
  </si>
  <si>
    <t>CHQ-0274-2026</t>
  </si>
  <si>
    <t>CB7441RB/CB1833RB_51.50 MT &amp; BD6541RB/BD6542RB_17.70 MT</t>
  </si>
  <si>
    <t>CHQ-0275-2026</t>
  </si>
  <si>
    <t>CA2295RB/AJ0480RB_45.46 MT</t>
  </si>
  <si>
    <t>CHQ-0276-2026</t>
  </si>
  <si>
    <t>CHQ-0277-2026</t>
  </si>
  <si>
    <t>CHQ-0278-2026</t>
  </si>
  <si>
    <t>AU7277RB/AX349SRB_47.64 MT  &amp; BU1244RB/BV9648RB_48.68 MT</t>
  </si>
  <si>
    <t>CHQ-0279-2026</t>
  </si>
  <si>
    <t>0145151536</t>
  </si>
  <si>
    <t>BX1081RB/BX1082RB_35.04 MT</t>
  </si>
  <si>
    <t>CHQ-0280-2026</t>
  </si>
  <si>
    <t>WANGNANNON ABEL</t>
  </si>
  <si>
    <t>DAH MAHUZON IGNACE</t>
  </si>
  <si>
    <t>CC9004RB/BF5036RB_49.07 MT</t>
  </si>
  <si>
    <t>CHQ-0281-2026</t>
  </si>
  <si>
    <t>BE4894RB/AP7240RB_32.08 MT</t>
  </si>
  <si>
    <t>CHQ-0282-2026</t>
  </si>
  <si>
    <t>CC3342RB/CC3320RB_41.54 MT</t>
  </si>
  <si>
    <t>CHQ-0283-2026</t>
  </si>
  <si>
    <t>TCHANIGA LEONARD</t>
  </si>
  <si>
    <t>BU1724RB/BU1725RB_44.72 MT &amp; AV6281RB/BC4547RB_44.12 MT</t>
  </si>
  <si>
    <t>CHQ-0284-2026</t>
  </si>
  <si>
    <t>CH4303RB/CD2378RB_50.92 MT</t>
  </si>
  <si>
    <t>CHQ-0285-2026</t>
  </si>
  <si>
    <t>AVANCE POUR FABRICATION DE TANK 500 MT</t>
  </si>
  <si>
    <t>CHQ-0286-2026</t>
  </si>
  <si>
    <t>BT3075RB/BR9056RB_42.90 MT</t>
  </si>
  <si>
    <t>CHQ-0287-2026</t>
  </si>
  <si>
    <t>BR1679RB/AZ2904RB_49.16 MT</t>
  </si>
  <si>
    <t>CHQ-0288-2026</t>
  </si>
  <si>
    <t>BY5716RB/BY3843RB_45.74 MT</t>
  </si>
  <si>
    <t>CC-0113-2026</t>
  </si>
  <si>
    <t>No 066/PS-26</t>
  </si>
  <si>
    <t>DOC SEWIN</t>
  </si>
  <si>
    <t>CHQ-0289-2026</t>
  </si>
  <si>
    <t>MAIN TENDUE</t>
  </si>
  <si>
    <t>GBEGONNOUDE BIGNONARIANE</t>
  </si>
  <si>
    <t>EM01782335-28/49/115</t>
  </si>
  <si>
    <t>REBAGGING AND STACKING IN THE FACTORY</t>
  </si>
  <si>
    <t>NEGOCIATION ET CORRECTION DE PHYTO-FUMIGATION POUR 11 DOCS SOJA</t>
  </si>
  <si>
    <t>CC-0114-2026</t>
  </si>
  <si>
    <t>CHQ-0290-2026</t>
  </si>
  <si>
    <t>BV1335RB/AR9674RB_42.04 MT</t>
  </si>
  <si>
    <t>GILLES KAKANAKOU</t>
  </si>
  <si>
    <t>BP5945RB/BY8609RB_34.48 MT</t>
  </si>
  <si>
    <t>CHQ-0291-2026</t>
  </si>
  <si>
    <t>PAIEMENT FACTURE FRET/MEDUCT208781</t>
  </si>
  <si>
    <t>CHQ-0292-2026</t>
  </si>
  <si>
    <t>PAIEMENT FACTURE FRET/MEDUCT207163</t>
  </si>
  <si>
    <t>CHQ-0293-2026</t>
  </si>
  <si>
    <t>CHQ-0294-2026</t>
  </si>
  <si>
    <t>PAIEMENT FACTURE FRET/MEDUCT206967</t>
  </si>
  <si>
    <t>CC-0115-2026</t>
  </si>
  <si>
    <t>CHQ-0295-2026</t>
  </si>
  <si>
    <t>CB6887RB/CQ0182RB_49.70 MT &amp; CK2776RB/CK0348RB_49.64 MT &amp; CC4813RB/CD6281RB_49.50 MT</t>
  </si>
  <si>
    <t>CC-0116-2026</t>
  </si>
  <si>
    <t>DEMANDE DE COD / MEDUCT206967</t>
  </si>
  <si>
    <t>CHQ-0296-2026</t>
  </si>
  <si>
    <t>CHQ-0297-2026</t>
  </si>
  <si>
    <t>CL5427RB/BB0754RB_40.54 MT &amp; BX7455RB/AM4012RB_46.38 MT</t>
  </si>
  <si>
    <t>CHQ-0298-2026</t>
  </si>
  <si>
    <t>BD7461RB/BE5492RB_51.32 MT</t>
  </si>
  <si>
    <t>CHQ-0299-2026</t>
  </si>
  <si>
    <t>CA1763RB/AR2571RB_36.76 MT &amp; BN7554RB/AV8632RB_40.68 MT</t>
  </si>
  <si>
    <t>CHQ-0300-2026</t>
  </si>
  <si>
    <t>CB1267RB/AX5462RB_46.34 MT</t>
  </si>
  <si>
    <t>CHQ-0301-2026</t>
  </si>
  <si>
    <t>FERNAND AGBESSADJI</t>
  </si>
  <si>
    <t>0197772265</t>
  </si>
  <si>
    <t>BU5793RB/AY0257RB_39.MT</t>
  </si>
  <si>
    <t>CHQ-0302-2026</t>
  </si>
  <si>
    <t>AL5174RB/AR2338RB_29.44MT</t>
  </si>
  <si>
    <t>CHQ-0303-2026</t>
  </si>
  <si>
    <t>BR7383RB/AF3753RB_33.42MT</t>
  </si>
  <si>
    <t>CHQ-0304-2026</t>
  </si>
  <si>
    <t>BR7383RB/AF3753RB_49.6 MT</t>
  </si>
  <si>
    <t>Seize million six cent seize mille francs CFA</t>
  </si>
  <si>
    <t>CHQ-0305-2026</t>
  </si>
  <si>
    <t>CJ4361RB/AX9406RB_60.94 MT</t>
  </si>
  <si>
    <t>CHQ-0306-2026</t>
  </si>
  <si>
    <t>BR1679RB/AZ2904RB_49.16 MT_CF7640RB/CF7822RB_59.96MT</t>
  </si>
  <si>
    <t>CHQ-0307-2026</t>
  </si>
  <si>
    <t>AV6281RB/BC4547RB_44.12 MT</t>
  </si>
  <si>
    <t>CHQ-0308-2026</t>
  </si>
  <si>
    <t>CHQ-0309-2026</t>
  </si>
  <si>
    <t>BT8152RB/BT8150RB_34.06 MT</t>
  </si>
  <si>
    <t>CHQ-0310-2026</t>
  </si>
  <si>
    <t>BS5349RB/BS5348RB_42.90 MT</t>
  </si>
  <si>
    <t>CHQ-0311-2026</t>
  </si>
  <si>
    <t>BR3872RB/BV3758RB_45.34 MT</t>
  </si>
  <si>
    <t>CHQ-0312-2026</t>
  </si>
  <si>
    <t>ADJAGOUDOU EDOUARD</t>
  </si>
  <si>
    <t>0197642426</t>
  </si>
  <si>
    <t>BV6583RB/BN7484RB</t>
  </si>
  <si>
    <t>TRANSFERT A NAP</t>
  </si>
  <si>
    <t>USN-26222275</t>
  </si>
  <si>
    <t>PAYEMENT BFU USN-26222275 POUR LE 277243441</t>
  </si>
  <si>
    <t>CHQ-0313-2026</t>
  </si>
  <si>
    <t>CHQ-0314-2026</t>
  </si>
  <si>
    <t>WAYBILL : 1867800196</t>
  </si>
  <si>
    <t>CC-0117-2026</t>
  </si>
  <si>
    <t>CHQ-0315-2026</t>
  </si>
  <si>
    <t>Mme ROSE</t>
  </si>
  <si>
    <t>KPOFONDE ANICET MERCE CODJO</t>
  </si>
  <si>
    <t>CH1044RB/CH1043RB_49.28 MT</t>
  </si>
  <si>
    <t>CHQ-0316-2026</t>
  </si>
  <si>
    <t>BZ3764RB/BZ3763RB_34.76 MT</t>
  </si>
  <si>
    <t>CHQ-0317-2026</t>
  </si>
  <si>
    <t>CE6245RB/BT9604RB_49.94 MT</t>
  </si>
  <si>
    <t>CHQ-0318-2026</t>
  </si>
  <si>
    <t>BK2938RB/BD3428RB_2,3 MT</t>
  </si>
  <si>
    <t>CC-0118-2026</t>
  </si>
  <si>
    <t>PAYEMENT FACTURE RECTIF POUR LES BL : MEDUCT208781</t>
  </si>
  <si>
    <t>CC-0119-2026</t>
  </si>
  <si>
    <t>REF3166335</t>
  </si>
  <si>
    <t>CC-0120-2026</t>
  </si>
  <si>
    <t>PHARMACIE</t>
  </si>
  <si>
    <t>FACT NO T2026-090670473 &amp; FACT NO T2026-090670472</t>
  </si>
  <si>
    <t>PAIEMENT FACTURE PHARMACIE MEDICAMENT</t>
  </si>
  <si>
    <t>CC-0121-2026</t>
  </si>
  <si>
    <t>FACT NO 5054/2026 &amp; RECU NO 1013531</t>
  </si>
  <si>
    <t>PAIEMENT FACTURE PHARMACIE MEDICAMENT &amp; CABINET DENTAIRE</t>
  </si>
  <si>
    <t>CC-0122-2026</t>
  </si>
  <si>
    <t>CC-0123-2026</t>
  </si>
  <si>
    <t>CC-0124-2026</t>
  </si>
  <si>
    <t>WAYBILL : 8971130840</t>
  </si>
  <si>
    <t>CHQ-0319-2026</t>
  </si>
  <si>
    <t>USN-26223945</t>
  </si>
  <si>
    <t>PAYEMENT BFU USN-26223945 POUR LE 277243596</t>
  </si>
  <si>
    <t>CHQ-0320-2026</t>
  </si>
  <si>
    <t>CHQ-0321-2026</t>
  </si>
  <si>
    <t>CC-0125-2026</t>
  </si>
  <si>
    <t>ETUDE DE ME LIADY LAYINDE FATI</t>
  </si>
  <si>
    <t>FRAIS DE CERTIFICATION MATERIELLE DE SIGNATURE ENTRE M. NARANG PANKAJ ET M. MANGHNANI DEEPAK</t>
  </si>
  <si>
    <t>BP6298RB/BE9619RB_50.48 MT</t>
  </si>
  <si>
    <t>Seize millions six cent ciquante huit mille quatre cent francs CFA</t>
  </si>
  <si>
    <t>CHQ-0322-2026</t>
  </si>
  <si>
    <t>CF7287RB/BD4567RB_50.38 MT</t>
  </si>
  <si>
    <t>Seize millions sept cent vingt six mille francs CFA</t>
  </si>
  <si>
    <t>CHQ-0323-2026</t>
  </si>
  <si>
    <t>Douze millions de francs CFA</t>
  </si>
  <si>
    <t>CE5406RB/CB7487RB_46.36 MT</t>
  </si>
  <si>
    <t>Dix millions de francs CFA</t>
  </si>
  <si>
    <t>CHQ-0324-2026</t>
  </si>
  <si>
    <t>CHQ-0325-2026</t>
  </si>
  <si>
    <t>BN7554RB/AV8632RB_40.68 MT</t>
  </si>
  <si>
    <t>CHQ-0326-2026</t>
  </si>
  <si>
    <t>Quatre millions sept cent quarante mille neuf cent soixante francs CFA</t>
  </si>
  <si>
    <t>CD6560RB/AS9619RB_14.28 MT</t>
  </si>
  <si>
    <t>CHQ-0327-2026</t>
  </si>
  <si>
    <t>Seize millions six cents mille francs CFA</t>
  </si>
  <si>
    <t>BD6670RB/BC8458RB_50 MT</t>
  </si>
  <si>
    <t>CHQ-0328-2026</t>
  </si>
  <si>
    <t>BG5496RB/BN2261RB_28.16 MT</t>
  </si>
  <si>
    <t>CHQ-0329-2026</t>
  </si>
  <si>
    <t>CF0609RB/CF0565RB_49.42 MT</t>
  </si>
  <si>
    <t>CHQ-0330-2026</t>
  </si>
  <si>
    <t>0068PS-26</t>
  </si>
  <si>
    <t>CF1589RB/BS9736RB_49.90 MT</t>
  </si>
  <si>
    <t>CHQ-0331-2026</t>
  </si>
  <si>
    <t>AMINOU KIKI</t>
  </si>
  <si>
    <t>0197732208</t>
  </si>
  <si>
    <t>CHQ-0332-2026</t>
  </si>
  <si>
    <t>MAKITA FRED JUNIOR</t>
  </si>
  <si>
    <t>BT6961RB/AT1852RB_38.26MT</t>
  </si>
  <si>
    <t>CL0086RB/AG5575RB_34.300 MT</t>
  </si>
  <si>
    <t>CHQ-0333-2026</t>
  </si>
  <si>
    <t>CA5363RB/CF5085RB &amp; CL2595RB/BX8143RB &amp; CF9265RB/CF6734RB_148.980MT</t>
  </si>
  <si>
    <t>CHQ-0334-2026</t>
  </si>
  <si>
    <t>CHQ-0335-2026</t>
  </si>
  <si>
    <t>CHQ-0336-2026</t>
  </si>
  <si>
    <t>BX8310RB/BX9639RB_49.940 MT</t>
  </si>
  <si>
    <t>CHQ-0338-2026</t>
  </si>
  <si>
    <t>CH3119RB/AS9095RB_46.780MT</t>
  </si>
  <si>
    <t>CHQ-0339-2026</t>
  </si>
  <si>
    <t>CHQ-0340-2026</t>
  </si>
  <si>
    <t>FABRICATION DE TANK</t>
  </si>
  <si>
    <t>CHQ-0341-2026</t>
  </si>
  <si>
    <t>ISOCEL SA</t>
  </si>
  <si>
    <t>CC-0126-2026</t>
  </si>
  <si>
    <t>CONSOMMATION INTERNET / MAISON DES CEO</t>
  </si>
  <si>
    <t>Douze millions six cent vingt cinq mille huit cent francs CFA</t>
  </si>
  <si>
    <t>vingt cinq mille francs CFA</t>
  </si>
  <si>
    <t>AS8230RB_45.44 MT</t>
  </si>
  <si>
    <t>CC-0127-2026</t>
  </si>
  <si>
    <t>COTTON SEED</t>
  </si>
  <si>
    <t>CHQ-0342-2026</t>
  </si>
  <si>
    <t>SBTC</t>
  </si>
  <si>
    <t>PURCHASE OF COTTON SEED</t>
  </si>
  <si>
    <t>Cinquante millons de francs CFA</t>
  </si>
  <si>
    <t>USN-26226377</t>
  </si>
  <si>
    <t>PAYEMENT BFU USN-26226377 POUR LE BL 277243348</t>
  </si>
  <si>
    <t>USN-26226613</t>
  </si>
  <si>
    <t>PAYEMENT BFU USN-26226613 POUR LE BL 277243505</t>
  </si>
  <si>
    <t>Deux millions deux cent soixante cinq mille six cent quarente sept francs CFA</t>
  </si>
  <si>
    <t>Un million sept cent quatre vingt huit mille huit cent soixante onze francs CFA</t>
  </si>
  <si>
    <t>USN-26227203</t>
  </si>
  <si>
    <t>USN-26229336</t>
  </si>
  <si>
    <t>Un million neuf cent vingt huit mille sept cent francs CFA</t>
  </si>
  <si>
    <t>Deux millions deux cent quatre vingt dix huit mille cinq cent cinquante six francs CFA</t>
  </si>
  <si>
    <t>PAYEMENT BFU USN-26229336 POUR LE BL 277443031</t>
  </si>
  <si>
    <t>PAYEMENT BFU USN-26227203 POUR LE BL 277763418</t>
  </si>
  <si>
    <t>CC-0128-2026</t>
  </si>
  <si>
    <t>PAYEMENT BFU USN-26232512 POUR LE BL 277770098</t>
  </si>
  <si>
    <t>USN-26232512</t>
  </si>
  <si>
    <t>Deux millions trois cent deux mille trois cent un francs CFA</t>
  </si>
  <si>
    <t>CONSOMMATION INTERNET / BOUTIQUE</t>
  </si>
  <si>
    <t>Quinze mille deux cent soixante quinze francs CFA</t>
  </si>
  <si>
    <t>BD2087RB/BD2088RB_42.08 MT</t>
  </si>
  <si>
    <t>CHQ-0343-2026</t>
  </si>
  <si>
    <t>BV3975RB_46.16 MT</t>
  </si>
  <si>
    <t>CHQ-0344-2026</t>
  </si>
  <si>
    <t>AZ9858RB/BA3181RB_40.18 MT</t>
  </si>
  <si>
    <t>CHQ-0345-2026</t>
  </si>
  <si>
    <t>TIDJANI RACHIDI</t>
  </si>
  <si>
    <t>+229 0195803767</t>
  </si>
  <si>
    <t>CD4852RB_51,74 MT</t>
  </si>
  <si>
    <t>CHQ-0346-2026</t>
  </si>
  <si>
    <t>REF3277451</t>
  </si>
  <si>
    <t>CC-0129-2026</t>
  </si>
  <si>
    <t>CK4346RB_30.12 MT</t>
  </si>
  <si>
    <t>CHQ-0347-2026</t>
  </si>
  <si>
    <t>QX6480RB_40.62 MT</t>
  </si>
  <si>
    <t>CHQ-0348-2026</t>
  </si>
  <si>
    <t>HOUNTCHI RAYMOND</t>
  </si>
  <si>
    <t>22PP60062</t>
  </si>
  <si>
    <t>0167267223</t>
  </si>
  <si>
    <t>BA1086RB/AF1899RB_14.48</t>
  </si>
  <si>
    <t>CHQ-0349-2026</t>
  </si>
  <si>
    <t>0196785683</t>
  </si>
  <si>
    <t>LES PRODUITS DE LABORATOIRE</t>
  </si>
  <si>
    <t>Deux Trente-Huit Mille francs CFA</t>
  </si>
  <si>
    <t>CHQ-0350-2026</t>
  </si>
  <si>
    <t>0069/PS-26</t>
  </si>
  <si>
    <t>CHQ-0351-2026</t>
  </si>
  <si>
    <t>Trois million quatre cent soixante six mille  sept cent cinquante six francs CFA</t>
  </si>
  <si>
    <t>BR8361RB/BS0670RB_33.46 MT</t>
  </si>
  <si>
    <t>CHQ-0352-2026</t>
  </si>
  <si>
    <t>AX4490RB/AE9013RB_46.94 MT</t>
  </si>
  <si>
    <t>Quinze million Sept cent Vingt-quatre mille neuf cent  francs CFA</t>
  </si>
  <si>
    <t>CHQ-0353-2026</t>
  </si>
  <si>
    <t>CH4863RB/AM4675RB_51.74 MT</t>
  </si>
  <si>
    <t>Dix-sept millions Soixante-quartoze mille deux cent francs CFA</t>
  </si>
  <si>
    <t>CHQ-0354-2026</t>
  </si>
  <si>
    <t>AGUETON MATHIAS</t>
  </si>
  <si>
    <t>0197438120</t>
  </si>
  <si>
    <t>BS9711RB/BX0221RB</t>
  </si>
  <si>
    <t>Quinze million  soixante-sept mille huit cent cent  francs CFA</t>
  </si>
  <si>
    <t>CHQ-0355-2026</t>
  </si>
  <si>
    <t>CF5192RB/BT5099RB_49.44 MT</t>
  </si>
  <si>
    <t>Seize million Huit cent neuf mille six cent francs cfa</t>
  </si>
  <si>
    <t>CHQ-0356-2026</t>
  </si>
  <si>
    <t>SALAIRE SEPT 2026</t>
  </si>
  <si>
    <t>Trois million cinq cent Trente mille francs CFA</t>
  </si>
  <si>
    <t>CHQ-0357-2026</t>
  </si>
  <si>
    <t>Tiles Worrk  In Solvent And Boiler Section</t>
  </si>
  <si>
    <t>Plumbing Work Washroom Near Etp Section To Washroom behind Workers Area</t>
  </si>
  <si>
    <t>Trois millions huit cent mille francs CFA</t>
  </si>
  <si>
    <t>rack work in store room &amp; tiles work in etp panel room &amp; tank fabrication refinery</t>
  </si>
  <si>
    <t>Un million de francs CFA</t>
  </si>
  <si>
    <t>CHQ-0358-2026</t>
  </si>
  <si>
    <t>CHQ-0359-2026</t>
  </si>
  <si>
    <t>CHQ-0360-2026</t>
  </si>
  <si>
    <t>FACTURE EM1030403-501</t>
  </si>
  <si>
    <t>MISE A DISPOSITIOM D'AGENT DE SECURITE POUR LE MOIS DE SEPTEMBRE 2026</t>
  </si>
  <si>
    <t>CHQ-0361-2026</t>
  </si>
  <si>
    <t>CHQ-0362-2026</t>
  </si>
  <si>
    <t>AHOSSEY KOMLAN JOSEPH</t>
  </si>
  <si>
    <t>0252-310-3064</t>
  </si>
  <si>
    <t>+22897258940</t>
  </si>
  <si>
    <t>Deux quarante cinq deux cent cinquante francs CFA</t>
  </si>
  <si>
    <t>FACTURE EM01290377-4</t>
  </si>
  <si>
    <t>REBOBINAGE DE MOTEUR ELECTRIQUE 3.7 KW(4KW) &amp; MOTEUR 0.75 KW</t>
  </si>
  <si>
    <t>BV1174RB/BV1137RB_49.58 MT</t>
  </si>
  <si>
    <t>CHQ-0363-2026</t>
  </si>
  <si>
    <t>BH3279RB/AN6675RB_50.14 MT</t>
  </si>
  <si>
    <t>Seize million Cinq cent quarante-six mille deux cent francs CFA</t>
  </si>
  <si>
    <t>CHQ-0364-2026</t>
  </si>
  <si>
    <t>GBETINSANOU CHARLES</t>
  </si>
  <si>
    <t>0197838463</t>
  </si>
  <si>
    <t>Vente de Gaz Oxygène</t>
  </si>
  <si>
    <t>CHQ-0365-2026</t>
  </si>
  <si>
    <t>FACTURE # EM01760001-7 &amp;  EM01760001-5</t>
  </si>
  <si>
    <t>Deux cent Soixante -Dix mille francs CFA</t>
  </si>
  <si>
    <t>PAYEMENT BFU USN-26235408 POUR LE BL 277770206</t>
  </si>
  <si>
    <t>Un million Neuf cent Trente-Sept mille deux cent Vingt-deux francs CFA</t>
  </si>
  <si>
    <t>CC-0130-2026</t>
  </si>
  <si>
    <t>USN-26235408</t>
  </si>
  <si>
    <t>WAYBILL: 4070742712</t>
  </si>
  <si>
    <t>CC-0131-2026</t>
  </si>
  <si>
    <t>CC-0132-2026</t>
  </si>
  <si>
    <t>Trois cent quarante neuf mille cinq cent francs CFA</t>
  </si>
  <si>
    <t>Quatre cent mille francs CFA</t>
  </si>
  <si>
    <t>ACHAT DE CLIMATISSEUR</t>
  </si>
  <si>
    <t>EM1617291598</t>
  </si>
  <si>
    <t>E-ZONE</t>
  </si>
  <si>
    <t>CHQ-0366-2026</t>
  </si>
  <si>
    <t>BT4866RB/BT4599RB_42.24 MT</t>
  </si>
  <si>
    <t>Treize million quatre vingt quatre mille quatre cent francs CFA</t>
  </si>
  <si>
    <t>CHQ-0367-2026</t>
  </si>
  <si>
    <t>AIZANNON SEVERIN CODJO</t>
  </si>
  <si>
    <t>0197595908</t>
  </si>
  <si>
    <t>CK6287RB/CK6523RB_50.68 MT</t>
  </si>
  <si>
    <t>Quinze million Neuf cent soixante-quatre mille deux cent francs CFA</t>
  </si>
  <si>
    <t>CHQ-0368-2026</t>
  </si>
  <si>
    <t>Trois millions Deux cent Un mille francs CFA</t>
  </si>
  <si>
    <t>VERIFCATION DE STOCK_MAGAZIN GDIZ</t>
  </si>
  <si>
    <t>CHQ-0369-2026</t>
  </si>
  <si>
    <t>AX6480RB/AX6481RB_40.62 MT</t>
  </si>
  <si>
    <t>Huit Millions Six cent Sept mille Sept cent francs CFA</t>
  </si>
  <si>
    <t>CHQ-0370-2026</t>
  </si>
  <si>
    <t>EM01174215-1229</t>
  </si>
  <si>
    <t>Huit million Quatre cent Cinquante  Huit mille Huit cent  Quatre vingt quatorze francs CFA</t>
  </si>
  <si>
    <t>CHQ-0371-2026</t>
  </si>
  <si>
    <t>BE8673RB/BP2961RB_42.68 MT</t>
  </si>
  <si>
    <t>Treize million Deux cent Trente mille Huit cent francs CFA</t>
  </si>
  <si>
    <t>CHQ-0372-2026</t>
  </si>
  <si>
    <t>No 070/PS-26</t>
  </si>
  <si>
    <t>DOC BAGS SEWN</t>
  </si>
  <si>
    <t>Cent Trente-quatre mille neuf cent Cinquante-Sept francs CFA</t>
  </si>
  <si>
    <t>CC-0133-2026</t>
  </si>
  <si>
    <t>10/10/1026</t>
  </si>
  <si>
    <t>Quinze million Huit cent Quinze mille Six cent Francs CFA</t>
  </si>
  <si>
    <t>CHQ-0373-2026</t>
  </si>
  <si>
    <t>CH0818RB/CH0816RB_30.06 MT</t>
  </si>
  <si>
    <t>Neuf Millions Trois cent Dix-Huit mille Six cent francs CFA</t>
  </si>
  <si>
    <t>CHQ-0374-2026</t>
  </si>
  <si>
    <t>BS2916RB/BJ2443RB_40.600 MT</t>
  </si>
  <si>
    <t>Douze millions Cinq Cent Quatre Vingt Six mille Francs CFA</t>
  </si>
  <si>
    <t>CHQ-0375-2026</t>
  </si>
  <si>
    <t>BR2580RB/CC3813RB_35.64 MT</t>
  </si>
  <si>
    <t xml:space="preserve">Onze millions Six cent Soixante et un mille Deux cent francs CFA </t>
  </si>
  <si>
    <t>CHQ-0376-2026</t>
  </si>
  <si>
    <t>AS8230RB/AX5255RB_45.44 MT</t>
  </si>
  <si>
    <t>Quartoze million Trois cent Neuf mille Quarante Francs CFA</t>
  </si>
  <si>
    <t>CHQ-0377-2026</t>
  </si>
  <si>
    <t>BR8361RB/BS0670RB_40.78 MT</t>
  </si>
  <si>
    <t>Sept Millions Cinq cent Mille Francs CFA</t>
  </si>
  <si>
    <t>CHQ-0378-2026</t>
  </si>
  <si>
    <t>CH8791RB/CK0290RB_49.56 MT &amp; CC4207RB/CD6286RB_48.54 MT</t>
  </si>
  <si>
    <t>Trente et un Million Huit cent Soixante Sept mille Deux cent</t>
  </si>
  <si>
    <t>CHQ-0379-2026</t>
  </si>
  <si>
    <t>KOUAKIN ANNICET LEOPOLD SEWANOU</t>
  </si>
  <si>
    <t>0167349011</t>
  </si>
  <si>
    <t>MADAME JOSLINE</t>
  </si>
  <si>
    <t>Cinq Millions Quatre Cent Francs CFA</t>
  </si>
  <si>
    <t>CHQ-0380-2026</t>
  </si>
  <si>
    <t>CHQ-0381-2026</t>
  </si>
  <si>
    <t>0071/PS-26</t>
  </si>
  <si>
    <t>Trois million Trois cent soixante dix-Sept mille Cinq cent Dix-Sept francs CFA</t>
  </si>
  <si>
    <t>CHQ-0382-2026</t>
  </si>
  <si>
    <t>Quatre millions six cent quarante une mille huit cent francs CFA</t>
  </si>
  <si>
    <t>CHQ-0383-2026</t>
  </si>
  <si>
    <t>CHQ-0384-2026</t>
  </si>
  <si>
    <t>Treize millions deux cents soixante quartoze deux cents francs CFA</t>
  </si>
  <si>
    <t>BY0595RB/BT9373RB_42.82 MT</t>
  </si>
  <si>
    <t>CHQ-0385-2026</t>
  </si>
  <si>
    <t>Huit millions cent neuf mille six cent francs CFA</t>
  </si>
  <si>
    <t>BF8012RB/BB6287RB_26.16 MT</t>
  </si>
  <si>
    <t>YAROU BAGUIRI</t>
  </si>
  <si>
    <t>CHQ-0386-2026</t>
  </si>
  <si>
    <t>Trois millions de francs CFA</t>
  </si>
  <si>
    <t>BT7986RB_49.36 MT</t>
  </si>
  <si>
    <t>Seize millions deux cent quatre vingt huit mille huit cent francs CFA</t>
  </si>
  <si>
    <t>CHQ-0387-2026</t>
  </si>
  <si>
    <t>CH5581RB_19.900 MT</t>
  </si>
  <si>
    <t>Six Million Cent Soixante neuf mille francs CFA</t>
  </si>
  <si>
    <t>CHQ-0388-2026</t>
  </si>
  <si>
    <t>WAYBILL: 8126709555</t>
  </si>
  <si>
    <t>CC-0134-2026</t>
  </si>
  <si>
    <t>WAYBILL: 8126709032</t>
  </si>
  <si>
    <t>Cinquante Deux mille Cinq Cent Six virgule Cinquant deux  francs CFA</t>
  </si>
  <si>
    <t>Cinquante Deux mille Cinq Cent Cinq virgule Cinquant deux  francs CFA</t>
  </si>
  <si>
    <t>CC-0135-2026</t>
  </si>
  <si>
    <t>PAYEMENT FACTURE ACHAT BL ET FRET  EXPORT POUR LES BL :277770098, 278981635, 277763418, 277443031, 277243596, 277243505, 277243348, 277243441</t>
  </si>
  <si>
    <t>Deux cent Soixant Quinze mille Six cent Quarante huit francs CFA</t>
  </si>
  <si>
    <t>CC-0136-2026</t>
  </si>
  <si>
    <t>SERVICES</t>
  </si>
  <si>
    <t>REGISTRE COURRIER ARRIVEE ET SORTIES</t>
  </si>
  <si>
    <t>Cinq mille Francs CFA</t>
  </si>
  <si>
    <t>CC-0137-2026</t>
  </si>
  <si>
    <t>CC2315RB_17.86 MT</t>
  </si>
  <si>
    <t>Cinq million Huit cent quarante Trois mille Huit cent francs CFA</t>
  </si>
  <si>
    <t>CHQ-0389-2026</t>
  </si>
  <si>
    <t>REF aaec55fc1f</t>
  </si>
  <si>
    <t>Vingt mille francs CFA</t>
  </si>
  <si>
    <t>Cent mille Francs CFA</t>
  </si>
  <si>
    <t>REF aaec5a8a6f</t>
  </si>
  <si>
    <t>REF aaec5b7914</t>
  </si>
  <si>
    <t>CC-0138-2026</t>
  </si>
  <si>
    <t>CC-0139-2026</t>
  </si>
  <si>
    <t>CC-0140-2026</t>
  </si>
  <si>
    <t>STATION JNP</t>
  </si>
  <si>
    <t>Vingt quatre mille francs CFA</t>
  </si>
  <si>
    <t>CC-0141-2026</t>
  </si>
  <si>
    <t>BN4942RB/AH9816RB_40,02 MT &amp; BY5570RB/BH1863RB_51,02 MT</t>
  </si>
  <si>
    <t>Dix Sept millions Quatre cent six mille deux cent francs CFA</t>
  </si>
  <si>
    <t>CHQ-0390-2026</t>
  </si>
  <si>
    <t>CB6370RB/BY4656RB_50.0 MT &amp; CA5858RB/AC1719RB_45.46 MT</t>
  </si>
  <si>
    <t>Vingt neuf millions Six cent onze mille Deux cent francs CFA</t>
  </si>
  <si>
    <t>CHQ-0391-2026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</si>
</sst>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[$XOF]\ #,##0"/>
    <numFmt numFmtId="166" formatCode="dd\-mm\-yyyy"/>
    <numFmt numFmtId="167" formatCode="_([$XOF]\ * #,##0_);_([$XOF]\ * \(#,##0\);_([$XOF]\ * &quot;-&quot;??_);_(@_)"/>
  </numFmts>
  <fonts count="3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Trebuchet MS"/>
      <family val="2"/>
    </font>
    <font>
      <b/>
      <sz val="18"/>
      <color theme="3"/>
      <name val="Calibri"/>
      <family val="2"/>
      <scheme val="minor"/>
    </font>
    <font>
      <sz val="12"/>
      <color theme="1"/>
      <name val="Trebuchet MS"/>
      <family val="2"/>
    </font>
    <font>
      <i/>
      <sz val="12"/>
      <color theme="8" tint="-0.499984740745262"/>
      <name val="Trebuchet MS"/>
      <family val="2"/>
    </font>
    <font>
      <sz val="14"/>
      <color theme="1"/>
      <name val="Trebuchet MS"/>
      <family val="2"/>
    </font>
    <font>
      <b/>
      <sz val="14"/>
      <name val="Calibri"/>
      <family val="2"/>
      <scheme val="minor"/>
    </font>
    <font>
      <sz val="14"/>
      <name val="Trebuchet MS"/>
      <family val="2"/>
    </font>
    <font>
      <i/>
      <sz val="14"/>
      <name val="Trebuchet MS"/>
      <family val="2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name val="Trebuchet MS"/>
      <family val="2"/>
    </font>
    <font>
      <b/>
      <sz val="12"/>
      <color theme="1"/>
      <name val="Trebuchet MS"/>
      <family val="2"/>
    </font>
    <font>
      <i/>
      <sz val="11"/>
      <name val="Trebuchet MS"/>
      <family val="2"/>
    </font>
    <font>
      <b/>
      <i/>
      <sz val="11"/>
      <name val="Trebuchet MS"/>
      <family val="2"/>
    </font>
    <font>
      <b/>
      <sz val="11"/>
      <color theme="1"/>
      <name val="Trebuchet MS"/>
      <family val="2"/>
    </font>
    <font>
      <b/>
      <i/>
      <sz val="8"/>
      <color rgb="FF7F7F7F"/>
      <name val="Calibri"/>
      <family val="2"/>
      <scheme val="minor"/>
    </font>
    <font>
      <b/>
      <sz val="26"/>
      <color rgb="FF000000"/>
      <name val="Trebuchet MS"/>
      <family val="2"/>
    </font>
    <font>
      <b/>
      <sz val="14"/>
      <color rgb="FF000000"/>
      <name val="Trebuchet MS"/>
      <family val="2"/>
    </font>
    <font>
      <sz val="14"/>
      <color rgb="FF000000"/>
      <name val="Trebuchet MS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rebuchet MS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C3DA"/>
      </left>
      <right style="thin">
        <color rgb="FFB7C3DA"/>
      </right>
      <top style="thin">
        <color rgb="FFB7C3DA"/>
      </top>
      <bottom style="thin">
        <color rgb="FFB7C3DA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6" fillId="0" borderId="14" applyNumberFormat="0" applyFill="0" applyAlignment="0" applyProtection="0"/>
    <xf numFmtId="164" fontId="30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147">
    <xf numFmtId="0" fontId="0" fillId="0" borderId="0" xfId="0"/>
    <xf numFmtId="0" fontId="5" fillId="0" borderId="0" xfId="0" applyFont="1"/>
    <xf numFmtId="0" fontId="1" fillId="0" borderId="1" xfId="1"/>
    <xf numFmtId="0" fontId="6" fillId="0" borderId="1" xfId="1" applyFont="1" applyAlignment="1">
      <alignment horizontal="center"/>
    </xf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4" applyFont="1" applyBorder="1" applyAlignment="1">
      <alignment wrapText="1"/>
    </xf>
    <xf numFmtId="0" fontId="7" fillId="0" borderId="0" xfId="0" applyFont="1"/>
    <xf numFmtId="0" fontId="15" fillId="0" borderId="0" xfId="0" applyFont="1" applyAlignment="1">
      <alignment wrapText="1"/>
    </xf>
    <xf numFmtId="0" fontId="11" fillId="0" borderId="0" xfId="0" applyFont="1"/>
    <xf numFmtId="0" fontId="10" fillId="0" borderId="0" xfId="2" applyFont="1" applyBorder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18" fillId="0" borderId="3" xfId="5" applyFont="1" applyBorder="1" applyAlignment="1">
      <alignment vertical="center" wrapText="1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4" xfId="0" applyFont="1" applyBorder="1"/>
    <xf numFmtId="0" fontId="21" fillId="0" borderId="0" xfId="0" applyFont="1"/>
    <xf numFmtId="0" fontId="4" fillId="0" borderId="0" xfId="4" applyBorder="1"/>
    <xf numFmtId="0" fontId="8" fillId="0" borderId="0" xfId="0" applyFont="1"/>
    <xf numFmtId="0" fontId="5" fillId="0" borderId="7" xfId="0" applyFont="1" applyBorder="1"/>
    <xf numFmtId="0" fontId="5" fillId="0" borderId="8" xfId="0" applyFont="1" applyBorder="1"/>
    <xf numFmtId="0" fontId="7" fillId="0" borderId="7" xfId="0" applyFont="1" applyBorder="1"/>
    <xf numFmtId="0" fontId="7" fillId="0" borderId="8" xfId="0" applyFont="1" applyBorder="1"/>
    <xf numFmtId="0" fontId="2" fillId="0" borderId="2" xfId="2"/>
    <xf numFmtId="0" fontId="22" fillId="0" borderId="7" xfId="4" applyFont="1" applyBorder="1" applyAlignment="1"/>
    <xf numFmtId="0" fontId="7" fillId="0" borderId="0" xfId="0" applyFont="1" applyAlignment="1">
      <alignment horizontal="left" vertical="center"/>
    </xf>
    <xf numFmtId="0" fontId="26" fillId="0" borderId="3" xfId="3" applyFont="1" applyBorder="1" applyAlignment="1">
      <alignment horizontal="left" vertical="center" wrapText="1"/>
    </xf>
    <xf numFmtId="14" fontId="0" fillId="0" borderId="0" xfId="0" applyNumberFormat="1"/>
    <xf numFmtId="0" fontId="14" fillId="0" borderId="3" xfId="3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165" fontId="15" fillId="0" borderId="3" xfId="0" applyNumberFormat="1" applyFont="1" applyBorder="1" applyAlignment="1">
      <alignment horizontal="left" vertical="center" wrapText="1"/>
    </xf>
    <xf numFmtId="0" fontId="28" fillId="0" borderId="3" xfId="5" applyFont="1" applyBorder="1" applyAlignment="1">
      <alignment wrapText="1"/>
    </xf>
    <xf numFmtId="0" fontId="18" fillId="0" borderId="3" xfId="0" applyFont="1" applyBorder="1" applyAlignment="1">
      <alignment horizontal="left" vertical="center"/>
    </xf>
    <xf numFmtId="0" fontId="14" fillId="0" borderId="0" xfId="3" applyFont="1" applyBorder="1" applyAlignment="1">
      <alignment horizontal="left" vertical="center" wrapText="1"/>
    </xf>
    <xf numFmtId="0" fontId="14" fillId="0" borderId="3" xfId="3" applyFont="1" applyFill="1" applyBorder="1" applyAlignment="1">
      <alignment horizontal="left" vertical="center" wrapText="1"/>
    </xf>
    <xf numFmtId="49" fontId="0" fillId="0" borderId="0" xfId="0" applyNumberFormat="1"/>
    <xf numFmtId="0" fontId="7" fillId="0" borderId="3" xfId="0" applyFont="1" applyBorder="1" applyAlignment="1">
      <alignment horizontal="left" vertical="center" wrapText="1"/>
    </xf>
    <xf numFmtId="0" fontId="0" fillId="0" borderId="3" xfId="0" applyBorder="1"/>
    <xf numFmtId="0" fontId="16" fillId="0" borderId="3" xfId="0" applyFont="1" applyBorder="1"/>
    <xf numFmtId="0" fontId="1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5" fontId="0" fillId="2" borderId="0" xfId="6" applyNumberFormat="1" applyFont="1" applyFill="1"/>
    <xf numFmtId="49" fontId="0" fillId="0" borderId="3" xfId="0" applyNumberFormat="1" applyBorder="1"/>
    <xf numFmtId="49" fontId="0" fillId="0" borderId="3" xfId="0" applyNumberFormat="1" applyBorder="1" applyAlignment="1">
      <alignment horizontal="left"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5" fillId="0" borderId="3" xfId="0" applyFont="1" applyBorder="1" applyAlignment="1">
      <alignment horizontal="left" vertical="center"/>
    </xf>
    <xf numFmtId="166" fontId="26" fillId="0" borderId="3" xfId="3" applyNumberFormat="1" applyFont="1" applyBorder="1" applyAlignment="1">
      <alignment horizontal="left" vertical="center" wrapText="1"/>
    </xf>
    <xf numFmtId="166" fontId="0" fillId="0" borderId="0" xfId="0" applyNumberFormat="1"/>
    <xf numFmtId="14" fontId="29" fillId="0" borderId="3" xfId="3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right"/>
    </xf>
    <xf numFmtId="49" fontId="32" fillId="0" borderId="0" xfId="7" applyNumberFormat="1"/>
    <xf numFmtId="49" fontId="0" fillId="0" borderId="0" xfId="0" quotePrefix="1" applyNumberFormat="1"/>
    <xf numFmtId="165" fontId="0" fillId="2" borderId="0" xfId="6" applyNumberFormat="1" applyFont="1" applyFill="1" applyAlignment="1">
      <alignment horizontal="right" vertical="center"/>
    </xf>
    <xf numFmtId="14" fontId="0" fillId="0" borderId="3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left"/>
    </xf>
    <xf numFmtId="167" fontId="0" fillId="0" borderId="3" xfId="6" applyNumberFormat="1" applyFont="1" applyBorder="1" applyAlignment="1">
      <alignment horizontal="left" vertical="center"/>
    </xf>
    <xf numFmtId="167" fontId="0" fillId="0" borderId="3" xfId="0" applyNumberFormat="1" applyBorder="1"/>
    <xf numFmtId="166" fontId="0" fillId="3" borderId="0" xfId="0" applyNumberFormat="1" applyFill="1"/>
    <xf numFmtId="0" fontId="0" fillId="3" borderId="0" xfId="0" applyFill="1"/>
    <xf numFmtId="14" fontId="0" fillId="3" borderId="0" xfId="0" applyNumberFormat="1" applyFill="1"/>
    <xf numFmtId="49" fontId="0" fillId="3" borderId="0" xfId="0" applyNumberFormat="1" applyFill="1"/>
    <xf numFmtId="165" fontId="0" fillId="3" borderId="0" xfId="6" applyNumberFormat="1" applyFont="1" applyFill="1"/>
    <xf numFmtId="4" fontId="0" fillId="0" borderId="3" xfId="0" applyNumberFormat="1" applyBorder="1"/>
    <xf numFmtId="166" fontId="0" fillId="4" borderId="0" xfId="0" applyNumberFormat="1" applyFill="1"/>
    <xf numFmtId="0" fontId="0" fillId="4" borderId="0" xfId="0" applyFill="1"/>
    <xf numFmtId="49" fontId="0" fillId="4" borderId="0" xfId="0" applyNumberFormat="1" applyFill="1"/>
    <xf numFmtId="165" fontId="0" fillId="4" borderId="0" xfId="6" applyNumberFormat="1" applyFont="1" applyFill="1"/>
    <xf numFmtId="14" fontId="0" fillId="4" borderId="0" xfId="0" applyNumberFormat="1" applyFill="1"/>
    <xf numFmtId="14" fontId="15" fillId="0" borderId="3" xfId="0" applyNumberFormat="1" applyFont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26" fillId="0" borderId="3" xfId="3" applyNumberFormat="1" applyFont="1" applyBorder="1" applyAlignment="1">
      <alignment horizontal="left" vertical="center" wrapText="1"/>
    </xf>
    <xf numFmtId="1" fontId="0" fillId="4" borderId="0" xfId="0" applyNumberFormat="1" applyFill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0" borderId="0" xfId="0" applyNumberFormat="1"/>
    <xf numFmtId="0" fontId="1" fillId="0" borderId="1" xfId="1" applyFill="1"/>
    <xf numFmtId="0" fontId="6" fillId="0" borderId="1" xfId="1" applyFont="1" applyFill="1" applyAlignment="1">
      <alignment horizontal="center"/>
    </xf>
    <xf numFmtId="0" fontId="14" fillId="0" borderId="0" xfId="3" applyFont="1" applyFill="1" applyBorder="1" applyAlignment="1">
      <alignment horizontal="left" vertical="center" wrapText="1"/>
    </xf>
    <xf numFmtId="0" fontId="29" fillId="0" borderId="3" xfId="3" applyFont="1" applyFill="1" applyBorder="1" applyAlignment="1">
      <alignment horizontal="left" vertical="center" wrapText="1"/>
    </xf>
    <xf numFmtId="1" fontId="15" fillId="0" borderId="3" xfId="0" applyNumberFormat="1" applyFont="1" applyBorder="1" applyAlignment="1">
      <alignment horizontal="left" vertical="center"/>
    </xf>
    <xf numFmtId="0" fontId="18" fillId="0" borderId="3" xfId="5" applyFont="1" applyFill="1" applyBorder="1" applyAlignment="1">
      <alignment vertical="center" wrapText="1"/>
    </xf>
    <xf numFmtId="0" fontId="14" fillId="0" borderId="3" xfId="5" applyFont="1" applyFill="1" applyBorder="1" applyAlignment="1">
      <alignment wrapText="1"/>
    </xf>
    <xf numFmtId="0" fontId="10" fillId="0" borderId="0" xfId="2" applyFont="1" applyFill="1" applyBorder="1" applyAlignment="1">
      <alignment wrapText="1"/>
    </xf>
    <xf numFmtId="0" fontId="13" fillId="0" borderId="0" xfId="4" applyFont="1" applyFill="1" applyBorder="1" applyAlignment="1">
      <alignment wrapText="1"/>
    </xf>
    <xf numFmtId="0" fontId="2" fillId="0" borderId="2" xfId="2" applyFill="1"/>
    <xf numFmtId="0" fontId="4" fillId="0" borderId="0" xfId="4" applyFill="1" applyBorder="1"/>
    <xf numFmtId="0" fontId="22" fillId="0" borderId="7" xfId="4" applyFont="1" applyFill="1" applyBorder="1" applyAlignment="1"/>
    <xf numFmtId="0" fontId="0" fillId="0" borderId="0" xfId="0" applyAlignment="1">
      <alignment wrapText="1"/>
    </xf>
    <xf numFmtId="14" fontId="29" fillId="0" borderId="3" xfId="3" applyNumberFormat="1" applyFont="1" applyFill="1" applyBorder="1" applyAlignment="1">
      <alignment horizontal="left" vertical="center" wrapText="1"/>
    </xf>
    <xf numFmtId="165" fontId="0" fillId="5" borderId="0" xfId="6" applyNumberFormat="1" applyFont="1" applyFill="1"/>
    <xf numFmtId="165" fontId="0" fillId="6" borderId="0" xfId="6" applyNumberFormat="1" applyFont="1" applyFill="1"/>
    <xf numFmtId="165" fontId="0" fillId="2" borderId="0" xfId="0" applyNumberFormat="1" applyFill="1"/>
    <xf numFmtId="165" fontId="0" fillId="5" borderId="0" xfId="0" applyNumberFormat="1" applyFill="1"/>
    <xf numFmtId="0" fontId="0" fillId="0" borderId="0" xfId="0" applyAlignment="1">
      <alignment horizontal="left" vertical="center"/>
    </xf>
    <xf numFmtId="0" fontId="0" fillId="0" borderId="15" xfId="0" applyBorder="1"/>
    <xf numFmtId="0" fontId="15" fillId="0" borderId="16" xfId="0" applyFont="1" applyBorder="1" applyAlignment="1">
      <alignment wrapText="1"/>
    </xf>
    <xf numFmtId="0" fontId="15" fillId="0" borderId="17" xfId="0" applyFont="1" applyBorder="1" applyAlignment="1">
      <alignment horizontal="left" vertical="center"/>
    </xf>
    <xf numFmtId="0" fontId="15" fillId="0" borderId="18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20" fillId="0" borderId="18" xfId="0" applyFont="1" applyBorder="1" applyAlignment="1">
      <alignment horizontal="left"/>
    </xf>
    <xf numFmtId="0" fontId="5" fillId="0" borderId="18" xfId="0" applyFont="1" applyBorder="1"/>
    <xf numFmtId="0" fontId="31" fillId="0" borderId="17" xfId="0" applyFont="1" applyBorder="1"/>
    <xf numFmtId="0" fontId="21" fillId="0" borderId="19" xfId="0" applyFont="1" applyBorder="1"/>
    <xf numFmtId="0" fontId="31" fillId="0" borderId="20" xfId="0" applyFont="1" applyBorder="1"/>
    <xf numFmtId="0" fontId="5" fillId="0" borderId="21" xfId="0" applyFont="1" applyBorder="1"/>
    <xf numFmtId="0" fontId="31" fillId="0" borderId="22" xfId="0" applyFont="1" applyBorder="1"/>
    <xf numFmtId="0" fontId="11" fillId="0" borderId="18" xfId="0" applyFont="1" applyBorder="1"/>
    <xf numFmtId="0" fontId="12" fillId="0" borderId="18" xfId="0" applyFont="1" applyBorder="1" applyAlignment="1">
      <alignment horizontal="left" vertical="center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165" fontId="0" fillId="6" borderId="0" xfId="0" applyNumberFormat="1" applyFill="1"/>
    <xf numFmtId="0" fontId="0" fillId="0" borderId="0" xfId="0" quotePrefix="1"/>
    <xf numFmtId="0" fontId="23" fillId="0" borderId="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3" xfId="0" applyFont="1" applyBorder="1" applyAlignment="1">
      <alignment horizontal="left" vertical="center" wrapText="1"/>
    </xf>
    <xf numFmtId="0" fontId="22" fillId="0" borderId="0" xfId="4" applyFont="1" applyBorder="1" applyAlignment="1">
      <alignment horizontal="left" wrapText="1"/>
    </xf>
    <xf numFmtId="0" fontId="22" fillId="0" borderId="0" xfId="4" applyFont="1" applyFill="1" applyBorder="1" applyAlignment="1">
      <alignment horizontal="left" wrapText="1"/>
    </xf>
    <xf numFmtId="0" fontId="31" fillId="0" borderId="12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</cellXfs>
  <cellStyles count="8">
    <cellStyle name="Lien hypertexte" xfId="7" builtinId="8"/>
    <cellStyle name="Milliers" xfId="6" builtinId="3"/>
    <cellStyle name="Normal" xfId="0" builtinId="0"/>
    <cellStyle name="Texte explicatif" xfId="4" builtinId="53"/>
    <cellStyle name="Titre 1" xfId="1" builtinId="16"/>
    <cellStyle name="Titre 2" xfId="2" builtinId="17"/>
    <cellStyle name="Titre 4" xfId="3" builtinId="19"/>
    <cellStyle name="Total" xfId="5" builtinId="2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[$XOF]\ #,##0"/>
      <fill>
        <patternFill patternType="solid">
          <fgColor indexed="64"/>
          <bgColor theme="3" tint="0.79998168889431442"/>
        </patternFill>
      </fill>
    </dxf>
    <dxf>
      <numFmt numFmtId="30" formatCode="@"/>
    </dxf>
    <dxf>
      <numFmt numFmtId="1" formatCode="0"/>
      <alignment horizontal="left" vertical="bottom" textRotation="0" wrapText="0" indent="0" justifyLastLine="0" shrinkToFit="0" readingOrder="0"/>
    </dxf>
    <dxf>
      <numFmt numFmtId="166" formatCode="dd\-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rebuchet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70DA4FA-D6C4-49C8-871D-86DC5AEB13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E5282-83D0-4F40-A677-CFDDC75CCF51}" name="Table1" displayName="Table1" ref="B3:R574" totalsRowShown="0" headerRowDxfId="19">
  <autoFilter ref="B3:R574" xr:uid="{995E5282-83D0-4F40-A677-CFDDC75CCF51}">
    <filterColumn colId="4">
      <filters>
        <filter val="AHEGNI CASIMIR"/>
      </filters>
    </filterColumn>
  </autoFilter>
  <sortState xmlns:xlrd2="http://schemas.microsoft.com/office/spreadsheetml/2017/richdata2" ref="B4:R504">
    <sortCondition ref="C3:C504"/>
  </sortState>
  <tableColumns count="17">
    <tableColumn id="1" xr3:uid="{B5DE0E66-983D-49DB-A0DF-563DFF6B4FAF}" name="Date" dataDxfId="18"/>
    <tableColumn id="2" xr3:uid="{AC8354C0-F321-4108-9529-635AFA2339E2}" name="No de transaction"/>
    <tableColumn id="3" xr3:uid="{4688F40C-D730-4ED5-ABE1-19CAADF38F48}" name="Type d'operation"/>
    <tableColumn id="4" xr3:uid="{70B1D880-4152-411A-B146-272BF422EBA5}" name="Produit"/>
    <tableColumn id="5" xr3:uid="{10C1F600-6AFF-47F7-A78C-0BC97B341EA1}" name="Prestataires/Fournisseurs"/>
    <tableColumn id="6" xr3:uid="{5A5ECBA4-838A-43A6-95B1-55699AFA2E8B}" name="Nom du bénéficiaire"/>
    <tableColumn id="7" xr3:uid="{ECA554BE-AEDA-4D2F-A4CC-A57E8BC7625B}" name="Num. Pieces d'identite" dataDxfId="17"/>
    <tableColumn id="8" xr3:uid="{BC9DB293-212E-4C1E-9FBF-BC58073AE28E}" name="Date d'expiration"/>
    <tableColumn id="9" xr3:uid="{097A19B0-7969-45D7-A99F-4F9EBA5E6EF9}" name="Addresse /Telephone" dataDxfId="16"/>
    <tableColumn id="10" xr3:uid="{0F7FA978-EDF2-43B6-96F9-AF4BC9B6CE0E}" name="Ref doc"/>
    <tableColumn id="11" xr3:uid="{30D59BC9-3F2F-48A0-8B95-9F86662F16F6}" name="Description/Objet du paiement"/>
    <tableColumn id="13" xr3:uid="{8F5D75D5-1CB4-46E1-A103-F09FACA705FF}" name="Montant" dataDxfId="15"/>
    <tableColumn id="14" xr3:uid="{61722D12-B6E9-44DE-A9FF-B5539CE92642}" name="Observation"/>
    <tableColumn id="15" xr3:uid="{D1927603-F94A-4B10-9F11-49EDA097697C}" name="Montant en lettre"/>
    <tableColumn id="16" xr3:uid="{11AF0A2E-3AB8-4258-BFD4-3703A9474C1E}" name="Mode paiement"/>
    <tableColumn id="17" xr3:uid="{08A39133-F0E2-42D6-B94A-B4D263F76241}" name="Numero de cheque"/>
    <tableColumn id="18" xr3:uid="{D5A6890F-12BE-4557-AD89-861A2F03ECB4}" name="Banq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benincustomerservice@dhl.com" TargetMode="External"/><Relationship Id="rId18" Type="http://schemas.openxmlformats.org/officeDocument/2006/relationships/hyperlink" Target="mailto:benincustomerservice@dhl.com" TargetMode="External"/><Relationship Id="rId26" Type="http://schemas.openxmlformats.org/officeDocument/2006/relationships/hyperlink" Target="mailto:benincustomerservice@dhl.com" TargetMode="External"/><Relationship Id="rId3" Type="http://schemas.openxmlformats.org/officeDocument/2006/relationships/hyperlink" Target="mailto:benincustomerservice@dhl.com" TargetMode="External"/><Relationship Id="rId21" Type="http://schemas.openxmlformats.org/officeDocument/2006/relationships/hyperlink" Target="mailto:benincustomerservice@dhl.com" TargetMode="External"/><Relationship Id="rId34" Type="http://schemas.openxmlformats.org/officeDocument/2006/relationships/table" Target="../tables/table1.xml"/><Relationship Id="rId7" Type="http://schemas.openxmlformats.org/officeDocument/2006/relationships/hyperlink" Target="mailto:benincustomerservice@dhl.com" TargetMode="External"/><Relationship Id="rId12" Type="http://schemas.openxmlformats.org/officeDocument/2006/relationships/hyperlink" Target="mailto:benincustomerservice@dhl.com" TargetMode="External"/><Relationship Id="rId17" Type="http://schemas.openxmlformats.org/officeDocument/2006/relationships/hyperlink" Target="mailto:benincustomerservice@dhl.com" TargetMode="External"/><Relationship Id="rId25" Type="http://schemas.openxmlformats.org/officeDocument/2006/relationships/hyperlink" Target="mailto:benincustomerservice@dhl.com" TargetMode="External"/><Relationship Id="rId33" Type="http://schemas.openxmlformats.org/officeDocument/2006/relationships/printerSettings" Target="../printerSettings/printerSettings3.bin"/><Relationship Id="rId2" Type="http://schemas.openxmlformats.org/officeDocument/2006/relationships/hyperlink" Target="mailto:benincustomerservice@dhl.com" TargetMode="External"/><Relationship Id="rId16" Type="http://schemas.openxmlformats.org/officeDocument/2006/relationships/hyperlink" Target="mailto:benincustomerservice@dhl.com" TargetMode="External"/><Relationship Id="rId20" Type="http://schemas.openxmlformats.org/officeDocument/2006/relationships/hyperlink" Target="mailto:benincustomerservice@dhl.com" TargetMode="External"/><Relationship Id="rId29" Type="http://schemas.openxmlformats.org/officeDocument/2006/relationships/hyperlink" Target="mailto:benincustomerservice@dhl.com" TargetMode="External"/><Relationship Id="rId1" Type="http://schemas.openxmlformats.org/officeDocument/2006/relationships/hyperlink" Target="mailto:benincustomerservice@dhl.com" TargetMode="External"/><Relationship Id="rId6" Type="http://schemas.openxmlformats.org/officeDocument/2006/relationships/hyperlink" Target="mailto:benincustomerservice@dhl.com" TargetMode="External"/><Relationship Id="rId11" Type="http://schemas.openxmlformats.org/officeDocument/2006/relationships/hyperlink" Target="mailto:benincustomerservice@dhl.com" TargetMode="External"/><Relationship Id="rId24" Type="http://schemas.openxmlformats.org/officeDocument/2006/relationships/hyperlink" Target="mailto:benincustomerservice@dhl.com" TargetMode="External"/><Relationship Id="rId32" Type="http://schemas.openxmlformats.org/officeDocument/2006/relationships/hyperlink" Target="mailto:benincustomerservice@dhl.com" TargetMode="External"/><Relationship Id="rId5" Type="http://schemas.openxmlformats.org/officeDocument/2006/relationships/hyperlink" Target="mailto:benincustomerservice@dhl.com" TargetMode="External"/><Relationship Id="rId15" Type="http://schemas.openxmlformats.org/officeDocument/2006/relationships/hyperlink" Target="mailto:benincustomerservice@dhl.com" TargetMode="External"/><Relationship Id="rId23" Type="http://schemas.openxmlformats.org/officeDocument/2006/relationships/hyperlink" Target="mailto:benincustomerservice@dhl.com" TargetMode="External"/><Relationship Id="rId28" Type="http://schemas.openxmlformats.org/officeDocument/2006/relationships/hyperlink" Target="mailto:benincustomerservice@dhl.com" TargetMode="External"/><Relationship Id="rId10" Type="http://schemas.openxmlformats.org/officeDocument/2006/relationships/hyperlink" Target="mailto:benincustomerservice@dhl.com" TargetMode="External"/><Relationship Id="rId19" Type="http://schemas.openxmlformats.org/officeDocument/2006/relationships/hyperlink" Target="mailto:benincustomerservice@dhl.com" TargetMode="External"/><Relationship Id="rId31" Type="http://schemas.openxmlformats.org/officeDocument/2006/relationships/hyperlink" Target="mailto:benincustomerservice@dhl.com" TargetMode="External"/><Relationship Id="rId4" Type="http://schemas.openxmlformats.org/officeDocument/2006/relationships/hyperlink" Target="mailto:benincustomerservice@dhl.com" TargetMode="External"/><Relationship Id="rId9" Type="http://schemas.openxmlformats.org/officeDocument/2006/relationships/hyperlink" Target="mailto:benincustomerservice@dhl.com" TargetMode="External"/><Relationship Id="rId14" Type="http://schemas.openxmlformats.org/officeDocument/2006/relationships/hyperlink" Target="mailto:benincustomerservice@dhl.com" TargetMode="External"/><Relationship Id="rId22" Type="http://schemas.openxmlformats.org/officeDocument/2006/relationships/hyperlink" Target="mailto:benincustomerservice@dhl.com" TargetMode="External"/><Relationship Id="rId27" Type="http://schemas.openxmlformats.org/officeDocument/2006/relationships/hyperlink" Target="mailto:benincustomerservice@dhl.com" TargetMode="External"/><Relationship Id="rId30" Type="http://schemas.openxmlformats.org/officeDocument/2006/relationships/hyperlink" Target="mailto:benincustomerservice@dhl.com" TargetMode="External"/><Relationship Id="rId8" Type="http://schemas.openxmlformats.org/officeDocument/2006/relationships/hyperlink" Target="mailto:benincustomerservice@dh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46DE-884A-4B2B-A4A6-117D98411703}">
  <sheetPr codeName="Feuil1">
    <pageSetUpPr fitToPage="1"/>
  </sheetPr>
  <dimension ref="B2:M39"/>
  <sheetViews>
    <sheetView topLeftCell="A18" zoomScale="72" zoomScaleNormal="72" zoomScaleSheetLayoutView="90" workbookViewId="0">
      <selection activeCell="C3" sqref="C3:I39"/>
    </sheetView>
  </sheetViews>
  <sheetFormatPr baseColWidth="10" defaultColWidth="8.7265625" defaultRowHeight="14.5" x14ac:dyDescent="0.35"/>
  <cols>
    <col min="1" max="1" width="8.7265625" style="1"/>
    <col min="2" max="2" width="2.54296875" style="1" customWidth="1"/>
    <col min="3" max="3" width="7.1796875" style="1" customWidth="1"/>
    <col min="4" max="4" width="23.54296875" style="1" bestFit="1" customWidth="1"/>
    <col min="5" max="5" width="26.7265625" style="1" bestFit="1" customWidth="1"/>
    <col min="6" max="6" width="50.453125" style="1" customWidth="1"/>
    <col min="7" max="7" width="24.7265625" style="1" bestFit="1" customWidth="1"/>
    <col min="8" max="8" width="16.90625" style="1" bestFit="1" customWidth="1"/>
    <col min="9" max="9" width="5.81640625" style="1" customWidth="1"/>
    <col min="10" max="16384" width="8.7265625" style="1"/>
  </cols>
  <sheetData>
    <row r="2" spans="3:13" ht="15" thickBot="1" x14ac:dyDescent="0.4"/>
    <row r="3" spans="3:13" ht="15" thickBot="1" x14ac:dyDescent="0.4">
      <c r="C3" s="15"/>
      <c r="D3" s="16"/>
      <c r="E3" s="16"/>
      <c r="F3" s="16"/>
      <c r="G3" s="16"/>
      <c r="H3" s="16"/>
      <c r="I3" s="17"/>
    </row>
    <row r="4" spans="3:13" x14ac:dyDescent="0.35">
      <c r="C4" s="28"/>
      <c r="D4" s="15"/>
      <c r="E4" s="128" t="s">
        <v>25</v>
      </c>
      <c r="F4" s="128"/>
      <c r="G4" s="128"/>
      <c r="H4" s="17"/>
      <c r="I4" s="29"/>
    </row>
    <row r="5" spans="3:13" x14ac:dyDescent="0.35">
      <c r="C5" s="28"/>
      <c r="D5" s="28"/>
      <c r="E5" s="129"/>
      <c r="F5" s="129"/>
      <c r="G5" s="129"/>
      <c r="H5" s="29"/>
      <c r="I5" s="29"/>
    </row>
    <row r="6" spans="3:13" x14ac:dyDescent="0.35">
      <c r="C6" s="28"/>
      <c r="D6" s="28"/>
      <c r="E6" s="129"/>
      <c r="F6" s="129"/>
      <c r="G6" s="129"/>
      <c r="H6" s="29"/>
      <c r="I6" s="29"/>
    </row>
    <row r="7" spans="3:13" ht="21" customHeight="1" x14ac:dyDescent="0.35">
      <c r="C7" s="28"/>
      <c r="D7" s="130" t="s">
        <v>26</v>
      </c>
      <c r="E7" s="131"/>
      <c r="F7" s="131"/>
      <c r="G7" s="131"/>
      <c r="H7" s="132"/>
      <c r="I7" s="29"/>
    </row>
    <row r="8" spans="3:13" ht="21" customHeight="1" x14ac:dyDescent="0.35">
      <c r="C8" s="28"/>
      <c r="D8" s="130"/>
      <c r="E8" s="131"/>
      <c r="F8" s="131"/>
      <c r="G8" s="131"/>
      <c r="H8" s="132"/>
      <c r="I8" s="29"/>
    </row>
    <row r="9" spans="3:13" ht="22" customHeight="1" thickBot="1" x14ac:dyDescent="0.4">
      <c r="C9" s="28"/>
      <c r="D9" s="133"/>
      <c r="E9" s="134"/>
      <c r="F9" s="134"/>
      <c r="G9" s="134"/>
      <c r="H9" s="135"/>
      <c r="I9" s="29"/>
    </row>
    <row r="10" spans="3:13" x14ac:dyDescent="0.35">
      <c r="C10" s="28"/>
      <c r="I10" s="29"/>
    </row>
    <row r="11" spans="3:13" ht="24" thickBot="1" x14ac:dyDescent="0.6">
      <c r="C11" s="28"/>
      <c r="D11" s="2"/>
      <c r="E11" s="2"/>
      <c r="F11" s="2" t="s">
        <v>17</v>
      </c>
      <c r="G11" s="3"/>
      <c r="H11" s="2"/>
      <c r="I11" s="29"/>
    </row>
    <row r="12" spans="3:13" ht="15" thickTop="1" x14ac:dyDescent="0.35">
      <c r="C12" s="28"/>
      <c r="I12" s="29"/>
    </row>
    <row r="13" spans="3:13" s="8" customFormat="1" ht="26.5" customHeight="1" x14ac:dyDescent="0.35">
      <c r="C13" s="30"/>
      <c r="D13" s="37" t="s">
        <v>0</v>
      </c>
      <c r="E13" s="64">
        <v>46177</v>
      </c>
      <c r="F13" s="9"/>
      <c r="G13" s="37" t="s">
        <v>3</v>
      </c>
      <c r="H13" s="47" t="s">
        <v>154</v>
      </c>
      <c r="I13" s="31"/>
      <c r="M13" s="34"/>
    </row>
    <row r="14" spans="3:13" s="8" customFormat="1" ht="26.5" customHeight="1" x14ac:dyDescent="0.35">
      <c r="C14" s="30"/>
      <c r="D14" s="37" t="s">
        <v>1</v>
      </c>
      <c r="E14" s="48" t="s">
        <v>152</v>
      </c>
      <c r="F14" s="9"/>
      <c r="G14" s="44"/>
      <c r="H14" s="34"/>
      <c r="I14" s="31"/>
    </row>
    <row r="15" spans="3:13" s="8" customFormat="1" ht="26.5" customHeight="1" x14ac:dyDescent="0.35">
      <c r="C15" s="30"/>
      <c r="D15" s="37" t="s">
        <v>2</v>
      </c>
      <c r="E15" s="48" t="s">
        <v>51</v>
      </c>
      <c r="F15" s="9"/>
      <c r="G15" s="37" t="s">
        <v>14</v>
      </c>
      <c r="H15" s="47" t="s">
        <v>154</v>
      </c>
      <c r="I15" s="31"/>
    </row>
    <row r="16" spans="3:13" s="8" customFormat="1" ht="26.5" customHeight="1" x14ac:dyDescent="0.35">
      <c r="C16" s="30"/>
      <c r="D16" s="45" t="s">
        <v>9</v>
      </c>
      <c r="E16" s="48" t="s">
        <v>153</v>
      </c>
      <c r="F16" s="9"/>
      <c r="G16" s="37" t="s">
        <v>4</v>
      </c>
      <c r="H16" s="47">
        <v>8505929556</v>
      </c>
      <c r="I16" s="31"/>
    </row>
    <row r="17" spans="2:9" s="8" customFormat="1" ht="26.5" customHeight="1" x14ac:dyDescent="0.35">
      <c r="B17" s="27"/>
      <c r="C17" s="30"/>
      <c r="D17" s="9"/>
      <c r="E17" s="9"/>
      <c r="F17" s="9"/>
      <c r="G17" s="37" t="s">
        <v>5</v>
      </c>
      <c r="H17" s="47" t="s">
        <v>155</v>
      </c>
      <c r="I17" s="31"/>
    </row>
    <row r="18" spans="2:9" s="8" customFormat="1" ht="26.5" customHeight="1" x14ac:dyDescent="0.35">
      <c r="C18" s="30"/>
      <c r="D18" s="9"/>
      <c r="E18" s="9"/>
      <c r="F18" s="9"/>
      <c r="G18" s="37" t="s">
        <v>6</v>
      </c>
      <c r="H18" s="47" t="s">
        <v>156</v>
      </c>
      <c r="I18" s="31"/>
    </row>
    <row r="19" spans="2:9" ht="19" x14ac:dyDescent="0.45">
      <c r="C19" s="28"/>
      <c r="D19" s="5"/>
      <c r="E19" s="5"/>
      <c r="F19" s="5"/>
      <c r="G19" s="5"/>
      <c r="H19" s="5"/>
      <c r="I19" s="29"/>
    </row>
    <row r="20" spans="2:9" ht="22.5" customHeight="1" x14ac:dyDescent="0.45">
      <c r="C20" s="28"/>
      <c r="D20" s="23" t="s">
        <v>8</v>
      </c>
      <c r="E20" s="22"/>
      <c r="F20" s="5"/>
      <c r="G20" s="5"/>
      <c r="H20" s="5"/>
      <c r="I20" s="29"/>
    </row>
    <row r="21" spans="2:9" ht="29" customHeight="1" x14ac:dyDescent="0.35">
      <c r="C21" s="28"/>
      <c r="D21" s="12" t="s">
        <v>11</v>
      </c>
      <c r="E21" s="136" t="s">
        <v>10</v>
      </c>
      <c r="F21" s="137"/>
      <c r="G21" s="12" t="s">
        <v>16</v>
      </c>
      <c r="H21" s="13" t="s">
        <v>19</v>
      </c>
      <c r="I21" s="29"/>
    </row>
    <row r="22" spans="2:9" ht="59.5" customHeight="1" x14ac:dyDescent="0.35">
      <c r="C22" s="28"/>
      <c r="D22" s="39"/>
      <c r="E22" s="138" t="s">
        <v>167</v>
      </c>
      <c r="F22" s="139"/>
      <c r="G22" s="41">
        <v>20000</v>
      </c>
      <c r="H22" s="40" t="s">
        <v>63</v>
      </c>
      <c r="I22" s="29"/>
    </row>
    <row r="23" spans="2:9" ht="59.5" customHeight="1" x14ac:dyDescent="0.35">
      <c r="C23" s="28"/>
      <c r="D23" s="39"/>
      <c r="E23" s="138" t="s">
        <v>168</v>
      </c>
      <c r="F23" s="139"/>
      <c r="G23" s="41">
        <v>3000</v>
      </c>
      <c r="H23" s="40" t="s">
        <v>63</v>
      </c>
      <c r="I23" s="29"/>
    </row>
    <row r="24" spans="2:9" ht="23" customHeight="1" x14ac:dyDescent="0.45">
      <c r="C24" s="28"/>
      <c r="D24" s="5"/>
      <c r="E24" s="5"/>
      <c r="F24" s="21" t="s">
        <v>18</v>
      </c>
      <c r="G24" s="41">
        <f>SUM(G22:G23)</f>
        <v>23000</v>
      </c>
      <c r="H24" s="42"/>
      <c r="I24" s="29"/>
    </row>
    <row r="25" spans="2:9" ht="15" thickBot="1" x14ac:dyDescent="0.4">
      <c r="C25" s="28"/>
      <c r="I25" s="29"/>
    </row>
    <row r="26" spans="2:9" ht="22" customHeight="1" x14ac:dyDescent="0.35">
      <c r="C26" s="28"/>
      <c r="D26" s="24" t="s">
        <v>20</v>
      </c>
      <c r="E26" s="16" t="s">
        <v>169</v>
      </c>
      <c r="F26" s="16"/>
      <c r="G26" s="16"/>
      <c r="H26" s="17"/>
      <c r="I26" s="29"/>
    </row>
    <row r="27" spans="2:9" ht="22" customHeight="1" thickBot="1" x14ac:dyDescent="0.4">
      <c r="C27" s="28"/>
      <c r="D27" s="18"/>
      <c r="E27" s="19"/>
      <c r="F27" s="19"/>
      <c r="G27" s="19"/>
      <c r="H27" s="20"/>
      <c r="I27" s="29"/>
    </row>
    <row r="28" spans="2:9" ht="15.5" customHeight="1" x14ac:dyDescent="0.45">
      <c r="C28" s="28"/>
      <c r="H28" s="5"/>
      <c r="I28" s="29"/>
    </row>
    <row r="29" spans="2:9" ht="21" customHeight="1" x14ac:dyDescent="0.45">
      <c r="C29" s="28"/>
      <c r="D29" s="10"/>
      <c r="E29" s="5"/>
      <c r="F29" s="5"/>
      <c r="G29" s="43" t="s">
        <v>21</v>
      </c>
      <c r="H29" s="38" t="s">
        <v>87</v>
      </c>
      <c r="I29" s="29"/>
    </row>
    <row r="30" spans="2:9" ht="21" customHeight="1" x14ac:dyDescent="0.45">
      <c r="C30" s="28"/>
      <c r="D30" s="14"/>
      <c r="E30" s="6"/>
      <c r="F30" s="6"/>
      <c r="G30" s="43" t="s">
        <v>7</v>
      </c>
      <c r="H30" s="38" t="s">
        <v>63</v>
      </c>
      <c r="I30" s="29"/>
    </row>
    <row r="31" spans="2:9" ht="21" customHeight="1" x14ac:dyDescent="0.45">
      <c r="C31" s="28"/>
      <c r="D31" s="6"/>
      <c r="E31" s="6"/>
      <c r="F31" s="6"/>
      <c r="G31" s="43" t="s">
        <v>12</v>
      </c>
      <c r="H31" s="39" t="s">
        <v>88</v>
      </c>
      <c r="I31" s="29"/>
    </row>
    <row r="32" spans="2:9" ht="19" x14ac:dyDescent="0.45">
      <c r="C32" s="28"/>
      <c r="D32" s="6"/>
      <c r="E32" s="6"/>
      <c r="F32" s="6"/>
      <c r="G32" s="6"/>
      <c r="H32" s="4"/>
      <c r="I32" s="29"/>
    </row>
    <row r="33" spans="3:9" ht="18.5" x14ac:dyDescent="0.45">
      <c r="C33" s="28"/>
      <c r="D33" s="25" t="s">
        <v>24</v>
      </c>
      <c r="E33" s="25"/>
      <c r="F33" s="25" t="s">
        <v>22</v>
      </c>
      <c r="G33" s="11"/>
      <c r="H33" s="25" t="s">
        <v>13</v>
      </c>
      <c r="I33" s="29"/>
    </row>
    <row r="34" spans="3:9" ht="19" x14ac:dyDescent="0.45">
      <c r="C34" s="28"/>
      <c r="D34" s="7"/>
      <c r="E34" s="5"/>
      <c r="F34" s="5"/>
      <c r="G34" s="7"/>
      <c r="I34" s="29"/>
    </row>
    <row r="35" spans="3:9" ht="19" x14ac:dyDescent="0.45">
      <c r="C35" s="28"/>
      <c r="D35" s="4"/>
      <c r="E35" s="4"/>
      <c r="F35" s="4"/>
      <c r="G35" s="4"/>
      <c r="I35" s="29"/>
    </row>
    <row r="36" spans="3:9" ht="19.5" thickBot="1" x14ac:dyDescent="0.5">
      <c r="C36" s="28"/>
      <c r="D36" s="32"/>
      <c r="E36" s="4"/>
      <c r="F36" s="32"/>
      <c r="G36" s="4"/>
      <c r="H36" s="32"/>
      <c r="I36" s="29"/>
    </row>
    <row r="37" spans="3:9" ht="15" thickTop="1" x14ac:dyDescent="0.35">
      <c r="C37" s="28"/>
      <c r="D37" s="26" t="s">
        <v>23</v>
      </c>
      <c r="F37" s="26" t="s">
        <v>23</v>
      </c>
      <c r="H37" s="26" t="s">
        <v>23</v>
      </c>
      <c r="I37" s="29"/>
    </row>
    <row r="38" spans="3:9" ht="23" customHeight="1" x14ac:dyDescent="0.35">
      <c r="C38" s="33"/>
      <c r="D38" s="140" t="s">
        <v>15</v>
      </c>
      <c r="E38" s="140"/>
      <c r="F38" s="140"/>
      <c r="G38" s="140"/>
      <c r="H38" s="140"/>
      <c r="I38" s="29"/>
    </row>
    <row r="39" spans="3:9" ht="15" thickBot="1" x14ac:dyDescent="0.4">
      <c r="C39" s="18"/>
      <c r="D39" s="19"/>
      <c r="E39" s="19"/>
      <c r="F39" s="19"/>
      <c r="G39" s="19"/>
      <c r="H39" s="19"/>
      <c r="I39" s="20"/>
    </row>
  </sheetData>
  <mergeCells count="6">
    <mergeCell ref="E4:G6"/>
    <mergeCell ref="D7:H9"/>
    <mergeCell ref="E21:F21"/>
    <mergeCell ref="E22:F22"/>
    <mergeCell ref="D38:H38"/>
    <mergeCell ref="E23:F23"/>
  </mergeCells>
  <pageMargins left="0.7" right="0.7" top="0.75" bottom="0.75" header="0.3" footer="0.3"/>
  <pageSetup scale="5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0523-C696-4DFA-986E-949DC237B476}">
  <sheetPr codeName="Feuil2">
    <pageSetUpPr fitToPage="1"/>
  </sheetPr>
  <dimension ref="B1:I42"/>
  <sheetViews>
    <sheetView workbookViewId="0">
      <selection activeCell="N12" sqref="N12"/>
    </sheetView>
  </sheetViews>
  <sheetFormatPr baseColWidth="10" defaultColWidth="8.7265625" defaultRowHeight="14.5" x14ac:dyDescent="0.35"/>
  <cols>
    <col min="3" max="3" width="14" customWidth="1"/>
    <col min="4" max="4" width="34.36328125" customWidth="1"/>
    <col min="5" max="5" width="32.08984375" customWidth="1"/>
    <col min="6" max="8" width="14" customWidth="1"/>
  </cols>
  <sheetData>
    <row r="1" spans="2:9" ht="15" thickBot="1" x14ac:dyDescent="0.4"/>
    <row r="2" spans="2:9" ht="15" thickBot="1" x14ac:dyDescent="0.4">
      <c r="B2" s="55"/>
      <c r="C2" s="16"/>
      <c r="D2" s="16"/>
      <c r="E2" s="16"/>
      <c r="F2" s="16"/>
      <c r="G2" s="16"/>
      <c r="H2" s="16"/>
      <c r="I2" s="17"/>
    </row>
    <row r="3" spans="2:9" ht="14.5" customHeight="1" x14ac:dyDescent="0.35">
      <c r="B3" s="56"/>
      <c r="C3" s="15"/>
      <c r="D3" s="128" t="s">
        <v>25</v>
      </c>
      <c r="E3" s="128"/>
      <c r="F3" s="128"/>
      <c r="G3" s="128"/>
      <c r="H3" s="17"/>
      <c r="I3" s="29"/>
    </row>
    <row r="4" spans="2:9" ht="14.5" customHeight="1" x14ac:dyDescent="0.35">
      <c r="B4" s="56"/>
      <c r="C4" s="28"/>
      <c r="D4" s="129"/>
      <c r="E4" s="129"/>
      <c r="F4" s="129"/>
      <c r="G4" s="129"/>
      <c r="H4" s="29"/>
      <c r="I4" s="29"/>
    </row>
    <row r="5" spans="2:9" ht="14.5" customHeight="1" x14ac:dyDescent="0.35">
      <c r="B5" s="56"/>
      <c r="C5" s="28"/>
      <c r="D5" s="129"/>
      <c r="E5" s="129"/>
      <c r="F5" s="129"/>
      <c r="G5" s="129"/>
      <c r="H5" s="29"/>
      <c r="I5" s="29"/>
    </row>
    <row r="6" spans="2:9" x14ac:dyDescent="0.35">
      <c r="B6" s="56"/>
      <c r="C6" s="28"/>
      <c r="D6" s="131" t="s">
        <v>26</v>
      </c>
      <c r="E6" s="131"/>
      <c r="F6" s="131"/>
      <c r="G6" s="131"/>
      <c r="H6" s="132"/>
      <c r="I6" s="29"/>
    </row>
    <row r="7" spans="2:9" x14ac:dyDescent="0.35">
      <c r="B7" s="56"/>
      <c r="C7" s="28"/>
      <c r="D7" s="131"/>
      <c r="E7" s="131"/>
      <c r="F7" s="131"/>
      <c r="G7" s="131"/>
      <c r="H7" s="132"/>
      <c r="I7" s="29"/>
    </row>
    <row r="8" spans="2:9" ht="15" thickBot="1" x14ac:dyDescent="0.4">
      <c r="B8" s="56"/>
      <c r="C8" s="18"/>
      <c r="D8" s="134"/>
      <c r="E8" s="134"/>
      <c r="F8" s="134"/>
      <c r="G8" s="134"/>
      <c r="H8" s="135"/>
      <c r="I8" s="29"/>
    </row>
    <row r="9" spans="2:9" x14ac:dyDescent="0.35">
      <c r="B9" s="56"/>
      <c r="C9" s="1"/>
      <c r="D9" s="1"/>
      <c r="E9" s="1"/>
      <c r="F9" s="1"/>
      <c r="G9" s="1"/>
      <c r="H9" s="1"/>
      <c r="I9" s="29"/>
    </row>
    <row r="10" spans="2:9" ht="24" thickBot="1" x14ac:dyDescent="0.6">
      <c r="B10" s="56"/>
      <c r="C10" s="2"/>
      <c r="D10" s="2"/>
      <c r="E10" s="2" t="s">
        <v>71</v>
      </c>
      <c r="F10" s="2"/>
      <c r="G10" s="3"/>
      <c r="H10" s="2"/>
      <c r="I10" s="29"/>
    </row>
    <row r="11" spans="2:9" ht="15" thickTop="1" x14ac:dyDescent="0.35">
      <c r="B11" s="56"/>
      <c r="I11" s="57"/>
    </row>
    <row r="12" spans="2:9" x14ac:dyDescent="0.35">
      <c r="B12" s="56"/>
      <c r="I12" s="57"/>
    </row>
    <row r="13" spans="2:9" ht="24" customHeight="1" x14ac:dyDescent="0.35">
      <c r="B13" s="56"/>
      <c r="C13" s="50" t="s">
        <v>65</v>
      </c>
      <c r="D13" s="50" t="s">
        <v>66</v>
      </c>
      <c r="E13" s="50" t="s">
        <v>70</v>
      </c>
      <c r="F13" s="50" t="s">
        <v>67</v>
      </c>
      <c r="G13" s="50" t="s">
        <v>68</v>
      </c>
      <c r="H13" s="50" t="s">
        <v>69</v>
      </c>
      <c r="I13" s="57"/>
    </row>
    <row r="14" spans="2:9" ht="30.5" customHeight="1" x14ac:dyDescent="0.35">
      <c r="B14" s="56"/>
      <c r="C14" s="48"/>
      <c r="D14" s="51" t="s">
        <v>72</v>
      </c>
      <c r="E14" s="48"/>
      <c r="F14" s="48"/>
      <c r="G14" s="48"/>
      <c r="H14" s="48"/>
      <c r="I14" s="57"/>
    </row>
    <row r="15" spans="2:9" ht="30.5" customHeight="1" x14ac:dyDescent="0.35">
      <c r="B15" s="56"/>
      <c r="C15" s="48"/>
      <c r="D15" s="48"/>
      <c r="E15" s="48"/>
      <c r="F15" s="48"/>
      <c r="G15" s="48"/>
      <c r="H15" s="48"/>
      <c r="I15" s="57"/>
    </row>
    <row r="16" spans="2:9" ht="30.5" customHeight="1" x14ac:dyDescent="0.35">
      <c r="B16" s="56"/>
      <c r="C16" s="48"/>
      <c r="D16" s="48"/>
      <c r="E16" s="48"/>
      <c r="F16" s="48"/>
      <c r="G16" s="48"/>
      <c r="H16" s="48"/>
      <c r="I16" s="57"/>
    </row>
    <row r="17" spans="2:9" ht="30.5" customHeight="1" x14ac:dyDescent="0.35">
      <c r="B17" s="56"/>
      <c r="C17" s="48"/>
      <c r="D17" s="48"/>
      <c r="E17" s="48"/>
      <c r="F17" s="48"/>
      <c r="G17" s="48"/>
      <c r="H17" s="48"/>
      <c r="I17" s="57"/>
    </row>
    <row r="18" spans="2:9" ht="30.5" customHeight="1" x14ac:dyDescent="0.35">
      <c r="B18" s="56"/>
      <c r="C18" s="48"/>
      <c r="D18" s="48"/>
      <c r="E18" s="48"/>
      <c r="F18" s="48"/>
      <c r="G18" s="48"/>
      <c r="H18" s="48"/>
      <c r="I18" s="57"/>
    </row>
    <row r="19" spans="2:9" ht="30.5" customHeight="1" x14ac:dyDescent="0.35">
      <c r="B19" s="56"/>
      <c r="C19" s="48"/>
      <c r="D19" s="48"/>
      <c r="E19" s="48"/>
      <c r="F19" s="48"/>
      <c r="G19" s="48"/>
      <c r="H19" s="48"/>
      <c r="I19" s="57"/>
    </row>
    <row r="20" spans="2:9" ht="30.5" customHeight="1" x14ac:dyDescent="0.35">
      <c r="B20" s="56"/>
      <c r="C20" s="48"/>
      <c r="D20" s="48"/>
      <c r="E20" s="48"/>
      <c r="F20" s="48"/>
      <c r="G20" s="48"/>
      <c r="H20" s="48"/>
      <c r="I20" s="57"/>
    </row>
    <row r="21" spans="2:9" ht="30.5" customHeight="1" x14ac:dyDescent="0.35">
      <c r="B21" s="56"/>
      <c r="C21" s="48"/>
      <c r="D21" s="48"/>
      <c r="E21" s="48"/>
      <c r="F21" s="48"/>
      <c r="G21" s="48"/>
      <c r="H21" s="48"/>
      <c r="I21" s="57"/>
    </row>
    <row r="22" spans="2:9" ht="30.5" customHeight="1" x14ac:dyDescent="0.35">
      <c r="B22" s="56"/>
      <c r="C22" s="48"/>
      <c r="D22" s="48"/>
      <c r="E22" s="48"/>
      <c r="F22" s="48"/>
      <c r="G22" s="48"/>
      <c r="H22" s="48"/>
      <c r="I22" s="57"/>
    </row>
    <row r="23" spans="2:9" ht="30.5" customHeight="1" x14ac:dyDescent="0.35">
      <c r="B23" s="56"/>
      <c r="C23" s="48"/>
      <c r="D23" s="48"/>
      <c r="E23" s="48"/>
      <c r="F23" s="48"/>
      <c r="G23" s="48"/>
      <c r="H23" s="48"/>
      <c r="I23" s="57"/>
    </row>
    <row r="24" spans="2:9" ht="30.5" customHeight="1" x14ac:dyDescent="0.35">
      <c r="B24" s="56"/>
      <c r="C24" s="48"/>
      <c r="D24" s="48"/>
      <c r="E24" s="48"/>
      <c r="F24" s="48"/>
      <c r="G24" s="48"/>
      <c r="H24" s="48"/>
      <c r="I24" s="57"/>
    </row>
    <row r="25" spans="2:9" ht="30.5" customHeight="1" x14ac:dyDescent="0.35">
      <c r="B25" s="56"/>
      <c r="C25" s="48"/>
      <c r="D25" s="48"/>
      <c r="E25" s="48"/>
      <c r="F25" s="48"/>
      <c r="G25" s="48"/>
      <c r="H25" s="48"/>
      <c r="I25" s="57"/>
    </row>
    <row r="26" spans="2:9" ht="30.5" customHeight="1" x14ac:dyDescent="0.35">
      <c r="B26" s="56"/>
      <c r="C26" s="48"/>
      <c r="D26" s="48"/>
      <c r="E26" s="48"/>
      <c r="F26" s="48"/>
      <c r="G26" s="48"/>
      <c r="H26" s="48"/>
      <c r="I26" s="57"/>
    </row>
    <row r="27" spans="2:9" ht="30.5" customHeight="1" x14ac:dyDescent="0.35">
      <c r="B27" s="56"/>
      <c r="C27" s="48"/>
      <c r="D27" s="48"/>
      <c r="E27" s="48"/>
      <c r="F27" s="48"/>
      <c r="G27" s="48"/>
      <c r="H27" s="48"/>
      <c r="I27" s="57"/>
    </row>
    <row r="28" spans="2:9" ht="30.5" customHeight="1" x14ac:dyDescent="0.35">
      <c r="B28" s="56"/>
      <c r="C28" s="48"/>
      <c r="D28" s="48"/>
      <c r="E28" s="48"/>
      <c r="F28" s="48"/>
      <c r="G28" s="48"/>
      <c r="H28" s="48"/>
      <c r="I28" s="57"/>
    </row>
    <row r="29" spans="2:9" ht="30.5" customHeight="1" x14ac:dyDescent="0.35">
      <c r="B29" s="56"/>
      <c r="C29" s="48"/>
      <c r="D29" s="48"/>
      <c r="E29" s="48"/>
      <c r="F29" s="48"/>
      <c r="G29" s="48"/>
      <c r="H29" s="48"/>
      <c r="I29" s="57"/>
    </row>
    <row r="30" spans="2:9" ht="30.5" customHeight="1" x14ac:dyDescent="0.35">
      <c r="B30" s="56"/>
      <c r="C30" s="48"/>
      <c r="D30" s="48"/>
      <c r="E30" s="48"/>
      <c r="F30" s="48"/>
      <c r="G30" s="48"/>
      <c r="H30" s="48"/>
      <c r="I30" s="57"/>
    </row>
    <row r="31" spans="2:9" ht="30.5" customHeight="1" x14ac:dyDescent="0.35">
      <c r="B31" s="56"/>
      <c r="C31" s="48"/>
      <c r="D31" s="48"/>
      <c r="E31" s="48"/>
      <c r="F31" s="48"/>
      <c r="G31" s="48"/>
      <c r="H31" s="48"/>
      <c r="I31" s="57"/>
    </row>
    <row r="32" spans="2:9" ht="30.5" customHeight="1" x14ac:dyDescent="0.35">
      <c r="B32" s="56"/>
      <c r="C32" s="48"/>
      <c r="D32" s="48"/>
      <c r="E32" s="48"/>
      <c r="F32" s="48"/>
      <c r="G32" s="48"/>
      <c r="H32" s="48"/>
      <c r="I32" s="57"/>
    </row>
    <row r="33" spans="2:9" ht="30.5" customHeight="1" x14ac:dyDescent="0.35">
      <c r="B33" s="56"/>
      <c r="C33" s="48"/>
      <c r="D33" s="48"/>
      <c r="E33" s="48"/>
      <c r="F33" s="48"/>
      <c r="G33" s="48"/>
      <c r="H33" s="48"/>
      <c r="I33" s="57"/>
    </row>
    <row r="34" spans="2:9" ht="30.5" customHeight="1" x14ac:dyDescent="0.35">
      <c r="B34" s="56"/>
      <c r="C34" s="48"/>
      <c r="D34" s="48"/>
      <c r="E34" s="48"/>
      <c r="F34" s="48"/>
      <c r="G34" s="48"/>
      <c r="H34" s="48"/>
      <c r="I34" s="57"/>
    </row>
    <row r="35" spans="2:9" ht="30.5" customHeight="1" x14ac:dyDescent="0.35">
      <c r="B35" s="56"/>
      <c r="C35" s="48"/>
      <c r="D35" s="48"/>
      <c r="E35" s="48"/>
      <c r="F35" s="48"/>
      <c r="G35" s="48"/>
      <c r="H35" s="48"/>
      <c r="I35" s="57"/>
    </row>
    <row r="36" spans="2:9" ht="30.5" customHeight="1" x14ac:dyDescent="0.35">
      <c r="B36" s="56"/>
      <c r="C36" s="48"/>
      <c r="D36" s="48"/>
      <c r="E36" s="48"/>
      <c r="F36" s="48"/>
      <c r="G36" s="48"/>
      <c r="H36" s="48"/>
      <c r="I36" s="57"/>
    </row>
    <row r="37" spans="2:9" ht="30.5" customHeight="1" x14ac:dyDescent="0.35">
      <c r="B37" s="56"/>
      <c r="C37" s="48"/>
      <c r="D37" s="48"/>
      <c r="E37" s="48"/>
      <c r="F37" s="48"/>
      <c r="G37" s="48"/>
      <c r="H37" s="48"/>
      <c r="I37" s="57"/>
    </row>
    <row r="38" spans="2:9" x14ac:dyDescent="0.35">
      <c r="B38" s="56"/>
      <c r="I38" s="57"/>
    </row>
    <row r="39" spans="2:9" x14ac:dyDescent="0.35">
      <c r="B39" s="56"/>
      <c r="I39" s="57"/>
    </row>
    <row r="40" spans="2:9" x14ac:dyDescent="0.35">
      <c r="B40" s="56"/>
      <c r="I40" s="57"/>
    </row>
    <row r="41" spans="2:9" x14ac:dyDescent="0.35">
      <c r="B41" s="56"/>
      <c r="I41" s="57"/>
    </row>
    <row r="42" spans="2:9" ht="15" thickBot="1" x14ac:dyDescent="0.4">
      <c r="B42" s="58"/>
      <c r="C42" s="59"/>
      <c r="D42" s="59"/>
      <c r="E42" s="59"/>
      <c r="F42" s="59"/>
      <c r="G42" s="59"/>
      <c r="H42" s="59"/>
      <c r="I42" s="60"/>
    </row>
  </sheetData>
  <autoFilter ref="C13:H13" xr:uid="{02A10523-C696-4DFA-986E-949DC237B476}"/>
  <mergeCells count="2">
    <mergeCell ref="D6:H8"/>
    <mergeCell ref="D3:G5"/>
  </mergeCells>
  <pageMargins left="0.25" right="0.25" top="0.75" bottom="0.75" header="0.3" footer="0.3"/>
  <pageSetup paperSize="9" scale="6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2D45-5FF4-4ECE-AE64-A2D807D38FF4}">
  <sheetPr codeName="Feuil3"/>
  <dimension ref="B3:R574"/>
  <sheetViews>
    <sheetView tabSelected="1" zoomScale="54" zoomScaleNormal="54" workbookViewId="0">
      <pane xSplit="1" ySplit="3" topLeftCell="L85" activePane="bottomRight" state="frozen"/>
      <selection pane="topRight" activeCell="B1" sqref="B1"/>
      <selection pane="bottomLeft" activeCell="A4" sqref="A4"/>
      <selection pane="bottomRight" activeCell="R584" sqref="R584"/>
    </sheetView>
  </sheetViews>
  <sheetFormatPr baseColWidth="10" defaultColWidth="8.7265625" defaultRowHeight="14.5" x14ac:dyDescent="0.35"/>
  <cols>
    <col min="2" max="2" width="10.54296875" style="63" bestFit="1" customWidth="1"/>
    <col min="3" max="3" width="19.1796875" bestFit="1" customWidth="1"/>
    <col min="4" max="4" width="19" bestFit="1" customWidth="1"/>
    <col min="5" max="5" width="23.36328125" bestFit="1" customWidth="1"/>
    <col min="6" max="7" width="42.453125" bestFit="1" customWidth="1"/>
    <col min="8" max="8" width="26.26953125" style="89" bestFit="1" customWidth="1"/>
    <col min="9" max="9" width="18.6328125" bestFit="1" customWidth="1"/>
    <col min="10" max="10" width="36" bestFit="1" customWidth="1"/>
    <col min="11" max="11" width="96.90625" customWidth="1"/>
    <col min="12" max="12" width="52.7265625" customWidth="1"/>
    <col min="13" max="13" width="15" bestFit="1" customWidth="1"/>
    <col min="14" max="14" width="14.26953125" bestFit="1" customWidth="1"/>
    <col min="15" max="15" width="77" bestFit="1" customWidth="1"/>
    <col min="16" max="16" width="17.7265625" bestFit="1" customWidth="1"/>
    <col min="17" max="17" width="20.54296875" bestFit="1" customWidth="1"/>
    <col min="18" max="18" width="23.26953125" bestFit="1" customWidth="1"/>
  </cols>
  <sheetData>
    <row r="3" spans="2:18" ht="25" customHeight="1" x14ac:dyDescent="0.35">
      <c r="B3" s="62" t="s">
        <v>0</v>
      </c>
      <c r="C3" s="35" t="s">
        <v>1</v>
      </c>
      <c r="D3" s="35" t="s">
        <v>2</v>
      </c>
      <c r="E3" s="35" t="s">
        <v>9</v>
      </c>
      <c r="F3" s="35" t="s">
        <v>3</v>
      </c>
      <c r="G3" s="35" t="s">
        <v>14</v>
      </c>
      <c r="H3" s="86" t="s">
        <v>4</v>
      </c>
      <c r="I3" s="35" t="s">
        <v>5</v>
      </c>
      <c r="J3" s="35" t="s">
        <v>6</v>
      </c>
      <c r="K3" s="35" t="s">
        <v>56</v>
      </c>
      <c r="L3" s="35" t="s">
        <v>10</v>
      </c>
      <c r="M3" s="35" t="s">
        <v>16</v>
      </c>
      <c r="N3" s="35" t="s">
        <v>19</v>
      </c>
      <c r="O3" s="35" t="s">
        <v>27</v>
      </c>
      <c r="P3" s="35" t="s">
        <v>21</v>
      </c>
      <c r="Q3" s="35" t="s">
        <v>7</v>
      </c>
      <c r="R3" s="35" t="s">
        <v>12</v>
      </c>
    </row>
    <row r="4" spans="2:18" hidden="1" x14ac:dyDescent="0.35">
      <c r="B4" s="63">
        <v>46175</v>
      </c>
      <c r="C4" t="s">
        <v>107</v>
      </c>
      <c r="D4" t="s">
        <v>82</v>
      </c>
      <c r="E4" t="s">
        <v>115</v>
      </c>
      <c r="F4" t="s">
        <v>90</v>
      </c>
      <c r="G4" t="s">
        <v>83</v>
      </c>
      <c r="H4" s="85">
        <v>7506116519</v>
      </c>
      <c r="I4" s="36">
        <v>48001</v>
      </c>
      <c r="J4" s="46" t="s">
        <v>84</v>
      </c>
      <c r="K4" t="s">
        <v>89</v>
      </c>
      <c r="L4" t="s">
        <v>85</v>
      </c>
      <c r="M4" s="52">
        <v>49658</v>
      </c>
      <c r="N4" t="s">
        <v>57</v>
      </c>
      <c r="O4" t="s">
        <v>86</v>
      </c>
      <c r="P4" t="s">
        <v>87</v>
      </c>
      <c r="Q4" t="s">
        <v>63</v>
      </c>
      <c r="R4" t="s">
        <v>88</v>
      </c>
    </row>
    <row r="5" spans="2:18" hidden="1" x14ac:dyDescent="0.35">
      <c r="B5" s="63">
        <v>46175</v>
      </c>
      <c r="C5" t="s">
        <v>107</v>
      </c>
      <c r="D5" t="s">
        <v>82</v>
      </c>
      <c r="E5" t="s">
        <v>115</v>
      </c>
      <c r="F5" t="s">
        <v>90</v>
      </c>
      <c r="G5" t="s">
        <v>83</v>
      </c>
      <c r="H5" s="85">
        <v>7506116519</v>
      </c>
      <c r="I5" s="36">
        <v>48001</v>
      </c>
      <c r="J5" s="46" t="s">
        <v>84</v>
      </c>
      <c r="K5" t="s">
        <v>91</v>
      </c>
      <c r="L5" t="s">
        <v>92</v>
      </c>
      <c r="M5" s="52">
        <v>41300</v>
      </c>
      <c r="N5" t="s">
        <v>57</v>
      </c>
      <c r="O5" t="s">
        <v>93</v>
      </c>
      <c r="P5" t="s">
        <v>87</v>
      </c>
      <c r="Q5" t="s">
        <v>63</v>
      </c>
      <c r="R5" t="s">
        <v>88</v>
      </c>
    </row>
    <row r="6" spans="2:18" hidden="1" x14ac:dyDescent="0.35">
      <c r="B6" s="63">
        <v>46175</v>
      </c>
      <c r="C6" t="s">
        <v>107</v>
      </c>
      <c r="D6" t="s">
        <v>82</v>
      </c>
      <c r="E6" t="s">
        <v>115</v>
      </c>
      <c r="F6" t="s">
        <v>90</v>
      </c>
      <c r="G6" t="s">
        <v>83</v>
      </c>
      <c r="H6" s="85">
        <v>7506116519</v>
      </c>
      <c r="I6" s="36">
        <v>48001</v>
      </c>
      <c r="J6" s="46" t="s">
        <v>84</v>
      </c>
      <c r="K6" t="s">
        <v>94</v>
      </c>
      <c r="L6" t="s">
        <v>101</v>
      </c>
      <c r="M6" s="52">
        <v>29500</v>
      </c>
      <c r="N6" t="s">
        <v>57</v>
      </c>
      <c r="O6" t="s">
        <v>95</v>
      </c>
      <c r="P6" t="s">
        <v>87</v>
      </c>
      <c r="R6" t="s">
        <v>88</v>
      </c>
    </row>
    <row r="7" spans="2:18" hidden="1" x14ac:dyDescent="0.35">
      <c r="B7" s="63">
        <v>46175</v>
      </c>
      <c r="C7" t="s">
        <v>107</v>
      </c>
      <c r="D7" t="s">
        <v>82</v>
      </c>
      <c r="E7" t="s">
        <v>115</v>
      </c>
      <c r="F7" t="s">
        <v>90</v>
      </c>
      <c r="G7" t="s">
        <v>83</v>
      </c>
      <c r="H7" s="85">
        <v>7506116519</v>
      </c>
      <c r="I7" s="36">
        <v>48001</v>
      </c>
      <c r="J7" s="46" t="s">
        <v>84</v>
      </c>
      <c r="K7" t="s">
        <v>96</v>
      </c>
      <c r="L7" t="s">
        <v>105</v>
      </c>
      <c r="M7" s="52">
        <v>17966</v>
      </c>
      <c r="N7" t="s">
        <v>57</v>
      </c>
      <c r="O7" t="s">
        <v>97</v>
      </c>
      <c r="P7" t="s">
        <v>87</v>
      </c>
      <c r="R7" t="s">
        <v>88</v>
      </c>
    </row>
    <row r="8" spans="2:18" hidden="1" x14ac:dyDescent="0.35">
      <c r="B8" s="63">
        <v>46175</v>
      </c>
      <c r="C8" t="s">
        <v>107</v>
      </c>
      <c r="D8" t="s">
        <v>82</v>
      </c>
      <c r="E8" t="s">
        <v>115</v>
      </c>
      <c r="F8" t="s">
        <v>90</v>
      </c>
      <c r="G8" t="s">
        <v>83</v>
      </c>
      <c r="H8" s="85">
        <v>7506116519</v>
      </c>
      <c r="I8" s="36">
        <v>48001</v>
      </c>
      <c r="J8" s="46" t="s">
        <v>84</v>
      </c>
      <c r="K8" t="s">
        <v>98</v>
      </c>
      <c r="L8" t="s">
        <v>104</v>
      </c>
      <c r="M8" s="52">
        <v>189768</v>
      </c>
      <c r="N8" t="s">
        <v>57</v>
      </c>
      <c r="O8" t="s">
        <v>99</v>
      </c>
      <c r="P8" t="s">
        <v>87</v>
      </c>
      <c r="R8" t="s">
        <v>88</v>
      </c>
    </row>
    <row r="9" spans="2:18" hidden="1" x14ac:dyDescent="0.35">
      <c r="B9" s="63">
        <v>46175</v>
      </c>
      <c r="C9" t="s">
        <v>107</v>
      </c>
      <c r="D9" t="s">
        <v>82</v>
      </c>
      <c r="E9" t="s">
        <v>115</v>
      </c>
      <c r="F9" t="s">
        <v>90</v>
      </c>
      <c r="G9" t="s">
        <v>83</v>
      </c>
      <c r="H9" s="85">
        <v>7506116519</v>
      </c>
      <c r="I9" s="36">
        <v>48001</v>
      </c>
      <c r="J9" s="46" t="s">
        <v>84</v>
      </c>
      <c r="K9" t="s">
        <v>100</v>
      </c>
      <c r="L9" t="s">
        <v>101</v>
      </c>
      <c r="M9" s="52">
        <v>70800</v>
      </c>
      <c r="N9" t="s">
        <v>57</v>
      </c>
      <c r="O9" t="s">
        <v>102</v>
      </c>
      <c r="P9" t="s">
        <v>87</v>
      </c>
      <c r="R9" t="s">
        <v>88</v>
      </c>
    </row>
    <row r="10" spans="2:18" hidden="1" x14ac:dyDescent="0.35">
      <c r="B10" s="63">
        <v>46175</v>
      </c>
      <c r="C10" t="s">
        <v>107</v>
      </c>
      <c r="D10" t="s">
        <v>82</v>
      </c>
      <c r="E10" t="s">
        <v>115</v>
      </c>
      <c r="F10" t="s">
        <v>90</v>
      </c>
      <c r="G10" t="s">
        <v>83</v>
      </c>
      <c r="H10" s="85">
        <v>7506116519</v>
      </c>
      <c r="I10" s="36">
        <v>48001</v>
      </c>
      <c r="J10" s="46" t="s">
        <v>84</v>
      </c>
      <c r="K10" t="s">
        <v>103</v>
      </c>
      <c r="L10" t="s">
        <v>106</v>
      </c>
      <c r="M10" s="52">
        <v>6325772</v>
      </c>
      <c r="N10" t="s">
        <v>57</v>
      </c>
      <c r="O10" t="s">
        <v>132</v>
      </c>
      <c r="P10" t="s">
        <v>87</v>
      </c>
      <c r="R10" t="s">
        <v>88</v>
      </c>
    </row>
    <row r="11" spans="2:18" hidden="1" x14ac:dyDescent="0.35">
      <c r="B11" s="63">
        <v>46175</v>
      </c>
      <c r="C11" t="s">
        <v>108</v>
      </c>
      <c r="D11" t="s">
        <v>28</v>
      </c>
      <c r="E11" t="s">
        <v>29</v>
      </c>
      <c r="F11" t="s">
        <v>109</v>
      </c>
      <c r="G11" t="s">
        <v>109</v>
      </c>
      <c r="H11" s="85">
        <v>2546545404</v>
      </c>
      <c r="I11" s="65" t="s">
        <v>111</v>
      </c>
      <c r="J11" s="46" t="s">
        <v>110</v>
      </c>
      <c r="K11" t="s">
        <v>112</v>
      </c>
      <c r="L11" t="s">
        <v>30</v>
      </c>
      <c r="M11" s="52">
        <v>2000000</v>
      </c>
      <c r="N11" t="s">
        <v>47</v>
      </c>
      <c r="O11" t="s">
        <v>113</v>
      </c>
      <c r="P11" t="s">
        <v>87</v>
      </c>
      <c r="R11" t="s">
        <v>88</v>
      </c>
    </row>
    <row r="12" spans="2:18" hidden="1" x14ac:dyDescent="0.35">
      <c r="B12" s="63">
        <v>46175</v>
      </c>
      <c r="C12" t="s">
        <v>114</v>
      </c>
      <c r="D12" t="s">
        <v>51</v>
      </c>
      <c r="E12" t="s">
        <v>116</v>
      </c>
      <c r="F12" t="s">
        <v>117</v>
      </c>
      <c r="G12" t="s">
        <v>117</v>
      </c>
      <c r="H12" s="85" t="s">
        <v>63</v>
      </c>
      <c r="I12" t="s">
        <v>63</v>
      </c>
      <c r="J12" s="66" t="s">
        <v>119</v>
      </c>
      <c r="K12" t="s">
        <v>118</v>
      </c>
      <c r="L12" t="s">
        <v>120</v>
      </c>
      <c r="M12" s="52">
        <v>63902</v>
      </c>
      <c r="N12" t="s">
        <v>57</v>
      </c>
      <c r="O12" t="s">
        <v>121</v>
      </c>
      <c r="P12" t="s">
        <v>122</v>
      </c>
      <c r="Q12" t="s">
        <v>63</v>
      </c>
      <c r="R12" t="s">
        <v>88</v>
      </c>
    </row>
    <row r="13" spans="2:18" hidden="1" x14ac:dyDescent="0.35">
      <c r="B13" s="63">
        <v>46177</v>
      </c>
      <c r="C13" t="s">
        <v>152</v>
      </c>
      <c r="D13" t="s">
        <v>51</v>
      </c>
      <c r="E13" t="s">
        <v>153</v>
      </c>
      <c r="F13" t="s">
        <v>154</v>
      </c>
      <c r="G13" t="s">
        <v>154</v>
      </c>
      <c r="H13" s="85">
        <v>8505929556</v>
      </c>
      <c r="I13" s="65" t="s">
        <v>155</v>
      </c>
      <c r="J13" s="67" t="s">
        <v>156</v>
      </c>
      <c r="L13" t="s">
        <v>157</v>
      </c>
      <c r="M13" s="52">
        <v>20000</v>
      </c>
      <c r="N13" t="s">
        <v>57</v>
      </c>
      <c r="O13" t="s">
        <v>159</v>
      </c>
      <c r="P13" t="s">
        <v>87</v>
      </c>
      <c r="R13" t="s">
        <v>88</v>
      </c>
    </row>
    <row r="14" spans="2:18" hidden="1" x14ac:dyDescent="0.35">
      <c r="B14" s="63">
        <v>46177</v>
      </c>
      <c r="C14" t="s">
        <v>152</v>
      </c>
      <c r="D14" t="s">
        <v>51</v>
      </c>
      <c r="E14" t="s">
        <v>153</v>
      </c>
      <c r="F14" t="s">
        <v>154</v>
      </c>
      <c r="G14" t="s">
        <v>154</v>
      </c>
      <c r="H14" s="85">
        <v>8505929556</v>
      </c>
      <c r="I14" s="65" t="s">
        <v>155</v>
      </c>
      <c r="J14" s="67" t="s">
        <v>156</v>
      </c>
      <c r="L14" t="s">
        <v>158</v>
      </c>
      <c r="M14" s="52">
        <v>3000</v>
      </c>
      <c r="N14" t="s">
        <v>57</v>
      </c>
      <c r="O14" t="s">
        <v>160</v>
      </c>
      <c r="P14" t="s">
        <v>87</v>
      </c>
      <c r="R14" t="s">
        <v>88</v>
      </c>
    </row>
    <row r="15" spans="2:18" hidden="1" x14ac:dyDescent="0.35">
      <c r="B15" s="63">
        <v>46183</v>
      </c>
      <c r="C15" t="s">
        <v>274</v>
      </c>
      <c r="D15" t="s">
        <v>82</v>
      </c>
      <c r="E15" t="s">
        <v>175</v>
      </c>
      <c r="F15" t="s">
        <v>176</v>
      </c>
      <c r="G15" t="s">
        <v>176</v>
      </c>
      <c r="H15" s="85" t="s">
        <v>63</v>
      </c>
      <c r="I15" s="65" t="s">
        <v>63</v>
      </c>
      <c r="J15" s="46" t="s">
        <v>63</v>
      </c>
      <c r="K15" t="s">
        <v>250</v>
      </c>
      <c r="L15" t="s">
        <v>249</v>
      </c>
      <c r="M15" s="68">
        <v>46879</v>
      </c>
      <c r="N15" t="s">
        <v>57</v>
      </c>
      <c r="O15" t="s">
        <v>251</v>
      </c>
      <c r="P15" t="s">
        <v>87</v>
      </c>
      <c r="Q15" t="s">
        <v>63</v>
      </c>
      <c r="R15" t="s">
        <v>88</v>
      </c>
    </row>
    <row r="16" spans="2:18" hidden="1" x14ac:dyDescent="0.35">
      <c r="B16" s="63">
        <v>46183</v>
      </c>
      <c r="C16" t="s">
        <v>276</v>
      </c>
      <c r="D16" t="s">
        <v>51</v>
      </c>
      <c r="E16" t="s">
        <v>253</v>
      </c>
      <c r="F16" t="s">
        <v>255</v>
      </c>
      <c r="G16" t="s">
        <v>254</v>
      </c>
      <c r="H16" s="85">
        <v>8188560503</v>
      </c>
      <c r="I16" s="65">
        <v>48094</v>
      </c>
      <c r="J16" s="46" t="s">
        <v>277</v>
      </c>
      <c r="K16" t="s">
        <v>63</v>
      </c>
      <c r="L16" t="s">
        <v>252</v>
      </c>
      <c r="M16" s="68">
        <v>7592333</v>
      </c>
      <c r="N16" t="s">
        <v>57</v>
      </c>
      <c r="O16" t="s">
        <v>278</v>
      </c>
      <c r="P16" t="s">
        <v>87</v>
      </c>
      <c r="Q16" t="s">
        <v>63</v>
      </c>
      <c r="R16" t="s">
        <v>88</v>
      </c>
    </row>
    <row r="17" spans="2:18" hidden="1" x14ac:dyDescent="0.35">
      <c r="B17" s="63">
        <v>46189</v>
      </c>
      <c r="C17" t="s">
        <v>328</v>
      </c>
      <c r="D17" t="s">
        <v>51</v>
      </c>
      <c r="E17" t="s">
        <v>253</v>
      </c>
      <c r="F17" t="s">
        <v>329</v>
      </c>
      <c r="G17" t="s">
        <v>329</v>
      </c>
      <c r="H17" s="85" t="s">
        <v>330</v>
      </c>
      <c r="I17" s="36" t="s">
        <v>331</v>
      </c>
      <c r="J17" s="46"/>
      <c r="L17" t="s">
        <v>332</v>
      </c>
      <c r="M17" s="52">
        <v>250000</v>
      </c>
      <c r="N17" t="s">
        <v>57</v>
      </c>
      <c r="O17" t="s">
        <v>333</v>
      </c>
      <c r="P17" t="s">
        <v>87</v>
      </c>
      <c r="R17" t="s">
        <v>88</v>
      </c>
    </row>
    <row r="18" spans="2:18" hidden="1" x14ac:dyDescent="0.35">
      <c r="B18" s="63">
        <v>46195</v>
      </c>
      <c r="C18" t="s">
        <v>373</v>
      </c>
      <c r="D18" t="s">
        <v>51</v>
      </c>
      <c r="E18" t="s">
        <v>116</v>
      </c>
      <c r="F18" t="s">
        <v>117</v>
      </c>
      <c r="G18" t="s">
        <v>117</v>
      </c>
      <c r="H18" s="85" t="s">
        <v>63</v>
      </c>
      <c r="I18" t="s">
        <v>63</v>
      </c>
      <c r="J18" s="66" t="s">
        <v>119</v>
      </c>
      <c r="K18" t="s">
        <v>371</v>
      </c>
      <c r="L18" t="s">
        <v>372</v>
      </c>
      <c r="M18" s="52">
        <v>63902</v>
      </c>
      <c r="N18" t="s">
        <v>57</v>
      </c>
      <c r="O18" t="s">
        <v>121</v>
      </c>
      <c r="P18" t="s">
        <v>122</v>
      </c>
      <c r="Q18" t="s">
        <v>63</v>
      </c>
      <c r="R18" t="s">
        <v>88</v>
      </c>
    </row>
    <row r="19" spans="2:18" hidden="1" x14ac:dyDescent="0.35">
      <c r="B19" s="63">
        <v>46197</v>
      </c>
      <c r="C19" t="s">
        <v>391</v>
      </c>
      <c r="D19" t="s">
        <v>51</v>
      </c>
      <c r="E19" t="s">
        <v>116</v>
      </c>
      <c r="F19" t="s">
        <v>117</v>
      </c>
      <c r="G19" t="s">
        <v>117</v>
      </c>
      <c r="H19" s="85" t="s">
        <v>63</v>
      </c>
      <c r="I19" t="s">
        <v>63</v>
      </c>
      <c r="J19" s="66" t="s">
        <v>119</v>
      </c>
      <c r="K19" t="s">
        <v>389</v>
      </c>
      <c r="L19" t="s">
        <v>372</v>
      </c>
      <c r="M19" s="52">
        <v>191706</v>
      </c>
      <c r="N19" t="s">
        <v>57</v>
      </c>
      <c r="O19" t="s">
        <v>390</v>
      </c>
      <c r="P19" t="s">
        <v>122</v>
      </c>
      <c r="Q19" t="s">
        <v>63</v>
      </c>
      <c r="R19" t="s">
        <v>88</v>
      </c>
    </row>
    <row r="20" spans="2:18" hidden="1" x14ac:dyDescent="0.35">
      <c r="B20" s="63">
        <v>46197</v>
      </c>
      <c r="C20" t="s">
        <v>397</v>
      </c>
      <c r="D20" t="s">
        <v>82</v>
      </c>
      <c r="E20" t="s">
        <v>398</v>
      </c>
      <c r="F20" t="s">
        <v>399</v>
      </c>
      <c r="G20" t="s">
        <v>399</v>
      </c>
      <c r="H20" s="85" t="s">
        <v>63</v>
      </c>
      <c r="I20" t="s">
        <v>63</v>
      </c>
      <c r="J20" s="46" t="s">
        <v>63</v>
      </c>
      <c r="K20" t="s">
        <v>63</v>
      </c>
      <c r="L20" t="s">
        <v>400</v>
      </c>
      <c r="M20" s="52">
        <v>500000</v>
      </c>
      <c r="N20" t="s">
        <v>57</v>
      </c>
      <c r="O20" t="s">
        <v>367</v>
      </c>
      <c r="P20" t="s">
        <v>87</v>
      </c>
      <c r="Q20" t="s">
        <v>63</v>
      </c>
      <c r="R20" t="s">
        <v>88</v>
      </c>
    </row>
    <row r="21" spans="2:18" hidden="1" x14ac:dyDescent="0.35">
      <c r="B21" s="63">
        <v>46198</v>
      </c>
      <c r="C21" t="s">
        <v>409</v>
      </c>
      <c r="D21" t="s">
        <v>82</v>
      </c>
      <c r="E21" t="s">
        <v>398</v>
      </c>
      <c r="F21" t="s">
        <v>399</v>
      </c>
      <c r="G21" t="s">
        <v>399</v>
      </c>
      <c r="H21" s="85" t="s">
        <v>63</v>
      </c>
      <c r="I21" t="s">
        <v>63</v>
      </c>
      <c r="J21" s="46" t="s">
        <v>63</v>
      </c>
      <c r="K21" t="s">
        <v>63</v>
      </c>
      <c r="L21" t="s">
        <v>400</v>
      </c>
      <c r="M21" s="52">
        <v>200000</v>
      </c>
      <c r="N21" t="s">
        <v>57</v>
      </c>
      <c r="O21" t="s">
        <v>410</v>
      </c>
      <c r="P21" t="s">
        <v>87</v>
      </c>
      <c r="Q21" t="s">
        <v>63</v>
      </c>
      <c r="R21" t="s">
        <v>88</v>
      </c>
    </row>
    <row r="22" spans="2:18" hidden="1" x14ac:dyDescent="0.35">
      <c r="B22" s="63">
        <v>46198</v>
      </c>
      <c r="C22" t="s">
        <v>412</v>
      </c>
      <c r="D22" t="s">
        <v>51</v>
      </c>
      <c r="E22" t="s">
        <v>51</v>
      </c>
      <c r="F22" t="s">
        <v>411</v>
      </c>
      <c r="G22" t="s">
        <v>411</v>
      </c>
      <c r="H22" s="85" t="s">
        <v>63</v>
      </c>
      <c r="I22" t="s">
        <v>63</v>
      </c>
      <c r="J22" s="46" t="s">
        <v>63</v>
      </c>
      <c r="K22" t="s">
        <v>63</v>
      </c>
      <c r="L22" t="s">
        <v>413</v>
      </c>
      <c r="M22" s="52">
        <v>3227</v>
      </c>
      <c r="N22" t="s">
        <v>57</v>
      </c>
      <c r="O22" t="s">
        <v>414</v>
      </c>
      <c r="P22" t="s">
        <v>87</v>
      </c>
      <c r="Q22" t="s">
        <v>63</v>
      </c>
      <c r="R22" t="s">
        <v>88</v>
      </c>
    </row>
    <row r="23" spans="2:18" hidden="1" x14ac:dyDescent="0.35">
      <c r="B23" s="63">
        <v>46198</v>
      </c>
      <c r="C23" t="s">
        <v>415</v>
      </c>
      <c r="D23" t="s">
        <v>51</v>
      </c>
      <c r="E23" t="s">
        <v>51</v>
      </c>
      <c r="F23" t="s">
        <v>416</v>
      </c>
      <c r="G23" t="s">
        <v>416</v>
      </c>
      <c r="H23" s="85" t="s">
        <v>63</v>
      </c>
      <c r="I23" t="s">
        <v>63</v>
      </c>
      <c r="J23" s="46" t="s">
        <v>63</v>
      </c>
      <c r="K23" t="s">
        <v>63</v>
      </c>
      <c r="L23" t="s">
        <v>417</v>
      </c>
      <c r="M23" s="52">
        <v>1500000</v>
      </c>
      <c r="N23" t="s">
        <v>57</v>
      </c>
      <c r="O23" t="s">
        <v>418</v>
      </c>
      <c r="P23" t="s">
        <v>130</v>
      </c>
      <c r="Q23" t="s">
        <v>63</v>
      </c>
      <c r="R23" t="s">
        <v>32</v>
      </c>
    </row>
    <row r="24" spans="2:18" hidden="1" x14ac:dyDescent="0.35">
      <c r="B24" s="63">
        <v>46198</v>
      </c>
      <c r="C24" t="s">
        <v>419</v>
      </c>
      <c r="D24" t="s">
        <v>51</v>
      </c>
      <c r="E24" t="s">
        <v>51</v>
      </c>
      <c r="F24" t="s">
        <v>420</v>
      </c>
      <c r="G24" t="s">
        <v>420</v>
      </c>
      <c r="H24" s="85" t="s">
        <v>63</v>
      </c>
      <c r="I24" t="s">
        <v>63</v>
      </c>
      <c r="J24" s="46" t="s">
        <v>63</v>
      </c>
      <c r="K24" t="s">
        <v>63</v>
      </c>
      <c r="L24" t="s">
        <v>421</v>
      </c>
      <c r="M24" s="52">
        <v>20000</v>
      </c>
      <c r="N24" t="s">
        <v>57</v>
      </c>
      <c r="O24" t="s">
        <v>159</v>
      </c>
      <c r="P24" t="s">
        <v>87</v>
      </c>
      <c r="Q24" t="s">
        <v>63</v>
      </c>
      <c r="R24" t="s">
        <v>88</v>
      </c>
    </row>
    <row r="25" spans="2:18" hidden="1" x14ac:dyDescent="0.35">
      <c r="B25" s="63">
        <v>46198</v>
      </c>
      <c r="C25" t="s">
        <v>422</v>
      </c>
      <c r="D25" t="s">
        <v>51</v>
      </c>
      <c r="E25" t="s">
        <v>51</v>
      </c>
      <c r="F25" t="s">
        <v>423</v>
      </c>
      <c r="G25" t="s">
        <v>423</v>
      </c>
      <c r="H25" s="85" t="s">
        <v>63</v>
      </c>
      <c r="I25" t="s">
        <v>63</v>
      </c>
      <c r="J25" s="46" t="s">
        <v>63</v>
      </c>
      <c r="K25" t="s">
        <v>63</v>
      </c>
      <c r="L25" t="s">
        <v>395</v>
      </c>
      <c r="M25" s="52">
        <v>192904</v>
      </c>
      <c r="N25" t="s">
        <v>57</v>
      </c>
      <c r="O25" t="s">
        <v>424</v>
      </c>
      <c r="P25" t="s">
        <v>87</v>
      </c>
      <c r="Q25" t="s">
        <v>63</v>
      </c>
      <c r="R25" t="s">
        <v>88</v>
      </c>
    </row>
    <row r="26" spans="2:18" hidden="1" x14ac:dyDescent="0.35">
      <c r="B26" s="63">
        <v>46175</v>
      </c>
      <c r="C26" t="s">
        <v>430</v>
      </c>
      <c r="D26" t="s">
        <v>51</v>
      </c>
      <c r="E26" t="s">
        <v>116</v>
      </c>
      <c r="F26" t="s">
        <v>117</v>
      </c>
      <c r="G26" t="s">
        <v>117</v>
      </c>
      <c r="H26" s="85" t="s">
        <v>63</v>
      </c>
      <c r="I26" t="s">
        <v>63</v>
      </c>
      <c r="J26" s="66" t="s">
        <v>119</v>
      </c>
      <c r="K26" t="s">
        <v>431</v>
      </c>
      <c r="L26" t="s">
        <v>372</v>
      </c>
      <c r="M26" s="52">
        <v>63902</v>
      </c>
      <c r="N26" t="s">
        <v>57</v>
      </c>
      <c r="O26" t="s">
        <v>121</v>
      </c>
      <c r="P26" t="s">
        <v>122</v>
      </c>
      <c r="Q26" t="s">
        <v>63</v>
      </c>
      <c r="R26" t="s">
        <v>88</v>
      </c>
    </row>
    <row r="27" spans="2:18" hidden="1" x14ac:dyDescent="0.35">
      <c r="B27" s="63">
        <v>46200</v>
      </c>
      <c r="C27" t="s">
        <v>433</v>
      </c>
      <c r="D27" t="s">
        <v>51</v>
      </c>
      <c r="E27" t="s">
        <v>116</v>
      </c>
      <c r="F27" t="s">
        <v>117</v>
      </c>
      <c r="G27" t="s">
        <v>117</v>
      </c>
      <c r="H27" s="85" t="s">
        <v>63</v>
      </c>
      <c r="I27" t="s">
        <v>63</v>
      </c>
      <c r="J27" s="66" t="s">
        <v>119</v>
      </c>
      <c r="K27" t="s">
        <v>434</v>
      </c>
      <c r="L27" t="s">
        <v>372</v>
      </c>
      <c r="M27" s="52">
        <v>127804</v>
      </c>
      <c r="N27" t="s">
        <v>57</v>
      </c>
      <c r="O27" t="s">
        <v>435</v>
      </c>
      <c r="P27" t="s">
        <v>122</v>
      </c>
      <c r="Q27" t="s">
        <v>63</v>
      </c>
      <c r="R27" t="s">
        <v>88</v>
      </c>
    </row>
    <row r="28" spans="2:18" hidden="1" x14ac:dyDescent="0.35">
      <c r="B28" s="63">
        <v>46199</v>
      </c>
      <c r="C28" t="s">
        <v>436</v>
      </c>
      <c r="D28" t="s">
        <v>82</v>
      </c>
      <c r="E28" t="s">
        <v>437</v>
      </c>
      <c r="F28" t="s">
        <v>234</v>
      </c>
      <c r="G28" t="s">
        <v>234</v>
      </c>
      <c r="H28" s="85" t="s">
        <v>63</v>
      </c>
      <c r="I28" t="s">
        <v>63</v>
      </c>
      <c r="J28" s="46" t="s">
        <v>63</v>
      </c>
      <c r="K28" t="s">
        <v>63</v>
      </c>
      <c r="L28" t="s">
        <v>438</v>
      </c>
      <c r="M28" s="52">
        <v>20491</v>
      </c>
      <c r="N28" t="s">
        <v>57</v>
      </c>
      <c r="O28" t="s">
        <v>439</v>
      </c>
      <c r="P28" t="s">
        <v>87</v>
      </c>
      <c r="Q28" t="s">
        <v>63</v>
      </c>
      <c r="R28" t="s">
        <v>88</v>
      </c>
    </row>
    <row r="29" spans="2:18" hidden="1" x14ac:dyDescent="0.35">
      <c r="B29" s="63">
        <v>46199</v>
      </c>
      <c r="C29" t="s">
        <v>440</v>
      </c>
      <c r="D29" t="s">
        <v>51</v>
      </c>
      <c r="E29" t="s">
        <v>51</v>
      </c>
      <c r="F29" t="s">
        <v>441</v>
      </c>
      <c r="G29" t="s">
        <v>441</v>
      </c>
      <c r="H29" s="85" t="s">
        <v>63</v>
      </c>
      <c r="I29" t="s">
        <v>63</v>
      </c>
      <c r="J29" s="46" t="s">
        <v>63</v>
      </c>
      <c r="K29" t="s">
        <v>63</v>
      </c>
      <c r="L29" t="s">
        <v>395</v>
      </c>
      <c r="M29" s="52">
        <v>190162</v>
      </c>
      <c r="N29" t="s">
        <v>57</v>
      </c>
      <c r="O29" t="s">
        <v>442</v>
      </c>
      <c r="P29" t="s">
        <v>87</v>
      </c>
      <c r="Q29" t="s">
        <v>63</v>
      </c>
      <c r="R29" t="s">
        <v>88</v>
      </c>
    </row>
    <row r="30" spans="2:18" hidden="1" x14ac:dyDescent="0.35">
      <c r="B30" s="63">
        <v>46199</v>
      </c>
      <c r="C30" t="s">
        <v>443</v>
      </c>
      <c r="D30" t="s">
        <v>51</v>
      </c>
      <c r="E30" t="s">
        <v>444</v>
      </c>
      <c r="F30" t="s">
        <v>445</v>
      </c>
      <c r="G30" t="s">
        <v>445</v>
      </c>
      <c r="H30" s="85" t="s">
        <v>63</v>
      </c>
      <c r="I30" t="s">
        <v>63</v>
      </c>
      <c r="J30" s="46" t="s">
        <v>63</v>
      </c>
      <c r="K30" t="s">
        <v>63</v>
      </c>
      <c r="L30" t="s">
        <v>446</v>
      </c>
      <c r="M30" s="52">
        <v>1500000</v>
      </c>
      <c r="N30" t="s">
        <v>47</v>
      </c>
      <c r="O30" t="s">
        <v>418</v>
      </c>
      <c r="P30" t="s">
        <v>87</v>
      </c>
      <c r="Q30" t="s">
        <v>63</v>
      </c>
      <c r="R30" t="s">
        <v>88</v>
      </c>
    </row>
    <row r="31" spans="2:18" hidden="1" x14ac:dyDescent="0.35">
      <c r="B31" s="63">
        <v>46211</v>
      </c>
      <c r="C31" t="s">
        <v>552</v>
      </c>
      <c r="D31" t="s">
        <v>51</v>
      </c>
      <c r="E31" t="s">
        <v>51</v>
      </c>
      <c r="F31" t="s">
        <v>551</v>
      </c>
      <c r="G31" t="s">
        <v>551</v>
      </c>
      <c r="H31" s="85" t="s">
        <v>63</v>
      </c>
      <c r="I31" t="s">
        <v>63</v>
      </c>
      <c r="J31" s="46" t="s">
        <v>63</v>
      </c>
      <c r="K31" t="s">
        <v>553</v>
      </c>
      <c r="L31" t="s">
        <v>554</v>
      </c>
      <c r="M31" s="52">
        <v>27355</v>
      </c>
      <c r="N31" t="s">
        <v>57</v>
      </c>
      <c r="O31" t="s">
        <v>555</v>
      </c>
      <c r="P31" t="s">
        <v>122</v>
      </c>
      <c r="Q31" t="s">
        <v>63</v>
      </c>
      <c r="R31" t="s">
        <v>88</v>
      </c>
    </row>
    <row r="32" spans="2:18" hidden="1" x14ac:dyDescent="0.35">
      <c r="B32" s="63">
        <v>46212</v>
      </c>
      <c r="C32" t="s">
        <v>556</v>
      </c>
      <c r="D32" t="s">
        <v>51</v>
      </c>
      <c r="E32" t="s">
        <v>116</v>
      </c>
      <c r="F32" t="s">
        <v>117</v>
      </c>
      <c r="G32" t="s">
        <v>117</v>
      </c>
      <c r="H32" s="85" t="s">
        <v>63</v>
      </c>
      <c r="I32" t="s">
        <v>63</v>
      </c>
      <c r="J32" s="66" t="s">
        <v>119</v>
      </c>
      <c r="K32" t="s">
        <v>557</v>
      </c>
      <c r="L32" t="s">
        <v>372</v>
      </c>
      <c r="M32" s="52">
        <v>63902</v>
      </c>
      <c r="N32" t="s">
        <v>57</v>
      </c>
      <c r="O32" t="s">
        <v>121</v>
      </c>
      <c r="P32" t="s">
        <v>122</v>
      </c>
      <c r="Q32" t="s">
        <v>63</v>
      </c>
      <c r="R32" t="s">
        <v>88</v>
      </c>
    </row>
    <row r="33" spans="2:18" hidden="1" x14ac:dyDescent="0.35">
      <c r="B33" s="63">
        <v>46221</v>
      </c>
      <c r="C33" t="s">
        <v>621</v>
      </c>
      <c r="D33" t="s">
        <v>51</v>
      </c>
      <c r="E33" t="s">
        <v>51</v>
      </c>
      <c r="F33" t="s">
        <v>622</v>
      </c>
      <c r="G33" t="s">
        <v>622</v>
      </c>
      <c r="H33" s="85">
        <v>20921662429826</v>
      </c>
      <c r="I33" s="36">
        <v>47997</v>
      </c>
      <c r="J33" s="46" t="s">
        <v>625</v>
      </c>
      <c r="K33" t="s">
        <v>623</v>
      </c>
      <c r="L33" t="s">
        <v>395</v>
      </c>
      <c r="M33" s="52">
        <v>107939</v>
      </c>
      <c r="N33" t="s">
        <v>57</v>
      </c>
      <c r="O33" t="s">
        <v>624</v>
      </c>
      <c r="P33" t="s">
        <v>87</v>
      </c>
      <c r="Q33" t="s">
        <v>63</v>
      </c>
      <c r="R33" t="s">
        <v>88</v>
      </c>
    </row>
    <row r="34" spans="2:18" hidden="1" x14ac:dyDescent="0.35">
      <c r="B34" s="63">
        <v>46219</v>
      </c>
      <c r="C34" t="s">
        <v>629</v>
      </c>
      <c r="D34" t="s">
        <v>51</v>
      </c>
      <c r="E34" t="s">
        <v>116</v>
      </c>
      <c r="F34" t="s">
        <v>117</v>
      </c>
      <c r="G34" t="s">
        <v>117</v>
      </c>
      <c r="H34" s="85" t="s">
        <v>63</v>
      </c>
      <c r="I34" t="s">
        <v>63</v>
      </c>
      <c r="J34" s="66" t="s">
        <v>119</v>
      </c>
      <c r="K34" t="s">
        <v>557</v>
      </c>
      <c r="L34" t="s">
        <v>372</v>
      </c>
      <c r="M34" s="52">
        <v>63902</v>
      </c>
      <c r="N34" t="s">
        <v>57</v>
      </c>
      <c r="O34" t="s">
        <v>121</v>
      </c>
      <c r="P34" t="s">
        <v>122</v>
      </c>
      <c r="Q34" t="s">
        <v>63</v>
      </c>
      <c r="R34" t="s">
        <v>88</v>
      </c>
    </row>
    <row r="35" spans="2:18" hidden="1" x14ac:dyDescent="0.35">
      <c r="B35" s="63">
        <v>46216</v>
      </c>
      <c r="C35" t="s">
        <v>635</v>
      </c>
      <c r="D35" t="s">
        <v>51</v>
      </c>
      <c r="E35" t="s">
        <v>51</v>
      </c>
      <c r="F35" t="s">
        <v>684</v>
      </c>
      <c r="G35" t="s">
        <v>684</v>
      </c>
      <c r="H35" s="85" t="s">
        <v>63</v>
      </c>
      <c r="I35" t="s">
        <v>63</v>
      </c>
      <c r="J35" s="46" t="s">
        <v>63</v>
      </c>
      <c r="K35" t="s">
        <v>630</v>
      </c>
      <c r="L35" t="s">
        <v>413</v>
      </c>
      <c r="M35" s="52">
        <v>41448</v>
      </c>
      <c r="N35" t="s">
        <v>57</v>
      </c>
      <c r="O35" t="s">
        <v>631</v>
      </c>
      <c r="P35" t="s">
        <v>87</v>
      </c>
      <c r="Q35" t="s">
        <v>63</v>
      </c>
      <c r="R35" t="s">
        <v>88</v>
      </c>
    </row>
    <row r="36" spans="2:18" hidden="1" x14ac:dyDescent="0.35">
      <c r="B36" s="63">
        <v>46216</v>
      </c>
      <c r="C36" t="s">
        <v>636</v>
      </c>
      <c r="D36" t="s">
        <v>51</v>
      </c>
      <c r="E36" t="s">
        <v>51</v>
      </c>
      <c r="F36" t="s">
        <v>632</v>
      </c>
      <c r="G36" t="s">
        <v>632</v>
      </c>
      <c r="H36" s="85" t="s">
        <v>63</v>
      </c>
      <c r="I36" t="s">
        <v>63</v>
      </c>
      <c r="J36" s="46" t="s">
        <v>63</v>
      </c>
      <c r="K36" t="s">
        <v>633</v>
      </c>
      <c r="L36" t="s">
        <v>413</v>
      </c>
      <c r="M36" s="52">
        <v>11850</v>
      </c>
      <c r="N36" t="s">
        <v>57</v>
      </c>
      <c r="O36" t="s">
        <v>634</v>
      </c>
      <c r="P36" t="s">
        <v>87</v>
      </c>
      <c r="Q36" t="s">
        <v>63</v>
      </c>
      <c r="R36" t="s">
        <v>88</v>
      </c>
    </row>
    <row r="37" spans="2:18" hidden="1" x14ac:dyDescent="0.35">
      <c r="B37" s="63">
        <v>46216</v>
      </c>
      <c r="C37" t="s">
        <v>637</v>
      </c>
      <c r="D37" t="s">
        <v>51</v>
      </c>
      <c r="E37" t="s">
        <v>51</v>
      </c>
      <c r="F37" t="s">
        <v>638</v>
      </c>
      <c r="G37" t="s">
        <v>638</v>
      </c>
      <c r="H37" s="85" t="s">
        <v>63</v>
      </c>
      <c r="I37" t="s">
        <v>63</v>
      </c>
      <c r="J37" s="46" t="s">
        <v>63</v>
      </c>
      <c r="K37" t="s">
        <v>639</v>
      </c>
      <c r="L37" t="s">
        <v>413</v>
      </c>
      <c r="M37" s="52">
        <v>48300</v>
      </c>
      <c r="N37" t="s">
        <v>57</v>
      </c>
      <c r="O37" t="s">
        <v>640</v>
      </c>
      <c r="P37" t="s">
        <v>87</v>
      </c>
      <c r="Q37" t="s">
        <v>63</v>
      </c>
      <c r="R37" t="s">
        <v>88</v>
      </c>
    </row>
    <row r="38" spans="2:18" hidden="1" x14ac:dyDescent="0.35">
      <c r="B38" s="63">
        <v>46200</v>
      </c>
      <c r="C38" t="s">
        <v>641</v>
      </c>
      <c r="D38" t="s">
        <v>51</v>
      </c>
      <c r="E38" t="s">
        <v>51</v>
      </c>
      <c r="F38" t="s">
        <v>143</v>
      </c>
      <c r="G38" t="s">
        <v>143</v>
      </c>
      <c r="H38" s="85">
        <v>5924678990</v>
      </c>
      <c r="I38" s="65" t="s">
        <v>150</v>
      </c>
      <c r="J38" s="46" t="s">
        <v>151</v>
      </c>
      <c r="K38" t="s">
        <v>63</v>
      </c>
      <c r="L38" t="s">
        <v>395</v>
      </c>
      <c r="M38" s="52">
        <v>1500000</v>
      </c>
      <c r="N38" t="s">
        <v>47</v>
      </c>
      <c r="O38" t="s">
        <v>418</v>
      </c>
      <c r="P38" t="s">
        <v>87</v>
      </c>
      <c r="Q38" t="s">
        <v>63</v>
      </c>
      <c r="R38" t="s">
        <v>88</v>
      </c>
    </row>
    <row r="39" spans="2:18" hidden="1" x14ac:dyDescent="0.35">
      <c r="B39" s="63">
        <v>46216</v>
      </c>
      <c r="C39" t="s">
        <v>645</v>
      </c>
      <c r="D39" t="s">
        <v>51</v>
      </c>
      <c r="E39" t="s">
        <v>51</v>
      </c>
      <c r="F39" t="s">
        <v>551</v>
      </c>
      <c r="G39" t="s">
        <v>551</v>
      </c>
      <c r="H39" s="85" t="s">
        <v>63</v>
      </c>
      <c r="I39" t="s">
        <v>63</v>
      </c>
      <c r="J39" s="46" t="s">
        <v>63</v>
      </c>
      <c r="K39" t="s">
        <v>642</v>
      </c>
      <c r="L39" t="s">
        <v>643</v>
      </c>
      <c r="M39" s="52">
        <v>20200</v>
      </c>
      <c r="N39" t="s">
        <v>57</v>
      </c>
      <c r="O39" t="s">
        <v>644</v>
      </c>
      <c r="P39" t="s">
        <v>87</v>
      </c>
      <c r="Q39" t="s">
        <v>63</v>
      </c>
      <c r="R39" t="s">
        <v>88</v>
      </c>
    </row>
    <row r="40" spans="2:18" hidden="1" x14ac:dyDescent="0.35">
      <c r="B40" s="63">
        <v>46220</v>
      </c>
      <c r="C40" t="s">
        <v>681</v>
      </c>
      <c r="D40" t="s">
        <v>51</v>
      </c>
      <c r="E40" t="s">
        <v>253</v>
      </c>
      <c r="F40" t="s">
        <v>255</v>
      </c>
      <c r="G40" t="s">
        <v>254</v>
      </c>
      <c r="H40" s="85">
        <v>8188560503</v>
      </c>
      <c r="I40" s="65">
        <v>48094</v>
      </c>
      <c r="J40" s="46" t="s">
        <v>277</v>
      </c>
      <c r="K40" t="s">
        <v>63</v>
      </c>
      <c r="L40" t="s">
        <v>680</v>
      </c>
      <c r="M40" s="68">
        <v>2930000</v>
      </c>
      <c r="N40" t="s">
        <v>57</v>
      </c>
      <c r="O40" t="s">
        <v>129</v>
      </c>
      <c r="P40" t="s">
        <v>87</v>
      </c>
      <c r="Q40" t="s">
        <v>63</v>
      </c>
      <c r="R40" t="s">
        <v>88</v>
      </c>
    </row>
    <row r="41" spans="2:18" hidden="1" x14ac:dyDescent="0.35">
      <c r="B41" s="63">
        <v>46218</v>
      </c>
      <c r="C41" t="s">
        <v>683</v>
      </c>
      <c r="D41" t="s">
        <v>51</v>
      </c>
      <c r="E41" t="s">
        <v>51</v>
      </c>
      <c r="F41" t="s">
        <v>416</v>
      </c>
      <c r="G41" t="s">
        <v>416</v>
      </c>
      <c r="H41" s="85" t="s">
        <v>63</v>
      </c>
      <c r="I41" t="s">
        <v>63</v>
      </c>
      <c r="J41" s="46" t="s">
        <v>63</v>
      </c>
      <c r="K41" t="s">
        <v>682</v>
      </c>
      <c r="L41" t="s">
        <v>417</v>
      </c>
      <c r="M41" s="52">
        <v>1500000</v>
      </c>
      <c r="N41" t="s">
        <v>57</v>
      </c>
      <c r="O41" t="s">
        <v>418</v>
      </c>
      <c r="P41" t="s">
        <v>130</v>
      </c>
      <c r="Q41" t="s">
        <v>63</v>
      </c>
      <c r="R41" t="s">
        <v>32</v>
      </c>
    </row>
    <row r="42" spans="2:18" hidden="1" x14ac:dyDescent="0.35">
      <c r="B42" s="63">
        <v>46221</v>
      </c>
      <c r="C42" t="s">
        <v>686</v>
      </c>
      <c r="D42" t="s">
        <v>51</v>
      </c>
      <c r="E42" t="s">
        <v>51</v>
      </c>
      <c r="F42" t="s">
        <v>684</v>
      </c>
      <c r="G42" t="s">
        <v>684</v>
      </c>
      <c r="H42" s="85" t="s">
        <v>63</v>
      </c>
      <c r="I42" t="s">
        <v>63</v>
      </c>
      <c r="J42" s="46" t="s">
        <v>63</v>
      </c>
      <c r="K42" t="s">
        <v>63</v>
      </c>
      <c r="L42" t="s">
        <v>413</v>
      </c>
      <c r="M42" s="52">
        <v>3026</v>
      </c>
      <c r="N42" t="s">
        <v>57</v>
      </c>
      <c r="O42" t="s">
        <v>685</v>
      </c>
      <c r="P42" t="s">
        <v>87</v>
      </c>
      <c r="Q42" t="s">
        <v>63</v>
      </c>
      <c r="R42" t="s">
        <v>88</v>
      </c>
    </row>
    <row r="43" spans="2:18" hidden="1" x14ac:dyDescent="0.35">
      <c r="B43" s="63">
        <v>46227</v>
      </c>
      <c r="C43" t="s">
        <v>696</v>
      </c>
      <c r="D43" t="s">
        <v>51</v>
      </c>
      <c r="E43" t="s">
        <v>51</v>
      </c>
      <c r="F43" t="s">
        <v>551</v>
      </c>
      <c r="G43" t="s">
        <v>551</v>
      </c>
      <c r="H43" s="85" t="s">
        <v>63</v>
      </c>
      <c r="I43" t="s">
        <v>63</v>
      </c>
      <c r="J43" s="46" t="s">
        <v>63</v>
      </c>
      <c r="K43" t="s">
        <v>697</v>
      </c>
      <c r="L43" t="s">
        <v>694</v>
      </c>
      <c r="M43" s="52">
        <v>50000</v>
      </c>
      <c r="N43" t="s">
        <v>57</v>
      </c>
      <c r="O43" t="s">
        <v>695</v>
      </c>
      <c r="P43" t="s">
        <v>122</v>
      </c>
      <c r="Q43" t="s">
        <v>63</v>
      </c>
      <c r="R43" t="s">
        <v>88</v>
      </c>
    </row>
    <row r="44" spans="2:18" hidden="1" x14ac:dyDescent="0.35">
      <c r="B44" s="63">
        <v>46227</v>
      </c>
      <c r="C44" t="s">
        <v>699</v>
      </c>
      <c r="D44" t="s">
        <v>51</v>
      </c>
      <c r="E44" t="s">
        <v>51</v>
      </c>
      <c r="F44" t="s">
        <v>551</v>
      </c>
      <c r="G44" t="s">
        <v>551</v>
      </c>
      <c r="H44" s="85" t="s">
        <v>63</v>
      </c>
      <c r="I44" t="s">
        <v>63</v>
      </c>
      <c r="J44" s="46" t="s">
        <v>63</v>
      </c>
      <c r="K44" t="s">
        <v>700</v>
      </c>
      <c r="L44" t="s">
        <v>701</v>
      </c>
      <c r="M44" s="52">
        <v>100000</v>
      </c>
      <c r="N44" t="s">
        <v>57</v>
      </c>
      <c r="O44" t="s">
        <v>702</v>
      </c>
      <c r="P44" t="s">
        <v>122</v>
      </c>
      <c r="Q44" t="s">
        <v>63</v>
      </c>
      <c r="R44" t="s">
        <v>88</v>
      </c>
    </row>
    <row r="45" spans="2:18" hidden="1" x14ac:dyDescent="0.35">
      <c r="B45" s="63">
        <v>46228</v>
      </c>
      <c r="C45" t="s">
        <v>715</v>
      </c>
      <c r="D45" t="s">
        <v>51</v>
      </c>
      <c r="E45" t="s">
        <v>116</v>
      </c>
      <c r="F45" t="s">
        <v>117</v>
      </c>
      <c r="G45" t="s">
        <v>117</v>
      </c>
      <c r="H45" s="85" t="s">
        <v>63</v>
      </c>
      <c r="I45" t="s">
        <v>63</v>
      </c>
      <c r="J45" s="66" t="s">
        <v>119</v>
      </c>
      <c r="K45" t="s">
        <v>714</v>
      </c>
      <c r="L45" t="s">
        <v>372</v>
      </c>
      <c r="M45" s="52">
        <v>127804</v>
      </c>
      <c r="N45" t="s">
        <v>57</v>
      </c>
      <c r="O45" t="s">
        <v>435</v>
      </c>
      <c r="P45" t="s">
        <v>122</v>
      </c>
      <c r="Q45" t="s">
        <v>63</v>
      </c>
      <c r="R45" t="s">
        <v>88</v>
      </c>
    </row>
    <row r="46" spans="2:18" s="80" customFormat="1" hidden="1" x14ac:dyDescent="0.35">
      <c r="B46" s="63">
        <v>46227</v>
      </c>
      <c r="C46" t="s">
        <v>734</v>
      </c>
      <c r="D46" t="s">
        <v>51</v>
      </c>
      <c r="E46" t="s">
        <v>51</v>
      </c>
      <c r="F46" t="s">
        <v>551</v>
      </c>
      <c r="G46" t="s">
        <v>551</v>
      </c>
      <c r="H46" s="85" t="s">
        <v>63</v>
      </c>
      <c r="I46" t="s">
        <v>63</v>
      </c>
      <c r="J46" s="46" t="s">
        <v>63</v>
      </c>
      <c r="K46" t="s">
        <v>733</v>
      </c>
      <c r="L46" t="s">
        <v>731</v>
      </c>
      <c r="M46" s="52">
        <v>24900</v>
      </c>
      <c r="N46" t="s">
        <v>57</v>
      </c>
      <c r="O46" t="s">
        <v>732</v>
      </c>
      <c r="P46" t="s">
        <v>122</v>
      </c>
      <c r="Q46" t="s">
        <v>63</v>
      </c>
      <c r="R46" t="s">
        <v>88</v>
      </c>
    </row>
    <row r="47" spans="2:18" hidden="1" x14ac:dyDescent="0.35">
      <c r="B47" s="63">
        <v>46232</v>
      </c>
      <c r="C47" t="s">
        <v>736</v>
      </c>
      <c r="D47" t="s">
        <v>51</v>
      </c>
      <c r="E47" t="s">
        <v>51</v>
      </c>
      <c r="F47" t="s">
        <v>264</v>
      </c>
      <c r="G47" t="s">
        <v>264</v>
      </c>
      <c r="H47" s="85">
        <v>20410262291725</v>
      </c>
      <c r="I47" s="36">
        <v>46581</v>
      </c>
      <c r="J47" s="46" t="s">
        <v>265</v>
      </c>
      <c r="K47" t="s">
        <v>63</v>
      </c>
      <c r="L47" t="s">
        <v>737</v>
      </c>
      <c r="M47" s="52">
        <v>700000</v>
      </c>
      <c r="N47" t="s">
        <v>57</v>
      </c>
      <c r="O47" t="s">
        <v>587</v>
      </c>
      <c r="P47" t="s">
        <v>87</v>
      </c>
      <c r="Q47" t="s">
        <v>63</v>
      </c>
      <c r="R47" t="s">
        <v>32</v>
      </c>
    </row>
    <row r="48" spans="2:18" hidden="1" x14ac:dyDescent="0.35">
      <c r="B48" s="63">
        <v>46233</v>
      </c>
      <c r="C48" t="s">
        <v>746</v>
      </c>
      <c r="D48" t="s">
        <v>51</v>
      </c>
      <c r="E48" t="s">
        <v>51</v>
      </c>
      <c r="F48" t="s">
        <v>264</v>
      </c>
      <c r="G48" t="s">
        <v>264</v>
      </c>
      <c r="H48" s="85">
        <v>20410262291725</v>
      </c>
      <c r="I48" s="36">
        <v>46581</v>
      </c>
      <c r="J48" s="46" t="s">
        <v>265</v>
      </c>
      <c r="K48" t="s">
        <v>63</v>
      </c>
      <c r="L48" t="s">
        <v>737</v>
      </c>
      <c r="M48" s="52">
        <v>300000</v>
      </c>
      <c r="N48" t="s">
        <v>57</v>
      </c>
      <c r="O48" t="s">
        <v>747</v>
      </c>
      <c r="P48" t="s">
        <v>87</v>
      </c>
      <c r="Q48" t="s">
        <v>63</v>
      </c>
      <c r="R48" t="s">
        <v>32</v>
      </c>
    </row>
    <row r="49" spans="2:18" hidden="1" x14ac:dyDescent="0.35">
      <c r="B49" s="63">
        <v>46233</v>
      </c>
      <c r="C49" t="s">
        <v>750</v>
      </c>
      <c r="D49" t="s">
        <v>51</v>
      </c>
      <c r="E49" t="s">
        <v>51</v>
      </c>
      <c r="F49" t="s">
        <v>622</v>
      </c>
      <c r="G49" t="s">
        <v>622</v>
      </c>
      <c r="H49" s="85">
        <v>20921662429826</v>
      </c>
      <c r="I49" s="36">
        <v>47997</v>
      </c>
      <c r="J49" s="46" t="s">
        <v>625</v>
      </c>
      <c r="K49" t="s">
        <v>751</v>
      </c>
      <c r="L49" t="s">
        <v>395</v>
      </c>
      <c r="M49" s="52">
        <v>82954</v>
      </c>
      <c r="N49" t="s">
        <v>57</v>
      </c>
      <c r="O49" t="s">
        <v>752</v>
      </c>
      <c r="P49" t="s">
        <v>87</v>
      </c>
      <c r="Q49" t="s">
        <v>63</v>
      </c>
      <c r="R49" t="s">
        <v>88</v>
      </c>
    </row>
    <row r="50" spans="2:18" hidden="1" x14ac:dyDescent="0.35">
      <c r="B50" s="63">
        <v>46233</v>
      </c>
      <c r="C50" t="s">
        <v>763</v>
      </c>
      <c r="D50" t="s">
        <v>51</v>
      </c>
      <c r="E50" t="s">
        <v>51</v>
      </c>
      <c r="F50" t="s">
        <v>754</v>
      </c>
      <c r="G50" t="s">
        <v>755</v>
      </c>
      <c r="H50" s="85" t="s">
        <v>756</v>
      </c>
      <c r="I50" s="36">
        <v>46263</v>
      </c>
      <c r="J50" s="46" t="s">
        <v>757</v>
      </c>
      <c r="K50" t="s">
        <v>63</v>
      </c>
      <c r="L50" t="s">
        <v>761</v>
      </c>
      <c r="M50" s="52">
        <v>600000</v>
      </c>
      <c r="N50" t="s">
        <v>57</v>
      </c>
      <c r="O50" t="s">
        <v>762</v>
      </c>
      <c r="P50" t="s">
        <v>87</v>
      </c>
      <c r="Q50" t="s">
        <v>63</v>
      </c>
      <c r="R50" t="s">
        <v>88</v>
      </c>
    </row>
    <row r="51" spans="2:18" hidden="1" x14ac:dyDescent="0.35">
      <c r="B51" s="63">
        <v>46233</v>
      </c>
      <c r="C51" t="s">
        <v>764</v>
      </c>
      <c r="D51" t="s">
        <v>51</v>
      </c>
      <c r="E51" t="s">
        <v>51</v>
      </c>
      <c r="F51" t="s">
        <v>551</v>
      </c>
      <c r="G51" t="s">
        <v>551</v>
      </c>
      <c r="H51" s="85" t="s">
        <v>63</v>
      </c>
      <c r="I51" t="s">
        <v>63</v>
      </c>
      <c r="J51" s="46" t="s">
        <v>63</v>
      </c>
      <c r="K51" t="s">
        <v>768</v>
      </c>
      <c r="L51" t="s">
        <v>731</v>
      </c>
      <c r="M51" s="52">
        <v>25250</v>
      </c>
      <c r="N51" t="s">
        <v>57</v>
      </c>
      <c r="O51" t="s">
        <v>766</v>
      </c>
      <c r="P51" t="s">
        <v>122</v>
      </c>
      <c r="Q51" t="s">
        <v>63</v>
      </c>
      <c r="R51" t="s">
        <v>88</v>
      </c>
    </row>
    <row r="52" spans="2:18" hidden="1" x14ac:dyDescent="0.35">
      <c r="B52" s="63">
        <v>46233</v>
      </c>
      <c r="C52" t="s">
        <v>765</v>
      </c>
      <c r="D52" t="s">
        <v>51</v>
      </c>
      <c r="E52" t="s">
        <v>51</v>
      </c>
      <c r="F52" t="s">
        <v>551</v>
      </c>
      <c r="G52" t="s">
        <v>551</v>
      </c>
      <c r="H52" s="85" t="s">
        <v>63</v>
      </c>
      <c r="I52" t="s">
        <v>63</v>
      </c>
      <c r="J52" s="46" t="s">
        <v>63</v>
      </c>
      <c r="K52" t="s">
        <v>769</v>
      </c>
      <c r="L52" t="s">
        <v>731</v>
      </c>
      <c r="M52" s="52">
        <v>15150</v>
      </c>
      <c r="N52" t="s">
        <v>57</v>
      </c>
      <c r="O52" t="s">
        <v>767</v>
      </c>
      <c r="P52" t="s">
        <v>122</v>
      </c>
      <c r="Q52" t="s">
        <v>63</v>
      </c>
      <c r="R52" t="s">
        <v>88</v>
      </c>
    </row>
    <row r="53" spans="2:18" hidden="1" x14ac:dyDescent="0.35">
      <c r="B53" s="63">
        <v>46228</v>
      </c>
      <c r="C53" t="s">
        <v>773</v>
      </c>
      <c r="D53" t="s">
        <v>774</v>
      </c>
      <c r="E53" t="s">
        <v>774</v>
      </c>
      <c r="F53" t="s">
        <v>775</v>
      </c>
      <c r="G53" t="s">
        <v>776</v>
      </c>
      <c r="H53" s="85" t="s">
        <v>63</v>
      </c>
      <c r="I53" t="s">
        <v>63</v>
      </c>
      <c r="J53" s="46" t="s">
        <v>63</v>
      </c>
      <c r="K53" t="s">
        <v>772</v>
      </c>
      <c r="L53" t="s">
        <v>771</v>
      </c>
      <c r="M53" s="52">
        <v>40400</v>
      </c>
      <c r="N53" t="s">
        <v>57</v>
      </c>
      <c r="O53" t="s">
        <v>770</v>
      </c>
      <c r="P53" t="s">
        <v>87</v>
      </c>
      <c r="Q53" t="s">
        <v>63</v>
      </c>
      <c r="R53" t="s">
        <v>88</v>
      </c>
    </row>
    <row r="54" spans="2:18" hidden="1" x14ac:dyDescent="0.35">
      <c r="B54" s="63">
        <v>46227</v>
      </c>
      <c r="C54" t="s">
        <v>777</v>
      </c>
      <c r="D54" t="s">
        <v>774</v>
      </c>
      <c r="E54" t="s">
        <v>774</v>
      </c>
      <c r="F54" t="s">
        <v>778</v>
      </c>
      <c r="G54" t="s">
        <v>778</v>
      </c>
      <c r="H54" s="85" t="s">
        <v>63</v>
      </c>
      <c r="I54" t="s">
        <v>63</v>
      </c>
      <c r="J54" s="46" t="s">
        <v>63</v>
      </c>
      <c r="K54" t="s">
        <v>779</v>
      </c>
      <c r="L54" t="s">
        <v>780</v>
      </c>
      <c r="M54" s="52">
        <v>80000</v>
      </c>
      <c r="N54" t="s">
        <v>57</v>
      </c>
      <c r="O54" t="s">
        <v>781</v>
      </c>
      <c r="P54" t="s">
        <v>87</v>
      </c>
      <c r="Q54" t="s">
        <v>63</v>
      </c>
      <c r="R54" t="s">
        <v>88</v>
      </c>
    </row>
    <row r="55" spans="2:18" hidden="1" x14ac:dyDescent="0.35">
      <c r="B55" s="63">
        <v>46237</v>
      </c>
      <c r="C55" t="s">
        <v>795</v>
      </c>
      <c r="D55" t="s">
        <v>51</v>
      </c>
      <c r="E55" t="s">
        <v>51</v>
      </c>
      <c r="F55" t="s">
        <v>406</v>
      </c>
      <c r="G55" t="s">
        <v>406</v>
      </c>
      <c r="H55" s="85">
        <v>4918023191</v>
      </c>
      <c r="I55" s="36">
        <v>47919</v>
      </c>
      <c r="J55" s="46" t="s">
        <v>407</v>
      </c>
      <c r="K55" t="s">
        <v>63</v>
      </c>
      <c r="L55" t="s">
        <v>796</v>
      </c>
      <c r="M55" s="52">
        <v>115500</v>
      </c>
      <c r="N55" t="s">
        <v>57</v>
      </c>
      <c r="O55" t="s">
        <v>794</v>
      </c>
      <c r="P55" t="s">
        <v>87</v>
      </c>
      <c r="Q55" t="s">
        <v>63</v>
      </c>
      <c r="R55" t="s">
        <v>88</v>
      </c>
    </row>
    <row r="56" spans="2:18" hidden="1" x14ac:dyDescent="0.35">
      <c r="B56" s="63">
        <v>46237</v>
      </c>
      <c r="C56" t="s">
        <v>800</v>
      </c>
      <c r="D56" t="s">
        <v>51</v>
      </c>
      <c r="E56" t="s">
        <v>116</v>
      </c>
      <c r="F56" t="s">
        <v>117</v>
      </c>
      <c r="G56" t="s">
        <v>117</v>
      </c>
      <c r="H56" s="85" t="s">
        <v>63</v>
      </c>
      <c r="I56" t="s">
        <v>63</v>
      </c>
      <c r="J56" s="66" t="s">
        <v>119</v>
      </c>
      <c r="K56" t="s">
        <v>799</v>
      </c>
      <c r="L56" t="s">
        <v>372</v>
      </c>
      <c r="M56" s="52">
        <v>63902</v>
      </c>
      <c r="N56" t="s">
        <v>57</v>
      </c>
      <c r="O56" t="s">
        <v>121</v>
      </c>
      <c r="P56" t="s">
        <v>122</v>
      </c>
      <c r="Q56" t="s">
        <v>63</v>
      </c>
      <c r="R56" t="s">
        <v>88</v>
      </c>
    </row>
    <row r="57" spans="2:18" hidden="1" x14ac:dyDescent="0.35">
      <c r="B57" s="63">
        <v>46238</v>
      </c>
      <c r="C57" t="s">
        <v>812</v>
      </c>
      <c r="D57" t="s">
        <v>51</v>
      </c>
      <c r="E57" t="s">
        <v>51</v>
      </c>
      <c r="F57" t="s">
        <v>813</v>
      </c>
      <c r="G57" t="s">
        <v>813</v>
      </c>
      <c r="H57" s="85" t="s">
        <v>63</v>
      </c>
      <c r="I57" t="s">
        <v>63</v>
      </c>
      <c r="J57" s="46" t="s">
        <v>63</v>
      </c>
      <c r="K57" t="s">
        <v>63</v>
      </c>
      <c r="L57" t="s">
        <v>814</v>
      </c>
      <c r="M57" s="52">
        <v>51000</v>
      </c>
      <c r="N57" t="s">
        <v>57</v>
      </c>
      <c r="O57" t="s">
        <v>815</v>
      </c>
      <c r="P57" t="s">
        <v>87</v>
      </c>
      <c r="Q57" t="s">
        <v>63</v>
      </c>
      <c r="R57" t="s">
        <v>88</v>
      </c>
    </row>
    <row r="58" spans="2:18" hidden="1" x14ac:dyDescent="0.35">
      <c r="B58" s="63">
        <v>46241</v>
      </c>
      <c r="C58" t="s">
        <v>822</v>
      </c>
      <c r="D58" t="s">
        <v>51</v>
      </c>
      <c r="E58" t="s">
        <v>444</v>
      </c>
      <c r="F58" t="s">
        <v>445</v>
      </c>
      <c r="G58" t="s">
        <v>823</v>
      </c>
      <c r="H58" s="85" t="s">
        <v>824</v>
      </c>
      <c r="I58" s="36">
        <v>46715</v>
      </c>
      <c r="J58" s="46" t="s">
        <v>63</v>
      </c>
      <c r="K58" t="s">
        <v>63</v>
      </c>
      <c r="L58" t="s">
        <v>821</v>
      </c>
      <c r="M58" s="52">
        <v>1500000</v>
      </c>
      <c r="N58" t="s">
        <v>57</v>
      </c>
      <c r="O58" t="s">
        <v>418</v>
      </c>
      <c r="P58" t="s">
        <v>87</v>
      </c>
      <c r="Q58" t="s">
        <v>63</v>
      </c>
      <c r="R58" t="s">
        <v>88</v>
      </c>
    </row>
    <row r="59" spans="2:18" hidden="1" x14ac:dyDescent="0.35">
      <c r="B59" s="63">
        <v>46244</v>
      </c>
      <c r="C59" t="s">
        <v>832</v>
      </c>
      <c r="D59" t="s">
        <v>51</v>
      </c>
      <c r="E59" t="s">
        <v>51</v>
      </c>
      <c r="F59" t="s">
        <v>264</v>
      </c>
      <c r="G59" t="s">
        <v>264</v>
      </c>
      <c r="H59" s="85">
        <v>20410262291725</v>
      </c>
      <c r="I59" s="36">
        <v>46581</v>
      </c>
      <c r="J59" s="46" t="s">
        <v>265</v>
      </c>
      <c r="K59" t="s">
        <v>63</v>
      </c>
      <c r="L59" t="s">
        <v>833</v>
      </c>
      <c r="M59" s="52">
        <v>100000</v>
      </c>
      <c r="N59" t="s">
        <v>57</v>
      </c>
      <c r="O59" t="s">
        <v>702</v>
      </c>
      <c r="P59" t="s">
        <v>87</v>
      </c>
      <c r="Q59" t="s">
        <v>63</v>
      </c>
      <c r="R59" t="s">
        <v>32</v>
      </c>
    </row>
    <row r="60" spans="2:18" hidden="1" x14ac:dyDescent="0.35">
      <c r="B60" s="63">
        <v>46245</v>
      </c>
      <c r="C60" t="s">
        <v>844</v>
      </c>
      <c r="D60" t="s">
        <v>51</v>
      </c>
      <c r="E60" t="s">
        <v>51</v>
      </c>
      <c r="F60" t="s">
        <v>841</v>
      </c>
      <c r="G60" t="s">
        <v>63</v>
      </c>
      <c r="H60" s="85" t="s">
        <v>63</v>
      </c>
      <c r="I60" t="s">
        <v>63</v>
      </c>
      <c r="J60" s="46" t="s">
        <v>63</v>
      </c>
      <c r="K60" t="s">
        <v>842</v>
      </c>
      <c r="L60" t="s">
        <v>843</v>
      </c>
      <c r="M60" s="52">
        <v>24900</v>
      </c>
      <c r="N60" t="s">
        <v>57</v>
      </c>
      <c r="O60" t="e" vm="1">
        <f ca="1">SUBSTITUTE(_xlfn.TRANSLATE(BAHTTEXT(Table1[[#This Row],[Montant]]),"th","fr")," bahts"," francs CFA")</f>
        <v>#NAME?</v>
      </c>
      <c r="P60" t="s">
        <v>122</v>
      </c>
      <c r="Q60" t="s">
        <v>63</v>
      </c>
      <c r="R60" t="s">
        <v>88</v>
      </c>
    </row>
    <row r="61" spans="2:18" hidden="1" x14ac:dyDescent="0.35">
      <c r="B61" s="63">
        <v>46245</v>
      </c>
      <c r="C61" t="s">
        <v>847</v>
      </c>
      <c r="D61" t="s">
        <v>51</v>
      </c>
      <c r="E61" t="s">
        <v>51</v>
      </c>
      <c r="F61" t="s">
        <v>63</v>
      </c>
      <c r="G61" t="s">
        <v>63</v>
      </c>
      <c r="H61" s="85" t="s">
        <v>63</v>
      </c>
      <c r="I61" t="s">
        <v>63</v>
      </c>
      <c r="J61" s="46" t="s">
        <v>63</v>
      </c>
      <c r="K61" t="s">
        <v>845</v>
      </c>
      <c r="L61" t="s">
        <v>846</v>
      </c>
      <c r="M61" s="52">
        <v>6000</v>
      </c>
      <c r="N61" t="s">
        <v>57</v>
      </c>
      <c r="O61" t="e" vm="1">
        <f ca="1">SUBSTITUTE(_xlfn.TRANSLATE(BAHTTEXT(Table1[[#This Row],[Montant]]),"th","fr")," bahts"," francs CFA")</f>
        <v>#NAME?</v>
      </c>
      <c r="P61" t="s">
        <v>122</v>
      </c>
      <c r="Q61" t="s">
        <v>63</v>
      </c>
      <c r="R61" t="s">
        <v>88</v>
      </c>
    </row>
    <row r="62" spans="2:18" hidden="1" x14ac:dyDescent="0.35">
      <c r="B62" s="63">
        <v>46245</v>
      </c>
      <c r="C62" t="s">
        <v>851</v>
      </c>
      <c r="D62" t="s">
        <v>82</v>
      </c>
      <c r="E62" t="s">
        <v>115</v>
      </c>
      <c r="F62" t="s">
        <v>234</v>
      </c>
      <c r="G62" t="s">
        <v>234</v>
      </c>
      <c r="H62" s="85" t="s">
        <v>63</v>
      </c>
      <c r="I62" t="s">
        <v>63</v>
      </c>
      <c r="J62" s="46" t="s">
        <v>63</v>
      </c>
      <c r="K62" t="s">
        <v>63</v>
      </c>
      <c r="L62" t="s">
        <v>850</v>
      </c>
      <c r="M62" s="52">
        <v>102960</v>
      </c>
      <c r="N62" t="s">
        <v>57</v>
      </c>
      <c r="O62" t="e" vm="1">
        <f ca="1">SUBSTITUTE(_xlfn.TRANSLATE(BAHTTEXT(Table1[[#This Row],[Montant]]),"th","fr")," bahts"," francs CFA")</f>
        <v>#NAME?</v>
      </c>
      <c r="P62" t="s">
        <v>87</v>
      </c>
      <c r="Q62" t="s">
        <v>63</v>
      </c>
      <c r="R62" t="s">
        <v>88</v>
      </c>
    </row>
    <row r="63" spans="2:18" s="80" customFormat="1" hidden="1" x14ac:dyDescent="0.35">
      <c r="B63" s="63">
        <v>46240</v>
      </c>
      <c r="C63" t="s">
        <v>856</v>
      </c>
      <c r="D63" t="s">
        <v>51</v>
      </c>
      <c r="E63" t="s">
        <v>116</v>
      </c>
      <c r="F63" t="s">
        <v>117</v>
      </c>
      <c r="G63" t="s">
        <v>117</v>
      </c>
      <c r="H63" s="85" t="s">
        <v>63</v>
      </c>
      <c r="I63" t="s">
        <v>63</v>
      </c>
      <c r="J63" s="66" t="s">
        <v>119</v>
      </c>
      <c r="K63" t="s">
        <v>854</v>
      </c>
      <c r="L63" t="s">
        <v>372</v>
      </c>
      <c r="M63" s="52">
        <v>63902</v>
      </c>
      <c r="N63" t="s">
        <v>57</v>
      </c>
      <c r="O63" t="e" vm="1">
        <f ca="1">SUBSTITUTE(_xlfn.TRANSLATE(BAHTTEXT(Table1[[#This Row],[Montant]]),"th","fr")," bahts"," francs CFA")</f>
        <v>#NAME?</v>
      </c>
      <c r="P63" t="s">
        <v>122</v>
      </c>
      <c r="Q63" t="s">
        <v>63</v>
      </c>
      <c r="R63" t="s">
        <v>88</v>
      </c>
    </row>
    <row r="64" spans="2:18" hidden="1" x14ac:dyDescent="0.35">
      <c r="B64" s="63">
        <v>46245</v>
      </c>
      <c r="C64" t="s">
        <v>857</v>
      </c>
      <c r="D64" t="s">
        <v>51</v>
      </c>
      <c r="E64" t="s">
        <v>116</v>
      </c>
      <c r="F64" t="s">
        <v>117</v>
      </c>
      <c r="G64" t="s">
        <v>117</v>
      </c>
      <c r="H64" s="85" t="s">
        <v>63</v>
      </c>
      <c r="I64" t="s">
        <v>63</v>
      </c>
      <c r="J64" s="66" t="s">
        <v>119</v>
      </c>
      <c r="K64" t="s">
        <v>855</v>
      </c>
      <c r="L64" t="s">
        <v>372</v>
      </c>
      <c r="M64" s="52">
        <v>55904</v>
      </c>
      <c r="N64" t="s">
        <v>57</v>
      </c>
      <c r="O64" t="e" vm="1">
        <f ca="1">SUBSTITUTE(_xlfn.TRANSLATE(BAHTTEXT(Table1[[#This Row],[Montant]]),"th","fr")," bahts"," francs CFA")</f>
        <v>#NAME?</v>
      </c>
      <c r="P64" t="s">
        <v>122</v>
      </c>
      <c r="Q64" t="s">
        <v>63</v>
      </c>
      <c r="R64" t="s">
        <v>88</v>
      </c>
    </row>
    <row r="65" spans="2:18" hidden="1" x14ac:dyDescent="0.35">
      <c r="B65" s="63">
        <v>46246</v>
      </c>
      <c r="C65" t="s">
        <v>864</v>
      </c>
      <c r="D65" t="s">
        <v>51</v>
      </c>
      <c r="E65" t="s">
        <v>51</v>
      </c>
      <c r="F65" t="s">
        <v>264</v>
      </c>
      <c r="G65" t="s">
        <v>264</v>
      </c>
      <c r="H65" s="85">
        <v>20410262291725</v>
      </c>
      <c r="I65" s="36">
        <v>46581</v>
      </c>
      <c r="J65" s="46" t="s">
        <v>265</v>
      </c>
      <c r="K65" t="s">
        <v>63</v>
      </c>
      <c r="L65" t="s">
        <v>865</v>
      </c>
      <c r="M65" s="52">
        <v>100000</v>
      </c>
      <c r="N65" t="s">
        <v>57</v>
      </c>
      <c r="O65" t="s">
        <v>702</v>
      </c>
      <c r="P65" t="s">
        <v>87</v>
      </c>
      <c r="Q65" t="s">
        <v>63</v>
      </c>
      <c r="R65" t="s">
        <v>88</v>
      </c>
    </row>
    <row r="66" spans="2:18" ht="43.5" hidden="1" x14ac:dyDescent="0.35">
      <c r="B66" s="63">
        <v>46247</v>
      </c>
      <c r="C66" t="s">
        <v>869</v>
      </c>
      <c r="D66" t="s">
        <v>82</v>
      </c>
      <c r="E66" t="s">
        <v>115</v>
      </c>
      <c r="F66" t="s">
        <v>234</v>
      </c>
      <c r="G66" t="s">
        <v>234</v>
      </c>
      <c r="H66" s="85" t="s">
        <v>63</v>
      </c>
      <c r="I66" t="s">
        <v>63</v>
      </c>
      <c r="J66" s="46" t="s">
        <v>63</v>
      </c>
      <c r="K66" t="s">
        <v>63</v>
      </c>
      <c r="L66" s="102" t="s">
        <v>868</v>
      </c>
      <c r="M66" s="52">
        <v>277992</v>
      </c>
      <c r="N66" t="s">
        <v>57</v>
      </c>
      <c r="O66" t="e" vm="1">
        <f ca="1">SUBSTITUTE(_xlfn.TRANSLATE(BAHTTEXT(Table1[[#This Row],[Montant]]),"th","fr")," bahts"," francs CFA")</f>
        <v>#NAME?</v>
      </c>
      <c r="P66" t="s">
        <v>87</v>
      </c>
      <c r="Q66" t="s">
        <v>63</v>
      </c>
      <c r="R66" t="s">
        <v>88</v>
      </c>
    </row>
    <row r="67" spans="2:18" hidden="1" x14ac:dyDescent="0.35">
      <c r="B67" s="63">
        <v>46248</v>
      </c>
      <c r="C67" t="s">
        <v>872</v>
      </c>
      <c r="D67" t="s">
        <v>82</v>
      </c>
      <c r="E67" t="s">
        <v>115</v>
      </c>
      <c r="F67" t="s">
        <v>234</v>
      </c>
      <c r="G67" t="s">
        <v>234</v>
      </c>
      <c r="H67" s="85" t="s">
        <v>63</v>
      </c>
      <c r="I67" t="s">
        <v>63</v>
      </c>
      <c r="J67" s="46" t="s">
        <v>63</v>
      </c>
      <c r="K67" t="s">
        <v>63</v>
      </c>
      <c r="L67" t="s">
        <v>873</v>
      </c>
      <c r="M67" s="52">
        <v>41695</v>
      </c>
      <c r="N67" t="s">
        <v>57</v>
      </c>
      <c r="O67" t="e" vm="1">
        <f ca="1">SUBSTITUTE(_xlfn.TRANSLATE(BAHTTEXT(Table1[[#This Row],[Montant]]),"th","fr")," bahts"," francs CFA")</f>
        <v>#NAME?</v>
      </c>
      <c r="P67" t="s">
        <v>87</v>
      </c>
      <c r="Q67" t="s">
        <v>63</v>
      </c>
      <c r="R67" t="s">
        <v>88</v>
      </c>
    </row>
    <row r="68" spans="2:18" hidden="1" x14ac:dyDescent="0.35">
      <c r="B68" s="63">
        <v>46248</v>
      </c>
      <c r="C68" t="s">
        <v>876</v>
      </c>
      <c r="D68" t="s">
        <v>51</v>
      </c>
      <c r="E68" t="s">
        <v>51</v>
      </c>
      <c r="F68" t="s">
        <v>551</v>
      </c>
      <c r="G68" t="s">
        <v>551</v>
      </c>
      <c r="H68" s="85" t="s">
        <v>63</v>
      </c>
      <c r="I68" t="s">
        <v>63</v>
      </c>
      <c r="J68" s="46" t="s">
        <v>63</v>
      </c>
      <c r="K68" t="s">
        <v>875</v>
      </c>
      <c r="L68" t="s">
        <v>874</v>
      </c>
      <c r="M68" s="52">
        <v>20000</v>
      </c>
      <c r="N68" t="s">
        <v>57</v>
      </c>
      <c r="O68" t="s">
        <v>767</v>
      </c>
      <c r="P68" t="s">
        <v>122</v>
      </c>
      <c r="Q68" t="s">
        <v>63</v>
      </c>
      <c r="R68" t="s">
        <v>88</v>
      </c>
    </row>
    <row r="69" spans="2:18" hidden="1" x14ac:dyDescent="0.35">
      <c r="B69" s="63">
        <v>46251</v>
      </c>
      <c r="C69" t="s">
        <v>884</v>
      </c>
      <c r="D69" t="s">
        <v>82</v>
      </c>
      <c r="E69" t="s">
        <v>437</v>
      </c>
      <c r="F69" t="s">
        <v>234</v>
      </c>
      <c r="G69" t="s">
        <v>234</v>
      </c>
      <c r="H69" s="85" t="s">
        <v>63</v>
      </c>
      <c r="I69" t="s">
        <v>63</v>
      </c>
      <c r="J69" s="46" t="s">
        <v>63</v>
      </c>
      <c r="K69" t="s">
        <v>63</v>
      </c>
      <c r="L69" t="s">
        <v>883</v>
      </c>
      <c r="M69" s="52">
        <v>62505</v>
      </c>
      <c r="N69" t="s">
        <v>57</v>
      </c>
      <c r="O69" t="e" vm="1">
        <f ca="1">SUBSTITUTE(_xlfn.TRANSLATE(BAHTTEXT(Table1[[#This Row],[Montant]]),"th","fr")," bahts"," francs CFA")</f>
        <v>#NAME?</v>
      </c>
      <c r="P69" t="s">
        <v>87</v>
      </c>
      <c r="Q69" t="s">
        <v>63</v>
      </c>
      <c r="R69" t="s">
        <v>88</v>
      </c>
    </row>
    <row r="70" spans="2:18" hidden="1" x14ac:dyDescent="0.35">
      <c r="B70" s="63">
        <v>46251</v>
      </c>
      <c r="C70" t="s">
        <v>887</v>
      </c>
      <c r="D70" t="s">
        <v>51</v>
      </c>
      <c r="E70" t="s">
        <v>116</v>
      </c>
      <c r="F70" t="s">
        <v>117</v>
      </c>
      <c r="G70" t="s">
        <v>117</v>
      </c>
      <c r="H70" s="85" t="s">
        <v>63</v>
      </c>
      <c r="I70" t="s">
        <v>63</v>
      </c>
      <c r="J70" s="66" t="s">
        <v>119</v>
      </c>
      <c r="K70" t="s">
        <v>885</v>
      </c>
      <c r="L70" t="s">
        <v>372</v>
      </c>
      <c r="M70" s="52">
        <v>55904</v>
      </c>
      <c r="N70" t="s">
        <v>57</v>
      </c>
      <c r="O70" t="e" vm="1">
        <f ca="1">SUBSTITUTE(_xlfn.TRANSLATE(BAHTTEXT(Table1[[#This Row],[Montant]]),"th","fr")," bahts"," francs CFA")</f>
        <v>#NAME?</v>
      </c>
      <c r="P70" t="s">
        <v>122</v>
      </c>
      <c r="Q70" t="s">
        <v>63</v>
      </c>
      <c r="R70" t="s">
        <v>88</v>
      </c>
    </row>
    <row r="71" spans="2:18" hidden="1" x14ac:dyDescent="0.35">
      <c r="B71" s="63">
        <v>46251</v>
      </c>
      <c r="C71" t="s">
        <v>886</v>
      </c>
      <c r="D71" t="s">
        <v>51</v>
      </c>
      <c r="E71" t="s">
        <v>116</v>
      </c>
      <c r="F71" t="s">
        <v>117</v>
      </c>
      <c r="G71" t="s">
        <v>117</v>
      </c>
      <c r="H71" s="85" t="s">
        <v>63</v>
      </c>
      <c r="I71" t="s">
        <v>63</v>
      </c>
      <c r="J71" s="66" t="s">
        <v>119</v>
      </c>
      <c r="K71" t="s">
        <v>63</v>
      </c>
      <c r="L71" t="s">
        <v>372</v>
      </c>
      <c r="M71" s="52">
        <v>8000</v>
      </c>
      <c r="N71" t="s">
        <v>57</v>
      </c>
      <c r="O71" t="e" vm="1">
        <f ca="1">SUBSTITUTE(_xlfn.TRANSLATE(BAHTTEXT(Table1[[#This Row],[Montant]]),"th","fr")," bahts"," francs CFA")</f>
        <v>#NAME?</v>
      </c>
      <c r="P71" t="s">
        <v>122</v>
      </c>
      <c r="Q71" t="s">
        <v>63</v>
      </c>
      <c r="R71" t="s">
        <v>88</v>
      </c>
    </row>
    <row r="72" spans="2:18" hidden="1" x14ac:dyDescent="0.35">
      <c r="B72" s="63">
        <v>46251</v>
      </c>
      <c r="C72" t="s">
        <v>888</v>
      </c>
      <c r="D72" t="s">
        <v>82</v>
      </c>
      <c r="E72" t="s">
        <v>437</v>
      </c>
      <c r="F72" t="s">
        <v>234</v>
      </c>
      <c r="G72" t="s">
        <v>234</v>
      </c>
      <c r="H72" s="85" t="s">
        <v>63</v>
      </c>
      <c r="I72" t="s">
        <v>63</v>
      </c>
      <c r="J72" s="46" t="s">
        <v>63</v>
      </c>
      <c r="K72" t="s">
        <v>63</v>
      </c>
      <c r="L72" t="s">
        <v>889</v>
      </c>
      <c r="M72" s="52">
        <v>20875</v>
      </c>
      <c r="N72" t="s">
        <v>57</v>
      </c>
      <c r="O72" t="e" vm="1">
        <f ca="1">SUBSTITUTE(_xlfn.TRANSLATE(BAHTTEXT(Table1[[#This Row],[Montant]]),"th","fr")," bahts"," francs CFA")</f>
        <v>#NAME?</v>
      </c>
      <c r="P72" t="s">
        <v>87</v>
      </c>
      <c r="Q72" t="s">
        <v>63</v>
      </c>
      <c r="R72" t="s">
        <v>88</v>
      </c>
    </row>
    <row r="73" spans="2:18" hidden="1" x14ac:dyDescent="0.35">
      <c r="B73" s="63">
        <v>46252</v>
      </c>
      <c r="C73" t="s">
        <v>893</v>
      </c>
      <c r="D73" t="s">
        <v>82</v>
      </c>
      <c r="E73" t="s">
        <v>51</v>
      </c>
      <c r="F73" t="s">
        <v>264</v>
      </c>
      <c r="G73" t="s">
        <v>264</v>
      </c>
      <c r="H73" s="85">
        <v>20410262291725</v>
      </c>
      <c r="I73" s="36">
        <v>46581</v>
      </c>
      <c r="J73" s="46" t="s">
        <v>265</v>
      </c>
      <c r="K73" t="s">
        <v>63</v>
      </c>
      <c r="L73" t="s">
        <v>894</v>
      </c>
      <c r="M73" s="52">
        <v>200000</v>
      </c>
      <c r="N73" t="s">
        <v>57</v>
      </c>
      <c r="O73" t="s">
        <v>702</v>
      </c>
      <c r="P73" t="s">
        <v>87</v>
      </c>
      <c r="Q73" t="s">
        <v>63</v>
      </c>
      <c r="R73" t="s">
        <v>88</v>
      </c>
    </row>
    <row r="74" spans="2:18" hidden="1" x14ac:dyDescent="0.35">
      <c r="B74" s="63">
        <v>46254</v>
      </c>
      <c r="C74" t="s">
        <v>912</v>
      </c>
      <c r="D74" t="s">
        <v>51</v>
      </c>
      <c r="E74" t="s">
        <v>913</v>
      </c>
      <c r="F74" t="s">
        <v>347</v>
      </c>
      <c r="G74" t="s">
        <v>348</v>
      </c>
      <c r="H74" s="85">
        <v>7668041413</v>
      </c>
      <c r="I74" s="36">
        <v>46670</v>
      </c>
      <c r="J74" s="46" t="s">
        <v>346</v>
      </c>
      <c r="K74" t="s">
        <v>63</v>
      </c>
      <c r="L74" t="s">
        <v>914</v>
      </c>
      <c r="M74" s="52">
        <v>20000</v>
      </c>
      <c r="N74" t="s">
        <v>57</v>
      </c>
      <c r="O74" t="s">
        <v>159</v>
      </c>
      <c r="P74" t="s">
        <v>87</v>
      </c>
      <c r="R74" t="s">
        <v>88</v>
      </c>
    </row>
    <row r="75" spans="2:18" hidden="1" x14ac:dyDescent="0.35">
      <c r="B75" s="63">
        <v>46254</v>
      </c>
      <c r="C75" t="s">
        <v>918</v>
      </c>
      <c r="D75" t="s">
        <v>82</v>
      </c>
      <c r="E75" t="s">
        <v>51</v>
      </c>
      <c r="F75" t="s">
        <v>264</v>
      </c>
      <c r="G75" t="s">
        <v>264</v>
      </c>
      <c r="H75" s="85">
        <v>20410262291725</v>
      </c>
      <c r="I75" s="36">
        <v>46581</v>
      </c>
      <c r="J75" s="46" t="s">
        <v>265</v>
      </c>
      <c r="K75" t="s">
        <v>63</v>
      </c>
      <c r="L75" t="s">
        <v>919</v>
      </c>
      <c r="M75" s="52">
        <v>500000</v>
      </c>
      <c r="N75" t="s">
        <v>57</v>
      </c>
      <c r="O75" t="s">
        <v>920</v>
      </c>
      <c r="P75" t="s">
        <v>87</v>
      </c>
      <c r="Q75" t="s">
        <v>63</v>
      </c>
      <c r="R75" t="s">
        <v>88</v>
      </c>
    </row>
    <row r="76" spans="2:18" hidden="1" x14ac:dyDescent="0.35">
      <c r="B76" s="63">
        <v>46248</v>
      </c>
      <c r="C76" t="s">
        <v>932</v>
      </c>
      <c r="D76" t="s">
        <v>51</v>
      </c>
      <c r="E76" t="s">
        <v>116</v>
      </c>
      <c r="F76" t="s">
        <v>117</v>
      </c>
      <c r="G76" t="s">
        <v>117</v>
      </c>
      <c r="H76" s="85" t="s">
        <v>63</v>
      </c>
      <c r="I76" t="s">
        <v>63</v>
      </c>
      <c r="J76" s="66" t="s">
        <v>119</v>
      </c>
      <c r="K76" t="s">
        <v>927</v>
      </c>
      <c r="L76" t="s">
        <v>372</v>
      </c>
      <c r="M76" s="52">
        <v>63902</v>
      </c>
      <c r="N76" t="s">
        <v>57</v>
      </c>
      <c r="O76" t="e" vm="1">
        <f ca="1">SUBSTITUTE(_xlfn.TRANSLATE(BAHTTEXT(Table1[[#This Row],[Montant]]),"th","fr")," bahts"," francs CFA")</f>
        <v>#NAME?</v>
      </c>
      <c r="P76" t="s">
        <v>122</v>
      </c>
      <c r="Q76" t="s">
        <v>63</v>
      </c>
      <c r="R76" t="s">
        <v>88</v>
      </c>
    </row>
    <row r="77" spans="2:18" hidden="1" x14ac:dyDescent="0.35">
      <c r="B77" s="63">
        <v>46251</v>
      </c>
      <c r="C77" t="s">
        <v>933</v>
      </c>
      <c r="D77" t="s">
        <v>51</v>
      </c>
      <c r="E77" t="s">
        <v>116</v>
      </c>
      <c r="F77" t="s">
        <v>117</v>
      </c>
      <c r="G77" t="s">
        <v>117</v>
      </c>
      <c r="H77" s="85" t="s">
        <v>63</v>
      </c>
      <c r="I77" t="s">
        <v>63</v>
      </c>
      <c r="J77" s="66" t="s">
        <v>119</v>
      </c>
      <c r="K77" t="s">
        <v>928</v>
      </c>
      <c r="L77" t="s">
        <v>372</v>
      </c>
      <c r="M77" s="52">
        <v>63902</v>
      </c>
      <c r="N77" t="s">
        <v>57</v>
      </c>
      <c r="O77" t="e" vm="1">
        <f ca="1">SUBSTITUTE(_xlfn.TRANSLATE(BAHTTEXT(Table1[[#This Row],[Montant]]),"th","fr")," bahts"," francs CFA")</f>
        <v>#NAME?</v>
      </c>
      <c r="P77" t="s">
        <v>122</v>
      </c>
      <c r="Q77" t="s">
        <v>63</v>
      </c>
      <c r="R77" t="s">
        <v>88</v>
      </c>
    </row>
    <row r="78" spans="2:18" hidden="1" x14ac:dyDescent="0.35">
      <c r="B78" s="63">
        <v>46251</v>
      </c>
      <c r="C78" t="s">
        <v>934</v>
      </c>
      <c r="D78" t="s">
        <v>51</v>
      </c>
      <c r="E78" t="s">
        <v>116</v>
      </c>
      <c r="F78" t="s">
        <v>117</v>
      </c>
      <c r="G78" t="s">
        <v>117</v>
      </c>
      <c r="H78" s="85" t="s">
        <v>63</v>
      </c>
      <c r="I78" t="s">
        <v>63</v>
      </c>
      <c r="J78" s="66" t="s">
        <v>119</v>
      </c>
      <c r="K78" t="s">
        <v>929</v>
      </c>
      <c r="L78" t="s">
        <v>372</v>
      </c>
      <c r="M78" s="52">
        <v>63902</v>
      </c>
      <c r="N78" t="s">
        <v>57</v>
      </c>
      <c r="O78" t="e" vm="1">
        <f ca="1">SUBSTITUTE(_xlfn.TRANSLATE(BAHTTEXT(Table1[[#This Row],[Montant]]),"th","fr")," bahts"," francs CFA")</f>
        <v>#NAME?</v>
      </c>
      <c r="P78" t="s">
        <v>122</v>
      </c>
      <c r="Q78" t="s">
        <v>63</v>
      </c>
      <c r="R78" t="s">
        <v>88</v>
      </c>
    </row>
    <row r="79" spans="2:18" hidden="1" x14ac:dyDescent="0.35">
      <c r="B79" s="63">
        <v>46253</v>
      </c>
      <c r="C79" t="s">
        <v>935</v>
      </c>
      <c r="D79" t="s">
        <v>51</v>
      </c>
      <c r="E79" t="s">
        <v>51</v>
      </c>
      <c r="F79" t="s">
        <v>416</v>
      </c>
      <c r="G79" t="s">
        <v>416</v>
      </c>
      <c r="H79" s="85" t="s">
        <v>63</v>
      </c>
      <c r="I79" t="s">
        <v>63</v>
      </c>
      <c r="J79" s="46" t="s">
        <v>63</v>
      </c>
      <c r="K79" t="s">
        <v>930</v>
      </c>
      <c r="L79" t="s">
        <v>417</v>
      </c>
      <c r="M79" s="52">
        <v>1500000</v>
      </c>
      <c r="N79" t="s">
        <v>57</v>
      </c>
      <c r="O79" t="e" vm="1">
        <f ca="1">SUBSTITUTE(_xlfn.TRANSLATE(BAHTTEXT(Table1[[#This Row],[Montant]]),"th","fr")," bahts"," francs CFA")</f>
        <v>#NAME?</v>
      </c>
      <c r="P79" t="s">
        <v>130</v>
      </c>
      <c r="Q79" t="s">
        <v>63</v>
      </c>
      <c r="R79" t="s">
        <v>32</v>
      </c>
    </row>
    <row r="80" spans="2:18" hidden="1" x14ac:dyDescent="0.35">
      <c r="B80" s="63">
        <v>46255</v>
      </c>
      <c r="C80" t="s">
        <v>936</v>
      </c>
      <c r="D80" t="s">
        <v>51</v>
      </c>
      <c r="E80" t="s">
        <v>51</v>
      </c>
      <c r="F80" t="s">
        <v>551</v>
      </c>
      <c r="G80" t="s">
        <v>551</v>
      </c>
      <c r="H80" s="85" t="s">
        <v>63</v>
      </c>
      <c r="I80" t="s">
        <v>63</v>
      </c>
      <c r="J80" s="46" t="s">
        <v>63</v>
      </c>
      <c r="K80" t="s">
        <v>931</v>
      </c>
      <c r="L80" t="s">
        <v>701</v>
      </c>
      <c r="M80" s="52">
        <v>50000</v>
      </c>
      <c r="N80" t="s">
        <v>57</v>
      </c>
      <c r="O80" t="e" vm="1">
        <f ca="1">SUBSTITUTE(_xlfn.TRANSLATE(BAHTTEXT(Table1[[#This Row],[Montant]]),"th","fr")," bahts"," francs CFA")</f>
        <v>#NAME?</v>
      </c>
      <c r="P80" t="s">
        <v>122</v>
      </c>
      <c r="Q80" t="s">
        <v>63</v>
      </c>
      <c r="R80" t="s">
        <v>88</v>
      </c>
    </row>
    <row r="81" spans="2:18" hidden="1" x14ac:dyDescent="0.35">
      <c r="B81" s="63">
        <v>46255</v>
      </c>
      <c r="C81" t="s">
        <v>939</v>
      </c>
      <c r="D81" t="s">
        <v>28</v>
      </c>
      <c r="E81" t="s">
        <v>860</v>
      </c>
      <c r="F81" t="s">
        <v>937</v>
      </c>
      <c r="G81" t="s">
        <v>937</v>
      </c>
      <c r="H81" s="85">
        <v>20468091846526</v>
      </c>
      <c r="I81" s="36">
        <v>47930</v>
      </c>
      <c r="J81" s="46" t="s">
        <v>940</v>
      </c>
      <c r="K81" t="s">
        <v>938</v>
      </c>
      <c r="L81" t="s">
        <v>861</v>
      </c>
      <c r="M81" s="104">
        <v>200000</v>
      </c>
      <c r="N81" t="s">
        <v>47</v>
      </c>
      <c r="O81" t="s">
        <v>410</v>
      </c>
      <c r="P81" t="s">
        <v>87</v>
      </c>
      <c r="Q81" t="s">
        <v>63</v>
      </c>
      <c r="R81" t="s">
        <v>88</v>
      </c>
    </row>
    <row r="82" spans="2:18" hidden="1" x14ac:dyDescent="0.35">
      <c r="B82" s="63">
        <v>46255</v>
      </c>
      <c r="C82" t="s">
        <v>946</v>
      </c>
      <c r="D82" t="s">
        <v>82</v>
      </c>
      <c r="E82" t="s">
        <v>51</v>
      </c>
      <c r="F82" t="s">
        <v>264</v>
      </c>
      <c r="G82" t="s">
        <v>264</v>
      </c>
      <c r="H82" s="85">
        <v>20410262291725</v>
      </c>
      <c r="I82" s="36">
        <v>46581</v>
      </c>
      <c r="J82" s="46" t="s">
        <v>265</v>
      </c>
      <c r="K82" t="s">
        <v>63</v>
      </c>
      <c r="L82" t="s">
        <v>945</v>
      </c>
      <c r="M82" s="52">
        <v>100000</v>
      </c>
      <c r="N82" t="s">
        <v>57</v>
      </c>
      <c r="O82" t="s">
        <v>702</v>
      </c>
      <c r="P82" t="s">
        <v>87</v>
      </c>
      <c r="Q82" t="s">
        <v>63</v>
      </c>
      <c r="R82" t="s">
        <v>88</v>
      </c>
    </row>
    <row r="83" spans="2:18" hidden="1" x14ac:dyDescent="0.35">
      <c r="B83" s="63">
        <v>46258</v>
      </c>
      <c r="C83" t="s">
        <v>959</v>
      </c>
      <c r="D83" t="s">
        <v>82</v>
      </c>
      <c r="E83" t="s">
        <v>51</v>
      </c>
      <c r="F83" t="s">
        <v>264</v>
      </c>
      <c r="G83" t="s">
        <v>264</v>
      </c>
      <c r="H83" s="85">
        <v>20410262291725</v>
      </c>
      <c r="I83" s="36">
        <v>46581</v>
      </c>
      <c r="J83" s="46" t="s">
        <v>265</v>
      </c>
      <c r="K83" t="s">
        <v>63</v>
      </c>
      <c r="L83" t="s">
        <v>958</v>
      </c>
      <c r="M83" s="52">
        <v>300000</v>
      </c>
      <c r="N83" t="s">
        <v>57</v>
      </c>
      <c r="O83" t="e" vm="1">
        <f ca="1">SUBSTITUTE(_xlfn.TRANSLATE(BAHTTEXT(Table1[[#This Row],[Montant]]),"th","fr")," bahts"," francs CFA")</f>
        <v>#NAME?</v>
      </c>
      <c r="P83" t="s">
        <v>87</v>
      </c>
      <c r="Q83" t="s">
        <v>63</v>
      </c>
      <c r="R83" t="s">
        <v>88</v>
      </c>
    </row>
    <row r="84" spans="2:18" hidden="1" x14ac:dyDescent="0.35">
      <c r="B84" s="63">
        <v>46260</v>
      </c>
      <c r="C84" t="s">
        <v>974</v>
      </c>
      <c r="D84" t="s">
        <v>28</v>
      </c>
      <c r="E84" t="s">
        <v>860</v>
      </c>
      <c r="F84" t="s">
        <v>975</v>
      </c>
      <c r="G84" t="s">
        <v>970</v>
      </c>
      <c r="H84" s="85">
        <v>20278660572226</v>
      </c>
      <c r="I84" s="36">
        <v>48091</v>
      </c>
      <c r="J84" s="46" t="s">
        <v>972</v>
      </c>
      <c r="K84" t="s">
        <v>973</v>
      </c>
      <c r="L84" t="s">
        <v>861</v>
      </c>
      <c r="M84" s="104">
        <v>100000</v>
      </c>
      <c r="N84" t="s">
        <v>47</v>
      </c>
      <c r="O84" t="s">
        <v>702</v>
      </c>
      <c r="P84" t="s">
        <v>87</v>
      </c>
      <c r="Q84" t="s">
        <v>63</v>
      </c>
      <c r="R84" t="s">
        <v>88</v>
      </c>
    </row>
    <row r="85" spans="2:18" x14ac:dyDescent="0.35">
      <c r="B85" s="63">
        <v>46260</v>
      </c>
      <c r="C85" t="s">
        <v>1001</v>
      </c>
      <c r="D85" t="s">
        <v>28</v>
      </c>
      <c r="E85" t="s">
        <v>860</v>
      </c>
      <c r="F85" t="s">
        <v>986</v>
      </c>
      <c r="G85" t="s">
        <v>987</v>
      </c>
      <c r="H85" s="85">
        <v>20411113178625</v>
      </c>
      <c r="I85" s="36">
        <v>46585</v>
      </c>
      <c r="J85" s="46" t="s">
        <v>988</v>
      </c>
      <c r="K85" t="s">
        <v>989</v>
      </c>
      <c r="L85" t="s">
        <v>861</v>
      </c>
      <c r="M85" s="104">
        <v>5000000</v>
      </c>
      <c r="N85" t="s">
        <v>47</v>
      </c>
      <c r="O85" t="e" vm="1">
        <f ca="1">SUBSTITUTE(_xlfn.TRANSLATE(BAHTTEXT(Table1[[#This Row],[Montant]]),"th","fr")," bahts"," francs CFA")</f>
        <v>#NAME?</v>
      </c>
      <c r="P85" t="s">
        <v>87</v>
      </c>
      <c r="Q85" t="s">
        <v>63</v>
      </c>
      <c r="R85" t="s">
        <v>88</v>
      </c>
    </row>
    <row r="86" spans="2:18" hidden="1" x14ac:dyDescent="0.35">
      <c r="B86" s="63">
        <v>46260</v>
      </c>
      <c r="C86" t="s">
        <v>1003</v>
      </c>
      <c r="D86" t="s">
        <v>82</v>
      </c>
      <c r="E86" t="s">
        <v>437</v>
      </c>
      <c r="F86" t="s">
        <v>234</v>
      </c>
      <c r="G86" t="s">
        <v>234</v>
      </c>
      <c r="H86" s="85" t="s">
        <v>63</v>
      </c>
      <c r="I86" t="s">
        <v>63</v>
      </c>
      <c r="J86" s="46" t="s">
        <v>63</v>
      </c>
      <c r="K86" t="s">
        <v>63</v>
      </c>
      <c r="L86" t="s">
        <v>1002</v>
      </c>
      <c r="M86" s="52">
        <v>20802</v>
      </c>
      <c r="N86" t="s">
        <v>57</v>
      </c>
      <c r="O86" t="e" vm="1">
        <f ca="1">SUBSTITUTE(_xlfn.TRANSLATE(BAHTTEXT(Table1[[#This Row],[Montant]]),"th","fr")," bahts"," francs CFA")</f>
        <v>#NAME?</v>
      </c>
      <c r="P86" t="s">
        <v>87</v>
      </c>
      <c r="Q86" t="s">
        <v>63</v>
      </c>
      <c r="R86" t="s">
        <v>88</v>
      </c>
    </row>
    <row r="87" spans="2:18" hidden="1" x14ac:dyDescent="0.35">
      <c r="B87" s="63">
        <v>46261</v>
      </c>
      <c r="C87" t="s">
        <v>1006</v>
      </c>
      <c r="D87" t="s">
        <v>51</v>
      </c>
      <c r="E87" t="s">
        <v>116</v>
      </c>
      <c r="F87" t="s">
        <v>117</v>
      </c>
      <c r="G87" t="s">
        <v>117</v>
      </c>
      <c r="H87" s="85" t="s">
        <v>63</v>
      </c>
      <c r="I87" t="s">
        <v>63</v>
      </c>
      <c r="J87" s="66" t="s">
        <v>119</v>
      </c>
      <c r="K87" t="s">
        <v>1004</v>
      </c>
      <c r="L87" t="s">
        <v>372</v>
      </c>
      <c r="M87" s="52">
        <v>63902</v>
      </c>
      <c r="N87" t="s">
        <v>57</v>
      </c>
      <c r="O87" t="e" vm="1">
        <f ca="1">SUBSTITUTE(_xlfn.TRANSLATE(BAHTTEXT(Table1[[#This Row],[Montant]]),"th","fr")," bahts"," francs CFA")</f>
        <v>#NAME?</v>
      </c>
      <c r="P87" t="s">
        <v>122</v>
      </c>
      <c r="Q87" t="s">
        <v>63</v>
      </c>
      <c r="R87" t="s">
        <v>88</v>
      </c>
    </row>
    <row r="88" spans="2:18" hidden="1" x14ac:dyDescent="0.35">
      <c r="B88" s="63">
        <v>46258</v>
      </c>
      <c r="C88" t="s">
        <v>1007</v>
      </c>
      <c r="D88" t="s">
        <v>51</v>
      </c>
      <c r="E88" t="s">
        <v>116</v>
      </c>
      <c r="F88" t="s">
        <v>117</v>
      </c>
      <c r="G88" t="s">
        <v>117</v>
      </c>
      <c r="H88" s="85" t="s">
        <v>63</v>
      </c>
      <c r="I88" t="s">
        <v>63</v>
      </c>
      <c r="J88" s="66" t="s">
        <v>119</v>
      </c>
      <c r="K88" t="s">
        <v>1005</v>
      </c>
      <c r="L88" t="s">
        <v>372</v>
      </c>
      <c r="M88" s="52">
        <v>63902</v>
      </c>
      <c r="N88" t="s">
        <v>57</v>
      </c>
      <c r="O88" t="e" vm="1">
        <f ca="1">SUBSTITUTE(_xlfn.TRANSLATE(BAHTTEXT(Table1[[#This Row],[Montant]]),"th","fr")," bahts"," francs CFA")</f>
        <v>#NAME?</v>
      </c>
      <c r="P88" t="s">
        <v>122</v>
      </c>
      <c r="Q88" t="s">
        <v>63</v>
      </c>
      <c r="R88" t="s">
        <v>88</v>
      </c>
    </row>
    <row r="89" spans="2:18" hidden="1" x14ac:dyDescent="0.35">
      <c r="B89" s="63">
        <v>46258</v>
      </c>
      <c r="C89" t="s">
        <v>1008</v>
      </c>
      <c r="D89" t="s">
        <v>51</v>
      </c>
      <c r="E89" t="s">
        <v>51</v>
      </c>
      <c r="F89" t="s">
        <v>352</v>
      </c>
      <c r="G89" t="s">
        <v>352</v>
      </c>
      <c r="H89" s="85" t="s">
        <v>63</v>
      </c>
      <c r="I89" t="s">
        <v>63</v>
      </c>
      <c r="J89" s="46" t="s">
        <v>63</v>
      </c>
      <c r="K89" t="s">
        <v>63</v>
      </c>
      <c r="L89" t="s">
        <v>1009</v>
      </c>
      <c r="M89" s="52">
        <v>15000</v>
      </c>
      <c r="N89" t="s">
        <v>57</v>
      </c>
      <c r="O89" t="e" vm="1">
        <f ca="1">SUBSTITUTE(_xlfn.TRANSLATE(BAHTTEXT(Table1[[#This Row],[Montant]]),"th","fr")," bahts"," francs CFA")</f>
        <v>#NAME?</v>
      </c>
      <c r="P89" t="s">
        <v>87</v>
      </c>
      <c r="Q89" t="s">
        <v>63</v>
      </c>
      <c r="R89" t="s">
        <v>88</v>
      </c>
    </row>
    <row r="90" spans="2:18" hidden="1" x14ac:dyDescent="0.35">
      <c r="B90" s="63">
        <v>46259</v>
      </c>
      <c r="C90" t="s">
        <v>1012</v>
      </c>
      <c r="D90" t="s">
        <v>51</v>
      </c>
      <c r="E90" t="s">
        <v>51</v>
      </c>
      <c r="F90" t="s">
        <v>551</v>
      </c>
      <c r="G90" t="s">
        <v>551</v>
      </c>
      <c r="H90" s="85" t="s">
        <v>63</v>
      </c>
      <c r="I90" t="s">
        <v>63</v>
      </c>
      <c r="J90" s="46" t="s">
        <v>63</v>
      </c>
      <c r="K90" t="s">
        <v>1010</v>
      </c>
      <c r="L90" t="s">
        <v>1011</v>
      </c>
      <c r="M90" s="52">
        <v>20200</v>
      </c>
      <c r="N90" t="s">
        <v>57</v>
      </c>
      <c r="O90" t="e" vm="1">
        <f ca="1">SUBSTITUTE(_xlfn.TRANSLATE(BAHTTEXT(Table1[[#This Row],[Montant]]),"th","fr")," bahts"," francs CFA")</f>
        <v>#NAME?</v>
      </c>
      <c r="P90" t="s">
        <v>122</v>
      </c>
      <c r="Q90" t="s">
        <v>63</v>
      </c>
      <c r="R90" t="s">
        <v>88</v>
      </c>
    </row>
    <row r="91" spans="2:18" hidden="1" x14ac:dyDescent="0.35">
      <c r="B91" s="63">
        <v>46256</v>
      </c>
      <c r="C91" t="s">
        <v>1013</v>
      </c>
      <c r="D91" t="s">
        <v>51</v>
      </c>
      <c r="E91" t="s">
        <v>51</v>
      </c>
      <c r="F91" t="s">
        <v>1014</v>
      </c>
      <c r="G91" t="s">
        <v>1014</v>
      </c>
      <c r="H91" s="85" t="s">
        <v>63</v>
      </c>
      <c r="I91" t="s">
        <v>63</v>
      </c>
      <c r="J91" s="46" t="s">
        <v>63</v>
      </c>
      <c r="K91" t="s">
        <v>1015</v>
      </c>
      <c r="L91" t="s">
        <v>1016</v>
      </c>
      <c r="M91" s="52">
        <v>135000</v>
      </c>
      <c r="N91" t="s">
        <v>57</v>
      </c>
      <c r="O91" t="e" vm="1">
        <f ca="1">SUBSTITUTE(_xlfn.TRANSLATE(BAHTTEXT(Table1[[#This Row],[Montant]]),"th","fr")," bahts"," francs CFA")</f>
        <v>#NAME?</v>
      </c>
      <c r="P91" t="s">
        <v>87</v>
      </c>
      <c r="Q91" t="s">
        <v>63</v>
      </c>
      <c r="R91" t="s">
        <v>88</v>
      </c>
    </row>
    <row r="92" spans="2:18" hidden="1" x14ac:dyDescent="0.35">
      <c r="B92" s="63">
        <v>46261</v>
      </c>
      <c r="C92" t="s">
        <v>1022</v>
      </c>
      <c r="D92" t="s">
        <v>51</v>
      </c>
      <c r="E92" t="s">
        <v>116</v>
      </c>
      <c r="F92" t="s">
        <v>117</v>
      </c>
      <c r="G92" t="s">
        <v>117</v>
      </c>
      <c r="H92" s="85" t="s">
        <v>63</v>
      </c>
      <c r="I92" t="s">
        <v>63</v>
      </c>
      <c r="J92" s="66" t="s">
        <v>119</v>
      </c>
      <c r="K92" t="s">
        <v>1021</v>
      </c>
      <c r="L92" t="s">
        <v>372</v>
      </c>
      <c r="M92" s="52">
        <v>142806</v>
      </c>
      <c r="N92" t="s">
        <v>57</v>
      </c>
      <c r="O92" t="e" vm="1">
        <f ca="1">SUBSTITUTE(_xlfn.TRANSLATE(BAHTTEXT(Table1[[#This Row],[Montant]]),"th","fr")," bahts"," francs CFA")</f>
        <v>#NAME?</v>
      </c>
      <c r="P92" t="s">
        <v>122</v>
      </c>
      <c r="Q92" t="s">
        <v>63</v>
      </c>
      <c r="R92" t="s">
        <v>88</v>
      </c>
    </row>
    <row r="93" spans="2:18" hidden="1" x14ac:dyDescent="0.35">
      <c r="B93" s="63">
        <v>46263</v>
      </c>
      <c r="C93" t="s">
        <v>1024</v>
      </c>
      <c r="D93" t="s">
        <v>28</v>
      </c>
      <c r="E93" t="s">
        <v>860</v>
      </c>
      <c r="F93" t="s">
        <v>900</v>
      </c>
      <c r="G93" t="s">
        <v>956</v>
      </c>
      <c r="H93" s="85">
        <v>100160634</v>
      </c>
      <c r="I93" s="36">
        <v>46573</v>
      </c>
      <c r="J93" s="46" t="s">
        <v>63</v>
      </c>
      <c r="K93" t="s">
        <v>1023</v>
      </c>
      <c r="L93" t="s">
        <v>861</v>
      </c>
      <c r="M93" s="105">
        <v>1000000</v>
      </c>
      <c r="N93" t="s">
        <v>47</v>
      </c>
      <c r="O93" t="e" vm="1">
        <f ca="1">SUBSTITUTE(_xlfn.TRANSLATE(BAHTTEXT(Table1[[#This Row],[Montant]]),"th","fr")," bahts"," francs CFA")</f>
        <v>#NAME?</v>
      </c>
      <c r="P93" t="s">
        <v>122</v>
      </c>
      <c r="Q93" t="s">
        <v>63</v>
      </c>
      <c r="R93" t="s">
        <v>88</v>
      </c>
    </row>
    <row r="94" spans="2:18" hidden="1" x14ac:dyDescent="0.35">
      <c r="B94" s="63">
        <v>46266</v>
      </c>
      <c r="C94" t="s">
        <v>1026</v>
      </c>
      <c r="D94" t="s">
        <v>82</v>
      </c>
      <c r="E94" t="s">
        <v>51</v>
      </c>
      <c r="F94" t="s">
        <v>264</v>
      </c>
      <c r="G94" t="s">
        <v>264</v>
      </c>
      <c r="H94" s="85">
        <v>20410262291725</v>
      </c>
      <c r="I94" s="36">
        <v>46581</v>
      </c>
      <c r="J94" s="46" t="s">
        <v>265</v>
      </c>
      <c r="K94" t="s">
        <v>63</v>
      </c>
      <c r="L94" t="s">
        <v>1025</v>
      </c>
      <c r="M94" s="52">
        <v>200000</v>
      </c>
      <c r="N94" t="s">
        <v>57</v>
      </c>
      <c r="O94" t="s">
        <v>410</v>
      </c>
      <c r="P94" t="s">
        <v>87</v>
      </c>
      <c r="Q94" t="s">
        <v>63</v>
      </c>
      <c r="R94" t="s">
        <v>88</v>
      </c>
    </row>
    <row r="95" spans="2:18" hidden="1" x14ac:dyDescent="0.35">
      <c r="B95" s="63">
        <v>46266</v>
      </c>
      <c r="C95" t="s">
        <v>1028</v>
      </c>
      <c r="D95" t="s">
        <v>82</v>
      </c>
      <c r="E95" t="s">
        <v>115</v>
      </c>
      <c r="F95" t="s">
        <v>743</v>
      </c>
      <c r="G95" t="s">
        <v>743</v>
      </c>
      <c r="H95" s="85" t="s">
        <v>63</v>
      </c>
      <c r="I95" t="s">
        <v>63</v>
      </c>
      <c r="J95" s="46" t="s">
        <v>63</v>
      </c>
      <c r="K95" t="s">
        <v>63</v>
      </c>
      <c r="L95" t="s">
        <v>1027</v>
      </c>
      <c r="M95" s="52">
        <v>4261061</v>
      </c>
      <c r="N95" t="s">
        <v>57</v>
      </c>
      <c r="O95" t="e" vm="1">
        <f ca="1">SUBSTITUTE(_xlfn.TRANSLATE(BAHTTEXT(Table1[[#This Row],[Montant]]),"th","fr")," bahts"," francs CFA")</f>
        <v>#NAME?</v>
      </c>
      <c r="P95" t="s">
        <v>87</v>
      </c>
      <c r="Q95" t="s">
        <v>63</v>
      </c>
      <c r="R95" t="s">
        <v>88</v>
      </c>
    </row>
    <row r="96" spans="2:18" hidden="1" x14ac:dyDescent="0.35">
      <c r="B96" s="63">
        <v>46267</v>
      </c>
      <c r="C96" t="s">
        <v>1030</v>
      </c>
      <c r="D96" t="s">
        <v>82</v>
      </c>
      <c r="E96" t="s">
        <v>115</v>
      </c>
      <c r="F96" t="s">
        <v>743</v>
      </c>
      <c r="G96" t="s">
        <v>743</v>
      </c>
      <c r="H96" s="85" t="s">
        <v>63</v>
      </c>
      <c r="I96" t="s">
        <v>63</v>
      </c>
      <c r="J96" s="46" t="s">
        <v>63</v>
      </c>
      <c r="K96" t="s">
        <v>63</v>
      </c>
      <c r="L96" t="s">
        <v>1029</v>
      </c>
      <c r="M96" s="52">
        <v>1625442</v>
      </c>
      <c r="N96" t="s">
        <v>57</v>
      </c>
      <c r="O96" t="e" vm="1">
        <f ca="1">SUBSTITUTE(_xlfn.TRANSLATE(BAHTTEXT(Table1[[#This Row],[Montant]]),"th","fr")," bahts"," francs CFA")</f>
        <v>#NAME?</v>
      </c>
      <c r="P96" t="s">
        <v>87</v>
      </c>
      <c r="Q96" t="s">
        <v>63</v>
      </c>
      <c r="R96" t="s">
        <v>88</v>
      </c>
    </row>
    <row r="97" spans="2:18" hidden="1" x14ac:dyDescent="0.35">
      <c r="B97" s="63">
        <v>46267</v>
      </c>
      <c r="C97" t="s">
        <v>1031</v>
      </c>
      <c r="D97" t="s">
        <v>82</v>
      </c>
      <c r="E97" t="s">
        <v>115</v>
      </c>
      <c r="F97" t="s">
        <v>743</v>
      </c>
      <c r="G97" t="s">
        <v>743</v>
      </c>
      <c r="H97" s="85" t="s">
        <v>63</v>
      </c>
      <c r="I97" t="s">
        <v>63</v>
      </c>
      <c r="J97" s="46" t="s">
        <v>63</v>
      </c>
      <c r="K97" t="s">
        <v>63</v>
      </c>
      <c r="L97" t="s">
        <v>1032</v>
      </c>
      <c r="M97" s="52">
        <v>132705</v>
      </c>
      <c r="N97" t="s">
        <v>57</v>
      </c>
      <c r="O97" t="e" vm="1">
        <f ca="1">SUBSTITUTE(_xlfn.TRANSLATE(BAHTTEXT(Table1[[#This Row],[Montant]]),"th","fr")," bahts"," francs CFA")</f>
        <v>#NAME?</v>
      </c>
      <c r="P97" t="s">
        <v>87</v>
      </c>
      <c r="Q97" t="s">
        <v>63</v>
      </c>
      <c r="R97" t="s">
        <v>88</v>
      </c>
    </row>
    <row r="98" spans="2:18" hidden="1" x14ac:dyDescent="0.35">
      <c r="B98" s="63">
        <v>46267</v>
      </c>
      <c r="C98" t="s">
        <v>1034</v>
      </c>
      <c r="D98" t="s">
        <v>51</v>
      </c>
      <c r="E98" t="s">
        <v>51</v>
      </c>
      <c r="F98" t="s">
        <v>551</v>
      </c>
      <c r="G98" t="s">
        <v>551</v>
      </c>
      <c r="H98" s="85" t="s">
        <v>63</v>
      </c>
      <c r="I98" t="s">
        <v>63</v>
      </c>
      <c r="J98" s="46" t="s">
        <v>63</v>
      </c>
      <c r="K98" t="s">
        <v>1067</v>
      </c>
      <c r="L98" t="s">
        <v>731</v>
      </c>
      <c r="M98" s="52">
        <v>100000</v>
      </c>
      <c r="N98" t="s">
        <v>57</v>
      </c>
      <c r="O98" t="s">
        <v>702</v>
      </c>
      <c r="P98" t="s">
        <v>87</v>
      </c>
      <c r="Q98" t="s">
        <v>63</v>
      </c>
      <c r="R98" t="s">
        <v>88</v>
      </c>
    </row>
    <row r="99" spans="2:18" hidden="1" x14ac:dyDescent="0.35">
      <c r="B99" s="63">
        <v>46268</v>
      </c>
      <c r="C99" t="s">
        <v>1077</v>
      </c>
      <c r="D99" t="s">
        <v>1076</v>
      </c>
      <c r="E99" t="s">
        <v>1076</v>
      </c>
      <c r="F99" t="s">
        <v>352</v>
      </c>
      <c r="G99" t="s">
        <v>254</v>
      </c>
      <c r="H99" s="85">
        <v>8188560503</v>
      </c>
      <c r="I99" s="65">
        <v>48094</v>
      </c>
      <c r="J99" s="46" t="s">
        <v>277</v>
      </c>
      <c r="K99" t="s">
        <v>63</v>
      </c>
      <c r="L99" t="s">
        <v>1075</v>
      </c>
      <c r="M99" s="52">
        <v>1000000</v>
      </c>
      <c r="N99" t="s">
        <v>57</v>
      </c>
      <c r="O99" t="e" vm="1">
        <f ca="1">SUBSTITUTE(_xlfn.TRANSLATE(BAHTTEXT(Table1[[#This Row],[Montant]]),"th","fr")," bahts"," francs CFA")</f>
        <v>#NAME?</v>
      </c>
      <c r="P99" t="s">
        <v>87</v>
      </c>
      <c r="Q99" t="s">
        <v>63</v>
      </c>
      <c r="R99" t="s">
        <v>88</v>
      </c>
    </row>
    <row r="100" spans="2:18" hidden="1" x14ac:dyDescent="0.35">
      <c r="B100" s="63">
        <v>46268</v>
      </c>
      <c r="C100" t="s">
        <v>1078</v>
      </c>
      <c r="D100" t="s">
        <v>82</v>
      </c>
      <c r="E100" t="s">
        <v>115</v>
      </c>
      <c r="F100" t="s">
        <v>743</v>
      </c>
      <c r="G100" t="s">
        <v>743</v>
      </c>
      <c r="H100" s="85" t="s">
        <v>63</v>
      </c>
      <c r="I100" t="s">
        <v>63</v>
      </c>
      <c r="J100" s="46" t="s">
        <v>63</v>
      </c>
      <c r="K100" t="s">
        <v>63</v>
      </c>
      <c r="L100" t="s">
        <v>1079</v>
      </c>
      <c r="M100" s="52">
        <v>44235</v>
      </c>
      <c r="N100" t="s">
        <v>57</v>
      </c>
      <c r="O100" t="e" vm="1">
        <f ca="1">SUBSTITUTE(_xlfn.TRANSLATE(BAHTTEXT(Table1[[#This Row],[Montant]]),"th","fr")," bahts"," francs CFA")</f>
        <v>#NAME?</v>
      </c>
      <c r="P100" t="s">
        <v>87</v>
      </c>
      <c r="Q100" t="s">
        <v>63</v>
      </c>
      <c r="R100" t="s">
        <v>88</v>
      </c>
    </row>
    <row r="101" spans="2:18" hidden="1" x14ac:dyDescent="0.35">
      <c r="B101" s="63">
        <v>46268</v>
      </c>
      <c r="C101" t="s">
        <v>1083</v>
      </c>
      <c r="D101" t="s">
        <v>82</v>
      </c>
      <c r="E101" t="s">
        <v>437</v>
      </c>
      <c r="F101" t="s">
        <v>234</v>
      </c>
      <c r="G101" t="s">
        <v>234</v>
      </c>
      <c r="H101" s="85" t="s">
        <v>63</v>
      </c>
      <c r="I101" t="s">
        <v>63</v>
      </c>
      <c r="J101" s="46" t="s">
        <v>63</v>
      </c>
      <c r="K101" t="s">
        <v>63</v>
      </c>
      <c r="L101" t="s">
        <v>1082</v>
      </c>
      <c r="M101" s="52">
        <v>41184</v>
      </c>
      <c r="N101" t="s">
        <v>57</v>
      </c>
      <c r="O101" t="e" vm="1">
        <f ca="1">SUBSTITUTE(_xlfn.TRANSLATE(BAHTTEXT(Table1[[#This Row],[Montant]]),"th","fr")," bahts"," francs CFA")</f>
        <v>#NAME?</v>
      </c>
      <c r="P101" t="s">
        <v>87</v>
      </c>
      <c r="Q101" t="s">
        <v>63</v>
      </c>
      <c r="R101" t="s">
        <v>88</v>
      </c>
    </row>
    <row r="102" spans="2:18" hidden="1" x14ac:dyDescent="0.35">
      <c r="B102" s="63">
        <v>46262</v>
      </c>
      <c r="C102" t="s">
        <v>1085</v>
      </c>
      <c r="D102" t="s">
        <v>51</v>
      </c>
      <c r="E102" t="s">
        <v>116</v>
      </c>
      <c r="F102" t="s">
        <v>117</v>
      </c>
      <c r="G102" t="s">
        <v>117</v>
      </c>
      <c r="H102" s="85" t="s">
        <v>63</v>
      </c>
      <c r="I102" t="s">
        <v>63</v>
      </c>
      <c r="J102" s="66" t="s">
        <v>119</v>
      </c>
      <c r="K102" t="s">
        <v>1084</v>
      </c>
      <c r="L102" t="s">
        <v>372</v>
      </c>
      <c r="M102" s="52">
        <v>63902</v>
      </c>
      <c r="N102" t="s">
        <v>57</v>
      </c>
      <c r="O102" t="e" vm="1">
        <f ca="1">SUBSTITUTE(_xlfn.TRANSLATE(BAHTTEXT(Table1[[#This Row],[Montant]]),"th","fr")," bahts"," francs CFA")</f>
        <v>#NAME?</v>
      </c>
      <c r="P102" t="s">
        <v>122</v>
      </c>
      <c r="Q102" t="s">
        <v>63</v>
      </c>
      <c r="R102" t="s">
        <v>88</v>
      </c>
    </row>
    <row r="103" spans="2:18" hidden="1" x14ac:dyDescent="0.35">
      <c r="B103" s="63">
        <v>46262</v>
      </c>
      <c r="C103" t="s">
        <v>1086</v>
      </c>
      <c r="D103" t="s">
        <v>51</v>
      </c>
      <c r="E103" t="s">
        <v>116</v>
      </c>
      <c r="F103" t="s">
        <v>117</v>
      </c>
      <c r="G103" t="s">
        <v>117</v>
      </c>
      <c r="H103" s="85" t="s">
        <v>63</v>
      </c>
      <c r="I103" t="s">
        <v>63</v>
      </c>
      <c r="J103" s="66" t="s">
        <v>119</v>
      </c>
      <c r="K103" t="s">
        <v>1087</v>
      </c>
      <c r="L103" t="s">
        <v>372</v>
      </c>
      <c r="M103" s="52">
        <v>191706</v>
      </c>
      <c r="N103" t="s">
        <v>57</v>
      </c>
      <c r="O103" t="e" vm="1">
        <f ca="1">SUBSTITUTE(_xlfn.TRANSLATE(BAHTTEXT(Table1[[#This Row],[Montant]]),"th","fr")," bahts"," francs CFA")</f>
        <v>#NAME?</v>
      </c>
      <c r="P103" t="s">
        <v>122</v>
      </c>
      <c r="Q103" t="s">
        <v>63</v>
      </c>
      <c r="R103" t="s">
        <v>88</v>
      </c>
    </row>
    <row r="104" spans="2:18" hidden="1" x14ac:dyDescent="0.35">
      <c r="B104" s="63">
        <v>46269</v>
      </c>
      <c r="C104" t="s">
        <v>1092</v>
      </c>
      <c r="D104" t="s">
        <v>28</v>
      </c>
      <c r="E104" t="s">
        <v>860</v>
      </c>
      <c r="F104" t="s">
        <v>900</v>
      </c>
      <c r="G104" t="s">
        <v>900</v>
      </c>
      <c r="H104" s="85" t="s">
        <v>924</v>
      </c>
      <c r="I104" s="36">
        <v>47393</v>
      </c>
      <c r="J104" s="46" t="s">
        <v>63</v>
      </c>
      <c r="K104" t="s">
        <v>1023</v>
      </c>
      <c r="L104" t="s">
        <v>861</v>
      </c>
      <c r="M104" s="105">
        <v>5000000</v>
      </c>
      <c r="N104" t="s">
        <v>47</v>
      </c>
      <c r="O104" t="e" vm="1">
        <f ca="1">SUBSTITUTE(_xlfn.TRANSLATE(BAHTTEXT(Table1[[#This Row],[Montant]]),"th","fr")," bahts"," francs CFA")</f>
        <v>#NAME?</v>
      </c>
      <c r="P104" t="s">
        <v>87</v>
      </c>
      <c r="Q104" t="s">
        <v>63</v>
      </c>
      <c r="R104" t="s">
        <v>88</v>
      </c>
    </row>
    <row r="105" spans="2:18" hidden="1" x14ac:dyDescent="0.35">
      <c r="B105" s="63">
        <v>46269</v>
      </c>
      <c r="C105" t="s">
        <v>1093</v>
      </c>
      <c r="D105" t="s">
        <v>28</v>
      </c>
      <c r="E105" t="s">
        <v>860</v>
      </c>
      <c r="F105" t="s">
        <v>46</v>
      </c>
      <c r="G105" t="s">
        <v>46</v>
      </c>
      <c r="H105" s="85">
        <v>1115119742</v>
      </c>
      <c r="I105" s="36">
        <v>46622</v>
      </c>
      <c r="J105" s="46" t="s">
        <v>48</v>
      </c>
      <c r="K105" t="s">
        <v>1094</v>
      </c>
      <c r="L105" t="s">
        <v>861</v>
      </c>
      <c r="M105" s="105">
        <v>15282700</v>
      </c>
      <c r="N105" t="s">
        <v>57</v>
      </c>
      <c r="O105" t="e" vm="1">
        <f ca="1">SUBSTITUTE(_xlfn.TRANSLATE(BAHTTEXT(Table1[[#This Row],[Montant]]),"th","fr")," bahts"," francs CFA")</f>
        <v>#NAME?</v>
      </c>
      <c r="P105" t="s">
        <v>87</v>
      </c>
      <c r="Q105" t="s">
        <v>63</v>
      </c>
      <c r="R105" t="s">
        <v>88</v>
      </c>
    </row>
    <row r="106" spans="2:18" hidden="1" x14ac:dyDescent="0.35">
      <c r="B106" s="63">
        <v>46268</v>
      </c>
      <c r="C106" t="s">
        <v>1099</v>
      </c>
      <c r="D106" t="s">
        <v>51</v>
      </c>
      <c r="E106" t="s">
        <v>51</v>
      </c>
      <c r="F106" t="s">
        <v>1095</v>
      </c>
      <c r="G106" t="s">
        <v>1095</v>
      </c>
      <c r="H106" s="85" t="s">
        <v>63</v>
      </c>
      <c r="I106" t="s">
        <v>63</v>
      </c>
      <c r="J106" s="46" t="s">
        <v>63</v>
      </c>
      <c r="K106" t="s">
        <v>1096</v>
      </c>
      <c r="L106" t="s">
        <v>1097</v>
      </c>
      <c r="M106" s="52">
        <v>15915</v>
      </c>
      <c r="N106" t="s">
        <v>57</v>
      </c>
      <c r="O106" t="e" vm="1">
        <f ca="1">SUBSTITUTE(_xlfn.TRANSLATE(BAHTTEXT(Table1[[#This Row],[Montant]]),"th","fr")," bahts"," francs CFA")</f>
        <v>#NAME?</v>
      </c>
      <c r="P106" t="s">
        <v>87</v>
      </c>
      <c r="Q106" t="s">
        <v>63</v>
      </c>
      <c r="R106" t="s">
        <v>88</v>
      </c>
    </row>
    <row r="107" spans="2:18" s="80" customFormat="1" hidden="1" x14ac:dyDescent="0.35">
      <c r="B107" s="63">
        <v>46269</v>
      </c>
      <c r="C107" t="s">
        <v>1100</v>
      </c>
      <c r="D107" t="s">
        <v>51</v>
      </c>
      <c r="E107" t="s">
        <v>116</v>
      </c>
      <c r="F107" t="s">
        <v>117</v>
      </c>
      <c r="G107" t="s">
        <v>117</v>
      </c>
      <c r="H107" s="85" t="s">
        <v>63</v>
      </c>
      <c r="I107" t="s">
        <v>63</v>
      </c>
      <c r="J107" s="66" t="s">
        <v>119</v>
      </c>
      <c r="K107" t="s">
        <v>1098</v>
      </c>
      <c r="L107" t="s">
        <v>372</v>
      </c>
      <c r="M107" s="52">
        <v>63902</v>
      </c>
      <c r="N107" t="s">
        <v>57</v>
      </c>
      <c r="O107" t="e" vm="1">
        <f ca="1">SUBSTITUTE(_xlfn.TRANSLATE(BAHTTEXT(Table1[[#This Row],[Montant]]),"th","fr")," bahts"," francs CFA")</f>
        <v>#NAME?</v>
      </c>
      <c r="P107" t="s">
        <v>122</v>
      </c>
      <c r="Q107" t="s">
        <v>63</v>
      </c>
      <c r="R107" t="s">
        <v>88</v>
      </c>
    </row>
    <row r="108" spans="2:18" x14ac:dyDescent="0.35">
      <c r="B108" s="63">
        <v>46270</v>
      </c>
      <c r="C108" t="s">
        <v>1101</v>
      </c>
      <c r="D108" t="s">
        <v>28</v>
      </c>
      <c r="E108" t="s">
        <v>860</v>
      </c>
      <c r="F108" t="s">
        <v>986</v>
      </c>
      <c r="G108" t="s">
        <v>987</v>
      </c>
      <c r="H108" s="85">
        <v>20411113178625</v>
      </c>
      <c r="I108" s="36">
        <v>46585</v>
      </c>
      <c r="J108" s="46" t="s">
        <v>988</v>
      </c>
      <c r="K108" t="s">
        <v>1132</v>
      </c>
      <c r="L108" t="s">
        <v>861</v>
      </c>
      <c r="M108" s="105">
        <v>11655200</v>
      </c>
      <c r="N108" t="s">
        <v>57</v>
      </c>
      <c r="O108" t="e" vm="1">
        <f ca="1">SUBSTITUTE(_xlfn.TRANSLATE(BAHTTEXT(Table1[[#This Row],[Montant]]),"th","fr")," bahts"," francs CFA")</f>
        <v>#NAME?</v>
      </c>
      <c r="P108" t="s">
        <v>87</v>
      </c>
      <c r="Q108" t="s">
        <v>63</v>
      </c>
      <c r="R108" t="s">
        <v>88</v>
      </c>
    </row>
    <row r="109" spans="2:18" hidden="1" x14ac:dyDescent="0.35">
      <c r="B109" s="63">
        <v>46270</v>
      </c>
      <c r="C109" t="s">
        <v>1109</v>
      </c>
      <c r="D109" t="s">
        <v>28</v>
      </c>
      <c r="E109" t="s">
        <v>860</v>
      </c>
      <c r="F109" t="s">
        <v>965</v>
      </c>
      <c r="G109" t="s">
        <v>971</v>
      </c>
      <c r="H109" s="85" t="s">
        <v>63</v>
      </c>
      <c r="I109" t="s">
        <v>966</v>
      </c>
      <c r="J109" s="46" t="s">
        <v>967</v>
      </c>
      <c r="K109" t="s">
        <v>1108</v>
      </c>
      <c r="L109" t="s">
        <v>861</v>
      </c>
      <c r="M109" s="105">
        <v>9112000</v>
      </c>
      <c r="N109" t="s">
        <v>57</v>
      </c>
      <c r="O109" t="e" vm="1">
        <f ca="1">SUBSTITUTE(_xlfn.TRANSLATE(BAHTTEXT(Table1[[#This Row],[Montant]]),"th","fr")," bahts"," francs CFA")</f>
        <v>#NAME?</v>
      </c>
      <c r="P109" t="s">
        <v>87</v>
      </c>
      <c r="Q109" t="s">
        <v>63</v>
      </c>
      <c r="R109" t="s">
        <v>88</v>
      </c>
    </row>
    <row r="110" spans="2:18" hidden="1" x14ac:dyDescent="0.35">
      <c r="B110" s="63">
        <v>46273</v>
      </c>
      <c r="C110" t="s">
        <v>1147</v>
      </c>
      <c r="D110" t="s">
        <v>51</v>
      </c>
      <c r="E110" t="s">
        <v>51</v>
      </c>
      <c r="F110" t="s">
        <v>551</v>
      </c>
      <c r="G110" t="s">
        <v>551</v>
      </c>
      <c r="H110" s="85" t="s">
        <v>63</v>
      </c>
      <c r="I110" t="s">
        <v>63</v>
      </c>
      <c r="J110" s="46" t="s">
        <v>63</v>
      </c>
      <c r="K110" t="s">
        <v>1146</v>
      </c>
      <c r="L110" t="s">
        <v>1145</v>
      </c>
      <c r="M110" s="52">
        <v>20200</v>
      </c>
      <c r="N110" t="s">
        <v>57</v>
      </c>
      <c r="O110" t="e" vm="1">
        <f ca="1">SUBSTITUTE(_xlfn.TRANSLATE(BAHTTEXT(Table1[[#This Row],[Montant]]),"th","fr")," bahts"," francs CFA")</f>
        <v>#NAME?</v>
      </c>
      <c r="P110" t="s">
        <v>122</v>
      </c>
      <c r="Q110" t="s">
        <v>63</v>
      </c>
      <c r="R110" t="s">
        <v>88</v>
      </c>
    </row>
    <row r="111" spans="2:18" hidden="1" x14ac:dyDescent="0.35">
      <c r="B111" s="63">
        <v>46273</v>
      </c>
      <c r="C111" t="s">
        <v>1149</v>
      </c>
      <c r="D111" t="s">
        <v>51</v>
      </c>
      <c r="E111" t="s">
        <v>116</v>
      </c>
      <c r="F111" t="s">
        <v>117</v>
      </c>
      <c r="G111" t="s">
        <v>117</v>
      </c>
      <c r="H111" s="85" t="s">
        <v>63</v>
      </c>
      <c r="I111" t="s">
        <v>63</v>
      </c>
      <c r="J111" s="66" t="s">
        <v>119</v>
      </c>
      <c r="K111" t="s">
        <v>1148</v>
      </c>
      <c r="L111" t="s">
        <v>372</v>
      </c>
      <c r="M111" s="52">
        <v>63901.52</v>
      </c>
      <c r="N111" t="s">
        <v>57</v>
      </c>
      <c r="O111" t="e" vm="1">
        <f ca="1">SUBSTITUTE(_xlfn.TRANSLATE(BAHTTEXT(Table1[[#This Row],[Montant]]),"th","fr")," bahts"," francs CFA")</f>
        <v>#NAME?</v>
      </c>
      <c r="P111" t="s">
        <v>122</v>
      </c>
      <c r="Q111" t="s">
        <v>63</v>
      </c>
      <c r="R111" t="s">
        <v>88</v>
      </c>
    </row>
    <row r="112" spans="2:18" hidden="1" x14ac:dyDescent="0.35">
      <c r="B112" s="63">
        <v>46273</v>
      </c>
      <c r="C112" t="s">
        <v>1155</v>
      </c>
      <c r="D112" t="s">
        <v>51</v>
      </c>
      <c r="E112" t="s">
        <v>51</v>
      </c>
      <c r="F112" t="s">
        <v>1153</v>
      </c>
      <c r="G112" t="s">
        <v>1153</v>
      </c>
      <c r="H112" s="85">
        <v>20467467426425</v>
      </c>
      <c r="I112" s="36">
        <v>47818</v>
      </c>
      <c r="J112" s="46" t="s">
        <v>1154</v>
      </c>
      <c r="K112" t="s">
        <v>63</v>
      </c>
      <c r="L112" t="s">
        <v>1152</v>
      </c>
      <c r="M112" s="52">
        <v>400000</v>
      </c>
      <c r="N112" t="s">
        <v>57</v>
      </c>
      <c r="O112" t="e" vm="1">
        <f ca="1">SUBSTITUTE(_xlfn.TRANSLATE(BAHTTEXT(Table1[[#This Row],[Montant]]),"th","fr")," bahts"," francs CFA")</f>
        <v>#NAME?</v>
      </c>
      <c r="P112" t="s">
        <v>87</v>
      </c>
      <c r="Q112" t="s">
        <v>63</v>
      </c>
      <c r="R112" t="s">
        <v>88</v>
      </c>
    </row>
    <row r="113" spans="2:18" hidden="1" x14ac:dyDescent="0.35">
      <c r="B113" s="63">
        <v>46274</v>
      </c>
      <c r="C113" t="s">
        <v>1157</v>
      </c>
      <c r="D113" t="s">
        <v>1076</v>
      </c>
      <c r="E113" t="s">
        <v>1076</v>
      </c>
      <c r="F113" t="s">
        <v>352</v>
      </c>
      <c r="G113" t="s">
        <v>254</v>
      </c>
      <c r="H113" s="85">
        <v>8188560503</v>
      </c>
      <c r="I113" s="65">
        <v>48094</v>
      </c>
      <c r="J113" s="46" t="s">
        <v>277</v>
      </c>
      <c r="K113" t="s">
        <v>63</v>
      </c>
      <c r="L113" t="s">
        <v>1075</v>
      </c>
      <c r="M113" s="52">
        <v>500000</v>
      </c>
      <c r="N113" t="s">
        <v>57</v>
      </c>
      <c r="O113" t="e" vm="1">
        <f ca="1">SUBSTITUTE(_xlfn.TRANSLATE(BAHTTEXT(Table1[[#This Row],[Montant]]),"th","fr")," bahts"," francs CFA")</f>
        <v>#NAME?</v>
      </c>
      <c r="P113" t="s">
        <v>87</v>
      </c>
      <c r="Q113" t="s">
        <v>63</v>
      </c>
      <c r="R113" t="s">
        <v>88</v>
      </c>
    </row>
    <row r="114" spans="2:18" hidden="1" x14ac:dyDescent="0.35">
      <c r="B114" s="63">
        <v>46276</v>
      </c>
      <c r="C114" t="s">
        <v>1208</v>
      </c>
      <c r="D114" t="s">
        <v>51</v>
      </c>
      <c r="E114" t="s">
        <v>253</v>
      </c>
      <c r="F114" t="s">
        <v>255</v>
      </c>
      <c r="G114" t="s">
        <v>254</v>
      </c>
      <c r="H114" s="85">
        <v>8188560503</v>
      </c>
      <c r="I114" s="65">
        <v>48094</v>
      </c>
      <c r="J114" s="46" t="s">
        <v>277</v>
      </c>
      <c r="K114" t="s">
        <v>63</v>
      </c>
      <c r="L114" t="s">
        <v>1209</v>
      </c>
      <c r="M114" s="52">
        <v>6802000</v>
      </c>
      <c r="N114" t="s">
        <v>57</v>
      </c>
      <c r="O114" t="s">
        <v>1210</v>
      </c>
      <c r="P114" t="s">
        <v>87</v>
      </c>
      <c r="Q114" t="s">
        <v>63</v>
      </c>
      <c r="R114" t="s">
        <v>88</v>
      </c>
    </row>
    <row r="115" spans="2:18" hidden="1" x14ac:dyDescent="0.35">
      <c r="B115" s="63">
        <v>46279</v>
      </c>
      <c r="C115" t="s">
        <v>1213</v>
      </c>
      <c r="D115" t="s">
        <v>51</v>
      </c>
      <c r="E115" t="s">
        <v>51</v>
      </c>
      <c r="F115" t="s">
        <v>551</v>
      </c>
      <c r="G115" t="s">
        <v>551</v>
      </c>
      <c r="H115" s="85" t="s">
        <v>63</v>
      </c>
      <c r="I115" t="s">
        <v>63</v>
      </c>
      <c r="J115" s="46" t="s">
        <v>63</v>
      </c>
      <c r="K115" t="s">
        <v>1211</v>
      </c>
      <c r="L115" t="s">
        <v>701</v>
      </c>
      <c r="M115" s="52">
        <v>101000</v>
      </c>
      <c r="N115" t="s">
        <v>57</v>
      </c>
      <c r="O115" t="s">
        <v>1212</v>
      </c>
      <c r="P115" t="s">
        <v>122</v>
      </c>
      <c r="Q115" t="s">
        <v>63</v>
      </c>
      <c r="R115" t="s">
        <v>88</v>
      </c>
    </row>
    <row r="116" spans="2:18" hidden="1" x14ac:dyDescent="0.35">
      <c r="B116" s="63">
        <v>46277</v>
      </c>
      <c r="C116" t="s">
        <v>1231</v>
      </c>
      <c r="D116" t="s">
        <v>28</v>
      </c>
      <c r="E116" t="s">
        <v>860</v>
      </c>
      <c r="F116" t="s">
        <v>46</v>
      </c>
      <c r="G116" t="s">
        <v>46</v>
      </c>
      <c r="H116" s="85">
        <v>1115119742</v>
      </c>
      <c r="I116" s="36">
        <v>46622</v>
      </c>
      <c r="J116" s="46" t="s">
        <v>48</v>
      </c>
      <c r="K116" t="s">
        <v>1197</v>
      </c>
      <c r="L116" t="s">
        <v>861</v>
      </c>
      <c r="M116" s="104">
        <v>1500000</v>
      </c>
      <c r="N116" t="s">
        <v>47</v>
      </c>
      <c r="O116" t="e" vm="1">
        <f ca="1">SUBSTITUTE(_xlfn.TRANSLATE(BAHTTEXT(Table1[[#This Row],[Montant]]),"th","fr")," bahts"," francs CFA")</f>
        <v>#NAME?</v>
      </c>
      <c r="P116" t="s">
        <v>87</v>
      </c>
      <c r="Q116" t="s">
        <v>63</v>
      </c>
      <c r="R116" t="s">
        <v>88</v>
      </c>
    </row>
    <row r="117" spans="2:18" hidden="1" x14ac:dyDescent="0.35">
      <c r="B117" s="63">
        <v>46265</v>
      </c>
      <c r="C117" t="s">
        <v>1254</v>
      </c>
      <c r="D117" t="s">
        <v>51</v>
      </c>
      <c r="E117" t="s">
        <v>116</v>
      </c>
      <c r="F117" t="s">
        <v>117</v>
      </c>
      <c r="G117" t="s">
        <v>117</v>
      </c>
      <c r="H117" s="85" t="s">
        <v>63</v>
      </c>
      <c r="I117" t="s">
        <v>63</v>
      </c>
      <c r="J117" s="66" t="s">
        <v>119</v>
      </c>
      <c r="K117" t="s">
        <v>1253</v>
      </c>
      <c r="L117" t="s">
        <v>372</v>
      </c>
      <c r="M117" s="52">
        <v>63902</v>
      </c>
      <c r="N117" t="s">
        <v>57</v>
      </c>
      <c r="O117" t="e" vm="1">
        <f ca="1">SUBSTITUTE(_xlfn.TRANSLATE(BAHTTEXT(Table1[[#This Row],[Montant]]),"th","fr")," bahts"," francs CFA")</f>
        <v>#NAME?</v>
      </c>
      <c r="P117" t="s">
        <v>122</v>
      </c>
      <c r="Q117" t="s">
        <v>63</v>
      </c>
      <c r="R117" t="s">
        <v>88</v>
      </c>
    </row>
    <row r="118" spans="2:18" hidden="1" x14ac:dyDescent="0.35">
      <c r="B118" s="63">
        <v>46281</v>
      </c>
      <c r="C118" t="s">
        <v>1306</v>
      </c>
      <c r="D118" t="s">
        <v>51</v>
      </c>
      <c r="E118" t="s">
        <v>116</v>
      </c>
      <c r="F118" t="s">
        <v>117</v>
      </c>
      <c r="G118" t="s">
        <v>117</v>
      </c>
      <c r="H118" s="85" t="s">
        <v>63</v>
      </c>
      <c r="I118" t="s">
        <v>63</v>
      </c>
      <c r="J118" s="66" t="s">
        <v>119</v>
      </c>
      <c r="K118" t="s">
        <v>1309</v>
      </c>
      <c r="L118" t="s">
        <v>372</v>
      </c>
      <c r="M118" s="106">
        <v>173500</v>
      </c>
      <c r="N118" t="s">
        <v>57</v>
      </c>
      <c r="O118" t="e" vm="1">
        <f ca="1">SUBSTITUTE(_xlfn.TRANSLATE(BAHTTEXT(Table1[[#This Row],[Montant]]),"th","fr")," bahts"," francs CFA")</f>
        <v>#NAME?</v>
      </c>
      <c r="P118" t="s">
        <v>122</v>
      </c>
      <c r="Q118" t="s">
        <v>63</v>
      </c>
      <c r="R118" t="s">
        <v>88</v>
      </c>
    </row>
    <row r="119" spans="2:18" hidden="1" x14ac:dyDescent="0.35">
      <c r="B119" s="63">
        <v>46281</v>
      </c>
      <c r="C119" t="s">
        <v>1307</v>
      </c>
      <c r="D119" t="s">
        <v>51</v>
      </c>
      <c r="E119" t="s">
        <v>51</v>
      </c>
      <c r="F119" t="s">
        <v>1308</v>
      </c>
      <c r="G119" t="s">
        <v>63</v>
      </c>
      <c r="H119" s="85" t="s">
        <v>63</v>
      </c>
      <c r="I119" t="s">
        <v>63</v>
      </c>
      <c r="J119" s="46" t="s">
        <v>63</v>
      </c>
      <c r="K119" t="s">
        <v>63</v>
      </c>
      <c r="L119" t="s">
        <v>1310</v>
      </c>
      <c r="M119" s="106">
        <v>115300</v>
      </c>
      <c r="N119" t="s">
        <v>57</v>
      </c>
      <c r="O119" t="e" vm="1">
        <f ca="1">SUBSTITUTE(_xlfn.TRANSLATE(BAHTTEXT(Table1[[#This Row],[Montant]]),"th","fr")," bahts"," francs CFA")</f>
        <v>#NAME?</v>
      </c>
      <c r="P119" t="s">
        <v>87</v>
      </c>
      <c r="Q119" t="s">
        <v>63</v>
      </c>
      <c r="R119" t="s">
        <v>88</v>
      </c>
    </row>
    <row r="120" spans="2:18" hidden="1" x14ac:dyDescent="0.35">
      <c r="B120" s="63">
        <v>46282</v>
      </c>
      <c r="C120" t="s">
        <v>1312</v>
      </c>
      <c r="D120" t="s">
        <v>82</v>
      </c>
      <c r="E120" t="s">
        <v>51</v>
      </c>
      <c r="F120" t="s">
        <v>264</v>
      </c>
      <c r="G120" t="s">
        <v>264</v>
      </c>
      <c r="H120" s="85">
        <v>20410262291725</v>
      </c>
      <c r="I120" s="36">
        <v>46581</v>
      </c>
      <c r="J120" s="46" t="s">
        <v>265</v>
      </c>
      <c r="K120" t="s">
        <v>63</v>
      </c>
      <c r="L120" t="s">
        <v>1311</v>
      </c>
      <c r="M120" s="106">
        <v>500000</v>
      </c>
      <c r="N120" t="s">
        <v>57</v>
      </c>
      <c r="O120" t="e" vm="1">
        <f ca="1">SUBSTITUTE(_xlfn.TRANSLATE(BAHTTEXT(Table1[[#This Row],[Montant]]),"th","fr")," bahts"," francs CFA")</f>
        <v>#NAME?</v>
      </c>
      <c r="P120" t="s">
        <v>87</v>
      </c>
      <c r="Q120" t="s">
        <v>63</v>
      </c>
      <c r="R120" t="s">
        <v>88</v>
      </c>
    </row>
    <row r="121" spans="2:18" hidden="1" x14ac:dyDescent="0.35">
      <c r="B121" s="63">
        <v>46281</v>
      </c>
      <c r="C121" t="s">
        <v>1314</v>
      </c>
      <c r="D121" t="s">
        <v>51</v>
      </c>
      <c r="E121" t="s">
        <v>51</v>
      </c>
      <c r="F121" t="s">
        <v>551</v>
      </c>
      <c r="G121" t="s">
        <v>551</v>
      </c>
      <c r="H121" s="85" t="s">
        <v>63</v>
      </c>
      <c r="I121" t="s">
        <v>63</v>
      </c>
      <c r="J121" s="46" t="s">
        <v>63</v>
      </c>
      <c r="K121" t="s">
        <v>1313</v>
      </c>
      <c r="L121" t="s">
        <v>1145</v>
      </c>
      <c r="M121" s="106">
        <v>20200</v>
      </c>
      <c r="N121" t="s">
        <v>57</v>
      </c>
      <c r="O121" t="e" vm="1">
        <f ca="1">SUBSTITUTE(_xlfn.TRANSLATE(BAHTTEXT(Table1[[#This Row],[Montant]]),"th","fr")," bahts"," francs CFA")</f>
        <v>#NAME?</v>
      </c>
      <c r="P121" t="s">
        <v>122</v>
      </c>
      <c r="Q121" t="s">
        <v>63</v>
      </c>
      <c r="R121" t="s">
        <v>88</v>
      </c>
    </row>
    <row r="122" spans="2:18" hidden="1" x14ac:dyDescent="0.35">
      <c r="B122" s="63">
        <v>46279</v>
      </c>
      <c r="C122" t="s">
        <v>1316</v>
      </c>
      <c r="D122" t="s">
        <v>51</v>
      </c>
      <c r="E122" t="s">
        <v>116</v>
      </c>
      <c r="F122" t="s">
        <v>117</v>
      </c>
      <c r="G122" t="s">
        <v>117</v>
      </c>
      <c r="H122" s="85" t="s">
        <v>63</v>
      </c>
      <c r="I122" t="s">
        <v>63</v>
      </c>
      <c r="J122" s="66" t="s">
        <v>119</v>
      </c>
      <c r="K122" t="s">
        <v>1315</v>
      </c>
      <c r="L122" t="s">
        <v>372</v>
      </c>
      <c r="M122" s="106">
        <v>214023</v>
      </c>
      <c r="N122" t="s">
        <v>57</v>
      </c>
      <c r="O122" t="e" vm="1">
        <f ca="1">SUBSTITUTE(_xlfn.TRANSLATE(BAHTTEXT(Table1[[#This Row],[Montant]]),"th","fr")," bahts"," francs CFA")</f>
        <v>#NAME?</v>
      </c>
      <c r="P122" t="s">
        <v>122</v>
      </c>
      <c r="Q122" t="s">
        <v>63</v>
      </c>
      <c r="R122" t="s">
        <v>88</v>
      </c>
    </row>
    <row r="123" spans="2:18" hidden="1" x14ac:dyDescent="0.35">
      <c r="B123" s="63">
        <v>46287</v>
      </c>
      <c r="C123" t="s">
        <v>1372</v>
      </c>
      <c r="D123" t="s">
        <v>51</v>
      </c>
      <c r="E123" t="s">
        <v>51</v>
      </c>
      <c r="F123" t="s">
        <v>622</v>
      </c>
      <c r="G123" t="s">
        <v>622</v>
      </c>
      <c r="H123" s="85">
        <v>20921662429826</v>
      </c>
      <c r="I123" s="36">
        <v>47997</v>
      </c>
      <c r="J123" s="46" t="s">
        <v>625</v>
      </c>
      <c r="K123" t="s">
        <v>1373</v>
      </c>
      <c r="L123" t="s">
        <v>1374</v>
      </c>
      <c r="M123" s="106">
        <v>70604</v>
      </c>
      <c r="N123" t="s">
        <v>57</v>
      </c>
      <c r="O123" t="e" vm="1">
        <f ca="1">SUBSTITUTE(_xlfn.TRANSLATE(BAHTTEXT(Table1[[#This Row],[Montant]]),"th","fr")," bahts"," francs CFA")</f>
        <v>#NAME?</v>
      </c>
      <c r="P123" t="s">
        <v>87</v>
      </c>
      <c r="Q123" t="s">
        <v>63</v>
      </c>
      <c r="R123" t="s">
        <v>88</v>
      </c>
    </row>
    <row r="124" spans="2:18" hidden="1" x14ac:dyDescent="0.35">
      <c r="B124" s="63">
        <v>46287</v>
      </c>
      <c r="C124" t="s">
        <v>1381</v>
      </c>
      <c r="D124" t="s">
        <v>51</v>
      </c>
      <c r="E124" t="s">
        <v>51</v>
      </c>
      <c r="F124" t="s">
        <v>1384</v>
      </c>
      <c r="G124" t="s">
        <v>1384</v>
      </c>
      <c r="H124" s="85">
        <v>100189320</v>
      </c>
      <c r="I124" s="36">
        <v>46621</v>
      </c>
      <c r="J124" s="46" t="s">
        <v>63</v>
      </c>
      <c r="K124" t="s">
        <v>63</v>
      </c>
      <c r="L124" t="s">
        <v>1380</v>
      </c>
      <c r="M124" s="106">
        <v>500000</v>
      </c>
      <c r="N124" t="s">
        <v>57</v>
      </c>
      <c r="O124" t="e" vm="1">
        <f ca="1">SUBSTITUTE(_xlfn.TRANSLATE(BAHTTEXT(Table1[[#This Row],[Montant]]),"th","fr")," bahts"," francs CFA")</f>
        <v>#NAME?</v>
      </c>
      <c r="P124" t="s">
        <v>87</v>
      </c>
      <c r="Q124" t="s">
        <v>63</v>
      </c>
      <c r="R124" t="s">
        <v>88</v>
      </c>
    </row>
    <row r="125" spans="2:18" hidden="1" x14ac:dyDescent="0.35">
      <c r="B125" s="63">
        <v>46288</v>
      </c>
      <c r="C125" t="s">
        <v>1393</v>
      </c>
      <c r="D125" t="s">
        <v>51</v>
      </c>
      <c r="E125" t="s">
        <v>51</v>
      </c>
      <c r="F125" t="s">
        <v>1384</v>
      </c>
      <c r="G125" t="s">
        <v>1384</v>
      </c>
      <c r="H125" s="85">
        <v>100189320</v>
      </c>
      <c r="I125" s="36">
        <v>46621</v>
      </c>
      <c r="J125" s="46" t="s">
        <v>63</v>
      </c>
      <c r="K125" t="s">
        <v>63</v>
      </c>
      <c r="L125" t="s">
        <v>1380</v>
      </c>
      <c r="M125" s="106">
        <v>100000</v>
      </c>
      <c r="N125" t="s">
        <v>57</v>
      </c>
      <c r="O125" t="s">
        <v>702</v>
      </c>
      <c r="P125" t="s">
        <v>87</v>
      </c>
      <c r="Q125" t="s">
        <v>63</v>
      </c>
      <c r="R125" t="s">
        <v>88</v>
      </c>
    </row>
    <row r="126" spans="2:18" hidden="1" x14ac:dyDescent="0.35">
      <c r="B126" s="63">
        <v>46269</v>
      </c>
      <c r="C126" t="s">
        <v>1396</v>
      </c>
      <c r="D126" t="s">
        <v>82</v>
      </c>
      <c r="E126" t="s">
        <v>82</v>
      </c>
      <c r="F126" t="s">
        <v>743</v>
      </c>
      <c r="G126" t="s">
        <v>743</v>
      </c>
      <c r="H126" s="85" t="s">
        <v>63</v>
      </c>
      <c r="I126" t="s">
        <v>63</v>
      </c>
      <c r="J126" s="46" t="s">
        <v>63</v>
      </c>
      <c r="K126" t="s">
        <v>63</v>
      </c>
      <c r="L126" t="s">
        <v>1397</v>
      </c>
      <c r="M126" s="106">
        <v>70000</v>
      </c>
      <c r="N126" t="s">
        <v>57</v>
      </c>
      <c r="O126" t="e" vm="1">
        <f ca="1">SUBSTITUTE(_xlfn.TRANSLATE(BAHTTEXT(Table1[[#This Row],[Montant]]),"th","fr")," bahts"," francs CFA")</f>
        <v>#NAME?</v>
      </c>
      <c r="P126" t="s">
        <v>87</v>
      </c>
      <c r="Q126" t="s">
        <v>63</v>
      </c>
      <c r="R126" t="s">
        <v>88</v>
      </c>
    </row>
    <row r="127" spans="2:18" hidden="1" x14ac:dyDescent="0.35">
      <c r="B127" s="63">
        <v>46290</v>
      </c>
      <c r="C127" t="s">
        <v>1441</v>
      </c>
      <c r="D127" t="s">
        <v>51</v>
      </c>
      <c r="E127" t="s">
        <v>116</v>
      </c>
      <c r="F127" t="s">
        <v>117</v>
      </c>
      <c r="G127" t="s">
        <v>117</v>
      </c>
      <c r="H127" s="85" t="s">
        <v>63</v>
      </c>
      <c r="I127" t="s">
        <v>63</v>
      </c>
      <c r="J127" s="66" t="s">
        <v>119</v>
      </c>
      <c r="K127" t="s">
        <v>1440</v>
      </c>
      <c r="L127" t="s">
        <v>372</v>
      </c>
      <c r="M127" s="106">
        <v>63902</v>
      </c>
      <c r="N127" t="s">
        <v>57</v>
      </c>
      <c r="O127" t="e" vm="1">
        <f ca="1">SUBSTITUTE(_xlfn.TRANSLATE(BAHTTEXT(Table1[[#This Row],[Montant]]),"th","fr")," bahts"," francs CFA")</f>
        <v>#NAME?</v>
      </c>
      <c r="P127" t="s">
        <v>122</v>
      </c>
      <c r="Q127" t="s">
        <v>63</v>
      </c>
      <c r="R127" t="s">
        <v>88</v>
      </c>
    </row>
    <row r="128" spans="2:18" hidden="1" x14ac:dyDescent="0.35">
      <c r="B128" s="63">
        <v>46289</v>
      </c>
      <c r="C128" t="s">
        <v>1452</v>
      </c>
      <c r="D128" t="s">
        <v>82</v>
      </c>
      <c r="E128" t="s">
        <v>115</v>
      </c>
      <c r="F128" t="s">
        <v>743</v>
      </c>
      <c r="G128" t="s">
        <v>743</v>
      </c>
      <c r="H128" s="85" t="s">
        <v>63</v>
      </c>
      <c r="I128" t="s">
        <v>63</v>
      </c>
      <c r="J128" s="46" t="s">
        <v>63</v>
      </c>
      <c r="K128" t="s">
        <v>63</v>
      </c>
      <c r="L128" t="s">
        <v>1453</v>
      </c>
      <c r="M128" s="106">
        <v>44235</v>
      </c>
      <c r="N128" t="s">
        <v>57</v>
      </c>
      <c r="O128" t="e" vm="1">
        <f ca="1">SUBSTITUTE(_xlfn.TRANSLATE(BAHTTEXT(Table1[[#This Row],[Montant]]),"th","fr")," bahts"," francs CFA")</f>
        <v>#NAME?</v>
      </c>
      <c r="P128" t="s">
        <v>87</v>
      </c>
      <c r="Q128" t="s">
        <v>63</v>
      </c>
      <c r="R128" t="s">
        <v>88</v>
      </c>
    </row>
    <row r="129" spans="2:18" hidden="1" x14ac:dyDescent="0.35">
      <c r="B129" s="63">
        <v>46290</v>
      </c>
      <c r="C129" t="s">
        <v>1454</v>
      </c>
      <c r="D129" t="s">
        <v>51</v>
      </c>
      <c r="E129" t="s">
        <v>51</v>
      </c>
      <c r="F129" t="s">
        <v>551</v>
      </c>
      <c r="G129" t="s">
        <v>551</v>
      </c>
      <c r="H129" s="85" t="s">
        <v>63</v>
      </c>
      <c r="I129" t="s">
        <v>63</v>
      </c>
      <c r="J129" s="46" t="s">
        <v>63</v>
      </c>
      <c r="K129" t="s">
        <v>1455</v>
      </c>
      <c r="L129" t="s">
        <v>1011</v>
      </c>
      <c r="M129" s="106">
        <v>100000</v>
      </c>
      <c r="N129" t="s">
        <v>57</v>
      </c>
      <c r="O129" t="s">
        <v>702</v>
      </c>
      <c r="P129" t="s">
        <v>122</v>
      </c>
      <c r="Q129" t="s">
        <v>63</v>
      </c>
      <c r="R129" t="s">
        <v>88</v>
      </c>
    </row>
    <row r="130" spans="2:18" hidden="1" x14ac:dyDescent="0.35">
      <c r="B130" s="63">
        <v>46290</v>
      </c>
      <c r="C130" t="s">
        <v>1456</v>
      </c>
      <c r="D130" t="s">
        <v>51</v>
      </c>
      <c r="E130" t="s">
        <v>51</v>
      </c>
      <c r="F130" t="s">
        <v>1457</v>
      </c>
      <c r="G130" t="s">
        <v>352</v>
      </c>
      <c r="H130" s="85" t="s">
        <v>63</v>
      </c>
      <c r="I130" t="s">
        <v>63</v>
      </c>
      <c r="J130" s="46" t="s">
        <v>63</v>
      </c>
      <c r="K130" t="s">
        <v>1458</v>
      </c>
      <c r="L130" t="s">
        <v>1459</v>
      </c>
      <c r="M130" s="106">
        <f>1050+7505</f>
        <v>8555</v>
      </c>
      <c r="N130" t="s">
        <v>57</v>
      </c>
      <c r="O130" t="e" vm="1">
        <f ca="1">SUBSTITUTE(_xlfn.TRANSLATE(BAHTTEXT(Table1[[#This Row],[Montant]]),"th","fr")," bahts"," francs CFA")</f>
        <v>#NAME?</v>
      </c>
      <c r="P130" t="s">
        <v>87</v>
      </c>
      <c r="Q130" t="s">
        <v>63</v>
      </c>
      <c r="R130" t="s">
        <v>88</v>
      </c>
    </row>
    <row r="131" spans="2:18" hidden="1" x14ac:dyDescent="0.35">
      <c r="B131" s="63">
        <v>46290</v>
      </c>
      <c r="C131" t="s">
        <v>1460</v>
      </c>
      <c r="D131" t="s">
        <v>51</v>
      </c>
      <c r="E131" t="s">
        <v>51</v>
      </c>
      <c r="F131" t="s">
        <v>1457</v>
      </c>
      <c r="G131" t="s">
        <v>352</v>
      </c>
      <c r="H131" s="85" t="s">
        <v>63</v>
      </c>
      <c r="I131" t="s">
        <v>63</v>
      </c>
      <c r="J131" s="46" t="s">
        <v>63</v>
      </c>
      <c r="K131" t="s">
        <v>1461</v>
      </c>
      <c r="L131" t="s">
        <v>1462</v>
      </c>
      <c r="M131" s="106">
        <f>6775+35000</f>
        <v>41775</v>
      </c>
      <c r="N131" t="s">
        <v>57</v>
      </c>
      <c r="O131" t="e" vm="1">
        <f ca="1">SUBSTITUTE(_xlfn.TRANSLATE(BAHTTEXT(Table1[[#This Row],[Montant]]),"th","fr")," bahts"," francs CFA")</f>
        <v>#NAME?</v>
      </c>
      <c r="P131" t="s">
        <v>87</v>
      </c>
      <c r="Q131" t="s">
        <v>63</v>
      </c>
      <c r="R131" t="s">
        <v>88</v>
      </c>
    </row>
    <row r="132" spans="2:18" hidden="1" x14ac:dyDescent="0.35">
      <c r="B132" s="63">
        <v>46290</v>
      </c>
      <c r="C132" t="s">
        <v>1463</v>
      </c>
      <c r="D132" t="s">
        <v>82</v>
      </c>
      <c r="E132" t="s">
        <v>115</v>
      </c>
      <c r="F132" t="s">
        <v>743</v>
      </c>
      <c r="G132" t="s">
        <v>743</v>
      </c>
      <c r="H132" s="85" t="s">
        <v>63</v>
      </c>
      <c r="I132" t="s">
        <v>63</v>
      </c>
      <c r="J132" s="46" t="s">
        <v>63</v>
      </c>
      <c r="K132" t="s">
        <v>63</v>
      </c>
      <c r="L132" t="s">
        <v>1389</v>
      </c>
      <c r="M132" s="106">
        <v>43235</v>
      </c>
      <c r="N132" t="s">
        <v>57</v>
      </c>
      <c r="O132" t="e" vm="1">
        <f ca="1">SUBSTITUTE(_xlfn.TRANSLATE(BAHTTEXT(Table1[[#This Row],[Montant]]),"th","fr")," bahts"," francs CFA")</f>
        <v>#NAME?</v>
      </c>
      <c r="P132" t="s">
        <v>87</v>
      </c>
      <c r="Q132" t="s">
        <v>63</v>
      </c>
      <c r="R132" t="s">
        <v>88</v>
      </c>
    </row>
    <row r="133" spans="2:18" hidden="1" x14ac:dyDescent="0.35">
      <c r="B133" s="63">
        <v>46290</v>
      </c>
      <c r="C133" t="s">
        <v>1464</v>
      </c>
      <c r="D133" t="s">
        <v>82</v>
      </c>
      <c r="E133" t="s">
        <v>115</v>
      </c>
      <c r="F133" t="s">
        <v>743</v>
      </c>
      <c r="G133" t="s">
        <v>743</v>
      </c>
      <c r="H133" s="85" t="s">
        <v>63</v>
      </c>
      <c r="I133" t="s">
        <v>63</v>
      </c>
      <c r="J133" s="46" t="s">
        <v>63</v>
      </c>
      <c r="K133" t="s">
        <v>63</v>
      </c>
      <c r="L133" t="s">
        <v>1392</v>
      </c>
      <c r="M133" s="106">
        <v>43235</v>
      </c>
      <c r="N133" t="s">
        <v>57</v>
      </c>
      <c r="O133" t="e" vm="1">
        <f ca="1">SUBSTITUTE(_xlfn.TRANSLATE(BAHTTEXT(Table1[[#This Row],[Montant]]),"th","fr")," bahts"," francs CFA")</f>
        <v>#NAME?</v>
      </c>
      <c r="P133" t="s">
        <v>87</v>
      </c>
      <c r="Q133" t="s">
        <v>63</v>
      </c>
      <c r="R133" t="s">
        <v>88</v>
      </c>
    </row>
    <row r="134" spans="2:18" hidden="1" x14ac:dyDescent="0.35">
      <c r="B134" s="63">
        <v>46290</v>
      </c>
      <c r="C134" t="s">
        <v>1465</v>
      </c>
      <c r="D134" t="s">
        <v>51</v>
      </c>
      <c r="E134" t="s">
        <v>116</v>
      </c>
      <c r="F134" t="s">
        <v>117</v>
      </c>
      <c r="G134" t="s">
        <v>117</v>
      </c>
      <c r="H134" s="85" t="s">
        <v>63</v>
      </c>
      <c r="I134" t="s">
        <v>63</v>
      </c>
      <c r="J134" s="66" t="s">
        <v>119</v>
      </c>
      <c r="K134" t="s">
        <v>1466</v>
      </c>
      <c r="L134" t="s">
        <v>372</v>
      </c>
      <c r="M134" s="106">
        <v>150514</v>
      </c>
      <c r="N134" t="s">
        <v>57</v>
      </c>
      <c r="O134" t="e" vm="1">
        <f ca="1">SUBSTITUTE(_xlfn.TRANSLATE(BAHTTEXT(Table1[[#This Row],[Montant]]),"th","fr")," bahts"," francs CFA")</f>
        <v>#NAME?</v>
      </c>
      <c r="P134" t="s">
        <v>122</v>
      </c>
      <c r="Q134" t="s">
        <v>63</v>
      </c>
      <c r="R134" t="s">
        <v>88</v>
      </c>
    </row>
    <row r="135" spans="2:18" hidden="1" x14ac:dyDescent="0.35">
      <c r="B135" s="63">
        <v>46293</v>
      </c>
      <c r="C135" t="s">
        <v>1472</v>
      </c>
      <c r="D135" t="s">
        <v>51</v>
      </c>
      <c r="E135" t="s">
        <v>51</v>
      </c>
      <c r="F135" t="s">
        <v>1473</v>
      </c>
      <c r="G135" t="s">
        <v>1473</v>
      </c>
      <c r="H135" s="85" t="s">
        <v>63</v>
      </c>
      <c r="I135" t="s">
        <v>63</v>
      </c>
      <c r="J135" s="46" t="s">
        <v>63</v>
      </c>
      <c r="K135" t="s">
        <v>63</v>
      </c>
      <c r="L135" t="s">
        <v>1474</v>
      </c>
      <c r="M135" s="106">
        <v>150000</v>
      </c>
      <c r="N135" t="s">
        <v>57</v>
      </c>
      <c r="O135" t="e" vm="1">
        <f ca="1">SUBSTITUTE(_xlfn.TRANSLATE(BAHTTEXT(Table1[[#This Row],[Montant]]),"th","fr")," bahts"," francs CFA")</f>
        <v>#NAME?</v>
      </c>
      <c r="P135" t="s">
        <v>87</v>
      </c>
      <c r="Q135" t="s">
        <v>63</v>
      </c>
      <c r="R135" t="s">
        <v>88</v>
      </c>
    </row>
    <row r="136" spans="2:18" hidden="1" x14ac:dyDescent="0.35">
      <c r="B136" s="63">
        <v>46174</v>
      </c>
      <c r="C136" t="s">
        <v>34</v>
      </c>
      <c r="D136" t="s">
        <v>28</v>
      </c>
      <c r="E136" t="s">
        <v>29</v>
      </c>
      <c r="F136" t="s">
        <v>35</v>
      </c>
      <c r="G136" t="s">
        <v>35</v>
      </c>
      <c r="H136" s="85" t="s">
        <v>36</v>
      </c>
      <c r="I136" s="36">
        <v>47215</v>
      </c>
      <c r="J136" s="46" t="s">
        <v>44</v>
      </c>
      <c r="K136" t="s">
        <v>43</v>
      </c>
      <c r="L136" t="s">
        <v>30</v>
      </c>
      <c r="M136" s="52">
        <v>13781600</v>
      </c>
      <c r="N136" t="s">
        <v>31</v>
      </c>
      <c r="O136" t="s">
        <v>41</v>
      </c>
      <c r="P136" t="s">
        <v>33</v>
      </c>
      <c r="Q136">
        <v>2000469</v>
      </c>
      <c r="R136" t="s">
        <v>32</v>
      </c>
    </row>
    <row r="137" spans="2:18" hidden="1" x14ac:dyDescent="0.35">
      <c r="B137" s="63">
        <v>46174</v>
      </c>
      <c r="C137" t="s">
        <v>37</v>
      </c>
      <c r="D137" t="s">
        <v>28</v>
      </c>
      <c r="E137" t="s">
        <v>29</v>
      </c>
      <c r="F137" t="s">
        <v>38</v>
      </c>
      <c r="G137" t="s">
        <v>38</v>
      </c>
      <c r="H137" s="85">
        <v>100146686</v>
      </c>
      <c r="I137" s="36">
        <v>47215</v>
      </c>
      <c r="J137" s="46" t="s">
        <v>39</v>
      </c>
      <c r="K137" t="s">
        <v>40</v>
      </c>
      <c r="L137" t="s">
        <v>30</v>
      </c>
      <c r="M137" s="52">
        <v>11902120</v>
      </c>
      <c r="N137" t="s">
        <v>31</v>
      </c>
      <c r="O137" t="s">
        <v>42</v>
      </c>
      <c r="P137" t="s">
        <v>33</v>
      </c>
      <c r="Q137">
        <v>2000470</v>
      </c>
      <c r="R137" t="s">
        <v>32</v>
      </c>
    </row>
    <row r="138" spans="2:18" hidden="1" x14ac:dyDescent="0.35">
      <c r="B138" s="63">
        <v>46174</v>
      </c>
      <c r="C138" t="s">
        <v>45</v>
      </c>
      <c r="D138" t="s">
        <v>28</v>
      </c>
      <c r="E138" t="s">
        <v>29</v>
      </c>
      <c r="F138" t="s">
        <v>46</v>
      </c>
      <c r="G138" t="s">
        <v>46</v>
      </c>
      <c r="H138" s="85">
        <v>1115119742</v>
      </c>
      <c r="I138" s="36">
        <v>46622</v>
      </c>
      <c r="J138" s="46" t="s">
        <v>48</v>
      </c>
      <c r="L138" t="s">
        <v>30</v>
      </c>
      <c r="M138" s="52">
        <v>7500000</v>
      </c>
      <c r="N138" t="s">
        <v>47</v>
      </c>
      <c r="O138" t="s">
        <v>49</v>
      </c>
      <c r="P138" t="s">
        <v>33</v>
      </c>
      <c r="Q138">
        <v>2000471</v>
      </c>
      <c r="R138" t="s">
        <v>32</v>
      </c>
    </row>
    <row r="139" spans="2:18" hidden="1" x14ac:dyDescent="0.35">
      <c r="B139" s="63">
        <v>46174</v>
      </c>
      <c r="C139" t="s">
        <v>50</v>
      </c>
      <c r="D139" t="s">
        <v>51</v>
      </c>
      <c r="E139" t="s">
        <v>51</v>
      </c>
      <c r="F139" t="s">
        <v>52</v>
      </c>
      <c r="G139" t="s">
        <v>53</v>
      </c>
      <c r="H139" s="85"/>
      <c r="J139" s="46" t="s">
        <v>54</v>
      </c>
      <c r="K139" t="s">
        <v>55</v>
      </c>
      <c r="L139" t="s">
        <v>59</v>
      </c>
      <c r="M139" s="52">
        <v>850000</v>
      </c>
      <c r="N139" t="s">
        <v>57</v>
      </c>
      <c r="O139" t="s">
        <v>58</v>
      </c>
      <c r="P139" t="s">
        <v>33</v>
      </c>
      <c r="Q139">
        <v>2000468</v>
      </c>
      <c r="R139" t="s">
        <v>32</v>
      </c>
    </row>
    <row r="140" spans="2:18" hidden="1" x14ac:dyDescent="0.35">
      <c r="B140" s="63">
        <v>46174</v>
      </c>
      <c r="C140" t="s">
        <v>60</v>
      </c>
      <c r="D140" t="s">
        <v>28</v>
      </c>
      <c r="E140" t="s">
        <v>29</v>
      </c>
      <c r="F140" t="s">
        <v>61</v>
      </c>
      <c r="G140" t="s">
        <v>61</v>
      </c>
      <c r="H140" s="85">
        <v>3967530553</v>
      </c>
      <c r="I140" s="36">
        <v>46642</v>
      </c>
      <c r="J140" s="46" t="s">
        <v>62</v>
      </c>
      <c r="K140" t="s">
        <v>63</v>
      </c>
      <c r="L140" t="s">
        <v>30</v>
      </c>
      <c r="M140" s="52">
        <v>6165720</v>
      </c>
      <c r="N140" t="s">
        <v>57</v>
      </c>
      <c r="O140" t="s">
        <v>64</v>
      </c>
      <c r="P140" t="s">
        <v>33</v>
      </c>
      <c r="Q140">
        <v>2000473</v>
      </c>
      <c r="R140" t="s">
        <v>32</v>
      </c>
    </row>
    <row r="141" spans="2:18" hidden="1" x14ac:dyDescent="0.35">
      <c r="B141" s="63">
        <v>46174</v>
      </c>
      <c r="C141" t="s">
        <v>126</v>
      </c>
      <c r="D141" t="s">
        <v>127</v>
      </c>
      <c r="E141" t="s">
        <v>127</v>
      </c>
      <c r="H141" s="85"/>
      <c r="J141" s="46"/>
      <c r="K141" t="s">
        <v>131</v>
      </c>
      <c r="L141" t="s">
        <v>838</v>
      </c>
      <c r="M141" s="52">
        <v>2930000</v>
      </c>
      <c r="N141" t="s">
        <v>57</v>
      </c>
      <c r="O141" t="s">
        <v>129</v>
      </c>
      <c r="P141" t="s">
        <v>130</v>
      </c>
      <c r="R141" t="s">
        <v>32</v>
      </c>
    </row>
    <row r="142" spans="2:18" hidden="1" x14ac:dyDescent="0.35">
      <c r="B142" s="63">
        <v>46177</v>
      </c>
      <c r="C142" t="s">
        <v>133</v>
      </c>
      <c r="D142" t="s">
        <v>28</v>
      </c>
      <c r="E142" t="s">
        <v>29</v>
      </c>
      <c r="F142" t="s">
        <v>109</v>
      </c>
      <c r="G142" t="s">
        <v>109</v>
      </c>
      <c r="H142" s="85">
        <v>2546545404</v>
      </c>
      <c r="I142" s="65" t="s">
        <v>111</v>
      </c>
      <c r="J142" s="46" t="s">
        <v>110</v>
      </c>
      <c r="K142" t="s">
        <v>112</v>
      </c>
      <c r="L142" t="s">
        <v>30</v>
      </c>
      <c r="M142" s="52">
        <v>9892760</v>
      </c>
      <c r="N142" t="s">
        <v>57</v>
      </c>
      <c r="O142" t="s">
        <v>134</v>
      </c>
      <c r="P142" t="s">
        <v>33</v>
      </c>
      <c r="Q142">
        <v>2000474</v>
      </c>
      <c r="R142" t="s">
        <v>32</v>
      </c>
    </row>
    <row r="143" spans="2:18" hidden="1" x14ac:dyDescent="0.35">
      <c r="B143" s="63">
        <v>46177</v>
      </c>
      <c r="C143" t="s">
        <v>141</v>
      </c>
      <c r="D143" t="s">
        <v>51</v>
      </c>
      <c r="E143" t="s">
        <v>135</v>
      </c>
      <c r="F143" t="s">
        <v>136</v>
      </c>
      <c r="G143" t="s">
        <v>136</v>
      </c>
      <c r="H143" s="85">
        <v>2536913968</v>
      </c>
      <c r="I143" s="65" t="s">
        <v>137</v>
      </c>
      <c r="J143" s="46" t="s">
        <v>138</v>
      </c>
      <c r="K143" t="s">
        <v>142</v>
      </c>
      <c r="L143" t="s">
        <v>139</v>
      </c>
      <c r="M143" s="52">
        <v>290273</v>
      </c>
      <c r="N143" t="s">
        <v>57</v>
      </c>
      <c r="O143" t="s">
        <v>140</v>
      </c>
      <c r="P143" t="s">
        <v>33</v>
      </c>
      <c r="Q143">
        <v>2000475</v>
      </c>
      <c r="R143" t="s">
        <v>32</v>
      </c>
    </row>
    <row r="144" spans="2:18" hidden="1" x14ac:dyDescent="0.35">
      <c r="B144" s="63">
        <v>46177</v>
      </c>
      <c r="C144" t="s">
        <v>149</v>
      </c>
      <c r="D144" t="s">
        <v>51</v>
      </c>
      <c r="E144" t="s">
        <v>148</v>
      </c>
      <c r="F144" t="s">
        <v>143</v>
      </c>
      <c r="G144" t="s">
        <v>161</v>
      </c>
      <c r="H144" s="85">
        <v>5924678990</v>
      </c>
      <c r="I144" s="65" t="s">
        <v>150</v>
      </c>
      <c r="J144" s="46" t="s">
        <v>151</v>
      </c>
      <c r="K144" t="s">
        <v>145</v>
      </c>
      <c r="L144" t="s">
        <v>144</v>
      </c>
      <c r="M144" s="52">
        <v>1328459</v>
      </c>
      <c r="N144" t="s">
        <v>57</v>
      </c>
      <c r="O144" t="s">
        <v>146</v>
      </c>
      <c r="P144" t="s">
        <v>33</v>
      </c>
      <c r="Q144">
        <v>3898151</v>
      </c>
      <c r="R144" t="s">
        <v>147</v>
      </c>
    </row>
    <row r="145" spans="2:18" hidden="1" x14ac:dyDescent="0.35">
      <c r="B145" s="63">
        <v>46177</v>
      </c>
      <c r="C145" t="s">
        <v>162</v>
      </c>
      <c r="D145" t="s">
        <v>28</v>
      </c>
      <c r="E145" t="s">
        <v>29</v>
      </c>
      <c r="F145" t="s">
        <v>166</v>
      </c>
      <c r="G145" t="s">
        <v>166</v>
      </c>
      <c r="H145" s="85">
        <v>1390715626</v>
      </c>
      <c r="I145" s="65" t="s">
        <v>163</v>
      </c>
      <c r="J145" s="67" t="s">
        <v>164</v>
      </c>
      <c r="L145" t="s">
        <v>30</v>
      </c>
      <c r="M145" s="52">
        <v>24519000</v>
      </c>
      <c r="N145" t="s">
        <v>57</v>
      </c>
      <c r="O145" t="s">
        <v>165</v>
      </c>
      <c r="P145" t="s">
        <v>33</v>
      </c>
      <c r="Q145">
        <v>2000477</v>
      </c>
      <c r="R145" t="s">
        <v>32</v>
      </c>
    </row>
    <row r="146" spans="2:18" hidden="1" x14ac:dyDescent="0.35">
      <c r="B146" s="63">
        <v>46177</v>
      </c>
      <c r="C146" t="s">
        <v>170</v>
      </c>
      <c r="D146" t="s">
        <v>28</v>
      </c>
      <c r="E146" t="s">
        <v>29</v>
      </c>
      <c r="F146" t="s">
        <v>46</v>
      </c>
      <c r="G146" t="s">
        <v>46</v>
      </c>
      <c r="H146" s="85">
        <v>1115119742</v>
      </c>
      <c r="I146" s="36">
        <v>46622</v>
      </c>
      <c r="J146" s="46" t="s">
        <v>48</v>
      </c>
      <c r="K146" t="s">
        <v>172</v>
      </c>
      <c r="L146" t="s">
        <v>30</v>
      </c>
      <c r="M146" s="52">
        <v>7784780</v>
      </c>
      <c r="N146" t="s">
        <v>57</v>
      </c>
      <c r="O146" t="s">
        <v>171</v>
      </c>
      <c r="P146" t="s">
        <v>33</v>
      </c>
      <c r="Q146">
        <v>2000478</v>
      </c>
      <c r="R146" t="s">
        <v>32</v>
      </c>
    </row>
    <row r="147" spans="2:18" hidden="1" x14ac:dyDescent="0.35">
      <c r="B147" s="63">
        <v>46177</v>
      </c>
      <c r="C147" t="s">
        <v>174</v>
      </c>
      <c r="D147" t="s">
        <v>82</v>
      </c>
      <c r="E147" t="s">
        <v>175</v>
      </c>
      <c r="F147" t="s">
        <v>176</v>
      </c>
      <c r="G147" t="s">
        <v>177</v>
      </c>
      <c r="H147" s="85">
        <v>100109961</v>
      </c>
      <c r="I147" s="36">
        <v>46420</v>
      </c>
      <c r="J147" s="46"/>
      <c r="L147" t="s">
        <v>178</v>
      </c>
      <c r="M147" s="52">
        <v>5000000</v>
      </c>
      <c r="N147" t="s">
        <v>57</v>
      </c>
      <c r="O147" t="s">
        <v>179</v>
      </c>
      <c r="P147" t="s">
        <v>33</v>
      </c>
      <c r="Q147">
        <v>2000479</v>
      </c>
      <c r="R147" t="s">
        <v>32</v>
      </c>
    </row>
    <row r="148" spans="2:18" hidden="1" x14ac:dyDescent="0.35">
      <c r="B148" s="63">
        <v>46178</v>
      </c>
      <c r="C148" t="s">
        <v>180</v>
      </c>
      <c r="D148" t="s">
        <v>51</v>
      </c>
      <c r="E148" t="s">
        <v>51</v>
      </c>
      <c r="F148" t="s">
        <v>181</v>
      </c>
      <c r="G148" t="s">
        <v>185</v>
      </c>
      <c r="H148" s="85">
        <v>7767232054</v>
      </c>
      <c r="I148" s="36">
        <v>47794</v>
      </c>
      <c r="J148" s="46"/>
      <c r="K148" t="s">
        <v>183</v>
      </c>
      <c r="L148" t="s">
        <v>184</v>
      </c>
      <c r="M148" s="52">
        <v>8619854</v>
      </c>
      <c r="N148" t="s">
        <v>57</v>
      </c>
      <c r="O148" t="s">
        <v>182</v>
      </c>
      <c r="P148" t="s">
        <v>33</v>
      </c>
      <c r="Q148">
        <v>2000480</v>
      </c>
      <c r="R148" t="s">
        <v>32</v>
      </c>
    </row>
    <row r="149" spans="2:18" hidden="1" x14ac:dyDescent="0.35">
      <c r="B149" s="63">
        <v>46178</v>
      </c>
      <c r="C149" t="s">
        <v>189</v>
      </c>
      <c r="D149" t="s">
        <v>63</v>
      </c>
      <c r="E149" t="s">
        <v>63</v>
      </c>
      <c r="F149" t="s">
        <v>63</v>
      </c>
      <c r="G149" t="s">
        <v>188</v>
      </c>
      <c r="H149" s="85" t="s">
        <v>63</v>
      </c>
      <c r="I149" t="s">
        <v>63</v>
      </c>
      <c r="J149" s="46" t="s">
        <v>63</v>
      </c>
      <c r="K149" t="s">
        <v>63</v>
      </c>
      <c r="L149" t="s">
        <v>190</v>
      </c>
      <c r="M149" s="52">
        <v>10000000</v>
      </c>
      <c r="N149" t="s">
        <v>57</v>
      </c>
      <c r="O149" t="s">
        <v>187</v>
      </c>
      <c r="P149" t="s">
        <v>33</v>
      </c>
      <c r="Q149">
        <v>3898152</v>
      </c>
      <c r="R149" t="s">
        <v>147</v>
      </c>
    </row>
    <row r="150" spans="2:18" hidden="1" x14ac:dyDescent="0.35">
      <c r="B150" s="63">
        <v>46178</v>
      </c>
      <c r="C150" t="s">
        <v>193</v>
      </c>
      <c r="G150" t="s">
        <v>194</v>
      </c>
      <c r="H150" s="85">
        <v>398534607</v>
      </c>
      <c r="I150" s="36">
        <v>46247</v>
      </c>
      <c r="J150" s="46"/>
      <c r="L150" t="s">
        <v>191</v>
      </c>
      <c r="M150" s="52">
        <v>6000000</v>
      </c>
      <c r="N150" t="s">
        <v>57</v>
      </c>
      <c r="O150" t="s">
        <v>192</v>
      </c>
      <c r="P150" t="s">
        <v>33</v>
      </c>
      <c r="Q150">
        <v>2000483</v>
      </c>
      <c r="R150" t="s">
        <v>32</v>
      </c>
    </row>
    <row r="151" spans="2:18" hidden="1" x14ac:dyDescent="0.35">
      <c r="B151" s="79">
        <v>46178</v>
      </c>
      <c r="C151" s="80" t="s">
        <v>195</v>
      </c>
      <c r="D151" s="80" t="s">
        <v>51</v>
      </c>
      <c r="E151" s="80" t="s">
        <v>51</v>
      </c>
      <c r="F151" s="80" t="s">
        <v>196</v>
      </c>
      <c r="G151" s="80" t="s">
        <v>196</v>
      </c>
      <c r="H151" s="87"/>
      <c r="I151" s="80"/>
      <c r="J151" s="81"/>
      <c r="K151" s="80"/>
      <c r="L151" s="80" t="s">
        <v>203</v>
      </c>
      <c r="M151" s="82">
        <v>2467834</v>
      </c>
      <c r="N151" s="80" t="s">
        <v>57</v>
      </c>
      <c r="O151" s="80" t="s">
        <v>197</v>
      </c>
      <c r="P151" s="80" t="s">
        <v>33</v>
      </c>
      <c r="Q151" s="80">
        <v>2000481</v>
      </c>
      <c r="R151" s="80" t="s">
        <v>32</v>
      </c>
    </row>
    <row r="152" spans="2:18" hidden="1" x14ac:dyDescent="0.35">
      <c r="B152" s="63">
        <v>46181</v>
      </c>
      <c r="C152" t="s">
        <v>198</v>
      </c>
      <c r="D152" t="s">
        <v>51</v>
      </c>
      <c r="E152" t="s">
        <v>199</v>
      </c>
      <c r="F152" t="s">
        <v>200</v>
      </c>
      <c r="G152" t="s">
        <v>200</v>
      </c>
      <c r="H152" s="85" t="s">
        <v>63</v>
      </c>
      <c r="I152" t="s">
        <v>63</v>
      </c>
      <c r="J152" s="46"/>
      <c r="K152" t="s">
        <v>201</v>
      </c>
      <c r="L152" t="s">
        <v>202</v>
      </c>
      <c r="M152" s="52">
        <v>8365483</v>
      </c>
      <c r="N152" t="s">
        <v>57</v>
      </c>
      <c r="O152" t="s">
        <v>210</v>
      </c>
      <c r="P152" t="s">
        <v>33</v>
      </c>
      <c r="Q152">
        <v>2000484</v>
      </c>
      <c r="R152" t="s">
        <v>32</v>
      </c>
    </row>
    <row r="153" spans="2:18" hidden="1" x14ac:dyDescent="0.35">
      <c r="B153" s="63">
        <v>46181</v>
      </c>
      <c r="C153" t="s">
        <v>204</v>
      </c>
      <c r="D153" t="s">
        <v>51</v>
      </c>
      <c r="E153" t="s">
        <v>51</v>
      </c>
      <c r="F153" t="s">
        <v>205</v>
      </c>
      <c r="G153" t="s">
        <v>206</v>
      </c>
      <c r="H153" s="85">
        <v>8608365603</v>
      </c>
      <c r="I153" s="36">
        <v>47903</v>
      </c>
      <c r="J153" s="67" t="s">
        <v>207</v>
      </c>
      <c r="K153" t="s">
        <v>208</v>
      </c>
      <c r="L153" t="s">
        <v>209</v>
      </c>
      <c r="M153" s="52">
        <v>3825000</v>
      </c>
      <c r="N153" t="s">
        <v>57</v>
      </c>
      <c r="O153" t="s">
        <v>211</v>
      </c>
      <c r="P153" t="s">
        <v>33</v>
      </c>
      <c r="Q153">
        <v>2000485</v>
      </c>
      <c r="R153" t="s">
        <v>32</v>
      </c>
    </row>
    <row r="154" spans="2:18" hidden="1" x14ac:dyDescent="0.35">
      <c r="B154" s="63">
        <v>46181</v>
      </c>
      <c r="C154" t="s">
        <v>231</v>
      </c>
      <c r="D154" t="s">
        <v>351</v>
      </c>
      <c r="E154" t="s">
        <v>351</v>
      </c>
      <c r="F154" t="s">
        <v>352</v>
      </c>
      <c r="G154" t="s">
        <v>194</v>
      </c>
      <c r="H154" s="85">
        <v>398534607</v>
      </c>
      <c r="I154" s="36">
        <v>46247</v>
      </c>
      <c r="J154" s="46"/>
      <c r="L154" t="s">
        <v>191</v>
      </c>
      <c r="M154" s="52">
        <v>20000000</v>
      </c>
      <c r="N154" t="s">
        <v>57</v>
      </c>
      <c r="O154" t="s">
        <v>232</v>
      </c>
      <c r="P154" t="s">
        <v>33</v>
      </c>
      <c r="Q154">
        <v>2000486</v>
      </c>
      <c r="R154" t="s">
        <v>32</v>
      </c>
    </row>
    <row r="155" spans="2:18" hidden="1" x14ac:dyDescent="0.35">
      <c r="B155" s="63">
        <v>46182</v>
      </c>
      <c r="C155" t="s">
        <v>233</v>
      </c>
      <c r="D155" t="s">
        <v>82</v>
      </c>
      <c r="E155" t="s">
        <v>115</v>
      </c>
      <c r="F155" t="s">
        <v>234</v>
      </c>
      <c r="G155" t="s">
        <v>234</v>
      </c>
      <c r="H155" s="85" t="s">
        <v>63</v>
      </c>
      <c r="I155" s="36" t="s">
        <v>63</v>
      </c>
      <c r="J155" s="46" t="s">
        <v>63</v>
      </c>
      <c r="K155" t="s">
        <v>63</v>
      </c>
      <c r="L155" t="s">
        <v>356</v>
      </c>
      <c r="M155" s="52">
        <v>12046998</v>
      </c>
      <c r="N155" t="s">
        <v>57</v>
      </c>
      <c r="O155" t="s">
        <v>235</v>
      </c>
      <c r="P155" t="s">
        <v>33</v>
      </c>
      <c r="Q155">
        <v>2000487</v>
      </c>
      <c r="R155" t="s">
        <v>32</v>
      </c>
    </row>
    <row r="156" spans="2:18" hidden="1" x14ac:dyDescent="0.35">
      <c r="B156" s="63">
        <v>46182</v>
      </c>
      <c r="C156" t="s">
        <v>236</v>
      </c>
      <c r="D156" t="s">
        <v>51</v>
      </c>
      <c r="E156" t="s">
        <v>237</v>
      </c>
      <c r="F156" t="s">
        <v>238</v>
      </c>
      <c r="G156" t="s">
        <v>238</v>
      </c>
      <c r="H156" s="85" t="s">
        <v>63</v>
      </c>
      <c r="I156" s="36" t="s">
        <v>63</v>
      </c>
      <c r="J156" s="46" t="s">
        <v>239</v>
      </c>
      <c r="K156" t="s">
        <v>240</v>
      </c>
      <c r="L156" t="s">
        <v>241</v>
      </c>
      <c r="M156" s="68">
        <v>360000</v>
      </c>
      <c r="N156" t="s">
        <v>57</v>
      </c>
      <c r="O156" t="s">
        <v>242</v>
      </c>
      <c r="P156" t="s">
        <v>33</v>
      </c>
      <c r="Q156">
        <v>2000488</v>
      </c>
      <c r="R156" t="s">
        <v>32</v>
      </c>
    </row>
    <row r="157" spans="2:18" hidden="1" x14ac:dyDescent="0.35">
      <c r="B157" s="63">
        <v>46182</v>
      </c>
      <c r="C157" t="s">
        <v>243</v>
      </c>
      <c r="D157" t="s">
        <v>51</v>
      </c>
      <c r="E157" t="s">
        <v>29</v>
      </c>
      <c r="F157" t="s">
        <v>161</v>
      </c>
      <c r="G157" t="s">
        <v>143</v>
      </c>
      <c r="H157" s="85">
        <v>5924678990</v>
      </c>
      <c r="I157" s="65" t="s">
        <v>150</v>
      </c>
      <c r="J157" s="46" t="s">
        <v>151</v>
      </c>
      <c r="K157" t="s">
        <v>63</v>
      </c>
      <c r="L157" t="s">
        <v>244</v>
      </c>
      <c r="M157" s="68">
        <v>2500000</v>
      </c>
      <c r="N157" t="s">
        <v>245</v>
      </c>
      <c r="O157" t="s">
        <v>246</v>
      </c>
      <c r="P157" t="s">
        <v>33</v>
      </c>
      <c r="Q157">
        <v>3898154</v>
      </c>
      <c r="R157" t="s">
        <v>147</v>
      </c>
    </row>
    <row r="158" spans="2:18" hidden="1" x14ac:dyDescent="0.35">
      <c r="B158" s="63">
        <v>46184</v>
      </c>
      <c r="C158" t="s">
        <v>248</v>
      </c>
      <c r="D158" t="s">
        <v>51</v>
      </c>
      <c r="E158" t="s">
        <v>51</v>
      </c>
      <c r="F158" t="s">
        <v>257</v>
      </c>
      <c r="G158" t="s">
        <v>256</v>
      </c>
      <c r="H158" s="85">
        <v>100676162</v>
      </c>
      <c r="I158" s="65">
        <v>47370</v>
      </c>
      <c r="J158" s="46" t="s">
        <v>63</v>
      </c>
      <c r="K158" t="s">
        <v>63</v>
      </c>
      <c r="L158" t="s">
        <v>568</v>
      </c>
      <c r="M158" s="52">
        <v>5000000</v>
      </c>
      <c r="N158" t="s">
        <v>47</v>
      </c>
      <c r="O158" t="s">
        <v>179</v>
      </c>
      <c r="P158" t="s">
        <v>33</v>
      </c>
      <c r="Q158">
        <v>2000491</v>
      </c>
      <c r="R158" t="s">
        <v>32</v>
      </c>
    </row>
    <row r="159" spans="2:18" hidden="1" x14ac:dyDescent="0.35">
      <c r="B159" s="63">
        <v>46184</v>
      </c>
      <c r="C159" t="s">
        <v>261</v>
      </c>
      <c r="D159" t="s">
        <v>51</v>
      </c>
      <c r="E159" t="s">
        <v>51</v>
      </c>
      <c r="F159" t="s">
        <v>260</v>
      </c>
      <c r="G159" t="s">
        <v>260</v>
      </c>
      <c r="H159" s="85"/>
      <c r="J159" s="46"/>
      <c r="L159" t="s">
        <v>258</v>
      </c>
      <c r="M159" s="52">
        <v>500000</v>
      </c>
      <c r="N159" t="s">
        <v>57</v>
      </c>
      <c r="O159" t="s">
        <v>259</v>
      </c>
      <c r="P159" t="s">
        <v>33</v>
      </c>
      <c r="Q159">
        <v>2000492</v>
      </c>
      <c r="R159" t="s">
        <v>32</v>
      </c>
    </row>
    <row r="160" spans="2:18" hidden="1" x14ac:dyDescent="0.35">
      <c r="B160" s="63">
        <v>46184</v>
      </c>
      <c r="C160" t="s">
        <v>266</v>
      </c>
      <c r="D160" t="s">
        <v>82</v>
      </c>
      <c r="E160" t="s">
        <v>175</v>
      </c>
      <c r="F160" t="s">
        <v>263</v>
      </c>
      <c r="G160" t="s">
        <v>264</v>
      </c>
      <c r="H160" s="85">
        <v>7192262014</v>
      </c>
      <c r="I160" s="65" t="s">
        <v>267</v>
      </c>
      <c r="J160" s="46" t="s">
        <v>265</v>
      </c>
      <c r="L160" t="s">
        <v>262</v>
      </c>
      <c r="M160" s="52">
        <v>6000000</v>
      </c>
      <c r="N160" t="s">
        <v>57</v>
      </c>
      <c r="O160" t="s">
        <v>192</v>
      </c>
      <c r="P160" t="s">
        <v>33</v>
      </c>
      <c r="Q160">
        <v>2000493</v>
      </c>
      <c r="R160" t="s">
        <v>32</v>
      </c>
    </row>
    <row r="161" spans="2:18" hidden="1" x14ac:dyDescent="0.35">
      <c r="B161" s="63">
        <v>46184</v>
      </c>
      <c r="C161" t="s">
        <v>273</v>
      </c>
      <c r="D161" t="s">
        <v>51</v>
      </c>
      <c r="E161" t="s">
        <v>51</v>
      </c>
      <c r="F161" t="s">
        <v>269</v>
      </c>
      <c r="G161" t="s">
        <v>269</v>
      </c>
      <c r="H161" s="85" t="s">
        <v>270</v>
      </c>
      <c r="I161" s="65" t="s">
        <v>271</v>
      </c>
      <c r="J161" s="46" t="s">
        <v>63</v>
      </c>
      <c r="K161" t="s">
        <v>63</v>
      </c>
      <c r="L161" t="s">
        <v>268</v>
      </c>
      <c r="M161" s="52">
        <v>3000000</v>
      </c>
      <c r="N161" t="s">
        <v>47</v>
      </c>
      <c r="O161" t="s">
        <v>272</v>
      </c>
      <c r="P161" t="s">
        <v>33</v>
      </c>
      <c r="Q161">
        <v>2000494</v>
      </c>
      <c r="R161" t="s">
        <v>32</v>
      </c>
    </row>
    <row r="162" spans="2:18" hidden="1" x14ac:dyDescent="0.35">
      <c r="B162" s="63">
        <v>46182</v>
      </c>
      <c r="C162" t="s">
        <v>275</v>
      </c>
      <c r="D162" t="s">
        <v>51</v>
      </c>
      <c r="E162" t="s">
        <v>148</v>
      </c>
      <c r="F162" t="s">
        <v>161</v>
      </c>
      <c r="G162" t="s">
        <v>143</v>
      </c>
      <c r="H162" s="85">
        <v>5924678990</v>
      </c>
      <c r="I162" s="65" t="s">
        <v>150</v>
      </c>
      <c r="J162" s="46" t="s">
        <v>151</v>
      </c>
      <c r="L162" t="s">
        <v>144</v>
      </c>
      <c r="M162" s="68">
        <v>984984</v>
      </c>
      <c r="N162" t="s">
        <v>57</v>
      </c>
      <c r="O162" t="s">
        <v>247</v>
      </c>
      <c r="P162" t="s">
        <v>33</v>
      </c>
      <c r="Q162">
        <v>3898153</v>
      </c>
      <c r="R162" t="s">
        <v>147</v>
      </c>
    </row>
    <row r="163" spans="2:18" hidden="1" x14ac:dyDescent="0.35">
      <c r="B163" s="63">
        <v>46185</v>
      </c>
      <c r="C163" t="s">
        <v>281</v>
      </c>
      <c r="D163" t="s">
        <v>51</v>
      </c>
      <c r="E163" t="s">
        <v>199</v>
      </c>
      <c r="F163" t="s">
        <v>200</v>
      </c>
      <c r="G163" t="s">
        <v>200</v>
      </c>
      <c r="H163" s="85" t="s">
        <v>63</v>
      </c>
      <c r="I163" t="s">
        <v>63</v>
      </c>
      <c r="J163" s="46"/>
      <c r="K163" t="s">
        <v>280</v>
      </c>
      <c r="L163" t="s">
        <v>279</v>
      </c>
      <c r="M163" s="52">
        <v>1447629</v>
      </c>
      <c r="N163" t="s">
        <v>57</v>
      </c>
      <c r="O163" t="s">
        <v>308</v>
      </c>
      <c r="P163" t="s">
        <v>33</v>
      </c>
      <c r="Q163">
        <v>2000351</v>
      </c>
      <c r="R163" t="s">
        <v>32</v>
      </c>
    </row>
    <row r="164" spans="2:18" hidden="1" x14ac:dyDescent="0.35">
      <c r="B164" s="63">
        <v>46185</v>
      </c>
      <c r="C164" t="s">
        <v>288</v>
      </c>
      <c r="D164" t="s">
        <v>51</v>
      </c>
      <c r="E164" t="s">
        <v>285</v>
      </c>
      <c r="F164" t="s">
        <v>287</v>
      </c>
      <c r="G164" t="s">
        <v>287</v>
      </c>
      <c r="H164" s="85"/>
      <c r="J164" s="46"/>
      <c r="K164" t="s">
        <v>283</v>
      </c>
      <c r="L164" t="s">
        <v>284</v>
      </c>
      <c r="M164" s="52">
        <v>42877070</v>
      </c>
      <c r="N164" t="s">
        <v>57</v>
      </c>
      <c r="O164" t="s">
        <v>282</v>
      </c>
      <c r="P164" t="s">
        <v>33</v>
      </c>
      <c r="Q164">
        <v>2000497</v>
      </c>
      <c r="R164" t="s">
        <v>32</v>
      </c>
    </row>
    <row r="165" spans="2:18" hidden="1" x14ac:dyDescent="0.35">
      <c r="B165" s="63">
        <v>46185</v>
      </c>
      <c r="C165" t="s">
        <v>290</v>
      </c>
      <c r="D165" t="s">
        <v>51</v>
      </c>
      <c r="E165" t="s">
        <v>291</v>
      </c>
      <c r="F165" t="s">
        <v>286</v>
      </c>
      <c r="G165" t="s">
        <v>286</v>
      </c>
      <c r="H165" s="85"/>
      <c r="J165" s="46"/>
      <c r="K165" t="s">
        <v>293</v>
      </c>
      <c r="L165" t="s">
        <v>292</v>
      </c>
      <c r="M165" s="52">
        <v>2790000</v>
      </c>
      <c r="N165" t="s">
        <v>57</v>
      </c>
      <c r="O165" t="s">
        <v>289</v>
      </c>
      <c r="P165" t="s">
        <v>33</v>
      </c>
      <c r="Q165">
        <v>2000499</v>
      </c>
      <c r="R165" t="s">
        <v>32</v>
      </c>
    </row>
    <row r="166" spans="2:18" hidden="1" x14ac:dyDescent="0.35">
      <c r="B166" s="63">
        <v>46185</v>
      </c>
      <c r="C166" t="s">
        <v>298</v>
      </c>
      <c r="D166" t="s">
        <v>51</v>
      </c>
      <c r="E166" t="s">
        <v>297</v>
      </c>
      <c r="F166" t="s">
        <v>286</v>
      </c>
      <c r="G166" t="s">
        <v>286</v>
      </c>
      <c r="H166" s="85"/>
      <c r="J166" s="46"/>
      <c r="K166" t="s">
        <v>296</v>
      </c>
      <c r="L166" t="s">
        <v>295</v>
      </c>
      <c r="M166" s="52">
        <v>3751950</v>
      </c>
      <c r="N166" t="s">
        <v>57</v>
      </c>
      <c r="O166" t="s">
        <v>294</v>
      </c>
      <c r="P166" t="s">
        <v>33</v>
      </c>
      <c r="Q166">
        <v>2000498</v>
      </c>
      <c r="R166" t="s">
        <v>32</v>
      </c>
    </row>
    <row r="167" spans="2:18" hidden="1" x14ac:dyDescent="0.35">
      <c r="B167" s="63">
        <v>46185</v>
      </c>
      <c r="C167" t="s">
        <v>302</v>
      </c>
      <c r="D167" t="s">
        <v>51</v>
      </c>
      <c r="E167" t="s">
        <v>301</v>
      </c>
      <c r="F167" t="s">
        <v>286</v>
      </c>
      <c r="G167" t="s">
        <v>286</v>
      </c>
      <c r="H167" s="85"/>
      <c r="J167" s="46"/>
      <c r="K167">
        <v>9111502226</v>
      </c>
      <c r="L167" t="s">
        <v>300</v>
      </c>
      <c r="M167" s="52">
        <v>375000</v>
      </c>
      <c r="N167" t="s">
        <v>57</v>
      </c>
      <c r="O167" t="s">
        <v>299</v>
      </c>
      <c r="P167" t="s">
        <v>33</v>
      </c>
      <c r="Q167">
        <v>2000500</v>
      </c>
      <c r="R167" t="s">
        <v>32</v>
      </c>
    </row>
    <row r="168" spans="2:18" hidden="1" x14ac:dyDescent="0.35">
      <c r="B168" s="79">
        <v>46186</v>
      </c>
      <c r="C168" s="80" t="s">
        <v>312</v>
      </c>
      <c r="D168" s="80" t="s">
        <v>51</v>
      </c>
      <c r="E168" s="80" t="s">
        <v>199</v>
      </c>
      <c r="F168" s="80" t="s">
        <v>200</v>
      </c>
      <c r="G168" s="80" t="s">
        <v>200</v>
      </c>
      <c r="H168" s="87" t="s">
        <v>63</v>
      </c>
      <c r="I168" s="80" t="s">
        <v>63</v>
      </c>
      <c r="J168" s="81"/>
      <c r="K168" s="80" t="s">
        <v>311</v>
      </c>
      <c r="L168" s="80" t="s">
        <v>310</v>
      </c>
      <c r="M168" s="82">
        <v>1845557</v>
      </c>
      <c r="N168" s="80" t="s">
        <v>57</v>
      </c>
      <c r="O168" s="80" t="s">
        <v>309</v>
      </c>
      <c r="P168" s="80" t="s">
        <v>130</v>
      </c>
      <c r="Q168" s="80"/>
      <c r="R168" s="80" t="s">
        <v>147</v>
      </c>
    </row>
    <row r="169" spans="2:18" hidden="1" x14ac:dyDescent="0.35">
      <c r="B169" s="63">
        <v>46189</v>
      </c>
      <c r="C169" t="s">
        <v>319</v>
      </c>
      <c r="D169" t="s">
        <v>51</v>
      </c>
      <c r="E169" t="s">
        <v>51</v>
      </c>
      <c r="F169" t="s">
        <v>320</v>
      </c>
      <c r="G169" t="s">
        <v>323</v>
      </c>
      <c r="H169" s="85">
        <v>7438423479</v>
      </c>
      <c r="I169" s="36">
        <v>46215</v>
      </c>
      <c r="J169" s="46"/>
      <c r="K169" t="s">
        <v>321</v>
      </c>
      <c r="L169" t="s">
        <v>322</v>
      </c>
      <c r="M169" s="52">
        <v>5000000</v>
      </c>
      <c r="N169" t="s">
        <v>47</v>
      </c>
      <c r="O169" t="s">
        <v>179</v>
      </c>
      <c r="P169" t="s">
        <v>33</v>
      </c>
      <c r="Q169">
        <v>2000354</v>
      </c>
      <c r="R169" t="s">
        <v>32</v>
      </c>
    </row>
    <row r="170" spans="2:18" hidden="1" x14ac:dyDescent="0.35">
      <c r="B170" s="63">
        <v>46189</v>
      </c>
      <c r="C170" t="s">
        <v>324</v>
      </c>
      <c r="D170" t="s">
        <v>51</v>
      </c>
      <c r="E170" t="s">
        <v>51</v>
      </c>
      <c r="F170" t="s">
        <v>325</v>
      </c>
      <c r="G170" t="s">
        <v>325</v>
      </c>
      <c r="H170" s="85">
        <v>2961395031</v>
      </c>
      <c r="I170" s="36">
        <v>47526</v>
      </c>
      <c r="J170" s="46"/>
      <c r="L170" t="s">
        <v>327</v>
      </c>
      <c r="M170" s="52">
        <v>211200</v>
      </c>
      <c r="N170" t="s">
        <v>57</v>
      </c>
      <c r="O170" t="s">
        <v>326</v>
      </c>
      <c r="P170" t="s">
        <v>33</v>
      </c>
      <c r="Q170">
        <v>2000355</v>
      </c>
      <c r="R170" t="s">
        <v>32</v>
      </c>
    </row>
    <row r="171" spans="2:18" hidden="1" x14ac:dyDescent="0.35">
      <c r="B171" s="63">
        <v>46190</v>
      </c>
      <c r="C171" t="s">
        <v>334</v>
      </c>
      <c r="D171" t="s">
        <v>338</v>
      </c>
      <c r="E171" t="s">
        <v>338</v>
      </c>
      <c r="F171" t="s">
        <v>335</v>
      </c>
      <c r="G171" t="s">
        <v>335</v>
      </c>
      <c r="H171" s="85"/>
      <c r="J171" s="46"/>
      <c r="L171" t="s">
        <v>354</v>
      </c>
      <c r="M171" s="52">
        <v>73000000</v>
      </c>
      <c r="N171" t="s">
        <v>57</v>
      </c>
      <c r="O171" t="s">
        <v>336</v>
      </c>
      <c r="P171" t="s">
        <v>33</v>
      </c>
      <c r="Q171">
        <v>5822116</v>
      </c>
      <c r="R171" t="s">
        <v>337</v>
      </c>
    </row>
    <row r="172" spans="2:18" hidden="1" x14ac:dyDescent="0.35">
      <c r="B172" s="63">
        <v>46190</v>
      </c>
      <c r="C172" t="s">
        <v>339</v>
      </c>
      <c r="D172" t="s">
        <v>28</v>
      </c>
      <c r="E172" t="s">
        <v>29</v>
      </c>
      <c r="F172" t="s">
        <v>38</v>
      </c>
      <c r="G172" t="s">
        <v>38</v>
      </c>
      <c r="H172" s="85">
        <v>100146686</v>
      </c>
      <c r="I172" s="36">
        <v>47215</v>
      </c>
      <c r="J172" s="46" t="s">
        <v>39</v>
      </c>
      <c r="K172" t="s">
        <v>341</v>
      </c>
      <c r="L172" t="s">
        <v>30</v>
      </c>
      <c r="M172" s="52">
        <v>13809880</v>
      </c>
      <c r="N172" t="s">
        <v>57</v>
      </c>
      <c r="O172" t="s">
        <v>340</v>
      </c>
      <c r="P172" t="s">
        <v>33</v>
      </c>
      <c r="Q172">
        <v>5822117</v>
      </c>
      <c r="R172" t="s">
        <v>337</v>
      </c>
    </row>
    <row r="173" spans="2:18" hidden="1" x14ac:dyDescent="0.35">
      <c r="B173" s="63">
        <v>46191</v>
      </c>
      <c r="C173" t="s">
        <v>342</v>
      </c>
      <c r="D173" t="s">
        <v>82</v>
      </c>
      <c r="E173" t="s">
        <v>115</v>
      </c>
      <c r="F173" t="s">
        <v>234</v>
      </c>
      <c r="G173" t="s">
        <v>234</v>
      </c>
      <c r="H173" s="85" t="s">
        <v>63</v>
      </c>
      <c r="I173" s="36" t="s">
        <v>63</v>
      </c>
      <c r="J173" s="46" t="s">
        <v>63</v>
      </c>
      <c r="K173" t="s">
        <v>63</v>
      </c>
      <c r="L173" t="s">
        <v>344</v>
      </c>
      <c r="M173" s="52">
        <v>3349168</v>
      </c>
      <c r="N173" t="s">
        <v>57</v>
      </c>
      <c r="O173" t="s">
        <v>343</v>
      </c>
      <c r="P173" t="s">
        <v>33</v>
      </c>
      <c r="Q173">
        <v>2000356</v>
      </c>
      <c r="R173" t="s">
        <v>32</v>
      </c>
    </row>
    <row r="174" spans="2:18" hidden="1" x14ac:dyDescent="0.35">
      <c r="B174" s="63">
        <v>46191</v>
      </c>
      <c r="C174" t="s">
        <v>345</v>
      </c>
      <c r="D174" t="s">
        <v>82</v>
      </c>
      <c r="E174" t="s">
        <v>175</v>
      </c>
      <c r="F174" t="s">
        <v>347</v>
      </c>
      <c r="G174" t="s">
        <v>348</v>
      </c>
      <c r="H174" s="85">
        <v>7668041413</v>
      </c>
      <c r="I174" s="36">
        <v>46670</v>
      </c>
      <c r="J174" s="46" t="s">
        <v>346</v>
      </c>
      <c r="K174" t="s">
        <v>63</v>
      </c>
      <c r="L174" t="s">
        <v>528</v>
      </c>
      <c r="M174" s="52">
        <v>10000000</v>
      </c>
      <c r="N174" t="s">
        <v>57</v>
      </c>
      <c r="O174" t="s">
        <v>187</v>
      </c>
      <c r="P174" t="s">
        <v>33</v>
      </c>
      <c r="Q174">
        <v>5822118</v>
      </c>
      <c r="R174" t="s">
        <v>337</v>
      </c>
    </row>
    <row r="175" spans="2:18" hidden="1" x14ac:dyDescent="0.35">
      <c r="B175" s="63">
        <v>46192</v>
      </c>
      <c r="C175" t="s">
        <v>350</v>
      </c>
      <c r="D175" t="s">
        <v>351</v>
      </c>
      <c r="E175" t="s">
        <v>351</v>
      </c>
      <c r="F175" t="s">
        <v>352</v>
      </c>
      <c r="G175" t="s">
        <v>194</v>
      </c>
      <c r="H175" s="85">
        <v>398534607</v>
      </c>
      <c r="I175" s="36">
        <v>46247</v>
      </c>
      <c r="J175" s="46"/>
      <c r="L175" t="s">
        <v>191</v>
      </c>
      <c r="M175" s="52">
        <v>25000000</v>
      </c>
      <c r="N175" t="s">
        <v>57</v>
      </c>
      <c r="O175" t="s">
        <v>349</v>
      </c>
      <c r="P175" t="s">
        <v>33</v>
      </c>
      <c r="Q175">
        <v>5822119</v>
      </c>
      <c r="R175" t="s">
        <v>337</v>
      </c>
    </row>
    <row r="176" spans="2:18" hidden="1" x14ac:dyDescent="0.35">
      <c r="B176" s="63">
        <v>46195</v>
      </c>
      <c r="C176" t="s">
        <v>355</v>
      </c>
      <c r="D176" t="s">
        <v>338</v>
      </c>
      <c r="E176" t="s">
        <v>338</v>
      </c>
      <c r="F176" t="s">
        <v>335</v>
      </c>
      <c r="G176" t="s">
        <v>335</v>
      </c>
      <c r="H176" s="85"/>
      <c r="J176" s="46"/>
      <c r="L176" t="s">
        <v>354</v>
      </c>
      <c r="M176" s="52">
        <v>200000000</v>
      </c>
      <c r="N176" t="s">
        <v>57</v>
      </c>
      <c r="O176" t="s">
        <v>353</v>
      </c>
      <c r="P176" t="s">
        <v>33</v>
      </c>
      <c r="Q176">
        <v>5822120</v>
      </c>
      <c r="R176" t="s">
        <v>337</v>
      </c>
    </row>
    <row r="177" spans="2:18" hidden="1" x14ac:dyDescent="0.35">
      <c r="B177" s="63">
        <v>46195</v>
      </c>
      <c r="C177" t="s">
        <v>357</v>
      </c>
      <c r="D177" t="s">
        <v>82</v>
      </c>
      <c r="E177" t="s">
        <v>115</v>
      </c>
      <c r="F177" t="s">
        <v>234</v>
      </c>
      <c r="G177" t="s">
        <v>234</v>
      </c>
      <c r="H177" s="85" t="s">
        <v>63</v>
      </c>
      <c r="I177" s="36" t="s">
        <v>63</v>
      </c>
      <c r="J177" s="46" t="s">
        <v>63</v>
      </c>
      <c r="K177" t="s">
        <v>63</v>
      </c>
      <c r="L177" t="s">
        <v>359</v>
      </c>
      <c r="M177" s="52">
        <v>9488296</v>
      </c>
      <c r="N177" t="s">
        <v>57</v>
      </c>
      <c r="O177" t="s">
        <v>360</v>
      </c>
      <c r="P177" t="s">
        <v>33</v>
      </c>
      <c r="Q177">
        <v>2000358</v>
      </c>
      <c r="R177" t="s">
        <v>32</v>
      </c>
    </row>
    <row r="178" spans="2:18" hidden="1" x14ac:dyDescent="0.35">
      <c r="B178" s="63">
        <v>46195</v>
      </c>
      <c r="C178" t="s">
        <v>358</v>
      </c>
      <c r="D178" t="s">
        <v>82</v>
      </c>
      <c r="E178" t="s">
        <v>115</v>
      </c>
      <c r="F178" t="s">
        <v>234</v>
      </c>
      <c r="G178" t="s">
        <v>234</v>
      </c>
      <c r="H178" s="85" t="s">
        <v>63</v>
      </c>
      <c r="I178" t="s">
        <v>63</v>
      </c>
      <c r="J178" s="46" t="s">
        <v>63</v>
      </c>
      <c r="K178" t="s">
        <v>63</v>
      </c>
      <c r="L178" t="s">
        <v>392</v>
      </c>
      <c r="M178" s="52">
        <v>1880958</v>
      </c>
      <c r="N178" t="s">
        <v>57</v>
      </c>
      <c r="O178" t="s">
        <v>361</v>
      </c>
      <c r="P178" t="s">
        <v>33</v>
      </c>
      <c r="Q178">
        <v>2000359</v>
      </c>
      <c r="R178" t="s">
        <v>32</v>
      </c>
    </row>
    <row r="179" spans="2:18" hidden="1" x14ac:dyDescent="0.35">
      <c r="B179" s="63">
        <v>46195</v>
      </c>
      <c r="C179" t="s">
        <v>362</v>
      </c>
      <c r="D179" t="s">
        <v>51</v>
      </c>
      <c r="E179" t="s">
        <v>51</v>
      </c>
      <c r="F179" t="s">
        <v>363</v>
      </c>
      <c r="G179" t="s">
        <v>364</v>
      </c>
      <c r="H179" s="85">
        <v>400436585</v>
      </c>
      <c r="I179" s="36">
        <v>46246</v>
      </c>
      <c r="J179" s="46" t="s">
        <v>365</v>
      </c>
      <c r="L179" t="s">
        <v>368</v>
      </c>
      <c r="M179" s="52">
        <v>1816500</v>
      </c>
      <c r="N179" t="s">
        <v>57</v>
      </c>
      <c r="O179" t="s">
        <v>366</v>
      </c>
      <c r="P179" t="s">
        <v>33</v>
      </c>
      <c r="Q179">
        <v>2000360</v>
      </c>
      <c r="R179" t="s">
        <v>32</v>
      </c>
    </row>
    <row r="180" spans="2:18" hidden="1" x14ac:dyDescent="0.35">
      <c r="B180" s="63">
        <v>46195</v>
      </c>
      <c r="C180" t="s">
        <v>370</v>
      </c>
      <c r="D180" t="s">
        <v>51</v>
      </c>
      <c r="E180" t="s">
        <v>51</v>
      </c>
      <c r="F180" t="s">
        <v>363</v>
      </c>
      <c r="G180" t="s">
        <v>364</v>
      </c>
      <c r="H180" s="85">
        <v>400436585</v>
      </c>
      <c r="I180" s="36">
        <v>46246</v>
      </c>
      <c r="J180" s="46" t="s">
        <v>365</v>
      </c>
      <c r="L180" t="s">
        <v>369</v>
      </c>
      <c r="M180" s="52">
        <v>510000</v>
      </c>
      <c r="N180" t="s">
        <v>57</v>
      </c>
      <c r="O180" t="s">
        <v>367</v>
      </c>
      <c r="P180" t="s">
        <v>33</v>
      </c>
      <c r="Q180">
        <v>2000361</v>
      </c>
      <c r="R180" t="s">
        <v>32</v>
      </c>
    </row>
    <row r="181" spans="2:18" hidden="1" x14ac:dyDescent="0.35">
      <c r="B181" s="63">
        <v>46196</v>
      </c>
      <c r="C181" t="s">
        <v>378</v>
      </c>
      <c r="D181" t="s">
        <v>51</v>
      </c>
      <c r="E181" t="s">
        <v>199</v>
      </c>
      <c r="F181" t="s">
        <v>200</v>
      </c>
      <c r="G181" t="s">
        <v>200</v>
      </c>
      <c r="H181" s="85" t="s">
        <v>63</v>
      </c>
      <c r="I181" t="s">
        <v>63</v>
      </c>
      <c r="J181" s="46" t="s">
        <v>63</v>
      </c>
      <c r="K181" t="s">
        <v>379</v>
      </c>
      <c r="L181" t="s">
        <v>380</v>
      </c>
      <c r="M181" s="52">
        <v>8263348</v>
      </c>
      <c r="N181" t="s">
        <v>57</v>
      </c>
      <c r="O181" t="s">
        <v>381</v>
      </c>
      <c r="P181" t="s">
        <v>33</v>
      </c>
      <c r="Q181">
        <v>2000362</v>
      </c>
      <c r="R181" t="s">
        <v>32</v>
      </c>
    </row>
    <row r="182" spans="2:18" hidden="1" x14ac:dyDescent="0.35">
      <c r="B182" s="63">
        <v>46197</v>
      </c>
      <c r="C182" t="s">
        <v>382</v>
      </c>
      <c r="D182" t="s">
        <v>51</v>
      </c>
      <c r="E182" t="s">
        <v>199</v>
      </c>
      <c r="F182" t="s">
        <v>200</v>
      </c>
      <c r="G182" t="s">
        <v>200</v>
      </c>
      <c r="H182" s="85" t="s">
        <v>63</v>
      </c>
      <c r="I182" t="s">
        <v>63</v>
      </c>
      <c r="J182" s="46" t="s">
        <v>63</v>
      </c>
      <c r="K182" t="s">
        <v>383</v>
      </c>
      <c r="L182" t="s">
        <v>384</v>
      </c>
      <c r="M182" s="52">
        <v>4403578</v>
      </c>
      <c r="N182" t="s">
        <v>57</v>
      </c>
      <c r="O182" t="s">
        <v>385</v>
      </c>
      <c r="P182" t="s">
        <v>33</v>
      </c>
      <c r="Q182">
        <v>2000263</v>
      </c>
      <c r="R182" t="s">
        <v>32</v>
      </c>
    </row>
    <row r="183" spans="2:18" hidden="1" x14ac:dyDescent="0.35">
      <c r="B183" s="63">
        <v>46197</v>
      </c>
      <c r="C183" t="s">
        <v>388</v>
      </c>
      <c r="D183" t="s">
        <v>82</v>
      </c>
      <c r="E183" t="s">
        <v>175</v>
      </c>
      <c r="F183" t="s">
        <v>386</v>
      </c>
      <c r="G183" t="s">
        <v>83</v>
      </c>
      <c r="H183" s="85">
        <v>7506116519</v>
      </c>
      <c r="I183" s="36">
        <v>48001</v>
      </c>
      <c r="J183" s="46" t="s">
        <v>84</v>
      </c>
      <c r="K183" t="s">
        <v>63</v>
      </c>
      <c r="L183" t="s">
        <v>387</v>
      </c>
      <c r="M183" s="52">
        <v>3000000</v>
      </c>
      <c r="N183" t="s">
        <v>57</v>
      </c>
      <c r="O183" t="s">
        <v>272</v>
      </c>
      <c r="P183" t="s">
        <v>33</v>
      </c>
      <c r="Q183">
        <v>2000364</v>
      </c>
      <c r="R183" t="s">
        <v>32</v>
      </c>
    </row>
    <row r="184" spans="2:18" hidden="1" x14ac:dyDescent="0.35">
      <c r="B184" s="63">
        <v>46197</v>
      </c>
      <c r="C184" t="s">
        <v>393</v>
      </c>
      <c r="D184" t="s">
        <v>51</v>
      </c>
      <c r="E184" t="s">
        <v>51</v>
      </c>
      <c r="F184" t="s">
        <v>161</v>
      </c>
      <c r="G184" t="s">
        <v>143</v>
      </c>
      <c r="H184" s="85">
        <v>5924678990</v>
      </c>
      <c r="I184" s="36">
        <v>46629</v>
      </c>
      <c r="J184" s="46" t="s">
        <v>151</v>
      </c>
      <c r="K184" t="s">
        <v>394</v>
      </c>
      <c r="L184" t="s">
        <v>395</v>
      </c>
      <c r="M184" s="52">
        <v>1175570</v>
      </c>
      <c r="N184" t="s">
        <v>57</v>
      </c>
      <c r="O184" t="s">
        <v>396</v>
      </c>
      <c r="P184" t="s">
        <v>33</v>
      </c>
      <c r="Q184">
        <v>2000365</v>
      </c>
      <c r="R184" t="s">
        <v>32</v>
      </c>
    </row>
    <row r="185" spans="2:18" hidden="1" x14ac:dyDescent="0.35">
      <c r="B185" s="63">
        <v>46198</v>
      </c>
      <c r="C185" t="s">
        <v>401</v>
      </c>
      <c r="D185" t="s">
        <v>51</v>
      </c>
      <c r="E185" t="s">
        <v>51</v>
      </c>
      <c r="F185" t="s">
        <v>320</v>
      </c>
      <c r="G185" t="s">
        <v>1281</v>
      </c>
      <c r="H185" s="85">
        <v>1071012095</v>
      </c>
      <c r="I185" s="36">
        <v>47904</v>
      </c>
      <c r="J185" s="46" t="s">
        <v>63</v>
      </c>
      <c r="K185" t="s">
        <v>63</v>
      </c>
      <c r="L185" t="s">
        <v>402</v>
      </c>
      <c r="M185" s="52">
        <v>3960000</v>
      </c>
      <c r="N185" t="s">
        <v>57</v>
      </c>
      <c r="O185" t="s">
        <v>403</v>
      </c>
      <c r="P185" t="s">
        <v>33</v>
      </c>
      <c r="Q185">
        <v>2000366</v>
      </c>
      <c r="R185" t="s">
        <v>32</v>
      </c>
    </row>
    <row r="186" spans="2:18" hidden="1" x14ac:dyDescent="0.35">
      <c r="B186" s="73">
        <v>46198</v>
      </c>
      <c r="C186" s="74" t="s">
        <v>404</v>
      </c>
      <c r="D186" s="74" t="s">
        <v>432</v>
      </c>
      <c r="E186" s="74" t="s">
        <v>432</v>
      </c>
      <c r="F186" s="74"/>
      <c r="G186" s="74"/>
      <c r="H186" s="88"/>
      <c r="I186" s="75"/>
      <c r="J186" s="76"/>
      <c r="K186" s="74"/>
      <c r="L186" s="74"/>
      <c r="M186" s="77"/>
      <c r="N186" s="74"/>
      <c r="O186" s="74"/>
      <c r="P186" s="74"/>
      <c r="Q186" s="74"/>
      <c r="R186" s="74"/>
    </row>
    <row r="187" spans="2:18" hidden="1" x14ac:dyDescent="0.35">
      <c r="B187" s="63">
        <v>46199</v>
      </c>
      <c r="C187" t="s">
        <v>405</v>
      </c>
      <c r="D187" t="s">
        <v>51</v>
      </c>
      <c r="E187" t="s">
        <v>51</v>
      </c>
      <c r="F187" t="s">
        <v>406</v>
      </c>
      <c r="G187" t="s">
        <v>406</v>
      </c>
      <c r="H187" s="85">
        <v>4918023191</v>
      </c>
      <c r="I187" s="36">
        <v>47919</v>
      </c>
      <c r="J187" s="46" t="s">
        <v>407</v>
      </c>
      <c r="K187" t="s">
        <v>63</v>
      </c>
      <c r="L187" t="s">
        <v>408</v>
      </c>
      <c r="M187" s="52">
        <v>10000000</v>
      </c>
      <c r="N187" t="s">
        <v>57</v>
      </c>
      <c r="O187" t="s">
        <v>187</v>
      </c>
      <c r="P187" t="s">
        <v>33</v>
      </c>
      <c r="Q187">
        <v>2000367</v>
      </c>
      <c r="R187" t="s">
        <v>32</v>
      </c>
    </row>
    <row r="188" spans="2:18" hidden="1" x14ac:dyDescent="0.35">
      <c r="B188" s="63">
        <v>46183</v>
      </c>
      <c r="C188" t="s">
        <v>426</v>
      </c>
      <c r="D188" t="s">
        <v>51</v>
      </c>
      <c r="E188" t="s">
        <v>51</v>
      </c>
      <c r="F188" t="s">
        <v>425</v>
      </c>
      <c r="G188" t="s">
        <v>425</v>
      </c>
      <c r="H188" s="85">
        <v>3172810558</v>
      </c>
      <c r="I188" s="36">
        <v>47947</v>
      </c>
      <c r="J188" s="46" t="s">
        <v>427</v>
      </c>
      <c r="K188" t="s">
        <v>63</v>
      </c>
      <c r="L188" t="s">
        <v>428</v>
      </c>
      <c r="M188" s="52">
        <v>120000</v>
      </c>
      <c r="N188" t="s">
        <v>57</v>
      </c>
      <c r="O188" t="s">
        <v>429</v>
      </c>
      <c r="P188" t="s">
        <v>33</v>
      </c>
      <c r="Q188">
        <v>2000490</v>
      </c>
      <c r="R188" t="s">
        <v>32</v>
      </c>
    </row>
    <row r="189" spans="2:18" hidden="1" x14ac:dyDescent="0.35">
      <c r="B189" s="63">
        <v>46203</v>
      </c>
      <c r="C189" t="s">
        <v>448</v>
      </c>
      <c r="D189" t="s">
        <v>51</v>
      </c>
      <c r="E189" t="s">
        <v>51</v>
      </c>
      <c r="F189" t="s">
        <v>447</v>
      </c>
      <c r="G189" t="s">
        <v>447</v>
      </c>
      <c r="H189" s="85" t="s">
        <v>63</v>
      </c>
      <c r="I189" t="s">
        <v>63</v>
      </c>
      <c r="J189" s="46" t="s">
        <v>63</v>
      </c>
      <c r="K189" t="s">
        <v>449</v>
      </c>
      <c r="L189" t="s">
        <v>450</v>
      </c>
      <c r="M189" s="52">
        <v>9012200</v>
      </c>
      <c r="N189" t="s">
        <v>57</v>
      </c>
      <c r="O189" t="s">
        <v>451</v>
      </c>
      <c r="P189" t="s">
        <v>33</v>
      </c>
      <c r="Q189">
        <v>5822121</v>
      </c>
      <c r="R189" t="s">
        <v>337</v>
      </c>
    </row>
    <row r="190" spans="2:18" hidden="1" x14ac:dyDescent="0.35">
      <c r="B190" s="63">
        <v>46204</v>
      </c>
      <c r="C190" t="s">
        <v>460</v>
      </c>
      <c r="D190" t="s">
        <v>82</v>
      </c>
      <c r="E190" t="s">
        <v>461</v>
      </c>
      <c r="F190" t="s">
        <v>459</v>
      </c>
      <c r="G190" t="s">
        <v>264</v>
      </c>
      <c r="H190" s="85">
        <v>7192262014</v>
      </c>
      <c r="I190" s="36">
        <v>46581</v>
      </c>
      <c r="J190" s="46" t="s">
        <v>265</v>
      </c>
      <c r="K190" t="s">
        <v>63</v>
      </c>
      <c r="L190" t="s">
        <v>462</v>
      </c>
      <c r="M190" s="52">
        <v>7000000</v>
      </c>
      <c r="N190" t="s">
        <v>57</v>
      </c>
      <c r="O190" t="s">
        <v>458</v>
      </c>
      <c r="P190" t="s">
        <v>33</v>
      </c>
      <c r="Q190">
        <v>5822122</v>
      </c>
      <c r="R190" t="s">
        <v>337</v>
      </c>
    </row>
    <row r="191" spans="2:18" hidden="1" x14ac:dyDescent="0.35">
      <c r="B191" s="63">
        <v>46199</v>
      </c>
      <c r="C191" t="s">
        <v>466</v>
      </c>
      <c r="D191" t="s">
        <v>471</v>
      </c>
      <c r="E191" t="s">
        <v>135</v>
      </c>
      <c r="F191" t="s">
        <v>463</v>
      </c>
      <c r="G191" t="s">
        <v>463</v>
      </c>
      <c r="H191" s="85" t="s">
        <v>63</v>
      </c>
      <c r="I191" t="s">
        <v>63</v>
      </c>
      <c r="J191" s="46" t="s">
        <v>464</v>
      </c>
      <c r="K191" t="s">
        <v>63</v>
      </c>
      <c r="L191" t="s">
        <v>465</v>
      </c>
      <c r="M191" s="52">
        <v>25000000</v>
      </c>
      <c r="N191" t="s">
        <v>57</v>
      </c>
      <c r="O191" t="s">
        <v>349</v>
      </c>
      <c r="P191" t="s">
        <v>130</v>
      </c>
      <c r="Q191" t="s">
        <v>63</v>
      </c>
      <c r="R191" t="s">
        <v>32</v>
      </c>
    </row>
    <row r="192" spans="2:18" hidden="1" x14ac:dyDescent="0.35">
      <c r="B192" s="63">
        <v>46199</v>
      </c>
      <c r="C192" t="s">
        <v>467</v>
      </c>
      <c r="D192" t="s">
        <v>471</v>
      </c>
      <c r="E192" t="s">
        <v>135</v>
      </c>
      <c r="F192" t="s">
        <v>468</v>
      </c>
      <c r="G192" t="s">
        <v>468</v>
      </c>
      <c r="H192" s="85" t="s">
        <v>63</v>
      </c>
      <c r="I192" t="s">
        <v>63</v>
      </c>
      <c r="J192" s="46" t="s">
        <v>469</v>
      </c>
      <c r="K192" t="s">
        <v>63</v>
      </c>
      <c r="L192" t="s">
        <v>470</v>
      </c>
      <c r="M192" s="52">
        <v>10000000</v>
      </c>
      <c r="N192" t="s">
        <v>57</v>
      </c>
      <c r="O192" t="s">
        <v>187</v>
      </c>
      <c r="P192" t="s">
        <v>130</v>
      </c>
      <c r="Q192" t="s">
        <v>63</v>
      </c>
      <c r="R192" t="s">
        <v>32</v>
      </c>
    </row>
    <row r="193" spans="2:18" hidden="1" x14ac:dyDescent="0.35">
      <c r="B193" s="79">
        <v>46205</v>
      </c>
      <c r="C193" s="80" t="s">
        <v>501</v>
      </c>
      <c r="D193" s="80" t="s">
        <v>471</v>
      </c>
      <c r="E193" s="80" t="s">
        <v>135</v>
      </c>
      <c r="F193" s="80" t="s">
        <v>502</v>
      </c>
      <c r="G193" s="80" t="s">
        <v>503</v>
      </c>
      <c r="H193" s="87">
        <v>8940281048</v>
      </c>
      <c r="I193" s="83">
        <v>46411</v>
      </c>
      <c r="J193" s="81" t="s">
        <v>504</v>
      </c>
      <c r="K193" s="80" t="s">
        <v>63</v>
      </c>
      <c r="L193" s="80" t="s">
        <v>506</v>
      </c>
      <c r="M193" s="82">
        <v>7657000</v>
      </c>
      <c r="N193" s="80" t="s">
        <v>57</v>
      </c>
      <c r="O193" s="80" t="s">
        <v>505</v>
      </c>
      <c r="P193" s="80" t="s">
        <v>33</v>
      </c>
      <c r="Q193" s="80">
        <v>2000368</v>
      </c>
      <c r="R193" s="80" t="s">
        <v>32</v>
      </c>
    </row>
    <row r="194" spans="2:18" hidden="1" x14ac:dyDescent="0.35">
      <c r="B194" s="63">
        <v>46206</v>
      </c>
      <c r="C194" t="s">
        <v>514</v>
      </c>
      <c r="D194" t="s">
        <v>471</v>
      </c>
      <c r="E194" t="s">
        <v>135</v>
      </c>
      <c r="F194" t="s">
        <v>468</v>
      </c>
      <c r="G194" t="s">
        <v>468</v>
      </c>
      <c r="H194" s="85" t="s">
        <v>63</v>
      </c>
      <c r="I194" t="s">
        <v>63</v>
      </c>
      <c r="J194" s="46" t="s">
        <v>469</v>
      </c>
      <c r="K194" t="s">
        <v>63</v>
      </c>
      <c r="L194" t="s">
        <v>470</v>
      </c>
      <c r="M194" s="52">
        <v>12985600</v>
      </c>
      <c r="N194" t="s">
        <v>57</v>
      </c>
      <c r="O194" t="s">
        <v>513</v>
      </c>
      <c r="P194" t="s">
        <v>130</v>
      </c>
      <c r="Q194" t="s">
        <v>63</v>
      </c>
      <c r="R194" t="s">
        <v>32</v>
      </c>
    </row>
    <row r="195" spans="2:18" hidden="1" x14ac:dyDescent="0.35">
      <c r="B195" s="63">
        <v>46206</v>
      </c>
      <c r="C195" t="s">
        <v>517</v>
      </c>
      <c r="D195" t="s">
        <v>51</v>
      </c>
      <c r="E195" t="s">
        <v>51</v>
      </c>
      <c r="F195" t="s">
        <v>518</v>
      </c>
      <c r="G195" t="s">
        <v>519</v>
      </c>
      <c r="H195" s="85">
        <v>257165585</v>
      </c>
      <c r="I195" s="36">
        <v>47958</v>
      </c>
      <c r="J195" s="46" t="s">
        <v>63</v>
      </c>
      <c r="K195" t="s">
        <v>520</v>
      </c>
      <c r="L195" t="s">
        <v>515</v>
      </c>
      <c r="M195" s="52">
        <v>200000</v>
      </c>
      <c r="N195" t="s">
        <v>57</v>
      </c>
      <c r="O195" t="s">
        <v>516</v>
      </c>
      <c r="P195" t="s">
        <v>33</v>
      </c>
      <c r="Q195">
        <v>2000370</v>
      </c>
      <c r="R195" t="s">
        <v>32</v>
      </c>
    </row>
    <row r="196" spans="2:18" hidden="1" x14ac:dyDescent="0.35">
      <c r="B196" s="63">
        <v>46206</v>
      </c>
      <c r="C196" t="s">
        <v>521</v>
      </c>
      <c r="D196" t="s">
        <v>338</v>
      </c>
      <c r="E196" t="s">
        <v>338</v>
      </c>
      <c r="F196" t="s">
        <v>335</v>
      </c>
      <c r="G196" t="s">
        <v>335</v>
      </c>
      <c r="H196" s="85" t="s">
        <v>63</v>
      </c>
      <c r="I196" t="s">
        <v>63</v>
      </c>
      <c r="J196" s="46" t="s">
        <v>63</v>
      </c>
      <c r="K196" t="s">
        <v>63</v>
      </c>
      <c r="L196" t="s">
        <v>354</v>
      </c>
      <c r="M196" s="52">
        <v>20000000</v>
      </c>
      <c r="N196" t="s">
        <v>57</v>
      </c>
      <c r="O196" t="s">
        <v>232</v>
      </c>
      <c r="P196" t="s">
        <v>33</v>
      </c>
      <c r="Q196">
        <v>5822123</v>
      </c>
      <c r="R196" t="s">
        <v>337</v>
      </c>
    </row>
    <row r="197" spans="2:18" hidden="1" x14ac:dyDescent="0.35">
      <c r="B197" s="63">
        <v>46206</v>
      </c>
      <c r="C197" t="s">
        <v>522</v>
      </c>
      <c r="D197" t="s">
        <v>51</v>
      </c>
      <c r="E197" t="s">
        <v>51</v>
      </c>
      <c r="F197" t="s">
        <v>161</v>
      </c>
      <c r="G197" t="s">
        <v>143</v>
      </c>
      <c r="H197" s="85">
        <v>5924678990</v>
      </c>
      <c r="I197" s="36">
        <v>46629</v>
      </c>
      <c r="J197" s="46" t="s">
        <v>151</v>
      </c>
      <c r="K197" t="s">
        <v>63</v>
      </c>
      <c r="L197" t="s">
        <v>395</v>
      </c>
      <c r="M197" s="52">
        <v>2500000</v>
      </c>
      <c r="N197" t="s">
        <v>57</v>
      </c>
      <c r="O197" t="s">
        <v>246</v>
      </c>
      <c r="P197" t="s">
        <v>33</v>
      </c>
      <c r="Q197">
        <v>2000371</v>
      </c>
      <c r="R197" t="s">
        <v>32</v>
      </c>
    </row>
    <row r="198" spans="2:18" hidden="1" x14ac:dyDescent="0.35">
      <c r="B198" s="63">
        <v>46206</v>
      </c>
      <c r="C198" t="s">
        <v>523</v>
      </c>
      <c r="D198" t="s">
        <v>338</v>
      </c>
      <c r="E198" t="s">
        <v>338</v>
      </c>
      <c r="F198" t="s">
        <v>335</v>
      </c>
      <c r="G198" t="s">
        <v>335</v>
      </c>
      <c r="H198" s="85" t="s">
        <v>63</v>
      </c>
      <c r="I198" t="s">
        <v>63</v>
      </c>
      <c r="J198" s="46" t="s">
        <v>63</v>
      </c>
      <c r="K198" t="s">
        <v>63</v>
      </c>
      <c r="L198" t="s">
        <v>354</v>
      </c>
      <c r="M198" s="52">
        <v>130000000</v>
      </c>
      <c r="N198" t="s">
        <v>57</v>
      </c>
      <c r="O198" t="s">
        <v>524</v>
      </c>
      <c r="P198" t="s">
        <v>33</v>
      </c>
      <c r="Q198">
        <v>5822125</v>
      </c>
      <c r="R198" t="s">
        <v>337</v>
      </c>
    </row>
    <row r="199" spans="2:18" hidden="1" x14ac:dyDescent="0.35">
      <c r="B199" s="63">
        <v>46206</v>
      </c>
      <c r="C199" t="s">
        <v>525</v>
      </c>
      <c r="D199" t="s">
        <v>338</v>
      </c>
      <c r="E199" t="s">
        <v>338</v>
      </c>
      <c r="F199" t="s">
        <v>335</v>
      </c>
      <c r="G199" t="s">
        <v>335</v>
      </c>
      <c r="H199" s="85" t="s">
        <v>63</v>
      </c>
      <c r="I199" t="s">
        <v>63</v>
      </c>
      <c r="J199" s="46" t="s">
        <v>63</v>
      </c>
      <c r="K199" t="s">
        <v>63</v>
      </c>
      <c r="L199" t="s">
        <v>354</v>
      </c>
      <c r="M199" s="52">
        <v>12000000</v>
      </c>
      <c r="N199" t="s">
        <v>57</v>
      </c>
      <c r="O199" t="s">
        <v>526</v>
      </c>
      <c r="P199" t="s">
        <v>33</v>
      </c>
      <c r="Q199">
        <v>5822124</v>
      </c>
      <c r="R199" t="s">
        <v>337</v>
      </c>
    </row>
    <row r="200" spans="2:18" hidden="1" x14ac:dyDescent="0.35">
      <c r="B200" s="63">
        <v>46207</v>
      </c>
      <c r="C200" t="s">
        <v>527</v>
      </c>
      <c r="D200" t="s">
        <v>82</v>
      </c>
      <c r="E200" t="s">
        <v>175</v>
      </c>
      <c r="F200" t="s">
        <v>347</v>
      </c>
      <c r="G200" t="s">
        <v>348</v>
      </c>
      <c r="H200" s="85">
        <v>7668041413</v>
      </c>
      <c r="I200" s="36">
        <v>46670</v>
      </c>
      <c r="J200" s="46" t="s">
        <v>346</v>
      </c>
      <c r="K200" t="s">
        <v>63</v>
      </c>
      <c r="L200" t="s">
        <v>528</v>
      </c>
      <c r="M200" s="52">
        <v>9000000</v>
      </c>
      <c r="N200" t="s">
        <v>57</v>
      </c>
      <c r="O200" t="s">
        <v>529</v>
      </c>
      <c r="P200" t="s">
        <v>33</v>
      </c>
      <c r="Q200">
        <v>5822126</v>
      </c>
      <c r="R200" t="s">
        <v>337</v>
      </c>
    </row>
    <row r="201" spans="2:18" hidden="1" x14ac:dyDescent="0.35">
      <c r="B201" s="63">
        <v>46206</v>
      </c>
      <c r="C201" t="s">
        <v>531</v>
      </c>
      <c r="D201" t="s">
        <v>51</v>
      </c>
      <c r="E201" t="s">
        <v>51</v>
      </c>
      <c r="F201" t="s">
        <v>260</v>
      </c>
      <c r="G201" t="s">
        <v>260</v>
      </c>
      <c r="H201" s="85" t="s">
        <v>63</v>
      </c>
      <c r="I201" t="s">
        <v>63</v>
      </c>
      <c r="J201" s="46" t="s">
        <v>63</v>
      </c>
      <c r="K201" t="s">
        <v>63</v>
      </c>
      <c r="L201" t="s">
        <v>258</v>
      </c>
      <c r="M201" s="52">
        <v>500000</v>
      </c>
      <c r="N201" t="s">
        <v>57</v>
      </c>
      <c r="O201" t="s">
        <v>259</v>
      </c>
      <c r="P201" t="s">
        <v>130</v>
      </c>
      <c r="Q201" t="s">
        <v>63</v>
      </c>
      <c r="R201" t="s">
        <v>32</v>
      </c>
    </row>
    <row r="202" spans="2:18" hidden="1" x14ac:dyDescent="0.35">
      <c r="B202" s="63">
        <v>46210</v>
      </c>
      <c r="C202" t="s">
        <v>532</v>
      </c>
      <c r="D202" t="s">
        <v>51</v>
      </c>
      <c r="E202" t="s">
        <v>51</v>
      </c>
      <c r="F202" t="s">
        <v>196</v>
      </c>
      <c r="G202" t="s">
        <v>196</v>
      </c>
      <c r="H202" s="85" t="s">
        <v>63</v>
      </c>
      <c r="I202" t="s">
        <v>63</v>
      </c>
      <c r="J202" s="46" t="s">
        <v>63</v>
      </c>
      <c r="K202" t="s">
        <v>63</v>
      </c>
      <c r="L202" t="s">
        <v>550</v>
      </c>
      <c r="M202" s="52">
        <v>2467834</v>
      </c>
      <c r="N202" t="s">
        <v>57</v>
      </c>
      <c r="O202" t="s">
        <v>197</v>
      </c>
      <c r="P202" t="s">
        <v>33</v>
      </c>
      <c r="Q202">
        <v>5822128</v>
      </c>
      <c r="R202" t="s">
        <v>337</v>
      </c>
    </row>
    <row r="203" spans="2:18" hidden="1" x14ac:dyDescent="0.35">
      <c r="B203" s="63">
        <v>46206</v>
      </c>
      <c r="C203" t="s">
        <v>534</v>
      </c>
      <c r="D203" t="s">
        <v>51</v>
      </c>
      <c r="E203" t="s">
        <v>253</v>
      </c>
      <c r="F203" t="s">
        <v>255</v>
      </c>
      <c r="G203" t="s">
        <v>63</v>
      </c>
      <c r="H203" s="85" t="s">
        <v>63</v>
      </c>
      <c r="I203" s="65" t="s">
        <v>63</v>
      </c>
      <c r="J203" s="46" t="s">
        <v>63</v>
      </c>
      <c r="K203" t="s">
        <v>63</v>
      </c>
      <c r="L203" t="s">
        <v>533</v>
      </c>
      <c r="M203" s="68">
        <v>2930000</v>
      </c>
      <c r="N203" t="s">
        <v>57</v>
      </c>
      <c r="O203" t="s">
        <v>129</v>
      </c>
      <c r="P203" t="s">
        <v>130</v>
      </c>
      <c r="Q203" t="s">
        <v>63</v>
      </c>
      <c r="R203" t="s">
        <v>32</v>
      </c>
    </row>
    <row r="204" spans="2:18" hidden="1" x14ac:dyDescent="0.35">
      <c r="B204" s="63">
        <v>46210</v>
      </c>
      <c r="C204" t="s">
        <v>536</v>
      </c>
      <c r="D204" t="s">
        <v>538</v>
      </c>
      <c r="E204" t="s">
        <v>175</v>
      </c>
      <c r="F204" t="s">
        <v>537</v>
      </c>
      <c r="G204" t="s">
        <v>537</v>
      </c>
      <c r="H204" s="85" t="s">
        <v>63</v>
      </c>
      <c r="I204" t="s">
        <v>63</v>
      </c>
      <c r="J204" s="46" t="s">
        <v>63</v>
      </c>
      <c r="K204" t="s">
        <v>539</v>
      </c>
      <c r="L204" t="s">
        <v>544</v>
      </c>
      <c r="M204" s="52">
        <v>940000</v>
      </c>
      <c r="N204" t="s">
        <v>57</v>
      </c>
      <c r="P204" t="s">
        <v>33</v>
      </c>
      <c r="Q204">
        <v>5822129</v>
      </c>
      <c r="R204" t="s">
        <v>337</v>
      </c>
    </row>
    <row r="205" spans="2:18" hidden="1" x14ac:dyDescent="0.35">
      <c r="B205" s="63">
        <v>46210</v>
      </c>
      <c r="C205" t="s">
        <v>536</v>
      </c>
      <c r="D205" t="s">
        <v>538</v>
      </c>
      <c r="E205" t="s">
        <v>175</v>
      </c>
      <c r="F205" t="s">
        <v>537</v>
      </c>
      <c r="G205" t="s">
        <v>537</v>
      </c>
      <c r="H205" s="85" t="s">
        <v>63</v>
      </c>
      <c r="I205" t="s">
        <v>63</v>
      </c>
      <c r="J205" s="46" t="s">
        <v>63</v>
      </c>
      <c r="K205" t="s">
        <v>540</v>
      </c>
      <c r="L205" t="s">
        <v>544</v>
      </c>
      <c r="M205" s="52">
        <v>494999</v>
      </c>
      <c r="N205" t="s">
        <v>57</v>
      </c>
      <c r="P205" t="s">
        <v>33</v>
      </c>
      <c r="Q205">
        <v>5822129</v>
      </c>
      <c r="R205" t="s">
        <v>337</v>
      </c>
    </row>
    <row r="206" spans="2:18" hidden="1" x14ac:dyDescent="0.35">
      <c r="B206" s="63">
        <v>46210</v>
      </c>
      <c r="C206" t="s">
        <v>536</v>
      </c>
      <c r="D206" t="s">
        <v>538</v>
      </c>
      <c r="E206" t="s">
        <v>175</v>
      </c>
      <c r="F206" t="s">
        <v>537</v>
      </c>
      <c r="G206" t="s">
        <v>537</v>
      </c>
      <c r="H206" s="85" t="s">
        <v>63</v>
      </c>
      <c r="I206" t="s">
        <v>63</v>
      </c>
      <c r="J206" s="46" t="s">
        <v>63</v>
      </c>
      <c r="K206" t="s">
        <v>541</v>
      </c>
      <c r="L206" t="s">
        <v>544</v>
      </c>
      <c r="M206" s="52">
        <v>494999</v>
      </c>
      <c r="N206" t="s">
        <v>57</v>
      </c>
      <c r="P206" t="s">
        <v>33</v>
      </c>
      <c r="Q206">
        <v>5822129</v>
      </c>
      <c r="R206" t="s">
        <v>337</v>
      </c>
    </row>
    <row r="207" spans="2:18" hidden="1" x14ac:dyDescent="0.35">
      <c r="B207" s="63">
        <v>46210</v>
      </c>
      <c r="C207" t="s">
        <v>536</v>
      </c>
      <c r="D207" t="s">
        <v>538</v>
      </c>
      <c r="E207" t="s">
        <v>175</v>
      </c>
      <c r="F207" t="s">
        <v>537</v>
      </c>
      <c r="G207" t="s">
        <v>537</v>
      </c>
      <c r="H207" s="85" t="s">
        <v>63</v>
      </c>
      <c r="I207" t="s">
        <v>63</v>
      </c>
      <c r="J207" s="46" t="s">
        <v>63</v>
      </c>
      <c r="K207" t="s">
        <v>542</v>
      </c>
      <c r="L207" t="s">
        <v>544</v>
      </c>
      <c r="M207" s="52">
        <v>939999</v>
      </c>
      <c r="N207" t="s">
        <v>57</v>
      </c>
      <c r="P207" t="s">
        <v>33</v>
      </c>
      <c r="Q207">
        <v>5822129</v>
      </c>
      <c r="R207" t="s">
        <v>337</v>
      </c>
    </row>
    <row r="208" spans="2:18" hidden="1" x14ac:dyDescent="0.35">
      <c r="B208" s="63">
        <v>46211</v>
      </c>
      <c r="C208" t="s">
        <v>545</v>
      </c>
      <c r="D208" t="s">
        <v>51</v>
      </c>
      <c r="E208" t="s">
        <v>51</v>
      </c>
      <c r="F208" t="s">
        <v>546</v>
      </c>
      <c r="G208" t="s">
        <v>546</v>
      </c>
      <c r="H208" s="85" t="s">
        <v>63</v>
      </c>
      <c r="I208" t="s">
        <v>63</v>
      </c>
      <c r="J208" s="46" t="s">
        <v>63</v>
      </c>
      <c r="K208" t="s">
        <v>547</v>
      </c>
      <c r="L208" t="s">
        <v>549</v>
      </c>
      <c r="M208" s="52">
        <v>2995539</v>
      </c>
      <c r="N208" t="s">
        <v>57</v>
      </c>
      <c r="O208" t="s">
        <v>548</v>
      </c>
      <c r="P208" t="s">
        <v>33</v>
      </c>
      <c r="Q208">
        <v>5822130</v>
      </c>
      <c r="R208" t="s">
        <v>337</v>
      </c>
    </row>
    <row r="209" spans="2:18" hidden="1" x14ac:dyDescent="0.35">
      <c r="B209" s="63">
        <v>46212</v>
      </c>
      <c r="C209" t="s">
        <v>558</v>
      </c>
      <c r="D209" t="s">
        <v>51</v>
      </c>
      <c r="E209" t="s">
        <v>51</v>
      </c>
      <c r="F209" t="s">
        <v>559</v>
      </c>
      <c r="G209" t="s">
        <v>560</v>
      </c>
      <c r="H209" s="85" t="s">
        <v>561</v>
      </c>
      <c r="I209" s="36">
        <v>47283</v>
      </c>
      <c r="J209" s="46" t="s">
        <v>63</v>
      </c>
      <c r="K209" t="s">
        <v>564</v>
      </c>
      <c r="L209" t="s">
        <v>562</v>
      </c>
      <c r="M209" s="52">
        <v>465600</v>
      </c>
      <c r="N209" t="s">
        <v>57</v>
      </c>
      <c r="O209" t="s">
        <v>563</v>
      </c>
      <c r="P209" t="s">
        <v>33</v>
      </c>
      <c r="Q209">
        <v>5822131</v>
      </c>
      <c r="R209" t="s">
        <v>337</v>
      </c>
    </row>
    <row r="210" spans="2:18" hidden="1" x14ac:dyDescent="0.35">
      <c r="B210" s="63">
        <v>46212</v>
      </c>
      <c r="C210" t="s">
        <v>567</v>
      </c>
      <c r="D210" t="s">
        <v>51</v>
      </c>
      <c r="E210" t="s">
        <v>51</v>
      </c>
      <c r="F210" t="s">
        <v>181</v>
      </c>
      <c r="G210" t="s">
        <v>185</v>
      </c>
      <c r="H210" s="85">
        <v>7767232054</v>
      </c>
      <c r="I210" s="36">
        <v>47794</v>
      </c>
      <c r="J210" s="46" t="s">
        <v>63</v>
      </c>
      <c r="K210" t="s">
        <v>808</v>
      </c>
      <c r="L210" t="s">
        <v>565</v>
      </c>
      <c r="M210" s="52">
        <v>4383739</v>
      </c>
      <c r="N210" t="s">
        <v>57</v>
      </c>
      <c r="O210" t="s">
        <v>566</v>
      </c>
      <c r="P210" t="s">
        <v>33</v>
      </c>
      <c r="Q210">
        <v>5822132</v>
      </c>
      <c r="R210" t="s">
        <v>337</v>
      </c>
    </row>
    <row r="211" spans="2:18" hidden="1" x14ac:dyDescent="0.35">
      <c r="B211" s="63">
        <v>46212</v>
      </c>
      <c r="C211" t="s">
        <v>570</v>
      </c>
      <c r="D211" t="s">
        <v>51</v>
      </c>
      <c r="E211" t="s">
        <v>51</v>
      </c>
      <c r="F211" t="s">
        <v>257</v>
      </c>
      <c r="G211" t="s">
        <v>256</v>
      </c>
      <c r="H211" s="85">
        <v>100676162</v>
      </c>
      <c r="I211" s="65">
        <v>47370</v>
      </c>
      <c r="J211" s="46" t="s">
        <v>63</v>
      </c>
      <c r="K211" t="s">
        <v>63</v>
      </c>
      <c r="L211" t="s">
        <v>568</v>
      </c>
      <c r="M211" s="52">
        <v>2381000</v>
      </c>
      <c r="N211" t="s">
        <v>57</v>
      </c>
      <c r="O211" t="s">
        <v>569</v>
      </c>
      <c r="P211" t="s">
        <v>33</v>
      </c>
      <c r="Q211">
        <v>5822133</v>
      </c>
      <c r="R211" t="s">
        <v>337</v>
      </c>
    </row>
    <row r="212" spans="2:18" hidden="1" x14ac:dyDescent="0.35">
      <c r="B212" s="63">
        <v>46213</v>
      </c>
      <c r="C212" t="s">
        <v>571</v>
      </c>
      <c r="D212" t="s">
        <v>51</v>
      </c>
      <c r="E212" t="s">
        <v>237</v>
      </c>
      <c r="F212" t="s">
        <v>238</v>
      </c>
      <c r="G212" t="s">
        <v>574</v>
      </c>
      <c r="H212" s="85">
        <v>20846854937426</v>
      </c>
      <c r="I212" s="36">
        <v>413157</v>
      </c>
      <c r="J212" s="46" t="s">
        <v>239</v>
      </c>
      <c r="K212" t="s">
        <v>63</v>
      </c>
      <c r="L212" t="s">
        <v>572</v>
      </c>
      <c r="M212" s="52">
        <v>349200</v>
      </c>
      <c r="N212" t="s">
        <v>57</v>
      </c>
      <c r="O212" t="s">
        <v>573</v>
      </c>
      <c r="P212" t="s">
        <v>33</v>
      </c>
      <c r="Q212">
        <v>5822134</v>
      </c>
      <c r="R212" t="s">
        <v>337</v>
      </c>
    </row>
    <row r="213" spans="2:18" hidden="1" x14ac:dyDescent="0.35">
      <c r="B213" s="63">
        <v>46213</v>
      </c>
      <c r="C213" t="s">
        <v>575</v>
      </c>
      <c r="D213" t="s">
        <v>471</v>
      </c>
      <c r="E213" t="s">
        <v>577</v>
      </c>
      <c r="F213" t="s">
        <v>578</v>
      </c>
      <c r="G213" t="s">
        <v>579</v>
      </c>
      <c r="H213" s="85">
        <v>20385422363025</v>
      </c>
      <c r="I213" s="36">
        <v>46569</v>
      </c>
      <c r="J213" s="46" t="s">
        <v>580</v>
      </c>
      <c r="K213" t="s">
        <v>63</v>
      </c>
      <c r="L213" t="s">
        <v>576</v>
      </c>
      <c r="M213" s="52">
        <v>13767100</v>
      </c>
      <c r="N213" t="s">
        <v>57</v>
      </c>
      <c r="O213" t="s">
        <v>581</v>
      </c>
      <c r="P213" t="s">
        <v>33</v>
      </c>
      <c r="Q213">
        <v>5822135</v>
      </c>
      <c r="R213" t="s">
        <v>337</v>
      </c>
    </row>
    <row r="214" spans="2:18" hidden="1" x14ac:dyDescent="0.35">
      <c r="B214" s="63">
        <v>46216</v>
      </c>
      <c r="C214" t="s">
        <v>583</v>
      </c>
      <c r="D214" t="s">
        <v>51</v>
      </c>
      <c r="E214" t="s">
        <v>51</v>
      </c>
      <c r="F214" t="s">
        <v>584</v>
      </c>
      <c r="G214" t="s">
        <v>584</v>
      </c>
      <c r="H214" s="85">
        <v>20973906381424</v>
      </c>
      <c r="I214" s="36">
        <v>46351</v>
      </c>
      <c r="J214" s="46" t="s">
        <v>585</v>
      </c>
      <c r="K214" t="s">
        <v>63</v>
      </c>
      <c r="L214" t="s">
        <v>586</v>
      </c>
      <c r="M214" s="52">
        <v>1200000</v>
      </c>
      <c r="N214" t="s">
        <v>57</v>
      </c>
      <c r="O214" t="s">
        <v>582</v>
      </c>
      <c r="P214" t="s">
        <v>33</v>
      </c>
      <c r="Q214">
        <v>5822136</v>
      </c>
      <c r="R214" t="s">
        <v>337</v>
      </c>
    </row>
    <row r="215" spans="2:18" hidden="1" x14ac:dyDescent="0.35">
      <c r="B215" s="63">
        <v>46217</v>
      </c>
      <c r="C215" t="s">
        <v>591</v>
      </c>
      <c r="D215" t="s">
        <v>51</v>
      </c>
      <c r="E215" t="s">
        <v>51</v>
      </c>
      <c r="F215" t="s">
        <v>590</v>
      </c>
      <c r="G215" t="s">
        <v>63</v>
      </c>
      <c r="H215" s="85" t="s">
        <v>63</v>
      </c>
      <c r="I215" t="s">
        <v>63</v>
      </c>
      <c r="J215" s="46" t="s">
        <v>63</v>
      </c>
      <c r="K215" t="s">
        <v>589</v>
      </c>
      <c r="L215" t="s">
        <v>588</v>
      </c>
      <c r="M215" s="52">
        <v>700000</v>
      </c>
      <c r="N215" t="s">
        <v>47</v>
      </c>
      <c r="O215" t="s">
        <v>587</v>
      </c>
      <c r="P215" t="s">
        <v>33</v>
      </c>
      <c r="Q215">
        <v>5822137</v>
      </c>
      <c r="R215" t="s">
        <v>337</v>
      </c>
    </row>
    <row r="216" spans="2:18" hidden="1" x14ac:dyDescent="0.35">
      <c r="B216" s="63">
        <v>46218</v>
      </c>
      <c r="C216" t="s">
        <v>592</v>
      </c>
      <c r="D216" t="s">
        <v>51</v>
      </c>
      <c r="E216" t="s">
        <v>51</v>
      </c>
      <c r="F216" t="s">
        <v>143</v>
      </c>
      <c r="G216" t="s">
        <v>143</v>
      </c>
      <c r="H216" s="85">
        <v>5924678990</v>
      </c>
      <c r="I216" s="65" t="s">
        <v>150</v>
      </c>
      <c r="J216" s="46" t="s">
        <v>151</v>
      </c>
      <c r="K216" t="s">
        <v>63</v>
      </c>
      <c r="L216" t="s">
        <v>395</v>
      </c>
      <c r="M216" s="52">
        <v>2000000</v>
      </c>
      <c r="N216" t="s">
        <v>57</v>
      </c>
      <c r="O216" t="s">
        <v>593</v>
      </c>
      <c r="P216" t="s">
        <v>33</v>
      </c>
      <c r="Q216">
        <v>2000373</v>
      </c>
      <c r="R216" t="s">
        <v>32</v>
      </c>
    </row>
    <row r="217" spans="2:18" hidden="1" x14ac:dyDescent="0.35">
      <c r="B217" s="63">
        <v>46218</v>
      </c>
      <c r="C217" t="s">
        <v>595</v>
      </c>
      <c r="D217" t="s">
        <v>338</v>
      </c>
      <c r="E217" t="s">
        <v>338</v>
      </c>
      <c r="F217" t="s">
        <v>335</v>
      </c>
      <c r="G217" t="s">
        <v>335</v>
      </c>
      <c r="H217" s="85" t="s">
        <v>63</v>
      </c>
      <c r="I217" t="s">
        <v>63</v>
      </c>
      <c r="J217" s="46" t="s">
        <v>63</v>
      </c>
      <c r="K217" t="s">
        <v>63</v>
      </c>
      <c r="L217" t="s">
        <v>354</v>
      </c>
      <c r="M217" s="52">
        <v>60000000</v>
      </c>
      <c r="N217" t="s">
        <v>57</v>
      </c>
      <c r="O217" t="s">
        <v>594</v>
      </c>
      <c r="P217" t="s">
        <v>33</v>
      </c>
      <c r="Q217">
        <v>2000372</v>
      </c>
      <c r="R217" t="s">
        <v>32</v>
      </c>
    </row>
    <row r="218" spans="2:18" hidden="1" x14ac:dyDescent="0.35">
      <c r="B218" s="63">
        <v>46219</v>
      </c>
      <c r="C218" t="s">
        <v>596</v>
      </c>
      <c r="D218" t="s">
        <v>471</v>
      </c>
      <c r="E218" t="s">
        <v>577</v>
      </c>
      <c r="F218" t="s">
        <v>601</v>
      </c>
      <c r="G218" t="s">
        <v>601</v>
      </c>
      <c r="H218" s="85" t="s">
        <v>63</v>
      </c>
      <c r="I218" t="s">
        <v>63</v>
      </c>
      <c r="J218" s="46" t="s">
        <v>602</v>
      </c>
      <c r="K218" t="s">
        <v>63</v>
      </c>
      <c r="L218" t="s">
        <v>603</v>
      </c>
      <c r="M218" s="52">
        <v>7155200</v>
      </c>
      <c r="N218" t="s">
        <v>57</v>
      </c>
      <c r="O218" t="s">
        <v>604</v>
      </c>
      <c r="P218" t="s">
        <v>130</v>
      </c>
      <c r="Q218" t="s">
        <v>63</v>
      </c>
      <c r="R218" t="s">
        <v>32</v>
      </c>
    </row>
    <row r="219" spans="2:18" hidden="1" x14ac:dyDescent="0.35">
      <c r="B219" s="63">
        <v>46219</v>
      </c>
      <c r="C219" t="s">
        <v>597</v>
      </c>
      <c r="D219" t="s">
        <v>471</v>
      </c>
      <c r="E219" t="s">
        <v>577</v>
      </c>
      <c r="F219" t="s">
        <v>463</v>
      </c>
      <c r="G219" t="s">
        <v>463</v>
      </c>
      <c r="H219" s="85" t="s">
        <v>63</v>
      </c>
      <c r="I219" t="s">
        <v>63</v>
      </c>
      <c r="J219" s="46" t="s">
        <v>464</v>
      </c>
      <c r="K219" t="s">
        <v>63</v>
      </c>
      <c r="L219" t="s">
        <v>465</v>
      </c>
      <c r="M219" s="52">
        <v>20040000</v>
      </c>
      <c r="N219" t="s">
        <v>57</v>
      </c>
      <c r="O219" t="s">
        <v>605</v>
      </c>
      <c r="P219" t="s">
        <v>130</v>
      </c>
      <c r="Q219" t="s">
        <v>63</v>
      </c>
      <c r="R219" t="s">
        <v>32</v>
      </c>
    </row>
    <row r="220" spans="2:18" hidden="1" x14ac:dyDescent="0.35">
      <c r="B220" s="63">
        <v>46219</v>
      </c>
      <c r="C220" t="s">
        <v>606</v>
      </c>
      <c r="D220" t="s">
        <v>51</v>
      </c>
      <c r="E220" t="s">
        <v>199</v>
      </c>
      <c r="F220" t="s">
        <v>200</v>
      </c>
      <c r="G220" t="s">
        <v>200</v>
      </c>
      <c r="H220" s="85" t="s">
        <v>63</v>
      </c>
      <c r="I220" t="s">
        <v>63</v>
      </c>
      <c r="J220" s="46" t="s">
        <v>63</v>
      </c>
      <c r="K220" t="s">
        <v>651</v>
      </c>
      <c r="L220" t="s">
        <v>611</v>
      </c>
      <c r="M220" s="52">
        <v>8801880</v>
      </c>
      <c r="N220" t="s">
        <v>57</v>
      </c>
      <c r="O220" t="s">
        <v>614</v>
      </c>
      <c r="P220" t="s">
        <v>33</v>
      </c>
      <c r="Q220">
        <v>2000374</v>
      </c>
      <c r="R220" t="s">
        <v>32</v>
      </c>
    </row>
    <row r="221" spans="2:18" hidden="1" x14ac:dyDescent="0.35">
      <c r="B221" s="63">
        <v>46219</v>
      </c>
      <c r="C221" t="s">
        <v>607</v>
      </c>
      <c r="D221" t="s">
        <v>51</v>
      </c>
      <c r="E221" t="s">
        <v>199</v>
      </c>
      <c r="F221" t="s">
        <v>200</v>
      </c>
      <c r="G221" t="s">
        <v>200</v>
      </c>
      <c r="H221" s="85" t="s">
        <v>63</v>
      </c>
      <c r="I221" t="s">
        <v>63</v>
      </c>
      <c r="J221" s="46" t="s">
        <v>63</v>
      </c>
      <c r="K221" t="s">
        <v>652</v>
      </c>
      <c r="L221" t="s">
        <v>612</v>
      </c>
      <c r="M221" s="52">
        <v>8674569</v>
      </c>
      <c r="N221" t="s">
        <v>57</v>
      </c>
      <c r="O221" t="s">
        <v>615</v>
      </c>
      <c r="P221" t="s">
        <v>33</v>
      </c>
      <c r="Q221">
        <v>2000376</v>
      </c>
      <c r="R221" t="s">
        <v>32</v>
      </c>
    </row>
    <row r="222" spans="2:18" hidden="1" x14ac:dyDescent="0.35">
      <c r="B222" s="63">
        <v>46219</v>
      </c>
      <c r="C222" t="s">
        <v>608</v>
      </c>
      <c r="D222" t="s">
        <v>51</v>
      </c>
      <c r="E222" t="s">
        <v>199</v>
      </c>
      <c r="F222" t="s">
        <v>200</v>
      </c>
      <c r="G222" t="s">
        <v>200</v>
      </c>
      <c r="H222" s="85" t="s">
        <v>63</v>
      </c>
      <c r="I222" t="s">
        <v>63</v>
      </c>
      <c r="J222" s="46" t="s">
        <v>63</v>
      </c>
      <c r="K222" t="s">
        <v>653</v>
      </c>
      <c r="L222" t="s">
        <v>613</v>
      </c>
      <c r="M222" s="52">
        <v>8633676</v>
      </c>
      <c r="N222" t="s">
        <v>57</v>
      </c>
      <c r="O222" t="s">
        <v>616</v>
      </c>
      <c r="P222" t="s">
        <v>33</v>
      </c>
      <c r="Q222">
        <v>2000377</v>
      </c>
      <c r="R222" t="s">
        <v>32</v>
      </c>
    </row>
    <row r="223" spans="2:18" hidden="1" x14ac:dyDescent="0.35">
      <c r="B223" s="63">
        <v>46219</v>
      </c>
      <c r="C223" t="s">
        <v>609</v>
      </c>
      <c r="D223" t="s">
        <v>51</v>
      </c>
      <c r="E223" t="s">
        <v>199</v>
      </c>
      <c r="F223" t="s">
        <v>200</v>
      </c>
      <c r="G223" t="s">
        <v>200</v>
      </c>
      <c r="H223" s="85" t="s">
        <v>63</v>
      </c>
      <c r="I223" t="s">
        <v>63</v>
      </c>
      <c r="J223" s="46" t="s">
        <v>63</v>
      </c>
      <c r="K223" t="s">
        <v>654</v>
      </c>
      <c r="L223" t="s">
        <v>610</v>
      </c>
      <c r="M223" s="52">
        <v>8527429</v>
      </c>
      <c r="N223" t="s">
        <v>57</v>
      </c>
      <c r="O223" t="s">
        <v>617</v>
      </c>
      <c r="P223" t="s">
        <v>33</v>
      </c>
      <c r="Q223">
        <v>2000379</v>
      </c>
      <c r="R223" t="s">
        <v>32</v>
      </c>
    </row>
    <row r="224" spans="2:18" hidden="1" x14ac:dyDescent="0.35">
      <c r="B224" s="63">
        <v>46220</v>
      </c>
      <c r="C224" t="s">
        <v>618</v>
      </c>
      <c r="D224" t="s">
        <v>51</v>
      </c>
      <c r="E224" t="s">
        <v>199</v>
      </c>
      <c r="F224" t="s">
        <v>200</v>
      </c>
      <c r="G224" t="s">
        <v>200</v>
      </c>
      <c r="H224" s="85" t="s">
        <v>63</v>
      </c>
      <c r="I224" t="s">
        <v>63</v>
      </c>
      <c r="J224" s="46" t="s">
        <v>63</v>
      </c>
      <c r="K224" t="s">
        <v>655</v>
      </c>
      <c r="L224" t="s">
        <v>619</v>
      </c>
      <c r="M224" s="52">
        <v>8401112</v>
      </c>
      <c r="N224" t="s">
        <v>57</v>
      </c>
      <c r="O224" t="s">
        <v>620</v>
      </c>
      <c r="P224" t="s">
        <v>33</v>
      </c>
      <c r="Q224">
        <v>2000380</v>
      </c>
      <c r="R224" t="s">
        <v>32</v>
      </c>
    </row>
    <row r="225" spans="2:18" hidden="1" x14ac:dyDescent="0.35">
      <c r="B225" s="63">
        <v>46220</v>
      </c>
      <c r="C225" t="s">
        <v>628</v>
      </c>
      <c r="D225" t="s">
        <v>338</v>
      </c>
      <c r="E225" t="s">
        <v>338</v>
      </c>
      <c r="F225" t="s">
        <v>352</v>
      </c>
      <c r="G225" t="s">
        <v>352</v>
      </c>
      <c r="H225" s="85" t="s">
        <v>63</v>
      </c>
      <c r="I225" t="s">
        <v>63</v>
      </c>
      <c r="J225" s="46" t="s">
        <v>63</v>
      </c>
      <c r="K225" t="s">
        <v>63</v>
      </c>
      <c r="L225" t="s">
        <v>627</v>
      </c>
      <c r="M225" s="52">
        <v>100000000</v>
      </c>
      <c r="N225" t="s">
        <v>57</v>
      </c>
      <c r="O225" t="s">
        <v>626</v>
      </c>
      <c r="P225" t="s">
        <v>33</v>
      </c>
      <c r="Q225">
        <v>2000387</v>
      </c>
      <c r="R225" t="s">
        <v>32</v>
      </c>
    </row>
    <row r="226" spans="2:18" hidden="1" x14ac:dyDescent="0.35">
      <c r="B226" s="63">
        <v>46223</v>
      </c>
      <c r="C226" t="s">
        <v>647</v>
      </c>
      <c r="D226" t="s">
        <v>82</v>
      </c>
      <c r="E226" t="s">
        <v>175</v>
      </c>
      <c r="F226" t="s">
        <v>176</v>
      </c>
      <c r="G226" t="s">
        <v>177</v>
      </c>
      <c r="H226" s="85">
        <v>100109961</v>
      </c>
      <c r="I226" s="36">
        <v>46420</v>
      </c>
      <c r="J226" s="46" t="s">
        <v>63</v>
      </c>
      <c r="K226" t="s">
        <v>63</v>
      </c>
      <c r="L226" t="s">
        <v>178</v>
      </c>
      <c r="M226" s="52">
        <v>8000000</v>
      </c>
      <c r="N226" t="s">
        <v>57</v>
      </c>
      <c r="O226" t="s">
        <v>646</v>
      </c>
      <c r="P226" t="s">
        <v>33</v>
      </c>
      <c r="Q226">
        <v>2000386</v>
      </c>
      <c r="R226" t="s">
        <v>32</v>
      </c>
    </row>
    <row r="227" spans="2:18" hidden="1" x14ac:dyDescent="0.35">
      <c r="B227" s="63">
        <v>46224</v>
      </c>
      <c r="C227" t="s">
        <v>650</v>
      </c>
      <c r="D227" t="s">
        <v>82</v>
      </c>
      <c r="E227" t="s">
        <v>115</v>
      </c>
      <c r="F227" t="s">
        <v>234</v>
      </c>
      <c r="G227" t="s">
        <v>234</v>
      </c>
      <c r="H227" s="85" t="s">
        <v>63</v>
      </c>
      <c r="I227" t="s">
        <v>63</v>
      </c>
      <c r="J227" s="46" t="s">
        <v>63</v>
      </c>
      <c r="K227" t="s">
        <v>63</v>
      </c>
      <c r="L227" t="s">
        <v>648</v>
      </c>
      <c r="M227" s="52">
        <v>7979118</v>
      </c>
      <c r="N227" t="s">
        <v>57</v>
      </c>
      <c r="O227" t="s">
        <v>649</v>
      </c>
      <c r="P227" t="s">
        <v>33</v>
      </c>
      <c r="Q227">
        <v>2000387</v>
      </c>
      <c r="R227" t="s">
        <v>32</v>
      </c>
    </row>
    <row r="228" spans="2:18" hidden="1" x14ac:dyDescent="0.35">
      <c r="B228" s="63">
        <v>46220</v>
      </c>
      <c r="C228" t="s">
        <v>598</v>
      </c>
      <c r="D228" t="s">
        <v>82</v>
      </c>
      <c r="E228" t="s">
        <v>461</v>
      </c>
      <c r="F228" t="s">
        <v>459</v>
      </c>
      <c r="G228" t="s">
        <v>264</v>
      </c>
      <c r="H228" s="85">
        <v>7192262014</v>
      </c>
      <c r="I228" s="36">
        <v>46581</v>
      </c>
      <c r="J228" s="46" t="s">
        <v>265</v>
      </c>
      <c r="K228" t="s">
        <v>63</v>
      </c>
      <c r="L228" t="s">
        <v>462</v>
      </c>
      <c r="M228" s="52">
        <v>7000000</v>
      </c>
      <c r="N228" t="s">
        <v>57</v>
      </c>
      <c r="O228" t="s">
        <v>458</v>
      </c>
      <c r="P228" t="s">
        <v>33</v>
      </c>
      <c r="Q228">
        <v>2000382</v>
      </c>
      <c r="R228" t="s">
        <v>32</v>
      </c>
    </row>
    <row r="229" spans="2:18" hidden="1" x14ac:dyDescent="0.35">
      <c r="B229" s="63">
        <v>46220</v>
      </c>
      <c r="C229" t="s">
        <v>599</v>
      </c>
      <c r="D229" t="s">
        <v>82</v>
      </c>
      <c r="E229" t="s">
        <v>175</v>
      </c>
      <c r="F229" t="s">
        <v>347</v>
      </c>
      <c r="G229" t="s">
        <v>348</v>
      </c>
      <c r="H229" s="85">
        <v>7668041413</v>
      </c>
      <c r="I229" s="36">
        <v>46670</v>
      </c>
      <c r="J229" s="46" t="s">
        <v>346</v>
      </c>
      <c r="K229" t="s">
        <v>63</v>
      </c>
      <c r="L229" t="s">
        <v>528</v>
      </c>
      <c r="M229" s="52">
        <v>11000000</v>
      </c>
      <c r="N229" t="s">
        <v>57</v>
      </c>
      <c r="O229" t="s">
        <v>600</v>
      </c>
      <c r="P229" t="s">
        <v>33</v>
      </c>
      <c r="Q229">
        <v>2000381</v>
      </c>
      <c r="R229" t="s">
        <v>32</v>
      </c>
    </row>
    <row r="230" spans="2:18" hidden="1" x14ac:dyDescent="0.35">
      <c r="B230" s="63">
        <v>46220</v>
      </c>
      <c r="C230" t="s">
        <v>1085</v>
      </c>
      <c r="D230" t="s">
        <v>82</v>
      </c>
      <c r="E230" t="s">
        <v>175</v>
      </c>
      <c r="F230" t="s">
        <v>386</v>
      </c>
      <c r="G230" t="s">
        <v>83</v>
      </c>
      <c r="H230" s="85">
        <v>7506116519</v>
      </c>
      <c r="I230" s="36">
        <v>48001</v>
      </c>
      <c r="J230" s="46" t="s">
        <v>84</v>
      </c>
      <c r="K230" t="s">
        <v>679</v>
      </c>
      <c r="L230" t="s">
        <v>677</v>
      </c>
      <c r="M230" s="52">
        <v>800000</v>
      </c>
      <c r="N230" t="s">
        <v>57</v>
      </c>
      <c r="O230" t="s">
        <v>678</v>
      </c>
      <c r="P230" t="s">
        <v>87</v>
      </c>
      <c r="Q230" t="s">
        <v>63</v>
      </c>
      <c r="R230" t="s">
        <v>88</v>
      </c>
    </row>
    <row r="231" spans="2:18" hidden="1" x14ac:dyDescent="0.35">
      <c r="B231" s="63">
        <v>46226</v>
      </c>
      <c r="C231" t="s">
        <v>688</v>
      </c>
      <c r="D231" t="s">
        <v>338</v>
      </c>
      <c r="E231" t="s">
        <v>338</v>
      </c>
      <c r="F231" t="s">
        <v>335</v>
      </c>
      <c r="G231" t="s">
        <v>335</v>
      </c>
      <c r="H231" s="85" t="s">
        <v>63</v>
      </c>
      <c r="I231" t="s">
        <v>63</v>
      </c>
      <c r="J231" s="46" t="s">
        <v>63</v>
      </c>
      <c r="K231" t="s">
        <v>63</v>
      </c>
      <c r="L231" t="s">
        <v>354</v>
      </c>
      <c r="M231" s="52">
        <v>11000000</v>
      </c>
      <c r="N231" t="s">
        <v>57</v>
      </c>
      <c r="O231" t="s">
        <v>600</v>
      </c>
      <c r="P231" t="s">
        <v>33</v>
      </c>
      <c r="Q231">
        <v>2000388</v>
      </c>
      <c r="R231" t="s">
        <v>32</v>
      </c>
    </row>
    <row r="232" spans="2:18" hidden="1" x14ac:dyDescent="0.35">
      <c r="B232" s="63">
        <v>46226</v>
      </c>
      <c r="C232" t="s">
        <v>689</v>
      </c>
      <c r="D232" t="s">
        <v>338</v>
      </c>
      <c r="E232" t="s">
        <v>338</v>
      </c>
      <c r="F232" t="s">
        <v>335</v>
      </c>
      <c r="G232" t="s">
        <v>335</v>
      </c>
      <c r="H232" s="85" t="s">
        <v>63</v>
      </c>
      <c r="I232" t="s">
        <v>63</v>
      </c>
      <c r="J232" s="46" t="s">
        <v>63</v>
      </c>
      <c r="K232" t="s">
        <v>63</v>
      </c>
      <c r="L232" t="s">
        <v>354</v>
      </c>
      <c r="M232" s="52">
        <v>19000000</v>
      </c>
      <c r="N232" t="s">
        <v>57</v>
      </c>
      <c r="O232" t="s">
        <v>687</v>
      </c>
      <c r="P232" t="s">
        <v>33</v>
      </c>
      <c r="Q232">
        <v>2000389</v>
      </c>
      <c r="R232" t="s">
        <v>32</v>
      </c>
    </row>
    <row r="233" spans="2:18" hidden="1" x14ac:dyDescent="0.35">
      <c r="B233" s="63">
        <v>46227</v>
      </c>
      <c r="C233" t="s">
        <v>693</v>
      </c>
      <c r="D233" t="s">
        <v>51</v>
      </c>
      <c r="E233" t="s">
        <v>199</v>
      </c>
      <c r="F233" t="s">
        <v>200</v>
      </c>
      <c r="G233" t="s">
        <v>200</v>
      </c>
      <c r="H233" s="85" t="s">
        <v>63</v>
      </c>
      <c r="I233" t="s">
        <v>63</v>
      </c>
      <c r="J233" s="46" t="s">
        <v>63</v>
      </c>
      <c r="K233" t="s">
        <v>690</v>
      </c>
      <c r="L233" t="s">
        <v>691</v>
      </c>
      <c r="M233" s="52">
        <v>8594584</v>
      </c>
      <c r="N233" t="s">
        <v>57</v>
      </c>
      <c r="O233" t="s">
        <v>692</v>
      </c>
      <c r="P233" t="s">
        <v>33</v>
      </c>
      <c r="Q233">
        <v>2000390</v>
      </c>
      <c r="R233" t="s">
        <v>32</v>
      </c>
    </row>
    <row r="234" spans="2:18" hidden="1" x14ac:dyDescent="0.35">
      <c r="B234" s="63">
        <v>46227</v>
      </c>
      <c r="C234" t="s">
        <v>698</v>
      </c>
      <c r="D234" t="s">
        <v>51</v>
      </c>
      <c r="E234" t="s">
        <v>51</v>
      </c>
      <c r="F234" t="s">
        <v>143</v>
      </c>
      <c r="G234" t="s">
        <v>143</v>
      </c>
      <c r="H234" s="85">
        <v>5924678990</v>
      </c>
      <c r="I234" s="65" t="s">
        <v>150</v>
      </c>
      <c r="J234" s="46" t="s">
        <v>151</v>
      </c>
      <c r="K234" t="s">
        <v>63</v>
      </c>
      <c r="L234" t="s">
        <v>395</v>
      </c>
      <c r="M234" s="52">
        <v>3000000</v>
      </c>
      <c r="N234" t="s">
        <v>57</v>
      </c>
      <c r="O234" t="s">
        <v>272</v>
      </c>
      <c r="P234" t="s">
        <v>33</v>
      </c>
      <c r="Q234">
        <v>2000391</v>
      </c>
      <c r="R234" t="s">
        <v>32</v>
      </c>
    </row>
    <row r="235" spans="2:18" hidden="1" x14ac:dyDescent="0.35">
      <c r="B235" s="63">
        <v>46227</v>
      </c>
      <c r="C235" t="s">
        <v>706</v>
      </c>
      <c r="D235" t="s">
        <v>51</v>
      </c>
      <c r="E235" t="s">
        <v>51</v>
      </c>
      <c r="F235" t="s">
        <v>704</v>
      </c>
      <c r="G235" t="s">
        <v>704</v>
      </c>
      <c r="H235" s="85">
        <v>20758865169025</v>
      </c>
      <c r="I235" s="36">
        <v>46403</v>
      </c>
      <c r="J235" s="46" t="s">
        <v>705</v>
      </c>
      <c r="K235" t="s">
        <v>63</v>
      </c>
      <c r="L235" t="s">
        <v>707</v>
      </c>
      <c r="M235" s="52">
        <v>660000</v>
      </c>
      <c r="N235" t="s">
        <v>57</v>
      </c>
      <c r="O235" t="s">
        <v>703</v>
      </c>
      <c r="P235" t="s">
        <v>33</v>
      </c>
      <c r="Q235">
        <v>2000392</v>
      </c>
      <c r="R235" t="s">
        <v>32</v>
      </c>
    </row>
    <row r="236" spans="2:18" hidden="1" x14ac:dyDescent="0.35">
      <c r="B236" s="63">
        <v>46227</v>
      </c>
      <c r="C236" t="s">
        <v>709</v>
      </c>
      <c r="D236" t="s">
        <v>351</v>
      </c>
      <c r="E236" t="s">
        <v>351</v>
      </c>
      <c r="F236" t="s">
        <v>352</v>
      </c>
      <c r="G236" t="s">
        <v>194</v>
      </c>
      <c r="H236" s="85">
        <v>398534607</v>
      </c>
      <c r="I236" s="36">
        <v>46247</v>
      </c>
      <c r="J236" s="46" t="s">
        <v>63</v>
      </c>
      <c r="K236" t="s">
        <v>63</v>
      </c>
      <c r="L236" t="s">
        <v>191</v>
      </c>
      <c r="M236" s="52">
        <v>17000000</v>
      </c>
      <c r="N236" t="s">
        <v>57</v>
      </c>
      <c r="O236" t="s">
        <v>708</v>
      </c>
      <c r="P236" t="s">
        <v>33</v>
      </c>
      <c r="Q236">
        <v>2000293</v>
      </c>
      <c r="R236" t="s">
        <v>32</v>
      </c>
    </row>
    <row r="237" spans="2:18" hidden="1" x14ac:dyDescent="0.35">
      <c r="B237" s="63">
        <v>46227</v>
      </c>
      <c r="C237" t="s">
        <v>710</v>
      </c>
      <c r="D237" t="s">
        <v>51</v>
      </c>
      <c r="E237" t="s">
        <v>199</v>
      </c>
      <c r="F237" t="s">
        <v>200</v>
      </c>
      <c r="G237" t="s">
        <v>200</v>
      </c>
      <c r="H237" s="85" t="s">
        <v>63</v>
      </c>
      <c r="I237" t="s">
        <v>63</v>
      </c>
      <c r="J237" s="46" t="s">
        <v>63</v>
      </c>
      <c r="K237" t="s">
        <v>711</v>
      </c>
      <c r="L237" t="s">
        <v>712</v>
      </c>
      <c r="M237" s="52">
        <v>8462962</v>
      </c>
      <c r="N237" t="s">
        <v>57</v>
      </c>
      <c r="O237" t="s">
        <v>713</v>
      </c>
      <c r="P237" t="s">
        <v>33</v>
      </c>
      <c r="Q237">
        <v>2000394</v>
      </c>
      <c r="R237" t="s">
        <v>32</v>
      </c>
    </row>
    <row r="238" spans="2:18" hidden="1" x14ac:dyDescent="0.35">
      <c r="B238" s="63">
        <v>46231</v>
      </c>
      <c r="C238" t="s">
        <v>722</v>
      </c>
      <c r="D238" t="s">
        <v>51</v>
      </c>
      <c r="E238" t="s">
        <v>199</v>
      </c>
      <c r="F238" t="s">
        <v>200</v>
      </c>
      <c r="G238" t="s">
        <v>200</v>
      </c>
      <c r="H238" s="85" t="s">
        <v>63</v>
      </c>
      <c r="I238" t="s">
        <v>63</v>
      </c>
      <c r="J238" s="46" t="s">
        <v>63</v>
      </c>
      <c r="K238" t="s">
        <v>716</v>
      </c>
      <c r="L238" t="s">
        <v>718</v>
      </c>
      <c r="M238" s="52">
        <v>8540412</v>
      </c>
      <c r="N238" t="s">
        <v>57</v>
      </c>
      <c r="O238" t="s">
        <v>717</v>
      </c>
      <c r="P238" t="s">
        <v>33</v>
      </c>
      <c r="Q238">
        <v>2000396</v>
      </c>
      <c r="R238" t="s">
        <v>32</v>
      </c>
    </row>
    <row r="239" spans="2:18" hidden="1" x14ac:dyDescent="0.35">
      <c r="B239" s="63">
        <v>46231</v>
      </c>
      <c r="C239" t="s">
        <v>723</v>
      </c>
      <c r="D239" t="s">
        <v>51</v>
      </c>
      <c r="E239" t="s">
        <v>199</v>
      </c>
      <c r="F239" t="s">
        <v>200</v>
      </c>
      <c r="G239" t="s">
        <v>200</v>
      </c>
      <c r="H239" s="85" t="s">
        <v>63</v>
      </c>
      <c r="I239" t="s">
        <v>63</v>
      </c>
      <c r="J239" s="46" t="s">
        <v>63</v>
      </c>
      <c r="K239" t="s">
        <v>719</v>
      </c>
      <c r="L239" t="s">
        <v>721</v>
      </c>
      <c r="M239" s="52">
        <v>8465276</v>
      </c>
      <c r="N239" t="s">
        <v>57</v>
      </c>
      <c r="O239" t="s">
        <v>720</v>
      </c>
      <c r="P239" t="s">
        <v>33</v>
      </c>
      <c r="Q239">
        <v>2000395</v>
      </c>
      <c r="R239" t="s">
        <v>32</v>
      </c>
    </row>
    <row r="240" spans="2:18" hidden="1" x14ac:dyDescent="0.35">
      <c r="B240" s="63">
        <v>46231</v>
      </c>
      <c r="C240" t="s">
        <v>726</v>
      </c>
      <c r="D240" t="s">
        <v>82</v>
      </c>
      <c r="E240" t="s">
        <v>115</v>
      </c>
      <c r="F240" t="s">
        <v>234</v>
      </c>
      <c r="G240" t="s">
        <v>234</v>
      </c>
      <c r="H240" s="85" t="s">
        <v>63</v>
      </c>
      <c r="I240" t="s">
        <v>63</v>
      </c>
      <c r="J240" s="46" t="s">
        <v>63</v>
      </c>
      <c r="K240" t="s">
        <v>63</v>
      </c>
      <c r="L240" t="s">
        <v>724</v>
      </c>
      <c r="M240" s="52">
        <v>1713484</v>
      </c>
      <c r="N240" t="s">
        <v>57</v>
      </c>
      <c r="O240" t="s">
        <v>725</v>
      </c>
      <c r="P240" t="s">
        <v>33</v>
      </c>
      <c r="Q240">
        <v>2000398</v>
      </c>
      <c r="R240" t="s">
        <v>32</v>
      </c>
    </row>
    <row r="241" spans="2:18" hidden="1" x14ac:dyDescent="0.35">
      <c r="B241" s="63">
        <v>46232</v>
      </c>
      <c r="C241" t="s">
        <v>727</v>
      </c>
      <c r="D241" t="s">
        <v>51</v>
      </c>
      <c r="E241" t="s">
        <v>199</v>
      </c>
      <c r="F241" t="s">
        <v>200</v>
      </c>
      <c r="G241" t="s">
        <v>200</v>
      </c>
      <c r="H241" s="85" t="s">
        <v>63</v>
      </c>
      <c r="I241" t="s">
        <v>63</v>
      </c>
      <c r="J241" s="46" t="s">
        <v>63</v>
      </c>
      <c r="K241" t="s">
        <v>729</v>
      </c>
      <c r="L241" t="s">
        <v>730</v>
      </c>
      <c r="M241" s="52">
        <v>620001</v>
      </c>
      <c r="N241" t="s">
        <v>57</v>
      </c>
      <c r="O241" t="s">
        <v>728</v>
      </c>
      <c r="P241" t="s">
        <v>33</v>
      </c>
      <c r="Q241">
        <v>2000400</v>
      </c>
      <c r="R241" t="s">
        <v>32</v>
      </c>
    </row>
    <row r="242" spans="2:18" hidden="1" x14ac:dyDescent="0.35">
      <c r="B242" s="63">
        <v>46231</v>
      </c>
      <c r="C242" t="s">
        <v>735</v>
      </c>
      <c r="D242" t="s">
        <v>51</v>
      </c>
      <c r="E242" t="s">
        <v>51</v>
      </c>
      <c r="F242" t="s">
        <v>260</v>
      </c>
      <c r="G242" t="s">
        <v>260</v>
      </c>
      <c r="H242" s="85" t="s">
        <v>63</v>
      </c>
      <c r="I242" t="s">
        <v>63</v>
      </c>
      <c r="J242" s="46" t="s">
        <v>63</v>
      </c>
      <c r="K242" t="s">
        <v>63</v>
      </c>
      <c r="L242" t="s">
        <v>258</v>
      </c>
      <c r="M242" s="52">
        <v>500000</v>
      </c>
      <c r="N242" t="s">
        <v>57</v>
      </c>
      <c r="O242" t="s">
        <v>259</v>
      </c>
      <c r="P242" t="s">
        <v>33</v>
      </c>
      <c r="Q242">
        <v>2000399</v>
      </c>
      <c r="R242" t="s">
        <v>32</v>
      </c>
    </row>
    <row r="243" spans="2:18" hidden="1" x14ac:dyDescent="0.35">
      <c r="B243" s="63">
        <v>46232</v>
      </c>
      <c r="C243" t="s">
        <v>741</v>
      </c>
      <c r="D243" t="s">
        <v>51</v>
      </c>
      <c r="E243" t="s">
        <v>199</v>
      </c>
      <c r="F243" t="s">
        <v>200</v>
      </c>
      <c r="G243" t="s">
        <v>200</v>
      </c>
      <c r="H243" s="85" t="s">
        <v>63</v>
      </c>
      <c r="I243" t="s">
        <v>63</v>
      </c>
      <c r="J243" s="46" t="s">
        <v>63</v>
      </c>
      <c r="K243" t="s">
        <v>739</v>
      </c>
      <c r="L243" t="s">
        <v>740</v>
      </c>
      <c r="M243" s="52">
        <v>8701144</v>
      </c>
      <c r="N243" t="s">
        <v>57</v>
      </c>
      <c r="O243" t="s">
        <v>738</v>
      </c>
      <c r="P243" t="s">
        <v>33</v>
      </c>
      <c r="Q243">
        <v>2000551</v>
      </c>
      <c r="R243" t="s">
        <v>32</v>
      </c>
    </row>
    <row r="244" spans="2:18" hidden="1" x14ac:dyDescent="0.35">
      <c r="B244" s="63">
        <v>46233</v>
      </c>
      <c r="C244" t="s">
        <v>742</v>
      </c>
      <c r="D244" t="s">
        <v>82</v>
      </c>
      <c r="E244" t="s">
        <v>115</v>
      </c>
      <c r="F244" t="s">
        <v>743</v>
      </c>
      <c r="G244" t="s">
        <v>743</v>
      </c>
      <c r="H244" s="85" t="s">
        <v>63</v>
      </c>
      <c r="I244" t="s">
        <v>63</v>
      </c>
      <c r="J244" s="46" t="s">
        <v>63</v>
      </c>
      <c r="K244" t="s">
        <v>63</v>
      </c>
      <c r="L244" t="s">
        <v>744</v>
      </c>
      <c r="M244" s="52">
        <v>4926549</v>
      </c>
      <c r="N244" t="s">
        <v>57</v>
      </c>
      <c r="O244" t="s">
        <v>745</v>
      </c>
      <c r="P244" t="s">
        <v>33</v>
      </c>
      <c r="Q244">
        <v>2000553</v>
      </c>
      <c r="R244" t="s">
        <v>32</v>
      </c>
    </row>
    <row r="245" spans="2:18" hidden="1" x14ac:dyDescent="0.35">
      <c r="B245" s="63">
        <v>46220</v>
      </c>
      <c r="C245" t="s">
        <v>748</v>
      </c>
      <c r="D245" t="s">
        <v>338</v>
      </c>
      <c r="E245" t="s">
        <v>338</v>
      </c>
      <c r="F245" t="s">
        <v>352</v>
      </c>
      <c r="G245" t="s">
        <v>352</v>
      </c>
      <c r="H245" s="85" t="s">
        <v>63</v>
      </c>
      <c r="I245" t="s">
        <v>63</v>
      </c>
      <c r="J245" s="46" t="s">
        <v>63</v>
      </c>
      <c r="K245" t="s">
        <v>63</v>
      </c>
      <c r="L245" t="s">
        <v>627</v>
      </c>
      <c r="M245" s="52">
        <v>112000000</v>
      </c>
      <c r="N245" t="s">
        <v>57</v>
      </c>
      <c r="O245" t="s">
        <v>749</v>
      </c>
      <c r="P245" t="s">
        <v>33</v>
      </c>
      <c r="Q245">
        <v>2000552</v>
      </c>
      <c r="R245" t="s">
        <v>32</v>
      </c>
    </row>
    <row r="246" spans="2:18" hidden="1" x14ac:dyDescent="0.35">
      <c r="B246" s="63">
        <v>46233</v>
      </c>
      <c r="C246" t="s">
        <v>753</v>
      </c>
      <c r="D246" t="s">
        <v>51</v>
      </c>
      <c r="E246" t="s">
        <v>51</v>
      </c>
      <c r="F246" t="s">
        <v>754</v>
      </c>
      <c r="G246" t="s">
        <v>755</v>
      </c>
      <c r="H246" s="85" t="s">
        <v>756</v>
      </c>
      <c r="I246" s="36">
        <v>46263</v>
      </c>
      <c r="J246" s="46" t="s">
        <v>757</v>
      </c>
      <c r="K246" t="s">
        <v>758</v>
      </c>
      <c r="L246" t="s">
        <v>759</v>
      </c>
      <c r="M246" s="52">
        <v>2134000</v>
      </c>
      <c r="N246" t="s">
        <v>57</v>
      </c>
      <c r="O246" t="s">
        <v>760</v>
      </c>
      <c r="P246" t="s">
        <v>33</v>
      </c>
      <c r="Q246">
        <v>2000554</v>
      </c>
      <c r="R246" t="s">
        <v>32</v>
      </c>
    </row>
    <row r="247" spans="2:18" hidden="1" x14ac:dyDescent="0.35">
      <c r="B247" s="63">
        <v>46234</v>
      </c>
      <c r="C247" t="s">
        <v>784</v>
      </c>
      <c r="D247" t="s">
        <v>82</v>
      </c>
      <c r="E247" t="s">
        <v>175</v>
      </c>
      <c r="F247" t="s">
        <v>782</v>
      </c>
      <c r="G247" t="s">
        <v>264</v>
      </c>
      <c r="H247" s="85">
        <v>20410262291725</v>
      </c>
      <c r="I247" s="36">
        <v>46581</v>
      </c>
      <c r="J247" s="46" t="s">
        <v>265</v>
      </c>
      <c r="K247" t="s">
        <v>63</v>
      </c>
      <c r="L247" t="s">
        <v>783</v>
      </c>
      <c r="M247" s="52">
        <v>6000000</v>
      </c>
      <c r="N247" t="s">
        <v>57</v>
      </c>
      <c r="O247" t="s">
        <v>192</v>
      </c>
      <c r="P247" t="s">
        <v>33</v>
      </c>
      <c r="Q247">
        <v>2000556</v>
      </c>
      <c r="R247" t="s">
        <v>32</v>
      </c>
    </row>
    <row r="248" spans="2:18" hidden="1" x14ac:dyDescent="0.35">
      <c r="B248" s="63">
        <v>46234</v>
      </c>
      <c r="C248" t="s">
        <v>785</v>
      </c>
      <c r="D248" t="s">
        <v>82</v>
      </c>
      <c r="E248" t="s">
        <v>175</v>
      </c>
      <c r="F248" t="s">
        <v>176</v>
      </c>
      <c r="G248" t="s">
        <v>177</v>
      </c>
      <c r="H248" s="85">
        <v>100109961</v>
      </c>
      <c r="I248" s="36">
        <v>46420</v>
      </c>
      <c r="J248" s="46" t="s">
        <v>63</v>
      </c>
      <c r="K248" t="s">
        <v>63</v>
      </c>
      <c r="L248" t="s">
        <v>178</v>
      </c>
      <c r="M248" s="52">
        <v>10000000</v>
      </c>
      <c r="N248" t="s">
        <v>57</v>
      </c>
      <c r="O248" t="s">
        <v>187</v>
      </c>
      <c r="P248" t="s">
        <v>33</v>
      </c>
      <c r="Q248">
        <v>2000557</v>
      </c>
      <c r="R248" t="s">
        <v>32</v>
      </c>
    </row>
    <row r="249" spans="2:18" hidden="1" x14ac:dyDescent="0.35">
      <c r="B249" s="63">
        <v>46235</v>
      </c>
      <c r="C249" t="s">
        <v>786</v>
      </c>
      <c r="D249" t="s">
        <v>51</v>
      </c>
      <c r="E249" t="s">
        <v>199</v>
      </c>
      <c r="F249" t="s">
        <v>200</v>
      </c>
      <c r="G249" t="s">
        <v>200</v>
      </c>
      <c r="H249" s="85" t="s">
        <v>63</v>
      </c>
      <c r="I249" t="s">
        <v>63</v>
      </c>
      <c r="J249" s="46" t="s">
        <v>63</v>
      </c>
      <c r="K249" t="s">
        <v>787</v>
      </c>
      <c r="L249" t="s">
        <v>788</v>
      </c>
      <c r="M249" s="52">
        <v>8775332</v>
      </c>
      <c r="N249" t="s">
        <v>57</v>
      </c>
      <c r="O249" t="s">
        <v>789</v>
      </c>
      <c r="P249" t="s">
        <v>33</v>
      </c>
      <c r="Q249">
        <v>2000558</v>
      </c>
      <c r="R249" t="s">
        <v>32</v>
      </c>
    </row>
    <row r="250" spans="2:18" hidden="1" x14ac:dyDescent="0.35">
      <c r="B250" s="63">
        <v>46237</v>
      </c>
      <c r="C250" t="s">
        <v>790</v>
      </c>
      <c r="D250" t="s">
        <v>63</v>
      </c>
      <c r="E250" t="s">
        <v>63</v>
      </c>
      <c r="F250" t="s">
        <v>63</v>
      </c>
      <c r="G250" t="s">
        <v>188</v>
      </c>
      <c r="H250" s="85" t="s">
        <v>63</v>
      </c>
      <c r="I250" t="s">
        <v>63</v>
      </c>
      <c r="J250" s="46" t="s">
        <v>63</v>
      </c>
      <c r="K250" t="s">
        <v>63</v>
      </c>
      <c r="L250" t="s">
        <v>190</v>
      </c>
      <c r="M250" s="52">
        <v>20000000</v>
      </c>
      <c r="N250" t="s">
        <v>57</v>
      </c>
      <c r="O250" t="s">
        <v>232</v>
      </c>
      <c r="P250" t="s">
        <v>33</v>
      </c>
      <c r="Q250">
        <v>2000559</v>
      </c>
      <c r="R250" t="s">
        <v>32</v>
      </c>
    </row>
    <row r="251" spans="2:18" hidden="1" x14ac:dyDescent="0.35">
      <c r="B251" s="63">
        <v>46237</v>
      </c>
      <c r="C251" t="s">
        <v>792</v>
      </c>
      <c r="D251" t="s">
        <v>51</v>
      </c>
      <c r="E251" t="s">
        <v>51</v>
      </c>
      <c r="F251" t="s">
        <v>406</v>
      </c>
      <c r="G251" t="s">
        <v>406</v>
      </c>
      <c r="H251" s="85">
        <v>4918023191</v>
      </c>
      <c r="I251" s="36">
        <v>47919</v>
      </c>
      <c r="J251" s="46" t="s">
        <v>407</v>
      </c>
      <c r="K251" t="s">
        <v>63</v>
      </c>
      <c r="L251" t="s">
        <v>793</v>
      </c>
      <c r="M251" s="52">
        <v>1320000</v>
      </c>
      <c r="N251" t="s">
        <v>57</v>
      </c>
      <c r="O251" t="s">
        <v>791</v>
      </c>
      <c r="P251" t="s">
        <v>33</v>
      </c>
      <c r="Q251">
        <v>2000563</v>
      </c>
      <c r="R251" t="s">
        <v>32</v>
      </c>
    </row>
    <row r="252" spans="2:18" hidden="1" x14ac:dyDescent="0.35">
      <c r="B252" s="63">
        <v>46237</v>
      </c>
      <c r="C252" t="s">
        <v>797</v>
      </c>
      <c r="D252" t="s">
        <v>63</v>
      </c>
      <c r="E252" t="s">
        <v>63</v>
      </c>
      <c r="F252" t="s">
        <v>63</v>
      </c>
      <c r="G252" t="s">
        <v>188</v>
      </c>
      <c r="H252" s="85" t="s">
        <v>63</v>
      </c>
      <c r="I252" t="s">
        <v>63</v>
      </c>
      <c r="J252" s="46" t="s">
        <v>63</v>
      </c>
      <c r="K252" t="s">
        <v>63</v>
      </c>
      <c r="L252" t="s">
        <v>190</v>
      </c>
      <c r="M252" s="52">
        <v>19500000</v>
      </c>
      <c r="N252" t="s">
        <v>57</v>
      </c>
      <c r="O252" t="s">
        <v>798</v>
      </c>
      <c r="P252" t="s">
        <v>33</v>
      </c>
      <c r="Q252">
        <v>2000562</v>
      </c>
      <c r="R252" t="s">
        <v>32</v>
      </c>
    </row>
    <row r="253" spans="2:18" hidden="1" x14ac:dyDescent="0.35">
      <c r="B253" s="63">
        <v>46237</v>
      </c>
      <c r="C253" t="s">
        <v>805</v>
      </c>
      <c r="D253" t="s">
        <v>82</v>
      </c>
      <c r="E253" t="s">
        <v>115</v>
      </c>
      <c r="F253" t="s">
        <v>743</v>
      </c>
      <c r="G253" t="s">
        <v>743</v>
      </c>
      <c r="H253" s="85" t="s">
        <v>63</v>
      </c>
      <c r="I253" t="s">
        <v>63</v>
      </c>
      <c r="J253" s="46" t="s">
        <v>63</v>
      </c>
      <c r="K253" t="s">
        <v>63</v>
      </c>
      <c r="L253" t="s">
        <v>801</v>
      </c>
      <c r="M253" s="52">
        <v>3274988</v>
      </c>
      <c r="N253" t="s">
        <v>57</v>
      </c>
      <c r="O253" t="s">
        <v>802</v>
      </c>
      <c r="P253" t="s">
        <v>33</v>
      </c>
      <c r="Q253">
        <v>2000565</v>
      </c>
      <c r="R253" t="s">
        <v>32</v>
      </c>
    </row>
    <row r="254" spans="2:18" hidden="1" x14ac:dyDescent="0.35">
      <c r="B254" s="63">
        <v>46237</v>
      </c>
      <c r="C254" t="s">
        <v>806</v>
      </c>
      <c r="D254" t="s">
        <v>82</v>
      </c>
      <c r="E254" t="s">
        <v>115</v>
      </c>
      <c r="F254" t="s">
        <v>234</v>
      </c>
      <c r="G254" t="s">
        <v>234</v>
      </c>
      <c r="H254" s="85" t="s">
        <v>63</v>
      </c>
      <c r="I254" t="s">
        <v>63</v>
      </c>
      <c r="J254" s="46" t="s">
        <v>63</v>
      </c>
      <c r="K254" t="s">
        <v>63</v>
      </c>
      <c r="L254" t="s">
        <v>803</v>
      </c>
      <c r="M254" s="52">
        <v>6271810</v>
      </c>
      <c r="N254" t="s">
        <v>57</v>
      </c>
      <c r="O254" t="s">
        <v>804</v>
      </c>
      <c r="P254" t="s">
        <v>33</v>
      </c>
      <c r="Q254">
        <v>2000564</v>
      </c>
      <c r="R254" t="s">
        <v>32</v>
      </c>
    </row>
    <row r="255" spans="2:18" hidden="1" x14ac:dyDescent="0.35">
      <c r="B255" s="63">
        <v>46238</v>
      </c>
      <c r="C255" t="s">
        <v>811</v>
      </c>
      <c r="D255" t="s">
        <v>51</v>
      </c>
      <c r="E255" t="s">
        <v>51</v>
      </c>
      <c r="F255" t="s">
        <v>181</v>
      </c>
      <c r="G255" t="s">
        <v>185</v>
      </c>
      <c r="H255" s="85">
        <v>7767232054</v>
      </c>
      <c r="I255" s="36">
        <v>47794</v>
      </c>
      <c r="J255" s="46" t="s">
        <v>63</v>
      </c>
      <c r="K255" t="s">
        <v>809</v>
      </c>
      <c r="L255" t="s">
        <v>807</v>
      </c>
      <c r="M255" s="52">
        <v>1328439</v>
      </c>
      <c r="N255" t="s">
        <v>57</v>
      </c>
      <c r="O255" t="s">
        <v>810</v>
      </c>
      <c r="P255" t="s">
        <v>33</v>
      </c>
      <c r="Q255">
        <v>2000566</v>
      </c>
      <c r="R255" t="s">
        <v>32</v>
      </c>
    </row>
    <row r="256" spans="2:18" hidden="1" x14ac:dyDescent="0.35">
      <c r="B256" s="63">
        <v>46239</v>
      </c>
      <c r="C256" t="s">
        <v>817</v>
      </c>
      <c r="D256" t="s">
        <v>51</v>
      </c>
      <c r="E256" t="s">
        <v>51</v>
      </c>
      <c r="F256" t="s">
        <v>816</v>
      </c>
      <c r="G256" t="s">
        <v>269</v>
      </c>
      <c r="H256" s="85" t="s">
        <v>270</v>
      </c>
      <c r="I256" s="65" t="s">
        <v>271</v>
      </c>
      <c r="J256" s="46" t="s">
        <v>63</v>
      </c>
      <c r="K256" t="s">
        <v>63</v>
      </c>
      <c r="L256" t="s">
        <v>818</v>
      </c>
      <c r="M256" s="52">
        <v>1500000</v>
      </c>
      <c r="N256" t="s">
        <v>47</v>
      </c>
      <c r="O256" t="s">
        <v>418</v>
      </c>
      <c r="P256" t="s">
        <v>33</v>
      </c>
      <c r="Q256">
        <v>2000568</v>
      </c>
      <c r="R256" t="s">
        <v>32</v>
      </c>
    </row>
    <row r="257" spans="2:18" hidden="1" x14ac:dyDescent="0.35">
      <c r="B257" s="63">
        <v>46237</v>
      </c>
      <c r="C257" t="s">
        <v>819</v>
      </c>
      <c r="D257" t="s">
        <v>63</v>
      </c>
      <c r="E257" t="s">
        <v>63</v>
      </c>
      <c r="F257" t="s">
        <v>63</v>
      </c>
      <c r="G257" t="s">
        <v>188</v>
      </c>
      <c r="H257" s="85" t="s">
        <v>63</v>
      </c>
      <c r="I257" t="s">
        <v>63</v>
      </c>
      <c r="J257" s="46" t="s">
        <v>63</v>
      </c>
      <c r="K257" t="s">
        <v>63</v>
      </c>
      <c r="L257" t="s">
        <v>190</v>
      </c>
      <c r="M257" s="52">
        <v>20000000</v>
      </c>
      <c r="N257" t="s">
        <v>57</v>
      </c>
      <c r="O257" t="s">
        <v>232</v>
      </c>
      <c r="P257" t="s">
        <v>33</v>
      </c>
      <c r="Q257">
        <v>2000561</v>
      </c>
      <c r="R257" t="s">
        <v>32</v>
      </c>
    </row>
    <row r="258" spans="2:18" hidden="1" x14ac:dyDescent="0.35">
      <c r="B258" s="63">
        <v>46213</v>
      </c>
      <c r="C258" t="s">
        <v>820</v>
      </c>
      <c r="D258" t="s">
        <v>538</v>
      </c>
      <c r="E258" t="s">
        <v>175</v>
      </c>
      <c r="F258" t="s">
        <v>537</v>
      </c>
      <c r="G258" t="s">
        <v>537</v>
      </c>
      <c r="H258" s="85" t="s">
        <v>63</v>
      </c>
      <c r="I258" t="s">
        <v>63</v>
      </c>
      <c r="J258" s="46" t="s">
        <v>63</v>
      </c>
      <c r="K258" t="s">
        <v>63</v>
      </c>
      <c r="L258" t="s">
        <v>544</v>
      </c>
      <c r="M258" s="52">
        <v>2869997</v>
      </c>
      <c r="N258" t="s">
        <v>57</v>
      </c>
      <c r="O258" t="s">
        <v>543</v>
      </c>
      <c r="P258" t="s">
        <v>33</v>
      </c>
      <c r="Q258">
        <v>5822129</v>
      </c>
      <c r="R258" t="s">
        <v>337</v>
      </c>
    </row>
    <row r="259" spans="2:18" hidden="1" x14ac:dyDescent="0.35">
      <c r="B259" s="63">
        <v>46244</v>
      </c>
      <c r="C259" t="s">
        <v>829</v>
      </c>
      <c r="D259" t="s">
        <v>471</v>
      </c>
      <c r="E259" t="s">
        <v>825</v>
      </c>
      <c r="F259" t="s">
        <v>826</v>
      </c>
      <c r="G259" t="s">
        <v>826</v>
      </c>
      <c r="H259" s="85">
        <v>20274392522125</v>
      </c>
      <c r="I259" s="36">
        <v>46582</v>
      </c>
      <c r="J259" s="46" t="s">
        <v>827</v>
      </c>
      <c r="K259" t="s">
        <v>63</v>
      </c>
      <c r="L259" t="s">
        <v>828</v>
      </c>
      <c r="M259" s="52">
        <v>296800</v>
      </c>
      <c r="N259" t="s">
        <v>57</v>
      </c>
      <c r="O259" t="e" vm="1">
        <f ca="1">SUBSTITUTE(_xlfn.TRANSLATE(BAHTTEXT(Table1[[#This Row],[Montant]]),"th","fr")," bahts"," francs CFA")</f>
        <v>#NAME?</v>
      </c>
      <c r="P259" t="s">
        <v>33</v>
      </c>
      <c r="Q259">
        <v>3898156</v>
      </c>
      <c r="R259" t="s">
        <v>147</v>
      </c>
    </row>
    <row r="260" spans="2:18" hidden="1" x14ac:dyDescent="0.35">
      <c r="B260" s="63">
        <v>46244</v>
      </c>
      <c r="C260" t="s">
        <v>831</v>
      </c>
      <c r="D260" t="s">
        <v>82</v>
      </c>
      <c r="E260" t="s">
        <v>115</v>
      </c>
      <c r="F260" t="s">
        <v>743</v>
      </c>
      <c r="G260" t="s">
        <v>743</v>
      </c>
      <c r="H260" s="85" t="s">
        <v>63</v>
      </c>
      <c r="I260" t="s">
        <v>63</v>
      </c>
      <c r="J260" s="46" t="s">
        <v>63</v>
      </c>
      <c r="K260" t="s">
        <v>63</v>
      </c>
      <c r="L260" t="s">
        <v>830</v>
      </c>
      <c r="M260" s="52">
        <v>1634149</v>
      </c>
      <c r="N260" t="s">
        <v>57</v>
      </c>
      <c r="O260" t="e" vm="1">
        <f ca="1">SUBSTITUTE(_xlfn.TRANSLATE(BAHTTEXT(Table1[[#This Row],[Montant]]),"th","fr")," bahts"," francs CFA")</f>
        <v>#NAME?</v>
      </c>
      <c r="P260" t="s">
        <v>33</v>
      </c>
      <c r="Q260">
        <v>2000569</v>
      </c>
      <c r="R260" t="s">
        <v>32</v>
      </c>
    </row>
    <row r="261" spans="2:18" hidden="1" x14ac:dyDescent="0.35">
      <c r="B261" s="63">
        <v>46245</v>
      </c>
      <c r="C261" t="s">
        <v>834</v>
      </c>
      <c r="D261" t="s">
        <v>51</v>
      </c>
      <c r="E261" t="s">
        <v>51</v>
      </c>
      <c r="F261" t="s">
        <v>161</v>
      </c>
      <c r="G261" t="s">
        <v>143</v>
      </c>
      <c r="H261" s="85">
        <v>5924678990</v>
      </c>
      <c r="I261" s="36">
        <v>46629</v>
      </c>
      <c r="J261" s="46" t="s">
        <v>151</v>
      </c>
      <c r="K261" t="s">
        <v>63</v>
      </c>
      <c r="L261" t="s">
        <v>395</v>
      </c>
      <c r="M261" s="52">
        <v>1310869</v>
      </c>
      <c r="N261" t="s">
        <v>57</v>
      </c>
      <c r="O261" t="e" vm="1">
        <f ca="1">SUBSTITUTE(_xlfn.TRANSLATE(BAHTTEXT(Table1[[#This Row],[Montant]]),"th","fr")," bahts"," francs CFA")</f>
        <v>#NAME?</v>
      </c>
      <c r="P261" t="s">
        <v>33</v>
      </c>
      <c r="Q261">
        <v>2000572</v>
      </c>
      <c r="R261" t="s">
        <v>32</v>
      </c>
    </row>
    <row r="262" spans="2:18" hidden="1" x14ac:dyDescent="0.35">
      <c r="B262" s="63">
        <v>46245</v>
      </c>
      <c r="C262" t="s">
        <v>836</v>
      </c>
      <c r="D262" t="s">
        <v>82</v>
      </c>
      <c r="E262" t="s">
        <v>175</v>
      </c>
      <c r="F262" t="s">
        <v>386</v>
      </c>
      <c r="G262" t="s">
        <v>83</v>
      </c>
      <c r="H262" s="85">
        <v>7506116519</v>
      </c>
      <c r="I262" s="36">
        <v>48001</v>
      </c>
      <c r="J262" s="46" t="s">
        <v>84</v>
      </c>
      <c r="K262" t="s">
        <v>837</v>
      </c>
      <c r="L262" t="s">
        <v>835</v>
      </c>
      <c r="M262" s="52">
        <v>373450</v>
      </c>
      <c r="N262" t="s">
        <v>57</v>
      </c>
      <c r="O262" t="e" vm="1">
        <f ca="1">SUBSTITUTE(_xlfn.TRANSLATE(BAHTTEXT(Table1[[#This Row],[Montant]]),"th","fr")," bahts"," francs CFA")</f>
        <v>#NAME?</v>
      </c>
      <c r="P262" t="s">
        <v>33</v>
      </c>
      <c r="Q262">
        <v>2000573</v>
      </c>
      <c r="R262" t="s">
        <v>32</v>
      </c>
    </row>
    <row r="263" spans="2:18" hidden="1" x14ac:dyDescent="0.35">
      <c r="B263" s="63">
        <v>46245</v>
      </c>
      <c r="C263" t="s">
        <v>840</v>
      </c>
      <c r="D263" t="s">
        <v>127</v>
      </c>
      <c r="E263" t="s">
        <v>127</v>
      </c>
      <c r="F263" t="s">
        <v>63</v>
      </c>
      <c r="G263" t="s">
        <v>63</v>
      </c>
      <c r="H263" s="85" t="s">
        <v>63</v>
      </c>
      <c r="I263" t="s">
        <v>63</v>
      </c>
      <c r="J263" s="46" t="s">
        <v>63</v>
      </c>
      <c r="K263" t="s">
        <v>839</v>
      </c>
      <c r="L263" t="s">
        <v>128</v>
      </c>
      <c r="M263" s="52">
        <v>3280000</v>
      </c>
      <c r="N263" t="s">
        <v>57</v>
      </c>
      <c r="O263" t="e" vm="1">
        <f ca="1">SUBSTITUTE(_xlfn.TRANSLATE(BAHTTEXT(Table1[[#This Row],[Montant]]),"th","fr")," bahts"," francs CFA")</f>
        <v>#NAME?</v>
      </c>
      <c r="P263" t="s">
        <v>130</v>
      </c>
      <c r="Q263" t="s">
        <v>63</v>
      </c>
      <c r="R263" t="s">
        <v>147</v>
      </c>
    </row>
    <row r="264" spans="2:18" hidden="1" x14ac:dyDescent="0.35">
      <c r="B264" s="63">
        <v>46245</v>
      </c>
      <c r="C264" t="s">
        <v>849</v>
      </c>
      <c r="D264" t="s">
        <v>51</v>
      </c>
      <c r="E264" t="s">
        <v>199</v>
      </c>
      <c r="F264" t="s">
        <v>200</v>
      </c>
      <c r="G264" t="s">
        <v>200</v>
      </c>
      <c r="H264" t="s">
        <v>63</v>
      </c>
      <c r="I264" s="46" t="s">
        <v>63</v>
      </c>
      <c r="J264" s="46"/>
      <c r="K264" t="s">
        <v>63</v>
      </c>
      <c r="L264" t="s">
        <v>848</v>
      </c>
      <c r="M264" s="52">
        <v>6098503</v>
      </c>
      <c r="N264" t="s">
        <v>57</v>
      </c>
      <c r="O264" t="e" vm="1">
        <f ca="1">SUBSTITUTE(_xlfn.TRANSLATE(BAHTTEXT(Table1[[#This Row],[Montant]]),"th","fr")," bahts"," francs CFA")</f>
        <v>#NAME?</v>
      </c>
      <c r="P264" t="s">
        <v>33</v>
      </c>
      <c r="Q264">
        <v>2000570</v>
      </c>
      <c r="R264" t="s">
        <v>32</v>
      </c>
    </row>
    <row r="265" spans="2:18" ht="43.5" hidden="1" x14ac:dyDescent="0.35">
      <c r="B265" s="63">
        <v>46240</v>
      </c>
      <c r="C265" t="s">
        <v>852</v>
      </c>
      <c r="D265" t="s">
        <v>82</v>
      </c>
      <c r="E265" t="s">
        <v>115</v>
      </c>
      <c r="F265" t="s">
        <v>234</v>
      </c>
      <c r="G265" t="s">
        <v>234</v>
      </c>
      <c r="H265" s="85" t="s">
        <v>63</v>
      </c>
      <c r="I265" t="s">
        <v>63</v>
      </c>
      <c r="J265" s="46" t="s">
        <v>63</v>
      </c>
      <c r="K265" t="s">
        <v>63</v>
      </c>
      <c r="L265" s="102" t="s">
        <v>853</v>
      </c>
      <c r="M265" s="52">
        <v>11230088</v>
      </c>
      <c r="N265" t="s">
        <v>57</v>
      </c>
      <c r="O265" t="e" vm="1">
        <f ca="1">SUBSTITUTE(_xlfn.TRANSLATE(BAHTTEXT(Table1[[#This Row],[Montant]]),"th","fr")," bahts"," francs CFA")</f>
        <v>#NAME?</v>
      </c>
      <c r="P265" t="s">
        <v>33</v>
      </c>
      <c r="Q265">
        <v>2000571</v>
      </c>
      <c r="R265" t="s">
        <v>32</v>
      </c>
    </row>
    <row r="266" spans="2:18" hidden="1" x14ac:dyDescent="0.35">
      <c r="B266" s="63">
        <v>46246</v>
      </c>
      <c r="C266" t="s">
        <v>859</v>
      </c>
      <c r="D266" t="s">
        <v>51</v>
      </c>
      <c r="E266" t="s">
        <v>237</v>
      </c>
      <c r="F266" t="s">
        <v>238</v>
      </c>
      <c r="G266" t="s">
        <v>574</v>
      </c>
      <c r="H266" s="85">
        <v>20846854937426</v>
      </c>
      <c r="I266" s="36">
        <v>413157</v>
      </c>
      <c r="J266" s="46" t="s">
        <v>239</v>
      </c>
      <c r="K266" t="s">
        <v>63</v>
      </c>
      <c r="L266" t="s">
        <v>858</v>
      </c>
      <c r="M266" s="52">
        <v>338400</v>
      </c>
      <c r="N266" t="s">
        <v>57</v>
      </c>
      <c r="O266" t="e" vm="1">
        <f ca="1">SUBSTITUTE(_xlfn.TRANSLATE(BAHTTEXT(Table1[[#This Row],[Montant]]),"th","fr")," bahts"," francs CFA")</f>
        <v>#NAME?</v>
      </c>
      <c r="P266" t="s">
        <v>33</v>
      </c>
      <c r="Q266">
        <v>5822138</v>
      </c>
      <c r="R266" t="s">
        <v>337</v>
      </c>
    </row>
    <row r="267" spans="2:18" hidden="1" x14ac:dyDescent="0.35">
      <c r="B267" s="63">
        <v>46246</v>
      </c>
      <c r="C267" t="s">
        <v>863</v>
      </c>
      <c r="D267" t="s">
        <v>28</v>
      </c>
      <c r="E267" t="s">
        <v>860</v>
      </c>
      <c r="F267" t="s">
        <v>46</v>
      </c>
      <c r="G267" t="s">
        <v>46</v>
      </c>
      <c r="H267" s="85">
        <v>1115119742</v>
      </c>
      <c r="I267" s="36">
        <v>46622</v>
      </c>
      <c r="J267" s="46" t="s">
        <v>48</v>
      </c>
      <c r="K267" t="s">
        <v>862</v>
      </c>
      <c r="L267" t="s">
        <v>861</v>
      </c>
      <c r="M267" s="104">
        <v>6000000</v>
      </c>
      <c r="N267" t="s">
        <v>47</v>
      </c>
      <c r="O267" t="e" vm="1">
        <f ca="1">SUBSTITUTE(_xlfn.TRANSLATE(BAHTTEXT(Table1[[#This Row],[Montant]]),"th","fr")," bahts"," francs CFA")</f>
        <v>#NAME?</v>
      </c>
      <c r="P267" t="s">
        <v>33</v>
      </c>
      <c r="Q267">
        <v>2000575</v>
      </c>
      <c r="R267" t="s">
        <v>32</v>
      </c>
    </row>
    <row r="268" spans="2:18" hidden="1" x14ac:dyDescent="0.35">
      <c r="B268" s="63">
        <v>46246</v>
      </c>
      <c r="C268" t="s">
        <v>867</v>
      </c>
      <c r="D268" t="s">
        <v>51</v>
      </c>
      <c r="E268" t="s">
        <v>51</v>
      </c>
      <c r="F268" t="s">
        <v>406</v>
      </c>
      <c r="G268" t="s">
        <v>406</v>
      </c>
      <c r="H268" s="85">
        <v>4918023191</v>
      </c>
      <c r="I268" s="36">
        <v>47919</v>
      </c>
      <c r="J268" s="46" t="s">
        <v>407</v>
      </c>
      <c r="K268" t="s">
        <v>63</v>
      </c>
      <c r="L268" t="s">
        <v>866</v>
      </c>
      <c r="M268" s="52">
        <v>11000000</v>
      </c>
      <c r="N268" t="s">
        <v>57</v>
      </c>
      <c r="O268" t="e" vm="1">
        <f ca="1">SUBSTITUTE(_xlfn.TRANSLATE(BAHTTEXT(Table1[[#This Row],[Montant]]),"th","fr")," bahts"," francs CFA")</f>
        <v>#NAME?</v>
      </c>
      <c r="P268" t="s">
        <v>33</v>
      </c>
      <c r="Q268">
        <v>5822140</v>
      </c>
      <c r="R268" t="s">
        <v>337</v>
      </c>
    </row>
    <row r="269" spans="2:18" hidden="1" x14ac:dyDescent="0.35">
      <c r="B269" s="63">
        <v>46248</v>
      </c>
      <c r="C269" t="s">
        <v>870</v>
      </c>
      <c r="D269" t="s">
        <v>28</v>
      </c>
      <c r="E269" t="s">
        <v>860</v>
      </c>
      <c r="F269" t="s">
        <v>46</v>
      </c>
      <c r="G269" t="s">
        <v>46</v>
      </c>
      <c r="H269" s="85">
        <v>1115119742</v>
      </c>
      <c r="I269" s="36">
        <v>46622</v>
      </c>
      <c r="J269" s="46" t="s">
        <v>48</v>
      </c>
      <c r="K269" t="s">
        <v>871</v>
      </c>
      <c r="L269" t="s">
        <v>861</v>
      </c>
      <c r="M269" s="104">
        <v>16552800</v>
      </c>
      <c r="N269" t="s">
        <v>57</v>
      </c>
      <c r="O269" t="e" vm="1">
        <f ca="1">SUBSTITUTE(_xlfn.TRANSLATE(BAHTTEXT(Table1[[#This Row],[Montant]]),"th","fr")," bahts"," francs CFA")</f>
        <v>#NAME?</v>
      </c>
      <c r="P269" t="s">
        <v>33</v>
      </c>
      <c r="Q269">
        <v>5822154</v>
      </c>
      <c r="R269" t="s">
        <v>337</v>
      </c>
    </row>
    <row r="270" spans="2:18" hidden="1" x14ac:dyDescent="0.35">
      <c r="B270" s="63">
        <v>46251</v>
      </c>
      <c r="C270" t="s">
        <v>878</v>
      </c>
      <c r="D270" t="s">
        <v>338</v>
      </c>
      <c r="E270" t="s">
        <v>338</v>
      </c>
      <c r="F270" t="s">
        <v>352</v>
      </c>
      <c r="G270" t="s">
        <v>352</v>
      </c>
      <c r="H270" s="85" t="s">
        <v>63</v>
      </c>
      <c r="I270" t="s">
        <v>63</v>
      </c>
      <c r="J270" s="46" t="s">
        <v>63</v>
      </c>
      <c r="K270" t="s">
        <v>63</v>
      </c>
      <c r="L270" t="s">
        <v>877</v>
      </c>
      <c r="M270" s="52">
        <v>35000000</v>
      </c>
      <c r="N270" t="s">
        <v>57</v>
      </c>
      <c r="O270" t="e" vm="1">
        <f ca="1">SUBSTITUTE(_xlfn.TRANSLATE(BAHTTEXT(Table1[[#This Row],[Montant]]),"th","fr")," bahts"," francs CFA")</f>
        <v>#NAME?</v>
      </c>
      <c r="P270" t="s">
        <v>33</v>
      </c>
      <c r="Q270">
        <v>5822141</v>
      </c>
      <c r="R270" t="s">
        <v>337</v>
      </c>
    </row>
    <row r="271" spans="2:18" hidden="1" x14ac:dyDescent="0.35">
      <c r="B271" s="63">
        <v>46251</v>
      </c>
      <c r="C271" t="s">
        <v>881</v>
      </c>
      <c r="D271" t="s">
        <v>28</v>
      </c>
      <c r="E271" t="s">
        <v>860</v>
      </c>
      <c r="F271" t="s">
        <v>882</v>
      </c>
      <c r="G271" t="s">
        <v>880</v>
      </c>
      <c r="H271" s="85">
        <v>209735867</v>
      </c>
      <c r="I271" s="36">
        <v>46335</v>
      </c>
      <c r="J271" s="46" t="s">
        <v>63</v>
      </c>
      <c r="K271" t="s">
        <v>879</v>
      </c>
      <c r="L271" t="s">
        <v>861</v>
      </c>
      <c r="M271" s="104">
        <v>32835000</v>
      </c>
      <c r="N271" t="s">
        <v>57</v>
      </c>
      <c r="O271" t="e" vm="1">
        <f ca="1">SUBSTITUTE(_xlfn.TRANSLATE(BAHTTEXT(Table1[[#This Row],[Montant]]),"th","fr")," bahts"," francs CFA")</f>
        <v>#NAME?</v>
      </c>
      <c r="P271" t="s">
        <v>33</v>
      </c>
      <c r="Q271">
        <v>5822143</v>
      </c>
      <c r="R271" t="s">
        <v>337</v>
      </c>
    </row>
    <row r="272" spans="2:18" hidden="1" x14ac:dyDescent="0.35">
      <c r="B272" s="63">
        <v>46252</v>
      </c>
      <c r="C272" t="s">
        <v>899</v>
      </c>
      <c r="D272" t="s">
        <v>51</v>
      </c>
      <c r="E272" t="s">
        <v>51</v>
      </c>
      <c r="F272" t="s">
        <v>896</v>
      </c>
      <c r="G272" t="s">
        <v>897</v>
      </c>
      <c r="H272" s="85">
        <v>20317582589525</v>
      </c>
      <c r="I272" s="36">
        <v>47807</v>
      </c>
      <c r="J272" s="46" t="s">
        <v>898</v>
      </c>
      <c r="K272" t="s">
        <v>63</v>
      </c>
      <c r="L272" t="s">
        <v>895</v>
      </c>
      <c r="M272" s="52">
        <v>436500</v>
      </c>
      <c r="N272" t="s">
        <v>57</v>
      </c>
      <c r="O272" t="e" vm="1">
        <f ca="1">SUBSTITUTE(_xlfn.TRANSLATE(BAHTTEXT(Table1[[#This Row],[Montant]]),"th","fr")," bahts"," francs CFA")</f>
        <v>#NAME?</v>
      </c>
      <c r="P272" t="s">
        <v>33</v>
      </c>
      <c r="Q272">
        <v>5822152</v>
      </c>
      <c r="R272" t="s">
        <v>337</v>
      </c>
    </row>
    <row r="273" spans="2:18" hidden="1" x14ac:dyDescent="0.35">
      <c r="B273" s="63">
        <v>46252</v>
      </c>
      <c r="C273" t="s">
        <v>901</v>
      </c>
      <c r="D273" t="s">
        <v>28</v>
      </c>
      <c r="E273" t="s">
        <v>860</v>
      </c>
      <c r="F273" t="s">
        <v>900</v>
      </c>
      <c r="G273" t="s">
        <v>900</v>
      </c>
      <c r="H273" s="85" t="s">
        <v>924</v>
      </c>
      <c r="I273" s="36">
        <v>47393</v>
      </c>
      <c r="J273" s="46" t="s">
        <v>63</v>
      </c>
      <c r="K273" t="s">
        <v>977</v>
      </c>
      <c r="L273" t="s">
        <v>861</v>
      </c>
      <c r="M273" s="104">
        <v>12949200</v>
      </c>
      <c r="N273" t="s">
        <v>57</v>
      </c>
      <c r="O273" t="e" vm="1">
        <f ca="1">SUBSTITUTE(_xlfn.TRANSLATE(BAHTTEXT(Table1[[#This Row],[Montant]]),"th","fr")," bahts"," francs CFA")</f>
        <v>#NAME?</v>
      </c>
      <c r="P273" t="s">
        <v>33</v>
      </c>
      <c r="Q273">
        <v>5822144</v>
      </c>
      <c r="R273" t="s">
        <v>337</v>
      </c>
    </row>
    <row r="274" spans="2:18" hidden="1" x14ac:dyDescent="0.35">
      <c r="B274" s="63">
        <v>46252</v>
      </c>
      <c r="C274" t="s">
        <v>902</v>
      </c>
      <c r="D274" t="s">
        <v>82</v>
      </c>
      <c r="E274" t="s">
        <v>175</v>
      </c>
      <c r="F274" t="s">
        <v>347</v>
      </c>
      <c r="G274" t="s">
        <v>348</v>
      </c>
      <c r="H274" s="85">
        <v>7668041413</v>
      </c>
      <c r="I274" s="36">
        <v>46670</v>
      </c>
      <c r="J274" s="46" t="s">
        <v>346</v>
      </c>
      <c r="K274" t="s">
        <v>63</v>
      </c>
      <c r="L274" t="s">
        <v>528</v>
      </c>
      <c r="M274" s="52">
        <v>8000000</v>
      </c>
      <c r="N274" t="s">
        <v>57</v>
      </c>
      <c r="O274" t="e" vm="1">
        <f ca="1">SUBSTITUTE(_xlfn.TRANSLATE(BAHTTEXT(Table1[[#This Row],[Montant]]),"th","fr")," bahts"," francs CFA")</f>
        <v>#NAME?</v>
      </c>
      <c r="P274" t="s">
        <v>33</v>
      </c>
      <c r="Q274">
        <v>5822145</v>
      </c>
      <c r="R274" t="s">
        <v>337</v>
      </c>
    </row>
    <row r="275" spans="2:18" hidden="1" x14ac:dyDescent="0.35">
      <c r="B275" s="63">
        <v>46252</v>
      </c>
      <c r="C275" t="s">
        <v>903</v>
      </c>
      <c r="D275" t="s">
        <v>28</v>
      </c>
      <c r="E275" t="s">
        <v>860</v>
      </c>
      <c r="F275" t="s">
        <v>46</v>
      </c>
      <c r="G275" t="s">
        <v>46</v>
      </c>
      <c r="H275" s="85">
        <v>1115119742</v>
      </c>
      <c r="I275" s="36">
        <v>46622</v>
      </c>
      <c r="J275" s="46" t="s">
        <v>48</v>
      </c>
      <c r="K275" t="s">
        <v>63</v>
      </c>
      <c r="L275" t="s">
        <v>861</v>
      </c>
      <c r="M275" s="104">
        <v>25990200</v>
      </c>
      <c r="N275" t="s">
        <v>57</v>
      </c>
      <c r="O275" t="e" vm="1">
        <f ca="1">SUBSTITUTE(_xlfn.TRANSLATE(BAHTTEXT(Table1[[#This Row],[Montant]]),"th","fr")," bahts"," francs CFA")</f>
        <v>#NAME?</v>
      </c>
      <c r="P275" t="s">
        <v>33</v>
      </c>
      <c r="Q275">
        <v>5822146</v>
      </c>
      <c r="R275" t="s">
        <v>337</v>
      </c>
    </row>
    <row r="276" spans="2:18" hidden="1" x14ac:dyDescent="0.35">
      <c r="B276" s="63">
        <v>46252</v>
      </c>
      <c r="C276" t="s">
        <v>904</v>
      </c>
      <c r="D276" t="s">
        <v>28</v>
      </c>
      <c r="E276" t="s">
        <v>860</v>
      </c>
      <c r="F276" t="s">
        <v>890</v>
      </c>
      <c r="G276" t="s">
        <v>891</v>
      </c>
      <c r="H276" s="85">
        <v>20435764679125</v>
      </c>
      <c r="I276" s="36">
        <v>46685</v>
      </c>
      <c r="J276" s="46" t="s">
        <v>892</v>
      </c>
      <c r="K276" t="s">
        <v>926</v>
      </c>
      <c r="L276" t="s">
        <v>861</v>
      </c>
      <c r="M276" s="104">
        <v>7000000</v>
      </c>
      <c r="N276" t="s">
        <v>47</v>
      </c>
      <c r="O276" t="e" vm="1">
        <f ca="1">SUBSTITUTE(_xlfn.TRANSLATE(BAHTTEXT(Table1[[#This Row],[Montant]]),"th","fr")," bahts"," francs CFA")</f>
        <v>#NAME?</v>
      </c>
      <c r="P276" t="s">
        <v>33</v>
      </c>
      <c r="Q276">
        <v>5822147</v>
      </c>
      <c r="R276" t="s">
        <v>337</v>
      </c>
    </row>
    <row r="277" spans="2:18" hidden="1" x14ac:dyDescent="0.35">
      <c r="B277" s="63">
        <v>46252</v>
      </c>
      <c r="C277" t="s">
        <v>906</v>
      </c>
      <c r="D277" t="s">
        <v>82</v>
      </c>
      <c r="E277" t="s">
        <v>115</v>
      </c>
      <c r="F277" t="s">
        <v>743</v>
      </c>
      <c r="G277" t="s">
        <v>743</v>
      </c>
      <c r="H277" s="85" t="s">
        <v>63</v>
      </c>
      <c r="I277" t="s">
        <v>63</v>
      </c>
      <c r="J277" s="46" t="s">
        <v>63</v>
      </c>
      <c r="K277" t="s">
        <v>63</v>
      </c>
      <c r="L277" t="s">
        <v>905</v>
      </c>
      <c r="M277" s="52">
        <v>3303826</v>
      </c>
      <c r="N277" t="s">
        <v>57</v>
      </c>
      <c r="O277" t="e" vm="1">
        <f ca="1">SUBSTITUTE(_xlfn.TRANSLATE(BAHTTEXT(Table1[[#This Row],[Montant]]),"th","fr")," bahts"," francs CFA")</f>
        <v>#NAME?</v>
      </c>
      <c r="P277" t="s">
        <v>33</v>
      </c>
      <c r="Q277">
        <v>2000577</v>
      </c>
      <c r="R277" t="s">
        <v>32</v>
      </c>
    </row>
    <row r="278" spans="2:18" hidden="1" x14ac:dyDescent="0.35">
      <c r="B278" s="63">
        <v>46252</v>
      </c>
      <c r="C278" t="s">
        <v>908</v>
      </c>
      <c r="D278" t="s">
        <v>82</v>
      </c>
      <c r="E278" t="s">
        <v>175</v>
      </c>
      <c r="F278" t="s">
        <v>386</v>
      </c>
      <c r="G278" t="s">
        <v>83</v>
      </c>
      <c r="H278" s="85">
        <v>7506116519</v>
      </c>
      <c r="I278" s="36">
        <v>48001</v>
      </c>
      <c r="J278" s="46" t="s">
        <v>84</v>
      </c>
      <c r="K278" t="s">
        <v>63</v>
      </c>
      <c r="L278" t="s">
        <v>907</v>
      </c>
      <c r="M278" s="52">
        <v>800000</v>
      </c>
      <c r="N278" t="s">
        <v>57</v>
      </c>
      <c r="O278" t="e" vm="1">
        <f ca="1">SUBSTITUTE(_xlfn.TRANSLATE(BAHTTEXT(Table1[[#This Row],[Montant]]),"th","fr")," bahts"," francs CFA")</f>
        <v>#NAME?</v>
      </c>
      <c r="P278" t="s">
        <v>33</v>
      </c>
      <c r="Q278">
        <v>2000385</v>
      </c>
      <c r="R278" t="s">
        <v>32</v>
      </c>
    </row>
    <row r="279" spans="2:18" hidden="1" x14ac:dyDescent="0.35">
      <c r="B279" s="63">
        <v>46253</v>
      </c>
      <c r="C279" t="s">
        <v>909</v>
      </c>
      <c r="D279" t="s">
        <v>51</v>
      </c>
      <c r="E279" t="s">
        <v>910</v>
      </c>
      <c r="F279" t="s">
        <v>161</v>
      </c>
      <c r="G279" t="s">
        <v>143</v>
      </c>
      <c r="H279" s="85">
        <v>5924678990</v>
      </c>
      <c r="I279" s="36">
        <v>46629</v>
      </c>
      <c r="J279" s="46" t="s">
        <v>151</v>
      </c>
      <c r="L279" t="s">
        <v>911</v>
      </c>
      <c r="M279" s="52">
        <v>1500000</v>
      </c>
      <c r="N279" t="s">
        <v>47</v>
      </c>
      <c r="O279" t="e" vm="1">
        <f ca="1">SUBSTITUTE(_xlfn.TRANSLATE(BAHTTEXT(Table1[[#This Row],[Montant]]),"th","fr")," bahts"," francs CFA")</f>
        <v>#NAME?</v>
      </c>
      <c r="P279" t="s">
        <v>33</v>
      </c>
      <c r="Q279">
        <v>5822153</v>
      </c>
      <c r="R279" t="s">
        <v>337</v>
      </c>
    </row>
    <row r="280" spans="2:18" hidden="1" x14ac:dyDescent="0.35">
      <c r="B280" s="63">
        <v>46254</v>
      </c>
      <c r="C280" t="s">
        <v>915</v>
      </c>
      <c r="D280" t="s">
        <v>51</v>
      </c>
      <c r="E280" t="s">
        <v>51</v>
      </c>
      <c r="F280" t="s">
        <v>559</v>
      </c>
      <c r="G280" t="s">
        <v>560</v>
      </c>
      <c r="H280" s="85" t="s">
        <v>561</v>
      </c>
      <c r="I280" s="36">
        <v>47283</v>
      </c>
      <c r="J280" s="46" t="s">
        <v>63</v>
      </c>
      <c r="K280" t="s">
        <v>917</v>
      </c>
      <c r="L280" t="s">
        <v>562</v>
      </c>
      <c r="M280" s="52">
        <v>1192500</v>
      </c>
      <c r="N280" t="s">
        <v>57</v>
      </c>
      <c r="O280" t="s">
        <v>916</v>
      </c>
      <c r="P280" t="s">
        <v>33</v>
      </c>
      <c r="Q280">
        <v>5822155</v>
      </c>
      <c r="R280" t="s">
        <v>337</v>
      </c>
    </row>
    <row r="281" spans="2:18" hidden="1" x14ac:dyDescent="0.35">
      <c r="B281" s="63">
        <v>46254</v>
      </c>
      <c r="C281" t="s">
        <v>922</v>
      </c>
      <c r="D281" t="s">
        <v>28</v>
      </c>
      <c r="E281" t="s">
        <v>860</v>
      </c>
      <c r="F281" t="s">
        <v>46</v>
      </c>
      <c r="G281" t="s">
        <v>46</v>
      </c>
      <c r="H281" s="85">
        <v>1115119742</v>
      </c>
      <c r="I281" s="36">
        <v>46622</v>
      </c>
      <c r="J281" s="46" t="s">
        <v>48</v>
      </c>
      <c r="K281" t="s">
        <v>921</v>
      </c>
      <c r="L281" t="s">
        <v>861</v>
      </c>
      <c r="M281" s="104">
        <v>15622200</v>
      </c>
      <c r="N281" t="s">
        <v>57</v>
      </c>
      <c r="O281" t="e" vm="1">
        <f ca="1">SUBSTITUTE(_xlfn.TRANSLATE(BAHTTEXT(Table1[[#This Row],[Montant]]),"th","fr")," bahts"," francs CFA")</f>
        <v>#NAME?</v>
      </c>
      <c r="P281" t="s">
        <v>33</v>
      </c>
      <c r="Q281">
        <v>5822156</v>
      </c>
      <c r="R281" t="s">
        <v>337</v>
      </c>
    </row>
    <row r="282" spans="2:18" hidden="1" x14ac:dyDescent="0.35">
      <c r="B282" s="63">
        <v>46254</v>
      </c>
      <c r="C282" t="s">
        <v>923</v>
      </c>
      <c r="D282" t="s">
        <v>28</v>
      </c>
      <c r="E282" t="s">
        <v>860</v>
      </c>
      <c r="F282" t="s">
        <v>900</v>
      </c>
      <c r="G282" t="s">
        <v>900</v>
      </c>
      <c r="H282" s="85" t="s">
        <v>924</v>
      </c>
      <c r="I282" s="36">
        <v>47393</v>
      </c>
      <c r="J282" s="46" t="s">
        <v>63</v>
      </c>
      <c r="K282" t="s">
        <v>978</v>
      </c>
      <c r="L282" t="s">
        <v>861</v>
      </c>
      <c r="M282" s="104">
        <v>15001800</v>
      </c>
      <c r="N282" t="s">
        <v>57</v>
      </c>
      <c r="O282" t="e" vm="1">
        <f ca="1">SUBSTITUTE(_xlfn.TRANSLATE(BAHTTEXT(Table1[[#This Row],[Montant]]),"th","fr")," bahts"," francs CFA")</f>
        <v>#NAME?</v>
      </c>
      <c r="P282" t="s">
        <v>33</v>
      </c>
      <c r="Q282">
        <v>5822157</v>
      </c>
      <c r="R282" t="s">
        <v>337</v>
      </c>
    </row>
    <row r="283" spans="2:18" hidden="1" x14ac:dyDescent="0.35">
      <c r="B283" s="63">
        <v>46254</v>
      </c>
      <c r="C283" t="s">
        <v>925</v>
      </c>
      <c r="D283" t="s">
        <v>28</v>
      </c>
      <c r="E283" t="s">
        <v>860</v>
      </c>
      <c r="F283" t="s">
        <v>890</v>
      </c>
      <c r="G283" t="s">
        <v>891</v>
      </c>
      <c r="H283" s="85">
        <v>20435764679125</v>
      </c>
      <c r="I283" s="36">
        <v>46685</v>
      </c>
      <c r="J283" s="46" t="s">
        <v>892</v>
      </c>
      <c r="K283" t="s">
        <v>926</v>
      </c>
      <c r="L283" t="s">
        <v>861</v>
      </c>
      <c r="M283" s="104">
        <v>8675000</v>
      </c>
      <c r="N283" t="s">
        <v>57</v>
      </c>
      <c r="O283" t="e" vm="1">
        <f ca="1">SUBSTITUTE(_xlfn.TRANSLATE(BAHTTEXT(Table1[[#This Row],[Montant]]),"th","fr")," bahts"," francs CFA")</f>
        <v>#NAME?</v>
      </c>
      <c r="P283" t="s">
        <v>33</v>
      </c>
      <c r="Q283">
        <v>5822158</v>
      </c>
      <c r="R283" t="s">
        <v>337</v>
      </c>
    </row>
    <row r="284" spans="2:18" hidden="1" x14ac:dyDescent="0.35">
      <c r="B284" s="63">
        <v>46255</v>
      </c>
      <c r="C284" t="s">
        <v>941</v>
      </c>
      <c r="D284" t="s">
        <v>28</v>
      </c>
      <c r="E284" t="s">
        <v>860</v>
      </c>
      <c r="F284" t="s">
        <v>900</v>
      </c>
      <c r="G284" t="s">
        <v>900</v>
      </c>
      <c r="H284" s="85" t="s">
        <v>924</v>
      </c>
      <c r="I284" s="36">
        <v>47393</v>
      </c>
      <c r="J284" s="46" t="s">
        <v>63</v>
      </c>
      <c r="K284" t="s">
        <v>943</v>
      </c>
      <c r="L284" t="s">
        <v>861</v>
      </c>
      <c r="M284" s="104">
        <v>14460600</v>
      </c>
      <c r="N284" t="s">
        <v>57</v>
      </c>
      <c r="O284" t="e" vm="1">
        <f ca="1">SUBSTITUTE(_xlfn.TRANSLATE(BAHTTEXT(Table1[[#This Row],[Montant]]),"th","fr")," bahts"," francs CFA")</f>
        <v>#NAME?</v>
      </c>
      <c r="P284" t="s">
        <v>33</v>
      </c>
      <c r="Q284">
        <v>2000578</v>
      </c>
      <c r="R284" t="s">
        <v>32</v>
      </c>
    </row>
    <row r="285" spans="2:18" hidden="1" x14ac:dyDescent="0.35">
      <c r="B285" s="63">
        <v>46255</v>
      </c>
      <c r="C285" t="s">
        <v>942</v>
      </c>
      <c r="D285" t="s">
        <v>28</v>
      </c>
      <c r="E285" t="s">
        <v>860</v>
      </c>
      <c r="F285" t="s">
        <v>46</v>
      </c>
      <c r="G285" t="s">
        <v>46</v>
      </c>
      <c r="H285" s="85">
        <v>1115119742</v>
      </c>
      <c r="I285" s="36">
        <v>46622</v>
      </c>
      <c r="J285" s="46" t="s">
        <v>48</v>
      </c>
      <c r="K285" t="s">
        <v>944</v>
      </c>
      <c r="L285" t="s">
        <v>861</v>
      </c>
      <c r="M285" s="104">
        <v>8000000</v>
      </c>
      <c r="N285" t="s">
        <v>47</v>
      </c>
      <c r="O285" t="e" vm="1">
        <f ca="1">SUBSTITUTE(_xlfn.TRANSLATE(BAHTTEXT(Table1[[#This Row],[Montant]]),"th","fr")," bahts"," francs CFA")</f>
        <v>#NAME?</v>
      </c>
      <c r="P285" t="s">
        <v>33</v>
      </c>
      <c r="Q285">
        <v>5822159</v>
      </c>
      <c r="R285" t="s">
        <v>337</v>
      </c>
    </row>
    <row r="286" spans="2:18" hidden="1" x14ac:dyDescent="0.35">
      <c r="B286" s="63">
        <v>46258</v>
      </c>
      <c r="C286" t="s">
        <v>949</v>
      </c>
      <c r="D286" t="s">
        <v>28</v>
      </c>
      <c r="E286" t="s">
        <v>860</v>
      </c>
      <c r="F286" t="s">
        <v>948</v>
      </c>
      <c r="G286" t="s">
        <v>948</v>
      </c>
      <c r="H286" s="85">
        <v>100558086</v>
      </c>
      <c r="I286" s="36">
        <v>47043</v>
      </c>
      <c r="J286" s="46" t="s">
        <v>63</v>
      </c>
      <c r="K286" t="s">
        <v>947</v>
      </c>
      <c r="L286" t="s">
        <v>861</v>
      </c>
      <c r="M286" s="104">
        <v>10411520</v>
      </c>
      <c r="N286" t="s">
        <v>57</v>
      </c>
      <c r="O286" t="e" vm="1">
        <f ca="1">SUBSTITUTE(_xlfn.TRANSLATE(BAHTTEXT(Table1[[#This Row],[Montant]]),"th","fr")," bahts"," francs CFA")</f>
        <v>#NAME?</v>
      </c>
      <c r="P286" t="s">
        <v>33</v>
      </c>
      <c r="Q286">
        <v>2000579</v>
      </c>
      <c r="R286" t="s">
        <v>32</v>
      </c>
    </row>
    <row r="287" spans="2:18" hidden="1" x14ac:dyDescent="0.35">
      <c r="B287" s="63">
        <v>46258</v>
      </c>
      <c r="C287" t="s">
        <v>952</v>
      </c>
      <c r="D287" t="s">
        <v>28</v>
      </c>
      <c r="E287" t="s">
        <v>860</v>
      </c>
      <c r="F287" t="s">
        <v>950</v>
      </c>
      <c r="G287" t="s">
        <v>950</v>
      </c>
      <c r="H287" s="85">
        <v>100637379</v>
      </c>
      <c r="I287" s="36">
        <v>47252</v>
      </c>
      <c r="J287" s="46" t="s">
        <v>63</v>
      </c>
      <c r="K287" t="s">
        <v>951</v>
      </c>
      <c r="L287" t="s">
        <v>861</v>
      </c>
      <c r="M287" s="104">
        <v>10546800</v>
      </c>
      <c r="N287" t="s">
        <v>57</v>
      </c>
      <c r="O287" t="e" vm="1">
        <f ca="1">SUBSTITUTE(_xlfn.TRANSLATE(BAHTTEXT(Table1[[#This Row],[Montant]]),"th","fr")," bahts"," francs CFA")</f>
        <v>#NAME?</v>
      </c>
      <c r="P287" t="s">
        <v>33</v>
      </c>
      <c r="Q287">
        <v>5822160</v>
      </c>
      <c r="R287" t="s">
        <v>337</v>
      </c>
    </row>
    <row r="288" spans="2:18" hidden="1" x14ac:dyDescent="0.35">
      <c r="B288" s="63">
        <v>46258</v>
      </c>
      <c r="C288" t="s">
        <v>953</v>
      </c>
      <c r="D288" t="s">
        <v>28</v>
      </c>
      <c r="E288" t="s">
        <v>860</v>
      </c>
      <c r="F288" t="s">
        <v>46</v>
      </c>
      <c r="G288" t="s">
        <v>46</v>
      </c>
      <c r="H288" s="85">
        <v>1115119742</v>
      </c>
      <c r="I288" s="36">
        <v>46622</v>
      </c>
      <c r="J288" s="46" t="s">
        <v>48</v>
      </c>
      <c r="K288" t="s">
        <v>954</v>
      </c>
      <c r="L288" t="s">
        <v>861</v>
      </c>
      <c r="M288" s="104">
        <v>15036000</v>
      </c>
      <c r="N288" t="s">
        <v>57</v>
      </c>
      <c r="O288" t="e" vm="1">
        <f ca="1">SUBSTITUTE(_xlfn.TRANSLATE(BAHTTEXT(Table1[[#This Row],[Montant]]),"th","fr")," bahts"," francs CFA")</f>
        <v>#NAME?</v>
      </c>
      <c r="P288" t="s">
        <v>33</v>
      </c>
      <c r="Q288">
        <v>5822162</v>
      </c>
      <c r="R288" t="s">
        <v>337</v>
      </c>
    </row>
    <row r="289" spans="2:18" hidden="1" x14ac:dyDescent="0.35">
      <c r="B289" s="63">
        <v>46258</v>
      </c>
      <c r="C289" t="s">
        <v>957</v>
      </c>
      <c r="D289" t="s">
        <v>28</v>
      </c>
      <c r="E289" t="s">
        <v>860</v>
      </c>
      <c r="F289" t="s">
        <v>900</v>
      </c>
      <c r="G289" t="s">
        <v>956</v>
      </c>
      <c r="H289" s="85">
        <v>100160634</v>
      </c>
      <c r="I289" s="36">
        <v>46573</v>
      </c>
      <c r="J289" s="46" t="s">
        <v>63</v>
      </c>
      <c r="K289" t="s">
        <v>955</v>
      </c>
      <c r="L289" t="s">
        <v>861</v>
      </c>
      <c r="M289" s="104">
        <v>13206600</v>
      </c>
      <c r="N289" t="s">
        <v>57</v>
      </c>
      <c r="O289" t="e" vm="1">
        <f ca="1">SUBSTITUTE(_xlfn.TRANSLATE(BAHTTEXT(Table1[[#This Row],[Montant]]),"th","fr")," bahts"," francs CFA")</f>
        <v>#NAME?</v>
      </c>
      <c r="P289" t="s">
        <v>33</v>
      </c>
      <c r="Q289">
        <v>5822163</v>
      </c>
      <c r="R289" t="s">
        <v>337</v>
      </c>
    </row>
    <row r="290" spans="2:18" hidden="1" x14ac:dyDescent="0.35">
      <c r="B290" s="63">
        <v>46259</v>
      </c>
      <c r="C290" t="s">
        <v>960</v>
      </c>
      <c r="D290" t="s">
        <v>28</v>
      </c>
      <c r="E290" t="s">
        <v>860</v>
      </c>
      <c r="F290" t="s">
        <v>937</v>
      </c>
      <c r="G290" t="s">
        <v>937</v>
      </c>
      <c r="H290" s="85">
        <v>20468091846526</v>
      </c>
      <c r="I290" s="36">
        <v>47930</v>
      </c>
      <c r="J290" s="46" t="s">
        <v>940</v>
      </c>
      <c r="K290" t="s">
        <v>938</v>
      </c>
      <c r="L290" t="s">
        <v>861</v>
      </c>
      <c r="M290" s="104">
        <v>11343400</v>
      </c>
      <c r="N290" t="s">
        <v>57</v>
      </c>
      <c r="O290" t="e" vm="1">
        <f ca="1">SUBSTITUTE(_xlfn.TRANSLATE(BAHTTEXT(Table1[[#This Row],[Montant]]),"th","fr")," bahts"," francs CFA")</f>
        <v>#NAME?</v>
      </c>
      <c r="P290" t="s">
        <v>33</v>
      </c>
      <c r="Q290">
        <v>5822164</v>
      </c>
      <c r="R290" t="s">
        <v>337</v>
      </c>
    </row>
    <row r="291" spans="2:18" hidden="1" x14ac:dyDescent="0.35">
      <c r="B291" s="63">
        <v>46259</v>
      </c>
      <c r="C291" t="s">
        <v>962</v>
      </c>
      <c r="D291" t="s">
        <v>51</v>
      </c>
      <c r="E291" t="s">
        <v>51</v>
      </c>
      <c r="F291" t="s">
        <v>161</v>
      </c>
      <c r="G291" t="s">
        <v>143</v>
      </c>
      <c r="H291" s="85">
        <v>5924678990</v>
      </c>
      <c r="I291" s="36">
        <v>46629</v>
      </c>
      <c r="J291" s="46" t="s">
        <v>151</v>
      </c>
      <c r="K291" t="s">
        <v>1265</v>
      </c>
      <c r="L291" t="s">
        <v>961</v>
      </c>
      <c r="M291" s="52">
        <v>769336</v>
      </c>
      <c r="N291" t="s">
        <v>57</v>
      </c>
      <c r="O291" t="e" vm="1">
        <f ca="1">SUBSTITUTE(_xlfn.TRANSLATE(BAHTTEXT(Table1[[#This Row],[Montant]]),"th","fr")," bahts"," francs CFA")</f>
        <v>#NAME?</v>
      </c>
      <c r="P291" t="s">
        <v>33</v>
      </c>
      <c r="Q291">
        <v>5822165</v>
      </c>
      <c r="R291" t="s">
        <v>337</v>
      </c>
    </row>
    <row r="292" spans="2:18" hidden="1" x14ac:dyDescent="0.35">
      <c r="B292" s="63">
        <v>46260</v>
      </c>
      <c r="C292" t="s">
        <v>963</v>
      </c>
      <c r="D292" t="s">
        <v>28</v>
      </c>
      <c r="E292" t="s">
        <v>860</v>
      </c>
      <c r="F292" t="s">
        <v>882</v>
      </c>
      <c r="G292" t="s">
        <v>880</v>
      </c>
      <c r="H292" s="85">
        <v>209735867</v>
      </c>
      <c r="I292" s="36">
        <v>46335</v>
      </c>
      <c r="J292" s="46" t="s">
        <v>63</v>
      </c>
      <c r="K292" t="s">
        <v>964</v>
      </c>
      <c r="L292" t="s">
        <v>861</v>
      </c>
      <c r="M292" s="104">
        <v>31924200</v>
      </c>
      <c r="N292" t="s">
        <v>57</v>
      </c>
      <c r="O292" t="e" vm="1">
        <f ca="1">SUBSTITUTE(_xlfn.TRANSLATE(BAHTTEXT(Table1[[#This Row],[Montant]]),"th","fr")," bahts"," francs CFA")</f>
        <v>#NAME?</v>
      </c>
      <c r="P292" t="s">
        <v>33</v>
      </c>
      <c r="Q292">
        <v>2000580</v>
      </c>
      <c r="R292" t="s">
        <v>32</v>
      </c>
    </row>
    <row r="293" spans="2:18" hidden="1" x14ac:dyDescent="0.35">
      <c r="B293" s="63">
        <v>46260</v>
      </c>
      <c r="C293" t="s">
        <v>969</v>
      </c>
      <c r="D293" t="s">
        <v>28</v>
      </c>
      <c r="E293" t="s">
        <v>860</v>
      </c>
      <c r="F293" t="s">
        <v>965</v>
      </c>
      <c r="G293" t="s">
        <v>971</v>
      </c>
      <c r="H293" s="85" t="s">
        <v>63</v>
      </c>
      <c r="I293" t="s">
        <v>966</v>
      </c>
      <c r="J293" s="46" t="s">
        <v>967</v>
      </c>
      <c r="K293" t="s">
        <v>968</v>
      </c>
      <c r="L293" t="s">
        <v>861</v>
      </c>
      <c r="M293" s="104">
        <v>31451600</v>
      </c>
      <c r="N293" t="s">
        <v>57</v>
      </c>
      <c r="O293" t="e" vm="1">
        <f ca="1">SUBSTITUTE(_xlfn.TRANSLATE(BAHTTEXT(Table1[[#This Row],[Montant]]),"th","fr")," bahts"," francs CFA")</f>
        <v>#NAME?</v>
      </c>
      <c r="P293" t="s">
        <v>33</v>
      </c>
      <c r="Q293">
        <v>2000581</v>
      </c>
      <c r="R293" t="s">
        <v>32</v>
      </c>
    </row>
    <row r="294" spans="2:18" hidden="1" x14ac:dyDescent="0.35">
      <c r="B294" s="63">
        <v>46260</v>
      </c>
      <c r="C294" t="s">
        <v>980</v>
      </c>
      <c r="D294" t="s">
        <v>82</v>
      </c>
      <c r="E294" t="s">
        <v>175</v>
      </c>
      <c r="F294" t="s">
        <v>979</v>
      </c>
      <c r="G294" t="s">
        <v>264</v>
      </c>
      <c r="H294" s="85">
        <v>20410262291725</v>
      </c>
      <c r="I294" s="36">
        <v>46581</v>
      </c>
      <c r="J294" s="46" t="s">
        <v>265</v>
      </c>
      <c r="K294" t="s">
        <v>63</v>
      </c>
      <c r="L294" t="s">
        <v>783</v>
      </c>
      <c r="M294" s="52">
        <v>7000000</v>
      </c>
      <c r="N294" t="s">
        <v>57</v>
      </c>
      <c r="O294" t="s">
        <v>458</v>
      </c>
      <c r="P294" t="s">
        <v>33</v>
      </c>
      <c r="Q294">
        <v>5822169</v>
      </c>
      <c r="R294" t="s">
        <v>337</v>
      </c>
    </row>
    <row r="295" spans="2:18" hidden="1" x14ac:dyDescent="0.35">
      <c r="B295" s="63">
        <v>46261</v>
      </c>
      <c r="C295" t="s">
        <v>984</v>
      </c>
      <c r="D295" t="s">
        <v>28</v>
      </c>
      <c r="E295" t="s">
        <v>860</v>
      </c>
      <c r="F295" t="s">
        <v>982</v>
      </c>
      <c r="G295" t="s">
        <v>982</v>
      </c>
      <c r="H295" s="85">
        <v>20196065880526</v>
      </c>
      <c r="I295" s="36">
        <v>48018</v>
      </c>
      <c r="J295" s="46" t="s">
        <v>983</v>
      </c>
      <c r="K295" t="s">
        <v>981</v>
      </c>
      <c r="L295" t="s">
        <v>861</v>
      </c>
      <c r="M295" s="104">
        <v>15199800</v>
      </c>
      <c r="N295" t="s">
        <v>57</v>
      </c>
      <c r="O295" t="e" vm="1">
        <f ca="1">SUBSTITUTE(_xlfn.TRANSLATE(BAHTTEXT(Table1[[#This Row],[Montant]]),"th","fr")," bahts"," francs CFA")</f>
        <v>#NAME?</v>
      </c>
      <c r="P295" t="s">
        <v>33</v>
      </c>
      <c r="Q295">
        <v>5822170</v>
      </c>
      <c r="R295" t="s">
        <v>337</v>
      </c>
    </row>
    <row r="296" spans="2:18" x14ac:dyDescent="0.35">
      <c r="B296" s="63">
        <v>46261</v>
      </c>
      <c r="C296" t="s">
        <v>985</v>
      </c>
      <c r="D296" t="s">
        <v>28</v>
      </c>
      <c r="E296" t="s">
        <v>860</v>
      </c>
      <c r="F296" t="s">
        <v>986</v>
      </c>
      <c r="G296" t="s">
        <v>987</v>
      </c>
      <c r="H296" s="85">
        <v>20411113178625</v>
      </c>
      <c r="I296" s="36">
        <v>46585</v>
      </c>
      <c r="J296" s="46" t="s">
        <v>988</v>
      </c>
      <c r="K296" t="s">
        <v>989</v>
      </c>
      <c r="L296" t="s">
        <v>861</v>
      </c>
      <c r="M296" s="104">
        <v>22506000</v>
      </c>
      <c r="N296" t="s">
        <v>57</v>
      </c>
      <c r="O296" t="e" vm="1">
        <f ca="1">SUBSTITUTE(_xlfn.TRANSLATE(BAHTTEXT(Table1[[#This Row],[Montant]]),"th","fr")," bahts"," francs CFA")</f>
        <v>#NAME?</v>
      </c>
      <c r="P296" t="s">
        <v>33</v>
      </c>
      <c r="Q296">
        <v>2000583</v>
      </c>
      <c r="R296" t="s">
        <v>32</v>
      </c>
    </row>
    <row r="297" spans="2:18" hidden="1" x14ac:dyDescent="0.35">
      <c r="B297" s="63">
        <v>46261</v>
      </c>
      <c r="C297" t="s">
        <v>993</v>
      </c>
      <c r="D297" t="s">
        <v>28</v>
      </c>
      <c r="E297" t="s">
        <v>860</v>
      </c>
      <c r="F297" t="s">
        <v>1328</v>
      </c>
      <c r="G297" t="s">
        <v>991</v>
      </c>
      <c r="H297" s="85">
        <v>20159787759824</v>
      </c>
      <c r="I297" s="36">
        <v>46347</v>
      </c>
      <c r="J297" s="46" t="s">
        <v>992</v>
      </c>
      <c r="K297" t="s">
        <v>990</v>
      </c>
      <c r="L297" t="s">
        <v>861</v>
      </c>
      <c r="M297" s="104">
        <v>14982000</v>
      </c>
      <c r="N297" t="s">
        <v>57</v>
      </c>
      <c r="O297" t="e" vm="1">
        <f ca="1">SUBSTITUTE(_xlfn.TRANSLATE(BAHTTEXT(Table1[[#This Row],[Montant]]),"th","fr")," bahts"," francs CFA")</f>
        <v>#NAME?</v>
      </c>
      <c r="P297" t="s">
        <v>33</v>
      </c>
      <c r="Q297">
        <v>2000584</v>
      </c>
      <c r="R297" t="s">
        <v>32</v>
      </c>
    </row>
    <row r="298" spans="2:18" hidden="1" x14ac:dyDescent="0.35">
      <c r="B298" s="63">
        <v>46261</v>
      </c>
      <c r="C298" t="s">
        <v>996</v>
      </c>
      <c r="D298" t="s">
        <v>51</v>
      </c>
      <c r="E298" t="s">
        <v>51</v>
      </c>
      <c r="F298" t="s">
        <v>994</v>
      </c>
      <c r="G298" t="s">
        <v>994</v>
      </c>
      <c r="H298" s="85">
        <v>4338036119</v>
      </c>
      <c r="I298" s="36">
        <v>48005</v>
      </c>
      <c r="J298" s="46" t="s">
        <v>63</v>
      </c>
      <c r="K298" t="s">
        <v>63</v>
      </c>
      <c r="L298" t="s">
        <v>995</v>
      </c>
      <c r="M298" s="52">
        <v>500000</v>
      </c>
      <c r="N298" t="s">
        <v>57</v>
      </c>
      <c r="O298" t="e" vm="1">
        <f ca="1">SUBSTITUTE(_xlfn.TRANSLATE(BAHTTEXT(Table1[[#This Row],[Montant]]),"th","fr")," bahts"," francs CFA")</f>
        <v>#NAME?</v>
      </c>
      <c r="P298" t="s">
        <v>33</v>
      </c>
      <c r="Q298">
        <v>5822171</v>
      </c>
      <c r="R298" t="s">
        <v>337</v>
      </c>
    </row>
    <row r="299" spans="2:18" hidden="1" x14ac:dyDescent="0.35">
      <c r="B299" s="63">
        <v>46261</v>
      </c>
      <c r="C299" t="s">
        <v>999</v>
      </c>
      <c r="D299" t="s">
        <v>28</v>
      </c>
      <c r="E299" t="s">
        <v>860</v>
      </c>
      <c r="F299" t="s">
        <v>998</v>
      </c>
      <c r="G299" t="s">
        <v>998</v>
      </c>
      <c r="H299" s="85">
        <v>100195299</v>
      </c>
      <c r="I299" s="36">
        <v>46630</v>
      </c>
      <c r="J299" s="46" t="s">
        <v>63</v>
      </c>
      <c r="K299" t="s">
        <v>997</v>
      </c>
      <c r="L299" t="s">
        <v>861</v>
      </c>
      <c r="M299" s="104">
        <v>9000000</v>
      </c>
      <c r="N299" t="s">
        <v>47</v>
      </c>
      <c r="O299" t="e" vm="1">
        <f ca="1">SUBSTITUTE(_xlfn.TRANSLATE(BAHTTEXT(Table1[[#This Row],[Montant]]),"th","fr")," bahts"," francs CFA")</f>
        <v>#NAME?</v>
      </c>
      <c r="P299" t="s">
        <v>33</v>
      </c>
      <c r="Q299">
        <v>5822172</v>
      </c>
      <c r="R299" t="s">
        <v>337</v>
      </c>
    </row>
    <row r="300" spans="2:18" hidden="1" x14ac:dyDescent="0.35">
      <c r="B300" s="63">
        <v>46261</v>
      </c>
      <c r="C300" t="s">
        <v>1000</v>
      </c>
      <c r="D300" t="s">
        <v>28</v>
      </c>
      <c r="E300" t="s">
        <v>860</v>
      </c>
      <c r="F300" t="s">
        <v>975</v>
      </c>
      <c r="G300" t="s">
        <v>970</v>
      </c>
      <c r="H300" s="85">
        <v>20278660572226</v>
      </c>
      <c r="I300" s="36">
        <v>48091</v>
      </c>
      <c r="J300" s="46" t="s">
        <v>972</v>
      </c>
      <c r="K300" t="s">
        <v>973</v>
      </c>
      <c r="L300" t="s">
        <v>861</v>
      </c>
      <c r="M300" s="104">
        <v>9000000</v>
      </c>
      <c r="N300" t="s">
        <v>47</v>
      </c>
      <c r="O300" t="e" vm="1">
        <f ca="1">SUBSTITUTE(_xlfn.TRANSLATE(BAHTTEXT(Table1[[#This Row],[Montant]]),"th","fr")," bahts"," francs CFA")</f>
        <v>#NAME?</v>
      </c>
      <c r="P300" t="s">
        <v>33</v>
      </c>
      <c r="Q300">
        <v>5822174</v>
      </c>
      <c r="R300" t="s">
        <v>337</v>
      </c>
    </row>
    <row r="301" spans="2:18" hidden="1" x14ac:dyDescent="0.35">
      <c r="B301" s="63">
        <v>46261</v>
      </c>
      <c r="C301" t="s">
        <v>1017</v>
      </c>
      <c r="D301" t="s">
        <v>51</v>
      </c>
      <c r="E301" t="s">
        <v>51</v>
      </c>
      <c r="F301" t="s">
        <v>260</v>
      </c>
      <c r="G301" t="s">
        <v>260</v>
      </c>
      <c r="H301" s="85" t="s">
        <v>63</v>
      </c>
      <c r="I301" t="s">
        <v>63</v>
      </c>
      <c r="J301" s="46" t="s">
        <v>63</v>
      </c>
      <c r="K301" t="s">
        <v>63</v>
      </c>
      <c r="L301" t="s">
        <v>258</v>
      </c>
      <c r="M301" s="52">
        <v>500000</v>
      </c>
      <c r="N301" t="s">
        <v>57</v>
      </c>
      <c r="O301" t="s">
        <v>259</v>
      </c>
      <c r="P301" t="s">
        <v>33</v>
      </c>
      <c r="Q301">
        <v>2000582</v>
      </c>
      <c r="R301" t="s">
        <v>32</v>
      </c>
    </row>
    <row r="302" spans="2:18" hidden="1" x14ac:dyDescent="0.35">
      <c r="B302" s="63">
        <v>46262</v>
      </c>
      <c r="C302" t="s">
        <v>1019</v>
      </c>
      <c r="D302" t="s">
        <v>28</v>
      </c>
      <c r="E302" t="s">
        <v>860</v>
      </c>
      <c r="F302" t="s">
        <v>46</v>
      </c>
      <c r="G302" t="s">
        <v>46</v>
      </c>
      <c r="H302" s="85">
        <v>1115119742</v>
      </c>
      <c r="I302" s="36">
        <v>46622</v>
      </c>
      <c r="J302" s="46" t="s">
        <v>48</v>
      </c>
      <c r="K302" t="s">
        <v>1018</v>
      </c>
      <c r="L302" t="s">
        <v>861</v>
      </c>
      <c r="M302" s="104">
        <v>14874000</v>
      </c>
      <c r="N302" t="s">
        <v>57</v>
      </c>
      <c r="O302" t="e" vm="1">
        <f ca="1">SUBSTITUTE(_xlfn.TRANSLATE(BAHTTEXT(Table1[[#This Row],[Montant]]),"th","fr")," bahts"," francs CFA")</f>
        <v>#NAME?</v>
      </c>
      <c r="P302" t="s">
        <v>33</v>
      </c>
      <c r="Q302">
        <v>2000586</v>
      </c>
      <c r="R302" t="s">
        <v>32</v>
      </c>
    </row>
    <row r="303" spans="2:18" hidden="1" x14ac:dyDescent="0.35">
      <c r="B303" s="63">
        <v>46262</v>
      </c>
      <c r="C303" t="s">
        <v>1020</v>
      </c>
      <c r="D303" t="s">
        <v>51</v>
      </c>
      <c r="E303" t="s">
        <v>51</v>
      </c>
      <c r="F303" t="s">
        <v>590</v>
      </c>
      <c r="G303" t="s">
        <v>63</v>
      </c>
      <c r="H303" s="85" t="s">
        <v>63</v>
      </c>
      <c r="I303" t="s">
        <v>63</v>
      </c>
      <c r="J303" s="46" t="s">
        <v>63</v>
      </c>
      <c r="K303" t="s">
        <v>63</v>
      </c>
      <c r="L303" t="s">
        <v>588</v>
      </c>
      <c r="M303" s="52">
        <v>2450000</v>
      </c>
      <c r="N303" t="s">
        <v>57</v>
      </c>
      <c r="P303" t="s">
        <v>33</v>
      </c>
      <c r="Q303">
        <v>2000587</v>
      </c>
      <c r="R303" t="s">
        <v>32</v>
      </c>
    </row>
    <row r="304" spans="2:18" hidden="1" x14ac:dyDescent="0.35">
      <c r="B304" s="63">
        <v>46267</v>
      </c>
      <c r="C304" t="s">
        <v>1035</v>
      </c>
      <c r="D304" t="s">
        <v>28</v>
      </c>
      <c r="E304" t="s">
        <v>860</v>
      </c>
      <c r="F304" t="s">
        <v>46</v>
      </c>
      <c r="G304" t="s">
        <v>46</v>
      </c>
      <c r="H304" s="85">
        <v>1115119742</v>
      </c>
      <c r="I304" s="36">
        <v>46622</v>
      </c>
      <c r="J304" s="46" t="s">
        <v>48</v>
      </c>
      <c r="K304" t="s">
        <v>1033</v>
      </c>
      <c r="L304" t="s">
        <v>861</v>
      </c>
      <c r="M304" s="105">
        <v>14197300</v>
      </c>
      <c r="N304" t="s">
        <v>57</v>
      </c>
      <c r="O304" t="e" vm="1">
        <f ca="1">SUBSTITUTE(_xlfn.TRANSLATE(BAHTTEXT(Table1[[#This Row],[Montant]]),"th","fr")," bahts"," francs CFA")</f>
        <v>#NAME?</v>
      </c>
      <c r="P304" t="s">
        <v>33</v>
      </c>
      <c r="Q304">
        <v>2000588</v>
      </c>
      <c r="R304" t="s">
        <v>32</v>
      </c>
    </row>
    <row r="305" spans="2:18" hidden="1" x14ac:dyDescent="0.35">
      <c r="B305" s="63">
        <v>46267</v>
      </c>
      <c r="C305" t="s">
        <v>1036</v>
      </c>
      <c r="D305" t="s">
        <v>28</v>
      </c>
      <c r="E305" t="s">
        <v>860</v>
      </c>
      <c r="F305" t="s">
        <v>998</v>
      </c>
      <c r="G305" t="s">
        <v>998</v>
      </c>
      <c r="H305" s="85">
        <v>100195299</v>
      </c>
      <c r="I305" s="36">
        <v>46630</v>
      </c>
      <c r="J305" s="46" t="s">
        <v>63</v>
      </c>
      <c r="K305" t="s">
        <v>997</v>
      </c>
      <c r="L305" t="s">
        <v>861</v>
      </c>
      <c r="M305" s="105">
        <v>4272700</v>
      </c>
      <c r="N305" t="s">
        <v>57</v>
      </c>
      <c r="O305" t="e" vm="1">
        <f ca="1">SUBSTITUTE(_xlfn.TRANSLATE(BAHTTEXT(Table1[[#This Row],[Montant]]),"th","fr")," bahts"," francs CFA")</f>
        <v>#NAME?</v>
      </c>
      <c r="P305" t="s">
        <v>33</v>
      </c>
      <c r="Q305">
        <v>2000589</v>
      </c>
      <c r="R305" t="s">
        <v>32</v>
      </c>
    </row>
    <row r="306" spans="2:18" hidden="1" x14ac:dyDescent="0.35">
      <c r="B306" s="63">
        <v>46267</v>
      </c>
      <c r="C306" t="s">
        <v>1038</v>
      </c>
      <c r="D306" t="s">
        <v>28</v>
      </c>
      <c r="E306" t="s">
        <v>860</v>
      </c>
      <c r="F306" t="s">
        <v>937</v>
      </c>
      <c r="G306" t="s">
        <v>937</v>
      </c>
      <c r="H306" s="85">
        <v>20468091846526</v>
      </c>
      <c r="I306" s="36">
        <v>47930</v>
      </c>
      <c r="J306" s="46" t="s">
        <v>940</v>
      </c>
      <c r="K306" t="s">
        <v>1037</v>
      </c>
      <c r="L306" t="s">
        <v>861</v>
      </c>
      <c r="M306" s="105">
        <v>14313400</v>
      </c>
      <c r="N306" t="s">
        <v>47</v>
      </c>
      <c r="O306" t="e" vm="1">
        <f ca="1">SUBSTITUTE(_xlfn.TRANSLATE(BAHTTEXT(Table1[[#This Row],[Montant]]),"th","fr")," bahts"," francs CFA")</f>
        <v>#NAME?</v>
      </c>
      <c r="P306" t="s">
        <v>33</v>
      </c>
      <c r="Q306">
        <v>2000590</v>
      </c>
      <c r="R306" t="s">
        <v>32</v>
      </c>
    </row>
    <row r="307" spans="2:18" hidden="1" x14ac:dyDescent="0.35">
      <c r="B307" s="63">
        <v>46267</v>
      </c>
      <c r="C307" t="s">
        <v>1040</v>
      </c>
      <c r="D307" t="s">
        <v>28</v>
      </c>
      <c r="E307" t="s">
        <v>860</v>
      </c>
      <c r="F307" t="s">
        <v>166</v>
      </c>
      <c r="G307" t="s">
        <v>166</v>
      </c>
      <c r="H307" s="85">
        <v>1390715626</v>
      </c>
      <c r="I307" s="65" t="s">
        <v>163</v>
      </c>
      <c r="J307" s="67" t="s">
        <v>164</v>
      </c>
      <c r="K307" t="s">
        <v>1039</v>
      </c>
      <c r="L307" t="s">
        <v>861</v>
      </c>
      <c r="M307" s="105">
        <v>12000000</v>
      </c>
      <c r="N307" t="s">
        <v>47</v>
      </c>
      <c r="O307" t="e" vm="1">
        <f ca="1">SUBSTITUTE(_xlfn.TRANSLATE(BAHTTEXT(Table1[[#This Row],[Montant]]),"th","fr")," bahts"," francs CFA")</f>
        <v>#NAME?</v>
      </c>
      <c r="P307" t="s">
        <v>33</v>
      </c>
      <c r="Q307">
        <v>2000591</v>
      </c>
      <c r="R307" t="s">
        <v>32</v>
      </c>
    </row>
    <row r="308" spans="2:18" hidden="1" x14ac:dyDescent="0.35">
      <c r="B308" s="63">
        <v>46267</v>
      </c>
      <c r="C308" t="s">
        <v>1041</v>
      </c>
      <c r="D308" t="s">
        <v>28</v>
      </c>
      <c r="E308" t="s">
        <v>860</v>
      </c>
      <c r="F308" t="s">
        <v>975</v>
      </c>
      <c r="G308" t="s">
        <v>970</v>
      </c>
      <c r="H308" s="85">
        <v>20278660572226</v>
      </c>
      <c r="I308" s="36">
        <v>48091</v>
      </c>
      <c r="J308" s="46" t="s">
        <v>972</v>
      </c>
      <c r="K308" t="s">
        <v>973</v>
      </c>
      <c r="L308" t="s">
        <v>861</v>
      </c>
      <c r="M308" s="105">
        <v>6075500</v>
      </c>
      <c r="N308" t="s">
        <v>47</v>
      </c>
      <c r="O308" t="e" vm="1">
        <f ca="1">SUBSTITUTE(_xlfn.TRANSLATE(BAHTTEXT(Table1[[#This Row],[Montant]]),"th","fr")," bahts"," francs CFA")</f>
        <v>#NAME?</v>
      </c>
      <c r="P308" t="s">
        <v>33</v>
      </c>
      <c r="Q308">
        <v>2000592</v>
      </c>
      <c r="R308" t="s">
        <v>32</v>
      </c>
    </row>
    <row r="309" spans="2:18" x14ac:dyDescent="0.35">
      <c r="B309" s="63">
        <v>46267</v>
      </c>
      <c r="C309" t="s">
        <v>1043</v>
      </c>
      <c r="D309" t="s">
        <v>28</v>
      </c>
      <c r="E309" t="s">
        <v>860</v>
      </c>
      <c r="F309" t="s">
        <v>986</v>
      </c>
      <c r="G309" t="s">
        <v>987</v>
      </c>
      <c r="H309" s="85">
        <v>20411113178625</v>
      </c>
      <c r="I309" s="36">
        <v>46585</v>
      </c>
      <c r="J309" s="46" t="s">
        <v>988</v>
      </c>
      <c r="K309" t="s">
        <v>1042</v>
      </c>
      <c r="L309" t="s">
        <v>861</v>
      </c>
      <c r="M309" s="105">
        <v>16299600</v>
      </c>
      <c r="N309" t="s">
        <v>57</v>
      </c>
      <c r="O309" t="e" vm="1">
        <f ca="1">SUBSTITUTE(_xlfn.TRANSLATE(BAHTTEXT(Table1[[#This Row],[Montant]]),"th","fr")," bahts"," francs CFA")</f>
        <v>#NAME?</v>
      </c>
      <c r="P309" t="s">
        <v>33</v>
      </c>
      <c r="Q309">
        <v>2000593</v>
      </c>
      <c r="R309" t="s">
        <v>32</v>
      </c>
    </row>
    <row r="310" spans="2:18" hidden="1" x14ac:dyDescent="0.35">
      <c r="B310" s="63">
        <v>46267</v>
      </c>
      <c r="C310" t="s">
        <v>1044</v>
      </c>
      <c r="D310" t="s">
        <v>28</v>
      </c>
      <c r="E310" t="s">
        <v>860</v>
      </c>
      <c r="F310" t="s">
        <v>890</v>
      </c>
      <c r="G310" t="s">
        <v>891</v>
      </c>
      <c r="H310" s="85">
        <v>20435764679125</v>
      </c>
      <c r="I310" s="36">
        <v>46685</v>
      </c>
      <c r="J310" s="46" t="s">
        <v>892</v>
      </c>
      <c r="K310" t="s">
        <v>976</v>
      </c>
      <c r="L310" t="s">
        <v>861</v>
      </c>
      <c r="M310" s="105">
        <v>14691600</v>
      </c>
      <c r="N310" t="s">
        <v>57</v>
      </c>
      <c r="O310" t="e" vm="1">
        <f ca="1">SUBSTITUTE(_xlfn.TRANSLATE(BAHTTEXT(Table1[[#This Row],[Montant]]),"th","fr")," bahts"," francs CFA")</f>
        <v>#NAME?</v>
      </c>
      <c r="P310" t="s">
        <v>33</v>
      </c>
      <c r="Q310">
        <v>2000594</v>
      </c>
      <c r="R310" t="s">
        <v>32</v>
      </c>
    </row>
    <row r="311" spans="2:18" hidden="1" x14ac:dyDescent="0.35">
      <c r="B311" s="63">
        <v>46267</v>
      </c>
      <c r="C311" t="s">
        <v>1046</v>
      </c>
      <c r="D311" t="s">
        <v>28</v>
      </c>
      <c r="E311" t="s">
        <v>860</v>
      </c>
      <c r="F311" t="s">
        <v>1047</v>
      </c>
      <c r="G311" t="s">
        <v>1048</v>
      </c>
      <c r="H311" s="85">
        <v>100423179</v>
      </c>
      <c r="I311" s="36">
        <v>46855</v>
      </c>
      <c r="J311" s="46" t="s">
        <v>63</v>
      </c>
      <c r="K311" t="s">
        <v>1045</v>
      </c>
      <c r="L311" t="s">
        <v>861</v>
      </c>
      <c r="M311" s="105">
        <v>10000000</v>
      </c>
      <c r="N311" t="s">
        <v>47</v>
      </c>
      <c r="O311" t="e" vm="1">
        <f ca="1">SUBSTITUTE(_xlfn.TRANSLATE(BAHTTEXT(Table1[[#This Row],[Montant]]),"th","fr")," bahts"," francs CFA")</f>
        <v>#NAME?</v>
      </c>
      <c r="P311" t="s">
        <v>33</v>
      </c>
      <c r="Q311">
        <v>2000595</v>
      </c>
      <c r="R311" t="s">
        <v>32</v>
      </c>
    </row>
    <row r="312" spans="2:18" hidden="1" x14ac:dyDescent="0.35">
      <c r="B312" s="63">
        <v>46267</v>
      </c>
      <c r="C312" t="s">
        <v>1051</v>
      </c>
      <c r="D312" t="s">
        <v>28</v>
      </c>
      <c r="E312" t="s">
        <v>860</v>
      </c>
      <c r="F312" t="s">
        <v>1050</v>
      </c>
      <c r="G312" t="s">
        <v>1050</v>
      </c>
      <c r="H312" s="85">
        <v>100878624</v>
      </c>
      <c r="I312" s="36">
        <v>47920</v>
      </c>
      <c r="J312" s="46" t="s">
        <v>63</v>
      </c>
      <c r="K312" t="s">
        <v>1049</v>
      </c>
      <c r="L312" t="s">
        <v>861</v>
      </c>
      <c r="M312" s="105">
        <v>11302900</v>
      </c>
      <c r="N312" t="s">
        <v>57</v>
      </c>
      <c r="O312" t="e" vm="1">
        <f ca="1">SUBSTITUTE(_xlfn.TRANSLATE(BAHTTEXT(Table1[[#This Row],[Montant]]),"th","fr")," bahts"," francs CFA")</f>
        <v>#NAME?</v>
      </c>
      <c r="P312" t="s">
        <v>33</v>
      </c>
      <c r="Q312">
        <v>2000596</v>
      </c>
      <c r="R312" t="s">
        <v>32</v>
      </c>
    </row>
    <row r="313" spans="2:18" hidden="1" x14ac:dyDescent="0.35">
      <c r="B313" s="63">
        <v>46267</v>
      </c>
      <c r="C313" t="s">
        <v>1055</v>
      </c>
      <c r="D313" t="s">
        <v>28</v>
      </c>
      <c r="E313" t="s">
        <v>860</v>
      </c>
      <c r="F313" t="s">
        <v>1052</v>
      </c>
      <c r="G313" t="s">
        <v>1053</v>
      </c>
      <c r="H313" s="85">
        <v>100278389</v>
      </c>
      <c r="I313" s="36">
        <v>46726</v>
      </c>
      <c r="J313" s="46" t="s">
        <v>63</v>
      </c>
      <c r="K313" t="s">
        <v>1054</v>
      </c>
      <c r="L313" t="s">
        <v>861</v>
      </c>
      <c r="M313" s="105">
        <v>16288800</v>
      </c>
      <c r="N313" t="s">
        <v>57</v>
      </c>
      <c r="O313" t="e" vm="1">
        <f ca="1">SUBSTITUTE(_xlfn.TRANSLATE(BAHTTEXT(Table1[[#This Row],[Montant]]),"th","fr")," bahts"," francs CFA")</f>
        <v>#NAME?</v>
      </c>
      <c r="P313" t="s">
        <v>33</v>
      </c>
      <c r="Q313">
        <v>2000598</v>
      </c>
      <c r="R313" t="s">
        <v>32</v>
      </c>
    </row>
    <row r="314" spans="2:18" hidden="1" x14ac:dyDescent="0.35">
      <c r="B314" s="63">
        <v>46267</v>
      </c>
      <c r="C314" t="s">
        <v>1059</v>
      </c>
      <c r="D314" t="s">
        <v>28</v>
      </c>
      <c r="E314" t="s">
        <v>860</v>
      </c>
      <c r="F314" t="s">
        <v>1056</v>
      </c>
      <c r="G314" t="s">
        <v>1056</v>
      </c>
      <c r="H314" s="85">
        <v>20602101680225</v>
      </c>
      <c r="I314" s="36">
        <v>46540</v>
      </c>
      <c r="J314" s="46" t="s">
        <v>1057</v>
      </c>
      <c r="K314" t="s">
        <v>1058</v>
      </c>
      <c r="L314" t="s">
        <v>861</v>
      </c>
      <c r="M314" s="105">
        <v>10000000</v>
      </c>
      <c r="N314" t="s">
        <v>57</v>
      </c>
      <c r="O314" t="e" vm="1">
        <f ca="1">SUBSTITUTE(_xlfn.TRANSLATE(BAHTTEXT(Table1[[#This Row],[Montant]]),"th","fr")," bahts"," francs CFA")</f>
        <v>#NAME?</v>
      </c>
      <c r="P314" t="s">
        <v>33</v>
      </c>
      <c r="Q314">
        <v>5822180</v>
      </c>
      <c r="R314" t="s">
        <v>337</v>
      </c>
    </row>
    <row r="315" spans="2:18" hidden="1" x14ac:dyDescent="0.35">
      <c r="B315" s="63">
        <v>46267</v>
      </c>
      <c r="C315" t="s">
        <v>1060</v>
      </c>
      <c r="D315" t="s">
        <v>51</v>
      </c>
      <c r="E315" t="s">
        <v>51</v>
      </c>
      <c r="F315" t="s">
        <v>363</v>
      </c>
      <c r="G315" t="s">
        <v>364</v>
      </c>
      <c r="H315" s="85">
        <v>400436585</v>
      </c>
      <c r="I315" s="36">
        <v>46246</v>
      </c>
      <c r="J315" s="46" t="s">
        <v>365</v>
      </c>
      <c r="K315" t="s">
        <v>63</v>
      </c>
      <c r="L315" t="s">
        <v>369</v>
      </c>
      <c r="M315" s="52">
        <v>1595000</v>
      </c>
      <c r="N315" t="s">
        <v>57</v>
      </c>
      <c r="O315" t="e" vm="1">
        <f ca="1">SUBSTITUTE(_xlfn.TRANSLATE(BAHTTEXT(Table1[[#This Row],[Montant]]),"th","fr")," bahts"," francs CFA")</f>
        <v>#NAME?</v>
      </c>
      <c r="P315" t="s">
        <v>33</v>
      </c>
      <c r="Q315">
        <v>5822181</v>
      </c>
      <c r="R315" t="s">
        <v>337</v>
      </c>
    </row>
    <row r="316" spans="2:18" hidden="1" x14ac:dyDescent="0.35">
      <c r="B316" s="63">
        <v>46267</v>
      </c>
      <c r="C316" t="s">
        <v>1065</v>
      </c>
      <c r="D316" t="s">
        <v>51</v>
      </c>
      <c r="E316" t="s">
        <v>51</v>
      </c>
      <c r="F316" t="s">
        <v>1062</v>
      </c>
      <c r="G316" t="s">
        <v>1063</v>
      </c>
      <c r="H316" s="85" t="s">
        <v>1064</v>
      </c>
      <c r="I316" s="36">
        <v>49018</v>
      </c>
      <c r="J316" s="46" t="s">
        <v>63</v>
      </c>
      <c r="K316" t="s">
        <v>63</v>
      </c>
      <c r="L316" t="s">
        <v>1061</v>
      </c>
      <c r="M316" s="52">
        <v>630000</v>
      </c>
      <c r="N316" t="s">
        <v>57</v>
      </c>
      <c r="O316" t="e" vm="1">
        <f ca="1">SUBSTITUTE(_xlfn.TRANSLATE(BAHTTEXT(Table1[[#This Row],[Montant]]),"th","fr")," bahts"," francs CFA")</f>
        <v>#NAME?</v>
      </c>
      <c r="P316" t="s">
        <v>33</v>
      </c>
      <c r="Q316">
        <v>5822181</v>
      </c>
      <c r="R316" t="s">
        <v>337</v>
      </c>
    </row>
    <row r="317" spans="2:18" hidden="1" x14ac:dyDescent="0.35">
      <c r="B317" s="63">
        <v>46267</v>
      </c>
      <c r="C317" t="s">
        <v>1066</v>
      </c>
      <c r="D317" t="s">
        <v>51</v>
      </c>
      <c r="E317" t="s">
        <v>51</v>
      </c>
      <c r="F317" t="s">
        <v>161</v>
      </c>
      <c r="G317" t="s">
        <v>143</v>
      </c>
      <c r="H317" s="85">
        <v>5924678990</v>
      </c>
      <c r="I317" s="36">
        <v>46629</v>
      </c>
      <c r="J317" s="46" t="s">
        <v>151</v>
      </c>
      <c r="K317" t="s">
        <v>1266</v>
      </c>
      <c r="L317" t="s">
        <v>961</v>
      </c>
      <c r="M317" s="52">
        <v>2091198</v>
      </c>
      <c r="N317" t="s">
        <v>57</v>
      </c>
      <c r="O317" t="e" vm="1">
        <f ca="1">SUBSTITUTE(_xlfn.TRANSLATE(BAHTTEXT(Table1[[#This Row],[Montant]]),"th","fr")," bahts"," francs CFA")</f>
        <v>#NAME?</v>
      </c>
      <c r="P317" t="s">
        <v>33</v>
      </c>
      <c r="Q317">
        <v>5822179</v>
      </c>
      <c r="R317" t="s">
        <v>337</v>
      </c>
    </row>
    <row r="318" spans="2:18" hidden="1" x14ac:dyDescent="0.35">
      <c r="B318" s="63">
        <v>46267</v>
      </c>
      <c r="C318" t="s">
        <v>1072</v>
      </c>
      <c r="D318" t="s">
        <v>51</v>
      </c>
      <c r="E318" t="s">
        <v>285</v>
      </c>
      <c r="F318" t="s">
        <v>287</v>
      </c>
      <c r="G318" t="s">
        <v>287</v>
      </c>
      <c r="H318" s="85" t="s">
        <v>63</v>
      </c>
      <c r="I318" t="s">
        <v>63</v>
      </c>
      <c r="J318" s="46" t="s">
        <v>63</v>
      </c>
      <c r="K318" t="s">
        <v>63</v>
      </c>
      <c r="L318" t="s">
        <v>1068</v>
      </c>
      <c r="M318" s="52">
        <v>35760708</v>
      </c>
      <c r="N318" t="s">
        <v>57</v>
      </c>
      <c r="O318" t="e" vm="1">
        <f ca="1">SUBSTITUTE(_xlfn.TRANSLATE(BAHTTEXT(Table1[[#This Row],[Montant]]),"th","fr")," bahts"," francs CFA")</f>
        <v>#NAME?</v>
      </c>
      <c r="P318" t="s">
        <v>33</v>
      </c>
      <c r="Q318">
        <v>5822175</v>
      </c>
      <c r="R318" t="s">
        <v>337</v>
      </c>
    </row>
    <row r="319" spans="2:18" hidden="1" x14ac:dyDescent="0.35">
      <c r="B319" s="63">
        <v>46267</v>
      </c>
      <c r="C319" t="s">
        <v>1073</v>
      </c>
      <c r="D319" t="s">
        <v>51</v>
      </c>
      <c r="E319" t="s">
        <v>1069</v>
      </c>
      <c r="F319" t="s">
        <v>286</v>
      </c>
      <c r="G319" t="s">
        <v>286</v>
      </c>
      <c r="H319" s="85" t="s">
        <v>63</v>
      </c>
      <c r="I319" t="s">
        <v>63</v>
      </c>
      <c r="J319" s="46" t="s">
        <v>63</v>
      </c>
      <c r="K319" t="s">
        <v>63</v>
      </c>
      <c r="L319" t="s">
        <v>1070</v>
      </c>
      <c r="M319" s="52">
        <v>4550160</v>
      </c>
      <c r="N319" t="s">
        <v>57</v>
      </c>
      <c r="O319" t="e" vm="1">
        <f ca="1">SUBSTITUTE(_xlfn.TRANSLATE(BAHTTEXT(Table1[[#This Row],[Montant]]),"th","fr")," bahts"," francs CFA")</f>
        <v>#NAME?</v>
      </c>
      <c r="P319" t="s">
        <v>33</v>
      </c>
      <c r="Q319">
        <v>5822176</v>
      </c>
      <c r="R319" t="s">
        <v>337</v>
      </c>
    </row>
    <row r="320" spans="2:18" hidden="1" x14ac:dyDescent="0.35">
      <c r="B320" s="63">
        <v>46267</v>
      </c>
      <c r="C320" t="s">
        <v>1074</v>
      </c>
      <c r="D320" t="s">
        <v>51</v>
      </c>
      <c r="E320" t="s">
        <v>291</v>
      </c>
      <c r="F320" t="s">
        <v>286</v>
      </c>
      <c r="G320" t="s">
        <v>286</v>
      </c>
      <c r="H320" s="85" t="s">
        <v>63</v>
      </c>
      <c r="I320" t="s">
        <v>63</v>
      </c>
      <c r="J320" s="46" t="s">
        <v>63</v>
      </c>
      <c r="K320" t="s">
        <v>63</v>
      </c>
      <c r="L320" t="s">
        <v>1071</v>
      </c>
      <c r="M320" s="52">
        <v>8460000</v>
      </c>
      <c r="N320" t="s">
        <v>57</v>
      </c>
      <c r="O320" t="e" vm="1">
        <f ca="1">SUBSTITUTE(_xlfn.TRANSLATE(BAHTTEXT(Table1[[#This Row],[Montant]]),"th","fr")," bahts"," francs CFA")</f>
        <v>#NAME?</v>
      </c>
      <c r="P320" t="s">
        <v>33</v>
      </c>
      <c r="Q320">
        <v>5822177</v>
      </c>
      <c r="R320" t="s">
        <v>337</v>
      </c>
    </row>
    <row r="321" spans="2:18" hidden="1" x14ac:dyDescent="0.35">
      <c r="B321" s="63">
        <v>46268</v>
      </c>
      <c r="C321" t="s">
        <v>1081</v>
      </c>
      <c r="D321" t="s">
        <v>28</v>
      </c>
      <c r="E321" t="s">
        <v>860</v>
      </c>
      <c r="F321" t="s">
        <v>965</v>
      </c>
      <c r="G321" t="s">
        <v>971</v>
      </c>
      <c r="H321" s="85" t="s">
        <v>63</v>
      </c>
      <c r="I321" t="s">
        <v>966</v>
      </c>
      <c r="J321" s="46" t="s">
        <v>967</v>
      </c>
      <c r="K321" t="s">
        <v>1080</v>
      </c>
      <c r="L321" t="s">
        <v>861</v>
      </c>
      <c r="M321" s="105">
        <v>5000000</v>
      </c>
      <c r="N321" t="s">
        <v>47</v>
      </c>
      <c r="O321" t="e" vm="1">
        <f ca="1">SUBSTITUTE(_xlfn.TRANSLATE(BAHTTEXT(Table1[[#This Row],[Montant]]),"th","fr")," bahts"," francs CFA")</f>
        <v>#NAME?</v>
      </c>
      <c r="P321" t="s">
        <v>33</v>
      </c>
      <c r="Q321">
        <v>5822183</v>
      </c>
      <c r="R321" t="s">
        <v>337</v>
      </c>
    </row>
    <row r="322" spans="2:18" hidden="1" x14ac:dyDescent="0.35">
      <c r="B322" s="63">
        <v>46269</v>
      </c>
      <c r="C322" t="s">
        <v>1089</v>
      </c>
      <c r="D322" t="s">
        <v>51</v>
      </c>
      <c r="E322" t="s">
        <v>51</v>
      </c>
      <c r="F322" t="s">
        <v>1088</v>
      </c>
      <c r="G322" t="s">
        <v>1088</v>
      </c>
      <c r="H322" s="85" t="s">
        <v>63</v>
      </c>
      <c r="I322" t="s">
        <v>63</v>
      </c>
      <c r="J322" s="46" t="s">
        <v>63</v>
      </c>
      <c r="K322" t="s">
        <v>1090</v>
      </c>
      <c r="L322" t="s">
        <v>1091</v>
      </c>
      <c r="M322" s="52">
        <v>2421000</v>
      </c>
      <c r="N322" t="s">
        <v>57</v>
      </c>
      <c r="O322" t="e" vm="1">
        <f ca="1">SUBSTITUTE(_xlfn.TRANSLATE(BAHTTEXT(Table1[[#This Row],[Montant]]),"th","fr")," bahts"," francs CFA")</f>
        <v>#NAME?</v>
      </c>
      <c r="P322" t="s">
        <v>33</v>
      </c>
      <c r="Q322">
        <v>5822184</v>
      </c>
      <c r="R322" t="s">
        <v>337</v>
      </c>
    </row>
    <row r="323" spans="2:18" hidden="1" x14ac:dyDescent="0.35">
      <c r="B323" s="63">
        <v>46270</v>
      </c>
      <c r="C323" t="s">
        <v>1102</v>
      </c>
      <c r="D323" t="s">
        <v>28</v>
      </c>
      <c r="E323" t="s">
        <v>860</v>
      </c>
      <c r="F323" t="s">
        <v>166</v>
      </c>
      <c r="G323" t="s">
        <v>166</v>
      </c>
      <c r="H323" s="85">
        <v>1390715626</v>
      </c>
      <c r="I323" s="65" t="s">
        <v>163</v>
      </c>
      <c r="J323" s="67" t="s">
        <v>164</v>
      </c>
      <c r="K323" t="s">
        <v>1039</v>
      </c>
      <c r="L323" t="s">
        <v>861</v>
      </c>
      <c r="M323" s="105">
        <v>4670100</v>
      </c>
      <c r="N323" t="s">
        <v>57</v>
      </c>
      <c r="O323" t="e" vm="1">
        <f ca="1">SUBSTITUTE(_xlfn.TRANSLATE(BAHTTEXT(Table1[[#This Row],[Montant]]),"th","fr")," bahts"," francs CFA")</f>
        <v>#NAME?</v>
      </c>
      <c r="P323" t="s">
        <v>33</v>
      </c>
      <c r="Q323">
        <v>5822185</v>
      </c>
      <c r="R323" t="s">
        <v>337</v>
      </c>
    </row>
    <row r="324" spans="2:18" hidden="1" x14ac:dyDescent="0.35">
      <c r="B324" s="63">
        <v>46270</v>
      </c>
      <c r="C324" t="s">
        <v>1103</v>
      </c>
      <c r="D324" t="s">
        <v>28</v>
      </c>
      <c r="E324" t="s">
        <v>860</v>
      </c>
      <c r="F324" t="s">
        <v>1056</v>
      </c>
      <c r="G324" t="s">
        <v>1056</v>
      </c>
      <c r="H324" s="85">
        <v>20602101680225</v>
      </c>
      <c r="I324" s="36">
        <v>46540</v>
      </c>
      <c r="J324" s="46" t="s">
        <v>1057</v>
      </c>
      <c r="K324" t="s">
        <v>1058</v>
      </c>
      <c r="L324" t="s">
        <v>861</v>
      </c>
      <c r="M324" s="105">
        <v>6202000</v>
      </c>
      <c r="N324" t="s">
        <v>57</v>
      </c>
      <c r="O324" t="e" vm="1">
        <f ca="1">SUBSTITUTE(_xlfn.TRANSLATE(BAHTTEXT(Table1[[#This Row],[Montant]]),"th","fr")," bahts"," francs CFA")</f>
        <v>#NAME?</v>
      </c>
      <c r="P324" t="s">
        <v>33</v>
      </c>
      <c r="Q324">
        <v>5822186</v>
      </c>
      <c r="R324" t="s">
        <v>337</v>
      </c>
    </row>
    <row r="325" spans="2:18" hidden="1" x14ac:dyDescent="0.35">
      <c r="B325" s="63">
        <v>46270</v>
      </c>
      <c r="C325" t="s">
        <v>1107</v>
      </c>
      <c r="D325" t="s">
        <v>28</v>
      </c>
      <c r="E325" t="s">
        <v>860</v>
      </c>
      <c r="F325" t="s">
        <v>937</v>
      </c>
      <c r="G325" t="s">
        <v>1104</v>
      </c>
      <c r="H325" s="85">
        <v>20055505614226</v>
      </c>
      <c r="I325" s="36">
        <v>47909</v>
      </c>
      <c r="J325" s="46" t="s">
        <v>1105</v>
      </c>
      <c r="K325" t="s">
        <v>1106</v>
      </c>
      <c r="L325" t="s">
        <v>861</v>
      </c>
      <c r="M325" s="105">
        <v>2900000</v>
      </c>
      <c r="N325" t="s">
        <v>47</v>
      </c>
      <c r="O325" t="e" vm="1">
        <f ca="1">SUBSTITUTE(_xlfn.TRANSLATE(BAHTTEXT(Table1[[#This Row],[Montant]]),"th","fr")," bahts"," francs CFA")</f>
        <v>#NAME?</v>
      </c>
      <c r="P325" t="s">
        <v>33</v>
      </c>
      <c r="Q325">
        <v>5822187</v>
      </c>
      <c r="R325" t="s">
        <v>337</v>
      </c>
    </row>
    <row r="326" spans="2:18" hidden="1" x14ac:dyDescent="0.35">
      <c r="B326" s="63">
        <v>46270</v>
      </c>
      <c r="C326" t="s">
        <v>1110</v>
      </c>
      <c r="D326" t="s">
        <v>28</v>
      </c>
      <c r="E326" t="s">
        <v>860</v>
      </c>
      <c r="F326" t="s">
        <v>1047</v>
      </c>
      <c r="G326" t="s">
        <v>1048</v>
      </c>
      <c r="H326" s="85">
        <v>100423179</v>
      </c>
      <c r="I326" s="36">
        <v>46855</v>
      </c>
      <c r="J326" s="46" t="s">
        <v>63</v>
      </c>
      <c r="K326" t="s">
        <v>1045</v>
      </c>
      <c r="L326" t="s">
        <v>861</v>
      </c>
      <c r="M326" s="105">
        <v>3912800</v>
      </c>
      <c r="N326" t="s">
        <v>57</v>
      </c>
      <c r="O326" t="e" vm="1">
        <f ca="1">SUBSTITUTE(_xlfn.TRANSLATE(BAHTTEXT(Table1[[#This Row],[Montant]]),"th","fr")," bahts"," francs CFA")</f>
        <v>#NAME?</v>
      </c>
      <c r="P326" t="s">
        <v>33</v>
      </c>
      <c r="Q326">
        <v>5822188</v>
      </c>
      <c r="R326" t="s">
        <v>337</v>
      </c>
    </row>
    <row r="327" spans="2:18" hidden="1" x14ac:dyDescent="0.35">
      <c r="B327" s="63">
        <v>46272</v>
      </c>
      <c r="C327" t="s">
        <v>1111</v>
      </c>
      <c r="D327" t="s">
        <v>28</v>
      </c>
      <c r="E327" t="s">
        <v>860</v>
      </c>
      <c r="F327" t="s">
        <v>900</v>
      </c>
      <c r="G327" t="s">
        <v>900</v>
      </c>
      <c r="H327" s="85" t="s">
        <v>924</v>
      </c>
      <c r="I327" s="36">
        <v>47393</v>
      </c>
      <c r="J327" s="46" t="s">
        <v>63</v>
      </c>
      <c r="K327" t="s">
        <v>1023</v>
      </c>
      <c r="L327" t="s">
        <v>861</v>
      </c>
      <c r="M327" s="105">
        <v>10757200</v>
      </c>
      <c r="N327" t="s">
        <v>57</v>
      </c>
      <c r="O327" t="e" vm="1">
        <f ca="1">SUBSTITUTE(_xlfn.TRANSLATE(BAHTTEXT(Table1[[#This Row],[Montant]]),"th","fr")," bahts"," francs CFA")</f>
        <v>#NAME?</v>
      </c>
      <c r="P327" t="s">
        <v>33</v>
      </c>
      <c r="Q327">
        <v>2000599</v>
      </c>
      <c r="R327" t="s">
        <v>32</v>
      </c>
    </row>
    <row r="328" spans="2:18" hidden="1" x14ac:dyDescent="0.35">
      <c r="B328" s="63">
        <v>46272</v>
      </c>
      <c r="C328" t="s">
        <v>1117</v>
      </c>
      <c r="D328" t="s">
        <v>51</v>
      </c>
      <c r="E328" t="s">
        <v>51</v>
      </c>
      <c r="F328" t="s">
        <v>1112</v>
      </c>
      <c r="G328" t="s">
        <v>1113</v>
      </c>
      <c r="H328" s="85">
        <v>20375619294126</v>
      </c>
      <c r="I328" s="36">
        <v>48046</v>
      </c>
      <c r="J328" s="46" t="s">
        <v>1114</v>
      </c>
      <c r="K328" t="s">
        <v>1115</v>
      </c>
      <c r="L328" t="s">
        <v>1116</v>
      </c>
      <c r="M328" s="52">
        <v>3588977</v>
      </c>
      <c r="N328" t="s">
        <v>57</v>
      </c>
      <c r="O328" t="e" vm="1">
        <f ca="1">SUBSTITUTE(_xlfn.TRANSLATE(BAHTTEXT(Table1[[#This Row],[Montant]]),"th","fr")," bahts"," francs CFA")</f>
        <v>#NAME?</v>
      </c>
      <c r="P328" t="s">
        <v>33</v>
      </c>
      <c r="Q328">
        <v>2000600</v>
      </c>
      <c r="R328" t="s">
        <v>32</v>
      </c>
    </row>
    <row r="329" spans="2:18" hidden="1" x14ac:dyDescent="0.35">
      <c r="B329" s="63">
        <v>46272</v>
      </c>
      <c r="C329" t="s">
        <v>1119</v>
      </c>
      <c r="D329" t="s">
        <v>28</v>
      </c>
      <c r="E329" t="s">
        <v>860</v>
      </c>
      <c r="F329" t="s">
        <v>965</v>
      </c>
      <c r="G329" t="s">
        <v>971</v>
      </c>
      <c r="H329" s="85" t="s">
        <v>63</v>
      </c>
      <c r="I329" t="s">
        <v>966</v>
      </c>
      <c r="J329" s="46" t="s">
        <v>967</v>
      </c>
      <c r="K329" t="s">
        <v>1118</v>
      </c>
      <c r="L329" t="s">
        <v>861</v>
      </c>
      <c r="M329" s="105">
        <v>10000000</v>
      </c>
      <c r="N329" t="s">
        <v>47</v>
      </c>
      <c r="O329" t="e" vm="1">
        <f ca="1">SUBSTITUTE(_xlfn.TRANSLATE(BAHTTEXT(Table1[[#This Row],[Montant]]),"th","fr")," bahts"," francs CFA")</f>
        <v>#NAME?</v>
      </c>
      <c r="P329" t="s">
        <v>33</v>
      </c>
      <c r="Q329">
        <v>2000651</v>
      </c>
      <c r="R329" t="s">
        <v>32</v>
      </c>
    </row>
    <row r="330" spans="2:18" hidden="1" x14ac:dyDescent="0.35">
      <c r="B330" s="63">
        <v>46272</v>
      </c>
      <c r="C330" t="s">
        <v>1121</v>
      </c>
      <c r="D330" t="s">
        <v>28</v>
      </c>
      <c r="E330" t="s">
        <v>860</v>
      </c>
      <c r="F330" t="s">
        <v>46</v>
      </c>
      <c r="G330" t="s">
        <v>46</v>
      </c>
      <c r="H330" s="85">
        <v>1115119742</v>
      </c>
      <c r="I330" s="36">
        <v>46622</v>
      </c>
      <c r="J330" s="46" t="s">
        <v>48</v>
      </c>
      <c r="K330" t="s">
        <v>1120</v>
      </c>
      <c r="L330" t="s">
        <v>861</v>
      </c>
      <c r="M330" s="105">
        <v>14632800</v>
      </c>
      <c r="N330" t="s">
        <v>57</v>
      </c>
      <c r="O330" t="e" vm="1">
        <f ca="1">SUBSTITUTE(_xlfn.TRANSLATE(BAHTTEXT(Table1[[#This Row],[Montant]]),"th","fr")," bahts"," francs CFA")</f>
        <v>#NAME?</v>
      </c>
      <c r="P330" t="s">
        <v>33</v>
      </c>
      <c r="Q330">
        <v>2000652</v>
      </c>
      <c r="R330" t="s">
        <v>32</v>
      </c>
    </row>
    <row r="331" spans="2:18" hidden="1" x14ac:dyDescent="0.35">
      <c r="B331" s="63">
        <v>46272</v>
      </c>
      <c r="C331" t="s">
        <v>1123</v>
      </c>
      <c r="D331" t="s">
        <v>28</v>
      </c>
      <c r="E331" t="s">
        <v>860</v>
      </c>
      <c r="F331" t="s">
        <v>166</v>
      </c>
      <c r="G331" t="s">
        <v>166</v>
      </c>
      <c r="H331" s="85">
        <v>1390715626</v>
      </c>
      <c r="I331" s="65" t="s">
        <v>163</v>
      </c>
      <c r="J331" s="67" t="s">
        <v>164</v>
      </c>
      <c r="K331" t="s">
        <v>1122</v>
      </c>
      <c r="L331" t="s">
        <v>861</v>
      </c>
      <c r="M331" s="105">
        <v>15776800</v>
      </c>
      <c r="N331" t="s">
        <v>57</v>
      </c>
      <c r="O331" t="e" vm="1">
        <f ca="1">SUBSTITUTE(_xlfn.TRANSLATE(BAHTTEXT(Table1[[#This Row],[Montant]]),"th","fr")," bahts"," francs CFA")</f>
        <v>#NAME?</v>
      </c>
      <c r="P331" t="s">
        <v>33</v>
      </c>
      <c r="Q331">
        <v>2000653</v>
      </c>
      <c r="R331" t="s">
        <v>32</v>
      </c>
    </row>
    <row r="332" spans="2:18" hidden="1" x14ac:dyDescent="0.35">
      <c r="B332" s="63">
        <v>46272</v>
      </c>
      <c r="C332" t="s">
        <v>1125</v>
      </c>
      <c r="D332" t="s">
        <v>28</v>
      </c>
      <c r="E332" t="s">
        <v>860</v>
      </c>
      <c r="F332" t="s">
        <v>890</v>
      </c>
      <c r="G332" t="s">
        <v>891</v>
      </c>
      <c r="H332" s="85">
        <v>20435764679125</v>
      </c>
      <c r="I332" s="36">
        <v>46685</v>
      </c>
      <c r="J332" s="46" t="s">
        <v>892</v>
      </c>
      <c r="K332" t="s">
        <v>1124</v>
      </c>
      <c r="L332" t="s">
        <v>861</v>
      </c>
      <c r="M332" s="105">
        <v>13000000</v>
      </c>
      <c r="N332" t="s">
        <v>47</v>
      </c>
      <c r="O332" t="e" vm="1">
        <f ca="1">SUBSTITUTE(_xlfn.TRANSLATE(BAHTTEXT(Table1[[#This Row],[Montant]]),"th","fr")," bahts"," francs CFA")</f>
        <v>#NAME?</v>
      </c>
      <c r="P332" t="s">
        <v>33</v>
      </c>
      <c r="Q332">
        <v>2000654</v>
      </c>
      <c r="R332" t="s">
        <v>32</v>
      </c>
    </row>
    <row r="333" spans="2:18" hidden="1" x14ac:dyDescent="0.35">
      <c r="B333" s="63">
        <v>46272</v>
      </c>
      <c r="C333" t="s">
        <v>1128</v>
      </c>
      <c r="D333" t="s">
        <v>28</v>
      </c>
      <c r="E333" t="s">
        <v>860</v>
      </c>
      <c r="F333" t="s">
        <v>1052</v>
      </c>
      <c r="G333" t="s">
        <v>1126</v>
      </c>
      <c r="H333" s="85">
        <v>100278389</v>
      </c>
      <c r="I333" s="36">
        <v>46726</v>
      </c>
      <c r="J333" s="46" t="s">
        <v>63</v>
      </c>
      <c r="K333" t="s">
        <v>1127</v>
      </c>
      <c r="L333" t="s">
        <v>861</v>
      </c>
      <c r="M333" s="105">
        <v>16262400</v>
      </c>
      <c r="N333" t="s">
        <v>57</v>
      </c>
      <c r="O333" t="e" vm="1">
        <f ca="1">SUBSTITUTE(_xlfn.TRANSLATE(BAHTTEXT(Table1[[#This Row],[Montant]]),"th","fr")," bahts"," francs CFA")</f>
        <v>#NAME?</v>
      </c>
      <c r="P333" t="s">
        <v>33</v>
      </c>
      <c r="Q333">
        <v>2000656</v>
      </c>
      <c r="R333" t="s">
        <v>32</v>
      </c>
    </row>
    <row r="334" spans="2:18" hidden="1" x14ac:dyDescent="0.35">
      <c r="B334" s="63">
        <v>46272</v>
      </c>
      <c r="C334" t="s">
        <v>1131</v>
      </c>
      <c r="D334" t="s">
        <v>28</v>
      </c>
      <c r="E334" t="s">
        <v>860</v>
      </c>
      <c r="F334" t="s">
        <v>61</v>
      </c>
      <c r="G334" t="s">
        <v>1130</v>
      </c>
      <c r="H334" s="85">
        <v>20228625677224</v>
      </c>
      <c r="I334" s="36">
        <v>46384</v>
      </c>
      <c r="J334" s="46" t="s">
        <v>1136</v>
      </c>
      <c r="K334" t="s">
        <v>1129</v>
      </c>
      <c r="L334" t="s">
        <v>861</v>
      </c>
      <c r="M334" s="105">
        <v>15331800</v>
      </c>
      <c r="N334" t="s">
        <v>57</v>
      </c>
      <c r="O334" t="e" vm="1">
        <f ca="1">SUBSTITUTE(_xlfn.TRANSLATE(BAHTTEXT(Table1[[#This Row],[Montant]]),"th","fr")," bahts"," francs CFA")</f>
        <v>#NAME?</v>
      </c>
      <c r="P334" t="s">
        <v>33</v>
      </c>
      <c r="Q334">
        <v>2000657</v>
      </c>
      <c r="R334" t="s">
        <v>32</v>
      </c>
    </row>
    <row r="335" spans="2:18" hidden="1" x14ac:dyDescent="0.35">
      <c r="B335" s="63">
        <v>46272</v>
      </c>
      <c r="C335" t="s">
        <v>1137</v>
      </c>
      <c r="D335" t="s">
        <v>28</v>
      </c>
      <c r="E335" t="s">
        <v>860</v>
      </c>
      <c r="F335" t="s">
        <v>1133</v>
      </c>
      <c r="G335" t="s">
        <v>1134</v>
      </c>
      <c r="H335" s="85">
        <v>20734524379725</v>
      </c>
      <c r="I335" s="36">
        <v>46632</v>
      </c>
      <c r="J335" s="46" t="s">
        <v>1135</v>
      </c>
      <c r="K335" t="s">
        <v>1138</v>
      </c>
      <c r="L335" t="s">
        <v>861</v>
      </c>
      <c r="M335" s="105">
        <v>16598800</v>
      </c>
      <c r="N335" t="s">
        <v>57</v>
      </c>
      <c r="O335" t="e" vm="1">
        <f ca="1">SUBSTITUTE(_xlfn.TRANSLATE(BAHTTEXT(Table1[[#This Row],[Montant]]),"th","fr")," bahts"," francs CFA")</f>
        <v>#NAME?</v>
      </c>
      <c r="P335" t="s">
        <v>33</v>
      </c>
      <c r="Q335">
        <v>2000658</v>
      </c>
      <c r="R335" t="s">
        <v>32</v>
      </c>
    </row>
    <row r="336" spans="2:18" hidden="1" x14ac:dyDescent="0.35">
      <c r="B336" s="63">
        <v>46272</v>
      </c>
      <c r="C336" t="s">
        <v>1142</v>
      </c>
      <c r="D336" t="s">
        <v>28</v>
      </c>
      <c r="E336" t="s">
        <v>860</v>
      </c>
      <c r="F336" t="s">
        <v>1139</v>
      </c>
      <c r="G336" t="s">
        <v>1139</v>
      </c>
      <c r="H336" s="85">
        <v>20762868810626</v>
      </c>
      <c r="I336" s="36">
        <v>48025</v>
      </c>
      <c r="J336" s="46" t="s">
        <v>1140</v>
      </c>
      <c r="K336" t="s">
        <v>1141</v>
      </c>
      <c r="L336" t="s">
        <v>861</v>
      </c>
      <c r="M336" s="105">
        <v>14302200</v>
      </c>
      <c r="N336" t="s">
        <v>57</v>
      </c>
      <c r="O336" t="e" vm="1">
        <f ca="1">SUBSTITUTE(_xlfn.TRANSLATE(BAHTTEXT(Table1[[#This Row],[Montant]]),"th","fr")," bahts"," francs CFA")</f>
        <v>#NAME?</v>
      </c>
      <c r="P336" t="s">
        <v>33</v>
      </c>
      <c r="Q336">
        <v>2000659</v>
      </c>
      <c r="R336" t="s">
        <v>32</v>
      </c>
    </row>
    <row r="337" spans="2:18" x14ac:dyDescent="0.35">
      <c r="B337" s="63">
        <v>46272</v>
      </c>
      <c r="C337" t="s">
        <v>1144</v>
      </c>
      <c r="D337" t="s">
        <v>28</v>
      </c>
      <c r="E337" t="s">
        <v>860</v>
      </c>
      <c r="F337" t="s">
        <v>986</v>
      </c>
      <c r="G337" t="s">
        <v>987</v>
      </c>
      <c r="H337" s="85">
        <v>20411113178625</v>
      </c>
      <c r="I337" s="36">
        <v>46585</v>
      </c>
      <c r="J337" s="46" t="s">
        <v>988</v>
      </c>
      <c r="K337" t="s">
        <v>1143</v>
      </c>
      <c r="L337" t="s">
        <v>861</v>
      </c>
      <c r="M337" s="105">
        <v>16666800</v>
      </c>
      <c r="N337" t="s">
        <v>57</v>
      </c>
      <c r="O337" t="e" vm="1">
        <f ca="1">SUBSTITUTE(_xlfn.TRANSLATE(BAHTTEXT(Table1[[#This Row],[Montant]]),"th","fr")," bahts"," francs CFA")</f>
        <v>#NAME?</v>
      </c>
      <c r="P337" t="s">
        <v>33</v>
      </c>
      <c r="Q337">
        <v>2000660</v>
      </c>
      <c r="R337" t="s">
        <v>32</v>
      </c>
    </row>
    <row r="338" spans="2:18" hidden="1" x14ac:dyDescent="0.35">
      <c r="B338" s="63">
        <v>46273</v>
      </c>
      <c r="C338" t="s">
        <v>1151</v>
      </c>
      <c r="D338" t="s">
        <v>28</v>
      </c>
      <c r="E338" t="s">
        <v>860</v>
      </c>
      <c r="F338" t="s">
        <v>882</v>
      </c>
      <c r="G338" t="s">
        <v>880</v>
      </c>
      <c r="H338" s="85">
        <v>209735867</v>
      </c>
      <c r="I338" s="36">
        <v>46335</v>
      </c>
      <c r="J338" s="46" t="s">
        <v>63</v>
      </c>
      <c r="K338" t="s">
        <v>1150</v>
      </c>
      <c r="L338" t="s">
        <v>861</v>
      </c>
      <c r="M338" s="105">
        <v>15232800</v>
      </c>
      <c r="N338" t="s">
        <v>57</v>
      </c>
      <c r="O338" t="e" vm="1">
        <f ca="1">SUBSTITUTE(_xlfn.TRANSLATE(BAHTTEXT(Table1[[#This Row],[Montant]]),"th","fr")," bahts"," francs CFA")</f>
        <v>#NAME?</v>
      </c>
      <c r="P338" t="s">
        <v>33</v>
      </c>
      <c r="Q338">
        <v>5822189</v>
      </c>
      <c r="R338" t="s">
        <v>337</v>
      </c>
    </row>
    <row r="339" spans="2:18" hidden="1" x14ac:dyDescent="0.35">
      <c r="B339" s="63">
        <v>46273</v>
      </c>
      <c r="C339" t="s">
        <v>1156</v>
      </c>
      <c r="D339" t="s">
        <v>82</v>
      </c>
      <c r="E339" t="s">
        <v>175</v>
      </c>
      <c r="F339" t="s">
        <v>347</v>
      </c>
      <c r="G339" t="s">
        <v>348</v>
      </c>
      <c r="H339" s="85">
        <v>7668041413</v>
      </c>
      <c r="I339" s="36">
        <v>46670</v>
      </c>
      <c r="J339" s="46" t="s">
        <v>346</v>
      </c>
      <c r="K339" t="s">
        <v>63</v>
      </c>
      <c r="L339" t="s">
        <v>528</v>
      </c>
      <c r="M339" s="52">
        <v>10000000</v>
      </c>
      <c r="N339" t="s">
        <v>57</v>
      </c>
      <c r="O339" t="e" vm="1">
        <f ca="1">SUBSTITUTE(_xlfn.TRANSLATE(BAHTTEXT(Table1[[#This Row],[Montant]]),"th","fr")," bahts"," francs CFA")</f>
        <v>#NAME?</v>
      </c>
      <c r="P339" t="s">
        <v>33</v>
      </c>
      <c r="Q339">
        <v>5822190</v>
      </c>
      <c r="R339" t="s">
        <v>337</v>
      </c>
    </row>
    <row r="340" spans="2:18" hidden="1" x14ac:dyDescent="0.35">
      <c r="B340" s="63">
        <v>46274</v>
      </c>
      <c r="C340" t="s">
        <v>1158</v>
      </c>
      <c r="D340" t="s">
        <v>51</v>
      </c>
      <c r="E340" t="s">
        <v>51</v>
      </c>
      <c r="F340" t="s">
        <v>161</v>
      </c>
      <c r="G340" t="s">
        <v>143</v>
      </c>
      <c r="H340" s="85">
        <v>5924678990</v>
      </c>
      <c r="I340" s="36">
        <v>46629</v>
      </c>
      <c r="J340" s="46" t="s">
        <v>151</v>
      </c>
      <c r="K340" t="s">
        <v>63</v>
      </c>
      <c r="L340" t="s">
        <v>961</v>
      </c>
      <c r="M340" s="52">
        <v>1307787</v>
      </c>
      <c r="N340" t="s">
        <v>57</v>
      </c>
      <c r="O340" t="e" vm="1">
        <f ca="1">SUBSTITUTE(_xlfn.TRANSLATE(BAHTTEXT(Table1[[#This Row],[Montant]]),"th","fr")," bahts"," francs CFA")</f>
        <v>#NAME?</v>
      </c>
      <c r="P340" t="s">
        <v>33</v>
      </c>
      <c r="Q340">
        <v>5822191</v>
      </c>
      <c r="R340" t="s">
        <v>337</v>
      </c>
    </row>
    <row r="341" spans="2:18" hidden="1" x14ac:dyDescent="0.35">
      <c r="B341" s="63">
        <v>46274</v>
      </c>
      <c r="C341" t="s">
        <v>1161</v>
      </c>
      <c r="D341" t="s">
        <v>51</v>
      </c>
      <c r="E341" t="s">
        <v>51</v>
      </c>
      <c r="F341" t="s">
        <v>1159</v>
      </c>
      <c r="G341" t="s">
        <v>1159</v>
      </c>
      <c r="H341" s="85" t="s">
        <v>63</v>
      </c>
      <c r="I341" t="s">
        <v>63</v>
      </c>
      <c r="J341" s="46" t="s">
        <v>63</v>
      </c>
      <c r="K341" t="s">
        <v>63</v>
      </c>
      <c r="L341" t="s">
        <v>1160</v>
      </c>
      <c r="M341" s="52">
        <v>316800</v>
      </c>
      <c r="N341" t="s">
        <v>57</v>
      </c>
      <c r="O341" t="e" vm="1">
        <f ca="1">SUBSTITUTE(_xlfn.TRANSLATE(BAHTTEXT(Table1[[#This Row],[Montant]]),"th","fr")," bahts"," francs CFA")</f>
        <v>#NAME?</v>
      </c>
      <c r="P341" t="s">
        <v>33</v>
      </c>
      <c r="Q341">
        <v>5822192</v>
      </c>
      <c r="R341" t="s">
        <v>337</v>
      </c>
    </row>
    <row r="342" spans="2:18" hidden="1" x14ac:dyDescent="0.35">
      <c r="B342" s="63">
        <v>46274</v>
      </c>
      <c r="C342" t="s">
        <v>1163</v>
      </c>
      <c r="D342" t="s">
        <v>28</v>
      </c>
      <c r="E342" t="s">
        <v>860</v>
      </c>
      <c r="F342" t="s">
        <v>46</v>
      </c>
      <c r="G342" t="s">
        <v>46</v>
      </c>
      <c r="H342" s="85">
        <v>1115119742</v>
      </c>
      <c r="I342" s="36">
        <v>46622</v>
      </c>
      <c r="J342" s="46" t="s">
        <v>48</v>
      </c>
      <c r="K342" t="s">
        <v>1162</v>
      </c>
      <c r="L342" t="s">
        <v>861</v>
      </c>
      <c r="M342" s="105">
        <v>29158400</v>
      </c>
      <c r="N342" t="s">
        <v>57</v>
      </c>
      <c r="O342" t="e" vm="1">
        <f ca="1">SUBSTITUTE(_xlfn.TRANSLATE(BAHTTEXT(Table1[[#This Row],[Montant]]),"th","fr")," bahts"," francs CFA")</f>
        <v>#NAME?</v>
      </c>
      <c r="P342" t="s">
        <v>33</v>
      </c>
      <c r="Q342">
        <v>5822193</v>
      </c>
      <c r="R342" t="s">
        <v>337</v>
      </c>
    </row>
    <row r="343" spans="2:18" hidden="1" x14ac:dyDescent="0.35">
      <c r="B343" s="63">
        <v>46274</v>
      </c>
      <c r="C343" t="s">
        <v>1164</v>
      </c>
      <c r="D343" t="s">
        <v>51</v>
      </c>
      <c r="E343" t="s">
        <v>237</v>
      </c>
      <c r="F343" t="s">
        <v>238</v>
      </c>
      <c r="G343" t="s">
        <v>574</v>
      </c>
      <c r="H343" s="85">
        <v>20846854937426</v>
      </c>
      <c r="I343" s="36">
        <v>413157</v>
      </c>
      <c r="J343" s="46" t="s">
        <v>239</v>
      </c>
      <c r="K343" t="s">
        <v>63</v>
      </c>
      <c r="L343" t="s">
        <v>1165</v>
      </c>
      <c r="M343" s="52">
        <v>349200</v>
      </c>
      <c r="N343" t="s">
        <v>57</v>
      </c>
      <c r="O343" t="e" vm="1">
        <f ca="1">SUBSTITUTE(_xlfn.TRANSLATE(BAHTTEXT(Table1[[#This Row],[Montant]]),"th","fr")," bahts"," francs CFA")</f>
        <v>#NAME?</v>
      </c>
      <c r="P343" t="s">
        <v>33</v>
      </c>
      <c r="Q343">
        <v>5822194</v>
      </c>
      <c r="R343" t="s">
        <v>337</v>
      </c>
    </row>
    <row r="344" spans="2:18" hidden="1" x14ac:dyDescent="0.35">
      <c r="B344" s="63">
        <v>46274</v>
      </c>
      <c r="C344" t="s">
        <v>1166</v>
      </c>
      <c r="D344" t="s">
        <v>28</v>
      </c>
      <c r="E344" t="s">
        <v>860</v>
      </c>
      <c r="F344" t="s">
        <v>890</v>
      </c>
      <c r="G344" t="s">
        <v>891</v>
      </c>
      <c r="H344" s="85">
        <v>20435764679125</v>
      </c>
      <c r="I344" s="36">
        <v>46685</v>
      </c>
      <c r="J344" s="46" t="s">
        <v>892</v>
      </c>
      <c r="K344" t="s">
        <v>1124</v>
      </c>
      <c r="L344" t="s">
        <v>861</v>
      </c>
      <c r="M344" s="105">
        <v>2972800</v>
      </c>
      <c r="N344" t="s">
        <v>57</v>
      </c>
      <c r="O344" t="e" vm="1">
        <f ca="1">SUBSTITUTE(_xlfn.TRANSLATE(BAHTTEXT(Table1[[#This Row],[Montant]]),"th","fr")," bahts"," francs CFA")</f>
        <v>#NAME?</v>
      </c>
      <c r="P344" t="s">
        <v>33</v>
      </c>
      <c r="Q344">
        <v>5822195</v>
      </c>
      <c r="R344" t="s">
        <v>337</v>
      </c>
    </row>
    <row r="345" spans="2:18" hidden="1" x14ac:dyDescent="0.35">
      <c r="B345" s="63">
        <v>46274</v>
      </c>
      <c r="C345" t="s">
        <v>1168</v>
      </c>
      <c r="D345" t="s">
        <v>28</v>
      </c>
      <c r="E345" t="s">
        <v>860</v>
      </c>
      <c r="F345" t="s">
        <v>950</v>
      </c>
      <c r="G345" t="s">
        <v>950</v>
      </c>
      <c r="H345" s="85">
        <v>100637379</v>
      </c>
      <c r="I345" s="36">
        <v>47252</v>
      </c>
      <c r="J345" s="46" t="s">
        <v>63</v>
      </c>
      <c r="K345" t="s">
        <v>1167</v>
      </c>
      <c r="L345" t="s">
        <v>861</v>
      </c>
      <c r="M345" s="105">
        <v>11160600</v>
      </c>
      <c r="N345" t="s">
        <v>57</v>
      </c>
      <c r="O345" t="e" vm="1">
        <f ca="1">SUBSTITUTE(_xlfn.TRANSLATE(BAHTTEXT(Table1[[#This Row],[Montant]]),"th","fr")," bahts"," francs CFA")</f>
        <v>#NAME?</v>
      </c>
      <c r="P345" t="s">
        <v>33</v>
      </c>
      <c r="Q345">
        <v>5822197</v>
      </c>
      <c r="R345" t="s">
        <v>337</v>
      </c>
    </row>
    <row r="346" spans="2:18" hidden="1" x14ac:dyDescent="0.35">
      <c r="B346" s="63">
        <v>46274</v>
      </c>
      <c r="C346" t="s">
        <v>1170</v>
      </c>
      <c r="D346" t="s">
        <v>28</v>
      </c>
      <c r="E346" t="s">
        <v>860</v>
      </c>
      <c r="F346" t="s">
        <v>166</v>
      </c>
      <c r="G346" t="s">
        <v>166</v>
      </c>
      <c r="H346" s="85">
        <v>1390715626</v>
      </c>
      <c r="I346" s="65" t="s">
        <v>163</v>
      </c>
      <c r="J346" s="67" t="s">
        <v>164</v>
      </c>
      <c r="K346" t="s">
        <v>1169</v>
      </c>
      <c r="L346" t="s">
        <v>861</v>
      </c>
      <c r="M346" s="105">
        <v>16108500</v>
      </c>
      <c r="N346" t="s">
        <v>57</v>
      </c>
      <c r="O346" t="e" vm="1">
        <f ca="1">SUBSTITUTE(_xlfn.TRANSLATE(BAHTTEXT(Table1[[#This Row],[Montant]]),"th","fr")," bahts"," francs CFA")</f>
        <v>#NAME?</v>
      </c>
      <c r="P346" t="s">
        <v>33</v>
      </c>
      <c r="Q346">
        <v>5822198</v>
      </c>
      <c r="R346" t="s">
        <v>337</v>
      </c>
    </row>
    <row r="347" spans="2:18" x14ac:dyDescent="0.35">
      <c r="B347" s="63">
        <v>46274</v>
      </c>
      <c r="C347" t="s">
        <v>1171</v>
      </c>
      <c r="D347" t="s">
        <v>28</v>
      </c>
      <c r="E347" t="s">
        <v>860</v>
      </c>
      <c r="F347" t="s">
        <v>986</v>
      </c>
      <c r="G347" t="s">
        <v>987</v>
      </c>
      <c r="H347" s="85">
        <v>20411113178625</v>
      </c>
      <c r="I347" s="36">
        <v>46585</v>
      </c>
      <c r="J347" s="46" t="s">
        <v>988</v>
      </c>
      <c r="K347" t="s">
        <v>1172</v>
      </c>
      <c r="L347" t="s">
        <v>861</v>
      </c>
      <c r="M347" s="105">
        <v>32816800</v>
      </c>
      <c r="N347" t="s">
        <v>57</v>
      </c>
      <c r="O347" t="e" vm="1">
        <f ca="1">SUBSTITUTE(_xlfn.TRANSLATE(BAHTTEXT(Table1[[#This Row],[Montant]]),"th","fr")," bahts"," francs CFA")</f>
        <v>#NAME?</v>
      </c>
      <c r="P347" t="s">
        <v>33</v>
      </c>
      <c r="Q347">
        <v>5822199</v>
      </c>
      <c r="R347" t="s">
        <v>337</v>
      </c>
    </row>
    <row r="348" spans="2:18" hidden="1" x14ac:dyDescent="0.35">
      <c r="B348" s="63">
        <v>46274</v>
      </c>
      <c r="C348" t="s">
        <v>1176</v>
      </c>
      <c r="D348" t="s">
        <v>28</v>
      </c>
      <c r="E348" t="s">
        <v>860</v>
      </c>
      <c r="F348" t="s">
        <v>1174</v>
      </c>
      <c r="G348" t="s">
        <v>1175</v>
      </c>
      <c r="H348" s="85">
        <v>100903092</v>
      </c>
      <c r="I348" s="36">
        <v>47976</v>
      </c>
      <c r="J348" s="46" t="s">
        <v>63</v>
      </c>
      <c r="K348" t="s">
        <v>1173</v>
      </c>
      <c r="L348" t="s">
        <v>861</v>
      </c>
      <c r="M348" s="105">
        <v>12487200</v>
      </c>
      <c r="N348" t="s">
        <v>57</v>
      </c>
      <c r="O348" t="e" vm="1">
        <f ca="1">SUBSTITUTE(_xlfn.TRANSLATE(BAHTTEXT(Table1[[#This Row],[Montant]]),"th","fr")," bahts"," francs CFA")</f>
        <v>#NAME?</v>
      </c>
      <c r="P348" t="s">
        <v>33</v>
      </c>
      <c r="Q348">
        <v>5822200</v>
      </c>
      <c r="R348" t="s">
        <v>337</v>
      </c>
    </row>
    <row r="349" spans="2:18" hidden="1" x14ac:dyDescent="0.35">
      <c r="B349" s="63">
        <v>46274</v>
      </c>
      <c r="C349" t="s">
        <v>1178</v>
      </c>
      <c r="D349" t="s">
        <v>28</v>
      </c>
      <c r="E349" t="s">
        <v>860</v>
      </c>
      <c r="F349" t="s">
        <v>1133</v>
      </c>
      <c r="G349" t="s">
        <v>1134</v>
      </c>
      <c r="H349" s="85">
        <v>20734524379725</v>
      </c>
      <c r="I349" s="36">
        <v>46632</v>
      </c>
      <c r="J349" s="46" t="s">
        <v>1135</v>
      </c>
      <c r="K349" t="s">
        <v>1177</v>
      </c>
      <c r="L349" t="s">
        <v>861</v>
      </c>
      <c r="M349" s="105">
        <v>16211200</v>
      </c>
      <c r="N349" t="s">
        <v>57</v>
      </c>
      <c r="O349" t="e" vm="1">
        <f ca="1">SUBSTITUTE(_xlfn.TRANSLATE(BAHTTEXT(Table1[[#This Row],[Montant]]),"th","fr")," bahts"," francs CFA")</f>
        <v>#NAME?</v>
      </c>
      <c r="P349" t="s">
        <v>33</v>
      </c>
      <c r="Q349">
        <v>5862901</v>
      </c>
      <c r="R349" t="s">
        <v>337</v>
      </c>
    </row>
    <row r="350" spans="2:18" hidden="1" x14ac:dyDescent="0.35">
      <c r="B350" s="63">
        <v>46274</v>
      </c>
      <c r="C350" t="s">
        <v>1180</v>
      </c>
      <c r="D350" t="s">
        <v>28</v>
      </c>
      <c r="E350" t="s">
        <v>860</v>
      </c>
      <c r="F350" t="s">
        <v>1047</v>
      </c>
      <c r="G350" t="s">
        <v>1048</v>
      </c>
      <c r="H350" s="85">
        <v>100423179</v>
      </c>
      <c r="I350" s="36">
        <v>46855</v>
      </c>
      <c r="J350" s="46" t="s">
        <v>63</v>
      </c>
      <c r="K350" t="s">
        <v>1179</v>
      </c>
      <c r="L350" t="s">
        <v>861</v>
      </c>
      <c r="M350" s="105">
        <v>15180000</v>
      </c>
      <c r="N350" t="s">
        <v>57</v>
      </c>
      <c r="O350" t="e" vm="1">
        <f ca="1">SUBSTITUTE(_xlfn.TRANSLATE(BAHTTEXT(Table1[[#This Row],[Montant]]),"th","fr")," bahts"," francs CFA")</f>
        <v>#NAME?</v>
      </c>
      <c r="P350" t="s">
        <v>33</v>
      </c>
      <c r="Q350">
        <v>5862902</v>
      </c>
      <c r="R350" t="s">
        <v>337</v>
      </c>
    </row>
    <row r="351" spans="2:18" hidden="1" x14ac:dyDescent="0.35">
      <c r="B351" s="63">
        <v>46274</v>
      </c>
      <c r="C351" t="s">
        <v>1182</v>
      </c>
      <c r="D351" t="s">
        <v>28</v>
      </c>
      <c r="E351" t="s">
        <v>860</v>
      </c>
      <c r="F351" t="s">
        <v>965</v>
      </c>
      <c r="G351" t="s">
        <v>971</v>
      </c>
      <c r="H351" s="85" t="s">
        <v>63</v>
      </c>
      <c r="I351" t="s">
        <v>966</v>
      </c>
      <c r="J351" s="46" t="s">
        <v>967</v>
      </c>
      <c r="K351" t="s">
        <v>1181</v>
      </c>
      <c r="L351" t="s">
        <v>861</v>
      </c>
      <c r="M351" s="105">
        <v>7908000</v>
      </c>
      <c r="N351" t="s">
        <v>57</v>
      </c>
      <c r="O351" t="e" vm="1">
        <f ca="1">SUBSTITUTE(_xlfn.TRANSLATE(BAHTTEXT(Table1[[#This Row],[Montant]]),"th","fr")," bahts"," francs CFA")</f>
        <v>#NAME?</v>
      </c>
      <c r="P351" t="s">
        <v>33</v>
      </c>
      <c r="Q351">
        <v>5862903</v>
      </c>
      <c r="R351" t="s">
        <v>337</v>
      </c>
    </row>
    <row r="352" spans="2:18" hidden="1" x14ac:dyDescent="0.35">
      <c r="B352" s="63">
        <v>46274</v>
      </c>
      <c r="C352" t="s">
        <v>1183</v>
      </c>
      <c r="D352" t="s">
        <v>82</v>
      </c>
      <c r="E352" t="s">
        <v>175</v>
      </c>
      <c r="F352" t="s">
        <v>176</v>
      </c>
      <c r="G352" t="s">
        <v>177</v>
      </c>
      <c r="H352" s="85">
        <v>100109961</v>
      </c>
      <c r="I352" s="36">
        <v>46420</v>
      </c>
      <c r="J352" s="46" t="s">
        <v>63</v>
      </c>
      <c r="K352" t="s">
        <v>63</v>
      </c>
      <c r="L352" t="s">
        <v>178</v>
      </c>
      <c r="M352" s="52">
        <v>10000000</v>
      </c>
      <c r="N352" t="s">
        <v>57</v>
      </c>
      <c r="O352" t="s">
        <v>187</v>
      </c>
      <c r="P352" t="s">
        <v>33</v>
      </c>
      <c r="Q352">
        <v>5862904</v>
      </c>
      <c r="R352" t="s">
        <v>337</v>
      </c>
    </row>
    <row r="353" spans="2:18" hidden="1" x14ac:dyDescent="0.35">
      <c r="B353" s="63">
        <v>46275</v>
      </c>
      <c r="C353" t="s">
        <v>1185</v>
      </c>
      <c r="D353" t="s">
        <v>28</v>
      </c>
      <c r="E353" t="s">
        <v>860</v>
      </c>
      <c r="F353" t="s">
        <v>937</v>
      </c>
      <c r="G353" t="s">
        <v>937</v>
      </c>
      <c r="H353" s="85">
        <v>20468091846526</v>
      </c>
      <c r="I353" s="36">
        <v>47930</v>
      </c>
      <c r="J353" s="46" t="s">
        <v>940</v>
      </c>
      <c r="K353" t="s">
        <v>1184</v>
      </c>
      <c r="L353" t="s">
        <v>861</v>
      </c>
      <c r="M353" s="105">
        <v>14038100</v>
      </c>
      <c r="N353" t="s">
        <v>47</v>
      </c>
      <c r="O353" t="e" vm="1">
        <f ca="1">SUBSTITUTE(_xlfn.TRANSLATE(BAHTTEXT(Table1[[#This Row],[Montant]]),"th","fr")," bahts"," francs CFA")</f>
        <v>#NAME?</v>
      </c>
      <c r="P353" t="s">
        <v>33</v>
      </c>
      <c r="Q353">
        <v>2000662</v>
      </c>
      <c r="R353" t="s">
        <v>32</v>
      </c>
    </row>
    <row r="354" spans="2:18" hidden="1" x14ac:dyDescent="0.35">
      <c r="B354" s="63">
        <v>46275</v>
      </c>
      <c r="C354" t="s">
        <v>1187</v>
      </c>
      <c r="D354" t="s">
        <v>28</v>
      </c>
      <c r="E354" t="s">
        <v>860</v>
      </c>
      <c r="F354" t="s">
        <v>998</v>
      </c>
      <c r="G354" t="s">
        <v>998</v>
      </c>
      <c r="H354" s="85">
        <v>100195299</v>
      </c>
      <c r="I354" s="36">
        <v>46630</v>
      </c>
      <c r="J354" s="46" t="s">
        <v>63</v>
      </c>
      <c r="K354" t="s">
        <v>1186</v>
      </c>
      <c r="L354" t="s">
        <v>861</v>
      </c>
      <c r="M354" s="105">
        <v>13946000</v>
      </c>
      <c r="N354" t="s">
        <v>47</v>
      </c>
      <c r="O354" t="e" vm="1">
        <f ca="1">SUBSTITUTE(_xlfn.TRANSLATE(BAHTTEXT(Table1[[#This Row],[Montant]]),"th","fr")," bahts"," francs CFA")</f>
        <v>#NAME?</v>
      </c>
      <c r="P354" t="s">
        <v>33</v>
      </c>
      <c r="Q354">
        <v>2000663</v>
      </c>
      <c r="R354" t="s">
        <v>32</v>
      </c>
    </row>
    <row r="355" spans="2:18" hidden="1" x14ac:dyDescent="0.35">
      <c r="B355" s="63">
        <v>46275</v>
      </c>
      <c r="C355" t="s">
        <v>1189</v>
      </c>
      <c r="D355" t="s">
        <v>51</v>
      </c>
      <c r="E355" t="s">
        <v>51</v>
      </c>
      <c r="F355" t="s">
        <v>181</v>
      </c>
      <c r="G355" t="s">
        <v>185</v>
      </c>
      <c r="H355" s="85">
        <v>7767232054</v>
      </c>
      <c r="I355" s="36">
        <v>47794</v>
      </c>
      <c r="J355" s="46" t="s">
        <v>63</v>
      </c>
      <c r="K355" t="s">
        <v>1188</v>
      </c>
      <c r="L355" t="s">
        <v>807</v>
      </c>
      <c r="M355" s="52">
        <v>1180938</v>
      </c>
      <c r="N355" t="s">
        <v>57</v>
      </c>
      <c r="O355" t="s">
        <v>810</v>
      </c>
      <c r="P355" t="s">
        <v>33</v>
      </c>
      <c r="Q355">
        <v>2000664</v>
      </c>
      <c r="R355" t="s">
        <v>32</v>
      </c>
    </row>
    <row r="356" spans="2:18" hidden="1" x14ac:dyDescent="0.35">
      <c r="B356" s="63">
        <v>46275</v>
      </c>
      <c r="C356" t="s">
        <v>1192</v>
      </c>
      <c r="D356" t="s">
        <v>28</v>
      </c>
      <c r="E356" t="s">
        <v>860</v>
      </c>
      <c r="F356" t="s">
        <v>882</v>
      </c>
      <c r="G356" t="s">
        <v>880</v>
      </c>
      <c r="H356" s="85">
        <v>209735867</v>
      </c>
      <c r="I356" s="36">
        <v>46335</v>
      </c>
      <c r="J356" s="46" t="s">
        <v>63</v>
      </c>
      <c r="K356" t="s">
        <v>1190</v>
      </c>
      <c r="L356" t="s">
        <v>861</v>
      </c>
      <c r="M356" s="105">
        <v>16755200</v>
      </c>
      <c r="N356" t="s">
        <v>57</v>
      </c>
      <c r="O356" t="s">
        <v>1191</v>
      </c>
      <c r="P356" t="s">
        <v>33</v>
      </c>
      <c r="Q356">
        <v>2000665</v>
      </c>
      <c r="R356" t="s">
        <v>32</v>
      </c>
    </row>
    <row r="357" spans="2:18" hidden="1" x14ac:dyDescent="0.35">
      <c r="B357" s="63">
        <v>46275</v>
      </c>
      <c r="C357" t="s">
        <v>1196</v>
      </c>
      <c r="D357" t="s">
        <v>28</v>
      </c>
      <c r="E357" t="s">
        <v>860</v>
      </c>
      <c r="F357" t="s">
        <v>1195</v>
      </c>
      <c r="G357" t="s">
        <v>1195</v>
      </c>
      <c r="H357" s="85">
        <v>20919625372025</v>
      </c>
      <c r="I357" s="36">
        <v>46548</v>
      </c>
      <c r="J357" s="46" t="s">
        <v>1349</v>
      </c>
      <c r="K357" t="s">
        <v>1193</v>
      </c>
      <c r="L357" t="s">
        <v>861</v>
      </c>
      <c r="M357" s="105">
        <v>10720000</v>
      </c>
      <c r="N357" t="s">
        <v>57</v>
      </c>
      <c r="O357" t="s">
        <v>1194</v>
      </c>
      <c r="P357" t="s">
        <v>33</v>
      </c>
      <c r="Q357">
        <v>2000666</v>
      </c>
      <c r="R357" t="s">
        <v>32</v>
      </c>
    </row>
    <row r="358" spans="2:18" hidden="1" x14ac:dyDescent="0.35">
      <c r="B358" s="63">
        <v>46275</v>
      </c>
      <c r="C358" t="s">
        <v>1198</v>
      </c>
      <c r="D358" t="s">
        <v>28</v>
      </c>
      <c r="E358" t="s">
        <v>860</v>
      </c>
      <c r="F358" t="s">
        <v>46</v>
      </c>
      <c r="G358" t="s">
        <v>46</v>
      </c>
      <c r="H358" s="85">
        <v>1115119742</v>
      </c>
      <c r="I358" s="36">
        <v>46622</v>
      </c>
      <c r="J358" s="46" t="s">
        <v>48</v>
      </c>
      <c r="K358" t="s">
        <v>1197</v>
      </c>
      <c r="L358" t="s">
        <v>861</v>
      </c>
      <c r="M358" s="104">
        <v>5000000</v>
      </c>
      <c r="N358" t="s">
        <v>47</v>
      </c>
      <c r="O358" t="s">
        <v>179</v>
      </c>
      <c r="P358" t="s">
        <v>33</v>
      </c>
      <c r="Q358">
        <v>2000667</v>
      </c>
      <c r="R358" t="s">
        <v>32</v>
      </c>
    </row>
    <row r="359" spans="2:18" hidden="1" x14ac:dyDescent="0.35">
      <c r="B359" s="63">
        <v>46275</v>
      </c>
      <c r="C359" t="s">
        <v>1201</v>
      </c>
      <c r="D359" t="s">
        <v>28</v>
      </c>
      <c r="E359" t="s">
        <v>860</v>
      </c>
      <c r="F359" t="s">
        <v>1202</v>
      </c>
      <c r="G359" t="s">
        <v>1203</v>
      </c>
      <c r="H359" s="85">
        <v>20125617553325</v>
      </c>
      <c r="I359" s="36">
        <v>47815</v>
      </c>
      <c r="J359" s="46" t="s">
        <v>1204</v>
      </c>
      <c r="K359" t="s">
        <v>1199</v>
      </c>
      <c r="L359" t="s">
        <v>861</v>
      </c>
      <c r="M359" s="104">
        <v>19409900</v>
      </c>
      <c r="N359" t="s">
        <v>57</v>
      </c>
      <c r="O359" t="s">
        <v>1200</v>
      </c>
      <c r="P359" t="s">
        <v>33</v>
      </c>
      <c r="Q359">
        <v>2000668</v>
      </c>
      <c r="R359" t="s">
        <v>32</v>
      </c>
    </row>
    <row r="360" spans="2:18" hidden="1" x14ac:dyDescent="0.35">
      <c r="B360" s="63">
        <v>46275</v>
      </c>
      <c r="C360" t="s">
        <v>1207</v>
      </c>
      <c r="D360" t="s">
        <v>51</v>
      </c>
      <c r="E360" t="s">
        <v>51</v>
      </c>
      <c r="F360" t="s">
        <v>352</v>
      </c>
      <c r="G360" t="s">
        <v>1206</v>
      </c>
      <c r="H360" s="85" t="s">
        <v>63</v>
      </c>
      <c r="I360" t="s">
        <v>63</v>
      </c>
      <c r="J360" s="46" t="s">
        <v>63</v>
      </c>
      <c r="K360" t="s">
        <v>63</v>
      </c>
      <c r="L360" t="s">
        <v>1205</v>
      </c>
      <c r="M360" s="52">
        <v>7000000</v>
      </c>
      <c r="N360" t="s">
        <v>57</v>
      </c>
      <c r="O360" t="s">
        <v>458</v>
      </c>
      <c r="P360" t="s">
        <v>33</v>
      </c>
      <c r="Q360">
        <v>5862905</v>
      </c>
      <c r="R360" t="s">
        <v>337</v>
      </c>
    </row>
    <row r="361" spans="2:18" hidden="1" x14ac:dyDescent="0.35">
      <c r="B361" s="63">
        <v>46276</v>
      </c>
      <c r="C361" t="s">
        <v>1217</v>
      </c>
      <c r="D361" t="s">
        <v>51</v>
      </c>
      <c r="E361" t="s">
        <v>285</v>
      </c>
      <c r="F361" t="s">
        <v>287</v>
      </c>
      <c r="G361" t="s">
        <v>287</v>
      </c>
      <c r="H361" s="85" t="s">
        <v>63</v>
      </c>
      <c r="I361" t="s">
        <v>63</v>
      </c>
      <c r="J361" s="46" t="s">
        <v>63</v>
      </c>
      <c r="K361" t="s">
        <v>63</v>
      </c>
      <c r="L361" t="s">
        <v>1214</v>
      </c>
      <c r="M361" s="52">
        <v>26410425</v>
      </c>
      <c r="N361" t="s">
        <v>57</v>
      </c>
      <c r="O361" t="e" vm="1">
        <f ca="1">SUBSTITUTE(_xlfn.TRANSLATE(BAHTTEXT(Table1[[#This Row],[Montant]]),"th","fr")," bahts"," francs CFA")</f>
        <v>#NAME?</v>
      </c>
      <c r="P361" t="s">
        <v>33</v>
      </c>
      <c r="Q361">
        <v>5862906</v>
      </c>
      <c r="R361" t="s">
        <v>337</v>
      </c>
    </row>
    <row r="362" spans="2:18" hidden="1" x14ac:dyDescent="0.35">
      <c r="B362" s="63">
        <v>46276</v>
      </c>
      <c r="C362" t="s">
        <v>1218</v>
      </c>
      <c r="D362" t="s">
        <v>51</v>
      </c>
      <c r="E362" t="s">
        <v>1069</v>
      </c>
      <c r="F362" t="s">
        <v>286</v>
      </c>
      <c r="G362" t="s">
        <v>286</v>
      </c>
      <c r="H362" s="85" t="s">
        <v>63</v>
      </c>
      <c r="I362" t="s">
        <v>63</v>
      </c>
      <c r="J362" s="46" t="s">
        <v>63</v>
      </c>
      <c r="K362" t="s">
        <v>63</v>
      </c>
      <c r="L362" t="s">
        <v>1215</v>
      </c>
      <c r="M362" s="52">
        <v>1535050</v>
      </c>
      <c r="N362" t="s">
        <v>57</v>
      </c>
      <c r="O362" t="e" vm="1">
        <f ca="1">SUBSTITUTE(_xlfn.TRANSLATE(BAHTTEXT(Table1[[#This Row],[Montant]]),"th","fr")," bahts"," francs CFA")</f>
        <v>#NAME?</v>
      </c>
      <c r="P362" t="s">
        <v>33</v>
      </c>
      <c r="Q362">
        <v>5862907</v>
      </c>
      <c r="R362" t="s">
        <v>337</v>
      </c>
    </row>
    <row r="363" spans="2:18" s="80" customFormat="1" hidden="1" x14ac:dyDescent="0.35">
      <c r="B363" s="79">
        <v>46276</v>
      </c>
      <c r="C363" s="80" t="s">
        <v>1219</v>
      </c>
      <c r="D363" s="80" t="s">
        <v>51</v>
      </c>
      <c r="E363" s="80" t="s">
        <v>291</v>
      </c>
      <c r="F363" s="80" t="s">
        <v>286</v>
      </c>
      <c r="G363" s="80" t="s">
        <v>286</v>
      </c>
      <c r="H363" s="87" t="s">
        <v>63</v>
      </c>
      <c r="I363" s="80" t="s">
        <v>63</v>
      </c>
      <c r="J363" s="81" t="s">
        <v>63</v>
      </c>
      <c r="K363" s="80" t="s">
        <v>63</v>
      </c>
      <c r="L363" s="80" t="s">
        <v>1216</v>
      </c>
      <c r="M363" s="82">
        <v>3630000</v>
      </c>
      <c r="N363" s="80" t="s">
        <v>57</v>
      </c>
      <c r="O363" s="80" t="e" vm="1">
        <f ca="1">SUBSTITUTE(_xlfn.TRANSLATE(BAHTTEXT(Table1[[#This Row],[Montant]]),"th","fr")," bahts"," francs CFA")</f>
        <v>#NAME?</v>
      </c>
      <c r="P363" s="80" t="s">
        <v>33</v>
      </c>
      <c r="Q363" s="80">
        <v>5862908</v>
      </c>
      <c r="R363" s="80" t="s">
        <v>337</v>
      </c>
    </row>
    <row r="364" spans="2:18" hidden="1" x14ac:dyDescent="0.35">
      <c r="B364" s="63">
        <v>46279</v>
      </c>
      <c r="C364" t="s">
        <v>1221</v>
      </c>
      <c r="D364" t="s">
        <v>28</v>
      </c>
      <c r="E364" t="s">
        <v>860</v>
      </c>
      <c r="F364" t="s">
        <v>1222</v>
      </c>
      <c r="G364" t="s">
        <v>1222</v>
      </c>
      <c r="H364" s="85">
        <v>100630080</v>
      </c>
      <c r="I364" s="36">
        <v>47230</v>
      </c>
      <c r="J364" s="46" t="s">
        <v>63</v>
      </c>
      <c r="K364" t="s">
        <v>1220</v>
      </c>
      <c r="L364" t="s">
        <v>861</v>
      </c>
      <c r="M364" s="104">
        <v>16463940</v>
      </c>
      <c r="N364" t="s">
        <v>57</v>
      </c>
      <c r="O364" t="e" vm="1">
        <f ca="1">SUBSTITUTE(_xlfn.TRANSLATE(BAHTTEXT(Table1[[#This Row],[Montant]]),"th","fr")," bahts"," francs CFA")</f>
        <v>#NAME?</v>
      </c>
      <c r="P364" t="s">
        <v>33</v>
      </c>
      <c r="Q364">
        <v>2000670</v>
      </c>
      <c r="R364" t="s">
        <v>32</v>
      </c>
    </row>
    <row r="365" spans="2:18" hidden="1" x14ac:dyDescent="0.35">
      <c r="B365" s="63">
        <v>46279</v>
      </c>
      <c r="C365" t="s">
        <v>1224</v>
      </c>
      <c r="D365" t="s">
        <v>28</v>
      </c>
      <c r="E365" t="s">
        <v>860</v>
      </c>
      <c r="F365" t="s">
        <v>937</v>
      </c>
      <c r="G365" t="s">
        <v>937</v>
      </c>
      <c r="H365" s="85">
        <v>20468091846526</v>
      </c>
      <c r="I365" s="36">
        <v>47930</v>
      </c>
      <c r="J365" s="46" t="s">
        <v>940</v>
      </c>
      <c r="K365" t="s">
        <v>1223</v>
      </c>
      <c r="L365" t="s">
        <v>861</v>
      </c>
      <c r="M365" s="104">
        <v>13961200</v>
      </c>
      <c r="N365" t="s">
        <v>57</v>
      </c>
      <c r="O365" t="e" vm="1">
        <f ca="1">SUBSTITUTE(_xlfn.TRANSLATE(BAHTTEXT(Table1[[#This Row],[Montant]]),"th","fr")," bahts"," francs CFA")</f>
        <v>#NAME?</v>
      </c>
      <c r="P365" t="s">
        <v>33</v>
      </c>
      <c r="Q365">
        <v>2000672</v>
      </c>
      <c r="R365" t="s">
        <v>32</v>
      </c>
    </row>
    <row r="366" spans="2:18" hidden="1" x14ac:dyDescent="0.35">
      <c r="B366" s="63">
        <v>46279</v>
      </c>
      <c r="C366" t="s">
        <v>1228</v>
      </c>
      <c r="D366" t="s">
        <v>28</v>
      </c>
      <c r="E366" t="s">
        <v>860</v>
      </c>
      <c r="F366" t="s">
        <v>1226</v>
      </c>
      <c r="G366" t="s">
        <v>1226</v>
      </c>
      <c r="H366" s="85" t="s">
        <v>1227</v>
      </c>
      <c r="I366" s="36">
        <v>46770</v>
      </c>
      <c r="J366" s="46" t="s">
        <v>63</v>
      </c>
      <c r="K366" t="s">
        <v>1225</v>
      </c>
      <c r="L366" t="s">
        <v>861</v>
      </c>
      <c r="M366" s="104">
        <v>13004700</v>
      </c>
      <c r="N366" t="s">
        <v>57</v>
      </c>
      <c r="O366" t="e" vm="1">
        <f ca="1">SUBSTITUTE(_xlfn.TRANSLATE(BAHTTEXT(Table1[[#This Row],[Montant]]),"th","fr")," bahts"," francs CFA")</f>
        <v>#NAME?</v>
      </c>
      <c r="P366" t="s">
        <v>33</v>
      </c>
      <c r="Q366">
        <v>2000671</v>
      </c>
      <c r="R366" t="s">
        <v>32</v>
      </c>
    </row>
    <row r="367" spans="2:18" hidden="1" x14ac:dyDescent="0.35">
      <c r="B367" s="63">
        <v>46279</v>
      </c>
      <c r="C367" t="s">
        <v>1229</v>
      </c>
      <c r="D367" t="s">
        <v>28</v>
      </c>
      <c r="E367" t="s">
        <v>860</v>
      </c>
      <c r="F367" t="s">
        <v>998</v>
      </c>
      <c r="G367" t="s">
        <v>998</v>
      </c>
      <c r="H367" s="85">
        <v>100195299</v>
      </c>
      <c r="I367" s="36">
        <v>46630</v>
      </c>
      <c r="J367" s="46" t="s">
        <v>63</v>
      </c>
      <c r="K367" t="s">
        <v>1186</v>
      </c>
      <c r="L367" t="s">
        <v>861</v>
      </c>
      <c r="M367" s="104">
        <v>2000000</v>
      </c>
      <c r="N367" t="s">
        <v>57</v>
      </c>
      <c r="O367" t="e" vm="1">
        <f ca="1">SUBSTITUTE(_xlfn.TRANSLATE(BAHTTEXT(Table1[[#This Row],[Montant]]),"th","fr")," bahts"," francs CFA")</f>
        <v>#NAME?</v>
      </c>
      <c r="P367" t="s">
        <v>33</v>
      </c>
      <c r="Q367">
        <v>2000674</v>
      </c>
      <c r="R367" t="s">
        <v>32</v>
      </c>
    </row>
    <row r="368" spans="2:18" hidden="1" x14ac:dyDescent="0.35">
      <c r="B368" s="63">
        <v>46279</v>
      </c>
      <c r="C368" t="s">
        <v>1232</v>
      </c>
      <c r="D368" t="s">
        <v>28</v>
      </c>
      <c r="E368" t="s">
        <v>860</v>
      </c>
      <c r="F368" t="s">
        <v>46</v>
      </c>
      <c r="G368" t="s">
        <v>46</v>
      </c>
      <c r="H368" s="85">
        <v>1115119742</v>
      </c>
      <c r="I368" s="36">
        <v>46622</v>
      </c>
      <c r="J368" s="46" t="s">
        <v>48</v>
      </c>
      <c r="K368" t="s">
        <v>1230</v>
      </c>
      <c r="L368" t="s">
        <v>861</v>
      </c>
      <c r="M368" s="104">
        <v>17164400</v>
      </c>
      <c r="N368" t="s">
        <v>47</v>
      </c>
      <c r="O368" t="e" vm="1">
        <f ca="1">SUBSTITUTE(_xlfn.TRANSLATE(BAHTTEXT(Table1[[#This Row],[Montant]]),"th","fr")," bahts"," francs CFA")</f>
        <v>#NAME?</v>
      </c>
      <c r="P368" t="s">
        <v>33</v>
      </c>
      <c r="Q368">
        <v>2000673</v>
      </c>
      <c r="R368" t="s">
        <v>32</v>
      </c>
    </row>
    <row r="369" spans="2:18" x14ac:dyDescent="0.35">
      <c r="B369" s="63">
        <v>46279</v>
      </c>
      <c r="C369" t="s">
        <v>1233</v>
      </c>
      <c r="D369" t="s">
        <v>28</v>
      </c>
      <c r="E369" t="s">
        <v>860</v>
      </c>
      <c r="F369" t="s">
        <v>986</v>
      </c>
      <c r="G369" t="s">
        <v>987</v>
      </c>
      <c r="H369" s="85">
        <v>20411113178625</v>
      </c>
      <c r="I369" s="36">
        <v>46585</v>
      </c>
      <c r="J369" s="46" t="s">
        <v>988</v>
      </c>
      <c r="K369" t="s">
        <v>1234</v>
      </c>
      <c r="L369" t="s">
        <v>861</v>
      </c>
      <c r="M369" s="104">
        <v>46675200</v>
      </c>
      <c r="N369" t="s">
        <v>57</v>
      </c>
      <c r="O369" t="e" vm="1">
        <f ca="1">SUBSTITUTE(_xlfn.TRANSLATE(BAHTTEXT(Table1[[#This Row],[Montant]]),"th","fr")," bahts"," francs CFA")</f>
        <v>#NAME?</v>
      </c>
      <c r="P369" t="s">
        <v>33</v>
      </c>
      <c r="Q369">
        <v>2000675</v>
      </c>
      <c r="R369" t="s">
        <v>32</v>
      </c>
    </row>
    <row r="370" spans="2:18" hidden="1" x14ac:dyDescent="0.35">
      <c r="B370" s="63">
        <v>46279</v>
      </c>
      <c r="C370" t="s">
        <v>1235</v>
      </c>
      <c r="D370" t="s">
        <v>28</v>
      </c>
      <c r="E370" t="s">
        <v>860</v>
      </c>
      <c r="F370" t="s">
        <v>890</v>
      </c>
      <c r="G370" t="s">
        <v>891</v>
      </c>
      <c r="H370" s="85">
        <v>20435764679125</v>
      </c>
      <c r="I370" s="36">
        <v>46685</v>
      </c>
      <c r="J370" s="46" t="s">
        <v>892</v>
      </c>
      <c r="K370" t="s">
        <v>1236</v>
      </c>
      <c r="L370" t="s">
        <v>861</v>
      </c>
      <c r="M370" s="104">
        <v>13711600</v>
      </c>
      <c r="N370" t="s">
        <v>57</v>
      </c>
      <c r="O370" t="e" vm="1">
        <f ca="1">SUBSTITUTE(_xlfn.TRANSLATE(BAHTTEXT(Table1[[#This Row],[Montant]]),"th","fr")," bahts"," francs CFA")</f>
        <v>#NAME?</v>
      </c>
      <c r="P370" t="s">
        <v>33</v>
      </c>
      <c r="Q370">
        <v>2000676</v>
      </c>
      <c r="R370" t="s">
        <v>32</v>
      </c>
    </row>
    <row r="371" spans="2:18" hidden="1" x14ac:dyDescent="0.35">
      <c r="B371" s="63">
        <v>46279</v>
      </c>
      <c r="C371" t="s">
        <v>1237</v>
      </c>
      <c r="D371" t="s">
        <v>28</v>
      </c>
      <c r="E371" t="s">
        <v>860</v>
      </c>
      <c r="F371" t="s">
        <v>1239</v>
      </c>
      <c r="G371" t="s">
        <v>1239</v>
      </c>
      <c r="H371" s="85">
        <v>100404882</v>
      </c>
      <c r="I371" s="36">
        <v>46848</v>
      </c>
      <c r="J371" s="46" t="s">
        <v>63</v>
      </c>
      <c r="K371" t="s">
        <v>1238</v>
      </c>
      <c r="L371" t="s">
        <v>861</v>
      </c>
      <c r="M371" s="104">
        <v>15424720</v>
      </c>
      <c r="N371" t="s">
        <v>57</v>
      </c>
      <c r="O371" t="e" vm="1">
        <f ca="1">SUBSTITUTE(_xlfn.TRANSLATE(BAHTTEXT(Table1[[#This Row],[Montant]]),"th","fr")," bahts"," francs CFA")</f>
        <v>#NAME?</v>
      </c>
      <c r="P371" t="s">
        <v>33</v>
      </c>
      <c r="Q371">
        <v>2000677</v>
      </c>
      <c r="R371" t="s">
        <v>32</v>
      </c>
    </row>
    <row r="372" spans="2:18" hidden="1" x14ac:dyDescent="0.35">
      <c r="B372" s="63">
        <v>46279</v>
      </c>
      <c r="C372" t="s">
        <v>1240</v>
      </c>
      <c r="D372" t="s">
        <v>28</v>
      </c>
      <c r="E372" t="s">
        <v>860</v>
      </c>
      <c r="F372" t="s">
        <v>948</v>
      </c>
      <c r="G372" t="s">
        <v>948</v>
      </c>
      <c r="H372" s="85">
        <v>100558086</v>
      </c>
      <c r="I372" s="36">
        <v>47043</v>
      </c>
      <c r="J372" s="46" t="s">
        <v>63</v>
      </c>
      <c r="K372" t="s">
        <v>1241</v>
      </c>
      <c r="L372" t="s">
        <v>861</v>
      </c>
      <c r="M372" s="104">
        <v>12827160</v>
      </c>
      <c r="N372" t="s">
        <v>57</v>
      </c>
      <c r="O372" t="e" vm="1">
        <f ca="1">SUBSTITUTE(_xlfn.TRANSLATE(BAHTTEXT(Table1[[#This Row],[Montant]]),"th","fr")," bahts"," francs CFA")</f>
        <v>#NAME?</v>
      </c>
      <c r="P372" t="s">
        <v>33</v>
      </c>
      <c r="Q372">
        <v>2000678</v>
      </c>
      <c r="R372" t="s">
        <v>32</v>
      </c>
    </row>
    <row r="373" spans="2:18" hidden="1" x14ac:dyDescent="0.35">
      <c r="B373" s="63">
        <v>46279</v>
      </c>
      <c r="C373" t="s">
        <v>1242</v>
      </c>
      <c r="D373" t="s">
        <v>28</v>
      </c>
      <c r="E373" t="s">
        <v>860</v>
      </c>
      <c r="F373" t="s">
        <v>1133</v>
      </c>
      <c r="G373" t="s">
        <v>1134</v>
      </c>
      <c r="H373" s="85">
        <v>20734524379725</v>
      </c>
      <c r="I373" s="36">
        <v>46632</v>
      </c>
      <c r="J373" s="46" t="s">
        <v>1135</v>
      </c>
      <c r="K373" t="s">
        <v>1243</v>
      </c>
      <c r="L373" t="s">
        <v>861</v>
      </c>
      <c r="M373" s="104">
        <v>17379800</v>
      </c>
      <c r="N373" t="s">
        <v>57</v>
      </c>
      <c r="O373" t="s">
        <v>1244</v>
      </c>
      <c r="P373" t="s">
        <v>33</v>
      </c>
      <c r="Q373">
        <v>2000679</v>
      </c>
      <c r="R373" t="s">
        <v>32</v>
      </c>
    </row>
    <row r="374" spans="2:18" hidden="1" x14ac:dyDescent="0.35">
      <c r="B374" s="63">
        <v>46279</v>
      </c>
      <c r="C374" t="s">
        <v>1245</v>
      </c>
      <c r="D374" t="s">
        <v>28</v>
      </c>
      <c r="E374" t="s">
        <v>860</v>
      </c>
      <c r="F374" t="s">
        <v>1246</v>
      </c>
      <c r="G374" t="s">
        <v>1247</v>
      </c>
      <c r="H374" s="85">
        <v>100866122</v>
      </c>
      <c r="I374" s="36">
        <v>47903</v>
      </c>
      <c r="J374" s="46" t="s">
        <v>63</v>
      </c>
      <c r="K374" t="s">
        <v>1248</v>
      </c>
      <c r="L374" t="s">
        <v>861</v>
      </c>
      <c r="M374" s="104">
        <v>12240900</v>
      </c>
      <c r="N374" t="s">
        <v>57</v>
      </c>
      <c r="O374" t="e" vm="1">
        <f ca="1">SUBSTITUTE(_xlfn.TRANSLATE(BAHTTEXT(Table1[[#This Row],[Montant]]),"th","fr")," bahts"," francs CFA")</f>
        <v>#NAME?</v>
      </c>
      <c r="P374" t="s">
        <v>33</v>
      </c>
      <c r="Q374">
        <v>2000680</v>
      </c>
      <c r="R374" t="s">
        <v>32</v>
      </c>
    </row>
    <row r="375" spans="2:18" hidden="1" x14ac:dyDescent="0.35">
      <c r="B375" s="63">
        <v>46279</v>
      </c>
      <c r="C375" t="s">
        <v>1249</v>
      </c>
      <c r="D375" t="s">
        <v>28</v>
      </c>
      <c r="E375" t="s">
        <v>860</v>
      </c>
      <c r="F375" s="108" t="s">
        <v>61</v>
      </c>
      <c r="G375" t="s">
        <v>1130</v>
      </c>
      <c r="H375" s="85">
        <v>20228625677224</v>
      </c>
      <c r="I375" s="36">
        <v>46384</v>
      </c>
      <c r="J375" s="46" t="s">
        <v>1136</v>
      </c>
      <c r="K375" t="s">
        <v>1250</v>
      </c>
      <c r="L375" t="s">
        <v>861</v>
      </c>
      <c r="M375" s="104">
        <v>15075000</v>
      </c>
      <c r="N375" t="s">
        <v>57</v>
      </c>
      <c r="O375" t="e" vm="1">
        <f ca="1">SUBSTITUTE(_xlfn.TRANSLATE(BAHTTEXT(Table1[[#This Row],[Montant]]),"th","fr")," bahts"," francs CFA")</f>
        <v>#NAME?</v>
      </c>
      <c r="P375" t="s">
        <v>33</v>
      </c>
      <c r="Q375">
        <v>2000681</v>
      </c>
      <c r="R375" t="s">
        <v>32</v>
      </c>
    </row>
    <row r="376" spans="2:18" hidden="1" x14ac:dyDescent="0.35">
      <c r="B376" s="63">
        <v>46279</v>
      </c>
      <c r="C376" t="s">
        <v>1251</v>
      </c>
      <c r="D376" t="s">
        <v>28</v>
      </c>
      <c r="E376" t="s">
        <v>860</v>
      </c>
      <c r="F376" t="s">
        <v>166</v>
      </c>
      <c r="G376" t="s">
        <v>166</v>
      </c>
      <c r="H376" s="85">
        <v>1390715626</v>
      </c>
      <c r="I376" s="65" t="s">
        <v>163</v>
      </c>
      <c r="J376" s="67" t="s">
        <v>164</v>
      </c>
      <c r="K376" t="s">
        <v>1252</v>
      </c>
      <c r="L376" t="s">
        <v>861</v>
      </c>
      <c r="M376" s="104">
        <v>16870600</v>
      </c>
      <c r="N376" t="s">
        <v>57</v>
      </c>
      <c r="O376" t="e" vm="1">
        <f ca="1">SUBSTITUTE(_xlfn.TRANSLATE(BAHTTEXT(Table1[[#This Row],[Montant]]),"th","fr")," bahts"," francs CFA")</f>
        <v>#NAME?</v>
      </c>
      <c r="P376" t="s">
        <v>33</v>
      </c>
      <c r="Q376">
        <v>2000682</v>
      </c>
      <c r="R376" t="s">
        <v>32</v>
      </c>
    </row>
    <row r="377" spans="2:18" hidden="1" x14ac:dyDescent="0.35">
      <c r="B377" s="63">
        <v>46280</v>
      </c>
      <c r="C377" t="s">
        <v>1256</v>
      </c>
      <c r="D377" t="s">
        <v>28</v>
      </c>
      <c r="E377" t="s">
        <v>860</v>
      </c>
      <c r="F377" t="s">
        <v>998</v>
      </c>
      <c r="G377" t="s">
        <v>998</v>
      </c>
      <c r="H377" s="85">
        <v>100195299</v>
      </c>
      <c r="I377" s="36">
        <v>46630</v>
      </c>
      <c r="J377" s="46" t="s">
        <v>63</v>
      </c>
      <c r="K377" t="s">
        <v>1255</v>
      </c>
      <c r="L377" t="s">
        <v>861</v>
      </c>
      <c r="M377" s="104">
        <v>9000000</v>
      </c>
      <c r="N377" t="s">
        <v>57</v>
      </c>
      <c r="O377" t="e" vm="1">
        <f ca="1">SUBSTITUTE(_xlfn.TRANSLATE(BAHTTEXT(Table1[[#This Row],[Montant]]),"th","fr")," bahts"," francs CFA")</f>
        <v>#NAME?</v>
      </c>
      <c r="P377" t="s">
        <v>33</v>
      </c>
      <c r="Q377">
        <v>2000683</v>
      </c>
      <c r="R377" t="s">
        <v>32</v>
      </c>
    </row>
    <row r="378" spans="2:18" hidden="1" x14ac:dyDescent="0.35">
      <c r="B378" s="63">
        <v>46280</v>
      </c>
      <c r="C378" t="s">
        <v>1257</v>
      </c>
      <c r="D378" t="s">
        <v>28</v>
      </c>
      <c r="E378" t="s">
        <v>860</v>
      </c>
      <c r="F378" t="s">
        <v>46</v>
      </c>
      <c r="G378" t="s">
        <v>46</v>
      </c>
      <c r="H378" s="85">
        <v>1115119742</v>
      </c>
      <c r="I378" s="36">
        <v>46622</v>
      </c>
      <c r="J378" s="46" t="s">
        <v>48</v>
      </c>
      <c r="K378" t="s">
        <v>1258</v>
      </c>
      <c r="L378" t="s">
        <v>861</v>
      </c>
      <c r="M378" s="104">
        <v>10000000</v>
      </c>
      <c r="N378" t="s">
        <v>47</v>
      </c>
      <c r="O378" t="e" vm="1">
        <f ca="1">SUBSTITUTE(_xlfn.TRANSLATE(BAHTTEXT(Table1[[#This Row],[Montant]]),"th","fr")," bahts"," francs CFA")</f>
        <v>#NAME?</v>
      </c>
      <c r="P378" t="s">
        <v>33</v>
      </c>
      <c r="Q378">
        <v>2000684</v>
      </c>
      <c r="R378" t="s">
        <v>32</v>
      </c>
    </row>
    <row r="379" spans="2:18" hidden="1" x14ac:dyDescent="0.35">
      <c r="B379" s="63">
        <v>46280</v>
      </c>
      <c r="C379" t="s">
        <v>1259</v>
      </c>
      <c r="D379" t="s">
        <v>28</v>
      </c>
      <c r="E379" t="s">
        <v>860</v>
      </c>
      <c r="F379" t="s">
        <v>937</v>
      </c>
      <c r="G379" t="s">
        <v>937</v>
      </c>
      <c r="H379" s="85">
        <v>20468091846526</v>
      </c>
      <c r="I379" s="36">
        <v>47930</v>
      </c>
      <c r="J379" s="46" t="s">
        <v>940</v>
      </c>
      <c r="K379" t="s">
        <v>1260</v>
      </c>
      <c r="L379" t="s">
        <v>861</v>
      </c>
      <c r="M379" s="104">
        <v>7000000</v>
      </c>
      <c r="N379" t="s">
        <v>47</v>
      </c>
      <c r="O379" t="e" vm="1">
        <f ca="1">SUBSTITUTE(_xlfn.TRANSLATE(BAHTTEXT(Table1[[#This Row],[Montant]]),"th","fr")," bahts"," francs CFA")</f>
        <v>#NAME?</v>
      </c>
      <c r="P379" t="s">
        <v>33</v>
      </c>
      <c r="Q379">
        <v>2000685</v>
      </c>
      <c r="R379" t="s">
        <v>32</v>
      </c>
    </row>
    <row r="380" spans="2:18" hidden="1" x14ac:dyDescent="0.35">
      <c r="B380" s="63">
        <v>46280</v>
      </c>
      <c r="C380" t="s">
        <v>1261</v>
      </c>
      <c r="D380" t="s">
        <v>51</v>
      </c>
      <c r="E380" t="s">
        <v>51</v>
      </c>
      <c r="F380" t="s">
        <v>161</v>
      </c>
      <c r="G380" t="s">
        <v>143</v>
      </c>
      <c r="H380" s="85">
        <v>5924678990</v>
      </c>
      <c r="I380" s="36">
        <v>46629</v>
      </c>
      <c r="J380" s="46" t="s">
        <v>151</v>
      </c>
      <c r="K380" t="s">
        <v>1262</v>
      </c>
      <c r="L380" t="s">
        <v>961</v>
      </c>
      <c r="M380" s="52">
        <v>3192826</v>
      </c>
      <c r="N380" t="s">
        <v>57</v>
      </c>
      <c r="O380" t="e" vm="1">
        <f ca="1">SUBSTITUTE(_xlfn.TRANSLATE(BAHTTEXT(Table1[[#This Row],[Montant]]),"th","fr")," bahts"," francs CFA")</f>
        <v>#NAME?</v>
      </c>
      <c r="P380" t="s">
        <v>33</v>
      </c>
      <c r="Q380">
        <v>2000687</v>
      </c>
      <c r="R380" t="s">
        <v>32</v>
      </c>
    </row>
    <row r="381" spans="2:18" hidden="1" x14ac:dyDescent="0.35">
      <c r="B381" s="63">
        <v>46280</v>
      </c>
      <c r="C381" t="s">
        <v>1263</v>
      </c>
      <c r="D381" t="s">
        <v>28</v>
      </c>
      <c r="E381" t="s">
        <v>860</v>
      </c>
      <c r="F381" t="s">
        <v>890</v>
      </c>
      <c r="G381" t="s">
        <v>891</v>
      </c>
      <c r="H381" s="85">
        <v>20435764679125</v>
      </c>
      <c r="I381" s="36">
        <v>46685</v>
      </c>
      <c r="J381" s="46" t="s">
        <v>892</v>
      </c>
      <c r="K381" t="s">
        <v>1264</v>
      </c>
      <c r="L381" t="s">
        <v>861</v>
      </c>
      <c r="M381" s="104">
        <v>10000000</v>
      </c>
      <c r="N381" t="s">
        <v>47</v>
      </c>
      <c r="O381" t="e" vm="1">
        <f ca="1">SUBSTITUTE(_xlfn.TRANSLATE(BAHTTEXT(Table1[[#This Row],[Montant]]),"th","fr")," bahts"," francs CFA")</f>
        <v>#NAME?</v>
      </c>
      <c r="P381" t="s">
        <v>33</v>
      </c>
      <c r="Q381">
        <v>2000686</v>
      </c>
      <c r="R381" t="s">
        <v>32</v>
      </c>
    </row>
    <row r="382" spans="2:18" hidden="1" x14ac:dyDescent="0.35">
      <c r="B382" s="63">
        <v>46280</v>
      </c>
      <c r="C382" t="s">
        <v>1268</v>
      </c>
      <c r="D382" t="s">
        <v>28</v>
      </c>
      <c r="E382" t="s">
        <v>860</v>
      </c>
      <c r="F382" t="s">
        <v>109</v>
      </c>
      <c r="G382" t="s">
        <v>109</v>
      </c>
      <c r="H382" s="85">
        <v>2546545404</v>
      </c>
      <c r="I382" s="65" t="s">
        <v>111</v>
      </c>
      <c r="J382" s="46" t="s">
        <v>110</v>
      </c>
      <c r="K382" t="s">
        <v>1267</v>
      </c>
      <c r="L382" t="s">
        <v>861</v>
      </c>
      <c r="M382" s="104">
        <v>2000000</v>
      </c>
      <c r="N382" t="s">
        <v>47</v>
      </c>
      <c r="O382" t="e" vm="1">
        <f ca="1">SUBSTITUTE(_xlfn.TRANSLATE(BAHTTEXT(Table1[[#This Row],[Montant]]),"th","fr")," bahts"," francs CFA")</f>
        <v>#NAME?</v>
      </c>
      <c r="P382" t="s">
        <v>33</v>
      </c>
      <c r="Q382">
        <v>2000688</v>
      </c>
      <c r="R382" t="s">
        <v>32</v>
      </c>
    </row>
    <row r="383" spans="2:18" hidden="1" x14ac:dyDescent="0.35">
      <c r="B383" s="63">
        <v>46280</v>
      </c>
      <c r="C383" t="s">
        <v>1270</v>
      </c>
      <c r="D383" t="s">
        <v>28</v>
      </c>
      <c r="E383" t="s">
        <v>860</v>
      </c>
      <c r="F383" t="s">
        <v>1050</v>
      </c>
      <c r="G383" t="s">
        <v>1050</v>
      </c>
      <c r="H383" s="85">
        <v>100878624</v>
      </c>
      <c r="I383" s="36">
        <v>47920</v>
      </c>
      <c r="J383" s="46" t="s">
        <v>63</v>
      </c>
      <c r="K383" t="s">
        <v>1269</v>
      </c>
      <c r="L383" t="s">
        <v>861</v>
      </c>
      <c r="M383" s="104">
        <v>10000000</v>
      </c>
      <c r="N383" t="s">
        <v>47</v>
      </c>
      <c r="O383" t="e" vm="1">
        <f ca="1">SUBSTITUTE(_xlfn.TRANSLATE(BAHTTEXT(Table1[[#This Row],[Montant]]),"th","fr")," bahts"," francs CFA")</f>
        <v>#NAME?</v>
      </c>
      <c r="P383" t="s">
        <v>33</v>
      </c>
      <c r="Q383">
        <v>2000689</v>
      </c>
      <c r="R383" t="s">
        <v>32</v>
      </c>
    </row>
    <row r="384" spans="2:18" hidden="1" x14ac:dyDescent="0.35">
      <c r="B384" s="63">
        <v>46281</v>
      </c>
      <c r="C384" t="s">
        <v>1271</v>
      </c>
      <c r="D384" t="s">
        <v>28</v>
      </c>
      <c r="E384" t="s">
        <v>860</v>
      </c>
      <c r="F384" t="s">
        <v>46</v>
      </c>
      <c r="G384" t="s">
        <v>46</v>
      </c>
      <c r="H384" s="85">
        <v>1115119742</v>
      </c>
      <c r="I384" s="36">
        <v>46622</v>
      </c>
      <c r="J384" s="46" t="s">
        <v>48</v>
      </c>
      <c r="K384" t="s">
        <v>1272</v>
      </c>
      <c r="L384" t="s">
        <v>861</v>
      </c>
      <c r="M384" s="107">
        <v>18782800</v>
      </c>
      <c r="N384" t="s">
        <v>57</v>
      </c>
      <c r="O384" t="e" vm="1">
        <f ca="1">SUBSTITUTE(_xlfn.TRANSLATE(BAHTTEXT(Table1[[#This Row],[Montant]]),"th","fr")," bahts"," francs CFA")</f>
        <v>#NAME?</v>
      </c>
      <c r="P384" t="s">
        <v>33</v>
      </c>
      <c r="Q384">
        <v>2000690</v>
      </c>
      <c r="R384" t="s">
        <v>32</v>
      </c>
    </row>
    <row r="385" spans="2:18" hidden="1" x14ac:dyDescent="0.35">
      <c r="B385" s="63">
        <v>46281</v>
      </c>
      <c r="C385" t="s">
        <v>1273</v>
      </c>
      <c r="D385" t="s">
        <v>28</v>
      </c>
      <c r="E385" t="s">
        <v>860</v>
      </c>
      <c r="F385" s="109" t="s">
        <v>1133</v>
      </c>
      <c r="G385" t="s">
        <v>1134</v>
      </c>
      <c r="H385" s="85">
        <v>20734524379725</v>
      </c>
      <c r="I385" s="36">
        <v>46632</v>
      </c>
      <c r="J385" s="46" t="s">
        <v>1135</v>
      </c>
      <c r="K385" t="s">
        <v>1274</v>
      </c>
      <c r="L385" t="s">
        <v>861</v>
      </c>
      <c r="M385" s="107">
        <v>13359800</v>
      </c>
      <c r="N385" t="s">
        <v>57</v>
      </c>
      <c r="O385" t="e" vm="1">
        <f ca="1">SUBSTITUTE(_xlfn.TRANSLATE(BAHTTEXT(Table1[[#This Row],[Montant]]),"th","fr")," bahts"," francs CFA")</f>
        <v>#NAME?</v>
      </c>
      <c r="P385" t="s">
        <v>33</v>
      </c>
      <c r="Q385">
        <v>2000691</v>
      </c>
      <c r="R385" t="s">
        <v>32</v>
      </c>
    </row>
    <row r="386" spans="2:18" hidden="1" x14ac:dyDescent="0.35">
      <c r="B386" s="63">
        <v>46281</v>
      </c>
      <c r="C386" t="s">
        <v>1275</v>
      </c>
      <c r="D386" t="s">
        <v>28</v>
      </c>
      <c r="E386" t="s">
        <v>860</v>
      </c>
      <c r="F386" t="s">
        <v>1050</v>
      </c>
      <c r="G386" t="s">
        <v>1050</v>
      </c>
      <c r="H386" s="85">
        <v>100878624</v>
      </c>
      <c r="I386" s="36">
        <v>47920</v>
      </c>
      <c r="J386" s="46" t="s">
        <v>63</v>
      </c>
      <c r="K386" t="s">
        <v>1269</v>
      </c>
      <c r="L386" t="s">
        <v>861</v>
      </c>
      <c r="M386" s="107">
        <v>4827100</v>
      </c>
      <c r="N386" t="s">
        <v>57</v>
      </c>
      <c r="O386" t="e" vm="1">
        <f ca="1">SUBSTITUTE(_xlfn.TRANSLATE(BAHTTEXT(Table1[[#This Row],[Montant]]),"th","fr")," bahts"," francs CFA")</f>
        <v>#NAME?</v>
      </c>
      <c r="P386" t="s">
        <v>33</v>
      </c>
      <c r="Q386">
        <v>2000692</v>
      </c>
      <c r="R386" t="s">
        <v>32</v>
      </c>
    </row>
    <row r="387" spans="2:18" hidden="1" x14ac:dyDescent="0.35">
      <c r="B387" s="63">
        <v>46281</v>
      </c>
      <c r="C387" t="s">
        <v>1277</v>
      </c>
      <c r="D387" t="s">
        <v>28</v>
      </c>
      <c r="E387" t="s">
        <v>860</v>
      </c>
      <c r="F387" t="s">
        <v>109</v>
      </c>
      <c r="G387" t="s">
        <v>109</v>
      </c>
      <c r="H387" s="85">
        <v>2546545404</v>
      </c>
      <c r="I387" s="65" t="s">
        <v>111</v>
      </c>
      <c r="J387" s="46" t="s">
        <v>110</v>
      </c>
      <c r="K387" t="s">
        <v>1276</v>
      </c>
      <c r="L387" t="s">
        <v>861</v>
      </c>
      <c r="M387" s="107">
        <v>14603720</v>
      </c>
      <c r="N387" t="s">
        <v>57</v>
      </c>
      <c r="O387" t="e" vm="1">
        <f ca="1">SUBSTITUTE(_xlfn.TRANSLATE(BAHTTEXT(Table1[[#This Row],[Montant]]),"th","fr")," bahts"," francs CFA")</f>
        <v>#NAME?</v>
      </c>
      <c r="P387" t="s">
        <v>33</v>
      </c>
      <c r="Q387">
        <v>2000693</v>
      </c>
      <c r="R387" t="s">
        <v>32</v>
      </c>
    </row>
    <row r="388" spans="2:18" hidden="1" x14ac:dyDescent="0.35">
      <c r="B388" s="63">
        <v>46281</v>
      </c>
      <c r="C388" t="s">
        <v>1280</v>
      </c>
      <c r="D388" t="s">
        <v>28</v>
      </c>
      <c r="E388" t="s">
        <v>860</v>
      </c>
      <c r="F388" t="s">
        <v>1278</v>
      </c>
      <c r="G388" t="s">
        <v>1278</v>
      </c>
      <c r="H388" s="85">
        <v>100762270</v>
      </c>
      <c r="I388" s="36">
        <v>47644</v>
      </c>
      <c r="J388" s="46" t="s">
        <v>63</v>
      </c>
      <c r="K388" t="s">
        <v>1279</v>
      </c>
      <c r="L388" t="s">
        <v>861</v>
      </c>
      <c r="M388" s="107">
        <v>12842800</v>
      </c>
      <c r="N388" t="s">
        <v>57</v>
      </c>
      <c r="O388" t="e" vm="1">
        <f ca="1">SUBSTITUTE(_xlfn.TRANSLATE(BAHTTEXT(Table1[[#This Row],[Montant]]),"th","fr")," bahts"," francs CFA")</f>
        <v>#NAME?</v>
      </c>
      <c r="P388" t="s">
        <v>33</v>
      </c>
      <c r="Q388">
        <v>2000694</v>
      </c>
      <c r="R388" t="s">
        <v>32</v>
      </c>
    </row>
    <row r="389" spans="2:18" hidden="1" x14ac:dyDescent="0.35">
      <c r="B389" s="63">
        <v>46281</v>
      </c>
      <c r="C389" t="s">
        <v>1284</v>
      </c>
      <c r="D389" t="s">
        <v>51</v>
      </c>
      <c r="E389" t="s">
        <v>51</v>
      </c>
      <c r="F389" t="s">
        <v>320</v>
      </c>
      <c r="G389" t="s">
        <v>1281</v>
      </c>
      <c r="H389" s="85">
        <v>1071012095</v>
      </c>
      <c r="I389" s="36">
        <v>47904</v>
      </c>
      <c r="J389" s="46" t="s">
        <v>63</v>
      </c>
      <c r="K389" t="s">
        <v>1282</v>
      </c>
      <c r="L389" t="s">
        <v>402</v>
      </c>
      <c r="M389" s="106">
        <v>2600000</v>
      </c>
      <c r="N389" t="s">
        <v>57</v>
      </c>
      <c r="O389" t="s">
        <v>1283</v>
      </c>
      <c r="P389" t="s">
        <v>33</v>
      </c>
      <c r="Q389">
        <v>2000695</v>
      </c>
      <c r="R389" t="s">
        <v>32</v>
      </c>
    </row>
    <row r="390" spans="2:18" hidden="1" x14ac:dyDescent="0.35">
      <c r="B390" s="63">
        <v>46281</v>
      </c>
      <c r="C390" t="s">
        <v>1285</v>
      </c>
      <c r="D390" t="s">
        <v>28</v>
      </c>
      <c r="E390" t="s">
        <v>860</v>
      </c>
      <c r="F390" t="s">
        <v>890</v>
      </c>
      <c r="G390" t="s">
        <v>891</v>
      </c>
      <c r="H390" s="85">
        <v>20435764679125</v>
      </c>
      <c r="I390" s="36">
        <v>46685</v>
      </c>
      <c r="J390" s="46" t="s">
        <v>892</v>
      </c>
      <c r="K390" t="s">
        <v>1264</v>
      </c>
      <c r="L390" t="s">
        <v>861</v>
      </c>
      <c r="M390" s="107">
        <v>4515500</v>
      </c>
      <c r="N390" t="s">
        <v>57</v>
      </c>
      <c r="O390" t="e" vm="1">
        <f ca="1">SUBSTITUTE(_xlfn.TRANSLATE(BAHTTEXT(Table1[[#This Row],[Montant]]),"th","fr")," bahts"," francs CFA")</f>
        <v>#NAME?</v>
      </c>
      <c r="P390" t="s">
        <v>33</v>
      </c>
      <c r="Q390">
        <v>2000696</v>
      </c>
      <c r="R390" t="s">
        <v>32</v>
      </c>
    </row>
    <row r="391" spans="2:18" x14ac:dyDescent="0.35">
      <c r="B391" s="63">
        <v>46281</v>
      </c>
      <c r="C391" t="s">
        <v>1286</v>
      </c>
      <c r="D391" t="s">
        <v>28</v>
      </c>
      <c r="E391" t="s">
        <v>860</v>
      </c>
      <c r="F391" t="s">
        <v>986</v>
      </c>
      <c r="G391" t="s">
        <v>987</v>
      </c>
      <c r="H391" s="85">
        <v>20411113178625</v>
      </c>
      <c r="I391" s="36">
        <v>46585</v>
      </c>
      <c r="J391" s="46" t="s">
        <v>988</v>
      </c>
      <c r="K391" t="s">
        <v>1287</v>
      </c>
      <c r="L391" t="s">
        <v>861</v>
      </c>
      <c r="M391" s="107">
        <v>26853200</v>
      </c>
      <c r="N391" t="s">
        <v>57</v>
      </c>
      <c r="O391" t="e" vm="1">
        <f ca="1">SUBSTITUTE(_xlfn.TRANSLATE(BAHTTEXT(Table1[[#This Row],[Montant]]),"th","fr")," bahts"," francs CFA")</f>
        <v>#NAME?</v>
      </c>
      <c r="P391" t="s">
        <v>33</v>
      </c>
      <c r="Q391">
        <v>2000697</v>
      </c>
      <c r="R391" t="s">
        <v>32</v>
      </c>
    </row>
    <row r="392" spans="2:18" hidden="1" x14ac:dyDescent="0.35">
      <c r="B392" s="63">
        <v>46281</v>
      </c>
      <c r="C392" t="s">
        <v>1288</v>
      </c>
      <c r="D392" t="s">
        <v>28</v>
      </c>
      <c r="E392" t="s">
        <v>860</v>
      </c>
      <c r="F392" t="s">
        <v>948</v>
      </c>
      <c r="G392" t="s">
        <v>1296</v>
      </c>
      <c r="H392" s="85">
        <v>20163094808726</v>
      </c>
      <c r="I392" s="36">
        <v>47925</v>
      </c>
      <c r="J392" s="46" t="s">
        <v>63</v>
      </c>
      <c r="K392" t="s">
        <v>1289</v>
      </c>
      <c r="L392" t="s">
        <v>861</v>
      </c>
      <c r="M392" s="107">
        <v>5564320</v>
      </c>
      <c r="N392" t="s">
        <v>57</v>
      </c>
      <c r="O392" t="e" vm="1">
        <f ca="1">SUBSTITUTE(_xlfn.TRANSLATE(BAHTTEXT(Table1[[#This Row],[Montant]]),"th","fr")," bahts"," francs CFA")</f>
        <v>#NAME?</v>
      </c>
      <c r="P392" t="s">
        <v>33</v>
      </c>
      <c r="Q392">
        <v>2000703</v>
      </c>
      <c r="R392" t="s">
        <v>32</v>
      </c>
    </row>
    <row r="393" spans="2:18" hidden="1" x14ac:dyDescent="0.35">
      <c r="B393" s="63">
        <v>46281</v>
      </c>
      <c r="C393" t="s">
        <v>1290</v>
      </c>
      <c r="D393" t="s">
        <v>28</v>
      </c>
      <c r="E393" t="s">
        <v>860</v>
      </c>
      <c r="F393" t="s">
        <v>166</v>
      </c>
      <c r="G393" t="s">
        <v>166</v>
      </c>
      <c r="H393" s="85">
        <v>1390715626</v>
      </c>
      <c r="I393" s="65" t="s">
        <v>163</v>
      </c>
      <c r="J393" s="67" t="s">
        <v>164</v>
      </c>
      <c r="K393" t="s">
        <v>1291</v>
      </c>
      <c r="L393" t="s">
        <v>861</v>
      </c>
      <c r="M393" s="107">
        <v>13393300</v>
      </c>
      <c r="N393" t="s">
        <v>57</v>
      </c>
      <c r="O393" t="e" vm="1">
        <f ca="1">SUBSTITUTE(_xlfn.TRANSLATE(BAHTTEXT(Table1[[#This Row],[Montant]]),"th","fr")," bahts"," francs CFA")</f>
        <v>#NAME?</v>
      </c>
      <c r="P393" t="s">
        <v>33</v>
      </c>
      <c r="Q393">
        <v>2000699</v>
      </c>
      <c r="R393" t="s">
        <v>32</v>
      </c>
    </row>
    <row r="394" spans="2:18" hidden="1" x14ac:dyDescent="0.35">
      <c r="B394" s="63">
        <v>46281</v>
      </c>
      <c r="C394" t="s">
        <v>1292</v>
      </c>
      <c r="D394" t="s">
        <v>28</v>
      </c>
      <c r="E394" t="s">
        <v>860</v>
      </c>
      <c r="F394" t="s">
        <v>1174</v>
      </c>
      <c r="G394" t="s">
        <v>1175</v>
      </c>
      <c r="H394" s="85">
        <v>100903092</v>
      </c>
      <c r="I394" s="36">
        <v>47976</v>
      </c>
      <c r="J394" s="46" t="s">
        <v>63</v>
      </c>
      <c r="K394" t="s">
        <v>1293</v>
      </c>
      <c r="L394" t="s">
        <v>861</v>
      </c>
      <c r="M394" s="107">
        <v>13002000</v>
      </c>
      <c r="N394" t="s">
        <v>57</v>
      </c>
      <c r="O394" t="e" vm="1">
        <f ca="1">SUBSTITUTE(_xlfn.TRANSLATE(BAHTTEXT(Table1[[#This Row],[Montant]]),"th","fr")," bahts"," francs CFA")</f>
        <v>#NAME?</v>
      </c>
      <c r="P394" t="s">
        <v>33</v>
      </c>
      <c r="Q394">
        <v>2000700</v>
      </c>
      <c r="R394" t="s">
        <v>32</v>
      </c>
    </row>
    <row r="395" spans="2:18" hidden="1" x14ac:dyDescent="0.35">
      <c r="B395" s="63">
        <v>46281</v>
      </c>
      <c r="C395" t="s">
        <v>1294</v>
      </c>
      <c r="D395" t="s">
        <v>28</v>
      </c>
      <c r="E395" t="s">
        <v>860</v>
      </c>
      <c r="F395" t="s">
        <v>1239</v>
      </c>
      <c r="G395" t="s">
        <v>1239</v>
      </c>
      <c r="H395" s="85">
        <v>100404882</v>
      </c>
      <c r="I395" s="36">
        <v>46848</v>
      </c>
      <c r="J395" s="46" t="s">
        <v>63</v>
      </c>
      <c r="K395" t="s">
        <v>1295</v>
      </c>
      <c r="L395" t="s">
        <v>861</v>
      </c>
      <c r="M395" s="107">
        <v>15936000</v>
      </c>
      <c r="N395" t="s">
        <v>57</v>
      </c>
      <c r="O395" t="e" vm="1">
        <f ca="1">SUBSTITUTE(_xlfn.TRANSLATE(BAHTTEXT(Table1[[#This Row],[Montant]]),"th","fr")," bahts"," francs CFA")</f>
        <v>#NAME?</v>
      </c>
      <c r="P395" t="s">
        <v>33</v>
      </c>
      <c r="Q395">
        <v>2000701</v>
      </c>
      <c r="R395" t="s">
        <v>32</v>
      </c>
    </row>
    <row r="396" spans="2:18" hidden="1" x14ac:dyDescent="0.35">
      <c r="B396" s="63">
        <v>46281</v>
      </c>
      <c r="C396" t="s">
        <v>1297</v>
      </c>
      <c r="D396" t="s">
        <v>28</v>
      </c>
      <c r="E396" t="s">
        <v>860</v>
      </c>
      <c r="F396" t="s">
        <v>1298</v>
      </c>
      <c r="G396" t="s">
        <v>1300</v>
      </c>
      <c r="H396" s="85">
        <v>20108597122425</v>
      </c>
      <c r="I396" s="36">
        <v>46659</v>
      </c>
      <c r="J396" s="46" t="s">
        <v>1301</v>
      </c>
      <c r="K396" t="s">
        <v>1299</v>
      </c>
      <c r="L396" t="s">
        <v>861</v>
      </c>
      <c r="M396" s="107">
        <v>10672200</v>
      </c>
      <c r="N396" t="s">
        <v>57</v>
      </c>
      <c r="O396" t="e" vm="1">
        <f ca="1">SUBSTITUTE(_xlfn.TRANSLATE(BAHTTEXT(Table1[[#This Row],[Montant]]),"th","fr")," bahts"," francs CFA")</f>
        <v>#NAME?</v>
      </c>
      <c r="P396" t="s">
        <v>33</v>
      </c>
      <c r="Q396">
        <v>2000704</v>
      </c>
      <c r="R396" t="s">
        <v>32</v>
      </c>
    </row>
    <row r="397" spans="2:18" hidden="1" x14ac:dyDescent="0.35">
      <c r="B397" s="63">
        <v>46281</v>
      </c>
      <c r="C397" t="s">
        <v>1302</v>
      </c>
      <c r="D397" t="s">
        <v>28</v>
      </c>
      <c r="E397" t="s">
        <v>860</v>
      </c>
      <c r="F397" t="s">
        <v>882</v>
      </c>
      <c r="G397" t="s">
        <v>880</v>
      </c>
      <c r="H397" s="85">
        <v>209735867</v>
      </c>
      <c r="I397" s="36">
        <v>46335</v>
      </c>
      <c r="J397" s="46" t="s">
        <v>63</v>
      </c>
      <c r="K397" t="s">
        <v>1303</v>
      </c>
      <c r="L397" t="s">
        <v>861</v>
      </c>
      <c r="M397" s="126">
        <v>35543600</v>
      </c>
      <c r="N397" t="s">
        <v>57</v>
      </c>
      <c r="O397" t="e" vm="1">
        <f ca="1">SUBSTITUTE(_xlfn.TRANSLATE(BAHTTEXT(Table1[[#This Row],[Montant]]),"th","fr")," bahts"," francs CFA")</f>
        <v>#NAME?</v>
      </c>
      <c r="P397" t="s">
        <v>33</v>
      </c>
      <c r="Q397">
        <v>2000705</v>
      </c>
      <c r="R397" t="s">
        <v>32</v>
      </c>
    </row>
    <row r="398" spans="2:18" hidden="1" x14ac:dyDescent="0.35">
      <c r="B398" s="63">
        <v>46281</v>
      </c>
      <c r="C398" t="s">
        <v>1304</v>
      </c>
      <c r="D398" t="s">
        <v>51</v>
      </c>
      <c r="E398" t="s">
        <v>51</v>
      </c>
      <c r="F398" t="s">
        <v>161</v>
      </c>
      <c r="G398" t="s">
        <v>143</v>
      </c>
      <c r="H398" s="85">
        <v>5924678990</v>
      </c>
      <c r="I398" s="36">
        <v>46629</v>
      </c>
      <c r="J398" s="46" t="s">
        <v>151</v>
      </c>
      <c r="K398" t="s">
        <v>63</v>
      </c>
      <c r="L398" t="s">
        <v>961</v>
      </c>
      <c r="M398" s="106">
        <v>2000000</v>
      </c>
      <c r="N398" t="s">
        <v>47</v>
      </c>
      <c r="O398" t="e" vm="1">
        <f ca="1">SUBSTITUTE(_xlfn.TRANSLATE(BAHTTEXT(Table1[[#This Row],[Montant]]),"th","fr")," bahts"," francs CFA")</f>
        <v>#NAME?</v>
      </c>
      <c r="P398" t="s">
        <v>33</v>
      </c>
      <c r="Q398">
        <v>2000706</v>
      </c>
      <c r="R398" t="s">
        <v>32</v>
      </c>
    </row>
    <row r="399" spans="2:18" hidden="1" x14ac:dyDescent="0.35">
      <c r="B399" s="63">
        <v>46281</v>
      </c>
      <c r="C399" t="s">
        <v>1305</v>
      </c>
      <c r="D399" t="s">
        <v>28</v>
      </c>
      <c r="E399" t="s">
        <v>860</v>
      </c>
      <c r="F399" t="s">
        <v>937</v>
      </c>
      <c r="G399" t="s">
        <v>937</v>
      </c>
      <c r="H399" s="85">
        <v>20468091846526</v>
      </c>
      <c r="I399" s="36">
        <v>47930</v>
      </c>
      <c r="J399" s="46" t="s">
        <v>940</v>
      </c>
      <c r="K399" t="s">
        <v>1260</v>
      </c>
      <c r="L399" t="s">
        <v>861</v>
      </c>
      <c r="M399" s="107">
        <v>6721600</v>
      </c>
      <c r="N399" t="s">
        <v>57</v>
      </c>
      <c r="O399" t="e" vm="1">
        <f ca="1">SUBSTITUTE(_xlfn.TRANSLATE(BAHTTEXT(Table1[[#This Row],[Montant]]),"th","fr")," bahts"," francs CFA")</f>
        <v>#NAME?</v>
      </c>
      <c r="P399" t="s">
        <v>33</v>
      </c>
      <c r="Q399">
        <v>2000707</v>
      </c>
      <c r="R399" t="s">
        <v>32</v>
      </c>
    </row>
    <row r="400" spans="2:18" hidden="1" x14ac:dyDescent="0.35">
      <c r="B400" s="63">
        <v>46282</v>
      </c>
      <c r="C400" t="s">
        <v>1317</v>
      </c>
      <c r="D400" t="s">
        <v>51</v>
      </c>
      <c r="E400" t="s">
        <v>51</v>
      </c>
      <c r="F400" t="s">
        <v>260</v>
      </c>
      <c r="G400" t="s">
        <v>260</v>
      </c>
      <c r="H400" s="85" t="s">
        <v>63</v>
      </c>
      <c r="I400" t="s">
        <v>63</v>
      </c>
      <c r="J400" s="46" t="s">
        <v>63</v>
      </c>
      <c r="K400" t="s">
        <v>63</v>
      </c>
      <c r="L400" t="s">
        <v>258</v>
      </c>
      <c r="M400" s="52">
        <v>500000</v>
      </c>
      <c r="N400" t="s">
        <v>57</v>
      </c>
      <c r="O400" t="s">
        <v>259</v>
      </c>
      <c r="P400" t="s">
        <v>33</v>
      </c>
      <c r="Q400">
        <v>2000709</v>
      </c>
      <c r="R400" t="s">
        <v>32</v>
      </c>
    </row>
    <row r="401" spans="2:18" hidden="1" x14ac:dyDescent="0.35">
      <c r="B401" s="63">
        <v>46283</v>
      </c>
      <c r="C401" t="s">
        <v>1318</v>
      </c>
      <c r="D401" t="s">
        <v>28</v>
      </c>
      <c r="E401" t="s">
        <v>860</v>
      </c>
      <c r="F401" t="s">
        <v>998</v>
      </c>
      <c r="G401" t="s">
        <v>998</v>
      </c>
      <c r="H401" s="85">
        <v>100195299</v>
      </c>
      <c r="I401" s="36">
        <v>46630</v>
      </c>
      <c r="J401" s="46" t="s">
        <v>63</v>
      </c>
      <c r="K401" t="s">
        <v>1255</v>
      </c>
      <c r="L401" t="s">
        <v>861</v>
      </c>
      <c r="M401" s="107">
        <v>6979500</v>
      </c>
      <c r="N401" t="s">
        <v>57</v>
      </c>
      <c r="O401" t="e" vm="1">
        <f ca="1">SUBSTITUTE(_xlfn.TRANSLATE(BAHTTEXT(Table1[[#This Row],[Montant]]),"th","fr")," bahts"," francs CFA")</f>
        <v>#NAME?</v>
      </c>
      <c r="P401" t="s">
        <v>33</v>
      </c>
      <c r="Q401">
        <v>2000710</v>
      </c>
      <c r="R401" t="s">
        <v>32</v>
      </c>
    </row>
    <row r="402" spans="2:18" hidden="1" x14ac:dyDescent="0.35">
      <c r="B402" s="63">
        <v>46283</v>
      </c>
      <c r="C402" t="s">
        <v>1319</v>
      </c>
      <c r="D402" t="s">
        <v>28</v>
      </c>
      <c r="E402" t="s">
        <v>860</v>
      </c>
      <c r="F402" t="s">
        <v>46</v>
      </c>
      <c r="G402" t="s">
        <v>46</v>
      </c>
      <c r="H402" s="85">
        <v>1115119742</v>
      </c>
      <c r="I402" s="36">
        <v>46622</v>
      </c>
      <c r="J402" s="46" t="s">
        <v>48</v>
      </c>
      <c r="K402" t="s">
        <v>1320</v>
      </c>
      <c r="L402" t="s">
        <v>861</v>
      </c>
      <c r="M402" s="107">
        <v>14766800</v>
      </c>
      <c r="N402" t="s">
        <v>57</v>
      </c>
      <c r="O402" t="e" vm="1">
        <f ca="1">SUBSTITUTE(_xlfn.TRANSLATE(BAHTTEXT(Table1[[#This Row],[Montant]]),"th","fr")," bahts"," francs CFA")</f>
        <v>#NAME?</v>
      </c>
      <c r="P402" t="s">
        <v>33</v>
      </c>
      <c r="Q402">
        <v>2000711</v>
      </c>
      <c r="R402" t="s">
        <v>32</v>
      </c>
    </row>
    <row r="403" spans="2:18" hidden="1" x14ac:dyDescent="0.35">
      <c r="B403" s="63">
        <v>46283</v>
      </c>
      <c r="C403" t="s">
        <v>1321</v>
      </c>
      <c r="D403" t="s">
        <v>28</v>
      </c>
      <c r="E403" t="s">
        <v>860</v>
      </c>
      <c r="F403" t="s">
        <v>109</v>
      </c>
      <c r="G403" t="s">
        <v>109</v>
      </c>
      <c r="H403" s="85">
        <v>2546545404</v>
      </c>
      <c r="I403" s="65" t="s">
        <v>111</v>
      </c>
      <c r="J403" s="46" t="s">
        <v>110</v>
      </c>
      <c r="K403" t="s">
        <v>1267</v>
      </c>
      <c r="L403" t="s">
        <v>861</v>
      </c>
      <c r="M403" s="107">
        <v>5000000</v>
      </c>
      <c r="N403" t="s">
        <v>47</v>
      </c>
      <c r="O403" t="e" vm="1">
        <f ca="1">SUBSTITUTE(_xlfn.TRANSLATE(BAHTTEXT(Table1[[#This Row],[Montant]]),"th","fr")," bahts"," francs CFA")</f>
        <v>#NAME?</v>
      </c>
      <c r="P403" t="s">
        <v>33</v>
      </c>
      <c r="Q403">
        <v>2000712</v>
      </c>
      <c r="R403" t="s">
        <v>32</v>
      </c>
    </row>
    <row r="404" spans="2:18" hidden="1" x14ac:dyDescent="0.35">
      <c r="B404" s="63">
        <v>46283</v>
      </c>
      <c r="C404" t="s">
        <v>1322</v>
      </c>
      <c r="D404" t="s">
        <v>28</v>
      </c>
      <c r="E404" t="s">
        <v>860</v>
      </c>
      <c r="F404" t="s">
        <v>890</v>
      </c>
      <c r="G404" t="s">
        <v>891</v>
      </c>
      <c r="H404" s="85">
        <v>20435764679125</v>
      </c>
      <c r="I404" s="36">
        <v>46685</v>
      </c>
      <c r="J404" s="46" t="s">
        <v>892</v>
      </c>
      <c r="K404" t="s">
        <v>1264</v>
      </c>
      <c r="L404" t="s">
        <v>861</v>
      </c>
      <c r="M404" s="107">
        <v>5000000</v>
      </c>
      <c r="N404" t="s">
        <v>47</v>
      </c>
      <c r="O404" t="e" vm="1">
        <f ca="1">SUBSTITUTE(_xlfn.TRANSLATE(BAHTTEXT(Table1[[#This Row],[Montant]]),"th","fr")," bahts"," francs CFA")</f>
        <v>#NAME?</v>
      </c>
      <c r="P404" t="s">
        <v>33</v>
      </c>
      <c r="Q404">
        <v>2000713</v>
      </c>
      <c r="R404" t="s">
        <v>32</v>
      </c>
    </row>
    <row r="405" spans="2:18" x14ac:dyDescent="0.35">
      <c r="B405" s="63">
        <v>46283</v>
      </c>
      <c r="C405" t="s">
        <v>1324</v>
      </c>
      <c r="D405" t="s">
        <v>28</v>
      </c>
      <c r="E405" t="s">
        <v>860</v>
      </c>
      <c r="F405" t="s">
        <v>986</v>
      </c>
      <c r="G405" t="s">
        <v>987</v>
      </c>
      <c r="H405" s="85">
        <v>20411113178625</v>
      </c>
      <c r="I405" s="36">
        <v>46585</v>
      </c>
      <c r="J405" s="46" t="s">
        <v>988</v>
      </c>
      <c r="K405" t="s">
        <v>1323</v>
      </c>
      <c r="L405" t="s">
        <v>861</v>
      </c>
      <c r="M405" s="107">
        <v>10000000</v>
      </c>
      <c r="N405" t="s">
        <v>47</v>
      </c>
      <c r="O405" t="e" vm="1">
        <f ca="1">SUBSTITUTE(_xlfn.TRANSLATE(BAHTTEXT(Table1[[#This Row],[Montant]]),"th","fr")," bahts"," francs CFA")</f>
        <v>#NAME?</v>
      </c>
      <c r="P405" t="s">
        <v>33</v>
      </c>
      <c r="Q405">
        <v>2000714</v>
      </c>
      <c r="R405" t="s">
        <v>32</v>
      </c>
    </row>
    <row r="406" spans="2:18" hidden="1" x14ac:dyDescent="0.35">
      <c r="B406" s="63">
        <v>46283</v>
      </c>
      <c r="C406" t="s">
        <v>1325</v>
      </c>
      <c r="D406" t="s">
        <v>28</v>
      </c>
      <c r="E406" t="s">
        <v>860</v>
      </c>
      <c r="F406" t="s">
        <v>1174</v>
      </c>
      <c r="G406" t="s">
        <v>1175</v>
      </c>
      <c r="H406" s="85">
        <v>100903092</v>
      </c>
      <c r="I406" s="36">
        <v>47976</v>
      </c>
      <c r="J406" s="46" t="s">
        <v>63</v>
      </c>
      <c r="K406" t="s">
        <v>1326</v>
      </c>
      <c r="L406" t="s">
        <v>861</v>
      </c>
      <c r="M406" s="107">
        <v>16150200</v>
      </c>
      <c r="N406" t="s">
        <v>57</v>
      </c>
      <c r="O406" t="e" vm="1">
        <f ca="1">SUBSTITUTE(_xlfn.TRANSLATE(BAHTTEXT(Table1[[#This Row],[Montant]]),"th","fr")," bahts"," francs CFA")</f>
        <v>#NAME?</v>
      </c>
      <c r="P406" t="s">
        <v>33</v>
      </c>
      <c r="Q406">
        <v>2000715</v>
      </c>
      <c r="R406" t="s">
        <v>32</v>
      </c>
    </row>
    <row r="407" spans="2:18" hidden="1" x14ac:dyDescent="0.35">
      <c r="B407" s="63">
        <v>46284</v>
      </c>
      <c r="C407" t="s">
        <v>1327</v>
      </c>
      <c r="D407" t="s">
        <v>28</v>
      </c>
      <c r="E407" t="s">
        <v>860</v>
      </c>
      <c r="F407" t="s">
        <v>1328</v>
      </c>
      <c r="G407" t="s">
        <v>1328</v>
      </c>
      <c r="H407" s="85">
        <v>20156787759824</v>
      </c>
      <c r="I407" s="36">
        <v>46347</v>
      </c>
      <c r="J407" s="46" t="s">
        <v>992</v>
      </c>
      <c r="K407" t="s">
        <v>1329</v>
      </c>
      <c r="L407" t="s">
        <v>861</v>
      </c>
      <c r="M407" s="107">
        <v>15252600</v>
      </c>
      <c r="N407" t="s">
        <v>57</v>
      </c>
      <c r="O407" t="e" vm="1">
        <f ca="1">SUBSTITUTE(_xlfn.TRANSLATE(BAHTTEXT(Table1[[#This Row],[Montant]]),"th","fr")," bahts"," francs CFA")</f>
        <v>#NAME?</v>
      </c>
      <c r="P407" t="s">
        <v>33</v>
      </c>
      <c r="Q407">
        <v>2000716</v>
      </c>
      <c r="R407" t="s">
        <v>32</v>
      </c>
    </row>
    <row r="408" spans="2:18" hidden="1" x14ac:dyDescent="0.35">
      <c r="B408" s="63">
        <v>46284</v>
      </c>
      <c r="C408" t="s">
        <v>1331</v>
      </c>
      <c r="D408" t="s">
        <v>28</v>
      </c>
      <c r="E408" t="s">
        <v>860</v>
      </c>
      <c r="F408" t="s">
        <v>1332</v>
      </c>
      <c r="G408" t="s">
        <v>1333</v>
      </c>
      <c r="H408" s="85">
        <v>20350801143826</v>
      </c>
      <c r="I408" s="36">
        <v>48001</v>
      </c>
      <c r="J408" s="46" t="s">
        <v>1334</v>
      </c>
      <c r="K408" t="s">
        <v>1330</v>
      </c>
      <c r="L408" t="s">
        <v>861</v>
      </c>
      <c r="M408" s="107">
        <v>15734400</v>
      </c>
      <c r="N408" t="s">
        <v>57</v>
      </c>
      <c r="O408" t="e" vm="1">
        <f ca="1">SUBSTITUTE(_xlfn.TRANSLATE(BAHTTEXT(Table1[[#This Row],[Montant]]),"th","fr")," bahts"," francs CFA")</f>
        <v>#NAME?</v>
      </c>
      <c r="P408" t="s">
        <v>33</v>
      </c>
      <c r="Q408">
        <v>2000718</v>
      </c>
      <c r="R408" t="s">
        <v>32</v>
      </c>
    </row>
    <row r="409" spans="2:18" hidden="1" x14ac:dyDescent="0.35">
      <c r="B409" s="63">
        <v>46279</v>
      </c>
      <c r="C409" t="s">
        <v>1337</v>
      </c>
      <c r="D409" t="s">
        <v>51</v>
      </c>
      <c r="E409" t="s">
        <v>51</v>
      </c>
      <c r="F409" t="s">
        <v>1335</v>
      </c>
      <c r="G409" t="s">
        <v>1335</v>
      </c>
      <c r="H409" s="85" t="s">
        <v>63</v>
      </c>
      <c r="I409" t="s">
        <v>63</v>
      </c>
      <c r="J409" s="66" t="s">
        <v>63</v>
      </c>
      <c r="K409" t="s">
        <v>63</v>
      </c>
      <c r="L409" t="s">
        <v>1336</v>
      </c>
      <c r="M409" s="106">
        <v>125000</v>
      </c>
      <c r="N409" t="s">
        <v>57</v>
      </c>
      <c r="O409" t="e" vm="1">
        <f ca="1">SUBSTITUTE(_xlfn.TRANSLATE(BAHTTEXT(Table1[[#This Row],[Montant]]),"th","fr")," bahts"," francs CFA")</f>
        <v>#NAME?</v>
      </c>
      <c r="P409" t="s">
        <v>33</v>
      </c>
      <c r="Q409">
        <v>2000708</v>
      </c>
      <c r="R409" t="s">
        <v>32</v>
      </c>
    </row>
    <row r="410" spans="2:18" hidden="1" x14ac:dyDescent="0.35">
      <c r="B410" s="63">
        <v>46286</v>
      </c>
      <c r="C410" t="s">
        <v>1338</v>
      </c>
      <c r="D410" t="s">
        <v>28</v>
      </c>
      <c r="E410" t="s">
        <v>860</v>
      </c>
      <c r="F410" t="s">
        <v>937</v>
      </c>
      <c r="G410" t="s">
        <v>937</v>
      </c>
      <c r="H410" s="85">
        <v>20468091846526</v>
      </c>
      <c r="I410" s="36">
        <v>47930</v>
      </c>
      <c r="J410" s="46" t="s">
        <v>940</v>
      </c>
      <c r="K410" t="s">
        <v>1339</v>
      </c>
      <c r="L410" t="s">
        <v>861</v>
      </c>
      <c r="M410" s="107">
        <v>15329600</v>
      </c>
      <c r="N410" t="s">
        <v>57</v>
      </c>
      <c r="O410" t="e" vm="1">
        <f ca="1">SUBSTITUTE(_xlfn.TRANSLATE(BAHTTEXT(Table1[[#This Row],[Montant]]),"th","fr")," bahts"," francs CFA")</f>
        <v>#NAME?</v>
      </c>
      <c r="P410" t="s">
        <v>33</v>
      </c>
      <c r="Q410">
        <v>2000719</v>
      </c>
      <c r="R410" t="s">
        <v>32</v>
      </c>
    </row>
    <row r="411" spans="2:18" hidden="1" x14ac:dyDescent="0.35">
      <c r="B411" s="63">
        <v>46286</v>
      </c>
      <c r="C411" t="s">
        <v>1340</v>
      </c>
      <c r="D411" t="s">
        <v>28</v>
      </c>
      <c r="E411" t="s">
        <v>860</v>
      </c>
      <c r="F411" t="s">
        <v>965</v>
      </c>
      <c r="G411" t="s">
        <v>971</v>
      </c>
      <c r="H411" s="85" t="s">
        <v>63</v>
      </c>
      <c r="I411" t="s">
        <v>966</v>
      </c>
      <c r="J411" s="46" t="s">
        <v>967</v>
      </c>
      <c r="K411" t="s">
        <v>1341</v>
      </c>
      <c r="L411" t="s">
        <v>861</v>
      </c>
      <c r="M411" s="107">
        <v>23439500</v>
      </c>
      <c r="N411" t="s">
        <v>57</v>
      </c>
      <c r="O411" t="e" vm="1">
        <f ca="1">SUBSTITUTE(_xlfn.TRANSLATE(BAHTTEXT(Table1[[#This Row],[Montant]]),"th","fr")," bahts"," francs CFA")</f>
        <v>#NAME?</v>
      </c>
      <c r="P411" t="s">
        <v>33</v>
      </c>
      <c r="Q411">
        <v>2000721</v>
      </c>
      <c r="R411" t="s">
        <v>32</v>
      </c>
    </row>
    <row r="412" spans="2:18" hidden="1" x14ac:dyDescent="0.35">
      <c r="B412" s="63">
        <v>46286</v>
      </c>
      <c r="C412" t="s">
        <v>1342</v>
      </c>
      <c r="D412" t="s">
        <v>28</v>
      </c>
      <c r="E412" t="s">
        <v>860</v>
      </c>
      <c r="F412" t="s">
        <v>1328</v>
      </c>
      <c r="G412" t="s">
        <v>1328</v>
      </c>
      <c r="H412" s="85">
        <v>20156787759824</v>
      </c>
      <c r="I412" s="36">
        <v>46347</v>
      </c>
      <c r="J412" s="46" t="s">
        <v>992</v>
      </c>
      <c r="K412" t="s">
        <v>1343</v>
      </c>
      <c r="L412" t="s">
        <v>861</v>
      </c>
      <c r="M412" s="107">
        <v>15001800</v>
      </c>
      <c r="N412" t="s">
        <v>57</v>
      </c>
      <c r="O412" t="e" vm="1">
        <f ca="1">SUBSTITUTE(_xlfn.TRANSLATE(BAHTTEXT(Table1[[#This Row],[Montant]]),"th","fr")," bahts"," francs CFA")</f>
        <v>#NAME?</v>
      </c>
      <c r="P412" t="s">
        <v>33</v>
      </c>
      <c r="Q412">
        <v>2000722</v>
      </c>
      <c r="R412" t="s">
        <v>32</v>
      </c>
    </row>
    <row r="413" spans="2:18" hidden="1" x14ac:dyDescent="0.35">
      <c r="B413" s="63">
        <v>46286</v>
      </c>
      <c r="C413" t="s">
        <v>1344</v>
      </c>
      <c r="D413" t="s">
        <v>28</v>
      </c>
      <c r="E413" t="s">
        <v>860</v>
      </c>
      <c r="F413" t="s">
        <v>890</v>
      </c>
      <c r="G413" t="s">
        <v>891</v>
      </c>
      <c r="H413" s="85">
        <v>20435764679125</v>
      </c>
      <c r="I413" s="36">
        <v>46685</v>
      </c>
      <c r="J413" s="46" t="s">
        <v>892</v>
      </c>
      <c r="K413" t="s">
        <v>1264</v>
      </c>
      <c r="L413" t="s">
        <v>861</v>
      </c>
      <c r="M413" s="107">
        <v>10537600</v>
      </c>
      <c r="N413" t="s">
        <v>57</v>
      </c>
      <c r="O413" t="e" vm="1">
        <f ca="1">SUBSTITUTE(_xlfn.TRANSLATE(BAHTTEXT(Table1[[#This Row],[Montant]]),"th","fr")," bahts"," francs CFA")</f>
        <v>#NAME?</v>
      </c>
      <c r="P413" t="s">
        <v>33</v>
      </c>
      <c r="Q413">
        <v>2000723</v>
      </c>
      <c r="R413" t="s">
        <v>32</v>
      </c>
    </row>
    <row r="414" spans="2:18" hidden="1" x14ac:dyDescent="0.35">
      <c r="B414" s="63">
        <v>46286</v>
      </c>
      <c r="C414" t="s">
        <v>1345</v>
      </c>
      <c r="D414" t="s">
        <v>28</v>
      </c>
      <c r="E414" t="s">
        <v>860</v>
      </c>
      <c r="F414" t="s">
        <v>109</v>
      </c>
      <c r="G414" t="s">
        <v>109</v>
      </c>
      <c r="H414" s="85">
        <v>2546545404</v>
      </c>
      <c r="I414" s="65" t="s">
        <v>111</v>
      </c>
      <c r="J414" s="46" t="s">
        <v>110</v>
      </c>
      <c r="K414" t="s">
        <v>1267</v>
      </c>
      <c r="L414" t="s">
        <v>861</v>
      </c>
      <c r="M414" s="107">
        <v>7689780</v>
      </c>
      <c r="N414" t="s">
        <v>57</v>
      </c>
      <c r="O414" t="e" vm="1">
        <f ca="1">SUBSTITUTE(_xlfn.TRANSLATE(BAHTTEXT(Table1[[#This Row],[Montant]]),"th","fr")," bahts"," francs CFA")</f>
        <v>#NAME?</v>
      </c>
      <c r="P414" t="s">
        <v>33</v>
      </c>
      <c r="Q414">
        <v>2000724</v>
      </c>
      <c r="R414" t="s">
        <v>32</v>
      </c>
    </row>
    <row r="415" spans="2:18" x14ac:dyDescent="0.35">
      <c r="B415" s="63">
        <v>46286</v>
      </c>
      <c r="C415" t="s">
        <v>1346</v>
      </c>
      <c r="D415" t="s">
        <v>28</v>
      </c>
      <c r="E415" t="s">
        <v>860</v>
      </c>
      <c r="F415" t="s">
        <v>986</v>
      </c>
      <c r="G415" t="s">
        <v>987</v>
      </c>
      <c r="H415" s="85">
        <v>20411113178625</v>
      </c>
      <c r="I415" s="36">
        <v>46585</v>
      </c>
      <c r="J415" s="46" t="s">
        <v>988</v>
      </c>
      <c r="K415" t="s">
        <v>1347</v>
      </c>
      <c r="L415" t="s">
        <v>861</v>
      </c>
      <c r="M415" s="107">
        <v>32748800</v>
      </c>
      <c r="N415" t="s">
        <v>57</v>
      </c>
      <c r="O415" t="e" vm="1">
        <f ca="1">SUBSTITUTE(_xlfn.TRANSLATE(BAHTTEXT(Table1[[#This Row],[Montant]]),"th","fr")," bahts"," francs CFA")</f>
        <v>#NAME?</v>
      </c>
      <c r="P415" t="s">
        <v>33</v>
      </c>
      <c r="Q415">
        <v>2000725</v>
      </c>
      <c r="R415" t="s">
        <v>32</v>
      </c>
    </row>
    <row r="416" spans="2:18" hidden="1" x14ac:dyDescent="0.35">
      <c r="B416" s="63">
        <v>46286</v>
      </c>
      <c r="C416" t="s">
        <v>1348</v>
      </c>
      <c r="D416" t="s">
        <v>28</v>
      </c>
      <c r="E416" t="s">
        <v>860</v>
      </c>
      <c r="F416" t="s">
        <v>1195</v>
      </c>
      <c r="G416" t="s">
        <v>1195</v>
      </c>
      <c r="H416" s="85">
        <v>20919625372025</v>
      </c>
      <c r="I416" s="36">
        <v>46548</v>
      </c>
      <c r="J416" s="46" t="s">
        <v>1349</v>
      </c>
      <c r="K416" t="s">
        <v>1350</v>
      </c>
      <c r="L416" t="s">
        <v>861</v>
      </c>
      <c r="M416" s="107">
        <v>11738400</v>
      </c>
      <c r="N416" t="s">
        <v>57</v>
      </c>
      <c r="O416" t="s">
        <v>1194</v>
      </c>
      <c r="P416" t="s">
        <v>33</v>
      </c>
      <c r="Q416">
        <v>2000726</v>
      </c>
      <c r="R416" t="s">
        <v>32</v>
      </c>
    </row>
    <row r="417" spans="2:18" hidden="1" x14ac:dyDescent="0.35">
      <c r="B417" s="63">
        <v>46286</v>
      </c>
      <c r="C417" t="s">
        <v>1351</v>
      </c>
      <c r="D417" t="s">
        <v>28</v>
      </c>
      <c r="E417" t="s">
        <v>860</v>
      </c>
      <c r="F417" t="s">
        <v>1352</v>
      </c>
      <c r="G417" t="s">
        <v>1353</v>
      </c>
      <c r="H417" s="85">
        <v>100894518</v>
      </c>
      <c r="I417" s="36">
        <v>47953</v>
      </c>
      <c r="J417" s="46" t="s">
        <v>63</v>
      </c>
      <c r="K417" t="s">
        <v>1354</v>
      </c>
      <c r="L417" t="s">
        <v>861</v>
      </c>
      <c r="M417" s="107">
        <v>16438450</v>
      </c>
      <c r="N417" t="s">
        <v>57</v>
      </c>
      <c r="O417" t="s">
        <v>1194</v>
      </c>
      <c r="P417" t="s">
        <v>33</v>
      </c>
      <c r="Q417">
        <v>2000727</v>
      </c>
      <c r="R417" t="s">
        <v>32</v>
      </c>
    </row>
    <row r="418" spans="2:18" hidden="1" x14ac:dyDescent="0.35">
      <c r="B418" s="63">
        <v>46286</v>
      </c>
      <c r="C418" t="s">
        <v>1355</v>
      </c>
      <c r="D418" t="s">
        <v>28</v>
      </c>
      <c r="E418" t="s">
        <v>860</v>
      </c>
      <c r="F418" t="s">
        <v>166</v>
      </c>
      <c r="G418" t="s">
        <v>166</v>
      </c>
      <c r="H418" s="85">
        <v>1390715626</v>
      </c>
      <c r="I418" s="65" t="s">
        <v>163</v>
      </c>
      <c r="J418" s="67" t="s">
        <v>164</v>
      </c>
      <c r="K418" t="s">
        <v>1356</v>
      </c>
      <c r="L418" t="s">
        <v>861</v>
      </c>
      <c r="M418" s="107">
        <v>10746800</v>
      </c>
      <c r="N418" t="s">
        <v>57</v>
      </c>
      <c r="O418" t="e" vm="1">
        <f ca="1">SUBSTITUTE(_xlfn.TRANSLATE(BAHTTEXT(Table1[[#This Row],[Montant]]),"th","fr")," bahts"," francs CFA")</f>
        <v>#NAME?</v>
      </c>
      <c r="P418" t="s">
        <v>33</v>
      </c>
      <c r="Q418">
        <v>2000728</v>
      </c>
      <c r="R418" t="s">
        <v>32</v>
      </c>
    </row>
    <row r="419" spans="2:18" hidden="1" x14ac:dyDescent="0.35">
      <c r="B419" s="63">
        <v>46286</v>
      </c>
      <c r="C419" t="s">
        <v>1357</v>
      </c>
      <c r="D419" t="s">
        <v>28</v>
      </c>
      <c r="E419" t="s">
        <v>860</v>
      </c>
      <c r="F419" t="s">
        <v>900</v>
      </c>
      <c r="G419" t="s">
        <v>900</v>
      </c>
      <c r="H419" s="85" t="s">
        <v>924</v>
      </c>
      <c r="I419" s="36">
        <v>47393</v>
      </c>
      <c r="J419" s="46" t="s">
        <v>63</v>
      </c>
      <c r="K419" t="s">
        <v>1358</v>
      </c>
      <c r="L419" t="s">
        <v>861</v>
      </c>
      <c r="M419" s="107">
        <v>13915900</v>
      </c>
      <c r="N419" t="s">
        <v>57</v>
      </c>
      <c r="O419" t="e" vm="1">
        <f ca="1">SUBSTITUTE(_xlfn.TRANSLATE(BAHTTEXT(Table1[[#This Row],[Montant]]),"th","fr")," bahts"," francs CFA")</f>
        <v>#NAME?</v>
      </c>
      <c r="P419" t="s">
        <v>33</v>
      </c>
      <c r="Q419">
        <v>2000729</v>
      </c>
      <c r="R419" t="s">
        <v>32</v>
      </c>
    </row>
    <row r="420" spans="2:18" hidden="1" x14ac:dyDescent="0.35">
      <c r="B420" s="63">
        <v>46286</v>
      </c>
      <c r="C420" t="s">
        <v>1359</v>
      </c>
      <c r="D420" t="s">
        <v>28</v>
      </c>
      <c r="E420" t="s">
        <v>860</v>
      </c>
      <c r="F420" t="s">
        <v>1360</v>
      </c>
      <c r="G420" t="s">
        <v>1360</v>
      </c>
      <c r="H420" s="85">
        <v>100753688</v>
      </c>
      <c r="I420" s="36">
        <v>47615</v>
      </c>
      <c r="J420" s="46" t="s">
        <v>63</v>
      </c>
      <c r="K420" t="s">
        <v>1361</v>
      </c>
      <c r="L420" t="s">
        <v>861</v>
      </c>
      <c r="M420" s="107">
        <v>15281200</v>
      </c>
      <c r="N420" t="s">
        <v>57</v>
      </c>
      <c r="O420" t="e" vm="1">
        <f ca="1">SUBSTITUTE(_xlfn.TRANSLATE(BAHTTEXT(Table1[[#This Row],[Montant]]),"th","fr")," bahts"," francs CFA")</f>
        <v>#NAME?</v>
      </c>
      <c r="P420" t="s">
        <v>33</v>
      </c>
      <c r="Q420">
        <v>2000730</v>
      </c>
      <c r="R420" t="s">
        <v>32</v>
      </c>
    </row>
    <row r="421" spans="2:18" hidden="1" x14ac:dyDescent="0.35">
      <c r="B421" s="63">
        <v>46286</v>
      </c>
      <c r="C421" t="s">
        <v>1362</v>
      </c>
      <c r="D421" t="s">
        <v>28</v>
      </c>
      <c r="E421" t="s">
        <v>860</v>
      </c>
      <c r="F421" t="s">
        <v>1133</v>
      </c>
      <c r="G421" t="s">
        <v>1134</v>
      </c>
      <c r="H421" s="85">
        <v>20734524379725</v>
      </c>
      <c r="I421" s="36">
        <v>46632</v>
      </c>
      <c r="J421" s="46" t="s">
        <v>1135</v>
      </c>
      <c r="K421" t="s">
        <v>1363</v>
      </c>
      <c r="L421" t="s">
        <v>861</v>
      </c>
      <c r="M421" s="107">
        <v>17058200</v>
      </c>
      <c r="N421" t="s">
        <v>57</v>
      </c>
      <c r="O421" t="e" vm="1">
        <f ca="1">SUBSTITUTE(_xlfn.TRANSLATE(BAHTTEXT(Table1[[#This Row],[Montant]]),"th","fr")," bahts"," francs CFA")</f>
        <v>#NAME?</v>
      </c>
      <c r="P421" t="s">
        <v>33</v>
      </c>
      <c r="Q421">
        <v>2000732</v>
      </c>
      <c r="R421" t="s">
        <v>32</v>
      </c>
    </row>
    <row r="422" spans="2:18" hidden="1" x14ac:dyDescent="0.35">
      <c r="B422" s="63">
        <v>46286</v>
      </c>
      <c r="C422" t="s">
        <v>1364</v>
      </c>
      <c r="D422" t="s">
        <v>51</v>
      </c>
      <c r="E422" t="s">
        <v>51</v>
      </c>
      <c r="F422" t="s">
        <v>816</v>
      </c>
      <c r="G422" t="s">
        <v>269</v>
      </c>
      <c r="H422" s="85" t="s">
        <v>270</v>
      </c>
      <c r="I422" s="65" t="s">
        <v>271</v>
      </c>
      <c r="J422" s="46" t="s">
        <v>63</v>
      </c>
      <c r="K422" t="s">
        <v>63</v>
      </c>
      <c r="L422" t="s">
        <v>1365</v>
      </c>
      <c r="M422" s="106">
        <v>3000000</v>
      </c>
      <c r="N422" t="s">
        <v>47</v>
      </c>
      <c r="O422" t="e" vm="1">
        <f ca="1">SUBSTITUTE(_xlfn.TRANSLATE(BAHTTEXT(Table1[[#This Row],[Montant]]),"th","fr")," bahts"," francs CFA")</f>
        <v>#NAME?</v>
      </c>
      <c r="P422" t="s">
        <v>33</v>
      </c>
      <c r="Q422">
        <v>2000731</v>
      </c>
      <c r="R422" t="s">
        <v>32</v>
      </c>
    </row>
    <row r="423" spans="2:18" hidden="1" x14ac:dyDescent="0.35">
      <c r="B423" s="63">
        <v>46286</v>
      </c>
      <c r="C423" t="s">
        <v>1366</v>
      </c>
      <c r="D423" t="s">
        <v>28</v>
      </c>
      <c r="E423" t="s">
        <v>860</v>
      </c>
      <c r="F423" t="s">
        <v>46</v>
      </c>
      <c r="G423" t="s">
        <v>46</v>
      </c>
      <c r="H423" s="85">
        <v>1115119742</v>
      </c>
      <c r="I423" s="36">
        <v>46622</v>
      </c>
      <c r="J423" s="46" t="s">
        <v>48</v>
      </c>
      <c r="K423" t="s">
        <v>1367</v>
      </c>
      <c r="L423" t="s">
        <v>861</v>
      </c>
      <c r="M423" s="107">
        <v>14371500</v>
      </c>
      <c r="N423" t="s">
        <v>57</v>
      </c>
      <c r="O423" t="e" vm="1">
        <f ca="1">SUBSTITUTE(_xlfn.TRANSLATE(BAHTTEXT(Table1[[#This Row],[Montant]]),"th","fr")," bahts"," francs CFA")</f>
        <v>#NAME?</v>
      </c>
      <c r="P423" t="s">
        <v>33</v>
      </c>
      <c r="Q423">
        <v>2000733</v>
      </c>
      <c r="R423" t="s">
        <v>32</v>
      </c>
    </row>
    <row r="424" spans="2:18" hidden="1" x14ac:dyDescent="0.35">
      <c r="B424" s="63">
        <v>46286</v>
      </c>
      <c r="C424" t="s">
        <v>1368</v>
      </c>
      <c r="D424" t="s">
        <v>28</v>
      </c>
      <c r="E424" t="s">
        <v>860</v>
      </c>
      <c r="F424" t="s">
        <v>1239</v>
      </c>
      <c r="G424" t="s">
        <v>1239</v>
      </c>
      <c r="H424" s="85">
        <v>100404882</v>
      </c>
      <c r="I424" s="36">
        <v>46848</v>
      </c>
      <c r="J424" s="46" t="s">
        <v>63</v>
      </c>
      <c r="K424" t="s">
        <v>1369</v>
      </c>
      <c r="L424" t="s">
        <v>861</v>
      </c>
      <c r="M424" s="107">
        <v>2000000</v>
      </c>
      <c r="N424" t="s">
        <v>47</v>
      </c>
      <c r="O424" t="e" vm="1">
        <f ca="1">SUBSTITUTE(_xlfn.TRANSLATE(BAHTTEXT(Table1[[#This Row],[Montant]]),"th","fr")," bahts"," francs CFA")</f>
        <v>#NAME?</v>
      </c>
      <c r="P424" t="s">
        <v>33</v>
      </c>
      <c r="Q424">
        <v>2000734</v>
      </c>
      <c r="R424" t="s">
        <v>32</v>
      </c>
    </row>
    <row r="425" spans="2:18" hidden="1" x14ac:dyDescent="0.35">
      <c r="B425" s="63">
        <v>46286</v>
      </c>
      <c r="C425" t="s">
        <v>1370</v>
      </c>
      <c r="D425" t="s">
        <v>28</v>
      </c>
      <c r="E425" t="s">
        <v>860</v>
      </c>
      <c r="F425" t="s">
        <v>1047</v>
      </c>
      <c r="G425" t="s">
        <v>1048</v>
      </c>
      <c r="H425" s="85">
        <v>100423179</v>
      </c>
      <c r="I425" s="36">
        <v>46855</v>
      </c>
      <c r="J425" s="46" t="s">
        <v>63</v>
      </c>
      <c r="K425" t="s">
        <v>1371</v>
      </c>
      <c r="L425" t="s">
        <v>861</v>
      </c>
      <c r="M425" s="107">
        <v>15094200</v>
      </c>
      <c r="N425" t="s">
        <v>57</v>
      </c>
      <c r="O425" t="e" vm="1">
        <f ca="1">SUBSTITUTE(_xlfn.TRANSLATE(BAHTTEXT(Table1[[#This Row],[Montant]]),"th","fr")," bahts"," francs CFA")</f>
        <v>#NAME?</v>
      </c>
      <c r="P425" t="s">
        <v>33</v>
      </c>
      <c r="Q425">
        <v>2000736</v>
      </c>
      <c r="R425" t="s">
        <v>32</v>
      </c>
    </row>
    <row r="426" spans="2:18" hidden="1" x14ac:dyDescent="0.35">
      <c r="B426" s="63">
        <v>46287</v>
      </c>
      <c r="C426" t="s">
        <v>1375</v>
      </c>
      <c r="D426" t="s">
        <v>51</v>
      </c>
      <c r="E426" t="s">
        <v>51</v>
      </c>
      <c r="F426" t="s">
        <v>1376</v>
      </c>
      <c r="G426" t="s">
        <v>1377</v>
      </c>
      <c r="H426" s="85">
        <v>100927474</v>
      </c>
      <c r="I426" s="36">
        <v>48022</v>
      </c>
      <c r="J426" s="46" t="s">
        <v>63</v>
      </c>
      <c r="K426" t="s">
        <v>1378</v>
      </c>
      <c r="L426" t="s">
        <v>1379</v>
      </c>
      <c r="M426" s="106">
        <v>2890998</v>
      </c>
      <c r="N426" t="s">
        <v>57</v>
      </c>
      <c r="O426" t="e" vm="1">
        <f ca="1">SUBSTITUTE(_xlfn.TRANSLATE(BAHTTEXT(Table1[[#This Row],[Montant]]),"th","fr")," bahts"," francs CFA")</f>
        <v>#NAME?</v>
      </c>
      <c r="P426" t="s">
        <v>33</v>
      </c>
      <c r="Q426">
        <v>2000741</v>
      </c>
      <c r="R426" t="s">
        <v>32</v>
      </c>
    </row>
    <row r="427" spans="2:18" hidden="1" x14ac:dyDescent="0.35">
      <c r="B427" s="63">
        <v>46287</v>
      </c>
      <c r="C427" t="s">
        <v>1382</v>
      </c>
      <c r="D427" t="s">
        <v>28</v>
      </c>
      <c r="E427" t="s">
        <v>860</v>
      </c>
      <c r="F427" t="s">
        <v>1174</v>
      </c>
      <c r="G427" t="s">
        <v>1175</v>
      </c>
      <c r="H427" s="85">
        <v>100903092</v>
      </c>
      <c r="I427" s="36">
        <v>47976</v>
      </c>
      <c r="J427" s="46" t="s">
        <v>63</v>
      </c>
      <c r="K427" t="s">
        <v>1383</v>
      </c>
      <c r="L427" t="s">
        <v>861</v>
      </c>
      <c r="M427" s="107">
        <v>13873200</v>
      </c>
      <c r="N427" t="s">
        <v>57</v>
      </c>
      <c r="O427" t="e" vm="1">
        <f ca="1">SUBSTITUTE(_xlfn.TRANSLATE(BAHTTEXT(Table1[[#This Row],[Montant]]),"th","fr")," bahts"," francs CFA")</f>
        <v>#NAME?</v>
      </c>
      <c r="P427" t="s">
        <v>33</v>
      </c>
      <c r="Q427">
        <v>2000742</v>
      </c>
      <c r="R427" t="s">
        <v>32</v>
      </c>
    </row>
    <row r="428" spans="2:18" hidden="1" x14ac:dyDescent="0.35">
      <c r="B428" s="63">
        <v>46287</v>
      </c>
      <c r="C428" t="s">
        <v>1386</v>
      </c>
      <c r="D428" t="s">
        <v>28</v>
      </c>
      <c r="E428" t="s">
        <v>860</v>
      </c>
      <c r="F428" t="s">
        <v>1050</v>
      </c>
      <c r="G428" t="s">
        <v>1050</v>
      </c>
      <c r="H428" s="85">
        <v>100878624</v>
      </c>
      <c r="I428" s="36">
        <v>47920</v>
      </c>
      <c r="J428" s="46" t="s">
        <v>63</v>
      </c>
      <c r="K428" t="s">
        <v>1385</v>
      </c>
      <c r="L428" t="s">
        <v>861</v>
      </c>
      <c r="M428" s="107">
        <v>11550800</v>
      </c>
      <c r="N428" t="s">
        <v>57</v>
      </c>
      <c r="O428" t="e" vm="1">
        <f ca="1">SUBSTITUTE(_xlfn.TRANSLATE(BAHTTEXT(Table1[[#This Row],[Montant]]),"th","fr")," bahts"," francs CFA")</f>
        <v>#NAME?</v>
      </c>
      <c r="P428" t="s">
        <v>33</v>
      </c>
      <c r="Q428">
        <v>2000744</v>
      </c>
      <c r="R428" t="s">
        <v>32</v>
      </c>
    </row>
    <row r="429" spans="2:18" hidden="1" x14ac:dyDescent="0.35">
      <c r="B429" s="63">
        <v>46287</v>
      </c>
      <c r="C429" t="s">
        <v>1388</v>
      </c>
      <c r="D429" t="s">
        <v>82</v>
      </c>
      <c r="E429" t="s">
        <v>115</v>
      </c>
      <c r="F429" t="s">
        <v>743</v>
      </c>
      <c r="G429" t="s">
        <v>743</v>
      </c>
      <c r="H429" s="85" t="s">
        <v>63</v>
      </c>
      <c r="I429" t="s">
        <v>63</v>
      </c>
      <c r="J429" s="46" t="s">
        <v>63</v>
      </c>
      <c r="K429" t="s">
        <v>63</v>
      </c>
      <c r="L429" t="s">
        <v>1387</v>
      </c>
      <c r="M429" s="106">
        <v>180535</v>
      </c>
      <c r="N429" t="s">
        <v>57</v>
      </c>
      <c r="O429" t="e" vm="1">
        <f ca="1">SUBSTITUTE(_xlfn.TRANSLATE(BAHTTEXT(Table1[[#This Row],[Montant]]),"th","fr")," bahts"," francs CFA")</f>
        <v>#NAME?</v>
      </c>
      <c r="P429" t="s">
        <v>33</v>
      </c>
      <c r="Q429">
        <v>2000739</v>
      </c>
      <c r="R429" t="s">
        <v>32</v>
      </c>
    </row>
    <row r="430" spans="2:18" hidden="1" x14ac:dyDescent="0.35">
      <c r="B430" s="63">
        <v>46287</v>
      </c>
      <c r="C430" t="s">
        <v>1390</v>
      </c>
      <c r="D430" t="s">
        <v>82</v>
      </c>
      <c r="E430" t="s">
        <v>115</v>
      </c>
      <c r="F430" t="s">
        <v>743</v>
      </c>
      <c r="G430" t="s">
        <v>743</v>
      </c>
      <c r="H430" s="85" t="s">
        <v>63</v>
      </c>
      <c r="I430" t="s">
        <v>63</v>
      </c>
      <c r="J430" s="46" t="s">
        <v>63</v>
      </c>
      <c r="K430" t="s">
        <v>63</v>
      </c>
      <c r="L430" t="s">
        <v>1389</v>
      </c>
      <c r="M430" s="106">
        <v>240983</v>
      </c>
      <c r="N430" t="s">
        <v>57</v>
      </c>
      <c r="O430" t="e" vm="1">
        <f ca="1">SUBSTITUTE(_xlfn.TRANSLATE(BAHTTEXT(Table1[[#This Row],[Montant]]),"th","fr")," bahts"," francs CFA")</f>
        <v>#NAME?</v>
      </c>
      <c r="P430" t="s">
        <v>33</v>
      </c>
      <c r="Q430">
        <v>2000740</v>
      </c>
      <c r="R430" t="s">
        <v>32</v>
      </c>
    </row>
    <row r="431" spans="2:18" hidden="1" x14ac:dyDescent="0.35">
      <c r="B431" s="63">
        <v>46287</v>
      </c>
      <c r="C431" t="s">
        <v>1391</v>
      </c>
      <c r="D431" t="s">
        <v>82</v>
      </c>
      <c r="E431" t="s">
        <v>115</v>
      </c>
      <c r="F431" t="s">
        <v>743</v>
      </c>
      <c r="G431" t="s">
        <v>743</v>
      </c>
      <c r="H431" s="85" t="s">
        <v>63</v>
      </c>
      <c r="I431" t="s">
        <v>63</v>
      </c>
      <c r="J431" s="46" t="s">
        <v>63</v>
      </c>
      <c r="K431" t="s">
        <v>63</v>
      </c>
      <c r="L431" t="s">
        <v>1392</v>
      </c>
      <c r="M431" s="106">
        <v>1444676</v>
      </c>
      <c r="N431" t="s">
        <v>57</v>
      </c>
      <c r="O431" t="e" vm="1">
        <f ca="1">SUBSTITUTE(_xlfn.TRANSLATE(BAHTTEXT(Table1[[#This Row],[Montant]]),"th","fr")," bahts"," francs CFA")</f>
        <v>#NAME?</v>
      </c>
      <c r="P431" t="s">
        <v>33</v>
      </c>
      <c r="Q431">
        <v>2000737</v>
      </c>
      <c r="R431" t="s">
        <v>32</v>
      </c>
    </row>
    <row r="432" spans="2:18" hidden="1" x14ac:dyDescent="0.35">
      <c r="B432" s="63">
        <v>46288</v>
      </c>
      <c r="C432" t="s">
        <v>1394</v>
      </c>
      <c r="D432" t="s">
        <v>28</v>
      </c>
      <c r="E432" t="s">
        <v>860</v>
      </c>
      <c r="F432" t="s">
        <v>882</v>
      </c>
      <c r="G432" t="s">
        <v>880</v>
      </c>
      <c r="H432" s="85">
        <v>209735867</v>
      </c>
      <c r="I432" s="36">
        <v>46335</v>
      </c>
      <c r="J432" s="46" t="s">
        <v>63</v>
      </c>
      <c r="K432" t="s">
        <v>1395</v>
      </c>
      <c r="L432" t="s">
        <v>861</v>
      </c>
      <c r="M432" s="126">
        <v>50605600</v>
      </c>
      <c r="N432" t="s">
        <v>57</v>
      </c>
      <c r="O432" t="e" vm="1">
        <f ca="1">SUBSTITUTE(_xlfn.TRANSLATE(BAHTTEXT(Table1[[#This Row],[Montant]]),"th","fr")," bahts"," francs CFA")</f>
        <v>#NAME?</v>
      </c>
      <c r="P432" t="s">
        <v>33</v>
      </c>
      <c r="Q432">
        <v>2000743</v>
      </c>
      <c r="R432" t="s">
        <v>32</v>
      </c>
    </row>
    <row r="433" spans="2:18" hidden="1" x14ac:dyDescent="0.35">
      <c r="B433" s="63">
        <v>46288</v>
      </c>
      <c r="C433" t="s">
        <v>1398</v>
      </c>
      <c r="D433" t="s">
        <v>51</v>
      </c>
      <c r="E433" t="s">
        <v>51</v>
      </c>
      <c r="F433" t="s">
        <v>161</v>
      </c>
      <c r="G433" t="s">
        <v>143</v>
      </c>
      <c r="H433" s="85">
        <v>5924678990</v>
      </c>
      <c r="I433" s="36">
        <v>46629</v>
      </c>
      <c r="J433" s="46" t="s">
        <v>151</v>
      </c>
      <c r="K433" t="s">
        <v>63</v>
      </c>
      <c r="L433" t="s">
        <v>961</v>
      </c>
      <c r="M433" s="106">
        <v>1247695</v>
      </c>
      <c r="N433" t="s">
        <v>57</v>
      </c>
      <c r="O433" t="e" vm="1">
        <f ca="1">SUBSTITUTE(_xlfn.TRANSLATE(BAHTTEXT(Table1[[#This Row],[Montant]]),"th","fr")," bahts"," francs CFA")</f>
        <v>#NAME?</v>
      </c>
      <c r="P433" t="s">
        <v>33</v>
      </c>
      <c r="Q433">
        <v>2000745</v>
      </c>
      <c r="R433" t="s">
        <v>32</v>
      </c>
    </row>
    <row r="434" spans="2:18" hidden="1" x14ac:dyDescent="0.35">
      <c r="B434" s="63">
        <v>46289</v>
      </c>
      <c r="C434" t="s">
        <v>1399</v>
      </c>
      <c r="D434" t="s">
        <v>28</v>
      </c>
      <c r="E434" t="s">
        <v>860</v>
      </c>
      <c r="F434" t="s">
        <v>46</v>
      </c>
      <c r="G434" t="s">
        <v>46</v>
      </c>
      <c r="H434" s="85">
        <v>1115119742</v>
      </c>
      <c r="I434" s="36">
        <v>46622</v>
      </c>
      <c r="J434" s="46" t="s">
        <v>48</v>
      </c>
      <c r="K434" t="s">
        <v>1400</v>
      </c>
      <c r="L434" t="s">
        <v>861</v>
      </c>
      <c r="M434" s="107">
        <v>29118200</v>
      </c>
      <c r="N434" t="s">
        <v>57</v>
      </c>
      <c r="O434" t="e" vm="1">
        <f ca="1">SUBSTITUTE(_xlfn.TRANSLATE(BAHTTEXT(Table1[[#This Row],[Montant]]),"th","fr")," bahts"," francs CFA")</f>
        <v>#NAME?</v>
      </c>
      <c r="P434" t="s">
        <v>33</v>
      </c>
      <c r="Q434">
        <v>2000746</v>
      </c>
      <c r="R434" t="s">
        <v>32</v>
      </c>
    </row>
    <row r="435" spans="2:18" hidden="1" x14ac:dyDescent="0.35">
      <c r="B435" s="63">
        <v>46289</v>
      </c>
      <c r="C435" t="s">
        <v>1401</v>
      </c>
      <c r="D435" t="s">
        <v>28</v>
      </c>
      <c r="E435" t="s">
        <v>860</v>
      </c>
      <c r="F435" t="s">
        <v>1174</v>
      </c>
      <c r="G435" t="s">
        <v>1175</v>
      </c>
      <c r="H435" s="85">
        <v>100903092</v>
      </c>
      <c r="I435" s="36">
        <v>47976</v>
      </c>
      <c r="J435" s="46" t="s">
        <v>63</v>
      </c>
      <c r="K435" t="s">
        <v>1402</v>
      </c>
      <c r="L435" t="s">
        <v>861</v>
      </c>
      <c r="M435" s="107">
        <v>16935600</v>
      </c>
      <c r="N435" t="s">
        <v>57</v>
      </c>
      <c r="O435" t="e" vm="1">
        <f ca="1">SUBSTITUTE(_xlfn.TRANSLATE(BAHTTEXT(Table1[[#This Row],[Montant]]),"th","fr")," bahts"," francs CFA")</f>
        <v>#NAME?</v>
      </c>
      <c r="P435" t="s">
        <v>33</v>
      </c>
      <c r="Q435">
        <v>2000747</v>
      </c>
      <c r="R435" t="s">
        <v>32</v>
      </c>
    </row>
    <row r="436" spans="2:18" hidden="1" x14ac:dyDescent="0.35">
      <c r="B436" s="63">
        <v>46289</v>
      </c>
      <c r="C436" t="s">
        <v>1403</v>
      </c>
      <c r="D436" t="s">
        <v>28</v>
      </c>
      <c r="E436" t="s">
        <v>860</v>
      </c>
      <c r="F436" t="s">
        <v>890</v>
      </c>
      <c r="G436" t="s">
        <v>891</v>
      </c>
      <c r="H436" s="85">
        <v>20435764679125</v>
      </c>
      <c r="I436" s="36">
        <v>46685</v>
      </c>
      <c r="J436" s="46" t="s">
        <v>892</v>
      </c>
      <c r="K436" t="s">
        <v>1404</v>
      </c>
      <c r="L436" t="s">
        <v>861</v>
      </c>
      <c r="M436" s="126">
        <v>19204320</v>
      </c>
      <c r="N436" t="s">
        <v>57</v>
      </c>
      <c r="O436" t="e" vm="1">
        <f ca="1">SUBSTITUTE(_xlfn.TRANSLATE(BAHTTEXT(Table1[[#This Row],[Montant]]),"th","fr")," bahts"," francs CFA")</f>
        <v>#NAME?</v>
      </c>
      <c r="P436" t="s">
        <v>33</v>
      </c>
      <c r="Q436">
        <v>2000748</v>
      </c>
      <c r="R436" t="s">
        <v>32</v>
      </c>
    </row>
    <row r="437" spans="2:18" hidden="1" x14ac:dyDescent="0.35">
      <c r="B437" s="63">
        <v>46289</v>
      </c>
      <c r="C437" t="s">
        <v>1405</v>
      </c>
      <c r="D437" t="s">
        <v>28</v>
      </c>
      <c r="E437" t="s">
        <v>860</v>
      </c>
      <c r="F437" t="s">
        <v>998</v>
      </c>
      <c r="G437" t="s">
        <v>998</v>
      </c>
      <c r="H437" s="85">
        <v>100195299</v>
      </c>
      <c r="I437" s="36">
        <v>46630</v>
      </c>
      <c r="J437" s="46" t="s">
        <v>63</v>
      </c>
      <c r="K437" t="s">
        <v>1406</v>
      </c>
      <c r="L437" t="s">
        <v>861</v>
      </c>
      <c r="M437" s="107">
        <v>15523900</v>
      </c>
      <c r="N437" t="s">
        <v>57</v>
      </c>
      <c r="O437" t="e" vm="1">
        <f ca="1">SUBSTITUTE(_xlfn.TRANSLATE(BAHTTEXT(Table1[[#This Row],[Montant]]),"th","fr")," bahts"," francs CFA")</f>
        <v>#NAME?</v>
      </c>
      <c r="P437" t="s">
        <v>33</v>
      </c>
      <c r="Q437">
        <v>2000502</v>
      </c>
      <c r="R437" t="s">
        <v>32</v>
      </c>
    </row>
    <row r="438" spans="2:18" hidden="1" x14ac:dyDescent="0.35">
      <c r="B438" s="63">
        <v>46289</v>
      </c>
      <c r="C438" t="s">
        <v>1407</v>
      </c>
      <c r="D438" t="s">
        <v>28</v>
      </c>
      <c r="E438" t="s">
        <v>860</v>
      </c>
      <c r="F438" t="s">
        <v>1408</v>
      </c>
      <c r="G438" t="s">
        <v>1408</v>
      </c>
      <c r="H438" s="85">
        <v>20863872317726</v>
      </c>
      <c r="I438" s="36">
        <v>47892</v>
      </c>
      <c r="J438" s="46" t="s">
        <v>1409</v>
      </c>
      <c r="K438" t="s">
        <v>1410</v>
      </c>
      <c r="L438" t="s">
        <v>861</v>
      </c>
      <c r="M438" s="107">
        <v>13065000</v>
      </c>
      <c r="N438" t="s">
        <v>57</v>
      </c>
      <c r="O438" t="e" vm="1">
        <f ca="1">SUBSTITUTE(_xlfn.TRANSLATE(BAHTTEXT(Table1[[#This Row],[Montant]]),"th","fr")," bahts"," francs CFA")</f>
        <v>#NAME?</v>
      </c>
      <c r="P438" t="s">
        <v>33</v>
      </c>
      <c r="Q438">
        <v>2000501</v>
      </c>
      <c r="R438" t="s">
        <v>32</v>
      </c>
    </row>
    <row r="439" spans="2:18" hidden="1" x14ac:dyDescent="0.35">
      <c r="B439" s="63">
        <v>46289</v>
      </c>
      <c r="C439" t="s">
        <v>1411</v>
      </c>
      <c r="D439" t="s">
        <v>28</v>
      </c>
      <c r="E439" t="s">
        <v>860</v>
      </c>
      <c r="F439" t="s">
        <v>950</v>
      </c>
      <c r="G439" t="s">
        <v>950</v>
      </c>
      <c r="H439" s="85">
        <v>100637379</v>
      </c>
      <c r="I439" s="36">
        <v>47252</v>
      </c>
      <c r="J439" s="46" t="s">
        <v>63</v>
      </c>
      <c r="K439" t="s">
        <v>1412</v>
      </c>
      <c r="L439" t="s">
        <v>861</v>
      </c>
      <c r="M439" s="107">
        <v>9715200</v>
      </c>
      <c r="N439" t="s">
        <v>57</v>
      </c>
      <c r="O439" t="e" vm="1">
        <f ca="1">SUBSTITUTE(_xlfn.TRANSLATE(BAHTTEXT(Table1[[#This Row],[Montant]]),"th","fr")," bahts"," francs CFA")</f>
        <v>#NAME?</v>
      </c>
      <c r="P439" t="s">
        <v>33</v>
      </c>
      <c r="Q439">
        <v>2000750</v>
      </c>
      <c r="R439" t="s">
        <v>32</v>
      </c>
    </row>
    <row r="440" spans="2:18" hidden="1" x14ac:dyDescent="0.35">
      <c r="B440" s="63">
        <v>46289</v>
      </c>
      <c r="C440" t="s">
        <v>1413</v>
      </c>
      <c r="D440" t="s">
        <v>28</v>
      </c>
      <c r="E440" t="s">
        <v>860</v>
      </c>
      <c r="F440" t="s">
        <v>109</v>
      </c>
      <c r="G440" t="s">
        <v>109</v>
      </c>
      <c r="H440" s="85">
        <v>2546545404</v>
      </c>
      <c r="I440" s="65" t="s">
        <v>111</v>
      </c>
      <c r="J440" s="46" t="s">
        <v>110</v>
      </c>
      <c r="K440" t="s">
        <v>1414</v>
      </c>
      <c r="L440" t="s">
        <v>861</v>
      </c>
      <c r="M440" s="107">
        <v>11062020</v>
      </c>
      <c r="N440" t="s">
        <v>57</v>
      </c>
      <c r="O440" t="e" vm="1">
        <f ca="1">SUBSTITUTE(_xlfn.TRANSLATE(BAHTTEXT(Table1[[#This Row],[Montant]]),"th","fr")," bahts"," francs CFA")</f>
        <v>#NAME?</v>
      </c>
      <c r="P440" t="s">
        <v>33</v>
      </c>
      <c r="Q440">
        <v>2000503</v>
      </c>
      <c r="R440" t="s">
        <v>32</v>
      </c>
    </row>
    <row r="441" spans="2:18" hidden="1" x14ac:dyDescent="0.35">
      <c r="B441" s="63">
        <v>46289</v>
      </c>
      <c r="C441" t="s">
        <v>1415</v>
      </c>
      <c r="D441" t="s">
        <v>28</v>
      </c>
      <c r="E441" t="s">
        <v>860</v>
      </c>
      <c r="F441" t="s">
        <v>1133</v>
      </c>
      <c r="G441" t="s">
        <v>1134</v>
      </c>
      <c r="H441" s="85">
        <v>20734524379725</v>
      </c>
      <c r="I441" s="36">
        <v>46632</v>
      </c>
      <c r="J441" s="46" t="s">
        <v>1135</v>
      </c>
      <c r="K441" t="s">
        <v>1416</v>
      </c>
      <c r="L441" t="s">
        <v>861</v>
      </c>
      <c r="M441" s="107">
        <v>16616000</v>
      </c>
      <c r="N441" t="s">
        <v>57</v>
      </c>
      <c r="O441" t="s">
        <v>1417</v>
      </c>
      <c r="P441" t="s">
        <v>33</v>
      </c>
      <c r="Q441">
        <v>2000504</v>
      </c>
      <c r="R441" t="s">
        <v>32</v>
      </c>
    </row>
    <row r="442" spans="2:18" x14ac:dyDescent="0.35">
      <c r="B442" s="63">
        <v>46289</v>
      </c>
      <c r="C442" t="s">
        <v>1418</v>
      </c>
      <c r="D442" t="s">
        <v>28</v>
      </c>
      <c r="E442" t="s">
        <v>860</v>
      </c>
      <c r="F442" t="s">
        <v>986</v>
      </c>
      <c r="G442" t="s">
        <v>987</v>
      </c>
      <c r="H442" s="85">
        <v>20411113178625</v>
      </c>
      <c r="I442" s="36">
        <v>46585</v>
      </c>
      <c r="J442" s="46" t="s">
        <v>988</v>
      </c>
      <c r="K442" t="s">
        <v>1419</v>
      </c>
      <c r="L442" t="s">
        <v>861</v>
      </c>
      <c r="M442" s="107">
        <v>20719600</v>
      </c>
      <c r="N442" t="s">
        <v>57</v>
      </c>
      <c r="O442" t="e" vm="1">
        <f ca="1">SUBSTITUTE(_xlfn.TRANSLATE(BAHTTEXT(Table1[[#This Row],[Montant]]),"th","fr")," bahts"," francs CFA")</f>
        <v>#NAME?</v>
      </c>
      <c r="P442" t="s">
        <v>33</v>
      </c>
      <c r="Q442">
        <v>2000505</v>
      </c>
      <c r="R442" t="s">
        <v>32</v>
      </c>
    </row>
    <row r="443" spans="2:18" hidden="1" x14ac:dyDescent="0.35">
      <c r="B443" s="63">
        <v>46289</v>
      </c>
      <c r="C443" t="s">
        <v>1420</v>
      </c>
      <c r="D443" t="s">
        <v>28</v>
      </c>
      <c r="E443" t="s">
        <v>860</v>
      </c>
      <c r="F443" t="s">
        <v>1239</v>
      </c>
      <c r="G443" t="s">
        <v>1239</v>
      </c>
      <c r="H443" s="85">
        <v>100404882</v>
      </c>
      <c r="I443" s="36">
        <v>46848</v>
      </c>
      <c r="J443" s="46" t="s">
        <v>63</v>
      </c>
      <c r="K443" t="s">
        <v>1421</v>
      </c>
      <c r="L443" t="s">
        <v>861</v>
      </c>
      <c r="M443" s="107">
        <v>33231840</v>
      </c>
      <c r="N443" t="s">
        <v>57</v>
      </c>
      <c r="O443" t="e" vm="1">
        <f ca="1">SUBSTITUTE(_xlfn.TRANSLATE(BAHTTEXT(Table1[[#This Row],[Montant]]),"th","fr")," bahts"," francs CFA")</f>
        <v>#NAME?</v>
      </c>
      <c r="P443" t="s">
        <v>33</v>
      </c>
      <c r="Q443">
        <v>2000506</v>
      </c>
      <c r="R443" t="s">
        <v>32</v>
      </c>
    </row>
    <row r="444" spans="2:18" hidden="1" x14ac:dyDescent="0.35">
      <c r="B444" s="63">
        <v>46289</v>
      </c>
      <c r="C444" t="s">
        <v>1422</v>
      </c>
      <c r="D444" t="s">
        <v>28</v>
      </c>
      <c r="E444" t="s">
        <v>860</v>
      </c>
      <c r="F444" t="s">
        <v>1360</v>
      </c>
      <c r="G444" t="s">
        <v>1360</v>
      </c>
      <c r="H444" s="85">
        <v>100753688</v>
      </c>
      <c r="I444" s="36">
        <v>47615</v>
      </c>
      <c r="J444" s="46" t="s">
        <v>63</v>
      </c>
      <c r="K444" t="s">
        <v>1423</v>
      </c>
      <c r="L444" t="s">
        <v>861</v>
      </c>
      <c r="M444" s="107">
        <v>14480200</v>
      </c>
      <c r="N444" t="s">
        <v>57</v>
      </c>
      <c r="O444" t="e" vm="1">
        <f ca="1">SUBSTITUTE(_xlfn.TRANSLATE(BAHTTEXT(Table1[[#This Row],[Montant]]),"th","fr")," bahts"," francs CFA")</f>
        <v>#NAME?</v>
      </c>
      <c r="P444" t="s">
        <v>33</v>
      </c>
      <c r="Q444">
        <v>2000507</v>
      </c>
      <c r="R444" t="s">
        <v>32</v>
      </c>
    </row>
    <row r="445" spans="2:18" hidden="1" x14ac:dyDescent="0.35">
      <c r="B445" s="63">
        <v>46289</v>
      </c>
      <c r="C445" t="s">
        <v>1424</v>
      </c>
      <c r="D445" t="s">
        <v>82</v>
      </c>
      <c r="E445" t="s">
        <v>175</v>
      </c>
      <c r="F445" t="s">
        <v>782</v>
      </c>
      <c r="G445" t="s">
        <v>264</v>
      </c>
      <c r="H445" s="85">
        <v>20410262291725</v>
      </c>
      <c r="I445" s="36">
        <v>46581</v>
      </c>
      <c r="J445" s="46" t="s">
        <v>265</v>
      </c>
      <c r="K445" t="s">
        <v>63</v>
      </c>
      <c r="L445" t="s">
        <v>783</v>
      </c>
      <c r="M445" s="106">
        <v>10000000</v>
      </c>
      <c r="N445" t="s">
        <v>57</v>
      </c>
      <c r="O445" t="e" vm="1">
        <f ca="1">SUBSTITUTE(_xlfn.TRANSLATE(BAHTTEXT(Table1[[#This Row],[Montant]]),"th","fr")," bahts"," francs CFA")</f>
        <v>#NAME?</v>
      </c>
      <c r="P445" t="s">
        <v>33</v>
      </c>
      <c r="Q445">
        <v>2000511</v>
      </c>
      <c r="R445" t="s">
        <v>32</v>
      </c>
    </row>
    <row r="446" spans="2:18" hidden="1" x14ac:dyDescent="0.35">
      <c r="B446" s="63">
        <v>46289</v>
      </c>
      <c r="C446" t="s">
        <v>1425</v>
      </c>
      <c r="D446" t="s">
        <v>28</v>
      </c>
      <c r="E446" t="s">
        <v>860</v>
      </c>
      <c r="F446" t="s">
        <v>1050</v>
      </c>
      <c r="G446" t="s">
        <v>1050</v>
      </c>
      <c r="H446" s="85">
        <v>100878624</v>
      </c>
      <c r="I446" s="36">
        <v>47920</v>
      </c>
      <c r="J446" s="46" t="s">
        <v>63</v>
      </c>
      <c r="K446" t="s">
        <v>1426</v>
      </c>
      <c r="L446" t="s">
        <v>861</v>
      </c>
      <c r="M446" s="107">
        <v>11410100</v>
      </c>
      <c r="N446" t="s">
        <v>57</v>
      </c>
      <c r="O446" t="e" vm="1">
        <f ca="1">SUBSTITUTE(_xlfn.TRANSLATE(BAHTTEXT(Table1[[#This Row],[Montant]]),"th","fr")," bahts"," francs CFA")</f>
        <v>#NAME?</v>
      </c>
      <c r="P446" t="s">
        <v>33</v>
      </c>
      <c r="Q446">
        <v>2000512</v>
      </c>
      <c r="R446" t="s">
        <v>32</v>
      </c>
    </row>
    <row r="447" spans="2:18" hidden="1" x14ac:dyDescent="0.35">
      <c r="B447" s="63">
        <v>46289</v>
      </c>
      <c r="C447" t="s">
        <v>1427</v>
      </c>
      <c r="D447" t="s">
        <v>28</v>
      </c>
      <c r="E447" t="s">
        <v>860</v>
      </c>
      <c r="F447" t="s">
        <v>900</v>
      </c>
      <c r="G447" t="s">
        <v>900</v>
      </c>
      <c r="H447" s="85" t="s">
        <v>924</v>
      </c>
      <c r="I447" s="36">
        <v>47393</v>
      </c>
      <c r="J447" s="46" t="s">
        <v>63</v>
      </c>
      <c r="K447" t="s">
        <v>1428</v>
      </c>
      <c r="L447" t="s">
        <v>861</v>
      </c>
      <c r="M447" s="107">
        <v>14371506</v>
      </c>
      <c r="N447" t="s">
        <v>57</v>
      </c>
      <c r="O447" t="e" vm="1">
        <f ca="1">SUBSTITUTE(_xlfn.TRANSLATE(BAHTTEXT(Table1[[#This Row],[Montant]]),"th","fr")," bahts"," francs CFA")</f>
        <v>#NAME?</v>
      </c>
      <c r="P447" t="s">
        <v>33</v>
      </c>
      <c r="Q447">
        <v>2000509</v>
      </c>
      <c r="R447" t="s">
        <v>32</v>
      </c>
    </row>
    <row r="448" spans="2:18" hidden="1" x14ac:dyDescent="0.35">
      <c r="B448" s="63">
        <v>46289</v>
      </c>
      <c r="C448" t="s">
        <v>1429</v>
      </c>
      <c r="D448" t="s">
        <v>28</v>
      </c>
      <c r="E448" t="s">
        <v>860</v>
      </c>
      <c r="F448" t="s">
        <v>1332</v>
      </c>
      <c r="G448" t="s">
        <v>1333</v>
      </c>
      <c r="H448" s="85">
        <v>20350801143826</v>
      </c>
      <c r="I448" s="36">
        <v>48001</v>
      </c>
      <c r="J448" s="46" t="s">
        <v>1334</v>
      </c>
      <c r="K448" t="s">
        <v>1430</v>
      </c>
      <c r="L448" t="s">
        <v>861</v>
      </c>
      <c r="M448" s="107">
        <v>15052880</v>
      </c>
      <c r="N448" t="s">
        <v>57</v>
      </c>
      <c r="O448" t="e" vm="1">
        <f ca="1">SUBSTITUTE(_xlfn.TRANSLATE(BAHTTEXT(Table1[[#This Row],[Montant]]),"th","fr")," bahts"," francs CFA")</f>
        <v>#NAME?</v>
      </c>
      <c r="P448" t="s">
        <v>33</v>
      </c>
      <c r="Q448">
        <v>2000510</v>
      </c>
      <c r="R448" t="s">
        <v>32</v>
      </c>
    </row>
    <row r="449" spans="2:18" hidden="1" x14ac:dyDescent="0.35">
      <c r="B449" s="63">
        <v>46290</v>
      </c>
      <c r="C449" t="s">
        <v>1431</v>
      </c>
      <c r="D449" t="s">
        <v>28</v>
      </c>
      <c r="E449" t="s">
        <v>860</v>
      </c>
      <c r="F449" t="s">
        <v>1328</v>
      </c>
      <c r="G449" t="s">
        <v>1432</v>
      </c>
      <c r="H449" s="85">
        <v>20325601308824</v>
      </c>
      <c r="I449" s="36">
        <v>46283</v>
      </c>
      <c r="J449" s="46" t="s">
        <v>1433</v>
      </c>
      <c r="K449" t="s">
        <v>1434</v>
      </c>
      <c r="L449" t="s">
        <v>861</v>
      </c>
      <c r="M449" s="107">
        <v>15107400</v>
      </c>
      <c r="N449" t="s">
        <v>57</v>
      </c>
      <c r="O449" t="e" vm="1">
        <f ca="1">SUBSTITUTE(_xlfn.TRANSLATE(BAHTTEXT(Table1[[#This Row],[Montant]]),"th","fr")," bahts"," francs CFA")</f>
        <v>#NAME?</v>
      </c>
      <c r="P449" t="s">
        <v>33</v>
      </c>
      <c r="Q449">
        <v>2000514</v>
      </c>
      <c r="R449" t="s">
        <v>32</v>
      </c>
    </row>
    <row r="450" spans="2:18" hidden="1" x14ac:dyDescent="0.35">
      <c r="B450" s="63">
        <v>46290</v>
      </c>
      <c r="C450" t="s">
        <v>1438</v>
      </c>
      <c r="D450" t="s">
        <v>1076</v>
      </c>
      <c r="E450" t="s">
        <v>1076</v>
      </c>
      <c r="F450" t="s">
        <v>352</v>
      </c>
      <c r="G450" t="s">
        <v>352</v>
      </c>
      <c r="H450" s="85" t="s">
        <v>63</v>
      </c>
      <c r="I450" t="s">
        <v>63</v>
      </c>
      <c r="J450" s="46" t="s">
        <v>63</v>
      </c>
      <c r="K450" t="s">
        <v>63</v>
      </c>
      <c r="L450" t="s">
        <v>1435</v>
      </c>
      <c r="M450" s="106">
        <v>55000000</v>
      </c>
      <c r="N450" t="s">
        <v>57</v>
      </c>
      <c r="O450" t="e" vm="1">
        <f ca="1">SUBSTITUTE(_xlfn.TRANSLATE(BAHTTEXT(Table1[[#This Row],[Montant]]),"th","fr")," bahts"," francs CFA")</f>
        <v>#NAME?</v>
      </c>
      <c r="P450" t="s">
        <v>33</v>
      </c>
      <c r="Q450">
        <v>2000513</v>
      </c>
      <c r="R450" t="s">
        <v>32</v>
      </c>
    </row>
    <row r="451" spans="2:18" hidden="1" x14ac:dyDescent="0.35">
      <c r="B451" s="63">
        <v>46290</v>
      </c>
      <c r="C451" t="s">
        <v>1439</v>
      </c>
      <c r="D451" t="s">
        <v>51</v>
      </c>
      <c r="E451" t="s">
        <v>199</v>
      </c>
      <c r="F451" t="s">
        <v>200</v>
      </c>
      <c r="G451" t="s">
        <v>200</v>
      </c>
      <c r="H451" t="s">
        <v>63</v>
      </c>
      <c r="I451" s="46" t="s">
        <v>63</v>
      </c>
      <c r="J451" s="46"/>
      <c r="K451" t="s">
        <v>1436</v>
      </c>
      <c r="L451" t="s">
        <v>1437</v>
      </c>
      <c r="M451" s="106">
        <v>2306315</v>
      </c>
      <c r="N451" t="s">
        <v>57</v>
      </c>
      <c r="O451" t="e" vm="1">
        <f ca="1">SUBSTITUTE(_xlfn.TRANSLATE(BAHTTEXT(Table1[[#This Row],[Montant]]),"th","fr")," bahts"," francs CFA")</f>
        <v>#NAME?</v>
      </c>
      <c r="P451" t="s">
        <v>33</v>
      </c>
      <c r="Q451">
        <v>2000515</v>
      </c>
      <c r="R451" t="s">
        <v>32</v>
      </c>
    </row>
    <row r="452" spans="2:18" hidden="1" x14ac:dyDescent="0.35">
      <c r="B452" s="63">
        <v>46290</v>
      </c>
      <c r="C452" t="s">
        <v>1442</v>
      </c>
      <c r="D452" t="s">
        <v>28</v>
      </c>
      <c r="E452" t="s">
        <v>860</v>
      </c>
      <c r="F452" t="s">
        <v>1443</v>
      </c>
      <c r="G452" t="s">
        <v>1444</v>
      </c>
      <c r="H452" s="85">
        <v>100115793</v>
      </c>
      <c r="I452" s="36">
        <v>46433</v>
      </c>
      <c r="J452" s="46" t="s">
        <v>63</v>
      </c>
      <c r="K452" t="s">
        <v>1445</v>
      </c>
      <c r="L452" t="s">
        <v>861</v>
      </c>
      <c r="M452" s="107">
        <v>16508800</v>
      </c>
      <c r="N452" t="s">
        <v>57</v>
      </c>
      <c r="O452" t="e" vm="1">
        <f ca="1">SUBSTITUTE(_xlfn.TRANSLATE(BAHTTEXT(Table1[[#This Row],[Montant]]),"th","fr")," bahts"," francs CFA")</f>
        <v>#NAME?</v>
      </c>
      <c r="P452" t="s">
        <v>33</v>
      </c>
      <c r="Q452">
        <v>2000517</v>
      </c>
      <c r="R452" t="s">
        <v>32</v>
      </c>
    </row>
    <row r="453" spans="2:18" hidden="1" x14ac:dyDescent="0.35">
      <c r="B453" s="63">
        <v>46290</v>
      </c>
      <c r="C453" t="s">
        <v>1446</v>
      </c>
      <c r="D453" t="s">
        <v>28</v>
      </c>
      <c r="E453" t="s">
        <v>860</v>
      </c>
      <c r="F453" t="s">
        <v>1195</v>
      </c>
      <c r="G453" t="s">
        <v>1195</v>
      </c>
      <c r="H453" s="85">
        <v>20919625372025</v>
      </c>
      <c r="I453" s="36">
        <v>46548</v>
      </c>
      <c r="J453" s="46" t="s">
        <v>1349</v>
      </c>
      <c r="K453" t="s">
        <v>1447</v>
      </c>
      <c r="L453" t="s">
        <v>861</v>
      </c>
      <c r="M453" s="107">
        <v>11644600</v>
      </c>
      <c r="N453" t="s">
        <v>57</v>
      </c>
      <c r="O453" t="e" vm="1">
        <f ca="1">SUBSTITUTE(_xlfn.TRANSLATE(BAHTTEXT(Table1[[#This Row],[Montant]]),"th","fr")," bahts"," francs CFA")</f>
        <v>#NAME?</v>
      </c>
      <c r="P453" t="s">
        <v>33</v>
      </c>
      <c r="Q453">
        <v>2000516</v>
      </c>
      <c r="R453" t="s">
        <v>32</v>
      </c>
    </row>
    <row r="454" spans="2:18" hidden="1" x14ac:dyDescent="0.35">
      <c r="B454" s="63">
        <v>46290</v>
      </c>
      <c r="C454" t="s">
        <v>1448</v>
      </c>
      <c r="D454" t="s">
        <v>28</v>
      </c>
      <c r="E454" t="s">
        <v>860</v>
      </c>
      <c r="F454" t="s">
        <v>1052</v>
      </c>
      <c r="G454" t="s">
        <v>1126</v>
      </c>
      <c r="H454" s="85">
        <v>100278389</v>
      </c>
      <c r="I454" s="36">
        <v>46726</v>
      </c>
      <c r="J454" s="46" t="s">
        <v>63</v>
      </c>
      <c r="K454" t="s">
        <v>1449</v>
      </c>
      <c r="L454" t="s">
        <v>861</v>
      </c>
      <c r="M454" s="106">
        <v>16979600</v>
      </c>
      <c r="N454" t="s">
        <v>57</v>
      </c>
      <c r="O454" t="e" vm="1">
        <f ca="1">SUBSTITUTE(_xlfn.TRANSLATE(BAHTTEXT(Table1[[#This Row],[Montant]]),"th","fr")," bahts"," francs CFA")</f>
        <v>#NAME?</v>
      </c>
      <c r="P454" t="s">
        <v>33</v>
      </c>
      <c r="Q454">
        <v>2000518</v>
      </c>
      <c r="R454" t="s">
        <v>32</v>
      </c>
    </row>
    <row r="455" spans="2:18" hidden="1" x14ac:dyDescent="0.35">
      <c r="B455" s="63">
        <v>46290</v>
      </c>
      <c r="C455" t="s">
        <v>1450</v>
      </c>
      <c r="D455" t="s">
        <v>28</v>
      </c>
      <c r="E455" t="s">
        <v>860</v>
      </c>
      <c r="F455" t="s">
        <v>1278</v>
      </c>
      <c r="G455" t="s">
        <v>1278</v>
      </c>
      <c r="H455" s="85">
        <v>100762270</v>
      </c>
      <c r="I455" s="36">
        <v>47644</v>
      </c>
      <c r="J455" s="46" t="s">
        <v>63</v>
      </c>
      <c r="K455" t="s">
        <v>1451</v>
      </c>
      <c r="L455" t="s">
        <v>861</v>
      </c>
      <c r="M455" s="107">
        <v>759000</v>
      </c>
      <c r="N455" t="s">
        <v>57</v>
      </c>
      <c r="O455" t="e" vm="1">
        <f ca="1">SUBSTITUTE(_xlfn.TRANSLATE(BAHTTEXT(Table1[[#This Row],[Montant]]),"th","fr")," bahts"," francs CFA")</f>
        <v>#NAME?</v>
      </c>
      <c r="P455" t="s">
        <v>33</v>
      </c>
      <c r="Q455">
        <v>2000519</v>
      </c>
      <c r="R455" t="s">
        <v>32</v>
      </c>
    </row>
    <row r="456" spans="2:18" hidden="1" x14ac:dyDescent="0.35">
      <c r="B456" s="63">
        <v>46290</v>
      </c>
      <c r="C456" t="s">
        <v>1467</v>
      </c>
      <c r="D456" t="s">
        <v>51</v>
      </c>
      <c r="E456" t="s">
        <v>199</v>
      </c>
      <c r="F456" t="s">
        <v>200</v>
      </c>
      <c r="G456" t="s">
        <v>200</v>
      </c>
      <c r="H456" t="s">
        <v>63</v>
      </c>
      <c r="I456" s="46" t="s">
        <v>63</v>
      </c>
      <c r="J456" s="46"/>
      <c r="K456" t="s">
        <v>1468</v>
      </c>
      <c r="L456" t="s">
        <v>1469</v>
      </c>
      <c r="M456" s="106">
        <v>1549745</v>
      </c>
      <c r="N456" t="s">
        <v>57</v>
      </c>
      <c r="O456" t="e" vm="1">
        <f ca="1">SUBSTITUTE(_xlfn.TRANSLATE(BAHTTEXT(Table1[[#This Row],[Montant]]),"th","fr")," bahts"," francs CFA")</f>
        <v>#NAME?</v>
      </c>
      <c r="P456" t="s">
        <v>33</v>
      </c>
      <c r="Q456">
        <v>2000520</v>
      </c>
      <c r="R456" t="s">
        <v>32</v>
      </c>
    </row>
    <row r="457" spans="2:18" hidden="1" x14ac:dyDescent="0.35">
      <c r="B457" s="63">
        <v>46293</v>
      </c>
      <c r="C457" t="s">
        <v>1470</v>
      </c>
      <c r="D457" t="s">
        <v>1076</v>
      </c>
      <c r="E457" t="s">
        <v>1076</v>
      </c>
      <c r="F457" t="s">
        <v>352</v>
      </c>
      <c r="G457" t="s">
        <v>254</v>
      </c>
      <c r="H457" s="85">
        <v>8188560503</v>
      </c>
      <c r="I457" s="65">
        <v>48094</v>
      </c>
      <c r="J457" s="46" t="s">
        <v>277</v>
      </c>
      <c r="K457" t="s">
        <v>63</v>
      </c>
      <c r="L457" t="s">
        <v>1075</v>
      </c>
      <c r="M457" s="106">
        <v>1000000</v>
      </c>
      <c r="N457" t="s">
        <v>57</v>
      </c>
      <c r="O457" t="e" vm="1">
        <f ca="1">SUBSTITUTE(_xlfn.TRANSLATE(BAHTTEXT(Table1[[#This Row],[Montant]]),"th","fr")," bahts"," francs CFA")</f>
        <v>#NAME?</v>
      </c>
      <c r="P457" t="s">
        <v>33</v>
      </c>
      <c r="Q457">
        <v>2000521</v>
      </c>
      <c r="R457" t="s">
        <v>32</v>
      </c>
    </row>
    <row r="458" spans="2:18" hidden="1" x14ac:dyDescent="0.35">
      <c r="B458" s="63">
        <v>46294</v>
      </c>
      <c r="C458" t="s">
        <v>1471</v>
      </c>
      <c r="D458" t="s">
        <v>28</v>
      </c>
      <c r="E458" t="s">
        <v>860</v>
      </c>
      <c r="F458" t="s">
        <v>950</v>
      </c>
      <c r="G458" t="s">
        <v>950</v>
      </c>
      <c r="H458" s="85">
        <v>100637379</v>
      </c>
      <c r="I458" s="36">
        <v>47252</v>
      </c>
      <c r="J458" s="46" t="s">
        <v>63</v>
      </c>
      <c r="K458" t="s">
        <v>1475</v>
      </c>
      <c r="L458" t="s">
        <v>861</v>
      </c>
      <c r="M458" s="107">
        <v>16658400</v>
      </c>
      <c r="N458" t="s">
        <v>57</v>
      </c>
      <c r="O458" t="s">
        <v>1476</v>
      </c>
      <c r="P458" t="s">
        <v>33</v>
      </c>
      <c r="Q458">
        <v>2000522</v>
      </c>
      <c r="R458" t="s">
        <v>32</v>
      </c>
    </row>
    <row r="459" spans="2:18" hidden="1" x14ac:dyDescent="0.35">
      <c r="B459" s="63">
        <v>46294</v>
      </c>
      <c r="C459" t="s">
        <v>1477</v>
      </c>
      <c r="D459" t="s">
        <v>28</v>
      </c>
      <c r="E459" t="s">
        <v>860</v>
      </c>
      <c r="F459" t="s">
        <v>998</v>
      </c>
      <c r="G459" t="s">
        <v>998</v>
      </c>
      <c r="H459" s="85">
        <v>100195299</v>
      </c>
      <c r="I459" s="36">
        <v>46630</v>
      </c>
      <c r="J459" s="46" t="s">
        <v>63</v>
      </c>
      <c r="K459" t="s">
        <v>1478</v>
      </c>
      <c r="L459" t="s">
        <v>861</v>
      </c>
      <c r="M459" s="106">
        <v>16726000</v>
      </c>
      <c r="N459" t="s">
        <v>57</v>
      </c>
      <c r="O459" t="s">
        <v>1479</v>
      </c>
      <c r="P459" t="s">
        <v>33</v>
      </c>
      <c r="Q459">
        <v>2000523</v>
      </c>
      <c r="R459" t="s">
        <v>32</v>
      </c>
    </row>
    <row r="460" spans="2:18" hidden="1" x14ac:dyDescent="0.35">
      <c r="B460" s="63">
        <v>46294</v>
      </c>
      <c r="C460" t="s">
        <v>1480</v>
      </c>
      <c r="D460" t="s">
        <v>28</v>
      </c>
      <c r="E460" t="s">
        <v>860</v>
      </c>
      <c r="F460" t="s">
        <v>46</v>
      </c>
      <c r="G460" t="s">
        <v>46</v>
      </c>
      <c r="H460" s="85">
        <v>1115119742</v>
      </c>
      <c r="I460" s="36">
        <v>46622</v>
      </c>
      <c r="J460" s="46" t="s">
        <v>48</v>
      </c>
      <c r="K460" t="s">
        <v>1482</v>
      </c>
      <c r="L460" t="s">
        <v>861</v>
      </c>
      <c r="M460" s="106">
        <v>12000000</v>
      </c>
      <c r="N460" t="s">
        <v>57</v>
      </c>
      <c r="O460" t="s">
        <v>1481</v>
      </c>
      <c r="P460" t="s">
        <v>33</v>
      </c>
      <c r="Q460">
        <v>2000524</v>
      </c>
      <c r="R460" t="s">
        <v>32</v>
      </c>
    </row>
    <row r="461" spans="2:18" hidden="1" x14ac:dyDescent="0.35">
      <c r="B461" s="63">
        <v>46294</v>
      </c>
      <c r="C461" t="s">
        <v>1484</v>
      </c>
      <c r="D461" t="s">
        <v>82</v>
      </c>
      <c r="E461" t="s">
        <v>175</v>
      </c>
      <c r="F461" t="s">
        <v>347</v>
      </c>
      <c r="G461" t="s">
        <v>348</v>
      </c>
      <c r="H461" s="85">
        <v>7668041413</v>
      </c>
      <c r="I461" s="36">
        <v>46670</v>
      </c>
      <c r="J461" s="46" t="s">
        <v>346</v>
      </c>
      <c r="K461" t="s">
        <v>63</v>
      </c>
      <c r="L461" t="s">
        <v>528</v>
      </c>
      <c r="M461" s="106">
        <v>10000000</v>
      </c>
      <c r="N461" t="s">
        <v>57</v>
      </c>
      <c r="O461" t="s">
        <v>1483</v>
      </c>
      <c r="P461" t="s">
        <v>33</v>
      </c>
      <c r="Q461">
        <v>2000525</v>
      </c>
      <c r="R461" t="s">
        <v>32</v>
      </c>
    </row>
    <row r="462" spans="2:18" hidden="1" x14ac:dyDescent="0.35">
      <c r="B462" s="63">
        <v>46294</v>
      </c>
      <c r="C462" t="s">
        <v>1485</v>
      </c>
      <c r="D462" t="s">
        <v>28</v>
      </c>
      <c r="E462" t="s">
        <v>860</v>
      </c>
      <c r="F462" t="s">
        <v>890</v>
      </c>
      <c r="G462" t="s">
        <v>891</v>
      </c>
      <c r="H462" s="85">
        <v>20435764679125</v>
      </c>
      <c r="I462" s="36">
        <v>46685</v>
      </c>
      <c r="J462" s="46" t="s">
        <v>892</v>
      </c>
      <c r="K462" t="s">
        <v>1486</v>
      </c>
      <c r="L462" t="s">
        <v>861</v>
      </c>
      <c r="M462" s="126">
        <v>6505760</v>
      </c>
      <c r="N462" t="s">
        <v>57</v>
      </c>
      <c r="O462" t="e" vm="1">
        <f ca="1">SUBSTITUTE(_xlfn.TRANSLATE(BAHTTEXT(Table1[[#This Row],[Montant]]),"th","fr")," bahts"," francs CFA")</f>
        <v>#NAME?</v>
      </c>
      <c r="P462" t="s">
        <v>33</v>
      </c>
      <c r="Q462">
        <v>2000526</v>
      </c>
      <c r="R462" t="s">
        <v>32</v>
      </c>
    </row>
    <row r="463" spans="2:18" hidden="1" x14ac:dyDescent="0.35">
      <c r="B463" s="63">
        <v>46294</v>
      </c>
      <c r="C463" t="s">
        <v>1487</v>
      </c>
      <c r="D463" t="s">
        <v>28</v>
      </c>
      <c r="E463" t="s">
        <v>860</v>
      </c>
      <c r="F463" t="s">
        <v>890</v>
      </c>
      <c r="G463" t="s">
        <v>891</v>
      </c>
      <c r="H463" s="85">
        <v>20435764679125</v>
      </c>
      <c r="I463" s="36">
        <v>46685</v>
      </c>
      <c r="J463" s="46" t="s">
        <v>892</v>
      </c>
      <c r="K463" t="s">
        <v>1489</v>
      </c>
      <c r="L463" t="s">
        <v>861</v>
      </c>
      <c r="M463" s="126">
        <v>4740960</v>
      </c>
      <c r="N463" t="s">
        <v>57</v>
      </c>
      <c r="O463" t="s">
        <v>1488</v>
      </c>
      <c r="P463" t="s">
        <v>33</v>
      </c>
      <c r="Q463">
        <v>2000527</v>
      </c>
      <c r="R463" t="s">
        <v>32</v>
      </c>
    </row>
    <row r="464" spans="2:18" hidden="1" x14ac:dyDescent="0.35">
      <c r="B464" s="63">
        <v>46294</v>
      </c>
      <c r="C464" t="s">
        <v>1490</v>
      </c>
      <c r="D464" t="s">
        <v>28</v>
      </c>
      <c r="E464" t="s">
        <v>860</v>
      </c>
      <c r="F464" t="s">
        <v>1239</v>
      </c>
      <c r="G464" t="s">
        <v>1239</v>
      </c>
      <c r="H464" s="85">
        <v>100404882</v>
      </c>
      <c r="I464" s="36">
        <v>46848</v>
      </c>
      <c r="J464" s="46" t="s">
        <v>63</v>
      </c>
      <c r="K464" t="s">
        <v>1492</v>
      </c>
      <c r="L464" t="s">
        <v>861</v>
      </c>
      <c r="M464" s="106">
        <v>16600000</v>
      </c>
      <c r="N464" t="s">
        <v>57</v>
      </c>
      <c r="O464" t="s">
        <v>1491</v>
      </c>
      <c r="P464" t="s">
        <v>33</v>
      </c>
      <c r="Q464">
        <v>2000528</v>
      </c>
      <c r="R464" t="s">
        <v>32</v>
      </c>
    </row>
    <row r="465" spans="2:18" hidden="1" x14ac:dyDescent="0.35">
      <c r="B465" s="63">
        <v>46295</v>
      </c>
      <c r="C465" t="s">
        <v>1493</v>
      </c>
      <c r="D465" t="s">
        <v>28</v>
      </c>
      <c r="E465" t="s">
        <v>860</v>
      </c>
      <c r="F465" t="s">
        <v>46</v>
      </c>
      <c r="G465" t="s">
        <v>46</v>
      </c>
      <c r="H465" s="85">
        <v>1115119742</v>
      </c>
      <c r="I465" s="36">
        <v>46622</v>
      </c>
      <c r="J465" s="46" t="s">
        <v>48</v>
      </c>
      <c r="K465" t="s">
        <v>1494</v>
      </c>
      <c r="L465" t="s">
        <v>861</v>
      </c>
      <c r="M465" s="106">
        <v>12964200</v>
      </c>
      <c r="N465" t="s">
        <v>57</v>
      </c>
      <c r="P465" t="s">
        <v>33</v>
      </c>
      <c r="Q465">
        <v>2000531</v>
      </c>
      <c r="R465" t="s">
        <v>32</v>
      </c>
    </row>
    <row r="466" spans="2:18" hidden="1" x14ac:dyDescent="0.35">
      <c r="B466" s="63">
        <v>46295</v>
      </c>
      <c r="C466" t="s">
        <v>1495</v>
      </c>
      <c r="D466" t="s">
        <v>28</v>
      </c>
      <c r="E466" t="s">
        <v>860</v>
      </c>
      <c r="F466" t="s">
        <v>1133</v>
      </c>
      <c r="G466" t="s">
        <v>1134</v>
      </c>
      <c r="H466" s="85">
        <v>20734524379725</v>
      </c>
      <c r="I466" s="36">
        <v>46632</v>
      </c>
      <c r="J466" s="46" t="s">
        <v>1135</v>
      </c>
      <c r="K466" t="s">
        <v>1496</v>
      </c>
      <c r="L466" t="s">
        <v>861</v>
      </c>
      <c r="M466" s="107">
        <v>16555700</v>
      </c>
      <c r="N466" t="s">
        <v>57</v>
      </c>
      <c r="P466" t="s">
        <v>33</v>
      </c>
      <c r="Q466">
        <v>2000532</v>
      </c>
      <c r="R466" t="s">
        <v>32</v>
      </c>
    </row>
    <row r="467" spans="2:18" hidden="1" x14ac:dyDescent="0.35">
      <c r="B467" s="63">
        <v>46295</v>
      </c>
      <c r="C467" t="s">
        <v>1497</v>
      </c>
      <c r="D467" t="s">
        <v>51</v>
      </c>
      <c r="E467" t="s">
        <v>51</v>
      </c>
      <c r="F467" t="s">
        <v>161</v>
      </c>
      <c r="G467" t="s">
        <v>143</v>
      </c>
      <c r="H467" s="85">
        <v>5924678990</v>
      </c>
      <c r="I467" s="36">
        <v>46629</v>
      </c>
      <c r="J467" s="46" t="s">
        <v>151</v>
      </c>
      <c r="K467" t="s">
        <v>1498</v>
      </c>
      <c r="L467" t="s">
        <v>961</v>
      </c>
      <c r="M467" s="106">
        <v>2755880</v>
      </c>
      <c r="N467" t="s">
        <v>57</v>
      </c>
      <c r="P467" t="s">
        <v>33</v>
      </c>
      <c r="Q467">
        <v>2000533</v>
      </c>
      <c r="R467" t="s">
        <v>32</v>
      </c>
    </row>
    <row r="468" spans="2:18" hidden="1" x14ac:dyDescent="0.35">
      <c r="B468" s="63">
        <v>46295</v>
      </c>
      <c r="C468" t="s">
        <v>1500</v>
      </c>
      <c r="D468" t="s">
        <v>28</v>
      </c>
      <c r="E468" t="s">
        <v>860</v>
      </c>
      <c r="F468" t="s">
        <v>1501</v>
      </c>
      <c r="G468" t="s">
        <v>1501</v>
      </c>
      <c r="H468" s="85">
        <v>20143078002525</v>
      </c>
      <c r="I468" s="36">
        <v>46411</v>
      </c>
      <c r="J468" s="46" t="s">
        <v>1502</v>
      </c>
      <c r="K468" t="s">
        <v>1499</v>
      </c>
      <c r="L468" t="s">
        <v>861</v>
      </c>
      <c r="M468" s="106">
        <v>16467000</v>
      </c>
      <c r="N468" t="s">
        <v>57</v>
      </c>
      <c r="P468" t="s">
        <v>33</v>
      </c>
      <c r="Q468">
        <v>2000534</v>
      </c>
      <c r="R468" t="s">
        <v>32</v>
      </c>
    </row>
    <row r="469" spans="2:18" hidden="1" x14ac:dyDescent="0.35">
      <c r="B469" s="63">
        <v>46295</v>
      </c>
      <c r="C469" t="s">
        <v>1503</v>
      </c>
      <c r="D469" t="s">
        <v>28</v>
      </c>
      <c r="E469" t="s">
        <v>860</v>
      </c>
      <c r="F469" t="s">
        <v>1504</v>
      </c>
      <c r="G469" t="s">
        <v>900</v>
      </c>
      <c r="H469" s="85" t="s">
        <v>924</v>
      </c>
      <c r="I469" s="36">
        <v>47393</v>
      </c>
      <c r="J469" s="46" t="s">
        <v>63</v>
      </c>
      <c r="K469" t="s">
        <v>1505</v>
      </c>
      <c r="L469" t="s">
        <v>861</v>
      </c>
      <c r="M469" s="106">
        <v>14726600</v>
      </c>
      <c r="N469" t="s">
        <v>57</v>
      </c>
      <c r="P469" t="s">
        <v>33</v>
      </c>
      <c r="Q469">
        <v>2000542</v>
      </c>
      <c r="R469" t="s">
        <v>32</v>
      </c>
    </row>
    <row r="470" spans="2:18" x14ac:dyDescent="0.35">
      <c r="B470" s="63">
        <v>46295</v>
      </c>
      <c r="C470" t="s">
        <v>1507</v>
      </c>
      <c r="D470" t="s">
        <v>28</v>
      </c>
      <c r="E470" t="s">
        <v>860</v>
      </c>
      <c r="F470" t="s">
        <v>986</v>
      </c>
      <c r="G470" t="s">
        <v>987</v>
      </c>
      <c r="H470" s="85">
        <v>20411113178625</v>
      </c>
      <c r="I470" s="36">
        <v>46585</v>
      </c>
      <c r="J470" s="46" t="s">
        <v>988</v>
      </c>
      <c r="K470" t="s">
        <v>1506</v>
      </c>
      <c r="L470" t="s">
        <v>861</v>
      </c>
      <c r="M470" s="106">
        <v>9672400</v>
      </c>
      <c r="N470" t="s">
        <v>57</v>
      </c>
      <c r="P470" t="s">
        <v>33</v>
      </c>
      <c r="Q470">
        <v>2000537</v>
      </c>
      <c r="R470" t="s">
        <v>32</v>
      </c>
    </row>
    <row r="471" spans="2:18" hidden="1" x14ac:dyDescent="0.35">
      <c r="B471" s="63">
        <v>46295</v>
      </c>
      <c r="C471" t="s">
        <v>1509</v>
      </c>
      <c r="D471" t="s">
        <v>28</v>
      </c>
      <c r="E471" t="s">
        <v>860</v>
      </c>
      <c r="F471" t="s">
        <v>882</v>
      </c>
      <c r="G471" t="s">
        <v>880</v>
      </c>
      <c r="H471" s="85">
        <v>209735867</v>
      </c>
      <c r="I471" s="36">
        <v>46335</v>
      </c>
      <c r="J471" s="46" t="s">
        <v>63</v>
      </c>
      <c r="K471" t="s">
        <v>1508</v>
      </c>
      <c r="L471" t="s">
        <v>861</v>
      </c>
      <c r="M471" s="126">
        <v>50653200</v>
      </c>
      <c r="N471" t="s">
        <v>57</v>
      </c>
      <c r="O471" t="e" vm="1">
        <f ca="1">SUBSTITUTE(_xlfn.TRANSLATE(BAHTTEXT(Table1[[#This Row],[Montant]]),"th","fr")," bahts"," francs CFA")</f>
        <v>#NAME?</v>
      </c>
      <c r="P471" t="s">
        <v>33</v>
      </c>
      <c r="Q471">
        <v>2000538</v>
      </c>
      <c r="R471" t="s">
        <v>32</v>
      </c>
    </row>
    <row r="472" spans="2:18" hidden="1" x14ac:dyDescent="0.35">
      <c r="B472" s="63">
        <v>46295</v>
      </c>
      <c r="C472" t="s">
        <v>1510</v>
      </c>
      <c r="D472" t="s">
        <v>51</v>
      </c>
      <c r="E472" t="s">
        <v>199</v>
      </c>
      <c r="F472" t="s">
        <v>200</v>
      </c>
      <c r="G472" t="s">
        <v>200</v>
      </c>
      <c r="H472" s="85" t="s">
        <v>63</v>
      </c>
      <c r="I472" s="46" t="s">
        <v>63</v>
      </c>
      <c r="J472" s="46"/>
      <c r="K472" t="s">
        <v>1531</v>
      </c>
      <c r="L472" t="s">
        <v>1532</v>
      </c>
      <c r="M472" s="106">
        <v>2265647</v>
      </c>
      <c r="N472" t="s">
        <v>57</v>
      </c>
      <c r="O472" t="s">
        <v>1535</v>
      </c>
      <c r="P472" t="s">
        <v>33</v>
      </c>
      <c r="Q472">
        <v>2000535</v>
      </c>
      <c r="R472" t="s">
        <v>32</v>
      </c>
    </row>
    <row r="473" spans="2:18" hidden="1" x14ac:dyDescent="0.35">
      <c r="B473" s="63">
        <v>46295</v>
      </c>
      <c r="C473" t="s">
        <v>1511</v>
      </c>
      <c r="D473" t="s">
        <v>51</v>
      </c>
      <c r="E473" t="s">
        <v>199</v>
      </c>
      <c r="F473" t="s">
        <v>200</v>
      </c>
      <c r="G473" t="s">
        <v>200</v>
      </c>
      <c r="H473" s="85" t="s">
        <v>63</v>
      </c>
      <c r="I473" s="46" t="s">
        <v>63</v>
      </c>
      <c r="J473" s="46"/>
      <c r="K473" t="s">
        <v>1533</v>
      </c>
      <c r="L473" t="s">
        <v>1534</v>
      </c>
      <c r="M473" s="106">
        <v>1788871</v>
      </c>
      <c r="N473" t="s">
        <v>57</v>
      </c>
      <c r="O473" t="s">
        <v>1536</v>
      </c>
      <c r="P473" t="s">
        <v>33</v>
      </c>
      <c r="Q473">
        <v>2000530</v>
      </c>
      <c r="R473" t="s">
        <v>32</v>
      </c>
    </row>
    <row r="474" spans="2:18" hidden="1" x14ac:dyDescent="0.35">
      <c r="B474" s="63">
        <v>46295</v>
      </c>
      <c r="C474" t="s">
        <v>1513</v>
      </c>
      <c r="D474" t="s">
        <v>28</v>
      </c>
      <c r="E474" t="s">
        <v>860</v>
      </c>
      <c r="F474" t="s">
        <v>1239</v>
      </c>
      <c r="G474" t="s">
        <v>1239</v>
      </c>
      <c r="H474" s="85">
        <v>100404882</v>
      </c>
      <c r="I474" s="36">
        <v>46848</v>
      </c>
      <c r="J474" s="46" t="s">
        <v>63</v>
      </c>
      <c r="K474" t="s">
        <v>1512</v>
      </c>
      <c r="L474" t="s">
        <v>861</v>
      </c>
      <c r="M474" s="106">
        <v>16530140</v>
      </c>
      <c r="N474" t="s">
        <v>57</v>
      </c>
      <c r="O474" t="e" vm="1">
        <f ca="1">SUBSTITUTE(_xlfn.TRANSLATE(BAHTTEXT(Table1[[#This Row],[Montant]]),"th","fr")," bahts"," francs CFA")</f>
        <v>#NAME?</v>
      </c>
      <c r="P474" t="s">
        <v>33</v>
      </c>
      <c r="Q474">
        <v>2000541</v>
      </c>
      <c r="R474" t="s">
        <v>32</v>
      </c>
    </row>
    <row r="475" spans="2:18" hidden="1" x14ac:dyDescent="0.35">
      <c r="B475" s="63">
        <v>46295</v>
      </c>
      <c r="C475" t="s">
        <v>1515</v>
      </c>
      <c r="D475" t="s">
        <v>28</v>
      </c>
      <c r="E475" t="s">
        <v>860</v>
      </c>
      <c r="F475" t="s">
        <v>890</v>
      </c>
      <c r="G475" t="s">
        <v>891</v>
      </c>
      <c r="H475" s="85">
        <v>20435764679125</v>
      </c>
      <c r="I475" s="36">
        <v>46685</v>
      </c>
      <c r="J475" s="46" t="s">
        <v>892</v>
      </c>
      <c r="K475" t="s">
        <v>1514</v>
      </c>
      <c r="L475" t="s">
        <v>861</v>
      </c>
      <c r="M475" s="126">
        <v>15530960</v>
      </c>
      <c r="N475" t="s">
        <v>57</v>
      </c>
      <c r="O475" t="e" vm="1">
        <f ca="1">SUBSTITUTE(_xlfn.TRANSLATE(BAHTTEXT(Table1[[#This Row],[Montant]]),"th","fr")," bahts"," francs CFA")</f>
        <v>#NAME?</v>
      </c>
      <c r="P475" t="s">
        <v>33</v>
      </c>
      <c r="Q475">
        <v>2000540</v>
      </c>
      <c r="R475" t="s">
        <v>32</v>
      </c>
    </row>
    <row r="476" spans="2:18" hidden="1" x14ac:dyDescent="0.35">
      <c r="B476" s="63">
        <v>46296</v>
      </c>
      <c r="C476" t="s">
        <v>1516</v>
      </c>
      <c r="D476" t="s">
        <v>51</v>
      </c>
      <c r="E476" t="s">
        <v>51</v>
      </c>
      <c r="F476" t="s">
        <v>816</v>
      </c>
      <c r="G476" t="s">
        <v>269</v>
      </c>
      <c r="H476" s="85" t="s">
        <v>270</v>
      </c>
      <c r="I476" s="65" t="s">
        <v>271</v>
      </c>
      <c r="J476" s="46" t="s">
        <v>63</v>
      </c>
      <c r="K476" t="s">
        <v>63</v>
      </c>
      <c r="L476" t="s">
        <v>1517</v>
      </c>
      <c r="M476" s="106">
        <v>3000000</v>
      </c>
      <c r="N476" t="s">
        <v>57</v>
      </c>
      <c r="O476" t="e" vm="1">
        <f ca="1">SUBSTITUTE(_xlfn.TRANSLATE(BAHTTEXT(Table1[[#This Row],[Montant]]),"th","fr")," bahts"," francs CFA")</f>
        <v>#NAME?</v>
      </c>
      <c r="P476" t="s">
        <v>33</v>
      </c>
      <c r="Q476">
        <v>2000543</v>
      </c>
      <c r="R476" t="s">
        <v>32</v>
      </c>
    </row>
    <row r="477" spans="2:18" hidden="1" x14ac:dyDescent="0.35">
      <c r="B477" s="63">
        <v>46177</v>
      </c>
      <c r="C477" t="s">
        <v>218</v>
      </c>
      <c r="D477" t="s">
        <v>51</v>
      </c>
      <c r="E477" t="s">
        <v>199</v>
      </c>
      <c r="F477" t="s">
        <v>200</v>
      </c>
      <c r="G477" t="s">
        <v>200</v>
      </c>
      <c r="H477" s="85" t="s">
        <v>63</v>
      </c>
      <c r="I477" t="s">
        <v>63</v>
      </c>
      <c r="J477" t="s">
        <v>63</v>
      </c>
      <c r="K477" t="s">
        <v>212</v>
      </c>
      <c r="L477" t="s">
        <v>219</v>
      </c>
      <c r="M477" s="52">
        <v>8357398</v>
      </c>
      <c r="N477" t="s">
        <v>57</v>
      </c>
      <c r="O477" t="s">
        <v>225</v>
      </c>
      <c r="P477" t="s">
        <v>130</v>
      </c>
      <c r="R477" t="s">
        <v>147</v>
      </c>
    </row>
    <row r="478" spans="2:18" hidden="1" x14ac:dyDescent="0.35">
      <c r="B478" s="63">
        <v>46178</v>
      </c>
      <c r="C478" t="s">
        <v>218</v>
      </c>
      <c r="D478" t="s">
        <v>51</v>
      </c>
      <c r="E478" t="s">
        <v>199</v>
      </c>
      <c r="F478" t="s">
        <v>200</v>
      </c>
      <c r="G478" t="s">
        <v>200</v>
      </c>
      <c r="H478" s="85" t="s">
        <v>63</v>
      </c>
      <c r="I478" t="s">
        <v>63</v>
      </c>
      <c r="J478" t="s">
        <v>63</v>
      </c>
      <c r="K478" t="s">
        <v>213</v>
      </c>
      <c r="L478" t="s">
        <v>220</v>
      </c>
      <c r="M478" s="52">
        <v>8298216</v>
      </c>
      <c r="N478" t="s">
        <v>57</v>
      </c>
      <c r="O478" t="s">
        <v>226</v>
      </c>
      <c r="P478" t="s">
        <v>130</v>
      </c>
      <c r="R478" t="s">
        <v>147</v>
      </c>
    </row>
    <row r="479" spans="2:18" hidden="1" x14ac:dyDescent="0.35">
      <c r="B479" s="63">
        <v>46178</v>
      </c>
      <c r="C479" t="s">
        <v>218</v>
      </c>
      <c r="D479" t="s">
        <v>51</v>
      </c>
      <c r="E479" t="s">
        <v>199</v>
      </c>
      <c r="F479" t="s">
        <v>200</v>
      </c>
      <c r="G479" t="s">
        <v>200</v>
      </c>
      <c r="H479" s="85" t="s">
        <v>63</v>
      </c>
      <c r="I479" t="s">
        <v>63</v>
      </c>
      <c r="J479" t="s">
        <v>63</v>
      </c>
      <c r="K479" t="s">
        <v>214</v>
      </c>
      <c r="L479" t="s">
        <v>221</v>
      </c>
      <c r="M479" s="52">
        <v>8236768</v>
      </c>
      <c r="N479" t="s">
        <v>57</v>
      </c>
      <c r="O479" t="s">
        <v>227</v>
      </c>
      <c r="P479" t="s">
        <v>130</v>
      </c>
      <c r="R479" t="s">
        <v>147</v>
      </c>
    </row>
    <row r="480" spans="2:18" hidden="1" x14ac:dyDescent="0.35">
      <c r="B480" s="63">
        <v>46178</v>
      </c>
      <c r="C480" t="s">
        <v>218</v>
      </c>
      <c r="D480" t="s">
        <v>51</v>
      </c>
      <c r="E480" t="s">
        <v>199</v>
      </c>
      <c r="F480" t="s">
        <v>200</v>
      </c>
      <c r="G480" t="s">
        <v>200</v>
      </c>
      <c r="H480" s="85" t="s">
        <v>63</v>
      </c>
      <c r="I480" t="s">
        <v>63</v>
      </c>
      <c r="J480" t="s">
        <v>63</v>
      </c>
      <c r="K480" t="s">
        <v>215</v>
      </c>
      <c r="L480" t="s">
        <v>222</v>
      </c>
      <c r="M480" s="52">
        <v>8278183</v>
      </c>
      <c r="N480" t="s">
        <v>57</v>
      </c>
      <c r="O480" t="s">
        <v>228</v>
      </c>
      <c r="P480" t="s">
        <v>130</v>
      </c>
      <c r="R480" t="s">
        <v>147</v>
      </c>
    </row>
    <row r="481" spans="2:18" hidden="1" x14ac:dyDescent="0.35">
      <c r="B481" s="63">
        <v>46177</v>
      </c>
      <c r="C481" t="s">
        <v>218</v>
      </c>
      <c r="D481" t="s">
        <v>51</v>
      </c>
      <c r="E481" t="s">
        <v>199</v>
      </c>
      <c r="F481" t="s">
        <v>200</v>
      </c>
      <c r="G481" t="s">
        <v>200</v>
      </c>
      <c r="H481" s="85" t="s">
        <v>63</v>
      </c>
      <c r="I481" t="s">
        <v>63</v>
      </c>
      <c r="J481" t="s">
        <v>63</v>
      </c>
      <c r="K481" t="s">
        <v>216</v>
      </c>
      <c r="L481" t="s">
        <v>223</v>
      </c>
      <c r="M481" s="52">
        <v>8767837</v>
      </c>
      <c r="N481" t="s">
        <v>57</v>
      </c>
      <c r="O481" t="s">
        <v>229</v>
      </c>
      <c r="P481" t="s">
        <v>130</v>
      </c>
      <c r="R481" t="s">
        <v>147</v>
      </c>
    </row>
    <row r="482" spans="2:18" hidden="1" x14ac:dyDescent="0.35">
      <c r="B482" s="63">
        <v>46178</v>
      </c>
      <c r="C482" t="s">
        <v>218</v>
      </c>
      <c r="D482" t="s">
        <v>51</v>
      </c>
      <c r="E482" t="s">
        <v>199</v>
      </c>
      <c r="F482" t="s">
        <v>200</v>
      </c>
      <c r="G482" t="s">
        <v>200</v>
      </c>
      <c r="H482" s="85" t="s">
        <v>63</v>
      </c>
      <c r="I482" t="s">
        <v>63</v>
      </c>
      <c r="J482" t="s">
        <v>63</v>
      </c>
      <c r="K482" t="s">
        <v>217</v>
      </c>
      <c r="L482" t="s">
        <v>224</v>
      </c>
      <c r="M482" s="52">
        <v>1330921</v>
      </c>
      <c r="N482" t="s">
        <v>57</v>
      </c>
      <c r="O482" t="s">
        <v>230</v>
      </c>
      <c r="P482" t="s">
        <v>130</v>
      </c>
      <c r="R482" t="s">
        <v>147</v>
      </c>
    </row>
    <row r="483" spans="2:18" hidden="1" x14ac:dyDescent="0.35">
      <c r="B483" s="63">
        <v>46203</v>
      </c>
      <c r="C483" t="s">
        <v>218</v>
      </c>
      <c r="D483" t="s">
        <v>51</v>
      </c>
      <c r="E483" t="s">
        <v>199</v>
      </c>
      <c r="F483" t="s">
        <v>200</v>
      </c>
      <c r="G483" t="s">
        <v>200</v>
      </c>
      <c r="H483" s="85" t="s">
        <v>63</v>
      </c>
      <c r="I483" t="s">
        <v>63</v>
      </c>
      <c r="J483" s="46" t="s">
        <v>63</v>
      </c>
      <c r="K483" t="s">
        <v>452</v>
      </c>
      <c r="L483" t="s">
        <v>454</v>
      </c>
      <c r="M483" s="52">
        <v>8801525</v>
      </c>
      <c r="N483" t="s">
        <v>57</v>
      </c>
      <c r="O483" t="s">
        <v>453</v>
      </c>
      <c r="P483" t="s">
        <v>130</v>
      </c>
      <c r="Q483" t="s">
        <v>63</v>
      </c>
      <c r="R483" t="s">
        <v>337</v>
      </c>
    </row>
    <row r="484" spans="2:18" hidden="1" x14ac:dyDescent="0.35">
      <c r="B484" s="63">
        <v>46203</v>
      </c>
      <c r="C484" t="s">
        <v>218</v>
      </c>
      <c r="D484" t="s">
        <v>51</v>
      </c>
      <c r="E484" t="s">
        <v>199</v>
      </c>
      <c r="F484" t="s">
        <v>200</v>
      </c>
      <c r="G484" t="s">
        <v>200</v>
      </c>
      <c r="H484" s="85" t="s">
        <v>63</v>
      </c>
      <c r="I484" t="s">
        <v>63</v>
      </c>
      <c r="J484" s="46" t="s">
        <v>63</v>
      </c>
      <c r="K484" t="s">
        <v>455</v>
      </c>
      <c r="L484" t="s">
        <v>456</v>
      </c>
      <c r="M484" s="52">
        <v>1805370</v>
      </c>
      <c r="N484" t="s">
        <v>57</v>
      </c>
      <c r="O484" t="s">
        <v>457</v>
      </c>
      <c r="P484" t="s">
        <v>130</v>
      </c>
      <c r="Q484" t="s">
        <v>63</v>
      </c>
      <c r="R484" t="s">
        <v>337</v>
      </c>
    </row>
    <row r="485" spans="2:18" hidden="1" x14ac:dyDescent="0.35">
      <c r="B485" s="63">
        <v>46203</v>
      </c>
      <c r="C485" t="s">
        <v>218</v>
      </c>
      <c r="D485" t="s">
        <v>51</v>
      </c>
      <c r="E485" t="s">
        <v>199</v>
      </c>
      <c r="F485" t="s">
        <v>200</v>
      </c>
      <c r="G485" t="s">
        <v>200</v>
      </c>
      <c r="H485" s="85" t="s">
        <v>63</v>
      </c>
      <c r="I485" t="s">
        <v>63</v>
      </c>
      <c r="J485" s="46" t="s">
        <v>63</v>
      </c>
      <c r="K485" t="s">
        <v>472</v>
      </c>
      <c r="L485" t="s">
        <v>473</v>
      </c>
      <c r="M485" s="52">
        <v>8989206</v>
      </c>
      <c r="N485" t="s">
        <v>57</v>
      </c>
      <c r="O485" t="s">
        <v>490</v>
      </c>
      <c r="P485" t="s">
        <v>130</v>
      </c>
      <c r="Q485" t="s">
        <v>63</v>
      </c>
      <c r="R485" t="s">
        <v>337</v>
      </c>
    </row>
    <row r="486" spans="2:18" hidden="1" x14ac:dyDescent="0.35">
      <c r="B486" s="63">
        <v>46204</v>
      </c>
      <c r="C486" t="s">
        <v>218</v>
      </c>
      <c r="D486" t="s">
        <v>51</v>
      </c>
      <c r="E486" t="s">
        <v>199</v>
      </c>
      <c r="F486" t="s">
        <v>200</v>
      </c>
      <c r="G486" t="s">
        <v>200</v>
      </c>
      <c r="H486" s="85" t="s">
        <v>63</v>
      </c>
      <c r="I486" t="s">
        <v>63</v>
      </c>
      <c r="J486" s="46" t="s">
        <v>63</v>
      </c>
      <c r="K486" t="s">
        <v>474</v>
      </c>
      <c r="L486" t="s">
        <v>476</v>
      </c>
      <c r="M486" s="52">
        <v>8579852</v>
      </c>
      <c r="N486" t="s">
        <v>57</v>
      </c>
      <c r="O486" t="s">
        <v>491</v>
      </c>
      <c r="P486" t="s">
        <v>130</v>
      </c>
      <c r="Q486" t="s">
        <v>63</v>
      </c>
      <c r="R486" t="s">
        <v>337</v>
      </c>
    </row>
    <row r="487" spans="2:18" hidden="1" x14ac:dyDescent="0.35">
      <c r="B487" s="63">
        <v>46205</v>
      </c>
      <c r="C487" t="s">
        <v>218</v>
      </c>
      <c r="D487" t="s">
        <v>51</v>
      </c>
      <c r="E487" t="s">
        <v>199</v>
      </c>
      <c r="F487" t="s">
        <v>200</v>
      </c>
      <c r="G487" t="s">
        <v>200</v>
      </c>
      <c r="H487" s="85" t="s">
        <v>63</v>
      </c>
      <c r="I487" t="s">
        <v>63</v>
      </c>
      <c r="J487" s="46" t="s">
        <v>63</v>
      </c>
      <c r="K487" t="s">
        <v>472</v>
      </c>
      <c r="L487" t="s">
        <v>477</v>
      </c>
      <c r="M487" s="52">
        <v>183750</v>
      </c>
      <c r="N487" t="s">
        <v>57</v>
      </c>
      <c r="O487" t="s">
        <v>492</v>
      </c>
      <c r="P487" t="s">
        <v>130</v>
      </c>
      <c r="Q487" t="s">
        <v>63</v>
      </c>
      <c r="R487" t="s">
        <v>337</v>
      </c>
    </row>
    <row r="488" spans="2:18" hidden="1" x14ac:dyDescent="0.35">
      <c r="B488" s="63">
        <v>46205</v>
      </c>
      <c r="C488" t="s">
        <v>218</v>
      </c>
      <c r="D488" t="s">
        <v>51</v>
      </c>
      <c r="E488" t="s">
        <v>199</v>
      </c>
      <c r="F488" t="s">
        <v>200</v>
      </c>
      <c r="G488" t="s">
        <v>200</v>
      </c>
      <c r="H488" s="85" t="s">
        <v>63</v>
      </c>
      <c r="I488" t="s">
        <v>63</v>
      </c>
      <c r="J488" s="46" t="s">
        <v>63</v>
      </c>
      <c r="K488" t="s">
        <v>475</v>
      </c>
      <c r="L488" t="s">
        <v>478</v>
      </c>
      <c r="M488" s="52">
        <v>26250</v>
      </c>
      <c r="N488" t="s">
        <v>57</v>
      </c>
      <c r="O488" t="s">
        <v>493</v>
      </c>
      <c r="P488" t="s">
        <v>130</v>
      </c>
      <c r="Q488" t="s">
        <v>63</v>
      </c>
      <c r="R488" t="s">
        <v>337</v>
      </c>
    </row>
    <row r="489" spans="2:18" hidden="1" x14ac:dyDescent="0.35">
      <c r="B489" s="63">
        <v>46192</v>
      </c>
      <c r="C489" t="s">
        <v>218</v>
      </c>
      <c r="D489" t="s">
        <v>51</v>
      </c>
      <c r="E489" t="s">
        <v>199</v>
      </c>
      <c r="F489" t="s">
        <v>200</v>
      </c>
      <c r="G489" t="s">
        <v>200</v>
      </c>
      <c r="H489" s="85" t="s">
        <v>63</v>
      </c>
      <c r="I489" t="s">
        <v>63</v>
      </c>
      <c r="J489" s="46" t="s">
        <v>63</v>
      </c>
      <c r="K489" t="s">
        <v>479</v>
      </c>
      <c r="L489" t="s">
        <v>482</v>
      </c>
      <c r="M489" s="52">
        <v>4412341</v>
      </c>
      <c r="N489" t="s">
        <v>57</v>
      </c>
      <c r="O489" t="s">
        <v>494</v>
      </c>
      <c r="P489" t="s">
        <v>130</v>
      </c>
      <c r="Q489" t="s">
        <v>63</v>
      </c>
      <c r="R489" t="s">
        <v>337</v>
      </c>
    </row>
    <row r="490" spans="2:18" hidden="1" x14ac:dyDescent="0.35">
      <c r="B490" s="63">
        <v>46192</v>
      </c>
      <c r="C490" t="s">
        <v>218</v>
      </c>
      <c r="D490" t="s">
        <v>51</v>
      </c>
      <c r="E490" t="s">
        <v>199</v>
      </c>
      <c r="F490" t="s">
        <v>200</v>
      </c>
      <c r="G490" t="s">
        <v>200</v>
      </c>
      <c r="H490" s="85" t="s">
        <v>63</v>
      </c>
      <c r="I490" t="s">
        <v>63</v>
      </c>
      <c r="J490" s="46" t="s">
        <v>63</v>
      </c>
      <c r="K490" t="s">
        <v>480</v>
      </c>
      <c r="L490" t="s">
        <v>486</v>
      </c>
      <c r="M490" s="52">
        <v>1746328</v>
      </c>
      <c r="N490" t="s">
        <v>57</v>
      </c>
      <c r="O490" t="s">
        <v>495</v>
      </c>
      <c r="P490" t="s">
        <v>130</v>
      </c>
      <c r="Q490" t="s">
        <v>63</v>
      </c>
      <c r="R490" t="s">
        <v>337</v>
      </c>
    </row>
    <row r="491" spans="2:18" hidden="1" x14ac:dyDescent="0.35">
      <c r="B491" s="63">
        <v>46192</v>
      </c>
      <c r="C491" t="s">
        <v>218</v>
      </c>
      <c r="D491" t="s">
        <v>51</v>
      </c>
      <c r="E491" t="s">
        <v>199</v>
      </c>
      <c r="F491" t="s">
        <v>200</v>
      </c>
      <c r="G491" t="s">
        <v>200</v>
      </c>
      <c r="H491" s="85" t="s">
        <v>63</v>
      </c>
      <c r="I491" t="s">
        <v>63</v>
      </c>
      <c r="J491" s="46" t="s">
        <v>63</v>
      </c>
      <c r="K491" t="s">
        <v>383</v>
      </c>
      <c r="L491" t="s">
        <v>483</v>
      </c>
      <c r="M491" s="52">
        <v>1703308</v>
      </c>
      <c r="N491" t="s">
        <v>57</v>
      </c>
      <c r="O491" t="s">
        <v>496</v>
      </c>
      <c r="P491" t="s">
        <v>130</v>
      </c>
      <c r="Q491" t="s">
        <v>63</v>
      </c>
      <c r="R491" t="s">
        <v>337</v>
      </c>
    </row>
    <row r="492" spans="2:18" hidden="1" x14ac:dyDescent="0.35">
      <c r="B492" s="63">
        <v>46192</v>
      </c>
      <c r="C492" t="s">
        <v>218</v>
      </c>
      <c r="D492" t="s">
        <v>51</v>
      </c>
      <c r="E492" t="s">
        <v>199</v>
      </c>
      <c r="F492" t="s">
        <v>200</v>
      </c>
      <c r="G492" t="s">
        <v>200</v>
      </c>
      <c r="H492" s="85" t="s">
        <v>63</v>
      </c>
      <c r="I492" t="s">
        <v>63</v>
      </c>
      <c r="J492" s="46" t="s">
        <v>63</v>
      </c>
      <c r="K492" t="s">
        <v>475</v>
      </c>
      <c r="L492" t="s">
        <v>484</v>
      </c>
      <c r="M492" s="52">
        <v>799859</v>
      </c>
      <c r="N492" t="s">
        <v>57</v>
      </c>
      <c r="O492" t="s">
        <v>497</v>
      </c>
      <c r="P492" t="s">
        <v>130</v>
      </c>
      <c r="Q492" t="s">
        <v>63</v>
      </c>
      <c r="R492" t="s">
        <v>337</v>
      </c>
    </row>
    <row r="493" spans="2:18" hidden="1" x14ac:dyDescent="0.35">
      <c r="B493" s="63">
        <v>46192</v>
      </c>
      <c r="C493" t="s">
        <v>218</v>
      </c>
      <c r="D493" t="s">
        <v>51</v>
      </c>
      <c r="E493" t="s">
        <v>199</v>
      </c>
      <c r="F493" t="s">
        <v>200</v>
      </c>
      <c r="G493" t="s">
        <v>200</v>
      </c>
      <c r="H493" s="85" t="s">
        <v>63</v>
      </c>
      <c r="I493" t="s">
        <v>63</v>
      </c>
      <c r="J493" s="46" t="s">
        <v>63</v>
      </c>
      <c r="K493" t="s">
        <v>481</v>
      </c>
      <c r="L493" t="s">
        <v>485</v>
      </c>
      <c r="M493" s="52">
        <v>274896</v>
      </c>
      <c r="N493" t="s">
        <v>57</v>
      </c>
      <c r="O493" t="s">
        <v>498</v>
      </c>
      <c r="P493" t="s">
        <v>130</v>
      </c>
      <c r="Q493" t="s">
        <v>63</v>
      </c>
      <c r="R493" t="s">
        <v>337</v>
      </c>
    </row>
    <row r="494" spans="2:18" hidden="1" x14ac:dyDescent="0.35">
      <c r="B494" s="63">
        <v>46188</v>
      </c>
      <c r="C494" t="s">
        <v>218</v>
      </c>
      <c r="D494" t="s">
        <v>51</v>
      </c>
      <c r="E494" t="s">
        <v>199</v>
      </c>
      <c r="F494" t="s">
        <v>200</v>
      </c>
      <c r="G494" t="s">
        <v>200</v>
      </c>
      <c r="H494" s="85" t="s">
        <v>63</v>
      </c>
      <c r="I494" t="s">
        <v>63</v>
      </c>
      <c r="J494" t="s">
        <v>63</v>
      </c>
      <c r="K494" t="s">
        <v>487</v>
      </c>
      <c r="L494" t="s">
        <v>488</v>
      </c>
      <c r="M494" s="52">
        <v>1299775</v>
      </c>
      <c r="N494" t="s">
        <v>57</v>
      </c>
      <c r="O494" t="s">
        <v>499</v>
      </c>
      <c r="P494" t="s">
        <v>130</v>
      </c>
      <c r="Q494" t="s">
        <v>63</v>
      </c>
      <c r="R494" t="s">
        <v>147</v>
      </c>
    </row>
    <row r="495" spans="2:18" hidden="1" x14ac:dyDescent="0.35">
      <c r="B495" s="63">
        <v>46203</v>
      </c>
      <c r="C495" t="s">
        <v>218</v>
      </c>
      <c r="D495" t="s">
        <v>51</v>
      </c>
      <c r="E495" t="s">
        <v>199</v>
      </c>
      <c r="F495" t="s">
        <v>200</v>
      </c>
      <c r="G495" t="s">
        <v>200</v>
      </c>
      <c r="H495" s="85" t="s">
        <v>63</v>
      </c>
      <c r="I495" t="s">
        <v>63</v>
      </c>
      <c r="J495" t="s">
        <v>63</v>
      </c>
      <c r="K495" t="s">
        <v>379</v>
      </c>
      <c r="L495" t="s">
        <v>489</v>
      </c>
      <c r="M495" s="52">
        <v>157500</v>
      </c>
      <c r="N495" t="s">
        <v>57</v>
      </c>
      <c r="O495" t="s">
        <v>500</v>
      </c>
      <c r="P495" t="s">
        <v>130</v>
      </c>
      <c r="Q495" t="s">
        <v>63</v>
      </c>
      <c r="R495" t="s">
        <v>32</v>
      </c>
    </row>
    <row r="496" spans="2:18" hidden="1" x14ac:dyDescent="0.35">
      <c r="B496" s="63">
        <v>46206</v>
      </c>
      <c r="C496" t="s">
        <v>218</v>
      </c>
      <c r="D496" t="s">
        <v>51</v>
      </c>
      <c r="E496" t="s">
        <v>199</v>
      </c>
      <c r="F496" t="s">
        <v>200</v>
      </c>
      <c r="G496" t="s">
        <v>200</v>
      </c>
      <c r="H496" s="85" t="s">
        <v>63</v>
      </c>
      <c r="I496" t="s">
        <v>63</v>
      </c>
      <c r="J496" s="46" t="s">
        <v>63</v>
      </c>
      <c r="K496" t="s">
        <v>480</v>
      </c>
      <c r="L496" t="s">
        <v>510</v>
      </c>
      <c r="M496" s="52">
        <v>183750</v>
      </c>
      <c r="N496" t="s">
        <v>57</v>
      </c>
      <c r="O496" t="s">
        <v>492</v>
      </c>
      <c r="P496" t="s">
        <v>130</v>
      </c>
      <c r="Q496" t="s">
        <v>63</v>
      </c>
      <c r="R496" t="s">
        <v>337</v>
      </c>
    </row>
    <row r="497" spans="2:18" hidden="1" x14ac:dyDescent="0.35">
      <c r="B497" s="63">
        <v>46206</v>
      </c>
      <c r="C497" t="s">
        <v>218</v>
      </c>
      <c r="D497" t="s">
        <v>51</v>
      </c>
      <c r="E497" t="s">
        <v>199</v>
      </c>
      <c r="F497" t="s">
        <v>200</v>
      </c>
      <c r="G497" t="s">
        <v>200</v>
      </c>
      <c r="H497" s="85" t="s">
        <v>63</v>
      </c>
      <c r="I497" t="s">
        <v>63</v>
      </c>
      <c r="J497" s="46" t="s">
        <v>63</v>
      </c>
      <c r="K497" t="s">
        <v>383</v>
      </c>
      <c r="L497" t="s">
        <v>511</v>
      </c>
      <c r="M497" s="52">
        <v>210000</v>
      </c>
      <c r="N497" t="s">
        <v>57</v>
      </c>
      <c r="O497" t="s">
        <v>512</v>
      </c>
      <c r="P497" t="s">
        <v>130</v>
      </c>
      <c r="R497" t="s">
        <v>337</v>
      </c>
    </row>
    <row r="498" spans="2:18" hidden="1" x14ac:dyDescent="0.35">
      <c r="B498" s="63">
        <v>46211</v>
      </c>
      <c r="C498" t="s">
        <v>218</v>
      </c>
      <c r="D498" t="s">
        <v>51</v>
      </c>
      <c r="E498" t="s">
        <v>199</v>
      </c>
      <c r="F498" t="s">
        <v>200</v>
      </c>
      <c r="G498" t="s">
        <v>200</v>
      </c>
      <c r="H498" s="85" t="s">
        <v>63</v>
      </c>
      <c r="I498" t="s">
        <v>63</v>
      </c>
      <c r="J498" s="46" t="s">
        <v>63</v>
      </c>
      <c r="K498" t="s">
        <v>656</v>
      </c>
      <c r="L498" t="s">
        <v>663</v>
      </c>
      <c r="M498" s="52">
        <v>8758301</v>
      </c>
      <c r="N498" t="s">
        <v>57</v>
      </c>
      <c r="O498" t="s">
        <v>670</v>
      </c>
      <c r="P498" t="s">
        <v>130</v>
      </c>
      <c r="Q498" t="s">
        <v>63</v>
      </c>
      <c r="R498" t="s">
        <v>337</v>
      </c>
    </row>
    <row r="499" spans="2:18" hidden="1" x14ac:dyDescent="0.35">
      <c r="B499" s="63">
        <v>46211</v>
      </c>
      <c r="C499" t="s">
        <v>218</v>
      </c>
      <c r="D499" t="s">
        <v>51</v>
      </c>
      <c r="E499" t="s">
        <v>199</v>
      </c>
      <c r="F499" t="s">
        <v>200</v>
      </c>
      <c r="G499" t="s">
        <v>200</v>
      </c>
      <c r="H499" s="85" t="s">
        <v>63</v>
      </c>
      <c r="I499" t="s">
        <v>63</v>
      </c>
      <c r="J499" s="46" t="s">
        <v>63</v>
      </c>
      <c r="K499" t="s">
        <v>657</v>
      </c>
      <c r="L499" t="s">
        <v>664</v>
      </c>
      <c r="M499" s="52">
        <v>1651157</v>
      </c>
      <c r="N499" t="s">
        <v>57</v>
      </c>
      <c r="O499" t="s">
        <v>671</v>
      </c>
      <c r="P499" t="s">
        <v>130</v>
      </c>
      <c r="Q499" t="s">
        <v>63</v>
      </c>
      <c r="R499" t="s">
        <v>337</v>
      </c>
    </row>
    <row r="500" spans="2:18" hidden="1" x14ac:dyDescent="0.35">
      <c r="B500" s="63">
        <v>46216</v>
      </c>
      <c r="C500" t="s">
        <v>218</v>
      </c>
      <c r="D500" t="s">
        <v>51</v>
      </c>
      <c r="E500" t="s">
        <v>199</v>
      </c>
      <c r="F500" t="s">
        <v>200</v>
      </c>
      <c r="G500" t="s">
        <v>200</v>
      </c>
      <c r="H500" s="85" t="s">
        <v>63</v>
      </c>
      <c r="I500" t="s">
        <v>63</v>
      </c>
      <c r="J500" s="46" t="s">
        <v>63</v>
      </c>
      <c r="K500" t="s">
        <v>658</v>
      </c>
      <c r="L500" t="s">
        <v>665</v>
      </c>
      <c r="M500" s="52">
        <v>8516576</v>
      </c>
      <c r="N500" t="s">
        <v>57</v>
      </c>
      <c r="O500" t="s">
        <v>672</v>
      </c>
      <c r="P500" t="s">
        <v>130</v>
      </c>
      <c r="Q500" t="s">
        <v>63</v>
      </c>
      <c r="R500" t="s">
        <v>337</v>
      </c>
    </row>
    <row r="501" spans="2:18" hidden="1" x14ac:dyDescent="0.35">
      <c r="B501" s="63">
        <v>46218</v>
      </c>
      <c r="C501" t="s">
        <v>218</v>
      </c>
      <c r="D501" t="s">
        <v>51</v>
      </c>
      <c r="E501" t="s">
        <v>199</v>
      </c>
      <c r="F501" t="s">
        <v>200</v>
      </c>
      <c r="G501" t="s">
        <v>200</v>
      </c>
      <c r="H501" s="85" t="s">
        <v>63</v>
      </c>
      <c r="I501" t="s">
        <v>63</v>
      </c>
      <c r="J501" s="46" t="s">
        <v>63</v>
      </c>
      <c r="K501" t="s">
        <v>659</v>
      </c>
      <c r="L501" t="s">
        <v>666</v>
      </c>
      <c r="M501" s="52">
        <v>1604892</v>
      </c>
      <c r="N501" t="s">
        <v>57</v>
      </c>
      <c r="O501" t="s">
        <v>673</v>
      </c>
      <c r="P501" t="s">
        <v>130</v>
      </c>
      <c r="Q501" t="s">
        <v>63</v>
      </c>
      <c r="R501" t="s">
        <v>337</v>
      </c>
    </row>
    <row r="502" spans="2:18" hidden="1" x14ac:dyDescent="0.35">
      <c r="B502" s="63">
        <v>46216</v>
      </c>
      <c r="C502" t="s">
        <v>218</v>
      </c>
      <c r="D502" t="s">
        <v>51</v>
      </c>
      <c r="E502" t="s">
        <v>199</v>
      </c>
      <c r="F502" t="s">
        <v>200</v>
      </c>
      <c r="G502" t="s">
        <v>200</v>
      </c>
      <c r="H502" s="85" t="s">
        <v>63</v>
      </c>
      <c r="I502" t="s">
        <v>63</v>
      </c>
      <c r="J502" s="46" t="s">
        <v>63</v>
      </c>
      <c r="K502" t="s">
        <v>660</v>
      </c>
      <c r="L502" t="s">
        <v>667</v>
      </c>
      <c r="M502" s="52">
        <v>8557537</v>
      </c>
      <c r="N502" t="s">
        <v>57</v>
      </c>
      <c r="O502" t="s">
        <v>674</v>
      </c>
      <c r="P502" t="s">
        <v>130</v>
      </c>
      <c r="Q502" t="s">
        <v>63</v>
      </c>
      <c r="R502" t="s">
        <v>337</v>
      </c>
    </row>
    <row r="503" spans="2:18" hidden="1" x14ac:dyDescent="0.35">
      <c r="B503" s="63">
        <v>46223</v>
      </c>
      <c r="C503" t="s">
        <v>218</v>
      </c>
      <c r="D503" t="s">
        <v>51</v>
      </c>
      <c r="E503" t="s">
        <v>199</v>
      </c>
      <c r="F503" t="s">
        <v>200</v>
      </c>
      <c r="G503" t="s">
        <v>200</v>
      </c>
      <c r="H503" s="85" t="s">
        <v>63</v>
      </c>
      <c r="I503" t="s">
        <v>63</v>
      </c>
      <c r="J503" s="46" t="s">
        <v>63</v>
      </c>
      <c r="K503" t="s">
        <v>661</v>
      </c>
      <c r="L503" t="s">
        <v>668</v>
      </c>
      <c r="M503" s="52">
        <v>8572859</v>
      </c>
      <c r="N503" t="s">
        <v>57</v>
      </c>
      <c r="O503" t="s">
        <v>675</v>
      </c>
      <c r="P503" t="s">
        <v>130</v>
      </c>
      <c r="Q503" t="s">
        <v>63</v>
      </c>
      <c r="R503" t="s">
        <v>337</v>
      </c>
    </row>
    <row r="504" spans="2:18" hidden="1" x14ac:dyDescent="0.35">
      <c r="B504" s="63">
        <v>46225</v>
      </c>
      <c r="C504" t="s">
        <v>218</v>
      </c>
      <c r="D504" t="s">
        <v>51</v>
      </c>
      <c r="E504" t="s">
        <v>199</v>
      </c>
      <c r="F504" t="s">
        <v>200</v>
      </c>
      <c r="G504" t="s">
        <v>200</v>
      </c>
      <c r="H504" s="85" t="s">
        <v>63</v>
      </c>
      <c r="I504" t="s">
        <v>63</v>
      </c>
      <c r="J504" s="46" t="s">
        <v>63</v>
      </c>
      <c r="K504" t="s">
        <v>662</v>
      </c>
      <c r="L504" t="s">
        <v>669</v>
      </c>
      <c r="M504" s="52">
        <v>8725157</v>
      </c>
      <c r="N504" t="s">
        <v>57</v>
      </c>
      <c r="O504" t="s">
        <v>676</v>
      </c>
      <c r="P504" t="s">
        <v>130</v>
      </c>
      <c r="Q504" t="s">
        <v>63</v>
      </c>
      <c r="R504" t="s">
        <v>337</v>
      </c>
    </row>
    <row r="505" spans="2:18" hidden="1" x14ac:dyDescent="0.35">
      <c r="B505" s="63">
        <v>46296</v>
      </c>
      <c r="C505" t="s">
        <v>1518</v>
      </c>
      <c r="D505" t="s">
        <v>28</v>
      </c>
      <c r="E505" t="s">
        <v>860</v>
      </c>
      <c r="F505" t="s">
        <v>900</v>
      </c>
      <c r="G505" t="s">
        <v>900</v>
      </c>
      <c r="H505" s="85" t="s">
        <v>924</v>
      </c>
      <c r="I505" s="36">
        <v>47393</v>
      </c>
      <c r="J505" s="46" t="s">
        <v>63</v>
      </c>
      <c r="K505" t="s">
        <v>1505</v>
      </c>
      <c r="L505" t="s">
        <v>861</v>
      </c>
      <c r="M505" s="106">
        <v>12625800</v>
      </c>
      <c r="N505" t="s">
        <v>57</v>
      </c>
      <c r="O505" t="s">
        <v>1522</v>
      </c>
      <c r="P505" t="s">
        <v>33</v>
      </c>
      <c r="Q505">
        <v>2000536</v>
      </c>
      <c r="R505" t="s">
        <v>32</v>
      </c>
    </row>
    <row r="506" spans="2:18" hidden="1" x14ac:dyDescent="0.35">
      <c r="B506" s="63">
        <v>46297</v>
      </c>
      <c r="C506" t="s">
        <v>1520</v>
      </c>
      <c r="D506" t="s">
        <v>51</v>
      </c>
      <c r="E506" t="s">
        <v>51</v>
      </c>
      <c r="F506" t="s">
        <v>1519</v>
      </c>
      <c r="G506" t="s">
        <v>1519</v>
      </c>
      <c r="H506" s="85" t="s">
        <v>63</v>
      </c>
      <c r="I506" t="s">
        <v>63</v>
      </c>
      <c r="J506" s="46" t="s">
        <v>63</v>
      </c>
      <c r="K506" s="85">
        <v>8691307607428520</v>
      </c>
      <c r="L506" t="s">
        <v>1521</v>
      </c>
      <c r="M506" s="106">
        <v>25000</v>
      </c>
      <c r="N506" t="s">
        <v>57</v>
      </c>
      <c r="O506" t="s">
        <v>1523</v>
      </c>
      <c r="P506" t="s">
        <v>87</v>
      </c>
      <c r="Q506" t="s">
        <v>63</v>
      </c>
      <c r="R506" t="s">
        <v>88</v>
      </c>
    </row>
    <row r="507" spans="2:18" hidden="1" x14ac:dyDescent="0.35">
      <c r="B507" s="63">
        <v>46297</v>
      </c>
      <c r="C507" t="s">
        <v>1525</v>
      </c>
      <c r="D507" t="s">
        <v>28</v>
      </c>
      <c r="E507" t="s">
        <v>860</v>
      </c>
      <c r="F507" t="s">
        <v>1278</v>
      </c>
      <c r="G507" t="s">
        <v>1278</v>
      </c>
      <c r="H507" s="85">
        <v>100762270</v>
      </c>
      <c r="I507" s="36">
        <v>47644</v>
      </c>
      <c r="J507" s="46" t="s">
        <v>63</v>
      </c>
      <c r="K507" t="s">
        <v>1524</v>
      </c>
      <c r="L507" t="s">
        <v>861</v>
      </c>
      <c r="M507" s="106">
        <v>50000</v>
      </c>
      <c r="N507" t="s">
        <v>47</v>
      </c>
      <c r="O507" t="s">
        <v>695</v>
      </c>
      <c r="P507" t="s">
        <v>87</v>
      </c>
      <c r="Q507" t="s">
        <v>63</v>
      </c>
      <c r="R507" t="s">
        <v>88</v>
      </c>
    </row>
    <row r="508" spans="2:18" hidden="1" x14ac:dyDescent="0.35">
      <c r="B508" s="63">
        <v>46297</v>
      </c>
      <c r="C508" t="s">
        <v>1527</v>
      </c>
      <c r="D508" t="s">
        <v>28</v>
      </c>
      <c r="E508" t="s">
        <v>1526</v>
      </c>
      <c r="F508" t="s">
        <v>1528</v>
      </c>
      <c r="G508" t="s">
        <v>1528</v>
      </c>
      <c r="H508" s="85" t="s">
        <v>63</v>
      </c>
      <c r="I508" t="s">
        <v>63</v>
      </c>
      <c r="J508" s="46" t="s">
        <v>63</v>
      </c>
      <c r="K508" t="s">
        <v>63</v>
      </c>
      <c r="L508" t="s">
        <v>1529</v>
      </c>
      <c r="M508" s="106">
        <v>50000000</v>
      </c>
      <c r="N508" t="s">
        <v>57</v>
      </c>
      <c r="O508" t="s">
        <v>1530</v>
      </c>
      <c r="P508" t="s">
        <v>33</v>
      </c>
      <c r="Q508">
        <v>2000544</v>
      </c>
      <c r="R508" t="s">
        <v>32</v>
      </c>
    </row>
    <row r="509" spans="2:18" hidden="1" x14ac:dyDescent="0.35">
      <c r="B509" s="63">
        <v>46296</v>
      </c>
      <c r="C509" t="s">
        <v>218</v>
      </c>
      <c r="D509" t="s">
        <v>51</v>
      </c>
      <c r="E509" t="s">
        <v>199</v>
      </c>
      <c r="F509" t="s">
        <v>200</v>
      </c>
      <c r="G509" t="s">
        <v>200</v>
      </c>
      <c r="H509" s="85" t="s">
        <v>63</v>
      </c>
      <c r="I509" s="46" t="s">
        <v>63</v>
      </c>
      <c r="J509" s="46"/>
      <c r="K509" t="s">
        <v>1537</v>
      </c>
      <c r="L509" t="s">
        <v>1542</v>
      </c>
      <c r="M509" s="106">
        <v>1928700</v>
      </c>
      <c r="N509" t="s">
        <v>57</v>
      </c>
      <c r="O509" t="s">
        <v>1539</v>
      </c>
      <c r="P509" t="s">
        <v>130</v>
      </c>
      <c r="Q509" t="s">
        <v>63</v>
      </c>
      <c r="R509" t="s">
        <v>32</v>
      </c>
    </row>
    <row r="510" spans="2:18" hidden="1" x14ac:dyDescent="0.35">
      <c r="B510" s="63">
        <v>46297</v>
      </c>
      <c r="C510" t="s">
        <v>218</v>
      </c>
      <c r="D510" t="s">
        <v>51</v>
      </c>
      <c r="E510" t="s">
        <v>199</v>
      </c>
      <c r="F510" t="s">
        <v>200</v>
      </c>
      <c r="G510" t="s">
        <v>200</v>
      </c>
      <c r="H510" s="85" t="s">
        <v>63</v>
      </c>
      <c r="I510" s="46" t="s">
        <v>63</v>
      </c>
      <c r="J510" s="46"/>
      <c r="K510" t="s">
        <v>1538</v>
      </c>
      <c r="L510" t="s">
        <v>1541</v>
      </c>
      <c r="M510" s="106">
        <v>2298556</v>
      </c>
      <c r="N510" t="s">
        <v>57</v>
      </c>
      <c r="O510" t="s">
        <v>1540</v>
      </c>
      <c r="P510" t="s">
        <v>130</v>
      </c>
      <c r="Q510" t="s">
        <v>63</v>
      </c>
      <c r="R510" t="s">
        <v>32</v>
      </c>
    </row>
    <row r="511" spans="2:18" hidden="1" x14ac:dyDescent="0.35">
      <c r="B511" s="63">
        <v>46297</v>
      </c>
      <c r="C511" t="s">
        <v>218</v>
      </c>
      <c r="D511" t="s">
        <v>51</v>
      </c>
      <c r="E511" t="s">
        <v>199</v>
      </c>
      <c r="F511" t="s">
        <v>200</v>
      </c>
      <c r="G511" t="s">
        <v>200</v>
      </c>
      <c r="H511" s="85" t="s">
        <v>63</v>
      </c>
      <c r="I511" s="46" t="s">
        <v>63</v>
      </c>
      <c r="J511" s="46"/>
      <c r="K511" t="s">
        <v>1545</v>
      </c>
      <c r="L511" t="s">
        <v>1544</v>
      </c>
      <c r="M511" s="106">
        <v>2302301</v>
      </c>
      <c r="N511" t="s">
        <v>57</v>
      </c>
      <c r="O511" t="s">
        <v>1546</v>
      </c>
      <c r="P511" t="s">
        <v>130</v>
      </c>
      <c r="Q511" t="s">
        <v>63</v>
      </c>
      <c r="R511" t="s">
        <v>32</v>
      </c>
    </row>
    <row r="512" spans="2:18" hidden="1" x14ac:dyDescent="0.35">
      <c r="B512" s="63">
        <v>46298</v>
      </c>
      <c r="C512" t="s">
        <v>1543</v>
      </c>
      <c r="D512" t="s">
        <v>51</v>
      </c>
      <c r="E512" t="s">
        <v>51</v>
      </c>
      <c r="F512" t="s">
        <v>1519</v>
      </c>
      <c r="G512" t="s">
        <v>1519</v>
      </c>
      <c r="H512" s="85" t="s">
        <v>63</v>
      </c>
      <c r="I512" t="s">
        <v>63</v>
      </c>
      <c r="J512" s="46" t="s">
        <v>63</v>
      </c>
      <c r="K512" s="85">
        <v>13035483852</v>
      </c>
      <c r="L512" t="s">
        <v>1547</v>
      </c>
      <c r="M512" s="106">
        <v>15275</v>
      </c>
      <c r="N512" t="s">
        <v>57</v>
      </c>
      <c r="O512" t="s">
        <v>1548</v>
      </c>
      <c r="P512" t="s">
        <v>122</v>
      </c>
      <c r="Q512" t="s">
        <v>63</v>
      </c>
      <c r="R512" t="s">
        <v>88</v>
      </c>
    </row>
    <row r="513" spans="2:18" hidden="1" x14ac:dyDescent="0.35">
      <c r="B513" s="63">
        <v>46301</v>
      </c>
      <c r="C513" t="s">
        <v>1550</v>
      </c>
      <c r="D513" t="s">
        <v>28</v>
      </c>
      <c r="E513" t="s">
        <v>860</v>
      </c>
      <c r="F513" t="s">
        <v>166</v>
      </c>
      <c r="G513" t="s">
        <v>166</v>
      </c>
      <c r="H513" s="85">
        <v>1390715626</v>
      </c>
      <c r="I513" s="65" t="s">
        <v>163</v>
      </c>
      <c r="J513" s="67" t="s">
        <v>164</v>
      </c>
      <c r="K513" t="s">
        <v>1549</v>
      </c>
      <c r="L513" t="s">
        <v>861</v>
      </c>
      <c r="M513" s="106">
        <v>13886400</v>
      </c>
      <c r="N513" t="s">
        <v>57</v>
      </c>
      <c r="O513" t="e" vm="1">
        <f ca="1">SUBSTITUTE(_xlfn.TRANSLATE(BAHTTEXT(Table1[[#This Row],[Montant]]),"th","fr")," bahts"," francs CFA")</f>
        <v>#NAME?</v>
      </c>
      <c r="P513" t="s">
        <v>33</v>
      </c>
      <c r="Q513">
        <v>2000545</v>
      </c>
      <c r="R513" t="s">
        <v>32</v>
      </c>
    </row>
    <row r="514" spans="2:18" hidden="1" x14ac:dyDescent="0.35">
      <c r="B514" s="63">
        <v>46301</v>
      </c>
      <c r="C514" t="s">
        <v>1552</v>
      </c>
      <c r="D514" t="s">
        <v>28</v>
      </c>
      <c r="E514" t="s">
        <v>860</v>
      </c>
      <c r="F514" t="s">
        <v>1239</v>
      </c>
      <c r="G514" t="s">
        <v>1239</v>
      </c>
      <c r="H514" s="85">
        <v>100404882</v>
      </c>
      <c r="I514" s="36">
        <v>46848</v>
      </c>
      <c r="J514" s="46" t="s">
        <v>63</v>
      </c>
      <c r="K514" t="s">
        <v>1551</v>
      </c>
      <c r="L514" t="s">
        <v>861</v>
      </c>
      <c r="M514" s="106">
        <v>15278960</v>
      </c>
      <c r="N514" t="s">
        <v>57</v>
      </c>
      <c r="O514" t="e" vm="1">
        <f ca="1">SUBSTITUTE(_xlfn.TRANSLATE(BAHTTEXT(Table1[[#This Row],[Montant]]),"th","fr")," bahts"," francs CFA")</f>
        <v>#NAME?</v>
      </c>
      <c r="P514" t="s">
        <v>33</v>
      </c>
      <c r="Q514">
        <v>2000546</v>
      </c>
      <c r="R514" t="s">
        <v>32</v>
      </c>
    </row>
    <row r="515" spans="2:18" hidden="1" x14ac:dyDescent="0.35">
      <c r="B515" s="63">
        <v>46301</v>
      </c>
      <c r="C515" t="s">
        <v>1554</v>
      </c>
      <c r="D515" t="s">
        <v>28</v>
      </c>
      <c r="E515" t="s">
        <v>860</v>
      </c>
      <c r="F515" t="s">
        <v>1408</v>
      </c>
      <c r="G515" t="s">
        <v>1408</v>
      </c>
      <c r="H515" s="85">
        <v>20863872317726</v>
      </c>
      <c r="I515" s="36">
        <v>47892</v>
      </c>
      <c r="J515" s="46" t="s">
        <v>1409</v>
      </c>
      <c r="K515" t="s">
        <v>1553</v>
      </c>
      <c r="L515" t="s">
        <v>861</v>
      </c>
      <c r="M515" s="126">
        <v>13259400</v>
      </c>
      <c r="N515" t="s">
        <v>57</v>
      </c>
      <c r="O515" t="e" vm="1">
        <f ca="1">SUBSTITUTE(_xlfn.TRANSLATE(BAHTTEXT(Table1[[#This Row],[Montant]]),"th","fr")," bahts"," francs CFA")</f>
        <v>#NAME?</v>
      </c>
      <c r="P515" t="s">
        <v>33</v>
      </c>
      <c r="Q515">
        <v>2000548</v>
      </c>
      <c r="R515" t="s">
        <v>32</v>
      </c>
    </row>
    <row r="516" spans="2:18" hidden="1" x14ac:dyDescent="0.35">
      <c r="B516" s="63">
        <v>46301</v>
      </c>
      <c r="C516" t="s">
        <v>1558</v>
      </c>
      <c r="D516" t="s">
        <v>28</v>
      </c>
      <c r="E516" t="s">
        <v>860</v>
      </c>
      <c r="F516" t="s">
        <v>1555</v>
      </c>
      <c r="G516" t="s">
        <v>1555</v>
      </c>
      <c r="H516" s="85">
        <v>100151435</v>
      </c>
      <c r="I516" s="36">
        <v>46545</v>
      </c>
      <c r="J516" s="46" t="s">
        <v>1556</v>
      </c>
      <c r="K516" t="s">
        <v>1557</v>
      </c>
      <c r="L516" t="s">
        <v>861</v>
      </c>
      <c r="M516" s="106">
        <v>17074200</v>
      </c>
      <c r="N516" t="s">
        <v>57</v>
      </c>
      <c r="O516" t="e" vm="1">
        <f ca="1">SUBSTITUTE(_xlfn.TRANSLATE(BAHTTEXT(Table1[[#This Row],[Montant]]),"th","fr")," bahts"," francs CFA")</f>
        <v>#NAME?</v>
      </c>
      <c r="P516" t="s">
        <v>33</v>
      </c>
      <c r="Q516">
        <v>2000547</v>
      </c>
      <c r="R516" t="s">
        <v>32</v>
      </c>
    </row>
    <row r="517" spans="2:18" hidden="1" x14ac:dyDescent="0.35">
      <c r="B517" s="63">
        <f t="shared" ref="B517" ca="1" si="0">TODAY()</f>
        <v>46311</v>
      </c>
      <c r="C517" t="s">
        <v>1560</v>
      </c>
      <c r="D517" t="s">
        <v>51</v>
      </c>
      <c r="E517" t="s">
        <v>51</v>
      </c>
      <c r="F517" t="s">
        <v>551</v>
      </c>
      <c r="G517" t="s">
        <v>551</v>
      </c>
      <c r="H517" s="85" t="s">
        <v>63</v>
      </c>
      <c r="I517" t="s">
        <v>63</v>
      </c>
      <c r="J517" s="46" t="s">
        <v>63</v>
      </c>
      <c r="K517" t="s">
        <v>1559</v>
      </c>
      <c r="L517" t="s">
        <v>554</v>
      </c>
      <c r="M517" s="106">
        <v>50000</v>
      </c>
      <c r="N517" t="s">
        <v>57</v>
      </c>
      <c r="O517" t="e" vm="1">
        <f ca="1">SUBSTITUTE(_xlfn.TRANSLATE(BAHTTEXT(Table1[[#This Row],[Montant]]),"th","fr")," bahts"," francs CFA")</f>
        <v>#NAME?</v>
      </c>
      <c r="P517" t="s">
        <v>122</v>
      </c>
      <c r="Q517" t="s">
        <v>63</v>
      </c>
      <c r="R517" t="s">
        <v>88</v>
      </c>
    </row>
    <row r="518" spans="2:18" hidden="1" x14ac:dyDescent="0.35">
      <c r="B518" s="63">
        <v>46301</v>
      </c>
      <c r="C518" s="127" t="s">
        <v>1562</v>
      </c>
      <c r="D518" t="s">
        <v>28</v>
      </c>
      <c r="E518" t="s">
        <v>860</v>
      </c>
      <c r="F518" t="s">
        <v>890</v>
      </c>
      <c r="G518" t="s">
        <v>891</v>
      </c>
      <c r="H518" s="85">
        <v>20435764679125</v>
      </c>
      <c r="I518" s="36">
        <v>46685</v>
      </c>
      <c r="J518" s="46" t="s">
        <v>892</v>
      </c>
      <c r="K518" t="s">
        <v>1561</v>
      </c>
      <c r="L518" t="s">
        <v>861</v>
      </c>
      <c r="M518" s="126">
        <v>9999840</v>
      </c>
      <c r="N518" t="s">
        <v>57</v>
      </c>
      <c r="O518" t="e" vm="1">
        <f ca="1">SUBSTITUTE(_xlfn.TRANSLATE(BAHTTEXT(Table1[[#This Row],[Montant]]),"th","fr")," bahts"," francs CFA")</f>
        <v>#NAME?</v>
      </c>
      <c r="P518" t="s">
        <v>33</v>
      </c>
      <c r="Q518">
        <v>2000549</v>
      </c>
      <c r="R518" t="s">
        <v>32</v>
      </c>
    </row>
    <row r="519" spans="2:18" hidden="1" x14ac:dyDescent="0.35">
      <c r="B519" s="63">
        <v>46301</v>
      </c>
      <c r="C519" t="s">
        <v>1564</v>
      </c>
      <c r="D519" t="s">
        <v>28</v>
      </c>
      <c r="E519" t="s">
        <v>860</v>
      </c>
      <c r="F519" t="s">
        <v>46</v>
      </c>
      <c r="G519" t="s">
        <v>46</v>
      </c>
      <c r="H519" s="85">
        <v>1115119742</v>
      </c>
      <c r="I519" s="36">
        <v>46622</v>
      </c>
      <c r="J519" s="46" t="s">
        <v>48</v>
      </c>
      <c r="K519" t="s">
        <v>1563</v>
      </c>
      <c r="L519" t="s">
        <v>861</v>
      </c>
      <c r="M519" s="106">
        <v>5000000</v>
      </c>
      <c r="N519" t="s">
        <v>57</v>
      </c>
      <c r="O519" t="s">
        <v>179</v>
      </c>
      <c r="P519" t="s">
        <v>33</v>
      </c>
      <c r="Q519">
        <v>2000550</v>
      </c>
      <c r="R519" t="s">
        <v>32</v>
      </c>
    </row>
    <row r="520" spans="2:18" hidden="1" x14ac:dyDescent="0.35">
      <c r="B520" s="63">
        <v>46301</v>
      </c>
      <c r="C520" t="s">
        <v>1569</v>
      </c>
      <c r="D520" t="s">
        <v>28</v>
      </c>
      <c r="E520" t="s">
        <v>860</v>
      </c>
      <c r="F520" t="s">
        <v>1328</v>
      </c>
      <c r="G520" t="s">
        <v>1565</v>
      </c>
      <c r="H520" s="85" t="s">
        <v>1566</v>
      </c>
      <c r="I520" s="36">
        <v>47035</v>
      </c>
      <c r="J520" s="46" t="s">
        <v>1567</v>
      </c>
      <c r="K520" t="s">
        <v>1568</v>
      </c>
      <c r="L520" t="s">
        <v>861</v>
      </c>
      <c r="M520" s="106">
        <v>4778400</v>
      </c>
      <c r="N520" t="s">
        <v>57</v>
      </c>
      <c r="O520" t="e" vm="1">
        <f ca="1">SUBSTITUTE(_xlfn.TRANSLATE(BAHTTEXT(Table1[[#This Row],[Montant]]),"th","fr")," bahts"," francs CFA")</f>
        <v>#NAME?</v>
      </c>
      <c r="P520" t="s">
        <v>33</v>
      </c>
      <c r="Q520">
        <v>2000601</v>
      </c>
      <c r="R520" t="s">
        <v>32</v>
      </c>
    </row>
    <row r="521" spans="2:18" hidden="1" x14ac:dyDescent="0.35">
      <c r="B521" s="63">
        <v>46301</v>
      </c>
      <c r="C521" t="s">
        <v>1573</v>
      </c>
      <c r="D521" t="s">
        <v>51</v>
      </c>
      <c r="E521" t="s">
        <v>51</v>
      </c>
      <c r="F521" t="s">
        <v>560</v>
      </c>
      <c r="G521" t="s">
        <v>560</v>
      </c>
      <c r="H521" s="85" t="s">
        <v>561</v>
      </c>
      <c r="I521" s="36">
        <v>46187</v>
      </c>
      <c r="J521" s="46" t="s">
        <v>1570</v>
      </c>
      <c r="K521" t="s">
        <v>63</v>
      </c>
      <c r="L521" t="s">
        <v>1571</v>
      </c>
      <c r="M521" s="106">
        <v>238000</v>
      </c>
      <c r="N521" t="s">
        <v>57</v>
      </c>
      <c r="O521" t="s">
        <v>1572</v>
      </c>
      <c r="P521" t="s">
        <v>33</v>
      </c>
      <c r="Q521">
        <v>2000602</v>
      </c>
      <c r="R521" t="s">
        <v>32</v>
      </c>
    </row>
    <row r="522" spans="2:18" hidden="1" x14ac:dyDescent="0.35">
      <c r="B522" s="63">
        <v>46301</v>
      </c>
      <c r="C522" t="s">
        <v>1575</v>
      </c>
      <c r="D522" t="s">
        <v>51</v>
      </c>
      <c r="E522" t="s">
        <v>51</v>
      </c>
      <c r="F522" t="s">
        <v>161</v>
      </c>
      <c r="G522" t="s">
        <v>143</v>
      </c>
      <c r="H522" s="85">
        <v>5924678990</v>
      </c>
      <c r="I522" s="36">
        <v>46629</v>
      </c>
      <c r="J522" s="46" t="s">
        <v>151</v>
      </c>
      <c r="K522" t="s">
        <v>1574</v>
      </c>
      <c r="L522" t="s">
        <v>961</v>
      </c>
      <c r="M522" s="106">
        <v>3466756</v>
      </c>
      <c r="N522" t="s">
        <v>57</v>
      </c>
      <c r="O522" t="s">
        <v>1576</v>
      </c>
      <c r="P522" t="s">
        <v>33</v>
      </c>
      <c r="Q522">
        <v>2000603</v>
      </c>
      <c r="R522" t="s">
        <v>32</v>
      </c>
    </row>
    <row r="523" spans="2:18" hidden="1" x14ac:dyDescent="0.35">
      <c r="B523" s="63">
        <v>46302</v>
      </c>
      <c r="C523" t="s">
        <v>1578</v>
      </c>
      <c r="D523" t="s">
        <v>28</v>
      </c>
      <c r="E523" t="s">
        <v>860</v>
      </c>
      <c r="F523" t="s">
        <v>937</v>
      </c>
      <c r="G523" t="s">
        <v>937</v>
      </c>
      <c r="H523" s="85">
        <v>20468091846526</v>
      </c>
      <c r="I523" s="36">
        <v>47930</v>
      </c>
      <c r="J523" s="46" t="s">
        <v>940</v>
      </c>
      <c r="K523" t="s">
        <v>1577</v>
      </c>
      <c r="L523" t="s">
        <v>861</v>
      </c>
      <c r="M523" s="106">
        <v>500000</v>
      </c>
      <c r="N523" t="s">
        <v>57</v>
      </c>
      <c r="O523" t="s">
        <v>259</v>
      </c>
      <c r="P523" t="s">
        <v>33</v>
      </c>
      <c r="Q523">
        <v>2000606</v>
      </c>
      <c r="R523" t="s">
        <v>32</v>
      </c>
    </row>
    <row r="524" spans="2:18" hidden="1" x14ac:dyDescent="0.35">
      <c r="B524" s="63">
        <v>46302</v>
      </c>
      <c r="C524" t="s">
        <v>1581</v>
      </c>
      <c r="D524" t="s">
        <v>28</v>
      </c>
      <c r="E524" t="s">
        <v>860</v>
      </c>
      <c r="F524" t="s">
        <v>46</v>
      </c>
      <c r="G524" t="s">
        <v>46</v>
      </c>
      <c r="H524" s="85">
        <v>1115119742</v>
      </c>
      <c r="I524" s="36">
        <v>46622</v>
      </c>
      <c r="J524" s="46" t="s">
        <v>48</v>
      </c>
      <c r="K524" t="s">
        <v>1579</v>
      </c>
      <c r="L524" t="s">
        <v>861</v>
      </c>
      <c r="M524" s="106">
        <v>15724900</v>
      </c>
      <c r="N524" t="s">
        <v>57</v>
      </c>
      <c r="O524" t="s">
        <v>1580</v>
      </c>
      <c r="P524" t="s">
        <v>33</v>
      </c>
      <c r="Q524">
        <v>2000607</v>
      </c>
      <c r="R524" t="s">
        <v>32</v>
      </c>
    </row>
    <row r="525" spans="2:18" hidden="1" x14ac:dyDescent="0.35">
      <c r="B525" s="63">
        <v>46302</v>
      </c>
      <c r="C525" t="s">
        <v>1584</v>
      </c>
      <c r="D525" t="s">
        <v>28</v>
      </c>
      <c r="E525" t="s">
        <v>860</v>
      </c>
      <c r="F525" t="s">
        <v>1133</v>
      </c>
      <c r="G525" t="s">
        <v>1134</v>
      </c>
      <c r="H525" s="85">
        <v>20734524379725</v>
      </c>
      <c r="I525" s="36">
        <v>46632</v>
      </c>
      <c r="J525" s="46" t="s">
        <v>1135</v>
      </c>
      <c r="K525" t="s">
        <v>1582</v>
      </c>
      <c r="L525" t="s">
        <v>861</v>
      </c>
      <c r="M525" s="107">
        <v>17074200</v>
      </c>
      <c r="N525" t="s">
        <v>57</v>
      </c>
      <c r="O525" t="s">
        <v>1583</v>
      </c>
      <c r="P525" t="s">
        <v>33</v>
      </c>
      <c r="Q525">
        <v>2000608</v>
      </c>
      <c r="R525" t="s">
        <v>32</v>
      </c>
    </row>
    <row r="526" spans="2:18" hidden="1" x14ac:dyDescent="0.35">
      <c r="B526" s="63">
        <v>46302</v>
      </c>
      <c r="C526" t="s">
        <v>1589</v>
      </c>
      <c r="D526" t="s">
        <v>28</v>
      </c>
      <c r="E526" t="s">
        <v>860</v>
      </c>
      <c r="F526" t="s">
        <v>1585</v>
      </c>
      <c r="G526" t="s">
        <v>1585</v>
      </c>
      <c r="H526" s="85">
        <v>20724540572825</v>
      </c>
      <c r="I526" s="36">
        <v>46565</v>
      </c>
      <c r="J526" s="46" t="s">
        <v>1586</v>
      </c>
      <c r="K526" t="s">
        <v>1587</v>
      </c>
      <c r="L526" t="s">
        <v>861</v>
      </c>
      <c r="M526" s="106">
        <v>15067800</v>
      </c>
      <c r="N526" t="s">
        <v>57</v>
      </c>
      <c r="O526" t="s">
        <v>1588</v>
      </c>
      <c r="P526" t="s">
        <v>33</v>
      </c>
      <c r="Q526">
        <v>2000609</v>
      </c>
      <c r="R526" t="s">
        <v>32</v>
      </c>
    </row>
    <row r="527" spans="2:18" hidden="1" x14ac:dyDescent="0.35">
      <c r="B527" s="63">
        <v>46302</v>
      </c>
      <c r="C527" t="s">
        <v>1592</v>
      </c>
      <c r="D527" t="s">
        <v>28</v>
      </c>
      <c r="E527" t="s">
        <v>860</v>
      </c>
      <c r="F527" t="s">
        <v>1052</v>
      </c>
      <c r="G527" t="s">
        <v>1126</v>
      </c>
      <c r="H527" s="85">
        <v>100278389</v>
      </c>
      <c r="I527" s="36">
        <v>46726</v>
      </c>
      <c r="J527" s="46" t="s">
        <v>63</v>
      </c>
      <c r="K527" t="s">
        <v>1590</v>
      </c>
      <c r="L527" t="s">
        <v>861</v>
      </c>
      <c r="M527" s="106">
        <v>16809600</v>
      </c>
      <c r="N527" t="s">
        <v>57</v>
      </c>
      <c r="O527" t="s">
        <v>1591</v>
      </c>
      <c r="P527" t="s">
        <v>33</v>
      </c>
      <c r="Q527">
        <v>2000610</v>
      </c>
      <c r="R527" t="s">
        <v>32</v>
      </c>
    </row>
    <row r="528" spans="2:18" hidden="1" x14ac:dyDescent="0.35">
      <c r="B528" s="63">
        <v>46302</v>
      </c>
      <c r="C528" t="s">
        <v>1595</v>
      </c>
      <c r="D528" t="s">
        <v>51</v>
      </c>
      <c r="E528" t="s">
        <v>253</v>
      </c>
      <c r="F528" t="s">
        <v>255</v>
      </c>
      <c r="G528" t="s">
        <v>63</v>
      </c>
      <c r="H528" s="85" t="s">
        <v>63</v>
      </c>
      <c r="I528" s="65" t="s">
        <v>63</v>
      </c>
      <c r="J528" s="46" t="s">
        <v>63</v>
      </c>
      <c r="K528" t="s">
        <v>63</v>
      </c>
      <c r="L528" t="s">
        <v>1593</v>
      </c>
      <c r="M528" s="106">
        <v>3530000</v>
      </c>
      <c r="N528" t="s">
        <v>57</v>
      </c>
      <c r="O528" t="s">
        <v>1594</v>
      </c>
      <c r="P528" t="s">
        <v>130</v>
      </c>
      <c r="Q528" t="s">
        <v>63</v>
      </c>
      <c r="R528" t="s">
        <v>32</v>
      </c>
    </row>
    <row r="529" spans="2:18" hidden="1" x14ac:dyDescent="0.35">
      <c r="B529" s="63">
        <v>46302</v>
      </c>
      <c r="C529" t="s">
        <v>1601</v>
      </c>
      <c r="D529" t="s">
        <v>51</v>
      </c>
      <c r="E529" t="s">
        <v>51</v>
      </c>
      <c r="F529" t="s">
        <v>406</v>
      </c>
      <c r="G529" t="s">
        <v>406</v>
      </c>
      <c r="H529" s="85">
        <v>4918023191</v>
      </c>
      <c r="I529" s="36">
        <v>47919</v>
      </c>
      <c r="J529" s="46" t="s">
        <v>407</v>
      </c>
      <c r="K529" t="s">
        <v>63</v>
      </c>
      <c r="L529" t="s">
        <v>1596</v>
      </c>
      <c r="M529" s="106">
        <v>5000000</v>
      </c>
      <c r="N529" t="s">
        <v>57</v>
      </c>
      <c r="O529" t="s">
        <v>179</v>
      </c>
      <c r="P529" t="s">
        <v>33</v>
      </c>
      <c r="Q529">
        <v>2000611</v>
      </c>
      <c r="R529" t="s">
        <v>32</v>
      </c>
    </row>
    <row r="530" spans="2:18" hidden="1" x14ac:dyDescent="0.35">
      <c r="B530" s="63">
        <v>46302</v>
      </c>
      <c r="C530" t="s">
        <v>1602</v>
      </c>
      <c r="D530" t="s">
        <v>51</v>
      </c>
      <c r="E530" t="s">
        <v>51</v>
      </c>
      <c r="F530" t="s">
        <v>406</v>
      </c>
      <c r="G530" t="s">
        <v>406</v>
      </c>
      <c r="H530" s="85">
        <v>4918023191</v>
      </c>
      <c r="I530" s="36">
        <v>47919</v>
      </c>
      <c r="J530" s="46" t="s">
        <v>407</v>
      </c>
      <c r="K530" t="s">
        <v>63</v>
      </c>
      <c r="L530" t="s">
        <v>1597</v>
      </c>
      <c r="M530" s="106">
        <v>3800000</v>
      </c>
      <c r="N530" t="s">
        <v>57</v>
      </c>
      <c r="O530" t="s">
        <v>1598</v>
      </c>
      <c r="P530" t="s">
        <v>33</v>
      </c>
      <c r="Q530">
        <v>2000612</v>
      </c>
      <c r="R530" t="s">
        <v>32</v>
      </c>
    </row>
    <row r="531" spans="2:18" hidden="1" x14ac:dyDescent="0.35">
      <c r="B531" s="63">
        <v>46302</v>
      </c>
      <c r="C531" t="s">
        <v>1603</v>
      </c>
      <c r="D531" t="s">
        <v>51</v>
      </c>
      <c r="E531" t="s">
        <v>51</v>
      </c>
      <c r="F531" t="s">
        <v>406</v>
      </c>
      <c r="G531" t="s">
        <v>406</v>
      </c>
      <c r="H531" s="85">
        <v>4918023191</v>
      </c>
      <c r="I531" s="36">
        <v>47919</v>
      </c>
      <c r="J531" s="46" t="s">
        <v>407</v>
      </c>
      <c r="K531" t="s">
        <v>63</v>
      </c>
      <c r="L531" t="s">
        <v>1599</v>
      </c>
      <c r="M531" s="106">
        <v>1000000</v>
      </c>
      <c r="N531" t="s">
        <v>57</v>
      </c>
      <c r="O531" t="s">
        <v>1600</v>
      </c>
      <c r="P531" t="s">
        <v>33</v>
      </c>
      <c r="Q531">
        <v>2000613</v>
      </c>
      <c r="R531" t="s">
        <v>32</v>
      </c>
    </row>
    <row r="532" spans="2:18" hidden="1" x14ac:dyDescent="0.35">
      <c r="B532" s="63">
        <v>46303</v>
      </c>
      <c r="C532" t="s">
        <v>1606</v>
      </c>
      <c r="D532" t="s">
        <v>51</v>
      </c>
      <c r="E532" t="s">
        <v>237</v>
      </c>
      <c r="F532" t="s">
        <v>238</v>
      </c>
      <c r="G532" t="s">
        <v>574</v>
      </c>
      <c r="H532" s="85">
        <v>20846854937426</v>
      </c>
      <c r="I532" s="36">
        <v>413157</v>
      </c>
      <c r="J532" s="46" t="s">
        <v>239</v>
      </c>
      <c r="K532" t="s">
        <v>1604</v>
      </c>
      <c r="L532" t="s">
        <v>1605</v>
      </c>
      <c r="M532" s="52">
        <v>349500</v>
      </c>
      <c r="N532" t="s">
        <v>57</v>
      </c>
      <c r="O532" t="s">
        <v>1632</v>
      </c>
      <c r="P532" t="s">
        <v>33</v>
      </c>
      <c r="Q532">
        <v>2000614</v>
      </c>
      <c r="R532" t="s">
        <v>32</v>
      </c>
    </row>
    <row r="533" spans="2:18" hidden="1" x14ac:dyDescent="0.35">
      <c r="B533" s="63">
        <v>46303</v>
      </c>
      <c r="C533" t="s">
        <v>1607</v>
      </c>
      <c r="D533" t="s">
        <v>51</v>
      </c>
      <c r="E533" t="s">
        <v>51</v>
      </c>
      <c r="F533" t="s">
        <v>1608</v>
      </c>
      <c r="G533" t="s">
        <v>1608</v>
      </c>
      <c r="H533" s="85" t="s">
        <v>1609</v>
      </c>
      <c r="I533" s="36">
        <v>413215</v>
      </c>
      <c r="J533" s="46" t="s">
        <v>1610</v>
      </c>
      <c r="K533" t="s">
        <v>1612</v>
      </c>
      <c r="L533" t="s">
        <v>1613</v>
      </c>
      <c r="M533" s="106">
        <v>247250</v>
      </c>
      <c r="N533" t="s">
        <v>57</v>
      </c>
      <c r="O533" t="s">
        <v>1611</v>
      </c>
      <c r="P533" t="s">
        <v>33</v>
      </c>
      <c r="Q533">
        <v>2000615</v>
      </c>
      <c r="R533" t="s">
        <v>32</v>
      </c>
    </row>
    <row r="534" spans="2:18" hidden="1" x14ac:dyDescent="0.35">
      <c r="B534" s="63">
        <v>46303</v>
      </c>
      <c r="C534" t="s">
        <v>1615</v>
      </c>
      <c r="D534" t="s">
        <v>28</v>
      </c>
      <c r="E534" t="s">
        <v>860</v>
      </c>
      <c r="F534" t="s">
        <v>970</v>
      </c>
      <c r="G534" t="s">
        <v>970</v>
      </c>
      <c r="H534" s="85">
        <v>20278660572226</v>
      </c>
      <c r="I534" s="36">
        <v>413328</v>
      </c>
      <c r="J534" s="46" t="s">
        <v>972</v>
      </c>
      <c r="K534" t="s">
        <v>1614</v>
      </c>
      <c r="L534" t="s">
        <v>861</v>
      </c>
      <c r="M534" s="106">
        <v>5000000</v>
      </c>
      <c r="N534" t="s">
        <v>57</v>
      </c>
      <c r="O534" t="s">
        <v>179</v>
      </c>
      <c r="P534" t="s">
        <v>33</v>
      </c>
      <c r="Q534">
        <v>2000616</v>
      </c>
      <c r="R534" t="s">
        <v>32</v>
      </c>
    </row>
    <row r="535" spans="2:18" hidden="1" x14ac:dyDescent="0.35">
      <c r="B535" s="63">
        <v>46303</v>
      </c>
      <c r="C535" t="s">
        <v>1618</v>
      </c>
      <c r="D535" t="s">
        <v>28</v>
      </c>
      <c r="E535" t="s">
        <v>860</v>
      </c>
      <c r="F535" t="s">
        <v>1239</v>
      </c>
      <c r="G535" t="s">
        <v>1239</v>
      </c>
      <c r="H535" s="85">
        <v>100404882</v>
      </c>
      <c r="I535" s="36">
        <v>46848</v>
      </c>
      <c r="J535" s="46" t="s">
        <v>63</v>
      </c>
      <c r="K535" t="s">
        <v>1616</v>
      </c>
      <c r="L535" t="s">
        <v>861</v>
      </c>
      <c r="M535" s="106">
        <v>16546200</v>
      </c>
      <c r="N535" t="s">
        <v>57</v>
      </c>
      <c r="O535" t="s">
        <v>1617</v>
      </c>
      <c r="P535" t="s">
        <v>33</v>
      </c>
      <c r="Q535">
        <v>2000617</v>
      </c>
      <c r="R535" t="s">
        <v>32</v>
      </c>
    </row>
    <row r="536" spans="2:18" hidden="1" x14ac:dyDescent="0.35">
      <c r="B536" s="63">
        <v>46303</v>
      </c>
      <c r="C536" t="s">
        <v>1622</v>
      </c>
      <c r="D536" t="s">
        <v>51</v>
      </c>
      <c r="E536" t="s">
        <v>51</v>
      </c>
      <c r="F536" t="s">
        <v>1619</v>
      </c>
      <c r="G536" t="s">
        <v>1619</v>
      </c>
      <c r="H536" s="85">
        <v>20385174502026</v>
      </c>
      <c r="I536" s="36">
        <v>47951</v>
      </c>
      <c r="J536" s="46" t="s">
        <v>1620</v>
      </c>
      <c r="K536" t="s">
        <v>1623</v>
      </c>
      <c r="L536" t="s">
        <v>1621</v>
      </c>
      <c r="M536" s="106">
        <f>60000 +210000</f>
        <v>270000</v>
      </c>
      <c r="N536" t="s">
        <v>57</v>
      </c>
      <c r="O536" t="s">
        <v>1624</v>
      </c>
      <c r="P536" t="s">
        <v>33</v>
      </c>
      <c r="Q536">
        <v>2000618</v>
      </c>
      <c r="R536" t="s">
        <v>32</v>
      </c>
    </row>
    <row r="537" spans="2:18" hidden="1" x14ac:dyDescent="0.35">
      <c r="B537" s="63">
        <v>46303</v>
      </c>
      <c r="C537" t="s">
        <v>1627</v>
      </c>
      <c r="D537" t="s">
        <v>51</v>
      </c>
      <c r="E537" t="s">
        <v>199</v>
      </c>
      <c r="F537" t="s">
        <v>200</v>
      </c>
      <c r="G537" t="s">
        <v>200</v>
      </c>
      <c r="H537" s="85" t="s">
        <v>63</v>
      </c>
      <c r="I537" s="46" t="s">
        <v>63</v>
      </c>
      <c r="J537" s="46" t="s">
        <v>63</v>
      </c>
      <c r="K537" t="s">
        <v>1628</v>
      </c>
      <c r="L537" t="s">
        <v>1625</v>
      </c>
      <c r="M537" s="106">
        <v>1937222</v>
      </c>
      <c r="N537" t="s">
        <v>57</v>
      </c>
      <c r="O537" t="s">
        <v>1626</v>
      </c>
      <c r="P537" t="s">
        <v>87</v>
      </c>
      <c r="Q537" t="s">
        <v>63</v>
      </c>
      <c r="R537" t="s">
        <v>32</v>
      </c>
    </row>
    <row r="538" spans="2:18" hidden="1" x14ac:dyDescent="0.35">
      <c r="B538" s="63">
        <v>46303</v>
      </c>
      <c r="C538" t="s">
        <v>1630</v>
      </c>
      <c r="D538" t="s">
        <v>51</v>
      </c>
      <c r="E538" t="s">
        <v>116</v>
      </c>
      <c r="F538" t="s">
        <v>117</v>
      </c>
      <c r="G538" t="s">
        <v>117</v>
      </c>
      <c r="H538" s="85" t="s">
        <v>63</v>
      </c>
      <c r="I538" t="s">
        <v>63</v>
      </c>
      <c r="J538" s="66" t="s">
        <v>119</v>
      </c>
      <c r="K538" t="s">
        <v>1629</v>
      </c>
      <c r="L538" t="s">
        <v>372</v>
      </c>
      <c r="M538" s="106">
        <v>63902</v>
      </c>
      <c r="N538" t="s">
        <v>57</v>
      </c>
      <c r="O538" t="e" vm="1">
        <f ca="1">SUBSTITUTE(_xlfn.TRANSLATE(BAHTTEXT(Table1[[#This Row],[Montant]]),"th","fr")," bahts"," francs CFA")</f>
        <v>#NAME?</v>
      </c>
      <c r="P538" t="s">
        <v>122</v>
      </c>
      <c r="Q538" t="s">
        <v>63</v>
      </c>
      <c r="R538" t="s">
        <v>88</v>
      </c>
    </row>
    <row r="539" spans="2:18" hidden="1" x14ac:dyDescent="0.35">
      <c r="B539" s="63">
        <v>46303</v>
      </c>
      <c r="C539" t="s">
        <v>1631</v>
      </c>
      <c r="D539" t="s">
        <v>51</v>
      </c>
      <c r="E539" t="s">
        <v>116</v>
      </c>
      <c r="F539" t="s">
        <v>117</v>
      </c>
      <c r="G539" t="s">
        <v>117</v>
      </c>
      <c r="H539" s="85" t="s">
        <v>63</v>
      </c>
      <c r="I539" t="s">
        <v>63</v>
      </c>
      <c r="J539" s="66" t="s">
        <v>119</v>
      </c>
      <c r="M539" s="106">
        <v>151012</v>
      </c>
      <c r="N539" t="s">
        <v>57</v>
      </c>
      <c r="O539" t="e" vm="1">
        <f ca="1">SUBSTITUTE(_xlfn.TRANSLATE(BAHTTEXT(Table1[[#This Row],[Montant]]),"th","fr")," bahts"," francs CFA")</f>
        <v>#NAME?</v>
      </c>
      <c r="P539" t="s">
        <v>122</v>
      </c>
      <c r="Q539" t="s">
        <v>63</v>
      </c>
      <c r="R539" t="s">
        <v>88</v>
      </c>
    </row>
    <row r="540" spans="2:18" hidden="1" x14ac:dyDescent="0.35">
      <c r="B540" s="63">
        <v>46304</v>
      </c>
      <c r="C540" t="s">
        <v>1637</v>
      </c>
      <c r="D540" t="s">
        <v>51</v>
      </c>
      <c r="E540" t="s">
        <v>51</v>
      </c>
      <c r="F540" t="s">
        <v>1636</v>
      </c>
      <c r="G540" t="s">
        <v>1636</v>
      </c>
      <c r="H540" s="85" t="s">
        <v>63</v>
      </c>
      <c r="I540" t="s">
        <v>63</v>
      </c>
      <c r="J540" s="46" t="s">
        <v>63</v>
      </c>
      <c r="K540" t="s">
        <v>1635</v>
      </c>
      <c r="L540" t="s">
        <v>1634</v>
      </c>
      <c r="M540" s="106">
        <v>400000</v>
      </c>
      <c r="N540" t="s">
        <v>57</v>
      </c>
      <c r="O540" t="s">
        <v>1633</v>
      </c>
      <c r="P540" t="s">
        <v>33</v>
      </c>
      <c r="Q540">
        <v>2000620</v>
      </c>
      <c r="R540" t="s">
        <v>32</v>
      </c>
    </row>
    <row r="541" spans="2:18" hidden="1" x14ac:dyDescent="0.35">
      <c r="B541" s="63">
        <v>46304</v>
      </c>
      <c r="C541" t="s">
        <v>1640</v>
      </c>
      <c r="D541" t="s">
        <v>28</v>
      </c>
      <c r="E541" t="s">
        <v>860</v>
      </c>
      <c r="F541" t="s">
        <v>1641</v>
      </c>
      <c r="G541" t="s">
        <v>1641</v>
      </c>
      <c r="H541" s="85">
        <v>100623461</v>
      </c>
      <c r="I541" s="36">
        <v>47211</v>
      </c>
      <c r="J541" s="46" t="s">
        <v>1642</v>
      </c>
      <c r="K541" t="s">
        <v>1638</v>
      </c>
      <c r="L541" t="s">
        <v>861</v>
      </c>
      <c r="M541" s="106">
        <v>13094400</v>
      </c>
      <c r="N541" t="s">
        <v>57</v>
      </c>
      <c r="O541" t="s">
        <v>1639</v>
      </c>
      <c r="P541" t="s">
        <v>33</v>
      </c>
      <c r="Q541">
        <v>2000621</v>
      </c>
      <c r="R541" t="s">
        <v>32</v>
      </c>
    </row>
    <row r="542" spans="2:18" hidden="1" x14ac:dyDescent="0.35">
      <c r="B542" s="63">
        <v>46304</v>
      </c>
      <c r="C542" t="s">
        <v>1645</v>
      </c>
      <c r="D542" t="s">
        <v>28</v>
      </c>
      <c r="E542" t="s">
        <v>860</v>
      </c>
      <c r="F542" t="s">
        <v>109</v>
      </c>
      <c r="G542" t="s">
        <v>109</v>
      </c>
      <c r="H542" s="85">
        <v>2546545404</v>
      </c>
      <c r="I542" s="65" t="s">
        <v>111</v>
      </c>
      <c r="J542" s="46" t="s">
        <v>110</v>
      </c>
      <c r="K542" t="s">
        <v>1643</v>
      </c>
      <c r="L542" t="s">
        <v>861</v>
      </c>
      <c r="M542" s="106">
        <v>15964200</v>
      </c>
      <c r="N542" t="s">
        <v>57</v>
      </c>
      <c r="O542" t="s">
        <v>1644</v>
      </c>
      <c r="P542" t="s">
        <v>33</v>
      </c>
      <c r="Q542">
        <v>2000622</v>
      </c>
      <c r="R542" t="s">
        <v>32</v>
      </c>
    </row>
    <row r="543" spans="2:18" hidden="1" x14ac:dyDescent="0.35">
      <c r="B543" s="63">
        <v>46304</v>
      </c>
      <c r="C543" t="s">
        <v>1648</v>
      </c>
      <c r="D543" t="s">
        <v>51</v>
      </c>
      <c r="E543" t="s">
        <v>51</v>
      </c>
      <c r="F543" t="s">
        <v>754</v>
      </c>
      <c r="G543" t="s">
        <v>755</v>
      </c>
      <c r="H543" s="85" t="s">
        <v>756</v>
      </c>
      <c r="I543" s="36">
        <v>46263</v>
      </c>
      <c r="J543" s="46" t="s">
        <v>757</v>
      </c>
      <c r="L543" t="s">
        <v>1647</v>
      </c>
      <c r="M543" s="106">
        <v>3201000</v>
      </c>
      <c r="N543" t="s">
        <v>57</v>
      </c>
      <c r="O543" t="s">
        <v>1646</v>
      </c>
      <c r="P543" t="s">
        <v>33</v>
      </c>
      <c r="Q543">
        <v>2000623</v>
      </c>
      <c r="R543" t="s">
        <v>32</v>
      </c>
    </row>
    <row r="544" spans="2:18" hidden="1" x14ac:dyDescent="0.35">
      <c r="B544" s="63">
        <v>46304</v>
      </c>
      <c r="C544" t="s">
        <v>1651</v>
      </c>
      <c r="D544" t="s">
        <v>28</v>
      </c>
      <c r="E544" t="s">
        <v>860</v>
      </c>
      <c r="F544" t="s">
        <v>46</v>
      </c>
      <c r="G544" t="s">
        <v>46</v>
      </c>
      <c r="H544" s="85">
        <v>1115119742</v>
      </c>
      <c r="I544" s="36">
        <v>46622</v>
      </c>
      <c r="J544" s="46" t="s">
        <v>48</v>
      </c>
      <c r="K544" t="s">
        <v>1649</v>
      </c>
      <c r="L544" t="s">
        <v>861</v>
      </c>
      <c r="M544" s="106">
        <v>8607700</v>
      </c>
      <c r="N544" t="s">
        <v>47</v>
      </c>
      <c r="O544" t="s">
        <v>1650</v>
      </c>
      <c r="P544" t="s">
        <v>33</v>
      </c>
      <c r="Q544">
        <v>2000624</v>
      </c>
      <c r="R544" t="s">
        <v>32</v>
      </c>
    </row>
    <row r="545" spans="2:18" hidden="1" x14ac:dyDescent="0.35">
      <c r="B545" s="63">
        <v>46304</v>
      </c>
      <c r="C545" t="s">
        <v>1654</v>
      </c>
      <c r="D545" t="s">
        <v>51</v>
      </c>
      <c r="E545" t="s">
        <v>51</v>
      </c>
      <c r="F545" t="s">
        <v>181</v>
      </c>
      <c r="G545" t="s">
        <v>185</v>
      </c>
      <c r="H545" s="85">
        <v>7767232054</v>
      </c>
      <c r="I545" s="36">
        <v>47794</v>
      </c>
      <c r="J545" s="46" t="s">
        <v>63</v>
      </c>
      <c r="K545" t="s">
        <v>1652</v>
      </c>
      <c r="L545" t="s">
        <v>807</v>
      </c>
      <c r="M545" s="106">
        <v>8458894</v>
      </c>
      <c r="N545" t="s">
        <v>57</v>
      </c>
      <c r="O545" t="s">
        <v>1653</v>
      </c>
      <c r="P545" t="s">
        <v>33</v>
      </c>
      <c r="Q545">
        <v>2000625</v>
      </c>
      <c r="R545" t="s">
        <v>32</v>
      </c>
    </row>
    <row r="546" spans="2:18" hidden="1" x14ac:dyDescent="0.35">
      <c r="B546" s="63">
        <v>46305</v>
      </c>
      <c r="C546" t="s">
        <v>1657</v>
      </c>
      <c r="D546" t="s">
        <v>28</v>
      </c>
      <c r="E546" t="s">
        <v>860</v>
      </c>
      <c r="F546" t="s">
        <v>890</v>
      </c>
      <c r="G546" t="s">
        <v>891</v>
      </c>
      <c r="H546" s="85">
        <v>20435764679125</v>
      </c>
      <c r="I546" s="36">
        <v>46685</v>
      </c>
      <c r="J546" s="46" t="s">
        <v>892</v>
      </c>
      <c r="K546" t="s">
        <v>1655</v>
      </c>
      <c r="L546" t="s">
        <v>861</v>
      </c>
      <c r="M546" s="126">
        <v>13230800</v>
      </c>
      <c r="N546" t="s">
        <v>57</v>
      </c>
      <c r="O546" t="s">
        <v>1656</v>
      </c>
      <c r="P546" t="s">
        <v>33</v>
      </c>
      <c r="Q546">
        <v>2000626</v>
      </c>
      <c r="R546" t="s">
        <v>32</v>
      </c>
    </row>
    <row r="547" spans="2:18" hidden="1" x14ac:dyDescent="0.35">
      <c r="B547" s="63" t="s">
        <v>1662</v>
      </c>
      <c r="C547" t="s">
        <v>1661</v>
      </c>
      <c r="D547" t="s">
        <v>51</v>
      </c>
      <c r="E547" t="s">
        <v>51</v>
      </c>
      <c r="F547" t="s">
        <v>622</v>
      </c>
      <c r="G547" t="s">
        <v>622</v>
      </c>
      <c r="H547" s="85">
        <v>20921662429826</v>
      </c>
      <c r="I547" s="36">
        <v>47997</v>
      </c>
      <c r="J547" s="46" t="s">
        <v>625</v>
      </c>
      <c r="K547" t="s">
        <v>1658</v>
      </c>
      <c r="L547" t="s">
        <v>1659</v>
      </c>
      <c r="M547" s="106">
        <v>134957</v>
      </c>
      <c r="N547" t="s">
        <v>57</v>
      </c>
      <c r="O547" t="s">
        <v>1660</v>
      </c>
      <c r="P547" t="s">
        <v>87</v>
      </c>
      <c r="Q547" t="s">
        <v>63</v>
      </c>
      <c r="R547" t="s">
        <v>88</v>
      </c>
    </row>
    <row r="548" spans="2:18" hidden="1" x14ac:dyDescent="0.35">
      <c r="B548" s="63">
        <v>46307</v>
      </c>
      <c r="C548" t="s">
        <v>1664</v>
      </c>
      <c r="D548" t="s">
        <v>28</v>
      </c>
      <c r="E548" t="s">
        <v>860</v>
      </c>
      <c r="F548" t="s">
        <v>970</v>
      </c>
      <c r="G548" t="s">
        <v>970</v>
      </c>
      <c r="H548" s="85">
        <v>20278660572226</v>
      </c>
      <c r="I548" s="36">
        <v>413328</v>
      </c>
      <c r="J548" s="46" t="s">
        <v>972</v>
      </c>
      <c r="K548" t="s">
        <v>1614</v>
      </c>
      <c r="L548" t="s">
        <v>861</v>
      </c>
      <c r="M548" s="106">
        <v>10815600</v>
      </c>
      <c r="N548" t="s">
        <v>57</v>
      </c>
      <c r="O548" t="s">
        <v>1663</v>
      </c>
      <c r="P548" t="s">
        <v>33</v>
      </c>
      <c r="Q548">
        <v>2000628</v>
      </c>
      <c r="R548" t="s">
        <v>32</v>
      </c>
    </row>
    <row r="549" spans="2:18" hidden="1" x14ac:dyDescent="0.35">
      <c r="B549" s="63">
        <v>46307</v>
      </c>
      <c r="C549" t="s">
        <v>1667</v>
      </c>
      <c r="D549" t="s">
        <v>28</v>
      </c>
      <c r="E549" t="s">
        <v>860</v>
      </c>
      <c r="F549" t="s">
        <v>1195</v>
      </c>
      <c r="G549" t="s">
        <v>1195</v>
      </c>
      <c r="H549" s="85">
        <v>20919625372025</v>
      </c>
      <c r="I549" s="36">
        <v>46548</v>
      </c>
      <c r="J549" s="46" t="s">
        <v>1349</v>
      </c>
      <c r="K549" t="s">
        <v>1665</v>
      </c>
      <c r="L549" t="s">
        <v>861</v>
      </c>
      <c r="M549" s="106">
        <v>9318600</v>
      </c>
      <c r="N549" t="s">
        <v>57</v>
      </c>
      <c r="O549" t="s">
        <v>1666</v>
      </c>
      <c r="P549" t="s">
        <v>33</v>
      </c>
      <c r="Q549">
        <v>2000627</v>
      </c>
      <c r="R549" t="s">
        <v>32</v>
      </c>
    </row>
    <row r="550" spans="2:18" hidden="1" x14ac:dyDescent="0.35">
      <c r="B550" s="63">
        <v>46307</v>
      </c>
      <c r="C550" t="s">
        <v>1670</v>
      </c>
      <c r="D550" t="s">
        <v>28</v>
      </c>
      <c r="E550" t="s">
        <v>860</v>
      </c>
      <c r="F550" t="s">
        <v>948</v>
      </c>
      <c r="G550" t="s">
        <v>1296</v>
      </c>
      <c r="H550" s="85">
        <v>20163094808726</v>
      </c>
      <c r="I550" s="36">
        <v>47925</v>
      </c>
      <c r="J550" s="46" t="s">
        <v>63</v>
      </c>
      <c r="K550" t="s">
        <v>1668</v>
      </c>
      <c r="L550" t="s">
        <v>861</v>
      </c>
      <c r="M550" s="106">
        <v>12586000</v>
      </c>
      <c r="N550" t="s">
        <v>57</v>
      </c>
      <c r="O550" t="s">
        <v>1669</v>
      </c>
      <c r="P550" t="s">
        <v>33</v>
      </c>
      <c r="Q550">
        <v>2000629</v>
      </c>
      <c r="R550" t="s">
        <v>32</v>
      </c>
    </row>
    <row r="551" spans="2:18" hidden="1" x14ac:dyDescent="0.35">
      <c r="B551" s="63">
        <v>46307</v>
      </c>
      <c r="C551" t="s">
        <v>1673</v>
      </c>
      <c r="D551" t="s">
        <v>28</v>
      </c>
      <c r="E551" t="s">
        <v>860</v>
      </c>
      <c r="F551" t="s">
        <v>166</v>
      </c>
      <c r="G551" t="s">
        <v>166</v>
      </c>
      <c r="H551" s="85">
        <v>1390715626</v>
      </c>
      <c r="I551" s="65" t="s">
        <v>163</v>
      </c>
      <c r="J551" s="67" t="s">
        <v>164</v>
      </c>
      <c r="K551" t="s">
        <v>1671</v>
      </c>
      <c r="L551" t="s">
        <v>861</v>
      </c>
      <c r="M551" s="106">
        <v>11661200</v>
      </c>
      <c r="N551" t="s">
        <v>57</v>
      </c>
      <c r="O551" t="s">
        <v>1672</v>
      </c>
      <c r="P551" t="s">
        <v>33</v>
      </c>
      <c r="Q551">
        <v>2000630</v>
      </c>
      <c r="R551" t="s">
        <v>32</v>
      </c>
    </row>
    <row r="552" spans="2:18" hidden="1" x14ac:dyDescent="0.35">
      <c r="B552" s="63">
        <v>46307</v>
      </c>
      <c r="C552" t="s">
        <v>1676</v>
      </c>
      <c r="D552" t="s">
        <v>28</v>
      </c>
      <c r="E552" t="s">
        <v>860</v>
      </c>
      <c r="F552" t="s">
        <v>1278</v>
      </c>
      <c r="G552" t="s">
        <v>1278</v>
      </c>
      <c r="H552" s="85">
        <v>100762270</v>
      </c>
      <c r="I552" s="36">
        <v>47644</v>
      </c>
      <c r="J552" s="46" t="s">
        <v>63</v>
      </c>
      <c r="K552" t="s">
        <v>1674</v>
      </c>
      <c r="L552" t="s">
        <v>861</v>
      </c>
      <c r="M552" s="106">
        <v>14309040</v>
      </c>
      <c r="N552" t="s">
        <v>57</v>
      </c>
      <c r="O552" t="s">
        <v>1675</v>
      </c>
      <c r="P552" t="s">
        <v>33</v>
      </c>
      <c r="Q552">
        <v>2000632</v>
      </c>
      <c r="R552" t="s">
        <v>32</v>
      </c>
    </row>
    <row r="553" spans="2:18" hidden="1" x14ac:dyDescent="0.35">
      <c r="B553" s="63">
        <v>46307</v>
      </c>
      <c r="C553" t="s">
        <v>1679</v>
      </c>
      <c r="D553" t="s">
        <v>28</v>
      </c>
      <c r="E553" t="s">
        <v>860</v>
      </c>
      <c r="F553" t="s">
        <v>937</v>
      </c>
      <c r="G553" t="s">
        <v>937</v>
      </c>
      <c r="H553" s="85">
        <v>20468091846526</v>
      </c>
      <c r="I553" s="36">
        <v>47930</v>
      </c>
      <c r="J553" s="46" t="s">
        <v>940</v>
      </c>
      <c r="K553" t="s">
        <v>1677</v>
      </c>
      <c r="L553" t="s">
        <v>861</v>
      </c>
      <c r="M553" s="106">
        <v>7500000</v>
      </c>
      <c r="N553" t="s">
        <v>57</v>
      </c>
      <c r="O553" t="s">
        <v>1678</v>
      </c>
      <c r="P553" t="s">
        <v>33</v>
      </c>
      <c r="Q553">
        <v>2000633</v>
      </c>
      <c r="R553" t="s">
        <v>32</v>
      </c>
    </row>
    <row r="554" spans="2:18" hidden="1" x14ac:dyDescent="0.35">
      <c r="B554" s="63">
        <v>46307</v>
      </c>
      <c r="C554" t="s">
        <v>1682</v>
      </c>
      <c r="D554" t="s">
        <v>28</v>
      </c>
      <c r="E554" t="s">
        <v>860</v>
      </c>
      <c r="F554" t="s">
        <v>882</v>
      </c>
      <c r="G554" t="s">
        <v>880</v>
      </c>
      <c r="H554" s="85">
        <v>209735867</v>
      </c>
      <c r="I554" s="36">
        <v>46335</v>
      </c>
      <c r="J554" s="46" t="s">
        <v>63</v>
      </c>
      <c r="K554" t="s">
        <v>1680</v>
      </c>
      <c r="L554" t="s">
        <v>861</v>
      </c>
      <c r="M554" s="126">
        <v>31867200</v>
      </c>
      <c r="N554" t="s">
        <v>57</v>
      </c>
      <c r="O554" t="s">
        <v>1681</v>
      </c>
      <c r="P554" t="s">
        <v>33</v>
      </c>
      <c r="Q554">
        <v>2000634</v>
      </c>
      <c r="R554" t="s">
        <v>32</v>
      </c>
    </row>
    <row r="555" spans="2:18" hidden="1" x14ac:dyDescent="0.35">
      <c r="B555" s="63">
        <v>46307</v>
      </c>
      <c r="C555" t="s">
        <v>1687</v>
      </c>
      <c r="D555" t="s">
        <v>51</v>
      </c>
      <c r="E555" t="s">
        <v>51</v>
      </c>
      <c r="F555" t="s">
        <v>1683</v>
      </c>
      <c r="G555" t="s">
        <v>1683</v>
      </c>
      <c r="H555" s="85">
        <v>100826628</v>
      </c>
      <c r="I555" s="36">
        <v>47812</v>
      </c>
      <c r="J555" s="46" t="s">
        <v>1684</v>
      </c>
      <c r="K555" t="s">
        <v>63</v>
      </c>
      <c r="L555" t="s">
        <v>1685</v>
      </c>
      <c r="M555" s="106">
        <v>5400000</v>
      </c>
      <c r="N555" t="s">
        <v>57</v>
      </c>
      <c r="O555" t="s">
        <v>1686</v>
      </c>
      <c r="P555" t="s">
        <v>33</v>
      </c>
      <c r="Q555">
        <v>2000635</v>
      </c>
      <c r="R555" t="s">
        <v>32</v>
      </c>
    </row>
    <row r="556" spans="2:18" hidden="1" x14ac:dyDescent="0.35">
      <c r="B556" s="63">
        <v>46308</v>
      </c>
      <c r="C556" t="s">
        <v>1688</v>
      </c>
      <c r="D556" t="s">
        <v>51</v>
      </c>
      <c r="E556" t="s">
        <v>51</v>
      </c>
      <c r="F556" t="s">
        <v>584</v>
      </c>
      <c r="G556" t="s">
        <v>584</v>
      </c>
      <c r="H556" s="85">
        <v>20973906381424</v>
      </c>
      <c r="I556" s="36">
        <v>46351</v>
      </c>
      <c r="J556" s="46" t="s">
        <v>585</v>
      </c>
      <c r="K556" t="s">
        <v>63</v>
      </c>
      <c r="L556" t="s">
        <v>586</v>
      </c>
      <c r="M556" s="106">
        <v>1200000</v>
      </c>
      <c r="N556" t="s">
        <v>57</v>
      </c>
      <c r="O556" t="s">
        <v>582</v>
      </c>
      <c r="P556" t="s">
        <v>33</v>
      </c>
      <c r="Q556">
        <v>2000636</v>
      </c>
      <c r="R556" t="s">
        <v>32</v>
      </c>
    </row>
    <row r="557" spans="2:18" hidden="1" x14ac:dyDescent="0.35">
      <c r="B557" s="63">
        <v>46308</v>
      </c>
      <c r="C557" t="s">
        <v>1691</v>
      </c>
      <c r="D557" t="s">
        <v>51</v>
      </c>
      <c r="E557" t="s">
        <v>51</v>
      </c>
      <c r="F557" t="s">
        <v>161</v>
      </c>
      <c r="G557" t="s">
        <v>143</v>
      </c>
      <c r="H557" s="85">
        <v>5924678990</v>
      </c>
      <c r="I557" s="36">
        <v>46629</v>
      </c>
      <c r="J557" s="46" t="s">
        <v>151</v>
      </c>
      <c r="K557" t="s">
        <v>1689</v>
      </c>
      <c r="L557" t="s">
        <v>961</v>
      </c>
      <c r="M557" s="106">
        <v>3374517</v>
      </c>
      <c r="N557" t="s">
        <v>57</v>
      </c>
      <c r="O557" t="s">
        <v>1690</v>
      </c>
      <c r="P557" t="s">
        <v>33</v>
      </c>
      <c r="Q557">
        <v>2000639</v>
      </c>
      <c r="R557" t="s">
        <v>32</v>
      </c>
    </row>
    <row r="558" spans="2:18" hidden="1" x14ac:dyDescent="0.35">
      <c r="B558" s="63">
        <v>46309</v>
      </c>
      <c r="C558" t="s">
        <v>1693</v>
      </c>
      <c r="D558" t="s">
        <v>28</v>
      </c>
      <c r="E558" t="s">
        <v>860</v>
      </c>
      <c r="F558" t="s">
        <v>937</v>
      </c>
      <c r="G558" t="s">
        <v>937</v>
      </c>
      <c r="H558" s="85">
        <v>20468091846526</v>
      </c>
      <c r="I558" s="36">
        <v>47930</v>
      </c>
      <c r="J558" s="46" t="s">
        <v>940</v>
      </c>
      <c r="K558" t="s">
        <v>1677</v>
      </c>
      <c r="L558" t="s">
        <v>861</v>
      </c>
      <c r="M558" s="106">
        <v>4641800</v>
      </c>
      <c r="N558" t="s">
        <v>57</v>
      </c>
      <c r="O558" t="s">
        <v>1692</v>
      </c>
      <c r="P558" t="s">
        <v>33</v>
      </c>
      <c r="Q558">
        <v>2000647</v>
      </c>
      <c r="R558" t="s">
        <v>32</v>
      </c>
    </row>
    <row r="559" spans="2:18" hidden="1" x14ac:dyDescent="0.35">
      <c r="B559" s="63">
        <v>46309</v>
      </c>
      <c r="C559" t="s">
        <v>1694</v>
      </c>
      <c r="D559" t="s">
        <v>28</v>
      </c>
      <c r="E559" t="s">
        <v>860</v>
      </c>
      <c r="F559" t="s">
        <v>890</v>
      </c>
      <c r="G559" t="s">
        <v>891</v>
      </c>
      <c r="H559" s="85">
        <v>20435764679125</v>
      </c>
      <c r="I559" s="36">
        <v>46685</v>
      </c>
      <c r="J559" s="46" t="s">
        <v>892</v>
      </c>
      <c r="K559" t="s">
        <v>1696</v>
      </c>
      <c r="L559" t="s">
        <v>861</v>
      </c>
      <c r="M559" s="106">
        <v>13274200</v>
      </c>
      <c r="N559" t="s">
        <v>57</v>
      </c>
      <c r="O559" t="s">
        <v>1695</v>
      </c>
      <c r="P559" t="s">
        <v>33</v>
      </c>
      <c r="Q559">
        <v>2000646</v>
      </c>
      <c r="R559" t="s">
        <v>32</v>
      </c>
    </row>
    <row r="560" spans="2:18" hidden="1" x14ac:dyDescent="0.35">
      <c r="B560" s="63">
        <v>46309</v>
      </c>
      <c r="C560" t="s">
        <v>1697</v>
      </c>
      <c r="D560" t="s">
        <v>28</v>
      </c>
      <c r="E560" t="s">
        <v>860</v>
      </c>
      <c r="F560" t="s">
        <v>1700</v>
      </c>
      <c r="G560" t="s">
        <v>1130</v>
      </c>
      <c r="H560" s="85">
        <v>20228625677224</v>
      </c>
      <c r="I560" s="36">
        <v>46384</v>
      </c>
      <c r="J560" s="46" t="s">
        <v>1136</v>
      </c>
      <c r="K560" t="s">
        <v>1699</v>
      </c>
      <c r="L560" t="s">
        <v>861</v>
      </c>
      <c r="M560" s="106">
        <v>8109600</v>
      </c>
      <c r="N560" t="s">
        <v>57</v>
      </c>
      <c r="O560" t="s">
        <v>1698</v>
      </c>
      <c r="P560" t="s">
        <v>33</v>
      </c>
      <c r="Q560">
        <v>2000648</v>
      </c>
      <c r="R560" t="s">
        <v>32</v>
      </c>
    </row>
    <row r="561" spans="2:18" hidden="1" x14ac:dyDescent="0.35">
      <c r="B561" s="63">
        <v>46309</v>
      </c>
      <c r="C561" t="s">
        <v>1701</v>
      </c>
      <c r="D561" t="s">
        <v>82</v>
      </c>
      <c r="E561" t="s">
        <v>175</v>
      </c>
      <c r="F561" t="s">
        <v>782</v>
      </c>
      <c r="G561" t="s">
        <v>264</v>
      </c>
      <c r="H561" s="85">
        <v>20410262291725</v>
      </c>
      <c r="I561" s="36">
        <v>46581</v>
      </c>
      <c r="J561" s="46" t="s">
        <v>265</v>
      </c>
      <c r="K561" t="s">
        <v>63</v>
      </c>
      <c r="L561" t="s">
        <v>783</v>
      </c>
      <c r="M561" s="106">
        <v>3000000</v>
      </c>
      <c r="N561" t="s">
        <v>57</v>
      </c>
      <c r="O561" t="s">
        <v>1702</v>
      </c>
      <c r="P561" t="s">
        <v>33</v>
      </c>
      <c r="Q561">
        <v>2000649</v>
      </c>
      <c r="R561" t="s">
        <v>32</v>
      </c>
    </row>
    <row r="562" spans="2:18" hidden="1" x14ac:dyDescent="0.35">
      <c r="B562" s="63">
        <v>46309</v>
      </c>
      <c r="C562" t="s">
        <v>1705</v>
      </c>
      <c r="D562" t="s">
        <v>28</v>
      </c>
      <c r="E562" t="s">
        <v>860</v>
      </c>
      <c r="F562" t="s">
        <v>1239</v>
      </c>
      <c r="G562" t="s">
        <v>1239</v>
      </c>
      <c r="H562" s="85">
        <v>100404882</v>
      </c>
      <c r="I562" s="36">
        <v>46848</v>
      </c>
      <c r="J562" s="46" t="s">
        <v>63</v>
      </c>
      <c r="K562" t="s">
        <v>1703</v>
      </c>
      <c r="L562" t="s">
        <v>861</v>
      </c>
      <c r="M562" s="106">
        <v>16288800</v>
      </c>
      <c r="N562" t="s">
        <v>57</v>
      </c>
      <c r="O562" t="s">
        <v>1704</v>
      </c>
      <c r="P562" t="s">
        <v>33</v>
      </c>
      <c r="Q562">
        <v>2000640</v>
      </c>
      <c r="R562" t="s">
        <v>32</v>
      </c>
    </row>
    <row r="563" spans="2:18" hidden="1" x14ac:dyDescent="0.35">
      <c r="B563" s="63">
        <v>46310</v>
      </c>
      <c r="C563" t="s">
        <v>1708</v>
      </c>
      <c r="D563" t="s">
        <v>28</v>
      </c>
      <c r="E563" t="s">
        <v>860</v>
      </c>
      <c r="F563" t="s">
        <v>998</v>
      </c>
      <c r="G563" t="s">
        <v>998</v>
      </c>
      <c r="H563" s="85">
        <v>100195299</v>
      </c>
      <c r="I563" s="36">
        <v>46630</v>
      </c>
      <c r="J563" s="46" t="s">
        <v>63</v>
      </c>
      <c r="K563" t="s">
        <v>1706</v>
      </c>
      <c r="L563" t="s">
        <v>861</v>
      </c>
      <c r="M563" s="106">
        <v>6169000</v>
      </c>
      <c r="N563" t="s">
        <v>57</v>
      </c>
      <c r="O563" t="s">
        <v>1707</v>
      </c>
      <c r="P563" t="s">
        <v>33</v>
      </c>
      <c r="Q563">
        <v>2000650</v>
      </c>
      <c r="R563" t="s">
        <v>32</v>
      </c>
    </row>
    <row r="564" spans="2:18" hidden="1" x14ac:dyDescent="0.35">
      <c r="B564" s="63">
        <v>46310</v>
      </c>
      <c r="C564" t="s">
        <v>1710</v>
      </c>
      <c r="D564" t="s">
        <v>51</v>
      </c>
      <c r="E564" t="s">
        <v>116</v>
      </c>
      <c r="F564" t="s">
        <v>117</v>
      </c>
      <c r="G564" t="s">
        <v>117</v>
      </c>
      <c r="H564" s="85" t="s">
        <v>63</v>
      </c>
      <c r="I564" t="s">
        <v>63</v>
      </c>
      <c r="J564" s="66" t="s">
        <v>119</v>
      </c>
      <c r="K564" t="s">
        <v>1709</v>
      </c>
      <c r="L564" t="s">
        <v>372</v>
      </c>
      <c r="M564" s="106">
        <v>52505.52</v>
      </c>
      <c r="N564" t="s">
        <v>57</v>
      </c>
      <c r="O564" t="s">
        <v>1712</v>
      </c>
      <c r="P564" t="s">
        <v>122</v>
      </c>
      <c r="Q564" t="s">
        <v>63</v>
      </c>
      <c r="R564" t="s">
        <v>88</v>
      </c>
    </row>
    <row r="565" spans="2:18" hidden="1" x14ac:dyDescent="0.35">
      <c r="B565" s="63">
        <v>46310</v>
      </c>
      <c r="C565" t="s">
        <v>1714</v>
      </c>
      <c r="D565" t="s">
        <v>51</v>
      </c>
      <c r="E565" t="s">
        <v>116</v>
      </c>
      <c r="F565" t="s">
        <v>117</v>
      </c>
      <c r="G565" t="s">
        <v>117</v>
      </c>
      <c r="H565" s="85" t="s">
        <v>63</v>
      </c>
      <c r="I565" t="s">
        <v>63</v>
      </c>
      <c r="J565" s="66" t="s">
        <v>119</v>
      </c>
      <c r="K565" t="s">
        <v>1711</v>
      </c>
      <c r="L565" t="s">
        <v>372</v>
      </c>
      <c r="M565" s="106">
        <v>52505.52</v>
      </c>
      <c r="N565" t="s">
        <v>57</v>
      </c>
      <c r="O565" t="s">
        <v>1713</v>
      </c>
      <c r="P565" t="s">
        <v>122</v>
      </c>
      <c r="Q565" t="s">
        <v>63</v>
      </c>
      <c r="R565" t="s">
        <v>88</v>
      </c>
    </row>
    <row r="566" spans="2:18" hidden="1" x14ac:dyDescent="0.35">
      <c r="B566" s="63">
        <v>46310</v>
      </c>
      <c r="C566" t="s">
        <v>1717</v>
      </c>
      <c r="D566" t="s">
        <v>82</v>
      </c>
      <c r="E566" t="s">
        <v>115</v>
      </c>
      <c r="F566" t="s">
        <v>234</v>
      </c>
      <c r="G566" t="s">
        <v>234</v>
      </c>
      <c r="H566" s="85" t="s">
        <v>63</v>
      </c>
      <c r="I566" t="s">
        <v>63</v>
      </c>
      <c r="J566" s="46" t="s">
        <v>63</v>
      </c>
      <c r="K566" t="s">
        <v>63</v>
      </c>
      <c r="L566" t="s">
        <v>1715</v>
      </c>
      <c r="M566" s="106">
        <f>33571+35931+33571+35931+31211+33571+35931+35931</f>
        <v>275648</v>
      </c>
      <c r="N566" t="s">
        <v>57</v>
      </c>
      <c r="O566" t="s">
        <v>1716</v>
      </c>
      <c r="P566" t="s">
        <v>87</v>
      </c>
      <c r="Q566" t="s">
        <v>63</v>
      </c>
      <c r="R566" t="s">
        <v>88</v>
      </c>
    </row>
    <row r="567" spans="2:18" hidden="1" x14ac:dyDescent="0.35">
      <c r="B567" s="63">
        <v>46310</v>
      </c>
      <c r="C567" t="s">
        <v>1721</v>
      </c>
      <c r="D567" t="s">
        <v>51</v>
      </c>
      <c r="E567" t="s">
        <v>1718</v>
      </c>
      <c r="F567" t="s">
        <v>352</v>
      </c>
      <c r="G567" t="s">
        <v>352</v>
      </c>
      <c r="H567" s="85" t="s">
        <v>63</v>
      </c>
      <c r="I567" t="s">
        <v>63</v>
      </c>
      <c r="J567" s="46" t="s">
        <v>63</v>
      </c>
      <c r="K567" t="s">
        <v>63</v>
      </c>
      <c r="L567" t="s">
        <v>1719</v>
      </c>
      <c r="M567" s="106">
        <v>5000</v>
      </c>
      <c r="N567" t="s">
        <v>57</v>
      </c>
      <c r="O567" t="s">
        <v>1720</v>
      </c>
      <c r="P567" t="s">
        <v>87</v>
      </c>
      <c r="Q567" t="s">
        <v>63</v>
      </c>
      <c r="R567" t="s">
        <v>88</v>
      </c>
    </row>
    <row r="568" spans="2:18" hidden="1" x14ac:dyDescent="0.35">
      <c r="B568" s="63">
        <v>46310</v>
      </c>
      <c r="C568" t="s">
        <v>1724</v>
      </c>
      <c r="D568" t="s">
        <v>28</v>
      </c>
      <c r="E568" t="s">
        <v>860</v>
      </c>
      <c r="F568" t="s">
        <v>1239</v>
      </c>
      <c r="G568" t="s">
        <v>1239</v>
      </c>
      <c r="H568" s="85">
        <v>100404882</v>
      </c>
      <c r="I568" s="36">
        <v>46848</v>
      </c>
      <c r="J568" s="46" t="s">
        <v>63</v>
      </c>
      <c r="K568" t="s">
        <v>1722</v>
      </c>
      <c r="L568" t="s">
        <v>861</v>
      </c>
      <c r="M568" s="106">
        <v>5843800</v>
      </c>
      <c r="N568" t="s">
        <v>57</v>
      </c>
      <c r="O568" t="s">
        <v>1723</v>
      </c>
      <c r="P568" t="s">
        <v>33</v>
      </c>
      <c r="Q568">
        <v>2000751</v>
      </c>
      <c r="R568" t="s">
        <v>32</v>
      </c>
    </row>
    <row r="569" spans="2:18" hidden="1" x14ac:dyDescent="0.35">
      <c r="B569" s="63">
        <v>46310</v>
      </c>
      <c r="C569" t="s">
        <v>1730</v>
      </c>
      <c r="D569" t="s">
        <v>51</v>
      </c>
      <c r="E569" t="s">
        <v>51</v>
      </c>
      <c r="F569" t="s">
        <v>551</v>
      </c>
      <c r="G569" t="s">
        <v>551</v>
      </c>
      <c r="H569" s="85" t="s">
        <v>63</v>
      </c>
      <c r="I569" t="s">
        <v>63</v>
      </c>
      <c r="J569" s="46" t="s">
        <v>63</v>
      </c>
      <c r="K569" t="s">
        <v>1725</v>
      </c>
      <c r="L569" t="s">
        <v>554</v>
      </c>
      <c r="M569" s="106">
        <v>20000</v>
      </c>
      <c r="N569" t="s">
        <v>57</v>
      </c>
      <c r="O569" t="s">
        <v>1726</v>
      </c>
      <c r="P569" t="s">
        <v>122</v>
      </c>
      <c r="Q569" t="s">
        <v>63</v>
      </c>
      <c r="R569" t="s">
        <v>88</v>
      </c>
    </row>
    <row r="570" spans="2:18" hidden="1" x14ac:dyDescent="0.35">
      <c r="B570" s="63">
        <v>46310</v>
      </c>
      <c r="C570" t="s">
        <v>1731</v>
      </c>
      <c r="D570" t="s">
        <v>51</v>
      </c>
      <c r="E570" t="s">
        <v>51</v>
      </c>
      <c r="F570" t="s">
        <v>551</v>
      </c>
      <c r="G570" t="s">
        <v>551</v>
      </c>
      <c r="H570" s="85" t="s">
        <v>63</v>
      </c>
      <c r="I570" t="s">
        <v>63</v>
      </c>
      <c r="J570" s="46" t="s">
        <v>63</v>
      </c>
      <c r="K570" t="s">
        <v>1728</v>
      </c>
      <c r="L570" t="s">
        <v>554</v>
      </c>
      <c r="M570" s="106">
        <v>100000</v>
      </c>
      <c r="N570" t="s">
        <v>57</v>
      </c>
      <c r="O570" t="s">
        <v>1727</v>
      </c>
      <c r="P570" t="s">
        <v>122</v>
      </c>
      <c r="Q570" t="s">
        <v>63</v>
      </c>
      <c r="R570" t="s">
        <v>88</v>
      </c>
    </row>
    <row r="571" spans="2:18" hidden="1" x14ac:dyDescent="0.35">
      <c r="B571" s="63">
        <v>46310</v>
      </c>
      <c r="C571" t="s">
        <v>1732</v>
      </c>
      <c r="D571" t="s">
        <v>51</v>
      </c>
      <c r="E571" t="s">
        <v>51</v>
      </c>
      <c r="F571" t="s">
        <v>551</v>
      </c>
      <c r="G571" t="s">
        <v>551</v>
      </c>
      <c r="H571" s="85" t="s">
        <v>63</v>
      </c>
      <c r="I571" t="s">
        <v>63</v>
      </c>
      <c r="J571" s="46" t="s">
        <v>63</v>
      </c>
      <c r="K571" t="s">
        <v>1729</v>
      </c>
      <c r="L571" t="s">
        <v>554</v>
      </c>
      <c r="M571" s="106">
        <v>100000</v>
      </c>
      <c r="N571" t="s">
        <v>57</v>
      </c>
      <c r="O571" t="s">
        <v>1727</v>
      </c>
      <c r="P571" t="s">
        <v>122</v>
      </c>
      <c r="Q571" t="s">
        <v>63</v>
      </c>
      <c r="R571" t="s">
        <v>88</v>
      </c>
    </row>
    <row r="572" spans="2:18" hidden="1" x14ac:dyDescent="0.35">
      <c r="B572" s="63">
        <v>46310</v>
      </c>
      <c r="C572" t="s">
        <v>1735</v>
      </c>
      <c r="D572" t="s">
        <v>51</v>
      </c>
      <c r="E572" t="s">
        <v>51</v>
      </c>
      <c r="F572" t="s">
        <v>1733</v>
      </c>
      <c r="G572" t="s">
        <v>1733</v>
      </c>
      <c r="H572" s="85" t="s">
        <v>63</v>
      </c>
      <c r="I572" t="s">
        <v>63</v>
      </c>
      <c r="J572" s="46" t="s">
        <v>63</v>
      </c>
      <c r="K572" t="s">
        <v>63</v>
      </c>
      <c r="L572" t="s">
        <v>258</v>
      </c>
      <c r="M572" s="106">
        <v>24056</v>
      </c>
      <c r="N572" t="s">
        <v>57</v>
      </c>
      <c r="O572" t="s">
        <v>1734</v>
      </c>
      <c r="P572" t="s">
        <v>87</v>
      </c>
      <c r="Q572" t="s">
        <v>63</v>
      </c>
      <c r="R572" t="s">
        <v>88</v>
      </c>
    </row>
    <row r="573" spans="2:18" hidden="1" x14ac:dyDescent="0.35">
      <c r="B573" s="63">
        <v>46311</v>
      </c>
      <c r="C573" t="s">
        <v>1738</v>
      </c>
      <c r="D573" t="s">
        <v>28</v>
      </c>
      <c r="E573" t="s">
        <v>860</v>
      </c>
      <c r="F573" t="s">
        <v>46</v>
      </c>
      <c r="G573" t="s">
        <v>46</v>
      </c>
      <c r="H573" s="85">
        <v>1115119742</v>
      </c>
      <c r="I573" s="36">
        <v>46622</v>
      </c>
      <c r="J573" s="46" t="s">
        <v>48</v>
      </c>
      <c r="K573" t="s">
        <v>1736</v>
      </c>
      <c r="L573" t="s">
        <v>861</v>
      </c>
      <c r="M573" s="106">
        <v>17406200</v>
      </c>
      <c r="N573" t="s">
        <v>1737</v>
      </c>
      <c r="P573" t="s">
        <v>33</v>
      </c>
      <c r="Q573">
        <v>2000753</v>
      </c>
      <c r="R573" t="s">
        <v>32</v>
      </c>
    </row>
    <row r="574" spans="2:18" x14ac:dyDescent="0.35">
      <c r="B574" s="63">
        <v>46311</v>
      </c>
      <c r="C574" t="s">
        <v>1741</v>
      </c>
      <c r="D574" t="s">
        <v>28</v>
      </c>
      <c r="E574" t="s">
        <v>860</v>
      </c>
      <c r="F574" t="s">
        <v>986</v>
      </c>
      <c r="G574" t="s">
        <v>987</v>
      </c>
      <c r="H574" s="85">
        <v>20411113178625</v>
      </c>
      <c r="I574" s="36">
        <v>46585</v>
      </c>
      <c r="J574" s="46" t="s">
        <v>988</v>
      </c>
      <c r="K574" t="s">
        <v>1739</v>
      </c>
      <c r="L574" t="s">
        <v>861</v>
      </c>
      <c r="M574" s="106">
        <v>29611200</v>
      </c>
      <c r="N574" t="s">
        <v>57</v>
      </c>
      <c r="O574" t="s">
        <v>1740</v>
      </c>
      <c r="P574" t="s">
        <v>33</v>
      </c>
      <c r="Q574">
        <v>2000755</v>
      </c>
      <c r="R574" t="s">
        <v>32</v>
      </c>
    </row>
  </sheetData>
  <phoneticPr fontId="27" type="noConversion"/>
  <conditionalFormatting sqref="C1:C75 C79:C93 C97:C1048576">
    <cfRule type="duplicateValues" dxfId="14" priority="21"/>
  </conditionalFormatting>
  <conditionalFormatting sqref="C76:C78">
    <cfRule type="duplicateValues" dxfId="13" priority="20"/>
  </conditionalFormatting>
  <conditionalFormatting sqref="C94:C96">
    <cfRule type="duplicateValues" dxfId="12" priority="18"/>
  </conditionalFormatting>
  <conditionalFormatting sqref="K237">
    <cfRule type="duplicateValues" dxfId="11" priority="15"/>
  </conditionalFormatting>
  <conditionalFormatting sqref="K246">
    <cfRule type="duplicateValues" dxfId="10" priority="13"/>
  </conditionalFormatting>
  <conditionalFormatting sqref="K248">
    <cfRule type="duplicateValues" dxfId="9" priority="12"/>
  </conditionalFormatting>
  <conditionalFormatting sqref="K260">
    <cfRule type="duplicateValues" dxfId="8" priority="11"/>
  </conditionalFormatting>
  <conditionalFormatting sqref="K265">
    <cfRule type="duplicateValues" dxfId="7" priority="9"/>
  </conditionalFormatting>
  <conditionalFormatting sqref="K291">
    <cfRule type="duplicateValues" dxfId="6" priority="7"/>
  </conditionalFormatting>
  <conditionalFormatting sqref="K345">
    <cfRule type="duplicateValues" dxfId="5" priority="5"/>
  </conditionalFormatting>
  <conditionalFormatting sqref="K412">
    <cfRule type="duplicateValues" dxfId="4" priority="3"/>
  </conditionalFormatting>
  <conditionalFormatting sqref="K486">
    <cfRule type="duplicateValues" dxfId="3" priority="2"/>
  </conditionalFormatting>
  <conditionalFormatting sqref="K566">
    <cfRule type="duplicateValues" dxfId="2" priority="1"/>
  </conditionalFormatting>
  <conditionalFormatting sqref="L555 K238:K245 K247 K249:K259 K261:K264 K1:K236 K266:K290 K292:K344 K346:K411 K413:K485 K487:K565 K567:K1048576">
    <cfRule type="duplicateValues" dxfId="1" priority="16"/>
  </conditionalFormatting>
  <hyperlinks>
    <hyperlink ref="J45" r:id="rId1" xr:uid="{80F3E180-FFF3-4A75-A08A-9F37B5387474}"/>
    <hyperlink ref="J34" r:id="rId2" xr:uid="{26EC3F1C-FD94-4BCD-B237-8D7EC1AEEE57}"/>
    <hyperlink ref="J32" r:id="rId3" xr:uid="{E125AB7D-20FC-459A-A559-CE56EA3AB71F}"/>
    <hyperlink ref="J27" r:id="rId4" xr:uid="{4162700E-8A16-4316-9D05-F11E609A6F29}"/>
    <hyperlink ref="J26" r:id="rId5" xr:uid="{849B2383-93E0-41B4-9335-01687F0AEA1F}"/>
    <hyperlink ref="J19" r:id="rId6" xr:uid="{85A91658-143E-43FE-B5E0-F579D2BF4E53}"/>
    <hyperlink ref="J18" r:id="rId7" xr:uid="{101A8861-B829-4E80-85EF-52F77856924D}"/>
    <hyperlink ref="J12" r:id="rId8" xr:uid="{A93DBC4C-0B11-446D-9B21-6F8CE7DB1F32}"/>
    <hyperlink ref="J56" r:id="rId9" xr:uid="{B473D6D3-B73C-4940-BB45-7DE5BF670791}"/>
    <hyperlink ref="J63" r:id="rId10" xr:uid="{00CA1210-B1BF-430E-AF54-BA6506E8713F}"/>
    <hyperlink ref="J64" r:id="rId11" xr:uid="{222FBBC8-6B95-4DA8-8ACF-145A9209FA07}"/>
    <hyperlink ref="J70" r:id="rId12" xr:uid="{67D7F6CD-B1D6-4E89-B48B-28A55275F9D1}"/>
    <hyperlink ref="J71" r:id="rId13" xr:uid="{E5863D7F-DE10-4F19-A818-119A1283ABBF}"/>
    <hyperlink ref="J76" r:id="rId14" xr:uid="{92FDCE86-0BCF-42BA-B584-0103C4E24577}"/>
    <hyperlink ref="J77" r:id="rId15" xr:uid="{29A25CC8-E454-4364-B36C-193AFB916DBA}"/>
    <hyperlink ref="J78" r:id="rId16" xr:uid="{2FE70994-94DA-4B90-9F8E-41CA28C4606B}"/>
    <hyperlink ref="J87" r:id="rId17" xr:uid="{7EF7344C-2CB5-4F33-9301-CF4A4CE835F6}"/>
    <hyperlink ref="J88" r:id="rId18" xr:uid="{40705A85-4CFA-4E11-B0C7-E9412925171E}"/>
    <hyperlink ref="J92" r:id="rId19" xr:uid="{E626EE4B-CA1C-4006-837B-77A613C4934C}"/>
    <hyperlink ref="J102" r:id="rId20" xr:uid="{7DB9E542-F414-438F-8C10-DEAC12CDE19B}"/>
    <hyperlink ref="J103" r:id="rId21" xr:uid="{87C55AE7-2BEA-4A60-9EDB-BA80618B8DB9}"/>
    <hyperlink ref="J107" r:id="rId22" xr:uid="{39FE70C7-410E-4686-9590-98DBE71619D6}"/>
    <hyperlink ref="J111" r:id="rId23" xr:uid="{42B06F29-35AB-45BD-8232-FEF485BB66EE}"/>
    <hyperlink ref="J117" r:id="rId24" xr:uid="{D34E1B5F-978A-495F-8A1B-0AFFE4AC7370}"/>
    <hyperlink ref="J118" r:id="rId25" xr:uid="{0B73F065-5355-4E92-A183-C26850FCA7F7}"/>
    <hyperlink ref="J122" r:id="rId26" xr:uid="{A912A2C6-A08D-490D-B1EB-02F754A1331C}"/>
    <hyperlink ref="J127" r:id="rId27" xr:uid="{817E7AD5-4929-40D5-9696-4ED0FDA6FF4F}"/>
    <hyperlink ref="J134" r:id="rId28" xr:uid="{F7980244-07C9-46B0-B8C9-186862E08E98}"/>
    <hyperlink ref="J538" r:id="rId29" xr:uid="{2DB646E8-3F32-40B7-8CAB-91D8A4DA8312}"/>
    <hyperlink ref="J539" r:id="rId30" xr:uid="{43990BB8-7091-49CE-AD0B-3C214B57B529}"/>
    <hyperlink ref="J564" r:id="rId31" xr:uid="{E6A6348A-5020-4476-878D-DA62802EB390}"/>
    <hyperlink ref="J565" r:id="rId32" xr:uid="{B682CF5E-1BDB-42E0-AD3B-A467A41AFDE4}"/>
  </hyperlinks>
  <pageMargins left="0.7" right="0.7" top="0.75" bottom="0.75" header="0.3" footer="0.3"/>
  <pageSetup paperSize="9" orientation="portrait" r:id="rId33"/>
  <tableParts count="1">
    <tablePart r:id="rId3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0546-D715-4D4B-A6B2-B65872884289}">
  <sheetPr codeName="Feuil4">
    <pageSetUpPr fitToPage="1"/>
  </sheetPr>
  <dimension ref="B2:M39"/>
  <sheetViews>
    <sheetView zoomScale="63" zoomScaleNormal="82" zoomScaleSheetLayoutView="90" workbookViewId="0">
      <selection activeCell="M30" sqref="M30"/>
    </sheetView>
  </sheetViews>
  <sheetFormatPr baseColWidth="10" defaultColWidth="8.7265625" defaultRowHeight="14.5" x14ac:dyDescent="0.35"/>
  <cols>
    <col min="1" max="1" width="11.90625" style="1" customWidth="1"/>
    <col min="2" max="2" width="0.26953125" style="1" customWidth="1"/>
    <col min="3" max="3" width="4.54296875" style="1" customWidth="1"/>
    <col min="4" max="4" width="32.90625" style="1" customWidth="1"/>
    <col min="5" max="5" width="18" style="1" customWidth="1"/>
    <col min="6" max="6" width="23.26953125" style="1" bestFit="1" customWidth="1"/>
    <col min="7" max="7" width="26.1796875" style="1" customWidth="1"/>
    <col min="8" max="8" width="42.1796875" style="1" bestFit="1" customWidth="1"/>
    <col min="9" max="9" width="5.81640625" style="1" customWidth="1"/>
    <col min="10" max="16384" width="8.7265625" style="1"/>
  </cols>
  <sheetData>
    <row r="2" spans="3:13" ht="15" thickBot="1" x14ac:dyDescent="0.4"/>
    <row r="3" spans="3:13" ht="15" thickBot="1" x14ac:dyDescent="0.4">
      <c r="C3" s="15"/>
      <c r="D3" s="16" t="s">
        <v>173</v>
      </c>
      <c r="E3" s="16"/>
      <c r="F3" s="16"/>
      <c r="G3" s="16"/>
      <c r="H3" s="16"/>
      <c r="I3" s="17"/>
    </row>
    <row r="4" spans="3:13" x14ac:dyDescent="0.35">
      <c r="C4" s="28"/>
      <c r="D4" s="15"/>
      <c r="E4" s="128" t="s">
        <v>25</v>
      </c>
      <c r="F4" s="128"/>
      <c r="G4" s="128"/>
      <c r="H4" s="17"/>
      <c r="I4" s="29"/>
    </row>
    <row r="5" spans="3:13" x14ac:dyDescent="0.35">
      <c r="C5" s="28"/>
      <c r="D5" s="28"/>
      <c r="E5" s="129"/>
      <c r="F5" s="129"/>
      <c r="G5" s="129"/>
      <c r="H5" s="29"/>
      <c r="I5" s="29"/>
    </row>
    <row r="6" spans="3:13" x14ac:dyDescent="0.35">
      <c r="C6" s="28"/>
      <c r="D6" s="28"/>
      <c r="E6" s="129"/>
      <c r="F6" s="129"/>
      <c r="G6" s="129"/>
      <c r="H6" s="29"/>
      <c r="I6" s="29"/>
    </row>
    <row r="7" spans="3:13" ht="21" customHeight="1" x14ac:dyDescent="0.35">
      <c r="C7" s="28"/>
      <c r="D7" s="130" t="s">
        <v>26</v>
      </c>
      <c r="E7" s="131"/>
      <c r="F7" s="131"/>
      <c r="G7" s="131"/>
      <c r="H7" s="132"/>
      <c r="I7" s="29"/>
    </row>
    <row r="8" spans="3:13" ht="21" customHeight="1" x14ac:dyDescent="0.35">
      <c r="C8" s="28"/>
      <c r="D8" s="130"/>
      <c r="E8" s="131"/>
      <c r="F8" s="131"/>
      <c r="G8" s="131"/>
      <c r="H8" s="132"/>
      <c r="I8" s="29"/>
    </row>
    <row r="9" spans="3:13" ht="15" customHeight="1" thickBot="1" x14ac:dyDescent="0.4">
      <c r="C9" s="28"/>
      <c r="D9" s="133"/>
      <c r="E9" s="134"/>
      <c r="F9" s="134"/>
      <c r="G9" s="134"/>
      <c r="H9" s="135"/>
      <c r="I9" s="29"/>
    </row>
    <row r="10" spans="3:13" ht="14.5" customHeight="1" x14ac:dyDescent="0.35">
      <c r="C10" s="28"/>
      <c r="I10" s="29"/>
    </row>
    <row r="11" spans="3:13" ht="24" customHeight="1" thickBot="1" x14ac:dyDescent="0.6">
      <c r="C11" s="28"/>
      <c r="D11" s="90"/>
      <c r="E11" s="90"/>
      <c r="F11" s="90" t="s">
        <v>17</v>
      </c>
      <c r="G11" s="91"/>
      <c r="H11" s="90"/>
      <c r="I11" s="29"/>
    </row>
    <row r="12" spans="3:13" ht="15" customHeight="1" thickTop="1" x14ac:dyDescent="0.35">
      <c r="C12" s="28"/>
      <c r="I12" s="29"/>
    </row>
    <row r="13" spans="3:13" s="8" customFormat="1" ht="37" customHeight="1" x14ac:dyDescent="0.35">
      <c r="C13" s="30"/>
      <c r="D13" s="45" t="s">
        <v>0</v>
      </c>
      <c r="E13" s="103">
        <f>_xlfn.XLOOKUP($E$14,DEPENSES!C:C,DEPENSES!B:B)</f>
        <v>46311</v>
      </c>
      <c r="F13" s="110"/>
      <c r="G13" s="45" t="s">
        <v>3</v>
      </c>
      <c r="H13" s="39" t="str">
        <f>_xlfn.XLOOKUP($E$14,DEPENSES!C:C,DEPENSES!F:F)</f>
        <v>AHEGNI CASIMIR</v>
      </c>
      <c r="I13" s="31"/>
      <c r="M13" s="34"/>
    </row>
    <row r="14" spans="3:13" s="8" customFormat="1" ht="26.5" customHeight="1" x14ac:dyDescent="0.35">
      <c r="C14" s="30"/>
      <c r="D14" s="45" t="s">
        <v>1</v>
      </c>
      <c r="E14" s="48" t="s">
        <v>1741</v>
      </c>
      <c r="F14" s="9"/>
      <c r="G14" s="92"/>
      <c r="H14" s="111"/>
      <c r="I14" s="31"/>
    </row>
    <row r="15" spans="3:13" s="8" customFormat="1" ht="26.5" customHeight="1" x14ac:dyDescent="0.35">
      <c r="C15" s="30"/>
      <c r="D15" s="45" t="s">
        <v>2</v>
      </c>
      <c r="E15" s="93" t="str">
        <f>_xlfn.XLOOKUP($E$14,DEPENSES!C:C,DEPENSES!D:D)</f>
        <v>PURCHASE</v>
      </c>
      <c r="F15" s="9"/>
      <c r="G15" s="45" t="s">
        <v>530</v>
      </c>
      <c r="H15" s="39" t="str">
        <f>_xlfn.XLOOKUP($E$14,DEPENSES!C:C,DEPENSES!G:G)</f>
        <v>AHEGNI HIPPOLYTE</v>
      </c>
      <c r="I15" s="31"/>
    </row>
    <row r="16" spans="3:13" s="8" customFormat="1" ht="26.5" customHeight="1" x14ac:dyDescent="0.35">
      <c r="C16" s="30"/>
      <c r="D16" s="45" t="s">
        <v>9</v>
      </c>
      <c r="E16" s="93" t="str">
        <f>_xlfn.XLOOKUP($E$14,DEPENSES!C:C,DEPENSES!E:E)</f>
        <v>SHEA</v>
      </c>
      <c r="F16" s="9"/>
      <c r="G16" s="45" t="s">
        <v>4</v>
      </c>
      <c r="H16" s="94">
        <f>_xlfn.XLOOKUP($E$14,DEPENSES!C:C,DEPENSES!H:H)</f>
        <v>20411113178625</v>
      </c>
      <c r="I16" s="31"/>
    </row>
    <row r="17" spans="2:9" s="8" customFormat="1" ht="26.5" customHeight="1" x14ac:dyDescent="0.35">
      <c r="B17" s="27"/>
      <c r="C17" s="30"/>
      <c r="D17" s="112"/>
      <c r="E17" s="9"/>
      <c r="F17" s="9"/>
      <c r="G17" s="45" t="s">
        <v>5</v>
      </c>
      <c r="H17" s="84">
        <f>_xlfn.XLOOKUP($E$14,DEPENSES!C:C,DEPENSES!I:I)</f>
        <v>46585</v>
      </c>
      <c r="I17" s="31"/>
    </row>
    <row r="18" spans="2:9" s="8" customFormat="1" ht="26.5" customHeight="1" x14ac:dyDescent="0.35">
      <c r="C18" s="30"/>
      <c r="D18" s="112"/>
      <c r="E18" s="9"/>
      <c r="F18" s="9"/>
      <c r="G18" s="45" t="s">
        <v>6</v>
      </c>
      <c r="H18" s="61" t="str">
        <f>_xlfn.XLOOKUP($E$14,DEPENSES!C:C,DEPENSES!J:J)</f>
        <v>0196034539</v>
      </c>
      <c r="I18" s="31"/>
    </row>
    <row r="19" spans="2:9" ht="19" x14ac:dyDescent="0.45">
      <c r="C19" s="28"/>
      <c r="D19" s="113"/>
      <c r="E19" s="5"/>
      <c r="F19" s="5"/>
      <c r="G19" s="5"/>
      <c r="H19" s="114"/>
      <c r="I19" s="29"/>
    </row>
    <row r="20" spans="2:9" ht="22.5" customHeight="1" x14ac:dyDescent="0.45">
      <c r="C20" s="28"/>
      <c r="D20" s="115" t="s">
        <v>8</v>
      </c>
      <c r="E20" s="22"/>
      <c r="F20" s="5"/>
      <c r="G20" s="5"/>
      <c r="H20" s="114"/>
      <c r="I20" s="29"/>
    </row>
    <row r="21" spans="2:9" x14ac:dyDescent="0.35">
      <c r="C21" s="28"/>
      <c r="D21" s="12" t="s">
        <v>186</v>
      </c>
      <c r="E21" s="136" t="s">
        <v>10</v>
      </c>
      <c r="F21" s="137"/>
      <c r="G21" s="12" t="s">
        <v>16</v>
      </c>
      <c r="H21" s="13" t="s">
        <v>19</v>
      </c>
      <c r="I21" s="29"/>
    </row>
    <row r="22" spans="2:9" ht="72.5" customHeight="1" x14ac:dyDescent="0.35">
      <c r="C22" s="28"/>
      <c r="D22" s="39" t="str">
        <f>_xlfn.XLOOKUP($E$14,DEPENSES!C:C,DEPENSES!K:K)</f>
        <v>CB6370RB/BY4656RB_50.0 MT &amp; CA5858RB/AC1719RB_45.46 MT</v>
      </c>
      <c r="E22" s="142" t="str">
        <f>_xlfn.XLOOKUP($E$14,DEPENSES!C:C,DEPENSES!L:L)</f>
        <v>PURCHASE OF SHEA</v>
      </c>
      <c r="F22" s="143"/>
      <c r="G22" s="41">
        <f>_xlfn.XLOOKUP($E$14,DEPENSES!C:C,DEPENSES!M:M)</f>
        <v>29611200</v>
      </c>
      <c r="H22" s="40" t="str">
        <f>_xlfn.XLOOKUP($E$14,DEPENSES!C:C,DEPENSES!N:N)</f>
        <v>PAYE</v>
      </c>
      <c r="I22" s="29"/>
    </row>
    <row r="23" spans="2:9" ht="31.5" customHeight="1" x14ac:dyDescent="0.35">
      <c r="C23" s="28"/>
      <c r="D23" s="39"/>
      <c r="E23" s="144"/>
      <c r="F23" s="145"/>
      <c r="G23" s="41"/>
      <c r="H23" s="40"/>
      <c r="I23" s="29"/>
    </row>
    <row r="24" spans="2:9" ht="23" customHeight="1" x14ac:dyDescent="0.45">
      <c r="C24" s="28"/>
      <c r="D24" s="113"/>
      <c r="E24" s="5"/>
      <c r="F24" s="95" t="s">
        <v>18</v>
      </c>
      <c r="G24" s="41">
        <f>SUM(G22:G23)</f>
        <v>29611200</v>
      </c>
      <c r="H24" s="96"/>
      <c r="I24" s="29"/>
    </row>
    <row r="25" spans="2:9" ht="15" thickBot="1" x14ac:dyDescent="0.4">
      <c r="C25" s="28"/>
      <c r="D25" s="116"/>
      <c r="H25" s="117"/>
      <c r="I25" s="29"/>
    </row>
    <row r="26" spans="2:9" ht="22" customHeight="1" x14ac:dyDescent="0.35">
      <c r="C26" s="28"/>
      <c r="D26" s="118" t="s">
        <v>20</v>
      </c>
      <c r="E26" s="16"/>
      <c r="F26" s="16" t="str">
        <f>_xlfn.XLOOKUP($E$14,DEPENSES!C:C,DEPENSES!O:O)</f>
        <v>Vingt neuf millions Six cent onze mille Deux cent francs CFA</v>
      </c>
      <c r="G26" s="16"/>
      <c r="H26" s="119"/>
      <c r="I26" s="29"/>
    </row>
    <row r="27" spans="2:9" ht="22" customHeight="1" thickBot="1" x14ac:dyDescent="0.4">
      <c r="C27" s="28"/>
      <c r="D27" s="120"/>
      <c r="E27" s="19"/>
      <c r="F27" s="19"/>
      <c r="G27" s="19"/>
      <c r="H27" s="121"/>
      <c r="I27" s="29"/>
    </row>
    <row r="28" spans="2:9" ht="15.5" customHeight="1" x14ac:dyDescent="0.45">
      <c r="C28" s="28"/>
      <c r="D28" s="116"/>
      <c r="H28" s="114"/>
      <c r="I28" s="29"/>
    </row>
    <row r="29" spans="2:9" ht="21" customHeight="1" x14ac:dyDescent="0.45">
      <c r="C29" s="28"/>
      <c r="D29" s="122"/>
      <c r="E29" s="5"/>
      <c r="F29" s="5"/>
      <c r="G29" s="43" t="s">
        <v>21</v>
      </c>
      <c r="H29" s="61" t="str">
        <f>_xlfn.XLOOKUP($E$14,DEPENSES!C:C,DEPENSES!P:P)</f>
        <v>CHEQUE</v>
      </c>
      <c r="I29" s="29"/>
    </row>
    <row r="30" spans="2:9" ht="21" customHeight="1" x14ac:dyDescent="0.45">
      <c r="C30" s="28"/>
      <c r="D30" s="123"/>
      <c r="E30" s="6"/>
      <c r="F30" s="6"/>
      <c r="G30" s="43" t="s">
        <v>7</v>
      </c>
      <c r="H30" s="61">
        <f>_xlfn.XLOOKUP($E$14,DEPENSES!C:C,DEPENSES!Q:Q)</f>
        <v>2000755</v>
      </c>
      <c r="I30" s="29"/>
    </row>
    <row r="31" spans="2:9" ht="21" customHeight="1" x14ac:dyDescent="0.45">
      <c r="C31" s="28"/>
      <c r="D31" s="124"/>
      <c r="E31" s="125"/>
      <c r="F31" s="125"/>
      <c r="G31" s="43" t="s">
        <v>12</v>
      </c>
      <c r="H31" s="39" t="str">
        <f>_xlfn.XLOOKUP($E$14,DEPENSES!C:C,DEPENSES!R:R)</f>
        <v>ECOBANK BENIN</v>
      </c>
      <c r="I31" s="29"/>
    </row>
    <row r="32" spans="2:9" ht="19" x14ac:dyDescent="0.45">
      <c r="C32" s="28"/>
      <c r="D32" s="6"/>
      <c r="E32" s="6"/>
      <c r="F32" s="6"/>
      <c r="G32" s="6"/>
      <c r="H32" s="4"/>
      <c r="I32" s="29"/>
    </row>
    <row r="33" spans="3:9" ht="18.5" x14ac:dyDescent="0.45">
      <c r="C33" s="28"/>
      <c r="D33" s="25" t="s">
        <v>24</v>
      </c>
      <c r="E33" s="25"/>
      <c r="F33" s="25" t="s">
        <v>22</v>
      </c>
      <c r="G33" s="97"/>
      <c r="H33" s="25" t="s">
        <v>13</v>
      </c>
      <c r="I33" s="29"/>
    </row>
    <row r="34" spans="3:9" ht="19" x14ac:dyDescent="0.45">
      <c r="C34" s="28"/>
      <c r="D34" s="98"/>
      <c r="E34" s="5"/>
      <c r="F34" s="5"/>
      <c r="G34" s="98"/>
      <c r="I34" s="29"/>
    </row>
    <row r="35" spans="3:9" ht="19" x14ac:dyDescent="0.45">
      <c r="C35" s="28"/>
      <c r="D35" s="4"/>
      <c r="E35" s="4"/>
      <c r="F35" s="4"/>
      <c r="G35" s="4"/>
      <c r="I35" s="29"/>
    </row>
    <row r="36" spans="3:9" ht="19.5" thickBot="1" x14ac:dyDescent="0.5">
      <c r="C36" s="28"/>
      <c r="D36" s="99"/>
      <c r="E36" s="4"/>
      <c r="F36" s="99"/>
      <c r="G36" s="4"/>
      <c r="H36" s="99"/>
      <c r="I36" s="29"/>
    </row>
    <row r="37" spans="3:9" ht="15" thickTop="1" x14ac:dyDescent="0.35">
      <c r="C37" s="28"/>
      <c r="D37" s="100" t="s">
        <v>23</v>
      </c>
      <c r="F37" s="100" t="s">
        <v>23</v>
      </c>
      <c r="H37" s="100" t="s">
        <v>23</v>
      </c>
      <c r="I37" s="29"/>
    </row>
    <row r="38" spans="3:9" ht="23" customHeight="1" x14ac:dyDescent="0.35">
      <c r="C38" s="101"/>
      <c r="D38" s="141" t="s">
        <v>15</v>
      </c>
      <c r="E38" s="141"/>
      <c r="F38" s="141"/>
      <c r="G38" s="141"/>
      <c r="H38" s="141"/>
      <c r="I38" s="29"/>
    </row>
    <row r="39" spans="3:9" ht="15" thickBot="1" x14ac:dyDescent="0.4">
      <c r="C39" s="18"/>
      <c r="D39" s="19"/>
      <c r="E39" s="19"/>
      <c r="F39" s="19"/>
      <c r="G39" s="19"/>
      <c r="H39" s="19"/>
      <c r="I39" s="20"/>
    </row>
  </sheetData>
  <mergeCells count="6">
    <mergeCell ref="D38:H38"/>
    <mergeCell ref="E4:G6"/>
    <mergeCell ref="D7:H9"/>
    <mergeCell ref="E21:F21"/>
    <mergeCell ref="E22:F22"/>
    <mergeCell ref="E23:F23"/>
  </mergeCells>
  <conditionalFormatting sqref="E14">
    <cfRule type="duplicateValues" dxfId="0" priority="1"/>
  </conditionalFormatting>
  <pageMargins left="0.25" right="0.25" top="0.75" bottom="0.75" header="0.3" footer="0.3"/>
  <pageSetup scale="6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358B-D8EC-4B63-BCF9-9B36BBCF2B2E}">
  <sheetPr codeName="Feuil7"/>
  <dimension ref="C2:H25"/>
  <sheetViews>
    <sheetView topLeftCell="A6" workbookViewId="0">
      <selection activeCell="E21" sqref="E21"/>
    </sheetView>
  </sheetViews>
  <sheetFormatPr baseColWidth="10" defaultColWidth="8.7265625" defaultRowHeight="14.5" x14ac:dyDescent="0.35"/>
  <cols>
    <col min="3" max="4" width="22.1796875" customWidth="1"/>
    <col min="5" max="5" width="40.54296875" bestFit="1" customWidth="1"/>
    <col min="6" max="7" width="22.1796875" customWidth="1"/>
    <col min="8" max="8" width="19.7265625" bestFit="1" customWidth="1"/>
  </cols>
  <sheetData>
    <row r="2" spans="3:8" x14ac:dyDescent="0.35">
      <c r="C2" s="146" t="s">
        <v>76</v>
      </c>
      <c r="D2" s="146"/>
      <c r="E2" s="146"/>
      <c r="F2" s="146"/>
      <c r="G2" s="146"/>
      <c r="H2" s="146"/>
    </row>
    <row r="3" spans="3:8" x14ac:dyDescent="0.35">
      <c r="C3" s="49" t="s">
        <v>65</v>
      </c>
      <c r="D3" s="49" t="s">
        <v>80</v>
      </c>
      <c r="E3" s="49" t="s">
        <v>73</v>
      </c>
      <c r="F3" s="49" t="s">
        <v>74</v>
      </c>
      <c r="G3" s="49" t="s">
        <v>75</v>
      </c>
      <c r="H3" s="49" t="s">
        <v>77</v>
      </c>
    </row>
    <row r="4" spans="3:8" ht="18" customHeight="1" x14ac:dyDescent="0.35">
      <c r="C4" s="69">
        <v>46174</v>
      </c>
      <c r="D4" s="54" t="s">
        <v>81</v>
      </c>
      <c r="E4" s="51" t="s">
        <v>78</v>
      </c>
      <c r="F4" s="51" t="s">
        <v>79</v>
      </c>
      <c r="G4" s="71">
        <v>16000000</v>
      </c>
      <c r="H4" s="51" t="s">
        <v>32</v>
      </c>
    </row>
    <row r="5" spans="3:8" ht="18" customHeight="1" x14ac:dyDescent="0.35">
      <c r="C5" s="70">
        <v>46176</v>
      </c>
      <c r="D5" s="53" t="s">
        <v>123</v>
      </c>
      <c r="E5" s="48" t="s">
        <v>124</v>
      </c>
      <c r="F5" s="48" t="s">
        <v>79</v>
      </c>
      <c r="G5" s="72">
        <v>700000</v>
      </c>
      <c r="H5" s="48" t="s">
        <v>125</v>
      </c>
    </row>
    <row r="6" spans="3:8" ht="18" customHeight="1" x14ac:dyDescent="0.35">
      <c r="C6" s="70">
        <v>46177</v>
      </c>
      <c r="D6" s="53"/>
      <c r="E6" s="48" t="s">
        <v>303</v>
      </c>
      <c r="F6" s="48"/>
      <c r="G6" s="72">
        <v>75477008</v>
      </c>
      <c r="H6" s="48" t="s">
        <v>32</v>
      </c>
    </row>
    <row r="7" spans="3:8" ht="18" customHeight="1" x14ac:dyDescent="0.35">
      <c r="C7" s="70">
        <v>46181</v>
      </c>
      <c r="D7" s="53" t="s">
        <v>306</v>
      </c>
      <c r="E7" s="48" t="s">
        <v>303</v>
      </c>
      <c r="F7" s="48"/>
      <c r="G7" s="72">
        <v>70229590</v>
      </c>
      <c r="H7" s="48" t="s">
        <v>32</v>
      </c>
    </row>
    <row r="8" spans="3:8" ht="18" customHeight="1" x14ac:dyDescent="0.35">
      <c r="C8" s="70">
        <v>46182</v>
      </c>
      <c r="D8" s="53"/>
      <c r="E8" s="48" t="s">
        <v>304</v>
      </c>
      <c r="F8" s="48"/>
      <c r="G8" s="72">
        <v>12000000</v>
      </c>
      <c r="H8" s="48" t="s">
        <v>32</v>
      </c>
    </row>
    <row r="9" spans="3:8" ht="18" customHeight="1" x14ac:dyDescent="0.35">
      <c r="C9" s="70">
        <v>46182</v>
      </c>
      <c r="D9" s="53"/>
      <c r="E9" s="48" t="s">
        <v>304</v>
      </c>
      <c r="F9" s="48"/>
      <c r="G9" s="72">
        <v>13000000</v>
      </c>
      <c r="H9" s="48" t="s">
        <v>32</v>
      </c>
    </row>
    <row r="10" spans="3:8" ht="18" customHeight="1" x14ac:dyDescent="0.35">
      <c r="C10" s="70">
        <v>46183</v>
      </c>
      <c r="D10" s="53" t="s">
        <v>307</v>
      </c>
      <c r="E10" s="48" t="s">
        <v>305</v>
      </c>
      <c r="F10" s="48"/>
      <c r="G10" s="72">
        <v>6129482</v>
      </c>
      <c r="H10" s="48" t="s">
        <v>32</v>
      </c>
    </row>
    <row r="11" spans="3:8" ht="18" customHeight="1" x14ac:dyDescent="0.35">
      <c r="C11" s="70">
        <v>46183</v>
      </c>
      <c r="D11" s="53" t="s">
        <v>313</v>
      </c>
      <c r="E11" s="48" t="s">
        <v>314</v>
      </c>
      <c r="F11" s="48" t="s">
        <v>79</v>
      </c>
      <c r="G11" s="71">
        <v>16000000</v>
      </c>
      <c r="H11" s="48" t="s">
        <v>32</v>
      </c>
    </row>
    <row r="12" spans="3:8" ht="18" customHeight="1" x14ac:dyDescent="0.35">
      <c r="C12" s="69">
        <v>46177</v>
      </c>
      <c r="D12" s="53" t="s">
        <v>315</v>
      </c>
      <c r="E12" s="48" t="s">
        <v>316</v>
      </c>
      <c r="F12" s="48"/>
      <c r="G12" s="72">
        <v>54916680</v>
      </c>
      <c r="H12" s="48" t="s">
        <v>147</v>
      </c>
    </row>
    <row r="13" spans="3:8" ht="18" customHeight="1" x14ac:dyDescent="0.35">
      <c r="C13" s="70">
        <v>46186</v>
      </c>
      <c r="D13" s="53" t="s">
        <v>317</v>
      </c>
      <c r="E13" s="48" t="s">
        <v>314</v>
      </c>
      <c r="F13" s="48" t="s">
        <v>79</v>
      </c>
      <c r="G13" s="72">
        <v>999900</v>
      </c>
      <c r="H13" s="48" t="s">
        <v>147</v>
      </c>
    </row>
    <row r="14" spans="3:8" ht="18" customHeight="1" x14ac:dyDescent="0.35">
      <c r="C14" s="70">
        <v>46182</v>
      </c>
      <c r="D14" s="53" t="s">
        <v>318</v>
      </c>
      <c r="E14" s="48" t="s">
        <v>314</v>
      </c>
      <c r="F14" s="48" t="s">
        <v>79</v>
      </c>
      <c r="G14" s="72">
        <v>8000000</v>
      </c>
      <c r="H14" s="48" t="s">
        <v>147</v>
      </c>
    </row>
    <row r="15" spans="3:8" ht="18" customHeight="1" x14ac:dyDescent="0.35">
      <c r="C15" s="70">
        <v>46195</v>
      </c>
      <c r="D15" s="53" t="s">
        <v>374</v>
      </c>
      <c r="E15" s="48" t="s">
        <v>314</v>
      </c>
      <c r="F15" s="48" t="s">
        <v>79</v>
      </c>
      <c r="G15" s="72">
        <v>8000000</v>
      </c>
      <c r="H15" s="48" t="s">
        <v>32</v>
      </c>
    </row>
    <row r="16" spans="3:8" ht="18.5" customHeight="1" x14ac:dyDescent="0.35">
      <c r="C16" s="70">
        <v>46195</v>
      </c>
      <c r="D16" s="53" t="s">
        <v>375</v>
      </c>
      <c r="E16" s="48" t="s">
        <v>314</v>
      </c>
      <c r="F16" s="48" t="s">
        <v>79</v>
      </c>
      <c r="G16" s="72">
        <v>16000000</v>
      </c>
      <c r="H16" s="48" t="s">
        <v>32</v>
      </c>
    </row>
    <row r="17" spans="3:8" ht="18.5" customHeight="1" x14ac:dyDescent="0.35">
      <c r="C17" s="70">
        <v>46195</v>
      </c>
      <c r="D17" s="53" t="s">
        <v>376</v>
      </c>
      <c r="E17" s="48" t="s">
        <v>78</v>
      </c>
      <c r="F17" s="48" t="s">
        <v>79</v>
      </c>
      <c r="G17" s="72">
        <v>16000000</v>
      </c>
      <c r="H17" s="48" t="s">
        <v>32</v>
      </c>
    </row>
    <row r="18" spans="3:8" ht="18.5" customHeight="1" x14ac:dyDescent="0.35">
      <c r="C18" s="70">
        <v>46195</v>
      </c>
      <c r="D18" s="53" t="s">
        <v>377</v>
      </c>
      <c r="E18" s="48" t="s">
        <v>78</v>
      </c>
      <c r="F18" s="48" t="s">
        <v>79</v>
      </c>
      <c r="G18" s="72">
        <v>10000000</v>
      </c>
      <c r="H18" s="48" t="s">
        <v>32</v>
      </c>
    </row>
    <row r="19" spans="3:8" x14ac:dyDescent="0.35">
      <c r="C19" s="48"/>
      <c r="D19" s="48"/>
      <c r="E19" s="48"/>
      <c r="F19" s="48"/>
      <c r="G19" s="48"/>
      <c r="H19" s="48"/>
    </row>
    <row r="20" spans="3:8" x14ac:dyDescent="0.35">
      <c r="C20" s="48"/>
      <c r="D20" s="48"/>
      <c r="E20" s="48"/>
      <c r="F20" s="48"/>
      <c r="G20" s="48"/>
      <c r="H20" s="48"/>
    </row>
    <row r="21" spans="3:8" x14ac:dyDescent="0.35">
      <c r="C21" s="48"/>
      <c r="D21" s="48"/>
      <c r="E21" s="48"/>
      <c r="F21" s="48"/>
      <c r="G21" s="48"/>
      <c r="H21" s="48"/>
    </row>
    <row r="22" spans="3:8" x14ac:dyDescent="0.35">
      <c r="C22" s="70">
        <v>46206</v>
      </c>
      <c r="D22" s="48" t="s">
        <v>507</v>
      </c>
      <c r="E22" s="48" t="s">
        <v>509</v>
      </c>
      <c r="F22" s="48"/>
      <c r="G22" s="78">
        <v>80960262</v>
      </c>
      <c r="H22" s="48" t="s">
        <v>125</v>
      </c>
    </row>
    <row r="23" spans="3:8" x14ac:dyDescent="0.35">
      <c r="C23" s="70">
        <v>46206</v>
      </c>
      <c r="D23" s="48" t="s">
        <v>508</v>
      </c>
      <c r="E23" s="48" t="s">
        <v>509</v>
      </c>
      <c r="F23" s="48"/>
      <c r="G23" s="78">
        <v>77936295</v>
      </c>
      <c r="H23" s="48" t="s">
        <v>125</v>
      </c>
    </row>
    <row r="24" spans="3:8" x14ac:dyDescent="0.35">
      <c r="C24" s="70">
        <v>46209</v>
      </c>
      <c r="D24" s="48" t="s">
        <v>535</v>
      </c>
      <c r="E24" s="48" t="s">
        <v>124</v>
      </c>
      <c r="F24" s="48" t="s">
        <v>79</v>
      </c>
      <c r="G24" s="48">
        <v>2000000</v>
      </c>
      <c r="H24" s="48" t="s">
        <v>32</v>
      </c>
    </row>
    <row r="25" spans="3:8" x14ac:dyDescent="0.35">
      <c r="C25" s="48"/>
      <c r="D25" s="48"/>
      <c r="E25" s="48"/>
      <c r="F25" s="48"/>
      <c r="G25" s="48"/>
      <c r="H25" s="48"/>
    </row>
  </sheetData>
  <autoFilter ref="C3:H3" xr:uid="{ECDD358B-D8EC-4B63-BCF9-9B36BBCF2B2E}"/>
  <mergeCells count="1">
    <mergeCell ref="C2:H2"/>
  </mergeCells>
  <phoneticPr fontId="2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FICHE (2)</vt:lpstr>
      <vt:lpstr>Mvt Caisse</vt:lpstr>
      <vt:lpstr>DEPENSES</vt:lpstr>
      <vt:lpstr>FICHE</vt:lpstr>
      <vt:lpstr>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Alliance BODJRENOU</cp:lastModifiedBy>
  <cp:lastPrinted>2026-10-16T11:48:31Z</cp:lastPrinted>
  <dcterms:created xsi:type="dcterms:W3CDTF">2026-05-16T15:39:16Z</dcterms:created>
  <dcterms:modified xsi:type="dcterms:W3CDTF">2026-10-16T14:01:12Z</dcterms:modified>
</cp:coreProperties>
</file>