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84ae468a7ae29cc/Desktop/REPORT/FINANCE/BANK FILES/2026/"/>
    </mc:Choice>
  </mc:AlternateContent>
  <xr:revisionPtr revIDLastSave="349" documentId="8_{9FE7D14F-5044-404A-A172-E365425FDB87}" xr6:coauthVersionLast="47" xr6:coauthVersionMax="47" xr10:uidLastSave="{B295A559-800B-4C74-8D64-4FC80212878B}"/>
  <bookViews>
    <workbookView xWindow="-110" yWindow="-110" windowWidth="22780" windowHeight="14540" activeTab="1" xr2:uid="{00000000-000D-0000-FFFF-FFFF00000000}"/>
  </bookViews>
  <sheets>
    <sheet name="CHECKING" sheetId="41" r:id="rId1"/>
    <sheet name="STATEMENT" sheetId="1" r:id="rId2"/>
    <sheet name="MVT_CAISSE" sheetId="15" r:id="rId3"/>
    <sheet name="BANQUE" sheetId="13" r:id="rId4"/>
    <sheet name="VENTE_EXP_LOCAL_(CREDIT)" sheetId="14" r:id="rId5"/>
    <sheet name="ACHAT_MP_(DEBIT)" sheetId="10" r:id="rId6"/>
    <sheet name="DEPENCES_EXP ACC_(DEBIT)" sheetId="39" r:id="rId7"/>
    <sheet name="AUTRES_DEPENSES_(DEBIT)" sheetId="40" r:id="rId8"/>
    <sheet name="SUIVI CHEQUIER" sheetId="6" state="hidden" r:id="rId9"/>
    <sheet name="CHEQUE GIVEB ON COMPANYS NAME," sheetId="2" state="hidden" r:id="rId10"/>
    <sheet name="UD CAKE" sheetId="7" state="hidden" r:id="rId11"/>
  </sheets>
  <definedNames>
    <definedName name="_xlnm._FilterDatabase" localSheetId="1" hidden="1">STATEMENT!$A$3:$H$97</definedName>
    <definedName name="_xlnm._FilterDatabase" localSheetId="8" hidden="1">'SUIVI CHEQUIER'!$B$3:$F$42</definedName>
    <definedName name="_xlnm._FilterDatabase" localSheetId="4" hidden="1">'VENTE_EXP_LOCAL_(CREDIT)'!$E$4:$J$20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41" l="1"/>
  <c r="E7" i="41"/>
  <c r="E4" i="1" l="1"/>
  <c r="E5" i="1" s="1"/>
  <c r="E6" i="1" l="1"/>
  <c r="E7" i="1" s="1"/>
  <c r="E8" i="1" s="1"/>
  <c r="E9" i="1" s="1"/>
  <c r="E10" i="1" l="1"/>
  <c r="E11" i="1" l="1"/>
  <c r="E12" i="1" l="1"/>
  <c r="M5" i="39" a="1"/>
  <c r="E13" i="1" l="1"/>
  <c r="E5" i="10" a="1"/>
  <c r="M5" i="39"/>
  <c r="O3" i="39"/>
  <c r="O20" i="39"/>
  <c r="E5" i="10" l="1"/>
  <c r="E14" i="1"/>
  <c r="E15" i="1" l="1"/>
  <c r="E16" i="1" s="1"/>
  <c r="E17" i="1" s="1"/>
  <c r="E18" i="1" l="1"/>
  <c r="E19" i="1" l="1"/>
  <c r="E20" i="1" s="1"/>
  <c r="E21" i="1" l="1"/>
  <c r="E22" i="1" l="1"/>
  <c r="E23" i="1" l="1"/>
  <c r="E24" i="1" s="1"/>
  <c r="E25" i="1" s="1"/>
  <c r="E26" i="1" s="1"/>
  <c r="E27" i="1" s="1"/>
  <c r="E28" i="1" l="1"/>
  <c r="E29" i="1" l="1"/>
  <c r="E30" i="1" l="1"/>
  <c r="E31" i="1" l="1"/>
  <c r="E32" i="1" s="1"/>
  <c r="E33" i="1" s="1"/>
  <c r="E34" i="1" s="1"/>
  <c r="E35" i="1" l="1"/>
  <c r="E36" i="1" l="1"/>
  <c r="E37" i="1" l="1"/>
  <c r="E38" i="1" l="1"/>
  <c r="E39" i="1" s="1"/>
  <c r="E40" i="1" s="1"/>
  <c r="E41" i="1" l="1"/>
  <c r="E42" i="1" l="1"/>
  <c r="E43" i="1" l="1"/>
  <c r="E44" i="1" s="1"/>
  <c r="E45" i="1" s="1"/>
  <c r="E46" i="1" s="1"/>
  <c r="E47" i="1" s="1"/>
  <c r="E48" i="1" s="1"/>
  <c r="E49" i="1" s="1"/>
  <c r="E50" i="1" s="1"/>
  <c r="E51" i="1" l="1"/>
  <c r="E52" i="1" l="1"/>
  <c r="E53" i="1" l="1"/>
  <c r="M5" i="13" a="1"/>
  <c r="M5" i="13" l="1"/>
  <c r="E54" i="1"/>
  <c r="E55" i="1" l="1"/>
  <c r="E56" i="1" s="1"/>
  <c r="E57" i="1" l="1"/>
  <c r="E58" i="1" l="1"/>
  <c r="F5" i="13" a="1"/>
  <c r="F5" i="13" l="1"/>
  <c r="E59" i="1"/>
  <c r="E60" i="1" l="1"/>
  <c r="E61" i="1" s="1"/>
  <c r="E62" i="1" s="1"/>
  <c r="E63" i="1" l="1"/>
  <c r="E64" i="1" l="1"/>
  <c r="L5" i="14" a="1"/>
  <c r="L5" i="14" l="1"/>
  <c r="E65" i="1"/>
  <c r="E66" i="1" l="1"/>
  <c r="E67" i="1" s="1"/>
  <c r="E68" i="1" s="1"/>
  <c r="E69" i="1" s="1"/>
  <c r="E70" i="1" s="1"/>
  <c r="E71" i="1" s="1"/>
  <c r="E72" i="1" s="1"/>
  <c r="M5" i="15" a="1"/>
  <c r="M5" i="15" l="1"/>
  <c r="E73" i="1"/>
  <c r="E74" i="1" l="1"/>
  <c r="Z5" i="40" s="1" a="1"/>
  <c r="Z5" i="40" s="1"/>
  <c r="L5" i="40" a="1"/>
  <c r="L5" i="40" l="1"/>
  <c r="E75" i="1"/>
  <c r="E76" i="1" l="1"/>
  <c r="E77" i="1" s="1"/>
  <c r="E5" i="40" a="1"/>
  <c r="E78" i="1" l="1"/>
  <c r="E79" i="1" s="1"/>
  <c r="E80" i="1" s="1"/>
  <c r="E81" i="1" s="1"/>
  <c r="E82" i="1" s="1"/>
  <c r="E83" i="1" s="1"/>
  <c r="E84" i="1" s="1"/>
  <c r="E85" i="1" s="1"/>
  <c r="E86" i="1" s="1"/>
  <c r="AG5" i="40" a="1"/>
  <c r="E5" i="40"/>
  <c r="AG5" i="40" l="1"/>
  <c r="E87" i="1"/>
  <c r="E88" i="1" s="1"/>
  <c r="AA5" i="13" a="1"/>
  <c r="E89" i="1" l="1"/>
  <c r="E90" i="1" s="1"/>
  <c r="E91" i="1" s="1"/>
  <c r="S5" i="14" a="1"/>
  <c r="AA5" i="13"/>
  <c r="E92" i="1" l="1"/>
  <c r="E93" i="1" s="1"/>
  <c r="E94" i="1" s="1"/>
  <c r="E95" i="1" s="1"/>
  <c r="E96" i="1" s="1"/>
  <c r="E97" i="1" s="1"/>
  <c r="T5" i="15" a="1"/>
  <c r="C9" i="13"/>
  <c r="S5" i="14"/>
  <c r="S5" i="40" l="1" a="1"/>
  <c r="S5" i="40" s="1"/>
  <c r="T5" i="15"/>
  <c r="E5" i="14" a="1"/>
  <c r="F5" i="39" a="1"/>
  <c r="T5" i="13" a="1"/>
  <c r="F5" i="15" a="1"/>
  <c r="F5" i="15" l="1"/>
  <c r="T5" i="13"/>
  <c r="F5" i="39"/>
  <c r="E5" i="14"/>
  <c r="AI3" i="40" s="1"/>
  <c r="C9" i="40" s="1"/>
  <c r="AB3" i="40" s="1"/>
  <c r="C8" i="40" s="1"/>
  <c r="U3" i="40" s="1"/>
  <c r="C7" i="40" s="1"/>
  <c r="N3" i="40" s="1"/>
  <c r="C6" i="40" s="1"/>
  <c r="G3" i="40" s="1"/>
  <c r="C5" i="40" s="1"/>
  <c r="H3" i="39" s="1"/>
  <c r="C5" i="39" s="1"/>
  <c r="C8" i="39" s="1"/>
  <c r="G3" i="10" s="1"/>
  <c r="C5" i="10" s="1"/>
  <c r="C7" i="10" s="1"/>
  <c r="U3" i="14" s="1"/>
  <c r="C7" i="14" s="1"/>
  <c r="N3" i="14" s="1"/>
  <c r="C6" i="14" s="1"/>
  <c r="G3" i="14" s="1"/>
  <c r="C5" i="14" s="1"/>
  <c r="C8" i="14" s="1"/>
  <c r="AC3" i="13" s="1"/>
  <c r="D8" i="13" s="1"/>
  <c r="V3" i="13" s="1"/>
  <c r="D7" i="13" s="1"/>
  <c r="C14" i="40" l="1"/>
  <c r="O3" i="15" l="1"/>
  <c r="D6" i="15" s="1"/>
  <c r="V3" i="15"/>
  <c r="D7" i="15" s="1"/>
  <c r="H3" i="13"/>
  <c r="D5" i="13" s="1"/>
  <c r="O3" i="13"/>
  <c r="D6" i="13" s="1"/>
  <c r="H3" i="15"/>
  <c r="C5" i="15" s="1"/>
  <c r="C8" i="15" s="1"/>
  <c r="E8" i="41" s="1"/>
  <c r="E9" i="41" s="1"/>
  <c r="D8" i="15" l="1"/>
  <c r="D9" i="13"/>
  <c r="E13" i="41" l="1"/>
  <c r="E14" i="4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<sst xmlns="http://schemas.openxmlformats.org/spreadsheetml/2006/main" count="660" uniqueCount="186">
  <si>
    <t>Date</t>
  </si>
  <si>
    <t>DESCRIPTION</t>
  </si>
  <si>
    <t>CREDIT</t>
  </si>
  <si>
    <t xml:space="preserve">DEBIT </t>
  </si>
  <si>
    <t>SOLDE</t>
  </si>
  <si>
    <t>NUM DE CHEQUE</t>
  </si>
  <si>
    <t>IDRISSOU APHISSOU</t>
  </si>
  <si>
    <t>SEGUB GUCE</t>
  </si>
  <si>
    <t>SECURITY GDIZ</t>
  </si>
  <si>
    <t xml:space="preserve">DATE </t>
  </si>
  <si>
    <t>AMT</t>
  </si>
  <si>
    <t xml:space="preserve">CH NO </t>
  </si>
  <si>
    <t xml:space="preserve">REASON </t>
  </si>
  <si>
    <t xml:space="preserve">LABOUR WORK </t>
  </si>
  <si>
    <t>ETS WYM DJIBRIL ALBARKA</t>
  </si>
  <si>
    <t>ETS DOS ESPOIR ET FILS</t>
  </si>
  <si>
    <t>EXPORT ACC</t>
  </si>
  <si>
    <t>MOTIF</t>
  </si>
  <si>
    <t xml:space="preserve">UD CAKE LABOUR </t>
  </si>
  <si>
    <t>ALFRED RAJIBER</t>
  </si>
  <si>
    <t>BON BERGER</t>
  </si>
  <si>
    <t>COTTON SEED TRANSPORT</t>
  </si>
  <si>
    <t>SUPER SONIC</t>
  </si>
  <si>
    <t>DRUM HYDRAULIC PURCHASE</t>
  </si>
  <si>
    <t>KPATINDE AKODEA EMMANUEL</t>
  </si>
  <si>
    <t>HOUSE RENT OF AJAY BABO MACH TO AUGUST</t>
  </si>
  <si>
    <t>SOLDE INITIAL</t>
  </si>
  <si>
    <t>REMISE POUR MITC</t>
  </si>
  <si>
    <t>RENT OF GLO HOUSE MARCH TO SEPT</t>
  </si>
  <si>
    <t>DIDIER</t>
  </si>
  <si>
    <t>HELIOS SECURITY</t>
  </si>
  <si>
    <t>OLABI LABOUR WORK COTTON SEED</t>
  </si>
  <si>
    <t>OLABI LABOUR SOYA ACC</t>
  </si>
  <si>
    <t xml:space="preserve">OLABI </t>
  </si>
  <si>
    <t>COTTON SEED</t>
  </si>
  <si>
    <t>GABIN</t>
  </si>
  <si>
    <t>AJEYA BABU NARALASETTI</t>
  </si>
  <si>
    <t>HOUSE RENT OF AJEYA BABU</t>
  </si>
  <si>
    <t>RETRAIT POUR NAP</t>
  </si>
  <si>
    <t>HOUEDANOU JUSTIN</t>
  </si>
  <si>
    <t>CHABI BORO HALISSOU</t>
  </si>
  <si>
    <t>AFFO MOUSSA IBRAHIM</t>
  </si>
  <si>
    <t>PURCHASE OF SOYA</t>
  </si>
  <si>
    <t>TCHANIGA SAMSON</t>
  </si>
  <si>
    <t>Depot pour MITC</t>
  </si>
  <si>
    <t>TRANS SOHA</t>
  </si>
  <si>
    <t>UD CAKE LABOUR WORK</t>
  </si>
  <si>
    <t>MONTANT</t>
  </si>
  <si>
    <t>CANCELED</t>
  </si>
  <si>
    <t>OLABI LABOUR WORK</t>
  </si>
  <si>
    <t>CASIMIR</t>
  </si>
  <si>
    <t>LEONARD</t>
  </si>
  <si>
    <t xml:space="preserve">ELI COTTON SEED </t>
  </si>
  <si>
    <t>ACC</t>
  </si>
  <si>
    <t>NOCIBE</t>
  </si>
  <si>
    <t>ETS DOS ESPOIR</t>
  </si>
  <si>
    <t>UD CAKE SALES</t>
  </si>
  <si>
    <t>SAMBA</t>
  </si>
  <si>
    <t>VERSEMENT</t>
  </si>
  <si>
    <t>UD CAKE SALES_100MT_160K/MT</t>
  </si>
  <si>
    <t>OLABI LABOUR (COTTON-UD CAKE-SHEA NUT)</t>
  </si>
  <si>
    <t>CERCLE DE DIEU</t>
  </si>
  <si>
    <t>LABOUR WORK</t>
  </si>
  <si>
    <t>ACE GLOBAL</t>
  </si>
  <si>
    <t>OLABI LABOUR COTTON- UD CAKE- SHEA</t>
  </si>
  <si>
    <t>STE UNITED TRADEX SARL</t>
  </si>
  <si>
    <t>ACHAT DE MOTO</t>
  </si>
  <si>
    <t>FRAIS BANCAIRE</t>
  </si>
  <si>
    <t xml:space="preserve"> MENANYI NICOLAS</t>
  </si>
  <si>
    <t>COTTON SEED TRANSPORT / SOLD ANCIEN COMPTE</t>
  </si>
  <si>
    <t>COTTON SEED TRANSPORT/ AVANCE TRANSPORT NIKKI</t>
  </si>
  <si>
    <t>DANIEL</t>
  </si>
  <si>
    <t>BANTHAL</t>
  </si>
  <si>
    <t>KA AZIZ</t>
  </si>
  <si>
    <t>CATEGORIE</t>
  </si>
  <si>
    <t>TRANSPORT/COTTON SEED</t>
  </si>
  <si>
    <t>SALES/ UD CAKES</t>
  </si>
  <si>
    <t>BFU</t>
  </si>
  <si>
    <t>CAISSE DEPOSIT</t>
  </si>
  <si>
    <t>EXP/ FRET PAYMENT</t>
  </si>
  <si>
    <t>CATEGRIE</t>
  </si>
  <si>
    <t>WITHDRAWAL</t>
  </si>
  <si>
    <t>DEBIT</t>
  </si>
  <si>
    <t>CREDIT MOVMENTS AS PER STATEMENT</t>
  </si>
  <si>
    <t>CREDIT MOVMENTS AS PER ALL ACCOUNTS</t>
  </si>
  <si>
    <t>DIFFRENCE</t>
  </si>
  <si>
    <t>MONTANT CREDIT</t>
  </si>
  <si>
    <t>PRODUIT</t>
  </si>
  <si>
    <t>TOTAL</t>
  </si>
  <si>
    <t>MONTANT DEBIT</t>
  </si>
  <si>
    <t>DEBIT MOVMENTS AS PER STATEMENT</t>
  </si>
  <si>
    <t>DEBIT MOVMENTS AS PER ALL ACCOUNTS</t>
  </si>
  <si>
    <t>KIKI FLORENT/ JOSPIN</t>
  </si>
  <si>
    <t>SOYA PURCHASE</t>
  </si>
  <si>
    <t>GOUDOU DOSSOU ROMAIN</t>
  </si>
  <si>
    <t>VLAVONOU ZINSOU PIERRE</t>
  </si>
  <si>
    <t>GOUNOU GOUGNON ELISABETH</t>
  </si>
  <si>
    <t>COTTON SEED TRANSPORT ACC/ ELIE</t>
  </si>
  <si>
    <t>DAA-HINGBANOU A. ZANMENOU VIRG</t>
  </si>
  <si>
    <t>TRANSFERT SUR COMPTE DECAISSEMENT</t>
  </si>
  <si>
    <t>COMPTE DECAISSEMENT</t>
  </si>
  <si>
    <t>HOUEDANOU ENAGNON JUSTIN</t>
  </si>
  <si>
    <t>ELHADJ GUEYE</t>
  </si>
  <si>
    <t>UD CAKE SALES/ SENEGAL_500MT@145K XOF_ FACT PROFORMA 1001</t>
  </si>
  <si>
    <t>AMADOU ABDOUL GANIOU/ ALADJI MAIGA</t>
  </si>
  <si>
    <t>UD CAKE SALES/ ALADJI MAIGA_500MT@148K XOF_AVANCE 1_FACT PROFORMA 1002</t>
  </si>
  <si>
    <t>UD CAKE SALES/ ALADJI MAIGA_500MT@148K XOF_AVANCE 2_FACT PROFORMA 1002</t>
  </si>
  <si>
    <t>UD CAKE SALES/ ALADJI MAIGA_500MT@148K XOF_AVANCE 3_FACT PROFORMA 1002</t>
  </si>
  <si>
    <t>GOUNON MAHUSSI OCEANE</t>
  </si>
  <si>
    <t>UD CAKE SALES/ MME OCEANE_100MT@153K XOF</t>
  </si>
  <si>
    <t>REMBOURSEMENT PRET</t>
  </si>
  <si>
    <t>REMBOURSEMENT ECHEANCE DE 05/01/2026</t>
  </si>
  <si>
    <t>UD CAKE SALES/ MME OCEANE_200MT@158K XOF_AVANCE 1</t>
  </si>
  <si>
    <t>UD CAKE SALES/ MME OCEANE_200MT@158K XOF_REGLEMENT</t>
  </si>
  <si>
    <t>MANGALAM</t>
  </si>
  <si>
    <t>DEMANDE DE CHEQUIER</t>
  </si>
  <si>
    <t>UD CAKE SALES/ ALADJI MAIGA_1000MT@155K XOF_AVANCE 1_FACT PROFORMA 1011</t>
  </si>
  <si>
    <t>ADETONAH DAMIEN/ DERE IMPORT EXPORT</t>
  </si>
  <si>
    <t>UD CAKE SALES/ DAMIAN_1500MT@155K XOF_AVANCE 1_FACT PROFORMA 1012</t>
  </si>
  <si>
    <t>UD CAKE SALES/ DAMIAN_1500MT@155K XOF_AVANCE 2_FACT PROFORMA 1012</t>
  </si>
  <si>
    <t>UD CAKE SALES/ ALADJI MAIGA_1000MT@155K XOF_AVANCE 2_FACT PROFORMA 1011</t>
  </si>
  <si>
    <t>UNIRISE SARL/SHEIK &amp; MARIAM SENEGAL</t>
  </si>
  <si>
    <t>UD CAKE SALES/ UNIRISE SHEIK &amp; MARIAM SEN_192MT@160K XOF_AVANCE 1_FACT PROFORMA 1007</t>
  </si>
  <si>
    <t>UD CAKE SALES/ UNIRISE SHEIK &amp; MARIAM SEN_192MT@160K XOF_RGLMT_FACT PROFORMA 1007</t>
  </si>
  <si>
    <t>VERSEMENT BY NAP</t>
  </si>
  <si>
    <t>ABDULSALAM OLAKOUNLE/ ODJE NIGERIA CONTRACTOR</t>
  </si>
  <si>
    <t>OJ REAL ETP WORK , NIGERIA COTRACTER, PIPILINE WORK, BOILER OIL MILL</t>
  </si>
  <si>
    <t>REMBOURSEMENT ECHEANCE DE 05/04/2026 _ COMPTE PRET INSTALLATION DE SITE</t>
  </si>
  <si>
    <t>CONTRELEC GDIZ</t>
  </si>
  <si>
    <t>PAYMENT CONTRELEC / CHEQUE CERTIFIE</t>
  </si>
  <si>
    <t>OLAITAN COMMUNICATION</t>
  </si>
  <si>
    <t>OLABI LABOUR SOYA ACC_EM01767228-12 (1044360 XOF)_EM01767228-11 (1054760)- AIB 3%</t>
  </si>
  <si>
    <t>LABOUR WORK_EM01335995-329 (288360 XOF)- AIB 3%</t>
  </si>
  <si>
    <t>BENIN COTON</t>
  </si>
  <si>
    <t>Encaissement cheque 4839552 BIIC</t>
  </si>
  <si>
    <t>PRESTATION DE MANUTENTION GRAINE DE COTON/SOJA/KARITE</t>
  </si>
  <si>
    <t>MOUSSA IBRAHIM</t>
  </si>
  <si>
    <t>RETRAIT POUR NAP SARL/MOUSSA IBRAHIM</t>
  </si>
  <si>
    <t>PAYEMENT BFU USN-26125069 POUR BL 270866616</t>
  </si>
  <si>
    <t>PAYEMENT BFU USN-26126443 POUR BL 270866825</t>
  </si>
  <si>
    <t>PAYEMENT BFU USN-26127384 POUR BL 270942127</t>
  </si>
  <si>
    <t>PAYEMENT BFU USN-26126441 POUR BL 270942248</t>
  </si>
  <si>
    <t>PAYEMENT BFU USN-26125053 POUR BL 270942275</t>
  </si>
  <si>
    <t>PAYEMENT BFU USN-26127276 POUR BL 271284995</t>
  </si>
  <si>
    <t>VERSEMENT BY AFFO MOUSSA IBRAHIM</t>
  </si>
  <si>
    <t>RECETTE</t>
  </si>
  <si>
    <t>OLABI LABOUR WORK SOYA ACCOMPTE</t>
  </si>
  <si>
    <t>PAYEMENT BFU USN-26132380 POUR BL 271285265</t>
  </si>
  <si>
    <t>ACHAT DE CIMENT 09/06/2026</t>
  </si>
  <si>
    <t>CONSTRUCTION</t>
  </si>
  <si>
    <t>SERVICES</t>
  </si>
  <si>
    <t>SALES/ COTTON SEED</t>
  </si>
  <si>
    <t xml:space="preserve">ENTREPRISE SIBY MOHAMED-EXPORT </t>
  </si>
  <si>
    <t>UD CAKE SALES 540 MT@ 150K TO MAURTANIA CLIENT</t>
  </si>
  <si>
    <t>UD CAKE_SALES_2MT@148K</t>
  </si>
  <si>
    <t>USN-26029936_265903694_Shea Butter</t>
  </si>
  <si>
    <t>USN-26029942_MEDUCT183752_Shea Doc</t>
  </si>
  <si>
    <t>USN-26029947_MEDUCT184040_Shea Butter</t>
  </si>
  <si>
    <t>USN-26030058_MEDUCT184412_Shea Butter</t>
  </si>
  <si>
    <t>USN-26030075_MEDUCT183984_Shea Butter</t>
  </si>
  <si>
    <t>USN-26030010_MEDUCT183943_Shea Butter</t>
  </si>
  <si>
    <t>USN-26032271_TMR260093EFC_</t>
  </si>
  <si>
    <t>USN-26032428_MEDUCT184644_Shea Butter</t>
  </si>
  <si>
    <t>USN-26034867_MEDUCT185070_Shea Butter</t>
  </si>
  <si>
    <t>USN-26034909_MEDUCT185039_Shea Doc</t>
  </si>
  <si>
    <t>USN-26037812__</t>
  </si>
  <si>
    <t>USN-26043603_266361527/267487925_UD CAKE</t>
  </si>
  <si>
    <t>REMISE PAR NAP</t>
  </si>
  <si>
    <t>DGI</t>
  </si>
  <si>
    <t>RECOUVREMENT IMPAYE 16979</t>
  </si>
  <si>
    <t>USN-26136780_271486702_Soya crude oil</t>
  </si>
  <si>
    <t>RECOUVREMENT IMPAYE</t>
  </si>
  <si>
    <t>VERSEMENT BY GARBA IBRAHIM</t>
  </si>
  <si>
    <t>Paiement de facture Octobre 2025 (Ref )</t>
  </si>
  <si>
    <t>HOUNKANRIN MARTIN</t>
  </si>
  <si>
    <t>SALES SOYABEAN MEAL</t>
  </si>
  <si>
    <t>REMBOURSEMENT DE COMMANDE NON EXECUTEE A GOUNOU OCEANE</t>
  </si>
  <si>
    <t>REMBOURSEMENT</t>
  </si>
  <si>
    <t>SALARY JULY</t>
  </si>
  <si>
    <t>ORDRE DE VIREMENT SALAIRE MAI 2026</t>
  </si>
  <si>
    <t>NAP EMPLOYEE CASH SALARY</t>
  </si>
  <si>
    <t>ADIGNON SYLVAIN / CASH SALARY</t>
  </si>
  <si>
    <t>VERSEMENT CASH</t>
  </si>
  <si>
    <t>SALES/ SOYA MEAL</t>
  </si>
  <si>
    <t>NAP BIIC BANK STATEMENT 2026</t>
  </si>
  <si>
    <t>NAP ECOBANK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</si>
</sst>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(* #,##0_);_(* \(#,##0\);_(* &quot;-&quot;_);_(@_)"/>
    <numFmt numFmtId="43" formatCode="_(* #,##0.00_);_(* \(#,##0.00\);_(* &quot;-&quot;??_);_(@_)"/>
    <numFmt numFmtId="164" formatCode="###\ ###\ ###\ ###"/>
    <numFmt numFmtId="165" formatCode="[$-409]d\-mmm\-yy;@"/>
    <numFmt numFmtId="166" formatCode="_(* #,##0_);_(* \(#,##0\);_(* &quot;-&quot;??_);_(@_)"/>
    <numFmt numFmtId="167" formatCode="_([$XOF]\ * #,##0_);_([$XOF]\ * \(#,##0\);_([$XOF]\ * &quot;-&quot;??_);_(@_)"/>
    <numFmt numFmtId="168" formatCode="_([$XOF]\ * #,##0_);_([$XOF]\ * \(#,##0\);_([$XOF]\ 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166" fontId="0" fillId="0" borderId="0" xfId="1" applyNumberFormat="1" applyFont="1"/>
    <xf numFmtId="0" fontId="0" fillId="0" borderId="1" xfId="0" applyBorder="1"/>
    <xf numFmtId="165" fontId="0" fillId="0" borderId="1" xfId="0" applyNumberFormat="1" applyBorder="1"/>
    <xf numFmtId="41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6" fontId="0" fillId="0" borderId="1" xfId="1" applyNumberFormat="1" applyFont="1" applyBorder="1"/>
    <xf numFmtId="165" fontId="0" fillId="2" borderId="1" xfId="0" applyNumberFormat="1" applyFill="1" applyBorder="1"/>
    <xf numFmtId="0" fontId="0" fillId="2" borderId="1" xfId="0" applyFill="1" applyBorder="1"/>
    <xf numFmtId="166" fontId="0" fillId="2" borderId="1" xfId="1" applyNumberFormat="1" applyFont="1" applyFill="1" applyBorder="1"/>
    <xf numFmtId="0" fontId="2" fillId="0" borderId="1" xfId="0" applyFont="1" applyBorder="1"/>
    <xf numFmtId="0" fontId="2" fillId="0" borderId="0" xfId="0" applyFont="1"/>
    <xf numFmtId="166" fontId="0" fillId="0" borderId="1" xfId="1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6" fontId="2" fillId="4" borderId="1" xfId="1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/>
    <xf numFmtId="0" fontId="4" fillId="0" borderId="1" xfId="0" applyFont="1" applyBorder="1"/>
    <xf numFmtId="41" fontId="4" fillId="0" borderId="1" xfId="0" applyNumberFormat="1" applyFont="1" applyBorder="1"/>
    <xf numFmtId="0" fontId="4" fillId="0" borderId="1" xfId="0" applyFont="1" applyBorder="1" applyAlignment="1">
      <alignment wrapText="1"/>
    </xf>
    <xf numFmtId="164" fontId="4" fillId="0" borderId="1" xfId="0" applyNumberFormat="1" applyFont="1" applyBorder="1"/>
    <xf numFmtId="165" fontId="0" fillId="4" borderId="1" xfId="0" applyNumberFormat="1" applyFill="1" applyBorder="1"/>
    <xf numFmtId="0" fontId="0" fillId="4" borderId="1" xfId="0" applyFill="1" applyBorder="1"/>
    <xf numFmtId="41" fontId="0" fillId="4" borderId="1" xfId="0" applyNumberFormat="1" applyFill="1" applyBorder="1"/>
    <xf numFmtId="0" fontId="0" fillId="4" borderId="1" xfId="0" applyFill="1" applyBorder="1" applyAlignment="1">
      <alignment wrapText="1"/>
    </xf>
    <xf numFmtId="164" fontId="0" fillId="4" borderId="1" xfId="0" applyNumberFormat="1" applyFill="1" applyBorder="1"/>
    <xf numFmtId="166" fontId="0" fillId="4" borderId="1" xfId="1" applyNumberFormat="1" applyFont="1" applyFill="1" applyBorder="1"/>
    <xf numFmtId="0" fontId="5" fillId="4" borderId="1" xfId="0" applyFont="1" applyFill="1" applyBorder="1"/>
    <xf numFmtId="41" fontId="5" fillId="4" borderId="1" xfId="0" applyNumberFormat="1" applyFont="1" applyFill="1" applyBorder="1"/>
    <xf numFmtId="164" fontId="4" fillId="4" borderId="1" xfId="0" applyNumberFormat="1" applyFont="1" applyFill="1" applyBorder="1"/>
    <xf numFmtId="165" fontId="2" fillId="0" borderId="1" xfId="0" applyNumberFormat="1" applyFont="1" applyBorder="1"/>
    <xf numFmtId="166" fontId="2" fillId="0" borderId="1" xfId="1" applyNumberFormat="1" applyFont="1" applyBorder="1"/>
    <xf numFmtId="41" fontId="2" fillId="0" borderId="1" xfId="0" applyNumberFormat="1" applyFont="1" applyBorder="1"/>
    <xf numFmtId="164" fontId="2" fillId="0" borderId="1" xfId="0" applyNumberFormat="1" applyFont="1" applyBorder="1"/>
    <xf numFmtId="166" fontId="2" fillId="0" borderId="1" xfId="1" applyNumberFormat="1" applyFont="1" applyFill="1" applyBorder="1"/>
    <xf numFmtId="166" fontId="2" fillId="0" borderId="0" xfId="1" applyNumberFormat="1" applyFont="1"/>
    <xf numFmtId="0" fontId="2" fillId="0" borderId="1" xfId="0" applyFont="1" applyBorder="1" applyAlignment="1">
      <alignment wrapText="1"/>
    </xf>
    <xf numFmtId="0" fontId="0" fillId="0" borderId="3" xfId="0" applyBorder="1" applyAlignment="1">
      <alignment vertical="center" wrapText="1"/>
    </xf>
    <xf numFmtId="0" fontId="2" fillId="5" borderId="1" xfId="0" applyFont="1" applyFill="1" applyBorder="1"/>
    <xf numFmtId="14" fontId="0" fillId="0" borderId="1" xfId="0" applyNumberFormat="1" applyBorder="1"/>
    <xf numFmtId="167" fontId="6" fillId="0" borderId="1" xfId="0" applyNumberFormat="1" applyFont="1" applyBorder="1"/>
    <xf numFmtId="14" fontId="2" fillId="5" borderId="1" xfId="0" applyNumberFormat="1" applyFont="1" applyFill="1" applyBorder="1"/>
    <xf numFmtId="14" fontId="0" fillId="0" borderId="0" xfId="0" applyNumberFormat="1"/>
    <xf numFmtId="167" fontId="0" fillId="0" borderId="1" xfId="0" applyNumberFormat="1" applyBorder="1"/>
    <xf numFmtId="167" fontId="2" fillId="0" borderId="1" xfId="0" applyNumberFormat="1" applyFont="1" applyBorder="1"/>
    <xf numFmtId="167" fontId="3" fillId="0" borderId="1" xfId="0" applyNumberFormat="1" applyFont="1" applyBorder="1"/>
    <xf numFmtId="166" fontId="0" fillId="0" borderId="1" xfId="0" applyNumberFormat="1" applyBorder="1"/>
    <xf numFmtId="0" fontId="2" fillId="6" borderId="1" xfId="0" applyFont="1" applyFill="1" applyBorder="1"/>
    <xf numFmtId="167" fontId="5" fillId="0" borderId="1" xfId="0" applyNumberFormat="1" applyFont="1" applyBorder="1"/>
    <xf numFmtId="0" fontId="0" fillId="0" borderId="1" xfId="0" applyBorder="1" applyAlignment="1">
      <alignment horizontal="left" vertical="center"/>
    </xf>
    <xf numFmtId="168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68" fontId="0" fillId="0" borderId="0" xfId="0" applyNumberFormat="1" applyAlignment="1">
      <alignment horizontal="left" vertical="center"/>
    </xf>
    <xf numFmtId="165" fontId="2" fillId="2" borderId="1" xfId="0" applyNumberFormat="1" applyFont="1" applyFill="1" applyBorder="1"/>
    <xf numFmtId="0" fontId="2" fillId="2" borderId="1" xfId="0" applyFont="1" applyFill="1" applyBorder="1"/>
    <xf numFmtId="41" fontId="2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164" fontId="2" fillId="2" borderId="1" xfId="0" applyNumberFormat="1" applyFont="1" applyFill="1" applyBorder="1"/>
    <xf numFmtId="166" fontId="2" fillId="2" borderId="1" xfId="1" applyNumberFormat="1" applyFont="1" applyFill="1" applyBorder="1"/>
    <xf numFmtId="165" fontId="2" fillId="3" borderId="1" xfId="0" applyNumberFormat="1" applyFont="1" applyFill="1" applyBorder="1"/>
    <xf numFmtId="0" fontId="2" fillId="3" borderId="1" xfId="0" applyFont="1" applyFill="1" applyBorder="1"/>
    <xf numFmtId="41" fontId="2" fillId="3" borderId="1" xfId="0" applyNumberFormat="1" applyFont="1" applyFill="1" applyBorder="1"/>
    <xf numFmtId="166" fontId="2" fillId="3" borderId="1" xfId="1" applyNumberFormat="1" applyFont="1" applyFill="1" applyBorder="1"/>
    <xf numFmtId="166" fontId="1" fillId="0" borderId="1" xfId="1" applyNumberFormat="1" applyFont="1" applyFill="1" applyBorder="1"/>
    <xf numFmtId="167" fontId="7" fillId="0" borderId="1" xfId="0" applyNumberFormat="1" applyFont="1" applyBorder="1"/>
    <xf numFmtId="0" fontId="3" fillId="0" borderId="0" xfId="0" applyFont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33AB1413-32BC-461C-A1A9-FA7E169095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6B662-CD0A-420F-8307-35573C69A803}">
  <dimension ref="D7:E14"/>
  <sheetViews>
    <sheetView workbookViewId="0">
      <selection activeCell="J15" sqref="J15"/>
    </sheetView>
  </sheetViews>
  <sheetFormatPr defaultColWidth="8.7265625" defaultRowHeight="14.5" x14ac:dyDescent="0.35"/>
  <cols>
    <col min="4" max="4" width="36.90625" bestFit="1" customWidth="1"/>
    <col min="5" max="5" width="23.26953125" customWidth="1"/>
  </cols>
  <sheetData>
    <row r="7" spans="4:5" s="56" customFormat="1" ht="21.5" customHeight="1" x14ac:dyDescent="0.35">
      <c r="D7" s="54" t="s">
        <v>83</v>
      </c>
      <c r="E7" s="55">
        <f>SUM(STATEMENT!C5:C1048576)</f>
        <v>897904740</v>
      </c>
    </row>
    <row r="8" spans="4:5" s="56" customFormat="1" ht="21.5" customHeight="1" x14ac:dyDescent="0.35">
      <c r="D8" s="54" t="s">
        <v>84</v>
      </c>
      <c r="E8" s="55">
        <f>MVT_CAISSE!C8+BANQUE!C9+'VENTE_EXP_LOCAL_(CREDIT)'!C8</f>
        <v>897904740</v>
      </c>
    </row>
    <row r="9" spans="4:5" s="56" customFormat="1" ht="21.5" customHeight="1" x14ac:dyDescent="0.35">
      <c r="D9" s="54" t="s">
        <v>85</v>
      </c>
      <c r="E9" s="55">
        <f>E7-E8</f>
        <v>0</v>
      </c>
    </row>
    <row r="10" spans="4:5" s="56" customFormat="1" ht="10" customHeight="1" x14ac:dyDescent="0.35">
      <c r="E10" s="57"/>
    </row>
    <row r="11" spans="4:5" s="56" customFormat="1" ht="10" customHeight="1" x14ac:dyDescent="0.35">
      <c r="E11" s="57"/>
    </row>
    <row r="12" spans="4:5" s="56" customFormat="1" ht="21.5" customHeight="1" x14ac:dyDescent="0.35">
      <c r="D12" s="54" t="s">
        <v>90</v>
      </c>
      <c r="E12" s="55">
        <f>SUM(STATEMENT!D5:D1048576)</f>
        <v>681781336</v>
      </c>
    </row>
    <row r="13" spans="4:5" s="56" customFormat="1" ht="21.5" customHeight="1" x14ac:dyDescent="0.35">
      <c r="D13" s="54" t="s">
        <v>91</v>
      </c>
      <c r="E13" s="55">
        <f>MVT_CAISSE!D8+BANQUE!D9+'ACHAT_MP_(DEBIT)'!C7+'DEPENCES_EXP ACC_(DEBIT)'!C8+'AUTRES_DEPENSES_(DEBIT)'!C14</f>
        <v>681781336</v>
      </c>
    </row>
    <row r="14" spans="4:5" s="56" customFormat="1" ht="21.5" customHeight="1" x14ac:dyDescent="0.35">
      <c r="D14" s="54" t="s">
        <v>85</v>
      </c>
      <c r="E14" s="55">
        <f>E12-E13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zoomScaleNormal="88" workbookViewId="0">
      <pane ySplit="3" topLeftCell="A83" activePane="bottomLeft" state="frozen"/>
      <selection pane="bottomLeft" activeCell="B3" sqref="B3"/>
    </sheetView>
  </sheetViews>
  <sheetFormatPr defaultColWidth="8.7265625" defaultRowHeight="14.5" x14ac:dyDescent="0.35"/>
  <cols>
    <col min="1" max="1" width="10.90625" bestFit="1" customWidth="1"/>
    <col min="2" max="2" width="70.54296875" bestFit="1" customWidth="1"/>
    <col min="3" max="3" width="16.36328125" style="1" bestFit="1" customWidth="1"/>
    <col min="4" max="4" width="14.6328125" bestFit="1" customWidth="1"/>
    <col min="5" max="5" width="16.26953125" bestFit="1" customWidth="1"/>
    <col min="6" max="6" width="11.81640625" customWidth="1"/>
    <col min="7" max="7" width="87.54296875" bestFit="1" customWidth="1"/>
    <col min="8" max="8" width="29.54296875" customWidth="1"/>
  </cols>
  <sheetData>
    <row r="1" spans="1:8" ht="15.5" x14ac:dyDescent="0.35">
      <c r="A1" s="70" t="s">
        <v>184</v>
      </c>
      <c r="B1" s="70"/>
      <c r="C1" s="70"/>
      <c r="D1" s="70"/>
      <c r="E1" s="70"/>
      <c r="F1" s="70"/>
      <c r="G1" s="70"/>
    </row>
    <row r="3" spans="1:8" ht="29" x14ac:dyDescent="0.35">
      <c r="A3" s="17" t="s">
        <v>0</v>
      </c>
      <c r="B3" s="18" t="s">
        <v>1</v>
      </c>
      <c r="C3" s="19" t="s">
        <v>2</v>
      </c>
      <c r="D3" s="20" t="s">
        <v>3</v>
      </c>
      <c r="E3" s="20" t="s">
        <v>4</v>
      </c>
      <c r="F3" s="17" t="s">
        <v>5</v>
      </c>
      <c r="G3" s="20" t="s">
        <v>17</v>
      </c>
      <c r="H3" s="20" t="s">
        <v>74</v>
      </c>
    </row>
    <row r="4" spans="1:8" x14ac:dyDescent="0.35">
      <c r="A4" s="35">
        <v>46023</v>
      </c>
      <c r="B4" s="11" t="s">
        <v>26</v>
      </c>
      <c r="C4" s="39">
        <v>190299124</v>
      </c>
      <c r="D4" s="37"/>
      <c r="E4" s="37">
        <f>C4-D4</f>
        <v>190299124</v>
      </c>
      <c r="F4" s="41"/>
      <c r="G4" s="38"/>
      <c r="H4" s="38"/>
    </row>
    <row r="5" spans="1:8" s="12" customFormat="1" x14ac:dyDescent="0.35">
      <c r="A5" s="35">
        <v>46022</v>
      </c>
      <c r="B5" s="11" t="s">
        <v>92</v>
      </c>
      <c r="C5" s="37"/>
      <c r="D5" s="37">
        <v>20653060</v>
      </c>
      <c r="E5" s="37">
        <f t="shared" ref="E5:E68" si="0">E4+C5-D5</f>
        <v>169646064</v>
      </c>
      <c r="F5" s="41">
        <v>3898137</v>
      </c>
      <c r="G5" s="38" t="s">
        <v>93</v>
      </c>
      <c r="H5" s="38" t="s">
        <v>42</v>
      </c>
    </row>
    <row r="6" spans="1:8" s="12" customFormat="1" x14ac:dyDescent="0.35">
      <c r="A6" s="35">
        <v>46022</v>
      </c>
      <c r="B6" s="11" t="s">
        <v>94</v>
      </c>
      <c r="C6" s="37"/>
      <c r="D6" s="37">
        <v>26548700</v>
      </c>
      <c r="E6" s="37">
        <f t="shared" si="0"/>
        <v>143097364</v>
      </c>
      <c r="F6" s="41">
        <v>3898138</v>
      </c>
      <c r="G6" s="38" t="s">
        <v>93</v>
      </c>
      <c r="H6" s="38" t="s">
        <v>42</v>
      </c>
    </row>
    <row r="7" spans="1:8" s="12" customFormat="1" x14ac:dyDescent="0.35">
      <c r="A7" s="35">
        <v>46022</v>
      </c>
      <c r="B7" s="11" t="s">
        <v>95</v>
      </c>
      <c r="C7" s="37"/>
      <c r="D7" s="37">
        <v>20020200</v>
      </c>
      <c r="E7" s="37">
        <f t="shared" si="0"/>
        <v>123077164</v>
      </c>
      <c r="F7" s="41">
        <v>3898139</v>
      </c>
      <c r="G7" s="38" t="s">
        <v>93</v>
      </c>
      <c r="H7" s="38" t="s">
        <v>42</v>
      </c>
    </row>
    <row r="8" spans="1:8" s="12" customFormat="1" x14ac:dyDescent="0.35">
      <c r="A8" s="35">
        <v>46024</v>
      </c>
      <c r="B8" s="11" t="s">
        <v>96</v>
      </c>
      <c r="C8" s="37"/>
      <c r="D8" s="37">
        <v>22816000</v>
      </c>
      <c r="E8" s="37">
        <f t="shared" si="0"/>
        <v>100261164</v>
      </c>
      <c r="F8" s="41">
        <v>3898140</v>
      </c>
      <c r="G8" s="38" t="s">
        <v>93</v>
      </c>
      <c r="H8" s="38" t="s">
        <v>42</v>
      </c>
    </row>
    <row r="9" spans="1:8" s="12" customFormat="1" x14ac:dyDescent="0.35">
      <c r="A9" s="35">
        <v>46024</v>
      </c>
      <c r="B9" s="11" t="s">
        <v>61</v>
      </c>
      <c r="C9" s="37"/>
      <c r="D9" s="37">
        <v>5000000</v>
      </c>
      <c r="E9" s="37">
        <f t="shared" si="0"/>
        <v>95261164</v>
      </c>
      <c r="F9" s="41">
        <v>3898141</v>
      </c>
      <c r="G9" s="38" t="s">
        <v>97</v>
      </c>
      <c r="H9" s="38" t="s">
        <v>75</v>
      </c>
    </row>
    <row r="10" spans="1:8" s="12" customFormat="1" x14ac:dyDescent="0.35">
      <c r="A10" s="35">
        <v>46022</v>
      </c>
      <c r="B10" s="11" t="s">
        <v>98</v>
      </c>
      <c r="C10" s="37"/>
      <c r="D10" s="37">
        <v>21529800</v>
      </c>
      <c r="E10" s="37">
        <f t="shared" si="0"/>
        <v>73731364</v>
      </c>
      <c r="F10" s="41">
        <v>3898142</v>
      </c>
      <c r="G10" s="38" t="s">
        <v>93</v>
      </c>
      <c r="H10" s="38" t="s">
        <v>42</v>
      </c>
    </row>
    <row r="11" spans="1:8" s="12" customFormat="1" x14ac:dyDescent="0.35">
      <c r="A11" s="58">
        <v>46022</v>
      </c>
      <c r="B11" s="59" t="s">
        <v>99</v>
      </c>
      <c r="C11" s="60"/>
      <c r="D11" s="60">
        <v>1000000</v>
      </c>
      <c r="E11" s="60">
        <f t="shared" si="0"/>
        <v>72731364</v>
      </c>
      <c r="F11" s="61"/>
      <c r="G11" s="62" t="s">
        <v>100</v>
      </c>
      <c r="H11" s="62" t="s">
        <v>100</v>
      </c>
    </row>
    <row r="12" spans="1:8" s="12" customFormat="1" x14ac:dyDescent="0.35">
      <c r="A12" s="35">
        <v>46024</v>
      </c>
      <c r="B12" s="11" t="s">
        <v>101</v>
      </c>
      <c r="C12" s="37"/>
      <c r="D12" s="37">
        <v>18384640</v>
      </c>
      <c r="E12" s="37">
        <f t="shared" si="0"/>
        <v>54346724</v>
      </c>
      <c r="F12" s="41">
        <v>3898143</v>
      </c>
      <c r="G12" s="38" t="s">
        <v>93</v>
      </c>
      <c r="H12" s="38" t="s">
        <v>42</v>
      </c>
    </row>
    <row r="13" spans="1:8" s="12" customFormat="1" x14ac:dyDescent="0.35">
      <c r="A13" s="35">
        <v>46035</v>
      </c>
      <c r="B13" s="11" t="s">
        <v>63</v>
      </c>
      <c r="C13" s="37"/>
      <c r="D13" s="37">
        <v>1067000</v>
      </c>
      <c r="E13" s="37">
        <f t="shared" si="0"/>
        <v>53279724</v>
      </c>
      <c r="F13" s="41"/>
      <c r="G13" s="38" t="s">
        <v>173</v>
      </c>
      <c r="H13" s="38" t="s">
        <v>150</v>
      </c>
    </row>
    <row r="14" spans="1:8" s="12" customFormat="1" x14ac:dyDescent="0.35">
      <c r="A14" s="35">
        <v>46045</v>
      </c>
      <c r="B14" s="11" t="s">
        <v>102</v>
      </c>
      <c r="C14" s="37">
        <v>72500000</v>
      </c>
      <c r="D14" s="37"/>
      <c r="E14" s="37">
        <f t="shared" si="0"/>
        <v>125779724</v>
      </c>
      <c r="F14" s="41"/>
      <c r="G14" s="38" t="s">
        <v>103</v>
      </c>
      <c r="H14" s="38" t="s">
        <v>76</v>
      </c>
    </row>
    <row r="15" spans="1:8" s="12" customFormat="1" x14ac:dyDescent="0.35">
      <c r="A15" s="35">
        <v>46048</v>
      </c>
      <c r="B15" s="11" t="s">
        <v>104</v>
      </c>
      <c r="C15" s="37">
        <v>30000000</v>
      </c>
      <c r="D15" s="37"/>
      <c r="E15" s="37">
        <f t="shared" si="0"/>
        <v>155779724</v>
      </c>
      <c r="F15" s="41"/>
      <c r="G15" s="38" t="s">
        <v>105</v>
      </c>
      <c r="H15" s="38" t="s">
        <v>76</v>
      </c>
    </row>
    <row r="16" spans="1:8" s="12" customFormat="1" x14ac:dyDescent="0.35">
      <c r="A16" s="35">
        <v>46048</v>
      </c>
      <c r="B16" s="11" t="s">
        <v>104</v>
      </c>
      <c r="C16" s="37">
        <v>30000000</v>
      </c>
      <c r="D16" s="37"/>
      <c r="E16" s="37">
        <f t="shared" si="0"/>
        <v>185779724</v>
      </c>
      <c r="F16" s="41"/>
      <c r="G16" s="38" t="s">
        <v>106</v>
      </c>
      <c r="H16" s="38" t="s">
        <v>76</v>
      </c>
    </row>
    <row r="17" spans="1:8" s="12" customFormat="1" x14ac:dyDescent="0.35">
      <c r="A17" s="35">
        <v>46054</v>
      </c>
      <c r="B17" s="11" t="s">
        <v>67</v>
      </c>
      <c r="C17" s="37"/>
      <c r="D17" s="37">
        <v>5500</v>
      </c>
      <c r="E17" s="37">
        <f t="shared" si="0"/>
        <v>185774224</v>
      </c>
      <c r="F17" s="41"/>
      <c r="G17" s="38" t="s">
        <v>67</v>
      </c>
      <c r="H17" s="38" t="s">
        <v>67</v>
      </c>
    </row>
    <row r="18" spans="1:8" s="12" customFormat="1" x14ac:dyDescent="0.35">
      <c r="A18" s="35">
        <v>46055</v>
      </c>
      <c r="B18" s="11" t="s">
        <v>104</v>
      </c>
      <c r="C18" s="37">
        <v>14000000</v>
      </c>
      <c r="D18" s="37"/>
      <c r="E18" s="37">
        <f t="shared" si="0"/>
        <v>199774224</v>
      </c>
      <c r="F18" s="41"/>
      <c r="G18" s="38" t="s">
        <v>107</v>
      </c>
      <c r="H18" s="38" t="s">
        <v>76</v>
      </c>
    </row>
    <row r="19" spans="1:8" s="12" customFormat="1" x14ac:dyDescent="0.35">
      <c r="A19" s="35">
        <v>46056</v>
      </c>
      <c r="B19" s="11" t="s">
        <v>108</v>
      </c>
      <c r="C19" s="37">
        <v>15300000</v>
      </c>
      <c r="D19" s="37"/>
      <c r="E19" s="37">
        <f t="shared" si="0"/>
        <v>215074224</v>
      </c>
      <c r="F19" s="41"/>
      <c r="G19" s="38" t="s">
        <v>109</v>
      </c>
      <c r="H19" s="38" t="s">
        <v>76</v>
      </c>
    </row>
    <row r="20" spans="1:8" s="12" customFormat="1" x14ac:dyDescent="0.35">
      <c r="A20" s="35">
        <v>46058</v>
      </c>
      <c r="B20" s="11" t="s">
        <v>110</v>
      </c>
      <c r="C20" s="37"/>
      <c r="D20" s="37">
        <v>202000000</v>
      </c>
      <c r="E20" s="37">
        <f t="shared" si="0"/>
        <v>13074224</v>
      </c>
      <c r="F20" s="41"/>
      <c r="G20" s="38" t="s">
        <v>111</v>
      </c>
      <c r="H20" s="38" t="s">
        <v>110</v>
      </c>
    </row>
    <row r="21" spans="1:8" s="12" customFormat="1" x14ac:dyDescent="0.35">
      <c r="A21" s="35">
        <v>46064</v>
      </c>
      <c r="B21" s="11" t="s">
        <v>108</v>
      </c>
      <c r="C21" s="37">
        <v>30600000</v>
      </c>
      <c r="D21" s="37"/>
      <c r="E21" s="37">
        <f t="shared" si="0"/>
        <v>43674224</v>
      </c>
      <c r="F21" s="41"/>
      <c r="G21" s="38" t="s">
        <v>112</v>
      </c>
      <c r="H21" s="38" t="s">
        <v>76</v>
      </c>
    </row>
    <row r="22" spans="1:8" s="12" customFormat="1" x14ac:dyDescent="0.35">
      <c r="A22" s="35">
        <v>46064</v>
      </c>
      <c r="B22" s="11" t="s">
        <v>7</v>
      </c>
      <c r="C22" s="37"/>
      <c r="D22" s="37">
        <v>3588261</v>
      </c>
      <c r="E22" s="37">
        <f t="shared" si="0"/>
        <v>40085963</v>
      </c>
      <c r="F22" s="41"/>
      <c r="G22" s="38" t="s">
        <v>155</v>
      </c>
      <c r="H22" s="38" t="s">
        <v>77</v>
      </c>
    </row>
    <row r="23" spans="1:8" s="12" customFormat="1" x14ac:dyDescent="0.35">
      <c r="A23" s="35">
        <v>46064</v>
      </c>
      <c r="B23" s="11" t="s">
        <v>7</v>
      </c>
      <c r="C23" s="37"/>
      <c r="D23" s="37">
        <v>1038681</v>
      </c>
      <c r="E23" s="37">
        <f t="shared" si="0"/>
        <v>39047282</v>
      </c>
      <c r="F23" s="41"/>
      <c r="G23" s="38" t="s">
        <v>156</v>
      </c>
      <c r="H23" s="38" t="s">
        <v>77</v>
      </c>
    </row>
    <row r="24" spans="1:8" s="12" customFormat="1" x14ac:dyDescent="0.35">
      <c r="A24" s="35">
        <v>46064</v>
      </c>
      <c r="B24" s="11" t="s">
        <v>7</v>
      </c>
      <c r="C24" s="37"/>
      <c r="D24" s="37">
        <v>2006594</v>
      </c>
      <c r="E24" s="37">
        <f t="shared" si="0"/>
        <v>37040688</v>
      </c>
      <c r="F24" s="41"/>
      <c r="G24" s="38" t="s">
        <v>157</v>
      </c>
      <c r="H24" s="38" t="s">
        <v>77</v>
      </c>
    </row>
    <row r="25" spans="1:8" s="12" customFormat="1" x14ac:dyDescent="0.35">
      <c r="A25" s="35">
        <v>46064</v>
      </c>
      <c r="B25" s="11" t="s">
        <v>7</v>
      </c>
      <c r="C25" s="37"/>
      <c r="D25" s="39">
        <v>2007439</v>
      </c>
      <c r="E25" s="37">
        <f t="shared" si="0"/>
        <v>35033249</v>
      </c>
      <c r="F25" s="11"/>
      <c r="G25" s="11" t="s">
        <v>158</v>
      </c>
      <c r="H25" s="11" t="s">
        <v>77</v>
      </c>
    </row>
    <row r="26" spans="1:8" s="12" customFormat="1" x14ac:dyDescent="0.35">
      <c r="A26" s="35">
        <v>46064</v>
      </c>
      <c r="B26" s="11" t="s">
        <v>7</v>
      </c>
      <c r="C26" s="37"/>
      <c r="D26" s="39">
        <v>1224773</v>
      </c>
      <c r="E26" s="37">
        <f t="shared" si="0"/>
        <v>33808476</v>
      </c>
      <c r="F26" s="11"/>
      <c r="G26" s="38" t="s">
        <v>159</v>
      </c>
      <c r="H26" s="38" t="s">
        <v>77</v>
      </c>
    </row>
    <row r="27" spans="1:8" s="12" customFormat="1" x14ac:dyDescent="0.35">
      <c r="A27" s="35">
        <v>46069</v>
      </c>
      <c r="B27" s="11" t="s">
        <v>108</v>
      </c>
      <c r="C27" s="37">
        <v>1000000</v>
      </c>
      <c r="D27" s="39"/>
      <c r="E27" s="37">
        <f t="shared" si="0"/>
        <v>34808476</v>
      </c>
      <c r="F27" s="11"/>
      <c r="G27" s="11" t="s">
        <v>113</v>
      </c>
      <c r="H27" s="11" t="s">
        <v>76</v>
      </c>
    </row>
    <row r="28" spans="1:8" s="12" customFormat="1" x14ac:dyDescent="0.35">
      <c r="A28" s="35">
        <v>46065</v>
      </c>
      <c r="B28" s="11" t="s">
        <v>7</v>
      </c>
      <c r="C28" s="37"/>
      <c r="D28" s="39">
        <v>2399616</v>
      </c>
      <c r="E28" s="37">
        <f t="shared" si="0"/>
        <v>32408860</v>
      </c>
      <c r="F28" s="11"/>
      <c r="G28" s="11" t="s">
        <v>160</v>
      </c>
      <c r="H28" s="11" t="s">
        <v>77</v>
      </c>
    </row>
    <row r="29" spans="1:8" s="12" customFormat="1" x14ac:dyDescent="0.35">
      <c r="A29" s="58">
        <v>46065</v>
      </c>
      <c r="B29" s="59" t="s">
        <v>99</v>
      </c>
      <c r="C29" s="60"/>
      <c r="D29" s="63">
        <v>1550000</v>
      </c>
      <c r="E29" s="37">
        <f t="shared" si="0"/>
        <v>30858860</v>
      </c>
      <c r="F29" s="59"/>
      <c r="G29" s="62" t="s">
        <v>100</v>
      </c>
      <c r="H29" s="62" t="s">
        <v>100</v>
      </c>
    </row>
    <row r="30" spans="1:8" s="12" customFormat="1" x14ac:dyDescent="0.35">
      <c r="A30" s="35">
        <v>46066</v>
      </c>
      <c r="B30" s="11" t="s">
        <v>7</v>
      </c>
      <c r="C30" s="37"/>
      <c r="D30" s="39">
        <v>1953418</v>
      </c>
      <c r="E30" s="37">
        <f t="shared" si="0"/>
        <v>28905442</v>
      </c>
      <c r="F30" s="11"/>
      <c r="G30" s="11" t="s">
        <v>161</v>
      </c>
      <c r="H30" s="11" t="s">
        <v>77</v>
      </c>
    </row>
    <row r="31" spans="1:8" s="12" customFormat="1" x14ac:dyDescent="0.35">
      <c r="A31" s="35">
        <v>46070</v>
      </c>
      <c r="B31" s="11" t="s">
        <v>7</v>
      </c>
      <c r="C31" s="37"/>
      <c r="D31" s="39">
        <v>2011384</v>
      </c>
      <c r="E31" s="37">
        <f t="shared" si="0"/>
        <v>26894058</v>
      </c>
      <c r="F31" s="11"/>
      <c r="G31" s="11" t="s">
        <v>162</v>
      </c>
      <c r="H31" s="11" t="s">
        <v>77</v>
      </c>
    </row>
    <row r="32" spans="1:8" s="12" customFormat="1" x14ac:dyDescent="0.35">
      <c r="A32" s="35">
        <v>46072</v>
      </c>
      <c r="B32" s="11" t="s">
        <v>7</v>
      </c>
      <c r="C32" s="37"/>
      <c r="D32" s="39">
        <v>1053192</v>
      </c>
      <c r="E32" s="37">
        <f t="shared" si="0"/>
        <v>25840866</v>
      </c>
      <c r="F32" s="11"/>
      <c r="G32" s="11" t="s">
        <v>164</v>
      </c>
      <c r="H32" s="11" t="s">
        <v>77</v>
      </c>
    </row>
    <row r="33" spans="1:8" s="12" customFormat="1" x14ac:dyDescent="0.35">
      <c r="A33" s="35">
        <v>46073</v>
      </c>
      <c r="B33" s="11" t="s">
        <v>7</v>
      </c>
      <c r="C33" s="37"/>
      <c r="D33" s="39">
        <v>3574035</v>
      </c>
      <c r="E33" s="37">
        <f t="shared" si="0"/>
        <v>22266831</v>
      </c>
      <c r="F33" s="11"/>
      <c r="G33" s="11" t="s">
        <v>163</v>
      </c>
      <c r="H33" s="11" t="s">
        <v>77</v>
      </c>
    </row>
    <row r="34" spans="1:8" s="12" customFormat="1" x14ac:dyDescent="0.35">
      <c r="A34" s="35">
        <v>46077</v>
      </c>
      <c r="B34" s="11" t="s">
        <v>152</v>
      </c>
      <c r="C34" s="37">
        <v>3200000</v>
      </c>
      <c r="D34" s="39"/>
      <c r="E34" s="37">
        <f t="shared" si="0"/>
        <v>25466831</v>
      </c>
      <c r="F34" s="11"/>
      <c r="G34" s="11" t="s">
        <v>153</v>
      </c>
      <c r="H34" s="11" t="s">
        <v>76</v>
      </c>
    </row>
    <row r="35" spans="1:8" s="12" customFormat="1" x14ac:dyDescent="0.35">
      <c r="A35" s="35">
        <v>46077</v>
      </c>
      <c r="B35" s="11" t="s">
        <v>7</v>
      </c>
      <c r="C35" s="37"/>
      <c r="D35" s="39">
        <v>153161</v>
      </c>
      <c r="E35" s="37">
        <f t="shared" si="0"/>
        <v>25313670</v>
      </c>
      <c r="F35" s="11"/>
      <c r="G35" s="11" t="s">
        <v>165</v>
      </c>
      <c r="H35" s="11" t="s">
        <v>77</v>
      </c>
    </row>
    <row r="36" spans="1:8" s="12" customFormat="1" x14ac:dyDescent="0.35">
      <c r="A36" s="35">
        <v>46078</v>
      </c>
      <c r="B36" s="11" t="s">
        <v>38</v>
      </c>
      <c r="C36" s="37"/>
      <c r="D36" s="39">
        <v>20000000</v>
      </c>
      <c r="E36" s="37">
        <f t="shared" si="0"/>
        <v>5313670</v>
      </c>
      <c r="F36" s="11">
        <v>3898144</v>
      </c>
      <c r="G36" s="11" t="s">
        <v>114</v>
      </c>
      <c r="H36" s="11" t="s">
        <v>81</v>
      </c>
    </row>
    <row r="37" spans="1:8" s="12" customFormat="1" x14ac:dyDescent="0.35">
      <c r="A37" s="35">
        <v>46079</v>
      </c>
      <c r="B37" s="11" t="s">
        <v>115</v>
      </c>
      <c r="C37" s="37"/>
      <c r="D37" s="39">
        <v>20000</v>
      </c>
      <c r="E37" s="37">
        <f t="shared" si="0"/>
        <v>5293670</v>
      </c>
      <c r="F37" s="11"/>
      <c r="G37" s="11"/>
      <c r="H37" s="11" t="s">
        <v>67</v>
      </c>
    </row>
    <row r="38" spans="1:8" s="12" customFormat="1" x14ac:dyDescent="0.35">
      <c r="A38" s="35">
        <v>46082</v>
      </c>
      <c r="B38" s="11" t="s">
        <v>67</v>
      </c>
      <c r="C38" s="37"/>
      <c r="D38" s="39">
        <v>5500</v>
      </c>
      <c r="E38" s="37">
        <f t="shared" si="0"/>
        <v>5288170</v>
      </c>
      <c r="F38" s="11"/>
      <c r="G38" s="38" t="s">
        <v>67</v>
      </c>
      <c r="H38" s="38" t="s">
        <v>67</v>
      </c>
    </row>
    <row r="39" spans="1:8" s="12" customFormat="1" x14ac:dyDescent="0.35">
      <c r="A39" s="35">
        <v>46085</v>
      </c>
      <c r="B39" s="11" t="s">
        <v>104</v>
      </c>
      <c r="C39" s="37">
        <v>358160</v>
      </c>
      <c r="D39" s="39"/>
      <c r="E39" s="37">
        <f t="shared" si="0"/>
        <v>5646330</v>
      </c>
      <c r="F39" s="11"/>
      <c r="G39" s="11" t="s">
        <v>154</v>
      </c>
      <c r="H39" s="11" t="s">
        <v>76</v>
      </c>
    </row>
    <row r="40" spans="1:8" s="12" customFormat="1" x14ac:dyDescent="0.35">
      <c r="A40" s="35">
        <v>46085</v>
      </c>
      <c r="B40" s="11" t="s">
        <v>7</v>
      </c>
      <c r="C40" s="37"/>
      <c r="D40" s="39">
        <v>1808977</v>
      </c>
      <c r="E40" s="37">
        <f t="shared" si="0"/>
        <v>3837353</v>
      </c>
      <c r="F40" s="11"/>
      <c r="G40" s="11" t="s">
        <v>166</v>
      </c>
      <c r="H40" s="11" t="s">
        <v>77</v>
      </c>
    </row>
    <row r="41" spans="1:8" s="12" customFormat="1" x14ac:dyDescent="0.35">
      <c r="A41" s="58">
        <v>46085</v>
      </c>
      <c r="B41" s="59" t="s">
        <v>99</v>
      </c>
      <c r="C41" s="60"/>
      <c r="D41" s="63">
        <v>1250000</v>
      </c>
      <c r="E41" s="37">
        <f t="shared" si="0"/>
        <v>2587353</v>
      </c>
      <c r="F41" s="59"/>
      <c r="G41" s="62" t="s">
        <v>100</v>
      </c>
      <c r="H41" s="62" t="s">
        <v>100</v>
      </c>
    </row>
    <row r="42" spans="1:8" s="12" customFormat="1" x14ac:dyDescent="0.35">
      <c r="A42" s="35">
        <v>46113</v>
      </c>
      <c r="B42" s="11" t="s">
        <v>67</v>
      </c>
      <c r="C42" s="37"/>
      <c r="D42" s="39">
        <v>5500</v>
      </c>
      <c r="E42" s="37">
        <f t="shared" si="0"/>
        <v>2581853</v>
      </c>
      <c r="F42" s="11"/>
      <c r="G42" s="11" t="s">
        <v>67</v>
      </c>
      <c r="H42" s="11" t="s">
        <v>67</v>
      </c>
    </row>
    <row r="43" spans="1:8" s="12" customFormat="1" x14ac:dyDescent="0.35">
      <c r="A43" s="35">
        <v>46128</v>
      </c>
      <c r="B43" s="11" t="s">
        <v>104</v>
      </c>
      <c r="C43" s="39">
        <v>50000000</v>
      </c>
      <c r="D43" s="39"/>
      <c r="E43" s="37">
        <f t="shared" si="0"/>
        <v>52581853</v>
      </c>
      <c r="F43" s="11"/>
      <c r="G43" s="38" t="s">
        <v>116</v>
      </c>
      <c r="H43" s="38" t="s">
        <v>76</v>
      </c>
    </row>
    <row r="44" spans="1:8" s="12" customFormat="1" x14ac:dyDescent="0.35">
      <c r="A44" s="35">
        <v>46129</v>
      </c>
      <c r="B44" s="11" t="s">
        <v>117</v>
      </c>
      <c r="C44" s="39">
        <v>25000000</v>
      </c>
      <c r="D44" s="39"/>
      <c r="E44" s="37">
        <f t="shared" si="0"/>
        <v>77581853</v>
      </c>
      <c r="F44" s="11"/>
      <c r="G44" s="38" t="s">
        <v>118</v>
      </c>
      <c r="H44" s="38" t="s">
        <v>76</v>
      </c>
    </row>
    <row r="45" spans="1:8" s="12" customFormat="1" x14ac:dyDescent="0.35">
      <c r="A45" s="35">
        <v>46129</v>
      </c>
      <c r="B45" s="11" t="s">
        <v>117</v>
      </c>
      <c r="C45" s="39">
        <v>50000000</v>
      </c>
      <c r="D45" s="39"/>
      <c r="E45" s="37">
        <f t="shared" si="0"/>
        <v>127581853</v>
      </c>
      <c r="F45" s="11"/>
      <c r="G45" s="38" t="s">
        <v>119</v>
      </c>
      <c r="H45" s="38" t="s">
        <v>76</v>
      </c>
    </row>
    <row r="46" spans="1:8" s="12" customFormat="1" x14ac:dyDescent="0.35">
      <c r="A46" s="35">
        <v>46132</v>
      </c>
      <c r="B46" s="11" t="s">
        <v>104</v>
      </c>
      <c r="C46" s="39">
        <v>27500000</v>
      </c>
      <c r="D46" s="39"/>
      <c r="E46" s="37">
        <f t="shared" si="0"/>
        <v>155081853</v>
      </c>
      <c r="F46" s="11"/>
      <c r="G46" s="38" t="s">
        <v>120</v>
      </c>
      <c r="H46" s="38" t="s">
        <v>76</v>
      </c>
    </row>
    <row r="47" spans="1:8" s="12" customFormat="1" x14ac:dyDescent="0.35">
      <c r="A47" s="35">
        <v>46133</v>
      </c>
      <c r="B47" s="11" t="s">
        <v>121</v>
      </c>
      <c r="C47" s="39">
        <v>15360000</v>
      </c>
      <c r="D47" s="39"/>
      <c r="E47" s="37">
        <f t="shared" si="0"/>
        <v>170441853</v>
      </c>
      <c r="F47" s="11"/>
      <c r="G47" s="38" t="s">
        <v>122</v>
      </c>
      <c r="H47" s="38" t="s">
        <v>76</v>
      </c>
    </row>
    <row r="48" spans="1:8" s="12" customFormat="1" x14ac:dyDescent="0.35">
      <c r="A48" s="35">
        <v>46132</v>
      </c>
      <c r="B48" s="11" t="s">
        <v>121</v>
      </c>
      <c r="C48" s="39">
        <v>7680000</v>
      </c>
      <c r="D48" s="39"/>
      <c r="E48" s="37">
        <f t="shared" si="0"/>
        <v>178121853</v>
      </c>
      <c r="F48" s="11"/>
      <c r="G48" s="38" t="s">
        <v>122</v>
      </c>
      <c r="H48" s="38" t="s">
        <v>76</v>
      </c>
    </row>
    <row r="49" spans="1:8" s="12" customFormat="1" x14ac:dyDescent="0.35">
      <c r="A49" s="35">
        <v>46134</v>
      </c>
      <c r="B49" s="11" t="s">
        <v>121</v>
      </c>
      <c r="C49" s="39">
        <v>7680000</v>
      </c>
      <c r="D49" s="39"/>
      <c r="E49" s="37">
        <f t="shared" si="0"/>
        <v>185801853</v>
      </c>
      <c r="F49" s="11"/>
      <c r="G49" s="38" t="s">
        <v>123</v>
      </c>
      <c r="H49" s="38" t="s">
        <v>76</v>
      </c>
    </row>
    <row r="50" spans="1:8" s="12" customFormat="1" x14ac:dyDescent="0.35">
      <c r="A50" s="35">
        <v>46136</v>
      </c>
      <c r="B50" s="11" t="s">
        <v>124</v>
      </c>
      <c r="C50" s="39">
        <v>25000000</v>
      </c>
      <c r="D50" s="39"/>
      <c r="E50" s="37">
        <f t="shared" si="0"/>
        <v>210801853</v>
      </c>
      <c r="F50" s="11"/>
      <c r="G50" s="11" t="s">
        <v>78</v>
      </c>
      <c r="H50" s="11" t="s">
        <v>78</v>
      </c>
    </row>
    <row r="51" spans="1:8" s="12" customFormat="1" x14ac:dyDescent="0.35">
      <c r="A51" s="35">
        <v>46140</v>
      </c>
      <c r="B51" s="11" t="s">
        <v>125</v>
      </c>
      <c r="C51" s="36"/>
      <c r="D51" s="37">
        <v>1500000</v>
      </c>
      <c r="E51" s="37">
        <f t="shared" si="0"/>
        <v>209301853</v>
      </c>
      <c r="F51" s="11"/>
      <c r="G51" s="11" t="s">
        <v>126</v>
      </c>
      <c r="H51" s="11" t="s">
        <v>150</v>
      </c>
    </row>
    <row r="52" spans="1:8" s="12" customFormat="1" x14ac:dyDescent="0.35">
      <c r="A52" s="35">
        <v>46139</v>
      </c>
      <c r="B52" s="11" t="s">
        <v>110</v>
      </c>
      <c r="C52" s="37"/>
      <c r="D52" s="37">
        <v>202000000</v>
      </c>
      <c r="E52" s="37">
        <f t="shared" si="0"/>
        <v>7301853</v>
      </c>
      <c r="F52" s="11"/>
      <c r="G52" s="11" t="s">
        <v>127</v>
      </c>
      <c r="H52" s="11" t="s">
        <v>110</v>
      </c>
    </row>
    <row r="53" spans="1:8" s="12" customFormat="1" x14ac:dyDescent="0.35">
      <c r="A53" s="35">
        <v>46139</v>
      </c>
      <c r="B53" s="11" t="s">
        <v>128</v>
      </c>
      <c r="C53" s="36"/>
      <c r="D53" s="37">
        <v>4538163</v>
      </c>
      <c r="E53" s="37">
        <f t="shared" si="0"/>
        <v>2763690</v>
      </c>
      <c r="F53" s="11"/>
      <c r="G53" s="11" t="s">
        <v>129</v>
      </c>
      <c r="H53" s="11" t="s">
        <v>150</v>
      </c>
    </row>
    <row r="54" spans="1:8" s="12" customFormat="1" x14ac:dyDescent="0.35">
      <c r="A54" s="35">
        <v>46139</v>
      </c>
      <c r="B54" s="11" t="s">
        <v>67</v>
      </c>
      <c r="C54" s="37"/>
      <c r="D54" s="37">
        <v>4950</v>
      </c>
      <c r="E54" s="37">
        <f t="shared" si="0"/>
        <v>2758740</v>
      </c>
      <c r="F54" s="11"/>
      <c r="G54" s="11" t="s">
        <v>67</v>
      </c>
      <c r="H54" s="11" t="s">
        <v>67</v>
      </c>
    </row>
    <row r="55" spans="1:8" s="12" customFormat="1" x14ac:dyDescent="0.35">
      <c r="A55" s="35">
        <v>46143</v>
      </c>
      <c r="B55" s="11" t="s">
        <v>67</v>
      </c>
      <c r="C55" s="37"/>
      <c r="D55" s="37">
        <v>5500</v>
      </c>
      <c r="E55" s="37">
        <f t="shared" si="0"/>
        <v>2753240</v>
      </c>
      <c r="F55" s="11"/>
      <c r="G55" s="11" t="s">
        <v>67</v>
      </c>
      <c r="H55" s="11" t="s">
        <v>67</v>
      </c>
    </row>
    <row r="56" spans="1:8" s="12" customFormat="1" x14ac:dyDescent="0.35">
      <c r="A56" s="35">
        <v>46147</v>
      </c>
      <c r="B56" s="11" t="s">
        <v>124</v>
      </c>
      <c r="C56" s="39">
        <v>500000</v>
      </c>
      <c r="D56" s="39"/>
      <c r="E56" s="37">
        <f t="shared" si="0"/>
        <v>3253240</v>
      </c>
      <c r="F56" s="11"/>
      <c r="G56" s="11" t="s">
        <v>78</v>
      </c>
      <c r="H56" s="11" t="s">
        <v>78</v>
      </c>
    </row>
    <row r="57" spans="1:8" s="12" customFormat="1" x14ac:dyDescent="0.35">
      <c r="A57" s="58">
        <v>46147</v>
      </c>
      <c r="B57" s="59" t="s">
        <v>99</v>
      </c>
      <c r="C57" s="60"/>
      <c r="D57" s="60">
        <v>2930000</v>
      </c>
      <c r="E57" s="37">
        <f t="shared" si="0"/>
        <v>323240</v>
      </c>
      <c r="F57" s="59"/>
      <c r="G57" s="59" t="s">
        <v>100</v>
      </c>
      <c r="H57" s="59" t="s">
        <v>100</v>
      </c>
    </row>
    <row r="58" spans="1:8" s="12" customFormat="1" x14ac:dyDescent="0.35">
      <c r="A58" s="35">
        <v>46154</v>
      </c>
      <c r="B58" s="11" t="s">
        <v>124</v>
      </c>
      <c r="C58" s="39">
        <v>3500000</v>
      </c>
      <c r="D58" s="39"/>
      <c r="E58" s="37">
        <f t="shared" si="0"/>
        <v>3823240</v>
      </c>
      <c r="F58" s="11"/>
      <c r="G58" s="11" t="s">
        <v>78</v>
      </c>
      <c r="H58" s="11" t="s">
        <v>78</v>
      </c>
    </row>
    <row r="59" spans="1:8" s="12" customFormat="1" x14ac:dyDescent="0.35">
      <c r="A59" s="35">
        <v>46154</v>
      </c>
      <c r="B59" s="11" t="s">
        <v>6</v>
      </c>
      <c r="C59" s="37"/>
      <c r="D59" s="37">
        <v>1150000</v>
      </c>
      <c r="E59" s="37">
        <f t="shared" si="0"/>
        <v>2673240</v>
      </c>
      <c r="F59" s="11"/>
      <c r="G59" s="11" t="s">
        <v>32</v>
      </c>
      <c r="H59" s="11" t="s">
        <v>62</v>
      </c>
    </row>
    <row r="60" spans="1:8" x14ac:dyDescent="0.35">
      <c r="A60" s="35">
        <v>46157</v>
      </c>
      <c r="B60" s="11" t="s">
        <v>130</v>
      </c>
      <c r="C60" s="37"/>
      <c r="D60" s="37">
        <v>2036146</v>
      </c>
      <c r="E60" s="37">
        <f t="shared" si="0"/>
        <v>637094</v>
      </c>
      <c r="F60" s="11"/>
      <c r="G60" s="11" t="s">
        <v>131</v>
      </c>
      <c r="H60" s="11" t="s">
        <v>62</v>
      </c>
    </row>
    <row r="61" spans="1:8" x14ac:dyDescent="0.35">
      <c r="A61" s="35">
        <v>46170</v>
      </c>
      <c r="B61" s="11" t="s">
        <v>15</v>
      </c>
      <c r="C61" s="37"/>
      <c r="D61" s="37">
        <v>279709</v>
      </c>
      <c r="E61" s="37">
        <f t="shared" si="0"/>
        <v>357385</v>
      </c>
      <c r="F61" s="11"/>
      <c r="G61" s="11" t="s">
        <v>132</v>
      </c>
      <c r="H61" s="11" t="s">
        <v>62</v>
      </c>
    </row>
    <row r="62" spans="1:8" x14ac:dyDescent="0.35">
      <c r="A62" s="64">
        <v>46174</v>
      </c>
      <c r="B62" s="65" t="s">
        <v>67</v>
      </c>
      <c r="C62" s="66"/>
      <c r="D62" s="66">
        <v>5500</v>
      </c>
      <c r="E62" s="66">
        <f t="shared" si="0"/>
        <v>351885</v>
      </c>
      <c r="F62" s="65"/>
      <c r="G62" s="65" t="s">
        <v>67</v>
      </c>
      <c r="H62" s="65" t="s">
        <v>67</v>
      </c>
    </row>
    <row r="63" spans="1:8" s="12" customFormat="1" x14ac:dyDescent="0.35">
      <c r="A63" s="35">
        <v>46177</v>
      </c>
      <c r="B63" s="11" t="s">
        <v>133</v>
      </c>
      <c r="C63" s="37">
        <v>54916680</v>
      </c>
      <c r="D63" s="37"/>
      <c r="E63" s="37">
        <f t="shared" si="0"/>
        <v>55268565</v>
      </c>
      <c r="F63" s="11"/>
      <c r="G63" s="11" t="s">
        <v>134</v>
      </c>
      <c r="H63" s="11" t="s">
        <v>151</v>
      </c>
    </row>
    <row r="64" spans="1:8" s="12" customFormat="1" x14ac:dyDescent="0.35">
      <c r="A64" s="35">
        <v>46177</v>
      </c>
      <c r="B64" s="11" t="s">
        <v>130</v>
      </c>
      <c r="C64" s="39"/>
      <c r="D64" s="39">
        <v>1328459</v>
      </c>
      <c r="E64" s="37">
        <f t="shared" si="0"/>
        <v>53940106</v>
      </c>
      <c r="F64" s="11">
        <v>3898151</v>
      </c>
      <c r="G64" s="11" t="s">
        <v>135</v>
      </c>
      <c r="H64" s="11" t="s">
        <v>75</v>
      </c>
    </row>
    <row r="65" spans="1:8" s="12" customFormat="1" x14ac:dyDescent="0.35">
      <c r="A65" s="35">
        <v>46178</v>
      </c>
      <c r="B65" s="11" t="s">
        <v>136</v>
      </c>
      <c r="C65" s="39"/>
      <c r="D65" s="39">
        <v>10000000</v>
      </c>
      <c r="E65" s="37">
        <f t="shared" si="0"/>
        <v>43940106</v>
      </c>
      <c r="F65" s="11">
        <v>3898152</v>
      </c>
      <c r="G65" s="11" t="s">
        <v>137</v>
      </c>
      <c r="H65" s="11" t="s">
        <v>81</v>
      </c>
    </row>
    <row r="66" spans="1:8" s="12" customFormat="1" x14ac:dyDescent="0.35">
      <c r="A66" s="35">
        <v>46177</v>
      </c>
      <c r="B66" s="11" t="s">
        <v>7</v>
      </c>
      <c r="C66" s="39"/>
      <c r="D66" s="39">
        <v>8357398</v>
      </c>
      <c r="E66" s="37">
        <f t="shared" si="0"/>
        <v>35582708</v>
      </c>
      <c r="F66" s="11"/>
      <c r="G66" s="11" t="s">
        <v>138</v>
      </c>
      <c r="H66" s="11" t="s">
        <v>77</v>
      </c>
    </row>
    <row r="67" spans="1:8" s="12" customFormat="1" x14ac:dyDescent="0.35">
      <c r="A67" s="35">
        <v>46178</v>
      </c>
      <c r="B67" s="11" t="s">
        <v>7</v>
      </c>
      <c r="C67" s="39"/>
      <c r="D67" s="39">
        <v>8298216</v>
      </c>
      <c r="E67" s="37">
        <f t="shared" si="0"/>
        <v>27284492</v>
      </c>
      <c r="F67" s="11"/>
      <c r="G67" s="11" t="s">
        <v>139</v>
      </c>
      <c r="H67" s="11" t="s">
        <v>77</v>
      </c>
    </row>
    <row r="68" spans="1:8" s="12" customFormat="1" x14ac:dyDescent="0.35">
      <c r="A68" s="35">
        <v>46178</v>
      </c>
      <c r="B68" s="11" t="s">
        <v>7</v>
      </c>
      <c r="C68" s="39"/>
      <c r="D68" s="39">
        <v>8236768</v>
      </c>
      <c r="E68" s="37">
        <f t="shared" si="0"/>
        <v>19047724</v>
      </c>
      <c r="F68" s="11"/>
      <c r="G68" s="11" t="s">
        <v>140</v>
      </c>
      <c r="H68" s="11" t="s">
        <v>77</v>
      </c>
    </row>
    <row r="69" spans="1:8" s="12" customFormat="1" x14ac:dyDescent="0.35">
      <c r="A69" s="35">
        <v>46178</v>
      </c>
      <c r="B69" s="11" t="s">
        <v>7</v>
      </c>
      <c r="C69" s="39"/>
      <c r="D69" s="39">
        <v>8278183</v>
      </c>
      <c r="E69" s="37">
        <f t="shared" ref="E69:E96" si="1">E68+C69-D69</f>
        <v>10769541</v>
      </c>
      <c r="F69" s="11"/>
      <c r="G69" s="11" t="s">
        <v>141</v>
      </c>
      <c r="H69" s="11" t="s">
        <v>77</v>
      </c>
    </row>
    <row r="70" spans="1:8" s="12" customFormat="1" x14ac:dyDescent="0.35">
      <c r="A70" s="35">
        <v>46177</v>
      </c>
      <c r="B70" s="11" t="s">
        <v>7</v>
      </c>
      <c r="C70" s="39"/>
      <c r="D70" s="39">
        <v>8767837</v>
      </c>
      <c r="E70" s="37">
        <f t="shared" si="1"/>
        <v>2001704</v>
      </c>
      <c r="F70" s="11"/>
      <c r="G70" s="11" t="s">
        <v>142</v>
      </c>
      <c r="H70" s="11" t="s">
        <v>77</v>
      </c>
    </row>
    <row r="71" spans="1:8" s="12" customFormat="1" x14ac:dyDescent="0.35">
      <c r="A71" s="35">
        <v>46178</v>
      </c>
      <c r="B71" s="11" t="s">
        <v>7</v>
      </c>
      <c r="C71" s="39"/>
      <c r="D71" s="39">
        <v>1330921</v>
      </c>
      <c r="E71" s="37">
        <f t="shared" si="1"/>
        <v>670783</v>
      </c>
      <c r="F71" s="11"/>
      <c r="G71" s="11" t="s">
        <v>143</v>
      </c>
      <c r="H71" s="11" t="s">
        <v>77</v>
      </c>
    </row>
    <row r="72" spans="1:8" s="12" customFormat="1" x14ac:dyDescent="0.35">
      <c r="A72" s="35">
        <v>46182</v>
      </c>
      <c r="B72" s="11" t="s">
        <v>144</v>
      </c>
      <c r="C72" s="39">
        <v>8000000</v>
      </c>
      <c r="D72" s="39"/>
      <c r="E72" s="37">
        <f t="shared" si="1"/>
        <v>8670783</v>
      </c>
      <c r="F72" s="11"/>
      <c r="G72" s="11" t="s">
        <v>145</v>
      </c>
      <c r="H72" s="11" t="s">
        <v>78</v>
      </c>
    </row>
    <row r="73" spans="1:8" s="12" customFormat="1" x14ac:dyDescent="0.35">
      <c r="A73" s="35">
        <v>46182</v>
      </c>
      <c r="B73" s="11" t="s">
        <v>130</v>
      </c>
      <c r="C73" s="39"/>
      <c r="D73" s="39">
        <v>2500000</v>
      </c>
      <c r="E73" s="37">
        <f t="shared" si="1"/>
        <v>6170783</v>
      </c>
      <c r="F73" s="11">
        <v>3898154</v>
      </c>
      <c r="G73" s="11" t="s">
        <v>146</v>
      </c>
      <c r="H73" s="11" t="s">
        <v>62</v>
      </c>
    </row>
    <row r="74" spans="1:8" s="12" customFormat="1" x14ac:dyDescent="0.35">
      <c r="A74" s="35">
        <v>46182</v>
      </c>
      <c r="B74" s="11" t="s">
        <v>130</v>
      </c>
      <c r="C74" s="39"/>
      <c r="D74" s="39">
        <v>984984</v>
      </c>
      <c r="E74" s="37">
        <f t="shared" si="1"/>
        <v>5185799</v>
      </c>
      <c r="F74" s="11">
        <v>3898153</v>
      </c>
      <c r="G74" s="11" t="s">
        <v>135</v>
      </c>
      <c r="H74" s="11" t="s">
        <v>75</v>
      </c>
    </row>
    <row r="75" spans="1:8" s="12" customFormat="1" x14ac:dyDescent="0.35">
      <c r="A75" s="35">
        <v>46182</v>
      </c>
      <c r="B75" s="11" t="s">
        <v>54</v>
      </c>
      <c r="C75" s="36"/>
      <c r="D75" s="39">
        <v>2467834</v>
      </c>
      <c r="E75" s="37">
        <f t="shared" si="1"/>
        <v>2717965</v>
      </c>
      <c r="F75" s="11">
        <v>3898155</v>
      </c>
      <c r="G75" s="11" t="s">
        <v>148</v>
      </c>
      <c r="H75" s="11" t="s">
        <v>149</v>
      </c>
    </row>
    <row r="76" spans="1:8" s="12" customFormat="1" x14ac:dyDescent="0.35">
      <c r="A76" s="35">
        <v>46182</v>
      </c>
      <c r="B76" s="11" t="s">
        <v>67</v>
      </c>
      <c r="C76" s="36"/>
      <c r="D76" s="39">
        <v>4950</v>
      </c>
      <c r="E76" s="37">
        <f t="shared" si="1"/>
        <v>2713015</v>
      </c>
      <c r="F76" s="11"/>
      <c r="G76" s="11"/>
      <c r="H76" s="11" t="s">
        <v>67</v>
      </c>
    </row>
    <row r="77" spans="1:8" s="12" customFormat="1" x14ac:dyDescent="0.35">
      <c r="A77" s="35">
        <v>46183</v>
      </c>
      <c r="B77" s="11" t="s">
        <v>168</v>
      </c>
      <c r="C77" s="36"/>
      <c r="D77" s="39">
        <v>43200</v>
      </c>
      <c r="E77" s="37">
        <f t="shared" si="1"/>
        <v>2669815</v>
      </c>
      <c r="F77" s="11"/>
      <c r="G77" s="11"/>
      <c r="H77" s="11" t="s">
        <v>168</v>
      </c>
    </row>
    <row r="78" spans="1:8" s="12" customFormat="1" x14ac:dyDescent="0.35">
      <c r="A78" s="35">
        <v>46183</v>
      </c>
      <c r="B78" s="11" t="s">
        <v>168</v>
      </c>
      <c r="C78" s="36"/>
      <c r="D78" s="39">
        <v>580285</v>
      </c>
      <c r="E78" s="37">
        <f t="shared" si="1"/>
        <v>2089530</v>
      </c>
      <c r="F78" s="11"/>
      <c r="G78" s="11"/>
      <c r="H78" s="11" t="s">
        <v>168</v>
      </c>
    </row>
    <row r="79" spans="1:8" s="12" customFormat="1" x14ac:dyDescent="0.35">
      <c r="A79" s="35">
        <v>46183</v>
      </c>
      <c r="B79" s="11" t="s">
        <v>168</v>
      </c>
      <c r="C79" s="36"/>
      <c r="D79" s="39">
        <v>1098946</v>
      </c>
      <c r="E79" s="37">
        <f t="shared" si="1"/>
        <v>990584</v>
      </c>
      <c r="F79" s="11"/>
      <c r="G79" s="11"/>
      <c r="H79" s="11" t="s">
        <v>168</v>
      </c>
    </row>
    <row r="80" spans="1:8" s="12" customFormat="1" x14ac:dyDescent="0.35">
      <c r="A80" s="35">
        <v>46186</v>
      </c>
      <c r="B80" s="11" t="s">
        <v>144</v>
      </c>
      <c r="C80" s="39">
        <v>999900</v>
      </c>
      <c r="D80" s="39"/>
      <c r="E80" s="37">
        <f t="shared" si="1"/>
        <v>1990484</v>
      </c>
      <c r="F80" s="11"/>
      <c r="G80" s="11" t="s">
        <v>145</v>
      </c>
      <c r="H80" s="11" t="s">
        <v>78</v>
      </c>
    </row>
    <row r="81" spans="1:8" s="12" customFormat="1" x14ac:dyDescent="0.35">
      <c r="A81" s="35">
        <v>46186</v>
      </c>
      <c r="B81" s="11" t="s">
        <v>7</v>
      </c>
      <c r="C81" s="39"/>
      <c r="D81" s="39">
        <v>1845557</v>
      </c>
      <c r="E81" s="37">
        <f t="shared" si="1"/>
        <v>144927</v>
      </c>
      <c r="F81" s="11"/>
      <c r="G81" s="11" t="s">
        <v>147</v>
      </c>
      <c r="H81" s="11" t="s">
        <v>77</v>
      </c>
    </row>
    <row r="82" spans="1:8" s="12" customFormat="1" x14ac:dyDescent="0.35">
      <c r="A82" s="35">
        <v>46188</v>
      </c>
      <c r="B82" s="11" t="s">
        <v>172</v>
      </c>
      <c r="C82" s="39">
        <v>1250000</v>
      </c>
      <c r="D82" s="39"/>
      <c r="E82" s="37">
        <f t="shared" si="1"/>
        <v>1394927</v>
      </c>
      <c r="F82" s="11"/>
      <c r="G82" s="11" t="s">
        <v>145</v>
      </c>
      <c r="H82" s="11" t="s">
        <v>78</v>
      </c>
    </row>
    <row r="83" spans="1:8" s="12" customFormat="1" x14ac:dyDescent="0.35">
      <c r="A83" s="35">
        <v>46188</v>
      </c>
      <c r="B83" s="11" t="s">
        <v>7</v>
      </c>
      <c r="C83" s="39"/>
      <c r="D83" s="39">
        <v>1299775</v>
      </c>
      <c r="E83" s="37">
        <f t="shared" si="1"/>
        <v>95152</v>
      </c>
      <c r="F83" s="11"/>
      <c r="G83" s="11" t="s">
        <v>170</v>
      </c>
      <c r="H83" s="11" t="s">
        <v>77</v>
      </c>
    </row>
    <row r="84" spans="1:8" s="12" customFormat="1" x14ac:dyDescent="0.35">
      <c r="A84" s="35">
        <v>46219</v>
      </c>
      <c r="B84" s="11" t="s">
        <v>167</v>
      </c>
      <c r="C84" s="36">
        <v>100000000</v>
      </c>
      <c r="D84" s="11"/>
      <c r="E84" s="37">
        <f t="shared" si="1"/>
        <v>100095152</v>
      </c>
      <c r="F84" s="11"/>
      <c r="G84" s="11"/>
      <c r="H84" s="11" t="s">
        <v>78</v>
      </c>
    </row>
    <row r="85" spans="1:8" x14ac:dyDescent="0.35">
      <c r="A85" s="35">
        <v>46220</v>
      </c>
      <c r="B85" s="11" t="s">
        <v>67</v>
      </c>
      <c r="C85" s="7"/>
      <c r="D85" s="39">
        <v>17133</v>
      </c>
      <c r="E85" s="37">
        <f t="shared" si="1"/>
        <v>100078019</v>
      </c>
      <c r="F85" s="2"/>
      <c r="G85" s="2"/>
      <c r="H85" s="11" t="s">
        <v>67</v>
      </c>
    </row>
    <row r="86" spans="1:8" s="12" customFormat="1" x14ac:dyDescent="0.35">
      <c r="A86" s="35">
        <v>46220</v>
      </c>
      <c r="B86" s="11" t="s">
        <v>169</v>
      </c>
      <c r="C86" s="36"/>
      <c r="D86" s="39">
        <v>78019</v>
      </c>
      <c r="E86" s="37">
        <f t="shared" si="1"/>
        <v>100000000</v>
      </c>
      <c r="F86" s="11"/>
      <c r="G86" s="11"/>
      <c r="H86" s="11" t="s">
        <v>171</v>
      </c>
    </row>
    <row r="87" spans="1:8" s="12" customFormat="1" x14ac:dyDescent="0.35">
      <c r="A87" s="64">
        <v>46220</v>
      </c>
      <c r="B87" s="65" t="s">
        <v>169</v>
      </c>
      <c r="C87" s="67"/>
      <c r="D87" s="67">
        <v>9051301</v>
      </c>
      <c r="E87" s="66">
        <f t="shared" si="1"/>
        <v>90948699</v>
      </c>
      <c r="F87" s="65"/>
      <c r="G87" s="65"/>
      <c r="H87" s="65" t="s">
        <v>171</v>
      </c>
    </row>
    <row r="88" spans="1:8" s="12" customFormat="1" x14ac:dyDescent="0.35">
      <c r="A88" s="35">
        <v>46234</v>
      </c>
      <c r="B88" s="11" t="s">
        <v>174</v>
      </c>
      <c r="C88" s="39">
        <v>560000</v>
      </c>
      <c r="D88" s="39"/>
      <c r="E88" s="37">
        <f t="shared" si="1"/>
        <v>91508699</v>
      </c>
      <c r="F88" s="11"/>
      <c r="G88" s="11" t="s">
        <v>175</v>
      </c>
      <c r="H88" s="11" t="s">
        <v>183</v>
      </c>
    </row>
    <row r="89" spans="1:8" s="12" customFormat="1" x14ac:dyDescent="0.35">
      <c r="A89" s="64">
        <v>46234</v>
      </c>
      <c r="B89" s="65" t="s">
        <v>67</v>
      </c>
      <c r="C89" s="67"/>
      <c r="D89" s="67">
        <v>9371</v>
      </c>
      <c r="E89" s="66">
        <f t="shared" si="1"/>
        <v>91499328</v>
      </c>
      <c r="F89" s="65"/>
      <c r="G89" s="65"/>
      <c r="H89" s="65" t="s">
        <v>67</v>
      </c>
    </row>
    <row r="90" spans="1:8" x14ac:dyDescent="0.35">
      <c r="A90" s="3">
        <v>46233</v>
      </c>
      <c r="B90" s="2" t="s">
        <v>167</v>
      </c>
      <c r="C90" s="68">
        <v>112000000</v>
      </c>
      <c r="D90" s="2"/>
      <c r="E90" s="4">
        <f t="shared" si="1"/>
        <v>203499328</v>
      </c>
      <c r="F90" s="2"/>
      <c r="G90" s="2"/>
      <c r="H90" s="2" t="s">
        <v>78</v>
      </c>
    </row>
    <row r="91" spans="1:8" x14ac:dyDescent="0.35">
      <c r="A91" s="3">
        <v>46244</v>
      </c>
      <c r="B91" s="2" t="s">
        <v>177</v>
      </c>
      <c r="C91" s="68"/>
      <c r="D91" s="68">
        <v>296800</v>
      </c>
      <c r="E91" s="4">
        <f t="shared" si="1"/>
        <v>203202528</v>
      </c>
      <c r="F91" s="2">
        <v>3898156</v>
      </c>
      <c r="G91" s="2" t="s">
        <v>176</v>
      </c>
      <c r="H91" s="2" t="s">
        <v>177</v>
      </c>
    </row>
    <row r="92" spans="1:8" x14ac:dyDescent="0.35">
      <c r="A92" s="3">
        <v>46245</v>
      </c>
      <c r="B92" s="2" t="s">
        <v>178</v>
      </c>
      <c r="C92" s="68"/>
      <c r="D92" s="68">
        <v>3280000</v>
      </c>
      <c r="E92" s="4">
        <f t="shared" si="1"/>
        <v>199922528</v>
      </c>
      <c r="F92" s="2"/>
      <c r="G92" s="2" t="s">
        <v>179</v>
      </c>
      <c r="H92" s="2" t="s">
        <v>150</v>
      </c>
    </row>
    <row r="93" spans="1:8" x14ac:dyDescent="0.35">
      <c r="A93" s="3">
        <v>46248</v>
      </c>
      <c r="B93" s="2" t="s">
        <v>182</v>
      </c>
      <c r="C93" s="68">
        <v>6000000</v>
      </c>
      <c r="D93" s="68"/>
      <c r="E93" s="4">
        <f t="shared" si="1"/>
        <v>205922528</v>
      </c>
      <c r="F93" s="2"/>
      <c r="G93" s="2"/>
      <c r="H93" s="2" t="s">
        <v>78</v>
      </c>
    </row>
    <row r="94" spans="1:8" x14ac:dyDescent="0.35">
      <c r="A94" s="3">
        <v>46248</v>
      </c>
      <c r="B94" s="2" t="s">
        <v>181</v>
      </c>
      <c r="C94" s="68"/>
      <c r="D94" s="68">
        <v>4500000</v>
      </c>
      <c r="E94" s="4">
        <f t="shared" si="1"/>
        <v>201422528</v>
      </c>
      <c r="F94" s="2">
        <v>3898158</v>
      </c>
      <c r="G94" s="2" t="s">
        <v>180</v>
      </c>
      <c r="H94" s="2" t="s">
        <v>150</v>
      </c>
    </row>
    <row r="95" spans="1:8" x14ac:dyDescent="0.35">
      <c r="A95" s="3">
        <v>46290</v>
      </c>
      <c r="B95" s="2" t="s">
        <v>185</v>
      </c>
      <c r="C95" s="68">
        <v>55000000</v>
      </c>
      <c r="D95" s="68"/>
      <c r="E95" s="4">
        <f t="shared" si="1"/>
        <v>256422528</v>
      </c>
      <c r="F95" s="2"/>
      <c r="G95" s="2"/>
      <c r="H95" s="2" t="s">
        <v>78</v>
      </c>
    </row>
    <row r="96" spans="1:8" x14ac:dyDescent="0.35">
      <c r="A96" s="3">
        <v>46296</v>
      </c>
      <c r="B96" s="2" t="s">
        <v>185</v>
      </c>
      <c r="C96" s="68">
        <v>60000000</v>
      </c>
      <c r="D96" s="68"/>
      <c r="E96" s="4">
        <f t="shared" si="1"/>
        <v>316422528</v>
      </c>
      <c r="F96" s="2"/>
      <c r="G96" s="2"/>
      <c r="H96" s="2" t="s">
        <v>78</v>
      </c>
    </row>
    <row r="97" spans="1:8" x14ac:dyDescent="0.35">
      <c r="A97" s="3">
        <v>46302</v>
      </c>
      <c r="B97" s="2" t="s">
        <v>185</v>
      </c>
      <c r="C97" s="68">
        <v>90000000</v>
      </c>
      <c r="D97" s="68"/>
      <c r="E97" s="4">
        <f t="shared" ref="E97" si="2">E96+C97-D97</f>
        <v>406422528</v>
      </c>
      <c r="F97" s="2"/>
      <c r="G97" s="2"/>
      <c r="H97" s="2" t="s">
        <v>78</v>
      </c>
    </row>
  </sheetData>
  <autoFilter ref="A3:H97" xr:uid="{00000000-0001-0000-0000-000000000000}"/>
  <mergeCells count="1">
    <mergeCell ref="A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1612-33E5-44FF-A895-A5E2F2F7C7AF}">
  <dimension ref="B3:Y20"/>
  <sheetViews>
    <sheetView workbookViewId="0">
      <pane ySplit="4" topLeftCell="A5" activePane="bottomLeft" state="frozen"/>
      <selection pane="bottomLeft" activeCell="T6" sqref="T6"/>
    </sheetView>
  </sheetViews>
  <sheetFormatPr defaultColWidth="8.7265625" defaultRowHeight="14.5" x14ac:dyDescent="0.35"/>
  <cols>
    <col min="2" max="4" width="17" customWidth="1"/>
    <col min="6" max="6" width="15.26953125" customWidth="1"/>
    <col min="7" max="7" width="43.453125" bestFit="1" customWidth="1"/>
    <col min="8" max="8" width="20.36328125" bestFit="1" customWidth="1"/>
    <col min="9" max="9" width="15.26953125" customWidth="1"/>
    <col min="10" max="10" width="20.90625" customWidth="1"/>
    <col min="11" max="11" width="15.26953125" customWidth="1"/>
    <col min="13" max="14" width="14.1796875" customWidth="1"/>
    <col min="15" max="15" width="20.36328125" bestFit="1" customWidth="1"/>
    <col min="16" max="18" width="14.1796875" customWidth="1"/>
    <col min="20" max="21" width="13.90625" customWidth="1"/>
    <col min="22" max="22" width="22.36328125" bestFit="1" customWidth="1"/>
    <col min="23" max="25" width="13.90625" customWidth="1"/>
  </cols>
  <sheetData>
    <row r="3" spans="2:25" ht="18.5" x14ac:dyDescent="0.45">
      <c r="F3" s="71" t="s">
        <v>78</v>
      </c>
      <c r="G3" s="72"/>
      <c r="H3" s="45">
        <f>SUBTOTAL(9,H5:H5000)</f>
        <v>462249900</v>
      </c>
      <c r="I3" s="73"/>
      <c r="J3" s="74"/>
      <c r="K3" s="75"/>
      <c r="M3" s="71" t="s">
        <v>81</v>
      </c>
      <c r="N3" s="72"/>
      <c r="O3" s="45">
        <f>SUBTOTAL(9,O5:O5000)</f>
        <v>30000000</v>
      </c>
      <c r="P3" s="73"/>
      <c r="Q3" s="74"/>
      <c r="R3" s="75"/>
      <c r="T3" s="71" t="s">
        <v>177</v>
      </c>
      <c r="U3" s="72"/>
      <c r="V3" s="45">
        <f>SUBTOTAL(9,V5:V15)</f>
        <v>296800</v>
      </c>
      <c r="W3" s="73"/>
      <c r="X3" s="74"/>
      <c r="Y3" s="75"/>
    </row>
    <row r="4" spans="2:25" x14ac:dyDescent="0.35">
      <c r="B4" s="52" t="s">
        <v>87</v>
      </c>
      <c r="C4" s="52" t="s">
        <v>86</v>
      </c>
      <c r="D4" s="52" t="s">
        <v>89</v>
      </c>
      <c r="F4" s="43" t="s">
        <v>9</v>
      </c>
      <c r="G4" s="43" t="s">
        <v>1</v>
      </c>
      <c r="H4" s="43" t="s">
        <v>10</v>
      </c>
      <c r="I4" s="43" t="s">
        <v>11</v>
      </c>
      <c r="J4" s="43" t="s">
        <v>17</v>
      </c>
      <c r="K4" s="43" t="s">
        <v>80</v>
      </c>
      <c r="M4" s="43" t="s">
        <v>9</v>
      </c>
      <c r="N4" s="43" t="s">
        <v>1</v>
      </c>
      <c r="O4" s="43" t="s">
        <v>10</v>
      </c>
      <c r="P4" s="43" t="s">
        <v>11</v>
      </c>
      <c r="Q4" s="43" t="s">
        <v>17</v>
      </c>
      <c r="R4" s="43" t="s">
        <v>80</v>
      </c>
      <c r="T4" s="43" t="s">
        <v>9</v>
      </c>
      <c r="U4" s="43" t="s">
        <v>1</v>
      </c>
      <c r="V4" s="43" t="s">
        <v>10</v>
      </c>
      <c r="W4" s="43" t="s">
        <v>11</v>
      </c>
      <c r="X4" s="43" t="s">
        <v>17</v>
      </c>
      <c r="Y4" s="43" t="s">
        <v>80</v>
      </c>
    </row>
    <row r="5" spans="2:25" x14ac:dyDescent="0.35">
      <c r="B5" s="2" t="s">
        <v>78</v>
      </c>
      <c r="C5" s="48">
        <f>H3</f>
        <v>462249900</v>
      </c>
      <c r="D5" s="48"/>
      <c r="F5" s="44" cm="1">
        <f t="array" ref="F5:K16">_xlfn.CHOOSECOLS(_xlfn._xlws.FILTER(STATEMENT!A3:H5000,STATEMENT!H3:H5000="CAISSE DEPOSIT"),1,2,3,6,7,8)</f>
        <v>46136</v>
      </c>
      <c r="G5" s="2" t="str">
        <v>VERSEMENT BY NAP</v>
      </c>
      <c r="H5" s="7">
        <v>25000000</v>
      </c>
      <c r="I5" s="2">
        <v>0</v>
      </c>
      <c r="J5" s="2" t="str">
        <v>CAISSE DEPOSIT</v>
      </c>
      <c r="K5" s="2" t="str">
        <v>CAISSE DEPOSIT</v>
      </c>
      <c r="M5" s="44" cm="1">
        <f t="array" ref="M5:R6">_xlfn.CHOOSECOLS(_xlfn._xlws.FILTER(STATEMENT!A3:H5000,STATEMENT!H3:H5000="WITHDRAWAL"),1,2,4,6,7,8)</f>
        <v>46078</v>
      </c>
      <c r="N5" s="2" t="str">
        <v>RETRAIT POUR NAP</v>
      </c>
      <c r="O5" s="7">
        <v>20000000</v>
      </c>
      <c r="P5" s="2">
        <v>3898144</v>
      </c>
      <c r="Q5" s="2" t="str">
        <v>MANGALAM</v>
      </c>
      <c r="R5" s="2" t="str">
        <v>WITHDRAWAL</v>
      </c>
      <c r="T5" s="44" cm="1">
        <f t="array" ref="T5:Y5">_xlfn.CHOOSECOLS(_xlfn._xlws.FILTER(STATEMENT!A3:H5000,STATEMENT!H3:H5000="REMBOURSEMENT"),1,2,4,6,7,8)</f>
        <v>46244</v>
      </c>
      <c r="U5" s="2" t="str">
        <v>REMBOURSEMENT</v>
      </c>
      <c r="V5" s="7">
        <v>296800</v>
      </c>
      <c r="W5" s="2">
        <v>3898156</v>
      </c>
      <c r="X5" s="2" t="str">
        <v>REMBOURSEMENT DE COMMANDE NON EXECUTEE A GOUNOU OCEANE</v>
      </c>
      <c r="Y5" s="2" t="str">
        <v>REMBOURSEMENT</v>
      </c>
    </row>
    <row r="6" spans="2:25" x14ac:dyDescent="0.35">
      <c r="B6" s="2" t="s">
        <v>81</v>
      </c>
      <c r="C6" s="48"/>
      <c r="D6" s="48">
        <f>O3</f>
        <v>30000000</v>
      </c>
      <c r="F6" s="44">
        <v>46147</v>
      </c>
      <c r="G6" s="2" t="str">
        <v>VERSEMENT BY NAP</v>
      </c>
      <c r="H6" s="7">
        <v>500000</v>
      </c>
      <c r="I6" s="2">
        <v>0</v>
      </c>
      <c r="J6" s="2" t="str">
        <v>CAISSE DEPOSIT</v>
      </c>
      <c r="K6" s="2" t="str">
        <v>CAISSE DEPOSIT</v>
      </c>
      <c r="M6" s="44">
        <v>46178</v>
      </c>
      <c r="N6" s="2" t="str">
        <v>MOUSSA IBRAHIM</v>
      </c>
      <c r="O6" s="7">
        <v>10000000</v>
      </c>
      <c r="P6" s="2">
        <v>3898152</v>
      </c>
      <c r="Q6" s="2" t="str">
        <v>RETRAIT POUR NAP SARL/MOUSSA IBRAHIM</v>
      </c>
      <c r="R6" s="2" t="str">
        <v>WITHDRAWAL</v>
      </c>
      <c r="T6" s="44"/>
      <c r="U6" s="2"/>
      <c r="V6" s="7"/>
      <c r="W6" s="2"/>
      <c r="X6" s="2"/>
      <c r="Y6" s="2"/>
    </row>
    <row r="7" spans="2:25" x14ac:dyDescent="0.35">
      <c r="B7" s="2" t="s">
        <v>177</v>
      </c>
      <c r="C7" s="2"/>
      <c r="D7" s="48">
        <f>V3</f>
        <v>296800</v>
      </c>
      <c r="F7" s="44">
        <v>46154</v>
      </c>
      <c r="G7" s="2" t="str">
        <v>VERSEMENT BY NAP</v>
      </c>
      <c r="H7" s="7">
        <v>3500000</v>
      </c>
      <c r="I7" s="2">
        <v>0</v>
      </c>
      <c r="J7" s="2" t="str">
        <v>CAISSE DEPOSIT</v>
      </c>
      <c r="K7" s="2" t="str">
        <v>CAISSE DEPOSIT</v>
      </c>
      <c r="M7" s="44"/>
      <c r="N7" s="2"/>
      <c r="O7" s="7"/>
      <c r="P7" s="2"/>
      <c r="Q7" s="2"/>
      <c r="R7" s="2"/>
      <c r="T7" s="44"/>
      <c r="U7" s="2"/>
      <c r="V7" s="7"/>
      <c r="W7" s="2"/>
      <c r="X7" s="2"/>
      <c r="Y7" s="2"/>
    </row>
    <row r="8" spans="2:25" x14ac:dyDescent="0.35">
      <c r="B8" s="2" t="s">
        <v>88</v>
      </c>
      <c r="C8" s="49">
        <f>SUM(C5:C7)</f>
        <v>462249900</v>
      </c>
      <c r="D8" s="49">
        <f>SUM(D5:D7)</f>
        <v>30296800</v>
      </c>
      <c r="F8" s="44">
        <v>46182</v>
      </c>
      <c r="G8" s="2" t="str">
        <v>VERSEMENT BY AFFO MOUSSA IBRAHIM</v>
      </c>
      <c r="H8" s="7">
        <v>8000000</v>
      </c>
      <c r="I8" s="2">
        <v>0</v>
      </c>
      <c r="J8" s="2" t="str">
        <v>RECETTE</v>
      </c>
      <c r="K8" s="2" t="str">
        <v>CAISSE DEPOSIT</v>
      </c>
      <c r="M8" s="44"/>
      <c r="N8" s="2"/>
      <c r="O8" s="7"/>
      <c r="P8" s="2"/>
      <c r="Q8" s="2"/>
      <c r="R8" s="2"/>
      <c r="T8" s="44"/>
      <c r="U8" s="2"/>
      <c r="V8" s="7"/>
      <c r="W8" s="2"/>
      <c r="X8" s="2"/>
      <c r="Y8" s="2"/>
    </row>
    <row r="9" spans="2:25" x14ac:dyDescent="0.35">
      <c r="F9" s="44">
        <v>46186</v>
      </c>
      <c r="G9" s="2" t="str">
        <v>VERSEMENT BY AFFO MOUSSA IBRAHIM</v>
      </c>
      <c r="H9" s="7">
        <v>999900</v>
      </c>
      <c r="I9" s="2">
        <v>0</v>
      </c>
      <c r="J9" s="2" t="str">
        <v>RECETTE</v>
      </c>
      <c r="K9" s="2" t="str">
        <v>CAISSE DEPOSIT</v>
      </c>
      <c r="M9" s="44"/>
      <c r="N9" s="2"/>
      <c r="O9" s="7"/>
      <c r="P9" s="2"/>
      <c r="Q9" s="2"/>
      <c r="R9" s="2"/>
      <c r="T9" s="44"/>
      <c r="U9" s="2"/>
      <c r="V9" s="7"/>
      <c r="W9" s="2"/>
      <c r="X9" s="2"/>
      <c r="Y9" s="2"/>
    </row>
    <row r="10" spans="2:25" x14ac:dyDescent="0.35">
      <c r="F10" s="44">
        <v>46188</v>
      </c>
      <c r="G10" s="2" t="str">
        <v>VERSEMENT BY GARBA IBRAHIM</v>
      </c>
      <c r="H10" s="7">
        <v>1250000</v>
      </c>
      <c r="I10" s="2">
        <v>0</v>
      </c>
      <c r="J10" s="2" t="str">
        <v>RECETTE</v>
      </c>
      <c r="K10" s="2" t="str">
        <v>CAISSE DEPOSIT</v>
      </c>
      <c r="M10" s="44"/>
      <c r="N10" s="2"/>
      <c r="O10" s="7"/>
      <c r="P10" s="2"/>
      <c r="Q10" s="2"/>
      <c r="R10" s="2"/>
      <c r="T10" s="44"/>
      <c r="U10" s="2"/>
      <c r="V10" s="7"/>
      <c r="W10" s="2"/>
      <c r="X10" s="2"/>
      <c r="Y10" s="2"/>
    </row>
    <row r="11" spans="2:25" x14ac:dyDescent="0.35">
      <c r="F11" s="44">
        <v>46219</v>
      </c>
      <c r="G11" s="2" t="str">
        <v>REMISE PAR NAP</v>
      </c>
      <c r="H11" s="7">
        <v>100000000</v>
      </c>
      <c r="I11" s="2">
        <v>0</v>
      </c>
      <c r="J11" s="2">
        <v>0</v>
      </c>
      <c r="K11" s="2" t="str">
        <v>CAISSE DEPOSIT</v>
      </c>
      <c r="M11" s="44"/>
      <c r="N11" s="2"/>
      <c r="O11" s="7"/>
      <c r="P11" s="2"/>
      <c r="Q11" s="2"/>
      <c r="R11" s="2"/>
      <c r="T11" s="44"/>
      <c r="U11" s="2"/>
      <c r="V11" s="7"/>
      <c r="W11" s="2"/>
      <c r="X11" s="2"/>
      <c r="Y11" s="2"/>
    </row>
    <row r="12" spans="2:25" x14ac:dyDescent="0.35">
      <c r="F12" s="44">
        <v>46233</v>
      </c>
      <c r="G12" s="2" t="str">
        <v>REMISE PAR NAP</v>
      </c>
      <c r="H12" s="7">
        <v>112000000</v>
      </c>
      <c r="I12" s="2">
        <v>0</v>
      </c>
      <c r="J12" s="2">
        <v>0</v>
      </c>
      <c r="K12" s="2" t="str">
        <v>CAISSE DEPOSIT</v>
      </c>
      <c r="M12" s="44"/>
      <c r="N12" s="2"/>
      <c r="O12" s="7"/>
      <c r="P12" s="2"/>
      <c r="Q12" s="2"/>
      <c r="R12" s="2"/>
      <c r="T12" s="44"/>
      <c r="U12" s="2"/>
      <c r="V12" s="7"/>
      <c r="W12" s="2"/>
      <c r="X12" s="2"/>
      <c r="Y12" s="2"/>
    </row>
    <row r="13" spans="2:25" x14ac:dyDescent="0.35">
      <c r="F13" s="44">
        <v>46248</v>
      </c>
      <c r="G13" s="2" t="str">
        <v>VERSEMENT CASH</v>
      </c>
      <c r="H13" s="7">
        <v>6000000</v>
      </c>
      <c r="I13" s="2">
        <v>0</v>
      </c>
      <c r="J13" s="2">
        <v>0</v>
      </c>
      <c r="K13" s="2" t="str">
        <v>CAISSE DEPOSIT</v>
      </c>
      <c r="M13" s="44"/>
      <c r="N13" s="2"/>
      <c r="O13" s="7"/>
      <c r="P13" s="2"/>
      <c r="Q13" s="2"/>
      <c r="R13" s="2"/>
      <c r="T13" s="44"/>
      <c r="U13" s="2"/>
      <c r="V13" s="7"/>
      <c r="W13" s="2"/>
      <c r="X13" s="2"/>
      <c r="Y13" s="2"/>
    </row>
    <row r="14" spans="2:25" x14ac:dyDescent="0.35">
      <c r="F14" s="44">
        <v>46290</v>
      </c>
      <c r="G14" s="2" t="str">
        <v>NAP ECOBANK</v>
      </c>
      <c r="H14" s="7">
        <v>55000000</v>
      </c>
      <c r="I14" s="2">
        <v>0</v>
      </c>
      <c r="J14" s="2">
        <v>0</v>
      </c>
      <c r="K14" s="2" t="str">
        <v>CAISSE DEPOSIT</v>
      </c>
      <c r="M14" s="44"/>
      <c r="N14" s="2"/>
      <c r="O14" s="7"/>
      <c r="P14" s="2"/>
      <c r="Q14" s="2"/>
      <c r="R14" s="2"/>
      <c r="T14" s="44"/>
      <c r="U14" s="2"/>
      <c r="V14" s="7"/>
      <c r="W14" s="2"/>
      <c r="X14" s="2"/>
      <c r="Y14" s="2"/>
    </row>
    <row r="15" spans="2:25" x14ac:dyDescent="0.35">
      <c r="F15" s="44">
        <v>46296</v>
      </c>
      <c r="G15" s="2" t="str">
        <v>NAP ECOBANK</v>
      </c>
      <c r="H15" s="7">
        <v>60000000</v>
      </c>
      <c r="I15" s="2">
        <v>0</v>
      </c>
      <c r="J15" s="2">
        <v>0</v>
      </c>
      <c r="K15" s="2" t="str">
        <v>CAISSE DEPOSIT</v>
      </c>
      <c r="M15" s="44"/>
      <c r="N15" s="2"/>
      <c r="O15" s="7"/>
      <c r="P15" s="2"/>
      <c r="Q15" s="2"/>
      <c r="R15" s="2"/>
      <c r="T15" s="44"/>
      <c r="U15" s="2"/>
      <c r="V15" s="7"/>
      <c r="W15" s="2"/>
      <c r="X15" s="2"/>
      <c r="Y15" s="2"/>
    </row>
    <row r="16" spans="2:25" x14ac:dyDescent="0.35">
      <c r="F16" s="44">
        <v>46302</v>
      </c>
      <c r="G16" s="2" t="str">
        <v>NAP ECOBANK</v>
      </c>
      <c r="H16" s="7">
        <v>90000000</v>
      </c>
      <c r="I16" s="2">
        <v>0</v>
      </c>
      <c r="J16" s="2">
        <v>0</v>
      </c>
      <c r="K16" s="2" t="str">
        <v>CAISSE DEPOSIT</v>
      </c>
      <c r="M16" s="44"/>
      <c r="N16" s="2"/>
      <c r="O16" s="7"/>
      <c r="P16" s="2"/>
      <c r="Q16" s="2"/>
      <c r="R16" s="2"/>
      <c r="T16" s="44"/>
      <c r="U16" s="2"/>
      <c r="V16" s="7"/>
      <c r="W16" s="2"/>
      <c r="X16" s="2"/>
      <c r="Y16" s="2"/>
    </row>
    <row r="17" spans="6:25" x14ac:dyDescent="0.35">
      <c r="F17" s="44"/>
      <c r="G17" s="2"/>
      <c r="H17" s="7"/>
      <c r="I17" s="2"/>
      <c r="J17" s="2"/>
      <c r="K17" s="2"/>
      <c r="M17" s="44"/>
      <c r="N17" s="2"/>
      <c r="O17" s="7"/>
      <c r="P17" s="2"/>
      <c r="Q17" s="2"/>
      <c r="R17" s="2"/>
      <c r="T17" s="44"/>
      <c r="U17" s="2"/>
      <c r="V17" s="7"/>
      <c r="W17" s="2"/>
      <c r="X17" s="2"/>
      <c r="Y17" s="2"/>
    </row>
    <row r="18" spans="6:25" x14ac:dyDescent="0.35">
      <c r="F18" s="44"/>
      <c r="G18" s="2"/>
      <c r="H18" s="7"/>
      <c r="I18" s="2"/>
      <c r="J18" s="2"/>
      <c r="K18" s="2"/>
      <c r="M18" s="44"/>
      <c r="N18" s="2"/>
      <c r="O18" s="7"/>
      <c r="P18" s="2"/>
      <c r="Q18" s="2"/>
      <c r="R18" s="2"/>
      <c r="T18" s="44"/>
      <c r="U18" s="2"/>
      <c r="V18" s="7"/>
      <c r="W18" s="2"/>
      <c r="X18" s="2"/>
      <c r="Y18" s="2"/>
    </row>
    <row r="19" spans="6:25" x14ac:dyDescent="0.35">
      <c r="F19" s="44"/>
      <c r="G19" s="2"/>
      <c r="H19" s="13"/>
      <c r="I19" s="2"/>
      <c r="J19" s="2"/>
      <c r="K19" s="2"/>
      <c r="M19" s="44"/>
      <c r="N19" s="2"/>
      <c r="O19" s="7"/>
      <c r="P19" s="2"/>
      <c r="Q19" s="2"/>
      <c r="R19" s="2"/>
      <c r="T19" s="44"/>
      <c r="U19" s="2"/>
      <c r="V19" s="7"/>
      <c r="W19" s="2"/>
      <c r="X19" s="2"/>
      <c r="Y19" s="2"/>
    </row>
    <row r="20" spans="6:25" x14ac:dyDescent="0.35">
      <c r="F20" s="44"/>
      <c r="G20" s="2"/>
      <c r="H20" s="13"/>
      <c r="I20" s="2"/>
      <c r="J20" s="2"/>
      <c r="K20" s="2"/>
      <c r="M20" s="44"/>
      <c r="N20" s="2"/>
      <c r="O20" s="13"/>
      <c r="P20" s="2"/>
      <c r="Q20" s="2"/>
      <c r="R20" s="2"/>
      <c r="T20" s="44"/>
      <c r="U20" s="2"/>
      <c r="V20" s="13"/>
      <c r="W20" s="2"/>
      <c r="X20" s="2"/>
      <c r="Y20" s="2"/>
    </row>
  </sheetData>
  <mergeCells count="6">
    <mergeCell ref="F3:G3"/>
    <mergeCell ref="I3:K3"/>
    <mergeCell ref="T3:U3"/>
    <mergeCell ref="W3:Y3"/>
    <mergeCell ref="M3:N3"/>
    <mergeCell ref="P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C4CC-3D7E-4D86-A986-8395BD7446B2}">
  <dimension ref="B3:AF20"/>
  <sheetViews>
    <sheetView zoomScale="90" zoomScaleNormal="90" workbookViewId="0">
      <pane ySplit="4" topLeftCell="A5" activePane="bottomLeft" state="frozen"/>
      <selection pane="bottomLeft" activeCell="D22" sqref="D22"/>
    </sheetView>
  </sheetViews>
  <sheetFormatPr defaultColWidth="8.7265625" defaultRowHeight="14.5" x14ac:dyDescent="0.35"/>
  <cols>
    <col min="2" max="2" width="21.81640625" bestFit="1" customWidth="1"/>
    <col min="3" max="3" width="16.81640625" customWidth="1"/>
    <col min="4" max="4" width="16.08984375" bestFit="1" customWidth="1"/>
    <col min="5" max="5" width="6.90625" customWidth="1"/>
    <col min="6" max="6" width="12.36328125" customWidth="1"/>
    <col min="7" max="7" width="20.81640625" customWidth="1"/>
    <col min="8" max="8" width="18.1796875" bestFit="1" customWidth="1"/>
    <col min="9" max="9" width="15.36328125" customWidth="1"/>
    <col min="10" max="10" width="17.81640625" bestFit="1" customWidth="1"/>
    <col min="11" max="11" width="15.36328125" customWidth="1"/>
    <col min="12" max="12" width="6.81640625" customWidth="1"/>
    <col min="13" max="18" width="20.453125" customWidth="1"/>
    <col min="20" max="20" width="17.90625" customWidth="1"/>
    <col min="21" max="21" width="21.7265625" bestFit="1" customWidth="1"/>
    <col min="22" max="22" width="20.81640625" bestFit="1" customWidth="1"/>
    <col min="23" max="25" width="17.90625" customWidth="1"/>
    <col min="27" max="27" width="16.81640625" customWidth="1"/>
    <col min="28" max="28" width="28" bestFit="1" customWidth="1"/>
    <col min="29" max="29" width="18.1796875" bestFit="1" customWidth="1"/>
    <col min="30" max="32" width="16.81640625" customWidth="1"/>
  </cols>
  <sheetData>
    <row r="3" spans="2:32" ht="18.5" x14ac:dyDescent="0.45">
      <c r="F3" s="71" t="s">
        <v>100</v>
      </c>
      <c r="G3" s="72"/>
      <c r="H3" s="45">
        <f>SUBTOTAL(9,H5:H5000)</f>
        <v>6730000</v>
      </c>
      <c r="I3" s="73" t="s">
        <v>82</v>
      </c>
      <c r="J3" s="74"/>
      <c r="K3" s="75"/>
      <c r="M3" s="71" t="s">
        <v>110</v>
      </c>
      <c r="N3" s="72"/>
      <c r="O3" s="45">
        <f>SUBTOTAL(9,O5:O5000)</f>
        <v>404000000</v>
      </c>
      <c r="P3" s="73" t="s">
        <v>82</v>
      </c>
      <c r="Q3" s="74"/>
      <c r="R3" s="75"/>
      <c r="T3" s="71" t="s">
        <v>67</v>
      </c>
      <c r="U3" s="72"/>
      <c r="V3" s="45">
        <f>SUBTOTAL(9,V5:V5000)</f>
        <v>83904</v>
      </c>
      <c r="W3" s="73" t="s">
        <v>82</v>
      </c>
      <c r="X3" s="74"/>
      <c r="Y3" s="75"/>
      <c r="AA3" s="71" t="s">
        <v>171</v>
      </c>
      <c r="AB3" s="72"/>
      <c r="AC3" s="45">
        <f>SUBTOTAL(9,AC5:AC5000)</f>
        <v>9129320</v>
      </c>
      <c r="AD3" s="73" t="s">
        <v>82</v>
      </c>
      <c r="AE3" s="74"/>
      <c r="AF3" s="75"/>
    </row>
    <row r="4" spans="2:32" x14ac:dyDescent="0.35">
      <c r="B4" s="52" t="s">
        <v>87</v>
      </c>
      <c r="C4" s="52" t="s">
        <v>86</v>
      </c>
      <c r="D4" s="52" t="s">
        <v>89</v>
      </c>
      <c r="F4" s="43" t="s">
        <v>9</v>
      </c>
      <c r="G4" s="43" t="s">
        <v>1</v>
      </c>
      <c r="H4" s="43" t="s">
        <v>10</v>
      </c>
      <c r="I4" s="43" t="s">
        <v>11</v>
      </c>
      <c r="J4" s="43" t="s">
        <v>17</v>
      </c>
      <c r="K4" s="43" t="s">
        <v>80</v>
      </c>
      <c r="M4" s="43" t="s">
        <v>9</v>
      </c>
      <c r="N4" s="43" t="s">
        <v>1</v>
      </c>
      <c r="O4" s="43" t="s">
        <v>10</v>
      </c>
      <c r="P4" s="43" t="s">
        <v>11</v>
      </c>
      <c r="Q4" s="43" t="s">
        <v>17</v>
      </c>
      <c r="R4" s="43" t="s">
        <v>80</v>
      </c>
      <c r="T4" s="43" t="s">
        <v>9</v>
      </c>
      <c r="U4" s="43" t="s">
        <v>1</v>
      </c>
      <c r="V4" s="43" t="s">
        <v>10</v>
      </c>
      <c r="W4" s="43" t="s">
        <v>11</v>
      </c>
      <c r="X4" s="43" t="s">
        <v>17</v>
      </c>
      <c r="Y4" s="43" t="s">
        <v>80</v>
      </c>
      <c r="AA4" s="43" t="s">
        <v>9</v>
      </c>
      <c r="AB4" s="43" t="s">
        <v>1</v>
      </c>
      <c r="AC4" s="43" t="s">
        <v>10</v>
      </c>
      <c r="AD4" s="43" t="s">
        <v>11</v>
      </c>
      <c r="AE4" s="43" t="s">
        <v>17</v>
      </c>
      <c r="AF4" s="43" t="s">
        <v>80</v>
      </c>
    </row>
    <row r="5" spans="2:32" x14ac:dyDescent="0.35">
      <c r="B5" s="2" t="s">
        <v>100</v>
      </c>
      <c r="C5" s="48"/>
      <c r="D5" s="48">
        <f>H3</f>
        <v>6730000</v>
      </c>
      <c r="F5" s="44" cm="1">
        <f t="array" ref="F5:K8">_xlfn.CHOOSECOLS(_xlfn._xlws.FILTER(STATEMENT!A3:H5000,STATEMENT!H3:H5000="COMPTE DECAISSEMENT"),1,2,4,6,7,8)</f>
        <v>46022</v>
      </c>
      <c r="G5" s="2" t="str">
        <v>TRANSFERT SUR COMPTE DECAISSEMENT</v>
      </c>
      <c r="H5" s="7">
        <v>1000000</v>
      </c>
      <c r="I5" s="2">
        <v>0</v>
      </c>
      <c r="J5" s="2" t="str">
        <v>COMPTE DECAISSEMENT</v>
      </c>
      <c r="K5" s="2" t="str">
        <v>COMPTE DECAISSEMENT</v>
      </c>
      <c r="M5" s="44" cm="1">
        <f t="array" ref="M5:R6">_xlfn.CHOOSECOLS(_xlfn._xlws.FILTER(STATEMENT!A3:H5000,STATEMENT!H3:H5000="REMBOURSEMENT PRET"),1,2,4,6,7,8)</f>
        <v>46058</v>
      </c>
      <c r="N5" s="2" t="str">
        <v>REMBOURSEMENT PRET</v>
      </c>
      <c r="O5" s="7">
        <v>202000000</v>
      </c>
      <c r="P5" s="2">
        <v>0</v>
      </c>
      <c r="Q5" s="2" t="str">
        <v>REMBOURSEMENT ECHEANCE DE 05/01/2026</v>
      </c>
      <c r="R5" s="2" t="str">
        <v>REMBOURSEMENT PRET</v>
      </c>
      <c r="T5" s="44" cm="1">
        <f t="array" ref="T5:Y14">_xlfn.CHOOSECOLS(_xlfn._xlws.FILTER(STATEMENT!A3:H5000,STATEMENT!H3:H5000="FRAIS BANCAIRE"),1,2,4,6,7,8)</f>
        <v>46054</v>
      </c>
      <c r="U5" s="2" t="str">
        <v>FRAIS BANCAIRE</v>
      </c>
      <c r="V5" s="7">
        <v>5500</v>
      </c>
      <c r="W5" s="2">
        <v>0</v>
      </c>
      <c r="X5" s="2" t="str">
        <v>FRAIS BANCAIRE</v>
      </c>
      <c r="Y5" s="2" t="str">
        <v>FRAIS BANCAIRE</v>
      </c>
      <c r="AA5" s="44" cm="1">
        <f t="array" ref="AA5:AF6">_xlfn.CHOOSECOLS(_xlfn._xlws.FILTER(STATEMENT!A3:H5000,STATEMENT!H3:H5000="RECOUVREMENT IMPAYE"),1,2,4,6,7,8)</f>
        <v>46220</v>
      </c>
      <c r="AB5" s="2" t="str">
        <v>RECOUVREMENT IMPAYE 16979</v>
      </c>
      <c r="AC5" s="7">
        <v>78019</v>
      </c>
      <c r="AD5" s="2">
        <v>0</v>
      </c>
      <c r="AE5" s="2">
        <v>0</v>
      </c>
      <c r="AF5" s="2" t="str">
        <v>RECOUVREMENT IMPAYE</v>
      </c>
    </row>
    <row r="6" spans="2:32" x14ac:dyDescent="0.35">
      <c r="B6" s="2" t="s">
        <v>110</v>
      </c>
      <c r="C6" s="48"/>
      <c r="D6" s="48">
        <f>O3</f>
        <v>404000000</v>
      </c>
      <c r="F6" s="44">
        <v>46065</v>
      </c>
      <c r="G6" s="2" t="str">
        <v>TRANSFERT SUR COMPTE DECAISSEMENT</v>
      </c>
      <c r="H6" s="7">
        <v>1550000</v>
      </c>
      <c r="I6" s="2">
        <v>0</v>
      </c>
      <c r="J6" s="2" t="str">
        <v>COMPTE DECAISSEMENT</v>
      </c>
      <c r="K6" s="2" t="str">
        <v>COMPTE DECAISSEMENT</v>
      </c>
      <c r="M6" s="44">
        <v>46139</v>
      </c>
      <c r="N6" s="2" t="str">
        <v>REMBOURSEMENT PRET</v>
      </c>
      <c r="O6" s="7">
        <v>202000000</v>
      </c>
      <c r="P6" s="2">
        <v>0</v>
      </c>
      <c r="Q6" s="2" t="str">
        <v>REMBOURSEMENT ECHEANCE DE 05/04/2026 _ COMPTE PRET INSTALLATION DE SITE</v>
      </c>
      <c r="R6" s="2" t="str">
        <v>REMBOURSEMENT PRET</v>
      </c>
      <c r="T6" s="44">
        <v>46079</v>
      </c>
      <c r="U6" s="2" t="str">
        <v>DEMANDE DE CHEQUIER</v>
      </c>
      <c r="V6" s="7">
        <v>20000</v>
      </c>
      <c r="W6" s="2">
        <v>0</v>
      </c>
      <c r="X6" s="2">
        <v>0</v>
      </c>
      <c r="Y6" s="2" t="str">
        <v>FRAIS BANCAIRE</v>
      </c>
      <c r="AA6" s="44">
        <v>46220</v>
      </c>
      <c r="AB6" s="2" t="str">
        <v>RECOUVREMENT IMPAYE 16979</v>
      </c>
      <c r="AC6" s="7">
        <v>9051301</v>
      </c>
      <c r="AD6" s="2">
        <v>0</v>
      </c>
      <c r="AE6" s="2">
        <v>0</v>
      </c>
      <c r="AF6" s="2" t="str">
        <v>RECOUVREMENT IMPAYE</v>
      </c>
    </row>
    <row r="7" spans="2:32" x14ac:dyDescent="0.35">
      <c r="B7" s="2" t="s">
        <v>67</v>
      </c>
      <c r="C7" s="49"/>
      <c r="D7" s="48">
        <f>V3</f>
        <v>83904</v>
      </c>
      <c r="F7" s="44">
        <v>46085</v>
      </c>
      <c r="G7" s="2" t="str">
        <v>TRANSFERT SUR COMPTE DECAISSEMENT</v>
      </c>
      <c r="H7" s="7">
        <v>1250000</v>
      </c>
      <c r="I7" s="2">
        <v>0</v>
      </c>
      <c r="J7" s="2" t="str">
        <v>COMPTE DECAISSEMENT</v>
      </c>
      <c r="K7" s="2" t="str">
        <v>COMPTE DECAISSEMENT</v>
      </c>
      <c r="M7" s="44"/>
      <c r="N7" s="2"/>
      <c r="O7" s="7"/>
      <c r="P7" s="2"/>
      <c r="Q7" s="2"/>
      <c r="R7" s="2"/>
      <c r="T7" s="44">
        <v>46082</v>
      </c>
      <c r="U7" s="2" t="str">
        <v>FRAIS BANCAIRE</v>
      </c>
      <c r="V7" s="7">
        <v>5500</v>
      </c>
      <c r="W7" s="2">
        <v>0</v>
      </c>
      <c r="X7" s="2" t="str">
        <v>FRAIS BANCAIRE</v>
      </c>
      <c r="Y7" s="2" t="str">
        <v>FRAIS BANCAIRE</v>
      </c>
      <c r="AA7" s="44"/>
      <c r="AB7" s="2"/>
      <c r="AC7" s="7"/>
      <c r="AD7" s="2"/>
      <c r="AE7" s="2"/>
      <c r="AF7" s="2"/>
    </row>
    <row r="8" spans="2:32" x14ac:dyDescent="0.35">
      <c r="B8" s="2" t="s">
        <v>171</v>
      </c>
      <c r="C8" s="48"/>
      <c r="D8" s="48">
        <f>AC3</f>
        <v>9129320</v>
      </c>
      <c r="F8" s="44">
        <v>46147</v>
      </c>
      <c r="G8" s="2" t="str">
        <v>TRANSFERT SUR COMPTE DECAISSEMENT</v>
      </c>
      <c r="H8" s="7">
        <v>2930000</v>
      </c>
      <c r="I8" s="2">
        <v>0</v>
      </c>
      <c r="J8" s="2" t="str">
        <v>COMPTE DECAISSEMENT</v>
      </c>
      <c r="K8" s="2" t="str">
        <v>COMPTE DECAISSEMENT</v>
      </c>
      <c r="M8" s="44"/>
      <c r="N8" s="2"/>
      <c r="O8" s="7"/>
      <c r="P8" s="2"/>
      <c r="Q8" s="2"/>
      <c r="R8" s="2"/>
      <c r="T8" s="44">
        <v>46113</v>
      </c>
      <c r="U8" s="2" t="str">
        <v>FRAIS BANCAIRE</v>
      </c>
      <c r="V8" s="7">
        <v>5500</v>
      </c>
      <c r="W8" s="2">
        <v>0</v>
      </c>
      <c r="X8" s="2" t="str">
        <v>FRAIS BANCAIRE</v>
      </c>
      <c r="Y8" s="2" t="str">
        <v>FRAIS BANCAIRE</v>
      </c>
      <c r="AA8" s="44"/>
      <c r="AB8" s="2"/>
      <c r="AC8" s="7"/>
      <c r="AD8" s="2"/>
      <c r="AE8" s="2"/>
      <c r="AF8" s="2"/>
    </row>
    <row r="9" spans="2:32" x14ac:dyDescent="0.35">
      <c r="B9" s="2"/>
      <c r="C9" s="48">
        <f>SUM(C5:C8)</f>
        <v>0</v>
      </c>
      <c r="D9" s="48">
        <f>SUM(D5:D8)</f>
        <v>419943224</v>
      </c>
      <c r="F9" s="44"/>
      <c r="G9" s="2"/>
      <c r="H9" s="7"/>
      <c r="I9" s="2"/>
      <c r="J9" s="2"/>
      <c r="K9" s="2"/>
      <c r="M9" s="44"/>
      <c r="N9" s="2"/>
      <c r="O9" s="7"/>
      <c r="P9" s="2"/>
      <c r="Q9" s="2"/>
      <c r="R9" s="2"/>
      <c r="T9" s="44">
        <v>46139</v>
      </c>
      <c r="U9" s="2" t="str">
        <v>FRAIS BANCAIRE</v>
      </c>
      <c r="V9" s="7">
        <v>4950</v>
      </c>
      <c r="W9" s="2">
        <v>0</v>
      </c>
      <c r="X9" s="2" t="str">
        <v>FRAIS BANCAIRE</v>
      </c>
      <c r="Y9" s="2" t="str">
        <v>FRAIS BANCAIRE</v>
      </c>
      <c r="AA9" s="44"/>
      <c r="AB9" s="2"/>
      <c r="AC9" s="7"/>
      <c r="AD9" s="2"/>
      <c r="AE9" s="2"/>
      <c r="AF9" s="2"/>
    </row>
    <row r="10" spans="2:32" x14ac:dyDescent="0.35">
      <c r="F10" s="44"/>
      <c r="G10" s="2"/>
      <c r="H10" s="7"/>
      <c r="I10" s="2"/>
      <c r="J10" s="2"/>
      <c r="K10" s="2"/>
      <c r="M10" s="44"/>
      <c r="N10" s="2"/>
      <c r="O10" s="7"/>
      <c r="P10" s="2"/>
      <c r="Q10" s="2"/>
      <c r="R10" s="2"/>
      <c r="T10" s="44">
        <v>46143</v>
      </c>
      <c r="U10" s="2" t="str">
        <v>FRAIS BANCAIRE</v>
      </c>
      <c r="V10" s="7">
        <v>5500</v>
      </c>
      <c r="W10" s="2">
        <v>0</v>
      </c>
      <c r="X10" s="2" t="str">
        <v>FRAIS BANCAIRE</v>
      </c>
      <c r="Y10" s="2" t="str">
        <v>FRAIS BANCAIRE</v>
      </c>
      <c r="AA10" s="44"/>
      <c r="AB10" s="2"/>
      <c r="AC10" s="7"/>
      <c r="AD10" s="2"/>
      <c r="AE10" s="2"/>
      <c r="AF10" s="2"/>
    </row>
    <row r="11" spans="2:32" x14ac:dyDescent="0.35">
      <c r="F11" s="44"/>
      <c r="G11" s="2"/>
      <c r="H11" s="7"/>
      <c r="I11" s="2"/>
      <c r="J11" s="2"/>
      <c r="K11" s="2"/>
      <c r="M11" s="44"/>
      <c r="N11" s="2"/>
      <c r="O11" s="7"/>
      <c r="P11" s="2"/>
      <c r="Q11" s="2"/>
      <c r="R11" s="2"/>
      <c r="T11" s="44">
        <v>46174</v>
      </c>
      <c r="U11" s="2" t="str">
        <v>FRAIS BANCAIRE</v>
      </c>
      <c r="V11" s="7">
        <v>5500</v>
      </c>
      <c r="W11" s="2">
        <v>0</v>
      </c>
      <c r="X11" s="2" t="str">
        <v>FRAIS BANCAIRE</v>
      </c>
      <c r="Y11" s="2" t="str">
        <v>FRAIS BANCAIRE</v>
      </c>
      <c r="AA11" s="44"/>
      <c r="AB11" s="2"/>
      <c r="AC11" s="7"/>
      <c r="AD11" s="2"/>
      <c r="AE11" s="2"/>
      <c r="AF11" s="2"/>
    </row>
    <row r="12" spans="2:32" x14ac:dyDescent="0.35">
      <c r="F12" s="44"/>
      <c r="G12" s="2"/>
      <c r="H12" s="7"/>
      <c r="I12" s="2"/>
      <c r="J12" s="2"/>
      <c r="K12" s="2"/>
      <c r="M12" s="44"/>
      <c r="N12" s="2"/>
      <c r="O12" s="7"/>
      <c r="P12" s="2"/>
      <c r="Q12" s="2"/>
      <c r="R12" s="2"/>
      <c r="T12" s="44">
        <v>46182</v>
      </c>
      <c r="U12" s="2" t="str">
        <v>FRAIS BANCAIRE</v>
      </c>
      <c r="V12" s="7">
        <v>4950</v>
      </c>
      <c r="W12" s="2">
        <v>0</v>
      </c>
      <c r="X12" s="2">
        <v>0</v>
      </c>
      <c r="Y12" s="2" t="str">
        <v>FRAIS BANCAIRE</v>
      </c>
      <c r="AA12" s="44"/>
      <c r="AB12" s="2"/>
      <c r="AC12" s="7"/>
      <c r="AD12" s="2"/>
      <c r="AE12" s="2"/>
      <c r="AF12" s="2"/>
    </row>
    <row r="13" spans="2:32" x14ac:dyDescent="0.35">
      <c r="F13" s="44"/>
      <c r="G13" s="2"/>
      <c r="H13" s="7"/>
      <c r="I13" s="2"/>
      <c r="J13" s="2"/>
      <c r="K13" s="2"/>
      <c r="M13" s="44"/>
      <c r="N13" s="2"/>
      <c r="O13" s="7"/>
      <c r="P13" s="2"/>
      <c r="Q13" s="2"/>
      <c r="R13" s="2"/>
      <c r="T13" s="44">
        <v>46220</v>
      </c>
      <c r="U13" s="2" t="str">
        <v>FRAIS BANCAIRE</v>
      </c>
      <c r="V13" s="7">
        <v>17133</v>
      </c>
      <c r="W13" s="2">
        <v>0</v>
      </c>
      <c r="X13" s="2">
        <v>0</v>
      </c>
      <c r="Y13" s="2" t="str">
        <v>FRAIS BANCAIRE</v>
      </c>
      <c r="AA13" s="44"/>
      <c r="AB13" s="2"/>
      <c r="AC13" s="7"/>
      <c r="AD13" s="2"/>
      <c r="AE13" s="2"/>
      <c r="AF13" s="2"/>
    </row>
    <row r="14" spans="2:32" x14ac:dyDescent="0.35">
      <c r="F14" s="44"/>
      <c r="G14" s="2"/>
      <c r="H14" s="7"/>
      <c r="I14" s="2"/>
      <c r="J14" s="2"/>
      <c r="K14" s="2"/>
      <c r="M14" s="44"/>
      <c r="N14" s="2"/>
      <c r="O14" s="7"/>
      <c r="P14" s="2"/>
      <c r="Q14" s="2"/>
      <c r="R14" s="2"/>
      <c r="T14" s="44">
        <v>46234</v>
      </c>
      <c r="U14" s="2" t="str">
        <v>FRAIS BANCAIRE</v>
      </c>
      <c r="V14" s="7">
        <v>9371</v>
      </c>
      <c r="W14" s="2">
        <v>0</v>
      </c>
      <c r="X14" s="2">
        <v>0</v>
      </c>
      <c r="Y14" s="2" t="str">
        <v>FRAIS BANCAIRE</v>
      </c>
      <c r="AA14" s="44"/>
      <c r="AB14" s="2"/>
      <c r="AC14" s="7"/>
      <c r="AD14" s="2"/>
      <c r="AE14" s="2"/>
      <c r="AF14" s="2"/>
    </row>
    <row r="15" spans="2:32" x14ac:dyDescent="0.35">
      <c r="F15" s="44"/>
      <c r="G15" s="2"/>
      <c r="H15" s="7"/>
      <c r="I15" s="2"/>
      <c r="J15" s="2"/>
      <c r="K15" s="2"/>
      <c r="M15" s="44"/>
      <c r="N15" s="2"/>
      <c r="O15" s="7"/>
      <c r="P15" s="2"/>
      <c r="Q15" s="2"/>
      <c r="R15" s="2"/>
      <c r="T15" s="44"/>
      <c r="U15" s="2"/>
      <c r="V15" s="7"/>
      <c r="W15" s="2"/>
      <c r="X15" s="2"/>
      <c r="Y15" s="2"/>
      <c r="AA15" s="44"/>
      <c r="AB15" s="2"/>
      <c r="AC15" s="7"/>
      <c r="AD15" s="2"/>
      <c r="AE15" s="2"/>
      <c r="AF15" s="2"/>
    </row>
    <row r="16" spans="2:32" x14ac:dyDescent="0.35">
      <c r="F16" s="44"/>
      <c r="G16" s="2"/>
      <c r="H16" s="7"/>
      <c r="I16" s="2"/>
      <c r="J16" s="2"/>
      <c r="K16" s="2"/>
      <c r="M16" s="44"/>
      <c r="N16" s="2"/>
      <c r="O16" s="7"/>
      <c r="P16" s="2"/>
      <c r="Q16" s="2"/>
      <c r="R16" s="2"/>
      <c r="T16" s="44"/>
      <c r="U16" s="2"/>
      <c r="V16" s="7"/>
      <c r="W16" s="2"/>
      <c r="X16" s="2"/>
      <c r="Y16" s="2"/>
      <c r="AA16" s="44"/>
      <c r="AB16" s="2"/>
      <c r="AC16" s="7"/>
      <c r="AD16" s="2"/>
      <c r="AE16" s="2"/>
      <c r="AF16" s="2"/>
    </row>
    <row r="17" spans="6:32" x14ac:dyDescent="0.35">
      <c r="F17" s="44"/>
      <c r="G17" s="2"/>
      <c r="H17" s="7"/>
      <c r="I17" s="2"/>
      <c r="J17" s="2"/>
      <c r="K17" s="2"/>
      <c r="M17" s="44"/>
      <c r="N17" s="2"/>
      <c r="O17" s="7"/>
      <c r="P17" s="2"/>
      <c r="Q17" s="2"/>
      <c r="R17" s="2"/>
      <c r="T17" s="44"/>
      <c r="U17" s="2"/>
      <c r="V17" s="7"/>
      <c r="W17" s="2"/>
      <c r="X17" s="2"/>
      <c r="Y17" s="2"/>
      <c r="AA17" s="44"/>
      <c r="AB17" s="2"/>
      <c r="AC17" s="7"/>
      <c r="AD17" s="2"/>
      <c r="AE17" s="2"/>
      <c r="AF17" s="2"/>
    </row>
    <row r="18" spans="6:32" x14ac:dyDescent="0.35">
      <c r="F18" s="44"/>
      <c r="G18" s="2"/>
      <c r="H18" s="7"/>
      <c r="I18" s="2"/>
      <c r="J18" s="2"/>
      <c r="K18" s="2"/>
      <c r="M18" s="44"/>
      <c r="N18" s="2"/>
      <c r="O18" s="7"/>
      <c r="P18" s="2"/>
      <c r="Q18" s="2"/>
      <c r="R18" s="2"/>
      <c r="T18" s="44"/>
      <c r="U18" s="2"/>
      <c r="V18" s="7"/>
      <c r="W18" s="2"/>
      <c r="X18" s="2"/>
      <c r="Y18" s="2"/>
      <c r="AA18" s="44"/>
      <c r="AB18" s="2"/>
      <c r="AC18" s="7"/>
      <c r="AD18" s="2"/>
      <c r="AE18" s="2"/>
      <c r="AF18" s="2"/>
    </row>
    <row r="19" spans="6:32" x14ac:dyDescent="0.35">
      <c r="F19" s="44"/>
      <c r="G19" s="2"/>
      <c r="H19" s="13"/>
      <c r="I19" s="2"/>
      <c r="J19" s="2"/>
      <c r="K19" s="2"/>
      <c r="M19" s="44"/>
      <c r="N19" s="2"/>
      <c r="O19" s="13"/>
      <c r="P19" s="2"/>
      <c r="Q19" s="2"/>
      <c r="R19" s="2"/>
      <c r="T19" s="44"/>
      <c r="U19" s="2"/>
      <c r="V19" s="13"/>
      <c r="W19" s="2"/>
      <c r="X19" s="2"/>
      <c r="Y19" s="2"/>
      <c r="AA19" s="44"/>
      <c r="AB19" s="2"/>
      <c r="AC19" s="13"/>
      <c r="AD19" s="2"/>
      <c r="AE19" s="2"/>
      <c r="AF19" s="2"/>
    </row>
    <row r="20" spans="6:32" x14ac:dyDescent="0.35">
      <c r="F20" s="44"/>
      <c r="G20" s="2"/>
      <c r="H20" s="13"/>
      <c r="I20" s="2"/>
      <c r="J20" s="2"/>
      <c r="K20" s="2"/>
      <c r="M20" s="44"/>
      <c r="N20" s="2"/>
      <c r="O20" s="13"/>
      <c r="P20" s="2"/>
      <c r="Q20" s="2"/>
      <c r="R20" s="2"/>
      <c r="T20" s="44"/>
      <c r="U20" s="2"/>
      <c r="V20" s="13"/>
      <c r="W20" s="2"/>
      <c r="X20" s="2"/>
      <c r="Y20" s="2"/>
      <c r="AA20" s="44"/>
      <c r="AB20" s="2"/>
      <c r="AC20" s="13"/>
      <c r="AD20" s="2"/>
      <c r="AE20" s="2"/>
      <c r="AF20" s="2"/>
    </row>
  </sheetData>
  <mergeCells count="8">
    <mergeCell ref="AA3:AB3"/>
    <mergeCell ref="AD3:AF3"/>
    <mergeCell ref="W3:Y3"/>
    <mergeCell ref="P3:R3"/>
    <mergeCell ref="F3:G3"/>
    <mergeCell ref="I3:K3"/>
    <mergeCell ref="M3:N3"/>
    <mergeCell ref="T3:U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2A27-5D6F-45FA-A0D2-4E468B054D19}">
  <sheetPr>
    <tabColor rgb="FF92D050"/>
  </sheetPr>
  <dimension ref="B3:X36"/>
  <sheetViews>
    <sheetView workbookViewId="0">
      <pane ySplit="4" topLeftCell="A5" activePane="bottomLeft" state="frozen"/>
      <selection pane="bottomLeft" activeCell="L5" sqref="L5"/>
    </sheetView>
  </sheetViews>
  <sheetFormatPr defaultColWidth="8.7265625" defaultRowHeight="14.5" x14ac:dyDescent="0.35"/>
  <cols>
    <col min="2" max="2" width="22.08984375" bestFit="1" customWidth="1"/>
    <col min="3" max="3" width="22.36328125" bestFit="1" customWidth="1"/>
    <col min="5" max="5" width="16.7265625" style="47" customWidth="1"/>
    <col min="6" max="6" width="38.1796875" bestFit="1" customWidth="1"/>
    <col min="7" max="7" width="20.7265625" customWidth="1"/>
    <col min="8" max="8" width="14" customWidth="1"/>
    <col min="9" max="9" width="86.90625" bestFit="1" customWidth="1"/>
    <col min="10" max="10" width="16.26953125" customWidth="1"/>
    <col min="12" max="13" width="16.1796875" customWidth="1"/>
    <col min="14" max="14" width="19.08984375" bestFit="1" customWidth="1"/>
    <col min="15" max="15" width="16.1796875" customWidth="1"/>
    <col min="16" max="16" width="30.36328125" bestFit="1" customWidth="1"/>
    <col min="17" max="17" width="16.1796875" customWidth="1"/>
    <col min="19" max="19" width="16.90625" customWidth="1"/>
    <col min="20" max="20" width="23.36328125" customWidth="1"/>
    <col min="21" max="24" width="16.90625" customWidth="1"/>
  </cols>
  <sheetData>
    <row r="3" spans="2:24" ht="18.5" x14ac:dyDescent="0.45">
      <c r="E3" s="71" t="s">
        <v>76</v>
      </c>
      <c r="F3" s="72"/>
      <c r="G3" s="45">
        <f>SUBTOTAL(9,G5:G5000)</f>
        <v>380178160</v>
      </c>
      <c r="H3" s="73" t="s">
        <v>2</v>
      </c>
      <c r="I3" s="74"/>
      <c r="J3" s="75"/>
      <c r="L3" s="71" t="s">
        <v>151</v>
      </c>
      <c r="M3" s="72"/>
      <c r="N3" s="45">
        <f>SUBTOTAL(9,N5:N5000)</f>
        <v>54916680</v>
      </c>
      <c r="O3" s="73" t="s">
        <v>2</v>
      </c>
      <c r="P3" s="74"/>
      <c r="Q3" s="75"/>
      <c r="S3" s="71" t="s">
        <v>183</v>
      </c>
      <c r="T3" s="72"/>
      <c r="U3" s="45">
        <f>SUBTOTAL(9,U5:U5000)</f>
        <v>560000</v>
      </c>
      <c r="V3" s="73" t="s">
        <v>2</v>
      </c>
      <c r="W3" s="74"/>
      <c r="X3" s="75"/>
    </row>
    <row r="4" spans="2:24" ht="25" customHeight="1" x14ac:dyDescent="0.35">
      <c r="B4" s="52" t="s">
        <v>87</v>
      </c>
      <c r="C4" s="52" t="s">
        <v>86</v>
      </c>
      <c r="E4" s="46" t="s">
        <v>9</v>
      </c>
      <c r="F4" s="43" t="s">
        <v>1</v>
      </c>
      <c r="G4" s="43" t="s">
        <v>10</v>
      </c>
      <c r="H4" s="43" t="s">
        <v>11</v>
      </c>
      <c r="I4" s="43" t="s">
        <v>17</v>
      </c>
      <c r="J4" s="43" t="s">
        <v>74</v>
      </c>
      <c r="L4" s="46" t="s">
        <v>9</v>
      </c>
      <c r="M4" s="43" t="s">
        <v>1</v>
      </c>
      <c r="N4" s="43" t="s">
        <v>10</v>
      </c>
      <c r="O4" s="43" t="s">
        <v>11</v>
      </c>
      <c r="P4" s="43" t="s">
        <v>17</v>
      </c>
      <c r="Q4" s="43" t="s">
        <v>74</v>
      </c>
      <c r="S4" s="46" t="s">
        <v>9</v>
      </c>
      <c r="T4" s="43" t="s">
        <v>1</v>
      </c>
      <c r="U4" s="43" t="s">
        <v>10</v>
      </c>
      <c r="V4" s="43" t="s">
        <v>11</v>
      </c>
      <c r="W4" s="43" t="s">
        <v>17</v>
      </c>
      <c r="X4" s="43" t="s">
        <v>74</v>
      </c>
    </row>
    <row r="5" spans="2:24" x14ac:dyDescent="0.35">
      <c r="B5" s="2" t="s">
        <v>76</v>
      </c>
      <c r="C5" s="48">
        <f>G3</f>
        <v>380178160</v>
      </c>
      <c r="E5" s="44" cm="1">
        <f t="array" ref="E5:J20">_xlfn.CHOOSECOLS(_xlfn._xlws.FILTER(STATEMENT!A3:H5000,STATEMENT!H3:H5000="SALES/ UD CAKES"),1,2,3,6,7,8)</f>
        <v>46045</v>
      </c>
      <c r="F5" s="2" t="str">
        <v>ELHADJ GUEYE</v>
      </c>
      <c r="G5" s="7">
        <v>72500000</v>
      </c>
      <c r="H5" s="2">
        <v>0</v>
      </c>
      <c r="I5" s="2" t="str">
        <v>UD CAKE SALES/ SENEGAL_500MT@145K XOF_ FACT PROFORMA 1001</v>
      </c>
      <c r="J5" s="2" t="str">
        <v>SALES/ UD CAKES</v>
      </c>
      <c r="L5" s="44" cm="1">
        <f t="array" ref="L5:Q5">_xlfn.CHOOSECOLS(_xlfn._xlws.FILTER(STATEMENT!A3:H5000,STATEMENT!H3:H5000="SALES/ COTTON SEED"),1,2,3,6,7,8)</f>
        <v>46177</v>
      </c>
      <c r="M5" s="2" t="str">
        <v>BENIN COTON</v>
      </c>
      <c r="N5" s="7">
        <v>54916680</v>
      </c>
      <c r="O5" s="2">
        <v>0</v>
      </c>
      <c r="P5" s="2" t="str">
        <v>Encaissement cheque 4839552 BIIC</v>
      </c>
      <c r="Q5" s="2" t="str">
        <v>SALES/ COTTON SEED</v>
      </c>
      <c r="S5" s="44" cm="1">
        <f t="array" ref="S5:X5">_xlfn.CHOOSECOLS(_xlfn._xlws.FILTER(STATEMENT!A3:H5000,STATEMENT!H3:H5000="SALES/ SOYA MEAL"),1,2,3,6,7,8)</f>
        <v>46234</v>
      </c>
      <c r="T5" s="2" t="str">
        <v>HOUNKANRIN MARTIN</v>
      </c>
      <c r="U5" s="7">
        <v>560000</v>
      </c>
      <c r="V5" s="2">
        <v>0</v>
      </c>
      <c r="W5" s="2" t="str">
        <v>SALES SOYABEAN MEAL</v>
      </c>
      <c r="X5" s="2" t="str">
        <v>SALES/ SOYA MEAL</v>
      </c>
    </row>
    <row r="6" spans="2:24" x14ac:dyDescent="0.35">
      <c r="B6" s="2" t="s">
        <v>151</v>
      </c>
      <c r="C6" s="48">
        <f>N3</f>
        <v>54916680</v>
      </c>
      <c r="E6" s="44">
        <v>46048</v>
      </c>
      <c r="F6" s="2" t="str">
        <v>AMADOU ABDOUL GANIOU/ ALADJI MAIGA</v>
      </c>
      <c r="G6" s="7">
        <v>30000000</v>
      </c>
      <c r="H6" s="2">
        <v>0</v>
      </c>
      <c r="I6" s="2" t="str">
        <v>UD CAKE SALES/ ALADJI MAIGA_500MT@148K XOF_AVANCE 1_FACT PROFORMA 1002</v>
      </c>
      <c r="J6" s="2" t="str">
        <v>SALES/ UD CAKES</v>
      </c>
      <c r="L6" s="44"/>
      <c r="M6" s="2"/>
      <c r="N6" s="7"/>
      <c r="O6" s="2"/>
      <c r="P6" s="2"/>
      <c r="Q6" s="2"/>
      <c r="S6" s="44"/>
      <c r="T6" s="2"/>
      <c r="U6" s="7"/>
      <c r="V6" s="2"/>
      <c r="W6" s="2"/>
      <c r="X6" s="2"/>
    </row>
    <row r="7" spans="2:24" ht="15.5" x14ac:dyDescent="0.35">
      <c r="B7" s="2" t="s">
        <v>183</v>
      </c>
      <c r="C7" s="69">
        <f>U3</f>
        <v>560000</v>
      </c>
      <c r="E7" s="44">
        <v>46048</v>
      </c>
      <c r="F7" s="2" t="str">
        <v>AMADOU ABDOUL GANIOU/ ALADJI MAIGA</v>
      </c>
      <c r="G7" s="7">
        <v>30000000</v>
      </c>
      <c r="H7" s="2">
        <v>0</v>
      </c>
      <c r="I7" s="2" t="str">
        <v>UD CAKE SALES/ ALADJI MAIGA_500MT@148K XOF_AVANCE 2_FACT PROFORMA 1002</v>
      </c>
      <c r="J7" s="2" t="str">
        <v>SALES/ UD CAKES</v>
      </c>
      <c r="L7" s="44"/>
      <c r="M7" s="2"/>
      <c r="N7" s="7"/>
      <c r="O7" s="2"/>
      <c r="P7" s="2"/>
      <c r="Q7" s="2"/>
      <c r="S7" s="44"/>
      <c r="T7" s="2"/>
      <c r="U7" s="7"/>
      <c r="V7" s="2"/>
      <c r="W7" s="2"/>
      <c r="X7" s="2"/>
    </row>
    <row r="8" spans="2:24" x14ac:dyDescent="0.35">
      <c r="B8" s="11" t="s">
        <v>88</v>
      </c>
      <c r="C8" s="49">
        <f>SUM(C5:C7)</f>
        <v>435654840</v>
      </c>
      <c r="E8" s="44">
        <v>46055</v>
      </c>
      <c r="F8" s="2" t="str">
        <v>AMADOU ABDOUL GANIOU/ ALADJI MAIGA</v>
      </c>
      <c r="G8" s="7">
        <v>14000000</v>
      </c>
      <c r="H8" s="2">
        <v>0</v>
      </c>
      <c r="I8" s="2" t="str">
        <v>UD CAKE SALES/ ALADJI MAIGA_500MT@148K XOF_AVANCE 3_FACT PROFORMA 1002</v>
      </c>
      <c r="J8" s="2" t="str">
        <v>SALES/ UD CAKES</v>
      </c>
      <c r="L8" s="44"/>
      <c r="M8" s="2"/>
      <c r="N8" s="7"/>
      <c r="O8" s="2"/>
      <c r="P8" s="2"/>
      <c r="Q8" s="2"/>
      <c r="S8" s="44"/>
      <c r="T8" s="2"/>
      <c r="U8" s="7"/>
      <c r="V8" s="2"/>
      <c r="W8" s="2"/>
      <c r="X8" s="2"/>
    </row>
    <row r="9" spans="2:24" x14ac:dyDescent="0.35">
      <c r="E9" s="44">
        <v>46056</v>
      </c>
      <c r="F9" s="2" t="str">
        <v>GOUNON MAHUSSI OCEANE</v>
      </c>
      <c r="G9" s="7">
        <v>15300000</v>
      </c>
      <c r="H9" s="2">
        <v>0</v>
      </c>
      <c r="I9" s="2" t="str">
        <v>UD CAKE SALES/ MME OCEANE_100MT@153K XOF</v>
      </c>
      <c r="J9" s="2" t="str">
        <v>SALES/ UD CAKES</v>
      </c>
      <c r="L9" s="44"/>
      <c r="M9" s="2"/>
      <c r="N9" s="7"/>
      <c r="O9" s="2"/>
      <c r="P9" s="2"/>
      <c r="Q9" s="2"/>
      <c r="S9" s="44"/>
      <c r="T9" s="2"/>
      <c r="U9" s="7"/>
      <c r="V9" s="2"/>
      <c r="W9" s="2"/>
      <c r="X9" s="2"/>
    </row>
    <row r="10" spans="2:24" x14ac:dyDescent="0.35">
      <c r="E10" s="44">
        <v>46064</v>
      </c>
      <c r="F10" s="2" t="str">
        <v>GOUNON MAHUSSI OCEANE</v>
      </c>
      <c r="G10" s="7">
        <v>30600000</v>
      </c>
      <c r="H10" s="2">
        <v>0</v>
      </c>
      <c r="I10" s="2" t="str">
        <v>UD CAKE SALES/ MME OCEANE_200MT@158K XOF_AVANCE 1</v>
      </c>
      <c r="J10" s="2" t="str">
        <v>SALES/ UD CAKES</v>
      </c>
      <c r="L10" s="44"/>
      <c r="M10" s="2"/>
      <c r="N10" s="7"/>
      <c r="O10" s="2"/>
      <c r="P10" s="2"/>
      <c r="Q10" s="2"/>
      <c r="S10" s="44"/>
      <c r="T10" s="2"/>
      <c r="U10" s="7"/>
      <c r="V10" s="2"/>
      <c r="W10" s="2"/>
      <c r="X10" s="2"/>
    </row>
    <row r="11" spans="2:24" x14ac:dyDescent="0.35">
      <c r="E11" s="44">
        <v>46069</v>
      </c>
      <c r="F11" s="2" t="str">
        <v>GOUNON MAHUSSI OCEANE</v>
      </c>
      <c r="G11" s="7">
        <v>1000000</v>
      </c>
      <c r="H11" s="2">
        <v>0</v>
      </c>
      <c r="I11" s="2" t="str">
        <v>UD CAKE SALES/ MME OCEANE_200MT@158K XOF_REGLEMENT</v>
      </c>
      <c r="J11" s="2" t="str">
        <v>SALES/ UD CAKES</v>
      </c>
      <c r="L11" s="44"/>
      <c r="M11" s="2"/>
      <c r="N11" s="7"/>
      <c r="O11" s="2"/>
      <c r="P11" s="2"/>
      <c r="Q11" s="2"/>
      <c r="S11" s="44"/>
      <c r="T11" s="2"/>
      <c r="U11" s="7"/>
      <c r="V11" s="2"/>
      <c r="W11" s="2"/>
      <c r="X11" s="2"/>
    </row>
    <row r="12" spans="2:24" x14ac:dyDescent="0.35">
      <c r="E12" s="44">
        <v>46077</v>
      </c>
      <c r="F12" s="2" t="str">
        <v xml:space="preserve">ENTREPRISE SIBY MOHAMED-EXPORT </v>
      </c>
      <c r="G12" s="7">
        <v>3200000</v>
      </c>
      <c r="H12" s="2">
        <v>0</v>
      </c>
      <c r="I12" s="2" t="str">
        <v>UD CAKE SALES 540 MT@ 150K TO MAURTANIA CLIENT</v>
      </c>
      <c r="J12" s="2" t="str">
        <v>SALES/ UD CAKES</v>
      </c>
      <c r="L12" s="44"/>
      <c r="M12" s="2"/>
      <c r="N12" s="7"/>
      <c r="O12" s="2"/>
      <c r="P12" s="2"/>
      <c r="Q12" s="2"/>
      <c r="S12" s="44"/>
      <c r="T12" s="2"/>
      <c r="U12" s="7"/>
      <c r="V12" s="2"/>
      <c r="W12" s="2"/>
      <c r="X12" s="2"/>
    </row>
    <row r="13" spans="2:24" x14ac:dyDescent="0.35">
      <c r="E13" s="44">
        <v>46085</v>
      </c>
      <c r="F13" s="2" t="str">
        <v>AMADOU ABDOUL GANIOU/ ALADJI MAIGA</v>
      </c>
      <c r="G13" s="7">
        <v>358160</v>
      </c>
      <c r="H13" s="2">
        <v>0</v>
      </c>
      <c r="I13" s="2" t="str">
        <v>UD CAKE_SALES_2MT@148K</v>
      </c>
      <c r="J13" s="2" t="str">
        <v>SALES/ UD CAKES</v>
      </c>
      <c r="L13" s="44"/>
      <c r="M13" s="2"/>
      <c r="N13" s="7"/>
      <c r="O13" s="2"/>
      <c r="P13" s="2"/>
      <c r="Q13" s="2"/>
      <c r="S13" s="44"/>
      <c r="T13" s="2"/>
      <c r="U13" s="7"/>
      <c r="V13" s="2"/>
      <c r="W13" s="2"/>
      <c r="X13" s="2"/>
    </row>
    <row r="14" spans="2:24" x14ac:dyDescent="0.35">
      <c r="E14" s="44">
        <v>46128</v>
      </c>
      <c r="F14" s="2" t="str">
        <v>AMADOU ABDOUL GANIOU/ ALADJI MAIGA</v>
      </c>
      <c r="G14" s="7">
        <v>50000000</v>
      </c>
      <c r="H14" s="2">
        <v>0</v>
      </c>
      <c r="I14" s="2" t="str">
        <v>UD CAKE SALES/ ALADJI MAIGA_1000MT@155K XOF_AVANCE 1_FACT PROFORMA 1011</v>
      </c>
      <c r="J14" s="2" t="str">
        <v>SALES/ UD CAKES</v>
      </c>
      <c r="L14" s="44"/>
      <c r="M14" s="2"/>
      <c r="N14" s="7"/>
      <c r="O14" s="2"/>
      <c r="P14" s="2"/>
      <c r="Q14" s="2"/>
      <c r="S14" s="44"/>
      <c r="T14" s="2"/>
      <c r="U14" s="7"/>
      <c r="V14" s="2"/>
      <c r="W14" s="2"/>
      <c r="X14" s="2"/>
    </row>
    <row r="15" spans="2:24" x14ac:dyDescent="0.35">
      <c r="E15" s="44">
        <v>46129</v>
      </c>
      <c r="F15" s="2" t="str">
        <v>ADETONAH DAMIEN/ DERE IMPORT EXPORT</v>
      </c>
      <c r="G15" s="7">
        <v>25000000</v>
      </c>
      <c r="H15" s="2">
        <v>0</v>
      </c>
      <c r="I15" s="2" t="str">
        <v>UD CAKE SALES/ DAMIAN_1500MT@155K XOF_AVANCE 1_FACT PROFORMA 1012</v>
      </c>
      <c r="J15" s="2" t="str">
        <v>SALES/ UD CAKES</v>
      </c>
      <c r="L15" s="44"/>
      <c r="M15" s="2"/>
      <c r="N15" s="7"/>
      <c r="O15" s="2"/>
      <c r="P15" s="2"/>
      <c r="Q15" s="2"/>
      <c r="S15" s="44"/>
      <c r="T15" s="2"/>
      <c r="U15" s="7"/>
      <c r="V15" s="2"/>
      <c r="W15" s="2"/>
      <c r="X15" s="2"/>
    </row>
    <row r="16" spans="2:24" x14ac:dyDescent="0.35">
      <c r="E16" s="44">
        <v>46129</v>
      </c>
      <c r="F16" s="2" t="str">
        <v>ADETONAH DAMIEN/ DERE IMPORT EXPORT</v>
      </c>
      <c r="G16" s="7">
        <v>50000000</v>
      </c>
      <c r="H16" s="2">
        <v>0</v>
      </c>
      <c r="I16" s="2" t="str">
        <v>UD CAKE SALES/ DAMIAN_1500MT@155K XOF_AVANCE 2_FACT PROFORMA 1012</v>
      </c>
      <c r="J16" s="2" t="str">
        <v>SALES/ UD CAKES</v>
      </c>
      <c r="L16" s="44"/>
      <c r="M16" s="2"/>
      <c r="N16" s="7"/>
      <c r="O16" s="2"/>
      <c r="P16" s="2"/>
      <c r="Q16" s="2"/>
      <c r="S16" s="44"/>
      <c r="T16" s="2"/>
      <c r="U16" s="7"/>
      <c r="V16" s="2"/>
      <c r="W16" s="2"/>
      <c r="X16" s="2"/>
    </row>
    <row r="17" spans="5:24" x14ac:dyDescent="0.35">
      <c r="E17" s="44">
        <v>46132</v>
      </c>
      <c r="F17" s="2" t="str">
        <v>AMADOU ABDOUL GANIOU/ ALADJI MAIGA</v>
      </c>
      <c r="G17" s="7">
        <v>27500000</v>
      </c>
      <c r="H17" s="2">
        <v>0</v>
      </c>
      <c r="I17" s="2" t="str">
        <v>UD CAKE SALES/ ALADJI MAIGA_1000MT@155K XOF_AVANCE 2_FACT PROFORMA 1011</v>
      </c>
      <c r="J17" s="2" t="str">
        <v>SALES/ UD CAKES</v>
      </c>
      <c r="L17" s="44"/>
      <c r="M17" s="2"/>
      <c r="N17" s="7"/>
      <c r="O17" s="2"/>
      <c r="P17" s="2"/>
      <c r="Q17" s="2"/>
      <c r="S17" s="44"/>
      <c r="T17" s="2"/>
      <c r="U17" s="7"/>
      <c r="V17" s="2"/>
      <c r="W17" s="2"/>
      <c r="X17" s="2"/>
    </row>
    <row r="18" spans="5:24" x14ac:dyDescent="0.35">
      <c r="E18" s="44">
        <v>46133</v>
      </c>
      <c r="F18" s="2" t="str">
        <v>UNIRISE SARL/SHEIK &amp; MARIAM SENEGAL</v>
      </c>
      <c r="G18" s="7">
        <v>15360000</v>
      </c>
      <c r="H18" s="2">
        <v>0</v>
      </c>
      <c r="I18" s="2" t="str">
        <v>UD CAKE SALES/ UNIRISE SHEIK &amp; MARIAM SEN_192MT@160K XOF_AVANCE 1_FACT PROFORMA 1007</v>
      </c>
      <c r="J18" s="2" t="str">
        <v>SALES/ UD CAKES</v>
      </c>
      <c r="L18" s="44"/>
      <c r="M18" s="2"/>
      <c r="N18" s="7"/>
      <c r="O18" s="2"/>
      <c r="P18" s="2"/>
      <c r="Q18" s="2"/>
      <c r="S18" s="44"/>
      <c r="T18" s="2"/>
      <c r="U18" s="7"/>
      <c r="V18" s="2"/>
      <c r="W18" s="2"/>
      <c r="X18" s="2"/>
    </row>
    <row r="19" spans="5:24" x14ac:dyDescent="0.35">
      <c r="E19" s="44">
        <v>46132</v>
      </c>
      <c r="F19" s="2" t="str">
        <v>UNIRISE SARL/SHEIK &amp; MARIAM SENEGAL</v>
      </c>
      <c r="G19" s="7">
        <v>7680000</v>
      </c>
      <c r="H19" s="2">
        <v>0</v>
      </c>
      <c r="I19" s="2" t="str">
        <v>UD CAKE SALES/ UNIRISE SHEIK &amp; MARIAM SEN_192MT@160K XOF_AVANCE 1_FACT PROFORMA 1007</v>
      </c>
      <c r="J19" s="2" t="str">
        <v>SALES/ UD CAKES</v>
      </c>
      <c r="L19" s="44"/>
      <c r="M19" s="2"/>
      <c r="N19" s="7"/>
      <c r="O19" s="2"/>
      <c r="P19" s="2"/>
      <c r="Q19" s="2"/>
      <c r="S19" s="44"/>
      <c r="T19" s="2"/>
      <c r="U19" s="7"/>
      <c r="V19" s="2"/>
      <c r="W19" s="2"/>
      <c r="X19" s="2"/>
    </row>
    <row r="20" spans="5:24" x14ac:dyDescent="0.35">
      <c r="E20" s="44">
        <v>46134</v>
      </c>
      <c r="F20" s="2" t="str">
        <v>UNIRISE SARL/SHEIK &amp; MARIAM SENEGAL</v>
      </c>
      <c r="G20" s="7">
        <v>7680000</v>
      </c>
      <c r="H20" s="2">
        <v>0</v>
      </c>
      <c r="I20" s="2" t="str">
        <v>UD CAKE SALES/ UNIRISE SHEIK &amp; MARIAM SEN_192MT@160K XOF_RGLMT_FACT PROFORMA 1007</v>
      </c>
      <c r="J20" s="2" t="str">
        <v>SALES/ UD CAKES</v>
      </c>
      <c r="L20" s="44"/>
      <c r="M20" s="2"/>
      <c r="N20" s="7"/>
      <c r="O20" s="2"/>
      <c r="P20" s="2"/>
      <c r="Q20" s="2"/>
      <c r="S20" s="44"/>
      <c r="T20" s="2"/>
      <c r="U20" s="7"/>
      <c r="V20" s="2"/>
      <c r="W20" s="2"/>
      <c r="X20" s="2"/>
    </row>
    <row r="21" spans="5:24" x14ac:dyDescent="0.35">
      <c r="E21" s="44"/>
      <c r="F21" s="2"/>
      <c r="G21" s="2"/>
      <c r="H21" s="2"/>
      <c r="I21" s="2"/>
      <c r="J21" s="2"/>
      <c r="L21" s="44"/>
      <c r="M21" s="2"/>
      <c r="N21" s="2"/>
      <c r="O21" s="2"/>
      <c r="P21" s="2"/>
      <c r="Q21" s="2"/>
      <c r="S21" s="44"/>
      <c r="T21" s="2"/>
      <c r="U21" s="2"/>
      <c r="V21" s="2"/>
      <c r="W21" s="2"/>
      <c r="X21" s="2"/>
    </row>
    <row r="22" spans="5:24" x14ac:dyDescent="0.35">
      <c r="E22" s="44"/>
      <c r="F22" s="2"/>
      <c r="G22" s="2"/>
      <c r="H22" s="2"/>
      <c r="I22" s="2"/>
      <c r="J22" s="2"/>
      <c r="L22" s="44"/>
      <c r="M22" s="2"/>
      <c r="N22" s="2"/>
      <c r="O22" s="2"/>
      <c r="P22" s="2"/>
      <c r="Q22" s="2"/>
      <c r="S22" s="44"/>
      <c r="T22" s="2"/>
      <c r="U22" s="2"/>
      <c r="V22" s="2"/>
      <c r="W22" s="2"/>
      <c r="X22" s="2"/>
    </row>
    <row r="23" spans="5:24" x14ac:dyDescent="0.35">
      <c r="E23" s="44"/>
      <c r="F23" s="2"/>
      <c r="G23" s="2"/>
      <c r="H23" s="2"/>
      <c r="I23" s="2"/>
      <c r="J23" s="2"/>
      <c r="L23" s="44"/>
      <c r="M23" s="2"/>
      <c r="N23" s="2"/>
      <c r="O23" s="2"/>
      <c r="P23" s="2"/>
      <c r="Q23" s="2"/>
      <c r="S23" s="44"/>
      <c r="T23" s="2"/>
      <c r="U23" s="2"/>
      <c r="V23" s="2"/>
      <c r="W23" s="2"/>
      <c r="X23" s="2"/>
    </row>
    <row r="24" spans="5:24" x14ac:dyDescent="0.35">
      <c r="E24" s="44"/>
      <c r="F24" s="2"/>
      <c r="G24" s="2"/>
      <c r="H24" s="2"/>
      <c r="I24" s="2"/>
      <c r="J24" s="2"/>
      <c r="L24" s="44"/>
      <c r="M24" s="2"/>
      <c r="N24" s="2"/>
      <c r="O24" s="2"/>
      <c r="P24" s="2"/>
      <c r="Q24" s="2"/>
      <c r="S24" s="44"/>
      <c r="T24" s="2"/>
      <c r="U24" s="2"/>
      <c r="V24" s="2"/>
      <c r="W24" s="2"/>
      <c r="X24" s="2"/>
    </row>
    <row r="25" spans="5:24" x14ac:dyDescent="0.35">
      <c r="E25" s="44"/>
      <c r="F25" s="2"/>
      <c r="G25" s="2"/>
      <c r="H25" s="2"/>
      <c r="I25" s="2"/>
      <c r="J25" s="2"/>
      <c r="L25" s="44"/>
      <c r="M25" s="2"/>
      <c r="N25" s="2"/>
      <c r="O25" s="2"/>
      <c r="P25" s="2"/>
      <c r="Q25" s="2"/>
      <c r="S25" s="44"/>
      <c r="T25" s="2"/>
      <c r="U25" s="2"/>
      <c r="V25" s="2"/>
      <c r="W25" s="2"/>
      <c r="X25" s="2"/>
    </row>
    <row r="26" spans="5:24" x14ac:dyDescent="0.35">
      <c r="E26" s="44"/>
      <c r="F26" s="2"/>
      <c r="G26" s="2"/>
      <c r="H26" s="2"/>
      <c r="I26" s="2"/>
      <c r="J26" s="2"/>
      <c r="L26" s="44"/>
      <c r="M26" s="2"/>
      <c r="N26" s="2"/>
      <c r="O26" s="2"/>
      <c r="P26" s="2"/>
      <c r="Q26" s="2"/>
      <c r="S26" s="44"/>
      <c r="T26" s="2"/>
      <c r="U26" s="2"/>
      <c r="V26" s="2"/>
      <c r="W26" s="2"/>
      <c r="X26" s="2"/>
    </row>
    <row r="27" spans="5:24" x14ac:dyDescent="0.35">
      <c r="E27" s="44"/>
      <c r="F27" s="2"/>
      <c r="G27" s="2"/>
      <c r="H27" s="2"/>
      <c r="I27" s="2"/>
      <c r="J27" s="2"/>
      <c r="L27" s="44"/>
      <c r="M27" s="2"/>
      <c r="N27" s="2"/>
      <c r="O27" s="2"/>
      <c r="P27" s="2"/>
      <c r="Q27" s="2"/>
      <c r="S27" s="44"/>
      <c r="T27" s="2"/>
      <c r="U27" s="2"/>
      <c r="V27" s="2"/>
      <c r="W27" s="2"/>
      <c r="X27" s="2"/>
    </row>
    <row r="28" spans="5:24" x14ac:dyDescent="0.35">
      <c r="E28" s="44"/>
      <c r="F28" s="2"/>
      <c r="G28" s="2"/>
      <c r="H28" s="2"/>
      <c r="I28" s="2"/>
      <c r="J28" s="2"/>
      <c r="L28" s="44"/>
      <c r="M28" s="2"/>
      <c r="N28" s="2"/>
      <c r="O28" s="2"/>
      <c r="P28" s="2"/>
      <c r="Q28" s="2"/>
      <c r="S28" s="44"/>
      <c r="T28" s="2"/>
      <c r="U28" s="2"/>
      <c r="V28" s="2"/>
      <c r="W28" s="2"/>
      <c r="X28" s="2"/>
    </row>
    <row r="29" spans="5:24" x14ac:dyDescent="0.35">
      <c r="E29" s="44"/>
      <c r="F29" s="2"/>
      <c r="G29" s="2"/>
      <c r="H29" s="2"/>
      <c r="I29" s="2"/>
      <c r="J29" s="2"/>
      <c r="L29" s="44"/>
      <c r="M29" s="2"/>
      <c r="N29" s="2"/>
      <c r="O29" s="2"/>
      <c r="P29" s="2"/>
      <c r="Q29" s="2"/>
      <c r="S29" s="44"/>
      <c r="T29" s="2"/>
      <c r="U29" s="2"/>
      <c r="V29" s="2"/>
      <c r="W29" s="2"/>
      <c r="X29" s="2"/>
    </row>
    <row r="30" spans="5:24" x14ac:dyDescent="0.35">
      <c r="E30" s="44"/>
      <c r="F30" s="2"/>
      <c r="G30" s="2"/>
      <c r="H30" s="2"/>
      <c r="I30" s="2"/>
      <c r="J30" s="2"/>
      <c r="L30" s="44"/>
      <c r="M30" s="2"/>
      <c r="N30" s="2"/>
      <c r="O30" s="2"/>
      <c r="P30" s="2"/>
      <c r="Q30" s="2"/>
      <c r="S30" s="44"/>
      <c r="T30" s="2"/>
      <c r="U30" s="2"/>
      <c r="V30" s="2"/>
      <c r="W30" s="2"/>
      <c r="X30" s="2"/>
    </row>
    <row r="31" spans="5:24" x14ac:dyDescent="0.35">
      <c r="E31" s="44"/>
      <c r="F31" s="2"/>
      <c r="G31" s="2"/>
      <c r="H31" s="2"/>
      <c r="I31" s="2"/>
      <c r="J31" s="2"/>
      <c r="L31" s="44"/>
      <c r="M31" s="2"/>
      <c r="N31" s="2"/>
      <c r="O31" s="2"/>
      <c r="P31" s="2"/>
      <c r="Q31" s="2"/>
      <c r="S31" s="44"/>
      <c r="T31" s="2"/>
      <c r="U31" s="2"/>
      <c r="V31" s="2"/>
      <c r="W31" s="2"/>
      <c r="X31" s="2"/>
    </row>
    <row r="32" spans="5:24" x14ac:dyDescent="0.35">
      <c r="E32" s="44"/>
      <c r="F32" s="2"/>
      <c r="G32" s="2"/>
      <c r="H32" s="2"/>
      <c r="I32" s="2"/>
      <c r="J32" s="2"/>
      <c r="L32" s="44"/>
      <c r="M32" s="2"/>
      <c r="N32" s="2"/>
      <c r="O32" s="2"/>
      <c r="P32" s="2"/>
      <c r="Q32" s="2"/>
      <c r="S32" s="44"/>
      <c r="T32" s="2"/>
      <c r="U32" s="2"/>
      <c r="V32" s="2"/>
      <c r="W32" s="2"/>
      <c r="X32" s="2"/>
    </row>
    <row r="33" spans="5:24" x14ac:dyDescent="0.35">
      <c r="E33" s="44"/>
      <c r="F33" s="2"/>
      <c r="G33" s="2"/>
      <c r="H33" s="2"/>
      <c r="I33" s="2"/>
      <c r="J33" s="2"/>
      <c r="L33" s="44"/>
      <c r="M33" s="2"/>
      <c r="N33" s="2"/>
      <c r="O33" s="2"/>
      <c r="P33" s="2"/>
      <c r="Q33" s="2"/>
      <c r="S33" s="44"/>
      <c r="T33" s="2"/>
      <c r="U33" s="2"/>
      <c r="V33" s="2"/>
      <c r="W33" s="2"/>
      <c r="X33" s="2"/>
    </row>
    <row r="34" spans="5:24" x14ac:dyDescent="0.35">
      <c r="E34" s="44"/>
      <c r="F34" s="2"/>
      <c r="G34" s="2"/>
      <c r="H34" s="2"/>
      <c r="I34" s="2"/>
      <c r="J34" s="2"/>
      <c r="L34" s="44"/>
      <c r="M34" s="2"/>
      <c r="N34" s="2"/>
      <c r="O34" s="2"/>
      <c r="P34" s="2"/>
      <c r="Q34" s="2"/>
      <c r="S34" s="44"/>
      <c r="T34" s="2"/>
      <c r="U34" s="2"/>
      <c r="V34" s="2"/>
      <c r="W34" s="2"/>
      <c r="X34" s="2"/>
    </row>
    <row r="35" spans="5:24" x14ac:dyDescent="0.35">
      <c r="E35" s="44"/>
      <c r="F35" s="2"/>
      <c r="G35" s="2"/>
      <c r="H35" s="2"/>
      <c r="I35" s="2"/>
      <c r="J35" s="2"/>
      <c r="L35" s="44"/>
      <c r="M35" s="2"/>
      <c r="N35" s="2"/>
      <c r="O35" s="2"/>
      <c r="P35" s="2"/>
      <c r="Q35" s="2"/>
      <c r="S35" s="44"/>
      <c r="T35" s="2"/>
      <c r="U35" s="2"/>
      <c r="V35" s="2"/>
      <c r="W35" s="2"/>
      <c r="X35" s="2"/>
    </row>
    <row r="36" spans="5:24" x14ac:dyDescent="0.35">
      <c r="E36" s="44"/>
      <c r="F36" s="2"/>
      <c r="G36" s="51"/>
      <c r="H36" s="2"/>
      <c r="I36" s="2"/>
      <c r="J36" s="2"/>
      <c r="L36" s="44"/>
      <c r="M36" s="2"/>
      <c r="N36" s="51"/>
      <c r="O36" s="2"/>
      <c r="P36" s="2"/>
      <c r="Q36" s="2"/>
      <c r="S36" s="44"/>
      <c r="T36" s="2"/>
      <c r="U36" s="51"/>
      <c r="V36" s="2"/>
      <c r="W36" s="2"/>
      <c r="X36" s="2"/>
    </row>
  </sheetData>
  <autoFilter ref="E4:J20" xr:uid="{2DC12A27-5D6F-45FA-A0D2-4E468B054D19}"/>
  <mergeCells count="6">
    <mergeCell ref="V3:X3"/>
    <mergeCell ref="E3:F3"/>
    <mergeCell ref="H3:J3"/>
    <mergeCell ref="L3:M3"/>
    <mergeCell ref="O3:Q3"/>
    <mergeCell ref="S3: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30D9-C290-4482-A274-3624E79574C0}">
  <sheetPr>
    <tabColor rgb="FFFFC000"/>
  </sheetPr>
  <dimension ref="B3:J14"/>
  <sheetViews>
    <sheetView workbookViewId="0">
      <pane ySplit="4" topLeftCell="A5" activePane="bottomLeft" state="frozen"/>
      <selection pane="bottomLeft" activeCell="F21" sqref="F21"/>
    </sheetView>
  </sheetViews>
  <sheetFormatPr defaultColWidth="8.7265625" defaultRowHeight="14.5" x14ac:dyDescent="0.35"/>
  <cols>
    <col min="2" max="3" width="21.36328125" customWidth="1"/>
    <col min="5" max="5" width="14.26953125" customWidth="1"/>
    <col min="6" max="6" width="33.1796875" bestFit="1" customWidth="1"/>
    <col min="7" max="7" width="20.36328125" bestFit="1" customWidth="1"/>
    <col min="8" max="9" width="14.26953125" customWidth="1"/>
    <col min="10" max="10" width="17.453125" bestFit="1" customWidth="1"/>
    <col min="14" max="15" width="16.7265625" customWidth="1"/>
    <col min="16" max="16" width="19.08984375" bestFit="1" customWidth="1"/>
    <col min="17" max="19" width="16.7265625" customWidth="1"/>
    <col min="21" max="22" width="17.08984375" customWidth="1"/>
    <col min="23" max="23" width="17.81640625" bestFit="1" customWidth="1"/>
    <col min="24" max="26" width="17.08984375" customWidth="1"/>
  </cols>
  <sheetData>
    <row r="3" spans="2:10" ht="18.5" x14ac:dyDescent="0.45">
      <c r="E3" s="71" t="s">
        <v>42</v>
      </c>
      <c r="F3" s="72"/>
      <c r="G3" s="45">
        <f>SUBTOTAL(9,G5:G5000)</f>
        <v>129952400</v>
      </c>
      <c r="H3" s="73"/>
      <c r="I3" s="74"/>
      <c r="J3" s="75"/>
    </row>
    <row r="4" spans="2:10" x14ac:dyDescent="0.35">
      <c r="B4" s="52" t="s">
        <v>87</v>
      </c>
      <c r="C4" s="52" t="s">
        <v>89</v>
      </c>
      <c r="E4" s="43" t="s">
        <v>9</v>
      </c>
      <c r="F4" s="43" t="s">
        <v>1</v>
      </c>
      <c r="G4" s="43" t="s">
        <v>10</v>
      </c>
      <c r="H4" s="43" t="s">
        <v>11</v>
      </c>
      <c r="I4" s="43" t="s">
        <v>17</v>
      </c>
      <c r="J4" s="43" t="s">
        <v>74</v>
      </c>
    </row>
    <row r="5" spans="2:10" x14ac:dyDescent="0.35">
      <c r="B5" s="2" t="s">
        <v>42</v>
      </c>
      <c r="C5" s="48">
        <f>G3</f>
        <v>129952400</v>
      </c>
      <c r="E5" s="44" cm="1">
        <f t="array" ref="E5:J10">_xlfn.CHOOSECOLS(_xlfn._xlws.FILTER(STATEMENT!A3:H5000,STATEMENT!H3:H5000="PURCHASE OF SOYA"),1,2,4,6,7,8)</f>
        <v>46022</v>
      </c>
      <c r="F5" s="2" t="str">
        <v>KIKI FLORENT/ JOSPIN</v>
      </c>
      <c r="G5" s="7">
        <v>20653060</v>
      </c>
      <c r="H5" s="2">
        <v>3898137</v>
      </c>
      <c r="I5" s="2" t="str">
        <v>SOYA PURCHASE</v>
      </c>
      <c r="J5" s="2" t="str">
        <v>PURCHASE OF SOYA</v>
      </c>
    </row>
    <row r="6" spans="2:10" x14ac:dyDescent="0.35">
      <c r="B6" s="2"/>
      <c r="C6" s="48"/>
      <c r="E6" s="44">
        <v>46022</v>
      </c>
      <c r="F6" s="2" t="str">
        <v>GOUDOU DOSSOU ROMAIN</v>
      </c>
      <c r="G6" s="7">
        <v>26548700</v>
      </c>
      <c r="H6" s="2">
        <v>3898138</v>
      </c>
      <c r="I6" s="2" t="str">
        <v>SOYA PURCHASE</v>
      </c>
      <c r="J6" s="2" t="str">
        <v>PURCHASE OF SOYA</v>
      </c>
    </row>
    <row r="7" spans="2:10" x14ac:dyDescent="0.35">
      <c r="B7" s="11" t="s">
        <v>88</v>
      </c>
      <c r="C7" s="49">
        <f>SUM(C5:C6)</f>
        <v>129952400</v>
      </c>
      <c r="E7" s="44">
        <v>46022</v>
      </c>
      <c r="F7" s="2" t="str">
        <v>VLAVONOU ZINSOU PIERRE</v>
      </c>
      <c r="G7" s="7">
        <v>20020200</v>
      </c>
      <c r="H7" s="2">
        <v>3898139</v>
      </c>
      <c r="I7" s="2" t="str">
        <v>SOYA PURCHASE</v>
      </c>
      <c r="J7" s="2" t="str">
        <v>PURCHASE OF SOYA</v>
      </c>
    </row>
    <row r="8" spans="2:10" x14ac:dyDescent="0.35">
      <c r="E8" s="44">
        <v>46024</v>
      </c>
      <c r="F8" s="2" t="str">
        <v>GOUNOU GOUGNON ELISABETH</v>
      </c>
      <c r="G8" s="7">
        <v>22816000</v>
      </c>
      <c r="H8" s="2">
        <v>3898140</v>
      </c>
      <c r="I8" s="2" t="str">
        <v>SOYA PURCHASE</v>
      </c>
      <c r="J8" s="2" t="str">
        <v>PURCHASE OF SOYA</v>
      </c>
    </row>
    <row r="9" spans="2:10" x14ac:dyDescent="0.35">
      <c r="E9" s="44">
        <v>46022</v>
      </c>
      <c r="F9" s="2" t="str">
        <v>DAA-HINGBANOU A. ZANMENOU VIRG</v>
      </c>
      <c r="G9" s="7">
        <v>21529800</v>
      </c>
      <c r="H9" s="2">
        <v>3898142</v>
      </c>
      <c r="I9" s="2" t="str">
        <v>SOYA PURCHASE</v>
      </c>
      <c r="J9" s="2" t="str">
        <v>PURCHASE OF SOYA</v>
      </c>
    </row>
    <row r="10" spans="2:10" x14ac:dyDescent="0.35">
      <c r="E10" s="44">
        <v>46024</v>
      </c>
      <c r="F10" s="2" t="str">
        <v>HOUEDANOU ENAGNON JUSTIN</v>
      </c>
      <c r="G10" s="7">
        <v>18384640</v>
      </c>
      <c r="H10" s="2">
        <v>3898143</v>
      </c>
      <c r="I10" s="2" t="str">
        <v>SOYA PURCHASE</v>
      </c>
      <c r="J10" s="2" t="str">
        <v>PURCHASE OF SOYA</v>
      </c>
    </row>
    <row r="11" spans="2:10" x14ac:dyDescent="0.35">
      <c r="E11" s="44"/>
      <c r="F11" s="2"/>
      <c r="G11" s="7"/>
      <c r="H11" s="2"/>
      <c r="I11" s="2"/>
      <c r="J11" s="2"/>
    </row>
    <row r="12" spans="2:10" x14ac:dyDescent="0.35">
      <c r="E12" s="44"/>
      <c r="F12" s="2"/>
      <c r="G12" s="7"/>
      <c r="H12" s="2"/>
      <c r="I12" s="2"/>
      <c r="J12" s="2"/>
    </row>
    <row r="13" spans="2:10" x14ac:dyDescent="0.35">
      <c r="E13" s="44"/>
      <c r="F13" s="2"/>
      <c r="G13" s="7"/>
      <c r="H13" s="2"/>
      <c r="I13" s="2"/>
      <c r="J13" s="2"/>
    </row>
    <row r="14" spans="2:10" x14ac:dyDescent="0.35">
      <c r="E14" s="44"/>
      <c r="F14" s="2"/>
      <c r="G14" s="13"/>
      <c r="H14" s="2"/>
      <c r="I14" s="2"/>
      <c r="J14" s="2"/>
    </row>
  </sheetData>
  <mergeCells count="2">
    <mergeCell ref="E3:F3"/>
    <mergeCell ref="H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732F-40B3-47C0-9A4A-715391923547}">
  <sheetPr>
    <tabColor rgb="FFFFC000"/>
  </sheetPr>
  <dimension ref="B3:R106"/>
  <sheetViews>
    <sheetView workbookViewId="0">
      <pane ySplit="4" topLeftCell="A5" activePane="bottomLeft" state="frozen"/>
      <selection pane="bottomLeft" activeCell="H3" sqref="H3"/>
    </sheetView>
  </sheetViews>
  <sheetFormatPr defaultColWidth="8.7265625" defaultRowHeight="14.5" x14ac:dyDescent="0.35"/>
  <cols>
    <col min="2" max="3" width="18.453125" customWidth="1"/>
    <col min="5" max="7" width="17.81640625" customWidth="1"/>
    <col min="8" max="8" width="20.36328125" bestFit="1" customWidth="1"/>
    <col min="9" max="12" width="17.81640625" customWidth="1"/>
    <col min="13" max="18" width="17.81640625" hidden="1" customWidth="1"/>
  </cols>
  <sheetData>
    <row r="3" spans="2:18" ht="18.5" x14ac:dyDescent="0.45">
      <c r="F3" s="71" t="s">
        <v>77</v>
      </c>
      <c r="G3" s="72"/>
      <c r="H3" s="45">
        <f>SUBTOTAL(9,H5:H5000)</f>
        <v>69234186</v>
      </c>
      <c r="I3" s="73"/>
      <c r="J3" s="74"/>
      <c r="K3" s="75"/>
      <c r="M3" s="71" t="s">
        <v>79</v>
      </c>
      <c r="N3" s="72"/>
      <c r="O3" s="45">
        <f>SUBTOTAL(9,O5:O10)</f>
        <v>0</v>
      </c>
      <c r="P3" s="73"/>
      <c r="Q3" s="74"/>
      <c r="R3" s="75"/>
    </row>
    <row r="4" spans="2:18" x14ac:dyDescent="0.35">
      <c r="B4" s="52" t="s">
        <v>87</v>
      </c>
      <c r="C4" s="52" t="s">
        <v>89</v>
      </c>
      <c r="F4" s="43" t="s">
        <v>9</v>
      </c>
      <c r="G4" s="43" t="s">
        <v>1</v>
      </c>
      <c r="H4" s="43" t="s">
        <v>10</v>
      </c>
      <c r="I4" s="43" t="s">
        <v>11</v>
      </c>
      <c r="J4" s="43" t="s">
        <v>17</v>
      </c>
      <c r="K4" s="43" t="s">
        <v>74</v>
      </c>
      <c r="M4" s="43" t="s">
        <v>9</v>
      </c>
      <c r="N4" s="43" t="s">
        <v>1</v>
      </c>
      <c r="O4" s="43" t="s">
        <v>10</v>
      </c>
      <c r="P4" s="43" t="s">
        <v>11</v>
      </c>
      <c r="Q4" s="43" t="s">
        <v>17</v>
      </c>
      <c r="R4" s="43" t="s">
        <v>74</v>
      </c>
    </row>
    <row r="5" spans="2:18" x14ac:dyDescent="0.35">
      <c r="B5" s="2" t="s">
        <v>77</v>
      </c>
      <c r="C5" s="48">
        <f>H3</f>
        <v>69234186</v>
      </c>
      <c r="F5" s="44" cm="1">
        <f t="array" ref="F5:K24">_xlfn.CHOOSECOLS(_xlfn._xlws.FILTER(STATEMENT!A3:H5000,STATEMENT!H3:H5000="BFU"),1,2,4,6,7,8)</f>
        <v>46064</v>
      </c>
      <c r="G5" s="2" t="str">
        <v>SEGUB GUCE</v>
      </c>
      <c r="H5" s="7">
        <v>3588261</v>
      </c>
      <c r="I5" s="2">
        <v>0</v>
      </c>
      <c r="J5" s="2" t="str">
        <v>USN-26029936_265903694_Shea Butter</v>
      </c>
      <c r="K5" s="2" t="str">
        <v>BFU</v>
      </c>
      <c r="M5" s="44" t="e" cm="1" vm="1">
        <f t="array" ref="M5">_xlfn.CHOOSECOLS(_xlfn._xlws.FILTER(STATEMENT!A3:H273,STATEMENT!H3:H273="EXP/ FRET PAYMENT"),1,2,4,6,7,8)</f>
        <v>#VALUE!</v>
      </c>
      <c r="N5" s="2"/>
      <c r="O5" s="7"/>
      <c r="P5" s="2"/>
      <c r="Q5" s="2"/>
      <c r="R5" s="2"/>
    </row>
    <row r="6" spans="2:18" x14ac:dyDescent="0.35">
      <c r="B6" s="2"/>
      <c r="C6" s="48"/>
      <c r="F6" s="44">
        <v>46064</v>
      </c>
      <c r="G6" s="2" t="str">
        <v>SEGUB GUCE</v>
      </c>
      <c r="H6" s="7">
        <v>1038681</v>
      </c>
      <c r="I6" s="2">
        <v>0</v>
      </c>
      <c r="J6" s="2" t="str">
        <v>USN-26029942_MEDUCT183752_Shea Doc</v>
      </c>
      <c r="K6" s="2" t="str">
        <v>BFU</v>
      </c>
      <c r="M6" s="44"/>
      <c r="N6" s="2"/>
      <c r="O6" s="7"/>
      <c r="P6" s="2"/>
      <c r="Q6" s="2"/>
      <c r="R6" s="2"/>
    </row>
    <row r="7" spans="2:18" x14ac:dyDescent="0.35">
      <c r="B7" s="2"/>
      <c r="C7" s="48"/>
      <c r="F7" s="44">
        <v>46064</v>
      </c>
      <c r="G7" s="2" t="str">
        <v>SEGUB GUCE</v>
      </c>
      <c r="H7" s="7">
        <v>2006594</v>
      </c>
      <c r="I7" s="2">
        <v>0</v>
      </c>
      <c r="J7" s="2" t="str">
        <v>USN-26029947_MEDUCT184040_Shea Butter</v>
      </c>
      <c r="K7" s="2" t="str">
        <v>BFU</v>
      </c>
      <c r="M7" s="44"/>
      <c r="N7" s="2"/>
      <c r="O7" s="7"/>
      <c r="P7" s="2"/>
      <c r="Q7" s="2"/>
      <c r="R7" s="2"/>
    </row>
    <row r="8" spans="2:18" ht="15.5" x14ac:dyDescent="0.35">
      <c r="B8" s="2" t="s">
        <v>88</v>
      </c>
      <c r="C8" s="50">
        <f>SUM(C5:C7)</f>
        <v>69234186</v>
      </c>
      <c r="F8" s="44">
        <v>46064</v>
      </c>
      <c r="G8" s="2" t="str">
        <v>SEGUB GUCE</v>
      </c>
      <c r="H8" s="7">
        <v>2007439</v>
      </c>
      <c r="I8" s="2">
        <v>0</v>
      </c>
      <c r="J8" s="2" t="str">
        <v>USN-26030058_MEDUCT184412_Shea Butter</v>
      </c>
      <c r="K8" s="2" t="str">
        <v>BFU</v>
      </c>
      <c r="M8" s="44"/>
      <c r="N8" s="2"/>
      <c r="O8" s="7"/>
      <c r="P8" s="2"/>
      <c r="Q8" s="2"/>
      <c r="R8" s="2"/>
    </row>
    <row r="9" spans="2:18" x14ac:dyDescent="0.35">
      <c r="F9" s="44">
        <v>46064</v>
      </c>
      <c r="G9" s="2" t="str">
        <v>SEGUB GUCE</v>
      </c>
      <c r="H9" s="7">
        <v>1224773</v>
      </c>
      <c r="I9" s="2">
        <v>0</v>
      </c>
      <c r="J9" s="2" t="str">
        <v>USN-26030075_MEDUCT183984_Shea Butter</v>
      </c>
      <c r="K9" s="2" t="str">
        <v>BFU</v>
      </c>
      <c r="M9" s="44"/>
      <c r="N9" s="2"/>
      <c r="O9" s="7"/>
      <c r="P9" s="2"/>
      <c r="Q9" s="2"/>
      <c r="R9" s="2"/>
    </row>
    <row r="10" spans="2:18" x14ac:dyDescent="0.35">
      <c r="F10" s="44">
        <v>46065</v>
      </c>
      <c r="G10" s="2" t="str">
        <v>SEGUB GUCE</v>
      </c>
      <c r="H10" s="7">
        <v>2399616</v>
      </c>
      <c r="I10" s="2">
        <v>0</v>
      </c>
      <c r="J10" s="2" t="str">
        <v>USN-26030010_MEDUCT183943_Shea Butter</v>
      </c>
      <c r="K10" s="2" t="str">
        <v>BFU</v>
      </c>
      <c r="M10" s="44"/>
      <c r="N10" s="2"/>
      <c r="O10" s="7"/>
      <c r="P10" s="2"/>
      <c r="Q10" s="2"/>
      <c r="R10" s="2"/>
    </row>
    <row r="11" spans="2:18" x14ac:dyDescent="0.35">
      <c r="F11" s="44">
        <v>46066</v>
      </c>
      <c r="G11" s="2" t="str">
        <v>SEGUB GUCE</v>
      </c>
      <c r="H11" s="7">
        <v>1953418</v>
      </c>
      <c r="I11" s="2">
        <v>0</v>
      </c>
      <c r="J11" s="2" t="str">
        <v>USN-26032271_TMR260093EFC_</v>
      </c>
      <c r="K11" s="2" t="str">
        <v>BFU</v>
      </c>
      <c r="M11" s="44"/>
      <c r="N11" s="2"/>
      <c r="O11" s="7"/>
      <c r="P11" s="2"/>
      <c r="Q11" s="2"/>
      <c r="R11" s="2"/>
    </row>
    <row r="12" spans="2:18" x14ac:dyDescent="0.35">
      <c r="F12" s="44">
        <v>46070</v>
      </c>
      <c r="G12" s="2" t="str">
        <v>SEGUB GUCE</v>
      </c>
      <c r="H12" s="7">
        <v>2011384</v>
      </c>
      <c r="I12" s="2">
        <v>0</v>
      </c>
      <c r="J12" s="2" t="str">
        <v>USN-26032428_MEDUCT184644_Shea Butter</v>
      </c>
      <c r="K12" s="2" t="str">
        <v>BFU</v>
      </c>
      <c r="M12" s="44"/>
      <c r="N12" s="2"/>
      <c r="O12" s="7"/>
      <c r="P12" s="2"/>
      <c r="Q12" s="2"/>
      <c r="R12" s="2"/>
    </row>
    <row r="13" spans="2:18" x14ac:dyDescent="0.35">
      <c r="F13" s="44">
        <v>46072</v>
      </c>
      <c r="G13" s="2" t="str">
        <v>SEGUB GUCE</v>
      </c>
      <c r="H13" s="7">
        <v>1053192</v>
      </c>
      <c r="I13" s="2">
        <v>0</v>
      </c>
      <c r="J13" s="2" t="str">
        <v>USN-26034909_MEDUCT185039_Shea Doc</v>
      </c>
      <c r="K13" s="2" t="str">
        <v>BFU</v>
      </c>
      <c r="M13" s="44"/>
      <c r="N13" s="2"/>
      <c r="O13" s="7"/>
      <c r="P13" s="2"/>
      <c r="Q13" s="2"/>
      <c r="R13" s="2"/>
    </row>
    <row r="14" spans="2:18" x14ac:dyDescent="0.35">
      <c r="F14" s="44">
        <v>46073</v>
      </c>
      <c r="G14" s="2" t="str">
        <v>SEGUB GUCE</v>
      </c>
      <c r="H14" s="7">
        <v>3574035</v>
      </c>
      <c r="I14" s="2">
        <v>0</v>
      </c>
      <c r="J14" s="2" t="str">
        <v>USN-26034867_MEDUCT185070_Shea Butter</v>
      </c>
      <c r="K14" s="2" t="str">
        <v>BFU</v>
      </c>
      <c r="M14" s="44"/>
      <c r="N14" s="2"/>
      <c r="O14" s="7"/>
      <c r="P14" s="2"/>
      <c r="Q14" s="2"/>
      <c r="R14" s="2"/>
    </row>
    <row r="15" spans="2:18" x14ac:dyDescent="0.35">
      <c r="F15" s="44">
        <v>46077</v>
      </c>
      <c r="G15" s="2" t="str">
        <v>SEGUB GUCE</v>
      </c>
      <c r="H15" s="7">
        <v>153161</v>
      </c>
      <c r="I15" s="2">
        <v>0</v>
      </c>
      <c r="J15" s="2" t="str">
        <v>USN-26037812__</v>
      </c>
      <c r="K15" s="2" t="str">
        <v>BFU</v>
      </c>
      <c r="M15" s="44"/>
      <c r="N15" s="2"/>
      <c r="O15" s="7"/>
      <c r="P15" s="2"/>
      <c r="Q15" s="2"/>
      <c r="R15" s="2"/>
    </row>
    <row r="16" spans="2:18" x14ac:dyDescent="0.35">
      <c r="F16" s="44">
        <v>46085</v>
      </c>
      <c r="G16" s="2" t="str">
        <v>SEGUB GUCE</v>
      </c>
      <c r="H16" s="7">
        <v>1808977</v>
      </c>
      <c r="I16" s="2">
        <v>0</v>
      </c>
      <c r="J16" s="2" t="str">
        <v>USN-26043603_266361527/267487925_UD CAKE</v>
      </c>
      <c r="K16" s="2" t="str">
        <v>BFU</v>
      </c>
      <c r="M16" s="44"/>
      <c r="N16" s="2"/>
      <c r="O16" s="7"/>
      <c r="P16" s="2"/>
      <c r="Q16" s="2"/>
      <c r="R16" s="2"/>
    </row>
    <row r="17" spans="6:18" x14ac:dyDescent="0.35">
      <c r="F17" s="44">
        <v>46177</v>
      </c>
      <c r="G17" s="2" t="str">
        <v>SEGUB GUCE</v>
      </c>
      <c r="H17" s="7">
        <v>8357398</v>
      </c>
      <c r="I17" s="2">
        <v>0</v>
      </c>
      <c r="J17" s="2" t="str">
        <v>PAYEMENT BFU USN-26125069 POUR BL 270866616</v>
      </c>
      <c r="K17" s="2" t="str">
        <v>BFU</v>
      </c>
      <c r="M17" s="44"/>
      <c r="N17" s="2"/>
      <c r="O17" s="7"/>
      <c r="P17" s="2"/>
      <c r="Q17" s="2"/>
      <c r="R17" s="2"/>
    </row>
    <row r="18" spans="6:18" x14ac:dyDescent="0.35">
      <c r="F18" s="44">
        <v>46178</v>
      </c>
      <c r="G18" s="2" t="str">
        <v>SEGUB GUCE</v>
      </c>
      <c r="H18" s="7">
        <v>8298216</v>
      </c>
      <c r="I18" s="2">
        <v>0</v>
      </c>
      <c r="J18" s="2" t="str">
        <v>PAYEMENT BFU USN-26126443 POUR BL 270866825</v>
      </c>
      <c r="K18" s="2" t="str">
        <v>BFU</v>
      </c>
      <c r="M18" s="44"/>
      <c r="N18" s="2"/>
      <c r="O18" s="7"/>
      <c r="P18" s="2"/>
      <c r="Q18" s="2"/>
      <c r="R18" s="2"/>
    </row>
    <row r="19" spans="6:18" x14ac:dyDescent="0.35">
      <c r="F19" s="44">
        <v>46178</v>
      </c>
      <c r="G19" s="2" t="str">
        <v>SEGUB GUCE</v>
      </c>
      <c r="H19" s="7">
        <v>8236768</v>
      </c>
      <c r="I19" s="2">
        <v>0</v>
      </c>
      <c r="J19" s="2" t="str">
        <v>PAYEMENT BFU USN-26127384 POUR BL 270942127</v>
      </c>
      <c r="K19" s="2" t="str">
        <v>BFU</v>
      </c>
      <c r="M19" s="44"/>
      <c r="N19" s="2"/>
      <c r="O19" s="7"/>
      <c r="P19" s="2"/>
      <c r="Q19" s="2"/>
      <c r="R19" s="2"/>
    </row>
    <row r="20" spans="6:18" x14ac:dyDescent="0.35">
      <c r="F20" s="44">
        <v>46178</v>
      </c>
      <c r="G20" s="2" t="str">
        <v>SEGUB GUCE</v>
      </c>
      <c r="H20" s="7">
        <v>8278183</v>
      </c>
      <c r="I20" s="2">
        <v>0</v>
      </c>
      <c r="J20" s="2" t="str">
        <v>PAYEMENT BFU USN-26126441 POUR BL 270942248</v>
      </c>
      <c r="K20" s="2" t="str">
        <v>BFU</v>
      </c>
      <c r="M20" s="44"/>
      <c r="N20" s="2"/>
      <c r="O20" s="10">
        <f>SUM(O5:O18)</f>
        <v>0</v>
      </c>
      <c r="P20" s="9" t="s">
        <v>82</v>
      </c>
      <c r="Q20" s="2"/>
      <c r="R20" s="2"/>
    </row>
    <row r="21" spans="6:18" x14ac:dyDescent="0.35">
      <c r="F21" s="44">
        <v>46177</v>
      </c>
      <c r="G21" s="2" t="str">
        <v>SEGUB GUCE</v>
      </c>
      <c r="H21" s="2">
        <v>8767837</v>
      </c>
      <c r="I21" s="2">
        <v>0</v>
      </c>
      <c r="J21" s="2" t="str">
        <v>PAYEMENT BFU USN-26125053 POUR BL 270942275</v>
      </c>
      <c r="K21" s="2" t="str">
        <v>BFU</v>
      </c>
    </row>
    <row r="22" spans="6:18" x14ac:dyDescent="0.35">
      <c r="F22" s="44">
        <v>46178</v>
      </c>
      <c r="G22" s="2" t="str">
        <v>SEGUB GUCE</v>
      </c>
      <c r="H22" s="2">
        <v>1330921</v>
      </c>
      <c r="I22" s="2">
        <v>0</v>
      </c>
      <c r="J22" s="2" t="str">
        <v>PAYEMENT BFU USN-26127276 POUR BL 271284995</v>
      </c>
      <c r="K22" s="2" t="str">
        <v>BFU</v>
      </c>
    </row>
    <row r="23" spans="6:18" x14ac:dyDescent="0.35">
      <c r="F23" s="44">
        <v>46186</v>
      </c>
      <c r="G23" s="2" t="str">
        <v>SEGUB GUCE</v>
      </c>
      <c r="H23" s="2">
        <v>1845557</v>
      </c>
      <c r="I23" s="2">
        <v>0</v>
      </c>
      <c r="J23" s="2" t="str">
        <v>PAYEMENT BFU USN-26132380 POUR BL 271285265</v>
      </c>
      <c r="K23" s="2" t="str">
        <v>BFU</v>
      </c>
    </row>
    <row r="24" spans="6:18" x14ac:dyDescent="0.35">
      <c r="F24" s="44">
        <v>46188</v>
      </c>
      <c r="G24" s="2" t="str">
        <v>SEGUB GUCE</v>
      </c>
      <c r="H24" s="2">
        <v>1299775</v>
      </c>
      <c r="I24" s="2">
        <v>0</v>
      </c>
      <c r="J24" s="2" t="str">
        <v>USN-26136780_271486702_Soya crude oil</v>
      </c>
      <c r="K24" s="2" t="str">
        <v>BFU</v>
      </c>
    </row>
    <row r="25" spans="6:18" x14ac:dyDescent="0.35">
      <c r="F25" s="44"/>
      <c r="G25" s="2"/>
      <c r="H25" s="2"/>
      <c r="I25" s="2"/>
      <c r="J25" s="2"/>
      <c r="K25" s="2"/>
    </row>
    <row r="26" spans="6:18" x14ac:dyDescent="0.35">
      <c r="F26" s="44"/>
      <c r="G26" s="2"/>
      <c r="H26" s="2"/>
      <c r="I26" s="2"/>
      <c r="J26" s="2"/>
      <c r="K26" s="2"/>
    </row>
    <row r="27" spans="6:18" x14ac:dyDescent="0.35">
      <c r="F27" s="44"/>
      <c r="G27" s="2"/>
      <c r="H27" s="2"/>
      <c r="I27" s="2"/>
      <c r="J27" s="2"/>
      <c r="K27" s="2"/>
    </row>
    <row r="28" spans="6:18" x14ac:dyDescent="0.35">
      <c r="F28" s="44"/>
      <c r="G28" s="2"/>
      <c r="H28" s="2"/>
      <c r="I28" s="2"/>
      <c r="J28" s="2"/>
      <c r="K28" s="2"/>
    </row>
    <row r="29" spans="6:18" x14ac:dyDescent="0.35">
      <c r="F29" s="44"/>
      <c r="G29" s="2"/>
      <c r="H29" s="2"/>
      <c r="I29" s="2"/>
      <c r="J29" s="2"/>
      <c r="K29" s="2"/>
    </row>
    <row r="30" spans="6:18" x14ac:dyDescent="0.35">
      <c r="F30" s="44"/>
      <c r="G30" s="2"/>
      <c r="H30" s="2"/>
      <c r="I30" s="2"/>
      <c r="J30" s="2"/>
      <c r="K30" s="2"/>
    </row>
    <row r="31" spans="6:18" x14ac:dyDescent="0.35">
      <c r="F31" s="44"/>
      <c r="G31" s="2"/>
      <c r="H31" s="2"/>
      <c r="I31" s="2"/>
      <c r="J31" s="2"/>
      <c r="K31" s="2"/>
    </row>
    <row r="32" spans="6:18" x14ac:dyDescent="0.35">
      <c r="F32" s="44"/>
      <c r="G32" s="2"/>
      <c r="H32" s="2"/>
      <c r="I32" s="2"/>
      <c r="J32" s="2"/>
      <c r="K32" s="2"/>
    </row>
    <row r="33" spans="6:11" x14ac:dyDescent="0.35">
      <c r="F33" s="44"/>
      <c r="G33" s="2"/>
      <c r="H33" s="2"/>
      <c r="I33" s="2"/>
      <c r="J33" s="2"/>
      <c r="K33" s="2"/>
    </row>
    <row r="34" spans="6:11" x14ac:dyDescent="0.35">
      <c r="F34" s="44"/>
      <c r="G34" s="2"/>
      <c r="H34" s="2"/>
      <c r="I34" s="2"/>
      <c r="J34" s="2"/>
      <c r="K34" s="2"/>
    </row>
    <row r="35" spans="6:11" x14ac:dyDescent="0.35">
      <c r="F35" s="44"/>
      <c r="G35" s="2"/>
      <c r="H35" s="2"/>
      <c r="I35" s="2"/>
      <c r="J35" s="2"/>
      <c r="K35" s="2"/>
    </row>
    <row r="36" spans="6:11" x14ac:dyDescent="0.35">
      <c r="F36" s="44"/>
      <c r="G36" s="2"/>
      <c r="H36" s="2"/>
      <c r="I36" s="2"/>
      <c r="J36" s="2"/>
      <c r="K36" s="2"/>
    </row>
    <row r="37" spans="6:11" x14ac:dyDescent="0.35">
      <c r="F37" s="44"/>
      <c r="G37" s="2"/>
      <c r="H37" s="2"/>
      <c r="I37" s="2"/>
      <c r="J37" s="2"/>
      <c r="K37" s="2"/>
    </row>
    <row r="38" spans="6:11" x14ac:dyDescent="0.35">
      <c r="F38" s="44"/>
      <c r="G38" s="2"/>
      <c r="H38" s="2"/>
      <c r="I38" s="2"/>
      <c r="J38" s="2"/>
      <c r="K38" s="2"/>
    </row>
    <row r="39" spans="6:11" x14ac:dyDescent="0.35">
      <c r="F39" s="44"/>
      <c r="G39" s="2"/>
      <c r="H39" s="2"/>
      <c r="I39" s="2"/>
      <c r="J39" s="2"/>
      <c r="K39" s="2"/>
    </row>
    <row r="40" spans="6:11" x14ac:dyDescent="0.35">
      <c r="F40" s="44"/>
      <c r="G40" s="2"/>
      <c r="H40" s="2"/>
      <c r="I40" s="2"/>
      <c r="J40" s="2"/>
      <c r="K40" s="2"/>
    </row>
    <row r="41" spans="6:11" x14ac:dyDescent="0.35">
      <c r="F41" s="44"/>
      <c r="G41" s="2"/>
      <c r="H41" s="2"/>
      <c r="I41" s="2"/>
      <c r="J41" s="2"/>
      <c r="K41" s="2"/>
    </row>
    <row r="42" spans="6:11" x14ac:dyDescent="0.35">
      <c r="F42" s="44"/>
      <c r="G42" s="2"/>
      <c r="H42" s="2"/>
      <c r="I42" s="2"/>
      <c r="J42" s="2"/>
      <c r="K42" s="2"/>
    </row>
    <row r="43" spans="6:11" x14ac:dyDescent="0.35">
      <c r="F43" s="44"/>
      <c r="G43" s="2"/>
      <c r="H43" s="2"/>
      <c r="I43" s="2"/>
      <c r="J43" s="2"/>
      <c r="K43" s="2"/>
    </row>
    <row r="44" spans="6:11" x14ac:dyDescent="0.35">
      <c r="F44" s="44"/>
      <c r="G44" s="2"/>
      <c r="H44" s="2"/>
      <c r="I44" s="2"/>
      <c r="J44" s="2"/>
      <c r="K44" s="2"/>
    </row>
    <row r="45" spans="6:11" x14ac:dyDescent="0.35">
      <c r="F45" s="44"/>
      <c r="G45" s="2"/>
      <c r="H45" s="2"/>
      <c r="I45" s="2"/>
      <c r="J45" s="2"/>
      <c r="K45" s="2"/>
    </row>
    <row r="46" spans="6:11" x14ac:dyDescent="0.35">
      <c r="F46" s="44"/>
      <c r="G46" s="2"/>
      <c r="H46" s="2"/>
      <c r="I46" s="2"/>
      <c r="J46" s="2"/>
      <c r="K46" s="2"/>
    </row>
    <row r="47" spans="6:11" x14ac:dyDescent="0.35">
      <c r="F47" s="44"/>
      <c r="G47" s="2"/>
      <c r="H47" s="2"/>
      <c r="I47" s="2"/>
      <c r="J47" s="2"/>
      <c r="K47" s="2"/>
    </row>
    <row r="48" spans="6:11" x14ac:dyDescent="0.35">
      <c r="F48" s="44"/>
      <c r="G48" s="2"/>
      <c r="H48" s="2"/>
      <c r="I48" s="2"/>
      <c r="J48" s="2"/>
      <c r="K48" s="2"/>
    </row>
    <row r="49" spans="6:11" x14ac:dyDescent="0.35">
      <c r="F49" s="44"/>
      <c r="G49" s="2"/>
      <c r="H49" s="2"/>
      <c r="I49" s="2"/>
      <c r="J49" s="2"/>
      <c r="K49" s="2"/>
    </row>
    <row r="50" spans="6:11" x14ac:dyDescent="0.35">
      <c r="F50" s="44"/>
      <c r="G50" s="2"/>
      <c r="H50" s="2"/>
      <c r="I50" s="2"/>
      <c r="J50" s="2"/>
      <c r="K50" s="2"/>
    </row>
    <row r="51" spans="6:11" x14ac:dyDescent="0.35">
      <c r="F51" s="44"/>
      <c r="G51" s="2"/>
      <c r="H51" s="2"/>
      <c r="I51" s="2"/>
      <c r="J51" s="2"/>
      <c r="K51" s="2"/>
    </row>
    <row r="52" spans="6:11" x14ac:dyDescent="0.35">
      <c r="F52" s="44"/>
      <c r="G52" s="2"/>
      <c r="H52" s="2"/>
      <c r="I52" s="2"/>
      <c r="J52" s="2"/>
      <c r="K52" s="2"/>
    </row>
    <row r="53" spans="6:11" x14ac:dyDescent="0.35">
      <c r="F53" s="44"/>
      <c r="G53" s="2"/>
      <c r="H53" s="2"/>
      <c r="I53" s="2"/>
      <c r="J53" s="2"/>
      <c r="K53" s="2"/>
    </row>
    <row r="54" spans="6:11" x14ac:dyDescent="0.35">
      <c r="F54" s="44"/>
      <c r="G54" s="2"/>
      <c r="H54" s="2"/>
      <c r="I54" s="2"/>
      <c r="J54" s="2"/>
      <c r="K54" s="2"/>
    </row>
    <row r="55" spans="6:11" x14ac:dyDescent="0.35">
      <c r="F55" s="44"/>
      <c r="G55" s="2"/>
      <c r="H55" s="2"/>
      <c r="I55" s="2"/>
      <c r="J55" s="2"/>
      <c r="K55" s="2"/>
    </row>
    <row r="56" spans="6:11" x14ac:dyDescent="0.35">
      <c r="F56" s="44"/>
      <c r="G56" s="2"/>
      <c r="H56" s="2"/>
      <c r="I56" s="2"/>
      <c r="J56" s="2"/>
      <c r="K56" s="2"/>
    </row>
    <row r="57" spans="6:11" x14ac:dyDescent="0.35">
      <c r="F57" s="44"/>
      <c r="G57" s="2"/>
      <c r="H57" s="2"/>
      <c r="I57" s="2"/>
      <c r="J57" s="2"/>
      <c r="K57" s="2"/>
    </row>
    <row r="58" spans="6:11" x14ac:dyDescent="0.35">
      <c r="F58" s="44"/>
      <c r="G58" s="2"/>
      <c r="H58" s="2"/>
      <c r="I58" s="2"/>
      <c r="J58" s="2"/>
      <c r="K58" s="2"/>
    </row>
    <row r="59" spans="6:11" x14ac:dyDescent="0.35">
      <c r="F59" s="44"/>
      <c r="G59" s="2"/>
      <c r="H59" s="2"/>
      <c r="I59" s="2"/>
      <c r="J59" s="2"/>
      <c r="K59" s="2"/>
    </row>
    <row r="60" spans="6:11" x14ac:dyDescent="0.35">
      <c r="F60" s="44"/>
      <c r="G60" s="2"/>
      <c r="H60" s="2"/>
      <c r="I60" s="2"/>
      <c r="J60" s="2"/>
      <c r="K60" s="2"/>
    </row>
    <row r="61" spans="6:11" x14ac:dyDescent="0.35">
      <c r="F61" s="44"/>
      <c r="G61" s="2"/>
      <c r="H61" s="2"/>
      <c r="I61" s="2"/>
      <c r="J61" s="2"/>
      <c r="K61" s="2"/>
    </row>
    <row r="62" spans="6:11" x14ac:dyDescent="0.35">
      <c r="F62" s="44"/>
      <c r="G62" s="2"/>
      <c r="H62" s="2"/>
      <c r="I62" s="2"/>
      <c r="J62" s="2"/>
      <c r="K62" s="2"/>
    </row>
    <row r="63" spans="6:11" x14ac:dyDescent="0.35">
      <c r="F63" s="44"/>
      <c r="G63" s="2"/>
      <c r="H63" s="2"/>
      <c r="I63" s="2"/>
      <c r="J63" s="2"/>
      <c r="K63" s="2"/>
    </row>
    <row r="64" spans="6:11" x14ac:dyDescent="0.35">
      <c r="F64" s="44"/>
      <c r="G64" s="2"/>
      <c r="H64" s="2"/>
      <c r="I64" s="2"/>
      <c r="J64" s="2"/>
      <c r="K64" s="2"/>
    </row>
    <row r="65" spans="6:11" x14ac:dyDescent="0.35">
      <c r="F65" s="44"/>
      <c r="G65" s="2"/>
      <c r="H65" s="2"/>
      <c r="I65" s="2"/>
      <c r="J65" s="2"/>
      <c r="K65" s="2"/>
    </row>
    <row r="66" spans="6:11" x14ac:dyDescent="0.35">
      <c r="F66" s="44"/>
      <c r="G66" s="2"/>
      <c r="H66" s="2"/>
      <c r="I66" s="2"/>
      <c r="J66" s="2"/>
      <c r="K66" s="2"/>
    </row>
    <row r="67" spans="6:11" x14ac:dyDescent="0.35">
      <c r="F67" s="44"/>
      <c r="G67" s="2"/>
      <c r="H67" s="2"/>
      <c r="I67" s="2"/>
      <c r="J67" s="2"/>
      <c r="K67" s="2"/>
    </row>
    <row r="68" spans="6:11" x14ac:dyDescent="0.35">
      <c r="F68" s="44"/>
      <c r="G68" s="2"/>
      <c r="H68" s="2"/>
      <c r="I68" s="2"/>
      <c r="J68" s="2"/>
      <c r="K68" s="2"/>
    </row>
    <row r="69" spans="6:11" x14ac:dyDescent="0.35">
      <c r="F69" s="44"/>
      <c r="G69" s="2"/>
      <c r="H69" s="2"/>
      <c r="I69" s="2"/>
      <c r="J69" s="2"/>
      <c r="K69" s="2"/>
    </row>
    <row r="70" spans="6:11" x14ac:dyDescent="0.35">
      <c r="F70" s="44"/>
      <c r="G70" s="2"/>
      <c r="H70" s="2"/>
      <c r="I70" s="2"/>
      <c r="J70" s="2"/>
      <c r="K70" s="2"/>
    </row>
    <row r="71" spans="6:11" x14ac:dyDescent="0.35">
      <c r="F71" s="44"/>
      <c r="G71" s="2"/>
      <c r="H71" s="2"/>
      <c r="I71" s="2"/>
      <c r="J71" s="2"/>
      <c r="K71" s="2"/>
    </row>
    <row r="72" spans="6:11" x14ac:dyDescent="0.35">
      <c r="F72" s="44"/>
      <c r="G72" s="2"/>
      <c r="H72" s="2"/>
      <c r="I72" s="2"/>
      <c r="J72" s="2"/>
      <c r="K72" s="2"/>
    </row>
    <row r="73" spans="6:11" x14ac:dyDescent="0.35">
      <c r="F73" s="44"/>
      <c r="G73" s="2"/>
      <c r="H73" s="2"/>
      <c r="I73" s="2"/>
      <c r="J73" s="2"/>
      <c r="K73" s="2"/>
    </row>
    <row r="74" spans="6:11" x14ac:dyDescent="0.35">
      <c r="F74" s="44"/>
      <c r="G74" s="2"/>
      <c r="H74" s="2"/>
      <c r="I74" s="2"/>
      <c r="J74" s="2"/>
      <c r="K74" s="2"/>
    </row>
    <row r="75" spans="6:11" x14ac:dyDescent="0.35">
      <c r="F75" s="44"/>
      <c r="G75" s="2"/>
      <c r="H75" s="2"/>
      <c r="I75" s="2"/>
      <c r="J75" s="2"/>
      <c r="K75" s="2"/>
    </row>
    <row r="76" spans="6:11" x14ac:dyDescent="0.35">
      <c r="F76" s="44"/>
      <c r="G76" s="2"/>
      <c r="H76" s="2"/>
      <c r="I76" s="2"/>
      <c r="J76" s="2"/>
      <c r="K76" s="2"/>
    </row>
    <row r="77" spans="6:11" x14ac:dyDescent="0.35">
      <c r="F77" s="44"/>
      <c r="G77" s="2"/>
      <c r="H77" s="2"/>
      <c r="I77" s="2"/>
      <c r="J77" s="2"/>
      <c r="K77" s="2"/>
    </row>
    <row r="78" spans="6:11" x14ac:dyDescent="0.35">
      <c r="F78" s="44"/>
      <c r="G78" s="2"/>
      <c r="H78" s="2"/>
      <c r="I78" s="2"/>
      <c r="J78" s="2"/>
      <c r="K78" s="2"/>
    </row>
    <row r="79" spans="6:11" x14ac:dyDescent="0.35">
      <c r="F79" s="44"/>
      <c r="G79" s="2"/>
      <c r="H79" s="2"/>
      <c r="I79" s="2"/>
      <c r="J79" s="2"/>
      <c r="K79" s="2"/>
    </row>
    <row r="80" spans="6:11" x14ac:dyDescent="0.35">
      <c r="F80" s="44"/>
      <c r="G80" s="2"/>
      <c r="H80" s="2"/>
      <c r="I80" s="2"/>
      <c r="J80" s="2"/>
      <c r="K80" s="2"/>
    </row>
    <row r="81" spans="6:11" x14ac:dyDescent="0.35">
      <c r="F81" s="44"/>
      <c r="G81" s="2"/>
      <c r="H81" s="2"/>
      <c r="I81" s="2"/>
      <c r="J81" s="2"/>
      <c r="K81" s="2"/>
    </row>
    <row r="82" spans="6:11" x14ac:dyDescent="0.35">
      <c r="F82" s="44"/>
      <c r="G82" s="2"/>
      <c r="H82" s="2"/>
      <c r="I82" s="2"/>
      <c r="J82" s="2"/>
      <c r="K82" s="2"/>
    </row>
    <row r="83" spans="6:11" x14ac:dyDescent="0.35">
      <c r="F83" s="44"/>
      <c r="G83" s="2"/>
      <c r="H83" s="2"/>
      <c r="I83" s="2"/>
      <c r="J83" s="2"/>
      <c r="K83" s="2"/>
    </row>
    <row r="84" spans="6:11" x14ac:dyDescent="0.35">
      <c r="F84" s="44"/>
      <c r="G84" s="2"/>
      <c r="H84" s="2"/>
      <c r="I84" s="2"/>
      <c r="J84" s="2"/>
      <c r="K84" s="2"/>
    </row>
    <row r="85" spans="6:11" x14ac:dyDescent="0.35">
      <c r="F85" s="44"/>
      <c r="G85" s="2"/>
      <c r="H85" s="2"/>
      <c r="I85" s="2"/>
      <c r="J85" s="2"/>
      <c r="K85" s="2"/>
    </row>
    <row r="86" spans="6:11" x14ac:dyDescent="0.35">
      <c r="F86" s="44"/>
      <c r="G86" s="2"/>
      <c r="H86" s="2"/>
      <c r="I86" s="2"/>
      <c r="J86" s="2"/>
      <c r="K86" s="2"/>
    </row>
    <row r="87" spans="6:11" x14ac:dyDescent="0.35">
      <c r="F87" s="44"/>
      <c r="G87" s="2"/>
      <c r="H87" s="2"/>
      <c r="I87" s="2"/>
      <c r="J87" s="2"/>
      <c r="K87" s="2"/>
    </row>
    <row r="88" spans="6:11" x14ac:dyDescent="0.35">
      <c r="F88" s="44"/>
      <c r="G88" s="2"/>
      <c r="H88" s="2"/>
      <c r="I88" s="2"/>
      <c r="J88" s="2"/>
      <c r="K88" s="2"/>
    </row>
    <row r="89" spans="6:11" x14ac:dyDescent="0.35">
      <c r="F89" s="44"/>
      <c r="G89" s="2"/>
      <c r="H89" s="2"/>
      <c r="I89" s="2"/>
      <c r="J89" s="2"/>
      <c r="K89" s="2"/>
    </row>
    <row r="90" spans="6:11" x14ac:dyDescent="0.35">
      <c r="F90" s="44"/>
      <c r="G90" s="2"/>
      <c r="H90" s="2"/>
      <c r="I90" s="2"/>
      <c r="J90" s="2"/>
      <c r="K90" s="2"/>
    </row>
    <row r="91" spans="6:11" x14ac:dyDescent="0.35">
      <c r="F91" s="44"/>
      <c r="G91" s="2"/>
      <c r="H91" s="2"/>
      <c r="I91" s="2"/>
      <c r="J91" s="2"/>
      <c r="K91" s="2"/>
    </row>
    <row r="92" spans="6:11" x14ac:dyDescent="0.35">
      <c r="F92" s="44"/>
      <c r="G92" s="2"/>
      <c r="H92" s="2"/>
      <c r="I92" s="2"/>
      <c r="J92" s="2"/>
      <c r="K92" s="2"/>
    </row>
    <row r="93" spans="6:11" x14ac:dyDescent="0.35">
      <c r="F93" s="44"/>
      <c r="G93" s="2"/>
      <c r="H93" s="51"/>
      <c r="I93" s="2"/>
      <c r="J93" s="2"/>
      <c r="K93" s="2"/>
    </row>
    <row r="94" spans="6:11" x14ac:dyDescent="0.35">
      <c r="F94" s="44"/>
      <c r="G94" s="2"/>
      <c r="H94" s="2"/>
      <c r="I94" s="2"/>
      <c r="J94" s="2"/>
      <c r="K94" s="2"/>
    </row>
    <row r="95" spans="6:11" x14ac:dyDescent="0.35">
      <c r="F95" s="44"/>
      <c r="G95" s="2"/>
      <c r="H95" s="2"/>
      <c r="I95" s="2"/>
      <c r="J95" s="2"/>
      <c r="K95" s="2"/>
    </row>
    <row r="96" spans="6:11" x14ac:dyDescent="0.35">
      <c r="F96" s="44"/>
      <c r="G96" s="2"/>
      <c r="H96" s="2"/>
      <c r="I96" s="2"/>
      <c r="J96" s="2"/>
      <c r="K96" s="2"/>
    </row>
    <row r="97" spans="6:11" x14ac:dyDescent="0.35">
      <c r="F97" s="44"/>
      <c r="G97" s="2"/>
      <c r="H97" s="2"/>
      <c r="I97" s="2"/>
      <c r="J97" s="2"/>
      <c r="K97" s="2"/>
    </row>
    <row r="98" spans="6:11" x14ac:dyDescent="0.35">
      <c r="F98" s="44"/>
      <c r="G98" s="2"/>
      <c r="H98" s="2"/>
      <c r="I98" s="2"/>
      <c r="J98" s="2"/>
      <c r="K98" s="2"/>
    </row>
    <row r="99" spans="6:11" x14ac:dyDescent="0.35">
      <c r="F99" s="44"/>
      <c r="G99" s="2"/>
      <c r="H99" s="2"/>
      <c r="I99" s="2"/>
      <c r="J99" s="2"/>
      <c r="K99" s="2"/>
    </row>
    <row r="100" spans="6:11" x14ac:dyDescent="0.35">
      <c r="F100" s="44"/>
      <c r="G100" s="2"/>
      <c r="H100" s="2"/>
      <c r="I100" s="2"/>
      <c r="J100" s="2"/>
      <c r="K100" s="2"/>
    </row>
    <row r="101" spans="6:11" x14ac:dyDescent="0.35">
      <c r="F101" s="44"/>
      <c r="G101" s="2"/>
      <c r="H101" s="2"/>
      <c r="I101" s="2"/>
      <c r="J101" s="2"/>
      <c r="K101" s="2"/>
    </row>
    <row r="102" spans="6:11" x14ac:dyDescent="0.35">
      <c r="F102" s="44"/>
      <c r="G102" s="2"/>
      <c r="H102" s="2"/>
      <c r="I102" s="2"/>
      <c r="J102" s="2"/>
      <c r="K102" s="2"/>
    </row>
    <row r="103" spans="6:11" x14ac:dyDescent="0.35">
      <c r="F103" s="44"/>
      <c r="G103" s="2"/>
      <c r="H103" s="2"/>
      <c r="I103" s="2"/>
      <c r="J103" s="2"/>
      <c r="K103" s="2"/>
    </row>
    <row r="104" spans="6:11" x14ac:dyDescent="0.35">
      <c r="F104" s="44"/>
      <c r="G104" s="2"/>
      <c r="H104" s="2"/>
      <c r="I104" s="2"/>
      <c r="J104" s="2"/>
      <c r="K104" s="2"/>
    </row>
    <row r="105" spans="6:11" x14ac:dyDescent="0.35">
      <c r="F105" s="44"/>
      <c r="G105" s="2"/>
      <c r="H105" s="2"/>
      <c r="I105" s="2"/>
      <c r="J105" s="2"/>
      <c r="K105" s="2"/>
    </row>
    <row r="106" spans="6:11" x14ac:dyDescent="0.35">
      <c r="F106" s="2"/>
      <c r="G106" s="2"/>
      <c r="H106" s="13"/>
      <c r="I106" s="2"/>
      <c r="J106" s="2"/>
      <c r="K106" s="2"/>
    </row>
  </sheetData>
  <mergeCells count="4">
    <mergeCell ref="P3:R3"/>
    <mergeCell ref="F3:G3"/>
    <mergeCell ref="I3:K3"/>
    <mergeCell ref="M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072E-30DC-4BA7-89B1-4FD6FD51C134}">
  <sheetPr>
    <tabColor rgb="FFFFC000"/>
  </sheetPr>
  <dimension ref="B3:AL20"/>
  <sheetViews>
    <sheetView workbookViewId="0">
      <pane ySplit="4" topLeftCell="A5" activePane="bottomLeft" state="frozen"/>
      <selection pane="bottomLeft" activeCell="C10" sqref="C10"/>
    </sheetView>
  </sheetViews>
  <sheetFormatPr defaultColWidth="8.7265625" defaultRowHeight="14.5" x14ac:dyDescent="0.35"/>
  <cols>
    <col min="2" max="2" width="20.54296875" customWidth="1"/>
    <col min="3" max="3" width="17.36328125" customWidth="1"/>
    <col min="5" max="6" width="16.7265625" customWidth="1"/>
    <col min="7" max="7" width="19.08984375" bestFit="1" customWidth="1"/>
    <col min="8" max="10" width="16.7265625" customWidth="1"/>
    <col min="11" max="11" width="5.453125" customWidth="1"/>
    <col min="12" max="12" width="14.6328125" customWidth="1"/>
    <col min="13" max="13" width="24.36328125" bestFit="1" customWidth="1"/>
    <col min="14" max="14" width="17.81640625" bestFit="1" customWidth="1"/>
    <col min="15" max="17" width="14.6328125" customWidth="1"/>
    <col min="18" max="18" width="6.08984375" customWidth="1"/>
    <col min="19" max="20" width="15.36328125" customWidth="1"/>
    <col min="21" max="21" width="19.08984375" bestFit="1" customWidth="1"/>
    <col min="22" max="24" width="15.36328125" customWidth="1"/>
    <col min="25" max="25" width="6.36328125" customWidth="1"/>
    <col min="26" max="26" width="14.453125" customWidth="1"/>
    <col min="27" max="27" width="20.1796875" customWidth="1"/>
    <col min="28" max="28" width="19.08984375" bestFit="1" customWidth="1"/>
    <col min="29" max="31" width="14.453125" customWidth="1"/>
    <col min="32" max="32" width="5.81640625" customWidth="1"/>
    <col min="33" max="34" width="16.90625" customWidth="1"/>
    <col min="35" max="35" width="17.81640625" bestFit="1" customWidth="1"/>
    <col min="36" max="38" width="16.90625" customWidth="1"/>
  </cols>
  <sheetData>
    <row r="3" spans="2:38" ht="18.5" x14ac:dyDescent="0.45">
      <c r="E3" s="71" t="s">
        <v>149</v>
      </c>
      <c r="F3" s="72"/>
      <c r="G3" s="45">
        <f>SUBTOTAL(9,G5:G5000)</f>
        <v>2467834</v>
      </c>
      <c r="H3" s="73"/>
      <c r="I3" s="74"/>
      <c r="J3" s="75"/>
      <c r="L3" s="71" t="s">
        <v>62</v>
      </c>
      <c r="M3" s="72"/>
      <c r="N3" s="45">
        <f>SUBTOTAL(9,N5:N5000)</f>
        <v>5965855</v>
      </c>
      <c r="O3" s="73"/>
      <c r="P3" s="74"/>
      <c r="Q3" s="75"/>
      <c r="S3" s="71" t="s">
        <v>150</v>
      </c>
      <c r="T3" s="72"/>
      <c r="U3" s="45">
        <f>SUBTOTAL(9,U5:U5000)</f>
        <v>14885163</v>
      </c>
      <c r="V3" s="73"/>
      <c r="W3" s="74"/>
      <c r="X3" s="75"/>
      <c r="Z3" s="71" t="s">
        <v>75</v>
      </c>
      <c r="AA3" s="72"/>
      <c r="AB3" s="45">
        <f>SUBTOTAL(9,AB5:AB5000)</f>
        <v>7313443</v>
      </c>
      <c r="AC3" s="73"/>
      <c r="AD3" s="74"/>
      <c r="AE3" s="75"/>
      <c r="AG3" s="71" t="s">
        <v>168</v>
      </c>
      <c r="AH3" s="72"/>
      <c r="AI3" s="45">
        <f>SUBTOTAL(9,AI5:AI5000)</f>
        <v>1722431</v>
      </c>
      <c r="AJ3" s="73"/>
      <c r="AK3" s="74"/>
      <c r="AL3" s="75"/>
    </row>
    <row r="4" spans="2:38" x14ac:dyDescent="0.35">
      <c r="B4" s="52" t="s">
        <v>87</v>
      </c>
      <c r="C4" s="52" t="s">
        <v>89</v>
      </c>
      <c r="E4" s="43" t="s">
        <v>9</v>
      </c>
      <c r="F4" s="43" t="s">
        <v>1</v>
      </c>
      <c r="G4" s="43" t="s">
        <v>10</v>
      </c>
      <c r="H4" s="43" t="s">
        <v>11</v>
      </c>
      <c r="I4" s="43" t="s">
        <v>17</v>
      </c>
      <c r="J4" s="43" t="s">
        <v>80</v>
      </c>
      <c r="L4" s="43" t="s">
        <v>9</v>
      </c>
      <c r="M4" s="43" t="s">
        <v>1</v>
      </c>
      <c r="N4" s="43" t="s">
        <v>10</v>
      </c>
      <c r="O4" s="43" t="s">
        <v>11</v>
      </c>
      <c r="P4" s="43" t="s">
        <v>17</v>
      </c>
      <c r="Q4" s="43" t="s">
        <v>80</v>
      </c>
      <c r="S4" s="43" t="s">
        <v>9</v>
      </c>
      <c r="T4" s="43" t="s">
        <v>1</v>
      </c>
      <c r="U4" s="43" t="s">
        <v>10</v>
      </c>
      <c r="V4" s="43" t="s">
        <v>11</v>
      </c>
      <c r="W4" s="43" t="s">
        <v>17</v>
      </c>
      <c r="X4" s="43" t="s">
        <v>80</v>
      </c>
      <c r="Z4" s="43" t="s">
        <v>9</v>
      </c>
      <c r="AA4" s="43" t="s">
        <v>1</v>
      </c>
      <c r="AB4" s="43" t="s">
        <v>10</v>
      </c>
      <c r="AC4" s="43" t="s">
        <v>11</v>
      </c>
      <c r="AD4" s="43" t="s">
        <v>17</v>
      </c>
      <c r="AE4" s="43" t="s">
        <v>80</v>
      </c>
      <c r="AG4" s="43" t="s">
        <v>9</v>
      </c>
      <c r="AH4" s="43" t="s">
        <v>1</v>
      </c>
      <c r="AI4" s="43" t="s">
        <v>10</v>
      </c>
      <c r="AJ4" s="43" t="s">
        <v>11</v>
      </c>
      <c r="AK4" s="43" t="s">
        <v>17</v>
      </c>
      <c r="AL4" s="43" t="s">
        <v>80</v>
      </c>
    </row>
    <row r="5" spans="2:38" x14ac:dyDescent="0.35">
      <c r="B5" s="2" t="s">
        <v>149</v>
      </c>
      <c r="C5" s="48">
        <f>G3</f>
        <v>2467834</v>
      </c>
      <c r="E5" s="44" cm="1">
        <f t="array" ref="E5:J5">_xlfn.CHOOSECOLS(_xlfn._xlws.FILTER(STATEMENT!A3:H5000,STATEMENT!H3:H5000="CONSTRUCTION"),1,2,4,6,7,8)</f>
        <v>46182</v>
      </c>
      <c r="F5" s="2" t="str">
        <v>NOCIBE</v>
      </c>
      <c r="G5" s="7">
        <v>2467834</v>
      </c>
      <c r="H5" s="2">
        <v>3898155</v>
      </c>
      <c r="I5" s="2" t="str">
        <v>ACHAT DE CIMENT 09/06/2026</v>
      </c>
      <c r="J5" s="2" t="str">
        <v>CONSTRUCTION</v>
      </c>
      <c r="L5" s="44" cm="1">
        <f t="array" ref="L5:Q8">_xlfn.CHOOSECOLS(_xlfn._xlws.FILTER(STATEMENT!A3:H5000,STATEMENT!H3:H5000="LABOUR WORK"),1,2,4,6,7,8)</f>
        <v>46154</v>
      </c>
      <c r="M5" s="2" t="str">
        <v>IDRISSOU APHISSOU</v>
      </c>
      <c r="N5" s="7">
        <v>1150000</v>
      </c>
      <c r="O5" s="2">
        <v>0</v>
      </c>
      <c r="P5" s="2" t="str">
        <v>OLABI LABOUR SOYA ACC</v>
      </c>
      <c r="Q5" s="2" t="str">
        <v>LABOUR WORK</v>
      </c>
      <c r="S5" s="44" cm="1">
        <f t="array" ref="S5:X9">_xlfn.CHOOSECOLS(_xlfn._xlws.FILTER(STATEMENT!A3:H5000,STATEMENT!H3:H5000="SERVICES"),1,2,4,6,7,8)</f>
        <v>46035</v>
      </c>
      <c r="T5" s="2" t="str">
        <v>ACE GLOBAL</v>
      </c>
      <c r="U5" s="7">
        <v>1067000</v>
      </c>
      <c r="V5" s="2">
        <v>0</v>
      </c>
      <c r="W5" s="2" t="str">
        <v>Paiement de facture Octobre 2025 (Ref )</v>
      </c>
      <c r="X5" s="2" t="str">
        <v>SERVICES</v>
      </c>
      <c r="Z5" s="44" cm="1">
        <f t="array" ref="Z5:AE7">_xlfn.CHOOSECOLS(_xlfn._xlws.FILTER(STATEMENT!A3:H5000,STATEMENT!H3:H5000="TRANSPORT/COTTON SEED"),1,2,4,6,7,8)</f>
        <v>46024</v>
      </c>
      <c r="AA5" s="2" t="str">
        <v>CERCLE DE DIEU</v>
      </c>
      <c r="AB5" s="7">
        <v>5000000</v>
      </c>
      <c r="AC5" s="2">
        <v>3898141</v>
      </c>
      <c r="AD5" s="2" t="str">
        <v>COTTON SEED TRANSPORT ACC/ ELIE</v>
      </c>
      <c r="AE5" s="2" t="str">
        <v>TRANSPORT/COTTON SEED</v>
      </c>
      <c r="AG5" s="44" cm="1">
        <f t="array" ref="AG5:AL7">_xlfn.CHOOSECOLS(_xlfn._xlws.FILTER(STATEMENT!A3:H5000,STATEMENT!H3:H5000="DGI"),1,2,4,6,7,8)</f>
        <v>46183</v>
      </c>
      <c r="AH5" s="2" t="str">
        <v>DGI</v>
      </c>
      <c r="AI5" s="7">
        <v>43200</v>
      </c>
      <c r="AJ5" s="2">
        <v>0</v>
      </c>
      <c r="AK5" s="2">
        <v>0</v>
      </c>
      <c r="AL5" s="2" t="str">
        <v>DGI</v>
      </c>
    </row>
    <row r="6" spans="2:38" x14ac:dyDescent="0.35">
      <c r="B6" s="2" t="s">
        <v>62</v>
      </c>
      <c r="C6" s="48">
        <f>N3</f>
        <v>5965855</v>
      </c>
      <c r="E6" s="44"/>
      <c r="F6" s="2"/>
      <c r="G6" s="7"/>
      <c r="H6" s="2"/>
      <c r="I6" s="2"/>
      <c r="J6" s="2"/>
      <c r="L6" s="44">
        <v>46157</v>
      </c>
      <c r="M6" s="2" t="str">
        <v>OLAITAN COMMUNICATION</v>
      </c>
      <c r="N6" s="7">
        <v>2036146</v>
      </c>
      <c r="O6" s="2">
        <v>0</v>
      </c>
      <c r="P6" s="2" t="str">
        <v>OLABI LABOUR SOYA ACC_EM01767228-12 (1044360 XOF)_EM01767228-11 (1054760)- AIB 3%</v>
      </c>
      <c r="Q6" s="2" t="str">
        <v>LABOUR WORK</v>
      </c>
      <c r="S6" s="44">
        <v>46140</v>
      </c>
      <c r="T6" s="2" t="str">
        <v>ABDULSALAM OLAKOUNLE/ ODJE NIGERIA CONTRACTOR</v>
      </c>
      <c r="U6" s="7">
        <v>1500000</v>
      </c>
      <c r="V6" s="2">
        <v>0</v>
      </c>
      <c r="W6" s="2" t="str">
        <v>OJ REAL ETP WORK , NIGERIA COTRACTER, PIPILINE WORK, BOILER OIL MILL</v>
      </c>
      <c r="X6" s="2" t="str">
        <v>SERVICES</v>
      </c>
      <c r="Z6" s="44">
        <v>46177</v>
      </c>
      <c r="AA6" s="2" t="str">
        <v>OLAITAN COMMUNICATION</v>
      </c>
      <c r="AB6" s="7">
        <v>1328459</v>
      </c>
      <c r="AC6" s="2">
        <v>3898151</v>
      </c>
      <c r="AD6" s="2" t="str">
        <v>PRESTATION DE MANUTENTION GRAINE DE COTON/SOJA/KARITE</v>
      </c>
      <c r="AE6" s="2" t="str">
        <v>TRANSPORT/COTTON SEED</v>
      </c>
      <c r="AG6" s="44">
        <v>46183</v>
      </c>
      <c r="AH6" s="2" t="str">
        <v>DGI</v>
      </c>
      <c r="AI6" s="7">
        <v>580285</v>
      </c>
      <c r="AJ6" s="2">
        <v>0</v>
      </c>
      <c r="AK6" s="2">
        <v>0</v>
      </c>
      <c r="AL6" s="2" t="str">
        <v>DGI</v>
      </c>
    </row>
    <row r="7" spans="2:38" x14ac:dyDescent="0.35">
      <c r="B7" s="2" t="s">
        <v>150</v>
      </c>
      <c r="C7" s="48">
        <f>U3</f>
        <v>14885163</v>
      </c>
      <c r="E7" s="44"/>
      <c r="F7" s="2"/>
      <c r="G7" s="7"/>
      <c r="H7" s="2"/>
      <c r="I7" s="2"/>
      <c r="J7" s="2"/>
      <c r="L7" s="44">
        <v>46170</v>
      </c>
      <c r="M7" s="2" t="str">
        <v>ETS DOS ESPOIR ET FILS</v>
      </c>
      <c r="N7" s="7">
        <v>279709</v>
      </c>
      <c r="O7" s="2">
        <v>0</v>
      </c>
      <c r="P7" s="2" t="str">
        <v>LABOUR WORK_EM01335995-329 (288360 XOF)- AIB 3%</v>
      </c>
      <c r="Q7" s="2" t="str">
        <v>LABOUR WORK</v>
      </c>
      <c r="S7" s="44">
        <v>46139</v>
      </c>
      <c r="T7" s="2" t="str">
        <v>CONTRELEC GDIZ</v>
      </c>
      <c r="U7" s="7">
        <v>4538163</v>
      </c>
      <c r="V7" s="2">
        <v>0</v>
      </c>
      <c r="W7" s="2" t="str">
        <v>PAYMENT CONTRELEC / CHEQUE CERTIFIE</v>
      </c>
      <c r="X7" s="2" t="str">
        <v>SERVICES</v>
      </c>
      <c r="Z7" s="44">
        <v>46182</v>
      </c>
      <c r="AA7" s="2" t="str">
        <v>OLAITAN COMMUNICATION</v>
      </c>
      <c r="AB7" s="7">
        <v>984984</v>
      </c>
      <c r="AC7" s="2">
        <v>3898153</v>
      </c>
      <c r="AD7" s="2" t="str">
        <v>PRESTATION DE MANUTENTION GRAINE DE COTON/SOJA/KARITE</v>
      </c>
      <c r="AE7" s="2" t="str">
        <v>TRANSPORT/COTTON SEED</v>
      </c>
      <c r="AG7" s="44">
        <v>46183</v>
      </c>
      <c r="AH7" s="2" t="str">
        <v>DGI</v>
      </c>
      <c r="AI7" s="7">
        <v>1098946</v>
      </c>
      <c r="AJ7" s="2">
        <v>0</v>
      </c>
      <c r="AK7" s="2">
        <v>0</v>
      </c>
      <c r="AL7" s="2" t="str">
        <v>DGI</v>
      </c>
    </row>
    <row r="8" spans="2:38" x14ac:dyDescent="0.35">
      <c r="B8" s="2" t="s">
        <v>75</v>
      </c>
      <c r="C8" s="53">
        <f>AB3</f>
        <v>7313443</v>
      </c>
      <c r="E8" s="44"/>
      <c r="F8" s="2"/>
      <c r="G8" s="7"/>
      <c r="H8" s="2"/>
      <c r="I8" s="2"/>
      <c r="J8" s="2"/>
      <c r="L8" s="44">
        <v>46182</v>
      </c>
      <c r="M8" s="2" t="str">
        <v>OLAITAN COMMUNICATION</v>
      </c>
      <c r="N8" s="7">
        <v>2500000</v>
      </c>
      <c r="O8" s="2">
        <v>3898154</v>
      </c>
      <c r="P8" s="2" t="str">
        <v>OLABI LABOUR WORK SOYA ACCOMPTE</v>
      </c>
      <c r="Q8" s="2" t="str">
        <v>LABOUR WORK</v>
      </c>
      <c r="S8" s="44">
        <v>46245</v>
      </c>
      <c r="T8" s="2" t="str">
        <v>SALARY JULY</v>
      </c>
      <c r="U8" s="7">
        <v>3280000</v>
      </c>
      <c r="V8" s="2">
        <v>0</v>
      </c>
      <c r="W8" s="2" t="str">
        <v>ORDRE DE VIREMENT SALAIRE MAI 2026</v>
      </c>
      <c r="X8" s="2" t="str">
        <v>SERVICES</v>
      </c>
      <c r="Z8" s="44"/>
      <c r="AA8" s="2"/>
      <c r="AB8" s="7"/>
      <c r="AC8" s="2"/>
      <c r="AD8" s="2"/>
      <c r="AE8" s="2"/>
      <c r="AG8" s="44"/>
      <c r="AH8" s="2"/>
      <c r="AI8" s="7"/>
      <c r="AJ8" s="2"/>
      <c r="AK8" s="2"/>
      <c r="AL8" s="2"/>
    </row>
    <row r="9" spans="2:38" x14ac:dyDescent="0.35">
      <c r="B9" s="2" t="s">
        <v>168</v>
      </c>
      <c r="C9" s="48">
        <f>AI3</f>
        <v>1722431</v>
      </c>
      <c r="E9" s="44"/>
      <c r="F9" s="2"/>
      <c r="G9" s="7"/>
      <c r="H9" s="2"/>
      <c r="I9" s="2"/>
      <c r="J9" s="2"/>
      <c r="L9" s="44"/>
      <c r="M9" s="2"/>
      <c r="N9" s="7"/>
      <c r="O9" s="2"/>
      <c r="P9" s="2"/>
      <c r="Q9" s="2"/>
      <c r="S9" s="44">
        <v>46248</v>
      </c>
      <c r="T9" s="2" t="str">
        <v>ADIGNON SYLVAIN / CASH SALARY</v>
      </c>
      <c r="U9" s="7">
        <v>4500000</v>
      </c>
      <c r="V9" s="2">
        <v>3898158</v>
      </c>
      <c r="W9" s="2" t="str">
        <v>NAP EMPLOYEE CASH SALARY</v>
      </c>
      <c r="X9" s="2" t="str">
        <v>SERVICES</v>
      </c>
      <c r="Z9" s="44"/>
      <c r="AA9" s="2"/>
      <c r="AB9" s="7"/>
      <c r="AC9" s="2"/>
      <c r="AD9" s="2"/>
      <c r="AE9" s="2"/>
      <c r="AG9" s="44"/>
      <c r="AH9" s="2"/>
      <c r="AI9" s="7"/>
      <c r="AJ9" s="2"/>
      <c r="AK9" s="2"/>
      <c r="AL9" s="2"/>
    </row>
    <row r="10" spans="2:38" x14ac:dyDescent="0.35">
      <c r="B10" s="2"/>
      <c r="C10" s="48"/>
      <c r="E10" s="44"/>
      <c r="F10" s="2"/>
      <c r="G10" s="7"/>
      <c r="H10" s="2"/>
      <c r="I10" s="2"/>
      <c r="J10" s="2"/>
      <c r="L10" s="44"/>
      <c r="M10" s="2"/>
      <c r="N10" s="7"/>
      <c r="O10" s="2"/>
      <c r="P10" s="2"/>
      <c r="Q10" s="2"/>
      <c r="S10" s="44"/>
      <c r="T10" s="2"/>
      <c r="U10" s="7"/>
      <c r="V10" s="2"/>
      <c r="W10" s="2"/>
      <c r="X10" s="2"/>
      <c r="Z10" s="44"/>
      <c r="AA10" s="2"/>
      <c r="AB10" s="7"/>
      <c r="AC10" s="2"/>
      <c r="AD10" s="2"/>
      <c r="AE10" s="2"/>
      <c r="AG10" s="44"/>
      <c r="AH10" s="2"/>
      <c r="AI10" s="7"/>
      <c r="AJ10" s="2"/>
      <c r="AK10" s="2"/>
      <c r="AL10" s="2"/>
    </row>
    <row r="11" spans="2:38" x14ac:dyDescent="0.35">
      <c r="B11" s="2"/>
      <c r="C11" s="48"/>
      <c r="E11" s="44"/>
      <c r="F11" s="2"/>
      <c r="G11" s="7"/>
      <c r="H11" s="2"/>
      <c r="I11" s="2"/>
      <c r="J11" s="2"/>
      <c r="L11" s="44"/>
      <c r="M11" s="2"/>
      <c r="N11" s="7"/>
      <c r="O11" s="2"/>
      <c r="P11" s="2"/>
      <c r="Q11" s="2"/>
      <c r="S11" s="44"/>
      <c r="T11" s="2"/>
      <c r="U11" s="7"/>
      <c r="V11" s="2"/>
      <c r="W11" s="2"/>
      <c r="X11" s="2"/>
      <c r="Z11" s="44"/>
      <c r="AA11" s="2"/>
      <c r="AB11" s="7"/>
      <c r="AC11" s="2"/>
      <c r="AD11" s="2"/>
      <c r="AE11" s="2"/>
      <c r="AG11" s="44"/>
      <c r="AH11" s="2"/>
      <c r="AI11" s="7"/>
      <c r="AJ11" s="2"/>
      <c r="AK11" s="2"/>
      <c r="AL11" s="2"/>
    </row>
    <row r="12" spans="2:38" x14ac:dyDescent="0.35">
      <c r="B12" s="2"/>
      <c r="C12" s="48"/>
      <c r="E12" s="44"/>
      <c r="F12" s="2"/>
      <c r="G12" s="7"/>
      <c r="H12" s="2"/>
      <c r="I12" s="2"/>
      <c r="J12" s="2"/>
      <c r="L12" s="44"/>
      <c r="M12" s="2"/>
      <c r="N12" s="7"/>
      <c r="O12" s="2"/>
      <c r="P12" s="2"/>
      <c r="Q12" s="2"/>
      <c r="S12" s="44"/>
      <c r="T12" s="2"/>
      <c r="U12" s="7"/>
      <c r="V12" s="2"/>
      <c r="W12" s="2"/>
      <c r="X12" s="2"/>
      <c r="Z12" s="44"/>
      <c r="AA12" s="2"/>
      <c r="AB12" s="7"/>
      <c r="AC12" s="2"/>
      <c r="AD12" s="2"/>
      <c r="AE12" s="2"/>
      <c r="AG12" s="44"/>
      <c r="AH12" s="2"/>
      <c r="AI12" s="7"/>
      <c r="AJ12" s="2"/>
      <c r="AK12" s="2"/>
      <c r="AL12" s="2"/>
    </row>
    <row r="13" spans="2:38" x14ac:dyDescent="0.35">
      <c r="B13" s="2"/>
      <c r="C13" s="48"/>
      <c r="E13" s="44"/>
      <c r="F13" s="2"/>
      <c r="G13" s="7"/>
      <c r="H13" s="2"/>
      <c r="I13" s="2"/>
      <c r="J13" s="2"/>
      <c r="L13" s="44"/>
      <c r="M13" s="2"/>
      <c r="N13" s="13"/>
      <c r="O13" s="2"/>
      <c r="P13" s="2"/>
      <c r="Q13" s="2"/>
      <c r="S13" s="44"/>
      <c r="T13" s="2"/>
      <c r="U13" s="7"/>
      <c r="V13" s="2"/>
      <c r="W13" s="2"/>
      <c r="X13" s="2"/>
      <c r="Z13" s="44"/>
      <c r="AA13" s="2"/>
      <c r="AB13" s="7"/>
      <c r="AC13" s="2"/>
      <c r="AD13" s="2"/>
      <c r="AE13" s="2"/>
      <c r="AG13" s="44"/>
      <c r="AH13" s="2"/>
      <c r="AI13" s="7"/>
      <c r="AJ13" s="2"/>
      <c r="AK13" s="2"/>
      <c r="AL13" s="2"/>
    </row>
    <row r="14" spans="2:38" x14ac:dyDescent="0.35">
      <c r="B14" s="2" t="s">
        <v>88</v>
      </c>
      <c r="C14" s="49">
        <f>SUM(C5:C13)</f>
        <v>32354726</v>
      </c>
      <c r="E14" s="44"/>
      <c r="F14" s="2"/>
      <c r="G14" s="7"/>
      <c r="H14" s="2"/>
      <c r="I14" s="2"/>
      <c r="J14" s="2"/>
      <c r="L14" s="44"/>
      <c r="M14" s="2"/>
      <c r="N14" s="13"/>
      <c r="O14" s="2"/>
      <c r="P14" s="2"/>
      <c r="Q14" s="2"/>
      <c r="S14" s="44"/>
      <c r="T14" s="2"/>
      <c r="U14" s="13"/>
      <c r="V14" s="2"/>
      <c r="W14" s="2"/>
      <c r="X14" s="2"/>
      <c r="Z14" s="44"/>
      <c r="AA14" s="2"/>
      <c r="AB14" s="13"/>
      <c r="AC14" s="2"/>
      <c r="AD14" s="2"/>
      <c r="AE14" s="2"/>
      <c r="AG14" s="44"/>
      <c r="AH14" s="2"/>
      <c r="AI14" s="13"/>
      <c r="AJ14" s="2"/>
      <c r="AK14" s="2"/>
      <c r="AL14" s="2"/>
    </row>
    <row r="15" spans="2:38" x14ac:dyDescent="0.35">
      <c r="E15" s="44"/>
      <c r="F15" s="2"/>
      <c r="G15" s="7"/>
      <c r="H15" s="2"/>
      <c r="I15" s="2"/>
      <c r="J15" s="2"/>
    </row>
    <row r="16" spans="2:38" x14ac:dyDescent="0.35">
      <c r="E16" s="44"/>
      <c r="F16" s="2"/>
      <c r="G16" s="7"/>
      <c r="H16" s="2"/>
      <c r="I16" s="2"/>
      <c r="J16" s="2"/>
    </row>
    <row r="17" spans="5:10" x14ac:dyDescent="0.35">
      <c r="E17" s="44"/>
      <c r="F17" s="2"/>
      <c r="G17" s="7"/>
      <c r="H17" s="2"/>
      <c r="I17" s="2"/>
      <c r="J17" s="2"/>
    </row>
    <row r="18" spans="5:10" x14ac:dyDescent="0.35">
      <c r="E18" s="44"/>
      <c r="F18" s="2"/>
      <c r="G18" s="7"/>
      <c r="H18" s="2"/>
      <c r="I18" s="2"/>
      <c r="J18" s="2"/>
    </row>
    <row r="19" spans="5:10" x14ac:dyDescent="0.35">
      <c r="E19" s="44"/>
      <c r="F19" s="2"/>
      <c r="G19" s="13"/>
      <c r="H19" s="2"/>
      <c r="I19" s="2"/>
      <c r="J19" s="2"/>
    </row>
    <row r="20" spans="5:10" x14ac:dyDescent="0.35">
      <c r="E20" s="44"/>
      <c r="F20" s="2"/>
      <c r="G20" s="13"/>
      <c r="H20" s="2"/>
      <c r="I20" s="2"/>
      <c r="J20" s="2"/>
    </row>
  </sheetData>
  <mergeCells count="10">
    <mergeCell ref="E3:F3"/>
    <mergeCell ref="H3:J3"/>
    <mergeCell ref="L3:M3"/>
    <mergeCell ref="O3:Q3"/>
    <mergeCell ref="S3:T3"/>
    <mergeCell ref="AG3:AH3"/>
    <mergeCell ref="AJ3:AL3"/>
    <mergeCell ref="V3:X3"/>
    <mergeCell ref="Z3:AA3"/>
    <mergeCell ref="AC3:A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768D-C863-490F-A236-6E79D3EFB54A}">
  <dimension ref="B3:F42"/>
  <sheetViews>
    <sheetView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E3" sqref="E3"/>
    </sheetView>
  </sheetViews>
  <sheetFormatPr defaultColWidth="8.7265625" defaultRowHeight="14.5" x14ac:dyDescent="0.35"/>
  <cols>
    <col min="2" max="2" width="9.7265625" bestFit="1" customWidth="1"/>
    <col min="3" max="3" width="27.36328125" bestFit="1" customWidth="1"/>
    <col min="4" max="4" width="20" customWidth="1"/>
    <col min="5" max="5" width="18.6328125" customWidth="1"/>
    <col min="6" max="6" width="46.81640625" customWidth="1"/>
  </cols>
  <sheetData>
    <row r="3" spans="2:6" ht="29" x14ac:dyDescent="0.35">
      <c r="B3" s="14" t="s">
        <v>0</v>
      </c>
      <c r="C3" s="15" t="s">
        <v>1</v>
      </c>
      <c r="D3" s="16" t="s">
        <v>47</v>
      </c>
      <c r="E3" s="14" t="s">
        <v>5</v>
      </c>
      <c r="F3" s="16" t="s">
        <v>17</v>
      </c>
    </row>
    <row r="4" spans="2:6" x14ac:dyDescent="0.35">
      <c r="B4" s="3">
        <v>46113</v>
      </c>
      <c r="C4" s="2" t="s">
        <v>19</v>
      </c>
      <c r="D4" s="4">
        <v>7000000</v>
      </c>
      <c r="E4" s="6">
        <v>5447277</v>
      </c>
      <c r="F4" s="5" t="s">
        <v>16</v>
      </c>
    </row>
    <row r="5" spans="2:6" x14ac:dyDescent="0.35">
      <c r="B5" s="3">
        <v>46115</v>
      </c>
      <c r="C5" s="2" t="s">
        <v>20</v>
      </c>
      <c r="D5" s="4">
        <v>2384300</v>
      </c>
      <c r="E5" s="6">
        <v>5447278</v>
      </c>
      <c r="F5" s="5" t="s">
        <v>21</v>
      </c>
    </row>
    <row r="6" spans="2:6" x14ac:dyDescent="0.35">
      <c r="B6" s="3">
        <v>46120</v>
      </c>
      <c r="C6" s="2" t="s">
        <v>24</v>
      </c>
      <c r="D6" s="4">
        <v>1260000</v>
      </c>
      <c r="E6" s="6">
        <v>5447279</v>
      </c>
      <c r="F6" s="5" t="s">
        <v>25</v>
      </c>
    </row>
    <row r="7" spans="2:6" x14ac:dyDescent="0.35">
      <c r="B7" s="21"/>
      <c r="C7" s="22" t="s">
        <v>48</v>
      </c>
      <c r="D7" s="23"/>
      <c r="E7" s="24">
        <v>5447280</v>
      </c>
      <c r="F7" s="25" t="s">
        <v>48</v>
      </c>
    </row>
    <row r="8" spans="2:6" x14ac:dyDescent="0.35">
      <c r="B8" s="26"/>
      <c r="C8" s="27" t="s">
        <v>52</v>
      </c>
      <c r="D8" s="28">
        <v>10000000</v>
      </c>
      <c r="E8" s="29">
        <v>5447281</v>
      </c>
      <c r="F8" s="30" t="s">
        <v>53</v>
      </c>
    </row>
    <row r="9" spans="2:6" x14ac:dyDescent="0.35">
      <c r="B9" s="26"/>
      <c r="C9" s="27" t="s">
        <v>52</v>
      </c>
      <c r="D9" s="28">
        <v>4496460</v>
      </c>
      <c r="E9" s="29">
        <v>5447282</v>
      </c>
      <c r="F9" s="30" t="s">
        <v>53</v>
      </c>
    </row>
    <row r="10" spans="2:6" x14ac:dyDescent="0.35">
      <c r="B10" s="3">
        <v>46120</v>
      </c>
      <c r="C10" s="2" t="s">
        <v>22</v>
      </c>
      <c r="D10" s="4">
        <v>428400</v>
      </c>
      <c r="E10" s="6">
        <v>5447283</v>
      </c>
      <c r="F10" s="5" t="s">
        <v>23</v>
      </c>
    </row>
    <row r="11" spans="2:6" x14ac:dyDescent="0.35">
      <c r="B11" s="3">
        <v>46120</v>
      </c>
      <c r="C11" s="2" t="s">
        <v>14</v>
      </c>
      <c r="D11" s="4">
        <v>302931</v>
      </c>
      <c r="E11" s="6">
        <v>5447284</v>
      </c>
      <c r="F11" s="5" t="s">
        <v>18</v>
      </c>
    </row>
    <row r="12" spans="2:6" x14ac:dyDescent="0.35">
      <c r="B12" s="21"/>
      <c r="C12" s="22" t="s">
        <v>48</v>
      </c>
      <c r="D12" s="23"/>
      <c r="E12" s="24">
        <v>5447285</v>
      </c>
      <c r="F12" s="25" t="s">
        <v>48</v>
      </c>
    </row>
    <row r="13" spans="2:6" x14ac:dyDescent="0.35">
      <c r="B13" s="21"/>
      <c r="C13" s="22" t="s">
        <v>48</v>
      </c>
      <c r="D13" s="23"/>
      <c r="E13" s="24">
        <v>5447286</v>
      </c>
      <c r="F13" s="25" t="s">
        <v>48</v>
      </c>
    </row>
    <row r="14" spans="2:6" x14ac:dyDescent="0.35">
      <c r="B14" s="3">
        <v>46122</v>
      </c>
      <c r="C14" s="2" t="s">
        <v>27</v>
      </c>
      <c r="D14" s="4">
        <v>60000000</v>
      </c>
      <c r="E14" s="6">
        <v>5447287</v>
      </c>
      <c r="F14" s="5" t="s">
        <v>44</v>
      </c>
    </row>
    <row r="15" spans="2:6" x14ac:dyDescent="0.35">
      <c r="B15" s="3">
        <v>46132</v>
      </c>
      <c r="C15" s="2" t="s">
        <v>35</v>
      </c>
      <c r="D15" s="7">
        <v>39500</v>
      </c>
      <c r="E15" s="2">
        <v>5447288</v>
      </c>
      <c r="F15" s="2" t="s">
        <v>34</v>
      </c>
    </row>
    <row r="16" spans="2:6" x14ac:dyDescent="0.35">
      <c r="B16" s="3">
        <v>46125</v>
      </c>
      <c r="C16" s="2" t="s">
        <v>29</v>
      </c>
      <c r="D16" s="4">
        <v>1200000</v>
      </c>
      <c r="E16" s="6">
        <v>5447289</v>
      </c>
      <c r="F16" s="5" t="s">
        <v>28</v>
      </c>
    </row>
    <row r="17" spans="2:6" x14ac:dyDescent="0.35">
      <c r="B17" s="21"/>
      <c r="C17" s="22" t="s">
        <v>48</v>
      </c>
      <c r="D17" s="23"/>
      <c r="E17" s="24">
        <v>5447290</v>
      </c>
      <c r="F17" s="25" t="s">
        <v>48</v>
      </c>
    </row>
    <row r="18" spans="2:6" x14ac:dyDescent="0.35">
      <c r="B18" s="21"/>
      <c r="C18" s="22" t="s">
        <v>48</v>
      </c>
      <c r="D18" s="23"/>
      <c r="E18" s="24">
        <v>5447291</v>
      </c>
      <c r="F18" s="25" t="s">
        <v>48</v>
      </c>
    </row>
    <row r="19" spans="2:6" x14ac:dyDescent="0.35">
      <c r="B19" s="3">
        <v>46126</v>
      </c>
      <c r="C19" s="2" t="s">
        <v>30</v>
      </c>
      <c r="D19" s="7">
        <v>349200</v>
      </c>
      <c r="E19" s="2">
        <v>5447292</v>
      </c>
      <c r="F19" s="2" t="s">
        <v>8</v>
      </c>
    </row>
    <row r="20" spans="2:6" x14ac:dyDescent="0.35">
      <c r="B20" s="3">
        <v>46126</v>
      </c>
      <c r="C20" s="2" t="s">
        <v>27</v>
      </c>
      <c r="D20" s="7">
        <v>80000000</v>
      </c>
      <c r="E20" s="2">
        <v>5447293</v>
      </c>
      <c r="F20" s="5" t="s">
        <v>44</v>
      </c>
    </row>
    <row r="21" spans="2:6" x14ac:dyDescent="0.35">
      <c r="B21" s="3">
        <v>46128</v>
      </c>
      <c r="C21" s="2" t="s">
        <v>6</v>
      </c>
      <c r="D21" s="7">
        <v>501917</v>
      </c>
      <c r="E21" s="2">
        <v>5447294</v>
      </c>
      <c r="F21" s="2" t="s">
        <v>31</v>
      </c>
    </row>
    <row r="22" spans="2:6" x14ac:dyDescent="0.35">
      <c r="B22" s="3">
        <v>46128</v>
      </c>
      <c r="C22" s="2" t="s">
        <v>6</v>
      </c>
      <c r="D22" s="7">
        <v>1000000</v>
      </c>
      <c r="E22" s="2">
        <v>5447295</v>
      </c>
      <c r="F22" s="2" t="s">
        <v>32</v>
      </c>
    </row>
    <row r="23" spans="2:6" x14ac:dyDescent="0.35">
      <c r="B23" s="3">
        <v>46127</v>
      </c>
      <c r="C23" s="2" t="s">
        <v>27</v>
      </c>
      <c r="D23" s="7">
        <v>105000000</v>
      </c>
      <c r="E23" s="2">
        <v>5447296</v>
      </c>
      <c r="F23" s="5" t="s">
        <v>44</v>
      </c>
    </row>
    <row r="24" spans="2:6" x14ac:dyDescent="0.35">
      <c r="B24" s="21"/>
      <c r="C24" s="22" t="s">
        <v>48</v>
      </c>
      <c r="D24" s="23"/>
      <c r="E24" s="24">
        <v>5447297</v>
      </c>
      <c r="F24" s="25" t="s">
        <v>48</v>
      </c>
    </row>
    <row r="25" spans="2:6" x14ac:dyDescent="0.35">
      <c r="B25" s="3">
        <v>46129</v>
      </c>
      <c r="C25" s="2" t="s">
        <v>15</v>
      </c>
      <c r="D25" s="7">
        <v>396158</v>
      </c>
      <c r="E25" s="2">
        <v>5447298</v>
      </c>
      <c r="F25" s="2" t="s">
        <v>13</v>
      </c>
    </row>
    <row r="26" spans="2:6" x14ac:dyDescent="0.35">
      <c r="B26" s="21"/>
      <c r="C26" s="22" t="s">
        <v>48</v>
      </c>
      <c r="D26" s="23"/>
      <c r="E26" s="24">
        <v>5447299</v>
      </c>
      <c r="F26" s="25" t="s">
        <v>48</v>
      </c>
    </row>
    <row r="27" spans="2:6" x14ac:dyDescent="0.35">
      <c r="B27" s="3">
        <v>46139</v>
      </c>
      <c r="C27" s="2" t="s">
        <v>36</v>
      </c>
      <c r="D27" s="7">
        <v>250000</v>
      </c>
      <c r="E27" s="2">
        <v>5447300</v>
      </c>
      <c r="F27" s="5" t="s">
        <v>37</v>
      </c>
    </row>
    <row r="28" spans="2:6" x14ac:dyDescent="0.35">
      <c r="B28" s="8">
        <v>46170</v>
      </c>
      <c r="C28" s="9" t="s">
        <v>46</v>
      </c>
      <c r="D28" s="10">
        <v>226972</v>
      </c>
      <c r="E28" s="9">
        <v>5822101</v>
      </c>
      <c r="F28" s="9" t="s">
        <v>13</v>
      </c>
    </row>
    <row r="29" spans="2:6" x14ac:dyDescent="0.35">
      <c r="B29" s="3">
        <v>46147</v>
      </c>
      <c r="C29" s="2" t="s">
        <v>45</v>
      </c>
      <c r="D29" s="13">
        <v>6000000</v>
      </c>
      <c r="E29" s="2">
        <v>5822102</v>
      </c>
      <c r="F29" s="2" t="s">
        <v>16</v>
      </c>
    </row>
    <row r="30" spans="2:6" x14ac:dyDescent="0.35">
      <c r="B30" s="26">
        <v>46147</v>
      </c>
      <c r="C30" s="27"/>
      <c r="D30" s="31">
        <v>25000000</v>
      </c>
      <c r="E30" s="27">
        <v>5822103</v>
      </c>
      <c r="F30" s="27" t="s">
        <v>38</v>
      </c>
    </row>
    <row r="31" spans="2:6" x14ac:dyDescent="0.35">
      <c r="B31" s="3">
        <v>46149</v>
      </c>
      <c r="C31" s="2" t="s">
        <v>27</v>
      </c>
      <c r="D31" s="13">
        <v>120000000</v>
      </c>
      <c r="E31" s="2">
        <v>5822104</v>
      </c>
      <c r="F31" s="5" t="s">
        <v>44</v>
      </c>
    </row>
    <row r="32" spans="2:6" x14ac:dyDescent="0.35">
      <c r="B32" s="3"/>
      <c r="C32" s="22" t="s">
        <v>48</v>
      </c>
      <c r="D32" s="23"/>
      <c r="E32" s="22">
        <v>5822105</v>
      </c>
      <c r="F32" s="25" t="s">
        <v>48</v>
      </c>
    </row>
    <row r="33" spans="2:6" x14ac:dyDescent="0.35">
      <c r="B33" s="26"/>
      <c r="C33" s="32" t="s">
        <v>49</v>
      </c>
      <c r="D33" s="33">
        <v>1875495</v>
      </c>
      <c r="E33" s="27">
        <v>5822106</v>
      </c>
      <c r="F33" s="34"/>
    </row>
    <row r="34" spans="2:6" x14ac:dyDescent="0.35">
      <c r="B34" s="3">
        <v>46163</v>
      </c>
      <c r="C34" s="2" t="s">
        <v>40</v>
      </c>
      <c r="D34" s="7">
        <v>14481500</v>
      </c>
      <c r="E34" s="2">
        <v>5822107</v>
      </c>
      <c r="F34" s="2" t="s">
        <v>42</v>
      </c>
    </row>
    <row r="35" spans="2:6" x14ac:dyDescent="0.35">
      <c r="B35" s="3">
        <v>46163</v>
      </c>
      <c r="C35" s="2" t="s">
        <v>41</v>
      </c>
      <c r="D35" s="7">
        <v>20000000</v>
      </c>
      <c r="E35" s="2">
        <v>5822108</v>
      </c>
      <c r="F35" s="2" t="s">
        <v>42</v>
      </c>
    </row>
    <row r="36" spans="2:6" x14ac:dyDescent="0.35">
      <c r="B36" s="3">
        <v>46163</v>
      </c>
      <c r="C36" s="2" t="s">
        <v>39</v>
      </c>
      <c r="D36" s="7">
        <v>14005640</v>
      </c>
      <c r="E36" s="2">
        <v>5822109</v>
      </c>
      <c r="F36" s="2" t="s">
        <v>42</v>
      </c>
    </row>
    <row r="37" spans="2:6" x14ac:dyDescent="0.35">
      <c r="B37" s="3">
        <v>46164</v>
      </c>
      <c r="C37" s="2" t="s">
        <v>45</v>
      </c>
      <c r="D37" s="13">
        <v>7000000</v>
      </c>
      <c r="E37" s="2">
        <v>5822110</v>
      </c>
      <c r="F37" s="2" t="s">
        <v>16</v>
      </c>
    </row>
    <row r="38" spans="2:6" x14ac:dyDescent="0.35">
      <c r="B38" s="26">
        <v>46164</v>
      </c>
      <c r="C38" s="27" t="s">
        <v>43</v>
      </c>
      <c r="D38" s="31">
        <v>11144000</v>
      </c>
      <c r="E38" s="27">
        <v>5822111</v>
      </c>
      <c r="F38" s="27" t="s">
        <v>42</v>
      </c>
    </row>
    <row r="39" spans="2:6" x14ac:dyDescent="0.35">
      <c r="B39" s="3"/>
      <c r="C39" s="22" t="s">
        <v>48</v>
      </c>
      <c r="D39" s="23"/>
      <c r="E39" s="22">
        <v>5822112</v>
      </c>
      <c r="F39" s="22" t="s">
        <v>48</v>
      </c>
    </row>
    <row r="40" spans="2:6" x14ac:dyDescent="0.35">
      <c r="B40" s="26">
        <v>46164</v>
      </c>
      <c r="C40" s="27" t="s">
        <v>50</v>
      </c>
      <c r="D40" s="31">
        <v>27176800</v>
      </c>
      <c r="E40" s="27">
        <v>5822113</v>
      </c>
      <c r="F40" s="27" t="s">
        <v>42</v>
      </c>
    </row>
    <row r="41" spans="2:6" x14ac:dyDescent="0.35">
      <c r="B41" s="26">
        <v>46164</v>
      </c>
      <c r="C41" s="27" t="s">
        <v>51</v>
      </c>
      <c r="D41" s="31">
        <v>12921440</v>
      </c>
      <c r="E41" s="27">
        <v>5822114</v>
      </c>
      <c r="F41" s="27" t="s">
        <v>42</v>
      </c>
    </row>
    <row r="42" spans="2:6" x14ac:dyDescent="0.35">
      <c r="B42" s="3">
        <v>46170</v>
      </c>
      <c r="C42" s="2" t="s">
        <v>27</v>
      </c>
      <c r="D42" s="13">
        <v>120000000</v>
      </c>
      <c r="E42" s="2">
        <v>5822115</v>
      </c>
      <c r="F42" s="5" t="s">
        <v>44</v>
      </c>
    </row>
  </sheetData>
  <autoFilter ref="B3:F42" xr:uid="{C768768D-C863-490F-A236-6E79D3EFB54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25"/>
  <sheetViews>
    <sheetView workbookViewId="0">
      <selection activeCell="A26" sqref="A26"/>
    </sheetView>
  </sheetViews>
  <sheetFormatPr defaultColWidth="8.7265625" defaultRowHeight="14.5" x14ac:dyDescent="0.35"/>
  <cols>
    <col min="1" max="3" width="12.7265625" customWidth="1"/>
    <col min="4" max="4" width="23.1796875" bestFit="1" customWidth="1"/>
    <col min="6" max="8" width="17.7265625" customWidth="1"/>
    <col min="9" max="9" width="25.81640625" bestFit="1" customWidth="1"/>
    <col min="11" max="13" width="12.36328125" customWidth="1"/>
    <col min="14" max="14" width="13.26953125" bestFit="1" customWidth="1"/>
    <col min="16" max="18" width="13.1796875" customWidth="1"/>
    <col min="19" max="19" width="31.453125" bestFit="1" customWidth="1"/>
    <col min="21" max="21" width="8.08984375" bestFit="1" customWidth="1"/>
    <col min="22" max="22" width="11.54296875" bestFit="1" customWidth="1"/>
    <col min="23" max="23" width="7.81640625" bestFit="1" customWidth="1"/>
    <col min="24" max="24" width="23.1796875" bestFit="1" customWidth="1"/>
  </cols>
  <sheetData>
    <row r="2" spans="1:24" s="12" customFormat="1" x14ac:dyDescent="0.35">
      <c r="B2" s="12" t="s">
        <v>20</v>
      </c>
      <c r="G2" s="12" t="s">
        <v>22</v>
      </c>
      <c r="L2" s="12" t="s">
        <v>30</v>
      </c>
      <c r="Q2" s="12" t="s">
        <v>33</v>
      </c>
    </row>
    <row r="3" spans="1:24" s="12" customFormat="1" x14ac:dyDescent="0.35">
      <c r="A3" s="11" t="s">
        <v>9</v>
      </c>
      <c r="B3" s="11" t="s">
        <v>10</v>
      </c>
      <c r="C3" s="11" t="s">
        <v>11</v>
      </c>
      <c r="D3" s="11" t="s">
        <v>12</v>
      </c>
      <c r="F3" s="11" t="s">
        <v>9</v>
      </c>
      <c r="G3" s="11" t="s">
        <v>10</v>
      </c>
      <c r="H3" s="11" t="s">
        <v>11</v>
      </c>
      <c r="I3" s="11" t="s">
        <v>12</v>
      </c>
      <c r="K3" s="11" t="s">
        <v>9</v>
      </c>
      <c r="L3" s="11" t="s">
        <v>10</v>
      </c>
      <c r="M3" s="11" t="s">
        <v>11</v>
      </c>
      <c r="N3" s="11" t="s">
        <v>12</v>
      </c>
      <c r="P3" s="11" t="s">
        <v>9</v>
      </c>
      <c r="Q3" s="11" t="s">
        <v>10</v>
      </c>
      <c r="R3" s="11" t="s">
        <v>11</v>
      </c>
      <c r="S3" s="11" t="s">
        <v>12</v>
      </c>
      <c r="V3" s="12" t="s">
        <v>14</v>
      </c>
    </row>
    <row r="4" spans="1:24" x14ac:dyDescent="0.35">
      <c r="A4" s="3">
        <v>46115</v>
      </c>
      <c r="B4" s="7">
        <v>2384300</v>
      </c>
      <c r="C4" s="2">
        <v>5447278</v>
      </c>
      <c r="D4" s="2" t="s">
        <v>21</v>
      </c>
      <c r="F4" s="3">
        <v>46119</v>
      </c>
      <c r="G4" s="7">
        <v>428400</v>
      </c>
      <c r="H4" s="2">
        <v>5447283</v>
      </c>
      <c r="I4" s="2" t="s">
        <v>23</v>
      </c>
      <c r="K4" s="3">
        <v>46126</v>
      </c>
      <c r="L4" s="7">
        <v>349200</v>
      </c>
      <c r="M4" s="2">
        <v>5447292</v>
      </c>
      <c r="N4" s="2" t="s">
        <v>8</v>
      </c>
      <c r="P4" s="3">
        <v>46128</v>
      </c>
      <c r="Q4" s="7">
        <v>501917</v>
      </c>
      <c r="R4" s="2">
        <v>5447294</v>
      </c>
      <c r="S4" s="2" t="s">
        <v>31</v>
      </c>
      <c r="U4" s="11" t="s">
        <v>9</v>
      </c>
      <c r="V4" s="11" t="s">
        <v>10</v>
      </c>
      <c r="W4" s="11" t="s">
        <v>11</v>
      </c>
      <c r="X4" s="11" t="s">
        <v>12</v>
      </c>
    </row>
    <row r="5" spans="1:24" x14ac:dyDescent="0.35">
      <c r="A5" s="3"/>
      <c r="B5" s="2"/>
      <c r="C5" s="2"/>
      <c r="D5" s="2"/>
      <c r="F5" s="3"/>
      <c r="G5" s="2"/>
      <c r="H5" s="2"/>
      <c r="I5" s="2"/>
      <c r="K5" s="3"/>
      <c r="L5" s="2"/>
      <c r="M5" s="2"/>
      <c r="N5" s="2"/>
      <c r="P5" s="3">
        <v>46128</v>
      </c>
      <c r="Q5" s="7">
        <v>1000000</v>
      </c>
      <c r="R5" s="2">
        <v>5447295</v>
      </c>
      <c r="S5" s="2" t="s">
        <v>32</v>
      </c>
      <c r="U5" s="3">
        <v>46120</v>
      </c>
      <c r="V5" s="7">
        <v>302931</v>
      </c>
      <c r="W5" s="2">
        <v>5447284</v>
      </c>
      <c r="X5" s="2" t="s">
        <v>18</v>
      </c>
    </row>
    <row r="6" spans="1:24" x14ac:dyDescent="0.35">
      <c r="A6" s="3"/>
      <c r="B6" s="2"/>
      <c r="C6" s="2"/>
      <c r="D6" s="2"/>
      <c r="F6" s="3"/>
      <c r="G6" s="2"/>
      <c r="H6" s="2"/>
      <c r="I6" s="2"/>
      <c r="K6" s="3"/>
      <c r="L6" s="2"/>
      <c r="M6" s="2"/>
      <c r="N6" s="2"/>
      <c r="P6" s="3">
        <v>46038</v>
      </c>
      <c r="Q6" s="7">
        <v>774522</v>
      </c>
      <c r="R6" s="2">
        <v>5447242</v>
      </c>
      <c r="S6" s="2" t="s">
        <v>60</v>
      </c>
      <c r="U6" s="3"/>
      <c r="V6" s="2"/>
      <c r="W6" s="2"/>
      <c r="X6" s="2"/>
    </row>
    <row r="7" spans="1:24" x14ac:dyDescent="0.35">
      <c r="A7" s="3"/>
      <c r="B7" s="2"/>
      <c r="C7" s="2"/>
      <c r="D7" s="2"/>
      <c r="F7" s="3"/>
      <c r="G7" s="2"/>
      <c r="H7" s="2"/>
      <c r="I7" s="2"/>
      <c r="K7" s="3"/>
      <c r="L7" s="2"/>
      <c r="M7" s="2"/>
      <c r="N7" s="2"/>
      <c r="P7" s="3">
        <v>46055</v>
      </c>
      <c r="Q7" s="7">
        <v>3000000</v>
      </c>
      <c r="R7" s="2">
        <v>5447252</v>
      </c>
      <c r="S7" s="2" t="s">
        <v>32</v>
      </c>
      <c r="U7" s="3"/>
      <c r="V7" s="2"/>
      <c r="W7" s="2"/>
      <c r="X7" s="2"/>
    </row>
    <row r="8" spans="1:24" x14ac:dyDescent="0.35">
      <c r="A8" s="3"/>
      <c r="B8" s="2"/>
      <c r="C8" s="2"/>
      <c r="D8" s="2"/>
      <c r="F8" s="3"/>
      <c r="G8" s="2"/>
      <c r="H8" s="2"/>
      <c r="I8" s="2"/>
      <c r="K8" s="3"/>
      <c r="L8" s="2"/>
      <c r="M8" s="2"/>
      <c r="N8" s="2"/>
      <c r="P8" s="3">
        <v>46055</v>
      </c>
      <c r="Q8" s="7">
        <v>2630430</v>
      </c>
      <c r="R8" s="2">
        <v>5447251</v>
      </c>
      <c r="S8" s="2" t="s">
        <v>64</v>
      </c>
      <c r="U8" s="3"/>
      <c r="V8" s="2"/>
      <c r="W8" s="2"/>
      <c r="X8" s="2"/>
    </row>
    <row r="9" spans="1:24" x14ac:dyDescent="0.35">
      <c r="A9" s="3"/>
      <c r="B9" s="2"/>
      <c r="C9" s="2"/>
      <c r="D9" s="2"/>
      <c r="F9" s="3"/>
      <c r="G9" s="2"/>
      <c r="H9" s="2"/>
      <c r="I9" s="2"/>
      <c r="K9" s="3"/>
      <c r="L9" s="2"/>
      <c r="M9" s="2"/>
      <c r="N9" s="2"/>
      <c r="P9" s="3">
        <v>46062</v>
      </c>
      <c r="Q9" s="7">
        <v>2960667</v>
      </c>
      <c r="R9" s="2">
        <v>5447255</v>
      </c>
      <c r="S9" s="2" t="s">
        <v>64</v>
      </c>
      <c r="U9" s="3"/>
      <c r="V9" s="2"/>
      <c r="W9" s="2"/>
      <c r="X9" s="2"/>
    </row>
    <row r="10" spans="1:24" x14ac:dyDescent="0.35">
      <c r="A10" s="3"/>
      <c r="B10" s="2"/>
      <c r="C10" s="2"/>
      <c r="D10" s="2"/>
      <c r="F10" s="3"/>
      <c r="G10" s="2"/>
      <c r="H10" s="2"/>
      <c r="I10" s="2"/>
      <c r="K10" s="3"/>
      <c r="L10" s="2"/>
      <c r="M10" s="2"/>
      <c r="N10" s="2"/>
      <c r="P10" s="3">
        <v>46112</v>
      </c>
      <c r="Q10" s="7">
        <v>2000000</v>
      </c>
      <c r="R10" s="2">
        <v>5447272</v>
      </c>
      <c r="S10" s="2" t="s">
        <v>32</v>
      </c>
      <c r="U10" s="3"/>
      <c r="V10" s="2"/>
      <c r="W10" s="2"/>
      <c r="X10" s="2"/>
    </row>
    <row r="11" spans="1:24" x14ac:dyDescent="0.35">
      <c r="A11" s="3"/>
      <c r="B11" s="2"/>
      <c r="C11" s="2"/>
      <c r="D11" s="2"/>
      <c r="F11" s="3"/>
      <c r="G11" s="2"/>
      <c r="H11" s="2"/>
      <c r="I11" s="2"/>
      <c r="K11" s="3"/>
      <c r="L11" s="2"/>
      <c r="M11" s="2"/>
      <c r="N11" s="2"/>
      <c r="P11" s="3">
        <v>46112</v>
      </c>
      <c r="Q11" s="7">
        <v>788678</v>
      </c>
      <c r="R11" s="2">
        <v>5447271</v>
      </c>
      <c r="S11" s="2" t="s">
        <v>64</v>
      </c>
      <c r="U11" s="3"/>
      <c r="V11" s="2"/>
      <c r="W11" s="2"/>
      <c r="X11" s="2"/>
    </row>
    <row r="12" spans="1:24" x14ac:dyDescent="0.35">
      <c r="P12" s="3">
        <v>46164</v>
      </c>
      <c r="Q12">
        <v>1875495</v>
      </c>
      <c r="R12">
        <v>5822106</v>
      </c>
      <c r="S12" s="2" t="s">
        <v>31</v>
      </c>
      <c r="U12" s="3"/>
      <c r="V12" s="2"/>
      <c r="W12" s="2"/>
      <c r="X12" s="2"/>
    </row>
    <row r="16" spans="1:24" x14ac:dyDescent="0.35">
      <c r="A16" s="12"/>
      <c r="B16" s="12" t="s">
        <v>55</v>
      </c>
      <c r="C16" s="12"/>
      <c r="D16" s="12"/>
      <c r="F16" s="12"/>
      <c r="G16" s="12" t="s">
        <v>61</v>
      </c>
      <c r="H16" s="12"/>
      <c r="I16" s="12"/>
      <c r="K16" s="12"/>
      <c r="L16" s="12" t="s">
        <v>63</v>
      </c>
      <c r="M16" s="12"/>
      <c r="N16" s="12"/>
      <c r="P16" s="12"/>
      <c r="Q16" s="12" t="s">
        <v>65</v>
      </c>
      <c r="R16" s="12"/>
      <c r="S16" s="12"/>
    </row>
    <row r="17" spans="1:19" x14ac:dyDescent="0.35">
      <c r="A17" s="11" t="s">
        <v>9</v>
      </c>
      <c r="B17" s="11" t="s">
        <v>10</v>
      </c>
      <c r="C17" s="11" t="s">
        <v>11</v>
      </c>
      <c r="D17" s="11" t="s">
        <v>12</v>
      </c>
      <c r="F17" s="11" t="s">
        <v>9</v>
      </c>
      <c r="G17" s="11" t="s">
        <v>10</v>
      </c>
      <c r="H17" s="11" t="s">
        <v>11</v>
      </c>
      <c r="I17" s="11" t="s">
        <v>12</v>
      </c>
      <c r="K17" s="11" t="s">
        <v>9</v>
      </c>
      <c r="L17" s="11" t="s">
        <v>10</v>
      </c>
      <c r="M17" s="11" t="s">
        <v>11</v>
      </c>
      <c r="N17" s="11" t="s">
        <v>12</v>
      </c>
      <c r="P17" s="11" t="s">
        <v>9</v>
      </c>
      <c r="Q17" s="11" t="s">
        <v>10</v>
      </c>
      <c r="R17" s="11" t="s">
        <v>11</v>
      </c>
      <c r="S17" s="11" t="s">
        <v>12</v>
      </c>
    </row>
    <row r="18" spans="1:19" x14ac:dyDescent="0.35">
      <c r="A18" s="3">
        <v>46045</v>
      </c>
      <c r="B18" s="7">
        <v>2000000</v>
      </c>
      <c r="C18" s="2">
        <v>5447243</v>
      </c>
      <c r="D18" s="2" t="s">
        <v>62</v>
      </c>
      <c r="F18" s="3">
        <v>46045</v>
      </c>
      <c r="G18" s="7">
        <v>3000000</v>
      </c>
      <c r="H18" s="2">
        <v>5447245</v>
      </c>
      <c r="I18" s="2" t="s">
        <v>21</v>
      </c>
      <c r="K18" s="3">
        <v>46056</v>
      </c>
      <c r="L18" s="7">
        <v>2134000</v>
      </c>
      <c r="M18" s="2">
        <v>5447250</v>
      </c>
      <c r="N18" s="2"/>
      <c r="P18" s="3">
        <v>46056</v>
      </c>
      <c r="Q18" s="7">
        <v>1070000</v>
      </c>
      <c r="R18" s="2">
        <v>5447248</v>
      </c>
      <c r="S18" s="2" t="s">
        <v>66</v>
      </c>
    </row>
    <row r="19" spans="1:19" x14ac:dyDescent="0.35">
      <c r="A19" s="3">
        <v>46049</v>
      </c>
      <c r="B19" s="7">
        <v>1000000</v>
      </c>
      <c r="C19" s="2">
        <v>5447246</v>
      </c>
      <c r="D19" s="2" t="s">
        <v>62</v>
      </c>
      <c r="F19" s="3">
        <v>46051</v>
      </c>
      <c r="G19" s="7">
        <v>9000000</v>
      </c>
      <c r="H19" s="2">
        <v>5447249</v>
      </c>
      <c r="I19" s="2" t="s">
        <v>21</v>
      </c>
      <c r="K19" s="3"/>
      <c r="L19" s="2"/>
      <c r="M19" s="2"/>
      <c r="N19" s="2"/>
      <c r="P19" s="3"/>
      <c r="Q19" s="2"/>
      <c r="R19" s="2"/>
      <c r="S19" s="2"/>
    </row>
    <row r="20" spans="1:19" x14ac:dyDescent="0.35">
      <c r="A20" s="3">
        <v>46057</v>
      </c>
      <c r="B20" s="7">
        <v>594760</v>
      </c>
      <c r="C20" s="2">
        <v>5447253</v>
      </c>
      <c r="D20" s="2" t="s">
        <v>62</v>
      </c>
      <c r="F20" s="3">
        <v>46093</v>
      </c>
      <c r="G20" s="7">
        <v>7500000</v>
      </c>
      <c r="H20" s="2">
        <v>5447260</v>
      </c>
      <c r="I20" s="2" t="s">
        <v>21</v>
      </c>
      <c r="K20" s="3"/>
      <c r="L20" s="2"/>
      <c r="M20" s="2"/>
      <c r="N20" s="2"/>
      <c r="P20" s="3"/>
      <c r="Q20" s="2"/>
      <c r="R20" s="2"/>
      <c r="S20" s="2"/>
    </row>
    <row r="21" spans="1:19" x14ac:dyDescent="0.35">
      <c r="A21" s="3">
        <v>46112</v>
      </c>
      <c r="B21" s="7">
        <v>385371</v>
      </c>
      <c r="C21" s="2">
        <v>5447275</v>
      </c>
      <c r="D21" s="2" t="s">
        <v>62</v>
      </c>
      <c r="F21" s="3">
        <v>46112</v>
      </c>
      <c r="G21" s="7">
        <v>10000000</v>
      </c>
      <c r="H21" s="2">
        <v>5447281</v>
      </c>
      <c r="I21" s="2" t="s">
        <v>70</v>
      </c>
      <c r="K21" s="3"/>
      <c r="L21" s="2"/>
      <c r="M21" s="2"/>
      <c r="N21" s="2"/>
      <c r="P21" s="3"/>
      <c r="Q21" s="2"/>
      <c r="R21" s="2"/>
      <c r="S21" s="2"/>
    </row>
    <row r="22" spans="1:19" x14ac:dyDescent="0.35">
      <c r="A22" s="3">
        <v>46129</v>
      </c>
      <c r="B22" s="7">
        <v>396158</v>
      </c>
      <c r="C22" s="2">
        <v>5447298</v>
      </c>
      <c r="D22" s="2" t="s">
        <v>13</v>
      </c>
      <c r="F22" s="3">
        <v>46112</v>
      </c>
      <c r="G22" s="7">
        <v>4496460</v>
      </c>
      <c r="H22" s="2">
        <v>5447282</v>
      </c>
      <c r="I22" s="2" t="s">
        <v>69</v>
      </c>
      <c r="K22" s="3"/>
      <c r="L22" s="2"/>
      <c r="M22" s="2"/>
      <c r="N22" s="2"/>
      <c r="P22" s="3"/>
      <c r="Q22" s="2"/>
      <c r="R22" s="2"/>
      <c r="S22" s="2"/>
    </row>
    <row r="23" spans="1:19" x14ac:dyDescent="0.35">
      <c r="A23" s="3"/>
      <c r="B23" s="7"/>
      <c r="C23" s="2"/>
      <c r="D23" s="2"/>
      <c r="F23" s="3"/>
      <c r="G23" s="7"/>
      <c r="H23" s="2"/>
      <c r="I23" s="2"/>
      <c r="K23" s="3"/>
      <c r="L23" s="2"/>
      <c r="M23" s="2"/>
      <c r="N23" s="2"/>
      <c r="P23" s="3"/>
      <c r="Q23" s="2"/>
      <c r="R23" s="2"/>
      <c r="S23" s="2"/>
    </row>
    <row r="24" spans="1:19" x14ac:dyDescent="0.35">
      <c r="A24" s="3"/>
      <c r="B24" s="7"/>
      <c r="C24" s="2"/>
      <c r="D24" s="2"/>
      <c r="F24" s="3"/>
      <c r="G24" s="7"/>
      <c r="H24" s="2"/>
      <c r="I24" s="2"/>
      <c r="K24" s="3"/>
      <c r="L24" s="2"/>
      <c r="M24" s="2"/>
      <c r="N24" s="2"/>
      <c r="P24" s="3"/>
      <c r="Q24" s="2"/>
      <c r="R24" s="2"/>
      <c r="S24" s="2"/>
    </row>
    <row r="25" spans="1:19" x14ac:dyDescent="0.35">
      <c r="A25" s="3"/>
      <c r="B25" s="7"/>
      <c r="C25" s="2"/>
      <c r="D25" s="2"/>
      <c r="F25" s="3"/>
      <c r="G25" s="7"/>
      <c r="H25" s="2"/>
      <c r="I25" s="2"/>
      <c r="K25" s="3"/>
      <c r="L25" s="2"/>
      <c r="M25" s="2"/>
      <c r="N25" s="2"/>
      <c r="P25" s="3"/>
      <c r="Q25" s="2"/>
      <c r="R25" s="2"/>
      <c r="S25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C780-D688-4B7D-A908-CD9A7DF2D755}">
  <dimension ref="B3:Y26"/>
  <sheetViews>
    <sheetView topLeftCell="A3" workbookViewId="0">
      <selection activeCell="J6" sqref="J6"/>
    </sheetView>
  </sheetViews>
  <sheetFormatPr defaultColWidth="8.7265625" defaultRowHeight="14.5" x14ac:dyDescent="0.35"/>
  <cols>
    <col min="2" max="2" width="16.26953125" customWidth="1"/>
    <col min="3" max="3" width="16.26953125" style="1" customWidth="1"/>
    <col min="4" max="5" width="16.26953125" customWidth="1"/>
    <col min="7" max="10" width="13.453125" customWidth="1"/>
    <col min="12" max="15" width="15.54296875" customWidth="1"/>
    <col min="17" max="20" width="13.90625" customWidth="1"/>
    <col min="22" max="25" width="12.54296875" customWidth="1"/>
  </cols>
  <sheetData>
    <row r="3" spans="2:25" x14ac:dyDescent="0.35">
      <c r="B3" s="12"/>
      <c r="C3" s="40" t="s">
        <v>57</v>
      </c>
      <c r="D3" s="12"/>
      <c r="E3" s="12"/>
      <c r="G3" s="12"/>
      <c r="H3" s="40" t="s">
        <v>68</v>
      </c>
      <c r="I3" s="12"/>
      <c r="J3" s="12"/>
      <c r="L3" s="12"/>
      <c r="M3" s="40" t="s">
        <v>71</v>
      </c>
      <c r="N3" s="12"/>
      <c r="O3" s="12"/>
      <c r="Q3" s="12"/>
      <c r="R3" s="40" t="s">
        <v>72</v>
      </c>
      <c r="S3" s="12"/>
      <c r="T3" s="12"/>
      <c r="V3" s="12"/>
      <c r="W3" s="40" t="s">
        <v>73</v>
      </c>
      <c r="X3" s="12"/>
      <c r="Y3" s="12"/>
    </row>
    <row r="4" spans="2:25" x14ac:dyDescent="0.35">
      <c r="B4" s="11" t="s">
        <v>9</v>
      </c>
      <c r="C4" s="36" t="s">
        <v>10</v>
      </c>
      <c r="D4" s="11" t="s">
        <v>11</v>
      </c>
      <c r="E4" s="11" t="s">
        <v>12</v>
      </c>
      <c r="G4" s="11" t="s">
        <v>9</v>
      </c>
      <c r="H4" s="36" t="s">
        <v>10</v>
      </c>
      <c r="I4" s="11" t="s">
        <v>11</v>
      </c>
      <c r="J4" s="11" t="s">
        <v>12</v>
      </c>
      <c r="L4" s="11" t="s">
        <v>9</v>
      </c>
      <c r="M4" s="36" t="s">
        <v>10</v>
      </c>
      <c r="N4" s="11" t="s">
        <v>11</v>
      </c>
      <c r="O4" s="11" t="s">
        <v>12</v>
      </c>
      <c r="Q4" s="11" t="s">
        <v>9</v>
      </c>
      <c r="R4" s="36" t="s">
        <v>10</v>
      </c>
      <c r="S4" s="11" t="s">
        <v>11</v>
      </c>
      <c r="T4" s="11" t="s">
        <v>12</v>
      </c>
      <c r="V4" s="11" t="s">
        <v>9</v>
      </c>
      <c r="W4" s="36" t="s">
        <v>10</v>
      </c>
      <c r="X4" s="11" t="s">
        <v>11</v>
      </c>
      <c r="Y4" s="11" t="s">
        <v>12</v>
      </c>
    </row>
    <row r="5" spans="2:25" x14ac:dyDescent="0.35">
      <c r="B5" s="3">
        <v>46034</v>
      </c>
      <c r="C5" s="7">
        <v>5500000</v>
      </c>
      <c r="D5" s="2" t="s">
        <v>58</v>
      </c>
      <c r="E5" s="2" t="s">
        <v>56</v>
      </c>
      <c r="G5" s="3">
        <v>46107</v>
      </c>
      <c r="H5" s="7">
        <v>32000000</v>
      </c>
      <c r="I5" s="2" t="s">
        <v>58</v>
      </c>
      <c r="J5" s="2" t="s">
        <v>56</v>
      </c>
      <c r="L5" s="3">
        <v>46125</v>
      </c>
      <c r="M5" s="7">
        <v>87000000</v>
      </c>
      <c r="N5" s="2" t="s">
        <v>58</v>
      </c>
      <c r="O5" s="2" t="s">
        <v>56</v>
      </c>
      <c r="Q5" s="3">
        <v>46127</v>
      </c>
      <c r="R5" s="7">
        <v>51840000</v>
      </c>
      <c r="S5" s="2" t="s">
        <v>58</v>
      </c>
      <c r="T5" s="2" t="s">
        <v>56</v>
      </c>
      <c r="V5" s="3">
        <v>46133</v>
      </c>
      <c r="W5" s="7">
        <v>46080000</v>
      </c>
      <c r="X5" s="2" t="s">
        <v>58</v>
      </c>
      <c r="Y5" s="2" t="s">
        <v>56</v>
      </c>
    </row>
    <row r="6" spans="2:25" x14ac:dyDescent="0.35">
      <c r="B6" s="3">
        <v>46038</v>
      </c>
      <c r="C6" s="7">
        <v>14500000</v>
      </c>
      <c r="D6" s="2" t="s">
        <v>58</v>
      </c>
      <c r="E6" s="76" t="s">
        <v>59</v>
      </c>
      <c r="G6" s="3">
        <v>46141</v>
      </c>
      <c r="H6" s="7">
        <v>41250000</v>
      </c>
      <c r="I6" s="2" t="s">
        <v>58</v>
      </c>
      <c r="J6" s="2" t="s">
        <v>56</v>
      </c>
      <c r="L6" s="3"/>
      <c r="M6" s="7"/>
      <c r="N6" s="2"/>
      <c r="O6" s="76"/>
      <c r="Q6" s="3"/>
      <c r="R6" s="7"/>
      <c r="S6" s="2"/>
      <c r="T6" s="76"/>
      <c r="V6" s="3"/>
      <c r="W6" s="7"/>
      <c r="X6" s="2"/>
      <c r="Y6" s="76"/>
    </row>
    <row r="7" spans="2:25" x14ac:dyDescent="0.35">
      <c r="B7" s="3">
        <v>46038</v>
      </c>
      <c r="C7" s="7">
        <v>1500000</v>
      </c>
      <c r="D7" s="2" t="s">
        <v>58</v>
      </c>
      <c r="E7" s="77"/>
      <c r="G7" s="3"/>
      <c r="H7" s="7"/>
      <c r="I7" s="2"/>
      <c r="J7" s="42"/>
      <c r="L7" s="3"/>
      <c r="M7" s="7"/>
      <c r="N7" s="2"/>
      <c r="O7" s="77"/>
      <c r="Q7" s="3"/>
      <c r="R7" s="7"/>
      <c r="S7" s="2"/>
      <c r="T7" s="77"/>
      <c r="V7" s="3"/>
      <c r="W7" s="7"/>
      <c r="X7" s="2"/>
      <c r="Y7" s="77"/>
    </row>
    <row r="8" spans="2:25" x14ac:dyDescent="0.35">
      <c r="B8" s="3">
        <v>46043</v>
      </c>
      <c r="C8" s="7">
        <v>14500000</v>
      </c>
      <c r="D8" s="2" t="s">
        <v>58</v>
      </c>
      <c r="E8" s="2" t="s">
        <v>56</v>
      </c>
      <c r="G8" s="3"/>
      <c r="H8" s="7"/>
      <c r="I8" s="2"/>
      <c r="J8" s="2"/>
      <c r="L8" s="3"/>
      <c r="M8" s="7"/>
      <c r="N8" s="2"/>
      <c r="O8" s="2"/>
      <c r="Q8" s="3"/>
      <c r="R8" s="7"/>
      <c r="S8" s="2"/>
      <c r="T8" s="2"/>
      <c r="V8" s="3"/>
      <c r="W8" s="7"/>
      <c r="X8" s="2"/>
      <c r="Y8" s="2"/>
    </row>
    <row r="9" spans="2:25" x14ac:dyDescent="0.35">
      <c r="B9" s="3">
        <v>46045</v>
      </c>
      <c r="C9" s="7">
        <v>14500000</v>
      </c>
      <c r="D9" s="2" t="s">
        <v>58</v>
      </c>
      <c r="E9" s="2" t="s">
        <v>56</v>
      </c>
      <c r="G9" s="3"/>
      <c r="H9" s="7"/>
      <c r="I9" s="2"/>
      <c r="J9" s="2"/>
      <c r="L9" s="3"/>
      <c r="M9" s="7"/>
      <c r="N9" s="2"/>
      <c r="O9" s="2"/>
      <c r="Q9" s="3"/>
      <c r="R9" s="7"/>
      <c r="S9" s="2"/>
      <c r="T9" s="2"/>
      <c r="V9" s="3"/>
      <c r="W9" s="7"/>
      <c r="X9" s="2"/>
      <c r="Y9" s="2"/>
    </row>
    <row r="10" spans="2:25" x14ac:dyDescent="0.35">
      <c r="B10" s="3">
        <v>46051</v>
      </c>
      <c r="C10" s="7">
        <v>21750000</v>
      </c>
      <c r="D10" s="2" t="s">
        <v>58</v>
      </c>
      <c r="E10" s="2" t="s">
        <v>56</v>
      </c>
      <c r="G10" s="3"/>
      <c r="H10" s="7"/>
      <c r="I10" s="2"/>
      <c r="J10" s="2"/>
      <c r="L10" s="3"/>
      <c r="M10" s="7"/>
      <c r="N10" s="2"/>
      <c r="O10" s="2"/>
      <c r="Q10" s="3"/>
      <c r="R10" s="7"/>
      <c r="S10" s="2"/>
      <c r="T10" s="2"/>
      <c r="V10" s="3"/>
      <c r="W10" s="7"/>
      <c r="X10" s="2"/>
      <c r="Y10" s="2"/>
    </row>
    <row r="11" spans="2:25" x14ac:dyDescent="0.35">
      <c r="B11" s="3">
        <v>46051</v>
      </c>
      <c r="C11" s="7">
        <v>14500000</v>
      </c>
      <c r="D11" s="2" t="s">
        <v>58</v>
      </c>
      <c r="E11" s="2" t="s">
        <v>56</v>
      </c>
      <c r="G11" s="3"/>
      <c r="H11" s="7"/>
      <c r="I11" s="2"/>
      <c r="J11" s="2"/>
      <c r="L11" s="3"/>
      <c r="M11" s="7"/>
      <c r="N11" s="2"/>
      <c r="O11" s="2"/>
      <c r="Q11" s="3"/>
      <c r="R11" s="7"/>
      <c r="S11" s="2"/>
      <c r="T11" s="2"/>
      <c r="V11" s="3"/>
      <c r="W11" s="7"/>
      <c r="X11" s="2"/>
      <c r="Y11" s="2"/>
    </row>
    <row r="12" spans="2:25" x14ac:dyDescent="0.35">
      <c r="B12" s="3">
        <v>46058</v>
      </c>
      <c r="C12" s="7">
        <v>23000000</v>
      </c>
      <c r="D12" s="2" t="s">
        <v>58</v>
      </c>
      <c r="E12" s="2" t="s">
        <v>56</v>
      </c>
      <c r="G12" s="3"/>
      <c r="H12" s="7"/>
      <c r="I12" s="2"/>
      <c r="J12" s="2"/>
      <c r="L12" s="3"/>
      <c r="M12" s="7"/>
      <c r="N12" s="2"/>
      <c r="O12" s="2"/>
      <c r="Q12" s="3"/>
      <c r="R12" s="7"/>
      <c r="S12" s="2"/>
      <c r="T12" s="2"/>
      <c r="V12" s="3"/>
      <c r="W12" s="7"/>
      <c r="X12" s="2"/>
      <c r="Y12" s="2"/>
    </row>
    <row r="13" spans="2:25" x14ac:dyDescent="0.35">
      <c r="B13" s="3">
        <v>46078</v>
      </c>
      <c r="C13" s="7">
        <v>20000000</v>
      </c>
      <c r="D13" s="2" t="s">
        <v>58</v>
      </c>
      <c r="E13" s="2" t="s">
        <v>56</v>
      </c>
      <c r="G13" s="3"/>
      <c r="H13" s="7"/>
      <c r="I13" s="2"/>
      <c r="J13" s="2"/>
      <c r="L13" s="3"/>
      <c r="M13" s="7"/>
      <c r="N13" s="2"/>
      <c r="O13" s="2"/>
      <c r="Q13" s="3"/>
      <c r="R13" s="7"/>
      <c r="S13" s="2"/>
      <c r="T13" s="2"/>
      <c r="V13" s="3"/>
      <c r="W13" s="7"/>
      <c r="X13" s="2"/>
      <c r="Y13" s="2"/>
    </row>
    <row r="14" spans="2:25" x14ac:dyDescent="0.35">
      <c r="B14" s="3">
        <v>46079</v>
      </c>
      <c r="C14" s="7">
        <v>32000000</v>
      </c>
      <c r="D14" s="2" t="s">
        <v>58</v>
      </c>
      <c r="E14" s="2" t="s">
        <v>56</v>
      </c>
      <c r="G14" s="3"/>
      <c r="H14" s="7"/>
      <c r="I14" s="2"/>
      <c r="J14" s="2"/>
      <c r="L14" s="3"/>
      <c r="M14" s="7"/>
      <c r="N14" s="2"/>
      <c r="O14" s="2"/>
      <c r="Q14" s="3"/>
      <c r="R14" s="7"/>
      <c r="S14" s="2"/>
      <c r="T14" s="2"/>
      <c r="V14" s="3"/>
      <c r="W14" s="7"/>
      <c r="X14" s="2"/>
      <c r="Y14" s="2"/>
    </row>
    <row r="15" spans="2:25" x14ac:dyDescent="0.35">
      <c r="B15" s="3">
        <v>46091</v>
      </c>
      <c r="C15" s="7">
        <v>4000000</v>
      </c>
      <c r="D15" s="2" t="s">
        <v>58</v>
      </c>
      <c r="E15" s="2" t="s">
        <v>56</v>
      </c>
      <c r="G15" s="3"/>
      <c r="H15" s="7"/>
      <c r="I15" s="2"/>
      <c r="J15" s="2"/>
      <c r="L15" s="3"/>
      <c r="M15" s="7"/>
      <c r="N15" s="2"/>
      <c r="O15" s="2"/>
      <c r="Q15" s="3"/>
      <c r="R15" s="7"/>
      <c r="S15" s="2"/>
      <c r="T15" s="2"/>
      <c r="V15" s="3"/>
      <c r="W15" s="7"/>
      <c r="X15" s="2"/>
      <c r="Y15" s="2"/>
    </row>
    <row r="16" spans="2:25" x14ac:dyDescent="0.35">
      <c r="B16" s="3">
        <v>46122</v>
      </c>
      <c r="C16" s="7">
        <v>16000000</v>
      </c>
      <c r="D16" s="2" t="s">
        <v>58</v>
      </c>
      <c r="E16" s="2" t="s">
        <v>56</v>
      </c>
      <c r="G16" s="2"/>
      <c r="H16" s="7"/>
      <c r="I16" s="2"/>
      <c r="J16" s="2"/>
      <c r="L16" s="2"/>
      <c r="M16" s="7"/>
      <c r="N16" s="2"/>
      <c r="O16" s="2"/>
      <c r="Q16" s="2"/>
      <c r="R16" s="7"/>
      <c r="S16" s="2"/>
      <c r="T16" s="2"/>
      <c r="V16" s="2"/>
      <c r="W16" s="7"/>
      <c r="X16" s="2"/>
      <c r="Y16" s="2"/>
    </row>
    <row r="17" spans="2:25" x14ac:dyDescent="0.35">
      <c r="B17" s="3">
        <v>46126</v>
      </c>
      <c r="C17" s="7">
        <v>16000000</v>
      </c>
      <c r="D17" s="2" t="s">
        <v>58</v>
      </c>
      <c r="E17" s="2" t="s">
        <v>56</v>
      </c>
      <c r="G17" s="2"/>
      <c r="H17" s="7"/>
      <c r="I17" s="2"/>
      <c r="J17" s="2"/>
      <c r="L17" s="2"/>
      <c r="M17" s="7"/>
      <c r="N17" s="2"/>
      <c r="O17" s="2"/>
      <c r="Q17" s="2"/>
      <c r="R17" s="7"/>
      <c r="S17" s="2"/>
      <c r="T17" s="2"/>
      <c r="V17" s="2"/>
      <c r="W17" s="7"/>
      <c r="X17" s="2"/>
      <c r="Y17" s="2"/>
    </row>
    <row r="18" spans="2:25" x14ac:dyDescent="0.35">
      <c r="B18" s="2"/>
      <c r="C18" s="7"/>
      <c r="D18" s="2"/>
      <c r="E18" s="2"/>
      <c r="G18" s="2"/>
      <c r="H18" s="7"/>
      <c r="I18" s="2"/>
      <c r="J18" s="2"/>
      <c r="L18" s="2"/>
      <c r="M18" s="7"/>
      <c r="N18" s="2"/>
      <c r="O18" s="2"/>
      <c r="Q18" s="2"/>
      <c r="R18" s="7"/>
      <c r="S18" s="2"/>
      <c r="T18" s="2"/>
      <c r="V18" s="2"/>
      <c r="W18" s="7"/>
      <c r="X18" s="2"/>
      <c r="Y18" s="2"/>
    </row>
    <row r="19" spans="2:25" x14ac:dyDescent="0.35">
      <c r="B19" s="2"/>
      <c r="C19" s="7"/>
      <c r="D19" s="2"/>
      <c r="E19" s="2"/>
      <c r="G19" s="2"/>
      <c r="H19" s="7"/>
      <c r="I19" s="2"/>
      <c r="J19" s="2"/>
      <c r="L19" s="2"/>
      <c r="M19" s="7"/>
      <c r="N19" s="2"/>
      <c r="O19" s="2"/>
      <c r="Q19" s="2"/>
      <c r="R19" s="7"/>
      <c r="S19" s="2"/>
      <c r="T19" s="2"/>
      <c r="V19" s="2"/>
      <c r="W19" s="7"/>
      <c r="X19" s="2"/>
      <c r="Y19" s="2"/>
    </row>
    <row r="20" spans="2:25" x14ac:dyDescent="0.35">
      <c r="B20" s="2"/>
      <c r="C20" s="7"/>
      <c r="D20" s="2"/>
      <c r="E20" s="2"/>
      <c r="G20" s="2"/>
      <c r="H20" s="7"/>
      <c r="I20" s="2"/>
      <c r="J20" s="2"/>
      <c r="L20" s="2"/>
      <c r="M20" s="7"/>
      <c r="N20" s="2"/>
      <c r="O20" s="2"/>
      <c r="Q20" s="2"/>
      <c r="R20" s="7"/>
      <c r="S20" s="2"/>
      <c r="T20" s="2"/>
      <c r="V20" s="2"/>
      <c r="W20" s="7"/>
      <c r="X20" s="2"/>
      <c r="Y20" s="2"/>
    </row>
    <row r="21" spans="2:25" x14ac:dyDescent="0.35">
      <c r="B21" s="2"/>
      <c r="C21" s="7"/>
      <c r="D21" s="2"/>
      <c r="E21" s="2"/>
      <c r="G21" s="2"/>
      <c r="H21" s="7"/>
      <c r="I21" s="2"/>
      <c r="J21" s="2"/>
      <c r="L21" s="2"/>
      <c r="M21" s="7"/>
      <c r="N21" s="2"/>
      <c r="O21" s="2"/>
      <c r="Q21" s="2"/>
      <c r="R21" s="7"/>
      <c r="S21" s="2"/>
      <c r="T21" s="2"/>
      <c r="V21" s="2"/>
      <c r="W21" s="7"/>
      <c r="X21" s="2"/>
      <c r="Y21" s="2"/>
    </row>
    <row r="22" spans="2:25" x14ac:dyDescent="0.35">
      <c r="B22" s="2"/>
      <c r="C22" s="7"/>
      <c r="D22" s="2"/>
      <c r="E22" s="2"/>
      <c r="G22" s="2"/>
      <c r="H22" s="7"/>
      <c r="I22" s="2"/>
      <c r="J22" s="2"/>
      <c r="L22" s="2"/>
      <c r="M22" s="7"/>
      <c r="N22" s="2"/>
      <c r="O22" s="2"/>
      <c r="Q22" s="2"/>
      <c r="R22" s="7"/>
      <c r="S22" s="2"/>
      <c r="T22" s="2"/>
      <c r="V22" s="2"/>
      <c r="W22" s="7"/>
      <c r="X22" s="2"/>
      <c r="Y22" s="2"/>
    </row>
    <row r="23" spans="2:25" x14ac:dyDescent="0.35">
      <c r="B23" s="2"/>
      <c r="C23" s="7"/>
      <c r="D23" s="2"/>
      <c r="E23" s="2"/>
      <c r="G23" s="2"/>
      <c r="H23" s="7"/>
      <c r="I23" s="2"/>
      <c r="J23" s="2"/>
      <c r="L23" s="2"/>
      <c r="M23" s="7"/>
      <c r="N23" s="2"/>
      <c r="O23" s="2"/>
      <c r="Q23" s="2"/>
      <c r="R23" s="7"/>
      <c r="S23" s="2"/>
      <c r="T23" s="2"/>
      <c r="V23" s="2"/>
      <c r="W23" s="7"/>
      <c r="X23" s="2"/>
      <c r="Y23" s="2"/>
    </row>
    <row r="24" spans="2:25" x14ac:dyDescent="0.35">
      <c r="B24" s="2"/>
      <c r="C24" s="7"/>
      <c r="D24" s="2"/>
      <c r="E24" s="2"/>
      <c r="G24" s="2"/>
      <c r="H24" s="7"/>
      <c r="I24" s="2"/>
      <c r="J24" s="2"/>
      <c r="L24" s="2"/>
      <c r="M24" s="7"/>
      <c r="N24" s="2"/>
      <c r="O24" s="2"/>
      <c r="Q24" s="2"/>
      <c r="R24" s="7"/>
      <c r="S24" s="2"/>
      <c r="T24" s="2"/>
      <c r="V24" s="2"/>
      <c r="W24" s="7"/>
      <c r="X24" s="2"/>
      <c r="Y24" s="2"/>
    </row>
    <row r="25" spans="2:25" x14ac:dyDescent="0.35">
      <c r="B25" s="2"/>
      <c r="C25" s="7"/>
      <c r="D25" s="2"/>
      <c r="E25" s="2"/>
      <c r="G25" s="2"/>
      <c r="H25" s="7"/>
      <c r="I25" s="2"/>
      <c r="J25" s="2"/>
      <c r="L25" s="2"/>
      <c r="M25" s="7"/>
      <c r="N25" s="2"/>
      <c r="O25" s="2"/>
      <c r="Q25" s="2"/>
      <c r="R25" s="7"/>
      <c r="S25" s="2"/>
      <c r="T25" s="2"/>
      <c r="V25" s="2"/>
      <c r="W25" s="7"/>
      <c r="X25" s="2"/>
      <c r="Y25" s="2"/>
    </row>
    <row r="26" spans="2:25" x14ac:dyDescent="0.35">
      <c r="B26" s="2"/>
      <c r="C26" s="7"/>
      <c r="D26" s="2"/>
      <c r="E26" s="2"/>
      <c r="G26" s="2"/>
      <c r="H26" s="7"/>
      <c r="I26" s="2"/>
      <c r="J26" s="2"/>
      <c r="L26" s="2"/>
      <c r="M26" s="7"/>
      <c r="N26" s="2"/>
      <c r="O26" s="2"/>
      <c r="Q26" s="2"/>
      <c r="R26" s="7"/>
      <c r="S26" s="2"/>
      <c r="T26" s="2"/>
      <c r="V26" s="2"/>
      <c r="W26" s="7"/>
      <c r="X26" s="2"/>
      <c r="Y26" s="2"/>
    </row>
  </sheetData>
  <mergeCells count="4">
    <mergeCell ref="E6:E7"/>
    <mergeCell ref="O6:O7"/>
    <mergeCell ref="T6:T7"/>
    <mergeCell ref="Y6:Y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CHECKING</vt:lpstr>
      <vt:lpstr>STATEMENT</vt:lpstr>
      <vt:lpstr>MVT_CAISSE</vt:lpstr>
      <vt:lpstr>BANQUE</vt:lpstr>
      <vt:lpstr>VENTE_EXP_LOCAL_(CREDIT)</vt:lpstr>
      <vt:lpstr>ACHAT_MP_(DEBIT)</vt:lpstr>
      <vt:lpstr>DEPENCES_EXP ACC_(DEBIT)</vt:lpstr>
      <vt:lpstr>AUTRES_DEPENSES_(DEBIT)</vt:lpstr>
      <vt:lpstr>SUIVI CHEQUIER</vt:lpstr>
      <vt:lpstr>CHEQUE GIVEB ON COMPANYS NAME,</vt:lpstr>
      <vt:lpstr>UD CAKE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nap sarl</cp:lastModifiedBy>
  <dcterms:created xsi:type="dcterms:W3CDTF">2026-05-01T11:28:53Z</dcterms:created>
  <dcterms:modified xsi:type="dcterms:W3CDTF">2026-10-12T14:40:48Z</dcterms:modified>
</cp:coreProperties>
</file>