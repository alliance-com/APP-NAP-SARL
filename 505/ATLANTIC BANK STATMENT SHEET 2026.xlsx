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DATA\505\"/>
    </mc:Choice>
  </mc:AlternateContent>
  <xr:revisionPtr revIDLastSave="0" documentId="13_ncr:1_{426926D9-5DE5-4A1F-A348-1CBBD05555CF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HECKING" sheetId="41" r:id="rId1"/>
    <sheet name="STATEMENT" sheetId="1" r:id="rId2"/>
    <sheet name="MVT_CAISSE" sheetId="15" r:id="rId3"/>
    <sheet name="BANQUE" sheetId="13" r:id="rId4"/>
    <sheet name="VENTE_EXP_LOCAL_(CREDIT)" sheetId="14" r:id="rId5"/>
    <sheet name="ACHAT_MP_(DEBIT)" sheetId="10" r:id="rId6"/>
    <sheet name="DEPENCES_EXP ACC_(DEBIT)" sheetId="39" r:id="rId7"/>
    <sheet name="AUTRES_DEPENSES_(DEBIT)" sheetId="40" r:id="rId8"/>
    <sheet name="Sheet1" sheetId="42" r:id="rId9"/>
    <sheet name="SUIVI CHEQUIER" sheetId="6" state="hidden" r:id="rId10"/>
    <sheet name="CHEQUE GIVEB ON COMPANYS NAME," sheetId="2" state="hidden" r:id="rId11"/>
    <sheet name="UD CAKE" sheetId="7" state="hidden" r:id="rId12"/>
  </sheets>
  <definedNames>
    <definedName name="_xlnm._FilterDatabase" localSheetId="1" hidden="1">STATEMENT!$A$3:$I$401</definedName>
    <definedName name="_xlnm._FilterDatabase" localSheetId="9" hidden="1">'SUIVI CHEQUIER'!$B$3:$F$42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1" i="1" l="1"/>
  <c r="E12" i="41" l="1"/>
  <c r="E7" i="41"/>
  <c r="E5" i="1" l="1"/>
  <c r="E6" i="1" l="1"/>
  <c r="E7" i="1" s="1"/>
  <c r="E8" i="1" l="1"/>
  <c r="E9" i="1" l="1"/>
  <c r="E10" i="1" l="1"/>
  <c r="E11" i="1" l="1"/>
  <c r="E12" i="1" l="1"/>
  <c r="E13" i="1" l="1"/>
  <c r="E14" i="1" l="1"/>
  <c r="E15" i="1" l="1"/>
  <c r="E16" i="1" l="1"/>
  <c r="E17" i="1" l="1"/>
  <c r="E18" i="1" l="1"/>
  <c r="E19" i="1" s="1"/>
  <c r="E20" i="1" l="1"/>
  <c r="E21" i="1" l="1"/>
  <c r="E22" i="1" l="1"/>
  <c r="E23" i="1" s="1"/>
  <c r="E24" i="1" l="1"/>
  <c r="E25" i="1" l="1"/>
  <c r="E26" i="1" l="1"/>
  <c r="E27" i="1" l="1"/>
  <c r="E28" i="1" l="1"/>
  <c r="E29" i="1" l="1"/>
  <c r="E30" i="1" l="1"/>
  <c r="E31" i="1" l="1"/>
  <c r="E32" i="1" l="1"/>
  <c r="E33" i="1" l="1"/>
  <c r="E34" i="1" l="1"/>
  <c r="E35" i="1" l="1"/>
  <c r="E36" i="1" l="1"/>
  <c r="E37" i="1" s="1"/>
  <c r="E38" i="1" s="1"/>
  <c r="E39" i="1" s="1"/>
  <c r="E40" i="1" s="1"/>
  <c r="E41" i="1" s="1"/>
  <c r="E42" i="1" s="1"/>
  <c r="E43" i="1" s="1"/>
  <c r="E44" i="1" s="1"/>
  <c r="E45" i="1" s="1"/>
  <c r="E46" i="1" l="1"/>
  <c r="E47" i="1" s="1"/>
  <c r="E48" i="1" s="1"/>
  <c r="E49" i="1" l="1"/>
  <c r="E50" i="1" s="1"/>
  <c r="E51" i="1" l="1"/>
  <c r="E52" i="1" l="1"/>
  <c r="E53" i="1" s="1"/>
  <c r="S5" i="40" s="1" a="1"/>
  <c r="S5" i="40" l="1"/>
  <c r="E54" i="1"/>
  <c r="E55" i="1" l="1"/>
  <c r="E56" i="1" s="1"/>
  <c r="E57" i="1" s="1"/>
  <c r="E58" i="1" l="1"/>
  <c r="E59" i="1" l="1"/>
  <c r="E60" i="1" s="1"/>
  <c r="E61" i="1" s="1"/>
  <c r="E62" i="1" s="1"/>
  <c r="E63" i="1" s="1"/>
  <c r="E64" i="1" s="1"/>
  <c r="E65" i="1" l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l="1"/>
  <c r="E81" i="1" l="1"/>
  <c r="E82" i="1" s="1"/>
  <c r="E83" i="1" s="1"/>
  <c r="L5" i="10" s="1" a="1"/>
  <c r="L5" i="10" l="1"/>
  <c r="E84" i="1"/>
  <c r="E85" i="1" l="1"/>
  <c r="E86" i="1" l="1"/>
  <c r="E87" i="1" s="1"/>
  <c r="E88" i="1" s="1"/>
  <c r="E89" i="1" s="1"/>
  <c r="E90" i="1" s="1"/>
  <c r="E91" i="1" s="1"/>
  <c r="E92" i="1" s="1"/>
  <c r="E93" i="1" l="1"/>
  <c r="E94" i="1" l="1"/>
  <c r="E95" i="1" s="1"/>
  <c r="E96" i="1" l="1"/>
  <c r="E97" i="1" l="1"/>
  <c r="E98" i="1" s="1"/>
  <c r="E99" i="1" l="1"/>
  <c r="L5" i="40" s="1" a="1"/>
  <c r="L5" i="40" l="1"/>
  <c r="E100" i="1"/>
  <c r="E101" i="1" s="1"/>
  <c r="E102" i="1" s="1"/>
  <c r="E103" i="1" s="1"/>
  <c r="E104" i="1" s="1"/>
  <c r="E105" i="1" s="1"/>
  <c r="E106" i="1" l="1"/>
  <c r="E107" i="1" l="1"/>
  <c r="E108" i="1" l="1"/>
  <c r="E109" i="1" s="1"/>
  <c r="E110" i="1" s="1"/>
  <c r="E111" i="1" l="1"/>
  <c r="E112" i="1" s="1"/>
  <c r="E113" i="1" l="1"/>
  <c r="E114" i="1" l="1"/>
  <c r="E115" i="1" s="1"/>
  <c r="E116" i="1" l="1"/>
  <c r="E117" i="1" s="1"/>
  <c r="E118" i="1" l="1"/>
  <c r="E119" i="1" s="1"/>
  <c r="S5" i="39" s="1" a="1"/>
  <c r="S5" i="39" l="1"/>
  <c r="E120" i="1"/>
  <c r="E121" i="1" l="1"/>
  <c r="E122" i="1" s="1"/>
  <c r="E123" i="1" l="1"/>
  <c r="E124" i="1" l="1"/>
  <c r="E125" i="1" s="1"/>
  <c r="E126" i="1" s="1"/>
  <c r="E127" i="1" s="1"/>
  <c r="E128" i="1" s="1"/>
  <c r="E129" i="1" s="1"/>
  <c r="E130" i="1" s="1"/>
  <c r="E131" i="1" l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l="1"/>
  <c r="E148" i="1" l="1"/>
  <c r="E149" i="1" l="1"/>
  <c r="E150" i="1" s="1"/>
  <c r="E151" i="1" s="1"/>
  <c r="E152" i="1" s="1"/>
  <c r="E153" i="1" s="1"/>
  <c r="E154" i="1" l="1"/>
  <c r="E155" i="1" s="1"/>
  <c r="E156" i="1" l="1"/>
  <c r="E157" i="1" s="1"/>
  <c r="E158" i="1" l="1"/>
  <c r="E159" i="1" s="1"/>
  <c r="E160" i="1" s="1"/>
  <c r="E161" i="1" l="1"/>
  <c r="E162" i="1" s="1"/>
  <c r="E163" i="1" l="1"/>
  <c r="E164" i="1" l="1"/>
  <c r="E165" i="1" s="1"/>
  <c r="E166" i="1" l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l="1"/>
  <c r="E180" i="1" s="1"/>
  <c r="E181" i="1" s="1"/>
  <c r="E182" i="1" s="1"/>
  <c r="E183" i="1" s="1"/>
  <c r="E184" i="1" s="1"/>
  <c r="E185" i="1" s="1"/>
  <c r="E186" i="1" l="1"/>
  <c r="E187" i="1" s="1"/>
  <c r="E188" i="1" l="1"/>
  <c r="E189" i="1" s="1"/>
  <c r="E190" i="1" s="1"/>
  <c r="E191" i="1" s="1"/>
  <c r="E192" i="1" l="1"/>
  <c r="E193" i="1" l="1"/>
  <c r="E194" i="1" s="1"/>
  <c r="E195" i="1" s="1"/>
  <c r="E196" i="1" s="1"/>
  <c r="E197" i="1" s="1"/>
  <c r="E198" i="1" s="1"/>
  <c r="E199" i="1" s="1"/>
  <c r="E200" i="1" l="1"/>
  <c r="E201" i="1" s="1"/>
  <c r="E202" i="1" s="1"/>
  <c r="E203" i="1" s="1"/>
  <c r="E204" i="1" s="1"/>
  <c r="E205" i="1" l="1"/>
  <c r="E206" i="1" s="1"/>
  <c r="E207" i="1" l="1"/>
  <c r="E208" i="1" s="1"/>
  <c r="E209" i="1" s="1"/>
  <c r="E210" i="1" l="1"/>
  <c r="E211" i="1" s="1"/>
  <c r="E212" i="1" s="1"/>
  <c r="E213" i="1" l="1"/>
  <c r="E214" i="1" s="1"/>
  <c r="E215" i="1" s="1"/>
  <c r="E216" i="1" s="1"/>
  <c r="E217" i="1" l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l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l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4" i="42" s="1"/>
  <c r="AA5" i="15" a="1"/>
  <c r="E303" i="1" l="1"/>
  <c r="E304" i="1" s="1"/>
  <c r="E305" i="1" s="1"/>
  <c r="E306" i="1" s="1"/>
  <c r="E307" i="1" s="1"/>
  <c r="E308" i="1" s="1"/>
  <c r="E309" i="1" s="1"/>
  <c r="AA5" i="15"/>
  <c r="AG5" i="40" a="1"/>
  <c r="AU5" i="40" a="1"/>
  <c r="L5" i="14" a="1"/>
  <c r="E5" i="10" a="1"/>
  <c r="E310" i="1" l="1"/>
  <c r="E311" i="1" s="1"/>
  <c r="E312" i="1" s="1"/>
  <c r="E313" i="1" s="1"/>
  <c r="E314" i="1" s="1"/>
  <c r="AG5" i="14" a="1"/>
  <c r="AG5" i="40"/>
  <c r="AU5" i="40"/>
  <c r="L5" i="14"/>
  <c r="E5" i="10"/>
  <c r="E315" i="1" l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S5" i="14" a="1"/>
  <c r="AG5" i="14"/>
  <c r="E5" i="40" l="1" a="1"/>
  <c r="E5" i="40" s="1"/>
  <c r="S5" i="14"/>
  <c r="M5" i="13" a="1"/>
  <c r="M5" i="13" l="1"/>
  <c r="Z5" i="40" l="1" a="1"/>
  <c r="Z5" i="40" l="1"/>
  <c r="T5" i="15" l="1" a="1"/>
  <c r="F5" i="13" l="1" a="1"/>
  <c r="T5" i="15"/>
  <c r="F5" i="13" l="1"/>
  <c r="L5" i="39" a="1"/>
  <c r="L5" i="39" s="1"/>
  <c r="M5" i="15" a="1"/>
  <c r="Z5" i="14" l="1" a="1"/>
  <c r="M5" i="15"/>
  <c r="E5" i="39" l="1" a="1"/>
  <c r="Z5" i="14"/>
  <c r="F5" i="15" a="1"/>
  <c r="E5" i="14" a="1"/>
  <c r="E5" i="39" l="1"/>
  <c r="F5" i="15"/>
  <c r="E5" i="14"/>
  <c r="BB5" i="40" l="1" a="1"/>
  <c r="BP5" i="40" a="1"/>
  <c r="BB5" i="40" l="1"/>
  <c r="AN5" i="40" a="1"/>
  <c r="BP5" i="40"/>
  <c r="S5" i="10" a="1"/>
  <c r="BI5" i="40" l="1" a="1"/>
  <c r="AN5" i="40"/>
  <c r="S5" i="10"/>
  <c r="BI5" i="40" l="1"/>
  <c r="BR3" i="40" s="1"/>
  <c r="C14" i="40" s="1"/>
  <c r="BK3" i="40" l="1"/>
  <c r="C13" i="40" s="1"/>
  <c r="BD3" i="40" s="1"/>
  <c r="C12" i="40" s="1"/>
  <c r="AW3" i="40" s="1"/>
  <c r="C11" i="40" s="1"/>
  <c r="AP3" i="40" s="1"/>
  <c r="C10" i="40" s="1"/>
  <c r="AI3" i="40" s="1"/>
  <c r="C9" i="40" s="1"/>
  <c r="AB3" i="40" s="1"/>
  <c r="C8" i="40" s="1"/>
  <c r="U3" i="40" s="1"/>
  <c r="C7" i="40" s="1"/>
  <c r="N3" i="40" s="1"/>
  <c r="C6" i="40" s="1"/>
  <c r="G3" i="40" s="1"/>
  <c r="C5" i="40" s="1"/>
  <c r="U3" i="39" l="1"/>
  <c r="C7" i="39" s="1"/>
  <c r="N3" i="39" s="1"/>
  <c r="C6" i="39" s="1"/>
  <c r="G3" i="39" s="1"/>
  <c r="C5" i="39" s="1"/>
  <c r="C8" i="39" s="1"/>
  <c r="U3" i="10" s="1"/>
  <c r="C7" i="10" s="1"/>
  <c r="N3" i="10" s="1"/>
  <c r="C6" i="10" s="1"/>
  <c r="G3" i="10" s="1"/>
  <c r="C5" i="10" s="1"/>
  <c r="C15" i="40"/>
  <c r="AI3" i="14" l="1"/>
  <c r="C9" i="14" s="1"/>
  <c r="AB3" i="14" s="1"/>
  <c r="C8" i="14" s="1"/>
  <c r="U3" i="14" s="1"/>
  <c r="C7" i="14" s="1"/>
  <c r="N3" i="14" s="1"/>
  <c r="C6" i="14" s="1"/>
  <c r="G3" i="14" s="1"/>
  <c r="C5" i="14" s="1"/>
  <c r="C10" i="14" s="1"/>
  <c r="O3" i="13" s="1"/>
  <c r="D6" i="13" s="1"/>
  <c r="D7" i="13" s="1"/>
  <c r="H3" i="13" s="1"/>
  <c r="C5" i="13" s="1"/>
  <c r="C7" i="13" s="1"/>
  <c r="AC3" i="15" s="1"/>
  <c r="D8" i="15" s="1"/>
  <c r="V3" i="15" s="1"/>
  <c r="D7" i="15" s="1"/>
  <c r="O3" i="15" s="1"/>
  <c r="D6" i="15" s="1"/>
  <c r="D9" i="15" s="1"/>
  <c r="C10" i="10"/>
  <c r="H3" i="15" l="1"/>
  <c r="C5" i="15" s="1"/>
  <c r="C9" i="15" s="1"/>
  <c r="E8" i="41" s="1"/>
  <c r="E9" i="41" s="1"/>
  <c r="E13" i="41"/>
  <c r="E14" i="4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<sst xmlns="http://schemas.openxmlformats.org/spreadsheetml/2006/main" count="1620" uniqueCount="420">
  <si>
    <t>Date</t>
  </si>
  <si>
    <t>DESCRIPTION</t>
  </si>
  <si>
    <t>CREDIT</t>
  </si>
  <si>
    <t xml:space="preserve">DEBIT </t>
  </si>
  <si>
    <t>SOLDE</t>
  </si>
  <si>
    <t>NUM DE CHEQUE</t>
  </si>
  <si>
    <t>IDRISSOU APHISSOU</t>
  </si>
  <si>
    <t>SEGUB GUCE</t>
  </si>
  <si>
    <t>SECURITY GDIZ</t>
  </si>
  <si>
    <t xml:space="preserve">DATE </t>
  </si>
  <si>
    <t>AMT</t>
  </si>
  <si>
    <t xml:space="preserve">CH NO </t>
  </si>
  <si>
    <t xml:space="preserve">REASON </t>
  </si>
  <si>
    <t xml:space="preserve">LABOUR WORK </t>
  </si>
  <si>
    <t>ETS WYM DJIBRIL ALBARKA</t>
  </si>
  <si>
    <t>ETS DOS ESPOIR ET FILS</t>
  </si>
  <si>
    <t>EXPORT ACC</t>
  </si>
  <si>
    <t>MOTIF</t>
  </si>
  <si>
    <t xml:space="preserve">UD CAKE LABOUR </t>
  </si>
  <si>
    <t>NAP ATLANTIC BANK STATEMENT 2026</t>
  </si>
  <si>
    <t>ALFRED RAJIBER</t>
  </si>
  <si>
    <t>BON BERGER</t>
  </si>
  <si>
    <t>COTTON SEED TRANSPORT</t>
  </si>
  <si>
    <t>SUPER SONIC</t>
  </si>
  <si>
    <t>DRUM HYDRAULIC PURCHASE</t>
  </si>
  <si>
    <t>KPATINDE AKODEA EMMANUEL</t>
  </si>
  <si>
    <t>HOUSE RENT OF AJAY BABO MACH TO AUGUST</t>
  </si>
  <si>
    <t>VERSEMENT ESPECES BY ABDOULAYE NADJIBATOU</t>
  </si>
  <si>
    <t>SOLDE INITIAL</t>
  </si>
  <si>
    <t>VERSEMENT ESPECES BY KPEGLO GEORGES</t>
  </si>
  <si>
    <t>REMISE POUR MITC</t>
  </si>
  <si>
    <t>RENT OF GLO HOUSE MARCH TO SEPT</t>
  </si>
  <si>
    <t>DIDIER</t>
  </si>
  <si>
    <t>HELIOS SECURITY</t>
  </si>
  <si>
    <t>VERSEMENT ESPECES BY BACHIROU SEYDOU NASSER</t>
  </si>
  <si>
    <t>VERSEMENT ESPECES BY PENTAGONE BUILDING SARL</t>
  </si>
  <si>
    <t>USN-26070369_</t>
  </si>
  <si>
    <t>OLABI LABOUR WORK COTTON SEED</t>
  </si>
  <si>
    <t>OLABI LABOUR SOYA ACC</t>
  </si>
  <si>
    <t xml:space="preserve">OLABI </t>
  </si>
  <si>
    <t>COTTON SEED</t>
  </si>
  <si>
    <t>GABIN</t>
  </si>
  <si>
    <t>VERSEMENT ESPECES BY AZIZ KA FAV</t>
  </si>
  <si>
    <t>AJEYA BABU NARALASETTI</t>
  </si>
  <si>
    <t>HOUSE RENT OF AJEYA BABU</t>
  </si>
  <si>
    <t>VIREMENT POUR MITC</t>
  </si>
  <si>
    <t>SANJAY SOYA PRIVATE LIMITED</t>
  </si>
  <si>
    <t>USN-26102106</t>
  </si>
  <si>
    <t>FRAIS SUR DEMANDE DE CHEQUIER</t>
  </si>
  <si>
    <t>SANOUSSI MOUINOU</t>
  </si>
  <si>
    <t>RETRAIT POUR NAP</t>
  </si>
  <si>
    <t>USN-26103548</t>
  </si>
  <si>
    <t>USN-26106638</t>
  </si>
  <si>
    <t>HOUEDANOU JUSTIN</t>
  </si>
  <si>
    <t>CHABI BORO HALISSOU</t>
  </si>
  <si>
    <t>AFFO MOUSSA IBRAHIM</t>
  </si>
  <si>
    <t>PURCHASE OF SOYA</t>
  </si>
  <si>
    <t>TCHANIGA SAMSON</t>
  </si>
  <si>
    <t>TCHANIGA ADEKOUNLE LEONARD</t>
  </si>
  <si>
    <t>AHEGNI HIPPOLYTE</t>
  </si>
  <si>
    <t>REJET MONTANT ERRONE</t>
  </si>
  <si>
    <t>VERSEMENT ESPECES BY SHARMA RISHI</t>
  </si>
  <si>
    <t>Depot pour MITC</t>
  </si>
  <si>
    <t>TRANS SOHA</t>
  </si>
  <si>
    <t>UD CAKE LABOUR WORK</t>
  </si>
  <si>
    <t>MONTANT</t>
  </si>
  <si>
    <t>CANCELED</t>
  </si>
  <si>
    <t>OLABI LABOUR WORK</t>
  </si>
  <si>
    <t>CASIMIR</t>
  </si>
  <si>
    <t>LEONARD</t>
  </si>
  <si>
    <t xml:space="preserve">ELI COTTON SEED </t>
  </si>
  <si>
    <t>ACC</t>
  </si>
  <si>
    <t>ABDULSALAM OLAKOUNLE ABDULJELIL</t>
  </si>
  <si>
    <t>VERSEMENT SAMBA SYLVERSTRE</t>
  </si>
  <si>
    <t>ABOKI M. DIDER</t>
  </si>
  <si>
    <t>VERSEMENT GARBA YBRAHIM</t>
  </si>
  <si>
    <t>HOUESSOU GBETOHO EZECKIEL</t>
  </si>
  <si>
    <t>DOSSA SEMADO EUSTACHE RENE</t>
  </si>
  <si>
    <t>NOCIBE</t>
  </si>
  <si>
    <t>VERSEMENT SANOUSSI MOUINOU</t>
  </si>
  <si>
    <t xml:space="preserve">PARGAN SINGAPORE </t>
  </si>
  <si>
    <t xml:space="preserve">GOUDOU DOSSOU ROMAIN </t>
  </si>
  <si>
    <t>VERSEMENT MENANYI NICOLAS</t>
  </si>
  <si>
    <t>M/SC BENIN</t>
  </si>
  <si>
    <t>ETS DOS ESPOIR</t>
  </si>
  <si>
    <t>SODECO</t>
  </si>
  <si>
    <t>HAMA INTER</t>
  </si>
  <si>
    <t>ORDI TRADING (RAJIBER) EXP ACC</t>
  </si>
  <si>
    <t>USN-26003902_bl MEDUCT180949_ SHEA DOC</t>
  </si>
  <si>
    <t>ODJE NIGERIA CONTRACTOR ( ALL TANK FABRICATION)</t>
  </si>
  <si>
    <t>UD CAKE SALES</t>
  </si>
  <si>
    <t>SAMBA</t>
  </si>
  <si>
    <t>VERSEMENT</t>
  </si>
  <si>
    <t xml:space="preserve">HOUSE RENT OF GLO </t>
  </si>
  <si>
    <t>DGI</t>
  </si>
  <si>
    <t>DECLARATION IMPOT DEC 2025</t>
  </si>
  <si>
    <t>PROSPERITY AND GLORY OF GOD</t>
  </si>
  <si>
    <t>ALFRED TRANSITER EXP ACC</t>
  </si>
  <si>
    <t>LOYER MAGASIN SEKOU</t>
  </si>
  <si>
    <t>VASWAMI MANOJ LAKHI (STE ASHASONU)</t>
  </si>
  <si>
    <t>CAISSE DEPOSIT BY NAP</t>
  </si>
  <si>
    <t>USN-26008665_264186756_SHEA BUTTER</t>
  </si>
  <si>
    <t>USN-26008661_264169298_SHEA BUTTER</t>
  </si>
  <si>
    <t>RENOUVELLEMENT BFU_BL 265674057</t>
  </si>
  <si>
    <t>UD CAKE SALES_100MT_160K/MT</t>
  </si>
  <si>
    <t>LOYER MAISON M. RAJ KUMAR</t>
  </si>
  <si>
    <t>TRAVAUX MISE EN TERRE_ 37 PRISES_UNITE 115K.</t>
  </si>
  <si>
    <t>OLABI LABOUR (COTTON-UD CAKE-SHEA NUT)</t>
  </si>
  <si>
    <t>ETS JKM EDITION</t>
  </si>
  <si>
    <t>ACHAT DE FOURNITURE_No facture EM1072646-610</t>
  </si>
  <si>
    <t>ACHAT DE CIMENT / COMPTE ARMEL/ PROJET 11 ETP PLANT</t>
  </si>
  <si>
    <t>CERCLE DE DIEU</t>
  </si>
  <si>
    <t>REGLEMENT REMISE DOCUMENTAIRE</t>
  </si>
  <si>
    <t>LABOUR WORK</t>
  </si>
  <si>
    <t>KH CHEMICAL (IMPORT OF HEXANE)_HLCURTM251200745</t>
  </si>
  <si>
    <t>COTTON SEED TRANSPORT/ELIE</t>
  </si>
  <si>
    <t>ACE GLOBAL</t>
  </si>
  <si>
    <t>OLABI LABOUR COTTON- UD CAKE- SHEA</t>
  </si>
  <si>
    <t>STE UNITED TRADEX SARL</t>
  </si>
  <si>
    <t>ACHAT DE MOTO</t>
  </si>
  <si>
    <t>PHILTON POLYTHENE CONVERTERS (IMPORTATION DE FLEXI TANK)_ OOLU2316179190</t>
  </si>
  <si>
    <t>LOCAL ALLOWNESS FEVRIER</t>
  </si>
  <si>
    <t>COMMISION SUR DOMICILIATION EXPORT</t>
  </si>
  <si>
    <t>FRAIS BANCAIRE</t>
  </si>
  <si>
    <t>ACHAT DE COTON SEED</t>
  </si>
  <si>
    <t>FLUDOR BENIN</t>
  </si>
  <si>
    <t>CHEQUE 3053255 FROM FLUDOR/ COTTON SEED OIL SALES</t>
  </si>
  <si>
    <t>EXP ACC</t>
  </si>
  <si>
    <t>AFRICA ROUTE</t>
  </si>
  <si>
    <t>ACHAT PP BAGS AFFRICA ROUTE / FACTURE EM1060296-108/ MONTANT 1.940  _ FACTURE EM1060296-105/MONTANT 3.400K</t>
  </si>
  <si>
    <t>ETS OCAMISS</t>
  </si>
  <si>
    <t>CHEMICAL PURCHAS</t>
  </si>
  <si>
    <t>SOYA EXP</t>
  </si>
  <si>
    <t>ORDI TRADING / MMAF COMMODITIES (RAJIBER)</t>
  </si>
  <si>
    <t>MITC</t>
  </si>
  <si>
    <t xml:space="preserve"> MENANYI NICOLAS</t>
  </si>
  <si>
    <t>PAYEMENT FRET</t>
  </si>
  <si>
    <t>COTTON SEED TRANSPORT / SOLD ANCIEN COMPTE</t>
  </si>
  <si>
    <t>COTTON SEED TRANSPORT/ AVANCE TRANSPORT NIKKI</t>
  </si>
  <si>
    <t>ETS OLAITAN COMMUNICATION/ OLABI LABOUR</t>
  </si>
  <si>
    <t>LABOUR WORK /FACTURE EM01335995-320</t>
  </si>
  <si>
    <t>USN-26010887_264186615_SHEA BUTTER</t>
  </si>
  <si>
    <t>USN-26013884_MEDUCT181871_SHEA DOC</t>
  </si>
  <si>
    <t>USN-26015849_265085383_SHEA BUTTER</t>
  </si>
  <si>
    <t>USN-26019619_265584223_SHEA BUTTER</t>
  </si>
  <si>
    <t>USN-26019610_MEDUCT182457_SHEA DOC</t>
  </si>
  <si>
    <t>USN-26019707_265584104_SHEA BUTTER</t>
  </si>
  <si>
    <t>RENOUVELLEMENT BFU_USN-26020071</t>
  </si>
  <si>
    <t>RENOUVELLEMENT BFU_USN-26008665</t>
  </si>
  <si>
    <t>RENOUVELLEMENT BFU_USN-26008661</t>
  </si>
  <si>
    <t>KH CHEMICAL (IMPORT OF HEXANE)_263903490</t>
  </si>
  <si>
    <t>DANIEL</t>
  </si>
  <si>
    <t>BANTHAL</t>
  </si>
  <si>
    <t>OLABI LABOUR WORK COTTON SEED_A VERIFIER LA COPIE CHQ</t>
  </si>
  <si>
    <t>LABOUR WORK _ EM01335995-324</t>
  </si>
  <si>
    <t>EDS TRADE AND MORE (GABIN LCB)</t>
  </si>
  <si>
    <t>COTTON SEED TRANSPORT/GABIN</t>
  </si>
  <si>
    <t>KA AZIZ</t>
  </si>
  <si>
    <t>HOUSE RENT OF AJEYA BABU APRIL</t>
  </si>
  <si>
    <t>ORDRE DE TRANSFERT</t>
  </si>
  <si>
    <t>USN-26015476 _HLCURTM251200745</t>
  </si>
  <si>
    <t>USN-26021639_MEDUCT182978_SHEA DOC</t>
  </si>
  <si>
    <t>USN-26025244_265903956_SHEA BUTTER</t>
  </si>
  <si>
    <t>USN-26025358_MEDUCT183695_SHEA BUTTER</t>
  </si>
  <si>
    <t>USN-26017309_OOLU2316179190</t>
  </si>
  <si>
    <t>USN-26025394_265904812_SHEA BUTTER</t>
  </si>
  <si>
    <t>USN-26029896_MEDUCT183786_Shea Butter</t>
  </si>
  <si>
    <t>USN-26029887_265928839_CRUDE OIL</t>
  </si>
  <si>
    <t>USN-26025244_265903956_Shea Butter</t>
  </si>
  <si>
    <t>USN-26029936_265903694_Shea Butter</t>
  </si>
  <si>
    <t>USN-26025394_265904812_Shea Butter</t>
  </si>
  <si>
    <t>USN-26029942_MEDUCT183753_Shea Doc</t>
  </si>
  <si>
    <t>USN-26037152_266489622_Shea Butter</t>
  </si>
  <si>
    <t>USN-26038150_266451339_SOYA BEANS</t>
  </si>
  <si>
    <t>USN-26040633_266420310_SOYA BEANS</t>
  </si>
  <si>
    <t>USN-26040635_266446250_SOYA BEANS</t>
  </si>
  <si>
    <t>USN-26042828_266451157_SOYA BEANS</t>
  </si>
  <si>
    <t>USN-26042575_MEDUCT186003_SOYA BEANS</t>
  </si>
  <si>
    <t>USN-26042789_OK26089MB_</t>
  </si>
  <si>
    <t>USN-26043630_26LW191_</t>
  </si>
  <si>
    <t>USN-26032428_MEDUCT184644_Shea Butter</t>
  </si>
  <si>
    <t>USN-26047832_266603580_SOYA BEANS</t>
  </si>
  <si>
    <t>USN-26047232_MEDUCT186797_SOYA BEANS</t>
  </si>
  <si>
    <t>USN-26047269_MEDUCT186771_SOYA BEANS</t>
  </si>
  <si>
    <t>USN-26021639_MEDUCT182978_Shea Doc</t>
  </si>
  <si>
    <t>USN-26042789_MEDUCT185864_SOYA BEANS</t>
  </si>
  <si>
    <t>USN-26053530_MEDUCT187522_SOYA BEANS</t>
  </si>
  <si>
    <t>USN-26053327_266896858_SOYA BEANS</t>
  </si>
  <si>
    <t>USN-26053644_267214087_CRUDE OIL</t>
  </si>
  <si>
    <t>USN-26060478_267482495_Shea Butter</t>
  </si>
  <si>
    <t>USN-26061254_267482433_Shea Butter</t>
  </si>
  <si>
    <t>USN-26060119_267482578_Shea Butter</t>
  </si>
  <si>
    <t>USN-26061741_267523523_CRUDE OIL</t>
  </si>
  <si>
    <t>USN-26060100_267328038_UD CAKE</t>
  </si>
  <si>
    <t>USN-26070031_267361259_UD CAKE</t>
  </si>
  <si>
    <t>USN-26063967_267325414_SOYA BEANS</t>
  </si>
  <si>
    <t>USN-26063299_267325334_SOYA BEANS</t>
  </si>
  <si>
    <t>USN-26063300_267324663_SOYA BEANS</t>
  </si>
  <si>
    <t>USN-26063961_267324745_SOYA BEANS</t>
  </si>
  <si>
    <t>USN-26074997_268700527_CRUDE OIL</t>
  </si>
  <si>
    <t>USN-26073086_268701096_SOYA BEANS</t>
  </si>
  <si>
    <t>USN-26073191_267756955_SOYA BEANS</t>
  </si>
  <si>
    <t>USN-26070692_267324868_SOYA BEANS</t>
  </si>
  <si>
    <t>USN-26058960_267324583_SOYA BEANS</t>
  </si>
  <si>
    <t>USN-26093451_268700912_CRUDE OIL</t>
  </si>
  <si>
    <t>USN-26046854_266688518/268911565_SOYA BEANS</t>
  </si>
  <si>
    <t>USN-26008665_264186756_Shea Butter</t>
  </si>
  <si>
    <t>USN-26088338_263903490_</t>
  </si>
  <si>
    <t>USN-26115434_270420202_SOYA BEANS</t>
  </si>
  <si>
    <t>USN-26118824_270420544_SOYA BEANS</t>
  </si>
  <si>
    <t>USN-26116405_270420348_SOYA BEANS</t>
  </si>
  <si>
    <t>CATEGORIE</t>
  </si>
  <si>
    <t>HOUSE RENT</t>
  </si>
  <si>
    <t>TRANSPORT/COTTON SEED</t>
  </si>
  <si>
    <t>SALES /COTTON SEED OIL</t>
  </si>
  <si>
    <t>SALES/ UD CAKES</t>
  </si>
  <si>
    <t>BFU</t>
  </si>
  <si>
    <t>TRANSITER</t>
  </si>
  <si>
    <t>Cotton seed oil Sales_NAP/1042/2026_102983.20 EUR</t>
  </si>
  <si>
    <t>Cotton seed oil Sales_NAP/1045/2026_109813.74 EUR</t>
  </si>
  <si>
    <t>Cotton seed oil Sales_NAP/1064/2026_1196911 EUR</t>
  </si>
  <si>
    <t>Cotton seed oil Sales_NAP/1050/2026_117102.36 EUR</t>
  </si>
  <si>
    <t>Cotton seed oil Sales_NAP/1067/2026_126465.30 EUR</t>
  </si>
  <si>
    <t>EXP OF SOYA BEAN_NAP/1028/2026_114629.18 USD</t>
  </si>
  <si>
    <t>EXP OF SOYA BEAN_NAP/1029/2026_112762.28 USD_NAP/1031/2026_112805.46 USD</t>
  </si>
  <si>
    <t>SOYA EXP_NAP/1037/2026_126433.14 USD</t>
  </si>
  <si>
    <t>CAISSE DEPOSIT</t>
  </si>
  <si>
    <t>EXP/ FRET PAYMENT</t>
  </si>
  <si>
    <t>PURCHASE/ COTTON SEED</t>
  </si>
  <si>
    <t>PURCHASE/ OTHERS</t>
  </si>
  <si>
    <t>SERVICE</t>
  </si>
  <si>
    <t>PURCHASE/ FLEXITANK</t>
  </si>
  <si>
    <t>PURCHASE/ PP BAGS</t>
  </si>
  <si>
    <t>CATEGRIE</t>
  </si>
  <si>
    <t>WITHDRAWAL</t>
  </si>
  <si>
    <t>SALES/ SOYABEAN</t>
  </si>
  <si>
    <t>CREDIT MOVMENTS AS PER STATEMENT</t>
  </si>
  <si>
    <t>CREDIT MOVMENTS AS PER ALL ACCOUNTS</t>
  </si>
  <si>
    <t>DIFFRENCE</t>
  </si>
  <si>
    <t>MONTANT CREDIT</t>
  </si>
  <si>
    <t>PRODUIT</t>
  </si>
  <si>
    <t>TOTAL</t>
  </si>
  <si>
    <t>USN-26124567_270983232_Cotton Seed Nutrised Oil</t>
  </si>
  <si>
    <t>USN-26138988_271172498_Soyabean</t>
  </si>
  <si>
    <t>USN-26137511_271285360_Soya meal</t>
  </si>
  <si>
    <t>USN-26136887_271321384_Soya meal</t>
  </si>
  <si>
    <t>USN-26138982_272005087_Cotton Seed Nutrised Oil</t>
  </si>
  <si>
    <t>USN-26138983_272299963_Soya Crude Oil</t>
  </si>
  <si>
    <t>USN-26119442_270420719_Soyabean</t>
  </si>
  <si>
    <t>PURCHASE OF SOYABEAN</t>
  </si>
  <si>
    <t>FRAIS DE PRESTATION_TRANSITAIRE TRANS SOHA</t>
  </si>
  <si>
    <t>RETRAIT POUR NAP SARL/GARBA BOURAIMA</t>
  </si>
  <si>
    <t>SOYABEAN SALES_NAP/1084/2026_170288.36 $</t>
  </si>
  <si>
    <t>SOYABEAN SALES_NAP/1085/2026_155891.51 $</t>
  </si>
  <si>
    <t>CONTRE ECRITURE</t>
  </si>
  <si>
    <t>MONTANT DEBIT</t>
  </si>
  <si>
    <t>DEBIT MOVMENTS AS PER STATEMENT</t>
  </si>
  <si>
    <t>DEBIT MOVMENTS AS PER ALL ACCOUNTS</t>
  </si>
  <si>
    <t>Cotton seed oil_NAP/1073/2026</t>
  </si>
  <si>
    <t>Cotton seed oil_NAP/1068/2026</t>
  </si>
  <si>
    <t>PURCHASE/ HEXANE</t>
  </si>
  <si>
    <t>UD CAKE SALES_50MT@110K_OLD STOCK 2025</t>
  </si>
  <si>
    <t>UD CAKE SALES_100MT@145K</t>
  </si>
  <si>
    <t>UD CAKE SALES_</t>
  </si>
  <si>
    <t>UD CAKE SALES_300MT@145K_RGLMT</t>
  </si>
  <si>
    <t>UD CAKE SALES_150MT@145K</t>
  </si>
  <si>
    <t>UD CAKE SALES_100MT@160K</t>
  </si>
  <si>
    <t>UD CAKE SALES_350MT@160K</t>
  </si>
  <si>
    <t>UD CAKE SALES_250MT@165K</t>
  </si>
  <si>
    <t>UD CAKE SALES_200MT@165K</t>
  </si>
  <si>
    <t>BANTHAL SARL SENEGAL_NAP/1014/2026_324MT@160K</t>
  </si>
  <si>
    <t>KA AZIZ_NAP/1010/2026_UD CAKE SALES_TEL 97688750_288MT@160K</t>
  </si>
  <si>
    <t>VERSEMENT ESPECES BY ADETONAH DAMIAN DERE/ DERE IMPORT EXPORT</t>
  </si>
  <si>
    <t>UD CAKE SALES_DAMIAN_1500MT@155K_FACT 1012</t>
  </si>
  <si>
    <t>ALADJI LAMINE_DRISS_NAP/1008/2026_200MT@165K</t>
  </si>
  <si>
    <t>USN-26149382_271172507_Soyabean</t>
  </si>
  <si>
    <t>USN-26149558_LV-1093-2026_SHEA BUTTER</t>
  </si>
  <si>
    <t>USN-26138982_272005087_Cotton Seed Nutrised Oil_renew BFU</t>
  </si>
  <si>
    <t>USN-26136784_271319205_Soyabean_Renew BFU</t>
  </si>
  <si>
    <t>USN-26136784_271319205_Soyabean</t>
  </si>
  <si>
    <t>USN-26149844_271322421_Soyabean</t>
  </si>
  <si>
    <t>Cotton seed oil Sales_NAP/1066/2026_123414.76 EUR</t>
  </si>
  <si>
    <t>MANGLAM TOURS ET TRAVELS</t>
  </si>
  <si>
    <t>FORMALITES DE VOYAGE</t>
  </si>
  <si>
    <t>RAJIBER MMAF</t>
  </si>
  <si>
    <t>FRAIS DE PRESTATION POUR LE TRANSITAIRE RAJIBER - MMAF</t>
  </si>
  <si>
    <t>Soya crude oil _NAP-1080-2026_142,651.20 USD</t>
  </si>
  <si>
    <t>Soya crude oil _NAP-1083-2026_137,323 USD</t>
  </si>
  <si>
    <t>SALES/ SOYA CRUDE OIL</t>
  </si>
  <si>
    <t>USN-26137511_271285360_Soya meal_renew BFU</t>
  </si>
  <si>
    <t>USN-26136887_271321384_Soya meal_renew BFU</t>
  </si>
  <si>
    <t>SANJAY SOYA PRIVATE LIMITED_USD 142651.2@571</t>
  </si>
  <si>
    <t>SANJAY SOYA PRIVATE LIMITED_USD 137323@571</t>
  </si>
  <si>
    <t>FRAIS DE PRESTATION POUR LE TRANSITAIRE HAMA INTER</t>
  </si>
  <si>
    <t>ACHAT DE PRODUIT CHIMIQUE</t>
  </si>
  <si>
    <t xml:space="preserve">REMISE POUR NAP </t>
  </si>
  <si>
    <t>ETS KOKO SUPER</t>
  </si>
  <si>
    <t>HELIOS SECURITY SERVICES SARL</t>
  </si>
  <si>
    <t>INSTALLATION PARA SOL ET TONNERE</t>
  </si>
  <si>
    <t>ITM BENIN</t>
  </si>
  <si>
    <t>DOC/PREPARATORY/CHAUDIERE/ENTRETIEN/RAFINERIE/ FRAIS DE GESTION PERSONNEL</t>
  </si>
  <si>
    <t>USN-26157127_272808713_Soyabean</t>
  </si>
  <si>
    <t>USN-26155790_271321717_Soya Meal</t>
  </si>
  <si>
    <t>DERE IMPORT EXPORT SARL U</t>
  </si>
  <si>
    <t>REMBOURSEMENT DE COMMANDE NON EXECUTEE A DERE IMPORT EXPORT SARL U</t>
  </si>
  <si>
    <t>REMBOURSEMENT</t>
  </si>
  <si>
    <t>USN-26115434_270420202_SOYA BEANS_Renew</t>
  </si>
  <si>
    <t>USN-26136828_271320798_Soyabean_Renew</t>
  </si>
  <si>
    <t>REJET CHEQUE 5822101</t>
  </si>
  <si>
    <t>ABSENCE DE PROVISION</t>
  </si>
  <si>
    <t>COMMISION SUR CHEQUE IMPAYE</t>
  </si>
  <si>
    <t>CHEQUE 5822101</t>
  </si>
  <si>
    <t>USN-26160270_EBKG17612326_Soyabean</t>
  </si>
  <si>
    <t>ABOKY MIDOKPE DIDIER</t>
  </si>
  <si>
    <t>LOYER MAISON GLO</t>
  </si>
  <si>
    <t>MB TECHNOLOGIES</t>
  </si>
  <si>
    <t>PRODUCTION DES NOTES DE CALCULS DES SCHEMAS ELECTRIQUES / PRESTATION POUR LA CERTIFICATION/REDEVANCE A REVERSER A CONTRELEC</t>
  </si>
  <si>
    <t>USN-26163264_EBKG17592194_Soyabean</t>
  </si>
  <si>
    <t>USN-26164383_272826293_Soya meal</t>
  </si>
  <si>
    <t>USN-26149844_271322421_Soyabean_renew</t>
  </si>
  <si>
    <t>USN-26149382_271172507_Soyabean_renew</t>
  </si>
  <si>
    <t>USN-26167702_272826020_Soyabean</t>
  </si>
  <si>
    <t>USN-26167822_273955686_Soyabean</t>
  </si>
  <si>
    <t>USN-26169482_274133543_Soyabean</t>
  </si>
  <si>
    <t>USN-26165539_NAP-1105-2026_SHEA BUTTER</t>
  </si>
  <si>
    <t>USN-26170614_NAP-1111-2026_SHEA BUTTER</t>
  </si>
  <si>
    <t>USN-26171735_274133691_Soyabean</t>
  </si>
  <si>
    <t>Paiement de facture Novembre 2025 (Ref ) et Decembre 2024 (Ref )</t>
  </si>
  <si>
    <t>USN-26164383_272826293_Soya meal_renew</t>
  </si>
  <si>
    <t>USN-26167702_272826020_Soyabean_renew</t>
  </si>
  <si>
    <t>USN-26164384_272826117_Soyabean_renew</t>
  </si>
  <si>
    <t>USN-26164687_EBKG17674853_Soyabean_renew</t>
  </si>
  <si>
    <t>VERSEMENT ESPECES BY AFFO MOUSSA ABRAHIM</t>
  </si>
  <si>
    <t>VERSEMENT ESPECES BY GARBA IBRAHIM</t>
  </si>
  <si>
    <t>CEVA LOGISTICS</t>
  </si>
  <si>
    <t>Frais de prestation  sur importation</t>
  </si>
  <si>
    <t>SIAB SA</t>
  </si>
  <si>
    <t>ACHAT DE FER A BETON 6/8/14 PC ARMEL_PROJECT 12 : TANK FORM - SOAP PIT AREA - PARKING</t>
  </si>
  <si>
    <t>USN-26172392_EBKG17812040_Soyabean_renew</t>
  </si>
  <si>
    <t>MISE A DISPOSITIOM D'AGENT DE SECURITE POUR LE MOIS DE JUILLET</t>
  </si>
  <si>
    <t>TANK FORM - SOAP PIT AREA - PARKING</t>
  </si>
  <si>
    <t>VOYELO FINANGNON</t>
  </si>
  <si>
    <t>CONSTRUCTION</t>
  </si>
  <si>
    <t>USN-26173238_MEDUCT205464_Soyabean_renew</t>
  </si>
  <si>
    <t>USN-26187475_EBKG17975413_Soyabean</t>
  </si>
  <si>
    <t>MAHARASHTRA SOLVENT EXTRACTION LIMITED</t>
  </si>
  <si>
    <t>PURCHASE OF SHEA</t>
  </si>
  <si>
    <t>SANJAY SOYA PTE LTD</t>
  </si>
  <si>
    <t>SALES/ SOYA MEAL</t>
  </si>
  <si>
    <t>REMISE POUR NAP ECOBANK</t>
  </si>
  <si>
    <t>ISMAEL WASSIOU</t>
  </si>
  <si>
    <t>INV NO NAP-1088-2026_80831.07@564.35_271172498_Soyabean</t>
  </si>
  <si>
    <t>INV NO NAP-1087-2026_116713.76@563.22_271285360_Soyameal</t>
  </si>
  <si>
    <t>INV NO NAP-1086-2026_114470@563.22_271321384_Soyameal</t>
  </si>
  <si>
    <t>INV NO NAP-1089-2026_25230.6@562.45_272299963_Soya crude oil</t>
  </si>
  <si>
    <t>COMMISSION SUR DOMICILIATION EXPORT</t>
  </si>
  <si>
    <t>VERSEMENT ESPECES BY KPEGLO GEORGES KOUDOUS</t>
  </si>
  <si>
    <t>UBA</t>
  </si>
  <si>
    <t>VLAVONOU PIERRE</t>
  </si>
  <si>
    <t>AVHEC BENI</t>
  </si>
  <si>
    <t>SIGN BOARD</t>
  </si>
  <si>
    <t>OLAITAN COMMUNICATION</t>
  </si>
  <si>
    <t>LABOUR WORK ACC SHEA</t>
  </si>
  <si>
    <t>BADJOGOUN EVELINE NESTORINE / NOEL DOLEME</t>
  </si>
  <si>
    <t>NOEL DOLEME</t>
  </si>
  <si>
    <t>YENAFO MOISE</t>
  </si>
  <si>
    <t>DOSSOU GOUDOU ROMAIN</t>
  </si>
  <si>
    <t>PIERRE VLAVONOU/DAOUDA MACHOUDI</t>
  </si>
  <si>
    <t>FRAIS DE PRESTATION_TRANSITAIRE_ RAJIBER</t>
  </si>
  <si>
    <t>PAN TRADING FZ LLC</t>
  </si>
  <si>
    <t>ROOFING BOILER</t>
  </si>
  <si>
    <t>ALLASSANE MARWANE</t>
  </si>
  <si>
    <t>AHOUANSOTODE BAUDELAIRE AIME</t>
  </si>
  <si>
    <t>GBAGBE MATHIAS</t>
  </si>
  <si>
    <t>MEHSAN DANIEL JOEL</t>
  </si>
  <si>
    <t>OIL MILL MATERIAL</t>
  </si>
  <si>
    <t>HOUSE RENT SEPT-OCT-NOV 2026 : AJAY BABU</t>
  </si>
  <si>
    <t>LABOUR WORK SHEA ACC</t>
  </si>
  <si>
    <t>KOBOLOU HERVE</t>
  </si>
  <si>
    <t>ADEDJOUMOU ZACHARIE</t>
  </si>
  <si>
    <t>LOKOSSOU URBAIN</t>
  </si>
  <si>
    <t>GEDC</t>
  </si>
  <si>
    <t>SIPI BENIN SA</t>
  </si>
  <si>
    <t>FRAIS DE CONSOMMATION ELECTRICITE FEV, MAR &amp; AVR 2026</t>
  </si>
  <si>
    <t>FRAIS DE CONSOMMATION EAU FEV, MAR, AVR 2026</t>
  </si>
  <si>
    <t>PESAGE CAMION NOV, FEV, MAR, AVR 2026</t>
  </si>
  <si>
    <t>BADAROU SAID</t>
  </si>
  <si>
    <t>CEFOSI</t>
  </si>
  <si>
    <t>RECHARGE,FOURNITURE, VERIFICATION ET ENTRETIEN D'EXTINCTEURS</t>
  </si>
  <si>
    <t>DOSSA DOGNON MATHURIN</t>
  </si>
  <si>
    <t>PROSPERE</t>
  </si>
  <si>
    <t>REMISE POUR NAP</t>
  </si>
  <si>
    <t>FRAIS DE PRESTATION_TRANSITAIRE HAMA INTER</t>
  </si>
  <si>
    <t>DEGLA SOTONGNON ARMAND</t>
  </si>
  <si>
    <t>AHEGNI CASIMIR</t>
  </si>
  <si>
    <t>Mr MOMO</t>
  </si>
  <si>
    <t>SEYNI HASSANE</t>
  </si>
  <si>
    <t>HOUSE RENT : GLO</t>
  </si>
  <si>
    <t>MISE A DISPOSITIOM D'AGENT DE SECURITE POUR LE MOIS DE AOUT</t>
  </si>
  <si>
    <t>INV NO NAP-1025-2026_115242.34@561_266451339//INV NO NAP-1026-2026_114695.732@561_266420310//INV NO NAP-1027-2026_111902.75@561_266446250_Soyabean</t>
  </si>
  <si>
    <t>INV NO NAP-1092-2026_162054.12@559.55_271172507_Soyabean</t>
  </si>
  <si>
    <t>INV NO 1003/2025 _USD 61,109.75@560.50_Cotton Seed Cake</t>
  </si>
  <si>
    <t>COMMISSION SUR DOMICILIATION</t>
  </si>
  <si>
    <t>REGLEMENT CHEQUE 5822169</t>
  </si>
  <si>
    <t>REJET /REGLEMENT CHEQUE 5822169/ABSENCE DE PROVISION</t>
  </si>
  <si>
    <t>COMMIISION SUR REJET</t>
  </si>
  <si>
    <t>INTERET DEBIT</t>
  </si>
  <si>
    <t>SALARIES AND LOCAL ALLOWANCE OF INDIAN PEOPLE</t>
  </si>
  <si>
    <t>SALARY</t>
  </si>
  <si>
    <t>INV NO NAP-1049-2026_53768@562_267328038_UD CAKE</t>
  </si>
  <si>
    <t>DECLARATION COMPLEMENTAIRE_USN-26136887_271321384_Soya meal</t>
  </si>
  <si>
    <t>USN-26187475_EBKG17975413_Soyabean_RENEW BFU</t>
  </si>
  <si>
    <t>USN-26194619_EBKG18274292_Soyabean</t>
  </si>
  <si>
    <t>USN-26194619_EBKG18274292_Soyabean_RENEW BFU</t>
  </si>
  <si>
    <t>IMPORT OPS</t>
  </si>
  <si>
    <t>FRAIS DE CONSOMMATION ELECTRICITE MAI, JUIN &amp; JUL 2026</t>
  </si>
  <si>
    <t>FRAIS DE CONSOMMATION EAU MAI, JUN, JUL 2026</t>
  </si>
  <si>
    <t>PESAGE CAMION NOV, MAI, JUN, JUL 2026</t>
  </si>
  <si>
    <t>COMMISION DOMICILIATION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</si>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</sst>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_);_(* \(#,##0\);_(* &quot;-&quot;_);_(@_)"/>
    <numFmt numFmtId="165" formatCode="_(* #,##0.00_);_(* \(#,##0.00\);_(* &quot;-&quot;??_);_(@_)"/>
    <numFmt numFmtId="166" formatCode="###\ ###\ ###\ ###"/>
    <numFmt numFmtId="167" formatCode="[$-409]d\-mmm\-yy;@"/>
    <numFmt numFmtId="168" formatCode="_(* #,##0_);_(* \(#,##0\);_(* &quot;-&quot;??_);_(@_)"/>
    <numFmt numFmtId="169" formatCode="_([$XOF]\ * #,##0_);_([$XOF]\ * \(#,##0\);_([$XOF]\ * &quot;-&quot;??_);_(@_)"/>
    <numFmt numFmtId="170" formatCode="_([$XOF]\ * #,##0_);_([$XOF]\ * \(#,##0\);_([$XOF]\ * &quot;-&quot;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22">
    <xf numFmtId="0" fontId="0" fillId="0" borderId="0" xfId="0"/>
    <xf numFmtId="168" fontId="0" fillId="0" borderId="0" xfId="1" applyNumberFormat="1" applyFont="1"/>
    <xf numFmtId="0" fontId="0" fillId="0" borderId="1" xfId="0" applyBorder="1"/>
    <xf numFmtId="167" fontId="0" fillId="0" borderId="1" xfId="0" applyNumberFormat="1" applyBorder="1"/>
    <xf numFmtId="164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/>
    </xf>
    <xf numFmtId="168" fontId="0" fillId="0" borderId="1" xfId="1" applyNumberFormat="1" applyFont="1" applyBorder="1"/>
    <xf numFmtId="167" fontId="0" fillId="2" borderId="1" xfId="0" applyNumberFormat="1" applyFill="1" applyBorder="1"/>
    <xf numFmtId="0" fontId="0" fillId="2" borderId="1" xfId="0" applyFill="1" applyBorder="1"/>
    <xf numFmtId="168" fontId="0" fillId="2" borderId="1" xfId="1" applyNumberFormat="1" applyFont="1" applyFill="1" applyBorder="1"/>
    <xf numFmtId="0" fontId="2" fillId="0" borderId="1" xfId="0" applyFont="1" applyBorder="1"/>
    <xf numFmtId="0" fontId="2" fillId="0" borderId="0" xfId="0" applyFont="1"/>
    <xf numFmtId="168" fontId="0" fillId="0" borderId="1" xfId="1" applyNumberFormat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8" fontId="2" fillId="4" borderId="1" xfId="1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0" borderId="1" xfId="0" applyFont="1" applyBorder="1" applyAlignment="1">
      <alignment wrapText="1"/>
    </xf>
    <xf numFmtId="166" fontId="4" fillId="0" borderId="1" xfId="0" applyNumberFormat="1" applyFont="1" applyBorder="1"/>
    <xf numFmtId="167" fontId="0" fillId="4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4" borderId="1" xfId="0" applyFill="1" applyBorder="1" applyAlignment="1">
      <alignment wrapText="1"/>
    </xf>
    <xf numFmtId="166" fontId="0" fillId="4" borderId="1" xfId="0" applyNumberFormat="1" applyFill="1" applyBorder="1"/>
    <xf numFmtId="168" fontId="0" fillId="4" borderId="1" xfId="1" applyNumberFormat="1" applyFont="1" applyFill="1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166" fontId="4" fillId="4" borderId="1" xfId="0" applyNumberFormat="1" applyFont="1" applyFill="1" applyBorder="1"/>
    <xf numFmtId="167" fontId="2" fillId="0" borderId="1" xfId="0" applyNumberFormat="1" applyFont="1" applyBorder="1"/>
    <xf numFmtId="168" fontId="2" fillId="0" borderId="1" xfId="1" applyNumberFormat="1" applyFont="1" applyBorder="1"/>
    <xf numFmtId="164" fontId="2" fillId="0" borderId="1" xfId="0" applyNumberFormat="1" applyFont="1" applyBorder="1"/>
    <xf numFmtId="166" fontId="2" fillId="0" borderId="1" xfId="0" applyNumberFormat="1" applyFont="1" applyBorder="1"/>
    <xf numFmtId="168" fontId="2" fillId="0" borderId="1" xfId="1" applyNumberFormat="1" applyFont="1" applyFill="1" applyBorder="1"/>
    <xf numFmtId="168" fontId="2" fillId="0" borderId="0" xfId="1" applyNumberFormat="1" applyFont="1"/>
    <xf numFmtId="0" fontId="2" fillId="0" borderId="1" xfId="0" applyFont="1" applyBorder="1" applyAlignment="1">
      <alignment wrapText="1"/>
    </xf>
    <xf numFmtId="167" fontId="6" fillId="0" borderId="1" xfId="0" applyNumberFormat="1" applyFont="1" applyBorder="1"/>
    <xf numFmtId="0" fontId="6" fillId="0" borderId="1" xfId="0" applyFont="1" applyBorder="1"/>
    <xf numFmtId="168" fontId="6" fillId="0" borderId="1" xfId="1" applyNumberFormat="1" applyFont="1" applyBorder="1"/>
    <xf numFmtId="164" fontId="6" fillId="0" borderId="1" xfId="0" applyNumberFormat="1" applyFont="1" applyBorder="1"/>
    <xf numFmtId="0" fontId="0" fillId="0" borderId="3" xfId="0" applyBorder="1" applyAlignment="1">
      <alignment vertical="center" wrapText="1"/>
    </xf>
    <xf numFmtId="167" fontId="7" fillId="5" borderId="1" xfId="0" applyNumberFormat="1" applyFont="1" applyFill="1" applyBorder="1"/>
    <xf numFmtId="0" fontId="7" fillId="5" borderId="1" xfId="0" applyFont="1" applyFill="1" applyBorder="1"/>
    <xf numFmtId="168" fontId="7" fillId="5" borderId="1" xfId="1" applyNumberFormat="1" applyFont="1" applyFill="1" applyBorder="1"/>
    <xf numFmtId="164" fontId="7" fillId="5" borderId="1" xfId="0" applyNumberFormat="1" applyFont="1" applyFill="1" applyBorder="1"/>
    <xf numFmtId="167" fontId="2" fillId="5" borderId="1" xfId="0" applyNumberFormat="1" applyFont="1" applyFill="1" applyBorder="1"/>
    <xf numFmtId="0" fontId="2" fillId="5" borderId="1" xfId="0" applyFont="1" applyFill="1" applyBorder="1"/>
    <xf numFmtId="168" fontId="2" fillId="5" borderId="1" xfId="1" applyNumberFormat="1" applyFont="1" applyFill="1" applyBorder="1"/>
    <xf numFmtId="164" fontId="2" fillId="5" borderId="1" xfId="0" applyNumberFormat="1" applyFont="1" applyFill="1" applyBorder="1"/>
    <xf numFmtId="167" fontId="7" fillId="0" borderId="1" xfId="0" applyNumberFormat="1" applyFont="1" applyBorder="1"/>
    <xf numFmtId="0" fontId="7" fillId="0" borderId="1" xfId="0" applyFont="1" applyBorder="1"/>
    <xf numFmtId="168" fontId="7" fillId="0" borderId="1" xfId="1" applyNumberFormat="1" applyFont="1" applyFill="1" applyBorder="1"/>
    <xf numFmtId="164" fontId="7" fillId="0" borderId="1" xfId="0" applyNumberFormat="1" applyFont="1" applyBorder="1"/>
    <xf numFmtId="166" fontId="7" fillId="0" borderId="1" xfId="0" applyNumberFormat="1" applyFont="1" applyBorder="1"/>
    <xf numFmtId="0" fontId="2" fillId="6" borderId="1" xfId="0" applyFont="1" applyFill="1" applyBorder="1"/>
    <xf numFmtId="14" fontId="0" fillId="0" borderId="1" xfId="0" applyNumberFormat="1" applyBorder="1"/>
    <xf numFmtId="169" fontId="8" fillId="0" borderId="1" xfId="0" applyNumberFormat="1" applyFont="1" applyBorder="1"/>
    <xf numFmtId="14" fontId="2" fillId="6" borderId="1" xfId="0" applyNumberFormat="1" applyFont="1" applyFill="1" applyBorder="1"/>
    <xf numFmtId="14" fontId="0" fillId="0" borderId="0" xfId="0" applyNumberFormat="1"/>
    <xf numFmtId="169" fontId="0" fillId="0" borderId="1" xfId="0" applyNumberFormat="1" applyBorder="1"/>
    <xf numFmtId="169" fontId="2" fillId="0" borderId="1" xfId="0" applyNumberFormat="1" applyFont="1" applyBorder="1"/>
    <xf numFmtId="169" fontId="3" fillId="0" borderId="1" xfId="0" applyNumberFormat="1" applyFont="1" applyBorder="1"/>
    <xf numFmtId="168" fontId="0" fillId="0" borderId="1" xfId="0" applyNumberFormat="1" applyBorder="1"/>
    <xf numFmtId="0" fontId="2" fillId="7" borderId="1" xfId="0" applyFont="1" applyFill="1" applyBorder="1"/>
    <xf numFmtId="169" fontId="5" fillId="0" borderId="1" xfId="0" applyNumberFormat="1" applyFont="1" applyBorder="1"/>
    <xf numFmtId="0" fontId="0" fillId="0" borderId="1" xfId="0" applyBorder="1" applyAlignment="1">
      <alignment horizontal="left" vertical="center"/>
    </xf>
    <xf numFmtId="170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70" fontId="0" fillId="0" borderId="0" xfId="0" applyNumberFormat="1" applyAlignment="1">
      <alignment horizontal="left" vertical="center"/>
    </xf>
    <xf numFmtId="168" fontId="5" fillId="0" borderId="1" xfId="1" applyNumberFormat="1" applyFont="1" applyFill="1" applyBorder="1"/>
    <xf numFmtId="166" fontId="2" fillId="5" borderId="1" xfId="0" applyNumberFormat="1" applyFont="1" applyFill="1" applyBorder="1"/>
    <xf numFmtId="167" fontId="2" fillId="8" borderId="1" xfId="0" applyNumberFormat="1" applyFont="1" applyFill="1" applyBorder="1"/>
    <xf numFmtId="0" fontId="2" fillId="8" borderId="1" xfId="0" applyFont="1" applyFill="1" applyBorder="1"/>
    <xf numFmtId="168" fontId="7" fillId="8" borderId="1" xfId="1" applyNumberFormat="1" applyFont="1" applyFill="1" applyBorder="1"/>
    <xf numFmtId="164" fontId="2" fillId="8" borderId="1" xfId="0" applyNumberFormat="1" applyFont="1" applyFill="1" applyBorder="1"/>
    <xf numFmtId="166" fontId="2" fillId="8" borderId="1" xfId="0" applyNumberFormat="1" applyFont="1" applyFill="1" applyBorder="1"/>
    <xf numFmtId="167" fontId="2" fillId="3" borderId="1" xfId="0" applyNumberFormat="1" applyFont="1" applyFill="1" applyBorder="1"/>
    <xf numFmtId="0" fontId="2" fillId="3" borderId="1" xfId="0" applyFont="1" applyFill="1" applyBorder="1"/>
    <xf numFmtId="168" fontId="7" fillId="3" borderId="1" xfId="1" applyNumberFormat="1" applyFont="1" applyFill="1" applyBorder="1"/>
    <xf numFmtId="168" fontId="2" fillId="3" borderId="1" xfId="1" applyNumberFormat="1" applyFont="1" applyFill="1" applyBorder="1"/>
    <xf numFmtId="164" fontId="2" fillId="3" borderId="1" xfId="0" applyNumberFormat="1" applyFont="1" applyFill="1" applyBorder="1"/>
    <xf numFmtId="166" fontId="2" fillId="3" borderId="1" xfId="0" applyNumberFormat="1" applyFont="1" applyFill="1" applyBorder="1"/>
    <xf numFmtId="168" fontId="2" fillId="8" borderId="1" xfId="1" applyNumberFormat="1" applyFont="1" applyFill="1" applyBorder="1"/>
    <xf numFmtId="167" fontId="2" fillId="9" borderId="1" xfId="0" applyNumberFormat="1" applyFont="1" applyFill="1" applyBorder="1"/>
    <xf numFmtId="0" fontId="2" fillId="9" borderId="1" xfId="0" applyFont="1" applyFill="1" applyBorder="1"/>
    <xf numFmtId="168" fontId="7" fillId="9" borderId="1" xfId="1" applyNumberFormat="1" applyFont="1" applyFill="1" applyBorder="1"/>
    <xf numFmtId="168" fontId="2" fillId="9" borderId="1" xfId="1" applyNumberFormat="1" applyFont="1" applyFill="1" applyBorder="1"/>
    <xf numFmtId="164" fontId="2" fillId="9" borderId="1" xfId="0" applyNumberFormat="1" applyFont="1" applyFill="1" applyBorder="1"/>
    <xf numFmtId="166" fontId="2" fillId="9" borderId="1" xfId="0" applyNumberFormat="1" applyFont="1" applyFill="1" applyBorder="1"/>
    <xf numFmtId="166" fontId="2" fillId="4" borderId="1" xfId="0" applyNumberFormat="1" applyFont="1" applyFill="1" applyBorder="1"/>
    <xf numFmtId="167" fontId="0" fillId="5" borderId="1" xfId="0" applyNumberFormat="1" applyFill="1" applyBorder="1"/>
    <xf numFmtId="0" fontId="0" fillId="5" borderId="1" xfId="0" applyFill="1" applyBorder="1"/>
    <xf numFmtId="168" fontId="0" fillId="5" borderId="1" xfId="1" applyNumberFormat="1" applyFont="1" applyFill="1" applyBorder="1"/>
    <xf numFmtId="0" fontId="0" fillId="5" borderId="0" xfId="0" applyFill="1"/>
    <xf numFmtId="168" fontId="4" fillId="0" borderId="1" xfId="1" applyNumberFormat="1" applyFont="1" applyBorder="1"/>
    <xf numFmtId="169" fontId="9" fillId="0" borderId="1" xfId="0" applyNumberFormat="1" applyFont="1" applyBorder="1"/>
    <xf numFmtId="167" fontId="0" fillId="10" borderId="1" xfId="0" applyNumberFormat="1" applyFill="1" applyBorder="1"/>
    <xf numFmtId="0" fontId="0" fillId="10" borderId="1" xfId="0" applyFill="1" applyBorder="1"/>
    <xf numFmtId="168" fontId="1" fillId="10" borderId="1" xfId="1" applyNumberFormat="1" applyFont="1" applyFill="1" applyBorder="1"/>
    <xf numFmtId="0" fontId="7" fillId="0" borderId="0" xfId="0" applyFont="1"/>
    <xf numFmtId="0" fontId="6" fillId="0" borderId="0" xfId="0" applyFont="1"/>
    <xf numFmtId="0" fontId="4" fillId="0" borderId="0" xfId="0" applyFont="1"/>
    <xf numFmtId="168" fontId="1" fillId="0" borderId="1" xfId="1" applyNumberFormat="1" applyFont="1" applyFill="1" applyBorder="1"/>
    <xf numFmtId="0" fontId="0" fillId="10" borderId="0" xfId="0" applyFill="1"/>
    <xf numFmtId="166" fontId="2" fillId="4" borderId="7" xfId="0" applyNumberFormat="1" applyFont="1" applyFill="1" applyBorder="1" applyAlignment="1">
      <alignment horizontal="center" vertical="center"/>
    </xf>
    <xf numFmtId="168" fontId="0" fillId="0" borderId="0" xfId="1" applyNumberFormat="1" applyFont="1" applyFill="1"/>
    <xf numFmtId="168" fontId="1" fillId="0" borderId="7" xfId="1" applyNumberFormat="1" applyFont="1" applyFill="1" applyBorder="1"/>
    <xf numFmtId="164" fontId="0" fillId="10" borderId="1" xfId="0" applyNumberFormat="1" applyFill="1" applyBorder="1"/>
    <xf numFmtId="0" fontId="3" fillId="0" borderId="0" xfId="0" applyFont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E50D99F5-8AA5-4142-8ACD-1F2841ED77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6B662-CD0A-420F-8307-35573C69A803}">
  <dimension ref="D7:E14"/>
  <sheetViews>
    <sheetView workbookViewId="0">
      <selection activeCell="E13" sqref="E13"/>
    </sheetView>
  </sheetViews>
  <sheetFormatPr baseColWidth="10" defaultColWidth="8.7265625" defaultRowHeight="14.5" x14ac:dyDescent="0.35"/>
  <cols>
    <col min="4" max="4" width="36.90625" bestFit="1" customWidth="1"/>
    <col min="5" max="5" width="23.26953125" customWidth="1"/>
  </cols>
  <sheetData>
    <row r="7" spans="4:5" s="73" customFormat="1" ht="21.5" customHeight="1" x14ac:dyDescent="0.35">
      <c r="D7" s="71" t="s">
        <v>236</v>
      </c>
      <c r="E7" s="72">
        <f>SUM(STATEMENT!C5:C1048576)</f>
        <v>2747041369</v>
      </c>
    </row>
    <row r="8" spans="4:5" s="73" customFormat="1" ht="21.5" customHeight="1" x14ac:dyDescent="0.35">
      <c r="D8" s="71" t="s">
        <v>237</v>
      </c>
      <c r="E8" s="72">
        <f>MVT_CAISSE!C9+BANQUE!C7+'VENTE_EXP_LOCAL_(CREDIT)'!C10</f>
        <v>2747041369</v>
      </c>
    </row>
    <row r="9" spans="4:5" s="73" customFormat="1" ht="21.5" customHeight="1" x14ac:dyDescent="0.35">
      <c r="D9" s="71" t="s">
        <v>238</v>
      </c>
      <c r="E9" s="72">
        <f>E7-E8</f>
        <v>0</v>
      </c>
    </row>
    <row r="10" spans="4:5" s="73" customFormat="1" ht="10" customHeight="1" x14ac:dyDescent="0.35">
      <c r="E10" s="74"/>
    </row>
    <row r="11" spans="4:5" s="73" customFormat="1" ht="10" customHeight="1" x14ac:dyDescent="0.35">
      <c r="E11" s="74"/>
    </row>
    <row r="12" spans="4:5" s="73" customFormat="1" ht="21.5" customHeight="1" x14ac:dyDescent="0.35">
      <c r="D12" s="71" t="s">
        <v>256</v>
      </c>
      <c r="E12" s="72">
        <f>SUM(STATEMENT!D5:D1048576)</f>
        <v>2780145941</v>
      </c>
    </row>
    <row r="13" spans="4:5" s="73" customFormat="1" ht="21.5" customHeight="1" x14ac:dyDescent="0.35">
      <c r="D13" s="71" t="s">
        <v>257</v>
      </c>
      <c r="E13" s="72">
        <f>MVT_CAISSE!D9+BANQUE!D7+'ACHAT_MP_(DEBIT)'!C10+'DEPENCES_EXP ACC_(DEBIT)'!C8+'AUTRES_DEPENSES_(DEBIT)'!C15</f>
        <v>2780145941</v>
      </c>
    </row>
    <row r="14" spans="4:5" s="73" customFormat="1" ht="21.5" customHeight="1" x14ac:dyDescent="0.35">
      <c r="D14" s="71" t="s">
        <v>238</v>
      </c>
      <c r="E14" s="72">
        <f>E12-E13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"/>
  <sheetViews>
    <sheetView tabSelected="1" zoomScale="70" zoomScaleNormal="70" workbookViewId="0">
      <pane ySplit="3" topLeftCell="A381" activePane="bottomLeft" state="frozen"/>
      <selection pane="bottomLeft" activeCell="A401" sqref="A401"/>
    </sheetView>
  </sheetViews>
  <sheetFormatPr baseColWidth="10" defaultColWidth="8.7265625" defaultRowHeight="14.5" x14ac:dyDescent="0.35"/>
  <cols>
    <col min="1" max="1" width="10.90625" bestFit="1" customWidth="1"/>
    <col min="2" max="2" width="70.54296875" bestFit="1" customWidth="1"/>
    <col min="3" max="3" width="16.36328125" style="1" bestFit="1" customWidth="1"/>
    <col min="4" max="4" width="20.6328125" customWidth="1"/>
    <col min="5" max="5" width="20.54296875" customWidth="1"/>
    <col min="6" max="6" width="19.453125" bestFit="1" customWidth="1"/>
    <col min="7" max="7" width="124.1796875" bestFit="1" customWidth="1"/>
    <col min="8" max="8" width="23.6328125" bestFit="1" customWidth="1"/>
    <col min="9" max="9" width="20.6328125" customWidth="1"/>
    <col min="11" max="11" width="10.1796875" bestFit="1" customWidth="1"/>
  </cols>
  <sheetData>
    <row r="1" spans="1:9" ht="15.5" x14ac:dyDescent="0.35">
      <c r="A1" s="114" t="s">
        <v>19</v>
      </c>
      <c r="B1" s="114"/>
      <c r="C1" s="114"/>
      <c r="D1" s="114"/>
      <c r="E1" s="114"/>
      <c r="F1" s="114"/>
      <c r="G1" s="114"/>
    </row>
    <row r="3" spans="1:9" x14ac:dyDescent="0.35">
      <c r="A3" s="17" t="s">
        <v>0</v>
      </c>
      <c r="B3" s="18" t="s">
        <v>1</v>
      </c>
      <c r="C3" s="19" t="s">
        <v>2</v>
      </c>
      <c r="D3" s="20" t="s">
        <v>3</v>
      </c>
      <c r="E3" s="20" t="s">
        <v>4</v>
      </c>
      <c r="F3" s="17" t="s">
        <v>5</v>
      </c>
      <c r="G3" s="20" t="s">
        <v>17</v>
      </c>
      <c r="H3" s="20" t="s">
        <v>211</v>
      </c>
      <c r="I3" s="110" t="s">
        <v>419</v>
      </c>
    </row>
    <row r="4" spans="1:9" x14ac:dyDescent="0.35">
      <c r="A4" s="3">
        <v>46023</v>
      </c>
      <c r="B4" s="2" t="s">
        <v>28</v>
      </c>
      <c r="C4" s="75"/>
      <c r="D4" s="4"/>
      <c r="E4" s="4">
        <v>23372793</v>
      </c>
      <c r="F4" s="2"/>
      <c r="G4" s="5"/>
      <c r="H4" s="2"/>
    </row>
    <row r="5" spans="1:9" s="12" customFormat="1" x14ac:dyDescent="0.35">
      <c r="A5" s="35">
        <v>46027</v>
      </c>
      <c r="B5" s="11" t="s">
        <v>87</v>
      </c>
      <c r="C5" s="57"/>
      <c r="D5" s="37">
        <v>3400000</v>
      </c>
      <c r="E5" s="37">
        <f t="shared" ref="E5:E68" si="0">E4+C5-D5</f>
        <v>19972793</v>
      </c>
      <c r="F5" s="11">
        <v>5447234</v>
      </c>
      <c r="G5" s="38"/>
      <c r="H5" s="11" t="s">
        <v>217</v>
      </c>
    </row>
    <row r="6" spans="1:9" s="12" customFormat="1" x14ac:dyDescent="0.35">
      <c r="A6" s="35">
        <v>46027</v>
      </c>
      <c r="B6" s="11" t="s">
        <v>87</v>
      </c>
      <c r="C6" s="57"/>
      <c r="D6" s="37">
        <v>1258530</v>
      </c>
      <c r="E6" s="37">
        <f t="shared" si="0"/>
        <v>18714263</v>
      </c>
      <c r="F6" s="11">
        <v>5447233</v>
      </c>
      <c r="G6" s="38"/>
      <c r="H6" s="11" t="s">
        <v>217</v>
      </c>
    </row>
    <row r="7" spans="1:9" s="12" customFormat="1" x14ac:dyDescent="0.35">
      <c r="A7" s="35">
        <v>46029</v>
      </c>
      <c r="B7" s="11" t="s">
        <v>72</v>
      </c>
      <c r="C7" s="57"/>
      <c r="D7" s="37">
        <v>2000000</v>
      </c>
      <c r="E7" s="37">
        <f t="shared" si="0"/>
        <v>16714263</v>
      </c>
      <c r="F7" s="11">
        <v>5447235</v>
      </c>
      <c r="G7" s="38" t="s">
        <v>89</v>
      </c>
      <c r="H7" s="11" t="s">
        <v>230</v>
      </c>
    </row>
    <row r="8" spans="1:9" s="12" customFormat="1" x14ac:dyDescent="0.35">
      <c r="A8" s="35">
        <v>46029</v>
      </c>
      <c r="B8" s="11" t="s">
        <v>7</v>
      </c>
      <c r="C8" s="57"/>
      <c r="D8" s="37">
        <v>1080382</v>
      </c>
      <c r="E8" s="37">
        <f t="shared" si="0"/>
        <v>15633881</v>
      </c>
      <c r="F8" s="11"/>
      <c r="G8" s="38" t="s">
        <v>88</v>
      </c>
      <c r="H8" s="11" t="s">
        <v>216</v>
      </c>
    </row>
    <row r="9" spans="1:9" s="12" customFormat="1" x14ac:dyDescent="0.35">
      <c r="A9" s="35">
        <v>46034</v>
      </c>
      <c r="B9" s="11" t="s">
        <v>94</v>
      </c>
      <c r="C9" s="57"/>
      <c r="D9" s="37">
        <v>10300265</v>
      </c>
      <c r="E9" s="37">
        <f t="shared" si="0"/>
        <v>5333616</v>
      </c>
      <c r="F9" s="11"/>
      <c r="G9" s="38" t="s">
        <v>95</v>
      </c>
      <c r="H9" s="11" t="s">
        <v>94</v>
      </c>
    </row>
    <row r="10" spans="1:9" s="12" customFormat="1" x14ac:dyDescent="0.35">
      <c r="A10" s="35">
        <v>46034</v>
      </c>
      <c r="B10" s="11" t="s">
        <v>73</v>
      </c>
      <c r="C10" s="57">
        <v>5500000</v>
      </c>
      <c r="D10" s="37"/>
      <c r="E10" s="37">
        <f t="shared" si="0"/>
        <v>10833616</v>
      </c>
      <c r="F10" s="11"/>
      <c r="G10" s="38" t="s">
        <v>261</v>
      </c>
      <c r="H10" s="38" t="s">
        <v>215</v>
      </c>
    </row>
    <row r="11" spans="1:9" s="12" customFormat="1" x14ac:dyDescent="0.35">
      <c r="A11" s="35">
        <v>46034</v>
      </c>
      <c r="B11" s="11" t="s">
        <v>74</v>
      </c>
      <c r="C11" s="57"/>
      <c r="D11" s="37">
        <v>1200000</v>
      </c>
      <c r="E11" s="37">
        <f t="shared" si="0"/>
        <v>9633616</v>
      </c>
      <c r="F11" s="11">
        <v>5447238</v>
      </c>
      <c r="G11" s="38" t="s">
        <v>93</v>
      </c>
      <c r="H11" s="11" t="s">
        <v>212</v>
      </c>
    </row>
    <row r="12" spans="1:9" s="12" customFormat="1" x14ac:dyDescent="0.35">
      <c r="A12" s="35">
        <v>46034</v>
      </c>
      <c r="B12" s="11" t="s">
        <v>94</v>
      </c>
      <c r="C12" s="57"/>
      <c r="D12" s="37">
        <v>575278</v>
      </c>
      <c r="E12" s="37">
        <f t="shared" si="0"/>
        <v>9058338</v>
      </c>
      <c r="F12" s="11"/>
      <c r="G12" s="38"/>
      <c r="H12" s="11" t="s">
        <v>94</v>
      </c>
    </row>
    <row r="13" spans="1:9" s="12" customFormat="1" x14ac:dyDescent="0.35">
      <c r="A13" s="35">
        <v>46035</v>
      </c>
      <c r="B13" s="11" t="s">
        <v>96</v>
      </c>
      <c r="C13" s="57"/>
      <c r="D13" s="37">
        <v>2646300</v>
      </c>
      <c r="E13" s="37">
        <f t="shared" si="0"/>
        <v>6412038</v>
      </c>
      <c r="F13" s="11">
        <v>5447236</v>
      </c>
      <c r="G13" s="38" t="s">
        <v>97</v>
      </c>
      <c r="H13" s="11" t="s">
        <v>217</v>
      </c>
    </row>
    <row r="14" spans="1:9" s="12" customFormat="1" x14ac:dyDescent="0.35">
      <c r="A14" s="35">
        <v>46036</v>
      </c>
      <c r="B14" s="11" t="s">
        <v>99</v>
      </c>
      <c r="C14" s="57"/>
      <c r="D14" s="37">
        <v>2640000</v>
      </c>
      <c r="E14" s="37">
        <f t="shared" si="0"/>
        <v>3772038</v>
      </c>
      <c r="F14" s="11">
        <v>5447237</v>
      </c>
      <c r="G14" s="38" t="s">
        <v>98</v>
      </c>
      <c r="H14" s="11" t="s">
        <v>212</v>
      </c>
    </row>
    <row r="15" spans="1:9" s="12" customFormat="1" x14ac:dyDescent="0.35">
      <c r="A15" s="35">
        <v>46038</v>
      </c>
      <c r="B15" s="11" t="s">
        <v>73</v>
      </c>
      <c r="C15" s="57">
        <v>14500000</v>
      </c>
      <c r="D15" s="37"/>
      <c r="E15" s="37">
        <f t="shared" si="0"/>
        <v>18272038</v>
      </c>
      <c r="F15" s="11"/>
      <c r="G15" s="38" t="s">
        <v>262</v>
      </c>
      <c r="H15" s="38" t="s">
        <v>215</v>
      </c>
    </row>
    <row r="16" spans="1:9" s="12" customFormat="1" x14ac:dyDescent="0.35">
      <c r="A16" s="35">
        <v>46038</v>
      </c>
      <c r="B16" s="11" t="s">
        <v>75</v>
      </c>
      <c r="C16" s="57">
        <v>5000000</v>
      </c>
      <c r="D16" s="37"/>
      <c r="E16" s="37">
        <f t="shared" si="0"/>
        <v>23272038</v>
      </c>
      <c r="F16" s="11"/>
      <c r="G16" s="38" t="s">
        <v>100</v>
      </c>
      <c r="H16" s="11" t="s">
        <v>226</v>
      </c>
    </row>
    <row r="17" spans="1:8" s="12" customFormat="1" x14ac:dyDescent="0.35">
      <c r="A17" s="35">
        <v>46038</v>
      </c>
      <c r="B17" s="11" t="s">
        <v>7</v>
      </c>
      <c r="C17" s="57"/>
      <c r="D17" s="37">
        <v>3978467</v>
      </c>
      <c r="E17" s="37">
        <f t="shared" si="0"/>
        <v>19293571</v>
      </c>
      <c r="F17" s="11"/>
      <c r="G17" s="38" t="s">
        <v>101</v>
      </c>
      <c r="H17" s="11" t="s">
        <v>216</v>
      </c>
    </row>
    <row r="18" spans="1:8" s="12" customFormat="1" x14ac:dyDescent="0.35">
      <c r="A18" s="35">
        <v>46038</v>
      </c>
      <c r="B18" s="11" t="s">
        <v>7</v>
      </c>
      <c r="C18" s="57"/>
      <c r="D18" s="37">
        <v>2004059</v>
      </c>
      <c r="E18" s="37">
        <f t="shared" si="0"/>
        <v>17289512</v>
      </c>
      <c r="F18" s="11"/>
      <c r="G18" s="38" t="s">
        <v>102</v>
      </c>
      <c r="H18" s="11" t="s">
        <v>216</v>
      </c>
    </row>
    <row r="19" spans="1:8" s="12" customFormat="1" x14ac:dyDescent="0.35">
      <c r="A19" s="35">
        <v>46038</v>
      </c>
      <c r="B19" s="11" t="s">
        <v>73</v>
      </c>
      <c r="C19" s="57">
        <v>1500000</v>
      </c>
      <c r="D19" s="37"/>
      <c r="E19" s="37">
        <f t="shared" si="0"/>
        <v>18789512</v>
      </c>
      <c r="F19" s="11"/>
      <c r="G19" s="38" t="s">
        <v>264</v>
      </c>
      <c r="H19" s="38" t="s">
        <v>215</v>
      </c>
    </row>
    <row r="20" spans="1:8" s="12" customFormat="1" x14ac:dyDescent="0.35">
      <c r="A20" s="35">
        <v>46038</v>
      </c>
      <c r="B20" s="11" t="s">
        <v>76</v>
      </c>
      <c r="C20" s="57"/>
      <c r="D20" s="37">
        <v>660000</v>
      </c>
      <c r="E20" s="37">
        <f t="shared" si="0"/>
        <v>18129512</v>
      </c>
      <c r="F20" s="11">
        <v>5447239</v>
      </c>
      <c r="G20" s="38" t="s">
        <v>105</v>
      </c>
      <c r="H20" s="11" t="s">
        <v>212</v>
      </c>
    </row>
    <row r="21" spans="1:8" s="12" customFormat="1" x14ac:dyDescent="0.35">
      <c r="A21" s="35">
        <v>46038</v>
      </c>
      <c r="B21" s="11" t="s">
        <v>7</v>
      </c>
      <c r="C21" s="57"/>
      <c r="D21" s="37">
        <v>65625</v>
      </c>
      <c r="E21" s="37">
        <f t="shared" si="0"/>
        <v>18063887</v>
      </c>
      <c r="F21" s="11"/>
      <c r="G21" s="38" t="s">
        <v>103</v>
      </c>
      <c r="H21" s="11" t="s">
        <v>216</v>
      </c>
    </row>
    <row r="22" spans="1:8" s="12" customFormat="1" x14ac:dyDescent="0.35">
      <c r="A22" s="35">
        <v>46041</v>
      </c>
      <c r="B22" s="11" t="s">
        <v>7</v>
      </c>
      <c r="C22" s="57"/>
      <c r="D22" s="37">
        <v>4372054</v>
      </c>
      <c r="E22" s="37">
        <f t="shared" si="0"/>
        <v>13691833</v>
      </c>
      <c r="F22" s="11"/>
      <c r="G22" s="38" t="s">
        <v>141</v>
      </c>
      <c r="H22" s="11" t="s">
        <v>216</v>
      </c>
    </row>
    <row r="23" spans="1:8" x14ac:dyDescent="0.35">
      <c r="A23" s="35">
        <v>46041</v>
      </c>
      <c r="B23" s="11" t="s">
        <v>77</v>
      </c>
      <c r="C23" s="57"/>
      <c r="D23" s="37">
        <v>4255000</v>
      </c>
      <c r="E23" s="37">
        <f t="shared" si="0"/>
        <v>9436833</v>
      </c>
      <c r="F23" s="11">
        <v>5447241</v>
      </c>
      <c r="G23" s="38" t="s">
        <v>106</v>
      </c>
      <c r="H23" t="s">
        <v>230</v>
      </c>
    </row>
    <row r="24" spans="1:8" s="12" customFormat="1" x14ac:dyDescent="0.35">
      <c r="A24" s="35">
        <v>46041</v>
      </c>
      <c r="B24" s="11" t="s">
        <v>6</v>
      </c>
      <c r="C24" s="57"/>
      <c r="D24" s="37">
        <v>774522</v>
      </c>
      <c r="E24" s="37">
        <f t="shared" si="0"/>
        <v>8662311</v>
      </c>
      <c r="F24" s="11">
        <v>5447242</v>
      </c>
      <c r="G24" s="38" t="s">
        <v>107</v>
      </c>
      <c r="H24" s="11" t="s">
        <v>113</v>
      </c>
    </row>
    <row r="25" spans="1:8" s="12" customFormat="1" x14ac:dyDescent="0.35">
      <c r="A25" s="35">
        <v>46041</v>
      </c>
      <c r="B25" s="11" t="s">
        <v>108</v>
      </c>
      <c r="C25" s="57"/>
      <c r="D25" s="37">
        <v>154715</v>
      </c>
      <c r="E25" s="37">
        <f t="shared" si="0"/>
        <v>8507596</v>
      </c>
      <c r="F25" s="11">
        <v>5447240</v>
      </c>
      <c r="G25" s="38" t="s">
        <v>109</v>
      </c>
      <c r="H25" s="2" t="s">
        <v>229</v>
      </c>
    </row>
    <row r="26" spans="1:8" s="12" customFormat="1" x14ac:dyDescent="0.35">
      <c r="A26" s="35">
        <v>46042</v>
      </c>
      <c r="B26" s="11" t="s">
        <v>7</v>
      </c>
      <c r="C26" s="57"/>
      <c r="D26" s="37">
        <v>1037216</v>
      </c>
      <c r="E26" s="37">
        <f t="shared" si="0"/>
        <v>7470380</v>
      </c>
      <c r="F26" s="11"/>
      <c r="G26" s="38" t="s">
        <v>142</v>
      </c>
      <c r="H26" s="11" t="s">
        <v>216</v>
      </c>
    </row>
    <row r="27" spans="1:8" s="12" customFormat="1" x14ac:dyDescent="0.35">
      <c r="A27" s="35">
        <v>46043</v>
      </c>
      <c r="B27" s="11" t="s">
        <v>73</v>
      </c>
      <c r="C27" s="57">
        <v>14500000</v>
      </c>
      <c r="D27" s="37"/>
      <c r="E27" s="37">
        <f t="shared" si="0"/>
        <v>21970380</v>
      </c>
      <c r="F27" s="11"/>
      <c r="G27" s="38" t="s">
        <v>262</v>
      </c>
      <c r="H27" s="38" t="s">
        <v>215</v>
      </c>
    </row>
    <row r="28" spans="1:8" s="12" customFormat="1" x14ac:dyDescent="0.35">
      <c r="A28" s="35">
        <v>46044</v>
      </c>
      <c r="B28" s="11" t="s">
        <v>78</v>
      </c>
      <c r="C28" s="57"/>
      <c r="D28" s="37">
        <v>2471134</v>
      </c>
      <c r="E28" s="37">
        <f t="shared" si="0"/>
        <v>19499246</v>
      </c>
      <c r="F28" s="11">
        <v>5662541</v>
      </c>
      <c r="G28" s="38" t="s">
        <v>110</v>
      </c>
      <c r="H28" s="2" t="s">
        <v>229</v>
      </c>
    </row>
    <row r="29" spans="1:8" s="12" customFormat="1" x14ac:dyDescent="0.35">
      <c r="A29" s="35">
        <v>46045</v>
      </c>
      <c r="B29" s="11" t="s">
        <v>73</v>
      </c>
      <c r="C29" s="57">
        <v>14500000</v>
      </c>
      <c r="D29" s="37"/>
      <c r="E29" s="37">
        <f t="shared" si="0"/>
        <v>33999246</v>
      </c>
      <c r="F29" s="11"/>
      <c r="G29" s="38" t="s">
        <v>262</v>
      </c>
      <c r="H29" s="11" t="s">
        <v>215</v>
      </c>
    </row>
    <row r="30" spans="1:8" s="12" customFormat="1" x14ac:dyDescent="0.35">
      <c r="A30" s="35">
        <v>46045</v>
      </c>
      <c r="B30" s="11" t="s">
        <v>7</v>
      </c>
      <c r="C30" s="57"/>
      <c r="D30" s="37">
        <v>4706191</v>
      </c>
      <c r="E30" s="37">
        <f t="shared" si="0"/>
        <v>29293055</v>
      </c>
      <c r="F30" s="11"/>
      <c r="G30" s="38" t="s">
        <v>143</v>
      </c>
      <c r="H30" s="11" t="s">
        <v>216</v>
      </c>
    </row>
    <row r="31" spans="1:8" s="12" customFormat="1" x14ac:dyDescent="0.35">
      <c r="A31" s="35">
        <v>46045</v>
      </c>
      <c r="B31" s="11" t="s">
        <v>111</v>
      </c>
      <c r="C31" s="57"/>
      <c r="D31" s="37">
        <v>3000000</v>
      </c>
      <c r="E31" s="37">
        <f t="shared" si="0"/>
        <v>26293055</v>
      </c>
      <c r="F31" s="11">
        <v>5447245</v>
      </c>
      <c r="G31" s="38" t="s">
        <v>115</v>
      </c>
      <c r="H31" s="11" t="s">
        <v>213</v>
      </c>
    </row>
    <row r="32" spans="1:8" s="12" customFormat="1" x14ac:dyDescent="0.35">
      <c r="A32" s="35">
        <v>46045</v>
      </c>
      <c r="B32" s="11" t="s">
        <v>15</v>
      </c>
      <c r="C32" s="57"/>
      <c r="D32" s="37">
        <v>2000000</v>
      </c>
      <c r="E32" s="37">
        <f t="shared" si="0"/>
        <v>24293055</v>
      </c>
      <c r="F32" s="11">
        <v>5447243</v>
      </c>
      <c r="G32" s="38" t="s">
        <v>13</v>
      </c>
      <c r="H32" s="11" t="s">
        <v>113</v>
      </c>
    </row>
    <row r="33" spans="1:8" x14ac:dyDescent="0.35">
      <c r="A33" s="35">
        <v>46048</v>
      </c>
      <c r="B33" s="11" t="s">
        <v>112</v>
      </c>
      <c r="C33" s="57"/>
      <c r="D33" s="37">
        <v>12910170</v>
      </c>
      <c r="E33" s="37">
        <f t="shared" si="0"/>
        <v>11382885</v>
      </c>
      <c r="F33" s="11"/>
      <c r="G33" s="38" t="s">
        <v>114</v>
      </c>
      <c r="H33" s="2" t="s">
        <v>260</v>
      </c>
    </row>
    <row r="34" spans="1:8" s="12" customFormat="1" x14ac:dyDescent="0.35">
      <c r="A34" s="35">
        <v>46049</v>
      </c>
      <c r="B34" s="11" t="s">
        <v>15</v>
      </c>
      <c r="C34" s="57"/>
      <c r="D34" s="37">
        <v>1000000</v>
      </c>
      <c r="E34" s="37">
        <f t="shared" si="0"/>
        <v>10382885</v>
      </c>
      <c r="F34" s="11">
        <v>5447246</v>
      </c>
      <c r="G34" s="38" t="s">
        <v>13</v>
      </c>
      <c r="H34" s="11" t="s">
        <v>113</v>
      </c>
    </row>
    <row r="35" spans="1:8" s="12" customFormat="1" x14ac:dyDescent="0.35">
      <c r="A35" s="35">
        <v>46050</v>
      </c>
      <c r="B35" s="11" t="s">
        <v>155</v>
      </c>
      <c r="C35" s="57"/>
      <c r="D35" s="37">
        <v>5000000</v>
      </c>
      <c r="E35" s="37">
        <f t="shared" si="0"/>
        <v>5382885</v>
      </c>
      <c r="F35" s="11">
        <v>5447247</v>
      </c>
      <c r="G35" s="38" t="s">
        <v>156</v>
      </c>
      <c r="H35" s="11" t="s">
        <v>213</v>
      </c>
    </row>
    <row r="36" spans="1:8" s="12" customFormat="1" x14ac:dyDescent="0.35">
      <c r="A36" s="35">
        <v>46050</v>
      </c>
      <c r="B36" s="11" t="s">
        <v>7</v>
      </c>
      <c r="C36" s="57"/>
      <c r="D36" s="37">
        <v>2001241</v>
      </c>
      <c r="E36" s="37">
        <f t="shared" si="0"/>
        <v>3381644</v>
      </c>
      <c r="F36" s="11"/>
      <c r="G36" s="38" t="s">
        <v>144</v>
      </c>
      <c r="H36" s="11" t="s">
        <v>216</v>
      </c>
    </row>
    <row r="37" spans="1:8" s="12" customFormat="1" x14ac:dyDescent="0.35">
      <c r="A37" s="35">
        <v>46050</v>
      </c>
      <c r="B37" s="11" t="s">
        <v>7</v>
      </c>
      <c r="C37" s="57"/>
      <c r="D37" s="37">
        <v>1035448</v>
      </c>
      <c r="E37" s="37">
        <f t="shared" si="0"/>
        <v>2346196</v>
      </c>
      <c r="F37" s="11"/>
      <c r="G37" s="38" t="s">
        <v>145</v>
      </c>
      <c r="H37" s="11" t="s">
        <v>216</v>
      </c>
    </row>
    <row r="38" spans="1:8" s="12" customFormat="1" x14ac:dyDescent="0.35">
      <c r="A38" s="35">
        <v>46051</v>
      </c>
      <c r="B38" s="11" t="s">
        <v>73</v>
      </c>
      <c r="C38" s="57">
        <v>21750000</v>
      </c>
      <c r="D38" s="37"/>
      <c r="E38" s="37">
        <f t="shared" si="0"/>
        <v>24096196</v>
      </c>
      <c r="F38" s="11"/>
      <c r="G38" s="38" t="s">
        <v>265</v>
      </c>
      <c r="H38" s="38" t="s">
        <v>215</v>
      </c>
    </row>
    <row r="39" spans="1:8" s="12" customFormat="1" x14ac:dyDescent="0.35">
      <c r="A39" s="35">
        <v>46051</v>
      </c>
      <c r="B39" s="11" t="s">
        <v>73</v>
      </c>
      <c r="C39" s="57">
        <v>14500000</v>
      </c>
      <c r="D39" s="37"/>
      <c r="E39" s="37">
        <f t="shared" si="0"/>
        <v>38596196</v>
      </c>
      <c r="F39" s="11"/>
      <c r="G39" s="38" t="s">
        <v>262</v>
      </c>
      <c r="H39" s="38" t="s">
        <v>215</v>
      </c>
    </row>
    <row r="40" spans="1:8" s="12" customFormat="1" x14ac:dyDescent="0.35">
      <c r="A40" s="35">
        <v>46051</v>
      </c>
      <c r="B40" s="11" t="s">
        <v>7</v>
      </c>
      <c r="C40" s="57"/>
      <c r="D40" s="37">
        <v>2389191</v>
      </c>
      <c r="E40" s="37">
        <f t="shared" si="0"/>
        <v>36207005</v>
      </c>
      <c r="F40" s="11"/>
      <c r="G40" s="38" t="s">
        <v>146</v>
      </c>
      <c r="H40" s="11" t="s">
        <v>216</v>
      </c>
    </row>
    <row r="41" spans="1:8" s="12" customFormat="1" x14ac:dyDescent="0.35">
      <c r="A41" s="35">
        <v>46051</v>
      </c>
      <c r="B41" s="11" t="s">
        <v>7</v>
      </c>
      <c r="C41" s="57"/>
      <c r="D41" s="37">
        <v>263900</v>
      </c>
      <c r="E41" s="37">
        <f t="shared" si="0"/>
        <v>35943105</v>
      </c>
      <c r="F41" s="11"/>
      <c r="G41" s="38" t="s">
        <v>147</v>
      </c>
      <c r="H41" s="11" t="s">
        <v>216</v>
      </c>
    </row>
    <row r="42" spans="1:8" s="12" customFormat="1" x14ac:dyDescent="0.35">
      <c r="A42" s="35">
        <v>46051</v>
      </c>
      <c r="B42" s="11" t="s">
        <v>7</v>
      </c>
      <c r="C42" s="57"/>
      <c r="D42" s="37">
        <v>131250</v>
      </c>
      <c r="E42" s="37">
        <f t="shared" si="0"/>
        <v>35811855</v>
      </c>
      <c r="F42" s="11"/>
      <c r="G42" s="38" t="s">
        <v>148</v>
      </c>
      <c r="H42" s="11" t="s">
        <v>216</v>
      </c>
    </row>
    <row r="43" spans="1:8" s="12" customFormat="1" x14ac:dyDescent="0.35">
      <c r="A43" s="35">
        <v>46051</v>
      </c>
      <c r="B43" s="11" t="s">
        <v>7</v>
      </c>
      <c r="C43" s="57"/>
      <c r="D43" s="37">
        <v>65625</v>
      </c>
      <c r="E43" s="37">
        <f t="shared" si="0"/>
        <v>35746230</v>
      </c>
      <c r="F43" s="11"/>
      <c r="G43" s="38" t="s">
        <v>149</v>
      </c>
      <c r="H43" s="11" t="s">
        <v>216</v>
      </c>
    </row>
    <row r="44" spans="1:8" s="12" customFormat="1" x14ac:dyDescent="0.35">
      <c r="A44" s="35">
        <v>46052</v>
      </c>
      <c r="B44" s="11" t="s">
        <v>111</v>
      </c>
      <c r="C44" s="57"/>
      <c r="D44" s="37">
        <v>9000000</v>
      </c>
      <c r="E44" s="37">
        <f t="shared" si="0"/>
        <v>26746230</v>
      </c>
      <c r="F44" s="11">
        <v>5447249</v>
      </c>
      <c r="G44" s="38" t="s">
        <v>115</v>
      </c>
      <c r="H44" s="11" t="s">
        <v>213</v>
      </c>
    </row>
    <row r="45" spans="1:8" s="12" customFormat="1" x14ac:dyDescent="0.35">
      <c r="A45" s="35">
        <v>46055</v>
      </c>
      <c r="B45" s="11" t="s">
        <v>6</v>
      </c>
      <c r="C45" s="57"/>
      <c r="D45" s="37">
        <v>3000000</v>
      </c>
      <c r="E45" s="37">
        <f t="shared" si="0"/>
        <v>23746230</v>
      </c>
      <c r="F45" s="11">
        <v>5447252</v>
      </c>
      <c r="G45" s="38" t="s">
        <v>38</v>
      </c>
      <c r="H45" s="11" t="s">
        <v>113</v>
      </c>
    </row>
    <row r="46" spans="1:8" s="12" customFormat="1" x14ac:dyDescent="0.35">
      <c r="A46" s="35">
        <v>46055</v>
      </c>
      <c r="B46" s="11" t="s">
        <v>6</v>
      </c>
      <c r="C46" s="57"/>
      <c r="D46" s="37">
        <v>2630430</v>
      </c>
      <c r="E46" s="37">
        <f t="shared" si="0"/>
        <v>21115800</v>
      </c>
      <c r="F46" s="11">
        <v>5447251</v>
      </c>
      <c r="G46" s="38" t="s">
        <v>117</v>
      </c>
      <c r="H46" s="11" t="s">
        <v>113</v>
      </c>
    </row>
    <row r="47" spans="1:8" s="12" customFormat="1" x14ac:dyDescent="0.35">
      <c r="A47" s="35">
        <v>46055</v>
      </c>
      <c r="B47" s="11" t="s">
        <v>7</v>
      </c>
      <c r="C47" s="57"/>
      <c r="D47" s="37">
        <v>762190</v>
      </c>
      <c r="E47" s="37">
        <f t="shared" si="0"/>
        <v>20353610</v>
      </c>
      <c r="F47" s="11"/>
      <c r="G47" s="38" t="s">
        <v>160</v>
      </c>
      <c r="H47" s="11" t="s">
        <v>216</v>
      </c>
    </row>
    <row r="48" spans="1:8" s="12" customFormat="1" x14ac:dyDescent="0.35">
      <c r="A48" s="35">
        <v>46056</v>
      </c>
      <c r="B48" s="11" t="s">
        <v>116</v>
      </c>
      <c r="C48" s="57"/>
      <c r="D48" s="37">
        <v>2134000</v>
      </c>
      <c r="E48" s="37">
        <f t="shared" si="0"/>
        <v>18219610</v>
      </c>
      <c r="F48" s="11">
        <v>5447250</v>
      </c>
      <c r="G48" s="38" t="s">
        <v>327</v>
      </c>
      <c r="H48" s="11" t="s">
        <v>230</v>
      </c>
    </row>
    <row r="49" spans="1:8" s="12" customFormat="1" x14ac:dyDescent="0.35">
      <c r="A49" s="35">
        <v>46056</v>
      </c>
      <c r="B49" s="11" t="s">
        <v>7</v>
      </c>
      <c r="C49" s="57"/>
      <c r="D49" s="37">
        <v>1142162</v>
      </c>
      <c r="E49" s="37">
        <f t="shared" si="0"/>
        <v>17077448</v>
      </c>
      <c r="F49" s="11"/>
      <c r="G49" s="38" t="s">
        <v>161</v>
      </c>
      <c r="H49" s="11" t="s">
        <v>216</v>
      </c>
    </row>
    <row r="50" spans="1:8" s="12" customFormat="1" x14ac:dyDescent="0.35">
      <c r="A50" s="35">
        <v>46056</v>
      </c>
      <c r="B50" s="11" t="s">
        <v>118</v>
      </c>
      <c r="C50" s="57"/>
      <c r="D50" s="37">
        <v>1070000</v>
      </c>
      <c r="E50" s="37">
        <f t="shared" si="0"/>
        <v>16007448</v>
      </c>
      <c r="F50" s="11">
        <v>5447248</v>
      </c>
      <c r="G50" s="38" t="s">
        <v>119</v>
      </c>
      <c r="H50" s="2" t="s">
        <v>229</v>
      </c>
    </row>
    <row r="51" spans="1:8" s="12" customFormat="1" x14ac:dyDescent="0.35">
      <c r="A51" s="35">
        <v>46057</v>
      </c>
      <c r="B51" s="11" t="s">
        <v>15</v>
      </c>
      <c r="C51" s="57"/>
      <c r="D51" s="37">
        <v>594760</v>
      </c>
      <c r="E51" s="37">
        <f t="shared" si="0"/>
        <v>15412688</v>
      </c>
      <c r="F51" s="11">
        <v>5447253</v>
      </c>
      <c r="G51" s="38" t="s">
        <v>13</v>
      </c>
      <c r="H51" s="11" t="s">
        <v>113</v>
      </c>
    </row>
    <row r="52" spans="1:8" s="12" customFormat="1" x14ac:dyDescent="0.35">
      <c r="A52" s="51">
        <v>46058</v>
      </c>
      <c r="B52" s="52" t="s">
        <v>73</v>
      </c>
      <c r="C52" s="49">
        <v>23000000</v>
      </c>
      <c r="D52" s="54"/>
      <c r="E52" s="54">
        <f t="shared" si="0"/>
        <v>38412688</v>
      </c>
      <c r="F52" s="52"/>
      <c r="G52" s="76" t="s">
        <v>263</v>
      </c>
      <c r="H52" s="38" t="s">
        <v>215</v>
      </c>
    </row>
    <row r="53" spans="1:8" s="12" customFormat="1" x14ac:dyDescent="0.35">
      <c r="A53" s="35">
        <v>46059</v>
      </c>
      <c r="B53" s="11" t="s">
        <v>112</v>
      </c>
      <c r="C53" s="57"/>
      <c r="D53" s="37">
        <v>43280268</v>
      </c>
      <c r="E53" s="37">
        <f t="shared" si="0"/>
        <v>-4867580</v>
      </c>
      <c r="F53" s="11"/>
      <c r="G53" s="38" t="s">
        <v>120</v>
      </c>
      <c r="H53" s="2" t="s">
        <v>231</v>
      </c>
    </row>
    <row r="54" spans="1:8" s="12" customFormat="1" x14ac:dyDescent="0.35">
      <c r="A54" s="35">
        <v>46059</v>
      </c>
      <c r="B54" s="11" t="s">
        <v>75</v>
      </c>
      <c r="C54" s="57">
        <v>15000000</v>
      </c>
      <c r="D54" s="37"/>
      <c r="E54" s="37">
        <f t="shared" si="0"/>
        <v>10132420</v>
      </c>
      <c r="F54" s="11"/>
      <c r="G54" s="38" t="s">
        <v>100</v>
      </c>
      <c r="H54" s="11" t="s">
        <v>226</v>
      </c>
    </row>
    <row r="55" spans="1:8" s="12" customFormat="1" x14ac:dyDescent="0.35">
      <c r="A55" s="35">
        <v>46062</v>
      </c>
      <c r="B55" s="11" t="s">
        <v>6</v>
      </c>
      <c r="C55" s="57"/>
      <c r="D55" s="37">
        <v>2960667</v>
      </c>
      <c r="E55" s="37">
        <f t="shared" si="0"/>
        <v>7171753</v>
      </c>
      <c r="F55" s="11">
        <v>5447255</v>
      </c>
      <c r="G55" s="38" t="s">
        <v>117</v>
      </c>
      <c r="H55" s="11" t="s">
        <v>113</v>
      </c>
    </row>
    <row r="56" spans="1:8" s="12" customFormat="1" x14ac:dyDescent="0.35">
      <c r="A56" s="35">
        <v>46062</v>
      </c>
      <c r="B56" s="11" t="s">
        <v>7</v>
      </c>
      <c r="C56" s="57"/>
      <c r="D56" s="37">
        <v>2386092</v>
      </c>
      <c r="E56" s="37">
        <f t="shared" si="0"/>
        <v>4785661</v>
      </c>
      <c r="F56" s="11"/>
      <c r="G56" s="38" t="s">
        <v>162</v>
      </c>
      <c r="H56" s="11" t="s">
        <v>216</v>
      </c>
    </row>
    <row r="57" spans="1:8" s="12" customFormat="1" x14ac:dyDescent="0.35">
      <c r="A57" s="35">
        <v>46062</v>
      </c>
      <c r="B57" s="11" t="s">
        <v>43</v>
      </c>
      <c r="C57" s="57"/>
      <c r="D57" s="37">
        <v>250000</v>
      </c>
      <c r="E57" s="37">
        <f t="shared" si="0"/>
        <v>4535661</v>
      </c>
      <c r="F57" s="11">
        <v>5447254</v>
      </c>
      <c r="G57" s="38" t="s">
        <v>121</v>
      </c>
      <c r="H57" s="11" t="s">
        <v>212</v>
      </c>
    </row>
    <row r="58" spans="1:8" s="12" customFormat="1" x14ac:dyDescent="0.35">
      <c r="A58" s="35">
        <v>46063</v>
      </c>
      <c r="B58" s="11" t="s">
        <v>79</v>
      </c>
      <c r="C58" s="57">
        <v>10000000</v>
      </c>
      <c r="D58" s="37"/>
      <c r="E58" s="37">
        <f t="shared" si="0"/>
        <v>14535661</v>
      </c>
      <c r="F58" s="11"/>
      <c r="G58" s="38" t="s">
        <v>100</v>
      </c>
      <c r="H58" s="11" t="s">
        <v>226</v>
      </c>
    </row>
    <row r="59" spans="1:8" s="12" customFormat="1" x14ac:dyDescent="0.35">
      <c r="A59" s="35">
        <v>46063</v>
      </c>
      <c r="B59" s="11" t="s">
        <v>7</v>
      </c>
      <c r="C59" s="57"/>
      <c r="D59" s="37">
        <v>2008284</v>
      </c>
      <c r="E59" s="37">
        <f t="shared" si="0"/>
        <v>12527377</v>
      </c>
      <c r="F59" s="11"/>
      <c r="G59" s="38" t="s">
        <v>163</v>
      </c>
      <c r="H59" s="11" t="s">
        <v>216</v>
      </c>
    </row>
    <row r="60" spans="1:8" s="12" customFormat="1" x14ac:dyDescent="0.35">
      <c r="A60" s="35">
        <v>46064</v>
      </c>
      <c r="B60" s="11" t="s">
        <v>7</v>
      </c>
      <c r="C60" s="57"/>
      <c r="D60" s="37">
        <v>2128227</v>
      </c>
      <c r="E60" s="37">
        <f t="shared" si="0"/>
        <v>10399150</v>
      </c>
      <c r="F60" s="11"/>
      <c r="G60" s="38" t="s">
        <v>164</v>
      </c>
      <c r="H60" s="11" t="s">
        <v>216</v>
      </c>
    </row>
    <row r="61" spans="1:8" s="12" customFormat="1" x14ac:dyDescent="0.35">
      <c r="A61" s="35">
        <v>46064</v>
      </c>
      <c r="B61" s="11" t="s">
        <v>7</v>
      </c>
      <c r="C61" s="57"/>
      <c r="D61" s="37">
        <v>2017861</v>
      </c>
      <c r="E61" s="37">
        <f t="shared" si="0"/>
        <v>8381289</v>
      </c>
      <c r="F61" s="11"/>
      <c r="G61" s="38" t="s">
        <v>165</v>
      </c>
      <c r="H61" s="11" t="s">
        <v>216</v>
      </c>
    </row>
    <row r="62" spans="1:8" s="12" customFormat="1" x14ac:dyDescent="0.35">
      <c r="A62" s="35">
        <v>46064</v>
      </c>
      <c r="B62" s="11" t="s">
        <v>7</v>
      </c>
      <c r="C62" s="57"/>
      <c r="D62" s="37">
        <v>2008848</v>
      </c>
      <c r="E62" s="37">
        <f t="shared" si="0"/>
        <v>6372441</v>
      </c>
      <c r="F62" s="11"/>
      <c r="G62" s="38" t="s">
        <v>166</v>
      </c>
      <c r="H62" s="11" t="s">
        <v>216</v>
      </c>
    </row>
    <row r="63" spans="1:8" s="12" customFormat="1" x14ac:dyDescent="0.35">
      <c r="A63" s="35">
        <v>46064</v>
      </c>
      <c r="B63" s="11" t="s">
        <v>7</v>
      </c>
      <c r="C63" s="57"/>
      <c r="D63" s="37">
        <v>1176855</v>
      </c>
      <c r="E63" s="37">
        <f t="shared" si="0"/>
        <v>5195586</v>
      </c>
      <c r="F63" s="11"/>
      <c r="G63" s="38" t="s">
        <v>167</v>
      </c>
      <c r="H63" s="11" t="s">
        <v>216</v>
      </c>
    </row>
    <row r="64" spans="1:8" s="12" customFormat="1" x14ac:dyDescent="0.35">
      <c r="A64" s="35">
        <v>46065</v>
      </c>
      <c r="B64" s="11" t="s">
        <v>94</v>
      </c>
      <c r="C64" s="57"/>
      <c r="D64" s="37">
        <v>575155</v>
      </c>
      <c r="E64" s="37">
        <f t="shared" si="0"/>
        <v>4620431</v>
      </c>
      <c r="F64" s="11"/>
      <c r="G64" s="38"/>
      <c r="H64" s="11" t="s">
        <v>94</v>
      </c>
    </row>
    <row r="65" spans="1:8" s="12" customFormat="1" x14ac:dyDescent="0.35">
      <c r="A65" s="35">
        <v>46065</v>
      </c>
      <c r="B65" s="11" t="s">
        <v>94</v>
      </c>
      <c r="C65" s="57"/>
      <c r="D65" s="37">
        <v>36419</v>
      </c>
      <c r="E65" s="37">
        <f t="shared" si="0"/>
        <v>4584012</v>
      </c>
      <c r="F65" s="11"/>
      <c r="G65" s="38"/>
      <c r="H65" s="11" t="s">
        <v>94</v>
      </c>
    </row>
    <row r="66" spans="1:8" s="12" customFormat="1" x14ac:dyDescent="0.35">
      <c r="A66" s="35">
        <v>46072</v>
      </c>
      <c r="B66" s="11" t="s">
        <v>7</v>
      </c>
      <c r="C66" s="57"/>
      <c r="D66" s="37">
        <v>65625</v>
      </c>
      <c r="E66" s="37">
        <f t="shared" si="0"/>
        <v>4518387</v>
      </c>
      <c r="F66" s="11"/>
      <c r="G66" s="38" t="s">
        <v>168</v>
      </c>
      <c r="H66" s="11" t="s">
        <v>216</v>
      </c>
    </row>
    <row r="67" spans="1:8" s="12" customFormat="1" x14ac:dyDescent="0.35">
      <c r="A67" s="35">
        <v>46073</v>
      </c>
      <c r="B67" s="11" t="s">
        <v>7</v>
      </c>
      <c r="C67" s="57"/>
      <c r="D67" s="37">
        <v>301875</v>
      </c>
      <c r="E67" s="37">
        <f t="shared" si="0"/>
        <v>4216512</v>
      </c>
      <c r="F67" s="11"/>
      <c r="G67" s="38" t="s">
        <v>169</v>
      </c>
      <c r="H67" s="11" t="s">
        <v>216</v>
      </c>
    </row>
    <row r="68" spans="1:8" s="12" customFormat="1" x14ac:dyDescent="0.35">
      <c r="A68" s="35">
        <v>46073</v>
      </c>
      <c r="B68" s="11" t="s">
        <v>7</v>
      </c>
      <c r="C68" s="57"/>
      <c r="D68" s="37">
        <v>170625</v>
      </c>
      <c r="E68" s="37">
        <f t="shared" si="0"/>
        <v>4045887</v>
      </c>
      <c r="F68" s="11"/>
      <c r="G68" s="38" t="s">
        <v>170</v>
      </c>
      <c r="H68" s="11" t="s">
        <v>216</v>
      </c>
    </row>
    <row r="69" spans="1:8" s="12" customFormat="1" x14ac:dyDescent="0.35">
      <c r="A69" s="35">
        <v>46073</v>
      </c>
      <c r="B69" s="11" t="s">
        <v>7</v>
      </c>
      <c r="C69" s="57"/>
      <c r="D69" s="37">
        <v>52500</v>
      </c>
      <c r="E69" s="37">
        <f t="shared" ref="E69:E132" si="1">E68+C69-D69</f>
        <v>3993387</v>
      </c>
      <c r="F69" s="11"/>
      <c r="G69" s="38" t="s">
        <v>171</v>
      </c>
      <c r="H69" s="11" t="s">
        <v>216</v>
      </c>
    </row>
    <row r="70" spans="1:8" s="12" customFormat="1" x14ac:dyDescent="0.35">
      <c r="A70" s="35">
        <v>46076</v>
      </c>
      <c r="B70" s="11" t="s">
        <v>7</v>
      </c>
      <c r="C70" s="57"/>
      <c r="D70" s="37">
        <v>1218012</v>
      </c>
      <c r="E70" s="37">
        <f t="shared" si="1"/>
        <v>2775375</v>
      </c>
      <c r="F70" s="11"/>
      <c r="G70" s="38" t="s">
        <v>172</v>
      </c>
      <c r="H70" s="11" t="s">
        <v>216</v>
      </c>
    </row>
    <row r="71" spans="1:8" s="12" customFormat="1" x14ac:dyDescent="0.35">
      <c r="A71" s="77">
        <v>46078</v>
      </c>
      <c r="B71" s="78" t="s">
        <v>73</v>
      </c>
      <c r="C71" s="79">
        <v>20000000</v>
      </c>
      <c r="D71" s="80"/>
      <c r="E71" s="80">
        <f t="shared" si="1"/>
        <v>22775375</v>
      </c>
      <c r="F71" s="78"/>
      <c r="G71" s="81" t="s">
        <v>267</v>
      </c>
      <c r="H71" s="38" t="s">
        <v>215</v>
      </c>
    </row>
    <row r="72" spans="1:8" s="12" customFormat="1" x14ac:dyDescent="0.35">
      <c r="A72" s="77">
        <v>46079</v>
      </c>
      <c r="B72" s="78" t="s">
        <v>73</v>
      </c>
      <c r="C72" s="79">
        <v>32000000</v>
      </c>
      <c r="D72" s="80"/>
      <c r="E72" s="80">
        <f t="shared" si="1"/>
        <v>54775375</v>
      </c>
      <c r="F72" s="78"/>
      <c r="G72" s="81" t="s">
        <v>267</v>
      </c>
      <c r="H72" s="38" t="s">
        <v>215</v>
      </c>
    </row>
    <row r="73" spans="1:8" s="12" customFormat="1" x14ac:dyDescent="0.35">
      <c r="A73" s="51">
        <v>46080</v>
      </c>
      <c r="B73" s="52" t="s">
        <v>7</v>
      </c>
      <c r="C73" s="49"/>
      <c r="D73" s="54">
        <v>8442437</v>
      </c>
      <c r="E73" s="54">
        <f t="shared" si="1"/>
        <v>46332938</v>
      </c>
      <c r="F73" s="52"/>
      <c r="G73" s="76" t="s">
        <v>173</v>
      </c>
      <c r="H73" s="11" t="s">
        <v>216</v>
      </c>
    </row>
    <row r="74" spans="1:8" s="12" customFormat="1" x14ac:dyDescent="0.35">
      <c r="A74" s="51">
        <v>46080</v>
      </c>
      <c r="B74" s="52" t="s">
        <v>7</v>
      </c>
      <c r="C74" s="49"/>
      <c r="D74" s="54">
        <v>8406883</v>
      </c>
      <c r="E74" s="54">
        <f t="shared" si="1"/>
        <v>37926055</v>
      </c>
      <c r="F74" s="52"/>
      <c r="G74" s="76" t="s">
        <v>174</v>
      </c>
      <c r="H74" s="11" t="s">
        <v>216</v>
      </c>
    </row>
    <row r="75" spans="1:8" s="12" customFormat="1" x14ac:dyDescent="0.35">
      <c r="A75" s="51">
        <v>46080</v>
      </c>
      <c r="B75" s="52" t="s">
        <v>7</v>
      </c>
      <c r="C75" s="49"/>
      <c r="D75" s="54">
        <v>8225767</v>
      </c>
      <c r="E75" s="54">
        <f t="shared" si="1"/>
        <v>29700288</v>
      </c>
      <c r="F75" s="52"/>
      <c r="G75" s="76" t="s">
        <v>175</v>
      </c>
      <c r="H75" s="11" t="s">
        <v>216</v>
      </c>
    </row>
    <row r="76" spans="1:8" s="12" customFormat="1" x14ac:dyDescent="0.35">
      <c r="A76" s="51">
        <v>46084</v>
      </c>
      <c r="B76" s="52" t="s">
        <v>7</v>
      </c>
      <c r="C76" s="49"/>
      <c r="D76" s="54">
        <v>8402899</v>
      </c>
      <c r="E76" s="54">
        <f t="shared" si="1"/>
        <v>21297389</v>
      </c>
      <c r="F76" s="52"/>
      <c r="G76" s="76" t="s">
        <v>176</v>
      </c>
      <c r="H76" s="11" t="s">
        <v>216</v>
      </c>
    </row>
    <row r="77" spans="1:8" s="12" customFormat="1" x14ac:dyDescent="0.35">
      <c r="A77" s="51">
        <v>46084</v>
      </c>
      <c r="B77" s="52" t="s">
        <v>7</v>
      </c>
      <c r="C77" s="49"/>
      <c r="D77" s="54">
        <v>8284376</v>
      </c>
      <c r="E77" s="54">
        <f t="shared" si="1"/>
        <v>13013013</v>
      </c>
      <c r="F77" s="52"/>
      <c r="G77" s="76" t="s">
        <v>177</v>
      </c>
      <c r="H77" s="11" t="s">
        <v>216</v>
      </c>
    </row>
    <row r="78" spans="1:8" s="12" customFormat="1" x14ac:dyDescent="0.35">
      <c r="A78" s="51">
        <v>46084</v>
      </c>
      <c r="B78" s="52" t="s">
        <v>7</v>
      </c>
      <c r="C78" s="49"/>
      <c r="D78" s="54">
        <v>8281727</v>
      </c>
      <c r="E78" s="54">
        <f t="shared" si="1"/>
        <v>4731286</v>
      </c>
      <c r="F78" s="52"/>
      <c r="G78" s="76" t="s">
        <v>178</v>
      </c>
      <c r="H78" s="11" t="s">
        <v>216</v>
      </c>
    </row>
    <row r="79" spans="1:8" s="12" customFormat="1" x14ac:dyDescent="0.35">
      <c r="A79" s="51">
        <v>46085</v>
      </c>
      <c r="B79" s="52" t="s">
        <v>122</v>
      </c>
      <c r="C79" s="49"/>
      <c r="D79" s="54">
        <v>33000</v>
      </c>
      <c r="E79" s="54">
        <f t="shared" si="1"/>
        <v>4698286</v>
      </c>
      <c r="F79" s="52"/>
      <c r="G79" s="76" t="s">
        <v>123</v>
      </c>
      <c r="H79" s="38" t="s">
        <v>123</v>
      </c>
    </row>
    <row r="80" spans="1:8" s="12" customFormat="1" x14ac:dyDescent="0.35">
      <c r="A80" s="51">
        <v>46085</v>
      </c>
      <c r="B80" s="52" t="s">
        <v>80</v>
      </c>
      <c r="C80" s="49">
        <v>64515397</v>
      </c>
      <c r="D80" s="54"/>
      <c r="E80" s="54">
        <f t="shared" si="1"/>
        <v>69213683</v>
      </c>
      <c r="F80" s="52"/>
      <c r="G80" s="76" t="s">
        <v>223</v>
      </c>
      <c r="H80" s="11" t="s">
        <v>235</v>
      </c>
    </row>
    <row r="81" spans="1:8" s="12" customFormat="1" x14ac:dyDescent="0.35">
      <c r="A81" s="51">
        <v>46085</v>
      </c>
      <c r="B81" s="52" t="s">
        <v>7</v>
      </c>
      <c r="C81" s="49"/>
      <c r="D81" s="54">
        <v>1955107</v>
      </c>
      <c r="E81" s="54">
        <f t="shared" si="1"/>
        <v>67258576</v>
      </c>
      <c r="F81" s="52"/>
      <c r="G81" s="76" t="s">
        <v>179</v>
      </c>
      <c r="H81" s="11" t="s">
        <v>216</v>
      </c>
    </row>
    <row r="82" spans="1:8" s="12" customFormat="1" x14ac:dyDescent="0.35">
      <c r="A82" s="51">
        <v>46087</v>
      </c>
      <c r="B82" s="52" t="s">
        <v>7</v>
      </c>
      <c r="C82" s="49"/>
      <c r="D82" s="54">
        <v>52500</v>
      </c>
      <c r="E82" s="54">
        <f t="shared" si="1"/>
        <v>67206076</v>
      </c>
      <c r="F82" s="52"/>
      <c r="G82" s="76" t="s">
        <v>180</v>
      </c>
      <c r="H82" s="11" t="s">
        <v>216</v>
      </c>
    </row>
    <row r="83" spans="1:8" s="12" customFormat="1" x14ac:dyDescent="0.35">
      <c r="A83" s="51">
        <v>46090</v>
      </c>
      <c r="B83" s="52" t="s">
        <v>85</v>
      </c>
      <c r="C83" s="49"/>
      <c r="D83" s="54">
        <v>60000000</v>
      </c>
      <c r="E83" s="54">
        <f t="shared" si="1"/>
        <v>7206076</v>
      </c>
      <c r="F83" s="52">
        <v>5447256</v>
      </c>
      <c r="G83" s="76" t="s">
        <v>124</v>
      </c>
      <c r="H83" s="11" t="s">
        <v>228</v>
      </c>
    </row>
    <row r="84" spans="1:8" s="12" customFormat="1" x14ac:dyDescent="0.35">
      <c r="A84" s="51">
        <v>46091</v>
      </c>
      <c r="B84" s="52" t="s">
        <v>80</v>
      </c>
      <c r="C84" s="49">
        <v>126635511</v>
      </c>
      <c r="D84" s="54"/>
      <c r="E84" s="54">
        <f t="shared" si="1"/>
        <v>133841587</v>
      </c>
      <c r="F84" s="52"/>
      <c r="G84" s="76" t="s">
        <v>224</v>
      </c>
      <c r="H84" s="11" t="s">
        <v>235</v>
      </c>
    </row>
    <row r="85" spans="1:8" s="12" customFormat="1" x14ac:dyDescent="0.35">
      <c r="A85" s="51">
        <v>46091</v>
      </c>
      <c r="B85" s="52" t="s">
        <v>94</v>
      </c>
      <c r="C85" s="49"/>
      <c r="D85" s="54">
        <v>13776224</v>
      </c>
      <c r="E85" s="54">
        <f t="shared" si="1"/>
        <v>120065363</v>
      </c>
      <c r="F85" s="52"/>
      <c r="G85" s="76"/>
      <c r="H85" s="11" t="s">
        <v>94</v>
      </c>
    </row>
    <row r="86" spans="1:8" s="12" customFormat="1" x14ac:dyDescent="0.35">
      <c r="A86" s="77">
        <v>46091</v>
      </c>
      <c r="B86" s="78" t="s">
        <v>73</v>
      </c>
      <c r="C86" s="79">
        <v>4000000</v>
      </c>
      <c r="D86" s="80"/>
      <c r="E86" s="80">
        <f t="shared" si="1"/>
        <v>124065363</v>
      </c>
      <c r="F86" s="78"/>
      <c r="G86" s="81" t="s">
        <v>267</v>
      </c>
      <c r="H86" s="38" t="s">
        <v>215</v>
      </c>
    </row>
    <row r="87" spans="1:8" s="12" customFormat="1" x14ac:dyDescent="0.35">
      <c r="A87" s="35">
        <v>46091</v>
      </c>
      <c r="B87" s="11" t="s">
        <v>94</v>
      </c>
      <c r="C87" s="57"/>
      <c r="D87" s="37">
        <v>496433</v>
      </c>
      <c r="E87" s="37">
        <f t="shared" si="1"/>
        <v>123568930</v>
      </c>
      <c r="F87" s="11"/>
      <c r="G87" s="38"/>
      <c r="H87" s="11" t="s">
        <v>94</v>
      </c>
    </row>
    <row r="88" spans="1:8" s="12" customFormat="1" x14ac:dyDescent="0.35">
      <c r="A88" s="35">
        <v>46091</v>
      </c>
      <c r="B88" s="11" t="s">
        <v>94</v>
      </c>
      <c r="C88" s="57"/>
      <c r="D88" s="37">
        <v>57600</v>
      </c>
      <c r="E88" s="37">
        <f t="shared" si="1"/>
        <v>123511330</v>
      </c>
      <c r="F88" s="11"/>
      <c r="G88" s="38"/>
      <c r="H88" s="11" t="s">
        <v>94</v>
      </c>
    </row>
    <row r="89" spans="1:8" s="105" customFormat="1" x14ac:dyDescent="0.35">
      <c r="A89" s="55">
        <v>46092</v>
      </c>
      <c r="B89" s="56" t="s">
        <v>7</v>
      </c>
      <c r="C89" s="57"/>
      <c r="D89" s="58">
        <v>8316769</v>
      </c>
      <c r="E89" s="58">
        <f t="shared" si="1"/>
        <v>115194561</v>
      </c>
      <c r="F89" s="56"/>
      <c r="G89" s="59" t="s">
        <v>181</v>
      </c>
      <c r="H89" s="11" t="s">
        <v>216</v>
      </c>
    </row>
    <row r="90" spans="1:8" s="105" customFormat="1" x14ac:dyDescent="0.35">
      <c r="A90" s="55">
        <v>46092</v>
      </c>
      <c r="B90" s="56" t="s">
        <v>7</v>
      </c>
      <c r="C90" s="57"/>
      <c r="D90" s="58">
        <v>8093223</v>
      </c>
      <c r="E90" s="58">
        <f t="shared" si="1"/>
        <v>107101338</v>
      </c>
      <c r="F90" s="56"/>
      <c r="G90" s="59" t="s">
        <v>182</v>
      </c>
      <c r="H90" s="11" t="s">
        <v>216</v>
      </c>
    </row>
    <row r="91" spans="1:8" s="105" customFormat="1" x14ac:dyDescent="0.35">
      <c r="A91" s="55">
        <v>46092</v>
      </c>
      <c r="B91" s="56" t="s">
        <v>7</v>
      </c>
      <c r="C91" s="57"/>
      <c r="D91" s="58">
        <v>8054790</v>
      </c>
      <c r="E91" s="58">
        <f t="shared" si="1"/>
        <v>99046548</v>
      </c>
      <c r="F91" s="56"/>
      <c r="G91" s="59" t="s">
        <v>183</v>
      </c>
      <c r="H91" s="11" t="s">
        <v>216</v>
      </c>
    </row>
    <row r="92" spans="1:8" s="12" customFormat="1" x14ac:dyDescent="0.35">
      <c r="A92" s="35">
        <v>46092</v>
      </c>
      <c r="B92" s="11" t="s">
        <v>49</v>
      </c>
      <c r="C92" s="57"/>
      <c r="D92" s="37">
        <v>8000000</v>
      </c>
      <c r="E92" s="37">
        <f t="shared" si="1"/>
        <v>91046548</v>
      </c>
      <c r="F92" s="11">
        <v>5447259</v>
      </c>
      <c r="G92" s="38" t="s">
        <v>50</v>
      </c>
      <c r="H92" s="11" t="s">
        <v>234</v>
      </c>
    </row>
    <row r="93" spans="1:8" s="12" customFormat="1" x14ac:dyDescent="0.35">
      <c r="A93" s="35">
        <v>46092</v>
      </c>
      <c r="B93" s="11" t="s">
        <v>57</v>
      </c>
      <c r="C93" s="57"/>
      <c r="D93" s="37">
        <v>3634400</v>
      </c>
      <c r="E93" s="37">
        <f t="shared" si="1"/>
        <v>87412148</v>
      </c>
      <c r="F93" s="11">
        <v>5447262</v>
      </c>
      <c r="G93" s="11" t="s">
        <v>56</v>
      </c>
      <c r="H93" s="11" t="s">
        <v>56</v>
      </c>
    </row>
    <row r="94" spans="1:8" s="12" customFormat="1" x14ac:dyDescent="0.35">
      <c r="A94" s="35">
        <v>46092</v>
      </c>
      <c r="B94" s="11" t="s">
        <v>81</v>
      </c>
      <c r="C94" s="57"/>
      <c r="D94" s="37">
        <v>1909100</v>
      </c>
      <c r="E94" s="37">
        <f t="shared" si="1"/>
        <v>85503048</v>
      </c>
      <c r="F94" s="11">
        <v>5447263</v>
      </c>
      <c r="G94" s="11" t="s">
        <v>56</v>
      </c>
      <c r="H94" s="11" t="s">
        <v>56</v>
      </c>
    </row>
    <row r="95" spans="1:8" s="12" customFormat="1" x14ac:dyDescent="0.35">
      <c r="A95" s="35">
        <v>46092</v>
      </c>
      <c r="B95" s="11" t="s">
        <v>125</v>
      </c>
      <c r="C95" s="57">
        <v>23628994</v>
      </c>
      <c r="D95" s="37"/>
      <c r="E95" s="37">
        <f t="shared" si="1"/>
        <v>109132042</v>
      </c>
      <c r="F95" s="11"/>
      <c r="G95" s="11" t="s">
        <v>126</v>
      </c>
      <c r="H95" s="11" t="s">
        <v>214</v>
      </c>
    </row>
    <row r="96" spans="1:8" s="12" customFormat="1" x14ac:dyDescent="0.35">
      <c r="A96" s="35">
        <v>46093</v>
      </c>
      <c r="B96" s="11" t="s">
        <v>86</v>
      </c>
      <c r="C96" s="57"/>
      <c r="D96" s="37">
        <v>20000000</v>
      </c>
      <c r="E96" s="37">
        <f t="shared" si="1"/>
        <v>89132042</v>
      </c>
      <c r="F96" s="11">
        <v>5447258</v>
      </c>
      <c r="G96" s="38" t="s">
        <v>127</v>
      </c>
      <c r="H96" s="11" t="s">
        <v>217</v>
      </c>
    </row>
    <row r="97" spans="1:8" s="12" customFormat="1" x14ac:dyDescent="0.35">
      <c r="A97" s="35">
        <v>46093</v>
      </c>
      <c r="B97" s="11" t="s">
        <v>87</v>
      </c>
      <c r="C97" s="57"/>
      <c r="D97" s="37">
        <v>15000000</v>
      </c>
      <c r="E97" s="37">
        <f t="shared" si="1"/>
        <v>74132042</v>
      </c>
      <c r="F97" s="11">
        <v>5447257</v>
      </c>
      <c r="G97" s="38" t="s">
        <v>127</v>
      </c>
      <c r="H97" s="11" t="s">
        <v>217</v>
      </c>
    </row>
    <row r="98" spans="1:8" s="12" customFormat="1" x14ac:dyDescent="0.35">
      <c r="A98" s="35">
        <v>46093</v>
      </c>
      <c r="B98" s="11" t="s">
        <v>111</v>
      </c>
      <c r="C98" s="57"/>
      <c r="D98" s="37">
        <v>7500000</v>
      </c>
      <c r="E98" s="37">
        <f t="shared" si="1"/>
        <v>66632042</v>
      </c>
      <c r="F98" s="11">
        <v>5447260</v>
      </c>
      <c r="G98" s="38" t="s">
        <v>115</v>
      </c>
      <c r="H98" s="11" t="s">
        <v>213</v>
      </c>
    </row>
    <row r="99" spans="1:8" s="12" customFormat="1" x14ac:dyDescent="0.35">
      <c r="A99" s="35">
        <v>46093</v>
      </c>
      <c r="B99" s="11" t="s">
        <v>128</v>
      </c>
      <c r="C99" s="57"/>
      <c r="D99" s="37">
        <v>5340000</v>
      </c>
      <c r="E99" s="37">
        <f t="shared" si="1"/>
        <v>61292042</v>
      </c>
      <c r="F99" s="11">
        <v>5447264</v>
      </c>
      <c r="G99" s="38" t="s">
        <v>129</v>
      </c>
      <c r="H99" s="2" t="s">
        <v>232</v>
      </c>
    </row>
    <row r="100" spans="1:8" s="12" customFormat="1" x14ac:dyDescent="0.35">
      <c r="A100" s="35">
        <v>46093</v>
      </c>
      <c r="B100" s="11" t="s">
        <v>7</v>
      </c>
      <c r="C100" s="57"/>
      <c r="D100" s="37">
        <v>1023760</v>
      </c>
      <c r="E100" s="37">
        <f t="shared" si="1"/>
        <v>60268282</v>
      </c>
      <c r="F100" s="11"/>
      <c r="G100" s="38" t="s">
        <v>184</v>
      </c>
      <c r="H100" s="11" t="s">
        <v>216</v>
      </c>
    </row>
    <row r="101" spans="1:8" s="12" customFormat="1" x14ac:dyDescent="0.35">
      <c r="A101" s="35">
        <v>46093</v>
      </c>
      <c r="B101" s="11" t="s">
        <v>7</v>
      </c>
      <c r="C101" s="57"/>
      <c r="D101" s="37">
        <v>105000</v>
      </c>
      <c r="E101" s="37">
        <f t="shared" si="1"/>
        <v>60163282</v>
      </c>
      <c r="F101" s="11"/>
      <c r="G101" s="38" t="s">
        <v>180</v>
      </c>
      <c r="H101" s="11" t="s">
        <v>216</v>
      </c>
    </row>
    <row r="102" spans="1:8" s="12" customFormat="1" x14ac:dyDescent="0.35">
      <c r="A102" s="35">
        <v>46094</v>
      </c>
      <c r="B102" s="11" t="s">
        <v>7</v>
      </c>
      <c r="C102" s="57"/>
      <c r="D102" s="37">
        <v>315000</v>
      </c>
      <c r="E102" s="37">
        <f t="shared" si="1"/>
        <v>59848282</v>
      </c>
      <c r="F102" s="11"/>
      <c r="G102" s="38" t="s">
        <v>185</v>
      </c>
      <c r="H102" s="11" t="s">
        <v>216</v>
      </c>
    </row>
    <row r="103" spans="1:8" s="12" customFormat="1" x14ac:dyDescent="0.35">
      <c r="A103" s="35">
        <v>46094</v>
      </c>
      <c r="B103" s="11" t="s">
        <v>7</v>
      </c>
      <c r="C103" s="57"/>
      <c r="D103" s="37">
        <v>170625</v>
      </c>
      <c r="E103" s="37">
        <f t="shared" si="1"/>
        <v>59677657</v>
      </c>
      <c r="F103" s="11"/>
      <c r="G103" s="38" t="s">
        <v>170</v>
      </c>
      <c r="H103" s="11" t="s">
        <v>216</v>
      </c>
    </row>
    <row r="104" spans="1:8" s="12" customFormat="1" x14ac:dyDescent="0.35">
      <c r="A104" s="35">
        <v>46094</v>
      </c>
      <c r="B104" s="11" t="s">
        <v>7</v>
      </c>
      <c r="C104" s="57"/>
      <c r="D104" s="37">
        <v>78750</v>
      </c>
      <c r="E104" s="37">
        <f t="shared" si="1"/>
        <v>59598907</v>
      </c>
      <c r="F104" s="11"/>
      <c r="G104" s="38" t="s">
        <v>177</v>
      </c>
      <c r="H104" s="11" t="s">
        <v>216</v>
      </c>
    </row>
    <row r="105" spans="1:8" s="12" customFormat="1" x14ac:dyDescent="0.35">
      <c r="A105" s="35">
        <v>46097</v>
      </c>
      <c r="B105" s="11" t="s">
        <v>122</v>
      </c>
      <c r="C105" s="57"/>
      <c r="D105" s="37">
        <v>33000</v>
      </c>
      <c r="E105" s="37">
        <f t="shared" si="1"/>
        <v>59565907</v>
      </c>
      <c r="F105" s="11"/>
      <c r="G105" s="38" t="s">
        <v>123</v>
      </c>
      <c r="H105" s="38" t="s">
        <v>123</v>
      </c>
    </row>
    <row r="106" spans="1:8" s="12" customFormat="1" x14ac:dyDescent="0.35">
      <c r="A106" s="35">
        <v>46097</v>
      </c>
      <c r="B106" s="11" t="s">
        <v>130</v>
      </c>
      <c r="C106" s="57"/>
      <c r="D106" s="37">
        <v>327100</v>
      </c>
      <c r="E106" s="37">
        <f t="shared" si="1"/>
        <v>59238807</v>
      </c>
      <c r="F106" s="11">
        <v>5447261</v>
      </c>
      <c r="G106" s="38" t="s">
        <v>131</v>
      </c>
      <c r="H106" s="2" t="s">
        <v>260</v>
      </c>
    </row>
    <row r="107" spans="1:8" s="12" customFormat="1" x14ac:dyDescent="0.35">
      <c r="A107" s="35">
        <v>46099</v>
      </c>
      <c r="B107" s="11" t="s">
        <v>122</v>
      </c>
      <c r="C107" s="57"/>
      <c r="D107" s="37">
        <v>33000</v>
      </c>
      <c r="E107" s="37">
        <f t="shared" si="1"/>
        <v>59205807</v>
      </c>
      <c r="F107" s="11"/>
      <c r="G107" s="38" t="s">
        <v>123</v>
      </c>
      <c r="H107" s="38" t="s">
        <v>123</v>
      </c>
    </row>
    <row r="108" spans="1:8" s="12" customFormat="1" x14ac:dyDescent="0.35">
      <c r="A108" s="35">
        <v>46099</v>
      </c>
      <c r="B108" s="11" t="s">
        <v>7</v>
      </c>
      <c r="C108" s="57"/>
      <c r="D108" s="37">
        <v>10507233</v>
      </c>
      <c r="E108" s="37">
        <f t="shared" si="1"/>
        <v>48698574</v>
      </c>
      <c r="F108" s="11"/>
      <c r="G108" s="38" t="s">
        <v>186</v>
      </c>
      <c r="H108" s="11" t="s">
        <v>216</v>
      </c>
    </row>
    <row r="109" spans="1:8" s="12" customFormat="1" x14ac:dyDescent="0.35">
      <c r="A109" s="35">
        <v>46099</v>
      </c>
      <c r="B109" s="11" t="s">
        <v>7</v>
      </c>
      <c r="C109" s="57"/>
      <c r="D109" s="37">
        <v>8449336</v>
      </c>
      <c r="E109" s="37">
        <f t="shared" si="1"/>
        <v>40249238</v>
      </c>
      <c r="F109" s="11"/>
      <c r="G109" s="38" t="s">
        <v>187</v>
      </c>
      <c r="H109" s="11" t="s">
        <v>216</v>
      </c>
    </row>
    <row r="110" spans="1:8" s="12" customFormat="1" x14ac:dyDescent="0.35">
      <c r="A110" s="35">
        <v>46099</v>
      </c>
      <c r="B110" s="11" t="s">
        <v>87</v>
      </c>
      <c r="C110" s="57"/>
      <c r="D110" s="37">
        <v>3000000</v>
      </c>
      <c r="E110" s="37">
        <f t="shared" si="1"/>
        <v>37249238</v>
      </c>
      <c r="F110" s="11">
        <v>5447265</v>
      </c>
      <c r="G110" s="38" t="s">
        <v>127</v>
      </c>
      <c r="H110" s="11" t="s">
        <v>217</v>
      </c>
    </row>
    <row r="111" spans="1:8" s="12" customFormat="1" ht="15" customHeight="1" x14ac:dyDescent="0.35">
      <c r="A111" s="35">
        <v>46099</v>
      </c>
      <c r="B111" s="11" t="s">
        <v>7</v>
      </c>
      <c r="C111" s="57"/>
      <c r="D111" s="37">
        <v>1363447</v>
      </c>
      <c r="E111" s="37">
        <f t="shared" si="1"/>
        <v>35885791</v>
      </c>
      <c r="F111" s="11"/>
      <c r="G111" s="38"/>
      <c r="H111" s="11" t="s">
        <v>216</v>
      </c>
    </row>
    <row r="112" spans="1:8" s="12" customFormat="1" x14ac:dyDescent="0.35">
      <c r="A112" s="35">
        <v>46100</v>
      </c>
      <c r="B112" s="11" t="s">
        <v>80</v>
      </c>
      <c r="C112" s="57">
        <v>68565602</v>
      </c>
      <c r="D112" s="37"/>
      <c r="E112" s="37">
        <f t="shared" si="1"/>
        <v>104451393</v>
      </c>
      <c r="F112" s="11"/>
      <c r="G112" s="38" t="s">
        <v>225</v>
      </c>
      <c r="H112" s="11" t="s">
        <v>235</v>
      </c>
    </row>
    <row r="113" spans="1:8" s="12" customFormat="1" x14ac:dyDescent="0.35">
      <c r="A113" s="35">
        <v>46100</v>
      </c>
      <c r="B113" s="11" t="s">
        <v>133</v>
      </c>
      <c r="C113" s="57"/>
      <c r="D113" s="37">
        <v>7000000</v>
      </c>
      <c r="E113" s="37">
        <f t="shared" si="1"/>
        <v>97451393</v>
      </c>
      <c r="F113" s="11">
        <v>5447266</v>
      </c>
      <c r="G113" s="38" t="s">
        <v>127</v>
      </c>
      <c r="H113" s="11" t="s">
        <v>217</v>
      </c>
    </row>
    <row r="114" spans="1:8" s="12" customFormat="1" x14ac:dyDescent="0.35">
      <c r="A114" s="35">
        <v>46100</v>
      </c>
      <c r="B114" s="11" t="s">
        <v>7</v>
      </c>
      <c r="C114" s="57"/>
      <c r="D114" s="37">
        <v>1252096</v>
      </c>
      <c r="E114" s="37">
        <f t="shared" si="1"/>
        <v>96199297</v>
      </c>
      <c r="F114" s="11"/>
      <c r="G114" s="38" t="s">
        <v>188</v>
      </c>
      <c r="H114" s="11" t="s">
        <v>216</v>
      </c>
    </row>
    <row r="115" spans="1:8" s="12" customFormat="1" x14ac:dyDescent="0.35">
      <c r="A115" s="35">
        <v>46104</v>
      </c>
      <c r="B115" s="11" t="s">
        <v>134</v>
      </c>
      <c r="C115" s="57"/>
      <c r="D115" s="37">
        <v>130000000</v>
      </c>
      <c r="E115" s="37">
        <f t="shared" si="1"/>
        <v>-33800703</v>
      </c>
      <c r="F115" s="11">
        <v>5447269</v>
      </c>
      <c r="G115" s="11" t="s">
        <v>30</v>
      </c>
      <c r="H115" s="11" t="s">
        <v>134</v>
      </c>
    </row>
    <row r="116" spans="1:8" s="12" customFormat="1" x14ac:dyDescent="0.35">
      <c r="A116" s="35">
        <v>46104</v>
      </c>
      <c r="B116" s="11" t="s">
        <v>134</v>
      </c>
      <c r="C116" s="57"/>
      <c r="D116" s="37">
        <v>95000000</v>
      </c>
      <c r="E116" s="37">
        <f t="shared" si="1"/>
        <v>-128800703</v>
      </c>
      <c r="F116" s="11">
        <v>5447267</v>
      </c>
      <c r="G116" s="11" t="s">
        <v>30</v>
      </c>
      <c r="H116" s="11" t="s">
        <v>134</v>
      </c>
    </row>
    <row r="117" spans="1:8" s="12" customFormat="1" x14ac:dyDescent="0.35">
      <c r="A117" s="35">
        <v>46104</v>
      </c>
      <c r="B117" s="11" t="s">
        <v>80</v>
      </c>
      <c r="C117" s="57">
        <v>130851241</v>
      </c>
      <c r="D117" s="37"/>
      <c r="E117" s="37">
        <f t="shared" si="1"/>
        <v>2050538</v>
      </c>
      <c r="F117" s="11"/>
      <c r="G117" s="38" t="s">
        <v>132</v>
      </c>
      <c r="H117" s="11" t="s">
        <v>235</v>
      </c>
    </row>
    <row r="118" spans="1:8" s="12" customFormat="1" x14ac:dyDescent="0.35">
      <c r="A118" s="35">
        <v>46107</v>
      </c>
      <c r="B118" s="11" t="s">
        <v>82</v>
      </c>
      <c r="C118" s="57">
        <v>32000000</v>
      </c>
      <c r="D118" s="37"/>
      <c r="E118" s="37">
        <f t="shared" si="1"/>
        <v>34050538</v>
      </c>
      <c r="F118" s="11"/>
      <c r="G118" s="38" t="s">
        <v>269</v>
      </c>
      <c r="H118" s="38" t="s">
        <v>215</v>
      </c>
    </row>
    <row r="119" spans="1:8" s="12" customFormat="1" x14ac:dyDescent="0.35">
      <c r="A119" s="35">
        <v>46107</v>
      </c>
      <c r="B119" s="11" t="s">
        <v>83</v>
      </c>
      <c r="C119" s="57"/>
      <c r="D119" s="37">
        <v>1013456</v>
      </c>
      <c r="E119" s="37">
        <f t="shared" si="1"/>
        <v>33037082</v>
      </c>
      <c r="F119" s="11">
        <v>5758923</v>
      </c>
      <c r="G119" s="38" t="s">
        <v>136</v>
      </c>
      <c r="H119" s="11" t="s">
        <v>227</v>
      </c>
    </row>
    <row r="120" spans="1:8" s="12" customFormat="1" x14ac:dyDescent="0.35">
      <c r="A120" s="35">
        <v>46108</v>
      </c>
      <c r="B120" s="11" t="s">
        <v>55</v>
      </c>
      <c r="C120" s="57"/>
      <c r="D120" s="37">
        <v>22000000</v>
      </c>
      <c r="E120" s="37">
        <f t="shared" si="1"/>
        <v>11037082</v>
      </c>
      <c r="F120" s="11">
        <v>5447270</v>
      </c>
      <c r="G120" s="38" t="s">
        <v>50</v>
      </c>
      <c r="H120" s="11" t="s">
        <v>234</v>
      </c>
    </row>
    <row r="121" spans="1:8" s="12" customFormat="1" x14ac:dyDescent="0.35">
      <c r="A121" s="35">
        <v>46108</v>
      </c>
      <c r="B121" s="11" t="s">
        <v>7</v>
      </c>
      <c r="C121" s="57"/>
      <c r="D121" s="37">
        <v>3542736</v>
      </c>
      <c r="E121" s="37">
        <f t="shared" si="1"/>
        <v>7494346</v>
      </c>
      <c r="F121" s="11"/>
      <c r="G121" s="38" t="s">
        <v>189</v>
      </c>
      <c r="H121" s="11" t="s">
        <v>216</v>
      </c>
    </row>
    <row r="122" spans="1:8" s="12" customFormat="1" x14ac:dyDescent="0.35">
      <c r="A122" s="35">
        <v>46108</v>
      </c>
      <c r="B122" s="11" t="s">
        <v>80</v>
      </c>
      <c r="C122" s="57">
        <v>73759408</v>
      </c>
      <c r="D122" s="37"/>
      <c r="E122" s="37">
        <f t="shared" si="1"/>
        <v>81253754</v>
      </c>
      <c r="F122" s="11"/>
      <c r="G122" s="38" t="s">
        <v>132</v>
      </c>
      <c r="H122" s="11" t="s">
        <v>235</v>
      </c>
    </row>
    <row r="123" spans="1:8" s="12" customFormat="1" x14ac:dyDescent="0.35">
      <c r="A123" s="35">
        <v>46111</v>
      </c>
      <c r="B123" s="11" t="s">
        <v>122</v>
      </c>
      <c r="C123" s="57"/>
      <c r="D123" s="37">
        <v>33000</v>
      </c>
      <c r="E123" s="37">
        <f t="shared" si="1"/>
        <v>81220754</v>
      </c>
      <c r="F123" s="11"/>
      <c r="G123" s="38" t="s">
        <v>123</v>
      </c>
      <c r="H123" s="38" t="s">
        <v>123</v>
      </c>
    </row>
    <row r="124" spans="1:8" s="12" customFormat="1" x14ac:dyDescent="0.35">
      <c r="A124" s="35">
        <v>46111</v>
      </c>
      <c r="B124" s="11" t="s">
        <v>7</v>
      </c>
      <c r="C124" s="57"/>
      <c r="D124" s="37">
        <v>3719533</v>
      </c>
      <c r="E124" s="37">
        <f t="shared" si="1"/>
        <v>77501221</v>
      </c>
      <c r="F124" s="11"/>
      <c r="G124" s="38" t="s">
        <v>190</v>
      </c>
      <c r="H124" s="11" t="s">
        <v>216</v>
      </c>
    </row>
    <row r="125" spans="1:8" s="12" customFormat="1" x14ac:dyDescent="0.35">
      <c r="A125" s="35">
        <v>46111</v>
      </c>
      <c r="B125" s="11" t="s">
        <v>7</v>
      </c>
      <c r="C125" s="57"/>
      <c r="D125" s="37">
        <v>1620987</v>
      </c>
      <c r="E125" s="37">
        <f t="shared" si="1"/>
        <v>75880234</v>
      </c>
      <c r="F125" s="11"/>
      <c r="G125" s="38" t="s">
        <v>191</v>
      </c>
      <c r="H125" s="11" t="s">
        <v>216</v>
      </c>
    </row>
    <row r="126" spans="1:8" s="12" customFormat="1" x14ac:dyDescent="0.35">
      <c r="A126" s="35">
        <v>46111</v>
      </c>
      <c r="B126" s="11" t="s">
        <v>7</v>
      </c>
      <c r="C126" s="57"/>
      <c r="D126" s="37">
        <v>1340716</v>
      </c>
      <c r="E126" s="37">
        <f t="shared" si="1"/>
        <v>74539518</v>
      </c>
      <c r="F126" s="11"/>
      <c r="G126" s="38" t="s">
        <v>192</v>
      </c>
      <c r="H126" s="11" t="s">
        <v>216</v>
      </c>
    </row>
    <row r="127" spans="1:8" s="12" customFormat="1" x14ac:dyDescent="0.35">
      <c r="A127" s="35">
        <v>46111</v>
      </c>
      <c r="B127" s="11" t="s">
        <v>7</v>
      </c>
      <c r="C127" s="57"/>
      <c r="D127" s="37">
        <v>262500</v>
      </c>
      <c r="E127" s="37">
        <f t="shared" si="1"/>
        <v>74277018</v>
      </c>
      <c r="F127" s="11"/>
      <c r="G127" s="38" t="s">
        <v>184</v>
      </c>
      <c r="H127" s="11" t="s">
        <v>216</v>
      </c>
    </row>
    <row r="128" spans="1:8" s="12" customFormat="1" x14ac:dyDescent="0.35">
      <c r="A128" s="35">
        <v>46112</v>
      </c>
      <c r="B128" s="11" t="s">
        <v>87</v>
      </c>
      <c r="C128" s="57"/>
      <c r="D128" s="37">
        <v>15000000</v>
      </c>
      <c r="E128" s="37">
        <f t="shared" si="1"/>
        <v>59277018</v>
      </c>
      <c r="F128" s="11">
        <v>5447274</v>
      </c>
      <c r="G128" s="38" t="s">
        <v>127</v>
      </c>
      <c r="H128" s="11" t="s">
        <v>217</v>
      </c>
    </row>
    <row r="129" spans="1:8" s="12" customFormat="1" x14ac:dyDescent="0.35">
      <c r="A129" s="35">
        <v>46112</v>
      </c>
      <c r="B129" s="11" t="s">
        <v>80</v>
      </c>
      <c r="C129" s="57">
        <v>14166503</v>
      </c>
      <c r="D129" s="37"/>
      <c r="E129" s="37">
        <f t="shared" si="1"/>
        <v>73443521</v>
      </c>
      <c r="F129" s="11"/>
      <c r="G129" s="38" t="s">
        <v>132</v>
      </c>
      <c r="H129" s="11" t="s">
        <v>235</v>
      </c>
    </row>
    <row r="130" spans="1:8" s="12" customFormat="1" x14ac:dyDescent="0.35">
      <c r="A130" s="35">
        <v>46112</v>
      </c>
      <c r="B130" s="11" t="s">
        <v>111</v>
      </c>
      <c r="C130" s="57"/>
      <c r="D130" s="37">
        <v>10000000</v>
      </c>
      <c r="E130" s="37">
        <f t="shared" si="1"/>
        <v>63443521</v>
      </c>
      <c r="F130" s="11">
        <v>5447281</v>
      </c>
      <c r="G130" s="38" t="s">
        <v>138</v>
      </c>
      <c r="H130" s="11" t="s">
        <v>213</v>
      </c>
    </row>
    <row r="131" spans="1:8" s="12" customFormat="1" x14ac:dyDescent="0.35">
      <c r="A131" s="35">
        <v>46112</v>
      </c>
      <c r="B131" s="11" t="s">
        <v>111</v>
      </c>
      <c r="C131" s="57"/>
      <c r="D131" s="37">
        <v>4496460</v>
      </c>
      <c r="E131" s="37">
        <f t="shared" si="1"/>
        <v>58947061</v>
      </c>
      <c r="F131" s="11">
        <v>5447282</v>
      </c>
      <c r="G131" s="38" t="s">
        <v>137</v>
      </c>
      <c r="H131" s="11" t="s">
        <v>213</v>
      </c>
    </row>
    <row r="132" spans="1:8" s="12" customFormat="1" x14ac:dyDescent="0.35">
      <c r="A132" s="35">
        <v>46112</v>
      </c>
      <c r="B132" s="11" t="s">
        <v>139</v>
      </c>
      <c r="C132" s="57"/>
      <c r="D132" s="37">
        <v>2000000</v>
      </c>
      <c r="E132" s="37">
        <f t="shared" si="1"/>
        <v>56947061</v>
      </c>
      <c r="F132" s="11">
        <v>5447272</v>
      </c>
      <c r="G132" s="38" t="s">
        <v>38</v>
      </c>
      <c r="H132" s="11" t="s">
        <v>113</v>
      </c>
    </row>
    <row r="133" spans="1:8" s="12" customFormat="1" x14ac:dyDescent="0.35">
      <c r="A133" s="35">
        <v>46112</v>
      </c>
      <c r="B133" s="11" t="s">
        <v>7</v>
      </c>
      <c r="C133" s="57"/>
      <c r="D133" s="37">
        <v>1295563</v>
      </c>
      <c r="E133" s="37">
        <f t="shared" ref="E133:E196" si="2">E132+C133-D133</f>
        <v>55651498</v>
      </c>
      <c r="F133" s="11"/>
      <c r="G133" s="38" t="s">
        <v>193</v>
      </c>
      <c r="H133" s="11" t="s">
        <v>216</v>
      </c>
    </row>
    <row r="134" spans="1:8" s="12" customFormat="1" x14ac:dyDescent="0.35">
      <c r="A134" s="35">
        <v>46112</v>
      </c>
      <c r="B134" s="11" t="s">
        <v>139</v>
      </c>
      <c r="C134" s="57"/>
      <c r="D134" s="37">
        <v>788678</v>
      </c>
      <c r="E134" s="37">
        <f t="shared" si="2"/>
        <v>54862820</v>
      </c>
      <c r="F134" s="11">
        <v>5447271</v>
      </c>
      <c r="G134" s="38" t="s">
        <v>117</v>
      </c>
      <c r="H134" s="11" t="s">
        <v>113</v>
      </c>
    </row>
    <row r="135" spans="1:8" s="12" customFormat="1" x14ac:dyDescent="0.35">
      <c r="A135" s="35">
        <v>46112</v>
      </c>
      <c r="B135" s="11" t="s">
        <v>15</v>
      </c>
      <c r="C135" s="57"/>
      <c r="D135" s="37">
        <v>385371</v>
      </c>
      <c r="E135" s="37">
        <f t="shared" si="2"/>
        <v>54477449</v>
      </c>
      <c r="F135" s="11">
        <v>5447275</v>
      </c>
      <c r="G135" s="38" t="s">
        <v>140</v>
      </c>
      <c r="H135" s="11" t="s">
        <v>113</v>
      </c>
    </row>
    <row r="136" spans="1:8" s="12" customFormat="1" x14ac:dyDescent="0.35">
      <c r="A136" s="35">
        <v>46112</v>
      </c>
      <c r="B136" s="11" t="s">
        <v>7</v>
      </c>
      <c r="C136" s="57"/>
      <c r="D136" s="37">
        <v>136348</v>
      </c>
      <c r="E136" s="37">
        <f t="shared" si="2"/>
        <v>54341101</v>
      </c>
      <c r="F136" s="11"/>
      <c r="G136" s="38" t="s">
        <v>191</v>
      </c>
      <c r="H136" s="11" t="s">
        <v>216</v>
      </c>
    </row>
    <row r="137" spans="1:8" s="12" customFormat="1" x14ac:dyDescent="0.35">
      <c r="A137" s="35">
        <v>46113</v>
      </c>
      <c r="B137" s="11" t="s">
        <v>96</v>
      </c>
      <c r="C137" s="57"/>
      <c r="D137" s="37">
        <v>7000000</v>
      </c>
      <c r="E137" s="37">
        <f t="shared" si="2"/>
        <v>47341101</v>
      </c>
      <c r="F137" s="41">
        <v>5447277</v>
      </c>
      <c r="G137" s="38" t="s">
        <v>97</v>
      </c>
      <c r="H137" s="11" t="s">
        <v>217</v>
      </c>
    </row>
    <row r="138" spans="1:8" s="12" customFormat="1" x14ac:dyDescent="0.35">
      <c r="A138" s="35">
        <v>46115</v>
      </c>
      <c r="B138" s="11" t="s">
        <v>7</v>
      </c>
      <c r="C138" s="57"/>
      <c r="D138" s="37">
        <v>262500</v>
      </c>
      <c r="E138" s="37">
        <f t="shared" si="2"/>
        <v>47078601</v>
      </c>
      <c r="F138" s="41"/>
      <c r="G138" s="38" t="s">
        <v>184</v>
      </c>
      <c r="H138" s="11" t="s">
        <v>216</v>
      </c>
    </row>
    <row r="139" spans="1:8" s="12" customFormat="1" x14ac:dyDescent="0.35">
      <c r="A139" s="35">
        <v>46115</v>
      </c>
      <c r="B139" s="11" t="s">
        <v>7</v>
      </c>
      <c r="C139" s="57"/>
      <c r="D139" s="37">
        <v>1898191</v>
      </c>
      <c r="E139" s="37">
        <f t="shared" si="2"/>
        <v>45180410</v>
      </c>
      <c r="F139" s="41"/>
      <c r="G139" s="38" t="s">
        <v>194</v>
      </c>
      <c r="H139" s="11" t="s">
        <v>216</v>
      </c>
    </row>
    <row r="140" spans="1:8" s="12" customFormat="1" x14ac:dyDescent="0.35">
      <c r="A140" s="35">
        <v>46115</v>
      </c>
      <c r="B140" s="11" t="s">
        <v>21</v>
      </c>
      <c r="C140" s="57"/>
      <c r="D140" s="37">
        <v>2384300</v>
      </c>
      <c r="E140" s="37">
        <f t="shared" si="2"/>
        <v>42796110</v>
      </c>
      <c r="F140" s="41">
        <v>5447278</v>
      </c>
      <c r="G140" s="38" t="s">
        <v>22</v>
      </c>
      <c r="H140" s="11" t="s">
        <v>213</v>
      </c>
    </row>
    <row r="141" spans="1:8" s="12" customFormat="1" x14ac:dyDescent="0.35">
      <c r="A141" s="35">
        <v>46115</v>
      </c>
      <c r="B141" s="11" t="s">
        <v>7</v>
      </c>
      <c r="C141" s="57"/>
      <c r="D141" s="37">
        <v>8550698</v>
      </c>
      <c r="E141" s="37">
        <f t="shared" si="2"/>
        <v>34245412</v>
      </c>
      <c r="F141" s="41"/>
      <c r="G141" s="38" t="s">
        <v>195</v>
      </c>
      <c r="H141" s="11" t="s">
        <v>216</v>
      </c>
    </row>
    <row r="142" spans="1:8" s="12" customFormat="1" x14ac:dyDescent="0.35">
      <c r="A142" s="35">
        <v>46119</v>
      </c>
      <c r="B142" s="11" t="s">
        <v>7</v>
      </c>
      <c r="C142" s="57"/>
      <c r="D142" s="37">
        <v>8445701</v>
      </c>
      <c r="E142" s="37">
        <f t="shared" si="2"/>
        <v>25799711</v>
      </c>
      <c r="F142" s="41"/>
      <c r="G142" s="38" t="s">
        <v>196</v>
      </c>
      <c r="H142" s="11" t="s">
        <v>216</v>
      </c>
    </row>
    <row r="143" spans="1:8" s="12" customFormat="1" x14ac:dyDescent="0.35">
      <c r="A143" s="35">
        <v>46119</v>
      </c>
      <c r="B143" s="11" t="s">
        <v>7</v>
      </c>
      <c r="C143" s="57"/>
      <c r="D143" s="37">
        <v>8637925</v>
      </c>
      <c r="E143" s="37">
        <f t="shared" si="2"/>
        <v>17161786</v>
      </c>
      <c r="F143" s="41"/>
      <c r="G143" s="38" t="s">
        <v>197</v>
      </c>
      <c r="H143" s="11" t="s">
        <v>216</v>
      </c>
    </row>
    <row r="144" spans="1:8" s="12" customFormat="1" x14ac:dyDescent="0.35">
      <c r="A144" s="35">
        <v>46119</v>
      </c>
      <c r="B144" s="11" t="s">
        <v>7</v>
      </c>
      <c r="C144" s="57"/>
      <c r="D144" s="37">
        <v>8766276</v>
      </c>
      <c r="E144" s="37">
        <f t="shared" si="2"/>
        <v>8395510</v>
      </c>
      <c r="F144" s="41"/>
      <c r="G144" s="38" t="s">
        <v>198</v>
      </c>
      <c r="H144" s="11" t="s">
        <v>216</v>
      </c>
    </row>
    <row r="145" spans="1:8" s="12" customFormat="1" x14ac:dyDescent="0.35">
      <c r="A145" s="35">
        <v>46120</v>
      </c>
      <c r="B145" s="11" t="s">
        <v>14</v>
      </c>
      <c r="C145" s="57"/>
      <c r="D145" s="37">
        <v>302931</v>
      </c>
      <c r="E145" s="37">
        <f t="shared" si="2"/>
        <v>8092579</v>
      </c>
      <c r="F145" s="41">
        <v>5447284</v>
      </c>
      <c r="G145" s="38" t="s">
        <v>18</v>
      </c>
      <c r="H145" s="11" t="s">
        <v>113</v>
      </c>
    </row>
    <row r="146" spans="1:8" s="12" customFormat="1" x14ac:dyDescent="0.35">
      <c r="A146" s="35">
        <v>46120</v>
      </c>
      <c r="B146" s="11" t="s">
        <v>23</v>
      </c>
      <c r="C146" s="57"/>
      <c r="D146" s="37">
        <v>428400</v>
      </c>
      <c r="E146" s="37">
        <f t="shared" si="2"/>
        <v>7664179</v>
      </c>
      <c r="F146" s="41">
        <v>5447283</v>
      </c>
      <c r="G146" s="38" t="s">
        <v>24</v>
      </c>
      <c r="H146" s="2" t="s">
        <v>260</v>
      </c>
    </row>
    <row r="147" spans="1:8" s="12" customFormat="1" x14ac:dyDescent="0.35">
      <c r="A147" s="35">
        <v>46120</v>
      </c>
      <c r="B147" s="11" t="s">
        <v>25</v>
      </c>
      <c r="C147" s="57"/>
      <c r="D147" s="37">
        <v>1260000</v>
      </c>
      <c r="E147" s="37">
        <f t="shared" si="2"/>
        <v>6404179</v>
      </c>
      <c r="F147" s="41">
        <v>5447279</v>
      </c>
      <c r="G147" s="38" t="s">
        <v>26</v>
      </c>
      <c r="H147" s="11" t="s">
        <v>212</v>
      </c>
    </row>
    <row r="148" spans="1:8" s="12" customFormat="1" x14ac:dyDescent="0.35">
      <c r="A148" s="35">
        <v>46121</v>
      </c>
      <c r="B148" s="11" t="s">
        <v>27</v>
      </c>
      <c r="C148" s="57">
        <v>61000000</v>
      </c>
      <c r="D148" s="37"/>
      <c r="E148" s="37">
        <f t="shared" si="2"/>
        <v>67404179</v>
      </c>
      <c r="F148" s="41"/>
      <c r="G148" s="38" t="s">
        <v>100</v>
      </c>
      <c r="H148" s="11" t="s">
        <v>226</v>
      </c>
    </row>
    <row r="149" spans="1:8" s="12" customFormat="1" x14ac:dyDescent="0.35">
      <c r="A149" s="35">
        <v>46121</v>
      </c>
      <c r="B149" s="11" t="s">
        <v>29</v>
      </c>
      <c r="C149" s="57">
        <v>7600000</v>
      </c>
      <c r="D149" s="37"/>
      <c r="E149" s="37">
        <f t="shared" si="2"/>
        <v>75004179</v>
      </c>
      <c r="F149" s="41"/>
      <c r="G149" s="38" t="s">
        <v>100</v>
      </c>
      <c r="H149" s="11" t="s">
        <v>226</v>
      </c>
    </row>
    <row r="150" spans="1:8" s="12" customFormat="1" x14ac:dyDescent="0.35">
      <c r="A150" s="35">
        <v>46121</v>
      </c>
      <c r="B150" s="11" t="s">
        <v>7</v>
      </c>
      <c r="C150" s="57"/>
      <c r="D150" s="37">
        <v>118125</v>
      </c>
      <c r="E150" s="37">
        <f t="shared" si="2"/>
        <v>74886054</v>
      </c>
      <c r="F150" s="41"/>
      <c r="G150" s="38" t="s">
        <v>189</v>
      </c>
      <c r="H150" s="11" t="s">
        <v>216</v>
      </c>
    </row>
    <row r="151" spans="1:8" s="12" customFormat="1" x14ac:dyDescent="0.35">
      <c r="A151" s="35">
        <v>46121</v>
      </c>
      <c r="B151" s="11" t="s">
        <v>7</v>
      </c>
      <c r="C151" s="57"/>
      <c r="D151" s="37">
        <v>118125</v>
      </c>
      <c r="E151" s="37">
        <f t="shared" si="2"/>
        <v>74767929</v>
      </c>
      <c r="F151" s="41"/>
      <c r="G151" s="38" t="s">
        <v>196</v>
      </c>
      <c r="H151" s="11" t="s">
        <v>216</v>
      </c>
    </row>
    <row r="152" spans="1:8" s="12" customFormat="1" x14ac:dyDescent="0.35">
      <c r="A152" s="35">
        <v>46121</v>
      </c>
      <c r="B152" s="11" t="s">
        <v>7</v>
      </c>
      <c r="C152" s="57"/>
      <c r="D152" s="37">
        <v>262500</v>
      </c>
      <c r="E152" s="37">
        <f t="shared" si="2"/>
        <v>74505429</v>
      </c>
      <c r="F152" s="41"/>
      <c r="G152" s="38" t="s">
        <v>196</v>
      </c>
      <c r="H152" s="11" t="s">
        <v>216</v>
      </c>
    </row>
    <row r="153" spans="1:8" s="12" customFormat="1" x14ac:dyDescent="0.35">
      <c r="A153" s="35">
        <v>46122</v>
      </c>
      <c r="B153" s="11" t="s">
        <v>134</v>
      </c>
      <c r="C153" s="57"/>
      <c r="D153" s="37">
        <v>60000000</v>
      </c>
      <c r="E153" s="37">
        <f t="shared" si="2"/>
        <v>14505429</v>
      </c>
      <c r="F153" s="41">
        <v>5447287</v>
      </c>
      <c r="G153" s="11" t="s">
        <v>30</v>
      </c>
      <c r="H153" s="11" t="s">
        <v>134</v>
      </c>
    </row>
    <row r="154" spans="1:8" s="12" customFormat="1" x14ac:dyDescent="0.35">
      <c r="A154" s="35">
        <v>46122</v>
      </c>
      <c r="B154" s="11" t="s">
        <v>73</v>
      </c>
      <c r="C154" s="57">
        <v>16000000</v>
      </c>
      <c r="D154" s="37"/>
      <c r="E154" s="37">
        <f t="shared" si="2"/>
        <v>30505429</v>
      </c>
      <c r="F154" s="41"/>
      <c r="G154" s="38" t="s">
        <v>266</v>
      </c>
      <c r="H154" s="38" t="s">
        <v>215</v>
      </c>
    </row>
    <row r="155" spans="1:8" s="12" customFormat="1" x14ac:dyDescent="0.35">
      <c r="A155" s="35">
        <v>46125</v>
      </c>
      <c r="B155" s="11" t="s">
        <v>112</v>
      </c>
      <c r="C155" s="57"/>
      <c r="D155" s="37">
        <v>12910170</v>
      </c>
      <c r="E155" s="37">
        <f t="shared" si="2"/>
        <v>17595259</v>
      </c>
      <c r="F155" s="41"/>
      <c r="G155" s="38" t="s">
        <v>150</v>
      </c>
      <c r="H155" s="2" t="s">
        <v>260</v>
      </c>
    </row>
    <row r="156" spans="1:8" s="12" customFormat="1" x14ac:dyDescent="0.35">
      <c r="A156" s="35">
        <v>46125</v>
      </c>
      <c r="B156" s="11" t="s">
        <v>272</v>
      </c>
      <c r="C156" s="57">
        <v>87000000</v>
      </c>
      <c r="D156" s="37"/>
      <c r="E156" s="37">
        <f t="shared" si="2"/>
        <v>104595259</v>
      </c>
      <c r="F156" s="41"/>
      <c r="G156" s="38" t="s">
        <v>273</v>
      </c>
      <c r="H156" s="11" t="s">
        <v>215</v>
      </c>
    </row>
    <row r="157" spans="1:8" s="12" customFormat="1" x14ac:dyDescent="0.35">
      <c r="A157" s="35">
        <v>46125</v>
      </c>
      <c r="B157" s="11" t="s">
        <v>94</v>
      </c>
      <c r="C157" s="57"/>
      <c r="D157" s="37">
        <v>1098946</v>
      </c>
      <c r="E157" s="37">
        <f t="shared" si="2"/>
        <v>103496313</v>
      </c>
      <c r="F157" s="41"/>
      <c r="G157" s="38"/>
      <c r="H157" s="11" t="s">
        <v>94</v>
      </c>
    </row>
    <row r="158" spans="1:8" s="12" customFormat="1" x14ac:dyDescent="0.35">
      <c r="A158" s="35">
        <v>46125</v>
      </c>
      <c r="B158" s="11" t="s">
        <v>74</v>
      </c>
      <c r="C158" s="57"/>
      <c r="D158" s="37">
        <v>1200000</v>
      </c>
      <c r="E158" s="37">
        <f t="shared" si="2"/>
        <v>102296313</v>
      </c>
      <c r="F158" s="41">
        <v>5447289</v>
      </c>
      <c r="G158" s="38" t="s">
        <v>31</v>
      </c>
      <c r="H158" s="11" t="s">
        <v>212</v>
      </c>
    </row>
    <row r="159" spans="1:8" s="12" customFormat="1" x14ac:dyDescent="0.35">
      <c r="A159" s="35">
        <v>46125</v>
      </c>
      <c r="B159" s="11" t="s">
        <v>7</v>
      </c>
      <c r="C159" s="57"/>
      <c r="D159" s="36">
        <v>1305705</v>
      </c>
      <c r="E159" s="37">
        <f t="shared" si="2"/>
        <v>100990608</v>
      </c>
      <c r="F159" s="11"/>
      <c r="G159" s="11" t="s">
        <v>199</v>
      </c>
      <c r="H159" s="11" t="s">
        <v>216</v>
      </c>
    </row>
    <row r="160" spans="1:8" s="12" customFormat="1" x14ac:dyDescent="0.35">
      <c r="A160" s="35">
        <v>46126</v>
      </c>
      <c r="B160" s="11" t="s">
        <v>134</v>
      </c>
      <c r="C160" s="57"/>
      <c r="D160" s="36">
        <v>80000000</v>
      </c>
      <c r="E160" s="37">
        <f t="shared" si="2"/>
        <v>20990608</v>
      </c>
      <c r="F160" s="11">
        <v>5447293</v>
      </c>
      <c r="G160" s="11" t="s">
        <v>30</v>
      </c>
      <c r="H160" s="11" t="s">
        <v>134</v>
      </c>
    </row>
    <row r="161" spans="1:8" s="12" customFormat="1" x14ac:dyDescent="0.35">
      <c r="A161" s="51">
        <v>46126</v>
      </c>
      <c r="B161" s="52" t="s">
        <v>73</v>
      </c>
      <c r="C161" s="49">
        <v>16000000</v>
      </c>
      <c r="D161" s="53"/>
      <c r="E161" s="54">
        <f t="shared" si="2"/>
        <v>36990608</v>
      </c>
      <c r="F161" s="52"/>
      <c r="G161" s="76" t="s">
        <v>266</v>
      </c>
      <c r="H161" s="11" t="s">
        <v>215</v>
      </c>
    </row>
    <row r="162" spans="1:8" s="12" customFormat="1" x14ac:dyDescent="0.35">
      <c r="A162" s="35">
        <v>46126</v>
      </c>
      <c r="B162" s="11" t="s">
        <v>297</v>
      </c>
      <c r="C162" s="57"/>
      <c r="D162" s="36">
        <v>349200</v>
      </c>
      <c r="E162" s="37">
        <f t="shared" si="2"/>
        <v>36641408</v>
      </c>
      <c r="F162" s="11">
        <v>5447292</v>
      </c>
      <c r="G162" s="11" t="s">
        <v>8</v>
      </c>
      <c r="H162" s="11" t="s">
        <v>230</v>
      </c>
    </row>
    <row r="163" spans="1:8" s="12" customFormat="1" x14ac:dyDescent="0.35">
      <c r="A163" s="35">
        <v>46127</v>
      </c>
      <c r="B163" s="11" t="s">
        <v>134</v>
      </c>
      <c r="C163" s="57"/>
      <c r="D163" s="36">
        <v>105000000</v>
      </c>
      <c r="E163" s="37">
        <f t="shared" si="2"/>
        <v>-68358592</v>
      </c>
      <c r="F163" s="11">
        <v>5447296</v>
      </c>
      <c r="G163" s="11" t="s">
        <v>30</v>
      </c>
      <c r="H163" s="11" t="s">
        <v>134</v>
      </c>
    </row>
    <row r="164" spans="1:8" s="12" customFormat="1" x14ac:dyDescent="0.35">
      <c r="A164" s="35">
        <v>46127</v>
      </c>
      <c r="B164" s="11" t="s">
        <v>34</v>
      </c>
      <c r="C164" s="57">
        <v>51840000</v>
      </c>
      <c r="D164" s="36"/>
      <c r="E164" s="37">
        <f t="shared" si="2"/>
        <v>-16518592</v>
      </c>
      <c r="F164" s="11"/>
      <c r="G164" s="11" t="s">
        <v>270</v>
      </c>
      <c r="H164" s="11" t="s">
        <v>215</v>
      </c>
    </row>
    <row r="165" spans="1:8" s="12" customFormat="1" x14ac:dyDescent="0.35">
      <c r="A165" s="35">
        <v>46127</v>
      </c>
      <c r="B165" s="11" t="s">
        <v>35</v>
      </c>
      <c r="C165" s="57">
        <v>32000000</v>
      </c>
      <c r="D165" s="36"/>
      <c r="E165" s="37">
        <f t="shared" si="2"/>
        <v>15481408</v>
      </c>
      <c r="F165" s="11"/>
      <c r="G165" s="11" t="s">
        <v>274</v>
      </c>
      <c r="H165" s="11" t="s">
        <v>215</v>
      </c>
    </row>
    <row r="166" spans="1:8" s="12" customFormat="1" x14ac:dyDescent="0.35">
      <c r="A166" s="35">
        <v>46128</v>
      </c>
      <c r="B166" s="11" t="s">
        <v>7</v>
      </c>
      <c r="C166" s="57"/>
      <c r="D166" s="36">
        <v>183750</v>
      </c>
      <c r="E166" s="37">
        <f t="shared" si="2"/>
        <v>15297658</v>
      </c>
      <c r="F166" s="11"/>
      <c r="G166" s="11" t="s">
        <v>200</v>
      </c>
      <c r="H166" s="11" t="s">
        <v>216</v>
      </c>
    </row>
    <row r="167" spans="1:8" s="12" customFormat="1" x14ac:dyDescent="0.35">
      <c r="A167" s="35">
        <v>46128</v>
      </c>
      <c r="B167" s="11" t="s">
        <v>7</v>
      </c>
      <c r="C167" s="57"/>
      <c r="D167" s="36">
        <v>328125</v>
      </c>
      <c r="E167" s="37">
        <f t="shared" si="2"/>
        <v>14969533</v>
      </c>
      <c r="F167" s="11"/>
      <c r="G167" s="11" t="s">
        <v>201</v>
      </c>
      <c r="H167" s="11" t="s">
        <v>216</v>
      </c>
    </row>
    <row r="168" spans="1:8" s="12" customFormat="1" x14ac:dyDescent="0.35">
      <c r="A168" s="35">
        <v>46128</v>
      </c>
      <c r="B168" s="11" t="s">
        <v>7</v>
      </c>
      <c r="C168" s="57"/>
      <c r="D168" s="36">
        <v>393750</v>
      </c>
      <c r="E168" s="37">
        <f t="shared" si="2"/>
        <v>14575783</v>
      </c>
      <c r="F168" s="11"/>
      <c r="G168" s="11" t="s">
        <v>36</v>
      </c>
      <c r="H168" s="11" t="s">
        <v>216</v>
      </c>
    </row>
    <row r="169" spans="1:8" s="106" customFormat="1" x14ac:dyDescent="0.35">
      <c r="A169" s="42">
        <v>46128</v>
      </c>
      <c r="B169" s="43" t="s">
        <v>6</v>
      </c>
      <c r="C169" s="75"/>
      <c r="D169" s="44">
        <v>501917</v>
      </c>
      <c r="E169" s="45">
        <f t="shared" si="2"/>
        <v>14073866</v>
      </c>
      <c r="F169" s="43">
        <v>5447294</v>
      </c>
      <c r="G169" s="43" t="s">
        <v>153</v>
      </c>
      <c r="H169" s="11" t="s">
        <v>113</v>
      </c>
    </row>
    <row r="170" spans="1:8" s="106" customFormat="1" x14ac:dyDescent="0.35">
      <c r="A170" s="42">
        <v>46128</v>
      </c>
      <c r="B170" s="43" t="s">
        <v>6</v>
      </c>
      <c r="C170" s="75"/>
      <c r="D170" s="44">
        <v>1000000</v>
      </c>
      <c r="E170" s="45">
        <f t="shared" si="2"/>
        <v>13073866</v>
      </c>
      <c r="F170" s="43">
        <v>5447295</v>
      </c>
      <c r="G170" s="43" t="s">
        <v>38</v>
      </c>
      <c r="H170" s="11" t="s">
        <v>113</v>
      </c>
    </row>
    <row r="171" spans="1:8" s="12" customFormat="1" x14ac:dyDescent="0.35">
      <c r="A171" s="35">
        <v>46129</v>
      </c>
      <c r="B171" s="11" t="s">
        <v>7</v>
      </c>
      <c r="C171" s="57"/>
      <c r="D171" s="36">
        <v>288752</v>
      </c>
      <c r="E171" s="37">
        <f t="shared" si="2"/>
        <v>12785114</v>
      </c>
      <c r="F171" s="11"/>
      <c r="G171" s="11" t="s">
        <v>194</v>
      </c>
      <c r="H171" s="11" t="s">
        <v>216</v>
      </c>
    </row>
    <row r="172" spans="1:8" s="12" customFormat="1" x14ac:dyDescent="0.35">
      <c r="A172" s="35">
        <v>46129</v>
      </c>
      <c r="B172" s="11" t="s">
        <v>15</v>
      </c>
      <c r="C172" s="57"/>
      <c r="D172" s="36">
        <v>396158</v>
      </c>
      <c r="E172" s="37">
        <f t="shared" si="2"/>
        <v>12388956</v>
      </c>
      <c r="F172" s="11">
        <v>5447298</v>
      </c>
      <c r="G172" s="11" t="s">
        <v>154</v>
      </c>
      <c r="H172" s="11" t="s">
        <v>113</v>
      </c>
    </row>
    <row r="173" spans="1:8" s="12" customFormat="1" x14ac:dyDescent="0.35">
      <c r="A173" s="35">
        <v>46129</v>
      </c>
      <c r="B173" s="11" t="s">
        <v>7</v>
      </c>
      <c r="C173" s="57"/>
      <c r="D173" s="36">
        <v>406878</v>
      </c>
      <c r="E173" s="37">
        <f t="shared" si="2"/>
        <v>11982078</v>
      </c>
      <c r="F173" s="11"/>
      <c r="G173" s="11" t="s">
        <v>202</v>
      </c>
      <c r="H173" s="11" t="s">
        <v>216</v>
      </c>
    </row>
    <row r="174" spans="1:8" s="12" customFormat="1" x14ac:dyDescent="0.35">
      <c r="A174" s="35">
        <v>46129</v>
      </c>
      <c r="B174" s="11" t="s">
        <v>7</v>
      </c>
      <c r="C174" s="57"/>
      <c r="D174" s="36">
        <v>511884</v>
      </c>
      <c r="E174" s="37">
        <f t="shared" si="2"/>
        <v>11470194</v>
      </c>
      <c r="F174" s="11"/>
      <c r="G174" s="11" t="s">
        <v>196</v>
      </c>
      <c r="H174" s="11" t="s">
        <v>216</v>
      </c>
    </row>
    <row r="175" spans="1:8" s="12" customFormat="1" x14ac:dyDescent="0.35">
      <c r="A175" s="35">
        <v>46129</v>
      </c>
      <c r="B175" s="11" t="s">
        <v>7</v>
      </c>
      <c r="C175" s="57"/>
      <c r="D175" s="36">
        <v>511884</v>
      </c>
      <c r="E175" s="37">
        <f t="shared" si="2"/>
        <v>10958310</v>
      </c>
      <c r="F175" s="11"/>
      <c r="G175" s="11" t="s">
        <v>198</v>
      </c>
      <c r="H175" s="11" t="s">
        <v>216</v>
      </c>
    </row>
    <row r="176" spans="1:8" s="12" customFormat="1" x14ac:dyDescent="0.35">
      <c r="A176" s="35">
        <v>46129</v>
      </c>
      <c r="B176" s="11" t="s">
        <v>7</v>
      </c>
      <c r="C176" s="57"/>
      <c r="D176" s="36">
        <v>525010</v>
      </c>
      <c r="E176" s="37">
        <f t="shared" si="2"/>
        <v>10433300</v>
      </c>
      <c r="F176" s="11"/>
      <c r="G176" s="11" t="s">
        <v>203</v>
      </c>
      <c r="H176" s="11" t="s">
        <v>216</v>
      </c>
    </row>
    <row r="177" spans="1:8" s="12" customFormat="1" x14ac:dyDescent="0.35">
      <c r="A177" s="35">
        <v>46129</v>
      </c>
      <c r="B177" s="11" t="s">
        <v>7</v>
      </c>
      <c r="C177" s="57"/>
      <c r="D177" s="36">
        <v>525010</v>
      </c>
      <c r="E177" s="37">
        <f t="shared" si="2"/>
        <v>9908290</v>
      </c>
      <c r="F177" s="11"/>
      <c r="G177" s="11" t="s">
        <v>197</v>
      </c>
      <c r="H177" s="11" t="s">
        <v>216</v>
      </c>
    </row>
    <row r="178" spans="1:8" s="12" customFormat="1" x14ac:dyDescent="0.35">
      <c r="A178" s="35">
        <v>46132</v>
      </c>
      <c r="B178" s="11" t="s">
        <v>155</v>
      </c>
      <c r="C178" s="57"/>
      <c r="D178" s="36">
        <v>39500</v>
      </c>
      <c r="E178" s="37">
        <f t="shared" si="2"/>
        <v>9868790</v>
      </c>
      <c r="F178" s="11">
        <v>5447288</v>
      </c>
      <c r="G178" s="11" t="s">
        <v>156</v>
      </c>
      <c r="H178" s="11" t="s">
        <v>213</v>
      </c>
    </row>
    <row r="179" spans="1:8" s="12" customFormat="1" x14ac:dyDescent="0.35">
      <c r="A179" s="35">
        <v>46133</v>
      </c>
      <c r="B179" s="11" t="s">
        <v>42</v>
      </c>
      <c r="C179" s="57">
        <v>46080000</v>
      </c>
      <c r="D179" s="36"/>
      <c r="E179" s="37">
        <f t="shared" si="2"/>
        <v>55948790</v>
      </c>
      <c r="F179" s="11"/>
      <c r="G179" s="11" t="s">
        <v>271</v>
      </c>
      <c r="H179" s="11" t="s">
        <v>215</v>
      </c>
    </row>
    <row r="180" spans="1:8" s="12" customFormat="1" x14ac:dyDescent="0.35">
      <c r="A180" s="35">
        <v>46134</v>
      </c>
      <c r="B180" s="11" t="s">
        <v>7</v>
      </c>
      <c r="C180" s="57"/>
      <c r="D180" s="36">
        <v>1386821</v>
      </c>
      <c r="E180" s="37">
        <f t="shared" si="2"/>
        <v>54561969</v>
      </c>
      <c r="F180" s="11"/>
      <c r="G180" s="11" t="s">
        <v>204</v>
      </c>
      <c r="H180" s="11" t="s">
        <v>216</v>
      </c>
    </row>
    <row r="181" spans="1:8" s="12" customFormat="1" x14ac:dyDescent="0.35">
      <c r="A181" s="35">
        <v>46135</v>
      </c>
      <c r="B181" s="11" t="s">
        <v>7</v>
      </c>
      <c r="C181" s="57"/>
      <c r="D181" s="36">
        <v>105001</v>
      </c>
      <c r="E181" s="37">
        <f t="shared" si="2"/>
        <v>54456968</v>
      </c>
      <c r="F181" s="11"/>
      <c r="G181" s="11" t="s">
        <v>205</v>
      </c>
      <c r="H181" s="11" t="s">
        <v>216</v>
      </c>
    </row>
    <row r="182" spans="1:8" s="12" customFormat="1" x14ac:dyDescent="0.35">
      <c r="A182" s="35">
        <v>46136</v>
      </c>
      <c r="B182" s="11" t="s">
        <v>7</v>
      </c>
      <c r="C182" s="57"/>
      <c r="D182" s="36">
        <v>131250</v>
      </c>
      <c r="E182" s="37">
        <f t="shared" si="2"/>
        <v>54325718</v>
      </c>
      <c r="F182" s="11"/>
      <c r="G182" s="11" t="s">
        <v>206</v>
      </c>
      <c r="H182" s="11" t="s">
        <v>216</v>
      </c>
    </row>
    <row r="183" spans="1:8" s="12" customFormat="1" x14ac:dyDescent="0.35">
      <c r="A183" s="35">
        <v>46136</v>
      </c>
      <c r="B183" s="11" t="s">
        <v>7</v>
      </c>
      <c r="C183" s="57"/>
      <c r="D183" s="36">
        <v>848267</v>
      </c>
      <c r="E183" s="37">
        <f t="shared" si="2"/>
        <v>53477451</v>
      </c>
      <c r="F183" s="11"/>
      <c r="G183" s="11" t="s">
        <v>207</v>
      </c>
      <c r="H183" s="11" t="s">
        <v>216</v>
      </c>
    </row>
    <row r="184" spans="1:8" s="12" customFormat="1" x14ac:dyDescent="0.35">
      <c r="A184" s="35">
        <v>46139</v>
      </c>
      <c r="B184" s="11" t="s">
        <v>43</v>
      </c>
      <c r="C184" s="57"/>
      <c r="D184" s="36">
        <v>250000</v>
      </c>
      <c r="E184" s="37">
        <f t="shared" si="2"/>
        <v>53227451</v>
      </c>
      <c r="F184" s="11">
        <v>5447300</v>
      </c>
      <c r="G184" s="38" t="s">
        <v>158</v>
      </c>
      <c r="H184" s="11" t="s">
        <v>212</v>
      </c>
    </row>
    <row r="185" spans="1:8" s="107" customFormat="1" x14ac:dyDescent="0.35">
      <c r="A185" s="21">
        <v>46141</v>
      </c>
      <c r="B185" s="22" t="s">
        <v>134</v>
      </c>
      <c r="C185" s="57"/>
      <c r="D185" s="100">
        <v>50000000</v>
      </c>
      <c r="E185" s="23">
        <f t="shared" si="2"/>
        <v>3227451</v>
      </c>
      <c r="F185" s="22" t="s">
        <v>159</v>
      </c>
      <c r="G185" s="22" t="s">
        <v>45</v>
      </c>
      <c r="H185" s="11" t="s">
        <v>134</v>
      </c>
    </row>
    <row r="186" spans="1:8" s="12" customFormat="1" x14ac:dyDescent="0.35">
      <c r="A186" s="35">
        <v>46141</v>
      </c>
      <c r="B186" s="11" t="s">
        <v>82</v>
      </c>
      <c r="C186" s="57">
        <v>41250000</v>
      </c>
      <c r="D186" s="36"/>
      <c r="E186" s="37">
        <f t="shared" si="2"/>
        <v>44477451</v>
      </c>
      <c r="F186" s="11"/>
      <c r="G186" s="2" t="s">
        <v>268</v>
      </c>
      <c r="H186" s="38" t="s">
        <v>215</v>
      </c>
    </row>
    <row r="187" spans="1:8" s="105" customFormat="1" x14ac:dyDescent="0.35">
      <c r="A187" s="47">
        <v>46146</v>
      </c>
      <c r="B187" s="48" t="s">
        <v>46</v>
      </c>
      <c r="C187" s="57">
        <v>67427919</v>
      </c>
      <c r="D187" s="49"/>
      <c r="E187" s="50">
        <f t="shared" si="2"/>
        <v>111905370</v>
      </c>
      <c r="F187" s="48"/>
      <c r="G187" s="48" t="s">
        <v>218</v>
      </c>
      <c r="H187" s="11" t="s">
        <v>214</v>
      </c>
    </row>
    <row r="188" spans="1:8" s="12" customFormat="1" x14ac:dyDescent="0.35">
      <c r="A188" s="35">
        <v>46146</v>
      </c>
      <c r="B188" s="11" t="s">
        <v>7</v>
      </c>
      <c r="C188" s="57"/>
      <c r="D188" s="36">
        <v>1448990</v>
      </c>
      <c r="E188" s="37">
        <f t="shared" si="2"/>
        <v>110456380</v>
      </c>
      <c r="F188" s="11"/>
      <c r="G188" s="11" t="s">
        <v>47</v>
      </c>
      <c r="H188" s="11" t="s">
        <v>216</v>
      </c>
    </row>
    <row r="189" spans="1:8" s="12" customFormat="1" x14ac:dyDescent="0.35">
      <c r="A189" s="35">
        <v>46147</v>
      </c>
      <c r="B189" s="11" t="s">
        <v>63</v>
      </c>
      <c r="C189" s="57"/>
      <c r="D189" s="39">
        <v>6000000</v>
      </c>
      <c r="E189" s="37">
        <f t="shared" si="2"/>
        <v>104456380</v>
      </c>
      <c r="F189" s="11">
        <v>5822102</v>
      </c>
      <c r="G189" s="11" t="s">
        <v>16</v>
      </c>
      <c r="H189" s="11" t="s">
        <v>217</v>
      </c>
    </row>
    <row r="190" spans="1:8" s="12" customFormat="1" x14ac:dyDescent="0.35">
      <c r="A190" s="51">
        <v>46147</v>
      </c>
      <c r="B190" s="52" t="s">
        <v>46</v>
      </c>
      <c r="C190" s="57">
        <v>71908460</v>
      </c>
      <c r="D190" s="53"/>
      <c r="E190" s="54">
        <f t="shared" si="2"/>
        <v>176364840</v>
      </c>
      <c r="F190" s="52"/>
      <c r="G190" s="52" t="s">
        <v>219</v>
      </c>
      <c r="H190" s="11" t="s">
        <v>214</v>
      </c>
    </row>
    <row r="191" spans="1:8" s="12" customFormat="1" x14ac:dyDescent="0.35">
      <c r="A191" s="35">
        <v>46147</v>
      </c>
      <c r="B191" s="11" t="s">
        <v>48</v>
      </c>
      <c r="C191" s="57"/>
      <c r="D191" s="36">
        <v>10000</v>
      </c>
      <c r="E191" s="37">
        <f t="shared" si="2"/>
        <v>176354840</v>
      </c>
      <c r="F191" s="11"/>
      <c r="G191" s="11"/>
      <c r="H191" s="11" t="s">
        <v>123</v>
      </c>
    </row>
    <row r="192" spans="1:8" s="12" customFormat="1" x14ac:dyDescent="0.35">
      <c r="A192" s="35">
        <v>46147</v>
      </c>
      <c r="B192" s="11" t="s">
        <v>49</v>
      </c>
      <c r="C192" s="57"/>
      <c r="D192" s="36">
        <v>25000000</v>
      </c>
      <c r="E192" s="37">
        <f t="shared" si="2"/>
        <v>151354840</v>
      </c>
      <c r="F192" s="11"/>
      <c r="G192" s="11" t="s">
        <v>50</v>
      </c>
      <c r="H192" s="11" t="s">
        <v>234</v>
      </c>
    </row>
    <row r="193" spans="1:8" s="12" customFormat="1" x14ac:dyDescent="0.35">
      <c r="A193" s="35">
        <v>46148</v>
      </c>
      <c r="B193" s="11" t="s">
        <v>48</v>
      </c>
      <c r="C193" s="57"/>
      <c r="D193" s="36">
        <v>10000</v>
      </c>
      <c r="E193" s="37">
        <f t="shared" si="2"/>
        <v>151344840</v>
      </c>
      <c r="F193" s="11"/>
      <c r="G193" s="11"/>
      <c r="H193" s="11" t="s">
        <v>123</v>
      </c>
    </row>
    <row r="194" spans="1:8" s="12" customFormat="1" x14ac:dyDescent="0.35">
      <c r="A194" s="35">
        <v>46148</v>
      </c>
      <c r="B194" s="11" t="s">
        <v>7</v>
      </c>
      <c r="C194" s="57"/>
      <c r="D194" s="36">
        <v>1351473</v>
      </c>
      <c r="E194" s="37">
        <f t="shared" si="2"/>
        <v>149993367</v>
      </c>
      <c r="F194" s="11"/>
      <c r="G194" s="11" t="s">
        <v>51</v>
      </c>
      <c r="H194" s="11" t="s">
        <v>216</v>
      </c>
    </row>
    <row r="195" spans="1:8" s="12" customFormat="1" x14ac:dyDescent="0.35">
      <c r="A195" s="35">
        <v>46149</v>
      </c>
      <c r="B195" s="11" t="s">
        <v>134</v>
      </c>
      <c r="C195" s="57"/>
      <c r="D195" s="39">
        <v>120000000</v>
      </c>
      <c r="E195" s="37">
        <f t="shared" si="2"/>
        <v>29993367</v>
      </c>
      <c r="F195" s="11">
        <v>5822104</v>
      </c>
      <c r="G195" s="11" t="s">
        <v>30</v>
      </c>
      <c r="H195" s="11" t="s">
        <v>134</v>
      </c>
    </row>
    <row r="196" spans="1:8" s="12" customFormat="1" x14ac:dyDescent="0.35">
      <c r="A196" s="35">
        <v>46153</v>
      </c>
      <c r="B196" s="11" t="s">
        <v>7</v>
      </c>
      <c r="C196" s="57"/>
      <c r="D196" s="36">
        <v>1319662</v>
      </c>
      <c r="E196" s="37">
        <f t="shared" si="2"/>
        <v>28673705</v>
      </c>
      <c r="F196" s="11"/>
      <c r="G196" s="11" t="s">
        <v>52</v>
      </c>
      <c r="H196" s="11" t="s">
        <v>216</v>
      </c>
    </row>
    <row r="197" spans="1:8" s="12" customFormat="1" x14ac:dyDescent="0.35">
      <c r="A197" s="35">
        <v>46154</v>
      </c>
      <c r="B197" s="11" t="s">
        <v>94</v>
      </c>
      <c r="C197" s="57"/>
      <c r="D197" s="36">
        <v>504915</v>
      </c>
      <c r="E197" s="37">
        <f t="shared" ref="E197:E260" si="3">E196+C197-D197</f>
        <v>28168790</v>
      </c>
      <c r="F197" s="11"/>
      <c r="G197" s="11"/>
      <c r="H197" s="11" t="s">
        <v>94</v>
      </c>
    </row>
    <row r="198" spans="1:8" s="12" customFormat="1" x14ac:dyDescent="0.35">
      <c r="A198" s="35">
        <v>46154</v>
      </c>
      <c r="B198" s="11" t="s">
        <v>94</v>
      </c>
      <c r="C198" s="57"/>
      <c r="D198" s="36">
        <v>1118946</v>
      </c>
      <c r="E198" s="37">
        <f t="shared" si="3"/>
        <v>27049844</v>
      </c>
      <c r="F198" s="11"/>
      <c r="G198" s="11"/>
      <c r="H198" s="11" t="s">
        <v>94</v>
      </c>
    </row>
    <row r="199" spans="1:8" s="12" customFormat="1" x14ac:dyDescent="0.35">
      <c r="A199" s="51">
        <v>46161</v>
      </c>
      <c r="B199" s="52" t="s">
        <v>46</v>
      </c>
      <c r="C199" s="57">
        <v>78387517</v>
      </c>
      <c r="D199" s="53"/>
      <c r="E199" s="54">
        <f t="shared" si="3"/>
        <v>105437361</v>
      </c>
      <c r="F199" s="52"/>
      <c r="G199" s="52" t="s">
        <v>220</v>
      </c>
      <c r="H199" s="11" t="s">
        <v>214</v>
      </c>
    </row>
    <row r="200" spans="1:8" s="12" customFormat="1" x14ac:dyDescent="0.35">
      <c r="A200" s="35">
        <v>46161</v>
      </c>
      <c r="B200" s="11" t="s">
        <v>122</v>
      </c>
      <c r="C200" s="57"/>
      <c r="D200" s="36">
        <v>33000</v>
      </c>
      <c r="E200" s="37">
        <f t="shared" si="3"/>
        <v>105404361</v>
      </c>
      <c r="F200" s="11"/>
      <c r="G200" s="38" t="s">
        <v>123</v>
      </c>
      <c r="H200" s="38" t="s">
        <v>123</v>
      </c>
    </row>
    <row r="201" spans="1:8" s="12" customFormat="1" x14ac:dyDescent="0.35">
      <c r="A201" s="35">
        <v>46161</v>
      </c>
      <c r="B201" s="11" t="s">
        <v>122</v>
      </c>
      <c r="C201" s="57"/>
      <c r="D201" s="36">
        <v>33000</v>
      </c>
      <c r="E201" s="37">
        <f t="shared" si="3"/>
        <v>105371361</v>
      </c>
      <c r="F201" s="11"/>
      <c r="G201" s="38" t="s">
        <v>123</v>
      </c>
      <c r="H201" s="38" t="s">
        <v>123</v>
      </c>
    </row>
    <row r="202" spans="1:8" s="12" customFormat="1" x14ac:dyDescent="0.35">
      <c r="A202" s="51">
        <v>46161</v>
      </c>
      <c r="B202" s="52" t="s">
        <v>46</v>
      </c>
      <c r="C202" s="57">
        <v>76689481</v>
      </c>
      <c r="D202" s="53"/>
      <c r="E202" s="54">
        <f t="shared" si="3"/>
        <v>182060842</v>
      </c>
      <c r="F202" s="52"/>
      <c r="G202" s="52" t="s">
        <v>221</v>
      </c>
      <c r="H202" s="11" t="s">
        <v>214</v>
      </c>
    </row>
    <row r="203" spans="1:8" s="12" customFormat="1" x14ac:dyDescent="0.35">
      <c r="A203" s="35">
        <v>46161</v>
      </c>
      <c r="B203" s="11" t="s">
        <v>7</v>
      </c>
      <c r="C203" s="57"/>
      <c r="D203" s="36">
        <v>8275216</v>
      </c>
      <c r="E203" s="37">
        <f t="shared" si="3"/>
        <v>173785626</v>
      </c>
      <c r="F203" s="11"/>
      <c r="G203" s="11" t="s">
        <v>208</v>
      </c>
      <c r="H203" s="11" t="s">
        <v>216</v>
      </c>
    </row>
    <row r="204" spans="1:8" s="12" customFormat="1" x14ac:dyDescent="0.35">
      <c r="A204" s="35">
        <v>46163</v>
      </c>
      <c r="B204" s="11" t="s">
        <v>53</v>
      </c>
      <c r="C204" s="57"/>
      <c r="D204" s="36">
        <v>14005640</v>
      </c>
      <c r="E204" s="37">
        <f t="shared" si="3"/>
        <v>159779986</v>
      </c>
      <c r="F204" s="11">
        <v>5822109</v>
      </c>
      <c r="G204" s="11" t="s">
        <v>56</v>
      </c>
      <c r="H204" s="11" t="s">
        <v>56</v>
      </c>
    </row>
    <row r="205" spans="1:8" s="12" customFormat="1" x14ac:dyDescent="0.35">
      <c r="A205" s="35">
        <v>46163</v>
      </c>
      <c r="B205" s="11" t="s">
        <v>54</v>
      </c>
      <c r="C205" s="57"/>
      <c r="D205" s="36">
        <v>14481500</v>
      </c>
      <c r="E205" s="37">
        <f t="shared" si="3"/>
        <v>145298486</v>
      </c>
      <c r="F205" s="11">
        <v>5822107</v>
      </c>
      <c r="G205" s="11" t="s">
        <v>56</v>
      </c>
      <c r="H205" s="11" t="s">
        <v>56</v>
      </c>
    </row>
    <row r="206" spans="1:8" s="12" customFormat="1" x14ac:dyDescent="0.35">
      <c r="A206" s="35">
        <v>46163</v>
      </c>
      <c r="B206" s="11" t="s">
        <v>55</v>
      </c>
      <c r="C206" s="57"/>
      <c r="D206" s="36">
        <v>20000000</v>
      </c>
      <c r="E206" s="37">
        <f t="shared" si="3"/>
        <v>125298486</v>
      </c>
      <c r="F206" s="11">
        <v>5822108</v>
      </c>
      <c r="G206" s="11" t="s">
        <v>50</v>
      </c>
      <c r="H206" s="11" t="s">
        <v>234</v>
      </c>
    </row>
    <row r="207" spans="1:8" s="12" customFormat="1" x14ac:dyDescent="0.35">
      <c r="A207" s="35">
        <v>46164</v>
      </c>
      <c r="B207" s="11" t="s">
        <v>139</v>
      </c>
      <c r="C207" s="57"/>
      <c r="D207" s="36">
        <v>1875495</v>
      </c>
      <c r="E207" s="37">
        <f t="shared" si="3"/>
        <v>123422991</v>
      </c>
      <c r="F207" s="11">
        <v>5822106</v>
      </c>
      <c r="G207" s="11" t="s">
        <v>37</v>
      </c>
      <c r="H207" s="11" t="s">
        <v>113</v>
      </c>
    </row>
    <row r="208" spans="1:8" s="12" customFormat="1" x14ac:dyDescent="0.35">
      <c r="A208" s="35">
        <v>46164</v>
      </c>
      <c r="B208" s="11" t="s">
        <v>7</v>
      </c>
      <c r="C208" s="57"/>
      <c r="D208" s="36">
        <v>8448364</v>
      </c>
      <c r="E208" s="37">
        <f t="shared" si="3"/>
        <v>114974627</v>
      </c>
      <c r="F208" s="11"/>
      <c r="G208" s="11" t="s">
        <v>209</v>
      </c>
      <c r="H208" s="11" t="s">
        <v>216</v>
      </c>
    </row>
    <row r="209" spans="1:8" s="12" customFormat="1" x14ac:dyDescent="0.35">
      <c r="A209" s="35">
        <v>46164</v>
      </c>
      <c r="B209" s="11" t="s">
        <v>57</v>
      </c>
      <c r="C209" s="57"/>
      <c r="D209" s="36">
        <v>11144000</v>
      </c>
      <c r="E209" s="37">
        <f t="shared" si="3"/>
        <v>103830627</v>
      </c>
      <c r="F209" s="11"/>
      <c r="G209" s="11" t="s">
        <v>56</v>
      </c>
      <c r="H209" s="11" t="s">
        <v>56</v>
      </c>
    </row>
    <row r="210" spans="1:8" s="12" customFormat="1" x14ac:dyDescent="0.35">
      <c r="A210" s="35">
        <v>46164</v>
      </c>
      <c r="B210" s="11" t="s">
        <v>58</v>
      </c>
      <c r="C210" s="57"/>
      <c r="D210" s="36">
        <v>12921440</v>
      </c>
      <c r="E210" s="37">
        <f t="shared" si="3"/>
        <v>90909187</v>
      </c>
      <c r="F210" s="11"/>
      <c r="G210" s="11" t="s">
        <v>56</v>
      </c>
      <c r="H210" s="11" t="s">
        <v>56</v>
      </c>
    </row>
    <row r="211" spans="1:8" s="12" customFormat="1" x14ac:dyDescent="0.35">
      <c r="A211" s="35">
        <v>46164</v>
      </c>
      <c r="B211" s="11" t="s">
        <v>59</v>
      </c>
      <c r="C211" s="57"/>
      <c r="D211" s="36">
        <v>27176800</v>
      </c>
      <c r="E211" s="37">
        <f t="shared" si="3"/>
        <v>63732387</v>
      </c>
      <c r="F211" s="11"/>
      <c r="G211" s="11" t="s">
        <v>56</v>
      </c>
      <c r="H211" s="11" t="s">
        <v>56</v>
      </c>
    </row>
    <row r="212" spans="1:8" s="12" customFormat="1" x14ac:dyDescent="0.35">
      <c r="A212" s="51">
        <v>46168</v>
      </c>
      <c r="B212" s="52" t="s">
        <v>46</v>
      </c>
      <c r="C212" s="57">
        <v>82831167</v>
      </c>
      <c r="D212" s="53"/>
      <c r="E212" s="54">
        <f t="shared" si="3"/>
        <v>146563554</v>
      </c>
      <c r="F212" s="52"/>
      <c r="G212" s="52" t="s">
        <v>222</v>
      </c>
      <c r="H212" s="11" t="s">
        <v>214</v>
      </c>
    </row>
    <row r="213" spans="1:8" s="12" customFormat="1" x14ac:dyDescent="0.35">
      <c r="A213" s="35">
        <v>46168</v>
      </c>
      <c r="B213" s="11" t="s">
        <v>7</v>
      </c>
      <c r="C213" s="57"/>
      <c r="D213" s="36">
        <v>8576803</v>
      </c>
      <c r="E213" s="37">
        <f t="shared" si="3"/>
        <v>137986751</v>
      </c>
      <c r="F213" s="11"/>
      <c r="G213" s="11" t="s">
        <v>210</v>
      </c>
      <c r="H213" s="11" t="s">
        <v>216</v>
      </c>
    </row>
    <row r="214" spans="1:8" s="12" customFormat="1" x14ac:dyDescent="0.35">
      <c r="A214" s="35">
        <v>46170</v>
      </c>
      <c r="B214" s="11" t="s">
        <v>63</v>
      </c>
      <c r="C214" s="57"/>
      <c r="D214" s="39">
        <v>7000000</v>
      </c>
      <c r="E214" s="37">
        <f t="shared" si="3"/>
        <v>130986751</v>
      </c>
      <c r="F214" s="11">
        <v>5822110</v>
      </c>
      <c r="G214" s="11" t="s">
        <v>16</v>
      </c>
      <c r="H214" s="11" t="s">
        <v>217</v>
      </c>
    </row>
    <row r="215" spans="1:8" s="12" customFormat="1" x14ac:dyDescent="0.35">
      <c r="A215" s="35">
        <v>46170</v>
      </c>
      <c r="B215" s="11" t="s">
        <v>134</v>
      </c>
      <c r="C215" s="57"/>
      <c r="D215" s="39">
        <v>120000000</v>
      </c>
      <c r="E215" s="37">
        <f t="shared" si="3"/>
        <v>10986751</v>
      </c>
      <c r="F215" s="11">
        <v>5822115</v>
      </c>
      <c r="G215" s="11" t="s">
        <v>30</v>
      </c>
      <c r="H215" s="11" t="s">
        <v>134</v>
      </c>
    </row>
    <row r="216" spans="1:8" s="12" customFormat="1" x14ac:dyDescent="0.35">
      <c r="A216" s="35">
        <v>46170</v>
      </c>
      <c r="B216" s="11" t="s">
        <v>60</v>
      </c>
      <c r="C216" s="57">
        <v>226972</v>
      </c>
      <c r="D216" s="36"/>
      <c r="E216" s="37">
        <f t="shared" si="3"/>
        <v>11213723</v>
      </c>
      <c r="F216" s="11"/>
      <c r="G216" s="11"/>
      <c r="H216" s="11" t="s">
        <v>254</v>
      </c>
    </row>
    <row r="217" spans="1:8" s="12" customFormat="1" x14ac:dyDescent="0.35">
      <c r="A217" s="35">
        <v>46170</v>
      </c>
      <c r="B217" s="11" t="s">
        <v>7</v>
      </c>
      <c r="C217" s="57"/>
      <c r="D217" s="36">
        <v>78750</v>
      </c>
      <c r="E217" s="37">
        <f t="shared" si="3"/>
        <v>11134973</v>
      </c>
      <c r="F217" s="11"/>
      <c r="G217" s="11" t="s">
        <v>52</v>
      </c>
      <c r="H217" s="11" t="s">
        <v>216</v>
      </c>
    </row>
    <row r="218" spans="1:8" x14ac:dyDescent="0.35">
      <c r="A218" s="8">
        <v>46170</v>
      </c>
      <c r="B218" s="9" t="s">
        <v>64</v>
      </c>
      <c r="C218" s="75"/>
      <c r="D218" s="10">
        <v>226972</v>
      </c>
      <c r="E218" s="4">
        <f t="shared" si="3"/>
        <v>10908001</v>
      </c>
      <c r="F218" s="9">
        <v>5822101</v>
      </c>
      <c r="G218" s="9" t="s">
        <v>13</v>
      </c>
      <c r="H218" s="11" t="s">
        <v>113</v>
      </c>
    </row>
    <row r="219" spans="1:8" s="12" customFormat="1" x14ac:dyDescent="0.35">
      <c r="A219" s="35">
        <v>46171</v>
      </c>
      <c r="B219" s="11" t="s">
        <v>122</v>
      </c>
      <c r="C219" s="57"/>
      <c r="D219" s="36">
        <v>33000</v>
      </c>
      <c r="E219" s="37">
        <f t="shared" si="3"/>
        <v>10875001</v>
      </c>
      <c r="F219" s="11"/>
      <c r="G219" s="38" t="s">
        <v>123</v>
      </c>
      <c r="H219" s="38" t="s">
        <v>123</v>
      </c>
    </row>
    <row r="220" spans="1:8" s="12" customFormat="1" x14ac:dyDescent="0.35">
      <c r="A220" s="35">
        <v>46171</v>
      </c>
      <c r="B220" s="11" t="s">
        <v>122</v>
      </c>
      <c r="C220" s="57"/>
      <c r="D220" s="36">
        <v>33000</v>
      </c>
      <c r="E220" s="37">
        <f t="shared" si="3"/>
        <v>10842001</v>
      </c>
      <c r="F220" s="11"/>
      <c r="G220" s="38" t="s">
        <v>123</v>
      </c>
      <c r="H220" s="38" t="s">
        <v>123</v>
      </c>
    </row>
    <row r="221" spans="1:8" s="12" customFormat="1" x14ac:dyDescent="0.35">
      <c r="A221" s="35">
        <v>46171</v>
      </c>
      <c r="B221" s="11" t="s">
        <v>122</v>
      </c>
      <c r="C221" s="57"/>
      <c r="D221" s="36">
        <v>33000</v>
      </c>
      <c r="E221" s="37">
        <f t="shared" si="3"/>
        <v>10809001</v>
      </c>
      <c r="F221" s="11"/>
      <c r="G221" s="38" t="s">
        <v>123</v>
      </c>
      <c r="H221" s="38" t="s">
        <v>123</v>
      </c>
    </row>
    <row r="222" spans="1:8" s="12" customFormat="1" x14ac:dyDescent="0.35">
      <c r="A222" s="35">
        <v>46172</v>
      </c>
      <c r="B222" s="11" t="s">
        <v>7</v>
      </c>
      <c r="C222" s="57"/>
      <c r="D222" s="36">
        <v>8565973</v>
      </c>
      <c r="E222" s="37">
        <f t="shared" si="3"/>
        <v>2243028</v>
      </c>
      <c r="F222" s="11"/>
      <c r="G222" s="38" t="s">
        <v>248</v>
      </c>
      <c r="H222" s="38" t="s">
        <v>216</v>
      </c>
    </row>
    <row r="223" spans="1:8" s="12" customFormat="1" x14ac:dyDescent="0.35">
      <c r="A223" s="82">
        <v>46172</v>
      </c>
      <c r="B223" s="83" t="s">
        <v>7</v>
      </c>
      <c r="C223" s="84"/>
      <c r="D223" s="85">
        <v>1322434</v>
      </c>
      <c r="E223" s="86">
        <f t="shared" si="3"/>
        <v>920594</v>
      </c>
      <c r="F223" s="83"/>
      <c r="G223" s="87" t="s">
        <v>242</v>
      </c>
      <c r="H223" s="87" t="s">
        <v>216</v>
      </c>
    </row>
    <row r="224" spans="1:8" s="12" customFormat="1" x14ac:dyDescent="0.35">
      <c r="A224" s="35">
        <v>46191</v>
      </c>
      <c r="B224" s="11" t="s">
        <v>80</v>
      </c>
      <c r="C224" s="57">
        <v>97043275</v>
      </c>
      <c r="D224" s="36"/>
      <c r="E224" s="37">
        <f t="shared" si="3"/>
        <v>97963869</v>
      </c>
      <c r="F224" s="11"/>
      <c r="G224" s="38" t="s">
        <v>252</v>
      </c>
      <c r="H224" s="38" t="s">
        <v>235</v>
      </c>
    </row>
    <row r="225" spans="1:8" s="12" customFormat="1" x14ac:dyDescent="0.35">
      <c r="A225" s="35">
        <v>46191</v>
      </c>
      <c r="B225" s="11" t="s">
        <v>80</v>
      </c>
      <c r="C225" s="57">
        <v>87746089</v>
      </c>
      <c r="D225" s="36"/>
      <c r="E225" s="37">
        <f t="shared" si="3"/>
        <v>185709958</v>
      </c>
      <c r="F225" s="11"/>
      <c r="G225" s="38" t="s">
        <v>253</v>
      </c>
      <c r="H225" s="38" t="s">
        <v>235</v>
      </c>
    </row>
    <row r="226" spans="1:8" s="12" customFormat="1" x14ac:dyDescent="0.35">
      <c r="A226" s="35">
        <v>46175</v>
      </c>
      <c r="B226" s="11" t="s">
        <v>308</v>
      </c>
      <c r="C226" s="57">
        <v>1226972</v>
      </c>
      <c r="D226" s="36"/>
      <c r="E226" s="37">
        <f t="shared" si="3"/>
        <v>186936930</v>
      </c>
      <c r="F226" s="11"/>
      <c r="G226" s="38" t="s">
        <v>309</v>
      </c>
      <c r="H226" s="38" t="s">
        <v>254</v>
      </c>
    </row>
    <row r="227" spans="1:8" s="12" customFormat="1" x14ac:dyDescent="0.35">
      <c r="A227" s="35">
        <v>46175</v>
      </c>
      <c r="B227" s="11" t="s">
        <v>311</v>
      </c>
      <c r="C227" s="57"/>
      <c r="D227" s="36">
        <v>1226972</v>
      </c>
      <c r="E227" s="37">
        <f t="shared" si="3"/>
        <v>185709958</v>
      </c>
      <c r="F227" s="11"/>
      <c r="G227" s="38"/>
      <c r="H227" s="38" t="s">
        <v>234</v>
      </c>
    </row>
    <row r="228" spans="1:8" s="12" customFormat="1" x14ac:dyDescent="0.35">
      <c r="A228" s="35">
        <v>46175</v>
      </c>
      <c r="B228" s="11" t="s">
        <v>310</v>
      </c>
      <c r="C228" s="57"/>
      <c r="D228" s="36">
        <v>11000</v>
      </c>
      <c r="E228" s="37">
        <f t="shared" si="3"/>
        <v>185698958</v>
      </c>
      <c r="F228" s="11"/>
      <c r="G228" s="38" t="s">
        <v>123</v>
      </c>
      <c r="H228" s="38" t="s">
        <v>123</v>
      </c>
    </row>
    <row r="229" spans="1:8" s="12" customFormat="1" x14ac:dyDescent="0.35">
      <c r="A229" s="89">
        <v>46175</v>
      </c>
      <c r="B229" s="90"/>
      <c r="C229" s="91"/>
      <c r="D229" s="92">
        <v>1226972</v>
      </c>
      <c r="E229" s="93">
        <f t="shared" si="3"/>
        <v>184471986</v>
      </c>
      <c r="F229" s="90"/>
      <c r="G229" s="94"/>
      <c r="H229" s="94" t="s">
        <v>234</v>
      </c>
    </row>
    <row r="230" spans="1:8" s="12" customFormat="1" x14ac:dyDescent="0.35">
      <c r="A230" s="35">
        <v>46176</v>
      </c>
      <c r="B230" s="11" t="s">
        <v>61</v>
      </c>
      <c r="C230" s="57">
        <v>700000</v>
      </c>
      <c r="D230" s="36"/>
      <c r="E230" s="37">
        <f t="shared" si="3"/>
        <v>185171986</v>
      </c>
      <c r="F230" s="11"/>
      <c r="G230" s="11"/>
      <c r="H230" s="11" t="s">
        <v>226</v>
      </c>
    </row>
    <row r="231" spans="1:8" s="12" customFormat="1" x14ac:dyDescent="0.35">
      <c r="A231" s="35">
        <v>46178</v>
      </c>
      <c r="B231" s="11" t="s">
        <v>123</v>
      </c>
      <c r="C231" s="57"/>
      <c r="D231" s="36">
        <v>33000</v>
      </c>
      <c r="E231" s="37">
        <f t="shared" si="3"/>
        <v>185138986</v>
      </c>
      <c r="F231" s="11"/>
      <c r="G231" s="38" t="s">
        <v>123</v>
      </c>
      <c r="H231" s="38" t="s">
        <v>123</v>
      </c>
    </row>
    <row r="232" spans="1:8" s="12" customFormat="1" x14ac:dyDescent="0.35">
      <c r="A232" s="35">
        <v>46189</v>
      </c>
      <c r="B232" s="11" t="s">
        <v>123</v>
      </c>
      <c r="C232" s="57"/>
      <c r="D232" s="36">
        <v>33000</v>
      </c>
      <c r="E232" s="37">
        <f t="shared" si="3"/>
        <v>185105986</v>
      </c>
      <c r="F232" s="11"/>
      <c r="G232" s="38" t="s">
        <v>123</v>
      </c>
      <c r="H232" s="38" t="s">
        <v>123</v>
      </c>
    </row>
    <row r="233" spans="1:8" s="12" customFormat="1" x14ac:dyDescent="0.35">
      <c r="A233" s="35">
        <v>46190</v>
      </c>
      <c r="B233" s="11" t="s">
        <v>134</v>
      </c>
      <c r="C233" s="57"/>
      <c r="D233" s="36">
        <v>73000000</v>
      </c>
      <c r="E233" s="37">
        <f t="shared" si="3"/>
        <v>112105986</v>
      </c>
      <c r="F233" s="11">
        <v>5822117</v>
      </c>
      <c r="G233" s="11" t="s">
        <v>30</v>
      </c>
      <c r="H233" s="11" t="s">
        <v>134</v>
      </c>
    </row>
    <row r="234" spans="1:8" s="12" customFormat="1" x14ac:dyDescent="0.35">
      <c r="A234" s="35">
        <v>46192</v>
      </c>
      <c r="B234" s="11" t="s">
        <v>123</v>
      </c>
      <c r="C234" s="57"/>
      <c r="D234" s="36">
        <v>33000</v>
      </c>
      <c r="E234" s="37">
        <f t="shared" si="3"/>
        <v>112072986</v>
      </c>
      <c r="F234" s="11"/>
      <c r="G234" s="38" t="s">
        <v>123</v>
      </c>
      <c r="H234" s="38" t="s">
        <v>123</v>
      </c>
    </row>
    <row r="235" spans="1:8" s="12" customFormat="1" x14ac:dyDescent="0.35">
      <c r="A235" s="35">
        <v>46192</v>
      </c>
      <c r="B235" s="11" t="s">
        <v>123</v>
      </c>
      <c r="C235" s="57"/>
      <c r="D235" s="36">
        <v>33000</v>
      </c>
      <c r="E235" s="37">
        <f t="shared" si="3"/>
        <v>112039986</v>
      </c>
      <c r="F235" s="11"/>
      <c r="G235" s="38" t="s">
        <v>123</v>
      </c>
      <c r="H235" s="38" t="s">
        <v>123</v>
      </c>
    </row>
    <row r="236" spans="1:8" s="12" customFormat="1" x14ac:dyDescent="0.35">
      <c r="A236" s="35">
        <v>46192</v>
      </c>
      <c r="B236" s="11" t="s">
        <v>123</v>
      </c>
      <c r="C236" s="57"/>
      <c r="D236" s="36">
        <v>33000</v>
      </c>
      <c r="E236" s="37">
        <f t="shared" si="3"/>
        <v>112006986</v>
      </c>
      <c r="F236" s="11"/>
      <c r="G236" s="38" t="s">
        <v>123</v>
      </c>
      <c r="H236" s="38" t="s">
        <v>123</v>
      </c>
    </row>
    <row r="237" spans="1:8" s="12" customFormat="1" x14ac:dyDescent="0.35">
      <c r="A237" s="35">
        <v>46192</v>
      </c>
      <c r="B237" s="11" t="s">
        <v>7</v>
      </c>
      <c r="C237" s="57"/>
      <c r="D237" s="36">
        <v>4412341</v>
      </c>
      <c r="E237" s="37">
        <f t="shared" si="3"/>
        <v>107594645</v>
      </c>
      <c r="F237" s="11"/>
      <c r="G237" s="38" t="s">
        <v>243</v>
      </c>
      <c r="H237" s="38" t="s">
        <v>216</v>
      </c>
    </row>
    <row r="238" spans="1:8" s="12" customFormat="1" x14ac:dyDescent="0.35">
      <c r="A238" s="35">
        <v>46192</v>
      </c>
      <c r="B238" s="11" t="s">
        <v>7</v>
      </c>
      <c r="C238" s="57"/>
      <c r="D238" s="36">
        <v>1746328</v>
      </c>
      <c r="E238" s="37">
        <f t="shared" si="3"/>
        <v>105848317</v>
      </c>
      <c r="F238" s="11"/>
      <c r="G238" s="38" t="s">
        <v>244</v>
      </c>
      <c r="H238" s="38" t="s">
        <v>216</v>
      </c>
    </row>
    <row r="239" spans="1:8" s="12" customFormat="1" x14ac:dyDescent="0.35">
      <c r="A239" s="35">
        <v>46192</v>
      </c>
      <c r="B239" s="11" t="s">
        <v>7</v>
      </c>
      <c r="C239" s="57"/>
      <c r="D239" s="36">
        <v>1703308</v>
      </c>
      <c r="E239" s="37">
        <f t="shared" si="3"/>
        <v>104145009</v>
      </c>
      <c r="F239" s="11"/>
      <c r="G239" s="38" t="s">
        <v>245</v>
      </c>
      <c r="H239" s="38" t="s">
        <v>216</v>
      </c>
    </row>
    <row r="240" spans="1:8" s="12" customFormat="1" x14ac:dyDescent="0.35">
      <c r="A240" s="35">
        <v>46192</v>
      </c>
      <c r="B240" s="11" t="s">
        <v>7</v>
      </c>
      <c r="C240" s="57"/>
      <c r="D240" s="36">
        <v>799859</v>
      </c>
      <c r="E240" s="37">
        <f t="shared" si="3"/>
        <v>103345150</v>
      </c>
      <c r="F240" s="11"/>
      <c r="G240" s="38" t="s">
        <v>246</v>
      </c>
      <c r="H240" s="38" t="s">
        <v>216</v>
      </c>
    </row>
    <row r="241" spans="1:8" s="12" customFormat="1" x14ac:dyDescent="0.35">
      <c r="A241" s="35">
        <v>46192</v>
      </c>
      <c r="B241" s="11" t="s">
        <v>7</v>
      </c>
      <c r="C241" s="57"/>
      <c r="D241" s="36">
        <v>274896</v>
      </c>
      <c r="E241" s="37">
        <f t="shared" si="3"/>
        <v>103070254</v>
      </c>
      <c r="F241" s="11"/>
      <c r="G241" s="38" t="s">
        <v>247</v>
      </c>
      <c r="H241" s="38" t="s">
        <v>216</v>
      </c>
    </row>
    <row r="242" spans="1:8" s="12" customFormat="1" x14ac:dyDescent="0.35">
      <c r="A242" s="35">
        <v>46190</v>
      </c>
      <c r="B242" s="56" t="s">
        <v>249</v>
      </c>
      <c r="C242" s="57"/>
      <c r="D242" s="36">
        <v>13809880</v>
      </c>
      <c r="E242" s="37">
        <f t="shared" si="3"/>
        <v>89260374</v>
      </c>
      <c r="F242" s="11">
        <v>5822117</v>
      </c>
      <c r="G242" s="38" t="s">
        <v>56</v>
      </c>
      <c r="H242" s="38" t="s">
        <v>56</v>
      </c>
    </row>
    <row r="243" spans="1:8" s="12" customFormat="1" x14ac:dyDescent="0.35">
      <c r="A243" s="35">
        <v>46191</v>
      </c>
      <c r="B243" s="11" t="s">
        <v>63</v>
      </c>
      <c r="C243" s="57"/>
      <c r="D243" s="36">
        <v>10000000</v>
      </c>
      <c r="E243" s="37">
        <f t="shared" si="3"/>
        <v>79260374</v>
      </c>
      <c r="F243" s="11">
        <v>5822118</v>
      </c>
      <c r="G243" s="38" t="s">
        <v>250</v>
      </c>
      <c r="H243" s="38" t="s">
        <v>217</v>
      </c>
    </row>
    <row r="244" spans="1:8" s="12" customFormat="1" x14ac:dyDescent="0.35">
      <c r="A244" s="35">
        <v>46192</v>
      </c>
      <c r="B244" s="11" t="s">
        <v>251</v>
      </c>
      <c r="C244" s="57"/>
      <c r="D244" s="36">
        <v>25000000</v>
      </c>
      <c r="E244" s="37">
        <f t="shared" si="3"/>
        <v>54260374</v>
      </c>
      <c r="F244" s="11">
        <v>5822119</v>
      </c>
      <c r="G244" s="38" t="s">
        <v>50</v>
      </c>
      <c r="H244" s="38" t="s">
        <v>234</v>
      </c>
    </row>
    <row r="245" spans="1:8" s="12" customFormat="1" x14ac:dyDescent="0.35">
      <c r="A245" s="35">
        <v>46191</v>
      </c>
      <c r="B245" s="11" t="s">
        <v>46</v>
      </c>
      <c r="C245" s="36">
        <v>78737405</v>
      </c>
      <c r="D245" s="11"/>
      <c r="E245" s="37">
        <f t="shared" si="3"/>
        <v>132997779</v>
      </c>
      <c r="F245" s="11"/>
      <c r="G245" s="38" t="s">
        <v>258</v>
      </c>
      <c r="H245" s="11" t="s">
        <v>214</v>
      </c>
    </row>
    <row r="246" spans="1:8" s="12" customFormat="1" x14ac:dyDescent="0.35">
      <c r="A246" s="35">
        <v>46191</v>
      </c>
      <c r="B246" s="11" t="s">
        <v>46</v>
      </c>
      <c r="C246" s="36">
        <v>78468200</v>
      </c>
      <c r="D246" s="11"/>
      <c r="E246" s="37">
        <f t="shared" si="3"/>
        <v>211465979</v>
      </c>
      <c r="F246" s="11"/>
      <c r="G246" s="38" t="s">
        <v>259</v>
      </c>
      <c r="H246" s="11" t="s">
        <v>214</v>
      </c>
    </row>
    <row r="247" spans="1:8" s="12" customFormat="1" x14ac:dyDescent="0.35">
      <c r="A247" s="35">
        <v>46195</v>
      </c>
      <c r="B247" s="11" t="s">
        <v>134</v>
      </c>
      <c r="C247" s="36"/>
      <c r="D247" s="39">
        <v>200000000</v>
      </c>
      <c r="E247" s="37">
        <f t="shared" si="3"/>
        <v>11465979</v>
      </c>
      <c r="F247" s="11">
        <v>5822120</v>
      </c>
      <c r="G247" s="38" t="s">
        <v>30</v>
      </c>
      <c r="H247" s="38" t="s">
        <v>134</v>
      </c>
    </row>
    <row r="248" spans="1:8" s="12" customFormat="1" x14ac:dyDescent="0.35">
      <c r="A248" s="35">
        <v>46196</v>
      </c>
      <c r="B248" s="11" t="s">
        <v>46</v>
      </c>
      <c r="C248" s="36">
        <v>80830144</v>
      </c>
      <c r="D248" s="39"/>
      <c r="E248" s="37">
        <f t="shared" si="3"/>
        <v>92296123</v>
      </c>
      <c r="F248" s="11"/>
      <c r="G248" s="38" t="s">
        <v>281</v>
      </c>
      <c r="H248" s="11" t="s">
        <v>214</v>
      </c>
    </row>
    <row r="249" spans="1:8" s="12" customFormat="1" x14ac:dyDescent="0.35">
      <c r="A249" s="35">
        <v>46196</v>
      </c>
      <c r="B249" s="11" t="s">
        <v>7</v>
      </c>
      <c r="C249" s="36"/>
      <c r="D249" s="39">
        <v>8989206</v>
      </c>
      <c r="E249" s="37">
        <f t="shared" si="3"/>
        <v>83306917</v>
      </c>
      <c r="F249" s="11"/>
      <c r="G249" s="11" t="s">
        <v>279</v>
      </c>
      <c r="H249" s="38" t="s">
        <v>216</v>
      </c>
    </row>
    <row r="250" spans="1:8" s="12" customFormat="1" x14ac:dyDescent="0.35">
      <c r="A250" s="35">
        <v>46198</v>
      </c>
      <c r="B250" s="11" t="s">
        <v>7</v>
      </c>
      <c r="C250" s="36"/>
      <c r="D250" s="39">
        <v>157500</v>
      </c>
      <c r="E250" s="37">
        <f t="shared" si="3"/>
        <v>83149417</v>
      </c>
      <c r="F250" s="11"/>
      <c r="G250" s="11" t="s">
        <v>307</v>
      </c>
      <c r="H250" s="38" t="s">
        <v>216</v>
      </c>
    </row>
    <row r="251" spans="1:8" s="12" customFormat="1" x14ac:dyDescent="0.35">
      <c r="A251" s="35">
        <v>46198</v>
      </c>
      <c r="B251" s="11" t="s">
        <v>123</v>
      </c>
      <c r="C251" s="57"/>
      <c r="D251" s="36">
        <v>33000</v>
      </c>
      <c r="E251" s="37">
        <f t="shared" si="3"/>
        <v>83116417</v>
      </c>
      <c r="F251" s="11"/>
      <c r="G251" s="38" t="s">
        <v>123</v>
      </c>
      <c r="H251" s="38" t="s">
        <v>123</v>
      </c>
    </row>
    <row r="252" spans="1:8" s="12" customFormat="1" x14ac:dyDescent="0.35">
      <c r="A252" s="35">
        <v>46203</v>
      </c>
      <c r="B252" s="11" t="s">
        <v>7</v>
      </c>
      <c r="C252" s="36"/>
      <c r="D252" s="36">
        <v>8801525</v>
      </c>
      <c r="E252" s="37">
        <f t="shared" si="3"/>
        <v>74314892</v>
      </c>
      <c r="F252" s="11"/>
      <c r="G252" s="11" t="s">
        <v>275</v>
      </c>
      <c r="H252" s="38" t="s">
        <v>216</v>
      </c>
    </row>
    <row r="253" spans="1:8" s="12" customFormat="1" x14ac:dyDescent="0.35">
      <c r="A253" s="35">
        <v>46203</v>
      </c>
      <c r="B253" s="11" t="s">
        <v>7</v>
      </c>
      <c r="C253" s="36"/>
      <c r="D253" s="36">
        <v>1805370</v>
      </c>
      <c r="E253" s="37">
        <f t="shared" si="3"/>
        <v>72509522</v>
      </c>
      <c r="F253" s="11"/>
      <c r="G253" s="11" t="s">
        <v>276</v>
      </c>
      <c r="H253" s="38" t="s">
        <v>216</v>
      </c>
    </row>
    <row r="254" spans="1:8" s="12" customFormat="1" x14ac:dyDescent="0.35">
      <c r="A254" s="77">
        <v>46203</v>
      </c>
      <c r="B254" s="78" t="s">
        <v>282</v>
      </c>
      <c r="C254" s="88"/>
      <c r="D254" s="88">
        <v>9012200</v>
      </c>
      <c r="E254" s="37">
        <f t="shared" si="3"/>
        <v>63497322</v>
      </c>
      <c r="F254" s="78">
        <v>5822121</v>
      </c>
      <c r="G254" s="78" t="s">
        <v>283</v>
      </c>
      <c r="H254" s="81" t="s">
        <v>230</v>
      </c>
    </row>
    <row r="255" spans="1:8" s="12" customFormat="1" x14ac:dyDescent="0.35">
      <c r="A255" s="35">
        <v>46204</v>
      </c>
      <c r="B255" s="11" t="s">
        <v>7</v>
      </c>
      <c r="C255" s="88"/>
      <c r="D255" s="88">
        <v>118125</v>
      </c>
      <c r="E255" s="37">
        <f t="shared" si="3"/>
        <v>63379197</v>
      </c>
      <c r="F255" s="78"/>
      <c r="G255" s="78" t="s">
        <v>306</v>
      </c>
      <c r="H255" s="81" t="s">
        <v>216</v>
      </c>
    </row>
    <row r="256" spans="1:8" s="12" customFormat="1" x14ac:dyDescent="0.35">
      <c r="A256" s="35">
        <v>46204</v>
      </c>
      <c r="B256" s="11" t="s">
        <v>284</v>
      </c>
      <c r="C256" s="36"/>
      <c r="D256" s="36">
        <v>7000000</v>
      </c>
      <c r="E256" s="37">
        <f t="shared" si="3"/>
        <v>56379197</v>
      </c>
      <c r="F256" s="11">
        <v>5822122</v>
      </c>
      <c r="G256" s="11" t="s">
        <v>285</v>
      </c>
      <c r="H256" s="38" t="s">
        <v>217</v>
      </c>
    </row>
    <row r="257" spans="1:8" s="12" customFormat="1" x14ac:dyDescent="0.35">
      <c r="A257" s="35">
        <v>46204</v>
      </c>
      <c r="B257" s="11" t="s">
        <v>7</v>
      </c>
      <c r="C257" s="36"/>
      <c r="D257" s="39">
        <v>8579852</v>
      </c>
      <c r="E257" s="37">
        <f t="shared" si="3"/>
        <v>47799345</v>
      </c>
      <c r="F257" s="11"/>
      <c r="G257" s="38" t="s">
        <v>280</v>
      </c>
      <c r="H257" s="38" t="s">
        <v>216</v>
      </c>
    </row>
    <row r="258" spans="1:8" s="12" customFormat="1" x14ac:dyDescent="0.35">
      <c r="A258" s="35">
        <v>46205</v>
      </c>
      <c r="B258" s="11" t="s">
        <v>7</v>
      </c>
      <c r="C258" s="36"/>
      <c r="D258" s="39">
        <v>183750</v>
      </c>
      <c r="E258" s="37">
        <f t="shared" si="3"/>
        <v>47615595</v>
      </c>
      <c r="F258" s="11"/>
      <c r="G258" s="38" t="s">
        <v>278</v>
      </c>
      <c r="H258" s="38" t="s">
        <v>216</v>
      </c>
    </row>
    <row r="259" spans="1:8" s="12" customFormat="1" x14ac:dyDescent="0.35">
      <c r="A259" s="35">
        <v>46205</v>
      </c>
      <c r="B259" s="11" t="s">
        <v>7</v>
      </c>
      <c r="C259" s="36"/>
      <c r="D259" s="39">
        <v>26250</v>
      </c>
      <c r="E259" s="37">
        <f t="shared" si="3"/>
        <v>47589345</v>
      </c>
      <c r="F259" s="11"/>
      <c r="G259" s="38" t="s">
        <v>277</v>
      </c>
      <c r="H259" s="38" t="s">
        <v>216</v>
      </c>
    </row>
    <row r="260" spans="1:8" s="12" customFormat="1" x14ac:dyDescent="0.35">
      <c r="A260" s="35">
        <v>46206</v>
      </c>
      <c r="B260" s="11" t="s">
        <v>291</v>
      </c>
      <c r="C260" s="39">
        <v>81421288</v>
      </c>
      <c r="D260" s="39"/>
      <c r="E260" s="37">
        <f t="shared" si="3"/>
        <v>129010633</v>
      </c>
      <c r="F260" s="11"/>
      <c r="G260" s="11" t="s">
        <v>286</v>
      </c>
      <c r="H260" s="11" t="s">
        <v>288</v>
      </c>
    </row>
    <row r="261" spans="1:8" s="12" customFormat="1" x14ac:dyDescent="0.35">
      <c r="A261" s="35">
        <v>46206</v>
      </c>
      <c r="B261" s="11" t="s">
        <v>292</v>
      </c>
      <c r="C261" s="39">
        <v>78378886</v>
      </c>
      <c r="D261" s="39"/>
      <c r="E261" s="37">
        <f t="shared" ref="E261:E302" si="4">E260+C261-D261</f>
        <v>207389519</v>
      </c>
      <c r="F261" s="11"/>
      <c r="G261" s="11" t="s">
        <v>287</v>
      </c>
      <c r="H261" s="11" t="s">
        <v>288</v>
      </c>
    </row>
    <row r="262" spans="1:8" s="12" customFormat="1" x14ac:dyDescent="0.35">
      <c r="A262" s="35">
        <v>46206</v>
      </c>
      <c r="B262" s="11" t="s">
        <v>7</v>
      </c>
      <c r="C262" s="36"/>
      <c r="D262" s="36">
        <v>183750</v>
      </c>
      <c r="E262" s="37">
        <f t="shared" si="4"/>
        <v>207205769</v>
      </c>
      <c r="F262" s="11"/>
      <c r="G262" s="11" t="s">
        <v>289</v>
      </c>
      <c r="H262" s="38" t="s">
        <v>216</v>
      </c>
    </row>
    <row r="263" spans="1:8" s="12" customFormat="1" x14ac:dyDescent="0.35">
      <c r="A263" s="35">
        <v>46206</v>
      </c>
      <c r="B263" s="11" t="s">
        <v>7</v>
      </c>
      <c r="C263" s="36"/>
      <c r="D263" s="36">
        <v>210000</v>
      </c>
      <c r="E263" s="37">
        <f t="shared" si="4"/>
        <v>206995769</v>
      </c>
      <c r="F263" s="11"/>
      <c r="G263" s="11" t="s">
        <v>290</v>
      </c>
      <c r="H263" s="38" t="s">
        <v>216</v>
      </c>
    </row>
    <row r="264" spans="1:8" s="12" customFormat="1" x14ac:dyDescent="0.35">
      <c r="A264" s="35">
        <v>46206</v>
      </c>
      <c r="B264" s="11" t="s">
        <v>134</v>
      </c>
      <c r="C264" s="36"/>
      <c r="D264" s="36">
        <v>20000000</v>
      </c>
      <c r="E264" s="37">
        <f t="shared" si="4"/>
        <v>186995769</v>
      </c>
      <c r="F264" s="11"/>
      <c r="G264" s="11" t="s">
        <v>30</v>
      </c>
      <c r="H264" s="38" t="s">
        <v>134</v>
      </c>
    </row>
    <row r="265" spans="1:8" s="12" customFormat="1" x14ac:dyDescent="0.35">
      <c r="A265" s="35">
        <v>46206</v>
      </c>
      <c r="B265" s="11" t="s">
        <v>134</v>
      </c>
      <c r="C265" s="36"/>
      <c r="D265" s="39">
        <v>130000000</v>
      </c>
      <c r="E265" s="37">
        <f t="shared" si="4"/>
        <v>56995769</v>
      </c>
      <c r="F265" s="11"/>
      <c r="G265" s="11" t="s">
        <v>30</v>
      </c>
      <c r="H265" s="38" t="s">
        <v>134</v>
      </c>
    </row>
    <row r="266" spans="1:8" s="12" customFormat="1" x14ac:dyDescent="0.35">
      <c r="A266" s="35">
        <v>46206</v>
      </c>
      <c r="B266" s="11" t="s">
        <v>134</v>
      </c>
      <c r="C266" s="36"/>
      <c r="D266" s="39">
        <v>12000000</v>
      </c>
      <c r="E266" s="37">
        <f t="shared" si="4"/>
        <v>44995769</v>
      </c>
      <c r="F266" s="11"/>
      <c r="G266" s="11" t="s">
        <v>30</v>
      </c>
      <c r="H266" s="38" t="s">
        <v>134</v>
      </c>
    </row>
    <row r="267" spans="1:8" s="12" customFormat="1" x14ac:dyDescent="0.35">
      <c r="A267" s="35">
        <v>46207</v>
      </c>
      <c r="B267" s="11" t="s">
        <v>86</v>
      </c>
      <c r="C267" s="36"/>
      <c r="D267" s="39">
        <v>9000000</v>
      </c>
      <c r="E267" s="37">
        <f t="shared" si="4"/>
        <v>35995769</v>
      </c>
      <c r="F267" s="11"/>
      <c r="G267" s="11" t="s">
        <v>293</v>
      </c>
      <c r="H267" s="38" t="s">
        <v>217</v>
      </c>
    </row>
    <row r="268" spans="1:8" s="12" customFormat="1" x14ac:dyDescent="0.35">
      <c r="A268" s="35">
        <v>46209</v>
      </c>
      <c r="B268" s="11" t="s">
        <v>123</v>
      </c>
      <c r="C268" s="57"/>
      <c r="D268" s="36">
        <v>33000</v>
      </c>
      <c r="E268" s="37">
        <f t="shared" si="4"/>
        <v>35962769</v>
      </c>
      <c r="F268" s="11"/>
      <c r="G268" s="38" t="s">
        <v>123</v>
      </c>
      <c r="H268" s="38" t="s">
        <v>123</v>
      </c>
    </row>
    <row r="269" spans="1:8" s="12" customFormat="1" x14ac:dyDescent="0.35">
      <c r="A269" s="35">
        <v>46209</v>
      </c>
      <c r="B269" s="11" t="s">
        <v>123</v>
      </c>
      <c r="C269" s="57"/>
      <c r="D269" s="36">
        <v>33000</v>
      </c>
      <c r="E269" s="37">
        <f t="shared" si="4"/>
        <v>35929769</v>
      </c>
      <c r="F269" s="11"/>
      <c r="G269" s="38" t="s">
        <v>123</v>
      </c>
      <c r="H269" s="38" t="s">
        <v>123</v>
      </c>
    </row>
    <row r="270" spans="1:8" s="12" customFormat="1" x14ac:dyDescent="0.35">
      <c r="A270" s="35">
        <v>46210</v>
      </c>
      <c r="B270" s="11" t="s">
        <v>78</v>
      </c>
      <c r="C270" s="57"/>
      <c r="D270" s="36">
        <v>2471134</v>
      </c>
      <c r="E270" s="37">
        <f t="shared" si="4"/>
        <v>33458635</v>
      </c>
      <c r="F270" s="11">
        <v>5822128</v>
      </c>
      <c r="G270" s="38" t="s">
        <v>110</v>
      </c>
      <c r="H270" s="11" t="s">
        <v>229</v>
      </c>
    </row>
    <row r="271" spans="1:8" s="12" customFormat="1" x14ac:dyDescent="0.35">
      <c r="A271" s="35">
        <v>46211</v>
      </c>
      <c r="B271" s="11" t="s">
        <v>7</v>
      </c>
      <c r="C271" s="57"/>
      <c r="D271" s="36">
        <v>8758301</v>
      </c>
      <c r="E271" s="37">
        <f t="shared" si="4"/>
        <v>24700334</v>
      </c>
      <c r="F271" s="11"/>
      <c r="G271" s="38" t="s">
        <v>301</v>
      </c>
      <c r="H271" s="11" t="s">
        <v>216</v>
      </c>
    </row>
    <row r="272" spans="1:8" s="12" customFormat="1" x14ac:dyDescent="0.35">
      <c r="A272" s="35">
        <v>46211</v>
      </c>
      <c r="B272" s="11" t="s">
        <v>7</v>
      </c>
      <c r="C272" s="57"/>
      <c r="D272" s="36">
        <v>1651157</v>
      </c>
      <c r="E272" s="37">
        <f t="shared" si="4"/>
        <v>23049177</v>
      </c>
      <c r="F272" s="11"/>
      <c r="G272" s="38" t="s">
        <v>302</v>
      </c>
      <c r="H272" s="11" t="s">
        <v>216</v>
      </c>
    </row>
    <row r="273" spans="1:8" s="12" customFormat="1" x14ac:dyDescent="0.35">
      <c r="A273" s="35">
        <v>46212</v>
      </c>
      <c r="B273" s="11" t="s">
        <v>134</v>
      </c>
      <c r="C273" s="36">
        <v>30000000</v>
      </c>
      <c r="D273" s="36"/>
      <c r="E273" s="37">
        <f t="shared" si="4"/>
        <v>53049177</v>
      </c>
      <c r="F273" s="11"/>
      <c r="G273" s="11" t="s">
        <v>295</v>
      </c>
      <c r="H273" s="38" t="s">
        <v>226</v>
      </c>
    </row>
    <row r="274" spans="1:8" s="12" customFormat="1" x14ac:dyDescent="0.35">
      <c r="A274" s="82">
        <v>46212</v>
      </c>
      <c r="B274" s="83" t="s">
        <v>94</v>
      </c>
      <c r="C274" s="84"/>
      <c r="D274" s="85">
        <v>60000</v>
      </c>
      <c r="E274" s="86">
        <f t="shared" si="4"/>
        <v>52989177</v>
      </c>
      <c r="F274" s="83"/>
      <c r="G274" s="87"/>
      <c r="H274" s="83" t="s">
        <v>94</v>
      </c>
    </row>
    <row r="275" spans="1:8" s="12" customFormat="1" x14ac:dyDescent="0.35">
      <c r="A275" s="35">
        <v>46212</v>
      </c>
      <c r="B275" s="11" t="s">
        <v>130</v>
      </c>
      <c r="C275" s="36"/>
      <c r="D275" s="36">
        <v>465600</v>
      </c>
      <c r="E275" s="37">
        <f t="shared" si="4"/>
        <v>52523577</v>
      </c>
      <c r="F275" s="11">
        <v>5822131</v>
      </c>
      <c r="G275" s="11" t="s">
        <v>294</v>
      </c>
      <c r="H275" s="38" t="s">
        <v>260</v>
      </c>
    </row>
    <row r="276" spans="1:8" s="12" customFormat="1" x14ac:dyDescent="0.35">
      <c r="A276" s="35">
        <v>46212</v>
      </c>
      <c r="B276" s="11" t="s">
        <v>296</v>
      </c>
      <c r="C276" s="36"/>
      <c r="D276" s="36">
        <v>2381000</v>
      </c>
      <c r="E276" s="37">
        <f t="shared" si="4"/>
        <v>50142577</v>
      </c>
      <c r="F276" s="11">
        <v>5822133</v>
      </c>
      <c r="G276" s="11" t="s">
        <v>298</v>
      </c>
      <c r="H276" s="38" t="s">
        <v>230</v>
      </c>
    </row>
    <row r="277" spans="1:8" s="12" customFormat="1" x14ac:dyDescent="0.35">
      <c r="A277" s="35">
        <v>46213</v>
      </c>
      <c r="B277" s="11" t="s">
        <v>334</v>
      </c>
      <c r="C277" s="36"/>
      <c r="D277" s="36">
        <v>2869997</v>
      </c>
      <c r="E277" s="37">
        <f t="shared" si="4"/>
        <v>47272580</v>
      </c>
      <c r="F277" s="11">
        <v>5822129</v>
      </c>
      <c r="G277" s="11" t="s">
        <v>335</v>
      </c>
      <c r="H277" s="38" t="s">
        <v>217</v>
      </c>
    </row>
    <row r="278" spans="1:8" s="12" customFormat="1" x14ac:dyDescent="0.35">
      <c r="A278" s="35">
        <v>46213</v>
      </c>
      <c r="B278" s="11" t="s">
        <v>297</v>
      </c>
      <c r="C278" s="36"/>
      <c r="D278" s="36">
        <v>349200</v>
      </c>
      <c r="E278" s="37">
        <f t="shared" si="4"/>
        <v>46923380</v>
      </c>
      <c r="F278" s="11">
        <v>5822134</v>
      </c>
      <c r="G278" s="11" t="s">
        <v>8</v>
      </c>
      <c r="H278" s="38" t="s">
        <v>230</v>
      </c>
    </row>
    <row r="279" spans="1:8" s="12" customFormat="1" x14ac:dyDescent="0.35">
      <c r="A279" s="35">
        <v>46212</v>
      </c>
      <c r="B279" s="11" t="s">
        <v>299</v>
      </c>
      <c r="C279" s="36"/>
      <c r="D279" s="36">
        <v>4383739</v>
      </c>
      <c r="E279" s="37">
        <f t="shared" si="4"/>
        <v>42539641</v>
      </c>
      <c r="F279" s="11">
        <v>5822132</v>
      </c>
      <c r="G279" s="11" t="s">
        <v>300</v>
      </c>
      <c r="H279" s="38" t="s">
        <v>230</v>
      </c>
    </row>
    <row r="280" spans="1:8" s="12" customFormat="1" x14ac:dyDescent="0.35">
      <c r="A280" s="35">
        <v>46213</v>
      </c>
      <c r="B280" s="11" t="s">
        <v>303</v>
      </c>
      <c r="C280" s="36"/>
      <c r="D280" s="36">
        <v>13767100</v>
      </c>
      <c r="E280" s="37">
        <f t="shared" si="4"/>
        <v>28772541</v>
      </c>
      <c r="F280" s="11">
        <v>5822135</v>
      </c>
      <c r="G280" s="11" t="s">
        <v>304</v>
      </c>
      <c r="H280" s="95" t="s">
        <v>305</v>
      </c>
    </row>
    <row r="281" spans="1:8" s="12" customFormat="1" x14ac:dyDescent="0.35">
      <c r="A281" s="35">
        <v>46216</v>
      </c>
      <c r="B281" s="11" t="s">
        <v>336</v>
      </c>
      <c r="C281" s="36"/>
      <c r="D281" s="36">
        <v>2995539</v>
      </c>
      <c r="E281" s="37">
        <f t="shared" si="4"/>
        <v>25777002</v>
      </c>
      <c r="F281" s="11">
        <v>5822130</v>
      </c>
      <c r="G281" s="11" t="s">
        <v>337</v>
      </c>
      <c r="H281" s="38" t="s">
        <v>230</v>
      </c>
    </row>
    <row r="282" spans="1:8" s="12" customFormat="1" x14ac:dyDescent="0.35">
      <c r="A282" s="35">
        <v>46216</v>
      </c>
      <c r="B282" s="11" t="s">
        <v>7</v>
      </c>
      <c r="C282" s="36"/>
      <c r="D282" s="36">
        <v>8557537</v>
      </c>
      <c r="E282" s="37">
        <f t="shared" si="4"/>
        <v>17219465</v>
      </c>
      <c r="F282" s="11"/>
      <c r="G282" s="11" t="s">
        <v>312</v>
      </c>
      <c r="H282" s="11" t="s">
        <v>216</v>
      </c>
    </row>
    <row r="283" spans="1:8" s="12" customFormat="1" x14ac:dyDescent="0.35">
      <c r="A283" s="35">
        <v>46216</v>
      </c>
      <c r="B283" s="11" t="s">
        <v>313</v>
      </c>
      <c r="C283" s="36"/>
      <c r="D283" s="39">
        <v>1200000</v>
      </c>
      <c r="E283" s="37">
        <f t="shared" si="4"/>
        <v>16019465</v>
      </c>
      <c r="F283" s="11">
        <v>5822136</v>
      </c>
      <c r="G283" s="11" t="s">
        <v>314</v>
      </c>
      <c r="H283" s="38" t="s">
        <v>212</v>
      </c>
    </row>
    <row r="284" spans="1:8" s="12" customFormat="1" x14ac:dyDescent="0.35">
      <c r="A284" s="35">
        <v>46216</v>
      </c>
      <c r="B284" s="11" t="s">
        <v>134</v>
      </c>
      <c r="C284" s="36">
        <v>30000000</v>
      </c>
      <c r="D284" s="11"/>
      <c r="E284" s="37">
        <f t="shared" si="4"/>
        <v>46019465</v>
      </c>
      <c r="F284" s="11"/>
      <c r="G284" s="11" t="s">
        <v>295</v>
      </c>
      <c r="H284" s="38" t="s">
        <v>226</v>
      </c>
    </row>
    <row r="285" spans="1:8" s="12" customFormat="1" x14ac:dyDescent="0.35">
      <c r="A285" s="35">
        <v>46216</v>
      </c>
      <c r="B285" s="11" t="s">
        <v>7</v>
      </c>
      <c r="C285" s="36"/>
      <c r="D285" s="36">
        <v>8516576</v>
      </c>
      <c r="E285" s="37">
        <f t="shared" si="4"/>
        <v>37502889</v>
      </c>
      <c r="F285" s="11"/>
      <c r="G285" s="11" t="s">
        <v>317</v>
      </c>
      <c r="H285" s="38" t="s">
        <v>216</v>
      </c>
    </row>
    <row r="286" spans="1:8" s="12" customFormat="1" x14ac:dyDescent="0.35">
      <c r="A286" s="35">
        <v>46217</v>
      </c>
      <c r="B286" s="11" t="s">
        <v>315</v>
      </c>
      <c r="C286" s="36"/>
      <c r="D286" s="39">
        <v>700000</v>
      </c>
      <c r="E286" s="37">
        <f t="shared" si="4"/>
        <v>36802889</v>
      </c>
      <c r="F286" s="11">
        <v>5822137</v>
      </c>
      <c r="G286" s="11" t="s">
        <v>316</v>
      </c>
      <c r="H286" s="38" t="s">
        <v>230</v>
      </c>
    </row>
    <row r="287" spans="1:8" s="12" customFormat="1" x14ac:dyDescent="0.35">
      <c r="A287" s="35">
        <v>46218</v>
      </c>
      <c r="B287" s="11" t="s">
        <v>7</v>
      </c>
      <c r="C287" s="36"/>
      <c r="D287" s="36">
        <v>1604892</v>
      </c>
      <c r="E287" s="37">
        <f t="shared" si="4"/>
        <v>35197997</v>
      </c>
      <c r="F287" s="11"/>
      <c r="G287" s="11" t="s">
        <v>318</v>
      </c>
      <c r="H287" s="38" t="s">
        <v>216</v>
      </c>
    </row>
    <row r="288" spans="1:8" s="12" customFormat="1" x14ac:dyDescent="0.35">
      <c r="A288" s="35">
        <v>46219</v>
      </c>
      <c r="B288" s="11" t="s">
        <v>7</v>
      </c>
      <c r="C288" s="36"/>
      <c r="D288" s="39">
        <v>131250</v>
      </c>
      <c r="E288" s="37">
        <f t="shared" si="4"/>
        <v>35066747</v>
      </c>
      <c r="F288" s="11"/>
      <c r="G288" s="11" t="s">
        <v>319</v>
      </c>
      <c r="H288" s="38" t="s">
        <v>216</v>
      </c>
    </row>
    <row r="289" spans="1:8" s="12" customFormat="1" x14ac:dyDescent="0.35">
      <c r="A289" s="35">
        <v>46219</v>
      </c>
      <c r="B289" s="11" t="s">
        <v>7</v>
      </c>
      <c r="C289" s="36"/>
      <c r="D289" s="39">
        <v>52500</v>
      </c>
      <c r="E289" s="37">
        <f t="shared" si="4"/>
        <v>35014247</v>
      </c>
      <c r="F289" s="11"/>
      <c r="G289" s="11" t="s">
        <v>320</v>
      </c>
      <c r="H289" s="38" t="s">
        <v>216</v>
      </c>
    </row>
    <row r="290" spans="1:8" s="12" customFormat="1" x14ac:dyDescent="0.35">
      <c r="A290" s="35">
        <v>46219</v>
      </c>
      <c r="B290" s="11" t="s">
        <v>7</v>
      </c>
      <c r="C290" s="36"/>
      <c r="D290" s="36">
        <v>933439</v>
      </c>
      <c r="E290" s="37">
        <f t="shared" si="4"/>
        <v>34080808</v>
      </c>
      <c r="F290" s="11"/>
      <c r="G290" s="11" t="s">
        <v>324</v>
      </c>
      <c r="H290" s="38" t="s">
        <v>216</v>
      </c>
    </row>
    <row r="291" spans="1:8" s="12" customFormat="1" x14ac:dyDescent="0.35">
      <c r="A291" s="35">
        <v>46223</v>
      </c>
      <c r="B291" s="11" t="s">
        <v>7</v>
      </c>
      <c r="C291" s="36"/>
      <c r="D291" s="36">
        <v>8572859</v>
      </c>
      <c r="E291" s="37">
        <f t="shared" si="4"/>
        <v>25507949</v>
      </c>
      <c r="F291" s="11"/>
      <c r="G291" s="11" t="s">
        <v>321</v>
      </c>
      <c r="H291" s="38" t="s">
        <v>216</v>
      </c>
    </row>
    <row r="292" spans="1:8" s="12" customFormat="1" x14ac:dyDescent="0.35">
      <c r="A292" s="35">
        <v>46225</v>
      </c>
      <c r="B292" s="11" t="s">
        <v>7</v>
      </c>
      <c r="C292" s="36"/>
      <c r="D292" s="36">
        <v>8725157</v>
      </c>
      <c r="E292" s="37">
        <f t="shared" si="4"/>
        <v>16782792</v>
      </c>
      <c r="F292" s="11"/>
      <c r="G292" s="11" t="s">
        <v>322</v>
      </c>
      <c r="H292" s="38" t="s">
        <v>216</v>
      </c>
    </row>
    <row r="293" spans="1:8" s="12" customFormat="1" x14ac:dyDescent="0.35">
      <c r="A293" s="35">
        <v>46225</v>
      </c>
      <c r="B293" s="11" t="s">
        <v>7</v>
      </c>
      <c r="C293" s="36"/>
      <c r="D293" s="36">
        <v>8534382</v>
      </c>
      <c r="E293" s="37">
        <f t="shared" si="4"/>
        <v>8248410</v>
      </c>
      <c r="F293" s="11"/>
      <c r="G293" s="11" t="s">
        <v>323</v>
      </c>
      <c r="H293" s="38" t="s">
        <v>216</v>
      </c>
    </row>
    <row r="294" spans="1:8" s="12" customFormat="1" x14ac:dyDescent="0.35">
      <c r="A294" s="35">
        <v>46225</v>
      </c>
      <c r="B294" s="11" t="s">
        <v>7</v>
      </c>
      <c r="C294" s="36"/>
      <c r="D294" s="36">
        <v>1374967</v>
      </c>
      <c r="E294" s="37">
        <f t="shared" si="4"/>
        <v>6873443</v>
      </c>
      <c r="F294" s="11"/>
      <c r="G294" s="11" t="s">
        <v>325</v>
      </c>
      <c r="H294" s="38" t="s">
        <v>216</v>
      </c>
    </row>
    <row r="295" spans="1:8" s="12" customFormat="1" x14ac:dyDescent="0.35">
      <c r="A295" s="35">
        <v>46233</v>
      </c>
      <c r="B295" s="11" t="s">
        <v>61</v>
      </c>
      <c r="C295" s="36">
        <v>2500000</v>
      </c>
      <c r="D295" s="11"/>
      <c r="E295" s="37">
        <f t="shared" si="4"/>
        <v>9373443</v>
      </c>
      <c r="F295" s="11"/>
      <c r="G295" s="11"/>
      <c r="H295" s="11" t="s">
        <v>226</v>
      </c>
    </row>
    <row r="296" spans="1:8" s="12" customFormat="1" x14ac:dyDescent="0.35">
      <c r="A296" s="35">
        <v>46233</v>
      </c>
      <c r="B296" s="11" t="s">
        <v>7</v>
      </c>
      <c r="C296" s="36"/>
      <c r="D296" s="11">
        <v>8357136</v>
      </c>
      <c r="E296" s="37">
        <f t="shared" si="4"/>
        <v>1016307</v>
      </c>
      <c r="F296" s="11"/>
      <c r="G296" s="11" t="s">
        <v>326</v>
      </c>
      <c r="H296" s="11" t="s">
        <v>216</v>
      </c>
    </row>
    <row r="297" spans="1:8" s="12" customFormat="1" x14ac:dyDescent="0.35">
      <c r="A297" s="35">
        <v>46233</v>
      </c>
      <c r="B297" s="11" t="s">
        <v>7</v>
      </c>
      <c r="C297" s="36"/>
      <c r="D297" s="11">
        <v>183750</v>
      </c>
      <c r="E297" s="37">
        <f t="shared" si="4"/>
        <v>832557</v>
      </c>
      <c r="F297" s="11"/>
      <c r="G297" s="11" t="s">
        <v>328</v>
      </c>
      <c r="H297" s="11" t="s">
        <v>216</v>
      </c>
    </row>
    <row r="298" spans="1:8" s="12" customFormat="1" x14ac:dyDescent="0.35">
      <c r="A298" s="35">
        <v>46233</v>
      </c>
      <c r="B298" s="11" t="s">
        <v>7</v>
      </c>
      <c r="C298" s="36"/>
      <c r="D298" s="11">
        <v>105000</v>
      </c>
      <c r="E298" s="37">
        <f t="shared" si="4"/>
        <v>727557</v>
      </c>
      <c r="F298" s="11"/>
      <c r="G298" s="11" t="s">
        <v>329</v>
      </c>
      <c r="H298" s="11" t="s">
        <v>216</v>
      </c>
    </row>
    <row r="299" spans="1:8" s="12" customFormat="1" x14ac:dyDescent="0.35">
      <c r="A299" s="35">
        <v>46233</v>
      </c>
      <c r="B299" s="11" t="s">
        <v>7</v>
      </c>
      <c r="C299" s="36"/>
      <c r="D299" s="11">
        <v>78750</v>
      </c>
      <c r="E299" s="37">
        <f t="shared" si="4"/>
        <v>648807</v>
      </c>
      <c r="F299" s="11"/>
      <c r="G299" s="11" t="s">
        <v>330</v>
      </c>
      <c r="H299" s="11" t="s">
        <v>216</v>
      </c>
    </row>
    <row r="300" spans="1:8" s="12" customFormat="1" x14ac:dyDescent="0.35">
      <c r="A300" s="35">
        <v>46234</v>
      </c>
      <c r="B300" s="11" t="s">
        <v>7</v>
      </c>
      <c r="C300" s="36"/>
      <c r="D300" s="11">
        <v>131250</v>
      </c>
      <c r="E300" s="37">
        <f t="shared" si="4"/>
        <v>517557</v>
      </c>
      <c r="F300" s="11"/>
      <c r="G300" s="11" t="s">
        <v>331</v>
      </c>
      <c r="H300" s="11" t="s">
        <v>216</v>
      </c>
    </row>
    <row r="301" spans="1:8" s="12" customFormat="1" x14ac:dyDescent="0.35">
      <c r="A301" s="82">
        <v>46234</v>
      </c>
      <c r="B301" s="83" t="s">
        <v>332</v>
      </c>
      <c r="C301" s="85">
        <v>500000</v>
      </c>
      <c r="D301" s="83"/>
      <c r="E301" s="86">
        <f t="shared" si="4"/>
        <v>1017557</v>
      </c>
      <c r="F301" s="83"/>
      <c r="G301" s="83"/>
      <c r="H301" s="83" t="s">
        <v>226</v>
      </c>
    </row>
    <row r="302" spans="1:8" s="12" customFormat="1" x14ac:dyDescent="0.35">
      <c r="A302" s="35">
        <v>46238</v>
      </c>
      <c r="B302" s="11" t="s">
        <v>333</v>
      </c>
      <c r="C302" s="36">
        <v>1200000</v>
      </c>
      <c r="D302" s="36"/>
      <c r="E302" s="37">
        <f t="shared" si="4"/>
        <v>2217557</v>
      </c>
      <c r="F302" s="11"/>
      <c r="G302" s="11"/>
      <c r="H302" s="11" t="s">
        <v>226</v>
      </c>
    </row>
    <row r="303" spans="1:8" s="12" customFormat="1" x14ac:dyDescent="0.35">
      <c r="A303" s="35">
        <v>46244</v>
      </c>
      <c r="B303" s="11" t="s">
        <v>333</v>
      </c>
      <c r="C303" s="36">
        <v>1500000</v>
      </c>
      <c r="D303" s="36"/>
      <c r="E303" s="37">
        <f t="shared" ref="E303:E374" si="5">E302+C303-D303</f>
        <v>3717557</v>
      </c>
      <c r="F303" s="11"/>
      <c r="G303" s="11"/>
      <c r="H303" s="11" t="s">
        <v>226</v>
      </c>
    </row>
    <row r="304" spans="1:8" s="12" customFormat="1" x14ac:dyDescent="0.35">
      <c r="A304" s="35">
        <v>46245</v>
      </c>
      <c r="B304" s="11" t="s">
        <v>94</v>
      </c>
      <c r="C304" s="36"/>
      <c r="D304" s="36">
        <v>1442854</v>
      </c>
      <c r="E304" s="37">
        <f t="shared" si="5"/>
        <v>2274703</v>
      </c>
      <c r="F304" s="11"/>
      <c r="G304" s="11"/>
      <c r="H304" s="11" t="s">
        <v>94</v>
      </c>
    </row>
    <row r="305" spans="1:8" s="12" customFormat="1" x14ac:dyDescent="0.35">
      <c r="A305" s="35">
        <v>46246</v>
      </c>
      <c r="B305" s="11" t="s">
        <v>356</v>
      </c>
      <c r="C305" s="36">
        <v>17063900</v>
      </c>
      <c r="D305" s="36"/>
      <c r="E305" s="37">
        <f t="shared" si="5"/>
        <v>19338603</v>
      </c>
      <c r="F305" s="11"/>
      <c r="G305" s="11"/>
      <c r="H305" s="11" t="s">
        <v>226</v>
      </c>
    </row>
    <row r="306" spans="1:8" s="12" customFormat="1" x14ac:dyDescent="0.35">
      <c r="A306" s="35">
        <v>46247</v>
      </c>
      <c r="B306" s="11" t="s">
        <v>345</v>
      </c>
      <c r="C306" s="39">
        <v>45616720</v>
      </c>
      <c r="D306" s="39"/>
      <c r="E306" s="37">
        <f t="shared" si="5"/>
        <v>64955323</v>
      </c>
      <c r="F306" s="11"/>
      <c r="G306" s="11" t="s">
        <v>351</v>
      </c>
      <c r="H306" s="11" t="s">
        <v>235</v>
      </c>
    </row>
    <row r="307" spans="1:8" s="12" customFormat="1" x14ac:dyDescent="0.35">
      <c r="A307" s="35">
        <v>46246</v>
      </c>
      <c r="B307" s="11" t="s">
        <v>297</v>
      </c>
      <c r="C307" s="36"/>
      <c r="D307" s="36">
        <v>338400</v>
      </c>
      <c r="E307" s="37">
        <f t="shared" si="5"/>
        <v>64616923</v>
      </c>
      <c r="F307" s="11">
        <v>5822138</v>
      </c>
      <c r="G307" s="11" t="s">
        <v>339</v>
      </c>
      <c r="H307" s="11" t="s">
        <v>230</v>
      </c>
    </row>
    <row r="308" spans="1:8" s="12" customFormat="1" x14ac:dyDescent="0.35">
      <c r="A308" s="35">
        <v>46246</v>
      </c>
      <c r="B308" s="11" t="s">
        <v>341</v>
      </c>
      <c r="C308" s="36"/>
      <c r="D308" s="36">
        <v>11000000</v>
      </c>
      <c r="E308" s="37">
        <f t="shared" si="5"/>
        <v>53616923</v>
      </c>
      <c r="F308" s="11">
        <v>5822140</v>
      </c>
      <c r="G308" s="11" t="s">
        <v>340</v>
      </c>
      <c r="H308" s="11" t="s">
        <v>342</v>
      </c>
    </row>
    <row r="309" spans="1:8" s="12" customFormat="1" x14ac:dyDescent="0.35">
      <c r="A309" s="35">
        <v>46247</v>
      </c>
      <c r="B309" s="11" t="s">
        <v>7</v>
      </c>
      <c r="C309" s="36"/>
      <c r="D309" s="36">
        <v>131250</v>
      </c>
      <c r="E309" s="37">
        <f t="shared" si="5"/>
        <v>53485673</v>
      </c>
      <c r="F309" s="11"/>
      <c r="G309" s="11" t="s">
        <v>343</v>
      </c>
      <c r="H309" s="11" t="s">
        <v>216</v>
      </c>
    </row>
    <row r="310" spans="1:8" s="12" customFormat="1" x14ac:dyDescent="0.35">
      <c r="A310" s="35">
        <v>46247</v>
      </c>
      <c r="B310" s="11" t="s">
        <v>7</v>
      </c>
      <c r="C310" s="36"/>
      <c r="D310" s="36">
        <v>7817716</v>
      </c>
      <c r="E310" s="37">
        <f t="shared" si="5"/>
        <v>45667957</v>
      </c>
      <c r="F310" s="11"/>
      <c r="G310" s="11" t="s">
        <v>344</v>
      </c>
      <c r="H310" s="11" t="s">
        <v>216</v>
      </c>
    </row>
    <row r="311" spans="1:8" s="12" customFormat="1" x14ac:dyDescent="0.35">
      <c r="A311" s="35">
        <v>46248</v>
      </c>
      <c r="B311" s="11" t="s">
        <v>57</v>
      </c>
      <c r="C311" s="36"/>
      <c r="D311" s="36">
        <v>16552800</v>
      </c>
      <c r="E311" s="37">
        <f t="shared" si="5"/>
        <v>29115157</v>
      </c>
      <c r="F311" s="11">
        <v>5822154</v>
      </c>
      <c r="G311" s="11" t="s">
        <v>346</v>
      </c>
      <c r="H311" s="11" t="s">
        <v>346</v>
      </c>
    </row>
    <row r="312" spans="1:8" s="12" customFormat="1" x14ac:dyDescent="0.35">
      <c r="A312" s="35">
        <v>46248</v>
      </c>
      <c r="B312" s="11" t="s">
        <v>345</v>
      </c>
      <c r="C312" s="39">
        <v>65736084</v>
      </c>
      <c r="D312" s="39"/>
      <c r="E312" s="37">
        <f t="shared" si="5"/>
        <v>94851241</v>
      </c>
      <c r="F312" s="11"/>
      <c r="G312" s="11" t="s">
        <v>352</v>
      </c>
      <c r="H312" s="11" t="s">
        <v>348</v>
      </c>
    </row>
    <row r="313" spans="1:8" s="12" customFormat="1" x14ac:dyDescent="0.35">
      <c r="A313" s="35">
        <v>46248</v>
      </c>
      <c r="B313" s="11" t="s">
        <v>347</v>
      </c>
      <c r="C313" s="39">
        <v>14190959</v>
      </c>
      <c r="D313" s="39"/>
      <c r="E313" s="37">
        <f t="shared" si="5"/>
        <v>109042200</v>
      </c>
      <c r="F313" s="11"/>
      <c r="G313" s="11" t="s">
        <v>354</v>
      </c>
      <c r="H313" s="11" t="s">
        <v>288</v>
      </c>
    </row>
    <row r="314" spans="1:8" s="12" customFormat="1" x14ac:dyDescent="0.35">
      <c r="A314" s="35">
        <v>46251</v>
      </c>
      <c r="B314" s="11" t="s">
        <v>345</v>
      </c>
      <c r="C314" s="39">
        <v>64471726</v>
      </c>
      <c r="D314" s="39"/>
      <c r="E314" s="37">
        <f t="shared" si="5"/>
        <v>173513926</v>
      </c>
      <c r="F314" s="11"/>
      <c r="G314" s="11" t="s">
        <v>353</v>
      </c>
      <c r="H314" s="11" t="s">
        <v>348</v>
      </c>
    </row>
    <row r="315" spans="1:8" s="12" customFormat="1" x14ac:dyDescent="0.35">
      <c r="A315" s="82">
        <v>46251</v>
      </c>
      <c r="B315" s="83" t="s">
        <v>123</v>
      </c>
      <c r="C315" s="85"/>
      <c r="D315" s="85">
        <v>36300</v>
      </c>
      <c r="E315" s="86">
        <f t="shared" si="5"/>
        <v>173477626</v>
      </c>
      <c r="F315" s="83"/>
      <c r="G315" s="83" t="s">
        <v>355</v>
      </c>
      <c r="H315" s="83" t="s">
        <v>123</v>
      </c>
    </row>
    <row r="316" spans="1:8" s="12" customFormat="1" x14ac:dyDescent="0.35">
      <c r="A316" s="35">
        <v>46251</v>
      </c>
      <c r="B316" s="11" t="s">
        <v>349</v>
      </c>
      <c r="C316" s="36"/>
      <c r="D316" s="36">
        <v>35000000</v>
      </c>
      <c r="E316" s="37">
        <f t="shared" si="5"/>
        <v>138477626</v>
      </c>
      <c r="F316" s="11">
        <v>5822141</v>
      </c>
      <c r="G316" s="11" t="s">
        <v>349</v>
      </c>
      <c r="H316" s="11" t="s">
        <v>234</v>
      </c>
    </row>
    <row r="317" spans="1:8" s="12" customFormat="1" x14ac:dyDescent="0.35">
      <c r="A317" s="35">
        <v>46251</v>
      </c>
      <c r="B317" s="11" t="s">
        <v>350</v>
      </c>
      <c r="C317" s="36"/>
      <c r="D317" s="36">
        <v>32835000</v>
      </c>
      <c r="E317" s="37">
        <f t="shared" si="5"/>
        <v>105642626</v>
      </c>
      <c r="F317" s="11">
        <v>5822143</v>
      </c>
      <c r="G317" s="11" t="s">
        <v>346</v>
      </c>
      <c r="H317" s="11" t="s">
        <v>346</v>
      </c>
    </row>
    <row r="318" spans="1:8" s="12" customFormat="1" x14ac:dyDescent="0.35">
      <c r="A318" s="35">
        <v>46252</v>
      </c>
      <c r="B318" s="11" t="s">
        <v>402</v>
      </c>
      <c r="C318" s="36"/>
      <c r="D318" s="36">
        <v>36300</v>
      </c>
      <c r="E318" s="37">
        <f t="shared" si="5"/>
        <v>105606326</v>
      </c>
      <c r="F318" s="11"/>
      <c r="G318" s="11"/>
      <c r="H318" s="11" t="s">
        <v>123</v>
      </c>
    </row>
    <row r="319" spans="1:8" s="12" customFormat="1" x14ac:dyDescent="0.35">
      <c r="A319" s="35">
        <v>46252</v>
      </c>
      <c r="B319" s="11" t="s">
        <v>402</v>
      </c>
      <c r="C319" s="36"/>
      <c r="D319" s="36">
        <v>36300</v>
      </c>
      <c r="E319" s="37">
        <f t="shared" si="5"/>
        <v>105570026</v>
      </c>
      <c r="F319" s="11"/>
      <c r="G319" s="11"/>
      <c r="H319" s="11" t="s">
        <v>123</v>
      </c>
    </row>
    <row r="320" spans="1:8" s="12" customFormat="1" x14ac:dyDescent="0.35">
      <c r="A320" s="35">
        <v>46252</v>
      </c>
      <c r="B320" s="11" t="s">
        <v>402</v>
      </c>
      <c r="C320" s="36"/>
      <c r="D320" s="36">
        <v>36300</v>
      </c>
      <c r="E320" s="37">
        <f t="shared" si="5"/>
        <v>105533726</v>
      </c>
      <c r="F320" s="11"/>
      <c r="G320" s="11"/>
      <c r="H320" s="11" t="s">
        <v>123</v>
      </c>
    </row>
    <row r="321" spans="1:8" s="12" customFormat="1" x14ac:dyDescent="0.35">
      <c r="A321" s="35">
        <v>46252</v>
      </c>
      <c r="B321" s="11" t="s">
        <v>358</v>
      </c>
      <c r="C321" s="36"/>
      <c r="D321" s="36">
        <v>12949200</v>
      </c>
      <c r="E321" s="37">
        <f t="shared" si="5"/>
        <v>92584526</v>
      </c>
      <c r="F321" s="11">
        <v>5822144</v>
      </c>
      <c r="G321" s="11" t="s">
        <v>346</v>
      </c>
      <c r="H321" s="11" t="s">
        <v>346</v>
      </c>
    </row>
    <row r="322" spans="1:8" s="12" customFormat="1" x14ac:dyDescent="0.35">
      <c r="A322" s="35">
        <v>46252</v>
      </c>
      <c r="B322" s="11" t="s">
        <v>86</v>
      </c>
      <c r="C322" s="36"/>
      <c r="D322" s="36">
        <v>8000000</v>
      </c>
      <c r="E322" s="37">
        <f t="shared" si="5"/>
        <v>84584526</v>
      </c>
      <c r="F322" s="11">
        <v>5822145</v>
      </c>
      <c r="G322" s="11" t="s">
        <v>293</v>
      </c>
      <c r="H322" s="11" t="s">
        <v>217</v>
      </c>
    </row>
    <row r="323" spans="1:8" s="12" customFormat="1" x14ac:dyDescent="0.35">
      <c r="A323" s="35">
        <v>46252</v>
      </c>
      <c r="B323" s="11" t="s">
        <v>57</v>
      </c>
      <c r="C323" s="36"/>
      <c r="D323" s="36">
        <v>25990200</v>
      </c>
      <c r="E323" s="37">
        <f t="shared" si="5"/>
        <v>58594326</v>
      </c>
      <c r="F323" s="11">
        <v>5822146</v>
      </c>
      <c r="G323" s="11" t="s">
        <v>346</v>
      </c>
      <c r="H323" s="11" t="s">
        <v>346</v>
      </c>
    </row>
    <row r="324" spans="1:8" s="12" customFormat="1" x14ac:dyDescent="0.35">
      <c r="A324" s="35">
        <v>46252</v>
      </c>
      <c r="B324" s="11" t="s">
        <v>363</v>
      </c>
      <c r="C324" s="36"/>
      <c r="D324" s="36">
        <v>7000000</v>
      </c>
      <c r="E324" s="37">
        <f t="shared" si="5"/>
        <v>51594326</v>
      </c>
      <c r="F324" s="11">
        <v>5822147</v>
      </c>
      <c r="G324" s="11" t="s">
        <v>346</v>
      </c>
      <c r="H324" s="11" t="s">
        <v>346</v>
      </c>
    </row>
    <row r="325" spans="1:8" s="12" customFormat="1" x14ac:dyDescent="0.35">
      <c r="A325" s="35">
        <v>46252</v>
      </c>
      <c r="B325" s="11" t="s">
        <v>359</v>
      </c>
      <c r="C325" s="36"/>
      <c r="D325" s="36">
        <v>436500</v>
      </c>
      <c r="E325" s="37">
        <f t="shared" si="5"/>
        <v>51157826</v>
      </c>
      <c r="F325" s="11">
        <v>5822152</v>
      </c>
      <c r="G325" s="11" t="s">
        <v>360</v>
      </c>
      <c r="H325" s="11" t="s">
        <v>230</v>
      </c>
    </row>
    <row r="326" spans="1:8" s="12" customFormat="1" x14ac:dyDescent="0.35">
      <c r="A326" s="35">
        <v>46253</v>
      </c>
      <c r="B326" s="11" t="s">
        <v>361</v>
      </c>
      <c r="C326" s="36"/>
      <c r="D326" s="36">
        <v>1500000</v>
      </c>
      <c r="E326" s="37">
        <f t="shared" si="5"/>
        <v>49657826</v>
      </c>
      <c r="F326" s="11">
        <v>5822153</v>
      </c>
      <c r="G326" s="11" t="s">
        <v>362</v>
      </c>
      <c r="H326" s="11" t="s">
        <v>113</v>
      </c>
    </row>
    <row r="327" spans="1:8" s="12" customFormat="1" x14ac:dyDescent="0.35">
      <c r="A327" s="35">
        <v>46254</v>
      </c>
      <c r="B327" s="11" t="s">
        <v>130</v>
      </c>
      <c r="C327" s="36"/>
      <c r="D327" s="36">
        <v>1192500</v>
      </c>
      <c r="E327" s="37">
        <f t="shared" si="5"/>
        <v>48465326</v>
      </c>
      <c r="F327" s="11">
        <v>5822155</v>
      </c>
      <c r="G327" s="11" t="s">
        <v>294</v>
      </c>
      <c r="H327" s="11" t="s">
        <v>260</v>
      </c>
    </row>
    <row r="328" spans="1:8" s="12" customFormat="1" x14ac:dyDescent="0.35">
      <c r="A328" s="35">
        <v>46254</v>
      </c>
      <c r="B328" s="11" t="s">
        <v>57</v>
      </c>
      <c r="C328" s="36"/>
      <c r="D328" s="36">
        <v>15622200</v>
      </c>
      <c r="E328" s="37">
        <f t="shared" si="5"/>
        <v>32843126</v>
      </c>
      <c r="F328" s="11">
        <v>5822156</v>
      </c>
      <c r="G328" s="11" t="s">
        <v>346</v>
      </c>
      <c r="H328" s="11" t="s">
        <v>346</v>
      </c>
    </row>
    <row r="329" spans="1:8" s="12" customFormat="1" x14ac:dyDescent="0.35">
      <c r="A329" s="35">
        <v>46254</v>
      </c>
      <c r="B329" s="11" t="s">
        <v>358</v>
      </c>
      <c r="C329" s="36"/>
      <c r="D329" s="36">
        <v>15001800</v>
      </c>
      <c r="E329" s="37">
        <f t="shared" si="5"/>
        <v>17841326</v>
      </c>
      <c r="F329" s="11">
        <v>5822157</v>
      </c>
      <c r="G329" s="11" t="s">
        <v>346</v>
      </c>
      <c r="H329" s="11" t="s">
        <v>346</v>
      </c>
    </row>
    <row r="330" spans="1:8" s="12" customFormat="1" x14ac:dyDescent="0.35">
      <c r="A330" s="35">
        <v>46254</v>
      </c>
      <c r="B330" s="11" t="s">
        <v>364</v>
      </c>
      <c r="C330" s="36"/>
      <c r="D330" s="36">
        <v>8675000</v>
      </c>
      <c r="E330" s="37">
        <f t="shared" si="5"/>
        <v>9166326</v>
      </c>
      <c r="F330" s="11">
        <v>5822158</v>
      </c>
      <c r="G330" s="11" t="s">
        <v>346</v>
      </c>
      <c r="H330" s="11" t="s">
        <v>346</v>
      </c>
    </row>
    <row r="331" spans="1:8" s="12" customFormat="1" x14ac:dyDescent="0.35">
      <c r="A331" s="35">
        <v>46255</v>
      </c>
      <c r="B331" s="11" t="s">
        <v>7</v>
      </c>
      <c r="C331" s="36"/>
      <c r="D331" s="36">
        <v>52500</v>
      </c>
      <c r="E331" s="37">
        <f t="shared" si="5"/>
        <v>9113826</v>
      </c>
      <c r="F331" s="11"/>
      <c r="G331" s="11" t="s">
        <v>411</v>
      </c>
      <c r="H331" s="11" t="s">
        <v>216</v>
      </c>
    </row>
    <row r="332" spans="1:8" s="12" customFormat="1" x14ac:dyDescent="0.35">
      <c r="A332" s="35">
        <v>46255</v>
      </c>
      <c r="B332" s="11" t="s">
        <v>57</v>
      </c>
      <c r="C332" s="36"/>
      <c r="D332" s="36">
        <v>8000000</v>
      </c>
      <c r="E332" s="37">
        <f t="shared" si="5"/>
        <v>1113826</v>
      </c>
      <c r="F332" s="11">
        <v>5822159</v>
      </c>
      <c r="G332" s="11" t="s">
        <v>346</v>
      </c>
      <c r="H332" s="11" t="s">
        <v>346</v>
      </c>
    </row>
    <row r="333" spans="1:8" s="12" customFormat="1" x14ac:dyDescent="0.35">
      <c r="A333" s="35">
        <v>46258</v>
      </c>
      <c r="B333" s="11" t="s">
        <v>345</v>
      </c>
      <c r="C333" s="36">
        <v>90677888</v>
      </c>
      <c r="D333" s="36"/>
      <c r="E333" s="37">
        <f t="shared" si="5"/>
        <v>91791714</v>
      </c>
      <c r="F333" s="11"/>
      <c r="G333" s="11" t="s">
        <v>400</v>
      </c>
      <c r="H333" s="11" t="s">
        <v>235</v>
      </c>
    </row>
    <row r="334" spans="1:8" s="12" customFormat="1" x14ac:dyDescent="0.35">
      <c r="A334" s="35">
        <v>46258</v>
      </c>
      <c r="B334" s="11" t="s">
        <v>402</v>
      </c>
      <c r="C334" s="36"/>
      <c r="D334" s="36">
        <v>33000</v>
      </c>
      <c r="E334" s="37">
        <f t="shared" si="5"/>
        <v>91758714</v>
      </c>
      <c r="F334" s="11"/>
      <c r="G334" s="11"/>
      <c r="H334" s="11" t="s">
        <v>123</v>
      </c>
    </row>
    <row r="335" spans="1:8" s="12" customFormat="1" x14ac:dyDescent="0.35">
      <c r="A335" s="35">
        <v>46258</v>
      </c>
      <c r="B335" s="11" t="s">
        <v>57</v>
      </c>
      <c r="C335" s="36"/>
      <c r="D335" s="36">
        <v>15036000</v>
      </c>
      <c r="E335" s="37">
        <f t="shared" si="5"/>
        <v>76722714</v>
      </c>
      <c r="F335" s="11">
        <v>5822162</v>
      </c>
      <c r="G335" s="11" t="s">
        <v>346</v>
      </c>
      <c r="H335" s="11" t="s">
        <v>346</v>
      </c>
    </row>
    <row r="336" spans="1:8" s="12" customFormat="1" x14ac:dyDescent="0.35">
      <c r="A336" s="35">
        <v>46258</v>
      </c>
      <c r="B336" s="11" t="s">
        <v>7</v>
      </c>
      <c r="C336" s="36"/>
      <c r="D336" s="36">
        <v>915375</v>
      </c>
      <c r="E336" s="37">
        <f t="shared" si="5"/>
        <v>75807339</v>
      </c>
      <c r="F336" s="11"/>
      <c r="G336" s="11" t="s">
        <v>412</v>
      </c>
      <c r="H336" s="11" t="s">
        <v>216</v>
      </c>
    </row>
    <row r="337" spans="1:8" s="12" customFormat="1" x14ac:dyDescent="0.35">
      <c r="A337" s="35">
        <v>46258</v>
      </c>
      <c r="B337" s="11" t="s">
        <v>365</v>
      </c>
      <c r="C337" s="36"/>
      <c r="D337" s="36">
        <v>10546800</v>
      </c>
      <c r="E337" s="37">
        <f t="shared" si="5"/>
        <v>65260539</v>
      </c>
      <c r="F337" s="11">
        <v>5822160</v>
      </c>
      <c r="G337" s="11" t="s">
        <v>346</v>
      </c>
      <c r="H337" s="11" t="s">
        <v>346</v>
      </c>
    </row>
    <row r="338" spans="1:8" s="12" customFormat="1" x14ac:dyDescent="0.35">
      <c r="A338" s="35">
        <v>46258</v>
      </c>
      <c r="B338" s="11" t="s">
        <v>367</v>
      </c>
      <c r="C338" s="36"/>
      <c r="D338" s="36">
        <v>13206600</v>
      </c>
      <c r="E338" s="37">
        <f t="shared" si="5"/>
        <v>52053939</v>
      </c>
      <c r="F338" s="11">
        <v>5822163</v>
      </c>
      <c r="G338" s="11" t="s">
        <v>346</v>
      </c>
      <c r="H338" s="11" t="s">
        <v>346</v>
      </c>
    </row>
    <row r="339" spans="1:8" s="12" customFormat="1" x14ac:dyDescent="0.35">
      <c r="A339" s="35">
        <v>46259</v>
      </c>
      <c r="B339" s="11" t="s">
        <v>366</v>
      </c>
      <c r="C339" s="36"/>
      <c r="D339" s="36">
        <v>11343400</v>
      </c>
      <c r="E339" s="37">
        <f t="shared" si="5"/>
        <v>40710539</v>
      </c>
      <c r="F339" s="11">
        <v>5822164</v>
      </c>
      <c r="G339" s="11" t="s">
        <v>346</v>
      </c>
      <c r="H339" s="11" t="s">
        <v>346</v>
      </c>
    </row>
    <row r="340" spans="1:8" s="12" customFormat="1" x14ac:dyDescent="0.35">
      <c r="A340" s="35">
        <v>46259</v>
      </c>
      <c r="B340" s="11" t="s">
        <v>361</v>
      </c>
      <c r="C340" s="36"/>
      <c r="D340" s="36">
        <v>769336</v>
      </c>
      <c r="E340" s="37">
        <f t="shared" si="5"/>
        <v>39941203</v>
      </c>
      <c r="F340" s="11">
        <v>5822165</v>
      </c>
      <c r="G340" s="11" t="s">
        <v>362</v>
      </c>
      <c r="H340" s="11" t="s">
        <v>113</v>
      </c>
    </row>
    <row r="341" spans="1:8" s="12" customFormat="1" x14ac:dyDescent="0.35">
      <c r="A341" s="35">
        <v>46260</v>
      </c>
      <c r="B341" s="11" t="s">
        <v>332</v>
      </c>
      <c r="C341" s="36"/>
      <c r="D341" s="36">
        <v>13500000</v>
      </c>
      <c r="E341" s="37">
        <f t="shared" si="5"/>
        <v>26441203</v>
      </c>
      <c r="F341" s="11">
        <v>5822167</v>
      </c>
      <c r="G341" s="11"/>
      <c r="H341" s="11" t="s">
        <v>234</v>
      </c>
    </row>
    <row r="342" spans="1:8" s="12" customFormat="1" x14ac:dyDescent="0.35">
      <c r="A342" s="35">
        <v>46260</v>
      </c>
      <c r="B342" s="11" t="s">
        <v>403</v>
      </c>
      <c r="C342" s="36"/>
      <c r="D342" s="36">
        <v>7000000</v>
      </c>
      <c r="E342" s="37">
        <f t="shared" si="5"/>
        <v>19441203</v>
      </c>
      <c r="F342" s="11">
        <v>5822169</v>
      </c>
      <c r="G342" s="11" t="s">
        <v>368</v>
      </c>
      <c r="H342" s="11" t="s">
        <v>217</v>
      </c>
    </row>
    <row r="343" spans="1:8" s="12" customFormat="1" x14ac:dyDescent="0.35">
      <c r="A343" s="35">
        <v>46260</v>
      </c>
      <c r="B343" s="11" t="s">
        <v>369</v>
      </c>
      <c r="C343" s="36">
        <v>34252276</v>
      </c>
      <c r="D343" s="36"/>
      <c r="E343" s="37">
        <f t="shared" si="5"/>
        <v>53693479</v>
      </c>
      <c r="F343" s="11"/>
      <c r="G343" s="11" t="s">
        <v>401</v>
      </c>
      <c r="H343" s="11" t="s">
        <v>215</v>
      </c>
    </row>
    <row r="344" spans="1:8" s="12" customFormat="1" x14ac:dyDescent="0.35">
      <c r="A344" s="35">
        <v>46261</v>
      </c>
      <c r="B344" s="11" t="s">
        <v>134</v>
      </c>
      <c r="C344" s="36">
        <v>13999500</v>
      </c>
      <c r="D344" s="36"/>
      <c r="E344" s="37">
        <f t="shared" si="5"/>
        <v>67692979</v>
      </c>
      <c r="F344" s="11"/>
      <c r="G344" s="11" t="s">
        <v>295</v>
      </c>
      <c r="H344" s="11" t="s">
        <v>226</v>
      </c>
    </row>
    <row r="345" spans="1:8" s="12" customFormat="1" x14ac:dyDescent="0.35">
      <c r="A345" s="35">
        <v>46261</v>
      </c>
      <c r="B345" s="11" t="s">
        <v>371</v>
      </c>
      <c r="C345" s="36"/>
      <c r="D345" s="36">
        <v>15199800</v>
      </c>
      <c r="E345" s="37">
        <f t="shared" si="5"/>
        <v>52493179</v>
      </c>
      <c r="F345" s="11">
        <v>5822170</v>
      </c>
      <c r="G345" s="11" t="s">
        <v>346</v>
      </c>
      <c r="H345" s="11" t="s">
        <v>346</v>
      </c>
    </row>
    <row r="346" spans="1:8" s="12" customFormat="1" x14ac:dyDescent="0.35">
      <c r="A346" s="35">
        <v>46261</v>
      </c>
      <c r="B346" s="11" t="s">
        <v>372</v>
      </c>
      <c r="C346" s="36"/>
      <c r="D346" s="36">
        <v>500000</v>
      </c>
      <c r="E346" s="37">
        <f t="shared" si="5"/>
        <v>51993179</v>
      </c>
      <c r="F346" s="11">
        <v>5822171</v>
      </c>
      <c r="G346" s="11" t="s">
        <v>370</v>
      </c>
      <c r="H346" s="11" t="s">
        <v>342</v>
      </c>
    </row>
    <row r="347" spans="1:8" s="12" customFormat="1" x14ac:dyDescent="0.35">
      <c r="A347" s="35">
        <v>46261</v>
      </c>
      <c r="B347" s="11" t="s">
        <v>373</v>
      </c>
      <c r="C347" s="36"/>
      <c r="D347" s="36">
        <v>9000000</v>
      </c>
      <c r="E347" s="37">
        <f t="shared" si="5"/>
        <v>42993179</v>
      </c>
      <c r="F347" s="11">
        <v>5822172</v>
      </c>
      <c r="G347" s="11" t="s">
        <v>346</v>
      </c>
      <c r="H347" s="11" t="s">
        <v>346</v>
      </c>
    </row>
    <row r="348" spans="1:8" s="12" customFormat="1" x14ac:dyDescent="0.35">
      <c r="A348" s="35">
        <v>46261</v>
      </c>
      <c r="B348" s="11" t="s">
        <v>374</v>
      </c>
      <c r="C348" s="36"/>
      <c r="D348" s="36">
        <v>9000000</v>
      </c>
      <c r="E348" s="37">
        <f t="shared" si="5"/>
        <v>33993179</v>
      </c>
      <c r="F348" s="11">
        <v>5822174</v>
      </c>
      <c r="G348" s="11" t="s">
        <v>346</v>
      </c>
      <c r="H348" s="11" t="s">
        <v>346</v>
      </c>
    </row>
    <row r="349" spans="1:8" s="12" customFormat="1" x14ac:dyDescent="0.35">
      <c r="A349" s="35">
        <v>46262</v>
      </c>
      <c r="B349" s="11" t="s">
        <v>404</v>
      </c>
      <c r="C349" s="36">
        <v>7000000</v>
      </c>
      <c r="D349" s="36"/>
      <c r="E349" s="37">
        <f t="shared" si="5"/>
        <v>40993179</v>
      </c>
      <c r="F349" s="11">
        <v>5822169</v>
      </c>
      <c r="G349" s="11"/>
      <c r="H349" s="11" t="s">
        <v>254</v>
      </c>
    </row>
    <row r="350" spans="1:8" s="12" customFormat="1" x14ac:dyDescent="0.35">
      <c r="A350" s="35">
        <v>46262</v>
      </c>
      <c r="B350" s="11" t="s">
        <v>405</v>
      </c>
      <c r="C350" s="36"/>
      <c r="D350" s="36">
        <v>11000</v>
      </c>
      <c r="E350" s="37">
        <f t="shared" si="5"/>
        <v>40982179</v>
      </c>
      <c r="F350" s="11"/>
      <c r="G350" s="11"/>
      <c r="H350" s="11" t="s">
        <v>123</v>
      </c>
    </row>
    <row r="351" spans="1:8" s="12" customFormat="1" x14ac:dyDescent="0.35">
      <c r="A351" s="35">
        <v>46265</v>
      </c>
      <c r="B351" s="11" t="s">
        <v>406</v>
      </c>
      <c r="C351" s="36"/>
      <c r="D351" s="36">
        <v>45597</v>
      </c>
      <c r="E351" s="37">
        <f t="shared" si="5"/>
        <v>40936582</v>
      </c>
      <c r="F351" s="11"/>
      <c r="G351" s="11"/>
      <c r="H351" s="11" t="s">
        <v>123</v>
      </c>
    </row>
    <row r="352" spans="1:8" s="12" customFormat="1" x14ac:dyDescent="0.35">
      <c r="A352" s="82">
        <v>46265</v>
      </c>
      <c r="B352" s="83" t="s">
        <v>402</v>
      </c>
      <c r="C352" s="85"/>
      <c r="D352" s="85">
        <v>33000</v>
      </c>
      <c r="E352" s="86">
        <f t="shared" si="5"/>
        <v>40903582</v>
      </c>
      <c r="F352" s="83"/>
      <c r="G352" s="83"/>
      <c r="H352" s="83" t="s">
        <v>123</v>
      </c>
    </row>
    <row r="353" spans="1:9" x14ac:dyDescent="0.35">
      <c r="A353" s="3">
        <v>46262</v>
      </c>
      <c r="B353" s="2" t="s">
        <v>87</v>
      </c>
      <c r="C353" s="108"/>
      <c r="D353" s="108">
        <v>7000000</v>
      </c>
      <c r="E353" s="4">
        <f t="shared" si="5"/>
        <v>33903582</v>
      </c>
      <c r="F353" s="2">
        <v>5822169</v>
      </c>
      <c r="G353" s="2" t="s">
        <v>368</v>
      </c>
      <c r="H353" s="2" t="s">
        <v>217</v>
      </c>
    </row>
    <row r="354" spans="1:9" x14ac:dyDescent="0.35">
      <c r="A354" s="3">
        <v>46266</v>
      </c>
      <c r="B354" s="2" t="s">
        <v>134</v>
      </c>
      <c r="C354" s="108">
        <v>15300000</v>
      </c>
      <c r="D354" s="108"/>
      <c r="E354" s="4">
        <f t="shared" si="5"/>
        <v>49203582</v>
      </c>
      <c r="F354" s="2"/>
      <c r="G354" s="2" t="s">
        <v>295</v>
      </c>
      <c r="H354" s="2" t="s">
        <v>226</v>
      </c>
    </row>
    <row r="355" spans="1:9" x14ac:dyDescent="0.35">
      <c r="A355" s="3">
        <v>46266</v>
      </c>
      <c r="B355" s="2" t="s">
        <v>7</v>
      </c>
      <c r="C355" s="108"/>
      <c r="D355" s="108">
        <v>772667</v>
      </c>
      <c r="E355" s="4">
        <f t="shared" si="5"/>
        <v>48430915</v>
      </c>
      <c r="F355" s="2"/>
      <c r="G355" s="2" t="s">
        <v>414</v>
      </c>
      <c r="H355" s="2" t="s">
        <v>216</v>
      </c>
    </row>
    <row r="356" spans="1:9" x14ac:dyDescent="0.35">
      <c r="A356" s="3">
        <v>46267</v>
      </c>
      <c r="B356" s="2" t="s">
        <v>134</v>
      </c>
      <c r="C356" s="108">
        <v>20448000</v>
      </c>
      <c r="D356" s="108"/>
      <c r="E356" s="4">
        <f t="shared" si="5"/>
        <v>68878915</v>
      </c>
      <c r="F356" s="2"/>
      <c r="G356" s="2" t="s">
        <v>295</v>
      </c>
      <c r="H356" s="2" t="s">
        <v>226</v>
      </c>
    </row>
    <row r="357" spans="1:9" x14ac:dyDescent="0.35">
      <c r="A357" s="3">
        <v>46267</v>
      </c>
      <c r="B357" s="2" t="s">
        <v>378</v>
      </c>
      <c r="C357" s="108"/>
      <c r="D357" s="108">
        <v>10000000</v>
      </c>
      <c r="E357" s="4">
        <f t="shared" si="5"/>
        <v>58878915</v>
      </c>
      <c r="F357" s="2">
        <v>5822180</v>
      </c>
      <c r="G357" s="2" t="s">
        <v>346</v>
      </c>
      <c r="H357" s="2" t="s">
        <v>346</v>
      </c>
    </row>
    <row r="358" spans="1:9" x14ac:dyDescent="0.35">
      <c r="A358" s="3">
        <v>46267</v>
      </c>
      <c r="B358" s="2" t="s">
        <v>379</v>
      </c>
      <c r="C358" s="108"/>
      <c r="D358" s="108">
        <v>1595000</v>
      </c>
      <c r="E358" s="4">
        <f t="shared" si="5"/>
        <v>57283915</v>
      </c>
      <c r="F358" s="2">
        <v>5822181</v>
      </c>
      <c r="G358" s="2" t="s">
        <v>375</v>
      </c>
      <c r="H358" s="2" t="s">
        <v>230</v>
      </c>
    </row>
    <row r="359" spans="1:9" x14ac:dyDescent="0.35">
      <c r="A359" s="3">
        <v>46267</v>
      </c>
      <c r="B359" s="2" t="s">
        <v>380</v>
      </c>
      <c r="C359" s="108"/>
      <c r="D359" s="108">
        <v>630000</v>
      </c>
      <c r="E359" s="4">
        <f t="shared" si="5"/>
        <v>56653915</v>
      </c>
      <c r="F359" s="2">
        <v>5822182</v>
      </c>
      <c r="G359" s="2" t="s">
        <v>376</v>
      </c>
      <c r="H359" s="2" t="s">
        <v>212</v>
      </c>
    </row>
    <row r="360" spans="1:9" x14ac:dyDescent="0.35">
      <c r="A360" s="3">
        <v>46267</v>
      </c>
      <c r="B360" s="2" t="s">
        <v>361</v>
      </c>
      <c r="C360" s="108"/>
      <c r="D360" s="108">
        <v>2091198</v>
      </c>
      <c r="E360" s="4">
        <f t="shared" si="5"/>
        <v>54562717</v>
      </c>
      <c r="F360" s="2">
        <v>5822179</v>
      </c>
      <c r="G360" s="2" t="s">
        <v>377</v>
      </c>
      <c r="H360" s="2" t="s">
        <v>113</v>
      </c>
    </row>
    <row r="361" spans="1:9" x14ac:dyDescent="0.35">
      <c r="A361" s="3">
        <v>46267</v>
      </c>
      <c r="B361" s="2" t="s">
        <v>381</v>
      </c>
      <c r="C361" s="108"/>
      <c r="D361" s="108">
        <v>35760708</v>
      </c>
      <c r="E361" s="4">
        <f t="shared" si="5"/>
        <v>18802009</v>
      </c>
      <c r="F361" s="2">
        <v>5822175</v>
      </c>
      <c r="G361" s="2" t="s">
        <v>383</v>
      </c>
      <c r="H361" s="2" t="s">
        <v>230</v>
      </c>
    </row>
    <row r="362" spans="1:9" x14ac:dyDescent="0.35">
      <c r="A362" s="3">
        <v>46267</v>
      </c>
      <c r="B362" s="2" t="s">
        <v>382</v>
      </c>
      <c r="C362" s="108"/>
      <c r="D362" s="108">
        <v>4550160</v>
      </c>
      <c r="E362" s="4">
        <f t="shared" si="5"/>
        <v>14251849</v>
      </c>
      <c r="F362" s="2">
        <v>5822176</v>
      </c>
      <c r="G362" s="2" t="s">
        <v>384</v>
      </c>
      <c r="H362" s="2" t="s">
        <v>230</v>
      </c>
    </row>
    <row r="363" spans="1:9" x14ac:dyDescent="0.35">
      <c r="A363" s="3">
        <v>46267</v>
      </c>
      <c r="B363" s="2" t="s">
        <v>382</v>
      </c>
      <c r="C363" s="108"/>
      <c r="D363" s="108">
        <v>8460000</v>
      </c>
      <c r="E363" s="4">
        <f t="shared" si="5"/>
        <v>5791849</v>
      </c>
      <c r="F363" s="2">
        <v>5822177</v>
      </c>
      <c r="G363" s="2" t="s">
        <v>385</v>
      </c>
      <c r="H363" s="2" t="s">
        <v>230</v>
      </c>
    </row>
    <row r="364" spans="1:9" x14ac:dyDescent="0.35">
      <c r="A364" s="3">
        <v>46268</v>
      </c>
      <c r="B364" s="2" t="s">
        <v>7</v>
      </c>
      <c r="C364" s="108"/>
      <c r="D364" s="108">
        <v>13125</v>
      </c>
      <c r="E364" s="4">
        <f t="shared" si="5"/>
        <v>5778724</v>
      </c>
      <c r="F364" s="2"/>
      <c r="G364" s="2" t="s">
        <v>413</v>
      </c>
      <c r="H364" s="2" t="s">
        <v>216</v>
      </c>
    </row>
    <row r="365" spans="1:9" x14ac:dyDescent="0.35">
      <c r="A365" s="3">
        <v>46268</v>
      </c>
      <c r="B365" s="2" t="s">
        <v>386</v>
      </c>
      <c r="C365" s="108"/>
      <c r="D365" s="108">
        <v>5000000</v>
      </c>
      <c r="E365" s="4">
        <f t="shared" si="5"/>
        <v>778724</v>
      </c>
      <c r="F365" s="2">
        <v>5822183</v>
      </c>
      <c r="G365" s="2" t="s">
        <v>346</v>
      </c>
      <c r="H365" s="2" t="s">
        <v>346</v>
      </c>
    </row>
    <row r="366" spans="1:9" s="109" customFormat="1" x14ac:dyDescent="0.35">
      <c r="A366" s="102">
        <v>46274</v>
      </c>
      <c r="B366" s="103" t="s">
        <v>369</v>
      </c>
      <c r="C366" s="104">
        <v>191735113</v>
      </c>
      <c r="D366" s="104"/>
      <c r="E366" s="113">
        <f t="shared" si="5"/>
        <v>192513837</v>
      </c>
      <c r="F366" s="103"/>
      <c r="G366" s="103" t="s">
        <v>399</v>
      </c>
      <c r="H366" s="103" t="s">
        <v>235</v>
      </c>
      <c r="I366" s="109">
        <v>82871</v>
      </c>
    </row>
    <row r="367" spans="1:9" x14ac:dyDescent="0.35">
      <c r="A367" s="3">
        <v>46269</v>
      </c>
      <c r="B367" s="2" t="s">
        <v>387</v>
      </c>
      <c r="C367" s="108"/>
      <c r="D367" s="108">
        <v>2421000</v>
      </c>
      <c r="E367" s="4">
        <f t="shared" si="5"/>
        <v>190092837</v>
      </c>
      <c r="F367" s="2">
        <v>5822184</v>
      </c>
      <c r="G367" s="2" t="s">
        <v>388</v>
      </c>
      <c r="H367" s="2" t="s">
        <v>230</v>
      </c>
    </row>
    <row r="368" spans="1:9" x14ac:dyDescent="0.35">
      <c r="A368" s="3">
        <v>46270</v>
      </c>
      <c r="B368" s="2" t="s">
        <v>389</v>
      </c>
      <c r="C368" s="108"/>
      <c r="D368" s="108">
        <v>4670100</v>
      </c>
      <c r="E368" s="4">
        <f t="shared" si="5"/>
        <v>185422737</v>
      </c>
      <c r="F368" s="2">
        <v>5822185</v>
      </c>
      <c r="G368" s="2" t="s">
        <v>346</v>
      </c>
      <c r="H368" s="2" t="s">
        <v>346</v>
      </c>
    </row>
    <row r="369" spans="1:8" x14ac:dyDescent="0.35">
      <c r="A369" s="3">
        <v>46270</v>
      </c>
      <c r="B369" s="2" t="s">
        <v>378</v>
      </c>
      <c r="C369" s="108"/>
      <c r="D369" s="108">
        <v>6202000</v>
      </c>
      <c r="E369" s="4">
        <f t="shared" si="5"/>
        <v>179220737</v>
      </c>
      <c r="F369" s="2">
        <v>5822186</v>
      </c>
      <c r="G369" s="2" t="s">
        <v>346</v>
      </c>
      <c r="H369" s="2" t="s">
        <v>346</v>
      </c>
    </row>
    <row r="370" spans="1:8" x14ac:dyDescent="0.35">
      <c r="A370" s="3">
        <v>46270</v>
      </c>
      <c r="B370" s="2" t="s">
        <v>366</v>
      </c>
      <c r="C370" s="108"/>
      <c r="D370" s="108">
        <v>2900000</v>
      </c>
      <c r="E370" s="4">
        <f t="shared" si="5"/>
        <v>176320737</v>
      </c>
      <c r="F370" s="2">
        <v>5822187</v>
      </c>
      <c r="G370" s="2" t="s">
        <v>346</v>
      </c>
      <c r="H370" s="2" t="s">
        <v>346</v>
      </c>
    </row>
    <row r="371" spans="1:8" x14ac:dyDescent="0.35">
      <c r="A371" s="3">
        <v>46270</v>
      </c>
      <c r="B371" s="2" t="s">
        <v>390</v>
      </c>
      <c r="C371" s="108"/>
      <c r="D371" s="108">
        <v>3912800</v>
      </c>
      <c r="E371" s="4">
        <f t="shared" si="5"/>
        <v>172407937</v>
      </c>
      <c r="F371" s="2">
        <v>5822188</v>
      </c>
      <c r="G371" s="2" t="s">
        <v>346</v>
      </c>
      <c r="H371" s="2" t="s">
        <v>346</v>
      </c>
    </row>
    <row r="372" spans="1:8" x14ac:dyDescent="0.35">
      <c r="A372" s="3">
        <v>46272</v>
      </c>
      <c r="B372" s="2" t="s">
        <v>134</v>
      </c>
      <c r="C372" s="108">
        <v>20000000</v>
      </c>
      <c r="D372" s="108"/>
      <c r="E372" s="4">
        <f t="shared" si="5"/>
        <v>192407937</v>
      </c>
      <c r="F372" s="2"/>
      <c r="G372" s="2" t="s">
        <v>391</v>
      </c>
      <c r="H372" s="2" t="s">
        <v>226</v>
      </c>
    </row>
    <row r="373" spans="1:8" x14ac:dyDescent="0.35">
      <c r="A373" s="3">
        <v>46272</v>
      </c>
      <c r="B373" s="2" t="s">
        <v>7</v>
      </c>
      <c r="C373" s="108"/>
      <c r="D373" s="108">
        <v>1001200</v>
      </c>
      <c r="E373" s="4">
        <f t="shared" si="5"/>
        <v>191406737</v>
      </c>
      <c r="F373" s="2"/>
      <c r="G373" s="2" t="s">
        <v>414</v>
      </c>
      <c r="H373" s="2" t="s">
        <v>216</v>
      </c>
    </row>
    <row r="374" spans="1:8" x14ac:dyDescent="0.35">
      <c r="A374" s="3">
        <v>46273</v>
      </c>
      <c r="B374" s="2" t="s">
        <v>350</v>
      </c>
      <c r="C374" s="108"/>
      <c r="D374" s="108">
        <v>15232800</v>
      </c>
      <c r="E374" s="4">
        <f t="shared" si="5"/>
        <v>176173937</v>
      </c>
      <c r="F374" s="2">
        <v>5822189</v>
      </c>
      <c r="G374" s="2" t="s">
        <v>346</v>
      </c>
      <c r="H374" s="2" t="s">
        <v>346</v>
      </c>
    </row>
    <row r="375" spans="1:8" x14ac:dyDescent="0.35">
      <c r="A375" s="3">
        <v>46274</v>
      </c>
      <c r="B375" s="2" t="s">
        <v>418</v>
      </c>
      <c r="C375" s="108"/>
      <c r="D375" s="108">
        <v>33000</v>
      </c>
      <c r="E375" s="4">
        <f t="shared" ref="E375:E401" si="6">E374+C375-D375</f>
        <v>176140937</v>
      </c>
      <c r="F375" s="2"/>
      <c r="G375" s="2"/>
      <c r="H375" s="2" t="s">
        <v>123</v>
      </c>
    </row>
    <row r="376" spans="1:8" x14ac:dyDescent="0.35">
      <c r="A376" s="3">
        <v>46273</v>
      </c>
      <c r="B376" s="2" t="s">
        <v>86</v>
      </c>
      <c r="C376" s="108"/>
      <c r="D376" s="108">
        <v>10000000</v>
      </c>
      <c r="E376" s="4">
        <f t="shared" si="6"/>
        <v>166140937</v>
      </c>
      <c r="F376" s="2">
        <v>5822190</v>
      </c>
      <c r="G376" s="2" t="s">
        <v>392</v>
      </c>
      <c r="H376" s="2" t="s">
        <v>217</v>
      </c>
    </row>
    <row r="377" spans="1:8" x14ac:dyDescent="0.35">
      <c r="A377" s="3">
        <v>46273</v>
      </c>
      <c r="B377" s="2" t="s">
        <v>7</v>
      </c>
      <c r="C377" s="111"/>
      <c r="D377" s="112">
        <v>4125</v>
      </c>
      <c r="E377" s="4">
        <f t="shared" si="6"/>
        <v>166136812</v>
      </c>
      <c r="G377" s="2" t="s">
        <v>414</v>
      </c>
      <c r="H377" s="2" t="s">
        <v>216</v>
      </c>
    </row>
    <row r="378" spans="1:8" x14ac:dyDescent="0.35">
      <c r="A378" s="3">
        <v>46274</v>
      </c>
      <c r="B378" s="2" t="s">
        <v>361</v>
      </c>
      <c r="C378" s="108"/>
      <c r="D378" s="108">
        <v>1307787</v>
      </c>
      <c r="E378" s="4">
        <f t="shared" si="6"/>
        <v>164829025</v>
      </c>
      <c r="F378" s="2">
        <v>5822191</v>
      </c>
      <c r="G378" s="2" t="s">
        <v>377</v>
      </c>
      <c r="H378" s="2" t="s">
        <v>113</v>
      </c>
    </row>
    <row r="379" spans="1:8" x14ac:dyDescent="0.35">
      <c r="A379" s="3">
        <v>46274</v>
      </c>
      <c r="B379" s="2" t="s">
        <v>393</v>
      </c>
      <c r="C379" s="108"/>
      <c r="D379" s="108">
        <v>316800</v>
      </c>
      <c r="E379" s="4">
        <f t="shared" si="6"/>
        <v>164512225</v>
      </c>
      <c r="F379" s="2">
        <v>5822192</v>
      </c>
      <c r="G379" s="2" t="s">
        <v>397</v>
      </c>
      <c r="H379" s="2" t="s">
        <v>212</v>
      </c>
    </row>
    <row r="380" spans="1:8" x14ac:dyDescent="0.35">
      <c r="A380" s="3">
        <v>46274</v>
      </c>
      <c r="B380" s="2" t="s">
        <v>57</v>
      </c>
      <c r="C380" s="108"/>
      <c r="D380" s="108">
        <v>29158400</v>
      </c>
      <c r="E380" s="4">
        <f t="shared" si="6"/>
        <v>135353825</v>
      </c>
      <c r="F380" s="2">
        <v>5822193</v>
      </c>
      <c r="G380" s="2" t="s">
        <v>346</v>
      </c>
      <c r="H380" s="2" t="s">
        <v>346</v>
      </c>
    </row>
    <row r="381" spans="1:8" x14ac:dyDescent="0.35">
      <c r="A381" s="3">
        <v>46274</v>
      </c>
      <c r="B381" s="2" t="s">
        <v>297</v>
      </c>
      <c r="C381" s="108"/>
      <c r="D381" s="108">
        <v>349200</v>
      </c>
      <c r="E381" s="4">
        <f t="shared" si="6"/>
        <v>135004625</v>
      </c>
      <c r="F381" s="2">
        <v>5822194</v>
      </c>
      <c r="G381" s="2" t="s">
        <v>398</v>
      </c>
      <c r="H381" s="2" t="s">
        <v>230</v>
      </c>
    </row>
    <row r="382" spans="1:8" x14ac:dyDescent="0.35">
      <c r="A382" s="3">
        <v>46274</v>
      </c>
      <c r="B382" s="2" t="s">
        <v>365</v>
      </c>
      <c r="C382" s="108"/>
      <c r="D382" s="108">
        <v>11160600</v>
      </c>
      <c r="E382" s="4">
        <f t="shared" si="6"/>
        <v>123844025</v>
      </c>
      <c r="F382" s="2">
        <v>5822197</v>
      </c>
      <c r="G382" s="2" t="s">
        <v>346</v>
      </c>
      <c r="H382" s="2" t="s">
        <v>346</v>
      </c>
    </row>
    <row r="383" spans="1:8" x14ac:dyDescent="0.35">
      <c r="A383" s="3">
        <v>46274</v>
      </c>
      <c r="B383" s="2" t="s">
        <v>389</v>
      </c>
      <c r="C383" s="108"/>
      <c r="D383" s="108">
        <v>16108500</v>
      </c>
      <c r="E383" s="4">
        <f t="shared" si="6"/>
        <v>107735525</v>
      </c>
      <c r="F383" s="2">
        <v>5822198</v>
      </c>
      <c r="G383" s="2" t="s">
        <v>346</v>
      </c>
      <c r="H383" s="2" t="s">
        <v>346</v>
      </c>
    </row>
    <row r="384" spans="1:8" x14ac:dyDescent="0.35">
      <c r="A384" s="3">
        <v>46274</v>
      </c>
      <c r="B384" s="2" t="s">
        <v>394</v>
      </c>
      <c r="C384" s="108"/>
      <c r="D384" s="108">
        <v>32816800</v>
      </c>
      <c r="E384" s="4">
        <f t="shared" si="6"/>
        <v>74918725</v>
      </c>
      <c r="F384" s="2">
        <v>5822199</v>
      </c>
      <c r="G384" s="2" t="s">
        <v>346</v>
      </c>
      <c r="H384" s="2" t="s">
        <v>346</v>
      </c>
    </row>
    <row r="385" spans="1:9" x14ac:dyDescent="0.35">
      <c r="A385" s="3">
        <v>46274</v>
      </c>
      <c r="B385" s="2" t="s">
        <v>395</v>
      </c>
      <c r="C385" s="108"/>
      <c r="D385" s="108">
        <v>12487200</v>
      </c>
      <c r="E385" s="4">
        <f t="shared" si="6"/>
        <v>62431525</v>
      </c>
      <c r="F385" s="2">
        <v>5822200</v>
      </c>
      <c r="G385" s="2" t="s">
        <v>346</v>
      </c>
      <c r="H385" s="2" t="s">
        <v>346</v>
      </c>
    </row>
    <row r="386" spans="1:9" x14ac:dyDescent="0.35">
      <c r="A386" s="3">
        <v>46274</v>
      </c>
      <c r="B386" s="2" t="s">
        <v>396</v>
      </c>
      <c r="C386" s="108"/>
      <c r="D386" s="108">
        <v>16211200</v>
      </c>
      <c r="E386" s="4">
        <f t="shared" si="6"/>
        <v>46220325</v>
      </c>
      <c r="F386" s="2">
        <v>5862901</v>
      </c>
      <c r="G386" s="2" t="s">
        <v>346</v>
      </c>
      <c r="H386" s="2" t="s">
        <v>346</v>
      </c>
    </row>
    <row r="387" spans="1:9" x14ac:dyDescent="0.35">
      <c r="A387" s="3">
        <v>46274</v>
      </c>
      <c r="B387" s="2" t="s">
        <v>390</v>
      </c>
      <c r="C387" s="108"/>
      <c r="D387" s="108">
        <v>15180000</v>
      </c>
      <c r="E387" s="4">
        <f t="shared" si="6"/>
        <v>31040325</v>
      </c>
      <c r="F387" s="2">
        <v>5862902</v>
      </c>
      <c r="G387" s="2" t="s">
        <v>346</v>
      </c>
      <c r="H387" s="2" t="s">
        <v>346</v>
      </c>
    </row>
    <row r="388" spans="1:9" x14ac:dyDescent="0.35">
      <c r="A388" s="3">
        <v>46274</v>
      </c>
      <c r="B388" s="2" t="s">
        <v>386</v>
      </c>
      <c r="C388" s="108"/>
      <c r="D388" s="108">
        <v>7908000</v>
      </c>
      <c r="E388" s="4">
        <f t="shared" si="6"/>
        <v>23132325</v>
      </c>
      <c r="F388" s="2">
        <v>5862903</v>
      </c>
      <c r="G388" s="2" t="s">
        <v>346</v>
      </c>
      <c r="H388" s="2" t="s">
        <v>346</v>
      </c>
    </row>
    <row r="389" spans="1:9" x14ac:dyDescent="0.35">
      <c r="A389" s="3">
        <v>46274</v>
      </c>
      <c r="B389" s="2" t="s">
        <v>364</v>
      </c>
      <c r="C389" s="108"/>
      <c r="D389" s="108">
        <v>2972800</v>
      </c>
      <c r="E389" s="4">
        <f t="shared" si="6"/>
        <v>20159525</v>
      </c>
      <c r="F389" s="2">
        <v>5822195</v>
      </c>
      <c r="G389" s="2" t="s">
        <v>346</v>
      </c>
      <c r="H389" s="2" t="s">
        <v>346</v>
      </c>
    </row>
    <row r="390" spans="1:9" x14ac:dyDescent="0.35">
      <c r="A390" s="3">
        <v>46274</v>
      </c>
      <c r="B390" s="2" t="s">
        <v>63</v>
      </c>
      <c r="C390" s="108"/>
      <c r="D390" s="108">
        <v>10000000</v>
      </c>
      <c r="E390" s="4">
        <f t="shared" si="6"/>
        <v>10159525</v>
      </c>
      <c r="F390" s="2">
        <v>5862904</v>
      </c>
      <c r="G390" s="2" t="s">
        <v>250</v>
      </c>
      <c r="H390" s="2" t="s">
        <v>217</v>
      </c>
    </row>
    <row r="391" spans="1:9" x14ac:dyDescent="0.35">
      <c r="A391" s="3">
        <v>46275</v>
      </c>
      <c r="B391" s="2" t="s">
        <v>408</v>
      </c>
      <c r="C391" s="108"/>
      <c r="D391" s="108">
        <v>7000000</v>
      </c>
      <c r="E391" s="4">
        <f t="shared" si="6"/>
        <v>3159525</v>
      </c>
      <c r="F391" s="2">
        <v>5862905</v>
      </c>
      <c r="G391" s="2" t="s">
        <v>407</v>
      </c>
      <c r="H391" s="2" t="s">
        <v>230</v>
      </c>
    </row>
    <row r="392" spans="1:9" s="109" customFormat="1" x14ac:dyDescent="0.35">
      <c r="A392" s="102">
        <v>46276</v>
      </c>
      <c r="B392" s="103" t="s">
        <v>369</v>
      </c>
      <c r="C392" s="104">
        <v>30182772</v>
      </c>
      <c r="D392" s="104"/>
      <c r="E392" s="113">
        <f t="shared" si="6"/>
        <v>33342297</v>
      </c>
      <c r="F392" s="103"/>
      <c r="G392" s="103" t="s">
        <v>409</v>
      </c>
      <c r="H392" s="103" t="s">
        <v>215</v>
      </c>
      <c r="I392" s="109">
        <v>34000</v>
      </c>
    </row>
    <row r="393" spans="1:9" x14ac:dyDescent="0.35">
      <c r="A393" s="3">
        <v>46276</v>
      </c>
      <c r="B393" s="2" t="s">
        <v>418</v>
      </c>
      <c r="C393" s="108"/>
      <c r="D393" s="108">
        <v>33000</v>
      </c>
      <c r="E393" s="4">
        <f t="shared" si="6"/>
        <v>33309297</v>
      </c>
      <c r="F393" s="2"/>
      <c r="G393" s="2"/>
      <c r="H393" s="2" t="s">
        <v>123</v>
      </c>
    </row>
    <row r="394" spans="1:9" x14ac:dyDescent="0.35">
      <c r="A394" s="3">
        <v>46276</v>
      </c>
      <c r="B394" s="2" t="s">
        <v>94</v>
      </c>
      <c r="C394" s="108"/>
      <c r="D394" s="108">
        <v>252204</v>
      </c>
      <c r="E394" s="4">
        <f t="shared" si="6"/>
        <v>33057093</v>
      </c>
      <c r="F394" s="2"/>
      <c r="G394" s="2"/>
      <c r="H394" s="2" t="s">
        <v>94</v>
      </c>
    </row>
    <row r="395" spans="1:9" x14ac:dyDescent="0.35">
      <c r="A395" s="3">
        <v>46276</v>
      </c>
      <c r="B395" s="2" t="s">
        <v>94</v>
      </c>
      <c r="C395" s="108"/>
      <c r="D395" s="108">
        <v>1204586</v>
      </c>
      <c r="E395" s="4">
        <f t="shared" si="6"/>
        <v>31852507</v>
      </c>
      <c r="F395" s="2"/>
      <c r="G395" s="2"/>
      <c r="H395" s="2" t="s">
        <v>94</v>
      </c>
    </row>
    <row r="396" spans="1:9" x14ac:dyDescent="0.35">
      <c r="A396" s="3">
        <v>46276</v>
      </c>
      <c r="B396" s="2" t="s">
        <v>7</v>
      </c>
      <c r="C396" s="108"/>
      <c r="D396" s="108">
        <v>5157</v>
      </c>
      <c r="E396" s="4">
        <f t="shared" si="6"/>
        <v>31847350</v>
      </c>
      <c r="F396" s="2"/>
      <c r="G396" s="2" t="s">
        <v>414</v>
      </c>
      <c r="H396" s="2" t="s">
        <v>216</v>
      </c>
    </row>
    <row r="397" spans="1:9" x14ac:dyDescent="0.35">
      <c r="A397" s="3">
        <v>46274</v>
      </c>
      <c r="B397" s="2" t="s">
        <v>7</v>
      </c>
      <c r="C397" s="108"/>
      <c r="D397" s="108">
        <v>3654</v>
      </c>
      <c r="E397" s="4">
        <f t="shared" si="6"/>
        <v>31843696</v>
      </c>
      <c r="F397" s="2"/>
      <c r="G397" s="2" t="s">
        <v>410</v>
      </c>
      <c r="H397" s="2" t="s">
        <v>216</v>
      </c>
    </row>
    <row r="398" spans="1:9" ht="13.5" customHeight="1" x14ac:dyDescent="0.35">
      <c r="A398" s="3">
        <v>46276</v>
      </c>
      <c r="B398" s="2" t="s">
        <v>381</v>
      </c>
      <c r="C398" s="108"/>
      <c r="D398" s="108">
        <v>26410425</v>
      </c>
      <c r="E398" s="4">
        <f t="shared" si="6"/>
        <v>5433271</v>
      </c>
      <c r="F398" s="2">
        <v>5862906</v>
      </c>
      <c r="G398" s="2" t="s">
        <v>415</v>
      </c>
      <c r="H398" s="2" t="s">
        <v>230</v>
      </c>
    </row>
    <row r="399" spans="1:9" x14ac:dyDescent="0.35">
      <c r="A399" s="3">
        <v>46276</v>
      </c>
      <c r="B399" s="2" t="s">
        <v>382</v>
      </c>
      <c r="C399" s="108"/>
      <c r="D399" s="108">
        <v>1535050</v>
      </c>
      <c r="E399" s="4">
        <f t="shared" si="6"/>
        <v>3898221</v>
      </c>
      <c r="F399" s="2">
        <v>5862907</v>
      </c>
      <c r="G399" s="2" t="s">
        <v>416</v>
      </c>
      <c r="H399" s="2" t="s">
        <v>230</v>
      </c>
    </row>
    <row r="400" spans="1:9" x14ac:dyDescent="0.35">
      <c r="A400" s="3">
        <v>46276</v>
      </c>
      <c r="B400" s="2" t="s">
        <v>382</v>
      </c>
      <c r="C400" s="108"/>
      <c r="D400" s="108">
        <v>3630000</v>
      </c>
      <c r="E400" s="4">
        <f t="shared" si="6"/>
        <v>268221</v>
      </c>
      <c r="F400" s="2">
        <v>5862908</v>
      </c>
      <c r="G400" s="2" t="s">
        <v>417</v>
      </c>
      <c r="H400" s="2" t="s">
        <v>230</v>
      </c>
    </row>
    <row r="401" spans="1:8" x14ac:dyDescent="0.35">
      <c r="A401" s="3">
        <v>46296</v>
      </c>
      <c r="B401" s="2" t="s">
        <v>55</v>
      </c>
      <c r="C401" s="108"/>
      <c r="D401" s="108">
        <v>10000000</v>
      </c>
      <c r="E401" s="4">
        <f t="shared" si="6"/>
        <v>-9731779</v>
      </c>
      <c r="F401" s="2">
        <v>5668780</v>
      </c>
      <c r="G401" s="2" t="s">
        <v>50</v>
      </c>
      <c r="H401" s="2" t="s">
        <v>234</v>
      </c>
    </row>
  </sheetData>
  <autoFilter ref="A3:I401" xr:uid="{00000000-0001-0000-0000-000000000000}"/>
  <mergeCells count="1">
    <mergeCell ref="A1:G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1612-33E5-44FF-A895-A5E2F2F7C7AF}">
  <dimension ref="B3:AF21"/>
  <sheetViews>
    <sheetView topLeftCell="U1" workbookViewId="0">
      <pane ySplit="4" topLeftCell="A5" activePane="bottomLeft" state="frozen"/>
      <selection pane="bottomLeft" activeCell="C5" sqref="C5"/>
    </sheetView>
  </sheetViews>
  <sheetFormatPr baseColWidth="10" defaultColWidth="8.7265625" defaultRowHeight="14.5" x14ac:dyDescent="0.35"/>
  <cols>
    <col min="2" max="3" width="17" customWidth="1"/>
    <col min="4" max="4" width="17.7265625" bestFit="1" customWidth="1"/>
    <col min="6" max="6" width="15.26953125" customWidth="1"/>
    <col min="7" max="7" width="43.453125" bestFit="1" customWidth="1"/>
    <col min="8" max="8" width="20.36328125" bestFit="1" customWidth="1"/>
    <col min="9" max="9" width="15.26953125" customWidth="1"/>
    <col min="10" max="10" width="20.90625" customWidth="1"/>
    <col min="11" max="11" width="15.26953125" customWidth="1"/>
    <col min="13" max="14" width="14.1796875" customWidth="1"/>
    <col min="15" max="15" width="20.36328125" bestFit="1" customWidth="1"/>
    <col min="16" max="18" width="14.1796875" customWidth="1"/>
    <col min="20" max="21" width="13.90625" customWidth="1"/>
    <col min="22" max="22" width="22.36328125" bestFit="1" customWidth="1"/>
    <col min="23" max="25" width="13.90625" customWidth="1"/>
    <col min="27" max="27" width="11.26953125" customWidth="1"/>
    <col min="28" max="28" width="25.81640625" bestFit="1" customWidth="1"/>
    <col min="29" max="29" width="19.08984375" bestFit="1" customWidth="1"/>
    <col min="30" max="30" width="11.1796875" customWidth="1"/>
  </cols>
  <sheetData>
    <row r="3" spans="2:32" ht="18.5" x14ac:dyDescent="0.45">
      <c r="F3" s="115" t="s">
        <v>226</v>
      </c>
      <c r="G3" s="116"/>
      <c r="H3" s="62">
        <f>SUBTOTAL(9,H5:H5000)</f>
        <v>251811400</v>
      </c>
      <c r="I3" s="117"/>
      <c r="J3" s="118"/>
      <c r="K3" s="119"/>
      <c r="M3" s="115" t="s">
        <v>234</v>
      </c>
      <c r="N3" s="116"/>
      <c r="O3" s="62">
        <f>SUBTOTAL(9,O5:O5000)</f>
        <v>160953944</v>
      </c>
      <c r="P3" s="117"/>
      <c r="Q3" s="118"/>
      <c r="R3" s="119"/>
      <c r="T3" s="115" t="s">
        <v>134</v>
      </c>
      <c r="U3" s="116"/>
      <c r="V3" s="62">
        <f>SUBTOTAL(9,V5:V5000)</f>
        <v>1195000000</v>
      </c>
      <c r="W3" s="117"/>
      <c r="X3" s="118"/>
      <c r="Y3" s="119"/>
      <c r="AA3" s="115" t="s">
        <v>305</v>
      </c>
      <c r="AB3" s="116"/>
      <c r="AC3" s="62">
        <f>SUBTOTAL(9,AC5:AC5000)</f>
        <v>13767100</v>
      </c>
      <c r="AD3" s="117"/>
      <c r="AE3" s="118"/>
      <c r="AF3" s="119"/>
    </row>
    <row r="4" spans="2:32" x14ac:dyDescent="0.35">
      <c r="B4" s="69" t="s">
        <v>240</v>
      </c>
      <c r="C4" s="69" t="s">
        <v>239</v>
      </c>
      <c r="D4" s="69" t="s">
        <v>255</v>
      </c>
      <c r="F4" s="60" t="s">
        <v>9</v>
      </c>
      <c r="G4" s="60" t="s">
        <v>1</v>
      </c>
      <c r="H4" s="60" t="s">
        <v>10</v>
      </c>
      <c r="I4" s="60" t="s">
        <v>11</v>
      </c>
      <c r="J4" s="60" t="s">
        <v>17</v>
      </c>
      <c r="K4" s="60" t="s">
        <v>233</v>
      </c>
      <c r="M4" s="60" t="s">
        <v>9</v>
      </c>
      <c r="N4" s="60" t="s">
        <v>1</v>
      </c>
      <c r="O4" s="60" t="s">
        <v>10</v>
      </c>
      <c r="P4" s="60" t="s">
        <v>11</v>
      </c>
      <c r="Q4" s="60" t="s">
        <v>17</v>
      </c>
      <c r="R4" s="60" t="s">
        <v>233</v>
      </c>
      <c r="T4" s="60" t="s">
        <v>9</v>
      </c>
      <c r="U4" s="60" t="s">
        <v>1</v>
      </c>
      <c r="V4" s="60" t="s">
        <v>10</v>
      </c>
      <c r="W4" s="60" t="s">
        <v>11</v>
      </c>
      <c r="X4" s="60" t="s">
        <v>17</v>
      </c>
      <c r="Y4" s="60" t="s">
        <v>233</v>
      </c>
      <c r="AA4" s="60" t="s">
        <v>9</v>
      </c>
      <c r="AB4" s="60" t="s">
        <v>1</v>
      </c>
      <c r="AC4" s="60" t="s">
        <v>10</v>
      </c>
      <c r="AD4" s="60" t="s">
        <v>11</v>
      </c>
      <c r="AE4" s="60" t="s">
        <v>17</v>
      </c>
      <c r="AF4" s="60" t="s">
        <v>233</v>
      </c>
    </row>
    <row r="5" spans="2:32" x14ac:dyDescent="0.35">
      <c r="B5" s="2" t="s">
        <v>226</v>
      </c>
      <c r="C5" s="65">
        <f>H3</f>
        <v>251811400</v>
      </c>
      <c r="D5" s="65"/>
      <c r="F5" s="61" cm="1">
        <f t="array" ref="F5:K21">_xlfn.CHOOSECOLS(_xlfn._xlws.FILTER(STATEMENT!A3:H5027,STATEMENT!H3:H5027="CAISSE DEPOSIT"),1,2,3,6,7,8)</f>
        <v>46038</v>
      </c>
      <c r="G5" s="2" t="str">
        <v>VERSEMENT GARBA YBRAHIM</v>
      </c>
      <c r="H5" s="7">
        <v>5000000</v>
      </c>
      <c r="I5" s="2">
        <v>0</v>
      </c>
      <c r="J5" s="2" t="str">
        <v>CAISSE DEPOSIT BY NAP</v>
      </c>
      <c r="K5" s="2" t="str">
        <v>CAISSE DEPOSIT</v>
      </c>
      <c r="M5" s="61" cm="1">
        <f t="array" ref="M5:R14">_xlfn.CHOOSECOLS(_xlfn._xlws.FILTER(STATEMENT!A3:H5027,STATEMENT!H3:H5027="WITHDRAWAL"),1,2,4,6,7,8)</f>
        <v>46092</v>
      </c>
      <c r="N5" s="2" t="str">
        <v>SANOUSSI MOUINOU</v>
      </c>
      <c r="O5" s="7">
        <v>8000000</v>
      </c>
      <c r="P5" s="2">
        <v>5447259</v>
      </c>
      <c r="Q5" s="2" t="str">
        <v>RETRAIT POUR NAP</v>
      </c>
      <c r="R5" s="2" t="str">
        <v>WITHDRAWAL</v>
      </c>
      <c r="T5" s="61" cm="1">
        <f t="array" ref="T5:Y17">_xlfn.CHOOSECOLS(_xlfn._xlws.FILTER(STATEMENT!A3:H5027,STATEMENT!H3:H5027="MITC"),1,2,4,6,7,8)</f>
        <v>46104</v>
      </c>
      <c r="U5" s="2" t="str">
        <v>MITC</v>
      </c>
      <c r="V5" s="7">
        <v>130000000</v>
      </c>
      <c r="W5" s="2">
        <v>5447269</v>
      </c>
      <c r="X5" s="2" t="str">
        <v>REMISE POUR MITC</v>
      </c>
      <c r="Y5" s="2" t="str">
        <v>MITC</v>
      </c>
      <c r="AA5" s="61" cm="1">
        <f t="array" ref="AA5:AF5">_xlfn.CHOOSECOLS(_xlfn._xlws.FILTER(STATEMENT!A3:H5027,STATEMENT!H3:H5027="REMBOURSEMENT"),1,2,4,6,7,8)</f>
        <v>46213</v>
      </c>
      <c r="AB5" s="2" t="str">
        <v>DERE IMPORT EXPORT SARL U</v>
      </c>
      <c r="AC5" s="7">
        <v>13767100</v>
      </c>
      <c r="AD5" s="2">
        <v>5822135</v>
      </c>
      <c r="AE5" s="2" t="str">
        <v>REMBOURSEMENT DE COMMANDE NON EXECUTEE A DERE IMPORT EXPORT SARL U</v>
      </c>
      <c r="AF5" s="2" t="str">
        <v>REMBOURSEMENT</v>
      </c>
    </row>
    <row r="6" spans="2:32" x14ac:dyDescent="0.35">
      <c r="B6" s="2" t="s">
        <v>234</v>
      </c>
      <c r="C6" s="65"/>
      <c r="D6" s="65">
        <f>O3</f>
        <v>160953944</v>
      </c>
      <c r="F6" s="61">
        <v>46059</v>
      </c>
      <c r="G6" s="2" t="str">
        <v>VERSEMENT GARBA YBRAHIM</v>
      </c>
      <c r="H6" s="7">
        <v>15000000</v>
      </c>
      <c r="I6" s="2">
        <v>0</v>
      </c>
      <c r="J6" s="2" t="str">
        <v>CAISSE DEPOSIT BY NAP</v>
      </c>
      <c r="K6" s="2" t="str">
        <v>CAISSE DEPOSIT</v>
      </c>
      <c r="M6" s="61">
        <v>46108</v>
      </c>
      <c r="N6" s="2" t="str">
        <v>AFFO MOUSSA IBRAHIM</v>
      </c>
      <c r="O6" s="7">
        <v>22000000</v>
      </c>
      <c r="P6" s="2">
        <v>5447270</v>
      </c>
      <c r="Q6" s="2" t="str">
        <v>RETRAIT POUR NAP</v>
      </c>
      <c r="R6" s="2" t="str">
        <v>WITHDRAWAL</v>
      </c>
      <c r="T6" s="61">
        <v>46104</v>
      </c>
      <c r="U6" s="2" t="str">
        <v>MITC</v>
      </c>
      <c r="V6" s="7">
        <v>95000000</v>
      </c>
      <c r="W6" s="2">
        <v>5447267</v>
      </c>
      <c r="X6" s="2" t="str">
        <v>REMISE POUR MITC</v>
      </c>
      <c r="Y6" s="2" t="str">
        <v>MITC</v>
      </c>
      <c r="AA6" s="61"/>
      <c r="AB6" s="2"/>
      <c r="AC6" s="7"/>
      <c r="AD6" s="2"/>
      <c r="AE6" s="2"/>
      <c r="AF6" s="2"/>
    </row>
    <row r="7" spans="2:32" x14ac:dyDescent="0.35">
      <c r="B7" s="2" t="s">
        <v>134</v>
      </c>
      <c r="C7" s="2"/>
      <c r="D7" s="65">
        <f>V3</f>
        <v>1195000000</v>
      </c>
      <c r="F7" s="61">
        <v>46063</v>
      </c>
      <c r="G7" s="2" t="str">
        <v>VERSEMENT SANOUSSI MOUINOU</v>
      </c>
      <c r="H7" s="7">
        <v>10000000</v>
      </c>
      <c r="I7" s="2">
        <v>0</v>
      </c>
      <c r="J7" s="2" t="str">
        <v>CAISSE DEPOSIT BY NAP</v>
      </c>
      <c r="K7" s="2" t="str">
        <v>CAISSE DEPOSIT</v>
      </c>
      <c r="M7" s="61">
        <v>46147</v>
      </c>
      <c r="N7" s="2" t="str">
        <v>SANOUSSI MOUINOU</v>
      </c>
      <c r="O7" s="7">
        <v>25000000</v>
      </c>
      <c r="P7" s="2">
        <v>0</v>
      </c>
      <c r="Q7" s="2" t="str">
        <v>RETRAIT POUR NAP</v>
      </c>
      <c r="R7" s="2" t="str">
        <v>WITHDRAWAL</v>
      </c>
      <c r="T7" s="61">
        <v>46122</v>
      </c>
      <c r="U7" s="2" t="str">
        <v>MITC</v>
      </c>
      <c r="V7" s="7">
        <v>60000000</v>
      </c>
      <c r="W7" s="2">
        <v>5447287</v>
      </c>
      <c r="X7" s="2" t="str">
        <v>REMISE POUR MITC</v>
      </c>
      <c r="Y7" s="2" t="str">
        <v>MITC</v>
      </c>
      <c r="AA7" s="61"/>
      <c r="AB7" s="2"/>
      <c r="AC7" s="7"/>
      <c r="AD7" s="2"/>
      <c r="AE7" s="2"/>
      <c r="AF7" s="2"/>
    </row>
    <row r="8" spans="2:32" x14ac:dyDescent="0.35">
      <c r="B8" s="2" t="s">
        <v>305</v>
      </c>
      <c r="C8" s="66"/>
      <c r="D8" s="65">
        <f>AC3</f>
        <v>13767100</v>
      </c>
      <c r="F8" s="61">
        <v>46121</v>
      </c>
      <c r="G8" s="2" t="str">
        <v>VERSEMENT ESPECES BY ABDOULAYE NADJIBATOU</v>
      </c>
      <c r="H8" s="7">
        <v>61000000</v>
      </c>
      <c r="I8" s="2">
        <v>0</v>
      </c>
      <c r="J8" s="2" t="str">
        <v>CAISSE DEPOSIT BY NAP</v>
      </c>
      <c r="K8" s="2" t="str">
        <v>CAISSE DEPOSIT</v>
      </c>
      <c r="M8" s="61">
        <v>46163</v>
      </c>
      <c r="N8" s="2" t="str">
        <v>AFFO MOUSSA IBRAHIM</v>
      </c>
      <c r="O8" s="7">
        <v>20000000</v>
      </c>
      <c r="P8" s="2">
        <v>5822108</v>
      </c>
      <c r="Q8" s="2" t="str">
        <v>RETRAIT POUR NAP</v>
      </c>
      <c r="R8" s="2" t="str">
        <v>WITHDRAWAL</v>
      </c>
      <c r="T8" s="61">
        <v>46126</v>
      </c>
      <c r="U8" s="2" t="str">
        <v>MITC</v>
      </c>
      <c r="V8" s="7">
        <v>80000000</v>
      </c>
      <c r="W8" s="2">
        <v>5447293</v>
      </c>
      <c r="X8" s="2" t="str">
        <v>REMISE POUR MITC</v>
      </c>
      <c r="Y8" s="2" t="str">
        <v>MITC</v>
      </c>
      <c r="AA8" s="61"/>
      <c r="AB8" s="2"/>
      <c r="AC8" s="7"/>
      <c r="AD8" s="2"/>
      <c r="AE8" s="2"/>
      <c r="AF8" s="2"/>
    </row>
    <row r="9" spans="2:32" x14ac:dyDescent="0.35">
      <c r="B9" s="11" t="s">
        <v>241</v>
      </c>
      <c r="C9" s="66">
        <f>SUM(C5:C8)</f>
        <v>251811400</v>
      </c>
      <c r="D9" s="66">
        <f>SUM(D5:D8)</f>
        <v>1369721044</v>
      </c>
      <c r="F9" s="61">
        <v>46121</v>
      </c>
      <c r="G9" s="2" t="str">
        <v>VERSEMENT ESPECES BY KPEGLO GEORGES</v>
      </c>
      <c r="H9" s="7">
        <v>7600000</v>
      </c>
      <c r="I9" s="2">
        <v>0</v>
      </c>
      <c r="J9" s="2" t="str">
        <v>CAISSE DEPOSIT BY NAP</v>
      </c>
      <c r="K9" s="2" t="str">
        <v>CAISSE DEPOSIT</v>
      </c>
      <c r="M9" s="61">
        <v>46175</v>
      </c>
      <c r="N9" s="2" t="str">
        <v>CHEQUE 5822101</v>
      </c>
      <c r="O9" s="7">
        <v>1226972</v>
      </c>
      <c r="P9" s="2">
        <v>0</v>
      </c>
      <c r="Q9" s="2">
        <v>0</v>
      </c>
      <c r="R9" s="2" t="str">
        <v>WITHDRAWAL</v>
      </c>
      <c r="T9" s="61">
        <v>46127</v>
      </c>
      <c r="U9" s="2" t="str">
        <v>MITC</v>
      </c>
      <c r="V9" s="7">
        <v>105000000</v>
      </c>
      <c r="W9" s="2">
        <v>5447296</v>
      </c>
      <c r="X9" s="2" t="str">
        <v>REMISE POUR MITC</v>
      </c>
      <c r="Y9" s="2" t="str">
        <v>MITC</v>
      </c>
      <c r="AA9" s="61"/>
      <c r="AB9" s="2"/>
      <c r="AC9" s="7"/>
      <c r="AD9" s="2"/>
      <c r="AE9" s="2"/>
      <c r="AF9" s="2"/>
    </row>
    <row r="10" spans="2:32" x14ac:dyDescent="0.35">
      <c r="F10" s="61">
        <v>46176</v>
      </c>
      <c r="G10" s="2" t="str">
        <v>VERSEMENT ESPECES BY SHARMA RISHI</v>
      </c>
      <c r="H10" s="7">
        <v>700000</v>
      </c>
      <c r="I10" s="2">
        <v>0</v>
      </c>
      <c r="J10" s="2">
        <v>0</v>
      </c>
      <c r="K10" s="2" t="str">
        <v>CAISSE DEPOSIT</v>
      </c>
      <c r="M10" s="61">
        <v>46175</v>
      </c>
      <c r="N10" s="2">
        <v>0</v>
      </c>
      <c r="O10" s="7">
        <v>1226972</v>
      </c>
      <c r="P10" s="2">
        <v>0</v>
      </c>
      <c r="Q10" s="2">
        <v>0</v>
      </c>
      <c r="R10" s="2" t="str">
        <v>WITHDRAWAL</v>
      </c>
      <c r="T10" s="61">
        <v>46141</v>
      </c>
      <c r="U10" s="2" t="str">
        <v>MITC</v>
      </c>
      <c r="V10" s="7">
        <v>50000000</v>
      </c>
      <c r="W10" s="2" t="str">
        <v>ORDRE DE TRANSFERT</v>
      </c>
      <c r="X10" s="2" t="str">
        <v>VIREMENT POUR MITC</v>
      </c>
      <c r="Y10" s="2" t="str">
        <v>MITC</v>
      </c>
      <c r="AA10" s="61"/>
      <c r="AB10" s="2"/>
      <c r="AC10" s="7"/>
      <c r="AD10" s="2"/>
      <c r="AE10" s="2"/>
      <c r="AF10" s="2"/>
    </row>
    <row r="11" spans="2:32" x14ac:dyDescent="0.35">
      <c r="F11" s="61">
        <v>46212</v>
      </c>
      <c r="G11" s="2" t="str">
        <v>MITC</v>
      </c>
      <c r="H11" s="7">
        <v>30000000</v>
      </c>
      <c r="I11" s="2">
        <v>0</v>
      </c>
      <c r="J11" s="2" t="str">
        <v xml:space="preserve">REMISE POUR NAP </v>
      </c>
      <c r="K11" s="2" t="str">
        <v>CAISSE DEPOSIT</v>
      </c>
      <c r="M11" s="61">
        <v>46192</v>
      </c>
      <c r="N11" s="2" t="str">
        <v>RETRAIT POUR NAP SARL/GARBA BOURAIMA</v>
      </c>
      <c r="O11" s="7">
        <v>25000000</v>
      </c>
      <c r="P11" s="2">
        <v>5822119</v>
      </c>
      <c r="Q11" s="2" t="str">
        <v>RETRAIT POUR NAP</v>
      </c>
      <c r="R11" s="2" t="str">
        <v>WITHDRAWAL</v>
      </c>
      <c r="T11" s="61">
        <v>46149</v>
      </c>
      <c r="U11" s="2" t="str">
        <v>MITC</v>
      </c>
      <c r="V11" s="7">
        <v>120000000</v>
      </c>
      <c r="W11" s="2">
        <v>5822104</v>
      </c>
      <c r="X11" s="2" t="str">
        <v>REMISE POUR MITC</v>
      </c>
      <c r="Y11" s="2" t="str">
        <v>MITC</v>
      </c>
      <c r="AA11" s="61"/>
      <c r="AB11" s="2"/>
      <c r="AC11" s="7"/>
      <c r="AD11" s="2"/>
      <c r="AE11" s="2"/>
      <c r="AF11" s="2"/>
    </row>
    <row r="12" spans="2:32" x14ac:dyDescent="0.35">
      <c r="F12" s="61">
        <v>46216</v>
      </c>
      <c r="G12" s="2" t="str">
        <v>MITC</v>
      </c>
      <c r="H12" s="7">
        <v>30000000</v>
      </c>
      <c r="I12" s="2">
        <v>0</v>
      </c>
      <c r="J12" s="2" t="str">
        <v xml:space="preserve">REMISE POUR NAP </v>
      </c>
      <c r="K12" s="2" t="str">
        <v>CAISSE DEPOSIT</v>
      </c>
      <c r="M12" s="61">
        <v>46251</v>
      </c>
      <c r="N12" s="2" t="str">
        <v>REMISE POUR NAP ECOBANK</v>
      </c>
      <c r="O12" s="7">
        <v>35000000</v>
      </c>
      <c r="P12" s="2">
        <v>5822141</v>
      </c>
      <c r="Q12" s="2" t="str">
        <v>REMISE POUR NAP ECOBANK</v>
      </c>
      <c r="R12" s="2" t="str">
        <v>WITHDRAWAL</v>
      </c>
      <c r="T12" s="61">
        <v>46170</v>
      </c>
      <c r="U12" s="2" t="str">
        <v>MITC</v>
      </c>
      <c r="V12" s="7">
        <v>120000000</v>
      </c>
      <c r="W12" s="2">
        <v>5822115</v>
      </c>
      <c r="X12" s="2" t="str">
        <v>REMISE POUR MITC</v>
      </c>
      <c r="Y12" s="2" t="str">
        <v>MITC</v>
      </c>
      <c r="AA12" s="61"/>
      <c r="AB12" s="2"/>
      <c r="AC12" s="7"/>
      <c r="AD12" s="2"/>
      <c r="AE12" s="2"/>
      <c r="AF12" s="2"/>
    </row>
    <row r="13" spans="2:32" x14ac:dyDescent="0.35">
      <c r="F13" s="61">
        <v>46233</v>
      </c>
      <c r="G13" s="2" t="str">
        <v>VERSEMENT ESPECES BY SHARMA RISHI</v>
      </c>
      <c r="H13" s="7">
        <v>2500000</v>
      </c>
      <c r="I13" s="2">
        <v>0</v>
      </c>
      <c r="J13" s="2">
        <v>0</v>
      </c>
      <c r="K13" s="2" t="str">
        <v>CAISSE DEPOSIT</v>
      </c>
      <c r="M13" s="61">
        <v>46260</v>
      </c>
      <c r="N13" s="2" t="str">
        <v>VERSEMENT ESPECES BY AFFO MOUSSA ABRAHIM</v>
      </c>
      <c r="O13" s="7">
        <v>13500000</v>
      </c>
      <c r="P13" s="2">
        <v>5822167</v>
      </c>
      <c r="Q13" s="2">
        <v>0</v>
      </c>
      <c r="R13" s="2" t="str">
        <v>WITHDRAWAL</v>
      </c>
      <c r="T13" s="61">
        <v>46190</v>
      </c>
      <c r="U13" s="2" t="str">
        <v>MITC</v>
      </c>
      <c r="V13" s="7">
        <v>73000000</v>
      </c>
      <c r="W13" s="2">
        <v>5822117</v>
      </c>
      <c r="X13" s="2" t="str">
        <v>REMISE POUR MITC</v>
      </c>
      <c r="Y13" s="2" t="str">
        <v>MITC</v>
      </c>
      <c r="AA13" s="61"/>
      <c r="AB13" s="2"/>
      <c r="AC13" s="7"/>
      <c r="AD13" s="2"/>
      <c r="AE13" s="2"/>
      <c r="AF13" s="2"/>
    </row>
    <row r="14" spans="2:32" x14ac:dyDescent="0.35">
      <c r="F14" s="61">
        <v>46234</v>
      </c>
      <c r="G14" s="2" t="str">
        <v>VERSEMENT ESPECES BY AFFO MOUSSA ABRAHIM</v>
      </c>
      <c r="H14" s="7">
        <v>500000</v>
      </c>
      <c r="I14" s="2">
        <v>0</v>
      </c>
      <c r="J14" s="2">
        <v>0</v>
      </c>
      <c r="K14" s="2" t="str">
        <v>CAISSE DEPOSIT</v>
      </c>
      <c r="M14" s="61">
        <v>46296</v>
      </c>
      <c r="N14" s="2" t="str">
        <v>AFFO MOUSSA IBRAHIM</v>
      </c>
      <c r="O14" s="7">
        <v>10000000</v>
      </c>
      <c r="P14" s="2">
        <v>5668780</v>
      </c>
      <c r="Q14" s="2" t="str">
        <v>RETRAIT POUR NAP</v>
      </c>
      <c r="R14" s="2" t="str">
        <v>WITHDRAWAL</v>
      </c>
      <c r="T14" s="61">
        <v>46195</v>
      </c>
      <c r="U14" s="2" t="str">
        <v>MITC</v>
      </c>
      <c r="V14" s="7">
        <v>200000000</v>
      </c>
      <c r="W14" s="2">
        <v>5822120</v>
      </c>
      <c r="X14" s="2" t="str">
        <v>REMISE POUR MITC</v>
      </c>
      <c r="Y14" s="2" t="str">
        <v>MITC</v>
      </c>
      <c r="AA14" s="61"/>
      <c r="AB14" s="2"/>
      <c r="AC14" s="7"/>
      <c r="AD14" s="2"/>
      <c r="AE14" s="2"/>
      <c r="AF14" s="2"/>
    </row>
    <row r="15" spans="2:32" x14ac:dyDescent="0.35">
      <c r="F15" s="61">
        <v>46238</v>
      </c>
      <c r="G15" s="2" t="str">
        <v>VERSEMENT ESPECES BY GARBA IBRAHIM</v>
      </c>
      <c r="H15" s="7">
        <v>1200000</v>
      </c>
      <c r="I15" s="2">
        <v>0</v>
      </c>
      <c r="J15" s="2">
        <v>0</v>
      </c>
      <c r="K15" s="2" t="str">
        <v>CAISSE DEPOSIT</v>
      </c>
      <c r="M15" s="61"/>
      <c r="N15" s="2"/>
      <c r="O15" s="7"/>
      <c r="P15" s="2"/>
      <c r="Q15" s="2"/>
      <c r="R15" s="2"/>
      <c r="T15" s="61">
        <v>46206</v>
      </c>
      <c r="U15" s="2" t="str">
        <v>MITC</v>
      </c>
      <c r="V15" s="7">
        <v>20000000</v>
      </c>
      <c r="W15" s="2">
        <v>0</v>
      </c>
      <c r="X15" s="2" t="str">
        <v>REMISE POUR MITC</v>
      </c>
      <c r="Y15" s="2" t="str">
        <v>MITC</v>
      </c>
      <c r="AA15" s="61"/>
      <c r="AB15" s="2"/>
      <c r="AC15" s="7"/>
      <c r="AD15" s="2"/>
      <c r="AE15" s="2"/>
      <c r="AF15" s="2"/>
    </row>
    <row r="16" spans="2:32" x14ac:dyDescent="0.35">
      <c r="F16" s="61">
        <v>46244</v>
      </c>
      <c r="G16" s="2" t="str">
        <v>VERSEMENT ESPECES BY GARBA IBRAHIM</v>
      </c>
      <c r="H16" s="7">
        <v>1500000</v>
      </c>
      <c r="I16" s="2">
        <v>0</v>
      </c>
      <c r="J16" s="2">
        <v>0</v>
      </c>
      <c r="K16" s="2" t="str">
        <v>CAISSE DEPOSIT</v>
      </c>
      <c r="M16" s="61"/>
      <c r="N16" s="2"/>
      <c r="O16" s="7"/>
      <c r="P16" s="2"/>
      <c r="Q16" s="2"/>
      <c r="R16" s="2"/>
      <c r="T16" s="61">
        <v>46206</v>
      </c>
      <c r="U16" s="2" t="str">
        <v>MITC</v>
      </c>
      <c r="V16" s="7">
        <v>130000000</v>
      </c>
      <c r="W16" s="2">
        <v>0</v>
      </c>
      <c r="X16" s="2" t="str">
        <v>REMISE POUR MITC</v>
      </c>
      <c r="Y16" s="2" t="str">
        <v>MITC</v>
      </c>
      <c r="AA16" s="61"/>
      <c r="AB16" s="2"/>
      <c r="AC16" s="7"/>
      <c r="AD16" s="2"/>
      <c r="AE16" s="2"/>
      <c r="AF16" s="2"/>
    </row>
    <row r="17" spans="6:32" x14ac:dyDescent="0.35">
      <c r="F17" s="61">
        <v>46246</v>
      </c>
      <c r="G17" s="2" t="str">
        <v>VERSEMENT ESPECES BY KPEGLO GEORGES KOUDOUS</v>
      </c>
      <c r="H17" s="7">
        <v>17063900</v>
      </c>
      <c r="I17" s="2">
        <v>0</v>
      </c>
      <c r="J17" s="2">
        <v>0</v>
      </c>
      <c r="K17" s="2" t="str">
        <v>CAISSE DEPOSIT</v>
      </c>
      <c r="M17" s="61"/>
      <c r="N17" s="2"/>
      <c r="O17" s="7"/>
      <c r="P17" s="2"/>
      <c r="Q17" s="2"/>
      <c r="R17" s="2"/>
      <c r="T17" s="61">
        <v>46206</v>
      </c>
      <c r="U17" s="2" t="str">
        <v>MITC</v>
      </c>
      <c r="V17" s="7">
        <v>12000000</v>
      </c>
      <c r="W17" s="2">
        <v>0</v>
      </c>
      <c r="X17" s="2" t="str">
        <v>REMISE POUR MITC</v>
      </c>
      <c r="Y17" s="2" t="str">
        <v>MITC</v>
      </c>
      <c r="AA17" s="61"/>
      <c r="AB17" s="2"/>
      <c r="AC17" s="7"/>
      <c r="AD17" s="2"/>
      <c r="AE17" s="2"/>
      <c r="AF17" s="2"/>
    </row>
    <row r="18" spans="6:32" x14ac:dyDescent="0.35">
      <c r="F18" s="61">
        <v>46261</v>
      </c>
      <c r="G18" s="2" t="str">
        <v>MITC</v>
      </c>
      <c r="H18" s="7">
        <v>13999500</v>
      </c>
      <c r="I18" s="2">
        <v>0</v>
      </c>
      <c r="J18" s="2" t="str">
        <v xml:space="preserve">REMISE POUR NAP </v>
      </c>
      <c r="K18" s="2" t="str">
        <v>CAISSE DEPOSIT</v>
      </c>
      <c r="M18" s="61"/>
      <c r="N18" s="2"/>
      <c r="O18" s="7"/>
      <c r="P18" s="2"/>
      <c r="Q18" s="2"/>
      <c r="R18" s="2"/>
      <c r="T18" s="61"/>
      <c r="U18" s="2"/>
      <c r="V18" s="7"/>
      <c r="W18" s="2"/>
      <c r="X18" s="2"/>
      <c r="Y18" s="2"/>
      <c r="AA18" s="61"/>
      <c r="AB18" s="2"/>
      <c r="AC18" s="7"/>
      <c r="AD18" s="2"/>
      <c r="AE18" s="2"/>
      <c r="AF18" s="2"/>
    </row>
    <row r="19" spans="6:32" x14ac:dyDescent="0.35">
      <c r="F19" s="61">
        <v>46266</v>
      </c>
      <c r="G19" s="2" t="str">
        <v>MITC</v>
      </c>
      <c r="H19" s="7">
        <v>15300000</v>
      </c>
      <c r="I19" s="2">
        <v>0</v>
      </c>
      <c r="J19" s="2" t="str">
        <v xml:space="preserve">REMISE POUR NAP </v>
      </c>
      <c r="K19" s="2" t="str">
        <v>CAISSE DEPOSIT</v>
      </c>
      <c r="M19" s="61"/>
      <c r="N19" s="2"/>
      <c r="O19" s="7"/>
      <c r="P19" s="2"/>
      <c r="Q19" s="2"/>
      <c r="R19" s="2"/>
      <c r="T19" s="61"/>
      <c r="U19" s="2"/>
      <c r="V19" s="7"/>
      <c r="W19" s="2"/>
      <c r="X19" s="2"/>
      <c r="Y19" s="2"/>
      <c r="AA19" s="61"/>
      <c r="AB19" s="2"/>
      <c r="AC19" s="7"/>
      <c r="AD19" s="2"/>
      <c r="AE19" s="2"/>
      <c r="AF19" s="2"/>
    </row>
    <row r="20" spans="6:32" x14ac:dyDescent="0.35">
      <c r="F20">
        <v>46267</v>
      </c>
      <c r="G20" t="str">
        <v>MITC</v>
      </c>
      <c r="H20">
        <v>20448000</v>
      </c>
      <c r="I20">
        <v>0</v>
      </c>
      <c r="J20" t="str">
        <v xml:space="preserve">REMISE POUR NAP </v>
      </c>
      <c r="K20" t="str">
        <v>CAISSE DEPOSIT</v>
      </c>
    </row>
    <row r="21" spans="6:32" x14ac:dyDescent="0.35">
      <c r="F21">
        <v>46272</v>
      </c>
      <c r="G21" t="str">
        <v>MITC</v>
      </c>
      <c r="H21">
        <v>20000000</v>
      </c>
      <c r="I21">
        <v>0</v>
      </c>
      <c r="J21" t="str">
        <v>REMISE POUR NAP</v>
      </c>
      <c r="K21" t="str">
        <v>CAISSE DEPOSIT</v>
      </c>
    </row>
  </sheetData>
  <mergeCells count="8">
    <mergeCell ref="AA3:AB3"/>
    <mergeCell ref="AD3:AF3"/>
    <mergeCell ref="F3:G3"/>
    <mergeCell ref="I3:K3"/>
    <mergeCell ref="T3:U3"/>
    <mergeCell ref="W3:Y3"/>
    <mergeCell ref="M3:N3"/>
    <mergeCell ref="P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5C4CC-3D7E-4D86-A986-8395BD7446B2}">
  <dimension ref="B3:R49"/>
  <sheetViews>
    <sheetView zoomScale="90" zoomScaleNormal="90" workbookViewId="0">
      <pane ySplit="4" topLeftCell="A5" activePane="bottomLeft" state="frozen"/>
      <selection pane="bottomLeft" activeCell="R17" sqref="R17"/>
    </sheetView>
  </sheetViews>
  <sheetFormatPr baseColWidth="10" defaultColWidth="8.7265625" defaultRowHeight="14.5" x14ac:dyDescent="0.35"/>
  <cols>
    <col min="2" max="2" width="16.26953125" bestFit="1" customWidth="1"/>
    <col min="3" max="3" width="16.81640625" customWidth="1"/>
    <col min="4" max="4" width="14.7265625" customWidth="1"/>
    <col min="5" max="5" width="6.90625" customWidth="1"/>
    <col min="6" max="6" width="12.36328125" customWidth="1"/>
    <col min="7" max="7" width="20.81640625" customWidth="1"/>
    <col min="8" max="8" width="18.1796875" bestFit="1" customWidth="1"/>
    <col min="9" max="9" width="15.36328125" customWidth="1"/>
    <col min="10" max="10" width="17.81640625" bestFit="1" customWidth="1"/>
    <col min="11" max="11" width="15.36328125" customWidth="1"/>
    <col min="12" max="12" width="6.81640625" customWidth="1"/>
    <col min="13" max="18" width="20.453125" customWidth="1"/>
  </cols>
  <sheetData>
    <row r="3" spans="2:18" ht="18.5" x14ac:dyDescent="0.45">
      <c r="F3" s="115" t="s">
        <v>254</v>
      </c>
      <c r="G3" s="116"/>
      <c r="H3" s="62">
        <f>SUBTOTAL(9,H5:H5000)</f>
        <v>8453944</v>
      </c>
      <c r="I3" s="117"/>
      <c r="J3" s="118"/>
      <c r="K3" s="119"/>
      <c r="M3" s="115" t="s">
        <v>123</v>
      </c>
      <c r="N3" s="116"/>
      <c r="O3" s="62">
        <f>SUBTOTAL(9,O5:O5000)</f>
        <v>925797</v>
      </c>
      <c r="P3" s="117"/>
      <c r="Q3" s="118"/>
      <c r="R3" s="119"/>
    </row>
    <row r="4" spans="2:18" x14ac:dyDescent="0.35">
      <c r="B4" s="69" t="s">
        <v>240</v>
      </c>
      <c r="C4" s="69" t="s">
        <v>239</v>
      </c>
      <c r="D4" s="69" t="s">
        <v>255</v>
      </c>
      <c r="F4" s="60" t="s">
        <v>9</v>
      </c>
      <c r="G4" s="60" t="s">
        <v>1</v>
      </c>
      <c r="H4" s="60" t="s">
        <v>10</v>
      </c>
      <c r="I4" s="60" t="s">
        <v>11</v>
      </c>
      <c r="J4" s="60" t="s">
        <v>17</v>
      </c>
      <c r="K4" s="60" t="s">
        <v>233</v>
      </c>
      <c r="M4" s="60" t="s">
        <v>9</v>
      </c>
      <c r="N4" s="60" t="s">
        <v>1</v>
      </c>
      <c r="O4" s="60" t="s">
        <v>10</v>
      </c>
      <c r="P4" s="60" t="s">
        <v>11</v>
      </c>
      <c r="Q4" s="60" t="s">
        <v>17</v>
      </c>
      <c r="R4" s="60" t="s">
        <v>233</v>
      </c>
    </row>
    <row r="5" spans="2:18" x14ac:dyDescent="0.35">
      <c r="B5" s="2" t="s">
        <v>254</v>
      </c>
      <c r="C5" s="65">
        <f>H3</f>
        <v>8453944</v>
      </c>
      <c r="D5" s="65"/>
      <c r="F5" s="61" cm="1">
        <f t="array" ref="F5:K7">_xlfn.CHOOSECOLS(_xlfn._xlws.FILTER(STATEMENT!A3:H5027,STATEMENT!H3:H5027="CONTRE ECRITURE"),1,2,3,6,7,8)</f>
        <v>46170</v>
      </c>
      <c r="G5" s="2" t="str">
        <v>REJET MONTANT ERRONE</v>
      </c>
      <c r="H5" s="7">
        <v>226972</v>
      </c>
      <c r="I5" s="2">
        <v>0</v>
      </c>
      <c r="J5" s="2">
        <v>0</v>
      </c>
      <c r="K5" s="2" t="str">
        <v>CONTRE ECRITURE</v>
      </c>
      <c r="M5" s="61" cm="1">
        <f t="array" ref="M5:R34">_xlfn.CHOOSECOLS(_xlfn._xlws.FILTER(STATEMENT!A3:H5027,STATEMENT!H3:H5027="FRAIS BANCAIRE"),1,2,4,6,7,8)</f>
        <v>46085</v>
      </c>
      <c r="N5" s="2" t="str">
        <v>COMMISION SUR DOMICILIATION EXPORT</v>
      </c>
      <c r="O5" s="7">
        <v>33000</v>
      </c>
      <c r="P5" s="2">
        <v>0</v>
      </c>
      <c r="Q5" s="2" t="str">
        <v>FRAIS BANCAIRE</v>
      </c>
      <c r="R5" s="2" t="str">
        <v>FRAIS BANCAIRE</v>
      </c>
    </row>
    <row r="6" spans="2:18" x14ac:dyDescent="0.35">
      <c r="B6" s="2" t="s">
        <v>123</v>
      </c>
      <c r="C6" s="65"/>
      <c r="D6" s="65">
        <f>O3</f>
        <v>925797</v>
      </c>
      <c r="F6" s="61">
        <v>46175</v>
      </c>
      <c r="G6" s="2" t="str">
        <v>REJET CHEQUE 5822101</v>
      </c>
      <c r="H6" s="7">
        <v>1226972</v>
      </c>
      <c r="I6" s="2">
        <v>0</v>
      </c>
      <c r="J6" s="2" t="str">
        <v>ABSENCE DE PROVISION</v>
      </c>
      <c r="K6" s="2" t="str">
        <v>CONTRE ECRITURE</v>
      </c>
      <c r="M6" s="61">
        <v>46097</v>
      </c>
      <c r="N6" s="2" t="str">
        <v>COMMISION SUR DOMICILIATION EXPORT</v>
      </c>
      <c r="O6" s="7">
        <v>33000</v>
      </c>
      <c r="P6" s="2">
        <v>0</v>
      </c>
      <c r="Q6" s="2" t="str">
        <v>FRAIS BANCAIRE</v>
      </c>
      <c r="R6" s="2" t="str">
        <v>FRAIS BANCAIRE</v>
      </c>
    </row>
    <row r="7" spans="2:18" x14ac:dyDescent="0.35">
      <c r="B7" s="2" t="s">
        <v>241</v>
      </c>
      <c r="C7" s="66">
        <f>SUM(C5:C6)</f>
        <v>8453944</v>
      </c>
      <c r="D7" s="66">
        <f>SUM(D5:D6)</f>
        <v>925797</v>
      </c>
      <c r="F7" s="61">
        <v>46262</v>
      </c>
      <c r="G7" s="2" t="str">
        <v>REJET /REGLEMENT CHEQUE 5822169/ABSENCE DE PROVISION</v>
      </c>
      <c r="H7" s="7">
        <v>7000000</v>
      </c>
      <c r="I7" s="2">
        <v>5822169</v>
      </c>
      <c r="J7" s="2">
        <v>0</v>
      </c>
      <c r="K7" s="2" t="str">
        <v>CONTRE ECRITURE</v>
      </c>
      <c r="M7" s="61">
        <v>46099</v>
      </c>
      <c r="N7" s="2" t="str">
        <v>COMMISION SUR DOMICILIATION EXPORT</v>
      </c>
      <c r="O7" s="7">
        <v>33000</v>
      </c>
      <c r="P7" s="2">
        <v>0</v>
      </c>
      <c r="Q7" s="2" t="str">
        <v>FRAIS BANCAIRE</v>
      </c>
      <c r="R7" s="2" t="str">
        <v>FRAIS BANCAIRE</v>
      </c>
    </row>
    <row r="8" spans="2:18" x14ac:dyDescent="0.35">
      <c r="F8" s="61"/>
      <c r="G8" s="2"/>
      <c r="H8" s="7"/>
      <c r="I8" s="2"/>
      <c r="J8" s="2"/>
      <c r="K8" s="2"/>
      <c r="M8" s="61">
        <v>46111</v>
      </c>
      <c r="N8" s="2" t="str">
        <v>COMMISION SUR DOMICILIATION EXPORT</v>
      </c>
      <c r="O8" s="7">
        <v>33000</v>
      </c>
      <c r="P8" s="2">
        <v>0</v>
      </c>
      <c r="Q8" s="2" t="str">
        <v>FRAIS BANCAIRE</v>
      </c>
      <c r="R8" s="2" t="str">
        <v>FRAIS BANCAIRE</v>
      </c>
    </row>
    <row r="9" spans="2:18" x14ac:dyDescent="0.35">
      <c r="F9" s="61"/>
      <c r="G9" s="2"/>
      <c r="H9" s="7"/>
      <c r="I9" s="2"/>
      <c r="J9" s="2"/>
      <c r="K9" s="2"/>
      <c r="M9" s="61">
        <v>46147</v>
      </c>
      <c r="N9" s="2" t="str">
        <v>FRAIS SUR DEMANDE DE CHEQUIER</v>
      </c>
      <c r="O9" s="7">
        <v>10000</v>
      </c>
      <c r="P9" s="2">
        <v>0</v>
      </c>
      <c r="Q9" s="2">
        <v>0</v>
      </c>
      <c r="R9" s="2" t="str">
        <v>FRAIS BANCAIRE</v>
      </c>
    </row>
    <row r="10" spans="2:18" x14ac:dyDescent="0.35">
      <c r="F10" s="61"/>
      <c r="G10" s="2"/>
      <c r="H10" s="7"/>
      <c r="I10" s="2"/>
      <c r="J10" s="2"/>
      <c r="K10" s="2"/>
      <c r="M10" s="61">
        <v>46148</v>
      </c>
      <c r="N10" s="2" t="str">
        <v>FRAIS SUR DEMANDE DE CHEQUIER</v>
      </c>
      <c r="O10" s="7">
        <v>10000</v>
      </c>
      <c r="P10" s="2">
        <v>0</v>
      </c>
      <c r="Q10" s="2">
        <v>0</v>
      </c>
      <c r="R10" s="2" t="str">
        <v>FRAIS BANCAIRE</v>
      </c>
    </row>
    <row r="11" spans="2:18" x14ac:dyDescent="0.35">
      <c r="F11" s="61"/>
      <c r="G11" s="2"/>
      <c r="H11" s="7"/>
      <c r="I11" s="2"/>
      <c r="J11" s="2"/>
      <c r="K11" s="2"/>
      <c r="M11" s="61">
        <v>46161</v>
      </c>
      <c r="N11" s="2" t="str">
        <v>COMMISION SUR DOMICILIATION EXPORT</v>
      </c>
      <c r="O11" s="7">
        <v>33000</v>
      </c>
      <c r="P11" s="2">
        <v>0</v>
      </c>
      <c r="Q11" s="2" t="str">
        <v>FRAIS BANCAIRE</v>
      </c>
      <c r="R11" s="2" t="str">
        <v>FRAIS BANCAIRE</v>
      </c>
    </row>
    <row r="12" spans="2:18" x14ac:dyDescent="0.35">
      <c r="F12" s="61"/>
      <c r="G12" s="2"/>
      <c r="H12" s="7"/>
      <c r="I12" s="2"/>
      <c r="J12" s="2"/>
      <c r="K12" s="2"/>
      <c r="M12" s="61">
        <v>46161</v>
      </c>
      <c r="N12" s="2" t="str">
        <v>COMMISION SUR DOMICILIATION EXPORT</v>
      </c>
      <c r="O12" s="7">
        <v>33000</v>
      </c>
      <c r="P12" s="2">
        <v>0</v>
      </c>
      <c r="Q12" s="2" t="str">
        <v>FRAIS BANCAIRE</v>
      </c>
      <c r="R12" s="2" t="str">
        <v>FRAIS BANCAIRE</v>
      </c>
    </row>
    <row r="13" spans="2:18" x14ac:dyDescent="0.35">
      <c r="F13" s="61"/>
      <c r="G13" s="2"/>
      <c r="H13" s="7"/>
      <c r="I13" s="2"/>
      <c r="J13" s="2"/>
      <c r="K13" s="2"/>
      <c r="M13" s="61">
        <v>46171</v>
      </c>
      <c r="N13" s="2" t="str">
        <v>COMMISION SUR DOMICILIATION EXPORT</v>
      </c>
      <c r="O13" s="7">
        <v>33000</v>
      </c>
      <c r="P13" s="2">
        <v>0</v>
      </c>
      <c r="Q13" s="2" t="str">
        <v>FRAIS BANCAIRE</v>
      </c>
      <c r="R13" s="2" t="str">
        <v>FRAIS BANCAIRE</v>
      </c>
    </row>
    <row r="14" spans="2:18" x14ac:dyDescent="0.35">
      <c r="F14" s="61"/>
      <c r="G14" s="2"/>
      <c r="H14" s="7"/>
      <c r="I14" s="2"/>
      <c r="J14" s="2"/>
      <c r="K14" s="2"/>
      <c r="M14" s="61">
        <v>46171</v>
      </c>
      <c r="N14" s="2" t="str">
        <v>COMMISION SUR DOMICILIATION EXPORT</v>
      </c>
      <c r="O14" s="7">
        <v>33000</v>
      </c>
      <c r="P14" s="2">
        <v>0</v>
      </c>
      <c r="Q14" s="2" t="str">
        <v>FRAIS BANCAIRE</v>
      </c>
      <c r="R14" s="2" t="str">
        <v>FRAIS BANCAIRE</v>
      </c>
    </row>
    <row r="15" spans="2:18" x14ac:dyDescent="0.35">
      <c r="F15" s="61"/>
      <c r="G15" s="2"/>
      <c r="H15" s="7"/>
      <c r="I15" s="2"/>
      <c r="J15" s="2"/>
      <c r="K15" s="2"/>
      <c r="M15" s="61">
        <v>46171</v>
      </c>
      <c r="N15" s="2" t="str">
        <v>COMMISION SUR DOMICILIATION EXPORT</v>
      </c>
      <c r="O15" s="7">
        <v>33000</v>
      </c>
      <c r="P15" s="2">
        <v>0</v>
      </c>
      <c r="Q15" s="2" t="str">
        <v>FRAIS BANCAIRE</v>
      </c>
      <c r="R15" s="2" t="str">
        <v>FRAIS BANCAIRE</v>
      </c>
    </row>
    <row r="16" spans="2:18" x14ac:dyDescent="0.35">
      <c r="F16" s="61"/>
      <c r="G16" s="2"/>
      <c r="H16" s="7"/>
      <c r="I16" s="2"/>
      <c r="J16" s="2"/>
      <c r="K16" s="2"/>
      <c r="M16" s="61">
        <v>46175</v>
      </c>
      <c r="N16" s="2" t="str">
        <v>COMMISION SUR CHEQUE IMPAYE</v>
      </c>
      <c r="O16" s="7">
        <v>11000</v>
      </c>
      <c r="P16" s="2">
        <v>0</v>
      </c>
      <c r="Q16" s="2" t="str">
        <v>FRAIS BANCAIRE</v>
      </c>
      <c r="R16" s="2" t="str">
        <v>FRAIS BANCAIRE</v>
      </c>
    </row>
    <row r="17" spans="6:18" x14ac:dyDescent="0.35">
      <c r="F17" s="61"/>
      <c r="G17" s="2"/>
      <c r="H17" s="7"/>
      <c r="I17" s="2"/>
      <c r="J17" s="2"/>
      <c r="K17" s="2"/>
      <c r="M17" s="61">
        <v>46178</v>
      </c>
      <c r="N17" s="2" t="str">
        <v>FRAIS BANCAIRE</v>
      </c>
      <c r="O17" s="7">
        <v>33000</v>
      </c>
      <c r="P17" s="2">
        <v>0</v>
      </c>
      <c r="Q17" s="2" t="str">
        <v>FRAIS BANCAIRE</v>
      </c>
      <c r="R17" s="2" t="str">
        <v>FRAIS BANCAIRE</v>
      </c>
    </row>
    <row r="18" spans="6:18" x14ac:dyDescent="0.35">
      <c r="F18" s="61"/>
      <c r="G18" s="2"/>
      <c r="H18" s="7"/>
      <c r="I18" s="2"/>
      <c r="J18" s="2"/>
      <c r="K18" s="2"/>
      <c r="M18" s="61">
        <v>46189</v>
      </c>
      <c r="N18" s="2" t="str">
        <v>FRAIS BANCAIRE</v>
      </c>
      <c r="O18" s="7">
        <v>33000</v>
      </c>
      <c r="P18" s="2">
        <v>0</v>
      </c>
      <c r="Q18" s="2" t="str">
        <v>FRAIS BANCAIRE</v>
      </c>
      <c r="R18" s="2" t="str">
        <v>FRAIS BANCAIRE</v>
      </c>
    </row>
    <row r="19" spans="6:18" x14ac:dyDescent="0.35">
      <c r="F19" s="61"/>
      <c r="G19" s="2"/>
      <c r="H19" s="7"/>
      <c r="I19" s="2"/>
      <c r="J19" s="2"/>
      <c r="K19" s="2"/>
      <c r="M19" s="61">
        <v>46192</v>
      </c>
      <c r="N19" s="2" t="str">
        <v>FRAIS BANCAIRE</v>
      </c>
      <c r="O19" s="7">
        <v>33000</v>
      </c>
      <c r="P19" s="2">
        <v>0</v>
      </c>
      <c r="Q19" s="2" t="str">
        <v>FRAIS BANCAIRE</v>
      </c>
      <c r="R19" s="2" t="str">
        <v>FRAIS BANCAIRE</v>
      </c>
    </row>
    <row r="20" spans="6:18" x14ac:dyDescent="0.35">
      <c r="M20" s="61">
        <v>46192</v>
      </c>
      <c r="N20" s="2" t="str">
        <v>FRAIS BANCAIRE</v>
      </c>
      <c r="O20" s="2">
        <v>33000</v>
      </c>
      <c r="P20" s="2">
        <v>0</v>
      </c>
      <c r="Q20" s="2" t="str">
        <v>FRAIS BANCAIRE</v>
      </c>
      <c r="R20" s="2" t="str">
        <v>FRAIS BANCAIRE</v>
      </c>
    </row>
    <row r="21" spans="6:18" x14ac:dyDescent="0.35">
      <c r="M21" s="61">
        <v>46192</v>
      </c>
      <c r="N21" s="2" t="str">
        <v>FRAIS BANCAIRE</v>
      </c>
      <c r="O21" s="2">
        <v>33000</v>
      </c>
      <c r="P21" s="2">
        <v>0</v>
      </c>
      <c r="Q21" s="2" t="str">
        <v>FRAIS BANCAIRE</v>
      </c>
      <c r="R21" s="2" t="str">
        <v>FRAIS BANCAIRE</v>
      </c>
    </row>
    <row r="22" spans="6:18" x14ac:dyDescent="0.35">
      <c r="M22" s="61">
        <v>46198</v>
      </c>
      <c r="N22" s="2" t="str">
        <v>FRAIS BANCAIRE</v>
      </c>
      <c r="O22" s="2">
        <v>33000</v>
      </c>
      <c r="P22" s="2">
        <v>0</v>
      </c>
      <c r="Q22" s="2" t="str">
        <v>FRAIS BANCAIRE</v>
      </c>
      <c r="R22" s="2" t="str">
        <v>FRAIS BANCAIRE</v>
      </c>
    </row>
    <row r="23" spans="6:18" x14ac:dyDescent="0.35">
      <c r="M23" s="61">
        <v>46209</v>
      </c>
      <c r="N23" s="2" t="str">
        <v>FRAIS BANCAIRE</v>
      </c>
      <c r="O23" s="2">
        <v>33000</v>
      </c>
      <c r="P23" s="2">
        <v>0</v>
      </c>
      <c r="Q23" s="2" t="str">
        <v>FRAIS BANCAIRE</v>
      </c>
      <c r="R23" s="2" t="str">
        <v>FRAIS BANCAIRE</v>
      </c>
    </row>
    <row r="24" spans="6:18" x14ac:dyDescent="0.35">
      <c r="M24" s="61">
        <v>46209</v>
      </c>
      <c r="N24" s="2" t="str">
        <v>FRAIS BANCAIRE</v>
      </c>
      <c r="O24" s="2">
        <v>33000</v>
      </c>
      <c r="P24" s="2">
        <v>0</v>
      </c>
      <c r="Q24" s="2" t="str">
        <v>FRAIS BANCAIRE</v>
      </c>
      <c r="R24" s="2" t="str">
        <v>FRAIS BANCAIRE</v>
      </c>
    </row>
    <row r="25" spans="6:18" x14ac:dyDescent="0.35">
      <c r="M25" s="61">
        <v>46251</v>
      </c>
      <c r="N25" s="2" t="str">
        <v>FRAIS BANCAIRE</v>
      </c>
      <c r="O25" s="2">
        <v>36300</v>
      </c>
      <c r="P25" s="2">
        <v>0</v>
      </c>
      <c r="Q25" s="2" t="str">
        <v>COMMISSION SUR DOMICILIATION EXPORT</v>
      </c>
      <c r="R25" s="2" t="str">
        <v>FRAIS BANCAIRE</v>
      </c>
    </row>
    <row r="26" spans="6:18" x14ac:dyDescent="0.35">
      <c r="M26" s="61">
        <v>46252</v>
      </c>
      <c r="N26" s="2" t="str">
        <v>COMMISSION SUR DOMICILIATION</v>
      </c>
      <c r="O26" s="2">
        <v>36300</v>
      </c>
      <c r="P26" s="2">
        <v>0</v>
      </c>
      <c r="Q26" s="2">
        <v>0</v>
      </c>
      <c r="R26" s="2" t="str">
        <v>FRAIS BANCAIRE</v>
      </c>
    </row>
    <row r="27" spans="6:18" x14ac:dyDescent="0.35">
      <c r="M27" s="61">
        <v>46252</v>
      </c>
      <c r="N27" s="2" t="str">
        <v>COMMISSION SUR DOMICILIATION</v>
      </c>
      <c r="O27" s="2">
        <v>36300</v>
      </c>
      <c r="P27" s="2">
        <v>0</v>
      </c>
      <c r="Q27" s="2">
        <v>0</v>
      </c>
      <c r="R27" s="2" t="str">
        <v>FRAIS BANCAIRE</v>
      </c>
    </row>
    <row r="28" spans="6:18" x14ac:dyDescent="0.35">
      <c r="M28" s="61">
        <v>46252</v>
      </c>
      <c r="N28" s="2" t="str">
        <v>COMMISSION SUR DOMICILIATION</v>
      </c>
      <c r="O28" s="2">
        <v>36300</v>
      </c>
      <c r="P28" s="2">
        <v>0</v>
      </c>
      <c r="Q28" s="2">
        <v>0</v>
      </c>
      <c r="R28" s="2" t="str">
        <v>FRAIS BANCAIRE</v>
      </c>
    </row>
    <row r="29" spans="6:18" x14ac:dyDescent="0.35">
      <c r="M29" s="61">
        <v>46258</v>
      </c>
      <c r="N29" s="2" t="str">
        <v>COMMISSION SUR DOMICILIATION</v>
      </c>
      <c r="O29" s="2">
        <v>33000</v>
      </c>
      <c r="P29" s="2">
        <v>0</v>
      </c>
      <c r="Q29" s="2">
        <v>0</v>
      </c>
      <c r="R29" s="2" t="str">
        <v>FRAIS BANCAIRE</v>
      </c>
    </row>
    <row r="30" spans="6:18" x14ac:dyDescent="0.35">
      <c r="M30" s="61">
        <v>46262</v>
      </c>
      <c r="N30" s="2" t="str">
        <v>COMMIISION SUR REJET</v>
      </c>
      <c r="O30" s="2">
        <v>11000</v>
      </c>
      <c r="P30" s="2">
        <v>0</v>
      </c>
      <c r="Q30" s="2">
        <v>0</v>
      </c>
      <c r="R30" s="2" t="str">
        <v>FRAIS BANCAIRE</v>
      </c>
    </row>
    <row r="31" spans="6:18" x14ac:dyDescent="0.35">
      <c r="M31" s="61">
        <v>46265</v>
      </c>
      <c r="N31" s="2" t="str">
        <v>INTERET DEBIT</v>
      </c>
      <c r="O31" s="2">
        <v>45597</v>
      </c>
      <c r="P31" s="2">
        <v>0</v>
      </c>
      <c r="Q31" s="2">
        <v>0</v>
      </c>
      <c r="R31" s="2" t="str">
        <v>FRAIS BANCAIRE</v>
      </c>
    </row>
    <row r="32" spans="6:18" x14ac:dyDescent="0.35">
      <c r="M32" s="61">
        <v>46265</v>
      </c>
      <c r="N32" s="2" t="str">
        <v>COMMISSION SUR DOMICILIATION</v>
      </c>
      <c r="O32" s="2">
        <v>33000</v>
      </c>
      <c r="P32" s="2">
        <v>0</v>
      </c>
      <c r="Q32" s="2">
        <v>0</v>
      </c>
      <c r="R32" s="2" t="str">
        <v>FRAIS BANCAIRE</v>
      </c>
    </row>
    <row r="33" spans="13:18" x14ac:dyDescent="0.35">
      <c r="M33" s="61">
        <v>46274</v>
      </c>
      <c r="N33" s="2" t="str">
        <v>COMMISION DOMICILIATION</v>
      </c>
      <c r="O33" s="2">
        <v>33000</v>
      </c>
      <c r="P33" s="2">
        <v>0</v>
      </c>
      <c r="Q33" s="2">
        <v>0</v>
      </c>
      <c r="R33" s="2" t="str">
        <v>FRAIS BANCAIRE</v>
      </c>
    </row>
    <row r="34" spans="13:18" x14ac:dyDescent="0.35">
      <c r="M34" s="61">
        <v>46276</v>
      </c>
      <c r="N34" s="2" t="str">
        <v>COMMISION DOMICILIATION</v>
      </c>
      <c r="O34" s="2">
        <v>33000</v>
      </c>
      <c r="P34" s="2">
        <v>0</v>
      </c>
      <c r="Q34" s="2">
        <v>0</v>
      </c>
      <c r="R34" s="2" t="str">
        <v>FRAIS BANCAIRE</v>
      </c>
    </row>
    <row r="35" spans="13:18" x14ac:dyDescent="0.35">
      <c r="M35" s="61"/>
      <c r="N35" s="2"/>
      <c r="O35" s="2"/>
      <c r="P35" s="2"/>
      <c r="Q35" s="2"/>
      <c r="R35" s="2"/>
    </row>
    <row r="36" spans="13:18" x14ac:dyDescent="0.35">
      <c r="M36" s="61"/>
      <c r="N36" s="2"/>
      <c r="O36" s="2"/>
      <c r="P36" s="2"/>
      <c r="Q36" s="2"/>
      <c r="R36" s="2"/>
    </row>
    <row r="37" spans="13:18" x14ac:dyDescent="0.35">
      <c r="M37" s="61"/>
      <c r="N37" s="2"/>
      <c r="O37" s="2"/>
      <c r="P37" s="2"/>
      <c r="Q37" s="2"/>
      <c r="R37" s="2"/>
    </row>
    <row r="38" spans="13:18" x14ac:dyDescent="0.35">
      <c r="M38" s="61"/>
      <c r="N38" s="2"/>
      <c r="O38" s="2"/>
      <c r="P38" s="2"/>
      <c r="Q38" s="2"/>
      <c r="R38" s="2"/>
    </row>
    <row r="39" spans="13:18" x14ac:dyDescent="0.35">
      <c r="M39" s="61"/>
      <c r="N39" s="2"/>
      <c r="O39" s="2"/>
      <c r="P39" s="2"/>
      <c r="Q39" s="2"/>
      <c r="R39" s="2"/>
    </row>
    <row r="40" spans="13:18" x14ac:dyDescent="0.35">
      <c r="M40" s="61"/>
      <c r="N40" s="2"/>
      <c r="O40" s="2"/>
      <c r="P40" s="2"/>
      <c r="Q40" s="2"/>
      <c r="R40" s="2"/>
    </row>
    <row r="41" spans="13:18" x14ac:dyDescent="0.35">
      <c r="M41" s="61"/>
      <c r="N41" s="2"/>
      <c r="O41" s="2"/>
      <c r="P41" s="2"/>
      <c r="Q41" s="2"/>
      <c r="R41" s="2"/>
    </row>
    <row r="42" spans="13:18" x14ac:dyDescent="0.35">
      <c r="M42" s="61"/>
      <c r="N42" s="2"/>
      <c r="O42" s="2"/>
      <c r="P42" s="2"/>
      <c r="Q42" s="2"/>
      <c r="R42" s="2"/>
    </row>
    <row r="43" spans="13:18" x14ac:dyDescent="0.35">
      <c r="M43" s="61"/>
      <c r="N43" s="2"/>
      <c r="O43" s="2"/>
      <c r="P43" s="2"/>
      <c r="Q43" s="2"/>
      <c r="R43" s="2"/>
    </row>
    <row r="44" spans="13:18" x14ac:dyDescent="0.35">
      <c r="M44" s="61"/>
      <c r="N44" s="2"/>
      <c r="O44" s="2"/>
      <c r="P44" s="2"/>
      <c r="Q44" s="2"/>
      <c r="R44" s="2"/>
    </row>
    <row r="45" spans="13:18" x14ac:dyDescent="0.35">
      <c r="M45" s="61"/>
      <c r="N45" s="2"/>
      <c r="O45" s="2"/>
      <c r="P45" s="2"/>
      <c r="Q45" s="2"/>
      <c r="R45" s="2"/>
    </row>
    <row r="46" spans="13:18" x14ac:dyDescent="0.35">
      <c r="M46" s="61"/>
      <c r="N46" s="2"/>
      <c r="O46" s="2"/>
      <c r="P46" s="2"/>
      <c r="Q46" s="2"/>
      <c r="R46" s="2"/>
    </row>
    <row r="47" spans="13:18" x14ac:dyDescent="0.35">
      <c r="M47" s="61"/>
      <c r="N47" s="2"/>
      <c r="O47" s="2"/>
      <c r="P47" s="2"/>
      <c r="Q47" s="2"/>
      <c r="R47" s="2"/>
    </row>
    <row r="48" spans="13:18" x14ac:dyDescent="0.35">
      <c r="M48" s="61"/>
      <c r="N48" s="2"/>
      <c r="O48" s="2"/>
      <c r="P48" s="2"/>
      <c r="Q48" s="2"/>
      <c r="R48" s="2"/>
    </row>
    <row r="49" spans="13:18" x14ac:dyDescent="0.35">
      <c r="M49" s="61"/>
      <c r="N49" s="2"/>
      <c r="O49" s="2"/>
      <c r="P49" s="2"/>
      <c r="Q49" s="2"/>
      <c r="R49" s="2"/>
    </row>
  </sheetData>
  <mergeCells count="4">
    <mergeCell ref="P3:R3"/>
    <mergeCell ref="F3:G3"/>
    <mergeCell ref="I3:K3"/>
    <mergeCell ref="M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2A27-5D6F-45FA-A0D2-4E468B054D19}">
  <sheetPr>
    <tabColor rgb="FF92D050"/>
  </sheetPr>
  <dimension ref="B3:AL36"/>
  <sheetViews>
    <sheetView workbookViewId="0">
      <pane ySplit="4" topLeftCell="A7" activePane="bottomLeft" state="frozen"/>
      <selection pane="bottomLeft" activeCell="F11" sqref="F11"/>
    </sheetView>
  </sheetViews>
  <sheetFormatPr baseColWidth="10" defaultColWidth="8.7265625" defaultRowHeight="14.5" x14ac:dyDescent="0.35"/>
  <cols>
    <col min="2" max="2" width="22.08984375" bestFit="1" customWidth="1"/>
    <col min="3" max="3" width="22.36328125" bestFit="1" customWidth="1"/>
    <col min="5" max="5" width="16.7265625" style="64" customWidth="1"/>
    <col min="6" max="6" width="56.36328125" bestFit="1" customWidth="1"/>
    <col min="7" max="7" width="20.7265625" customWidth="1"/>
    <col min="8" max="9" width="14" customWidth="1"/>
    <col min="10" max="10" width="16.26953125" customWidth="1"/>
    <col min="12" max="12" width="16.453125" customWidth="1"/>
    <col min="13" max="13" width="27" bestFit="1" customWidth="1"/>
    <col min="14" max="14" width="20.36328125" bestFit="1" customWidth="1"/>
    <col min="15" max="17" width="16.453125" customWidth="1"/>
    <col min="19" max="20" width="19.90625" customWidth="1"/>
    <col min="21" max="21" width="22.36328125" customWidth="1"/>
    <col min="22" max="24" width="19.90625" customWidth="1"/>
    <col min="26" max="27" width="17.90625" customWidth="1"/>
    <col min="28" max="28" width="21.90625" customWidth="1"/>
    <col min="29" max="31" width="17.90625" customWidth="1"/>
    <col min="33" max="33" width="9.453125" bestFit="1" customWidth="1"/>
    <col min="34" max="34" width="44.6328125" bestFit="1" customWidth="1"/>
    <col min="35" max="35" width="20.36328125" bestFit="1" customWidth="1"/>
    <col min="37" max="37" width="12.6328125" customWidth="1"/>
    <col min="38" max="38" width="11.54296875" customWidth="1"/>
  </cols>
  <sheetData>
    <row r="3" spans="2:38" ht="18.5" x14ac:dyDescent="0.45">
      <c r="E3" s="115" t="s">
        <v>215</v>
      </c>
      <c r="F3" s="116"/>
      <c r="G3" s="62">
        <f>SUBTOTAL(9,G5:G5000)</f>
        <v>552355048</v>
      </c>
      <c r="H3" s="117"/>
      <c r="I3" s="118"/>
      <c r="J3" s="119"/>
      <c r="L3" s="115" t="s">
        <v>214</v>
      </c>
      <c r="M3" s="116"/>
      <c r="N3" s="62">
        <f>SUBTOTAL(9,N5:N5000)</f>
        <v>638909287</v>
      </c>
      <c r="O3" s="117"/>
      <c r="P3" s="118"/>
      <c r="Q3" s="119"/>
      <c r="S3" s="115" t="s">
        <v>348</v>
      </c>
      <c r="T3" s="116"/>
      <c r="U3" s="62">
        <f>SUBTOTAL(9,U5:U5000)</f>
        <v>130207810</v>
      </c>
      <c r="V3" s="117"/>
      <c r="W3" s="118"/>
      <c r="X3" s="119"/>
      <c r="Z3" s="115" t="s">
        <v>235</v>
      </c>
      <c r="AA3" s="116"/>
      <c r="AB3" s="62">
        <f>SUBTOTAL(9,AB5:AB5000)</f>
        <v>991312747</v>
      </c>
      <c r="AC3" s="117"/>
      <c r="AD3" s="118"/>
      <c r="AE3" s="119"/>
      <c r="AG3" s="115" t="s">
        <v>235</v>
      </c>
      <c r="AH3" s="116"/>
      <c r="AI3" s="62">
        <f>SUBTOTAL(9,AI5:AI5000)</f>
        <v>173991133</v>
      </c>
      <c r="AJ3" s="117"/>
      <c r="AK3" s="118"/>
      <c r="AL3" s="119"/>
    </row>
    <row r="4" spans="2:38" x14ac:dyDescent="0.35">
      <c r="B4" s="69" t="s">
        <v>240</v>
      </c>
      <c r="C4" s="69" t="s">
        <v>239</v>
      </c>
      <c r="E4" s="63" t="s">
        <v>9</v>
      </c>
      <c r="F4" s="60" t="s">
        <v>1</v>
      </c>
      <c r="G4" s="60" t="s">
        <v>10</v>
      </c>
      <c r="H4" s="60" t="s">
        <v>11</v>
      </c>
      <c r="I4" s="60" t="s">
        <v>17</v>
      </c>
      <c r="J4" s="60" t="s">
        <v>211</v>
      </c>
      <c r="L4" s="60" t="s">
        <v>9</v>
      </c>
      <c r="M4" s="60" t="s">
        <v>1</v>
      </c>
      <c r="N4" s="60" t="s">
        <v>10</v>
      </c>
      <c r="O4" s="60" t="s">
        <v>11</v>
      </c>
      <c r="P4" s="60" t="s">
        <v>17</v>
      </c>
      <c r="Q4" s="60" t="s">
        <v>211</v>
      </c>
      <c r="S4" s="60" t="s">
        <v>9</v>
      </c>
      <c r="T4" s="60" t="s">
        <v>1</v>
      </c>
      <c r="U4" s="60" t="s">
        <v>10</v>
      </c>
      <c r="V4" s="60" t="s">
        <v>11</v>
      </c>
      <c r="W4" s="60" t="s">
        <v>17</v>
      </c>
      <c r="X4" s="60" t="s">
        <v>211</v>
      </c>
      <c r="Z4" s="60" t="s">
        <v>9</v>
      </c>
      <c r="AA4" s="60" t="s">
        <v>1</v>
      </c>
      <c r="AB4" s="60" t="s">
        <v>10</v>
      </c>
      <c r="AC4" s="60" t="s">
        <v>11</v>
      </c>
      <c r="AD4" s="60" t="s">
        <v>17</v>
      </c>
      <c r="AE4" s="60" t="s">
        <v>211</v>
      </c>
      <c r="AG4" s="60" t="s">
        <v>9</v>
      </c>
      <c r="AH4" s="60" t="s">
        <v>1</v>
      </c>
      <c r="AI4" s="60" t="s">
        <v>10</v>
      </c>
      <c r="AJ4" s="60" t="s">
        <v>11</v>
      </c>
      <c r="AK4" s="60" t="s">
        <v>17</v>
      </c>
      <c r="AL4" s="60" t="s">
        <v>211</v>
      </c>
    </row>
    <row r="5" spans="2:38" x14ac:dyDescent="0.35">
      <c r="B5" s="2" t="s">
        <v>215</v>
      </c>
      <c r="C5" s="65">
        <f>G3</f>
        <v>552355048</v>
      </c>
      <c r="E5" s="61" cm="1">
        <f t="array" ref="E5:J25">_xlfn.CHOOSECOLS(_xlfn._xlws.FILTER(STATEMENT!A3:H5027,STATEMENT!H3:H5027="SALES/ UD CAKES"),1,2,3,6,7,8)</f>
        <v>46034</v>
      </c>
      <c r="F5" s="2" t="str">
        <v>VERSEMENT SAMBA SYLVERSTRE</v>
      </c>
      <c r="G5" s="7">
        <v>5500000</v>
      </c>
      <c r="H5" s="2">
        <v>0</v>
      </c>
      <c r="I5" s="2" t="str">
        <v>UD CAKE SALES_50MT@110K_OLD STOCK 2025</v>
      </c>
      <c r="J5" s="2" t="str">
        <v>SALES/ UD CAKES</v>
      </c>
      <c r="L5" s="61" cm="1">
        <f t="array" ref="L5:Q13">_xlfn.CHOOSECOLS(_xlfn._xlws.FILTER(STATEMENT!A3:H5027,STATEMENT!H3:H5027="SALES /COTTON SEED OIL"),1,2,3,6,7,8)</f>
        <v>46092</v>
      </c>
      <c r="M5" s="2" t="str">
        <v>FLUDOR BENIN</v>
      </c>
      <c r="N5" s="7">
        <v>23628994</v>
      </c>
      <c r="O5" s="2">
        <v>0</v>
      </c>
      <c r="P5" s="2" t="str">
        <v>CHEQUE 3053255 FROM FLUDOR/ COTTON SEED OIL SALES</v>
      </c>
      <c r="Q5" s="2" t="str">
        <v>SALES /COTTON SEED OIL</v>
      </c>
      <c r="S5" s="61" cm="1">
        <f t="array" ref="S5:X6">_xlfn.CHOOSECOLS(_xlfn._xlws.FILTER(STATEMENT!A3:H5027,STATEMENT!H3:H5027="SALES/ SOYA MEAL"),1,2,3,6,7,8)</f>
        <v>46248</v>
      </c>
      <c r="T5" s="2" t="str">
        <v>MAHARASHTRA SOLVENT EXTRACTION LIMITED</v>
      </c>
      <c r="U5" s="7">
        <v>65736084</v>
      </c>
      <c r="V5" s="2">
        <v>0</v>
      </c>
      <c r="W5" s="2" t="str">
        <v>INV NO NAP-1087-2026_116713.76@563.22_271285360_Soyameal</v>
      </c>
      <c r="X5" s="2" t="str">
        <v>SALES/ SOYA MEAL</v>
      </c>
      <c r="Z5" s="61" cm="1">
        <f t="array" ref="Z5:AE15">_xlfn.CHOOSECOLS(_xlfn._xlws.FILTER(STATEMENT!A3:H5027,STATEMENT!H3:H5027="SALES/ SOYABEAN"),1,2,3,6,7,8)</f>
        <v>46085</v>
      </c>
      <c r="AA5" s="2" t="str">
        <v xml:space="preserve">PARGAN SINGAPORE </v>
      </c>
      <c r="AB5" s="7">
        <v>64515397</v>
      </c>
      <c r="AC5" s="2">
        <v>0</v>
      </c>
      <c r="AD5" s="2" t="str">
        <v>EXP OF SOYA BEAN_NAP/1028/2026_114629.18 USD</v>
      </c>
      <c r="AE5" s="2" t="str">
        <v>SALES/ SOYABEAN</v>
      </c>
      <c r="AG5" s="61" cm="1">
        <f t="array" ref="AG5:AL7">_xlfn.CHOOSECOLS(_xlfn._xlws.FILTER(STATEMENT!A3:H5027,STATEMENT!H3:H5027="SALES/ SOYA CRUDE OIL"),1,2,3,6,7,8)</f>
        <v>46206</v>
      </c>
      <c r="AH5" s="2" t="str">
        <v>SANJAY SOYA PRIVATE LIMITED_USD 142651.2@571</v>
      </c>
      <c r="AI5" s="7">
        <v>81421288</v>
      </c>
      <c r="AJ5" s="2">
        <v>0</v>
      </c>
      <c r="AK5" s="2" t="str">
        <v>Soya crude oil _NAP-1080-2026_142,651.20 USD</v>
      </c>
      <c r="AL5" s="2" t="str">
        <v>SALES/ SOYA CRUDE OIL</v>
      </c>
    </row>
    <row r="6" spans="2:38" x14ac:dyDescent="0.35">
      <c r="B6" s="2" t="s">
        <v>214</v>
      </c>
      <c r="C6" s="65">
        <f>N3</f>
        <v>638909287</v>
      </c>
      <c r="E6" s="61">
        <v>46038</v>
      </c>
      <c r="F6" s="2" t="str">
        <v>VERSEMENT SAMBA SYLVERSTRE</v>
      </c>
      <c r="G6" s="7">
        <v>14500000</v>
      </c>
      <c r="H6" s="2">
        <v>0</v>
      </c>
      <c r="I6" s="2" t="str">
        <v>UD CAKE SALES_100MT@145K</v>
      </c>
      <c r="J6" s="2" t="str">
        <v>SALES/ UD CAKES</v>
      </c>
      <c r="L6" s="61">
        <v>46146</v>
      </c>
      <c r="M6" s="2" t="str">
        <v>SANJAY SOYA PRIVATE LIMITED</v>
      </c>
      <c r="N6" s="7">
        <v>67427919</v>
      </c>
      <c r="O6" s="2">
        <v>0</v>
      </c>
      <c r="P6" s="2" t="str">
        <v>Cotton seed oil Sales_NAP/1042/2026_102983.20 EUR</v>
      </c>
      <c r="Q6" s="2" t="str">
        <v>SALES /COTTON SEED OIL</v>
      </c>
      <c r="S6" s="61">
        <v>46251</v>
      </c>
      <c r="T6" s="2" t="str">
        <v>MAHARASHTRA SOLVENT EXTRACTION LIMITED</v>
      </c>
      <c r="U6" s="7">
        <v>64471726</v>
      </c>
      <c r="V6" s="2">
        <v>0</v>
      </c>
      <c r="W6" s="2" t="str">
        <v>INV NO NAP-1086-2026_114470@563.22_271321384_Soyameal</v>
      </c>
      <c r="X6" s="2" t="str">
        <v>SALES/ SOYA MEAL</v>
      </c>
      <c r="Z6" s="61">
        <v>46091</v>
      </c>
      <c r="AA6" s="2" t="str">
        <v xml:space="preserve">PARGAN SINGAPORE </v>
      </c>
      <c r="AB6" s="7">
        <v>126635511</v>
      </c>
      <c r="AC6" s="2">
        <v>0</v>
      </c>
      <c r="AD6" s="2" t="str">
        <v>EXP OF SOYA BEAN_NAP/1029/2026_112762.28 USD_NAP/1031/2026_112805.46 USD</v>
      </c>
      <c r="AE6" s="2" t="str">
        <v>SALES/ SOYABEAN</v>
      </c>
      <c r="AG6" s="61">
        <v>46206</v>
      </c>
      <c r="AH6" s="2" t="str">
        <v>SANJAY SOYA PRIVATE LIMITED_USD 137323@571</v>
      </c>
      <c r="AI6" s="7">
        <v>78378886</v>
      </c>
      <c r="AJ6" s="2">
        <v>0</v>
      </c>
      <c r="AK6" s="2" t="str">
        <v>Soya crude oil _NAP-1083-2026_137,323 USD</v>
      </c>
      <c r="AL6" s="2" t="str">
        <v>SALES/ SOYA CRUDE OIL</v>
      </c>
    </row>
    <row r="7" spans="2:38" x14ac:dyDescent="0.35">
      <c r="B7" s="2" t="s">
        <v>348</v>
      </c>
      <c r="C7" s="65">
        <f>U3</f>
        <v>130207810</v>
      </c>
      <c r="E7" s="61">
        <v>46038</v>
      </c>
      <c r="F7" s="2" t="str">
        <v>VERSEMENT SAMBA SYLVERSTRE</v>
      </c>
      <c r="G7" s="7">
        <v>1500000</v>
      </c>
      <c r="H7" s="2">
        <v>0</v>
      </c>
      <c r="I7" s="2" t="str">
        <v>UD CAKE SALES_300MT@145K_RGLMT</v>
      </c>
      <c r="J7" s="2" t="str">
        <v>SALES/ UD CAKES</v>
      </c>
      <c r="L7" s="61">
        <v>46147</v>
      </c>
      <c r="M7" s="2" t="str">
        <v>SANJAY SOYA PRIVATE LIMITED</v>
      </c>
      <c r="N7" s="7">
        <v>71908460</v>
      </c>
      <c r="O7" s="2">
        <v>0</v>
      </c>
      <c r="P7" s="2" t="str">
        <v>Cotton seed oil Sales_NAP/1045/2026_109813.74 EUR</v>
      </c>
      <c r="Q7" s="2" t="str">
        <v>SALES /COTTON SEED OIL</v>
      </c>
      <c r="S7" s="61"/>
      <c r="T7" s="2"/>
      <c r="U7" s="7"/>
      <c r="V7" s="2"/>
      <c r="W7" s="2"/>
      <c r="X7" s="2"/>
      <c r="Z7" s="61">
        <v>46100</v>
      </c>
      <c r="AA7" s="2" t="str">
        <v xml:space="preserve">PARGAN SINGAPORE </v>
      </c>
      <c r="AB7" s="7">
        <v>68565602</v>
      </c>
      <c r="AC7" s="2">
        <v>0</v>
      </c>
      <c r="AD7" s="2" t="str">
        <v>SOYA EXP_NAP/1037/2026_126433.14 USD</v>
      </c>
      <c r="AE7" s="2" t="str">
        <v>SALES/ SOYABEAN</v>
      </c>
      <c r="AG7" s="61">
        <v>46248</v>
      </c>
      <c r="AH7" s="2" t="str">
        <v>SANJAY SOYA PTE LTD</v>
      </c>
      <c r="AI7" s="7">
        <v>14190959</v>
      </c>
      <c r="AJ7" s="2">
        <v>0</v>
      </c>
      <c r="AK7" s="2" t="str">
        <v>INV NO NAP-1089-2026_25230.6@562.45_272299963_Soya crude oil</v>
      </c>
      <c r="AL7" s="2" t="str">
        <v>SALES/ SOYA CRUDE OIL</v>
      </c>
    </row>
    <row r="8" spans="2:38" x14ac:dyDescent="0.35">
      <c r="B8" s="2" t="s">
        <v>235</v>
      </c>
      <c r="C8" s="65">
        <f>AB3</f>
        <v>991312747</v>
      </c>
      <c r="E8" s="61">
        <v>46043</v>
      </c>
      <c r="F8" s="2" t="str">
        <v>VERSEMENT SAMBA SYLVERSTRE</v>
      </c>
      <c r="G8" s="7">
        <v>14500000</v>
      </c>
      <c r="H8" s="2">
        <v>0</v>
      </c>
      <c r="I8" s="2" t="str">
        <v>UD CAKE SALES_100MT@145K</v>
      </c>
      <c r="J8" s="2" t="str">
        <v>SALES/ UD CAKES</v>
      </c>
      <c r="L8" s="61">
        <v>46161</v>
      </c>
      <c r="M8" s="2" t="str">
        <v>SANJAY SOYA PRIVATE LIMITED</v>
      </c>
      <c r="N8" s="7">
        <v>78387517</v>
      </c>
      <c r="O8" s="2">
        <v>0</v>
      </c>
      <c r="P8" s="2" t="str">
        <v>Cotton seed oil Sales_NAP/1064/2026_1196911 EUR</v>
      </c>
      <c r="Q8" s="2" t="str">
        <v>SALES /COTTON SEED OIL</v>
      </c>
      <c r="S8" s="61"/>
      <c r="T8" s="2"/>
      <c r="U8" s="7"/>
      <c r="V8" s="2"/>
      <c r="W8" s="2"/>
      <c r="X8" s="2"/>
      <c r="Z8" s="61">
        <v>46104</v>
      </c>
      <c r="AA8" s="2" t="str">
        <v xml:space="preserve">PARGAN SINGAPORE </v>
      </c>
      <c r="AB8" s="7">
        <v>130851241</v>
      </c>
      <c r="AC8" s="2">
        <v>0</v>
      </c>
      <c r="AD8" s="2" t="str">
        <v>SOYA EXP</v>
      </c>
      <c r="AE8" s="2" t="str">
        <v>SALES/ SOYABEAN</v>
      </c>
      <c r="AG8" s="61"/>
      <c r="AH8" s="2"/>
      <c r="AI8" s="7"/>
      <c r="AJ8" s="2"/>
      <c r="AK8" s="2"/>
      <c r="AL8" s="2"/>
    </row>
    <row r="9" spans="2:38" ht="15.5" x14ac:dyDescent="0.35">
      <c r="B9" s="2" t="s">
        <v>288</v>
      </c>
      <c r="C9" s="101">
        <f>AI3</f>
        <v>173991133</v>
      </c>
      <c r="E9" s="61">
        <v>46045</v>
      </c>
      <c r="F9" s="2" t="str">
        <v>VERSEMENT SAMBA SYLVERSTRE</v>
      </c>
      <c r="G9" s="7">
        <v>14500000</v>
      </c>
      <c r="H9" s="2">
        <v>0</v>
      </c>
      <c r="I9" s="2" t="str">
        <v>UD CAKE SALES_100MT@145K</v>
      </c>
      <c r="J9" s="2" t="str">
        <v>SALES/ UD CAKES</v>
      </c>
      <c r="L9" s="61">
        <v>46161</v>
      </c>
      <c r="M9" s="2" t="str">
        <v>SANJAY SOYA PRIVATE LIMITED</v>
      </c>
      <c r="N9" s="7">
        <v>76689481</v>
      </c>
      <c r="O9" s="2">
        <v>0</v>
      </c>
      <c r="P9" s="2" t="str">
        <v>Cotton seed oil Sales_NAP/1050/2026_117102.36 EUR</v>
      </c>
      <c r="Q9" s="2" t="str">
        <v>SALES /COTTON SEED OIL</v>
      </c>
      <c r="S9" s="61"/>
      <c r="T9" s="2"/>
      <c r="U9" s="7"/>
      <c r="V9" s="2"/>
      <c r="W9" s="2"/>
      <c r="X9" s="2"/>
      <c r="Z9" s="61">
        <v>46108</v>
      </c>
      <c r="AA9" s="2" t="str">
        <v xml:space="preserve">PARGAN SINGAPORE </v>
      </c>
      <c r="AB9" s="7">
        <v>73759408</v>
      </c>
      <c r="AC9" s="2">
        <v>0</v>
      </c>
      <c r="AD9" s="2" t="str">
        <v>SOYA EXP</v>
      </c>
      <c r="AE9" s="2" t="str">
        <v>SALES/ SOYABEAN</v>
      </c>
      <c r="AG9" s="61"/>
      <c r="AH9" s="2"/>
      <c r="AI9" s="7"/>
      <c r="AJ9" s="2"/>
      <c r="AK9" s="2"/>
      <c r="AL9" s="2"/>
    </row>
    <row r="10" spans="2:38" x14ac:dyDescent="0.35">
      <c r="B10" s="11" t="s">
        <v>241</v>
      </c>
      <c r="C10" s="66">
        <f>SUM(C5:C9)</f>
        <v>2486776025</v>
      </c>
      <c r="E10" s="61">
        <v>46051</v>
      </c>
      <c r="F10" s="2" t="str">
        <v>VERSEMENT SAMBA SYLVERSTRE</v>
      </c>
      <c r="G10" s="7">
        <v>21750000</v>
      </c>
      <c r="H10" s="2">
        <v>0</v>
      </c>
      <c r="I10" s="2" t="str">
        <v>UD CAKE SALES_150MT@145K</v>
      </c>
      <c r="J10" s="2" t="str">
        <v>SALES/ UD CAKES</v>
      </c>
      <c r="L10" s="61">
        <v>46168</v>
      </c>
      <c r="M10" s="2" t="str">
        <v>SANJAY SOYA PRIVATE LIMITED</v>
      </c>
      <c r="N10" s="7">
        <v>82831167</v>
      </c>
      <c r="O10" s="2">
        <v>0</v>
      </c>
      <c r="P10" s="2" t="str">
        <v>Cotton seed oil Sales_NAP/1067/2026_126465.30 EUR</v>
      </c>
      <c r="Q10" s="2" t="str">
        <v>SALES /COTTON SEED OIL</v>
      </c>
      <c r="S10" s="61"/>
      <c r="T10" s="2"/>
      <c r="U10" s="7"/>
      <c r="V10" s="2"/>
      <c r="W10" s="2"/>
      <c r="X10" s="2"/>
      <c r="Z10" s="61">
        <v>46112</v>
      </c>
      <c r="AA10" s="2" t="str">
        <v xml:space="preserve">PARGAN SINGAPORE </v>
      </c>
      <c r="AB10" s="7">
        <v>14166503</v>
      </c>
      <c r="AC10" s="2">
        <v>0</v>
      </c>
      <c r="AD10" s="2" t="str">
        <v>SOYA EXP</v>
      </c>
      <c r="AE10" s="2" t="str">
        <v>SALES/ SOYABEAN</v>
      </c>
      <c r="AG10" s="61"/>
      <c r="AH10" s="2"/>
      <c r="AI10" s="7"/>
      <c r="AJ10" s="2"/>
      <c r="AK10" s="2"/>
      <c r="AL10" s="2"/>
    </row>
    <row r="11" spans="2:38" x14ac:dyDescent="0.35">
      <c r="E11" s="61">
        <v>46051</v>
      </c>
      <c r="F11" s="2" t="str">
        <v>VERSEMENT SAMBA SYLVERSTRE</v>
      </c>
      <c r="G11" s="7">
        <v>14500000</v>
      </c>
      <c r="H11" s="2">
        <v>0</v>
      </c>
      <c r="I11" s="2" t="str">
        <v>UD CAKE SALES_100MT@145K</v>
      </c>
      <c r="J11" s="2" t="str">
        <v>SALES/ UD CAKES</v>
      </c>
      <c r="L11" s="61">
        <v>46191</v>
      </c>
      <c r="M11" s="2" t="str">
        <v>SANJAY SOYA PRIVATE LIMITED</v>
      </c>
      <c r="N11" s="7">
        <v>78737405</v>
      </c>
      <c r="O11" s="2">
        <v>0</v>
      </c>
      <c r="P11" s="2" t="str">
        <v>Cotton seed oil_NAP/1073/2026</v>
      </c>
      <c r="Q11" s="2" t="str">
        <v>SALES /COTTON SEED OIL</v>
      </c>
      <c r="S11" s="61"/>
      <c r="T11" s="2"/>
      <c r="U11" s="7"/>
      <c r="V11" s="2"/>
      <c r="W11" s="2"/>
      <c r="X11" s="2"/>
      <c r="Z11" s="61">
        <v>46191</v>
      </c>
      <c r="AA11" s="2" t="str">
        <v xml:space="preserve">PARGAN SINGAPORE </v>
      </c>
      <c r="AB11" s="7">
        <v>97043275</v>
      </c>
      <c r="AC11" s="2">
        <v>0</v>
      </c>
      <c r="AD11" s="2" t="str">
        <v>SOYABEAN SALES_NAP/1084/2026_170288.36 $</v>
      </c>
      <c r="AE11" s="2" t="str">
        <v>SALES/ SOYABEAN</v>
      </c>
      <c r="AG11" s="61"/>
      <c r="AH11" s="2"/>
      <c r="AI11" s="7"/>
      <c r="AJ11" s="2"/>
      <c r="AK11" s="2"/>
      <c r="AL11" s="2"/>
    </row>
    <row r="12" spans="2:38" x14ac:dyDescent="0.35">
      <c r="E12" s="61">
        <v>46058</v>
      </c>
      <c r="F12" s="2" t="str">
        <v>VERSEMENT SAMBA SYLVERSTRE</v>
      </c>
      <c r="G12" s="7">
        <v>23000000</v>
      </c>
      <c r="H12" s="2">
        <v>0</v>
      </c>
      <c r="I12" s="2" t="str">
        <v>UD CAKE SALES_</v>
      </c>
      <c r="J12" s="2" t="str">
        <v>SALES/ UD CAKES</v>
      </c>
      <c r="L12" s="61">
        <v>46191</v>
      </c>
      <c r="M12" s="2" t="str">
        <v>SANJAY SOYA PRIVATE LIMITED</v>
      </c>
      <c r="N12" s="7">
        <v>78468200</v>
      </c>
      <c r="O12" s="2">
        <v>0</v>
      </c>
      <c r="P12" s="2" t="str">
        <v>Cotton seed oil_NAP/1068/2026</v>
      </c>
      <c r="Q12" s="2" t="str">
        <v>SALES /COTTON SEED OIL</v>
      </c>
      <c r="S12" s="61"/>
      <c r="T12" s="2"/>
      <c r="U12" s="7"/>
      <c r="V12" s="2"/>
      <c r="W12" s="2"/>
      <c r="X12" s="2"/>
      <c r="Z12" s="61">
        <v>46191</v>
      </c>
      <c r="AA12" s="2" t="str">
        <v xml:space="preserve">PARGAN SINGAPORE </v>
      </c>
      <c r="AB12" s="7">
        <v>87746089</v>
      </c>
      <c r="AC12" s="2">
        <v>0</v>
      </c>
      <c r="AD12" s="2" t="str">
        <v>SOYABEAN SALES_NAP/1085/2026_155891.51 $</v>
      </c>
      <c r="AE12" s="2" t="str">
        <v>SALES/ SOYABEAN</v>
      </c>
      <c r="AG12" s="61"/>
      <c r="AH12" s="2"/>
      <c r="AI12" s="7"/>
      <c r="AJ12" s="2"/>
      <c r="AK12" s="2"/>
      <c r="AL12" s="2"/>
    </row>
    <row r="13" spans="2:38" x14ac:dyDescent="0.35">
      <c r="E13" s="61">
        <v>46078</v>
      </c>
      <c r="F13" s="2" t="str">
        <v>VERSEMENT SAMBA SYLVERSTRE</v>
      </c>
      <c r="G13" s="7">
        <v>20000000</v>
      </c>
      <c r="H13" s="2">
        <v>0</v>
      </c>
      <c r="I13" s="2" t="str">
        <v>UD CAKE SALES_350MT@160K</v>
      </c>
      <c r="J13" s="2" t="str">
        <v>SALES/ UD CAKES</v>
      </c>
      <c r="L13" s="61">
        <v>46196</v>
      </c>
      <c r="M13" s="2" t="str">
        <v>SANJAY SOYA PRIVATE LIMITED</v>
      </c>
      <c r="N13" s="7">
        <v>80830144</v>
      </c>
      <c r="O13" s="2">
        <v>0</v>
      </c>
      <c r="P13" s="2" t="str">
        <v>Cotton seed oil Sales_NAP/1066/2026_123414.76 EUR</v>
      </c>
      <c r="Q13" s="2" t="str">
        <v>SALES /COTTON SEED OIL</v>
      </c>
      <c r="S13" s="61"/>
      <c r="T13" s="2"/>
      <c r="U13" s="7"/>
      <c r="V13" s="2"/>
      <c r="W13" s="2"/>
      <c r="X13" s="2"/>
      <c r="Z13" s="61">
        <v>46247</v>
      </c>
      <c r="AA13" s="2" t="str">
        <v>MAHARASHTRA SOLVENT EXTRACTION LIMITED</v>
      </c>
      <c r="AB13" s="7">
        <v>45616720</v>
      </c>
      <c r="AC13" s="2">
        <v>0</v>
      </c>
      <c r="AD13" s="2" t="str">
        <v>INV NO NAP-1088-2026_80831.07@564.35_271172498_Soyabean</v>
      </c>
      <c r="AE13" s="2" t="str">
        <v>SALES/ SOYABEAN</v>
      </c>
      <c r="AG13" s="61"/>
      <c r="AH13" s="2"/>
      <c r="AI13" s="7"/>
      <c r="AJ13" s="2"/>
      <c r="AK13" s="2"/>
      <c r="AL13" s="2"/>
    </row>
    <row r="14" spans="2:38" x14ac:dyDescent="0.35">
      <c r="E14" s="61">
        <v>46079</v>
      </c>
      <c r="F14" s="2" t="str">
        <v>VERSEMENT SAMBA SYLVERSTRE</v>
      </c>
      <c r="G14" s="7">
        <v>32000000</v>
      </c>
      <c r="H14" s="2">
        <v>0</v>
      </c>
      <c r="I14" s="2" t="str">
        <v>UD CAKE SALES_350MT@160K</v>
      </c>
      <c r="J14" s="2" t="str">
        <v>SALES/ UD CAKES</v>
      </c>
      <c r="L14" s="61"/>
      <c r="M14" s="2"/>
      <c r="N14" s="7"/>
      <c r="O14" s="2"/>
      <c r="P14" s="2"/>
      <c r="Q14" s="2"/>
      <c r="S14" s="61"/>
      <c r="T14" s="2"/>
      <c r="U14" s="7"/>
      <c r="V14" s="2"/>
      <c r="W14" s="2"/>
      <c r="X14" s="2"/>
      <c r="Z14" s="61">
        <v>46258</v>
      </c>
      <c r="AA14" s="2" t="str">
        <v>MAHARASHTRA SOLVENT EXTRACTION LIMITED</v>
      </c>
      <c r="AB14" s="7">
        <v>90677888</v>
      </c>
      <c r="AC14" s="2">
        <v>0</v>
      </c>
      <c r="AD14" s="2" t="str">
        <v>INV NO NAP-1092-2026_162054.12@559.55_271172507_Soyabean</v>
      </c>
      <c r="AE14" s="2" t="str">
        <v>SALES/ SOYABEAN</v>
      </c>
      <c r="AG14" s="61"/>
      <c r="AH14" s="2"/>
      <c r="AI14" s="7"/>
      <c r="AJ14" s="2"/>
      <c r="AK14" s="2"/>
      <c r="AL14" s="2"/>
    </row>
    <row r="15" spans="2:38" x14ac:dyDescent="0.35">
      <c r="E15" s="61">
        <v>46091</v>
      </c>
      <c r="F15" s="2" t="str">
        <v>VERSEMENT SAMBA SYLVERSTRE</v>
      </c>
      <c r="G15" s="7">
        <v>4000000</v>
      </c>
      <c r="H15" s="2">
        <v>0</v>
      </c>
      <c r="I15" s="2" t="str">
        <v>UD CAKE SALES_350MT@160K</v>
      </c>
      <c r="J15" s="2" t="str">
        <v>SALES/ UD CAKES</v>
      </c>
      <c r="L15" s="61"/>
      <c r="M15" s="2"/>
      <c r="N15" s="7"/>
      <c r="O15" s="2"/>
      <c r="P15" s="2"/>
      <c r="Q15" s="2"/>
      <c r="S15" s="61"/>
      <c r="T15" s="2"/>
      <c r="U15" s="7"/>
      <c r="V15" s="2"/>
      <c r="W15" s="2"/>
      <c r="X15" s="2"/>
      <c r="Z15" s="61">
        <v>46274</v>
      </c>
      <c r="AA15" s="2" t="str">
        <v>PAN TRADING FZ LLC</v>
      </c>
      <c r="AB15" s="7">
        <v>191735113</v>
      </c>
      <c r="AC15" s="2">
        <v>0</v>
      </c>
      <c r="AD15" s="2" t="str">
        <v>INV NO NAP-1025-2026_115242.34@561_266451339//INV NO NAP-1026-2026_114695.732@561_266420310//INV NO NAP-1027-2026_111902.75@561_266446250_Soyabean</v>
      </c>
      <c r="AE15" s="2" t="str">
        <v>SALES/ SOYABEAN</v>
      </c>
      <c r="AG15" s="61"/>
      <c r="AH15" s="2"/>
      <c r="AI15" s="7"/>
      <c r="AJ15" s="2"/>
      <c r="AK15" s="2"/>
      <c r="AL15" s="2"/>
    </row>
    <row r="16" spans="2:38" x14ac:dyDescent="0.35">
      <c r="E16" s="61">
        <v>46107</v>
      </c>
      <c r="F16" s="2" t="str">
        <v>VERSEMENT MENANYI NICOLAS</v>
      </c>
      <c r="G16" s="7">
        <v>32000000</v>
      </c>
      <c r="H16" s="2">
        <v>0</v>
      </c>
      <c r="I16" s="2" t="str">
        <v>UD CAKE SALES_200MT@165K</v>
      </c>
      <c r="J16" s="2" t="str">
        <v>SALES/ UD CAKES</v>
      </c>
      <c r="L16" s="61"/>
      <c r="M16" s="2"/>
      <c r="N16" s="7"/>
      <c r="O16" s="2"/>
      <c r="P16" s="2"/>
      <c r="Q16" s="2"/>
      <c r="S16" s="61"/>
      <c r="T16" s="2"/>
      <c r="U16" s="7"/>
      <c r="V16" s="2"/>
      <c r="W16" s="2"/>
      <c r="X16" s="2"/>
      <c r="Z16" s="61"/>
      <c r="AA16" s="2"/>
      <c r="AB16" s="7"/>
      <c r="AC16" s="2"/>
      <c r="AD16" s="2"/>
      <c r="AE16" s="2"/>
      <c r="AG16" s="61"/>
      <c r="AH16" s="2"/>
      <c r="AI16" s="7"/>
      <c r="AJ16" s="2"/>
      <c r="AK16" s="2"/>
      <c r="AL16" s="2"/>
    </row>
    <row r="17" spans="5:38" x14ac:dyDescent="0.35">
      <c r="E17" s="61">
        <v>46122</v>
      </c>
      <c r="F17" s="2" t="str">
        <v>VERSEMENT SAMBA SYLVERSTRE</v>
      </c>
      <c r="G17" s="7">
        <v>16000000</v>
      </c>
      <c r="H17" s="2">
        <v>0</v>
      </c>
      <c r="I17" s="2" t="str">
        <v>UD CAKE SALES_100MT@160K</v>
      </c>
      <c r="J17" s="2" t="str">
        <v>SALES/ UD CAKES</v>
      </c>
      <c r="L17" s="61"/>
      <c r="M17" s="2"/>
      <c r="N17" s="7"/>
      <c r="O17" s="2"/>
      <c r="P17" s="2"/>
      <c r="Q17" s="2"/>
      <c r="S17" s="61"/>
      <c r="T17" s="2"/>
      <c r="U17" s="7"/>
      <c r="V17" s="2"/>
      <c r="W17" s="2"/>
      <c r="X17" s="2"/>
      <c r="Z17" s="61"/>
      <c r="AA17" s="2"/>
      <c r="AB17" s="7"/>
      <c r="AC17" s="2"/>
      <c r="AD17" s="2"/>
      <c r="AE17" s="2"/>
      <c r="AG17" s="61"/>
      <c r="AH17" s="2"/>
      <c r="AI17" s="7"/>
      <c r="AJ17" s="2"/>
      <c r="AK17" s="2"/>
      <c r="AL17" s="2"/>
    </row>
    <row r="18" spans="5:38" x14ac:dyDescent="0.35">
      <c r="E18" s="61">
        <v>46125</v>
      </c>
      <c r="F18" s="2" t="str">
        <v>VERSEMENT ESPECES BY ADETONAH DAMIAN DERE/ DERE IMPORT EXPORT</v>
      </c>
      <c r="G18" s="7">
        <v>87000000</v>
      </c>
      <c r="H18" s="2">
        <v>0</v>
      </c>
      <c r="I18" s="2" t="str">
        <v>UD CAKE SALES_DAMIAN_1500MT@155K_FACT 1012</v>
      </c>
      <c r="J18" s="2" t="str">
        <v>SALES/ UD CAKES</v>
      </c>
      <c r="L18" s="61"/>
      <c r="M18" s="2"/>
      <c r="N18" s="7"/>
      <c r="O18" s="2"/>
      <c r="P18" s="2"/>
      <c r="Q18" s="2"/>
      <c r="S18" s="61"/>
      <c r="T18" s="2"/>
      <c r="U18" s="7"/>
      <c r="V18" s="2"/>
      <c r="W18" s="2"/>
      <c r="X18" s="2"/>
      <c r="Z18" s="61"/>
      <c r="AA18" s="2"/>
      <c r="AB18" s="7"/>
      <c r="AC18" s="2"/>
      <c r="AD18" s="2"/>
      <c r="AE18" s="2"/>
      <c r="AG18" s="61"/>
      <c r="AH18" s="2"/>
      <c r="AI18" s="7"/>
      <c r="AJ18" s="2"/>
      <c r="AK18" s="2"/>
      <c r="AL18" s="2"/>
    </row>
    <row r="19" spans="5:38" x14ac:dyDescent="0.35">
      <c r="E19" s="61">
        <v>46126</v>
      </c>
      <c r="F19" s="2" t="str">
        <v>VERSEMENT SAMBA SYLVERSTRE</v>
      </c>
      <c r="G19" s="7">
        <v>16000000</v>
      </c>
      <c r="H19" s="2">
        <v>0</v>
      </c>
      <c r="I19" s="2" t="str">
        <v>UD CAKE SALES_100MT@160K</v>
      </c>
      <c r="J19" s="2" t="str">
        <v>SALES/ UD CAKES</v>
      </c>
      <c r="L19" s="61"/>
      <c r="M19" s="2"/>
      <c r="N19" s="7"/>
      <c r="O19" s="2"/>
      <c r="P19" s="2"/>
      <c r="Q19" s="2"/>
      <c r="S19" s="61"/>
      <c r="T19" s="2"/>
      <c r="U19" s="7"/>
      <c r="V19" s="2"/>
      <c r="W19" s="2"/>
      <c r="X19" s="2"/>
      <c r="Z19" s="61"/>
      <c r="AA19" s="2"/>
      <c r="AB19" s="7"/>
      <c r="AC19" s="2"/>
      <c r="AD19" s="2"/>
      <c r="AE19" s="2"/>
      <c r="AG19" s="61"/>
      <c r="AH19" s="2"/>
      <c r="AI19" s="7"/>
      <c r="AJ19" s="2"/>
      <c r="AK19" s="2"/>
      <c r="AL19" s="2"/>
    </row>
    <row r="20" spans="5:38" x14ac:dyDescent="0.35">
      <c r="E20" s="61">
        <v>46127</v>
      </c>
      <c r="F20" s="2" t="str">
        <v>VERSEMENT ESPECES BY BACHIROU SEYDOU NASSER</v>
      </c>
      <c r="G20" s="7">
        <v>51840000</v>
      </c>
      <c r="H20" s="2">
        <v>0</v>
      </c>
      <c r="I20" s="2" t="str">
        <v>BANTHAL SARL SENEGAL_NAP/1014/2026_324MT@160K</v>
      </c>
      <c r="J20" s="2" t="str">
        <v>SALES/ UD CAKES</v>
      </c>
      <c r="L20" s="61"/>
      <c r="M20" s="2"/>
      <c r="P20" s="2"/>
      <c r="Q20" s="2"/>
      <c r="S20" s="61"/>
      <c r="T20" s="2"/>
      <c r="U20" s="13"/>
      <c r="V20" s="2"/>
      <c r="W20" s="2"/>
      <c r="X20" s="2"/>
      <c r="Z20" s="61"/>
      <c r="AA20" s="2"/>
      <c r="AB20" s="13"/>
      <c r="AC20" s="2"/>
      <c r="AD20" s="2"/>
      <c r="AE20" s="2"/>
      <c r="AG20" s="61"/>
      <c r="AH20" s="2"/>
      <c r="AI20" s="13"/>
      <c r="AJ20" s="2"/>
      <c r="AK20" s="2"/>
      <c r="AL20" s="2"/>
    </row>
    <row r="21" spans="5:38" x14ac:dyDescent="0.35">
      <c r="E21" s="61">
        <v>46127</v>
      </c>
      <c r="F21" s="2" t="str">
        <v>VERSEMENT ESPECES BY PENTAGONE BUILDING SARL</v>
      </c>
      <c r="G21" s="2">
        <v>32000000</v>
      </c>
      <c r="H21" s="2">
        <v>0</v>
      </c>
      <c r="I21" s="2" t="str">
        <v>ALADJI LAMINE_DRISS_NAP/1008/2026_200MT@165K</v>
      </c>
      <c r="J21" s="2" t="str">
        <v>SALES/ UD CAKES</v>
      </c>
      <c r="N21" s="13"/>
      <c r="O21" s="2"/>
    </row>
    <row r="22" spans="5:38" x14ac:dyDescent="0.35">
      <c r="E22" s="61">
        <v>46133</v>
      </c>
      <c r="F22" s="2" t="str">
        <v>VERSEMENT ESPECES BY AZIZ KA FAV</v>
      </c>
      <c r="G22" s="2">
        <v>46080000</v>
      </c>
      <c r="H22" s="2">
        <v>0</v>
      </c>
      <c r="I22" s="2" t="str">
        <v>KA AZIZ_NAP/1010/2026_UD CAKE SALES_TEL 97688750_288MT@160K</v>
      </c>
      <c r="J22" s="2" t="str">
        <v>SALES/ UD CAKES</v>
      </c>
    </row>
    <row r="23" spans="5:38" x14ac:dyDescent="0.35">
      <c r="E23" s="61">
        <v>46141</v>
      </c>
      <c r="F23" s="2" t="str">
        <v>VERSEMENT MENANYI NICOLAS</v>
      </c>
      <c r="G23" s="2">
        <v>41250000</v>
      </c>
      <c r="H23" s="2">
        <v>0</v>
      </c>
      <c r="I23" s="2" t="str">
        <v>UD CAKE SALES_250MT@165K</v>
      </c>
      <c r="J23" s="2" t="str">
        <v>SALES/ UD CAKES</v>
      </c>
    </row>
    <row r="24" spans="5:38" x14ac:dyDescent="0.35">
      <c r="E24" s="61">
        <v>46260</v>
      </c>
      <c r="F24" s="2" t="str">
        <v>PAN TRADING FZ LLC</v>
      </c>
      <c r="G24" s="2">
        <v>34252276</v>
      </c>
      <c r="H24" s="2">
        <v>0</v>
      </c>
      <c r="I24" s="2" t="str">
        <v>INV NO 1003/2025 _USD 61,109.75@560.50_Cotton Seed Cake</v>
      </c>
      <c r="J24" s="2" t="str">
        <v>SALES/ UD CAKES</v>
      </c>
    </row>
    <row r="25" spans="5:38" x14ac:dyDescent="0.35">
      <c r="E25" s="61">
        <v>46276</v>
      </c>
      <c r="F25" s="2" t="str">
        <v>PAN TRADING FZ LLC</v>
      </c>
      <c r="G25" s="2">
        <v>30182772</v>
      </c>
      <c r="H25" s="2">
        <v>0</v>
      </c>
      <c r="I25" s="2" t="str">
        <v>INV NO NAP-1049-2026_53768@562_267328038_UD CAKE</v>
      </c>
      <c r="J25" s="2" t="str">
        <v>SALES/ UD CAKES</v>
      </c>
    </row>
    <row r="26" spans="5:38" x14ac:dyDescent="0.35">
      <c r="E26" s="61"/>
      <c r="F26" s="2"/>
      <c r="G26" s="2"/>
      <c r="H26" s="2"/>
      <c r="I26" s="2"/>
      <c r="J26" s="2"/>
    </row>
    <row r="27" spans="5:38" x14ac:dyDescent="0.35">
      <c r="E27" s="61"/>
      <c r="F27" s="2"/>
      <c r="G27" s="2"/>
      <c r="H27" s="2"/>
      <c r="I27" s="2"/>
      <c r="J27" s="2"/>
    </row>
    <row r="28" spans="5:38" x14ac:dyDescent="0.35">
      <c r="E28" s="61"/>
      <c r="F28" s="2"/>
      <c r="G28" s="2"/>
      <c r="H28" s="2"/>
      <c r="I28" s="2"/>
      <c r="J28" s="2"/>
    </row>
    <row r="29" spans="5:38" x14ac:dyDescent="0.35">
      <c r="E29" s="61"/>
      <c r="F29" s="2"/>
      <c r="G29" s="2"/>
      <c r="H29" s="2"/>
      <c r="I29" s="2"/>
      <c r="J29" s="2"/>
    </row>
    <row r="30" spans="5:38" x14ac:dyDescent="0.35">
      <c r="E30" s="61"/>
      <c r="F30" s="2"/>
      <c r="G30" s="2"/>
      <c r="H30" s="2"/>
      <c r="I30" s="2"/>
      <c r="J30" s="2"/>
    </row>
    <row r="31" spans="5:38" x14ac:dyDescent="0.35">
      <c r="E31" s="61"/>
      <c r="F31" s="2"/>
      <c r="G31" s="2"/>
      <c r="H31" s="2"/>
      <c r="I31" s="2"/>
      <c r="J31" s="2"/>
    </row>
    <row r="32" spans="5:38" x14ac:dyDescent="0.35">
      <c r="E32" s="61"/>
      <c r="F32" s="2"/>
      <c r="G32" s="2"/>
      <c r="H32" s="2"/>
      <c r="I32" s="2"/>
      <c r="J32" s="2"/>
    </row>
    <row r="33" spans="5:10" x14ac:dyDescent="0.35">
      <c r="E33" s="61"/>
      <c r="F33" s="2"/>
      <c r="G33" s="2"/>
      <c r="H33" s="2"/>
      <c r="I33" s="2"/>
      <c r="J33" s="2"/>
    </row>
    <row r="34" spans="5:10" x14ac:dyDescent="0.35">
      <c r="E34" s="61"/>
      <c r="F34" s="2"/>
      <c r="G34" s="2"/>
      <c r="H34" s="2"/>
      <c r="I34" s="2"/>
      <c r="J34" s="2"/>
    </row>
    <row r="35" spans="5:10" x14ac:dyDescent="0.35">
      <c r="E35" s="61"/>
      <c r="F35" s="2"/>
      <c r="G35" s="2"/>
      <c r="H35" s="2"/>
      <c r="I35" s="2"/>
      <c r="J35" s="2"/>
    </row>
    <row r="36" spans="5:10" x14ac:dyDescent="0.35">
      <c r="E36" s="61"/>
      <c r="F36" s="2"/>
      <c r="G36" s="68"/>
      <c r="H36" s="2"/>
      <c r="I36" s="2"/>
      <c r="J36" s="2"/>
    </row>
  </sheetData>
  <mergeCells count="10">
    <mergeCell ref="AG3:AH3"/>
    <mergeCell ref="AJ3:AL3"/>
    <mergeCell ref="Z3:AA3"/>
    <mergeCell ref="AC3:AE3"/>
    <mergeCell ref="E3:F3"/>
    <mergeCell ref="H3:J3"/>
    <mergeCell ref="L3:M3"/>
    <mergeCell ref="O3:Q3"/>
    <mergeCell ref="S3:T3"/>
    <mergeCell ref="V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30D9-C290-4482-A274-3624E79574C0}">
  <sheetPr>
    <tabColor rgb="FFFFC000"/>
  </sheetPr>
  <dimension ref="B3:X36"/>
  <sheetViews>
    <sheetView workbookViewId="0">
      <pane ySplit="4" topLeftCell="A5" activePane="bottomLeft" state="frozen"/>
      <selection pane="bottomLeft" activeCell="U28" sqref="U28"/>
    </sheetView>
  </sheetViews>
  <sheetFormatPr baseColWidth="10" defaultColWidth="8.7265625" defaultRowHeight="14.5" x14ac:dyDescent="0.35"/>
  <cols>
    <col min="2" max="3" width="21.36328125" customWidth="1"/>
    <col min="5" max="5" width="14.26953125" customWidth="1"/>
    <col min="6" max="6" width="29.08984375" bestFit="1" customWidth="1"/>
    <col min="7" max="7" width="20.36328125" bestFit="1" customWidth="1"/>
    <col min="8" max="9" width="14.26953125" customWidth="1"/>
    <col min="10" max="10" width="17.453125" bestFit="1" customWidth="1"/>
    <col min="12" max="13" width="14.6328125" customWidth="1"/>
    <col min="14" max="14" width="21.08984375" customWidth="1"/>
    <col min="15" max="17" width="14.6328125" customWidth="1"/>
    <col min="18" max="18" width="10.1796875" customWidth="1"/>
    <col min="19" max="20" width="18.08984375" customWidth="1"/>
    <col min="21" max="21" width="20.36328125" bestFit="1" customWidth="1"/>
    <col min="22" max="24" width="18.08984375" customWidth="1"/>
    <col min="25" max="25" width="16.7265625" customWidth="1"/>
    <col min="27" max="28" width="17.08984375" customWidth="1"/>
    <col min="29" max="29" width="17.81640625" bestFit="1" customWidth="1"/>
    <col min="30" max="32" width="17.08984375" customWidth="1"/>
  </cols>
  <sheetData>
    <row r="3" spans="2:24" ht="18.5" x14ac:dyDescent="0.45">
      <c r="E3" s="115" t="s">
        <v>56</v>
      </c>
      <c r="F3" s="116"/>
      <c r="G3" s="62">
        <f>SUBTOTAL(9,G5:G5000)</f>
        <v>99082760</v>
      </c>
      <c r="H3" s="117"/>
      <c r="I3" s="118"/>
      <c r="J3" s="119"/>
      <c r="L3" s="115" t="s">
        <v>228</v>
      </c>
      <c r="M3" s="116"/>
      <c r="N3" s="62">
        <f>SUBTOTAL(9,N5:N5000)</f>
        <v>60000000</v>
      </c>
      <c r="O3" s="117"/>
      <c r="P3" s="118"/>
      <c r="Q3" s="119"/>
      <c r="S3" s="115" t="s">
        <v>346</v>
      </c>
      <c r="T3" s="116"/>
      <c r="U3" s="62">
        <f>SUBTOTAL(9,U5:U5000)</f>
        <v>417880000</v>
      </c>
      <c r="V3" s="117"/>
      <c r="W3" s="118"/>
      <c r="X3" s="119"/>
    </row>
    <row r="4" spans="2:24" x14ac:dyDescent="0.35">
      <c r="B4" s="69" t="s">
        <v>240</v>
      </c>
      <c r="C4" s="69" t="s">
        <v>255</v>
      </c>
      <c r="E4" s="60" t="s">
        <v>9</v>
      </c>
      <c r="F4" s="60" t="s">
        <v>1</v>
      </c>
      <c r="G4" s="60" t="s">
        <v>10</v>
      </c>
      <c r="H4" s="60" t="s">
        <v>11</v>
      </c>
      <c r="I4" s="60" t="s">
        <v>17</v>
      </c>
      <c r="J4" s="60" t="s">
        <v>211</v>
      </c>
      <c r="L4" s="60" t="s">
        <v>9</v>
      </c>
      <c r="M4" s="60" t="s">
        <v>1</v>
      </c>
      <c r="N4" s="60" t="s">
        <v>10</v>
      </c>
      <c r="O4" s="60" t="s">
        <v>11</v>
      </c>
      <c r="P4" s="60" t="s">
        <v>17</v>
      </c>
      <c r="Q4" s="60" t="s">
        <v>211</v>
      </c>
      <c r="S4" s="60" t="s">
        <v>9</v>
      </c>
      <c r="T4" s="60" t="s">
        <v>1</v>
      </c>
      <c r="U4" s="60" t="s">
        <v>10</v>
      </c>
      <c r="V4" s="60" t="s">
        <v>11</v>
      </c>
      <c r="W4" s="60" t="s">
        <v>17</v>
      </c>
      <c r="X4" s="60" t="s">
        <v>211</v>
      </c>
    </row>
    <row r="5" spans="2:24" x14ac:dyDescent="0.35">
      <c r="B5" s="2" t="s">
        <v>56</v>
      </c>
      <c r="C5" s="65">
        <f>G3</f>
        <v>99082760</v>
      </c>
      <c r="E5" s="61" cm="1">
        <f t="array" ref="E5:J12">_xlfn.CHOOSECOLS(_xlfn._xlws.FILTER(STATEMENT!A3:H5027,STATEMENT!H3:H5027="PURCHASE OF SOYA"),1,2,4,6,7,8)</f>
        <v>46092</v>
      </c>
      <c r="F5" s="2" t="str">
        <v>TCHANIGA SAMSON</v>
      </c>
      <c r="G5" s="7">
        <v>3634400</v>
      </c>
      <c r="H5" s="2">
        <v>5447262</v>
      </c>
      <c r="I5" s="2" t="str">
        <v>PURCHASE OF SOYA</v>
      </c>
      <c r="J5" s="2" t="str">
        <v>PURCHASE OF SOYA</v>
      </c>
      <c r="L5" s="61" cm="1">
        <f t="array" ref="L5:Q5">_xlfn.CHOOSECOLS(_xlfn._xlws.FILTER(STATEMENT!A3:H5027,STATEMENT!H3:H5027="PURCHASE/ COTTON SEED"),1,2,4,6,7,8)</f>
        <v>46090</v>
      </c>
      <c r="M5" s="2" t="str">
        <v>SODECO</v>
      </c>
      <c r="N5" s="7">
        <v>60000000</v>
      </c>
      <c r="O5" s="2">
        <v>5447256</v>
      </c>
      <c r="P5" s="2" t="str">
        <v>ACHAT DE COTON SEED</v>
      </c>
      <c r="Q5" s="2" t="str">
        <v>PURCHASE/ COTTON SEED</v>
      </c>
      <c r="S5" s="61" cm="1">
        <f t="array" ref="S5:X36">_xlfn.CHOOSECOLS(_xlfn._xlws.FILTER(STATEMENT!A3:H5027,STATEMENT!H3:H5027="PURCHASE OF SHEA"),1,2,4,6,7,8)</f>
        <v>46248</v>
      </c>
      <c r="T5" s="2" t="str">
        <v>TCHANIGA SAMSON</v>
      </c>
      <c r="U5" s="7">
        <v>16552800</v>
      </c>
      <c r="V5" s="2">
        <v>5822154</v>
      </c>
      <c r="W5" s="2" t="str">
        <v>PURCHASE OF SHEA</v>
      </c>
      <c r="X5" s="2" t="str">
        <v>PURCHASE OF SHEA</v>
      </c>
    </row>
    <row r="6" spans="2:24" x14ac:dyDescent="0.35">
      <c r="B6" s="2" t="s">
        <v>228</v>
      </c>
      <c r="C6" s="65">
        <f>N3</f>
        <v>60000000</v>
      </c>
      <c r="E6" s="61">
        <v>46092</v>
      </c>
      <c r="F6" s="2" t="str">
        <v xml:space="preserve">GOUDOU DOSSOU ROMAIN </v>
      </c>
      <c r="G6" s="7">
        <v>1909100</v>
      </c>
      <c r="H6" s="2">
        <v>5447263</v>
      </c>
      <c r="I6" s="2" t="str">
        <v>PURCHASE OF SOYA</v>
      </c>
      <c r="J6" s="2" t="str">
        <v>PURCHASE OF SOYA</v>
      </c>
      <c r="L6" s="61"/>
      <c r="M6" s="2"/>
      <c r="N6" s="7"/>
      <c r="O6" s="2"/>
      <c r="P6" s="2"/>
      <c r="Q6" s="2"/>
      <c r="S6" s="61">
        <v>46251</v>
      </c>
      <c r="T6" s="2" t="str">
        <v>ISMAEL WASSIOU</v>
      </c>
      <c r="U6" s="7">
        <v>32835000</v>
      </c>
      <c r="V6" s="2">
        <v>5822143</v>
      </c>
      <c r="W6" s="2" t="str">
        <v>PURCHASE OF SHEA</v>
      </c>
      <c r="X6" s="2" t="str">
        <v>PURCHASE OF SHEA</v>
      </c>
    </row>
    <row r="7" spans="2:24" x14ac:dyDescent="0.35">
      <c r="B7" s="2" t="s">
        <v>346</v>
      </c>
      <c r="C7" s="65">
        <f>U3</f>
        <v>417880000</v>
      </c>
      <c r="E7" s="61">
        <v>46163</v>
      </c>
      <c r="F7" s="2" t="str">
        <v>HOUEDANOU JUSTIN</v>
      </c>
      <c r="G7" s="7">
        <v>14005640</v>
      </c>
      <c r="H7" s="2">
        <v>5822109</v>
      </c>
      <c r="I7" s="2" t="str">
        <v>PURCHASE OF SOYA</v>
      </c>
      <c r="J7" s="2" t="str">
        <v>PURCHASE OF SOYA</v>
      </c>
      <c r="L7" s="61"/>
      <c r="M7" s="2"/>
      <c r="N7" s="7"/>
      <c r="O7" s="2"/>
      <c r="P7" s="2"/>
      <c r="Q7" s="2"/>
      <c r="S7" s="61">
        <v>46252</v>
      </c>
      <c r="T7" s="2" t="str">
        <v>VLAVONOU PIERRE</v>
      </c>
      <c r="U7" s="7">
        <v>12949200</v>
      </c>
      <c r="V7" s="2">
        <v>5822144</v>
      </c>
      <c r="W7" s="2" t="str">
        <v>PURCHASE OF SHEA</v>
      </c>
      <c r="X7" s="2" t="str">
        <v>PURCHASE OF SHEA</v>
      </c>
    </row>
    <row r="8" spans="2:24" x14ac:dyDescent="0.35">
      <c r="B8" s="2"/>
      <c r="C8" s="2"/>
      <c r="E8" s="61">
        <v>46163</v>
      </c>
      <c r="F8" s="2" t="str">
        <v>CHABI BORO HALISSOU</v>
      </c>
      <c r="G8" s="7">
        <v>14481500</v>
      </c>
      <c r="H8" s="2">
        <v>5822107</v>
      </c>
      <c r="I8" s="2" t="str">
        <v>PURCHASE OF SOYA</v>
      </c>
      <c r="J8" s="2" t="str">
        <v>PURCHASE OF SOYA</v>
      </c>
      <c r="L8" s="61"/>
      <c r="M8" s="2"/>
      <c r="N8" s="7"/>
      <c r="O8" s="2"/>
      <c r="P8" s="2"/>
      <c r="Q8" s="2"/>
      <c r="S8" s="61">
        <v>46252</v>
      </c>
      <c r="T8" s="2" t="str">
        <v>TCHANIGA SAMSON</v>
      </c>
      <c r="U8" s="7">
        <v>25990200</v>
      </c>
      <c r="V8" s="2">
        <v>5822146</v>
      </c>
      <c r="W8" s="2" t="str">
        <v>PURCHASE OF SHEA</v>
      </c>
      <c r="X8" s="2" t="str">
        <v>PURCHASE OF SHEA</v>
      </c>
    </row>
    <row r="9" spans="2:24" x14ac:dyDescent="0.35">
      <c r="B9" s="2"/>
      <c r="C9" s="2"/>
      <c r="E9" s="61">
        <v>46164</v>
      </c>
      <c r="F9" s="2" t="str">
        <v>TCHANIGA SAMSON</v>
      </c>
      <c r="G9" s="7">
        <v>11144000</v>
      </c>
      <c r="H9" s="2">
        <v>0</v>
      </c>
      <c r="I9" s="2" t="str">
        <v>PURCHASE OF SOYA</v>
      </c>
      <c r="J9" s="2" t="str">
        <v>PURCHASE OF SOYA</v>
      </c>
      <c r="L9" s="61"/>
      <c r="M9" s="2"/>
      <c r="N9" s="7"/>
      <c r="O9" s="2"/>
      <c r="P9" s="2"/>
      <c r="Q9" s="2"/>
      <c r="S9" s="61">
        <v>46252</v>
      </c>
      <c r="T9" s="2" t="str">
        <v>BADJOGOUN EVELINE NESTORINE / NOEL DOLEME</v>
      </c>
      <c r="U9" s="7">
        <v>7000000</v>
      </c>
      <c r="V9" s="2">
        <v>5822147</v>
      </c>
      <c r="W9" s="2" t="str">
        <v>PURCHASE OF SHEA</v>
      </c>
      <c r="X9" s="2" t="str">
        <v>PURCHASE OF SHEA</v>
      </c>
    </row>
    <row r="10" spans="2:24" x14ac:dyDescent="0.35">
      <c r="B10" s="11" t="s">
        <v>241</v>
      </c>
      <c r="C10" s="66">
        <f>SUM(C5:C9)</f>
        <v>576962760</v>
      </c>
      <c r="E10" s="61">
        <v>46164</v>
      </c>
      <c r="F10" s="2" t="str">
        <v>TCHANIGA ADEKOUNLE LEONARD</v>
      </c>
      <c r="G10" s="7">
        <v>12921440</v>
      </c>
      <c r="H10" s="2">
        <v>0</v>
      </c>
      <c r="I10" s="2" t="str">
        <v>PURCHASE OF SOYA</v>
      </c>
      <c r="J10" s="2" t="str">
        <v>PURCHASE OF SOYA</v>
      </c>
      <c r="L10" s="61"/>
      <c r="M10" s="2"/>
      <c r="N10" s="7"/>
      <c r="O10" s="2"/>
      <c r="P10" s="2"/>
      <c r="Q10" s="2"/>
      <c r="S10" s="61">
        <v>46254</v>
      </c>
      <c r="T10" s="2" t="str">
        <v>TCHANIGA SAMSON</v>
      </c>
      <c r="U10" s="7">
        <v>15622200</v>
      </c>
      <c r="V10" s="2">
        <v>5822156</v>
      </c>
      <c r="W10" s="2" t="str">
        <v>PURCHASE OF SHEA</v>
      </c>
      <c r="X10" s="2" t="str">
        <v>PURCHASE OF SHEA</v>
      </c>
    </row>
    <row r="11" spans="2:24" x14ac:dyDescent="0.35">
      <c r="E11" s="61">
        <v>46164</v>
      </c>
      <c r="F11" s="2" t="str">
        <v>AHEGNI HIPPOLYTE</v>
      </c>
      <c r="G11" s="7">
        <v>27176800</v>
      </c>
      <c r="H11" s="2">
        <v>0</v>
      </c>
      <c r="I11" s="2" t="str">
        <v>PURCHASE OF SOYA</v>
      </c>
      <c r="J11" s="2" t="str">
        <v>PURCHASE OF SOYA</v>
      </c>
      <c r="L11" s="61"/>
      <c r="M11" s="2"/>
      <c r="N11" s="7"/>
      <c r="O11" s="2"/>
      <c r="P11" s="2"/>
      <c r="Q11" s="2"/>
      <c r="S11" s="61">
        <v>46254</v>
      </c>
      <c r="T11" s="2" t="str">
        <v>VLAVONOU PIERRE</v>
      </c>
      <c r="U11" s="7">
        <v>15001800</v>
      </c>
      <c r="V11" s="2">
        <v>5822157</v>
      </c>
      <c r="W11" s="2" t="str">
        <v>PURCHASE OF SHEA</v>
      </c>
      <c r="X11" s="2" t="str">
        <v>PURCHASE OF SHEA</v>
      </c>
    </row>
    <row r="12" spans="2:24" x14ac:dyDescent="0.35">
      <c r="E12" s="61">
        <v>46190</v>
      </c>
      <c r="F12" s="2" t="str">
        <v>PURCHASE OF SOYABEAN</v>
      </c>
      <c r="G12" s="7">
        <v>13809880</v>
      </c>
      <c r="H12" s="2">
        <v>5822117</v>
      </c>
      <c r="I12" s="2" t="str">
        <v>PURCHASE OF SOYA</v>
      </c>
      <c r="J12" s="2" t="str">
        <v>PURCHASE OF SOYA</v>
      </c>
      <c r="L12" s="61"/>
      <c r="M12" s="2"/>
      <c r="N12" s="7"/>
      <c r="O12" s="2"/>
      <c r="P12" s="2"/>
      <c r="Q12" s="2"/>
      <c r="S12" s="61">
        <v>46254</v>
      </c>
      <c r="T12" s="2" t="str">
        <v>NOEL DOLEME</v>
      </c>
      <c r="U12" s="7">
        <v>8675000</v>
      </c>
      <c r="V12" s="2">
        <v>5822158</v>
      </c>
      <c r="W12" s="2" t="str">
        <v>PURCHASE OF SHEA</v>
      </c>
      <c r="X12" s="2" t="str">
        <v>PURCHASE OF SHEA</v>
      </c>
    </row>
    <row r="13" spans="2:24" x14ac:dyDescent="0.35">
      <c r="E13" s="61"/>
      <c r="F13" s="2"/>
      <c r="G13" s="7"/>
      <c r="H13" s="2"/>
      <c r="I13" s="2"/>
      <c r="J13" s="2"/>
      <c r="L13" s="61"/>
      <c r="M13" s="2"/>
      <c r="N13" s="7"/>
      <c r="O13" s="2"/>
      <c r="P13" s="2"/>
      <c r="Q13" s="2"/>
      <c r="S13" s="61">
        <v>46255</v>
      </c>
      <c r="T13" s="2" t="str">
        <v>TCHANIGA SAMSON</v>
      </c>
      <c r="U13" s="7">
        <v>8000000</v>
      </c>
      <c r="V13" s="2">
        <v>5822159</v>
      </c>
      <c r="W13" s="2" t="str">
        <v>PURCHASE OF SHEA</v>
      </c>
      <c r="X13" s="2" t="str">
        <v>PURCHASE OF SHEA</v>
      </c>
    </row>
    <row r="14" spans="2:24" x14ac:dyDescent="0.35">
      <c r="E14" s="61"/>
      <c r="F14" s="2"/>
      <c r="G14" s="13"/>
      <c r="H14" s="2"/>
      <c r="I14" s="2"/>
      <c r="J14" s="2"/>
      <c r="L14" s="61"/>
      <c r="M14" s="2"/>
      <c r="N14" s="13"/>
      <c r="O14" s="2"/>
      <c r="P14" s="2"/>
      <c r="Q14" s="2"/>
      <c r="S14" s="61">
        <v>46258</v>
      </c>
      <c r="T14" s="2" t="str">
        <v>TCHANIGA SAMSON</v>
      </c>
      <c r="U14" s="13">
        <v>15036000</v>
      </c>
      <c r="V14" s="2">
        <v>5822162</v>
      </c>
      <c r="W14" s="2" t="str">
        <v>PURCHASE OF SHEA</v>
      </c>
      <c r="X14" s="2" t="str">
        <v>PURCHASE OF SHEA</v>
      </c>
    </row>
    <row r="15" spans="2:24" x14ac:dyDescent="0.35">
      <c r="S15" s="61">
        <v>46258</v>
      </c>
      <c r="T15" s="2" t="str">
        <v>YENAFO MOISE</v>
      </c>
      <c r="U15" s="2">
        <v>10546800</v>
      </c>
      <c r="V15" s="2">
        <v>5822160</v>
      </c>
      <c r="W15" s="2" t="str">
        <v>PURCHASE OF SHEA</v>
      </c>
      <c r="X15" s="2" t="str">
        <v>PURCHASE OF SHEA</v>
      </c>
    </row>
    <row r="16" spans="2:24" x14ac:dyDescent="0.35">
      <c r="S16" s="61">
        <v>46258</v>
      </c>
      <c r="T16" s="2" t="str">
        <v>PIERRE VLAVONOU/DAOUDA MACHOUDI</v>
      </c>
      <c r="U16" s="2">
        <v>13206600</v>
      </c>
      <c r="V16" s="2">
        <v>5822163</v>
      </c>
      <c r="W16" s="2" t="str">
        <v>PURCHASE OF SHEA</v>
      </c>
      <c r="X16" s="2" t="str">
        <v>PURCHASE OF SHEA</v>
      </c>
    </row>
    <row r="17" spans="19:24" x14ac:dyDescent="0.35">
      <c r="S17" s="61">
        <v>46259</v>
      </c>
      <c r="T17" s="2" t="str">
        <v>DOSSOU GOUDOU ROMAIN</v>
      </c>
      <c r="U17" s="2">
        <v>11343400</v>
      </c>
      <c r="V17" s="2">
        <v>5822164</v>
      </c>
      <c r="W17" s="2" t="str">
        <v>PURCHASE OF SHEA</v>
      </c>
      <c r="X17" s="2" t="str">
        <v>PURCHASE OF SHEA</v>
      </c>
    </row>
    <row r="18" spans="19:24" x14ac:dyDescent="0.35">
      <c r="S18" s="61">
        <v>46261</v>
      </c>
      <c r="T18" s="2" t="str">
        <v>ALLASSANE MARWANE</v>
      </c>
      <c r="U18" s="2">
        <v>15199800</v>
      </c>
      <c r="V18" s="2">
        <v>5822170</v>
      </c>
      <c r="W18" s="2" t="str">
        <v>PURCHASE OF SHEA</v>
      </c>
      <c r="X18" s="2" t="str">
        <v>PURCHASE OF SHEA</v>
      </c>
    </row>
    <row r="19" spans="19:24" x14ac:dyDescent="0.35">
      <c r="S19" s="61">
        <v>46261</v>
      </c>
      <c r="T19" s="2" t="str">
        <v>GBAGBE MATHIAS</v>
      </c>
      <c r="U19" s="2">
        <v>9000000</v>
      </c>
      <c r="V19" s="2">
        <v>5822172</v>
      </c>
      <c r="W19" s="2" t="str">
        <v>PURCHASE OF SHEA</v>
      </c>
      <c r="X19" s="2" t="str">
        <v>PURCHASE OF SHEA</v>
      </c>
    </row>
    <row r="20" spans="19:24" x14ac:dyDescent="0.35">
      <c r="S20" s="61">
        <v>46261</v>
      </c>
      <c r="T20" s="2" t="str">
        <v>MEHSAN DANIEL JOEL</v>
      </c>
      <c r="U20" s="2">
        <v>9000000</v>
      </c>
      <c r="V20" s="2">
        <v>5822174</v>
      </c>
      <c r="W20" s="2" t="str">
        <v>PURCHASE OF SHEA</v>
      </c>
      <c r="X20" s="2" t="str">
        <v>PURCHASE OF SHEA</v>
      </c>
    </row>
    <row r="21" spans="19:24" x14ac:dyDescent="0.35">
      <c r="S21" s="61">
        <v>46267</v>
      </c>
      <c r="T21" s="2" t="str">
        <v>KOBOLOU HERVE</v>
      </c>
      <c r="U21" s="2">
        <v>10000000</v>
      </c>
      <c r="V21" s="2">
        <v>5822180</v>
      </c>
      <c r="W21" s="2" t="str">
        <v>PURCHASE OF SHEA</v>
      </c>
      <c r="X21" s="2" t="str">
        <v>PURCHASE OF SHEA</v>
      </c>
    </row>
    <row r="22" spans="19:24" x14ac:dyDescent="0.35">
      <c r="S22" s="61">
        <v>46268</v>
      </c>
      <c r="T22" s="2" t="str">
        <v>BADAROU SAID</v>
      </c>
      <c r="U22" s="2">
        <v>5000000</v>
      </c>
      <c r="V22" s="2">
        <v>5822183</v>
      </c>
      <c r="W22" s="2" t="str">
        <v>PURCHASE OF SHEA</v>
      </c>
      <c r="X22" s="2" t="str">
        <v>PURCHASE OF SHEA</v>
      </c>
    </row>
    <row r="23" spans="19:24" x14ac:dyDescent="0.35">
      <c r="S23" s="61">
        <v>46270</v>
      </c>
      <c r="T23" s="2" t="str">
        <v>DOSSA DOGNON MATHURIN</v>
      </c>
      <c r="U23" s="2">
        <v>4670100</v>
      </c>
      <c r="V23" s="2">
        <v>5822185</v>
      </c>
      <c r="W23" s="2" t="str">
        <v>PURCHASE OF SHEA</v>
      </c>
      <c r="X23" s="2" t="str">
        <v>PURCHASE OF SHEA</v>
      </c>
    </row>
    <row r="24" spans="19:24" x14ac:dyDescent="0.35">
      <c r="S24" s="61">
        <v>46270</v>
      </c>
      <c r="T24" s="2" t="str">
        <v>KOBOLOU HERVE</v>
      </c>
      <c r="U24" s="2">
        <v>6202000</v>
      </c>
      <c r="V24" s="2">
        <v>5822186</v>
      </c>
      <c r="W24" s="2" t="str">
        <v>PURCHASE OF SHEA</v>
      </c>
      <c r="X24" s="2" t="str">
        <v>PURCHASE OF SHEA</v>
      </c>
    </row>
    <row r="25" spans="19:24" x14ac:dyDescent="0.35">
      <c r="S25" s="61">
        <v>46270</v>
      </c>
      <c r="T25" s="2" t="str">
        <v>DOSSOU GOUDOU ROMAIN</v>
      </c>
      <c r="U25" s="2">
        <v>2900000</v>
      </c>
      <c r="V25" s="2">
        <v>5822187</v>
      </c>
      <c r="W25" s="2" t="str">
        <v>PURCHASE OF SHEA</v>
      </c>
      <c r="X25" s="2" t="str">
        <v>PURCHASE OF SHEA</v>
      </c>
    </row>
    <row r="26" spans="19:24" x14ac:dyDescent="0.35">
      <c r="S26" s="61">
        <v>46270</v>
      </c>
      <c r="T26" s="2" t="str">
        <v>PROSPERE</v>
      </c>
      <c r="U26" s="2">
        <v>3912800</v>
      </c>
      <c r="V26" s="2">
        <v>5822188</v>
      </c>
      <c r="W26" s="2" t="str">
        <v>PURCHASE OF SHEA</v>
      </c>
      <c r="X26" s="2" t="str">
        <v>PURCHASE OF SHEA</v>
      </c>
    </row>
    <row r="27" spans="19:24" x14ac:dyDescent="0.35">
      <c r="S27" s="61">
        <v>46273</v>
      </c>
      <c r="T27" s="2" t="str">
        <v>ISMAEL WASSIOU</v>
      </c>
      <c r="U27" s="2">
        <v>15232800</v>
      </c>
      <c r="V27" s="2">
        <v>5822189</v>
      </c>
      <c r="W27" s="2" t="str">
        <v>PURCHASE OF SHEA</v>
      </c>
      <c r="X27" s="2" t="str">
        <v>PURCHASE OF SHEA</v>
      </c>
    </row>
    <row r="28" spans="19:24" x14ac:dyDescent="0.35">
      <c r="S28" s="61">
        <v>46274</v>
      </c>
      <c r="T28" s="2" t="str">
        <v>TCHANIGA SAMSON</v>
      </c>
      <c r="U28" s="2">
        <v>29158400</v>
      </c>
      <c r="V28" s="2">
        <v>5822193</v>
      </c>
      <c r="W28" s="2" t="str">
        <v>PURCHASE OF SHEA</v>
      </c>
      <c r="X28" s="2" t="str">
        <v>PURCHASE OF SHEA</v>
      </c>
    </row>
    <row r="29" spans="19:24" x14ac:dyDescent="0.35">
      <c r="S29" s="61">
        <v>46274</v>
      </c>
      <c r="T29" s="2" t="str">
        <v>YENAFO MOISE</v>
      </c>
      <c r="U29" s="2">
        <v>11160600</v>
      </c>
      <c r="V29" s="2">
        <v>5822197</v>
      </c>
      <c r="W29" s="2" t="str">
        <v>PURCHASE OF SHEA</v>
      </c>
      <c r="X29" s="2" t="str">
        <v>PURCHASE OF SHEA</v>
      </c>
    </row>
    <row r="30" spans="19:24" x14ac:dyDescent="0.35">
      <c r="S30" s="61">
        <v>46274</v>
      </c>
      <c r="T30" s="2" t="str">
        <v>DOSSA DOGNON MATHURIN</v>
      </c>
      <c r="U30" s="2">
        <v>16108500</v>
      </c>
      <c r="V30" s="2">
        <v>5822198</v>
      </c>
      <c r="W30" s="2" t="str">
        <v>PURCHASE OF SHEA</v>
      </c>
      <c r="X30" s="2" t="str">
        <v>PURCHASE OF SHEA</v>
      </c>
    </row>
    <row r="31" spans="19:24" x14ac:dyDescent="0.35">
      <c r="S31" s="61">
        <v>46274</v>
      </c>
      <c r="T31" s="2" t="str">
        <v>AHEGNI CASIMIR</v>
      </c>
      <c r="U31" s="2">
        <v>32816800</v>
      </c>
      <c r="V31" s="2">
        <v>5822199</v>
      </c>
      <c r="W31" s="2" t="str">
        <v>PURCHASE OF SHEA</v>
      </c>
      <c r="X31" s="2" t="str">
        <v>PURCHASE OF SHEA</v>
      </c>
    </row>
    <row r="32" spans="19:24" x14ac:dyDescent="0.35">
      <c r="S32" s="61">
        <v>46274</v>
      </c>
      <c r="T32" s="2" t="str">
        <v>Mr MOMO</v>
      </c>
      <c r="U32" s="2">
        <v>12487200</v>
      </c>
      <c r="V32" s="2">
        <v>5822200</v>
      </c>
      <c r="W32" s="2" t="str">
        <v>PURCHASE OF SHEA</v>
      </c>
      <c r="X32" s="2" t="str">
        <v>PURCHASE OF SHEA</v>
      </c>
    </row>
    <row r="33" spans="19:24" x14ac:dyDescent="0.35">
      <c r="S33" s="61">
        <v>46274</v>
      </c>
      <c r="T33" s="2" t="str">
        <v>SEYNI HASSANE</v>
      </c>
      <c r="U33" s="2">
        <v>16211200</v>
      </c>
      <c r="V33" s="2">
        <v>5862901</v>
      </c>
      <c r="W33" s="2" t="str">
        <v>PURCHASE OF SHEA</v>
      </c>
      <c r="X33" s="2" t="str">
        <v>PURCHASE OF SHEA</v>
      </c>
    </row>
    <row r="34" spans="19:24" x14ac:dyDescent="0.35">
      <c r="S34" s="61">
        <v>46274</v>
      </c>
      <c r="T34" s="2" t="str">
        <v>PROSPERE</v>
      </c>
      <c r="U34" s="2">
        <v>15180000</v>
      </c>
      <c r="V34" s="2">
        <v>5862902</v>
      </c>
      <c r="W34" s="2" t="str">
        <v>PURCHASE OF SHEA</v>
      </c>
      <c r="X34" s="2" t="str">
        <v>PURCHASE OF SHEA</v>
      </c>
    </row>
    <row r="35" spans="19:24" x14ac:dyDescent="0.35">
      <c r="S35" s="61">
        <v>46274</v>
      </c>
      <c r="T35" s="2" t="str">
        <v>BADAROU SAID</v>
      </c>
      <c r="U35" s="2">
        <v>7908000</v>
      </c>
      <c r="V35" s="2">
        <v>5862903</v>
      </c>
      <c r="W35" s="2" t="str">
        <v>PURCHASE OF SHEA</v>
      </c>
      <c r="X35" s="2" t="str">
        <v>PURCHASE OF SHEA</v>
      </c>
    </row>
    <row r="36" spans="19:24" x14ac:dyDescent="0.35">
      <c r="S36">
        <v>46274</v>
      </c>
      <c r="T36" t="str">
        <v>NOEL DOLEME</v>
      </c>
      <c r="U36">
        <v>2972800</v>
      </c>
      <c r="V36">
        <v>5822195</v>
      </c>
      <c r="W36" t="str">
        <v>PURCHASE OF SHEA</v>
      </c>
      <c r="X36" t="str">
        <v>PURCHASE OF SHEA</v>
      </c>
    </row>
  </sheetData>
  <mergeCells count="6">
    <mergeCell ref="V3:X3"/>
    <mergeCell ref="E3:F3"/>
    <mergeCell ref="H3:J3"/>
    <mergeCell ref="L3:M3"/>
    <mergeCell ref="O3:Q3"/>
    <mergeCell ref="S3:T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732F-40B3-47C0-9A4A-715391923547}">
  <sheetPr>
    <tabColor rgb="FFFFC000"/>
  </sheetPr>
  <dimension ref="B3:X199"/>
  <sheetViews>
    <sheetView workbookViewId="0">
      <pane ySplit="4" topLeftCell="A5" activePane="bottomLeft" state="frozen"/>
      <selection pane="bottomLeft" activeCell="E14" sqref="E14"/>
    </sheetView>
  </sheetViews>
  <sheetFormatPr baseColWidth="10" defaultColWidth="8.7265625" defaultRowHeight="14.5" x14ac:dyDescent="0.35"/>
  <cols>
    <col min="2" max="3" width="18.453125" customWidth="1"/>
    <col min="5" max="5" width="17.81640625" customWidth="1"/>
    <col min="6" max="6" width="38.7265625" customWidth="1"/>
    <col min="7" max="7" width="20.36328125" bestFit="1" customWidth="1"/>
    <col min="8" max="13" width="17.81640625" customWidth="1"/>
    <col min="14" max="14" width="20.36328125" bestFit="1" customWidth="1"/>
    <col min="15" max="24" width="17.81640625" customWidth="1"/>
  </cols>
  <sheetData>
    <row r="3" spans="2:24" ht="18.5" x14ac:dyDescent="0.45">
      <c r="E3" s="115" t="s">
        <v>217</v>
      </c>
      <c r="F3" s="116"/>
      <c r="G3" s="62">
        <f>SUBTOTAL(9,G5:G5000)</f>
        <v>158174827</v>
      </c>
      <c r="H3" s="117"/>
      <c r="I3" s="118"/>
      <c r="J3" s="119"/>
      <c r="L3" s="115" t="s">
        <v>216</v>
      </c>
      <c r="M3" s="116"/>
      <c r="N3" s="62">
        <f>SUBTOTAL(9,N5:N5000)</f>
        <v>349147438</v>
      </c>
      <c r="O3" s="117"/>
      <c r="P3" s="118"/>
      <c r="Q3" s="119"/>
      <c r="S3" s="115" t="s">
        <v>227</v>
      </c>
      <c r="T3" s="116"/>
      <c r="U3" s="62">
        <f>SUBTOTAL(9,U5:U5000)</f>
        <v>1013456</v>
      </c>
      <c r="V3" s="117"/>
      <c r="W3" s="118"/>
      <c r="X3" s="119"/>
    </row>
    <row r="4" spans="2:24" x14ac:dyDescent="0.35">
      <c r="B4" s="69" t="s">
        <v>240</v>
      </c>
      <c r="C4" s="69" t="s">
        <v>255</v>
      </c>
      <c r="E4" s="60" t="s">
        <v>9</v>
      </c>
      <c r="F4" s="60" t="s">
        <v>1</v>
      </c>
      <c r="G4" s="60" t="s">
        <v>10</v>
      </c>
      <c r="H4" s="60" t="s">
        <v>11</v>
      </c>
      <c r="I4" s="60" t="s">
        <v>17</v>
      </c>
      <c r="J4" s="60" t="s">
        <v>211</v>
      </c>
      <c r="L4" s="60" t="s">
        <v>9</v>
      </c>
      <c r="M4" s="60" t="s">
        <v>1</v>
      </c>
      <c r="N4" s="60" t="s">
        <v>10</v>
      </c>
      <c r="O4" s="60" t="s">
        <v>11</v>
      </c>
      <c r="P4" s="60" t="s">
        <v>17</v>
      </c>
      <c r="Q4" s="60" t="s">
        <v>211</v>
      </c>
      <c r="S4" s="60" t="s">
        <v>9</v>
      </c>
      <c r="T4" s="60" t="s">
        <v>1</v>
      </c>
      <c r="U4" s="60" t="s">
        <v>10</v>
      </c>
      <c r="V4" s="60" t="s">
        <v>11</v>
      </c>
      <c r="W4" s="60" t="s">
        <v>17</v>
      </c>
      <c r="X4" s="60" t="s">
        <v>211</v>
      </c>
    </row>
    <row r="5" spans="2:24" x14ac:dyDescent="0.35">
      <c r="B5" s="2" t="s">
        <v>217</v>
      </c>
      <c r="C5" s="65">
        <f>G3</f>
        <v>158174827</v>
      </c>
      <c r="E5" s="61" cm="1">
        <f t="array" ref="E5:J24">_xlfn.CHOOSECOLS(_xlfn._xlws.FILTER(STATEMENT!A3:H5027,STATEMENT!H3:H5027="TRANSITER"),1,2,4,6,7,8)</f>
        <v>46027</v>
      </c>
      <c r="F5" s="2" t="str">
        <v>ORDI TRADING (RAJIBER) EXP ACC</v>
      </c>
      <c r="G5" s="7">
        <v>3400000</v>
      </c>
      <c r="H5" s="2">
        <v>5447234</v>
      </c>
      <c r="I5" s="2">
        <v>0</v>
      </c>
      <c r="J5" s="2" t="str">
        <v>TRANSITER</v>
      </c>
      <c r="L5" s="61" cm="1">
        <f t="array" ref="L5:Q131">_xlfn.CHOOSECOLS(_xlfn._xlws.FILTER(STATEMENT!A3:H5027,STATEMENT!H3:H5027="BFU"),1,2,4,6,7,8)</f>
        <v>46029</v>
      </c>
      <c r="M5" s="2" t="str">
        <v>SEGUB GUCE</v>
      </c>
      <c r="N5" s="7">
        <v>1080382</v>
      </c>
      <c r="O5" s="2">
        <v>0</v>
      </c>
      <c r="P5" s="2" t="str">
        <v>USN-26003902_bl MEDUCT180949_ SHEA DOC</v>
      </c>
      <c r="Q5" s="2" t="str">
        <v>BFU</v>
      </c>
      <c r="S5" s="61" cm="1">
        <f t="array" ref="S5:X5">_xlfn.CHOOSECOLS(_xlfn._xlws.FILTER(STATEMENT!A3:H5027,STATEMENT!H3:H5027="EXP/ FRET PAYMENT"),1,2,4,6,7,8)</f>
        <v>46107</v>
      </c>
      <c r="T5" s="2" t="str">
        <v>M/SC BENIN</v>
      </c>
      <c r="U5" s="7">
        <v>1013456</v>
      </c>
      <c r="V5" s="2">
        <v>5758923</v>
      </c>
      <c r="W5" s="2" t="str">
        <v>PAYEMENT FRET</v>
      </c>
      <c r="X5" s="2" t="str">
        <v>EXP/ FRET PAYMENT</v>
      </c>
    </row>
    <row r="6" spans="2:24" x14ac:dyDescent="0.35">
      <c r="B6" s="2" t="s">
        <v>216</v>
      </c>
      <c r="C6" s="65">
        <f>N3</f>
        <v>349147438</v>
      </c>
      <c r="E6" s="61">
        <v>46027</v>
      </c>
      <c r="F6" s="2" t="str">
        <v>ORDI TRADING (RAJIBER) EXP ACC</v>
      </c>
      <c r="G6" s="7">
        <v>1258530</v>
      </c>
      <c r="H6" s="2">
        <v>5447233</v>
      </c>
      <c r="I6" s="2">
        <v>0</v>
      </c>
      <c r="J6" s="2" t="str">
        <v>TRANSITER</v>
      </c>
      <c r="L6" s="61">
        <v>46038</v>
      </c>
      <c r="M6" s="2" t="str">
        <v>SEGUB GUCE</v>
      </c>
      <c r="N6" s="7">
        <v>3978467</v>
      </c>
      <c r="O6" s="2">
        <v>0</v>
      </c>
      <c r="P6" s="2" t="str">
        <v>USN-26008665_264186756_SHEA BUTTER</v>
      </c>
      <c r="Q6" s="2" t="str">
        <v>BFU</v>
      </c>
      <c r="S6" s="61"/>
      <c r="T6" s="2"/>
      <c r="U6" s="7"/>
      <c r="V6" s="2"/>
      <c r="W6" s="2"/>
      <c r="X6" s="2"/>
    </row>
    <row r="7" spans="2:24" x14ac:dyDescent="0.35">
      <c r="B7" s="2" t="s">
        <v>227</v>
      </c>
      <c r="C7" s="65">
        <f>U3</f>
        <v>1013456</v>
      </c>
      <c r="E7" s="61">
        <v>46035</v>
      </c>
      <c r="F7" s="2" t="str">
        <v>PROSPERITY AND GLORY OF GOD</v>
      </c>
      <c r="G7" s="7">
        <v>2646300</v>
      </c>
      <c r="H7" s="2">
        <v>5447236</v>
      </c>
      <c r="I7" s="2" t="str">
        <v>ALFRED TRANSITER EXP ACC</v>
      </c>
      <c r="J7" s="2" t="str">
        <v>TRANSITER</v>
      </c>
      <c r="L7" s="61">
        <v>46038</v>
      </c>
      <c r="M7" s="2" t="str">
        <v>SEGUB GUCE</v>
      </c>
      <c r="N7" s="7">
        <v>2004059</v>
      </c>
      <c r="O7" s="2">
        <v>0</v>
      </c>
      <c r="P7" s="2" t="str">
        <v>USN-26008661_264169298_SHEA BUTTER</v>
      </c>
      <c r="Q7" s="2" t="str">
        <v>BFU</v>
      </c>
      <c r="S7" s="61"/>
      <c r="T7" s="2"/>
      <c r="U7" s="7"/>
      <c r="V7" s="2"/>
      <c r="W7" s="2"/>
      <c r="X7" s="2"/>
    </row>
    <row r="8" spans="2:24" ht="15.5" x14ac:dyDescent="0.35">
      <c r="B8" s="2" t="s">
        <v>241</v>
      </c>
      <c r="C8" s="67">
        <f>SUM(C5:C7)</f>
        <v>508335721</v>
      </c>
      <c r="E8" s="61">
        <v>46093</v>
      </c>
      <c r="F8" s="2" t="str">
        <v>HAMA INTER</v>
      </c>
      <c r="G8" s="7">
        <v>20000000</v>
      </c>
      <c r="H8" s="2">
        <v>5447258</v>
      </c>
      <c r="I8" s="2" t="str">
        <v>EXP ACC</v>
      </c>
      <c r="J8" s="2" t="str">
        <v>TRANSITER</v>
      </c>
      <c r="L8" s="61">
        <v>46038</v>
      </c>
      <c r="M8" s="2" t="str">
        <v>SEGUB GUCE</v>
      </c>
      <c r="N8" s="7">
        <v>65625</v>
      </c>
      <c r="O8" s="2">
        <v>0</v>
      </c>
      <c r="P8" s="2" t="str">
        <v>RENOUVELLEMENT BFU_BL 265674057</v>
      </c>
      <c r="Q8" s="2" t="str">
        <v>BFU</v>
      </c>
      <c r="S8" s="61"/>
      <c r="T8" s="2"/>
      <c r="U8" s="7"/>
      <c r="V8" s="2"/>
      <c r="W8" s="2"/>
      <c r="X8" s="2"/>
    </row>
    <row r="9" spans="2:24" x14ac:dyDescent="0.35">
      <c r="E9" s="61">
        <v>46093</v>
      </c>
      <c r="F9" s="2" t="str">
        <v>ORDI TRADING (RAJIBER) EXP ACC</v>
      </c>
      <c r="G9" s="7">
        <v>15000000</v>
      </c>
      <c r="H9" s="2">
        <v>5447257</v>
      </c>
      <c r="I9" s="2" t="str">
        <v>EXP ACC</v>
      </c>
      <c r="J9" s="2" t="str">
        <v>TRANSITER</v>
      </c>
      <c r="L9" s="61">
        <v>46041</v>
      </c>
      <c r="M9" s="2" t="str">
        <v>SEGUB GUCE</v>
      </c>
      <c r="N9" s="7">
        <v>4372054</v>
      </c>
      <c r="O9" s="2">
        <v>0</v>
      </c>
      <c r="P9" s="2" t="str">
        <v>USN-26010887_264186615_SHEA BUTTER</v>
      </c>
      <c r="Q9" s="2" t="str">
        <v>BFU</v>
      </c>
      <c r="S9" s="61"/>
      <c r="T9" s="2"/>
      <c r="U9" s="7"/>
      <c r="V9" s="2"/>
      <c r="W9" s="2"/>
      <c r="X9" s="2"/>
    </row>
    <row r="10" spans="2:24" x14ac:dyDescent="0.35">
      <c r="E10" s="61">
        <v>46099</v>
      </c>
      <c r="F10" s="2" t="str">
        <v>ORDI TRADING (RAJIBER) EXP ACC</v>
      </c>
      <c r="G10" s="7">
        <v>3000000</v>
      </c>
      <c r="H10" s="2">
        <v>5447265</v>
      </c>
      <c r="I10" s="2" t="str">
        <v>EXP ACC</v>
      </c>
      <c r="J10" s="2" t="str">
        <v>TRANSITER</v>
      </c>
      <c r="L10" s="61">
        <v>46042</v>
      </c>
      <c r="M10" s="2" t="str">
        <v>SEGUB GUCE</v>
      </c>
      <c r="N10" s="7">
        <v>1037216</v>
      </c>
      <c r="O10" s="2">
        <v>0</v>
      </c>
      <c r="P10" s="2" t="str">
        <v>USN-26013884_MEDUCT181871_SHEA DOC</v>
      </c>
      <c r="Q10" s="2" t="str">
        <v>BFU</v>
      </c>
      <c r="S10" s="61"/>
      <c r="T10" s="2"/>
      <c r="U10" s="7"/>
      <c r="V10" s="2"/>
      <c r="W10" s="2"/>
      <c r="X10" s="2"/>
    </row>
    <row r="11" spans="2:24" x14ac:dyDescent="0.35">
      <c r="E11" s="61">
        <v>46100</v>
      </c>
      <c r="F11" s="2" t="str">
        <v>ORDI TRADING / MMAF COMMODITIES (RAJIBER)</v>
      </c>
      <c r="G11" s="7">
        <v>7000000</v>
      </c>
      <c r="H11" s="2">
        <v>5447266</v>
      </c>
      <c r="I11" s="2" t="str">
        <v>EXP ACC</v>
      </c>
      <c r="J11" s="2" t="str">
        <v>TRANSITER</v>
      </c>
      <c r="L11" s="61">
        <v>46045</v>
      </c>
      <c r="M11" s="2" t="str">
        <v>SEGUB GUCE</v>
      </c>
      <c r="N11" s="7">
        <v>4706191</v>
      </c>
      <c r="O11" s="2">
        <v>0</v>
      </c>
      <c r="P11" s="2" t="str">
        <v>USN-26015849_265085383_SHEA BUTTER</v>
      </c>
      <c r="Q11" s="2" t="str">
        <v>BFU</v>
      </c>
      <c r="S11" s="61"/>
      <c r="T11" s="2"/>
      <c r="U11" s="7"/>
      <c r="V11" s="2"/>
      <c r="W11" s="2"/>
      <c r="X11" s="2"/>
    </row>
    <row r="12" spans="2:24" x14ac:dyDescent="0.35">
      <c r="E12" s="61">
        <v>46112</v>
      </c>
      <c r="F12" s="2" t="str">
        <v>ORDI TRADING (RAJIBER) EXP ACC</v>
      </c>
      <c r="G12" s="7">
        <v>15000000</v>
      </c>
      <c r="H12" s="2">
        <v>5447274</v>
      </c>
      <c r="I12" s="2" t="str">
        <v>EXP ACC</v>
      </c>
      <c r="J12" s="2" t="str">
        <v>TRANSITER</v>
      </c>
      <c r="L12" s="61">
        <v>46050</v>
      </c>
      <c r="M12" s="2" t="str">
        <v>SEGUB GUCE</v>
      </c>
      <c r="N12" s="7">
        <v>2001241</v>
      </c>
      <c r="O12" s="2">
        <v>0</v>
      </c>
      <c r="P12" s="2" t="str">
        <v>USN-26019619_265584223_SHEA BUTTER</v>
      </c>
      <c r="Q12" s="2" t="str">
        <v>BFU</v>
      </c>
      <c r="S12" s="61"/>
      <c r="T12" s="2"/>
      <c r="U12" s="7"/>
      <c r="V12" s="2"/>
      <c r="W12" s="2"/>
      <c r="X12" s="2"/>
    </row>
    <row r="13" spans="2:24" x14ac:dyDescent="0.35">
      <c r="E13" s="61">
        <v>46113</v>
      </c>
      <c r="F13" s="2" t="str">
        <v>PROSPERITY AND GLORY OF GOD</v>
      </c>
      <c r="G13" s="7">
        <v>7000000</v>
      </c>
      <c r="H13" s="2">
        <v>5447277</v>
      </c>
      <c r="I13" s="2" t="str">
        <v>ALFRED TRANSITER EXP ACC</v>
      </c>
      <c r="J13" s="2" t="str">
        <v>TRANSITER</v>
      </c>
      <c r="L13" s="61">
        <v>46050</v>
      </c>
      <c r="M13" s="2" t="str">
        <v>SEGUB GUCE</v>
      </c>
      <c r="N13" s="7">
        <v>1035448</v>
      </c>
      <c r="O13" s="2">
        <v>0</v>
      </c>
      <c r="P13" s="2" t="str">
        <v>USN-26019610_MEDUCT182457_SHEA DOC</v>
      </c>
      <c r="Q13" s="2" t="str">
        <v>BFU</v>
      </c>
      <c r="S13" s="61"/>
      <c r="T13" s="2"/>
      <c r="U13" s="7"/>
      <c r="V13" s="2"/>
      <c r="W13" s="2"/>
      <c r="X13" s="2"/>
    </row>
    <row r="14" spans="2:24" x14ac:dyDescent="0.35">
      <c r="E14" s="61">
        <v>46147</v>
      </c>
      <c r="F14" s="2" t="str">
        <v>TRANS SOHA</v>
      </c>
      <c r="G14" s="7">
        <v>6000000</v>
      </c>
      <c r="H14" s="2">
        <v>5822102</v>
      </c>
      <c r="I14" s="2" t="str">
        <v>EXPORT ACC</v>
      </c>
      <c r="J14" s="2" t="str">
        <v>TRANSITER</v>
      </c>
      <c r="L14" s="61">
        <v>46051</v>
      </c>
      <c r="M14" s="2" t="str">
        <v>SEGUB GUCE</v>
      </c>
      <c r="N14" s="7">
        <v>2389191</v>
      </c>
      <c r="O14" s="2">
        <v>0</v>
      </c>
      <c r="P14" s="2" t="str">
        <v>USN-26019707_265584104_SHEA BUTTER</v>
      </c>
      <c r="Q14" s="2" t="str">
        <v>BFU</v>
      </c>
      <c r="S14" s="61"/>
      <c r="T14" s="2"/>
      <c r="U14" s="7"/>
      <c r="V14" s="2"/>
      <c r="W14" s="2"/>
      <c r="X14" s="2"/>
    </row>
    <row r="15" spans="2:24" x14ac:dyDescent="0.35">
      <c r="E15" s="61">
        <v>46170</v>
      </c>
      <c r="F15" s="2" t="str">
        <v>TRANS SOHA</v>
      </c>
      <c r="G15" s="7">
        <v>7000000</v>
      </c>
      <c r="H15" s="2">
        <v>5822110</v>
      </c>
      <c r="I15" s="2" t="str">
        <v>EXPORT ACC</v>
      </c>
      <c r="J15" s="2" t="str">
        <v>TRANSITER</v>
      </c>
      <c r="L15" s="61">
        <v>46051</v>
      </c>
      <c r="M15" s="2" t="str">
        <v>SEGUB GUCE</v>
      </c>
      <c r="N15" s="7">
        <v>263900</v>
      </c>
      <c r="O15" s="2">
        <v>0</v>
      </c>
      <c r="P15" s="2" t="str">
        <v>RENOUVELLEMENT BFU_USN-26020071</v>
      </c>
      <c r="Q15" s="2" t="str">
        <v>BFU</v>
      </c>
      <c r="S15" s="61"/>
      <c r="T15" s="2"/>
      <c r="U15" s="7"/>
      <c r="V15" s="2"/>
      <c r="W15" s="2"/>
      <c r="X15" s="2"/>
    </row>
    <row r="16" spans="2:24" x14ac:dyDescent="0.35">
      <c r="E16" s="61">
        <v>46191</v>
      </c>
      <c r="F16" s="2" t="str">
        <v>TRANS SOHA</v>
      </c>
      <c r="G16" s="7">
        <v>10000000</v>
      </c>
      <c r="H16" s="2">
        <v>5822118</v>
      </c>
      <c r="I16" s="2" t="str">
        <v>FRAIS DE PRESTATION_TRANSITAIRE TRANS SOHA</v>
      </c>
      <c r="J16" s="2" t="str">
        <v>TRANSITER</v>
      </c>
      <c r="L16" s="61">
        <v>46051</v>
      </c>
      <c r="M16" s="2" t="str">
        <v>SEGUB GUCE</v>
      </c>
      <c r="N16" s="7">
        <v>131250</v>
      </c>
      <c r="O16" s="2">
        <v>0</v>
      </c>
      <c r="P16" s="2" t="str">
        <v>RENOUVELLEMENT BFU_USN-26008665</v>
      </c>
      <c r="Q16" s="2" t="str">
        <v>BFU</v>
      </c>
      <c r="S16" s="61"/>
      <c r="T16" s="2"/>
      <c r="U16" s="7"/>
      <c r="V16" s="2"/>
      <c r="W16" s="2"/>
      <c r="X16" s="2"/>
    </row>
    <row r="17" spans="5:24" x14ac:dyDescent="0.35">
      <c r="E17" s="61">
        <v>46204</v>
      </c>
      <c r="F17" s="2" t="str">
        <v>RAJIBER MMAF</v>
      </c>
      <c r="G17" s="7">
        <v>7000000</v>
      </c>
      <c r="H17" s="2">
        <v>5822122</v>
      </c>
      <c r="I17" s="2" t="str">
        <v>FRAIS DE PRESTATION POUR LE TRANSITAIRE RAJIBER - MMAF</v>
      </c>
      <c r="J17" s="2" t="str">
        <v>TRANSITER</v>
      </c>
      <c r="L17" s="61">
        <v>46051</v>
      </c>
      <c r="M17" s="2" t="str">
        <v>SEGUB GUCE</v>
      </c>
      <c r="N17" s="7">
        <v>65625</v>
      </c>
      <c r="O17" s="2">
        <v>0</v>
      </c>
      <c r="P17" s="2" t="str">
        <v>RENOUVELLEMENT BFU_USN-26008661</v>
      </c>
      <c r="Q17" s="2" t="str">
        <v>BFU</v>
      </c>
      <c r="S17" s="61"/>
      <c r="T17" s="2"/>
      <c r="U17" s="7"/>
      <c r="V17" s="2"/>
      <c r="W17" s="2"/>
      <c r="X17" s="2"/>
    </row>
    <row r="18" spans="5:24" x14ac:dyDescent="0.35">
      <c r="E18" s="61">
        <v>46207</v>
      </c>
      <c r="F18" s="2" t="str">
        <v>HAMA INTER</v>
      </c>
      <c r="G18" s="7">
        <v>9000000</v>
      </c>
      <c r="H18" s="2">
        <v>0</v>
      </c>
      <c r="I18" s="2" t="str">
        <v>FRAIS DE PRESTATION POUR LE TRANSITAIRE HAMA INTER</v>
      </c>
      <c r="J18" s="2" t="str">
        <v>TRANSITER</v>
      </c>
      <c r="L18" s="61">
        <v>46055</v>
      </c>
      <c r="M18" s="2" t="str">
        <v>SEGUB GUCE</v>
      </c>
      <c r="N18" s="7">
        <v>762190</v>
      </c>
      <c r="O18" s="2">
        <v>0</v>
      </c>
      <c r="P18" s="2" t="str">
        <v>USN-26015476 _HLCURTM251200745</v>
      </c>
      <c r="Q18" s="2" t="str">
        <v>BFU</v>
      </c>
      <c r="S18" s="61"/>
      <c r="T18" s="2"/>
      <c r="U18" s="7"/>
      <c r="V18" s="2"/>
      <c r="W18" s="2"/>
      <c r="X18" s="2"/>
    </row>
    <row r="19" spans="5:24" x14ac:dyDescent="0.35">
      <c r="E19" s="61">
        <v>46213</v>
      </c>
      <c r="F19" s="2" t="str">
        <v>CEVA LOGISTICS</v>
      </c>
      <c r="G19" s="7">
        <v>2869997</v>
      </c>
      <c r="H19" s="2">
        <v>5822129</v>
      </c>
      <c r="I19" s="2" t="str">
        <v>Frais de prestation  sur importation</v>
      </c>
      <c r="J19" s="2" t="str">
        <v>TRANSITER</v>
      </c>
      <c r="L19" s="61">
        <v>46056</v>
      </c>
      <c r="M19" s="2" t="str">
        <v>SEGUB GUCE</v>
      </c>
      <c r="N19" s="7">
        <v>1142162</v>
      </c>
      <c r="O19" s="2">
        <v>0</v>
      </c>
      <c r="P19" s="2" t="str">
        <v>USN-26021639_MEDUCT182978_SHEA DOC</v>
      </c>
      <c r="Q19" s="2" t="str">
        <v>BFU</v>
      </c>
      <c r="S19" s="61"/>
      <c r="T19" s="2"/>
      <c r="U19" s="7"/>
      <c r="V19" s="2"/>
      <c r="W19" s="2"/>
      <c r="X19" s="2"/>
    </row>
    <row r="20" spans="5:24" x14ac:dyDescent="0.35">
      <c r="E20" s="61">
        <v>46252</v>
      </c>
      <c r="F20" s="2" t="str">
        <v>HAMA INTER</v>
      </c>
      <c r="G20" s="13">
        <v>8000000</v>
      </c>
      <c r="H20" s="2">
        <v>5822145</v>
      </c>
      <c r="I20" s="2" t="str">
        <v>FRAIS DE PRESTATION POUR LE TRANSITAIRE HAMA INTER</v>
      </c>
      <c r="J20" s="2" t="str">
        <v>TRANSITER</v>
      </c>
      <c r="L20" s="61">
        <v>46062</v>
      </c>
      <c r="M20" s="2" t="str">
        <v>SEGUB GUCE</v>
      </c>
      <c r="N20" s="7">
        <v>2386092</v>
      </c>
      <c r="O20" s="2">
        <v>0</v>
      </c>
      <c r="P20" s="2" t="str">
        <v>USN-26025244_265903956_SHEA BUTTER</v>
      </c>
      <c r="Q20" s="2" t="str">
        <v>BFU</v>
      </c>
      <c r="S20" s="61"/>
      <c r="T20" s="2"/>
      <c r="U20" s="13"/>
      <c r="V20" s="2"/>
      <c r="W20" s="2"/>
      <c r="X20" s="2"/>
    </row>
    <row r="21" spans="5:24" x14ac:dyDescent="0.35">
      <c r="E21">
        <v>46260</v>
      </c>
      <c r="F21" t="str">
        <v>REGLEMENT CHEQUE 5822169</v>
      </c>
      <c r="G21">
        <v>7000000</v>
      </c>
      <c r="H21">
        <v>5822169</v>
      </c>
      <c r="I21" t="str">
        <v>FRAIS DE PRESTATION_TRANSITAIRE_ RAJIBER</v>
      </c>
      <c r="J21" t="str">
        <v>TRANSITER</v>
      </c>
      <c r="L21" s="61">
        <v>46063</v>
      </c>
      <c r="M21" s="2" t="str">
        <v>SEGUB GUCE</v>
      </c>
      <c r="N21" s="2">
        <v>2008284</v>
      </c>
      <c r="O21" s="2">
        <v>0</v>
      </c>
      <c r="P21" s="2" t="str">
        <v>USN-26025358_MEDUCT183695_SHEA BUTTER</v>
      </c>
      <c r="Q21" s="2" t="str">
        <v>BFU</v>
      </c>
    </row>
    <row r="22" spans="5:24" x14ac:dyDescent="0.35">
      <c r="E22">
        <v>46262</v>
      </c>
      <c r="F22" t="str">
        <v>ORDI TRADING (RAJIBER) EXP ACC</v>
      </c>
      <c r="G22">
        <v>7000000</v>
      </c>
      <c r="H22">
        <v>5822169</v>
      </c>
      <c r="I22" t="str">
        <v>FRAIS DE PRESTATION_TRANSITAIRE_ RAJIBER</v>
      </c>
      <c r="J22" t="str">
        <v>TRANSITER</v>
      </c>
      <c r="L22" s="61">
        <v>46064</v>
      </c>
      <c r="M22" s="2" t="str">
        <v>SEGUB GUCE</v>
      </c>
      <c r="N22" s="2">
        <v>2128227</v>
      </c>
      <c r="O22" s="2">
        <v>0</v>
      </c>
      <c r="P22" s="2" t="str">
        <v>USN-26017309_OOLU2316179190</v>
      </c>
      <c r="Q22" s="2" t="str">
        <v>BFU</v>
      </c>
    </row>
    <row r="23" spans="5:24" x14ac:dyDescent="0.35">
      <c r="E23">
        <v>46273</v>
      </c>
      <c r="F23" t="str">
        <v>HAMA INTER</v>
      </c>
      <c r="G23">
        <v>10000000</v>
      </c>
      <c r="H23">
        <v>5822190</v>
      </c>
      <c r="I23" t="str">
        <v>FRAIS DE PRESTATION_TRANSITAIRE HAMA INTER</v>
      </c>
      <c r="J23" t="str">
        <v>TRANSITER</v>
      </c>
      <c r="L23" s="61">
        <v>46064</v>
      </c>
      <c r="M23" s="2" t="str">
        <v>SEGUB GUCE</v>
      </c>
      <c r="N23" s="2">
        <v>2017861</v>
      </c>
      <c r="O23" s="2">
        <v>0</v>
      </c>
      <c r="P23" s="2" t="str">
        <v>USN-26025394_265904812_SHEA BUTTER</v>
      </c>
      <c r="Q23" s="2" t="str">
        <v>BFU</v>
      </c>
    </row>
    <row r="24" spans="5:24" x14ac:dyDescent="0.35">
      <c r="E24">
        <v>46274</v>
      </c>
      <c r="F24" t="str">
        <v>TRANS SOHA</v>
      </c>
      <c r="G24">
        <v>10000000</v>
      </c>
      <c r="H24">
        <v>5862904</v>
      </c>
      <c r="I24" t="str">
        <v>FRAIS DE PRESTATION_TRANSITAIRE TRANS SOHA</v>
      </c>
      <c r="J24" t="str">
        <v>TRANSITER</v>
      </c>
      <c r="L24" s="61">
        <v>46064</v>
      </c>
      <c r="M24" s="2" t="str">
        <v>SEGUB GUCE</v>
      </c>
      <c r="N24" s="2">
        <v>2008848</v>
      </c>
      <c r="O24" s="2">
        <v>0</v>
      </c>
      <c r="P24" s="2" t="str">
        <v>USN-26029896_MEDUCT183786_Shea Butter</v>
      </c>
      <c r="Q24" s="2" t="str">
        <v>BFU</v>
      </c>
    </row>
    <row r="25" spans="5:24" x14ac:dyDescent="0.35">
      <c r="L25" s="61">
        <v>46064</v>
      </c>
      <c r="M25" s="2" t="str">
        <v>SEGUB GUCE</v>
      </c>
      <c r="N25" s="2">
        <v>1176855</v>
      </c>
      <c r="O25" s="2">
        <v>0</v>
      </c>
      <c r="P25" s="2" t="str">
        <v>USN-26029887_265928839_CRUDE OIL</v>
      </c>
      <c r="Q25" s="2" t="str">
        <v>BFU</v>
      </c>
    </row>
    <row r="26" spans="5:24" x14ac:dyDescent="0.35">
      <c r="L26" s="61">
        <v>46072</v>
      </c>
      <c r="M26" s="2" t="str">
        <v>SEGUB GUCE</v>
      </c>
      <c r="N26" s="2">
        <v>65625</v>
      </c>
      <c r="O26" s="2">
        <v>0</v>
      </c>
      <c r="P26" s="2" t="str">
        <v>USN-26025244_265903956_Shea Butter</v>
      </c>
      <c r="Q26" s="2" t="str">
        <v>BFU</v>
      </c>
    </row>
    <row r="27" spans="5:24" x14ac:dyDescent="0.35">
      <c r="L27" s="61">
        <v>46073</v>
      </c>
      <c r="M27" s="2" t="str">
        <v>SEGUB GUCE</v>
      </c>
      <c r="N27" s="2">
        <v>301875</v>
      </c>
      <c r="O27" s="2">
        <v>0</v>
      </c>
      <c r="P27" s="2" t="str">
        <v>USN-26029936_265903694_Shea Butter</v>
      </c>
      <c r="Q27" s="2" t="str">
        <v>BFU</v>
      </c>
    </row>
    <row r="28" spans="5:24" x14ac:dyDescent="0.35">
      <c r="L28" s="61">
        <v>46073</v>
      </c>
      <c r="M28" s="2" t="str">
        <v>SEGUB GUCE</v>
      </c>
      <c r="N28" s="2">
        <v>170625</v>
      </c>
      <c r="O28" s="2">
        <v>0</v>
      </c>
      <c r="P28" s="2" t="str">
        <v>USN-26025394_265904812_Shea Butter</v>
      </c>
      <c r="Q28" s="2" t="str">
        <v>BFU</v>
      </c>
    </row>
    <row r="29" spans="5:24" x14ac:dyDescent="0.35">
      <c r="L29" s="61">
        <v>46073</v>
      </c>
      <c r="M29" s="2" t="str">
        <v>SEGUB GUCE</v>
      </c>
      <c r="N29" s="2">
        <v>52500</v>
      </c>
      <c r="O29" s="2">
        <v>0</v>
      </c>
      <c r="P29" s="2" t="str">
        <v>USN-26029942_MEDUCT183753_Shea Doc</v>
      </c>
      <c r="Q29" s="2" t="str">
        <v>BFU</v>
      </c>
    </row>
    <row r="30" spans="5:24" x14ac:dyDescent="0.35">
      <c r="L30" s="61">
        <v>46076</v>
      </c>
      <c r="M30" s="2" t="str">
        <v>SEGUB GUCE</v>
      </c>
      <c r="N30" s="2">
        <v>1218012</v>
      </c>
      <c r="O30" s="2">
        <v>0</v>
      </c>
      <c r="P30" s="2" t="str">
        <v>USN-26037152_266489622_Shea Butter</v>
      </c>
      <c r="Q30" s="2" t="str">
        <v>BFU</v>
      </c>
    </row>
    <row r="31" spans="5:24" x14ac:dyDescent="0.35">
      <c r="L31" s="61">
        <v>46080</v>
      </c>
      <c r="M31" s="2" t="str">
        <v>SEGUB GUCE</v>
      </c>
      <c r="N31" s="2">
        <v>8442437</v>
      </c>
      <c r="O31" s="2">
        <v>0</v>
      </c>
      <c r="P31" s="2" t="str">
        <v>USN-26038150_266451339_SOYA BEANS</v>
      </c>
      <c r="Q31" s="2" t="str">
        <v>BFU</v>
      </c>
    </row>
    <row r="32" spans="5:24" x14ac:dyDescent="0.35">
      <c r="L32" s="61">
        <v>46080</v>
      </c>
      <c r="M32" s="2" t="str">
        <v>SEGUB GUCE</v>
      </c>
      <c r="N32" s="2">
        <v>8406883</v>
      </c>
      <c r="O32" s="2">
        <v>0</v>
      </c>
      <c r="P32" s="2" t="str">
        <v>USN-26040633_266420310_SOYA BEANS</v>
      </c>
      <c r="Q32" s="2" t="str">
        <v>BFU</v>
      </c>
    </row>
    <row r="33" spans="12:17" x14ac:dyDescent="0.35">
      <c r="L33" s="61">
        <v>46080</v>
      </c>
      <c r="M33" s="2" t="str">
        <v>SEGUB GUCE</v>
      </c>
      <c r="N33" s="2">
        <v>8225767</v>
      </c>
      <c r="O33" s="2">
        <v>0</v>
      </c>
      <c r="P33" s="2" t="str">
        <v>USN-26040635_266446250_SOYA BEANS</v>
      </c>
      <c r="Q33" s="2" t="str">
        <v>BFU</v>
      </c>
    </row>
    <row r="34" spans="12:17" x14ac:dyDescent="0.35">
      <c r="L34" s="61">
        <v>46084</v>
      </c>
      <c r="M34" s="2" t="str">
        <v>SEGUB GUCE</v>
      </c>
      <c r="N34" s="2">
        <v>8402899</v>
      </c>
      <c r="O34" s="2">
        <v>0</v>
      </c>
      <c r="P34" s="2" t="str">
        <v>USN-26042828_266451157_SOYA BEANS</v>
      </c>
      <c r="Q34" s="2" t="str">
        <v>BFU</v>
      </c>
    </row>
    <row r="35" spans="12:17" x14ac:dyDescent="0.35">
      <c r="L35" s="61">
        <v>46084</v>
      </c>
      <c r="M35" s="2" t="str">
        <v>SEGUB GUCE</v>
      </c>
      <c r="N35" s="2">
        <v>8284376</v>
      </c>
      <c r="O35" s="2">
        <v>0</v>
      </c>
      <c r="P35" s="2" t="str">
        <v>USN-26042575_MEDUCT186003_SOYA BEANS</v>
      </c>
      <c r="Q35" s="2" t="str">
        <v>BFU</v>
      </c>
    </row>
    <row r="36" spans="12:17" x14ac:dyDescent="0.35">
      <c r="L36" s="61">
        <v>46084</v>
      </c>
      <c r="M36" s="2" t="str">
        <v>SEGUB GUCE</v>
      </c>
      <c r="N36" s="2">
        <v>8281727</v>
      </c>
      <c r="O36" s="2">
        <v>0</v>
      </c>
      <c r="P36" s="2" t="str">
        <v>USN-26042789_OK26089MB_</v>
      </c>
      <c r="Q36" s="2" t="str">
        <v>BFU</v>
      </c>
    </row>
    <row r="37" spans="12:17" x14ac:dyDescent="0.35">
      <c r="L37" s="61">
        <v>46085</v>
      </c>
      <c r="M37" s="2" t="str">
        <v>SEGUB GUCE</v>
      </c>
      <c r="N37" s="2">
        <v>1955107</v>
      </c>
      <c r="O37" s="2">
        <v>0</v>
      </c>
      <c r="P37" s="2" t="str">
        <v>USN-26043630_26LW191_</v>
      </c>
      <c r="Q37" s="2" t="str">
        <v>BFU</v>
      </c>
    </row>
    <row r="38" spans="12:17" x14ac:dyDescent="0.35">
      <c r="L38" s="61">
        <v>46087</v>
      </c>
      <c r="M38" s="2" t="str">
        <v>SEGUB GUCE</v>
      </c>
      <c r="N38" s="2">
        <v>52500</v>
      </c>
      <c r="O38" s="2">
        <v>0</v>
      </c>
      <c r="P38" s="2" t="str">
        <v>USN-26032428_MEDUCT184644_Shea Butter</v>
      </c>
      <c r="Q38" s="2" t="str">
        <v>BFU</v>
      </c>
    </row>
    <row r="39" spans="12:17" x14ac:dyDescent="0.35">
      <c r="L39" s="61">
        <v>46092</v>
      </c>
      <c r="M39" s="2" t="str">
        <v>SEGUB GUCE</v>
      </c>
      <c r="N39" s="2">
        <v>8316769</v>
      </c>
      <c r="O39" s="2">
        <v>0</v>
      </c>
      <c r="P39" s="2" t="str">
        <v>USN-26047832_266603580_SOYA BEANS</v>
      </c>
      <c r="Q39" s="2" t="str">
        <v>BFU</v>
      </c>
    </row>
    <row r="40" spans="12:17" x14ac:dyDescent="0.35">
      <c r="L40" s="61">
        <v>46092</v>
      </c>
      <c r="M40" s="2" t="str">
        <v>SEGUB GUCE</v>
      </c>
      <c r="N40" s="2">
        <v>8093223</v>
      </c>
      <c r="O40" s="2">
        <v>0</v>
      </c>
      <c r="P40" s="2" t="str">
        <v>USN-26047232_MEDUCT186797_SOYA BEANS</v>
      </c>
      <c r="Q40" s="2" t="str">
        <v>BFU</v>
      </c>
    </row>
    <row r="41" spans="12:17" x14ac:dyDescent="0.35">
      <c r="L41" s="61">
        <v>46092</v>
      </c>
      <c r="M41" s="2" t="str">
        <v>SEGUB GUCE</v>
      </c>
      <c r="N41" s="2">
        <v>8054790</v>
      </c>
      <c r="O41" s="2">
        <v>0</v>
      </c>
      <c r="P41" s="2" t="str">
        <v>USN-26047269_MEDUCT186771_SOYA BEANS</v>
      </c>
      <c r="Q41" s="2" t="str">
        <v>BFU</v>
      </c>
    </row>
    <row r="42" spans="12:17" x14ac:dyDescent="0.35">
      <c r="L42" s="61">
        <v>46093</v>
      </c>
      <c r="M42" s="2" t="str">
        <v>SEGUB GUCE</v>
      </c>
      <c r="N42" s="2">
        <v>1023760</v>
      </c>
      <c r="O42" s="2">
        <v>0</v>
      </c>
      <c r="P42" s="2" t="str">
        <v>USN-26021639_MEDUCT182978_Shea Doc</v>
      </c>
      <c r="Q42" s="2" t="str">
        <v>BFU</v>
      </c>
    </row>
    <row r="43" spans="12:17" x14ac:dyDescent="0.35">
      <c r="L43" s="61">
        <v>46093</v>
      </c>
      <c r="M43" s="2" t="str">
        <v>SEGUB GUCE</v>
      </c>
      <c r="N43" s="2">
        <v>105000</v>
      </c>
      <c r="O43" s="2">
        <v>0</v>
      </c>
      <c r="P43" s="2" t="str">
        <v>USN-26032428_MEDUCT184644_Shea Butter</v>
      </c>
      <c r="Q43" s="2" t="str">
        <v>BFU</v>
      </c>
    </row>
    <row r="44" spans="12:17" x14ac:dyDescent="0.35">
      <c r="L44" s="61">
        <v>46094</v>
      </c>
      <c r="M44" s="2" t="str">
        <v>SEGUB GUCE</v>
      </c>
      <c r="N44" s="2">
        <v>315000</v>
      </c>
      <c r="O44" s="2">
        <v>0</v>
      </c>
      <c r="P44" s="2" t="str">
        <v>USN-26042789_MEDUCT185864_SOYA BEANS</v>
      </c>
      <c r="Q44" s="2" t="str">
        <v>BFU</v>
      </c>
    </row>
    <row r="45" spans="12:17" x14ac:dyDescent="0.35">
      <c r="L45" s="61">
        <v>46094</v>
      </c>
      <c r="M45" s="2" t="str">
        <v>SEGUB GUCE</v>
      </c>
      <c r="N45" s="2">
        <v>170625</v>
      </c>
      <c r="O45" s="2">
        <v>0</v>
      </c>
      <c r="P45" s="2" t="str">
        <v>USN-26025394_265904812_Shea Butter</v>
      </c>
      <c r="Q45" s="2" t="str">
        <v>BFU</v>
      </c>
    </row>
    <row r="46" spans="12:17" x14ac:dyDescent="0.35">
      <c r="L46" s="61">
        <v>46094</v>
      </c>
      <c r="M46" s="2" t="str">
        <v>SEGUB GUCE</v>
      </c>
      <c r="N46" s="2">
        <v>78750</v>
      </c>
      <c r="O46" s="2">
        <v>0</v>
      </c>
      <c r="P46" s="2" t="str">
        <v>USN-26042575_MEDUCT186003_SOYA BEANS</v>
      </c>
      <c r="Q46" s="2" t="str">
        <v>BFU</v>
      </c>
    </row>
    <row r="47" spans="12:17" x14ac:dyDescent="0.35">
      <c r="L47" s="61">
        <v>46099</v>
      </c>
      <c r="M47" s="2" t="str">
        <v>SEGUB GUCE</v>
      </c>
      <c r="N47" s="2">
        <v>10507233</v>
      </c>
      <c r="O47" s="2">
        <v>0</v>
      </c>
      <c r="P47" s="2" t="str">
        <v>USN-26053530_MEDUCT187522_SOYA BEANS</v>
      </c>
      <c r="Q47" s="2" t="str">
        <v>BFU</v>
      </c>
    </row>
    <row r="48" spans="12:17" x14ac:dyDescent="0.35">
      <c r="L48" s="61">
        <v>46099</v>
      </c>
      <c r="M48" s="2" t="str">
        <v>SEGUB GUCE</v>
      </c>
      <c r="N48" s="2">
        <v>8449336</v>
      </c>
      <c r="O48" s="2">
        <v>0</v>
      </c>
      <c r="P48" s="2" t="str">
        <v>USN-26053327_266896858_SOYA BEANS</v>
      </c>
      <c r="Q48" s="2" t="str">
        <v>BFU</v>
      </c>
    </row>
    <row r="49" spans="12:17" x14ac:dyDescent="0.35">
      <c r="L49" s="61">
        <v>46099</v>
      </c>
      <c r="M49" s="2" t="str">
        <v>SEGUB GUCE</v>
      </c>
      <c r="N49" s="2">
        <v>1363447</v>
      </c>
      <c r="O49" s="2">
        <v>0</v>
      </c>
      <c r="P49" s="2">
        <v>0</v>
      </c>
      <c r="Q49" s="2" t="str">
        <v>BFU</v>
      </c>
    </row>
    <row r="50" spans="12:17" x14ac:dyDescent="0.35">
      <c r="L50" s="61">
        <v>46100</v>
      </c>
      <c r="M50" s="2" t="str">
        <v>SEGUB GUCE</v>
      </c>
      <c r="N50" s="2">
        <v>1252096</v>
      </c>
      <c r="O50" s="2">
        <v>0</v>
      </c>
      <c r="P50" s="2" t="str">
        <v>USN-26053644_267214087_CRUDE OIL</v>
      </c>
      <c r="Q50" s="2" t="str">
        <v>BFU</v>
      </c>
    </row>
    <row r="51" spans="12:17" x14ac:dyDescent="0.35">
      <c r="L51" s="61">
        <v>46108</v>
      </c>
      <c r="M51" s="2" t="str">
        <v>SEGUB GUCE</v>
      </c>
      <c r="N51" s="2">
        <v>3542736</v>
      </c>
      <c r="O51" s="2">
        <v>0</v>
      </c>
      <c r="P51" s="2" t="str">
        <v>USN-26060478_267482495_Shea Butter</v>
      </c>
      <c r="Q51" s="2" t="str">
        <v>BFU</v>
      </c>
    </row>
    <row r="52" spans="12:17" x14ac:dyDescent="0.35">
      <c r="L52" s="61">
        <v>46111</v>
      </c>
      <c r="M52" s="2" t="str">
        <v>SEGUB GUCE</v>
      </c>
      <c r="N52" s="2">
        <v>3719533</v>
      </c>
      <c r="O52" s="2">
        <v>0</v>
      </c>
      <c r="P52" s="2" t="str">
        <v>USN-26061254_267482433_Shea Butter</v>
      </c>
      <c r="Q52" s="2" t="str">
        <v>BFU</v>
      </c>
    </row>
    <row r="53" spans="12:17" x14ac:dyDescent="0.35">
      <c r="L53" s="61">
        <v>46111</v>
      </c>
      <c r="M53" s="2" t="str">
        <v>SEGUB GUCE</v>
      </c>
      <c r="N53" s="2">
        <v>1620987</v>
      </c>
      <c r="O53" s="2">
        <v>0</v>
      </c>
      <c r="P53" s="2" t="str">
        <v>USN-26060119_267482578_Shea Butter</v>
      </c>
      <c r="Q53" s="2" t="str">
        <v>BFU</v>
      </c>
    </row>
    <row r="54" spans="12:17" x14ac:dyDescent="0.35">
      <c r="L54" s="61">
        <v>46111</v>
      </c>
      <c r="M54" s="2" t="str">
        <v>SEGUB GUCE</v>
      </c>
      <c r="N54" s="2">
        <v>1340716</v>
      </c>
      <c r="O54" s="2">
        <v>0</v>
      </c>
      <c r="P54" s="2" t="str">
        <v>USN-26061741_267523523_CRUDE OIL</v>
      </c>
      <c r="Q54" s="2" t="str">
        <v>BFU</v>
      </c>
    </row>
    <row r="55" spans="12:17" x14ac:dyDescent="0.35">
      <c r="L55" s="61">
        <v>46111</v>
      </c>
      <c r="M55" s="2" t="str">
        <v>SEGUB GUCE</v>
      </c>
      <c r="N55" s="2">
        <v>262500</v>
      </c>
      <c r="O55" s="2">
        <v>0</v>
      </c>
      <c r="P55" s="2" t="str">
        <v>USN-26021639_MEDUCT182978_Shea Doc</v>
      </c>
      <c r="Q55" s="2" t="str">
        <v>BFU</v>
      </c>
    </row>
    <row r="56" spans="12:17" x14ac:dyDescent="0.35">
      <c r="L56" s="61">
        <v>46112</v>
      </c>
      <c r="M56" s="2" t="str">
        <v>SEGUB GUCE</v>
      </c>
      <c r="N56" s="2">
        <v>1295563</v>
      </c>
      <c r="O56" s="2">
        <v>0</v>
      </c>
      <c r="P56" s="2" t="str">
        <v>USN-26060100_267328038_UD CAKE</v>
      </c>
      <c r="Q56" s="2" t="str">
        <v>BFU</v>
      </c>
    </row>
    <row r="57" spans="12:17" x14ac:dyDescent="0.35">
      <c r="L57" s="61">
        <v>46112</v>
      </c>
      <c r="M57" s="2" t="str">
        <v>SEGUB GUCE</v>
      </c>
      <c r="N57" s="2">
        <v>136348</v>
      </c>
      <c r="O57" s="2">
        <v>0</v>
      </c>
      <c r="P57" s="2" t="str">
        <v>USN-26060119_267482578_Shea Butter</v>
      </c>
      <c r="Q57" s="2" t="str">
        <v>BFU</v>
      </c>
    </row>
    <row r="58" spans="12:17" x14ac:dyDescent="0.35">
      <c r="L58" s="61">
        <v>46115</v>
      </c>
      <c r="M58" s="2" t="str">
        <v>SEGUB GUCE</v>
      </c>
      <c r="N58" s="2">
        <v>262500</v>
      </c>
      <c r="O58" s="2">
        <v>0</v>
      </c>
      <c r="P58" s="2" t="str">
        <v>USN-26021639_MEDUCT182978_Shea Doc</v>
      </c>
      <c r="Q58" s="2" t="str">
        <v>BFU</v>
      </c>
    </row>
    <row r="59" spans="12:17" x14ac:dyDescent="0.35">
      <c r="L59" s="61">
        <v>46115</v>
      </c>
      <c r="M59" s="2" t="str">
        <v>SEGUB GUCE</v>
      </c>
      <c r="N59" s="2">
        <v>1898191</v>
      </c>
      <c r="O59" s="2">
        <v>0</v>
      </c>
      <c r="P59" s="2" t="str">
        <v>USN-26070031_267361259_UD CAKE</v>
      </c>
      <c r="Q59" s="2" t="str">
        <v>BFU</v>
      </c>
    </row>
    <row r="60" spans="12:17" x14ac:dyDescent="0.35">
      <c r="L60" s="61">
        <v>46115</v>
      </c>
      <c r="M60" s="2" t="str">
        <v>SEGUB GUCE</v>
      </c>
      <c r="N60" s="2">
        <v>8550698</v>
      </c>
      <c r="O60" s="2">
        <v>0</v>
      </c>
      <c r="P60" s="2" t="str">
        <v>USN-26063967_267325414_SOYA BEANS</v>
      </c>
      <c r="Q60" s="2" t="str">
        <v>BFU</v>
      </c>
    </row>
    <row r="61" spans="12:17" x14ac:dyDescent="0.35">
      <c r="L61" s="61">
        <v>46119</v>
      </c>
      <c r="M61" s="2" t="str">
        <v>SEGUB GUCE</v>
      </c>
      <c r="N61" s="2">
        <v>8445701</v>
      </c>
      <c r="O61" s="2">
        <v>0</v>
      </c>
      <c r="P61" s="2" t="str">
        <v>USN-26063299_267325334_SOYA BEANS</v>
      </c>
      <c r="Q61" s="2" t="str">
        <v>BFU</v>
      </c>
    </row>
    <row r="62" spans="12:17" x14ac:dyDescent="0.35">
      <c r="L62" s="61">
        <v>46119</v>
      </c>
      <c r="M62" s="2" t="str">
        <v>SEGUB GUCE</v>
      </c>
      <c r="N62" s="2">
        <v>8637925</v>
      </c>
      <c r="O62" s="2">
        <v>0</v>
      </c>
      <c r="P62" s="2" t="str">
        <v>USN-26063300_267324663_SOYA BEANS</v>
      </c>
      <c r="Q62" s="2" t="str">
        <v>BFU</v>
      </c>
    </row>
    <row r="63" spans="12:17" x14ac:dyDescent="0.35">
      <c r="L63" s="61">
        <v>46119</v>
      </c>
      <c r="M63" s="2" t="str">
        <v>SEGUB GUCE</v>
      </c>
      <c r="N63" s="2">
        <v>8766276</v>
      </c>
      <c r="O63" s="2">
        <v>0</v>
      </c>
      <c r="P63" s="2" t="str">
        <v>USN-26063961_267324745_SOYA BEANS</v>
      </c>
      <c r="Q63" s="2" t="str">
        <v>BFU</v>
      </c>
    </row>
    <row r="64" spans="12:17" x14ac:dyDescent="0.35">
      <c r="L64" s="61">
        <v>46121</v>
      </c>
      <c r="M64" s="2" t="str">
        <v>SEGUB GUCE</v>
      </c>
      <c r="N64" s="2">
        <v>118125</v>
      </c>
      <c r="O64" s="2">
        <v>0</v>
      </c>
      <c r="P64" s="2" t="str">
        <v>USN-26060478_267482495_Shea Butter</v>
      </c>
      <c r="Q64" s="2" t="str">
        <v>BFU</v>
      </c>
    </row>
    <row r="65" spans="12:17" x14ac:dyDescent="0.35">
      <c r="L65" s="61">
        <v>46121</v>
      </c>
      <c r="M65" s="2" t="str">
        <v>SEGUB GUCE</v>
      </c>
      <c r="N65" s="2">
        <v>118125</v>
      </c>
      <c r="O65" s="2">
        <v>0</v>
      </c>
      <c r="P65" s="2" t="str">
        <v>USN-26063299_267325334_SOYA BEANS</v>
      </c>
      <c r="Q65" s="2" t="str">
        <v>BFU</v>
      </c>
    </row>
    <row r="66" spans="12:17" x14ac:dyDescent="0.35">
      <c r="L66" s="61">
        <v>46121</v>
      </c>
      <c r="M66" s="2" t="str">
        <v>SEGUB GUCE</v>
      </c>
      <c r="N66" s="2">
        <v>262500</v>
      </c>
      <c r="O66" s="2">
        <v>0</v>
      </c>
      <c r="P66" s="2" t="str">
        <v>USN-26063299_267325334_SOYA BEANS</v>
      </c>
      <c r="Q66" s="2" t="str">
        <v>BFU</v>
      </c>
    </row>
    <row r="67" spans="12:17" x14ac:dyDescent="0.35">
      <c r="L67" s="61">
        <v>46125</v>
      </c>
      <c r="M67" s="2" t="str">
        <v>SEGUB GUCE</v>
      </c>
      <c r="N67" s="2">
        <v>1305705</v>
      </c>
      <c r="O67" s="2">
        <v>0</v>
      </c>
      <c r="P67" s="2" t="str">
        <v>USN-26074997_268700527_CRUDE OIL</v>
      </c>
      <c r="Q67" s="2" t="str">
        <v>BFU</v>
      </c>
    </row>
    <row r="68" spans="12:17" x14ac:dyDescent="0.35">
      <c r="L68" s="61">
        <v>46128</v>
      </c>
      <c r="M68" s="2" t="str">
        <v>SEGUB GUCE</v>
      </c>
      <c r="N68" s="2">
        <v>183750</v>
      </c>
      <c r="O68" s="2">
        <v>0</v>
      </c>
      <c r="P68" s="2" t="str">
        <v>USN-26073086_268701096_SOYA BEANS</v>
      </c>
      <c r="Q68" s="2" t="str">
        <v>BFU</v>
      </c>
    </row>
    <row r="69" spans="12:17" x14ac:dyDescent="0.35">
      <c r="L69" s="61">
        <v>46128</v>
      </c>
      <c r="M69" s="2" t="str">
        <v>SEGUB GUCE</v>
      </c>
      <c r="N69" s="2">
        <v>328125</v>
      </c>
      <c r="O69" s="2">
        <v>0</v>
      </c>
      <c r="P69" s="2" t="str">
        <v>USN-26073191_267756955_SOYA BEANS</v>
      </c>
      <c r="Q69" s="2" t="str">
        <v>BFU</v>
      </c>
    </row>
    <row r="70" spans="12:17" x14ac:dyDescent="0.35">
      <c r="L70" s="61">
        <v>46128</v>
      </c>
      <c r="M70" s="2" t="str">
        <v>SEGUB GUCE</v>
      </c>
      <c r="N70" s="2">
        <v>393750</v>
      </c>
      <c r="O70" s="2">
        <v>0</v>
      </c>
      <c r="P70" s="2" t="str">
        <v>USN-26070369_</v>
      </c>
      <c r="Q70" s="2" t="str">
        <v>BFU</v>
      </c>
    </row>
    <row r="71" spans="12:17" x14ac:dyDescent="0.35">
      <c r="L71" s="61">
        <v>46129</v>
      </c>
      <c r="M71" s="2" t="str">
        <v>SEGUB GUCE</v>
      </c>
      <c r="N71" s="2">
        <v>288752</v>
      </c>
      <c r="O71" s="2">
        <v>0</v>
      </c>
      <c r="P71" s="2" t="str">
        <v>USN-26070031_267361259_UD CAKE</v>
      </c>
      <c r="Q71" s="2" t="str">
        <v>BFU</v>
      </c>
    </row>
    <row r="72" spans="12:17" x14ac:dyDescent="0.35">
      <c r="L72" s="61">
        <v>46129</v>
      </c>
      <c r="M72" s="2" t="str">
        <v>SEGUB GUCE</v>
      </c>
      <c r="N72" s="2">
        <v>406878</v>
      </c>
      <c r="O72" s="2">
        <v>0</v>
      </c>
      <c r="P72" s="2" t="str">
        <v>USN-26070692_267324868_SOYA BEANS</v>
      </c>
      <c r="Q72" s="2" t="str">
        <v>BFU</v>
      </c>
    </row>
    <row r="73" spans="12:17" x14ac:dyDescent="0.35">
      <c r="L73" s="61">
        <v>46129</v>
      </c>
      <c r="M73" s="2" t="str">
        <v>SEGUB GUCE</v>
      </c>
      <c r="N73" s="2">
        <v>511884</v>
      </c>
      <c r="O73" s="2">
        <v>0</v>
      </c>
      <c r="P73" s="2" t="str">
        <v>USN-26063299_267325334_SOYA BEANS</v>
      </c>
      <c r="Q73" s="2" t="str">
        <v>BFU</v>
      </c>
    </row>
    <row r="74" spans="12:17" x14ac:dyDescent="0.35">
      <c r="L74" s="61">
        <v>46129</v>
      </c>
      <c r="M74" s="2" t="str">
        <v>SEGUB GUCE</v>
      </c>
      <c r="N74" s="2">
        <v>511884</v>
      </c>
      <c r="O74" s="2">
        <v>0</v>
      </c>
      <c r="P74" s="2" t="str">
        <v>USN-26063961_267324745_SOYA BEANS</v>
      </c>
      <c r="Q74" s="2" t="str">
        <v>BFU</v>
      </c>
    </row>
    <row r="75" spans="12:17" x14ac:dyDescent="0.35">
      <c r="L75" s="61">
        <v>46129</v>
      </c>
      <c r="M75" s="2" t="str">
        <v>SEGUB GUCE</v>
      </c>
      <c r="N75" s="2">
        <v>525010</v>
      </c>
      <c r="O75" s="2">
        <v>0</v>
      </c>
      <c r="P75" s="2" t="str">
        <v>USN-26058960_267324583_SOYA BEANS</v>
      </c>
      <c r="Q75" s="2" t="str">
        <v>BFU</v>
      </c>
    </row>
    <row r="76" spans="12:17" x14ac:dyDescent="0.35">
      <c r="L76" s="61">
        <v>46129</v>
      </c>
      <c r="M76" s="2" t="str">
        <v>SEGUB GUCE</v>
      </c>
      <c r="N76" s="2">
        <v>525010</v>
      </c>
      <c r="O76" s="2">
        <v>0</v>
      </c>
      <c r="P76" s="2" t="str">
        <v>USN-26063300_267324663_SOYA BEANS</v>
      </c>
      <c r="Q76" s="2" t="str">
        <v>BFU</v>
      </c>
    </row>
    <row r="77" spans="12:17" x14ac:dyDescent="0.35">
      <c r="L77" s="61">
        <v>46134</v>
      </c>
      <c r="M77" s="2" t="str">
        <v>SEGUB GUCE</v>
      </c>
      <c r="N77" s="2">
        <v>1386821</v>
      </c>
      <c r="O77" s="2">
        <v>0</v>
      </c>
      <c r="P77" s="2" t="str">
        <v>USN-26093451_268700912_CRUDE OIL</v>
      </c>
      <c r="Q77" s="2" t="str">
        <v>BFU</v>
      </c>
    </row>
    <row r="78" spans="12:17" x14ac:dyDescent="0.35">
      <c r="L78" s="61">
        <v>46135</v>
      </c>
      <c r="M78" s="2" t="str">
        <v>SEGUB GUCE</v>
      </c>
      <c r="N78" s="2">
        <v>105001</v>
      </c>
      <c r="O78" s="2">
        <v>0</v>
      </c>
      <c r="P78" s="2" t="str">
        <v>USN-26046854_266688518/268911565_SOYA BEANS</v>
      </c>
      <c r="Q78" s="2" t="str">
        <v>BFU</v>
      </c>
    </row>
    <row r="79" spans="12:17" x14ac:dyDescent="0.35">
      <c r="L79" s="61">
        <v>46136</v>
      </c>
      <c r="M79" s="2" t="str">
        <v>SEGUB GUCE</v>
      </c>
      <c r="N79" s="2">
        <v>131250</v>
      </c>
      <c r="O79" s="2">
        <v>0</v>
      </c>
      <c r="P79" s="2" t="str">
        <v>USN-26008665_264186756_Shea Butter</v>
      </c>
      <c r="Q79" s="2" t="str">
        <v>BFU</v>
      </c>
    </row>
    <row r="80" spans="12:17" x14ac:dyDescent="0.35">
      <c r="L80" s="61">
        <v>46136</v>
      </c>
      <c r="M80" s="2" t="str">
        <v>SEGUB GUCE</v>
      </c>
      <c r="N80" s="2">
        <v>848267</v>
      </c>
      <c r="O80" s="2">
        <v>0</v>
      </c>
      <c r="P80" s="2" t="str">
        <v>USN-26088338_263903490_</v>
      </c>
      <c r="Q80" s="2" t="str">
        <v>BFU</v>
      </c>
    </row>
    <row r="81" spans="12:17" x14ac:dyDescent="0.35">
      <c r="L81" s="61">
        <v>46146</v>
      </c>
      <c r="M81" s="2" t="str">
        <v>SEGUB GUCE</v>
      </c>
      <c r="N81" s="2">
        <v>1448990</v>
      </c>
      <c r="O81" s="2">
        <v>0</v>
      </c>
      <c r="P81" s="2" t="str">
        <v>USN-26102106</v>
      </c>
      <c r="Q81" s="2" t="str">
        <v>BFU</v>
      </c>
    </row>
    <row r="82" spans="12:17" x14ac:dyDescent="0.35">
      <c r="L82" s="61">
        <v>46148</v>
      </c>
      <c r="M82" s="2" t="str">
        <v>SEGUB GUCE</v>
      </c>
      <c r="N82" s="2">
        <v>1351473</v>
      </c>
      <c r="O82" s="2">
        <v>0</v>
      </c>
      <c r="P82" s="2" t="str">
        <v>USN-26103548</v>
      </c>
      <c r="Q82" s="2" t="str">
        <v>BFU</v>
      </c>
    </row>
    <row r="83" spans="12:17" x14ac:dyDescent="0.35">
      <c r="L83" s="61">
        <v>46153</v>
      </c>
      <c r="M83" s="2" t="str">
        <v>SEGUB GUCE</v>
      </c>
      <c r="N83" s="2">
        <v>1319662</v>
      </c>
      <c r="O83" s="2">
        <v>0</v>
      </c>
      <c r="P83" s="2" t="str">
        <v>USN-26106638</v>
      </c>
      <c r="Q83" s="2" t="str">
        <v>BFU</v>
      </c>
    </row>
    <row r="84" spans="12:17" x14ac:dyDescent="0.35">
      <c r="L84" s="61">
        <v>46161</v>
      </c>
      <c r="M84" s="2" t="str">
        <v>SEGUB GUCE</v>
      </c>
      <c r="N84" s="2">
        <v>8275216</v>
      </c>
      <c r="O84" s="2">
        <v>0</v>
      </c>
      <c r="P84" s="2" t="str">
        <v>USN-26115434_270420202_SOYA BEANS</v>
      </c>
      <c r="Q84" s="2" t="str">
        <v>BFU</v>
      </c>
    </row>
    <row r="85" spans="12:17" x14ac:dyDescent="0.35">
      <c r="L85" s="61">
        <v>46164</v>
      </c>
      <c r="M85" s="2" t="str">
        <v>SEGUB GUCE</v>
      </c>
      <c r="N85" s="2">
        <v>8448364</v>
      </c>
      <c r="O85" s="2">
        <v>0</v>
      </c>
      <c r="P85" s="2" t="str">
        <v>USN-26118824_270420544_SOYA BEANS</v>
      </c>
      <c r="Q85" s="2" t="str">
        <v>BFU</v>
      </c>
    </row>
    <row r="86" spans="12:17" x14ac:dyDescent="0.35">
      <c r="L86" s="61">
        <v>46168</v>
      </c>
      <c r="M86" s="2" t="str">
        <v>SEGUB GUCE</v>
      </c>
      <c r="N86" s="2">
        <v>8576803</v>
      </c>
      <c r="O86" s="2">
        <v>0</v>
      </c>
      <c r="P86" s="2" t="str">
        <v>USN-26116405_270420348_SOYA BEANS</v>
      </c>
      <c r="Q86" s="2" t="str">
        <v>BFU</v>
      </c>
    </row>
    <row r="87" spans="12:17" x14ac:dyDescent="0.35">
      <c r="L87" s="61">
        <v>46170</v>
      </c>
      <c r="M87" s="2" t="str">
        <v>SEGUB GUCE</v>
      </c>
      <c r="N87" s="2">
        <v>78750</v>
      </c>
      <c r="O87" s="2">
        <v>0</v>
      </c>
      <c r="P87" s="2" t="str">
        <v>USN-26106638</v>
      </c>
      <c r="Q87" s="2" t="str">
        <v>BFU</v>
      </c>
    </row>
    <row r="88" spans="12:17" x14ac:dyDescent="0.35">
      <c r="L88" s="61">
        <v>46172</v>
      </c>
      <c r="M88" s="2" t="str">
        <v>SEGUB GUCE</v>
      </c>
      <c r="N88" s="2">
        <v>8565973</v>
      </c>
      <c r="O88" s="2">
        <v>0</v>
      </c>
      <c r="P88" s="2" t="str">
        <v>USN-26119442_270420719_Soyabean</v>
      </c>
      <c r="Q88" s="2" t="str">
        <v>BFU</v>
      </c>
    </row>
    <row r="89" spans="12:17" x14ac:dyDescent="0.35">
      <c r="L89" s="61">
        <v>46172</v>
      </c>
      <c r="M89" s="2" t="str">
        <v>SEGUB GUCE</v>
      </c>
      <c r="N89" s="2">
        <v>1322434</v>
      </c>
      <c r="O89" s="2">
        <v>0</v>
      </c>
      <c r="P89" s="2" t="str">
        <v>USN-26124567_270983232_Cotton Seed Nutrised Oil</v>
      </c>
      <c r="Q89" s="2" t="str">
        <v>BFU</v>
      </c>
    </row>
    <row r="90" spans="12:17" x14ac:dyDescent="0.35">
      <c r="L90" s="61">
        <v>46192</v>
      </c>
      <c r="M90" s="2" t="str">
        <v>SEGUB GUCE</v>
      </c>
      <c r="N90" s="2">
        <v>4412341</v>
      </c>
      <c r="O90" s="2">
        <v>0</v>
      </c>
      <c r="P90" s="2" t="str">
        <v>USN-26138988_271172498_Soyabean</v>
      </c>
      <c r="Q90" s="2" t="str">
        <v>BFU</v>
      </c>
    </row>
    <row r="91" spans="12:17" x14ac:dyDescent="0.35">
      <c r="L91" s="61">
        <v>46192</v>
      </c>
      <c r="M91" s="2" t="str">
        <v>SEGUB GUCE</v>
      </c>
      <c r="N91" s="2">
        <v>1746328</v>
      </c>
      <c r="O91" s="2">
        <v>0</v>
      </c>
      <c r="P91" s="2" t="str">
        <v>USN-26137511_271285360_Soya meal</v>
      </c>
      <c r="Q91" s="2" t="str">
        <v>BFU</v>
      </c>
    </row>
    <row r="92" spans="12:17" x14ac:dyDescent="0.35">
      <c r="L92" s="61">
        <v>46192</v>
      </c>
      <c r="M92" s="2" t="str">
        <v>SEGUB GUCE</v>
      </c>
      <c r="N92" s="2">
        <v>1703308</v>
      </c>
      <c r="O92" s="2">
        <v>0</v>
      </c>
      <c r="P92" s="2" t="str">
        <v>USN-26136887_271321384_Soya meal</v>
      </c>
      <c r="Q92" s="2" t="str">
        <v>BFU</v>
      </c>
    </row>
    <row r="93" spans="12:17" x14ac:dyDescent="0.35">
      <c r="L93" s="61">
        <v>46192</v>
      </c>
      <c r="M93" s="2" t="str">
        <v>SEGUB GUCE</v>
      </c>
      <c r="N93" s="68">
        <v>799859</v>
      </c>
      <c r="O93" s="2">
        <v>0</v>
      </c>
      <c r="P93" s="2" t="str">
        <v>USN-26138982_272005087_Cotton Seed Nutrised Oil</v>
      </c>
      <c r="Q93" s="2" t="str">
        <v>BFU</v>
      </c>
    </row>
    <row r="94" spans="12:17" x14ac:dyDescent="0.35">
      <c r="L94" s="61">
        <v>46192</v>
      </c>
      <c r="M94" s="2" t="str">
        <v>SEGUB GUCE</v>
      </c>
      <c r="N94" s="2">
        <v>274896</v>
      </c>
      <c r="O94" s="2">
        <v>0</v>
      </c>
      <c r="P94" s="2" t="str">
        <v>USN-26138983_272299963_Soya Crude Oil</v>
      </c>
      <c r="Q94" s="2" t="str">
        <v>BFU</v>
      </c>
    </row>
    <row r="95" spans="12:17" x14ac:dyDescent="0.35">
      <c r="L95" s="61">
        <v>46196</v>
      </c>
      <c r="M95" s="2" t="str">
        <v>SEGUB GUCE</v>
      </c>
      <c r="N95" s="2">
        <v>8989206</v>
      </c>
      <c r="O95" s="2">
        <v>0</v>
      </c>
      <c r="P95" s="2" t="str">
        <v>USN-26136784_271319205_Soyabean</v>
      </c>
      <c r="Q95" s="2" t="str">
        <v>BFU</v>
      </c>
    </row>
    <row r="96" spans="12:17" x14ac:dyDescent="0.35">
      <c r="L96" s="61">
        <v>46198</v>
      </c>
      <c r="M96" s="2" t="str">
        <v>SEGUB GUCE</v>
      </c>
      <c r="N96" s="2">
        <v>157500</v>
      </c>
      <c r="O96" s="2">
        <v>0</v>
      </c>
      <c r="P96" s="2" t="str">
        <v>USN-26136828_271320798_Soyabean_Renew</v>
      </c>
      <c r="Q96" s="2" t="str">
        <v>BFU</v>
      </c>
    </row>
    <row r="97" spans="12:17" x14ac:dyDescent="0.35">
      <c r="L97" s="61">
        <v>46203</v>
      </c>
      <c r="M97" s="2" t="str">
        <v>SEGUB GUCE</v>
      </c>
      <c r="N97" s="2">
        <v>8801525</v>
      </c>
      <c r="O97" s="2">
        <v>0</v>
      </c>
      <c r="P97" s="2" t="str">
        <v>USN-26149382_271172507_Soyabean</v>
      </c>
      <c r="Q97" s="2" t="str">
        <v>BFU</v>
      </c>
    </row>
    <row r="98" spans="12:17" x14ac:dyDescent="0.35">
      <c r="L98" s="61">
        <v>46203</v>
      </c>
      <c r="M98" s="2" t="str">
        <v>SEGUB GUCE</v>
      </c>
      <c r="N98" s="2">
        <v>1805370</v>
      </c>
      <c r="O98" s="2">
        <v>0</v>
      </c>
      <c r="P98" s="2" t="str">
        <v>USN-26149558_LV-1093-2026_SHEA BUTTER</v>
      </c>
      <c r="Q98" s="2" t="str">
        <v>BFU</v>
      </c>
    </row>
    <row r="99" spans="12:17" x14ac:dyDescent="0.35">
      <c r="L99" s="61">
        <v>46204</v>
      </c>
      <c r="M99" s="2" t="str">
        <v>SEGUB GUCE</v>
      </c>
      <c r="N99" s="2">
        <v>118125</v>
      </c>
      <c r="O99" s="2">
        <v>0</v>
      </c>
      <c r="P99" s="2" t="str">
        <v>USN-26115434_270420202_SOYA BEANS_Renew</v>
      </c>
      <c r="Q99" s="2" t="str">
        <v>BFU</v>
      </c>
    </row>
    <row r="100" spans="12:17" x14ac:dyDescent="0.35">
      <c r="L100" s="61">
        <v>46204</v>
      </c>
      <c r="M100" s="2" t="str">
        <v>SEGUB GUCE</v>
      </c>
      <c r="N100" s="2">
        <v>8579852</v>
      </c>
      <c r="O100" s="2">
        <v>0</v>
      </c>
      <c r="P100" s="2" t="str">
        <v>USN-26149844_271322421_Soyabean</v>
      </c>
      <c r="Q100" s="2" t="str">
        <v>BFU</v>
      </c>
    </row>
    <row r="101" spans="12:17" x14ac:dyDescent="0.35">
      <c r="L101" s="61">
        <v>46205</v>
      </c>
      <c r="M101" s="2" t="str">
        <v>SEGUB GUCE</v>
      </c>
      <c r="N101" s="2">
        <v>183750</v>
      </c>
      <c r="O101" s="2">
        <v>0</v>
      </c>
      <c r="P101" s="2" t="str">
        <v>USN-26136784_271319205_Soyabean_Renew BFU</v>
      </c>
      <c r="Q101" s="2" t="str">
        <v>BFU</v>
      </c>
    </row>
    <row r="102" spans="12:17" x14ac:dyDescent="0.35">
      <c r="L102" s="61">
        <v>46205</v>
      </c>
      <c r="M102" s="2" t="str">
        <v>SEGUB GUCE</v>
      </c>
      <c r="N102" s="2">
        <v>26250</v>
      </c>
      <c r="O102" s="2">
        <v>0</v>
      </c>
      <c r="P102" s="2" t="str">
        <v>USN-26138982_272005087_Cotton Seed Nutrised Oil_renew BFU</v>
      </c>
      <c r="Q102" s="2" t="str">
        <v>BFU</v>
      </c>
    </row>
    <row r="103" spans="12:17" x14ac:dyDescent="0.35">
      <c r="L103" s="61">
        <v>46206</v>
      </c>
      <c r="M103" s="2" t="str">
        <v>SEGUB GUCE</v>
      </c>
      <c r="N103" s="2">
        <v>183750</v>
      </c>
      <c r="O103" s="2">
        <v>0</v>
      </c>
      <c r="P103" s="2" t="str">
        <v>USN-26137511_271285360_Soya meal_renew BFU</v>
      </c>
      <c r="Q103" s="2" t="str">
        <v>BFU</v>
      </c>
    </row>
    <row r="104" spans="12:17" x14ac:dyDescent="0.35">
      <c r="L104" s="61">
        <v>46206</v>
      </c>
      <c r="M104" s="2" t="str">
        <v>SEGUB GUCE</v>
      </c>
      <c r="N104" s="2">
        <v>210000</v>
      </c>
      <c r="O104" s="2">
        <v>0</v>
      </c>
      <c r="P104" s="2" t="str">
        <v>USN-26136887_271321384_Soya meal_renew BFU</v>
      </c>
      <c r="Q104" s="2" t="str">
        <v>BFU</v>
      </c>
    </row>
    <row r="105" spans="12:17" x14ac:dyDescent="0.35">
      <c r="L105" s="61">
        <v>46211</v>
      </c>
      <c r="M105" s="2" t="str">
        <v>SEGUB GUCE</v>
      </c>
      <c r="N105" s="2">
        <v>8758301</v>
      </c>
      <c r="O105" s="2">
        <v>0</v>
      </c>
      <c r="P105" s="2" t="str">
        <v>USN-26157127_272808713_Soyabean</v>
      </c>
      <c r="Q105" s="2" t="str">
        <v>BFU</v>
      </c>
    </row>
    <row r="106" spans="12:17" x14ac:dyDescent="0.35">
      <c r="L106" s="61">
        <v>46211</v>
      </c>
      <c r="M106" s="2" t="str">
        <v>SEGUB GUCE</v>
      </c>
      <c r="N106" s="2">
        <v>1651157</v>
      </c>
      <c r="O106" s="2">
        <v>0</v>
      </c>
      <c r="P106" s="2" t="str">
        <v>USN-26155790_271321717_Soya Meal</v>
      </c>
      <c r="Q106" s="2" t="str">
        <v>BFU</v>
      </c>
    </row>
    <row r="107" spans="12:17" x14ac:dyDescent="0.35">
      <c r="L107" s="61">
        <v>46216</v>
      </c>
      <c r="M107" s="2" t="str">
        <v>SEGUB GUCE</v>
      </c>
      <c r="N107" s="2">
        <v>8557537</v>
      </c>
      <c r="O107" s="2">
        <v>0</v>
      </c>
      <c r="P107" s="2" t="str">
        <v>USN-26160270_EBKG17612326_Soyabean</v>
      </c>
      <c r="Q107" s="2" t="str">
        <v>BFU</v>
      </c>
    </row>
    <row r="108" spans="12:17" x14ac:dyDescent="0.35">
      <c r="L108" s="61">
        <v>46216</v>
      </c>
      <c r="M108" s="2" t="str">
        <v>SEGUB GUCE</v>
      </c>
      <c r="N108" s="2">
        <v>8516576</v>
      </c>
      <c r="O108" s="2">
        <v>0</v>
      </c>
      <c r="P108" s="2" t="str">
        <v>USN-26163264_EBKG17592194_Soyabean</v>
      </c>
      <c r="Q108" s="2" t="str">
        <v>BFU</v>
      </c>
    </row>
    <row r="109" spans="12:17" x14ac:dyDescent="0.35">
      <c r="L109" s="61">
        <v>46218</v>
      </c>
      <c r="M109" s="2" t="str">
        <v>SEGUB GUCE</v>
      </c>
      <c r="N109" s="2">
        <v>1604892</v>
      </c>
      <c r="O109" s="2">
        <v>0</v>
      </c>
      <c r="P109" s="2" t="str">
        <v>USN-26164383_272826293_Soya meal</v>
      </c>
      <c r="Q109" s="2" t="str">
        <v>BFU</v>
      </c>
    </row>
    <row r="110" spans="12:17" x14ac:dyDescent="0.35">
      <c r="L110" s="61">
        <v>46219</v>
      </c>
      <c r="M110" s="2" t="str">
        <v>SEGUB GUCE</v>
      </c>
      <c r="N110" s="2">
        <v>131250</v>
      </c>
      <c r="O110" s="2">
        <v>0</v>
      </c>
      <c r="P110" s="2" t="str">
        <v>USN-26149844_271322421_Soyabean_renew</v>
      </c>
      <c r="Q110" s="2" t="str">
        <v>BFU</v>
      </c>
    </row>
    <row r="111" spans="12:17" x14ac:dyDescent="0.35">
      <c r="L111" s="61">
        <v>46219</v>
      </c>
      <c r="M111" s="2" t="str">
        <v>SEGUB GUCE</v>
      </c>
      <c r="N111" s="2">
        <v>52500</v>
      </c>
      <c r="O111" s="2">
        <v>0</v>
      </c>
      <c r="P111" s="2" t="str">
        <v>USN-26149382_271172507_Soyabean_renew</v>
      </c>
      <c r="Q111" s="2" t="str">
        <v>BFU</v>
      </c>
    </row>
    <row r="112" spans="12:17" x14ac:dyDescent="0.35">
      <c r="L112" s="61">
        <v>46219</v>
      </c>
      <c r="M112" s="2" t="str">
        <v>SEGUB GUCE</v>
      </c>
      <c r="N112" s="2">
        <v>933439</v>
      </c>
      <c r="O112" s="2">
        <v>0</v>
      </c>
      <c r="P112" s="2" t="str">
        <v>USN-26165539_NAP-1105-2026_SHEA BUTTER</v>
      </c>
      <c r="Q112" s="2" t="str">
        <v>BFU</v>
      </c>
    </row>
    <row r="113" spans="12:17" x14ac:dyDescent="0.35">
      <c r="L113" s="61">
        <v>46223</v>
      </c>
      <c r="M113" s="2" t="str">
        <v>SEGUB GUCE</v>
      </c>
      <c r="N113" s="2">
        <v>8572859</v>
      </c>
      <c r="O113" s="2">
        <v>0</v>
      </c>
      <c r="P113" s="2" t="str">
        <v>USN-26167702_272826020_Soyabean</v>
      </c>
      <c r="Q113" s="2" t="str">
        <v>BFU</v>
      </c>
    </row>
    <row r="114" spans="12:17" x14ac:dyDescent="0.35">
      <c r="L114" s="61">
        <v>46225</v>
      </c>
      <c r="M114" s="2" t="str">
        <v>SEGUB GUCE</v>
      </c>
      <c r="N114" s="2">
        <v>8725157</v>
      </c>
      <c r="O114" s="2">
        <v>0</v>
      </c>
      <c r="P114" s="2" t="str">
        <v>USN-26167822_273955686_Soyabean</v>
      </c>
      <c r="Q114" s="2" t="str">
        <v>BFU</v>
      </c>
    </row>
    <row r="115" spans="12:17" x14ac:dyDescent="0.35">
      <c r="L115" s="61">
        <v>46225</v>
      </c>
      <c r="M115" s="2" t="str">
        <v>SEGUB GUCE</v>
      </c>
      <c r="N115" s="2">
        <v>8534382</v>
      </c>
      <c r="O115" s="2">
        <v>0</v>
      </c>
      <c r="P115" s="2" t="str">
        <v>USN-26169482_274133543_Soyabean</v>
      </c>
      <c r="Q115" s="2" t="str">
        <v>BFU</v>
      </c>
    </row>
    <row r="116" spans="12:17" x14ac:dyDescent="0.35">
      <c r="L116" s="61">
        <v>46225</v>
      </c>
      <c r="M116" s="2" t="str">
        <v>SEGUB GUCE</v>
      </c>
      <c r="N116" s="2">
        <v>1374967</v>
      </c>
      <c r="O116" s="2">
        <v>0</v>
      </c>
      <c r="P116" s="2" t="str">
        <v>USN-26170614_NAP-1111-2026_SHEA BUTTER</v>
      </c>
      <c r="Q116" s="2" t="str">
        <v>BFU</v>
      </c>
    </row>
    <row r="117" spans="12:17" x14ac:dyDescent="0.35">
      <c r="L117" s="61">
        <v>46233</v>
      </c>
      <c r="M117" s="2" t="str">
        <v>SEGUB GUCE</v>
      </c>
      <c r="N117" s="2">
        <v>8357136</v>
      </c>
      <c r="O117" s="2">
        <v>0</v>
      </c>
      <c r="P117" s="2" t="str">
        <v>USN-26171735_274133691_Soyabean</v>
      </c>
      <c r="Q117" s="2" t="str">
        <v>BFU</v>
      </c>
    </row>
    <row r="118" spans="12:17" x14ac:dyDescent="0.35">
      <c r="L118" s="61">
        <v>46233</v>
      </c>
      <c r="M118" s="2" t="str">
        <v>SEGUB GUCE</v>
      </c>
      <c r="N118" s="2">
        <v>183750</v>
      </c>
      <c r="O118" s="2">
        <v>0</v>
      </c>
      <c r="P118" s="2" t="str">
        <v>USN-26164383_272826293_Soya meal_renew</v>
      </c>
      <c r="Q118" s="2" t="str">
        <v>BFU</v>
      </c>
    </row>
    <row r="119" spans="12:17" x14ac:dyDescent="0.35">
      <c r="L119" s="61">
        <v>46233</v>
      </c>
      <c r="M119" s="2" t="str">
        <v>SEGUB GUCE</v>
      </c>
      <c r="N119" s="2">
        <v>105000</v>
      </c>
      <c r="O119" s="2">
        <v>0</v>
      </c>
      <c r="P119" s="2" t="str">
        <v>USN-26167702_272826020_Soyabean_renew</v>
      </c>
      <c r="Q119" s="2" t="str">
        <v>BFU</v>
      </c>
    </row>
    <row r="120" spans="12:17" x14ac:dyDescent="0.35">
      <c r="L120" s="61">
        <v>46233</v>
      </c>
      <c r="M120" s="2" t="str">
        <v>SEGUB GUCE</v>
      </c>
      <c r="N120" s="2">
        <v>78750</v>
      </c>
      <c r="O120" s="2">
        <v>0</v>
      </c>
      <c r="P120" s="2" t="str">
        <v>USN-26164384_272826117_Soyabean_renew</v>
      </c>
      <c r="Q120" s="2" t="str">
        <v>BFU</v>
      </c>
    </row>
    <row r="121" spans="12:17" x14ac:dyDescent="0.35">
      <c r="L121" s="61">
        <v>46234</v>
      </c>
      <c r="M121" s="2" t="str">
        <v>SEGUB GUCE</v>
      </c>
      <c r="N121" s="2">
        <v>131250</v>
      </c>
      <c r="O121" s="2">
        <v>0</v>
      </c>
      <c r="P121" s="2" t="str">
        <v>USN-26164687_EBKG17674853_Soyabean_renew</v>
      </c>
      <c r="Q121" s="2" t="str">
        <v>BFU</v>
      </c>
    </row>
    <row r="122" spans="12:17" x14ac:dyDescent="0.35">
      <c r="L122" s="61">
        <v>46247</v>
      </c>
      <c r="M122" s="2" t="str">
        <v>SEGUB GUCE</v>
      </c>
      <c r="N122" s="2">
        <v>131250</v>
      </c>
      <c r="O122" s="2">
        <v>0</v>
      </c>
      <c r="P122" s="2" t="str">
        <v>USN-26173238_MEDUCT205464_Soyabean_renew</v>
      </c>
      <c r="Q122" s="2" t="str">
        <v>BFU</v>
      </c>
    </row>
    <row r="123" spans="12:17" x14ac:dyDescent="0.35">
      <c r="L123" s="61">
        <v>46247</v>
      </c>
      <c r="M123" s="2" t="str">
        <v>SEGUB GUCE</v>
      </c>
      <c r="N123" s="2">
        <v>7817716</v>
      </c>
      <c r="O123" s="2">
        <v>0</v>
      </c>
      <c r="P123" s="2" t="str">
        <v>USN-26187475_EBKG17975413_Soyabean</v>
      </c>
      <c r="Q123" s="2" t="str">
        <v>BFU</v>
      </c>
    </row>
    <row r="124" spans="12:17" x14ac:dyDescent="0.35">
      <c r="L124" s="61">
        <v>46255</v>
      </c>
      <c r="M124" s="2" t="str">
        <v>SEGUB GUCE</v>
      </c>
      <c r="N124" s="2">
        <v>52500</v>
      </c>
      <c r="O124" s="2">
        <v>0</v>
      </c>
      <c r="P124" s="2" t="str">
        <v>USN-26187475_EBKG17975413_Soyabean_RENEW BFU</v>
      </c>
      <c r="Q124" s="2" t="str">
        <v>BFU</v>
      </c>
    </row>
    <row r="125" spans="12:17" x14ac:dyDescent="0.35">
      <c r="L125" s="61">
        <v>46258</v>
      </c>
      <c r="M125" s="2" t="str">
        <v>SEGUB GUCE</v>
      </c>
      <c r="N125" s="2">
        <v>915375</v>
      </c>
      <c r="O125" s="2">
        <v>0</v>
      </c>
      <c r="P125" s="2" t="str">
        <v>USN-26194619_EBKG18274292_Soyabean</v>
      </c>
      <c r="Q125" s="2" t="str">
        <v>BFU</v>
      </c>
    </row>
    <row r="126" spans="12:17" x14ac:dyDescent="0.35">
      <c r="L126" s="61">
        <v>46266</v>
      </c>
      <c r="M126" s="2" t="str">
        <v>SEGUB GUCE</v>
      </c>
      <c r="N126" s="2">
        <v>772667</v>
      </c>
      <c r="O126" s="2">
        <v>0</v>
      </c>
      <c r="P126" s="2" t="str">
        <v>IMPORT OPS</v>
      </c>
      <c r="Q126" s="2" t="str">
        <v>BFU</v>
      </c>
    </row>
    <row r="127" spans="12:17" x14ac:dyDescent="0.35">
      <c r="L127" s="61">
        <v>46268</v>
      </c>
      <c r="M127" s="2" t="str">
        <v>SEGUB GUCE</v>
      </c>
      <c r="N127" s="2">
        <v>13125</v>
      </c>
      <c r="O127" s="2">
        <v>0</v>
      </c>
      <c r="P127" s="2" t="str">
        <v>USN-26194619_EBKG18274292_Soyabean_RENEW BFU</v>
      </c>
      <c r="Q127" s="2" t="str">
        <v>BFU</v>
      </c>
    </row>
    <row r="128" spans="12:17" x14ac:dyDescent="0.35">
      <c r="L128" s="61">
        <v>46272</v>
      </c>
      <c r="M128" s="2" t="str">
        <v>SEGUB GUCE</v>
      </c>
      <c r="N128" s="2">
        <v>1001200</v>
      </c>
      <c r="O128" s="2">
        <v>0</v>
      </c>
      <c r="P128" s="2" t="str">
        <v>IMPORT OPS</v>
      </c>
      <c r="Q128" s="2" t="str">
        <v>BFU</v>
      </c>
    </row>
    <row r="129" spans="12:17" x14ac:dyDescent="0.35">
      <c r="L129" s="61">
        <v>46273</v>
      </c>
      <c r="M129" s="2" t="str">
        <v>SEGUB GUCE</v>
      </c>
      <c r="N129" s="2">
        <v>4125</v>
      </c>
      <c r="O129" s="2">
        <v>0</v>
      </c>
      <c r="P129" s="2" t="str">
        <v>IMPORT OPS</v>
      </c>
      <c r="Q129" s="2" t="str">
        <v>BFU</v>
      </c>
    </row>
    <row r="130" spans="12:17" x14ac:dyDescent="0.35">
      <c r="L130" s="61">
        <v>46276</v>
      </c>
      <c r="M130" s="2" t="str">
        <v>SEGUB GUCE</v>
      </c>
      <c r="N130" s="2">
        <v>5157</v>
      </c>
      <c r="O130" s="2">
        <v>0</v>
      </c>
      <c r="P130" s="2" t="str">
        <v>IMPORT OPS</v>
      </c>
      <c r="Q130" s="2" t="str">
        <v>BFU</v>
      </c>
    </row>
    <row r="131" spans="12:17" x14ac:dyDescent="0.35">
      <c r="L131" s="61">
        <v>46274</v>
      </c>
      <c r="M131" s="2" t="str">
        <v>SEGUB GUCE</v>
      </c>
      <c r="N131" s="2">
        <v>3654</v>
      </c>
      <c r="O131" s="2">
        <v>0</v>
      </c>
      <c r="P131" s="2" t="str">
        <v>DECLARATION COMPLEMENTAIRE_USN-26136887_271321384_Soya meal</v>
      </c>
      <c r="Q131" s="2" t="str">
        <v>BFU</v>
      </c>
    </row>
    <row r="132" spans="12:17" x14ac:dyDescent="0.35">
      <c r="L132" s="61"/>
      <c r="M132" s="2"/>
      <c r="N132" s="2"/>
      <c r="O132" s="2"/>
      <c r="P132" s="2"/>
      <c r="Q132" s="2"/>
    </row>
    <row r="133" spans="12:17" x14ac:dyDescent="0.35">
      <c r="L133" s="61"/>
      <c r="M133" s="2"/>
      <c r="N133" s="2"/>
      <c r="O133" s="2"/>
      <c r="P133" s="2"/>
      <c r="Q133" s="2"/>
    </row>
    <row r="134" spans="12:17" x14ac:dyDescent="0.35">
      <c r="L134" s="61"/>
      <c r="M134" s="2"/>
      <c r="N134" s="2"/>
      <c r="O134" s="2"/>
      <c r="P134" s="2"/>
      <c r="Q134" s="2"/>
    </row>
    <row r="135" spans="12:17" x14ac:dyDescent="0.35">
      <c r="L135" s="61"/>
      <c r="M135" s="2"/>
      <c r="N135" s="2"/>
      <c r="O135" s="2"/>
      <c r="P135" s="2"/>
      <c r="Q135" s="2"/>
    </row>
    <row r="136" spans="12:17" x14ac:dyDescent="0.35">
      <c r="L136" s="61"/>
      <c r="M136" s="2"/>
      <c r="N136" s="2"/>
      <c r="O136" s="2"/>
      <c r="P136" s="2"/>
      <c r="Q136" s="2"/>
    </row>
    <row r="137" spans="12:17" x14ac:dyDescent="0.35">
      <c r="L137" s="61"/>
      <c r="M137" s="2"/>
      <c r="N137" s="2"/>
      <c r="O137" s="2"/>
      <c r="P137" s="2"/>
      <c r="Q137" s="2"/>
    </row>
    <row r="138" spans="12:17" x14ac:dyDescent="0.35">
      <c r="L138" s="61"/>
      <c r="M138" s="2"/>
      <c r="N138" s="2"/>
      <c r="O138" s="2"/>
      <c r="P138" s="2"/>
      <c r="Q138" s="2"/>
    </row>
    <row r="139" spans="12:17" x14ac:dyDescent="0.35">
      <c r="L139" s="61"/>
      <c r="M139" s="2"/>
      <c r="N139" s="2"/>
      <c r="O139" s="2"/>
      <c r="P139" s="2"/>
      <c r="Q139" s="2"/>
    </row>
    <row r="140" spans="12:17" x14ac:dyDescent="0.35">
      <c r="L140" s="61"/>
      <c r="M140" s="2"/>
      <c r="N140" s="2"/>
      <c r="O140" s="2"/>
      <c r="P140" s="2"/>
      <c r="Q140" s="2"/>
    </row>
    <row r="141" spans="12:17" x14ac:dyDescent="0.35">
      <c r="L141" s="61"/>
      <c r="M141" s="2"/>
      <c r="N141" s="2"/>
      <c r="O141" s="2"/>
      <c r="P141" s="2"/>
      <c r="Q141" s="2"/>
    </row>
    <row r="142" spans="12:17" x14ac:dyDescent="0.35">
      <c r="L142" s="61"/>
      <c r="M142" s="2"/>
      <c r="N142" s="2"/>
      <c r="O142" s="2"/>
      <c r="P142" s="2"/>
      <c r="Q142" s="2"/>
    </row>
    <row r="143" spans="12:17" x14ac:dyDescent="0.35">
      <c r="L143" s="61"/>
      <c r="M143" s="2"/>
      <c r="N143" s="2"/>
      <c r="O143" s="2"/>
      <c r="P143" s="2"/>
      <c r="Q143" s="2"/>
    </row>
    <row r="144" spans="12:17" x14ac:dyDescent="0.35">
      <c r="L144" s="61"/>
      <c r="M144" s="2"/>
      <c r="N144" s="2"/>
      <c r="O144" s="2"/>
      <c r="P144" s="2"/>
      <c r="Q144" s="2"/>
    </row>
    <row r="145" spans="12:17" x14ac:dyDescent="0.35">
      <c r="L145" s="61"/>
      <c r="M145" s="2"/>
      <c r="N145" s="2"/>
      <c r="O145" s="2"/>
      <c r="P145" s="2"/>
      <c r="Q145" s="2"/>
    </row>
    <row r="146" spans="12:17" x14ac:dyDescent="0.35">
      <c r="L146" s="61"/>
      <c r="M146" s="2"/>
      <c r="N146" s="2"/>
      <c r="O146" s="2"/>
      <c r="P146" s="2"/>
      <c r="Q146" s="2"/>
    </row>
    <row r="147" spans="12:17" x14ac:dyDescent="0.35">
      <c r="L147" s="61"/>
      <c r="M147" s="2"/>
      <c r="N147" s="2"/>
      <c r="O147" s="2"/>
      <c r="P147" s="2"/>
      <c r="Q147" s="2"/>
    </row>
    <row r="148" spans="12:17" x14ac:dyDescent="0.35">
      <c r="L148" s="61"/>
      <c r="M148" s="2"/>
      <c r="N148" s="2"/>
      <c r="O148" s="2"/>
      <c r="P148" s="2"/>
      <c r="Q148" s="2"/>
    </row>
    <row r="149" spans="12:17" x14ac:dyDescent="0.35">
      <c r="L149" s="61"/>
      <c r="M149" s="2"/>
      <c r="N149" s="2"/>
      <c r="O149" s="2"/>
      <c r="P149" s="2"/>
      <c r="Q149" s="2"/>
    </row>
    <row r="150" spans="12:17" x14ac:dyDescent="0.35">
      <c r="L150" s="61"/>
      <c r="M150" s="2"/>
      <c r="N150" s="2"/>
      <c r="O150" s="2"/>
      <c r="P150" s="2"/>
      <c r="Q150" s="2"/>
    </row>
    <row r="151" spans="12:17" x14ac:dyDescent="0.35">
      <c r="L151" s="61"/>
      <c r="M151" s="2"/>
      <c r="N151" s="2"/>
      <c r="O151" s="2"/>
      <c r="P151" s="2"/>
      <c r="Q151" s="2"/>
    </row>
    <row r="152" spans="12:17" x14ac:dyDescent="0.35">
      <c r="L152" s="61"/>
      <c r="M152" s="2"/>
      <c r="N152" s="2"/>
      <c r="O152" s="2"/>
      <c r="P152" s="2"/>
      <c r="Q152" s="2"/>
    </row>
    <row r="153" spans="12:17" x14ac:dyDescent="0.35">
      <c r="L153" s="61"/>
      <c r="M153" s="2"/>
      <c r="N153" s="2"/>
      <c r="O153" s="2"/>
      <c r="P153" s="2"/>
      <c r="Q153" s="2"/>
    </row>
    <row r="154" spans="12:17" x14ac:dyDescent="0.35">
      <c r="L154" s="61"/>
      <c r="M154" s="2"/>
      <c r="N154" s="2"/>
      <c r="O154" s="2"/>
      <c r="P154" s="2"/>
      <c r="Q154" s="2"/>
    </row>
    <row r="155" spans="12:17" x14ac:dyDescent="0.35">
      <c r="L155" s="61"/>
      <c r="M155" s="2"/>
      <c r="N155" s="2"/>
      <c r="O155" s="2"/>
      <c r="P155" s="2"/>
      <c r="Q155" s="2"/>
    </row>
    <row r="156" spans="12:17" x14ac:dyDescent="0.35">
      <c r="L156" s="61"/>
      <c r="M156" s="2"/>
      <c r="N156" s="2"/>
      <c r="O156" s="2"/>
      <c r="P156" s="2"/>
      <c r="Q156" s="2"/>
    </row>
    <row r="157" spans="12:17" x14ac:dyDescent="0.35">
      <c r="L157" s="61"/>
      <c r="M157" s="2"/>
      <c r="N157" s="2"/>
      <c r="O157" s="2"/>
      <c r="P157" s="2"/>
      <c r="Q157" s="2"/>
    </row>
    <row r="158" spans="12:17" x14ac:dyDescent="0.35">
      <c r="L158" s="61"/>
      <c r="M158" s="2"/>
      <c r="N158" s="2"/>
      <c r="O158" s="2"/>
      <c r="P158" s="2"/>
      <c r="Q158" s="2"/>
    </row>
    <row r="159" spans="12:17" x14ac:dyDescent="0.35">
      <c r="L159" s="61"/>
      <c r="M159" s="2"/>
      <c r="N159" s="2"/>
      <c r="O159" s="2"/>
      <c r="P159" s="2"/>
      <c r="Q159" s="2"/>
    </row>
    <row r="160" spans="12:17" x14ac:dyDescent="0.35">
      <c r="L160" s="61"/>
      <c r="M160" s="2"/>
      <c r="N160" s="2"/>
      <c r="O160" s="2"/>
      <c r="P160" s="2"/>
      <c r="Q160" s="2"/>
    </row>
    <row r="161" spans="12:17" x14ac:dyDescent="0.35">
      <c r="L161" s="61"/>
      <c r="M161" s="2"/>
      <c r="N161" s="2"/>
      <c r="O161" s="2"/>
      <c r="P161" s="2"/>
      <c r="Q161" s="2"/>
    </row>
    <row r="162" spans="12:17" x14ac:dyDescent="0.35">
      <c r="L162" s="61"/>
      <c r="M162" s="2"/>
      <c r="N162" s="2"/>
      <c r="O162" s="2"/>
      <c r="P162" s="2"/>
      <c r="Q162" s="2"/>
    </row>
    <row r="163" spans="12:17" x14ac:dyDescent="0.35">
      <c r="L163" s="61"/>
      <c r="M163" s="2"/>
      <c r="N163" s="2"/>
      <c r="O163" s="2"/>
      <c r="P163" s="2"/>
      <c r="Q163" s="2"/>
    </row>
    <row r="164" spans="12:17" x14ac:dyDescent="0.35">
      <c r="L164" s="61"/>
      <c r="M164" s="2"/>
      <c r="N164" s="2"/>
      <c r="O164" s="2"/>
      <c r="P164" s="2"/>
      <c r="Q164" s="2"/>
    </row>
    <row r="165" spans="12:17" x14ac:dyDescent="0.35">
      <c r="L165" s="61"/>
      <c r="M165" s="2"/>
      <c r="N165" s="2"/>
      <c r="O165" s="2"/>
      <c r="P165" s="2"/>
      <c r="Q165" s="2"/>
    </row>
    <row r="166" spans="12:17" x14ac:dyDescent="0.35">
      <c r="L166" s="61"/>
      <c r="M166" s="2"/>
      <c r="N166" s="2"/>
      <c r="O166" s="2"/>
      <c r="P166" s="2"/>
      <c r="Q166" s="2"/>
    </row>
    <row r="167" spans="12:17" x14ac:dyDescent="0.35">
      <c r="L167" s="61"/>
      <c r="M167" s="2"/>
      <c r="N167" s="2"/>
      <c r="O167" s="2"/>
      <c r="P167" s="2"/>
      <c r="Q167" s="2"/>
    </row>
    <row r="168" spans="12:17" x14ac:dyDescent="0.35">
      <c r="L168" s="61"/>
      <c r="M168" s="2"/>
      <c r="N168" s="2"/>
      <c r="O168" s="2"/>
      <c r="P168" s="2"/>
      <c r="Q168" s="2"/>
    </row>
    <row r="169" spans="12:17" x14ac:dyDescent="0.35">
      <c r="L169" s="61"/>
      <c r="M169" s="2"/>
      <c r="N169" s="2"/>
      <c r="O169" s="2"/>
      <c r="P169" s="2"/>
      <c r="Q169" s="2"/>
    </row>
    <row r="170" spans="12:17" x14ac:dyDescent="0.35">
      <c r="L170" s="61"/>
      <c r="M170" s="2"/>
      <c r="N170" s="2"/>
      <c r="O170" s="2"/>
      <c r="P170" s="2"/>
      <c r="Q170" s="2"/>
    </row>
    <row r="171" spans="12:17" x14ac:dyDescent="0.35">
      <c r="L171" s="61"/>
      <c r="M171" s="2"/>
      <c r="N171" s="2"/>
      <c r="O171" s="2"/>
      <c r="P171" s="2"/>
      <c r="Q171" s="2"/>
    </row>
    <row r="172" spans="12:17" x14ac:dyDescent="0.35">
      <c r="L172" s="61"/>
      <c r="M172" s="2"/>
      <c r="N172" s="2"/>
      <c r="O172" s="2"/>
      <c r="P172" s="2"/>
      <c r="Q172" s="2"/>
    </row>
    <row r="173" spans="12:17" x14ac:dyDescent="0.35">
      <c r="L173" s="61"/>
      <c r="M173" s="2"/>
      <c r="N173" s="2"/>
      <c r="O173" s="2"/>
      <c r="P173" s="2"/>
      <c r="Q173" s="2"/>
    </row>
    <row r="174" spans="12:17" x14ac:dyDescent="0.35">
      <c r="L174" s="61"/>
      <c r="M174" s="2"/>
      <c r="N174" s="2"/>
      <c r="O174" s="2"/>
      <c r="P174" s="2"/>
      <c r="Q174" s="2"/>
    </row>
    <row r="175" spans="12:17" x14ac:dyDescent="0.35">
      <c r="L175" s="61"/>
      <c r="M175" s="2"/>
      <c r="N175" s="2"/>
      <c r="O175" s="2"/>
      <c r="P175" s="2"/>
      <c r="Q175" s="2"/>
    </row>
    <row r="176" spans="12:17" x14ac:dyDescent="0.35">
      <c r="L176" s="61"/>
      <c r="M176" s="2"/>
      <c r="N176" s="2"/>
      <c r="O176" s="2"/>
      <c r="P176" s="2"/>
      <c r="Q176" s="2"/>
    </row>
    <row r="177" spans="12:17" x14ac:dyDescent="0.35">
      <c r="L177" s="61"/>
      <c r="M177" s="2"/>
      <c r="N177" s="2"/>
      <c r="O177" s="2"/>
      <c r="P177" s="2"/>
      <c r="Q177" s="2"/>
    </row>
    <row r="178" spans="12:17" x14ac:dyDescent="0.35">
      <c r="L178" s="61"/>
      <c r="M178" s="2"/>
      <c r="N178" s="2"/>
      <c r="O178" s="2"/>
      <c r="P178" s="2"/>
      <c r="Q178" s="2"/>
    </row>
    <row r="179" spans="12:17" x14ac:dyDescent="0.35">
      <c r="L179" s="61"/>
      <c r="M179" s="2"/>
      <c r="N179" s="2"/>
      <c r="O179" s="2"/>
      <c r="P179" s="2"/>
      <c r="Q179" s="2"/>
    </row>
    <row r="180" spans="12:17" x14ac:dyDescent="0.35">
      <c r="L180" s="61"/>
      <c r="M180" s="2"/>
      <c r="N180" s="2"/>
      <c r="O180" s="2"/>
      <c r="P180" s="2"/>
      <c r="Q180" s="2"/>
    </row>
    <row r="181" spans="12:17" x14ac:dyDescent="0.35">
      <c r="L181" s="61"/>
      <c r="M181" s="2"/>
      <c r="N181" s="2"/>
      <c r="O181" s="2"/>
      <c r="P181" s="2"/>
      <c r="Q181" s="2"/>
    </row>
    <row r="182" spans="12:17" x14ac:dyDescent="0.35">
      <c r="L182" s="61"/>
      <c r="M182" s="2"/>
      <c r="N182" s="2"/>
      <c r="O182" s="2"/>
      <c r="P182" s="2"/>
      <c r="Q182" s="2"/>
    </row>
    <row r="183" spans="12:17" x14ac:dyDescent="0.35">
      <c r="L183" s="61"/>
      <c r="M183" s="2"/>
      <c r="N183" s="2"/>
      <c r="O183" s="2"/>
      <c r="P183" s="2"/>
      <c r="Q183" s="2"/>
    </row>
    <row r="184" spans="12:17" x14ac:dyDescent="0.35">
      <c r="L184" s="61"/>
      <c r="M184" s="2"/>
      <c r="N184" s="2"/>
      <c r="O184" s="2"/>
      <c r="P184" s="2"/>
      <c r="Q184" s="2"/>
    </row>
    <row r="185" spans="12:17" x14ac:dyDescent="0.35">
      <c r="L185" s="61"/>
      <c r="M185" s="2"/>
      <c r="N185" s="2"/>
      <c r="O185" s="2"/>
      <c r="P185" s="2"/>
      <c r="Q185" s="2"/>
    </row>
    <row r="186" spans="12:17" x14ac:dyDescent="0.35">
      <c r="L186" s="61"/>
      <c r="M186" s="2"/>
      <c r="N186" s="2"/>
      <c r="O186" s="2"/>
      <c r="P186" s="2"/>
      <c r="Q186" s="2"/>
    </row>
    <row r="187" spans="12:17" x14ac:dyDescent="0.35">
      <c r="L187" s="61"/>
      <c r="M187" s="2"/>
      <c r="N187" s="2"/>
      <c r="O187" s="2"/>
      <c r="P187" s="2"/>
      <c r="Q187" s="2"/>
    </row>
    <row r="188" spans="12:17" x14ac:dyDescent="0.35">
      <c r="L188" s="61"/>
      <c r="M188" s="2"/>
      <c r="N188" s="2"/>
      <c r="O188" s="2"/>
      <c r="P188" s="2"/>
      <c r="Q188" s="2"/>
    </row>
    <row r="189" spans="12:17" x14ac:dyDescent="0.35">
      <c r="L189" s="61"/>
      <c r="M189" s="2"/>
      <c r="N189" s="2"/>
      <c r="O189" s="2"/>
      <c r="P189" s="2"/>
      <c r="Q189" s="2"/>
    </row>
    <row r="190" spans="12:17" x14ac:dyDescent="0.35">
      <c r="L190" s="61"/>
      <c r="M190" s="2"/>
      <c r="N190" s="2"/>
      <c r="O190" s="2"/>
      <c r="P190" s="2"/>
      <c r="Q190" s="2"/>
    </row>
    <row r="191" spans="12:17" x14ac:dyDescent="0.35">
      <c r="L191" s="61"/>
      <c r="M191" s="2"/>
      <c r="N191" s="2"/>
      <c r="O191" s="2"/>
      <c r="P191" s="2"/>
      <c r="Q191" s="2"/>
    </row>
    <row r="192" spans="12:17" x14ac:dyDescent="0.35">
      <c r="L192" s="61"/>
      <c r="M192" s="2"/>
      <c r="N192" s="2"/>
      <c r="O192" s="2"/>
      <c r="P192" s="2"/>
      <c r="Q192" s="2"/>
    </row>
    <row r="193" spans="12:17" x14ac:dyDescent="0.35">
      <c r="L193" s="61"/>
      <c r="M193" s="2"/>
      <c r="N193" s="2"/>
      <c r="O193" s="2"/>
      <c r="P193" s="2"/>
      <c r="Q193" s="2"/>
    </row>
    <row r="194" spans="12:17" x14ac:dyDescent="0.35">
      <c r="L194" s="61"/>
      <c r="M194" s="2"/>
      <c r="N194" s="2"/>
      <c r="O194" s="2"/>
      <c r="P194" s="2"/>
      <c r="Q194" s="2"/>
    </row>
    <row r="195" spans="12:17" x14ac:dyDescent="0.35">
      <c r="L195" s="61"/>
      <c r="M195" s="2"/>
      <c r="N195" s="2"/>
      <c r="O195" s="2"/>
      <c r="P195" s="2"/>
      <c r="Q195" s="2"/>
    </row>
    <row r="196" spans="12:17" x14ac:dyDescent="0.35">
      <c r="L196" s="61"/>
      <c r="M196" s="2"/>
      <c r="N196" s="2"/>
      <c r="O196" s="2"/>
      <c r="P196" s="2"/>
      <c r="Q196" s="2"/>
    </row>
    <row r="197" spans="12:17" x14ac:dyDescent="0.35">
      <c r="L197" s="61"/>
      <c r="M197" s="2"/>
      <c r="N197" s="2"/>
      <c r="O197" s="2"/>
      <c r="P197" s="2"/>
      <c r="Q197" s="2"/>
    </row>
    <row r="198" spans="12:17" x14ac:dyDescent="0.35">
      <c r="L198" s="61"/>
      <c r="M198" s="2"/>
      <c r="N198" s="2"/>
      <c r="O198" s="2"/>
      <c r="P198" s="2"/>
      <c r="Q198" s="2"/>
    </row>
    <row r="199" spans="12:17" x14ac:dyDescent="0.35">
      <c r="L199" s="61"/>
      <c r="M199" s="2"/>
      <c r="N199" s="2"/>
      <c r="O199" s="2"/>
      <c r="P199" s="2"/>
      <c r="Q199" s="2"/>
    </row>
  </sheetData>
  <mergeCells count="6">
    <mergeCell ref="V3:X3"/>
    <mergeCell ref="E3:F3"/>
    <mergeCell ref="H3:J3"/>
    <mergeCell ref="L3:M3"/>
    <mergeCell ref="O3:Q3"/>
    <mergeCell ref="S3:T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072E-30DC-4BA7-89B1-4FD6FD51C134}">
  <sheetPr>
    <tabColor rgb="FFFFC000"/>
  </sheetPr>
  <dimension ref="B3:BU26"/>
  <sheetViews>
    <sheetView workbookViewId="0">
      <pane ySplit="4" topLeftCell="A5" activePane="bottomLeft" state="frozen"/>
      <selection pane="bottomLeft" activeCell="BP4" sqref="BP4"/>
    </sheetView>
  </sheetViews>
  <sheetFormatPr baseColWidth="10" defaultColWidth="8.7265625" defaultRowHeight="14.5" x14ac:dyDescent="0.35"/>
  <cols>
    <col min="2" max="2" width="23.54296875" bestFit="1" customWidth="1"/>
    <col min="3" max="3" width="17.36328125" customWidth="1"/>
    <col min="5" max="6" width="16.7265625" customWidth="1"/>
    <col min="7" max="7" width="19.08984375" bestFit="1" customWidth="1"/>
    <col min="8" max="10" width="16.7265625" customWidth="1"/>
    <col min="11" max="11" width="5.453125" customWidth="1"/>
    <col min="12" max="13" width="14.6328125" customWidth="1"/>
    <col min="14" max="14" width="17.81640625" bestFit="1" customWidth="1"/>
    <col min="15" max="17" width="14.6328125" customWidth="1"/>
    <col min="18" max="18" width="6.08984375" customWidth="1"/>
    <col min="19" max="20" width="15.36328125" customWidth="1"/>
    <col min="21" max="21" width="19.08984375" bestFit="1" customWidth="1"/>
    <col min="22" max="24" width="15.36328125" customWidth="1"/>
    <col min="25" max="25" width="6.36328125" customWidth="1"/>
    <col min="26" max="26" width="14.453125" customWidth="1"/>
    <col min="27" max="27" width="20.1796875" customWidth="1"/>
    <col min="28" max="28" width="19.08984375" bestFit="1" customWidth="1"/>
    <col min="29" max="31" width="14.453125" customWidth="1"/>
    <col min="32" max="32" width="5.81640625" customWidth="1"/>
    <col min="33" max="34" width="16.54296875" customWidth="1"/>
    <col min="35" max="35" width="17.81640625" bestFit="1" customWidth="1"/>
    <col min="36" max="38" width="16.54296875" customWidth="1"/>
    <col min="39" max="39" width="6.81640625" customWidth="1"/>
    <col min="40" max="41" width="15.1796875" customWidth="1"/>
    <col min="42" max="42" width="19.08984375" bestFit="1" customWidth="1"/>
    <col min="43" max="45" width="15.1796875" customWidth="1"/>
    <col min="46" max="46" width="6.81640625" customWidth="1"/>
    <col min="47" max="48" width="16" customWidth="1"/>
    <col min="49" max="49" width="19.08984375" bestFit="1" customWidth="1"/>
    <col min="50" max="52" width="16" customWidth="1"/>
    <col min="53" max="53" width="6.81640625" customWidth="1"/>
    <col min="54" max="55" width="16.54296875" customWidth="1"/>
    <col min="56" max="56" width="19.08984375" bestFit="1" customWidth="1"/>
    <col min="57" max="59" width="16.54296875" customWidth="1"/>
    <col min="60" max="60" width="5.81640625" customWidth="1"/>
    <col min="61" max="62" width="15.1796875" customWidth="1"/>
    <col min="63" max="63" width="19.08984375" bestFit="1" customWidth="1"/>
    <col min="64" max="66" width="15.1796875" customWidth="1"/>
    <col min="68" max="69" width="13" customWidth="1"/>
    <col min="70" max="70" width="19.08984375" bestFit="1" customWidth="1"/>
    <col min="71" max="73" width="13" customWidth="1"/>
  </cols>
  <sheetData>
    <row r="3" spans="2:73" ht="18.5" x14ac:dyDescent="0.45">
      <c r="E3" s="115" t="s">
        <v>94</v>
      </c>
      <c r="F3" s="116"/>
      <c r="G3" s="62">
        <f>SUBTOTAL(9,G5:G5000)</f>
        <v>31499825</v>
      </c>
      <c r="H3" s="117"/>
      <c r="I3" s="118"/>
      <c r="J3" s="119"/>
      <c r="L3" s="115" t="s">
        <v>232</v>
      </c>
      <c r="M3" s="116"/>
      <c r="N3" s="62">
        <f>SUBTOTAL(9,N5:N5000)</f>
        <v>5340000</v>
      </c>
      <c r="O3" s="117"/>
      <c r="P3" s="118"/>
      <c r="Q3" s="119"/>
      <c r="S3" s="115" t="s">
        <v>231</v>
      </c>
      <c r="T3" s="116"/>
      <c r="U3" s="62">
        <f>SUBTOTAL(9,U5:U5000)</f>
        <v>43280268</v>
      </c>
      <c r="V3" s="117"/>
      <c r="W3" s="118"/>
      <c r="X3" s="119"/>
      <c r="Z3" s="115" t="s">
        <v>260</v>
      </c>
      <c r="AA3" s="116"/>
      <c r="AB3" s="62">
        <f>SUBTOTAL(9,AB5:AB5000)</f>
        <v>28233940</v>
      </c>
      <c r="AC3" s="117"/>
      <c r="AD3" s="118"/>
      <c r="AE3" s="119"/>
      <c r="AG3" s="115" t="s">
        <v>229</v>
      </c>
      <c r="AH3" s="116"/>
      <c r="AI3" s="62">
        <f>SUBTOTAL(9,AI5:AI5000)</f>
        <v>6166983</v>
      </c>
      <c r="AJ3" s="117"/>
      <c r="AK3" s="118"/>
      <c r="AL3" s="119"/>
      <c r="AN3" s="115" t="s">
        <v>113</v>
      </c>
      <c r="AO3" s="116"/>
      <c r="AP3" s="62">
        <f>SUBTOTAL(9,AP5:AP5000)</f>
        <v>26106222</v>
      </c>
      <c r="AQ3" s="117"/>
      <c r="AR3" s="118"/>
      <c r="AS3" s="119"/>
      <c r="AU3" s="115" t="s">
        <v>213</v>
      </c>
      <c r="AV3" s="116"/>
      <c r="AW3" s="62">
        <f>SUBTOTAL(9,AW5:AW5000)</f>
        <v>41420260</v>
      </c>
      <c r="AX3" s="117"/>
      <c r="AY3" s="118"/>
      <c r="AZ3" s="119"/>
      <c r="BB3" s="115" t="s">
        <v>212</v>
      </c>
      <c r="BC3" s="116"/>
      <c r="BD3" s="62">
        <f>SUBTOTAL(9,BD5:BD5000)</f>
        <v>9606800</v>
      </c>
      <c r="BE3" s="117"/>
      <c r="BF3" s="118"/>
      <c r="BG3" s="119"/>
      <c r="BI3" s="115" t="s">
        <v>230</v>
      </c>
      <c r="BJ3" s="116"/>
      <c r="BK3" s="62">
        <f>SUBTOTAL(9,BK5:BK5000)</f>
        <v>121046321</v>
      </c>
      <c r="BL3" s="117"/>
      <c r="BM3" s="118"/>
      <c r="BN3" s="119"/>
      <c r="BP3" s="115" t="s">
        <v>342</v>
      </c>
      <c r="BQ3" s="116"/>
      <c r="BR3" s="62">
        <f>SUBTOTAL(9,BR5:BR5000)</f>
        <v>11500000</v>
      </c>
      <c r="BS3" s="117"/>
      <c r="BT3" s="118"/>
      <c r="BU3" s="119"/>
    </row>
    <row r="4" spans="2:73" x14ac:dyDescent="0.35">
      <c r="B4" s="69" t="s">
        <v>240</v>
      </c>
      <c r="C4" s="69" t="s">
        <v>255</v>
      </c>
      <c r="E4" s="60" t="s">
        <v>9</v>
      </c>
      <c r="F4" s="60" t="s">
        <v>1</v>
      </c>
      <c r="G4" s="60" t="s">
        <v>10</v>
      </c>
      <c r="H4" s="60" t="s">
        <v>11</v>
      </c>
      <c r="I4" s="60" t="s">
        <v>17</v>
      </c>
      <c r="J4" s="60" t="s">
        <v>233</v>
      </c>
      <c r="L4" s="60" t="s">
        <v>9</v>
      </c>
      <c r="M4" s="60" t="s">
        <v>1</v>
      </c>
      <c r="N4" s="60" t="s">
        <v>10</v>
      </c>
      <c r="O4" s="60" t="s">
        <v>11</v>
      </c>
      <c r="P4" s="60" t="s">
        <v>17</v>
      </c>
      <c r="Q4" s="60" t="s">
        <v>233</v>
      </c>
      <c r="S4" s="60" t="s">
        <v>9</v>
      </c>
      <c r="T4" s="60" t="s">
        <v>1</v>
      </c>
      <c r="U4" s="60" t="s">
        <v>10</v>
      </c>
      <c r="V4" s="60" t="s">
        <v>11</v>
      </c>
      <c r="W4" s="60" t="s">
        <v>17</v>
      </c>
      <c r="X4" s="60" t="s">
        <v>233</v>
      </c>
      <c r="Z4" s="60" t="s">
        <v>9</v>
      </c>
      <c r="AA4" s="60" t="s">
        <v>1</v>
      </c>
      <c r="AB4" s="60" t="s">
        <v>10</v>
      </c>
      <c r="AC4" s="60" t="s">
        <v>11</v>
      </c>
      <c r="AD4" s="60" t="s">
        <v>17</v>
      </c>
      <c r="AE4" s="60" t="s">
        <v>233</v>
      </c>
      <c r="AG4" s="60" t="s">
        <v>9</v>
      </c>
      <c r="AH4" s="60" t="s">
        <v>1</v>
      </c>
      <c r="AI4" s="60" t="s">
        <v>10</v>
      </c>
      <c r="AJ4" s="60" t="s">
        <v>11</v>
      </c>
      <c r="AK4" s="60" t="s">
        <v>17</v>
      </c>
      <c r="AL4" s="60" t="s">
        <v>233</v>
      </c>
      <c r="AN4" s="60" t="s">
        <v>9</v>
      </c>
      <c r="AO4" s="60" t="s">
        <v>1</v>
      </c>
      <c r="AP4" s="60" t="s">
        <v>10</v>
      </c>
      <c r="AQ4" s="60" t="s">
        <v>11</v>
      </c>
      <c r="AR4" s="60" t="s">
        <v>17</v>
      </c>
      <c r="AS4" s="60" t="s">
        <v>233</v>
      </c>
      <c r="AU4" s="60" t="s">
        <v>9</v>
      </c>
      <c r="AV4" s="60" t="s">
        <v>1</v>
      </c>
      <c r="AW4" s="60" t="s">
        <v>10</v>
      </c>
      <c r="AX4" s="60" t="s">
        <v>11</v>
      </c>
      <c r="AY4" s="60" t="s">
        <v>17</v>
      </c>
      <c r="AZ4" s="60" t="s">
        <v>233</v>
      </c>
      <c r="BB4" s="60" t="s">
        <v>9</v>
      </c>
      <c r="BC4" s="60" t="s">
        <v>1</v>
      </c>
      <c r="BD4" s="60" t="s">
        <v>10</v>
      </c>
      <c r="BE4" s="60" t="s">
        <v>11</v>
      </c>
      <c r="BF4" s="60" t="s">
        <v>17</v>
      </c>
      <c r="BG4" s="60" t="s">
        <v>233</v>
      </c>
      <c r="BI4" s="60" t="s">
        <v>9</v>
      </c>
      <c r="BJ4" s="60" t="s">
        <v>1</v>
      </c>
      <c r="BK4" s="60" t="s">
        <v>10</v>
      </c>
      <c r="BL4" s="60" t="s">
        <v>11</v>
      </c>
      <c r="BM4" s="60" t="s">
        <v>17</v>
      </c>
      <c r="BN4" s="60" t="s">
        <v>233</v>
      </c>
      <c r="BP4" s="60" t="s">
        <v>9</v>
      </c>
      <c r="BQ4" s="60" t="s">
        <v>1</v>
      </c>
      <c r="BR4" s="60" t="s">
        <v>10</v>
      </c>
      <c r="BS4" s="60" t="s">
        <v>11</v>
      </c>
      <c r="BT4" s="60" t="s">
        <v>17</v>
      </c>
      <c r="BU4" s="60" t="s">
        <v>233</v>
      </c>
    </row>
    <row r="5" spans="2:73" x14ac:dyDescent="0.35">
      <c r="B5" s="2" t="s">
        <v>94</v>
      </c>
      <c r="C5" s="65">
        <f>G3</f>
        <v>31499825</v>
      </c>
      <c r="E5" s="61" cm="1">
        <f t="array" ref="E5:J18">_xlfn.CHOOSECOLS(_xlfn._xlws.FILTER(STATEMENT!A3:H5027,STATEMENT!H3:H5027="DGI"),1,2,4,6,7,8)</f>
        <v>46034</v>
      </c>
      <c r="F5" s="2" t="str">
        <v>DGI</v>
      </c>
      <c r="G5" s="7">
        <v>10300265</v>
      </c>
      <c r="H5" s="2">
        <v>0</v>
      </c>
      <c r="I5" s="2" t="str">
        <v>DECLARATION IMPOT DEC 2025</v>
      </c>
      <c r="J5" s="2" t="str">
        <v>DGI</v>
      </c>
      <c r="L5" s="61" cm="1">
        <f t="array" ref="L5:Q5">_xlfn.CHOOSECOLS(_xlfn._xlws.FILTER(STATEMENT!A3:H5027,STATEMENT!H3:H5027="PURCHASE/ PP BAGS"),1,2,4,6,7,8)</f>
        <v>46093</v>
      </c>
      <c r="M5" s="2" t="str">
        <v>AFRICA ROUTE</v>
      </c>
      <c r="N5" s="7">
        <v>5340000</v>
      </c>
      <c r="O5" s="2">
        <v>5447264</v>
      </c>
      <c r="P5" s="2" t="str">
        <v>ACHAT PP BAGS AFFRICA ROUTE / FACTURE EM1060296-108/ MONTANT 1.940  _ FACTURE EM1060296-105/MONTANT 3.400K</v>
      </c>
      <c r="Q5" s="2" t="str">
        <v>PURCHASE/ PP BAGS</v>
      </c>
      <c r="S5" s="61" cm="1">
        <f t="array" ref="S5:X5">_xlfn.CHOOSECOLS(_xlfn._xlws.FILTER(STATEMENT!A3:H5027,STATEMENT!H3:H5027="PURCHASE/ FLEXITANK"),1,2,4,6,7,8)</f>
        <v>46059</v>
      </c>
      <c r="T5" s="2" t="str">
        <v>REGLEMENT REMISE DOCUMENTAIRE</v>
      </c>
      <c r="U5" s="7">
        <v>43280268</v>
      </c>
      <c r="V5" s="2">
        <v>0</v>
      </c>
      <c r="W5" s="2" t="str">
        <v>PHILTON POLYTHENE CONVERTERS (IMPORTATION DE FLEXI TANK)_ OOLU2316179190</v>
      </c>
      <c r="X5" s="2" t="str">
        <v>PURCHASE/ FLEXITANK</v>
      </c>
      <c r="Z5" s="61" cm="1">
        <f t="array" ref="Z5:AE10">_xlfn.CHOOSECOLS(_xlfn._xlws.FILTER(STATEMENT!A3:H5027,STATEMENT!H3:H5027="PURCHASE/ HEXANE"),1,2,4,6,7,8)</f>
        <v>46048</v>
      </c>
      <c r="AA5" s="2" t="str">
        <v>REGLEMENT REMISE DOCUMENTAIRE</v>
      </c>
      <c r="AB5" s="7">
        <v>12910170</v>
      </c>
      <c r="AC5" s="2">
        <v>0</v>
      </c>
      <c r="AD5" s="2" t="str">
        <v>KH CHEMICAL (IMPORT OF HEXANE)_HLCURTM251200745</v>
      </c>
      <c r="AE5" s="2" t="str">
        <v>PURCHASE/ HEXANE</v>
      </c>
      <c r="AG5" s="61" cm="1">
        <f t="array" ref="AG5:AL8">_xlfn.CHOOSECOLS(_xlfn._xlws.FILTER(STATEMENT!A3:H5027,STATEMENT!H3:H5027="PURCHASE/ OTHERS"),1,2,4,6,7,8)</f>
        <v>46041</v>
      </c>
      <c r="AH5" s="2" t="str">
        <v>ETS JKM EDITION</v>
      </c>
      <c r="AI5" s="7">
        <v>154715</v>
      </c>
      <c r="AJ5" s="2">
        <v>5447240</v>
      </c>
      <c r="AK5" s="2" t="str">
        <v>ACHAT DE FOURNITURE_No facture EM1072646-610</v>
      </c>
      <c r="AL5" s="2" t="str">
        <v>PURCHASE/ OTHERS</v>
      </c>
      <c r="AN5" s="61" cm="1">
        <f t="array" ref="AN5:AS24">_xlfn.CHOOSECOLS(_xlfn._xlws.FILTER(STATEMENT!A3:H5027,STATEMENT!H3:H5027="LABOUR WORK"),1,2,4,6,7,8)</f>
        <v>46041</v>
      </c>
      <c r="AO5" s="2" t="str">
        <v>IDRISSOU APHISSOU</v>
      </c>
      <c r="AP5" s="7">
        <v>774522</v>
      </c>
      <c r="AQ5" s="2">
        <v>5447242</v>
      </c>
      <c r="AR5" s="2" t="str">
        <v>OLABI LABOUR (COTTON-UD CAKE-SHEA NUT)</v>
      </c>
      <c r="AS5" s="2" t="str">
        <v>LABOUR WORK</v>
      </c>
      <c r="AU5" s="61" cm="1">
        <f t="array" ref="AU5:AZ12">_xlfn.CHOOSECOLS(_xlfn._xlws.FILTER(STATEMENT!A3:H5027,STATEMENT!H3:H5027="TRANSPORT/COTTON SEED"),1,2,4,6,7,8)</f>
        <v>46045</v>
      </c>
      <c r="AV5" s="2" t="str">
        <v>CERCLE DE DIEU</v>
      </c>
      <c r="AW5" s="7">
        <v>3000000</v>
      </c>
      <c r="AX5" s="2">
        <v>5447245</v>
      </c>
      <c r="AY5" s="2" t="str">
        <v>COTTON SEED TRANSPORT/ELIE</v>
      </c>
      <c r="AZ5" s="2" t="str">
        <v>TRANSPORT/COTTON SEED</v>
      </c>
      <c r="BB5" s="61" cm="1">
        <f t="array" ref="BB5:BG14">_xlfn.CHOOSECOLS(_xlfn._xlws.FILTER(STATEMENT!A3:H5027,STATEMENT!H3:H5027="HOUSE RENT"),1,2,4,6,7,8)</f>
        <v>46034</v>
      </c>
      <c r="BC5" s="2" t="str">
        <v>ABOKI M. DIDER</v>
      </c>
      <c r="BD5" s="7">
        <v>1200000</v>
      </c>
      <c r="BE5" s="2">
        <v>5447238</v>
      </c>
      <c r="BF5" s="2" t="str">
        <v xml:space="preserve">HOUSE RENT OF GLO </v>
      </c>
      <c r="BG5" s="2" t="str">
        <v>HOUSE RENT</v>
      </c>
      <c r="BI5" s="61" cm="1">
        <f t="array" ref="BI5:BN26">_xlfn.CHOOSECOLS(_xlfn._xlws.FILTER(STATEMENT!A3:H5027,STATEMENT!H3:H5027="SERVICE"),1,2,4,6,7,8)</f>
        <v>46029</v>
      </c>
      <c r="BJ5" s="2" t="str">
        <v>ABDULSALAM OLAKOUNLE ABDULJELIL</v>
      </c>
      <c r="BK5" s="7">
        <v>2000000</v>
      </c>
      <c r="BL5" s="2">
        <v>5447235</v>
      </c>
      <c r="BM5" s="2" t="str">
        <v>ODJE NIGERIA CONTRACTOR ( ALL TANK FABRICATION)</v>
      </c>
      <c r="BN5" s="2" t="str">
        <v>SERVICE</v>
      </c>
      <c r="BP5" s="61" cm="1">
        <f t="array" ref="BP5:BU6">_xlfn.CHOOSECOLS(_xlfn._xlws.FILTER(STATEMENT!A3:H5027,STATEMENT!H3:H5027="CONSTRUCTION"),1,2,4,6,7,8)</f>
        <v>46246</v>
      </c>
      <c r="BQ5" s="2" t="str">
        <v>VOYELO FINANGNON</v>
      </c>
      <c r="BR5" s="7">
        <v>11000000</v>
      </c>
      <c r="BS5" s="2">
        <v>5822140</v>
      </c>
      <c r="BT5" s="2" t="str">
        <v>TANK FORM - SOAP PIT AREA - PARKING</v>
      </c>
      <c r="BU5" s="2" t="str">
        <v>CONSTRUCTION</v>
      </c>
    </row>
    <row r="6" spans="2:73" x14ac:dyDescent="0.35">
      <c r="B6" s="2" t="s">
        <v>232</v>
      </c>
      <c r="C6" s="65">
        <f>N3</f>
        <v>5340000</v>
      </c>
      <c r="E6" s="61">
        <v>46034</v>
      </c>
      <c r="F6" s="2" t="str">
        <v>DGI</v>
      </c>
      <c r="G6" s="7">
        <v>575278</v>
      </c>
      <c r="H6" s="2">
        <v>0</v>
      </c>
      <c r="I6" s="2">
        <v>0</v>
      </c>
      <c r="J6" s="2" t="str">
        <v>DGI</v>
      </c>
      <c r="L6" s="61"/>
      <c r="M6" s="2"/>
      <c r="N6" s="7"/>
      <c r="O6" s="2"/>
      <c r="P6" s="2"/>
      <c r="Q6" s="2"/>
      <c r="S6" s="61"/>
      <c r="T6" s="2"/>
      <c r="U6" s="7"/>
      <c r="V6" s="2"/>
      <c r="W6" s="2"/>
      <c r="X6" s="2"/>
      <c r="Z6" s="61">
        <v>46097</v>
      </c>
      <c r="AA6" s="2" t="str">
        <v>ETS OCAMISS</v>
      </c>
      <c r="AB6" s="7">
        <v>327100</v>
      </c>
      <c r="AC6" s="2">
        <v>5447261</v>
      </c>
      <c r="AD6" s="2" t="str">
        <v>CHEMICAL PURCHAS</v>
      </c>
      <c r="AE6" s="2" t="str">
        <v>PURCHASE/ HEXANE</v>
      </c>
      <c r="AG6" s="61">
        <v>46044</v>
      </c>
      <c r="AH6" s="2" t="str">
        <v>NOCIBE</v>
      </c>
      <c r="AI6" s="7">
        <v>2471134</v>
      </c>
      <c r="AJ6" s="2">
        <v>5662541</v>
      </c>
      <c r="AK6" s="2" t="str">
        <v>ACHAT DE CIMENT / COMPTE ARMEL/ PROJET 11 ETP PLANT</v>
      </c>
      <c r="AL6" s="2" t="str">
        <v>PURCHASE/ OTHERS</v>
      </c>
      <c r="AN6" s="61">
        <v>46045</v>
      </c>
      <c r="AO6" s="2" t="str">
        <v>ETS DOS ESPOIR ET FILS</v>
      </c>
      <c r="AP6" s="7">
        <v>2000000</v>
      </c>
      <c r="AQ6" s="2">
        <v>5447243</v>
      </c>
      <c r="AR6" s="2" t="str">
        <v xml:space="preserve">LABOUR WORK </v>
      </c>
      <c r="AS6" s="2" t="str">
        <v>LABOUR WORK</v>
      </c>
      <c r="AU6" s="61">
        <v>46050</v>
      </c>
      <c r="AV6" s="2" t="str">
        <v>EDS TRADE AND MORE (GABIN LCB)</v>
      </c>
      <c r="AW6" s="7">
        <v>5000000</v>
      </c>
      <c r="AX6" s="2">
        <v>5447247</v>
      </c>
      <c r="AY6" s="2" t="str">
        <v>COTTON SEED TRANSPORT/GABIN</v>
      </c>
      <c r="AZ6" s="2" t="str">
        <v>TRANSPORT/COTTON SEED</v>
      </c>
      <c r="BB6" s="61">
        <v>46036</v>
      </c>
      <c r="BC6" s="2" t="str">
        <v>VASWAMI MANOJ LAKHI (STE ASHASONU)</v>
      </c>
      <c r="BD6" s="7">
        <v>2640000</v>
      </c>
      <c r="BE6" s="2">
        <v>5447237</v>
      </c>
      <c r="BF6" s="2" t="str">
        <v>LOYER MAGASIN SEKOU</v>
      </c>
      <c r="BG6" s="2" t="str">
        <v>HOUSE RENT</v>
      </c>
      <c r="BI6" s="61">
        <v>46041</v>
      </c>
      <c r="BJ6" s="2" t="str">
        <v>DOSSA SEMADO EUSTACHE RENE</v>
      </c>
      <c r="BK6" s="7">
        <v>4255000</v>
      </c>
      <c r="BL6" s="2">
        <v>5447241</v>
      </c>
      <c r="BM6" s="2" t="str">
        <v>TRAVAUX MISE EN TERRE_ 37 PRISES_UNITE 115K.</v>
      </c>
      <c r="BN6" s="2" t="str">
        <v>SERVICE</v>
      </c>
      <c r="BP6" s="61">
        <v>46261</v>
      </c>
      <c r="BQ6" s="2" t="str">
        <v>AHOUANSOTODE BAUDELAIRE AIME</v>
      </c>
      <c r="BR6" s="7">
        <v>500000</v>
      </c>
      <c r="BS6" s="2">
        <v>5822171</v>
      </c>
      <c r="BT6" s="2" t="str">
        <v>ROOFING BOILER</v>
      </c>
      <c r="BU6" s="2" t="str">
        <v>CONSTRUCTION</v>
      </c>
    </row>
    <row r="7" spans="2:73" x14ac:dyDescent="0.35">
      <c r="B7" s="2" t="s">
        <v>231</v>
      </c>
      <c r="C7" s="65">
        <f>U3</f>
        <v>43280268</v>
      </c>
      <c r="E7" s="61">
        <v>46065</v>
      </c>
      <c r="F7" s="2" t="str">
        <v>DGI</v>
      </c>
      <c r="G7" s="7">
        <v>575155</v>
      </c>
      <c r="H7" s="2">
        <v>0</v>
      </c>
      <c r="I7" s="2">
        <v>0</v>
      </c>
      <c r="J7" s="2" t="str">
        <v>DGI</v>
      </c>
      <c r="L7" s="61"/>
      <c r="M7" s="2"/>
      <c r="N7" s="7"/>
      <c r="O7" s="2"/>
      <c r="P7" s="2"/>
      <c r="Q7" s="2"/>
      <c r="S7" s="61"/>
      <c r="T7" s="2"/>
      <c r="U7" s="7"/>
      <c r="V7" s="2"/>
      <c r="W7" s="2"/>
      <c r="X7" s="2"/>
      <c r="Z7" s="61">
        <v>46120</v>
      </c>
      <c r="AA7" s="2" t="str">
        <v>SUPER SONIC</v>
      </c>
      <c r="AB7" s="7">
        <v>428400</v>
      </c>
      <c r="AC7" s="2">
        <v>5447283</v>
      </c>
      <c r="AD7" s="2" t="str">
        <v>DRUM HYDRAULIC PURCHASE</v>
      </c>
      <c r="AE7" s="2" t="str">
        <v>PURCHASE/ HEXANE</v>
      </c>
      <c r="AG7" s="61">
        <v>46056</v>
      </c>
      <c r="AH7" s="2" t="str">
        <v>STE UNITED TRADEX SARL</v>
      </c>
      <c r="AI7" s="7">
        <v>1070000</v>
      </c>
      <c r="AJ7" s="2">
        <v>5447248</v>
      </c>
      <c r="AK7" s="2" t="str">
        <v>ACHAT DE MOTO</v>
      </c>
      <c r="AL7" s="2" t="str">
        <v>PURCHASE/ OTHERS</v>
      </c>
      <c r="AN7" s="61">
        <v>46049</v>
      </c>
      <c r="AO7" s="2" t="str">
        <v>ETS DOS ESPOIR ET FILS</v>
      </c>
      <c r="AP7" s="7">
        <v>1000000</v>
      </c>
      <c r="AQ7" s="2">
        <v>5447246</v>
      </c>
      <c r="AR7" s="2" t="str">
        <v xml:space="preserve">LABOUR WORK </v>
      </c>
      <c r="AS7" s="2" t="str">
        <v>LABOUR WORK</v>
      </c>
      <c r="AU7" s="61">
        <v>46052</v>
      </c>
      <c r="AV7" s="2" t="str">
        <v>CERCLE DE DIEU</v>
      </c>
      <c r="AW7" s="7">
        <v>9000000</v>
      </c>
      <c r="AX7" s="2">
        <v>5447249</v>
      </c>
      <c r="AY7" s="2" t="str">
        <v>COTTON SEED TRANSPORT/ELIE</v>
      </c>
      <c r="AZ7" s="2" t="str">
        <v>TRANSPORT/COTTON SEED</v>
      </c>
      <c r="BB7" s="61">
        <v>46038</v>
      </c>
      <c r="BC7" s="2" t="str">
        <v>HOUESSOU GBETOHO EZECKIEL</v>
      </c>
      <c r="BD7" s="7">
        <v>660000</v>
      </c>
      <c r="BE7" s="2">
        <v>5447239</v>
      </c>
      <c r="BF7" s="2" t="str">
        <v>LOYER MAISON M. RAJ KUMAR</v>
      </c>
      <c r="BG7" s="2" t="str">
        <v>HOUSE RENT</v>
      </c>
      <c r="BI7" s="61">
        <v>46056</v>
      </c>
      <c r="BJ7" s="2" t="str">
        <v>ACE GLOBAL</v>
      </c>
      <c r="BK7" s="7">
        <v>2134000</v>
      </c>
      <c r="BL7" s="2">
        <v>5447250</v>
      </c>
      <c r="BM7" s="2" t="str">
        <v>Paiement de facture Novembre 2025 (Ref ) et Decembre 2024 (Ref )</v>
      </c>
      <c r="BN7" s="2" t="str">
        <v>SERVICE</v>
      </c>
      <c r="BP7" s="61"/>
      <c r="BQ7" s="2"/>
      <c r="BR7" s="7"/>
      <c r="BS7" s="2"/>
      <c r="BT7" s="2"/>
      <c r="BU7" s="2"/>
    </row>
    <row r="8" spans="2:73" x14ac:dyDescent="0.35">
      <c r="B8" s="2" t="s">
        <v>260</v>
      </c>
      <c r="C8" s="70">
        <f>AB3</f>
        <v>28233940</v>
      </c>
      <c r="E8" s="61">
        <v>46065</v>
      </c>
      <c r="F8" s="2" t="str">
        <v>DGI</v>
      </c>
      <c r="G8" s="7">
        <v>36419</v>
      </c>
      <c r="H8" s="2">
        <v>0</v>
      </c>
      <c r="I8" s="2">
        <v>0</v>
      </c>
      <c r="J8" s="2" t="str">
        <v>DGI</v>
      </c>
      <c r="L8" s="61"/>
      <c r="M8" s="2"/>
      <c r="N8" s="7"/>
      <c r="O8" s="2"/>
      <c r="P8" s="2"/>
      <c r="Q8" s="2"/>
      <c r="S8" s="61"/>
      <c r="T8" s="2"/>
      <c r="U8" s="7"/>
      <c r="V8" s="2"/>
      <c r="W8" s="2"/>
      <c r="X8" s="2"/>
      <c r="Z8" s="61">
        <v>46125</v>
      </c>
      <c r="AA8" s="2" t="str">
        <v>REGLEMENT REMISE DOCUMENTAIRE</v>
      </c>
      <c r="AB8" s="7">
        <v>12910170</v>
      </c>
      <c r="AC8" s="2">
        <v>0</v>
      </c>
      <c r="AD8" s="2" t="str">
        <v>KH CHEMICAL (IMPORT OF HEXANE)_263903490</v>
      </c>
      <c r="AE8" s="2" t="str">
        <v>PURCHASE/ HEXANE</v>
      </c>
      <c r="AG8" s="61">
        <v>46210</v>
      </c>
      <c r="AH8" s="2" t="str">
        <v>NOCIBE</v>
      </c>
      <c r="AI8" s="7">
        <v>2471134</v>
      </c>
      <c r="AJ8" s="2">
        <v>5822128</v>
      </c>
      <c r="AK8" s="2" t="str">
        <v>ACHAT DE CIMENT / COMPTE ARMEL/ PROJET 11 ETP PLANT</v>
      </c>
      <c r="AL8" s="2" t="str">
        <v>PURCHASE/ OTHERS</v>
      </c>
      <c r="AN8" s="61">
        <v>46055</v>
      </c>
      <c r="AO8" s="2" t="str">
        <v>IDRISSOU APHISSOU</v>
      </c>
      <c r="AP8" s="7">
        <v>3000000</v>
      </c>
      <c r="AQ8" s="2">
        <v>5447252</v>
      </c>
      <c r="AR8" s="2" t="str">
        <v>OLABI LABOUR SOYA ACC</v>
      </c>
      <c r="AS8" s="2" t="str">
        <v>LABOUR WORK</v>
      </c>
      <c r="AU8" s="61">
        <v>46093</v>
      </c>
      <c r="AV8" s="2" t="str">
        <v>CERCLE DE DIEU</v>
      </c>
      <c r="AW8" s="7">
        <v>7500000</v>
      </c>
      <c r="AX8" s="2">
        <v>5447260</v>
      </c>
      <c r="AY8" s="2" t="str">
        <v>COTTON SEED TRANSPORT/ELIE</v>
      </c>
      <c r="AZ8" s="2" t="str">
        <v>TRANSPORT/COTTON SEED</v>
      </c>
      <c r="BB8" s="61">
        <v>46062</v>
      </c>
      <c r="BC8" s="2" t="str">
        <v>AJEYA BABU NARALASETTI</v>
      </c>
      <c r="BD8" s="7">
        <v>250000</v>
      </c>
      <c r="BE8" s="2">
        <v>5447254</v>
      </c>
      <c r="BF8" s="2" t="str">
        <v>LOCAL ALLOWNESS FEVRIER</v>
      </c>
      <c r="BG8" s="2" t="str">
        <v>HOUSE RENT</v>
      </c>
      <c r="BI8" s="61">
        <v>46126</v>
      </c>
      <c r="BJ8" s="2" t="str">
        <v>HELIOS SECURITY SERVICES SARL</v>
      </c>
      <c r="BK8" s="7">
        <v>349200</v>
      </c>
      <c r="BL8" s="2">
        <v>5447292</v>
      </c>
      <c r="BM8" s="2" t="str">
        <v>SECURITY GDIZ</v>
      </c>
      <c r="BN8" s="2" t="str">
        <v>SERVICE</v>
      </c>
      <c r="BP8" s="61"/>
      <c r="BQ8" s="2"/>
      <c r="BR8" s="7"/>
      <c r="BS8" s="2"/>
      <c r="BT8" s="2"/>
      <c r="BU8" s="2"/>
    </row>
    <row r="9" spans="2:73" x14ac:dyDescent="0.35">
      <c r="B9" s="2" t="s">
        <v>229</v>
      </c>
      <c r="C9" s="65">
        <f>AI3</f>
        <v>6166983</v>
      </c>
      <c r="E9" s="61">
        <v>46091</v>
      </c>
      <c r="F9" s="2" t="str">
        <v>DGI</v>
      </c>
      <c r="G9" s="7">
        <v>13776224</v>
      </c>
      <c r="H9" s="2">
        <v>0</v>
      </c>
      <c r="I9" s="2">
        <v>0</v>
      </c>
      <c r="J9" s="2" t="str">
        <v>DGI</v>
      </c>
      <c r="L9" s="61"/>
      <c r="M9" s="2"/>
      <c r="N9" s="7"/>
      <c r="O9" s="2"/>
      <c r="P9" s="2"/>
      <c r="Q9" s="2"/>
      <c r="S9" s="61"/>
      <c r="T9" s="2"/>
      <c r="U9" s="7"/>
      <c r="V9" s="2"/>
      <c r="W9" s="2"/>
      <c r="X9" s="2"/>
      <c r="Z9" s="61">
        <v>46212</v>
      </c>
      <c r="AA9" s="2" t="str">
        <v>ETS OCAMISS</v>
      </c>
      <c r="AB9" s="7">
        <v>465600</v>
      </c>
      <c r="AC9" s="2">
        <v>5822131</v>
      </c>
      <c r="AD9" s="2" t="str">
        <v>ACHAT DE PRODUIT CHIMIQUE</v>
      </c>
      <c r="AE9" s="2" t="str">
        <v>PURCHASE/ HEXANE</v>
      </c>
      <c r="AG9" s="61"/>
      <c r="AH9" s="2"/>
      <c r="AI9" s="7"/>
      <c r="AJ9" s="2"/>
      <c r="AK9" s="2"/>
      <c r="AL9" s="2"/>
      <c r="AN9" s="61">
        <v>46055</v>
      </c>
      <c r="AO9" s="2" t="str">
        <v>IDRISSOU APHISSOU</v>
      </c>
      <c r="AP9" s="7">
        <v>2630430</v>
      </c>
      <c r="AQ9" s="2">
        <v>5447251</v>
      </c>
      <c r="AR9" s="2" t="str">
        <v>OLABI LABOUR COTTON- UD CAKE- SHEA</v>
      </c>
      <c r="AS9" s="2" t="str">
        <v>LABOUR WORK</v>
      </c>
      <c r="AU9" s="61">
        <v>46112</v>
      </c>
      <c r="AV9" s="2" t="str">
        <v>CERCLE DE DIEU</v>
      </c>
      <c r="AW9" s="7">
        <v>10000000</v>
      </c>
      <c r="AX9" s="2">
        <v>5447281</v>
      </c>
      <c r="AY9" s="2" t="str">
        <v>COTTON SEED TRANSPORT/ AVANCE TRANSPORT NIKKI</v>
      </c>
      <c r="AZ9" s="2" t="str">
        <v>TRANSPORT/COTTON SEED</v>
      </c>
      <c r="BB9" s="61">
        <v>46120</v>
      </c>
      <c r="BC9" s="2" t="str">
        <v>KPATINDE AKODEA EMMANUEL</v>
      </c>
      <c r="BD9" s="7">
        <v>1260000</v>
      </c>
      <c r="BE9" s="2">
        <v>5447279</v>
      </c>
      <c r="BF9" s="2" t="str">
        <v>HOUSE RENT OF AJAY BABO MACH TO AUGUST</v>
      </c>
      <c r="BG9" s="2" t="str">
        <v>HOUSE RENT</v>
      </c>
      <c r="BI9" s="61">
        <v>46203</v>
      </c>
      <c r="BJ9" s="2" t="str">
        <v>MANGLAM TOURS ET TRAVELS</v>
      </c>
      <c r="BK9" s="7">
        <v>9012200</v>
      </c>
      <c r="BL9" s="2">
        <v>5822121</v>
      </c>
      <c r="BM9" s="2" t="str">
        <v>FORMALITES DE VOYAGE</v>
      </c>
      <c r="BN9" s="2" t="str">
        <v>SERVICE</v>
      </c>
      <c r="BP9" s="61"/>
      <c r="BQ9" s="2"/>
      <c r="BR9" s="7"/>
      <c r="BS9" s="2"/>
      <c r="BT9" s="2"/>
      <c r="BU9" s="2"/>
    </row>
    <row r="10" spans="2:73" x14ac:dyDescent="0.35">
      <c r="B10" s="2" t="s">
        <v>113</v>
      </c>
      <c r="C10" s="65">
        <f>AP3</f>
        <v>26106222</v>
      </c>
      <c r="E10" s="61">
        <v>46091</v>
      </c>
      <c r="F10" s="2" t="str">
        <v>DGI</v>
      </c>
      <c r="G10" s="7">
        <v>496433</v>
      </c>
      <c r="H10" s="2">
        <v>0</v>
      </c>
      <c r="I10" s="2">
        <v>0</v>
      </c>
      <c r="J10" s="2" t="str">
        <v>DGI</v>
      </c>
      <c r="L10" s="61"/>
      <c r="M10" s="2"/>
      <c r="N10" s="7"/>
      <c r="O10" s="2"/>
      <c r="P10" s="2"/>
      <c r="Q10" s="2"/>
      <c r="S10" s="61"/>
      <c r="T10" s="2"/>
      <c r="U10" s="7"/>
      <c r="V10" s="2"/>
      <c r="W10" s="2"/>
      <c r="X10" s="2"/>
      <c r="Z10" s="61">
        <v>46254</v>
      </c>
      <c r="AA10" s="2" t="str">
        <v>ETS OCAMISS</v>
      </c>
      <c r="AB10" s="7">
        <v>1192500</v>
      </c>
      <c r="AC10" s="2">
        <v>5822155</v>
      </c>
      <c r="AD10" s="2" t="str">
        <v>ACHAT DE PRODUIT CHIMIQUE</v>
      </c>
      <c r="AE10" s="2" t="str">
        <v>PURCHASE/ HEXANE</v>
      </c>
      <c r="AG10" s="61"/>
      <c r="AH10" s="2"/>
      <c r="AI10" s="7"/>
      <c r="AJ10" s="2"/>
      <c r="AK10" s="2"/>
      <c r="AL10" s="2"/>
      <c r="AN10" s="61">
        <v>46057</v>
      </c>
      <c r="AO10" s="2" t="str">
        <v>ETS DOS ESPOIR ET FILS</v>
      </c>
      <c r="AP10" s="7">
        <v>594760</v>
      </c>
      <c r="AQ10" s="2">
        <v>5447253</v>
      </c>
      <c r="AR10" s="2" t="str">
        <v xml:space="preserve">LABOUR WORK </v>
      </c>
      <c r="AS10" s="2" t="str">
        <v>LABOUR WORK</v>
      </c>
      <c r="AU10" s="61">
        <v>46112</v>
      </c>
      <c r="AV10" s="2" t="str">
        <v>CERCLE DE DIEU</v>
      </c>
      <c r="AW10" s="7">
        <v>4496460</v>
      </c>
      <c r="AX10" s="2">
        <v>5447282</v>
      </c>
      <c r="AY10" s="2" t="str">
        <v>COTTON SEED TRANSPORT / SOLD ANCIEN COMPTE</v>
      </c>
      <c r="AZ10" s="2" t="str">
        <v>TRANSPORT/COTTON SEED</v>
      </c>
      <c r="BB10" s="61">
        <v>46125</v>
      </c>
      <c r="BC10" s="2" t="str">
        <v>ABOKI M. DIDER</v>
      </c>
      <c r="BD10" s="7">
        <v>1200000</v>
      </c>
      <c r="BE10" s="2">
        <v>5447289</v>
      </c>
      <c r="BF10" s="2" t="str">
        <v>RENT OF GLO HOUSE MARCH TO SEPT</v>
      </c>
      <c r="BG10" s="2" t="str">
        <v>HOUSE RENT</v>
      </c>
      <c r="BI10" s="61">
        <v>46212</v>
      </c>
      <c r="BJ10" s="2" t="str">
        <v>ETS KOKO SUPER</v>
      </c>
      <c r="BK10" s="7">
        <v>2381000</v>
      </c>
      <c r="BL10" s="2">
        <v>5822133</v>
      </c>
      <c r="BM10" s="2" t="str">
        <v>INSTALLATION PARA SOL ET TONNERE</v>
      </c>
      <c r="BN10" s="2" t="str">
        <v>SERVICE</v>
      </c>
      <c r="BP10" s="61"/>
      <c r="BQ10" s="2"/>
      <c r="BR10" s="7"/>
      <c r="BS10" s="2"/>
      <c r="BT10" s="2"/>
      <c r="BU10" s="2"/>
    </row>
    <row r="11" spans="2:73" x14ac:dyDescent="0.35">
      <c r="B11" s="2" t="s">
        <v>213</v>
      </c>
      <c r="C11" s="65">
        <f>AW3</f>
        <v>41420260</v>
      </c>
      <c r="E11" s="61">
        <v>46091</v>
      </c>
      <c r="F11" s="2" t="str">
        <v>DGI</v>
      </c>
      <c r="G11" s="7">
        <v>57600</v>
      </c>
      <c r="H11" s="2">
        <v>0</v>
      </c>
      <c r="I11" s="2">
        <v>0</v>
      </c>
      <c r="J11" s="2" t="str">
        <v>DGI</v>
      </c>
      <c r="L11" s="61"/>
      <c r="M11" s="2"/>
      <c r="N11" s="7"/>
      <c r="O11" s="2"/>
      <c r="P11" s="2"/>
      <c r="Q11" s="2"/>
      <c r="S11" s="61"/>
      <c r="T11" s="2"/>
      <c r="U11" s="7"/>
      <c r="V11" s="2"/>
      <c r="W11" s="2"/>
      <c r="X11" s="2"/>
      <c r="Z11" s="61"/>
      <c r="AA11" s="2"/>
      <c r="AB11" s="7"/>
      <c r="AC11" s="2"/>
      <c r="AD11" s="2"/>
      <c r="AE11" s="2"/>
      <c r="AG11" s="61"/>
      <c r="AH11" s="2"/>
      <c r="AI11" s="7"/>
      <c r="AJ11" s="2"/>
      <c r="AK11" s="2"/>
      <c r="AL11" s="2"/>
      <c r="AN11" s="61">
        <v>46062</v>
      </c>
      <c r="AO11" s="2" t="str">
        <v>IDRISSOU APHISSOU</v>
      </c>
      <c r="AP11" s="7">
        <v>2960667</v>
      </c>
      <c r="AQ11" s="2">
        <v>5447255</v>
      </c>
      <c r="AR11" s="2" t="str">
        <v>OLABI LABOUR COTTON- UD CAKE- SHEA</v>
      </c>
      <c r="AS11" s="2" t="str">
        <v>LABOUR WORK</v>
      </c>
      <c r="AU11" s="61">
        <v>46115</v>
      </c>
      <c r="AV11" s="2" t="str">
        <v>BON BERGER</v>
      </c>
      <c r="AW11" s="7">
        <v>2384300</v>
      </c>
      <c r="AX11" s="2">
        <v>5447278</v>
      </c>
      <c r="AY11" s="2" t="str">
        <v>COTTON SEED TRANSPORT</v>
      </c>
      <c r="AZ11" s="2" t="str">
        <v>TRANSPORT/COTTON SEED</v>
      </c>
      <c r="BB11" s="61">
        <v>46139</v>
      </c>
      <c r="BC11" s="2" t="str">
        <v>AJEYA BABU NARALASETTI</v>
      </c>
      <c r="BD11" s="7">
        <v>250000</v>
      </c>
      <c r="BE11" s="2">
        <v>5447300</v>
      </c>
      <c r="BF11" s="2" t="str">
        <v>HOUSE RENT OF AJEYA BABU APRIL</v>
      </c>
      <c r="BG11" s="2" t="str">
        <v>HOUSE RENT</v>
      </c>
      <c r="BI11" s="61">
        <v>46213</v>
      </c>
      <c r="BJ11" s="2" t="str">
        <v>HELIOS SECURITY SERVICES SARL</v>
      </c>
      <c r="BK11" s="7">
        <v>349200</v>
      </c>
      <c r="BL11" s="2">
        <v>5822134</v>
      </c>
      <c r="BM11" s="2" t="str">
        <v>SECURITY GDIZ</v>
      </c>
      <c r="BN11" s="2" t="str">
        <v>SERVICE</v>
      </c>
      <c r="BP11" s="61"/>
      <c r="BQ11" s="2"/>
      <c r="BR11" s="7"/>
      <c r="BS11" s="2"/>
      <c r="BT11" s="2"/>
      <c r="BU11" s="2"/>
    </row>
    <row r="12" spans="2:73" x14ac:dyDescent="0.35">
      <c r="B12" s="2" t="s">
        <v>212</v>
      </c>
      <c r="C12" s="65">
        <f>BD3</f>
        <v>9606800</v>
      </c>
      <c r="E12" s="61">
        <v>46125</v>
      </c>
      <c r="F12" s="2" t="str">
        <v>DGI</v>
      </c>
      <c r="G12" s="7">
        <v>1098946</v>
      </c>
      <c r="H12" s="2">
        <v>0</v>
      </c>
      <c r="I12" s="2">
        <v>0</v>
      </c>
      <c r="J12" s="2" t="str">
        <v>DGI</v>
      </c>
      <c r="L12" s="61"/>
      <c r="M12" s="2"/>
      <c r="N12" s="7"/>
      <c r="O12" s="2"/>
      <c r="P12" s="2"/>
      <c r="Q12" s="2"/>
      <c r="S12" s="61"/>
      <c r="T12" s="2"/>
      <c r="U12" s="7"/>
      <c r="V12" s="2"/>
      <c r="W12" s="2"/>
      <c r="X12" s="2"/>
      <c r="Z12" s="61"/>
      <c r="AA12" s="2"/>
      <c r="AB12" s="7"/>
      <c r="AC12" s="2"/>
      <c r="AD12" s="2"/>
      <c r="AE12" s="2"/>
      <c r="AG12" s="61"/>
      <c r="AH12" s="2"/>
      <c r="AI12" s="7"/>
      <c r="AJ12" s="2"/>
      <c r="AK12" s="2"/>
      <c r="AL12" s="2"/>
      <c r="AN12" s="61">
        <v>46112</v>
      </c>
      <c r="AO12" s="2" t="str">
        <v>ETS OLAITAN COMMUNICATION/ OLABI LABOUR</v>
      </c>
      <c r="AP12" s="7">
        <v>2000000</v>
      </c>
      <c r="AQ12" s="2">
        <v>5447272</v>
      </c>
      <c r="AR12" s="2" t="str">
        <v>OLABI LABOUR SOYA ACC</v>
      </c>
      <c r="AS12" s="2" t="str">
        <v>LABOUR WORK</v>
      </c>
      <c r="AU12" s="61">
        <v>46132</v>
      </c>
      <c r="AV12" s="2" t="str">
        <v>EDS TRADE AND MORE (GABIN LCB)</v>
      </c>
      <c r="AW12" s="7">
        <v>39500</v>
      </c>
      <c r="AX12" s="2">
        <v>5447288</v>
      </c>
      <c r="AY12" s="2" t="str">
        <v>COTTON SEED TRANSPORT/GABIN</v>
      </c>
      <c r="AZ12" s="2" t="str">
        <v>TRANSPORT/COTTON SEED</v>
      </c>
      <c r="BB12" s="61">
        <v>46216</v>
      </c>
      <c r="BC12" s="2" t="str">
        <v>ABOKY MIDOKPE DIDIER</v>
      </c>
      <c r="BD12" s="7">
        <v>1200000</v>
      </c>
      <c r="BE12" s="2">
        <v>5822136</v>
      </c>
      <c r="BF12" s="2" t="str">
        <v>LOYER MAISON GLO</v>
      </c>
      <c r="BG12" s="2" t="str">
        <v>HOUSE RENT</v>
      </c>
      <c r="BI12" s="61">
        <v>46212</v>
      </c>
      <c r="BJ12" s="2" t="str">
        <v>ITM BENIN</v>
      </c>
      <c r="BK12" s="7">
        <v>4383739</v>
      </c>
      <c r="BL12" s="2">
        <v>5822132</v>
      </c>
      <c r="BM12" s="2" t="str">
        <v>DOC/PREPARATORY/CHAUDIERE/ENTRETIEN/RAFINERIE/ FRAIS DE GESTION PERSONNEL</v>
      </c>
      <c r="BN12" s="2" t="str">
        <v>SERVICE</v>
      </c>
      <c r="BP12" s="61"/>
      <c r="BQ12" s="2"/>
      <c r="BR12" s="7"/>
      <c r="BS12" s="2"/>
      <c r="BT12" s="2"/>
      <c r="BU12" s="2"/>
    </row>
    <row r="13" spans="2:73" x14ac:dyDescent="0.35">
      <c r="B13" s="2" t="s">
        <v>230</v>
      </c>
      <c r="C13" s="65">
        <f>BK3</f>
        <v>121046321</v>
      </c>
      <c r="E13" s="61">
        <v>46154</v>
      </c>
      <c r="F13" s="2" t="str">
        <v>DGI</v>
      </c>
      <c r="G13" s="7">
        <v>504915</v>
      </c>
      <c r="H13" s="2">
        <v>0</v>
      </c>
      <c r="I13" s="2">
        <v>0</v>
      </c>
      <c r="J13" s="2" t="str">
        <v>DGI</v>
      </c>
      <c r="L13" s="61"/>
      <c r="M13" s="2"/>
      <c r="N13" s="7"/>
      <c r="O13" s="2"/>
      <c r="P13" s="2"/>
      <c r="Q13" s="2"/>
      <c r="S13" s="61"/>
      <c r="T13" s="2"/>
      <c r="U13" s="7"/>
      <c r="V13" s="2"/>
      <c r="W13" s="2"/>
      <c r="X13" s="2"/>
      <c r="Z13" s="61"/>
      <c r="AA13" s="2"/>
      <c r="AB13" s="7"/>
      <c r="AC13" s="2"/>
      <c r="AD13" s="2"/>
      <c r="AE13" s="2"/>
      <c r="AG13" s="61"/>
      <c r="AH13" s="2"/>
      <c r="AI13" s="7"/>
      <c r="AJ13" s="2"/>
      <c r="AK13" s="2"/>
      <c r="AL13" s="2"/>
      <c r="AN13" s="61">
        <v>46112</v>
      </c>
      <c r="AO13" s="2" t="str">
        <v>ETS OLAITAN COMMUNICATION/ OLABI LABOUR</v>
      </c>
      <c r="AP13" s="7">
        <v>788678</v>
      </c>
      <c r="AQ13" s="2">
        <v>5447271</v>
      </c>
      <c r="AR13" s="2" t="str">
        <v>OLABI LABOUR COTTON- UD CAKE- SHEA</v>
      </c>
      <c r="AS13" s="2" t="str">
        <v>LABOUR WORK</v>
      </c>
      <c r="AU13" s="61"/>
      <c r="AV13" s="2"/>
      <c r="AW13" s="7"/>
      <c r="AX13" s="2"/>
      <c r="AY13" s="2"/>
      <c r="AZ13" s="2"/>
      <c r="BB13" s="61">
        <v>46267</v>
      </c>
      <c r="BC13" s="2" t="str">
        <v>LOKOSSOU URBAIN</v>
      </c>
      <c r="BD13" s="7">
        <v>630000</v>
      </c>
      <c r="BE13" s="2">
        <v>5822182</v>
      </c>
      <c r="BF13" s="2" t="str">
        <v>HOUSE RENT SEPT-OCT-NOV 2026 : AJAY BABU</v>
      </c>
      <c r="BG13" s="2" t="str">
        <v>HOUSE RENT</v>
      </c>
      <c r="BI13" s="61">
        <v>46216</v>
      </c>
      <c r="BJ13" s="2" t="str">
        <v>SIAB SA</v>
      </c>
      <c r="BK13" s="7">
        <v>2995539</v>
      </c>
      <c r="BL13" s="2">
        <v>5822130</v>
      </c>
      <c r="BM13" s="2" t="str">
        <v>ACHAT DE FER A BETON 6/8/14 PC ARMEL_PROJECT 12 : TANK FORM - SOAP PIT AREA - PARKING</v>
      </c>
      <c r="BN13" s="2" t="str">
        <v>SERVICE</v>
      </c>
      <c r="BP13" s="61"/>
      <c r="BQ13" s="2"/>
      <c r="BR13" s="7"/>
      <c r="BS13" s="2"/>
      <c r="BT13" s="2"/>
      <c r="BU13" s="2"/>
    </row>
    <row r="14" spans="2:73" x14ac:dyDescent="0.35">
      <c r="B14" s="2" t="s">
        <v>342</v>
      </c>
      <c r="C14" s="66">
        <f>BR3</f>
        <v>11500000</v>
      </c>
      <c r="E14" s="61">
        <v>46154</v>
      </c>
      <c r="F14" s="2" t="str">
        <v>DGI</v>
      </c>
      <c r="G14" s="7">
        <v>1118946</v>
      </c>
      <c r="H14" s="2">
        <v>0</v>
      </c>
      <c r="I14" s="2">
        <v>0</v>
      </c>
      <c r="J14" s="2" t="str">
        <v>DGI</v>
      </c>
      <c r="L14" s="61"/>
      <c r="M14" s="2"/>
      <c r="N14" s="13"/>
      <c r="O14" s="2"/>
      <c r="P14" s="2"/>
      <c r="Q14" s="2"/>
      <c r="S14" s="61"/>
      <c r="T14" s="2"/>
      <c r="U14" s="13"/>
      <c r="V14" s="2"/>
      <c r="W14" s="2"/>
      <c r="X14" s="2"/>
      <c r="Z14" s="61"/>
      <c r="AA14" s="2"/>
      <c r="AB14" s="13"/>
      <c r="AC14" s="2"/>
      <c r="AD14" s="2"/>
      <c r="AE14" s="2"/>
      <c r="AG14" s="61"/>
      <c r="AH14" s="2"/>
      <c r="AI14" s="13"/>
      <c r="AJ14" s="2"/>
      <c r="AK14" s="2"/>
      <c r="AL14" s="2"/>
      <c r="AN14" s="61">
        <v>46112</v>
      </c>
      <c r="AO14" s="2" t="str">
        <v>ETS DOS ESPOIR ET FILS</v>
      </c>
      <c r="AP14" s="7">
        <v>385371</v>
      </c>
      <c r="AQ14" s="2">
        <v>5447275</v>
      </c>
      <c r="AR14" s="2" t="str">
        <v>LABOUR WORK /FACTURE EM01335995-320</v>
      </c>
      <c r="AS14" s="2" t="str">
        <v>LABOUR WORK</v>
      </c>
      <c r="AU14" s="61"/>
      <c r="AV14" s="2"/>
      <c r="AW14" s="7"/>
      <c r="AX14" s="2"/>
      <c r="AY14" s="2"/>
      <c r="AZ14" s="2"/>
      <c r="BB14" s="61">
        <v>46274</v>
      </c>
      <c r="BC14" s="2" t="str">
        <v>DEGLA SOTONGNON ARMAND</v>
      </c>
      <c r="BD14" s="7">
        <v>316800</v>
      </c>
      <c r="BE14" s="2">
        <v>5822192</v>
      </c>
      <c r="BF14" s="2" t="str">
        <v>HOUSE RENT : GLO</v>
      </c>
      <c r="BG14" s="2" t="str">
        <v>HOUSE RENT</v>
      </c>
      <c r="BI14" s="61">
        <v>46217</v>
      </c>
      <c r="BJ14" s="2" t="str">
        <v>MB TECHNOLOGIES</v>
      </c>
      <c r="BK14" s="7">
        <v>700000</v>
      </c>
      <c r="BL14" s="2">
        <v>5822137</v>
      </c>
      <c r="BM14" s="2" t="str">
        <v>PRODUCTION DES NOTES DE CALCULS DES SCHEMAS ELECTRIQUES / PRESTATION POUR LA CERTIFICATION/REDEVANCE A REVERSER A CONTRELEC</v>
      </c>
      <c r="BN14" s="2" t="str">
        <v>SERVICE</v>
      </c>
      <c r="BP14" s="61"/>
      <c r="BQ14" s="2"/>
      <c r="BR14" s="7"/>
      <c r="BS14" s="2"/>
      <c r="BT14" s="2"/>
      <c r="BU14" s="2"/>
    </row>
    <row r="15" spans="2:73" x14ac:dyDescent="0.35">
      <c r="B15" s="11" t="s">
        <v>241</v>
      </c>
      <c r="C15" s="66">
        <f>SUM(C5:C14)</f>
        <v>324200619</v>
      </c>
      <c r="E15" s="61">
        <v>46212</v>
      </c>
      <c r="F15" s="2" t="str">
        <v>DGI</v>
      </c>
      <c r="G15" s="7">
        <v>60000</v>
      </c>
      <c r="H15" s="2">
        <v>0</v>
      </c>
      <c r="I15" s="2">
        <v>0</v>
      </c>
      <c r="J15" s="2" t="str">
        <v>DGI</v>
      </c>
      <c r="AN15" s="61">
        <v>46120</v>
      </c>
      <c r="AO15" s="2" t="str">
        <v>ETS WYM DJIBRIL ALBARKA</v>
      </c>
      <c r="AP15" s="7">
        <v>302931</v>
      </c>
      <c r="AQ15" s="2">
        <v>5447284</v>
      </c>
      <c r="AR15" s="2" t="str">
        <v xml:space="preserve">UD CAKE LABOUR </v>
      </c>
      <c r="AS15" s="2" t="str">
        <v>LABOUR WORK</v>
      </c>
      <c r="AU15" s="61"/>
      <c r="AV15" s="2"/>
      <c r="AW15" s="7"/>
      <c r="AX15" s="2"/>
      <c r="AY15" s="2"/>
      <c r="AZ15" s="2"/>
      <c r="BB15" s="61"/>
      <c r="BC15" s="2"/>
      <c r="BD15" s="7"/>
      <c r="BE15" s="2"/>
      <c r="BF15" s="2"/>
      <c r="BG15" s="2"/>
      <c r="BI15" s="61">
        <v>46246</v>
      </c>
      <c r="BJ15" s="2" t="str">
        <v>HELIOS SECURITY SERVICES SARL</v>
      </c>
      <c r="BK15" s="7">
        <v>338400</v>
      </c>
      <c r="BL15" s="2">
        <v>5822138</v>
      </c>
      <c r="BM15" s="2" t="str">
        <v>MISE A DISPOSITIOM D'AGENT DE SECURITE POUR LE MOIS DE JUILLET</v>
      </c>
      <c r="BN15" s="2" t="str">
        <v>SERVICE</v>
      </c>
      <c r="BP15" s="61"/>
      <c r="BQ15" s="2"/>
      <c r="BR15" s="7"/>
      <c r="BS15" s="2"/>
      <c r="BT15" s="2"/>
      <c r="BU15" s="2"/>
    </row>
    <row r="16" spans="2:73" x14ac:dyDescent="0.35">
      <c r="E16" s="61">
        <v>46245</v>
      </c>
      <c r="F16" s="2" t="str">
        <v>DGI</v>
      </c>
      <c r="G16" s="7">
        <v>1442854</v>
      </c>
      <c r="H16" s="2">
        <v>0</v>
      </c>
      <c r="I16" s="2">
        <v>0</v>
      </c>
      <c r="J16" s="2" t="str">
        <v>DGI</v>
      </c>
      <c r="AN16" s="61">
        <v>46128</v>
      </c>
      <c r="AO16" s="2" t="str">
        <v>IDRISSOU APHISSOU</v>
      </c>
      <c r="AP16" s="7">
        <v>501917</v>
      </c>
      <c r="AQ16" s="2">
        <v>5447294</v>
      </c>
      <c r="AR16" s="2" t="str">
        <v>OLABI LABOUR WORK COTTON SEED_A VERIFIER LA COPIE CHQ</v>
      </c>
      <c r="AS16" s="2" t="str">
        <v>LABOUR WORK</v>
      </c>
      <c r="AU16" s="61"/>
      <c r="AV16" s="2"/>
      <c r="AW16" s="7"/>
      <c r="AX16" s="2"/>
      <c r="AY16" s="2"/>
      <c r="AZ16" s="2"/>
      <c r="BB16" s="61"/>
      <c r="BC16" s="2"/>
      <c r="BD16" s="7"/>
      <c r="BE16" s="2"/>
      <c r="BF16" s="2"/>
      <c r="BG16" s="2"/>
      <c r="BI16" s="61">
        <v>46252</v>
      </c>
      <c r="BJ16" s="2" t="str">
        <v>AVHEC BENI</v>
      </c>
      <c r="BK16" s="7">
        <v>436500</v>
      </c>
      <c r="BL16" s="2">
        <v>5822152</v>
      </c>
      <c r="BM16" s="2" t="str">
        <v>SIGN BOARD</v>
      </c>
      <c r="BN16" s="2" t="str">
        <v>SERVICE</v>
      </c>
      <c r="BP16" s="61"/>
      <c r="BQ16" s="2"/>
      <c r="BR16" s="7"/>
      <c r="BS16" s="2"/>
      <c r="BT16" s="2"/>
      <c r="BU16" s="2"/>
    </row>
    <row r="17" spans="5:73" x14ac:dyDescent="0.35">
      <c r="E17" s="61">
        <v>46276</v>
      </c>
      <c r="F17" s="2" t="str">
        <v>DGI</v>
      </c>
      <c r="G17" s="7">
        <v>252204</v>
      </c>
      <c r="H17" s="2">
        <v>0</v>
      </c>
      <c r="I17" s="2">
        <v>0</v>
      </c>
      <c r="J17" s="2" t="str">
        <v>DGI</v>
      </c>
      <c r="AN17" s="61">
        <v>46128</v>
      </c>
      <c r="AO17" s="2" t="str">
        <v>IDRISSOU APHISSOU</v>
      </c>
      <c r="AP17" s="7">
        <v>1000000</v>
      </c>
      <c r="AQ17" s="2">
        <v>5447295</v>
      </c>
      <c r="AR17" s="2" t="str">
        <v>OLABI LABOUR SOYA ACC</v>
      </c>
      <c r="AS17" s="2" t="str">
        <v>LABOUR WORK</v>
      </c>
      <c r="AU17" s="61"/>
      <c r="AV17" s="2"/>
      <c r="AW17" s="7"/>
      <c r="AX17" s="2"/>
      <c r="AY17" s="2"/>
      <c r="AZ17" s="2"/>
      <c r="BB17" s="61"/>
      <c r="BC17" s="2"/>
      <c r="BD17" s="7"/>
      <c r="BE17" s="2"/>
      <c r="BF17" s="2"/>
      <c r="BG17" s="2"/>
      <c r="BI17" s="61">
        <v>46267</v>
      </c>
      <c r="BJ17" s="2" t="str">
        <v>ADEDJOUMOU ZACHARIE</v>
      </c>
      <c r="BK17" s="7">
        <v>1595000</v>
      </c>
      <c r="BL17" s="2">
        <v>5822181</v>
      </c>
      <c r="BM17" s="2" t="str">
        <v>OIL MILL MATERIAL</v>
      </c>
      <c r="BN17" s="2" t="str">
        <v>SERVICE</v>
      </c>
      <c r="BP17" s="61"/>
      <c r="BQ17" s="2"/>
      <c r="BR17" s="7"/>
      <c r="BS17" s="2"/>
      <c r="BT17" s="2"/>
      <c r="BU17" s="2"/>
    </row>
    <row r="18" spans="5:73" x14ac:dyDescent="0.35">
      <c r="E18" s="61">
        <v>46276</v>
      </c>
      <c r="F18" s="2" t="str">
        <v>DGI</v>
      </c>
      <c r="G18" s="7">
        <v>1204586</v>
      </c>
      <c r="H18" s="2">
        <v>0</v>
      </c>
      <c r="I18" s="2">
        <v>0</v>
      </c>
      <c r="J18" s="2" t="str">
        <v>DGI</v>
      </c>
      <c r="AN18" s="61">
        <v>46129</v>
      </c>
      <c r="AO18" s="2" t="str">
        <v>ETS DOS ESPOIR ET FILS</v>
      </c>
      <c r="AP18" s="7">
        <v>396158</v>
      </c>
      <c r="AQ18" s="2">
        <v>5447298</v>
      </c>
      <c r="AR18" s="2" t="str">
        <v>LABOUR WORK _ EM01335995-324</v>
      </c>
      <c r="AS18" s="2" t="str">
        <v>LABOUR WORK</v>
      </c>
      <c r="AU18" s="61"/>
      <c r="AV18" s="2"/>
      <c r="AW18" s="7"/>
      <c r="AX18" s="2"/>
      <c r="AY18" s="2"/>
      <c r="AZ18" s="2"/>
      <c r="BB18" s="61"/>
      <c r="BC18" s="2"/>
      <c r="BD18" s="7"/>
      <c r="BE18" s="2"/>
      <c r="BF18" s="2"/>
      <c r="BG18" s="2"/>
      <c r="BI18" s="61">
        <v>46267</v>
      </c>
      <c r="BJ18" s="2" t="str">
        <v>GEDC</v>
      </c>
      <c r="BK18" s="7">
        <v>35760708</v>
      </c>
      <c r="BL18" s="2">
        <v>5822175</v>
      </c>
      <c r="BM18" s="2" t="str">
        <v>FRAIS DE CONSOMMATION ELECTRICITE FEV, MAR &amp; AVR 2026</v>
      </c>
      <c r="BN18" s="2" t="str">
        <v>SERVICE</v>
      </c>
      <c r="BP18" s="61"/>
      <c r="BQ18" s="2"/>
      <c r="BR18" s="7"/>
      <c r="BS18" s="2"/>
      <c r="BT18" s="2"/>
      <c r="BU18" s="2"/>
    </row>
    <row r="19" spans="5:73" x14ac:dyDescent="0.35">
      <c r="E19" s="61"/>
      <c r="F19" s="2"/>
      <c r="G19" s="7"/>
      <c r="H19" s="2"/>
      <c r="I19" s="2"/>
      <c r="J19" s="2"/>
      <c r="AN19" s="61">
        <v>46164</v>
      </c>
      <c r="AO19" s="2" t="str">
        <v>ETS OLAITAN COMMUNICATION/ OLABI LABOUR</v>
      </c>
      <c r="AP19" s="7">
        <v>1875495</v>
      </c>
      <c r="AQ19" s="2">
        <v>5822106</v>
      </c>
      <c r="AR19" s="2" t="str">
        <v>OLABI LABOUR WORK COTTON SEED</v>
      </c>
      <c r="AS19" s="2" t="str">
        <v>LABOUR WORK</v>
      </c>
      <c r="AU19" s="61"/>
      <c r="AV19" s="2"/>
      <c r="AW19" s="7"/>
      <c r="AX19" s="2"/>
      <c r="AY19" s="2"/>
      <c r="AZ19" s="2"/>
      <c r="BB19" s="61"/>
      <c r="BC19" s="2"/>
      <c r="BD19" s="7"/>
      <c r="BE19" s="2"/>
      <c r="BF19" s="2"/>
      <c r="BG19" s="2"/>
      <c r="BI19" s="61">
        <v>46267</v>
      </c>
      <c r="BJ19" s="2" t="str">
        <v>SIPI BENIN SA</v>
      </c>
      <c r="BK19" s="7">
        <v>4550160</v>
      </c>
      <c r="BL19" s="2">
        <v>5822176</v>
      </c>
      <c r="BM19" s="2" t="str">
        <v>FRAIS DE CONSOMMATION EAU FEV, MAR, AVR 2026</v>
      </c>
      <c r="BN19" s="2" t="str">
        <v>SERVICE</v>
      </c>
      <c r="BP19" s="61"/>
      <c r="BQ19" s="2"/>
      <c r="BR19" s="7"/>
      <c r="BS19" s="2"/>
      <c r="BT19" s="2"/>
      <c r="BU19" s="2"/>
    </row>
    <row r="20" spans="5:73" x14ac:dyDescent="0.35">
      <c r="E20" s="61"/>
      <c r="F20" s="2"/>
      <c r="G20" s="13"/>
      <c r="H20" s="2"/>
      <c r="I20" s="2"/>
      <c r="J20" s="2"/>
      <c r="AN20" s="61">
        <v>46170</v>
      </c>
      <c r="AO20" s="2" t="str">
        <v>UD CAKE LABOUR WORK</v>
      </c>
      <c r="AP20" s="7">
        <v>226972</v>
      </c>
      <c r="AQ20" s="2">
        <v>5822101</v>
      </c>
      <c r="AR20" s="2" t="str">
        <v xml:space="preserve">LABOUR WORK </v>
      </c>
      <c r="AS20" s="2" t="str">
        <v>LABOUR WORK</v>
      </c>
      <c r="AU20" s="61"/>
      <c r="AV20" s="2"/>
      <c r="AW20" s="13"/>
      <c r="AX20" s="2"/>
      <c r="AY20" s="2"/>
      <c r="AZ20" s="2"/>
      <c r="BB20" s="61"/>
      <c r="BC20" s="2"/>
      <c r="BD20" s="13"/>
      <c r="BE20" s="2"/>
      <c r="BF20" s="2"/>
      <c r="BG20" s="2"/>
      <c r="BI20" s="61">
        <v>46267</v>
      </c>
      <c r="BJ20" s="2" t="str">
        <v>SIPI BENIN SA</v>
      </c>
      <c r="BK20" s="13">
        <v>8460000</v>
      </c>
      <c r="BL20" s="2">
        <v>5822177</v>
      </c>
      <c r="BM20" s="2" t="str">
        <v>PESAGE CAMION NOV, FEV, MAR, AVR 2026</v>
      </c>
      <c r="BN20" s="2" t="str">
        <v>SERVICE</v>
      </c>
      <c r="BP20" s="61"/>
      <c r="BQ20" s="2"/>
      <c r="BR20" s="13"/>
      <c r="BS20" s="2"/>
      <c r="BT20" s="2"/>
      <c r="BU20" s="2"/>
    </row>
    <row r="21" spans="5:73" x14ac:dyDescent="0.35">
      <c r="AN21" s="2">
        <v>46253</v>
      </c>
      <c r="AO21" s="2" t="str">
        <v>OLAITAN COMMUNICATION</v>
      </c>
      <c r="AP21" s="2">
        <v>1500000</v>
      </c>
      <c r="AQ21" s="2">
        <v>5822153</v>
      </c>
      <c r="AR21" s="2" t="str">
        <v>LABOUR WORK ACC SHEA</v>
      </c>
      <c r="AS21" s="2" t="str">
        <v>LABOUR WORK</v>
      </c>
      <c r="BI21">
        <v>46269</v>
      </c>
      <c r="BJ21" t="str">
        <v>CEFOSI</v>
      </c>
      <c r="BK21">
        <v>2421000</v>
      </c>
      <c r="BL21">
        <v>5822184</v>
      </c>
      <c r="BM21" t="str">
        <v>RECHARGE,FOURNITURE, VERIFICATION ET ENTRETIEN D'EXTINCTEURS</v>
      </c>
      <c r="BN21" t="str">
        <v>SERVICE</v>
      </c>
    </row>
    <row r="22" spans="5:73" x14ac:dyDescent="0.35">
      <c r="AN22" s="2">
        <v>46259</v>
      </c>
      <c r="AO22" s="2" t="str">
        <v>OLAITAN COMMUNICATION</v>
      </c>
      <c r="AP22" s="2">
        <v>769336</v>
      </c>
      <c r="AQ22" s="2">
        <v>5822165</v>
      </c>
      <c r="AR22" s="2" t="str">
        <v>LABOUR WORK ACC SHEA</v>
      </c>
      <c r="AS22" s="2" t="str">
        <v>LABOUR WORK</v>
      </c>
      <c r="BI22">
        <v>46274</v>
      </c>
      <c r="BJ22" t="str">
        <v>HELIOS SECURITY SERVICES SARL</v>
      </c>
      <c r="BK22">
        <v>349200</v>
      </c>
      <c r="BL22">
        <v>5822194</v>
      </c>
      <c r="BM22" t="str">
        <v>MISE A DISPOSITIOM D'AGENT DE SECURITE POUR LE MOIS DE AOUT</v>
      </c>
      <c r="BN22" t="str">
        <v>SERVICE</v>
      </c>
    </row>
    <row r="23" spans="5:73" x14ac:dyDescent="0.35">
      <c r="AN23" s="2">
        <v>46267</v>
      </c>
      <c r="AO23" s="2" t="str">
        <v>OLAITAN COMMUNICATION</v>
      </c>
      <c r="AP23" s="2">
        <v>2091198</v>
      </c>
      <c r="AQ23" s="2">
        <v>5822179</v>
      </c>
      <c r="AR23" s="2" t="str">
        <v>LABOUR WORK SHEA ACC</v>
      </c>
      <c r="AS23" s="2" t="str">
        <v>LABOUR WORK</v>
      </c>
      <c r="BI23">
        <v>46275</v>
      </c>
      <c r="BJ23" t="str">
        <v>SALARY</v>
      </c>
      <c r="BK23">
        <v>7000000</v>
      </c>
      <c r="BL23">
        <v>5862905</v>
      </c>
      <c r="BM23" t="str">
        <v>SALARIES AND LOCAL ALLOWANCE OF INDIAN PEOPLE</v>
      </c>
      <c r="BN23" t="str">
        <v>SERVICE</v>
      </c>
    </row>
    <row r="24" spans="5:73" x14ac:dyDescent="0.35">
      <c r="AN24" s="2">
        <v>46274</v>
      </c>
      <c r="AO24" s="2" t="str">
        <v>OLAITAN COMMUNICATION</v>
      </c>
      <c r="AP24" s="2">
        <v>1307787</v>
      </c>
      <c r="AQ24" s="2">
        <v>5822191</v>
      </c>
      <c r="AR24" s="2" t="str">
        <v>LABOUR WORK SHEA ACC</v>
      </c>
      <c r="AS24" s="2" t="str">
        <v>LABOUR WORK</v>
      </c>
      <c r="BI24">
        <v>46276</v>
      </c>
      <c r="BJ24" t="str">
        <v>GEDC</v>
      </c>
      <c r="BK24">
        <v>26410425</v>
      </c>
      <c r="BL24">
        <v>5862906</v>
      </c>
      <c r="BM24" t="str">
        <v>FRAIS DE CONSOMMATION ELECTRICITE MAI, JUIN &amp; JUL 2026</v>
      </c>
      <c r="BN24" t="str">
        <v>SERVICE</v>
      </c>
    </row>
    <row r="25" spans="5:73" x14ac:dyDescent="0.35">
      <c r="AN25" s="2"/>
      <c r="AO25" s="2"/>
      <c r="AP25" s="2"/>
      <c r="AQ25" s="2"/>
      <c r="AR25" s="2"/>
      <c r="AS25" s="2"/>
      <c r="BI25">
        <v>46276</v>
      </c>
      <c r="BJ25" t="str">
        <v>SIPI BENIN SA</v>
      </c>
      <c r="BK25">
        <v>1535050</v>
      </c>
      <c r="BL25">
        <v>5862907</v>
      </c>
      <c r="BM25" t="str">
        <v>FRAIS DE CONSOMMATION EAU MAI, JUN, JUL 2026</v>
      </c>
      <c r="BN25" t="str">
        <v>SERVICE</v>
      </c>
    </row>
    <row r="26" spans="5:73" x14ac:dyDescent="0.35">
      <c r="AN26" s="2"/>
      <c r="AO26" s="2"/>
      <c r="AP26" s="68"/>
      <c r="AQ26" s="2"/>
      <c r="AR26" s="2"/>
      <c r="AS26" s="2"/>
      <c r="BI26">
        <v>46276</v>
      </c>
      <c r="BJ26" t="str">
        <v>SIPI BENIN SA</v>
      </c>
      <c r="BK26">
        <v>3630000</v>
      </c>
      <c r="BL26">
        <v>5862908</v>
      </c>
      <c r="BM26" t="str">
        <v>PESAGE CAMION NOV, MAI, JUN, JUL 2026</v>
      </c>
      <c r="BN26" t="str">
        <v>SERVICE</v>
      </c>
    </row>
  </sheetData>
  <mergeCells count="20">
    <mergeCell ref="V3:X3"/>
    <mergeCell ref="AJ3:AL3"/>
    <mergeCell ref="Z3:AA3"/>
    <mergeCell ref="AC3:AE3"/>
    <mergeCell ref="AG3:AH3"/>
    <mergeCell ref="E3:F3"/>
    <mergeCell ref="H3:J3"/>
    <mergeCell ref="L3:M3"/>
    <mergeCell ref="O3:Q3"/>
    <mergeCell ref="S3:T3"/>
    <mergeCell ref="BP3:BQ3"/>
    <mergeCell ref="BS3:BU3"/>
    <mergeCell ref="AN3:AO3"/>
    <mergeCell ref="AU3:AV3"/>
    <mergeCell ref="AX3:AZ3"/>
    <mergeCell ref="BI3:BJ3"/>
    <mergeCell ref="BL3:BN3"/>
    <mergeCell ref="BB3:BC3"/>
    <mergeCell ref="BE3:BG3"/>
    <mergeCell ref="AQ3:AS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B859-66F3-44C8-90CB-9F2C0717AF30}">
  <dimension ref="A4:I4"/>
  <sheetViews>
    <sheetView workbookViewId="0">
      <selection activeCell="I5" sqref="I5"/>
    </sheetView>
  </sheetViews>
  <sheetFormatPr baseColWidth="10" defaultColWidth="8.7265625" defaultRowHeight="14.5" x14ac:dyDescent="0.35"/>
  <sheetData>
    <row r="4" spans="1:9" s="99" customFormat="1" x14ac:dyDescent="0.35">
      <c r="A4" s="96">
        <v>46241</v>
      </c>
      <c r="B4" s="97" t="s">
        <v>7</v>
      </c>
      <c r="C4" s="98"/>
      <c r="D4" s="98">
        <v>105000</v>
      </c>
      <c r="E4" s="54">
        <f>STATEMENT!E302+C4-D4</f>
        <v>2112557</v>
      </c>
      <c r="F4" s="97"/>
      <c r="G4" s="97" t="s">
        <v>338</v>
      </c>
      <c r="H4" s="97" t="s">
        <v>216</v>
      </c>
      <c r="I4" s="99" t="s">
        <v>357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768D-C863-490F-A236-6E79D3EFB54A}">
  <dimension ref="B3:F42"/>
  <sheetViews>
    <sheetView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E3" sqref="E3"/>
    </sheetView>
  </sheetViews>
  <sheetFormatPr baseColWidth="10" defaultColWidth="8.7265625" defaultRowHeight="14.5" x14ac:dyDescent="0.35"/>
  <cols>
    <col min="2" max="2" width="9.7265625" bestFit="1" customWidth="1"/>
    <col min="3" max="3" width="27.36328125" bestFit="1" customWidth="1"/>
    <col min="4" max="4" width="20" customWidth="1"/>
    <col min="5" max="5" width="18.6328125" customWidth="1"/>
    <col min="6" max="6" width="46.81640625" customWidth="1"/>
  </cols>
  <sheetData>
    <row r="3" spans="2:6" ht="29" x14ac:dyDescent="0.35">
      <c r="B3" s="14" t="s">
        <v>0</v>
      </c>
      <c r="C3" s="15" t="s">
        <v>1</v>
      </c>
      <c r="D3" s="16" t="s">
        <v>65</v>
      </c>
      <c r="E3" s="14" t="s">
        <v>5</v>
      </c>
      <c r="F3" s="16" t="s">
        <v>17</v>
      </c>
    </row>
    <row r="4" spans="2:6" x14ac:dyDescent="0.35">
      <c r="B4" s="3">
        <v>46113</v>
      </c>
      <c r="C4" s="2" t="s">
        <v>20</v>
      </c>
      <c r="D4" s="4">
        <v>7000000</v>
      </c>
      <c r="E4" s="6">
        <v>5447277</v>
      </c>
      <c r="F4" s="5" t="s">
        <v>16</v>
      </c>
    </row>
    <row r="5" spans="2:6" x14ac:dyDescent="0.35">
      <c r="B5" s="3">
        <v>46115</v>
      </c>
      <c r="C5" s="2" t="s">
        <v>21</v>
      </c>
      <c r="D5" s="4">
        <v>2384300</v>
      </c>
      <c r="E5" s="6">
        <v>5447278</v>
      </c>
      <c r="F5" s="5" t="s">
        <v>22</v>
      </c>
    </row>
    <row r="6" spans="2:6" x14ac:dyDescent="0.35">
      <c r="B6" s="3">
        <v>46120</v>
      </c>
      <c r="C6" s="2" t="s">
        <v>25</v>
      </c>
      <c r="D6" s="4">
        <v>1260000</v>
      </c>
      <c r="E6" s="6">
        <v>5447279</v>
      </c>
      <c r="F6" s="5" t="s">
        <v>26</v>
      </c>
    </row>
    <row r="7" spans="2:6" x14ac:dyDescent="0.35">
      <c r="B7" s="21"/>
      <c r="C7" s="22" t="s">
        <v>66</v>
      </c>
      <c r="D7" s="23"/>
      <c r="E7" s="24">
        <v>5447280</v>
      </c>
      <c r="F7" s="25" t="s">
        <v>66</v>
      </c>
    </row>
    <row r="8" spans="2:6" x14ac:dyDescent="0.35">
      <c r="B8" s="26"/>
      <c r="C8" s="27" t="s">
        <v>70</v>
      </c>
      <c r="D8" s="28">
        <v>10000000</v>
      </c>
      <c r="E8" s="29">
        <v>5447281</v>
      </c>
      <c r="F8" s="30" t="s">
        <v>71</v>
      </c>
    </row>
    <row r="9" spans="2:6" x14ac:dyDescent="0.35">
      <c r="B9" s="26"/>
      <c r="C9" s="27" t="s">
        <v>70</v>
      </c>
      <c r="D9" s="28">
        <v>4496460</v>
      </c>
      <c r="E9" s="29">
        <v>5447282</v>
      </c>
      <c r="F9" s="30" t="s">
        <v>71</v>
      </c>
    </row>
    <row r="10" spans="2:6" x14ac:dyDescent="0.35">
      <c r="B10" s="3">
        <v>46120</v>
      </c>
      <c r="C10" s="2" t="s">
        <v>23</v>
      </c>
      <c r="D10" s="4">
        <v>428400</v>
      </c>
      <c r="E10" s="6">
        <v>5447283</v>
      </c>
      <c r="F10" s="5" t="s">
        <v>24</v>
      </c>
    </row>
    <row r="11" spans="2:6" x14ac:dyDescent="0.35">
      <c r="B11" s="3">
        <v>46120</v>
      </c>
      <c r="C11" s="2" t="s">
        <v>14</v>
      </c>
      <c r="D11" s="4">
        <v>302931</v>
      </c>
      <c r="E11" s="6">
        <v>5447284</v>
      </c>
      <c r="F11" s="5" t="s">
        <v>18</v>
      </c>
    </row>
    <row r="12" spans="2:6" x14ac:dyDescent="0.35">
      <c r="B12" s="21"/>
      <c r="C12" s="22" t="s">
        <v>66</v>
      </c>
      <c r="D12" s="23"/>
      <c r="E12" s="24">
        <v>5447285</v>
      </c>
      <c r="F12" s="25" t="s">
        <v>66</v>
      </c>
    </row>
    <row r="13" spans="2:6" x14ac:dyDescent="0.35">
      <c r="B13" s="21"/>
      <c r="C13" s="22" t="s">
        <v>66</v>
      </c>
      <c r="D13" s="23"/>
      <c r="E13" s="24">
        <v>5447286</v>
      </c>
      <c r="F13" s="25" t="s">
        <v>66</v>
      </c>
    </row>
    <row r="14" spans="2:6" x14ac:dyDescent="0.35">
      <c r="B14" s="3">
        <v>46122</v>
      </c>
      <c r="C14" s="2" t="s">
        <v>30</v>
      </c>
      <c r="D14" s="4">
        <v>60000000</v>
      </c>
      <c r="E14" s="6">
        <v>5447287</v>
      </c>
      <c r="F14" s="5" t="s">
        <v>62</v>
      </c>
    </row>
    <row r="15" spans="2:6" x14ac:dyDescent="0.35">
      <c r="B15" s="3">
        <v>46132</v>
      </c>
      <c r="C15" s="2" t="s">
        <v>41</v>
      </c>
      <c r="D15" s="7">
        <v>39500</v>
      </c>
      <c r="E15" s="2">
        <v>5447288</v>
      </c>
      <c r="F15" s="2" t="s">
        <v>40</v>
      </c>
    </row>
    <row r="16" spans="2:6" x14ac:dyDescent="0.35">
      <c r="B16" s="3">
        <v>46125</v>
      </c>
      <c r="C16" s="2" t="s">
        <v>32</v>
      </c>
      <c r="D16" s="4">
        <v>1200000</v>
      </c>
      <c r="E16" s="6">
        <v>5447289</v>
      </c>
      <c r="F16" s="5" t="s">
        <v>31</v>
      </c>
    </row>
    <row r="17" spans="2:6" x14ac:dyDescent="0.35">
      <c r="B17" s="21"/>
      <c r="C17" s="22" t="s">
        <v>66</v>
      </c>
      <c r="D17" s="23"/>
      <c r="E17" s="24">
        <v>5447290</v>
      </c>
      <c r="F17" s="25" t="s">
        <v>66</v>
      </c>
    </row>
    <row r="18" spans="2:6" x14ac:dyDescent="0.35">
      <c r="B18" s="21"/>
      <c r="C18" s="22" t="s">
        <v>66</v>
      </c>
      <c r="D18" s="23"/>
      <c r="E18" s="24">
        <v>5447291</v>
      </c>
      <c r="F18" s="25" t="s">
        <v>66</v>
      </c>
    </row>
    <row r="19" spans="2:6" x14ac:dyDescent="0.35">
      <c r="B19" s="3">
        <v>46126</v>
      </c>
      <c r="C19" s="2" t="s">
        <v>33</v>
      </c>
      <c r="D19" s="7">
        <v>349200</v>
      </c>
      <c r="E19" s="2">
        <v>5447292</v>
      </c>
      <c r="F19" s="2" t="s">
        <v>8</v>
      </c>
    </row>
    <row r="20" spans="2:6" x14ac:dyDescent="0.35">
      <c r="B20" s="3">
        <v>46126</v>
      </c>
      <c r="C20" s="2" t="s">
        <v>30</v>
      </c>
      <c r="D20" s="7">
        <v>80000000</v>
      </c>
      <c r="E20" s="2">
        <v>5447293</v>
      </c>
      <c r="F20" s="5" t="s">
        <v>62</v>
      </c>
    </row>
    <row r="21" spans="2:6" x14ac:dyDescent="0.35">
      <c r="B21" s="3">
        <v>46128</v>
      </c>
      <c r="C21" s="2" t="s">
        <v>6</v>
      </c>
      <c r="D21" s="7">
        <v>501917</v>
      </c>
      <c r="E21" s="2">
        <v>5447294</v>
      </c>
      <c r="F21" s="2" t="s">
        <v>37</v>
      </c>
    </row>
    <row r="22" spans="2:6" x14ac:dyDescent="0.35">
      <c r="B22" s="3">
        <v>46128</v>
      </c>
      <c r="C22" s="2" t="s">
        <v>6</v>
      </c>
      <c r="D22" s="7">
        <v>1000000</v>
      </c>
      <c r="E22" s="2">
        <v>5447295</v>
      </c>
      <c r="F22" s="2" t="s">
        <v>38</v>
      </c>
    </row>
    <row r="23" spans="2:6" x14ac:dyDescent="0.35">
      <c r="B23" s="3">
        <v>46127</v>
      </c>
      <c r="C23" s="2" t="s">
        <v>30</v>
      </c>
      <c r="D23" s="7">
        <v>105000000</v>
      </c>
      <c r="E23" s="2">
        <v>5447296</v>
      </c>
      <c r="F23" s="5" t="s">
        <v>62</v>
      </c>
    </row>
    <row r="24" spans="2:6" x14ac:dyDescent="0.35">
      <c r="B24" s="21"/>
      <c r="C24" s="22" t="s">
        <v>66</v>
      </c>
      <c r="D24" s="23"/>
      <c r="E24" s="24">
        <v>5447297</v>
      </c>
      <c r="F24" s="25" t="s">
        <v>66</v>
      </c>
    </row>
    <row r="25" spans="2:6" x14ac:dyDescent="0.35">
      <c r="B25" s="3">
        <v>46129</v>
      </c>
      <c r="C25" s="2" t="s">
        <v>15</v>
      </c>
      <c r="D25" s="7">
        <v>396158</v>
      </c>
      <c r="E25" s="2">
        <v>5447298</v>
      </c>
      <c r="F25" s="2" t="s">
        <v>13</v>
      </c>
    </row>
    <row r="26" spans="2:6" x14ac:dyDescent="0.35">
      <c r="B26" s="21"/>
      <c r="C26" s="22" t="s">
        <v>66</v>
      </c>
      <c r="D26" s="23"/>
      <c r="E26" s="24">
        <v>5447299</v>
      </c>
      <c r="F26" s="25" t="s">
        <v>66</v>
      </c>
    </row>
    <row r="27" spans="2:6" x14ac:dyDescent="0.35">
      <c r="B27" s="3">
        <v>46139</v>
      </c>
      <c r="C27" s="2" t="s">
        <v>43</v>
      </c>
      <c r="D27" s="7">
        <v>250000</v>
      </c>
      <c r="E27" s="2">
        <v>5447300</v>
      </c>
      <c r="F27" s="5" t="s">
        <v>44</v>
      </c>
    </row>
    <row r="28" spans="2:6" x14ac:dyDescent="0.35">
      <c r="B28" s="8">
        <v>46170</v>
      </c>
      <c r="C28" s="9" t="s">
        <v>64</v>
      </c>
      <c r="D28" s="10">
        <v>226972</v>
      </c>
      <c r="E28" s="9">
        <v>5822101</v>
      </c>
      <c r="F28" s="9" t="s">
        <v>13</v>
      </c>
    </row>
    <row r="29" spans="2:6" x14ac:dyDescent="0.35">
      <c r="B29" s="3">
        <v>46147</v>
      </c>
      <c r="C29" s="2" t="s">
        <v>63</v>
      </c>
      <c r="D29" s="13">
        <v>6000000</v>
      </c>
      <c r="E29" s="2">
        <v>5822102</v>
      </c>
      <c r="F29" s="2" t="s">
        <v>16</v>
      </c>
    </row>
    <row r="30" spans="2:6" x14ac:dyDescent="0.35">
      <c r="B30" s="26">
        <v>46147</v>
      </c>
      <c r="C30" s="27"/>
      <c r="D30" s="31">
        <v>25000000</v>
      </c>
      <c r="E30" s="27">
        <v>5822103</v>
      </c>
      <c r="F30" s="27" t="s">
        <v>50</v>
      </c>
    </row>
    <row r="31" spans="2:6" x14ac:dyDescent="0.35">
      <c r="B31" s="3">
        <v>46149</v>
      </c>
      <c r="C31" s="2" t="s">
        <v>30</v>
      </c>
      <c r="D31" s="13">
        <v>120000000</v>
      </c>
      <c r="E31" s="2">
        <v>5822104</v>
      </c>
      <c r="F31" s="5" t="s">
        <v>62</v>
      </c>
    </row>
    <row r="32" spans="2:6" x14ac:dyDescent="0.35">
      <c r="B32" s="3"/>
      <c r="C32" s="22" t="s">
        <v>66</v>
      </c>
      <c r="D32" s="23"/>
      <c r="E32" s="22">
        <v>5822105</v>
      </c>
      <c r="F32" s="25" t="s">
        <v>66</v>
      </c>
    </row>
    <row r="33" spans="2:6" x14ac:dyDescent="0.35">
      <c r="B33" s="26"/>
      <c r="C33" s="32" t="s">
        <v>67</v>
      </c>
      <c r="D33" s="33">
        <v>1875495</v>
      </c>
      <c r="E33" s="27">
        <v>5822106</v>
      </c>
      <c r="F33" s="34"/>
    </row>
    <row r="34" spans="2:6" x14ac:dyDescent="0.35">
      <c r="B34" s="3">
        <v>46163</v>
      </c>
      <c r="C34" s="2" t="s">
        <v>54</v>
      </c>
      <c r="D34" s="7">
        <v>14481500</v>
      </c>
      <c r="E34" s="2">
        <v>5822107</v>
      </c>
      <c r="F34" s="2" t="s">
        <v>56</v>
      </c>
    </row>
    <row r="35" spans="2:6" x14ac:dyDescent="0.35">
      <c r="B35" s="3">
        <v>46163</v>
      </c>
      <c r="C35" s="2" t="s">
        <v>55</v>
      </c>
      <c r="D35" s="7">
        <v>20000000</v>
      </c>
      <c r="E35" s="2">
        <v>5822108</v>
      </c>
      <c r="F35" s="2" t="s">
        <v>56</v>
      </c>
    </row>
    <row r="36" spans="2:6" x14ac:dyDescent="0.35">
      <c r="B36" s="3">
        <v>46163</v>
      </c>
      <c r="C36" s="2" t="s">
        <v>53</v>
      </c>
      <c r="D36" s="7">
        <v>14005640</v>
      </c>
      <c r="E36" s="2">
        <v>5822109</v>
      </c>
      <c r="F36" s="2" t="s">
        <v>56</v>
      </c>
    </row>
    <row r="37" spans="2:6" x14ac:dyDescent="0.35">
      <c r="B37" s="3">
        <v>46164</v>
      </c>
      <c r="C37" s="2" t="s">
        <v>63</v>
      </c>
      <c r="D37" s="13">
        <v>7000000</v>
      </c>
      <c r="E37" s="2">
        <v>5822110</v>
      </c>
      <c r="F37" s="2" t="s">
        <v>16</v>
      </c>
    </row>
    <row r="38" spans="2:6" x14ac:dyDescent="0.35">
      <c r="B38" s="26">
        <v>46164</v>
      </c>
      <c r="C38" s="27" t="s">
        <v>57</v>
      </c>
      <c r="D38" s="31">
        <v>11144000</v>
      </c>
      <c r="E38" s="27">
        <v>5822111</v>
      </c>
      <c r="F38" s="27" t="s">
        <v>56</v>
      </c>
    </row>
    <row r="39" spans="2:6" x14ac:dyDescent="0.35">
      <c r="B39" s="3"/>
      <c r="C39" s="22" t="s">
        <v>66</v>
      </c>
      <c r="D39" s="23"/>
      <c r="E39" s="22">
        <v>5822112</v>
      </c>
      <c r="F39" s="22" t="s">
        <v>66</v>
      </c>
    </row>
    <row r="40" spans="2:6" x14ac:dyDescent="0.35">
      <c r="B40" s="26">
        <v>46164</v>
      </c>
      <c r="C40" s="27" t="s">
        <v>68</v>
      </c>
      <c r="D40" s="31">
        <v>27176800</v>
      </c>
      <c r="E40" s="27">
        <v>5822113</v>
      </c>
      <c r="F40" s="27" t="s">
        <v>56</v>
      </c>
    </row>
    <row r="41" spans="2:6" x14ac:dyDescent="0.35">
      <c r="B41" s="26">
        <v>46164</v>
      </c>
      <c r="C41" s="27" t="s">
        <v>69</v>
      </c>
      <c r="D41" s="31">
        <v>12921440</v>
      </c>
      <c r="E41" s="27">
        <v>5822114</v>
      </c>
      <c r="F41" s="27" t="s">
        <v>56</v>
      </c>
    </row>
    <row r="42" spans="2:6" x14ac:dyDescent="0.35">
      <c r="B42" s="3">
        <v>46170</v>
      </c>
      <c r="C42" s="2" t="s">
        <v>30</v>
      </c>
      <c r="D42" s="13">
        <v>120000000</v>
      </c>
      <c r="E42" s="2">
        <v>5822115</v>
      </c>
      <c r="F42" s="5" t="s">
        <v>62</v>
      </c>
    </row>
  </sheetData>
  <autoFilter ref="B3:F42" xr:uid="{C768768D-C863-490F-A236-6E79D3EFB54A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25"/>
  <sheetViews>
    <sheetView workbookViewId="0">
      <selection activeCell="A26" sqref="A26"/>
    </sheetView>
  </sheetViews>
  <sheetFormatPr baseColWidth="10" defaultColWidth="8.7265625" defaultRowHeight="14.5" x14ac:dyDescent="0.35"/>
  <cols>
    <col min="1" max="3" width="12.7265625" customWidth="1"/>
    <col min="4" max="4" width="23.1796875" bestFit="1" customWidth="1"/>
    <col min="6" max="8" width="17.7265625" customWidth="1"/>
    <col min="9" max="9" width="25.81640625" bestFit="1" customWidth="1"/>
    <col min="11" max="13" width="12.36328125" customWidth="1"/>
    <col min="14" max="14" width="13.26953125" bestFit="1" customWidth="1"/>
    <col min="16" max="18" width="13.1796875" customWidth="1"/>
    <col min="19" max="19" width="31.453125" bestFit="1" customWidth="1"/>
    <col min="21" max="21" width="8.08984375" bestFit="1" customWidth="1"/>
    <col min="22" max="22" width="11.54296875" bestFit="1" customWidth="1"/>
    <col min="23" max="23" width="7.81640625" bestFit="1" customWidth="1"/>
    <col min="24" max="24" width="23.1796875" bestFit="1" customWidth="1"/>
  </cols>
  <sheetData>
    <row r="2" spans="1:24" s="12" customFormat="1" x14ac:dyDescent="0.35">
      <c r="B2" s="12" t="s">
        <v>21</v>
      </c>
      <c r="G2" s="12" t="s">
        <v>23</v>
      </c>
      <c r="L2" s="12" t="s">
        <v>33</v>
      </c>
      <c r="Q2" s="12" t="s">
        <v>39</v>
      </c>
    </row>
    <row r="3" spans="1:24" s="12" customFormat="1" x14ac:dyDescent="0.35">
      <c r="A3" s="11" t="s">
        <v>9</v>
      </c>
      <c r="B3" s="11" t="s">
        <v>10</v>
      </c>
      <c r="C3" s="11" t="s">
        <v>11</v>
      </c>
      <c r="D3" s="11" t="s">
        <v>12</v>
      </c>
      <c r="F3" s="11" t="s">
        <v>9</v>
      </c>
      <c r="G3" s="11" t="s">
        <v>10</v>
      </c>
      <c r="H3" s="11" t="s">
        <v>11</v>
      </c>
      <c r="I3" s="11" t="s">
        <v>12</v>
      </c>
      <c r="K3" s="11" t="s">
        <v>9</v>
      </c>
      <c r="L3" s="11" t="s">
        <v>10</v>
      </c>
      <c r="M3" s="11" t="s">
        <v>11</v>
      </c>
      <c r="N3" s="11" t="s">
        <v>12</v>
      </c>
      <c r="P3" s="11" t="s">
        <v>9</v>
      </c>
      <c r="Q3" s="11" t="s">
        <v>10</v>
      </c>
      <c r="R3" s="11" t="s">
        <v>11</v>
      </c>
      <c r="S3" s="11" t="s">
        <v>12</v>
      </c>
      <c r="V3" s="12" t="s">
        <v>14</v>
      </c>
    </row>
    <row r="4" spans="1:24" x14ac:dyDescent="0.35">
      <c r="A4" s="3">
        <v>46115</v>
      </c>
      <c r="B4" s="7">
        <v>2384300</v>
      </c>
      <c r="C4" s="2">
        <v>5447278</v>
      </c>
      <c r="D4" s="2" t="s">
        <v>22</v>
      </c>
      <c r="F4" s="3">
        <v>46119</v>
      </c>
      <c r="G4" s="7">
        <v>428400</v>
      </c>
      <c r="H4" s="2">
        <v>5447283</v>
      </c>
      <c r="I4" s="2" t="s">
        <v>24</v>
      </c>
      <c r="K4" s="3">
        <v>46126</v>
      </c>
      <c r="L4" s="7">
        <v>349200</v>
      </c>
      <c r="M4" s="2">
        <v>5447292</v>
      </c>
      <c r="N4" s="2" t="s">
        <v>8</v>
      </c>
      <c r="P4" s="3">
        <v>46128</v>
      </c>
      <c r="Q4" s="7">
        <v>501917</v>
      </c>
      <c r="R4" s="2">
        <v>5447294</v>
      </c>
      <c r="S4" s="2" t="s">
        <v>37</v>
      </c>
      <c r="U4" s="11" t="s">
        <v>9</v>
      </c>
      <c r="V4" s="11" t="s">
        <v>10</v>
      </c>
      <c r="W4" s="11" t="s">
        <v>11</v>
      </c>
      <c r="X4" s="11" t="s">
        <v>12</v>
      </c>
    </row>
    <row r="5" spans="1:24" x14ac:dyDescent="0.35">
      <c r="A5" s="3"/>
      <c r="B5" s="2"/>
      <c r="C5" s="2"/>
      <c r="D5" s="2"/>
      <c r="F5" s="3"/>
      <c r="G5" s="2"/>
      <c r="H5" s="2"/>
      <c r="I5" s="2"/>
      <c r="K5" s="3"/>
      <c r="L5" s="2"/>
      <c r="M5" s="2"/>
      <c r="N5" s="2"/>
      <c r="P5" s="3">
        <v>46128</v>
      </c>
      <c r="Q5" s="7">
        <v>1000000</v>
      </c>
      <c r="R5" s="2">
        <v>5447295</v>
      </c>
      <c r="S5" s="2" t="s">
        <v>38</v>
      </c>
      <c r="U5" s="3">
        <v>46120</v>
      </c>
      <c r="V5" s="7">
        <v>302931</v>
      </c>
      <c r="W5" s="2">
        <v>5447284</v>
      </c>
      <c r="X5" s="2" t="s">
        <v>18</v>
      </c>
    </row>
    <row r="6" spans="1:24" x14ac:dyDescent="0.35">
      <c r="A6" s="3"/>
      <c r="B6" s="2"/>
      <c r="C6" s="2"/>
      <c r="D6" s="2"/>
      <c r="F6" s="3"/>
      <c r="G6" s="2"/>
      <c r="H6" s="2"/>
      <c r="I6" s="2"/>
      <c r="K6" s="3"/>
      <c r="L6" s="2"/>
      <c r="M6" s="2"/>
      <c r="N6" s="2"/>
      <c r="P6" s="3">
        <v>46038</v>
      </c>
      <c r="Q6" s="7">
        <v>774522</v>
      </c>
      <c r="R6" s="2">
        <v>5447242</v>
      </c>
      <c r="S6" s="2" t="s">
        <v>107</v>
      </c>
      <c r="U6" s="3"/>
      <c r="V6" s="2"/>
      <c r="W6" s="2"/>
      <c r="X6" s="2"/>
    </row>
    <row r="7" spans="1:24" x14ac:dyDescent="0.35">
      <c r="A7" s="3"/>
      <c r="B7" s="2"/>
      <c r="C7" s="2"/>
      <c r="D7" s="2"/>
      <c r="F7" s="3"/>
      <c r="G7" s="2"/>
      <c r="H7" s="2"/>
      <c r="I7" s="2"/>
      <c r="K7" s="3"/>
      <c r="L7" s="2"/>
      <c r="M7" s="2"/>
      <c r="N7" s="2"/>
      <c r="P7" s="3">
        <v>46055</v>
      </c>
      <c r="Q7" s="7">
        <v>3000000</v>
      </c>
      <c r="R7" s="2">
        <v>5447252</v>
      </c>
      <c r="S7" s="2" t="s">
        <v>38</v>
      </c>
      <c r="U7" s="3"/>
      <c r="V7" s="2"/>
      <c r="W7" s="2"/>
      <c r="X7" s="2"/>
    </row>
    <row r="8" spans="1:24" x14ac:dyDescent="0.35">
      <c r="A8" s="3"/>
      <c r="B8" s="2"/>
      <c r="C8" s="2"/>
      <c r="D8" s="2"/>
      <c r="F8" s="3"/>
      <c r="G8" s="2"/>
      <c r="H8" s="2"/>
      <c r="I8" s="2"/>
      <c r="K8" s="3"/>
      <c r="L8" s="2"/>
      <c r="M8" s="2"/>
      <c r="N8" s="2"/>
      <c r="P8" s="3">
        <v>46055</v>
      </c>
      <c r="Q8" s="7">
        <v>2630430</v>
      </c>
      <c r="R8" s="2">
        <v>5447251</v>
      </c>
      <c r="S8" s="2" t="s">
        <v>117</v>
      </c>
      <c r="U8" s="3"/>
      <c r="V8" s="2"/>
      <c r="W8" s="2"/>
      <c r="X8" s="2"/>
    </row>
    <row r="9" spans="1:24" x14ac:dyDescent="0.35">
      <c r="A9" s="3"/>
      <c r="B9" s="2"/>
      <c r="C9" s="2"/>
      <c r="D9" s="2"/>
      <c r="F9" s="3"/>
      <c r="G9" s="2"/>
      <c r="H9" s="2"/>
      <c r="I9" s="2"/>
      <c r="K9" s="3"/>
      <c r="L9" s="2"/>
      <c r="M9" s="2"/>
      <c r="N9" s="2"/>
      <c r="P9" s="3">
        <v>46062</v>
      </c>
      <c r="Q9" s="7">
        <v>2960667</v>
      </c>
      <c r="R9" s="2">
        <v>5447255</v>
      </c>
      <c r="S9" s="2" t="s">
        <v>117</v>
      </c>
      <c r="U9" s="3"/>
      <c r="V9" s="2"/>
      <c r="W9" s="2"/>
      <c r="X9" s="2"/>
    </row>
    <row r="10" spans="1:24" x14ac:dyDescent="0.35">
      <c r="A10" s="3"/>
      <c r="B10" s="2"/>
      <c r="C10" s="2"/>
      <c r="D10" s="2"/>
      <c r="F10" s="3"/>
      <c r="G10" s="2"/>
      <c r="H10" s="2"/>
      <c r="I10" s="2"/>
      <c r="K10" s="3"/>
      <c r="L10" s="2"/>
      <c r="M10" s="2"/>
      <c r="N10" s="2"/>
      <c r="P10" s="3">
        <v>46112</v>
      </c>
      <c r="Q10" s="7">
        <v>2000000</v>
      </c>
      <c r="R10" s="2">
        <v>5447272</v>
      </c>
      <c r="S10" s="2" t="s">
        <v>38</v>
      </c>
      <c r="U10" s="3"/>
      <c r="V10" s="2"/>
      <c r="W10" s="2"/>
      <c r="X10" s="2"/>
    </row>
    <row r="11" spans="1:24" x14ac:dyDescent="0.35">
      <c r="A11" s="3"/>
      <c r="B11" s="2"/>
      <c r="C11" s="2"/>
      <c r="D11" s="2"/>
      <c r="F11" s="3"/>
      <c r="G11" s="2"/>
      <c r="H11" s="2"/>
      <c r="I11" s="2"/>
      <c r="K11" s="3"/>
      <c r="L11" s="2"/>
      <c r="M11" s="2"/>
      <c r="N11" s="2"/>
      <c r="P11" s="3">
        <v>46112</v>
      </c>
      <c r="Q11" s="7">
        <v>788678</v>
      </c>
      <c r="R11" s="2">
        <v>5447271</v>
      </c>
      <c r="S11" s="2" t="s">
        <v>117</v>
      </c>
      <c r="U11" s="3"/>
      <c r="V11" s="2"/>
      <c r="W11" s="2"/>
      <c r="X11" s="2"/>
    </row>
    <row r="12" spans="1:24" x14ac:dyDescent="0.35">
      <c r="P12" s="3">
        <v>46164</v>
      </c>
      <c r="Q12">
        <v>1875495</v>
      </c>
      <c r="R12">
        <v>5822106</v>
      </c>
      <c r="S12" s="2" t="s">
        <v>37</v>
      </c>
      <c r="U12" s="3"/>
      <c r="V12" s="2"/>
      <c r="W12" s="2"/>
      <c r="X12" s="2"/>
    </row>
    <row r="16" spans="1:24" x14ac:dyDescent="0.35">
      <c r="A16" s="12"/>
      <c r="B16" s="12" t="s">
        <v>84</v>
      </c>
      <c r="C16" s="12"/>
      <c r="D16" s="12"/>
      <c r="F16" s="12"/>
      <c r="G16" s="12" t="s">
        <v>111</v>
      </c>
      <c r="H16" s="12"/>
      <c r="I16" s="12"/>
      <c r="K16" s="12"/>
      <c r="L16" s="12" t="s">
        <v>116</v>
      </c>
      <c r="M16" s="12"/>
      <c r="N16" s="12"/>
      <c r="P16" s="12"/>
      <c r="Q16" s="12" t="s">
        <v>118</v>
      </c>
      <c r="R16" s="12"/>
      <c r="S16" s="12"/>
    </row>
    <row r="17" spans="1:19" x14ac:dyDescent="0.35">
      <c r="A17" s="11" t="s">
        <v>9</v>
      </c>
      <c r="B17" s="11" t="s">
        <v>10</v>
      </c>
      <c r="C17" s="11" t="s">
        <v>11</v>
      </c>
      <c r="D17" s="11" t="s">
        <v>12</v>
      </c>
      <c r="F17" s="11" t="s">
        <v>9</v>
      </c>
      <c r="G17" s="11" t="s">
        <v>10</v>
      </c>
      <c r="H17" s="11" t="s">
        <v>11</v>
      </c>
      <c r="I17" s="11" t="s">
        <v>12</v>
      </c>
      <c r="K17" s="11" t="s">
        <v>9</v>
      </c>
      <c r="L17" s="11" t="s">
        <v>10</v>
      </c>
      <c r="M17" s="11" t="s">
        <v>11</v>
      </c>
      <c r="N17" s="11" t="s">
        <v>12</v>
      </c>
      <c r="P17" s="11" t="s">
        <v>9</v>
      </c>
      <c r="Q17" s="11" t="s">
        <v>10</v>
      </c>
      <c r="R17" s="11" t="s">
        <v>11</v>
      </c>
      <c r="S17" s="11" t="s">
        <v>12</v>
      </c>
    </row>
    <row r="18" spans="1:19" x14ac:dyDescent="0.35">
      <c r="A18" s="3">
        <v>46045</v>
      </c>
      <c r="B18" s="7">
        <v>2000000</v>
      </c>
      <c r="C18" s="2">
        <v>5447243</v>
      </c>
      <c r="D18" s="2" t="s">
        <v>113</v>
      </c>
      <c r="F18" s="3">
        <v>46045</v>
      </c>
      <c r="G18" s="7">
        <v>3000000</v>
      </c>
      <c r="H18" s="2">
        <v>5447245</v>
      </c>
      <c r="I18" s="2" t="s">
        <v>22</v>
      </c>
      <c r="K18" s="3">
        <v>46056</v>
      </c>
      <c r="L18" s="7">
        <v>2134000</v>
      </c>
      <c r="M18" s="2">
        <v>5447250</v>
      </c>
      <c r="N18" s="2"/>
      <c r="P18" s="3">
        <v>46056</v>
      </c>
      <c r="Q18" s="7">
        <v>1070000</v>
      </c>
      <c r="R18" s="2">
        <v>5447248</v>
      </c>
      <c r="S18" s="2" t="s">
        <v>119</v>
      </c>
    </row>
    <row r="19" spans="1:19" x14ac:dyDescent="0.35">
      <c r="A19" s="3">
        <v>46049</v>
      </c>
      <c r="B19" s="7">
        <v>1000000</v>
      </c>
      <c r="C19" s="2">
        <v>5447246</v>
      </c>
      <c r="D19" s="2" t="s">
        <v>113</v>
      </c>
      <c r="F19" s="3">
        <v>46051</v>
      </c>
      <c r="G19" s="7">
        <v>9000000</v>
      </c>
      <c r="H19" s="2">
        <v>5447249</v>
      </c>
      <c r="I19" s="2" t="s">
        <v>22</v>
      </c>
      <c r="K19" s="3"/>
      <c r="L19" s="2"/>
      <c r="M19" s="2"/>
      <c r="N19" s="2"/>
      <c r="P19" s="3"/>
      <c r="Q19" s="2"/>
      <c r="R19" s="2"/>
      <c r="S19" s="2"/>
    </row>
    <row r="20" spans="1:19" x14ac:dyDescent="0.35">
      <c r="A20" s="3">
        <v>46057</v>
      </c>
      <c r="B20" s="7">
        <v>594760</v>
      </c>
      <c r="C20" s="2">
        <v>5447253</v>
      </c>
      <c r="D20" s="2" t="s">
        <v>113</v>
      </c>
      <c r="F20" s="3">
        <v>46093</v>
      </c>
      <c r="G20" s="7">
        <v>7500000</v>
      </c>
      <c r="H20" s="2">
        <v>5447260</v>
      </c>
      <c r="I20" s="2" t="s">
        <v>22</v>
      </c>
      <c r="K20" s="3"/>
      <c r="L20" s="2"/>
      <c r="M20" s="2"/>
      <c r="N20" s="2"/>
      <c r="P20" s="3"/>
      <c r="Q20" s="2"/>
      <c r="R20" s="2"/>
      <c r="S20" s="2"/>
    </row>
    <row r="21" spans="1:19" x14ac:dyDescent="0.35">
      <c r="A21" s="3">
        <v>46112</v>
      </c>
      <c r="B21" s="7">
        <v>385371</v>
      </c>
      <c r="C21" s="2">
        <v>5447275</v>
      </c>
      <c r="D21" s="2" t="s">
        <v>113</v>
      </c>
      <c r="F21" s="3">
        <v>46112</v>
      </c>
      <c r="G21" s="7">
        <v>10000000</v>
      </c>
      <c r="H21" s="2">
        <v>5447281</v>
      </c>
      <c r="I21" s="2" t="s">
        <v>138</v>
      </c>
      <c r="K21" s="3"/>
      <c r="L21" s="2"/>
      <c r="M21" s="2"/>
      <c r="N21" s="2"/>
      <c r="P21" s="3"/>
      <c r="Q21" s="2"/>
      <c r="R21" s="2"/>
      <c r="S21" s="2"/>
    </row>
    <row r="22" spans="1:19" x14ac:dyDescent="0.35">
      <c r="A22" s="3">
        <v>46129</v>
      </c>
      <c r="B22" s="7">
        <v>396158</v>
      </c>
      <c r="C22" s="2">
        <v>5447298</v>
      </c>
      <c r="D22" s="2" t="s">
        <v>13</v>
      </c>
      <c r="F22" s="3">
        <v>46112</v>
      </c>
      <c r="G22" s="7">
        <v>4496460</v>
      </c>
      <c r="H22" s="2">
        <v>5447282</v>
      </c>
      <c r="I22" s="2" t="s">
        <v>137</v>
      </c>
      <c r="K22" s="3"/>
      <c r="L22" s="2"/>
      <c r="M22" s="2"/>
      <c r="N22" s="2"/>
      <c r="P22" s="3"/>
      <c r="Q22" s="2"/>
      <c r="R22" s="2"/>
      <c r="S22" s="2"/>
    </row>
    <row r="23" spans="1:19" x14ac:dyDescent="0.35">
      <c r="A23" s="3"/>
      <c r="B23" s="7"/>
      <c r="C23" s="2"/>
      <c r="D23" s="2"/>
      <c r="F23" s="3"/>
      <c r="G23" s="7"/>
      <c r="H23" s="2"/>
      <c r="I23" s="2"/>
      <c r="K23" s="3"/>
      <c r="L23" s="2"/>
      <c r="M23" s="2"/>
      <c r="N23" s="2"/>
      <c r="P23" s="3"/>
      <c r="Q23" s="2"/>
      <c r="R23" s="2"/>
      <c r="S23" s="2"/>
    </row>
    <row r="24" spans="1:19" x14ac:dyDescent="0.35">
      <c r="A24" s="3"/>
      <c r="B24" s="7"/>
      <c r="C24" s="2"/>
      <c r="D24" s="2"/>
      <c r="F24" s="3"/>
      <c r="G24" s="7"/>
      <c r="H24" s="2"/>
      <c r="I24" s="2"/>
      <c r="K24" s="3"/>
      <c r="L24" s="2"/>
      <c r="M24" s="2"/>
      <c r="N24" s="2"/>
      <c r="P24" s="3"/>
      <c r="Q24" s="2"/>
      <c r="R24" s="2"/>
      <c r="S24" s="2"/>
    </row>
    <row r="25" spans="1:19" x14ac:dyDescent="0.35">
      <c r="A25" s="3"/>
      <c r="B25" s="7"/>
      <c r="C25" s="2"/>
      <c r="D25" s="2"/>
      <c r="F25" s="3"/>
      <c r="G25" s="7"/>
      <c r="H25" s="2"/>
      <c r="I25" s="2"/>
      <c r="K25" s="3"/>
      <c r="L25" s="2"/>
      <c r="M25" s="2"/>
      <c r="N25" s="2"/>
      <c r="P25" s="3"/>
      <c r="Q25" s="2"/>
      <c r="R25" s="2"/>
      <c r="S25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C780-D688-4B7D-A908-CD9A7DF2D755}">
  <dimension ref="B3:Y26"/>
  <sheetViews>
    <sheetView topLeftCell="A3" workbookViewId="0">
      <selection activeCell="E16" sqref="E16"/>
    </sheetView>
  </sheetViews>
  <sheetFormatPr baseColWidth="10" defaultColWidth="8.7265625" defaultRowHeight="14.5" x14ac:dyDescent="0.35"/>
  <cols>
    <col min="2" max="2" width="16.26953125" customWidth="1"/>
    <col min="3" max="3" width="16.26953125" style="1" customWidth="1"/>
    <col min="4" max="5" width="16.26953125" customWidth="1"/>
    <col min="7" max="10" width="13.453125" customWidth="1"/>
    <col min="12" max="15" width="15.54296875" customWidth="1"/>
    <col min="17" max="20" width="13.90625" customWidth="1"/>
    <col min="22" max="25" width="12.54296875" customWidth="1"/>
  </cols>
  <sheetData>
    <row r="3" spans="2:25" x14ac:dyDescent="0.35">
      <c r="B3" s="12"/>
      <c r="C3" s="40" t="s">
        <v>91</v>
      </c>
      <c r="D3" s="12"/>
      <c r="E3" s="12"/>
      <c r="G3" s="12"/>
      <c r="H3" s="40" t="s">
        <v>135</v>
      </c>
      <c r="I3" s="12"/>
      <c r="J3" s="12"/>
      <c r="L3" s="12"/>
      <c r="M3" s="40" t="s">
        <v>151</v>
      </c>
      <c r="N3" s="12"/>
      <c r="O3" s="12"/>
      <c r="Q3" s="12"/>
      <c r="R3" s="40" t="s">
        <v>152</v>
      </c>
      <c r="S3" s="12"/>
      <c r="T3" s="12"/>
      <c r="V3" s="12"/>
      <c r="W3" s="40" t="s">
        <v>157</v>
      </c>
      <c r="X3" s="12"/>
      <c r="Y3" s="12"/>
    </row>
    <row r="4" spans="2:25" x14ac:dyDescent="0.35">
      <c r="B4" s="11" t="s">
        <v>9</v>
      </c>
      <c r="C4" s="36" t="s">
        <v>10</v>
      </c>
      <c r="D4" s="11" t="s">
        <v>11</v>
      </c>
      <c r="E4" s="11" t="s">
        <v>12</v>
      </c>
      <c r="G4" s="11" t="s">
        <v>9</v>
      </c>
      <c r="H4" s="36" t="s">
        <v>10</v>
      </c>
      <c r="I4" s="11" t="s">
        <v>11</v>
      </c>
      <c r="J4" s="11" t="s">
        <v>12</v>
      </c>
      <c r="L4" s="11" t="s">
        <v>9</v>
      </c>
      <c r="M4" s="36" t="s">
        <v>10</v>
      </c>
      <c r="N4" s="11" t="s">
        <v>11</v>
      </c>
      <c r="O4" s="11" t="s">
        <v>12</v>
      </c>
      <c r="Q4" s="11" t="s">
        <v>9</v>
      </c>
      <c r="R4" s="36" t="s">
        <v>10</v>
      </c>
      <c r="S4" s="11" t="s">
        <v>11</v>
      </c>
      <c r="T4" s="11" t="s">
        <v>12</v>
      </c>
      <c r="V4" s="11" t="s">
        <v>9</v>
      </c>
      <c r="W4" s="36" t="s">
        <v>10</v>
      </c>
      <c r="X4" s="11" t="s">
        <v>11</v>
      </c>
      <c r="Y4" s="11" t="s">
        <v>12</v>
      </c>
    </row>
    <row r="5" spans="2:25" x14ac:dyDescent="0.35">
      <c r="B5" s="3">
        <v>46034</v>
      </c>
      <c r="C5" s="7">
        <v>5500000</v>
      </c>
      <c r="D5" s="2" t="s">
        <v>92</v>
      </c>
      <c r="E5" s="2" t="s">
        <v>90</v>
      </c>
      <c r="G5" s="3">
        <v>46107</v>
      </c>
      <c r="H5" s="7">
        <v>32000000</v>
      </c>
      <c r="I5" s="2" t="s">
        <v>92</v>
      </c>
      <c r="J5" s="2" t="s">
        <v>90</v>
      </c>
      <c r="L5" s="3">
        <v>46125</v>
      </c>
      <c r="M5" s="7">
        <v>87000000</v>
      </c>
      <c r="N5" s="2" t="s">
        <v>92</v>
      </c>
      <c r="O5" s="2" t="s">
        <v>90</v>
      </c>
      <c r="Q5" s="3">
        <v>46127</v>
      </c>
      <c r="R5" s="7">
        <v>51840000</v>
      </c>
      <c r="S5" s="2" t="s">
        <v>92</v>
      </c>
      <c r="T5" s="2" t="s">
        <v>90</v>
      </c>
      <c r="V5" s="3">
        <v>46133</v>
      </c>
      <c r="W5" s="7">
        <v>46080000</v>
      </c>
      <c r="X5" s="2" t="s">
        <v>92</v>
      </c>
      <c r="Y5" s="2" t="s">
        <v>90</v>
      </c>
    </row>
    <row r="6" spans="2:25" x14ac:dyDescent="0.35">
      <c r="B6" s="3">
        <v>46038</v>
      </c>
      <c r="C6" s="7">
        <v>14500000</v>
      </c>
      <c r="D6" s="2" t="s">
        <v>92</v>
      </c>
      <c r="E6" s="120" t="s">
        <v>104</v>
      </c>
      <c r="G6" s="3">
        <v>46141</v>
      </c>
      <c r="H6" s="7">
        <v>41250000</v>
      </c>
      <c r="I6" s="2" t="s">
        <v>92</v>
      </c>
      <c r="J6" s="2" t="s">
        <v>90</v>
      </c>
      <c r="L6" s="3"/>
      <c r="M6" s="7"/>
      <c r="N6" s="2"/>
      <c r="O6" s="120"/>
      <c r="Q6" s="3"/>
      <c r="R6" s="7"/>
      <c r="S6" s="2"/>
      <c r="T6" s="120"/>
      <c r="V6" s="3"/>
      <c r="W6" s="7"/>
      <c r="X6" s="2"/>
      <c r="Y6" s="120"/>
    </row>
    <row r="7" spans="2:25" x14ac:dyDescent="0.35">
      <c r="B7" s="3">
        <v>46038</v>
      </c>
      <c r="C7" s="7">
        <v>1500000</v>
      </c>
      <c r="D7" s="2" t="s">
        <v>92</v>
      </c>
      <c r="E7" s="121"/>
      <c r="G7" s="3"/>
      <c r="H7" s="7"/>
      <c r="I7" s="2"/>
      <c r="J7" s="46"/>
      <c r="L7" s="3"/>
      <c r="M7" s="7"/>
      <c r="N7" s="2"/>
      <c r="O7" s="121"/>
      <c r="Q7" s="3"/>
      <c r="R7" s="7"/>
      <c r="S7" s="2"/>
      <c r="T7" s="121"/>
      <c r="V7" s="3"/>
      <c r="W7" s="7"/>
      <c r="X7" s="2"/>
      <c r="Y7" s="121"/>
    </row>
    <row r="8" spans="2:25" x14ac:dyDescent="0.35">
      <c r="B8" s="3">
        <v>46043</v>
      </c>
      <c r="C8" s="7">
        <v>14500000</v>
      </c>
      <c r="D8" s="2" t="s">
        <v>92</v>
      </c>
      <c r="E8" s="2" t="s">
        <v>90</v>
      </c>
      <c r="G8" s="3"/>
      <c r="H8" s="7"/>
      <c r="I8" s="2"/>
      <c r="J8" s="2"/>
      <c r="L8" s="3"/>
      <c r="M8" s="7"/>
      <c r="N8" s="2"/>
      <c r="O8" s="2"/>
      <c r="Q8" s="3"/>
      <c r="R8" s="7"/>
      <c r="S8" s="2"/>
      <c r="T8" s="2"/>
      <c r="V8" s="3"/>
      <c r="W8" s="7"/>
      <c r="X8" s="2"/>
      <c r="Y8" s="2"/>
    </row>
    <row r="9" spans="2:25" x14ac:dyDescent="0.35">
      <c r="B9" s="3">
        <v>46045</v>
      </c>
      <c r="C9" s="7">
        <v>14500000</v>
      </c>
      <c r="D9" s="2" t="s">
        <v>92</v>
      </c>
      <c r="E9" s="2" t="s">
        <v>90</v>
      </c>
      <c r="G9" s="3"/>
      <c r="H9" s="7"/>
      <c r="I9" s="2"/>
      <c r="J9" s="2"/>
      <c r="L9" s="3"/>
      <c r="M9" s="7"/>
      <c r="N9" s="2"/>
      <c r="O9" s="2"/>
      <c r="Q9" s="3"/>
      <c r="R9" s="7"/>
      <c r="S9" s="2"/>
      <c r="T9" s="2"/>
      <c r="V9" s="3"/>
      <c r="W9" s="7"/>
      <c r="X9" s="2"/>
      <c r="Y9" s="2"/>
    </row>
    <row r="10" spans="2:25" x14ac:dyDescent="0.35">
      <c r="B10" s="3">
        <v>46051</v>
      </c>
      <c r="C10" s="7">
        <v>21750000</v>
      </c>
      <c r="D10" s="2" t="s">
        <v>92</v>
      </c>
      <c r="E10" s="2" t="s">
        <v>90</v>
      </c>
      <c r="G10" s="3"/>
      <c r="H10" s="7"/>
      <c r="I10" s="2"/>
      <c r="J10" s="2"/>
      <c r="L10" s="3"/>
      <c r="M10" s="7"/>
      <c r="N10" s="2"/>
      <c r="O10" s="2"/>
      <c r="Q10" s="3"/>
      <c r="R10" s="7"/>
      <c r="S10" s="2"/>
      <c r="T10" s="2"/>
      <c r="V10" s="3"/>
      <c r="W10" s="7"/>
      <c r="X10" s="2"/>
      <c r="Y10" s="2"/>
    </row>
    <row r="11" spans="2:25" x14ac:dyDescent="0.35">
      <c r="B11" s="3">
        <v>46051</v>
      </c>
      <c r="C11" s="7">
        <v>14500000</v>
      </c>
      <c r="D11" s="2" t="s">
        <v>92</v>
      </c>
      <c r="E11" s="2" t="s">
        <v>90</v>
      </c>
      <c r="G11" s="3"/>
      <c r="H11" s="7"/>
      <c r="I11" s="2"/>
      <c r="J11" s="2"/>
      <c r="L11" s="3"/>
      <c r="M11" s="7"/>
      <c r="N11" s="2"/>
      <c r="O11" s="2"/>
      <c r="Q11" s="3"/>
      <c r="R11" s="7"/>
      <c r="S11" s="2"/>
      <c r="T11" s="2"/>
      <c r="V11" s="3"/>
      <c r="W11" s="7"/>
      <c r="X11" s="2"/>
      <c r="Y11" s="2"/>
    </row>
    <row r="12" spans="2:25" x14ac:dyDescent="0.35">
      <c r="B12" s="3">
        <v>46058</v>
      </c>
      <c r="C12" s="7">
        <v>23000000</v>
      </c>
      <c r="D12" s="2" t="s">
        <v>92</v>
      </c>
      <c r="E12" s="2" t="s">
        <v>90</v>
      </c>
      <c r="G12" s="3"/>
      <c r="H12" s="7"/>
      <c r="I12" s="2"/>
      <c r="J12" s="2"/>
      <c r="L12" s="3"/>
      <c r="M12" s="7"/>
      <c r="N12" s="2"/>
      <c r="O12" s="2"/>
      <c r="Q12" s="3"/>
      <c r="R12" s="7"/>
      <c r="S12" s="2"/>
      <c r="T12" s="2"/>
      <c r="V12" s="3"/>
      <c r="W12" s="7"/>
      <c r="X12" s="2"/>
      <c r="Y12" s="2"/>
    </row>
    <row r="13" spans="2:25" x14ac:dyDescent="0.35">
      <c r="B13" s="3">
        <v>46078</v>
      </c>
      <c r="C13" s="7">
        <v>20000000</v>
      </c>
      <c r="D13" s="2" t="s">
        <v>92</v>
      </c>
      <c r="E13" s="2" t="s">
        <v>90</v>
      </c>
      <c r="G13" s="3"/>
      <c r="H13" s="7"/>
      <c r="I13" s="2"/>
      <c r="J13" s="2"/>
      <c r="L13" s="3"/>
      <c r="M13" s="7"/>
      <c r="N13" s="2"/>
      <c r="O13" s="2"/>
      <c r="Q13" s="3"/>
      <c r="R13" s="7"/>
      <c r="S13" s="2"/>
      <c r="T13" s="2"/>
      <c r="V13" s="3"/>
      <c r="W13" s="7"/>
      <c r="X13" s="2"/>
      <c r="Y13" s="2"/>
    </row>
    <row r="14" spans="2:25" x14ac:dyDescent="0.35">
      <c r="B14" s="3">
        <v>46079</v>
      </c>
      <c r="C14" s="7">
        <v>32000000</v>
      </c>
      <c r="D14" s="2" t="s">
        <v>92</v>
      </c>
      <c r="E14" s="2" t="s">
        <v>90</v>
      </c>
      <c r="G14" s="3"/>
      <c r="H14" s="7"/>
      <c r="I14" s="2"/>
      <c r="J14" s="2"/>
      <c r="L14" s="3"/>
      <c r="M14" s="7"/>
      <c r="N14" s="2"/>
      <c r="O14" s="2"/>
      <c r="Q14" s="3"/>
      <c r="R14" s="7"/>
      <c r="S14" s="2"/>
      <c r="T14" s="2"/>
      <c r="V14" s="3"/>
      <c r="W14" s="7"/>
      <c r="X14" s="2"/>
      <c r="Y14" s="2"/>
    </row>
    <row r="15" spans="2:25" x14ac:dyDescent="0.35">
      <c r="B15" s="3">
        <v>46091</v>
      </c>
      <c r="C15" s="7">
        <v>4000000</v>
      </c>
      <c r="D15" s="2" t="s">
        <v>92</v>
      </c>
      <c r="E15" s="2" t="s">
        <v>90</v>
      </c>
      <c r="G15" s="3"/>
      <c r="H15" s="7"/>
      <c r="I15" s="2"/>
      <c r="J15" s="2"/>
      <c r="L15" s="3"/>
      <c r="M15" s="7"/>
      <c r="N15" s="2"/>
      <c r="O15" s="2"/>
      <c r="Q15" s="3"/>
      <c r="R15" s="7"/>
      <c r="S15" s="2"/>
      <c r="T15" s="2"/>
      <c r="V15" s="3"/>
      <c r="W15" s="7"/>
      <c r="X15" s="2"/>
      <c r="Y15" s="2"/>
    </row>
    <row r="16" spans="2:25" x14ac:dyDescent="0.35">
      <c r="B16" s="3">
        <v>46122</v>
      </c>
      <c r="C16" s="7">
        <v>16000000</v>
      </c>
      <c r="D16" s="2" t="s">
        <v>92</v>
      </c>
      <c r="E16" s="2" t="s">
        <v>90</v>
      </c>
      <c r="G16" s="2"/>
      <c r="H16" s="7"/>
      <c r="I16" s="2"/>
      <c r="J16" s="2"/>
      <c r="L16" s="2"/>
      <c r="M16" s="7"/>
      <c r="N16" s="2"/>
      <c r="O16" s="2"/>
      <c r="Q16" s="2"/>
      <c r="R16" s="7"/>
      <c r="S16" s="2"/>
      <c r="T16" s="2"/>
      <c r="V16" s="2"/>
      <c r="W16" s="7"/>
      <c r="X16" s="2"/>
      <c r="Y16" s="2"/>
    </row>
    <row r="17" spans="2:25" x14ac:dyDescent="0.35">
      <c r="B17" s="3">
        <v>46126</v>
      </c>
      <c r="C17" s="7">
        <v>16000000</v>
      </c>
      <c r="D17" s="2" t="s">
        <v>92</v>
      </c>
      <c r="E17" s="2" t="s">
        <v>90</v>
      </c>
      <c r="G17" s="2"/>
      <c r="H17" s="7"/>
      <c r="I17" s="2"/>
      <c r="J17" s="2"/>
      <c r="L17" s="2"/>
      <c r="M17" s="7"/>
      <c r="N17" s="2"/>
      <c r="O17" s="2"/>
      <c r="Q17" s="2"/>
      <c r="R17" s="7"/>
      <c r="S17" s="2"/>
      <c r="T17" s="2"/>
      <c r="V17" s="2"/>
      <c r="W17" s="7"/>
      <c r="X17" s="2"/>
      <c r="Y17" s="2"/>
    </row>
    <row r="18" spans="2:25" x14ac:dyDescent="0.35">
      <c r="B18" s="2"/>
      <c r="C18" s="7"/>
      <c r="D18" s="2"/>
      <c r="E18" s="2"/>
      <c r="G18" s="2"/>
      <c r="H18" s="7"/>
      <c r="I18" s="2"/>
      <c r="J18" s="2"/>
      <c r="L18" s="2"/>
      <c r="M18" s="7"/>
      <c r="N18" s="2"/>
      <c r="O18" s="2"/>
      <c r="Q18" s="2"/>
      <c r="R18" s="7"/>
      <c r="S18" s="2"/>
      <c r="T18" s="2"/>
      <c r="V18" s="2"/>
      <c r="W18" s="7"/>
      <c r="X18" s="2"/>
      <c r="Y18" s="2"/>
    </row>
    <row r="19" spans="2:25" x14ac:dyDescent="0.35">
      <c r="B19" s="2"/>
      <c r="C19" s="7"/>
      <c r="D19" s="2"/>
      <c r="E19" s="2"/>
      <c r="G19" s="2"/>
      <c r="H19" s="7"/>
      <c r="I19" s="2"/>
      <c r="J19" s="2"/>
      <c r="L19" s="2"/>
      <c r="M19" s="7"/>
      <c r="N19" s="2"/>
      <c r="O19" s="2"/>
      <c r="Q19" s="2"/>
      <c r="R19" s="7"/>
      <c r="S19" s="2"/>
      <c r="T19" s="2"/>
      <c r="V19" s="2"/>
      <c r="W19" s="7"/>
      <c r="X19" s="2"/>
      <c r="Y19" s="2"/>
    </row>
    <row r="20" spans="2:25" x14ac:dyDescent="0.35">
      <c r="B20" s="2"/>
      <c r="C20" s="7"/>
      <c r="D20" s="2"/>
      <c r="E20" s="2"/>
      <c r="G20" s="2"/>
      <c r="H20" s="7"/>
      <c r="I20" s="2"/>
      <c r="J20" s="2"/>
      <c r="L20" s="2"/>
      <c r="M20" s="7"/>
      <c r="N20" s="2"/>
      <c r="O20" s="2"/>
      <c r="Q20" s="2"/>
      <c r="R20" s="7"/>
      <c r="S20" s="2"/>
      <c r="T20" s="2"/>
      <c r="V20" s="2"/>
      <c r="W20" s="7"/>
      <c r="X20" s="2"/>
      <c r="Y20" s="2"/>
    </row>
    <row r="21" spans="2:25" x14ac:dyDescent="0.35">
      <c r="B21" s="2"/>
      <c r="C21" s="7"/>
      <c r="D21" s="2"/>
      <c r="E21" s="2"/>
      <c r="G21" s="2"/>
      <c r="H21" s="7"/>
      <c r="I21" s="2"/>
      <c r="J21" s="2"/>
      <c r="L21" s="2"/>
      <c r="M21" s="7"/>
      <c r="N21" s="2"/>
      <c r="O21" s="2"/>
      <c r="Q21" s="2"/>
      <c r="R21" s="7"/>
      <c r="S21" s="2"/>
      <c r="T21" s="2"/>
      <c r="V21" s="2"/>
      <c r="W21" s="7"/>
      <c r="X21" s="2"/>
      <c r="Y21" s="2"/>
    </row>
    <row r="22" spans="2:25" x14ac:dyDescent="0.35">
      <c r="B22" s="2"/>
      <c r="C22" s="7"/>
      <c r="D22" s="2"/>
      <c r="E22" s="2"/>
      <c r="G22" s="2"/>
      <c r="H22" s="7"/>
      <c r="I22" s="2"/>
      <c r="J22" s="2"/>
      <c r="L22" s="2"/>
      <c r="M22" s="7"/>
      <c r="N22" s="2"/>
      <c r="O22" s="2"/>
      <c r="Q22" s="2"/>
      <c r="R22" s="7"/>
      <c r="S22" s="2"/>
      <c r="T22" s="2"/>
      <c r="V22" s="2"/>
      <c r="W22" s="7"/>
      <c r="X22" s="2"/>
      <c r="Y22" s="2"/>
    </row>
    <row r="23" spans="2:25" x14ac:dyDescent="0.35">
      <c r="B23" s="2"/>
      <c r="C23" s="7"/>
      <c r="D23" s="2"/>
      <c r="E23" s="2"/>
      <c r="G23" s="2"/>
      <c r="H23" s="7"/>
      <c r="I23" s="2"/>
      <c r="J23" s="2"/>
      <c r="L23" s="2"/>
      <c r="M23" s="7"/>
      <c r="N23" s="2"/>
      <c r="O23" s="2"/>
      <c r="Q23" s="2"/>
      <c r="R23" s="7"/>
      <c r="S23" s="2"/>
      <c r="T23" s="2"/>
      <c r="V23" s="2"/>
      <c r="W23" s="7"/>
      <c r="X23" s="2"/>
      <c r="Y23" s="2"/>
    </row>
    <row r="24" spans="2:25" x14ac:dyDescent="0.35">
      <c r="B24" s="2"/>
      <c r="C24" s="7"/>
      <c r="D24" s="2"/>
      <c r="E24" s="2"/>
      <c r="G24" s="2"/>
      <c r="H24" s="7"/>
      <c r="I24" s="2"/>
      <c r="J24" s="2"/>
      <c r="L24" s="2"/>
      <c r="M24" s="7"/>
      <c r="N24" s="2"/>
      <c r="O24" s="2"/>
      <c r="Q24" s="2"/>
      <c r="R24" s="7"/>
      <c r="S24" s="2"/>
      <c r="T24" s="2"/>
      <c r="V24" s="2"/>
      <c r="W24" s="7"/>
      <c r="X24" s="2"/>
      <c r="Y24" s="2"/>
    </row>
    <row r="25" spans="2:25" x14ac:dyDescent="0.35">
      <c r="B25" s="2"/>
      <c r="C25" s="7"/>
      <c r="D25" s="2"/>
      <c r="E25" s="2"/>
      <c r="G25" s="2"/>
      <c r="H25" s="7"/>
      <c r="I25" s="2"/>
      <c r="J25" s="2"/>
      <c r="L25" s="2"/>
      <c r="M25" s="7"/>
      <c r="N25" s="2"/>
      <c r="O25" s="2"/>
      <c r="Q25" s="2"/>
      <c r="R25" s="7"/>
      <c r="S25" s="2"/>
      <c r="T25" s="2"/>
      <c r="V25" s="2"/>
      <c r="W25" s="7"/>
      <c r="X25" s="2"/>
      <c r="Y25" s="2"/>
    </row>
    <row r="26" spans="2:25" x14ac:dyDescent="0.35">
      <c r="B26" s="2"/>
      <c r="C26" s="7"/>
      <c r="D26" s="2"/>
      <c r="E26" s="2"/>
      <c r="G26" s="2"/>
      <c r="H26" s="7"/>
      <c r="I26" s="2"/>
      <c r="J26" s="2"/>
      <c r="L26" s="2"/>
      <c r="M26" s="7"/>
      <c r="N26" s="2"/>
      <c r="O26" s="2"/>
      <c r="Q26" s="2"/>
      <c r="R26" s="7"/>
      <c r="S26" s="2"/>
      <c r="T26" s="2"/>
      <c r="V26" s="2"/>
      <c r="W26" s="7"/>
      <c r="X26" s="2"/>
      <c r="Y26" s="2"/>
    </row>
  </sheetData>
  <mergeCells count="4">
    <mergeCell ref="E6:E7"/>
    <mergeCell ref="O6:O7"/>
    <mergeCell ref="T6:T7"/>
    <mergeCell ref="Y6:Y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CHECKING</vt:lpstr>
      <vt:lpstr>STATEMENT</vt:lpstr>
      <vt:lpstr>MVT_CAISSE</vt:lpstr>
      <vt:lpstr>BANQUE</vt:lpstr>
      <vt:lpstr>VENTE_EXP_LOCAL_(CREDIT)</vt:lpstr>
      <vt:lpstr>ACHAT_MP_(DEBIT)</vt:lpstr>
      <vt:lpstr>DEPENCES_EXP ACC_(DEBIT)</vt:lpstr>
      <vt:lpstr>AUTRES_DEPENSES_(DEBIT)</vt:lpstr>
      <vt:lpstr>Sheet1</vt:lpstr>
      <vt:lpstr>SUIVI CHEQUIER</vt:lpstr>
      <vt:lpstr>CHEQUE GIVEB ON COMPANYS NAME,</vt:lpstr>
      <vt:lpstr>UD CAKE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Alliance BODJRENOU</cp:lastModifiedBy>
  <dcterms:created xsi:type="dcterms:W3CDTF">2026-05-01T11:28:53Z</dcterms:created>
  <dcterms:modified xsi:type="dcterms:W3CDTF">2026-10-16T17:43:14Z</dcterms:modified>
</cp:coreProperties>
</file>