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00D8FA6-4350-4333-A683-DBC19256E8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ynthese" sheetId="1" r:id="rId1"/>
    <sheet name="Ventes" sheetId="2" r:id="rId2"/>
    <sheet name="CA_par_Client" sheetId="3" r:id="rId3"/>
    <sheet name="CA_par_Produit" sheetId="4" r:id="rId4"/>
    <sheet name="Lis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E8" i="4" s="1"/>
  <c r="B8" i="4"/>
  <c r="D7" i="4"/>
  <c r="C7" i="4"/>
  <c r="E7" i="4" s="1"/>
  <c r="B7" i="4"/>
  <c r="D6" i="4"/>
  <c r="C6" i="4"/>
  <c r="E6" i="4" s="1"/>
  <c r="B6" i="4"/>
  <c r="D5" i="4"/>
  <c r="D10" i="4" s="1"/>
  <c r="C5" i="4"/>
  <c r="C10" i="4" s="1"/>
  <c r="B5" i="4"/>
  <c r="B10" i="4" s="1"/>
  <c r="D7" i="3"/>
  <c r="C7" i="3"/>
  <c r="F7" i="3" s="1"/>
  <c r="B7" i="3"/>
  <c r="D6" i="3"/>
  <c r="C6" i="3"/>
  <c r="F6" i="3" s="1"/>
  <c r="B6" i="3"/>
  <c r="D5" i="3"/>
  <c r="D9" i="3" s="1"/>
  <c r="C5" i="3"/>
  <c r="C9" i="3" s="1"/>
  <c r="B5" i="3"/>
  <c r="N56" i="2"/>
  <c r="H56" i="2"/>
  <c r="B8" i="1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L56" i="2" s="1"/>
  <c r="B5" i="1"/>
  <c r="O45" i="2" l="1"/>
  <c r="Q45" i="2"/>
  <c r="Q46" i="2"/>
  <c r="O46" i="2"/>
  <c r="O6" i="2"/>
  <c r="Q6" i="2"/>
  <c r="O54" i="2"/>
  <c r="Q54" i="2"/>
  <c r="Q19" i="2"/>
  <c r="O19" i="2"/>
  <c r="Q8" i="2"/>
  <c r="O8" i="2"/>
  <c r="Q44" i="2"/>
  <c r="O44" i="2"/>
  <c r="O21" i="2"/>
  <c r="Q21" i="2"/>
  <c r="Q22" i="2"/>
  <c r="O22" i="2"/>
  <c r="Q23" i="2"/>
  <c r="O23" i="2"/>
  <c r="Q35" i="2"/>
  <c r="O35" i="2"/>
  <c r="Q47" i="2"/>
  <c r="O47" i="2"/>
  <c r="Q32" i="2"/>
  <c r="O32" i="2"/>
  <c r="Q33" i="2"/>
  <c r="O33" i="2"/>
  <c r="Q34" i="2"/>
  <c r="O34" i="2"/>
  <c r="Q12" i="2"/>
  <c r="O12" i="2"/>
  <c r="O36" i="2"/>
  <c r="Q36" i="2"/>
  <c r="Q48" i="2"/>
  <c r="O48" i="2"/>
  <c r="O18" i="2"/>
  <c r="Q18" i="2"/>
  <c r="Q7" i="2"/>
  <c r="O7" i="2"/>
  <c r="Q31" i="2"/>
  <c r="O31" i="2"/>
  <c r="Q20" i="2"/>
  <c r="O20" i="2"/>
  <c r="Q9" i="2"/>
  <c r="O9" i="2"/>
  <c r="Q10" i="2"/>
  <c r="O10" i="2"/>
  <c r="Q11" i="2"/>
  <c r="O11" i="2"/>
  <c r="Q24" i="2"/>
  <c r="O24" i="2"/>
  <c r="Q13" i="2"/>
  <c r="O13" i="2"/>
  <c r="Q25" i="2"/>
  <c r="O25" i="2"/>
  <c r="Q37" i="2"/>
  <c r="O37" i="2"/>
  <c r="Q49" i="2"/>
  <c r="O49" i="2"/>
  <c r="O42" i="2"/>
  <c r="Q42" i="2"/>
  <c r="Q43" i="2"/>
  <c r="O43" i="2"/>
  <c r="Q14" i="2"/>
  <c r="O14" i="2"/>
  <c r="Q26" i="2"/>
  <c r="O26" i="2"/>
  <c r="Q38" i="2"/>
  <c r="O38" i="2"/>
  <c r="Q50" i="2"/>
  <c r="O50" i="2"/>
  <c r="O15" i="2"/>
  <c r="Q15" i="2"/>
  <c r="O27" i="2"/>
  <c r="Q27" i="2"/>
  <c r="O39" i="2"/>
  <c r="Q39" i="2"/>
  <c r="O51" i="2"/>
  <c r="Q51" i="2"/>
  <c r="O30" i="2"/>
  <c r="Q30" i="2"/>
  <c r="Q16" i="2"/>
  <c r="O16" i="2"/>
  <c r="Q28" i="2"/>
  <c r="O28" i="2"/>
  <c r="Q40" i="2"/>
  <c r="O40" i="2"/>
  <c r="Q52" i="2"/>
  <c r="O52" i="2"/>
  <c r="Q17" i="2"/>
  <c r="O17" i="2"/>
  <c r="Q29" i="2"/>
  <c r="O29" i="2"/>
  <c r="Q41" i="2"/>
  <c r="O41" i="2"/>
  <c r="Q53" i="2"/>
  <c r="O53" i="2"/>
  <c r="M5" i="2"/>
  <c r="E7" i="3"/>
  <c r="F5" i="3"/>
  <c r="E5" i="3"/>
  <c r="E6" i="3"/>
  <c r="E5" i="4"/>
  <c r="E10" i="4" s="1"/>
  <c r="E9" i="3" l="1"/>
  <c r="M56" i="2"/>
  <c r="B4" i="1" s="1"/>
  <c r="B7" i="1" s="1"/>
  <c r="Q5" i="2"/>
  <c r="O5" i="2"/>
  <c r="O56" i="2" s="1"/>
  <c r="B6" i="1" s="1"/>
</calcChain>
</file>

<file path=xl/sharedStrings.xml><?xml version="1.0" encoding="utf-8"?>
<sst xmlns="http://schemas.openxmlformats.org/spreadsheetml/2006/main" count="86" uniqueCount="71">
  <si>
    <t>TABLEAU DE BORD — CHIFFRE D'AFFAIRES EXPORT</t>
  </si>
  <si>
    <t>INDICATEURS CLÉS</t>
  </si>
  <si>
    <t>Chiffre d'affaires HT (XOF)</t>
  </si>
  <si>
    <t>Total Encaissé (XOF)</t>
  </si>
  <si>
    <t>Reste à encaisser (XOF)</t>
  </si>
  <si>
    <t>% Encaissé</t>
  </si>
  <si>
    <t>Volume total vendu (MT)</t>
  </si>
  <si>
    <t>COMMENT UTILISER</t>
  </si>
  <si>
    <t>1. Onglet VENTES : saisissez chaque facture export (client, BL, produit, quantité, prix, devise, taux de change).</t>
  </si>
  <si>
    <t>2. Le CA HT (devise et XOF) se calcule tout seul. Indiquez le montant encaissé en case jaune.</t>
  </si>
  <si>
    <t>3. Statut se met à jour : Émise / Partiellement payée / Payée.</t>
  </si>
  <si>
    <t>4. CA par Client et CA par Produit : vues automatiques pour piloter l'activité.</t>
  </si>
  <si>
    <t>5. Onglet Listes : ajoutez vos clients et produits pour les listes déroulantes.</t>
  </si>
  <si>
    <t>NAP SARL — Suivi Chiffre d'Affaires Export — Fichier simple</t>
  </si>
  <si>
    <t>SUIVI DU CHIFFRE D'AFFAIRES — VENTES EXPORT — NAP SARL</t>
  </si>
  <si>
    <t>Une ligne = une facture / une vente. Le CA HT se calcule automatiquement (Quantité × Prix). Renseignez les encaissements pour suivre ce qui est réellement rentré.</t>
  </si>
  <si>
    <t>N°</t>
  </si>
  <si>
    <t>Date Facture</t>
  </si>
  <si>
    <t>N° Facture</t>
  </si>
  <si>
    <t>Client</t>
  </si>
  <si>
    <t>N° Contrat</t>
  </si>
  <si>
    <t>N° BL</t>
  </si>
  <si>
    <t>Produit</t>
  </si>
  <si>
    <t>Quantité (MT)</t>
  </si>
  <si>
    <t>Prix Unitaire</t>
  </si>
  <si>
    <t>Devise</t>
  </si>
  <si>
    <t>Taux de change (vers XOF)</t>
  </si>
  <si>
    <t>CA HT (Devise)</t>
  </si>
  <si>
    <t>CA HT (XOF)</t>
  </si>
  <si>
    <t>Montant Encaissé (XOF)</t>
  </si>
  <si>
    <t>Reste à Encaisser (XOF)</t>
  </si>
  <si>
    <t>Incoterm</t>
  </si>
  <si>
    <t>Statut</t>
  </si>
  <si>
    <t>Observations</t>
  </si>
  <si>
    <t>TOTAUX</t>
  </si>
  <si>
    <t>LÉGENDE : Texte bleu = saisie | Jaune = Montant encaissé | Gris = calcul auto | Vert = Payée / soldé | Rouge = reste dû / facture émise | Orange = partiel</t>
  </si>
  <si>
    <t>CHIFFRE D'AFFAIRES PAR CLIENT</t>
  </si>
  <si>
    <t>Résumé automatique par client (basé sur l'onglet Ventes).</t>
  </si>
  <si>
    <t>Nb Factures</t>
  </si>
  <si>
    <t>Encaissé (XOF)</t>
  </si>
  <si>
    <t>Reste (XOF)</t>
  </si>
  <si>
    <t>BUNGE LIPID ENZYMTEC SDN BHD</t>
  </si>
  <si>
    <t>Client 2</t>
  </si>
  <si>
    <t>Client 3</t>
  </si>
  <si>
    <t>TOTAL</t>
  </si>
  <si>
    <t>CHIFFRE D'AFFAIRES PAR PRODUIT</t>
  </si>
  <si>
    <t>Quantité totale (MT)</t>
  </si>
  <si>
    <t>Shea Nut (Noir de Karité)</t>
  </si>
  <si>
    <t>Cotton Seed (Graines de Coton)</t>
  </si>
  <si>
    <t>Soja (Graines de Soja)</t>
  </si>
  <si>
    <t>Beurre de Karité Brut</t>
  </si>
  <si>
    <t>LISTES DE RÉFÉRENCE — CHIFFRE D'AFFAIRES</t>
  </si>
  <si>
    <t>Clients</t>
  </si>
  <si>
    <t>Produits</t>
  </si>
  <si>
    <t>Incoterms</t>
  </si>
  <si>
    <t>Devises</t>
  </si>
  <si>
    <t>Statuts Facture</t>
  </si>
  <si>
    <t>FOB</t>
  </si>
  <si>
    <t>USD</t>
  </si>
  <si>
    <t>Brouillon</t>
  </si>
  <si>
    <t>CIF</t>
  </si>
  <si>
    <t>EUR</t>
  </si>
  <si>
    <t>Émise</t>
  </si>
  <si>
    <t>CFR</t>
  </si>
  <si>
    <t>XOF</t>
  </si>
  <si>
    <t>Partiellement payée</t>
  </si>
  <si>
    <t>EXW</t>
  </si>
  <si>
    <t>Payée</t>
  </si>
  <si>
    <t>FCA</t>
  </si>
  <si>
    <t>Annulée</t>
  </si>
  <si>
    <t>Ajoutez ici vos clients et produits. Les listes déroulantes des autres onglets s'appuient sur ces colonnes.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</si>
</sst>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sz val="9"/>
      <color rgb="FF666666"/>
      <name val="Arial"/>
      <family val="2"/>
    </font>
    <font>
      <b/>
      <sz val="11"/>
      <name val="Arial"/>
      <family val="2"/>
    </font>
    <font>
      <b/>
      <sz val="12"/>
      <color rgb="FF1F4E79"/>
      <name val="Arial"/>
      <family val="2"/>
    </font>
    <font>
      <b/>
      <sz val="12"/>
      <name val="Arial"/>
      <family val="2"/>
    </font>
    <font>
      <i/>
      <sz val="9"/>
      <color rgb="FF88888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/>
    <xf numFmtId="0" fontId="7" fillId="5" borderId="1" xfId="0" applyFont="1" applyFill="1" applyBorder="1"/>
    <xf numFmtId="4" fontId="11" fillId="0" borderId="1" xfId="0" applyNumberFormat="1" applyFont="1" applyBorder="1"/>
    <xf numFmtId="4" fontId="11" fillId="6" borderId="1" xfId="0" applyNumberFormat="1" applyFont="1" applyFill="1" applyBorder="1"/>
    <xf numFmtId="4" fontId="11" fillId="7" borderId="1" xfId="0" applyNumberFormat="1" applyFont="1" applyFill="1" applyBorder="1"/>
    <xf numFmtId="164" fontId="11" fillId="0" borderId="1" xfId="0" applyNumberFormat="1" applyFont="1" applyBorder="1"/>
    <xf numFmtId="0" fontId="3" fillId="0" borderId="0" xfId="0" applyFont="1"/>
    <xf numFmtId="0" fontId="12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4" fontId="6" fillId="0" borderId="1" xfId="0" applyNumberFormat="1" applyFont="1" applyBorder="1"/>
    <xf numFmtId="4" fontId="5" fillId="3" borderId="1" xfId="0" applyNumberFormat="1" applyFont="1" applyFill="1" applyBorder="1"/>
    <xf numFmtId="4" fontId="6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7" fillId="0" borderId="0" xfId="0" applyFont="1"/>
    <xf numFmtId="4" fontId="7" fillId="5" borderId="1" xfId="0" applyNumberFormat="1" applyFont="1" applyFill="1" applyBorder="1"/>
    <xf numFmtId="0" fontId="3" fillId="0" borderId="1" xfId="0" applyFont="1" applyBorder="1"/>
    <xf numFmtId="4" fontId="5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4" fontId="9" fillId="5" borderId="1" xfId="0" applyNumberFormat="1" applyFont="1" applyFill="1" applyBorder="1"/>
    <xf numFmtId="0" fontId="1" fillId="0" borderId="0" xfId="0" applyFont="1"/>
    <xf numFmtId="0" fontId="0" fillId="0" borderId="0" xfId="0"/>
    <xf numFmtId="0" fontId="3" fillId="0" borderId="0" xfId="0" applyFont="1"/>
    <xf numFmtId="0" fontId="8" fillId="0" borderId="0" xfId="0" applyFont="1"/>
    <xf numFmtId="0" fontId="4" fillId="0" borderId="0" xfId="0" applyFo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7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1" defaultTableStyle="TableStyleMedium9" defaultPivotStyle="PivotStyleLight16">
    <tableStyle name="Invisible" pivot="0" table="0" count="0" xr9:uid="{34BBD0F3-210D-40D7-A72F-90061F5933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27" sqref="A27"/>
    </sheetView>
  </sheetViews>
  <sheetFormatPr baseColWidth="10" defaultColWidth="8.7265625" defaultRowHeight="14.5" x14ac:dyDescent="0.35"/>
  <cols>
    <col min="1" max="1" width="32" customWidth="1"/>
    <col min="2" max="2" width="18" customWidth="1"/>
  </cols>
  <sheetData>
    <row r="1" spans="1:4" ht="28" customHeight="1" x14ac:dyDescent="0.4">
      <c r="A1" s="29" t="s">
        <v>0</v>
      </c>
      <c r="B1" s="30"/>
      <c r="C1" s="30"/>
      <c r="D1" s="30"/>
    </row>
    <row r="3" spans="1:4" ht="15.5" x14ac:dyDescent="0.35">
      <c r="A3" s="1" t="s">
        <v>1</v>
      </c>
    </row>
    <row r="4" spans="1:4" ht="15.5" x14ac:dyDescent="0.35">
      <c r="A4" s="2" t="s">
        <v>2</v>
      </c>
      <c r="B4" s="3">
        <f>Ventes!M56</f>
        <v>0</v>
      </c>
    </row>
    <row r="5" spans="1:4" ht="15.5" x14ac:dyDescent="0.35">
      <c r="A5" s="2" t="s">
        <v>3</v>
      </c>
      <c r="B5" s="4">
        <f>Ventes!N56</f>
        <v>0</v>
      </c>
    </row>
    <row r="6" spans="1:4" ht="15.5" x14ac:dyDescent="0.35">
      <c r="A6" s="2" t="s">
        <v>4</v>
      </c>
      <c r="B6" s="5">
        <f>Ventes!O56</f>
        <v>0</v>
      </c>
    </row>
    <row r="7" spans="1:4" ht="15.5" x14ac:dyDescent="0.35">
      <c r="A7" s="2" t="s">
        <v>5</v>
      </c>
      <c r="B7" s="6">
        <f>IF(B4=0,0,B5/B4)</f>
        <v>0</v>
      </c>
    </row>
    <row r="8" spans="1:4" ht="15.5" x14ac:dyDescent="0.35">
      <c r="A8" s="2" t="s">
        <v>6</v>
      </c>
      <c r="B8" s="3">
        <f>Ventes!H56</f>
        <v>0</v>
      </c>
    </row>
    <row r="10" spans="1:4" hidden="1" x14ac:dyDescent="0.35"/>
    <row r="11" spans="1:4" ht="15.5" hidden="1" x14ac:dyDescent="0.35">
      <c r="A11" s="1" t="s">
        <v>7</v>
      </c>
    </row>
    <row r="12" spans="1:4" hidden="1" x14ac:dyDescent="0.35">
      <c r="A12" s="26" t="s">
        <v>8</v>
      </c>
      <c r="B12" s="25"/>
      <c r="C12" s="25"/>
      <c r="D12" s="25"/>
    </row>
    <row r="13" spans="1:4" hidden="1" x14ac:dyDescent="0.35">
      <c r="A13" s="26" t="s">
        <v>9</v>
      </c>
      <c r="B13" s="25"/>
      <c r="C13" s="25"/>
      <c r="D13" s="25"/>
    </row>
    <row r="14" spans="1:4" hidden="1" x14ac:dyDescent="0.35">
      <c r="A14" s="26" t="s">
        <v>10</v>
      </c>
      <c r="B14" s="25"/>
      <c r="C14" s="25"/>
      <c r="D14" s="25"/>
    </row>
    <row r="15" spans="1:4" hidden="1" x14ac:dyDescent="0.35">
      <c r="A15" s="26" t="s">
        <v>11</v>
      </c>
      <c r="B15" s="25"/>
      <c r="C15" s="25"/>
      <c r="D15" s="25"/>
    </row>
    <row r="16" spans="1:4" hidden="1" x14ac:dyDescent="0.35">
      <c r="A16" s="26" t="s">
        <v>12</v>
      </c>
      <c r="B16" s="25"/>
      <c r="C16" s="25"/>
      <c r="D16" s="25"/>
    </row>
    <row r="17" spans="1:1" hidden="1" x14ac:dyDescent="0.35"/>
    <row r="18" spans="1:1" hidden="1" x14ac:dyDescent="0.35"/>
    <row r="19" spans="1:1" hidden="1" x14ac:dyDescent="0.35">
      <c r="A19" s="8" t="s">
        <v>13</v>
      </c>
    </row>
  </sheetData>
  <mergeCells count="5"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"/>
  <sheetViews>
    <sheetView workbookViewId="0">
      <selection sqref="A1:P1"/>
    </sheetView>
  </sheetViews>
  <sheetFormatPr baseColWidth="10" defaultColWidth="8.7265625" defaultRowHeight="14.5" x14ac:dyDescent="0.35"/>
  <cols>
    <col min="1" max="1" width="5" customWidth="1"/>
    <col min="2" max="3" width="12" customWidth="1"/>
    <col min="4" max="4" width="28" customWidth="1"/>
    <col min="5" max="6" width="12" customWidth="1"/>
    <col min="7" max="7" width="24" customWidth="1"/>
    <col min="8" max="9" width="12" customWidth="1"/>
    <col min="10" max="10" width="8" customWidth="1"/>
    <col min="11" max="11" width="14" customWidth="1"/>
    <col min="12" max="12" width="12" customWidth="1"/>
    <col min="13" max="13" width="14" customWidth="1"/>
    <col min="14" max="15" width="16" customWidth="1"/>
    <col min="16" max="16" width="10" customWidth="1"/>
    <col min="17" max="17" width="14" customWidth="1"/>
    <col min="18" max="18" width="22" customWidth="1"/>
  </cols>
  <sheetData>
    <row r="1" spans="1:18" ht="28" customHeight="1" x14ac:dyDescent="0.4">
      <c r="A1" s="24" t="s">
        <v>14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8" x14ac:dyDescent="0.35">
      <c r="A2" s="28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18" ht="40" customHeight="1" x14ac:dyDescent="0.35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 t="s">
        <v>26</v>
      </c>
      <c r="L4" s="10" t="s">
        <v>27</v>
      </c>
      <c r="M4" s="10" t="s">
        <v>28</v>
      </c>
      <c r="N4" s="10" t="s">
        <v>29</v>
      </c>
      <c r="O4" s="10" t="s">
        <v>30</v>
      </c>
      <c r="P4" s="10" t="s">
        <v>31</v>
      </c>
      <c r="Q4" s="10" t="s">
        <v>32</v>
      </c>
      <c r="R4" s="10" t="s">
        <v>33</v>
      </c>
    </row>
    <row r="5" spans="1:18" x14ac:dyDescent="0.35">
      <c r="A5" s="11">
        <v>1</v>
      </c>
      <c r="B5" s="12"/>
      <c r="C5" s="12"/>
      <c r="D5" s="12"/>
      <c r="E5" s="12"/>
      <c r="F5" s="12"/>
      <c r="G5" s="12"/>
      <c r="H5" s="13"/>
      <c r="I5" s="13"/>
      <c r="J5" s="12"/>
      <c r="K5" s="13"/>
      <c r="L5" s="14" t="str">
        <f t="shared" ref="L5:L36" si="0">IF(OR(H5="",I5=""),"",H5*I5)</f>
        <v/>
      </c>
      <c r="M5" s="14" t="str">
        <f t="shared" ref="M5:M36" si="1">IF(OR(L5="",K5=""),"",L5*K5)</f>
        <v/>
      </c>
      <c r="N5" s="15"/>
      <c r="O5" s="14" t="str">
        <f t="shared" ref="O5:O36" si="2">IF(M5="","",M5-IF(N5="",0,N5))</f>
        <v/>
      </c>
      <c r="P5" s="12"/>
      <c r="Q5" s="16" t="str">
        <f t="shared" ref="Q5:Q36" si="3">IF(M5="","",IF(N5="", "Émise", IF(O5&lt;=0, "Payée", IF(N5&gt;0, "Partiellement payée", "Émise"))))</f>
        <v/>
      </c>
      <c r="R5" s="12"/>
    </row>
    <row r="6" spans="1:18" x14ac:dyDescent="0.35">
      <c r="A6" s="11">
        <v>2</v>
      </c>
      <c r="B6" s="12"/>
      <c r="C6" s="12"/>
      <c r="D6" s="12"/>
      <c r="E6" s="12"/>
      <c r="F6" s="12"/>
      <c r="G6" s="12"/>
      <c r="H6" s="13"/>
      <c r="I6" s="13"/>
      <c r="J6" s="12"/>
      <c r="K6" s="13"/>
      <c r="L6" s="14" t="str">
        <f t="shared" si="0"/>
        <v/>
      </c>
      <c r="M6" s="14" t="str">
        <f t="shared" si="1"/>
        <v/>
      </c>
      <c r="N6" s="15"/>
      <c r="O6" s="14" t="str">
        <f t="shared" si="2"/>
        <v/>
      </c>
      <c r="P6" s="12"/>
      <c r="Q6" s="16" t="str">
        <f t="shared" si="3"/>
        <v/>
      </c>
      <c r="R6" s="12"/>
    </row>
    <row r="7" spans="1:18" x14ac:dyDescent="0.35">
      <c r="A7" s="11">
        <v>3</v>
      </c>
      <c r="B7" s="12"/>
      <c r="C7" s="12"/>
      <c r="D7" s="12"/>
      <c r="E7" s="12"/>
      <c r="F7" s="12"/>
      <c r="G7" s="12"/>
      <c r="H7" s="13"/>
      <c r="I7" s="13"/>
      <c r="J7" s="12"/>
      <c r="K7" s="13"/>
      <c r="L7" s="14" t="str">
        <f t="shared" si="0"/>
        <v/>
      </c>
      <c r="M7" s="14" t="str">
        <f t="shared" si="1"/>
        <v/>
      </c>
      <c r="N7" s="15"/>
      <c r="O7" s="14" t="str">
        <f t="shared" si="2"/>
        <v/>
      </c>
      <c r="P7" s="12"/>
      <c r="Q7" s="16" t="str">
        <f t="shared" si="3"/>
        <v/>
      </c>
      <c r="R7" s="12"/>
    </row>
    <row r="8" spans="1:18" x14ac:dyDescent="0.35">
      <c r="A8" s="11">
        <v>4</v>
      </c>
      <c r="B8" s="12"/>
      <c r="C8" s="12"/>
      <c r="D8" s="12"/>
      <c r="E8" s="12"/>
      <c r="F8" s="12"/>
      <c r="G8" s="12"/>
      <c r="H8" s="13"/>
      <c r="I8" s="13"/>
      <c r="J8" s="12"/>
      <c r="K8" s="13"/>
      <c r="L8" s="14" t="str">
        <f t="shared" si="0"/>
        <v/>
      </c>
      <c r="M8" s="14" t="str">
        <f t="shared" si="1"/>
        <v/>
      </c>
      <c r="N8" s="15"/>
      <c r="O8" s="14" t="str">
        <f t="shared" si="2"/>
        <v/>
      </c>
      <c r="P8" s="12"/>
      <c r="Q8" s="16" t="str">
        <f t="shared" si="3"/>
        <v/>
      </c>
      <c r="R8" s="12"/>
    </row>
    <row r="9" spans="1:18" x14ac:dyDescent="0.35">
      <c r="A9" s="11">
        <v>5</v>
      </c>
      <c r="B9" s="12"/>
      <c r="C9" s="12"/>
      <c r="D9" s="12"/>
      <c r="E9" s="12"/>
      <c r="F9" s="12"/>
      <c r="G9" s="12"/>
      <c r="H9" s="13"/>
      <c r="I9" s="13"/>
      <c r="J9" s="12"/>
      <c r="K9" s="13"/>
      <c r="L9" s="14" t="str">
        <f t="shared" si="0"/>
        <v/>
      </c>
      <c r="M9" s="14" t="str">
        <f t="shared" si="1"/>
        <v/>
      </c>
      <c r="N9" s="15"/>
      <c r="O9" s="14" t="str">
        <f t="shared" si="2"/>
        <v/>
      </c>
      <c r="P9" s="12"/>
      <c r="Q9" s="16" t="str">
        <f t="shared" si="3"/>
        <v/>
      </c>
      <c r="R9" s="12"/>
    </row>
    <row r="10" spans="1:18" x14ac:dyDescent="0.35">
      <c r="A10" s="11">
        <v>6</v>
      </c>
      <c r="B10" s="12"/>
      <c r="C10" s="12"/>
      <c r="D10" s="12"/>
      <c r="E10" s="12"/>
      <c r="F10" s="12"/>
      <c r="G10" s="12"/>
      <c r="H10" s="13"/>
      <c r="I10" s="13"/>
      <c r="J10" s="12"/>
      <c r="K10" s="13"/>
      <c r="L10" s="14" t="str">
        <f t="shared" si="0"/>
        <v/>
      </c>
      <c r="M10" s="14" t="str">
        <f t="shared" si="1"/>
        <v/>
      </c>
      <c r="N10" s="15"/>
      <c r="O10" s="14" t="str">
        <f t="shared" si="2"/>
        <v/>
      </c>
      <c r="P10" s="12"/>
      <c r="Q10" s="16" t="str">
        <f t="shared" si="3"/>
        <v/>
      </c>
      <c r="R10" s="12"/>
    </row>
    <row r="11" spans="1:18" x14ac:dyDescent="0.35">
      <c r="A11" s="11">
        <v>7</v>
      </c>
      <c r="B11" s="12"/>
      <c r="C11" s="12"/>
      <c r="D11" s="12"/>
      <c r="E11" s="12"/>
      <c r="F11" s="12"/>
      <c r="G11" s="12"/>
      <c r="H11" s="13"/>
      <c r="I11" s="13"/>
      <c r="J11" s="12"/>
      <c r="K11" s="13"/>
      <c r="L11" s="14" t="str">
        <f t="shared" si="0"/>
        <v/>
      </c>
      <c r="M11" s="14" t="str">
        <f t="shared" si="1"/>
        <v/>
      </c>
      <c r="N11" s="15"/>
      <c r="O11" s="14" t="str">
        <f t="shared" si="2"/>
        <v/>
      </c>
      <c r="P11" s="12"/>
      <c r="Q11" s="16" t="str">
        <f t="shared" si="3"/>
        <v/>
      </c>
      <c r="R11" s="12"/>
    </row>
    <row r="12" spans="1:18" x14ac:dyDescent="0.35">
      <c r="A12" s="11">
        <v>8</v>
      </c>
      <c r="B12" s="12"/>
      <c r="C12" s="12"/>
      <c r="D12" s="12"/>
      <c r="E12" s="12"/>
      <c r="F12" s="12"/>
      <c r="G12" s="12"/>
      <c r="H12" s="13"/>
      <c r="I12" s="13"/>
      <c r="J12" s="12"/>
      <c r="K12" s="13"/>
      <c r="L12" s="14" t="str">
        <f t="shared" si="0"/>
        <v/>
      </c>
      <c r="M12" s="14" t="str">
        <f t="shared" si="1"/>
        <v/>
      </c>
      <c r="N12" s="15"/>
      <c r="O12" s="14" t="str">
        <f t="shared" si="2"/>
        <v/>
      </c>
      <c r="P12" s="12"/>
      <c r="Q12" s="16" t="str">
        <f t="shared" si="3"/>
        <v/>
      </c>
      <c r="R12" s="12"/>
    </row>
    <row r="13" spans="1:18" x14ac:dyDescent="0.35">
      <c r="A13" s="11">
        <v>9</v>
      </c>
      <c r="B13" s="12"/>
      <c r="C13" s="12"/>
      <c r="D13" s="12"/>
      <c r="E13" s="12"/>
      <c r="F13" s="12"/>
      <c r="G13" s="12"/>
      <c r="H13" s="13"/>
      <c r="I13" s="13"/>
      <c r="J13" s="12"/>
      <c r="K13" s="13"/>
      <c r="L13" s="14" t="str">
        <f t="shared" si="0"/>
        <v/>
      </c>
      <c r="M13" s="14" t="str">
        <f t="shared" si="1"/>
        <v/>
      </c>
      <c r="N13" s="15"/>
      <c r="O13" s="14" t="str">
        <f t="shared" si="2"/>
        <v/>
      </c>
      <c r="P13" s="12"/>
      <c r="Q13" s="16" t="str">
        <f t="shared" si="3"/>
        <v/>
      </c>
      <c r="R13" s="12"/>
    </row>
    <row r="14" spans="1:18" x14ac:dyDescent="0.35">
      <c r="A14" s="11">
        <v>10</v>
      </c>
      <c r="B14" s="12"/>
      <c r="C14" s="12"/>
      <c r="D14" s="12"/>
      <c r="E14" s="12"/>
      <c r="F14" s="12"/>
      <c r="G14" s="12"/>
      <c r="H14" s="13"/>
      <c r="I14" s="13"/>
      <c r="J14" s="12"/>
      <c r="K14" s="13"/>
      <c r="L14" s="14" t="str">
        <f t="shared" si="0"/>
        <v/>
      </c>
      <c r="M14" s="14" t="str">
        <f t="shared" si="1"/>
        <v/>
      </c>
      <c r="N14" s="15"/>
      <c r="O14" s="14" t="str">
        <f t="shared" si="2"/>
        <v/>
      </c>
      <c r="P14" s="12"/>
      <c r="Q14" s="16" t="str">
        <f t="shared" si="3"/>
        <v/>
      </c>
      <c r="R14" s="12"/>
    </row>
    <row r="15" spans="1:18" x14ac:dyDescent="0.35">
      <c r="A15" s="11">
        <v>11</v>
      </c>
      <c r="B15" s="12"/>
      <c r="C15" s="12"/>
      <c r="D15" s="12"/>
      <c r="E15" s="12"/>
      <c r="F15" s="12"/>
      <c r="G15" s="12"/>
      <c r="H15" s="13"/>
      <c r="I15" s="13"/>
      <c r="J15" s="12"/>
      <c r="K15" s="13"/>
      <c r="L15" s="14" t="str">
        <f t="shared" si="0"/>
        <v/>
      </c>
      <c r="M15" s="14" t="str">
        <f t="shared" si="1"/>
        <v/>
      </c>
      <c r="N15" s="15"/>
      <c r="O15" s="14" t="str">
        <f t="shared" si="2"/>
        <v/>
      </c>
      <c r="P15" s="12"/>
      <c r="Q15" s="16" t="str">
        <f t="shared" si="3"/>
        <v/>
      </c>
      <c r="R15" s="12"/>
    </row>
    <row r="16" spans="1:18" x14ac:dyDescent="0.35">
      <c r="A16" s="11">
        <v>12</v>
      </c>
      <c r="B16" s="12"/>
      <c r="C16" s="12"/>
      <c r="D16" s="12"/>
      <c r="E16" s="12"/>
      <c r="F16" s="12"/>
      <c r="G16" s="12"/>
      <c r="H16" s="13"/>
      <c r="I16" s="13"/>
      <c r="J16" s="12"/>
      <c r="K16" s="13"/>
      <c r="L16" s="14" t="str">
        <f t="shared" si="0"/>
        <v/>
      </c>
      <c r="M16" s="14" t="str">
        <f t="shared" si="1"/>
        <v/>
      </c>
      <c r="N16" s="15"/>
      <c r="O16" s="14" t="str">
        <f t="shared" si="2"/>
        <v/>
      </c>
      <c r="P16" s="12"/>
      <c r="Q16" s="16" t="str">
        <f t="shared" si="3"/>
        <v/>
      </c>
      <c r="R16" s="12"/>
    </row>
    <row r="17" spans="1:18" x14ac:dyDescent="0.35">
      <c r="A17" s="11">
        <v>13</v>
      </c>
      <c r="B17" s="12"/>
      <c r="C17" s="12"/>
      <c r="D17" s="12"/>
      <c r="E17" s="12"/>
      <c r="F17" s="12"/>
      <c r="G17" s="12"/>
      <c r="H17" s="13"/>
      <c r="I17" s="13"/>
      <c r="J17" s="12"/>
      <c r="K17" s="13"/>
      <c r="L17" s="14" t="str">
        <f t="shared" si="0"/>
        <v/>
      </c>
      <c r="M17" s="14" t="str">
        <f t="shared" si="1"/>
        <v/>
      </c>
      <c r="N17" s="15"/>
      <c r="O17" s="14" t="str">
        <f t="shared" si="2"/>
        <v/>
      </c>
      <c r="P17" s="12"/>
      <c r="Q17" s="16" t="str">
        <f t="shared" si="3"/>
        <v/>
      </c>
      <c r="R17" s="12"/>
    </row>
    <row r="18" spans="1:18" x14ac:dyDescent="0.35">
      <c r="A18" s="11">
        <v>14</v>
      </c>
      <c r="B18" s="12"/>
      <c r="C18" s="12"/>
      <c r="D18" s="12"/>
      <c r="E18" s="12"/>
      <c r="F18" s="12"/>
      <c r="G18" s="12"/>
      <c r="H18" s="13"/>
      <c r="I18" s="13"/>
      <c r="J18" s="12"/>
      <c r="K18" s="13"/>
      <c r="L18" s="14" t="str">
        <f t="shared" si="0"/>
        <v/>
      </c>
      <c r="M18" s="14" t="str">
        <f t="shared" si="1"/>
        <v/>
      </c>
      <c r="N18" s="15"/>
      <c r="O18" s="14" t="str">
        <f t="shared" si="2"/>
        <v/>
      </c>
      <c r="P18" s="12"/>
      <c r="Q18" s="16" t="str">
        <f t="shared" si="3"/>
        <v/>
      </c>
      <c r="R18" s="12"/>
    </row>
    <row r="19" spans="1:18" x14ac:dyDescent="0.35">
      <c r="A19" s="11">
        <v>15</v>
      </c>
      <c r="B19" s="12"/>
      <c r="C19" s="12"/>
      <c r="D19" s="12"/>
      <c r="E19" s="12"/>
      <c r="F19" s="12"/>
      <c r="G19" s="12"/>
      <c r="H19" s="13"/>
      <c r="I19" s="13"/>
      <c r="J19" s="12"/>
      <c r="K19" s="13"/>
      <c r="L19" s="14" t="str">
        <f t="shared" si="0"/>
        <v/>
      </c>
      <c r="M19" s="14" t="str">
        <f t="shared" si="1"/>
        <v/>
      </c>
      <c r="N19" s="15"/>
      <c r="O19" s="14" t="str">
        <f t="shared" si="2"/>
        <v/>
      </c>
      <c r="P19" s="12"/>
      <c r="Q19" s="16" t="str">
        <f t="shared" si="3"/>
        <v/>
      </c>
      <c r="R19" s="12"/>
    </row>
    <row r="20" spans="1:18" x14ac:dyDescent="0.35">
      <c r="A20" s="11">
        <v>16</v>
      </c>
      <c r="B20" s="12"/>
      <c r="C20" s="12"/>
      <c r="D20" s="12"/>
      <c r="E20" s="12"/>
      <c r="F20" s="12"/>
      <c r="G20" s="12"/>
      <c r="H20" s="13"/>
      <c r="I20" s="13"/>
      <c r="J20" s="12"/>
      <c r="K20" s="13"/>
      <c r="L20" s="14" t="str">
        <f t="shared" si="0"/>
        <v/>
      </c>
      <c r="M20" s="14" t="str">
        <f t="shared" si="1"/>
        <v/>
      </c>
      <c r="N20" s="15"/>
      <c r="O20" s="14" t="str">
        <f t="shared" si="2"/>
        <v/>
      </c>
      <c r="P20" s="12"/>
      <c r="Q20" s="16" t="str">
        <f t="shared" si="3"/>
        <v/>
      </c>
      <c r="R20" s="12"/>
    </row>
    <row r="21" spans="1:18" x14ac:dyDescent="0.35">
      <c r="A21" s="11">
        <v>17</v>
      </c>
      <c r="B21" s="12"/>
      <c r="C21" s="12"/>
      <c r="D21" s="12"/>
      <c r="E21" s="12"/>
      <c r="F21" s="12"/>
      <c r="G21" s="12"/>
      <c r="H21" s="13"/>
      <c r="I21" s="13"/>
      <c r="J21" s="12"/>
      <c r="K21" s="13"/>
      <c r="L21" s="14" t="str">
        <f t="shared" si="0"/>
        <v/>
      </c>
      <c r="M21" s="14" t="str">
        <f t="shared" si="1"/>
        <v/>
      </c>
      <c r="N21" s="15"/>
      <c r="O21" s="14" t="str">
        <f t="shared" si="2"/>
        <v/>
      </c>
      <c r="P21" s="12"/>
      <c r="Q21" s="16" t="str">
        <f t="shared" si="3"/>
        <v/>
      </c>
      <c r="R21" s="12"/>
    </row>
    <row r="22" spans="1:18" x14ac:dyDescent="0.35">
      <c r="A22" s="11">
        <v>18</v>
      </c>
      <c r="B22" s="12"/>
      <c r="C22" s="12"/>
      <c r="D22" s="12"/>
      <c r="E22" s="12"/>
      <c r="F22" s="12"/>
      <c r="G22" s="12"/>
      <c r="H22" s="13"/>
      <c r="I22" s="13"/>
      <c r="J22" s="12"/>
      <c r="K22" s="13"/>
      <c r="L22" s="14" t="str">
        <f t="shared" si="0"/>
        <v/>
      </c>
      <c r="M22" s="14" t="str">
        <f t="shared" si="1"/>
        <v/>
      </c>
      <c r="N22" s="15"/>
      <c r="O22" s="14" t="str">
        <f t="shared" si="2"/>
        <v/>
      </c>
      <c r="P22" s="12"/>
      <c r="Q22" s="16" t="str">
        <f t="shared" si="3"/>
        <v/>
      </c>
      <c r="R22" s="12"/>
    </row>
    <row r="23" spans="1:18" x14ac:dyDescent="0.35">
      <c r="A23" s="11">
        <v>19</v>
      </c>
      <c r="B23" s="12"/>
      <c r="C23" s="12"/>
      <c r="D23" s="12"/>
      <c r="E23" s="12"/>
      <c r="F23" s="12"/>
      <c r="G23" s="12"/>
      <c r="H23" s="13"/>
      <c r="I23" s="13"/>
      <c r="J23" s="12"/>
      <c r="K23" s="13"/>
      <c r="L23" s="14" t="str">
        <f t="shared" si="0"/>
        <v/>
      </c>
      <c r="M23" s="14" t="str">
        <f t="shared" si="1"/>
        <v/>
      </c>
      <c r="N23" s="15"/>
      <c r="O23" s="14" t="str">
        <f t="shared" si="2"/>
        <v/>
      </c>
      <c r="P23" s="12"/>
      <c r="Q23" s="16" t="str">
        <f t="shared" si="3"/>
        <v/>
      </c>
      <c r="R23" s="12"/>
    </row>
    <row r="24" spans="1:18" x14ac:dyDescent="0.35">
      <c r="A24" s="11">
        <v>20</v>
      </c>
      <c r="B24" s="12"/>
      <c r="C24" s="12"/>
      <c r="D24" s="12"/>
      <c r="E24" s="12"/>
      <c r="F24" s="12"/>
      <c r="G24" s="12"/>
      <c r="H24" s="13"/>
      <c r="I24" s="13"/>
      <c r="J24" s="12"/>
      <c r="K24" s="13"/>
      <c r="L24" s="14" t="str">
        <f t="shared" si="0"/>
        <v/>
      </c>
      <c r="M24" s="14" t="str">
        <f t="shared" si="1"/>
        <v/>
      </c>
      <c r="N24" s="15"/>
      <c r="O24" s="14" t="str">
        <f t="shared" si="2"/>
        <v/>
      </c>
      <c r="P24" s="12"/>
      <c r="Q24" s="16" t="str">
        <f t="shared" si="3"/>
        <v/>
      </c>
      <c r="R24" s="12"/>
    </row>
    <row r="25" spans="1:18" x14ac:dyDescent="0.35">
      <c r="A25" s="11">
        <v>21</v>
      </c>
      <c r="B25" s="12"/>
      <c r="C25" s="12"/>
      <c r="D25" s="12"/>
      <c r="E25" s="12"/>
      <c r="F25" s="12"/>
      <c r="G25" s="12"/>
      <c r="H25" s="13"/>
      <c r="I25" s="13"/>
      <c r="J25" s="12"/>
      <c r="K25" s="13"/>
      <c r="L25" s="14" t="str">
        <f t="shared" si="0"/>
        <v/>
      </c>
      <c r="M25" s="14" t="str">
        <f t="shared" si="1"/>
        <v/>
      </c>
      <c r="N25" s="15"/>
      <c r="O25" s="14" t="str">
        <f t="shared" si="2"/>
        <v/>
      </c>
      <c r="P25" s="12"/>
      <c r="Q25" s="16" t="str">
        <f t="shared" si="3"/>
        <v/>
      </c>
      <c r="R25" s="12"/>
    </row>
    <row r="26" spans="1:18" x14ac:dyDescent="0.35">
      <c r="A26" s="11">
        <v>22</v>
      </c>
      <c r="B26" s="12"/>
      <c r="C26" s="12"/>
      <c r="D26" s="12"/>
      <c r="E26" s="12"/>
      <c r="F26" s="12"/>
      <c r="G26" s="12"/>
      <c r="H26" s="13"/>
      <c r="I26" s="13"/>
      <c r="J26" s="12"/>
      <c r="K26" s="13"/>
      <c r="L26" s="14" t="str">
        <f t="shared" si="0"/>
        <v/>
      </c>
      <c r="M26" s="14" t="str">
        <f t="shared" si="1"/>
        <v/>
      </c>
      <c r="N26" s="15"/>
      <c r="O26" s="14" t="str">
        <f t="shared" si="2"/>
        <v/>
      </c>
      <c r="P26" s="12"/>
      <c r="Q26" s="16" t="str">
        <f t="shared" si="3"/>
        <v/>
      </c>
      <c r="R26" s="12"/>
    </row>
    <row r="27" spans="1:18" x14ac:dyDescent="0.35">
      <c r="A27" s="11">
        <v>23</v>
      </c>
      <c r="B27" s="12"/>
      <c r="C27" s="12"/>
      <c r="D27" s="12"/>
      <c r="E27" s="12"/>
      <c r="F27" s="12"/>
      <c r="G27" s="12"/>
      <c r="H27" s="13"/>
      <c r="I27" s="13"/>
      <c r="J27" s="12"/>
      <c r="K27" s="13"/>
      <c r="L27" s="14" t="str">
        <f t="shared" si="0"/>
        <v/>
      </c>
      <c r="M27" s="14" t="str">
        <f t="shared" si="1"/>
        <v/>
      </c>
      <c r="N27" s="15"/>
      <c r="O27" s="14" t="str">
        <f t="shared" si="2"/>
        <v/>
      </c>
      <c r="P27" s="12"/>
      <c r="Q27" s="16" t="str">
        <f t="shared" si="3"/>
        <v/>
      </c>
      <c r="R27" s="12"/>
    </row>
    <row r="28" spans="1:18" x14ac:dyDescent="0.35">
      <c r="A28" s="11">
        <v>24</v>
      </c>
      <c r="B28" s="12"/>
      <c r="C28" s="12"/>
      <c r="D28" s="12"/>
      <c r="E28" s="12"/>
      <c r="F28" s="12"/>
      <c r="G28" s="12"/>
      <c r="H28" s="13"/>
      <c r="I28" s="13"/>
      <c r="J28" s="12"/>
      <c r="K28" s="13"/>
      <c r="L28" s="14" t="str">
        <f t="shared" si="0"/>
        <v/>
      </c>
      <c r="M28" s="14" t="str">
        <f t="shared" si="1"/>
        <v/>
      </c>
      <c r="N28" s="15"/>
      <c r="O28" s="14" t="str">
        <f t="shared" si="2"/>
        <v/>
      </c>
      <c r="P28" s="12"/>
      <c r="Q28" s="16" t="str">
        <f t="shared" si="3"/>
        <v/>
      </c>
      <c r="R28" s="12"/>
    </row>
    <row r="29" spans="1:18" x14ac:dyDescent="0.35">
      <c r="A29" s="11">
        <v>25</v>
      </c>
      <c r="B29" s="12"/>
      <c r="C29" s="12"/>
      <c r="D29" s="12"/>
      <c r="E29" s="12"/>
      <c r="F29" s="12"/>
      <c r="G29" s="12"/>
      <c r="H29" s="13"/>
      <c r="I29" s="13"/>
      <c r="J29" s="12"/>
      <c r="K29" s="13"/>
      <c r="L29" s="14" t="str">
        <f t="shared" si="0"/>
        <v/>
      </c>
      <c r="M29" s="14" t="str">
        <f t="shared" si="1"/>
        <v/>
      </c>
      <c r="N29" s="15"/>
      <c r="O29" s="14" t="str">
        <f t="shared" si="2"/>
        <v/>
      </c>
      <c r="P29" s="12"/>
      <c r="Q29" s="16" t="str">
        <f t="shared" si="3"/>
        <v/>
      </c>
      <c r="R29" s="12"/>
    </row>
    <row r="30" spans="1:18" x14ac:dyDescent="0.35">
      <c r="A30" s="11">
        <v>26</v>
      </c>
      <c r="B30" s="12"/>
      <c r="C30" s="12"/>
      <c r="D30" s="12"/>
      <c r="E30" s="12"/>
      <c r="F30" s="12"/>
      <c r="G30" s="12"/>
      <c r="H30" s="13"/>
      <c r="I30" s="13"/>
      <c r="J30" s="12"/>
      <c r="K30" s="13"/>
      <c r="L30" s="14" t="str">
        <f t="shared" si="0"/>
        <v/>
      </c>
      <c r="M30" s="14" t="str">
        <f t="shared" si="1"/>
        <v/>
      </c>
      <c r="N30" s="15"/>
      <c r="O30" s="14" t="str">
        <f t="shared" si="2"/>
        <v/>
      </c>
      <c r="P30" s="12"/>
      <c r="Q30" s="16" t="str">
        <f t="shared" si="3"/>
        <v/>
      </c>
      <c r="R30" s="12"/>
    </row>
    <row r="31" spans="1:18" x14ac:dyDescent="0.35">
      <c r="A31" s="11">
        <v>27</v>
      </c>
      <c r="B31" s="12"/>
      <c r="C31" s="12"/>
      <c r="D31" s="12"/>
      <c r="E31" s="12"/>
      <c r="F31" s="12"/>
      <c r="G31" s="12"/>
      <c r="H31" s="13"/>
      <c r="I31" s="13"/>
      <c r="J31" s="12"/>
      <c r="K31" s="13"/>
      <c r="L31" s="14" t="str">
        <f t="shared" si="0"/>
        <v/>
      </c>
      <c r="M31" s="14" t="str">
        <f t="shared" si="1"/>
        <v/>
      </c>
      <c r="N31" s="15"/>
      <c r="O31" s="14" t="str">
        <f t="shared" si="2"/>
        <v/>
      </c>
      <c r="P31" s="12"/>
      <c r="Q31" s="16" t="str">
        <f t="shared" si="3"/>
        <v/>
      </c>
      <c r="R31" s="12"/>
    </row>
    <row r="32" spans="1:18" x14ac:dyDescent="0.35">
      <c r="A32" s="11">
        <v>28</v>
      </c>
      <c r="B32" s="12"/>
      <c r="C32" s="12"/>
      <c r="D32" s="12"/>
      <c r="E32" s="12"/>
      <c r="F32" s="12"/>
      <c r="G32" s="12"/>
      <c r="H32" s="13"/>
      <c r="I32" s="13"/>
      <c r="J32" s="12"/>
      <c r="K32" s="13"/>
      <c r="L32" s="14" t="str">
        <f t="shared" si="0"/>
        <v/>
      </c>
      <c r="M32" s="14" t="str">
        <f t="shared" si="1"/>
        <v/>
      </c>
      <c r="N32" s="15"/>
      <c r="O32" s="14" t="str">
        <f t="shared" si="2"/>
        <v/>
      </c>
      <c r="P32" s="12"/>
      <c r="Q32" s="16" t="str">
        <f t="shared" si="3"/>
        <v/>
      </c>
      <c r="R32" s="12"/>
    </row>
    <row r="33" spans="1:18" x14ac:dyDescent="0.35">
      <c r="A33" s="11">
        <v>29</v>
      </c>
      <c r="B33" s="12"/>
      <c r="C33" s="12"/>
      <c r="D33" s="12"/>
      <c r="E33" s="12"/>
      <c r="F33" s="12"/>
      <c r="G33" s="12"/>
      <c r="H33" s="13"/>
      <c r="I33" s="13"/>
      <c r="J33" s="12"/>
      <c r="K33" s="13"/>
      <c r="L33" s="14" t="str">
        <f t="shared" si="0"/>
        <v/>
      </c>
      <c r="M33" s="14" t="str">
        <f t="shared" si="1"/>
        <v/>
      </c>
      <c r="N33" s="15"/>
      <c r="O33" s="14" t="str">
        <f t="shared" si="2"/>
        <v/>
      </c>
      <c r="P33" s="12"/>
      <c r="Q33" s="16" t="str">
        <f t="shared" si="3"/>
        <v/>
      </c>
      <c r="R33" s="12"/>
    </row>
    <row r="34" spans="1:18" x14ac:dyDescent="0.35">
      <c r="A34" s="11">
        <v>30</v>
      </c>
      <c r="B34" s="12"/>
      <c r="C34" s="12"/>
      <c r="D34" s="12"/>
      <c r="E34" s="12"/>
      <c r="F34" s="12"/>
      <c r="G34" s="12"/>
      <c r="H34" s="13"/>
      <c r="I34" s="13"/>
      <c r="J34" s="12"/>
      <c r="K34" s="13"/>
      <c r="L34" s="14" t="str">
        <f t="shared" si="0"/>
        <v/>
      </c>
      <c r="M34" s="14" t="str">
        <f t="shared" si="1"/>
        <v/>
      </c>
      <c r="N34" s="15"/>
      <c r="O34" s="14" t="str">
        <f t="shared" si="2"/>
        <v/>
      </c>
      <c r="P34" s="12"/>
      <c r="Q34" s="16" t="str">
        <f t="shared" si="3"/>
        <v/>
      </c>
      <c r="R34" s="12"/>
    </row>
    <row r="35" spans="1:18" x14ac:dyDescent="0.35">
      <c r="A35" s="11">
        <v>31</v>
      </c>
      <c r="B35" s="12"/>
      <c r="C35" s="12"/>
      <c r="D35" s="12"/>
      <c r="E35" s="12"/>
      <c r="F35" s="12"/>
      <c r="G35" s="12"/>
      <c r="H35" s="13"/>
      <c r="I35" s="13"/>
      <c r="J35" s="12"/>
      <c r="K35" s="13"/>
      <c r="L35" s="14" t="str">
        <f t="shared" si="0"/>
        <v/>
      </c>
      <c r="M35" s="14" t="str">
        <f t="shared" si="1"/>
        <v/>
      </c>
      <c r="N35" s="15"/>
      <c r="O35" s="14" t="str">
        <f t="shared" si="2"/>
        <v/>
      </c>
      <c r="P35" s="12"/>
      <c r="Q35" s="16" t="str">
        <f t="shared" si="3"/>
        <v/>
      </c>
      <c r="R35" s="12"/>
    </row>
    <row r="36" spans="1:18" x14ac:dyDescent="0.35">
      <c r="A36" s="11">
        <v>32</v>
      </c>
      <c r="B36" s="12"/>
      <c r="C36" s="12"/>
      <c r="D36" s="12"/>
      <c r="E36" s="12"/>
      <c r="F36" s="12"/>
      <c r="G36" s="12"/>
      <c r="H36" s="13"/>
      <c r="I36" s="13"/>
      <c r="J36" s="12"/>
      <c r="K36" s="13"/>
      <c r="L36" s="14" t="str">
        <f t="shared" si="0"/>
        <v/>
      </c>
      <c r="M36" s="14" t="str">
        <f t="shared" si="1"/>
        <v/>
      </c>
      <c r="N36" s="15"/>
      <c r="O36" s="14" t="str">
        <f t="shared" si="2"/>
        <v/>
      </c>
      <c r="P36" s="12"/>
      <c r="Q36" s="16" t="str">
        <f t="shared" si="3"/>
        <v/>
      </c>
      <c r="R36" s="12"/>
    </row>
    <row r="37" spans="1:18" x14ac:dyDescent="0.35">
      <c r="A37" s="11">
        <v>33</v>
      </c>
      <c r="B37" s="12"/>
      <c r="C37" s="12"/>
      <c r="D37" s="12"/>
      <c r="E37" s="12"/>
      <c r="F37" s="12"/>
      <c r="G37" s="12"/>
      <c r="H37" s="13"/>
      <c r="I37" s="13"/>
      <c r="J37" s="12"/>
      <c r="K37" s="13"/>
      <c r="L37" s="14" t="str">
        <f t="shared" ref="L37:L54" si="4">IF(OR(H37="",I37=""),"",H37*I37)</f>
        <v/>
      </c>
      <c r="M37" s="14" t="str">
        <f t="shared" ref="M37:M68" si="5">IF(OR(L37="",K37=""),"",L37*K37)</f>
        <v/>
      </c>
      <c r="N37" s="15"/>
      <c r="O37" s="14" t="str">
        <f t="shared" ref="O37:O68" si="6">IF(M37="","",M37-IF(N37="",0,N37))</f>
        <v/>
      </c>
      <c r="P37" s="12"/>
      <c r="Q37" s="16" t="str">
        <f t="shared" ref="Q37:Q54" si="7">IF(M37="","",IF(N37="", "Émise", IF(O37&lt;=0, "Payée", IF(N37&gt;0, "Partiellement payée", "Émise"))))</f>
        <v/>
      </c>
      <c r="R37" s="12"/>
    </row>
    <row r="38" spans="1:18" x14ac:dyDescent="0.35">
      <c r="A38" s="11">
        <v>34</v>
      </c>
      <c r="B38" s="12"/>
      <c r="C38" s="12"/>
      <c r="D38" s="12"/>
      <c r="E38" s="12"/>
      <c r="F38" s="12"/>
      <c r="G38" s="12"/>
      <c r="H38" s="13"/>
      <c r="I38" s="13"/>
      <c r="J38" s="12"/>
      <c r="K38" s="13"/>
      <c r="L38" s="14" t="str">
        <f t="shared" si="4"/>
        <v/>
      </c>
      <c r="M38" s="14" t="str">
        <f t="shared" si="5"/>
        <v/>
      </c>
      <c r="N38" s="15"/>
      <c r="O38" s="14" t="str">
        <f t="shared" si="6"/>
        <v/>
      </c>
      <c r="P38" s="12"/>
      <c r="Q38" s="16" t="str">
        <f t="shared" si="7"/>
        <v/>
      </c>
      <c r="R38" s="12"/>
    </row>
    <row r="39" spans="1:18" x14ac:dyDescent="0.35">
      <c r="A39" s="11">
        <v>35</v>
      </c>
      <c r="B39" s="12"/>
      <c r="C39" s="12"/>
      <c r="D39" s="12"/>
      <c r="E39" s="12"/>
      <c r="F39" s="12"/>
      <c r="G39" s="12"/>
      <c r="H39" s="13"/>
      <c r="I39" s="13"/>
      <c r="J39" s="12"/>
      <c r="K39" s="13"/>
      <c r="L39" s="14" t="str">
        <f t="shared" si="4"/>
        <v/>
      </c>
      <c r="M39" s="14" t="str">
        <f t="shared" si="5"/>
        <v/>
      </c>
      <c r="N39" s="15"/>
      <c r="O39" s="14" t="str">
        <f t="shared" si="6"/>
        <v/>
      </c>
      <c r="P39" s="12"/>
      <c r="Q39" s="16" t="str">
        <f t="shared" si="7"/>
        <v/>
      </c>
      <c r="R39" s="12"/>
    </row>
    <row r="40" spans="1:18" x14ac:dyDescent="0.35">
      <c r="A40" s="11">
        <v>36</v>
      </c>
      <c r="B40" s="12"/>
      <c r="C40" s="12"/>
      <c r="D40" s="12"/>
      <c r="E40" s="12"/>
      <c r="F40" s="12"/>
      <c r="G40" s="12"/>
      <c r="H40" s="13"/>
      <c r="I40" s="13"/>
      <c r="J40" s="12"/>
      <c r="K40" s="13"/>
      <c r="L40" s="14" t="str">
        <f t="shared" si="4"/>
        <v/>
      </c>
      <c r="M40" s="14" t="str">
        <f t="shared" si="5"/>
        <v/>
      </c>
      <c r="N40" s="15"/>
      <c r="O40" s="14" t="str">
        <f t="shared" si="6"/>
        <v/>
      </c>
      <c r="P40" s="12"/>
      <c r="Q40" s="16" t="str">
        <f t="shared" si="7"/>
        <v/>
      </c>
      <c r="R40" s="12"/>
    </row>
    <row r="41" spans="1:18" x14ac:dyDescent="0.35">
      <c r="A41" s="11">
        <v>37</v>
      </c>
      <c r="B41" s="12"/>
      <c r="C41" s="12"/>
      <c r="D41" s="12"/>
      <c r="E41" s="12"/>
      <c r="F41" s="12"/>
      <c r="G41" s="12"/>
      <c r="H41" s="13"/>
      <c r="I41" s="13"/>
      <c r="J41" s="12"/>
      <c r="K41" s="13"/>
      <c r="L41" s="14" t="str">
        <f t="shared" si="4"/>
        <v/>
      </c>
      <c r="M41" s="14" t="str">
        <f t="shared" si="5"/>
        <v/>
      </c>
      <c r="N41" s="15"/>
      <c r="O41" s="14" t="str">
        <f t="shared" si="6"/>
        <v/>
      </c>
      <c r="P41" s="12"/>
      <c r="Q41" s="16" t="str">
        <f t="shared" si="7"/>
        <v/>
      </c>
      <c r="R41" s="12"/>
    </row>
    <row r="42" spans="1:18" x14ac:dyDescent="0.35">
      <c r="A42" s="11">
        <v>38</v>
      </c>
      <c r="B42" s="12"/>
      <c r="C42" s="12"/>
      <c r="D42" s="12"/>
      <c r="E42" s="12"/>
      <c r="F42" s="12"/>
      <c r="G42" s="12"/>
      <c r="H42" s="13"/>
      <c r="I42" s="13"/>
      <c r="J42" s="12"/>
      <c r="K42" s="13"/>
      <c r="L42" s="14" t="str">
        <f t="shared" si="4"/>
        <v/>
      </c>
      <c r="M42" s="14" t="str">
        <f t="shared" si="5"/>
        <v/>
      </c>
      <c r="N42" s="15"/>
      <c r="O42" s="14" t="str">
        <f t="shared" si="6"/>
        <v/>
      </c>
      <c r="P42" s="12"/>
      <c r="Q42" s="16" t="str">
        <f t="shared" si="7"/>
        <v/>
      </c>
      <c r="R42" s="12"/>
    </row>
    <row r="43" spans="1:18" x14ac:dyDescent="0.35">
      <c r="A43" s="11">
        <v>39</v>
      </c>
      <c r="B43" s="12"/>
      <c r="C43" s="12"/>
      <c r="D43" s="12"/>
      <c r="E43" s="12"/>
      <c r="F43" s="12"/>
      <c r="G43" s="12"/>
      <c r="H43" s="13"/>
      <c r="I43" s="13"/>
      <c r="J43" s="12"/>
      <c r="K43" s="13"/>
      <c r="L43" s="14" t="str">
        <f t="shared" si="4"/>
        <v/>
      </c>
      <c r="M43" s="14" t="str">
        <f t="shared" si="5"/>
        <v/>
      </c>
      <c r="N43" s="15"/>
      <c r="O43" s="14" t="str">
        <f t="shared" si="6"/>
        <v/>
      </c>
      <c r="P43" s="12"/>
      <c r="Q43" s="16" t="str">
        <f t="shared" si="7"/>
        <v/>
      </c>
      <c r="R43" s="12"/>
    </row>
    <row r="44" spans="1:18" x14ac:dyDescent="0.35">
      <c r="A44" s="11">
        <v>40</v>
      </c>
      <c r="B44" s="12"/>
      <c r="C44" s="12"/>
      <c r="D44" s="12"/>
      <c r="E44" s="12"/>
      <c r="F44" s="12"/>
      <c r="G44" s="12"/>
      <c r="H44" s="13"/>
      <c r="I44" s="13"/>
      <c r="J44" s="12"/>
      <c r="K44" s="13"/>
      <c r="L44" s="14" t="str">
        <f t="shared" si="4"/>
        <v/>
      </c>
      <c r="M44" s="14" t="str">
        <f t="shared" si="5"/>
        <v/>
      </c>
      <c r="N44" s="15"/>
      <c r="O44" s="14" t="str">
        <f t="shared" si="6"/>
        <v/>
      </c>
      <c r="P44" s="12"/>
      <c r="Q44" s="16" t="str">
        <f t="shared" si="7"/>
        <v/>
      </c>
      <c r="R44" s="12"/>
    </row>
    <row r="45" spans="1:18" x14ac:dyDescent="0.35">
      <c r="A45" s="11">
        <v>41</v>
      </c>
      <c r="B45" s="12"/>
      <c r="C45" s="12"/>
      <c r="D45" s="12"/>
      <c r="E45" s="12"/>
      <c r="F45" s="12"/>
      <c r="G45" s="12"/>
      <c r="H45" s="13"/>
      <c r="I45" s="13"/>
      <c r="J45" s="12"/>
      <c r="K45" s="13"/>
      <c r="L45" s="14" t="str">
        <f t="shared" si="4"/>
        <v/>
      </c>
      <c r="M45" s="14" t="str">
        <f t="shared" si="5"/>
        <v/>
      </c>
      <c r="N45" s="15"/>
      <c r="O45" s="14" t="str">
        <f t="shared" si="6"/>
        <v/>
      </c>
      <c r="P45" s="12"/>
      <c r="Q45" s="16" t="str">
        <f t="shared" si="7"/>
        <v/>
      </c>
      <c r="R45" s="12"/>
    </row>
    <row r="46" spans="1:18" x14ac:dyDescent="0.35">
      <c r="A46" s="11">
        <v>42</v>
      </c>
      <c r="B46" s="12"/>
      <c r="C46" s="12"/>
      <c r="D46" s="12"/>
      <c r="E46" s="12"/>
      <c r="F46" s="12"/>
      <c r="G46" s="12"/>
      <c r="H46" s="13"/>
      <c r="I46" s="13"/>
      <c r="J46" s="12"/>
      <c r="K46" s="13"/>
      <c r="L46" s="14" t="str">
        <f t="shared" si="4"/>
        <v/>
      </c>
      <c r="M46" s="14" t="str">
        <f t="shared" si="5"/>
        <v/>
      </c>
      <c r="N46" s="15"/>
      <c r="O46" s="14" t="str">
        <f t="shared" si="6"/>
        <v/>
      </c>
      <c r="P46" s="12"/>
      <c r="Q46" s="16" t="str">
        <f t="shared" si="7"/>
        <v/>
      </c>
      <c r="R46" s="12"/>
    </row>
    <row r="47" spans="1:18" x14ac:dyDescent="0.35">
      <c r="A47" s="11">
        <v>43</v>
      </c>
      <c r="B47" s="12"/>
      <c r="C47" s="12"/>
      <c r="D47" s="12"/>
      <c r="E47" s="12"/>
      <c r="F47" s="12"/>
      <c r="G47" s="12"/>
      <c r="H47" s="13"/>
      <c r="I47" s="13"/>
      <c r="J47" s="12"/>
      <c r="K47" s="13"/>
      <c r="L47" s="14" t="str">
        <f t="shared" si="4"/>
        <v/>
      </c>
      <c r="M47" s="14" t="str">
        <f t="shared" si="5"/>
        <v/>
      </c>
      <c r="N47" s="15"/>
      <c r="O47" s="14" t="str">
        <f t="shared" si="6"/>
        <v/>
      </c>
      <c r="P47" s="12"/>
      <c r="Q47" s="16" t="str">
        <f t="shared" si="7"/>
        <v/>
      </c>
      <c r="R47" s="12"/>
    </row>
    <row r="48" spans="1:18" x14ac:dyDescent="0.35">
      <c r="A48" s="11">
        <v>44</v>
      </c>
      <c r="B48" s="12"/>
      <c r="C48" s="12"/>
      <c r="D48" s="12"/>
      <c r="E48" s="12"/>
      <c r="F48" s="12"/>
      <c r="G48" s="12"/>
      <c r="H48" s="13"/>
      <c r="I48" s="13"/>
      <c r="J48" s="12"/>
      <c r="K48" s="13"/>
      <c r="L48" s="14" t="str">
        <f t="shared" si="4"/>
        <v/>
      </c>
      <c r="M48" s="14" t="str">
        <f t="shared" si="5"/>
        <v/>
      </c>
      <c r="N48" s="15"/>
      <c r="O48" s="14" t="str">
        <f t="shared" si="6"/>
        <v/>
      </c>
      <c r="P48" s="12"/>
      <c r="Q48" s="16" t="str">
        <f t="shared" si="7"/>
        <v/>
      </c>
      <c r="R48" s="12"/>
    </row>
    <row r="49" spans="1:18" x14ac:dyDescent="0.35">
      <c r="A49" s="11">
        <v>45</v>
      </c>
      <c r="B49" s="12"/>
      <c r="C49" s="12"/>
      <c r="D49" s="12"/>
      <c r="E49" s="12"/>
      <c r="F49" s="12"/>
      <c r="G49" s="12"/>
      <c r="H49" s="13"/>
      <c r="I49" s="13"/>
      <c r="J49" s="12"/>
      <c r="K49" s="13"/>
      <c r="L49" s="14" t="str">
        <f t="shared" si="4"/>
        <v/>
      </c>
      <c r="M49" s="14" t="str">
        <f t="shared" si="5"/>
        <v/>
      </c>
      <c r="N49" s="15"/>
      <c r="O49" s="14" t="str">
        <f t="shared" si="6"/>
        <v/>
      </c>
      <c r="P49" s="12"/>
      <c r="Q49" s="16" t="str">
        <f t="shared" si="7"/>
        <v/>
      </c>
      <c r="R49" s="12"/>
    </row>
    <row r="50" spans="1:18" x14ac:dyDescent="0.35">
      <c r="A50" s="11">
        <v>46</v>
      </c>
      <c r="B50" s="12"/>
      <c r="C50" s="12"/>
      <c r="D50" s="12"/>
      <c r="E50" s="12"/>
      <c r="F50" s="12"/>
      <c r="G50" s="12"/>
      <c r="H50" s="13"/>
      <c r="I50" s="13"/>
      <c r="J50" s="12"/>
      <c r="K50" s="13"/>
      <c r="L50" s="14" t="str">
        <f t="shared" si="4"/>
        <v/>
      </c>
      <c r="M50" s="14" t="str">
        <f t="shared" si="5"/>
        <v/>
      </c>
      <c r="N50" s="15"/>
      <c r="O50" s="14" t="str">
        <f t="shared" si="6"/>
        <v/>
      </c>
      <c r="P50" s="12"/>
      <c r="Q50" s="16" t="str">
        <f t="shared" si="7"/>
        <v/>
      </c>
      <c r="R50" s="12"/>
    </row>
    <row r="51" spans="1:18" x14ac:dyDescent="0.35">
      <c r="A51" s="11">
        <v>47</v>
      </c>
      <c r="B51" s="12"/>
      <c r="C51" s="12"/>
      <c r="D51" s="12"/>
      <c r="E51" s="12"/>
      <c r="F51" s="12"/>
      <c r="G51" s="12"/>
      <c r="H51" s="13"/>
      <c r="I51" s="13"/>
      <c r="J51" s="12"/>
      <c r="K51" s="13"/>
      <c r="L51" s="14" t="str">
        <f t="shared" si="4"/>
        <v/>
      </c>
      <c r="M51" s="14" t="str">
        <f t="shared" si="5"/>
        <v/>
      </c>
      <c r="N51" s="15"/>
      <c r="O51" s="14" t="str">
        <f t="shared" si="6"/>
        <v/>
      </c>
      <c r="P51" s="12"/>
      <c r="Q51" s="16" t="str">
        <f t="shared" si="7"/>
        <v/>
      </c>
      <c r="R51" s="12"/>
    </row>
    <row r="52" spans="1:18" x14ac:dyDescent="0.35">
      <c r="A52" s="11">
        <v>48</v>
      </c>
      <c r="B52" s="12"/>
      <c r="C52" s="12"/>
      <c r="D52" s="12"/>
      <c r="E52" s="12"/>
      <c r="F52" s="12"/>
      <c r="G52" s="12"/>
      <c r="H52" s="13"/>
      <c r="I52" s="13"/>
      <c r="J52" s="12"/>
      <c r="K52" s="13"/>
      <c r="L52" s="14" t="str">
        <f t="shared" si="4"/>
        <v/>
      </c>
      <c r="M52" s="14" t="str">
        <f t="shared" si="5"/>
        <v/>
      </c>
      <c r="N52" s="15"/>
      <c r="O52" s="14" t="str">
        <f t="shared" si="6"/>
        <v/>
      </c>
      <c r="P52" s="12"/>
      <c r="Q52" s="16" t="str">
        <f t="shared" si="7"/>
        <v/>
      </c>
      <c r="R52" s="12"/>
    </row>
    <row r="53" spans="1:18" x14ac:dyDescent="0.35">
      <c r="A53" s="11">
        <v>49</v>
      </c>
      <c r="B53" s="12"/>
      <c r="C53" s="12"/>
      <c r="D53" s="12"/>
      <c r="E53" s="12"/>
      <c r="F53" s="12"/>
      <c r="G53" s="12"/>
      <c r="H53" s="13"/>
      <c r="I53" s="13"/>
      <c r="J53" s="12"/>
      <c r="K53" s="13"/>
      <c r="L53" s="14" t="str">
        <f t="shared" si="4"/>
        <v/>
      </c>
      <c r="M53" s="14" t="str">
        <f t="shared" si="5"/>
        <v/>
      </c>
      <c r="N53" s="15"/>
      <c r="O53" s="14" t="str">
        <f t="shared" si="6"/>
        <v/>
      </c>
      <c r="P53" s="12"/>
      <c r="Q53" s="16" t="str">
        <f t="shared" si="7"/>
        <v/>
      </c>
      <c r="R53" s="12"/>
    </row>
    <row r="54" spans="1:18" x14ac:dyDescent="0.35">
      <c r="A54" s="11">
        <v>50</v>
      </c>
      <c r="B54" s="12"/>
      <c r="C54" s="12"/>
      <c r="D54" s="12"/>
      <c r="E54" s="12"/>
      <c r="F54" s="12"/>
      <c r="G54" s="12"/>
      <c r="H54" s="13"/>
      <c r="I54" s="13"/>
      <c r="J54" s="12"/>
      <c r="K54" s="13"/>
      <c r="L54" s="14" t="str">
        <f t="shared" si="4"/>
        <v/>
      </c>
      <c r="M54" s="14" t="str">
        <f t="shared" si="5"/>
        <v/>
      </c>
      <c r="N54" s="15"/>
      <c r="O54" s="14" t="str">
        <f t="shared" si="6"/>
        <v/>
      </c>
      <c r="P54" s="12"/>
      <c r="Q54" s="16" t="str">
        <f t="shared" si="7"/>
        <v/>
      </c>
      <c r="R54" s="12"/>
    </row>
    <row r="56" spans="1:18" x14ac:dyDescent="0.35">
      <c r="A56" s="17" t="s">
        <v>34</v>
      </c>
      <c r="H56" s="18">
        <f>SUMIF(H5:H54,"&gt;0")</f>
        <v>0</v>
      </c>
      <c r="L56" s="18">
        <f>SUMIF(L5:L54,"&gt;0")</f>
        <v>0</v>
      </c>
      <c r="M56" s="18">
        <f>SUMIF(M5:M54,"&gt;0")</f>
        <v>0</v>
      </c>
      <c r="N56" s="18">
        <f>SUMIF(N5:N54,"&gt;0")</f>
        <v>0</v>
      </c>
      <c r="O56" s="18">
        <f>SUMIF(O5:O54,"&gt;0")</f>
        <v>0</v>
      </c>
    </row>
    <row r="58" spans="1:18" x14ac:dyDescent="0.35">
      <c r="A58" s="27" t="s">
        <v>35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</sheetData>
  <mergeCells count="3">
    <mergeCell ref="A1:P1"/>
    <mergeCell ref="A58:R58"/>
    <mergeCell ref="A2:P2"/>
  </mergeCells>
  <conditionalFormatting sqref="O5:O100">
    <cfRule type="cellIs" dxfId="6" priority="4" operator="greaterThan">
      <formula>0</formula>
    </cfRule>
    <cfRule type="cellIs" dxfId="5" priority="5" operator="lessThanOrEqual">
      <formula>0</formula>
    </cfRule>
  </conditionalFormatting>
  <conditionalFormatting sqref="Q5:Q100">
    <cfRule type="cellIs" dxfId="4" priority="1" operator="equal">
      <formula>"Payée"</formula>
    </cfRule>
    <cfRule type="cellIs" dxfId="3" priority="2" operator="equal">
      <formula>"Partiellement payée"</formula>
    </cfRule>
    <cfRule type="cellIs" dxfId="2" priority="3" operator="equal">
      <formula>"Émise"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Listes!$A$3:$A$30</xm:f>
          </x14:formula1>
          <xm:sqref>D5:D100</xm:sqref>
        </x14:dataValidation>
        <x14:dataValidation type="list" allowBlank="1" xr:uid="{00000000-0002-0000-0100-000001000000}">
          <x14:formula1>
            <xm:f>Listes!$B$3:$B$20</xm:f>
          </x14:formula1>
          <xm:sqref>G5:G100</xm:sqref>
        </x14:dataValidation>
        <x14:dataValidation type="list" allowBlank="1" xr:uid="{00000000-0002-0000-0100-000002000000}">
          <x14:formula1>
            <xm:f>Listes!$C$3:$C$15</xm:f>
          </x14:formula1>
          <xm:sqref>P5:P100</xm:sqref>
        </x14:dataValidation>
        <x14:dataValidation type="list" allowBlank="1" xr:uid="{00000000-0002-0000-0100-000003000000}">
          <x14:formula1>
            <xm:f>Listes!$D$3:$D$10</xm:f>
          </x14:formula1>
          <xm:sqref>J5:J100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5" sqref="C5"/>
    </sheetView>
  </sheetViews>
  <sheetFormatPr baseColWidth="10" defaultColWidth="8.7265625" defaultRowHeight="14.5" x14ac:dyDescent="0.35"/>
  <cols>
    <col min="1" max="1" width="32" customWidth="1"/>
    <col min="2" max="2" width="12" customWidth="1"/>
    <col min="3" max="4" width="16" customWidth="1"/>
    <col min="5" max="5" width="14" customWidth="1"/>
    <col min="6" max="6" width="12" customWidth="1"/>
  </cols>
  <sheetData>
    <row r="1" spans="1:6" ht="20" x14ac:dyDescent="0.4">
      <c r="A1" s="24" t="s">
        <v>36</v>
      </c>
      <c r="B1" s="25"/>
      <c r="C1" s="25"/>
      <c r="D1" s="25"/>
      <c r="E1" s="25"/>
      <c r="F1" s="25"/>
    </row>
    <row r="2" spans="1:6" x14ac:dyDescent="0.35">
      <c r="A2" s="9" t="s">
        <v>37</v>
      </c>
    </row>
    <row r="4" spans="1:6" ht="28" x14ac:dyDescent="0.35">
      <c r="A4" s="10" t="s">
        <v>19</v>
      </c>
      <c r="B4" s="10" t="s">
        <v>38</v>
      </c>
      <c r="C4" s="10" t="s">
        <v>28</v>
      </c>
      <c r="D4" s="10" t="s">
        <v>39</v>
      </c>
      <c r="E4" s="10" t="s">
        <v>40</v>
      </c>
      <c r="F4" s="10" t="s">
        <v>5</v>
      </c>
    </row>
    <row r="5" spans="1:6" x14ac:dyDescent="0.35">
      <c r="A5" s="19" t="s">
        <v>41</v>
      </c>
      <c r="B5" s="11">
        <f>COUNTIF(Ventes!$D$5:$D$54,A5)</f>
        <v>0</v>
      </c>
      <c r="C5" s="20">
        <f>SUMIF(Ventes!$D$5:$D$54,A5,Ventes!$M$5:$M$54)</f>
        <v>0</v>
      </c>
      <c r="D5" s="20">
        <f>SUMIF(Ventes!$D$5:$D$54,A5,Ventes!$N$5:$N$54)</f>
        <v>0</v>
      </c>
      <c r="E5" s="14">
        <f>C5-D5</f>
        <v>0</v>
      </c>
      <c r="F5" s="21" t="str">
        <f>IF(C5=0,"",D5/C5)</f>
        <v/>
      </c>
    </row>
    <row r="6" spans="1:6" x14ac:dyDescent="0.35">
      <c r="A6" s="19" t="s">
        <v>42</v>
      </c>
      <c r="B6" s="11">
        <f>COUNTIF(Ventes!$D$5:$D$54,A6)</f>
        <v>0</v>
      </c>
      <c r="C6" s="20">
        <f>SUMIF(Ventes!$D$5:$D$54,A6,Ventes!$M$5:$M$54)</f>
        <v>0</v>
      </c>
      <c r="D6" s="20">
        <f>SUMIF(Ventes!$D$5:$D$54,A6,Ventes!$N$5:$N$54)</f>
        <v>0</v>
      </c>
      <c r="E6" s="14">
        <f>C6-D6</f>
        <v>0</v>
      </c>
      <c r="F6" s="21" t="str">
        <f>IF(C6=0,"",D6/C6)</f>
        <v/>
      </c>
    </row>
    <row r="7" spans="1:6" x14ac:dyDescent="0.35">
      <c r="A7" s="19" t="s">
        <v>43</v>
      </c>
      <c r="B7" s="11">
        <f>COUNTIF(Ventes!$D$5:$D$54,A7)</f>
        <v>0</v>
      </c>
      <c r="C7" s="20">
        <f>SUMIF(Ventes!$D$5:$D$54,A7,Ventes!$M$5:$M$54)</f>
        <v>0</v>
      </c>
      <c r="D7" s="20">
        <f>SUMIF(Ventes!$D$5:$D$54,A7,Ventes!$N$5:$N$54)</f>
        <v>0</v>
      </c>
      <c r="E7" s="14">
        <f>C7-D7</f>
        <v>0</v>
      </c>
      <c r="F7" s="21" t="str">
        <f>IF(C7=0,"",D7/C7)</f>
        <v/>
      </c>
    </row>
    <row r="9" spans="1:6" x14ac:dyDescent="0.35">
      <c r="A9" s="22" t="s">
        <v>44</v>
      </c>
      <c r="C9" s="23">
        <f>SUM(C5:C8)</f>
        <v>0</v>
      </c>
      <c r="D9" s="23">
        <f>SUM(D5:D8)</f>
        <v>0</v>
      </c>
      <c r="E9" s="23">
        <f>SUM(E5:E8)</f>
        <v>0</v>
      </c>
    </row>
  </sheetData>
  <mergeCells count="1">
    <mergeCell ref="A1:F1"/>
  </mergeCells>
  <conditionalFormatting sqref="E5:E20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sqref="A1:E1"/>
    </sheetView>
  </sheetViews>
  <sheetFormatPr baseColWidth="10" defaultColWidth="8.7265625" defaultRowHeight="14.5" x14ac:dyDescent="0.35"/>
  <cols>
    <col min="1" max="1" width="32" customWidth="1"/>
    <col min="2" max="2" width="18" customWidth="1"/>
    <col min="3" max="4" width="16" customWidth="1"/>
    <col min="5" max="5" width="14" customWidth="1"/>
  </cols>
  <sheetData>
    <row r="1" spans="1:5" ht="20" x14ac:dyDescent="0.4">
      <c r="A1" s="24" t="s">
        <v>45</v>
      </c>
      <c r="B1" s="25"/>
      <c r="C1" s="25"/>
      <c r="D1" s="25"/>
      <c r="E1" s="25"/>
    </row>
    <row r="4" spans="1:5" ht="28" x14ac:dyDescent="0.35">
      <c r="A4" s="10" t="s">
        <v>22</v>
      </c>
      <c r="B4" s="10" t="s">
        <v>46</v>
      </c>
      <c r="C4" s="10" t="s">
        <v>28</v>
      </c>
      <c r="D4" s="10" t="s">
        <v>39</v>
      </c>
      <c r="E4" s="10" t="s">
        <v>40</v>
      </c>
    </row>
    <row r="5" spans="1:5" x14ac:dyDescent="0.35">
      <c r="A5" s="19" t="s">
        <v>47</v>
      </c>
      <c r="B5" s="20">
        <f>SUMIF(Ventes!$G$5:$G$54,A5,Ventes!$H$5:$H$54)</f>
        <v>0</v>
      </c>
      <c r="C5" s="20">
        <f>SUMIF(Ventes!$G$5:$G$54,A5,Ventes!$M$5:$M$54)</f>
        <v>0</v>
      </c>
      <c r="D5" s="20">
        <f>SUMIF(Ventes!$G$5:$G$54,A5,Ventes!$N$5:$N$54)</f>
        <v>0</v>
      </c>
      <c r="E5" s="14">
        <f>C5-D5</f>
        <v>0</v>
      </c>
    </row>
    <row r="6" spans="1:5" x14ac:dyDescent="0.35">
      <c r="A6" s="19" t="s">
        <v>48</v>
      </c>
      <c r="B6" s="20">
        <f>SUMIF(Ventes!$G$5:$G$54,A6,Ventes!$H$5:$H$54)</f>
        <v>0</v>
      </c>
      <c r="C6" s="20">
        <f>SUMIF(Ventes!$G$5:$G$54,A6,Ventes!$M$5:$M$54)</f>
        <v>0</v>
      </c>
      <c r="D6" s="20">
        <f>SUMIF(Ventes!$G$5:$G$54,A6,Ventes!$N$5:$N$54)</f>
        <v>0</v>
      </c>
      <c r="E6" s="14">
        <f>C6-D6</f>
        <v>0</v>
      </c>
    </row>
    <row r="7" spans="1:5" x14ac:dyDescent="0.35">
      <c r="A7" s="19" t="s">
        <v>49</v>
      </c>
      <c r="B7" s="20">
        <f>SUMIF(Ventes!$G$5:$G$54,A7,Ventes!$H$5:$H$54)</f>
        <v>0</v>
      </c>
      <c r="C7" s="20">
        <f>SUMIF(Ventes!$G$5:$G$54,A7,Ventes!$M$5:$M$54)</f>
        <v>0</v>
      </c>
      <c r="D7" s="20">
        <f>SUMIF(Ventes!$G$5:$G$54,A7,Ventes!$N$5:$N$54)</f>
        <v>0</v>
      </c>
      <c r="E7" s="14">
        <f>C7-D7</f>
        <v>0</v>
      </c>
    </row>
    <row r="8" spans="1:5" x14ac:dyDescent="0.35">
      <c r="A8" s="19" t="s">
        <v>50</v>
      </c>
      <c r="B8" s="20">
        <f>SUMIF(Ventes!$G$5:$G$54,A8,Ventes!$H$5:$H$54)</f>
        <v>0</v>
      </c>
      <c r="C8" s="20">
        <f>SUMIF(Ventes!$G$5:$G$54,A8,Ventes!$M$5:$M$54)</f>
        <v>0</v>
      </c>
      <c r="D8" s="20">
        <f>SUMIF(Ventes!$G$5:$G$54,A8,Ventes!$N$5:$N$54)</f>
        <v>0</v>
      </c>
      <c r="E8" s="14">
        <f>C8-D8</f>
        <v>0</v>
      </c>
    </row>
    <row r="10" spans="1:5" x14ac:dyDescent="0.35">
      <c r="A10" s="22" t="s">
        <v>44</v>
      </c>
      <c r="B10" s="23">
        <f>SUM(B5:B9)</f>
        <v>0</v>
      </c>
      <c r="C10" s="23">
        <f>SUM(C5:C9)</f>
        <v>0</v>
      </c>
      <c r="D10" s="23">
        <f>SUM(D5:D9)</f>
        <v>0</v>
      </c>
      <c r="E10" s="23">
        <f>SUM(E5:E9)</f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1"/>
    </sheetView>
  </sheetViews>
  <sheetFormatPr baseColWidth="10" defaultColWidth="8.7265625" defaultRowHeight="14.5" x14ac:dyDescent="0.35"/>
  <cols>
    <col min="1" max="5" width="32" customWidth="1"/>
  </cols>
  <sheetData>
    <row r="1" spans="1:5" ht="20" x14ac:dyDescent="0.4">
      <c r="A1" s="24" t="s">
        <v>51</v>
      </c>
      <c r="B1" s="25"/>
      <c r="C1" s="25"/>
      <c r="D1" s="25"/>
      <c r="E1" s="25"/>
    </row>
    <row r="2" spans="1:5" x14ac:dyDescent="0.35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</row>
    <row r="3" spans="1:5" x14ac:dyDescent="0.35">
      <c r="A3" s="7" t="s">
        <v>41</v>
      </c>
      <c r="B3" s="7" t="s">
        <v>47</v>
      </c>
      <c r="C3" s="7" t="s">
        <v>57</v>
      </c>
      <c r="D3" s="7" t="s">
        <v>58</v>
      </c>
      <c r="E3" s="7" t="s">
        <v>59</v>
      </c>
    </row>
    <row r="4" spans="1:5" x14ac:dyDescent="0.35">
      <c r="A4" s="7" t="s">
        <v>42</v>
      </c>
      <c r="B4" s="7" t="s">
        <v>48</v>
      </c>
      <c r="C4" s="7" t="s">
        <v>60</v>
      </c>
      <c r="D4" s="7" t="s">
        <v>61</v>
      </c>
      <c r="E4" s="7" t="s">
        <v>62</v>
      </c>
    </row>
    <row r="5" spans="1:5" x14ac:dyDescent="0.35">
      <c r="A5" s="7" t="s">
        <v>43</v>
      </c>
      <c r="B5" s="7" t="s">
        <v>49</v>
      </c>
      <c r="C5" s="7" t="s">
        <v>63</v>
      </c>
      <c r="D5" s="7" t="s">
        <v>64</v>
      </c>
      <c r="E5" s="7" t="s">
        <v>65</v>
      </c>
    </row>
    <row r="6" spans="1:5" x14ac:dyDescent="0.35">
      <c r="B6" s="7" t="s">
        <v>50</v>
      </c>
      <c r="C6" s="7" t="s">
        <v>66</v>
      </c>
      <c r="E6" s="7" t="s">
        <v>67</v>
      </c>
    </row>
    <row r="7" spans="1:5" x14ac:dyDescent="0.35">
      <c r="C7" s="7" t="s">
        <v>68</v>
      </c>
      <c r="E7" s="7" t="s">
        <v>69</v>
      </c>
    </row>
    <row r="12" spans="1:5" x14ac:dyDescent="0.35">
      <c r="A12" s="9" t="s">
        <v>70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Synthese</vt:lpstr>
      <vt:lpstr>Ventes</vt:lpstr>
      <vt:lpstr>CA_par_Client</vt:lpstr>
      <vt:lpstr>CA_par_Produit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Alliance BODJRENOU</cp:lastModifiedBy>
  <dcterms:created xsi:type="dcterms:W3CDTF">2026-10-12T08:09:40Z</dcterms:created>
  <dcterms:modified xsi:type="dcterms:W3CDTF">2026-10-12T09:11:05Z</dcterms:modified>
</cp:coreProperties>
</file>