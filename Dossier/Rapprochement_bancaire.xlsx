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OneDrive\Desktop\DATA\"/>
    </mc:Choice>
  </mc:AlternateContent>
  <xr:revisionPtr revIDLastSave="0" documentId="8_{47934059-AC24-40FE-9736-63C6259CD10D}" xr6:coauthVersionLast="47" xr6:coauthVersionMax="47" xr10:uidLastSave="{00000000-0000-0000-0000-000000000000}"/>
  <bookViews>
    <workbookView xWindow="-110" yWindow="-110" windowWidth="19420" windowHeight="11500" tabRatio="500" activeTab="2" xr2:uid="{00000000-000D-0000-FFFF-FFFF00000000}"/>
  </bookViews>
  <sheets>
    <sheet name="Mode_emploi" sheetId="1" r:id="rId1"/>
    <sheet name="Tableau_de_bord" sheetId="2" r:id="rId2"/>
    <sheet name="Rapprochement" sheetId="3" r:id="rId3"/>
    <sheet name="Parametres" sheetId="4" r:id="rId4"/>
    <sheet name="Mouvements_Locaux" sheetId="5" r:id="rId5"/>
    <sheet name="Releve_Banque" sheetId="6" r:id="rId6"/>
  </sheets>
  <definedNames>
    <definedName name="_xlnm._FilterDatabase" localSheetId="4" hidden="1">Mouvements_Locaux!$A$3:$R$503</definedName>
    <definedName name="_xlnm._FilterDatabase" localSheetId="5" hidden="1">Releve_Banque!$A$3:$N$503</definedName>
    <definedName name="AutoFort">Parametres!$B$8</definedName>
    <definedName name="B_Cle">Releve_Banque!$P$4:$P$503</definedName>
    <definedName name="B_Compte">Releve_Banque!$C$4:$C$503</definedName>
    <definedName name="B_Credit">Releve_Banque!$G$4:$G$503</definedName>
    <definedName name="B_Date">Releve_Banque!$B$4:$B$503</definedName>
    <definedName name="B_Debit">Releve_Banque!$F$4:$F$503</definedName>
    <definedName name="B_Decision">Releve_Banque!$L$4:$L$503</definedName>
    <definedName name="B_Lib">Releve_Banque!$D$4:$D$503</definedName>
    <definedName name="B_LigneSolde">Releve_Banque!$T$4:$T$503</definedName>
    <definedName name="B_Local">Releve_Banque!$K$4:$K$503</definedName>
    <definedName name="B_Montant">Releve_Banque!$O$4:$O$503</definedName>
    <definedName name="B_MontantN">Releve_Banque!$O$4:$O$503</definedName>
    <definedName name="B_Num">Releve_Banque!$A$4:$A$503</definedName>
    <definedName name="B_Pointe">Releve_Banque!$R$4:$R$503</definedName>
    <definedName name="B_PrisExact">Releve_Banque!$Q$4:$Q$503</definedName>
    <definedName name="B_Rang">Releve_Banque!$S$4:$S$503</definedName>
    <definedName name="B_Ref">Releve_Banque!$E$4:$E$503</definedName>
    <definedName name="B_Score">Releve_Banque!$J$4:$J$503</definedName>
    <definedName name="B_Signe">Releve_Banque!$U$4:$U$503</definedName>
    <definedName name="B_Solde">Releve_Banque!$H$4:$H$503</definedName>
    <definedName name="B_Statut">Releve_Banque!$I$4:$I$503</definedName>
    <definedName name="Comptes">Parametres!$A$13:$A$22</definedName>
    <definedName name="CompteSel">Tableau_de_bord!$C$4</definedName>
    <definedName name="DateArret">Tableau_de_bord!$C$5</definedName>
    <definedName name="Fenetre">Parametres!$B$7</definedName>
    <definedName name="L_Banque">Mouvements_Locaux!$M$4:$M$503</definedName>
    <definedName name="L_CandExact">Mouvements_Locaux!$V$4:$V$503</definedName>
    <definedName name="L_Compte">Mouvements_Locaux!$C$4:$C$503</definedName>
    <definedName name="L_Credit">Mouvements_Locaux!$I$4:$I$503</definedName>
    <definedName name="L_Date">Mouvements_Locaux!$B$4:$B$503</definedName>
    <definedName name="L_Debit">Mouvements_Locaux!$H$4:$H$503</definedName>
    <definedName name="L_Desc">Mouvements_Locaux!$F$4:$F$503</definedName>
    <definedName name="L_DJ">Mouvements_Locaux!$P$4:$P$503</definedName>
    <definedName name="L_DM">Mouvements_Locaux!$Q$4:$Q$503</definedName>
    <definedName name="L_ExactOK">Mouvements_Locaux!$X$4:$X$503</definedName>
    <definedName name="L_Montant">Mouvements_Locaux!$S$4:$S$503</definedName>
    <definedName name="L_Motif">Mouvements_Locaux!$E$4:$E$503</definedName>
    <definedName name="L_Num">Mouvements_Locaux!$A$4:$A$503</definedName>
    <definedName name="L_Pointe">Mouvements_Locaux!$AB$4:$AB$503</definedName>
    <definedName name="L_Rang">Mouvements_Locaux!$AC$4:$AC$503</definedName>
    <definedName name="L_RangPaire">Mouvements_Locaux!$AD$4:$AD$503</definedName>
    <definedName name="L_Ref">Mouvements_Locaux!$D$4:$D$503</definedName>
    <definedName name="L_Score">Mouvements_Locaux!$L$4:$L$503</definedName>
    <definedName name="L_Statut">Mouvements_Locaux!$K$4:$K$503</definedName>
    <definedName name="Soldes_Ouverture">Parametres!$A$13:$B$22</definedName>
    <definedName name="TolJours">Parametres!$B$5</definedName>
    <definedName name="TolMontant">Parametres!$B$6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03" i="6" l="1"/>
  <c r="T503" i="6"/>
  <c r="Q503" i="6"/>
  <c r="P503" i="6"/>
  <c r="O503" i="6"/>
  <c r="N503" i="6"/>
  <c r="K503" i="6"/>
  <c r="J503" i="6" s="1"/>
  <c r="I503" i="6"/>
  <c r="R503" i="6" s="1"/>
  <c r="S503" i="6" s="1"/>
  <c r="A503" i="6"/>
  <c r="U502" i="6"/>
  <c r="T502" i="6"/>
  <c r="S502" i="6"/>
  <c r="R502" i="6"/>
  <c r="Q502" i="6"/>
  <c r="P502" i="6"/>
  <c r="O502" i="6"/>
  <c r="N502" i="6"/>
  <c r="M502" i="6"/>
  <c r="K502" i="6"/>
  <c r="J502" i="6"/>
  <c r="I502" i="6"/>
  <c r="A502" i="6"/>
  <c r="U501" i="6"/>
  <c r="T501" i="6"/>
  <c r="S501" i="6"/>
  <c r="R501" i="6"/>
  <c r="Q501" i="6"/>
  <c r="P501" i="6"/>
  <c r="O501" i="6"/>
  <c r="N501" i="6"/>
  <c r="K501" i="6"/>
  <c r="J501" i="6" s="1"/>
  <c r="I501" i="6"/>
  <c r="A501" i="6"/>
  <c r="U500" i="6"/>
  <c r="T500" i="6"/>
  <c r="S500" i="6"/>
  <c r="R500" i="6"/>
  <c r="Q500" i="6"/>
  <c r="P500" i="6"/>
  <c r="O500" i="6"/>
  <c r="N500" i="6"/>
  <c r="M500" i="6"/>
  <c r="K500" i="6"/>
  <c r="J500" i="6" s="1"/>
  <c r="I500" i="6"/>
  <c r="A500" i="6"/>
  <c r="U499" i="6"/>
  <c r="T499" i="6"/>
  <c r="Q499" i="6"/>
  <c r="P499" i="6"/>
  <c r="O499" i="6"/>
  <c r="N499" i="6"/>
  <c r="K499" i="6"/>
  <c r="M499" i="6" s="1"/>
  <c r="I499" i="6"/>
  <c r="R499" i="6" s="1"/>
  <c r="S499" i="6" s="1"/>
  <c r="A499" i="6"/>
  <c r="U498" i="6"/>
  <c r="T498" i="6"/>
  <c r="Q498" i="6"/>
  <c r="P498" i="6"/>
  <c r="O498" i="6"/>
  <c r="N498" i="6"/>
  <c r="K498" i="6"/>
  <c r="M498" i="6" s="1"/>
  <c r="J498" i="6"/>
  <c r="I498" i="6"/>
  <c r="R498" i="6" s="1"/>
  <c r="S498" i="6" s="1"/>
  <c r="A498" i="6"/>
  <c r="U497" i="6"/>
  <c r="T497" i="6"/>
  <c r="Q497" i="6"/>
  <c r="P497" i="6"/>
  <c r="O497" i="6"/>
  <c r="N497" i="6"/>
  <c r="K497" i="6"/>
  <c r="M497" i="6" s="1"/>
  <c r="I497" i="6"/>
  <c r="R497" i="6" s="1"/>
  <c r="S497" i="6" s="1"/>
  <c r="A497" i="6"/>
  <c r="U496" i="6"/>
  <c r="T496" i="6"/>
  <c r="Q496" i="6"/>
  <c r="P496" i="6"/>
  <c r="O496" i="6"/>
  <c r="N496" i="6"/>
  <c r="M496" i="6"/>
  <c r="K496" i="6"/>
  <c r="J496" i="6"/>
  <c r="I496" i="6"/>
  <c r="R496" i="6" s="1"/>
  <c r="S496" i="6" s="1"/>
  <c r="A496" i="6"/>
  <c r="U495" i="6"/>
  <c r="T495" i="6"/>
  <c r="S495" i="6"/>
  <c r="R495" i="6"/>
  <c r="Q495" i="6"/>
  <c r="P495" i="6"/>
  <c r="O495" i="6"/>
  <c r="N495" i="6"/>
  <c r="K495" i="6"/>
  <c r="M495" i="6" s="1"/>
  <c r="I495" i="6"/>
  <c r="A495" i="6"/>
  <c r="U494" i="6"/>
  <c r="T494" i="6"/>
  <c r="S494" i="6"/>
  <c r="Q494" i="6"/>
  <c r="P494" i="6"/>
  <c r="O494" i="6"/>
  <c r="N494" i="6"/>
  <c r="K494" i="6"/>
  <c r="M494" i="6" s="1"/>
  <c r="I494" i="6"/>
  <c r="R494" i="6" s="1"/>
  <c r="A494" i="6"/>
  <c r="U493" i="6"/>
  <c r="T493" i="6"/>
  <c r="Q493" i="6"/>
  <c r="P493" i="6"/>
  <c r="O493" i="6"/>
  <c r="N493" i="6"/>
  <c r="M493" i="6"/>
  <c r="K493" i="6"/>
  <c r="J493" i="6"/>
  <c r="I493" i="6"/>
  <c r="R493" i="6" s="1"/>
  <c r="S493" i="6" s="1"/>
  <c r="A493" i="6"/>
  <c r="U492" i="6"/>
  <c r="T492" i="6"/>
  <c r="Q492" i="6"/>
  <c r="P492" i="6"/>
  <c r="O492" i="6"/>
  <c r="N492" i="6"/>
  <c r="K492" i="6"/>
  <c r="I492" i="6"/>
  <c r="R492" i="6" s="1"/>
  <c r="S492" i="6" s="1"/>
  <c r="A492" i="6"/>
  <c r="U491" i="6"/>
  <c r="T491" i="6"/>
  <c r="Q491" i="6"/>
  <c r="P491" i="6"/>
  <c r="O491" i="6"/>
  <c r="N491" i="6"/>
  <c r="K491" i="6"/>
  <c r="M491" i="6" s="1"/>
  <c r="I491" i="6"/>
  <c r="R491" i="6" s="1"/>
  <c r="S491" i="6" s="1"/>
  <c r="A491" i="6"/>
  <c r="U490" i="6"/>
  <c r="T490" i="6"/>
  <c r="S490" i="6"/>
  <c r="R490" i="6"/>
  <c r="Q490" i="6"/>
  <c r="P490" i="6"/>
  <c r="O490" i="6"/>
  <c r="N490" i="6"/>
  <c r="M490" i="6"/>
  <c r="K490" i="6"/>
  <c r="J490" i="6" s="1"/>
  <c r="I490" i="6"/>
  <c r="A490" i="6"/>
  <c r="U489" i="6"/>
  <c r="T489" i="6"/>
  <c r="S489" i="6"/>
  <c r="R489" i="6"/>
  <c r="Q489" i="6"/>
  <c r="P489" i="6"/>
  <c r="O489" i="6"/>
  <c r="N489" i="6"/>
  <c r="M489" i="6"/>
  <c r="K489" i="6"/>
  <c r="J489" i="6" s="1"/>
  <c r="I489" i="6"/>
  <c r="A489" i="6"/>
  <c r="U488" i="6"/>
  <c r="T488" i="6"/>
  <c r="S488" i="6"/>
  <c r="R488" i="6"/>
  <c r="Q488" i="6"/>
  <c r="P488" i="6"/>
  <c r="O488" i="6"/>
  <c r="N488" i="6"/>
  <c r="M488" i="6"/>
  <c r="K488" i="6"/>
  <c r="J488" i="6" s="1"/>
  <c r="I488" i="6"/>
  <c r="A488" i="6"/>
  <c r="U487" i="6"/>
  <c r="T487" i="6"/>
  <c r="Q487" i="6"/>
  <c r="P487" i="6"/>
  <c r="O487" i="6"/>
  <c r="N487" i="6"/>
  <c r="K487" i="6"/>
  <c r="M487" i="6" s="1"/>
  <c r="I487" i="6"/>
  <c r="R487" i="6" s="1"/>
  <c r="S487" i="6" s="1"/>
  <c r="A487" i="6"/>
  <c r="U486" i="6"/>
  <c r="T486" i="6"/>
  <c r="Q486" i="6"/>
  <c r="P486" i="6"/>
  <c r="O486" i="6"/>
  <c r="N486" i="6"/>
  <c r="M486" i="6"/>
  <c r="K486" i="6"/>
  <c r="J486" i="6"/>
  <c r="I486" i="6"/>
  <c r="R486" i="6" s="1"/>
  <c r="S486" i="6" s="1"/>
  <c r="A486" i="6"/>
  <c r="U485" i="6"/>
  <c r="T485" i="6"/>
  <c r="Q485" i="6"/>
  <c r="P485" i="6"/>
  <c r="O485" i="6"/>
  <c r="N485" i="6"/>
  <c r="K485" i="6"/>
  <c r="M485" i="6" s="1"/>
  <c r="J485" i="6"/>
  <c r="I485" i="6"/>
  <c r="R485" i="6" s="1"/>
  <c r="S485" i="6" s="1"/>
  <c r="A485" i="6"/>
  <c r="U484" i="6"/>
  <c r="T484" i="6"/>
  <c r="S484" i="6"/>
  <c r="R484" i="6"/>
  <c r="Q484" i="6"/>
  <c r="P484" i="6"/>
  <c r="O484" i="6"/>
  <c r="N484" i="6"/>
  <c r="K484" i="6"/>
  <c r="J484" i="6" s="1"/>
  <c r="I484" i="6"/>
  <c r="A484" i="6"/>
  <c r="U483" i="6"/>
  <c r="T483" i="6"/>
  <c r="R483" i="6"/>
  <c r="S483" i="6" s="1"/>
  <c r="Q483" i="6"/>
  <c r="P483" i="6"/>
  <c r="O483" i="6"/>
  <c r="N483" i="6"/>
  <c r="K483" i="6"/>
  <c r="J483" i="6" s="1"/>
  <c r="I483" i="6"/>
  <c r="A483" i="6"/>
  <c r="U482" i="6"/>
  <c r="T482" i="6"/>
  <c r="S482" i="6"/>
  <c r="Q482" i="6"/>
  <c r="P482" i="6"/>
  <c r="O482" i="6"/>
  <c r="N482" i="6"/>
  <c r="K482" i="6"/>
  <c r="I482" i="6"/>
  <c r="R482" i="6" s="1"/>
  <c r="A482" i="6"/>
  <c r="U481" i="6"/>
  <c r="T481" i="6"/>
  <c r="Q481" i="6"/>
  <c r="P481" i="6"/>
  <c r="O481" i="6"/>
  <c r="N481" i="6"/>
  <c r="K481" i="6"/>
  <c r="M481" i="6" s="1"/>
  <c r="I481" i="6"/>
  <c r="R481" i="6" s="1"/>
  <c r="S481" i="6" s="1"/>
  <c r="A481" i="6"/>
  <c r="U480" i="6"/>
  <c r="T480" i="6"/>
  <c r="Q480" i="6"/>
  <c r="P480" i="6"/>
  <c r="O480" i="6"/>
  <c r="N480" i="6"/>
  <c r="M480" i="6"/>
  <c r="K480" i="6"/>
  <c r="J480" i="6"/>
  <c r="I480" i="6"/>
  <c r="R480" i="6" s="1"/>
  <c r="S480" i="6" s="1"/>
  <c r="A480" i="6"/>
  <c r="U479" i="6"/>
  <c r="T479" i="6"/>
  <c r="Q479" i="6"/>
  <c r="P479" i="6"/>
  <c r="O479" i="6"/>
  <c r="N479" i="6"/>
  <c r="K479" i="6"/>
  <c r="M479" i="6" s="1"/>
  <c r="I479" i="6"/>
  <c r="R479" i="6" s="1"/>
  <c r="S479" i="6" s="1"/>
  <c r="A479" i="6"/>
  <c r="U478" i="6"/>
  <c r="T478" i="6"/>
  <c r="S478" i="6"/>
  <c r="R478" i="6"/>
  <c r="Q478" i="6"/>
  <c r="P478" i="6"/>
  <c r="O478" i="6"/>
  <c r="N478" i="6"/>
  <c r="M478" i="6"/>
  <c r="K478" i="6"/>
  <c r="J478" i="6"/>
  <c r="I478" i="6"/>
  <c r="A478" i="6"/>
  <c r="U477" i="6"/>
  <c r="T477" i="6"/>
  <c r="R477" i="6"/>
  <c r="S477" i="6" s="1"/>
  <c r="Q477" i="6"/>
  <c r="P477" i="6"/>
  <c r="O477" i="6"/>
  <c r="N477" i="6"/>
  <c r="M477" i="6"/>
  <c r="K477" i="6"/>
  <c r="J477" i="6" s="1"/>
  <c r="I477" i="6"/>
  <c r="A477" i="6"/>
  <c r="U476" i="6"/>
  <c r="T476" i="6"/>
  <c r="R476" i="6"/>
  <c r="S476" i="6" s="1"/>
  <c r="Q476" i="6"/>
  <c r="P476" i="6"/>
  <c r="O476" i="6"/>
  <c r="N476" i="6"/>
  <c r="M476" i="6"/>
  <c r="K476" i="6"/>
  <c r="J476" i="6"/>
  <c r="I476" i="6"/>
  <c r="A476" i="6"/>
  <c r="U475" i="6"/>
  <c r="T475" i="6"/>
  <c r="S475" i="6"/>
  <c r="R475" i="6"/>
  <c r="Q475" i="6"/>
  <c r="P475" i="6"/>
  <c r="O475" i="6"/>
  <c r="N475" i="6"/>
  <c r="K475" i="6"/>
  <c r="M475" i="6" s="1"/>
  <c r="I475" i="6"/>
  <c r="A475" i="6"/>
  <c r="U474" i="6"/>
  <c r="T474" i="6"/>
  <c r="R474" i="6"/>
  <c r="S474" i="6" s="1"/>
  <c r="Q474" i="6"/>
  <c r="P474" i="6"/>
  <c r="O474" i="6"/>
  <c r="N474" i="6"/>
  <c r="M474" i="6"/>
  <c r="K474" i="6"/>
  <c r="J474" i="6"/>
  <c r="I474" i="6"/>
  <c r="A474" i="6"/>
  <c r="U473" i="6"/>
  <c r="T473" i="6"/>
  <c r="S473" i="6"/>
  <c r="R473" i="6"/>
  <c r="Q473" i="6"/>
  <c r="P473" i="6"/>
  <c r="O473" i="6"/>
  <c r="N473" i="6"/>
  <c r="K473" i="6"/>
  <c r="I473" i="6"/>
  <c r="A473" i="6"/>
  <c r="U472" i="6"/>
  <c r="T472" i="6"/>
  <c r="R472" i="6"/>
  <c r="S472" i="6" s="1"/>
  <c r="Q472" i="6"/>
  <c r="P472" i="6"/>
  <c r="O472" i="6"/>
  <c r="N472" i="6"/>
  <c r="M472" i="6"/>
  <c r="K472" i="6"/>
  <c r="J472" i="6"/>
  <c r="I472" i="6"/>
  <c r="A472" i="6"/>
  <c r="U471" i="6"/>
  <c r="T471" i="6"/>
  <c r="S471" i="6"/>
  <c r="R471" i="6"/>
  <c r="Q471" i="6"/>
  <c r="P471" i="6"/>
  <c r="O471" i="6"/>
  <c r="N471" i="6"/>
  <c r="K471" i="6"/>
  <c r="M471" i="6" s="1"/>
  <c r="J471" i="6"/>
  <c r="I471" i="6"/>
  <c r="A471" i="6"/>
  <c r="U470" i="6"/>
  <c r="T470" i="6"/>
  <c r="S470" i="6"/>
  <c r="Q470" i="6"/>
  <c r="P470" i="6"/>
  <c r="O470" i="6"/>
  <c r="N470" i="6"/>
  <c r="K470" i="6"/>
  <c r="M470" i="6" s="1"/>
  <c r="J470" i="6"/>
  <c r="I470" i="6"/>
  <c r="R470" i="6" s="1"/>
  <c r="A470" i="6"/>
  <c r="U469" i="6"/>
  <c r="T469" i="6"/>
  <c r="Q469" i="6"/>
  <c r="P469" i="6"/>
  <c r="O469" i="6"/>
  <c r="N469" i="6"/>
  <c r="M469" i="6"/>
  <c r="K469" i="6"/>
  <c r="J469" i="6"/>
  <c r="I469" i="6"/>
  <c r="R469" i="6" s="1"/>
  <c r="S469" i="6" s="1"/>
  <c r="A469" i="6"/>
  <c r="U468" i="6"/>
  <c r="T468" i="6"/>
  <c r="Q468" i="6"/>
  <c r="P468" i="6"/>
  <c r="O468" i="6"/>
  <c r="N468" i="6"/>
  <c r="K468" i="6"/>
  <c r="J468" i="6" s="1"/>
  <c r="I468" i="6"/>
  <c r="R468" i="6" s="1"/>
  <c r="S468" i="6" s="1"/>
  <c r="A468" i="6"/>
  <c r="U467" i="6"/>
  <c r="T467" i="6"/>
  <c r="R467" i="6"/>
  <c r="S467" i="6" s="1"/>
  <c r="Q467" i="6"/>
  <c r="P467" i="6"/>
  <c r="O467" i="6"/>
  <c r="N467" i="6"/>
  <c r="M467" i="6"/>
  <c r="K467" i="6"/>
  <c r="J467" i="6" s="1"/>
  <c r="I467" i="6"/>
  <c r="A467" i="6"/>
  <c r="U466" i="6"/>
  <c r="T466" i="6"/>
  <c r="S466" i="6"/>
  <c r="R466" i="6"/>
  <c r="Q466" i="6"/>
  <c r="P466" i="6"/>
  <c r="O466" i="6"/>
  <c r="N466" i="6"/>
  <c r="M466" i="6"/>
  <c r="K466" i="6"/>
  <c r="J466" i="6"/>
  <c r="I466" i="6"/>
  <c r="A466" i="6"/>
  <c r="U465" i="6"/>
  <c r="T465" i="6"/>
  <c r="R465" i="6"/>
  <c r="S465" i="6" s="1"/>
  <c r="Q465" i="6"/>
  <c r="P465" i="6"/>
  <c r="O465" i="6"/>
  <c r="N465" i="6"/>
  <c r="K465" i="6"/>
  <c r="J465" i="6" s="1"/>
  <c r="I465" i="6"/>
  <c r="A465" i="6"/>
  <c r="U464" i="6"/>
  <c r="T464" i="6"/>
  <c r="S464" i="6"/>
  <c r="R464" i="6"/>
  <c r="Q464" i="6"/>
  <c r="P464" i="6"/>
  <c r="O464" i="6"/>
  <c r="N464" i="6"/>
  <c r="M464" i="6"/>
  <c r="K464" i="6"/>
  <c r="J464" i="6" s="1"/>
  <c r="I464" i="6"/>
  <c r="A464" i="6"/>
  <c r="U463" i="6"/>
  <c r="T463" i="6"/>
  <c r="S463" i="6"/>
  <c r="R463" i="6"/>
  <c r="Q463" i="6"/>
  <c r="P463" i="6"/>
  <c r="O463" i="6"/>
  <c r="N463" i="6"/>
  <c r="K463" i="6"/>
  <c r="M463" i="6" s="1"/>
  <c r="I463" i="6"/>
  <c r="A463" i="6"/>
  <c r="U462" i="6"/>
  <c r="T462" i="6"/>
  <c r="R462" i="6"/>
  <c r="S462" i="6" s="1"/>
  <c r="Q462" i="6"/>
  <c r="P462" i="6"/>
  <c r="O462" i="6"/>
  <c r="N462" i="6"/>
  <c r="K462" i="6"/>
  <c r="M462" i="6" s="1"/>
  <c r="J462" i="6"/>
  <c r="I462" i="6"/>
  <c r="A462" i="6"/>
  <c r="U461" i="6"/>
  <c r="T461" i="6"/>
  <c r="R461" i="6"/>
  <c r="S461" i="6" s="1"/>
  <c r="Q461" i="6"/>
  <c r="P461" i="6"/>
  <c r="O461" i="6"/>
  <c r="N461" i="6"/>
  <c r="K461" i="6"/>
  <c r="I461" i="6"/>
  <c r="A461" i="6"/>
  <c r="U460" i="6"/>
  <c r="T460" i="6"/>
  <c r="S460" i="6"/>
  <c r="R460" i="6"/>
  <c r="Q460" i="6"/>
  <c r="P460" i="6"/>
  <c r="O460" i="6"/>
  <c r="N460" i="6"/>
  <c r="M460" i="6"/>
  <c r="K460" i="6"/>
  <c r="J460" i="6"/>
  <c r="I460" i="6"/>
  <c r="A460" i="6"/>
  <c r="U459" i="6"/>
  <c r="T459" i="6"/>
  <c r="R459" i="6"/>
  <c r="S459" i="6" s="1"/>
  <c r="Q459" i="6"/>
  <c r="P459" i="6"/>
  <c r="O459" i="6"/>
  <c r="N459" i="6"/>
  <c r="K459" i="6"/>
  <c r="M459" i="6" s="1"/>
  <c r="J459" i="6"/>
  <c r="I459" i="6"/>
  <c r="A459" i="6"/>
  <c r="U458" i="6"/>
  <c r="T458" i="6"/>
  <c r="S458" i="6"/>
  <c r="Q458" i="6"/>
  <c r="P458" i="6"/>
  <c r="O458" i="6"/>
  <c r="N458" i="6"/>
  <c r="K458" i="6"/>
  <c r="M458" i="6" s="1"/>
  <c r="J458" i="6"/>
  <c r="I458" i="6"/>
  <c r="R458" i="6" s="1"/>
  <c r="A458" i="6"/>
  <c r="U457" i="6"/>
  <c r="T457" i="6"/>
  <c r="Q457" i="6"/>
  <c r="P457" i="6"/>
  <c r="O457" i="6"/>
  <c r="N457" i="6"/>
  <c r="M457" i="6"/>
  <c r="K457" i="6"/>
  <c r="J457" i="6"/>
  <c r="I457" i="6"/>
  <c r="R457" i="6" s="1"/>
  <c r="S457" i="6" s="1"/>
  <c r="A457" i="6"/>
  <c r="U456" i="6"/>
  <c r="T456" i="6"/>
  <c r="Q456" i="6"/>
  <c r="P456" i="6"/>
  <c r="O456" i="6"/>
  <c r="N456" i="6"/>
  <c r="K456" i="6"/>
  <c r="J456" i="6" s="1"/>
  <c r="I456" i="6"/>
  <c r="R456" i="6" s="1"/>
  <c r="S456" i="6" s="1"/>
  <c r="A456" i="6"/>
  <c r="U455" i="6"/>
  <c r="T455" i="6"/>
  <c r="R455" i="6"/>
  <c r="S455" i="6" s="1"/>
  <c r="Q455" i="6"/>
  <c r="P455" i="6"/>
  <c r="O455" i="6"/>
  <c r="N455" i="6"/>
  <c r="M455" i="6"/>
  <c r="K455" i="6"/>
  <c r="J455" i="6" s="1"/>
  <c r="I455" i="6"/>
  <c r="A455" i="6"/>
  <c r="U454" i="6"/>
  <c r="T454" i="6"/>
  <c r="R454" i="6"/>
  <c r="S454" i="6" s="1"/>
  <c r="Q454" i="6"/>
  <c r="P454" i="6"/>
  <c r="O454" i="6"/>
  <c r="N454" i="6"/>
  <c r="M454" i="6"/>
  <c r="K454" i="6"/>
  <c r="J454" i="6"/>
  <c r="I454" i="6"/>
  <c r="A454" i="6"/>
  <c r="U453" i="6"/>
  <c r="T453" i="6"/>
  <c r="R453" i="6"/>
  <c r="S453" i="6" s="1"/>
  <c r="Q453" i="6"/>
  <c r="P453" i="6"/>
  <c r="O453" i="6"/>
  <c r="N453" i="6"/>
  <c r="K453" i="6"/>
  <c r="J453" i="6" s="1"/>
  <c r="I453" i="6"/>
  <c r="A453" i="6"/>
  <c r="U452" i="6"/>
  <c r="T452" i="6"/>
  <c r="R452" i="6"/>
  <c r="S452" i="6" s="1"/>
  <c r="Q452" i="6"/>
  <c r="P452" i="6"/>
  <c r="O452" i="6"/>
  <c r="N452" i="6"/>
  <c r="M452" i="6"/>
  <c r="K452" i="6"/>
  <c r="J452" i="6"/>
  <c r="I452" i="6"/>
  <c r="A452" i="6"/>
  <c r="U451" i="6"/>
  <c r="T451" i="6"/>
  <c r="R451" i="6"/>
  <c r="S451" i="6" s="1"/>
  <c r="Q451" i="6"/>
  <c r="P451" i="6"/>
  <c r="O451" i="6"/>
  <c r="N451" i="6"/>
  <c r="K451" i="6"/>
  <c r="M451" i="6" s="1"/>
  <c r="I451" i="6"/>
  <c r="A451" i="6"/>
  <c r="U450" i="6"/>
  <c r="T450" i="6"/>
  <c r="R450" i="6"/>
  <c r="S450" i="6" s="1"/>
  <c r="Q450" i="6"/>
  <c r="P450" i="6"/>
  <c r="O450" i="6"/>
  <c r="N450" i="6"/>
  <c r="M450" i="6"/>
  <c r="K450" i="6"/>
  <c r="J450" i="6"/>
  <c r="I450" i="6"/>
  <c r="A450" i="6"/>
  <c r="U449" i="6"/>
  <c r="T449" i="6"/>
  <c r="R449" i="6"/>
  <c r="S449" i="6" s="1"/>
  <c r="Q449" i="6"/>
  <c r="P449" i="6"/>
  <c r="O449" i="6"/>
  <c r="N449" i="6"/>
  <c r="K449" i="6"/>
  <c r="M449" i="6" s="1"/>
  <c r="J449" i="6"/>
  <c r="I449" i="6"/>
  <c r="A449" i="6"/>
  <c r="U448" i="6"/>
  <c r="T448" i="6"/>
  <c r="R448" i="6"/>
  <c r="S448" i="6" s="1"/>
  <c r="Q448" i="6"/>
  <c r="P448" i="6"/>
  <c r="O448" i="6"/>
  <c r="N448" i="6"/>
  <c r="K448" i="6"/>
  <c r="M448" i="6" s="1"/>
  <c r="I448" i="6"/>
  <c r="A448" i="6"/>
  <c r="U447" i="6"/>
  <c r="T447" i="6"/>
  <c r="R447" i="6"/>
  <c r="S447" i="6" s="1"/>
  <c r="Q447" i="6"/>
  <c r="P447" i="6"/>
  <c r="O447" i="6"/>
  <c r="N447" i="6"/>
  <c r="M447" i="6"/>
  <c r="K447" i="6"/>
  <c r="J447" i="6" s="1"/>
  <c r="I447" i="6"/>
  <c r="A447" i="6"/>
  <c r="U446" i="6"/>
  <c r="T446" i="6"/>
  <c r="S446" i="6"/>
  <c r="Q446" i="6"/>
  <c r="P446" i="6"/>
  <c r="O446" i="6"/>
  <c r="N446" i="6"/>
  <c r="M446" i="6"/>
  <c r="K446" i="6"/>
  <c r="J446" i="6" s="1"/>
  <c r="I446" i="6"/>
  <c r="R446" i="6" s="1"/>
  <c r="A446" i="6"/>
  <c r="U445" i="6"/>
  <c r="T445" i="6"/>
  <c r="Q445" i="6"/>
  <c r="P445" i="6"/>
  <c r="O445" i="6"/>
  <c r="N445" i="6"/>
  <c r="K445" i="6"/>
  <c r="M445" i="6" s="1"/>
  <c r="I445" i="6"/>
  <c r="R445" i="6" s="1"/>
  <c r="S445" i="6" s="1"/>
  <c r="A445" i="6"/>
  <c r="U444" i="6"/>
  <c r="T444" i="6"/>
  <c r="Q444" i="6"/>
  <c r="P444" i="6"/>
  <c r="O444" i="6"/>
  <c r="N444" i="6"/>
  <c r="K444" i="6"/>
  <c r="M444" i="6" s="1"/>
  <c r="J444" i="6"/>
  <c r="I444" i="6"/>
  <c r="R444" i="6" s="1"/>
  <c r="S444" i="6" s="1"/>
  <c r="A444" i="6"/>
  <c r="U443" i="6"/>
  <c r="T443" i="6"/>
  <c r="R443" i="6"/>
  <c r="S443" i="6" s="1"/>
  <c r="Q443" i="6"/>
  <c r="P443" i="6"/>
  <c r="O443" i="6"/>
  <c r="N443" i="6"/>
  <c r="K443" i="6"/>
  <c r="M443" i="6" s="1"/>
  <c r="J443" i="6"/>
  <c r="I443" i="6"/>
  <c r="A443" i="6"/>
  <c r="U442" i="6"/>
  <c r="T442" i="6"/>
  <c r="R442" i="6"/>
  <c r="S442" i="6" s="1"/>
  <c r="Q442" i="6"/>
  <c r="P442" i="6"/>
  <c r="O442" i="6"/>
  <c r="N442" i="6"/>
  <c r="K442" i="6"/>
  <c r="M442" i="6" s="1"/>
  <c r="I442" i="6"/>
  <c r="A442" i="6"/>
  <c r="U441" i="6"/>
  <c r="T441" i="6"/>
  <c r="S441" i="6"/>
  <c r="R441" i="6"/>
  <c r="Q441" i="6"/>
  <c r="P441" i="6"/>
  <c r="O441" i="6"/>
  <c r="N441" i="6"/>
  <c r="M441" i="6"/>
  <c r="K441" i="6"/>
  <c r="J441" i="6" s="1"/>
  <c r="I441" i="6"/>
  <c r="A441" i="6"/>
  <c r="U440" i="6"/>
  <c r="T440" i="6"/>
  <c r="S440" i="6"/>
  <c r="R440" i="6"/>
  <c r="Q440" i="6"/>
  <c r="P440" i="6"/>
  <c r="O440" i="6"/>
  <c r="N440" i="6"/>
  <c r="M440" i="6"/>
  <c r="K440" i="6"/>
  <c r="J440" i="6" s="1"/>
  <c r="I440" i="6"/>
  <c r="A440" i="6"/>
  <c r="U439" i="6"/>
  <c r="T439" i="6"/>
  <c r="S439" i="6"/>
  <c r="Q439" i="6"/>
  <c r="P439" i="6"/>
  <c r="O439" i="6"/>
  <c r="N439" i="6"/>
  <c r="M439" i="6"/>
  <c r="K439" i="6"/>
  <c r="J439" i="6"/>
  <c r="I439" i="6"/>
  <c r="R439" i="6" s="1"/>
  <c r="A439" i="6"/>
  <c r="U438" i="6"/>
  <c r="T438" i="6"/>
  <c r="Q438" i="6"/>
  <c r="P438" i="6"/>
  <c r="O438" i="6"/>
  <c r="N438" i="6"/>
  <c r="K438" i="6"/>
  <c r="M438" i="6" s="1"/>
  <c r="J438" i="6"/>
  <c r="I438" i="6"/>
  <c r="R438" i="6" s="1"/>
  <c r="S438" i="6" s="1"/>
  <c r="A438" i="6"/>
  <c r="U437" i="6"/>
  <c r="T437" i="6"/>
  <c r="Q437" i="6"/>
  <c r="P437" i="6"/>
  <c r="O437" i="6"/>
  <c r="N437" i="6"/>
  <c r="K437" i="6"/>
  <c r="M437" i="6" s="1"/>
  <c r="I437" i="6"/>
  <c r="R437" i="6" s="1"/>
  <c r="S437" i="6" s="1"/>
  <c r="A437" i="6"/>
  <c r="U436" i="6"/>
  <c r="T436" i="6"/>
  <c r="Q436" i="6"/>
  <c r="P436" i="6"/>
  <c r="O436" i="6"/>
  <c r="N436" i="6"/>
  <c r="M436" i="6"/>
  <c r="K436" i="6"/>
  <c r="J436" i="6"/>
  <c r="I436" i="6"/>
  <c r="R436" i="6" s="1"/>
  <c r="S436" i="6" s="1"/>
  <c r="A436" i="6"/>
  <c r="U435" i="6"/>
  <c r="T435" i="6"/>
  <c r="Q435" i="6"/>
  <c r="P435" i="6"/>
  <c r="O435" i="6"/>
  <c r="N435" i="6"/>
  <c r="K435" i="6"/>
  <c r="M435" i="6" s="1"/>
  <c r="I435" i="6"/>
  <c r="R435" i="6" s="1"/>
  <c r="S435" i="6" s="1"/>
  <c r="A435" i="6"/>
  <c r="U434" i="6"/>
  <c r="T434" i="6"/>
  <c r="Q434" i="6"/>
  <c r="P434" i="6"/>
  <c r="O434" i="6"/>
  <c r="N434" i="6"/>
  <c r="K434" i="6"/>
  <c r="M434" i="6" s="1"/>
  <c r="J434" i="6"/>
  <c r="I434" i="6"/>
  <c r="R434" i="6" s="1"/>
  <c r="S434" i="6" s="1"/>
  <c r="A434" i="6"/>
  <c r="U433" i="6"/>
  <c r="T433" i="6"/>
  <c r="Q433" i="6"/>
  <c r="P433" i="6"/>
  <c r="O433" i="6"/>
  <c r="N433" i="6"/>
  <c r="M433" i="6"/>
  <c r="K433" i="6"/>
  <c r="J433" i="6"/>
  <c r="I433" i="6"/>
  <c r="R433" i="6" s="1"/>
  <c r="S433" i="6" s="1"/>
  <c r="A433" i="6"/>
  <c r="U432" i="6"/>
  <c r="T432" i="6"/>
  <c r="Q432" i="6"/>
  <c r="P432" i="6"/>
  <c r="O432" i="6"/>
  <c r="N432" i="6"/>
  <c r="M432" i="6"/>
  <c r="K432" i="6"/>
  <c r="J432" i="6" s="1"/>
  <c r="I432" i="6"/>
  <c r="R432" i="6" s="1"/>
  <c r="S432" i="6" s="1"/>
  <c r="A432" i="6"/>
  <c r="U431" i="6"/>
  <c r="T431" i="6"/>
  <c r="R431" i="6"/>
  <c r="S431" i="6" s="1"/>
  <c r="Q431" i="6"/>
  <c r="P431" i="6"/>
  <c r="O431" i="6"/>
  <c r="N431" i="6"/>
  <c r="M431" i="6"/>
  <c r="K431" i="6"/>
  <c r="J431" i="6" s="1"/>
  <c r="I431" i="6"/>
  <c r="A431" i="6"/>
  <c r="U430" i="6"/>
  <c r="T430" i="6"/>
  <c r="S430" i="6"/>
  <c r="R430" i="6"/>
  <c r="Q430" i="6"/>
  <c r="P430" i="6"/>
  <c r="O430" i="6"/>
  <c r="N430" i="6"/>
  <c r="M430" i="6"/>
  <c r="K430" i="6"/>
  <c r="J430" i="6"/>
  <c r="I430" i="6"/>
  <c r="A430" i="6"/>
  <c r="U429" i="6"/>
  <c r="T429" i="6"/>
  <c r="R429" i="6"/>
  <c r="S429" i="6" s="1"/>
  <c r="Q429" i="6"/>
  <c r="P429" i="6"/>
  <c r="O429" i="6"/>
  <c r="N429" i="6"/>
  <c r="K429" i="6"/>
  <c r="I429" i="6"/>
  <c r="A429" i="6"/>
  <c r="U428" i="6"/>
  <c r="T428" i="6"/>
  <c r="S428" i="6"/>
  <c r="R428" i="6"/>
  <c r="Q428" i="6"/>
  <c r="P428" i="6"/>
  <c r="O428" i="6"/>
  <c r="N428" i="6"/>
  <c r="M428" i="6"/>
  <c r="K428" i="6"/>
  <c r="J428" i="6" s="1"/>
  <c r="I428" i="6"/>
  <c r="A428" i="6"/>
  <c r="U427" i="6"/>
  <c r="T427" i="6"/>
  <c r="S427" i="6"/>
  <c r="R427" i="6"/>
  <c r="Q427" i="6"/>
  <c r="P427" i="6"/>
  <c r="O427" i="6"/>
  <c r="N427" i="6"/>
  <c r="M427" i="6"/>
  <c r="K427" i="6"/>
  <c r="J427" i="6"/>
  <c r="I427" i="6"/>
  <c r="A427" i="6"/>
  <c r="U426" i="6"/>
  <c r="T426" i="6"/>
  <c r="S426" i="6"/>
  <c r="Q426" i="6"/>
  <c r="P426" i="6"/>
  <c r="O426" i="6"/>
  <c r="N426" i="6"/>
  <c r="K426" i="6"/>
  <c r="M426" i="6" s="1"/>
  <c r="J426" i="6"/>
  <c r="I426" i="6"/>
  <c r="R426" i="6" s="1"/>
  <c r="A426" i="6"/>
  <c r="U425" i="6"/>
  <c r="T425" i="6"/>
  <c r="S425" i="6"/>
  <c r="Q425" i="6"/>
  <c r="P425" i="6"/>
  <c r="O425" i="6"/>
  <c r="N425" i="6"/>
  <c r="K425" i="6"/>
  <c r="M425" i="6" s="1"/>
  <c r="J425" i="6"/>
  <c r="I425" i="6"/>
  <c r="R425" i="6" s="1"/>
  <c r="A425" i="6"/>
  <c r="U424" i="6"/>
  <c r="T424" i="6"/>
  <c r="S424" i="6"/>
  <c r="Q424" i="6"/>
  <c r="P424" i="6"/>
  <c r="O424" i="6"/>
  <c r="N424" i="6"/>
  <c r="M424" i="6"/>
  <c r="K424" i="6"/>
  <c r="J424" i="6"/>
  <c r="I424" i="6"/>
  <c r="R424" i="6" s="1"/>
  <c r="A424" i="6"/>
  <c r="U423" i="6"/>
  <c r="T423" i="6"/>
  <c r="Q423" i="6"/>
  <c r="P423" i="6"/>
  <c r="O423" i="6"/>
  <c r="N423" i="6"/>
  <c r="K423" i="6"/>
  <c r="J423" i="6" s="1"/>
  <c r="I423" i="6"/>
  <c r="R423" i="6" s="1"/>
  <c r="S423" i="6" s="1"/>
  <c r="A423" i="6"/>
  <c r="U422" i="6"/>
  <c r="T422" i="6"/>
  <c r="Q422" i="6"/>
  <c r="P422" i="6"/>
  <c r="O422" i="6"/>
  <c r="N422" i="6"/>
  <c r="K422" i="6"/>
  <c r="M422" i="6" s="1"/>
  <c r="J422" i="6"/>
  <c r="I422" i="6"/>
  <c r="R422" i="6" s="1"/>
  <c r="S422" i="6" s="1"/>
  <c r="A422" i="6"/>
  <c r="U421" i="6"/>
  <c r="T421" i="6"/>
  <c r="Q421" i="6"/>
  <c r="P421" i="6"/>
  <c r="O421" i="6"/>
  <c r="N421" i="6"/>
  <c r="M421" i="6"/>
  <c r="K421" i="6"/>
  <c r="J421" i="6"/>
  <c r="I421" i="6"/>
  <c r="R421" i="6" s="1"/>
  <c r="S421" i="6" s="1"/>
  <c r="A421" i="6"/>
  <c r="U420" i="6"/>
  <c r="T420" i="6"/>
  <c r="Q420" i="6"/>
  <c r="P420" i="6"/>
  <c r="O420" i="6"/>
  <c r="N420" i="6"/>
  <c r="K420" i="6"/>
  <c r="M420" i="6" s="1"/>
  <c r="J420" i="6"/>
  <c r="I420" i="6"/>
  <c r="R420" i="6" s="1"/>
  <c r="S420" i="6" s="1"/>
  <c r="A420" i="6"/>
  <c r="U419" i="6"/>
  <c r="T419" i="6"/>
  <c r="Q419" i="6"/>
  <c r="P419" i="6"/>
  <c r="O419" i="6"/>
  <c r="N419" i="6"/>
  <c r="K419" i="6"/>
  <c r="M419" i="6" s="1"/>
  <c r="J419" i="6"/>
  <c r="I419" i="6"/>
  <c r="R419" i="6" s="1"/>
  <c r="S419" i="6" s="1"/>
  <c r="A419" i="6"/>
  <c r="U418" i="6"/>
  <c r="T418" i="6"/>
  <c r="S418" i="6"/>
  <c r="R418" i="6"/>
  <c r="Q418" i="6"/>
  <c r="P418" i="6"/>
  <c r="O418" i="6"/>
  <c r="N418" i="6"/>
  <c r="K418" i="6"/>
  <c r="M418" i="6" s="1"/>
  <c r="J418" i="6"/>
  <c r="I418" i="6"/>
  <c r="A418" i="6"/>
  <c r="U417" i="6"/>
  <c r="T417" i="6"/>
  <c r="R417" i="6"/>
  <c r="S417" i="6" s="1"/>
  <c r="Q417" i="6"/>
  <c r="P417" i="6"/>
  <c r="O417" i="6"/>
  <c r="N417" i="6"/>
  <c r="K417" i="6"/>
  <c r="J417" i="6" s="1"/>
  <c r="I417" i="6"/>
  <c r="A417" i="6"/>
  <c r="U416" i="6"/>
  <c r="T416" i="6"/>
  <c r="R416" i="6"/>
  <c r="S416" i="6" s="1"/>
  <c r="Q416" i="6"/>
  <c r="P416" i="6"/>
  <c r="O416" i="6"/>
  <c r="N416" i="6"/>
  <c r="M416" i="6"/>
  <c r="K416" i="6"/>
  <c r="J416" i="6" s="1"/>
  <c r="I416" i="6"/>
  <c r="A416" i="6"/>
  <c r="U415" i="6"/>
  <c r="T415" i="6"/>
  <c r="Q415" i="6"/>
  <c r="P415" i="6"/>
  <c r="O415" i="6"/>
  <c r="N415" i="6"/>
  <c r="K415" i="6"/>
  <c r="M415" i="6" s="1"/>
  <c r="I415" i="6"/>
  <c r="R415" i="6" s="1"/>
  <c r="S415" i="6" s="1"/>
  <c r="A415" i="6"/>
  <c r="U414" i="6"/>
  <c r="T414" i="6"/>
  <c r="S414" i="6"/>
  <c r="Q414" i="6"/>
  <c r="P414" i="6"/>
  <c r="O414" i="6"/>
  <c r="N414" i="6"/>
  <c r="K414" i="6"/>
  <c r="M414" i="6" s="1"/>
  <c r="J414" i="6"/>
  <c r="I414" i="6"/>
  <c r="R414" i="6" s="1"/>
  <c r="A414" i="6"/>
  <c r="U413" i="6"/>
  <c r="T413" i="6"/>
  <c r="S413" i="6"/>
  <c r="Q413" i="6"/>
  <c r="P413" i="6"/>
  <c r="O413" i="6"/>
  <c r="N413" i="6"/>
  <c r="K413" i="6"/>
  <c r="M413" i="6" s="1"/>
  <c r="J413" i="6"/>
  <c r="I413" i="6"/>
  <c r="R413" i="6" s="1"/>
  <c r="A413" i="6"/>
  <c r="U412" i="6"/>
  <c r="T412" i="6"/>
  <c r="S412" i="6"/>
  <c r="Q412" i="6"/>
  <c r="P412" i="6"/>
  <c r="O412" i="6"/>
  <c r="N412" i="6"/>
  <c r="M412" i="6"/>
  <c r="K412" i="6"/>
  <c r="J412" i="6"/>
  <c r="I412" i="6"/>
  <c r="R412" i="6" s="1"/>
  <c r="A412" i="6"/>
  <c r="U411" i="6"/>
  <c r="T411" i="6"/>
  <c r="Q411" i="6"/>
  <c r="P411" i="6"/>
  <c r="O411" i="6"/>
  <c r="N411" i="6"/>
  <c r="K411" i="6"/>
  <c r="I411" i="6"/>
  <c r="R411" i="6" s="1"/>
  <c r="S411" i="6" s="1"/>
  <c r="A411" i="6"/>
  <c r="U410" i="6"/>
  <c r="T410" i="6"/>
  <c r="Q410" i="6"/>
  <c r="P410" i="6"/>
  <c r="O410" i="6"/>
  <c r="N410" i="6"/>
  <c r="K410" i="6"/>
  <c r="M410" i="6" s="1"/>
  <c r="I410" i="6"/>
  <c r="R410" i="6" s="1"/>
  <c r="S410" i="6" s="1"/>
  <c r="A410" i="6"/>
  <c r="U409" i="6"/>
  <c r="T409" i="6"/>
  <c r="Q409" i="6"/>
  <c r="P409" i="6"/>
  <c r="O409" i="6"/>
  <c r="N409" i="6"/>
  <c r="K409" i="6"/>
  <c r="M409" i="6" s="1"/>
  <c r="J409" i="6"/>
  <c r="I409" i="6"/>
  <c r="R409" i="6" s="1"/>
  <c r="S409" i="6" s="1"/>
  <c r="A409" i="6"/>
  <c r="U408" i="6"/>
  <c r="T408" i="6"/>
  <c r="Q408" i="6"/>
  <c r="P408" i="6"/>
  <c r="O408" i="6"/>
  <c r="N408" i="6"/>
  <c r="K408" i="6"/>
  <c r="M408" i="6" s="1"/>
  <c r="J408" i="6"/>
  <c r="I408" i="6"/>
  <c r="R408" i="6" s="1"/>
  <c r="S408" i="6" s="1"/>
  <c r="A408" i="6"/>
  <c r="U407" i="6"/>
  <c r="T407" i="6"/>
  <c r="Q407" i="6"/>
  <c r="P407" i="6"/>
  <c r="O407" i="6"/>
  <c r="N407" i="6"/>
  <c r="K407" i="6"/>
  <c r="I407" i="6"/>
  <c r="R407" i="6" s="1"/>
  <c r="S407" i="6" s="1"/>
  <c r="A407" i="6"/>
  <c r="U406" i="6"/>
  <c r="T406" i="6"/>
  <c r="S406" i="6"/>
  <c r="R406" i="6"/>
  <c r="Q406" i="6"/>
  <c r="P406" i="6"/>
  <c r="O406" i="6"/>
  <c r="N406" i="6"/>
  <c r="M406" i="6"/>
  <c r="K406" i="6"/>
  <c r="J406" i="6" s="1"/>
  <c r="I406" i="6"/>
  <c r="A406" i="6"/>
  <c r="U405" i="6"/>
  <c r="T405" i="6"/>
  <c r="R405" i="6"/>
  <c r="S405" i="6" s="1"/>
  <c r="Q405" i="6"/>
  <c r="P405" i="6"/>
  <c r="O405" i="6"/>
  <c r="N405" i="6"/>
  <c r="M405" i="6"/>
  <c r="K405" i="6"/>
  <c r="J405" i="6" s="1"/>
  <c r="I405" i="6"/>
  <c r="A405" i="6"/>
  <c r="U404" i="6"/>
  <c r="T404" i="6"/>
  <c r="R404" i="6"/>
  <c r="S404" i="6" s="1"/>
  <c r="Q404" i="6"/>
  <c r="P404" i="6"/>
  <c r="O404" i="6"/>
  <c r="N404" i="6"/>
  <c r="M404" i="6"/>
  <c r="K404" i="6"/>
  <c r="J404" i="6" s="1"/>
  <c r="I404" i="6"/>
  <c r="A404" i="6"/>
  <c r="U403" i="6"/>
  <c r="T403" i="6"/>
  <c r="Q403" i="6"/>
  <c r="P403" i="6"/>
  <c r="O403" i="6"/>
  <c r="N403" i="6"/>
  <c r="M403" i="6"/>
  <c r="K403" i="6"/>
  <c r="J403" i="6"/>
  <c r="I403" i="6"/>
  <c r="R403" i="6" s="1"/>
  <c r="S403" i="6" s="1"/>
  <c r="A403" i="6"/>
  <c r="U402" i="6"/>
  <c r="T402" i="6"/>
  <c r="Q402" i="6"/>
  <c r="P402" i="6"/>
  <c r="O402" i="6"/>
  <c r="N402" i="6"/>
  <c r="K402" i="6"/>
  <c r="M402" i="6" s="1"/>
  <c r="J402" i="6"/>
  <c r="I402" i="6"/>
  <c r="R402" i="6" s="1"/>
  <c r="S402" i="6" s="1"/>
  <c r="A402" i="6"/>
  <c r="U401" i="6"/>
  <c r="T401" i="6"/>
  <c r="Q401" i="6"/>
  <c r="P401" i="6"/>
  <c r="O401" i="6"/>
  <c r="N401" i="6"/>
  <c r="K401" i="6"/>
  <c r="M401" i="6" s="1"/>
  <c r="J401" i="6"/>
  <c r="I401" i="6"/>
  <c r="R401" i="6" s="1"/>
  <c r="S401" i="6" s="1"/>
  <c r="A401" i="6"/>
  <c r="U400" i="6"/>
  <c r="T400" i="6"/>
  <c r="Q400" i="6"/>
  <c r="P400" i="6"/>
  <c r="O400" i="6"/>
  <c r="N400" i="6"/>
  <c r="K400" i="6"/>
  <c r="J400" i="6" s="1"/>
  <c r="I400" i="6"/>
  <c r="R400" i="6" s="1"/>
  <c r="S400" i="6" s="1"/>
  <c r="A400" i="6"/>
  <c r="U399" i="6"/>
  <c r="T399" i="6"/>
  <c r="Q399" i="6"/>
  <c r="P399" i="6"/>
  <c r="O399" i="6"/>
  <c r="N399" i="6"/>
  <c r="K399" i="6"/>
  <c r="M399" i="6" s="1"/>
  <c r="J399" i="6"/>
  <c r="I399" i="6"/>
  <c r="R399" i="6" s="1"/>
  <c r="S399" i="6" s="1"/>
  <c r="A399" i="6"/>
  <c r="U398" i="6"/>
  <c r="T398" i="6"/>
  <c r="Q398" i="6"/>
  <c r="P398" i="6"/>
  <c r="O398" i="6"/>
  <c r="N398" i="6"/>
  <c r="M398" i="6"/>
  <c r="K398" i="6"/>
  <c r="J398" i="6"/>
  <c r="I398" i="6"/>
  <c r="R398" i="6" s="1"/>
  <c r="S398" i="6" s="1"/>
  <c r="A398" i="6"/>
  <c r="U397" i="6"/>
  <c r="T397" i="6"/>
  <c r="Q397" i="6"/>
  <c r="P397" i="6"/>
  <c r="O397" i="6"/>
  <c r="N397" i="6"/>
  <c r="M397" i="6"/>
  <c r="K397" i="6"/>
  <c r="J397" i="6" s="1"/>
  <c r="I397" i="6"/>
  <c r="R397" i="6" s="1"/>
  <c r="S397" i="6" s="1"/>
  <c r="A397" i="6"/>
  <c r="U396" i="6"/>
  <c r="T396" i="6"/>
  <c r="Q396" i="6"/>
  <c r="P396" i="6"/>
  <c r="O396" i="6"/>
  <c r="N396" i="6"/>
  <c r="M396" i="6"/>
  <c r="K396" i="6"/>
  <c r="J396" i="6" s="1"/>
  <c r="I396" i="6"/>
  <c r="R396" i="6" s="1"/>
  <c r="S396" i="6" s="1"/>
  <c r="A396" i="6"/>
  <c r="U395" i="6"/>
  <c r="T395" i="6"/>
  <c r="Q395" i="6"/>
  <c r="P395" i="6"/>
  <c r="O395" i="6"/>
  <c r="N395" i="6"/>
  <c r="K395" i="6"/>
  <c r="M395" i="6" s="1"/>
  <c r="J395" i="6"/>
  <c r="I395" i="6"/>
  <c r="R395" i="6" s="1"/>
  <c r="S395" i="6" s="1"/>
  <c r="A395" i="6"/>
  <c r="U394" i="6"/>
  <c r="T394" i="6"/>
  <c r="R394" i="6"/>
  <c r="S394" i="6" s="1"/>
  <c r="Q394" i="6"/>
  <c r="P394" i="6"/>
  <c r="O394" i="6"/>
  <c r="N394" i="6"/>
  <c r="K394" i="6"/>
  <c r="M394" i="6" s="1"/>
  <c r="J394" i="6"/>
  <c r="I394" i="6"/>
  <c r="A394" i="6"/>
  <c r="U393" i="6"/>
  <c r="T393" i="6"/>
  <c r="S393" i="6"/>
  <c r="R393" i="6"/>
  <c r="Q393" i="6"/>
  <c r="P393" i="6"/>
  <c r="O393" i="6"/>
  <c r="N393" i="6"/>
  <c r="K393" i="6"/>
  <c r="J393" i="6" s="1"/>
  <c r="I393" i="6"/>
  <c r="A393" i="6"/>
  <c r="U392" i="6"/>
  <c r="T392" i="6"/>
  <c r="S392" i="6"/>
  <c r="R392" i="6"/>
  <c r="Q392" i="6"/>
  <c r="P392" i="6"/>
  <c r="O392" i="6"/>
  <c r="N392" i="6"/>
  <c r="M392" i="6"/>
  <c r="K392" i="6"/>
  <c r="J392" i="6" s="1"/>
  <c r="I392" i="6"/>
  <c r="A392" i="6"/>
  <c r="U391" i="6"/>
  <c r="T391" i="6"/>
  <c r="Q391" i="6"/>
  <c r="P391" i="6"/>
  <c r="O391" i="6"/>
  <c r="N391" i="6"/>
  <c r="K391" i="6"/>
  <c r="M391" i="6" s="1"/>
  <c r="I391" i="6"/>
  <c r="R391" i="6" s="1"/>
  <c r="S391" i="6" s="1"/>
  <c r="A391" i="6"/>
  <c r="U390" i="6"/>
  <c r="T390" i="6"/>
  <c r="Q390" i="6"/>
  <c r="P390" i="6"/>
  <c r="O390" i="6"/>
  <c r="N390" i="6"/>
  <c r="K390" i="6"/>
  <c r="M390" i="6" s="1"/>
  <c r="J390" i="6"/>
  <c r="I390" i="6"/>
  <c r="R390" i="6" s="1"/>
  <c r="S390" i="6" s="1"/>
  <c r="A390" i="6"/>
  <c r="U389" i="6"/>
  <c r="T389" i="6"/>
  <c r="Q389" i="6"/>
  <c r="P389" i="6"/>
  <c r="O389" i="6"/>
  <c r="N389" i="6"/>
  <c r="K389" i="6"/>
  <c r="I389" i="6"/>
  <c r="R389" i="6" s="1"/>
  <c r="S389" i="6" s="1"/>
  <c r="A389" i="6"/>
  <c r="U388" i="6"/>
  <c r="T388" i="6"/>
  <c r="Q388" i="6"/>
  <c r="P388" i="6"/>
  <c r="O388" i="6"/>
  <c r="N388" i="6"/>
  <c r="K388" i="6"/>
  <c r="M388" i="6" s="1"/>
  <c r="I388" i="6"/>
  <c r="R388" i="6" s="1"/>
  <c r="S388" i="6" s="1"/>
  <c r="A388" i="6"/>
  <c r="U387" i="6"/>
  <c r="T387" i="6"/>
  <c r="Q387" i="6"/>
  <c r="P387" i="6"/>
  <c r="O387" i="6"/>
  <c r="N387" i="6"/>
  <c r="M387" i="6"/>
  <c r="K387" i="6"/>
  <c r="J387" i="6"/>
  <c r="I387" i="6"/>
  <c r="R387" i="6" s="1"/>
  <c r="S387" i="6" s="1"/>
  <c r="A387" i="6"/>
  <c r="U386" i="6"/>
  <c r="T386" i="6"/>
  <c r="Q386" i="6"/>
  <c r="P386" i="6"/>
  <c r="O386" i="6"/>
  <c r="N386" i="6"/>
  <c r="K386" i="6"/>
  <c r="I386" i="6"/>
  <c r="R386" i="6" s="1"/>
  <c r="S386" i="6" s="1"/>
  <c r="A386" i="6"/>
  <c r="U385" i="6"/>
  <c r="T385" i="6"/>
  <c r="Q385" i="6"/>
  <c r="P385" i="6"/>
  <c r="O385" i="6"/>
  <c r="N385" i="6"/>
  <c r="K385" i="6"/>
  <c r="M385" i="6" s="1"/>
  <c r="J385" i="6"/>
  <c r="I385" i="6"/>
  <c r="R385" i="6" s="1"/>
  <c r="S385" i="6" s="1"/>
  <c r="A385" i="6"/>
  <c r="U384" i="6"/>
  <c r="T384" i="6"/>
  <c r="Q384" i="6"/>
  <c r="P384" i="6"/>
  <c r="O384" i="6"/>
  <c r="N384" i="6"/>
  <c r="M384" i="6"/>
  <c r="K384" i="6"/>
  <c r="J384" i="6"/>
  <c r="I384" i="6"/>
  <c r="R384" i="6" s="1"/>
  <c r="S384" i="6" s="1"/>
  <c r="A384" i="6"/>
  <c r="U383" i="6"/>
  <c r="T383" i="6"/>
  <c r="Q383" i="6"/>
  <c r="P383" i="6"/>
  <c r="O383" i="6"/>
  <c r="N383" i="6"/>
  <c r="K383" i="6"/>
  <c r="M383" i="6" s="1"/>
  <c r="J383" i="6"/>
  <c r="I383" i="6"/>
  <c r="R383" i="6" s="1"/>
  <c r="S383" i="6" s="1"/>
  <c r="A383" i="6"/>
  <c r="U382" i="6"/>
  <c r="T382" i="6"/>
  <c r="R382" i="6"/>
  <c r="S382" i="6" s="1"/>
  <c r="Q382" i="6"/>
  <c r="P382" i="6"/>
  <c r="O382" i="6"/>
  <c r="N382" i="6"/>
  <c r="K382" i="6"/>
  <c r="M382" i="6" s="1"/>
  <c r="J382" i="6"/>
  <c r="I382" i="6"/>
  <c r="A382" i="6"/>
  <c r="U381" i="6"/>
  <c r="T381" i="6"/>
  <c r="S381" i="6"/>
  <c r="R381" i="6"/>
  <c r="Q381" i="6"/>
  <c r="P381" i="6"/>
  <c r="O381" i="6"/>
  <c r="N381" i="6"/>
  <c r="K381" i="6"/>
  <c r="J381" i="6" s="1"/>
  <c r="I381" i="6"/>
  <c r="A381" i="6"/>
  <c r="U380" i="6"/>
  <c r="T380" i="6"/>
  <c r="S380" i="6"/>
  <c r="R380" i="6"/>
  <c r="Q380" i="6"/>
  <c r="P380" i="6"/>
  <c r="O380" i="6"/>
  <c r="N380" i="6"/>
  <c r="M380" i="6"/>
  <c r="K380" i="6"/>
  <c r="J380" i="6" s="1"/>
  <c r="I380" i="6"/>
  <c r="A380" i="6"/>
  <c r="U379" i="6"/>
  <c r="T379" i="6"/>
  <c r="Q379" i="6"/>
  <c r="P379" i="6"/>
  <c r="O379" i="6"/>
  <c r="N379" i="6"/>
  <c r="M379" i="6"/>
  <c r="K379" i="6"/>
  <c r="J379" i="6" s="1"/>
  <c r="I379" i="6"/>
  <c r="R379" i="6" s="1"/>
  <c r="S379" i="6" s="1"/>
  <c r="A379" i="6"/>
  <c r="U378" i="6"/>
  <c r="T378" i="6"/>
  <c r="Q378" i="6"/>
  <c r="P378" i="6"/>
  <c r="O378" i="6"/>
  <c r="N378" i="6"/>
  <c r="M378" i="6"/>
  <c r="K378" i="6"/>
  <c r="J378" i="6"/>
  <c r="I378" i="6"/>
  <c r="R378" i="6" s="1"/>
  <c r="S378" i="6" s="1"/>
  <c r="A378" i="6"/>
  <c r="U377" i="6"/>
  <c r="T377" i="6"/>
  <c r="Q377" i="6"/>
  <c r="P377" i="6"/>
  <c r="O377" i="6"/>
  <c r="N377" i="6"/>
  <c r="K377" i="6"/>
  <c r="M377" i="6" s="1"/>
  <c r="J377" i="6"/>
  <c r="I377" i="6"/>
  <c r="R377" i="6" s="1"/>
  <c r="S377" i="6" s="1"/>
  <c r="A377" i="6"/>
  <c r="U376" i="6"/>
  <c r="T376" i="6"/>
  <c r="S376" i="6"/>
  <c r="R376" i="6"/>
  <c r="Q376" i="6"/>
  <c r="P376" i="6"/>
  <c r="O376" i="6"/>
  <c r="N376" i="6"/>
  <c r="K376" i="6"/>
  <c r="M376" i="6" s="1"/>
  <c r="I376" i="6"/>
  <c r="A376" i="6"/>
  <c r="U375" i="6"/>
  <c r="T375" i="6"/>
  <c r="R375" i="6"/>
  <c r="S375" i="6" s="1"/>
  <c r="Q375" i="6"/>
  <c r="P375" i="6"/>
  <c r="O375" i="6"/>
  <c r="N375" i="6"/>
  <c r="K375" i="6"/>
  <c r="J375" i="6" s="1"/>
  <c r="I375" i="6"/>
  <c r="A375" i="6"/>
  <c r="U374" i="6"/>
  <c r="T374" i="6"/>
  <c r="S374" i="6"/>
  <c r="Q374" i="6"/>
  <c r="P374" i="6"/>
  <c r="O374" i="6"/>
  <c r="N374" i="6"/>
  <c r="M374" i="6"/>
  <c r="K374" i="6"/>
  <c r="J374" i="6" s="1"/>
  <c r="I374" i="6"/>
  <c r="R374" i="6" s="1"/>
  <c r="A374" i="6"/>
  <c r="U373" i="6"/>
  <c r="T373" i="6"/>
  <c r="Q373" i="6"/>
  <c r="P373" i="6"/>
  <c r="O373" i="6"/>
  <c r="N373" i="6"/>
  <c r="K373" i="6"/>
  <c r="J373" i="6" s="1"/>
  <c r="I373" i="6"/>
  <c r="R373" i="6" s="1"/>
  <c r="S373" i="6" s="1"/>
  <c r="A373" i="6"/>
  <c r="U372" i="6"/>
  <c r="T372" i="6"/>
  <c r="Q372" i="6"/>
  <c r="P372" i="6"/>
  <c r="O372" i="6"/>
  <c r="N372" i="6"/>
  <c r="K372" i="6"/>
  <c r="M372" i="6" s="1"/>
  <c r="J372" i="6"/>
  <c r="I372" i="6"/>
  <c r="R372" i="6" s="1"/>
  <c r="S372" i="6" s="1"/>
  <c r="A372" i="6"/>
  <c r="U371" i="6"/>
  <c r="T371" i="6"/>
  <c r="Q371" i="6"/>
  <c r="P371" i="6"/>
  <c r="O371" i="6"/>
  <c r="N371" i="6"/>
  <c r="K371" i="6"/>
  <c r="M371" i="6" s="1"/>
  <c r="I371" i="6"/>
  <c r="R371" i="6" s="1"/>
  <c r="S371" i="6" s="1"/>
  <c r="A371" i="6"/>
  <c r="U370" i="6"/>
  <c r="T370" i="6"/>
  <c r="S370" i="6"/>
  <c r="R370" i="6"/>
  <c r="Q370" i="6"/>
  <c r="P370" i="6"/>
  <c r="O370" i="6"/>
  <c r="N370" i="6"/>
  <c r="M370" i="6"/>
  <c r="K370" i="6"/>
  <c r="J370" i="6"/>
  <c r="I370" i="6"/>
  <c r="A370" i="6"/>
  <c r="U369" i="6"/>
  <c r="T369" i="6"/>
  <c r="R369" i="6"/>
  <c r="S369" i="6" s="1"/>
  <c r="Q369" i="6"/>
  <c r="P369" i="6"/>
  <c r="O369" i="6"/>
  <c r="N369" i="6"/>
  <c r="M369" i="6"/>
  <c r="K369" i="6"/>
  <c r="J369" i="6" s="1"/>
  <c r="I369" i="6"/>
  <c r="A369" i="6"/>
  <c r="U368" i="6"/>
  <c r="T368" i="6"/>
  <c r="R368" i="6"/>
  <c r="S368" i="6" s="1"/>
  <c r="Q368" i="6"/>
  <c r="P368" i="6"/>
  <c r="O368" i="6"/>
  <c r="N368" i="6"/>
  <c r="M368" i="6"/>
  <c r="K368" i="6"/>
  <c r="J368" i="6" s="1"/>
  <c r="I368" i="6"/>
  <c r="A368" i="6"/>
  <c r="U367" i="6"/>
  <c r="T367" i="6"/>
  <c r="Q367" i="6"/>
  <c r="P367" i="6"/>
  <c r="O367" i="6"/>
  <c r="N367" i="6"/>
  <c r="K367" i="6"/>
  <c r="M367" i="6" s="1"/>
  <c r="I367" i="6"/>
  <c r="R367" i="6" s="1"/>
  <c r="S367" i="6" s="1"/>
  <c r="A367" i="6"/>
  <c r="U366" i="6"/>
  <c r="T366" i="6"/>
  <c r="Q366" i="6"/>
  <c r="P366" i="6"/>
  <c r="O366" i="6"/>
  <c r="N366" i="6"/>
  <c r="K366" i="6"/>
  <c r="M366" i="6" s="1"/>
  <c r="J366" i="6"/>
  <c r="I366" i="6"/>
  <c r="R366" i="6" s="1"/>
  <c r="S366" i="6" s="1"/>
  <c r="A366" i="6"/>
  <c r="U365" i="6"/>
  <c r="T365" i="6"/>
  <c r="Q365" i="6"/>
  <c r="P365" i="6"/>
  <c r="O365" i="6"/>
  <c r="N365" i="6"/>
  <c r="K365" i="6"/>
  <c r="M365" i="6" s="1"/>
  <c r="I365" i="6"/>
  <c r="R365" i="6" s="1"/>
  <c r="S365" i="6" s="1"/>
  <c r="A365" i="6"/>
  <c r="U364" i="6"/>
  <c r="T364" i="6"/>
  <c r="S364" i="6"/>
  <c r="R364" i="6"/>
  <c r="Q364" i="6"/>
  <c r="P364" i="6"/>
  <c r="O364" i="6"/>
  <c r="N364" i="6"/>
  <c r="M364" i="6"/>
  <c r="K364" i="6"/>
  <c r="J364" i="6"/>
  <c r="I364" i="6"/>
  <c r="A364" i="6"/>
  <c r="U363" i="6"/>
  <c r="T363" i="6"/>
  <c r="R363" i="6"/>
  <c r="S363" i="6" s="1"/>
  <c r="Q363" i="6"/>
  <c r="P363" i="6"/>
  <c r="O363" i="6"/>
  <c r="N363" i="6"/>
  <c r="M363" i="6"/>
  <c r="K363" i="6"/>
  <c r="J363" i="6" s="1"/>
  <c r="I363" i="6"/>
  <c r="A363" i="6"/>
  <c r="U362" i="6"/>
  <c r="T362" i="6"/>
  <c r="S362" i="6"/>
  <c r="Q362" i="6"/>
  <c r="P362" i="6"/>
  <c r="O362" i="6"/>
  <c r="N362" i="6"/>
  <c r="K362" i="6"/>
  <c r="J362" i="6" s="1"/>
  <c r="I362" i="6"/>
  <c r="R362" i="6" s="1"/>
  <c r="A362" i="6"/>
  <c r="U361" i="6"/>
  <c r="T361" i="6"/>
  <c r="Q361" i="6"/>
  <c r="P361" i="6"/>
  <c r="O361" i="6"/>
  <c r="N361" i="6"/>
  <c r="K361" i="6"/>
  <c r="I361" i="6"/>
  <c r="R361" i="6" s="1"/>
  <c r="S361" i="6" s="1"/>
  <c r="A361" i="6"/>
  <c r="U360" i="6"/>
  <c r="T360" i="6"/>
  <c r="Q360" i="6"/>
  <c r="P360" i="6"/>
  <c r="O360" i="6"/>
  <c r="N360" i="6"/>
  <c r="K360" i="6"/>
  <c r="M360" i="6" s="1"/>
  <c r="I360" i="6"/>
  <c r="R360" i="6" s="1"/>
  <c r="S360" i="6" s="1"/>
  <c r="A360" i="6"/>
  <c r="U359" i="6"/>
  <c r="T359" i="6"/>
  <c r="Q359" i="6"/>
  <c r="P359" i="6"/>
  <c r="O359" i="6"/>
  <c r="N359" i="6"/>
  <c r="K359" i="6"/>
  <c r="M359" i="6" s="1"/>
  <c r="J359" i="6"/>
  <c r="I359" i="6"/>
  <c r="R359" i="6" s="1"/>
  <c r="S359" i="6" s="1"/>
  <c r="A359" i="6"/>
  <c r="U358" i="6"/>
  <c r="T358" i="6"/>
  <c r="S358" i="6"/>
  <c r="R358" i="6"/>
  <c r="Q358" i="6"/>
  <c r="P358" i="6"/>
  <c r="O358" i="6"/>
  <c r="N358" i="6"/>
  <c r="K358" i="6"/>
  <c r="M358" i="6" s="1"/>
  <c r="I358" i="6"/>
  <c r="A358" i="6"/>
  <c r="U357" i="6"/>
  <c r="T357" i="6"/>
  <c r="R357" i="6"/>
  <c r="S357" i="6" s="1"/>
  <c r="Q357" i="6"/>
  <c r="P357" i="6"/>
  <c r="O357" i="6"/>
  <c r="N357" i="6"/>
  <c r="K357" i="6"/>
  <c r="J357" i="6" s="1"/>
  <c r="I357" i="6"/>
  <c r="A357" i="6"/>
  <c r="U356" i="6"/>
  <c r="T356" i="6"/>
  <c r="R356" i="6"/>
  <c r="S356" i="6" s="1"/>
  <c r="Q356" i="6"/>
  <c r="P356" i="6"/>
  <c r="O356" i="6"/>
  <c r="N356" i="6"/>
  <c r="M356" i="6"/>
  <c r="K356" i="6"/>
  <c r="J356" i="6"/>
  <c r="I356" i="6"/>
  <c r="A356" i="6"/>
  <c r="U355" i="6"/>
  <c r="T355" i="6"/>
  <c r="S355" i="6"/>
  <c r="R355" i="6"/>
  <c r="Q355" i="6"/>
  <c r="P355" i="6"/>
  <c r="O355" i="6"/>
  <c r="N355" i="6"/>
  <c r="K355" i="6"/>
  <c r="M355" i="6" s="1"/>
  <c r="I355" i="6"/>
  <c r="A355" i="6"/>
  <c r="U354" i="6"/>
  <c r="T354" i="6"/>
  <c r="R354" i="6"/>
  <c r="S354" i="6" s="1"/>
  <c r="Q354" i="6"/>
  <c r="P354" i="6"/>
  <c r="O354" i="6"/>
  <c r="N354" i="6"/>
  <c r="K354" i="6"/>
  <c r="M354" i="6" s="1"/>
  <c r="J354" i="6"/>
  <c r="I354" i="6"/>
  <c r="A354" i="6"/>
  <c r="U353" i="6"/>
  <c r="T353" i="6"/>
  <c r="R353" i="6"/>
  <c r="S353" i="6" s="1"/>
  <c r="Q353" i="6"/>
  <c r="P353" i="6"/>
  <c r="O353" i="6"/>
  <c r="N353" i="6"/>
  <c r="K353" i="6"/>
  <c r="M353" i="6" s="1"/>
  <c r="J353" i="6"/>
  <c r="I353" i="6"/>
  <c r="A353" i="6"/>
  <c r="U352" i="6"/>
  <c r="T352" i="6"/>
  <c r="R352" i="6"/>
  <c r="S352" i="6" s="1"/>
  <c r="Q352" i="6"/>
  <c r="P352" i="6"/>
  <c r="O352" i="6"/>
  <c r="N352" i="6"/>
  <c r="M352" i="6"/>
  <c r="K352" i="6"/>
  <c r="J352" i="6" s="1"/>
  <c r="I352" i="6"/>
  <c r="A352" i="6"/>
  <c r="U351" i="6"/>
  <c r="T351" i="6"/>
  <c r="S351" i="6"/>
  <c r="R351" i="6"/>
  <c r="Q351" i="6"/>
  <c r="P351" i="6"/>
  <c r="O351" i="6"/>
  <c r="N351" i="6"/>
  <c r="M351" i="6"/>
  <c r="K351" i="6"/>
  <c r="J351" i="6" s="1"/>
  <c r="I351" i="6"/>
  <c r="A351" i="6"/>
  <c r="U350" i="6"/>
  <c r="T350" i="6"/>
  <c r="S350" i="6"/>
  <c r="Q350" i="6"/>
  <c r="P350" i="6"/>
  <c r="O350" i="6"/>
  <c r="N350" i="6"/>
  <c r="M350" i="6"/>
  <c r="K350" i="6"/>
  <c r="J350" i="6" s="1"/>
  <c r="I350" i="6"/>
  <c r="R350" i="6" s="1"/>
  <c r="A350" i="6"/>
  <c r="U349" i="6"/>
  <c r="T349" i="6"/>
  <c r="Q349" i="6"/>
  <c r="P349" i="6"/>
  <c r="O349" i="6"/>
  <c r="N349" i="6"/>
  <c r="K349" i="6"/>
  <c r="J349" i="6" s="1"/>
  <c r="I349" i="6"/>
  <c r="R349" i="6" s="1"/>
  <c r="S349" i="6" s="1"/>
  <c r="A349" i="6"/>
  <c r="U348" i="6"/>
  <c r="T348" i="6"/>
  <c r="Q348" i="6"/>
  <c r="P348" i="6"/>
  <c r="O348" i="6"/>
  <c r="N348" i="6"/>
  <c r="K348" i="6"/>
  <c r="M348" i="6" s="1"/>
  <c r="I348" i="6"/>
  <c r="R348" i="6" s="1"/>
  <c r="S348" i="6" s="1"/>
  <c r="A348" i="6"/>
  <c r="U347" i="6"/>
  <c r="T347" i="6"/>
  <c r="Q347" i="6"/>
  <c r="P347" i="6"/>
  <c r="O347" i="6"/>
  <c r="N347" i="6"/>
  <c r="M347" i="6"/>
  <c r="K347" i="6"/>
  <c r="J347" i="6"/>
  <c r="I347" i="6"/>
  <c r="R347" i="6" s="1"/>
  <c r="S347" i="6" s="1"/>
  <c r="A347" i="6"/>
  <c r="U346" i="6"/>
  <c r="T346" i="6"/>
  <c r="R346" i="6"/>
  <c r="S346" i="6" s="1"/>
  <c r="Q346" i="6"/>
  <c r="P346" i="6"/>
  <c r="O346" i="6"/>
  <c r="N346" i="6"/>
  <c r="M346" i="6"/>
  <c r="K346" i="6"/>
  <c r="J346" i="6" s="1"/>
  <c r="I346" i="6"/>
  <c r="A346" i="6"/>
  <c r="U345" i="6"/>
  <c r="T345" i="6"/>
  <c r="S345" i="6"/>
  <c r="R345" i="6"/>
  <c r="Q345" i="6"/>
  <c r="P345" i="6"/>
  <c r="O345" i="6"/>
  <c r="N345" i="6"/>
  <c r="M345" i="6"/>
  <c r="K345" i="6"/>
  <c r="J345" i="6" s="1"/>
  <c r="I345" i="6"/>
  <c r="A345" i="6"/>
  <c r="U344" i="6"/>
  <c r="T344" i="6"/>
  <c r="S344" i="6"/>
  <c r="R344" i="6"/>
  <c r="Q344" i="6"/>
  <c r="P344" i="6"/>
  <c r="O344" i="6"/>
  <c r="N344" i="6"/>
  <c r="M344" i="6"/>
  <c r="K344" i="6"/>
  <c r="J344" i="6" s="1"/>
  <c r="I344" i="6"/>
  <c r="A344" i="6"/>
  <c r="U343" i="6"/>
  <c r="T343" i="6"/>
  <c r="S343" i="6"/>
  <c r="R343" i="6"/>
  <c r="Q343" i="6"/>
  <c r="P343" i="6"/>
  <c r="O343" i="6"/>
  <c r="N343" i="6"/>
  <c r="M343" i="6"/>
  <c r="K343" i="6"/>
  <c r="J343" i="6"/>
  <c r="I343" i="6"/>
  <c r="A343" i="6"/>
  <c r="U342" i="6"/>
  <c r="T342" i="6"/>
  <c r="R342" i="6"/>
  <c r="S342" i="6" s="1"/>
  <c r="Q342" i="6"/>
  <c r="P342" i="6"/>
  <c r="O342" i="6"/>
  <c r="N342" i="6"/>
  <c r="K342" i="6"/>
  <c r="M342" i="6" s="1"/>
  <c r="J342" i="6"/>
  <c r="I342" i="6"/>
  <c r="A342" i="6"/>
  <c r="U341" i="6"/>
  <c r="T341" i="6"/>
  <c r="R341" i="6"/>
  <c r="S341" i="6" s="1"/>
  <c r="Q341" i="6"/>
  <c r="P341" i="6"/>
  <c r="O341" i="6"/>
  <c r="N341" i="6"/>
  <c r="K341" i="6"/>
  <c r="M341" i="6" s="1"/>
  <c r="I341" i="6"/>
  <c r="A341" i="6"/>
  <c r="U340" i="6"/>
  <c r="T340" i="6"/>
  <c r="S340" i="6"/>
  <c r="R340" i="6"/>
  <c r="Q340" i="6"/>
  <c r="P340" i="6"/>
  <c r="O340" i="6"/>
  <c r="N340" i="6"/>
  <c r="M340" i="6"/>
  <c r="K340" i="6"/>
  <c r="J340" i="6"/>
  <c r="I340" i="6"/>
  <c r="A340" i="6"/>
  <c r="U339" i="6"/>
  <c r="T339" i="6"/>
  <c r="R339" i="6"/>
  <c r="S339" i="6" s="1"/>
  <c r="Q339" i="6"/>
  <c r="P339" i="6"/>
  <c r="O339" i="6"/>
  <c r="N339" i="6"/>
  <c r="K339" i="6"/>
  <c r="M339" i="6" s="1"/>
  <c r="I339" i="6"/>
  <c r="A339" i="6"/>
  <c r="U338" i="6"/>
  <c r="T338" i="6"/>
  <c r="S338" i="6"/>
  <c r="Q338" i="6"/>
  <c r="P338" i="6"/>
  <c r="O338" i="6"/>
  <c r="N338" i="6"/>
  <c r="K338" i="6"/>
  <c r="M338" i="6" s="1"/>
  <c r="I338" i="6"/>
  <c r="R338" i="6" s="1"/>
  <c r="A338" i="6"/>
  <c r="U337" i="6"/>
  <c r="T337" i="6"/>
  <c r="Q337" i="6"/>
  <c r="P337" i="6"/>
  <c r="O337" i="6"/>
  <c r="N337" i="6"/>
  <c r="M337" i="6"/>
  <c r="K337" i="6"/>
  <c r="J337" i="6"/>
  <c r="I337" i="6"/>
  <c r="R337" i="6" s="1"/>
  <c r="S337" i="6" s="1"/>
  <c r="A337" i="6"/>
  <c r="U336" i="6"/>
  <c r="T336" i="6"/>
  <c r="Q336" i="6"/>
  <c r="P336" i="6"/>
  <c r="O336" i="6"/>
  <c r="N336" i="6"/>
  <c r="M336" i="6"/>
  <c r="K336" i="6"/>
  <c r="J336" i="6" s="1"/>
  <c r="I336" i="6"/>
  <c r="R336" i="6" s="1"/>
  <c r="S336" i="6" s="1"/>
  <c r="A336" i="6"/>
  <c r="U335" i="6"/>
  <c r="T335" i="6"/>
  <c r="R335" i="6"/>
  <c r="S335" i="6" s="1"/>
  <c r="Q335" i="6"/>
  <c r="P335" i="6"/>
  <c r="O335" i="6"/>
  <c r="N335" i="6"/>
  <c r="M335" i="6"/>
  <c r="K335" i="6"/>
  <c r="J335" i="6" s="1"/>
  <c r="I335" i="6"/>
  <c r="A335" i="6"/>
  <c r="U334" i="6"/>
  <c r="T334" i="6"/>
  <c r="S334" i="6"/>
  <c r="R334" i="6"/>
  <c r="Q334" i="6"/>
  <c r="P334" i="6"/>
  <c r="O334" i="6"/>
  <c r="N334" i="6"/>
  <c r="M334" i="6"/>
  <c r="K334" i="6"/>
  <c r="J334" i="6"/>
  <c r="I334" i="6"/>
  <c r="A334" i="6"/>
  <c r="U333" i="6"/>
  <c r="T333" i="6"/>
  <c r="R333" i="6"/>
  <c r="S333" i="6" s="1"/>
  <c r="Q333" i="6"/>
  <c r="P333" i="6"/>
  <c r="O333" i="6"/>
  <c r="N333" i="6"/>
  <c r="K333" i="6"/>
  <c r="J333" i="6" s="1"/>
  <c r="I333" i="6"/>
  <c r="A333" i="6"/>
  <c r="U332" i="6"/>
  <c r="T332" i="6"/>
  <c r="S332" i="6"/>
  <c r="R332" i="6"/>
  <c r="Q332" i="6"/>
  <c r="P332" i="6"/>
  <c r="O332" i="6"/>
  <c r="N332" i="6"/>
  <c r="M332" i="6"/>
  <c r="K332" i="6"/>
  <c r="J332" i="6" s="1"/>
  <c r="I332" i="6"/>
  <c r="A332" i="6"/>
  <c r="U331" i="6"/>
  <c r="T331" i="6"/>
  <c r="S331" i="6"/>
  <c r="R331" i="6"/>
  <c r="Q331" i="6"/>
  <c r="P331" i="6"/>
  <c r="O331" i="6"/>
  <c r="N331" i="6"/>
  <c r="K331" i="6"/>
  <c r="M331" i="6" s="1"/>
  <c r="I331" i="6"/>
  <c r="A331" i="6"/>
  <c r="U330" i="6"/>
  <c r="T330" i="6"/>
  <c r="R330" i="6"/>
  <c r="S330" i="6" s="1"/>
  <c r="Q330" i="6"/>
  <c r="P330" i="6"/>
  <c r="O330" i="6"/>
  <c r="N330" i="6"/>
  <c r="K330" i="6"/>
  <c r="M330" i="6" s="1"/>
  <c r="J330" i="6"/>
  <c r="I330" i="6"/>
  <c r="A330" i="6"/>
  <c r="U329" i="6"/>
  <c r="T329" i="6"/>
  <c r="R329" i="6"/>
  <c r="S329" i="6" s="1"/>
  <c r="Q329" i="6"/>
  <c r="P329" i="6"/>
  <c r="O329" i="6"/>
  <c r="N329" i="6"/>
  <c r="K329" i="6"/>
  <c r="M329" i="6" s="1"/>
  <c r="I329" i="6"/>
  <c r="A329" i="6"/>
  <c r="U328" i="6"/>
  <c r="T328" i="6"/>
  <c r="S328" i="6"/>
  <c r="R328" i="6"/>
  <c r="Q328" i="6"/>
  <c r="P328" i="6"/>
  <c r="O328" i="6"/>
  <c r="N328" i="6"/>
  <c r="M328" i="6"/>
  <c r="K328" i="6"/>
  <c r="J328" i="6"/>
  <c r="I328" i="6"/>
  <c r="A328" i="6"/>
  <c r="U327" i="6"/>
  <c r="T327" i="6"/>
  <c r="R327" i="6"/>
  <c r="S327" i="6" s="1"/>
  <c r="Q327" i="6"/>
  <c r="P327" i="6"/>
  <c r="O327" i="6"/>
  <c r="N327" i="6"/>
  <c r="K327" i="6"/>
  <c r="M327" i="6" s="1"/>
  <c r="I327" i="6"/>
  <c r="A327" i="6"/>
  <c r="U326" i="6"/>
  <c r="T326" i="6"/>
  <c r="S326" i="6"/>
  <c r="Q326" i="6"/>
  <c r="P326" i="6"/>
  <c r="O326" i="6"/>
  <c r="N326" i="6"/>
  <c r="K326" i="6"/>
  <c r="M326" i="6" s="1"/>
  <c r="I326" i="6"/>
  <c r="R326" i="6" s="1"/>
  <c r="A326" i="6"/>
  <c r="U325" i="6"/>
  <c r="T325" i="6"/>
  <c r="Q325" i="6"/>
  <c r="P325" i="6"/>
  <c r="O325" i="6"/>
  <c r="N325" i="6"/>
  <c r="M325" i="6"/>
  <c r="K325" i="6"/>
  <c r="J325" i="6"/>
  <c r="I325" i="6"/>
  <c r="R325" i="6" s="1"/>
  <c r="S325" i="6" s="1"/>
  <c r="A325" i="6"/>
  <c r="U324" i="6"/>
  <c r="T324" i="6"/>
  <c r="Q324" i="6"/>
  <c r="P324" i="6"/>
  <c r="O324" i="6"/>
  <c r="N324" i="6"/>
  <c r="M324" i="6"/>
  <c r="K324" i="6"/>
  <c r="J324" i="6" s="1"/>
  <c r="I324" i="6"/>
  <c r="R324" i="6" s="1"/>
  <c r="S324" i="6" s="1"/>
  <c r="A324" i="6"/>
  <c r="U323" i="6"/>
  <c r="T323" i="6"/>
  <c r="R323" i="6"/>
  <c r="S323" i="6" s="1"/>
  <c r="Q323" i="6"/>
  <c r="P323" i="6"/>
  <c r="O323" i="6"/>
  <c r="N323" i="6"/>
  <c r="M323" i="6"/>
  <c r="K323" i="6"/>
  <c r="J323" i="6" s="1"/>
  <c r="I323" i="6"/>
  <c r="A323" i="6"/>
  <c r="U322" i="6"/>
  <c r="T322" i="6"/>
  <c r="S322" i="6"/>
  <c r="R322" i="6"/>
  <c r="Q322" i="6"/>
  <c r="P322" i="6"/>
  <c r="O322" i="6"/>
  <c r="N322" i="6"/>
  <c r="M322" i="6"/>
  <c r="K322" i="6"/>
  <c r="J322" i="6"/>
  <c r="I322" i="6"/>
  <c r="A322" i="6"/>
  <c r="U321" i="6"/>
  <c r="T321" i="6"/>
  <c r="R321" i="6"/>
  <c r="S321" i="6" s="1"/>
  <c r="Q321" i="6"/>
  <c r="P321" i="6"/>
  <c r="O321" i="6"/>
  <c r="N321" i="6"/>
  <c r="K321" i="6"/>
  <c r="J321" i="6" s="1"/>
  <c r="I321" i="6"/>
  <c r="A321" i="6"/>
  <c r="U320" i="6"/>
  <c r="T320" i="6"/>
  <c r="S320" i="6"/>
  <c r="R320" i="6"/>
  <c r="Q320" i="6"/>
  <c r="P320" i="6"/>
  <c r="O320" i="6"/>
  <c r="N320" i="6"/>
  <c r="M320" i="6"/>
  <c r="K320" i="6"/>
  <c r="J320" i="6" s="1"/>
  <c r="I320" i="6"/>
  <c r="A320" i="6"/>
  <c r="U319" i="6"/>
  <c r="T319" i="6"/>
  <c r="S319" i="6"/>
  <c r="R319" i="6"/>
  <c r="Q319" i="6"/>
  <c r="P319" i="6"/>
  <c r="O319" i="6"/>
  <c r="N319" i="6"/>
  <c r="K319" i="6"/>
  <c r="M319" i="6" s="1"/>
  <c r="I319" i="6"/>
  <c r="A319" i="6"/>
  <c r="U318" i="6"/>
  <c r="T318" i="6"/>
  <c r="R318" i="6"/>
  <c r="S318" i="6" s="1"/>
  <c r="Q318" i="6"/>
  <c r="P318" i="6"/>
  <c r="O318" i="6"/>
  <c r="N318" i="6"/>
  <c r="K318" i="6"/>
  <c r="M318" i="6" s="1"/>
  <c r="J318" i="6"/>
  <c r="I318" i="6"/>
  <c r="A318" i="6"/>
  <c r="U317" i="6"/>
  <c r="T317" i="6"/>
  <c r="R317" i="6"/>
  <c r="S317" i="6" s="1"/>
  <c r="Q317" i="6"/>
  <c r="P317" i="6"/>
  <c r="O317" i="6"/>
  <c r="N317" i="6"/>
  <c r="K317" i="6"/>
  <c r="M317" i="6" s="1"/>
  <c r="I317" i="6"/>
  <c r="A317" i="6"/>
  <c r="U316" i="6"/>
  <c r="T316" i="6"/>
  <c r="S316" i="6"/>
  <c r="R316" i="6"/>
  <c r="Q316" i="6"/>
  <c r="P316" i="6"/>
  <c r="O316" i="6"/>
  <c r="N316" i="6"/>
  <c r="M316" i="6"/>
  <c r="K316" i="6"/>
  <c r="J316" i="6"/>
  <c r="I316" i="6"/>
  <c r="A316" i="6"/>
  <c r="U315" i="6"/>
  <c r="T315" i="6"/>
  <c r="R315" i="6"/>
  <c r="S315" i="6" s="1"/>
  <c r="Q315" i="6"/>
  <c r="P315" i="6"/>
  <c r="O315" i="6"/>
  <c r="N315" i="6"/>
  <c r="K315" i="6"/>
  <c r="M315" i="6" s="1"/>
  <c r="I315" i="6"/>
  <c r="A315" i="6"/>
  <c r="U314" i="6"/>
  <c r="T314" i="6"/>
  <c r="S314" i="6"/>
  <c r="Q314" i="6"/>
  <c r="P314" i="6"/>
  <c r="O314" i="6"/>
  <c r="N314" i="6"/>
  <c r="K314" i="6"/>
  <c r="M314" i="6" s="1"/>
  <c r="I314" i="6"/>
  <c r="R314" i="6" s="1"/>
  <c r="A314" i="6"/>
  <c r="U313" i="6"/>
  <c r="T313" i="6"/>
  <c r="Q313" i="6"/>
  <c r="P313" i="6"/>
  <c r="O313" i="6"/>
  <c r="N313" i="6"/>
  <c r="M313" i="6"/>
  <c r="K313" i="6"/>
  <c r="J313" i="6"/>
  <c r="I313" i="6"/>
  <c r="R313" i="6" s="1"/>
  <c r="S313" i="6" s="1"/>
  <c r="A313" i="6"/>
  <c r="U312" i="6"/>
  <c r="T312" i="6"/>
  <c r="Q312" i="6"/>
  <c r="P312" i="6"/>
  <c r="O312" i="6"/>
  <c r="N312" i="6"/>
  <c r="M312" i="6"/>
  <c r="K312" i="6"/>
  <c r="J312" i="6" s="1"/>
  <c r="I312" i="6"/>
  <c r="R312" i="6" s="1"/>
  <c r="S312" i="6" s="1"/>
  <c r="A312" i="6"/>
  <c r="U311" i="6"/>
  <c r="T311" i="6"/>
  <c r="R311" i="6"/>
  <c r="S311" i="6" s="1"/>
  <c r="Q311" i="6"/>
  <c r="P311" i="6"/>
  <c r="O311" i="6"/>
  <c r="N311" i="6"/>
  <c r="M311" i="6"/>
  <c r="K311" i="6"/>
  <c r="J311" i="6" s="1"/>
  <c r="I311" i="6"/>
  <c r="A311" i="6"/>
  <c r="U310" i="6"/>
  <c r="T310" i="6"/>
  <c r="R310" i="6"/>
  <c r="S310" i="6" s="1"/>
  <c r="Q310" i="6"/>
  <c r="P310" i="6"/>
  <c r="O310" i="6"/>
  <c r="N310" i="6"/>
  <c r="M310" i="6"/>
  <c r="K310" i="6"/>
  <c r="J310" i="6"/>
  <c r="I310" i="6"/>
  <c r="A310" i="6"/>
  <c r="U309" i="6"/>
  <c r="T309" i="6"/>
  <c r="R309" i="6"/>
  <c r="S309" i="6" s="1"/>
  <c r="Q309" i="6"/>
  <c r="P309" i="6"/>
  <c r="O309" i="6"/>
  <c r="N309" i="6"/>
  <c r="K309" i="6"/>
  <c r="J309" i="6" s="1"/>
  <c r="I309" i="6"/>
  <c r="A309" i="6"/>
  <c r="U308" i="6"/>
  <c r="T308" i="6"/>
  <c r="R308" i="6"/>
  <c r="S308" i="6" s="1"/>
  <c r="Q308" i="6"/>
  <c r="P308" i="6"/>
  <c r="O308" i="6"/>
  <c r="N308" i="6"/>
  <c r="M308" i="6"/>
  <c r="K308" i="6"/>
  <c r="J308" i="6" s="1"/>
  <c r="I308" i="6"/>
  <c r="A308" i="6"/>
  <c r="U307" i="6"/>
  <c r="T307" i="6"/>
  <c r="R307" i="6"/>
  <c r="S307" i="6" s="1"/>
  <c r="Q307" i="6"/>
  <c r="P307" i="6"/>
  <c r="O307" i="6"/>
  <c r="N307" i="6"/>
  <c r="K307" i="6"/>
  <c r="M307" i="6" s="1"/>
  <c r="I307" i="6"/>
  <c r="A307" i="6"/>
  <c r="U306" i="6"/>
  <c r="T306" i="6"/>
  <c r="S306" i="6"/>
  <c r="R306" i="6"/>
  <c r="Q306" i="6"/>
  <c r="P306" i="6"/>
  <c r="O306" i="6"/>
  <c r="N306" i="6"/>
  <c r="M306" i="6"/>
  <c r="K306" i="6"/>
  <c r="J306" i="6"/>
  <c r="I306" i="6"/>
  <c r="A306" i="6"/>
  <c r="U305" i="6"/>
  <c r="T305" i="6"/>
  <c r="R305" i="6"/>
  <c r="S305" i="6" s="1"/>
  <c r="Q305" i="6"/>
  <c r="P305" i="6"/>
  <c r="O305" i="6"/>
  <c r="N305" i="6"/>
  <c r="K305" i="6"/>
  <c r="M305" i="6" s="1"/>
  <c r="J305" i="6"/>
  <c r="I305" i="6"/>
  <c r="A305" i="6"/>
  <c r="U304" i="6"/>
  <c r="T304" i="6"/>
  <c r="R304" i="6"/>
  <c r="S304" i="6" s="1"/>
  <c r="Q304" i="6"/>
  <c r="P304" i="6"/>
  <c r="O304" i="6"/>
  <c r="N304" i="6"/>
  <c r="K304" i="6"/>
  <c r="M304" i="6" s="1"/>
  <c r="I304" i="6"/>
  <c r="A304" i="6"/>
  <c r="U303" i="6"/>
  <c r="T303" i="6"/>
  <c r="S303" i="6"/>
  <c r="R303" i="6"/>
  <c r="Q303" i="6"/>
  <c r="P303" i="6"/>
  <c r="O303" i="6"/>
  <c r="N303" i="6"/>
  <c r="M303" i="6"/>
  <c r="K303" i="6"/>
  <c r="J303" i="6" s="1"/>
  <c r="I303" i="6"/>
  <c r="A303" i="6"/>
  <c r="U302" i="6"/>
  <c r="T302" i="6"/>
  <c r="S302" i="6"/>
  <c r="Q302" i="6"/>
  <c r="P302" i="6"/>
  <c r="O302" i="6"/>
  <c r="N302" i="6"/>
  <c r="M302" i="6"/>
  <c r="K302" i="6"/>
  <c r="J302" i="6" s="1"/>
  <c r="I302" i="6"/>
  <c r="R302" i="6" s="1"/>
  <c r="A302" i="6"/>
  <c r="U301" i="6"/>
  <c r="T301" i="6"/>
  <c r="Q301" i="6"/>
  <c r="P301" i="6"/>
  <c r="O301" i="6"/>
  <c r="N301" i="6"/>
  <c r="K301" i="6"/>
  <c r="M301" i="6" s="1"/>
  <c r="I301" i="6"/>
  <c r="R301" i="6" s="1"/>
  <c r="S301" i="6" s="1"/>
  <c r="A301" i="6"/>
  <c r="U300" i="6"/>
  <c r="T300" i="6"/>
  <c r="Q300" i="6"/>
  <c r="P300" i="6"/>
  <c r="O300" i="6"/>
  <c r="N300" i="6"/>
  <c r="M300" i="6"/>
  <c r="K300" i="6"/>
  <c r="J300" i="6"/>
  <c r="I300" i="6"/>
  <c r="R300" i="6" s="1"/>
  <c r="S300" i="6" s="1"/>
  <c r="A300" i="6"/>
  <c r="U299" i="6"/>
  <c r="T299" i="6"/>
  <c r="R299" i="6"/>
  <c r="S299" i="6" s="1"/>
  <c r="Q299" i="6"/>
  <c r="P299" i="6"/>
  <c r="O299" i="6"/>
  <c r="N299" i="6"/>
  <c r="M299" i="6"/>
  <c r="K299" i="6"/>
  <c r="J299" i="6"/>
  <c r="I299" i="6"/>
  <c r="A299" i="6"/>
  <c r="U298" i="6"/>
  <c r="T298" i="6"/>
  <c r="S298" i="6"/>
  <c r="R298" i="6"/>
  <c r="Q298" i="6"/>
  <c r="P298" i="6"/>
  <c r="O298" i="6"/>
  <c r="N298" i="6"/>
  <c r="K298" i="6"/>
  <c r="M298" i="6" s="1"/>
  <c r="I298" i="6"/>
  <c r="A298" i="6"/>
  <c r="U297" i="6"/>
  <c r="T297" i="6"/>
  <c r="R297" i="6"/>
  <c r="S297" i="6" s="1"/>
  <c r="Q297" i="6"/>
  <c r="P297" i="6"/>
  <c r="O297" i="6"/>
  <c r="N297" i="6"/>
  <c r="M297" i="6"/>
  <c r="K297" i="6"/>
  <c r="J297" i="6" s="1"/>
  <c r="I297" i="6"/>
  <c r="A297" i="6"/>
  <c r="U296" i="6"/>
  <c r="T296" i="6"/>
  <c r="R296" i="6"/>
  <c r="S296" i="6" s="1"/>
  <c r="Q296" i="6"/>
  <c r="P296" i="6"/>
  <c r="O296" i="6"/>
  <c r="N296" i="6"/>
  <c r="M296" i="6"/>
  <c r="K296" i="6"/>
  <c r="J296" i="6"/>
  <c r="I296" i="6"/>
  <c r="A296" i="6"/>
  <c r="U295" i="6"/>
  <c r="T295" i="6"/>
  <c r="S295" i="6"/>
  <c r="R295" i="6"/>
  <c r="Q295" i="6"/>
  <c r="P295" i="6"/>
  <c r="O295" i="6"/>
  <c r="N295" i="6"/>
  <c r="K295" i="6"/>
  <c r="M295" i="6" s="1"/>
  <c r="I295" i="6"/>
  <c r="A295" i="6"/>
  <c r="U294" i="6"/>
  <c r="T294" i="6"/>
  <c r="Q294" i="6"/>
  <c r="P294" i="6"/>
  <c r="O294" i="6"/>
  <c r="N294" i="6"/>
  <c r="M294" i="6"/>
  <c r="K294" i="6"/>
  <c r="J294" i="6"/>
  <c r="I294" i="6"/>
  <c r="R294" i="6" s="1"/>
  <c r="S294" i="6" s="1"/>
  <c r="A294" i="6"/>
  <c r="U293" i="6"/>
  <c r="T293" i="6"/>
  <c r="Q293" i="6"/>
  <c r="P293" i="6"/>
  <c r="O293" i="6"/>
  <c r="N293" i="6"/>
  <c r="K293" i="6"/>
  <c r="M293" i="6" s="1"/>
  <c r="I293" i="6"/>
  <c r="R293" i="6" s="1"/>
  <c r="S293" i="6" s="1"/>
  <c r="A293" i="6"/>
  <c r="U292" i="6"/>
  <c r="T292" i="6"/>
  <c r="Q292" i="6"/>
  <c r="P292" i="6"/>
  <c r="O292" i="6"/>
  <c r="N292" i="6"/>
  <c r="M292" i="6"/>
  <c r="K292" i="6"/>
  <c r="J292" i="6"/>
  <c r="I292" i="6"/>
  <c r="R292" i="6" s="1"/>
  <c r="S292" i="6" s="1"/>
  <c r="A292" i="6"/>
  <c r="U291" i="6"/>
  <c r="T291" i="6"/>
  <c r="Q291" i="6"/>
  <c r="P291" i="6"/>
  <c r="O291" i="6"/>
  <c r="N291" i="6"/>
  <c r="K291" i="6"/>
  <c r="M291" i="6" s="1"/>
  <c r="J291" i="6"/>
  <c r="I291" i="6"/>
  <c r="R291" i="6" s="1"/>
  <c r="S291" i="6" s="1"/>
  <c r="A291" i="6"/>
  <c r="U290" i="6"/>
  <c r="T290" i="6"/>
  <c r="Q290" i="6"/>
  <c r="P290" i="6"/>
  <c r="O290" i="6"/>
  <c r="N290" i="6"/>
  <c r="K290" i="6"/>
  <c r="M290" i="6" s="1"/>
  <c r="J290" i="6"/>
  <c r="I290" i="6"/>
  <c r="R290" i="6" s="1"/>
  <c r="S290" i="6" s="1"/>
  <c r="A290" i="6"/>
  <c r="U289" i="6"/>
  <c r="T289" i="6"/>
  <c r="Q289" i="6"/>
  <c r="P289" i="6"/>
  <c r="O289" i="6"/>
  <c r="N289" i="6"/>
  <c r="M289" i="6"/>
  <c r="K289" i="6"/>
  <c r="J289" i="6"/>
  <c r="I289" i="6"/>
  <c r="R289" i="6" s="1"/>
  <c r="S289" i="6" s="1"/>
  <c r="A289" i="6"/>
  <c r="U288" i="6"/>
  <c r="T288" i="6"/>
  <c r="Q288" i="6"/>
  <c r="P288" i="6"/>
  <c r="O288" i="6"/>
  <c r="N288" i="6"/>
  <c r="M288" i="6"/>
  <c r="K288" i="6"/>
  <c r="J288" i="6" s="1"/>
  <c r="I288" i="6"/>
  <c r="R288" i="6" s="1"/>
  <c r="S288" i="6" s="1"/>
  <c r="A288" i="6"/>
  <c r="U287" i="6"/>
  <c r="T287" i="6"/>
  <c r="R287" i="6"/>
  <c r="S287" i="6" s="1"/>
  <c r="Q287" i="6"/>
  <c r="P287" i="6"/>
  <c r="O287" i="6"/>
  <c r="N287" i="6"/>
  <c r="M287" i="6"/>
  <c r="K287" i="6"/>
  <c r="J287" i="6" s="1"/>
  <c r="I287" i="6"/>
  <c r="A287" i="6"/>
  <c r="U286" i="6"/>
  <c r="T286" i="6"/>
  <c r="R286" i="6"/>
  <c r="S286" i="6" s="1"/>
  <c r="Q286" i="6"/>
  <c r="P286" i="6"/>
  <c r="O286" i="6"/>
  <c r="N286" i="6"/>
  <c r="M286" i="6"/>
  <c r="K286" i="6"/>
  <c r="J286" i="6"/>
  <c r="I286" i="6"/>
  <c r="A286" i="6"/>
  <c r="U285" i="6"/>
  <c r="T285" i="6"/>
  <c r="S285" i="6"/>
  <c r="R285" i="6"/>
  <c r="Q285" i="6"/>
  <c r="P285" i="6"/>
  <c r="O285" i="6"/>
  <c r="N285" i="6"/>
  <c r="K285" i="6"/>
  <c r="I285" i="6"/>
  <c r="A285" i="6"/>
  <c r="U284" i="6"/>
  <c r="T284" i="6"/>
  <c r="R284" i="6"/>
  <c r="S284" i="6" s="1"/>
  <c r="Q284" i="6"/>
  <c r="P284" i="6"/>
  <c r="O284" i="6"/>
  <c r="N284" i="6"/>
  <c r="M284" i="6"/>
  <c r="K284" i="6"/>
  <c r="J284" i="6"/>
  <c r="I284" i="6"/>
  <c r="A284" i="6"/>
  <c r="U283" i="6"/>
  <c r="T283" i="6"/>
  <c r="S283" i="6"/>
  <c r="Q283" i="6"/>
  <c r="P283" i="6"/>
  <c r="O283" i="6"/>
  <c r="N283" i="6"/>
  <c r="K283" i="6"/>
  <c r="M283" i="6" s="1"/>
  <c r="I283" i="6"/>
  <c r="R283" i="6" s="1"/>
  <c r="A283" i="6"/>
  <c r="U282" i="6"/>
  <c r="T282" i="6"/>
  <c r="S282" i="6"/>
  <c r="R282" i="6"/>
  <c r="Q282" i="6"/>
  <c r="P282" i="6"/>
  <c r="O282" i="6"/>
  <c r="N282" i="6"/>
  <c r="M282" i="6"/>
  <c r="K282" i="6"/>
  <c r="J282" i="6"/>
  <c r="I282" i="6"/>
  <c r="A282" i="6"/>
  <c r="U281" i="6"/>
  <c r="T281" i="6"/>
  <c r="S281" i="6"/>
  <c r="Q281" i="6"/>
  <c r="P281" i="6"/>
  <c r="O281" i="6"/>
  <c r="N281" i="6"/>
  <c r="K281" i="6"/>
  <c r="M281" i="6" s="1"/>
  <c r="I281" i="6"/>
  <c r="R281" i="6" s="1"/>
  <c r="A281" i="6"/>
  <c r="U280" i="6"/>
  <c r="T280" i="6"/>
  <c r="S280" i="6"/>
  <c r="Q280" i="6"/>
  <c r="P280" i="6"/>
  <c r="O280" i="6"/>
  <c r="N280" i="6"/>
  <c r="K280" i="6"/>
  <c r="M280" i="6" s="1"/>
  <c r="I280" i="6"/>
  <c r="R280" i="6" s="1"/>
  <c r="A280" i="6"/>
  <c r="U279" i="6"/>
  <c r="T279" i="6"/>
  <c r="Q279" i="6"/>
  <c r="P279" i="6"/>
  <c r="O279" i="6"/>
  <c r="N279" i="6"/>
  <c r="M279" i="6"/>
  <c r="K279" i="6"/>
  <c r="J279" i="6"/>
  <c r="I279" i="6"/>
  <c r="R279" i="6" s="1"/>
  <c r="S279" i="6" s="1"/>
  <c r="A279" i="6"/>
  <c r="U278" i="6"/>
  <c r="T278" i="6"/>
  <c r="Q278" i="6"/>
  <c r="P278" i="6"/>
  <c r="O278" i="6"/>
  <c r="N278" i="6"/>
  <c r="M278" i="6"/>
  <c r="K278" i="6"/>
  <c r="J278" i="6" s="1"/>
  <c r="I278" i="6"/>
  <c r="R278" i="6" s="1"/>
  <c r="S278" i="6" s="1"/>
  <c r="A278" i="6"/>
  <c r="U277" i="6"/>
  <c r="T277" i="6"/>
  <c r="Q277" i="6"/>
  <c r="P277" i="6"/>
  <c r="O277" i="6"/>
  <c r="N277" i="6"/>
  <c r="M277" i="6"/>
  <c r="K277" i="6"/>
  <c r="J277" i="6"/>
  <c r="I277" i="6"/>
  <c r="R277" i="6" s="1"/>
  <c r="S277" i="6" s="1"/>
  <c r="A277" i="6"/>
  <c r="U276" i="6"/>
  <c r="T276" i="6"/>
  <c r="Q276" i="6"/>
  <c r="P276" i="6"/>
  <c r="O276" i="6"/>
  <c r="N276" i="6"/>
  <c r="K276" i="6"/>
  <c r="M276" i="6" s="1"/>
  <c r="J276" i="6"/>
  <c r="I276" i="6"/>
  <c r="R276" i="6" s="1"/>
  <c r="S276" i="6" s="1"/>
  <c r="A276" i="6"/>
  <c r="U275" i="6"/>
  <c r="T275" i="6"/>
  <c r="Q275" i="6"/>
  <c r="P275" i="6"/>
  <c r="O275" i="6"/>
  <c r="N275" i="6"/>
  <c r="K275" i="6"/>
  <c r="M275" i="6" s="1"/>
  <c r="I275" i="6"/>
  <c r="R275" i="6" s="1"/>
  <c r="S275" i="6" s="1"/>
  <c r="A275" i="6"/>
  <c r="U274" i="6"/>
  <c r="T274" i="6"/>
  <c r="S274" i="6"/>
  <c r="R274" i="6"/>
  <c r="Q274" i="6"/>
  <c r="P274" i="6"/>
  <c r="O274" i="6"/>
  <c r="N274" i="6"/>
  <c r="M274" i="6"/>
  <c r="K274" i="6"/>
  <c r="J274" i="6"/>
  <c r="I274" i="6"/>
  <c r="A274" i="6"/>
  <c r="U273" i="6"/>
  <c r="T273" i="6"/>
  <c r="S273" i="6"/>
  <c r="R273" i="6"/>
  <c r="Q273" i="6"/>
  <c r="P273" i="6"/>
  <c r="O273" i="6"/>
  <c r="N273" i="6"/>
  <c r="K273" i="6"/>
  <c r="J273" i="6" s="1"/>
  <c r="I273" i="6"/>
  <c r="A273" i="6"/>
  <c r="U272" i="6"/>
  <c r="T272" i="6"/>
  <c r="S272" i="6"/>
  <c r="R272" i="6"/>
  <c r="Q272" i="6"/>
  <c r="P272" i="6"/>
  <c r="O272" i="6"/>
  <c r="N272" i="6"/>
  <c r="M272" i="6"/>
  <c r="K272" i="6"/>
  <c r="J272" i="6"/>
  <c r="I272" i="6"/>
  <c r="A272" i="6"/>
  <c r="U271" i="6"/>
  <c r="T271" i="6"/>
  <c r="Q271" i="6"/>
  <c r="P271" i="6"/>
  <c r="O271" i="6"/>
  <c r="N271" i="6"/>
  <c r="K271" i="6"/>
  <c r="M271" i="6" s="1"/>
  <c r="I271" i="6"/>
  <c r="R271" i="6" s="1"/>
  <c r="S271" i="6" s="1"/>
  <c r="A271" i="6"/>
  <c r="U270" i="6"/>
  <c r="T270" i="6"/>
  <c r="Q270" i="6"/>
  <c r="P270" i="6"/>
  <c r="O270" i="6"/>
  <c r="N270" i="6"/>
  <c r="K270" i="6"/>
  <c r="M270" i="6" s="1"/>
  <c r="J270" i="6"/>
  <c r="I270" i="6"/>
  <c r="R270" i="6" s="1"/>
  <c r="S270" i="6" s="1"/>
  <c r="A270" i="6"/>
  <c r="U269" i="6"/>
  <c r="T269" i="6"/>
  <c r="Q269" i="6"/>
  <c r="P269" i="6"/>
  <c r="O269" i="6"/>
  <c r="N269" i="6"/>
  <c r="K269" i="6"/>
  <c r="M269" i="6" s="1"/>
  <c r="J269" i="6"/>
  <c r="I269" i="6"/>
  <c r="R269" i="6" s="1"/>
  <c r="S269" i="6" s="1"/>
  <c r="A269" i="6"/>
  <c r="U268" i="6"/>
  <c r="T268" i="6"/>
  <c r="Q268" i="6"/>
  <c r="P268" i="6"/>
  <c r="O268" i="6"/>
  <c r="N268" i="6"/>
  <c r="K268" i="6"/>
  <c r="M268" i="6" s="1"/>
  <c r="I268" i="6"/>
  <c r="R268" i="6" s="1"/>
  <c r="S268" i="6" s="1"/>
  <c r="A268" i="6"/>
  <c r="U267" i="6"/>
  <c r="T267" i="6"/>
  <c r="R267" i="6"/>
  <c r="S267" i="6" s="1"/>
  <c r="Q267" i="6"/>
  <c r="P267" i="6"/>
  <c r="O267" i="6"/>
  <c r="N267" i="6"/>
  <c r="K267" i="6"/>
  <c r="M267" i="6" s="1"/>
  <c r="I267" i="6"/>
  <c r="A267" i="6"/>
  <c r="U266" i="6"/>
  <c r="T266" i="6"/>
  <c r="S266" i="6"/>
  <c r="Q266" i="6"/>
  <c r="P266" i="6"/>
  <c r="O266" i="6"/>
  <c r="N266" i="6"/>
  <c r="K266" i="6"/>
  <c r="M266" i="6" s="1"/>
  <c r="I266" i="6"/>
  <c r="R266" i="6" s="1"/>
  <c r="A266" i="6"/>
  <c r="U265" i="6"/>
  <c r="T265" i="6"/>
  <c r="Q265" i="6"/>
  <c r="P265" i="6"/>
  <c r="O265" i="6"/>
  <c r="N265" i="6"/>
  <c r="M265" i="6"/>
  <c r="K265" i="6"/>
  <c r="J265" i="6"/>
  <c r="I265" i="6"/>
  <c r="R265" i="6" s="1"/>
  <c r="S265" i="6" s="1"/>
  <c r="A265" i="6"/>
  <c r="U264" i="6"/>
  <c r="T264" i="6"/>
  <c r="Q264" i="6"/>
  <c r="P264" i="6"/>
  <c r="O264" i="6"/>
  <c r="N264" i="6"/>
  <c r="K264" i="6"/>
  <c r="I264" i="6"/>
  <c r="R264" i="6" s="1"/>
  <c r="S264" i="6" s="1"/>
  <c r="A264" i="6"/>
  <c r="U263" i="6"/>
  <c r="T263" i="6"/>
  <c r="Q263" i="6"/>
  <c r="P263" i="6"/>
  <c r="O263" i="6"/>
  <c r="N263" i="6"/>
  <c r="M263" i="6"/>
  <c r="K263" i="6"/>
  <c r="J263" i="6"/>
  <c r="I263" i="6"/>
  <c r="R263" i="6" s="1"/>
  <c r="S263" i="6" s="1"/>
  <c r="A263" i="6"/>
  <c r="U262" i="6"/>
  <c r="T262" i="6"/>
  <c r="S262" i="6"/>
  <c r="R262" i="6"/>
  <c r="Q262" i="6"/>
  <c r="P262" i="6"/>
  <c r="O262" i="6"/>
  <c r="N262" i="6"/>
  <c r="K262" i="6"/>
  <c r="I262" i="6"/>
  <c r="A262" i="6"/>
  <c r="U261" i="6"/>
  <c r="T261" i="6"/>
  <c r="R261" i="6"/>
  <c r="S261" i="6" s="1"/>
  <c r="Q261" i="6"/>
  <c r="P261" i="6"/>
  <c r="O261" i="6"/>
  <c r="N261" i="6"/>
  <c r="M261" i="6"/>
  <c r="K261" i="6"/>
  <c r="J261" i="6" s="1"/>
  <c r="I261" i="6"/>
  <c r="A261" i="6"/>
  <c r="U260" i="6"/>
  <c r="T260" i="6"/>
  <c r="R260" i="6"/>
  <c r="S260" i="6" s="1"/>
  <c r="Q260" i="6"/>
  <c r="P260" i="6"/>
  <c r="O260" i="6"/>
  <c r="N260" i="6"/>
  <c r="M260" i="6"/>
  <c r="K260" i="6"/>
  <c r="J260" i="6" s="1"/>
  <c r="I260" i="6"/>
  <c r="A260" i="6"/>
  <c r="U259" i="6"/>
  <c r="T259" i="6"/>
  <c r="Q259" i="6"/>
  <c r="P259" i="6"/>
  <c r="O259" i="6"/>
  <c r="N259" i="6"/>
  <c r="K259" i="6"/>
  <c r="M259" i="6" s="1"/>
  <c r="I259" i="6"/>
  <c r="R259" i="6" s="1"/>
  <c r="S259" i="6" s="1"/>
  <c r="A259" i="6"/>
  <c r="U258" i="6"/>
  <c r="T258" i="6"/>
  <c r="Q258" i="6"/>
  <c r="P258" i="6"/>
  <c r="O258" i="6"/>
  <c r="N258" i="6"/>
  <c r="K258" i="6"/>
  <c r="M258" i="6" s="1"/>
  <c r="J258" i="6"/>
  <c r="I258" i="6"/>
  <c r="R258" i="6" s="1"/>
  <c r="S258" i="6" s="1"/>
  <c r="A258" i="6"/>
  <c r="U257" i="6"/>
  <c r="T257" i="6"/>
  <c r="Q257" i="6"/>
  <c r="P257" i="6"/>
  <c r="O257" i="6"/>
  <c r="N257" i="6"/>
  <c r="K257" i="6"/>
  <c r="M257" i="6" s="1"/>
  <c r="I257" i="6"/>
  <c r="R257" i="6" s="1"/>
  <c r="S257" i="6" s="1"/>
  <c r="A257" i="6"/>
  <c r="U256" i="6"/>
  <c r="T256" i="6"/>
  <c r="Q256" i="6"/>
  <c r="P256" i="6"/>
  <c r="O256" i="6"/>
  <c r="N256" i="6"/>
  <c r="M256" i="6"/>
  <c r="K256" i="6"/>
  <c r="J256" i="6"/>
  <c r="I256" i="6"/>
  <c r="R256" i="6" s="1"/>
  <c r="S256" i="6" s="1"/>
  <c r="A256" i="6"/>
  <c r="U255" i="6"/>
  <c r="T255" i="6"/>
  <c r="R255" i="6"/>
  <c r="S255" i="6" s="1"/>
  <c r="Q255" i="6"/>
  <c r="P255" i="6"/>
  <c r="O255" i="6"/>
  <c r="N255" i="6"/>
  <c r="M255" i="6"/>
  <c r="K255" i="6"/>
  <c r="J255" i="6"/>
  <c r="I255" i="6"/>
  <c r="A255" i="6"/>
  <c r="U254" i="6"/>
  <c r="T254" i="6"/>
  <c r="S254" i="6"/>
  <c r="Q254" i="6"/>
  <c r="P254" i="6"/>
  <c r="O254" i="6"/>
  <c r="N254" i="6"/>
  <c r="M254" i="6"/>
  <c r="K254" i="6"/>
  <c r="J254" i="6"/>
  <c r="I254" i="6"/>
  <c r="R254" i="6" s="1"/>
  <c r="A254" i="6"/>
  <c r="U253" i="6"/>
  <c r="T253" i="6"/>
  <c r="Q253" i="6"/>
  <c r="P253" i="6"/>
  <c r="O253" i="6"/>
  <c r="N253" i="6"/>
  <c r="K253" i="6"/>
  <c r="M253" i="6" s="1"/>
  <c r="I253" i="6"/>
  <c r="R253" i="6" s="1"/>
  <c r="S253" i="6" s="1"/>
  <c r="A253" i="6"/>
  <c r="U252" i="6"/>
  <c r="T252" i="6"/>
  <c r="Q252" i="6"/>
  <c r="P252" i="6"/>
  <c r="O252" i="6"/>
  <c r="N252" i="6"/>
  <c r="M252" i="6"/>
  <c r="K252" i="6"/>
  <c r="J252" i="6"/>
  <c r="I252" i="6"/>
  <c r="R252" i="6" s="1"/>
  <c r="S252" i="6" s="1"/>
  <c r="A252" i="6"/>
  <c r="U251" i="6"/>
  <c r="T251" i="6"/>
  <c r="Q251" i="6"/>
  <c r="P251" i="6"/>
  <c r="O251" i="6"/>
  <c r="N251" i="6"/>
  <c r="M251" i="6"/>
  <c r="K251" i="6"/>
  <c r="J251" i="6" s="1"/>
  <c r="I251" i="6"/>
  <c r="R251" i="6" s="1"/>
  <c r="S251" i="6" s="1"/>
  <c r="A251" i="6"/>
  <c r="U250" i="6"/>
  <c r="T250" i="6"/>
  <c r="S250" i="6"/>
  <c r="R250" i="6"/>
  <c r="Q250" i="6"/>
  <c r="P250" i="6"/>
  <c r="O250" i="6"/>
  <c r="N250" i="6"/>
  <c r="M250" i="6"/>
  <c r="K250" i="6"/>
  <c r="J250" i="6"/>
  <c r="I250" i="6"/>
  <c r="A250" i="6"/>
  <c r="U249" i="6"/>
  <c r="T249" i="6"/>
  <c r="R249" i="6"/>
  <c r="S249" i="6" s="1"/>
  <c r="Q249" i="6"/>
  <c r="P249" i="6"/>
  <c r="O249" i="6"/>
  <c r="N249" i="6"/>
  <c r="M249" i="6"/>
  <c r="K249" i="6"/>
  <c r="J249" i="6" s="1"/>
  <c r="I249" i="6"/>
  <c r="A249" i="6"/>
  <c r="U248" i="6"/>
  <c r="T248" i="6"/>
  <c r="R248" i="6"/>
  <c r="S248" i="6" s="1"/>
  <c r="Q248" i="6"/>
  <c r="P248" i="6"/>
  <c r="O248" i="6"/>
  <c r="N248" i="6"/>
  <c r="M248" i="6"/>
  <c r="K248" i="6"/>
  <c r="J248" i="6" s="1"/>
  <c r="I248" i="6"/>
  <c r="A248" i="6"/>
  <c r="U247" i="6"/>
  <c r="T247" i="6"/>
  <c r="Q247" i="6"/>
  <c r="P247" i="6"/>
  <c r="O247" i="6"/>
  <c r="N247" i="6"/>
  <c r="K247" i="6"/>
  <c r="M247" i="6" s="1"/>
  <c r="J247" i="6"/>
  <c r="I247" i="6"/>
  <c r="R247" i="6" s="1"/>
  <c r="S247" i="6" s="1"/>
  <c r="A247" i="6"/>
  <c r="U246" i="6"/>
  <c r="T246" i="6"/>
  <c r="Q246" i="6"/>
  <c r="P246" i="6"/>
  <c r="O246" i="6"/>
  <c r="N246" i="6"/>
  <c r="K246" i="6"/>
  <c r="M246" i="6" s="1"/>
  <c r="J246" i="6"/>
  <c r="I246" i="6"/>
  <c r="R246" i="6" s="1"/>
  <c r="S246" i="6" s="1"/>
  <c r="A246" i="6"/>
  <c r="U245" i="6"/>
  <c r="T245" i="6"/>
  <c r="Q245" i="6"/>
  <c r="P245" i="6"/>
  <c r="O245" i="6"/>
  <c r="N245" i="6"/>
  <c r="K245" i="6"/>
  <c r="M245" i="6" s="1"/>
  <c r="J245" i="6"/>
  <c r="I245" i="6"/>
  <c r="R245" i="6" s="1"/>
  <c r="S245" i="6" s="1"/>
  <c r="A245" i="6"/>
  <c r="U244" i="6"/>
  <c r="T244" i="6"/>
  <c r="Q244" i="6"/>
  <c r="P244" i="6"/>
  <c r="O244" i="6"/>
  <c r="N244" i="6"/>
  <c r="K244" i="6"/>
  <c r="J244" i="6" s="1"/>
  <c r="I244" i="6"/>
  <c r="R244" i="6" s="1"/>
  <c r="S244" i="6" s="1"/>
  <c r="A244" i="6"/>
  <c r="U243" i="6"/>
  <c r="T243" i="6"/>
  <c r="Q243" i="6"/>
  <c r="P243" i="6"/>
  <c r="O243" i="6"/>
  <c r="N243" i="6"/>
  <c r="K243" i="6"/>
  <c r="M243" i="6" s="1"/>
  <c r="J243" i="6"/>
  <c r="I243" i="6"/>
  <c r="R243" i="6" s="1"/>
  <c r="S243" i="6" s="1"/>
  <c r="A243" i="6"/>
  <c r="U242" i="6"/>
  <c r="T242" i="6"/>
  <c r="Q242" i="6"/>
  <c r="P242" i="6"/>
  <c r="O242" i="6"/>
  <c r="N242" i="6"/>
  <c r="K242" i="6"/>
  <c r="M242" i="6" s="1"/>
  <c r="I242" i="6"/>
  <c r="R242" i="6" s="1"/>
  <c r="S242" i="6" s="1"/>
  <c r="A242" i="6"/>
  <c r="U241" i="6"/>
  <c r="T241" i="6"/>
  <c r="Q241" i="6"/>
  <c r="P241" i="6"/>
  <c r="O241" i="6"/>
  <c r="N241" i="6"/>
  <c r="K241" i="6"/>
  <c r="M241" i="6" s="1"/>
  <c r="I241" i="6"/>
  <c r="R241" i="6" s="1"/>
  <c r="S241" i="6" s="1"/>
  <c r="A241" i="6"/>
  <c r="U240" i="6"/>
  <c r="T240" i="6"/>
  <c r="Q240" i="6"/>
  <c r="P240" i="6"/>
  <c r="O240" i="6"/>
  <c r="N240" i="6"/>
  <c r="M240" i="6"/>
  <c r="K240" i="6"/>
  <c r="J240" i="6"/>
  <c r="I240" i="6"/>
  <c r="R240" i="6" s="1"/>
  <c r="S240" i="6" s="1"/>
  <c r="A240" i="6"/>
  <c r="U239" i="6"/>
  <c r="T239" i="6"/>
  <c r="Q239" i="6"/>
  <c r="P239" i="6"/>
  <c r="O239" i="6"/>
  <c r="N239" i="6"/>
  <c r="K239" i="6"/>
  <c r="M239" i="6" s="1"/>
  <c r="I239" i="6"/>
  <c r="R239" i="6" s="1"/>
  <c r="S239" i="6" s="1"/>
  <c r="A239" i="6"/>
  <c r="U238" i="6"/>
  <c r="T238" i="6"/>
  <c r="R238" i="6"/>
  <c r="S238" i="6" s="1"/>
  <c r="Q238" i="6"/>
  <c r="P238" i="6"/>
  <c r="O238" i="6"/>
  <c r="N238" i="6"/>
  <c r="K238" i="6"/>
  <c r="M238" i="6" s="1"/>
  <c r="I238" i="6"/>
  <c r="A238" i="6"/>
  <c r="U237" i="6"/>
  <c r="T237" i="6"/>
  <c r="S237" i="6"/>
  <c r="R237" i="6"/>
  <c r="Q237" i="6"/>
  <c r="P237" i="6"/>
  <c r="O237" i="6"/>
  <c r="N237" i="6"/>
  <c r="M237" i="6"/>
  <c r="K237" i="6"/>
  <c r="J237" i="6" s="1"/>
  <c r="I237" i="6"/>
  <c r="A237" i="6"/>
  <c r="U236" i="6"/>
  <c r="T236" i="6"/>
  <c r="S236" i="6"/>
  <c r="R236" i="6"/>
  <c r="Q236" i="6"/>
  <c r="P236" i="6"/>
  <c r="O236" i="6"/>
  <c r="N236" i="6"/>
  <c r="M236" i="6"/>
  <c r="K236" i="6"/>
  <c r="J236" i="6"/>
  <c r="I236" i="6"/>
  <c r="A236" i="6"/>
  <c r="U235" i="6"/>
  <c r="T235" i="6"/>
  <c r="Q235" i="6"/>
  <c r="P235" i="6"/>
  <c r="O235" i="6"/>
  <c r="N235" i="6"/>
  <c r="K235" i="6"/>
  <c r="M235" i="6" s="1"/>
  <c r="J235" i="6"/>
  <c r="I235" i="6"/>
  <c r="R235" i="6" s="1"/>
  <c r="S235" i="6" s="1"/>
  <c r="A235" i="6"/>
  <c r="U234" i="6"/>
  <c r="T234" i="6"/>
  <c r="Q234" i="6"/>
  <c r="P234" i="6"/>
  <c r="O234" i="6"/>
  <c r="N234" i="6"/>
  <c r="K234" i="6"/>
  <c r="M234" i="6" s="1"/>
  <c r="J234" i="6"/>
  <c r="I234" i="6"/>
  <c r="R234" i="6" s="1"/>
  <c r="S234" i="6" s="1"/>
  <c r="A234" i="6"/>
  <c r="U233" i="6"/>
  <c r="T233" i="6"/>
  <c r="Q233" i="6"/>
  <c r="P233" i="6"/>
  <c r="O233" i="6"/>
  <c r="N233" i="6"/>
  <c r="K233" i="6"/>
  <c r="I233" i="6"/>
  <c r="R233" i="6" s="1"/>
  <c r="S233" i="6" s="1"/>
  <c r="A233" i="6"/>
  <c r="U232" i="6"/>
  <c r="T232" i="6"/>
  <c r="R232" i="6"/>
  <c r="S232" i="6" s="1"/>
  <c r="Q232" i="6"/>
  <c r="P232" i="6"/>
  <c r="O232" i="6"/>
  <c r="N232" i="6"/>
  <c r="M232" i="6"/>
  <c r="K232" i="6"/>
  <c r="J232" i="6" s="1"/>
  <c r="I232" i="6"/>
  <c r="A232" i="6"/>
  <c r="U231" i="6"/>
  <c r="T231" i="6"/>
  <c r="R231" i="6"/>
  <c r="S231" i="6" s="1"/>
  <c r="Q231" i="6"/>
  <c r="P231" i="6"/>
  <c r="O231" i="6"/>
  <c r="N231" i="6"/>
  <c r="M231" i="6"/>
  <c r="K231" i="6"/>
  <c r="J231" i="6" s="1"/>
  <c r="I231" i="6"/>
  <c r="A231" i="6"/>
  <c r="U230" i="6"/>
  <c r="T230" i="6"/>
  <c r="R230" i="6"/>
  <c r="S230" i="6" s="1"/>
  <c r="Q230" i="6"/>
  <c r="P230" i="6"/>
  <c r="O230" i="6"/>
  <c r="N230" i="6"/>
  <c r="M230" i="6"/>
  <c r="K230" i="6"/>
  <c r="J230" i="6"/>
  <c r="I230" i="6"/>
  <c r="A230" i="6"/>
  <c r="U229" i="6"/>
  <c r="T229" i="6"/>
  <c r="R229" i="6"/>
  <c r="S229" i="6" s="1"/>
  <c r="Q229" i="6"/>
  <c r="P229" i="6"/>
  <c r="O229" i="6"/>
  <c r="N229" i="6"/>
  <c r="K229" i="6"/>
  <c r="I229" i="6"/>
  <c r="A229" i="6"/>
  <c r="U228" i="6"/>
  <c r="T228" i="6"/>
  <c r="R228" i="6"/>
  <c r="S228" i="6" s="1"/>
  <c r="Q228" i="6"/>
  <c r="P228" i="6"/>
  <c r="O228" i="6"/>
  <c r="N228" i="6"/>
  <c r="M228" i="6"/>
  <c r="K228" i="6"/>
  <c r="J228" i="6" s="1"/>
  <c r="I228" i="6"/>
  <c r="A228" i="6"/>
  <c r="U227" i="6"/>
  <c r="T227" i="6"/>
  <c r="R227" i="6"/>
  <c r="S227" i="6" s="1"/>
  <c r="Q227" i="6"/>
  <c r="P227" i="6"/>
  <c r="O227" i="6"/>
  <c r="N227" i="6"/>
  <c r="M227" i="6"/>
  <c r="K227" i="6"/>
  <c r="J227" i="6"/>
  <c r="I227" i="6"/>
  <c r="A227" i="6"/>
  <c r="U226" i="6"/>
  <c r="T226" i="6"/>
  <c r="R226" i="6"/>
  <c r="S226" i="6" s="1"/>
  <c r="Q226" i="6"/>
  <c r="P226" i="6"/>
  <c r="O226" i="6"/>
  <c r="N226" i="6"/>
  <c r="K226" i="6"/>
  <c r="I226" i="6"/>
  <c r="A226" i="6"/>
  <c r="U225" i="6"/>
  <c r="T225" i="6"/>
  <c r="S225" i="6"/>
  <c r="Q225" i="6"/>
  <c r="P225" i="6"/>
  <c r="O225" i="6"/>
  <c r="N225" i="6"/>
  <c r="M225" i="6"/>
  <c r="K225" i="6"/>
  <c r="J225" i="6" s="1"/>
  <c r="I225" i="6"/>
  <c r="R225" i="6" s="1"/>
  <c r="A225" i="6"/>
  <c r="U224" i="6"/>
  <c r="T224" i="6"/>
  <c r="Q224" i="6"/>
  <c r="P224" i="6"/>
  <c r="O224" i="6"/>
  <c r="N224" i="6"/>
  <c r="K224" i="6"/>
  <c r="M224" i="6" s="1"/>
  <c r="J224" i="6"/>
  <c r="I224" i="6"/>
  <c r="R224" i="6" s="1"/>
  <c r="S224" i="6" s="1"/>
  <c r="A224" i="6"/>
  <c r="U223" i="6"/>
  <c r="T223" i="6"/>
  <c r="Q223" i="6"/>
  <c r="P223" i="6"/>
  <c r="O223" i="6"/>
  <c r="N223" i="6"/>
  <c r="M223" i="6"/>
  <c r="K223" i="6"/>
  <c r="J223" i="6"/>
  <c r="I223" i="6"/>
  <c r="R223" i="6" s="1"/>
  <c r="S223" i="6" s="1"/>
  <c r="A223" i="6"/>
  <c r="U222" i="6"/>
  <c r="T222" i="6"/>
  <c r="Q222" i="6"/>
  <c r="P222" i="6"/>
  <c r="O222" i="6"/>
  <c r="N222" i="6"/>
  <c r="K222" i="6"/>
  <c r="J222" i="6" s="1"/>
  <c r="I222" i="6"/>
  <c r="R222" i="6" s="1"/>
  <c r="S222" i="6" s="1"/>
  <c r="A222" i="6"/>
  <c r="U221" i="6"/>
  <c r="T221" i="6"/>
  <c r="Q221" i="6"/>
  <c r="P221" i="6"/>
  <c r="O221" i="6"/>
  <c r="N221" i="6"/>
  <c r="K221" i="6"/>
  <c r="I221" i="6"/>
  <c r="R221" i="6" s="1"/>
  <c r="S221" i="6" s="1"/>
  <c r="A221" i="6"/>
  <c r="U220" i="6"/>
  <c r="T220" i="6"/>
  <c r="R220" i="6"/>
  <c r="S220" i="6" s="1"/>
  <c r="Q220" i="6"/>
  <c r="P220" i="6"/>
  <c r="O220" i="6"/>
  <c r="N220" i="6"/>
  <c r="K220" i="6"/>
  <c r="J220" i="6" s="1"/>
  <c r="I220" i="6"/>
  <c r="A220" i="6"/>
  <c r="U219" i="6"/>
  <c r="T219" i="6"/>
  <c r="Q219" i="6"/>
  <c r="P219" i="6"/>
  <c r="O219" i="6"/>
  <c r="N219" i="6"/>
  <c r="M219" i="6"/>
  <c r="K219" i="6"/>
  <c r="J219" i="6" s="1"/>
  <c r="I219" i="6"/>
  <c r="R219" i="6" s="1"/>
  <c r="S219" i="6" s="1"/>
  <c r="A219" i="6"/>
  <c r="U218" i="6"/>
  <c r="T218" i="6"/>
  <c r="R218" i="6"/>
  <c r="S218" i="6" s="1"/>
  <c r="Q218" i="6"/>
  <c r="P218" i="6"/>
  <c r="O218" i="6"/>
  <c r="N218" i="6"/>
  <c r="M218" i="6"/>
  <c r="K218" i="6"/>
  <c r="J218" i="6"/>
  <c r="I218" i="6"/>
  <c r="A218" i="6"/>
  <c r="U217" i="6"/>
  <c r="T217" i="6"/>
  <c r="S217" i="6"/>
  <c r="R217" i="6"/>
  <c r="Q217" i="6"/>
  <c r="P217" i="6"/>
  <c r="O217" i="6"/>
  <c r="N217" i="6"/>
  <c r="K217" i="6"/>
  <c r="I217" i="6"/>
  <c r="A217" i="6"/>
  <c r="U216" i="6"/>
  <c r="T216" i="6"/>
  <c r="Q216" i="6"/>
  <c r="P216" i="6"/>
  <c r="O216" i="6"/>
  <c r="N216" i="6"/>
  <c r="M216" i="6"/>
  <c r="K216" i="6"/>
  <c r="J216" i="6" s="1"/>
  <c r="I216" i="6"/>
  <c r="R216" i="6" s="1"/>
  <c r="S216" i="6" s="1"/>
  <c r="A216" i="6"/>
  <c r="U215" i="6"/>
  <c r="T215" i="6"/>
  <c r="Q215" i="6"/>
  <c r="P215" i="6"/>
  <c r="O215" i="6"/>
  <c r="N215" i="6"/>
  <c r="M215" i="6"/>
  <c r="K215" i="6"/>
  <c r="J215" i="6"/>
  <c r="I215" i="6"/>
  <c r="R215" i="6" s="1"/>
  <c r="S215" i="6" s="1"/>
  <c r="A215" i="6"/>
  <c r="U214" i="6"/>
  <c r="T214" i="6"/>
  <c r="Q214" i="6"/>
  <c r="P214" i="6"/>
  <c r="O214" i="6"/>
  <c r="N214" i="6"/>
  <c r="K214" i="6"/>
  <c r="M214" i="6" s="1"/>
  <c r="I214" i="6"/>
  <c r="R214" i="6" s="1"/>
  <c r="S214" i="6" s="1"/>
  <c r="A214" i="6"/>
  <c r="U213" i="6"/>
  <c r="T213" i="6"/>
  <c r="Q213" i="6"/>
  <c r="P213" i="6"/>
  <c r="O213" i="6"/>
  <c r="N213" i="6"/>
  <c r="M213" i="6"/>
  <c r="K213" i="6"/>
  <c r="J213" i="6"/>
  <c r="I213" i="6"/>
  <c r="R213" i="6" s="1"/>
  <c r="S213" i="6" s="1"/>
  <c r="A213" i="6"/>
  <c r="U212" i="6"/>
  <c r="T212" i="6"/>
  <c r="Q212" i="6"/>
  <c r="P212" i="6"/>
  <c r="O212" i="6"/>
  <c r="N212" i="6"/>
  <c r="M212" i="6"/>
  <c r="K212" i="6"/>
  <c r="J212" i="6" s="1"/>
  <c r="I212" i="6"/>
  <c r="R212" i="6" s="1"/>
  <c r="S212" i="6" s="1"/>
  <c r="A212" i="6"/>
  <c r="U211" i="6"/>
  <c r="T211" i="6"/>
  <c r="Q211" i="6"/>
  <c r="P211" i="6"/>
  <c r="O211" i="6"/>
  <c r="N211" i="6"/>
  <c r="K211" i="6"/>
  <c r="M211" i="6" s="1"/>
  <c r="J211" i="6"/>
  <c r="I211" i="6"/>
  <c r="R211" i="6" s="1"/>
  <c r="S211" i="6" s="1"/>
  <c r="A211" i="6"/>
  <c r="U210" i="6"/>
  <c r="T210" i="6"/>
  <c r="Q210" i="6"/>
  <c r="P210" i="6"/>
  <c r="O210" i="6"/>
  <c r="N210" i="6"/>
  <c r="K210" i="6"/>
  <c r="I210" i="6"/>
  <c r="R210" i="6" s="1"/>
  <c r="S210" i="6" s="1"/>
  <c r="A210" i="6"/>
  <c r="U209" i="6"/>
  <c r="T209" i="6"/>
  <c r="Q209" i="6"/>
  <c r="P209" i="6"/>
  <c r="O209" i="6"/>
  <c r="N209" i="6"/>
  <c r="M209" i="6"/>
  <c r="K209" i="6"/>
  <c r="J209" i="6"/>
  <c r="I209" i="6"/>
  <c r="R209" i="6" s="1"/>
  <c r="S209" i="6" s="1"/>
  <c r="A209" i="6"/>
  <c r="U208" i="6"/>
  <c r="T208" i="6"/>
  <c r="R208" i="6"/>
  <c r="S208" i="6" s="1"/>
  <c r="Q208" i="6"/>
  <c r="P208" i="6"/>
  <c r="O208" i="6"/>
  <c r="N208" i="6"/>
  <c r="M208" i="6"/>
  <c r="K208" i="6"/>
  <c r="J208" i="6" s="1"/>
  <c r="I208" i="6"/>
  <c r="A208" i="6"/>
  <c r="U207" i="6"/>
  <c r="T207" i="6"/>
  <c r="Q207" i="6"/>
  <c r="P207" i="6"/>
  <c r="O207" i="6"/>
  <c r="N207" i="6"/>
  <c r="M207" i="6"/>
  <c r="K207" i="6"/>
  <c r="J207" i="6" s="1"/>
  <c r="I207" i="6"/>
  <c r="R207" i="6" s="1"/>
  <c r="S207" i="6" s="1"/>
  <c r="A207" i="6"/>
  <c r="U206" i="6"/>
  <c r="T206" i="6"/>
  <c r="Q206" i="6"/>
  <c r="P206" i="6"/>
  <c r="O206" i="6"/>
  <c r="N206" i="6"/>
  <c r="M206" i="6"/>
  <c r="K206" i="6"/>
  <c r="J206" i="6"/>
  <c r="I206" i="6"/>
  <c r="R206" i="6" s="1"/>
  <c r="S206" i="6" s="1"/>
  <c r="A206" i="6"/>
  <c r="U205" i="6"/>
  <c r="T205" i="6"/>
  <c r="S205" i="6"/>
  <c r="R205" i="6"/>
  <c r="Q205" i="6"/>
  <c r="P205" i="6"/>
  <c r="O205" i="6"/>
  <c r="N205" i="6"/>
  <c r="K205" i="6"/>
  <c r="M205" i="6" s="1"/>
  <c r="I205" i="6"/>
  <c r="A205" i="6"/>
  <c r="U204" i="6"/>
  <c r="T204" i="6"/>
  <c r="Q204" i="6"/>
  <c r="P204" i="6"/>
  <c r="O204" i="6"/>
  <c r="N204" i="6"/>
  <c r="M204" i="6"/>
  <c r="K204" i="6"/>
  <c r="J204" i="6" s="1"/>
  <c r="I204" i="6"/>
  <c r="R204" i="6" s="1"/>
  <c r="S204" i="6" s="1"/>
  <c r="A204" i="6"/>
  <c r="U203" i="6"/>
  <c r="T203" i="6"/>
  <c r="Q203" i="6"/>
  <c r="P203" i="6"/>
  <c r="O203" i="6"/>
  <c r="N203" i="6"/>
  <c r="M203" i="6"/>
  <c r="K203" i="6"/>
  <c r="J203" i="6"/>
  <c r="I203" i="6"/>
  <c r="R203" i="6" s="1"/>
  <c r="S203" i="6" s="1"/>
  <c r="A203" i="6"/>
  <c r="U202" i="6"/>
  <c r="T202" i="6"/>
  <c r="R202" i="6"/>
  <c r="S202" i="6" s="1"/>
  <c r="Q202" i="6"/>
  <c r="P202" i="6"/>
  <c r="O202" i="6"/>
  <c r="N202" i="6"/>
  <c r="K202" i="6"/>
  <c r="M202" i="6" s="1"/>
  <c r="J202" i="6"/>
  <c r="I202" i="6"/>
  <c r="A202" i="6"/>
  <c r="U201" i="6"/>
  <c r="T201" i="6"/>
  <c r="Q201" i="6"/>
  <c r="P201" i="6"/>
  <c r="O201" i="6"/>
  <c r="N201" i="6"/>
  <c r="M201" i="6"/>
  <c r="K201" i="6"/>
  <c r="J201" i="6" s="1"/>
  <c r="I201" i="6"/>
  <c r="R201" i="6" s="1"/>
  <c r="S201" i="6" s="1"/>
  <c r="A201" i="6"/>
  <c r="U200" i="6"/>
  <c r="T200" i="6"/>
  <c r="Q200" i="6"/>
  <c r="P200" i="6"/>
  <c r="O200" i="6"/>
  <c r="N200" i="6"/>
  <c r="M200" i="6"/>
  <c r="K200" i="6"/>
  <c r="J200" i="6"/>
  <c r="I200" i="6"/>
  <c r="R200" i="6" s="1"/>
  <c r="S200" i="6" s="1"/>
  <c r="A200" i="6"/>
  <c r="U199" i="6"/>
  <c r="T199" i="6"/>
  <c r="Q199" i="6"/>
  <c r="P199" i="6"/>
  <c r="O199" i="6"/>
  <c r="N199" i="6"/>
  <c r="K199" i="6"/>
  <c r="M199" i="6" s="1"/>
  <c r="J199" i="6"/>
  <c r="I199" i="6"/>
  <c r="R199" i="6" s="1"/>
  <c r="S199" i="6" s="1"/>
  <c r="A199" i="6"/>
  <c r="U198" i="6"/>
  <c r="T198" i="6"/>
  <c r="Q198" i="6"/>
  <c r="P198" i="6"/>
  <c r="O198" i="6"/>
  <c r="N198" i="6"/>
  <c r="M198" i="6"/>
  <c r="K198" i="6"/>
  <c r="J198" i="6"/>
  <c r="I198" i="6"/>
  <c r="R198" i="6" s="1"/>
  <c r="S198" i="6" s="1"/>
  <c r="A198" i="6"/>
  <c r="U197" i="6"/>
  <c r="T197" i="6"/>
  <c r="Q197" i="6"/>
  <c r="P197" i="6"/>
  <c r="O197" i="6"/>
  <c r="N197" i="6"/>
  <c r="K197" i="6"/>
  <c r="M197" i="6" s="1"/>
  <c r="I197" i="6"/>
  <c r="R197" i="6" s="1"/>
  <c r="S197" i="6" s="1"/>
  <c r="A197" i="6"/>
  <c r="U196" i="6"/>
  <c r="T196" i="6"/>
  <c r="R196" i="6"/>
  <c r="S196" i="6" s="1"/>
  <c r="Q196" i="6"/>
  <c r="P196" i="6"/>
  <c r="O196" i="6"/>
  <c r="N196" i="6"/>
  <c r="K196" i="6"/>
  <c r="J196" i="6" s="1"/>
  <c r="I196" i="6"/>
  <c r="A196" i="6"/>
  <c r="U195" i="6"/>
  <c r="T195" i="6"/>
  <c r="Q195" i="6"/>
  <c r="P195" i="6"/>
  <c r="O195" i="6"/>
  <c r="N195" i="6"/>
  <c r="M195" i="6"/>
  <c r="K195" i="6"/>
  <c r="J195" i="6" s="1"/>
  <c r="I195" i="6"/>
  <c r="R195" i="6" s="1"/>
  <c r="S195" i="6" s="1"/>
  <c r="A195" i="6"/>
  <c r="U194" i="6"/>
  <c r="T194" i="6"/>
  <c r="Q194" i="6"/>
  <c r="P194" i="6"/>
  <c r="O194" i="6"/>
  <c r="N194" i="6"/>
  <c r="M194" i="6"/>
  <c r="K194" i="6"/>
  <c r="J194" i="6"/>
  <c r="I194" i="6"/>
  <c r="R194" i="6" s="1"/>
  <c r="S194" i="6" s="1"/>
  <c r="A194" i="6"/>
  <c r="U193" i="6"/>
  <c r="T193" i="6"/>
  <c r="R193" i="6"/>
  <c r="S193" i="6" s="1"/>
  <c r="Q193" i="6"/>
  <c r="P193" i="6"/>
  <c r="O193" i="6"/>
  <c r="N193" i="6"/>
  <c r="K193" i="6"/>
  <c r="I193" i="6"/>
  <c r="A193" i="6"/>
  <c r="U192" i="6"/>
  <c r="T192" i="6"/>
  <c r="R192" i="6"/>
  <c r="S192" i="6" s="1"/>
  <c r="Q192" i="6"/>
  <c r="P192" i="6"/>
  <c r="O192" i="6"/>
  <c r="N192" i="6"/>
  <c r="K192" i="6"/>
  <c r="I192" i="6"/>
  <c r="A192" i="6"/>
  <c r="U191" i="6"/>
  <c r="T191" i="6"/>
  <c r="R191" i="6"/>
  <c r="S191" i="6" s="1"/>
  <c r="Q191" i="6"/>
  <c r="P191" i="6"/>
  <c r="O191" i="6"/>
  <c r="N191" i="6"/>
  <c r="M191" i="6"/>
  <c r="K191" i="6"/>
  <c r="J191" i="6"/>
  <c r="I191" i="6"/>
  <c r="A191" i="6"/>
  <c r="U190" i="6"/>
  <c r="T190" i="6"/>
  <c r="Q190" i="6"/>
  <c r="P190" i="6"/>
  <c r="O190" i="6"/>
  <c r="N190" i="6"/>
  <c r="K190" i="6"/>
  <c r="I190" i="6"/>
  <c r="R190" i="6" s="1"/>
  <c r="S190" i="6" s="1"/>
  <c r="A190" i="6"/>
  <c r="U189" i="6"/>
  <c r="T189" i="6"/>
  <c r="R189" i="6"/>
  <c r="S189" i="6" s="1"/>
  <c r="Q189" i="6"/>
  <c r="P189" i="6"/>
  <c r="O189" i="6"/>
  <c r="N189" i="6"/>
  <c r="M189" i="6"/>
  <c r="K189" i="6"/>
  <c r="J189" i="6"/>
  <c r="I189" i="6"/>
  <c r="A189" i="6"/>
  <c r="U188" i="6"/>
  <c r="T188" i="6"/>
  <c r="S188" i="6"/>
  <c r="Q188" i="6"/>
  <c r="P188" i="6"/>
  <c r="O188" i="6"/>
  <c r="N188" i="6"/>
  <c r="M188" i="6"/>
  <c r="K188" i="6"/>
  <c r="J188" i="6"/>
  <c r="I188" i="6"/>
  <c r="R188" i="6" s="1"/>
  <c r="A188" i="6"/>
  <c r="U187" i="6"/>
  <c r="T187" i="6"/>
  <c r="R187" i="6"/>
  <c r="S187" i="6" s="1"/>
  <c r="Q187" i="6"/>
  <c r="P187" i="6"/>
  <c r="O187" i="6"/>
  <c r="N187" i="6"/>
  <c r="M187" i="6"/>
  <c r="K187" i="6"/>
  <c r="J187" i="6"/>
  <c r="I187" i="6"/>
  <c r="A187" i="6"/>
  <c r="U186" i="6"/>
  <c r="T186" i="6"/>
  <c r="S186" i="6"/>
  <c r="R186" i="6"/>
  <c r="Q186" i="6"/>
  <c r="P186" i="6"/>
  <c r="O186" i="6"/>
  <c r="N186" i="6"/>
  <c r="K186" i="6"/>
  <c r="I186" i="6"/>
  <c r="A186" i="6"/>
  <c r="U185" i="6"/>
  <c r="T185" i="6"/>
  <c r="S185" i="6"/>
  <c r="Q185" i="6"/>
  <c r="P185" i="6"/>
  <c r="O185" i="6"/>
  <c r="N185" i="6"/>
  <c r="K185" i="6"/>
  <c r="I185" i="6"/>
  <c r="R185" i="6" s="1"/>
  <c r="A185" i="6"/>
  <c r="U184" i="6"/>
  <c r="T184" i="6"/>
  <c r="R184" i="6"/>
  <c r="S184" i="6" s="1"/>
  <c r="Q184" i="6"/>
  <c r="P184" i="6"/>
  <c r="O184" i="6"/>
  <c r="N184" i="6"/>
  <c r="K184" i="6"/>
  <c r="I184" i="6"/>
  <c r="A184" i="6"/>
  <c r="U183" i="6"/>
  <c r="T183" i="6"/>
  <c r="S183" i="6"/>
  <c r="R183" i="6"/>
  <c r="Q183" i="6"/>
  <c r="P183" i="6"/>
  <c r="O183" i="6"/>
  <c r="N183" i="6"/>
  <c r="M183" i="6"/>
  <c r="K183" i="6"/>
  <c r="J183" i="6" s="1"/>
  <c r="I183" i="6"/>
  <c r="A183" i="6"/>
  <c r="U182" i="6"/>
  <c r="T182" i="6"/>
  <c r="S182" i="6"/>
  <c r="R182" i="6"/>
  <c r="Q182" i="6"/>
  <c r="P182" i="6"/>
  <c r="O182" i="6"/>
  <c r="N182" i="6"/>
  <c r="M182" i="6"/>
  <c r="K182" i="6"/>
  <c r="J182" i="6"/>
  <c r="I182" i="6"/>
  <c r="A182" i="6"/>
  <c r="U181" i="6"/>
  <c r="T181" i="6"/>
  <c r="R181" i="6"/>
  <c r="S181" i="6" s="1"/>
  <c r="Q181" i="6"/>
  <c r="P181" i="6"/>
  <c r="O181" i="6"/>
  <c r="N181" i="6"/>
  <c r="K181" i="6"/>
  <c r="M181" i="6" s="1"/>
  <c r="J181" i="6"/>
  <c r="I181" i="6"/>
  <c r="A181" i="6"/>
  <c r="U180" i="6"/>
  <c r="T180" i="6"/>
  <c r="R180" i="6"/>
  <c r="S180" i="6" s="1"/>
  <c r="Q180" i="6"/>
  <c r="P180" i="6"/>
  <c r="O180" i="6"/>
  <c r="N180" i="6"/>
  <c r="K180" i="6"/>
  <c r="J180" i="6" s="1"/>
  <c r="I180" i="6"/>
  <c r="A180" i="6"/>
  <c r="U179" i="6"/>
  <c r="T179" i="6"/>
  <c r="Q179" i="6"/>
  <c r="P179" i="6"/>
  <c r="O179" i="6"/>
  <c r="N179" i="6"/>
  <c r="M179" i="6"/>
  <c r="K179" i="6"/>
  <c r="J179" i="6"/>
  <c r="I179" i="6"/>
  <c r="R179" i="6" s="1"/>
  <c r="S179" i="6" s="1"/>
  <c r="A179" i="6"/>
  <c r="U178" i="6"/>
  <c r="T178" i="6"/>
  <c r="Q178" i="6"/>
  <c r="P178" i="6"/>
  <c r="O178" i="6"/>
  <c r="N178" i="6"/>
  <c r="K178" i="6"/>
  <c r="M178" i="6" s="1"/>
  <c r="I178" i="6"/>
  <c r="R178" i="6" s="1"/>
  <c r="S178" i="6" s="1"/>
  <c r="A178" i="6"/>
  <c r="U177" i="6"/>
  <c r="T177" i="6"/>
  <c r="S177" i="6"/>
  <c r="Q177" i="6"/>
  <c r="P177" i="6"/>
  <c r="O177" i="6"/>
  <c r="N177" i="6"/>
  <c r="M177" i="6"/>
  <c r="K177" i="6"/>
  <c r="J177" i="6"/>
  <c r="I177" i="6"/>
  <c r="R177" i="6" s="1"/>
  <c r="A177" i="6"/>
  <c r="U176" i="6"/>
  <c r="T176" i="6"/>
  <c r="Q176" i="6"/>
  <c r="P176" i="6"/>
  <c r="O176" i="6"/>
  <c r="N176" i="6"/>
  <c r="M176" i="6"/>
  <c r="K176" i="6"/>
  <c r="J176" i="6"/>
  <c r="I176" i="6"/>
  <c r="R176" i="6" s="1"/>
  <c r="S176" i="6" s="1"/>
  <c r="A176" i="6"/>
  <c r="U175" i="6"/>
  <c r="T175" i="6"/>
  <c r="Q175" i="6"/>
  <c r="P175" i="6"/>
  <c r="O175" i="6"/>
  <c r="N175" i="6"/>
  <c r="M175" i="6"/>
  <c r="K175" i="6"/>
  <c r="J175" i="6"/>
  <c r="I175" i="6"/>
  <c r="R175" i="6" s="1"/>
  <c r="S175" i="6" s="1"/>
  <c r="A175" i="6"/>
  <c r="U174" i="6"/>
  <c r="T174" i="6"/>
  <c r="Q174" i="6"/>
  <c r="P174" i="6"/>
  <c r="O174" i="6"/>
  <c r="N174" i="6"/>
  <c r="K174" i="6"/>
  <c r="M174" i="6" s="1"/>
  <c r="I174" i="6"/>
  <c r="R174" i="6" s="1"/>
  <c r="S174" i="6" s="1"/>
  <c r="A174" i="6"/>
  <c r="U173" i="6"/>
  <c r="T173" i="6"/>
  <c r="Q173" i="6"/>
  <c r="P173" i="6"/>
  <c r="O173" i="6"/>
  <c r="N173" i="6"/>
  <c r="K173" i="6"/>
  <c r="M173" i="6" s="1"/>
  <c r="J173" i="6"/>
  <c r="I173" i="6"/>
  <c r="R173" i="6" s="1"/>
  <c r="S173" i="6" s="1"/>
  <c r="A173" i="6"/>
  <c r="U172" i="6"/>
  <c r="T172" i="6"/>
  <c r="R172" i="6"/>
  <c r="S172" i="6" s="1"/>
  <c r="Q172" i="6"/>
  <c r="P172" i="6"/>
  <c r="O172" i="6"/>
  <c r="N172" i="6"/>
  <c r="K172" i="6"/>
  <c r="I172" i="6"/>
  <c r="A172" i="6"/>
  <c r="U171" i="6"/>
  <c r="T171" i="6"/>
  <c r="S171" i="6"/>
  <c r="Q171" i="6"/>
  <c r="P171" i="6"/>
  <c r="O171" i="6"/>
  <c r="N171" i="6"/>
  <c r="K171" i="6"/>
  <c r="I171" i="6"/>
  <c r="R171" i="6" s="1"/>
  <c r="A171" i="6"/>
  <c r="U170" i="6"/>
  <c r="T170" i="6"/>
  <c r="S170" i="6"/>
  <c r="Q170" i="6"/>
  <c r="P170" i="6"/>
  <c r="O170" i="6"/>
  <c r="N170" i="6"/>
  <c r="K170" i="6"/>
  <c r="M170" i="6" s="1"/>
  <c r="J170" i="6"/>
  <c r="I170" i="6"/>
  <c r="R170" i="6" s="1"/>
  <c r="A170" i="6"/>
  <c r="U169" i="6"/>
  <c r="T169" i="6"/>
  <c r="R169" i="6"/>
  <c r="S169" i="6" s="1"/>
  <c r="Q169" i="6"/>
  <c r="P169" i="6"/>
  <c r="O169" i="6"/>
  <c r="N169" i="6"/>
  <c r="K169" i="6"/>
  <c r="M169" i="6" s="1"/>
  <c r="J169" i="6"/>
  <c r="I169" i="6"/>
  <c r="A169" i="6"/>
  <c r="U168" i="6"/>
  <c r="T168" i="6"/>
  <c r="S168" i="6"/>
  <c r="Q168" i="6"/>
  <c r="P168" i="6"/>
  <c r="O168" i="6"/>
  <c r="N168" i="6"/>
  <c r="K168" i="6"/>
  <c r="M168" i="6" s="1"/>
  <c r="J168" i="6"/>
  <c r="I168" i="6"/>
  <c r="R168" i="6" s="1"/>
  <c r="A168" i="6"/>
  <c r="U167" i="6"/>
  <c r="T167" i="6"/>
  <c r="Q167" i="6"/>
  <c r="P167" i="6"/>
  <c r="O167" i="6"/>
  <c r="N167" i="6"/>
  <c r="M167" i="6"/>
  <c r="K167" i="6"/>
  <c r="J167" i="6"/>
  <c r="I167" i="6"/>
  <c r="R167" i="6" s="1"/>
  <c r="S167" i="6" s="1"/>
  <c r="A167" i="6"/>
  <c r="U166" i="6"/>
  <c r="T166" i="6"/>
  <c r="Q166" i="6"/>
  <c r="P166" i="6"/>
  <c r="O166" i="6"/>
  <c r="N166" i="6"/>
  <c r="K166" i="6"/>
  <c r="I166" i="6"/>
  <c r="R166" i="6" s="1"/>
  <c r="S166" i="6" s="1"/>
  <c r="A166" i="6"/>
  <c r="U165" i="6"/>
  <c r="T165" i="6"/>
  <c r="R165" i="6"/>
  <c r="S165" i="6" s="1"/>
  <c r="Q165" i="6"/>
  <c r="P165" i="6"/>
  <c r="O165" i="6"/>
  <c r="N165" i="6"/>
  <c r="K165" i="6"/>
  <c r="I165" i="6"/>
  <c r="A165" i="6"/>
  <c r="U164" i="6"/>
  <c r="T164" i="6"/>
  <c r="S164" i="6"/>
  <c r="R164" i="6"/>
  <c r="Q164" i="6"/>
  <c r="P164" i="6"/>
  <c r="O164" i="6"/>
  <c r="N164" i="6"/>
  <c r="M164" i="6"/>
  <c r="K164" i="6"/>
  <c r="J164" i="6"/>
  <c r="I164" i="6"/>
  <c r="A164" i="6"/>
  <c r="U163" i="6"/>
  <c r="T163" i="6"/>
  <c r="R163" i="6"/>
  <c r="S163" i="6" s="1"/>
  <c r="Q163" i="6"/>
  <c r="P163" i="6"/>
  <c r="O163" i="6"/>
  <c r="N163" i="6"/>
  <c r="K163" i="6"/>
  <c r="I163" i="6"/>
  <c r="A163" i="6"/>
  <c r="U162" i="6"/>
  <c r="T162" i="6"/>
  <c r="S162" i="6"/>
  <c r="R162" i="6"/>
  <c r="Q162" i="6"/>
  <c r="P162" i="6"/>
  <c r="O162" i="6"/>
  <c r="N162" i="6"/>
  <c r="M162" i="6"/>
  <c r="K162" i="6"/>
  <c r="J162" i="6"/>
  <c r="I162" i="6"/>
  <c r="A162" i="6"/>
  <c r="U161" i="6"/>
  <c r="T161" i="6"/>
  <c r="R161" i="6"/>
  <c r="S161" i="6" s="1"/>
  <c r="Q161" i="6"/>
  <c r="P161" i="6"/>
  <c r="O161" i="6"/>
  <c r="N161" i="6"/>
  <c r="K161" i="6"/>
  <c r="M161" i="6" s="1"/>
  <c r="I161" i="6"/>
  <c r="A161" i="6"/>
  <c r="U160" i="6"/>
  <c r="T160" i="6"/>
  <c r="S160" i="6"/>
  <c r="R160" i="6"/>
  <c r="Q160" i="6"/>
  <c r="P160" i="6"/>
  <c r="O160" i="6"/>
  <c r="N160" i="6"/>
  <c r="M160" i="6"/>
  <c r="K160" i="6"/>
  <c r="J160" i="6"/>
  <c r="I160" i="6"/>
  <c r="A160" i="6"/>
  <c r="U159" i="6"/>
  <c r="T159" i="6"/>
  <c r="R159" i="6"/>
  <c r="S159" i="6" s="1"/>
  <c r="Q159" i="6"/>
  <c r="P159" i="6"/>
  <c r="O159" i="6"/>
  <c r="N159" i="6"/>
  <c r="K159" i="6"/>
  <c r="I159" i="6"/>
  <c r="A159" i="6"/>
  <c r="U158" i="6"/>
  <c r="T158" i="6"/>
  <c r="S158" i="6"/>
  <c r="Q158" i="6"/>
  <c r="P158" i="6"/>
  <c r="O158" i="6"/>
  <c r="N158" i="6"/>
  <c r="K158" i="6"/>
  <c r="I158" i="6"/>
  <c r="R158" i="6" s="1"/>
  <c r="A158" i="6"/>
  <c r="U157" i="6"/>
  <c r="T157" i="6"/>
  <c r="R157" i="6"/>
  <c r="S157" i="6" s="1"/>
  <c r="Q157" i="6"/>
  <c r="P157" i="6"/>
  <c r="O157" i="6"/>
  <c r="N157" i="6"/>
  <c r="K157" i="6"/>
  <c r="I157" i="6"/>
  <c r="A157" i="6"/>
  <c r="U156" i="6"/>
  <c r="T156" i="6"/>
  <c r="S156" i="6"/>
  <c r="Q156" i="6"/>
  <c r="P156" i="6"/>
  <c r="O156" i="6"/>
  <c r="N156" i="6"/>
  <c r="K156" i="6"/>
  <c r="I156" i="6"/>
  <c r="R156" i="6" s="1"/>
  <c r="A156" i="6"/>
  <c r="U155" i="6"/>
  <c r="T155" i="6"/>
  <c r="Q155" i="6"/>
  <c r="P155" i="6"/>
  <c r="O155" i="6"/>
  <c r="N155" i="6"/>
  <c r="M155" i="6"/>
  <c r="K155" i="6"/>
  <c r="J155" i="6"/>
  <c r="I155" i="6"/>
  <c r="R155" i="6" s="1"/>
  <c r="S155" i="6" s="1"/>
  <c r="A155" i="6"/>
  <c r="U154" i="6"/>
  <c r="T154" i="6"/>
  <c r="Q154" i="6"/>
  <c r="P154" i="6"/>
  <c r="O154" i="6"/>
  <c r="N154" i="6"/>
  <c r="M154" i="6"/>
  <c r="K154" i="6"/>
  <c r="J154" i="6" s="1"/>
  <c r="I154" i="6"/>
  <c r="R154" i="6" s="1"/>
  <c r="S154" i="6" s="1"/>
  <c r="A154" i="6"/>
  <c r="U153" i="6"/>
  <c r="T153" i="6"/>
  <c r="R153" i="6"/>
  <c r="S153" i="6" s="1"/>
  <c r="Q153" i="6"/>
  <c r="P153" i="6"/>
  <c r="O153" i="6"/>
  <c r="N153" i="6"/>
  <c r="M153" i="6"/>
  <c r="K153" i="6"/>
  <c r="J153" i="6" s="1"/>
  <c r="I153" i="6"/>
  <c r="A153" i="6"/>
  <c r="U152" i="6"/>
  <c r="T152" i="6"/>
  <c r="S152" i="6"/>
  <c r="R152" i="6"/>
  <c r="Q152" i="6"/>
  <c r="P152" i="6"/>
  <c r="O152" i="6"/>
  <c r="N152" i="6"/>
  <c r="M152" i="6"/>
  <c r="K152" i="6"/>
  <c r="J152" i="6"/>
  <c r="I152" i="6"/>
  <c r="A152" i="6"/>
  <c r="U151" i="6"/>
  <c r="T151" i="6"/>
  <c r="R151" i="6"/>
  <c r="S151" i="6" s="1"/>
  <c r="Q151" i="6"/>
  <c r="P151" i="6"/>
  <c r="O151" i="6"/>
  <c r="N151" i="6"/>
  <c r="K151" i="6"/>
  <c r="I151" i="6"/>
  <c r="A151" i="6"/>
  <c r="U150" i="6"/>
  <c r="T150" i="6"/>
  <c r="S150" i="6"/>
  <c r="R150" i="6"/>
  <c r="Q150" i="6"/>
  <c r="P150" i="6"/>
  <c r="O150" i="6"/>
  <c r="N150" i="6"/>
  <c r="M150" i="6"/>
  <c r="K150" i="6"/>
  <c r="J150" i="6"/>
  <c r="I150" i="6"/>
  <c r="A150" i="6"/>
  <c r="U149" i="6"/>
  <c r="T149" i="6"/>
  <c r="R149" i="6"/>
  <c r="S149" i="6" s="1"/>
  <c r="Q149" i="6"/>
  <c r="P149" i="6"/>
  <c r="O149" i="6"/>
  <c r="N149" i="6"/>
  <c r="K149" i="6"/>
  <c r="M149" i="6" s="1"/>
  <c r="I149" i="6"/>
  <c r="A149" i="6"/>
  <c r="U148" i="6"/>
  <c r="T148" i="6"/>
  <c r="Q148" i="6"/>
  <c r="P148" i="6"/>
  <c r="O148" i="6"/>
  <c r="N148" i="6"/>
  <c r="M148" i="6"/>
  <c r="K148" i="6"/>
  <c r="J148" i="6"/>
  <c r="I148" i="6"/>
  <c r="R148" i="6" s="1"/>
  <c r="S148" i="6" s="1"/>
  <c r="A148" i="6"/>
  <c r="U147" i="6"/>
  <c r="T147" i="6"/>
  <c r="Q147" i="6"/>
  <c r="P147" i="6"/>
  <c r="O147" i="6"/>
  <c r="N147" i="6"/>
  <c r="K147" i="6"/>
  <c r="I147" i="6"/>
  <c r="R147" i="6" s="1"/>
  <c r="S147" i="6" s="1"/>
  <c r="A147" i="6"/>
  <c r="U146" i="6"/>
  <c r="T146" i="6"/>
  <c r="Q146" i="6"/>
  <c r="P146" i="6"/>
  <c r="O146" i="6"/>
  <c r="N146" i="6"/>
  <c r="K146" i="6"/>
  <c r="I146" i="6"/>
  <c r="R146" i="6" s="1"/>
  <c r="S146" i="6" s="1"/>
  <c r="A146" i="6"/>
  <c r="U145" i="6"/>
  <c r="T145" i="6"/>
  <c r="Q145" i="6"/>
  <c r="P145" i="6"/>
  <c r="O145" i="6"/>
  <c r="N145" i="6"/>
  <c r="M145" i="6"/>
  <c r="K145" i="6"/>
  <c r="J145" i="6" s="1"/>
  <c r="I145" i="6"/>
  <c r="R145" i="6" s="1"/>
  <c r="S145" i="6" s="1"/>
  <c r="A145" i="6"/>
  <c r="U144" i="6"/>
  <c r="T144" i="6"/>
  <c r="Q144" i="6"/>
  <c r="P144" i="6"/>
  <c r="O144" i="6"/>
  <c r="N144" i="6"/>
  <c r="K144" i="6"/>
  <c r="J144" i="6" s="1"/>
  <c r="I144" i="6"/>
  <c r="R144" i="6" s="1"/>
  <c r="S144" i="6" s="1"/>
  <c r="A144" i="6"/>
  <c r="U143" i="6"/>
  <c r="T143" i="6"/>
  <c r="Q143" i="6"/>
  <c r="P143" i="6"/>
  <c r="O143" i="6"/>
  <c r="N143" i="6"/>
  <c r="M143" i="6"/>
  <c r="K143" i="6"/>
  <c r="J143" i="6" s="1"/>
  <c r="I143" i="6"/>
  <c r="R143" i="6" s="1"/>
  <c r="S143" i="6" s="1"/>
  <c r="A143" i="6"/>
  <c r="U142" i="6"/>
  <c r="T142" i="6"/>
  <c r="Q142" i="6"/>
  <c r="P142" i="6"/>
  <c r="O142" i="6"/>
  <c r="N142" i="6"/>
  <c r="K142" i="6"/>
  <c r="J142" i="6" s="1"/>
  <c r="I142" i="6"/>
  <c r="R142" i="6" s="1"/>
  <c r="S142" i="6" s="1"/>
  <c r="A142" i="6"/>
  <c r="U141" i="6"/>
  <c r="T141" i="6"/>
  <c r="Q141" i="6"/>
  <c r="P141" i="6"/>
  <c r="O141" i="6"/>
  <c r="N141" i="6"/>
  <c r="M141" i="6"/>
  <c r="K141" i="6"/>
  <c r="J141" i="6" s="1"/>
  <c r="I141" i="6"/>
  <c r="R141" i="6" s="1"/>
  <c r="S141" i="6" s="1"/>
  <c r="A141" i="6"/>
  <c r="U140" i="6"/>
  <c r="T140" i="6"/>
  <c r="R140" i="6"/>
  <c r="S140" i="6" s="1"/>
  <c r="Q140" i="6"/>
  <c r="P140" i="6"/>
  <c r="O140" i="6"/>
  <c r="N140" i="6"/>
  <c r="M140" i="6"/>
  <c r="K140" i="6"/>
  <c r="J140" i="6"/>
  <c r="I140" i="6"/>
  <c r="A140" i="6"/>
  <c r="U139" i="6"/>
  <c r="T139" i="6"/>
  <c r="R139" i="6"/>
  <c r="S139" i="6" s="1"/>
  <c r="Q139" i="6"/>
  <c r="P139" i="6"/>
  <c r="O139" i="6"/>
  <c r="N139" i="6"/>
  <c r="K139" i="6"/>
  <c r="I139" i="6"/>
  <c r="A139" i="6"/>
  <c r="U138" i="6"/>
  <c r="T138" i="6"/>
  <c r="R138" i="6"/>
  <c r="S138" i="6" s="1"/>
  <c r="Q138" i="6"/>
  <c r="P138" i="6"/>
  <c r="O138" i="6"/>
  <c r="N138" i="6"/>
  <c r="M138" i="6"/>
  <c r="K138" i="6"/>
  <c r="J138" i="6"/>
  <c r="I138" i="6"/>
  <c r="A138" i="6"/>
  <c r="U137" i="6"/>
  <c r="T137" i="6"/>
  <c r="Q137" i="6"/>
  <c r="P137" i="6"/>
  <c r="O137" i="6"/>
  <c r="N137" i="6"/>
  <c r="K137" i="6"/>
  <c r="M137" i="6" s="1"/>
  <c r="I137" i="6"/>
  <c r="R137" i="6" s="1"/>
  <c r="S137" i="6" s="1"/>
  <c r="A137" i="6"/>
  <c r="U136" i="6"/>
  <c r="T136" i="6"/>
  <c r="Q136" i="6"/>
  <c r="P136" i="6"/>
  <c r="O136" i="6"/>
  <c r="N136" i="6"/>
  <c r="M136" i="6"/>
  <c r="K136" i="6"/>
  <c r="J136" i="6"/>
  <c r="I136" i="6"/>
  <c r="R136" i="6" s="1"/>
  <c r="S136" i="6" s="1"/>
  <c r="A136" i="6"/>
  <c r="U135" i="6"/>
  <c r="T135" i="6"/>
  <c r="R135" i="6"/>
  <c r="S135" i="6" s="1"/>
  <c r="Q135" i="6"/>
  <c r="P135" i="6"/>
  <c r="O135" i="6"/>
  <c r="N135" i="6"/>
  <c r="K135" i="6"/>
  <c r="M135" i="6" s="1"/>
  <c r="I135" i="6"/>
  <c r="A135" i="6"/>
  <c r="U134" i="6"/>
  <c r="T134" i="6"/>
  <c r="Q134" i="6"/>
  <c r="P134" i="6"/>
  <c r="O134" i="6"/>
  <c r="N134" i="6"/>
  <c r="K134" i="6"/>
  <c r="M134" i="6" s="1"/>
  <c r="J134" i="6"/>
  <c r="I134" i="6"/>
  <c r="R134" i="6" s="1"/>
  <c r="S134" i="6" s="1"/>
  <c r="A134" i="6"/>
  <c r="U133" i="6"/>
  <c r="T133" i="6"/>
  <c r="Q133" i="6"/>
  <c r="P133" i="6"/>
  <c r="O133" i="6"/>
  <c r="N133" i="6"/>
  <c r="M133" i="6"/>
  <c r="K133" i="6"/>
  <c r="J133" i="6"/>
  <c r="I133" i="6"/>
  <c r="R133" i="6" s="1"/>
  <c r="S133" i="6" s="1"/>
  <c r="A133" i="6"/>
  <c r="U132" i="6"/>
  <c r="T132" i="6"/>
  <c r="Q132" i="6"/>
  <c r="P132" i="6"/>
  <c r="O132" i="6"/>
  <c r="N132" i="6"/>
  <c r="M132" i="6"/>
  <c r="K132" i="6"/>
  <c r="J132" i="6" s="1"/>
  <c r="I132" i="6"/>
  <c r="R132" i="6" s="1"/>
  <c r="S132" i="6" s="1"/>
  <c r="A132" i="6"/>
  <c r="U131" i="6"/>
  <c r="T131" i="6"/>
  <c r="Q131" i="6"/>
  <c r="P131" i="6"/>
  <c r="O131" i="6"/>
  <c r="N131" i="6"/>
  <c r="K131" i="6"/>
  <c r="I131" i="6"/>
  <c r="R131" i="6" s="1"/>
  <c r="S131" i="6" s="1"/>
  <c r="A131" i="6"/>
  <c r="U130" i="6"/>
  <c r="T130" i="6"/>
  <c r="Q130" i="6"/>
  <c r="P130" i="6"/>
  <c r="O130" i="6"/>
  <c r="N130" i="6"/>
  <c r="M130" i="6"/>
  <c r="K130" i="6"/>
  <c r="J130" i="6"/>
  <c r="I130" i="6"/>
  <c r="R130" i="6" s="1"/>
  <c r="S130" i="6" s="1"/>
  <c r="A130" i="6"/>
  <c r="U129" i="6"/>
  <c r="T129" i="6"/>
  <c r="Q129" i="6"/>
  <c r="P129" i="6"/>
  <c r="O129" i="6"/>
  <c r="N129" i="6"/>
  <c r="K129" i="6"/>
  <c r="J129" i="6" s="1"/>
  <c r="I129" i="6"/>
  <c r="R129" i="6" s="1"/>
  <c r="S129" i="6" s="1"/>
  <c r="A129" i="6"/>
  <c r="U128" i="6"/>
  <c r="T128" i="6"/>
  <c r="R128" i="6"/>
  <c r="S128" i="6" s="1"/>
  <c r="Q128" i="6"/>
  <c r="P128" i="6"/>
  <c r="O128" i="6"/>
  <c r="N128" i="6"/>
  <c r="M128" i="6"/>
  <c r="K128" i="6"/>
  <c r="J128" i="6"/>
  <c r="I128" i="6"/>
  <c r="A128" i="6"/>
  <c r="U127" i="6"/>
  <c r="T127" i="6"/>
  <c r="S127" i="6"/>
  <c r="R127" i="6"/>
  <c r="Q127" i="6"/>
  <c r="P127" i="6"/>
  <c r="O127" i="6"/>
  <c r="N127" i="6"/>
  <c r="K127" i="6"/>
  <c r="I127" i="6"/>
  <c r="A127" i="6"/>
  <c r="U126" i="6"/>
  <c r="T126" i="6"/>
  <c r="R126" i="6"/>
  <c r="S126" i="6" s="1"/>
  <c r="Q126" i="6"/>
  <c r="P126" i="6"/>
  <c r="O126" i="6"/>
  <c r="N126" i="6"/>
  <c r="M126" i="6"/>
  <c r="K126" i="6"/>
  <c r="J126" i="6"/>
  <c r="I126" i="6"/>
  <c r="A126" i="6"/>
  <c r="U125" i="6"/>
  <c r="T125" i="6"/>
  <c r="Q125" i="6"/>
  <c r="P125" i="6"/>
  <c r="O125" i="6"/>
  <c r="N125" i="6"/>
  <c r="K125" i="6"/>
  <c r="M125" i="6" s="1"/>
  <c r="I125" i="6"/>
  <c r="R125" i="6" s="1"/>
  <c r="S125" i="6" s="1"/>
  <c r="A125" i="6"/>
  <c r="U124" i="6"/>
  <c r="T124" i="6"/>
  <c r="Q124" i="6"/>
  <c r="P124" i="6"/>
  <c r="O124" i="6"/>
  <c r="N124" i="6"/>
  <c r="M124" i="6"/>
  <c r="K124" i="6"/>
  <c r="J124" i="6"/>
  <c r="I124" i="6"/>
  <c r="R124" i="6" s="1"/>
  <c r="S124" i="6" s="1"/>
  <c r="A124" i="6"/>
  <c r="U123" i="6"/>
  <c r="T123" i="6"/>
  <c r="Q123" i="6"/>
  <c r="P123" i="6"/>
  <c r="O123" i="6"/>
  <c r="N123" i="6"/>
  <c r="K123" i="6"/>
  <c r="M123" i="6" s="1"/>
  <c r="J123" i="6"/>
  <c r="I123" i="6"/>
  <c r="R123" i="6" s="1"/>
  <c r="S123" i="6" s="1"/>
  <c r="A123" i="6"/>
  <c r="U122" i="6"/>
  <c r="T122" i="6"/>
  <c r="Q122" i="6"/>
  <c r="P122" i="6"/>
  <c r="O122" i="6"/>
  <c r="N122" i="6"/>
  <c r="K122" i="6"/>
  <c r="M122" i="6" s="1"/>
  <c r="J122" i="6"/>
  <c r="I122" i="6"/>
  <c r="R122" i="6" s="1"/>
  <c r="S122" i="6" s="1"/>
  <c r="A122" i="6"/>
  <c r="U121" i="6"/>
  <c r="T121" i="6"/>
  <c r="Q121" i="6"/>
  <c r="P121" i="6"/>
  <c r="O121" i="6"/>
  <c r="N121" i="6"/>
  <c r="K121" i="6"/>
  <c r="M121" i="6" s="1"/>
  <c r="J121" i="6"/>
  <c r="I121" i="6"/>
  <c r="R121" i="6" s="1"/>
  <c r="S121" i="6" s="1"/>
  <c r="A121" i="6"/>
  <c r="U120" i="6"/>
  <c r="T120" i="6"/>
  <c r="Q120" i="6"/>
  <c r="P120" i="6"/>
  <c r="O120" i="6"/>
  <c r="N120" i="6"/>
  <c r="K120" i="6"/>
  <c r="M120" i="6" s="1"/>
  <c r="J120" i="6"/>
  <c r="I120" i="6"/>
  <c r="R120" i="6" s="1"/>
  <c r="S120" i="6" s="1"/>
  <c r="A120" i="6"/>
  <c r="U119" i="6"/>
  <c r="T119" i="6"/>
  <c r="Q119" i="6"/>
  <c r="P119" i="6"/>
  <c r="O119" i="6"/>
  <c r="N119" i="6"/>
  <c r="K119" i="6"/>
  <c r="M119" i="6" s="1"/>
  <c r="I119" i="6"/>
  <c r="R119" i="6" s="1"/>
  <c r="S119" i="6" s="1"/>
  <c r="A119" i="6"/>
  <c r="U118" i="6"/>
  <c r="T118" i="6"/>
  <c r="Q118" i="6"/>
  <c r="P118" i="6"/>
  <c r="O118" i="6"/>
  <c r="N118" i="6"/>
  <c r="M118" i="6"/>
  <c r="K118" i="6"/>
  <c r="J118" i="6"/>
  <c r="I118" i="6"/>
  <c r="R118" i="6" s="1"/>
  <c r="S118" i="6" s="1"/>
  <c r="A118" i="6"/>
  <c r="U117" i="6"/>
  <c r="T117" i="6"/>
  <c r="R117" i="6"/>
  <c r="S117" i="6" s="1"/>
  <c r="Q117" i="6"/>
  <c r="P117" i="6"/>
  <c r="O117" i="6"/>
  <c r="N117" i="6"/>
  <c r="M117" i="6"/>
  <c r="K117" i="6"/>
  <c r="J117" i="6" s="1"/>
  <c r="I117" i="6"/>
  <c r="A117" i="6"/>
  <c r="U116" i="6"/>
  <c r="T116" i="6"/>
  <c r="R116" i="6"/>
  <c r="S116" i="6" s="1"/>
  <c r="Q116" i="6"/>
  <c r="P116" i="6"/>
  <c r="O116" i="6"/>
  <c r="N116" i="6"/>
  <c r="M116" i="6"/>
  <c r="K116" i="6"/>
  <c r="J116" i="6"/>
  <c r="I116" i="6"/>
  <c r="A116" i="6"/>
  <c r="U115" i="6"/>
  <c r="T115" i="6"/>
  <c r="S115" i="6"/>
  <c r="R115" i="6"/>
  <c r="Q115" i="6"/>
  <c r="P115" i="6"/>
  <c r="O115" i="6"/>
  <c r="N115" i="6"/>
  <c r="K115" i="6"/>
  <c r="I115" i="6"/>
  <c r="A115" i="6"/>
  <c r="U114" i="6"/>
  <c r="T114" i="6"/>
  <c r="R114" i="6"/>
  <c r="S114" i="6" s="1"/>
  <c r="Q114" i="6"/>
  <c r="P114" i="6"/>
  <c r="O114" i="6"/>
  <c r="N114" i="6"/>
  <c r="M114" i="6"/>
  <c r="K114" i="6"/>
  <c r="J114" i="6"/>
  <c r="I114" i="6"/>
  <c r="A114" i="6"/>
  <c r="U113" i="6"/>
  <c r="T113" i="6"/>
  <c r="S113" i="6"/>
  <c r="Q113" i="6"/>
  <c r="P113" i="6"/>
  <c r="O113" i="6"/>
  <c r="N113" i="6"/>
  <c r="K113" i="6"/>
  <c r="M113" i="6" s="1"/>
  <c r="I113" i="6"/>
  <c r="R113" i="6" s="1"/>
  <c r="A113" i="6"/>
  <c r="U112" i="6"/>
  <c r="T112" i="6"/>
  <c r="R112" i="6"/>
  <c r="S112" i="6" s="1"/>
  <c r="Q112" i="6"/>
  <c r="P112" i="6"/>
  <c r="O112" i="6"/>
  <c r="N112" i="6"/>
  <c r="M112" i="6"/>
  <c r="K112" i="6"/>
  <c r="J112" i="6"/>
  <c r="I112" i="6"/>
  <c r="A112" i="6"/>
  <c r="U111" i="6"/>
  <c r="T111" i="6"/>
  <c r="S111" i="6"/>
  <c r="Q111" i="6"/>
  <c r="P111" i="6"/>
  <c r="O111" i="6"/>
  <c r="N111" i="6"/>
  <c r="K111" i="6"/>
  <c r="M111" i="6" s="1"/>
  <c r="J111" i="6"/>
  <c r="I111" i="6"/>
  <c r="R111" i="6" s="1"/>
  <c r="A111" i="6"/>
  <c r="U110" i="6"/>
  <c r="T110" i="6"/>
  <c r="S110" i="6"/>
  <c r="Q110" i="6"/>
  <c r="P110" i="6"/>
  <c r="O110" i="6"/>
  <c r="N110" i="6"/>
  <c r="M110" i="6"/>
  <c r="K110" i="6"/>
  <c r="J110" i="6"/>
  <c r="I110" i="6"/>
  <c r="R110" i="6" s="1"/>
  <c r="A110" i="6"/>
  <c r="U109" i="6"/>
  <c r="T109" i="6"/>
  <c r="R109" i="6"/>
  <c r="S109" i="6" s="1"/>
  <c r="Q109" i="6"/>
  <c r="P109" i="6"/>
  <c r="O109" i="6"/>
  <c r="N109" i="6"/>
  <c r="M109" i="6"/>
  <c r="K109" i="6"/>
  <c r="J109" i="6"/>
  <c r="I109" i="6"/>
  <c r="A109" i="6"/>
  <c r="U108" i="6"/>
  <c r="T108" i="6"/>
  <c r="S108" i="6"/>
  <c r="Q108" i="6"/>
  <c r="P108" i="6"/>
  <c r="O108" i="6"/>
  <c r="N108" i="6"/>
  <c r="M108" i="6"/>
  <c r="K108" i="6"/>
  <c r="J108" i="6"/>
  <c r="I108" i="6"/>
  <c r="R108" i="6" s="1"/>
  <c r="A108" i="6"/>
  <c r="U107" i="6"/>
  <c r="T107" i="6"/>
  <c r="Q107" i="6"/>
  <c r="P107" i="6"/>
  <c r="O107" i="6"/>
  <c r="N107" i="6"/>
  <c r="K107" i="6"/>
  <c r="I107" i="6"/>
  <c r="R107" i="6" s="1"/>
  <c r="S107" i="6" s="1"/>
  <c r="A107" i="6"/>
  <c r="U106" i="6"/>
  <c r="T106" i="6"/>
  <c r="Q106" i="6"/>
  <c r="P106" i="6"/>
  <c r="O106" i="6"/>
  <c r="N106" i="6"/>
  <c r="K106" i="6"/>
  <c r="M106" i="6" s="1"/>
  <c r="J106" i="6"/>
  <c r="I106" i="6"/>
  <c r="R106" i="6" s="1"/>
  <c r="S106" i="6" s="1"/>
  <c r="A106" i="6"/>
  <c r="U105" i="6"/>
  <c r="T105" i="6"/>
  <c r="Q105" i="6"/>
  <c r="P105" i="6"/>
  <c r="O105" i="6"/>
  <c r="N105" i="6"/>
  <c r="K105" i="6"/>
  <c r="J105" i="6" s="1"/>
  <c r="I105" i="6"/>
  <c r="R105" i="6" s="1"/>
  <c r="S105" i="6" s="1"/>
  <c r="A105" i="6"/>
  <c r="U104" i="6"/>
  <c r="T104" i="6"/>
  <c r="S104" i="6"/>
  <c r="R104" i="6"/>
  <c r="Q104" i="6"/>
  <c r="P104" i="6"/>
  <c r="O104" i="6"/>
  <c r="N104" i="6"/>
  <c r="M104" i="6"/>
  <c r="K104" i="6"/>
  <c r="J104" i="6"/>
  <c r="I104" i="6"/>
  <c r="A104" i="6"/>
  <c r="U103" i="6"/>
  <c r="T103" i="6"/>
  <c r="R103" i="6"/>
  <c r="S103" i="6" s="1"/>
  <c r="Q103" i="6"/>
  <c r="P103" i="6"/>
  <c r="O103" i="6"/>
  <c r="N103" i="6"/>
  <c r="K103" i="6"/>
  <c r="I103" i="6"/>
  <c r="A103" i="6"/>
  <c r="U102" i="6"/>
  <c r="T102" i="6"/>
  <c r="S102" i="6"/>
  <c r="R102" i="6"/>
  <c r="Q102" i="6"/>
  <c r="P102" i="6"/>
  <c r="O102" i="6"/>
  <c r="N102" i="6"/>
  <c r="M102" i="6"/>
  <c r="K102" i="6"/>
  <c r="J102" i="6"/>
  <c r="I102" i="6"/>
  <c r="A102" i="6"/>
  <c r="U101" i="6"/>
  <c r="T101" i="6"/>
  <c r="Q101" i="6"/>
  <c r="P101" i="6"/>
  <c r="O101" i="6"/>
  <c r="N101" i="6"/>
  <c r="K101" i="6"/>
  <c r="M101" i="6" s="1"/>
  <c r="I101" i="6"/>
  <c r="R101" i="6" s="1"/>
  <c r="S101" i="6" s="1"/>
  <c r="A101" i="6"/>
  <c r="U100" i="6"/>
  <c r="T100" i="6"/>
  <c r="S100" i="6"/>
  <c r="R100" i="6"/>
  <c r="Q100" i="6"/>
  <c r="P100" i="6"/>
  <c r="O100" i="6"/>
  <c r="N100" i="6"/>
  <c r="M100" i="6"/>
  <c r="K100" i="6"/>
  <c r="J100" i="6"/>
  <c r="I100" i="6"/>
  <c r="A100" i="6"/>
  <c r="U99" i="6"/>
  <c r="T99" i="6"/>
  <c r="R99" i="6"/>
  <c r="S99" i="6" s="1"/>
  <c r="Q99" i="6"/>
  <c r="P99" i="6"/>
  <c r="O99" i="6"/>
  <c r="N99" i="6"/>
  <c r="K99" i="6"/>
  <c r="M99" i="6" s="1"/>
  <c r="J99" i="6"/>
  <c r="I99" i="6"/>
  <c r="A99" i="6"/>
  <c r="U98" i="6"/>
  <c r="T98" i="6"/>
  <c r="S98" i="6"/>
  <c r="Q98" i="6"/>
  <c r="P98" i="6"/>
  <c r="O98" i="6"/>
  <c r="N98" i="6"/>
  <c r="K98" i="6"/>
  <c r="M98" i="6" s="1"/>
  <c r="J98" i="6"/>
  <c r="I98" i="6"/>
  <c r="R98" i="6" s="1"/>
  <c r="A98" i="6"/>
  <c r="U97" i="6"/>
  <c r="T97" i="6"/>
  <c r="R97" i="6"/>
  <c r="S97" i="6" s="1"/>
  <c r="Q97" i="6"/>
  <c r="P97" i="6"/>
  <c r="O97" i="6"/>
  <c r="N97" i="6"/>
  <c r="K97" i="6"/>
  <c r="M97" i="6" s="1"/>
  <c r="J97" i="6"/>
  <c r="I97" i="6"/>
  <c r="A97" i="6"/>
  <c r="U96" i="6"/>
  <c r="T96" i="6"/>
  <c r="S96" i="6"/>
  <c r="Q96" i="6"/>
  <c r="P96" i="6"/>
  <c r="O96" i="6"/>
  <c r="N96" i="6"/>
  <c r="K96" i="6"/>
  <c r="M96" i="6" s="1"/>
  <c r="J96" i="6"/>
  <c r="I96" i="6"/>
  <c r="R96" i="6" s="1"/>
  <c r="A96" i="6"/>
  <c r="U95" i="6"/>
  <c r="T95" i="6"/>
  <c r="R95" i="6"/>
  <c r="S95" i="6" s="1"/>
  <c r="Q95" i="6"/>
  <c r="P95" i="6"/>
  <c r="O95" i="6"/>
  <c r="N95" i="6"/>
  <c r="K95" i="6"/>
  <c r="M95" i="6" s="1"/>
  <c r="J95" i="6"/>
  <c r="I95" i="6"/>
  <c r="A95" i="6"/>
  <c r="U94" i="6"/>
  <c r="T94" i="6"/>
  <c r="S94" i="6"/>
  <c r="Q94" i="6"/>
  <c r="P94" i="6"/>
  <c r="O94" i="6"/>
  <c r="N94" i="6"/>
  <c r="K94" i="6"/>
  <c r="M94" i="6" s="1"/>
  <c r="J94" i="6"/>
  <c r="I94" i="6"/>
  <c r="R94" i="6" s="1"/>
  <c r="A94" i="6"/>
  <c r="U93" i="6"/>
  <c r="T93" i="6"/>
  <c r="R93" i="6"/>
  <c r="S93" i="6" s="1"/>
  <c r="Q93" i="6"/>
  <c r="P93" i="6"/>
  <c r="O93" i="6"/>
  <c r="N93" i="6"/>
  <c r="K93" i="6"/>
  <c r="J93" i="6" s="1"/>
  <c r="I93" i="6"/>
  <c r="A93" i="6"/>
  <c r="U92" i="6"/>
  <c r="T92" i="6"/>
  <c r="R92" i="6"/>
  <c r="S92" i="6" s="1"/>
  <c r="Q92" i="6"/>
  <c r="P92" i="6"/>
  <c r="O92" i="6"/>
  <c r="N92" i="6"/>
  <c r="M92" i="6"/>
  <c r="K92" i="6"/>
  <c r="J92" i="6"/>
  <c r="I92" i="6"/>
  <c r="A92" i="6"/>
  <c r="U91" i="6"/>
  <c r="T91" i="6"/>
  <c r="R91" i="6"/>
  <c r="S91" i="6" s="1"/>
  <c r="Q91" i="6"/>
  <c r="P91" i="6"/>
  <c r="O91" i="6"/>
  <c r="N91" i="6"/>
  <c r="K91" i="6"/>
  <c r="I91" i="6"/>
  <c r="A91" i="6"/>
  <c r="U90" i="6"/>
  <c r="T90" i="6"/>
  <c r="R90" i="6"/>
  <c r="S90" i="6" s="1"/>
  <c r="Q90" i="6"/>
  <c r="P90" i="6"/>
  <c r="O90" i="6"/>
  <c r="N90" i="6"/>
  <c r="M90" i="6"/>
  <c r="K90" i="6"/>
  <c r="J90" i="6"/>
  <c r="I90" i="6"/>
  <c r="A90" i="6"/>
  <c r="U89" i="6"/>
  <c r="T89" i="6"/>
  <c r="S89" i="6"/>
  <c r="R89" i="6"/>
  <c r="Q89" i="6"/>
  <c r="P89" i="6"/>
  <c r="O89" i="6"/>
  <c r="N89" i="6"/>
  <c r="K89" i="6"/>
  <c r="I89" i="6"/>
  <c r="A89" i="6"/>
  <c r="U88" i="6"/>
  <c r="T88" i="6"/>
  <c r="R88" i="6"/>
  <c r="S88" i="6" s="1"/>
  <c r="Q88" i="6"/>
  <c r="P88" i="6"/>
  <c r="O88" i="6"/>
  <c r="N88" i="6"/>
  <c r="M88" i="6"/>
  <c r="K88" i="6"/>
  <c r="J88" i="6"/>
  <c r="I88" i="6"/>
  <c r="A88" i="6"/>
  <c r="U87" i="6"/>
  <c r="T87" i="6"/>
  <c r="S87" i="6"/>
  <c r="R87" i="6"/>
  <c r="Q87" i="6"/>
  <c r="P87" i="6"/>
  <c r="O87" i="6"/>
  <c r="N87" i="6"/>
  <c r="K87" i="6"/>
  <c r="M87" i="6" s="1"/>
  <c r="J87" i="6"/>
  <c r="I87" i="6"/>
  <c r="A87" i="6"/>
  <c r="U86" i="6"/>
  <c r="T86" i="6"/>
  <c r="S86" i="6"/>
  <c r="Q86" i="6"/>
  <c r="P86" i="6"/>
  <c r="O86" i="6"/>
  <c r="N86" i="6"/>
  <c r="K86" i="6"/>
  <c r="M86" i="6" s="1"/>
  <c r="J86" i="6"/>
  <c r="I86" i="6"/>
  <c r="R86" i="6" s="1"/>
  <c r="A86" i="6"/>
  <c r="U85" i="6"/>
  <c r="T85" i="6"/>
  <c r="R85" i="6"/>
  <c r="S85" i="6" s="1"/>
  <c r="Q85" i="6"/>
  <c r="P85" i="6"/>
  <c r="O85" i="6"/>
  <c r="N85" i="6"/>
  <c r="K85" i="6"/>
  <c r="M85" i="6" s="1"/>
  <c r="J85" i="6"/>
  <c r="I85" i="6"/>
  <c r="A85" i="6"/>
  <c r="U84" i="6"/>
  <c r="T84" i="6"/>
  <c r="S84" i="6"/>
  <c r="Q84" i="6"/>
  <c r="P84" i="6"/>
  <c r="O84" i="6"/>
  <c r="N84" i="6"/>
  <c r="K84" i="6"/>
  <c r="M84" i="6" s="1"/>
  <c r="J84" i="6"/>
  <c r="I84" i="6"/>
  <c r="R84" i="6" s="1"/>
  <c r="A84" i="6"/>
  <c r="U83" i="6"/>
  <c r="T83" i="6"/>
  <c r="R83" i="6"/>
  <c r="S83" i="6" s="1"/>
  <c r="Q83" i="6"/>
  <c r="P83" i="6"/>
  <c r="O83" i="6"/>
  <c r="N83" i="6"/>
  <c r="K83" i="6"/>
  <c r="M83" i="6" s="1"/>
  <c r="J83" i="6"/>
  <c r="I83" i="6"/>
  <c r="A83" i="6"/>
  <c r="U82" i="6"/>
  <c r="T82" i="6"/>
  <c r="S82" i="6"/>
  <c r="Q82" i="6"/>
  <c r="P82" i="6"/>
  <c r="O82" i="6"/>
  <c r="N82" i="6"/>
  <c r="K82" i="6"/>
  <c r="M82" i="6" s="1"/>
  <c r="J82" i="6"/>
  <c r="I82" i="6"/>
  <c r="R82" i="6" s="1"/>
  <c r="A82" i="6"/>
  <c r="U81" i="6"/>
  <c r="T81" i="6"/>
  <c r="Q81" i="6"/>
  <c r="P81" i="6"/>
  <c r="O81" i="6"/>
  <c r="N81" i="6"/>
  <c r="K81" i="6"/>
  <c r="J81" i="6" s="1"/>
  <c r="I81" i="6"/>
  <c r="R81" i="6" s="1"/>
  <c r="S81" i="6" s="1"/>
  <c r="A81" i="6"/>
  <c r="U80" i="6"/>
  <c r="T80" i="6"/>
  <c r="S80" i="6"/>
  <c r="R80" i="6"/>
  <c r="Q80" i="6"/>
  <c r="P80" i="6"/>
  <c r="O80" i="6"/>
  <c r="N80" i="6"/>
  <c r="M80" i="6"/>
  <c r="K80" i="6"/>
  <c r="J80" i="6"/>
  <c r="I80" i="6"/>
  <c r="A80" i="6"/>
  <c r="U79" i="6"/>
  <c r="T79" i="6"/>
  <c r="Q79" i="6"/>
  <c r="P79" i="6"/>
  <c r="O79" i="6"/>
  <c r="N79" i="6"/>
  <c r="K79" i="6"/>
  <c r="I79" i="6"/>
  <c r="R79" i="6" s="1"/>
  <c r="S79" i="6" s="1"/>
  <c r="A79" i="6"/>
  <c r="U78" i="6"/>
  <c r="T78" i="6"/>
  <c r="S78" i="6"/>
  <c r="R78" i="6"/>
  <c r="Q78" i="6"/>
  <c r="P78" i="6"/>
  <c r="O78" i="6"/>
  <c r="N78" i="6"/>
  <c r="M78" i="6"/>
  <c r="K78" i="6"/>
  <c r="J78" i="6"/>
  <c r="I78" i="6"/>
  <c r="A78" i="6"/>
  <c r="U77" i="6"/>
  <c r="T77" i="6"/>
  <c r="Q77" i="6"/>
  <c r="P77" i="6"/>
  <c r="O77" i="6"/>
  <c r="N77" i="6"/>
  <c r="K77" i="6"/>
  <c r="I77" i="6"/>
  <c r="R77" i="6" s="1"/>
  <c r="S77" i="6" s="1"/>
  <c r="A77" i="6"/>
  <c r="U76" i="6"/>
  <c r="T76" i="6"/>
  <c r="S76" i="6"/>
  <c r="R76" i="6"/>
  <c r="Q76" i="6"/>
  <c r="P76" i="6"/>
  <c r="O76" i="6"/>
  <c r="N76" i="6"/>
  <c r="M76" i="6"/>
  <c r="K76" i="6"/>
  <c r="J76" i="6"/>
  <c r="I76" i="6"/>
  <c r="A76" i="6"/>
  <c r="U75" i="6"/>
  <c r="T75" i="6"/>
  <c r="R75" i="6"/>
  <c r="S75" i="6" s="1"/>
  <c r="Q75" i="6"/>
  <c r="P75" i="6"/>
  <c r="O75" i="6"/>
  <c r="N75" i="6"/>
  <c r="K75" i="6"/>
  <c r="M75" i="6" s="1"/>
  <c r="J75" i="6"/>
  <c r="I75" i="6"/>
  <c r="A75" i="6"/>
  <c r="U74" i="6"/>
  <c r="T74" i="6"/>
  <c r="S74" i="6"/>
  <c r="Q74" i="6"/>
  <c r="P74" i="6"/>
  <c r="O74" i="6"/>
  <c r="N74" i="6"/>
  <c r="K74" i="6"/>
  <c r="M74" i="6" s="1"/>
  <c r="J74" i="6"/>
  <c r="I74" i="6"/>
  <c r="R74" i="6" s="1"/>
  <c r="A74" i="6"/>
  <c r="U73" i="6"/>
  <c r="T73" i="6"/>
  <c r="R73" i="6"/>
  <c r="S73" i="6" s="1"/>
  <c r="Q73" i="6"/>
  <c r="P73" i="6"/>
  <c r="O73" i="6"/>
  <c r="N73" i="6"/>
  <c r="K73" i="6"/>
  <c r="M73" i="6" s="1"/>
  <c r="J73" i="6"/>
  <c r="I73" i="6"/>
  <c r="A73" i="6"/>
  <c r="U72" i="6"/>
  <c r="T72" i="6"/>
  <c r="S72" i="6"/>
  <c r="Q72" i="6"/>
  <c r="P72" i="6"/>
  <c r="O72" i="6"/>
  <c r="N72" i="6"/>
  <c r="K72" i="6"/>
  <c r="M72" i="6" s="1"/>
  <c r="J72" i="6"/>
  <c r="I72" i="6"/>
  <c r="R72" i="6" s="1"/>
  <c r="A72" i="6"/>
  <c r="U71" i="6"/>
  <c r="T71" i="6"/>
  <c r="R71" i="6"/>
  <c r="S71" i="6" s="1"/>
  <c r="Q71" i="6"/>
  <c r="P71" i="6"/>
  <c r="O71" i="6"/>
  <c r="N71" i="6"/>
  <c r="K71" i="6"/>
  <c r="M71" i="6" s="1"/>
  <c r="J71" i="6"/>
  <c r="I71" i="6"/>
  <c r="A71" i="6"/>
  <c r="U70" i="6"/>
  <c r="T70" i="6"/>
  <c r="S70" i="6"/>
  <c r="Q70" i="6"/>
  <c r="P70" i="6"/>
  <c r="O70" i="6"/>
  <c r="N70" i="6"/>
  <c r="K70" i="6"/>
  <c r="M70" i="6" s="1"/>
  <c r="J70" i="6"/>
  <c r="I70" i="6"/>
  <c r="R70" i="6" s="1"/>
  <c r="A70" i="6"/>
  <c r="U69" i="6"/>
  <c r="T69" i="6"/>
  <c r="R69" i="6"/>
  <c r="S69" i="6" s="1"/>
  <c r="Q69" i="6"/>
  <c r="P69" i="6"/>
  <c r="O69" i="6"/>
  <c r="N69" i="6"/>
  <c r="K69" i="6"/>
  <c r="J69" i="6" s="1"/>
  <c r="I69" i="6"/>
  <c r="A69" i="6"/>
  <c r="U68" i="6"/>
  <c r="T68" i="6"/>
  <c r="R68" i="6"/>
  <c r="S68" i="6" s="1"/>
  <c r="Q68" i="6"/>
  <c r="P68" i="6"/>
  <c r="O68" i="6"/>
  <c r="N68" i="6"/>
  <c r="M68" i="6"/>
  <c r="K68" i="6"/>
  <c r="J68" i="6"/>
  <c r="I68" i="6"/>
  <c r="A68" i="6"/>
  <c r="U67" i="6"/>
  <c r="T67" i="6"/>
  <c r="R67" i="6"/>
  <c r="S67" i="6" s="1"/>
  <c r="Q67" i="6"/>
  <c r="P67" i="6"/>
  <c r="O67" i="6"/>
  <c r="N67" i="6"/>
  <c r="K67" i="6"/>
  <c r="I67" i="6"/>
  <c r="A67" i="6"/>
  <c r="U66" i="6"/>
  <c r="T66" i="6"/>
  <c r="R66" i="6"/>
  <c r="S66" i="6" s="1"/>
  <c r="Q66" i="6"/>
  <c r="P66" i="6"/>
  <c r="O66" i="6"/>
  <c r="N66" i="6"/>
  <c r="M66" i="6"/>
  <c r="K66" i="6"/>
  <c r="J66" i="6"/>
  <c r="I66" i="6"/>
  <c r="A66" i="6"/>
  <c r="U65" i="6"/>
  <c r="T65" i="6"/>
  <c r="R65" i="6"/>
  <c r="S65" i="6" s="1"/>
  <c r="Q65" i="6"/>
  <c r="P65" i="6"/>
  <c r="O65" i="6"/>
  <c r="N65" i="6"/>
  <c r="K65" i="6"/>
  <c r="I65" i="6"/>
  <c r="A65" i="6"/>
  <c r="U64" i="6"/>
  <c r="T64" i="6"/>
  <c r="R64" i="6"/>
  <c r="S64" i="6" s="1"/>
  <c r="Q64" i="6"/>
  <c r="P64" i="6"/>
  <c r="O64" i="6"/>
  <c r="N64" i="6"/>
  <c r="M64" i="6"/>
  <c r="K64" i="6"/>
  <c r="J64" i="6"/>
  <c r="I64" i="6"/>
  <c r="A64" i="6"/>
  <c r="U63" i="6"/>
  <c r="T63" i="6"/>
  <c r="S63" i="6"/>
  <c r="R63" i="6"/>
  <c r="Q63" i="6"/>
  <c r="P63" i="6"/>
  <c r="O63" i="6"/>
  <c r="N63" i="6"/>
  <c r="K63" i="6"/>
  <c r="M63" i="6" s="1"/>
  <c r="J63" i="6"/>
  <c r="I63" i="6"/>
  <c r="A63" i="6"/>
  <c r="U62" i="6"/>
  <c r="T62" i="6"/>
  <c r="S62" i="6"/>
  <c r="Q62" i="6"/>
  <c r="P62" i="6"/>
  <c r="O62" i="6"/>
  <c r="N62" i="6"/>
  <c r="K62" i="6"/>
  <c r="M62" i="6" s="1"/>
  <c r="J62" i="6"/>
  <c r="I62" i="6"/>
  <c r="R62" i="6" s="1"/>
  <c r="A62" i="6"/>
  <c r="U61" i="6"/>
  <c r="T61" i="6"/>
  <c r="R61" i="6"/>
  <c r="S61" i="6" s="1"/>
  <c r="Q61" i="6"/>
  <c r="P61" i="6"/>
  <c r="O61" i="6"/>
  <c r="N61" i="6"/>
  <c r="K61" i="6"/>
  <c r="M61" i="6" s="1"/>
  <c r="J61" i="6"/>
  <c r="I61" i="6"/>
  <c r="A61" i="6"/>
  <c r="U60" i="6"/>
  <c r="T60" i="6"/>
  <c r="S60" i="6"/>
  <c r="Q60" i="6"/>
  <c r="P60" i="6"/>
  <c r="O60" i="6"/>
  <c r="N60" i="6"/>
  <c r="K60" i="6"/>
  <c r="M60" i="6" s="1"/>
  <c r="J60" i="6"/>
  <c r="I60" i="6"/>
  <c r="R60" i="6" s="1"/>
  <c r="A60" i="6"/>
  <c r="U59" i="6"/>
  <c r="T59" i="6"/>
  <c r="R59" i="6"/>
  <c r="S59" i="6" s="1"/>
  <c r="Q59" i="6"/>
  <c r="P59" i="6"/>
  <c r="O59" i="6"/>
  <c r="N59" i="6"/>
  <c r="K59" i="6"/>
  <c r="M59" i="6" s="1"/>
  <c r="J59" i="6"/>
  <c r="I59" i="6"/>
  <c r="A59" i="6"/>
  <c r="U58" i="6"/>
  <c r="T58" i="6"/>
  <c r="S58" i="6"/>
  <c r="Q58" i="6"/>
  <c r="P58" i="6"/>
  <c r="O58" i="6"/>
  <c r="N58" i="6"/>
  <c r="K58" i="6"/>
  <c r="M58" i="6" s="1"/>
  <c r="J58" i="6"/>
  <c r="I58" i="6"/>
  <c r="R58" i="6" s="1"/>
  <c r="A58" i="6"/>
  <c r="U57" i="6"/>
  <c r="T57" i="6"/>
  <c r="Q57" i="6"/>
  <c r="P57" i="6"/>
  <c r="O57" i="6"/>
  <c r="N57" i="6"/>
  <c r="K57" i="6"/>
  <c r="J57" i="6" s="1"/>
  <c r="I57" i="6"/>
  <c r="R57" i="6" s="1"/>
  <c r="S57" i="6" s="1"/>
  <c r="A57" i="6"/>
  <c r="U56" i="6"/>
  <c r="T56" i="6"/>
  <c r="S56" i="6"/>
  <c r="R56" i="6"/>
  <c r="Q56" i="6"/>
  <c r="P56" i="6"/>
  <c r="O56" i="6"/>
  <c r="N56" i="6"/>
  <c r="M56" i="6"/>
  <c r="K56" i="6"/>
  <c r="J56" i="6"/>
  <c r="I56" i="6"/>
  <c r="A56" i="6"/>
  <c r="U55" i="6"/>
  <c r="T55" i="6"/>
  <c r="Q55" i="6"/>
  <c r="P55" i="6"/>
  <c r="O55" i="6"/>
  <c r="N55" i="6"/>
  <c r="K55" i="6"/>
  <c r="I55" i="6"/>
  <c r="R55" i="6" s="1"/>
  <c r="S55" i="6" s="1"/>
  <c r="A55" i="6"/>
  <c r="U54" i="6"/>
  <c r="T54" i="6"/>
  <c r="S54" i="6"/>
  <c r="R54" i="6"/>
  <c r="Q54" i="6"/>
  <c r="P54" i="6"/>
  <c r="O54" i="6"/>
  <c r="N54" i="6"/>
  <c r="M54" i="6"/>
  <c r="K54" i="6"/>
  <c r="J54" i="6"/>
  <c r="I54" i="6"/>
  <c r="A54" i="6"/>
  <c r="U53" i="6"/>
  <c r="T53" i="6"/>
  <c r="Q53" i="6"/>
  <c r="P53" i="6"/>
  <c r="O53" i="6"/>
  <c r="N53" i="6"/>
  <c r="K53" i="6"/>
  <c r="I53" i="6"/>
  <c r="R53" i="6" s="1"/>
  <c r="S53" i="6" s="1"/>
  <c r="A53" i="6"/>
  <c r="U52" i="6"/>
  <c r="T52" i="6"/>
  <c r="S52" i="6"/>
  <c r="R52" i="6"/>
  <c r="Q52" i="6"/>
  <c r="P52" i="6"/>
  <c r="O52" i="6"/>
  <c r="N52" i="6"/>
  <c r="M52" i="6"/>
  <c r="K52" i="6"/>
  <c r="J52" i="6"/>
  <c r="I52" i="6"/>
  <c r="A52" i="6"/>
  <c r="U51" i="6"/>
  <c r="T51" i="6"/>
  <c r="R51" i="6"/>
  <c r="S51" i="6" s="1"/>
  <c r="Q51" i="6"/>
  <c r="P51" i="6"/>
  <c r="O51" i="6"/>
  <c r="N51" i="6"/>
  <c r="K51" i="6"/>
  <c r="M51" i="6" s="1"/>
  <c r="J51" i="6"/>
  <c r="I51" i="6"/>
  <c r="A51" i="6"/>
  <c r="U50" i="6"/>
  <c r="T50" i="6"/>
  <c r="S50" i="6"/>
  <c r="Q50" i="6"/>
  <c r="P50" i="6"/>
  <c r="O50" i="6"/>
  <c r="N50" i="6"/>
  <c r="K50" i="6"/>
  <c r="M50" i="6" s="1"/>
  <c r="J50" i="6"/>
  <c r="I50" i="6"/>
  <c r="R50" i="6" s="1"/>
  <c r="A50" i="6"/>
  <c r="U49" i="6"/>
  <c r="T49" i="6"/>
  <c r="R49" i="6"/>
  <c r="S49" i="6" s="1"/>
  <c r="Q49" i="6"/>
  <c r="P49" i="6"/>
  <c r="O49" i="6"/>
  <c r="N49" i="6"/>
  <c r="K49" i="6"/>
  <c r="M49" i="6" s="1"/>
  <c r="J49" i="6"/>
  <c r="I49" i="6"/>
  <c r="A49" i="6"/>
  <c r="U48" i="6"/>
  <c r="T48" i="6"/>
  <c r="S48" i="6"/>
  <c r="Q48" i="6"/>
  <c r="P48" i="6"/>
  <c r="O48" i="6"/>
  <c r="N48" i="6"/>
  <c r="K48" i="6"/>
  <c r="M48" i="6" s="1"/>
  <c r="J48" i="6"/>
  <c r="I48" i="6"/>
  <c r="R48" i="6" s="1"/>
  <c r="A48" i="6"/>
  <c r="U47" i="6"/>
  <c r="T47" i="6"/>
  <c r="R47" i="6"/>
  <c r="S47" i="6" s="1"/>
  <c r="Q47" i="6"/>
  <c r="P47" i="6"/>
  <c r="O47" i="6"/>
  <c r="N47" i="6"/>
  <c r="K47" i="6"/>
  <c r="M47" i="6" s="1"/>
  <c r="J47" i="6"/>
  <c r="I47" i="6"/>
  <c r="A47" i="6"/>
  <c r="U46" i="6"/>
  <c r="T46" i="6"/>
  <c r="S46" i="6"/>
  <c r="Q46" i="6"/>
  <c r="P46" i="6"/>
  <c r="O46" i="6"/>
  <c r="N46" i="6"/>
  <c r="K46" i="6"/>
  <c r="M46" i="6" s="1"/>
  <c r="J46" i="6"/>
  <c r="I46" i="6"/>
  <c r="R46" i="6" s="1"/>
  <c r="A46" i="6"/>
  <c r="U45" i="6"/>
  <c r="T45" i="6"/>
  <c r="R45" i="6"/>
  <c r="S45" i="6" s="1"/>
  <c r="Q45" i="6"/>
  <c r="P45" i="6"/>
  <c r="O45" i="6"/>
  <c r="N45" i="6"/>
  <c r="K45" i="6"/>
  <c r="J45" i="6" s="1"/>
  <c r="I45" i="6"/>
  <c r="A45" i="6"/>
  <c r="U44" i="6"/>
  <c r="T44" i="6"/>
  <c r="R44" i="6"/>
  <c r="S44" i="6" s="1"/>
  <c r="Q44" i="6"/>
  <c r="P44" i="6"/>
  <c r="O44" i="6"/>
  <c r="N44" i="6"/>
  <c r="M44" i="6"/>
  <c r="K44" i="6"/>
  <c r="J44" i="6"/>
  <c r="I44" i="6"/>
  <c r="A44" i="6"/>
  <c r="U43" i="6"/>
  <c r="T43" i="6"/>
  <c r="R43" i="6"/>
  <c r="S43" i="6" s="1"/>
  <c r="Q43" i="6"/>
  <c r="P43" i="6"/>
  <c r="O43" i="6"/>
  <c r="N43" i="6"/>
  <c r="K43" i="6"/>
  <c r="I43" i="6"/>
  <c r="A43" i="6"/>
  <c r="U42" i="6"/>
  <c r="T42" i="6"/>
  <c r="R42" i="6"/>
  <c r="S42" i="6" s="1"/>
  <c r="Q42" i="6"/>
  <c r="P42" i="6"/>
  <c r="O42" i="6"/>
  <c r="N42" i="6"/>
  <c r="M42" i="6"/>
  <c r="K42" i="6"/>
  <c r="J42" i="6"/>
  <c r="I42" i="6"/>
  <c r="A42" i="6"/>
  <c r="U41" i="6"/>
  <c r="T41" i="6"/>
  <c r="S41" i="6"/>
  <c r="R41" i="6"/>
  <c r="Q41" i="6"/>
  <c r="P41" i="6"/>
  <c r="O41" i="6"/>
  <c r="N41" i="6"/>
  <c r="K41" i="6"/>
  <c r="I41" i="6"/>
  <c r="A41" i="6"/>
  <c r="U40" i="6"/>
  <c r="T40" i="6"/>
  <c r="R40" i="6"/>
  <c r="S40" i="6" s="1"/>
  <c r="Q40" i="6"/>
  <c r="P40" i="6"/>
  <c r="O40" i="6"/>
  <c r="N40" i="6"/>
  <c r="M40" i="6"/>
  <c r="K40" i="6"/>
  <c r="J40" i="6"/>
  <c r="I40" i="6"/>
  <c r="A40" i="6"/>
  <c r="U39" i="6"/>
  <c r="T39" i="6"/>
  <c r="R39" i="6"/>
  <c r="S39" i="6" s="1"/>
  <c r="Q39" i="6"/>
  <c r="P39" i="6"/>
  <c r="O39" i="6"/>
  <c r="N39" i="6"/>
  <c r="K39" i="6"/>
  <c r="M39" i="6" s="1"/>
  <c r="J39" i="6"/>
  <c r="I39" i="6"/>
  <c r="A39" i="6"/>
  <c r="U38" i="6"/>
  <c r="T38" i="6"/>
  <c r="S38" i="6"/>
  <c r="Q38" i="6"/>
  <c r="P38" i="6"/>
  <c r="O38" i="6"/>
  <c r="N38" i="6"/>
  <c r="K38" i="6"/>
  <c r="M38" i="6" s="1"/>
  <c r="J38" i="6"/>
  <c r="I38" i="6"/>
  <c r="R38" i="6" s="1"/>
  <c r="A38" i="6"/>
  <c r="U37" i="6"/>
  <c r="T37" i="6"/>
  <c r="R37" i="6"/>
  <c r="S37" i="6" s="1"/>
  <c r="Q37" i="6"/>
  <c r="P37" i="6"/>
  <c r="O37" i="6"/>
  <c r="N37" i="6"/>
  <c r="K37" i="6"/>
  <c r="M37" i="6" s="1"/>
  <c r="J37" i="6"/>
  <c r="I37" i="6"/>
  <c r="A37" i="6"/>
  <c r="U36" i="6"/>
  <c r="T36" i="6"/>
  <c r="S36" i="6"/>
  <c r="Q36" i="6"/>
  <c r="P36" i="6"/>
  <c r="O36" i="6"/>
  <c r="N36" i="6"/>
  <c r="K36" i="6"/>
  <c r="M36" i="6" s="1"/>
  <c r="J36" i="6"/>
  <c r="I36" i="6"/>
  <c r="R36" i="6" s="1"/>
  <c r="A36" i="6"/>
  <c r="U35" i="6"/>
  <c r="T35" i="6"/>
  <c r="R35" i="6"/>
  <c r="S35" i="6" s="1"/>
  <c r="Q35" i="6"/>
  <c r="P35" i="6"/>
  <c r="O35" i="6"/>
  <c r="N35" i="6"/>
  <c r="K35" i="6"/>
  <c r="M35" i="6" s="1"/>
  <c r="J35" i="6"/>
  <c r="I35" i="6"/>
  <c r="A35" i="6"/>
  <c r="U34" i="6"/>
  <c r="T34" i="6"/>
  <c r="R34" i="6"/>
  <c r="S34" i="6" s="1"/>
  <c r="Q34" i="6"/>
  <c r="P34" i="6"/>
  <c r="O34" i="6"/>
  <c r="N34" i="6"/>
  <c r="K34" i="6"/>
  <c r="I34" i="6"/>
  <c r="A34" i="6"/>
  <c r="U33" i="6"/>
  <c r="T33" i="6"/>
  <c r="Q33" i="6"/>
  <c r="P33" i="6"/>
  <c r="O33" i="6"/>
  <c r="N33" i="6"/>
  <c r="M33" i="6"/>
  <c r="K33" i="6"/>
  <c r="J33" i="6"/>
  <c r="I33" i="6"/>
  <c r="R33" i="6" s="1"/>
  <c r="S33" i="6" s="1"/>
  <c r="A33" i="6"/>
  <c r="U32" i="6"/>
  <c r="T32" i="6"/>
  <c r="S32" i="6"/>
  <c r="R32" i="6"/>
  <c r="Q32" i="6"/>
  <c r="P32" i="6"/>
  <c r="O32" i="6"/>
  <c r="N32" i="6"/>
  <c r="K32" i="6"/>
  <c r="M32" i="6" s="1"/>
  <c r="J32" i="6"/>
  <c r="I32" i="6"/>
  <c r="A32" i="6"/>
  <c r="U31" i="6"/>
  <c r="T31" i="6"/>
  <c r="Q31" i="6"/>
  <c r="P31" i="6"/>
  <c r="O31" i="6"/>
  <c r="N31" i="6"/>
  <c r="M31" i="6"/>
  <c r="K31" i="6"/>
  <c r="J31" i="6" s="1"/>
  <c r="I31" i="6"/>
  <c r="R31" i="6" s="1"/>
  <c r="S31" i="6" s="1"/>
  <c r="A31" i="6"/>
  <c r="U30" i="6"/>
  <c r="T30" i="6"/>
  <c r="Q30" i="6"/>
  <c r="P30" i="6"/>
  <c r="O30" i="6"/>
  <c r="N30" i="6"/>
  <c r="M30" i="6"/>
  <c r="K30" i="6"/>
  <c r="J30" i="6"/>
  <c r="I30" i="6"/>
  <c r="R30" i="6" s="1"/>
  <c r="S30" i="6" s="1"/>
  <c r="A30" i="6"/>
  <c r="U29" i="6"/>
  <c r="T29" i="6"/>
  <c r="Q29" i="6"/>
  <c r="P29" i="6"/>
  <c r="O29" i="6"/>
  <c r="N29" i="6"/>
  <c r="M29" i="6"/>
  <c r="K29" i="6"/>
  <c r="J29" i="6" s="1"/>
  <c r="I29" i="6"/>
  <c r="R29" i="6" s="1"/>
  <c r="S29" i="6" s="1"/>
  <c r="A29" i="6"/>
  <c r="U28" i="6"/>
  <c r="T28" i="6"/>
  <c r="Q28" i="6"/>
  <c r="P28" i="6"/>
  <c r="O28" i="6"/>
  <c r="N28" i="6"/>
  <c r="K28" i="6"/>
  <c r="I28" i="6"/>
  <c r="R28" i="6" s="1"/>
  <c r="S28" i="6" s="1"/>
  <c r="A28" i="6"/>
  <c r="U27" i="6"/>
  <c r="T27" i="6"/>
  <c r="R27" i="6"/>
  <c r="S27" i="6" s="1"/>
  <c r="Q27" i="6"/>
  <c r="P27" i="6"/>
  <c r="O27" i="6"/>
  <c r="N27" i="6"/>
  <c r="K27" i="6"/>
  <c r="M27" i="6" s="1"/>
  <c r="J27" i="6"/>
  <c r="I27" i="6"/>
  <c r="A27" i="6"/>
  <c r="U26" i="6"/>
  <c r="T26" i="6"/>
  <c r="Q26" i="6"/>
  <c r="P26" i="6"/>
  <c r="O26" i="6"/>
  <c r="N26" i="6"/>
  <c r="K26" i="6"/>
  <c r="I26" i="6"/>
  <c r="R26" i="6" s="1"/>
  <c r="S26" i="6" s="1"/>
  <c r="A26" i="6"/>
  <c r="U25" i="6"/>
  <c r="T25" i="6"/>
  <c r="R25" i="6"/>
  <c r="S25" i="6" s="1"/>
  <c r="Q25" i="6"/>
  <c r="P25" i="6"/>
  <c r="O25" i="6"/>
  <c r="N25" i="6"/>
  <c r="M25" i="6"/>
  <c r="K25" i="6"/>
  <c r="J25" i="6"/>
  <c r="I25" i="6"/>
  <c r="A25" i="6"/>
  <c r="U24" i="6"/>
  <c r="T24" i="6"/>
  <c r="S24" i="6"/>
  <c r="R24" i="6"/>
  <c r="Q24" i="6"/>
  <c r="P24" i="6"/>
  <c r="O24" i="6"/>
  <c r="N24" i="6"/>
  <c r="K24" i="6"/>
  <c r="I24" i="6"/>
  <c r="A24" i="6"/>
  <c r="U23" i="6"/>
  <c r="T23" i="6"/>
  <c r="Q23" i="6"/>
  <c r="P23" i="6"/>
  <c r="O23" i="6"/>
  <c r="N23" i="6"/>
  <c r="M23" i="6"/>
  <c r="K23" i="6"/>
  <c r="J23" i="6"/>
  <c r="I23" i="6"/>
  <c r="R23" i="6" s="1"/>
  <c r="S23" i="6" s="1"/>
  <c r="A23" i="6"/>
  <c r="U22" i="6"/>
  <c r="T22" i="6"/>
  <c r="S22" i="6"/>
  <c r="R22" i="6"/>
  <c r="Q22" i="6"/>
  <c r="P22" i="6"/>
  <c r="O22" i="6"/>
  <c r="N22" i="6"/>
  <c r="K22" i="6"/>
  <c r="M22" i="6" s="1"/>
  <c r="J22" i="6"/>
  <c r="I22" i="6"/>
  <c r="A22" i="6"/>
  <c r="U21" i="6"/>
  <c r="T21" i="6"/>
  <c r="Q21" i="6"/>
  <c r="P21" i="6"/>
  <c r="O21" i="6"/>
  <c r="N21" i="6"/>
  <c r="K21" i="6"/>
  <c r="I21" i="6"/>
  <c r="R21" i="6" s="1"/>
  <c r="S21" i="6" s="1"/>
  <c r="A21" i="6"/>
  <c r="U20" i="6"/>
  <c r="T20" i="6"/>
  <c r="S20" i="6"/>
  <c r="Q20" i="6"/>
  <c r="P20" i="6"/>
  <c r="O20" i="6"/>
  <c r="N20" i="6"/>
  <c r="M20" i="6"/>
  <c r="K20" i="6"/>
  <c r="J20" i="6"/>
  <c r="I20" i="6"/>
  <c r="R20" i="6" s="1"/>
  <c r="A20" i="6"/>
  <c r="U19" i="6"/>
  <c r="T19" i="6"/>
  <c r="Q19" i="6"/>
  <c r="P19" i="6"/>
  <c r="O19" i="6"/>
  <c r="N19" i="6"/>
  <c r="K19" i="6"/>
  <c r="M19" i="6" s="1"/>
  <c r="J19" i="6"/>
  <c r="I19" i="6"/>
  <c r="R19" i="6" s="1"/>
  <c r="S19" i="6" s="1"/>
  <c r="A19" i="6"/>
  <c r="U18" i="6"/>
  <c r="T18" i="6"/>
  <c r="Q18" i="6"/>
  <c r="P18" i="6"/>
  <c r="O18" i="6"/>
  <c r="N18" i="6"/>
  <c r="M18" i="6"/>
  <c r="K18" i="6"/>
  <c r="J18" i="6"/>
  <c r="I18" i="6"/>
  <c r="R18" i="6" s="1"/>
  <c r="S18" i="6" s="1"/>
  <c r="A18" i="6"/>
  <c r="U17" i="6"/>
  <c r="T17" i="6"/>
  <c r="Q17" i="6"/>
  <c r="P17" i="6"/>
  <c r="O17" i="6"/>
  <c r="N17" i="6"/>
  <c r="M17" i="6"/>
  <c r="K17" i="6"/>
  <c r="J17" i="6"/>
  <c r="I17" i="6"/>
  <c r="R17" i="6" s="1"/>
  <c r="S17" i="6" s="1"/>
  <c r="A17" i="6"/>
  <c r="T16" i="6"/>
  <c r="O16" i="6"/>
  <c r="A16" i="6"/>
  <c r="O15" i="6"/>
  <c r="U15" i="6" s="1"/>
  <c r="A15" i="6"/>
  <c r="T14" i="6"/>
  <c r="O14" i="6"/>
  <c r="N14" i="6" s="1"/>
  <c r="A14" i="6"/>
  <c r="T13" i="6"/>
  <c r="O13" i="6"/>
  <c r="U13" i="6" s="1"/>
  <c r="N13" i="6"/>
  <c r="A13" i="6"/>
  <c r="U12" i="6"/>
  <c r="O12" i="6"/>
  <c r="A12" i="6"/>
  <c r="T12" i="6" s="1"/>
  <c r="T11" i="6"/>
  <c r="P11" i="6"/>
  <c r="O11" i="6"/>
  <c r="A11" i="6"/>
  <c r="U10" i="6"/>
  <c r="T10" i="6"/>
  <c r="O10" i="6"/>
  <c r="N10" i="6"/>
  <c r="A10" i="6"/>
  <c r="T9" i="6"/>
  <c r="O9" i="6"/>
  <c r="A9" i="6"/>
  <c r="U8" i="6"/>
  <c r="O8" i="6"/>
  <c r="N8" i="6"/>
  <c r="A8" i="6"/>
  <c r="U7" i="6"/>
  <c r="T7" i="6"/>
  <c r="O7" i="6"/>
  <c r="N7" i="6"/>
  <c r="A7" i="6"/>
  <c r="T6" i="6"/>
  <c r="P6" i="6"/>
  <c r="O6" i="6"/>
  <c r="N6" i="6" s="1"/>
  <c r="A6" i="6"/>
  <c r="U5" i="6"/>
  <c r="O5" i="6"/>
  <c r="N5" i="6"/>
  <c r="A5" i="6"/>
  <c r="T5" i="6" s="1"/>
  <c r="T4" i="6"/>
  <c r="O4" i="6"/>
  <c r="N4" i="6" s="1"/>
  <c r="A4" i="6"/>
  <c r="AD503" i="5"/>
  <c r="X503" i="5"/>
  <c r="W503" i="5"/>
  <c r="V503" i="5"/>
  <c r="U503" i="5"/>
  <c r="T503" i="5"/>
  <c r="S503" i="5"/>
  <c r="R503" i="5"/>
  <c r="M503" i="5"/>
  <c r="K503" i="5"/>
  <c r="AB503" i="5" s="1"/>
  <c r="AC503" i="5" s="1"/>
  <c r="J503" i="5"/>
  <c r="A503" i="5"/>
  <c r="AD502" i="5"/>
  <c r="AC502" i="5"/>
  <c r="AB502" i="5"/>
  <c r="X502" i="5"/>
  <c r="W502" i="5"/>
  <c r="V502" i="5"/>
  <c r="U502" i="5"/>
  <c r="T502" i="5"/>
  <c r="S502" i="5"/>
  <c r="R502" i="5"/>
  <c r="Q502" i="5"/>
  <c r="P502" i="5"/>
  <c r="M502" i="5"/>
  <c r="AA502" i="5" s="1"/>
  <c r="L502" i="5"/>
  <c r="K502" i="5"/>
  <c r="J502" i="5"/>
  <c r="A502" i="5"/>
  <c r="AC501" i="5"/>
  <c r="AB501" i="5"/>
  <c r="AA501" i="5"/>
  <c r="V501" i="5"/>
  <c r="U501" i="5"/>
  <c r="T501" i="5"/>
  <c r="S501" i="5"/>
  <c r="R501" i="5"/>
  <c r="Q501" i="5"/>
  <c r="P501" i="5"/>
  <c r="M501" i="5"/>
  <c r="AD501" i="5" s="1"/>
  <c r="L501" i="5"/>
  <c r="K501" i="5"/>
  <c r="J501" i="5"/>
  <c r="A501" i="5"/>
  <c r="AB500" i="5"/>
  <c r="AC500" i="5" s="1"/>
  <c r="AA500" i="5"/>
  <c r="V500" i="5"/>
  <c r="U500" i="5"/>
  <c r="T500" i="5"/>
  <c r="S500" i="5"/>
  <c r="R500" i="5"/>
  <c r="M500" i="5"/>
  <c r="AD500" i="5" s="1"/>
  <c r="K500" i="5"/>
  <c r="J500" i="5"/>
  <c r="A500" i="5"/>
  <c r="AD499" i="5"/>
  <c r="AB499" i="5"/>
  <c r="AC499" i="5" s="1"/>
  <c r="X499" i="5"/>
  <c r="W499" i="5"/>
  <c r="V499" i="5"/>
  <c r="U499" i="5"/>
  <c r="T499" i="5"/>
  <c r="S499" i="5"/>
  <c r="R499" i="5"/>
  <c r="Q499" i="5"/>
  <c r="P499" i="5"/>
  <c r="M499" i="5"/>
  <c r="AA499" i="5" s="1"/>
  <c r="L499" i="5"/>
  <c r="K499" i="5"/>
  <c r="J499" i="5"/>
  <c r="A499" i="5"/>
  <c r="AA498" i="5"/>
  <c r="X498" i="5"/>
  <c r="V498" i="5"/>
  <c r="W498" i="5" s="1"/>
  <c r="U498" i="5"/>
  <c r="T498" i="5"/>
  <c r="S498" i="5"/>
  <c r="R498" i="5"/>
  <c r="M498" i="5"/>
  <c r="AD498" i="5" s="1"/>
  <c r="L498" i="5"/>
  <c r="K498" i="5"/>
  <c r="AB498" i="5" s="1"/>
  <c r="AC498" i="5" s="1"/>
  <c r="J498" i="5"/>
  <c r="A498" i="5"/>
  <c r="AB497" i="5"/>
  <c r="AC497" i="5" s="1"/>
  <c r="AA497" i="5"/>
  <c r="X497" i="5"/>
  <c r="W497" i="5"/>
  <c r="V497" i="5"/>
  <c r="U497" i="5"/>
  <c r="T497" i="5"/>
  <c r="S497" i="5"/>
  <c r="R497" i="5"/>
  <c r="P497" i="5"/>
  <c r="M497" i="5"/>
  <c r="AD497" i="5" s="1"/>
  <c r="K497" i="5"/>
  <c r="J497" i="5"/>
  <c r="A497" i="5"/>
  <c r="AD496" i="5"/>
  <c r="AC496" i="5"/>
  <c r="AB496" i="5"/>
  <c r="X496" i="5"/>
  <c r="W496" i="5"/>
  <c r="V496" i="5"/>
  <c r="U496" i="5"/>
  <c r="T496" i="5"/>
  <c r="S496" i="5"/>
  <c r="R496" i="5"/>
  <c r="Q496" i="5"/>
  <c r="P496" i="5"/>
  <c r="M496" i="5"/>
  <c r="AA496" i="5" s="1"/>
  <c r="L496" i="5"/>
  <c r="K496" i="5"/>
  <c r="J496" i="5"/>
  <c r="A496" i="5"/>
  <c r="AC495" i="5"/>
  <c r="AB495" i="5"/>
  <c r="V495" i="5"/>
  <c r="U495" i="5"/>
  <c r="T495" i="5"/>
  <c r="S495" i="5"/>
  <c r="R495" i="5"/>
  <c r="Q495" i="5"/>
  <c r="P495" i="5"/>
  <c r="M495" i="5"/>
  <c r="L495" i="5" s="1"/>
  <c r="K495" i="5"/>
  <c r="J495" i="5"/>
  <c r="A495" i="5"/>
  <c r="V494" i="5"/>
  <c r="U494" i="5"/>
  <c r="T494" i="5"/>
  <c r="S494" i="5"/>
  <c r="R494" i="5"/>
  <c r="M494" i="5"/>
  <c r="K494" i="5"/>
  <c r="AB494" i="5" s="1"/>
  <c r="AC494" i="5" s="1"/>
  <c r="J494" i="5"/>
  <c r="A494" i="5"/>
  <c r="AD493" i="5"/>
  <c r="AB493" i="5"/>
  <c r="AC493" i="5" s="1"/>
  <c r="X493" i="5"/>
  <c r="W493" i="5"/>
  <c r="V493" i="5"/>
  <c r="U493" i="5"/>
  <c r="T493" i="5"/>
  <c r="S493" i="5"/>
  <c r="R493" i="5"/>
  <c r="Q493" i="5"/>
  <c r="P493" i="5"/>
  <c r="M493" i="5"/>
  <c r="AA493" i="5" s="1"/>
  <c r="L493" i="5"/>
  <c r="K493" i="5"/>
  <c r="J493" i="5"/>
  <c r="A493" i="5"/>
  <c r="AC492" i="5"/>
  <c r="AB492" i="5"/>
  <c r="AA492" i="5"/>
  <c r="V492" i="5"/>
  <c r="U492" i="5"/>
  <c r="T492" i="5"/>
  <c r="S492" i="5"/>
  <c r="R492" i="5"/>
  <c r="Q492" i="5"/>
  <c r="P492" i="5"/>
  <c r="M492" i="5"/>
  <c r="AD492" i="5" s="1"/>
  <c r="L492" i="5"/>
  <c r="K492" i="5"/>
  <c r="J492" i="5"/>
  <c r="A492" i="5"/>
  <c r="V491" i="5"/>
  <c r="U491" i="5"/>
  <c r="T491" i="5"/>
  <c r="S491" i="5"/>
  <c r="R491" i="5"/>
  <c r="M491" i="5"/>
  <c r="K491" i="5"/>
  <c r="AB491" i="5" s="1"/>
  <c r="AC491" i="5" s="1"/>
  <c r="J491" i="5"/>
  <c r="A491" i="5"/>
  <c r="AD490" i="5"/>
  <c r="AB490" i="5"/>
  <c r="AC490" i="5" s="1"/>
  <c r="X490" i="5"/>
  <c r="W490" i="5"/>
  <c r="V490" i="5"/>
  <c r="U490" i="5"/>
  <c r="T490" i="5"/>
  <c r="S490" i="5"/>
  <c r="R490" i="5"/>
  <c r="Q490" i="5"/>
  <c r="P490" i="5"/>
  <c r="M490" i="5"/>
  <c r="AA490" i="5" s="1"/>
  <c r="L490" i="5"/>
  <c r="K490" i="5"/>
  <c r="J490" i="5"/>
  <c r="A490" i="5"/>
  <c r="AA489" i="5"/>
  <c r="X489" i="5"/>
  <c r="V489" i="5"/>
  <c r="W489" i="5" s="1"/>
  <c r="U489" i="5"/>
  <c r="T489" i="5"/>
  <c r="S489" i="5"/>
  <c r="R489" i="5"/>
  <c r="M489" i="5"/>
  <c r="AD489" i="5" s="1"/>
  <c r="L489" i="5"/>
  <c r="K489" i="5"/>
  <c r="AB489" i="5" s="1"/>
  <c r="AC489" i="5" s="1"/>
  <c r="J489" i="5"/>
  <c r="A489" i="5"/>
  <c r="AB488" i="5"/>
  <c r="AC488" i="5" s="1"/>
  <c r="X488" i="5"/>
  <c r="W488" i="5"/>
  <c r="V488" i="5"/>
  <c r="U488" i="5"/>
  <c r="T488" i="5"/>
  <c r="S488" i="5"/>
  <c r="R488" i="5"/>
  <c r="M488" i="5"/>
  <c r="AD488" i="5" s="1"/>
  <c r="K488" i="5"/>
  <c r="J488" i="5"/>
  <c r="A488" i="5"/>
  <c r="AD487" i="5"/>
  <c r="AC487" i="5"/>
  <c r="AB487" i="5"/>
  <c r="X487" i="5"/>
  <c r="W487" i="5"/>
  <c r="V487" i="5"/>
  <c r="U487" i="5"/>
  <c r="T487" i="5"/>
  <c r="S487" i="5"/>
  <c r="R487" i="5"/>
  <c r="Q487" i="5"/>
  <c r="P487" i="5"/>
  <c r="M487" i="5"/>
  <c r="AA487" i="5" s="1"/>
  <c r="L487" i="5"/>
  <c r="K487" i="5"/>
  <c r="J487" i="5"/>
  <c r="A487" i="5"/>
  <c r="V486" i="5"/>
  <c r="U486" i="5"/>
  <c r="T486" i="5"/>
  <c r="S486" i="5"/>
  <c r="R486" i="5"/>
  <c r="M486" i="5"/>
  <c r="K486" i="5"/>
  <c r="AB486" i="5" s="1"/>
  <c r="AC486" i="5" s="1"/>
  <c r="J486" i="5"/>
  <c r="A486" i="5"/>
  <c r="X485" i="5"/>
  <c r="W485" i="5"/>
  <c r="V485" i="5"/>
  <c r="U485" i="5"/>
  <c r="T485" i="5"/>
  <c r="S485" i="5"/>
  <c r="R485" i="5"/>
  <c r="M485" i="5"/>
  <c r="K485" i="5"/>
  <c r="AB485" i="5" s="1"/>
  <c r="AC485" i="5" s="1"/>
  <c r="J485" i="5"/>
  <c r="A485" i="5"/>
  <c r="AD484" i="5"/>
  <c r="AC484" i="5"/>
  <c r="AB484" i="5"/>
  <c r="X484" i="5"/>
  <c r="Y484" i="5" s="1"/>
  <c r="W484" i="5"/>
  <c r="V484" i="5"/>
  <c r="U484" i="5"/>
  <c r="T484" i="5"/>
  <c r="S484" i="5"/>
  <c r="R484" i="5"/>
  <c r="Q484" i="5"/>
  <c r="P484" i="5"/>
  <c r="M484" i="5"/>
  <c r="AA484" i="5" s="1"/>
  <c r="L484" i="5"/>
  <c r="K484" i="5"/>
  <c r="J484" i="5"/>
  <c r="A484" i="5"/>
  <c r="AC483" i="5"/>
  <c r="AB483" i="5"/>
  <c r="AA483" i="5"/>
  <c r="V483" i="5"/>
  <c r="U483" i="5"/>
  <c r="T483" i="5"/>
  <c r="S483" i="5"/>
  <c r="R483" i="5"/>
  <c r="Q483" i="5"/>
  <c r="P483" i="5"/>
  <c r="M483" i="5"/>
  <c r="AD483" i="5" s="1"/>
  <c r="L483" i="5"/>
  <c r="K483" i="5"/>
  <c r="J483" i="5"/>
  <c r="A483" i="5"/>
  <c r="AD482" i="5"/>
  <c r="Y482" i="5"/>
  <c r="X482" i="5"/>
  <c r="W482" i="5"/>
  <c r="V482" i="5"/>
  <c r="U482" i="5"/>
  <c r="T482" i="5"/>
  <c r="S482" i="5"/>
  <c r="R482" i="5"/>
  <c r="M482" i="5"/>
  <c r="K482" i="5"/>
  <c r="AB482" i="5" s="1"/>
  <c r="AC482" i="5" s="1"/>
  <c r="J482" i="5"/>
  <c r="A482" i="5"/>
  <c r="AD481" i="5"/>
  <c r="AC481" i="5"/>
  <c r="AB481" i="5"/>
  <c r="X481" i="5"/>
  <c r="W481" i="5"/>
  <c r="V481" i="5"/>
  <c r="U481" i="5"/>
  <c r="T481" i="5"/>
  <c r="S481" i="5"/>
  <c r="R481" i="5"/>
  <c r="Q481" i="5"/>
  <c r="P481" i="5"/>
  <c r="M481" i="5"/>
  <c r="AA481" i="5" s="1"/>
  <c r="L481" i="5"/>
  <c r="K481" i="5"/>
  <c r="J481" i="5"/>
  <c r="A481" i="5"/>
  <c r="AA480" i="5"/>
  <c r="X480" i="5"/>
  <c r="V480" i="5"/>
  <c r="W480" i="5" s="1"/>
  <c r="U480" i="5"/>
  <c r="T480" i="5"/>
  <c r="S480" i="5"/>
  <c r="R480" i="5"/>
  <c r="M480" i="5"/>
  <c r="AD480" i="5" s="1"/>
  <c r="L480" i="5"/>
  <c r="K480" i="5"/>
  <c r="AB480" i="5" s="1"/>
  <c r="AC480" i="5" s="1"/>
  <c r="J480" i="5"/>
  <c r="A480" i="5"/>
  <c r="AD479" i="5"/>
  <c r="AB479" i="5"/>
  <c r="AC479" i="5" s="1"/>
  <c r="AA479" i="5"/>
  <c r="X479" i="5"/>
  <c r="W479" i="5"/>
  <c r="V479" i="5"/>
  <c r="U479" i="5"/>
  <c r="T479" i="5"/>
  <c r="S479" i="5"/>
  <c r="R479" i="5"/>
  <c r="M479" i="5"/>
  <c r="K479" i="5"/>
  <c r="J479" i="5"/>
  <c r="A479" i="5"/>
  <c r="AD478" i="5"/>
  <c r="AC478" i="5"/>
  <c r="AB478" i="5"/>
  <c r="AA478" i="5"/>
  <c r="Z478" i="5"/>
  <c r="X478" i="5"/>
  <c r="Y478" i="5" s="1"/>
  <c r="W478" i="5"/>
  <c r="V478" i="5"/>
  <c r="U478" i="5"/>
  <c r="T478" i="5"/>
  <c r="S478" i="5"/>
  <c r="R478" i="5"/>
  <c r="Q478" i="5"/>
  <c r="P478" i="5"/>
  <c r="M478" i="5"/>
  <c r="L478" i="5"/>
  <c r="K478" i="5"/>
  <c r="J478" i="5"/>
  <c r="A478" i="5"/>
  <c r="AB477" i="5"/>
  <c r="AC477" i="5" s="1"/>
  <c r="AA477" i="5"/>
  <c r="Z477" i="5"/>
  <c r="X477" i="5"/>
  <c r="Y477" i="5" s="1"/>
  <c r="W477" i="5"/>
  <c r="V477" i="5"/>
  <c r="U477" i="5"/>
  <c r="T477" i="5"/>
  <c r="S477" i="5"/>
  <c r="R477" i="5"/>
  <c r="Q477" i="5"/>
  <c r="M477" i="5"/>
  <c r="AD477" i="5" s="1"/>
  <c r="L477" i="5"/>
  <c r="K477" i="5"/>
  <c r="J477" i="5"/>
  <c r="A477" i="5"/>
  <c r="AA476" i="5"/>
  <c r="Y476" i="5"/>
  <c r="X476" i="5"/>
  <c r="W476" i="5"/>
  <c r="V476" i="5"/>
  <c r="U476" i="5"/>
  <c r="T476" i="5"/>
  <c r="S476" i="5"/>
  <c r="R476" i="5"/>
  <c r="P476" i="5"/>
  <c r="M476" i="5"/>
  <c r="K476" i="5"/>
  <c r="AB476" i="5" s="1"/>
  <c r="AC476" i="5" s="1"/>
  <c r="J476" i="5"/>
  <c r="A476" i="5"/>
  <c r="AD475" i="5"/>
  <c r="AC475" i="5"/>
  <c r="AB475" i="5"/>
  <c r="AA475" i="5"/>
  <c r="Z475" i="5"/>
  <c r="X475" i="5"/>
  <c r="Y475" i="5" s="1"/>
  <c r="W475" i="5"/>
  <c r="V475" i="5"/>
  <c r="U475" i="5"/>
  <c r="T475" i="5"/>
  <c r="S475" i="5"/>
  <c r="R475" i="5"/>
  <c r="Q475" i="5"/>
  <c r="P475" i="5"/>
  <c r="M475" i="5"/>
  <c r="L475" i="5"/>
  <c r="K475" i="5"/>
  <c r="J475" i="5"/>
  <c r="A475" i="5"/>
  <c r="V474" i="5"/>
  <c r="X474" i="5" s="1"/>
  <c r="U474" i="5"/>
  <c r="T474" i="5"/>
  <c r="S474" i="5"/>
  <c r="R474" i="5"/>
  <c r="M474" i="5"/>
  <c r="AD474" i="5" s="1"/>
  <c r="L474" i="5"/>
  <c r="K474" i="5"/>
  <c r="AB474" i="5" s="1"/>
  <c r="AC474" i="5" s="1"/>
  <c r="J474" i="5"/>
  <c r="A474" i="5"/>
  <c r="AB473" i="5"/>
  <c r="AC473" i="5" s="1"/>
  <c r="X473" i="5"/>
  <c r="W473" i="5"/>
  <c r="V473" i="5"/>
  <c r="U473" i="5"/>
  <c r="T473" i="5"/>
  <c r="S473" i="5"/>
  <c r="R473" i="5"/>
  <c r="M473" i="5"/>
  <c r="K473" i="5"/>
  <c r="J473" i="5"/>
  <c r="A473" i="5"/>
  <c r="AD472" i="5"/>
  <c r="AC472" i="5"/>
  <c r="AB472" i="5"/>
  <c r="AA472" i="5"/>
  <c r="X472" i="5"/>
  <c r="Y472" i="5" s="1"/>
  <c r="W472" i="5"/>
  <c r="V472" i="5"/>
  <c r="U472" i="5"/>
  <c r="T472" i="5"/>
  <c r="S472" i="5"/>
  <c r="R472" i="5"/>
  <c r="Q472" i="5"/>
  <c r="P472" i="5"/>
  <c r="M472" i="5"/>
  <c r="L472" i="5"/>
  <c r="K472" i="5"/>
  <c r="J472" i="5"/>
  <c r="A472" i="5"/>
  <c r="AB471" i="5"/>
  <c r="AC471" i="5" s="1"/>
  <c r="AA471" i="5"/>
  <c r="X471" i="5"/>
  <c r="W471" i="5"/>
  <c r="V471" i="5"/>
  <c r="U471" i="5"/>
  <c r="T471" i="5"/>
  <c r="S471" i="5"/>
  <c r="R471" i="5"/>
  <c r="M471" i="5"/>
  <c r="L471" i="5" s="1"/>
  <c r="K471" i="5"/>
  <c r="J471" i="5"/>
  <c r="A471" i="5"/>
  <c r="AA470" i="5"/>
  <c r="V470" i="5"/>
  <c r="U470" i="5"/>
  <c r="T470" i="5"/>
  <c r="S470" i="5"/>
  <c r="R470" i="5"/>
  <c r="M470" i="5"/>
  <c r="Q470" i="5" s="1"/>
  <c r="L470" i="5"/>
  <c r="K470" i="5"/>
  <c r="AB470" i="5" s="1"/>
  <c r="AC470" i="5" s="1"/>
  <c r="J470" i="5"/>
  <c r="A470" i="5"/>
  <c r="AB469" i="5"/>
  <c r="AC469" i="5" s="1"/>
  <c r="Z469" i="5"/>
  <c r="V469" i="5"/>
  <c r="X469" i="5" s="1"/>
  <c r="Y469" i="5" s="1"/>
  <c r="U469" i="5"/>
  <c r="T469" i="5"/>
  <c r="S469" i="5"/>
  <c r="R469" i="5"/>
  <c r="M469" i="5"/>
  <c r="AD469" i="5" s="1"/>
  <c r="K469" i="5"/>
  <c r="J469" i="5"/>
  <c r="A469" i="5"/>
  <c r="AB468" i="5"/>
  <c r="AC468" i="5" s="1"/>
  <c r="Z468" i="5"/>
  <c r="Y468" i="5"/>
  <c r="X468" i="5"/>
  <c r="W468" i="5"/>
  <c r="V468" i="5"/>
  <c r="U468" i="5"/>
  <c r="T468" i="5"/>
  <c r="S468" i="5"/>
  <c r="R468" i="5"/>
  <c r="P468" i="5"/>
  <c r="M468" i="5"/>
  <c r="K468" i="5"/>
  <c r="J468" i="5"/>
  <c r="A468" i="5"/>
  <c r="AB467" i="5"/>
  <c r="AC467" i="5" s="1"/>
  <c r="X467" i="5"/>
  <c r="V467" i="5"/>
  <c r="W467" i="5" s="1"/>
  <c r="U467" i="5"/>
  <c r="T467" i="5"/>
  <c r="S467" i="5"/>
  <c r="R467" i="5"/>
  <c r="M467" i="5"/>
  <c r="K467" i="5"/>
  <c r="J467" i="5"/>
  <c r="A467" i="5"/>
  <c r="AC466" i="5"/>
  <c r="AB466" i="5"/>
  <c r="V466" i="5"/>
  <c r="U466" i="5"/>
  <c r="T466" i="5"/>
  <c r="S466" i="5"/>
  <c r="R466" i="5"/>
  <c r="M466" i="5"/>
  <c r="Q466" i="5" s="1"/>
  <c r="K466" i="5"/>
  <c r="J466" i="5"/>
  <c r="A466" i="5"/>
  <c r="AD465" i="5"/>
  <c r="X465" i="5"/>
  <c r="W465" i="5"/>
  <c r="V465" i="5"/>
  <c r="U465" i="5"/>
  <c r="T465" i="5"/>
  <c r="S465" i="5"/>
  <c r="R465" i="5"/>
  <c r="M465" i="5"/>
  <c r="Q465" i="5" s="1"/>
  <c r="L465" i="5"/>
  <c r="K465" i="5"/>
  <c r="AB465" i="5" s="1"/>
  <c r="AC465" i="5" s="1"/>
  <c r="J465" i="5"/>
  <c r="A465" i="5"/>
  <c r="AD464" i="5"/>
  <c r="AB464" i="5"/>
  <c r="AC464" i="5" s="1"/>
  <c r="V464" i="5"/>
  <c r="X464" i="5" s="1"/>
  <c r="U464" i="5"/>
  <c r="T464" i="5"/>
  <c r="S464" i="5"/>
  <c r="R464" i="5"/>
  <c r="M464" i="5"/>
  <c r="L464" i="5" s="1"/>
  <c r="K464" i="5"/>
  <c r="J464" i="5"/>
  <c r="A464" i="5"/>
  <c r="AB463" i="5"/>
  <c r="AC463" i="5" s="1"/>
  <c r="V463" i="5"/>
  <c r="U463" i="5"/>
  <c r="T463" i="5"/>
  <c r="S463" i="5"/>
  <c r="R463" i="5"/>
  <c r="M463" i="5"/>
  <c r="L463" i="5" s="1"/>
  <c r="K463" i="5"/>
  <c r="J463" i="5"/>
  <c r="A463" i="5"/>
  <c r="AD462" i="5"/>
  <c r="AC462" i="5"/>
  <c r="AB462" i="5"/>
  <c r="AA462" i="5"/>
  <c r="W462" i="5"/>
  <c r="V462" i="5"/>
  <c r="X462" i="5" s="1"/>
  <c r="U462" i="5"/>
  <c r="T462" i="5"/>
  <c r="S462" i="5"/>
  <c r="R462" i="5"/>
  <c r="Q462" i="5"/>
  <c r="M462" i="5"/>
  <c r="K462" i="5"/>
  <c r="J462" i="5"/>
  <c r="A462" i="5"/>
  <c r="AB461" i="5"/>
  <c r="AC461" i="5" s="1"/>
  <c r="Z461" i="5"/>
  <c r="Y461" i="5"/>
  <c r="X461" i="5"/>
  <c r="V461" i="5"/>
  <c r="W461" i="5" s="1"/>
  <c r="U461" i="5"/>
  <c r="T461" i="5"/>
  <c r="S461" i="5"/>
  <c r="R461" i="5"/>
  <c r="M461" i="5"/>
  <c r="K461" i="5"/>
  <c r="J461" i="5"/>
  <c r="A461" i="5"/>
  <c r="AD460" i="5"/>
  <c r="AC460" i="5"/>
  <c r="AB460" i="5"/>
  <c r="V460" i="5"/>
  <c r="U460" i="5"/>
  <c r="T460" i="5"/>
  <c r="S460" i="5"/>
  <c r="R460" i="5"/>
  <c r="Q460" i="5"/>
  <c r="P460" i="5"/>
  <c r="M460" i="5"/>
  <c r="AA460" i="5" s="1"/>
  <c r="K460" i="5"/>
  <c r="J460" i="5"/>
  <c r="A460" i="5"/>
  <c r="AB459" i="5"/>
  <c r="AC459" i="5" s="1"/>
  <c r="AA459" i="5"/>
  <c r="X459" i="5"/>
  <c r="W459" i="5"/>
  <c r="V459" i="5"/>
  <c r="U459" i="5"/>
  <c r="T459" i="5"/>
  <c r="S459" i="5"/>
  <c r="R459" i="5"/>
  <c r="M459" i="5"/>
  <c r="L459" i="5"/>
  <c r="K459" i="5"/>
  <c r="J459" i="5"/>
  <c r="A459" i="5"/>
  <c r="AA458" i="5"/>
  <c r="X458" i="5"/>
  <c r="V458" i="5"/>
  <c r="W458" i="5" s="1"/>
  <c r="U458" i="5"/>
  <c r="T458" i="5"/>
  <c r="S458" i="5"/>
  <c r="R458" i="5"/>
  <c r="M458" i="5"/>
  <c r="Q458" i="5" s="1"/>
  <c r="L458" i="5"/>
  <c r="K458" i="5"/>
  <c r="AB458" i="5" s="1"/>
  <c r="AC458" i="5" s="1"/>
  <c r="J458" i="5"/>
  <c r="A458" i="5"/>
  <c r="AB457" i="5"/>
  <c r="AC457" i="5" s="1"/>
  <c r="Z457" i="5"/>
  <c r="X457" i="5"/>
  <c r="Y457" i="5" s="1"/>
  <c r="V457" i="5"/>
  <c r="W457" i="5" s="1"/>
  <c r="U457" i="5"/>
  <c r="T457" i="5"/>
  <c r="S457" i="5"/>
  <c r="R457" i="5"/>
  <c r="M457" i="5"/>
  <c r="K457" i="5"/>
  <c r="J457" i="5"/>
  <c r="A457" i="5"/>
  <c r="AC456" i="5"/>
  <c r="AB456" i="5"/>
  <c r="AA456" i="5"/>
  <c r="Y456" i="5"/>
  <c r="Z456" i="5" s="1"/>
  <c r="X456" i="5"/>
  <c r="W456" i="5"/>
  <c r="V456" i="5"/>
  <c r="U456" i="5"/>
  <c r="T456" i="5"/>
  <c r="S456" i="5"/>
  <c r="R456" i="5"/>
  <c r="P456" i="5"/>
  <c r="M456" i="5"/>
  <c r="K456" i="5"/>
  <c r="J456" i="5"/>
  <c r="A456" i="5"/>
  <c r="AB455" i="5"/>
  <c r="AC455" i="5" s="1"/>
  <c r="X455" i="5"/>
  <c r="V455" i="5"/>
  <c r="W455" i="5" s="1"/>
  <c r="U455" i="5"/>
  <c r="T455" i="5"/>
  <c r="S455" i="5"/>
  <c r="R455" i="5"/>
  <c r="M455" i="5"/>
  <c r="K455" i="5"/>
  <c r="J455" i="5"/>
  <c r="A455" i="5"/>
  <c r="AC454" i="5"/>
  <c r="AB454" i="5"/>
  <c r="X454" i="5"/>
  <c r="V454" i="5"/>
  <c r="W454" i="5" s="1"/>
  <c r="U454" i="5"/>
  <c r="T454" i="5"/>
  <c r="S454" i="5"/>
  <c r="R454" i="5"/>
  <c r="M454" i="5"/>
  <c r="Q454" i="5" s="1"/>
  <c r="K454" i="5"/>
  <c r="J454" i="5"/>
  <c r="A454" i="5"/>
  <c r="AD453" i="5"/>
  <c r="Y453" i="5"/>
  <c r="Z453" i="5" s="1"/>
  <c r="X453" i="5"/>
  <c r="W453" i="5"/>
  <c r="V453" i="5"/>
  <c r="U453" i="5"/>
  <c r="T453" i="5"/>
  <c r="S453" i="5"/>
  <c r="R453" i="5"/>
  <c r="Q453" i="5"/>
  <c r="M453" i="5"/>
  <c r="P453" i="5" s="1"/>
  <c r="L453" i="5"/>
  <c r="K453" i="5"/>
  <c r="AB453" i="5" s="1"/>
  <c r="AC453" i="5" s="1"/>
  <c r="J453" i="5"/>
  <c r="A453" i="5"/>
  <c r="AB452" i="5"/>
  <c r="AC452" i="5" s="1"/>
  <c r="Y452" i="5"/>
  <c r="Z452" i="5" s="1"/>
  <c r="X452" i="5"/>
  <c r="V452" i="5"/>
  <c r="W452" i="5" s="1"/>
  <c r="U452" i="5"/>
  <c r="T452" i="5"/>
  <c r="S452" i="5"/>
  <c r="R452" i="5"/>
  <c r="M452" i="5"/>
  <c r="K452" i="5"/>
  <c r="J452" i="5"/>
  <c r="A452" i="5"/>
  <c r="AB451" i="5"/>
  <c r="AC451" i="5" s="1"/>
  <c r="AA451" i="5"/>
  <c r="V451" i="5"/>
  <c r="X451" i="5" s="1"/>
  <c r="Y451" i="5" s="1"/>
  <c r="U451" i="5"/>
  <c r="T451" i="5"/>
  <c r="S451" i="5"/>
  <c r="R451" i="5"/>
  <c r="M451" i="5"/>
  <c r="L451" i="5"/>
  <c r="K451" i="5"/>
  <c r="J451" i="5"/>
  <c r="A451" i="5"/>
  <c r="AC450" i="5"/>
  <c r="AB450" i="5"/>
  <c r="W450" i="5"/>
  <c r="V450" i="5"/>
  <c r="X450" i="5" s="1"/>
  <c r="U450" i="5"/>
  <c r="T450" i="5"/>
  <c r="S450" i="5"/>
  <c r="R450" i="5"/>
  <c r="M450" i="5"/>
  <c r="K450" i="5"/>
  <c r="J450" i="5"/>
  <c r="A450" i="5"/>
  <c r="AB449" i="5"/>
  <c r="AC449" i="5" s="1"/>
  <c r="X449" i="5"/>
  <c r="V449" i="5"/>
  <c r="W449" i="5" s="1"/>
  <c r="U449" i="5"/>
  <c r="T449" i="5"/>
  <c r="S449" i="5"/>
  <c r="R449" i="5"/>
  <c r="M449" i="5"/>
  <c r="K449" i="5"/>
  <c r="J449" i="5"/>
  <c r="A449" i="5"/>
  <c r="AD448" i="5"/>
  <c r="AC448" i="5"/>
  <c r="AB448" i="5"/>
  <c r="V448" i="5"/>
  <c r="X448" i="5" s="1"/>
  <c r="U448" i="5"/>
  <c r="T448" i="5"/>
  <c r="S448" i="5"/>
  <c r="R448" i="5"/>
  <c r="Q448" i="5"/>
  <c r="P448" i="5"/>
  <c r="M448" i="5"/>
  <c r="AA448" i="5" s="1"/>
  <c r="K448" i="5"/>
  <c r="J448" i="5"/>
  <c r="A448" i="5"/>
  <c r="AB447" i="5"/>
  <c r="AC447" i="5" s="1"/>
  <c r="Z447" i="5"/>
  <c r="X447" i="5"/>
  <c r="Y447" i="5" s="1"/>
  <c r="W447" i="5"/>
  <c r="V447" i="5"/>
  <c r="U447" i="5"/>
  <c r="T447" i="5"/>
  <c r="S447" i="5"/>
  <c r="R447" i="5"/>
  <c r="M447" i="5"/>
  <c r="K447" i="5"/>
  <c r="J447" i="5"/>
  <c r="A447" i="5"/>
  <c r="AA446" i="5"/>
  <c r="V446" i="5"/>
  <c r="U446" i="5"/>
  <c r="T446" i="5"/>
  <c r="S446" i="5"/>
  <c r="R446" i="5"/>
  <c r="M446" i="5"/>
  <c r="Q446" i="5" s="1"/>
  <c r="L446" i="5"/>
  <c r="K446" i="5"/>
  <c r="AB446" i="5" s="1"/>
  <c r="AC446" i="5" s="1"/>
  <c r="J446" i="5"/>
  <c r="A446" i="5"/>
  <c r="AB445" i="5"/>
  <c r="AC445" i="5" s="1"/>
  <c r="Z445" i="5"/>
  <c r="X445" i="5"/>
  <c r="Y445" i="5" s="1"/>
  <c r="V445" i="5"/>
  <c r="W445" i="5" s="1"/>
  <c r="U445" i="5"/>
  <c r="T445" i="5"/>
  <c r="S445" i="5"/>
  <c r="R445" i="5"/>
  <c r="Q445" i="5"/>
  <c r="M445" i="5"/>
  <c r="K445" i="5"/>
  <c r="J445" i="5"/>
  <c r="A445" i="5"/>
  <c r="AC444" i="5"/>
  <c r="AB444" i="5"/>
  <c r="Z444" i="5"/>
  <c r="Y444" i="5"/>
  <c r="X444" i="5"/>
  <c r="W444" i="5"/>
  <c r="V444" i="5"/>
  <c r="U444" i="5"/>
  <c r="T444" i="5"/>
  <c r="S444" i="5"/>
  <c r="R444" i="5"/>
  <c r="Q444" i="5"/>
  <c r="P444" i="5"/>
  <c r="M444" i="5"/>
  <c r="K444" i="5"/>
  <c r="J444" i="5"/>
  <c r="A444" i="5"/>
  <c r="AB443" i="5"/>
  <c r="AC443" i="5" s="1"/>
  <c r="V443" i="5"/>
  <c r="X443" i="5" s="1"/>
  <c r="U443" i="5"/>
  <c r="T443" i="5"/>
  <c r="S443" i="5"/>
  <c r="R443" i="5"/>
  <c r="M443" i="5"/>
  <c r="K443" i="5"/>
  <c r="J443" i="5"/>
  <c r="A443" i="5"/>
  <c r="AB442" i="5"/>
  <c r="AC442" i="5" s="1"/>
  <c r="AA442" i="5"/>
  <c r="V442" i="5"/>
  <c r="W442" i="5" s="1"/>
  <c r="U442" i="5"/>
  <c r="T442" i="5"/>
  <c r="S442" i="5"/>
  <c r="R442" i="5"/>
  <c r="Q442" i="5"/>
  <c r="M442" i="5"/>
  <c r="AD442" i="5" s="1"/>
  <c r="L442" i="5"/>
  <c r="K442" i="5"/>
  <c r="J442" i="5"/>
  <c r="A442" i="5"/>
  <c r="AD441" i="5"/>
  <c r="Z441" i="5"/>
  <c r="V441" i="5"/>
  <c r="X441" i="5" s="1"/>
  <c r="Y441" i="5" s="1"/>
  <c r="U441" i="5"/>
  <c r="T441" i="5"/>
  <c r="S441" i="5"/>
  <c r="R441" i="5"/>
  <c r="Q441" i="5"/>
  <c r="M441" i="5"/>
  <c r="P441" i="5" s="1"/>
  <c r="L441" i="5"/>
  <c r="K441" i="5"/>
  <c r="AB441" i="5" s="1"/>
  <c r="AC441" i="5" s="1"/>
  <c r="J441" i="5"/>
  <c r="A441" i="5"/>
  <c r="AB440" i="5"/>
  <c r="AC440" i="5" s="1"/>
  <c r="AA440" i="5"/>
  <c r="Y440" i="5"/>
  <c r="Z440" i="5" s="1"/>
  <c r="X440" i="5"/>
  <c r="V440" i="5"/>
  <c r="W440" i="5" s="1"/>
  <c r="U440" i="5"/>
  <c r="T440" i="5"/>
  <c r="S440" i="5"/>
  <c r="R440" i="5"/>
  <c r="P440" i="5"/>
  <c r="M440" i="5"/>
  <c r="Q440" i="5" s="1"/>
  <c r="K440" i="5"/>
  <c r="J440" i="5"/>
  <c r="A440" i="5"/>
  <c r="AB439" i="5"/>
  <c r="AC439" i="5" s="1"/>
  <c r="AA439" i="5"/>
  <c r="W439" i="5"/>
  <c r="V439" i="5"/>
  <c r="X439" i="5" s="1"/>
  <c r="U439" i="5"/>
  <c r="T439" i="5"/>
  <c r="S439" i="5"/>
  <c r="R439" i="5"/>
  <c r="M439" i="5"/>
  <c r="L439" i="5"/>
  <c r="K439" i="5"/>
  <c r="J439" i="5"/>
  <c r="A439" i="5"/>
  <c r="AC438" i="5"/>
  <c r="AB438" i="5"/>
  <c r="W438" i="5"/>
  <c r="V438" i="5"/>
  <c r="X438" i="5" s="1"/>
  <c r="U438" i="5"/>
  <c r="T438" i="5"/>
  <c r="S438" i="5"/>
  <c r="R438" i="5"/>
  <c r="M438" i="5"/>
  <c r="K438" i="5"/>
  <c r="J438" i="5"/>
  <c r="A438" i="5"/>
  <c r="AB437" i="5"/>
  <c r="AC437" i="5" s="1"/>
  <c r="V437" i="5"/>
  <c r="U437" i="5"/>
  <c r="T437" i="5"/>
  <c r="S437" i="5"/>
  <c r="R437" i="5"/>
  <c r="P437" i="5"/>
  <c r="M437" i="5"/>
  <c r="Q437" i="5" s="1"/>
  <c r="K437" i="5"/>
  <c r="J437" i="5"/>
  <c r="A437" i="5"/>
  <c r="AD436" i="5"/>
  <c r="AC436" i="5"/>
  <c r="AB436" i="5"/>
  <c r="X436" i="5"/>
  <c r="V436" i="5"/>
  <c r="W436" i="5" s="1"/>
  <c r="U436" i="5"/>
  <c r="T436" i="5"/>
  <c r="S436" i="5"/>
  <c r="R436" i="5"/>
  <c r="Q436" i="5"/>
  <c r="P436" i="5"/>
  <c r="M436" i="5"/>
  <c r="AA436" i="5" s="1"/>
  <c r="K436" i="5"/>
  <c r="J436" i="5"/>
  <c r="A436" i="5"/>
  <c r="AB435" i="5"/>
  <c r="AC435" i="5" s="1"/>
  <c r="Z435" i="5"/>
  <c r="X435" i="5"/>
  <c r="Y435" i="5" s="1"/>
  <c r="W435" i="5"/>
  <c r="V435" i="5"/>
  <c r="U435" i="5"/>
  <c r="T435" i="5"/>
  <c r="S435" i="5"/>
  <c r="R435" i="5"/>
  <c r="Q435" i="5"/>
  <c r="M435" i="5"/>
  <c r="K435" i="5"/>
  <c r="J435" i="5"/>
  <c r="A435" i="5"/>
  <c r="AA434" i="5"/>
  <c r="V434" i="5"/>
  <c r="X434" i="5" s="1"/>
  <c r="U434" i="5"/>
  <c r="T434" i="5"/>
  <c r="S434" i="5"/>
  <c r="R434" i="5"/>
  <c r="M434" i="5"/>
  <c r="Q434" i="5" s="1"/>
  <c r="L434" i="5"/>
  <c r="K434" i="5"/>
  <c r="AB434" i="5" s="1"/>
  <c r="AC434" i="5" s="1"/>
  <c r="J434" i="5"/>
  <c r="A434" i="5"/>
  <c r="AB433" i="5"/>
  <c r="AC433" i="5" s="1"/>
  <c r="Z433" i="5"/>
  <c r="X433" i="5"/>
  <c r="Y433" i="5" s="1"/>
  <c r="V433" i="5"/>
  <c r="W433" i="5" s="1"/>
  <c r="U433" i="5"/>
  <c r="T433" i="5"/>
  <c r="S433" i="5"/>
  <c r="R433" i="5"/>
  <c r="P433" i="5"/>
  <c r="M433" i="5"/>
  <c r="K433" i="5"/>
  <c r="J433" i="5"/>
  <c r="A433" i="5"/>
  <c r="AC432" i="5"/>
  <c r="AB432" i="5"/>
  <c r="Y432" i="5"/>
  <c r="X432" i="5"/>
  <c r="Z432" i="5" s="1"/>
  <c r="W432" i="5"/>
  <c r="V432" i="5"/>
  <c r="U432" i="5"/>
  <c r="T432" i="5"/>
  <c r="S432" i="5"/>
  <c r="R432" i="5"/>
  <c r="Q432" i="5"/>
  <c r="P432" i="5"/>
  <c r="M432" i="5"/>
  <c r="AD432" i="5" s="1"/>
  <c r="K432" i="5"/>
  <c r="J432" i="5"/>
  <c r="A432" i="5"/>
  <c r="AD431" i="5"/>
  <c r="X431" i="5"/>
  <c r="W431" i="5"/>
  <c r="V431" i="5"/>
  <c r="U431" i="5"/>
  <c r="T431" i="5"/>
  <c r="S431" i="5"/>
  <c r="R431" i="5"/>
  <c r="Q431" i="5"/>
  <c r="P431" i="5"/>
  <c r="M431" i="5"/>
  <c r="AA431" i="5" s="1"/>
  <c r="L431" i="5"/>
  <c r="K431" i="5"/>
  <c r="AB431" i="5" s="1"/>
  <c r="AC431" i="5" s="1"/>
  <c r="J431" i="5"/>
  <c r="A431" i="5"/>
  <c r="AC430" i="5"/>
  <c r="Y430" i="5"/>
  <c r="Z430" i="5" s="1"/>
  <c r="X430" i="5"/>
  <c r="V430" i="5"/>
  <c r="W430" i="5" s="1"/>
  <c r="U430" i="5"/>
  <c r="T430" i="5"/>
  <c r="S430" i="5"/>
  <c r="R430" i="5"/>
  <c r="P430" i="5"/>
  <c r="M430" i="5"/>
  <c r="K430" i="5"/>
  <c r="AB430" i="5" s="1"/>
  <c r="J430" i="5"/>
  <c r="A430" i="5"/>
  <c r="AA429" i="5"/>
  <c r="Z429" i="5"/>
  <c r="X429" i="5"/>
  <c r="Y429" i="5" s="1"/>
  <c r="W429" i="5"/>
  <c r="V429" i="5"/>
  <c r="U429" i="5"/>
  <c r="T429" i="5"/>
  <c r="S429" i="5"/>
  <c r="R429" i="5"/>
  <c r="M429" i="5"/>
  <c r="L429" i="5"/>
  <c r="K429" i="5"/>
  <c r="AB429" i="5" s="1"/>
  <c r="AC429" i="5" s="1"/>
  <c r="J429" i="5"/>
  <c r="A429" i="5"/>
  <c r="AD428" i="5"/>
  <c r="AC428" i="5"/>
  <c r="W428" i="5"/>
  <c r="V428" i="5"/>
  <c r="X428" i="5" s="1"/>
  <c r="U428" i="5"/>
  <c r="T428" i="5"/>
  <c r="S428" i="5"/>
  <c r="R428" i="5"/>
  <c r="Q428" i="5"/>
  <c r="P428" i="5"/>
  <c r="M428" i="5"/>
  <c r="AA428" i="5" s="1"/>
  <c r="L428" i="5"/>
  <c r="K428" i="5"/>
  <c r="AB428" i="5" s="1"/>
  <c r="J428" i="5"/>
  <c r="A428" i="5"/>
  <c r="AA427" i="5"/>
  <c r="Z427" i="5"/>
  <c r="Y427" i="5"/>
  <c r="X427" i="5"/>
  <c r="V427" i="5"/>
  <c r="W427" i="5" s="1"/>
  <c r="U427" i="5"/>
  <c r="T427" i="5"/>
  <c r="S427" i="5"/>
  <c r="R427" i="5"/>
  <c r="M427" i="5"/>
  <c r="L427" i="5" s="1"/>
  <c r="K427" i="5"/>
  <c r="AB427" i="5" s="1"/>
  <c r="AC427" i="5" s="1"/>
  <c r="J427" i="5"/>
  <c r="A427" i="5"/>
  <c r="AB426" i="5"/>
  <c r="AC426" i="5" s="1"/>
  <c r="V426" i="5"/>
  <c r="U426" i="5"/>
  <c r="T426" i="5"/>
  <c r="S426" i="5"/>
  <c r="R426" i="5"/>
  <c r="Q426" i="5"/>
  <c r="P426" i="5"/>
  <c r="M426" i="5"/>
  <c r="AD426" i="5" s="1"/>
  <c r="K426" i="5"/>
  <c r="J426" i="5"/>
  <c r="A426" i="5"/>
  <c r="AD425" i="5"/>
  <c r="Y425" i="5"/>
  <c r="X425" i="5"/>
  <c r="V425" i="5"/>
  <c r="W425" i="5" s="1"/>
  <c r="U425" i="5"/>
  <c r="T425" i="5"/>
  <c r="S425" i="5"/>
  <c r="R425" i="5"/>
  <c r="Q425" i="5"/>
  <c r="P425" i="5"/>
  <c r="M425" i="5"/>
  <c r="AA425" i="5" s="1"/>
  <c r="L425" i="5"/>
  <c r="K425" i="5"/>
  <c r="AB425" i="5" s="1"/>
  <c r="AC425" i="5" s="1"/>
  <c r="J425" i="5"/>
  <c r="A425" i="5"/>
  <c r="AD424" i="5"/>
  <c r="Z424" i="5"/>
  <c r="Y424" i="5"/>
  <c r="X424" i="5"/>
  <c r="V424" i="5"/>
  <c r="W424" i="5" s="1"/>
  <c r="U424" i="5"/>
  <c r="T424" i="5"/>
  <c r="S424" i="5"/>
  <c r="R424" i="5"/>
  <c r="Q424" i="5"/>
  <c r="P424" i="5"/>
  <c r="M424" i="5"/>
  <c r="AA424" i="5" s="1"/>
  <c r="K424" i="5"/>
  <c r="AB424" i="5" s="1"/>
  <c r="AC424" i="5" s="1"/>
  <c r="J424" i="5"/>
  <c r="A424" i="5"/>
  <c r="Y423" i="5"/>
  <c r="Z423" i="5" s="1"/>
  <c r="X423" i="5"/>
  <c r="W423" i="5"/>
  <c r="V423" i="5"/>
  <c r="U423" i="5"/>
  <c r="T423" i="5"/>
  <c r="S423" i="5"/>
  <c r="R423" i="5"/>
  <c r="Q423" i="5"/>
  <c r="P423" i="5"/>
  <c r="M423" i="5"/>
  <c r="AD423" i="5" s="1"/>
  <c r="L423" i="5"/>
  <c r="K423" i="5"/>
  <c r="AB423" i="5" s="1"/>
  <c r="AC423" i="5" s="1"/>
  <c r="J423" i="5"/>
  <c r="A423" i="5"/>
  <c r="AD422" i="5"/>
  <c r="AB422" i="5"/>
  <c r="AC422" i="5" s="1"/>
  <c r="W422" i="5"/>
  <c r="V422" i="5"/>
  <c r="X422" i="5" s="1"/>
  <c r="U422" i="5"/>
  <c r="T422" i="5"/>
  <c r="S422" i="5"/>
  <c r="R422" i="5"/>
  <c r="Q422" i="5"/>
  <c r="P422" i="5"/>
  <c r="M422" i="5"/>
  <c r="AA422" i="5" s="1"/>
  <c r="L422" i="5"/>
  <c r="K422" i="5"/>
  <c r="J422" i="5"/>
  <c r="A422" i="5"/>
  <c r="AB421" i="5"/>
  <c r="AC421" i="5" s="1"/>
  <c r="AA421" i="5"/>
  <c r="Y421" i="5"/>
  <c r="Z421" i="5" s="1"/>
  <c r="X421" i="5"/>
  <c r="V421" i="5"/>
  <c r="W421" i="5" s="1"/>
  <c r="U421" i="5"/>
  <c r="T421" i="5"/>
  <c r="S421" i="5"/>
  <c r="R421" i="5"/>
  <c r="M421" i="5"/>
  <c r="L421" i="5"/>
  <c r="K421" i="5"/>
  <c r="J421" i="5"/>
  <c r="A421" i="5"/>
  <c r="Y420" i="5"/>
  <c r="X420" i="5"/>
  <c r="V420" i="5"/>
  <c r="W420" i="5" s="1"/>
  <c r="U420" i="5"/>
  <c r="T420" i="5"/>
  <c r="S420" i="5"/>
  <c r="R420" i="5"/>
  <c r="P420" i="5"/>
  <c r="M420" i="5"/>
  <c r="AD420" i="5" s="1"/>
  <c r="L420" i="5"/>
  <c r="K420" i="5"/>
  <c r="AB420" i="5" s="1"/>
  <c r="AC420" i="5" s="1"/>
  <c r="J420" i="5"/>
  <c r="A420" i="5"/>
  <c r="AD419" i="5"/>
  <c r="AB419" i="5"/>
  <c r="AC419" i="5" s="1"/>
  <c r="Y419" i="5"/>
  <c r="V419" i="5"/>
  <c r="X419" i="5" s="1"/>
  <c r="U419" i="5"/>
  <c r="T419" i="5"/>
  <c r="S419" i="5"/>
  <c r="R419" i="5"/>
  <c r="Q419" i="5"/>
  <c r="P419" i="5"/>
  <c r="M419" i="5"/>
  <c r="AA419" i="5" s="1"/>
  <c r="L419" i="5"/>
  <c r="K419" i="5"/>
  <c r="J419" i="5"/>
  <c r="A419" i="5"/>
  <c r="AD418" i="5"/>
  <c r="AA418" i="5"/>
  <c r="X418" i="5"/>
  <c r="V418" i="5"/>
  <c r="W418" i="5" s="1"/>
  <c r="U418" i="5"/>
  <c r="T418" i="5"/>
  <c r="S418" i="5"/>
  <c r="R418" i="5"/>
  <c r="Q418" i="5"/>
  <c r="M418" i="5"/>
  <c r="P418" i="5" s="1"/>
  <c r="L418" i="5"/>
  <c r="K418" i="5"/>
  <c r="AB418" i="5" s="1"/>
  <c r="AC418" i="5" s="1"/>
  <c r="J418" i="5"/>
  <c r="A418" i="5"/>
  <c r="AB417" i="5"/>
  <c r="AC417" i="5" s="1"/>
  <c r="AA417" i="5"/>
  <c r="X417" i="5"/>
  <c r="V417" i="5"/>
  <c r="W417" i="5" s="1"/>
  <c r="U417" i="5"/>
  <c r="T417" i="5"/>
  <c r="S417" i="5"/>
  <c r="R417" i="5"/>
  <c r="Q417" i="5"/>
  <c r="P417" i="5"/>
  <c r="M417" i="5"/>
  <c r="K417" i="5"/>
  <c r="J417" i="5"/>
  <c r="A417" i="5"/>
  <c r="AD416" i="5"/>
  <c r="V416" i="5"/>
  <c r="U416" i="5"/>
  <c r="T416" i="5"/>
  <c r="S416" i="5"/>
  <c r="R416" i="5"/>
  <c r="Q416" i="5"/>
  <c r="P416" i="5"/>
  <c r="M416" i="5"/>
  <c r="AA416" i="5" s="1"/>
  <c r="K416" i="5"/>
  <c r="AB416" i="5" s="1"/>
  <c r="AC416" i="5" s="1"/>
  <c r="J416" i="5"/>
  <c r="A416" i="5"/>
  <c r="AB415" i="5"/>
  <c r="AC415" i="5" s="1"/>
  <c r="Y415" i="5"/>
  <c r="X415" i="5"/>
  <c r="Z415" i="5" s="1"/>
  <c r="V415" i="5"/>
  <c r="W415" i="5" s="1"/>
  <c r="U415" i="5"/>
  <c r="T415" i="5"/>
  <c r="S415" i="5"/>
  <c r="R415" i="5"/>
  <c r="Q415" i="5"/>
  <c r="M415" i="5"/>
  <c r="K415" i="5"/>
  <c r="J415" i="5"/>
  <c r="A415" i="5"/>
  <c r="AC414" i="5"/>
  <c r="AB414" i="5"/>
  <c r="X414" i="5"/>
  <c r="Y414" i="5" s="1"/>
  <c r="Z414" i="5" s="1"/>
  <c r="W414" i="5"/>
  <c r="V414" i="5"/>
  <c r="U414" i="5"/>
  <c r="T414" i="5"/>
  <c r="S414" i="5"/>
  <c r="R414" i="5"/>
  <c r="Q414" i="5"/>
  <c r="P414" i="5"/>
  <c r="M414" i="5"/>
  <c r="AD414" i="5" s="1"/>
  <c r="K414" i="5"/>
  <c r="J414" i="5"/>
  <c r="A414" i="5"/>
  <c r="V413" i="5"/>
  <c r="U413" i="5"/>
  <c r="T413" i="5"/>
  <c r="S413" i="5"/>
  <c r="R413" i="5"/>
  <c r="P413" i="5"/>
  <c r="M413" i="5"/>
  <c r="AD413" i="5" s="1"/>
  <c r="L413" i="5"/>
  <c r="K413" i="5"/>
  <c r="AB413" i="5" s="1"/>
  <c r="AC413" i="5" s="1"/>
  <c r="J413" i="5"/>
  <c r="A413" i="5"/>
  <c r="AC412" i="5"/>
  <c r="AB412" i="5"/>
  <c r="AA412" i="5"/>
  <c r="X412" i="5"/>
  <c r="V412" i="5"/>
  <c r="W412" i="5" s="1"/>
  <c r="U412" i="5"/>
  <c r="T412" i="5"/>
  <c r="S412" i="5"/>
  <c r="R412" i="5"/>
  <c r="M412" i="5"/>
  <c r="AD412" i="5" s="1"/>
  <c r="K412" i="5"/>
  <c r="J412" i="5"/>
  <c r="A412" i="5"/>
  <c r="AC411" i="5"/>
  <c r="AB411" i="5"/>
  <c r="X411" i="5"/>
  <c r="W411" i="5"/>
  <c r="V411" i="5"/>
  <c r="U411" i="5"/>
  <c r="T411" i="5"/>
  <c r="S411" i="5"/>
  <c r="R411" i="5"/>
  <c r="M411" i="5"/>
  <c r="K411" i="5"/>
  <c r="J411" i="5"/>
  <c r="A411" i="5"/>
  <c r="X410" i="5"/>
  <c r="W410" i="5"/>
  <c r="V410" i="5"/>
  <c r="U410" i="5"/>
  <c r="T410" i="5"/>
  <c r="S410" i="5"/>
  <c r="R410" i="5"/>
  <c r="P410" i="5"/>
  <c r="M410" i="5"/>
  <c r="AD410" i="5" s="1"/>
  <c r="L410" i="5"/>
  <c r="K410" i="5"/>
  <c r="AB410" i="5" s="1"/>
  <c r="AC410" i="5" s="1"/>
  <c r="J410" i="5"/>
  <c r="A410" i="5"/>
  <c r="AB409" i="5"/>
  <c r="AC409" i="5" s="1"/>
  <c r="X409" i="5"/>
  <c r="V409" i="5"/>
  <c r="W409" i="5" s="1"/>
  <c r="U409" i="5"/>
  <c r="T409" i="5"/>
  <c r="S409" i="5"/>
  <c r="R409" i="5"/>
  <c r="P409" i="5"/>
  <c r="M409" i="5"/>
  <c r="K409" i="5"/>
  <c r="J409" i="5"/>
  <c r="A409" i="5"/>
  <c r="AB408" i="5"/>
  <c r="AC408" i="5" s="1"/>
  <c r="Y408" i="5"/>
  <c r="Z408" i="5" s="1"/>
  <c r="X408" i="5"/>
  <c r="W408" i="5"/>
  <c r="V408" i="5"/>
  <c r="U408" i="5"/>
  <c r="T408" i="5"/>
  <c r="S408" i="5"/>
  <c r="R408" i="5"/>
  <c r="Q408" i="5"/>
  <c r="P408" i="5"/>
  <c r="M408" i="5"/>
  <c r="AD408" i="5" s="1"/>
  <c r="L408" i="5"/>
  <c r="K408" i="5"/>
  <c r="J408" i="5"/>
  <c r="A408" i="5"/>
  <c r="V407" i="5"/>
  <c r="U407" i="5"/>
  <c r="T407" i="5"/>
  <c r="S407" i="5"/>
  <c r="R407" i="5"/>
  <c r="P407" i="5"/>
  <c r="M407" i="5"/>
  <c r="AD407" i="5" s="1"/>
  <c r="L407" i="5"/>
  <c r="K407" i="5"/>
  <c r="AB407" i="5" s="1"/>
  <c r="AC407" i="5" s="1"/>
  <c r="J407" i="5"/>
  <c r="A407" i="5"/>
  <c r="AB406" i="5"/>
  <c r="AC406" i="5" s="1"/>
  <c r="AA406" i="5"/>
  <c r="X406" i="5"/>
  <c r="V406" i="5"/>
  <c r="W406" i="5" s="1"/>
  <c r="U406" i="5"/>
  <c r="T406" i="5"/>
  <c r="S406" i="5"/>
  <c r="R406" i="5"/>
  <c r="Q406" i="5"/>
  <c r="P406" i="5"/>
  <c r="M406" i="5"/>
  <c r="L406" i="5" s="1"/>
  <c r="K406" i="5"/>
  <c r="J406" i="5"/>
  <c r="A406" i="5"/>
  <c r="AC405" i="5"/>
  <c r="AB405" i="5"/>
  <c r="Z405" i="5"/>
  <c r="Y405" i="5"/>
  <c r="X405" i="5"/>
  <c r="W405" i="5"/>
  <c r="V405" i="5"/>
  <c r="U405" i="5"/>
  <c r="T405" i="5"/>
  <c r="S405" i="5"/>
  <c r="R405" i="5"/>
  <c r="Q405" i="5"/>
  <c r="M405" i="5"/>
  <c r="AD405" i="5" s="1"/>
  <c r="L405" i="5"/>
  <c r="K405" i="5"/>
  <c r="J405" i="5"/>
  <c r="A405" i="5"/>
  <c r="V404" i="5"/>
  <c r="U404" i="5"/>
  <c r="T404" i="5"/>
  <c r="S404" i="5"/>
  <c r="R404" i="5"/>
  <c r="P404" i="5"/>
  <c r="M404" i="5"/>
  <c r="AD404" i="5" s="1"/>
  <c r="L404" i="5"/>
  <c r="K404" i="5"/>
  <c r="AB404" i="5" s="1"/>
  <c r="AC404" i="5" s="1"/>
  <c r="J404" i="5"/>
  <c r="A404" i="5"/>
  <c r="AD403" i="5"/>
  <c r="AC403" i="5"/>
  <c r="AB403" i="5"/>
  <c r="AA403" i="5"/>
  <c r="X403" i="5"/>
  <c r="V403" i="5"/>
  <c r="W403" i="5" s="1"/>
  <c r="U403" i="5"/>
  <c r="T403" i="5"/>
  <c r="S403" i="5"/>
  <c r="R403" i="5"/>
  <c r="Q403" i="5"/>
  <c r="M403" i="5"/>
  <c r="K403" i="5"/>
  <c r="J403" i="5"/>
  <c r="A403" i="5"/>
  <c r="AB402" i="5"/>
  <c r="AC402" i="5" s="1"/>
  <c r="X402" i="5"/>
  <c r="W402" i="5"/>
  <c r="V402" i="5"/>
  <c r="U402" i="5"/>
  <c r="T402" i="5"/>
  <c r="S402" i="5"/>
  <c r="R402" i="5"/>
  <c r="M402" i="5"/>
  <c r="AD402" i="5" s="1"/>
  <c r="K402" i="5"/>
  <c r="J402" i="5"/>
  <c r="A402" i="5"/>
  <c r="W401" i="5"/>
  <c r="V401" i="5"/>
  <c r="X401" i="5" s="1"/>
  <c r="U401" i="5"/>
  <c r="T401" i="5"/>
  <c r="S401" i="5"/>
  <c r="R401" i="5"/>
  <c r="P401" i="5"/>
  <c r="M401" i="5"/>
  <c r="AD401" i="5" s="1"/>
  <c r="L401" i="5"/>
  <c r="K401" i="5"/>
  <c r="AB401" i="5" s="1"/>
  <c r="AC401" i="5" s="1"/>
  <c r="J401" i="5"/>
  <c r="A401" i="5"/>
  <c r="AD400" i="5"/>
  <c r="AC400" i="5"/>
  <c r="AB400" i="5"/>
  <c r="X400" i="5"/>
  <c r="V400" i="5"/>
  <c r="W400" i="5" s="1"/>
  <c r="U400" i="5"/>
  <c r="T400" i="5"/>
  <c r="S400" i="5"/>
  <c r="R400" i="5"/>
  <c r="Q400" i="5"/>
  <c r="M400" i="5"/>
  <c r="K400" i="5"/>
  <c r="J400" i="5"/>
  <c r="A400" i="5"/>
  <c r="Y399" i="5"/>
  <c r="Z399" i="5" s="1"/>
  <c r="X399" i="5"/>
  <c r="W399" i="5"/>
  <c r="V399" i="5"/>
  <c r="U399" i="5"/>
  <c r="T399" i="5"/>
  <c r="S399" i="5"/>
  <c r="R399" i="5"/>
  <c r="Q399" i="5"/>
  <c r="P399" i="5"/>
  <c r="M399" i="5"/>
  <c r="AD399" i="5" s="1"/>
  <c r="L399" i="5"/>
  <c r="K399" i="5"/>
  <c r="AB399" i="5" s="1"/>
  <c r="AC399" i="5" s="1"/>
  <c r="J399" i="5"/>
  <c r="A399" i="5"/>
  <c r="AB398" i="5"/>
  <c r="AC398" i="5" s="1"/>
  <c r="Y398" i="5"/>
  <c r="X398" i="5"/>
  <c r="V398" i="5"/>
  <c r="W398" i="5" s="1"/>
  <c r="U398" i="5"/>
  <c r="T398" i="5"/>
  <c r="S398" i="5"/>
  <c r="R398" i="5"/>
  <c r="P398" i="5"/>
  <c r="M398" i="5"/>
  <c r="AD398" i="5" s="1"/>
  <c r="L398" i="5"/>
  <c r="K398" i="5"/>
  <c r="J398" i="5"/>
  <c r="A398" i="5"/>
  <c r="AB397" i="5"/>
  <c r="AC397" i="5" s="1"/>
  <c r="X397" i="5"/>
  <c r="V397" i="5"/>
  <c r="W397" i="5" s="1"/>
  <c r="U397" i="5"/>
  <c r="T397" i="5"/>
  <c r="S397" i="5"/>
  <c r="R397" i="5"/>
  <c r="Q397" i="5"/>
  <c r="P397" i="5"/>
  <c r="M397" i="5"/>
  <c r="L397" i="5" s="1"/>
  <c r="K397" i="5"/>
  <c r="J397" i="5"/>
  <c r="A397" i="5"/>
  <c r="Y396" i="5"/>
  <c r="X396" i="5"/>
  <c r="W396" i="5"/>
  <c r="V396" i="5"/>
  <c r="U396" i="5"/>
  <c r="T396" i="5"/>
  <c r="S396" i="5"/>
  <c r="R396" i="5"/>
  <c r="M396" i="5"/>
  <c r="K396" i="5"/>
  <c r="AB396" i="5" s="1"/>
  <c r="AC396" i="5" s="1"/>
  <c r="J396" i="5"/>
  <c r="A396" i="5"/>
  <c r="X395" i="5"/>
  <c r="W395" i="5"/>
  <c r="V395" i="5"/>
  <c r="U395" i="5"/>
  <c r="T395" i="5"/>
  <c r="S395" i="5"/>
  <c r="R395" i="5"/>
  <c r="P395" i="5"/>
  <c r="M395" i="5"/>
  <c r="AD395" i="5" s="1"/>
  <c r="L395" i="5"/>
  <c r="K395" i="5"/>
  <c r="AB395" i="5" s="1"/>
  <c r="AC395" i="5" s="1"/>
  <c r="J395" i="5"/>
  <c r="A395" i="5"/>
  <c r="AC394" i="5"/>
  <c r="AB394" i="5"/>
  <c r="AA394" i="5"/>
  <c r="X394" i="5"/>
  <c r="V394" i="5"/>
  <c r="W394" i="5" s="1"/>
  <c r="U394" i="5"/>
  <c r="T394" i="5"/>
  <c r="S394" i="5"/>
  <c r="R394" i="5"/>
  <c r="M394" i="5"/>
  <c r="L394" i="5" s="1"/>
  <c r="K394" i="5"/>
  <c r="J394" i="5"/>
  <c r="A394" i="5"/>
  <c r="AC393" i="5"/>
  <c r="AA393" i="5"/>
  <c r="X393" i="5"/>
  <c r="W393" i="5"/>
  <c r="V393" i="5"/>
  <c r="U393" i="5"/>
  <c r="T393" i="5"/>
  <c r="S393" i="5"/>
  <c r="R393" i="5"/>
  <c r="M393" i="5"/>
  <c r="L393" i="5"/>
  <c r="K393" i="5"/>
  <c r="AB393" i="5" s="1"/>
  <c r="J393" i="5"/>
  <c r="A393" i="5"/>
  <c r="V392" i="5"/>
  <c r="U392" i="5"/>
  <c r="T392" i="5"/>
  <c r="S392" i="5"/>
  <c r="R392" i="5"/>
  <c r="P392" i="5"/>
  <c r="M392" i="5"/>
  <c r="AD392" i="5" s="1"/>
  <c r="L392" i="5"/>
  <c r="K392" i="5"/>
  <c r="AB392" i="5" s="1"/>
  <c r="AC392" i="5" s="1"/>
  <c r="J392" i="5"/>
  <c r="A392" i="5"/>
  <c r="AC391" i="5"/>
  <c r="AB391" i="5"/>
  <c r="AA391" i="5"/>
  <c r="X391" i="5"/>
  <c r="V391" i="5"/>
  <c r="W391" i="5" s="1"/>
  <c r="U391" i="5"/>
  <c r="T391" i="5"/>
  <c r="S391" i="5"/>
  <c r="R391" i="5"/>
  <c r="Q391" i="5"/>
  <c r="M391" i="5"/>
  <c r="L391" i="5" s="1"/>
  <c r="K391" i="5"/>
  <c r="J391" i="5"/>
  <c r="A391" i="5"/>
  <c r="AB390" i="5"/>
  <c r="AC390" i="5" s="1"/>
  <c r="AA390" i="5"/>
  <c r="Z390" i="5"/>
  <c r="X390" i="5"/>
  <c r="Y390" i="5" s="1"/>
  <c r="W390" i="5"/>
  <c r="V390" i="5"/>
  <c r="U390" i="5"/>
  <c r="T390" i="5"/>
  <c r="S390" i="5"/>
  <c r="R390" i="5"/>
  <c r="Q390" i="5"/>
  <c r="M390" i="5"/>
  <c r="L390" i="5" s="1"/>
  <c r="K390" i="5"/>
  <c r="J390" i="5"/>
  <c r="A390" i="5"/>
  <c r="X389" i="5"/>
  <c r="W389" i="5"/>
  <c r="V389" i="5"/>
  <c r="U389" i="5"/>
  <c r="T389" i="5"/>
  <c r="S389" i="5"/>
  <c r="R389" i="5"/>
  <c r="P389" i="5"/>
  <c r="M389" i="5"/>
  <c r="AD389" i="5" s="1"/>
  <c r="L389" i="5"/>
  <c r="K389" i="5"/>
  <c r="AB389" i="5" s="1"/>
  <c r="AC389" i="5" s="1"/>
  <c r="J389" i="5"/>
  <c r="A389" i="5"/>
  <c r="AD388" i="5"/>
  <c r="AB388" i="5"/>
  <c r="AC388" i="5" s="1"/>
  <c r="AA388" i="5"/>
  <c r="X388" i="5"/>
  <c r="V388" i="5"/>
  <c r="W388" i="5" s="1"/>
  <c r="U388" i="5"/>
  <c r="T388" i="5"/>
  <c r="S388" i="5"/>
  <c r="R388" i="5"/>
  <c r="P388" i="5"/>
  <c r="M388" i="5"/>
  <c r="K388" i="5"/>
  <c r="J388" i="5"/>
  <c r="A388" i="5"/>
  <c r="AB387" i="5"/>
  <c r="AC387" i="5" s="1"/>
  <c r="Z387" i="5"/>
  <c r="Y387" i="5"/>
  <c r="X387" i="5"/>
  <c r="W387" i="5"/>
  <c r="V387" i="5"/>
  <c r="U387" i="5"/>
  <c r="T387" i="5"/>
  <c r="S387" i="5"/>
  <c r="R387" i="5"/>
  <c r="Q387" i="5"/>
  <c r="P387" i="5"/>
  <c r="M387" i="5"/>
  <c r="AD387" i="5" s="1"/>
  <c r="L387" i="5"/>
  <c r="K387" i="5"/>
  <c r="J387" i="5"/>
  <c r="A387" i="5"/>
  <c r="Y386" i="5"/>
  <c r="V386" i="5"/>
  <c r="X386" i="5" s="1"/>
  <c r="U386" i="5"/>
  <c r="T386" i="5"/>
  <c r="S386" i="5"/>
  <c r="R386" i="5"/>
  <c r="P386" i="5"/>
  <c r="M386" i="5"/>
  <c r="AD386" i="5" s="1"/>
  <c r="L386" i="5"/>
  <c r="K386" i="5"/>
  <c r="AB386" i="5" s="1"/>
  <c r="AC386" i="5" s="1"/>
  <c r="J386" i="5"/>
  <c r="A386" i="5"/>
  <c r="AB385" i="5"/>
  <c r="AC385" i="5" s="1"/>
  <c r="X385" i="5"/>
  <c r="V385" i="5"/>
  <c r="W385" i="5" s="1"/>
  <c r="U385" i="5"/>
  <c r="T385" i="5"/>
  <c r="S385" i="5"/>
  <c r="R385" i="5"/>
  <c r="Q385" i="5"/>
  <c r="M385" i="5"/>
  <c r="AD385" i="5" s="1"/>
  <c r="K385" i="5"/>
  <c r="J385" i="5"/>
  <c r="A385" i="5"/>
  <c r="AB384" i="5"/>
  <c r="AC384" i="5" s="1"/>
  <c r="X384" i="5"/>
  <c r="W384" i="5"/>
  <c r="V384" i="5"/>
  <c r="U384" i="5"/>
  <c r="T384" i="5"/>
  <c r="S384" i="5"/>
  <c r="R384" i="5"/>
  <c r="P384" i="5"/>
  <c r="M384" i="5"/>
  <c r="AD384" i="5" s="1"/>
  <c r="K384" i="5"/>
  <c r="J384" i="5"/>
  <c r="A384" i="5"/>
  <c r="X383" i="5"/>
  <c r="W383" i="5"/>
  <c r="V383" i="5"/>
  <c r="U383" i="5"/>
  <c r="T383" i="5"/>
  <c r="S383" i="5"/>
  <c r="R383" i="5"/>
  <c r="P383" i="5"/>
  <c r="M383" i="5"/>
  <c r="AD383" i="5" s="1"/>
  <c r="L383" i="5"/>
  <c r="K383" i="5"/>
  <c r="AB383" i="5" s="1"/>
  <c r="AC383" i="5" s="1"/>
  <c r="J383" i="5"/>
  <c r="A383" i="5"/>
  <c r="AC382" i="5"/>
  <c r="AB382" i="5"/>
  <c r="X382" i="5"/>
  <c r="V382" i="5"/>
  <c r="W382" i="5" s="1"/>
  <c r="U382" i="5"/>
  <c r="T382" i="5"/>
  <c r="S382" i="5"/>
  <c r="R382" i="5"/>
  <c r="P382" i="5"/>
  <c r="M382" i="5"/>
  <c r="K382" i="5"/>
  <c r="J382" i="5"/>
  <c r="A382" i="5"/>
  <c r="Z381" i="5"/>
  <c r="Y381" i="5"/>
  <c r="X381" i="5"/>
  <c r="W381" i="5"/>
  <c r="V381" i="5"/>
  <c r="U381" i="5"/>
  <c r="T381" i="5"/>
  <c r="S381" i="5"/>
  <c r="R381" i="5"/>
  <c r="Q381" i="5"/>
  <c r="M381" i="5"/>
  <c r="AD381" i="5" s="1"/>
  <c r="L381" i="5"/>
  <c r="K381" i="5"/>
  <c r="AB381" i="5" s="1"/>
  <c r="AC381" i="5" s="1"/>
  <c r="J381" i="5"/>
  <c r="A381" i="5"/>
  <c r="AB380" i="5"/>
  <c r="AC380" i="5" s="1"/>
  <c r="V380" i="5"/>
  <c r="W380" i="5" s="1"/>
  <c r="U380" i="5"/>
  <c r="T380" i="5"/>
  <c r="S380" i="5"/>
  <c r="R380" i="5"/>
  <c r="P380" i="5"/>
  <c r="M380" i="5"/>
  <c r="AD380" i="5" s="1"/>
  <c r="L380" i="5"/>
  <c r="K380" i="5"/>
  <c r="J380" i="5"/>
  <c r="A380" i="5"/>
  <c r="AC379" i="5"/>
  <c r="AB379" i="5"/>
  <c r="AA379" i="5"/>
  <c r="X379" i="5"/>
  <c r="V379" i="5"/>
  <c r="W379" i="5" s="1"/>
  <c r="U379" i="5"/>
  <c r="T379" i="5"/>
  <c r="S379" i="5"/>
  <c r="R379" i="5"/>
  <c r="Q379" i="5"/>
  <c r="P379" i="5"/>
  <c r="M379" i="5"/>
  <c r="L379" i="5" s="1"/>
  <c r="K379" i="5"/>
  <c r="J379" i="5"/>
  <c r="A379" i="5"/>
  <c r="X378" i="5"/>
  <c r="W378" i="5"/>
  <c r="V378" i="5"/>
  <c r="U378" i="5"/>
  <c r="T378" i="5"/>
  <c r="S378" i="5"/>
  <c r="R378" i="5"/>
  <c r="M378" i="5"/>
  <c r="K378" i="5"/>
  <c r="AB378" i="5" s="1"/>
  <c r="AC378" i="5" s="1"/>
  <c r="J378" i="5"/>
  <c r="A378" i="5"/>
  <c r="AB377" i="5"/>
  <c r="AC377" i="5" s="1"/>
  <c r="X377" i="5"/>
  <c r="W377" i="5"/>
  <c r="V377" i="5"/>
  <c r="U377" i="5"/>
  <c r="T377" i="5"/>
  <c r="S377" i="5"/>
  <c r="R377" i="5"/>
  <c r="P377" i="5"/>
  <c r="M377" i="5"/>
  <c r="AD377" i="5" s="1"/>
  <c r="L377" i="5"/>
  <c r="K377" i="5"/>
  <c r="J377" i="5"/>
  <c r="A377" i="5"/>
  <c r="AC376" i="5"/>
  <c r="AB376" i="5"/>
  <c r="AA376" i="5"/>
  <c r="X376" i="5"/>
  <c r="V376" i="5"/>
  <c r="W376" i="5" s="1"/>
  <c r="U376" i="5"/>
  <c r="T376" i="5"/>
  <c r="S376" i="5"/>
  <c r="R376" i="5"/>
  <c r="P376" i="5"/>
  <c r="M376" i="5"/>
  <c r="L376" i="5" s="1"/>
  <c r="K376" i="5"/>
  <c r="J376" i="5"/>
  <c r="A376" i="5"/>
  <c r="AA375" i="5"/>
  <c r="X375" i="5"/>
  <c r="W375" i="5"/>
  <c r="V375" i="5"/>
  <c r="U375" i="5"/>
  <c r="T375" i="5"/>
  <c r="S375" i="5"/>
  <c r="R375" i="5"/>
  <c r="M375" i="5"/>
  <c r="L375" i="5"/>
  <c r="K375" i="5"/>
  <c r="AB375" i="5" s="1"/>
  <c r="AC375" i="5" s="1"/>
  <c r="J375" i="5"/>
  <c r="A375" i="5"/>
  <c r="AB374" i="5"/>
  <c r="AC374" i="5" s="1"/>
  <c r="V374" i="5"/>
  <c r="U374" i="5"/>
  <c r="T374" i="5"/>
  <c r="S374" i="5"/>
  <c r="R374" i="5"/>
  <c r="P374" i="5"/>
  <c r="M374" i="5"/>
  <c r="AD374" i="5" s="1"/>
  <c r="L374" i="5"/>
  <c r="K374" i="5"/>
  <c r="J374" i="5"/>
  <c r="A374" i="5"/>
  <c r="AC373" i="5"/>
  <c r="AB373" i="5"/>
  <c r="AA373" i="5"/>
  <c r="X373" i="5"/>
  <c r="V373" i="5"/>
  <c r="W373" i="5" s="1"/>
  <c r="U373" i="5"/>
  <c r="T373" i="5"/>
  <c r="S373" i="5"/>
  <c r="R373" i="5"/>
  <c r="Q373" i="5"/>
  <c r="P373" i="5"/>
  <c r="M373" i="5"/>
  <c r="L373" i="5" s="1"/>
  <c r="K373" i="5"/>
  <c r="J373" i="5"/>
  <c r="A373" i="5"/>
  <c r="AB372" i="5"/>
  <c r="AC372" i="5" s="1"/>
  <c r="X372" i="5"/>
  <c r="Y372" i="5" s="1"/>
  <c r="W372" i="5"/>
  <c r="V372" i="5"/>
  <c r="U372" i="5"/>
  <c r="T372" i="5"/>
  <c r="S372" i="5"/>
  <c r="R372" i="5"/>
  <c r="M372" i="5"/>
  <c r="K372" i="5"/>
  <c r="J372" i="5"/>
  <c r="A372" i="5"/>
  <c r="X371" i="5"/>
  <c r="W371" i="5"/>
  <c r="V371" i="5"/>
  <c r="U371" i="5"/>
  <c r="T371" i="5"/>
  <c r="S371" i="5"/>
  <c r="R371" i="5"/>
  <c r="P371" i="5"/>
  <c r="M371" i="5"/>
  <c r="AD371" i="5" s="1"/>
  <c r="L371" i="5"/>
  <c r="K371" i="5"/>
  <c r="AB371" i="5" s="1"/>
  <c r="AC371" i="5" s="1"/>
  <c r="J371" i="5"/>
  <c r="A371" i="5"/>
  <c r="AB370" i="5"/>
  <c r="AC370" i="5" s="1"/>
  <c r="AA370" i="5"/>
  <c r="X370" i="5"/>
  <c r="V370" i="5"/>
  <c r="W370" i="5" s="1"/>
  <c r="U370" i="5"/>
  <c r="T370" i="5"/>
  <c r="S370" i="5"/>
  <c r="R370" i="5"/>
  <c r="M370" i="5"/>
  <c r="AD370" i="5" s="1"/>
  <c r="K370" i="5"/>
  <c r="J370" i="5"/>
  <c r="A370" i="5"/>
  <c r="AC369" i="5"/>
  <c r="AB369" i="5"/>
  <c r="Z369" i="5"/>
  <c r="Y369" i="5"/>
  <c r="X369" i="5"/>
  <c r="W369" i="5"/>
  <c r="V369" i="5"/>
  <c r="U369" i="5"/>
  <c r="T369" i="5"/>
  <c r="S369" i="5"/>
  <c r="R369" i="5"/>
  <c r="Q369" i="5"/>
  <c r="P369" i="5"/>
  <c r="M369" i="5"/>
  <c r="AD369" i="5" s="1"/>
  <c r="L369" i="5"/>
  <c r="K369" i="5"/>
  <c r="J369" i="5"/>
  <c r="A369" i="5"/>
  <c r="AB368" i="5"/>
  <c r="AC368" i="5" s="1"/>
  <c r="Y368" i="5"/>
  <c r="W368" i="5"/>
  <c r="V368" i="5"/>
  <c r="X368" i="5" s="1"/>
  <c r="U368" i="5"/>
  <c r="T368" i="5"/>
  <c r="S368" i="5"/>
  <c r="R368" i="5"/>
  <c r="P368" i="5"/>
  <c r="M368" i="5"/>
  <c r="AD368" i="5" s="1"/>
  <c r="K368" i="5"/>
  <c r="J368" i="5"/>
  <c r="A368" i="5"/>
  <c r="AB367" i="5"/>
  <c r="AC367" i="5" s="1"/>
  <c r="AA367" i="5"/>
  <c r="X367" i="5"/>
  <c r="W367" i="5"/>
  <c r="V367" i="5"/>
  <c r="U367" i="5"/>
  <c r="T367" i="5"/>
  <c r="S367" i="5"/>
  <c r="R367" i="5"/>
  <c r="Q367" i="5"/>
  <c r="M367" i="5"/>
  <c r="K367" i="5"/>
  <c r="J367" i="5"/>
  <c r="A367" i="5"/>
  <c r="AB366" i="5"/>
  <c r="AC366" i="5" s="1"/>
  <c r="AA366" i="5"/>
  <c r="X366" i="5"/>
  <c r="W366" i="5"/>
  <c r="V366" i="5"/>
  <c r="U366" i="5"/>
  <c r="T366" i="5"/>
  <c r="S366" i="5"/>
  <c r="R366" i="5"/>
  <c r="M366" i="5"/>
  <c r="K366" i="5"/>
  <c r="J366" i="5"/>
  <c r="A366" i="5"/>
  <c r="V365" i="5"/>
  <c r="U365" i="5"/>
  <c r="T365" i="5"/>
  <c r="S365" i="5"/>
  <c r="R365" i="5"/>
  <c r="P365" i="5"/>
  <c r="M365" i="5"/>
  <c r="AD365" i="5" s="1"/>
  <c r="K365" i="5"/>
  <c r="AB365" i="5" s="1"/>
  <c r="AC365" i="5" s="1"/>
  <c r="J365" i="5"/>
  <c r="A365" i="5"/>
  <c r="AC364" i="5"/>
  <c r="AB364" i="5"/>
  <c r="X364" i="5"/>
  <c r="W364" i="5"/>
  <c r="V364" i="5"/>
  <c r="U364" i="5"/>
  <c r="T364" i="5"/>
  <c r="S364" i="5"/>
  <c r="R364" i="5"/>
  <c r="Q364" i="5"/>
  <c r="P364" i="5"/>
  <c r="M364" i="5"/>
  <c r="K364" i="5"/>
  <c r="J364" i="5"/>
  <c r="A364" i="5"/>
  <c r="AC363" i="5"/>
  <c r="Y363" i="5"/>
  <c r="Z363" i="5" s="1"/>
  <c r="X363" i="5"/>
  <c r="W363" i="5"/>
  <c r="V363" i="5"/>
  <c r="U363" i="5"/>
  <c r="T363" i="5"/>
  <c r="S363" i="5"/>
  <c r="R363" i="5"/>
  <c r="Q363" i="5"/>
  <c r="P363" i="5"/>
  <c r="M363" i="5"/>
  <c r="AD363" i="5" s="1"/>
  <c r="L363" i="5"/>
  <c r="K363" i="5"/>
  <c r="AB363" i="5" s="1"/>
  <c r="J363" i="5"/>
  <c r="A363" i="5"/>
  <c r="X362" i="5"/>
  <c r="V362" i="5"/>
  <c r="W362" i="5" s="1"/>
  <c r="U362" i="5"/>
  <c r="T362" i="5"/>
  <c r="S362" i="5"/>
  <c r="R362" i="5"/>
  <c r="P362" i="5"/>
  <c r="M362" i="5"/>
  <c r="AD362" i="5" s="1"/>
  <c r="K362" i="5"/>
  <c r="AB362" i="5" s="1"/>
  <c r="AC362" i="5" s="1"/>
  <c r="J362" i="5"/>
  <c r="A362" i="5"/>
  <c r="AD361" i="5"/>
  <c r="AB361" i="5"/>
  <c r="AC361" i="5" s="1"/>
  <c r="AA361" i="5"/>
  <c r="X361" i="5"/>
  <c r="W361" i="5"/>
  <c r="V361" i="5"/>
  <c r="U361" i="5"/>
  <c r="T361" i="5"/>
  <c r="S361" i="5"/>
  <c r="R361" i="5"/>
  <c r="Q361" i="5"/>
  <c r="P361" i="5"/>
  <c r="M361" i="5"/>
  <c r="L361" i="5" s="1"/>
  <c r="K361" i="5"/>
  <c r="J361" i="5"/>
  <c r="A361" i="5"/>
  <c r="Y360" i="5"/>
  <c r="X360" i="5"/>
  <c r="W360" i="5"/>
  <c r="V360" i="5"/>
  <c r="U360" i="5"/>
  <c r="T360" i="5"/>
  <c r="S360" i="5"/>
  <c r="R360" i="5"/>
  <c r="M360" i="5"/>
  <c r="K360" i="5"/>
  <c r="AB360" i="5" s="1"/>
  <c r="AC360" i="5" s="1"/>
  <c r="J360" i="5"/>
  <c r="A360" i="5"/>
  <c r="X359" i="5"/>
  <c r="W359" i="5"/>
  <c r="V359" i="5"/>
  <c r="U359" i="5"/>
  <c r="T359" i="5"/>
  <c r="S359" i="5"/>
  <c r="R359" i="5"/>
  <c r="P359" i="5"/>
  <c r="M359" i="5"/>
  <c r="AD359" i="5" s="1"/>
  <c r="K359" i="5"/>
  <c r="AB359" i="5" s="1"/>
  <c r="AC359" i="5" s="1"/>
  <c r="J359" i="5"/>
  <c r="A359" i="5"/>
  <c r="AD358" i="5"/>
  <c r="AC358" i="5"/>
  <c r="AB358" i="5"/>
  <c r="X358" i="5"/>
  <c r="W358" i="5"/>
  <c r="V358" i="5"/>
  <c r="U358" i="5"/>
  <c r="T358" i="5"/>
  <c r="S358" i="5"/>
  <c r="R358" i="5"/>
  <c r="P358" i="5"/>
  <c r="M358" i="5"/>
  <c r="K358" i="5"/>
  <c r="J358" i="5"/>
  <c r="A358" i="5"/>
  <c r="AA357" i="5"/>
  <c r="Z357" i="5"/>
  <c r="X357" i="5"/>
  <c r="Y357" i="5" s="1"/>
  <c r="W357" i="5"/>
  <c r="V357" i="5"/>
  <c r="U357" i="5"/>
  <c r="T357" i="5"/>
  <c r="S357" i="5"/>
  <c r="R357" i="5"/>
  <c r="M357" i="5"/>
  <c r="L357" i="5"/>
  <c r="K357" i="5"/>
  <c r="AB357" i="5" s="1"/>
  <c r="AC357" i="5" s="1"/>
  <c r="J357" i="5"/>
  <c r="A357" i="5"/>
  <c r="AB356" i="5"/>
  <c r="AC356" i="5" s="1"/>
  <c r="V356" i="5"/>
  <c r="U356" i="5"/>
  <c r="T356" i="5"/>
  <c r="S356" i="5"/>
  <c r="R356" i="5"/>
  <c r="P356" i="5"/>
  <c r="M356" i="5"/>
  <c r="AD356" i="5" s="1"/>
  <c r="K356" i="5"/>
  <c r="J356" i="5"/>
  <c r="A356" i="5"/>
  <c r="AD355" i="5"/>
  <c r="AB355" i="5"/>
  <c r="AC355" i="5" s="1"/>
  <c r="AA355" i="5"/>
  <c r="X355" i="5"/>
  <c r="W355" i="5"/>
  <c r="V355" i="5"/>
  <c r="U355" i="5"/>
  <c r="T355" i="5"/>
  <c r="S355" i="5"/>
  <c r="R355" i="5"/>
  <c r="Q355" i="5"/>
  <c r="P355" i="5"/>
  <c r="M355" i="5"/>
  <c r="L355" i="5" s="1"/>
  <c r="K355" i="5"/>
  <c r="J355" i="5"/>
  <c r="A355" i="5"/>
  <c r="AB354" i="5"/>
  <c r="AC354" i="5" s="1"/>
  <c r="X354" i="5"/>
  <c r="W354" i="5"/>
  <c r="V354" i="5"/>
  <c r="U354" i="5"/>
  <c r="T354" i="5"/>
  <c r="S354" i="5"/>
  <c r="R354" i="5"/>
  <c r="M354" i="5"/>
  <c r="AD354" i="5" s="1"/>
  <c r="K354" i="5"/>
  <c r="J354" i="5"/>
  <c r="A354" i="5"/>
  <c r="X353" i="5"/>
  <c r="W353" i="5"/>
  <c r="V353" i="5"/>
  <c r="U353" i="5"/>
  <c r="T353" i="5"/>
  <c r="S353" i="5"/>
  <c r="R353" i="5"/>
  <c r="P353" i="5"/>
  <c r="M353" i="5"/>
  <c r="AD353" i="5" s="1"/>
  <c r="K353" i="5"/>
  <c r="AB353" i="5" s="1"/>
  <c r="AC353" i="5" s="1"/>
  <c r="J353" i="5"/>
  <c r="A353" i="5"/>
  <c r="AC352" i="5"/>
  <c r="AB352" i="5"/>
  <c r="AA352" i="5"/>
  <c r="X352" i="5"/>
  <c r="W352" i="5"/>
  <c r="V352" i="5"/>
  <c r="U352" i="5"/>
  <c r="T352" i="5"/>
  <c r="S352" i="5"/>
  <c r="R352" i="5"/>
  <c r="P352" i="5"/>
  <c r="M352" i="5"/>
  <c r="K352" i="5"/>
  <c r="J352" i="5"/>
  <c r="A352" i="5"/>
  <c r="Y351" i="5"/>
  <c r="Z351" i="5" s="1"/>
  <c r="X351" i="5"/>
  <c r="W351" i="5"/>
  <c r="V351" i="5"/>
  <c r="U351" i="5"/>
  <c r="T351" i="5"/>
  <c r="S351" i="5"/>
  <c r="R351" i="5"/>
  <c r="Q351" i="5"/>
  <c r="P351" i="5"/>
  <c r="M351" i="5"/>
  <c r="AD351" i="5" s="1"/>
  <c r="L351" i="5"/>
  <c r="K351" i="5"/>
  <c r="AB351" i="5" s="1"/>
  <c r="AC351" i="5" s="1"/>
  <c r="J351" i="5"/>
  <c r="A351" i="5"/>
  <c r="AB350" i="5"/>
  <c r="AC350" i="5" s="1"/>
  <c r="V350" i="5"/>
  <c r="U350" i="5"/>
  <c r="T350" i="5"/>
  <c r="S350" i="5"/>
  <c r="R350" i="5"/>
  <c r="P350" i="5"/>
  <c r="M350" i="5"/>
  <c r="AD350" i="5" s="1"/>
  <c r="K350" i="5"/>
  <c r="J350" i="5"/>
  <c r="A350" i="5"/>
  <c r="AC349" i="5"/>
  <c r="AB349" i="5"/>
  <c r="X349" i="5"/>
  <c r="W349" i="5"/>
  <c r="V349" i="5"/>
  <c r="U349" i="5"/>
  <c r="T349" i="5"/>
  <c r="S349" i="5"/>
  <c r="R349" i="5"/>
  <c r="M349" i="5"/>
  <c r="K349" i="5"/>
  <c r="J349" i="5"/>
  <c r="A349" i="5"/>
  <c r="AB348" i="5"/>
  <c r="AC348" i="5" s="1"/>
  <c r="AA348" i="5"/>
  <c r="X348" i="5"/>
  <c r="W348" i="5"/>
  <c r="V348" i="5"/>
  <c r="U348" i="5"/>
  <c r="T348" i="5"/>
  <c r="S348" i="5"/>
  <c r="R348" i="5"/>
  <c r="P348" i="5"/>
  <c r="M348" i="5"/>
  <c r="K348" i="5"/>
  <c r="J348" i="5"/>
  <c r="A348" i="5"/>
  <c r="V347" i="5"/>
  <c r="X347" i="5" s="1"/>
  <c r="U347" i="5"/>
  <c r="T347" i="5"/>
  <c r="S347" i="5"/>
  <c r="R347" i="5"/>
  <c r="P347" i="5"/>
  <c r="M347" i="5"/>
  <c r="AD347" i="5" s="1"/>
  <c r="K347" i="5"/>
  <c r="AB347" i="5" s="1"/>
  <c r="AC347" i="5" s="1"/>
  <c r="J347" i="5"/>
  <c r="A347" i="5"/>
  <c r="AB346" i="5"/>
  <c r="AC346" i="5" s="1"/>
  <c r="X346" i="5"/>
  <c r="W346" i="5"/>
  <c r="V346" i="5"/>
  <c r="U346" i="5"/>
  <c r="T346" i="5"/>
  <c r="S346" i="5"/>
  <c r="R346" i="5"/>
  <c r="Q346" i="5"/>
  <c r="P346" i="5"/>
  <c r="M346" i="5"/>
  <c r="K346" i="5"/>
  <c r="J346" i="5"/>
  <c r="A346" i="5"/>
  <c r="Y345" i="5"/>
  <c r="Z345" i="5" s="1"/>
  <c r="X345" i="5"/>
  <c r="W345" i="5"/>
  <c r="V345" i="5"/>
  <c r="U345" i="5"/>
  <c r="T345" i="5"/>
  <c r="S345" i="5"/>
  <c r="R345" i="5"/>
  <c r="Q345" i="5"/>
  <c r="P345" i="5"/>
  <c r="M345" i="5"/>
  <c r="AD345" i="5" s="1"/>
  <c r="L345" i="5"/>
  <c r="K345" i="5"/>
  <c r="AB345" i="5" s="1"/>
  <c r="AC345" i="5" s="1"/>
  <c r="J345" i="5"/>
  <c r="A345" i="5"/>
  <c r="AB344" i="5"/>
  <c r="AC344" i="5" s="1"/>
  <c r="Y344" i="5"/>
  <c r="X344" i="5"/>
  <c r="V344" i="5"/>
  <c r="W344" i="5" s="1"/>
  <c r="U344" i="5"/>
  <c r="T344" i="5"/>
  <c r="S344" i="5"/>
  <c r="R344" i="5"/>
  <c r="P344" i="5"/>
  <c r="M344" i="5"/>
  <c r="AD344" i="5" s="1"/>
  <c r="K344" i="5"/>
  <c r="J344" i="5"/>
  <c r="A344" i="5"/>
  <c r="AD343" i="5"/>
  <c r="AB343" i="5"/>
  <c r="AC343" i="5" s="1"/>
  <c r="AA343" i="5"/>
  <c r="X343" i="5"/>
  <c r="W343" i="5"/>
  <c r="V343" i="5"/>
  <c r="U343" i="5"/>
  <c r="T343" i="5"/>
  <c r="S343" i="5"/>
  <c r="R343" i="5"/>
  <c r="Q343" i="5"/>
  <c r="P343" i="5"/>
  <c r="M343" i="5"/>
  <c r="L343" i="5" s="1"/>
  <c r="K343" i="5"/>
  <c r="J343" i="5"/>
  <c r="A343" i="5"/>
  <c r="X342" i="5"/>
  <c r="W342" i="5"/>
  <c r="V342" i="5"/>
  <c r="U342" i="5"/>
  <c r="T342" i="5"/>
  <c r="S342" i="5"/>
  <c r="R342" i="5"/>
  <c r="M342" i="5"/>
  <c r="AA342" i="5" s="1"/>
  <c r="K342" i="5"/>
  <c r="AB342" i="5" s="1"/>
  <c r="AC342" i="5" s="1"/>
  <c r="J342" i="5"/>
  <c r="A342" i="5"/>
  <c r="AB341" i="5"/>
  <c r="AC341" i="5" s="1"/>
  <c r="X341" i="5"/>
  <c r="W341" i="5"/>
  <c r="V341" i="5"/>
  <c r="U341" i="5"/>
  <c r="T341" i="5"/>
  <c r="S341" i="5"/>
  <c r="R341" i="5"/>
  <c r="P341" i="5"/>
  <c r="M341" i="5"/>
  <c r="AD341" i="5" s="1"/>
  <c r="K341" i="5"/>
  <c r="J341" i="5"/>
  <c r="A341" i="5"/>
  <c r="AC340" i="5"/>
  <c r="AB340" i="5"/>
  <c r="X340" i="5"/>
  <c r="W340" i="5"/>
  <c r="V340" i="5"/>
  <c r="U340" i="5"/>
  <c r="T340" i="5"/>
  <c r="S340" i="5"/>
  <c r="R340" i="5"/>
  <c r="M340" i="5"/>
  <c r="K340" i="5"/>
  <c r="J340" i="5"/>
  <c r="A340" i="5"/>
  <c r="AC339" i="5"/>
  <c r="AA339" i="5"/>
  <c r="X339" i="5"/>
  <c r="Y339" i="5" s="1"/>
  <c r="Z339" i="5" s="1"/>
  <c r="W339" i="5"/>
  <c r="V339" i="5"/>
  <c r="U339" i="5"/>
  <c r="T339" i="5"/>
  <c r="S339" i="5"/>
  <c r="R339" i="5"/>
  <c r="Q339" i="5"/>
  <c r="M339" i="5"/>
  <c r="L339" i="5" s="1"/>
  <c r="K339" i="5"/>
  <c r="AB339" i="5" s="1"/>
  <c r="J339" i="5"/>
  <c r="A339" i="5"/>
  <c r="AB338" i="5"/>
  <c r="AC338" i="5" s="1"/>
  <c r="V338" i="5"/>
  <c r="U338" i="5"/>
  <c r="T338" i="5"/>
  <c r="S338" i="5"/>
  <c r="R338" i="5"/>
  <c r="P338" i="5"/>
  <c r="M338" i="5"/>
  <c r="AD338" i="5" s="1"/>
  <c r="K338" i="5"/>
  <c r="J338" i="5"/>
  <c r="A338" i="5"/>
  <c r="AD337" i="5"/>
  <c r="AB337" i="5"/>
  <c r="AC337" i="5" s="1"/>
  <c r="AA337" i="5"/>
  <c r="X337" i="5"/>
  <c r="W337" i="5"/>
  <c r="V337" i="5"/>
  <c r="U337" i="5"/>
  <c r="T337" i="5"/>
  <c r="S337" i="5"/>
  <c r="R337" i="5"/>
  <c r="Q337" i="5"/>
  <c r="P337" i="5"/>
  <c r="M337" i="5"/>
  <c r="L337" i="5" s="1"/>
  <c r="K337" i="5"/>
  <c r="J337" i="5"/>
  <c r="A337" i="5"/>
  <c r="AC336" i="5"/>
  <c r="AB336" i="5"/>
  <c r="AA336" i="5"/>
  <c r="Z336" i="5"/>
  <c r="X336" i="5"/>
  <c r="Y336" i="5" s="1"/>
  <c r="W336" i="5"/>
  <c r="V336" i="5"/>
  <c r="U336" i="5"/>
  <c r="T336" i="5"/>
  <c r="S336" i="5"/>
  <c r="R336" i="5"/>
  <c r="Q336" i="5"/>
  <c r="P336" i="5"/>
  <c r="M336" i="5"/>
  <c r="AD336" i="5" s="1"/>
  <c r="L336" i="5"/>
  <c r="K336" i="5"/>
  <c r="J336" i="5"/>
  <c r="A336" i="5"/>
  <c r="X335" i="5"/>
  <c r="W335" i="5"/>
  <c r="V335" i="5"/>
  <c r="U335" i="5"/>
  <c r="T335" i="5"/>
  <c r="S335" i="5"/>
  <c r="R335" i="5"/>
  <c r="P335" i="5"/>
  <c r="M335" i="5"/>
  <c r="AD335" i="5" s="1"/>
  <c r="K335" i="5"/>
  <c r="AB335" i="5" s="1"/>
  <c r="AC335" i="5" s="1"/>
  <c r="J335" i="5"/>
  <c r="A335" i="5"/>
  <c r="AC334" i="5"/>
  <c r="AB334" i="5"/>
  <c r="AA334" i="5"/>
  <c r="X334" i="5"/>
  <c r="W334" i="5"/>
  <c r="V334" i="5"/>
  <c r="U334" i="5"/>
  <c r="T334" i="5"/>
  <c r="S334" i="5"/>
  <c r="R334" i="5"/>
  <c r="P334" i="5"/>
  <c r="M334" i="5"/>
  <c r="K334" i="5"/>
  <c r="J334" i="5"/>
  <c r="A334" i="5"/>
  <c r="AB333" i="5"/>
  <c r="AC333" i="5" s="1"/>
  <c r="Z333" i="5"/>
  <c r="Y333" i="5"/>
  <c r="X333" i="5"/>
  <c r="W333" i="5"/>
  <c r="V333" i="5"/>
  <c r="U333" i="5"/>
  <c r="T333" i="5"/>
  <c r="S333" i="5"/>
  <c r="R333" i="5"/>
  <c r="Q333" i="5"/>
  <c r="P333" i="5"/>
  <c r="M333" i="5"/>
  <c r="AD333" i="5" s="1"/>
  <c r="L333" i="5"/>
  <c r="K333" i="5"/>
  <c r="J333" i="5"/>
  <c r="A333" i="5"/>
  <c r="AB332" i="5"/>
  <c r="AC332" i="5" s="1"/>
  <c r="Y332" i="5"/>
  <c r="V332" i="5"/>
  <c r="X332" i="5" s="1"/>
  <c r="U332" i="5"/>
  <c r="T332" i="5"/>
  <c r="S332" i="5"/>
  <c r="R332" i="5"/>
  <c r="P332" i="5"/>
  <c r="M332" i="5"/>
  <c r="AD332" i="5" s="1"/>
  <c r="K332" i="5"/>
  <c r="J332" i="5"/>
  <c r="A332" i="5"/>
  <c r="AC331" i="5"/>
  <c r="AB331" i="5"/>
  <c r="X331" i="5"/>
  <c r="W331" i="5"/>
  <c r="V331" i="5"/>
  <c r="U331" i="5"/>
  <c r="T331" i="5"/>
  <c r="S331" i="5"/>
  <c r="R331" i="5"/>
  <c r="Q331" i="5"/>
  <c r="M331" i="5"/>
  <c r="K331" i="5"/>
  <c r="J331" i="5"/>
  <c r="A331" i="5"/>
  <c r="AB330" i="5"/>
  <c r="AC330" i="5" s="1"/>
  <c r="AA330" i="5"/>
  <c r="X330" i="5"/>
  <c r="W330" i="5"/>
  <c r="V330" i="5"/>
  <c r="U330" i="5"/>
  <c r="T330" i="5"/>
  <c r="S330" i="5"/>
  <c r="R330" i="5"/>
  <c r="P330" i="5"/>
  <c r="M330" i="5"/>
  <c r="K330" i="5"/>
  <c r="J330" i="5"/>
  <c r="A330" i="5"/>
  <c r="X329" i="5"/>
  <c r="W329" i="5"/>
  <c r="V329" i="5"/>
  <c r="U329" i="5"/>
  <c r="T329" i="5"/>
  <c r="S329" i="5"/>
  <c r="R329" i="5"/>
  <c r="P329" i="5"/>
  <c r="M329" i="5"/>
  <c r="AD329" i="5" s="1"/>
  <c r="K329" i="5"/>
  <c r="AB329" i="5" s="1"/>
  <c r="AC329" i="5" s="1"/>
  <c r="J329" i="5"/>
  <c r="A329" i="5"/>
  <c r="AC328" i="5"/>
  <c r="AB328" i="5"/>
  <c r="X328" i="5"/>
  <c r="W328" i="5"/>
  <c r="V328" i="5"/>
  <c r="U328" i="5"/>
  <c r="T328" i="5"/>
  <c r="S328" i="5"/>
  <c r="R328" i="5"/>
  <c r="M328" i="5"/>
  <c r="AD328" i="5" s="1"/>
  <c r="K328" i="5"/>
  <c r="J328" i="5"/>
  <c r="A328" i="5"/>
  <c r="AC327" i="5"/>
  <c r="Z327" i="5"/>
  <c r="Y327" i="5"/>
  <c r="X327" i="5"/>
  <c r="W327" i="5"/>
  <c r="V327" i="5"/>
  <c r="U327" i="5"/>
  <c r="T327" i="5"/>
  <c r="S327" i="5"/>
  <c r="R327" i="5"/>
  <c r="Q327" i="5"/>
  <c r="P327" i="5"/>
  <c r="M327" i="5"/>
  <c r="AD327" i="5" s="1"/>
  <c r="L327" i="5"/>
  <c r="K327" i="5"/>
  <c r="AB327" i="5" s="1"/>
  <c r="J327" i="5"/>
  <c r="A327" i="5"/>
  <c r="AB326" i="5"/>
  <c r="AC326" i="5" s="1"/>
  <c r="V326" i="5"/>
  <c r="U326" i="5"/>
  <c r="T326" i="5"/>
  <c r="S326" i="5"/>
  <c r="R326" i="5"/>
  <c r="P326" i="5"/>
  <c r="M326" i="5"/>
  <c r="AD326" i="5" s="1"/>
  <c r="K326" i="5"/>
  <c r="J326" i="5"/>
  <c r="A326" i="5"/>
  <c r="AD325" i="5"/>
  <c r="AB325" i="5"/>
  <c r="AC325" i="5" s="1"/>
  <c r="AA325" i="5"/>
  <c r="X325" i="5"/>
  <c r="W325" i="5"/>
  <c r="V325" i="5"/>
  <c r="U325" i="5"/>
  <c r="T325" i="5"/>
  <c r="S325" i="5"/>
  <c r="R325" i="5"/>
  <c r="Q325" i="5"/>
  <c r="P325" i="5"/>
  <c r="M325" i="5"/>
  <c r="L325" i="5" s="1"/>
  <c r="K325" i="5"/>
  <c r="J325" i="5"/>
  <c r="A325" i="5"/>
  <c r="Y324" i="5"/>
  <c r="X324" i="5"/>
  <c r="W324" i="5"/>
  <c r="V324" i="5"/>
  <c r="U324" i="5"/>
  <c r="T324" i="5"/>
  <c r="S324" i="5"/>
  <c r="R324" i="5"/>
  <c r="P324" i="5"/>
  <c r="M324" i="5"/>
  <c r="K324" i="5"/>
  <c r="AB324" i="5" s="1"/>
  <c r="AC324" i="5" s="1"/>
  <c r="J324" i="5"/>
  <c r="A324" i="5"/>
  <c r="X323" i="5"/>
  <c r="W323" i="5"/>
  <c r="V323" i="5"/>
  <c r="U323" i="5"/>
  <c r="T323" i="5"/>
  <c r="S323" i="5"/>
  <c r="R323" i="5"/>
  <c r="P323" i="5"/>
  <c r="M323" i="5"/>
  <c r="AD323" i="5" s="1"/>
  <c r="K323" i="5"/>
  <c r="AB323" i="5" s="1"/>
  <c r="AC323" i="5" s="1"/>
  <c r="J323" i="5"/>
  <c r="A323" i="5"/>
  <c r="AC322" i="5"/>
  <c r="AB322" i="5"/>
  <c r="X322" i="5"/>
  <c r="W322" i="5"/>
  <c r="V322" i="5"/>
  <c r="U322" i="5"/>
  <c r="T322" i="5"/>
  <c r="S322" i="5"/>
  <c r="R322" i="5"/>
  <c r="P322" i="5"/>
  <c r="M322" i="5"/>
  <c r="K322" i="5"/>
  <c r="J322" i="5"/>
  <c r="A322" i="5"/>
  <c r="AC321" i="5"/>
  <c r="Y321" i="5"/>
  <c r="X321" i="5"/>
  <c r="W321" i="5"/>
  <c r="V321" i="5"/>
  <c r="U321" i="5"/>
  <c r="T321" i="5"/>
  <c r="S321" i="5"/>
  <c r="R321" i="5"/>
  <c r="M321" i="5"/>
  <c r="AA321" i="5" s="1"/>
  <c r="K321" i="5"/>
  <c r="AB321" i="5" s="1"/>
  <c r="J321" i="5"/>
  <c r="A321" i="5"/>
  <c r="AB320" i="5"/>
  <c r="AC320" i="5" s="1"/>
  <c r="V320" i="5"/>
  <c r="U320" i="5"/>
  <c r="T320" i="5"/>
  <c r="S320" i="5"/>
  <c r="R320" i="5"/>
  <c r="P320" i="5"/>
  <c r="M320" i="5"/>
  <c r="AD320" i="5" s="1"/>
  <c r="K320" i="5"/>
  <c r="J320" i="5"/>
  <c r="A320" i="5"/>
  <c r="AD319" i="5"/>
  <c r="AB319" i="5"/>
  <c r="AC319" i="5" s="1"/>
  <c r="AA319" i="5"/>
  <c r="X319" i="5"/>
  <c r="W319" i="5"/>
  <c r="V319" i="5"/>
  <c r="U319" i="5"/>
  <c r="T319" i="5"/>
  <c r="S319" i="5"/>
  <c r="R319" i="5"/>
  <c r="Q319" i="5"/>
  <c r="P319" i="5"/>
  <c r="M319" i="5"/>
  <c r="L319" i="5" s="1"/>
  <c r="K319" i="5"/>
  <c r="J319" i="5"/>
  <c r="A319" i="5"/>
  <c r="AC318" i="5"/>
  <c r="AB318" i="5"/>
  <c r="AA318" i="5"/>
  <c r="Z318" i="5"/>
  <c r="X318" i="5"/>
  <c r="Y318" i="5" s="1"/>
  <c r="W318" i="5"/>
  <c r="V318" i="5"/>
  <c r="U318" i="5"/>
  <c r="T318" i="5"/>
  <c r="S318" i="5"/>
  <c r="R318" i="5"/>
  <c r="Q318" i="5"/>
  <c r="P318" i="5"/>
  <c r="M318" i="5"/>
  <c r="AD318" i="5" s="1"/>
  <c r="L318" i="5"/>
  <c r="K318" i="5"/>
  <c r="J318" i="5"/>
  <c r="A318" i="5"/>
  <c r="X317" i="5"/>
  <c r="W317" i="5"/>
  <c r="V317" i="5"/>
  <c r="U317" i="5"/>
  <c r="T317" i="5"/>
  <c r="S317" i="5"/>
  <c r="R317" i="5"/>
  <c r="P317" i="5"/>
  <c r="M317" i="5"/>
  <c r="AD317" i="5" s="1"/>
  <c r="K317" i="5"/>
  <c r="AB317" i="5" s="1"/>
  <c r="AC317" i="5" s="1"/>
  <c r="J317" i="5"/>
  <c r="A317" i="5"/>
  <c r="AD316" i="5"/>
  <c r="AC316" i="5"/>
  <c r="AB316" i="5"/>
  <c r="AA316" i="5"/>
  <c r="X316" i="5"/>
  <c r="W316" i="5"/>
  <c r="V316" i="5"/>
  <c r="U316" i="5"/>
  <c r="T316" i="5"/>
  <c r="S316" i="5"/>
  <c r="R316" i="5"/>
  <c r="M316" i="5"/>
  <c r="K316" i="5"/>
  <c r="J316" i="5"/>
  <c r="A316" i="5"/>
  <c r="AC315" i="5"/>
  <c r="AB315" i="5"/>
  <c r="Z315" i="5"/>
  <c r="Y315" i="5"/>
  <c r="X315" i="5"/>
  <c r="W315" i="5"/>
  <c r="V315" i="5"/>
  <c r="U315" i="5"/>
  <c r="T315" i="5"/>
  <c r="S315" i="5"/>
  <c r="R315" i="5"/>
  <c r="Q315" i="5"/>
  <c r="P315" i="5"/>
  <c r="M315" i="5"/>
  <c r="AD315" i="5" s="1"/>
  <c r="L315" i="5"/>
  <c r="K315" i="5"/>
  <c r="J315" i="5"/>
  <c r="A315" i="5"/>
  <c r="AB314" i="5"/>
  <c r="AC314" i="5" s="1"/>
  <c r="V314" i="5"/>
  <c r="X314" i="5" s="1"/>
  <c r="U314" i="5"/>
  <c r="T314" i="5"/>
  <c r="S314" i="5"/>
  <c r="R314" i="5"/>
  <c r="P314" i="5"/>
  <c r="M314" i="5"/>
  <c r="AD314" i="5" s="1"/>
  <c r="K314" i="5"/>
  <c r="J314" i="5"/>
  <c r="A314" i="5"/>
  <c r="AB313" i="5"/>
  <c r="AC313" i="5" s="1"/>
  <c r="AA313" i="5"/>
  <c r="X313" i="5"/>
  <c r="W313" i="5"/>
  <c r="V313" i="5"/>
  <c r="U313" i="5"/>
  <c r="T313" i="5"/>
  <c r="S313" i="5"/>
  <c r="R313" i="5"/>
  <c r="Q313" i="5"/>
  <c r="M313" i="5"/>
  <c r="K313" i="5"/>
  <c r="J313" i="5"/>
  <c r="A313" i="5"/>
  <c r="AB312" i="5"/>
  <c r="AC312" i="5" s="1"/>
  <c r="AA312" i="5"/>
  <c r="X312" i="5"/>
  <c r="W312" i="5"/>
  <c r="V312" i="5"/>
  <c r="U312" i="5"/>
  <c r="T312" i="5"/>
  <c r="S312" i="5"/>
  <c r="R312" i="5"/>
  <c r="M312" i="5"/>
  <c r="K312" i="5"/>
  <c r="J312" i="5"/>
  <c r="A312" i="5"/>
  <c r="Y311" i="5"/>
  <c r="X311" i="5"/>
  <c r="W311" i="5"/>
  <c r="V311" i="5"/>
  <c r="U311" i="5"/>
  <c r="T311" i="5"/>
  <c r="S311" i="5"/>
  <c r="R311" i="5"/>
  <c r="P311" i="5"/>
  <c r="M311" i="5"/>
  <c r="AD311" i="5" s="1"/>
  <c r="K311" i="5"/>
  <c r="AB311" i="5" s="1"/>
  <c r="AC311" i="5" s="1"/>
  <c r="J311" i="5"/>
  <c r="A311" i="5"/>
  <c r="AC310" i="5"/>
  <c r="AB310" i="5"/>
  <c r="X310" i="5"/>
  <c r="W310" i="5"/>
  <c r="V310" i="5"/>
  <c r="U310" i="5"/>
  <c r="T310" i="5"/>
  <c r="S310" i="5"/>
  <c r="R310" i="5"/>
  <c r="P310" i="5"/>
  <c r="M310" i="5"/>
  <c r="AD310" i="5" s="1"/>
  <c r="K310" i="5"/>
  <c r="J310" i="5"/>
  <c r="A310" i="5"/>
  <c r="AC309" i="5"/>
  <c r="Y309" i="5"/>
  <c r="Z309" i="5" s="1"/>
  <c r="X309" i="5"/>
  <c r="W309" i="5"/>
  <c r="V309" i="5"/>
  <c r="U309" i="5"/>
  <c r="T309" i="5"/>
  <c r="S309" i="5"/>
  <c r="R309" i="5"/>
  <c r="Q309" i="5"/>
  <c r="P309" i="5"/>
  <c r="M309" i="5"/>
  <c r="AD309" i="5" s="1"/>
  <c r="L309" i="5"/>
  <c r="K309" i="5"/>
  <c r="AB309" i="5" s="1"/>
  <c r="J309" i="5"/>
  <c r="A309" i="5"/>
  <c r="AA308" i="5"/>
  <c r="Y308" i="5"/>
  <c r="W308" i="5"/>
  <c r="V308" i="5"/>
  <c r="X308" i="5" s="1"/>
  <c r="U308" i="5"/>
  <c r="T308" i="5"/>
  <c r="S308" i="5"/>
  <c r="R308" i="5"/>
  <c r="M308" i="5"/>
  <c r="K308" i="5"/>
  <c r="AB308" i="5" s="1"/>
  <c r="AC308" i="5" s="1"/>
  <c r="J308" i="5"/>
  <c r="A308" i="5"/>
  <c r="AC307" i="5"/>
  <c r="AB307" i="5"/>
  <c r="X307" i="5"/>
  <c r="W307" i="5"/>
  <c r="V307" i="5"/>
  <c r="U307" i="5"/>
  <c r="T307" i="5"/>
  <c r="S307" i="5"/>
  <c r="R307" i="5"/>
  <c r="Q307" i="5"/>
  <c r="M307" i="5"/>
  <c r="K307" i="5"/>
  <c r="J307" i="5"/>
  <c r="A307" i="5"/>
  <c r="AC306" i="5"/>
  <c r="AB306" i="5"/>
  <c r="X306" i="5"/>
  <c r="W306" i="5"/>
  <c r="V306" i="5"/>
  <c r="U306" i="5"/>
  <c r="T306" i="5"/>
  <c r="S306" i="5"/>
  <c r="R306" i="5"/>
  <c r="Q306" i="5"/>
  <c r="P306" i="5"/>
  <c r="M306" i="5"/>
  <c r="AD306" i="5" s="1"/>
  <c r="L306" i="5"/>
  <c r="K306" i="5"/>
  <c r="J306" i="5"/>
  <c r="A306" i="5"/>
  <c r="AA305" i="5"/>
  <c r="X305" i="5"/>
  <c r="V305" i="5"/>
  <c r="W305" i="5" s="1"/>
  <c r="U305" i="5"/>
  <c r="T305" i="5"/>
  <c r="S305" i="5"/>
  <c r="R305" i="5"/>
  <c r="M305" i="5"/>
  <c r="K305" i="5"/>
  <c r="AB305" i="5" s="1"/>
  <c r="AC305" i="5" s="1"/>
  <c r="J305" i="5"/>
  <c r="A305" i="5"/>
  <c r="AD304" i="5"/>
  <c r="AB304" i="5"/>
  <c r="AC304" i="5" s="1"/>
  <c r="AA304" i="5"/>
  <c r="X304" i="5"/>
  <c r="W304" i="5"/>
  <c r="V304" i="5"/>
  <c r="U304" i="5"/>
  <c r="T304" i="5"/>
  <c r="S304" i="5"/>
  <c r="R304" i="5"/>
  <c r="Q304" i="5"/>
  <c r="P304" i="5"/>
  <c r="M304" i="5"/>
  <c r="L304" i="5" s="1"/>
  <c r="K304" i="5"/>
  <c r="J304" i="5"/>
  <c r="A304" i="5"/>
  <c r="AC303" i="5"/>
  <c r="AB303" i="5"/>
  <c r="X303" i="5"/>
  <c r="Y303" i="5" s="1"/>
  <c r="W303" i="5"/>
  <c r="V303" i="5"/>
  <c r="U303" i="5"/>
  <c r="T303" i="5"/>
  <c r="S303" i="5"/>
  <c r="R303" i="5"/>
  <c r="P303" i="5"/>
  <c r="M303" i="5"/>
  <c r="K303" i="5"/>
  <c r="J303" i="5"/>
  <c r="A303" i="5"/>
  <c r="AB302" i="5"/>
  <c r="AC302" i="5" s="1"/>
  <c r="V302" i="5"/>
  <c r="U302" i="5"/>
  <c r="T302" i="5"/>
  <c r="S302" i="5"/>
  <c r="R302" i="5"/>
  <c r="P302" i="5"/>
  <c r="M302" i="5"/>
  <c r="K302" i="5"/>
  <c r="J302" i="5"/>
  <c r="A302" i="5"/>
  <c r="AD301" i="5"/>
  <c r="AB301" i="5"/>
  <c r="AC301" i="5" s="1"/>
  <c r="AA301" i="5"/>
  <c r="X301" i="5"/>
  <c r="W301" i="5"/>
  <c r="V301" i="5"/>
  <c r="U301" i="5"/>
  <c r="T301" i="5"/>
  <c r="S301" i="5"/>
  <c r="R301" i="5"/>
  <c r="Q301" i="5"/>
  <c r="P301" i="5"/>
  <c r="M301" i="5"/>
  <c r="L301" i="5" s="1"/>
  <c r="K301" i="5"/>
  <c r="J301" i="5"/>
  <c r="A301" i="5"/>
  <c r="AC300" i="5"/>
  <c r="AA300" i="5"/>
  <c r="Z300" i="5"/>
  <c r="Y300" i="5"/>
  <c r="X300" i="5"/>
  <c r="W300" i="5"/>
  <c r="V300" i="5"/>
  <c r="U300" i="5"/>
  <c r="T300" i="5"/>
  <c r="S300" i="5"/>
  <c r="R300" i="5"/>
  <c r="M300" i="5"/>
  <c r="L300" i="5"/>
  <c r="K300" i="5"/>
  <c r="AB300" i="5" s="1"/>
  <c r="J300" i="5"/>
  <c r="A300" i="5"/>
  <c r="V299" i="5"/>
  <c r="U299" i="5"/>
  <c r="T299" i="5"/>
  <c r="S299" i="5"/>
  <c r="R299" i="5"/>
  <c r="M299" i="5"/>
  <c r="K299" i="5"/>
  <c r="AB299" i="5" s="1"/>
  <c r="AC299" i="5" s="1"/>
  <c r="J299" i="5"/>
  <c r="A299" i="5"/>
  <c r="AB298" i="5"/>
  <c r="AC298" i="5" s="1"/>
  <c r="X298" i="5"/>
  <c r="W298" i="5"/>
  <c r="V298" i="5"/>
  <c r="U298" i="5"/>
  <c r="T298" i="5"/>
  <c r="S298" i="5"/>
  <c r="R298" i="5"/>
  <c r="M298" i="5"/>
  <c r="K298" i="5"/>
  <c r="J298" i="5"/>
  <c r="A298" i="5"/>
  <c r="AD297" i="5"/>
  <c r="Z297" i="5"/>
  <c r="X297" i="5"/>
  <c r="Y297" i="5" s="1"/>
  <c r="W297" i="5"/>
  <c r="V297" i="5"/>
  <c r="U297" i="5"/>
  <c r="T297" i="5"/>
  <c r="S297" i="5"/>
  <c r="R297" i="5"/>
  <c r="Q297" i="5"/>
  <c r="M297" i="5"/>
  <c r="K297" i="5"/>
  <c r="AB297" i="5" s="1"/>
  <c r="AC297" i="5" s="1"/>
  <c r="J297" i="5"/>
  <c r="A297" i="5"/>
  <c r="AB296" i="5"/>
  <c r="AC296" i="5" s="1"/>
  <c r="X296" i="5"/>
  <c r="W296" i="5"/>
  <c r="V296" i="5"/>
  <c r="U296" i="5"/>
  <c r="T296" i="5"/>
  <c r="S296" i="5"/>
  <c r="R296" i="5"/>
  <c r="M296" i="5"/>
  <c r="K296" i="5"/>
  <c r="J296" i="5"/>
  <c r="A296" i="5"/>
  <c r="AD295" i="5"/>
  <c r="AB295" i="5"/>
  <c r="AC295" i="5" s="1"/>
  <c r="AA295" i="5"/>
  <c r="W295" i="5"/>
  <c r="V295" i="5"/>
  <c r="X295" i="5" s="1"/>
  <c r="U295" i="5"/>
  <c r="T295" i="5"/>
  <c r="S295" i="5"/>
  <c r="R295" i="5"/>
  <c r="Q295" i="5"/>
  <c r="P295" i="5"/>
  <c r="M295" i="5"/>
  <c r="L295" i="5" s="1"/>
  <c r="K295" i="5"/>
  <c r="J295" i="5"/>
  <c r="A295" i="5"/>
  <c r="AA294" i="5"/>
  <c r="Y294" i="5"/>
  <c r="X294" i="5"/>
  <c r="W294" i="5"/>
  <c r="V294" i="5"/>
  <c r="U294" i="5"/>
  <c r="T294" i="5"/>
  <c r="S294" i="5"/>
  <c r="R294" i="5"/>
  <c r="Q294" i="5"/>
  <c r="M294" i="5"/>
  <c r="K294" i="5"/>
  <c r="AB294" i="5" s="1"/>
  <c r="AC294" i="5" s="1"/>
  <c r="J294" i="5"/>
  <c r="A294" i="5"/>
  <c r="AA293" i="5"/>
  <c r="X293" i="5"/>
  <c r="Y293" i="5" s="1"/>
  <c r="V293" i="5"/>
  <c r="W293" i="5" s="1"/>
  <c r="U293" i="5"/>
  <c r="T293" i="5"/>
  <c r="S293" i="5"/>
  <c r="R293" i="5"/>
  <c r="P293" i="5"/>
  <c r="M293" i="5"/>
  <c r="L293" i="5"/>
  <c r="K293" i="5"/>
  <c r="AB293" i="5" s="1"/>
  <c r="AC293" i="5" s="1"/>
  <c r="J293" i="5"/>
  <c r="A293" i="5"/>
  <c r="AB292" i="5"/>
  <c r="AC292" i="5" s="1"/>
  <c r="V292" i="5"/>
  <c r="U292" i="5"/>
  <c r="T292" i="5"/>
  <c r="S292" i="5"/>
  <c r="R292" i="5"/>
  <c r="P292" i="5"/>
  <c r="M292" i="5"/>
  <c r="K292" i="5"/>
  <c r="J292" i="5"/>
  <c r="A292" i="5"/>
  <c r="AC291" i="5"/>
  <c r="AA291" i="5"/>
  <c r="Z291" i="5"/>
  <c r="X291" i="5"/>
  <c r="Y291" i="5" s="1"/>
  <c r="W291" i="5"/>
  <c r="V291" i="5"/>
  <c r="U291" i="5"/>
  <c r="T291" i="5"/>
  <c r="S291" i="5"/>
  <c r="R291" i="5"/>
  <c r="Q291" i="5"/>
  <c r="M291" i="5"/>
  <c r="P291" i="5" s="1"/>
  <c r="L291" i="5"/>
  <c r="K291" i="5"/>
  <c r="AB291" i="5" s="1"/>
  <c r="J291" i="5"/>
  <c r="A291" i="5"/>
  <c r="AB290" i="5"/>
  <c r="AC290" i="5" s="1"/>
  <c r="Y290" i="5"/>
  <c r="X290" i="5"/>
  <c r="W290" i="5"/>
  <c r="V290" i="5"/>
  <c r="U290" i="5"/>
  <c r="T290" i="5"/>
  <c r="S290" i="5"/>
  <c r="R290" i="5"/>
  <c r="P290" i="5"/>
  <c r="M290" i="5"/>
  <c r="L290" i="5" s="1"/>
  <c r="K290" i="5"/>
  <c r="J290" i="5"/>
  <c r="A290" i="5"/>
  <c r="AD289" i="5"/>
  <c r="AA289" i="5"/>
  <c r="V289" i="5"/>
  <c r="U289" i="5"/>
  <c r="T289" i="5"/>
  <c r="S289" i="5"/>
  <c r="R289" i="5"/>
  <c r="Q289" i="5"/>
  <c r="P289" i="5"/>
  <c r="M289" i="5"/>
  <c r="L289" i="5"/>
  <c r="K289" i="5"/>
  <c r="AB289" i="5" s="1"/>
  <c r="AC289" i="5" s="1"/>
  <c r="J289" i="5"/>
  <c r="A289" i="5"/>
  <c r="AD288" i="5"/>
  <c r="AB288" i="5"/>
  <c r="AC288" i="5" s="1"/>
  <c r="V288" i="5"/>
  <c r="W288" i="5" s="1"/>
  <c r="U288" i="5"/>
  <c r="T288" i="5"/>
  <c r="S288" i="5"/>
  <c r="R288" i="5"/>
  <c r="Q288" i="5"/>
  <c r="P288" i="5"/>
  <c r="M288" i="5"/>
  <c r="AA288" i="5" s="1"/>
  <c r="L288" i="5"/>
  <c r="K288" i="5"/>
  <c r="J288" i="5"/>
  <c r="A288" i="5"/>
  <c r="V287" i="5"/>
  <c r="U287" i="5"/>
  <c r="T287" i="5"/>
  <c r="S287" i="5"/>
  <c r="R287" i="5"/>
  <c r="M287" i="5"/>
  <c r="P287" i="5" s="1"/>
  <c r="K287" i="5"/>
  <c r="AB287" i="5" s="1"/>
  <c r="AC287" i="5" s="1"/>
  <c r="J287" i="5"/>
  <c r="A287" i="5"/>
  <c r="AD286" i="5"/>
  <c r="Z286" i="5"/>
  <c r="Y286" i="5"/>
  <c r="V286" i="5"/>
  <c r="X286" i="5" s="1"/>
  <c r="U286" i="5"/>
  <c r="T286" i="5"/>
  <c r="S286" i="5"/>
  <c r="R286" i="5"/>
  <c r="Q286" i="5"/>
  <c r="P286" i="5"/>
  <c r="M286" i="5"/>
  <c r="AA286" i="5" s="1"/>
  <c r="L286" i="5"/>
  <c r="K286" i="5"/>
  <c r="AB286" i="5" s="1"/>
  <c r="AC286" i="5" s="1"/>
  <c r="J286" i="5"/>
  <c r="A286" i="5"/>
  <c r="AD285" i="5"/>
  <c r="Y285" i="5"/>
  <c r="X285" i="5"/>
  <c r="V285" i="5"/>
  <c r="W285" i="5" s="1"/>
  <c r="U285" i="5"/>
  <c r="T285" i="5"/>
  <c r="S285" i="5"/>
  <c r="R285" i="5"/>
  <c r="Q285" i="5"/>
  <c r="P285" i="5"/>
  <c r="M285" i="5"/>
  <c r="AA285" i="5" s="1"/>
  <c r="L285" i="5"/>
  <c r="K285" i="5"/>
  <c r="AB285" i="5" s="1"/>
  <c r="AC285" i="5" s="1"/>
  <c r="J285" i="5"/>
  <c r="A285" i="5"/>
  <c r="AA284" i="5"/>
  <c r="V284" i="5"/>
  <c r="W284" i="5" s="1"/>
  <c r="U284" i="5"/>
  <c r="T284" i="5"/>
  <c r="S284" i="5"/>
  <c r="R284" i="5"/>
  <c r="Q284" i="5"/>
  <c r="M284" i="5"/>
  <c r="P284" i="5" s="1"/>
  <c r="L284" i="5"/>
  <c r="K284" i="5"/>
  <c r="AB284" i="5" s="1"/>
  <c r="AC284" i="5" s="1"/>
  <c r="J284" i="5"/>
  <c r="A284" i="5"/>
  <c r="AD283" i="5"/>
  <c r="AB283" i="5"/>
  <c r="AC283" i="5" s="1"/>
  <c r="X283" i="5"/>
  <c r="W283" i="5"/>
  <c r="V283" i="5"/>
  <c r="U283" i="5"/>
  <c r="T283" i="5"/>
  <c r="S283" i="5"/>
  <c r="R283" i="5"/>
  <c r="Q283" i="5"/>
  <c r="P283" i="5"/>
  <c r="M283" i="5"/>
  <c r="AA283" i="5" s="1"/>
  <c r="L283" i="5"/>
  <c r="K283" i="5"/>
  <c r="J283" i="5"/>
  <c r="A283" i="5"/>
  <c r="AD282" i="5"/>
  <c r="AB282" i="5"/>
  <c r="AC282" i="5" s="1"/>
  <c r="V282" i="5"/>
  <c r="W282" i="5" s="1"/>
  <c r="U282" i="5"/>
  <c r="T282" i="5"/>
  <c r="S282" i="5"/>
  <c r="R282" i="5"/>
  <c r="Q282" i="5"/>
  <c r="P282" i="5"/>
  <c r="M282" i="5"/>
  <c r="AA282" i="5" s="1"/>
  <c r="L282" i="5"/>
  <c r="K282" i="5"/>
  <c r="J282" i="5"/>
  <c r="A282" i="5"/>
  <c r="AA281" i="5"/>
  <c r="V281" i="5"/>
  <c r="U281" i="5"/>
  <c r="T281" i="5"/>
  <c r="S281" i="5"/>
  <c r="R281" i="5"/>
  <c r="P281" i="5"/>
  <c r="M281" i="5"/>
  <c r="AD281" i="5" s="1"/>
  <c r="L281" i="5"/>
  <c r="K281" i="5"/>
  <c r="AB281" i="5" s="1"/>
  <c r="AC281" i="5" s="1"/>
  <c r="J281" i="5"/>
  <c r="A281" i="5"/>
  <c r="AD280" i="5"/>
  <c r="AB280" i="5"/>
  <c r="AC280" i="5" s="1"/>
  <c r="W280" i="5"/>
  <c r="V280" i="5"/>
  <c r="X280" i="5" s="1"/>
  <c r="U280" i="5"/>
  <c r="T280" i="5"/>
  <c r="S280" i="5"/>
  <c r="R280" i="5"/>
  <c r="Q280" i="5"/>
  <c r="P280" i="5"/>
  <c r="M280" i="5"/>
  <c r="AA280" i="5" s="1"/>
  <c r="L280" i="5"/>
  <c r="K280" i="5"/>
  <c r="J280" i="5"/>
  <c r="A280" i="5"/>
  <c r="AD279" i="5"/>
  <c r="AB279" i="5"/>
  <c r="AC279" i="5" s="1"/>
  <c r="X279" i="5"/>
  <c r="V279" i="5"/>
  <c r="W279" i="5" s="1"/>
  <c r="U279" i="5"/>
  <c r="T279" i="5"/>
  <c r="S279" i="5"/>
  <c r="R279" i="5"/>
  <c r="Q279" i="5"/>
  <c r="P279" i="5"/>
  <c r="M279" i="5"/>
  <c r="AA279" i="5" s="1"/>
  <c r="L279" i="5"/>
  <c r="K279" i="5"/>
  <c r="J279" i="5"/>
  <c r="A279" i="5"/>
  <c r="AD278" i="5"/>
  <c r="AC278" i="5"/>
  <c r="AB278" i="5"/>
  <c r="V278" i="5"/>
  <c r="W278" i="5" s="1"/>
  <c r="U278" i="5"/>
  <c r="T278" i="5"/>
  <c r="S278" i="5"/>
  <c r="R278" i="5"/>
  <c r="Q278" i="5"/>
  <c r="P278" i="5"/>
  <c r="M278" i="5"/>
  <c r="AA278" i="5" s="1"/>
  <c r="K278" i="5"/>
  <c r="J278" i="5"/>
  <c r="A278" i="5"/>
  <c r="AD277" i="5"/>
  <c r="X277" i="5"/>
  <c r="W277" i="5"/>
  <c r="V277" i="5"/>
  <c r="U277" i="5"/>
  <c r="T277" i="5"/>
  <c r="S277" i="5"/>
  <c r="R277" i="5"/>
  <c r="Q277" i="5"/>
  <c r="P277" i="5"/>
  <c r="M277" i="5"/>
  <c r="AA277" i="5" s="1"/>
  <c r="L277" i="5"/>
  <c r="K277" i="5"/>
  <c r="AB277" i="5" s="1"/>
  <c r="AC277" i="5" s="1"/>
  <c r="J277" i="5"/>
  <c r="A277" i="5"/>
  <c r="AD276" i="5"/>
  <c r="V276" i="5"/>
  <c r="U276" i="5"/>
  <c r="T276" i="5"/>
  <c r="S276" i="5"/>
  <c r="R276" i="5"/>
  <c r="Q276" i="5"/>
  <c r="P276" i="5"/>
  <c r="M276" i="5"/>
  <c r="AA276" i="5" s="1"/>
  <c r="L276" i="5"/>
  <c r="K276" i="5"/>
  <c r="AB276" i="5" s="1"/>
  <c r="AC276" i="5" s="1"/>
  <c r="J276" i="5"/>
  <c r="A276" i="5"/>
  <c r="AD275" i="5"/>
  <c r="AA275" i="5"/>
  <c r="Z275" i="5"/>
  <c r="Y275" i="5"/>
  <c r="X275" i="5"/>
  <c r="V275" i="5"/>
  <c r="W275" i="5" s="1"/>
  <c r="U275" i="5"/>
  <c r="T275" i="5"/>
  <c r="S275" i="5"/>
  <c r="R275" i="5"/>
  <c r="Q275" i="5"/>
  <c r="P275" i="5"/>
  <c r="M275" i="5"/>
  <c r="L275" i="5"/>
  <c r="K275" i="5"/>
  <c r="AB275" i="5" s="1"/>
  <c r="AC275" i="5" s="1"/>
  <c r="J275" i="5"/>
  <c r="A275" i="5"/>
  <c r="AD274" i="5"/>
  <c r="AB274" i="5"/>
  <c r="AC274" i="5" s="1"/>
  <c r="X274" i="5"/>
  <c r="W274" i="5"/>
  <c r="V274" i="5"/>
  <c r="U274" i="5"/>
  <c r="T274" i="5"/>
  <c r="S274" i="5"/>
  <c r="R274" i="5"/>
  <c r="Q274" i="5"/>
  <c r="P274" i="5"/>
  <c r="M274" i="5"/>
  <c r="AA274" i="5" s="1"/>
  <c r="L274" i="5"/>
  <c r="K274" i="5"/>
  <c r="J274" i="5"/>
  <c r="A274" i="5"/>
  <c r="AD273" i="5"/>
  <c r="AB273" i="5"/>
  <c r="AC273" i="5" s="1"/>
  <c r="V273" i="5"/>
  <c r="W273" i="5" s="1"/>
  <c r="U273" i="5"/>
  <c r="T273" i="5"/>
  <c r="S273" i="5"/>
  <c r="R273" i="5"/>
  <c r="Q273" i="5"/>
  <c r="P273" i="5"/>
  <c r="M273" i="5"/>
  <c r="AA273" i="5" s="1"/>
  <c r="L273" i="5"/>
  <c r="K273" i="5"/>
  <c r="J273" i="5"/>
  <c r="A273" i="5"/>
  <c r="AA272" i="5"/>
  <c r="Z272" i="5"/>
  <c r="Y272" i="5"/>
  <c r="X272" i="5"/>
  <c r="V272" i="5"/>
  <c r="W272" i="5" s="1"/>
  <c r="U272" i="5"/>
  <c r="T272" i="5"/>
  <c r="S272" i="5"/>
  <c r="R272" i="5"/>
  <c r="P272" i="5"/>
  <c r="M272" i="5"/>
  <c r="AD272" i="5" s="1"/>
  <c r="L272" i="5"/>
  <c r="K272" i="5"/>
  <c r="AB272" i="5" s="1"/>
  <c r="AC272" i="5" s="1"/>
  <c r="J272" i="5"/>
  <c r="A272" i="5"/>
  <c r="AD271" i="5"/>
  <c r="AC271" i="5"/>
  <c r="AB271" i="5"/>
  <c r="W271" i="5"/>
  <c r="V271" i="5"/>
  <c r="X271" i="5" s="1"/>
  <c r="U271" i="5"/>
  <c r="T271" i="5"/>
  <c r="S271" i="5"/>
  <c r="R271" i="5"/>
  <c r="Q271" i="5"/>
  <c r="P271" i="5"/>
  <c r="M271" i="5"/>
  <c r="AA271" i="5" s="1"/>
  <c r="L271" i="5"/>
  <c r="K271" i="5"/>
  <c r="J271" i="5"/>
  <c r="A271" i="5"/>
  <c r="AD270" i="5"/>
  <c r="V270" i="5"/>
  <c r="U270" i="5"/>
  <c r="T270" i="5"/>
  <c r="S270" i="5"/>
  <c r="R270" i="5"/>
  <c r="Q270" i="5"/>
  <c r="P270" i="5"/>
  <c r="M270" i="5"/>
  <c r="AA270" i="5" s="1"/>
  <c r="L270" i="5"/>
  <c r="K270" i="5"/>
  <c r="AB270" i="5" s="1"/>
  <c r="AC270" i="5" s="1"/>
  <c r="J270" i="5"/>
  <c r="A270" i="5"/>
  <c r="AD269" i="5"/>
  <c r="AC269" i="5"/>
  <c r="AB269" i="5"/>
  <c r="V269" i="5"/>
  <c r="W269" i="5" s="1"/>
  <c r="U269" i="5"/>
  <c r="T269" i="5"/>
  <c r="S269" i="5"/>
  <c r="R269" i="5"/>
  <c r="Q269" i="5"/>
  <c r="P269" i="5"/>
  <c r="M269" i="5"/>
  <c r="K269" i="5"/>
  <c r="J269" i="5"/>
  <c r="A269" i="5"/>
  <c r="AD268" i="5"/>
  <c r="X268" i="5"/>
  <c r="W268" i="5"/>
  <c r="V268" i="5"/>
  <c r="U268" i="5"/>
  <c r="T268" i="5"/>
  <c r="S268" i="5"/>
  <c r="R268" i="5"/>
  <c r="Q268" i="5"/>
  <c r="P268" i="5"/>
  <c r="M268" i="5"/>
  <c r="AA268" i="5" s="1"/>
  <c r="L268" i="5"/>
  <c r="K268" i="5"/>
  <c r="AB268" i="5" s="1"/>
  <c r="AC268" i="5" s="1"/>
  <c r="J268" i="5"/>
  <c r="A268" i="5"/>
  <c r="AD267" i="5"/>
  <c r="V267" i="5"/>
  <c r="U267" i="5"/>
  <c r="T267" i="5"/>
  <c r="S267" i="5"/>
  <c r="R267" i="5"/>
  <c r="Q267" i="5"/>
  <c r="P267" i="5"/>
  <c r="M267" i="5"/>
  <c r="AA267" i="5" s="1"/>
  <c r="L267" i="5"/>
  <c r="K267" i="5"/>
  <c r="AB267" i="5" s="1"/>
  <c r="AC267" i="5" s="1"/>
  <c r="J267" i="5"/>
  <c r="A267" i="5"/>
  <c r="AC266" i="5"/>
  <c r="AB266" i="5"/>
  <c r="X266" i="5"/>
  <c r="V266" i="5"/>
  <c r="W266" i="5" s="1"/>
  <c r="U266" i="5"/>
  <c r="T266" i="5"/>
  <c r="S266" i="5"/>
  <c r="R266" i="5"/>
  <c r="Q266" i="5"/>
  <c r="P266" i="5"/>
  <c r="M266" i="5"/>
  <c r="AD266" i="5" s="1"/>
  <c r="K266" i="5"/>
  <c r="J266" i="5"/>
  <c r="A266" i="5"/>
  <c r="AD265" i="5"/>
  <c r="AB265" i="5"/>
  <c r="AC265" i="5" s="1"/>
  <c r="X265" i="5"/>
  <c r="W265" i="5"/>
  <c r="V265" i="5"/>
  <c r="U265" i="5"/>
  <c r="T265" i="5"/>
  <c r="S265" i="5"/>
  <c r="R265" i="5"/>
  <c r="Q265" i="5"/>
  <c r="P265" i="5"/>
  <c r="M265" i="5"/>
  <c r="AA265" i="5" s="1"/>
  <c r="L265" i="5"/>
  <c r="K265" i="5"/>
  <c r="J265" i="5"/>
  <c r="A265" i="5"/>
  <c r="AD264" i="5"/>
  <c r="AB264" i="5"/>
  <c r="AC264" i="5" s="1"/>
  <c r="V264" i="5"/>
  <c r="W264" i="5" s="1"/>
  <c r="U264" i="5"/>
  <c r="T264" i="5"/>
  <c r="S264" i="5"/>
  <c r="R264" i="5"/>
  <c r="Q264" i="5"/>
  <c r="P264" i="5"/>
  <c r="M264" i="5"/>
  <c r="AA264" i="5" s="1"/>
  <c r="L264" i="5"/>
  <c r="K264" i="5"/>
  <c r="J264" i="5"/>
  <c r="A264" i="5"/>
  <c r="AC263" i="5"/>
  <c r="AA263" i="5"/>
  <c r="V263" i="5"/>
  <c r="W263" i="5" s="1"/>
  <c r="U263" i="5"/>
  <c r="T263" i="5"/>
  <c r="S263" i="5"/>
  <c r="R263" i="5"/>
  <c r="P263" i="5"/>
  <c r="M263" i="5"/>
  <c r="AD263" i="5" s="1"/>
  <c r="L263" i="5"/>
  <c r="K263" i="5"/>
  <c r="AB263" i="5" s="1"/>
  <c r="J263" i="5"/>
  <c r="A263" i="5"/>
  <c r="AD262" i="5"/>
  <c r="AB262" i="5"/>
  <c r="AC262" i="5" s="1"/>
  <c r="W262" i="5"/>
  <c r="V262" i="5"/>
  <c r="X262" i="5" s="1"/>
  <c r="U262" i="5"/>
  <c r="T262" i="5"/>
  <c r="S262" i="5"/>
  <c r="R262" i="5"/>
  <c r="Q262" i="5"/>
  <c r="P262" i="5"/>
  <c r="M262" i="5"/>
  <c r="AA262" i="5" s="1"/>
  <c r="L262" i="5"/>
  <c r="K262" i="5"/>
  <c r="J262" i="5"/>
  <c r="A262" i="5"/>
  <c r="AD261" i="5"/>
  <c r="AB261" i="5"/>
  <c r="AC261" i="5" s="1"/>
  <c r="V261" i="5"/>
  <c r="W261" i="5" s="1"/>
  <c r="U261" i="5"/>
  <c r="T261" i="5"/>
  <c r="S261" i="5"/>
  <c r="R261" i="5"/>
  <c r="Q261" i="5"/>
  <c r="P261" i="5"/>
  <c r="M261" i="5"/>
  <c r="AA261" i="5" s="1"/>
  <c r="L261" i="5"/>
  <c r="K261" i="5"/>
  <c r="J261" i="5"/>
  <c r="A261" i="5"/>
  <c r="AD260" i="5"/>
  <c r="AC260" i="5"/>
  <c r="AB260" i="5"/>
  <c r="V260" i="5"/>
  <c r="W260" i="5" s="1"/>
  <c r="U260" i="5"/>
  <c r="T260" i="5"/>
  <c r="S260" i="5"/>
  <c r="R260" i="5"/>
  <c r="Q260" i="5"/>
  <c r="P260" i="5"/>
  <c r="M260" i="5"/>
  <c r="K260" i="5"/>
  <c r="J260" i="5"/>
  <c r="A260" i="5"/>
  <c r="AD259" i="5"/>
  <c r="X259" i="5"/>
  <c r="Y259" i="5" s="1"/>
  <c r="Z259" i="5" s="1"/>
  <c r="W259" i="5"/>
  <c r="V259" i="5"/>
  <c r="U259" i="5"/>
  <c r="T259" i="5"/>
  <c r="S259" i="5"/>
  <c r="R259" i="5"/>
  <c r="Q259" i="5"/>
  <c r="P259" i="5"/>
  <c r="M259" i="5"/>
  <c r="AA259" i="5" s="1"/>
  <c r="L259" i="5"/>
  <c r="K259" i="5"/>
  <c r="AB259" i="5" s="1"/>
  <c r="AC259" i="5" s="1"/>
  <c r="J259" i="5"/>
  <c r="A259" i="5"/>
  <c r="AD258" i="5"/>
  <c r="V258" i="5"/>
  <c r="U258" i="5"/>
  <c r="T258" i="5"/>
  <c r="S258" i="5"/>
  <c r="R258" i="5"/>
  <c r="Q258" i="5"/>
  <c r="P258" i="5"/>
  <c r="M258" i="5"/>
  <c r="AA258" i="5" s="1"/>
  <c r="L258" i="5"/>
  <c r="K258" i="5"/>
  <c r="AB258" i="5" s="1"/>
  <c r="AC258" i="5" s="1"/>
  <c r="J258" i="5"/>
  <c r="A258" i="5"/>
  <c r="Z257" i="5"/>
  <c r="X257" i="5"/>
  <c r="Y257" i="5" s="1"/>
  <c r="V257" i="5"/>
  <c r="W257" i="5" s="1"/>
  <c r="U257" i="5"/>
  <c r="T257" i="5"/>
  <c r="S257" i="5"/>
  <c r="R257" i="5"/>
  <c r="M257" i="5"/>
  <c r="L257" i="5" s="1"/>
  <c r="K257" i="5"/>
  <c r="AB257" i="5" s="1"/>
  <c r="AC257" i="5" s="1"/>
  <c r="J257" i="5"/>
  <c r="A257" i="5"/>
  <c r="AD256" i="5"/>
  <c r="AB256" i="5"/>
  <c r="AC256" i="5" s="1"/>
  <c r="X256" i="5"/>
  <c r="W256" i="5"/>
  <c r="V256" i="5"/>
  <c r="U256" i="5"/>
  <c r="T256" i="5"/>
  <c r="S256" i="5"/>
  <c r="R256" i="5"/>
  <c r="Q256" i="5"/>
  <c r="P256" i="5"/>
  <c r="M256" i="5"/>
  <c r="AA256" i="5" s="1"/>
  <c r="L256" i="5"/>
  <c r="K256" i="5"/>
  <c r="J256" i="5"/>
  <c r="A256" i="5"/>
  <c r="AD255" i="5"/>
  <c r="V255" i="5"/>
  <c r="W255" i="5" s="1"/>
  <c r="U255" i="5"/>
  <c r="T255" i="5"/>
  <c r="S255" i="5"/>
  <c r="R255" i="5"/>
  <c r="Q255" i="5"/>
  <c r="P255" i="5"/>
  <c r="M255" i="5"/>
  <c r="AA255" i="5" s="1"/>
  <c r="L255" i="5"/>
  <c r="K255" i="5"/>
  <c r="AB255" i="5" s="1"/>
  <c r="AC255" i="5" s="1"/>
  <c r="J255" i="5"/>
  <c r="A255" i="5"/>
  <c r="AC254" i="5"/>
  <c r="AA254" i="5"/>
  <c r="X254" i="5"/>
  <c r="V254" i="5"/>
  <c r="W254" i="5" s="1"/>
  <c r="U254" i="5"/>
  <c r="T254" i="5"/>
  <c r="S254" i="5"/>
  <c r="R254" i="5"/>
  <c r="Q254" i="5"/>
  <c r="P254" i="5"/>
  <c r="M254" i="5"/>
  <c r="AD254" i="5" s="1"/>
  <c r="L254" i="5"/>
  <c r="K254" i="5"/>
  <c r="AB254" i="5" s="1"/>
  <c r="J254" i="5"/>
  <c r="A254" i="5"/>
  <c r="AD253" i="5"/>
  <c r="AC253" i="5"/>
  <c r="AB253" i="5"/>
  <c r="X253" i="5"/>
  <c r="Y253" i="5" s="1"/>
  <c r="Z253" i="5" s="1"/>
  <c r="W253" i="5"/>
  <c r="V253" i="5"/>
  <c r="U253" i="5"/>
  <c r="T253" i="5"/>
  <c r="S253" i="5"/>
  <c r="R253" i="5"/>
  <c r="Q253" i="5"/>
  <c r="P253" i="5"/>
  <c r="M253" i="5"/>
  <c r="AA253" i="5" s="1"/>
  <c r="L253" i="5"/>
  <c r="K253" i="5"/>
  <c r="J253" i="5"/>
  <c r="A253" i="5"/>
  <c r="AD252" i="5"/>
  <c r="AB252" i="5"/>
  <c r="AC252" i="5" s="1"/>
  <c r="V252" i="5"/>
  <c r="U252" i="5"/>
  <c r="T252" i="5"/>
  <c r="S252" i="5"/>
  <c r="R252" i="5"/>
  <c r="Q252" i="5"/>
  <c r="P252" i="5"/>
  <c r="M252" i="5"/>
  <c r="AA252" i="5" s="1"/>
  <c r="L252" i="5"/>
  <c r="K252" i="5"/>
  <c r="J252" i="5"/>
  <c r="A252" i="5"/>
  <c r="AD251" i="5"/>
  <c r="AC251" i="5"/>
  <c r="AB251" i="5"/>
  <c r="V251" i="5"/>
  <c r="W251" i="5" s="1"/>
  <c r="U251" i="5"/>
  <c r="T251" i="5"/>
  <c r="S251" i="5"/>
  <c r="R251" i="5"/>
  <c r="Q251" i="5"/>
  <c r="P251" i="5"/>
  <c r="M251" i="5"/>
  <c r="K251" i="5"/>
  <c r="J251" i="5"/>
  <c r="A251" i="5"/>
  <c r="AD250" i="5"/>
  <c r="V250" i="5"/>
  <c r="U250" i="5"/>
  <c r="T250" i="5"/>
  <c r="S250" i="5"/>
  <c r="R250" i="5"/>
  <c r="Q250" i="5"/>
  <c r="P250" i="5"/>
  <c r="M250" i="5"/>
  <c r="AA250" i="5" s="1"/>
  <c r="L250" i="5"/>
  <c r="K250" i="5"/>
  <c r="AB250" i="5" s="1"/>
  <c r="AC250" i="5" s="1"/>
  <c r="J250" i="5"/>
  <c r="A250" i="5"/>
  <c r="AD249" i="5"/>
  <c r="V249" i="5"/>
  <c r="U249" i="5"/>
  <c r="T249" i="5"/>
  <c r="S249" i="5"/>
  <c r="R249" i="5"/>
  <c r="Q249" i="5"/>
  <c r="P249" i="5"/>
  <c r="M249" i="5"/>
  <c r="AA249" i="5" s="1"/>
  <c r="L249" i="5"/>
  <c r="K249" i="5"/>
  <c r="AB249" i="5" s="1"/>
  <c r="AC249" i="5" s="1"/>
  <c r="J249" i="5"/>
  <c r="A249" i="5"/>
  <c r="AD248" i="5"/>
  <c r="X248" i="5"/>
  <c r="V248" i="5"/>
  <c r="W248" i="5" s="1"/>
  <c r="U248" i="5"/>
  <c r="T248" i="5"/>
  <c r="S248" i="5"/>
  <c r="R248" i="5"/>
  <c r="Q248" i="5"/>
  <c r="P248" i="5"/>
  <c r="M248" i="5"/>
  <c r="AA248" i="5" s="1"/>
  <c r="K248" i="5"/>
  <c r="AB248" i="5" s="1"/>
  <c r="AC248" i="5" s="1"/>
  <c r="J248" i="5"/>
  <c r="A248" i="5"/>
  <c r="AD247" i="5"/>
  <c r="AB247" i="5"/>
  <c r="AC247" i="5" s="1"/>
  <c r="X247" i="5"/>
  <c r="V247" i="5"/>
  <c r="W247" i="5" s="1"/>
  <c r="U247" i="5"/>
  <c r="T247" i="5"/>
  <c r="S247" i="5"/>
  <c r="R247" i="5"/>
  <c r="Q247" i="5"/>
  <c r="P247" i="5"/>
  <c r="M247" i="5"/>
  <c r="AA247" i="5" s="1"/>
  <c r="L247" i="5"/>
  <c r="K247" i="5"/>
  <c r="J247" i="5"/>
  <c r="A247" i="5"/>
  <c r="AD246" i="5"/>
  <c r="AC246" i="5"/>
  <c r="V246" i="5"/>
  <c r="W246" i="5" s="1"/>
  <c r="U246" i="5"/>
  <c r="T246" i="5"/>
  <c r="S246" i="5"/>
  <c r="R246" i="5"/>
  <c r="Q246" i="5"/>
  <c r="P246" i="5"/>
  <c r="M246" i="5"/>
  <c r="AA246" i="5" s="1"/>
  <c r="L246" i="5"/>
  <c r="K246" i="5"/>
  <c r="AB246" i="5" s="1"/>
  <c r="J246" i="5"/>
  <c r="A246" i="5"/>
  <c r="AD245" i="5"/>
  <c r="AA245" i="5"/>
  <c r="V245" i="5"/>
  <c r="U245" i="5"/>
  <c r="T245" i="5"/>
  <c r="S245" i="5"/>
  <c r="R245" i="5"/>
  <c r="Q245" i="5"/>
  <c r="P245" i="5"/>
  <c r="M245" i="5"/>
  <c r="L245" i="5"/>
  <c r="K245" i="5"/>
  <c r="AB245" i="5" s="1"/>
  <c r="AC245" i="5" s="1"/>
  <c r="J245" i="5"/>
  <c r="A245" i="5"/>
  <c r="AD244" i="5"/>
  <c r="AC244" i="5"/>
  <c r="AB244" i="5"/>
  <c r="Z244" i="5"/>
  <c r="X244" i="5"/>
  <c r="Y244" i="5" s="1"/>
  <c r="W244" i="5"/>
  <c r="V244" i="5"/>
  <c r="U244" i="5"/>
  <c r="T244" i="5"/>
  <c r="S244" i="5"/>
  <c r="R244" i="5"/>
  <c r="Q244" i="5"/>
  <c r="P244" i="5"/>
  <c r="M244" i="5"/>
  <c r="AA244" i="5" s="1"/>
  <c r="L244" i="5"/>
  <c r="K244" i="5"/>
  <c r="J244" i="5"/>
  <c r="A244" i="5"/>
  <c r="AD243" i="5"/>
  <c r="Y243" i="5"/>
  <c r="Z243" i="5" s="1"/>
  <c r="X243" i="5"/>
  <c r="V243" i="5"/>
  <c r="W243" i="5" s="1"/>
  <c r="U243" i="5"/>
  <c r="T243" i="5"/>
  <c r="S243" i="5"/>
  <c r="R243" i="5"/>
  <c r="Q243" i="5"/>
  <c r="P243" i="5"/>
  <c r="M243" i="5"/>
  <c r="AA243" i="5" s="1"/>
  <c r="L243" i="5"/>
  <c r="K243" i="5"/>
  <c r="AB243" i="5" s="1"/>
  <c r="AC243" i="5" s="1"/>
  <c r="J243" i="5"/>
  <c r="A243" i="5"/>
  <c r="AC242" i="5"/>
  <c r="AB242" i="5"/>
  <c r="V242" i="5"/>
  <c r="W242" i="5" s="1"/>
  <c r="U242" i="5"/>
  <c r="T242" i="5"/>
  <c r="S242" i="5"/>
  <c r="R242" i="5"/>
  <c r="Q242" i="5"/>
  <c r="P242" i="5"/>
  <c r="M242" i="5"/>
  <c r="AD242" i="5" s="1"/>
  <c r="K242" i="5"/>
  <c r="J242" i="5"/>
  <c r="A242" i="5"/>
  <c r="AD241" i="5"/>
  <c r="W241" i="5"/>
  <c r="V241" i="5"/>
  <c r="X241" i="5" s="1"/>
  <c r="U241" i="5"/>
  <c r="T241" i="5"/>
  <c r="S241" i="5"/>
  <c r="R241" i="5"/>
  <c r="Q241" i="5"/>
  <c r="P241" i="5"/>
  <c r="M241" i="5"/>
  <c r="AA241" i="5" s="1"/>
  <c r="L241" i="5"/>
  <c r="K241" i="5"/>
  <c r="AB241" i="5" s="1"/>
  <c r="AC241" i="5" s="1"/>
  <c r="J241" i="5"/>
  <c r="A241" i="5"/>
  <c r="AD240" i="5"/>
  <c r="V240" i="5"/>
  <c r="U240" i="5"/>
  <c r="T240" i="5"/>
  <c r="S240" i="5"/>
  <c r="R240" i="5"/>
  <c r="Q240" i="5"/>
  <c r="P240" i="5"/>
  <c r="M240" i="5"/>
  <c r="AA240" i="5" s="1"/>
  <c r="L240" i="5"/>
  <c r="K240" i="5"/>
  <c r="AB240" i="5" s="1"/>
  <c r="AC240" i="5" s="1"/>
  <c r="J240" i="5"/>
  <c r="A240" i="5"/>
  <c r="AB239" i="5"/>
  <c r="AC239" i="5" s="1"/>
  <c r="Z239" i="5"/>
  <c r="Y239" i="5"/>
  <c r="X239" i="5"/>
  <c r="V239" i="5"/>
  <c r="W239" i="5" s="1"/>
  <c r="U239" i="5"/>
  <c r="T239" i="5"/>
  <c r="S239" i="5"/>
  <c r="R239" i="5"/>
  <c r="M239" i="5"/>
  <c r="K239" i="5"/>
  <c r="J239" i="5"/>
  <c r="A239" i="5"/>
  <c r="AD238" i="5"/>
  <c r="AB238" i="5"/>
  <c r="AC238" i="5" s="1"/>
  <c r="X238" i="5"/>
  <c r="V238" i="5"/>
  <c r="W238" i="5" s="1"/>
  <c r="U238" i="5"/>
  <c r="T238" i="5"/>
  <c r="S238" i="5"/>
  <c r="R238" i="5"/>
  <c r="Q238" i="5"/>
  <c r="P238" i="5"/>
  <c r="M238" i="5"/>
  <c r="AA238" i="5" s="1"/>
  <c r="L238" i="5"/>
  <c r="K238" i="5"/>
  <c r="J238" i="5"/>
  <c r="A238" i="5"/>
  <c r="AD237" i="5"/>
  <c r="AB237" i="5"/>
  <c r="AC237" i="5" s="1"/>
  <c r="V237" i="5"/>
  <c r="W237" i="5" s="1"/>
  <c r="U237" i="5"/>
  <c r="T237" i="5"/>
  <c r="S237" i="5"/>
  <c r="R237" i="5"/>
  <c r="Q237" i="5"/>
  <c r="P237" i="5"/>
  <c r="M237" i="5"/>
  <c r="AA237" i="5" s="1"/>
  <c r="L237" i="5"/>
  <c r="K237" i="5"/>
  <c r="J237" i="5"/>
  <c r="A237" i="5"/>
  <c r="AD236" i="5"/>
  <c r="AA236" i="5"/>
  <c r="Y236" i="5"/>
  <c r="X236" i="5"/>
  <c r="V236" i="5"/>
  <c r="W236" i="5" s="1"/>
  <c r="U236" i="5"/>
  <c r="T236" i="5"/>
  <c r="S236" i="5"/>
  <c r="R236" i="5"/>
  <c r="Q236" i="5"/>
  <c r="P236" i="5"/>
  <c r="M236" i="5"/>
  <c r="L236" i="5"/>
  <c r="K236" i="5"/>
  <c r="AB236" i="5" s="1"/>
  <c r="AC236" i="5" s="1"/>
  <c r="J236" i="5"/>
  <c r="A236" i="5"/>
  <c r="AD235" i="5"/>
  <c r="AC235" i="5"/>
  <c r="AB235" i="5"/>
  <c r="X235" i="5"/>
  <c r="Y235" i="5" s="1"/>
  <c r="Z235" i="5" s="1"/>
  <c r="W235" i="5"/>
  <c r="V235" i="5"/>
  <c r="U235" i="5"/>
  <c r="T235" i="5"/>
  <c r="S235" i="5"/>
  <c r="R235" i="5"/>
  <c r="Q235" i="5"/>
  <c r="P235" i="5"/>
  <c r="M235" i="5"/>
  <c r="AA235" i="5" s="1"/>
  <c r="L235" i="5"/>
  <c r="K235" i="5"/>
  <c r="J235" i="5"/>
  <c r="A235" i="5"/>
  <c r="AD234" i="5"/>
  <c r="AB234" i="5"/>
  <c r="AC234" i="5" s="1"/>
  <c r="V234" i="5"/>
  <c r="U234" i="5"/>
  <c r="T234" i="5"/>
  <c r="S234" i="5"/>
  <c r="R234" i="5"/>
  <c r="Q234" i="5"/>
  <c r="P234" i="5"/>
  <c r="M234" i="5"/>
  <c r="AA234" i="5" s="1"/>
  <c r="L234" i="5"/>
  <c r="K234" i="5"/>
  <c r="J234" i="5"/>
  <c r="A234" i="5"/>
  <c r="AD233" i="5"/>
  <c r="AC233" i="5"/>
  <c r="AB233" i="5"/>
  <c r="V233" i="5"/>
  <c r="W233" i="5" s="1"/>
  <c r="U233" i="5"/>
  <c r="T233" i="5"/>
  <c r="S233" i="5"/>
  <c r="R233" i="5"/>
  <c r="M233" i="5"/>
  <c r="K233" i="5"/>
  <c r="J233" i="5"/>
  <c r="A233" i="5"/>
  <c r="AD232" i="5"/>
  <c r="AC232" i="5"/>
  <c r="AB232" i="5"/>
  <c r="Z232" i="5"/>
  <c r="V232" i="5"/>
  <c r="X232" i="5" s="1"/>
  <c r="Y232" i="5" s="1"/>
  <c r="U232" i="5"/>
  <c r="T232" i="5"/>
  <c r="S232" i="5"/>
  <c r="R232" i="5"/>
  <c r="Q232" i="5"/>
  <c r="P232" i="5"/>
  <c r="M232" i="5"/>
  <c r="AA232" i="5" s="1"/>
  <c r="L232" i="5"/>
  <c r="K232" i="5"/>
  <c r="J232" i="5"/>
  <c r="A232" i="5"/>
  <c r="AD231" i="5"/>
  <c r="V231" i="5"/>
  <c r="U231" i="5"/>
  <c r="T231" i="5"/>
  <c r="S231" i="5"/>
  <c r="R231" i="5"/>
  <c r="Q231" i="5"/>
  <c r="P231" i="5"/>
  <c r="M231" i="5"/>
  <c r="AA231" i="5" s="1"/>
  <c r="L231" i="5"/>
  <c r="K231" i="5"/>
  <c r="AB231" i="5" s="1"/>
  <c r="AC231" i="5" s="1"/>
  <c r="J231" i="5"/>
  <c r="A231" i="5"/>
  <c r="AB230" i="5"/>
  <c r="AC230" i="5" s="1"/>
  <c r="X230" i="5"/>
  <c r="V230" i="5"/>
  <c r="W230" i="5" s="1"/>
  <c r="U230" i="5"/>
  <c r="T230" i="5"/>
  <c r="S230" i="5"/>
  <c r="R230" i="5"/>
  <c r="M230" i="5"/>
  <c r="K230" i="5"/>
  <c r="J230" i="5"/>
  <c r="A230" i="5"/>
  <c r="AD229" i="5"/>
  <c r="AB229" i="5"/>
  <c r="AC229" i="5" s="1"/>
  <c r="V229" i="5"/>
  <c r="U229" i="5"/>
  <c r="T229" i="5"/>
  <c r="S229" i="5"/>
  <c r="R229" i="5"/>
  <c r="Q229" i="5"/>
  <c r="P229" i="5"/>
  <c r="M229" i="5"/>
  <c r="AA229" i="5" s="1"/>
  <c r="L229" i="5"/>
  <c r="K229" i="5"/>
  <c r="J229" i="5"/>
  <c r="A229" i="5"/>
  <c r="AD228" i="5"/>
  <c r="V228" i="5"/>
  <c r="W228" i="5" s="1"/>
  <c r="U228" i="5"/>
  <c r="T228" i="5"/>
  <c r="S228" i="5"/>
  <c r="R228" i="5"/>
  <c r="Q228" i="5"/>
  <c r="P228" i="5"/>
  <c r="M228" i="5"/>
  <c r="AA228" i="5" s="1"/>
  <c r="L228" i="5"/>
  <c r="K228" i="5"/>
  <c r="AB228" i="5" s="1"/>
  <c r="AC228" i="5" s="1"/>
  <c r="J228" i="5"/>
  <c r="A228" i="5"/>
  <c r="AD227" i="5"/>
  <c r="AC227" i="5"/>
  <c r="AA227" i="5"/>
  <c r="V227" i="5"/>
  <c r="W227" i="5" s="1"/>
  <c r="U227" i="5"/>
  <c r="T227" i="5"/>
  <c r="S227" i="5"/>
  <c r="R227" i="5"/>
  <c r="Q227" i="5"/>
  <c r="P227" i="5"/>
  <c r="M227" i="5"/>
  <c r="L227" i="5"/>
  <c r="K227" i="5"/>
  <c r="AB227" i="5" s="1"/>
  <c r="J227" i="5"/>
  <c r="A227" i="5"/>
  <c r="AD226" i="5"/>
  <c r="AC226" i="5"/>
  <c r="AB226" i="5"/>
  <c r="X226" i="5"/>
  <c r="Y226" i="5" s="1"/>
  <c r="Z226" i="5" s="1"/>
  <c r="W226" i="5"/>
  <c r="V226" i="5"/>
  <c r="U226" i="5"/>
  <c r="T226" i="5"/>
  <c r="S226" i="5"/>
  <c r="R226" i="5"/>
  <c r="Q226" i="5"/>
  <c r="P226" i="5"/>
  <c r="M226" i="5"/>
  <c r="AA226" i="5" s="1"/>
  <c r="L226" i="5"/>
  <c r="K226" i="5"/>
  <c r="J226" i="5"/>
  <c r="A226" i="5"/>
  <c r="AB225" i="5"/>
  <c r="AC225" i="5" s="1"/>
  <c r="AA225" i="5"/>
  <c r="V225" i="5"/>
  <c r="X225" i="5" s="1"/>
  <c r="U225" i="5"/>
  <c r="T225" i="5"/>
  <c r="S225" i="5"/>
  <c r="R225" i="5"/>
  <c r="P225" i="5"/>
  <c r="M225" i="5"/>
  <c r="L225" i="5"/>
  <c r="K225" i="5"/>
  <c r="J225" i="5"/>
  <c r="A225" i="5"/>
  <c r="X224" i="5"/>
  <c r="W224" i="5"/>
  <c r="V224" i="5"/>
  <c r="U224" i="5"/>
  <c r="T224" i="5"/>
  <c r="S224" i="5"/>
  <c r="R224" i="5"/>
  <c r="M224" i="5"/>
  <c r="K224" i="5"/>
  <c r="AB224" i="5" s="1"/>
  <c r="AC224" i="5" s="1"/>
  <c r="J224" i="5"/>
  <c r="A224" i="5"/>
  <c r="AB223" i="5"/>
  <c r="AC223" i="5" s="1"/>
  <c r="AA223" i="5"/>
  <c r="Z223" i="5"/>
  <c r="X223" i="5"/>
  <c r="Y223" i="5" s="1"/>
  <c r="W223" i="5"/>
  <c r="V223" i="5"/>
  <c r="U223" i="5"/>
  <c r="T223" i="5"/>
  <c r="S223" i="5"/>
  <c r="R223" i="5"/>
  <c r="M223" i="5"/>
  <c r="L223" i="5"/>
  <c r="K223" i="5"/>
  <c r="J223" i="5"/>
  <c r="A223" i="5"/>
  <c r="AB222" i="5"/>
  <c r="AC222" i="5" s="1"/>
  <c r="AA222" i="5"/>
  <c r="V222" i="5"/>
  <c r="U222" i="5"/>
  <c r="T222" i="5"/>
  <c r="S222" i="5"/>
  <c r="R222" i="5"/>
  <c r="M222" i="5"/>
  <c r="L222" i="5"/>
  <c r="K222" i="5"/>
  <c r="J222" i="5"/>
  <c r="A222" i="5"/>
  <c r="AD221" i="5"/>
  <c r="AA221" i="5"/>
  <c r="W221" i="5"/>
  <c r="V221" i="5"/>
  <c r="X221" i="5" s="1"/>
  <c r="U221" i="5"/>
  <c r="T221" i="5"/>
  <c r="S221" i="5"/>
  <c r="R221" i="5"/>
  <c r="M221" i="5"/>
  <c r="K221" i="5"/>
  <c r="AB221" i="5" s="1"/>
  <c r="AC221" i="5" s="1"/>
  <c r="J221" i="5"/>
  <c r="A221" i="5"/>
  <c r="AD220" i="5"/>
  <c r="AB220" i="5"/>
  <c r="AC220" i="5" s="1"/>
  <c r="X220" i="5"/>
  <c r="Y220" i="5" s="1"/>
  <c r="Z220" i="5" s="1"/>
  <c r="W220" i="5"/>
  <c r="V220" i="5"/>
  <c r="U220" i="5"/>
  <c r="T220" i="5"/>
  <c r="S220" i="5"/>
  <c r="R220" i="5"/>
  <c r="Q220" i="5"/>
  <c r="M220" i="5"/>
  <c r="P220" i="5" s="1"/>
  <c r="K220" i="5"/>
  <c r="J220" i="5"/>
  <c r="A220" i="5"/>
  <c r="AB219" i="5"/>
  <c r="AC219" i="5" s="1"/>
  <c r="W219" i="5"/>
  <c r="V219" i="5"/>
  <c r="X219" i="5" s="1"/>
  <c r="U219" i="5"/>
  <c r="T219" i="5"/>
  <c r="S219" i="5"/>
  <c r="R219" i="5"/>
  <c r="P219" i="5"/>
  <c r="M219" i="5"/>
  <c r="K219" i="5"/>
  <c r="J219" i="5"/>
  <c r="A219" i="5"/>
  <c r="AD218" i="5"/>
  <c r="AA218" i="5"/>
  <c r="W218" i="5"/>
  <c r="V218" i="5"/>
  <c r="X218" i="5" s="1"/>
  <c r="U218" i="5"/>
  <c r="T218" i="5"/>
  <c r="S218" i="5"/>
  <c r="R218" i="5"/>
  <c r="M218" i="5"/>
  <c r="K218" i="5"/>
  <c r="AB218" i="5" s="1"/>
  <c r="AC218" i="5" s="1"/>
  <c r="J218" i="5"/>
  <c r="A218" i="5"/>
  <c r="AB217" i="5"/>
  <c r="AC217" i="5" s="1"/>
  <c r="Z217" i="5"/>
  <c r="X217" i="5"/>
  <c r="Y217" i="5" s="1"/>
  <c r="W217" i="5"/>
  <c r="V217" i="5"/>
  <c r="U217" i="5"/>
  <c r="T217" i="5"/>
  <c r="S217" i="5"/>
  <c r="R217" i="5"/>
  <c r="M217" i="5"/>
  <c r="L217" i="5"/>
  <c r="K217" i="5"/>
  <c r="J217" i="5"/>
  <c r="A217" i="5"/>
  <c r="AB216" i="5"/>
  <c r="AC216" i="5" s="1"/>
  <c r="V216" i="5"/>
  <c r="U216" i="5"/>
  <c r="T216" i="5"/>
  <c r="S216" i="5"/>
  <c r="R216" i="5"/>
  <c r="P216" i="5"/>
  <c r="M216" i="5"/>
  <c r="AA216" i="5" s="1"/>
  <c r="K216" i="5"/>
  <c r="J216" i="5"/>
  <c r="A216" i="5"/>
  <c r="AD215" i="5"/>
  <c r="AA215" i="5"/>
  <c r="X215" i="5"/>
  <c r="W215" i="5"/>
  <c r="V215" i="5"/>
  <c r="U215" i="5"/>
  <c r="T215" i="5"/>
  <c r="S215" i="5"/>
  <c r="R215" i="5"/>
  <c r="M215" i="5"/>
  <c r="K215" i="5"/>
  <c r="AB215" i="5" s="1"/>
  <c r="AC215" i="5" s="1"/>
  <c r="J215" i="5"/>
  <c r="A215" i="5"/>
  <c r="AB214" i="5"/>
  <c r="AC214" i="5" s="1"/>
  <c r="X214" i="5"/>
  <c r="Y214" i="5" s="1"/>
  <c r="Z214" i="5" s="1"/>
  <c r="W214" i="5"/>
  <c r="V214" i="5"/>
  <c r="U214" i="5"/>
  <c r="T214" i="5"/>
  <c r="S214" i="5"/>
  <c r="R214" i="5"/>
  <c r="P214" i="5"/>
  <c r="M214" i="5"/>
  <c r="K214" i="5"/>
  <c r="J214" i="5"/>
  <c r="A214" i="5"/>
  <c r="W213" i="5"/>
  <c r="V213" i="5"/>
  <c r="X213" i="5" s="1"/>
  <c r="U213" i="5"/>
  <c r="T213" i="5"/>
  <c r="S213" i="5"/>
  <c r="R213" i="5"/>
  <c r="P213" i="5"/>
  <c r="M213" i="5"/>
  <c r="AA213" i="5" s="1"/>
  <c r="K213" i="5"/>
  <c r="AB213" i="5" s="1"/>
  <c r="AC213" i="5" s="1"/>
  <c r="J213" i="5"/>
  <c r="A213" i="5"/>
  <c r="AD212" i="5"/>
  <c r="AA212" i="5"/>
  <c r="V212" i="5"/>
  <c r="X212" i="5" s="1"/>
  <c r="U212" i="5"/>
  <c r="T212" i="5"/>
  <c r="S212" i="5"/>
  <c r="R212" i="5"/>
  <c r="M212" i="5"/>
  <c r="K212" i="5"/>
  <c r="AB212" i="5" s="1"/>
  <c r="AC212" i="5" s="1"/>
  <c r="J212" i="5"/>
  <c r="A212" i="5"/>
  <c r="AD211" i="5"/>
  <c r="AB211" i="5"/>
  <c r="AC211" i="5" s="1"/>
  <c r="AA211" i="5"/>
  <c r="Z211" i="5"/>
  <c r="X211" i="5"/>
  <c r="Y211" i="5" s="1"/>
  <c r="W211" i="5"/>
  <c r="V211" i="5"/>
  <c r="U211" i="5"/>
  <c r="T211" i="5"/>
  <c r="S211" i="5"/>
  <c r="R211" i="5"/>
  <c r="Q211" i="5"/>
  <c r="M211" i="5"/>
  <c r="P211" i="5" s="1"/>
  <c r="L211" i="5"/>
  <c r="K211" i="5"/>
  <c r="J211" i="5"/>
  <c r="A211" i="5"/>
  <c r="AA210" i="5"/>
  <c r="Z210" i="5"/>
  <c r="Y210" i="5"/>
  <c r="X210" i="5"/>
  <c r="V210" i="5"/>
  <c r="W210" i="5" s="1"/>
  <c r="U210" i="5"/>
  <c r="T210" i="5"/>
  <c r="S210" i="5"/>
  <c r="R210" i="5"/>
  <c r="P210" i="5"/>
  <c r="M210" i="5"/>
  <c r="L210" i="5"/>
  <c r="K210" i="5"/>
  <c r="AB210" i="5" s="1"/>
  <c r="AC210" i="5" s="1"/>
  <c r="J210" i="5"/>
  <c r="A210" i="5"/>
  <c r="V209" i="5"/>
  <c r="X209" i="5" s="1"/>
  <c r="U209" i="5"/>
  <c r="T209" i="5"/>
  <c r="S209" i="5"/>
  <c r="R209" i="5"/>
  <c r="M209" i="5"/>
  <c r="K209" i="5"/>
  <c r="AB209" i="5" s="1"/>
  <c r="AC209" i="5" s="1"/>
  <c r="J209" i="5"/>
  <c r="A209" i="5"/>
  <c r="AD208" i="5"/>
  <c r="AB208" i="5"/>
  <c r="AC208" i="5" s="1"/>
  <c r="AA208" i="5"/>
  <c r="Z208" i="5"/>
  <c r="X208" i="5"/>
  <c r="Y208" i="5" s="1"/>
  <c r="W208" i="5"/>
  <c r="V208" i="5"/>
  <c r="U208" i="5"/>
  <c r="T208" i="5"/>
  <c r="S208" i="5"/>
  <c r="R208" i="5"/>
  <c r="Q208" i="5"/>
  <c r="M208" i="5"/>
  <c r="P208" i="5" s="1"/>
  <c r="L208" i="5"/>
  <c r="K208" i="5"/>
  <c r="J208" i="5"/>
  <c r="A208" i="5"/>
  <c r="AA207" i="5"/>
  <c r="Z207" i="5"/>
  <c r="Y207" i="5"/>
  <c r="X207" i="5"/>
  <c r="V207" i="5"/>
  <c r="W207" i="5" s="1"/>
  <c r="U207" i="5"/>
  <c r="T207" i="5"/>
  <c r="S207" i="5"/>
  <c r="R207" i="5"/>
  <c r="M207" i="5"/>
  <c r="L207" i="5"/>
  <c r="K207" i="5"/>
  <c r="AB207" i="5" s="1"/>
  <c r="AC207" i="5" s="1"/>
  <c r="J207" i="5"/>
  <c r="A207" i="5"/>
  <c r="AD206" i="5"/>
  <c r="X206" i="5"/>
  <c r="W206" i="5"/>
  <c r="V206" i="5"/>
  <c r="U206" i="5"/>
  <c r="T206" i="5"/>
  <c r="S206" i="5"/>
  <c r="R206" i="5"/>
  <c r="M206" i="5"/>
  <c r="K206" i="5"/>
  <c r="AB206" i="5" s="1"/>
  <c r="AC206" i="5" s="1"/>
  <c r="J206" i="5"/>
  <c r="A206" i="5"/>
  <c r="AC205" i="5"/>
  <c r="AB205" i="5"/>
  <c r="Z205" i="5"/>
  <c r="X205" i="5"/>
  <c r="Y205" i="5" s="1"/>
  <c r="W205" i="5"/>
  <c r="V205" i="5"/>
  <c r="U205" i="5"/>
  <c r="T205" i="5"/>
  <c r="S205" i="5"/>
  <c r="R205" i="5"/>
  <c r="Q205" i="5"/>
  <c r="M205" i="5"/>
  <c r="K205" i="5"/>
  <c r="J205" i="5"/>
  <c r="A205" i="5"/>
  <c r="AA204" i="5"/>
  <c r="X204" i="5"/>
  <c r="W204" i="5"/>
  <c r="V204" i="5"/>
  <c r="U204" i="5"/>
  <c r="T204" i="5"/>
  <c r="S204" i="5"/>
  <c r="R204" i="5"/>
  <c r="M204" i="5"/>
  <c r="L204" i="5"/>
  <c r="K204" i="5"/>
  <c r="AB204" i="5" s="1"/>
  <c r="AC204" i="5" s="1"/>
  <c r="J204" i="5"/>
  <c r="A204" i="5"/>
  <c r="X203" i="5"/>
  <c r="W203" i="5"/>
  <c r="V203" i="5"/>
  <c r="U203" i="5"/>
  <c r="T203" i="5"/>
  <c r="S203" i="5"/>
  <c r="R203" i="5"/>
  <c r="M203" i="5"/>
  <c r="K203" i="5"/>
  <c r="AB203" i="5" s="1"/>
  <c r="AC203" i="5" s="1"/>
  <c r="J203" i="5"/>
  <c r="A203" i="5"/>
  <c r="AD202" i="5"/>
  <c r="AC202" i="5"/>
  <c r="AB202" i="5"/>
  <c r="X202" i="5"/>
  <c r="Y202" i="5" s="1"/>
  <c r="Z202" i="5" s="1"/>
  <c r="W202" i="5"/>
  <c r="V202" i="5"/>
  <c r="U202" i="5"/>
  <c r="T202" i="5"/>
  <c r="S202" i="5"/>
  <c r="R202" i="5"/>
  <c r="Q202" i="5"/>
  <c r="P202" i="5"/>
  <c r="M202" i="5"/>
  <c r="AA202" i="5" s="1"/>
  <c r="K202" i="5"/>
  <c r="J202" i="5"/>
  <c r="A202" i="5"/>
  <c r="AA201" i="5"/>
  <c r="Y201" i="5"/>
  <c r="X201" i="5"/>
  <c r="W201" i="5"/>
  <c r="V201" i="5"/>
  <c r="U201" i="5"/>
  <c r="T201" i="5"/>
  <c r="S201" i="5"/>
  <c r="R201" i="5"/>
  <c r="P201" i="5"/>
  <c r="M201" i="5"/>
  <c r="L201" i="5"/>
  <c r="K201" i="5"/>
  <c r="AB201" i="5" s="1"/>
  <c r="AC201" i="5" s="1"/>
  <c r="J201" i="5"/>
  <c r="A201" i="5"/>
  <c r="AD200" i="5"/>
  <c r="X200" i="5"/>
  <c r="W200" i="5"/>
  <c r="V200" i="5"/>
  <c r="U200" i="5"/>
  <c r="T200" i="5"/>
  <c r="S200" i="5"/>
  <c r="R200" i="5"/>
  <c r="M200" i="5"/>
  <c r="AA200" i="5" s="1"/>
  <c r="K200" i="5"/>
  <c r="AB200" i="5" s="1"/>
  <c r="AC200" i="5" s="1"/>
  <c r="J200" i="5"/>
  <c r="A200" i="5"/>
  <c r="AD199" i="5"/>
  <c r="AC199" i="5"/>
  <c r="AB199" i="5"/>
  <c r="X199" i="5"/>
  <c r="Y199" i="5" s="1"/>
  <c r="Z199" i="5" s="1"/>
  <c r="W199" i="5"/>
  <c r="V199" i="5"/>
  <c r="U199" i="5"/>
  <c r="T199" i="5"/>
  <c r="S199" i="5"/>
  <c r="R199" i="5"/>
  <c r="Q199" i="5"/>
  <c r="P199" i="5"/>
  <c r="M199" i="5"/>
  <c r="AA199" i="5" s="1"/>
  <c r="K199" i="5"/>
  <c r="J199" i="5"/>
  <c r="A199" i="5"/>
  <c r="AA198" i="5"/>
  <c r="X198" i="5"/>
  <c r="W198" i="5"/>
  <c r="V198" i="5"/>
  <c r="U198" i="5"/>
  <c r="T198" i="5"/>
  <c r="S198" i="5"/>
  <c r="R198" i="5"/>
  <c r="P198" i="5"/>
  <c r="M198" i="5"/>
  <c r="L198" i="5"/>
  <c r="K198" i="5"/>
  <c r="AB198" i="5" s="1"/>
  <c r="AC198" i="5" s="1"/>
  <c r="J198" i="5"/>
  <c r="A198" i="5"/>
  <c r="AD197" i="5"/>
  <c r="V197" i="5"/>
  <c r="X197" i="5" s="1"/>
  <c r="U197" i="5"/>
  <c r="T197" i="5"/>
  <c r="S197" i="5"/>
  <c r="R197" i="5"/>
  <c r="M197" i="5"/>
  <c r="K197" i="5"/>
  <c r="AB197" i="5" s="1"/>
  <c r="AC197" i="5" s="1"/>
  <c r="J197" i="5"/>
  <c r="A197" i="5"/>
  <c r="AD196" i="5"/>
  <c r="AC196" i="5"/>
  <c r="AB196" i="5"/>
  <c r="AA196" i="5"/>
  <c r="Z196" i="5"/>
  <c r="X196" i="5"/>
  <c r="Y196" i="5" s="1"/>
  <c r="W196" i="5"/>
  <c r="V196" i="5"/>
  <c r="U196" i="5"/>
  <c r="T196" i="5"/>
  <c r="S196" i="5"/>
  <c r="R196" i="5"/>
  <c r="Q196" i="5"/>
  <c r="P196" i="5"/>
  <c r="M196" i="5"/>
  <c r="L196" i="5"/>
  <c r="K196" i="5"/>
  <c r="J196" i="5"/>
  <c r="A196" i="5"/>
  <c r="AB195" i="5"/>
  <c r="AC195" i="5" s="1"/>
  <c r="Y195" i="5"/>
  <c r="X195" i="5"/>
  <c r="Z195" i="5" s="1"/>
  <c r="W195" i="5"/>
  <c r="V195" i="5"/>
  <c r="U195" i="5"/>
  <c r="T195" i="5"/>
  <c r="S195" i="5"/>
  <c r="R195" i="5"/>
  <c r="P195" i="5"/>
  <c r="M195" i="5"/>
  <c r="K195" i="5"/>
  <c r="J195" i="5"/>
  <c r="A195" i="5"/>
  <c r="V194" i="5"/>
  <c r="U194" i="5"/>
  <c r="T194" i="5"/>
  <c r="S194" i="5"/>
  <c r="R194" i="5"/>
  <c r="M194" i="5"/>
  <c r="K194" i="5"/>
  <c r="AB194" i="5" s="1"/>
  <c r="AC194" i="5" s="1"/>
  <c r="J194" i="5"/>
  <c r="A194" i="5"/>
  <c r="AB193" i="5"/>
  <c r="AC193" i="5" s="1"/>
  <c r="AA193" i="5"/>
  <c r="X193" i="5"/>
  <c r="Y193" i="5" s="1"/>
  <c r="Z193" i="5" s="1"/>
  <c r="W193" i="5"/>
  <c r="V193" i="5"/>
  <c r="U193" i="5"/>
  <c r="T193" i="5"/>
  <c r="S193" i="5"/>
  <c r="R193" i="5"/>
  <c r="M193" i="5"/>
  <c r="AD193" i="5" s="1"/>
  <c r="L193" i="5"/>
  <c r="K193" i="5"/>
  <c r="J193" i="5"/>
  <c r="A193" i="5"/>
  <c r="AA192" i="5"/>
  <c r="Y192" i="5"/>
  <c r="Z192" i="5" s="1"/>
  <c r="X192" i="5"/>
  <c r="W192" i="5"/>
  <c r="V192" i="5"/>
  <c r="U192" i="5"/>
  <c r="T192" i="5"/>
  <c r="S192" i="5"/>
  <c r="R192" i="5"/>
  <c r="M192" i="5"/>
  <c r="L192" i="5"/>
  <c r="K192" i="5"/>
  <c r="AB192" i="5" s="1"/>
  <c r="AC192" i="5" s="1"/>
  <c r="J192" i="5"/>
  <c r="A192" i="5"/>
  <c r="V191" i="5"/>
  <c r="U191" i="5"/>
  <c r="T191" i="5"/>
  <c r="S191" i="5"/>
  <c r="R191" i="5"/>
  <c r="M191" i="5"/>
  <c r="K191" i="5"/>
  <c r="AB191" i="5" s="1"/>
  <c r="AC191" i="5" s="1"/>
  <c r="J191" i="5"/>
  <c r="A191" i="5"/>
  <c r="AB190" i="5"/>
  <c r="AC190" i="5" s="1"/>
  <c r="X190" i="5"/>
  <c r="Y190" i="5" s="1"/>
  <c r="Z190" i="5" s="1"/>
  <c r="W190" i="5"/>
  <c r="V190" i="5"/>
  <c r="U190" i="5"/>
  <c r="T190" i="5"/>
  <c r="S190" i="5"/>
  <c r="R190" i="5"/>
  <c r="M190" i="5"/>
  <c r="L190" i="5" s="1"/>
  <c r="K190" i="5"/>
  <c r="J190" i="5"/>
  <c r="A190" i="5"/>
  <c r="AB189" i="5"/>
  <c r="AC189" i="5" s="1"/>
  <c r="V189" i="5"/>
  <c r="U189" i="5"/>
  <c r="T189" i="5"/>
  <c r="S189" i="5"/>
  <c r="R189" i="5"/>
  <c r="P189" i="5"/>
  <c r="M189" i="5"/>
  <c r="L189" i="5" s="1"/>
  <c r="K189" i="5"/>
  <c r="J189" i="5"/>
  <c r="A189" i="5"/>
  <c r="X188" i="5"/>
  <c r="V188" i="5"/>
  <c r="W188" i="5" s="1"/>
  <c r="U188" i="5"/>
  <c r="T188" i="5"/>
  <c r="S188" i="5"/>
  <c r="R188" i="5"/>
  <c r="M188" i="5"/>
  <c r="K188" i="5"/>
  <c r="AB188" i="5" s="1"/>
  <c r="AC188" i="5" s="1"/>
  <c r="J188" i="5"/>
  <c r="A188" i="5"/>
  <c r="AC187" i="5"/>
  <c r="AB187" i="5"/>
  <c r="AA187" i="5"/>
  <c r="X187" i="5"/>
  <c r="Y187" i="5" s="1"/>
  <c r="Z187" i="5" s="1"/>
  <c r="W187" i="5"/>
  <c r="V187" i="5"/>
  <c r="U187" i="5"/>
  <c r="T187" i="5"/>
  <c r="S187" i="5"/>
  <c r="R187" i="5"/>
  <c r="P187" i="5"/>
  <c r="M187" i="5"/>
  <c r="AD187" i="5" s="1"/>
  <c r="L187" i="5"/>
  <c r="K187" i="5"/>
  <c r="J187" i="5"/>
  <c r="A187" i="5"/>
  <c r="AB186" i="5"/>
  <c r="AC186" i="5" s="1"/>
  <c r="AA186" i="5"/>
  <c r="V186" i="5"/>
  <c r="U186" i="5"/>
  <c r="T186" i="5"/>
  <c r="S186" i="5"/>
  <c r="R186" i="5"/>
  <c r="M186" i="5"/>
  <c r="L186" i="5"/>
  <c r="K186" i="5"/>
  <c r="J186" i="5"/>
  <c r="A186" i="5"/>
  <c r="AD185" i="5"/>
  <c r="AA185" i="5"/>
  <c r="X185" i="5"/>
  <c r="V185" i="5"/>
  <c r="W185" i="5" s="1"/>
  <c r="U185" i="5"/>
  <c r="T185" i="5"/>
  <c r="S185" i="5"/>
  <c r="R185" i="5"/>
  <c r="M185" i="5"/>
  <c r="K185" i="5"/>
  <c r="AB185" i="5" s="1"/>
  <c r="AC185" i="5" s="1"/>
  <c r="J185" i="5"/>
  <c r="A185" i="5"/>
  <c r="AD184" i="5"/>
  <c r="AC184" i="5"/>
  <c r="AB184" i="5"/>
  <c r="AA184" i="5"/>
  <c r="X184" i="5"/>
  <c r="Y184" i="5" s="1"/>
  <c r="Z184" i="5" s="1"/>
  <c r="W184" i="5"/>
  <c r="V184" i="5"/>
  <c r="U184" i="5"/>
  <c r="T184" i="5"/>
  <c r="S184" i="5"/>
  <c r="R184" i="5"/>
  <c r="Q184" i="5"/>
  <c r="P184" i="5"/>
  <c r="M184" i="5"/>
  <c r="L184" i="5"/>
  <c r="K184" i="5"/>
  <c r="J184" i="5"/>
  <c r="A184" i="5"/>
  <c r="AB183" i="5"/>
  <c r="AC183" i="5" s="1"/>
  <c r="X183" i="5"/>
  <c r="W183" i="5"/>
  <c r="V183" i="5"/>
  <c r="U183" i="5"/>
  <c r="T183" i="5"/>
  <c r="S183" i="5"/>
  <c r="R183" i="5"/>
  <c r="P183" i="5"/>
  <c r="M183" i="5"/>
  <c r="K183" i="5"/>
  <c r="J183" i="5"/>
  <c r="A183" i="5"/>
  <c r="AD182" i="5"/>
  <c r="AA182" i="5"/>
  <c r="V182" i="5"/>
  <c r="U182" i="5"/>
  <c r="T182" i="5"/>
  <c r="S182" i="5"/>
  <c r="R182" i="5"/>
  <c r="M182" i="5"/>
  <c r="K182" i="5"/>
  <c r="AB182" i="5" s="1"/>
  <c r="AC182" i="5" s="1"/>
  <c r="J182" i="5"/>
  <c r="A182" i="5"/>
  <c r="AB181" i="5"/>
  <c r="AC181" i="5" s="1"/>
  <c r="Z181" i="5"/>
  <c r="X181" i="5"/>
  <c r="Y181" i="5" s="1"/>
  <c r="W181" i="5"/>
  <c r="V181" i="5"/>
  <c r="U181" i="5"/>
  <c r="T181" i="5"/>
  <c r="S181" i="5"/>
  <c r="R181" i="5"/>
  <c r="M181" i="5"/>
  <c r="L181" i="5" s="1"/>
  <c r="K181" i="5"/>
  <c r="J181" i="5"/>
  <c r="A181" i="5"/>
  <c r="AB180" i="5"/>
  <c r="AC180" i="5" s="1"/>
  <c r="V180" i="5"/>
  <c r="U180" i="5"/>
  <c r="T180" i="5"/>
  <c r="S180" i="5"/>
  <c r="R180" i="5"/>
  <c r="P180" i="5"/>
  <c r="M180" i="5"/>
  <c r="AA180" i="5" s="1"/>
  <c r="K180" i="5"/>
  <c r="J180" i="5"/>
  <c r="A180" i="5"/>
  <c r="AD179" i="5"/>
  <c r="AA179" i="5"/>
  <c r="X179" i="5"/>
  <c r="W179" i="5"/>
  <c r="V179" i="5"/>
  <c r="U179" i="5"/>
  <c r="T179" i="5"/>
  <c r="S179" i="5"/>
  <c r="R179" i="5"/>
  <c r="M179" i="5"/>
  <c r="K179" i="5"/>
  <c r="AB179" i="5" s="1"/>
  <c r="AC179" i="5" s="1"/>
  <c r="J179" i="5"/>
  <c r="A179" i="5"/>
  <c r="AD178" i="5"/>
  <c r="AC178" i="5"/>
  <c r="AB178" i="5"/>
  <c r="X178" i="5"/>
  <c r="Y178" i="5" s="1"/>
  <c r="Z178" i="5" s="1"/>
  <c r="W178" i="5"/>
  <c r="V178" i="5"/>
  <c r="U178" i="5"/>
  <c r="T178" i="5"/>
  <c r="S178" i="5"/>
  <c r="R178" i="5"/>
  <c r="Q178" i="5"/>
  <c r="P178" i="5"/>
  <c r="M178" i="5"/>
  <c r="AA178" i="5" s="1"/>
  <c r="K178" i="5"/>
  <c r="J178" i="5"/>
  <c r="A178" i="5"/>
  <c r="V177" i="5"/>
  <c r="X177" i="5" s="1"/>
  <c r="U177" i="5"/>
  <c r="T177" i="5"/>
  <c r="S177" i="5"/>
  <c r="R177" i="5"/>
  <c r="P177" i="5"/>
  <c r="M177" i="5"/>
  <c r="AA177" i="5" s="1"/>
  <c r="K177" i="5"/>
  <c r="AB177" i="5" s="1"/>
  <c r="AC177" i="5" s="1"/>
  <c r="J177" i="5"/>
  <c r="A177" i="5"/>
  <c r="V176" i="5"/>
  <c r="X176" i="5" s="1"/>
  <c r="U176" i="5"/>
  <c r="T176" i="5"/>
  <c r="S176" i="5"/>
  <c r="R176" i="5"/>
  <c r="M176" i="5"/>
  <c r="AD176" i="5" s="1"/>
  <c r="K176" i="5"/>
  <c r="AB176" i="5" s="1"/>
  <c r="AC176" i="5" s="1"/>
  <c r="J176" i="5"/>
  <c r="A176" i="5"/>
  <c r="AB175" i="5"/>
  <c r="AC175" i="5" s="1"/>
  <c r="Z175" i="5"/>
  <c r="X175" i="5"/>
  <c r="Y175" i="5" s="1"/>
  <c r="W175" i="5"/>
  <c r="V175" i="5"/>
  <c r="U175" i="5"/>
  <c r="T175" i="5"/>
  <c r="S175" i="5"/>
  <c r="R175" i="5"/>
  <c r="M175" i="5"/>
  <c r="L175" i="5" s="1"/>
  <c r="K175" i="5"/>
  <c r="J175" i="5"/>
  <c r="A175" i="5"/>
  <c r="AA174" i="5"/>
  <c r="X174" i="5"/>
  <c r="Y174" i="5" s="1"/>
  <c r="Z174" i="5" s="1"/>
  <c r="V174" i="5"/>
  <c r="W174" i="5" s="1"/>
  <c r="U174" i="5"/>
  <c r="T174" i="5"/>
  <c r="S174" i="5"/>
  <c r="R174" i="5"/>
  <c r="P174" i="5"/>
  <c r="M174" i="5"/>
  <c r="L174" i="5"/>
  <c r="K174" i="5"/>
  <c r="AB174" i="5" s="1"/>
  <c r="AC174" i="5" s="1"/>
  <c r="J174" i="5"/>
  <c r="A174" i="5"/>
  <c r="W173" i="5"/>
  <c r="V173" i="5"/>
  <c r="X173" i="5" s="1"/>
  <c r="U173" i="5"/>
  <c r="T173" i="5"/>
  <c r="S173" i="5"/>
  <c r="R173" i="5"/>
  <c r="M173" i="5"/>
  <c r="AD173" i="5" s="1"/>
  <c r="K173" i="5"/>
  <c r="AB173" i="5" s="1"/>
  <c r="AC173" i="5" s="1"/>
  <c r="J173" i="5"/>
  <c r="A173" i="5"/>
  <c r="AB172" i="5"/>
  <c r="AC172" i="5" s="1"/>
  <c r="AA172" i="5"/>
  <c r="Z172" i="5"/>
  <c r="X172" i="5"/>
  <c r="Y172" i="5" s="1"/>
  <c r="W172" i="5"/>
  <c r="V172" i="5"/>
  <c r="U172" i="5"/>
  <c r="T172" i="5"/>
  <c r="S172" i="5"/>
  <c r="R172" i="5"/>
  <c r="M172" i="5"/>
  <c r="K172" i="5"/>
  <c r="J172" i="5"/>
  <c r="A172" i="5"/>
  <c r="AB171" i="5"/>
  <c r="AC171" i="5" s="1"/>
  <c r="V171" i="5"/>
  <c r="X171" i="5" s="1"/>
  <c r="U171" i="5"/>
  <c r="T171" i="5"/>
  <c r="S171" i="5"/>
  <c r="R171" i="5"/>
  <c r="M171" i="5"/>
  <c r="L171" i="5" s="1"/>
  <c r="K171" i="5"/>
  <c r="J171" i="5"/>
  <c r="A171" i="5"/>
  <c r="W170" i="5"/>
  <c r="V170" i="5"/>
  <c r="X170" i="5" s="1"/>
  <c r="U170" i="5"/>
  <c r="T170" i="5"/>
  <c r="S170" i="5"/>
  <c r="R170" i="5"/>
  <c r="M170" i="5"/>
  <c r="AD170" i="5" s="1"/>
  <c r="K170" i="5"/>
  <c r="AB170" i="5" s="1"/>
  <c r="AC170" i="5" s="1"/>
  <c r="J170" i="5"/>
  <c r="A170" i="5"/>
  <c r="AB169" i="5"/>
  <c r="AC169" i="5" s="1"/>
  <c r="AA169" i="5"/>
  <c r="Z169" i="5"/>
  <c r="X169" i="5"/>
  <c r="Y169" i="5" s="1"/>
  <c r="W169" i="5"/>
  <c r="V169" i="5"/>
  <c r="U169" i="5"/>
  <c r="T169" i="5"/>
  <c r="S169" i="5"/>
  <c r="R169" i="5"/>
  <c r="M169" i="5"/>
  <c r="K169" i="5"/>
  <c r="J169" i="5"/>
  <c r="A169" i="5"/>
  <c r="AB168" i="5"/>
  <c r="AC168" i="5" s="1"/>
  <c r="V168" i="5"/>
  <c r="X168" i="5" s="1"/>
  <c r="U168" i="5"/>
  <c r="T168" i="5"/>
  <c r="S168" i="5"/>
  <c r="R168" i="5"/>
  <c r="P168" i="5"/>
  <c r="M168" i="5"/>
  <c r="K168" i="5"/>
  <c r="J168" i="5"/>
  <c r="A168" i="5"/>
  <c r="AD167" i="5"/>
  <c r="AA167" i="5"/>
  <c r="X167" i="5"/>
  <c r="W167" i="5"/>
  <c r="V167" i="5"/>
  <c r="U167" i="5"/>
  <c r="T167" i="5"/>
  <c r="S167" i="5"/>
  <c r="R167" i="5"/>
  <c r="M167" i="5"/>
  <c r="K167" i="5"/>
  <c r="AB167" i="5" s="1"/>
  <c r="AC167" i="5" s="1"/>
  <c r="J167" i="5"/>
  <c r="A167" i="5"/>
  <c r="AC166" i="5"/>
  <c r="AB166" i="5"/>
  <c r="X166" i="5"/>
  <c r="Y166" i="5" s="1"/>
  <c r="Z166" i="5" s="1"/>
  <c r="W166" i="5"/>
  <c r="V166" i="5"/>
  <c r="U166" i="5"/>
  <c r="T166" i="5"/>
  <c r="S166" i="5"/>
  <c r="R166" i="5"/>
  <c r="M166" i="5"/>
  <c r="K166" i="5"/>
  <c r="J166" i="5"/>
  <c r="A166" i="5"/>
  <c r="AA165" i="5"/>
  <c r="Z165" i="5"/>
  <c r="W165" i="5"/>
  <c r="V165" i="5"/>
  <c r="X165" i="5" s="1"/>
  <c r="Y165" i="5" s="1"/>
  <c r="U165" i="5"/>
  <c r="T165" i="5"/>
  <c r="S165" i="5"/>
  <c r="R165" i="5"/>
  <c r="P165" i="5"/>
  <c r="M165" i="5"/>
  <c r="L165" i="5"/>
  <c r="K165" i="5"/>
  <c r="AB165" i="5" s="1"/>
  <c r="AC165" i="5" s="1"/>
  <c r="J165" i="5"/>
  <c r="A165" i="5"/>
  <c r="X164" i="5"/>
  <c r="W164" i="5"/>
  <c r="V164" i="5"/>
  <c r="U164" i="5"/>
  <c r="T164" i="5"/>
  <c r="S164" i="5"/>
  <c r="R164" i="5"/>
  <c r="M164" i="5"/>
  <c r="K164" i="5"/>
  <c r="AB164" i="5" s="1"/>
  <c r="AC164" i="5" s="1"/>
  <c r="J164" i="5"/>
  <c r="A164" i="5"/>
  <c r="AD163" i="5"/>
  <c r="AC163" i="5"/>
  <c r="AB163" i="5"/>
  <c r="X163" i="5"/>
  <c r="Y163" i="5" s="1"/>
  <c r="Z163" i="5" s="1"/>
  <c r="W163" i="5"/>
  <c r="V163" i="5"/>
  <c r="U163" i="5"/>
  <c r="T163" i="5"/>
  <c r="S163" i="5"/>
  <c r="R163" i="5"/>
  <c r="Q163" i="5"/>
  <c r="P163" i="5"/>
  <c r="M163" i="5"/>
  <c r="AA163" i="5" s="1"/>
  <c r="K163" i="5"/>
  <c r="J163" i="5"/>
  <c r="A163" i="5"/>
  <c r="Y162" i="5"/>
  <c r="Z162" i="5" s="1"/>
  <c r="X162" i="5"/>
  <c r="V162" i="5"/>
  <c r="W162" i="5" s="1"/>
  <c r="U162" i="5"/>
  <c r="T162" i="5"/>
  <c r="S162" i="5"/>
  <c r="R162" i="5"/>
  <c r="M162" i="5"/>
  <c r="K162" i="5"/>
  <c r="AB162" i="5" s="1"/>
  <c r="AC162" i="5" s="1"/>
  <c r="J162" i="5"/>
  <c r="A162" i="5"/>
  <c r="V161" i="5"/>
  <c r="U161" i="5"/>
  <c r="T161" i="5"/>
  <c r="S161" i="5"/>
  <c r="R161" i="5"/>
  <c r="M161" i="5"/>
  <c r="K161" i="5"/>
  <c r="AB161" i="5" s="1"/>
  <c r="AC161" i="5" s="1"/>
  <c r="J161" i="5"/>
  <c r="A161" i="5"/>
  <c r="AD160" i="5"/>
  <c r="AC160" i="5"/>
  <c r="AB160" i="5"/>
  <c r="AA160" i="5"/>
  <c r="X160" i="5"/>
  <c r="Y160" i="5" s="1"/>
  <c r="Z160" i="5" s="1"/>
  <c r="W160" i="5"/>
  <c r="V160" i="5"/>
  <c r="U160" i="5"/>
  <c r="T160" i="5"/>
  <c r="S160" i="5"/>
  <c r="R160" i="5"/>
  <c r="Q160" i="5"/>
  <c r="P160" i="5"/>
  <c r="M160" i="5"/>
  <c r="L160" i="5"/>
  <c r="K160" i="5"/>
  <c r="J160" i="5"/>
  <c r="A160" i="5"/>
  <c r="AB159" i="5"/>
  <c r="AC159" i="5" s="1"/>
  <c r="Y159" i="5"/>
  <c r="X159" i="5"/>
  <c r="W159" i="5"/>
  <c r="V159" i="5"/>
  <c r="U159" i="5"/>
  <c r="T159" i="5"/>
  <c r="S159" i="5"/>
  <c r="R159" i="5"/>
  <c r="M159" i="5"/>
  <c r="K159" i="5"/>
  <c r="J159" i="5"/>
  <c r="A159" i="5"/>
  <c r="V158" i="5"/>
  <c r="X158" i="5" s="1"/>
  <c r="U158" i="5"/>
  <c r="T158" i="5"/>
  <c r="S158" i="5"/>
  <c r="R158" i="5"/>
  <c r="M158" i="5"/>
  <c r="K158" i="5"/>
  <c r="AB158" i="5" s="1"/>
  <c r="AC158" i="5" s="1"/>
  <c r="J158" i="5"/>
  <c r="A158" i="5"/>
  <c r="AB157" i="5"/>
  <c r="AC157" i="5" s="1"/>
  <c r="Z157" i="5"/>
  <c r="X157" i="5"/>
  <c r="Y157" i="5" s="1"/>
  <c r="W157" i="5"/>
  <c r="V157" i="5"/>
  <c r="U157" i="5"/>
  <c r="T157" i="5"/>
  <c r="S157" i="5"/>
  <c r="R157" i="5"/>
  <c r="Q157" i="5"/>
  <c r="M157" i="5"/>
  <c r="AD157" i="5" s="1"/>
  <c r="K157" i="5"/>
  <c r="J157" i="5"/>
  <c r="A157" i="5"/>
  <c r="AA156" i="5"/>
  <c r="X156" i="5"/>
  <c r="Y156" i="5" s="1"/>
  <c r="Z156" i="5" s="1"/>
  <c r="W156" i="5"/>
  <c r="V156" i="5"/>
  <c r="U156" i="5"/>
  <c r="T156" i="5"/>
  <c r="S156" i="5"/>
  <c r="R156" i="5"/>
  <c r="M156" i="5"/>
  <c r="L156" i="5"/>
  <c r="K156" i="5"/>
  <c r="AB156" i="5" s="1"/>
  <c r="AC156" i="5" s="1"/>
  <c r="J156" i="5"/>
  <c r="A156" i="5"/>
  <c r="AD155" i="5"/>
  <c r="X155" i="5"/>
  <c r="W155" i="5"/>
  <c r="V155" i="5"/>
  <c r="U155" i="5"/>
  <c r="T155" i="5"/>
  <c r="S155" i="5"/>
  <c r="R155" i="5"/>
  <c r="M155" i="5"/>
  <c r="K155" i="5"/>
  <c r="AB155" i="5" s="1"/>
  <c r="AC155" i="5" s="1"/>
  <c r="J155" i="5"/>
  <c r="A155" i="5"/>
  <c r="AB154" i="5"/>
  <c r="AC154" i="5" s="1"/>
  <c r="AA154" i="5"/>
  <c r="Z154" i="5"/>
  <c r="X154" i="5"/>
  <c r="Y154" i="5" s="1"/>
  <c r="W154" i="5"/>
  <c r="V154" i="5"/>
  <c r="U154" i="5"/>
  <c r="T154" i="5"/>
  <c r="S154" i="5"/>
  <c r="R154" i="5"/>
  <c r="P154" i="5"/>
  <c r="M154" i="5"/>
  <c r="L154" i="5"/>
  <c r="K154" i="5"/>
  <c r="J154" i="5"/>
  <c r="A154" i="5"/>
  <c r="AB153" i="5"/>
  <c r="AC153" i="5" s="1"/>
  <c r="AA153" i="5"/>
  <c r="V153" i="5"/>
  <c r="W153" i="5" s="1"/>
  <c r="U153" i="5"/>
  <c r="T153" i="5"/>
  <c r="S153" i="5"/>
  <c r="R153" i="5"/>
  <c r="P153" i="5"/>
  <c r="M153" i="5"/>
  <c r="L153" i="5"/>
  <c r="K153" i="5"/>
  <c r="J153" i="5"/>
  <c r="A153" i="5"/>
  <c r="AA152" i="5"/>
  <c r="X152" i="5"/>
  <c r="W152" i="5"/>
  <c r="V152" i="5"/>
  <c r="U152" i="5"/>
  <c r="T152" i="5"/>
  <c r="S152" i="5"/>
  <c r="R152" i="5"/>
  <c r="M152" i="5"/>
  <c r="K152" i="5"/>
  <c r="AB152" i="5" s="1"/>
  <c r="AC152" i="5" s="1"/>
  <c r="J152" i="5"/>
  <c r="A152" i="5"/>
  <c r="AC151" i="5"/>
  <c r="AB151" i="5"/>
  <c r="X151" i="5"/>
  <c r="Y151" i="5" s="1"/>
  <c r="Z151" i="5" s="1"/>
  <c r="W151" i="5"/>
  <c r="V151" i="5"/>
  <c r="U151" i="5"/>
  <c r="T151" i="5"/>
  <c r="S151" i="5"/>
  <c r="R151" i="5"/>
  <c r="M151" i="5"/>
  <c r="K151" i="5"/>
  <c r="J151" i="5"/>
  <c r="A151" i="5"/>
  <c r="V150" i="5"/>
  <c r="U150" i="5"/>
  <c r="T150" i="5"/>
  <c r="S150" i="5"/>
  <c r="R150" i="5"/>
  <c r="P150" i="5"/>
  <c r="M150" i="5"/>
  <c r="L150" i="5" s="1"/>
  <c r="K150" i="5"/>
  <c r="AB150" i="5" s="1"/>
  <c r="AC150" i="5" s="1"/>
  <c r="J150" i="5"/>
  <c r="A150" i="5"/>
  <c r="AA149" i="5"/>
  <c r="X149" i="5"/>
  <c r="W149" i="5"/>
  <c r="V149" i="5"/>
  <c r="U149" i="5"/>
  <c r="T149" i="5"/>
  <c r="S149" i="5"/>
  <c r="R149" i="5"/>
  <c r="M149" i="5"/>
  <c r="AD149" i="5" s="1"/>
  <c r="K149" i="5"/>
  <c r="AB149" i="5" s="1"/>
  <c r="AC149" i="5" s="1"/>
  <c r="J149" i="5"/>
  <c r="A149" i="5"/>
  <c r="AC148" i="5"/>
  <c r="AB148" i="5"/>
  <c r="Z148" i="5"/>
  <c r="X148" i="5"/>
  <c r="Y148" i="5" s="1"/>
  <c r="W148" i="5"/>
  <c r="V148" i="5"/>
  <c r="U148" i="5"/>
  <c r="T148" i="5"/>
  <c r="S148" i="5"/>
  <c r="R148" i="5"/>
  <c r="M148" i="5"/>
  <c r="K148" i="5"/>
  <c r="J148" i="5"/>
  <c r="A148" i="5"/>
  <c r="V147" i="5"/>
  <c r="U147" i="5"/>
  <c r="T147" i="5"/>
  <c r="S147" i="5"/>
  <c r="R147" i="5"/>
  <c r="P147" i="5"/>
  <c r="M147" i="5"/>
  <c r="L147" i="5" s="1"/>
  <c r="K147" i="5"/>
  <c r="AB147" i="5" s="1"/>
  <c r="AC147" i="5" s="1"/>
  <c r="J147" i="5"/>
  <c r="A147" i="5"/>
  <c r="AA146" i="5"/>
  <c r="X146" i="5"/>
  <c r="W146" i="5"/>
  <c r="V146" i="5"/>
  <c r="U146" i="5"/>
  <c r="T146" i="5"/>
  <c r="S146" i="5"/>
  <c r="R146" i="5"/>
  <c r="M146" i="5"/>
  <c r="AD146" i="5" s="1"/>
  <c r="K146" i="5"/>
  <c r="AB146" i="5" s="1"/>
  <c r="AC146" i="5" s="1"/>
  <c r="J146" i="5"/>
  <c r="A146" i="5"/>
  <c r="AD145" i="5"/>
  <c r="AB145" i="5"/>
  <c r="AC145" i="5" s="1"/>
  <c r="X145" i="5"/>
  <c r="Y145" i="5" s="1"/>
  <c r="Z145" i="5" s="1"/>
  <c r="W145" i="5"/>
  <c r="V145" i="5"/>
  <c r="U145" i="5"/>
  <c r="T145" i="5"/>
  <c r="S145" i="5"/>
  <c r="R145" i="5"/>
  <c r="Q145" i="5"/>
  <c r="P145" i="5"/>
  <c r="M145" i="5"/>
  <c r="K145" i="5"/>
  <c r="J145" i="5"/>
  <c r="A145" i="5"/>
  <c r="AB144" i="5"/>
  <c r="AC144" i="5" s="1"/>
  <c r="V144" i="5"/>
  <c r="U144" i="5"/>
  <c r="T144" i="5"/>
  <c r="S144" i="5"/>
  <c r="R144" i="5"/>
  <c r="P144" i="5"/>
  <c r="M144" i="5"/>
  <c r="L144" i="5" s="1"/>
  <c r="K144" i="5"/>
  <c r="J144" i="5"/>
  <c r="A144" i="5"/>
  <c r="AD143" i="5"/>
  <c r="AA143" i="5"/>
  <c r="X143" i="5"/>
  <c r="W143" i="5"/>
  <c r="V143" i="5"/>
  <c r="U143" i="5"/>
  <c r="T143" i="5"/>
  <c r="S143" i="5"/>
  <c r="R143" i="5"/>
  <c r="M143" i="5"/>
  <c r="K143" i="5"/>
  <c r="AB143" i="5" s="1"/>
  <c r="AC143" i="5" s="1"/>
  <c r="J143" i="5"/>
  <c r="A143" i="5"/>
  <c r="AD142" i="5"/>
  <c r="AB142" i="5"/>
  <c r="AC142" i="5" s="1"/>
  <c r="X142" i="5"/>
  <c r="Y142" i="5" s="1"/>
  <c r="Z142" i="5" s="1"/>
  <c r="W142" i="5"/>
  <c r="V142" i="5"/>
  <c r="U142" i="5"/>
  <c r="T142" i="5"/>
  <c r="S142" i="5"/>
  <c r="R142" i="5"/>
  <c r="Q142" i="5"/>
  <c r="P142" i="5"/>
  <c r="M142" i="5"/>
  <c r="K142" i="5"/>
  <c r="J142" i="5"/>
  <c r="A142" i="5"/>
  <c r="V141" i="5"/>
  <c r="U141" i="5"/>
  <c r="T141" i="5"/>
  <c r="S141" i="5"/>
  <c r="R141" i="5"/>
  <c r="P141" i="5"/>
  <c r="M141" i="5"/>
  <c r="K141" i="5"/>
  <c r="AB141" i="5" s="1"/>
  <c r="AC141" i="5" s="1"/>
  <c r="J141" i="5"/>
  <c r="A141" i="5"/>
  <c r="AD140" i="5"/>
  <c r="AA140" i="5"/>
  <c r="X140" i="5"/>
  <c r="W140" i="5"/>
  <c r="V140" i="5"/>
  <c r="U140" i="5"/>
  <c r="T140" i="5"/>
  <c r="S140" i="5"/>
  <c r="R140" i="5"/>
  <c r="M140" i="5"/>
  <c r="K140" i="5"/>
  <c r="AB140" i="5" s="1"/>
  <c r="AC140" i="5" s="1"/>
  <c r="J140" i="5"/>
  <c r="A140" i="5"/>
  <c r="AB139" i="5"/>
  <c r="AC139" i="5" s="1"/>
  <c r="AA139" i="5"/>
  <c r="X139" i="5"/>
  <c r="Y139" i="5" s="1"/>
  <c r="Z139" i="5" s="1"/>
  <c r="W139" i="5"/>
  <c r="V139" i="5"/>
  <c r="U139" i="5"/>
  <c r="T139" i="5"/>
  <c r="S139" i="5"/>
  <c r="R139" i="5"/>
  <c r="P139" i="5"/>
  <c r="M139" i="5"/>
  <c r="L139" i="5"/>
  <c r="K139" i="5"/>
  <c r="J139" i="5"/>
  <c r="A139" i="5"/>
  <c r="AA138" i="5"/>
  <c r="V138" i="5"/>
  <c r="X138" i="5" s="1"/>
  <c r="U138" i="5"/>
  <c r="T138" i="5"/>
  <c r="S138" i="5"/>
  <c r="R138" i="5"/>
  <c r="P138" i="5"/>
  <c r="M138" i="5"/>
  <c r="L138" i="5"/>
  <c r="K138" i="5"/>
  <c r="AB138" i="5" s="1"/>
  <c r="AC138" i="5" s="1"/>
  <c r="J138" i="5"/>
  <c r="A138" i="5"/>
  <c r="AD137" i="5"/>
  <c r="AA137" i="5"/>
  <c r="X137" i="5"/>
  <c r="W137" i="5"/>
  <c r="V137" i="5"/>
  <c r="U137" i="5"/>
  <c r="T137" i="5"/>
  <c r="S137" i="5"/>
  <c r="R137" i="5"/>
  <c r="M137" i="5"/>
  <c r="K137" i="5"/>
  <c r="AB137" i="5" s="1"/>
  <c r="AC137" i="5" s="1"/>
  <c r="J137" i="5"/>
  <c r="A137" i="5"/>
  <c r="AB136" i="5"/>
  <c r="AC136" i="5" s="1"/>
  <c r="AA136" i="5"/>
  <c r="X136" i="5"/>
  <c r="Y136" i="5" s="1"/>
  <c r="Z136" i="5" s="1"/>
  <c r="W136" i="5"/>
  <c r="V136" i="5"/>
  <c r="U136" i="5"/>
  <c r="T136" i="5"/>
  <c r="S136" i="5"/>
  <c r="R136" i="5"/>
  <c r="P136" i="5"/>
  <c r="M136" i="5"/>
  <c r="L136" i="5"/>
  <c r="K136" i="5"/>
  <c r="J136" i="5"/>
  <c r="A136" i="5"/>
  <c r="AB135" i="5"/>
  <c r="AC135" i="5" s="1"/>
  <c r="V135" i="5"/>
  <c r="U135" i="5"/>
  <c r="T135" i="5"/>
  <c r="S135" i="5"/>
  <c r="R135" i="5"/>
  <c r="M135" i="5"/>
  <c r="K135" i="5"/>
  <c r="J135" i="5"/>
  <c r="A135" i="5"/>
  <c r="AD134" i="5"/>
  <c r="AA134" i="5"/>
  <c r="W134" i="5"/>
  <c r="V134" i="5"/>
  <c r="X134" i="5" s="1"/>
  <c r="U134" i="5"/>
  <c r="T134" i="5"/>
  <c r="S134" i="5"/>
  <c r="R134" i="5"/>
  <c r="M134" i="5"/>
  <c r="K134" i="5"/>
  <c r="AB134" i="5" s="1"/>
  <c r="AC134" i="5" s="1"/>
  <c r="J134" i="5"/>
  <c r="A134" i="5"/>
  <c r="AC133" i="5"/>
  <c r="AB133" i="5"/>
  <c r="W133" i="5"/>
  <c r="V133" i="5"/>
  <c r="X133" i="5" s="1"/>
  <c r="U133" i="5"/>
  <c r="T133" i="5"/>
  <c r="S133" i="5"/>
  <c r="R133" i="5"/>
  <c r="M133" i="5"/>
  <c r="K133" i="5"/>
  <c r="J133" i="5"/>
  <c r="A133" i="5"/>
  <c r="AB132" i="5"/>
  <c r="AC132" i="5" s="1"/>
  <c r="V132" i="5"/>
  <c r="X132" i="5" s="1"/>
  <c r="U132" i="5"/>
  <c r="T132" i="5"/>
  <c r="S132" i="5"/>
  <c r="R132" i="5"/>
  <c r="M132" i="5"/>
  <c r="L132" i="5"/>
  <c r="K132" i="5"/>
  <c r="J132" i="5"/>
  <c r="A132" i="5"/>
  <c r="V131" i="5"/>
  <c r="X131" i="5" s="1"/>
  <c r="U131" i="5"/>
  <c r="T131" i="5"/>
  <c r="S131" i="5"/>
  <c r="R131" i="5"/>
  <c r="M131" i="5"/>
  <c r="AD131" i="5" s="1"/>
  <c r="K131" i="5"/>
  <c r="AB131" i="5" s="1"/>
  <c r="AC131" i="5" s="1"/>
  <c r="J131" i="5"/>
  <c r="A131" i="5"/>
  <c r="AB130" i="5"/>
  <c r="AC130" i="5" s="1"/>
  <c r="AA130" i="5"/>
  <c r="W130" i="5"/>
  <c r="V130" i="5"/>
  <c r="X130" i="5" s="1"/>
  <c r="Y130" i="5" s="1"/>
  <c r="U130" i="5"/>
  <c r="T130" i="5"/>
  <c r="S130" i="5"/>
  <c r="R130" i="5"/>
  <c r="M130" i="5"/>
  <c r="Q130" i="5" s="1"/>
  <c r="L130" i="5"/>
  <c r="K130" i="5"/>
  <c r="J130" i="5"/>
  <c r="A130" i="5"/>
  <c r="AA129" i="5"/>
  <c r="X129" i="5"/>
  <c r="Y129" i="5" s="1"/>
  <c r="Z129" i="5" s="1"/>
  <c r="V129" i="5"/>
  <c r="W129" i="5" s="1"/>
  <c r="U129" i="5"/>
  <c r="T129" i="5"/>
  <c r="S129" i="5"/>
  <c r="R129" i="5"/>
  <c r="M129" i="5"/>
  <c r="L129" i="5"/>
  <c r="K129" i="5"/>
  <c r="AB129" i="5" s="1"/>
  <c r="AC129" i="5" s="1"/>
  <c r="J129" i="5"/>
  <c r="A129" i="5"/>
  <c r="V128" i="5"/>
  <c r="U128" i="5"/>
  <c r="T128" i="5"/>
  <c r="S128" i="5"/>
  <c r="R128" i="5"/>
  <c r="M128" i="5"/>
  <c r="K128" i="5"/>
  <c r="AB128" i="5" s="1"/>
  <c r="AC128" i="5" s="1"/>
  <c r="J128" i="5"/>
  <c r="A128" i="5"/>
  <c r="AB127" i="5"/>
  <c r="AC127" i="5" s="1"/>
  <c r="AA127" i="5"/>
  <c r="Z127" i="5"/>
  <c r="W127" i="5"/>
  <c r="V127" i="5"/>
  <c r="X127" i="5" s="1"/>
  <c r="Y127" i="5" s="1"/>
  <c r="U127" i="5"/>
  <c r="T127" i="5"/>
  <c r="S127" i="5"/>
  <c r="R127" i="5"/>
  <c r="Q127" i="5"/>
  <c r="M127" i="5"/>
  <c r="AD127" i="5" s="1"/>
  <c r="L127" i="5"/>
  <c r="K127" i="5"/>
  <c r="J127" i="5"/>
  <c r="A127" i="5"/>
  <c r="W126" i="5"/>
  <c r="V126" i="5"/>
  <c r="X126" i="5" s="1"/>
  <c r="U126" i="5"/>
  <c r="T126" i="5"/>
  <c r="S126" i="5"/>
  <c r="R126" i="5"/>
  <c r="M126" i="5"/>
  <c r="K126" i="5"/>
  <c r="AB126" i="5" s="1"/>
  <c r="AC126" i="5" s="1"/>
  <c r="J126" i="5"/>
  <c r="A126" i="5"/>
  <c r="V125" i="5"/>
  <c r="X125" i="5" s="1"/>
  <c r="U125" i="5"/>
  <c r="T125" i="5"/>
  <c r="S125" i="5"/>
  <c r="R125" i="5"/>
  <c r="M125" i="5"/>
  <c r="K125" i="5"/>
  <c r="AB125" i="5" s="1"/>
  <c r="AC125" i="5" s="1"/>
  <c r="J125" i="5"/>
  <c r="A125" i="5"/>
  <c r="AD124" i="5"/>
  <c r="AA124" i="5"/>
  <c r="Z124" i="5"/>
  <c r="W124" i="5"/>
  <c r="V124" i="5"/>
  <c r="X124" i="5" s="1"/>
  <c r="Y124" i="5" s="1"/>
  <c r="U124" i="5"/>
  <c r="T124" i="5"/>
  <c r="S124" i="5"/>
  <c r="R124" i="5"/>
  <c r="P124" i="5"/>
  <c r="M124" i="5"/>
  <c r="Q124" i="5" s="1"/>
  <c r="L124" i="5"/>
  <c r="K124" i="5"/>
  <c r="AB124" i="5" s="1"/>
  <c r="AC124" i="5" s="1"/>
  <c r="J124" i="5"/>
  <c r="A124" i="5"/>
  <c r="AB123" i="5"/>
  <c r="AC123" i="5" s="1"/>
  <c r="AA123" i="5"/>
  <c r="X123" i="5"/>
  <c r="Y123" i="5" s="1"/>
  <c r="Z123" i="5" s="1"/>
  <c r="V123" i="5"/>
  <c r="W123" i="5" s="1"/>
  <c r="U123" i="5"/>
  <c r="T123" i="5"/>
  <c r="S123" i="5"/>
  <c r="R123" i="5"/>
  <c r="M123" i="5"/>
  <c r="Q123" i="5" s="1"/>
  <c r="K123" i="5"/>
  <c r="J123" i="5"/>
  <c r="A123" i="5"/>
  <c r="V122" i="5"/>
  <c r="X122" i="5" s="1"/>
  <c r="U122" i="5"/>
  <c r="T122" i="5"/>
  <c r="S122" i="5"/>
  <c r="R122" i="5"/>
  <c r="M122" i="5"/>
  <c r="L122" i="5"/>
  <c r="K122" i="5"/>
  <c r="AB122" i="5" s="1"/>
  <c r="AC122" i="5" s="1"/>
  <c r="J122" i="5"/>
  <c r="A122" i="5"/>
  <c r="AD121" i="5"/>
  <c r="W121" i="5"/>
  <c r="V121" i="5"/>
  <c r="X121" i="5" s="1"/>
  <c r="U121" i="5"/>
  <c r="T121" i="5"/>
  <c r="S121" i="5"/>
  <c r="R121" i="5"/>
  <c r="Q121" i="5"/>
  <c r="M121" i="5"/>
  <c r="P121" i="5" s="1"/>
  <c r="K121" i="5"/>
  <c r="AB121" i="5" s="1"/>
  <c r="AC121" i="5" s="1"/>
  <c r="J121" i="5"/>
  <c r="A121" i="5"/>
  <c r="AC120" i="5"/>
  <c r="Y120" i="5"/>
  <c r="W120" i="5"/>
  <c r="V120" i="5"/>
  <c r="X120" i="5" s="1"/>
  <c r="Z120" i="5" s="1"/>
  <c r="U120" i="5"/>
  <c r="T120" i="5"/>
  <c r="S120" i="5"/>
  <c r="R120" i="5"/>
  <c r="Q120" i="5"/>
  <c r="M120" i="5"/>
  <c r="L120" i="5" s="1"/>
  <c r="K120" i="5"/>
  <c r="AB120" i="5" s="1"/>
  <c r="J120" i="5"/>
  <c r="A120" i="5"/>
  <c r="V119" i="5"/>
  <c r="U119" i="5"/>
  <c r="T119" i="5"/>
  <c r="S119" i="5"/>
  <c r="R119" i="5"/>
  <c r="M119" i="5"/>
  <c r="L119" i="5" s="1"/>
  <c r="K119" i="5"/>
  <c r="AB119" i="5" s="1"/>
  <c r="AC119" i="5" s="1"/>
  <c r="J119" i="5"/>
  <c r="A119" i="5"/>
  <c r="AD118" i="5"/>
  <c r="AC118" i="5"/>
  <c r="W118" i="5"/>
  <c r="V118" i="5"/>
  <c r="X118" i="5" s="1"/>
  <c r="U118" i="5"/>
  <c r="T118" i="5"/>
  <c r="S118" i="5"/>
  <c r="R118" i="5"/>
  <c r="Q118" i="5"/>
  <c r="M118" i="5"/>
  <c r="P118" i="5" s="1"/>
  <c r="K118" i="5"/>
  <c r="AB118" i="5" s="1"/>
  <c r="J118" i="5"/>
  <c r="A118" i="5"/>
  <c r="AD117" i="5"/>
  <c r="AC117" i="5"/>
  <c r="Z117" i="5"/>
  <c r="Y117" i="5"/>
  <c r="W117" i="5"/>
  <c r="V117" i="5"/>
  <c r="X117" i="5" s="1"/>
  <c r="U117" i="5"/>
  <c r="T117" i="5"/>
  <c r="S117" i="5"/>
  <c r="R117" i="5"/>
  <c r="Q117" i="5"/>
  <c r="M117" i="5"/>
  <c r="L117" i="5"/>
  <c r="K117" i="5"/>
  <c r="AB117" i="5" s="1"/>
  <c r="J117" i="5"/>
  <c r="A117" i="5"/>
  <c r="AA116" i="5"/>
  <c r="W116" i="5"/>
  <c r="V116" i="5"/>
  <c r="X116" i="5" s="1"/>
  <c r="Y116" i="5" s="1"/>
  <c r="Z116" i="5" s="1"/>
  <c r="U116" i="5"/>
  <c r="T116" i="5"/>
  <c r="S116" i="5"/>
  <c r="R116" i="5"/>
  <c r="M116" i="5"/>
  <c r="L116" i="5"/>
  <c r="K116" i="5"/>
  <c r="AB116" i="5" s="1"/>
  <c r="AC116" i="5" s="1"/>
  <c r="J116" i="5"/>
  <c r="A116" i="5"/>
  <c r="AD115" i="5"/>
  <c r="V115" i="5"/>
  <c r="X115" i="5" s="1"/>
  <c r="U115" i="5"/>
  <c r="T115" i="5"/>
  <c r="S115" i="5"/>
  <c r="R115" i="5"/>
  <c r="Q115" i="5"/>
  <c r="M115" i="5"/>
  <c r="P115" i="5" s="1"/>
  <c r="K115" i="5"/>
  <c r="AB115" i="5" s="1"/>
  <c r="AC115" i="5" s="1"/>
  <c r="J115" i="5"/>
  <c r="A115" i="5"/>
  <c r="Z114" i="5"/>
  <c r="Y114" i="5"/>
  <c r="W114" i="5"/>
  <c r="V114" i="5"/>
  <c r="X114" i="5" s="1"/>
  <c r="U114" i="5"/>
  <c r="T114" i="5"/>
  <c r="S114" i="5"/>
  <c r="R114" i="5"/>
  <c r="M114" i="5"/>
  <c r="P114" i="5" s="1"/>
  <c r="K114" i="5"/>
  <c r="AB114" i="5" s="1"/>
  <c r="AC114" i="5" s="1"/>
  <c r="J114" i="5"/>
  <c r="A114" i="5"/>
  <c r="AA113" i="5"/>
  <c r="V113" i="5"/>
  <c r="U113" i="5"/>
  <c r="T113" i="5"/>
  <c r="S113" i="5"/>
  <c r="R113" i="5"/>
  <c r="M113" i="5"/>
  <c r="L113" i="5"/>
  <c r="K113" i="5"/>
  <c r="AB113" i="5" s="1"/>
  <c r="AC113" i="5" s="1"/>
  <c r="J113" i="5"/>
  <c r="A113" i="5"/>
  <c r="AC112" i="5"/>
  <c r="W112" i="5"/>
  <c r="V112" i="5"/>
  <c r="X112" i="5" s="1"/>
  <c r="U112" i="5"/>
  <c r="T112" i="5"/>
  <c r="S112" i="5"/>
  <c r="R112" i="5"/>
  <c r="M112" i="5"/>
  <c r="K112" i="5"/>
  <c r="AB112" i="5" s="1"/>
  <c r="J112" i="5"/>
  <c r="A112" i="5"/>
  <c r="AD111" i="5"/>
  <c r="AC111" i="5"/>
  <c r="W111" i="5"/>
  <c r="V111" i="5"/>
  <c r="X111" i="5" s="1"/>
  <c r="U111" i="5"/>
  <c r="T111" i="5"/>
  <c r="S111" i="5"/>
  <c r="R111" i="5"/>
  <c r="Q111" i="5"/>
  <c r="M111" i="5"/>
  <c r="K111" i="5"/>
  <c r="AB111" i="5" s="1"/>
  <c r="J111" i="5"/>
  <c r="A111" i="5"/>
  <c r="AA110" i="5"/>
  <c r="Y110" i="5"/>
  <c r="Z110" i="5" s="1"/>
  <c r="W110" i="5"/>
  <c r="V110" i="5"/>
  <c r="X110" i="5" s="1"/>
  <c r="U110" i="5"/>
  <c r="T110" i="5"/>
  <c r="S110" i="5"/>
  <c r="R110" i="5"/>
  <c r="M110" i="5"/>
  <c r="L110" i="5"/>
  <c r="K110" i="5"/>
  <c r="AB110" i="5" s="1"/>
  <c r="AC110" i="5" s="1"/>
  <c r="J110" i="5"/>
  <c r="A110" i="5"/>
  <c r="AD109" i="5"/>
  <c r="AA109" i="5"/>
  <c r="V109" i="5"/>
  <c r="U109" i="5"/>
  <c r="T109" i="5"/>
  <c r="S109" i="5"/>
  <c r="R109" i="5"/>
  <c r="M109" i="5"/>
  <c r="K109" i="5"/>
  <c r="AB109" i="5" s="1"/>
  <c r="AC109" i="5" s="1"/>
  <c r="J109" i="5"/>
  <c r="A109" i="5"/>
  <c r="AA108" i="5"/>
  <c r="W108" i="5"/>
  <c r="V108" i="5"/>
  <c r="X108" i="5" s="1"/>
  <c r="Y108" i="5" s="1"/>
  <c r="Z108" i="5" s="1"/>
  <c r="U108" i="5"/>
  <c r="T108" i="5"/>
  <c r="S108" i="5"/>
  <c r="R108" i="5"/>
  <c r="Q108" i="5"/>
  <c r="M108" i="5"/>
  <c r="P108" i="5" s="1"/>
  <c r="L108" i="5"/>
  <c r="K108" i="5"/>
  <c r="AB108" i="5" s="1"/>
  <c r="AC108" i="5" s="1"/>
  <c r="J108" i="5"/>
  <c r="A108" i="5"/>
  <c r="V107" i="5"/>
  <c r="U107" i="5"/>
  <c r="T107" i="5"/>
  <c r="S107" i="5"/>
  <c r="R107" i="5"/>
  <c r="M107" i="5"/>
  <c r="K107" i="5"/>
  <c r="AB107" i="5" s="1"/>
  <c r="AC107" i="5" s="1"/>
  <c r="J107" i="5"/>
  <c r="A107" i="5"/>
  <c r="AD106" i="5"/>
  <c r="AA106" i="5"/>
  <c r="W106" i="5"/>
  <c r="V106" i="5"/>
  <c r="X106" i="5" s="1"/>
  <c r="U106" i="5"/>
  <c r="T106" i="5"/>
  <c r="S106" i="5"/>
  <c r="R106" i="5"/>
  <c r="Q106" i="5"/>
  <c r="M106" i="5"/>
  <c r="K106" i="5"/>
  <c r="AB106" i="5" s="1"/>
  <c r="AC106" i="5" s="1"/>
  <c r="J106" i="5"/>
  <c r="A106" i="5"/>
  <c r="AC105" i="5"/>
  <c r="AA105" i="5"/>
  <c r="W105" i="5"/>
  <c r="V105" i="5"/>
  <c r="X105" i="5" s="1"/>
  <c r="U105" i="5"/>
  <c r="T105" i="5"/>
  <c r="S105" i="5"/>
  <c r="R105" i="5"/>
  <c r="M105" i="5"/>
  <c r="L105" i="5" s="1"/>
  <c r="K105" i="5"/>
  <c r="AB105" i="5" s="1"/>
  <c r="J105" i="5"/>
  <c r="A105" i="5"/>
  <c r="AA104" i="5"/>
  <c r="V104" i="5"/>
  <c r="X104" i="5" s="1"/>
  <c r="Y104" i="5" s="1"/>
  <c r="Z104" i="5" s="1"/>
  <c r="U104" i="5"/>
  <c r="T104" i="5"/>
  <c r="S104" i="5"/>
  <c r="R104" i="5"/>
  <c r="M104" i="5"/>
  <c r="K104" i="5"/>
  <c r="AB104" i="5" s="1"/>
  <c r="AC104" i="5" s="1"/>
  <c r="J104" i="5"/>
  <c r="A104" i="5"/>
  <c r="V103" i="5"/>
  <c r="X103" i="5" s="1"/>
  <c r="U103" i="5"/>
  <c r="T103" i="5"/>
  <c r="S103" i="5"/>
  <c r="R103" i="5"/>
  <c r="Q103" i="5"/>
  <c r="M103" i="5"/>
  <c r="K103" i="5"/>
  <c r="AB103" i="5" s="1"/>
  <c r="AC103" i="5" s="1"/>
  <c r="J103" i="5"/>
  <c r="A103" i="5"/>
  <c r="Y102" i="5"/>
  <c r="Z102" i="5" s="1"/>
  <c r="W102" i="5"/>
  <c r="V102" i="5"/>
  <c r="X102" i="5" s="1"/>
  <c r="U102" i="5"/>
  <c r="T102" i="5"/>
  <c r="S102" i="5"/>
  <c r="R102" i="5"/>
  <c r="M102" i="5"/>
  <c r="P102" i="5" s="1"/>
  <c r="K102" i="5"/>
  <c r="AB102" i="5" s="1"/>
  <c r="AC102" i="5" s="1"/>
  <c r="J102" i="5"/>
  <c r="A102" i="5"/>
  <c r="AA101" i="5"/>
  <c r="V101" i="5"/>
  <c r="U101" i="5"/>
  <c r="T101" i="5"/>
  <c r="S101" i="5"/>
  <c r="R101" i="5"/>
  <c r="M101" i="5"/>
  <c r="L101" i="5"/>
  <c r="K101" i="5"/>
  <c r="AB101" i="5" s="1"/>
  <c r="AC101" i="5" s="1"/>
  <c r="J101" i="5"/>
  <c r="A101" i="5"/>
  <c r="AD100" i="5"/>
  <c r="AC100" i="5"/>
  <c r="AA100" i="5"/>
  <c r="W100" i="5"/>
  <c r="V100" i="5"/>
  <c r="X100" i="5" s="1"/>
  <c r="U100" i="5"/>
  <c r="T100" i="5"/>
  <c r="S100" i="5"/>
  <c r="R100" i="5"/>
  <c r="Q100" i="5"/>
  <c r="M100" i="5"/>
  <c r="K100" i="5"/>
  <c r="AB100" i="5" s="1"/>
  <c r="J100" i="5"/>
  <c r="A100" i="5"/>
  <c r="AD99" i="5"/>
  <c r="AC99" i="5"/>
  <c r="W99" i="5"/>
  <c r="V99" i="5"/>
  <c r="X99" i="5" s="1"/>
  <c r="U99" i="5"/>
  <c r="T99" i="5"/>
  <c r="S99" i="5"/>
  <c r="R99" i="5"/>
  <c r="M99" i="5"/>
  <c r="K99" i="5"/>
  <c r="AB99" i="5" s="1"/>
  <c r="J99" i="5"/>
  <c r="A99" i="5"/>
  <c r="AA98" i="5"/>
  <c r="Z98" i="5"/>
  <c r="Y98" i="5"/>
  <c r="W98" i="5"/>
  <c r="V98" i="5"/>
  <c r="X98" i="5" s="1"/>
  <c r="U98" i="5"/>
  <c r="T98" i="5"/>
  <c r="S98" i="5"/>
  <c r="R98" i="5"/>
  <c r="M98" i="5"/>
  <c r="L98" i="5"/>
  <c r="K98" i="5"/>
  <c r="AB98" i="5" s="1"/>
  <c r="AC98" i="5" s="1"/>
  <c r="J98" i="5"/>
  <c r="A98" i="5"/>
  <c r="AD97" i="5"/>
  <c r="AA97" i="5"/>
  <c r="V97" i="5"/>
  <c r="X97" i="5" s="1"/>
  <c r="U97" i="5"/>
  <c r="T97" i="5"/>
  <c r="S97" i="5"/>
  <c r="R97" i="5"/>
  <c r="M97" i="5"/>
  <c r="K97" i="5"/>
  <c r="AB97" i="5" s="1"/>
  <c r="AC97" i="5" s="1"/>
  <c r="J97" i="5"/>
  <c r="A97" i="5"/>
  <c r="AA96" i="5"/>
  <c r="Z96" i="5"/>
  <c r="W96" i="5"/>
  <c r="V96" i="5"/>
  <c r="X96" i="5" s="1"/>
  <c r="Y96" i="5" s="1"/>
  <c r="U96" i="5"/>
  <c r="T96" i="5"/>
  <c r="S96" i="5"/>
  <c r="R96" i="5"/>
  <c r="Q96" i="5"/>
  <c r="M96" i="5"/>
  <c r="P96" i="5" s="1"/>
  <c r="L96" i="5"/>
  <c r="K96" i="5"/>
  <c r="AB96" i="5" s="1"/>
  <c r="AC96" i="5" s="1"/>
  <c r="J96" i="5"/>
  <c r="A96" i="5"/>
  <c r="V95" i="5"/>
  <c r="U95" i="5"/>
  <c r="T95" i="5"/>
  <c r="S95" i="5"/>
  <c r="R95" i="5"/>
  <c r="M95" i="5"/>
  <c r="K95" i="5"/>
  <c r="AB95" i="5" s="1"/>
  <c r="AC95" i="5" s="1"/>
  <c r="J95" i="5"/>
  <c r="A95" i="5"/>
  <c r="AD94" i="5"/>
  <c r="AA94" i="5"/>
  <c r="W94" i="5"/>
  <c r="V94" i="5"/>
  <c r="X94" i="5" s="1"/>
  <c r="U94" i="5"/>
  <c r="T94" i="5"/>
  <c r="S94" i="5"/>
  <c r="R94" i="5"/>
  <c r="Q94" i="5"/>
  <c r="M94" i="5"/>
  <c r="K94" i="5"/>
  <c r="AB94" i="5" s="1"/>
  <c r="AC94" i="5" s="1"/>
  <c r="J94" i="5"/>
  <c r="A94" i="5"/>
  <c r="Y93" i="5"/>
  <c r="Z93" i="5" s="1"/>
  <c r="W93" i="5"/>
  <c r="V93" i="5"/>
  <c r="X93" i="5" s="1"/>
  <c r="U93" i="5"/>
  <c r="T93" i="5"/>
  <c r="S93" i="5"/>
  <c r="R93" i="5"/>
  <c r="M93" i="5"/>
  <c r="K93" i="5"/>
  <c r="AB93" i="5" s="1"/>
  <c r="AC93" i="5" s="1"/>
  <c r="J93" i="5"/>
  <c r="A93" i="5"/>
  <c r="V92" i="5"/>
  <c r="U92" i="5"/>
  <c r="T92" i="5"/>
  <c r="S92" i="5"/>
  <c r="R92" i="5"/>
  <c r="M92" i="5"/>
  <c r="L92" i="5" s="1"/>
  <c r="K92" i="5"/>
  <c r="AB92" i="5" s="1"/>
  <c r="AC92" i="5" s="1"/>
  <c r="J92" i="5"/>
  <c r="A92" i="5"/>
  <c r="AD91" i="5"/>
  <c r="AA91" i="5"/>
  <c r="W91" i="5"/>
  <c r="V91" i="5"/>
  <c r="X91" i="5" s="1"/>
  <c r="U91" i="5"/>
  <c r="T91" i="5"/>
  <c r="S91" i="5"/>
  <c r="R91" i="5"/>
  <c r="Q91" i="5"/>
  <c r="M91" i="5"/>
  <c r="K91" i="5"/>
  <c r="AB91" i="5" s="1"/>
  <c r="AC91" i="5" s="1"/>
  <c r="J91" i="5"/>
  <c r="A91" i="5"/>
  <c r="AC90" i="5"/>
  <c r="AB90" i="5"/>
  <c r="Y90" i="5"/>
  <c r="Z90" i="5" s="1"/>
  <c r="W90" i="5"/>
  <c r="V90" i="5"/>
  <c r="X90" i="5" s="1"/>
  <c r="U90" i="5"/>
  <c r="T90" i="5"/>
  <c r="S90" i="5"/>
  <c r="R90" i="5"/>
  <c r="M90" i="5"/>
  <c r="K90" i="5"/>
  <c r="J90" i="5"/>
  <c r="A90" i="5"/>
  <c r="V89" i="5"/>
  <c r="U89" i="5"/>
  <c r="T89" i="5"/>
  <c r="S89" i="5"/>
  <c r="R89" i="5"/>
  <c r="M89" i="5"/>
  <c r="L89" i="5"/>
  <c r="K89" i="5"/>
  <c r="AB89" i="5" s="1"/>
  <c r="AC89" i="5" s="1"/>
  <c r="J89" i="5"/>
  <c r="A89" i="5"/>
  <c r="AD88" i="5"/>
  <c r="AA88" i="5"/>
  <c r="W88" i="5"/>
  <c r="V88" i="5"/>
  <c r="X88" i="5" s="1"/>
  <c r="U88" i="5"/>
  <c r="T88" i="5"/>
  <c r="S88" i="5"/>
  <c r="R88" i="5"/>
  <c r="Q88" i="5"/>
  <c r="M88" i="5"/>
  <c r="K88" i="5"/>
  <c r="AB88" i="5" s="1"/>
  <c r="AC88" i="5" s="1"/>
  <c r="J88" i="5"/>
  <c r="A88" i="5"/>
  <c r="AC87" i="5"/>
  <c r="Y87" i="5"/>
  <c r="Z87" i="5" s="1"/>
  <c r="W87" i="5"/>
  <c r="V87" i="5"/>
  <c r="X87" i="5" s="1"/>
  <c r="U87" i="5"/>
  <c r="T87" i="5"/>
  <c r="S87" i="5"/>
  <c r="R87" i="5"/>
  <c r="P87" i="5"/>
  <c r="M87" i="5"/>
  <c r="K87" i="5"/>
  <c r="AB87" i="5" s="1"/>
  <c r="J87" i="5"/>
  <c r="A87" i="5"/>
  <c r="V86" i="5"/>
  <c r="U86" i="5"/>
  <c r="T86" i="5"/>
  <c r="S86" i="5"/>
  <c r="R86" i="5"/>
  <c r="M86" i="5"/>
  <c r="L86" i="5"/>
  <c r="K86" i="5"/>
  <c r="AB86" i="5" s="1"/>
  <c r="AC86" i="5" s="1"/>
  <c r="J86" i="5"/>
  <c r="A86" i="5"/>
  <c r="AD85" i="5"/>
  <c r="AA85" i="5"/>
  <c r="W85" i="5"/>
  <c r="V85" i="5"/>
  <c r="X85" i="5" s="1"/>
  <c r="U85" i="5"/>
  <c r="T85" i="5"/>
  <c r="S85" i="5"/>
  <c r="R85" i="5"/>
  <c r="Q85" i="5"/>
  <c r="M85" i="5"/>
  <c r="K85" i="5"/>
  <c r="AB85" i="5" s="1"/>
  <c r="AC85" i="5" s="1"/>
  <c r="J85" i="5"/>
  <c r="A85" i="5"/>
  <c r="Y84" i="5"/>
  <c r="Z84" i="5" s="1"/>
  <c r="W84" i="5"/>
  <c r="V84" i="5"/>
  <c r="X84" i="5" s="1"/>
  <c r="U84" i="5"/>
  <c r="T84" i="5"/>
  <c r="S84" i="5"/>
  <c r="R84" i="5"/>
  <c r="M84" i="5"/>
  <c r="K84" i="5"/>
  <c r="AB84" i="5" s="1"/>
  <c r="AC84" i="5" s="1"/>
  <c r="J84" i="5"/>
  <c r="A84" i="5"/>
  <c r="V83" i="5"/>
  <c r="U83" i="5"/>
  <c r="T83" i="5"/>
  <c r="S83" i="5"/>
  <c r="R83" i="5"/>
  <c r="M83" i="5"/>
  <c r="L83" i="5" s="1"/>
  <c r="K83" i="5"/>
  <c r="AB83" i="5" s="1"/>
  <c r="AC83" i="5" s="1"/>
  <c r="J83" i="5"/>
  <c r="A83" i="5"/>
  <c r="AD82" i="5"/>
  <c r="AA82" i="5"/>
  <c r="V82" i="5"/>
  <c r="X82" i="5" s="1"/>
  <c r="U82" i="5"/>
  <c r="T82" i="5"/>
  <c r="S82" i="5"/>
  <c r="R82" i="5"/>
  <c r="Q82" i="5"/>
  <c r="M82" i="5"/>
  <c r="K82" i="5"/>
  <c r="AB82" i="5" s="1"/>
  <c r="AC82" i="5" s="1"/>
  <c r="J82" i="5"/>
  <c r="A82" i="5"/>
  <c r="AD81" i="5"/>
  <c r="AB81" i="5"/>
  <c r="AC81" i="5" s="1"/>
  <c r="Y81" i="5"/>
  <c r="Z81" i="5" s="1"/>
  <c r="W81" i="5"/>
  <c r="V81" i="5"/>
  <c r="X81" i="5" s="1"/>
  <c r="U81" i="5"/>
  <c r="T81" i="5"/>
  <c r="S81" i="5"/>
  <c r="R81" i="5"/>
  <c r="P81" i="5"/>
  <c r="M81" i="5"/>
  <c r="K81" i="5"/>
  <c r="J81" i="5"/>
  <c r="A81" i="5"/>
  <c r="V80" i="5"/>
  <c r="U80" i="5"/>
  <c r="T80" i="5"/>
  <c r="S80" i="5"/>
  <c r="R80" i="5"/>
  <c r="M80" i="5"/>
  <c r="L80" i="5"/>
  <c r="K80" i="5"/>
  <c r="AB80" i="5" s="1"/>
  <c r="AC80" i="5" s="1"/>
  <c r="J80" i="5"/>
  <c r="A80" i="5"/>
  <c r="AD79" i="5"/>
  <c r="AA79" i="5"/>
  <c r="W79" i="5"/>
  <c r="V79" i="5"/>
  <c r="X79" i="5" s="1"/>
  <c r="U79" i="5"/>
  <c r="T79" i="5"/>
  <c r="S79" i="5"/>
  <c r="R79" i="5"/>
  <c r="Q79" i="5"/>
  <c r="M79" i="5"/>
  <c r="K79" i="5"/>
  <c r="AB79" i="5" s="1"/>
  <c r="AC79" i="5" s="1"/>
  <c r="J79" i="5"/>
  <c r="A79" i="5"/>
  <c r="AD78" i="5"/>
  <c r="AC78" i="5"/>
  <c r="Y78" i="5"/>
  <c r="Z78" i="5" s="1"/>
  <c r="W78" i="5"/>
  <c r="V78" i="5"/>
  <c r="X78" i="5" s="1"/>
  <c r="U78" i="5"/>
  <c r="T78" i="5"/>
  <c r="S78" i="5"/>
  <c r="R78" i="5"/>
  <c r="Q78" i="5"/>
  <c r="M78" i="5"/>
  <c r="K78" i="5"/>
  <c r="AB78" i="5" s="1"/>
  <c r="J78" i="5"/>
  <c r="A78" i="5"/>
  <c r="V77" i="5"/>
  <c r="U77" i="5"/>
  <c r="T77" i="5"/>
  <c r="S77" i="5"/>
  <c r="R77" i="5"/>
  <c r="M77" i="5"/>
  <c r="L77" i="5" s="1"/>
  <c r="K77" i="5"/>
  <c r="AB77" i="5" s="1"/>
  <c r="AC77" i="5" s="1"/>
  <c r="J77" i="5"/>
  <c r="A77" i="5"/>
  <c r="AD76" i="5"/>
  <c r="AA76" i="5"/>
  <c r="W76" i="5"/>
  <c r="V76" i="5"/>
  <c r="X76" i="5" s="1"/>
  <c r="U76" i="5"/>
  <c r="T76" i="5"/>
  <c r="S76" i="5"/>
  <c r="R76" i="5"/>
  <c r="Q76" i="5"/>
  <c r="M76" i="5"/>
  <c r="K76" i="5"/>
  <c r="AB76" i="5" s="1"/>
  <c r="AC76" i="5" s="1"/>
  <c r="J76" i="5"/>
  <c r="A76" i="5"/>
  <c r="Y75" i="5"/>
  <c r="Z75" i="5" s="1"/>
  <c r="W75" i="5"/>
  <c r="V75" i="5"/>
  <c r="X75" i="5" s="1"/>
  <c r="U75" i="5"/>
  <c r="T75" i="5"/>
  <c r="S75" i="5"/>
  <c r="R75" i="5"/>
  <c r="M75" i="5"/>
  <c r="K75" i="5"/>
  <c r="AB75" i="5" s="1"/>
  <c r="AC75" i="5" s="1"/>
  <c r="J75" i="5"/>
  <c r="A75" i="5"/>
  <c r="V74" i="5"/>
  <c r="U74" i="5"/>
  <c r="T74" i="5"/>
  <c r="S74" i="5"/>
  <c r="R74" i="5"/>
  <c r="M74" i="5"/>
  <c r="L74" i="5" s="1"/>
  <c r="K74" i="5"/>
  <c r="AB74" i="5" s="1"/>
  <c r="AC74" i="5" s="1"/>
  <c r="J74" i="5"/>
  <c r="A74" i="5"/>
  <c r="AD73" i="5"/>
  <c r="AA73" i="5"/>
  <c r="V73" i="5"/>
  <c r="U73" i="5"/>
  <c r="T73" i="5"/>
  <c r="S73" i="5"/>
  <c r="R73" i="5"/>
  <c r="Q73" i="5"/>
  <c r="M73" i="5"/>
  <c r="K73" i="5"/>
  <c r="AB73" i="5" s="1"/>
  <c r="AC73" i="5" s="1"/>
  <c r="J73" i="5"/>
  <c r="A73" i="5"/>
  <c r="AB72" i="5"/>
  <c r="AC72" i="5" s="1"/>
  <c r="Y72" i="5"/>
  <c r="Z72" i="5" s="1"/>
  <c r="W72" i="5"/>
  <c r="V72" i="5"/>
  <c r="X72" i="5" s="1"/>
  <c r="U72" i="5"/>
  <c r="T72" i="5"/>
  <c r="S72" i="5"/>
  <c r="R72" i="5"/>
  <c r="M72" i="5"/>
  <c r="K72" i="5"/>
  <c r="J72" i="5"/>
  <c r="A72" i="5"/>
  <c r="V71" i="5"/>
  <c r="U71" i="5"/>
  <c r="T71" i="5"/>
  <c r="S71" i="5"/>
  <c r="R71" i="5"/>
  <c r="M71" i="5"/>
  <c r="L71" i="5"/>
  <c r="K71" i="5"/>
  <c r="AB71" i="5" s="1"/>
  <c r="AC71" i="5" s="1"/>
  <c r="J71" i="5"/>
  <c r="A71" i="5"/>
  <c r="AD70" i="5"/>
  <c r="AA70" i="5"/>
  <c r="W70" i="5"/>
  <c r="V70" i="5"/>
  <c r="X70" i="5" s="1"/>
  <c r="U70" i="5"/>
  <c r="T70" i="5"/>
  <c r="S70" i="5"/>
  <c r="R70" i="5"/>
  <c r="Q70" i="5"/>
  <c r="M70" i="5"/>
  <c r="K70" i="5"/>
  <c r="AB70" i="5" s="1"/>
  <c r="AC70" i="5" s="1"/>
  <c r="J70" i="5"/>
  <c r="A70" i="5"/>
  <c r="AC69" i="5"/>
  <c r="Y69" i="5"/>
  <c r="Z69" i="5" s="1"/>
  <c r="W69" i="5"/>
  <c r="V69" i="5"/>
  <c r="X69" i="5" s="1"/>
  <c r="U69" i="5"/>
  <c r="T69" i="5"/>
  <c r="S69" i="5"/>
  <c r="R69" i="5"/>
  <c r="M69" i="5"/>
  <c r="K69" i="5"/>
  <c r="AB69" i="5" s="1"/>
  <c r="J69" i="5"/>
  <c r="A69" i="5"/>
  <c r="V68" i="5"/>
  <c r="U68" i="5"/>
  <c r="T68" i="5"/>
  <c r="S68" i="5"/>
  <c r="R68" i="5"/>
  <c r="M68" i="5"/>
  <c r="K68" i="5"/>
  <c r="AB68" i="5" s="1"/>
  <c r="AC68" i="5" s="1"/>
  <c r="J68" i="5"/>
  <c r="A68" i="5"/>
  <c r="AD67" i="5"/>
  <c r="AC67" i="5"/>
  <c r="AA67" i="5"/>
  <c r="V67" i="5"/>
  <c r="W67" i="5" s="1"/>
  <c r="U67" i="5"/>
  <c r="T67" i="5"/>
  <c r="S67" i="5"/>
  <c r="R67" i="5"/>
  <c r="Q67" i="5"/>
  <c r="M67" i="5"/>
  <c r="K67" i="5"/>
  <c r="AB67" i="5" s="1"/>
  <c r="J67" i="5"/>
  <c r="A67" i="5"/>
  <c r="AD66" i="5"/>
  <c r="Z66" i="5"/>
  <c r="W66" i="5"/>
  <c r="V66" i="5"/>
  <c r="X66" i="5" s="1"/>
  <c r="Y66" i="5" s="1"/>
  <c r="U66" i="5"/>
  <c r="T66" i="5"/>
  <c r="S66" i="5"/>
  <c r="R66" i="5"/>
  <c r="M66" i="5"/>
  <c r="P66" i="5" s="1"/>
  <c r="L66" i="5"/>
  <c r="K66" i="5"/>
  <c r="AB66" i="5" s="1"/>
  <c r="AC66" i="5" s="1"/>
  <c r="J66" i="5"/>
  <c r="A66" i="5"/>
  <c r="AB65" i="5"/>
  <c r="AC65" i="5" s="1"/>
  <c r="X65" i="5"/>
  <c r="W65" i="5"/>
  <c r="V65" i="5"/>
  <c r="U65" i="5"/>
  <c r="T65" i="5"/>
  <c r="S65" i="5"/>
  <c r="R65" i="5"/>
  <c r="M65" i="5"/>
  <c r="AA65" i="5" s="1"/>
  <c r="K65" i="5"/>
  <c r="J65" i="5"/>
  <c r="A65" i="5"/>
  <c r="X64" i="5"/>
  <c r="W64" i="5"/>
  <c r="V64" i="5"/>
  <c r="U64" i="5"/>
  <c r="T64" i="5"/>
  <c r="S64" i="5"/>
  <c r="R64" i="5"/>
  <c r="M64" i="5"/>
  <c r="K64" i="5"/>
  <c r="AB64" i="5" s="1"/>
  <c r="AC64" i="5" s="1"/>
  <c r="J64" i="5"/>
  <c r="A64" i="5"/>
  <c r="AD63" i="5"/>
  <c r="AC63" i="5"/>
  <c r="W63" i="5"/>
  <c r="V63" i="5"/>
  <c r="X63" i="5" s="1"/>
  <c r="U63" i="5"/>
  <c r="T63" i="5"/>
  <c r="S63" i="5"/>
  <c r="R63" i="5"/>
  <c r="Q63" i="5"/>
  <c r="P63" i="5"/>
  <c r="M63" i="5"/>
  <c r="AA63" i="5" s="1"/>
  <c r="K63" i="5"/>
  <c r="AB63" i="5" s="1"/>
  <c r="J63" i="5"/>
  <c r="A63" i="5"/>
  <c r="X62" i="5"/>
  <c r="Y62" i="5" s="1"/>
  <c r="V62" i="5"/>
  <c r="W62" i="5" s="1"/>
  <c r="U62" i="5"/>
  <c r="T62" i="5"/>
  <c r="S62" i="5"/>
  <c r="R62" i="5"/>
  <c r="M62" i="5"/>
  <c r="L62" i="5"/>
  <c r="K62" i="5"/>
  <c r="AB62" i="5" s="1"/>
  <c r="AC62" i="5" s="1"/>
  <c r="J62" i="5"/>
  <c r="A62" i="5"/>
  <c r="W61" i="5"/>
  <c r="V61" i="5"/>
  <c r="X61" i="5" s="1"/>
  <c r="U61" i="5"/>
  <c r="T61" i="5"/>
  <c r="S61" i="5"/>
  <c r="R61" i="5"/>
  <c r="M61" i="5"/>
  <c r="K61" i="5"/>
  <c r="AB61" i="5" s="1"/>
  <c r="AC61" i="5" s="1"/>
  <c r="J61" i="5"/>
  <c r="A61" i="5"/>
  <c r="AA60" i="5"/>
  <c r="Y60" i="5"/>
  <c r="Z60" i="5" s="1"/>
  <c r="W60" i="5"/>
  <c r="V60" i="5"/>
  <c r="X60" i="5" s="1"/>
  <c r="U60" i="5"/>
  <c r="T60" i="5"/>
  <c r="S60" i="5"/>
  <c r="R60" i="5"/>
  <c r="P60" i="5"/>
  <c r="M60" i="5"/>
  <c r="AD60" i="5" s="1"/>
  <c r="L60" i="5"/>
  <c r="K60" i="5"/>
  <c r="AB60" i="5" s="1"/>
  <c r="AC60" i="5" s="1"/>
  <c r="J60" i="5"/>
  <c r="A60" i="5"/>
  <c r="AA59" i="5"/>
  <c r="Z59" i="5"/>
  <c r="V59" i="5"/>
  <c r="X59" i="5" s="1"/>
  <c r="Y59" i="5" s="1"/>
  <c r="U59" i="5"/>
  <c r="T59" i="5"/>
  <c r="S59" i="5"/>
  <c r="R59" i="5"/>
  <c r="P59" i="5"/>
  <c r="M59" i="5"/>
  <c r="L59" i="5"/>
  <c r="K59" i="5"/>
  <c r="AB59" i="5" s="1"/>
  <c r="AC59" i="5" s="1"/>
  <c r="J59" i="5"/>
  <c r="A59" i="5"/>
  <c r="AC58" i="5"/>
  <c r="V58" i="5"/>
  <c r="X58" i="5" s="1"/>
  <c r="U58" i="5"/>
  <c r="T58" i="5"/>
  <c r="S58" i="5"/>
  <c r="R58" i="5"/>
  <c r="Q58" i="5"/>
  <c r="M58" i="5"/>
  <c r="AD58" i="5" s="1"/>
  <c r="K58" i="5"/>
  <c r="AB58" i="5" s="1"/>
  <c r="J58" i="5"/>
  <c r="A58" i="5"/>
  <c r="AB57" i="5"/>
  <c r="AC57" i="5" s="1"/>
  <c r="Y57" i="5"/>
  <c r="W57" i="5"/>
  <c r="V57" i="5"/>
  <c r="X57" i="5" s="1"/>
  <c r="U57" i="5"/>
  <c r="T57" i="5"/>
  <c r="S57" i="5"/>
  <c r="R57" i="5"/>
  <c r="M57" i="5"/>
  <c r="K57" i="5"/>
  <c r="J57" i="5"/>
  <c r="A57" i="5"/>
  <c r="AB56" i="5"/>
  <c r="AC56" i="5" s="1"/>
  <c r="V56" i="5"/>
  <c r="U56" i="5"/>
  <c r="T56" i="5"/>
  <c r="S56" i="5"/>
  <c r="R56" i="5"/>
  <c r="M56" i="5"/>
  <c r="K56" i="5"/>
  <c r="J56" i="5"/>
  <c r="A56" i="5"/>
  <c r="AD55" i="5"/>
  <c r="AC55" i="5"/>
  <c r="AA55" i="5"/>
  <c r="V55" i="5"/>
  <c r="W55" i="5" s="1"/>
  <c r="U55" i="5"/>
  <c r="T55" i="5"/>
  <c r="S55" i="5"/>
  <c r="R55" i="5"/>
  <c r="Q55" i="5"/>
  <c r="M55" i="5"/>
  <c r="K55" i="5"/>
  <c r="AB55" i="5" s="1"/>
  <c r="J55" i="5"/>
  <c r="A55" i="5"/>
  <c r="W54" i="5"/>
  <c r="V54" i="5"/>
  <c r="X54" i="5" s="1"/>
  <c r="Y54" i="5" s="1"/>
  <c r="Z54" i="5" s="1"/>
  <c r="U54" i="5"/>
  <c r="T54" i="5"/>
  <c r="S54" i="5"/>
  <c r="R54" i="5"/>
  <c r="Q54" i="5"/>
  <c r="M54" i="5"/>
  <c r="P54" i="5" s="1"/>
  <c r="K54" i="5"/>
  <c r="AB54" i="5" s="1"/>
  <c r="AC54" i="5" s="1"/>
  <c r="J54" i="5"/>
  <c r="A54" i="5"/>
  <c r="V53" i="5"/>
  <c r="U53" i="5"/>
  <c r="T53" i="5"/>
  <c r="S53" i="5"/>
  <c r="R53" i="5"/>
  <c r="Q53" i="5"/>
  <c r="M53" i="5"/>
  <c r="AD53" i="5" s="1"/>
  <c r="L53" i="5"/>
  <c r="K53" i="5"/>
  <c r="AB53" i="5" s="1"/>
  <c r="AC53" i="5" s="1"/>
  <c r="J53" i="5"/>
  <c r="A53" i="5"/>
  <c r="AD52" i="5"/>
  <c r="AC52" i="5"/>
  <c r="AA52" i="5"/>
  <c r="W52" i="5"/>
  <c r="V52" i="5"/>
  <c r="X52" i="5" s="1"/>
  <c r="U52" i="5"/>
  <c r="T52" i="5"/>
  <c r="S52" i="5"/>
  <c r="R52" i="5"/>
  <c r="M52" i="5"/>
  <c r="K52" i="5"/>
  <c r="AB52" i="5" s="1"/>
  <c r="J52" i="5"/>
  <c r="A52" i="5"/>
  <c r="AA51" i="5"/>
  <c r="Y51" i="5"/>
  <c r="Z51" i="5" s="1"/>
  <c r="W51" i="5"/>
  <c r="V51" i="5"/>
  <c r="X51" i="5" s="1"/>
  <c r="U51" i="5"/>
  <c r="T51" i="5"/>
  <c r="S51" i="5"/>
  <c r="R51" i="5"/>
  <c r="P51" i="5"/>
  <c r="M51" i="5"/>
  <c r="AD51" i="5" s="1"/>
  <c r="L51" i="5"/>
  <c r="K51" i="5"/>
  <c r="AB51" i="5" s="1"/>
  <c r="AC51" i="5" s="1"/>
  <c r="J51" i="5"/>
  <c r="A51" i="5"/>
  <c r="AB50" i="5"/>
  <c r="AC50" i="5" s="1"/>
  <c r="W50" i="5"/>
  <c r="V50" i="5"/>
  <c r="X50" i="5" s="1"/>
  <c r="Y50" i="5" s="1"/>
  <c r="U50" i="5"/>
  <c r="T50" i="5"/>
  <c r="S50" i="5"/>
  <c r="R50" i="5"/>
  <c r="P50" i="5"/>
  <c r="M50" i="5"/>
  <c r="L50" i="5"/>
  <c r="K50" i="5"/>
  <c r="J50" i="5"/>
  <c r="A50" i="5"/>
  <c r="AA49" i="5"/>
  <c r="V49" i="5"/>
  <c r="W49" i="5" s="1"/>
  <c r="U49" i="5"/>
  <c r="T49" i="5"/>
  <c r="S49" i="5"/>
  <c r="R49" i="5"/>
  <c r="Q49" i="5"/>
  <c r="M49" i="5"/>
  <c r="K49" i="5"/>
  <c r="AB49" i="5" s="1"/>
  <c r="AC49" i="5" s="1"/>
  <c r="J49" i="5"/>
  <c r="A49" i="5"/>
  <c r="AD48" i="5"/>
  <c r="W48" i="5"/>
  <c r="V48" i="5"/>
  <c r="X48" i="5" s="1"/>
  <c r="Y48" i="5" s="1"/>
  <c r="Z48" i="5" s="1"/>
  <c r="U48" i="5"/>
  <c r="T48" i="5"/>
  <c r="S48" i="5"/>
  <c r="R48" i="5"/>
  <c r="M48" i="5"/>
  <c r="P48" i="5" s="1"/>
  <c r="L48" i="5"/>
  <c r="K48" i="5"/>
  <c r="AB48" i="5" s="1"/>
  <c r="AC48" i="5" s="1"/>
  <c r="J48" i="5"/>
  <c r="A48" i="5"/>
  <c r="Z47" i="5"/>
  <c r="X47" i="5"/>
  <c r="Y47" i="5" s="1"/>
  <c r="V47" i="5"/>
  <c r="W47" i="5" s="1"/>
  <c r="U47" i="5"/>
  <c r="T47" i="5"/>
  <c r="S47" i="5"/>
  <c r="R47" i="5"/>
  <c r="Q47" i="5"/>
  <c r="M47" i="5"/>
  <c r="AD47" i="5" s="1"/>
  <c r="L47" i="5"/>
  <c r="K47" i="5"/>
  <c r="AB47" i="5" s="1"/>
  <c r="AC47" i="5" s="1"/>
  <c r="J47" i="5"/>
  <c r="A47" i="5"/>
  <c r="AD46" i="5"/>
  <c r="AA46" i="5"/>
  <c r="W46" i="5"/>
  <c r="V46" i="5"/>
  <c r="X46" i="5" s="1"/>
  <c r="U46" i="5"/>
  <c r="T46" i="5"/>
  <c r="S46" i="5"/>
  <c r="R46" i="5"/>
  <c r="M46" i="5"/>
  <c r="K46" i="5"/>
  <c r="AB46" i="5" s="1"/>
  <c r="AC46" i="5" s="1"/>
  <c r="J46" i="5"/>
  <c r="A46" i="5"/>
  <c r="AA45" i="5"/>
  <c r="Z45" i="5"/>
  <c r="Y45" i="5"/>
  <c r="W45" i="5"/>
  <c r="V45" i="5"/>
  <c r="X45" i="5" s="1"/>
  <c r="U45" i="5"/>
  <c r="T45" i="5"/>
  <c r="S45" i="5"/>
  <c r="R45" i="5"/>
  <c r="P45" i="5"/>
  <c r="M45" i="5"/>
  <c r="AD45" i="5" s="1"/>
  <c r="L45" i="5"/>
  <c r="K45" i="5"/>
  <c r="AB45" i="5" s="1"/>
  <c r="AC45" i="5" s="1"/>
  <c r="J45" i="5"/>
  <c r="A45" i="5"/>
  <c r="AB44" i="5"/>
  <c r="AC44" i="5" s="1"/>
  <c r="Z44" i="5"/>
  <c r="W44" i="5"/>
  <c r="V44" i="5"/>
  <c r="X44" i="5" s="1"/>
  <c r="Y44" i="5" s="1"/>
  <c r="U44" i="5"/>
  <c r="T44" i="5"/>
  <c r="S44" i="5"/>
  <c r="R44" i="5"/>
  <c r="Q44" i="5"/>
  <c r="P44" i="5"/>
  <c r="M44" i="5"/>
  <c r="AD44" i="5" s="1"/>
  <c r="K44" i="5"/>
  <c r="J44" i="5"/>
  <c r="A44" i="5"/>
  <c r="AA43" i="5"/>
  <c r="V43" i="5"/>
  <c r="U43" i="5"/>
  <c r="T43" i="5"/>
  <c r="S43" i="5"/>
  <c r="R43" i="5"/>
  <c r="Q43" i="5"/>
  <c r="M43" i="5"/>
  <c r="K43" i="5"/>
  <c r="AB43" i="5" s="1"/>
  <c r="AC43" i="5" s="1"/>
  <c r="J43" i="5"/>
  <c r="A43" i="5"/>
  <c r="AD42" i="5"/>
  <c r="AA42" i="5"/>
  <c r="Z42" i="5"/>
  <c r="W42" i="5"/>
  <c r="V42" i="5"/>
  <c r="X42" i="5" s="1"/>
  <c r="Y42" i="5" s="1"/>
  <c r="U42" i="5"/>
  <c r="T42" i="5"/>
  <c r="S42" i="5"/>
  <c r="R42" i="5"/>
  <c r="Q42" i="5"/>
  <c r="P42" i="5"/>
  <c r="M42" i="5"/>
  <c r="L42" i="5"/>
  <c r="K42" i="5"/>
  <c r="AB42" i="5" s="1"/>
  <c r="AC42" i="5" s="1"/>
  <c r="J42" i="5"/>
  <c r="A42" i="5"/>
  <c r="X41" i="5"/>
  <c r="V41" i="5"/>
  <c r="W41" i="5" s="1"/>
  <c r="U41" i="5"/>
  <c r="T41" i="5"/>
  <c r="S41" i="5"/>
  <c r="R41" i="5"/>
  <c r="Q41" i="5"/>
  <c r="M41" i="5"/>
  <c r="AD41" i="5" s="1"/>
  <c r="L41" i="5"/>
  <c r="K41" i="5"/>
  <c r="AB41" i="5" s="1"/>
  <c r="AC41" i="5" s="1"/>
  <c r="J41" i="5"/>
  <c r="A41" i="5"/>
  <c r="AA40" i="5"/>
  <c r="W40" i="5"/>
  <c r="V40" i="5"/>
  <c r="X40" i="5" s="1"/>
  <c r="U40" i="5"/>
  <c r="T40" i="5"/>
  <c r="S40" i="5"/>
  <c r="R40" i="5"/>
  <c r="M40" i="5"/>
  <c r="AD40" i="5" s="1"/>
  <c r="K40" i="5"/>
  <c r="AB40" i="5" s="1"/>
  <c r="AC40" i="5" s="1"/>
  <c r="J40" i="5"/>
  <c r="A40" i="5"/>
  <c r="AA39" i="5"/>
  <c r="W39" i="5"/>
  <c r="V39" i="5"/>
  <c r="X39" i="5" s="1"/>
  <c r="U39" i="5"/>
  <c r="T39" i="5"/>
  <c r="S39" i="5"/>
  <c r="R39" i="5"/>
  <c r="P39" i="5"/>
  <c r="M39" i="5"/>
  <c r="AD39" i="5" s="1"/>
  <c r="L39" i="5"/>
  <c r="K39" i="5"/>
  <c r="AB39" i="5" s="1"/>
  <c r="AC39" i="5" s="1"/>
  <c r="J39" i="5"/>
  <c r="A39" i="5"/>
  <c r="AC38" i="5"/>
  <c r="AB38" i="5"/>
  <c r="Z38" i="5"/>
  <c r="W38" i="5"/>
  <c r="V38" i="5"/>
  <c r="X38" i="5" s="1"/>
  <c r="Y38" i="5" s="1"/>
  <c r="U38" i="5"/>
  <c r="T38" i="5"/>
  <c r="S38" i="5"/>
  <c r="R38" i="5"/>
  <c r="M38" i="5"/>
  <c r="K38" i="5"/>
  <c r="J38" i="5"/>
  <c r="A38" i="5"/>
  <c r="AA37" i="5"/>
  <c r="V37" i="5"/>
  <c r="U37" i="5"/>
  <c r="T37" i="5"/>
  <c r="S37" i="5"/>
  <c r="R37" i="5"/>
  <c r="Q37" i="5"/>
  <c r="M37" i="5"/>
  <c r="K37" i="5"/>
  <c r="AB37" i="5" s="1"/>
  <c r="AC37" i="5" s="1"/>
  <c r="J37" i="5"/>
  <c r="A37" i="5"/>
  <c r="AA36" i="5"/>
  <c r="Z36" i="5"/>
  <c r="W36" i="5"/>
  <c r="V36" i="5"/>
  <c r="X36" i="5" s="1"/>
  <c r="Y36" i="5" s="1"/>
  <c r="U36" i="5"/>
  <c r="T36" i="5"/>
  <c r="S36" i="5"/>
  <c r="R36" i="5"/>
  <c r="Q36" i="5"/>
  <c r="M36" i="5"/>
  <c r="AD36" i="5" s="1"/>
  <c r="L36" i="5"/>
  <c r="K36" i="5"/>
  <c r="AB36" i="5" s="1"/>
  <c r="AC36" i="5" s="1"/>
  <c r="J36" i="5"/>
  <c r="A36" i="5"/>
  <c r="Y35" i="5"/>
  <c r="Z35" i="5" s="1"/>
  <c r="X35" i="5"/>
  <c r="V35" i="5"/>
  <c r="W35" i="5" s="1"/>
  <c r="U35" i="5"/>
  <c r="T35" i="5"/>
  <c r="S35" i="5"/>
  <c r="R35" i="5"/>
  <c r="Q35" i="5"/>
  <c r="M35" i="5"/>
  <c r="AD35" i="5" s="1"/>
  <c r="L35" i="5"/>
  <c r="K35" i="5"/>
  <c r="AB35" i="5" s="1"/>
  <c r="AC35" i="5" s="1"/>
  <c r="J35" i="5"/>
  <c r="A35" i="5"/>
  <c r="W34" i="5"/>
  <c r="V34" i="5"/>
  <c r="X34" i="5" s="1"/>
  <c r="U34" i="5"/>
  <c r="T34" i="5"/>
  <c r="S34" i="5"/>
  <c r="R34" i="5"/>
  <c r="M34" i="5"/>
  <c r="K34" i="5"/>
  <c r="AB34" i="5" s="1"/>
  <c r="AC34" i="5" s="1"/>
  <c r="J34" i="5"/>
  <c r="A34" i="5"/>
  <c r="AA33" i="5"/>
  <c r="W33" i="5"/>
  <c r="V33" i="5"/>
  <c r="X33" i="5" s="1"/>
  <c r="U33" i="5"/>
  <c r="T33" i="5"/>
  <c r="S33" i="5"/>
  <c r="R33" i="5"/>
  <c r="P33" i="5"/>
  <c r="M33" i="5"/>
  <c r="AD33" i="5" s="1"/>
  <c r="L33" i="5"/>
  <c r="K33" i="5"/>
  <c r="AB33" i="5" s="1"/>
  <c r="AC33" i="5" s="1"/>
  <c r="J33" i="5"/>
  <c r="A33" i="5"/>
  <c r="AB32" i="5"/>
  <c r="AC32" i="5" s="1"/>
  <c r="W32" i="5"/>
  <c r="V32" i="5"/>
  <c r="X32" i="5" s="1"/>
  <c r="U32" i="5"/>
  <c r="T32" i="5"/>
  <c r="S32" i="5"/>
  <c r="R32" i="5"/>
  <c r="M32" i="5"/>
  <c r="L32" i="5"/>
  <c r="K32" i="5"/>
  <c r="J32" i="5"/>
  <c r="A32" i="5"/>
  <c r="AA31" i="5"/>
  <c r="V31" i="5"/>
  <c r="X31" i="5" s="1"/>
  <c r="U31" i="5"/>
  <c r="T31" i="5"/>
  <c r="S31" i="5"/>
  <c r="R31" i="5"/>
  <c r="Q31" i="5"/>
  <c r="M31" i="5"/>
  <c r="K31" i="5"/>
  <c r="AB31" i="5" s="1"/>
  <c r="AC31" i="5" s="1"/>
  <c r="J31" i="5"/>
  <c r="A31" i="5"/>
  <c r="AB30" i="5"/>
  <c r="AC30" i="5" s="1"/>
  <c r="W30" i="5"/>
  <c r="V30" i="5"/>
  <c r="X30" i="5" s="1"/>
  <c r="Y30" i="5" s="1"/>
  <c r="Z30" i="5" s="1"/>
  <c r="U30" i="5"/>
  <c r="T30" i="5"/>
  <c r="S30" i="5"/>
  <c r="R30" i="5"/>
  <c r="Q30" i="5"/>
  <c r="M30" i="5"/>
  <c r="AD30" i="5" s="1"/>
  <c r="L30" i="5"/>
  <c r="K30" i="5"/>
  <c r="J30" i="5"/>
  <c r="A30" i="5"/>
  <c r="Y29" i="5"/>
  <c r="X29" i="5"/>
  <c r="W29" i="5"/>
  <c r="V29" i="5"/>
  <c r="U29" i="5"/>
  <c r="T29" i="5"/>
  <c r="S29" i="5"/>
  <c r="R29" i="5"/>
  <c r="Q29" i="5"/>
  <c r="M29" i="5"/>
  <c r="AD29" i="5" s="1"/>
  <c r="L29" i="5"/>
  <c r="K29" i="5"/>
  <c r="AB29" i="5" s="1"/>
  <c r="AC29" i="5" s="1"/>
  <c r="J29" i="5"/>
  <c r="A29" i="5"/>
  <c r="AD28" i="5"/>
  <c r="AA28" i="5"/>
  <c r="W28" i="5"/>
  <c r="V28" i="5"/>
  <c r="X28" i="5" s="1"/>
  <c r="U28" i="5"/>
  <c r="T28" i="5"/>
  <c r="S28" i="5"/>
  <c r="R28" i="5"/>
  <c r="M28" i="5"/>
  <c r="K28" i="5"/>
  <c r="AB28" i="5" s="1"/>
  <c r="AC28" i="5" s="1"/>
  <c r="J28" i="5"/>
  <c r="A28" i="5"/>
  <c r="AA27" i="5"/>
  <c r="Y27" i="5"/>
  <c r="W27" i="5"/>
  <c r="V27" i="5"/>
  <c r="X27" i="5" s="1"/>
  <c r="Z27" i="5" s="1"/>
  <c r="U27" i="5"/>
  <c r="T27" i="5"/>
  <c r="S27" i="5"/>
  <c r="R27" i="5"/>
  <c r="P27" i="5"/>
  <c r="M27" i="5"/>
  <c r="AD27" i="5" s="1"/>
  <c r="L27" i="5"/>
  <c r="K27" i="5"/>
  <c r="AB27" i="5" s="1"/>
  <c r="AC27" i="5" s="1"/>
  <c r="J27" i="5"/>
  <c r="A27" i="5"/>
  <c r="AC26" i="5"/>
  <c r="AB26" i="5"/>
  <c r="W26" i="5"/>
  <c r="V26" i="5"/>
  <c r="X26" i="5" s="1"/>
  <c r="U26" i="5"/>
  <c r="T26" i="5"/>
  <c r="S26" i="5"/>
  <c r="R26" i="5"/>
  <c r="M26" i="5"/>
  <c r="AD26" i="5" s="1"/>
  <c r="K26" i="5"/>
  <c r="J26" i="5"/>
  <c r="A26" i="5"/>
  <c r="AA25" i="5"/>
  <c r="W25" i="5"/>
  <c r="V25" i="5"/>
  <c r="X25" i="5" s="1"/>
  <c r="U25" i="5"/>
  <c r="T25" i="5"/>
  <c r="S25" i="5"/>
  <c r="R25" i="5"/>
  <c r="Q25" i="5"/>
  <c r="M25" i="5"/>
  <c r="K25" i="5"/>
  <c r="AB25" i="5" s="1"/>
  <c r="AC25" i="5" s="1"/>
  <c r="J25" i="5"/>
  <c r="A25" i="5"/>
  <c r="AC24" i="5"/>
  <c r="AB24" i="5"/>
  <c r="Z24" i="5"/>
  <c r="W24" i="5"/>
  <c r="V24" i="5"/>
  <c r="X24" i="5" s="1"/>
  <c r="Y24" i="5" s="1"/>
  <c r="U24" i="5"/>
  <c r="T24" i="5"/>
  <c r="S24" i="5"/>
  <c r="R24" i="5"/>
  <c r="M24" i="5"/>
  <c r="AA24" i="5" s="1"/>
  <c r="L24" i="5"/>
  <c r="K24" i="5"/>
  <c r="J24" i="5"/>
  <c r="A24" i="5"/>
  <c r="V23" i="5"/>
  <c r="U23" i="5"/>
  <c r="T23" i="5"/>
  <c r="S23" i="5"/>
  <c r="R23" i="5"/>
  <c r="Q23" i="5"/>
  <c r="M23" i="5"/>
  <c r="AD23" i="5" s="1"/>
  <c r="L23" i="5"/>
  <c r="K23" i="5"/>
  <c r="AB23" i="5" s="1"/>
  <c r="AC23" i="5" s="1"/>
  <c r="J23" i="5"/>
  <c r="A23" i="5"/>
  <c r="AD22" i="5"/>
  <c r="AC22" i="5"/>
  <c r="AA22" i="5"/>
  <c r="W22" i="5"/>
  <c r="V22" i="5"/>
  <c r="X22" i="5" s="1"/>
  <c r="U22" i="5"/>
  <c r="T22" i="5"/>
  <c r="S22" i="5"/>
  <c r="R22" i="5"/>
  <c r="M22" i="5"/>
  <c r="K22" i="5"/>
  <c r="AB22" i="5" s="1"/>
  <c r="J22" i="5"/>
  <c r="A22" i="5"/>
  <c r="AA21" i="5"/>
  <c r="Z21" i="5"/>
  <c r="Y21" i="5"/>
  <c r="W21" i="5"/>
  <c r="V21" i="5"/>
  <c r="X21" i="5" s="1"/>
  <c r="U21" i="5"/>
  <c r="T21" i="5"/>
  <c r="S21" i="5"/>
  <c r="R21" i="5"/>
  <c r="P21" i="5"/>
  <c r="M21" i="5"/>
  <c r="AD21" i="5" s="1"/>
  <c r="L21" i="5"/>
  <c r="K21" i="5"/>
  <c r="AB21" i="5" s="1"/>
  <c r="AC21" i="5" s="1"/>
  <c r="J21" i="5"/>
  <c r="A21" i="5"/>
  <c r="AC20" i="5"/>
  <c r="AB20" i="5"/>
  <c r="Z20" i="5"/>
  <c r="W20" i="5"/>
  <c r="V20" i="5"/>
  <c r="X20" i="5" s="1"/>
  <c r="Y20" i="5" s="1"/>
  <c r="U20" i="5"/>
  <c r="T20" i="5"/>
  <c r="S20" i="5"/>
  <c r="R20" i="5"/>
  <c r="Q20" i="5"/>
  <c r="P20" i="5"/>
  <c r="M20" i="5"/>
  <c r="K20" i="5"/>
  <c r="J20" i="5"/>
  <c r="A20" i="5"/>
  <c r="AA19" i="5"/>
  <c r="V19" i="5"/>
  <c r="X19" i="5" s="1"/>
  <c r="U19" i="5"/>
  <c r="T19" i="5"/>
  <c r="S19" i="5"/>
  <c r="R19" i="5"/>
  <c r="Q19" i="5"/>
  <c r="M19" i="5"/>
  <c r="K19" i="5"/>
  <c r="AB19" i="5" s="1"/>
  <c r="AC19" i="5" s="1"/>
  <c r="J19" i="5"/>
  <c r="A19" i="5"/>
  <c r="AD18" i="5"/>
  <c r="AB18" i="5"/>
  <c r="AC18" i="5" s="1"/>
  <c r="Z18" i="5"/>
  <c r="W18" i="5"/>
  <c r="V18" i="5"/>
  <c r="X18" i="5" s="1"/>
  <c r="Y18" i="5" s="1"/>
  <c r="U18" i="5"/>
  <c r="T18" i="5"/>
  <c r="S18" i="5"/>
  <c r="R18" i="5"/>
  <c r="P18" i="5"/>
  <c r="M18" i="5"/>
  <c r="L18" i="5"/>
  <c r="K18" i="5"/>
  <c r="J18" i="5"/>
  <c r="A18" i="5"/>
  <c r="X17" i="5"/>
  <c r="V17" i="5"/>
  <c r="W17" i="5" s="1"/>
  <c r="U17" i="5"/>
  <c r="T17" i="5"/>
  <c r="S17" i="5"/>
  <c r="R17" i="5"/>
  <c r="Q17" i="5"/>
  <c r="M17" i="5"/>
  <c r="AD17" i="5" s="1"/>
  <c r="L17" i="5"/>
  <c r="K17" i="5"/>
  <c r="AB17" i="5" s="1"/>
  <c r="AC17" i="5" s="1"/>
  <c r="J17" i="5"/>
  <c r="A17" i="5"/>
  <c r="AA16" i="5"/>
  <c r="W16" i="5"/>
  <c r="V16" i="5"/>
  <c r="X16" i="5" s="1"/>
  <c r="U16" i="5"/>
  <c r="T16" i="5"/>
  <c r="S16" i="5"/>
  <c r="R16" i="5"/>
  <c r="M16" i="5"/>
  <c r="AD16" i="5" s="1"/>
  <c r="K16" i="5"/>
  <c r="AB16" i="5" s="1"/>
  <c r="AC16" i="5" s="1"/>
  <c r="J16" i="5"/>
  <c r="A16" i="5"/>
  <c r="U15" i="5"/>
  <c r="S15" i="5"/>
  <c r="T15" i="5" s="1"/>
  <c r="A15" i="5"/>
  <c r="U14" i="5"/>
  <c r="S14" i="5"/>
  <c r="A14" i="5"/>
  <c r="U13" i="5"/>
  <c r="S13" i="5"/>
  <c r="A13" i="5"/>
  <c r="U12" i="5"/>
  <c r="S12" i="5"/>
  <c r="A12" i="5"/>
  <c r="U11" i="5"/>
  <c r="S11" i="5"/>
  <c r="A11" i="5"/>
  <c r="U10" i="5"/>
  <c r="S10" i="5"/>
  <c r="J10" i="5"/>
  <c r="A10" i="5"/>
  <c r="U9" i="5"/>
  <c r="S9" i="5"/>
  <c r="A9" i="5"/>
  <c r="U8" i="5"/>
  <c r="S8" i="5"/>
  <c r="A8" i="5"/>
  <c r="U7" i="5"/>
  <c r="T7" i="5"/>
  <c r="S7" i="5"/>
  <c r="A7" i="5"/>
  <c r="U6" i="5"/>
  <c r="S6" i="5"/>
  <c r="T6" i="5" s="1"/>
  <c r="A6" i="5"/>
  <c r="U5" i="5"/>
  <c r="S5" i="5"/>
  <c r="A5" i="5"/>
  <c r="U4" i="5"/>
  <c r="T4" i="5"/>
  <c r="S4" i="5"/>
  <c r="J4" i="5"/>
  <c r="A4" i="5"/>
  <c r="D13" i="2"/>
  <c r="C13" i="2"/>
  <c r="D12" i="2"/>
  <c r="C12" i="2"/>
  <c r="D11" i="2"/>
  <c r="C11" i="2"/>
  <c r="G4" i="2"/>
  <c r="G11" i="2" l="1"/>
  <c r="Y19" i="5"/>
  <c r="Z19" i="5" s="1"/>
  <c r="Y179" i="5"/>
  <c r="Z179" i="5" s="1"/>
  <c r="X180" i="5"/>
  <c r="W180" i="5"/>
  <c r="X101" i="5"/>
  <c r="W101" i="5"/>
  <c r="P112" i="5"/>
  <c r="L112" i="5"/>
  <c r="AD112" i="5"/>
  <c r="Q112" i="5"/>
  <c r="AA112" i="5"/>
  <c r="Z265" i="5"/>
  <c r="Y265" i="5"/>
  <c r="Q467" i="5"/>
  <c r="AD467" i="5"/>
  <c r="P467" i="5"/>
  <c r="AA467" i="5"/>
  <c r="L467" i="5"/>
  <c r="K10" i="2"/>
  <c r="Y26" i="5"/>
  <c r="Z26" i="5" s="1"/>
  <c r="AD32" i="5"/>
  <c r="Q32" i="5"/>
  <c r="P32" i="5"/>
  <c r="AA32" i="5"/>
  <c r="P34" i="5"/>
  <c r="L34" i="5"/>
  <c r="AD34" i="5"/>
  <c r="AA34" i="5"/>
  <c r="Q34" i="5"/>
  <c r="W23" i="5"/>
  <c r="X23" i="5"/>
  <c r="AD57" i="5"/>
  <c r="Q57" i="5"/>
  <c r="L57" i="5"/>
  <c r="AA57" i="5"/>
  <c r="P57" i="5"/>
  <c r="AA69" i="5"/>
  <c r="L69" i="5"/>
  <c r="Q69" i="5"/>
  <c r="P69" i="5"/>
  <c r="AD69" i="5"/>
  <c r="Z25" i="5"/>
  <c r="Y25" i="5"/>
  <c r="AD38" i="5"/>
  <c r="Q38" i="5"/>
  <c r="P38" i="5"/>
  <c r="L38" i="5"/>
  <c r="W43" i="5"/>
  <c r="X43" i="5"/>
  <c r="AD107" i="5"/>
  <c r="Q107" i="5"/>
  <c r="P107" i="5"/>
  <c r="AA107" i="5"/>
  <c r="L107" i="5"/>
  <c r="AD56" i="5"/>
  <c r="Q56" i="5"/>
  <c r="AA56" i="5"/>
  <c r="L56" i="5"/>
  <c r="T13" i="5"/>
  <c r="W19" i="5"/>
  <c r="P56" i="5"/>
  <c r="AD62" i="5"/>
  <c r="Q62" i="5"/>
  <c r="P62" i="5"/>
  <c r="AA62" i="5"/>
  <c r="P64" i="5"/>
  <c r="L64" i="5"/>
  <c r="Q64" i="5"/>
  <c r="AD64" i="5"/>
  <c r="AA64" i="5"/>
  <c r="AD95" i="5"/>
  <c r="Q95" i="5"/>
  <c r="P95" i="5"/>
  <c r="AA95" i="5"/>
  <c r="L95" i="5"/>
  <c r="Y32" i="5"/>
  <c r="Z32" i="5"/>
  <c r="AA87" i="5"/>
  <c r="L87" i="5"/>
  <c r="Q87" i="5"/>
  <c r="AD87" i="5"/>
  <c r="X113" i="5"/>
  <c r="W113" i="5"/>
  <c r="Q133" i="5"/>
  <c r="AD133" i="5"/>
  <c r="P133" i="5"/>
  <c r="AA133" i="5"/>
  <c r="L133" i="5"/>
  <c r="AD135" i="5"/>
  <c r="Q135" i="5"/>
  <c r="P135" i="5"/>
  <c r="L135" i="5"/>
  <c r="AA135" i="5"/>
  <c r="Y140" i="5"/>
  <c r="Z140" i="5" s="1"/>
  <c r="X141" i="5"/>
  <c r="W141" i="5"/>
  <c r="X73" i="5"/>
  <c r="W73" i="5"/>
  <c r="X37" i="5"/>
  <c r="W37" i="5"/>
  <c r="X74" i="5"/>
  <c r="W74" i="5"/>
  <c r="AA38" i="5"/>
  <c r="Z40" i="5"/>
  <c r="Y40" i="5"/>
  <c r="J13" i="5"/>
  <c r="J7" i="5"/>
  <c r="J6" i="5"/>
  <c r="J14" i="5"/>
  <c r="J11" i="5"/>
  <c r="J5" i="5"/>
  <c r="J12" i="5"/>
  <c r="T8" i="5"/>
  <c r="J9" i="5"/>
  <c r="J8" i="5"/>
  <c r="T5" i="5"/>
  <c r="X80" i="5"/>
  <c r="W80" i="5"/>
  <c r="T9" i="5"/>
  <c r="T12" i="5"/>
  <c r="T14" i="5"/>
  <c r="AA18" i="5"/>
  <c r="Q18" i="5"/>
  <c r="Z29" i="5"/>
  <c r="Z31" i="5"/>
  <c r="Y31" i="5"/>
  <c r="X71" i="5"/>
  <c r="W71" i="5"/>
  <c r="AA81" i="5"/>
  <c r="L81" i="5"/>
  <c r="Q81" i="5"/>
  <c r="W53" i="5"/>
  <c r="X53" i="5"/>
  <c r="Z61" i="5"/>
  <c r="Y61" i="5"/>
  <c r="X119" i="5"/>
  <c r="W119" i="5"/>
  <c r="Y64" i="5"/>
  <c r="Z64" i="5" s="1"/>
  <c r="AD77" i="5"/>
  <c r="Q77" i="5"/>
  <c r="P77" i="5"/>
  <c r="AA77" i="5"/>
  <c r="P28" i="5"/>
  <c r="L28" i="5"/>
  <c r="Q28" i="5"/>
  <c r="AD20" i="5"/>
  <c r="L20" i="5"/>
  <c r="AA20" i="5"/>
  <c r="Y91" i="5"/>
  <c r="Z91" i="5" s="1"/>
  <c r="X92" i="5"/>
  <c r="W92" i="5"/>
  <c r="P111" i="5"/>
  <c r="L111" i="5"/>
  <c r="AA111" i="5"/>
  <c r="X182" i="5"/>
  <c r="W182" i="5"/>
  <c r="AD50" i="5"/>
  <c r="Q50" i="5"/>
  <c r="AA50" i="5"/>
  <c r="P61" i="5"/>
  <c r="L61" i="5"/>
  <c r="AA61" i="5"/>
  <c r="Q61" i="5"/>
  <c r="AD61" i="5"/>
  <c r="W234" i="5"/>
  <c r="X234" i="5"/>
  <c r="T11" i="5"/>
  <c r="AD24" i="5"/>
  <c r="Y39" i="5"/>
  <c r="Z39" i="5" s="1"/>
  <c r="Z58" i="5"/>
  <c r="Y58" i="5"/>
  <c r="X109" i="5"/>
  <c r="W109" i="5"/>
  <c r="AD126" i="5"/>
  <c r="Q126" i="5"/>
  <c r="P126" i="5"/>
  <c r="L126" i="5"/>
  <c r="AA126" i="5"/>
  <c r="Z134" i="5"/>
  <c r="Y134" i="5"/>
  <c r="Z177" i="5"/>
  <c r="Y177" i="5"/>
  <c r="Y248" i="5"/>
  <c r="Z248" i="5" s="1"/>
  <c r="Z474" i="5"/>
  <c r="Y489" i="5"/>
  <c r="Z489" i="5" s="1"/>
  <c r="Y503" i="5"/>
  <c r="Z503" i="5" s="1"/>
  <c r="M139" i="6"/>
  <c r="J139" i="6"/>
  <c r="J165" i="6"/>
  <c r="M165" i="6"/>
  <c r="Z16" i="5"/>
  <c r="Y16" i="5"/>
  <c r="P24" i="5"/>
  <c r="Z33" i="5"/>
  <c r="Y33" i="5"/>
  <c r="Z41" i="5"/>
  <c r="W58" i="5"/>
  <c r="AD68" i="5"/>
  <c r="Q68" i="5"/>
  <c r="AA68" i="5"/>
  <c r="L68" i="5"/>
  <c r="AA72" i="5"/>
  <c r="L72" i="5"/>
  <c r="Q72" i="5"/>
  <c r="AD72" i="5"/>
  <c r="AA78" i="5"/>
  <c r="L78" i="5"/>
  <c r="Y82" i="5"/>
  <c r="Z82" i="5" s="1"/>
  <c r="X83" i="5"/>
  <c r="W83" i="5"/>
  <c r="X89" i="5"/>
  <c r="W89" i="5"/>
  <c r="Z99" i="5"/>
  <c r="Y99" i="5"/>
  <c r="Q128" i="5"/>
  <c r="P128" i="5"/>
  <c r="L128" i="5"/>
  <c r="AD128" i="5"/>
  <c r="AA128" i="5"/>
  <c r="Y176" i="5"/>
  <c r="Z176" i="5" s="1"/>
  <c r="Q203" i="5"/>
  <c r="P203" i="5"/>
  <c r="L203" i="5"/>
  <c r="AD203" i="5"/>
  <c r="AA203" i="5"/>
  <c r="Y22" i="5"/>
  <c r="Z22" i="5" s="1"/>
  <c r="Q24" i="5"/>
  <c r="P68" i="5"/>
  <c r="P72" i="5"/>
  <c r="P78" i="5"/>
  <c r="W82" i="5"/>
  <c r="Y105" i="5"/>
  <c r="Z105" i="5" s="1"/>
  <c r="Z106" i="5"/>
  <c r="Y106" i="5"/>
  <c r="X107" i="5"/>
  <c r="W107" i="5"/>
  <c r="W176" i="5"/>
  <c r="AA233" i="5"/>
  <c r="L233" i="5"/>
  <c r="Q233" i="5"/>
  <c r="P233" i="5"/>
  <c r="Z65" i="5"/>
  <c r="AA90" i="5"/>
  <c r="L90" i="5"/>
  <c r="Q90" i="5"/>
  <c r="AD90" i="5"/>
  <c r="P46" i="5"/>
  <c r="L46" i="5"/>
  <c r="Q46" i="5"/>
  <c r="Y52" i="5"/>
  <c r="Z52" i="5" s="1"/>
  <c r="Y65" i="5"/>
  <c r="AD86" i="5"/>
  <c r="Q86" i="5"/>
  <c r="P86" i="5"/>
  <c r="AA86" i="5"/>
  <c r="P90" i="5"/>
  <c r="Q164" i="5"/>
  <c r="P164" i="5"/>
  <c r="L164" i="5"/>
  <c r="AD164" i="5"/>
  <c r="AA164" i="5"/>
  <c r="AD172" i="5"/>
  <c r="Q172" i="5"/>
  <c r="P172" i="5"/>
  <c r="L172" i="5"/>
  <c r="P22" i="5"/>
  <c r="L22" i="5"/>
  <c r="AA26" i="5"/>
  <c r="Y34" i="5"/>
  <c r="Z34" i="5" s="1"/>
  <c r="AA48" i="5"/>
  <c r="AA66" i="5"/>
  <c r="P99" i="5"/>
  <c r="L99" i="5"/>
  <c r="AA99" i="5"/>
  <c r="AD105" i="5"/>
  <c r="X147" i="5"/>
  <c r="W147" i="5"/>
  <c r="X150" i="5"/>
  <c r="W150" i="5"/>
  <c r="AD159" i="5"/>
  <c r="Q159" i="5"/>
  <c r="L159" i="5"/>
  <c r="AA159" i="5"/>
  <c r="AD169" i="5"/>
  <c r="Q169" i="5"/>
  <c r="P169" i="5"/>
  <c r="L169" i="5"/>
  <c r="Y209" i="5"/>
  <c r="Z209" i="5" s="1"/>
  <c r="AD217" i="5"/>
  <c r="Q217" i="5"/>
  <c r="P217" i="5"/>
  <c r="AA217" i="5"/>
  <c r="Y225" i="5"/>
  <c r="Z225" i="5" s="1"/>
  <c r="Z230" i="5"/>
  <c r="Z280" i="5"/>
  <c r="Y280" i="5"/>
  <c r="W287" i="5"/>
  <c r="X287" i="5"/>
  <c r="Q22" i="5"/>
  <c r="L26" i="5"/>
  <c r="AA30" i="5"/>
  <c r="P36" i="5"/>
  <c r="X49" i="5"/>
  <c r="P52" i="5"/>
  <c r="L52" i="5"/>
  <c r="Q52" i="5"/>
  <c r="X67" i="5"/>
  <c r="AD71" i="5"/>
  <c r="Q71" i="5"/>
  <c r="P71" i="5"/>
  <c r="AA71" i="5"/>
  <c r="Y76" i="5"/>
  <c r="Z76" i="5" s="1"/>
  <c r="AD80" i="5"/>
  <c r="Q80" i="5"/>
  <c r="P80" i="5"/>
  <c r="AA80" i="5"/>
  <c r="Y85" i="5"/>
  <c r="Z85" i="5" s="1"/>
  <c r="AD89" i="5"/>
  <c r="Q89" i="5"/>
  <c r="P89" i="5"/>
  <c r="AA89" i="5"/>
  <c r="Y94" i="5"/>
  <c r="Z94" i="5" s="1"/>
  <c r="Q99" i="5"/>
  <c r="P100" i="5"/>
  <c r="L100" i="5"/>
  <c r="P117" i="5"/>
  <c r="AA117" i="5"/>
  <c r="Z149" i="5"/>
  <c r="Y149" i="5"/>
  <c r="P159" i="5"/>
  <c r="AD168" i="5"/>
  <c r="Q168" i="5"/>
  <c r="AA168" i="5"/>
  <c r="L168" i="5"/>
  <c r="AD171" i="5"/>
  <c r="Q171" i="5"/>
  <c r="P171" i="5"/>
  <c r="AA171" i="5"/>
  <c r="AD175" i="5"/>
  <c r="Q175" i="5"/>
  <c r="P175" i="5"/>
  <c r="AA175" i="5"/>
  <c r="Y197" i="5"/>
  <c r="Z197" i="5" s="1"/>
  <c r="Y230" i="5"/>
  <c r="AA54" i="5"/>
  <c r="X68" i="5"/>
  <c r="W68" i="5"/>
  <c r="AA75" i="5"/>
  <c r="L75" i="5"/>
  <c r="X77" i="5"/>
  <c r="W77" i="5"/>
  <c r="AA84" i="5"/>
  <c r="L84" i="5"/>
  <c r="X86" i="5"/>
  <c r="W86" i="5"/>
  <c r="AA93" i="5"/>
  <c r="L93" i="5"/>
  <c r="X95" i="5"/>
  <c r="W95" i="5"/>
  <c r="Z97" i="5"/>
  <c r="Y97" i="5"/>
  <c r="AD104" i="5"/>
  <c r="Q104" i="5"/>
  <c r="P104" i="5"/>
  <c r="L104" i="5"/>
  <c r="P105" i="5"/>
  <c r="Q105" i="5"/>
  <c r="W252" i="5"/>
  <c r="X252" i="5"/>
  <c r="Z377" i="5"/>
  <c r="Y377" i="5"/>
  <c r="Y378" i="5"/>
  <c r="Z378" i="5" s="1"/>
  <c r="P16" i="5"/>
  <c r="L16" i="5"/>
  <c r="Y17" i="5"/>
  <c r="Z17" i="5" s="1"/>
  <c r="P26" i="5"/>
  <c r="Y28" i="5"/>
  <c r="Z28" i="5" s="1"/>
  <c r="W31" i="5"/>
  <c r="P40" i="5"/>
  <c r="L40" i="5"/>
  <c r="Y41" i="5"/>
  <c r="AA44" i="5"/>
  <c r="X55" i="5"/>
  <c r="Z62" i="5"/>
  <c r="P75" i="5"/>
  <c r="AD75" i="5"/>
  <c r="P84" i="5"/>
  <c r="AD84" i="5"/>
  <c r="P93" i="5"/>
  <c r="AD93" i="5"/>
  <c r="W97" i="5"/>
  <c r="Z111" i="5"/>
  <c r="Y111" i="5"/>
  <c r="AD120" i="5"/>
  <c r="W122" i="5"/>
  <c r="Y126" i="5"/>
  <c r="Z126" i="5" s="1"/>
  <c r="Y137" i="5"/>
  <c r="Z137" i="5" s="1"/>
  <c r="Q158" i="5"/>
  <c r="P158" i="5"/>
  <c r="L158" i="5"/>
  <c r="AA158" i="5"/>
  <c r="AD158" i="5"/>
  <c r="W276" i="5"/>
  <c r="X276" i="5"/>
  <c r="T10" i="5"/>
  <c r="Q16" i="5"/>
  <c r="Q26" i="5"/>
  <c r="P30" i="5"/>
  <c r="Q40" i="5"/>
  <c r="L44" i="5"/>
  <c r="Y46" i="5"/>
  <c r="Z46" i="5" s="1"/>
  <c r="Q48" i="5"/>
  <c r="Z50" i="5"/>
  <c r="L54" i="5"/>
  <c r="AD54" i="5"/>
  <c r="X56" i="5"/>
  <c r="W56" i="5"/>
  <c r="Z57" i="5"/>
  <c r="Z63" i="5"/>
  <c r="Y63" i="5"/>
  <c r="Q66" i="5"/>
  <c r="Q75" i="5"/>
  <c r="Q84" i="5"/>
  <c r="Q93" i="5"/>
  <c r="P103" i="5"/>
  <c r="L103" i="5"/>
  <c r="AD103" i="5"/>
  <c r="AA103" i="5"/>
  <c r="Y122" i="5"/>
  <c r="Z122" i="5" s="1"/>
  <c r="Y138" i="5"/>
  <c r="Z138" i="5" s="1"/>
  <c r="AA148" i="5"/>
  <c r="L148" i="5"/>
  <c r="Q148" i="5"/>
  <c r="AD148" i="5"/>
  <c r="P148" i="5"/>
  <c r="AD222" i="5"/>
  <c r="Q222" i="5"/>
  <c r="P222" i="5"/>
  <c r="Y70" i="5"/>
  <c r="Z70" i="5" s="1"/>
  <c r="AD74" i="5"/>
  <c r="Q74" i="5"/>
  <c r="P74" i="5"/>
  <c r="AA74" i="5"/>
  <c r="Y79" i="5"/>
  <c r="Z79" i="5" s="1"/>
  <c r="AD83" i="5"/>
  <c r="Q83" i="5"/>
  <c r="P83" i="5"/>
  <c r="AA83" i="5"/>
  <c r="Y88" i="5"/>
  <c r="Z88" i="5" s="1"/>
  <c r="AD92" i="5"/>
  <c r="Q92" i="5"/>
  <c r="P92" i="5"/>
  <c r="AA92" i="5"/>
  <c r="P120" i="5"/>
  <c r="AA120" i="5"/>
  <c r="AD162" i="5"/>
  <c r="Q162" i="5"/>
  <c r="AA162" i="5"/>
  <c r="L162" i="5"/>
  <c r="P162" i="5"/>
  <c r="X186" i="5"/>
  <c r="W186" i="5"/>
  <c r="X191" i="5"/>
  <c r="W191" i="5"/>
  <c r="Z212" i="5"/>
  <c r="Y212" i="5"/>
  <c r="Z213" i="5"/>
  <c r="Y213" i="5"/>
  <c r="AD59" i="5"/>
  <c r="Q59" i="5"/>
  <c r="AD96" i="5"/>
  <c r="AD108" i="5"/>
  <c r="AD116" i="5"/>
  <c r="Q116" i="5"/>
  <c r="P116" i="5"/>
  <c r="Y118" i="5"/>
  <c r="Z118" i="5" s="1"/>
  <c r="Q125" i="5"/>
  <c r="P125" i="5"/>
  <c r="L125" i="5"/>
  <c r="AD125" i="5"/>
  <c r="AA125" i="5"/>
  <c r="AD132" i="5"/>
  <c r="Q132" i="5"/>
  <c r="P132" i="5"/>
  <c r="AA132" i="5"/>
  <c r="AD136" i="5"/>
  <c r="Q136" i="5"/>
  <c r="AA145" i="5"/>
  <c r="L145" i="5"/>
  <c r="Z146" i="5"/>
  <c r="Y146" i="5"/>
  <c r="Y155" i="5"/>
  <c r="Z155" i="5" s="1"/>
  <c r="Z204" i="5"/>
  <c r="Y204" i="5"/>
  <c r="Y224" i="5"/>
  <c r="Z224" i="5" s="1"/>
  <c r="Y262" i="5"/>
  <c r="Z262" i="5" s="1"/>
  <c r="AD447" i="5"/>
  <c r="Q447" i="5"/>
  <c r="P447" i="5"/>
  <c r="L447" i="5"/>
  <c r="AA447" i="5"/>
  <c r="Q461" i="5"/>
  <c r="P461" i="5"/>
  <c r="AA461" i="5"/>
  <c r="L461" i="5"/>
  <c r="AD461" i="5"/>
  <c r="AD468" i="5"/>
  <c r="L468" i="5"/>
  <c r="Q468" i="5"/>
  <c r="AA468" i="5"/>
  <c r="AA17" i="5"/>
  <c r="AA23" i="5"/>
  <c r="AA29" i="5"/>
  <c r="AA35" i="5"/>
  <c r="AA41" i="5"/>
  <c r="AA47" i="5"/>
  <c r="AA53" i="5"/>
  <c r="P97" i="5"/>
  <c r="L97" i="5"/>
  <c r="AD101" i="5"/>
  <c r="Q101" i="5"/>
  <c r="P101" i="5"/>
  <c r="AA102" i="5"/>
  <c r="Z103" i="5"/>
  <c r="Y103" i="5"/>
  <c r="P109" i="5"/>
  <c r="L109" i="5"/>
  <c r="AD113" i="5"/>
  <c r="Q113" i="5"/>
  <c r="P113" i="5"/>
  <c r="AA114" i="5"/>
  <c r="Y115" i="5"/>
  <c r="Z115" i="5" s="1"/>
  <c r="AA122" i="5"/>
  <c r="AD122" i="5"/>
  <c r="Q122" i="5"/>
  <c r="P122" i="5"/>
  <c r="Y133" i="5"/>
  <c r="Z133" i="5"/>
  <c r="Q209" i="5"/>
  <c r="P209" i="5"/>
  <c r="L209" i="5"/>
  <c r="AD209" i="5"/>
  <c r="AA209" i="5"/>
  <c r="Z215" i="5"/>
  <c r="Y215" i="5"/>
  <c r="X216" i="5"/>
  <c r="W216" i="5"/>
  <c r="Y268" i="5"/>
  <c r="Z268" i="5" s="1"/>
  <c r="AD360" i="5"/>
  <c r="Q360" i="5"/>
  <c r="L360" i="5"/>
  <c r="P360" i="5"/>
  <c r="AA360" i="5"/>
  <c r="J15" i="5"/>
  <c r="P17" i="5"/>
  <c r="P19" i="5"/>
  <c r="L19" i="5"/>
  <c r="AD19" i="5"/>
  <c r="P23" i="5"/>
  <c r="P25" i="5"/>
  <c r="L25" i="5"/>
  <c r="AD25" i="5"/>
  <c r="P29" i="5"/>
  <c r="P31" i="5"/>
  <c r="L31" i="5"/>
  <c r="AD31" i="5"/>
  <c r="P35" i="5"/>
  <c r="P37" i="5"/>
  <c r="L37" i="5"/>
  <c r="AD37" i="5"/>
  <c r="P41" i="5"/>
  <c r="P43" i="5"/>
  <c r="L43" i="5"/>
  <c r="AD43" i="5"/>
  <c r="P47" i="5"/>
  <c r="P49" i="5"/>
  <c r="L49" i="5"/>
  <c r="AD49" i="5"/>
  <c r="P53" i="5"/>
  <c r="P55" i="5"/>
  <c r="L55" i="5"/>
  <c r="AA58" i="5"/>
  <c r="L65" i="5"/>
  <c r="P67" i="5"/>
  <c r="L67" i="5"/>
  <c r="Q97" i="5"/>
  <c r="L102" i="5"/>
  <c r="W103" i="5"/>
  <c r="Q109" i="5"/>
  <c r="L114" i="5"/>
  <c r="W115" i="5"/>
  <c r="AA119" i="5"/>
  <c r="L123" i="5"/>
  <c r="AD123" i="5"/>
  <c r="Y125" i="5"/>
  <c r="Z125" i="5" s="1"/>
  <c r="Z132" i="5"/>
  <c r="Y132" i="5"/>
  <c r="AD139" i="5"/>
  <c r="Q139" i="5"/>
  <c r="Z159" i="5"/>
  <c r="AA181" i="5"/>
  <c r="Z201" i="5"/>
  <c r="Y218" i="5"/>
  <c r="Z218" i="5" s="1"/>
  <c r="W326" i="5"/>
  <c r="X326" i="5"/>
  <c r="L409" i="5"/>
  <c r="Q409" i="5"/>
  <c r="AD409" i="5"/>
  <c r="AA409" i="5"/>
  <c r="X426" i="5"/>
  <c r="W426" i="5"/>
  <c r="AD65" i="5"/>
  <c r="Q65" i="5"/>
  <c r="AD102" i="5"/>
  <c r="AD114" i="5"/>
  <c r="X128" i="5"/>
  <c r="W128" i="5"/>
  <c r="Y131" i="5"/>
  <c r="Z131" i="5" s="1"/>
  <c r="X135" i="5"/>
  <c r="W135" i="5"/>
  <c r="AA151" i="5"/>
  <c r="L151" i="5"/>
  <c r="Y152" i="5"/>
  <c r="Z152" i="5" s="1"/>
  <c r="Q161" i="5"/>
  <c r="P161" i="5"/>
  <c r="L161" i="5"/>
  <c r="AD161" i="5"/>
  <c r="AA161" i="5"/>
  <c r="Z183" i="5"/>
  <c r="Y183" i="5"/>
  <c r="AD230" i="5"/>
  <c r="Q230" i="5"/>
  <c r="AA230" i="5"/>
  <c r="L230" i="5"/>
  <c r="AD239" i="5"/>
  <c r="Q239" i="5"/>
  <c r="AA239" i="5"/>
  <c r="L239" i="5"/>
  <c r="Y241" i="5"/>
  <c r="Z241" i="5" s="1"/>
  <c r="X250" i="5"/>
  <c r="W250" i="5"/>
  <c r="Z254" i="5"/>
  <c r="AD411" i="5"/>
  <c r="L411" i="5"/>
  <c r="Q411" i="5"/>
  <c r="AA411" i="5"/>
  <c r="P411" i="5"/>
  <c r="Q21" i="5"/>
  <c r="Q27" i="5"/>
  <c r="Q33" i="5"/>
  <c r="Q39" i="5"/>
  <c r="Q45" i="5"/>
  <c r="Q51" i="5"/>
  <c r="W59" i="5"/>
  <c r="Q60" i="5"/>
  <c r="L63" i="5"/>
  <c r="P65" i="5"/>
  <c r="P70" i="5"/>
  <c r="L70" i="5"/>
  <c r="P73" i="5"/>
  <c r="L73" i="5"/>
  <c r="P76" i="5"/>
  <c r="L76" i="5"/>
  <c r="P79" i="5"/>
  <c r="L79" i="5"/>
  <c r="P82" i="5"/>
  <c r="L82" i="5"/>
  <c r="P85" i="5"/>
  <c r="L85" i="5"/>
  <c r="P88" i="5"/>
  <c r="L88" i="5"/>
  <c r="P91" i="5"/>
  <c r="L91" i="5"/>
  <c r="P94" i="5"/>
  <c r="L94" i="5"/>
  <c r="AD98" i="5"/>
  <c r="Q98" i="5"/>
  <c r="P98" i="5"/>
  <c r="Y100" i="5"/>
  <c r="Z100" i="5" s="1"/>
  <c r="Q102" i="5"/>
  <c r="W104" i="5"/>
  <c r="P106" i="5"/>
  <c r="L106" i="5"/>
  <c r="AD110" i="5"/>
  <c r="Q110" i="5"/>
  <c r="P110" i="5"/>
  <c r="Z112" i="5"/>
  <c r="Y112" i="5"/>
  <c r="Q114" i="5"/>
  <c r="P123" i="5"/>
  <c r="Z130" i="5"/>
  <c r="W131" i="5"/>
  <c r="AA142" i="5"/>
  <c r="L142" i="5"/>
  <c r="Z143" i="5"/>
  <c r="Y143" i="5"/>
  <c r="X144" i="5"/>
  <c r="W144" i="5"/>
  <c r="P151" i="5"/>
  <c r="AD151" i="5"/>
  <c r="X153" i="5"/>
  <c r="Y167" i="5"/>
  <c r="Z167" i="5" s="1"/>
  <c r="Y168" i="5"/>
  <c r="Z168" i="5" s="1"/>
  <c r="Y171" i="5"/>
  <c r="Z171" i="5" s="1"/>
  <c r="AD195" i="5"/>
  <c r="Q195" i="5"/>
  <c r="AA195" i="5"/>
  <c r="L195" i="5"/>
  <c r="AD214" i="5"/>
  <c r="Q214" i="5"/>
  <c r="AA214" i="5"/>
  <c r="L214" i="5"/>
  <c r="Y221" i="5"/>
  <c r="Z221" i="5" s="1"/>
  <c r="P230" i="5"/>
  <c r="P239" i="5"/>
  <c r="W245" i="5"/>
  <c r="X245" i="5"/>
  <c r="Y254" i="5"/>
  <c r="W270" i="5"/>
  <c r="X270" i="5"/>
  <c r="AD296" i="5"/>
  <c r="Q296" i="5"/>
  <c r="L296" i="5"/>
  <c r="AA296" i="5"/>
  <c r="P296" i="5"/>
  <c r="P58" i="5"/>
  <c r="L58" i="5"/>
  <c r="AD119" i="5"/>
  <c r="Q119" i="5"/>
  <c r="P119" i="5"/>
  <c r="Z121" i="5"/>
  <c r="Y121" i="5"/>
  <c r="Q151" i="5"/>
  <c r="P157" i="5"/>
  <c r="L157" i="5"/>
  <c r="AA157" i="5"/>
  <c r="Z170" i="5"/>
  <c r="Y170" i="5"/>
  <c r="Z173" i="5"/>
  <c r="Y173" i="5"/>
  <c r="AD181" i="5"/>
  <c r="Q181" i="5"/>
  <c r="P181" i="5"/>
  <c r="AD190" i="5"/>
  <c r="Q190" i="5"/>
  <c r="P190" i="5"/>
  <c r="AA190" i="5"/>
  <c r="AD257" i="5"/>
  <c r="Q257" i="5"/>
  <c r="P257" i="5"/>
  <c r="AA257" i="5"/>
  <c r="Z364" i="5"/>
  <c r="Y364" i="5"/>
  <c r="X365" i="5"/>
  <c r="W365" i="5"/>
  <c r="Y373" i="5"/>
  <c r="Z373" i="5" s="1"/>
  <c r="AD378" i="5"/>
  <c r="Q378" i="5"/>
  <c r="L378" i="5"/>
  <c r="P378" i="5"/>
  <c r="AA378" i="5"/>
  <c r="AD129" i="5"/>
  <c r="Q129" i="5"/>
  <c r="P129" i="5"/>
  <c r="AD154" i="5"/>
  <c r="Q154" i="5"/>
  <c r="AD165" i="5"/>
  <c r="Q165" i="5"/>
  <c r="L178" i="5"/>
  <c r="Q188" i="5"/>
  <c r="P188" i="5"/>
  <c r="L188" i="5"/>
  <c r="AD188" i="5"/>
  <c r="Q194" i="5"/>
  <c r="P194" i="5"/>
  <c r="L194" i="5"/>
  <c r="AD194" i="5"/>
  <c r="AA194" i="5"/>
  <c r="Q206" i="5"/>
  <c r="P206" i="5"/>
  <c r="L206" i="5"/>
  <c r="Z219" i="5"/>
  <c r="Y219" i="5"/>
  <c r="W292" i="5"/>
  <c r="X292" i="5"/>
  <c r="P297" i="5"/>
  <c r="L297" i="5"/>
  <c r="AA297" i="5"/>
  <c r="AD300" i="5"/>
  <c r="P300" i="5"/>
  <c r="Q300" i="5"/>
  <c r="AD324" i="5"/>
  <c r="Q324" i="5"/>
  <c r="L324" i="5"/>
  <c r="AA324" i="5"/>
  <c r="Z388" i="5"/>
  <c r="Y388" i="5"/>
  <c r="X413" i="5"/>
  <c r="W413" i="5"/>
  <c r="J264" i="6"/>
  <c r="M264" i="6"/>
  <c r="AD189" i="5"/>
  <c r="Q189" i="5"/>
  <c r="AA242" i="5"/>
  <c r="L242" i="5"/>
  <c r="W249" i="5"/>
  <c r="X249" i="5"/>
  <c r="AA251" i="5"/>
  <c r="L251" i="5"/>
  <c r="W302" i="5"/>
  <c r="X302" i="5"/>
  <c r="Q449" i="5"/>
  <c r="AA449" i="5"/>
  <c r="L449" i="5"/>
  <c r="AD449" i="5"/>
  <c r="P449" i="5"/>
  <c r="Q155" i="5"/>
  <c r="P155" i="5"/>
  <c r="L155" i="5"/>
  <c r="AA155" i="5"/>
  <c r="AA166" i="5"/>
  <c r="L166" i="5"/>
  <c r="AD166" i="5"/>
  <c r="AD186" i="5"/>
  <c r="Q186" i="5"/>
  <c r="Q200" i="5"/>
  <c r="P200" i="5"/>
  <c r="L200" i="5"/>
  <c r="AD204" i="5"/>
  <c r="Q204" i="5"/>
  <c r="P204" i="5"/>
  <c r="AD223" i="5"/>
  <c r="Q223" i="5"/>
  <c r="W231" i="5"/>
  <c r="X231" i="5"/>
  <c r="W240" i="5"/>
  <c r="X240" i="5"/>
  <c r="Z328" i="5"/>
  <c r="Y328" i="5"/>
  <c r="AD396" i="5"/>
  <c r="Q396" i="5"/>
  <c r="L396" i="5"/>
  <c r="AA396" i="5"/>
  <c r="X416" i="5"/>
  <c r="W416" i="5"/>
  <c r="M163" i="6"/>
  <c r="J163" i="6"/>
  <c r="M172" i="6"/>
  <c r="J172" i="6"/>
  <c r="W125" i="5"/>
  <c r="P130" i="5"/>
  <c r="AD130" i="5"/>
  <c r="AA131" i="5"/>
  <c r="W132" i="5"/>
  <c r="W138" i="5"/>
  <c r="AD156" i="5"/>
  <c r="Q156" i="5"/>
  <c r="Z164" i="5"/>
  <c r="Y164" i="5"/>
  <c r="P166" i="5"/>
  <c r="W168" i="5"/>
  <c r="AA170" i="5"/>
  <c r="W171" i="5"/>
  <c r="AA173" i="5"/>
  <c r="AA176" i="5"/>
  <c r="W177" i="5"/>
  <c r="P186" i="5"/>
  <c r="AD192" i="5"/>
  <c r="Q192" i="5"/>
  <c r="X194" i="5"/>
  <c r="W194" i="5"/>
  <c r="Y198" i="5"/>
  <c r="Z198" i="5" s="1"/>
  <c r="W209" i="5"/>
  <c r="W212" i="5"/>
  <c r="P223" i="5"/>
  <c r="Z266" i="5"/>
  <c r="Z277" i="5"/>
  <c r="Y277" i="5"/>
  <c r="P396" i="5"/>
  <c r="W466" i="5"/>
  <c r="X466" i="5"/>
  <c r="M28" i="6"/>
  <c r="J28" i="6"/>
  <c r="L115" i="5"/>
  <c r="L118" i="5"/>
  <c r="L121" i="5"/>
  <c r="P127" i="5"/>
  <c r="P156" i="5"/>
  <c r="X161" i="5"/>
  <c r="W161" i="5"/>
  <c r="Q166" i="5"/>
  <c r="AD183" i="5"/>
  <c r="Q183" i="5"/>
  <c r="AA183" i="5"/>
  <c r="L183" i="5"/>
  <c r="Q191" i="5"/>
  <c r="P191" i="5"/>
  <c r="L191" i="5"/>
  <c r="AD191" i="5"/>
  <c r="AA191" i="5"/>
  <c r="P192" i="5"/>
  <c r="AD201" i="5"/>
  <c r="Q201" i="5"/>
  <c r="AD219" i="5"/>
  <c r="Q219" i="5"/>
  <c r="AA219" i="5"/>
  <c r="L219" i="5"/>
  <c r="L220" i="5"/>
  <c r="AA220" i="5"/>
  <c r="X263" i="5"/>
  <c r="X289" i="5"/>
  <c r="W289" i="5"/>
  <c r="AD303" i="5"/>
  <c r="AA303" i="5"/>
  <c r="L303" i="5"/>
  <c r="Q303" i="5"/>
  <c r="Z305" i="5"/>
  <c r="Y305" i="5"/>
  <c r="AD372" i="5"/>
  <c r="AA372" i="5"/>
  <c r="L372" i="5"/>
  <c r="Q372" i="5"/>
  <c r="P372" i="5"/>
  <c r="Z391" i="5"/>
  <c r="Y391" i="5"/>
  <c r="W483" i="5"/>
  <c r="X483" i="5"/>
  <c r="Q485" i="5"/>
  <c r="L485" i="5"/>
  <c r="P485" i="5"/>
  <c r="AA485" i="5"/>
  <c r="AD485" i="5"/>
  <c r="AA115" i="5"/>
  <c r="AA118" i="5"/>
  <c r="AA121" i="5"/>
  <c r="AA144" i="5"/>
  <c r="Q146" i="5"/>
  <c r="P146" i="5"/>
  <c r="L146" i="5"/>
  <c r="AA147" i="5"/>
  <c r="Q149" i="5"/>
  <c r="P149" i="5"/>
  <c r="L149" i="5"/>
  <c r="AA150" i="5"/>
  <c r="Q152" i="5"/>
  <c r="P152" i="5"/>
  <c r="L152" i="5"/>
  <c r="AD152" i="5"/>
  <c r="Y158" i="5"/>
  <c r="Z158" i="5" s="1"/>
  <c r="Y188" i="5"/>
  <c r="Z188" i="5" s="1"/>
  <c r="X189" i="5"/>
  <c r="W189" i="5"/>
  <c r="AA205" i="5"/>
  <c r="L205" i="5"/>
  <c r="Y206" i="5"/>
  <c r="Z206" i="5" s="1"/>
  <c r="X229" i="5"/>
  <c r="W229" i="5"/>
  <c r="Y238" i="5"/>
  <c r="Z238" i="5" s="1"/>
  <c r="Y271" i="5"/>
  <c r="Z271" i="5" s="1"/>
  <c r="Z283" i="5"/>
  <c r="Y283" i="5"/>
  <c r="X299" i="5"/>
  <c r="W299" i="5"/>
  <c r="Y383" i="5"/>
  <c r="Z383" i="5" s="1"/>
  <c r="Y471" i="5"/>
  <c r="Z471" i="5"/>
  <c r="Q473" i="5"/>
  <c r="L473" i="5"/>
  <c r="AD473" i="5"/>
  <c r="AA473" i="5"/>
  <c r="Q134" i="5"/>
  <c r="P134" i="5"/>
  <c r="L134" i="5"/>
  <c r="Q137" i="5"/>
  <c r="P137" i="5"/>
  <c r="L137" i="5"/>
  <c r="Q140" i="5"/>
  <c r="P140" i="5"/>
  <c r="L140" i="5"/>
  <c r="AD153" i="5"/>
  <c r="Q153" i="5"/>
  <c r="W158" i="5"/>
  <c r="Q167" i="5"/>
  <c r="P167" i="5"/>
  <c r="L167" i="5"/>
  <c r="Q187" i="5"/>
  <c r="AA188" i="5"/>
  <c r="AD198" i="5"/>
  <c r="Q198" i="5"/>
  <c r="P205" i="5"/>
  <c r="AD205" i="5"/>
  <c r="AA206" i="5"/>
  <c r="Q224" i="5"/>
  <c r="P224" i="5"/>
  <c r="L224" i="5"/>
  <c r="AD224" i="5"/>
  <c r="AA224" i="5"/>
  <c r="AD225" i="5"/>
  <c r="Q225" i="5"/>
  <c r="W267" i="5"/>
  <c r="X267" i="5"/>
  <c r="Z311" i="5"/>
  <c r="Y312" i="5"/>
  <c r="Z312" i="5" s="1"/>
  <c r="Y317" i="5"/>
  <c r="Z317" i="5" s="1"/>
  <c r="L349" i="5"/>
  <c r="AD349" i="5"/>
  <c r="P349" i="5"/>
  <c r="Q349" i="5"/>
  <c r="AA349" i="5"/>
  <c r="Y401" i="5"/>
  <c r="Z401" i="5" s="1"/>
  <c r="Z402" i="5"/>
  <c r="Y402" i="5"/>
  <c r="P473" i="5"/>
  <c r="Q131" i="5"/>
  <c r="P131" i="5"/>
  <c r="L131" i="5"/>
  <c r="AD141" i="5"/>
  <c r="Q141" i="5"/>
  <c r="AA141" i="5"/>
  <c r="L141" i="5"/>
  <c r="AD144" i="5"/>
  <c r="Q144" i="5"/>
  <c r="AD147" i="5"/>
  <c r="Q147" i="5"/>
  <c r="AD150" i="5"/>
  <c r="Q150" i="5"/>
  <c r="Q170" i="5"/>
  <c r="P170" i="5"/>
  <c r="L170" i="5"/>
  <c r="Q173" i="5"/>
  <c r="P173" i="5"/>
  <c r="L173" i="5"/>
  <c r="Q176" i="5"/>
  <c r="P176" i="5"/>
  <c r="L176" i="5"/>
  <c r="Y185" i="5"/>
  <c r="Z185" i="5" s="1"/>
  <c r="AA189" i="5"/>
  <c r="Q197" i="5"/>
  <c r="P197" i="5"/>
  <c r="L197" i="5"/>
  <c r="AA197" i="5"/>
  <c r="Z203" i="5"/>
  <c r="Y203" i="5"/>
  <c r="X222" i="5"/>
  <c r="W222" i="5"/>
  <c r="Z236" i="5"/>
  <c r="Y247" i="5"/>
  <c r="Z247" i="5" s="1"/>
  <c r="AA266" i="5"/>
  <c r="L266" i="5"/>
  <c r="Y279" i="5"/>
  <c r="Z279" i="5" s="1"/>
  <c r="Z306" i="5"/>
  <c r="L310" i="5"/>
  <c r="AA310" i="5"/>
  <c r="Q310" i="5"/>
  <c r="L340" i="5"/>
  <c r="Q340" i="5"/>
  <c r="AA340" i="5"/>
  <c r="P340" i="5"/>
  <c r="AD340" i="5"/>
  <c r="Y354" i="5"/>
  <c r="Z354" i="5" s="1"/>
  <c r="L382" i="5"/>
  <c r="Q382" i="5"/>
  <c r="AD382" i="5"/>
  <c r="AA382" i="5"/>
  <c r="Y454" i="5"/>
  <c r="Z454" i="5"/>
  <c r="AA269" i="5"/>
  <c r="L269" i="5"/>
  <c r="Z298" i="5"/>
  <c r="Y298" i="5"/>
  <c r="Z316" i="5"/>
  <c r="Y316" i="5"/>
  <c r="X320" i="5"/>
  <c r="W320" i="5"/>
  <c r="L331" i="5"/>
  <c r="AD331" i="5"/>
  <c r="P331" i="5"/>
  <c r="AA331" i="5"/>
  <c r="Z366" i="5"/>
  <c r="Y366" i="5"/>
  <c r="X463" i="5"/>
  <c r="W463" i="5"/>
  <c r="Z321" i="5"/>
  <c r="AD390" i="5"/>
  <c r="P390" i="5"/>
  <c r="X392" i="5"/>
  <c r="W392" i="5"/>
  <c r="Y393" i="5"/>
  <c r="Z393" i="5" s="1"/>
  <c r="W407" i="5"/>
  <c r="X407" i="5"/>
  <c r="L430" i="5"/>
  <c r="AA430" i="5"/>
  <c r="Q430" i="5"/>
  <c r="AD430" i="5"/>
  <c r="P450" i="5"/>
  <c r="L450" i="5"/>
  <c r="Q450" i="5"/>
  <c r="AD450" i="5"/>
  <c r="AA450" i="5"/>
  <c r="AD486" i="5"/>
  <c r="Q486" i="5"/>
  <c r="P486" i="5"/>
  <c r="AA486" i="5"/>
  <c r="L486" i="5"/>
  <c r="X500" i="5"/>
  <c r="W500" i="5"/>
  <c r="AD207" i="5"/>
  <c r="Q207" i="5"/>
  <c r="Q212" i="5"/>
  <c r="P212" i="5"/>
  <c r="L212" i="5"/>
  <c r="W258" i="5"/>
  <c r="X258" i="5"/>
  <c r="Y274" i="5"/>
  <c r="Z274" i="5" s="1"/>
  <c r="W281" i="5"/>
  <c r="X281" i="5"/>
  <c r="AD299" i="5"/>
  <c r="Q299" i="5"/>
  <c r="L299" i="5"/>
  <c r="P299" i="5"/>
  <c r="AA299" i="5"/>
  <c r="Y314" i="5"/>
  <c r="Z314" i="5" s="1"/>
  <c r="L316" i="5"/>
  <c r="Q316" i="5"/>
  <c r="P316" i="5"/>
  <c r="Y340" i="5"/>
  <c r="Z340" i="5" s="1"/>
  <c r="Z347" i="5"/>
  <c r="Y347" i="5"/>
  <c r="Z362" i="5"/>
  <c r="AD421" i="5"/>
  <c r="Q421" i="5"/>
  <c r="P421" i="5"/>
  <c r="AD138" i="5"/>
  <c r="Q138" i="5"/>
  <c r="Q143" i="5"/>
  <c r="P143" i="5"/>
  <c r="L143" i="5"/>
  <c r="L163" i="5"/>
  <c r="AD174" i="5"/>
  <c r="Q174" i="5"/>
  <c r="L177" i="5"/>
  <c r="Q179" i="5"/>
  <c r="P179" i="5"/>
  <c r="L179" i="5"/>
  <c r="P193" i="5"/>
  <c r="W197" i="5"/>
  <c r="L199" i="5"/>
  <c r="P207" i="5"/>
  <c r="AD210" i="5"/>
  <c r="Q210" i="5"/>
  <c r="L213" i="5"/>
  <c r="Q215" i="5"/>
  <c r="P215" i="5"/>
  <c r="L215" i="5"/>
  <c r="W225" i="5"/>
  <c r="X227" i="5"/>
  <c r="W232" i="5"/>
  <c r="L248" i="5"/>
  <c r="AA260" i="5"/>
  <c r="L260" i="5"/>
  <c r="X261" i="5"/>
  <c r="Y266" i="5"/>
  <c r="L294" i="5"/>
  <c r="P294" i="5"/>
  <c r="AD294" i="5"/>
  <c r="W314" i="5"/>
  <c r="Z324" i="5"/>
  <c r="Y329" i="5"/>
  <c r="Z329" i="5" s="1"/>
  <c r="Z349" i="5"/>
  <c r="Y349" i="5"/>
  <c r="Y362" i="5"/>
  <c r="Y375" i="5"/>
  <c r="Z375" i="5" s="1"/>
  <c r="Z396" i="5"/>
  <c r="L400" i="5"/>
  <c r="AA400" i="5"/>
  <c r="P400" i="5"/>
  <c r="Y418" i="5"/>
  <c r="Z418" i="5"/>
  <c r="AD177" i="5"/>
  <c r="Q177" i="5"/>
  <c r="L180" i="5"/>
  <c r="Q182" i="5"/>
  <c r="P182" i="5"/>
  <c r="L182" i="5"/>
  <c r="Q193" i="5"/>
  <c r="L202" i="5"/>
  <c r="AD213" i="5"/>
  <c r="Q213" i="5"/>
  <c r="L216" i="5"/>
  <c r="Q218" i="5"/>
  <c r="P218" i="5"/>
  <c r="L218" i="5"/>
  <c r="Z285" i="5"/>
  <c r="L322" i="5"/>
  <c r="Q322" i="5"/>
  <c r="AA322" i="5"/>
  <c r="AD322" i="5"/>
  <c r="X350" i="5"/>
  <c r="W350" i="5"/>
  <c r="X404" i="5"/>
  <c r="W404" i="5"/>
  <c r="Y410" i="5"/>
  <c r="Z410" i="5" s="1"/>
  <c r="Z411" i="5"/>
  <c r="Y436" i="5"/>
  <c r="Z436" i="5"/>
  <c r="Y439" i="5"/>
  <c r="Z439" i="5"/>
  <c r="AD180" i="5"/>
  <c r="Q180" i="5"/>
  <c r="Q185" i="5"/>
  <c r="P185" i="5"/>
  <c r="L185" i="5"/>
  <c r="Y200" i="5"/>
  <c r="Z200" i="5" s="1"/>
  <c r="AD216" i="5"/>
  <c r="Q216" i="5"/>
  <c r="Q221" i="5"/>
  <c r="P221" i="5"/>
  <c r="L221" i="5"/>
  <c r="Z256" i="5"/>
  <c r="Y256" i="5"/>
  <c r="AD312" i="5"/>
  <c r="Q312" i="5"/>
  <c r="L312" i="5"/>
  <c r="P312" i="5"/>
  <c r="L328" i="5"/>
  <c r="AA328" i="5"/>
  <c r="Q328" i="5"/>
  <c r="P328" i="5"/>
  <c r="AD339" i="5"/>
  <c r="P339" i="5"/>
  <c r="Y341" i="5"/>
  <c r="Z341" i="5" s="1"/>
  <c r="Y342" i="5"/>
  <c r="Z342" i="5" s="1"/>
  <c r="W437" i="5"/>
  <c r="X437" i="5"/>
  <c r="AD471" i="5"/>
  <c r="Q471" i="5"/>
  <c r="P471" i="5"/>
  <c r="Y502" i="5"/>
  <c r="Z502" i="5"/>
  <c r="L307" i="5"/>
  <c r="AD307" i="5"/>
  <c r="P307" i="5"/>
  <c r="AA307" i="5"/>
  <c r="Z398" i="5"/>
  <c r="AA433" i="5"/>
  <c r="L433" i="5"/>
  <c r="Q433" i="5"/>
  <c r="AD433" i="5"/>
  <c r="AD284" i="5"/>
  <c r="AD291" i="5"/>
  <c r="Z295" i="5"/>
  <c r="Y295" i="5"/>
  <c r="Y301" i="5"/>
  <c r="Z301" i="5" s="1"/>
  <c r="Z313" i="5"/>
  <c r="Y313" i="5"/>
  <c r="AD348" i="5"/>
  <c r="Q348" i="5"/>
  <c r="L348" i="5"/>
  <c r="L352" i="5"/>
  <c r="Q352" i="5"/>
  <c r="AD352" i="5"/>
  <c r="Z353" i="5"/>
  <c r="Y353" i="5"/>
  <c r="L364" i="5"/>
  <c r="AA364" i="5"/>
  <c r="AD364" i="5"/>
  <c r="Y370" i="5"/>
  <c r="Z370" i="5" s="1"/>
  <c r="X374" i="5"/>
  <c r="W374" i="5"/>
  <c r="Z425" i="5"/>
  <c r="AD429" i="5"/>
  <c r="Q429" i="5"/>
  <c r="P429" i="5"/>
  <c r="Y431" i="5"/>
  <c r="Z431" i="5" s="1"/>
  <c r="Q452" i="5"/>
  <c r="AD452" i="5"/>
  <c r="L452" i="5"/>
  <c r="AA452" i="5"/>
  <c r="P452" i="5"/>
  <c r="Z462" i="5"/>
  <c r="Y462" i="5"/>
  <c r="AA287" i="5"/>
  <c r="AD308" i="5"/>
  <c r="Q308" i="5"/>
  <c r="L308" i="5"/>
  <c r="P308" i="5"/>
  <c r="Y330" i="5"/>
  <c r="Z330" i="5" s="1"/>
  <c r="Y334" i="5"/>
  <c r="Z334" i="5" s="1"/>
  <c r="X338" i="5"/>
  <c r="W338" i="5"/>
  <c r="AD357" i="5"/>
  <c r="P357" i="5"/>
  <c r="Y358" i="5"/>
  <c r="Z358" i="5" s="1"/>
  <c r="Y367" i="5"/>
  <c r="Z367" i="5" s="1"/>
  <c r="Y384" i="5"/>
  <c r="Z384" i="5" s="1"/>
  <c r="Y448" i="5"/>
  <c r="Z448" i="5"/>
  <c r="Z479" i="5"/>
  <c r="Y479" i="5"/>
  <c r="Q482" i="5"/>
  <c r="L482" i="5"/>
  <c r="P482" i="5"/>
  <c r="AA482" i="5"/>
  <c r="Y499" i="5"/>
  <c r="Z499" i="5"/>
  <c r="J131" i="6"/>
  <c r="M131" i="6"/>
  <c r="X233" i="5"/>
  <c r="X242" i="5"/>
  <c r="X251" i="5"/>
  <c r="X260" i="5"/>
  <c r="X269" i="5"/>
  <c r="X278" i="5"/>
  <c r="L287" i="5"/>
  <c r="Z290" i="5"/>
  <c r="L292" i="5"/>
  <c r="AA292" i="5"/>
  <c r="AD292" i="5"/>
  <c r="L313" i="5"/>
  <c r="AD313" i="5"/>
  <c r="P313" i="5"/>
  <c r="L321" i="5"/>
  <c r="Y346" i="5"/>
  <c r="Z346" i="5" s="1"/>
  <c r="L354" i="5"/>
  <c r="AA354" i="5"/>
  <c r="Q357" i="5"/>
  <c r="Z368" i="5"/>
  <c r="Y371" i="5"/>
  <c r="Z371" i="5" s="1"/>
  <c r="X380" i="5"/>
  <c r="AA385" i="5"/>
  <c r="Y394" i="5"/>
  <c r="Z394" i="5" s="1"/>
  <c r="L403" i="5"/>
  <c r="P403" i="5"/>
  <c r="P438" i="5"/>
  <c r="L438" i="5"/>
  <c r="AA438" i="5"/>
  <c r="Q438" i="5"/>
  <c r="AD438" i="5"/>
  <c r="W448" i="5"/>
  <c r="AD456" i="5"/>
  <c r="L456" i="5"/>
  <c r="Z458" i="5"/>
  <c r="Y465" i="5"/>
  <c r="Z465" i="5" s="1"/>
  <c r="AD287" i="5"/>
  <c r="L298" i="5"/>
  <c r="AA298" i="5"/>
  <c r="AD298" i="5"/>
  <c r="AD321" i="5"/>
  <c r="P321" i="5"/>
  <c r="Z322" i="5"/>
  <c r="Y322" i="5"/>
  <c r="Y331" i="5"/>
  <c r="Z331" i="5" s="1"/>
  <c r="AD366" i="5"/>
  <c r="Q366" i="5"/>
  <c r="L366" i="5"/>
  <c r="L370" i="5"/>
  <c r="Q370" i="5"/>
  <c r="Y376" i="5"/>
  <c r="Z376" i="5" s="1"/>
  <c r="Z409" i="5"/>
  <c r="L412" i="5"/>
  <c r="Q412" i="5"/>
  <c r="P412" i="5"/>
  <c r="Z434" i="5"/>
  <c r="Q455" i="5"/>
  <c r="AD455" i="5"/>
  <c r="P455" i="5"/>
  <c r="AA455" i="5"/>
  <c r="L455" i="5"/>
  <c r="Y459" i="5"/>
  <c r="Z459" i="5"/>
  <c r="Y480" i="5"/>
  <c r="Z480" i="5" s="1"/>
  <c r="X494" i="5"/>
  <c r="W494" i="5"/>
  <c r="U14" i="6"/>
  <c r="P14" i="6"/>
  <c r="N15" i="6"/>
  <c r="M34" i="6"/>
  <c r="J34" i="6"/>
  <c r="Q263" i="5"/>
  <c r="Q272" i="5"/>
  <c r="Q281" i="5"/>
  <c r="Q287" i="5"/>
  <c r="X288" i="5"/>
  <c r="AA290" i="5"/>
  <c r="Q292" i="5"/>
  <c r="Z293" i="5"/>
  <c r="Y296" i="5"/>
  <c r="Z296" i="5" s="1"/>
  <c r="P298" i="5"/>
  <c r="AD305" i="5"/>
  <c r="Q305" i="5"/>
  <c r="L305" i="5"/>
  <c r="Y306" i="5"/>
  <c r="Y310" i="5"/>
  <c r="Z310" i="5" s="1"/>
  <c r="Q321" i="5"/>
  <c r="Z332" i="5"/>
  <c r="AD342" i="5"/>
  <c r="Q342" i="5"/>
  <c r="L342" i="5"/>
  <c r="W347" i="5"/>
  <c r="P354" i="5"/>
  <c r="Y359" i="5"/>
  <c r="Z359" i="5" s="1"/>
  <c r="P366" i="5"/>
  <c r="P370" i="5"/>
  <c r="AD375" i="5"/>
  <c r="P375" i="5"/>
  <c r="Z386" i="5"/>
  <c r="Y389" i="5"/>
  <c r="Z389" i="5" s="1"/>
  <c r="AD393" i="5"/>
  <c r="P393" i="5"/>
  <c r="W434" i="5"/>
  <c r="Z451" i="5"/>
  <c r="Q456" i="5"/>
  <c r="X460" i="5"/>
  <c r="W460" i="5"/>
  <c r="W474" i="5"/>
  <c r="Y493" i="5"/>
  <c r="Z493" i="5" s="1"/>
  <c r="X228" i="5"/>
  <c r="X237" i="5"/>
  <c r="X246" i="5"/>
  <c r="X255" i="5"/>
  <c r="X264" i="5"/>
  <c r="X273" i="5"/>
  <c r="L278" i="5"/>
  <c r="X282" i="5"/>
  <c r="X284" i="5"/>
  <c r="W286" i="5"/>
  <c r="Q298" i="5"/>
  <c r="AD302" i="5"/>
  <c r="Q302" i="5"/>
  <c r="L302" i="5"/>
  <c r="AA302" i="5"/>
  <c r="Z303" i="5"/>
  <c r="P305" i="5"/>
  <c r="AD330" i="5"/>
  <c r="Q330" i="5"/>
  <c r="L330" i="5"/>
  <c r="W332" i="5"/>
  <c r="L334" i="5"/>
  <c r="Q334" i="5"/>
  <c r="AD334" i="5"/>
  <c r="Y335" i="5"/>
  <c r="Z335" i="5" s="1"/>
  <c r="P342" i="5"/>
  <c r="L346" i="5"/>
  <c r="AA346" i="5"/>
  <c r="AD346" i="5"/>
  <c r="Q354" i="5"/>
  <c r="L358" i="5"/>
  <c r="Q358" i="5"/>
  <c r="AA358" i="5"/>
  <c r="Z360" i="5"/>
  <c r="L367" i="5"/>
  <c r="AD367" i="5"/>
  <c r="P367" i="5"/>
  <c r="Z372" i="5"/>
  <c r="Q375" i="5"/>
  <c r="W386" i="5"/>
  <c r="L388" i="5"/>
  <c r="Q388" i="5"/>
  <c r="Q393" i="5"/>
  <c r="L414" i="5"/>
  <c r="AA414" i="5"/>
  <c r="Y434" i="5"/>
  <c r="Y474" i="5"/>
  <c r="AD290" i="5"/>
  <c r="Q290" i="5"/>
  <c r="Z294" i="5"/>
  <c r="Z308" i="5"/>
  <c r="Z323" i="5"/>
  <c r="Y323" i="5"/>
  <c r="Z344" i="5"/>
  <c r="Y348" i="5"/>
  <c r="Z348" i="5" s="1"/>
  <c r="Y352" i="5"/>
  <c r="Z352" i="5" s="1"/>
  <c r="X356" i="5"/>
  <c r="W356" i="5"/>
  <c r="L385" i="5"/>
  <c r="P385" i="5"/>
  <c r="Z420" i="5"/>
  <c r="X446" i="5"/>
  <c r="W446" i="5"/>
  <c r="X470" i="5"/>
  <c r="W470" i="5"/>
  <c r="Q491" i="5"/>
  <c r="L491" i="5"/>
  <c r="P491" i="5"/>
  <c r="AD491" i="5"/>
  <c r="AA491" i="5"/>
  <c r="Y304" i="5"/>
  <c r="Z304" i="5" s="1"/>
  <c r="AA306" i="5"/>
  <c r="Z319" i="5"/>
  <c r="Y319" i="5"/>
  <c r="Z337" i="5"/>
  <c r="Y337" i="5"/>
  <c r="Y355" i="5"/>
  <c r="Z355" i="5" s="1"/>
  <c r="AD406" i="5"/>
  <c r="AD417" i="5"/>
  <c r="L417" i="5"/>
  <c r="AA423" i="5"/>
  <c r="AD444" i="5"/>
  <c r="L444" i="5"/>
  <c r="AA444" i="5"/>
  <c r="AD293" i="5"/>
  <c r="Q293" i="5"/>
  <c r="Y307" i="5"/>
  <c r="Z307" i="5" s="1"/>
  <c r="AA309" i="5"/>
  <c r="AA327" i="5"/>
  <c r="AA345" i="5"/>
  <c r="AA363" i="5"/>
  <c r="AD373" i="5"/>
  <c r="Z379" i="5"/>
  <c r="Y379" i="5"/>
  <c r="AA381" i="5"/>
  <c r="AD391" i="5"/>
  <c r="Z397" i="5"/>
  <c r="Y397" i="5"/>
  <c r="AA399" i="5"/>
  <c r="AA415" i="5"/>
  <c r="L415" i="5"/>
  <c r="AD415" i="5"/>
  <c r="Z419" i="5"/>
  <c r="Y428" i="5"/>
  <c r="Z428" i="5" s="1"/>
  <c r="AD459" i="5"/>
  <c r="Q459" i="5"/>
  <c r="W486" i="5"/>
  <c r="X486" i="5"/>
  <c r="Y496" i="5"/>
  <c r="Z496" i="5"/>
  <c r="J386" i="6"/>
  <c r="M386" i="6"/>
  <c r="Y325" i="5"/>
  <c r="Z325" i="5" s="1"/>
  <c r="Z343" i="5"/>
  <c r="Y343" i="5"/>
  <c r="Z361" i="5"/>
  <c r="Y361" i="5"/>
  <c r="P381" i="5"/>
  <c r="L384" i="5"/>
  <c r="P391" i="5"/>
  <c r="AA397" i="5"/>
  <c r="L402" i="5"/>
  <c r="P415" i="5"/>
  <c r="Y422" i="5"/>
  <c r="Z422" i="5" s="1"/>
  <c r="P459" i="5"/>
  <c r="AD495" i="5"/>
  <c r="AA495" i="5"/>
  <c r="U16" i="6"/>
  <c r="P16" i="6"/>
  <c r="N16" i="6"/>
  <c r="M159" i="6"/>
  <c r="J159" i="6"/>
  <c r="J221" i="6"/>
  <c r="M221" i="6"/>
  <c r="AD376" i="5"/>
  <c r="Y382" i="5"/>
  <c r="Z382" i="5" s="1"/>
  <c r="AA384" i="5"/>
  <c r="AD394" i="5"/>
  <c r="Y400" i="5"/>
  <c r="Z400" i="5" s="1"/>
  <c r="AA402" i="5"/>
  <c r="AD427" i="5"/>
  <c r="Q427" i="5"/>
  <c r="P427" i="5"/>
  <c r="Q464" i="5"/>
  <c r="AA464" i="5"/>
  <c r="Q488" i="5"/>
  <c r="L488" i="5"/>
  <c r="AA488" i="5"/>
  <c r="P394" i="5"/>
  <c r="P402" i="5"/>
  <c r="AA405" i="5"/>
  <c r="Y411" i="5"/>
  <c r="AA435" i="5"/>
  <c r="L435" i="5"/>
  <c r="X442" i="5"/>
  <c r="Y443" i="5"/>
  <c r="Z443" i="5" s="1"/>
  <c r="W451" i="5"/>
  <c r="P464" i="5"/>
  <c r="P488" i="5"/>
  <c r="X491" i="5"/>
  <c r="W491" i="5"/>
  <c r="Q494" i="5"/>
  <c r="L494" i="5"/>
  <c r="P494" i="5"/>
  <c r="AA494" i="5"/>
  <c r="AD494" i="5"/>
  <c r="M127" i="6"/>
  <c r="J127" i="6"/>
  <c r="M129" i="6"/>
  <c r="AA315" i="5"/>
  <c r="AA333" i="5"/>
  <c r="AA351" i="5"/>
  <c r="AA369" i="5"/>
  <c r="Q376" i="5"/>
  <c r="AD379" i="5"/>
  <c r="Q384" i="5"/>
  <c r="Z385" i="5"/>
  <c r="Y385" i="5"/>
  <c r="AA387" i="5"/>
  <c r="Q394" i="5"/>
  <c r="Y395" i="5"/>
  <c r="Z395" i="5" s="1"/>
  <c r="AD397" i="5"/>
  <c r="Q402" i="5"/>
  <c r="P405" i="5"/>
  <c r="AA408" i="5"/>
  <c r="P435" i="5"/>
  <c r="AD435" i="5"/>
  <c r="W443" i="5"/>
  <c r="Y490" i="5"/>
  <c r="Z490" i="5"/>
  <c r="Z498" i="5"/>
  <c r="P9" i="6"/>
  <c r="N9" i="6"/>
  <c r="U9" i="6"/>
  <c r="N11" i="6"/>
  <c r="U11" i="6"/>
  <c r="J26" i="6"/>
  <c r="M26" i="6"/>
  <c r="M151" i="6"/>
  <c r="J151" i="6"/>
  <c r="J192" i="6"/>
  <c r="M192" i="6"/>
  <c r="L311" i="5"/>
  <c r="L314" i="5"/>
  <c r="L317" i="5"/>
  <c r="L320" i="5"/>
  <c r="L323" i="5"/>
  <c r="L326" i="5"/>
  <c r="L329" i="5"/>
  <c r="L332" i="5"/>
  <c r="L335" i="5"/>
  <c r="L338" i="5"/>
  <c r="L341" i="5"/>
  <c r="L344" i="5"/>
  <c r="L347" i="5"/>
  <c r="L350" i="5"/>
  <c r="L353" i="5"/>
  <c r="L356" i="5"/>
  <c r="L359" i="5"/>
  <c r="L362" i="5"/>
  <c r="L365" i="5"/>
  <c r="L368" i="5"/>
  <c r="AA445" i="5"/>
  <c r="L445" i="5"/>
  <c r="AD445" i="5"/>
  <c r="AA454" i="5"/>
  <c r="AA466" i="5"/>
  <c r="Q479" i="5"/>
  <c r="L479" i="5"/>
  <c r="Y497" i="5"/>
  <c r="Z497" i="5" s="1"/>
  <c r="M158" i="6"/>
  <c r="J158" i="6"/>
  <c r="AA311" i="5"/>
  <c r="AA314" i="5"/>
  <c r="AA317" i="5"/>
  <c r="AA320" i="5"/>
  <c r="AA323" i="5"/>
  <c r="AA326" i="5"/>
  <c r="AA329" i="5"/>
  <c r="AA332" i="5"/>
  <c r="AA335" i="5"/>
  <c r="AA338" i="5"/>
  <c r="AA341" i="5"/>
  <c r="AA344" i="5"/>
  <c r="AA347" i="5"/>
  <c r="AA350" i="5"/>
  <c r="AA353" i="5"/>
  <c r="AA356" i="5"/>
  <c r="AA359" i="5"/>
  <c r="AA362" i="5"/>
  <c r="AA365" i="5"/>
  <c r="AA368" i="5"/>
  <c r="AA371" i="5"/>
  <c r="AA374" i="5"/>
  <c r="AA377" i="5"/>
  <c r="AA380" i="5"/>
  <c r="AA383" i="5"/>
  <c r="AA386" i="5"/>
  <c r="AA389" i="5"/>
  <c r="AA392" i="5"/>
  <c r="AA395" i="5"/>
  <c r="AA398" i="5"/>
  <c r="AA401" i="5"/>
  <c r="AA404" i="5"/>
  <c r="AA407" i="5"/>
  <c r="AA410" i="5"/>
  <c r="AA413" i="5"/>
  <c r="AA420" i="5"/>
  <c r="AD439" i="5"/>
  <c r="Q439" i="5"/>
  <c r="P439" i="5"/>
  <c r="P442" i="5"/>
  <c r="P445" i="5"/>
  <c r="L454" i="5"/>
  <c r="P462" i="5"/>
  <c r="L462" i="5"/>
  <c r="L466" i="5"/>
  <c r="Z472" i="5"/>
  <c r="P477" i="5"/>
  <c r="P479" i="5"/>
  <c r="Y487" i="5"/>
  <c r="Z487" i="5"/>
  <c r="W501" i="5"/>
  <c r="X501" i="5"/>
  <c r="U6" i="6"/>
  <c r="M220" i="6"/>
  <c r="Y455" i="5"/>
  <c r="Z455" i="5" s="1"/>
  <c r="AA457" i="5"/>
  <c r="L457" i="5"/>
  <c r="AD457" i="5"/>
  <c r="AA463" i="5"/>
  <c r="Z464" i="5"/>
  <c r="Y467" i="5"/>
  <c r="Z467" i="5" s="1"/>
  <c r="AA469" i="5"/>
  <c r="L469" i="5"/>
  <c r="W495" i="5"/>
  <c r="X495" i="5"/>
  <c r="Q500" i="5"/>
  <c r="L500" i="5"/>
  <c r="P500" i="5"/>
  <c r="Q503" i="5"/>
  <c r="L503" i="5"/>
  <c r="P503" i="5"/>
  <c r="AA503" i="5"/>
  <c r="P5" i="6"/>
  <c r="P8" i="6"/>
  <c r="P15" i="6"/>
  <c r="M147" i="6"/>
  <c r="J147" i="6"/>
  <c r="M157" i="6"/>
  <c r="J157" i="6"/>
  <c r="Q311" i="5"/>
  <c r="Q314" i="5"/>
  <c r="Q317" i="5"/>
  <c r="Q320" i="5"/>
  <c r="Q323" i="5"/>
  <c r="Q326" i="5"/>
  <c r="Q329" i="5"/>
  <c r="Q332" i="5"/>
  <c r="Q335" i="5"/>
  <c r="Q338" i="5"/>
  <c r="Q341" i="5"/>
  <c r="Q344" i="5"/>
  <c r="Q347" i="5"/>
  <c r="Q350" i="5"/>
  <c r="Q353" i="5"/>
  <c r="Q356" i="5"/>
  <c r="Q359" i="5"/>
  <c r="Q362" i="5"/>
  <c r="Q365" i="5"/>
  <c r="Q368" i="5"/>
  <c r="Q371" i="5"/>
  <c r="Q374" i="5"/>
  <c r="Q377" i="5"/>
  <c r="Q380" i="5"/>
  <c r="Q383" i="5"/>
  <c r="Q386" i="5"/>
  <c r="Q389" i="5"/>
  <c r="Q392" i="5"/>
  <c r="Q395" i="5"/>
  <c r="Q398" i="5"/>
  <c r="Q401" i="5"/>
  <c r="Y403" i="5"/>
  <c r="Z403" i="5" s="1"/>
  <c r="Q404" i="5"/>
  <c r="Y406" i="5"/>
  <c r="Z406" i="5" s="1"/>
  <c r="Q407" i="5"/>
  <c r="Y409" i="5"/>
  <c r="Q410" i="5"/>
  <c r="Y412" i="5"/>
  <c r="Z412" i="5" s="1"/>
  <c r="Q413" i="5"/>
  <c r="Y417" i="5"/>
  <c r="Z417" i="5" s="1"/>
  <c r="W419" i="5"/>
  <c r="Q420" i="5"/>
  <c r="L424" i="5"/>
  <c r="L426" i="5"/>
  <c r="L432" i="5"/>
  <c r="AA437" i="5"/>
  <c r="Y438" i="5"/>
  <c r="Z438" i="5" s="1"/>
  <c r="L440" i="5"/>
  <c r="AD440" i="5"/>
  <c r="W441" i="5"/>
  <c r="Y449" i="5"/>
  <c r="Z449" i="5" s="1"/>
  <c r="AD451" i="5"/>
  <c r="Q451" i="5"/>
  <c r="P451" i="5"/>
  <c r="P454" i="5"/>
  <c r="AD454" i="5"/>
  <c r="P457" i="5"/>
  <c r="Y458" i="5"/>
  <c r="Y464" i="5"/>
  <c r="P466" i="5"/>
  <c r="AD466" i="5"/>
  <c r="P469" i="5"/>
  <c r="Y481" i="5"/>
  <c r="Z481" i="5"/>
  <c r="Z484" i="5"/>
  <c r="Y498" i="5"/>
  <c r="P10" i="6"/>
  <c r="M142" i="6"/>
  <c r="AA426" i="5"/>
  <c r="AA432" i="5"/>
  <c r="L437" i="5"/>
  <c r="Q457" i="5"/>
  <c r="Q469" i="5"/>
  <c r="Y488" i="5"/>
  <c r="Z488" i="5" s="1"/>
  <c r="Q497" i="5"/>
  <c r="L497" i="5"/>
  <c r="T8" i="6"/>
  <c r="N12" i="6"/>
  <c r="AD437" i="5"/>
  <c r="Q443" i="5"/>
  <c r="AD443" i="5"/>
  <c r="P443" i="5"/>
  <c r="AA443" i="5"/>
  <c r="L443" i="5"/>
  <c r="Y450" i="5"/>
  <c r="Z450" i="5" s="1"/>
  <c r="AD463" i="5"/>
  <c r="Q463" i="5"/>
  <c r="P463" i="5"/>
  <c r="Z473" i="5"/>
  <c r="Y473" i="5"/>
  <c r="Z476" i="5"/>
  <c r="Z482" i="5"/>
  <c r="Y485" i="5"/>
  <c r="Z485" i="5" s="1"/>
  <c r="W492" i="5"/>
  <c r="X492" i="5"/>
  <c r="U4" i="6"/>
  <c r="P4" i="6"/>
  <c r="V15" i="5" s="1"/>
  <c r="P12" i="6"/>
  <c r="M107" i="6"/>
  <c r="J107" i="6"/>
  <c r="J146" i="6"/>
  <c r="M146" i="6"/>
  <c r="M184" i="6"/>
  <c r="J184" i="6"/>
  <c r="M210" i="6"/>
  <c r="J210" i="6"/>
  <c r="J262" i="6"/>
  <c r="M262" i="6"/>
  <c r="M407" i="6"/>
  <c r="J407" i="6"/>
  <c r="J171" i="6"/>
  <c r="M171" i="6"/>
  <c r="M193" i="6"/>
  <c r="J193" i="6"/>
  <c r="J411" i="6"/>
  <c r="M411" i="6"/>
  <c r="M244" i="6"/>
  <c r="M503" i="6"/>
  <c r="L416" i="5"/>
  <c r="AA441" i="5"/>
  <c r="AA453" i="5"/>
  <c r="AA465" i="5"/>
  <c r="AA474" i="5"/>
  <c r="M21" i="6"/>
  <c r="J21" i="6"/>
  <c r="M24" i="6"/>
  <c r="J24" i="6"/>
  <c r="M373" i="6"/>
  <c r="M484" i="6"/>
  <c r="P434" i="5"/>
  <c r="AD434" i="5"/>
  <c r="L436" i="5"/>
  <c r="P446" i="5"/>
  <c r="AD446" i="5"/>
  <c r="L448" i="5"/>
  <c r="P458" i="5"/>
  <c r="AD458" i="5"/>
  <c r="L460" i="5"/>
  <c r="W464" i="5"/>
  <c r="P465" i="5"/>
  <c r="W469" i="5"/>
  <c r="P470" i="5"/>
  <c r="AD470" i="5"/>
  <c r="P474" i="5"/>
  <c r="Q476" i="5"/>
  <c r="L476" i="5"/>
  <c r="AD476" i="5"/>
  <c r="P480" i="5"/>
  <c r="P489" i="5"/>
  <c r="P498" i="5"/>
  <c r="J119" i="6"/>
  <c r="J135" i="6"/>
  <c r="M156" i="6"/>
  <c r="J156" i="6"/>
  <c r="J242" i="6"/>
  <c r="M381" i="6"/>
  <c r="M483" i="6"/>
  <c r="Q474" i="5"/>
  <c r="Q480" i="5"/>
  <c r="Q489" i="5"/>
  <c r="Q498" i="5"/>
  <c r="P13" i="6"/>
  <c r="M190" i="6"/>
  <c r="J190" i="6"/>
  <c r="J214" i="6"/>
  <c r="J371" i="6"/>
  <c r="J492" i="6"/>
  <c r="M492" i="6"/>
  <c r="M186" i="6"/>
  <c r="J186" i="6"/>
  <c r="P7" i="6"/>
  <c r="T15" i="6"/>
  <c r="M144" i="6"/>
  <c r="J174" i="6"/>
  <c r="J233" i="6"/>
  <c r="M233" i="6"/>
  <c r="J361" i="6"/>
  <c r="M361" i="6"/>
  <c r="M166" i="6"/>
  <c r="J166" i="6"/>
  <c r="M185" i="6"/>
  <c r="J185" i="6"/>
  <c r="M222" i="6"/>
  <c r="M393" i="6"/>
  <c r="M423" i="6"/>
  <c r="J482" i="6"/>
  <c r="M482" i="6"/>
  <c r="M468" i="6"/>
  <c r="M501" i="6"/>
  <c r="M115" i="6"/>
  <c r="J115" i="6"/>
  <c r="J197" i="6"/>
  <c r="J241" i="6"/>
  <c r="J358" i="6"/>
  <c r="J360" i="6"/>
  <c r="J410" i="6"/>
  <c r="J435" i="6"/>
  <c r="J491" i="6"/>
  <c r="M217" i="6"/>
  <c r="J217" i="6"/>
  <c r="M41" i="6"/>
  <c r="J41" i="6"/>
  <c r="M43" i="6"/>
  <c r="J43" i="6"/>
  <c r="M53" i="6"/>
  <c r="J53" i="6"/>
  <c r="M55" i="6"/>
  <c r="J55" i="6"/>
  <c r="M65" i="6"/>
  <c r="J65" i="6"/>
  <c r="M67" i="6"/>
  <c r="J67" i="6"/>
  <c r="M77" i="6"/>
  <c r="J77" i="6"/>
  <c r="M79" i="6"/>
  <c r="J79" i="6"/>
  <c r="M89" i="6"/>
  <c r="J89" i="6"/>
  <c r="M91" i="6"/>
  <c r="J91" i="6"/>
  <c r="M103" i="6"/>
  <c r="J103" i="6"/>
  <c r="M196" i="6"/>
  <c r="M229" i="6"/>
  <c r="J229" i="6"/>
  <c r="M357" i="6"/>
  <c r="M389" i="6"/>
  <c r="J389" i="6"/>
  <c r="M400" i="6"/>
  <c r="M461" i="6"/>
  <c r="J461" i="6"/>
  <c r="M45" i="6"/>
  <c r="M57" i="6"/>
  <c r="M69" i="6"/>
  <c r="M81" i="6"/>
  <c r="M93" i="6"/>
  <c r="M105" i="6"/>
  <c r="J205" i="6"/>
  <c r="M273" i="6"/>
  <c r="J275" i="6"/>
  <c r="J388" i="6"/>
  <c r="M226" i="6"/>
  <c r="J226" i="6"/>
  <c r="M417" i="6"/>
  <c r="J101" i="6"/>
  <c r="J113" i="6"/>
  <c r="J125" i="6"/>
  <c r="J137" i="6"/>
  <c r="J149" i="6"/>
  <c r="J161" i="6"/>
  <c r="J178" i="6"/>
  <c r="J238" i="6"/>
  <c r="J239" i="6"/>
  <c r="J257" i="6"/>
  <c r="J481" i="6"/>
  <c r="J285" i="6"/>
  <c r="M285" i="6"/>
  <c r="M180" i="6"/>
  <c r="J253" i="6"/>
  <c r="J266" i="6"/>
  <c r="J267" i="6"/>
  <c r="J268" i="6"/>
  <c r="J280" i="6"/>
  <c r="J281" i="6"/>
  <c r="J348" i="6"/>
  <c r="M349" i="6"/>
  <c r="J365" i="6"/>
  <c r="J376" i="6"/>
  <c r="J429" i="6"/>
  <c r="M429" i="6"/>
  <c r="M456" i="6"/>
  <c r="J479" i="6"/>
  <c r="J494" i="6"/>
  <c r="J495" i="6"/>
  <c r="J497" i="6"/>
  <c r="M362" i="6"/>
  <c r="M375" i="6"/>
  <c r="M473" i="6"/>
  <c r="J473" i="6"/>
  <c r="J293" i="6"/>
  <c r="J437" i="6"/>
  <c r="J298" i="6"/>
  <c r="J301" i="6"/>
  <c r="J304" i="6"/>
  <c r="J314" i="6"/>
  <c r="J315" i="6"/>
  <c r="J326" i="6"/>
  <c r="J327" i="6"/>
  <c r="J338" i="6"/>
  <c r="J339" i="6"/>
  <c r="J442" i="6"/>
  <c r="J445" i="6"/>
  <c r="J448" i="6"/>
  <c r="M309" i="6"/>
  <c r="J317" i="6"/>
  <c r="M321" i="6"/>
  <c r="J329" i="6"/>
  <c r="M333" i="6"/>
  <c r="J341" i="6"/>
  <c r="M453" i="6"/>
  <c r="M465" i="6"/>
  <c r="J259" i="6"/>
  <c r="J271" i="6"/>
  <c r="J283" i="6"/>
  <c r="J295" i="6"/>
  <c r="J307" i="6"/>
  <c r="J319" i="6"/>
  <c r="J331" i="6"/>
  <c r="J355" i="6"/>
  <c r="J367" i="6"/>
  <c r="J391" i="6"/>
  <c r="J415" i="6"/>
  <c r="J451" i="6"/>
  <c r="J463" i="6"/>
  <c r="J475" i="6"/>
  <c r="J487" i="6"/>
  <c r="J499" i="6"/>
  <c r="X15" i="5" l="1"/>
  <c r="W15" i="5"/>
  <c r="Y43" i="5"/>
  <c r="Z43" i="5" s="1"/>
  <c r="Y228" i="5"/>
  <c r="Z228" i="5" s="1"/>
  <c r="Y233" i="5"/>
  <c r="Z233" i="5" s="1"/>
  <c r="Y227" i="5"/>
  <c r="Z227" i="5" s="1"/>
  <c r="Y222" i="5"/>
  <c r="Z222" i="5" s="1"/>
  <c r="Z263" i="5"/>
  <c r="Y263" i="5"/>
  <c r="Y153" i="5"/>
  <c r="Z153" i="5" s="1"/>
  <c r="Y186" i="5"/>
  <c r="Z186" i="5" s="1"/>
  <c r="Y492" i="5"/>
  <c r="Z492" i="5" s="1"/>
  <c r="Y442" i="5"/>
  <c r="Z442" i="5"/>
  <c r="Y356" i="5"/>
  <c r="Z356" i="5" s="1"/>
  <c r="Z494" i="5"/>
  <c r="Y494" i="5"/>
  <c r="Y380" i="5"/>
  <c r="Z380" i="5" s="1"/>
  <c r="Y270" i="5"/>
  <c r="Z270" i="5" s="1"/>
  <c r="Y135" i="5"/>
  <c r="Z135" i="5" s="1"/>
  <c r="Y56" i="5"/>
  <c r="Z56" i="5" s="1"/>
  <c r="V10" i="5"/>
  <c r="Z80" i="5"/>
  <c r="Y80" i="5"/>
  <c r="Y113" i="5"/>
  <c r="Z113" i="5" s="1"/>
  <c r="V13" i="5"/>
  <c r="Y501" i="5"/>
  <c r="Z501" i="5" s="1"/>
  <c r="Y246" i="5"/>
  <c r="Z246" i="5" s="1"/>
  <c r="Z251" i="5"/>
  <c r="Y251" i="5"/>
  <c r="V12" i="5"/>
  <c r="Y237" i="5"/>
  <c r="Z237" i="5"/>
  <c r="Y229" i="5"/>
  <c r="Z229" i="5" s="1"/>
  <c r="Y289" i="5"/>
  <c r="Z289" i="5" s="1"/>
  <c r="Y147" i="5"/>
  <c r="Z147" i="5"/>
  <c r="V7" i="5"/>
  <c r="Z288" i="5"/>
  <c r="Y288" i="5"/>
  <c r="Y276" i="5"/>
  <c r="Z276" i="5" s="1"/>
  <c r="Z92" i="5"/>
  <c r="Y92" i="5"/>
  <c r="Y299" i="5"/>
  <c r="Z299" i="5" s="1"/>
  <c r="Y365" i="5"/>
  <c r="Z365" i="5" s="1"/>
  <c r="Y284" i="5"/>
  <c r="Z284" i="5"/>
  <c r="Z350" i="5"/>
  <c r="Y350" i="5"/>
  <c r="Y320" i="5"/>
  <c r="Z320" i="5" s="1"/>
  <c r="Y245" i="5"/>
  <c r="Z245" i="5" s="1"/>
  <c r="Y144" i="5"/>
  <c r="Z144" i="5" s="1"/>
  <c r="Y326" i="5"/>
  <c r="Z326" i="5" s="1"/>
  <c r="Y258" i="5"/>
  <c r="Z258" i="5"/>
  <c r="Z191" i="5"/>
  <c r="Y191" i="5"/>
  <c r="Y338" i="5"/>
  <c r="Z338" i="5" s="1"/>
  <c r="Y287" i="5"/>
  <c r="Z287" i="5" s="1"/>
  <c r="Y404" i="5"/>
  <c r="Z404" i="5" s="1"/>
  <c r="V4" i="5"/>
  <c r="Y67" i="5"/>
  <c r="Z67" i="5" s="1"/>
  <c r="V5" i="5"/>
  <c r="Y240" i="5"/>
  <c r="Z240" i="5" s="1"/>
  <c r="Y77" i="5"/>
  <c r="Z77" i="5" s="1"/>
  <c r="Z109" i="5"/>
  <c r="Y109" i="5"/>
  <c r="Y71" i="5"/>
  <c r="Z71" i="5" s="1"/>
  <c r="Y101" i="5"/>
  <c r="Z101" i="5" s="1"/>
  <c r="Y486" i="5"/>
  <c r="Z486" i="5" s="1"/>
  <c r="Y282" i="5"/>
  <c r="Z282" i="5" s="1"/>
  <c r="Y460" i="5"/>
  <c r="Z460" i="5"/>
  <c r="Y189" i="5"/>
  <c r="Z189" i="5" s="1"/>
  <c r="Y466" i="5"/>
  <c r="Z466" i="5"/>
  <c r="Y194" i="5"/>
  <c r="Z194" i="5" s="1"/>
  <c r="Y231" i="5"/>
  <c r="Z231" i="5"/>
  <c r="Z302" i="5"/>
  <c r="Y302" i="5"/>
  <c r="Y128" i="5"/>
  <c r="Z128" i="5" s="1"/>
  <c r="V8" i="5"/>
  <c r="Y74" i="5"/>
  <c r="Z74" i="5" s="1"/>
  <c r="Y180" i="5"/>
  <c r="Z180" i="5" s="1"/>
  <c r="Y23" i="5"/>
  <c r="Z23" i="5" s="1"/>
  <c r="Y242" i="5"/>
  <c r="Z242" i="5" s="1"/>
  <c r="Z374" i="5"/>
  <c r="Y374" i="5"/>
  <c r="Y86" i="5"/>
  <c r="Z86" i="5" s="1"/>
  <c r="Y392" i="5"/>
  <c r="Z392" i="5" s="1"/>
  <c r="Y250" i="5"/>
  <c r="Z250" i="5" s="1"/>
  <c r="Y55" i="5"/>
  <c r="Z55" i="5" s="1"/>
  <c r="Y500" i="5"/>
  <c r="Z500" i="5" s="1"/>
  <c r="Z413" i="5"/>
  <c r="Y413" i="5"/>
  <c r="Y216" i="5"/>
  <c r="Z216" i="5" s="1"/>
  <c r="Y49" i="5"/>
  <c r="Z49" i="5" s="1"/>
  <c r="Y107" i="5"/>
  <c r="Z107" i="5" s="1"/>
  <c r="Y119" i="5"/>
  <c r="Z119" i="5" s="1"/>
  <c r="Y495" i="5"/>
  <c r="Z495" i="5" s="1"/>
  <c r="Z491" i="5"/>
  <c r="Y491" i="5"/>
  <c r="Y273" i="5"/>
  <c r="Z273" i="5"/>
  <c r="Y278" i="5"/>
  <c r="Z278" i="5" s="1"/>
  <c r="Y261" i="5"/>
  <c r="Z261" i="5" s="1"/>
  <c r="Y463" i="5"/>
  <c r="Z463" i="5"/>
  <c r="Y483" i="5"/>
  <c r="Z483" i="5" s="1"/>
  <c r="Z292" i="5"/>
  <c r="Y292" i="5"/>
  <c r="Y252" i="5"/>
  <c r="Z252" i="5"/>
  <c r="Y95" i="5"/>
  <c r="Z95" i="5" s="1"/>
  <c r="Y68" i="5"/>
  <c r="Z68" i="5" s="1"/>
  <c r="Y37" i="5"/>
  <c r="Z37" i="5" s="1"/>
  <c r="Y281" i="5"/>
  <c r="Z281" i="5" s="1"/>
  <c r="Z446" i="5"/>
  <c r="Y446" i="5"/>
  <c r="Y264" i="5"/>
  <c r="Z264" i="5"/>
  <c r="Y269" i="5"/>
  <c r="Z269" i="5" s="1"/>
  <c r="Y416" i="5"/>
  <c r="Z416" i="5" s="1"/>
  <c r="Y89" i="5"/>
  <c r="Z89" i="5" s="1"/>
  <c r="V6" i="5"/>
  <c r="Z83" i="5"/>
  <c r="Y83" i="5"/>
  <c r="Y234" i="5"/>
  <c r="Z234" i="5" s="1"/>
  <c r="Z437" i="5"/>
  <c r="Y437" i="5"/>
  <c r="Y267" i="5"/>
  <c r="Z267" i="5"/>
  <c r="Y426" i="5"/>
  <c r="Z426" i="5" s="1"/>
  <c r="V9" i="5"/>
  <c r="Y141" i="5"/>
  <c r="Z141" i="5" s="1"/>
  <c r="Z470" i="5"/>
  <c r="Y470" i="5"/>
  <c r="H12" i="2"/>
  <c r="G12" i="2"/>
  <c r="Y255" i="5"/>
  <c r="Z255" i="5" s="1"/>
  <c r="Y260" i="5"/>
  <c r="Z260" i="5" s="1"/>
  <c r="Y407" i="5"/>
  <c r="Z407" i="5" s="1"/>
  <c r="Y161" i="5"/>
  <c r="Z161" i="5" s="1"/>
  <c r="Y249" i="5"/>
  <c r="Z249" i="5" s="1"/>
  <c r="Y150" i="5"/>
  <c r="Z150" i="5" s="1"/>
  <c r="V11" i="5"/>
  <c r="Y182" i="5"/>
  <c r="Z182" i="5" s="1"/>
  <c r="Y53" i="5"/>
  <c r="Z53" i="5" s="1"/>
  <c r="V14" i="5"/>
  <c r="Y73" i="5"/>
  <c r="Z73" i="5" s="1"/>
  <c r="W5" i="5" l="1"/>
  <c r="X5" i="5" s="1"/>
  <c r="W9" i="5"/>
  <c r="X9" i="5"/>
  <c r="W11" i="5"/>
  <c r="X11" i="5" s="1"/>
  <c r="W7" i="5"/>
  <c r="X7" i="5" s="1"/>
  <c r="Q14" i="6"/>
  <c r="Q10" i="6"/>
  <c r="Q5" i="6"/>
  <c r="Q16" i="6"/>
  <c r="W4" i="5"/>
  <c r="X4" i="5" s="1"/>
  <c r="Q15" i="6"/>
  <c r="Q9" i="6"/>
  <c r="X13" i="5"/>
  <c r="W13" i="5"/>
  <c r="X6" i="5"/>
  <c r="Q6" i="6" s="1"/>
  <c r="W6" i="5"/>
  <c r="X10" i="5"/>
  <c r="W10" i="5"/>
  <c r="G15" i="2"/>
  <c r="G13" i="2"/>
  <c r="W8" i="5"/>
  <c r="X8" i="5"/>
  <c r="W12" i="5"/>
  <c r="X12" i="5" s="1"/>
  <c r="W14" i="5"/>
  <c r="X14" i="5"/>
  <c r="Z15" i="5"/>
  <c r="M15" i="5" s="1"/>
  <c r="Y15" i="5"/>
  <c r="Z7" i="5" l="1"/>
  <c r="M7" i="5" s="1"/>
  <c r="Y7" i="5"/>
  <c r="Q8" i="6"/>
  <c r="Z12" i="5"/>
  <c r="M12" i="5" s="1"/>
  <c r="Y12" i="5"/>
  <c r="Q13" i="6"/>
  <c r="Z4" i="5"/>
  <c r="M4" i="5" s="1"/>
  <c r="Y4" i="5"/>
  <c r="Q4" i="6"/>
  <c r="Z11" i="5"/>
  <c r="M11" i="5" s="1"/>
  <c r="Y11" i="5"/>
  <c r="Q12" i="6"/>
  <c r="Z5" i="5"/>
  <c r="M5" i="5" s="1"/>
  <c r="Y5" i="5"/>
  <c r="Q7" i="6"/>
  <c r="Z14" i="5"/>
  <c r="M14" i="5" s="1"/>
  <c r="Y14" i="5"/>
  <c r="Y13" i="5"/>
  <c r="Z13" i="5" s="1"/>
  <c r="M13" i="5" s="1"/>
  <c r="Z8" i="5"/>
  <c r="M8" i="5" s="1"/>
  <c r="Y8" i="5"/>
  <c r="Z10" i="5"/>
  <c r="M10" i="5" s="1"/>
  <c r="R15" i="5" s="1"/>
  <c r="Y10" i="5"/>
  <c r="Q11" i="6"/>
  <c r="Z9" i="5"/>
  <c r="M9" i="5" s="1"/>
  <c r="Y9" i="5"/>
  <c r="Q15" i="5"/>
  <c r="AD15" i="5"/>
  <c r="P15" i="5"/>
  <c r="L15" i="5"/>
  <c r="AA15" i="5"/>
  <c r="K15" i="5"/>
  <c r="AB15" i="5" s="1"/>
  <c r="Z6" i="5"/>
  <c r="M6" i="5" s="1"/>
  <c r="Y6" i="5"/>
  <c r="L13" i="5" l="1"/>
  <c r="AD13" i="5"/>
  <c r="Q13" i="5"/>
  <c r="P13" i="5"/>
  <c r="AA13" i="5"/>
  <c r="K13" i="5"/>
  <c r="AB13" i="5" s="1"/>
  <c r="R13" i="5"/>
  <c r="R6" i="5"/>
  <c r="K6" i="5" s="1"/>
  <c r="AB6" i="5" s="1"/>
  <c r="AC6" i="5" s="1"/>
  <c r="Q6" i="5"/>
  <c r="AA6" i="5"/>
  <c r="L6" i="5"/>
  <c r="P6" i="5"/>
  <c r="R11" i="5"/>
  <c r="K11" i="5" s="1"/>
  <c r="AB11" i="5" s="1"/>
  <c r="AC11" i="5" s="1"/>
  <c r="Q11" i="5"/>
  <c r="P11" i="5"/>
  <c r="AA11" i="5"/>
  <c r="L11" i="5"/>
  <c r="L8" i="5"/>
  <c r="K8" i="5"/>
  <c r="AB8" i="5" s="1"/>
  <c r="AC8" i="5" s="1"/>
  <c r="R8" i="5"/>
  <c r="Q8" i="5"/>
  <c r="P8" i="5"/>
  <c r="AA8" i="5"/>
  <c r="K16" i="6"/>
  <c r="K6" i="6"/>
  <c r="K14" i="6"/>
  <c r="K4" i="6"/>
  <c r="K5" i="6"/>
  <c r="K15" i="6"/>
  <c r="K9" i="6"/>
  <c r="AD4" i="5"/>
  <c r="AD5" i="5" s="1"/>
  <c r="R4" i="5"/>
  <c r="Q4" i="5"/>
  <c r="P4" i="5"/>
  <c r="L4" i="5" s="1"/>
  <c r="AA4" i="5"/>
  <c r="K11" i="6"/>
  <c r="K10" i="6"/>
  <c r="K8" i="6"/>
  <c r="K13" i="6"/>
  <c r="K7" i="6"/>
  <c r="K12" i="6"/>
  <c r="P12" i="5"/>
  <c r="R12" i="5"/>
  <c r="K12" i="5" s="1"/>
  <c r="AB12" i="5" s="1"/>
  <c r="AA12" i="5"/>
  <c r="L12" i="5"/>
  <c r="Q12" i="5"/>
  <c r="AD14" i="5"/>
  <c r="R14" i="5"/>
  <c r="L14" i="5"/>
  <c r="K14" i="5"/>
  <c r="AB14" i="5" s="1"/>
  <c r="AA14" i="5"/>
  <c r="Q14" i="5"/>
  <c r="P14" i="5"/>
  <c r="R9" i="5"/>
  <c r="Q9" i="5"/>
  <c r="AA9" i="5"/>
  <c r="P9" i="5"/>
  <c r="L9" i="5" s="1"/>
  <c r="L10" i="5"/>
  <c r="R10" i="5"/>
  <c r="K10" i="5" s="1"/>
  <c r="AB10" i="5" s="1"/>
  <c r="P10" i="5"/>
  <c r="AA10" i="5"/>
  <c r="Q10" i="5"/>
  <c r="Q5" i="5"/>
  <c r="P5" i="5"/>
  <c r="L5" i="5" s="1"/>
  <c r="R5" i="5"/>
  <c r="K5" i="5" s="1"/>
  <c r="AB5" i="5" s="1"/>
  <c r="AC5" i="5" s="1"/>
  <c r="AA5" i="5"/>
  <c r="R7" i="5"/>
  <c r="AA7" i="5"/>
  <c r="Q7" i="5"/>
  <c r="P7" i="5"/>
  <c r="L7" i="5" s="1"/>
  <c r="K7" i="5" s="1"/>
  <c r="AB7" i="5" s="1"/>
  <c r="K4" i="5" l="1"/>
  <c r="K9" i="5"/>
  <c r="AB9" i="5" s="1"/>
  <c r="J5" i="6"/>
  <c r="I5" i="6"/>
  <c r="R5" i="6" s="1"/>
  <c r="M5" i="6"/>
  <c r="M10" i="6"/>
  <c r="I10" i="6"/>
  <c r="R10" i="6" s="1"/>
  <c r="J10" i="6"/>
  <c r="M4" i="6"/>
  <c r="J4" i="6"/>
  <c r="I4" i="6"/>
  <c r="I13" i="6"/>
  <c r="R13" i="6" s="1"/>
  <c r="J13" i="6"/>
  <c r="M13" i="6"/>
  <c r="I15" i="6"/>
  <c r="R15" i="6" s="1"/>
  <c r="J15" i="6"/>
  <c r="M15" i="6"/>
  <c r="J11" i="6"/>
  <c r="M11" i="6"/>
  <c r="I11" i="6"/>
  <c r="R11" i="6" s="1"/>
  <c r="S11" i="6" s="1"/>
  <c r="I6" i="6"/>
  <c r="R6" i="6" s="1"/>
  <c r="S6" i="6" s="1"/>
  <c r="M6" i="6"/>
  <c r="J6" i="6"/>
  <c r="M16" i="6"/>
  <c r="J16" i="6"/>
  <c r="I16" i="6"/>
  <c r="R16" i="6" s="1"/>
  <c r="M7" i="6"/>
  <c r="J7" i="6"/>
  <c r="I7" i="6"/>
  <c r="R7" i="6" s="1"/>
  <c r="S7" i="6" s="1"/>
  <c r="M9" i="6"/>
  <c r="J9" i="6"/>
  <c r="M8" i="6"/>
  <c r="J8" i="6"/>
  <c r="I8" i="6"/>
  <c r="R8" i="6" s="1"/>
  <c r="J14" i="6"/>
  <c r="M14" i="6"/>
  <c r="I14" i="6"/>
  <c r="R14" i="6" s="1"/>
  <c r="AD6" i="5"/>
  <c r="M12" i="6"/>
  <c r="J12" i="6"/>
  <c r="I12" i="6"/>
  <c r="R12" i="6" s="1"/>
  <c r="S12" i="6" s="1"/>
  <c r="AD8" i="5" l="1"/>
  <c r="AD7" i="5"/>
  <c r="R4" i="6"/>
  <c r="D17" i="2"/>
  <c r="D16" i="2"/>
  <c r="K15" i="2" s="1"/>
  <c r="D19" i="2"/>
  <c r="D18" i="2"/>
  <c r="I9" i="6"/>
  <c r="R9" i="6" s="1"/>
  <c r="AB4" i="5"/>
  <c r="C19" i="2"/>
  <c r="K17" i="2" s="1"/>
  <c r="C18" i="2"/>
  <c r="C17" i="2"/>
  <c r="K13" i="2" s="1"/>
  <c r="C16" i="2"/>
  <c r="K14" i="2" s="1"/>
  <c r="K16" i="2" l="1"/>
  <c r="C14" i="2"/>
  <c r="G16" i="2"/>
  <c r="AC4" i="5"/>
  <c r="G17" i="2"/>
  <c r="AD9" i="5"/>
  <c r="AD10" i="5" s="1"/>
  <c r="S4" i="6"/>
  <c r="G19" i="2"/>
  <c r="G18" i="2"/>
  <c r="D14" i="2"/>
  <c r="D15" i="2" s="1"/>
  <c r="S5" i="6" l="1"/>
  <c r="S8" i="6" s="1"/>
  <c r="K11" i="2"/>
  <c r="C15" i="2"/>
  <c r="AC7" i="5"/>
  <c r="AD11" i="5"/>
  <c r="G20" i="2"/>
  <c r="G21" i="2" s="1"/>
  <c r="H21" i="2" s="1"/>
  <c r="S9" i="6" l="1"/>
  <c r="AD12" i="5"/>
  <c r="A181" i="3" s="1"/>
  <c r="S10" i="6"/>
  <c r="K12" i="2"/>
  <c r="G7" i="2"/>
  <c r="AC9" i="5"/>
  <c r="A11" i="3" l="1"/>
  <c r="D11" i="3" s="1"/>
  <c r="A196" i="3"/>
  <c r="M196" i="3" s="1"/>
  <c r="A178" i="3"/>
  <c r="C178" i="3" s="1"/>
  <c r="A62" i="3"/>
  <c r="J62" i="3" s="1"/>
  <c r="A5" i="3"/>
  <c r="M5" i="3" s="1"/>
  <c r="A206" i="3"/>
  <c r="A70" i="3"/>
  <c r="A7" i="3"/>
  <c r="B7" i="3" s="1"/>
  <c r="A9" i="3"/>
  <c r="M9" i="3" s="1"/>
  <c r="A16" i="3"/>
  <c r="K16" i="3" s="1"/>
  <c r="A4" i="3"/>
  <c r="C4" i="3" s="1"/>
  <c r="A97" i="3"/>
  <c r="E97" i="3" s="1"/>
  <c r="A8" i="3"/>
  <c r="K8" i="3" s="1"/>
  <c r="A227" i="3"/>
  <c r="K227" i="3" s="1"/>
  <c r="A19" i="3"/>
  <c r="D19" i="3" s="1"/>
  <c r="A31" i="3"/>
  <c r="F31" i="3" s="1"/>
  <c r="A10" i="3"/>
  <c r="J10" i="3" s="1"/>
  <c r="E5" i="3"/>
  <c r="J11" i="3"/>
  <c r="K7" i="3"/>
  <c r="D7" i="3"/>
  <c r="F7" i="3"/>
  <c r="E7" i="3"/>
  <c r="K11" i="3"/>
  <c r="L9" i="3"/>
  <c r="A6" i="3"/>
  <c r="E181" i="3"/>
  <c r="D181" i="3"/>
  <c r="B181" i="3"/>
  <c r="M181" i="3"/>
  <c r="C181" i="3"/>
  <c r="J181" i="3"/>
  <c r="L181" i="3"/>
  <c r="K181" i="3"/>
  <c r="F181" i="3"/>
  <c r="K178" i="3"/>
  <c r="J178" i="3"/>
  <c r="D178" i="3"/>
  <c r="L178" i="3"/>
  <c r="M178" i="3"/>
  <c r="E178" i="3"/>
  <c r="A28" i="3"/>
  <c r="A201" i="3"/>
  <c r="A57" i="3"/>
  <c r="A209" i="3"/>
  <c r="A98" i="3"/>
  <c r="A198" i="3"/>
  <c r="A291" i="3"/>
  <c r="A204" i="3"/>
  <c r="A268" i="3"/>
  <c r="A238" i="3"/>
  <c r="A43" i="3"/>
  <c r="A93" i="3"/>
  <c r="A256" i="3"/>
  <c r="A214" i="3"/>
  <c r="A115" i="3"/>
  <c r="A38" i="3"/>
  <c r="A303" i="3"/>
  <c r="A242" i="3"/>
  <c r="A274" i="3"/>
  <c r="A132" i="3"/>
  <c r="A261" i="3"/>
  <c r="A78" i="3"/>
  <c r="A280" i="3"/>
  <c r="A50" i="3"/>
  <c r="A233" i="3"/>
  <c r="A224" i="3"/>
  <c r="A267" i="3"/>
  <c r="A145" i="3"/>
  <c r="B227" i="3"/>
  <c r="M227" i="3"/>
  <c r="E227" i="3"/>
  <c r="D227" i="3"/>
  <c r="L227" i="3"/>
  <c r="J227" i="3"/>
  <c r="C227" i="3"/>
  <c r="F227" i="3"/>
  <c r="A77" i="3"/>
  <c r="A140" i="3"/>
  <c r="A82" i="3"/>
  <c r="A180" i="3"/>
  <c r="A219" i="3"/>
  <c r="A275" i="3"/>
  <c r="A12" i="3"/>
  <c r="A243" i="3"/>
  <c r="A29" i="3"/>
  <c r="A241" i="3"/>
  <c r="A188" i="3"/>
  <c r="A218" i="3"/>
  <c r="A190" i="3"/>
  <c r="A129" i="3"/>
  <c r="A205" i="3"/>
  <c r="A33" i="3"/>
  <c r="A104" i="3"/>
  <c r="A294" i="3"/>
  <c r="A101" i="3"/>
  <c r="A14" i="3"/>
  <c r="A157" i="3"/>
  <c r="A119" i="3"/>
  <c r="A55" i="3"/>
  <c r="A283" i="3"/>
  <c r="A248" i="3"/>
  <c r="A279" i="3"/>
  <c r="A174" i="3"/>
  <c r="A292" i="3"/>
  <c r="A137" i="3"/>
  <c r="A222" i="3"/>
  <c r="A264" i="3"/>
  <c r="A48" i="3"/>
  <c r="A110" i="3"/>
  <c r="A21" i="3"/>
  <c r="A112" i="3"/>
  <c r="A15" i="3"/>
  <c r="S13" i="6"/>
  <c r="L97" i="3"/>
  <c r="K97" i="3"/>
  <c r="J97" i="3"/>
  <c r="D97" i="3"/>
  <c r="C97" i="3"/>
  <c r="F97" i="3"/>
  <c r="B97" i="3"/>
  <c r="E196" i="3"/>
  <c r="D196" i="3"/>
  <c r="B196" i="3"/>
  <c r="K196" i="3"/>
  <c r="J196" i="3"/>
  <c r="F196" i="3"/>
  <c r="C196" i="3"/>
  <c r="A8" i="2"/>
  <c r="A7" i="2"/>
  <c r="A197" i="3"/>
  <c r="A107" i="3"/>
  <c r="A117" i="3"/>
  <c r="A265" i="3"/>
  <c r="A114" i="3"/>
  <c r="A195" i="3"/>
  <c r="A278" i="3"/>
  <c r="A99" i="3"/>
  <c r="A65" i="3"/>
  <c r="A276" i="3"/>
  <c r="A90" i="3"/>
  <c r="A235" i="3"/>
  <c r="A182" i="3"/>
  <c r="A260" i="3"/>
  <c r="A179" i="3"/>
  <c r="A213" i="3"/>
  <c r="A246" i="3"/>
  <c r="A255" i="3"/>
  <c r="A207" i="3"/>
  <c r="A53" i="3"/>
  <c r="A146" i="3"/>
  <c r="A45" i="3"/>
  <c r="A302" i="3"/>
  <c r="A51" i="3"/>
  <c r="A60" i="3"/>
  <c r="A24" i="3"/>
  <c r="A199" i="3"/>
  <c r="A215" i="3"/>
  <c r="A240" i="3"/>
  <c r="A37" i="3"/>
  <c r="A217" i="3"/>
  <c r="A69" i="3"/>
  <c r="A23" i="3"/>
  <c r="A220" i="3"/>
  <c r="A26" i="3"/>
  <c r="A203" i="3"/>
  <c r="A83" i="3"/>
  <c r="A170" i="3"/>
  <c r="A293" i="3"/>
  <c r="B31" i="3"/>
  <c r="F62" i="3"/>
  <c r="A39" i="3"/>
  <c r="A147" i="3"/>
  <c r="A109" i="3"/>
  <c r="A105" i="3"/>
  <c r="A160" i="3"/>
  <c r="A116" i="3"/>
  <c r="A300" i="3"/>
  <c r="A131" i="3"/>
  <c r="A210" i="3"/>
  <c r="A231" i="3"/>
  <c r="A44" i="3"/>
  <c r="A95" i="3"/>
  <c r="A35" i="3"/>
  <c r="A143" i="3"/>
  <c r="AC10" i="5"/>
  <c r="A254" i="3"/>
  <c r="A177" i="3"/>
  <c r="A141" i="3"/>
  <c r="A281" i="3"/>
  <c r="A187" i="3"/>
  <c r="A64" i="3"/>
  <c r="A247" i="3"/>
  <c r="A89" i="3"/>
  <c r="A288" i="3"/>
  <c r="A136" i="3"/>
  <c r="A91" i="3"/>
  <c r="A139" i="3"/>
  <c r="A165" i="3"/>
  <c r="A232" i="3"/>
  <c r="A59" i="3"/>
  <c r="A193" i="3"/>
  <c r="A134" i="3"/>
  <c r="A152" i="3"/>
  <c r="A25" i="3"/>
  <c r="A86" i="3"/>
  <c r="A266" i="3"/>
  <c r="A200" i="3"/>
  <c r="A79" i="3"/>
  <c r="A84" i="3"/>
  <c r="K206" i="3"/>
  <c r="C206" i="3"/>
  <c r="B206" i="3"/>
  <c r="M206" i="3"/>
  <c r="L206" i="3"/>
  <c r="D206" i="3"/>
  <c r="F206" i="3"/>
  <c r="E206" i="3"/>
  <c r="J206" i="3"/>
  <c r="E70" i="3"/>
  <c r="D70" i="3"/>
  <c r="C70" i="3"/>
  <c r="B70" i="3"/>
  <c r="M70" i="3"/>
  <c r="L70" i="3"/>
  <c r="K70" i="3"/>
  <c r="J70" i="3"/>
  <c r="F70" i="3"/>
  <c r="A18" i="3"/>
  <c r="A74" i="3"/>
  <c r="A297" i="3"/>
  <c r="A100" i="3"/>
  <c r="A301" i="3"/>
  <c r="A184" i="3"/>
  <c r="A61" i="3"/>
  <c r="A163" i="3"/>
  <c r="A168" i="3"/>
  <c r="A106" i="3"/>
  <c r="A88" i="3"/>
  <c r="A186" i="3"/>
  <c r="A237" i="3"/>
  <c r="A120" i="3"/>
  <c r="A284" i="3"/>
  <c r="A169" i="3"/>
  <c r="A76" i="3"/>
  <c r="A230" i="3"/>
  <c r="A67" i="3"/>
  <c r="A92" i="3"/>
  <c r="A271" i="3"/>
  <c r="A149" i="3"/>
  <c r="A122" i="3"/>
  <c r="A263" i="3"/>
  <c r="A249" i="3"/>
  <c r="A121" i="3"/>
  <c r="A52" i="3"/>
  <c r="A245" i="3"/>
  <c r="A229" i="3"/>
  <c r="A286" i="3"/>
  <c r="A234" i="3"/>
  <c r="A22" i="3"/>
  <c r="A295" i="3"/>
  <c r="A289" i="3"/>
  <c r="A34" i="3"/>
  <c r="A172" i="3"/>
  <c r="A252" i="3"/>
  <c r="A27" i="3"/>
  <c r="A144" i="3"/>
  <c r="A212" i="3"/>
  <c r="A66" i="3"/>
  <c r="A138" i="3"/>
  <c r="A94" i="3"/>
  <c r="A81" i="3"/>
  <c r="A159" i="3"/>
  <c r="A192" i="3"/>
  <c r="A126" i="3"/>
  <c r="A262" i="3"/>
  <c r="A173" i="3"/>
  <c r="A273" i="3"/>
  <c r="A285" i="3"/>
  <c r="A148" i="3"/>
  <c r="A125" i="3"/>
  <c r="A73" i="3"/>
  <c r="A211" i="3"/>
  <c r="A17" i="3"/>
  <c r="A96" i="3"/>
  <c r="A176" i="3"/>
  <c r="A183" i="3"/>
  <c r="A191" i="3"/>
  <c r="A185" i="3"/>
  <c r="A158" i="3"/>
  <c r="A167" i="3"/>
  <c r="A253" i="3"/>
  <c r="A299" i="3"/>
  <c r="A150" i="3"/>
  <c r="A155" i="3"/>
  <c r="A156" i="3"/>
  <c r="A162" i="3"/>
  <c r="A151" i="3"/>
  <c r="A72" i="3"/>
  <c r="A133" i="3"/>
  <c r="A216" i="3"/>
  <c r="A250" i="3"/>
  <c r="A223" i="3"/>
  <c r="A166" i="3"/>
  <c r="A154" i="3"/>
  <c r="A202" i="3"/>
  <c r="A221" i="3"/>
  <c r="A40" i="3"/>
  <c r="A296" i="3"/>
  <c r="A244" i="3"/>
  <c r="A298" i="3"/>
  <c r="A41" i="3"/>
  <c r="A130" i="3"/>
  <c r="A54" i="3"/>
  <c r="A189" i="3"/>
  <c r="A30" i="3"/>
  <c r="A171" i="3"/>
  <c r="A68" i="3"/>
  <c r="A13" i="3"/>
  <c r="A42" i="3"/>
  <c r="A102" i="3"/>
  <c r="A239" i="3"/>
  <c r="A135" i="3"/>
  <c r="A113" i="3"/>
  <c r="A20" i="3"/>
  <c r="A103" i="3"/>
  <c r="A118" i="3"/>
  <c r="A80" i="3"/>
  <c r="A49" i="3"/>
  <c r="A71" i="3"/>
  <c r="A269" i="3"/>
  <c r="A258" i="3"/>
  <c r="A124" i="3"/>
  <c r="A36" i="3"/>
  <c r="A153" i="3"/>
  <c r="A46" i="3"/>
  <c r="A208" i="3"/>
  <c r="A127" i="3"/>
  <c r="A251" i="3"/>
  <c r="A259" i="3"/>
  <c r="A164" i="3"/>
  <c r="A270" i="3"/>
  <c r="A142" i="3"/>
  <c r="A75" i="3"/>
  <c r="A123" i="3"/>
  <c r="A87" i="3"/>
  <c r="A47" i="3"/>
  <c r="A257" i="3"/>
  <c r="A236" i="3"/>
  <c r="A63" i="3"/>
  <c r="A226" i="3"/>
  <c r="A111" i="3"/>
  <c r="A175" i="3"/>
  <c r="A56" i="3"/>
  <c r="A58" i="3"/>
  <c r="A228" i="3"/>
  <c r="A108" i="3"/>
  <c r="A272" i="3"/>
  <c r="A282" i="3"/>
  <c r="A225" i="3"/>
  <c r="A161" i="3"/>
  <c r="A287" i="3"/>
  <c r="A194" i="3"/>
  <c r="A128" i="3"/>
  <c r="A277" i="3"/>
  <c r="A85" i="3"/>
  <c r="A290" i="3"/>
  <c r="A32" i="3"/>
  <c r="M16" i="3" l="1"/>
  <c r="C16" i="3"/>
  <c r="C8" i="3"/>
  <c r="F16" i="3"/>
  <c r="F11" i="3"/>
  <c r="L196" i="3"/>
  <c r="M97" i="3"/>
  <c r="D16" i="3"/>
  <c r="E9" i="3"/>
  <c r="E16" i="3"/>
  <c r="J9" i="3"/>
  <c r="C11" i="3"/>
  <c r="B11" i="3"/>
  <c r="M11" i="3"/>
  <c r="K62" i="3"/>
  <c r="L19" i="3"/>
  <c r="L10" i="3"/>
  <c r="K5" i="3"/>
  <c r="F10" i="3"/>
  <c r="M62" i="3"/>
  <c r="B19" i="3"/>
  <c r="K10" i="3"/>
  <c r="L5" i="3"/>
  <c r="M31" i="3"/>
  <c r="E19" i="3"/>
  <c r="C5" i="3"/>
  <c r="C31" i="3"/>
  <c r="F19" i="3"/>
  <c r="H19" i="3" s="1"/>
  <c r="D5" i="3"/>
  <c r="L62" i="3"/>
  <c r="K31" i="3"/>
  <c r="D9" i="3"/>
  <c r="C7" i="3"/>
  <c r="D10" i="3"/>
  <c r="J31" i="3"/>
  <c r="C62" i="3"/>
  <c r="L31" i="3"/>
  <c r="F5" i="3"/>
  <c r="H5" i="3" s="1"/>
  <c r="B62" i="3"/>
  <c r="D31" i="3"/>
  <c r="F178" i="3"/>
  <c r="H178" i="3" s="1"/>
  <c r="F9" i="3"/>
  <c r="H9" i="3" s="1"/>
  <c r="J7" i="3"/>
  <c r="E8" i="3"/>
  <c r="E11" i="3"/>
  <c r="L11" i="3"/>
  <c r="D62" i="3"/>
  <c r="E31" i="3"/>
  <c r="M19" i="3"/>
  <c r="F8" i="3"/>
  <c r="E62" i="3"/>
  <c r="J19" i="3"/>
  <c r="J8" i="3"/>
  <c r="K19" i="3"/>
  <c r="C9" i="3"/>
  <c r="J5" i="3"/>
  <c r="D8" i="3"/>
  <c r="E4" i="3"/>
  <c r="M8" i="3"/>
  <c r="D4" i="3"/>
  <c r="F4" i="3"/>
  <c r="H4" i="3" s="1"/>
  <c r="L4" i="3"/>
  <c r="L16" i="3"/>
  <c r="B9" i="3"/>
  <c r="J4" i="3"/>
  <c r="L7" i="3"/>
  <c r="E10" i="3"/>
  <c r="B10" i="3"/>
  <c r="M10" i="3"/>
  <c r="B16" i="3"/>
  <c r="K9" i="3"/>
  <c r="M4" i="3"/>
  <c r="B8" i="3"/>
  <c r="K4" i="3"/>
  <c r="C19" i="3"/>
  <c r="B178" i="3"/>
  <c r="J16" i="3"/>
  <c r="C10" i="3"/>
  <c r="B4" i="3"/>
  <c r="M7" i="3"/>
  <c r="B5" i="3"/>
  <c r="L8" i="3"/>
  <c r="G8" i="3"/>
  <c r="I8" i="3"/>
  <c r="H8" i="3"/>
  <c r="M6" i="3"/>
  <c r="L6" i="3"/>
  <c r="J6" i="3"/>
  <c r="K6" i="3"/>
  <c r="C6" i="3"/>
  <c r="D6" i="3"/>
  <c r="B6" i="3"/>
  <c r="F6" i="3"/>
  <c r="E6" i="3"/>
  <c r="I7" i="3"/>
  <c r="H7" i="3"/>
  <c r="G7" i="3"/>
  <c r="I9" i="3"/>
  <c r="G9" i="3"/>
  <c r="L142" i="3"/>
  <c r="M142" i="3"/>
  <c r="K142" i="3"/>
  <c r="J142" i="3"/>
  <c r="C142" i="3"/>
  <c r="B142" i="3"/>
  <c r="E142" i="3"/>
  <c r="D142" i="3"/>
  <c r="F142" i="3"/>
  <c r="D249" i="3"/>
  <c r="C249" i="3"/>
  <c r="L249" i="3"/>
  <c r="K249" i="3"/>
  <c r="M249" i="3"/>
  <c r="F249" i="3"/>
  <c r="E249" i="3"/>
  <c r="J249" i="3"/>
  <c r="B249" i="3"/>
  <c r="M105" i="3"/>
  <c r="D105" i="3"/>
  <c r="C105" i="3"/>
  <c r="B105" i="3"/>
  <c r="L105" i="3"/>
  <c r="K105" i="3"/>
  <c r="J105" i="3"/>
  <c r="E105" i="3"/>
  <c r="F105" i="3"/>
  <c r="C174" i="3"/>
  <c r="L174" i="3"/>
  <c r="K174" i="3"/>
  <c r="M174" i="3"/>
  <c r="J174" i="3"/>
  <c r="E174" i="3"/>
  <c r="D174" i="3"/>
  <c r="B174" i="3"/>
  <c r="F174" i="3"/>
  <c r="K257" i="3"/>
  <c r="F257" i="3"/>
  <c r="D257" i="3"/>
  <c r="C257" i="3"/>
  <c r="E257" i="3"/>
  <c r="J257" i="3"/>
  <c r="B257" i="3"/>
  <c r="L257" i="3"/>
  <c r="M257" i="3"/>
  <c r="E172" i="3"/>
  <c r="B172" i="3"/>
  <c r="M172" i="3"/>
  <c r="C172" i="3"/>
  <c r="F172" i="3"/>
  <c r="D172" i="3"/>
  <c r="K172" i="3"/>
  <c r="L172" i="3"/>
  <c r="J172" i="3"/>
  <c r="AC12" i="5"/>
  <c r="M279" i="3"/>
  <c r="L279" i="3"/>
  <c r="J279" i="3"/>
  <c r="C279" i="3"/>
  <c r="F279" i="3"/>
  <c r="E279" i="3"/>
  <c r="D279" i="3"/>
  <c r="B279" i="3"/>
  <c r="K279" i="3"/>
  <c r="C12" i="3"/>
  <c r="M12" i="3"/>
  <c r="L12" i="3"/>
  <c r="K12" i="3"/>
  <c r="F12" i="3"/>
  <c r="E12" i="3"/>
  <c r="D12" i="3"/>
  <c r="B12" i="3"/>
  <c r="J12" i="3"/>
  <c r="F183" i="3"/>
  <c r="C183" i="3"/>
  <c r="B183" i="3"/>
  <c r="D183" i="3"/>
  <c r="M183" i="3"/>
  <c r="L183" i="3"/>
  <c r="K183" i="3"/>
  <c r="J183" i="3"/>
  <c r="E183" i="3"/>
  <c r="B152" i="3"/>
  <c r="J152" i="3"/>
  <c r="L152" i="3"/>
  <c r="K152" i="3"/>
  <c r="C152" i="3"/>
  <c r="M152" i="3"/>
  <c r="F152" i="3"/>
  <c r="E152" i="3"/>
  <c r="D152" i="3"/>
  <c r="B104" i="3"/>
  <c r="J104" i="3"/>
  <c r="C104" i="3"/>
  <c r="M104" i="3"/>
  <c r="L104" i="3"/>
  <c r="F104" i="3"/>
  <c r="E104" i="3"/>
  <c r="D104" i="3"/>
  <c r="K104" i="3"/>
  <c r="G19" i="3"/>
  <c r="J270" i="3"/>
  <c r="F270" i="3"/>
  <c r="D270" i="3"/>
  <c r="C270" i="3"/>
  <c r="L270" i="3"/>
  <c r="B270" i="3"/>
  <c r="M270" i="3"/>
  <c r="K270" i="3"/>
  <c r="E270" i="3"/>
  <c r="M176" i="3"/>
  <c r="J176" i="3"/>
  <c r="D176" i="3"/>
  <c r="K176" i="3"/>
  <c r="F176" i="3"/>
  <c r="E176" i="3"/>
  <c r="C176" i="3"/>
  <c r="L176" i="3"/>
  <c r="B176" i="3"/>
  <c r="D134" i="3"/>
  <c r="M134" i="3"/>
  <c r="L134" i="3"/>
  <c r="K134" i="3"/>
  <c r="F134" i="3"/>
  <c r="J134" i="3"/>
  <c r="E134" i="3"/>
  <c r="B134" i="3"/>
  <c r="C134" i="3"/>
  <c r="F235" i="3"/>
  <c r="E235" i="3"/>
  <c r="D235" i="3"/>
  <c r="B235" i="3"/>
  <c r="C235" i="3"/>
  <c r="M235" i="3"/>
  <c r="L235" i="3"/>
  <c r="J235" i="3"/>
  <c r="K235" i="3"/>
  <c r="F274" i="3"/>
  <c r="E274" i="3"/>
  <c r="C274" i="3"/>
  <c r="B274" i="3"/>
  <c r="L274" i="3"/>
  <c r="D274" i="3"/>
  <c r="J274" i="3"/>
  <c r="M274" i="3"/>
  <c r="K274" i="3"/>
  <c r="G178" i="3"/>
  <c r="H181" i="3"/>
  <c r="I181" i="3"/>
  <c r="G181" i="3"/>
  <c r="C208" i="3"/>
  <c r="B208" i="3"/>
  <c r="M208" i="3"/>
  <c r="L208" i="3"/>
  <c r="F208" i="3"/>
  <c r="K208" i="3"/>
  <c r="J208" i="3"/>
  <c r="E208" i="3"/>
  <c r="D208" i="3"/>
  <c r="D185" i="3"/>
  <c r="M185" i="3"/>
  <c r="L185" i="3"/>
  <c r="F185" i="3"/>
  <c r="E185" i="3"/>
  <c r="C185" i="3"/>
  <c r="B185" i="3"/>
  <c r="K185" i="3"/>
  <c r="J185" i="3"/>
  <c r="D237" i="3"/>
  <c r="C237" i="3"/>
  <c r="L237" i="3"/>
  <c r="K237" i="3"/>
  <c r="F237" i="3"/>
  <c r="E237" i="3"/>
  <c r="B237" i="3"/>
  <c r="M237" i="3"/>
  <c r="J237" i="3"/>
  <c r="H206" i="3"/>
  <c r="G206" i="3"/>
  <c r="I206" i="3"/>
  <c r="B37" i="3"/>
  <c r="L37" i="3"/>
  <c r="K37" i="3"/>
  <c r="J37" i="3"/>
  <c r="F37" i="3"/>
  <c r="E37" i="3"/>
  <c r="D37" i="3"/>
  <c r="C37" i="3"/>
  <c r="M37" i="3"/>
  <c r="M101" i="3"/>
  <c r="L101" i="3"/>
  <c r="K101" i="3"/>
  <c r="J101" i="3"/>
  <c r="E101" i="3"/>
  <c r="D101" i="3"/>
  <c r="F101" i="3"/>
  <c r="B101" i="3"/>
  <c r="C101" i="3"/>
  <c r="L256" i="3"/>
  <c r="E256" i="3"/>
  <c r="D256" i="3"/>
  <c r="B256" i="3"/>
  <c r="K256" i="3"/>
  <c r="M256" i="3"/>
  <c r="J256" i="3"/>
  <c r="F256" i="3"/>
  <c r="C256" i="3"/>
  <c r="E113" i="3"/>
  <c r="M113" i="3"/>
  <c r="L113" i="3"/>
  <c r="K113" i="3"/>
  <c r="J113" i="3"/>
  <c r="F113" i="3"/>
  <c r="D113" i="3"/>
  <c r="C113" i="3"/>
  <c r="B113" i="3"/>
  <c r="F262" i="3"/>
  <c r="C262" i="3"/>
  <c r="B262" i="3"/>
  <c r="D262" i="3"/>
  <c r="L262" i="3"/>
  <c r="E262" i="3"/>
  <c r="J262" i="3"/>
  <c r="M262" i="3"/>
  <c r="K262" i="3"/>
  <c r="B25" i="3"/>
  <c r="L25" i="3"/>
  <c r="K25" i="3"/>
  <c r="J25" i="3"/>
  <c r="M25" i="3"/>
  <c r="F25" i="3"/>
  <c r="E25" i="3"/>
  <c r="D25" i="3"/>
  <c r="C25" i="3"/>
  <c r="B302" i="3"/>
  <c r="M302" i="3"/>
  <c r="K302" i="3"/>
  <c r="J302" i="3"/>
  <c r="D302" i="3"/>
  <c r="C302" i="3"/>
  <c r="L302" i="3"/>
  <c r="F302" i="3"/>
  <c r="E302" i="3"/>
  <c r="M93" i="3"/>
  <c r="L93" i="3"/>
  <c r="K93" i="3"/>
  <c r="J93" i="3"/>
  <c r="D93" i="3"/>
  <c r="F93" i="3"/>
  <c r="C93" i="3"/>
  <c r="E93" i="3"/>
  <c r="B93" i="3"/>
  <c r="C135" i="3"/>
  <c r="B135" i="3"/>
  <c r="M135" i="3"/>
  <c r="L135" i="3"/>
  <c r="F135" i="3"/>
  <c r="E135" i="3"/>
  <c r="D135" i="3"/>
  <c r="K135" i="3"/>
  <c r="J135" i="3"/>
  <c r="D122" i="3"/>
  <c r="M122" i="3"/>
  <c r="L122" i="3"/>
  <c r="K122" i="3"/>
  <c r="J122" i="3"/>
  <c r="C122" i="3"/>
  <c r="B122" i="3"/>
  <c r="E122" i="3"/>
  <c r="F122" i="3"/>
  <c r="E109" i="3"/>
  <c r="J109" i="3"/>
  <c r="F109" i="3"/>
  <c r="D109" i="3"/>
  <c r="M109" i="3"/>
  <c r="K109" i="3"/>
  <c r="L109" i="3"/>
  <c r="C109" i="3"/>
  <c r="B109" i="3"/>
  <c r="D182" i="3"/>
  <c r="C182" i="3"/>
  <c r="F182" i="3"/>
  <c r="J182" i="3"/>
  <c r="E182" i="3"/>
  <c r="B182" i="3"/>
  <c r="M182" i="3"/>
  <c r="L182" i="3"/>
  <c r="K182" i="3"/>
  <c r="E275" i="3"/>
  <c r="D275" i="3"/>
  <c r="B275" i="3"/>
  <c r="M275" i="3"/>
  <c r="K275" i="3"/>
  <c r="J275" i="3"/>
  <c r="L275" i="3"/>
  <c r="F275" i="3"/>
  <c r="C275" i="3"/>
  <c r="C36" i="3"/>
  <c r="M36" i="3"/>
  <c r="L36" i="3"/>
  <c r="K36" i="3"/>
  <c r="B36" i="3"/>
  <c r="J36" i="3"/>
  <c r="F36" i="3"/>
  <c r="E36" i="3"/>
  <c r="D36" i="3"/>
  <c r="F192" i="3"/>
  <c r="E192" i="3"/>
  <c r="M192" i="3"/>
  <c r="B192" i="3"/>
  <c r="K192" i="3"/>
  <c r="J192" i="3"/>
  <c r="D192" i="3"/>
  <c r="C192" i="3"/>
  <c r="L192" i="3"/>
  <c r="D146" i="3"/>
  <c r="C146" i="3"/>
  <c r="B146" i="3"/>
  <c r="M146" i="3"/>
  <c r="F146" i="3"/>
  <c r="E146" i="3"/>
  <c r="L146" i="3"/>
  <c r="K146" i="3"/>
  <c r="J146" i="3"/>
  <c r="J219" i="3"/>
  <c r="F219" i="3"/>
  <c r="D219" i="3"/>
  <c r="C219" i="3"/>
  <c r="M219" i="3"/>
  <c r="E219" i="3"/>
  <c r="K219" i="3"/>
  <c r="L219" i="3"/>
  <c r="B219" i="3"/>
  <c r="E56" i="3"/>
  <c r="D56" i="3"/>
  <c r="C56" i="3"/>
  <c r="K56" i="3"/>
  <c r="J56" i="3"/>
  <c r="F56" i="3"/>
  <c r="B56" i="3"/>
  <c r="M56" i="3"/>
  <c r="L56" i="3"/>
  <c r="L102" i="3"/>
  <c r="M102" i="3"/>
  <c r="K102" i="3"/>
  <c r="J102" i="3"/>
  <c r="E102" i="3"/>
  <c r="D102" i="3"/>
  <c r="C102" i="3"/>
  <c r="B102" i="3"/>
  <c r="F102" i="3"/>
  <c r="C162" i="3"/>
  <c r="L162" i="3"/>
  <c r="K162" i="3"/>
  <c r="E162" i="3"/>
  <c r="F162" i="3"/>
  <c r="D162" i="3"/>
  <c r="B162" i="3"/>
  <c r="M162" i="3"/>
  <c r="J162" i="3"/>
  <c r="F271" i="3"/>
  <c r="E271" i="3"/>
  <c r="K271" i="3"/>
  <c r="J271" i="3"/>
  <c r="D271" i="3"/>
  <c r="C271" i="3"/>
  <c r="B271" i="3"/>
  <c r="M271" i="3"/>
  <c r="L271" i="3"/>
  <c r="K64" i="3"/>
  <c r="L64" i="3"/>
  <c r="M64" i="3"/>
  <c r="J64" i="3"/>
  <c r="E64" i="3"/>
  <c r="F64" i="3"/>
  <c r="C64" i="3"/>
  <c r="D64" i="3"/>
  <c r="B64" i="3"/>
  <c r="D197" i="3"/>
  <c r="C197" i="3"/>
  <c r="M197" i="3"/>
  <c r="L197" i="3"/>
  <c r="B197" i="3"/>
  <c r="E197" i="3"/>
  <c r="K197" i="3"/>
  <c r="J197" i="3"/>
  <c r="F197" i="3"/>
  <c r="F33" i="3"/>
  <c r="D33" i="3"/>
  <c r="C33" i="3"/>
  <c r="B33" i="3"/>
  <c r="E33" i="3"/>
  <c r="L33" i="3"/>
  <c r="M33" i="3"/>
  <c r="J33" i="3"/>
  <c r="K33" i="3"/>
  <c r="F43" i="3"/>
  <c r="E43" i="3"/>
  <c r="D43" i="3"/>
  <c r="M43" i="3"/>
  <c r="L43" i="3"/>
  <c r="K43" i="3"/>
  <c r="J43" i="3"/>
  <c r="B43" i="3"/>
  <c r="C43" i="3"/>
  <c r="J258" i="3"/>
  <c r="F258" i="3"/>
  <c r="L258" i="3"/>
  <c r="K258" i="3"/>
  <c r="E258" i="3"/>
  <c r="B258" i="3"/>
  <c r="M258" i="3"/>
  <c r="D258" i="3"/>
  <c r="C258" i="3"/>
  <c r="J17" i="3"/>
  <c r="F17" i="3"/>
  <c r="M17" i="3"/>
  <c r="K17" i="3"/>
  <c r="L17" i="3"/>
  <c r="E17" i="3"/>
  <c r="D17" i="3"/>
  <c r="B17" i="3"/>
  <c r="C17" i="3"/>
  <c r="J92" i="3"/>
  <c r="M92" i="3"/>
  <c r="L92" i="3"/>
  <c r="K92" i="3"/>
  <c r="D92" i="3"/>
  <c r="C92" i="3"/>
  <c r="B92" i="3"/>
  <c r="F92" i="3"/>
  <c r="E92" i="3"/>
  <c r="B187" i="3"/>
  <c r="M187" i="3"/>
  <c r="K187" i="3"/>
  <c r="J187" i="3"/>
  <c r="F187" i="3"/>
  <c r="D187" i="3"/>
  <c r="C187" i="3"/>
  <c r="L187" i="3"/>
  <c r="E187" i="3"/>
  <c r="L205" i="3"/>
  <c r="C205" i="3"/>
  <c r="B205" i="3"/>
  <c r="M205" i="3"/>
  <c r="K205" i="3"/>
  <c r="J205" i="3"/>
  <c r="F205" i="3"/>
  <c r="E205" i="3"/>
  <c r="D205" i="3"/>
  <c r="J108" i="3"/>
  <c r="F108" i="3"/>
  <c r="E108" i="3"/>
  <c r="D108" i="3"/>
  <c r="C108" i="3"/>
  <c r="M108" i="3"/>
  <c r="L108" i="3"/>
  <c r="K108" i="3"/>
  <c r="B108" i="3"/>
  <c r="K221" i="3"/>
  <c r="J221" i="3"/>
  <c r="F221" i="3"/>
  <c r="E221" i="3"/>
  <c r="L221" i="3"/>
  <c r="D221" i="3"/>
  <c r="C221" i="3"/>
  <c r="B221" i="3"/>
  <c r="M221" i="3"/>
  <c r="F67" i="3"/>
  <c r="E67" i="3"/>
  <c r="D67" i="3"/>
  <c r="L67" i="3"/>
  <c r="M67" i="3"/>
  <c r="K67" i="3"/>
  <c r="J67" i="3"/>
  <c r="B67" i="3"/>
  <c r="C67" i="3"/>
  <c r="C147" i="3"/>
  <c r="E147" i="3"/>
  <c r="D147" i="3"/>
  <c r="B147" i="3"/>
  <c r="J147" i="3"/>
  <c r="M147" i="3"/>
  <c r="L147" i="3"/>
  <c r="K147" i="3"/>
  <c r="F147" i="3"/>
  <c r="J207" i="3"/>
  <c r="C207" i="3"/>
  <c r="B207" i="3"/>
  <c r="M207" i="3"/>
  <c r="L207" i="3"/>
  <c r="K207" i="3"/>
  <c r="F207" i="3"/>
  <c r="E207" i="3"/>
  <c r="D207" i="3"/>
  <c r="D110" i="3"/>
  <c r="K110" i="3"/>
  <c r="J110" i="3"/>
  <c r="F110" i="3"/>
  <c r="M110" i="3"/>
  <c r="E110" i="3"/>
  <c r="L110" i="3"/>
  <c r="C110" i="3"/>
  <c r="B110" i="3"/>
  <c r="K119" i="3"/>
  <c r="F119" i="3"/>
  <c r="E119" i="3"/>
  <c r="D119" i="3"/>
  <c r="M119" i="3"/>
  <c r="C119" i="3"/>
  <c r="L119" i="3"/>
  <c r="J119" i="3"/>
  <c r="B119" i="3"/>
  <c r="M129" i="3"/>
  <c r="F129" i="3"/>
  <c r="E129" i="3"/>
  <c r="D129" i="3"/>
  <c r="L129" i="3"/>
  <c r="J129" i="3"/>
  <c r="B129" i="3"/>
  <c r="K129" i="3"/>
  <c r="C129" i="3"/>
  <c r="E224" i="3"/>
  <c r="D224" i="3"/>
  <c r="M224" i="3"/>
  <c r="K224" i="3"/>
  <c r="J224" i="3"/>
  <c r="L224" i="3"/>
  <c r="F224" i="3"/>
  <c r="C224" i="3"/>
  <c r="B224" i="3"/>
  <c r="B242" i="3"/>
  <c r="K242" i="3"/>
  <c r="J242" i="3"/>
  <c r="L242" i="3"/>
  <c r="F242" i="3"/>
  <c r="M242" i="3"/>
  <c r="E242" i="3"/>
  <c r="D242" i="3"/>
  <c r="C242" i="3"/>
  <c r="L268" i="3"/>
  <c r="K268" i="3"/>
  <c r="M268" i="3"/>
  <c r="F268" i="3"/>
  <c r="J268" i="3"/>
  <c r="B268" i="3"/>
  <c r="E268" i="3"/>
  <c r="D268" i="3"/>
  <c r="C268" i="3"/>
  <c r="C277" i="3"/>
  <c r="B277" i="3"/>
  <c r="L277" i="3"/>
  <c r="K277" i="3"/>
  <c r="E277" i="3"/>
  <c r="D277" i="3"/>
  <c r="M277" i="3"/>
  <c r="J277" i="3"/>
  <c r="F277" i="3"/>
  <c r="M228" i="3"/>
  <c r="L228" i="3"/>
  <c r="F228" i="3"/>
  <c r="E228" i="3"/>
  <c r="C228" i="3"/>
  <c r="B228" i="3"/>
  <c r="D228" i="3"/>
  <c r="K228" i="3"/>
  <c r="J228" i="3"/>
  <c r="C111" i="3"/>
  <c r="L111" i="3"/>
  <c r="K111" i="3"/>
  <c r="J111" i="3"/>
  <c r="B111" i="3"/>
  <c r="M111" i="3"/>
  <c r="F111" i="3"/>
  <c r="E111" i="3"/>
  <c r="D111" i="3"/>
  <c r="D71" i="3"/>
  <c r="C71" i="3"/>
  <c r="B71" i="3"/>
  <c r="M71" i="3"/>
  <c r="L71" i="3"/>
  <c r="F71" i="3"/>
  <c r="E71" i="3"/>
  <c r="K71" i="3"/>
  <c r="J71" i="3"/>
  <c r="E68" i="3"/>
  <c r="D68" i="3"/>
  <c r="C68" i="3"/>
  <c r="K68" i="3"/>
  <c r="M68" i="3"/>
  <c r="L68" i="3"/>
  <c r="J68" i="3"/>
  <c r="B68" i="3"/>
  <c r="F68" i="3"/>
  <c r="C202" i="3"/>
  <c r="B202" i="3"/>
  <c r="L202" i="3"/>
  <c r="K202" i="3"/>
  <c r="M202" i="3"/>
  <c r="F202" i="3"/>
  <c r="E202" i="3"/>
  <c r="D202" i="3"/>
  <c r="J202" i="3"/>
  <c r="D150" i="3"/>
  <c r="L150" i="3"/>
  <c r="F150" i="3"/>
  <c r="E150" i="3"/>
  <c r="M150" i="3"/>
  <c r="K150" i="3"/>
  <c r="C150" i="3"/>
  <c r="J150" i="3"/>
  <c r="B150" i="3"/>
  <c r="B73" i="3"/>
  <c r="M73" i="3"/>
  <c r="L73" i="3"/>
  <c r="K73" i="3"/>
  <c r="J73" i="3"/>
  <c r="F73" i="3"/>
  <c r="E73" i="3"/>
  <c r="D73" i="3"/>
  <c r="C73" i="3"/>
  <c r="D138" i="3"/>
  <c r="L138" i="3"/>
  <c r="F138" i="3"/>
  <c r="E138" i="3"/>
  <c r="C138" i="3"/>
  <c r="B138" i="3"/>
  <c r="K138" i="3"/>
  <c r="J138" i="3"/>
  <c r="M138" i="3"/>
  <c r="F286" i="3"/>
  <c r="E286" i="3"/>
  <c r="C286" i="3"/>
  <c r="B286" i="3"/>
  <c r="L286" i="3"/>
  <c r="K286" i="3"/>
  <c r="J286" i="3"/>
  <c r="M286" i="3"/>
  <c r="D286" i="3"/>
  <c r="K230" i="3"/>
  <c r="J230" i="3"/>
  <c r="E230" i="3"/>
  <c r="D230" i="3"/>
  <c r="M230" i="3"/>
  <c r="L230" i="3"/>
  <c r="F230" i="3"/>
  <c r="C230" i="3"/>
  <c r="B230" i="3"/>
  <c r="E184" i="3"/>
  <c r="B184" i="3"/>
  <c r="M184" i="3"/>
  <c r="K184" i="3"/>
  <c r="C184" i="3"/>
  <c r="L184" i="3"/>
  <c r="J184" i="3"/>
  <c r="D184" i="3"/>
  <c r="F184" i="3"/>
  <c r="C84" i="3"/>
  <c r="B84" i="3"/>
  <c r="M84" i="3"/>
  <c r="L84" i="3"/>
  <c r="K84" i="3"/>
  <c r="F84" i="3"/>
  <c r="E84" i="3"/>
  <c r="D84" i="3"/>
  <c r="J84" i="3"/>
  <c r="L165" i="3"/>
  <c r="C165" i="3"/>
  <c r="M165" i="3"/>
  <c r="F165" i="3"/>
  <c r="E165" i="3"/>
  <c r="D165" i="3"/>
  <c r="B165" i="3"/>
  <c r="K165" i="3"/>
  <c r="J165" i="3"/>
  <c r="M141" i="3"/>
  <c r="K141" i="3"/>
  <c r="J141" i="3"/>
  <c r="F141" i="3"/>
  <c r="B141" i="3"/>
  <c r="E141" i="3"/>
  <c r="L141" i="3"/>
  <c r="D141" i="3"/>
  <c r="C141" i="3"/>
  <c r="C210" i="3"/>
  <c r="B210" i="3"/>
  <c r="M210" i="3"/>
  <c r="L210" i="3"/>
  <c r="K210" i="3"/>
  <c r="E210" i="3"/>
  <c r="D210" i="3"/>
  <c r="F210" i="3"/>
  <c r="J210" i="3"/>
  <c r="L39" i="3"/>
  <c r="J39" i="3"/>
  <c r="M39" i="3"/>
  <c r="K39" i="3"/>
  <c r="F39" i="3"/>
  <c r="D39" i="3"/>
  <c r="E39" i="3"/>
  <c r="C39" i="3"/>
  <c r="B39" i="3"/>
  <c r="M26" i="3"/>
  <c r="K26" i="3"/>
  <c r="J26" i="3"/>
  <c r="E26" i="3"/>
  <c r="D26" i="3"/>
  <c r="B26" i="3"/>
  <c r="C26" i="3"/>
  <c r="L26" i="3"/>
  <c r="F26" i="3"/>
  <c r="B215" i="3"/>
  <c r="D215" i="3"/>
  <c r="C215" i="3"/>
  <c r="M215" i="3"/>
  <c r="L215" i="3"/>
  <c r="E215" i="3"/>
  <c r="K215" i="3"/>
  <c r="J215" i="3"/>
  <c r="F215" i="3"/>
  <c r="M255" i="3"/>
  <c r="J255" i="3"/>
  <c r="C255" i="3"/>
  <c r="B255" i="3"/>
  <c r="E255" i="3"/>
  <c r="D255" i="3"/>
  <c r="L255" i="3"/>
  <c r="K255" i="3"/>
  <c r="F255" i="3"/>
  <c r="C99" i="3"/>
  <c r="M99" i="3"/>
  <c r="L99" i="3"/>
  <c r="K99" i="3"/>
  <c r="J99" i="3"/>
  <c r="E99" i="3"/>
  <c r="F99" i="3"/>
  <c r="D99" i="3"/>
  <c r="B99" i="3"/>
  <c r="C48" i="3"/>
  <c r="M48" i="3"/>
  <c r="L48" i="3"/>
  <c r="K48" i="3"/>
  <c r="F48" i="3"/>
  <c r="E48" i="3"/>
  <c r="D48" i="3"/>
  <c r="B48" i="3"/>
  <c r="J48" i="3"/>
  <c r="E157" i="3"/>
  <c r="D157" i="3"/>
  <c r="C157" i="3"/>
  <c r="B157" i="3"/>
  <c r="J157" i="3"/>
  <c r="F157" i="3"/>
  <c r="M157" i="3"/>
  <c r="L157" i="3"/>
  <c r="K157" i="3"/>
  <c r="K190" i="3"/>
  <c r="J190" i="3"/>
  <c r="C190" i="3"/>
  <c r="F190" i="3"/>
  <c r="E190" i="3"/>
  <c r="D190" i="3"/>
  <c r="B190" i="3"/>
  <c r="M190" i="3"/>
  <c r="L190" i="3"/>
  <c r="B140" i="3"/>
  <c r="J140" i="3"/>
  <c r="F140" i="3"/>
  <c r="E140" i="3"/>
  <c r="M140" i="3"/>
  <c r="K140" i="3"/>
  <c r="L140" i="3"/>
  <c r="D140" i="3"/>
  <c r="C140" i="3"/>
  <c r="M303" i="3"/>
  <c r="L303" i="3"/>
  <c r="J303" i="3"/>
  <c r="F303" i="3"/>
  <c r="D303" i="3"/>
  <c r="C303" i="3"/>
  <c r="E303" i="3"/>
  <c r="B303" i="3"/>
  <c r="K303" i="3"/>
  <c r="M204" i="3"/>
  <c r="C204" i="3"/>
  <c r="B204" i="3"/>
  <c r="L204" i="3"/>
  <c r="K204" i="3"/>
  <c r="E204" i="3"/>
  <c r="D204" i="3"/>
  <c r="J204" i="3"/>
  <c r="F204" i="3"/>
  <c r="L130" i="3"/>
  <c r="J130" i="3"/>
  <c r="F130" i="3"/>
  <c r="E130" i="3"/>
  <c r="M130" i="3"/>
  <c r="K130" i="3"/>
  <c r="D130" i="3"/>
  <c r="C130" i="3"/>
  <c r="B130" i="3"/>
  <c r="D173" i="3"/>
  <c r="M173" i="3"/>
  <c r="L173" i="3"/>
  <c r="J173" i="3"/>
  <c r="F173" i="3"/>
  <c r="K173" i="3"/>
  <c r="E173" i="3"/>
  <c r="C173" i="3"/>
  <c r="B173" i="3"/>
  <c r="M86" i="3"/>
  <c r="L86" i="3"/>
  <c r="K86" i="3"/>
  <c r="J86" i="3"/>
  <c r="E86" i="3"/>
  <c r="D86" i="3"/>
  <c r="C86" i="3"/>
  <c r="B86" i="3"/>
  <c r="F86" i="3"/>
  <c r="L51" i="3"/>
  <c r="J51" i="3"/>
  <c r="D51" i="3"/>
  <c r="C51" i="3"/>
  <c r="B51" i="3"/>
  <c r="K51" i="3"/>
  <c r="F51" i="3"/>
  <c r="M51" i="3"/>
  <c r="E51" i="3"/>
  <c r="M243" i="3"/>
  <c r="J243" i="3"/>
  <c r="K243" i="3"/>
  <c r="L243" i="3"/>
  <c r="F243" i="3"/>
  <c r="E243" i="3"/>
  <c r="D243" i="3"/>
  <c r="C243" i="3"/>
  <c r="B243" i="3"/>
  <c r="D161" i="3"/>
  <c r="M161" i="3"/>
  <c r="L161" i="3"/>
  <c r="B161" i="3"/>
  <c r="K161" i="3"/>
  <c r="J161" i="3"/>
  <c r="F161" i="3"/>
  <c r="E161" i="3"/>
  <c r="C161" i="3"/>
  <c r="E133" i="3"/>
  <c r="M133" i="3"/>
  <c r="L133" i="3"/>
  <c r="K133" i="3"/>
  <c r="J133" i="3"/>
  <c r="D133" i="3"/>
  <c r="C133" i="3"/>
  <c r="B133" i="3"/>
  <c r="F133" i="3"/>
  <c r="C186" i="3"/>
  <c r="L186" i="3"/>
  <c r="K186" i="3"/>
  <c r="B186" i="3"/>
  <c r="M186" i="3"/>
  <c r="J186" i="3"/>
  <c r="D186" i="3"/>
  <c r="F186" i="3"/>
  <c r="E186" i="3"/>
  <c r="C265" i="3"/>
  <c r="L265" i="3"/>
  <c r="K265" i="3"/>
  <c r="M265" i="3"/>
  <c r="J265" i="3"/>
  <c r="B265" i="3"/>
  <c r="F265" i="3"/>
  <c r="E265" i="3"/>
  <c r="D265" i="3"/>
  <c r="D225" i="3"/>
  <c r="C225" i="3"/>
  <c r="L225" i="3"/>
  <c r="K225" i="3"/>
  <c r="M225" i="3"/>
  <c r="B225" i="3"/>
  <c r="F225" i="3"/>
  <c r="E225" i="3"/>
  <c r="J225" i="3"/>
  <c r="F298" i="3"/>
  <c r="E298" i="3"/>
  <c r="C298" i="3"/>
  <c r="B298" i="3"/>
  <c r="M298" i="3"/>
  <c r="L298" i="3"/>
  <c r="J298" i="3"/>
  <c r="K298" i="3"/>
  <c r="D298" i="3"/>
  <c r="D126" i="3"/>
  <c r="L126" i="3"/>
  <c r="E126" i="3"/>
  <c r="C126" i="3"/>
  <c r="B126" i="3"/>
  <c r="F126" i="3"/>
  <c r="M126" i="3"/>
  <c r="K126" i="3"/>
  <c r="J126" i="3"/>
  <c r="K143" i="3"/>
  <c r="M143" i="3"/>
  <c r="L143" i="3"/>
  <c r="J143" i="3"/>
  <c r="D143" i="3"/>
  <c r="F143" i="3"/>
  <c r="C143" i="3"/>
  <c r="E143" i="3"/>
  <c r="B143" i="3"/>
  <c r="M117" i="3"/>
  <c r="F117" i="3"/>
  <c r="E117" i="3"/>
  <c r="D117" i="3"/>
  <c r="C117" i="3"/>
  <c r="B117" i="3"/>
  <c r="K117" i="3"/>
  <c r="J117" i="3"/>
  <c r="L117" i="3"/>
  <c r="K28" i="3"/>
  <c r="L28" i="3"/>
  <c r="M28" i="3"/>
  <c r="J28" i="3"/>
  <c r="E28" i="3"/>
  <c r="F28" i="3"/>
  <c r="C28" i="3"/>
  <c r="B28" i="3"/>
  <c r="D28" i="3"/>
  <c r="E239" i="3"/>
  <c r="B239" i="3"/>
  <c r="M239" i="3"/>
  <c r="C239" i="3"/>
  <c r="L239" i="3"/>
  <c r="F239" i="3"/>
  <c r="D239" i="3"/>
  <c r="J239" i="3"/>
  <c r="K239" i="3"/>
  <c r="E149" i="3"/>
  <c r="M149" i="3"/>
  <c r="F149" i="3"/>
  <c r="D149" i="3"/>
  <c r="C149" i="3"/>
  <c r="L149" i="3"/>
  <c r="K149" i="3"/>
  <c r="J149" i="3"/>
  <c r="B149" i="3"/>
  <c r="D35" i="3"/>
  <c r="B35" i="3"/>
  <c r="M35" i="3"/>
  <c r="L35" i="3"/>
  <c r="J35" i="3"/>
  <c r="K35" i="3"/>
  <c r="F35" i="3"/>
  <c r="C35" i="3"/>
  <c r="E35" i="3"/>
  <c r="F112" i="3"/>
  <c r="B112" i="3"/>
  <c r="M112" i="3"/>
  <c r="L112" i="3"/>
  <c r="K112" i="3"/>
  <c r="J112" i="3"/>
  <c r="D112" i="3"/>
  <c r="E112" i="3"/>
  <c r="C112" i="3"/>
  <c r="E32" i="3"/>
  <c r="D32" i="3"/>
  <c r="C32" i="3"/>
  <c r="M32" i="3"/>
  <c r="L32" i="3"/>
  <c r="K32" i="3"/>
  <c r="J32" i="3"/>
  <c r="F32" i="3"/>
  <c r="B32" i="3"/>
  <c r="E296" i="3"/>
  <c r="D296" i="3"/>
  <c r="J296" i="3"/>
  <c r="C296" i="3"/>
  <c r="B296" i="3"/>
  <c r="L296" i="3"/>
  <c r="M296" i="3"/>
  <c r="K296" i="3"/>
  <c r="F296" i="3"/>
  <c r="F295" i="3"/>
  <c r="E295" i="3"/>
  <c r="C295" i="3"/>
  <c r="B295" i="3"/>
  <c r="K295" i="3"/>
  <c r="D295" i="3"/>
  <c r="M295" i="3"/>
  <c r="L295" i="3"/>
  <c r="J295" i="3"/>
  <c r="E193" i="3"/>
  <c r="D193" i="3"/>
  <c r="L193" i="3"/>
  <c r="K193" i="3"/>
  <c r="J193" i="3"/>
  <c r="F193" i="3"/>
  <c r="C193" i="3"/>
  <c r="M193" i="3"/>
  <c r="B193" i="3"/>
  <c r="J53" i="3"/>
  <c r="F53" i="3"/>
  <c r="K53" i="3"/>
  <c r="M53" i="3"/>
  <c r="L53" i="3"/>
  <c r="E53" i="3"/>
  <c r="D53" i="3"/>
  <c r="B53" i="3"/>
  <c r="C53" i="3"/>
  <c r="F283" i="3"/>
  <c r="E283" i="3"/>
  <c r="L283" i="3"/>
  <c r="K283" i="3"/>
  <c r="C283" i="3"/>
  <c r="J283" i="3"/>
  <c r="D283" i="3"/>
  <c r="B283" i="3"/>
  <c r="M283" i="3"/>
  <c r="E272" i="3"/>
  <c r="D272" i="3"/>
  <c r="M272" i="3"/>
  <c r="K272" i="3"/>
  <c r="J272" i="3"/>
  <c r="L272" i="3"/>
  <c r="B272" i="3"/>
  <c r="F272" i="3"/>
  <c r="C272" i="3"/>
  <c r="J156" i="3"/>
  <c r="F156" i="3"/>
  <c r="C156" i="3"/>
  <c r="B156" i="3"/>
  <c r="M156" i="3"/>
  <c r="L156" i="3"/>
  <c r="K156" i="3"/>
  <c r="D156" i="3"/>
  <c r="E156" i="3"/>
  <c r="E22" i="3"/>
  <c r="C22" i="3"/>
  <c r="B22" i="3"/>
  <c r="M22" i="3"/>
  <c r="D22" i="3"/>
  <c r="K22" i="3"/>
  <c r="L22" i="3"/>
  <c r="J22" i="3"/>
  <c r="F22" i="3"/>
  <c r="E44" i="3"/>
  <c r="D44" i="3"/>
  <c r="C44" i="3"/>
  <c r="F44" i="3"/>
  <c r="B44" i="3"/>
  <c r="M44" i="3"/>
  <c r="K44" i="3"/>
  <c r="J44" i="3"/>
  <c r="L44" i="3"/>
  <c r="F55" i="3"/>
  <c r="E55" i="3"/>
  <c r="D55" i="3"/>
  <c r="C55" i="3"/>
  <c r="B55" i="3"/>
  <c r="L55" i="3"/>
  <c r="M55" i="3"/>
  <c r="J55" i="3"/>
  <c r="K55" i="3"/>
  <c r="F238" i="3"/>
  <c r="C238" i="3"/>
  <c r="B238" i="3"/>
  <c r="M238" i="3"/>
  <c r="K238" i="3"/>
  <c r="J238" i="3"/>
  <c r="L238" i="3"/>
  <c r="E238" i="3"/>
  <c r="D238" i="3"/>
  <c r="K269" i="3"/>
  <c r="J269" i="3"/>
  <c r="M269" i="3"/>
  <c r="B269" i="3"/>
  <c r="F269" i="3"/>
  <c r="E269" i="3"/>
  <c r="D269" i="3"/>
  <c r="C269" i="3"/>
  <c r="L269" i="3"/>
  <c r="K155" i="3"/>
  <c r="B155" i="3"/>
  <c r="M155" i="3"/>
  <c r="L155" i="3"/>
  <c r="F155" i="3"/>
  <c r="E155" i="3"/>
  <c r="D155" i="3"/>
  <c r="C155" i="3"/>
  <c r="J155" i="3"/>
  <c r="J234" i="3"/>
  <c r="F234" i="3"/>
  <c r="C234" i="3"/>
  <c r="B234" i="3"/>
  <c r="M234" i="3"/>
  <c r="L234" i="3"/>
  <c r="K234" i="3"/>
  <c r="D234" i="3"/>
  <c r="E234" i="3"/>
  <c r="L232" i="3"/>
  <c r="M232" i="3"/>
  <c r="J232" i="3"/>
  <c r="K232" i="3"/>
  <c r="F232" i="3"/>
  <c r="E232" i="3"/>
  <c r="D232" i="3"/>
  <c r="C232" i="3"/>
  <c r="B232" i="3"/>
  <c r="B203" i="3"/>
  <c r="C203" i="3"/>
  <c r="L203" i="3"/>
  <c r="K203" i="3"/>
  <c r="M203" i="3"/>
  <c r="J203" i="3"/>
  <c r="D203" i="3"/>
  <c r="F203" i="3"/>
  <c r="E203" i="3"/>
  <c r="E58" i="3"/>
  <c r="C58" i="3"/>
  <c r="B58" i="3"/>
  <c r="M58" i="3"/>
  <c r="D58" i="3"/>
  <c r="K58" i="3"/>
  <c r="L58" i="3"/>
  <c r="J58" i="3"/>
  <c r="F58" i="3"/>
  <c r="L154" i="3"/>
  <c r="M154" i="3"/>
  <c r="K154" i="3"/>
  <c r="J154" i="3"/>
  <c r="E154" i="3"/>
  <c r="D154" i="3"/>
  <c r="F154" i="3"/>
  <c r="B154" i="3"/>
  <c r="C154" i="3"/>
  <c r="F66" i="3"/>
  <c r="E66" i="3"/>
  <c r="D66" i="3"/>
  <c r="C66" i="3"/>
  <c r="B66" i="3"/>
  <c r="M66" i="3"/>
  <c r="J66" i="3"/>
  <c r="L66" i="3"/>
  <c r="K66" i="3"/>
  <c r="C301" i="3"/>
  <c r="B301" i="3"/>
  <c r="L301" i="3"/>
  <c r="K301" i="3"/>
  <c r="J301" i="3"/>
  <c r="M301" i="3"/>
  <c r="E301" i="3"/>
  <c r="D301" i="3"/>
  <c r="F301" i="3"/>
  <c r="K131" i="3"/>
  <c r="L131" i="3"/>
  <c r="J131" i="3"/>
  <c r="F131" i="3"/>
  <c r="B131" i="3"/>
  <c r="M131" i="3"/>
  <c r="E131" i="3"/>
  <c r="D131" i="3"/>
  <c r="C131" i="3"/>
  <c r="I62" i="3"/>
  <c r="H62" i="3"/>
  <c r="G62" i="3"/>
  <c r="F199" i="3"/>
  <c r="B199" i="3"/>
  <c r="L199" i="3"/>
  <c r="K199" i="3"/>
  <c r="M199" i="3"/>
  <c r="E199" i="3"/>
  <c r="D199" i="3"/>
  <c r="C199" i="3"/>
  <c r="J199" i="3"/>
  <c r="D264" i="3"/>
  <c r="M264" i="3"/>
  <c r="L264" i="3"/>
  <c r="K264" i="3"/>
  <c r="J264" i="3"/>
  <c r="C264" i="3"/>
  <c r="B264" i="3"/>
  <c r="F264" i="3"/>
  <c r="E264" i="3"/>
  <c r="K218" i="3"/>
  <c r="J218" i="3"/>
  <c r="F218" i="3"/>
  <c r="E218" i="3"/>
  <c r="C218" i="3"/>
  <c r="B218" i="3"/>
  <c r="D218" i="3"/>
  <c r="M218" i="3"/>
  <c r="L218" i="3"/>
  <c r="K233" i="3"/>
  <c r="M233" i="3"/>
  <c r="L233" i="3"/>
  <c r="E233" i="3"/>
  <c r="C233" i="3"/>
  <c r="B233" i="3"/>
  <c r="J233" i="3"/>
  <c r="F233" i="3"/>
  <c r="D233" i="3"/>
  <c r="M291" i="3"/>
  <c r="L291" i="3"/>
  <c r="J291" i="3"/>
  <c r="C291" i="3"/>
  <c r="B291" i="3"/>
  <c r="F291" i="3"/>
  <c r="E291" i="3"/>
  <c r="D291" i="3"/>
  <c r="K291" i="3"/>
  <c r="C123" i="3"/>
  <c r="M123" i="3"/>
  <c r="L123" i="3"/>
  <c r="K123" i="3"/>
  <c r="J123" i="3"/>
  <c r="E123" i="3"/>
  <c r="F123" i="3"/>
  <c r="D123" i="3"/>
  <c r="B123" i="3"/>
  <c r="F259" i="3"/>
  <c r="E259" i="3"/>
  <c r="M259" i="3"/>
  <c r="K259" i="3"/>
  <c r="J259" i="3"/>
  <c r="C259" i="3"/>
  <c r="D259" i="3"/>
  <c r="B259" i="3"/>
  <c r="L259" i="3"/>
  <c r="F80" i="3"/>
  <c r="E80" i="3"/>
  <c r="D80" i="3"/>
  <c r="C80" i="3"/>
  <c r="K80" i="3"/>
  <c r="J80" i="3"/>
  <c r="B80" i="3"/>
  <c r="M80" i="3"/>
  <c r="L80" i="3"/>
  <c r="F30" i="3"/>
  <c r="E30" i="3"/>
  <c r="D30" i="3"/>
  <c r="C30" i="3"/>
  <c r="B30" i="3"/>
  <c r="M30" i="3"/>
  <c r="L30" i="3"/>
  <c r="K30" i="3"/>
  <c r="J30" i="3"/>
  <c r="K166" i="3"/>
  <c r="E166" i="3"/>
  <c r="F166" i="3"/>
  <c r="D166" i="3"/>
  <c r="C166" i="3"/>
  <c r="B166" i="3"/>
  <c r="M166" i="3"/>
  <c r="L166" i="3"/>
  <c r="J166" i="3"/>
  <c r="C253" i="3"/>
  <c r="L253" i="3"/>
  <c r="K253" i="3"/>
  <c r="M253" i="3"/>
  <c r="J253" i="3"/>
  <c r="B253" i="3"/>
  <c r="F253" i="3"/>
  <c r="D253" i="3"/>
  <c r="E253" i="3"/>
  <c r="F148" i="3"/>
  <c r="B148" i="3"/>
  <c r="E148" i="3"/>
  <c r="D148" i="3"/>
  <c r="C148" i="3"/>
  <c r="K148" i="3"/>
  <c r="J148" i="3"/>
  <c r="L148" i="3"/>
  <c r="M148" i="3"/>
  <c r="E212" i="3"/>
  <c r="C212" i="3"/>
  <c r="B212" i="3"/>
  <c r="M212" i="3"/>
  <c r="L212" i="3"/>
  <c r="K212" i="3"/>
  <c r="J212" i="3"/>
  <c r="D212" i="3"/>
  <c r="F212" i="3"/>
  <c r="K245" i="3"/>
  <c r="D245" i="3"/>
  <c r="C245" i="3"/>
  <c r="J245" i="3"/>
  <c r="M245" i="3"/>
  <c r="L245" i="3"/>
  <c r="F245" i="3"/>
  <c r="E245" i="3"/>
  <c r="B245" i="3"/>
  <c r="E169" i="3"/>
  <c r="D169" i="3"/>
  <c r="J169" i="3"/>
  <c r="F169" i="3"/>
  <c r="C169" i="3"/>
  <c r="B169" i="3"/>
  <c r="L169" i="3"/>
  <c r="K169" i="3"/>
  <c r="M169" i="3"/>
  <c r="B100" i="3"/>
  <c r="M100" i="3"/>
  <c r="L100" i="3"/>
  <c r="K100" i="3"/>
  <c r="J100" i="3"/>
  <c r="E100" i="3"/>
  <c r="D100" i="3"/>
  <c r="C100" i="3"/>
  <c r="F100" i="3"/>
  <c r="F79" i="3"/>
  <c r="E79" i="3"/>
  <c r="D79" i="3"/>
  <c r="L79" i="3"/>
  <c r="M79" i="3"/>
  <c r="K79" i="3"/>
  <c r="B79" i="3"/>
  <c r="J79" i="3"/>
  <c r="C79" i="3"/>
  <c r="L177" i="3"/>
  <c r="F177" i="3"/>
  <c r="B177" i="3"/>
  <c r="M177" i="3"/>
  <c r="K177" i="3"/>
  <c r="D177" i="3"/>
  <c r="C177" i="3"/>
  <c r="J177" i="3"/>
  <c r="E177" i="3"/>
  <c r="D300" i="3"/>
  <c r="C300" i="3"/>
  <c r="M300" i="3"/>
  <c r="L300" i="3"/>
  <c r="J300" i="3"/>
  <c r="F300" i="3"/>
  <c r="K300" i="3"/>
  <c r="E300" i="3"/>
  <c r="B300" i="3"/>
  <c r="D23" i="3"/>
  <c r="B23" i="3"/>
  <c r="M23" i="3"/>
  <c r="L23" i="3"/>
  <c r="E23" i="3"/>
  <c r="F23" i="3"/>
  <c r="C23" i="3"/>
  <c r="K23" i="3"/>
  <c r="J23" i="3"/>
  <c r="C24" i="3"/>
  <c r="M24" i="3"/>
  <c r="L24" i="3"/>
  <c r="K24" i="3"/>
  <c r="J24" i="3"/>
  <c r="F24" i="3"/>
  <c r="E24" i="3"/>
  <c r="B24" i="3"/>
  <c r="D24" i="3"/>
  <c r="B278" i="3"/>
  <c r="M278" i="3"/>
  <c r="K278" i="3"/>
  <c r="J278" i="3"/>
  <c r="E278" i="3"/>
  <c r="D278" i="3"/>
  <c r="F278" i="3"/>
  <c r="L278" i="3"/>
  <c r="C278" i="3"/>
  <c r="F222" i="3"/>
  <c r="L222" i="3"/>
  <c r="K222" i="3"/>
  <c r="J222" i="3"/>
  <c r="M222" i="3"/>
  <c r="E222" i="3"/>
  <c r="D222" i="3"/>
  <c r="C222" i="3"/>
  <c r="B222" i="3"/>
  <c r="M188" i="3"/>
  <c r="L188" i="3"/>
  <c r="J188" i="3"/>
  <c r="K188" i="3"/>
  <c r="E188" i="3"/>
  <c r="F188" i="3"/>
  <c r="D188" i="3"/>
  <c r="C188" i="3"/>
  <c r="B188" i="3"/>
  <c r="I227" i="3"/>
  <c r="H227" i="3"/>
  <c r="G227" i="3"/>
  <c r="M50" i="3"/>
  <c r="K50" i="3"/>
  <c r="J50" i="3"/>
  <c r="L50" i="3"/>
  <c r="E50" i="3"/>
  <c r="F50" i="3"/>
  <c r="B50" i="3"/>
  <c r="D50" i="3"/>
  <c r="C50" i="3"/>
  <c r="C198" i="3"/>
  <c r="B198" i="3"/>
  <c r="L198" i="3"/>
  <c r="K198" i="3"/>
  <c r="J198" i="3"/>
  <c r="F198" i="3"/>
  <c r="E198" i="3"/>
  <c r="D198" i="3"/>
  <c r="M198" i="3"/>
  <c r="E287" i="3"/>
  <c r="D287" i="3"/>
  <c r="B287" i="3"/>
  <c r="M287" i="3"/>
  <c r="L287" i="3"/>
  <c r="K287" i="3"/>
  <c r="J287" i="3"/>
  <c r="C287" i="3"/>
  <c r="F287" i="3"/>
  <c r="E20" i="3"/>
  <c r="D20" i="3"/>
  <c r="C20" i="3"/>
  <c r="K20" i="3"/>
  <c r="J20" i="3"/>
  <c r="F20" i="3"/>
  <c r="B20" i="3"/>
  <c r="L20" i="3"/>
  <c r="M20" i="3"/>
  <c r="D252" i="3"/>
  <c r="M252" i="3"/>
  <c r="L252" i="3"/>
  <c r="F252" i="3"/>
  <c r="E252" i="3"/>
  <c r="K252" i="3"/>
  <c r="J252" i="3"/>
  <c r="C252" i="3"/>
  <c r="B252" i="3"/>
  <c r="F136" i="3"/>
  <c r="B136" i="3"/>
  <c r="D136" i="3"/>
  <c r="C136" i="3"/>
  <c r="M136" i="3"/>
  <c r="L136" i="3"/>
  <c r="K136" i="3"/>
  <c r="J136" i="3"/>
  <c r="E136" i="3"/>
  <c r="D114" i="3"/>
  <c r="L114" i="3"/>
  <c r="B114" i="3"/>
  <c r="M114" i="3"/>
  <c r="K114" i="3"/>
  <c r="J114" i="3"/>
  <c r="F114" i="3"/>
  <c r="C114" i="3"/>
  <c r="E114" i="3"/>
  <c r="D261" i="3"/>
  <c r="C261" i="3"/>
  <c r="E261" i="3"/>
  <c r="B261" i="3"/>
  <c r="K261" i="3"/>
  <c r="J261" i="3"/>
  <c r="F261" i="3"/>
  <c r="L261" i="3"/>
  <c r="M261" i="3"/>
  <c r="E46" i="3"/>
  <c r="C46" i="3"/>
  <c r="B46" i="3"/>
  <c r="M46" i="3"/>
  <c r="L46" i="3"/>
  <c r="K46" i="3"/>
  <c r="J46" i="3"/>
  <c r="D46" i="3"/>
  <c r="F46" i="3"/>
  <c r="J191" i="3"/>
  <c r="F191" i="3"/>
  <c r="B191" i="3"/>
  <c r="M191" i="3"/>
  <c r="L191" i="3"/>
  <c r="K191" i="3"/>
  <c r="E191" i="3"/>
  <c r="D191" i="3"/>
  <c r="C191" i="3"/>
  <c r="D288" i="3"/>
  <c r="C288" i="3"/>
  <c r="M288" i="3"/>
  <c r="L288" i="3"/>
  <c r="F288" i="3"/>
  <c r="E288" i="3"/>
  <c r="J288" i="3"/>
  <c r="K288" i="3"/>
  <c r="B288" i="3"/>
  <c r="H31" i="3"/>
  <c r="I31" i="3"/>
  <c r="G31" i="3"/>
  <c r="J294" i="3"/>
  <c r="F294" i="3"/>
  <c r="M294" i="3"/>
  <c r="L294" i="3"/>
  <c r="D294" i="3"/>
  <c r="C294" i="3"/>
  <c r="B294" i="3"/>
  <c r="K294" i="3"/>
  <c r="E294" i="3"/>
  <c r="D47" i="3"/>
  <c r="B47" i="3"/>
  <c r="M47" i="3"/>
  <c r="L47" i="3"/>
  <c r="C47" i="3"/>
  <c r="J47" i="3"/>
  <c r="K47" i="3"/>
  <c r="E47" i="3"/>
  <c r="F47" i="3"/>
  <c r="C72" i="3"/>
  <c r="B72" i="3"/>
  <c r="M72" i="3"/>
  <c r="L72" i="3"/>
  <c r="K72" i="3"/>
  <c r="J72" i="3"/>
  <c r="F72" i="3"/>
  <c r="D72" i="3"/>
  <c r="E72" i="3"/>
  <c r="E34" i="3"/>
  <c r="C34" i="3"/>
  <c r="B34" i="3"/>
  <c r="M34" i="3"/>
  <c r="F34" i="3"/>
  <c r="D34" i="3"/>
  <c r="K34" i="3"/>
  <c r="J34" i="3"/>
  <c r="L34" i="3"/>
  <c r="M89" i="3"/>
  <c r="L89" i="3"/>
  <c r="K89" i="3"/>
  <c r="J89" i="3"/>
  <c r="D89" i="3"/>
  <c r="F89" i="3"/>
  <c r="C89" i="3"/>
  <c r="E89" i="3"/>
  <c r="B89" i="3"/>
  <c r="F45" i="3"/>
  <c r="D45" i="3"/>
  <c r="C45" i="3"/>
  <c r="B45" i="3"/>
  <c r="J45" i="3"/>
  <c r="E45" i="3"/>
  <c r="K45" i="3"/>
  <c r="M45" i="3"/>
  <c r="L45" i="3"/>
  <c r="J132" i="3"/>
  <c r="F132" i="3"/>
  <c r="M132" i="3"/>
  <c r="L132" i="3"/>
  <c r="K132" i="3"/>
  <c r="C132" i="3"/>
  <c r="E132" i="3"/>
  <c r="D132" i="3"/>
  <c r="B132" i="3"/>
  <c r="J282" i="3"/>
  <c r="F282" i="3"/>
  <c r="L282" i="3"/>
  <c r="K282" i="3"/>
  <c r="E282" i="3"/>
  <c r="D282" i="3"/>
  <c r="M282" i="3"/>
  <c r="C282" i="3"/>
  <c r="B282" i="3"/>
  <c r="L244" i="3"/>
  <c r="B244" i="3"/>
  <c r="M244" i="3"/>
  <c r="F244" i="3"/>
  <c r="D244" i="3"/>
  <c r="C244" i="3"/>
  <c r="K244" i="3"/>
  <c r="J244" i="3"/>
  <c r="E244" i="3"/>
  <c r="C289" i="3"/>
  <c r="B289" i="3"/>
  <c r="L289" i="3"/>
  <c r="K289" i="3"/>
  <c r="F289" i="3"/>
  <c r="E289" i="3"/>
  <c r="M289" i="3"/>
  <c r="J289" i="3"/>
  <c r="D289" i="3"/>
  <c r="F247" i="3"/>
  <c r="E247" i="3"/>
  <c r="K247" i="3"/>
  <c r="J247" i="3"/>
  <c r="D247" i="3"/>
  <c r="M247" i="3"/>
  <c r="C247" i="3"/>
  <c r="B247" i="3"/>
  <c r="L247" i="3"/>
  <c r="K107" i="3"/>
  <c r="F107" i="3"/>
  <c r="E107" i="3"/>
  <c r="D107" i="3"/>
  <c r="C107" i="3"/>
  <c r="B107" i="3"/>
  <c r="L107" i="3"/>
  <c r="M107" i="3"/>
  <c r="J107" i="3"/>
  <c r="S14" i="6"/>
  <c r="M164" i="3"/>
  <c r="J164" i="3"/>
  <c r="K164" i="3"/>
  <c r="L164" i="3"/>
  <c r="F164" i="3"/>
  <c r="B164" i="3"/>
  <c r="E164" i="3"/>
  <c r="D164" i="3"/>
  <c r="C164" i="3"/>
  <c r="F96" i="3"/>
  <c r="M96" i="3"/>
  <c r="L96" i="3"/>
  <c r="K96" i="3"/>
  <c r="J96" i="3"/>
  <c r="D96" i="3"/>
  <c r="C96" i="3"/>
  <c r="B96" i="3"/>
  <c r="E96" i="3"/>
  <c r="F168" i="3"/>
  <c r="E168" i="3"/>
  <c r="L168" i="3"/>
  <c r="M168" i="3"/>
  <c r="D168" i="3"/>
  <c r="C168" i="3"/>
  <c r="B168" i="3"/>
  <c r="K168" i="3"/>
  <c r="J168" i="3"/>
  <c r="D170" i="3"/>
  <c r="C170" i="3"/>
  <c r="L170" i="3"/>
  <c r="K170" i="3"/>
  <c r="J170" i="3"/>
  <c r="F170" i="3"/>
  <c r="M170" i="3"/>
  <c r="E170" i="3"/>
  <c r="B170" i="3"/>
  <c r="F21" i="3"/>
  <c r="D21" i="3"/>
  <c r="C21" i="3"/>
  <c r="B21" i="3"/>
  <c r="M21" i="3"/>
  <c r="L21" i="3"/>
  <c r="K21" i="3"/>
  <c r="J21" i="3"/>
  <c r="E21" i="3"/>
  <c r="E145" i="3"/>
  <c r="B145" i="3"/>
  <c r="M145" i="3"/>
  <c r="L145" i="3"/>
  <c r="K145" i="3"/>
  <c r="J145" i="3"/>
  <c r="F145" i="3"/>
  <c r="C145" i="3"/>
  <c r="D145" i="3"/>
  <c r="B290" i="3"/>
  <c r="M290" i="3"/>
  <c r="K290" i="3"/>
  <c r="J290" i="3"/>
  <c r="L290" i="3"/>
  <c r="F290" i="3"/>
  <c r="C290" i="3"/>
  <c r="E290" i="3"/>
  <c r="D290" i="3"/>
  <c r="F42" i="3"/>
  <c r="E42" i="3"/>
  <c r="M42" i="3"/>
  <c r="L42" i="3"/>
  <c r="J42" i="3"/>
  <c r="K42" i="3"/>
  <c r="C42" i="3"/>
  <c r="D42" i="3"/>
  <c r="B42" i="3"/>
  <c r="F81" i="3"/>
  <c r="E81" i="3"/>
  <c r="D81" i="3"/>
  <c r="C81" i="3"/>
  <c r="B81" i="3"/>
  <c r="J81" i="3"/>
  <c r="M81" i="3"/>
  <c r="L81" i="3"/>
  <c r="K81" i="3"/>
  <c r="D59" i="3"/>
  <c r="B59" i="3"/>
  <c r="M59" i="3"/>
  <c r="L59" i="3"/>
  <c r="E59" i="3"/>
  <c r="F59" i="3"/>
  <c r="C59" i="3"/>
  <c r="J59" i="3"/>
  <c r="K59" i="3"/>
  <c r="D276" i="3"/>
  <c r="C276" i="3"/>
  <c r="M276" i="3"/>
  <c r="L276" i="3"/>
  <c r="K276" i="3"/>
  <c r="J276" i="3"/>
  <c r="F276" i="3"/>
  <c r="E276" i="3"/>
  <c r="B276" i="3"/>
  <c r="I97" i="3"/>
  <c r="H97" i="3"/>
  <c r="G97" i="3"/>
  <c r="M267" i="3"/>
  <c r="L267" i="3"/>
  <c r="J267" i="3"/>
  <c r="F267" i="3"/>
  <c r="D267" i="3"/>
  <c r="C267" i="3"/>
  <c r="B267" i="3"/>
  <c r="K267" i="3"/>
  <c r="E267" i="3"/>
  <c r="B175" i="3"/>
  <c r="K175" i="3"/>
  <c r="J175" i="3"/>
  <c r="L175" i="3"/>
  <c r="E175" i="3"/>
  <c r="D175" i="3"/>
  <c r="C175" i="3"/>
  <c r="M175" i="3"/>
  <c r="F175" i="3"/>
  <c r="F211" i="3"/>
  <c r="C211" i="3"/>
  <c r="B211" i="3"/>
  <c r="M211" i="3"/>
  <c r="L211" i="3"/>
  <c r="E211" i="3"/>
  <c r="D211" i="3"/>
  <c r="K211" i="3"/>
  <c r="J211" i="3"/>
  <c r="B61" i="3"/>
  <c r="L61" i="3"/>
  <c r="K61" i="3"/>
  <c r="J61" i="3"/>
  <c r="M61" i="3"/>
  <c r="F61" i="3"/>
  <c r="E61" i="3"/>
  <c r="C61" i="3"/>
  <c r="D61" i="3"/>
  <c r="K281" i="3"/>
  <c r="J281" i="3"/>
  <c r="E281" i="3"/>
  <c r="D281" i="3"/>
  <c r="B281" i="3"/>
  <c r="C281" i="3"/>
  <c r="F281" i="3"/>
  <c r="M281" i="3"/>
  <c r="L281" i="3"/>
  <c r="D240" i="3"/>
  <c r="M240" i="3"/>
  <c r="L240" i="3"/>
  <c r="F240" i="3"/>
  <c r="E240" i="3"/>
  <c r="B240" i="3"/>
  <c r="J240" i="3"/>
  <c r="C240" i="3"/>
  <c r="K240" i="3"/>
  <c r="L87" i="3"/>
  <c r="K87" i="3"/>
  <c r="J87" i="3"/>
  <c r="D87" i="3"/>
  <c r="M87" i="3"/>
  <c r="F87" i="3"/>
  <c r="E87" i="3"/>
  <c r="C87" i="3"/>
  <c r="B87" i="3"/>
  <c r="F171" i="3"/>
  <c r="C171" i="3"/>
  <c r="B171" i="3"/>
  <c r="E171" i="3"/>
  <c r="M171" i="3"/>
  <c r="L171" i="3"/>
  <c r="K171" i="3"/>
  <c r="D171" i="3"/>
  <c r="J171" i="3"/>
  <c r="E125" i="3"/>
  <c r="M125" i="3"/>
  <c r="C125" i="3"/>
  <c r="B125" i="3"/>
  <c r="L125" i="3"/>
  <c r="K125" i="3"/>
  <c r="J125" i="3"/>
  <c r="D125" i="3"/>
  <c r="F125" i="3"/>
  <c r="L229" i="3"/>
  <c r="K229" i="3"/>
  <c r="F229" i="3"/>
  <c r="D229" i="3"/>
  <c r="C229" i="3"/>
  <c r="M229" i="3"/>
  <c r="E229" i="3"/>
  <c r="B229" i="3"/>
  <c r="J229" i="3"/>
  <c r="C139" i="3"/>
  <c r="K139" i="3"/>
  <c r="F139" i="3"/>
  <c r="E139" i="3"/>
  <c r="D139" i="3"/>
  <c r="M139" i="3"/>
  <c r="L139" i="3"/>
  <c r="J139" i="3"/>
  <c r="B139" i="3"/>
  <c r="J220" i="3"/>
  <c r="E220" i="3"/>
  <c r="D220" i="3"/>
  <c r="M220" i="3"/>
  <c r="L220" i="3"/>
  <c r="K220" i="3"/>
  <c r="F220" i="3"/>
  <c r="C220" i="3"/>
  <c r="B220" i="3"/>
  <c r="J246" i="3"/>
  <c r="F246" i="3"/>
  <c r="E246" i="3"/>
  <c r="C246" i="3"/>
  <c r="B246" i="3"/>
  <c r="D246" i="3"/>
  <c r="M246" i="3"/>
  <c r="L246" i="3"/>
  <c r="K246" i="3"/>
  <c r="I196" i="3"/>
  <c r="H196" i="3"/>
  <c r="G196" i="3"/>
  <c r="M14" i="3"/>
  <c r="K14" i="3"/>
  <c r="J14" i="3"/>
  <c r="L14" i="3"/>
  <c r="E14" i="3"/>
  <c r="F14" i="3"/>
  <c r="B14" i="3"/>
  <c r="D14" i="3"/>
  <c r="C14" i="3"/>
  <c r="J77" i="3"/>
  <c r="F77" i="3"/>
  <c r="B77" i="3"/>
  <c r="M77" i="3"/>
  <c r="K77" i="3"/>
  <c r="L77" i="3"/>
  <c r="C77" i="3"/>
  <c r="E77" i="3"/>
  <c r="D77" i="3"/>
  <c r="M38" i="3"/>
  <c r="K38" i="3"/>
  <c r="J38" i="3"/>
  <c r="L38" i="3"/>
  <c r="F38" i="3"/>
  <c r="E38" i="3"/>
  <c r="D38" i="3"/>
  <c r="C38" i="3"/>
  <c r="B38" i="3"/>
  <c r="B128" i="3"/>
  <c r="J128" i="3"/>
  <c r="F128" i="3"/>
  <c r="E128" i="3"/>
  <c r="D128" i="3"/>
  <c r="C128" i="3"/>
  <c r="L128" i="3"/>
  <c r="K128" i="3"/>
  <c r="M128" i="3"/>
  <c r="C226" i="3"/>
  <c r="B226" i="3"/>
  <c r="D226" i="3"/>
  <c r="M226" i="3"/>
  <c r="L226" i="3"/>
  <c r="K226" i="3"/>
  <c r="J226" i="3"/>
  <c r="F226" i="3"/>
  <c r="E226" i="3"/>
  <c r="E251" i="3"/>
  <c r="B251" i="3"/>
  <c r="M251" i="3"/>
  <c r="F251" i="3"/>
  <c r="C251" i="3"/>
  <c r="K251" i="3"/>
  <c r="D251" i="3"/>
  <c r="L251" i="3"/>
  <c r="J251" i="3"/>
  <c r="L118" i="3"/>
  <c r="F118" i="3"/>
  <c r="E118" i="3"/>
  <c r="D118" i="3"/>
  <c r="C118" i="3"/>
  <c r="M118" i="3"/>
  <c r="K118" i="3"/>
  <c r="B118" i="3"/>
  <c r="J118" i="3"/>
  <c r="L189" i="3"/>
  <c r="K189" i="3"/>
  <c r="J189" i="3"/>
  <c r="E189" i="3"/>
  <c r="D189" i="3"/>
  <c r="C189" i="3"/>
  <c r="B189" i="3"/>
  <c r="F189" i="3"/>
  <c r="M189" i="3"/>
  <c r="F223" i="3"/>
  <c r="E223" i="3"/>
  <c r="M223" i="3"/>
  <c r="L223" i="3"/>
  <c r="J223" i="3"/>
  <c r="C223" i="3"/>
  <c r="K223" i="3"/>
  <c r="B223" i="3"/>
  <c r="D223" i="3"/>
  <c r="J167" i="3"/>
  <c r="F167" i="3"/>
  <c r="C167" i="3"/>
  <c r="M167" i="3"/>
  <c r="L167" i="3"/>
  <c r="K167" i="3"/>
  <c r="E167" i="3"/>
  <c r="D167" i="3"/>
  <c r="B167" i="3"/>
  <c r="F285" i="3"/>
  <c r="D285" i="3"/>
  <c r="C285" i="3"/>
  <c r="B285" i="3"/>
  <c r="E285" i="3"/>
  <c r="M285" i="3"/>
  <c r="L285" i="3"/>
  <c r="K285" i="3"/>
  <c r="J285" i="3"/>
  <c r="J144" i="3"/>
  <c r="F144" i="3"/>
  <c r="M144" i="3"/>
  <c r="L144" i="3"/>
  <c r="K144" i="3"/>
  <c r="E144" i="3"/>
  <c r="D144" i="3"/>
  <c r="C144" i="3"/>
  <c r="B144" i="3"/>
  <c r="K52" i="3"/>
  <c r="J52" i="3"/>
  <c r="F52" i="3"/>
  <c r="E52" i="3"/>
  <c r="D52" i="3"/>
  <c r="C52" i="3"/>
  <c r="B52" i="3"/>
  <c r="M52" i="3"/>
  <c r="L52" i="3"/>
  <c r="E284" i="3"/>
  <c r="D284" i="3"/>
  <c r="B284" i="3"/>
  <c r="J284" i="3"/>
  <c r="F284" i="3"/>
  <c r="C284" i="3"/>
  <c r="M284" i="3"/>
  <c r="L284" i="3"/>
  <c r="K284" i="3"/>
  <c r="F297" i="3"/>
  <c r="D297" i="3"/>
  <c r="C297" i="3"/>
  <c r="M297" i="3"/>
  <c r="L297" i="3"/>
  <c r="J297" i="3"/>
  <c r="K297" i="3"/>
  <c r="B297" i="3"/>
  <c r="E297" i="3"/>
  <c r="E200" i="3"/>
  <c r="B200" i="3"/>
  <c r="L200" i="3"/>
  <c r="K200" i="3"/>
  <c r="M200" i="3"/>
  <c r="F200" i="3"/>
  <c r="D200" i="3"/>
  <c r="C200" i="3"/>
  <c r="J200" i="3"/>
  <c r="K91" i="3"/>
  <c r="M91" i="3"/>
  <c r="L91" i="3"/>
  <c r="J91" i="3"/>
  <c r="D91" i="3"/>
  <c r="F91" i="3"/>
  <c r="E91" i="3"/>
  <c r="C91" i="3"/>
  <c r="B91" i="3"/>
  <c r="B254" i="3"/>
  <c r="K254" i="3"/>
  <c r="J254" i="3"/>
  <c r="L254" i="3"/>
  <c r="M254" i="3"/>
  <c r="F254" i="3"/>
  <c r="E254" i="3"/>
  <c r="D254" i="3"/>
  <c r="C254" i="3"/>
  <c r="B116" i="3"/>
  <c r="J116" i="3"/>
  <c r="E116" i="3"/>
  <c r="D116" i="3"/>
  <c r="C116" i="3"/>
  <c r="M116" i="3"/>
  <c r="L116" i="3"/>
  <c r="K116" i="3"/>
  <c r="F116" i="3"/>
  <c r="F69" i="3"/>
  <c r="E69" i="3"/>
  <c r="D69" i="3"/>
  <c r="C69" i="3"/>
  <c r="B69" i="3"/>
  <c r="J69" i="3"/>
  <c r="M69" i="3"/>
  <c r="L69" i="3"/>
  <c r="K69" i="3"/>
  <c r="C60" i="3"/>
  <c r="M60" i="3"/>
  <c r="L60" i="3"/>
  <c r="K60" i="3"/>
  <c r="J60" i="3"/>
  <c r="F60" i="3"/>
  <c r="E60" i="3"/>
  <c r="B60" i="3"/>
  <c r="D60" i="3"/>
  <c r="D213" i="3"/>
  <c r="C213" i="3"/>
  <c r="B213" i="3"/>
  <c r="M213" i="3"/>
  <c r="L213" i="3"/>
  <c r="F213" i="3"/>
  <c r="E213" i="3"/>
  <c r="K213" i="3"/>
  <c r="J213" i="3"/>
  <c r="E137" i="3"/>
  <c r="M137" i="3"/>
  <c r="F137" i="3"/>
  <c r="D137" i="3"/>
  <c r="C137" i="3"/>
  <c r="B137" i="3"/>
  <c r="J137" i="3"/>
  <c r="L137" i="3"/>
  <c r="K137" i="3"/>
  <c r="C241" i="3"/>
  <c r="L241" i="3"/>
  <c r="K241" i="3"/>
  <c r="E241" i="3"/>
  <c r="D241" i="3"/>
  <c r="M241" i="3"/>
  <c r="J241" i="3"/>
  <c r="F241" i="3"/>
  <c r="B241" i="3"/>
  <c r="L280" i="3"/>
  <c r="K280" i="3"/>
  <c r="B280" i="3"/>
  <c r="F280" i="3"/>
  <c r="M280" i="3"/>
  <c r="J280" i="3"/>
  <c r="E280" i="3"/>
  <c r="D280" i="3"/>
  <c r="C280" i="3"/>
  <c r="C115" i="3"/>
  <c r="K115" i="3"/>
  <c r="D115" i="3"/>
  <c r="B115" i="3"/>
  <c r="M115" i="3"/>
  <c r="F115" i="3"/>
  <c r="E115" i="3"/>
  <c r="J115" i="3"/>
  <c r="L115" i="3"/>
  <c r="D98" i="3"/>
  <c r="M98" i="3"/>
  <c r="L98" i="3"/>
  <c r="K98" i="3"/>
  <c r="J98" i="3"/>
  <c r="E98" i="3"/>
  <c r="C98" i="3"/>
  <c r="B98" i="3"/>
  <c r="F98" i="3"/>
  <c r="E236" i="3"/>
  <c r="D236" i="3"/>
  <c r="J236" i="3"/>
  <c r="F236" i="3"/>
  <c r="C236" i="3"/>
  <c r="M236" i="3"/>
  <c r="L236" i="3"/>
  <c r="K236" i="3"/>
  <c r="B236" i="3"/>
  <c r="M216" i="3"/>
  <c r="L216" i="3"/>
  <c r="D216" i="3"/>
  <c r="C216" i="3"/>
  <c r="B216" i="3"/>
  <c r="K216" i="3"/>
  <c r="J216" i="3"/>
  <c r="F216" i="3"/>
  <c r="E216" i="3"/>
  <c r="F18" i="3"/>
  <c r="E18" i="3"/>
  <c r="M18" i="3"/>
  <c r="L18" i="3"/>
  <c r="K18" i="3"/>
  <c r="C18" i="3"/>
  <c r="J18" i="3"/>
  <c r="D18" i="3"/>
  <c r="B18" i="3"/>
  <c r="E260" i="3"/>
  <c r="D260" i="3"/>
  <c r="M260" i="3"/>
  <c r="L260" i="3"/>
  <c r="F260" i="3"/>
  <c r="C260" i="3"/>
  <c r="B260" i="3"/>
  <c r="K260" i="3"/>
  <c r="J260" i="3"/>
  <c r="F57" i="3"/>
  <c r="D57" i="3"/>
  <c r="C57" i="3"/>
  <c r="B57" i="3"/>
  <c r="L57" i="3"/>
  <c r="M57" i="3"/>
  <c r="K57" i="3"/>
  <c r="J57" i="3"/>
  <c r="E57" i="3"/>
  <c r="J41" i="3"/>
  <c r="F41" i="3"/>
  <c r="E41" i="3"/>
  <c r="D41" i="3"/>
  <c r="C41" i="3"/>
  <c r="B41" i="3"/>
  <c r="K41" i="3"/>
  <c r="M41" i="3"/>
  <c r="L41" i="3"/>
  <c r="E263" i="3"/>
  <c r="B263" i="3"/>
  <c r="M263" i="3"/>
  <c r="J263" i="3"/>
  <c r="F263" i="3"/>
  <c r="L263" i="3"/>
  <c r="K263" i="3"/>
  <c r="D263" i="3"/>
  <c r="C263" i="3"/>
  <c r="I70" i="3"/>
  <c r="H70" i="3"/>
  <c r="G70" i="3"/>
  <c r="D201" i="3"/>
  <c r="B201" i="3"/>
  <c r="L201" i="3"/>
  <c r="K201" i="3"/>
  <c r="M201" i="3"/>
  <c r="J201" i="3"/>
  <c r="E201" i="3"/>
  <c r="C201" i="3"/>
  <c r="F201" i="3"/>
  <c r="M153" i="3"/>
  <c r="L153" i="3"/>
  <c r="K153" i="3"/>
  <c r="J153" i="3"/>
  <c r="D153" i="3"/>
  <c r="C153" i="3"/>
  <c r="B153" i="3"/>
  <c r="E153" i="3"/>
  <c r="F153" i="3"/>
  <c r="B88" i="3"/>
  <c r="L88" i="3"/>
  <c r="K88" i="3"/>
  <c r="J88" i="3"/>
  <c r="D88" i="3"/>
  <c r="C88" i="3"/>
  <c r="M88" i="3"/>
  <c r="E88" i="3"/>
  <c r="F88" i="3"/>
  <c r="K293" i="3"/>
  <c r="J293" i="3"/>
  <c r="M293" i="3"/>
  <c r="L293" i="3"/>
  <c r="F293" i="3"/>
  <c r="E293" i="3"/>
  <c r="D293" i="3"/>
  <c r="C293" i="3"/>
  <c r="B293" i="3"/>
  <c r="L15" i="3"/>
  <c r="J15" i="3"/>
  <c r="D15" i="3"/>
  <c r="C15" i="3"/>
  <c r="B15" i="3"/>
  <c r="K15" i="3"/>
  <c r="E15" i="3"/>
  <c r="F15" i="3"/>
  <c r="M15" i="3"/>
  <c r="C151" i="3"/>
  <c r="K151" i="3"/>
  <c r="J151" i="3"/>
  <c r="F151" i="3"/>
  <c r="L151" i="3"/>
  <c r="E151" i="3"/>
  <c r="D151" i="3"/>
  <c r="B151" i="3"/>
  <c r="M151" i="3"/>
  <c r="L106" i="3"/>
  <c r="E106" i="3"/>
  <c r="D106" i="3"/>
  <c r="C106" i="3"/>
  <c r="B106" i="3"/>
  <c r="J106" i="3"/>
  <c r="F106" i="3"/>
  <c r="K106" i="3"/>
  <c r="M106" i="3"/>
  <c r="E248" i="3"/>
  <c r="D248" i="3"/>
  <c r="M248" i="3"/>
  <c r="L248" i="3"/>
  <c r="J248" i="3"/>
  <c r="B248" i="3"/>
  <c r="F248" i="3"/>
  <c r="C248" i="3"/>
  <c r="K248" i="3"/>
  <c r="F124" i="3"/>
  <c r="B124" i="3"/>
  <c r="M124" i="3"/>
  <c r="L124" i="3"/>
  <c r="K124" i="3"/>
  <c r="E124" i="3"/>
  <c r="D124" i="3"/>
  <c r="C124" i="3"/>
  <c r="J124" i="3"/>
  <c r="C159" i="3"/>
  <c r="F159" i="3"/>
  <c r="E159" i="3"/>
  <c r="D159" i="3"/>
  <c r="B159" i="3"/>
  <c r="L159" i="3"/>
  <c r="K159" i="3"/>
  <c r="J159" i="3"/>
  <c r="M159" i="3"/>
  <c r="M95" i="3"/>
  <c r="L95" i="3"/>
  <c r="K95" i="3"/>
  <c r="J95" i="3"/>
  <c r="D95" i="3"/>
  <c r="F95" i="3"/>
  <c r="E95" i="3"/>
  <c r="C95" i="3"/>
  <c r="B95" i="3"/>
  <c r="L90" i="3"/>
  <c r="M90" i="3"/>
  <c r="K90" i="3"/>
  <c r="J90" i="3"/>
  <c r="D90" i="3"/>
  <c r="C90" i="3"/>
  <c r="B90" i="3"/>
  <c r="E90" i="3"/>
  <c r="F90" i="3"/>
  <c r="F180" i="3"/>
  <c r="E180" i="3"/>
  <c r="K180" i="3"/>
  <c r="M180" i="3"/>
  <c r="L180" i="3"/>
  <c r="J180" i="3"/>
  <c r="C180" i="3"/>
  <c r="B180" i="3"/>
  <c r="D180" i="3"/>
  <c r="I16" i="3"/>
  <c r="H16" i="3"/>
  <c r="G16" i="3"/>
  <c r="K40" i="3"/>
  <c r="C40" i="3"/>
  <c r="B40" i="3"/>
  <c r="M40" i="3"/>
  <c r="J40" i="3"/>
  <c r="F40" i="3"/>
  <c r="D40" i="3"/>
  <c r="E40" i="3"/>
  <c r="L40" i="3"/>
  <c r="B163" i="3"/>
  <c r="K163" i="3"/>
  <c r="J163" i="3"/>
  <c r="M163" i="3"/>
  <c r="F163" i="3"/>
  <c r="E163" i="3"/>
  <c r="D163" i="3"/>
  <c r="C163" i="3"/>
  <c r="L163" i="3"/>
  <c r="D83" i="3"/>
  <c r="C83" i="3"/>
  <c r="B83" i="3"/>
  <c r="M83" i="3"/>
  <c r="L83" i="3"/>
  <c r="K83" i="3"/>
  <c r="J83" i="3"/>
  <c r="E83" i="3"/>
  <c r="F83" i="3"/>
  <c r="E82" i="3"/>
  <c r="D82" i="3"/>
  <c r="C82" i="3"/>
  <c r="B82" i="3"/>
  <c r="M82" i="3"/>
  <c r="F82" i="3"/>
  <c r="L82" i="3"/>
  <c r="K82" i="3"/>
  <c r="J82" i="3"/>
  <c r="B85" i="3"/>
  <c r="M85" i="3"/>
  <c r="L85" i="3"/>
  <c r="K85" i="3"/>
  <c r="J85" i="3"/>
  <c r="F85" i="3"/>
  <c r="E85" i="3"/>
  <c r="C85" i="3"/>
  <c r="D85" i="3"/>
  <c r="B13" i="3"/>
  <c r="L13" i="3"/>
  <c r="K13" i="3"/>
  <c r="J13" i="3"/>
  <c r="M13" i="3"/>
  <c r="F13" i="3"/>
  <c r="D13" i="3"/>
  <c r="E13" i="3"/>
  <c r="C13" i="3"/>
  <c r="M94" i="3"/>
  <c r="L94" i="3"/>
  <c r="K94" i="3"/>
  <c r="J94" i="3"/>
  <c r="D94" i="3"/>
  <c r="C94" i="3"/>
  <c r="B94" i="3"/>
  <c r="E94" i="3"/>
  <c r="F94" i="3"/>
  <c r="M231" i="3"/>
  <c r="J231" i="3"/>
  <c r="K231" i="3"/>
  <c r="F231" i="3"/>
  <c r="E231" i="3"/>
  <c r="L231" i="3"/>
  <c r="D231" i="3"/>
  <c r="B231" i="3"/>
  <c r="C231" i="3"/>
  <c r="J65" i="3"/>
  <c r="F65" i="3"/>
  <c r="B65" i="3"/>
  <c r="M65" i="3"/>
  <c r="L65" i="3"/>
  <c r="E65" i="3"/>
  <c r="D65" i="3"/>
  <c r="K65" i="3"/>
  <c r="C65" i="3"/>
  <c r="B49" i="3"/>
  <c r="L49" i="3"/>
  <c r="K49" i="3"/>
  <c r="J49" i="3"/>
  <c r="M49" i="3"/>
  <c r="F49" i="3"/>
  <c r="D49" i="3"/>
  <c r="E49" i="3"/>
  <c r="C49" i="3"/>
  <c r="E299" i="3"/>
  <c r="D299" i="3"/>
  <c r="B299" i="3"/>
  <c r="M299" i="3"/>
  <c r="F299" i="3"/>
  <c r="K299" i="3"/>
  <c r="C299" i="3"/>
  <c r="L299" i="3"/>
  <c r="J299" i="3"/>
  <c r="K76" i="3"/>
  <c r="J76" i="3"/>
  <c r="C76" i="3"/>
  <c r="M76" i="3"/>
  <c r="L76" i="3"/>
  <c r="F76" i="3"/>
  <c r="E76" i="3"/>
  <c r="D76" i="3"/>
  <c r="B76" i="3"/>
  <c r="F194" i="3"/>
  <c r="D194" i="3"/>
  <c r="C194" i="3"/>
  <c r="E194" i="3"/>
  <c r="M194" i="3"/>
  <c r="L194" i="3"/>
  <c r="K194" i="3"/>
  <c r="J194" i="3"/>
  <c r="B194" i="3"/>
  <c r="L63" i="3"/>
  <c r="J63" i="3"/>
  <c r="K63" i="3"/>
  <c r="F63" i="3"/>
  <c r="E63" i="3"/>
  <c r="D63" i="3"/>
  <c r="C63" i="3"/>
  <c r="B63" i="3"/>
  <c r="M63" i="3"/>
  <c r="L75" i="3"/>
  <c r="K75" i="3"/>
  <c r="J75" i="3"/>
  <c r="D75" i="3"/>
  <c r="C75" i="3"/>
  <c r="B75" i="3"/>
  <c r="M75" i="3"/>
  <c r="E75" i="3"/>
  <c r="F75" i="3"/>
  <c r="C127" i="3"/>
  <c r="K127" i="3"/>
  <c r="F127" i="3"/>
  <c r="E127" i="3"/>
  <c r="D127" i="3"/>
  <c r="B127" i="3"/>
  <c r="J127" i="3"/>
  <c r="M127" i="3"/>
  <c r="L127" i="3"/>
  <c r="C103" i="3"/>
  <c r="K103" i="3"/>
  <c r="M103" i="3"/>
  <c r="L103" i="3"/>
  <c r="J103" i="3"/>
  <c r="F103" i="3"/>
  <c r="E103" i="3"/>
  <c r="B103" i="3"/>
  <c r="D103" i="3"/>
  <c r="F54" i="3"/>
  <c r="E54" i="3"/>
  <c r="M54" i="3"/>
  <c r="L54" i="3"/>
  <c r="K54" i="3"/>
  <c r="J54" i="3"/>
  <c r="B54" i="3"/>
  <c r="D54" i="3"/>
  <c r="C54" i="3"/>
  <c r="F250" i="3"/>
  <c r="C250" i="3"/>
  <c r="B250" i="3"/>
  <c r="D250" i="3"/>
  <c r="M250" i="3"/>
  <c r="J250" i="3"/>
  <c r="E250" i="3"/>
  <c r="L250" i="3"/>
  <c r="K250" i="3"/>
  <c r="D158" i="3"/>
  <c r="F158" i="3"/>
  <c r="E158" i="3"/>
  <c r="C158" i="3"/>
  <c r="B158" i="3"/>
  <c r="K158" i="3"/>
  <c r="M158" i="3"/>
  <c r="J158" i="3"/>
  <c r="L158" i="3"/>
  <c r="F273" i="3"/>
  <c r="D273" i="3"/>
  <c r="C273" i="3"/>
  <c r="M273" i="3"/>
  <c r="J273" i="3"/>
  <c r="E273" i="3"/>
  <c r="B273" i="3"/>
  <c r="L273" i="3"/>
  <c r="K273" i="3"/>
  <c r="L27" i="3"/>
  <c r="J27" i="3"/>
  <c r="K27" i="3"/>
  <c r="F27" i="3"/>
  <c r="E27" i="3"/>
  <c r="D27" i="3"/>
  <c r="C27" i="3"/>
  <c r="B27" i="3"/>
  <c r="M27" i="3"/>
  <c r="E121" i="3"/>
  <c r="L121" i="3"/>
  <c r="K121" i="3"/>
  <c r="J121" i="3"/>
  <c r="B121" i="3"/>
  <c r="M121" i="3"/>
  <c r="F121" i="3"/>
  <c r="D121" i="3"/>
  <c r="C121" i="3"/>
  <c r="J120" i="3"/>
  <c r="F120" i="3"/>
  <c r="K120" i="3"/>
  <c r="E120" i="3"/>
  <c r="L120" i="3"/>
  <c r="M120" i="3"/>
  <c r="D120" i="3"/>
  <c r="C120" i="3"/>
  <c r="B120" i="3"/>
  <c r="M74" i="3"/>
  <c r="L74" i="3"/>
  <c r="K74" i="3"/>
  <c r="J74" i="3"/>
  <c r="E74" i="3"/>
  <c r="D74" i="3"/>
  <c r="F74" i="3"/>
  <c r="B74" i="3"/>
  <c r="C74" i="3"/>
  <c r="B266" i="3"/>
  <c r="M266" i="3"/>
  <c r="K266" i="3"/>
  <c r="J266" i="3"/>
  <c r="D266" i="3"/>
  <c r="C266" i="3"/>
  <c r="F266" i="3"/>
  <c r="E266" i="3"/>
  <c r="L266" i="3"/>
  <c r="F160" i="3"/>
  <c r="B160" i="3"/>
  <c r="E160" i="3"/>
  <c r="D160" i="3"/>
  <c r="M160" i="3"/>
  <c r="L160" i="3"/>
  <c r="J160" i="3"/>
  <c r="K160" i="3"/>
  <c r="C160" i="3"/>
  <c r="L217" i="3"/>
  <c r="K217" i="3"/>
  <c r="E217" i="3"/>
  <c r="D217" i="3"/>
  <c r="B217" i="3"/>
  <c r="F217" i="3"/>
  <c r="C217" i="3"/>
  <c r="M217" i="3"/>
  <c r="J217" i="3"/>
  <c r="J179" i="3"/>
  <c r="F179" i="3"/>
  <c r="M179" i="3"/>
  <c r="K179" i="3"/>
  <c r="E179" i="3"/>
  <c r="D179" i="3"/>
  <c r="C179" i="3"/>
  <c r="B179" i="3"/>
  <c r="L179" i="3"/>
  <c r="F195" i="3"/>
  <c r="E195" i="3"/>
  <c r="C195" i="3"/>
  <c r="B195" i="3"/>
  <c r="J195" i="3"/>
  <c r="D195" i="3"/>
  <c r="M195" i="3"/>
  <c r="L195" i="3"/>
  <c r="K195" i="3"/>
  <c r="L292" i="3"/>
  <c r="K292" i="3"/>
  <c r="F292" i="3"/>
  <c r="E292" i="3"/>
  <c r="C292" i="3"/>
  <c r="B292" i="3"/>
  <c r="J292" i="3"/>
  <c r="D292" i="3"/>
  <c r="M292" i="3"/>
  <c r="J29" i="3"/>
  <c r="F29" i="3"/>
  <c r="B29" i="3"/>
  <c r="M29" i="3"/>
  <c r="L29" i="3"/>
  <c r="K29" i="3"/>
  <c r="C29" i="3"/>
  <c r="E29" i="3"/>
  <c r="D29" i="3"/>
  <c r="F78" i="3"/>
  <c r="E78" i="3"/>
  <c r="M78" i="3"/>
  <c r="L78" i="3"/>
  <c r="D78" i="3"/>
  <c r="K78" i="3"/>
  <c r="J78" i="3"/>
  <c r="C78" i="3"/>
  <c r="B78" i="3"/>
  <c r="C214" i="3"/>
  <c r="D214" i="3"/>
  <c r="B214" i="3"/>
  <c r="M214" i="3"/>
  <c r="L214" i="3"/>
  <c r="K214" i="3"/>
  <c r="J214" i="3"/>
  <c r="F214" i="3"/>
  <c r="E214" i="3"/>
  <c r="C209" i="3"/>
  <c r="B209" i="3"/>
  <c r="M209" i="3"/>
  <c r="L209" i="3"/>
  <c r="F209" i="3"/>
  <c r="E209" i="3"/>
  <c r="D209" i="3"/>
  <c r="K209" i="3"/>
  <c r="J209" i="3"/>
  <c r="I178" i="3" l="1"/>
  <c r="I19" i="3"/>
  <c r="I11" i="3"/>
  <c r="H11" i="3"/>
  <c r="G11" i="3"/>
  <c r="I5" i="3"/>
  <c r="G10" i="3"/>
  <c r="H10" i="3"/>
  <c r="I10" i="3"/>
  <c r="G5" i="3"/>
  <c r="G4" i="3"/>
  <c r="I4" i="3"/>
  <c r="G6" i="3"/>
  <c r="H6" i="3"/>
  <c r="I6" i="3"/>
  <c r="H248" i="3"/>
  <c r="I248" i="3"/>
  <c r="G248" i="3"/>
  <c r="AC13" i="5"/>
  <c r="H158" i="3"/>
  <c r="G158" i="3"/>
  <c r="I158" i="3"/>
  <c r="H118" i="3"/>
  <c r="G118" i="3"/>
  <c r="I118" i="3"/>
  <c r="I220" i="3"/>
  <c r="H220" i="3"/>
  <c r="G220" i="3"/>
  <c r="I36" i="3"/>
  <c r="G36" i="3"/>
  <c r="H36" i="3"/>
  <c r="I235" i="3"/>
  <c r="G235" i="3"/>
  <c r="H235" i="3"/>
  <c r="H61" i="3"/>
  <c r="I61" i="3"/>
  <c r="G61" i="3"/>
  <c r="I164" i="3"/>
  <c r="H164" i="3"/>
  <c r="G164" i="3"/>
  <c r="H169" i="3"/>
  <c r="G169" i="3"/>
  <c r="I169" i="3"/>
  <c r="I35" i="3"/>
  <c r="H35" i="3"/>
  <c r="G35" i="3"/>
  <c r="I215" i="3"/>
  <c r="H215" i="3"/>
  <c r="G215" i="3"/>
  <c r="G138" i="3"/>
  <c r="H138" i="3"/>
  <c r="I138" i="3"/>
  <c r="G202" i="3"/>
  <c r="I202" i="3"/>
  <c r="H202" i="3"/>
  <c r="I224" i="3"/>
  <c r="H224" i="3"/>
  <c r="G224" i="3"/>
  <c r="G207" i="3"/>
  <c r="I207" i="3"/>
  <c r="H207" i="3"/>
  <c r="I197" i="3"/>
  <c r="H197" i="3"/>
  <c r="G197" i="3"/>
  <c r="I102" i="3"/>
  <c r="G102" i="3"/>
  <c r="H102" i="3"/>
  <c r="G37" i="3"/>
  <c r="I37" i="3"/>
  <c r="H37" i="3"/>
  <c r="I292" i="3"/>
  <c r="H292" i="3"/>
  <c r="G292" i="3"/>
  <c r="I75" i="3"/>
  <c r="H75" i="3"/>
  <c r="G75" i="3"/>
  <c r="H293" i="3"/>
  <c r="G293" i="3"/>
  <c r="I293" i="3"/>
  <c r="I42" i="3"/>
  <c r="G42" i="3"/>
  <c r="H42" i="3"/>
  <c r="I247" i="3"/>
  <c r="G247" i="3"/>
  <c r="H247" i="3"/>
  <c r="G222" i="3"/>
  <c r="I222" i="3"/>
  <c r="H222" i="3"/>
  <c r="I301" i="3"/>
  <c r="H301" i="3"/>
  <c r="G301" i="3"/>
  <c r="I303" i="3"/>
  <c r="G303" i="3"/>
  <c r="H303" i="3"/>
  <c r="I101" i="3"/>
  <c r="H101" i="3"/>
  <c r="G101" i="3"/>
  <c r="H47" i="3"/>
  <c r="I47" i="3"/>
  <c r="G47" i="3"/>
  <c r="H225" i="3"/>
  <c r="G225" i="3"/>
  <c r="I225" i="3"/>
  <c r="H49" i="3"/>
  <c r="I49" i="3"/>
  <c r="G49" i="3"/>
  <c r="H115" i="3"/>
  <c r="G115" i="3"/>
  <c r="I115" i="3"/>
  <c r="I69" i="3"/>
  <c r="G69" i="3"/>
  <c r="H69" i="3"/>
  <c r="G107" i="3"/>
  <c r="H107" i="3"/>
  <c r="I107" i="3"/>
  <c r="I282" i="3"/>
  <c r="G282" i="3"/>
  <c r="H282" i="3"/>
  <c r="I24" i="3"/>
  <c r="H24" i="3"/>
  <c r="G24" i="3"/>
  <c r="I259" i="3"/>
  <c r="H259" i="3"/>
  <c r="G259" i="3"/>
  <c r="I22" i="3"/>
  <c r="G22" i="3"/>
  <c r="H22" i="3"/>
  <c r="I283" i="3"/>
  <c r="H283" i="3"/>
  <c r="G283" i="3"/>
  <c r="I133" i="3"/>
  <c r="H133" i="3"/>
  <c r="G133" i="3"/>
  <c r="I157" i="3"/>
  <c r="H157" i="3"/>
  <c r="G157" i="3"/>
  <c r="I255" i="3"/>
  <c r="G255" i="3"/>
  <c r="H255" i="3"/>
  <c r="G184" i="3"/>
  <c r="I184" i="3"/>
  <c r="H184" i="3"/>
  <c r="G111" i="3"/>
  <c r="I111" i="3"/>
  <c r="H111" i="3"/>
  <c r="H302" i="3"/>
  <c r="I302" i="3"/>
  <c r="G302" i="3"/>
  <c r="I256" i="3"/>
  <c r="H256" i="3"/>
  <c r="G256" i="3"/>
  <c r="I168" i="3"/>
  <c r="G168" i="3"/>
  <c r="H168" i="3"/>
  <c r="G182" i="3"/>
  <c r="I182" i="3"/>
  <c r="H182" i="3"/>
  <c r="H209" i="3"/>
  <c r="I209" i="3"/>
  <c r="G209" i="3"/>
  <c r="H272" i="3"/>
  <c r="G272" i="3"/>
  <c r="I272" i="3"/>
  <c r="H266" i="3"/>
  <c r="G266" i="3"/>
  <c r="I266" i="3"/>
  <c r="G201" i="3"/>
  <c r="I201" i="3"/>
  <c r="H201" i="3"/>
  <c r="G297" i="3"/>
  <c r="I297" i="3"/>
  <c r="H297" i="3"/>
  <c r="G285" i="3"/>
  <c r="I285" i="3"/>
  <c r="H285" i="3"/>
  <c r="H226" i="3"/>
  <c r="I226" i="3"/>
  <c r="G226" i="3"/>
  <c r="H139" i="3"/>
  <c r="G139" i="3"/>
  <c r="I139" i="3"/>
  <c r="I34" i="3"/>
  <c r="H34" i="3"/>
  <c r="G34" i="3"/>
  <c r="G287" i="3"/>
  <c r="I287" i="3"/>
  <c r="H287" i="3"/>
  <c r="H23" i="3"/>
  <c r="G23" i="3"/>
  <c r="I23" i="3"/>
  <c r="G199" i="3"/>
  <c r="I199" i="3"/>
  <c r="H199" i="3"/>
  <c r="I140" i="3"/>
  <c r="H140" i="3"/>
  <c r="G140" i="3"/>
  <c r="I64" i="3"/>
  <c r="H64" i="3"/>
  <c r="G64" i="3"/>
  <c r="G237" i="3"/>
  <c r="I237" i="3"/>
  <c r="H237" i="3"/>
  <c r="H142" i="3"/>
  <c r="I142" i="3"/>
  <c r="G142" i="3"/>
  <c r="I85" i="3"/>
  <c r="H85" i="3"/>
  <c r="G85" i="3"/>
  <c r="I40" i="3"/>
  <c r="H40" i="3"/>
  <c r="G40" i="3"/>
  <c r="I60" i="3"/>
  <c r="H60" i="3"/>
  <c r="G60" i="3"/>
  <c r="I145" i="3"/>
  <c r="G145" i="3"/>
  <c r="H145" i="3"/>
  <c r="G198" i="3"/>
  <c r="I198" i="3"/>
  <c r="H198" i="3"/>
  <c r="I212" i="3"/>
  <c r="H212" i="3"/>
  <c r="G212" i="3"/>
  <c r="H149" i="3"/>
  <c r="G149" i="3"/>
  <c r="I149" i="3"/>
  <c r="I51" i="3"/>
  <c r="H51" i="3"/>
  <c r="G51" i="3"/>
  <c r="G48" i="3"/>
  <c r="H48" i="3"/>
  <c r="I48" i="3"/>
  <c r="I270" i="3"/>
  <c r="G270" i="3"/>
  <c r="H270" i="3"/>
  <c r="G12" i="3"/>
  <c r="H12" i="3"/>
  <c r="I12" i="3"/>
  <c r="I280" i="3"/>
  <c r="H280" i="3"/>
  <c r="G280" i="3"/>
  <c r="I14" i="3"/>
  <c r="G14" i="3"/>
  <c r="H14" i="3"/>
  <c r="H59" i="3"/>
  <c r="G59" i="3"/>
  <c r="I59" i="3"/>
  <c r="I165" i="3"/>
  <c r="H165" i="3"/>
  <c r="G165" i="3"/>
  <c r="I129" i="3"/>
  <c r="H129" i="3"/>
  <c r="G129" i="3"/>
  <c r="I271" i="3"/>
  <c r="H271" i="3"/>
  <c r="G271" i="3"/>
  <c r="H25" i="3"/>
  <c r="I25" i="3"/>
  <c r="G25" i="3"/>
  <c r="H274" i="3"/>
  <c r="G274" i="3"/>
  <c r="I274" i="3"/>
  <c r="I27" i="3"/>
  <c r="H27" i="3"/>
  <c r="G27" i="3"/>
  <c r="G194" i="3"/>
  <c r="H194" i="3"/>
  <c r="I194" i="3"/>
  <c r="I13" i="3"/>
  <c r="H13" i="3"/>
  <c r="G13" i="3"/>
  <c r="I263" i="3"/>
  <c r="G263" i="3"/>
  <c r="H263" i="3"/>
  <c r="H41" i="3"/>
  <c r="G41" i="3"/>
  <c r="I41" i="3"/>
  <c r="H213" i="3"/>
  <c r="I213" i="3"/>
  <c r="G213" i="3"/>
  <c r="I116" i="3"/>
  <c r="H116" i="3"/>
  <c r="G116" i="3"/>
  <c r="I254" i="3"/>
  <c r="H254" i="3"/>
  <c r="G254" i="3"/>
  <c r="I52" i="3"/>
  <c r="H52" i="3"/>
  <c r="G52" i="3"/>
  <c r="I175" i="3"/>
  <c r="H175" i="3"/>
  <c r="G175" i="3"/>
  <c r="I276" i="3"/>
  <c r="G276" i="3"/>
  <c r="H276" i="3"/>
  <c r="I81" i="3"/>
  <c r="G81" i="3"/>
  <c r="H81" i="3"/>
  <c r="I21" i="3"/>
  <c r="H21" i="3"/>
  <c r="G21" i="3"/>
  <c r="I244" i="3"/>
  <c r="H244" i="3"/>
  <c r="G244" i="3"/>
  <c r="H288" i="3"/>
  <c r="I288" i="3"/>
  <c r="G288" i="3"/>
  <c r="I191" i="3"/>
  <c r="G191" i="3"/>
  <c r="H191" i="3"/>
  <c r="H278" i="3"/>
  <c r="G278" i="3"/>
  <c r="I278" i="3"/>
  <c r="I218" i="3"/>
  <c r="H218" i="3"/>
  <c r="G218" i="3"/>
  <c r="I203" i="3"/>
  <c r="H203" i="3"/>
  <c r="G203" i="3"/>
  <c r="I232" i="3"/>
  <c r="H232" i="3"/>
  <c r="G232" i="3"/>
  <c r="G234" i="3"/>
  <c r="I234" i="3"/>
  <c r="H234" i="3"/>
  <c r="H193" i="3"/>
  <c r="G193" i="3"/>
  <c r="I193" i="3"/>
  <c r="I28" i="3"/>
  <c r="H28" i="3"/>
  <c r="G28" i="3"/>
  <c r="G210" i="3"/>
  <c r="H210" i="3"/>
  <c r="I210" i="3"/>
  <c r="I228" i="3"/>
  <c r="H228" i="3"/>
  <c r="G228" i="3"/>
  <c r="I92" i="3"/>
  <c r="H92" i="3"/>
  <c r="G92" i="3"/>
  <c r="G258" i="3"/>
  <c r="H258" i="3"/>
  <c r="I258" i="3"/>
  <c r="H262" i="3"/>
  <c r="G262" i="3"/>
  <c r="I262" i="3"/>
  <c r="H134" i="3"/>
  <c r="I134" i="3"/>
  <c r="G134" i="3"/>
  <c r="I82" i="3"/>
  <c r="H82" i="3"/>
  <c r="G82" i="3"/>
  <c r="H200" i="3"/>
  <c r="G200" i="3"/>
  <c r="I200" i="3"/>
  <c r="G45" i="3"/>
  <c r="I45" i="3"/>
  <c r="H45" i="3"/>
  <c r="H166" i="3"/>
  <c r="G166" i="3"/>
  <c r="I166" i="3"/>
  <c r="G155" i="3"/>
  <c r="I155" i="3"/>
  <c r="H155" i="3"/>
  <c r="I298" i="3"/>
  <c r="H298" i="3"/>
  <c r="G298" i="3"/>
  <c r="I50" i="3"/>
  <c r="G50" i="3"/>
  <c r="H50" i="3"/>
  <c r="H53" i="3"/>
  <c r="G53" i="3"/>
  <c r="I53" i="3"/>
  <c r="G143" i="3"/>
  <c r="I143" i="3"/>
  <c r="H143" i="3"/>
  <c r="G204" i="3"/>
  <c r="I204" i="3"/>
  <c r="H204" i="3"/>
  <c r="G33" i="3"/>
  <c r="I33" i="3"/>
  <c r="H33" i="3"/>
  <c r="G135" i="3"/>
  <c r="H135" i="3"/>
  <c r="I135" i="3"/>
  <c r="I231" i="3"/>
  <c r="H231" i="3"/>
  <c r="G231" i="3"/>
  <c r="H125" i="3"/>
  <c r="G125" i="3"/>
  <c r="I125" i="3"/>
  <c r="I132" i="3"/>
  <c r="H132" i="3"/>
  <c r="G132" i="3"/>
  <c r="H67" i="3"/>
  <c r="I67" i="3"/>
  <c r="G67" i="3"/>
  <c r="I15" i="3"/>
  <c r="H15" i="3"/>
  <c r="G15" i="3"/>
  <c r="I91" i="3"/>
  <c r="H91" i="3"/>
  <c r="G91" i="3"/>
  <c r="I219" i="3"/>
  <c r="G219" i="3"/>
  <c r="H219" i="3"/>
  <c r="I176" i="3"/>
  <c r="H176" i="3"/>
  <c r="G176" i="3"/>
  <c r="I57" i="3"/>
  <c r="H57" i="3"/>
  <c r="G57" i="3"/>
  <c r="I144" i="3"/>
  <c r="H144" i="3"/>
  <c r="G144" i="3"/>
  <c r="G128" i="3"/>
  <c r="I128" i="3"/>
  <c r="H128" i="3"/>
  <c r="H281" i="3"/>
  <c r="G281" i="3"/>
  <c r="I281" i="3"/>
  <c r="H211" i="3"/>
  <c r="G211" i="3"/>
  <c r="I211" i="3"/>
  <c r="I89" i="3"/>
  <c r="H89" i="3"/>
  <c r="G89" i="3"/>
  <c r="G114" i="3"/>
  <c r="I114" i="3"/>
  <c r="H114" i="3"/>
  <c r="H233" i="3"/>
  <c r="G233" i="3"/>
  <c r="I233" i="3"/>
  <c r="H230" i="3"/>
  <c r="G230" i="3"/>
  <c r="I230" i="3"/>
  <c r="H43" i="3"/>
  <c r="G43" i="3"/>
  <c r="I43" i="3"/>
  <c r="I121" i="3"/>
  <c r="H121" i="3"/>
  <c r="G121" i="3"/>
  <c r="G273" i="3"/>
  <c r="I273" i="3"/>
  <c r="H273" i="3"/>
  <c r="I63" i="3"/>
  <c r="H63" i="3"/>
  <c r="G63" i="3"/>
  <c r="I153" i="3"/>
  <c r="H153" i="3"/>
  <c r="G153" i="3"/>
  <c r="I98" i="3"/>
  <c r="H98" i="3"/>
  <c r="G98" i="3"/>
  <c r="H94" i="3"/>
  <c r="I94" i="3"/>
  <c r="G94" i="3"/>
  <c r="H83" i="3"/>
  <c r="I83" i="3"/>
  <c r="G83" i="3"/>
  <c r="H214" i="3"/>
  <c r="I214" i="3"/>
  <c r="G214" i="3"/>
  <c r="H29" i="3"/>
  <c r="G29" i="3"/>
  <c r="I29" i="3"/>
  <c r="H65" i="3"/>
  <c r="G65" i="3"/>
  <c r="I65" i="3"/>
  <c r="G163" i="3"/>
  <c r="H163" i="3"/>
  <c r="I163" i="3"/>
  <c r="H284" i="3"/>
  <c r="G284" i="3"/>
  <c r="I284" i="3"/>
  <c r="G171" i="3"/>
  <c r="I171" i="3"/>
  <c r="H171" i="3"/>
  <c r="I290" i="3"/>
  <c r="H290" i="3"/>
  <c r="G290" i="3"/>
  <c r="G261" i="3"/>
  <c r="I261" i="3"/>
  <c r="H261" i="3"/>
  <c r="I136" i="3"/>
  <c r="H136" i="3"/>
  <c r="G136" i="3"/>
  <c r="H55" i="3"/>
  <c r="G55" i="3"/>
  <c r="I55" i="3"/>
  <c r="G32" i="3"/>
  <c r="I32" i="3"/>
  <c r="H32" i="3"/>
  <c r="I141" i="3"/>
  <c r="H141" i="3"/>
  <c r="G141" i="3"/>
  <c r="I286" i="3"/>
  <c r="H286" i="3"/>
  <c r="G286" i="3"/>
  <c r="I242" i="3"/>
  <c r="G242" i="3"/>
  <c r="H242" i="3"/>
  <c r="H108" i="3"/>
  <c r="G108" i="3"/>
  <c r="I108" i="3"/>
  <c r="I152" i="3"/>
  <c r="H152" i="3"/>
  <c r="G152" i="3"/>
  <c r="I127" i="3"/>
  <c r="G127" i="3"/>
  <c r="H127" i="3"/>
  <c r="H216" i="3"/>
  <c r="I216" i="3"/>
  <c r="G216" i="3"/>
  <c r="I100" i="3"/>
  <c r="H100" i="3"/>
  <c r="G100" i="3"/>
  <c r="G205" i="3"/>
  <c r="I205" i="3"/>
  <c r="H205" i="3"/>
  <c r="I185" i="3"/>
  <c r="H185" i="3"/>
  <c r="G185" i="3"/>
  <c r="I279" i="3"/>
  <c r="H279" i="3"/>
  <c r="G279" i="3"/>
  <c r="I120" i="3"/>
  <c r="H120" i="3"/>
  <c r="G120" i="3"/>
  <c r="G44" i="3"/>
  <c r="H44" i="3"/>
  <c r="I44" i="3"/>
  <c r="I265" i="3"/>
  <c r="H265" i="3"/>
  <c r="G265" i="3"/>
  <c r="G119" i="3"/>
  <c r="I119" i="3"/>
  <c r="H119" i="3"/>
  <c r="H195" i="3"/>
  <c r="G195" i="3"/>
  <c r="I195" i="3"/>
  <c r="I88" i="3"/>
  <c r="H88" i="3"/>
  <c r="G88" i="3"/>
  <c r="I223" i="3"/>
  <c r="H223" i="3"/>
  <c r="G223" i="3"/>
  <c r="G251" i="3"/>
  <c r="I251" i="3"/>
  <c r="H251" i="3"/>
  <c r="I267" i="3"/>
  <c r="G267" i="3"/>
  <c r="H267" i="3"/>
  <c r="I289" i="3"/>
  <c r="H289" i="3"/>
  <c r="G289" i="3"/>
  <c r="G80" i="3"/>
  <c r="I80" i="3"/>
  <c r="H80" i="3"/>
  <c r="I66" i="3"/>
  <c r="G66" i="3"/>
  <c r="H66" i="3"/>
  <c r="I243" i="3"/>
  <c r="H243" i="3"/>
  <c r="G243" i="3"/>
  <c r="I73" i="3"/>
  <c r="H73" i="3"/>
  <c r="G73" i="3"/>
  <c r="G68" i="3"/>
  <c r="H68" i="3"/>
  <c r="I68" i="3"/>
  <c r="H110" i="3"/>
  <c r="I110" i="3"/>
  <c r="G110" i="3"/>
  <c r="I208" i="3"/>
  <c r="G208" i="3"/>
  <c r="H208" i="3"/>
  <c r="I105" i="3"/>
  <c r="H105" i="3"/>
  <c r="G105" i="3"/>
  <c r="G299" i="3"/>
  <c r="I299" i="3"/>
  <c r="H299" i="3"/>
  <c r="I180" i="3"/>
  <c r="G180" i="3"/>
  <c r="H180" i="3"/>
  <c r="G124" i="3"/>
  <c r="I124" i="3"/>
  <c r="H124" i="3"/>
  <c r="H260" i="3"/>
  <c r="G260" i="3"/>
  <c r="I260" i="3"/>
  <c r="H241" i="3"/>
  <c r="G241" i="3"/>
  <c r="I241" i="3"/>
  <c r="G246" i="3"/>
  <c r="H246" i="3"/>
  <c r="I246" i="3"/>
  <c r="I96" i="3"/>
  <c r="G96" i="3"/>
  <c r="H96" i="3"/>
  <c r="S15" i="6"/>
  <c r="G72" i="3"/>
  <c r="I72" i="3"/>
  <c r="H72" i="3"/>
  <c r="I294" i="3"/>
  <c r="G294" i="3"/>
  <c r="H294" i="3"/>
  <c r="I291" i="3"/>
  <c r="G291" i="3"/>
  <c r="H291" i="3"/>
  <c r="H269" i="3"/>
  <c r="G269" i="3"/>
  <c r="I269" i="3"/>
  <c r="H156" i="3"/>
  <c r="I156" i="3"/>
  <c r="G156" i="3"/>
  <c r="H296" i="3"/>
  <c r="G296" i="3"/>
  <c r="I296" i="3"/>
  <c r="I239" i="3"/>
  <c r="H239" i="3"/>
  <c r="G239" i="3"/>
  <c r="I186" i="3"/>
  <c r="H186" i="3"/>
  <c r="G186" i="3"/>
  <c r="G161" i="3"/>
  <c r="I161" i="3"/>
  <c r="H161" i="3"/>
  <c r="I277" i="3"/>
  <c r="H277" i="3"/>
  <c r="G277" i="3"/>
  <c r="G147" i="3"/>
  <c r="I147" i="3"/>
  <c r="H147" i="3"/>
  <c r="H221" i="3"/>
  <c r="G221" i="3"/>
  <c r="I221" i="3"/>
  <c r="H17" i="3"/>
  <c r="G17" i="3"/>
  <c r="I17" i="3"/>
  <c r="I162" i="3"/>
  <c r="G162" i="3"/>
  <c r="H162" i="3"/>
  <c r="H146" i="3"/>
  <c r="I146" i="3"/>
  <c r="G146" i="3"/>
  <c r="I109" i="3"/>
  <c r="H109" i="3"/>
  <c r="G109" i="3"/>
  <c r="I93" i="3"/>
  <c r="H93" i="3"/>
  <c r="G93" i="3"/>
  <c r="H172" i="3"/>
  <c r="G172" i="3"/>
  <c r="I172" i="3"/>
  <c r="H257" i="3"/>
  <c r="G257" i="3"/>
  <c r="I257" i="3"/>
  <c r="G179" i="3"/>
  <c r="H179" i="3"/>
  <c r="I179" i="3"/>
  <c r="I160" i="3"/>
  <c r="H160" i="3"/>
  <c r="G160" i="3"/>
  <c r="I90" i="3"/>
  <c r="H90" i="3"/>
  <c r="G90" i="3"/>
  <c r="G95" i="3"/>
  <c r="I95" i="3"/>
  <c r="H95" i="3"/>
  <c r="H106" i="3"/>
  <c r="I106" i="3"/>
  <c r="G106" i="3"/>
  <c r="I151" i="3"/>
  <c r="H151" i="3"/>
  <c r="G151" i="3"/>
  <c r="I18" i="3"/>
  <c r="G18" i="3"/>
  <c r="H18" i="3"/>
  <c r="G167" i="3"/>
  <c r="I167" i="3"/>
  <c r="H167" i="3"/>
  <c r="I189" i="3"/>
  <c r="H189" i="3"/>
  <c r="G189" i="3"/>
  <c r="H240" i="3"/>
  <c r="G240" i="3"/>
  <c r="I240" i="3"/>
  <c r="G170" i="3"/>
  <c r="I170" i="3"/>
  <c r="H170" i="3"/>
  <c r="I264" i="3"/>
  <c r="H264" i="3"/>
  <c r="G264" i="3"/>
  <c r="I238" i="3"/>
  <c r="H238" i="3"/>
  <c r="G238" i="3"/>
  <c r="I126" i="3"/>
  <c r="H126" i="3"/>
  <c r="G126" i="3"/>
  <c r="I86" i="3"/>
  <c r="H86" i="3"/>
  <c r="G86" i="3"/>
  <c r="H130" i="3"/>
  <c r="I130" i="3"/>
  <c r="G130" i="3"/>
  <c r="H190" i="3"/>
  <c r="G190" i="3"/>
  <c r="I190" i="3"/>
  <c r="I99" i="3"/>
  <c r="H99" i="3"/>
  <c r="G99" i="3"/>
  <c r="I192" i="3"/>
  <c r="H192" i="3"/>
  <c r="G192" i="3"/>
  <c r="H275" i="3"/>
  <c r="G275" i="3"/>
  <c r="I275" i="3"/>
  <c r="G113" i="3"/>
  <c r="I113" i="3"/>
  <c r="H113" i="3"/>
  <c r="I183" i="3"/>
  <c r="H183" i="3"/>
  <c r="G183" i="3"/>
  <c r="I103" i="3"/>
  <c r="H103" i="3"/>
  <c r="G103" i="3"/>
  <c r="I177" i="3"/>
  <c r="H177" i="3"/>
  <c r="G177" i="3"/>
  <c r="I39" i="3"/>
  <c r="H39" i="3"/>
  <c r="G39" i="3"/>
  <c r="I187" i="3"/>
  <c r="H187" i="3"/>
  <c r="G187" i="3"/>
  <c r="H122" i="3"/>
  <c r="I122" i="3"/>
  <c r="G122" i="3"/>
  <c r="H236" i="3"/>
  <c r="I236" i="3"/>
  <c r="G236" i="3"/>
  <c r="I252" i="3"/>
  <c r="H252" i="3"/>
  <c r="G252" i="3"/>
  <c r="I188" i="3"/>
  <c r="H188" i="3"/>
  <c r="G188" i="3"/>
  <c r="G56" i="3"/>
  <c r="H56" i="3"/>
  <c r="I56" i="3"/>
  <c r="I217" i="3"/>
  <c r="H217" i="3"/>
  <c r="G217" i="3"/>
  <c r="I54" i="3"/>
  <c r="G54" i="3"/>
  <c r="H54" i="3"/>
  <c r="I46" i="3"/>
  <c r="H46" i="3"/>
  <c r="G46" i="3"/>
  <c r="G20" i="3"/>
  <c r="H20" i="3"/>
  <c r="I20" i="3"/>
  <c r="H245" i="3"/>
  <c r="G245" i="3"/>
  <c r="I245" i="3"/>
  <c r="G148" i="3"/>
  <c r="I148" i="3"/>
  <c r="H148" i="3"/>
  <c r="G123" i="3"/>
  <c r="I123" i="3"/>
  <c r="H123" i="3"/>
  <c r="I58" i="3"/>
  <c r="H58" i="3"/>
  <c r="G58" i="3"/>
  <c r="I295" i="3"/>
  <c r="H295" i="3"/>
  <c r="G295" i="3"/>
  <c r="I117" i="3"/>
  <c r="H117" i="3"/>
  <c r="G117" i="3"/>
  <c r="I150" i="3"/>
  <c r="H150" i="3"/>
  <c r="G150" i="3"/>
  <c r="H71" i="3"/>
  <c r="G71" i="3"/>
  <c r="I71" i="3"/>
  <c r="G249" i="3"/>
  <c r="I249" i="3"/>
  <c r="H249" i="3"/>
  <c r="I78" i="3"/>
  <c r="H78" i="3"/>
  <c r="G78" i="3"/>
  <c r="I74" i="3"/>
  <c r="H74" i="3"/>
  <c r="G74" i="3"/>
  <c r="I250" i="3"/>
  <c r="H250" i="3"/>
  <c r="G250" i="3"/>
  <c r="I76" i="3"/>
  <c r="H76" i="3"/>
  <c r="G76" i="3"/>
  <c r="G159" i="3"/>
  <c r="H159" i="3"/>
  <c r="I159" i="3"/>
  <c r="I137" i="3"/>
  <c r="H137" i="3"/>
  <c r="G137" i="3"/>
  <c r="I38" i="3"/>
  <c r="H38" i="3"/>
  <c r="G38" i="3"/>
  <c r="I77" i="3"/>
  <c r="H77" i="3"/>
  <c r="G77" i="3"/>
  <c r="G229" i="3"/>
  <c r="I229" i="3"/>
  <c r="H229" i="3"/>
  <c r="I87" i="3"/>
  <c r="H87" i="3"/>
  <c r="G87" i="3"/>
  <c r="I300" i="3"/>
  <c r="G300" i="3"/>
  <c r="H300" i="3"/>
  <c r="H79" i="3"/>
  <c r="G79" i="3"/>
  <c r="I79" i="3"/>
  <c r="H253" i="3"/>
  <c r="G253" i="3"/>
  <c r="I253" i="3"/>
  <c r="I30" i="3"/>
  <c r="G30" i="3"/>
  <c r="H30" i="3"/>
  <c r="G131" i="3"/>
  <c r="I131" i="3"/>
  <c r="H131" i="3"/>
  <c r="H154" i="3"/>
  <c r="I154" i="3"/>
  <c r="G154" i="3"/>
  <c r="I112" i="3"/>
  <c r="H112" i="3"/>
  <c r="G112" i="3"/>
  <c r="I173" i="3"/>
  <c r="H173" i="3"/>
  <c r="G173" i="3"/>
  <c r="I26" i="3"/>
  <c r="G26" i="3"/>
  <c r="H26" i="3"/>
  <c r="G84" i="3"/>
  <c r="H84" i="3"/>
  <c r="I84" i="3"/>
  <c r="I268" i="3"/>
  <c r="H268" i="3"/>
  <c r="G268" i="3"/>
  <c r="G104" i="3"/>
  <c r="I104" i="3"/>
  <c r="H104" i="3"/>
  <c r="H174" i="3"/>
  <c r="I174" i="3"/>
  <c r="G174" i="3"/>
  <c r="S16" i="6" l="1"/>
  <c r="G35" i="2" s="1"/>
  <c r="AC14" i="5"/>
  <c r="G34" i="2" l="1"/>
  <c r="G27" i="2"/>
  <c r="G26" i="2"/>
  <c r="G48" i="2"/>
  <c r="L48" i="2" s="1"/>
  <c r="G29" i="2"/>
  <c r="G44" i="2"/>
  <c r="J44" i="2" s="1"/>
  <c r="G28" i="2"/>
  <c r="G31" i="2"/>
  <c r="G40" i="2"/>
  <c r="J40" i="2" s="1"/>
  <c r="G51" i="2"/>
  <c r="G41" i="2"/>
  <c r="K41" i="2" s="1"/>
  <c r="G30" i="2"/>
  <c r="G49" i="2"/>
  <c r="J49" i="2" s="1"/>
  <c r="G46" i="2"/>
  <c r="K46" i="2" s="1"/>
  <c r="K35" i="2"/>
  <c r="J35" i="2"/>
  <c r="I35" i="2"/>
  <c r="L35" i="2"/>
  <c r="H35" i="2"/>
  <c r="L44" i="2"/>
  <c r="H44" i="2"/>
  <c r="K34" i="2"/>
  <c r="J34" i="2"/>
  <c r="I34" i="2"/>
  <c r="L34" i="2"/>
  <c r="H34" i="2"/>
  <c r="G39" i="2"/>
  <c r="G37" i="2"/>
  <c r="AC15" i="5"/>
  <c r="A45" i="2" s="1"/>
  <c r="G38" i="2"/>
  <c r="G47" i="2"/>
  <c r="G36" i="2"/>
  <c r="G45" i="2"/>
  <c r="G32" i="2"/>
  <c r="G42" i="2"/>
  <c r="G50" i="2"/>
  <c r="G33" i="2"/>
  <c r="G43" i="2"/>
  <c r="K44" i="2" l="1"/>
  <c r="I41" i="2"/>
  <c r="J41" i="2"/>
  <c r="L46" i="2"/>
  <c r="H46" i="2"/>
  <c r="A27" i="2"/>
  <c r="E27" i="2" s="1"/>
  <c r="A29" i="2"/>
  <c r="C29" i="2" s="1"/>
  <c r="A30" i="2"/>
  <c r="D30" i="2" s="1"/>
  <c r="I46" i="2"/>
  <c r="J46" i="2"/>
  <c r="L40" i="2"/>
  <c r="I40" i="2"/>
  <c r="I44" i="2"/>
  <c r="K40" i="2"/>
  <c r="A28" i="2"/>
  <c r="E28" i="2" s="1"/>
  <c r="D27" i="2"/>
  <c r="B27" i="2"/>
  <c r="H49" i="2"/>
  <c r="I49" i="2"/>
  <c r="K27" i="2"/>
  <c r="I27" i="2"/>
  <c r="J27" i="2"/>
  <c r="L27" i="2"/>
  <c r="H27" i="2"/>
  <c r="J48" i="2"/>
  <c r="K31" i="2"/>
  <c r="I31" i="2"/>
  <c r="L31" i="2"/>
  <c r="H31" i="2"/>
  <c r="J31" i="2"/>
  <c r="H48" i="2"/>
  <c r="K48" i="2"/>
  <c r="A36" i="2"/>
  <c r="C36" i="2" s="1"/>
  <c r="A48" i="2"/>
  <c r="E48" i="2" s="1"/>
  <c r="H41" i="2"/>
  <c r="K28" i="2"/>
  <c r="J28" i="2"/>
  <c r="I28" i="2"/>
  <c r="L28" i="2"/>
  <c r="H28" i="2"/>
  <c r="I48" i="2"/>
  <c r="K49" i="2"/>
  <c r="A43" i="2"/>
  <c r="F43" i="2" s="1"/>
  <c r="A26" i="2"/>
  <c r="H40" i="2"/>
  <c r="L41" i="2"/>
  <c r="L49" i="2"/>
  <c r="K29" i="2"/>
  <c r="J29" i="2"/>
  <c r="I29" i="2"/>
  <c r="L29" i="2"/>
  <c r="H29" i="2"/>
  <c r="J30" i="2"/>
  <c r="I30" i="2"/>
  <c r="L30" i="2"/>
  <c r="H30" i="2"/>
  <c r="K30" i="2"/>
  <c r="K26" i="2"/>
  <c r="J26" i="2"/>
  <c r="L26" i="2"/>
  <c r="H26" i="2"/>
  <c r="I26" i="2"/>
  <c r="K43" i="2"/>
  <c r="J43" i="2"/>
  <c r="I43" i="2"/>
  <c r="L43" i="2"/>
  <c r="H43" i="2"/>
  <c r="A35" i="2"/>
  <c r="E45" i="2"/>
  <c r="D45" i="2"/>
  <c r="C45" i="2"/>
  <c r="B45" i="2"/>
  <c r="F45" i="2"/>
  <c r="K50" i="2"/>
  <c r="J50" i="2"/>
  <c r="I50" i="2"/>
  <c r="L50" i="2"/>
  <c r="H50" i="2"/>
  <c r="K36" i="2"/>
  <c r="J36" i="2"/>
  <c r="I36" i="2"/>
  <c r="L36" i="2"/>
  <c r="H36" i="2"/>
  <c r="A49" i="2"/>
  <c r="A46" i="2"/>
  <c r="A33" i="2"/>
  <c r="A32" i="2"/>
  <c r="A44" i="2"/>
  <c r="A31" i="2"/>
  <c r="A51" i="2"/>
  <c r="A42" i="2"/>
  <c r="A39" i="2"/>
  <c r="A40" i="2"/>
  <c r="A37" i="2"/>
  <c r="A41" i="2"/>
  <c r="A47" i="2"/>
  <c r="A38" i="2"/>
  <c r="A34" i="2"/>
  <c r="A50" i="2"/>
  <c r="K39" i="2"/>
  <c r="J39" i="2"/>
  <c r="I39" i="2"/>
  <c r="L39" i="2"/>
  <c r="H39" i="2"/>
  <c r="K33" i="2"/>
  <c r="J33" i="2"/>
  <c r="I33" i="2"/>
  <c r="L33" i="2"/>
  <c r="H33" i="2"/>
  <c r="K42" i="2"/>
  <c r="J42" i="2"/>
  <c r="I42" i="2"/>
  <c r="L42" i="2"/>
  <c r="H42" i="2"/>
  <c r="K45" i="2"/>
  <c r="J45" i="2"/>
  <c r="I45" i="2"/>
  <c r="L45" i="2"/>
  <c r="H45" i="2"/>
  <c r="K47" i="2"/>
  <c r="J47" i="2"/>
  <c r="I47" i="2"/>
  <c r="L47" i="2"/>
  <c r="H47" i="2"/>
  <c r="K37" i="2"/>
  <c r="J37" i="2"/>
  <c r="I37" i="2"/>
  <c r="L37" i="2"/>
  <c r="H37" i="2"/>
  <c r="K32" i="2"/>
  <c r="J32" i="2"/>
  <c r="I32" i="2"/>
  <c r="L32" i="2"/>
  <c r="H32" i="2"/>
  <c r="K38" i="2"/>
  <c r="J38" i="2"/>
  <c r="I38" i="2"/>
  <c r="L38" i="2"/>
  <c r="H38" i="2"/>
  <c r="E29" i="2" l="1"/>
  <c r="D29" i="2"/>
  <c r="C48" i="2"/>
  <c r="F29" i="2"/>
  <c r="D48" i="2"/>
  <c r="F48" i="2"/>
  <c r="B48" i="2"/>
  <c r="F28" i="2"/>
  <c r="C27" i="2"/>
  <c r="B28" i="2"/>
  <c r="F27" i="2"/>
  <c r="E36" i="2"/>
  <c r="E30" i="2"/>
  <c r="D36" i="2"/>
  <c r="B30" i="2"/>
  <c r="C30" i="2"/>
  <c r="F30" i="2"/>
  <c r="C28" i="2"/>
  <c r="B36" i="2"/>
  <c r="F36" i="2"/>
  <c r="B29" i="2"/>
  <c r="D28" i="2"/>
  <c r="B43" i="2"/>
  <c r="C43" i="2"/>
  <c r="D43" i="2"/>
  <c r="E43" i="2"/>
  <c r="C26" i="2"/>
  <c r="F26" i="2"/>
  <c r="E26" i="2"/>
  <c r="D26" i="2"/>
  <c r="B26" i="2"/>
  <c r="E35" i="2"/>
  <c r="F35" i="2"/>
  <c r="C35" i="2"/>
  <c r="D35" i="2"/>
  <c r="B35" i="2"/>
  <c r="F46" i="2"/>
  <c r="E46" i="2"/>
  <c r="C46" i="2"/>
  <c r="D46" i="2"/>
  <c r="B46" i="2"/>
  <c r="E37" i="2"/>
  <c r="D37" i="2"/>
  <c r="C37" i="2"/>
  <c r="B37" i="2"/>
  <c r="F37" i="2"/>
  <c r="E38" i="2"/>
  <c r="F38" i="2"/>
  <c r="B38" i="2"/>
  <c r="D38" i="2"/>
  <c r="C38" i="2"/>
  <c r="E32" i="2"/>
  <c r="C32" i="2"/>
  <c r="F32" i="2"/>
  <c r="D32" i="2"/>
  <c r="B32" i="2"/>
  <c r="F49" i="2"/>
  <c r="E49" i="2"/>
  <c r="D49" i="2"/>
  <c r="C49" i="2"/>
  <c r="B49" i="2"/>
  <c r="E44" i="2"/>
  <c r="F44" i="2"/>
  <c r="D44" i="2"/>
  <c r="C44" i="2"/>
  <c r="B44" i="2"/>
  <c r="E34" i="2"/>
  <c r="C34" i="2"/>
  <c r="D34" i="2"/>
  <c r="B34" i="2"/>
  <c r="F34" i="2"/>
  <c r="E41" i="2"/>
  <c r="D41" i="2"/>
  <c r="B41" i="2"/>
  <c r="C41" i="2"/>
  <c r="F41" i="2"/>
  <c r="F40" i="2"/>
  <c r="E40" i="2"/>
  <c r="C40" i="2"/>
  <c r="D40" i="2"/>
  <c r="B40" i="2"/>
  <c r="E42" i="2"/>
  <c r="D42" i="2"/>
  <c r="C42" i="2"/>
  <c r="B42" i="2"/>
  <c r="F42" i="2"/>
  <c r="E50" i="2"/>
  <c r="D50" i="2"/>
  <c r="C50" i="2"/>
  <c r="B50" i="2"/>
  <c r="F50" i="2"/>
  <c r="E33" i="2"/>
  <c r="D33" i="2"/>
  <c r="C33" i="2"/>
  <c r="B33" i="2"/>
  <c r="F33" i="2"/>
  <c r="E47" i="2"/>
  <c r="F47" i="2"/>
  <c r="B47" i="2"/>
  <c r="D47" i="2"/>
  <c r="C47" i="2"/>
  <c r="E39" i="2"/>
  <c r="D39" i="2"/>
  <c r="C39" i="2"/>
  <c r="B39" i="2"/>
  <c r="F39" i="2"/>
  <c r="E31" i="2"/>
  <c r="C31" i="2"/>
  <c r="D31" i="2"/>
  <c r="F31" i="2"/>
  <c r="B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400-000001000000}">
      <text>
        <r>
          <rPr>
            <sz val="10"/>
            <rFont val="Arial"/>
            <family val="2"/>
          </rPr>
          <t>Exemple ECOBANK : remplacez ces lignes par vos opérations.</t>
        </r>
      </text>
    </comment>
  </commentList>
</comments>
</file>

<file path=xl/sharedStrings.xml><?xml version="1.0" encoding="utf-8"?>
<sst xmlns="http://schemas.openxmlformats.org/spreadsheetml/2006/main" count="274" uniqueCount="213">
  <si>
    <t>Rapprochement bancaire</t>
  </si>
  <si>
    <t>Classeur sans macro : tout se recalcule automatiquement dès que vous saisissez ou modifiez une ligne.</t>
  </si>
  <si>
    <t>Étapes</t>
  </si>
  <si>
    <t>1. Paramètres</t>
  </si>
  <si>
    <t>Renseignez vos comptes et leur solde d'ouverture, puis les tolérances (date ± N jours, montant ± X FCFA).</t>
  </si>
  <si>
    <t>2. Mouvements_Locaux</t>
  </si>
  <si>
    <t>Saisissez vos opérations (colonnes jaunes B à I). Une ligne = un débit OU un crédit.</t>
  </si>
  <si>
    <t>3. Releve_Banque</t>
  </si>
  <si>
    <t>Collez le relevé de la banque dans les colonnes jaunes B à H (Date, Compte, Libellé, Référence, Débit, Crédit, Solde). Depuis un PDF : copiez le tableau, collez dans Excel, puis remettez les colonnes dans cet ordre.</t>
  </si>
  <si>
    <t>4. Rapprochement</t>
  </si>
  <si>
    <t>Automatique : chaque opération locale cherche la ligne du relevé de même compte et même montant, puis la date et la référence donnent le score.</t>
  </si>
  <si>
    <t>5. Tableau_de_bord</t>
  </si>
  <si>
    <t>Choisissez le compte et la date d'arrêté en haut : le verdict, le % rapproché, l'écart de solde et les lignes qui coincent s'affichent.</t>
  </si>
  <si>
    <t>Les « boutons »</t>
  </si>
  <si>
    <t>Valider la proposition</t>
  </si>
  <si>
    <t>Mouvements_Locaux, colonne N « Décision » : choisissez Valider.</t>
  </si>
  <si>
    <t>Rejeter une proposition</t>
  </si>
  <si>
    <t>Colonne N : Rejeter. La ligne repasse en Non rapproché ; associez-la à la main si besoin.</t>
  </si>
  <si>
    <t>Marquer écart</t>
  </si>
  <si>
    <t>Colonne N (côté local) ou colonne L de Releve_Banque (côté banque) : Écart.</t>
  </si>
  <si>
    <t>Association manuelle</t>
  </si>
  <si>
    <t>Colonne O : tapez le N° de la ligne du relevé (colonne A de Releve_Banque).</t>
  </si>
  <si>
    <t>Lancer le rapprochement</t>
  </si>
  <si>
    <t>Rien à cliquer : Excel recalcule en continu (si le calcul est en mode manuel, appuyez sur F9).</t>
  </si>
  <si>
    <t>Scores de confiance</t>
  </si>
  <si>
    <t>Fort</t>
  </si>
  <si>
    <t>Même montant + date dans la tolérance + même référence (n° chèque ou de virement retrouvé dans le libellé banque).</t>
  </si>
  <si>
    <t>Moyen</t>
  </si>
  <si>
    <t>Même montant + date dans la tolérance.</t>
  </si>
  <si>
    <t>Faible</t>
  </si>
  <si>
    <t>Montant seul (date hors tolérance mais dans la fenêtre « Faible ») : à vérifier.</t>
  </si>
  <si>
    <t>Manuel</t>
  </si>
  <si>
    <t>Association saisie à la main en colonne O.</t>
  </si>
  <si>
    <t>Statuts</t>
  </si>
  <si>
    <t>Rapproché</t>
  </si>
  <si>
    <t>Score Fort (validé automatiquement si le paramètre est sur Oui) ou proposition validée.</t>
  </si>
  <si>
    <t>Proposé</t>
  </si>
  <si>
    <t>Score Moyen ou Faible en attente de votre décision.</t>
  </si>
  <si>
    <t>Non rapproché</t>
  </si>
  <si>
    <t>Aucune correspondance trouvée.</t>
  </si>
  <si>
    <t>Écart</t>
  </si>
  <si>
    <t>Ligne signalée par vous comme anomalie.</t>
  </si>
  <si>
    <t>Conflit</t>
  </si>
  <si>
    <t>Deux opérations locales pointent la même ligne du relevé : corrigez l'association manuelle.</t>
  </si>
  <si>
    <t>Bon à savoir</t>
  </si>
  <si>
    <t>Ordre de saisie</t>
  </si>
  <si>
    <t>Les montants identiques (ex. deux chèques de 150 000) sont appariés dans l'ordre de saisie : saisissez dans l'ordre chronologique.</t>
  </si>
  <si>
    <t>Capacité</t>
  </si>
  <si>
    <t>500 lignes locales et 500 lignes de relevé. Les colonnes grises repliées (S à AC) sont les calculs du moteur : ne pas modifier.</t>
  </si>
  <si>
    <t>Données d'exemple</t>
  </si>
  <si>
    <t>Les lignes ECOBANK fournies sont un exemple : effacez les colonnes jaunes B à I (local) et B à H (relevé) avant de saisir vos données. Ne supprimez pas les lignes, videz seulement les cellules.</t>
  </si>
  <si>
    <t>Légende</t>
  </si>
  <si>
    <t>Cellule à saisir</t>
  </si>
  <si>
    <t>Calcul automatique</t>
  </si>
  <si>
    <t>Tableau de bord du rapprochement</t>
  </si>
  <si>
    <t>Choisissez le compte et la date d'arrêté (cellules jaunes).</t>
  </si>
  <si>
    <t>Compte</t>
  </si>
  <si>
    <t>ECOBANK</t>
  </si>
  <si>
    <t>Solde d'ouverture</t>
  </si>
  <si>
    <t>Date d'arrêté</t>
  </si>
  <si>
    <t>rapproché</t>
  </si>
  <si>
    <t>Totaux</t>
  </si>
  <si>
    <t>Soldes et état de rapprochement</t>
  </si>
  <si>
    <t>Local</t>
  </si>
  <si>
    <t>Relevé</t>
  </si>
  <si>
    <t>Calculs verdict</t>
  </si>
  <si>
    <t>Nombre de lignes</t>
  </si>
  <si>
    <t>Solde local à la date d'arrêté</t>
  </si>
  <si>
    <t>Total débits</t>
  </si>
  <si>
    <t>Solde relevé à la date d'arrêté</t>
  </si>
  <si>
    <t>Total crédits</t>
  </si>
  <si>
    <t>Écart de solde (local − relevé)</t>
  </si>
  <si>
    <t>Lignes rapprochées</t>
  </si>
  <si>
    <t>% rapproché</t>
  </si>
  <si>
    <t>Solde du relevé</t>
  </si>
  <si>
    <t>Non rapprochées</t>
  </si>
  <si>
    <t>+ crédits locaux non pointés</t>
  </si>
  <si>
    <t>Proposées (à valider)</t>
  </si>
  <si>
    <t>− débits locaux non pointés</t>
  </si>
  <si>
    <t>Écarts signalés</t>
  </si>
  <si>
    <t>− crédits banque non pointés</t>
  </si>
  <si>
    <t>Conflits</t>
  </si>
  <si>
    <t>+ débits banque non pointés</t>
  </si>
  <si>
    <t>Solde local reconstitué (=)</t>
  </si>
  <si>
    <t>Écart inexpliqué</t>
  </si>
  <si>
    <t>Dans mes comptes, absentes du relevé (ou non validées)</t>
  </si>
  <si>
    <t>Sur le relevé, absentes de mes comptes (ou non validées)</t>
  </si>
  <si>
    <t>N°</t>
  </si>
  <si>
    <t>Date</t>
  </si>
  <si>
    <t>Motif / référence</t>
  </si>
  <si>
    <t>Montant</t>
  </si>
  <si>
    <t>Statut</t>
  </si>
  <si>
    <t>Proposition</t>
  </si>
  <si>
    <t>Rapprochement : paires local ↔ banque</t>
  </si>
  <si>
    <t>Vue du compte choisi dans le tableau de bord. Pour valider, rejeter ou associer : colonnes N et O de Mouvements_Locaux.</t>
  </si>
  <si>
    <t>N° local</t>
  </si>
  <si>
    <t>Date locale</t>
  </si>
  <si>
    <t>Référence</t>
  </si>
  <si>
    <t>Motif</t>
  </si>
  <si>
    <t>Montant local</t>
  </si>
  <si>
    <t>N° banque</t>
  </si>
  <si>
    <t>Date banque</t>
  </si>
  <si>
    <t>Libellé banque</t>
  </si>
  <si>
    <t>Montant banque</t>
  </si>
  <si>
    <t>Δ jours</t>
  </si>
  <si>
    <t>Δ montant</t>
  </si>
  <si>
    <t>Score</t>
  </si>
  <si>
    <t>Paramètres</t>
  </si>
  <si>
    <t>Cellules jaunes modifiables.</t>
  </si>
  <si>
    <t>Moteur de rapprochement</t>
  </si>
  <si>
    <t>Tolérance de date (jours)</t>
  </si>
  <si>
    <t>Écart maximal entre date locale et date banque pour un score Fort ou Moyen.</t>
  </si>
  <si>
    <t>Tolérance de montant (FCFA)</t>
  </si>
  <si>
    <t>0 = montant identique exigé. Ex. 5000 pour accepter un petit écart (frais retenus).</t>
  </si>
  <si>
    <t>Fenêtre « Faible » (jours)</t>
  </si>
  <si>
    <t>Au-delà de la tolérance de date et jusqu'à cette limite : score Faible.</t>
  </si>
  <si>
    <t>Valider auto. les paires Fort</t>
  </si>
  <si>
    <t>Oui</t>
  </si>
  <si>
    <t>Oui = les paires Fort passent directement en Rapproché.</t>
  </si>
  <si>
    <t>Comptes bancaires</t>
  </si>
  <si>
    <t>Solde d'ouverture (FCFA)</t>
  </si>
  <si>
    <t>Date du solde d'ouverture</t>
  </si>
  <si>
    <t>Solde avant la première opération enregistrée (exemple ECOBANK).</t>
  </si>
  <si>
    <t>BIIC</t>
  </si>
  <si>
    <t>BGFI</t>
  </si>
  <si>
    <t>Atlantique</t>
  </si>
  <si>
    <t>Mouvements locaux</t>
  </si>
  <si>
    <t>Saisie en jaune (B à I, N, O). Statut, score et N° banque se calculent seuls. Colonnes S à AC : moteur (repliées).</t>
  </si>
  <si>
    <t>Description</t>
  </si>
  <si>
    <t>Catégorie</t>
  </si>
  <si>
    <t>Débit</t>
  </si>
  <si>
    <t>Crédit</t>
  </si>
  <si>
    <t>Solde calculé</t>
  </si>
  <si>
    <t>Statut_Rapprochement</t>
  </si>
  <si>
    <t>N° ligne banque</t>
  </si>
  <si>
    <t>Décision</t>
  </si>
  <si>
    <t>Association manuelle (N° banque)</t>
  </si>
  <si>
    <t>Contrôle</t>
  </si>
  <si>
    <t>Montant signé</t>
  </si>
  <si>
    <t>Clé</t>
  </si>
  <si>
    <t>N° réf. extrait</t>
  </si>
  <si>
    <t>Cand. exact</t>
  </si>
  <si>
    <t>Δj exact</t>
  </si>
  <si>
    <t>Exact valide</t>
  </si>
  <si>
    <t>Cand. tolérance</t>
  </si>
  <si>
    <t>Candidat retenu</t>
  </si>
  <si>
    <t>Réf. identique</t>
  </si>
  <si>
    <t>Pointé</t>
  </si>
  <si>
    <t>Rang à traiter</t>
  </si>
  <si>
    <t>Rang paire</t>
  </si>
  <si>
    <t>VIR-2210</t>
  </si>
  <si>
    <t>Vente</t>
  </si>
  <si>
    <t>Client SOTRACI · facture F-0921</t>
  </si>
  <si>
    <t>Ventes</t>
  </si>
  <si>
    <t>CHQ 0045871</t>
  </si>
  <si>
    <t>Achat pièces</t>
  </si>
  <si>
    <t>Fournisseur CFAO · BC 331</t>
  </si>
  <si>
    <t>Achats</t>
  </si>
  <si>
    <t>VIR-2214</t>
  </si>
  <si>
    <t>Salaires septembre</t>
  </si>
  <si>
    <t>Lot de virements · 14 agents</t>
  </si>
  <si>
    <t>Salaires</t>
  </si>
  <si>
    <t>Transport conteneur</t>
  </si>
  <si>
    <t>Bolloré · port → entrepôt</t>
  </si>
  <si>
    <t>Logistique</t>
  </si>
  <si>
    <t>CHQ 0045872</t>
  </si>
  <si>
    <t>Fournitures bureau</t>
  </si>
  <si>
    <t>Librairie de France</t>
  </si>
  <si>
    <t>ENC-118</t>
  </si>
  <si>
    <t>Client KIMA SARL · facture F-0925</t>
  </si>
  <si>
    <t>Versement espèces</t>
  </si>
  <si>
    <t>Recette caisse semaine 40</t>
  </si>
  <si>
    <t>CHQ 0045873</t>
  </si>
  <si>
    <t>Loyer entrepôt</t>
  </si>
  <si>
    <t>Octobre 2026</t>
  </si>
  <si>
    <t>Autre</t>
  </si>
  <si>
    <t>VIR-2220</t>
  </si>
  <si>
    <t>Transfert vers BIIC</t>
  </si>
  <si>
    <t>Alimentation compte BIIC</t>
  </si>
  <si>
    <t>Transfert</t>
  </si>
  <si>
    <t>ENC-121</t>
  </si>
  <si>
    <t>Client SOCIMAT · facture F-0930</t>
  </si>
  <si>
    <t>CHQ 0045874</t>
  </si>
  <si>
    <t>Carburant</t>
  </si>
  <si>
    <t>Station Total · camion 2</t>
  </si>
  <si>
    <t>Vente comptoir</t>
  </si>
  <si>
    <t>Ticket 4471</t>
  </si>
  <si>
    <t>Relevé bancaire</t>
  </si>
  <si>
    <t>Collez le relevé en jaune (B à H). Colonne L : « Écart » pour signaler une anomalie. Colonnes O à T : moteur (repliées).</t>
  </si>
  <si>
    <t>Date_Valeur / Opération</t>
  </si>
  <si>
    <t>Libellé_Banque</t>
  </si>
  <si>
    <t>Référence_Banque</t>
  </si>
  <si>
    <t>Débit_Banque</t>
  </si>
  <si>
    <t>Crédit_Banque</t>
  </si>
  <si>
    <t>Solde_Banque</t>
  </si>
  <si>
    <t>N° ligne locale</t>
  </si>
  <si>
    <t>Pris (exact)</t>
  </si>
  <si>
    <t>Ligne solde</t>
  </si>
  <si>
    <t>Signe</t>
  </si>
  <si>
    <t>VIR RECU SOTRACI REF VIR-2210</t>
  </si>
  <si>
    <t>COMMISSION SUR VIREMENT</t>
  </si>
  <si>
    <t>VIREMENT SALAIRES LOT 2214</t>
  </si>
  <si>
    <t>PAIEMENT CHEQUE</t>
  </si>
  <si>
    <t>45871</t>
  </si>
  <si>
    <t>PRLV BOLLORE TRANSPORT</t>
  </si>
  <si>
    <t>VERSEMENT KIMA SARL</t>
  </si>
  <si>
    <t>VERSEMENT ESPECES</t>
  </si>
  <si>
    <t>PAIEMENT CHEQUE N° 45872</t>
  </si>
  <si>
    <t>PAIEMENT CHEQUE N° 45873</t>
  </si>
  <si>
    <t>VIR EMIS VERS BIIC</t>
  </si>
  <si>
    <t>FRAIS TENUE DE COMPTE</t>
  </si>
  <si>
    <t>TAXE TOB SUR FRAIS</t>
  </si>
  <si>
    <t>VERSEMENT SOCIMAT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</si>
</sst>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;\-#,##0;\-"/>
  </numFmts>
  <fonts count="1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5"/>
      <color rgb="FF0E5A4A"/>
      <name val="Arial"/>
      <family val="2"/>
    </font>
    <font>
      <i/>
      <sz val="9"/>
      <color rgb="FF58695F"/>
      <name val="Arial"/>
      <family val="2"/>
    </font>
    <font>
      <b/>
      <sz val="11"/>
      <color rgb="FF0E5A4A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1"/>
      <color rgb="FF0000FF"/>
      <name val="Arial"/>
      <family val="2"/>
    </font>
    <font>
      <b/>
      <sz val="16"/>
      <color rgb="FF0E5A4A"/>
      <name val="Arial"/>
      <family val="2"/>
    </font>
    <font>
      <b/>
      <sz val="16"/>
      <name val="Arial"/>
      <family val="2"/>
    </font>
    <font>
      <sz val="10"/>
      <color rgb="FF58695F"/>
      <name val="Arial"/>
      <family val="2"/>
    </font>
    <font>
      <b/>
      <sz val="10"/>
      <color rgb="FFFFFFFF"/>
      <name val="Arial"/>
      <family val="2"/>
    </font>
    <font>
      <sz val="8"/>
      <color rgb="FF999999"/>
      <name val="Arial"/>
      <family val="2"/>
    </font>
    <font>
      <sz val="9"/>
      <color rgb="FF58695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8DC"/>
        <bgColor rgb="FFF9ECD0"/>
      </patternFill>
    </fill>
    <fill>
      <patternFill patternType="solid">
        <fgColor rgb="FFF2F5F4"/>
        <bgColor rgb="FFFFF8DC"/>
      </patternFill>
    </fill>
    <fill>
      <patternFill patternType="solid">
        <fgColor rgb="FF0E5A4A"/>
        <bgColor rgb="FF1B7443"/>
      </patternFill>
    </fill>
    <fill>
      <patternFill patternType="solid">
        <fgColor rgb="FFB8860B"/>
        <bgColor rgb="FF8F5C00"/>
      </patternFill>
    </fill>
    <fill>
      <patternFill patternType="solid">
        <fgColor rgb="FF7A8A83"/>
        <bgColor rgb="FF999999"/>
      </patternFill>
    </fill>
    <fill>
      <patternFill patternType="solid">
        <fgColor rgb="FFE8E8E8"/>
        <bgColor rgb="FFE2E7F1"/>
      </patternFill>
    </fill>
  </fills>
  <borders count="2">
    <border>
      <left/>
      <right/>
      <top/>
      <bottom/>
      <diagonal/>
    </border>
    <border>
      <left style="thin">
        <color rgb="FFD2DCD7"/>
      </left>
      <right style="thin">
        <color rgb="FFD2DCD7"/>
      </right>
      <top style="thin">
        <color rgb="FFD2DCD7"/>
      </top>
      <bottom style="thin">
        <color rgb="FFD2DCD7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6" fillId="0" borderId="0" xfId="0" applyFont="1"/>
    <xf numFmtId="0" fontId="11" fillId="0" borderId="0" xfId="0" applyFont="1"/>
    <xf numFmtId="0" fontId="5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3" borderId="0" xfId="0" applyFont="1" applyFill="1"/>
    <xf numFmtId="0" fontId="8" fillId="2" borderId="1" xfId="0" applyFont="1" applyFill="1" applyBorder="1"/>
    <xf numFmtId="164" fontId="0" fillId="0" borderId="0" xfId="0" applyNumberFormat="1"/>
    <xf numFmtId="14" fontId="8" fillId="2" borderId="1" xfId="0" applyNumberFormat="1" applyFont="1" applyFill="1" applyBorder="1"/>
    <xf numFmtId="9" fontId="10" fillId="0" borderId="0" xfId="0" applyNumberFormat="1" applyFont="1"/>
    <xf numFmtId="0" fontId="12" fillId="4" borderId="0" xfId="0" applyFont="1" applyFill="1"/>
    <xf numFmtId="0" fontId="13" fillId="0" borderId="0" xfId="0" applyFont="1"/>
    <xf numFmtId="164" fontId="6" fillId="0" borderId="1" xfId="0" applyNumberFormat="1" applyFont="1" applyBorder="1"/>
    <xf numFmtId="0" fontId="14" fillId="0" borderId="0" xfId="0" applyFont="1"/>
    <xf numFmtId="164" fontId="5" fillId="0" borderId="1" xfId="0" applyNumberFormat="1" applyFont="1" applyBorder="1"/>
    <xf numFmtId="164" fontId="13" fillId="0" borderId="0" xfId="0" applyNumberFormat="1" applyFont="1"/>
    <xf numFmtId="9" fontId="6" fillId="0" borderId="1" xfId="0" applyNumberFormat="1" applyFont="1" applyBorder="1"/>
    <xf numFmtId="0" fontId="6" fillId="0" borderId="1" xfId="0" applyFont="1" applyBorder="1"/>
    <xf numFmtId="14" fontId="6" fillId="0" borderId="1" xfId="0" applyNumberFormat="1" applyFont="1" applyBorder="1"/>
    <xf numFmtId="0" fontId="12" fillId="4" borderId="0" xfId="0" applyFont="1" applyFill="1" applyAlignment="1">
      <alignment vertical="center" wrapText="1"/>
    </xf>
    <xf numFmtId="14" fontId="6" fillId="0" borderId="0" xfId="0" applyNumberFormat="1" applyFont="1"/>
    <xf numFmtId="164" fontId="6" fillId="0" borderId="0" xfId="0" applyNumberFormat="1" applyFont="1"/>
    <xf numFmtId="0" fontId="7" fillId="2" borderId="1" xfId="0" applyFont="1" applyFill="1" applyBorder="1"/>
    <xf numFmtId="164" fontId="7" fillId="2" borderId="1" xfId="0" applyNumberFormat="1" applyFont="1" applyFill="1" applyBorder="1"/>
    <xf numFmtId="14" fontId="7" fillId="2" borderId="1" xfId="0" applyNumberFormat="1" applyFont="1" applyFill="1" applyBorder="1"/>
    <xf numFmtId="0" fontId="12" fillId="5" borderId="0" xfId="0" applyFont="1" applyFill="1" applyAlignment="1">
      <alignment vertical="center" wrapText="1"/>
    </xf>
    <xf numFmtId="0" fontId="12" fillId="6" borderId="0" xfId="0" applyFont="1" applyFill="1" applyAlignment="1">
      <alignment vertical="center" wrapText="1"/>
    </xf>
    <xf numFmtId="14" fontId="7" fillId="2" borderId="0" xfId="0" applyNumberFormat="1" applyFont="1" applyFill="1"/>
    <xf numFmtId="164" fontId="7" fillId="2" borderId="0" xfId="0" applyNumberFormat="1" applyFont="1" applyFill="1"/>
    <xf numFmtId="164" fontId="6" fillId="7" borderId="0" xfId="0" applyNumberFormat="1" applyFont="1" applyFill="1"/>
    <xf numFmtId="0" fontId="6" fillId="7" borderId="0" xfId="0" applyFont="1" applyFill="1"/>
    <xf numFmtId="0" fontId="6" fillId="0" borderId="0" xfId="0" applyFont="1"/>
    <xf numFmtId="0" fontId="5" fillId="0" borderId="0" xfId="0" applyFont="1"/>
    <xf numFmtId="0" fontId="9" fillId="0" borderId="0" xfId="0" applyFont="1"/>
    <xf numFmtId="0" fontId="11" fillId="0" borderId="0" xfId="0" applyFont="1"/>
  </cellXfs>
  <cellStyles count="1">
    <cellStyle name="Normal" xfId="0" builtinId="0"/>
  </cellStyles>
  <dxfs count="51">
    <dxf>
      <font>
        <b/>
        <color rgb="FF8F5C00"/>
        <name val="Arial"/>
        <charset val="1"/>
      </font>
      <fill>
        <patternFill>
          <bgColor rgb="FFF9ECD0"/>
        </patternFill>
      </fill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8F5C00"/>
        <name val="Arial"/>
        <charset val="1"/>
      </font>
      <fill>
        <patternFill>
          <bgColor rgb="FFF9ECD0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color rgb="FF475879"/>
        <name val="Arial"/>
        <charset val="1"/>
      </font>
      <fill>
        <patternFill>
          <bgColor rgb="FFE2E7F1"/>
        </patternFill>
      </fill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8F5C00"/>
        <name val="Arial"/>
        <charset val="1"/>
      </font>
      <fill>
        <patternFill>
          <bgColor rgb="FFF9ECD0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color rgb="FF8F5C00"/>
        <name val="Arial"/>
        <charset val="1"/>
      </font>
      <fill>
        <patternFill>
          <bgColor rgb="FFF9ECD0"/>
        </patternFill>
      </fill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8F5C00"/>
        <name val="Arial"/>
        <charset val="1"/>
      </font>
      <fill>
        <patternFill>
          <bgColor rgb="FFF9ECD0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color rgb="FF475879"/>
        <name val="Arial"/>
        <charset val="1"/>
      </font>
      <fill>
        <patternFill>
          <bgColor rgb="FFE2E7F1"/>
        </patternFill>
      </fill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8F5C00"/>
        <name val="Arial"/>
        <charset val="1"/>
      </font>
      <fill>
        <patternFill>
          <bgColor rgb="FFF9ECD0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8F5C00"/>
        <name val="Arial"/>
        <charset val="1"/>
      </font>
      <fill>
        <patternFill>
          <bgColor rgb="FFF9ECD0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color rgb="FF475879"/>
        <name val="Arial"/>
        <charset val="1"/>
      </font>
      <fill>
        <patternFill>
          <bgColor rgb="FFE2E7F1"/>
        </patternFill>
      </fill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8F5C00"/>
        <name val="Arial"/>
        <charset val="1"/>
      </font>
      <fill>
        <patternFill>
          <bgColor rgb="FFF9ECD0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8F5C00"/>
        <name val="Arial"/>
        <charset val="1"/>
      </font>
      <fill>
        <patternFill>
          <bgColor rgb="FFF9ECD0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color rgb="FF475879"/>
        <name val="Arial"/>
        <charset val="1"/>
      </font>
      <fill>
        <patternFill>
          <bgColor rgb="FFE2E7F1"/>
        </patternFill>
      </fill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8F5C00"/>
        <name val="Arial"/>
        <charset val="1"/>
      </font>
      <fill>
        <patternFill>
          <bgColor rgb="FFF9ECD0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color rgb="FFB0251C"/>
        <name val="Arial"/>
        <charset val="1"/>
      </font>
    </dxf>
    <dxf>
      <font>
        <b/>
        <color rgb="FFB0251C"/>
        <name val="Arial"/>
        <charset val="1"/>
      </font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8F5C00"/>
        <name val="Arial"/>
        <charset val="1"/>
      </font>
      <fill>
        <patternFill>
          <bgColor rgb="FFF9ECD0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color rgb="FF475879"/>
        <name val="Arial"/>
        <charset val="1"/>
      </font>
      <fill>
        <patternFill>
          <bgColor rgb="FFE2E7F1"/>
        </patternFill>
      </fill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B0251C"/>
        <name val="Arial"/>
        <charset val="1"/>
      </font>
      <fill>
        <patternFill>
          <bgColor rgb="FFFAE0DC"/>
        </patternFill>
      </fill>
    </dxf>
    <dxf>
      <font>
        <b/>
        <color rgb="FF8F5C00"/>
        <name val="Arial"/>
        <charset val="1"/>
      </font>
      <fill>
        <patternFill>
          <bgColor rgb="FFF9ECD0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color rgb="FF1B7443"/>
        <name val="Arial"/>
        <charset val="1"/>
      </font>
      <fill>
        <patternFill>
          <bgColor rgb="FFDCF0E3"/>
        </patternFill>
      </fill>
    </dxf>
    <dxf>
      <font>
        <b/>
        <sz val="16"/>
        <color rgb="FFB0251C"/>
        <name val="Arial"/>
        <charset val="1"/>
      </font>
    </dxf>
    <dxf>
      <font>
        <b/>
        <sz val="16"/>
        <color rgb="FF1B7443"/>
        <name val="Arial"/>
        <charset val="1"/>
      </font>
    </dxf>
  </dxfs>
  <tableStyles count="1" defaultTableStyle="TableStyleMedium2" defaultPivotStyle="PivotStyleLight16">
    <tableStyle name="Invisible" pivot="0" table="0" count="0" xr9:uid="{B32BA531-1E51-40E6-8A19-6BB40A6876BE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F5C00"/>
      <rgbColor rgb="FF800080"/>
      <rgbColor rgb="FF1B7443"/>
      <rgbColor rgb="FFE8E8E8"/>
      <rgbColor rgb="FF7A8A83"/>
      <rgbColor rgb="FF9999FF"/>
      <rgbColor rgb="FF993366"/>
      <rgbColor rgb="FFFFF8DC"/>
      <rgbColor rgb="FFF2F5F4"/>
      <rgbColor rgb="FF660066"/>
      <rgbColor rgb="FFFF8080"/>
      <rgbColor rgb="FF0066CC"/>
      <rgbColor rgb="FFD2DC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7F1"/>
      <rgbColor rgb="FFDCF0E3"/>
      <rgbColor rgb="FFF9ECD0"/>
      <rgbColor rgb="FF99CCFF"/>
      <rgbColor rgb="FFFF99CC"/>
      <rgbColor rgb="FFCC99FF"/>
      <rgbColor rgb="FFFAE0DC"/>
      <rgbColor rgb="FF3366FF"/>
      <rgbColor rgb="FF33CCCC"/>
      <rgbColor rgb="FF99CC00"/>
      <rgbColor rgb="FFFFCC00"/>
      <rgbColor rgb="FFB8860B"/>
      <rgbColor rgb="FFFF6600"/>
      <rgbColor rgb="FF58695F"/>
      <rgbColor rgb="FF999999"/>
      <rgbColor rgb="FF0E5A4A"/>
      <rgbColor rgb="FF339966"/>
      <rgbColor rgb="FF003300"/>
      <rgbColor rgb="FF333300"/>
      <rgbColor rgb="FFB0251C"/>
      <rgbColor rgb="FF993366"/>
      <rgbColor rgb="FF4758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showGridLines="0" zoomScaleNormal="100" workbookViewId="0">
      <selection activeCell="B9" sqref="B9"/>
    </sheetView>
  </sheetViews>
  <sheetFormatPr baseColWidth="10" defaultColWidth="8.6328125" defaultRowHeight="14.5" x14ac:dyDescent="0.35"/>
  <cols>
    <col min="1" max="1" width="26" customWidth="1"/>
    <col min="2" max="2" width="105" customWidth="1"/>
  </cols>
  <sheetData>
    <row r="1" spans="1:2" ht="19" x14ac:dyDescent="0.4">
      <c r="A1" s="4" t="s">
        <v>0</v>
      </c>
    </row>
    <row r="2" spans="1:2" x14ac:dyDescent="0.35">
      <c r="A2" s="5" t="s">
        <v>1</v>
      </c>
    </row>
    <row r="4" spans="1:2" x14ac:dyDescent="0.35">
      <c r="A4" s="6" t="s">
        <v>2</v>
      </c>
    </row>
    <row r="5" spans="1:2" x14ac:dyDescent="0.35">
      <c r="A5" s="3" t="s">
        <v>3</v>
      </c>
      <c r="B5" s="7" t="s">
        <v>4</v>
      </c>
    </row>
    <row r="6" spans="1:2" x14ac:dyDescent="0.35">
      <c r="A6" s="3" t="s">
        <v>5</v>
      </c>
      <c r="B6" s="7" t="s">
        <v>6</v>
      </c>
    </row>
    <row r="7" spans="1:2" ht="25" x14ac:dyDescent="0.35">
      <c r="A7" s="3" t="s">
        <v>7</v>
      </c>
      <c r="B7" s="7" t="s">
        <v>8</v>
      </c>
    </row>
    <row r="8" spans="1:2" ht="25" x14ac:dyDescent="0.35">
      <c r="A8" s="3" t="s">
        <v>9</v>
      </c>
      <c r="B8" s="7" t="s">
        <v>10</v>
      </c>
    </row>
    <row r="9" spans="1:2" x14ac:dyDescent="0.35">
      <c r="A9" s="3" t="s">
        <v>11</v>
      </c>
      <c r="B9" s="7" t="s">
        <v>12</v>
      </c>
    </row>
    <row r="10" spans="1:2" x14ac:dyDescent="0.35">
      <c r="A10" s="3"/>
      <c r="B10" s="7"/>
    </row>
    <row r="11" spans="1:2" x14ac:dyDescent="0.35">
      <c r="A11" s="6" t="s">
        <v>13</v>
      </c>
    </row>
    <row r="12" spans="1:2" x14ac:dyDescent="0.35">
      <c r="A12" s="3" t="s">
        <v>14</v>
      </c>
      <c r="B12" s="7" t="s">
        <v>15</v>
      </c>
    </row>
    <row r="13" spans="1:2" x14ac:dyDescent="0.35">
      <c r="A13" s="3" t="s">
        <v>16</v>
      </c>
      <c r="B13" s="7" t="s">
        <v>17</v>
      </c>
    </row>
    <row r="14" spans="1:2" x14ac:dyDescent="0.35">
      <c r="A14" s="3" t="s">
        <v>18</v>
      </c>
      <c r="B14" s="7" t="s">
        <v>19</v>
      </c>
    </row>
    <row r="15" spans="1:2" x14ac:dyDescent="0.35">
      <c r="A15" s="3" t="s">
        <v>20</v>
      </c>
      <c r="B15" s="7" t="s">
        <v>21</v>
      </c>
    </row>
    <row r="16" spans="1:2" x14ac:dyDescent="0.35">
      <c r="A16" s="3" t="s">
        <v>22</v>
      </c>
      <c r="B16" s="7" t="s">
        <v>23</v>
      </c>
    </row>
    <row r="17" spans="1:2" x14ac:dyDescent="0.35">
      <c r="A17" s="3"/>
      <c r="B17" s="7"/>
    </row>
    <row r="18" spans="1:2" x14ac:dyDescent="0.35">
      <c r="A18" s="6" t="s">
        <v>24</v>
      </c>
    </row>
    <row r="19" spans="1:2" x14ac:dyDescent="0.35">
      <c r="A19" s="3" t="s">
        <v>25</v>
      </c>
      <c r="B19" s="7" t="s">
        <v>26</v>
      </c>
    </row>
    <row r="20" spans="1:2" x14ac:dyDescent="0.35">
      <c r="A20" s="3" t="s">
        <v>27</v>
      </c>
      <c r="B20" s="7" t="s">
        <v>28</v>
      </c>
    </row>
    <row r="21" spans="1:2" x14ac:dyDescent="0.35">
      <c r="A21" s="3" t="s">
        <v>29</v>
      </c>
      <c r="B21" s="7" t="s">
        <v>30</v>
      </c>
    </row>
    <row r="22" spans="1:2" x14ac:dyDescent="0.35">
      <c r="A22" s="3" t="s">
        <v>31</v>
      </c>
      <c r="B22" s="7" t="s">
        <v>32</v>
      </c>
    </row>
    <row r="23" spans="1:2" x14ac:dyDescent="0.35">
      <c r="A23" s="3"/>
      <c r="B23" s="7"/>
    </row>
    <row r="24" spans="1:2" x14ac:dyDescent="0.35">
      <c r="A24" s="6" t="s">
        <v>33</v>
      </c>
    </row>
    <row r="25" spans="1:2" x14ac:dyDescent="0.35">
      <c r="A25" s="3" t="s">
        <v>34</v>
      </c>
      <c r="B25" s="7" t="s">
        <v>35</v>
      </c>
    </row>
    <row r="26" spans="1:2" x14ac:dyDescent="0.35">
      <c r="A26" s="3" t="s">
        <v>36</v>
      </c>
      <c r="B26" s="7" t="s">
        <v>37</v>
      </c>
    </row>
    <row r="27" spans="1:2" x14ac:dyDescent="0.35">
      <c r="A27" s="3" t="s">
        <v>38</v>
      </c>
      <c r="B27" s="7" t="s">
        <v>39</v>
      </c>
    </row>
    <row r="28" spans="1:2" x14ac:dyDescent="0.35">
      <c r="A28" s="3" t="s">
        <v>40</v>
      </c>
      <c r="B28" s="7" t="s">
        <v>41</v>
      </c>
    </row>
    <row r="29" spans="1:2" x14ac:dyDescent="0.35">
      <c r="A29" s="3" t="s">
        <v>42</v>
      </c>
      <c r="B29" s="7" t="s">
        <v>43</v>
      </c>
    </row>
    <row r="30" spans="1:2" x14ac:dyDescent="0.35">
      <c r="A30" s="3"/>
      <c r="B30" s="7"/>
    </row>
    <row r="31" spans="1:2" x14ac:dyDescent="0.35">
      <c r="A31" s="6" t="s">
        <v>44</v>
      </c>
    </row>
    <row r="32" spans="1:2" ht="25" x14ac:dyDescent="0.35">
      <c r="A32" s="3" t="s">
        <v>45</v>
      </c>
      <c r="B32" s="7" t="s">
        <v>46</v>
      </c>
    </row>
    <row r="33" spans="1:2" x14ac:dyDescent="0.35">
      <c r="A33" s="3" t="s">
        <v>47</v>
      </c>
      <c r="B33" s="7" t="s">
        <v>48</v>
      </c>
    </row>
    <row r="34" spans="1:2" ht="25" x14ac:dyDescent="0.35">
      <c r="A34" s="3" t="s">
        <v>49</v>
      </c>
      <c r="B34" s="7" t="s">
        <v>50</v>
      </c>
    </row>
    <row r="36" spans="1:2" x14ac:dyDescent="0.35">
      <c r="A36" s="6" t="s">
        <v>51</v>
      </c>
    </row>
    <row r="37" spans="1:2" x14ac:dyDescent="0.35">
      <c r="A37" s="8" t="s">
        <v>52</v>
      </c>
    </row>
    <row r="38" spans="1:2" x14ac:dyDescent="0.35">
      <c r="A38" s="9" t="s">
        <v>53</v>
      </c>
    </row>
  </sheetData>
  <pageMargins left="0.75" right="0.75" top="1" bottom="1" header="0.511811023622047" footer="0.511811023622047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showGridLines="0" zoomScaleNormal="100" workbookViewId="0">
      <pane ySplit="6" topLeftCell="A19" activePane="bottomLeft" state="frozen"/>
      <selection pane="bottomLeft" activeCell="C27" sqref="C27"/>
    </sheetView>
  </sheetViews>
  <sheetFormatPr baseColWidth="10" defaultColWidth="8.6328125" defaultRowHeight="14.5" x14ac:dyDescent="0.35"/>
  <cols>
    <col min="1" max="1" width="7" customWidth="1"/>
    <col min="2" max="2" width="11" customWidth="1"/>
    <col min="3" max="3" width="30" customWidth="1"/>
    <col min="4" max="4" width="13" customWidth="1"/>
    <col min="5" max="5" width="14" customWidth="1"/>
    <col min="6" max="6" width="30" customWidth="1"/>
    <col min="7" max="7" width="14" customWidth="1"/>
    <col min="8" max="8" width="11" customWidth="1"/>
    <col min="9" max="9" width="30" customWidth="1"/>
    <col min="10" max="10" width="13" customWidth="1"/>
    <col min="11" max="11" width="14" customWidth="1"/>
    <col min="12" max="12" width="20" customWidth="1"/>
  </cols>
  <sheetData>
    <row r="1" spans="1:11" ht="19" x14ac:dyDescent="0.4">
      <c r="A1" s="4" t="s">
        <v>54</v>
      </c>
    </row>
    <row r="2" spans="1:11" x14ac:dyDescent="0.35">
      <c r="A2" s="5" t="s">
        <v>55</v>
      </c>
    </row>
    <row r="4" spans="1:11" x14ac:dyDescent="0.35">
      <c r="A4" s="36" t="s">
        <v>56</v>
      </c>
      <c r="B4" s="36"/>
      <c r="C4" s="10" t="s">
        <v>57</v>
      </c>
      <c r="E4" s="3" t="s">
        <v>58</v>
      </c>
      <c r="G4" s="11">
        <f>IFERROR(VLOOKUP(CompteSel,Soldes_Ouverture,2,FALSE()),0)</f>
        <v>8000000</v>
      </c>
    </row>
    <row r="5" spans="1:11" x14ac:dyDescent="0.35">
      <c r="A5" s="36" t="s">
        <v>59</v>
      </c>
      <c r="B5" s="36"/>
      <c r="C5" s="12">
        <v>46308</v>
      </c>
    </row>
    <row r="7" spans="1:11" ht="20" x14ac:dyDescent="0.4">
      <c r="A7" s="37" t="str">
        <f>IF(K10=0,"Aucune ligne pour ce compte à cette date",IF(K12=0,"Tout est rapproché",K12&amp;" ligne"&amp;IF(K12&gt;1,"s","")&amp;" qui coince"&amp;IF(K12&gt;1,"nt","")))</f>
        <v>15 lignes qui coincent</v>
      </c>
      <c r="B7" s="37"/>
      <c r="C7" s="37"/>
      <c r="D7" s="37"/>
      <c r="E7" s="37"/>
      <c r="F7" s="37"/>
      <c r="G7" s="13">
        <f>IF(K10=0,"",K11/K10)</f>
        <v>0.4</v>
      </c>
      <c r="H7" s="2" t="s">
        <v>60</v>
      </c>
    </row>
    <row r="8" spans="1:11" x14ac:dyDescent="0.35">
      <c r="A8" s="38" t="str">
        <f>IF(K12=0,"",SUBSTITUTE(TRIM(IF(K13&gt;0,K13&amp;" proposition(s) à valider |","")&amp;IF(K14&gt;0," "&amp;K14&amp;" ligne(s) locale(s) sans banque |","")&amp;IF(K15&gt;0," "&amp;K15&amp;" ligne(s) du relevé sans écriture locale |","")&amp;IF(K16&gt;0," "&amp;K16&amp;" écart(s) |","")&amp;IF(K17&gt;0," "&amp;K17&amp;" conflit(s) |","")&amp;"#"),"|#",""))</f>
        <v xml:space="preserve">4 proposition(s) à valider | 3 ligne(s) locale(s) sans banque | 4 ligne(s) du relevé sans écriture locale </v>
      </c>
      <c r="B8" s="38"/>
      <c r="C8" s="38"/>
      <c r="D8" s="38"/>
      <c r="E8" s="38"/>
      <c r="F8" s="38"/>
      <c r="G8" s="38"/>
      <c r="H8" s="38"/>
      <c r="I8" s="38"/>
      <c r="J8" s="38"/>
    </row>
    <row r="9" spans="1:11" x14ac:dyDescent="0.35">
      <c r="A9" s="6" t="s">
        <v>61</v>
      </c>
      <c r="F9" s="6" t="s">
        <v>62</v>
      </c>
    </row>
    <row r="10" spans="1:11" x14ac:dyDescent="0.35">
      <c r="C10" s="14" t="s">
        <v>63</v>
      </c>
      <c r="D10" s="14" t="s">
        <v>64</v>
      </c>
      <c r="J10" s="15" t="s">
        <v>65</v>
      </c>
      <c r="K10" s="15">
        <f>C11+D11</f>
        <v>25</v>
      </c>
    </row>
    <row r="11" spans="1:11" x14ac:dyDescent="0.35">
      <c r="A11" s="35" t="s">
        <v>66</v>
      </c>
      <c r="B11" s="35"/>
      <c r="C11" s="16">
        <f>COUNTIFS(L_Compte,CompteSel,L_Date,"&lt;="&amp;DateArret)</f>
        <v>12</v>
      </c>
      <c r="D11" s="16">
        <f>COUNTIFS(B_Compte,CompteSel,B_Date,"&lt;="&amp;DateArret)</f>
        <v>13</v>
      </c>
      <c r="F11" s="1" t="s">
        <v>67</v>
      </c>
      <c r="G11" s="16">
        <f>G4+SUMIFS(L_Montant,L_Compte,CompteSel,L_Date,"&lt;="&amp;DateArret)</f>
        <v>8190000</v>
      </c>
      <c r="K11" s="15">
        <f>C14+D14</f>
        <v>10</v>
      </c>
    </row>
    <row r="12" spans="1:11" x14ac:dyDescent="0.35">
      <c r="A12" s="35" t="s">
        <v>68</v>
      </c>
      <c r="B12" s="35"/>
      <c r="C12" s="16">
        <f>SUMIFS(L_Debit,L_Compte,CompteSel,L_Date,"&lt;="&amp;DateArret)</f>
        <v>8715000</v>
      </c>
      <c r="D12" s="16">
        <f>SUMIFS(B_Debit,B_Compte,CompteSel,B_Date,"&lt;="&amp;DateArret)</f>
        <v>8426200</v>
      </c>
      <c r="F12" s="1" t="s">
        <v>69</v>
      </c>
      <c r="G12" s="16">
        <f>IF(MAX(B_LigneSolde)&gt;0,INDEX(B_Solde,MAX(B_LigneSolde)),G4+SUMIFS(B_Montant,B_Compte,CompteSel,B_Date,"&lt;="&amp;DateArret))</f>
        <v>8198800</v>
      </c>
      <c r="H12" s="17" t="str">
        <f>IF(MAX(B_LigneSolde)&gt;0,"lu sur le relevé","calculé (pas de solde fourni)")</f>
        <v>lu sur le relevé</v>
      </c>
      <c r="K12" s="15">
        <f>K10-K11</f>
        <v>15</v>
      </c>
    </row>
    <row r="13" spans="1:11" x14ac:dyDescent="0.35">
      <c r="A13" s="35" t="s">
        <v>70</v>
      </c>
      <c r="B13" s="35"/>
      <c r="C13" s="16">
        <f>SUMIFS(L_Credit,L_Compte,CompteSel,L_Date,"&lt;="&amp;DateArret)</f>
        <v>8905000</v>
      </c>
      <c r="D13" s="16">
        <f>SUMIFS(B_Credit,B_Compte,CompteSel,B_Date,"&lt;="&amp;DateArret)</f>
        <v>8625000</v>
      </c>
      <c r="F13" s="3" t="s">
        <v>71</v>
      </c>
      <c r="G13" s="18">
        <f>G11-G12</f>
        <v>-8800</v>
      </c>
      <c r="K13" s="19">
        <f>C17</f>
        <v>4</v>
      </c>
    </row>
    <row r="14" spans="1:11" x14ac:dyDescent="0.35">
      <c r="A14" s="35" t="s">
        <v>72</v>
      </c>
      <c r="B14" s="35"/>
      <c r="C14" s="16">
        <f>COUNTIFS(L_Compte,CompteSel,L_Date,"&lt;="&amp;DateArret,L_Pointe,1)</f>
        <v>5</v>
      </c>
      <c r="D14" s="16">
        <f>COUNTIFS(B_Compte,CompteSel,B_Date,"&lt;="&amp;DateArret,B_Pointe,1)</f>
        <v>5</v>
      </c>
      <c r="K14" s="19">
        <f>C16</f>
        <v>3</v>
      </c>
    </row>
    <row r="15" spans="1:11" x14ac:dyDescent="0.35">
      <c r="A15" s="35" t="s">
        <v>73</v>
      </c>
      <c r="B15" s="35"/>
      <c r="C15" s="20">
        <f>IF(C11=0,"",C14/C11)</f>
        <v>0.41666666666666669</v>
      </c>
      <c r="D15" s="20">
        <f>IF(D11=0,"",D14/D11)</f>
        <v>0.38461538461538464</v>
      </c>
      <c r="F15" s="1" t="s">
        <v>74</v>
      </c>
      <c r="G15" s="16">
        <f>G12</f>
        <v>8198800</v>
      </c>
      <c r="K15" s="19">
        <f>D16</f>
        <v>4</v>
      </c>
    </row>
    <row r="16" spans="1:11" x14ac:dyDescent="0.35">
      <c r="A16" s="35" t="s">
        <v>75</v>
      </c>
      <c r="B16" s="35"/>
      <c r="C16" s="16">
        <f>COUNTIFS(L_Compte,CompteSel,L_Date,"&lt;="&amp;DateArret,L_Statut,"Non rapproché")</f>
        <v>3</v>
      </c>
      <c r="D16" s="16">
        <f>COUNTIFS(B_Compte,CompteSel,B_Date,"&lt;="&amp;DateArret,B_Statut,"Non rapproché")</f>
        <v>4</v>
      </c>
      <c r="F16" s="1" t="s">
        <v>76</v>
      </c>
      <c r="G16" s="16">
        <f>SUMIFS(L_Credit,L_Compte,CompteSel,L_Date,"&lt;="&amp;DateArret,L_Pointe,0)</f>
        <v>4405000</v>
      </c>
      <c r="K16" s="15">
        <f>C18+D18</f>
        <v>0</v>
      </c>
    </row>
    <row r="17" spans="1:12" x14ac:dyDescent="0.35">
      <c r="A17" s="35" t="s">
        <v>77</v>
      </c>
      <c r="B17" s="35"/>
      <c r="C17" s="16">
        <f>COUNTIFS(L_Compte,CompteSel,L_Date,"&lt;="&amp;DateArret,L_Statut,"Proposé")</f>
        <v>4</v>
      </c>
      <c r="D17" s="16">
        <f>COUNTIFS(B_Compte,CompteSel,B_Date,"&lt;="&amp;DateArret,B_Statut,"Proposé")</f>
        <v>4</v>
      </c>
      <c r="F17" s="1" t="s">
        <v>78</v>
      </c>
      <c r="G17" s="16">
        <f>SUMIFS(L_Debit,L_Compte,CompteSel,L_Date,"&lt;="&amp;DateArret,L_Pointe,0)</f>
        <v>2730000</v>
      </c>
      <c r="K17" s="19">
        <f>C19</f>
        <v>0</v>
      </c>
    </row>
    <row r="18" spans="1:12" x14ac:dyDescent="0.35">
      <c r="A18" s="35" t="s">
        <v>79</v>
      </c>
      <c r="B18" s="35"/>
      <c r="C18" s="16">
        <f>COUNTIFS(L_Compte,CompteSel,L_Date,"&lt;="&amp;DateArret,L_Statut,"Écart")</f>
        <v>0</v>
      </c>
      <c r="D18" s="16">
        <f>COUNTIFS(B_Compte,CompteSel,B_Date,"&lt;="&amp;DateArret,B_Statut,"Écart")</f>
        <v>0</v>
      </c>
      <c r="F18" s="1" t="s">
        <v>80</v>
      </c>
      <c r="G18" s="16">
        <f>SUMIFS(B_Credit,B_Compte,CompteSel,B_Date,"&lt;="&amp;DateArret,B_Pointe,0)</f>
        <v>4125000</v>
      </c>
    </row>
    <row r="19" spans="1:12" x14ac:dyDescent="0.35">
      <c r="A19" s="35" t="s">
        <v>81</v>
      </c>
      <c r="B19" s="35"/>
      <c r="C19" s="16">
        <f>COUNTIFS(L_Compte,CompteSel,L_Date,"&lt;="&amp;DateArret,L_Statut,"Conflit")</f>
        <v>0</v>
      </c>
      <c r="D19" s="16">
        <f>COUNTIFS(B_Compte,CompteSel,B_Date,"&lt;="&amp;DateArret,B_Statut,"Conflit")</f>
        <v>0</v>
      </c>
      <c r="F19" s="1" t="s">
        <v>82</v>
      </c>
      <c r="G19" s="16">
        <f>SUMIFS(B_Debit,B_Compte,CompteSel,B_Date,"&lt;="&amp;DateArret,B_Pointe,0)</f>
        <v>2441200</v>
      </c>
    </row>
    <row r="20" spans="1:12" x14ac:dyDescent="0.35">
      <c r="F20" s="3" t="s">
        <v>83</v>
      </c>
      <c r="G20" s="18">
        <f>G15+G16-G17-G18+G19</f>
        <v>8190000</v>
      </c>
    </row>
    <row r="21" spans="1:12" x14ac:dyDescent="0.35">
      <c r="F21" s="3" t="s">
        <v>84</v>
      </c>
      <c r="G21" s="18">
        <f>G11-G20</f>
        <v>0</v>
      </c>
      <c r="H21" s="17" t="str">
        <f>IF(ABS(G21)&lt;0.5,"L'écart de solde s'explique par les lignes non pointées","Vérifier le solde d'ouverture ou un relevé incomplet")</f>
        <v>L'écart de solde s'explique par les lignes non pointées</v>
      </c>
    </row>
    <row r="24" spans="1:12" x14ac:dyDescent="0.35">
      <c r="A24" s="6" t="s">
        <v>85</v>
      </c>
      <c r="G24" s="6" t="s">
        <v>86</v>
      </c>
    </row>
    <row r="25" spans="1:12" x14ac:dyDescent="0.35">
      <c r="A25" s="14" t="s">
        <v>87</v>
      </c>
      <c r="B25" s="14" t="s">
        <v>88</v>
      </c>
      <c r="C25" s="14" t="s">
        <v>89</v>
      </c>
      <c r="D25" s="14" t="s">
        <v>90</v>
      </c>
      <c r="E25" s="14" t="s">
        <v>91</v>
      </c>
      <c r="F25" s="14" t="s">
        <v>92</v>
      </c>
      <c r="G25" s="14" t="s">
        <v>87</v>
      </c>
      <c r="H25" s="14" t="s">
        <v>88</v>
      </c>
      <c r="I25" s="14" t="s">
        <v>89</v>
      </c>
      <c r="J25" s="14" t="s">
        <v>90</v>
      </c>
      <c r="K25" s="14" t="s">
        <v>91</v>
      </c>
      <c r="L25" s="14" t="s">
        <v>92</v>
      </c>
    </row>
    <row r="26" spans="1:12" x14ac:dyDescent="0.35">
      <c r="A26" s="21">
        <f>IFERROR(MATCH(1,L_Rang,0),"")</f>
        <v>4</v>
      </c>
      <c r="B26" s="22">
        <f t="shared" ref="B26:B50" si="0">IF(A26="","",INDEX(L_Date,A26))</f>
        <v>46300</v>
      </c>
      <c r="C26" s="21" t="str">
        <f t="shared" ref="C26:C50" si="1">IF(A26="","",INDEX(L_Motif,A26)&amp;IF(INDEX(L_Ref,A26)&amp;""="",""," · "&amp;INDEX(L_Ref,A26)))</f>
        <v>Transport conteneur</v>
      </c>
      <c r="D26" s="16">
        <f t="shared" ref="D26:D50" si="2">IF(A26="","",INDEX(L_Montant,A26))</f>
        <v>-420000</v>
      </c>
      <c r="E26" s="21" t="str">
        <f t="shared" ref="E26:E50" si="3">IF(A26="","",INDEX(L_Statut,A26))</f>
        <v>Proposé</v>
      </c>
      <c r="F26" s="21" t="str">
        <f t="shared" ref="F26:F50" si="4">IF(A26="","",IF(INDEX(L_Banque,A26)="","","Banque n°"&amp;INDEX(L_Banque,A26)&amp;" · "&amp;INDEX(L_Score,A26)))</f>
        <v>Banque n°5 · Moyen</v>
      </c>
      <c r="G26" s="21">
        <f>IFERROR(MATCH(1,B_Rang,0),"")</f>
        <v>2</v>
      </c>
      <c r="H26" s="22">
        <f t="shared" ref="H26:H50" si="5">IF(G26="","",INDEX(B_Date,G26))</f>
        <v>46297</v>
      </c>
      <c r="I26" s="21" t="str">
        <f t="shared" ref="I26:I50" si="6">IF(G26="","",INDEX(B_Lib,G26))</f>
        <v>COMMISSION SUR VIREMENT</v>
      </c>
      <c r="J26" s="16">
        <f t="shared" ref="J26:J50" si="7">IF(G26="","",INDEX(B_Montant,G26))</f>
        <v>-3500</v>
      </c>
      <c r="K26" s="21" t="str">
        <f t="shared" ref="K26:K50" si="8">IF(G26="","",INDEX(B_Statut,G26))</f>
        <v>Non rapproché</v>
      </c>
      <c r="L26" s="21" t="str">
        <f t="shared" ref="L26:L50" si="9">IF(G26="","",IF(INDEX(B_Local,G26)="","","Local n°"&amp;INDEX(B_Local,G26)&amp;" · "&amp;INDEX(B_Score,G26)))</f>
        <v/>
      </c>
    </row>
    <row r="27" spans="1:12" x14ac:dyDescent="0.35">
      <c r="A27" s="21">
        <f>IFERROR(MATCH(2,L_Rang,0),"")</f>
        <v>6</v>
      </c>
      <c r="B27" s="22">
        <f t="shared" si="0"/>
        <v>46302</v>
      </c>
      <c r="C27" s="21" t="str">
        <f t="shared" si="1"/>
        <v>Vente · ENC-118</v>
      </c>
      <c r="D27" s="16">
        <f t="shared" si="2"/>
        <v>2150000</v>
      </c>
      <c r="E27" s="21" t="str">
        <f t="shared" si="3"/>
        <v>Proposé</v>
      </c>
      <c r="F27" s="21" t="str">
        <f t="shared" si="4"/>
        <v>Banque n°6 · Moyen</v>
      </c>
      <c r="G27" s="21">
        <f>IFERROR(MATCH(2,B_Rang,0),"")</f>
        <v>5</v>
      </c>
      <c r="H27" s="22">
        <f t="shared" si="5"/>
        <v>46301</v>
      </c>
      <c r="I27" s="21" t="str">
        <f t="shared" si="6"/>
        <v>PRLV BOLLORE TRANSPORT</v>
      </c>
      <c r="J27" s="16">
        <f t="shared" si="7"/>
        <v>-420000</v>
      </c>
      <c r="K27" s="21" t="str">
        <f t="shared" si="8"/>
        <v>Proposé</v>
      </c>
      <c r="L27" s="21" t="str">
        <f t="shared" si="9"/>
        <v>Local n°4 · Moyen</v>
      </c>
    </row>
    <row r="28" spans="1:12" x14ac:dyDescent="0.35">
      <c r="A28" s="21">
        <f>IFERROR(MATCH(3,L_Rang,0),"")</f>
        <v>7</v>
      </c>
      <c r="B28" s="22">
        <f t="shared" si="0"/>
        <v>46303</v>
      </c>
      <c r="C28" s="21" t="str">
        <f t="shared" si="1"/>
        <v>Versement espèces</v>
      </c>
      <c r="D28" s="16">
        <f t="shared" si="2"/>
        <v>600000</v>
      </c>
      <c r="E28" s="21" t="str">
        <f t="shared" si="3"/>
        <v>Proposé</v>
      </c>
      <c r="F28" s="21" t="str">
        <f t="shared" si="4"/>
        <v>Banque n°7 · Moyen</v>
      </c>
      <c r="G28" s="21">
        <f>IFERROR(MATCH(3,B_Rang,0),"")</f>
        <v>6</v>
      </c>
      <c r="H28" s="22">
        <f t="shared" si="5"/>
        <v>46302</v>
      </c>
      <c r="I28" s="21" t="str">
        <f t="shared" si="6"/>
        <v>VERSEMENT KIMA SARL</v>
      </c>
      <c r="J28" s="16">
        <f t="shared" si="7"/>
        <v>2150000</v>
      </c>
      <c r="K28" s="21" t="str">
        <f t="shared" si="8"/>
        <v>Proposé</v>
      </c>
      <c r="L28" s="21" t="str">
        <f t="shared" si="9"/>
        <v>Local n°6 · Moyen</v>
      </c>
    </row>
    <row r="29" spans="1:12" x14ac:dyDescent="0.35">
      <c r="A29" s="21">
        <f>IFERROR(MATCH(4,L_Rang,0),"")</f>
        <v>9</v>
      </c>
      <c r="B29" s="22">
        <f t="shared" si="0"/>
        <v>46305</v>
      </c>
      <c r="C29" s="21" t="str">
        <f t="shared" si="1"/>
        <v>Transfert vers BIIC · VIR-2220</v>
      </c>
      <c r="D29" s="16">
        <f t="shared" si="2"/>
        <v>-2000000</v>
      </c>
      <c r="E29" s="21" t="str">
        <f t="shared" si="3"/>
        <v>Proposé</v>
      </c>
      <c r="F29" s="21" t="str">
        <f t="shared" si="4"/>
        <v>Banque n°10 · Moyen</v>
      </c>
      <c r="G29" s="21">
        <f>IFERROR(MATCH(4,B_Rang,0),"")</f>
        <v>7</v>
      </c>
      <c r="H29" s="22">
        <f t="shared" si="5"/>
        <v>46303</v>
      </c>
      <c r="I29" s="21" t="str">
        <f t="shared" si="6"/>
        <v>VERSEMENT ESPECES</v>
      </c>
      <c r="J29" s="16">
        <f t="shared" si="7"/>
        <v>600000</v>
      </c>
      <c r="K29" s="21" t="str">
        <f t="shared" si="8"/>
        <v>Proposé</v>
      </c>
      <c r="L29" s="21" t="str">
        <f t="shared" si="9"/>
        <v>Local n°7 · Moyen</v>
      </c>
    </row>
    <row r="30" spans="1:12" x14ac:dyDescent="0.35">
      <c r="A30" s="21">
        <f>IFERROR(MATCH(5,L_Rang,0),"")</f>
        <v>10</v>
      </c>
      <c r="B30" s="22">
        <f t="shared" si="0"/>
        <v>46307</v>
      </c>
      <c r="C30" s="21" t="str">
        <f t="shared" si="1"/>
        <v>Vente · ENC-121</v>
      </c>
      <c r="D30" s="16">
        <f t="shared" si="2"/>
        <v>1380000</v>
      </c>
      <c r="E30" s="21" t="str">
        <f t="shared" si="3"/>
        <v>Non rapproché</v>
      </c>
      <c r="F30" s="21" t="str">
        <f t="shared" si="4"/>
        <v/>
      </c>
      <c r="G30" s="21">
        <f>IFERROR(MATCH(5,B_Rang,0),"")</f>
        <v>10</v>
      </c>
      <c r="H30" s="22">
        <f t="shared" si="5"/>
        <v>46305</v>
      </c>
      <c r="I30" s="21" t="str">
        <f t="shared" si="6"/>
        <v>VIR EMIS VERS BIIC</v>
      </c>
      <c r="J30" s="16">
        <f t="shared" si="7"/>
        <v>-2000000</v>
      </c>
      <c r="K30" s="21" t="str">
        <f t="shared" si="8"/>
        <v>Proposé</v>
      </c>
      <c r="L30" s="21" t="str">
        <f t="shared" si="9"/>
        <v>Local n°9 · Moyen</v>
      </c>
    </row>
    <row r="31" spans="1:12" x14ac:dyDescent="0.35">
      <c r="A31" s="21">
        <f>IFERROR(MATCH(6,L_Rang,0),"")</f>
        <v>11</v>
      </c>
      <c r="B31" s="22">
        <f t="shared" si="0"/>
        <v>46307</v>
      </c>
      <c r="C31" s="21" t="str">
        <f t="shared" si="1"/>
        <v>Carburant · CHQ 0045874</v>
      </c>
      <c r="D31" s="16">
        <f t="shared" si="2"/>
        <v>-310000</v>
      </c>
      <c r="E31" s="21" t="str">
        <f t="shared" si="3"/>
        <v>Non rapproché</v>
      </c>
      <c r="F31" s="21" t="str">
        <f t="shared" si="4"/>
        <v/>
      </c>
      <c r="G31" s="21">
        <f>IFERROR(MATCH(6,B_Rang,0),"")</f>
        <v>11</v>
      </c>
      <c r="H31" s="22">
        <f t="shared" si="5"/>
        <v>46306</v>
      </c>
      <c r="I31" s="21" t="str">
        <f t="shared" si="6"/>
        <v>FRAIS TENUE DE COMPTE</v>
      </c>
      <c r="J31" s="16">
        <f t="shared" si="7"/>
        <v>-15000</v>
      </c>
      <c r="K31" s="21" t="str">
        <f t="shared" si="8"/>
        <v>Non rapproché</v>
      </c>
      <c r="L31" s="21" t="str">
        <f t="shared" si="9"/>
        <v/>
      </c>
    </row>
    <row r="32" spans="1:12" x14ac:dyDescent="0.35">
      <c r="A32" s="21">
        <f>IFERROR(MATCH(7,L_Rang,0),"")</f>
        <v>12</v>
      </c>
      <c r="B32" s="22">
        <f t="shared" si="0"/>
        <v>46308</v>
      </c>
      <c r="C32" s="21" t="str">
        <f t="shared" si="1"/>
        <v>Vente comptoir</v>
      </c>
      <c r="D32" s="16">
        <f t="shared" si="2"/>
        <v>275000</v>
      </c>
      <c r="E32" s="21" t="str">
        <f t="shared" si="3"/>
        <v>Non rapproché</v>
      </c>
      <c r="F32" s="21" t="str">
        <f t="shared" si="4"/>
        <v/>
      </c>
      <c r="G32" s="21">
        <f>IFERROR(MATCH(7,B_Rang,0),"")</f>
        <v>12</v>
      </c>
      <c r="H32" s="22">
        <f t="shared" si="5"/>
        <v>46306</v>
      </c>
      <c r="I32" s="21" t="str">
        <f t="shared" si="6"/>
        <v>TAXE TOB SUR FRAIS</v>
      </c>
      <c r="J32" s="16">
        <f t="shared" si="7"/>
        <v>-2700</v>
      </c>
      <c r="K32" s="21" t="str">
        <f t="shared" si="8"/>
        <v>Non rapproché</v>
      </c>
      <c r="L32" s="21" t="str">
        <f t="shared" si="9"/>
        <v/>
      </c>
    </row>
    <row r="33" spans="1:12" x14ac:dyDescent="0.35">
      <c r="A33" s="21" t="str">
        <f>IFERROR(MATCH(8,L_Rang,0),"")</f>
        <v/>
      </c>
      <c r="B33" s="22" t="str">
        <f t="shared" si="0"/>
        <v/>
      </c>
      <c r="C33" s="21" t="str">
        <f t="shared" si="1"/>
        <v/>
      </c>
      <c r="D33" s="16" t="str">
        <f t="shared" si="2"/>
        <v/>
      </c>
      <c r="E33" s="21" t="str">
        <f t="shared" si="3"/>
        <v/>
      </c>
      <c r="F33" s="21" t="str">
        <f t="shared" si="4"/>
        <v/>
      </c>
      <c r="G33" s="21">
        <f>IFERROR(MATCH(8,B_Rang,0),"")</f>
        <v>13</v>
      </c>
      <c r="H33" s="22">
        <f t="shared" si="5"/>
        <v>46307</v>
      </c>
      <c r="I33" s="21" t="str">
        <f t="shared" si="6"/>
        <v>VERSEMENT SOCIMAT</v>
      </c>
      <c r="J33" s="16">
        <f t="shared" si="7"/>
        <v>1375000</v>
      </c>
      <c r="K33" s="21" t="str">
        <f t="shared" si="8"/>
        <v>Non rapproché</v>
      </c>
      <c r="L33" s="21" t="str">
        <f t="shared" si="9"/>
        <v/>
      </c>
    </row>
    <row r="34" spans="1:12" x14ac:dyDescent="0.35">
      <c r="A34" s="21" t="str">
        <f>IFERROR(MATCH(9,L_Rang,0),"")</f>
        <v/>
      </c>
      <c r="B34" s="22" t="str">
        <f t="shared" si="0"/>
        <v/>
      </c>
      <c r="C34" s="21" t="str">
        <f t="shared" si="1"/>
        <v/>
      </c>
      <c r="D34" s="16" t="str">
        <f t="shared" si="2"/>
        <v/>
      </c>
      <c r="E34" s="21" t="str">
        <f t="shared" si="3"/>
        <v/>
      </c>
      <c r="F34" s="21" t="str">
        <f t="shared" si="4"/>
        <v/>
      </c>
      <c r="G34" s="21" t="str">
        <f>IFERROR(MATCH(9,B_Rang,0),"")</f>
        <v/>
      </c>
      <c r="H34" s="22" t="str">
        <f t="shared" si="5"/>
        <v/>
      </c>
      <c r="I34" s="21" t="str">
        <f t="shared" si="6"/>
        <v/>
      </c>
      <c r="J34" s="16" t="str">
        <f t="shared" si="7"/>
        <v/>
      </c>
      <c r="K34" s="21" t="str">
        <f t="shared" si="8"/>
        <v/>
      </c>
      <c r="L34" s="21" t="str">
        <f t="shared" si="9"/>
        <v/>
      </c>
    </row>
    <row r="35" spans="1:12" x14ac:dyDescent="0.35">
      <c r="A35" s="21" t="str">
        <f>IFERROR(MATCH(10,L_Rang,0),"")</f>
        <v/>
      </c>
      <c r="B35" s="22" t="str">
        <f t="shared" si="0"/>
        <v/>
      </c>
      <c r="C35" s="21" t="str">
        <f t="shared" si="1"/>
        <v/>
      </c>
      <c r="D35" s="16" t="str">
        <f t="shared" si="2"/>
        <v/>
      </c>
      <c r="E35" s="21" t="str">
        <f t="shared" si="3"/>
        <v/>
      </c>
      <c r="F35" s="21" t="str">
        <f t="shared" si="4"/>
        <v/>
      </c>
      <c r="G35" s="21" t="str">
        <f>IFERROR(MATCH(10,B_Rang,0),"")</f>
        <v/>
      </c>
      <c r="H35" s="22" t="str">
        <f t="shared" si="5"/>
        <v/>
      </c>
      <c r="I35" s="21" t="str">
        <f t="shared" si="6"/>
        <v/>
      </c>
      <c r="J35" s="16" t="str">
        <f t="shared" si="7"/>
        <v/>
      </c>
      <c r="K35" s="21" t="str">
        <f t="shared" si="8"/>
        <v/>
      </c>
      <c r="L35" s="21" t="str">
        <f t="shared" si="9"/>
        <v/>
      </c>
    </row>
    <row r="36" spans="1:12" x14ac:dyDescent="0.35">
      <c r="A36" s="21" t="str">
        <f>IFERROR(MATCH(11,L_Rang,0),"")</f>
        <v/>
      </c>
      <c r="B36" s="22" t="str">
        <f t="shared" si="0"/>
        <v/>
      </c>
      <c r="C36" s="21" t="str">
        <f t="shared" si="1"/>
        <v/>
      </c>
      <c r="D36" s="16" t="str">
        <f t="shared" si="2"/>
        <v/>
      </c>
      <c r="E36" s="21" t="str">
        <f t="shared" si="3"/>
        <v/>
      </c>
      <c r="F36" s="21" t="str">
        <f t="shared" si="4"/>
        <v/>
      </c>
      <c r="G36" s="21" t="str">
        <f>IFERROR(MATCH(11,B_Rang,0),"")</f>
        <v/>
      </c>
      <c r="H36" s="22" t="str">
        <f t="shared" si="5"/>
        <v/>
      </c>
      <c r="I36" s="21" t="str">
        <f t="shared" si="6"/>
        <v/>
      </c>
      <c r="J36" s="16" t="str">
        <f t="shared" si="7"/>
        <v/>
      </c>
      <c r="K36" s="21" t="str">
        <f t="shared" si="8"/>
        <v/>
      </c>
      <c r="L36" s="21" t="str">
        <f t="shared" si="9"/>
        <v/>
      </c>
    </row>
    <row r="37" spans="1:12" x14ac:dyDescent="0.35">
      <c r="A37" s="21" t="str">
        <f>IFERROR(MATCH(12,L_Rang,0),"")</f>
        <v/>
      </c>
      <c r="B37" s="22" t="str">
        <f t="shared" si="0"/>
        <v/>
      </c>
      <c r="C37" s="21" t="str">
        <f t="shared" si="1"/>
        <v/>
      </c>
      <c r="D37" s="16" t="str">
        <f t="shared" si="2"/>
        <v/>
      </c>
      <c r="E37" s="21" t="str">
        <f t="shared" si="3"/>
        <v/>
      </c>
      <c r="F37" s="21" t="str">
        <f t="shared" si="4"/>
        <v/>
      </c>
      <c r="G37" s="21" t="str">
        <f>IFERROR(MATCH(12,B_Rang,0),"")</f>
        <v/>
      </c>
      <c r="H37" s="22" t="str">
        <f t="shared" si="5"/>
        <v/>
      </c>
      <c r="I37" s="21" t="str">
        <f t="shared" si="6"/>
        <v/>
      </c>
      <c r="J37" s="16" t="str">
        <f t="shared" si="7"/>
        <v/>
      </c>
      <c r="K37" s="21" t="str">
        <f t="shared" si="8"/>
        <v/>
      </c>
      <c r="L37" s="21" t="str">
        <f t="shared" si="9"/>
        <v/>
      </c>
    </row>
    <row r="38" spans="1:12" x14ac:dyDescent="0.35">
      <c r="A38" s="21" t="str">
        <f>IFERROR(MATCH(13,L_Rang,0),"")</f>
        <v/>
      </c>
      <c r="B38" s="22" t="str">
        <f t="shared" si="0"/>
        <v/>
      </c>
      <c r="C38" s="21" t="str">
        <f t="shared" si="1"/>
        <v/>
      </c>
      <c r="D38" s="16" t="str">
        <f t="shared" si="2"/>
        <v/>
      </c>
      <c r="E38" s="21" t="str">
        <f t="shared" si="3"/>
        <v/>
      </c>
      <c r="F38" s="21" t="str">
        <f t="shared" si="4"/>
        <v/>
      </c>
      <c r="G38" s="21" t="str">
        <f>IFERROR(MATCH(13,B_Rang,0),"")</f>
        <v/>
      </c>
      <c r="H38" s="22" t="str">
        <f t="shared" si="5"/>
        <v/>
      </c>
      <c r="I38" s="21" t="str">
        <f t="shared" si="6"/>
        <v/>
      </c>
      <c r="J38" s="16" t="str">
        <f t="shared" si="7"/>
        <v/>
      </c>
      <c r="K38" s="21" t="str">
        <f t="shared" si="8"/>
        <v/>
      </c>
      <c r="L38" s="21" t="str">
        <f t="shared" si="9"/>
        <v/>
      </c>
    </row>
    <row r="39" spans="1:12" x14ac:dyDescent="0.35">
      <c r="A39" s="21" t="str">
        <f>IFERROR(MATCH(14,L_Rang,0),"")</f>
        <v/>
      </c>
      <c r="B39" s="22" t="str">
        <f t="shared" si="0"/>
        <v/>
      </c>
      <c r="C39" s="21" t="str">
        <f t="shared" si="1"/>
        <v/>
      </c>
      <c r="D39" s="16" t="str">
        <f t="shared" si="2"/>
        <v/>
      </c>
      <c r="E39" s="21" t="str">
        <f t="shared" si="3"/>
        <v/>
      </c>
      <c r="F39" s="21" t="str">
        <f t="shared" si="4"/>
        <v/>
      </c>
      <c r="G39" s="21" t="str">
        <f>IFERROR(MATCH(14,B_Rang,0),"")</f>
        <v/>
      </c>
      <c r="H39" s="22" t="str">
        <f t="shared" si="5"/>
        <v/>
      </c>
      <c r="I39" s="21" t="str">
        <f t="shared" si="6"/>
        <v/>
      </c>
      <c r="J39" s="16" t="str">
        <f t="shared" si="7"/>
        <v/>
      </c>
      <c r="K39" s="21" t="str">
        <f t="shared" si="8"/>
        <v/>
      </c>
      <c r="L39" s="21" t="str">
        <f t="shared" si="9"/>
        <v/>
      </c>
    </row>
    <row r="40" spans="1:12" x14ac:dyDescent="0.35">
      <c r="A40" s="21" t="str">
        <f>IFERROR(MATCH(15,L_Rang,0),"")</f>
        <v/>
      </c>
      <c r="B40" s="22" t="str">
        <f t="shared" si="0"/>
        <v/>
      </c>
      <c r="C40" s="21" t="str">
        <f t="shared" si="1"/>
        <v/>
      </c>
      <c r="D40" s="16" t="str">
        <f t="shared" si="2"/>
        <v/>
      </c>
      <c r="E40" s="21" t="str">
        <f t="shared" si="3"/>
        <v/>
      </c>
      <c r="F40" s="21" t="str">
        <f t="shared" si="4"/>
        <v/>
      </c>
      <c r="G40" s="21" t="str">
        <f>IFERROR(MATCH(15,B_Rang,0),"")</f>
        <v/>
      </c>
      <c r="H40" s="22" t="str">
        <f t="shared" si="5"/>
        <v/>
      </c>
      <c r="I40" s="21" t="str">
        <f t="shared" si="6"/>
        <v/>
      </c>
      <c r="J40" s="16" t="str">
        <f t="shared" si="7"/>
        <v/>
      </c>
      <c r="K40" s="21" t="str">
        <f t="shared" si="8"/>
        <v/>
      </c>
      <c r="L40" s="21" t="str">
        <f t="shared" si="9"/>
        <v/>
      </c>
    </row>
    <row r="41" spans="1:12" x14ac:dyDescent="0.35">
      <c r="A41" s="21" t="str">
        <f>IFERROR(MATCH(16,L_Rang,0),"")</f>
        <v/>
      </c>
      <c r="B41" s="22" t="str">
        <f t="shared" si="0"/>
        <v/>
      </c>
      <c r="C41" s="21" t="str">
        <f t="shared" si="1"/>
        <v/>
      </c>
      <c r="D41" s="16" t="str">
        <f t="shared" si="2"/>
        <v/>
      </c>
      <c r="E41" s="21" t="str">
        <f t="shared" si="3"/>
        <v/>
      </c>
      <c r="F41" s="21" t="str">
        <f t="shared" si="4"/>
        <v/>
      </c>
      <c r="G41" s="21" t="str">
        <f>IFERROR(MATCH(16,B_Rang,0),"")</f>
        <v/>
      </c>
      <c r="H41" s="22" t="str">
        <f t="shared" si="5"/>
        <v/>
      </c>
      <c r="I41" s="21" t="str">
        <f t="shared" si="6"/>
        <v/>
      </c>
      <c r="J41" s="16" t="str">
        <f t="shared" si="7"/>
        <v/>
      </c>
      <c r="K41" s="21" t="str">
        <f t="shared" si="8"/>
        <v/>
      </c>
      <c r="L41" s="21" t="str">
        <f t="shared" si="9"/>
        <v/>
      </c>
    </row>
    <row r="42" spans="1:12" x14ac:dyDescent="0.35">
      <c r="A42" s="21" t="str">
        <f>IFERROR(MATCH(17,L_Rang,0),"")</f>
        <v/>
      </c>
      <c r="B42" s="22" t="str">
        <f t="shared" si="0"/>
        <v/>
      </c>
      <c r="C42" s="21" t="str">
        <f t="shared" si="1"/>
        <v/>
      </c>
      <c r="D42" s="16" t="str">
        <f t="shared" si="2"/>
        <v/>
      </c>
      <c r="E42" s="21" t="str">
        <f t="shared" si="3"/>
        <v/>
      </c>
      <c r="F42" s="21" t="str">
        <f t="shared" si="4"/>
        <v/>
      </c>
      <c r="G42" s="21" t="str">
        <f>IFERROR(MATCH(17,B_Rang,0),"")</f>
        <v/>
      </c>
      <c r="H42" s="22" t="str">
        <f t="shared" si="5"/>
        <v/>
      </c>
      <c r="I42" s="21" t="str">
        <f t="shared" si="6"/>
        <v/>
      </c>
      <c r="J42" s="16" t="str">
        <f t="shared" si="7"/>
        <v/>
      </c>
      <c r="K42" s="21" t="str">
        <f t="shared" si="8"/>
        <v/>
      </c>
      <c r="L42" s="21" t="str">
        <f t="shared" si="9"/>
        <v/>
      </c>
    </row>
    <row r="43" spans="1:12" x14ac:dyDescent="0.35">
      <c r="A43" s="21" t="str">
        <f>IFERROR(MATCH(18,L_Rang,0),"")</f>
        <v/>
      </c>
      <c r="B43" s="22" t="str">
        <f t="shared" si="0"/>
        <v/>
      </c>
      <c r="C43" s="21" t="str">
        <f t="shared" si="1"/>
        <v/>
      </c>
      <c r="D43" s="16" t="str">
        <f t="shared" si="2"/>
        <v/>
      </c>
      <c r="E43" s="21" t="str">
        <f t="shared" si="3"/>
        <v/>
      </c>
      <c r="F43" s="21" t="str">
        <f t="shared" si="4"/>
        <v/>
      </c>
      <c r="G43" s="21" t="str">
        <f>IFERROR(MATCH(18,B_Rang,0),"")</f>
        <v/>
      </c>
      <c r="H43" s="22" t="str">
        <f t="shared" si="5"/>
        <v/>
      </c>
      <c r="I43" s="21" t="str">
        <f t="shared" si="6"/>
        <v/>
      </c>
      <c r="J43" s="16" t="str">
        <f t="shared" si="7"/>
        <v/>
      </c>
      <c r="K43" s="21" t="str">
        <f t="shared" si="8"/>
        <v/>
      </c>
      <c r="L43" s="21" t="str">
        <f t="shared" si="9"/>
        <v/>
      </c>
    </row>
    <row r="44" spans="1:12" x14ac:dyDescent="0.35">
      <c r="A44" s="21" t="str">
        <f>IFERROR(MATCH(19,L_Rang,0),"")</f>
        <v/>
      </c>
      <c r="B44" s="22" t="str">
        <f t="shared" si="0"/>
        <v/>
      </c>
      <c r="C44" s="21" t="str">
        <f t="shared" si="1"/>
        <v/>
      </c>
      <c r="D44" s="16" t="str">
        <f t="shared" si="2"/>
        <v/>
      </c>
      <c r="E44" s="21" t="str">
        <f t="shared" si="3"/>
        <v/>
      </c>
      <c r="F44" s="21" t="str">
        <f t="shared" si="4"/>
        <v/>
      </c>
      <c r="G44" s="21" t="str">
        <f>IFERROR(MATCH(19,B_Rang,0),"")</f>
        <v/>
      </c>
      <c r="H44" s="22" t="str">
        <f t="shared" si="5"/>
        <v/>
      </c>
      <c r="I44" s="21" t="str">
        <f t="shared" si="6"/>
        <v/>
      </c>
      <c r="J44" s="16" t="str">
        <f t="shared" si="7"/>
        <v/>
      </c>
      <c r="K44" s="21" t="str">
        <f t="shared" si="8"/>
        <v/>
      </c>
      <c r="L44" s="21" t="str">
        <f t="shared" si="9"/>
        <v/>
      </c>
    </row>
    <row r="45" spans="1:12" x14ac:dyDescent="0.35">
      <c r="A45" s="21" t="str">
        <f>IFERROR(MATCH(20,L_Rang,0),"")</f>
        <v/>
      </c>
      <c r="B45" s="22" t="str">
        <f t="shared" si="0"/>
        <v/>
      </c>
      <c r="C45" s="21" t="str">
        <f t="shared" si="1"/>
        <v/>
      </c>
      <c r="D45" s="16" t="str">
        <f t="shared" si="2"/>
        <v/>
      </c>
      <c r="E45" s="21" t="str">
        <f t="shared" si="3"/>
        <v/>
      </c>
      <c r="F45" s="21" t="str">
        <f t="shared" si="4"/>
        <v/>
      </c>
      <c r="G45" s="21" t="str">
        <f>IFERROR(MATCH(20,B_Rang,0),"")</f>
        <v/>
      </c>
      <c r="H45" s="22" t="str">
        <f t="shared" si="5"/>
        <v/>
      </c>
      <c r="I45" s="21" t="str">
        <f t="shared" si="6"/>
        <v/>
      </c>
      <c r="J45" s="16" t="str">
        <f t="shared" si="7"/>
        <v/>
      </c>
      <c r="K45" s="21" t="str">
        <f t="shared" si="8"/>
        <v/>
      </c>
      <c r="L45" s="21" t="str">
        <f t="shared" si="9"/>
        <v/>
      </c>
    </row>
    <row r="46" spans="1:12" x14ac:dyDescent="0.35">
      <c r="A46" s="21" t="str">
        <f>IFERROR(MATCH(21,L_Rang,0),"")</f>
        <v/>
      </c>
      <c r="B46" s="22" t="str">
        <f t="shared" si="0"/>
        <v/>
      </c>
      <c r="C46" s="21" t="str">
        <f t="shared" si="1"/>
        <v/>
      </c>
      <c r="D46" s="16" t="str">
        <f t="shared" si="2"/>
        <v/>
      </c>
      <c r="E46" s="21" t="str">
        <f t="shared" si="3"/>
        <v/>
      </c>
      <c r="F46" s="21" t="str">
        <f t="shared" si="4"/>
        <v/>
      </c>
      <c r="G46" s="21" t="str">
        <f>IFERROR(MATCH(21,B_Rang,0),"")</f>
        <v/>
      </c>
      <c r="H46" s="22" t="str">
        <f t="shared" si="5"/>
        <v/>
      </c>
      <c r="I46" s="21" t="str">
        <f t="shared" si="6"/>
        <v/>
      </c>
      <c r="J46" s="16" t="str">
        <f t="shared" si="7"/>
        <v/>
      </c>
      <c r="K46" s="21" t="str">
        <f t="shared" si="8"/>
        <v/>
      </c>
      <c r="L46" s="21" t="str">
        <f t="shared" si="9"/>
        <v/>
      </c>
    </row>
    <row r="47" spans="1:12" x14ac:dyDescent="0.35">
      <c r="A47" s="21" t="str">
        <f>IFERROR(MATCH(22,L_Rang,0),"")</f>
        <v/>
      </c>
      <c r="B47" s="22" t="str">
        <f t="shared" si="0"/>
        <v/>
      </c>
      <c r="C47" s="21" t="str">
        <f t="shared" si="1"/>
        <v/>
      </c>
      <c r="D47" s="16" t="str">
        <f t="shared" si="2"/>
        <v/>
      </c>
      <c r="E47" s="21" t="str">
        <f t="shared" si="3"/>
        <v/>
      </c>
      <c r="F47" s="21" t="str">
        <f t="shared" si="4"/>
        <v/>
      </c>
      <c r="G47" s="21" t="str">
        <f>IFERROR(MATCH(22,B_Rang,0),"")</f>
        <v/>
      </c>
      <c r="H47" s="22" t="str">
        <f t="shared" si="5"/>
        <v/>
      </c>
      <c r="I47" s="21" t="str">
        <f t="shared" si="6"/>
        <v/>
      </c>
      <c r="J47" s="16" t="str">
        <f t="shared" si="7"/>
        <v/>
      </c>
      <c r="K47" s="21" t="str">
        <f t="shared" si="8"/>
        <v/>
      </c>
      <c r="L47" s="21" t="str">
        <f t="shared" si="9"/>
        <v/>
      </c>
    </row>
    <row r="48" spans="1:12" x14ac:dyDescent="0.35">
      <c r="A48" s="21" t="str">
        <f>IFERROR(MATCH(23,L_Rang,0),"")</f>
        <v/>
      </c>
      <c r="B48" s="22" t="str">
        <f t="shared" si="0"/>
        <v/>
      </c>
      <c r="C48" s="21" t="str">
        <f t="shared" si="1"/>
        <v/>
      </c>
      <c r="D48" s="16" t="str">
        <f t="shared" si="2"/>
        <v/>
      </c>
      <c r="E48" s="21" t="str">
        <f t="shared" si="3"/>
        <v/>
      </c>
      <c r="F48" s="21" t="str">
        <f t="shared" si="4"/>
        <v/>
      </c>
      <c r="G48" s="21" t="str">
        <f>IFERROR(MATCH(23,B_Rang,0),"")</f>
        <v/>
      </c>
      <c r="H48" s="22" t="str">
        <f t="shared" si="5"/>
        <v/>
      </c>
      <c r="I48" s="21" t="str">
        <f t="shared" si="6"/>
        <v/>
      </c>
      <c r="J48" s="16" t="str">
        <f t="shared" si="7"/>
        <v/>
      </c>
      <c r="K48" s="21" t="str">
        <f t="shared" si="8"/>
        <v/>
      </c>
      <c r="L48" s="21" t="str">
        <f t="shared" si="9"/>
        <v/>
      </c>
    </row>
    <row r="49" spans="1:12" x14ac:dyDescent="0.35">
      <c r="A49" s="21" t="str">
        <f>IFERROR(MATCH(24,L_Rang,0),"")</f>
        <v/>
      </c>
      <c r="B49" s="22" t="str">
        <f t="shared" si="0"/>
        <v/>
      </c>
      <c r="C49" s="21" t="str">
        <f t="shared" si="1"/>
        <v/>
      </c>
      <c r="D49" s="16" t="str">
        <f t="shared" si="2"/>
        <v/>
      </c>
      <c r="E49" s="21" t="str">
        <f t="shared" si="3"/>
        <v/>
      </c>
      <c r="F49" s="21" t="str">
        <f t="shared" si="4"/>
        <v/>
      </c>
      <c r="G49" s="21" t="str">
        <f>IFERROR(MATCH(24,B_Rang,0),"")</f>
        <v/>
      </c>
      <c r="H49" s="22" t="str">
        <f t="shared" si="5"/>
        <v/>
      </c>
      <c r="I49" s="21" t="str">
        <f t="shared" si="6"/>
        <v/>
      </c>
      <c r="J49" s="16" t="str">
        <f t="shared" si="7"/>
        <v/>
      </c>
      <c r="K49" s="21" t="str">
        <f t="shared" si="8"/>
        <v/>
      </c>
      <c r="L49" s="21" t="str">
        <f t="shared" si="9"/>
        <v/>
      </c>
    </row>
    <row r="50" spans="1:12" x14ac:dyDescent="0.35">
      <c r="A50" s="21" t="str">
        <f>IFERROR(MATCH(25,L_Rang,0),"")</f>
        <v/>
      </c>
      <c r="B50" s="22" t="str">
        <f t="shared" si="0"/>
        <v/>
      </c>
      <c r="C50" s="21" t="str">
        <f t="shared" si="1"/>
        <v/>
      </c>
      <c r="D50" s="16" t="str">
        <f t="shared" si="2"/>
        <v/>
      </c>
      <c r="E50" s="21" t="str">
        <f t="shared" si="3"/>
        <v/>
      </c>
      <c r="F50" s="21" t="str">
        <f t="shared" si="4"/>
        <v/>
      </c>
      <c r="G50" s="21" t="str">
        <f>IFERROR(MATCH(25,B_Rang,0),"")</f>
        <v/>
      </c>
      <c r="H50" s="22" t="str">
        <f t="shared" si="5"/>
        <v/>
      </c>
      <c r="I50" s="21" t="str">
        <f t="shared" si="6"/>
        <v/>
      </c>
      <c r="J50" s="16" t="str">
        <f t="shared" si="7"/>
        <v/>
      </c>
      <c r="K50" s="21" t="str">
        <f t="shared" si="8"/>
        <v/>
      </c>
      <c r="L50" s="21" t="str">
        <f t="shared" si="9"/>
        <v/>
      </c>
    </row>
    <row r="51" spans="1:12" x14ac:dyDescent="0.35">
      <c r="A51" t="str">
        <f>IF(MAX(L_Rang)&gt;25,"+ "&amp;(MAX(L_Rang)-25)&amp;" autres lignes : filtrer Mouvements_Locaux sur le statut","")</f>
        <v/>
      </c>
      <c r="G51" t="str">
        <f>IF(MAX(B_Rang)&gt;25,"+ "&amp;(MAX(B_Rang)-25)&amp;" autres lignes : filtrer Releve_Banque sur le statut","")</f>
        <v/>
      </c>
    </row>
  </sheetData>
  <mergeCells count="13">
    <mergeCell ref="A4:B4"/>
    <mergeCell ref="A5:B5"/>
    <mergeCell ref="A7:F7"/>
    <mergeCell ref="A8:J8"/>
    <mergeCell ref="A11:B11"/>
    <mergeCell ref="A17:B17"/>
    <mergeCell ref="A18:B18"/>
    <mergeCell ref="A19:B19"/>
    <mergeCell ref="A12:B12"/>
    <mergeCell ref="A13:B13"/>
    <mergeCell ref="A14:B14"/>
    <mergeCell ref="A15:B15"/>
    <mergeCell ref="A16:B16"/>
  </mergeCells>
  <conditionalFormatting sqref="A7">
    <cfRule type="expression" dxfId="50" priority="20">
      <formula>$K$12=0</formula>
    </cfRule>
    <cfRule type="expression" dxfId="49" priority="21">
      <formula>$K$12&gt;0</formula>
    </cfRule>
  </conditionalFormatting>
  <conditionalFormatting sqref="E26:E50">
    <cfRule type="cellIs" dxfId="48" priority="2" operator="equal">
      <formula>"Rapproché"</formula>
    </cfRule>
    <cfRule type="cellIs" dxfId="47" priority="3" operator="equal">
      <formula>"Manuel"</formula>
    </cfRule>
    <cfRule type="cellIs" dxfId="46" priority="4" operator="equal">
      <formula>"Proposé"</formula>
    </cfRule>
    <cfRule type="cellIs" dxfId="45" priority="5" operator="equal">
      <formula>"Écart"</formula>
    </cfRule>
    <cfRule type="cellIs" dxfId="44" priority="6" operator="equal">
      <formula>"Conflit"</formula>
    </cfRule>
    <cfRule type="cellIs" dxfId="43" priority="7" operator="equal">
      <formula>"Non rapproché"</formula>
    </cfRule>
    <cfRule type="cellIs" dxfId="42" priority="8" operator="equal">
      <formula>"Fort"</formula>
    </cfRule>
    <cfRule type="cellIs" dxfId="41" priority="9" operator="equal">
      <formula>"Moyen"</formula>
    </cfRule>
    <cfRule type="cellIs" dxfId="40" priority="10" operator="equal">
      <formula>"Faible"</formula>
    </cfRule>
  </conditionalFormatting>
  <conditionalFormatting sqref="G13">
    <cfRule type="expression" dxfId="39" priority="22">
      <formula>ABS($G$13)&gt;=0.5</formula>
    </cfRule>
  </conditionalFormatting>
  <conditionalFormatting sqref="G21">
    <cfRule type="expression" dxfId="38" priority="23">
      <formula>ABS($G$21)&gt;=0.5</formula>
    </cfRule>
  </conditionalFormatting>
  <conditionalFormatting sqref="K26:K50">
    <cfRule type="cellIs" dxfId="37" priority="11" operator="equal">
      <formula>"Rapproché"</formula>
    </cfRule>
    <cfRule type="cellIs" dxfId="36" priority="12" operator="equal">
      <formula>"Manuel"</formula>
    </cfRule>
    <cfRule type="cellIs" dxfId="35" priority="13" operator="equal">
      <formula>"Proposé"</formula>
    </cfRule>
    <cfRule type="cellIs" dxfId="34" priority="14" operator="equal">
      <formula>"Écart"</formula>
    </cfRule>
    <cfRule type="cellIs" dxfId="33" priority="15" operator="equal">
      <formula>"Conflit"</formula>
    </cfRule>
    <cfRule type="cellIs" dxfId="32" priority="16" operator="equal">
      <formula>"Non rapproché"</formula>
    </cfRule>
    <cfRule type="cellIs" dxfId="31" priority="17" operator="equal">
      <formula>"Fort"</formula>
    </cfRule>
    <cfRule type="cellIs" dxfId="30" priority="18" operator="equal">
      <formula>"Moyen"</formula>
    </cfRule>
    <cfRule type="cellIs" dxfId="29" priority="19" operator="equal">
      <formula>"Faible"</formula>
    </cfRule>
  </conditionalFormatting>
  <dataValidations count="1">
    <dataValidation type="list" sqref="C4" xr:uid="{00000000-0002-0000-0100-000000000000}">
      <formula1>Comptes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3"/>
  <sheetViews>
    <sheetView tabSelected="1" topLeftCell="C1" zoomScaleNormal="100" workbookViewId="0">
      <pane ySplit="3" topLeftCell="A4" activePane="bottomLeft" state="frozen"/>
      <selection pane="bottomLeft" activeCell="F4" sqref="F4"/>
    </sheetView>
  </sheetViews>
  <sheetFormatPr baseColWidth="10" defaultColWidth="8.6328125" defaultRowHeight="14.5" x14ac:dyDescent="0.35"/>
  <cols>
    <col min="1" max="1" width="8" customWidth="1"/>
    <col min="2" max="2" width="11" customWidth="1"/>
    <col min="3" max="3" width="14" customWidth="1"/>
    <col min="4" max="4" width="22" customWidth="1"/>
    <col min="5" max="5" width="24.90625" customWidth="1"/>
    <col min="6" max="6" width="9" customWidth="1"/>
    <col min="7" max="7" width="11" customWidth="1"/>
    <col min="8" max="8" width="32" customWidth="1"/>
    <col min="9" max="9" width="13" customWidth="1"/>
    <col min="10" max="10" width="8" customWidth="1"/>
    <col min="11" max="11" width="11" customWidth="1"/>
    <col min="12" max="12" width="9" customWidth="1"/>
    <col min="13" max="13" width="14" customWidth="1"/>
  </cols>
  <sheetData>
    <row r="1" spans="1:13" ht="19" x14ac:dyDescent="0.4">
      <c r="A1" s="4" t="s">
        <v>93</v>
      </c>
    </row>
    <row r="2" spans="1:13" x14ac:dyDescent="0.35">
      <c r="A2" s="5" t="s">
        <v>94</v>
      </c>
    </row>
    <row r="3" spans="1:13" ht="30" customHeight="1" x14ac:dyDescent="0.35">
      <c r="A3" s="23" t="s">
        <v>95</v>
      </c>
      <c r="B3" s="23" t="s">
        <v>96</v>
      </c>
      <c r="C3" s="23" t="s">
        <v>97</v>
      </c>
      <c r="D3" s="23" t="s">
        <v>98</v>
      </c>
      <c r="E3" s="23" t="s">
        <v>99</v>
      </c>
      <c r="F3" s="23" t="s">
        <v>100</v>
      </c>
      <c r="G3" s="23" t="s">
        <v>101</v>
      </c>
      <c r="H3" s="23" t="s">
        <v>102</v>
      </c>
      <c r="I3" s="23" t="s">
        <v>103</v>
      </c>
      <c r="J3" s="23" t="s">
        <v>104</v>
      </c>
      <c r="K3" s="23" t="s">
        <v>105</v>
      </c>
      <c r="L3" s="23" t="s">
        <v>106</v>
      </c>
      <c r="M3" s="23" t="s">
        <v>91</v>
      </c>
    </row>
    <row r="4" spans="1:13" x14ac:dyDescent="0.35">
      <c r="A4" s="1">
        <f>IFERROR(MATCH(1,L_RangPaire,0),"")</f>
        <v>1</v>
      </c>
      <c r="B4" s="24">
        <f t="shared" ref="B4:B67" si="0">IF(A4="","",INDEX(L_Date,A4))</f>
        <v>46296</v>
      </c>
      <c r="C4" s="1" t="str">
        <f t="shared" ref="C4:C67" si="1">IF(A4="","",INDEX(L_Ref,A4)&amp;"")</f>
        <v>VIR-2210</v>
      </c>
      <c r="D4" s="1" t="str">
        <f t="shared" ref="D4:D67" si="2">IF(A4="","",INDEX(L_Motif,A4))</f>
        <v>Vente</v>
      </c>
      <c r="E4" s="25">
        <f t="shared" ref="E4:E67" si="3">IF(A4="","",INDEX(L_Montant,A4))</f>
        <v>4500000</v>
      </c>
      <c r="F4" s="1">
        <f t="shared" ref="F4:F67" si="4">IF(A4="","",INDEX(L_Banque,A4))</f>
        <v>1</v>
      </c>
      <c r="G4" s="24">
        <f t="shared" ref="G4:G67" si="5">IF(F4="","",INDEX(B_Date,F4))</f>
        <v>46296</v>
      </c>
      <c r="H4" s="1" t="str">
        <f t="shared" ref="H4:H67" si="6">IF(F4="","",INDEX(B_Lib,F4))</f>
        <v>VIR RECU SOTRACI REF VIR-2210</v>
      </c>
      <c r="I4" s="25">
        <f t="shared" ref="I4:I67" si="7">IF(F4="","",INDEX(B_Montant,F4))</f>
        <v>4500000</v>
      </c>
      <c r="J4" s="1">
        <f t="shared" ref="J4:J67" si="8">IF(A4="","",INDEX(L_DJ,A4))</f>
        <v>0</v>
      </c>
      <c r="K4" s="25">
        <f t="shared" ref="K4:K67" si="9">IF(A4="","",INDEX(L_DM,A4))</f>
        <v>0</v>
      </c>
      <c r="L4" s="1" t="str">
        <f t="shared" ref="L4:L67" si="10">IF(A4="","",INDEX(L_Score,A4))</f>
        <v>Fort</v>
      </c>
      <c r="M4" s="1" t="str">
        <f t="shared" ref="M4:M67" si="11">IF(A4="","",INDEX(L_Statut,A4))</f>
        <v>Rapproché</v>
      </c>
    </row>
    <row r="5" spans="1:13" x14ac:dyDescent="0.35">
      <c r="A5" s="1">
        <f>IFERROR(MATCH(2,L_RangPaire,0),"")</f>
        <v>2</v>
      </c>
      <c r="B5" s="24">
        <f t="shared" si="0"/>
        <v>46297</v>
      </c>
      <c r="C5" s="1" t="str">
        <f t="shared" si="1"/>
        <v>CHQ 0045871</v>
      </c>
      <c r="D5" s="1" t="str">
        <f t="shared" si="2"/>
        <v>Achat pièces</v>
      </c>
      <c r="E5" s="25">
        <f t="shared" si="3"/>
        <v>-1250000</v>
      </c>
      <c r="F5" s="1">
        <f t="shared" si="4"/>
        <v>4</v>
      </c>
      <c r="G5" s="24">
        <f t="shared" si="5"/>
        <v>46299</v>
      </c>
      <c r="H5" s="1" t="str">
        <f t="shared" si="6"/>
        <v>PAIEMENT CHEQUE</v>
      </c>
      <c r="I5" s="25">
        <f t="shared" si="7"/>
        <v>-1250000</v>
      </c>
      <c r="J5" s="1">
        <f t="shared" si="8"/>
        <v>2</v>
      </c>
      <c r="K5" s="25">
        <f t="shared" si="9"/>
        <v>0</v>
      </c>
      <c r="L5" s="1" t="str">
        <f t="shared" si="10"/>
        <v>Fort</v>
      </c>
      <c r="M5" s="1" t="str">
        <f t="shared" si="11"/>
        <v>Rapproché</v>
      </c>
    </row>
    <row r="6" spans="1:13" x14ac:dyDescent="0.35">
      <c r="A6" s="1">
        <f>IFERROR(MATCH(3,L_RangPaire,0),"")</f>
        <v>3</v>
      </c>
      <c r="B6" s="24">
        <f t="shared" si="0"/>
        <v>46298</v>
      </c>
      <c r="C6" s="1" t="str">
        <f t="shared" si="1"/>
        <v>VIR-2214</v>
      </c>
      <c r="D6" s="1" t="str">
        <f t="shared" si="2"/>
        <v>Salaires septembre</v>
      </c>
      <c r="E6" s="25">
        <f t="shared" si="3"/>
        <v>-3800000</v>
      </c>
      <c r="F6" s="1">
        <f t="shared" si="4"/>
        <v>3</v>
      </c>
      <c r="G6" s="24">
        <f t="shared" si="5"/>
        <v>46298</v>
      </c>
      <c r="H6" s="1" t="str">
        <f t="shared" si="6"/>
        <v>VIREMENT SALAIRES LOT 2214</v>
      </c>
      <c r="I6" s="25">
        <f t="shared" si="7"/>
        <v>-3800000</v>
      </c>
      <c r="J6" s="1">
        <f t="shared" si="8"/>
        <v>0</v>
      </c>
      <c r="K6" s="25">
        <f t="shared" si="9"/>
        <v>0</v>
      </c>
      <c r="L6" s="1" t="str">
        <f t="shared" si="10"/>
        <v>Fort</v>
      </c>
      <c r="M6" s="1" t="str">
        <f t="shared" si="11"/>
        <v>Rapproché</v>
      </c>
    </row>
    <row r="7" spans="1:13" x14ac:dyDescent="0.35">
      <c r="A7" s="1">
        <f>IFERROR(MATCH(4,L_RangPaire,0),"")</f>
        <v>4</v>
      </c>
      <c r="B7" s="24">
        <f t="shared" si="0"/>
        <v>46300</v>
      </c>
      <c r="C7" s="1" t="str">
        <f t="shared" si="1"/>
        <v/>
      </c>
      <c r="D7" s="1" t="str">
        <f t="shared" si="2"/>
        <v>Transport conteneur</v>
      </c>
      <c r="E7" s="25">
        <f t="shared" si="3"/>
        <v>-420000</v>
      </c>
      <c r="F7" s="1">
        <f t="shared" si="4"/>
        <v>5</v>
      </c>
      <c r="G7" s="24">
        <f t="shared" si="5"/>
        <v>46301</v>
      </c>
      <c r="H7" s="1" t="str">
        <f t="shared" si="6"/>
        <v>PRLV BOLLORE TRANSPORT</v>
      </c>
      <c r="I7" s="25">
        <f t="shared" si="7"/>
        <v>-420000</v>
      </c>
      <c r="J7" s="1">
        <f t="shared" si="8"/>
        <v>1</v>
      </c>
      <c r="K7" s="25">
        <f t="shared" si="9"/>
        <v>0</v>
      </c>
      <c r="L7" s="1" t="str">
        <f t="shared" si="10"/>
        <v>Moyen</v>
      </c>
      <c r="M7" s="1" t="str">
        <f t="shared" si="11"/>
        <v>Proposé</v>
      </c>
    </row>
    <row r="8" spans="1:13" x14ac:dyDescent="0.35">
      <c r="A8" s="1">
        <f>IFERROR(MATCH(5,L_RangPaire,0),"")</f>
        <v>5</v>
      </c>
      <c r="B8" s="24">
        <f t="shared" si="0"/>
        <v>46301</v>
      </c>
      <c r="C8" s="1" t="str">
        <f t="shared" si="1"/>
        <v>CHQ 0045872</v>
      </c>
      <c r="D8" s="1" t="str">
        <f t="shared" si="2"/>
        <v>Fournitures bureau</v>
      </c>
      <c r="E8" s="25">
        <f t="shared" si="3"/>
        <v>-185000</v>
      </c>
      <c r="F8" s="1">
        <f t="shared" si="4"/>
        <v>8</v>
      </c>
      <c r="G8" s="24">
        <f t="shared" si="5"/>
        <v>46304</v>
      </c>
      <c r="H8" s="1" t="str">
        <f t="shared" si="6"/>
        <v>PAIEMENT CHEQUE N° 45872</v>
      </c>
      <c r="I8" s="25">
        <f t="shared" si="7"/>
        <v>-185000</v>
      </c>
      <c r="J8" s="1">
        <f t="shared" si="8"/>
        <v>3</v>
      </c>
      <c r="K8" s="25">
        <f t="shared" si="9"/>
        <v>0</v>
      </c>
      <c r="L8" s="1" t="str">
        <f t="shared" si="10"/>
        <v>Fort</v>
      </c>
      <c r="M8" s="1" t="str">
        <f t="shared" si="11"/>
        <v>Rapproché</v>
      </c>
    </row>
    <row r="9" spans="1:13" x14ac:dyDescent="0.35">
      <c r="A9" s="1">
        <f>IFERROR(MATCH(6,L_RangPaire,0),"")</f>
        <v>6</v>
      </c>
      <c r="B9" s="24">
        <f t="shared" si="0"/>
        <v>46302</v>
      </c>
      <c r="C9" s="1" t="str">
        <f t="shared" si="1"/>
        <v>ENC-118</v>
      </c>
      <c r="D9" s="1" t="str">
        <f t="shared" si="2"/>
        <v>Vente</v>
      </c>
      <c r="E9" s="25">
        <f t="shared" si="3"/>
        <v>2150000</v>
      </c>
      <c r="F9" s="1">
        <f t="shared" si="4"/>
        <v>6</v>
      </c>
      <c r="G9" s="24">
        <f t="shared" si="5"/>
        <v>46302</v>
      </c>
      <c r="H9" s="1" t="str">
        <f t="shared" si="6"/>
        <v>VERSEMENT KIMA SARL</v>
      </c>
      <c r="I9" s="25">
        <f t="shared" si="7"/>
        <v>2150000</v>
      </c>
      <c r="J9" s="1">
        <f t="shared" si="8"/>
        <v>0</v>
      </c>
      <c r="K9" s="25">
        <f t="shared" si="9"/>
        <v>0</v>
      </c>
      <c r="L9" s="1" t="str">
        <f t="shared" si="10"/>
        <v>Moyen</v>
      </c>
      <c r="M9" s="1" t="str">
        <f t="shared" si="11"/>
        <v>Proposé</v>
      </c>
    </row>
    <row r="10" spans="1:13" x14ac:dyDescent="0.35">
      <c r="A10" s="1">
        <f>IFERROR(MATCH(7,L_RangPaire,0),"")</f>
        <v>7</v>
      </c>
      <c r="B10" s="24">
        <f t="shared" si="0"/>
        <v>46303</v>
      </c>
      <c r="C10" s="1" t="str">
        <f t="shared" si="1"/>
        <v/>
      </c>
      <c r="D10" s="1" t="str">
        <f t="shared" si="2"/>
        <v>Versement espèces</v>
      </c>
      <c r="E10" s="25">
        <f t="shared" si="3"/>
        <v>600000</v>
      </c>
      <c r="F10" s="1">
        <f t="shared" si="4"/>
        <v>7</v>
      </c>
      <c r="G10" s="24">
        <f t="shared" si="5"/>
        <v>46303</v>
      </c>
      <c r="H10" s="1" t="str">
        <f t="shared" si="6"/>
        <v>VERSEMENT ESPECES</v>
      </c>
      <c r="I10" s="25">
        <f t="shared" si="7"/>
        <v>600000</v>
      </c>
      <c r="J10" s="1">
        <f t="shared" si="8"/>
        <v>0</v>
      </c>
      <c r="K10" s="25">
        <f t="shared" si="9"/>
        <v>0</v>
      </c>
      <c r="L10" s="1" t="str">
        <f t="shared" si="10"/>
        <v>Moyen</v>
      </c>
      <c r="M10" s="1" t="str">
        <f t="shared" si="11"/>
        <v>Proposé</v>
      </c>
    </row>
    <row r="11" spans="1:13" x14ac:dyDescent="0.35">
      <c r="A11" s="1">
        <f>IFERROR(MATCH(8,L_RangPaire,0),"")</f>
        <v>8</v>
      </c>
      <c r="B11" s="24">
        <f t="shared" si="0"/>
        <v>46304</v>
      </c>
      <c r="C11" s="1" t="str">
        <f t="shared" si="1"/>
        <v>CHQ 0045873</v>
      </c>
      <c r="D11" s="1" t="str">
        <f t="shared" si="2"/>
        <v>Loyer entrepôt</v>
      </c>
      <c r="E11" s="25">
        <f t="shared" si="3"/>
        <v>-750000</v>
      </c>
      <c r="F11" s="1">
        <f t="shared" si="4"/>
        <v>9</v>
      </c>
      <c r="G11" s="24">
        <f t="shared" si="5"/>
        <v>46304</v>
      </c>
      <c r="H11" s="1" t="str">
        <f t="shared" si="6"/>
        <v>PAIEMENT CHEQUE N° 45873</v>
      </c>
      <c r="I11" s="25">
        <f t="shared" si="7"/>
        <v>-750000</v>
      </c>
      <c r="J11" s="1">
        <f t="shared" si="8"/>
        <v>0</v>
      </c>
      <c r="K11" s="25">
        <f t="shared" si="9"/>
        <v>0</v>
      </c>
      <c r="L11" s="1" t="str">
        <f t="shared" si="10"/>
        <v>Fort</v>
      </c>
      <c r="M11" s="1" t="str">
        <f t="shared" si="11"/>
        <v>Rapproché</v>
      </c>
    </row>
    <row r="12" spans="1:13" x14ac:dyDescent="0.35">
      <c r="A12" s="1">
        <f>IFERROR(MATCH(9,L_RangPaire,0),"")</f>
        <v>9</v>
      </c>
      <c r="B12" s="24">
        <f t="shared" si="0"/>
        <v>46305</v>
      </c>
      <c r="C12" s="1" t="str">
        <f t="shared" si="1"/>
        <v>VIR-2220</v>
      </c>
      <c r="D12" s="1" t="str">
        <f t="shared" si="2"/>
        <v>Transfert vers BIIC</v>
      </c>
      <c r="E12" s="25">
        <f t="shared" si="3"/>
        <v>-2000000</v>
      </c>
      <c r="F12" s="1">
        <f t="shared" si="4"/>
        <v>10</v>
      </c>
      <c r="G12" s="24">
        <f t="shared" si="5"/>
        <v>46305</v>
      </c>
      <c r="H12" s="1" t="str">
        <f t="shared" si="6"/>
        <v>VIR EMIS VERS BIIC</v>
      </c>
      <c r="I12" s="25">
        <f t="shared" si="7"/>
        <v>-2000000</v>
      </c>
      <c r="J12" s="1">
        <f t="shared" si="8"/>
        <v>0</v>
      </c>
      <c r="K12" s="25">
        <f t="shared" si="9"/>
        <v>0</v>
      </c>
      <c r="L12" s="1" t="str">
        <f t="shared" si="10"/>
        <v>Moyen</v>
      </c>
      <c r="M12" s="1" t="str">
        <f t="shared" si="11"/>
        <v>Proposé</v>
      </c>
    </row>
    <row r="13" spans="1:13" x14ac:dyDescent="0.35">
      <c r="A13" s="1" t="str">
        <f>IFERROR(MATCH(10,L_RangPaire,0),"")</f>
        <v/>
      </c>
      <c r="B13" s="24" t="str">
        <f t="shared" si="0"/>
        <v/>
      </c>
      <c r="C13" s="1" t="str">
        <f t="shared" si="1"/>
        <v/>
      </c>
      <c r="D13" s="1" t="str">
        <f t="shared" si="2"/>
        <v/>
      </c>
      <c r="E13" s="25" t="str">
        <f t="shared" si="3"/>
        <v/>
      </c>
      <c r="F13" s="1" t="str">
        <f t="shared" si="4"/>
        <v/>
      </c>
      <c r="G13" s="24" t="str">
        <f t="shared" si="5"/>
        <v/>
      </c>
      <c r="H13" s="1" t="str">
        <f t="shared" si="6"/>
        <v/>
      </c>
      <c r="I13" s="25" t="str">
        <f t="shared" si="7"/>
        <v/>
      </c>
      <c r="J13" s="1" t="str">
        <f t="shared" si="8"/>
        <v/>
      </c>
      <c r="K13" s="25" t="str">
        <f t="shared" si="9"/>
        <v/>
      </c>
      <c r="L13" s="1" t="str">
        <f t="shared" si="10"/>
        <v/>
      </c>
      <c r="M13" s="1" t="str">
        <f t="shared" si="11"/>
        <v/>
      </c>
    </row>
    <row r="14" spans="1:13" x14ac:dyDescent="0.35">
      <c r="A14" s="1" t="str">
        <f>IFERROR(MATCH(11,L_RangPaire,0),"")</f>
        <v/>
      </c>
      <c r="B14" s="24" t="str">
        <f t="shared" si="0"/>
        <v/>
      </c>
      <c r="C14" s="1" t="str">
        <f t="shared" si="1"/>
        <v/>
      </c>
      <c r="D14" s="1" t="str">
        <f t="shared" si="2"/>
        <v/>
      </c>
      <c r="E14" s="25" t="str">
        <f t="shared" si="3"/>
        <v/>
      </c>
      <c r="F14" s="1" t="str">
        <f t="shared" si="4"/>
        <v/>
      </c>
      <c r="G14" s="24" t="str">
        <f t="shared" si="5"/>
        <v/>
      </c>
      <c r="H14" s="1" t="str">
        <f t="shared" si="6"/>
        <v/>
      </c>
      <c r="I14" s="25" t="str">
        <f t="shared" si="7"/>
        <v/>
      </c>
      <c r="J14" s="1" t="str">
        <f t="shared" si="8"/>
        <v/>
      </c>
      <c r="K14" s="25" t="str">
        <f t="shared" si="9"/>
        <v/>
      </c>
      <c r="L14" s="1" t="str">
        <f t="shared" si="10"/>
        <v/>
      </c>
      <c r="M14" s="1" t="str">
        <f t="shared" si="11"/>
        <v/>
      </c>
    </row>
    <row r="15" spans="1:13" x14ac:dyDescent="0.35">
      <c r="A15" s="1" t="str">
        <f>IFERROR(MATCH(12,L_RangPaire,0),"")</f>
        <v/>
      </c>
      <c r="B15" s="24" t="str">
        <f t="shared" si="0"/>
        <v/>
      </c>
      <c r="C15" s="1" t="str">
        <f t="shared" si="1"/>
        <v/>
      </c>
      <c r="D15" s="1" t="str">
        <f t="shared" si="2"/>
        <v/>
      </c>
      <c r="E15" s="25" t="str">
        <f t="shared" si="3"/>
        <v/>
      </c>
      <c r="F15" s="1" t="str">
        <f t="shared" si="4"/>
        <v/>
      </c>
      <c r="G15" s="24" t="str">
        <f t="shared" si="5"/>
        <v/>
      </c>
      <c r="H15" s="1" t="str">
        <f t="shared" si="6"/>
        <v/>
      </c>
      <c r="I15" s="25" t="str">
        <f t="shared" si="7"/>
        <v/>
      </c>
      <c r="J15" s="1" t="str">
        <f t="shared" si="8"/>
        <v/>
      </c>
      <c r="K15" s="25" t="str">
        <f t="shared" si="9"/>
        <v/>
      </c>
      <c r="L15" s="1" t="str">
        <f t="shared" si="10"/>
        <v/>
      </c>
      <c r="M15" s="1" t="str">
        <f t="shared" si="11"/>
        <v/>
      </c>
    </row>
    <row r="16" spans="1:13" x14ac:dyDescent="0.35">
      <c r="A16" s="1" t="str">
        <f>IFERROR(MATCH(13,L_RangPaire,0),"")</f>
        <v/>
      </c>
      <c r="B16" s="24" t="str">
        <f t="shared" si="0"/>
        <v/>
      </c>
      <c r="C16" s="1" t="str">
        <f t="shared" si="1"/>
        <v/>
      </c>
      <c r="D16" s="1" t="str">
        <f t="shared" si="2"/>
        <v/>
      </c>
      <c r="E16" s="25" t="str">
        <f t="shared" si="3"/>
        <v/>
      </c>
      <c r="F16" s="1" t="str">
        <f t="shared" si="4"/>
        <v/>
      </c>
      <c r="G16" s="24" t="str">
        <f t="shared" si="5"/>
        <v/>
      </c>
      <c r="H16" s="1" t="str">
        <f t="shared" si="6"/>
        <v/>
      </c>
      <c r="I16" s="25" t="str">
        <f t="shared" si="7"/>
        <v/>
      </c>
      <c r="J16" s="1" t="str">
        <f t="shared" si="8"/>
        <v/>
      </c>
      <c r="K16" s="25" t="str">
        <f t="shared" si="9"/>
        <v/>
      </c>
      <c r="L16" s="1" t="str">
        <f t="shared" si="10"/>
        <v/>
      </c>
      <c r="M16" s="1" t="str">
        <f t="shared" si="11"/>
        <v/>
      </c>
    </row>
    <row r="17" spans="1:13" x14ac:dyDescent="0.35">
      <c r="A17" s="1" t="str">
        <f>IFERROR(MATCH(14,L_RangPaire,0),"")</f>
        <v/>
      </c>
      <c r="B17" s="24" t="str">
        <f t="shared" si="0"/>
        <v/>
      </c>
      <c r="C17" s="1" t="str">
        <f t="shared" si="1"/>
        <v/>
      </c>
      <c r="D17" s="1" t="str">
        <f t="shared" si="2"/>
        <v/>
      </c>
      <c r="E17" s="25" t="str">
        <f t="shared" si="3"/>
        <v/>
      </c>
      <c r="F17" s="1" t="str">
        <f t="shared" si="4"/>
        <v/>
      </c>
      <c r="G17" s="24" t="str">
        <f t="shared" si="5"/>
        <v/>
      </c>
      <c r="H17" s="1" t="str">
        <f t="shared" si="6"/>
        <v/>
      </c>
      <c r="I17" s="25" t="str">
        <f t="shared" si="7"/>
        <v/>
      </c>
      <c r="J17" s="1" t="str">
        <f t="shared" si="8"/>
        <v/>
      </c>
      <c r="K17" s="25" t="str">
        <f t="shared" si="9"/>
        <v/>
      </c>
      <c r="L17" s="1" t="str">
        <f t="shared" si="10"/>
        <v/>
      </c>
      <c r="M17" s="1" t="str">
        <f t="shared" si="11"/>
        <v/>
      </c>
    </row>
    <row r="18" spans="1:13" x14ac:dyDescent="0.35">
      <c r="A18" s="1" t="str">
        <f>IFERROR(MATCH(15,L_RangPaire,0),"")</f>
        <v/>
      </c>
      <c r="B18" s="24" t="str">
        <f t="shared" si="0"/>
        <v/>
      </c>
      <c r="C18" s="1" t="str">
        <f t="shared" si="1"/>
        <v/>
      </c>
      <c r="D18" s="1" t="str">
        <f t="shared" si="2"/>
        <v/>
      </c>
      <c r="E18" s="25" t="str">
        <f t="shared" si="3"/>
        <v/>
      </c>
      <c r="F18" s="1" t="str">
        <f t="shared" si="4"/>
        <v/>
      </c>
      <c r="G18" s="24" t="str">
        <f t="shared" si="5"/>
        <v/>
      </c>
      <c r="H18" s="1" t="str">
        <f t="shared" si="6"/>
        <v/>
      </c>
      <c r="I18" s="25" t="str">
        <f t="shared" si="7"/>
        <v/>
      </c>
      <c r="J18" s="1" t="str">
        <f t="shared" si="8"/>
        <v/>
      </c>
      <c r="K18" s="25" t="str">
        <f t="shared" si="9"/>
        <v/>
      </c>
      <c r="L18" s="1" t="str">
        <f t="shared" si="10"/>
        <v/>
      </c>
      <c r="M18" s="1" t="str">
        <f t="shared" si="11"/>
        <v/>
      </c>
    </row>
    <row r="19" spans="1:13" x14ac:dyDescent="0.35">
      <c r="A19" s="1" t="str">
        <f>IFERROR(MATCH(16,L_RangPaire,0),"")</f>
        <v/>
      </c>
      <c r="B19" s="24" t="str">
        <f t="shared" si="0"/>
        <v/>
      </c>
      <c r="C19" s="1" t="str">
        <f t="shared" si="1"/>
        <v/>
      </c>
      <c r="D19" s="1" t="str">
        <f t="shared" si="2"/>
        <v/>
      </c>
      <c r="E19" s="25" t="str">
        <f t="shared" si="3"/>
        <v/>
      </c>
      <c r="F19" s="1" t="str">
        <f t="shared" si="4"/>
        <v/>
      </c>
      <c r="G19" s="24" t="str">
        <f t="shared" si="5"/>
        <v/>
      </c>
      <c r="H19" s="1" t="str">
        <f t="shared" si="6"/>
        <v/>
      </c>
      <c r="I19" s="25" t="str">
        <f t="shared" si="7"/>
        <v/>
      </c>
      <c r="J19" s="1" t="str">
        <f t="shared" si="8"/>
        <v/>
      </c>
      <c r="K19" s="25" t="str">
        <f t="shared" si="9"/>
        <v/>
      </c>
      <c r="L19" s="1" t="str">
        <f t="shared" si="10"/>
        <v/>
      </c>
      <c r="M19" s="1" t="str">
        <f t="shared" si="11"/>
        <v/>
      </c>
    </row>
    <row r="20" spans="1:13" x14ac:dyDescent="0.35">
      <c r="A20" s="1" t="str">
        <f>IFERROR(MATCH(17,L_RangPaire,0),"")</f>
        <v/>
      </c>
      <c r="B20" s="24" t="str">
        <f t="shared" si="0"/>
        <v/>
      </c>
      <c r="C20" s="1" t="str">
        <f t="shared" si="1"/>
        <v/>
      </c>
      <c r="D20" s="1" t="str">
        <f t="shared" si="2"/>
        <v/>
      </c>
      <c r="E20" s="25" t="str">
        <f t="shared" si="3"/>
        <v/>
      </c>
      <c r="F20" s="1" t="str">
        <f t="shared" si="4"/>
        <v/>
      </c>
      <c r="G20" s="24" t="str">
        <f t="shared" si="5"/>
        <v/>
      </c>
      <c r="H20" s="1" t="str">
        <f t="shared" si="6"/>
        <v/>
      </c>
      <c r="I20" s="25" t="str">
        <f t="shared" si="7"/>
        <v/>
      </c>
      <c r="J20" s="1" t="str">
        <f t="shared" si="8"/>
        <v/>
      </c>
      <c r="K20" s="25" t="str">
        <f t="shared" si="9"/>
        <v/>
      </c>
      <c r="L20" s="1" t="str">
        <f t="shared" si="10"/>
        <v/>
      </c>
      <c r="M20" s="1" t="str">
        <f t="shared" si="11"/>
        <v/>
      </c>
    </row>
    <row r="21" spans="1:13" x14ac:dyDescent="0.35">
      <c r="A21" s="1" t="str">
        <f>IFERROR(MATCH(18,L_RangPaire,0),"")</f>
        <v/>
      </c>
      <c r="B21" s="24" t="str">
        <f t="shared" si="0"/>
        <v/>
      </c>
      <c r="C21" s="1" t="str">
        <f t="shared" si="1"/>
        <v/>
      </c>
      <c r="D21" s="1" t="str">
        <f t="shared" si="2"/>
        <v/>
      </c>
      <c r="E21" s="25" t="str">
        <f t="shared" si="3"/>
        <v/>
      </c>
      <c r="F21" s="1" t="str">
        <f t="shared" si="4"/>
        <v/>
      </c>
      <c r="G21" s="24" t="str">
        <f t="shared" si="5"/>
        <v/>
      </c>
      <c r="H21" s="1" t="str">
        <f t="shared" si="6"/>
        <v/>
      </c>
      <c r="I21" s="25" t="str">
        <f t="shared" si="7"/>
        <v/>
      </c>
      <c r="J21" s="1" t="str">
        <f t="shared" si="8"/>
        <v/>
      </c>
      <c r="K21" s="25" t="str">
        <f t="shared" si="9"/>
        <v/>
      </c>
      <c r="L21" s="1" t="str">
        <f t="shared" si="10"/>
        <v/>
      </c>
      <c r="M21" s="1" t="str">
        <f t="shared" si="11"/>
        <v/>
      </c>
    </row>
    <row r="22" spans="1:13" x14ac:dyDescent="0.35">
      <c r="A22" s="1" t="str">
        <f>IFERROR(MATCH(19,L_RangPaire,0),"")</f>
        <v/>
      </c>
      <c r="B22" s="24" t="str">
        <f t="shared" si="0"/>
        <v/>
      </c>
      <c r="C22" s="1" t="str">
        <f t="shared" si="1"/>
        <v/>
      </c>
      <c r="D22" s="1" t="str">
        <f t="shared" si="2"/>
        <v/>
      </c>
      <c r="E22" s="25" t="str">
        <f t="shared" si="3"/>
        <v/>
      </c>
      <c r="F22" s="1" t="str">
        <f t="shared" si="4"/>
        <v/>
      </c>
      <c r="G22" s="24" t="str">
        <f t="shared" si="5"/>
        <v/>
      </c>
      <c r="H22" s="1" t="str">
        <f t="shared" si="6"/>
        <v/>
      </c>
      <c r="I22" s="25" t="str">
        <f t="shared" si="7"/>
        <v/>
      </c>
      <c r="J22" s="1" t="str">
        <f t="shared" si="8"/>
        <v/>
      </c>
      <c r="K22" s="25" t="str">
        <f t="shared" si="9"/>
        <v/>
      </c>
      <c r="L22" s="1" t="str">
        <f t="shared" si="10"/>
        <v/>
      </c>
      <c r="M22" s="1" t="str">
        <f t="shared" si="11"/>
        <v/>
      </c>
    </row>
    <row r="23" spans="1:13" x14ac:dyDescent="0.35">
      <c r="A23" s="1" t="str">
        <f>IFERROR(MATCH(20,L_RangPaire,0),"")</f>
        <v/>
      </c>
      <c r="B23" s="24" t="str">
        <f t="shared" si="0"/>
        <v/>
      </c>
      <c r="C23" s="1" t="str">
        <f t="shared" si="1"/>
        <v/>
      </c>
      <c r="D23" s="1" t="str">
        <f t="shared" si="2"/>
        <v/>
      </c>
      <c r="E23" s="25" t="str">
        <f t="shared" si="3"/>
        <v/>
      </c>
      <c r="F23" s="1" t="str">
        <f t="shared" si="4"/>
        <v/>
      </c>
      <c r="G23" s="24" t="str">
        <f t="shared" si="5"/>
        <v/>
      </c>
      <c r="H23" s="1" t="str">
        <f t="shared" si="6"/>
        <v/>
      </c>
      <c r="I23" s="25" t="str">
        <f t="shared" si="7"/>
        <v/>
      </c>
      <c r="J23" s="1" t="str">
        <f t="shared" si="8"/>
        <v/>
      </c>
      <c r="K23" s="25" t="str">
        <f t="shared" si="9"/>
        <v/>
      </c>
      <c r="L23" s="1" t="str">
        <f t="shared" si="10"/>
        <v/>
      </c>
      <c r="M23" s="1" t="str">
        <f t="shared" si="11"/>
        <v/>
      </c>
    </row>
    <row r="24" spans="1:13" x14ac:dyDescent="0.35">
      <c r="A24" s="1" t="str">
        <f>IFERROR(MATCH(21,L_RangPaire,0),"")</f>
        <v/>
      </c>
      <c r="B24" s="24" t="str">
        <f t="shared" si="0"/>
        <v/>
      </c>
      <c r="C24" s="1" t="str">
        <f t="shared" si="1"/>
        <v/>
      </c>
      <c r="D24" s="1" t="str">
        <f t="shared" si="2"/>
        <v/>
      </c>
      <c r="E24" s="25" t="str">
        <f t="shared" si="3"/>
        <v/>
      </c>
      <c r="F24" s="1" t="str">
        <f t="shared" si="4"/>
        <v/>
      </c>
      <c r="G24" s="24" t="str">
        <f t="shared" si="5"/>
        <v/>
      </c>
      <c r="H24" s="1" t="str">
        <f t="shared" si="6"/>
        <v/>
      </c>
      <c r="I24" s="25" t="str">
        <f t="shared" si="7"/>
        <v/>
      </c>
      <c r="J24" s="1" t="str">
        <f t="shared" si="8"/>
        <v/>
      </c>
      <c r="K24" s="25" t="str">
        <f t="shared" si="9"/>
        <v/>
      </c>
      <c r="L24" s="1" t="str">
        <f t="shared" si="10"/>
        <v/>
      </c>
      <c r="M24" s="1" t="str">
        <f t="shared" si="11"/>
        <v/>
      </c>
    </row>
    <row r="25" spans="1:13" x14ac:dyDescent="0.35">
      <c r="A25" s="1" t="str">
        <f>IFERROR(MATCH(22,L_RangPaire,0),"")</f>
        <v/>
      </c>
      <c r="B25" s="24" t="str">
        <f t="shared" si="0"/>
        <v/>
      </c>
      <c r="C25" s="1" t="str">
        <f t="shared" si="1"/>
        <v/>
      </c>
      <c r="D25" s="1" t="str">
        <f t="shared" si="2"/>
        <v/>
      </c>
      <c r="E25" s="25" t="str">
        <f t="shared" si="3"/>
        <v/>
      </c>
      <c r="F25" s="1" t="str">
        <f t="shared" si="4"/>
        <v/>
      </c>
      <c r="G25" s="24" t="str">
        <f t="shared" si="5"/>
        <v/>
      </c>
      <c r="H25" s="1" t="str">
        <f t="shared" si="6"/>
        <v/>
      </c>
      <c r="I25" s="25" t="str">
        <f t="shared" si="7"/>
        <v/>
      </c>
      <c r="J25" s="1" t="str">
        <f t="shared" si="8"/>
        <v/>
      </c>
      <c r="K25" s="25" t="str">
        <f t="shared" si="9"/>
        <v/>
      </c>
      <c r="L25" s="1" t="str">
        <f t="shared" si="10"/>
        <v/>
      </c>
      <c r="M25" s="1" t="str">
        <f t="shared" si="11"/>
        <v/>
      </c>
    </row>
    <row r="26" spans="1:13" x14ac:dyDescent="0.35">
      <c r="A26" s="1" t="str">
        <f>IFERROR(MATCH(23,L_RangPaire,0),"")</f>
        <v/>
      </c>
      <c r="B26" s="24" t="str">
        <f t="shared" si="0"/>
        <v/>
      </c>
      <c r="C26" s="1" t="str">
        <f t="shared" si="1"/>
        <v/>
      </c>
      <c r="D26" s="1" t="str">
        <f t="shared" si="2"/>
        <v/>
      </c>
      <c r="E26" s="25" t="str">
        <f t="shared" si="3"/>
        <v/>
      </c>
      <c r="F26" s="1" t="str">
        <f t="shared" si="4"/>
        <v/>
      </c>
      <c r="G26" s="24" t="str">
        <f t="shared" si="5"/>
        <v/>
      </c>
      <c r="H26" s="1" t="str">
        <f t="shared" si="6"/>
        <v/>
      </c>
      <c r="I26" s="25" t="str">
        <f t="shared" si="7"/>
        <v/>
      </c>
      <c r="J26" s="1" t="str">
        <f t="shared" si="8"/>
        <v/>
      </c>
      <c r="K26" s="25" t="str">
        <f t="shared" si="9"/>
        <v/>
      </c>
      <c r="L26" s="1" t="str">
        <f t="shared" si="10"/>
        <v/>
      </c>
      <c r="M26" s="1" t="str">
        <f t="shared" si="11"/>
        <v/>
      </c>
    </row>
    <row r="27" spans="1:13" x14ac:dyDescent="0.35">
      <c r="A27" s="1" t="str">
        <f>IFERROR(MATCH(24,L_RangPaire,0),"")</f>
        <v/>
      </c>
      <c r="B27" s="24" t="str">
        <f t="shared" si="0"/>
        <v/>
      </c>
      <c r="C27" s="1" t="str">
        <f t="shared" si="1"/>
        <v/>
      </c>
      <c r="D27" s="1" t="str">
        <f t="shared" si="2"/>
        <v/>
      </c>
      <c r="E27" s="25" t="str">
        <f t="shared" si="3"/>
        <v/>
      </c>
      <c r="F27" s="1" t="str">
        <f t="shared" si="4"/>
        <v/>
      </c>
      <c r="G27" s="24" t="str">
        <f t="shared" si="5"/>
        <v/>
      </c>
      <c r="H27" s="1" t="str">
        <f t="shared" si="6"/>
        <v/>
      </c>
      <c r="I27" s="25" t="str">
        <f t="shared" si="7"/>
        <v/>
      </c>
      <c r="J27" s="1" t="str">
        <f t="shared" si="8"/>
        <v/>
      </c>
      <c r="K27" s="25" t="str">
        <f t="shared" si="9"/>
        <v/>
      </c>
      <c r="L27" s="1" t="str">
        <f t="shared" si="10"/>
        <v/>
      </c>
      <c r="M27" s="1" t="str">
        <f t="shared" si="11"/>
        <v/>
      </c>
    </row>
    <row r="28" spans="1:13" x14ac:dyDescent="0.35">
      <c r="A28" s="1" t="str">
        <f>IFERROR(MATCH(25,L_RangPaire,0),"")</f>
        <v/>
      </c>
      <c r="B28" s="24" t="str">
        <f t="shared" si="0"/>
        <v/>
      </c>
      <c r="C28" s="1" t="str">
        <f t="shared" si="1"/>
        <v/>
      </c>
      <c r="D28" s="1" t="str">
        <f t="shared" si="2"/>
        <v/>
      </c>
      <c r="E28" s="25" t="str">
        <f t="shared" si="3"/>
        <v/>
      </c>
      <c r="F28" s="1" t="str">
        <f t="shared" si="4"/>
        <v/>
      </c>
      <c r="G28" s="24" t="str">
        <f t="shared" si="5"/>
        <v/>
      </c>
      <c r="H28" s="1" t="str">
        <f t="shared" si="6"/>
        <v/>
      </c>
      <c r="I28" s="25" t="str">
        <f t="shared" si="7"/>
        <v/>
      </c>
      <c r="J28" s="1" t="str">
        <f t="shared" si="8"/>
        <v/>
      </c>
      <c r="K28" s="25" t="str">
        <f t="shared" si="9"/>
        <v/>
      </c>
      <c r="L28" s="1" t="str">
        <f t="shared" si="10"/>
        <v/>
      </c>
      <c r="M28" s="1" t="str">
        <f t="shared" si="11"/>
        <v/>
      </c>
    </row>
    <row r="29" spans="1:13" x14ac:dyDescent="0.35">
      <c r="A29" s="1" t="str">
        <f>IFERROR(MATCH(26,L_RangPaire,0),"")</f>
        <v/>
      </c>
      <c r="B29" s="24" t="str">
        <f t="shared" si="0"/>
        <v/>
      </c>
      <c r="C29" s="1" t="str">
        <f t="shared" si="1"/>
        <v/>
      </c>
      <c r="D29" s="1" t="str">
        <f t="shared" si="2"/>
        <v/>
      </c>
      <c r="E29" s="25" t="str">
        <f t="shared" si="3"/>
        <v/>
      </c>
      <c r="F29" s="1" t="str">
        <f t="shared" si="4"/>
        <v/>
      </c>
      <c r="G29" s="24" t="str">
        <f t="shared" si="5"/>
        <v/>
      </c>
      <c r="H29" s="1" t="str">
        <f t="shared" si="6"/>
        <v/>
      </c>
      <c r="I29" s="25" t="str">
        <f t="shared" si="7"/>
        <v/>
      </c>
      <c r="J29" s="1" t="str">
        <f t="shared" si="8"/>
        <v/>
      </c>
      <c r="K29" s="25" t="str">
        <f t="shared" si="9"/>
        <v/>
      </c>
      <c r="L29" s="1" t="str">
        <f t="shared" si="10"/>
        <v/>
      </c>
      <c r="M29" s="1" t="str">
        <f t="shared" si="11"/>
        <v/>
      </c>
    </row>
    <row r="30" spans="1:13" x14ac:dyDescent="0.35">
      <c r="A30" s="1" t="str">
        <f>IFERROR(MATCH(27,L_RangPaire,0),"")</f>
        <v/>
      </c>
      <c r="B30" s="24" t="str">
        <f t="shared" si="0"/>
        <v/>
      </c>
      <c r="C30" s="1" t="str">
        <f t="shared" si="1"/>
        <v/>
      </c>
      <c r="D30" s="1" t="str">
        <f t="shared" si="2"/>
        <v/>
      </c>
      <c r="E30" s="25" t="str">
        <f t="shared" si="3"/>
        <v/>
      </c>
      <c r="F30" s="1" t="str">
        <f t="shared" si="4"/>
        <v/>
      </c>
      <c r="G30" s="24" t="str">
        <f t="shared" si="5"/>
        <v/>
      </c>
      <c r="H30" s="1" t="str">
        <f t="shared" si="6"/>
        <v/>
      </c>
      <c r="I30" s="25" t="str">
        <f t="shared" si="7"/>
        <v/>
      </c>
      <c r="J30" s="1" t="str">
        <f t="shared" si="8"/>
        <v/>
      </c>
      <c r="K30" s="25" t="str">
        <f t="shared" si="9"/>
        <v/>
      </c>
      <c r="L30" s="1" t="str">
        <f t="shared" si="10"/>
        <v/>
      </c>
      <c r="M30" s="1" t="str">
        <f t="shared" si="11"/>
        <v/>
      </c>
    </row>
    <row r="31" spans="1:13" x14ac:dyDescent="0.35">
      <c r="A31" s="1" t="str">
        <f>IFERROR(MATCH(28,L_RangPaire,0),"")</f>
        <v/>
      </c>
      <c r="B31" s="24" t="str">
        <f t="shared" si="0"/>
        <v/>
      </c>
      <c r="C31" s="1" t="str">
        <f t="shared" si="1"/>
        <v/>
      </c>
      <c r="D31" s="1" t="str">
        <f t="shared" si="2"/>
        <v/>
      </c>
      <c r="E31" s="25" t="str">
        <f t="shared" si="3"/>
        <v/>
      </c>
      <c r="F31" s="1" t="str">
        <f t="shared" si="4"/>
        <v/>
      </c>
      <c r="G31" s="24" t="str">
        <f t="shared" si="5"/>
        <v/>
      </c>
      <c r="H31" s="1" t="str">
        <f t="shared" si="6"/>
        <v/>
      </c>
      <c r="I31" s="25" t="str">
        <f t="shared" si="7"/>
        <v/>
      </c>
      <c r="J31" s="1" t="str">
        <f t="shared" si="8"/>
        <v/>
      </c>
      <c r="K31" s="25" t="str">
        <f t="shared" si="9"/>
        <v/>
      </c>
      <c r="L31" s="1" t="str">
        <f t="shared" si="10"/>
        <v/>
      </c>
      <c r="M31" s="1" t="str">
        <f t="shared" si="11"/>
        <v/>
      </c>
    </row>
    <row r="32" spans="1:13" x14ac:dyDescent="0.35">
      <c r="A32" s="1" t="str">
        <f>IFERROR(MATCH(29,L_RangPaire,0),"")</f>
        <v/>
      </c>
      <c r="B32" s="24" t="str">
        <f t="shared" si="0"/>
        <v/>
      </c>
      <c r="C32" s="1" t="str">
        <f t="shared" si="1"/>
        <v/>
      </c>
      <c r="D32" s="1" t="str">
        <f t="shared" si="2"/>
        <v/>
      </c>
      <c r="E32" s="25" t="str">
        <f t="shared" si="3"/>
        <v/>
      </c>
      <c r="F32" s="1" t="str">
        <f t="shared" si="4"/>
        <v/>
      </c>
      <c r="G32" s="24" t="str">
        <f t="shared" si="5"/>
        <v/>
      </c>
      <c r="H32" s="1" t="str">
        <f t="shared" si="6"/>
        <v/>
      </c>
      <c r="I32" s="25" t="str">
        <f t="shared" si="7"/>
        <v/>
      </c>
      <c r="J32" s="1" t="str">
        <f t="shared" si="8"/>
        <v/>
      </c>
      <c r="K32" s="25" t="str">
        <f t="shared" si="9"/>
        <v/>
      </c>
      <c r="L32" s="1" t="str">
        <f t="shared" si="10"/>
        <v/>
      </c>
      <c r="M32" s="1" t="str">
        <f t="shared" si="11"/>
        <v/>
      </c>
    </row>
    <row r="33" spans="1:13" x14ac:dyDescent="0.35">
      <c r="A33" s="1" t="str">
        <f>IFERROR(MATCH(30,L_RangPaire,0),"")</f>
        <v/>
      </c>
      <c r="B33" s="24" t="str">
        <f t="shared" si="0"/>
        <v/>
      </c>
      <c r="C33" s="1" t="str">
        <f t="shared" si="1"/>
        <v/>
      </c>
      <c r="D33" s="1" t="str">
        <f t="shared" si="2"/>
        <v/>
      </c>
      <c r="E33" s="25" t="str">
        <f t="shared" si="3"/>
        <v/>
      </c>
      <c r="F33" s="1" t="str">
        <f t="shared" si="4"/>
        <v/>
      </c>
      <c r="G33" s="24" t="str">
        <f t="shared" si="5"/>
        <v/>
      </c>
      <c r="H33" s="1" t="str">
        <f t="shared" si="6"/>
        <v/>
      </c>
      <c r="I33" s="25" t="str">
        <f t="shared" si="7"/>
        <v/>
      </c>
      <c r="J33" s="1" t="str">
        <f t="shared" si="8"/>
        <v/>
      </c>
      <c r="K33" s="25" t="str">
        <f t="shared" si="9"/>
        <v/>
      </c>
      <c r="L33" s="1" t="str">
        <f t="shared" si="10"/>
        <v/>
      </c>
      <c r="M33" s="1" t="str">
        <f t="shared" si="11"/>
        <v/>
      </c>
    </row>
    <row r="34" spans="1:13" x14ac:dyDescent="0.35">
      <c r="A34" s="1" t="str">
        <f>IFERROR(MATCH(31,L_RangPaire,0),"")</f>
        <v/>
      </c>
      <c r="B34" s="24" t="str">
        <f t="shared" si="0"/>
        <v/>
      </c>
      <c r="C34" s="1" t="str">
        <f t="shared" si="1"/>
        <v/>
      </c>
      <c r="D34" s="1" t="str">
        <f t="shared" si="2"/>
        <v/>
      </c>
      <c r="E34" s="25" t="str">
        <f t="shared" si="3"/>
        <v/>
      </c>
      <c r="F34" s="1" t="str">
        <f t="shared" si="4"/>
        <v/>
      </c>
      <c r="G34" s="24" t="str">
        <f t="shared" si="5"/>
        <v/>
      </c>
      <c r="H34" s="1" t="str">
        <f t="shared" si="6"/>
        <v/>
      </c>
      <c r="I34" s="25" t="str">
        <f t="shared" si="7"/>
        <v/>
      </c>
      <c r="J34" s="1" t="str">
        <f t="shared" si="8"/>
        <v/>
      </c>
      <c r="K34" s="25" t="str">
        <f t="shared" si="9"/>
        <v/>
      </c>
      <c r="L34" s="1" t="str">
        <f t="shared" si="10"/>
        <v/>
      </c>
      <c r="M34" s="1" t="str">
        <f t="shared" si="11"/>
        <v/>
      </c>
    </row>
    <row r="35" spans="1:13" x14ac:dyDescent="0.35">
      <c r="A35" s="1" t="str">
        <f>IFERROR(MATCH(32,L_RangPaire,0),"")</f>
        <v/>
      </c>
      <c r="B35" s="24" t="str">
        <f t="shared" si="0"/>
        <v/>
      </c>
      <c r="C35" s="1" t="str">
        <f t="shared" si="1"/>
        <v/>
      </c>
      <c r="D35" s="1" t="str">
        <f t="shared" si="2"/>
        <v/>
      </c>
      <c r="E35" s="25" t="str">
        <f t="shared" si="3"/>
        <v/>
      </c>
      <c r="F35" s="1" t="str">
        <f t="shared" si="4"/>
        <v/>
      </c>
      <c r="G35" s="24" t="str">
        <f t="shared" si="5"/>
        <v/>
      </c>
      <c r="H35" s="1" t="str">
        <f t="shared" si="6"/>
        <v/>
      </c>
      <c r="I35" s="25" t="str">
        <f t="shared" si="7"/>
        <v/>
      </c>
      <c r="J35" s="1" t="str">
        <f t="shared" si="8"/>
        <v/>
      </c>
      <c r="K35" s="25" t="str">
        <f t="shared" si="9"/>
        <v/>
      </c>
      <c r="L35" s="1" t="str">
        <f t="shared" si="10"/>
        <v/>
      </c>
      <c r="M35" s="1" t="str">
        <f t="shared" si="11"/>
        <v/>
      </c>
    </row>
    <row r="36" spans="1:13" x14ac:dyDescent="0.35">
      <c r="A36" s="1" t="str">
        <f>IFERROR(MATCH(33,L_RangPaire,0),"")</f>
        <v/>
      </c>
      <c r="B36" s="24" t="str">
        <f t="shared" si="0"/>
        <v/>
      </c>
      <c r="C36" s="1" t="str">
        <f t="shared" si="1"/>
        <v/>
      </c>
      <c r="D36" s="1" t="str">
        <f t="shared" si="2"/>
        <v/>
      </c>
      <c r="E36" s="25" t="str">
        <f t="shared" si="3"/>
        <v/>
      </c>
      <c r="F36" s="1" t="str">
        <f t="shared" si="4"/>
        <v/>
      </c>
      <c r="G36" s="24" t="str">
        <f t="shared" si="5"/>
        <v/>
      </c>
      <c r="H36" s="1" t="str">
        <f t="shared" si="6"/>
        <v/>
      </c>
      <c r="I36" s="25" t="str">
        <f t="shared" si="7"/>
        <v/>
      </c>
      <c r="J36" s="1" t="str">
        <f t="shared" si="8"/>
        <v/>
      </c>
      <c r="K36" s="25" t="str">
        <f t="shared" si="9"/>
        <v/>
      </c>
      <c r="L36" s="1" t="str">
        <f t="shared" si="10"/>
        <v/>
      </c>
      <c r="M36" s="1" t="str">
        <f t="shared" si="11"/>
        <v/>
      </c>
    </row>
    <row r="37" spans="1:13" x14ac:dyDescent="0.35">
      <c r="A37" s="1" t="str">
        <f>IFERROR(MATCH(34,L_RangPaire,0),"")</f>
        <v/>
      </c>
      <c r="B37" s="24" t="str">
        <f t="shared" si="0"/>
        <v/>
      </c>
      <c r="C37" s="1" t="str">
        <f t="shared" si="1"/>
        <v/>
      </c>
      <c r="D37" s="1" t="str">
        <f t="shared" si="2"/>
        <v/>
      </c>
      <c r="E37" s="25" t="str">
        <f t="shared" si="3"/>
        <v/>
      </c>
      <c r="F37" s="1" t="str">
        <f t="shared" si="4"/>
        <v/>
      </c>
      <c r="G37" s="24" t="str">
        <f t="shared" si="5"/>
        <v/>
      </c>
      <c r="H37" s="1" t="str">
        <f t="shared" si="6"/>
        <v/>
      </c>
      <c r="I37" s="25" t="str">
        <f t="shared" si="7"/>
        <v/>
      </c>
      <c r="J37" s="1" t="str">
        <f t="shared" si="8"/>
        <v/>
      </c>
      <c r="K37" s="25" t="str">
        <f t="shared" si="9"/>
        <v/>
      </c>
      <c r="L37" s="1" t="str">
        <f t="shared" si="10"/>
        <v/>
      </c>
      <c r="M37" s="1" t="str">
        <f t="shared" si="11"/>
        <v/>
      </c>
    </row>
    <row r="38" spans="1:13" x14ac:dyDescent="0.35">
      <c r="A38" s="1" t="str">
        <f>IFERROR(MATCH(35,L_RangPaire,0),"")</f>
        <v/>
      </c>
      <c r="B38" s="24" t="str">
        <f t="shared" si="0"/>
        <v/>
      </c>
      <c r="C38" s="1" t="str">
        <f t="shared" si="1"/>
        <v/>
      </c>
      <c r="D38" s="1" t="str">
        <f t="shared" si="2"/>
        <v/>
      </c>
      <c r="E38" s="25" t="str">
        <f t="shared" si="3"/>
        <v/>
      </c>
      <c r="F38" s="1" t="str">
        <f t="shared" si="4"/>
        <v/>
      </c>
      <c r="G38" s="24" t="str">
        <f t="shared" si="5"/>
        <v/>
      </c>
      <c r="H38" s="1" t="str">
        <f t="shared" si="6"/>
        <v/>
      </c>
      <c r="I38" s="25" t="str">
        <f t="shared" si="7"/>
        <v/>
      </c>
      <c r="J38" s="1" t="str">
        <f t="shared" si="8"/>
        <v/>
      </c>
      <c r="K38" s="25" t="str">
        <f t="shared" si="9"/>
        <v/>
      </c>
      <c r="L38" s="1" t="str">
        <f t="shared" si="10"/>
        <v/>
      </c>
      <c r="M38" s="1" t="str">
        <f t="shared" si="11"/>
        <v/>
      </c>
    </row>
    <row r="39" spans="1:13" x14ac:dyDescent="0.35">
      <c r="A39" s="1" t="str">
        <f>IFERROR(MATCH(36,L_RangPaire,0),"")</f>
        <v/>
      </c>
      <c r="B39" s="24" t="str">
        <f t="shared" si="0"/>
        <v/>
      </c>
      <c r="C39" s="1" t="str">
        <f t="shared" si="1"/>
        <v/>
      </c>
      <c r="D39" s="1" t="str">
        <f t="shared" si="2"/>
        <v/>
      </c>
      <c r="E39" s="25" t="str">
        <f t="shared" si="3"/>
        <v/>
      </c>
      <c r="F39" s="1" t="str">
        <f t="shared" si="4"/>
        <v/>
      </c>
      <c r="G39" s="24" t="str">
        <f t="shared" si="5"/>
        <v/>
      </c>
      <c r="H39" s="1" t="str">
        <f t="shared" si="6"/>
        <v/>
      </c>
      <c r="I39" s="25" t="str">
        <f t="shared" si="7"/>
        <v/>
      </c>
      <c r="J39" s="1" t="str">
        <f t="shared" si="8"/>
        <v/>
      </c>
      <c r="K39" s="25" t="str">
        <f t="shared" si="9"/>
        <v/>
      </c>
      <c r="L39" s="1" t="str">
        <f t="shared" si="10"/>
        <v/>
      </c>
      <c r="M39" s="1" t="str">
        <f t="shared" si="11"/>
        <v/>
      </c>
    </row>
    <row r="40" spans="1:13" x14ac:dyDescent="0.35">
      <c r="A40" s="1" t="str">
        <f>IFERROR(MATCH(37,L_RangPaire,0),"")</f>
        <v/>
      </c>
      <c r="B40" s="24" t="str">
        <f t="shared" si="0"/>
        <v/>
      </c>
      <c r="C40" s="1" t="str">
        <f t="shared" si="1"/>
        <v/>
      </c>
      <c r="D40" s="1" t="str">
        <f t="shared" si="2"/>
        <v/>
      </c>
      <c r="E40" s="25" t="str">
        <f t="shared" si="3"/>
        <v/>
      </c>
      <c r="F40" s="1" t="str">
        <f t="shared" si="4"/>
        <v/>
      </c>
      <c r="G40" s="24" t="str">
        <f t="shared" si="5"/>
        <v/>
      </c>
      <c r="H40" s="1" t="str">
        <f t="shared" si="6"/>
        <v/>
      </c>
      <c r="I40" s="25" t="str">
        <f t="shared" si="7"/>
        <v/>
      </c>
      <c r="J40" s="1" t="str">
        <f t="shared" si="8"/>
        <v/>
      </c>
      <c r="K40" s="25" t="str">
        <f t="shared" si="9"/>
        <v/>
      </c>
      <c r="L40" s="1" t="str">
        <f t="shared" si="10"/>
        <v/>
      </c>
      <c r="M40" s="1" t="str">
        <f t="shared" si="11"/>
        <v/>
      </c>
    </row>
    <row r="41" spans="1:13" x14ac:dyDescent="0.35">
      <c r="A41" s="1" t="str">
        <f>IFERROR(MATCH(38,L_RangPaire,0),"")</f>
        <v/>
      </c>
      <c r="B41" s="24" t="str">
        <f t="shared" si="0"/>
        <v/>
      </c>
      <c r="C41" s="1" t="str">
        <f t="shared" si="1"/>
        <v/>
      </c>
      <c r="D41" s="1" t="str">
        <f t="shared" si="2"/>
        <v/>
      </c>
      <c r="E41" s="25" t="str">
        <f t="shared" si="3"/>
        <v/>
      </c>
      <c r="F41" s="1" t="str">
        <f t="shared" si="4"/>
        <v/>
      </c>
      <c r="G41" s="24" t="str">
        <f t="shared" si="5"/>
        <v/>
      </c>
      <c r="H41" s="1" t="str">
        <f t="shared" si="6"/>
        <v/>
      </c>
      <c r="I41" s="25" t="str">
        <f t="shared" si="7"/>
        <v/>
      </c>
      <c r="J41" s="1" t="str">
        <f t="shared" si="8"/>
        <v/>
      </c>
      <c r="K41" s="25" t="str">
        <f t="shared" si="9"/>
        <v/>
      </c>
      <c r="L41" s="1" t="str">
        <f t="shared" si="10"/>
        <v/>
      </c>
      <c r="M41" s="1" t="str">
        <f t="shared" si="11"/>
        <v/>
      </c>
    </row>
    <row r="42" spans="1:13" x14ac:dyDescent="0.35">
      <c r="A42" s="1" t="str">
        <f>IFERROR(MATCH(39,L_RangPaire,0),"")</f>
        <v/>
      </c>
      <c r="B42" s="24" t="str">
        <f t="shared" si="0"/>
        <v/>
      </c>
      <c r="C42" s="1" t="str">
        <f t="shared" si="1"/>
        <v/>
      </c>
      <c r="D42" s="1" t="str">
        <f t="shared" si="2"/>
        <v/>
      </c>
      <c r="E42" s="25" t="str">
        <f t="shared" si="3"/>
        <v/>
      </c>
      <c r="F42" s="1" t="str">
        <f t="shared" si="4"/>
        <v/>
      </c>
      <c r="G42" s="24" t="str">
        <f t="shared" si="5"/>
        <v/>
      </c>
      <c r="H42" s="1" t="str">
        <f t="shared" si="6"/>
        <v/>
      </c>
      <c r="I42" s="25" t="str">
        <f t="shared" si="7"/>
        <v/>
      </c>
      <c r="J42" s="1" t="str">
        <f t="shared" si="8"/>
        <v/>
      </c>
      <c r="K42" s="25" t="str">
        <f t="shared" si="9"/>
        <v/>
      </c>
      <c r="L42" s="1" t="str">
        <f t="shared" si="10"/>
        <v/>
      </c>
      <c r="M42" s="1" t="str">
        <f t="shared" si="11"/>
        <v/>
      </c>
    </row>
    <row r="43" spans="1:13" x14ac:dyDescent="0.35">
      <c r="A43" s="1" t="str">
        <f>IFERROR(MATCH(40,L_RangPaire,0),"")</f>
        <v/>
      </c>
      <c r="B43" s="24" t="str">
        <f t="shared" si="0"/>
        <v/>
      </c>
      <c r="C43" s="1" t="str">
        <f t="shared" si="1"/>
        <v/>
      </c>
      <c r="D43" s="1" t="str">
        <f t="shared" si="2"/>
        <v/>
      </c>
      <c r="E43" s="25" t="str">
        <f t="shared" si="3"/>
        <v/>
      </c>
      <c r="F43" s="1" t="str">
        <f t="shared" si="4"/>
        <v/>
      </c>
      <c r="G43" s="24" t="str">
        <f t="shared" si="5"/>
        <v/>
      </c>
      <c r="H43" s="1" t="str">
        <f t="shared" si="6"/>
        <v/>
      </c>
      <c r="I43" s="25" t="str">
        <f t="shared" si="7"/>
        <v/>
      </c>
      <c r="J43" s="1" t="str">
        <f t="shared" si="8"/>
        <v/>
      </c>
      <c r="K43" s="25" t="str">
        <f t="shared" si="9"/>
        <v/>
      </c>
      <c r="L43" s="1" t="str">
        <f t="shared" si="10"/>
        <v/>
      </c>
      <c r="M43" s="1" t="str">
        <f t="shared" si="11"/>
        <v/>
      </c>
    </row>
    <row r="44" spans="1:13" x14ac:dyDescent="0.35">
      <c r="A44" s="1" t="str">
        <f>IFERROR(MATCH(41,L_RangPaire,0),"")</f>
        <v/>
      </c>
      <c r="B44" s="24" t="str">
        <f t="shared" si="0"/>
        <v/>
      </c>
      <c r="C44" s="1" t="str">
        <f t="shared" si="1"/>
        <v/>
      </c>
      <c r="D44" s="1" t="str">
        <f t="shared" si="2"/>
        <v/>
      </c>
      <c r="E44" s="25" t="str">
        <f t="shared" si="3"/>
        <v/>
      </c>
      <c r="F44" s="1" t="str">
        <f t="shared" si="4"/>
        <v/>
      </c>
      <c r="G44" s="24" t="str">
        <f t="shared" si="5"/>
        <v/>
      </c>
      <c r="H44" s="1" t="str">
        <f t="shared" si="6"/>
        <v/>
      </c>
      <c r="I44" s="25" t="str">
        <f t="shared" si="7"/>
        <v/>
      </c>
      <c r="J44" s="1" t="str">
        <f t="shared" si="8"/>
        <v/>
      </c>
      <c r="K44" s="25" t="str">
        <f t="shared" si="9"/>
        <v/>
      </c>
      <c r="L44" s="1" t="str">
        <f t="shared" si="10"/>
        <v/>
      </c>
      <c r="M44" s="1" t="str">
        <f t="shared" si="11"/>
        <v/>
      </c>
    </row>
    <row r="45" spans="1:13" x14ac:dyDescent="0.35">
      <c r="A45" s="1" t="str">
        <f>IFERROR(MATCH(42,L_RangPaire,0),"")</f>
        <v/>
      </c>
      <c r="B45" s="24" t="str">
        <f t="shared" si="0"/>
        <v/>
      </c>
      <c r="C45" s="1" t="str">
        <f t="shared" si="1"/>
        <v/>
      </c>
      <c r="D45" s="1" t="str">
        <f t="shared" si="2"/>
        <v/>
      </c>
      <c r="E45" s="25" t="str">
        <f t="shared" si="3"/>
        <v/>
      </c>
      <c r="F45" s="1" t="str">
        <f t="shared" si="4"/>
        <v/>
      </c>
      <c r="G45" s="24" t="str">
        <f t="shared" si="5"/>
        <v/>
      </c>
      <c r="H45" s="1" t="str">
        <f t="shared" si="6"/>
        <v/>
      </c>
      <c r="I45" s="25" t="str">
        <f t="shared" si="7"/>
        <v/>
      </c>
      <c r="J45" s="1" t="str">
        <f t="shared" si="8"/>
        <v/>
      </c>
      <c r="K45" s="25" t="str">
        <f t="shared" si="9"/>
        <v/>
      </c>
      <c r="L45" s="1" t="str">
        <f t="shared" si="10"/>
        <v/>
      </c>
      <c r="M45" s="1" t="str">
        <f t="shared" si="11"/>
        <v/>
      </c>
    </row>
    <row r="46" spans="1:13" x14ac:dyDescent="0.35">
      <c r="A46" s="1" t="str">
        <f>IFERROR(MATCH(43,L_RangPaire,0),"")</f>
        <v/>
      </c>
      <c r="B46" s="24" t="str">
        <f t="shared" si="0"/>
        <v/>
      </c>
      <c r="C46" s="1" t="str">
        <f t="shared" si="1"/>
        <v/>
      </c>
      <c r="D46" s="1" t="str">
        <f t="shared" si="2"/>
        <v/>
      </c>
      <c r="E46" s="25" t="str">
        <f t="shared" si="3"/>
        <v/>
      </c>
      <c r="F46" s="1" t="str">
        <f t="shared" si="4"/>
        <v/>
      </c>
      <c r="G46" s="24" t="str">
        <f t="shared" si="5"/>
        <v/>
      </c>
      <c r="H46" s="1" t="str">
        <f t="shared" si="6"/>
        <v/>
      </c>
      <c r="I46" s="25" t="str">
        <f t="shared" si="7"/>
        <v/>
      </c>
      <c r="J46" s="1" t="str">
        <f t="shared" si="8"/>
        <v/>
      </c>
      <c r="K46" s="25" t="str">
        <f t="shared" si="9"/>
        <v/>
      </c>
      <c r="L46" s="1" t="str">
        <f t="shared" si="10"/>
        <v/>
      </c>
      <c r="M46" s="1" t="str">
        <f t="shared" si="11"/>
        <v/>
      </c>
    </row>
    <row r="47" spans="1:13" x14ac:dyDescent="0.35">
      <c r="A47" s="1" t="str">
        <f>IFERROR(MATCH(44,L_RangPaire,0),"")</f>
        <v/>
      </c>
      <c r="B47" s="24" t="str">
        <f t="shared" si="0"/>
        <v/>
      </c>
      <c r="C47" s="1" t="str">
        <f t="shared" si="1"/>
        <v/>
      </c>
      <c r="D47" s="1" t="str">
        <f t="shared" si="2"/>
        <v/>
      </c>
      <c r="E47" s="25" t="str">
        <f t="shared" si="3"/>
        <v/>
      </c>
      <c r="F47" s="1" t="str">
        <f t="shared" si="4"/>
        <v/>
      </c>
      <c r="G47" s="24" t="str">
        <f t="shared" si="5"/>
        <v/>
      </c>
      <c r="H47" s="1" t="str">
        <f t="shared" si="6"/>
        <v/>
      </c>
      <c r="I47" s="25" t="str">
        <f t="shared" si="7"/>
        <v/>
      </c>
      <c r="J47" s="1" t="str">
        <f t="shared" si="8"/>
        <v/>
      </c>
      <c r="K47" s="25" t="str">
        <f t="shared" si="9"/>
        <v/>
      </c>
      <c r="L47" s="1" t="str">
        <f t="shared" si="10"/>
        <v/>
      </c>
      <c r="M47" s="1" t="str">
        <f t="shared" si="11"/>
        <v/>
      </c>
    </row>
    <row r="48" spans="1:13" x14ac:dyDescent="0.35">
      <c r="A48" s="1" t="str">
        <f>IFERROR(MATCH(45,L_RangPaire,0),"")</f>
        <v/>
      </c>
      <c r="B48" s="24" t="str">
        <f t="shared" si="0"/>
        <v/>
      </c>
      <c r="C48" s="1" t="str">
        <f t="shared" si="1"/>
        <v/>
      </c>
      <c r="D48" s="1" t="str">
        <f t="shared" si="2"/>
        <v/>
      </c>
      <c r="E48" s="25" t="str">
        <f t="shared" si="3"/>
        <v/>
      </c>
      <c r="F48" s="1" t="str">
        <f t="shared" si="4"/>
        <v/>
      </c>
      <c r="G48" s="24" t="str">
        <f t="shared" si="5"/>
        <v/>
      </c>
      <c r="H48" s="1" t="str">
        <f t="shared" si="6"/>
        <v/>
      </c>
      <c r="I48" s="25" t="str">
        <f t="shared" si="7"/>
        <v/>
      </c>
      <c r="J48" s="1" t="str">
        <f t="shared" si="8"/>
        <v/>
      </c>
      <c r="K48" s="25" t="str">
        <f t="shared" si="9"/>
        <v/>
      </c>
      <c r="L48" s="1" t="str">
        <f t="shared" si="10"/>
        <v/>
      </c>
      <c r="M48" s="1" t="str">
        <f t="shared" si="11"/>
        <v/>
      </c>
    </row>
    <row r="49" spans="1:13" x14ac:dyDescent="0.35">
      <c r="A49" s="1" t="str">
        <f>IFERROR(MATCH(46,L_RangPaire,0),"")</f>
        <v/>
      </c>
      <c r="B49" s="24" t="str">
        <f t="shared" si="0"/>
        <v/>
      </c>
      <c r="C49" s="1" t="str">
        <f t="shared" si="1"/>
        <v/>
      </c>
      <c r="D49" s="1" t="str">
        <f t="shared" si="2"/>
        <v/>
      </c>
      <c r="E49" s="25" t="str">
        <f t="shared" si="3"/>
        <v/>
      </c>
      <c r="F49" s="1" t="str">
        <f t="shared" si="4"/>
        <v/>
      </c>
      <c r="G49" s="24" t="str">
        <f t="shared" si="5"/>
        <v/>
      </c>
      <c r="H49" s="1" t="str">
        <f t="shared" si="6"/>
        <v/>
      </c>
      <c r="I49" s="25" t="str">
        <f t="shared" si="7"/>
        <v/>
      </c>
      <c r="J49" s="1" t="str">
        <f t="shared" si="8"/>
        <v/>
      </c>
      <c r="K49" s="25" t="str">
        <f t="shared" si="9"/>
        <v/>
      </c>
      <c r="L49" s="1" t="str">
        <f t="shared" si="10"/>
        <v/>
      </c>
      <c r="M49" s="1" t="str">
        <f t="shared" si="11"/>
        <v/>
      </c>
    </row>
    <row r="50" spans="1:13" x14ac:dyDescent="0.35">
      <c r="A50" s="1" t="str">
        <f>IFERROR(MATCH(47,L_RangPaire,0),"")</f>
        <v/>
      </c>
      <c r="B50" s="24" t="str">
        <f t="shared" si="0"/>
        <v/>
      </c>
      <c r="C50" s="1" t="str">
        <f t="shared" si="1"/>
        <v/>
      </c>
      <c r="D50" s="1" t="str">
        <f t="shared" si="2"/>
        <v/>
      </c>
      <c r="E50" s="25" t="str">
        <f t="shared" si="3"/>
        <v/>
      </c>
      <c r="F50" s="1" t="str">
        <f t="shared" si="4"/>
        <v/>
      </c>
      <c r="G50" s="24" t="str">
        <f t="shared" si="5"/>
        <v/>
      </c>
      <c r="H50" s="1" t="str">
        <f t="shared" si="6"/>
        <v/>
      </c>
      <c r="I50" s="25" t="str">
        <f t="shared" si="7"/>
        <v/>
      </c>
      <c r="J50" s="1" t="str">
        <f t="shared" si="8"/>
        <v/>
      </c>
      <c r="K50" s="25" t="str">
        <f t="shared" si="9"/>
        <v/>
      </c>
      <c r="L50" s="1" t="str">
        <f t="shared" si="10"/>
        <v/>
      </c>
      <c r="M50" s="1" t="str">
        <f t="shared" si="11"/>
        <v/>
      </c>
    </row>
    <row r="51" spans="1:13" x14ac:dyDescent="0.35">
      <c r="A51" s="1" t="str">
        <f>IFERROR(MATCH(48,L_RangPaire,0),"")</f>
        <v/>
      </c>
      <c r="B51" s="24" t="str">
        <f t="shared" si="0"/>
        <v/>
      </c>
      <c r="C51" s="1" t="str">
        <f t="shared" si="1"/>
        <v/>
      </c>
      <c r="D51" s="1" t="str">
        <f t="shared" si="2"/>
        <v/>
      </c>
      <c r="E51" s="25" t="str">
        <f t="shared" si="3"/>
        <v/>
      </c>
      <c r="F51" s="1" t="str">
        <f t="shared" si="4"/>
        <v/>
      </c>
      <c r="G51" s="24" t="str">
        <f t="shared" si="5"/>
        <v/>
      </c>
      <c r="H51" s="1" t="str">
        <f t="shared" si="6"/>
        <v/>
      </c>
      <c r="I51" s="25" t="str">
        <f t="shared" si="7"/>
        <v/>
      </c>
      <c r="J51" s="1" t="str">
        <f t="shared" si="8"/>
        <v/>
      </c>
      <c r="K51" s="25" t="str">
        <f t="shared" si="9"/>
        <v/>
      </c>
      <c r="L51" s="1" t="str">
        <f t="shared" si="10"/>
        <v/>
      </c>
      <c r="M51" s="1" t="str">
        <f t="shared" si="11"/>
        <v/>
      </c>
    </row>
    <row r="52" spans="1:13" x14ac:dyDescent="0.35">
      <c r="A52" s="1" t="str">
        <f>IFERROR(MATCH(49,L_RangPaire,0),"")</f>
        <v/>
      </c>
      <c r="B52" s="24" t="str">
        <f t="shared" si="0"/>
        <v/>
      </c>
      <c r="C52" s="1" t="str">
        <f t="shared" si="1"/>
        <v/>
      </c>
      <c r="D52" s="1" t="str">
        <f t="shared" si="2"/>
        <v/>
      </c>
      <c r="E52" s="25" t="str">
        <f t="shared" si="3"/>
        <v/>
      </c>
      <c r="F52" s="1" t="str">
        <f t="shared" si="4"/>
        <v/>
      </c>
      <c r="G52" s="24" t="str">
        <f t="shared" si="5"/>
        <v/>
      </c>
      <c r="H52" s="1" t="str">
        <f t="shared" si="6"/>
        <v/>
      </c>
      <c r="I52" s="25" t="str">
        <f t="shared" si="7"/>
        <v/>
      </c>
      <c r="J52" s="1" t="str">
        <f t="shared" si="8"/>
        <v/>
      </c>
      <c r="K52" s="25" t="str">
        <f t="shared" si="9"/>
        <v/>
      </c>
      <c r="L52" s="1" t="str">
        <f t="shared" si="10"/>
        <v/>
      </c>
      <c r="M52" s="1" t="str">
        <f t="shared" si="11"/>
        <v/>
      </c>
    </row>
    <row r="53" spans="1:13" x14ac:dyDescent="0.35">
      <c r="A53" s="1" t="str">
        <f>IFERROR(MATCH(50,L_RangPaire,0),"")</f>
        <v/>
      </c>
      <c r="B53" s="24" t="str">
        <f t="shared" si="0"/>
        <v/>
      </c>
      <c r="C53" s="1" t="str">
        <f t="shared" si="1"/>
        <v/>
      </c>
      <c r="D53" s="1" t="str">
        <f t="shared" si="2"/>
        <v/>
      </c>
      <c r="E53" s="25" t="str">
        <f t="shared" si="3"/>
        <v/>
      </c>
      <c r="F53" s="1" t="str">
        <f t="shared" si="4"/>
        <v/>
      </c>
      <c r="G53" s="24" t="str">
        <f t="shared" si="5"/>
        <v/>
      </c>
      <c r="H53" s="1" t="str">
        <f t="shared" si="6"/>
        <v/>
      </c>
      <c r="I53" s="25" t="str">
        <f t="shared" si="7"/>
        <v/>
      </c>
      <c r="J53" s="1" t="str">
        <f t="shared" si="8"/>
        <v/>
      </c>
      <c r="K53" s="25" t="str">
        <f t="shared" si="9"/>
        <v/>
      </c>
      <c r="L53" s="1" t="str">
        <f t="shared" si="10"/>
        <v/>
      </c>
      <c r="M53" s="1" t="str">
        <f t="shared" si="11"/>
        <v/>
      </c>
    </row>
    <row r="54" spans="1:13" x14ac:dyDescent="0.35">
      <c r="A54" s="1" t="str">
        <f>IFERROR(MATCH(51,L_RangPaire,0),"")</f>
        <v/>
      </c>
      <c r="B54" s="24" t="str">
        <f t="shared" si="0"/>
        <v/>
      </c>
      <c r="C54" s="1" t="str">
        <f t="shared" si="1"/>
        <v/>
      </c>
      <c r="D54" s="1" t="str">
        <f t="shared" si="2"/>
        <v/>
      </c>
      <c r="E54" s="25" t="str">
        <f t="shared" si="3"/>
        <v/>
      </c>
      <c r="F54" s="1" t="str">
        <f t="shared" si="4"/>
        <v/>
      </c>
      <c r="G54" s="24" t="str">
        <f t="shared" si="5"/>
        <v/>
      </c>
      <c r="H54" s="1" t="str">
        <f t="shared" si="6"/>
        <v/>
      </c>
      <c r="I54" s="25" t="str">
        <f t="shared" si="7"/>
        <v/>
      </c>
      <c r="J54" s="1" t="str">
        <f t="shared" si="8"/>
        <v/>
      </c>
      <c r="K54" s="25" t="str">
        <f t="shared" si="9"/>
        <v/>
      </c>
      <c r="L54" s="1" t="str">
        <f t="shared" si="10"/>
        <v/>
      </c>
      <c r="M54" s="1" t="str">
        <f t="shared" si="11"/>
        <v/>
      </c>
    </row>
    <row r="55" spans="1:13" x14ac:dyDescent="0.35">
      <c r="A55" s="1" t="str">
        <f>IFERROR(MATCH(52,L_RangPaire,0),"")</f>
        <v/>
      </c>
      <c r="B55" s="24" t="str">
        <f t="shared" si="0"/>
        <v/>
      </c>
      <c r="C55" s="1" t="str">
        <f t="shared" si="1"/>
        <v/>
      </c>
      <c r="D55" s="1" t="str">
        <f t="shared" si="2"/>
        <v/>
      </c>
      <c r="E55" s="25" t="str">
        <f t="shared" si="3"/>
        <v/>
      </c>
      <c r="F55" s="1" t="str">
        <f t="shared" si="4"/>
        <v/>
      </c>
      <c r="G55" s="24" t="str">
        <f t="shared" si="5"/>
        <v/>
      </c>
      <c r="H55" s="1" t="str">
        <f t="shared" si="6"/>
        <v/>
      </c>
      <c r="I55" s="25" t="str">
        <f t="shared" si="7"/>
        <v/>
      </c>
      <c r="J55" s="1" t="str">
        <f t="shared" si="8"/>
        <v/>
      </c>
      <c r="K55" s="25" t="str">
        <f t="shared" si="9"/>
        <v/>
      </c>
      <c r="L55" s="1" t="str">
        <f t="shared" si="10"/>
        <v/>
      </c>
      <c r="M55" s="1" t="str">
        <f t="shared" si="11"/>
        <v/>
      </c>
    </row>
    <row r="56" spans="1:13" x14ac:dyDescent="0.35">
      <c r="A56" s="1" t="str">
        <f>IFERROR(MATCH(53,L_RangPaire,0),"")</f>
        <v/>
      </c>
      <c r="B56" s="24" t="str">
        <f t="shared" si="0"/>
        <v/>
      </c>
      <c r="C56" s="1" t="str">
        <f t="shared" si="1"/>
        <v/>
      </c>
      <c r="D56" s="1" t="str">
        <f t="shared" si="2"/>
        <v/>
      </c>
      <c r="E56" s="25" t="str">
        <f t="shared" si="3"/>
        <v/>
      </c>
      <c r="F56" s="1" t="str">
        <f t="shared" si="4"/>
        <v/>
      </c>
      <c r="G56" s="24" t="str">
        <f t="shared" si="5"/>
        <v/>
      </c>
      <c r="H56" s="1" t="str">
        <f t="shared" si="6"/>
        <v/>
      </c>
      <c r="I56" s="25" t="str">
        <f t="shared" si="7"/>
        <v/>
      </c>
      <c r="J56" s="1" t="str">
        <f t="shared" si="8"/>
        <v/>
      </c>
      <c r="K56" s="25" t="str">
        <f t="shared" si="9"/>
        <v/>
      </c>
      <c r="L56" s="1" t="str">
        <f t="shared" si="10"/>
        <v/>
      </c>
      <c r="M56" s="1" t="str">
        <f t="shared" si="11"/>
        <v/>
      </c>
    </row>
    <row r="57" spans="1:13" x14ac:dyDescent="0.35">
      <c r="A57" s="1" t="str">
        <f>IFERROR(MATCH(54,L_RangPaire,0),"")</f>
        <v/>
      </c>
      <c r="B57" s="24" t="str">
        <f t="shared" si="0"/>
        <v/>
      </c>
      <c r="C57" s="1" t="str">
        <f t="shared" si="1"/>
        <v/>
      </c>
      <c r="D57" s="1" t="str">
        <f t="shared" si="2"/>
        <v/>
      </c>
      <c r="E57" s="25" t="str">
        <f t="shared" si="3"/>
        <v/>
      </c>
      <c r="F57" s="1" t="str">
        <f t="shared" si="4"/>
        <v/>
      </c>
      <c r="G57" s="24" t="str">
        <f t="shared" si="5"/>
        <v/>
      </c>
      <c r="H57" s="1" t="str">
        <f t="shared" si="6"/>
        <v/>
      </c>
      <c r="I57" s="25" t="str">
        <f t="shared" si="7"/>
        <v/>
      </c>
      <c r="J57" s="1" t="str">
        <f t="shared" si="8"/>
        <v/>
      </c>
      <c r="K57" s="25" t="str">
        <f t="shared" si="9"/>
        <v/>
      </c>
      <c r="L57" s="1" t="str">
        <f t="shared" si="10"/>
        <v/>
      </c>
      <c r="M57" s="1" t="str">
        <f t="shared" si="11"/>
        <v/>
      </c>
    </row>
    <row r="58" spans="1:13" x14ac:dyDescent="0.35">
      <c r="A58" s="1" t="str">
        <f>IFERROR(MATCH(55,L_RangPaire,0),"")</f>
        <v/>
      </c>
      <c r="B58" s="24" t="str">
        <f t="shared" si="0"/>
        <v/>
      </c>
      <c r="C58" s="1" t="str">
        <f t="shared" si="1"/>
        <v/>
      </c>
      <c r="D58" s="1" t="str">
        <f t="shared" si="2"/>
        <v/>
      </c>
      <c r="E58" s="25" t="str">
        <f t="shared" si="3"/>
        <v/>
      </c>
      <c r="F58" s="1" t="str">
        <f t="shared" si="4"/>
        <v/>
      </c>
      <c r="G58" s="24" t="str">
        <f t="shared" si="5"/>
        <v/>
      </c>
      <c r="H58" s="1" t="str">
        <f t="shared" si="6"/>
        <v/>
      </c>
      <c r="I58" s="25" t="str">
        <f t="shared" si="7"/>
        <v/>
      </c>
      <c r="J58" s="1" t="str">
        <f t="shared" si="8"/>
        <v/>
      </c>
      <c r="K58" s="25" t="str">
        <f t="shared" si="9"/>
        <v/>
      </c>
      <c r="L58" s="1" t="str">
        <f t="shared" si="10"/>
        <v/>
      </c>
      <c r="M58" s="1" t="str">
        <f t="shared" si="11"/>
        <v/>
      </c>
    </row>
    <row r="59" spans="1:13" x14ac:dyDescent="0.35">
      <c r="A59" s="1" t="str">
        <f>IFERROR(MATCH(56,L_RangPaire,0),"")</f>
        <v/>
      </c>
      <c r="B59" s="24" t="str">
        <f t="shared" si="0"/>
        <v/>
      </c>
      <c r="C59" s="1" t="str">
        <f t="shared" si="1"/>
        <v/>
      </c>
      <c r="D59" s="1" t="str">
        <f t="shared" si="2"/>
        <v/>
      </c>
      <c r="E59" s="25" t="str">
        <f t="shared" si="3"/>
        <v/>
      </c>
      <c r="F59" s="1" t="str">
        <f t="shared" si="4"/>
        <v/>
      </c>
      <c r="G59" s="24" t="str">
        <f t="shared" si="5"/>
        <v/>
      </c>
      <c r="H59" s="1" t="str">
        <f t="shared" si="6"/>
        <v/>
      </c>
      <c r="I59" s="25" t="str">
        <f t="shared" si="7"/>
        <v/>
      </c>
      <c r="J59" s="1" t="str">
        <f t="shared" si="8"/>
        <v/>
      </c>
      <c r="K59" s="25" t="str">
        <f t="shared" si="9"/>
        <v/>
      </c>
      <c r="L59" s="1" t="str">
        <f t="shared" si="10"/>
        <v/>
      </c>
      <c r="M59" s="1" t="str">
        <f t="shared" si="11"/>
        <v/>
      </c>
    </row>
    <row r="60" spans="1:13" x14ac:dyDescent="0.35">
      <c r="A60" s="1" t="str">
        <f>IFERROR(MATCH(57,L_RangPaire,0),"")</f>
        <v/>
      </c>
      <c r="B60" s="24" t="str">
        <f t="shared" si="0"/>
        <v/>
      </c>
      <c r="C60" s="1" t="str">
        <f t="shared" si="1"/>
        <v/>
      </c>
      <c r="D60" s="1" t="str">
        <f t="shared" si="2"/>
        <v/>
      </c>
      <c r="E60" s="25" t="str">
        <f t="shared" si="3"/>
        <v/>
      </c>
      <c r="F60" s="1" t="str">
        <f t="shared" si="4"/>
        <v/>
      </c>
      <c r="G60" s="24" t="str">
        <f t="shared" si="5"/>
        <v/>
      </c>
      <c r="H60" s="1" t="str">
        <f t="shared" si="6"/>
        <v/>
      </c>
      <c r="I60" s="25" t="str">
        <f t="shared" si="7"/>
        <v/>
      </c>
      <c r="J60" s="1" t="str">
        <f t="shared" si="8"/>
        <v/>
      </c>
      <c r="K60" s="25" t="str">
        <f t="shared" si="9"/>
        <v/>
      </c>
      <c r="L60" s="1" t="str">
        <f t="shared" si="10"/>
        <v/>
      </c>
      <c r="M60" s="1" t="str">
        <f t="shared" si="11"/>
        <v/>
      </c>
    </row>
    <row r="61" spans="1:13" x14ac:dyDescent="0.35">
      <c r="A61" s="1" t="str">
        <f>IFERROR(MATCH(58,L_RangPaire,0),"")</f>
        <v/>
      </c>
      <c r="B61" s="24" t="str">
        <f t="shared" si="0"/>
        <v/>
      </c>
      <c r="C61" s="1" t="str">
        <f t="shared" si="1"/>
        <v/>
      </c>
      <c r="D61" s="1" t="str">
        <f t="shared" si="2"/>
        <v/>
      </c>
      <c r="E61" s="25" t="str">
        <f t="shared" si="3"/>
        <v/>
      </c>
      <c r="F61" s="1" t="str">
        <f t="shared" si="4"/>
        <v/>
      </c>
      <c r="G61" s="24" t="str">
        <f t="shared" si="5"/>
        <v/>
      </c>
      <c r="H61" s="1" t="str">
        <f t="shared" si="6"/>
        <v/>
      </c>
      <c r="I61" s="25" t="str">
        <f t="shared" si="7"/>
        <v/>
      </c>
      <c r="J61" s="1" t="str">
        <f t="shared" si="8"/>
        <v/>
      </c>
      <c r="K61" s="25" t="str">
        <f t="shared" si="9"/>
        <v/>
      </c>
      <c r="L61" s="1" t="str">
        <f t="shared" si="10"/>
        <v/>
      </c>
      <c r="M61" s="1" t="str">
        <f t="shared" si="11"/>
        <v/>
      </c>
    </row>
    <row r="62" spans="1:13" x14ac:dyDescent="0.35">
      <c r="A62" s="1" t="str">
        <f>IFERROR(MATCH(59,L_RangPaire,0),"")</f>
        <v/>
      </c>
      <c r="B62" s="24" t="str">
        <f t="shared" si="0"/>
        <v/>
      </c>
      <c r="C62" s="1" t="str">
        <f t="shared" si="1"/>
        <v/>
      </c>
      <c r="D62" s="1" t="str">
        <f t="shared" si="2"/>
        <v/>
      </c>
      <c r="E62" s="25" t="str">
        <f t="shared" si="3"/>
        <v/>
      </c>
      <c r="F62" s="1" t="str">
        <f t="shared" si="4"/>
        <v/>
      </c>
      <c r="G62" s="24" t="str">
        <f t="shared" si="5"/>
        <v/>
      </c>
      <c r="H62" s="1" t="str">
        <f t="shared" si="6"/>
        <v/>
      </c>
      <c r="I62" s="25" t="str">
        <f t="shared" si="7"/>
        <v/>
      </c>
      <c r="J62" s="1" t="str">
        <f t="shared" si="8"/>
        <v/>
      </c>
      <c r="K62" s="25" t="str">
        <f t="shared" si="9"/>
        <v/>
      </c>
      <c r="L62" s="1" t="str">
        <f t="shared" si="10"/>
        <v/>
      </c>
      <c r="M62" s="1" t="str">
        <f t="shared" si="11"/>
        <v/>
      </c>
    </row>
    <row r="63" spans="1:13" x14ac:dyDescent="0.35">
      <c r="A63" s="1" t="str">
        <f>IFERROR(MATCH(60,L_RangPaire,0),"")</f>
        <v/>
      </c>
      <c r="B63" s="24" t="str">
        <f t="shared" si="0"/>
        <v/>
      </c>
      <c r="C63" s="1" t="str">
        <f t="shared" si="1"/>
        <v/>
      </c>
      <c r="D63" s="1" t="str">
        <f t="shared" si="2"/>
        <v/>
      </c>
      <c r="E63" s="25" t="str">
        <f t="shared" si="3"/>
        <v/>
      </c>
      <c r="F63" s="1" t="str">
        <f t="shared" si="4"/>
        <v/>
      </c>
      <c r="G63" s="24" t="str">
        <f t="shared" si="5"/>
        <v/>
      </c>
      <c r="H63" s="1" t="str">
        <f t="shared" si="6"/>
        <v/>
      </c>
      <c r="I63" s="25" t="str">
        <f t="shared" si="7"/>
        <v/>
      </c>
      <c r="J63" s="1" t="str">
        <f t="shared" si="8"/>
        <v/>
      </c>
      <c r="K63" s="25" t="str">
        <f t="shared" si="9"/>
        <v/>
      </c>
      <c r="L63" s="1" t="str">
        <f t="shared" si="10"/>
        <v/>
      </c>
      <c r="M63" s="1" t="str">
        <f t="shared" si="11"/>
        <v/>
      </c>
    </row>
    <row r="64" spans="1:13" x14ac:dyDescent="0.35">
      <c r="A64" s="1" t="str">
        <f>IFERROR(MATCH(61,L_RangPaire,0),"")</f>
        <v/>
      </c>
      <c r="B64" s="24" t="str">
        <f t="shared" si="0"/>
        <v/>
      </c>
      <c r="C64" s="1" t="str">
        <f t="shared" si="1"/>
        <v/>
      </c>
      <c r="D64" s="1" t="str">
        <f t="shared" si="2"/>
        <v/>
      </c>
      <c r="E64" s="25" t="str">
        <f t="shared" si="3"/>
        <v/>
      </c>
      <c r="F64" s="1" t="str">
        <f t="shared" si="4"/>
        <v/>
      </c>
      <c r="G64" s="24" t="str">
        <f t="shared" si="5"/>
        <v/>
      </c>
      <c r="H64" s="1" t="str">
        <f t="shared" si="6"/>
        <v/>
      </c>
      <c r="I64" s="25" t="str">
        <f t="shared" si="7"/>
        <v/>
      </c>
      <c r="J64" s="1" t="str">
        <f t="shared" si="8"/>
        <v/>
      </c>
      <c r="K64" s="25" t="str">
        <f t="shared" si="9"/>
        <v/>
      </c>
      <c r="L64" s="1" t="str">
        <f t="shared" si="10"/>
        <v/>
      </c>
      <c r="M64" s="1" t="str">
        <f t="shared" si="11"/>
        <v/>
      </c>
    </row>
    <row r="65" spans="1:13" x14ac:dyDescent="0.35">
      <c r="A65" s="1" t="str">
        <f>IFERROR(MATCH(62,L_RangPaire,0),"")</f>
        <v/>
      </c>
      <c r="B65" s="24" t="str">
        <f t="shared" si="0"/>
        <v/>
      </c>
      <c r="C65" s="1" t="str">
        <f t="shared" si="1"/>
        <v/>
      </c>
      <c r="D65" s="1" t="str">
        <f t="shared" si="2"/>
        <v/>
      </c>
      <c r="E65" s="25" t="str">
        <f t="shared" si="3"/>
        <v/>
      </c>
      <c r="F65" s="1" t="str">
        <f t="shared" si="4"/>
        <v/>
      </c>
      <c r="G65" s="24" t="str">
        <f t="shared" si="5"/>
        <v/>
      </c>
      <c r="H65" s="1" t="str">
        <f t="shared" si="6"/>
        <v/>
      </c>
      <c r="I65" s="25" t="str">
        <f t="shared" si="7"/>
        <v/>
      </c>
      <c r="J65" s="1" t="str">
        <f t="shared" si="8"/>
        <v/>
      </c>
      <c r="K65" s="25" t="str">
        <f t="shared" si="9"/>
        <v/>
      </c>
      <c r="L65" s="1" t="str">
        <f t="shared" si="10"/>
        <v/>
      </c>
      <c r="M65" s="1" t="str">
        <f t="shared" si="11"/>
        <v/>
      </c>
    </row>
    <row r="66" spans="1:13" x14ac:dyDescent="0.35">
      <c r="A66" s="1" t="str">
        <f>IFERROR(MATCH(63,L_RangPaire,0),"")</f>
        <v/>
      </c>
      <c r="B66" s="24" t="str">
        <f t="shared" si="0"/>
        <v/>
      </c>
      <c r="C66" s="1" t="str">
        <f t="shared" si="1"/>
        <v/>
      </c>
      <c r="D66" s="1" t="str">
        <f t="shared" si="2"/>
        <v/>
      </c>
      <c r="E66" s="25" t="str">
        <f t="shared" si="3"/>
        <v/>
      </c>
      <c r="F66" s="1" t="str">
        <f t="shared" si="4"/>
        <v/>
      </c>
      <c r="G66" s="24" t="str">
        <f t="shared" si="5"/>
        <v/>
      </c>
      <c r="H66" s="1" t="str">
        <f t="shared" si="6"/>
        <v/>
      </c>
      <c r="I66" s="25" t="str">
        <f t="shared" si="7"/>
        <v/>
      </c>
      <c r="J66" s="1" t="str">
        <f t="shared" si="8"/>
        <v/>
      </c>
      <c r="K66" s="25" t="str">
        <f t="shared" si="9"/>
        <v/>
      </c>
      <c r="L66" s="1" t="str">
        <f t="shared" si="10"/>
        <v/>
      </c>
      <c r="M66" s="1" t="str">
        <f t="shared" si="11"/>
        <v/>
      </c>
    </row>
    <row r="67" spans="1:13" x14ac:dyDescent="0.35">
      <c r="A67" s="1" t="str">
        <f>IFERROR(MATCH(64,L_RangPaire,0),"")</f>
        <v/>
      </c>
      <c r="B67" s="24" t="str">
        <f t="shared" si="0"/>
        <v/>
      </c>
      <c r="C67" s="1" t="str">
        <f t="shared" si="1"/>
        <v/>
      </c>
      <c r="D67" s="1" t="str">
        <f t="shared" si="2"/>
        <v/>
      </c>
      <c r="E67" s="25" t="str">
        <f t="shared" si="3"/>
        <v/>
      </c>
      <c r="F67" s="1" t="str">
        <f t="shared" si="4"/>
        <v/>
      </c>
      <c r="G67" s="24" t="str">
        <f t="shared" si="5"/>
        <v/>
      </c>
      <c r="H67" s="1" t="str">
        <f t="shared" si="6"/>
        <v/>
      </c>
      <c r="I67" s="25" t="str">
        <f t="shared" si="7"/>
        <v/>
      </c>
      <c r="J67" s="1" t="str">
        <f t="shared" si="8"/>
        <v/>
      </c>
      <c r="K67" s="25" t="str">
        <f t="shared" si="9"/>
        <v/>
      </c>
      <c r="L67" s="1" t="str">
        <f t="shared" si="10"/>
        <v/>
      </c>
      <c r="M67" s="1" t="str">
        <f t="shared" si="11"/>
        <v/>
      </c>
    </row>
    <row r="68" spans="1:13" x14ac:dyDescent="0.35">
      <c r="A68" s="1" t="str">
        <f>IFERROR(MATCH(65,L_RangPaire,0),"")</f>
        <v/>
      </c>
      <c r="B68" s="24" t="str">
        <f t="shared" ref="B68:B131" si="12">IF(A68="","",INDEX(L_Date,A68))</f>
        <v/>
      </c>
      <c r="C68" s="1" t="str">
        <f t="shared" ref="C68:C131" si="13">IF(A68="","",INDEX(L_Ref,A68)&amp;"")</f>
        <v/>
      </c>
      <c r="D68" s="1" t="str">
        <f t="shared" ref="D68:D131" si="14">IF(A68="","",INDEX(L_Motif,A68))</f>
        <v/>
      </c>
      <c r="E68" s="25" t="str">
        <f t="shared" ref="E68:E131" si="15">IF(A68="","",INDEX(L_Montant,A68))</f>
        <v/>
      </c>
      <c r="F68" s="1" t="str">
        <f t="shared" ref="F68:F131" si="16">IF(A68="","",INDEX(L_Banque,A68))</f>
        <v/>
      </c>
      <c r="G68" s="24" t="str">
        <f t="shared" ref="G68:G131" si="17">IF(F68="","",INDEX(B_Date,F68))</f>
        <v/>
      </c>
      <c r="H68" s="1" t="str">
        <f t="shared" ref="H68:H131" si="18">IF(F68="","",INDEX(B_Lib,F68))</f>
        <v/>
      </c>
      <c r="I68" s="25" t="str">
        <f t="shared" ref="I68:I131" si="19">IF(F68="","",INDEX(B_Montant,F68))</f>
        <v/>
      </c>
      <c r="J68" s="1" t="str">
        <f t="shared" ref="J68:J131" si="20">IF(A68="","",INDEX(L_DJ,A68))</f>
        <v/>
      </c>
      <c r="K68" s="25" t="str">
        <f t="shared" ref="K68:K131" si="21">IF(A68="","",INDEX(L_DM,A68))</f>
        <v/>
      </c>
      <c r="L68" s="1" t="str">
        <f t="shared" ref="L68:L131" si="22">IF(A68="","",INDEX(L_Score,A68))</f>
        <v/>
      </c>
      <c r="M68" s="1" t="str">
        <f t="shared" ref="M68:M131" si="23">IF(A68="","",INDEX(L_Statut,A68))</f>
        <v/>
      </c>
    </row>
    <row r="69" spans="1:13" x14ac:dyDescent="0.35">
      <c r="A69" s="1" t="str">
        <f>IFERROR(MATCH(66,L_RangPaire,0),"")</f>
        <v/>
      </c>
      <c r="B69" s="24" t="str">
        <f t="shared" si="12"/>
        <v/>
      </c>
      <c r="C69" s="1" t="str">
        <f t="shared" si="13"/>
        <v/>
      </c>
      <c r="D69" s="1" t="str">
        <f t="shared" si="14"/>
        <v/>
      </c>
      <c r="E69" s="25" t="str">
        <f t="shared" si="15"/>
        <v/>
      </c>
      <c r="F69" s="1" t="str">
        <f t="shared" si="16"/>
        <v/>
      </c>
      <c r="G69" s="24" t="str">
        <f t="shared" si="17"/>
        <v/>
      </c>
      <c r="H69" s="1" t="str">
        <f t="shared" si="18"/>
        <v/>
      </c>
      <c r="I69" s="25" t="str">
        <f t="shared" si="19"/>
        <v/>
      </c>
      <c r="J69" s="1" t="str">
        <f t="shared" si="20"/>
        <v/>
      </c>
      <c r="K69" s="25" t="str">
        <f t="shared" si="21"/>
        <v/>
      </c>
      <c r="L69" s="1" t="str">
        <f t="shared" si="22"/>
        <v/>
      </c>
      <c r="M69" s="1" t="str">
        <f t="shared" si="23"/>
        <v/>
      </c>
    </row>
    <row r="70" spans="1:13" x14ac:dyDescent="0.35">
      <c r="A70" s="1" t="str">
        <f>IFERROR(MATCH(67,L_RangPaire,0),"")</f>
        <v/>
      </c>
      <c r="B70" s="24" t="str">
        <f t="shared" si="12"/>
        <v/>
      </c>
      <c r="C70" s="1" t="str">
        <f t="shared" si="13"/>
        <v/>
      </c>
      <c r="D70" s="1" t="str">
        <f t="shared" si="14"/>
        <v/>
      </c>
      <c r="E70" s="25" t="str">
        <f t="shared" si="15"/>
        <v/>
      </c>
      <c r="F70" s="1" t="str">
        <f t="shared" si="16"/>
        <v/>
      </c>
      <c r="G70" s="24" t="str">
        <f t="shared" si="17"/>
        <v/>
      </c>
      <c r="H70" s="1" t="str">
        <f t="shared" si="18"/>
        <v/>
      </c>
      <c r="I70" s="25" t="str">
        <f t="shared" si="19"/>
        <v/>
      </c>
      <c r="J70" s="1" t="str">
        <f t="shared" si="20"/>
        <v/>
      </c>
      <c r="K70" s="25" t="str">
        <f t="shared" si="21"/>
        <v/>
      </c>
      <c r="L70" s="1" t="str">
        <f t="shared" si="22"/>
        <v/>
      </c>
      <c r="M70" s="1" t="str">
        <f t="shared" si="23"/>
        <v/>
      </c>
    </row>
    <row r="71" spans="1:13" x14ac:dyDescent="0.35">
      <c r="A71" s="1" t="str">
        <f>IFERROR(MATCH(68,L_RangPaire,0),"")</f>
        <v/>
      </c>
      <c r="B71" s="24" t="str">
        <f t="shared" si="12"/>
        <v/>
      </c>
      <c r="C71" s="1" t="str">
        <f t="shared" si="13"/>
        <v/>
      </c>
      <c r="D71" s="1" t="str">
        <f t="shared" si="14"/>
        <v/>
      </c>
      <c r="E71" s="25" t="str">
        <f t="shared" si="15"/>
        <v/>
      </c>
      <c r="F71" s="1" t="str">
        <f t="shared" si="16"/>
        <v/>
      </c>
      <c r="G71" s="24" t="str">
        <f t="shared" si="17"/>
        <v/>
      </c>
      <c r="H71" s="1" t="str">
        <f t="shared" si="18"/>
        <v/>
      </c>
      <c r="I71" s="25" t="str">
        <f t="shared" si="19"/>
        <v/>
      </c>
      <c r="J71" s="1" t="str">
        <f t="shared" si="20"/>
        <v/>
      </c>
      <c r="K71" s="25" t="str">
        <f t="shared" si="21"/>
        <v/>
      </c>
      <c r="L71" s="1" t="str">
        <f t="shared" si="22"/>
        <v/>
      </c>
      <c r="M71" s="1" t="str">
        <f t="shared" si="23"/>
        <v/>
      </c>
    </row>
    <row r="72" spans="1:13" x14ac:dyDescent="0.35">
      <c r="A72" s="1" t="str">
        <f>IFERROR(MATCH(69,L_RangPaire,0),"")</f>
        <v/>
      </c>
      <c r="B72" s="24" t="str">
        <f t="shared" si="12"/>
        <v/>
      </c>
      <c r="C72" s="1" t="str">
        <f t="shared" si="13"/>
        <v/>
      </c>
      <c r="D72" s="1" t="str">
        <f t="shared" si="14"/>
        <v/>
      </c>
      <c r="E72" s="25" t="str">
        <f t="shared" si="15"/>
        <v/>
      </c>
      <c r="F72" s="1" t="str">
        <f t="shared" si="16"/>
        <v/>
      </c>
      <c r="G72" s="24" t="str">
        <f t="shared" si="17"/>
        <v/>
      </c>
      <c r="H72" s="1" t="str">
        <f t="shared" si="18"/>
        <v/>
      </c>
      <c r="I72" s="25" t="str">
        <f t="shared" si="19"/>
        <v/>
      </c>
      <c r="J72" s="1" t="str">
        <f t="shared" si="20"/>
        <v/>
      </c>
      <c r="K72" s="25" t="str">
        <f t="shared" si="21"/>
        <v/>
      </c>
      <c r="L72" s="1" t="str">
        <f t="shared" si="22"/>
        <v/>
      </c>
      <c r="M72" s="1" t="str">
        <f t="shared" si="23"/>
        <v/>
      </c>
    </row>
    <row r="73" spans="1:13" x14ac:dyDescent="0.35">
      <c r="A73" s="1" t="str">
        <f>IFERROR(MATCH(70,L_RangPaire,0),"")</f>
        <v/>
      </c>
      <c r="B73" s="24" t="str">
        <f t="shared" si="12"/>
        <v/>
      </c>
      <c r="C73" s="1" t="str">
        <f t="shared" si="13"/>
        <v/>
      </c>
      <c r="D73" s="1" t="str">
        <f t="shared" si="14"/>
        <v/>
      </c>
      <c r="E73" s="25" t="str">
        <f t="shared" si="15"/>
        <v/>
      </c>
      <c r="F73" s="1" t="str">
        <f t="shared" si="16"/>
        <v/>
      </c>
      <c r="G73" s="24" t="str">
        <f t="shared" si="17"/>
        <v/>
      </c>
      <c r="H73" s="1" t="str">
        <f t="shared" si="18"/>
        <v/>
      </c>
      <c r="I73" s="25" t="str">
        <f t="shared" si="19"/>
        <v/>
      </c>
      <c r="J73" s="1" t="str">
        <f t="shared" si="20"/>
        <v/>
      </c>
      <c r="K73" s="25" t="str">
        <f t="shared" si="21"/>
        <v/>
      </c>
      <c r="L73" s="1" t="str">
        <f t="shared" si="22"/>
        <v/>
      </c>
      <c r="M73" s="1" t="str">
        <f t="shared" si="23"/>
        <v/>
      </c>
    </row>
    <row r="74" spans="1:13" x14ac:dyDescent="0.35">
      <c r="A74" s="1" t="str">
        <f>IFERROR(MATCH(71,L_RangPaire,0),"")</f>
        <v/>
      </c>
      <c r="B74" s="24" t="str">
        <f t="shared" si="12"/>
        <v/>
      </c>
      <c r="C74" s="1" t="str">
        <f t="shared" si="13"/>
        <v/>
      </c>
      <c r="D74" s="1" t="str">
        <f t="shared" si="14"/>
        <v/>
      </c>
      <c r="E74" s="25" t="str">
        <f t="shared" si="15"/>
        <v/>
      </c>
      <c r="F74" s="1" t="str">
        <f t="shared" si="16"/>
        <v/>
      </c>
      <c r="G74" s="24" t="str">
        <f t="shared" si="17"/>
        <v/>
      </c>
      <c r="H74" s="1" t="str">
        <f t="shared" si="18"/>
        <v/>
      </c>
      <c r="I74" s="25" t="str">
        <f t="shared" si="19"/>
        <v/>
      </c>
      <c r="J74" s="1" t="str">
        <f t="shared" si="20"/>
        <v/>
      </c>
      <c r="K74" s="25" t="str">
        <f t="shared" si="21"/>
        <v/>
      </c>
      <c r="L74" s="1" t="str">
        <f t="shared" si="22"/>
        <v/>
      </c>
      <c r="M74" s="1" t="str">
        <f t="shared" si="23"/>
        <v/>
      </c>
    </row>
    <row r="75" spans="1:13" x14ac:dyDescent="0.35">
      <c r="A75" s="1" t="str">
        <f>IFERROR(MATCH(72,L_RangPaire,0),"")</f>
        <v/>
      </c>
      <c r="B75" s="24" t="str">
        <f t="shared" si="12"/>
        <v/>
      </c>
      <c r="C75" s="1" t="str">
        <f t="shared" si="13"/>
        <v/>
      </c>
      <c r="D75" s="1" t="str">
        <f t="shared" si="14"/>
        <v/>
      </c>
      <c r="E75" s="25" t="str">
        <f t="shared" si="15"/>
        <v/>
      </c>
      <c r="F75" s="1" t="str">
        <f t="shared" si="16"/>
        <v/>
      </c>
      <c r="G75" s="24" t="str">
        <f t="shared" si="17"/>
        <v/>
      </c>
      <c r="H75" s="1" t="str">
        <f t="shared" si="18"/>
        <v/>
      </c>
      <c r="I75" s="25" t="str">
        <f t="shared" si="19"/>
        <v/>
      </c>
      <c r="J75" s="1" t="str">
        <f t="shared" si="20"/>
        <v/>
      </c>
      <c r="K75" s="25" t="str">
        <f t="shared" si="21"/>
        <v/>
      </c>
      <c r="L75" s="1" t="str">
        <f t="shared" si="22"/>
        <v/>
      </c>
      <c r="M75" s="1" t="str">
        <f t="shared" si="23"/>
        <v/>
      </c>
    </row>
    <row r="76" spans="1:13" x14ac:dyDescent="0.35">
      <c r="A76" s="1" t="str">
        <f>IFERROR(MATCH(73,L_RangPaire,0),"")</f>
        <v/>
      </c>
      <c r="B76" s="24" t="str">
        <f t="shared" si="12"/>
        <v/>
      </c>
      <c r="C76" s="1" t="str">
        <f t="shared" si="13"/>
        <v/>
      </c>
      <c r="D76" s="1" t="str">
        <f t="shared" si="14"/>
        <v/>
      </c>
      <c r="E76" s="25" t="str">
        <f t="shared" si="15"/>
        <v/>
      </c>
      <c r="F76" s="1" t="str">
        <f t="shared" si="16"/>
        <v/>
      </c>
      <c r="G76" s="24" t="str">
        <f t="shared" si="17"/>
        <v/>
      </c>
      <c r="H76" s="1" t="str">
        <f t="shared" si="18"/>
        <v/>
      </c>
      <c r="I76" s="25" t="str">
        <f t="shared" si="19"/>
        <v/>
      </c>
      <c r="J76" s="1" t="str">
        <f t="shared" si="20"/>
        <v/>
      </c>
      <c r="K76" s="25" t="str">
        <f t="shared" si="21"/>
        <v/>
      </c>
      <c r="L76" s="1" t="str">
        <f t="shared" si="22"/>
        <v/>
      </c>
      <c r="M76" s="1" t="str">
        <f t="shared" si="23"/>
        <v/>
      </c>
    </row>
    <row r="77" spans="1:13" x14ac:dyDescent="0.35">
      <c r="A77" s="1" t="str">
        <f>IFERROR(MATCH(74,L_RangPaire,0),"")</f>
        <v/>
      </c>
      <c r="B77" s="24" t="str">
        <f t="shared" si="12"/>
        <v/>
      </c>
      <c r="C77" s="1" t="str">
        <f t="shared" si="13"/>
        <v/>
      </c>
      <c r="D77" s="1" t="str">
        <f t="shared" si="14"/>
        <v/>
      </c>
      <c r="E77" s="25" t="str">
        <f t="shared" si="15"/>
        <v/>
      </c>
      <c r="F77" s="1" t="str">
        <f t="shared" si="16"/>
        <v/>
      </c>
      <c r="G77" s="24" t="str">
        <f t="shared" si="17"/>
        <v/>
      </c>
      <c r="H77" s="1" t="str">
        <f t="shared" si="18"/>
        <v/>
      </c>
      <c r="I77" s="25" t="str">
        <f t="shared" si="19"/>
        <v/>
      </c>
      <c r="J77" s="1" t="str">
        <f t="shared" si="20"/>
        <v/>
      </c>
      <c r="K77" s="25" t="str">
        <f t="shared" si="21"/>
        <v/>
      </c>
      <c r="L77" s="1" t="str">
        <f t="shared" si="22"/>
        <v/>
      </c>
      <c r="M77" s="1" t="str">
        <f t="shared" si="23"/>
        <v/>
      </c>
    </row>
    <row r="78" spans="1:13" x14ac:dyDescent="0.35">
      <c r="A78" s="1" t="str">
        <f>IFERROR(MATCH(75,L_RangPaire,0),"")</f>
        <v/>
      </c>
      <c r="B78" s="24" t="str">
        <f t="shared" si="12"/>
        <v/>
      </c>
      <c r="C78" s="1" t="str">
        <f t="shared" si="13"/>
        <v/>
      </c>
      <c r="D78" s="1" t="str">
        <f t="shared" si="14"/>
        <v/>
      </c>
      <c r="E78" s="25" t="str">
        <f t="shared" si="15"/>
        <v/>
      </c>
      <c r="F78" s="1" t="str">
        <f t="shared" si="16"/>
        <v/>
      </c>
      <c r="G78" s="24" t="str">
        <f t="shared" si="17"/>
        <v/>
      </c>
      <c r="H78" s="1" t="str">
        <f t="shared" si="18"/>
        <v/>
      </c>
      <c r="I78" s="25" t="str">
        <f t="shared" si="19"/>
        <v/>
      </c>
      <c r="J78" s="1" t="str">
        <f t="shared" si="20"/>
        <v/>
      </c>
      <c r="K78" s="25" t="str">
        <f t="shared" si="21"/>
        <v/>
      </c>
      <c r="L78" s="1" t="str">
        <f t="shared" si="22"/>
        <v/>
      </c>
      <c r="M78" s="1" t="str">
        <f t="shared" si="23"/>
        <v/>
      </c>
    </row>
    <row r="79" spans="1:13" x14ac:dyDescent="0.35">
      <c r="A79" s="1" t="str">
        <f>IFERROR(MATCH(76,L_RangPaire,0),"")</f>
        <v/>
      </c>
      <c r="B79" s="24" t="str">
        <f t="shared" si="12"/>
        <v/>
      </c>
      <c r="C79" s="1" t="str">
        <f t="shared" si="13"/>
        <v/>
      </c>
      <c r="D79" s="1" t="str">
        <f t="shared" si="14"/>
        <v/>
      </c>
      <c r="E79" s="25" t="str">
        <f t="shared" si="15"/>
        <v/>
      </c>
      <c r="F79" s="1" t="str">
        <f t="shared" si="16"/>
        <v/>
      </c>
      <c r="G79" s="24" t="str">
        <f t="shared" si="17"/>
        <v/>
      </c>
      <c r="H79" s="1" t="str">
        <f t="shared" si="18"/>
        <v/>
      </c>
      <c r="I79" s="25" t="str">
        <f t="shared" si="19"/>
        <v/>
      </c>
      <c r="J79" s="1" t="str">
        <f t="shared" si="20"/>
        <v/>
      </c>
      <c r="K79" s="25" t="str">
        <f t="shared" si="21"/>
        <v/>
      </c>
      <c r="L79" s="1" t="str">
        <f t="shared" si="22"/>
        <v/>
      </c>
      <c r="M79" s="1" t="str">
        <f t="shared" si="23"/>
        <v/>
      </c>
    </row>
    <row r="80" spans="1:13" x14ac:dyDescent="0.35">
      <c r="A80" s="1" t="str">
        <f>IFERROR(MATCH(77,L_RangPaire,0),"")</f>
        <v/>
      </c>
      <c r="B80" s="24" t="str">
        <f t="shared" si="12"/>
        <v/>
      </c>
      <c r="C80" s="1" t="str">
        <f t="shared" si="13"/>
        <v/>
      </c>
      <c r="D80" s="1" t="str">
        <f t="shared" si="14"/>
        <v/>
      </c>
      <c r="E80" s="25" t="str">
        <f t="shared" si="15"/>
        <v/>
      </c>
      <c r="F80" s="1" t="str">
        <f t="shared" si="16"/>
        <v/>
      </c>
      <c r="G80" s="24" t="str">
        <f t="shared" si="17"/>
        <v/>
      </c>
      <c r="H80" s="1" t="str">
        <f t="shared" si="18"/>
        <v/>
      </c>
      <c r="I80" s="25" t="str">
        <f t="shared" si="19"/>
        <v/>
      </c>
      <c r="J80" s="1" t="str">
        <f t="shared" si="20"/>
        <v/>
      </c>
      <c r="K80" s="25" t="str">
        <f t="shared" si="21"/>
        <v/>
      </c>
      <c r="L80" s="1" t="str">
        <f t="shared" si="22"/>
        <v/>
      </c>
      <c r="M80" s="1" t="str">
        <f t="shared" si="23"/>
        <v/>
      </c>
    </row>
    <row r="81" spans="1:13" x14ac:dyDescent="0.35">
      <c r="A81" s="1" t="str">
        <f>IFERROR(MATCH(78,L_RangPaire,0),"")</f>
        <v/>
      </c>
      <c r="B81" s="24" t="str">
        <f t="shared" si="12"/>
        <v/>
      </c>
      <c r="C81" s="1" t="str">
        <f t="shared" si="13"/>
        <v/>
      </c>
      <c r="D81" s="1" t="str">
        <f t="shared" si="14"/>
        <v/>
      </c>
      <c r="E81" s="25" t="str">
        <f t="shared" si="15"/>
        <v/>
      </c>
      <c r="F81" s="1" t="str">
        <f t="shared" si="16"/>
        <v/>
      </c>
      <c r="G81" s="24" t="str">
        <f t="shared" si="17"/>
        <v/>
      </c>
      <c r="H81" s="1" t="str">
        <f t="shared" si="18"/>
        <v/>
      </c>
      <c r="I81" s="25" t="str">
        <f t="shared" si="19"/>
        <v/>
      </c>
      <c r="J81" s="1" t="str">
        <f t="shared" si="20"/>
        <v/>
      </c>
      <c r="K81" s="25" t="str">
        <f t="shared" si="21"/>
        <v/>
      </c>
      <c r="L81" s="1" t="str">
        <f t="shared" si="22"/>
        <v/>
      </c>
      <c r="M81" s="1" t="str">
        <f t="shared" si="23"/>
        <v/>
      </c>
    </row>
    <row r="82" spans="1:13" x14ac:dyDescent="0.35">
      <c r="A82" s="1" t="str">
        <f>IFERROR(MATCH(79,L_RangPaire,0),"")</f>
        <v/>
      </c>
      <c r="B82" s="24" t="str">
        <f t="shared" si="12"/>
        <v/>
      </c>
      <c r="C82" s="1" t="str">
        <f t="shared" si="13"/>
        <v/>
      </c>
      <c r="D82" s="1" t="str">
        <f t="shared" si="14"/>
        <v/>
      </c>
      <c r="E82" s="25" t="str">
        <f t="shared" si="15"/>
        <v/>
      </c>
      <c r="F82" s="1" t="str">
        <f t="shared" si="16"/>
        <v/>
      </c>
      <c r="G82" s="24" t="str">
        <f t="shared" si="17"/>
        <v/>
      </c>
      <c r="H82" s="1" t="str">
        <f t="shared" si="18"/>
        <v/>
      </c>
      <c r="I82" s="25" t="str">
        <f t="shared" si="19"/>
        <v/>
      </c>
      <c r="J82" s="1" t="str">
        <f t="shared" si="20"/>
        <v/>
      </c>
      <c r="K82" s="25" t="str">
        <f t="shared" si="21"/>
        <v/>
      </c>
      <c r="L82" s="1" t="str">
        <f t="shared" si="22"/>
        <v/>
      </c>
      <c r="M82" s="1" t="str">
        <f t="shared" si="23"/>
        <v/>
      </c>
    </row>
    <row r="83" spans="1:13" x14ac:dyDescent="0.35">
      <c r="A83" s="1" t="str">
        <f>IFERROR(MATCH(80,L_RangPaire,0),"")</f>
        <v/>
      </c>
      <c r="B83" s="24" t="str">
        <f t="shared" si="12"/>
        <v/>
      </c>
      <c r="C83" s="1" t="str">
        <f t="shared" si="13"/>
        <v/>
      </c>
      <c r="D83" s="1" t="str">
        <f t="shared" si="14"/>
        <v/>
      </c>
      <c r="E83" s="25" t="str">
        <f t="shared" si="15"/>
        <v/>
      </c>
      <c r="F83" s="1" t="str">
        <f t="shared" si="16"/>
        <v/>
      </c>
      <c r="G83" s="24" t="str">
        <f t="shared" si="17"/>
        <v/>
      </c>
      <c r="H83" s="1" t="str">
        <f t="shared" si="18"/>
        <v/>
      </c>
      <c r="I83" s="25" t="str">
        <f t="shared" si="19"/>
        <v/>
      </c>
      <c r="J83" s="1" t="str">
        <f t="shared" si="20"/>
        <v/>
      </c>
      <c r="K83" s="25" t="str">
        <f t="shared" si="21"/>
        <v/>
      </c>
      <c r="L83" s="1" t="str">
        <f t="shared" si="22"/>
        <v/>
      </c>
      <c r="M83" s="1" t="str">
        <f t="shared" si="23"/>
        <v/>
      </c>
    </row>
    <row r="84" spans="1:13" x14ac:dyDescent="0.35">
      <c r="A84" s="1" t="str">
        <f>IFERROR(MATCH(81,L_RangPaire,0),"")</f>
        <v/>
      </c>
      <c r="B84" s="24" t="str">
        <f t="shared" si="12"/>
        <v/>
      </c>
      <c r="C84" s="1" t="str">
        <f t="shared" si="13"/>
        <v/>
      </c>
      <c r="D84" s="1" t="str">
        <f t="shared" si="14"/>
        <v/>
      </c>
      <c r="E84" s="25" t="str">
        <f t="shared" si="15"/>
        <v/>
      </c>
      <c r="F84" s="1" t="str">
        <f t="shared" si="16"/>
        <v/>
      </c>
      <c r="G84" s="24" t="str">
        <f t="shared" si="17"/>
        <v/>
      </c>
      <c r="H84" s="1" t="str">
        <f t="shared" si="18"/>
        <v/>
      </c>
      <c r="I84" s="25" t="str">
        <f t="shared" si="19"/>
        <v/>
      </c>
      <c r="J84" s="1" t="str">
        <f t="shared" si="20"/>
        <v/>
      </c>
      <c r="K84" s="25" t="str">
        <f t="shared" si="21"/>
        <v/>
      </c>
      <c r="L84" s="1" t="str">
        <f t="shared" si="22"/>
        <v/>
      </c>
      <c r="M84" s="1" t="str">
        <f t="shared" si="23"/>
        <v/>
      </c>
    </row>
    <row r="85" spans="1:13" x14ac:dyDescent="0.35">
      <c r="A85" s="1" t="str">
        <f>IFERROR(MATCH(82,L_RangPaire,0),"")</f>
        <v/>
      </c>
      <c r="B85" s="24" t="str">
        <f t="shared" si="12"/>
        <v/>
      </c>
      <c r="C85" s="1" t="str">
        <f t="shared" si="13"/>
        <v/>
      </c>
      <c r="D85" s="1" t="str">
        <f t="shared" si="14"/>
        <v/>
      </c>
      <c r="E85" s="25" t="str">
        <f t="shared" si="15"/>
        <v/>
      </c>
      <c r="F85" s="1" t="str">
        <f t="shared" si="16"/>
        <v/>
      </c>
      <c r="G85" s="24" t="str">
        <f t="shared" si="17"/>
        <v/>
      </c>
      <c r="H85" s="1" t="str">
        <f t="shared" si="18"/>
        <v/>
      </c>
      <c r="I85" s="25" t="str">
        <f t="shared" si="19"/>
        <v/>
      </c>
      <c r="J85" s="1" t="str">
        <f t="shared" si="20"/>
        <v/>
      </c>
      <c r="K85" s="25" t="str">
        <f t="shared" si="21"/>
        <v/>
      </c>
      <c r="L85" s="1" t="str">
        <f t="shared" si="22"/>
        <v/>
      </c>
      <c r="M85" s="1" t="str">
        <f t="shared" si="23"/>
        <v/>
      </c>
    </row>
    <row r="86" spans="1:13" x14ac:dyDescent="0.35">
      <c r="A86" s="1" t="str">
        <f>IFERROR(MATCH(83,L_RangPaire,0),"")</f>
        <v/>
      </c>
      <c r="B86" s="24" t="str">
        <f t="shared" si="12"/>
        <v/>
      </c>
      <c r="C86" s="1" t="str">
        <f t="shared" si="13"/>
        <v/>
      </c>
      <c r="D86" s="1" t="str">
        <f t="shared" si="14"/>
        <v/>
      </c>
      <c r="E86" s="25" t="str">
        <f t="shared" si="15"/>
        <v/>
      </c>
      <c r="F86" s="1" t="str">
        <f t="shared" si="16"/>
        <v/>
      </c>
      <c r="G86" s="24" t="str">
        <f t="shared" si="17"/>
        <v/>
      </c>
      <c r="H86" s="1" t="str">
        <f t="shared" si="18"/>
        <v/>
      </c>
      <c r="I86" s="25" t="str">
        <f t="shared" si="19"/>
        <v/>
      </c>
      <c r="J86" s="1" t="str">
        <f t="shared" si="20"/>
        <v/>
      </c>
      <c r="K86" s="25" t="str">
        <f t="shared" si="21"/>
        <v/>
      </c>
      <c r="L86" s="1" t="str">
        <f t="shared" si="22"/>
        <v/>
      </c>
      <c r="M86" s="1" t="str">
        <f t="shared" si="23"/>
        <v/>
      </c>
    </row>
    <row r="87" spans="1:13" x14ac:dyDescent="0.35">
      <c r="A87" s="1" t="str">
        <f>IFERROR(MATCH(84,L_RangPaire,0),"")</f>
        <v/>
      </c>
      <c r="B87" s="24" t="str">
        <f t="shared" si="12"/>
        <v/>
      </c>
      <c r="C87" s="1" t="str">
        <f t="shared" si="13"/>
        <v/>
      </c>
      <c r="D87" s="1" t="str">
        <f t="shared" si="14"/>
        <v/>
      </c>
      <c r="E87" s="25" t="str">
        <f t="shared" si="15"/>
        <v/>
      </c>
      <c r="F87" s="1" t="str">
        <f t="shared" si="16"/>
        <v/>
      </c>
      <c r="G87" s="24" t="str">
        <f t="shared" si="17"/>
        <v/>
      </c>
      <c r="H87" s="1" t="str">
        <f t="shared" si="18"/>
        <v/>
      </c>
      <c r="I87" s="25" t="str">
        <f t="shared" si="19"/>
        <v/>
      </c>
      <c r="J87" s="1" t="str">
        <f t="shared" si="20"/>
        <v/>
      </c>
      <c r="K87" s="25" t="str">
        <f t="shared" si="21"/>
        <v/>
      </c>
      <c r="L87" s="1" t="str">
        <f t="shared" si="22"/>
        <v/>
      </c>
      <c r="M87" s="1" t="str">
        <f t="shared" si="23"/>
        <v/>
      </c>
    </row>
    <row r="88" spans="1:13" x14ac:dyDescent="0.35">
      <c r="A88" s="1" t="str">
        <f>IFERROR(MATCH(85,L_RangPaire,0),"")</f>
        <v/>
      </c>
      <c r="B88" s="24" t="str">
        <f t="shared" si="12"/>
        <v/>
      </c>
      <c r="C88" s="1" t="str">
        <f t="shared" si="13"/>
        <v/>
      </c>
      <c r="D88" s="1" t="str">
        <f t="shared" si="14"/>
        <v/>
      </c>
      <c r="E88" s="25" t="str">
        <f t="shared" si="15"/>
        <v/>
      </c>
      <c r="F88" s="1" t="str">
        <f t="shared" si="16"/>
        <v/>
      </c>
      <c r="G88" s="24" t="str">
        <f t="shared" si="17"/>
        <v/>
      </c>
      <c r="H88" s="1" t="str">
        <f t="shared" si="18"/>
        <v/>
      </c>
      <c r="I88" s="25" t="str">
        <f t="shared" si="19"/>
        <v/>
      </c>
      <c r="J88" s="1" t="str">
        <f t="shared" si="20"/>
        <v/>
      </c>
      <c r="K88" s="25" t="str">
        <f t="shared" si="21"/>
        <v/>
      </c>
      <c r="L88" s="1" t="str">
        <f t="shared" si="22"/>
        <v/>
      </c>
      <c r="M88" s="1" t="str">
        <f t="shared" si="23"/>
        <v/>
      </c>
    </row>
    <row r="89" spans="1:13" x14ac:dyDescent="0.35">
      <c r="A89" s="1" t="str">
        <f>IFERROR(MATCH(86,L_RangPaire,0),"")</f>
        <v/>
      </c>
      <c r="B89" s="24" t="str">
        <f t="shared" si="12"/>
        <v/>
      </c>
      <c r="C89" s="1" t="str">
        <f t="shared" si="13"/>
        <v/>
      </c>
      <c r="D89" s="1" t="str">
        <f t="shared" si="14"/>
        <v/>
      </c>
      <c r="E89" s="25" t="str">
        <f t="shared" si="15"/>
        <v/>
      </c>
      <c r="F89" s="1" t="str">
        <f t="shared" si="16"/>
        <v/>
      </c>
      <c r="G89" s="24" t="str">
        <f t="shared" si="17"/>
        <v/>
      </c>
      <c r="H89" s="1" t="str">
        <f t="shared" si="18"/>
        <v/>
      </c>
      <c r="I89" s="25" t="str">
        <f t="shared" si="19"/>
        <v/>
      </c>
      <c r="J89" s="1" t="str">
        <f t="shared" si="20"/>
        <v/>
      </c>
      <c r="K89" s="25" t="str">
        <f t="shared" si="21"/>
        <v/>
      </c>
      <c r="L89" s="1" t="str">
        <f t="shared" si="22"/>
        <v/>
      </c>
      <c r="M89" s="1" t="str">
        <f t="shared" si="23"/>
        <v/>
      </c>
    </row>
    <row r="90" spans="1:13" x14ac:dyDescent="0.35">
      <c r="A90" s="1" t="str">
        <f>IFERROR(MATCH(87,L_RangPaire,0),"")</f>
        <v/>
      </c>
      <c r="B90" s="24" t="str">
        <f t="shared" si="12"/>
        <v/>
      </c>
      <c r="C90" s="1" t="str">
        <f t="shared" si="13"/>
        <v/>
      </c>
      <c r="D90" s="1" t="str">
        <f t="shared" si="14"/>
        <v/>
      </c>
      <c r="E90" s="25" t="str">
        <f t="shared" si="15"/>
        <v/>
      </c>
      <c r="F90" s="1" t="str">
        <f t="shared" si="16"/>
        <v/>
      </c>
      <c r="G90" s="24" t="str">
        <f t="shared" si="17"/>
        <v/>
      </c>
      <c r="H90" s="1" t="str">
        <f t="shared" si="18"/>
        <v/>
      </c>
      <c r="I90" s="25" t="str">
        <f t="shared" si="19"/>
        <v/>
      </c>
      <c r="J90" s="1" t="str">
        <f t="shared" si="20"/>
        <v/>
      </c>
      <c r="K90" s="25" t="str">
        <f t="shared" si="21"/>
        <v/>
      </c>
      <c r="L90" s="1" t="str">
        <f t="shared" si="22"/>
        <v/>
      </c>
      <c r="M90" s="1" t="str">
        <f t="shared" si="23"/>
        <v/>
      </c>
    </row>
    <row r="91" spans="1:13" x14ac:dyDescent="0.35">
      <c r="A91" s="1" t="str">
        <f>IFERROR(MATCH(88,L_RangPaire,0),"")</f>
        <v/>
      </c>
      <c r="B91" s="24" t="str">
        <f t="shared" si="12"/>
        <v/>
      </c>
      <c r="C91" s="1" t="str">
        <f t="shared" si="13"/>
        <v/>
      </c>
      <c r="D91" s="1" t="str">
        <f t="shared" si="14"/>
        <v/>
      </c>
      <c r="E91" s="25" t="str">
        <f t="shared" si="15"/>
        <v/>
      </c>
      <c r="F91" s="1" t="str">
        <f t="shared" si="16"/>
        <v/>
      </c>
      <c r="G91" s="24" t="str">
        <f t="shared" si="17"/>
        <v/>
      </c>
      <c r="H91" s="1" t="str">
        <f t="shared" si="18"/>
        <v/>
      </c>
      <c r="I91" s="25" t="str">
        <f t="shared" si="19"/>
        <v/>
      </c>
      <c r="J91" s="1" t="str">
        <f t="shared" si="20"/>
        <v/>
      </c>
      <c r="K91" s="25" t="str">
        <f t="shared" si="21"/>
        <v/>
      </c>
      <c r="L91" s="1" t="str">
        <f t="shared" si="22"/>
        <v/>
      </c>
      <c r="M91" s="1" t="str">
        <f t="shared" si="23"/>
        <v/>
      </c>
    </row>
    <row r="92" spans="1:13" x14ac:dyDescent="0.35">
      <c r="A92" s="1" t="str">
        <f>IFERROR(MATCH(89,L_RangPaire,0),"")</f>
        <v/>
      </c>
      <c r="B92" s="24" t="str">
        <f t="shared" si="12"/>
        <v/>
      </c>
      <c r="C92" s="1" t="str">
        <f t="shared" si="13"/>
        <v/>
      </c>
      <c r="D92" s="1" t="str">
        <f t="shared" si="14"/>
        <v/>
      </c>
      <c r="E92" s="25" t="str">
        <f t="shared" si="15"/>
        <v/>
      </c>
      <c r="F92" s="1" t="str">
        <f t="shared" si="16"/>
        <v/>
      </c>
      <c r="G92" s="24" t="str">
        <f t="shared" si="17"/>
        <v/>
      </c>
      <c r="H92" s="1" t="str">
        <f t="shared" si="18"/>
        <v/>
      </c>
      <c r="I92" s="25" t="str">
        <f t="shared" si="19"/>
        <v/>
      </c>
      <c r="J92" s="1" t="str">
        <f t="shared" si="20"/>
        <v/>
      </c>
      <c r="K92" s="25" t="str">
        <f t="shared" si="21"/>
        <v/>
      </c>
      <c r="L92" s="1" t="str">
        <f t="shared" si="22"/>
        <v/>
      </c>
      <c r="M92" s="1" t="str">
        <f t="shared" si="23"/>
        <v/>
      </c>
    </row>
    <row r="93" spans="1:13" x14ac:dyDescent="0.35">
      <c r="A93" s="1" t="str">
        <f>IFERROR(MATCH(90,L_RangPaire,0),"")</f>
        <v/>
      </c>
      <c r="B93" s="24" t="str">
        <f t="shared" si="12"/>
        <v/>
      </c>
      <c r="C93" s="1" t="str">
        <f t="shared" si="13"/>
        <v/>
      </c>
      <c r="D93" s="1" t="str">
        <f t="shared" si="14"/>
        <v/>
      </c>
      <c r="E93" s="25" t="str">
        <f t="shared" si="15"/>
        <v/>
      </c>
      <c r="F93" s="1" t="str">
        <f t="shared" si="16"/>
        <v/>
      </c>
      <c r="G93" s="24" t="str">
        <f t="shared" si="17"/>
        <v/>
      </c>
      <c r="H93" s="1" t="str">
        <f t="shared" si="18"/>
        <v/>
      </c>
      <c r="I93" s="25" t="str">
        <f t="shared" si="19"/>
        <v/>
      </c>
      <c r="J93" s="1" t="str">
        <f t="shared" si="20"/>
        <v/>
      </c>
      <c r="K93" s="25" t="str">
        <f t="shared" si="21"/>
        <v/>
      </c>
      <c r="L93" s="1" t="str">
        <f t="shared" si="22"/>
        <v/>
      </c>
      <c r="M93" s="1" t="str">
        <f t="shared" si="23"/>
        <v/>
      </c>
    </row>
    <row r="94" spans="1:13" x14ac:dyDescent="0.35">
      <c r="A94" s="1" t="str">
        <f>IFERROR(MATCH(91,L_RangPaire,0),"")</f>
        <v/>
      </c>
      <c r="B94" s="24" t="str">
        <f t="shared" si="12"/>
        <v/>
      </c>
      <c r="C94" s="1" t="str">
        <f t="shared" si="13"/>
        <v/>
      </c>
      <c r="D94" s="1" t="str">
        <f t="shared" si="14"/>
        <v/>
      </c>
      <c r="E94" s="25" t="str">
        <f t="shared" si="15"/>
        <v/>
      </c>
      <c r="F94" s="1" t="str">
        <f t="shared" si="16"/>
        <v/>
      </c>
      <c r="G94" s="24" t="str">
        <f t="shared" si="17"/>
        <v/>
      </c>
      <c r="H94" s="1" t="str">
        <f t="shared" si="18"/>
        <v/>
      </c>
      <c r="I94" s="25" t="str">
        <f t="shared" si="19"/>
        <v/>
      </c>
      <c r="J94" s="1" t="str">
        <f t="shared" si="20"/>
        <v/>
      </c>
      <c r="K94" s="25" t="str">
        <f t="shared" si="21"/>
        <v/>
      </c>
      <c r="L94" s="1" t="str">
        <f t="shared" si="22"/>
        <v/>
      </c>
      <c r="M94" s="1" t="str">
        <f t="shared" si="23"/>
        <v/>
      </c>
    </row>
    <row r="95" spans="1:13" x14ac:dyDescent="0.35">
      <c r="A95" s="1" t="str">
        <f>IFERROR(MATCH(92,L_RangPaire,0),"")</f>
        <v/>
      </c>
      <c r="B95" s="24" t="str">
        <f t="shared" si="12"/>
        <v/>
      </c>
      <c r="C95" s="1" t="str">
        <f t="shared" si="13"/>
        <v/>
      </c>
      <c r="D95" s="1" t="str">
        <f t="shared" si="14"/>
        <v/>
      </c>
      <c r="E95" s="25" t="str">
        <f t="shared" si="15"/>
        <v/>
      </c>
      <c r="F95" s="1" t="str">
        <f t="shared" si="16"/>
        <v/>
      </c>
      <c r="G95" s="24" t="str">
        <f t="shared" si="17"/>
        <v/>
      </c>
      <c r="H95" s="1" t="str">
        <f t="shared" si="18"/>
        <v/>
      </c>
      <c r="I95" s="25" t="str">
        <f t="shared" si="19"/>
        <v/>
      </c>
      <c r="J95" s="1" t="str">
        <f t="shared" si="20"/>
        <v/>
      </c>
      <c r="K95" s="25" t="str">
        <f t="shared" si="21"/>
        <v/>
      </c>
      <c r="L95" s="1" t="str">
        <f t="shared" si="22"/>
        <v/>
      </c>
      <c r="M95" s="1" t="str">
        <f t="shared" si="23"/>
        <v/>
      </c>
    </row>
    <row r="96" spans="1:13" x14ac:dyDescent="0.35">
      <c r="A96" s="1" t="str">
        <f>IFERROR(MATCH(93,L_RangPaire,0),"")</f>
        <v/>
      </c>
      <c r="B96" s="24" t="str">
        <f t="shared" si="12"/>
        <v/>
      </c>
      <c r="C96" s="1" t="str">
        <f t="shared" si="13"/>
        <v/>
      </c>
      <c r="D96" s="1" t="str">
        <f t="shared" si="14"/>
        <v/>
      </c>
      <c r="E96" s="25" t="str">
        <f t="shared" si="15"/>
        <v/>
      </c>
      <c r="F96" s="1" t="str">
        <f t="shared" si="16"/>
        <v/>
      </c>
      <c r="G96" s="24" t="str">
        <f t="shared" si="17"/>
        <v/>
      </c>
      <c r="H96" s="1" t="str">
        <f t="shared" si="18"/>
        <v/>
      </c>
      <c r="I96" s="25" t="str">
        <f t="shared" si="19"/>
        <v/>
      </c>
      <c r="J96" s="1" t="str">
        <f t="shared" si="20"/>
        <v/>
      </c>
      <c r="K96" s="25" t="str">
        <f t="shared" si="21"/>
        <v/>
      </c>
      <c r="L96" s="1" t="str">
        <f t="shared" si="22"/>
        <v/>
      </c>
      <c r="M96" s="1" t="str">
        <f t="shared" si="23"/>
        <v/>
      </c>
    </row>
    <row r="97" spans="1:13" x14ac:dyDescent="0.35">
      <c r="A97" s="1" t="str">
        <f>IFERROR(MATCH(94,L_RangPaire,0),"")</f>
        <v/>
      </c>
      <c r="B97" s="24" t="str">
        <f t="shared" si="12"/>
        <v/>
      </c>
      <c r="C97" s="1" t="str">
        <f t="shared" si="13"/>
        <v/>
      </c>
      <c r="D97" s="1" t="str">
        <f t="shared" si="14"/>
        <v/>
      </c>
      <c r="E97" s="25" t="str">
        <f t="shared" si="15"/>
        <v/>
      </c>
      <c r="F97" s="1" t="str">
        <f t="shared" si="16"/>
        <v/>
      </c>
      <c r="G97" s="24" t="str">
        <f t="shared" si="17"/>
        <v/>
      </c>
      <c r="H97" s="1" t="str">
        <f t="shared" si="18"/>
        <v/>
      </c>
      <c r="I97" s="25" t="str">
        <f t="shared" si="19"/>
        <v/>
      </c>
      <c r="J97" s="1" t="str">
        <f t="shared" si="20"/>
        <v/>
      </c>
      <c r="K97" s="25" t="str">
        <f t="shared" si="21"/>
        <v/>
      </c>
      <c r="L97" s="1" t="str">
        <f t="shared" si="22"/>
        <v/>
      </c>
      <c r="M97" s="1" t="str">
        <f t="shared" si="23"/>
        <v/>
      </c>
    </row>
    <row r="98" spans="1:13" x14ac:dyDescent="0.35">
      <c r="A98" s="1" t="str">
        <f>IFERROR(MATCH(95,L_RangPaire,0),"")</f>
        <v/>
      </c>
      <c r="B98" s="24" t="str">
        <f t="shared" si="12"/>
        <v/>
      </c>
      <c r="C98" s="1" t="str">
        <f t="shared" si="13"/>
        <v/>
      </c>
      <c r="D98" s="1" t="str">
        <f t="shared" si="14"/>
        <v/>
      </c>
      <c r="E98" s="25" t="str">
        <f t="shared" si="15"/>
        <v/>
      </c>
      <c r="F98" s="1" t="str">
        <f t="shared" si="16"/>
        <v/>
      </c>
      <c r="G98" s="24" t="str">
        <f t="shared" si="17"/>
        <v/>
      </c>
      <c r="H98" s="1" t="str">
        <f t="shared" si="18"/>
        <v/>
      </c>
      <c r="I98" s="25" t="str">
        <f t="shared" si="19"/>
        <v/>
      </c>
      <c r="J98" s="1" t="str">
        <f t="shared" si="20"/>
        <v/>
      </c>
      <c r="K98" s="25" t="str">
        <f t="shared" si="21"/>
        <v/>
      </c>
      <c r="L98" s="1" t="str">
        <f t="shared" si="22"/>
        <v/>
      </c>
      <c r="M98" s="1" t="str">
        <f t="shared" si="23"/>
        <v/>
      </c>
    </row>
    <row r="99" spans="1:13" x14ac:dyDescent="0.35">
      <c r="A99" s="1" t="str">
        <f>IFERROR(MATCH(96,L_RangPaire,0),"")</f>
        <v/>
      </c>
      <c r="B99" s="24" t="str">
        <f t="shared" si="12"/>
        <v/>
      </c>
      <c r="C99" s="1" t="str">
        <f t="shared" si="13"/>
        <v/>
      </c>
      <c r="D99" s="1" t="str">
        <f t="shared" si="14"/>
        <v/>
      </c>
      <c r="E99" s="25" t="str">
        <f t="shared" si="15"/>
        <v/>
      </c>
      <c r="F99" s="1" t="str">
        <f t="shared" si="16"/>
        <v/>
      </c>
      <c r="G99" s="24" t="str">
        <f t="shared" si="17"/>
        <v/>
      </c>
      <c r="H99" s="1" t="str">
        <f t="shared" si="18"/>
        <v/>
      </c>
      <c r="I99" s="25" t="str">
        <f t="shared" si="19"/>
        <v/>
      </c>
      <c r="J99" s="1" t="str">
        <f t="shared" si="20"/>
        <v/>
      </c>
      <c r="K99" s="25" t="str">
        <f t="shared" si="21"/>
        <v/>
      </c>
      <c r="L99" s="1" t="str">
        <f t="shared" si="22"/>
        <v/>
      </c>
      <c r="M99" s="1" t="str">
        <f t="shared" si="23"/>
        <v/>
      </c>
    </row>
    <row r="100" spans="1:13" x14ac:dyDescent="0.35">
      <c r="A100" s="1" t="str">
        <f>IFERROR(MATCH(97,L_RangPaire,0),"")</f>
        <v/>
      </c>
      <c r="B100" s="24" t="str">
        <f t="shared" si="12"/>
        <v/>
      </c>
      <c r="C100" s="1" t="str">
        <f t="shared" si="13"/>
        <v/>
      </c>
      <c r="D100" s="1" t="str">
        <f t="shared" si="14"/>
        <v/>
      </c>
      <c r="E100" s="25" t="str">
        <f t="shared" si="15"/>
        <v/>
      </c>
      <c r="F100" s="1" t="str">
        <f t="shared" si="16"/>
        <v/>
      </c>
      <c r="G100" s="24" t="str">
        <f t="shared" si="17"/>
        <v/>
      </c>
      <c r="H100" s="1" t="str">
        <f t="shared" si="18"/>
        <v/>
      </c>
      <c r="I100" s="25" t="str">
        <f t="shared" si="19"/>
        <v/>
      </c>
      <c r="J100" s="1" t="str">
        <f t="shared" si="20"/>
        <v/>
      </c>
      <c r="K100" s="25" t="str">
        <f t="shared" si="21"/>
        <v/>
      </c>
      <c r="L100" s="1" t="str">
        <f t="shared" si="22"/>
        <v/>
      </c>
      <c r="M100" s="1" t="str">
        <f t="shared" si="23"/>
        <v/>
      </c>
    </row>
    <row r="101" spans="1:13" x14ac:dyDescent="0.35">
      <c r="A101" s="1" t="str">
        <f>IFERROR(MATCH(98,L_RangPaire,0),"")</f>
        <v/>
      </c>
      <c r="B101" s="24" t="str">
        <f t="shared" si="12"/>
        <v/>
      </c>
      <c r="C101" s="1" t="str">
        <f t="shared" si="13"/>
        <v/>
      </c>
      <c r="D101" s="1" t="str">
        <f t="shared" si="14"/>
        <v/>
      </c>
      <c r="E101" s="25" t="str">
        <f t="shared" si="15"/>
        <v/>
      </c>
      <c r="F101" s="1" t="str">
        <f t="shared" si="16"/>
        <v/>
      </c>
      <c r="G101" s="24" t="str">
        <f t="shared" si="17"/>
        <v/>
      </c>
      <c r="H101" s="1" t="str">
        <f t="shared" si="18"/>
        <v/>
      </c>
      <c r="I101" s="25" t="str">
        <f t="shared" si="19"/>
        <v/>
      </c>
      <c r="J101" s="1" t="str">
        <f t="shared" si="20"/>
        <v/>
      </c>
      <c r="K101" s="25" t="str">
        <f t="shared" si="21"/>
        <v/>
      </c>
      <c r="L101" s="1" t="str">
        <f t="shared" si="22"/>
        <v/>
      </c>
      <c r="M101" s="1" t="str">
        <f t="shared" si="23"/>
        <v/>
      </c>
    </row>
    <row r="102" spans="1:13" x14ac:dyDescent="0.35">
      <c r="A102" s="1" t="str">
        <f>IFERROR(MATCH(99,L_RangPaire,0),"")</f>
        <v/>
      </c>
      <c r="B102" s="24" t="str">
        <f t="shared" si="12"/>
        <v/>
      </c>
      <c r="C102" s="1" t="str">
        <f t="shared" si="13"/>
        <v/>
      </c>
      <c r="D102" s="1" t="str">
        <f t="shared" si="14"/>
        <v/>
      </c>
      <c r="E102" s="25" t="str">
        <f t="shared" si="15"/>
        <v/>
      </c>
      <c r="F102" s="1" t="str">
        <f t="shared" si="16"/>
        <v/>
      </c>
      <c r="G102" s="24" t="str">
        <f t="shared" si="17"/>
        <v/>
      </c>
      <c r="H102" s="1" t="str">
        <f t="shared" si="18"/>
        <v/>
      </c>
      <c r="I102" s="25" t="str">
        <f t="shared" si="19"/>
        <v/>
      </c>
      <c r="J102" s="1" t="str">
        <f t="shared" si="20"/>
        <v/>
      </c>
      <c r="K102" s="25" t="str">
        <f t="shared" si="21"/>
        <v/>
      </c>
      <c r="L102" s="1" t="str">
        <f t="shared" si="22"/>
        <v/>
      </c>
      <c r="M102" s="1" t="str">
        <f t="shared" si="23"/>
        <v/>
      </c>
    </row>
    <row r="103" spans="1:13" x14ac:dyDescent="0.35">
      <c r="A103" s="1" t="str">
        <f>IFERROR(MATCH(100,L_RangPaire,0),"")</f>
        <v/>
      </c>
      <c r="B103" s="24" t="str">
        <f t="shared" si="12"/>
        <v/>
      </c>
      <c r="C103" s="1" t="str">
        <f t="shared" si="13"/>
        <v/>
      </c>
      <c r="D103" s="1" t="str">
        <f t="shared" si="14"/>
        <v/>
      </c>
      <c r="E103" s="25" t="str">
        <f t="shared" si="15"/>
        <v/>
      </c>
      <c r="F103" s="1" t="str">
        <f t="shared" si="16"/>
        <v/>
      </c>
      <c r="G103" s="24" t="str">
        <f t="shared" si="17"/>
        <v/>
      </c>
      <c r="H103" s="1" t="str">
        <f t="shared" si="18"/>
        <v/>
      </c>
      <c r="I103" s="25" t="str">
        <f t="shared" si="19"/>
        <v/>
      </c>
      <c r="J103" s="1" t="str">
        <f t="shared" si="20"/>
        <v/>
      </c>
      <c r="K103" s="25" t="str">
        <f t="shared" si="21"/>
        <v/>
      </c>
      <c r="L103" s="1" t="str">
        <f t="shared" si="22"/>
        <v/>
      </c>
      <c r="M103" s="1" t="str">
        <f t="shared" si="23"/>
        <v/>
      </c>
    </row>
    <row r="104" spans="1:13" x14ac:dyDescent="0.35">
      <c r="A104" s="1" t="str">
        <f>IFERROR(MATCH(101,L_RangPaire,0),"")</f>
        <v/>
      </c>
      <c r="B104" s="24" t="str">
        <f t="shared" si="12"/>
        <v/>
      </c>
      <c r="C104" s="1" t="str">
        <f t="shared" si="13"/>
        <v/>
      </c>
      <c r="D104" s="1" t="str">
        <f t="shared" si="14"/>
        <v/>
      </c>
      <c r="E104" s="25" t="str">
        <f t="shared" si="15"/>
        <v/>
      </c>
      <c r="F104" s="1" t="str">
        <f t="shared" si="16"/>
        <v/>
      </c>
      <c r="G104" s="24" t="str">
        <f t="shared" si="17"/>
        <v/>
      </c>
      <c r="H104" s="1" t="str">
        <f t="shared" si="18"/>
        <v/>
      </c>
      <c r="I104" s="25" t="str">
        <f t="shared" si="19"/>
        <v/>
      </c>
      <c r="J104" s="1" t="str">
        <f t="shared" si="20"/>
        <v/>
      </c>
      <c r="K104" s="25" t="str">
        <f t="shared" si="21"/>
        <v/>
      </c>
      <c r="L104" s="1" t="str">
        <f t="shared" si="22"/>
        <v/>
      </c>
      <c r="M104" s="1" t="str">
        <f t="shared" si="23"/>
        <v/>
      </c>
    </row>
    <row r="105" spans="1:13" x14ac:dyDescent="0.35">
      <c r="A105" s="1" t="str">
        <f>IFERROR(MATCH(102,L_RangPaire,0),"")</f>
        <v/>
      </c>
      <c r="B105" s="24" t="str">
        <f t="shared" si="12"/>
        <v/>
      </c>
      <c r="C105" s="1" t="str">
        <f t="shared" si="13"/>
        <v/>
      </c>
      <c r="D105" s="1" t="str">
        <f t="shared" si="14"/>
        <v/>
      </c>
      <c r="E105" s="25" t="str">
        <f t="shared" si="15"/>
        <v/>
      </c>
      <c r="F105" s="1" t="str">
        <f t="shared" si="16"/>
        <v/>
      </c>
      <c r="G105" s="24" t="str">
        <f t="shared" si="17"/>
        <v/>
      </c>
      <c r="H105" s="1" t="str">
        <f t="shared" si="18"/>
        <v/>
      </c>
      <c r="I105" s="25" t="str">
        <f t="shared" si="19"/>
        <v/>
      </c>
      <c r="J105" s="1" t="str">
        <f t="shared" si="20"/>
        <v/>
      </c>
      <c r="K105" s="25" t="str">
        <f t="shared" si="21"/>
        <v/>
      </c>
      <c r="L105" s="1" t="str">
        <f t="shared" si="22"/>
        <v/>
      </c>
      <c r="M105" s="1" t="str">
        <f t="shared" si="23"/>
        <v/>
      </c>
    </row>
    <row r="106" spans="1:13" x14ac:dyDescent="0.35">
      <c r="A106" s="1" t="str">
        <f>IFERROR(MATCH(103,L_RangPaire,0),"")</f>
        <v/>
      </c>
      <c r="B106" s="24" t="str">
        <f t="shared" si="12"/>
        <v/>
      </c>
      <c r="C106" s="1" t="str">
        <f t="shared" si="13"/>
        <v/>
      </c>
      <c r="D106" s="1" t="str">
        <f t="shared" si="14"/>
        <v/>
      </c>
      <c r="E106" s="25" t="str">
        <f t="shared" si="15"/>
        <v/>
      </c>
      <c r="F106" s="1" t="str">
        <f t="shared" si="16"/>
        <v/>
      </c>
      <c r="G106" s="24" t="str">
        <f t="shared" si="17"/>
        <v/>
      </c>
      <c r="H106" s="1" t="str">
        <f t="shared" si="18"/>
        <v/>
      </c>
      <c r="I106" s="25" t="str">
        <f t="shared" si="19"/>
        <v/>
      </c>
      <c r="J106" s="1" t="str">
        <f t="shared" si="20"/>
        <v/>
      </c>
      <c r="K106" s="25" t="str">
        <f t="shared" si="21"/>
        <v/>
      </c>
      <c r="L106" s="1" t="str">
        <f t="shared" si="22"/>
        <v/>
      </c>
      <c r="M106" s="1" t="str">
        <f t="shared" si="23"/>
        <v/>
      </c>
    </row>
    <row r="107" spans="1:13" x14ac:dyDescent="0.35">
      <c r="A107" s="1" t="str">
        <f>IFERROR(MATCH(104,L_RangPaire,0),"")</f>
        <v/>
      </c>
      <c r="B107" s="24" t="str">
        <f t="shared" si="12"/>
        <v/>
      </c>
      <c r="C107" s="1" t="str">
        <f t="shared" si="13"/>
        <v/>
      </c>
      <c r="D107" s="1" t="str">
        <f t="shared" si="14"/>
        <v/>
      </c>
      <c r="E107" s="25" t="str">
        <f t="shared" si="15"/>
        <v/>
      </c>
      <c r="F107" s="1" t="str">
        <f t="shared" si="16"/>
        <v/>
      </c>
      <c r="G107" s="24" t="str">
        <f t="shared" si="17"/>
        <v/>
      </c>
      <c r="H107" s="1" t="str">
        <f t="shared" si="18"/>
        <v/>
      </c>
      <c r="I107" s="25" t="str">
        <f t="shared" si="19"/>
        <v/>
      </c>
      <c r="J107" s="1" t="str">
        <f t="shared" si="20"/>
        <v/>
      </c>
      <c r="K107" s="25" t="str">
        <f t="shared" si="21"/>
        <v/>
      </c>
      <c r="L107" s="1" t="str">
        <f t="shared" si="22"/>
        <v/>
      </c>
      <c r="M107" s="1" t="str">
        <f t="shared" si="23"/>
        <v/>
      </c>
    </row>
    <row r="108" spans="1:13" x14ac:dyDescent="0.35">
      <c r="A108" s="1" t="str">
        <f>IFERROR(MATCH(105,L_RangPaire,0),"")</f>
        <v/>
      </c>
      <c r="B108" s="24" t="str">
        <f t="shared" si="12"/>
        <v/>
      </c>
      <c r="C108" s="1" t="str">
        <f t="shared" si="13"/>
        <v/>
      </c>
      <c r="D108" s="1" t="str">
        <f t="shared" si="14"/>
        <v/>
      </c>
      <c r="E108" s="25" t="str">
        <f t="shared" si="15"/>
        <v/>
      </c>
      <c r="F108" s="1" t="str">
        <f t="shared" si="16"/>
        <v/>
      </c>
      <c r="G108" s="24" t="str">
        <f t="shared" si="17"/>
        <v/>
      </c>
      <c r="H108" s="1" t="str">
        <f t="shared" si="18"/>
        <v/>
      </c>
      <c r="I108" s="25" t="str">
        <f t="shared" si="19"/>
        <v/>
      </c>
      <c r="J108" s="1" t="str">
        <f t="shared" si="20"/>
        <v/>
      </c>
      <c r="K108" s="25" t="str">
        <f t="shared" si="21"/>
        <v/>
      </c>
      <c r="L108" s="1" t="str">
        <f t="shared" si="22"/>
        <v/>
      </c>
      <c r="M108" s="1" t="str">
        <f t="shared" si="23"/>
        <v/>
      </c>
    </row>
    <row r="109" spans="1:13" x14ac:dyDescent="0.35">
      <c r="A109" s="1" t="str">
        <f>IFERROR(MATCH(106,L_RangPaire,0),"")</f>
        <v/>
      </c>
      <c r="B109" s="24" t="str">
        <f t="shared" si="12"/>
        <v/>
      </c>
      <c r="C109" s="1" t="str">
        <f t="shared" si="13"/>
        <v/>
      </c>
      <c r="D109" s="1" t="str">
        <f t="shared" si="14"/>
        <v/>
      </c>
      <c r="E109" s="25" t="str">
        <f t="shared" si="15"/>
        <v/>
      </c>
      <c r="F109" s="1" t="str">
        <f t="shared" si="16"/>
        <v/>
      </c>
      <c r="G109" s="24" t="str">
        <f t="shared" si="17"/>
        <v/>
      </c>
      <c r="H109" s="1" t="str">
        <f t="shared" si="18"/>
        <v/>
      </c>
      <c r="I109" s="25" t="str">
        <f t="shared" si="19"/>
        <v/>
      </c>
      <c r="J109" s="1" t="str">
        <f t="shared" si="20"/>
        <v/>
      </c>
      <c r="K109" s="25" t="str">
        <f t="shared" si="21"/>
        <v/>
      </c>
      <c r="L109" s="1" t="str">
        <f t="shared" si="22"/>
        <v/>
      </c>
      <c r="M109" s="1" t="str">
        <f t="shared" si="23"/>
        <v/>
      </c>
    </row>
    <row r="110" spans="1:13" x14ac:dyDescent="0.35">
      <c r="A110" s="1" t="str">
        <f>IFERROR(MATCH(107,L_RangPaire,0),"")</f>
        <v/>
      </c>
      <c r="B110" s="24" t="str">
        <f t="shared" si="12"/>
        <v/>
      </c>
      <c r="C110" s="1" t="str">
        <f t="shared" si="13"/>
        <v/>
      </c>
      <c r="D110" s="1" t="str">
        <f t="shared" si="14"/>
        <v/>
      </c>
      <c r="E110" s="25" t="str">
        <f t="shared" si="15"/>
        <v/>
      </c>
      <c r="F110" s="1" t="str">
        <f t="shared" si="16"/>
        <v/>
      </c>
      <c r="G110" s="24" t="str">
        <f t="shared" si="17"/>
        <v/>
      </c>
      <c r="H110" s="1" t="str">
        <f t="shared" si="18"/>
        <v/>
      </c>
      <c r="I110" s="25" t="str">
        <f t="shared" si="19"/>
        <v/>
      </c>
      <c r="J110" s="1" t="str">
        <f t="shared" si="20"/>
        <v/>
      </c>
      <c r="K110" s="25" t="str">
        <f t="shared" si="21"/>
        <v/>
      </c>
      <c r="L110" s="1" t="str">
        <f t="shared" si="22"/>
        <v/>
      </c>
      <c r="M110" s="1" t="str">
        <f t="shared" si="23"/>
        <v/>
      </c>
    </row>
    <row r="111" spans="1:13" x14ac:dyDescent="0.35">
      <c r="A111" s="1" t="str">
        <f>IFERROR(MATCH(108,L_RangPaire,0),"")</f>
        <v/>
      </c>
      <c r="B111" s="24" t="str">
        <f t="shared" si="12"/>
        <v/>
      </c>
      <c r="C111" s="1" t="str">
        <f t="shared" si="13"/>
        <v/>
      </c>
      <c r="D111" s="1" t="str">
        <f t="shared" si="14"/>
        <v/>
      </c>
      <c r="E111" s="25" t="str">
        <f t="shared" si="15"/>
        <v/>
      </c>
      <c r="F111" s="1" t="str">
        <f t="shared" si="16"/>
        <v/>
      </c>
      <c r="G111" s="24" t="str">
        <f t="shared" si="17"/>
        <v/>
      </c>
      <c r="H111" s="1" t="str">
        <f t="shared" si="18"/>
        <v/>
      </c>
      <c r="I111" s="25" t="str">
        <f t="shared" si="19"/>
        <v/>
      </c>
      <c r="J111" s="1" t="str">
        <f t="shared" si="20"/>
        <v/>
      </c>
      <c r="K111" s="25" t="str">
        <f t="shared" si="21"/>
        <v/>
      </c>
      <c r="L111" s="1" t="str">
        <f t="shared" si="22"/>
        <v/>
      </c>
      <c r="M111" s="1" t="str">
        <f t="shared" si="23"/>
        <v/>
      </c>
    </row>
    <row r="112" spans="1:13" x14ac:dyDescent="0.35">
      <c r="A112" s="1" t="str">
        <f>IFERROR(MATCH(109,L_RangPaire,0),"")</f>
        <v/>
      </c>
      <c r="B112" s="24" t="str">
        <f t="shared" si="12"/>
        <v/>
      </c>
      <c r="C112" s="1" t="str">
        <f t="shared" si="13"/>
        <v/>
      </c>
      <c r="D112" s="1" t="str">
        <f t="shared" si="14"/>
        <v/>
      </c>
      <c r="E112" s="25" t="str">
        <f t="shared" si="15"/>
        <v/>
      </c>
      <c r="F112" s="1" t="str">
        <f t="shared" si="16"/>
        <v/>
      </c>
      <c r="G112" s="24" t="str">
        <f t="shared" si="17"/>
        <v/>
      </c>
      <c r="H112" s="1" t="str">
        <f t="shared" si="18"/>
        <v/>
      </c>
      <c r="I112" s="25" t="str">
        <f t="shared" si="19"/>
        <v/>
      </c>
      <c r="J112" s="1" t="str">
        <f t="shared" si="20"/>
        <v/>
      </c>
      <c r="K112" s="25" t="str">
        <f t="shared" si="21"/>
        <v/>
      </c>
      <c r="L112" s="1" t="str">
        <f t="shared" si="22"/>
        <v/>
      </c>
      <c r="M112" s="1" t="str">
        <f t="shared" si="23"/>
        <v/>
      </c>
    </row>
    <row r="113" spans="1:13" x14ac:dyDescent="0.35">
      <c r="A113" s="1" t="str">
        <f>IFERROR(MATCH(110,L_RangPaire,0),"")</f>
        <v/>
      </c>
      <c r="B113" s="24" t="str">
        <f t="shared" si="12"/>
        <v/>
      </c>
      <c r="C113" s="1" t="str">
        <f t="shared" si="13"/>
        <v/>
      </c>
      <c r="D113" s="1" t="str">
        <f t="shared" si="14"/>
        <v/>
      </c>
      <c r="E113" s="25" t="str">
        <f t="shared" si="15"/>
        <v/>
      </c>
      <c r="F113" s="1" t="str">
        <f t="shared" si="16"/>
        <v/>
      </c>
      <c r="G113" s="24" t="str">
        <f t="shared" si="17"/>
        <v/>
      </c>
      <c r="H113" s="1" t="str">
        <f t="shared" si="18"/>
        <v/>
      </c>
      <c r="I113" s="25" t="str">
        <f t="shared" si="19"/>
        <v/>
      </c>
      <c r="J113" s="1" t="str">
        <f t="shared" si="20"/>
        <v/>
      </c>
      <c r="K113" s="25" t="str">
        <f t="shared" si="21"/>
        <v/>
      </c>
      <c r="L113" s="1" t="str">
        <f t="shared" si="22"/>
        <v/>
      </c>
      <c r="M113" s="1" t="str">
        <f t="shared" si="23"/>
        <v/>
      </c>
    </row>
    <row r="114" spans="1:13" x14ac:dyDescent="0.35">
      <c r="A114" s="1" t="str">
        <f>IFERROR(MATCH(111,L_RangPaire,0),"")</f>
        <v/>
      </c>
      <c r="B114" s="24" t="str">
        <f t="shared" si="12"/>
        <v/>
      </c>
      <c r="C114" s="1" t="str">
        <f t="shared" si="13"/>
        <v/>
      </c>
      <c r="D114" s="1" t="str">
        <f t="shared" si="14"/>
        <v/>
      </c>
      <c r="E114" s="25" t="str">
        <f t="shared" si="15"/>
        <v/>
      </c>
      <c r="F114" s="1" t="str">
        <f t="shared" si="16"/>
        <v/>
      </c>
      <c r="G114" s="24" t="str">
        <f t="shared" si="17"/>
        <v/>
      </c>
      <c r="H114" s="1" t="str">
        <f t="shared" si="18"/>
        <v/>
      </c>
      <c r="I114" s="25" t="str">
        <f t="shared" si="19"/>
        <v/>
      </c>
      <c r="J114" s="1" t="str">
        <f t="shared" si="20"/>
        <v/>
      </c>
      <c r="K114" s="25" t="str">
        <f t="shared" si="21"/>
        <v/>
      </c>
      <c r="L114" s="1" t="str">
        <f t="shared" si="22"/>
        <v/>
      </c>
      <c r="M114" s="1" t="str">
        <f t="shared" si="23"/>
        <v/>
      </c>
    </row>
    <row r="115" spans="1:13" x14ac:dyDescent="0.35">
      <c r="A115" s="1" t="str">
        <f>IFERROR(MATCH(112,L_RangPaire,0),"")</f>
        <v/>
      </c>
      <c r="B115" s="24" t="str">
        <f t="shared" si="12"/>
        <v/>
      </c>
      <c r="C115" s="1" t="str">
        <f t="shared" si="13"/>
        <v/>
      </c>
      <c r="D115" s="1" t="str">
        <f t="shared" si="14"/>
        <v/>
      </c>
      <c r="E115" s="25" t="str">
        <f t="shared" si="15"/>
        <v/>
      </c>
      <c r="F115" s="1" t="str">
        <f t="shared" si="16"/>
        <v/>
      </c>
      <c r="G115" s="24" t="str">
        <f t="shared" si="17"/>
        <v/>
      </c>
      <c r="H115" s="1" t="str">
        <f t="shared" si="18"/>
        <v/>
      </c>
      <c r="I115" s="25" t="str">
        <f t="shared" si="19"/>
        <v/>
      </c>
      <c r="J115" s="1" t="str">
        <f t="shared" si="20"/>
        <v/>
      </c>
      <c r="K115" s="25" t="str">
        <f t="shared" si="21"/>
        <v/>
      </c>
      <c r="L115" s="1" t="str">
        <f t="shared" si="22"/>
        <v/>
      </c>
      <c r="M115" s="1" t="str">
        <f t="shared" si="23"/>
        <v/>
      </c>
    </row>
    <row r="116" spans="1:13" x14ac:dyDescent="0.35">
      <c r="A116" s="1" t="str">
        <f>IFERROR(MATCH(113,L_RangPaire,0),"")</f>
        <v/>
      </c>
      <c r="B116" s="24" t="str">
        <f t="shared" si="12"/>
        <v/>
      </c>
      <c r="C116" s="1" t="str">
        <f t="shared" si="13"/>
        <v/>
      </c>
      <c r="D116" s="1" t="str">
        <f t="shared" si="14"/>
        <v/>
      </c>
      <c r="E116" s="25" t="str">
        <f t="shared" si="15"/>
        <v/>
      </c>
      <c r="F116" s="1" t="str">
        <f t="shared" si="16"/>
        <v/>
      </c>
      <c r="G116" s="24" t="str">
        <f t="shared" si="17"/>
        <v/>
      </c>
      <c r="H116" s="1" t="str">
        <f t="shared" si="18"/>
        <v/>
      </c>
      <c r="I116" s="25" t="str">
        <f t="shared" si="19"/>
        <v/>
      </c>
      <c r="J116" s="1" t="str">
        <f t="shared" si="20"/>
        <v/>
      </c>
      <c r="K116" s="25" t="str">
        <f t="shared" si="21"/>
        <v/>
      </c>
      <c r="L116" s="1" t="str">
        <f t="shared" si="22"/>
        <v/>
      </c>
      <c r="M116" s="1" t="str">
        <f t="shared" si="23"/>
        <v/>
      </c>
    </row>
    <row r="117" spans="1:13" x14ac:dyDescent="0.35">
      <c r="A117" s="1" t="str">
        <f>IFERROR(MATCH(114,L_RangPaire,0),"")</f>
        <v/>
      </c>
      <c r="B117" s="24" t="str">
        <f t="shared" si="12"/>
        <v/>
      </c>
      <c r="C117" s="1" t="str">
        <f t="shared" si="13"/>
        <v/>
      </c>
      <c r="D117" s="1" t="str">
        <f t="shared" si="14"/>
        <v/>
      </c>
      <c r="E117" s="25" t="str">
        <f t="shared" si="15"/>
        <v/>
      </c>
      <c r="F117" s="1" t="str">
        <f t="shared" si="16"/>
        <v/>
      </c>
      <c r="G117" s="24" t="str">
        <f t="shared" si="17"/>
        <v/>
      </c>
      <c r="H117" s="1" t="str">
        <f t="shared" si="18"/>
        <v/>
      </c>
      <c r="I117" s="25" t="str">
        <f t="shared" si="19"/>
        <v/>
      </c>
      <c r="J117" s="1" t="str">
        <f t="shared" si="20"/>
        <v/>
      </c>
      <c r="K117" s="25" t="str">
        <f t="shared" si="21"/>
        <v/>
      </c>
      <c r="L117" s="1" t="str">
        <f t="shared" si="22"/>
        <v/>
      </c>
      <c r="M117" s="1" t="str">
        <f t="shared" si="23"/>
        <v/>
      </c>
    </row>
    <row r="118" spans="1:13" x14ac:dyDescent="0.35">
      <c r="A118" s="1" t="str">
        <f>IFERROR(MATCH(115,L_RangPaire,0),"")</f>
        <v/>
      </c>
      <c r="B118" s="24" t="str">
        <f t="shared" si="12"/>
        <v/>
      </c>
      <c r="C118" s="1" t="str">
        <f t="shared" si="13"/>
        <v/>
      </c>
      <c r="D118" s="1" t="str">
        <f t="shared" si="14"/>
        <v/>
      </c>
      <c r="E118" s="25" t="str">
        <f t="shared" si="15"/>
        <v/>
      </c>
      <c r="F118" s="1" t="str">
        <f t="shared" si="16"/>
        <v/>
      </c>
      <c r="G118" s="24" t="str">
        <f t="shared" si="17"/>
        <v/>
      </c>
      <c r="H118" s="1" t="str">
        <f t="shared" si="18"/>
        <v/>
      </c>
      <c r="I118" s="25" t="str">
        <f t="shared" si="19"/>
        <v/>
      </c>
      <c r="J118" s="1" t="str">
        <f t="shared" si="20"/>
        <v/>
      </c>
      <c r="K118" s="25" t="str">
        <f t="shared" si="21"/>
        <v/>
      </c>
      <c r="L118" s="1" t="str">
        <f t="shared" si="22"/>
        <v/>
      </c>
      <c r="M118" s="1" t="str">
        <f t="shared" si="23"/>
        <v/>
      </c>
    </row>
    <row r="119" spans="1:13" x14ac:dyDescent="0.35">
      <c r="A119" s="1" t="str">
        <f>IFERROR(MATCH(116,L_RangPaire,0),"")</f>
        <v/>
      </c>
      <c r="B119" s="24" t="str">
        <f t="shared" si="12"/>
        <v/>
      </c>
      <c r="C119" s="1" t="str">
        <f t="shared" si="13"/>
        <v/>
      </c>
      <c r="D119" s="1" t="str">
        <f t="shared" si="14"/>
        <v/>
      </c>
      <c r="E119" s="25" t="str">
        <f t="shared" si="15"/>
        <v/>
      </c>
      <c r="F119" s="1" t="str">
        <f t="shared" si="16"/>
        <v/>
      </c>
      <c r="G119" s="24" t="str">
        <f t="shared" si="17"/>
        <v/>
      </c>
      <c r="H119" s="1" t="str">
        <f t="shared" si="18"/>
        <v/>
      </c>
      <c r="I119" s="25" t="str">
        <f t="shared" si="19"/>
        <v/>
      </c>
      <c r="J119" s="1" t="str">
        <f t="shared" si="20"/>
        <v/>
      </c>
      <c r="K119" s="25" t="str">
        <f t="shared" si="21"/>
        <v/>
      </c>
      <c r="L119" s="1" t="str">
        <f t="shared" si="22"/>
        <v/>
      </c>
      <c r="M119" s="1" t="str">
        <f t="shared" si="23"/>
        <v/>
      </c>
    </row>
    <row r="120" spans="1:13" x14ac:dyDescent="0.35">
      <c r="A120" s="1" t="str">
        <f>IFERROR(MATCH(117,L_RangPaire,0),"")</f>
        <v/>
      </c>
      <c r="B120" s="24" t="str">
        <f t="shared" si="12"/>
        <v/>
      </c>
      <c r="C120" s="1" t="str">
        <f t="shared" si="13"/>
        <v/>
      </c>
      <c r="D120" s="1" t="str">
        <f t="shared" si="14"/>
        <v/>
      </c>
      <c r="E120" s="25" t="str">
        <f t="shared" si="15"/>
        <v/>
      </c>
      <c r="F120" s="1" t="str">
        <f t="shared" si="16"/>
        <v/>
      </c>
      <c r="G120" s="24" t="str">
        <f t="shared" si="17"/>
        <v/>
      </c>
      <c r="H120" s="1" t="str">
        <f t="shared" si="18"/>
        <v/>
      </c>
      <c r="I120" s="25" t="str">
        <f t="shared" si="19"/>
        <v/>
      </c>
      <c r="J120" s="1" t="str">
        <f t="shared" si="20"/>
        <v/>
      </c>
      <c r="K120" s="25" t="str">
        <f t="shared" si="21"/>
        <v/>
      </c>
      <c r="L120" s="1" t="str">
        <f t="shared" si="22"/>
        <v/>
      </c>
      <c r="M120" s="1" t="str">
        <f t="shared" si="23"/>
        <v/>
      </c>
    </row>
    <row r="121" spans="1:13" x14ac:dyDescent="0.35">
      <c r="A121" s="1" t="str">
        <f>IFERROR(MATCH(118,L_RangPaire,0),"")</f>
        <v/>
      </c>
      <c r="B121" s="24" t="str">
        <f t="shared" si="12"/>
        <v/>
      </c>
      <c r="C121" s="1" t="str">
        <f t="shared" si="13"/>
        <v/>
      </c>
      <c r="D121" s="1" t="str">
        <f t="shared" si="14"/>
        <v/>
      </c>
      <c r="E121" s="25" t="str">
        <f t="shared" si="15"/>
        <v/>
      </c>
      <c r="F121" s="1" t="str">
        <f t="shared" si="16"/>
        <v/>
      </c>
      <c r="G121" s="24" t="str">
        <f t="shared" si="17"/>
        <v/>
      </c>
      <c r="H121" s="1" t="str">
        <f t="shared" si="18"/>
        <v/>
      </c>
      <c r="I121" s="25" t="str">
        <f t="shared" si="19"/>
        <v/>
      </c>
      <c r="J121" s="1" t="str">
        <f t="shared" si="20"/>
        <v/>
      </c>
      <c r="K121" s="25" t="str">
        <f t="shared" si="21"/>
        <v/>
      </c>
      <c r="L121" s="1" t="str">
        <f t="shared" si="22"/>
        <v/>
      </c>
      <c r="M121" s="1" t="str">
        <f t="shared" si="23"/>
        <v/>
      </c>
    </row>
    <row r="122" spans="1:13" x14ac:dyDescent="0.35">
      <c r="A122" s="1" t="str">
        <f>IFERROR(MATCH(119,L_RangPaire,0),"")</f>
        <v/>
      </c>
      <c r="B122" s="24" t="str">
        <f t="shared" si="12"/>
        <v/>
      </c>
      <c r="C122" s="1" t="str">
        <f t="shared" si="13"/>
        <v/>
      </c>
      <c r="D122" s="1" t="str">
        <f t="shared" si="14"/>
        <v/>
      </c>
      <c r="E122" s="25" t="str">
        <f t="shared" si="15"/>
        <v/>
      </c>
      <c r="F122" s="1" t="str">
        <f t="shared" si="16"/>
        <v/>
      </c>
      <c r="G122" s="24" t="str">
        <f t="shared" si="17"/>
        <v/>
      </c>
      <c r="H122" s="1" t="str">
        <f t="shared" si="18"/>
        <v/>
      </c>
      <c r="I122" s="25" t="str">
        <f t="shared" si="19"/>
        <v/>
      </c>
      <c r="J122" s="1" t="str">
        <f t="shared" si="20"/>
        <v/>
      </c>
      <c r="K122" s="25" t="str">
        <f t="shared" si="21"/>
        <v/>
      </c>
      <c r="L122" s="1" t="str">
        <f t="shared" si="22"/>
        <v/>
      </c>
      <c r="M122" s="1" t="str">
        <f t="shared" si="23"/>
        <v/>
      </c>
    </row>
    <row r="123" spans="1:13" x14ac:dyDescent="0.35">
      <c r="A123" s="1" t="str">
        <f>IFERROR(MATCH(120,L_RangPaire,0),"")</f>
        <v/>
      </c>
      <c r="B123" s="24" t="str">
        <f t="shared" si="12"/>
        <v/>
      </c>
      <c r="C123" s="1" t="str">
        <f t="shared" si="13"/>
        <v/>
      </c>
      <c r="D123" s="1" t="str">
        <f t="shared" si="14"/>
        <v/>
      </c>
      <c r="E123" s="25" t="str">
        <f t="shared" si="15"/>
        <v/>
      </c>
      <c r="F123" s="1" t="str">
        <f t="shared" si="16"/>
        <v/>
      </c>
      <c r="G123" s="24" t="str">
        <f t="shared" si="17"/>
        <v/>
      </c>
      <c r="H123" s="1" t="str">
        <f t="shared" si="18"/>
        <v/>
      </c>
      <c r="I123" s="25" t="str">
        <f t="shared" si="19"/>
        <v/>
      </c>
      <c r="J123" s="1" t="str">
        <f t="shared" si="20"/>
        <v/>
      </c>
      <c r="K123" s="25" t="str">
        <f t="shared" si="21"/>
        <v/>
      </c>
      <c r="L123" s="1" t="str">
        <f t="shared" si="22"/>
        <v/>
      </c>
      <c r="M123" s="1" t="str">
        <f t="shared" si="23"/>
        <v/>
      </c>
    </row>
    <row r="124" spans="1:13" x14ac:dyDescent="0.35">
      <c r="A124" s="1" t="str">
        <f>IFERROR(MATCH(121,L_RangPaire,0),"")</f>
        <v/>
      </c>
      <c r="B124" s="24" t="str">
        <f t="shared" si="12"/>
        <v/>
      </c>
      <c r="C124" s="1" t="str">
        <f t="shared" si="13"/>
        <v/>
      </c>
      <c r="D124" s="1" t="str">
        <f t="shared" si="14"/>
        <v/>
      </c>
      <c r="E124" s="25" t="str">
        <f t="shared" si="15"/>
        <v/>
      </c>
      <c r="F124" s="1" t="str">
        <f t="shared" si="16"/>
        <v/>
      </c>
      <c r="G124" s="24" t="str">
        <f t="shared" si="17"/>
        <v/>
      </c>
      <c r="H124" s="1" t="str">
        <f t="shared" si="18"/>
        <v/>
      </c>
      <c r="I124" s="25" t="str">
        <f t="shared" si="19"/>
        <v/>
      </c>
      <c r="J124" s="1" t="str">
        <f t="shared" si="20"/>
        <v/>
      </c>
      <c r="K124" s="25" t="str">
        <f t="shared" si="21"/>
        <v/>
      </c>
      <c r="L124" s="1" t="str">
        <f t="shared" si="22"/>
        <v/>
      </c>
      <c r="M124" s="1" t="str">
        <f t="shared" si="23"/>
        <v/>
      </c>
    </row>
    <row r="125" spans="1:13" x14ac:dyDescent="0.35">
      <c r="A125" s="1" t="str">
        <f>IFERROR(MATCH(122,L_RangPaire,0),"")</f>
        <v/>
      </c>
      <c r="B125" s="24" t="str">
        <f t="shared" si="12"/>
        <v/>
      </c>
      <c r="C125" s="1" t="str">
        <f t="shared" si="13"/>
        <v/>
      </c>
      <c r="D125" s="1" t="str">
        <f t="shared" si="14"/>
        <v/>
      </c>
      <c r="E125" s="25" t="str">
        <f t="shared" si="15"/>
        <v/>
      </c>
      <c r="F125" s="1" t="str">
        <f t="shared" si="16"/>
        <v/>
      </c>
      <c r="G125" s="24" t="str">
        <f t="shared" si="17"/>
        <v/>
      </c>
      <c r="H125" s="1" t="str">
        <f t="shared" si="18"/>
        <v/>
      </c>
      <c r="I125" s="25" t="str">
        <f t="shared" si="19"/>
        <v/>
      </c>
      <c r="J125" s="1" t="str">
        <f t="shared" si="20"/>
        <v/>
      </c>
      <c r="K125" s="25" t="str">
        <f t="shared" si="21"/>
        <v/>
      </c>
      <c r="L125" s="1" t="str">
        <f t="shared" si="22"/>
        <v/>
      </c>
      <c r="M125" s="1" t="str">
        <f t="shared" si="23"/>
        <v/>
      </c>
    </row>
    <row r="126" spans="1:13" x14ac:dyDescent="0.35">
      <c r="A126" s="1" t="str">
        <f>IFERROR(MATCH(123,L_RangPaire,0),"")</f>
        <v/>
      </c>
      <c r="B126" s="24" t="str">
        <f t="shared" si="12"/>
        <v/>
      </c>
      <c r="C126" s="1" t="str">
        <f t="shared" si="13"/>
        <v/>
      </c>
      <c r="D126" s="1" t="str">
        <f t="shared" si="14"/>
        <v/>
      </c>
      <c r="E126" s="25" t="str">
        <f t="shared" si="15"/>
        <v/>
      </c>
      <c r="F126" s="1" t="str">
        <f t="shared" si="16"/>
        <v/>
      </c>
      <c r="G126" s="24" t="str">
        <f t="shared" si="17"/>
        <v/>
      </c>
      <c r="H126" s="1" t="str">
        <f t="shared" si="18"/>
        <v/>
      </c>
      <c r="I126" s="25" t="str">
        <f t="shared" si="19"/>
        <v/>
      </c>
      <c r="J126" s="1" t="str">
        <f t="shared" si="20"/>
        <v/>
      </c>
      <c r="K126" s="25" t="str">
        <f t="shared" si="21"/>
        <v/>
      </c>
      <c r="L126" s="1" t="str">
        <f t="shared" si="22"/>
        <v/>
      </c>
      <c r="M126" s="1" t="str">
        <f t="shared" si="23"/>
        <v/>
      </c>
    </row>
    <row r="127" spans="1:13" x14ac:dyDescent="0.35">
      <c r="A127" s="1" t="str">
        <f>IFERROR(MATCH(124,L_RangPaire,0),"")</f>
        <v/>
      </c>
      <c r="B127" s="24" t="str">
        <f t="shared" si="12"/>
        <v/>
      </c>
      <c r="C127" s="1" t="str">
        <f t="shared" si="13"/>
        <v/>
      </c>
      <c r="D127" s="1" t="str">
        <f t="shared" si="14"/>
        <v/>
      </c>
      <c r="E127" s="25" t="str">
        <f t="shared" si="15"/>
        <v/>
      </c>
      <c r="F127" s="1" t="str">
        <f t="shared" si="16"/>
        <v/>
      </c>
      <c r="G127" s="24" t="str">
        <f t="shared" si="17"/>
        <v/>
      </c>
      <c r="H127" s="1" t="str">
        <f t="shared" si="18"/>
        <v/>
      </c>
      <c r="I127" s="25" t="str">
        <f t="shared" si="19"/>
        <v/>
      </c>
      <c r="J127" s="1" t="str">
        <f t="shared" si="20"/>
        <v/>
      </c>
      <c r="K127" s="25" t="str">
        <f t="shared" si="21"/>
        <v/>
      </c>
      <c r="L127" s="1" t="str">
        <f t="shared" si="22"/>
        <v/>
      </c>
      <c r="M127" s="1" t="str">
        <f t="shared" si="23"/>
        <v/>
      </c>
    </row>
    <row r="128" spans="1:13" x14ac:dyDescent="0.35">
      <c r="A128" s="1" t="str">
        <f>IFERROR(MATCH(125,L_RangPaire,0),"")</f>
        <v/>
      </c>
      <c r="B128" s="24" t="str">
        <f t="shared" si="12"/>
        <v/>
      </c>
      <c r="C128" s="1" t="str">
        <f t="shared" si="13"/>
        <v/>
      </c>
      <c r="D128" s="1" t="str">
        <f t="shared" si="14"/>
        <v/>
      </c>
      <c r="E128" s="25" t="str">
        <f t="shared" si="15"/>
        <v/>
      </c>
      <c r="F128" s="1" t="str">
        <f t="shared" si="16"/>
        <v/>
      </c>
      <c r="G128" s="24" t="str">
        <f t="shared" si="17"/>
        <v/>
      </c>
      <c r="H128" s="1" t="str">
        <f t="shared" si="18"/>
        <v/>
      </c>
      <c r="I128" s="25" t="str">
        <f t="shared" si="19"/>
        <v/>
      </c>
      <c r="J128" s="1" t="str">
        <f t="shared" si="20"/>
        <v/>
      </c>
      <c r="K128" s="25" t="str">
        <f t="shared" si="21"/>
        <v/>
      </c>
      <c r="L128" s="1" t="str">
        <f t="shared" si="22"/>
        <v/>
      </c>
      <c r="M128" s="1" t="str">
        <f t="shared" si="23"/>
        <v/>
      </c>
    </row>
    <row r="129" spans="1:13" x14ac:dyDescent="0.35">
      <c r="A129" s="1" t="str">
        <f>IFERROR(MATCH(126,L_RangPaire,0),"")</f>
        <v/>
      </c>
      <c r="B129" s="24" t="str">
        <f t="shared" si="12"/>
        <v/>
      </c>
      <c r="C129" s="1" t="str">
        <f t="shared" si="13"/>
        <v/>
      </c>
      <c r="D129" s="1" t="str">
        <f t="shared" si="14"/>
        <v/>
      </c>
      <c r="E129" s="25" t="str">
        <f t="shared" si="15"/>
        <v/>
      </c>
      <c r="F129" s="1" t="str">
        <f t="shared" si="16"/>
        <v/>
      </c>
      <c r="G129" s="24" t="str">
        <f t="shared" si="17"/>
        <v/>
      </c>
      <c r="H129" s="1" t="str">
        <f t="shared" si="18"/>
        <v/>
      </c>
      <c r="I129" s="25" t="str">
        <f t="shared" si="19"/>
        <v/>
      </c>
      <c r="J129" s="1" t="str">
        <f t="shared" si="20"/>
        <v/>
      </c>
      <c r="K129" s="25" t="str">
        <f t="shared" si="21"/>
        <v/>
      </c>
      <c r="L129" s="1" t="str">
        <f t="shared" si="22"/>
        <v/>
      </c>
      <c r="M129" s="1" t="str">
        <f t="shared" si="23"/>
        <v/>
      </c>
    </row>
    <row r="130" spans="1:13" x14ac:dyDescent="0.35">
      <c r="A130" s="1" t="str">
        <f>IFERROR(MATCH(127,L_RangPaire,0),"")</f>
        <v/>
      </c>
      <c r="B130" s="24" t="str">
        <f t="shared" si="12"/>
        <v/>
      </c>
      <c r="C130" s="1" t="str">
        <f t="shared" si="13"/>
        <v/>
      </c>
      <c r="D130" s="1" t="str">
        <f t="shared" si="14"/>
        <v/>
      </c>
      <c r="E130" s="25" t="str">
        <f t="shared" si="15"/>
        <v/>
      </c>
      <c r="F130" s="1" t="str">
        <f t="shared" si="16"/>
        <v/>
      </c>
      <c r="G130" s="24" t="str">
        <f t="shared" si="17"/>
        <v/>
      </c>
      <c r="H130" s="1" t="str">
        <f t="shared" si="18"/>
        <v/>
      </c>
      <c r="I130" s="25" t="str">
        <f t="shared" si="19"/>
        <v/>
      </c>
      <c r="J130" s="1" t="str">
        <f t="shared" si="20"/>
        <v/>
      </c>
      <c r="K130" s="25" t="str">
        <f t="shared" si="21"/>
        <v/>
      </c>
      <c r="L130" s="1" t="str">
        <f t="shared" si="22"/>
        <v/>
      </c>
      <c r="M130" s="1" t="str">
        <f t="shared" si="23"/>
        <v/>
      </c>
    </row>
    <row r="131" spans="1:13" x14ac:dyDescent="0.35">
      <c r="A131" s="1" t="str">
        <f>IFERROR(MATCH(128,L_RangPaire,0),"")</f>
        <v/>
      </c>
      <c r="B131" s="24" t="str">
        <f t="shared" si="12"/>
        <v/>
      </c>
      <c r="C131" s="1" t="str">
        <f t="shared" si="13"/>
        <v/>
      </c>
      <c r="D131" s="1" t="str">
        <f t="shared" si="14"/>
        <v/>
      </c>
      <c r="E131" s="25" t="str">
        <f t="shared" si="15"/>
        <v/>
      </c>
      <c r="F131" s="1" t="str">
        <f t="shared" si="16"/>
        <v/>
      </c>
      <c r="G131" s="24" t="str">
        <f t="shared" si="17"/>
        <v/>
      </c>
      <c r="H131" s="1" t="str">
        <f t="shared" si="18"/>
        <v/>
      </c>
      <c r="I131" s="25" t="str">
        <f t="shared" si="19"/>
        <v/>
      </c>
      <c r="J131" s="1" t="str">
        <f t="shared" si="20"/>
        <v/>
      </c>
      <c r="K131" s="25" t="str">
        <f t="shared" si="21"/>
        <v/>
      </c>
      <c r="L131" s="1" t="str">
        <f t="shared" si="22"/>
        <v/>
      </c>
      <c r="M131" s="1" t="str">
        <f t="shared" si="23"/>
        <v/>
      </c>
    </row>
    <row r="132" spans="1:13" x14ac:dyDescent="0.35">
      <c r="A132" s="1" t="str">
        <f>IFERROR(MATCH(129,L_RangPaire,0),"")</f>
        <v/>
      </c>
      <c r="B132" s="24" t="str">
        <f t="shared" ref="B132:B195" si="24">IF(A132="","",INDEX(L_Date,A132))</f>
        <v/>
      </c>
      <c r="C132" s="1" t="str">
        <f t="shared" ref="C132:C195" si="25">IF(A132="","",INDEX(L_Ref,A132)&amp;"")</f>
        <v/>
      </c>
      <c r="D132" s="1" t="str">
        <f t="shared" ref="D132:D195" si="26">IF(A132="","",INDEX(L_Motif,A132))</f>
        <v/>
      </c>
      <c r="E132" s="25" t="str">
        <f t="shared" ref="E132:E195" si="27">IF(A132="","",INDEX(L_Montant,A132))</f>
        <v/>
      </c>
      <c r="F132" s="1" t="str">
        <f t="shared" ref="F132:F195" si="28">IF(A132="","",INDEX(L_Banque,A132))</f>
        <v/>
      </c>
      <c r="G132" s="24" t="str">
        <f t="shared" ref="G132:G195" si="29">IF(F132="","",INDEX(B_Date,F132))</f>
        <v/>
      </c>
      <c r="H132" s="1" t="str">
        <f t="shared" ref="H132:H195" si="30">IF(F132="","",INDEX(B_Lib,F132))</f>
        <v/>
      </c>
      <c r="I132" s="25" t="str">
        <f t="shared" ref="I132:I195" si="31">IF(F132="","",INDEX(B_Montant,F132))</f>
        <v/>
      </c>
      <c r="J132" s="1" t="str">
        <f t="shared" ref="J132:J195" si="32">IF(A132="","",INDEX(L_DJ,A132))</f>
        <v/>
      </c>
      <c r="K132" s="25" t="str">
        <f t="shared" ref="K132:K195" si="33">IF(A132="","",INDEX(L_DM,A132))</f>
        <v/>
      </c>
      <c r="L132" s="1" t="str">
        <f t="shared" ref="L132:L195" si="34">IF(A132="","",INDEX(L_Score,A132))</f>
        <v/>
      </c>
      <c r="M132" s="1" t="str">
        <f t="shared" ref="M132:M195" si="35">IF(A132="","",INDEX(L_Statut,A132))</f>
        <v/>
      </c>
    </row>
    <row r="133" spans="1:13" x14ac:dyDescent="0.35">
      <c r="A133" s="1" t="str">
        <f>IFERROR(MATCH(130,L_RangPaire,0),"")</f>
        <v/>
      </c>
      <c r="B133" s="24" t="str">
        <f t="shared" si="24"/>
        <v/>
      </c>
      <c r="C133" s="1" t="str">
        <f t="shared" si="25"/>
        <v/>
      </c>
      <c r="D133" s="1" t="str">
        <f t="shared" si="26"/>
        <v/>
      </c>
      <c r="E133" s="25" t="str">
        <f t="shared" si="27"/>
        <v/>
      </c>
      <c r="F133" s="1" t="str">
        <f t="shared" si="28"/>
        <v/>
      </c>
      <c r="G133" s="24" t="str">
        <f t="shared" si="29"/>
        <v/>
      </c>
      <c r="H133" s="1" t="str">
        <f t="shared" si="30"/>
        <v/>
      </c>
      <c r="I133" s="25" t="str">
        <f t="shared" si="31"/>
        <v/>
      </c>
      <c r="J133" s="1" t="str">
        <f t="shared" si="32"/>
        <v/>
      </c>
      <c r="K133" s="25" t="str">
        <f t="shared" si="33"/>
        <v/>
      </c>
      <c r="L133" s="1" t="str">
        <f t="shared" si="34"/>
        <v/>
      </c>
      <c r="M133" s="1" t="str">
        <f t="shared" si="35"/>
        <v/>
      </c>
    </row>
    <row r="134" spans="1:13" x14ac:dyDescent="0.35">
      <c r="A134" s="1" t="str">
        <f>IFERROR(MATCH(131,L_RangPaire,0),"")</f>
        <v/>
      </c>
      <c r="B134" s="24" t="str">
        <f t="shared" si="24"/>
        <v/>
      </c>
      <c r="C134" s="1" t="str">
        <f t="shared" si="25"/>
        <v/>
      </c>
      <c r="D134" s="1" t="str">
        <f t="shared" si="26"/>
        <v/>
      </c>
      <c r="E134" s="25" t="str">
        <f t="shared" si="27"/>
        <v/>
      </c>
      <c r="F134" s="1" t="str">
        <f t="shared" si="28"/>
        <v/>
      </c>
      <c r="G134" s="24" t="str">
        <f t="shared" si="29"/>
        <v/>
      </c>
      <c r="H134" s="1" t="str">
        <f t="shared" si="30"/>
        <v/>
      </c>
      <c r="I134" s="25" t="str">
        <f t="shared" si="31"/>
        <v/>
      </c>
      <c r="J134" s="1" t="str">
        <f t="shared" si="32"/>
        <v/>
      </c>
      <c r="K134" s="25" t="str">
        <f t="shared" si="33"/>
        <v/>
      </c>
      <c r="L134" s="1" t="str">
        <f t="shared" si="34"/>
        <v/>
      </c>
      <c r="M134" s="1" t="str">
        <f t="shared" si="35"/>
        <v/>
      </c>
    </row>
    <row r="135" spans="1:13" x14ac:dyDescent="0.35">
      <c r="A135" s="1" t="str">
        <f>IFERROR(MATCH(132,L_RangPaire,0),"")</f>
        <v/>
      </c>
      <c r="B135" s="24" t="str">
        <f t="shared" si="24"/>
        <v/>
      </c>
      <c r="C135" s="1" t="str">
        <f t="shared" si="25"/>
        <v/>
      </c>
      <c r="D135" s="1" t="str">
        <f t="shared" si="26"/>
        <v/>
      </c>
      <c r="E135" s="25" t="str">
        <f t="shared" si="27"/>
        <v/>
      </c>
      <c r="F135" s="1" t="str">
        <f t="shared" si="28"/>
        <v/>
      </c>
      <c r="G135" s="24" t="str">
        <f t="shared" si="29"/>
        <v/>
      </c>
      <c r="H135" s="1" t="str">
        <f t="shared" si="30"/>
        <v/>
      </c>
      <c r="I135" s="25" t="str">
        <f t="shared" si="31"/>
        <v/>
      </c>
      <c r="J135" s="1" t="str">
        <f t="shared" si="32"/>
        <v/>
      </c>
      <c r="K135" s="25" t="str">
        <f t="shared" si="33"/>
        <v/>
      </c>
      <c r="L135" s="1" t="str">
        <f t="shared" si="34"/>
        <v/>
      </c>
      <c r="M135" s="1" t="str">
        <f t="shared" si="35"/>
        <v/>
      </c>
    </row>
    <row r="136" spans="1:13" x14ac:dyDescent="0.35">
      <c r="A136" s="1" t="str">
        <f>IFERROR(MATCH(133,L_RangPaire,0),"")</f>
        <v/>
      </c>
      <c r="B136" s="24" t="str">
        <f t="shared" si="24"/>
        <v/>
      </c>
      <c r="C136" s="1" t="str">
        <f t="shared" si="25"/>
        <v/>
      </c>
      <c r="D136" s="1" t="str">
        <f t="shared" si="26"/>
        <v/>
      </c>
      <c r="E136" s="25" t="str">
        <f t="shared" si="27"/>
        <v/>
      </c>
      <c r="F136" s="1" t="str">
        <f t="shared" si="28"/>
        <v/>
      </c>
      <c r="G136" s="24" t="str">
        <f t="shared" si="29"/>
        <v/>
      </c>
      <c r="H136" s="1" t="str">
        <f t="shared" si="30"/>
        <v/>
      </c>
      <c r="I136" s="25" t="str">
        <f t="shared" si="31"/>
        <v/>
      </c>
      <c r="J136" s="1" t="str">
        <f t="shared" si="32"/>
        <v/>
      </c>
      <c r="K136" s="25" t="str">
        <f t="shared" si="33"/>
        <v/>
      </c>
      <c r="L136" s="1" t="str">
        <f t="shared" si="34"/>
        <v/>
      </c>
      <c r="M136" s="1" t="str">
        <f t="shared" si="35"/>
        <v/>
      </c>
    </row>
    <row r="137" spans="1:13" x14ac:dyDescent="0.35">
      <c r="A137" s="1" t="str">
        <f>IFERROR(MATCH(134,L_RangPaire,0),"")</f>
        <v/>
      </c>
      <c r="B137" s="24" t="str">
        <f t="shared" si="24"/>
        <v/>
      </c>
      <c r="C137" s="1" t="str">
        <f t="shared" si="25"/>
        <v/>
      </c>
      <c r="D137" s="1" t="str">
        <f t="shared" si="26"/>
        <v/>
      </c>
      <c r="E137" s="25" t="str">
        <f t="shared" si="27"/>
        <v/>
      </c>
      <c r="F137" s="1" t="str">
        <f t="shared" si="28"/>
        <v/>
      </c>
      <c r="G137" s="24" t="str">
        <f t="shared" si="29"/>
        <v/>
      </c>
      <c r="H137" s="1" t="str">
        <f t="shared" si="30"/>
        <v/>
      </c>
      <c r="I137" s="25" t="str">
        <f t="shared" si="31"/>
        <v/>
      </c>
      <c r="J137" s="1" t="str">
        <f t="shared" si="32"/>
        <v/>
      </c>
      <c r="K137" s="25" t="str">
        <f t="shared" si="33"/>
        <v/>
      </c>
      <c r="L137" s="1" t="str">
        <f t="shared" si="34"/>
        <v/>
      </c>
      <c r="M137" s="1" t="str">
        <f t="shared" si="35"/>
        <v/>
      </c>
    </row>
    <row r="138" spans="1:13" x14ac:dyDescent="0.35">
      <c r="A138" s="1" t="str">
        <f>IFERROR(MATCH(135,L_RangPaire,0),"")</f>
        <v/>
      </c>
      <c r="B138" s="24" t="str">
        <f t="shared" si="24"/>
        <v/>
      </c>
      <c r="C138" s="1" t="str">
        <f t="shared" si="25"/>
        <v/>
      </c>
      <c r="D138" s="1" t="str">
        <f t="shared" si="26"/>
        <v/>
      </c>
      <c r="E138" s="25" t="str">
        <f t="shared" si="27"/>
        <v/>
      </c>
      <c r="F138" s="1" t="str">
        <f t="shared" si="28"/>
        <v/>
      </c>
      <c r="G138" s="24" t="str">
        <f t="shared" si="29"/>
        <v/>
      </c>
      <c r="H138" s="1" t="str">
        <f t="shared" si="30"/>
        <v/>
      </c>
      <c r="I138" s="25" t="str">
        <f t="shared" si="31"/>
        <v/>
      </c>
      <c r="J138" s="1" t="str">
        <f t="shared" si="32"/>
        <v/>
      </c>
      <c r="K138" s="25" t="str">
        <f t="shared" si="33"/>
        <v/>
      </c>
      <c r="L138" s="1" t="str">
        <f t="shared" si="34"/>
        <v/>
      </c>
      <c r="M138" s="1" t="str">
        <f t="shared" si="35"/>
        <v/>
      </c>
    </row>
    <row r="139" spans="1:13" x14ac:dyDescent="0.35">
      <c r="A139" s="1" t="str">
        <f>IFERROR(MATCH(136,L_RangPaire,0),"")</f>
        <v/>
      </c>
      <c r="B139" s="24" t="str">
        <f t="shared" si="24"/>
        <v/>
      </c>
      <c r="C139" s="1" t="str">
        <f t="shared" si="25"/>
        <v/>
      </c>
      <c r="D139" s="1" t="str">
        <f t="shared" si="26"/>
        <v/>
      </c>
      <c r="E139" s="25" t="str">
        <f t="shared" si="27"/>
        <v/>
      </c>
      <c r="F139" s="1" t="str">
        <f t="shared" si="28"/>
        <v/>
      </c>
      <c r="G139" s="24" t="str">
        <f t="shared" si="29"/>
        <v/>
      </c>
      <c r="H139" s="1" t="str">
        <f t="shared" si="30"/>
        <v/>
      </c>
      <c r="I139" s="25" t="str">
        <f t="shared" si="31"/>
        <v/>
      </c>
      <c r="J139" s="1" t="str">
        <f t="shared" si="32"/>
        <v/>
      </c>
      <c r="K139" s="25" t="str">
        <f t="shared" si="33"/>
        <v/>
      </c>
      <c r="L139" s="1" t="str">
        <f t="shared" si="34"/>
        <v/>
      </c>
      <c r="M139" s="1" t="str">
        <f t="shared" si="35"/>
        <v/>
      </c>
    </row>
    <row r="140" spans="1:13" x14ac:dyDescent="0.35">
      <c r="A140" s="1" t="str">
        <f>IFERROR(MATCH(137,L_RangPaire,0),"")</f>
        <v/>
      </c>
      <c r="B140" s="24" t="str">
        <f t="shared" si="24"/>
        <v/>
      </c>
      <c r="C140" s="1" t="str">
        <f t="shared" si="25"/>
        <v/>
      </c>
      <c r="D140" s="1" t="str">
        <f t="shared" si="26"/>
        <v/>
      </c>
      <c r="E140" s="25" t="str">
        <f t="shared" si="27"/>
        <v/>
      </c>
      <c r="F140" s="1" t="str">
        <f t="shared" si="28"/>
        <v/>
      </c>
      <c r="G140" s="24" t="str">
        <f t="shared" si="29"/>
        <v/>
      </c>
      <c r="H140" s="1" t="str">
        <f t="shared" si="30"/>
        <v/>
      </c>
      <c r="I140" s="25" t="str">
        <f t="shared" si="31"/>
        <v/>
      </c>
      <c r="J140" s="1" t="str">
        <f t="shared" si="32"/>
        <v/>
      </c>
      <c r="K140" s="25" t="str">
        <f t="shared" si="33"/>
        <v/>
      </c>
      <c r="L140" s="1" t="str">
        <f t="shared" si="34"/>
        <v/>
      </c>
      <c r="M140" s="1" t="str">
        <f t="shared" si="35"/>
        <v/>
      </c>
    </row>
    <row r="141" spans="1:13" x14ac:dyDescent="0.35">
      <c r="A141" s="1" t="str">
        <f>IFERROR(MATCH(138,L_RangPaire,0),"")</f>
        <v/>
      </c>
      <c r="B141" s="24" t="str">
        <f t="shared" si="24"/>
        <v/>
      </c>
      <c r="C141" s="1" t="str">
        <f t="shared" si="25"/>
        <v/>
      </c>
      <c r="D141" s="1" t="str">
        <f t="shared" si="26"/>
        <v/>
      </c>
      <c r="E141" s="25" t="str">
        <f t="shared" si="27"/>
        <v/>
      </c>
      <c r="F141" s="1" t="str">
        <f t="shared" si="28"/>
        <v/>
      </c>
      <c r="G141" s="24" t="str">
        <f t="shared" si="29"/>
        <v/>
      </c>
      <c r="H141" s="1" t="str">
        <f t="shared" si="30"/>
        <v/>
      </c>
      <c r="I141" s="25" t="str">
        <f t="shared" si="31"/>
        <v/>
      </c>
      <c r="J141" s="1" t="str">
        <f t="shared" si="32"/>
        <v/>
      </c>
      <c r="K141" s="25" t="str">
        <f t="shared" si="33"/>
        <v/>
      </c>
      <c r="L141" s="1" t="str">
        <f t="shared" si="34"/>
        <v/>
      </c>
      <c r="M141" s="1" t="str">
        <f t="shared" si="35"/>
        <v/>
      </c>
    </row>
    <row r="142" spans="1:13" x14ac:dyDescent="0.35">
      <c r="A142" s="1" t="str">
        <f>IFERROR(MATCH(139,L_RangPaire,0),"")</f>
        <v/>
      </c>
      <c r="B142" s="24" t="str">
        <f t="shared" si="24"/>
        <v/>
      </c>
      <c r="C142" s="1" t="str">
        <f t="shared" si="25"/>
        <v/>
      </c>
      <c r="D142" s="1" t="str">
        <f t="shared" si="26"/>
        <v/>
      </c>
      <c r="E142" s="25" t="str">
        <f t="shared" si="27"/>
        <v/>
      </c>
      <c r="F142" s="1" t="str">
        <f t="shared" si="28"/>
        <v/>
      </c>
      <c r="G142" s="24" t="str">
        <f t="shared" si="29"/>
        <v/>
      </c>
      <c r="H142" s="1" t="str">
        <f t="shared" si="30"/>
        <v/>
      </c>
      <c r="I142" s="25" t="str">
        <f t="shared" si="31"/>
        <v/>
      </c>
      <c r="J142" s="1" t="str">
        <f t="shared" si="32"/>
        <v/>
      </c>
      <c r="K142" s="25" t="str">
        <f t="shared" si="33"/>
        <v/>
      </c>
      <c r="L142" s="1" t="str">
        <f t="shared" si="34"/>
        <v/>
      </c>
      <c r="M142" s="1" t="str">
        <f t="shared" si="35"/>
        <v/>
      </c>
    </row>
    <row r="143" spans="1:13" x14ac:dyDescent="0.35">
      <c r="A143" s="1" t="str">
        <f>IFERROR(MATCH(140,L_RangPaire,0),"")</f>
        <v/>
      </c>
      <c r="B143" s="24" t="str">
        <f t="shared" si="24"/>
        <v/>
      </c>
      <c r="C143" s="1" t="str">
        <f t="shared" si="25"/>
        <v/>
      </c>
      <c r="D143" s="1" t="str">
        <f t="shared" si="26"/>
        <v/>
      </c>
      <c r="E143" s="25" t="str">
        <f t="shared" si="27"/>
        <v/>
      </c>
      <c r="F143" s="1" t="str">
        <f t="shared" si="28"/>
        <v/>
      </c>
      <c r="G143" s="24" t="str">
        <f t="shared" si="29"/>
        <v/>
      </c>
      <c r="H143" s="1" t="str">
        <f t="shared" si="30"/>
        <v/>
      </c>
      <c r="I143" s="25" t="str">
        <f t="shared" si="31"/>
        <v/>
      </c>
      <c r="J143" s="1" t="str">
        <f t="shared" si="32"/>
        <v/>
      </c>
      <c r="K143" s="25" t="str">
        <f t="shared" si="33"/>
        <v/>
      </c>
      <c r="L143" s="1" t="str">
        <f t="shared" si="34"/>
        <v/>
      </c>
      <c r="M143" s="1" t="str">
        <f t="shared" si="35"/>
        <v/>
      </c>
    </row>
    <row r="144" spans="1:13" x14ac:dyDescent="0.35">
      <c r="A144" s="1" t="str">
        <f>IFERROR(MATCH(141,L_RangPaire,0),"")</f>
        <v/>
      </c>
      <c r="B144" s="24" t="str">
        <f t="shared" si="24"/>
        <v/>
      </c>
      <c r="C144" s="1" t="str">
        <f t="shared" si="25"/>
        <v/>
      </c>
      <c r="D144" s="1" t="str">
        <f t="shared" si="26"/>
        <v/>
      </c>
      <c r="E144" s="25" t="str">
        <f t="shared" si="27"/>
        <v/>
      </c>
      <c r="F144" s="1" t="str">
        <f t="shared" si="28"/>
        <v/>
      </c>
      <c r="G144" s="24" t="str">
        <f t="shared" si="29"/>
        <v/>
      </c>
      <c r="H144" s="1" t="str">
        <f t="shared" si="30"/>
        <v/>
      </c>
      <c r="I144" s="25" t="str">
        <f t="shared" si="31"/>
        <v/>
      </c>
      <c r="J144" s="1" t="str">
        <f t="shared" si="32"/>
        <v/>
      </c>
      <c r="K144" s="25" t="str">
        <f t="shared" si="33"/>
        <v/>
      </c>
      <c r="L144" s="1" t="str">
        <f t="shared" si="34"/>
        <v/>
      </c>
      <c r="M144" s="1" t="str">
        <f t="shared" si="35"/>
        <v/>
      </c>
    </row>
    <row r="145" spans="1:13" x14ac:dyDescent="0.35">
      <c r="A145" s="1" t="str">
        <f>IFERROR(MATCH(142,L_RangPaire,0),"")</f>
        <v/>
      </c>
      <c r="B145" s="24" t="str">
        <f t="shared" si="24"/>
        <v/>
      </c>
      <c r="C145" s="1" t="str">
        <f t="shared" si="25"/>
        <v/>
      </c>
      <c r="D145" s="1" t="str">
        <f t="shared" si="26"/>
        <v/>
      </c>
      <c r="E145" s="25" t="str">
        <f t="shared" si="27"/>
        <v/>
      </c>
      <c r="F145" s="1" t="str">
        <f t="shared" si="28"/>
        <v/>
      </c>
      <c r="G145" s="24" t="str">
        <f t="shared" si="29"/>
        <v/>
      </c>
      <c r="H145" s="1" t="str">
        <f t="shared" si="30"/>
        <v/>
      </c>
      <c r="I145" s="25" t="str">
        <f t="shared" si="31"/>
        <v/>
      </c>
      <c r="J145" s="1" t="str">
        <f t="shared" si="32"/>
        <v/>
      </c>
      <c r="K145" s="25" t="str">
        <f t="shared" si="33"/>
        <v/>
      </c>
      <c r="L145" s="1" t="str">
        <f t="shared" si="34"/>
        <v/>
      </c>
      <c r="M145" s="1" t="str">
        <f t="shared" si="35"/>
        <v/>
      </c>
    </row>
    <row r="146" spans="1:13" x14ac:dyDescent="0.35">
      <c r="A146" s="1" t="str">
        <f>IFERROR(MATCH(143,L_RangPaire,0),"")</f>
        <v/>
      </c>
      <c r="B146" s="24" t="str">
        <f t="shared" si="24"/>
        <v/>
      </c>
      <c r="C146" s="1" t="str">
        <f t="shared" si="25"/>
        <v/>
      </c>
      <c r="D146" s="1" t="str">
        <f t="shared" si="26"/>
        <v/>
      </c>
      <c r="E146" s="25" t="str">
        <f t="shared" si="27"/>
        <v/>
      </c>
      <c r="F146" s="1" t="str">
        <f t="shared" si="28"/>
        <v/>
      </c>
      <c r="G146" s="24" t="str">
        <f t="shared" si="29"/>
        <v/>
      </c>
      <c r="H146" s="1" t="str">
        <f t="shared" si="30"/>
        <v/>
      </c>
      <c r="I146" s="25" t="str">
        <f t="shared" si="31"/>
        <v/>
      </c>
      <c r="J146" s="1" t="str">
        <f t="shared" si="32"/>
        <v/>
      </c>
      <c r="K146" s="25" t="str">
        <f t="shared" si="33"/>
        <v/>
      </c>
      <c r="L146" s="1" t="str">
        <f t="shared" si="34"/>
        <v/>
      </c>
      <c r="M146" s="1" t="str">
        <f t="shared" si="35"/>
        <v/>
      </c>
    </row>
    <row r="147" spans="1:13" x14ac:dyDescent="0.35">
      <c r="A147" s="1" t="str">
        <f>IFERROR(MATCH(144,L_RangPaire,0),"")</f>
        <v/>
      </c>
      <c r="B147" s="24" t="str">
        <f t="shared" si="24"/>
        <v/>
      </c>
      <c r="C147" s="1" t="str">
        <f t="shared" si="25"/>
        <v/>
      </c>
      <c r="D147" s="1" t="str">
        <f t="shared" si="26"/>
        <v/>
      </c>
      <c r="E147" s="25" t="str">
        <f t="shared" si="27"/>
        <v/>
      </c>
      <c r="F147" s="1" t="str">
        <f t="shared" si="28"/>
        <v/>
      </c>
      <c r="G147" s="24" t="str">
        <f t="shared" si="29"/>
        <v/>
      </c>
      <c r="H147" s="1" t="str">
        <f t="shared" si="30"/>
        <v/>
      </c>
      <c r="I147" s="25" t="str">
        <f t="shared" si="31"/>
        <v/>
      </c>
      <c r="J147" s="1" t="str">
        <f t="shared" si="32"/>
        <v/>
      </c>
      <c r="K147" s="25" t="str">
        <f t="shared" si="33"/>
        <v/>
      </c>
      <c r="L147" s="1" t="str">
        <f t="shared" si="34"/>
        <v/>
      </c>
      <c r="M147" s="1" t="str">
        <f t="shared" si="35"/>
        <v/>
      </c>
    </row>
    <row r="148" spans="1:13" x14ac:dyDescent="0.35">
      <c r="A148" s="1" t="str">
        <f>IFERROR(MATCH(145,L_RangPaire,0),"")</f>
        <v/>
      </c>
      <c r="B148" s="24" t="str">
        <f t="shared" si="24"/>
        <v/>
      </c>
      <c r="C148" s="1" t="str">
        <f t="shared" si="25"/>
        <v/>
      </c>
      <c r="D148" s="1" t="str">
        <f t="shared" si="26"/>
        <v/>
      </c>
      <c r="E148" s="25" t="str">
        <f t="shared" si="27"/>
        <v/>
      </c>
      <c r="F148" s="1" t="str">
        <f t="shared" si="28"/>
        <v/>
      </c>
      <c r="G148" s="24" t="str">
        <f t="shared" si="29"/>
        <v/>
      </c>
      <c r="H148" s="1" t="str">
        <f t="shared" si="30"/>
        <v/>
      </c>
      <c r="I148" s="25" t="str">
        <f t="shared" si="31"/>
        <v/>
      </c>
      <c r="J148" s="1" t="str">
        <f t="shared" si="32"/>
        <v/>
      </c>
      <c r="K148" s="25" t="str">
        <f t="shared" si="33"/>
        <v/>
      </c>
      <c r="L148" s="1" t="str">
        <f t="shared" si="34"/>
        <v/>
      </c>
      <c r="M148" s="1" t="str">
        <f t="shared" si="35"/>
        <v/>
      </c>
    </row>
    <row r="149" spans="1:13" x14ac:dyDescent="0.35">
      <c r="A149" s="1" t="str">
        <f>IFERROR(MATCH(146,L_RangPaire,0),"")</f>
        <v/>
      </c>
      <c r="B149" s="24" t="str">
        <f t="shared" si="24"/>
        <v/>
      </c>
      <c r="C149" s="1" t="str">
        <f t="shared" si="25"/>
        <v/>
      </c>
      <c r="D149" s="1" t="str">
        <f t="shared" si="26"/>
        <v/>
      </c>
      <c r="E149" s="25" t="str">
        <f t="shared" si="27"/>
        <v/>
      </c>
      <c r="F149" s="1" t="str">
        <f t="shared" si="28"/>
        <v/>
      </c>
      <c r="G149" s="24" t="str">
        <f t="shared" si="29"/>
        <v/>
      </c>
      <c r="H149" s="1" t="str">
        <f t="shared" si="30"/>
        <v/>
      </c>
      <c r="I149" s="25" t="str">
        <f t="shared" si="31"/>
        <v/>
      </c>
      <c r="J149" s="1" t="str">
        <f t="shared" si="32"/>
        <v/>
      </c>
      <c r="K149" s="25" t="str">
        <f t="shared" si="33"/>
        <v/>
      </c>
      <c r="L149" s="1" t="str">
        <f t="shared" si="34"/>
        <v/>
      </c>
      <c r="M149" s="1" t="str">
        <f t="shared" si="35"/>
        <v/>
      </c>
    </row>
    <row r="150" spans="1:13" x14ac:dyDescent="0.35">
      <c r="A150" s="1" t="str">
        <f>IFERROR(MATCH(147,L_RangPaire,0),"")</f>
        <v/>
      </c>
      <c r="B150" s="24" t="str">
        <f t="shared" si="24"/>
        <v/>
      </c>
      <c r="C150" s="1" t="str">
        <f t="shared" si="25"/>
        <v/>
      </c>
      <c r="D150" s="1" t="str">
        <f t="shared" si="26"/>
        <v/>
      </c>
      <c r="E150" s="25" t="str">
        <f t="shared" si="27"/>
        <v/>
      </c>
      <c r="F150" s="1" t="str">
        <f t="shared" si="28"/>
        <v/>
      </c>
      <c r="G150" s="24" t="str">
        <f t="shared" si="29"/>
        <v/>
      </c>
      <c r="H150" s="1" t="str">
        <f t="shared" si="30"/>
        <v/>
      </c>
      <c r="I150" s="25" t="str">
        <f t="shared" si="31"/>
        <v/>
      </c>
      <c r="J150" s="1" t="str">
        <f t="shared" si="32"/>
        <v/>
      </c>
      <c r="K150" s="25" t="str">
        <f t="shared" si="33"/>
        <v/>
      </c>
      <c r="L150" s="1" t="str">
        <f t="shared" si="34"/>
        <v/>
      </c>
      <c r="M150" s="1" t="str">
        <f t="shared" si="35"/>
        <v/>
      </c>
    </row>
    <row r="151" spans="1:13" x14ac:dyDescent="0.35">
      <c r="A151" s="1" t="str">
        <f>IFERROR(MATCH(148,L_RangPaire,0),"")</f>
        <v/>
      </c>
      <c r="B151" s="24" t="str">
        <f t="shared" si="24"/>
        <v/>
      </c>
      <c r="C151" s="1" t="str">
        <f t="shared" si="25"/>
        <v/>
      </c>
      <c r="D151" s="1" t="str">
        <f t="shared" si="26"/>
        <v/>
      </c>
      <c r="E151" s="25" t="str">
        <f t="shared" si="27"/>
        <v/>
      </c>
      <c r="F151" s="1" t="str">
        <f t="shared" si="28"/>
        <v/>
      </c>
      <c r="G151" s="24" t="str">
        <f t="shared" si="29"/>
        <v/>
      </c>
      <c r="H151" s="1" t="str">
        <f t="shared" si="30"/>
        <v/>
      </c>
      <c r="I151" s="25" t="str">
        <f t="shared" si="31"/>
        <v/>
      </c>
      <c r="J151" s="1" t="str">
        <f t="shared" si="32"/>
        <v/>
      </c>
      <c r="K151" s="25" t="str">
        <f t="shared" si="33"/>
        <v/>
      </c>
      <c r="L151" s="1" t="str">
        <f t="shared" si="34"/>
        <v/>
      </c>
      <c r="M151" s="1" t="str">
        <f t="shared" si="35"/>
        <v/>
      </c>
    </row>
    <row r="152" spans="1:13" x14ac:dyDescent="0.35">
      <c r="A152" s="1" t="str">
        <f>IFERROR(MATCH(149,L_RangPaire,0),"")</f>
        <v/>
      </c>
      <c r="B152" s="24" t="str">
        <f t="shared" si="24"/>
        <v/>
      </c>
      <c r="C152" s="1" t="str">
        <f t="shared" si="25"/>
        <v/>
      </c>
      <c r="D152" s="1" t="str">
        <f t="shared" si="26"/>
        <v/>
      </c>
      <c r="E152" s="25" t="str">
        <f t="shared" si="27"/>
        <v/>
      </c>
      <c r="F152" s="1" t="str">
        <f t="shared" si="28"/>
        <v/>
      </c>
      <c r="G152" s="24" t="str">
        <f t="shared" si="29"/>
        <v/>
      </c>
      <c r="H152" s="1" t="str">
        <f t="shared" si="30"/>
        <v/>
      </c>
      <c r="I152" s="25" t="str">
        <f t="shared" si="31"/>
        <v/>
      </c>
      <c r="J152" s="1" t="str">
        <f t="shared" si="32"/>
        <v/>
      </c>
      <c r="K152" s="25" t="str">
        <f t="shared" si="33"/>
        <v/>
      </c>
      <c r="L152" s="1" t="str">
        <f t="shared" si="34"/>
        <v/>
      </c>
      <c r="M152" s="1" t="str">
        <f t="shared" si="35"/>
        <v/>
      </c>
    </row>
    <row r="153" spans="1:13" x14ac:dyDescent="0.35">
      <c r="A153" s="1" t="str">
        <f>IFERROR(MATCH(150,L_RangPaire,0),"")</f>
        <v/>
      </c>
      <c r="B153" s="24" t="str">
        <f t="shared" si="24"/>
        <v/>
      </c>
      <c r="C153" s="1" t="str">
        <f t="shared" si="25"/>
        <v/>
      </c>
      <c r="D153" s="1" t="str">
        <f t="shared" si="26"/>
        <v/>
      </c>
      <c r="E153" s="25" t="str">
        <f t="shared" si="27"/>
        <v/>
      </c>
      <c r="F153" s="1" t="str">
        <f t="shared" si="28"/>
        <v/>
      </c>
      <c r="G153" s="24" t="str">
        <f t="shared" si="29"/>
        <v/>
      </c>
      <c r="H153" s="1" t="str">
        <f t="shared" si="30"/>
        <v/>
      </c>
      <c r="I153" s="25" t="str">
        <f t="shared" si="31"/>
        <v/>
      </c>
      <c r="J153" s="1" t="str">
        <f t="shared" si="32"/>
        <v/>
      </c>
      <c r="K153" s="25" t="str">
        <f t="shared" si="33"/>
        <v/>
      </c>
      <c r="L153" s="1" t="str">
        <f t="shared" si="34"/>
        <v/>
      </c>
      <c r="M153" s="1" t="str">
        <f t="shared" si="35"/>
        <v/>
      </c>
    </row>
    <row r="154" spans="1:13" x14ac:dyDescent="0.35">
      <c r="A154" s="1" t="str">
        <f>IFERROR(MATCH(151,L_RangPaire,0),"")</f>
        <v/>
      </c>
      <c r="B154" s="24" t="str">
        <f t="shared" si="24"/>
        <v/>
      </c>
      <c r="C154" s="1" t="str">
        <f t="shared" si="25"/>
        <v/>
      </c>
      <c r="D154" s="1" t="str">
        <f t="shared" si="26"/>
        <v/>
      </c>
      <c r="E154" s="25" t="str">
        <f t="shared" si="27"/>
        <v/>
      </c>
      <c r="F154" s="1" t="str">
        <f t="shared" si="28"/>
        <v/>
      </c>
      <c r="G154" s="24" t="str">
        <f t="shared" si="29"/>
        <v/>
      </c>
      <c r="H154" s="1" t="str">
        <f t="shared" si="30"/>
        <v/>
      </c>
      <c r="I154" s="25" t="str">
        <f t="shared" si="31"/>
        <v/>
      </c>
      <c r="J154" s="1" t="str">
        <f t="shared" si="32"/>
        <v/>
      </c>
      <c r="K154" s="25" t="str">
        <f t="shared" si="33"/>
        <v/>
      </c>
      <c r="L154" s="1" t="str">
        <f t="shared" si="34"/>
        <v/>
      </c>
      <c r="M154" s="1" t="str">
        <f t="shared" si="35"/>
        <v/>
      </c>
    </row>
    <row r="155" spans="1:13" x14ac:dyDescent="0.35">
      <c r="A155" s="1" t="str">
        <f>IFERROR(MATCH(152,L_RangPaire,0),"")</f>
        <v/>
      </c>
      <c r="B155" s="24" t="str">
        <f t="shared" si="24"/>
        <v/>
      </c>
      <c r="C155" s="1" t="str">
        <f t="shared" si="25"/>
        <v/>
      </c>
      <c r="D155" s="1" t="str">
        <f t="shared" si="26"/>
        <v/>
      </c>
      <c r="E155" s="25" t="str">
        <f t="shared" si="27"/>
        <v/>
      </c>
      <c r="F155" s="1" t="str">
        <f t="shared" si="28"/>
        <v/>
      </c>
      <c r="G155" s="24" t="str">
        <f t="shared" si="29"/>
        <v/>
      </c>
      <c r="H155" s="1" t="str">
        <f t="shared" si="30"/>
        <v/>
      </c>
      <c r="I155" s="25" t="str">
        <f t="shared" si="31"/>
        <v/>
      </c>
      <c r="J155" s="1" t="str">
        <f t="shared" si="32"/>
        <v/>
      </c>
      <c r="K155" s="25" t="str">
        <f t="shared" si="33"/>
        <v/>
      </c>
      <c r="L155" s="1" t="str">
        <f t="shared" si="34"/>
        <v/>
      </c>
      <c r="M155" s="1" t="str">
        <f t="shared" si="35"/>
        <v/>
      </c>
    </row>
    <row r="156" spans="1:13" x14ac:dyDescent="0.35">
      <c r="A156" s="1" t="str">
        <f>IFERROR(MATCH(153,L_RangPaire,0),"")</f>
        <v/>
      </c>
      <c r="B156" s="24" t="str">
        <f t="shared" si="24"/>
        <v/>
      </c>
      <c r="C156" s="1" t="str">
        <f t="shared" si="25"/>
        <v/>
      </c>
      <c r="D156" s="1" t="str">
        <f t="shared" si="26"/>
        <v/>
      </c>
      <c r="E156" s="25" t="str">
        <f t="shared" si="27"/>
        <v/>
      </c>
      <c r="F156" s="1" t="str">
        <f t="shared" si="28"/>
        <v/>
      </c>
      <c r="G156" s="24" t="str">
        <f t="shared" si="29"/>
        <v/>
      </c>
      <c r="H156" s="1" t="str">
        <f t="shared" si="30"/>
        <v/>
      </c>
      <c r="I156" s="25" t="str">
        <f t="shared" si="31"/>
        <v/>
      </c>
      <c r="J156" s="1" t="str">
        <f t="shared" si="32"/>
        <v/>
      </c>
      <c r="K156" s="25" t="str">
        <f t="shared" si="33"/>
        <v/>
      </c>
      <c r="L156" s="1" t="str">
        <f t="shared" si="34"/>
        <v/>
      </c>
      <c r="M156" s="1" t="str">
        <f t="shared" si="35"/>
        <v/>
      </c>
    </row>
    <row r="157" spans="1:13" x14ac:dyDescent="0.35">
      <c r="A157" s="1" t="str">
        <f>IFERROR(MATCH(154,L_RangPaire,0),"")</f>
        <v/>
      </c>
      <c r="B157" s="24" t="str">
        <f t="shared" si="24"/>
        <v/>
      </c>
      <c r="C157" s="1" t="str">
        <f t="shared" si="25"/>
        <v/>
      </c>
      <c r="D157" s="1" t="str">
        <f t="shared" si="26"/>
        <v/>
      </c>
      <c r="E157" s="25" t="str">
        <f t="shared" si="27"/>
        <v/>
      </c>
      <c r="F157" s="1" t="str">
        <f t="shared" si="28"/>
        <v/>
      </c>
      <c r="G157" s="24" t="str">
        <f t="shared" si="29"/>
        <v/>
      </c>
      <c r="H157" s="1" t="str">
        <f t="shared" si="30"/>
        <v/>
      </c>
      <c r="I157" s="25" t="str">
        <f t="shared" si="31"/>
        <v/>
      </c>
      <c r="J157" s="1" t="str">
        <f t="shared" si="32"/>
        <v/>
      </c>
      <c r="K157" s="25" t="str">
        <f t="shared" si="33"/>
        <v/>
      </c>
      <c r="L157" s="1" t="str">
        <f t="shared" si="34"/>
        <v/>
      </c>
      <c r="M157" s="1" t="str">
        <f t="shared" si="35"/>
        <v/>
      </c>
    </row>
    <row r="158" spans="1:13" x14ac:dyDescent="0.35">
      <c r="A158" s="1" t="str">
        <f>IFERROR(MATCH(155,L_RangPaire,0),"")</f>
        <v/>
      </c>
      <c r="B158" s="24" t="str">
        <f t="shared" si="24"/>
        <v/>
      </c>
      <c r="C158" s="1" t="str">
        <f t="shared" si="25"/>
        <v/>
      </c>
      <c r="D158" s="1" t="str">
        <f t="shared" si="26"/>
        <v/>
      </c>
      <c r="E158" s="25" t="str">
        <f t="shared" si="27"/>
        <v/>
      </c>
      <c r="F158" s="1" t="str">
        <f t="shared" si="28"/>
        <v/>
      </c>
      <c r="G158" s="24" t="str">
        <f t="shared" si="29"/>
        <v/>
      </c>
      <c r="H158" s="1" t="str">
        <f t="shared" si="30"/>
        <v/>
      </c>
      <c r="I158" s="25" t="str">
        <f t="shared" si="31"/>
        <v/>
      </c>
      <c r="J158" s="1" t="str">
        <f t="shared" si="32"/>
        <v/>
      </c>
      <c r="K158" s="25" t="str">
        <f t="shared" si="33"/>
        <v/>
      </c>
      <c r="L158" s="1" t="str">
        <f t="shared" si="34"/>
        <v/>
      </c>
      <c r="M158" s="1" t="str">
        <f t="shared" si="35"/>
        <v/>
      </c>
    </row>
    <row r="159" spans="1:13" x14ac:dyDescent="0.35">
      <c r="A159" s="1" t="str">
        <f>IFERROR(MATCH(156,L_RangPaire,0),"")</f>
        <v/>
      </c>
      <c r="B159" s="24" t="str">
        <f t="shared" si="24"/>
        <v/>
      </c>
      <c r="C159" s="1" t="str">
        <f t="shared" si="25"/>
        <v/>
      </c>
      <c r="D159" s="1" t="str">
        <f t="shared" si="26"/>
        <v/>
      </c>
      <c r="E159" s="25" t="str">
        <f t="shared" si="27"/>
        <v/>
      </c>
      <c r="F159" s="1" t="str">
        <f t="shared" si="28"/>
        <v/>
      </c>
      <c r="G159" s="24" t="str">
        <f t="shared" si="29"/>
        <v/>
      </c>
      <c r="H159" s="1" t="str">
        <f t="shared" si="30"/>
        <v/>
      </c>
      <c r="I159" s="25" t="str">
        <f t="shared" si="31"/>
        <v/>
      </c>
      <c r="J159" s="1" t="str">
        <f t="shared" si="32"/>
        <v/>
      </c>
      <c r="K159" s="25" t="str">
        <f t="shared" si="33"/>
        <v/>
      </c>
      <c r="L159" s="1" t="str">
        <f t="shared" si="34"/>
        <v/>
      </c>
      <c r="M159" s="1" t="str">
        <f t="shared" si="35"/>
        <v/>
      </c>
    </row>
    <row r="160" spans="1:13" x14ac:dyDescent="0.35">
      <c r="A160" s="1" t="str">
        <f>IFERROR(MATCH(157,L_RangPaire,0),"")</f>
        <v/>
      </c>
      <c r="B160" s="24" t="str">
        <f t="shared" si="24"/>
        <v/>
      </c>
      <c r="C160" s="1" t="str">
        <f t="shared" si="25"/>
        <v/>
      </c>
      <c r="D160" s="1" t="str">
        <f t="shared" si="26"/>
        <v/>
      </c>
      <c r="E160" s="25" t="str">
        <f t="shared" si="27"/>
        <v/>
      </c>
      <c r="F160" s="1" t="str">
        <f t="shared" si="28"/>
        <v/>
      </c>
      <c r="G160" s="24" t="str">
        <f t="shared" si="29"/>
        <v/>
      </c>
      <c r="H160" s="1" t="str">
        <f t="shared" si="30"/>
        <v/>
      </c>
      <c r="I160" s="25" t="str">
        <f t="shared" si="31"/>
        <v/>
      </c>
      <c r="J160" s="1" t="str">
        <f t="shared" si="32"/>
        <v/>
      </c>
      <c r="K160" s="25" t="str">
        <f t="shared" si="33"/>
        <v/>
      </c>
      <c r="L160" s="1" t="str">
        <f t="shared" si="34"/>
        <v/>
      </c>
      <c r="M160" s="1" t="str">
        <f t="shared" si="35"/>
        <v/>
      </c>
    </row>
    <row r="161" spans="1:13" x14ac:dyDescent="0.35">
      <c r="A161" s="1" t="str">
        <f>IFERROR(MATCH(158,L_RangPaire,0),"")</f>
        <v/>
      </c>
      <c r="B161" s="24" t="str">
        <f t="shared" si="24"/>
        <v/>
      </c>
      <c r="C161" s="1" t="str">
        <f t="shared" si="25"/>
        <v/>
      </c>
      <c r="D161" s="1" t="str">
        <f t="shared" si="26"/>
        <v/>
      </c>
      <c r="E161" s="25" t="str">
        <f t="shared" si="27"/>
        <v/>
      </c>
      <c r="F161" s="1" t="str">
        <f t="shared" si="28"/>
        <v/>
      </c>
      <c r="G161" s="24" t="str">
        <f t="shared" si="29"/>
        <v/>
      </c>
      <c r="H161" s="1" t="str">
        <f t="shared" si="30"/>
        <v/>
      </c>
      <c r="I161" s="25" t="str">
        <f t="shared" si="31"/>
        <v/>
      </c>
      <c r="J161" s="1" t="str">
        <f t="shared" si="32"/>
        <v/>
      </c>
      <c r="K161" s="25" t="str">
        <f t="shared" si="33"/>
        <v/>
      </c>
      <c r="L161" s="1" t="str">
        <f t="shared" si="34"/>
        <v/>
      </c>
      <c r="M161" s="1" t="str">
        <f t="shared" si="35"/>
        <v/>
      </c>
    </row>
    <row r="162" spans="1:13" x14ac:dyDescent="0.35">
      <c r="A162" s="1" t="str">
        <f>IFERROR(MATCH(159,L_RangPaire,0),"")</f>
        <v/>
      </c>
      <c r="B162" s="24" t="str">
        <f t="shared" si="24"/>
        <v/>
      </c>
      <c r="C162" s="1" t="str">
        <f t="shared" si="25"/>
        <v/>
      </c>
      <c r="D162" s="1" t="str">
        <f t="shared" si="26"/>
        <v/>
      </c>
      <c r="E162" s="25" t="str">
        <f t="shared" si="27"/>
        <v/>
      </c>
      <c r="F162" s="1" t="str">
        <f t="shared" si="28"/>
        <v/>
      </c>
      <c r="G162" s="24" t="str">
        <f t="shared" si="29"/>
        <v/>
      </c>
      <c r="H162" s="1" t="str">
        <f t="shared" si="30"/>
        <v/>
      </c>
      <c r="I162" s="25" t="str">
        <f t="shared" si="31"/>
        <v/>
      </c>
      <c r="J162" s="1" t="str">
        <f t="shared" si="32"/>
        <v/>
      </c>
      <c r="K162" s="25" t="str">
        <f t="shared" si="33"/>
        <v/>
      </c>
      <c r="L162" s="1" t="str">
        <f t="shared" si="34"/>
        <v/>
      </c>
      <c r="M162" s="1" t="str">
        <f t="shared" si="35"/>
        <v/>
      </c>
    </row>
    <row r="163" spans="1:13" x14ac:dyDescent="0.35">
      <c r="A163" s="1" t="str">
        <f>IFERROR(MATCH(160,L_RangPaire,0),"")</f>
        <v/>
      </c>
      <c r="B163" s="24" t="str">
        <f t="shared" si="24"/>
        <v/>
      </c>
      <c r="C163" s="1" t="str">
        <f t="shared" si="25"/>
        <v/>
      </c>
      <c r="D163" s="1" t="str">
        <f t="shared" si="26"/>
        <v/>
      </c>
      <c r="E163" s="25" t="str">
        <f t="shared" si="27"/>
        <v/>
      </c>
      <c r="F163" s="1" t="str">
        <f t="shared" si="28"/>
        <v/>
      </c>
      <c r="G163" s="24" t="str">
        <f t="shared" si="29"/>
        <v/>
      </c>
      <c r="H163" s="1" t="str">
        <f t="shared" si="30"/>
        <v/>
      </c>
      <c r="I163" s="25" t="str">
        <f t="shared" si="31"/>
        <v/>
      </c>
      <c r="J163" s="1" t="str">
        <f t="shared" si="32"/>
        <v/>
      </c>
      <c r="K163" s="25" t="str">
        <f t="shared" si="33"/>
        <v/>
      </c>
      <c r="L163" s="1" t="str">
        <f t="shared" si="34"/>
        <v/>
      </c>
      <c r="M163" s="1" t="str">
        <f t="shared" si="35"/>
        <v/>
      </c>
    </row>
    <row r="164" spans="1:13" x14ac:dyDescent="0.35">
      <c r="A164" s="1" t="str">
        <f>IFERROR(MATCH(161,L_RangPaire,0),"")</f>
        <v/>
      </c>
      <c r="B164" s="24" t="str">
        <f t="shared" si="24"/>
        <v/>
      </c>
      <c r="C164" s="1" t="str">
        <f t="shared" si="25"/>
        <v/>
      </c>
      <c r="D164" s="1" t="str">
        <f t="shared" si="26"/>
        <v/>
      </c>
      <c r="E164" s="25" t="str">
        <f t="shared" si="27"/>
        <v/>
      </c>
      <c r="F164" s="1" t="str">
        <f t="shared" si="28"/>
        <v/>
      </c>
      <c r="G164" s="24" t="str">
        <f t="shared" si="29"/>
        <v/>
      </c>
      <c r="H164" s="1" t="str">
        <f t="shared" si="30"/>
        <v/>
      </c>
      <c r="I164" s="25" t="str">
        <f t="shared" si="31"/>
        <v/>
      </c>
      <c r="J164" s="1" t="str">
        <f t="shared" si="32"/>
        <v/>
      </c>
      <c r="K164" s="25" t="str">
        <f t="shared" si="33"/>
        <v/>
      </c>
      <c r="L164" s="1" t="str">
        <f t="shared" si="34"/>
        <v/>
      </c>
      <c r="M164" s="1" t="str">
        <f t="shared" si="35"/>
        <v/>
      </c>
    </row>
    <row r="165" spans="1:13" x14ac:dyDescent="0.35">
      <c r="A165" s="1" t="str">
        <f>IFERROR(MATCH(162,L_RangPaire,0),"")</f>
        <v/>
      </c>
      <c r="B165" s="24" t="str">
        <f t="shared" si="24"/>
        <v/>
      </c>
      <c r="C165" s="1" t="str">
        <f t="shared" si="25"/>
        <v/>
      </c>
      <c r="D165" s="1" t="str">
        <f t="shared" si="26"/>
        <v/>
      </c>
      <c r="E165" s="25" t="str">
        <f t="shared" si="27"/>
        <v/>
      </c>
      <c r="F165" s="1" t="str">
        <f t="shared" si="28"/>
        <v/>
      </c>
      <c r="G165" s="24" t="str">
        <f t="shared" si="29"/>
        <v/>
      </c>
      <c r="H165" s="1" t="str">
        <f t="shared" si="30"/>
        <v/>
      </c>
      <c r="I165" s="25" t="str">
        <f t="shared" si="31"/>
        <v/>
      </c>
      <c r="J165" s="1" t="str">
        <f t="shared" si="32"/>
        <v/>
      </c>
      <c r="K165" s="25" t="str">
        <f t="shared" si="33"/>
        <v/>
      </c>
      <c r="L165" s="1" t="str">
        <f t="shared" si="34"/>
        <v/>
      </c>
      <c r="M165" s="1" t="str">
        <f t="shared" si="35"/>
        <v/>
      </c>
    </row>
    <row r="166" spans="1:13" x14ac:dyDescent="0.35">
      <c r="A166" s="1" t="str">
        <f>IFERROR(MATCH(163,L_RangPaire,0),"")</f>
        <v/>
      </c>
      <c r="B166" s="24" t="str">
        <f t="shared" si="24"/>
        <v/>
      </c>
      <c r="C166" s="1" t="str">
        <f t="shared" si="25"/>
        <v/>
      </c>
      <c r="D166" s="1" t="str">
        <f t="shared" si="26"/>
        <v/>
      </c>
      <c r="E166" s="25" t="str">
        <f t="shared" si="27"/>
        <v/>
      </c>
      <c r="F166" s="1" t="str">
        <f t="shared" si="28"/>
        <v/>
      </c>
      <c r="G166" s="24" t="str">
        <f t="shared" si="29"/>
        <v/>
      </c>
      <c r="H166" s="1" t="str">
        <f t="shared" si="30"/>
        <v/>
      </c>
      <c r="I166" s="25" t="str">
        <f t="shared" si="31"/>
        <v/>
      </c>
      <c r="J166" s="1" t="str">
        <f t="shared" si="32"/>
        <v/>
      </c>
      <c r="K166" s="25" t="str">
        <f t="shared" si="33"/>
        <v/>
      </c>
      <c r="L166" s="1" t="str">
        <f t="shared" si="34"/>
        <v/>
      </c>
      <c r="M166" s="1" t="str">
        <f t="shared" si="35"/>
        <v/>
      </c>
    </row>
    <row r="167" spans="1:13" x14ac:dyDescent="0.35">
      <c r="A167" s="1" t="str">
        <f>IFERROR(MATCH(164,L_RangPaire,0),"")</f>
        <v/>
      </c>
      <c r="B167" s="24" t="str">
        <f t="shared" si="24"/>
        <v/>
      </c>
      <c r="C167" s="1" t="str">
        <f t="shared" si="25"/>
        <v/>
      </c>
      <c r="D167" s="1" t="str">
        <f t="shared" si="26"/>
        <v/>
      </c>
      <c r="E167" s="25" t="str">
        <f t="shared" si="27"/>
        <v/>
      </c>
      <c r="F167" s="1" t="str">
        <f t="shared" si="28"/>
        <v/>
      </c>
      <c r="G167" s="24" t="str">
        <f t="shared" si="29"/>
        <v/>
      </c>
      <c r="H167" s="1" t="str">
        <f t="shared" si="30"/>
        <v/>
      </c>
      <c r="I167" s="25" t="str">
        <f t="shared" si="31"/>
        <v/>
      </c>
      <c r="J167" s="1" t="str">
        <f t="shared" si="32"/>
        <v/>
      </c>
      <c r="K167" s="25" t="str">
        <f t="shared" si="33"/>
        <v/>
      </c>
      <c r="L167" s="1" t="str">
        <f t="shared" si="34"/>
        <v/>
      </c>
      <c r="M167" s="1" t="str">
        <f t="shared" si="35"/>
        <v/>
      </c>
    </row>
    <row r="168" spans="1:13" x14ac:dyDescent="0.35">
      <c r="A168" s="1" t="str">
        <f>IFERROR(MATCH(165,L_RangPaire,0),"")</f>
        <v/>
      </c>
      <c r="B168" s="24" t="str">
        <f t="shared" si="24"/>
        <v/>
      </c>
      <c r="C168" s="1" t="str">
        <f t="shared" si="25"/>
        <v/>
      </c>
      <c r="D168" s="1" t="str">
        <f t="shared" si="26"/>
        <v/>
      </c>
      <c r="E168" s="25" t="str">
        <f t="shared" si="27"/>
        <v/>
      </c>
      <c r="F168" s="1" t="str">
        <f t="shared" si="28"/>
        <v/>
      </c>
      <c r="G168" s="24" t="str">
        <f t="shared" si="29"/>
        <v/>
      </c>
      <c r="H168" s="1" t="str">
        <f t="shared" si="30"/>
        <v/>
      </c>
      <c r="I168" s="25" t="str">
        <f t="shared" si="31"/>
        <v/>
      </c>
      <c r="J168" s="1" t="str">
        <f t="shared" si="32"/>
        <v/>
      </c>
      <c r="K168" s="25" t="str">
        <f t="shared" si="33"/>
        <v/>
      </c>
      <c r="L168" s="1" t="str">
        <f t="shared" si="34"/>
        <v/>
      </c>
      <c r="M168" s="1" t="str">
        <f t="shared" si="35"/>
        <v/>
      </c>
    </row>
    <row r="169" spans="1:13" x14ac:dyDescent="0.35">
      <c r="A169" s="1" t="str">
        <f>IFERROR(MATCH(166,L_RangPaire,0),"")</f>
        <v/>
      </c>
      <c r="B169" s="24" t="str">
        <f t="shared" si="24"/>
        <v/>
      </c>
      <c r="C169" s="1" t="str">
        <f t="shared" si="25"/>
        <v/>
      </c>
      <c r="D169" s="1" t="str">
        <f t="shared" si="26"/>
        <v/>
      </c>
      <c r="E169" s="25" t="str">
        <f t="shared" si="27"/>
        <v/>
      </c>
      <c r="F169" s="1" t="str">
        <f t="shared" si="28"/>
        <v/>
      </c>
      <c r="G169" s="24" t="str">
        <f t="shared" si="29"/>
        <v/>
      </c>
      <c r="H169" s="1" t="str">
        <f t="shared" si="30"/>
        <v/>
      </c>
      <c r="I169" s="25" t="str">
        <f t="shared" si="31"/>
        <v/>
      </c>
      <c r="J169" s="1" t="str">
        <f t="shared" si="32"/>
        <v/>
      </c>
      <c r="K169" s="25" t="str">
        <f t="shared" si="33"/>
        <v/>
      </c>
      <c r="L169" s="1" t="str">
        <f t="shared" si="34"/>
        <v/>
      </c>
      <c r="M169" s="1" t="str">
        <f t="shared" si="35"/>
        <v/>
      </c>
    </row>
    <row r="170" spans="1:13" x14ac:dyDescent="0.35">
      <c r="A170" s="1" t="str">
        <f>IFERROR(MATCH(167,L_RangPaire,0),"")</f>
        <v/>
      </c>
      <c r="B170" s="24" t="str">
        <f t="shared" si="24"/>
        <v/>
      </c>
      <c r="C170" s="1" t="str">
        <f t="shared" si="25"/>
        <v/>
      </c>
      <c r="D170" s="1" t="str">
        <f t="shared" si="26"/>
        <v/>
      </c>
      <c r="E170" s="25" t="str">
        <f t="shared" si="27"/>
        <v/>
      </c>
      <c r="F170" s="1" t="str">
        <f t="shared" si="28"/>
        <v/>
      </c>
      <c r="G170" s="24" t="str">
        <f t="shared" si="29"/>
        <v/>
      </c>
      <c r="H170" s="1" t="str">
        <f t="shared" si="30"/>
        <v/>
      </c>
      <c r="I170" s="25" t="str">
        <f t="shared" si="31"/>
        <v/>
      </c>
      <c r="J170" s="1" t="str">
        <f t="shared" si="32"/>
        <v/>
      </c>
      <c r="K170" s="25" t="str">
        <f t="shared" si="33"/>
        <v/>
      </c>
      <c r="L170" s="1" t="str">
        <f t="shared" si="34"/>
        <v/>
      </c>
      <c r="M170" s="1" t="str">
        <f t="shared" si="35"/>
        <v/>
      </c>
    </row>
    <row r="171" spans="1:13" x14ac:dyDescent="0.35">
      <c r="A171" s="1" t="str">
        <f>IFERROR(MATCH(168,L_RangPaire,0),"")</f>
        <v/>
      </c>
      <c r="B171" s="24" t="str">
        <f t="shared" si="24"/>
        <v/>
      </c>
      <c r="C171" s="1" t="str">
        <f t="shared" si="25"/>
        <v/>
      </c>
      <c r="D171" s="1" t="str">
        <f t="shared" si="26"/>
        <v/>
      </c>
      <c r="E171" s="25" t="str">
        <f t="shared" si="27"/>
        <v/>
      </c>
      <c r="F171" s="1" t="str">
        <f t="shared" si="28"/>
        <v/>
      </c>
      <c r="G171" s="24" t="str">
        <f t="shared" si="29"/>
        <v/>
      </c>
      <c r="H171" s="1" t="str">
        <f t="shared" si="30"/>
        <v/>
      </c>
      <c r="I171" s="25" t="str">
        <f t="shared" si="31"/>
        <v/>
      </c>
      <c r="J171" s="1" t="str">
        <f t="shared" si="32"/>
        <v/>
      </c>
      <c r="K171" s="25" t="str">
        <f t="shared" si="33"/>
        <v/>
      </c>
      <c r="L171" s="1" t="str">
        <f t="shared" si="34"/>
        <v/>
      </c>
      <c r="M171" s="1" t="str">
        <f t="shared" si="35"/>
        <v/>
      </c>
    </row>
    <row r="172" spans="1:13" x14ac:dyDescent="0.35">
      <c r="A172" s="1" t="str">
        <f>IFERROR(MATCH(169,L_RangPaire,0),"")</f>
        <v/>
      </c>
      <c r="B172" s="24" t="str">
        <f t="shared" si="24"/>
        <v/>
      </c>
      <c r="C172" s="1" t="str">
        <f t="shared" si="25"/>
        <v/>
      </c>
      <c r="D172" s="1" t="str">
        <f t="shared" si="26"/>
        <v/>
      </c>
      <c r="E172" s="25" t="str">
        <f t="shared" si="27"/>
        <v/>
      </c>
      <c r="F172" s="1" t="str">
        <f t="shared" si="28"/>
        <v/>
      </c>
      <c r="G172" s="24" t="str">
        <f t="shared" si="29"/>
        <v/>
      </c>
      <c r="H172" s="1" t="str">
        <f t="shared" si="30"/>
        <v/>
      </c>
      <c r="I172" s="25" t="str">
        <f t="shared" si="31"/>
        <v/>
      </c>
      <c r="J172" s="1" t="str">
        <f t="shared" si="32"/>
        <v/>
      </c>
      <c r="K172" s="25" t="str">
        <f t="shared" si="33"/>
        <v/>
      </c>
      <c r="L172" s="1" t="str">
        <f t="shared" si="34"/>
        <v/>
      </c>
      <c r="M172" s="1" t="str">
        <f t="shared" si="35"/>
        <v/>
      </c>
    </row>
    <row r="173" spans="1:13" x14ac:dyDescent="0.35">
      <c r="A173" s="1" t="str">
        <f>IFERROR(MATCH(170,L_RangPaire,0),"")</f>
        <v/>
      </c>
      <c r="B173" s="24" t="str">
        <f t="shared" si="24"/>
        <v/>
      </c>
      <c r="C173" s="1" t="str">
        <f t="shared" si="25"/>
        <v/>
      </c>
      <c r="D173" s="1" t="str">
        <f t="shared" si="26"/>
        <v/>
      </c>
      <c r="E173" s="25" t="str">
        <f t="shared" si="27"/>
        <v/>
      </c>
      <c r="F173" s="1" t="str">
        <f t="shared" si="28"/>
        <v/>
      </c>
      <c r="G173" s="24" t="str">
        <f t="shared" si="29"/>
        <v/>
      </c>
      <c r="H173" s="1" t="str">
        <f t="shared" si="30"/>
        <v/>
      </c>
      <c r="I173" s="25" t="str">
        <f t="shared" si="31"/>
        <v/>
      </c>
      <c r="J173" s="1" t="str">
        <f t="shared" si="32"/>
        <v/>
      </c>
      <c r="K173" s="25" t="str">
        <f t="shared" si="33"/>
        <v/>
      </c>
      <c r="L173" s="1" t="str">
        <f t="shared" si="34"/>
        <v/>
      </c>
      <c r="M173" s="1" t="str">
        <f t="shared" si="35"/>
        <v/>
      </c>
    </row>
    <row r="174" spans="1:13" x14ac:dyDescent="0.35">
      <c r="A174" s="1" t="str">
        <f>IFERROR(MATCH(171,L_RangPaire,0),"")</f>
        <v/>
      </c>
      <c r="B174" s="24" t="str">
        <f t="shared" si="24"/>
        <v/>
      </c>
      <c r="C174" s="1" t="str">
        <f t="shared" si="25"/>
        <v/>
      </c>
      <c r="D174" s="1" t="str">
        <f t="shared" si="26"/>
        <v/>
      </c>
      <c r="E174" s="25" t="str">
        <f t="shared" si="27"/>
        <v/>
      </c>
      <c r="F174" s="1" t="str">
        <f t="shared" si="28"/>
        <v/>
      </c>
      <c r="G174" s="24" t="str">
        <f t="shared" si="29"/>
        <v/>
      </c>
      <c r="H174" s="1" t="str">
        <f t="shared" si="30"/>
        <v/>
      </c>
      <c r="I174" s="25" t="str">
        <f t="shared" si="31"/>
        <v/>
      </c>
      <c r="J174" s="1" t="str">
        <f t="shared" si="32"/>
        <v/>
      </c>
      <c r="K174" s="25" t="str">
        <f t="shared" si="33"/>
        <v/>
      </c>
      <c r="L174" s="1" t="str">
        <f t="shared" si="34"/>
        <v/>
      </c>
      <c r="M174" s="1" t="str">
        <f t="shared" si="35"/>
        <v/>
      </c>
    </row>
    <row r="175" spans="1:13" x14ac:dyDescent="0.35">
      <c r="A175" s="1" t="str">
        <f>IFERROR(MATCH(172,L_RangPaire,0),"")</f>
        <v/>
      </c>
      <c r="B175" s="24" t="str">
        <f t="shared" si="24"/>
        <v/>
      </c>
      <c r="C175" s="1" t="str">
        <f t="shared" si="25"/>
        <v/>
      </c>
      <c r="D175" s="1" t="str">
        <f t="shared" si="26"/>
        <v/>
      </c>
      <c r="E175" s="25" t="str">
        <f t="shared" si="27"/>
        <v/>
      </c>
      <c r="F175" s="1" t="str">
        <f t="shared" si="28"/>
        <v/>
      </c>
      <c r="G175" s="24" t="str">
        <f t="shared" si="29"/>
        <v/>
      </c>
      <c r="H175" s="1" t="str">
        <f t="shared" si="30"/>
        <v/>
      </c>
      <c r="I175" s="25" t="str">
        <f t="shared" si="31"/>
        <v/>
      </c>
      <c r="J175" s="1" t="str">
        <f t="shared" si="32"/>
        <v/>
      </c>
      <c r="K175" s="25" t="str">
        <f t="shared" si="33"/>
        <v/>
      </c>
      <c r="L175" s="1" t="str">
        <f t="shared" si="34"/>
        <v/>
      </c>
      <c r="M175" s="1" t="str">
        <f t="shared" si="35"/>
        <v/>
      </c>
    </row>
    <row r="176" spans="1:13" x14ac:dyDescent="0.35">
      <c r="A176" s="1" t="str">
        <f>IFERROR(MATCH(173,L_RangPaire,0),"")</f>
        <v/>
      </c>
      <c r="B176" s="24" t="str">
        <f t="shared" si="24"/>
        <v/>
      </c>
      <c r="C176" s="1" t="str">
        <f t="shared" si="25"/>
        <v/>
      </c>
      <c r="D176" s="1" t="str">
        <f t="shared" si="26"/>
        <v/>
      </c>
      <c r="E176" s="25" t="str">
        <f t="shared" si="27"/>
        <v/>
      </c>
      <c r="F176" s="1" t="str">
        <f t="shared" si="28"/>
        <v/>
      </c>
      <c r="G176" s="24" t="str">
        <f t="shared" si="29"/>
        <v/>
      </c>
      <c r="H176" s="1" t="str">
        <f t="shared" si="30"/>
        <v/>
      </c>
      <c r="I176" s="25" t="str">
        <f t="shared" si="31"/>
        <v/>
      </c>
      <c r="J176" s="1" t="str">
        <f t="shared" si="32"/>
        <v/>
      </c>
      <c r="K176" s="25" t="str">
        <f t="shared" si="33"/>
        <v/>
      </c>
      <c r="L176" s="1" t="str">
        <f t="shared" si="34"/>
        <v/>
      </c>
      <c r="M176" s="1" t="str">
        <f t="shared" si="35"/>
        <v/>
      </c>
    </row>
    <row r="177" spans="1:13" x14ac:dyDescent="0.35">
      <c r="A177" s="1" t="str">
        <f>IFERROR(MATCH(174,L_RangPaire,0),"")</f>
        <v/>
      </c>
      <c r="B177" s="24" t="str">
        <f t="shared" si="24"/>
        <v/>
      </c>
      <c r="C177" s="1" t="str">
        <f t="shared" si="25"/>
        <v/>
      </c>
      <c r="D177" s="1" t="str">
        <f t="shared" si="26"/>
        <v/>
      </c>
      <c r="E177" s="25" t="str">
        <f t="shared" si="27"/>
        <v/>
      </c>
      <c r="F177" s="1" t="str">
        <f t="shared" si="28"/>
        <v/>
      </c>
      <c r="G177" s="24" t="str">
        <f t="shared" si="29"/>
        <v/>
      </c>
      <c r="H177" s="1" t="str">
        <f t="shared" si="30"/>
        <v/>
      </c>
      <c r="I177" s="25" t="str">
        <f t="shared" si="31"/>
        <v/>
      </c>
      <c r="J177" s="1" t="str">
        <f t="shared" si="32"/>
        <v/>
      </c>
      <c r="K177" s="25" t="str">
        <f t="shared" si="33"/>
        <v/>
      </c>
      <c r="L177" s="1" t="str">
        <f t="shared" si="34"/>
        <v/>
      </c>
      <c r="M177" s="1" t="str">
        <f t="shared" si="35"/>
        <v/>
      </c>
    </row>
    <row r="178" spans="1:13" x14ac:dyDescent="0.35">
      <c r="A178" s="1" t="str">
        <f>IFERROR(MATCH(175,L_RangPaire,0),"")</f>
        <v/>
      </c>
      <c r="B178" s="24" t="str">
        <f t="shared" si="24"/>
        <v/>
      </c>
      <c r="C178" s="1" t="str">
        <f t="shared" si="25"/>
        <v/>
      </c>
      <c r="D178" s="1" t="str">
        <f t="shared" si="26"/>
        <v/>
      </c>
      <c r="E178" s="25" t="str">
        <f t="shared" si="27"/>
        <v/>
      </c>
      <c r="F178" s="1" t="str">
        <f t="shared" si="28"/>
        <v/>
      </c>
      <c r="G178" s="24" t="str">
        <f t="shared" si="29"/>
        <v/>
      </c>
      <c r="H178" s="1" t="str">
        <f t="shared" si="30"/>
        <v/>
      </c>
      <c r="I178" s="25" t="str">
        <f t="shared" si="31"/>
        <v/>
      </c>
      <c r="J178" s="1" t="str">
        <f t="shared" si="32"/>
        <v/>
      </c>
      <c r="K178" s="25" t="str">
        <f t="shared" si="33"/>
        <v/>
      </c>
      <c r="L178" s="1" t="str">
        <f t="shared" si="34"/>
        <v/>
      </c>
      <c r="M178" s="1" t="str">
        <f t="shared" si="35"/>
        <v/>
      </c>
    </row>
    <row r="179" spans="1:13" x14ac:dyDescent="0.35">
      <c r="A179" s="1" t="str">
        <f>IFERROR(MATCH(176,L_RangPaire,0),"")</f>
        <v/>
      </c>
      <c r="B179" s="24" t="str">
        <f t="shared" si="24"/>
        <v/>
      </c>
      <c r="C179" s="1" t="str">
        <f t="shared" si="25"/>
        <v/>
      </c>
      <c r="D179" s="1" t="str">
        <f t="shared" si="26"/>
        <v/>
      </c>
      <c r="E179" s="25" t="str">
        <f t="shared" si="27"/>
        <v/>
      </c>
      <c r="F179" s="1" t="str">
        <f t="shared" si="28"/>
        <v/>
      </c>
      <c r="G179" s="24" t="str">
        <f t="shared" si="29"/>
        <v/>
      </c>
      <c r="H179" s="1" t="str">
        <f t="shared" si="30"/>
        <v/>
      </c>
      <c r="I179" s="25" t="str">
        <f t="shared" si="31"/>
        <v/>
      </c>
      <c r="J179" s="1" t="str">
        <f t="shared" si="32"/>
        <v/>
      </c>
      <c r="K179" s="25" t="str">
        <f t="shared" si="33"/>
        <v/>
      </c>
      <c r="L179" s="1" t="str">
        <f t="shared" si="34"/>
        <v/>
      </c>
      <c r="M179" s="1" t="str">
        <f t="shared" si="35"/>
        <v/>
      </c>
    </row>
    <row r="180" spans="1:13" x14ac:dyDescent="0.35">
      <c r="A180" s="1" t="str">
        <f>IFERROR(MATCH(177,L_RangPaire,0),"")</f>
        <v/>
      </c>
      <c r="B180" s="24" t="str">
        <f t="shared" si="24"/>
        <v/>
      </c>
      <c r="C180" s="1" t="str">
        <f t="shared" si="25"/>
        <v/>
      </c>
      <c r="D180" s="1" t="str">
        <f t="shared" si="26"/>
        <v/>
      </c>
      <c r="E180" s="25" t="str">
        <f t="shared" si="27"/>
        <v/>
      </c>
      <c r="F180" s="1" t="str">
        <f t="shared" si="28"/>
        <v/>
      </c>
      <c r="G180" s="24" t="str">
        <f t="shared" si="29"/>
        <v/>
      </c>
      <c r="H180" s="1" t="str">
        <f t="shared" si="30"/>
        <v/>
      </c>
      <c r="I180" s="25" t="str">
        <f t="shared" si="31"/>
        <v/>
      </c>
      <c r="J180" s="1" t="str">
        <f t="shared" si="32"/>
        <v/>
      </c>
      <c r="K180" s="25" t="str">
        <f t="shared" si="33"/>
        <v/>
      </c>
      <c r="L180" s="1" t="str">
        <f t="shared" si="34"/>
        <v/>
      </c>
      <c r="M180" s="1" t="str">
        <f t="shared" si="35"/>
        <v/>
      </c>
    </row>
    <row r="181" spans="1:13" x14ac:dyDescent="0.35">
      <c r="A181" s="1" t="str">
        <f>IFERROR(MATCH(178,L_RangPaire,0),"")</f>
        <v/>
      </c>
      <c r="B181" s="24" t="str">
        <f t="shared" si="24"/>
        <v/>
      </c>
      <c r="C181" s="1" t="str">
        <f t="shared" si="25"/>
        <v/>
      </c>
      <c r="D181" s="1" t="str">
        <f t="shared" si="26"/>
        <v/>
      </c>
      <c r="E181" s="25" t="str">
        <f t="shared" si="27"/>
        <v/>
      </c>
      <c r="F181" s="1" t="str">
        <f t="shared" si="28"/>
        <v/>
      </c>
      <c r="G181" s="24" t="str">
        <f t="shared" si="29"/>
        <v/>
      </c>
      <c r="H181" s="1" t="str">
        <f t="shared" si="30"/>
        <v/>
      </c>
      <c r="I181" s="25" t="str">
        <f t="shared" si="31"/>
        <v/>
      </c>
      <c r="J181" s="1" t="str">
        <f t="shared" si="32"/>
        <v/>
      </c>
      <c r="K181" s="25" t="str">
        <f t="shared" si="33"/>
        <v/>
      </c>
      <c r="L181" s="1" t="str">
        <f t="shared" si="34"/>
        <v/>
      </c>
      <c r="M181" s="1" t="str">
        <f t="shared" si="35"/>
        <v/>
      </c>
    </row>
    <row r="182" spans="1:13" x14ac:dyDescent="0.35">
      <c r="A182" s="1" t="str">
        <f>IFERROR(MATCH(179,L_RangPaire,0),"")</f>
        <v/>
      </c>
      <c r="B182" s="24" t="str">
        <f t="shared" si="24"/>
        <v/>
      </c>
      <c r="C182" s="1" t="str">
        <f t="shared" si="25"/>
        <v/>
      </c>
      <c r="D182" s="1" t="str">
        <f t="shared" si="26"/>
        <v/>
      </c>
      <c r="E182" s="25" t="str">
        <f t="shared" si="27"/>
        <v/>
      </c>
      <c r="F182" s="1" t="str">
        <f t="shared" si="28"/>
        <v/>
      </c>
      <c r="G182" s="24" t="str">
        <f t="shared" si="29"/>
        <v/>
      </c>
      <c r="H182" s="1" t="str">
        <f t="shared" si="30"/>
        <v/>
      </c>
      <c r="I182" s="25" t="str">
        <f t="shared" si="31"/>
        <v/>
      </c>
      <c r="J182" s="1" t="str">
        <f t="shared" si="32"/>
        <v/>
      </c>
      <c r="K182" s="25" t="str">
        <f t="shared" si="33"/>
        <v/>
      </c>
      <c r="L182" s="1" t="str">
        <f t="shared" si="34"/>
        <v/>
      </c>
      <c r="M182" s="1" t="str">
        <f t="shared" si="35"/>
        <v/>
      </c>
    </row>
    <row r="183" spans="1:13" x14ac:dyDescent="0.35">
      <c r="A183" s="1" t="str">
        <f>IFERROR(MATCH(180,L_RangPaire,0),"")</f>
        <v/>
      </c>
      <c r="B183" s="24" t="str">
        <f t="shared" si="24"/>
        <v/>
      </c>
      <c r="C183" s="1" t="str">
        <f t="shared" si="25"/>
        <v/>
      </c>
      <c r="D183" s="1" t="str">
        <f t="shared" si="26"/>
        <v/>
      </c>
      <c r="E183" s="25" t="str">
        <f t="shared" si="27"/>
        <v/>
      </c>
      <c r="F183" s="1" t="str">
        <f t="shared" si="28"/>
        <v/>
      </c>
      <c r="G183" s="24" t="str">
        <f t="shared" si="29"/>
        <v/>
      </c>
      <c r="H183" s="1" t="str">
        <f t="shared" si="30"/>
        <v/>
      </c>
      <c r="I183" s="25" t="str">
        <f t="shared" si="31"/>
        <v/>
      </c>
      <c r="J183" s="1" t="str">
        <f t="shared" si="32"/>
        <v/>
      </c>
      <c r="K183" s="25" t="str">
        <f t="shared" si="33"/>
        <v/>
      </c>
      <c r="L183" s="1" t="str">
        <f t="shared" si="34"/>
        <v/>
      </c>
      <c r="M183" s="1" t="str">
        <f t="shared" si="35"/>
        <v/>
      </c>
    </row>
    <row r="184" spans="1:13" x14ac:dyDescent="0.35">
      <c r="A184" s="1" t="str">
        <f>IFERROR(MATCH(181,L_RangPaire,0),"")</f>
        <v/>
      </c>
      <c r="B184" s="24" t="str">
        <f t="shared" si="24"/>
        <v/>
      </c>
      <c r="C184" s="1" t="str">
        <f t="shared" si="25"/>
        <v/>
      </c>
      <c r="D184" s="1" t="str">
        <f t="shared" si="26"/>
        <v/>
      </c>
      <c r="E184" s="25" t="str">
        <f t="shared" si="27"/>
        <v/>
      </c>
      <c r="F184" s="1" t="str">
        <f t="shared" si="28"/>
        <v/>
      </c>
      <c r="G184" s="24" t="str">
        <f t="shared" si="29"/>
        <v/>
      </c>
      <c r="H184" s="1" t="str">
        <f t="shared" si="30"/>
        <v/>
      </c>
      <c r="I184" s="25" t="str">
        <f t="shared" si="31"/>
        <v/>
      </c>
      <c r="J184" s="1" t="str">
        <f t="shared" si="32"/>
        <v/>
      </c>
      <c r="K184" s="25" t="str">
        <f t="shared" si="33"/>
        <v/>
      </c>
      <c r="L184" s="1" t="str">
        <f t="shared" si="34"/>
        <v/>
      </c>
      <c r="M184" s="1" t="str">
        <f t="shared" si="35"/>
        <v/>
      </c>
    </row>
    <row r="185" spans="1:13" x14ac:dyDescent="0.35">
      <c r="A185" s="1" t="str">
        <f>IFERROR(MATCH(182,L_RangPaire,0),"")</f>
        <v/>
      </c>
      <c r="B185" s="24" t="str">
        <f t="shared" si="24"/>
        <v/>
      </c>
      <c r="C185" s="1" t="str">
        <f t="shared" si="25"/>
        <v/>
      </c>
      <c r="D185" s="1" t="str">
        <f t="shared" si="26"/>
        <v/>
      </c>
      <c r="E185" s="25" t="str">
        <f t="shared" si="27"/>
        <v/>
      </c>
      <c r="F185" s="1" t="str">
        <f t="shared" si="28"/>
        <v/>
      </c>
      <c r="G185" s="24" t="str">
        <f t="shared" si="29"/>
        <v/>
      </c>
      <c r="H185" s="1" t="str">
        <f t="shared" si="30"/>
        <v/>
      </c>
      <c r="I185" s="25" t="str">
        <f t="shared" si="31"/>
        <v/>
      </c>
      <c r="J185" s="1" t="str">
        <f t="shared" si="32"/>
        <v/>
      </c>
      <c r="K185" s="25" t="str">
        <f t="shared" si="33"/>
        <v/>
      </c>
      <c r="L185" s="1" t="str">
        <f t="shared" si="34"/>
        <v/>
      </c>
      <c r="M185" s="1" t="str">
        <f t="shared" si="35"/>
        <v/>
      </c>
    </row>
    <row r="186" spans="1:13" x14ac:dyDescent="0.35">
      <c r="A186" s="1" t="str">
        <f>IFERROR(MATCH(183,L_RangPaire,0),"")</f>
        <v/>
      </c>
      <c r="B186" s="24" t="str">
        <f t="shared" si="24"/>
        <v/>
      </c>
      <c r="C186" s="1" t="str">
        <f t="shared" si="25"/>
        <v/>
      </c>
      <c r="D186" s="1" t="str">
        <f t="shared" si="26"/>
        <v/>
      </c>
      <c r="E186" s="25" t="str">
        <f t="shared" si="27"/>
        <v/>
      </c>
      <c r="F186" s="1" t="str">
        <f t="shared" si="28"/>
        <v/>
      </c>
      <c r="G186" s="24" t="str">
        <f t="shared" si="29"/>
        <v/>
      </c>
      <c r="H186" s="1" t="str">
        <f t="shared" si="30"/>
        <v/>
      </c>
      <c r="I186" s="25" t="str">
        <f t="shared" si="31"/>
        <v/>
      </c>
      <c r="J186" s="1" t="str">
        <f t="shared" si="32"/>
        <v/>
      </c>
      <c r="K186" s="25" t="str">
        <f t="shared" si="33"/>
        <v/>
      </c>
      <c r="L186" s="1" t="str">
        <f t="shared" si="34"/>
        <v/>
      </c>
      <c r="M186" s="1" t="str">
        <f t="shared" si="35"/>
        <v/>
      </c>
    </row>
    <row r="187" spans="1:13" x14ac:dyDescent="0.35">
      <c r="A187" s="1" t="str">
        <f>IFERROR(MATCH(184,L_RangPaire,0),"")</f>
        <v/>
      </c>
      <c r="B187" s="24" t="str">
        <f t="shared" si="24"/>
        <v/>
      </c>
      <c r="C187" s="1" t="str">
        <f t="shared" si="25"/>
        <v/>
      </c>
      <c r="D187" s="1" t="str">
        <f t="shared" si="26"/>
        <v/>
      </c>
      <c r="E187" s="25" t="str">
        <f t="shared" si="27"/>
        <v/>
      </c>
      <c r="F187" s="1" t="str">
        <f t="shared" si="28"/>
        <v/>
      </c>
      <c r="G187" s="24" t="str">
        <f t="shared" si="29"/>
        <v/>
      </c>
      <c r="H187" s="1" t="str">
        <f t="shared" si="30"/>
        <v/>
      </c>
      <c r="I187" s="25" t="str">
        <f t="shared" si="31"/>
        <v/>
      </c>
      <c r="J187" s="1" t="str">
        <f t="shared" si="32"/>
        <v/>
      </c>
      <c r="K187" s="25" t="str">
        <f t="shared" si="33"/>
        <v/>
      </c>
      <c r="L187" s="1" t="str">
        <f t="shared" si="34"/>
        <v/>
      </c>
      <c r="M187" s="1" t="str">
        <f t="shared" si="35"/>
        <v/>
      </c>
    </row>
    <row r="188" spans="1:13" x14ac:dyDescent="0.35">
      <c r="A188" s="1" t="str">
        <f>IFERROR(MATCH(185,L_RangPaire,0),"")</f>
        <v/>
      </c>
      <c r="B188" s="24" t="str">
        <f t="shared" si="24"/>
        <v/>
      </c>
      <c r="C188" s="1" t="str">
        <f t="shared" si="25"/>
        <v/>
      </c>
      <c r="D188" s="1" t="str">
        <f t="shared" si="26"/>
        <v/>
      </c>
      <c r="E188" s="25" t="str">
        <f t="shared" si="27"/>
        <v/>
      </c>
      <c r="F188" s="1" t="str">
        <f t="shared" si="28"/>
        <v/>
      </c>
      <c r="G188" s="24" t="str">
        <f t="shared" si="29"/>
        <v/>
      </c>
      <c r="H188" s="1" t="str">
        <f t="shared" si="30"/>
        <v/>
      </c>
      <c r="I188" s="25" t="str">
        <f t="shared" si="31"/>
        <v/>
      </c>
      <c r="J188" s="1" t="str">
        <f t="shared" si="32"/>
        <v/>
      </c>
      <c r="K188" s="25" t="str">
        <f t="shared" si="33"/>
        <v/>
      </c>
      <c r="L188" s="1" t="str">
        <f t="shared" si="34"/>
        <v/>
      </c>
      <c r="M188" s="1" t="str">
        <f t="shared" si="35"/>
        <v/>
      </c>
    </row>
    <row r="189" spans="1:13" x14ac:dyDescent="0.35">
      <c r="A189" s="1" t="str">
        <f>IFERROR(MATCH(186,L_RangPaire,0),"")</f>
        <v/>
      </c>
      <c r="B189" s="24" t="str">
        <f t="shared" si="24"/>
        <v/>
      </c>
      <c r="C189" s="1" t="str">
        <f t="shared" si="25"/>
        <v/>
      </c>
      <c r="D189" s="1" t="str">
        <f t="shared" si="26"/>
        <v/>
      </c>
      <c r="E189" s="25" t="str">
        <f t="shared" si="27"/>
        <v/>
      </c>
      <c r="F189" s="1" t="str">
        <f t="shared" si="28"/>
        <v/>
      </c>
      <c r="G189" s="24" t="str">
        <f t="shared" si="29"/>
        <v/>
      </c>
      <c r="H189" s="1" t="str">
        <f t="shared" si="30"/>
        <v/>
      </c>
      <c r="I189" s="25" t="str">
        <f t="shared" si="31"/>
        <v/>
      </c>
      <c r="J189" s="1" t="str">
        <f t="shared" si="32"/>
        <v/>
      </c>
      <c r="K189" s="25" t="str">
        <f t="shared" si="33"/>
        <v/>
      </c>
      <c r="L189" s="1" t="str">
        <f t="shared" si="34"/>
        <v/>
      </c>
      <c r="M189" s="1" t="str">
        <f t="shared" si="35"/>
        <v/>
      </c>
    </row>
    <row r="190" spans="1:13" x14ac:dyDescent="0.35">
      <c r="A190" s="1" t="str">
        <f>IFERROR(MATCH(187,L_RangPaire,0),"")</f>
        <v/>
      </c>
      <c r="B190" s="24" t="str">
        <f t="shared" si="24"/>
        <v/>
      </c>
      <c r="C190" s="1" t="str">
        <f t="shared" si="25"/>
        <v/>
      </c>
      <c r="D190" s="1" t="str">
        <f t="shared" si="26"/>
        <v/>
      </c>
      <c r="E190" s="25" t="str">
        <f t="shared" si="27"/>
        <v/>
      </c>
      <c r="F190" s="1" t="str">
        <f t="shared" si="28"/>
        <v/>
      </c>
      <c r="G190" s="24" t="str">
        <f t="shared" si="29"/>
        <v/>
      </c>
      <c r="H190" s="1" t="str">
        <f t="shared" si="30"/>
        <v/>
      </c>
      <c r="I190" s="25" t="str">
        <f t="shared" si="31"/>
        <v/>
      </c>
      <c r="J190" s="1" t="str">
        <f t="shared" si="32"/>
        <v/>
      </c>
      <c r="K190" s="25" t="str">
        <f t="shared" si="33"/>
        <v/>
      </c>
      <c r="L190" s="1" t="str">
        <f t="shared" si="34"/>
        <v/>
      </c>
      <c r="M190" s="1" t="str">
        <f t="shared" si="35"/>
        <v/>
      </c>
    </row>
    <row r="191" spans="1:13" x14ac:dyDescent="0.35">
      <c r="A191" s="1" t="str">
        <f>IFERROR(MATCH(188,L_RangPaire,0),"")</f>
        <v/>
      </c>
      <c r="B191" s="24" t="str">
        <f t="shared" si="24"/>
        <v/>
      </c>
      <c r="C191" s="1" t="str">
        <f t="shared" si="25"/>
        <v/>
      </c>
      <c r="D191" s="1" t="str">
        <f t="shared" si="26"/>
        <v/>
      </c>
      <c r="E191" s="25" t="str">
        <f t="shared" si="27"/>
        <v/>
      </c>
      <c r="F191" s="1" t="str">
        <f t="shared" si="28"/>
        <v/>
      </c>
      <c r="G191" s="24" t="str">
        <f t="shared" si="29"/>
        <v/>
      </c>
      <c r="H191" s="1" t="str">
        <f t="shared" si="30"/>
        <v/>
      </c>
      <c r="I191" s="25" t="str">
        <f t="shared" si="31"/>
        <v/>
      </c>
      <c r="J191" s="1" t="str">
        <f t="shared" si="32"/>
        <v/>
      </c>
      <c r="K191" s="25" t="str">
        <f t="shared" si="33"/>
        <v/>
      </c>
      <c r="L191" s="1" t="str">
        <f t="shared" si="34"/>
        <v/>
      </c>
      <c r="M191" s="1" t="str">
        <f t="shared" si="35"/>
        <v/>
      </c>
    </row>
    <row r="192" spans="1:13" x14ac:dyDescent="0.35">
      <c r="A192" s="1" t="str">
        <f>IFERROR(MATCH(189,L_RangPaire,0),"")</f>
        <v/>
      </c>
      <c r="B192" s="24" t="str">
        <f t="shared" si="24"/>
        <v/>
      </c>
      <c r="C192" s="1" t="str">
        <f t="shared" si="25"/>
        <v/>
      </c>
      <c r="D192" s="1" t="str">
        <f t="shared" si="26"/>
        <v/>
      </c>
      <c r="E192" s="25" t="str">
        <f t="shared" si="27"/>
        <v/>
      </c>
      <c r="F192" s="1" t="str">
        <f t="shared" si="28"/>
        <v/>
      </c>
      <c r="G192" s="24" t="str">
        <f t="shared" si="29"/>
        <v/>
      </c>
      <c r="H192" s="1" t="str">
        <f t="shared" si="30"/>
        <v/>
      </c>
      <c r="I192" s="25" t="str">
        <f t="shared" si="31"/>
        <v/>
      </c>
      <c r="J192" s="1" t="str">
        <f t="shared" si="32"/>
        <v/>
      </c>
      <c r="K192" s="25" t="str">
        <f t="shared" si="33"/>
        <v/>
      </c>
      <c r="L192" s="1" t="str">
        <f t="shared" si="34"/>
        <v/>
      </c>
      <c r="M192" s="1" t="str">
        <f t="shared" si="35"/>
        <v/>
      </c>
    </row>
    <row r="193" spans="1:13" x14ac:dyDescent="0.35">
      <c r="A193" s="1" t="str">
        <f>IFERROR(MATCH(190,L_RangPaire,0),"")</f>
        <v/>
      </c>
      <c r="B193" s="24" t="str">
        <f t="shared" si="24"/>
        <v/>
      </c>
      <c r="C193" s="1" t="str">
        <f t="shared" si="25"/>
        <v/>
      </c>
      <c r="D193" s="1" t="str">
        <f t="shared" si="26"/>
        <v/>
      </c>
      <c r="E193" s="25" t="str">
        <f t="shared" si="27"/>
        <v/>
      </c>
      <c r="F193" s="1" t="str">
        <f t="shared" si="28"/>
        <v/>
      </c>
      <c r="G193" s="24" t="str">
        <f t="shared" si="29"/>
        <v/>
      </c>
      <c r="H193" s="1" t="str">
        <f t="shared" si="30"/>
        <v/>
      </c>
      <c r="I193" s="25" t="str">
        <f t="shared" si="31"/>
        <v/>
      </c>
      <c r="J193" s="1" t="str">
        <f t="shared" si="32"/>
        <v/>
      </c>
      <c r="K193" s="25" t="str">
        <f t="shared" si="33"/>
        <v/>
      </c>
      <c r="L193" s="1" t="str">
        <f t="shared" si="34"/>
        <v/>
      </c>
      <c r="M193" s="1" t="str">
        <f t="shared" si="35"/>
        <v/>
      </c>
    </row>
    <row r="194" spans="1:13" x14ac:dyDescent="0.35">
      <c r="A194" s="1" t="str">
        <f>IFERROR(MATCH(191,L_RangPaire,0),"")</f>
        <v/>
      </c>
      <c r="B194" s="24" t="str">
        <f t="shared" si="24"/>
        <v/>
      </c>
      <c r="C194" s="1" t="str">
        <f t="shared" si="25"/>
        <v/>
      </c>
      <c r="D194" s="1" t="str">
        <f t="shared" si="26"/>
        <v/>
      </c>
      <c r="E194" s="25" t="str">
        <f t="shared" si="27"/>
        <v/>
      </c>
      <c r="F194" s="1" t="str">
        <f t="shared" si="28"/>
        <v/>
      </c>
      <c r="G194" s="24" t="str">
        <f t="shared" si="29"/>
        <v/>
      </c>
      <c r="H194" s="1" t="str">
        <f t="shared" si="30"/>
        <v/>
      </c>
      <c r="I194" s="25" t="str">
        <f t="shared" si="31"/>
        <v/>
      </c>
      <c r="J194" s="1" t="str">
        <f t="shared" si="32"/>
        <v/>
      </c>
      <c r="K194" s="25" t="str">
        <f t="shared" si="33"/>
        <v/>
      </c>
      <c r="L194" s="1" t="str">
        <f t="shared" si="34"/>
        <v/>
      </c>
      <c r="M194" s="1" t="str">
        <f t="shared" si="35"/>
        <v/>
      </c>
    </row>
    <row r="195" spans="1:13" x14ac:dyDescent="0.35">
      <c r="A195" s="1" t="str">
        <f>IFERROR(MATCH(192,L_RangPaire,0),"")</f>
        <v/>
      </c>
      <c r="B195" s="24" t="str">
        <f t="shared" si="24"/>
        <v/>
      </c>
      <c r="C195" s="1" t="str">
        <f t="shared" si="25"/>
        <v/>
      </c>
      <c r="D195" s="1" t="str">
        <f t="shared" si="26"/>
        <v/>
      </c>
      <c r="E195" s="25" t="str">
        <f t="shared" si="27"/>
        <v/>
      </c>
      <c r="F195" s="1" t="str">
        <f t="shared" si="28"/>
        <v/>
      </c>
      <c r="G195" s="24" t="str">
        <f t="shared" si="29"/>
        <v/>
      </c>
      <c r="H195" s="1" t="str">
        <f t="shared" si="30"/>
        <v/>
      </c>
      <c r="I195" s="25" t="str">
        <f t="shared" si="31"/>
        <v/>
      </c>
      <c r="J195" s="1" t="str">
        <f t="shared" si="32"/>
        <v/>
      </c>
      <c r="K195" s="25" t="str">
        <f t="shared" si="33"/>
        <v/>
      </c>
      <c r="L195" s="1" t="str">
        <f t="shared" si="34"/>
        <v/>
      </c>
      <c r="M195" s="1" t="str">
        <f t="shared" si="35"/>
        <v/>
      </c>
    </row>
    <row r="196" spans="1:13" x14ac:dyDescent="0.35">
      <c r="A196" s="1" t="str">
        <f>IFERROR(MATCH(193,L_RangPaire,0),"")</f>
        <v/>
      </c>
      <c r="B196" s="24" t="str">
        <f t="shared" ref="B196:B259" si="36">IF(A196="","",INDEX(L_Date,A196))</f>
        <v/>
      </c>
      <c r="C196" s="1" t="str">
        <f t="shared" ref="C196:C259" si="37">IF(A196="","",INDEX(L_Ref,A196)&amp;"")</f>
        <v/>
      </c>
      <c r="D196" s="1" t="str">
        <f t="shared" ref="D196:D259" si="38">IF(A196="","",INDEX(L_Motif,A196))</f>
        <v/>
      </c>
      <c r="E196" s="25" t="str">
        <f t="shared" ref="E196:E259" si="39">IF(A196="","",INDEX(L_Montant,A196))</f>
        <v/>
      </c>
      <c r="F196" s="1" t="str">
        <f t="shared" ref="F196:F259" si="40">IF(A196="","",INDEX(L_Banque,A196))</f>
        <v/>
      </c>
      <c r="G196" s="24" t="str">
        <f t="shared" ref="G196:G259" si="41">IF(F196="","",INDEX(B_Date,F196))</f>
        <v/>
      </c>
      <c r="H196" s="1" t="str">
        <f t="shared" ref="H196:H259" si="42">IF(F196="","",INDEX(B_Lib,F196))</f>
        <v/>
      </c>
      <c r="I196" s="25" t="str">
        <f t="shared" ref="I196:I259" si="43">IF(F196="","",INDEX(B_Montant,F196))</f>
        <v/>
      </c>
      <c r="J196" s="1" t="str">
        <f t="shared" ref="J196:J259" si="44">IF(A196="","",INDEX(L_DJ,A196))</f>
        <v/>
      </c>
      <c r="K196" s="25" t="str">
        <f t="shared" ref="K196:K259" si="45">IF(A196="","",INDEX(L_DM,A196))</f>
        <v/>
      </c>
      <c r="L196" s="1" t="str">
        <f t="shared" ref="L196:L259" si="46">IF(A196="","",INDEX(L_Score,A196))</f>
        <v/>
      </c>
      <c r="M196" s="1" t="str">
        <f t="shared" ref="M196:M259" si="47">IF(A196="","",INDEX(L_Statut,A196))</f>
        <v/>
      </c>
    </row>
    <row r="197" spans="1:13" x14ac:dyDescent="0.35">
      <c r="A197" s="1" t="str">
        <f>IFERROR(MATCH(194,L_RangPaire,0),"")</f>
        <v/>
      </c>
      <c r="B197" s="24" t="str">
        <f t="shared" si="36"/>
        <v/>
      </c>
      <c r="C197" s="1" t="str">
        <f t="shared" si="37"/>
        <v/>
      </c>
      <c r="D197" s="1" t="str">
        <f t="shared" si="38"/>
        <v/>
      </c>
      <c r="E197" s="25" t="str">
        <f t="shared" si="39"/>
        <v/>
      </c>
      <c r="F197" s="1" t="str">
        <f t="shared" si="40"/>
        <v/>
      </c>
      <c r="G197" s="24" t="str">
        <f t="shared" si="41"/>
        <v/>
      </c>
      <c r="H197" s="1" t="str">
        <f t="shared" si="42"/>
        <v/>
      </c>
      <c r="I197" s="25" t="str">
        <f t="shared" si="43"/>
        <v/>
      </c>
      <c r="J197" s="1" t="str">
        <f t="shared" si="44"/>
        <v/>
      </c>
      <c r="K197" s="25" t="str">
        <f t="shared" si="45"/>
        <v/>
      </c>
      <c r="L197" s="1" t="str">
        <f t="shared" si="46"/>
        <v/>
      </c>
      <c r="M197" s="1" t="str">
        <f t="shared" si="47"/>
        <v/>
      </c>
    </row>
    <row r="198" spans="1:13" x14ac:dyDescent="0.35">
      <c r="A198" s="1" t="str">
        <f>IFERROR(MATCH(195,L_RangPaire,0),"")</f>
        <v/>
      </c>
      <c r="B198" s="24" t="str">
        <f t="shared" si="36"/>
        <v/>
      </c>
      <c r="C198" s="1" t="str">
        <f t="shared" si="37"/>
        <v/>
      </c>
      <c r="D198" s="1" t="str">
        <f t="shared" si="38"/>
        <v/>
      </c>
      <c r="E198" s="25" t="str">
        <f t="shared" si="39"/>
        <v/>
      </c>
      <c r="F198" s="1" t="str">
        <f t="shared" si="40"/>
        <v/>
      </c>
      <c r="G198" s="24" t="str">
        <f t="shared" si="41"/>
        <v/>
      </c>
      <c r="H198" s="1" t="str">
        <f t="shared" si="42"/>
        <v/>
      </c>
      <c r="I198" s="25" t="str">
        <f t="shared" si="43"/>
        <v/>
      </c>
      <c r="J198" s="1" t="str">
        <f t="shared" si="44"/>
        <v/>
      </c>
      <c r="K198" s="25" t="str">
        <f t="shared" si="45"/>
        <v/>
      </c>
      <c r="L198" s="1" t="str">
        <f t="shared" si="46"/>
        <v/>
      </c>
      <c r="M198" s="1" t="str">
        <f t="shared" si="47"/>
        <v/>
      </c>
    </row>
    <row r="199" spans="1:13" x14ac:dyDescent="0.35">
      <c r="A199" s="1" t="str">
        <f>IFERROR(MATCH(196,L_RangPaire,0),"")</f>
        <v/>
      </c>
      <c r="B199" s="24" t="str">
        <f t="shared" si="36"/>
        <v/>
      </c>
      <c r="C199" s="1" t="str">
        <f t="shared" si="37"/>
        <v/>
      </c>
      <c r="D199" s="1" t="str">
        <f t="shared" si="38"/>
        <v/>
      </c>
      <c r="E199" s="25" t="str">
        <f t="shared" si="39"/>
        <v/>
      </c>
      <c r="F199" s="1" t="str">
        <f t="shared" si="40"/>
        <v/>
      </c>
      <c r="G199" s="24" t="str">
        <f t="shared" si="41"/>
        <v/>
      </c>
      <c r="H199" s="1" t="str">
        <f t="shared" si="42"/>
        <v/>
      </c>
      <c r="I199" s="25" t="str">
        <f t="shared" si="43"/>
        <v/>
      </c>
      <c r="J199" s="1" t="str">
        <f t="shared" si="44"/>
        <v/>
      </c>
      <c r="K199" s="25" t="str">
        <f t="shared" si="45"/>
        <v/>
      </c>
      <c r="L199" s="1" t="str">
        <f t="shared" si="46"/>
        <v/>
      </c>
      <c r="M199" s="1" t="str">
        <f t="shared" si="47"/>
        <v/>
      </c>
    </row>
    <row r="200" spans="1:13" x14ac:dyDescent="0.35">
      <c r="A200" s="1" t="str">
        <f>IFERROR(MATCH(197,L_RangPaire,0),"")</f>
        <v/>
      </c>
      <c r="B200" s="24" t="str">
        <f t="shared" si="36"/>
        <v/>
      </c>
      <c r="C200" s="1" t="str">
        <f t="shared" si="37"/>
        <v/>
      </c>
      <c r="D200" s="1" t="str">
        <f t="shared" si="38"/>
        <v/>
      </c>
      <c r="E200" s="25" t="str">
        <f t="shared" si="39"/>
        <v/>
      </c>
      <c r="F200" s="1" t="str">
        <f t="shared" si="40"/>
        <v/>
      </c>
      <c r="G200" s="24" t="str">
        <f t="shared" si="41"/>
        <v/>
      </c>
      <c r="H200" s="1" t="str">
        <f t="shared" si="42"/>
        <v/>
      </c>
      <c r="I200" s="25" t="str">
        <f t="shared" si="43"/>
        <v/>
      </c>
      <c r="J200" s="1" t="str">
        <f t="shared" si="44"/>
        <v/>
      </c>
      <c r="K200" s="25" t="str">
        <f t="shared" si="45"/>
        <v/>
      </c>
      <c r="L200" s="1" t="str">
        <f t="shared" si="46"/>
        <v/>
      </c>
      <c r="M200" s="1" t="str">
        <f t="shared" si="47"/>
        <v/>
      </c>
    </row>
    <row r="201" spans="1:13" x14ac:dyDescent="0.35">
      <c r="A201" s="1" t="str">
        <f>IFERROR(MATCH(198,L_RangPaire,0),"")</f>
        <v/>
      </c>
      <c r="B201" s="24" t="str">
        <f t="shared" si="36"/>
        <v/>
      </c>
      <c r="C201" s="1" t="str">
        <f t="shared" si="37"/>
        <v/>
      </c>
      <c r="D201" s="1" t="str">
        <f t="shared" si="38"/>
        <v/>
      </c>
      <c r="E201" s="25" t="str">
        <f t="shared" si="39"/>
        <v/>
      </c>
      <c r="F201" s="1" t="str">
        <f t="shared" si="40"/>
        <v/>
      </c>
      <c r="G201" s="24" t="str">
        <f t="shared" si="41"/>
        <v/>
      </c>
      <c r="H201" s="1" t="str">
        <f t="shared" si="42"/>
        <v/>
      </c>
      <c r="I201" s="25" t="str">
        <f t="shared" si="43"/>
        <v/>
      </c>
      <c r="J201" s="1" t="str">
        <f t="shared" si="44"/>
        <v/>
      </c>
      <c r="K201" s="25" t="str">
        <f t="shared" si="45"/>
        <v/>
      </c>
      <c r="L201" s="1" t="str">
        <f t="shared" si="46"/>
        <v/>
      </c>
      <c r="M201" s="1" t="str">
        <f t="shared" si="47"/>
        <v/>
      </c>
    </row>
    <row r="202" spans="1:13" x14ac:dyDescent="0.35">
      <c r="A202" s="1" t="str">
        <f>IFERROR(MATCH(199,L_RangPaire,0),"")</f>
        <v/>
      </c>
      <c r="B202" s="24" t="str">
        <f t="shared" si="36"/>
        <v/>
      </c>
      <c r="C202" s="1" t="str">
        <f t="shared" si="37"/>
        <v/>
      </c>
      <c r="D202" s="1" t="str">
        <f t="shared" si="38"/>
        <v/>
      </c>
      <c r="E202" s="25" t="str">
        <f t="shared" si="39"/>
        <v/>
      </c>
      <c r="F202" s="1" t="str">
        <f t="shared" si="40"/>
        <v/>
      </c>
      <c r="G202" s="24" t="str">
        <f t="shared" si="41"/>
        <v/>
      </c>
      <c r="H202" s="1" t="str">
        <f t="shared" si="42"/>
        <v/>
      </c>
      <c r="I202" s="25" t="str">
        <f t="shared" si="43"/>
        <v/>
      </c>
      <c r="J202" s="1" t="str">
        <f t="shared" si="44"/>
        <v/>
      </c>
      <c r="K202" s="25" t="str">
        <f t="shared" si="45"/>
        <v/>
      </c>
      <c r="L202" s="1" t="str">
        <f t="shared" si="46"/>
        <v/>
      </c>
      <c r="M202" s="1" t="str">
        <f t="shared" si="47"/>
        <v/>
      </c>
    </row>
    <row r="203" spans="1:13" x14ac:dyDescent="0.35">
      <c r="A203" s="1" t="str">
        <f>IFERROR(MATCH(200,L_RangPaire,0),"")</f>
        <v/>
      </c>
      <c r="B203" s="24" t="str">
        <f t="shared" si="36"/>
        <v/>
      </c>
      <c r="C203" s="1" t="str">
        <f t="shared" si="37"/>
        <v/>
      </c>
      <c r="D203" s="1" t="str">
        <f t="shared" si="38"/>
        <v/>
      </c>
      <c r="E203" s="25" t="str">
        <f t="shared" si="39"/>
        <v/>
      </c>
      <c r="F203" s="1" t="str">
        <f t="shared" si="40"/>
        <v/>
      </c>
      <c r="G203" s="24" t="str">
        <f t="shared" si="41"/>
        <v/>
      </c>
      <c r="H203" s="1" t="str">
        <f t="shared" si="42"/>
        <v/>
      </c>
      <c r="I203" s="25" t="str">
        <f t="shared" si="43"/>
        <v/>
      </c>
      <c r="J203" s="1" t="str">
        <f t="shared" si="44"/>
        <v/>
      </c>
      <c r="K203" s="25" t="str">
        <f t="shared" si="45"/>
        <v/>
      </c>
      <c r="L203" s="1" t="str">
        <f t="shared" si="46"/>
        <v/>
      </c>
      <c r="M203" s="1" t="str">
        <f t="shared" si="47"/>
        <v/>
      </c>
    </row>
    <row r="204" spans="1:13" x14ac:dyDescent="0.35">
      <c r="A204" s="1" t="str">
        <f>IFERROR(MATCH(201,L_RangPaire,0),"")</f>
        <v/>
      </c>
      <c r="B204" s="24" t="str">
        <f t="shared" si="36"/>
        <v/>
      </c>
      <c r="C204" s="1" t="str">
        <f t="shared" si="37"/>
        <v/>
      </c>
      <c r="D204" s="1" t="str">
        <f t="shared" si="38"/>
        <v/>
      </c>
      <c r="E204" s="25" t="str">
        <f t="shared" si="39"/>
        <v/>
      </c>
      <c r="F204" s="1" t="str">
        <f t="shared" si="40"/>
        <v/>
      </c>
      <c r="G204" s="24" t="str">
        <f t="shared" si="41"/>
        <v/>
      </c>
      <c r="H204" s="1" t="str">
        <f t="shared" si="42"/>
        <v/>
      </c>
      <c r="I204" s="25" t="str">
        <f t="shared" si="43"/>
        <v/>
      </c>
      <c r="J204" s="1" t="str">
        <f t="shared" si="44"/>
        <v/>
      </c>
      <c r="K204" s="25" t="str">
        <f t="shared" si="45"/>
        <v/>
      </c>
      <c r="L204" s="1" t="str">
        <f t="shared" si="46"/>
        <v/>
      </c>
      <c r="M204" s="1" t="str">
        <f t="shared" si="47"/>
        <v/>
      </c>
    </row>
    <row r="205" spans="1:13" x14ac:dyDescent="0.35">
      <c r="A205" s="1" t="str">
        <f>IFERROR(MATCH(202,L_RangPaire,0),"")</f>
        <v/>
      </c>
      <c r="B205" s="24" t="str">
        <f t="shared" si="36"/>
        <v/>
      </c>
      <c r="C205" s="1" t="str">
        <f t="shared" si="37"/>
        <v/>
      </c>
      <c r="D205" s="1" t="str">
        <f t="shared" si="38"/>
        <v/>
      </c>
      <c r="E205" s="25" t="str">
        <f t="shared" si="39"/>
        <v/>
      </c>
      <c r="F205" s="1" t="str">
        <f t="shared" si="40"/>
        <v/>
      </c>
      <c r="G205" s="24" t="str">
        <f t="shared" si="41"/>
        <v/>
      </c>
      <c r="H205" s="1" t="str">
        <f t="shared" si="42"/>
        <v/>
      </c>
      <c r="I205" s="25" t="str">
        <f t="shared" si="43"/>
        <v/>
      </c>
      <c r="J205" s="1" t="str">
        <f t="shared" si="44"/>
        <v/>
      </c>
      <c r="K205" s="25" t="str">
        <f t="shared" si="45"/>
        <v/>
      </c>
      <c r="L205" s="1" t="str">
        <f t="shared" si="46"/>
        <v/>
      </c>
      <c r="M205" s="1" t="str">
        <f t="shared" si="47"/>
        <v/>
      </c>
    </row>
    <row r="206" spans="1:13" x14ac:dyDescent="0.35">
      <c r="A206" s="1" t="str">
        <f>IFERROR(MATCH(203,L_RangPaire,0),"")</f>
        <v/>
      </c>
      <c r="B206" s="24" t="str">
        <f t="shared" si="36"/>
        <v/>
      </c>
      <c r="C206" s="1" t="str">
        <f t="shared" si="37"/>
        <v/>
      </c>
      <c r="D206" s="1" t="str">
        <f t="shared" si="38"/>
        <v/>
      </c>
      <c r="E206" s="25" t="str">
        <f t="shared" si="39"/>
        <v/>
      </c>
      <c r="F206" s="1" t="str">
        <f t="shared" si="40"/>
        <v/>
      </c>
      <c r="G206" s="24" t="str">
        <f t="shared" si="41"/>
        <v/>
      </c>
      <c r="H206" s="1" t="str">
        <f t="shared" si="42"/>
        <v/>
      </c>
      <c r="I206" s="25" t="str">
        <f t="shared" si="43"/>
        <v/>
      </c>
      <c r="J206" s="1" t="str">
        <f t="shared" si="44"/>
        <v/>
      </c>
      <c r="K206" s="25" t="str">
        <f t="shared" si="45"/>
        <v/>
      </c>
      <c r="L206" s="1" t="str">
        <f t="shared" si="46"/>
        <v/>
      </c>
      <c r="M206" s="1" t="str">
        <f t="shared" si="47"/>
        <v/>
      </c>
    </row>
    <row r="207" spans="1:13" x14ac:dyDescent="0.35">
      <c r="A207" s="1" t="str">
        <f>IFERROR(MATCH(204,L_RangPaire,0),"")</f>
        <v/>
      </c>
      <c r="B207" s="24" t="str">
        <f t="shared" si="36"/>
        <v/>
      </c>
      <c r="C207" s="1" t="str">
        <f t="shared" si="37"/>
        <v/>
      </c>
      <c r="D207" s="1" t="str">
        <f t="shared" si="38"/>
        <v/>
      </c>
      <c r="E207" s="25" t="str">
        <f t="shared" si="39"/>
        <v/>
      </c>
      <c r="F207" s="1" t="str">
        <f t="shared" si="40"/>
        <v/>
      </c>
      <c r="G207" s="24" t="str">
        <f t="shared" si="41"/>
        <v/>
      </c>
      <c r="H207" s="1" t="str">
        <f t="shared" si="42"/>
        <v/>
      </c>
      <c r="I207" s="25" t="str">
        <f t="shared" si="43"/>
        <v/>
      </c>
      <c r="J207" s="1" t="str">
        <f t="shared" si="44"/>
        <v/>
      </c>
      <c r="K207" s="25" t="str">
        <f t="shared" si="45"/>
        <v/>
      </c>
      <c r="L207" s="1" t="str">
        <f t="shared" si="46"/>
        <v/>
      </c>
      <c r="M207" s="1" t="str">
        <f t="shared" si="47"/>
        <v/>
      </c>
    </row>
    <row r="208" spans="1:13" x14ac:dyDescent="0.35">
      <c r="A208" s="1" t="str">
        <f>IFERROR(MATCH(205,L_RangPaire,0),"")</f>
        <v/>
      </c>
      <c r="B208" s="24" t="str">
        <f t="shared" si="36"/>
        <v/>
      </c>
      <c r="C208" s="1" t="str">
        <f t="shared" si="37"/>
        <v/>
      </c>
      <c r="D208" s="1" t="str">
        <f t="shared" si="38"/>
        <v/>
      </c>
      <c r="E208" s="25" t="str">
        <f t="shared" si="39"/>
        <v/>
      </c>
      <c r="F208" s="1" t="str">
        <f t="shared" si="40"/>
        <v/>
      </c>
      <c r="G208" s="24" t="str">
        <f t="shared" si="41"/>
        <v/>
      </c>
      <c r="H208" s="1" t="str">
        <f t="shared" si="42"/>
        <v/>
      </c>
      <c r="I208" s="25" t="str">
        <f t="shared" si="43"/>
        <v/>
      </c>
      <c r="J208" s="1" t="str">
        <f t="shared" si="44"/>
        <v/>
      </c>
      <c r="K208" s="25" t="str">
        <f t="shared" si="45"/>
        <v/>
      </c>
      <c r="L208" s="1" t="str">
        <f t="shared" si="46"/>
        <v/>
      </c>
      <c r="M208" s="1" t="str">
        <f t="shared" si="47"/>
        <v/>
      </c>
    </row>
    <row r="209" spans="1:13" x14ac:dyDescent="0.35">
      <c r="A209" s="1" t="str">
        <f>IFERROR(MATCH(206,L_RangPaire,0),"")</f>
        <v/>
      </c>
      <c r="B209" s="24" t="str">
        <f t="shared" si="36"/>
        <v/>
      </c>
      <c r="C209" s="1" t="str">
        <f t="shared" si="37"/>
        <v/>
      </c>
      <c r="D209" s="1" t="str">
        <f t="shared" si="38"/>
        <v/>
      </c>
      <c r="E209" s="25" t="str">
        <f t="shared" si="39"/>
        <v/>
      </c>
      <c r="F209" s="1" t="str">
        <f t="shared" si="40"/>
        <v/>
      </c>
      <c r="G209" s="24" t="str">
        <f t="shared" si="41"/>
        <v/>
      </c>
      <c r="H209" s="1" t="str">
        <f t="shared" si="42"/>
        <v/>
      </c>
      <c r="I209" s="25" t="str">
        <f t="shared" si="43"/>
        <v/>
      </c>
      <c r="J209" s="1" t="str">
        <f t="shared" si="44"/>
        <v/>
      </c>
      <c r="K209" s="25" t="str">
        <f t="shared" si="45"/>
        <v/>
      </c>
      <c r="L209" s="1" t="str">
        <f t="shared" si="46"/>
        <v/>
      </c>
      <c r="M209" s="1" t="str">
        <f t="shared" si="47"/>
        <v/>
      </c>
    </row>
    <row r="210" spans="1:13" x14ac:dyDescent="0.35">
      <c r="A210" s="1" t="str">
        <f>IFERROR(MATCH(207,L_RangPaire,0),"")</f>
        <v/>
      </c>
      <c r="B210" s="24" t="str">
        <f t="shared" si="36"/>
        <v/>
      </c>
      <c r="C210" s="1" t="str">
        <f t="shared" si="37"/>
        <v/>
      </c>
      <c r="D210" s="1" t="str">
        <f t="shared" si="38"/>
        <v/>
      </c>
      <c r="E210" s="25" t="str">
        <f t="shared" si="39"/>
        <v/>
      </c>
      <c r="F210" s="1" t="str">
        <f t="shared" si="40"/>
        <v/>
      </c>
      <c r="G210" s="24" t="str">
        <f t="shared" si="41"/>
        <v/>
      </c>
      <c r="H210" s="1" t="str">
        <f t="shared" si="42"/>
        <v/>
      </c>
      <c r="I210" s="25" t="str">
        <f t="shared" si="43"/>
        <v/>
      </c>
      <c r="J210" s="1" t="str">
        <f t="shared" si="44"/>
        <v/>
      </c>
      <c r="K210" s="25" t="str">
        <f t="shared" si="45"/>
        <v/>
      </c>
      <c r="L210" s="1" t="str">
        <f t="shared" si="46"/>
        <v/>
      </c>
      <c r="M210" s="1" t="str">
        <f t="shared" si="47"/>
        <v/>
      </c>
    </row>
    <row r="211" spans="1:13" x14ac:dyDescent="0.35">
      <c r="A211" s="1" t="str">
        <f>IFERROR(MATCH(208,L_RangPaire,0),"")</f>
        <v/>
      </c>
      <c r="B211" s="24" t="str">
        <f t="shared" si="36"/>
        <v/>
      </c>
      <c r="C211" s="1" t="str">
        <f t="shared" si="37"/>
        <v/>
      </c>
      <c r="D211" s="1" t="str">
        <f t="shared" si="38"/>
        <v/>
      </c>
      <c r="E211" s="25" t="str">
        <f t="shared" si="39"/>
        <v/>
      </c>
      <c r="F211" s="1" t="str">
        <f t="shared" si="40"/>
        <v/>
      </c>
      <c r="G211" s="24" t="str">
        <f t="shared" si="41"/>
        <v/>
      </c>
      <c r="H211" s="1" t="str">
        <f t="shared" si="42"/>
        <v/>
      </c>
      <c r="I211" s="25" t="str">
        <f t="shared" si="43"/>
        <v/>
      </c>
      <c r="J211" s="1" t="str">
        <f t="shared" si="44"/>
        <v/>
      </c>
      <c r="K211" s="25" t="str">
        <f t="shared" si="45"/>
        <v/>
      </c>
      <c r="L211" s="1" t="str">
        <f t="shared" si="46"/>
        <v/>
      </c>
      <c r="M211" s="1" t="str">
        <f t="shared" si="47"/>
        <v/>
      </c>
    </row>
    <row r="212" spans="1:13" x14ac:dyDescent="0.35">
      <c r="A212" s="1" t="str">
        <f>IFERROR(MATCH(209,L_RangPaire,0),"")</f>
        <v/>
      </c>
      <c r="B212" s="24" t="str">
        <f t="shared" si="36"/>
        <v/>
      </c>
      <c r="C212" s="1" t="str">
        <f t="shared" si="37"/>
        <v/>
      </c>
      <c r="D212" s="1" t="str">
        <f t="shared" si="38"/>
        <v/>
      </c>
      <c r="E212" s="25" t="str">
        <f t="shared" si="39"/>
        <v/>
      </c>
      <c r="F212" s="1" t="str">
        <f t="shared" si="40"/>
        <v/>
      </c>
      <c r="G212" s="24" t="str">
        <f t="shared" si="41"/>
        <v/>
      </c>
      <c r="H212" s="1" t="str">
        <f t="shared" si="42"/>
        <v/>
      </c>
      <c r="I212" s="25" t="str">
        <f t="shared" si="43"/>
        <v/>
      </c>
      <c r="J212" s="1" t="str">
        <f t="shared" si="44"/>
        <v/>
      </c>
      <c r="K212" s="25" t="str">
        <f t="shared" si="45"/>
        <v/>
      </c>
      <c r="L212" s="1" t="str">
        <f t="shared" si="46"/>
        <v/>
      </c>
      <c r="M212" s="1" t="str">
        <f t="shared" si="47"/>
        <v/>
      </c>
    </row>
    <row r="213" spans="1:13" x14ac:dyDescent="0.35">
      <c r="A213" s="1" t="str">
        <f>IFERROR(MATCH(210,L_RangPaire,0),"")</f>
        <v/>
      </c>
      <c r="B213" s="24" t="str">
        <f t="shared" si="36"/>
        <v/>
      </c>
      <c r="C213" s="1" t="str">
        <f t="shared" si="37"/>
        <v/>
      </c>
      <c r="D213" s="1" t="str">
        <f t="shared" si="38"/>
        <v/>
      </c>
      <c r="E213" s="25" t="str">
        <f t="shared" si="39"/>
        <v/>
      </c>
      <c r="F213" s="1" t="str">
        <f t="shared" si="40"/>
        <v/>
      </c>
      <c r="G213" s="24" t="str">
        <f t="shared" si="41"/>
        <v/>
      </c>
      <c r="H213" s="1" t="str">
        <f t="shared" si="42"/>
        <v/>
      </c>
      <c r="I213" s="25" t="str">
        <f t="shared" si="43"/>
        <v/>
      </c>
      <c r="J213" s="1" t="str">
        <f t="shared" si="44"/>
        <v/>
      </c>
      <c r="K213" s="25" t="str">
        <f t="shared" si="45"/>
        <v/>
      </c>
      <c r="L213" s="1" t="str">
        <f t="shared" si="46"/>
        <v/>
      </c>
      <c r="M213" s="1" t="str">
        <f t="shared" si="47"/>
        <v/>
      </c>
    </row>
    <row r="214" spans="1:13" x14ac:dyDescent="0.35">
      <c r="A214" s="1" t="str">
        <f>IFERROR(MATCH(211,L_RangPaire,0),"")</f>
        <v/>
      </c>
      <c r="B214" s="24" t="str">
        <f t="shared" si="36"/>
        <v/>
      </c>
      <c r="C214" s="1" t="str">
        <f t="shared" si="37"/>
        <v/>
      </c>
      <c r="D214" s="1" t="str">
        <f t="shared" si="38"/>
        <v/>
      </c>
      <c r="E214" s="25" t="str">
        <f t="shared" si="39"/>
        <v/>
      </c>
      <c r="F214" s="1" t="str">
        <f t="shared" si="40"/>
        <v/>
      </c>
      <c r="G214" s="24" t="str">
        <f t="shared" si="41"/>
        <v/>
      </c>
      <c r="H214" s="1" t="str">
        <f t="shared" si="42"/>
        <v/>
      </c>
      <c r="I214" s="25" t="str">
        <f t="shared" si="43"/>
        <v/>
      </c>
      <c r="J214" s="1" t="str">
        <f t="shared" si="44"/>
        <v/>
      </c>
      <c r="K214" s="25" t="str">
        <f t="shared" si="45"/>
        <v/>
      </c>
      <c r="L214" s="1" t="str">
        <f t="shared" si="46"/>
        <v/>
      </c>
      <c r="M214" s="1" t="str">
        <f t="shared" si="47"/>
        <v/>
      </c>
    </row>
    <row r="215" spans="1:13" x14ac:dyDescent="0.35">
      <c r="A215" s="1" t="str">
        <f>IFERROR(MATCH(212,L_RangPaire,0),"")</f>
        <v/>
      </c>
      <c r="B215" s="24" t="str">
        <f t="shared" si="36"/>
        <v/>
      </c>
      <c r="C215" s="1" t="str">
        <f t="shared" si="37"/>
        <v/>
      </c>
      <c r="D215" s="1" t="str">
        <f t="shared" si="38"/>
        <v/>
      </c>
      <c r="E215" s="25" t="str">
        <f t="shared" si="39"/>
        <v/>
      </c>
      <c r="F215" s="1" t="str">
        <f t="shared" si="40"/>
        <v/>
      </c>
      <c r="G215" s="24" t="str">
        <f t="shared" si="41"/>
        <v/>
      </c>
      <c r="H215" s="1" t="str">
        <f t="shared" si="42"/>
        <v/>
      </c>
      <c r="I215" s="25" t="str">
        <f t="shared" si="43"/>
        <v/>
      </c>
      <c r="J215" s="1" t="str">
        <f t="shared" si="44"/>
        <v/>
      </c>
      <c r="K215" s="25" t="str">
        <f t="shared" si="45"/>
        <v/>
      </c>
      <c r="L215" s="1" t="str">
        <f t="shared" si="46"/>
        <v/>
      </c>
      <c r="M215" s="1" t="str">
        <f t="shared" si="47"/>
        <v/>
      </c>
    </row>
    <row r="216" spans="1:13" x14ac:dyDescent="0.35">
      <c r="A216" s="1" t="str">
        <f>IFERROR(MATCH(213,L_RangPaire,0),"")</f>
        <v/>
      </c>
      <c r="B216" s="24" t="str">
        <f t="shared" si="36"/>
        <v/>
      </c>
      <c r="C216" s="1" t="str">
        <f t="shared" si="37"/>
        <v/>
      </c>
      <c r="D216" s="1" t="str">
        <f t="shared" si="38"/>
        <v/>
      </c>
      <c r="E216" s="25" t="str">
        <f t="shared" si="39"/>
        <v/>
      </c>
      <c r="F216" s="1" t="str">
        <f t="shared" si="40"/>
        <v/>
      </c>
      <c r="G216" s="24" t="str">
        <f t="shared" si="41"/>
        <v/>
      </c>
      <c r="H216" s="1" t="str">
        <f t="shared" si="42"/>
        <v/>
      </c>
      <c r="I216" s="25" t="str">
        <f t="shared" si="43"/>
        <v/>
      </c>
      <c r="J216" s="1" t="str">
        <f t="shared" si="44"/>
        <v/>
      </c>
      <c r="K216" s="25" t="str">
        <f t="shared" si="45"/>
        <v/>
      </c>
      <c r="L216" s="1" t="str">
        <f t="shared" si="46"/>
        <v/>
      </c>
      <c r="M216" s="1" t="str">
        <f t="shared" si="47"/>
        <v/>
      </c>
    </row>
    <row r="217" spans="1:13" x14ac:dyDescent="0.35">
      <c r="A217" s="1" t="str">
        <f>IFERROR(MATCH(214,L_RangPaire,0),"")</f>
        <v/>
      </c>
      <c r="B217" s="24" t="str">
        <f t="shared" si="36"/>
        <v/>
      </c>
      <c r="C217" s="1" t="str">
        <f t="shared" si="37"/>
        <v/>
      </c>
      <c r="D217" s="1" t="str">
        <f t="shared" si="38"/>
        <v/>
      </c>
      <c r="E217" s="25" t="str">
        <f t="shared" si="39"/>
        <v/>
      </c>
      <c r="F217" s="1" t="str">
        <f t="shared" si="40"/>
        <v/>
      </c>
      <c r="G217" s="24" t="str">
        <f t="shared" si="41"/>
        <v/>
      </c>
      <c r="H217" s="1" t="str">
        <f t="shared" si="42"/>
        <v/>
      </c>
      <c r="I217" s="25" t="str">
        <f t="shared" si="43"/>
        <v/>
      </c>
      <c r="J217" s="1" t="str">
        <f t="shared" si="44"/>
        <v/>
      </c>
      <c r="K217" s="25" t="str">
        <f t="shared" si="45"/>
        <v/>
      </c>
      <c r="L217" s="1" t="str">
        <f t="shared" si="46"/>
        <v/>
      </c>
      <c r="M217" s="1" t="str">
        <f t="shared" si="47"/>
        <v/>
      </c>
    </row>
    <row r="218" spans="1:13" x14ac:dyDescent="0.35">
      <c r="A218" s="1" t="str">
        <f>IFERROR(MATCH(215,L_RangPaire,0),"")</f>
        <v/>
      </c>
      <c r="B218" s="24" t="str">
        <f t="shared" si="36"/>
        <v/>
      </c>
      <c r="C218" s="1" t="str">
        <f t="shared" si="37"/>
        <v/>
      </c>
      <c r="D218" s="1" t="str">
        <f t="shared" si="38"/>
        <v/>
      </c>
      <c r="E218" s="25" t="str">
        <f t="shared" si="39"/>
        <v/>
      </c>
      <c r="F218" s="1" t="str">
        <f t="shared" si="40"/>
        <v/>
      </c>
      <c r="G218" s="24" t="str">
        <f t="shared" si="41"/>
        <v/>
      </c>
      <c r="H218" s="1" t="str">
        <f t="shared" si="42"/>
        <v/>
      </c>
      <c r="I218" s="25" t="str">
        <f t="shared" si="43"/>
        <v/>
      </c>
      <c r="J218" s="1" t="str">
        <f t="shared" si="44"/>
        <v/>
      </c>
      <c r="K218" s="25" t="str">
        <f t="shared" si="45"/>
        <v/>
      </c>
      <c r="L218" s="1" t="str">
        <f t="shared" si="46"/>
        <v/>
      </c>
      <c r="M218" s="1" t="str">
        <f t="shared" si="47"/>
        <v/>
      </c>
    </row>
    <row r="219" spans="1:13" x14ac:dyDescent="0.35">
      <c r="A219" s="1" t="str">
        <f>IFERROR(MATCH(216,L_RangPaire,0),"")</f>
        <v/>
      </c>
      <c r="B219" s="24" t="str">
        <f t="shared" si="36"/>
        <v/>
      </c>
      <c r="C219" s="1" t="str">
        <f t="shared" si="37"/>
        <v/>
      </c>
      <c r="D219" s="1" t="str">
        <f t="shared" si="38"/>
        <v/>
      </c>
      <c r="E219" s="25" t="str">
        <f t="shared" si="39"/>
        <v/>
      </c>
      <c r="F219" s="1" t="str">
        <f t="shared" si="40"/>
        <v/>
      </c>
      <c r="G219" s="24" t="str">
        <f t="shared" si="41"/>
        <v/>
      </c>
      <c r="H219" s="1" t="str">
        <f t="shared" si="42"/>
        <v/>
      </c>
      <c r="I219" s="25" t="str">
        <f t="shared" si="43"/>
        <v/>
      </c>
      <c r="J219" s="1" t="str">
        <f t="shared" si="44"/>
        <v/>
      </c>
      <c r="K219" s="25" t="str">
        <f t="shared" si="45"/>
        <v/>
      </c>
      <c r="L219" s="1" t="str">
        <f t="shared" si="46"/>
        <v/>
      </c>
      <c r="M219" s="1" t="str">
        <f t="shared" si="47"/>
        <v/>
      </c>
    </row>
    <row r="220" spans="1:13" x14ac:dyDescent="0.35">
      <c r="A220" s="1" t="str">
        <f>IFERROR(MATCH(217,L_RangPaire,0),"")</f>
        <v/>
      </c>
      <c r="B220" s="24" t="str">
        <f t="shared" si="36"/>
        <v/>
      </c>
      <c r="C220" s="1" t="str">
        <f t="shared" si="37"/>
        <v/>
      </c>
      <c r="D220" s="1" t="str">
        <f t="shared" si="38"/>
        <v/>
      </c>
      <c r="E220" s="25" t="str">
        <f t="shared" si="39"/>
        <v/>
      </c>
      <c r="F220" s="1" t="str">
        <f t="shared" si="40"/>
        <v/>
      </c>
      <c r="G220" s="24" t="str">
        <f t="shared" si="41"/>
        <v/>
      </c>
      <c r="H220" s="1" t="str">
        <f t="shared" si="42"/>
        <v/>
      </c>
      <c r="I220" s="25" t="str">
        <f t="shared" si="43"/>
        <v/>
      </c>
      <c r="J220" s="1" t="str">
        <f t="shared" si="44"/>
        <v/>
      </c>
      <c r="K220" s="25" t="str">
        <f t="shared" si="45"/>
        <v/>
      </c>
      <c r="L220" s="1" t="str">
        <f t="shared" si="46"/>
        <v/>
      </c>
      <c r="M220" s="1" t="str">
        <f t="shared" si="47"/>
        <v/>
      </c>
    </row>
    <row r="221" spans="1:13" x14ac:dyDescent="0.35">
      <c r="A221" s="1" t="str">
        <f>IFERROR(MATCH(218,L_RangPaire,0),"")</f>
        <v/>
      </c>
      <c r="B221" s="24" t="str">
        <f t="shared" si="36"/>
        <v/>
      </c>
      <c r="C221" s="1" t="str">
        <f t="shared" si="37"/>
        <v/>
      </c>
      <c r="D221" s="1" t="str">
        <f t="shared" si="38"/>
        <v/>
      </c>
      <c r="E221" s="25" t="str">
        <f t="shared" si="39"/>
        <v/>
      </c>
      <c r="F221" s="1" t="str">
        <f t="shared" si="40"/>
        <v/>
      </c>
      <c r="G221" s="24" t="str">
        <f t="shared" si="41"/>
        <v/>
      </c>
      <c r="H221" s="1" t="str">
        <f t="shared" si="42"/>
        <v/>
      </c>
      <c r="I221" s="25" t="str">
        <f t="shared" si="43"/>
        <v/>
      </c>
      <c r="J221" s="1" t="str">
        <f t="shared" si="44"/>
        <v/>
      </c>
      <c r="K221" s="25" t="str">
        <f t="shared" si="45"/>
        <v/>
      </c>
      <c r="L221" s="1" t="str">
        <f t="shared" si="46"/>
        <v/>
      </c>
      <c r="M221" s="1" t="str">
        <f t="shared" si="47"/>
        <v/>
      </c>
    </row>
    <row r="222" spans="1:13" x14ac:dyDescent="0.35">
      <c r="A222" s="1" t="str">
        <f>IFERROR(MATCH(219,L_RangPaire,0),"")</f>
        <v/>
      </c>
      <c r="B222" s="24" t="str">
        <f t="shared" si="36"/>
        <v/>
      </c>
      <c r="C222" s="1" t="str">
        <f t="shared" si="37"/>
        <v/>
      </c>
      <c r="D222" s="1" t="str">
        <f t="shared" si="38"/>
        <v/>
      </c>
      <c r="E222" s="25" t="str">
        <f t="shared" si="39"/>
        <v/>
      </c>
      <c r="F222" s="1" t="str">
        <f t="shared" si="40"/>
        <v/>
      </c>
      <c r="G222" s="24" t="str">
        <f t="shared" si="41"/>
        <v/>
      </c>
      <c r="H222" s="1" t="str">
        <f t="shared" si="42"/>
        <v/>
      </c>
      <c r="I222" s="25" t="str">
        <f t="shared" si="43"/>
        <v/>
      </c>
      <c r="J222" s="1" t="str">
        <f t="shared" si="44"/>
        <v/>
      </c>
      <c r="K222" s="25" t="str">
        <f t="shared" si="45"/>
        <v/>
      </c>
      <c r="L222" s="1" t="str">
        <f t="shared" si="46"/>
        <v/>
      </c>
      <c r="M222" s="1" t="str">
        <f t="shared" si="47"/>
        <v/>
      </c>
    </row>
    <row r="223" spans="1:13" x14ac:dyDescent="0.35">
      <c r="A223" s="1" t="str">
        <f>IFERROR(MATCH(220,L_RangPaire,0),"")</f>
        <v/>
      </c>
      <c r="B223" s="24" t="str">
        <f t="shared" si="36"/>
        <v/>
      </c>
      <c r="C223" s="1" t="str">
        <f t="shared" si="37"/>
        <v/>
      </c>
      <c r="D223" s="1" t="str">
        <f t="shared" si="38"/>
        <v/>
      </c>
      <c r="E223" s="25" t="str">
        <f t="shared" si="39"/>
        <v/>
      </c>
      <c r="F223" s="1" t="str">
        <f t="shared" si="40"/>
        <v/>
      </c>
      <c r="G223" s="24" t="str">
        <f t="shared" si="41"/>
        <v/>
      </c>
      <c r="H223" s="1" t="str">
        <f t="shared" si="42"/>
        <v/>
      </c>
      <c r="I223" s="25" t="str">
        <f t="shared" si="43"/>
        <v/>
      </c>
      <c r="J223" s="1" t="str">
        <f t="shared" si="44"/>
        <v/>
      </c>
      <c r="K223" s="25" t="str">
        <f t="shared" si="45"/>
        <v/>
      </c>
      <c r="L223" s="1" t="str">
        <f t="shared" si="46"/>
        <v/>
      </c>
      <c r="M223" s="1" t="str">
        <f t="shared" si="47"/>
        <v/>
      </c>
    </row>
    <row r="224" spans="1:13" x14ac:dyDescent="0.35">
      <c r="A224" s="1" t="str">
        <f>IFERROR(MATCH(221,L_RangPaire,0),"")</f>
        <v/>
      </c>
      <c r="B224" s="24" t="str">
        <f t="shared" si="36"/>
        <v/>
      </c>
      <c r="C224" s="1" t="str">
        <f t="shared" si="37"/>
        <v/>
      </c>
      <c r="D224" s="1" t="str">
        <f t="shared" si="38"/>
        <v/>
      </c>
      <c r="E224" s="25" t="str">
        <f t="shared" si="39"/>
        <v/>
      </c>
      <c r="F224" s="1" t="str">
        <f t="shared" si="40"/>
        <v/>
      </c>
      <c r="G224" s="24" t="str">
        <f t="shared" si="41"/>
        <v/>
      </c>
      <c r="H224" s="1" t="str">
        <f t="shared" si="42"/>
        <v/>
      </c>
      <c r="I224" s="25" t="str">
        <f t="shared" si="43"/>
        <v/>
      </c>
      <c r="J224" s="1" t="str">
        <f t="shared" si="44"/>
        <v/>
      </c>
      <c r="K224" s="25" t="str">
        <f t="shared" si="45"/>
        <v/>
      </c>
      <c r="L224" s="1" t="str">
        <f t="shared" si="46"/>
        <v/>
      </c>
      <c r="M224" s="1" t="str">
        <f t="shared" si="47"/>
        <v/>
      </c>
    </row>
    <row r="225" spans="1:13" x14ac:dyDescent="0.35">
      <c r="A225" s="1" t="str">
        <f>IFERROR(MATCH(222,L_RangPaire,0),"")</f>
        <v/>
      </c>
      <c r="B225" s="24" t="str">
        <f t="shared" si="36"/>
        <v/>
      </c>
      <c r="C225" s="1" t="str">
        <f t="shared" si="37"/>
        <v/>
      </c>
      <c r="D225" s="1" t="str">
        <f t="shared" si="38"/>
        <v/>
      </c>
      <c r="E225" s="25" t="str">
        <f t="shared" si="39"/>
        <v/>
      </c>
      <c r="F225" s="1" t="str">
        <f t="shared" si="40"/>
        <v/>
      </c>
      <c r="G225" s="24" t="str">
        <f t="shared" si="41"/>
        <v/>
      </c>
      <c r="H225" s="1" t="str">
        <f t="shared" si="42"/>
        <v/>
      </c>
      <c r="I225" s="25" t="str">
        <f t="shared" si="43"/>
        <v/>
      </c>
      <c r="J225" s="1" t="str">
        <f t="shared" si="44"/>
        <v/>
      </c>
      <c r="K225" s="25" t="str">
        <f t="shared" si="45"/>
        <v/>
      </c>
      <c r="L225" s="1" t="str">
        <f t="shared" si="46"/>
        <v/>
      </c>
      <c r="M225" s="1" t="str">
        <f t="shared" si="47"/>
        <v/>
      </c>
    </row>
    <row r="226" spans="1:13" x14ac:dyDescent="0.35">
      <c r="A226" s="1" t="str">
        <f>IFERROR(MATCH(223,L_RangPaire,0),"")</f>
        <v/>
      </c>
      <c r="B226" s="24" t="str">
        <f t="shared" si="36"/>
        <v/>
      </c>
      <c r="C226" s="1" t="str">
        <f t="shared" si="37"/>
        <v/>
      </c>
      <c r="D226" s="1" t="str">
        <f t="shared" si="38"/>
        <v/>
      </c>
      <c r="E226" s="25" t="str">
        <f t="shared" si="39"/>
        <v/>
      </c>
      <c r="F226" s="1" t="str">
        <f t="shared" si="40"/>
        <v/>
      </c>
      <c r="G226" s="24" t="str">
        <f t="shared" si="41"/>
        <v/>
      </c>
      <c r="H226" s="1" t="str">
        <f t="shared" si="42"/>
        <v/>
      </c>
      <c r="I226" s="25" t="str">
        <f t="shared" si="43"/>
        <v/>
      </c>
      <c r="J226" s="1" t="str">
        <f t="shared" si="44"/>
        <v/>
      </c>
      <c r="K226" s="25" t="str">
        <f t="shared" si="45"/>
        <v/>
      </c>
      <c r="L226" s="1" t="str">
        <f t="shared" si="46"/>
        <v/>
      </c>
      <c r="M226" s="1" t="str">
        <f t="shared" si="47"/>
        <v/>
      </c>
    </row>
    <row r="227" spans="1:13" x14ac:dyDescent="0.35">
      <c r="A227" s="1" t="str">
        <f>IFERROR(MATCH(224,L_RangPaire,0),"")</f>
        <v/>
      </c>
      <c r="B227" s="24" t="str">
        <f t="shared" si="36"/>
        <v/>
      </c>
      <c r="C227" s="1" t="str">
        <f t="shared" si="37"/>
        <v/>
      </c>
      <c r="D227" s="1" t="str">
        <f t="shared" si="38"/>
        <v/>
      </c>
      <c r="E227" s="25" t="str">
        <f t="shared" si="39"/>
        <v/>
      </c>
      <c r="F227" s="1" t="str">
        <f t="shared" si="40"/>
        <v/>
      </c>
      <c r="G227" s="24" t="str">
        <f t="shared" si="41"/>
        <v/>
      </c>
      <c r="H227" s="1" t="str">
        <f t="shared" si="42"/>
        <v/>
      </c>
      <c r="I227" s="25" t="str">
        <f t="shared" si="43"/>
        <v/>
      </c>
      <c r="J227" s="1" t="str">
        <f t="shared" si="44"/>
        <v/>
      </c>
      <c r="K227" s="25" t="str">
        <f t="shared" si="45"/>
        <v/>
      </c>
      <c r="L227" s="1" t="str">
        <f t="shared" si="46"/>
        <v/>
      </c>
      <c r="M227" s="1" t="str">
        <f t="shared" si="47"/>
        <v/>
      </c>
    </row>
    <row r="228" spans="1:13" x14ac:dyDescent="0.35">
      <c r="A228" s="1" t="str">
        <f>IFERROR(MATCH(225,L_RangPaire,0),"")</f>
        <v/>
      </c>
      <c r="B228" s="24" t="str">
        <f t="shared" si="36"/>
        <v/>
      </c>
      <c r="C228" s="1" t="str">
        <f t="shared" si="37"/>
        <v/>
      </c>
      <c r="D228" s="1" t="str">
        <f t="shared" si="38"/>
        <v/>
      </c>
      <c r="E228" s="25" t="str">
        <f t="shared" si="39"/>
        <v/>
      </c>
      <c r="F228" s="1" t="str">
        <f t="shared" si="40"/>
        <v/>
      </c>
      <c r="G228" s="24" t="str">
        <f t="shared" si="41"/>
        <v/>
      </c>
      <c r="H228" s="1" t="str">
        <f t="shared" si="42"/>
        <v/>
      </c>
      <c r="I228" s="25" t="str">
        <f t="shared" si="43"/>
        <v/>
      </c>
      <c r="J228" s="1" t="str">
        <f t="shared" si="44"/>
        <v/>
      </c>
      <c r="K228" s="25" t="str">
        <f t="shared" si="45"/>
        <v/>
      </c>
      <c r="L228" s="1" t="str">
        <f t="shared" si="46"/>
        <v/>
      </c>
      <c r="M228" s="1" t="str">
        <f t="shared" si="47"/>
        <v/>
      </c>
    </row>
    <row r="229" spans="1:13" x14ac:dyDescent="0.35">
      <c r="A229" s="1" t="str">
        <f>IFERROR(MATCH(226,L_RangPaire,0),"")</f>
        <v/>
      </c>
      <c r="B229" s="24" t="str">
        <f t="shared" si="36"/>
        <v/>
      </c>
      <c r="C229" s="1" t="str">
        <f t="shared" si="37"/>
        <v/>
      </c>
      <c r="D229" s="1" t="str">
        <f t="shared" si="38"/>
        <v/>
      </c>
      <c r="E229" s="25" t="str">
        <f t="shared" si="39"/>
        <v/>
      </c>
      <c r="F229" s="1" t="str">
        <f t="shared" si="40"/>
        <v/>
      </c>
      <c r="G229" s="24" t="str">
        <f t="shared" si="41"/>
        <v/>
      </c>
      <c r="H229" s="1" t="str">
        <f t="shared" si="42"/>
        <v/>
      </c>
      <c r="I229" s="25" t="str">
        <f t="shared" si="43"/>
        <v/>
      </c>
      <c r="J229" s="1" t="str">
        <f t="shared" si="44"/>
        <v/>
      </c>
      <c r="K229" s="25" t="str">
        <f t="shared" si="45"/>
        <v/>
      </c>
      <c r="L229" s="1" t="str">
        <f t="shared" si="46"/>
        <v/>
      </c>
      <c r="M229" s="1" t="str">
        <f t="shared" si="47"/>
        <v/>
      </c>
    </row>
    <row r="230" spans="1:13" x14ac:dyDescent="0.35">
      <c r="A230" s="1" t="str">
        <f>IFERROR(MATCH(227,L_RangPaire,0),"")</f>
        <v/>
      </c>
      <c r="B230" s="24" t="str">
        <f t="shared" si="36"/>
        <v/>
      </c>
      <c r="C230" s="1" t="str">
        <f t="shared" si="37"/>
        <v/>
      </c>
      <c r="D230" s="1" t="str">
        <f t="shared" si="38"/>
        <v/>
      </c>
      <c r="E230" s="25" t="str">
        <f t="shared" si="39"/>
        <v/>
      </c>
      <c r="F230" s="1" t="str">
        <f t="shared" si="40"/>
        <v/>
      </c>
      <c r="G230" s="24" t="str">
        <f t="shared" si="41"/>
        <v/>
      </c>
      <c r="H230" s="1" t="str">
        <f t="shared" si="42"/>
        <v/>
      </c>
      <c r="I230" s="25" t="str">
        <f t="shared" si="43"/>
        <v/>
      </c>
      <c r="J230" s="1" t="str">
        <f t="shared" si="44"/>
        <v/>
      </c>
      <c r="K230" s="25" t="str">
        <f t="shared" si="45"/>
        <v/>
      </c>
      <c r="L230" s="1" t="str">
        <f t="shared" si="46"/>
        <v/>
      </c>
      <c r="M230" s="1" t="str">
        <f t="shared" si="47"/>
        <v/>
      </c>
    </row>
    <row r="231" spans="1:13" x14ac:dyDescent="0.35">
      <c r="A231" s="1" t="str">
        <f>IFERROR(MATCH(228,L_RangPaire,0),"")</f>
        <v/>
      </c>
      <c r="B231" s="24" t="str">
        <f t="shared" si="36"/>
        <v/>
      </c>
      <c r="C231" s="1" t="str">
        <f t="shared" si="37"/>
        <v/>
      </c>
      <c r="D231" s="1" t="str">
        <f t="shared" si="38"/>
        <v/>
      </c>
      <c r="E231" s="25" t="str">
        <f t="shared" si="39"/>
        <v/>
      </c>
      <c r="F231" s="1" t="str">
        <f t="shared" si="40"/>
        <v/>
      </c>
      <c r="G231" s="24" t="str">
        <f t="shared" si="41"/>
        <v/>
      </c>
      <c r="H231" s="1" t="str">
        <f t="shared" si="42"/>
        <v/>
      </c>
      <c r="I231" s="25" t="str">
        <f t="shared" si="43"/>
        <v/>
      </c>
      <c r="J231" s="1" t="str">
        <f t="shared" si="44"/>
        <v/>
      </c>
      <c r="K231" s="25" t="str">
        <f t="shared" si="45"/>
        <v/>
      </c>
      <c r="L231" s="1" t="str">
        <f t="shared" si="46"/>
        <v/>
      </c>
      <c r="M231" s="1" t="str">
        <f t="shared" si="47"/>
        <v/>
      </c>
    </row>
    <row r="232" spans="1:13" x14ac:dyDescent="0.35">
      <c r="A232" s="1" t="str">
        <f>IFERROR(MATCH(229,L_RangPaire,0),"")</f>
        <v/>
      </c>
      <c r="B232" s="24" t="str">
        <f t="shared" si="36"/>
        <v/>
      </c>
      <c r="C232" s="1" t="str">
        <f t="shared" si="37"/>
        <v/>
      </c>
      <c r="D232" s="1" t="str">
        <f t="shared" si="38"/>
        <v/>
      </c>
      <c r="E232" s="25" t="str">
        <f t="shared" si="39"/>
        <v/>
      </c>
      <c r="F232" s="1" t="str">
        <f t="shared" si="40"/>
        <v/>
      </c>
      <c r="G232" s="24" t="str">
        <f t="shared" si="41"/>
        <v/>
      </c>
      <c r="H232" s="1" t="str">
        <f t="shared" si="42"/>
        <v/>
      </c>
      <c r="I232" s="25" t="str">
        <f t="shared" si="43"/>
        <v/>
      </c>
      <c r="J232" s="1" t="str">
        <f t="shared" si="44"/>
        <v/>
      </c>
      <c r="K232" s="25" t="str">
        <f t="shared" si="45"/>
        <v/>
      </c>
      <c r="L232" s="1" t="str">
        <f t="shared" si="46"/>
        <v/>
      </c>
      <c r="M232" s="1" t="str">
        <f t="shared" si="47"/>
        <v/>
      </c>
    </row>
    <row r="233" spans="1:13" x14ac:dyDescent="0.35">
      <c r="A233" s="1" t="str">
        <f>IFERROR(MATCH(230,L_RangPaire,0),"")</f>
        <v/>
      </c>
      <c r="B233" s="24" t="str">
        <f t="shared" si="36"/>
        <v/>
      </c>
      <c r="C233" s="1" t="str">
        <f t="shared" si="37"/>
        <v/>
      </c>
      <c r="D233" s="1" t="str">
        <f t="shared" si="38"/>
        <v/>
      </c>
      <c r="E233" s="25" t="str">
        <f t="shared" si="39"/>
        <v/>
      </c>
      <c r="F233" s="1" t="str">
        <f t="shared" si="40"/>
        <v/>
      </c>
      <c r="G233" s="24" t="str">
        <f t="shared" si="41"/>
        <v/>
      </c>
      <c r="H233" s="1" t="str">
        <f t="shared" si="42"/>
        <v/>
      </c>
      <c r="I233" s="25" t="str">
        <f t="shared" si="43"/>
        <v/>
      </c>
      <c r="J233" s="1" t="str">
        <f t="shared" si="44"/>
        <v/>
      </c>
      <c r="K233" s="25" t="str">
        <f t="shared" si="45"/>
        <v/>
      </c>
      <c r="L233" s="1" t="str">
        <f t="shared" si="46"/>
        <v/>
      </c>
      <c r="M233" s="1" t="str">
        <f t="shared" si="47"/>
        <v/>
      </c>
    </row>
    <row r="234" spans="1:13" x14ac:dyDescent="0.35">
      <c r="A234" s="1" t="str">
        <f>IFERROR(MATCH(231,L_RangPaire,0),"")</f>
        <v/>
      </c>
      <c r="B234" s="24" t="str">
        <f t="shared" si="36"/>
        <v/>
      </c>
      <c r="C234" s="1" t="str">
        <f t="shared" si="37"/>
        <v/>
      </c>
      <c r="D234" s="1" t="str">
        <f t="shared" si="38"/>
        <v/>
      </c>
      <c r="E234" s="25" t="str">
        <f t="shared" si="39"/>
        <v/>
      </c>
      <c r="F234" s="1" t="str">
        <f t="shared" si="40"/>
        <v/>
      </c>
      <c r="G234" s="24" t="str">
        <f t="shared" si="41"/>
        <v/>
      </c>
      <c r="H234" s="1" t="str">
        <f t="shared" si="42"/>
        <v/>
      </c>
      <c r="I234" s="25" t="str">
        <f t="shared" si="43"/>
        <v/>
      </c>
      <c r="J234" s="1" t="str">
        <f t="shared" si="44"/>
        <v/>
      </c>
      <c r="K234" s="25" t="str">
        <f t="shared" si="45"/>
        <v/>
      </c>
      <c r="L234" s="1" t="str">
        <f t="shared" si="46"/>
        <v/>
      </c>
      <c r="M234" s="1" t="str">
        <f t="shared" si="47"/>
        <v/>
      </c>
    </row>
    <row r="235" spans="1:13" x14ac:dyDescent="0.35">
      <c r="A235" s="1" t="str">
        <f>IFERROR(MATCH(232,L_RangPaire,0),"")</f>
        <v/>
      </c>
      <c r="B235" s="24" t="str">
        <f t="shared" si="36"/>
        <v/>
      </c>
      <c r="C235" s="1" t="str">
        <f t="shared" si="37"/>
        <v/>
      </c>
      <c r="D235" s="1" t="str">
        <f t="shared" si="38"/>
        <v/>
      </c>
      <c r="E235" s="25" t="str">
        <f t="shared" si="39"/>
        <v/>
      </c>
      <c r="F235" s="1" t="str">
        <f t="shared" si="40"/>
        <v/>
      </c>
      <c r="G235" s="24" t="str">
        <f t="shared" si="41"/>
        <v/>
      </c>
      <c r="H235" s="1" t="str">
        <f t="shared" si="42"/>
        <v/>
      </c>
      <c r="I235" s="25" t="str">
        <f t="shared" si="43"/>
        <v/>
      </c>
      <c r="J235" s="1" t="str">
        <f t="shared" si="44"/>
        <v/>
      </c>
      <c r="K235" s="25" t="str">
        <f t="shared" si="45"/>
        <v/>
      </c>
      <c r="L235" s="1" t="str">
        <f t="shared" si="46"/>
        <v/>
      </c>
      <c r="M235" s="1" t="str">
        <f t="shared" si="47"/>
        <v/>
      </c>
    </row>
    <row r="236" spans="1:13" x14ac:dyDescent="0.35">
      <c r="A236" s="1" t="str">
        <f>IFERROR(MATCH(233,L_RangPaire,0),"")</f>
        <v/>
      </c>
      <c r="B236" s="24" t="str">
        <f t="shared" si="36"/>
        <v/>
      </c>
      <c r="C236" s="1" t="str">
        <f t="shared" si="37"/>
        <v/>
      </c>
      <c r="D236" s="1" t="str">
        <f t="shared" si="38"/>
        <v/>
      </c>
      <c r="E236" s="25" t="str">
        <f t="shared" si="39"/>
        <v/>
      </c>
      <c r="F236" s="1" t="str">
        <f t="shared" si="40"/>
        <v/>
      </c>
      <c r="G236" s="24" t="str">
        <f t="shared" si="41"/>
        <v/>
      </c>
      <c r="H236" s="1" t="str">
        <f t="shared" si="42"/>
        <v/>
      </c>
      <c r="I236" s="25" t="str">
        <f t="shared" si="43"/>
        <v/>
      </c>
      <c r="J236" s="1" t="str">
        <f t="shared" si="44"/>
        <v/>
      </c>
      <c r="K236" s="25" t="str">
        <f t="shared" si="45"/>
        <v/>
      </c>
      <c r="L236" s="1" t="str">
        <f t="shared" si="46"/>
        <v/>
      </c>
      <c r="M236" s="1" t="str">
        <f t="shared" si="47"/>
        <v/>
      </c>
    </row>
    <row r="237" spans="1:13" x14ac:dyDescent="0.35">
      <c r="A237" s="1" t="str">
        <f>IFERROR(MATCH(234,L_RangPaire,0),"")</f>
        <v/>
      </c>
      <c r="B237" s="24" t="str">
        <f t="shared" si="36"/>
        <v/>
      </c>
      <c r="C237" s="1" t="str">
        <f t="shared" si="37"/>
        <v/>
      </c>
      <c r="D237" s="1" t="str">
        <f t="shared" si="38"/>
        <v/>
      </c>
      <c r="E237" s="25" t="str">
        <f t="shared" si="39"/>
        <v/>
      </c>
      <c r="F237" s="1" t="str">
        <f t="shared" si="40"/>
        <v/>
      </c>
      <c r="G237" s="24" t="str">
        <f t="shared" si="41"/>
        <v/>
      </c>
      <c r="H237" s="1" t="str">
        <f t="shared" si="42"/>
        <v/>
      </c>
      <c r="I237" s="25" t="str">
        <f t="shared" si="43"/>
        <v/>
      </c>
      <c r="J237" s="1" t="str">
        <f t="shared" si="44"/>
        <v/>
      </c>
      <c r="K237" s="25" t="str">
        <f t="shared" si="45"/>
        <v/>
      </c>
      <c r="L237" s="1" t="str">
        <f t="shared" si="46"/>
        <v/>
      </c>
      <c r="M237" s="1" t="str">
        <f t="shared" si="47"/>
        <v/>
      </c>
    </row>
    <row r="238" spans="1:13" x14ac:dyDescent="0.35">
      <c r="A238" s="1" t="str">
        <f>IFERROR(MATCH(235,L_RangPaire,0),"")</f>
        <v/>
      </c>
      <c r="B238" s="24" t="str">
        <f t="shared" si="36"/>
        <v/>
      </c>
      <c r="C238" s="1" t="str">
        <f t="shared" si="37"/>
        <v/>
      </c>
      <c r="D238" s="1" t="str">
        <f t="shared" si="38"/>
        <v/>
      </c>
      <c r="E238" s="25" t="str">
        <f t="shared" si="39"/>
        <v/>
      </c>
      <c r="F238" s="1" t="str">
        <f t="shared" si="40"/>
        <v/>
      </c>
      <c r="G238" s="24" t="str">
        <f t="shared" si="41"/>
        <v/>
      </c>
      <c r="H238" s="1" t="str">
        <f t="shared" si="42"/>
        <v/>
      </c>
      <c r="I238" s="25" t="str">
        <f t="shared" si="43"/>
        <v/>
      </c>
      <c r="J238" s="1" t="str">
        <f t="shared" si="44"/>
        <v/>
      </c>
      <c r="K238" s="25" t="str">
        <f t="shared" si="45"/>
        <v/>
      </c>
      <c r="L238" s="1" t="str">
        <f t="shared" si="46"/>
        <v/>
      </c>
      <c r="M238" s="1" t="str">
        <f t="shared" si="47"/>
        <v/>
      </c>
    </row>
    <row r="239" spans="1:13" x14ac:dyDescent="0.35">
      <c r="A239" s="1" t="str">
        <f>IFERROR(MATCH(236,L_RangPaire,0),"")</f>
        <v/>
      </c>
      <c r="B239" s="24" t="str">
        <f t="shared" si="36"/>
        <v/>
      </c>
      <c r="C239" s="1" t="str">
        <f t="shared" si="37"/>
        <v/>
      </c>
      <c r="D239" s="1" t="str">
        <f t="shared" si="38"/>
        <v/>
      </c>
      <c r="E239" s="25" t="str">
        <f t="shared" si="39"/>
        <v/>
      </c>
      <c r="F239" s="1" t="str">
        <f t="shared" si="40"/>
        <v/>
      </c>
      <c r="G239" s="24" t="str">
        <f t="shared" si="41"/>
        <v/>
      </c>
      <c r="H239" s="1" t="str">
        <f t="shared" si="42"/>
        <v/>
      </c>
      <c r="I239" s="25" t="str">
        <f t="shared" si="43"/>
        <v/>
      </c>
      <c r="J239" s="1" t="str">
        <f t="shared" si="44"/>
        <v/>
      </c>
      <c r="K239" s="25" t="str">
        <f t="shared" si="45"/>
        <v/>
      </c>
      <c r="L239" s="1" t="str">
        <f t="shared" si="46"/>
        <v/>
      </c>
      <c r="M239" s="1" t="str">
        <f t="shared" si="47"/>
        <v/>
      </c>
    </row>
    <row r="240" spans="1:13" x14ac:dyDescent="0.35">
      <c r="A240" s="1" t="str">
        <f>IFERROR(MATCH(237,L_RangPaire,0),"")</f>
        <v/>
      </c>
      <c r="B240" s="24" t="str">
        <f t="shared" si="36"/>
        <v/>
      </c>
      <c r="C240" s="1" t="str">
        <f t="shared" si="37"/>
        <v/>
      </c>
      <c r="D240" s="1" t="str">
        <f t="shared" si="38"/>
        <v/>
      </c>
      <c r="E240" s="25" t="str">
        <f t="shared" si="39"/>
        <v/>
      </c>
      <c r="F240" s="1" t="str">
        <f t="shared" si="40"/>
        <v/>
      </c>
      <c r="G240" s="24" t="str">
        <f t="shared" si="41"/>
        <v/>
      </c>
      <c r="H240" s="1" t="str">
        <f t="shared" si="42"/>
        <v/>
      </c>
      <c r="I240" s="25" t="str">
        <f t="shared" si="43"/>
        <v/>
      </c>
      <c r="J240" s="1" t="str">
        <f t="shared" si="44"/>
        <v/>
      </c>
      <c r="K240" s="25" t="str">
        <f t="shared" si="45"/>
        <v/>
      </c>
      <c r="L240" s="1" t="str">
        <f t="shared" si="46"/>
        <v/>
      </c>
      <c r="M240" s="1" t="str">
        <f t="shared" si="47"/>
        <v/>
      </c>
    </row>
    <row r="241" spans="1:13" x14ac:dyDescent="0.35">
      <c r="A241" s="1" t="str">
        <f>IFERROR(MATCH(238,L_RangPaire,0),"")</f>
        <v/>
      </c>
      <c r="B241" s="24" t="str">
        <f t="shared" si="36"/>
        <v/>
      </c>
      <c r="C241" s="1" t="str">
        <f t="shared" si="37"/>
        <v/>
      </c>
      <c r="D241" s="1" t="str">
        <f t="shared" si="38"/>
        <v/>
      </c>
      <c r="E241" s="25" t="str">
        <f t="shared" si="39"/>
        <v/>
      </c>
      <c r="F241" s="1" t="str">
        <f t="shared" si="40"/>
        <v/>
      </c>
      <c r="G241" s="24" t="str">
        <f t="shared" si="41"/>
        <v/>
      </c>
      <c r="H241" s="1" t="str">
        <f t="shared" si="42"/>
        <v/>
      </c>
      <c r="I241" s="25" t="str">
        <f t="shared" si="43"/>
        <v/>
      </c>
      <c r="J241" s="1" t="str">
        <f t="shared" si="44"/>
        <v/>
      </c>
      <c r="K241" s="25" t="str">
        <f t="shared" si="45"/>
        <v/>
      </c>
      <c r="L241" s="1" t="str">
        <f t="shared" si="46"/>
        <v/>
      </c>
      <c r="M241" s="1" t="str">
        <f t="shared" si="47"/>
        <v/>
      </c>
    </row>
    <row r="242" spans="1:13" x14ac:dyDescent="0.35">
      <c r="A242" s="1" t="str">
        <f>IFERROR(MATCH(239,L_RangPaire,0),"")</f>
        <v/>
      </c>
      <c r="B242" s="24" t="str">
        <f t="shared" si="36"/>
        <v/>
      </c>
      <c r="C242" s="1" t="str">
        <f t="shared" si="37"/>
        <v/>
      </c>
      <c r="D242" s="1" t="str">
        <f t="shared" si="38"/>
        <v/>
      </c>
      <c r="E242" s="25" t="str">
        <f t="shared" si="39"/>
        <v/>
      </c>
      <c r="F242" s="1" t="str">
        <f t="shared" si="40"/>
        <v/>
      </c>
      <c r="G242" s="24" t="str">
        <f t="shared" si="41"/>
        <v/>
      </c>
      <c r="H242" s="1" t="str">
        <f t="shared" si="42"/>
        <v/>
      </c>
      <c r="I242" s="25" t="str">
        <f t="shared" si="43"/>
        <v/>
      </c>
      <c r="J242" s="1" t="str">
        <f t="shared" si="44"/>
        <v/>
      </c>
      <c r="K242" s="25" t="str">
        <f t="shared" si="45"/>
        <v/>
      </c>
      <c r="L242" s="1" t="str">
        <f t="shared" si="46"/>
        <v/>
      </c>
      <c r="M242" s="1" t="str">
        <f t="shared" si="47"/>
        <v/>
      </c>
    </row>
    <row r="243" spans="1:13" x14ac:dyDescent="0.35">
      <c r="A243" s="1" t="str">
        <f>IFERROR(MATCH(240,L_RangPaire,0),"")</f>
        <v/>
      </c>
      <c r="B243" s="24" t="str">
        <f t="shared" si="36"/>
        <v/>
      </c>
      <c r="C243" s="1" t="str">
        <f t="shared" si="37"/>
        <v/>
      </c>
      <c r="D243" s="1" t="str">
        <f t="shared" si="38"/>
        <v/>
      </c>
      <c r="E243" s="25" t="str">
        <f t="shared" si="39"/>
        <v/>
      </c>
      <c r="F243" s="1" t="str">
        <f t="shared" si="40"/>
        <v/>
      </c>
      <c r="G243" s="24" t="str">
        <f t="shared" si="41"/>
        <v/>
      </c>
      <c r="H243" s="1" t="str">
        <f t="shared" si="42"/>
        <v/>
      </c>
      <c r="I243" s="25" t="str">
        <f t="shared" si="43"/>
        <v/>
      </c>
      <c r="J243" s="1" t="str">
        <f t="shared" si="44"/>
        <v/>
      </c>
      <c r="K243" s="25" t="str">
        <f t="shared" si="45"/>
        <v/>
      </c>
      <c r="L243" s="1" t="str">
        <f t="shared" si="46"/>
        <v/>
      </c>
      <c r="M243" s="1" t="str">
        <f t="shared" si="47"/>
        <v/>
      </c>
    </row>
    <row r="244" spans="1:13" x14ac:dyDescent="0.35">
      <c r="A244" s="1" t="str">
        <f>IFERROR(MATCH(241,L_RangPaire,0),"")</f>
        <v/>
      </c>
      <c r="B244" s="24" t="str">
        <f t="shared" si="36"/>
        <v/>
      </c>
      <c r="C244" s="1" t="str">
        <f t="shared" si="37"/>
        <v/>
      </c>
      <c r="D244" s="1" t="str">
        <f t="shared" si="38"/>
        <v/>
      </c>
      <c r="E244" s="25" t="str">
        <f t="shared" si="39"/>
        <v/>
      </c>
      <c r="F244" s="1" t="str">
        <f t="shared" si="40"/>
        <v/>
      </c>
      <c r="G244" s="24" t="str">
        <f t="shared" si="41"/>
        <v/>
      </c>
      <c r="H244" s="1" t="str">
        <f t="shared" si="42"/>
        <v/>
      </c>
      <c r="I244" s="25" t="str">
        <f t="shared" si="43"/>
        <v/>
      </c>
      <c r="J244" s="1" t="str">
        <f t="shared" si="44"/>
        <v/>
      </c>
      <c r="K244" s="25" t="str">
        <f t="shared" si="45"/>
        <v/>
      </c>
      <c r="L244" s="1" t="str">
        <f t="shared" si="46"/>
        <v/>
      </c>
      <c r="M244" s="1" t="str">
        <f t="shared" si="47"/>
        <v/>
      </c>
    </row>
    <row r="245" spans="1:13" x14ac:dyDescent="0.35">
      <c r="A245" s="1" t="str">
        <f>IFERROR(MATCH(242,L_RangPaire,0),"")</f>
        <v/>
      </c>
      <c r="B245" s="24" t="str">
        <f t="shared" si="36"/>
        <v/>
      </c>
      <c r="C245" s="1" t="str">
        <f t="shared" si="37"/>
        <v/>
      </c>
      <c r="D245" s="1" t="str">
        <f t="shared" si="38"/>
        <v/>
      </c>
      <c r="E245" s="25" t="str">
        <f t="shared" si="39"/>
        <v/>
      </c>
      <c r="F245" s="1" t="str">
        <f t="shared" si="40"/>
        <v/>
      </c>
      <c r="G245" s="24" t="str">
        <f t="shared" si="41"/>
        <v/>
      </c>
      <c r="H245" s="1" t="str">
        <f t="shared" si="42"/>
        <v/>
      </c>
      <c r="I245" s="25" t="str">
        <f t="shared" si="43"/>
        <v/>
      </c>
      <c r="J245" s="1" t="str">
        <f t="shared" si="44"/>
        <v/>
      </c>
      <c r="K245" s="25" t="str">
        <f t="shared" si="45"/>
        <v/>
      </c>
      <c r="L245" s="1" t="str">
        <f t="shared" si="46"/>
        <v/>
      </c>
      <c r="M245" s="1" t="str">
        <f t="shared" si="47"/>
        <v/>
      </c>
    </row>
    <row r="246" spans="1:13" x14ac:dyDescent="0.35">
      <c r="A246" s="1" t="str">
        <f>IFERROR(MATCH(243,L_RangPaire,0),"")</f>
        <v/>
      </c>
      <c r="B246" s="24" t="str">
        <f t="shared" si="36"/>
        <v/>
      </c>
      <c r="C246" s="1" t="str">
        <f t="shared" si="37"/>
        <v/>
      </c>
      <c r="D246" s="1" t="str">
        <f t="shared" si="38"/>
        <v/>
      </c>
      <c r="E246" s="25" t="str">
        <f t="shared" si="39"/>
        <v/>
      </c>
      <c r="F246" s="1" t="str">
        <f t="shared" si="40"/>
        <v/>
      </c>
      <c r="G246" s="24" t="str">
        <f t="shared" si="41"/>
        <v/>
      </c>
      <c r="H246" s="1" t="str">
        <f t="shared" si="42"/>
        <v/>
      </c>
      <c r="I246" s="25" t="str">
        <f t="shared" si="43"/>
        <v/>
      </c>
      <c r="J246" s="1" t="str">
        <f t="shared" si="44"/>
        <v/>
      </c>
      <c r="K246" s="25" t="str">
        <f t="shared" si="45"/>
        <v/>
      </c>
      <c r="L246" s="1" t="str">
        <f t="shared" si="46"/>
        <v/>
      </c>
      <c r="M246" s="1" t="str">
        <f t="shared" si="47"/>
        <v/>
      </c>
    </row>
    <row r="247" spans="1:13" x14ac:dyDescent="0.35">
      <c r="A247" s="1" t="str">
        <f>IFERROR(MATCH(244,L_RangPaire,0),"")</f>
        <v/>
      </c>
      <c r="B247" s="24" t="str">
        <f t="shared" si="36"/>
        <v/>
      </c>
      <c r="C247" s="1" t="str">
        <f t="shared" si="37"/>
        <v/>
      </c>
      <c r="D247" s="1" t="str">
        <f t="shared" si="38"/>
        <v/>
      </c>
      <c r="E247" s="25" t="str">
        <f t="shared" si="39"/>
        <v/>
      </c>
      <c r="F247" s="1" t="str">
        <f t="shared" si="40"/>
        <v/>
      </c>
      <c r="G247" s="24" t="str">
        <f t="shared" si="41"/>
        <v/>
      </c>
      <c r="H247" s="1" t="str">
        <f t="shared" si="42"/>
        <v/>
      </c>
      <c r="I247" s="25" t="str">
        <f t="shared" si="43"/>
        <v/>
      </c>
      <c r="J247" s="1" t="str">
        <f t="shared" si="44"/>
        <v/>
      </c>
      <c r="K247" s="25" t="str">
        <f t="shared" si="45"/>
        <v/>
      </c>
      <c r="L247" s="1" t="str">
        <f t="shared" si="46"/>
        <v/>
      </c>
      <c r="M247" s="1" t="str">
        <f t="shared" si="47"/>
        <v/>
      </c>
    </row>
    <row r="248" spans="1:13" x14ac:dyDescent="0.35">
      <c r="A248" s="1" t="str">
        <f>IFERROR(MATCH(245,L_RangPaire,0),"")</f>
        <v/>
      </c>
      <c r="B248" s="24" t="str">
        <f t="shared" si="36"/>
        <v/>
      </c>
      <c r="C248" s="1" t="str">
        <f t="shared" si="37"/>
        <v/>
      </c>
      <c r="D248" s="1" t="str">
        <f t="shared" si="38"/>
        <v/>
      </c>
      <c r="E248" s="25" t="str">
        <f t="shared" si="39"/>
        <v/>
      </c>
      <c r="F248" s="1" t="str">
        <f t="shared" si="40"/>
        <v/>
      </c>
      <c r="G248" s="24" t="str">
        <f t="shared" si="41"/>
        <v/>
      </c>
      <c r="H248" s="1" t="str">
        <f t="shared" si="42"/>
        <v/>
      </c>
      <c r="I248" s="25" t="str">
        <f t="shared" si="43"/>
        <v/>
      </c>
      <c r="J248" s="1" t="str">
        <f t="shared" si="44"/>
        <v/>
      </c>
      <c r="K248" s="25" t="str">
        <f t="shared" si="45"/>
        <v/>
      </c>
      <c r="L248" s="1" t="str">
        <f t="shared" si="46"/>
        <v/>
      </c>
      <c r="M248" s="1" t="str">
        <f t="shared" si="47"/>
        <v/>
      </c>
    </row>
    <row r="249" spans="1:13" x14ac:dyDescent="0.35">
      <c r="A249" s="1" t="str">
        <f>IFERROR(MATCH(246,L_RangPaire,0),"")</f>
        <v/>
      </c>
      <c r="B249" s="24" t="str">
        <f t="shared" si="36"/>
        <v/>
      </c>
      <c r="C249" s="1" t="str">
        <f t="shared" si="37"/>
        <v/>
      </c>
      <c r="D249" s="1" t="str">
        <f t="shared" si="38"/>
        <v/>
      </c>
      <c r="E249" s="25" t="str">
        <f t="shared" si="39"/>
        <v/>
      </c>
      <c r="F249" s="1" t="str">
        <f t="shared" si="40"/>
        <v/>
      </c>
      <c r="G249" s="24" t="str">
        <f t="shared" si="41"/>
        <v/>
      </c>
      <c r="H249" s="1" t="str">
        <f t="shared" si="42"/>
        <v/>
      </c>
      <c r="I249" s="25" t="str">
        <f t="shared" si="43"/>
        <v/>
      </c>
      <c r="J249" s="1" t="str">
        <f t="shared" si="44"/>
        <v/>
      </c>
      <c r="K249" s="25" t="str">
        <f t="shared" si="45"/>
        <v/>
      </c>
      <c r="L249" s="1" t="str">
        <f t="shared" si="46"/>
        <v/>
      </c>
      <c r="M249" s="1" t="str">
        <f t="shared" si="47"/>
        <v/>
      </c>
    </row>
    <row r="250" spans="1:13" x14ac:dyDescent="0.35">
      <c r="A250" s="1" t="str">
        <f>IFERROR(MATCH(247,L_RangPaire,0),"")</f>
        <v/>
      </c>
      <c r="B250" s="24" t="str">
        <f t="shared" si="36"/>
        <v/>
      </c>
      <c r="C250" s="1" t="str">
        <f t="shared" si="37"/>
        <v/>
      </c>
      <c r="D250" s="1" t="str">
        <f t="shared" si="38"/>
        <v/>
      </c>
      <c r="E250" s="25" t="str">
        <f t="shared" si="39"/>
        <v/>
      </c>
      <c r="F250" s="1" t="str">
        <f t="shared" si="40"/>
        <v/>
      </c>
      <c r="G250" s="24" t="str">
        <f t="shared" si="41"/>
        <v/>
      </c>
      <c r="H250" s="1" t="str">
        <f t="shared" si="42"/>
        <v/>
      </c>
      <c r="I250" s="25" t="str">
        <f t="shared" si="43"/>
        <v/>
      </c>
      <c r="J250" s="1" t="str">
        <f t="shared" si="44"/>
        <v/>
      </c>
      <c r="K250" s="25" t="str">
        <f t="shared" si="45"/>
        <v/>
      </c>
      <c r="L250" s="1" t="str">
        <f t="shared" si="46"/>
        <v/>
      </c>
      <c r="M250" s="1" t="str">
        <f t="shared" si="47"/>
        <v/>
      </c>
    </row>
    <row r="251" spans="1:13" x14ac:dyDescent="0.35">
      <c r="A251" s="1" t="str">
        <f>IFERROR(MATCH(248,L_RangPaire,0),"")</f>
        <v/>
      </c>
      <c r="B251" s="24" t="str">
        <f t="shared" si="36"/>
        <v/>
      </c>
      <c r="C251" s="1" t="str">
        <f t="shared" si="37"/>
        <v/>
      </c>
      <c r="D251" s="1" t="str">
        <f t="shared" si="38"/>
        <v/>
      </c>
      <c r="E251" s="25" t="str">
        <f t="shared" si="39"/>
        <v/>
      </c>
      <c r="F251" s="1" t="str">
        <f t="shared" si="40"/>
        <v/>
      </c>
      <c r="G251" s="24" t="str">
        <f t="shared" si="41"/>
        <v/>
      </c>
      <c r="H251" s="1" t="str">
        <f t="shared" si="42"/>
        <v/>
      </c>
      <c r="I251" s="25" t="str">
        <f t="shared" si="43"/>
        <v/>
      </c>
      <c r="J251" s="1" t="str">
        <f t="shared" si="44"/>
        <v/>
      </c>
      <c r="K251" s="25" t="str">
        <f t="shared" si="45"/>
        <v/>
      </c>
      <c r="L251" s="1" t="str">
        <f t="shared" si="46"/>
        <v/>
      </c>
      <c r="M251" s="1" t="str">
        <f t="shared" si="47"/>
        <v/>
      </c>
    </row>
    <row r="252" spans="1:13" x14ac:dyDescent="0.35">
      <c r="A252" s="1" t="str">
        <f>IFERROR(MATCH(249,L_RangPaire,0),"")</f>
        <v/>
      </c>
      <c r="B252" s="24" t="str">
        <f t="shared" si="36"/>
        <v/>
      </c>
      <c r="C252" s="1" t="str">
        <f t="shared" si="37"/>
        <v/>
      </c>
      <c r="D252" s="1" t="str">
        <f t="shared" si="38"/>
        <v/>
      </c>
      <c r="E252" s="25" t="str">
        <f t="shared" si="39"/>
        <v/>
      </c>
      <c r="F252" s="1" t="str">
        <f t="shared" si="40"/>
        <v/>
      </c>
      <c r="G252" s="24" t="str">
        <f t="shared" si="41"/>
        <v/>
      </c>
      <c r="H252" s="1" t="str">
        <f t="shared" si="42"/>
        <v/>
      </c>
      <c r="I252" s="25" t="str">
        <f t="shared" si="43"/>
        <v/>
      </c>
      <c r="J252" s="1" t="str">
        <f t="shared" si="44"/>
        <v/>
      </c>
      <c r="K252" s="25" t="str">
        <f t="shared" si="45"/>
        <v/>
      </c>
      <c r="L252" s="1" t="str">
        <f t="shared" si="46"/>
        <v/>
      </c>
      <c r="M252" s="1" t="str">
        <f t="shared" si="47"/>
        <v/>
      </c>
    </row>
    <row r="253" spans="1:13" x14ac:dyDescent="0.35">
      <c r="A253" s="1" t="str">
        <f>IFERROR(MATCH(250,L_RangPaire,0),"")</f>
        <v/>
      </c>
      <c r="B253" s="24" t="str">
        <f t="shared" si="36"/>
        <v/>
      </c>
      <c r="C253" s="1" t="str">
        <f t="shared" si="37"/>
        <v/>
      </c>
      <c r="D253" s="1" t="str">
        <f t="shared" si="38"/>
        <v/>
      </c>
      <c r="E253" s="25" t="str">
        <f t="shared" si="39"/>
        <v/>
      </c>
      <c r="F253" s="1" t="str">
        <f t="shared" si="40"/>
        <v/>
      </c>
      <c r="G253" s="24" t="str">
        <f t="shared" si="41"/>
        <v/>
      </c>
      <c r="H253" s="1" t="str">
        <f t="shared" si="42"/>
        <v/>
      </c>
      <c r="I253" s="25" t="str">
        <f t="shared" si="43"/>
        <v/>
      </c>
      <c r="J253" s="1" t="str">
        <f t="shared" si="44"/>
        <v/>
      </c>
      <c r="K253" s="25" t="str">
        <f t="shared" si="45"/>
        <v/>
      </c>
      <c r="L253" s="1" t="str">
        <f t="shared" si="46"/>
        <v/>
      </c>
      <c r="M253" s="1" t="str">
        <f t="shared" si="47"/>
        <v/>
      </c>
    </row>
    <row r="254" spans="1:13" x14ac:dyDescent="0.35">
      <c r="A254" s="1" t="str">
        <f>IFERROR(MATCH(251,L_RangPaire,0),"")</f>
        <v/>
      </c>
      <c r="B254" s="24" t="str">
        <f t="shared" si="36"/>
        <v/>
      </c>
      <c r="C254" s="1" t="str">
        <f t="shared" si="37"/>
        <v/>
      </c>
      <c r="D254" s="1" t="str">
        <f t="shared" si="38"/>
        <v/>
      </c>
      <c r="E254" s="25" t="str">
        <f t="shared" si="39"/>
        <v/>
      </c>
      <c r="F254" s="1" t="str">
        <f t="shared" si="40"/>
        <v/>
      </c>
      <c r="G254" s="24" t="str">
        <f t="shared" si="41"/>
        <v/>
      </c>
      <c r="H254" s="1" t="str">
        <f t="shared" si="42"/>
        <v/>
      </c>
      <c r="I254" s="25" t="str">
        <f t="shared" si="43"/>
        <v/>
      </c>
      <c r="J254" s="1" t="str">
        <f t="shared" si="44"/>
        <v/>
      </c>
      <c r="K254" s="25" t="str">
        <f t="shared" si="45"/>
        <v/>
      </c>
      <c r="L254" s="1" t="str">
        <f t="shared" si="46"/>
        <v/>
      </c>
      <c r="M254" s="1" t="str">
        <f t="shared" si="47"/>
        <v/>
      </c>
    </row>
    <row r="255" spans="1:13" x14ac:dyDescent="0.35">
      <c r="A255" s="1" t="str">
        <f>IFERROR(MATCH(252,L_RangPaire,0),"")</f>
        <v/>
      </c>
      <c r="B255" s="24" t="str">
        <f t="shared" si="36"/>
        <v/>
      </c>
      <c r="C255" s="1" t="str">
        <f t="shared" si="37"/>
        <v/>
      </c>
      <c r="D255" s="1" t="str">
        <f t="shared" si="38"/>
        <v/>
      </c>
      <c r="E255" s="25" t="str">
        <f t="shared" si="39"/>
        <v/>
      </c>
      <c r="F255" s="1" t="str">
        <f t="shared" si="40"/>
        <v/>
      </c>
      <c r="G255" s="24" t="str">
        <f t="shared" si="41"/>
        <v/>
      </c>
      <c r="H255" s="1" t="str">
        <f t="shared" si="42"/>
        <v/>
      </c>
      <c r="I255" s="25" t="str">
        <f t="shared" si="43"/>
        <v/>
      </c>
      <c r="J255" s="1" t="str">
        <f t="shared" si="44"/>
        <v/>
      </c>
      <c r="K255" s="25" t="str">
        <f t="shared" si="45"/>
        <v/>
      </c>
      <c r="L255" s="1" t="str">
        <f t="shared" si="46"/>
        <v/>
      </c>
      <c r="M255" s="1" t="str">
        <f t="shared" si="47"/>
        <v/>
      </c>
    </row>
    <row r="256" spans="1:13" x14ac:dyDescent="0.35">
      <c r="A256" s="1" t="str">
        <f>IFERROR(MATCH(253,L_RangPaire,0),"")</f>
        <v/>
      </c>
      <c r="B256" s="24" t="str">
        <f t="shared" si="36"/>
        <v/>
      </c>
      <c r="C256" s="1" t="str">
        <f t="shared" si="37"/>
        <v/>
      </c>
      <c r="D256" s="1" t="str">
        <f t="shared" si="38"/>
        <v/>
      </c>
      <c r="E256" s="25" t="str">
        <f t="shared" si="39"/>
        <v/>
      </c>
      <c r="F256" s="1" t="str">
        <f t="shared" si="40"/>
        <v/>
      </c>
      <c r="G256" s="24" t="str">
        <f t="shared" si="41"/>
        <v/>
      </c>
      <c r="H256" s="1" t="str">
        <f t="shared" si="42"/>
        <v/>
      </c>
      <c r="I256" s="25" t="str">
        <f t="shared" si="43"/>
        <v/>
      </c>
      <c r="J256" s="1" t="str">
        <f t="shared" si="44"/>
        <v/>
      </c>
      <c r="K256" s="25" t="str">
        <f t="shared" si="45"/>
        <v/>
      </c>
      <c r="L256" s="1" t="str">
        <f t="shared" si="46"/>
        <v/>
      </c>
      <c r="M256" s="1" t="str">
        <f t="shared" si="47"/>
        <v/>
      </c>
    </row>
    <row r="257" spans="1:13" x14ac:dyDescent="0.35">
      <c r="A257" s="1" t="str">
        <f>IFERROR(MATCH(254,L_RangPaire,0),"")</f>
        <v/>
      </c>
      <c r="B257" s="24" t="str">
        <f t="shared" si="36"/>
        <v/>
      </c>
      <c r="C257" s="1" t="str">
        <f t="shared" si="37"/>
        <v/>
      </c>
      <c r="D257" s="1" t="str">
        <f t="shared" si="38"/>
        <v/>
      </c>
      <c r="E257" s="25" t="str">
        <f t="shared" si="39"/>
        <v/>
      </c>
      <c r="F257" s="1" t="str">
        <f t="shared" si="40"/>
        <v/>
      </c>
      <c r="G257" s="24" t="str">
        <f t="shared" si="41"/>
        <v/>
      </c>
      <c r="H257" s="1" t="str">
        <f t="shared" si="42"/>
        <v/>
      </c>
      <c r="I257" s="25" t="str">
        <f t="shared" si="43"/>
        <v/>
      </c>
      <c r="J257" s="1" t="str">
        <f t="shared" si="44"/>
        <v/>
      </c>
      <c r="K257" s="25" t="str">
        <f t="shared" si="45"/>
        <v/>
      </c>
      <c r="L257" s="1" t="str">
        <f t="shared" si="46"/>
        <v/>
      </c>
      <c r="M257" s="1" t="str">
        <f t="shared" si="47"/>
        <v/>
      </c>
    </row>
    <row r="258" spans="1:13" x14ac:dyDescent="0.35">
      <c r="A258" s="1" t="str">
        <f>IFERROR(MATCH(255,L_RangPaire,0),"")</f>
        <v/>
      </c>
      <c r="B258" s="24" t="str">
        <f t="shared" si="36"/>
        <v/>
      </c>
      <c r="C258" s="1" t="str">
        <f t="shared" si="37"/>
        <v/>
      </c>
      <c r="D258" s="1" t="str">
        <f t="shared" si="38"/>
        <v/>
      </c>
      <c r="E258" s="25" t="str">
        <f t="shared" si="39"/>
        <v/>
      </c>
      <c r="F258" s="1" t="str">
        <f t="shared" si="40"/>
        <v/>
      </c>
      <c r="G258" s="24" t="str">
        <f t="shared" si="41"/>
        <v/>
      </c>
      <c r="H258" s="1" t="str">
        <f t="shared" si="42"/>
        <v/>
      </c>
      <c r="I258" s="25" t="str">
        <f t="shared" si="43"/>
        <v/>
      </c>
      <c r="J258" s="1" t="str">
        <f t="shared" si="44"/>
        <v/>
      </c>
      <c r="K258" s="25" t="str">
        <f t="shared" si="45"/>
        <v/>
      </c>
      <c r="L258" s="1" t="str">
        <f t="shared" si="46"/>
        <v/>
      </c>
      <c r="M258" s="1" t="str">
        <f t="shared" si="47"/>
        <v/>
      </c>
    </row>
    <row r="259" spans="1:13" x14ac:dyDescent="0.35">
      <c r="A259" s="1" t="str">
        <f>IFERROR(MATCH(256,L_RangPaire,0),"")</f>
        <v/>
      </c>
      <c r="B259" s="24" t="str">
        <f t="shared" si="36"/>
        <v/>
      </c>
      <c r="C259" s="1" t="str">
        <f t="shared" si="37"/>
        <v/>
      </c>
      <c r="D259" s="1" t="str">
        <f t="shared" si="38"/>
        <v/>
      </c>
      <c r="E259" s="25" t="str">
        <f t="shared" si="39"/>
        <v/>
      </c>
      <c r="F259" s="1" t="str">
        <f t="shared" si="40"/>
        <v/>
      </c>
      <c r="G259" s="24" t="str">
        <f t="shared" si="41"/>
        <v/>
      </c>
      <c r="H259" s="1" t="str">
        <f t="shared" si="42"/>
        <v/>
      </c>
      <c r="I259" s="25" t="str">
        <f t="shared" si="43"/>
        <v/>
      </c>
      <c r="J259" s="1" t="str">
        <f t="shared" si="44"/>
        <v/>
      </c>
      <c r="K259" s="25" t="str">
        <f t="shared" si="45"/>
        <v/>
      </c>
      <c r="L259" s="1" t="str">
        <f t="shared" si="46"/>
        <v/>
      </c>
      <c r="M259" s="1" t="str">
        <f t="shared" si="47"/>
        <v/>
      </c>
    </row>
    <row r="260" spans="1:13" x14ac:dyDescent="0.35">
      <c r="A260" s="1" t="str">
        <f>IFERROR(MATCH(257,L_RangPaire,0),"")</f>
        <v/>
      </c>
      <c r="B260" s="24" t="str">
        <f t="shared" ref="B260:B303" si="48">IF(A260="","",INDEX(L_Date,A260))</f>
        <v/>
      </c>
      <c r="C260" s="1" t="str">
        <f t="shared" ref="C260:C303" si="49">IF(A260="","",INDEX(L_Ref,A260)&amp;"")</f>
        <v/>
      </c>
      <c r="D260" s="1" t="str">
        <f t="shared" ref="D260:D303" si="50">IF(A260="","",INDEX(L_Motif,A260))</f>
        <v/>
      </c>
      <c r="E260" s="25" t="str">
        <f t="shared" ref="E260:E303" si="51">IF(A260="","",INDEX(L_Montant,A260))</f>
        <v/>
      </c>
      <c r="F260" s="1" t="str">
        <f t="shared" ref="F260:F303" si="52">IF(A260="","",INDEX(L_Banque,A260))</f>
        <v/>
      </c>
      <c r="G260" s="24" t="str">
        <f t="shared" ref="G260:G303" si="53">IF(F260="","",INDEX(B_Date,F260))</f>
        <v/>
      </c>
      <c r="H260" s="1" t="str">
        <f t="shared" ref="H260:H303" si="54">IF(F260="","",INDEX(B_Lib,F260))</f>
        <v/>
      </c>
      <c r="I260" s="25" t="str">
        <f t="shared" ref="I260:I303" si="55">IF(F260="","",INDEX(B_Montant,F260))</f>
        <v/>
      </c>
      <c r="J260" s="1" t="str">
        <f t="shared" ref="J260:J303" si="56">IF(A260="","",INDEX(L_DJ,A260))</f>
        <v/>
      </c>
      <c r="K260" s="25" t="str">
        <f t="shared" ref="K260:K303" si="57">IF(A260="","",INDEX(L_DM,A260))</f>
        <v/>
      </c>
      <c r="L260" s="1" t="str">
        <f t="shared" ref="L260:L303" si="58">IF(A260="","",INDEX(L_Score,A260))</f>
        <v/>
      </c>
      <c r="M260" s="1" t="str">
        <f t="shared" ref="M260:M303" si="59">IF(A260="","",INDEX(L_Statut,A260))</f>
        <v/>
      </c>
    </row>
    <row r="261" spans="1:13" x14ac:dyDescent="0.35">
      <c r="A261" s="1" t="str">
        <f>IFERROR(MATCH(258,L_RangPaire,0),"")</f>
        <v/>
      </c>
      <c r="B261" s="24" t="str">
        <f t="shared" si="48"/>
        <v/>
      </c>
      <c r="C261" s="1" t="str">
        <f t="shared" si="49"/>
        <v/>
      </c>
      <c r="D261" s="1" t="str">
        <f t="shared" si="50"/>
        <v/>
      </c>
      <c r="E261" s="25" t="str">
        <f t="shared" si="51"/>
        <v/>
      </c>
      <c r="F261" s="1" t="str">
        <f t="shared" si="52"/>
        <v/>
      </c>
      <c r="G261" s="24" t="str">
        <f t="shared" si="53"/>
        <v/>
      </c>
      <c r="H261" s="1" t="str">
        <f t="shared" si="54"/>
        <v/>
      </c>
      <c r="I261" s="25" t="str">
        <f t="shared" si="55"/>
        <v/>
      </c>
      <c r="J261" s="1" t="str">
        <f t="shared" si="56"/>
        <v/>
      </c>
      <c r="K261" s="25" t="str">
        <f t="shared" si="57"/>
        <v/>
      </c>
      <c r="L261" s="1" t="str">
        <f t="shared" si="58"/>
        <v/>
      </c>
      <c r="M261" s="1" t="str">
        <f t="shared" si="59"/>
        <v/>
      </c>
    </row>
    <row r="262" spans="1:13" x14ac:dyDescent="0.35">
      <c r="A262" s="1" t="str">
        <f>IFERROR(MATCH(259,L_RangPaire,0),"")</f>
        <v/>
      </c>
      <c r="B262" s="24" t="str">
        <f t="shared" si="48"/>
        <v/>
      </c>
      <c r="C262" s="1" t="str">
        <f t="shared" si="49"/>
        <v/>
      </c>
      <c r="D262" s="1" t="str">
        <f t="shared" si="50"/>
        <v/>
      </c>
      <c r="E262" s="25" t="str">
        <f t="shared" si="51"/>
        <v/>
      </c>
      <c r="F262" s="1" t="str">
        <f t="shared" si="52"/>
        <v/>
      </c>
      <c r="G262" s="24" t="str">
        <f t="shared" si="53"/>
        <v/>
      </c>
      <c r="H262" s="1" t="str">
        <f t="shared" si="54"/>
        <v/>
      </c>
      <c r="I262" s="25" t="str">
        <f t="shared" si="55"/>
        <v/>
      </c>
      <c r="J262" s="1" t="str">
        <f t="shared" si="56"/>
        <v/>
      </c>
      <c r="K262" s="25" t="str">
        <f t="shared" si="57"/>
        <v/>
      </c>
      <c r="L262" s="1" t="str">
        <f t="shared" si="58"/>
        <v/>
      </c>
      <c r="M262" s="1" t="str">
        <f t="shared" si="59"/>
        <v/>
      </c>
    </row>
    <row r="263" spans="1:13" x14ac:dyDescent="0.35">
      <c r="A263" s="1" t="str">
        <f>IFERROR(MATCH(260,L_RangPaire,0),"")</f>
        <v/>
      </c>
      <c r="B263" s="24" t="str">
        <f t="shared" si="48"/>
        <v/>
      </c>
      <c r="C263" s="1" t="str">
        <f t="shared" si="49"/>
        <v/>
      </c>
      <c r="D263" s="1" t="str">
        <f t="shared" si="50"/>
        <v/>
      </c>
      <c r="E263" s="25" t="str">
        <f t="shared" si="51"/>
        <v/>
      </c>
      <c r="F263" s="1" t="str">
        <f t="shared" si="52"/>
        <v/>
      </c>
      <c r="G263" s="24" t="str">
        <f t="shared" si="53"/>
        <v/>
      </c>
      <c r="H263" s="1" t="str">
        <f t="shared" si="54"/>
        <v/>
      </c>
      <c r="I263" s="25" t="str">
        <f t="shared" si="55"/>
        <v/>
      </c>
      <c r="J263" s="1" t="str">
        <f t="shared" si="56"/>
        <v/>
      </c>
      <c r="K263" s="25" t="str">
        <f t="shared" si="57"/>
        <v/>
      </c>
      <c r="L263" s="1" t="str">
        <f t="shared" si="58"/>
        <v/>
      </c>
      <c r="M263" s="1" t="str">
        <f t="shared" si="59"/>
        <v/>
      </c>
    </row>
    <row r="264" spans="1:13" x14ac:dyDescent="0.35">
      <c r="A264" s="1" t="str">
        <f>IFERROR(MATCH(261,L_RangPaire,0),"")</f>
        <v/>
      </c>
      <c r="B264" s="24" t="str">
        <f t="shared" si="48"/>
        <v/>
      </c>
      <c r="C264" s="1" t="str">
        <f t="shared" si="49"/>
        <v/>
      </c>
      <c r="D264" s="1" t="str">
        <f t="shared" si="50"/>
        <v/>
      </c>
      <c r="E264" s="25" t="str">
        <f t="shared" si="51"/>
        <v/>
      </c>
      <c r="F264" s="1" t="str">
        <f t="shared" si="52"/>
        <v/>
      </c>
      <c r="G264" s="24" t="str">
        <f t="shared" si="53"/>
        <v/>
      </c>
      <c r="H264" s="1" t="str">
        <f t="shared" si="54"/>
        <v/>
      </c>
      <c r="I264" s="25" t="str">
        <f t="shared" si="55"/>
        <v/>
      </c>
      <c r="J264" s="1" t="str">
        <f t="shared" si="56"/>
        <v/>
      </c>
      <c r="K264" s="25" t="str">
        <f t="shared" si="57"/>
        <v/>
      </c>
      <c r="L264" s="1" t="str">
        <f t="shared" si="58"/>
        <v/>
      </c>
      <c r="M264" s="1" t="str">
        <f t="shared" si="59"/>
        <v/>
      </c>
    </row>
    <row r="265" spans="1:13" x14ac:dyDescent="0.35">
      <c r="A265" s="1" t="str">
        <f>IFERROR(MATCH(262,L_RangPaire,0),"")</f>
        <v/>
      </c>
      <c r="B265" s="24" t="str">
        <f t="shared" si="48"/>
        <v/>
      </c>
      <c r="C265" s="1" t="str">
        <f t="shared" si="49"/>
        <v/>
      </c>
      <c r="D265" s="1" t="str">
        <f t="shared" si="50"/>
        <v/>
      </c>
      <c r="E265" s="25" t="str">
        <f t="shared" si="51"/>
        <v/>
      </c>
      <c r="F265" s="1" t="str">
        <f t="shared" si="52"/>
        <v/>
      </c>
      <c r="G265" s="24" t="str">
        <f t="shared" si="53"/>
        <v/>
      </c>
      <c r="H265" s="1" t="str">
        <f t="shared" si="54"/>
        <v/>
      </c>
      <c r="I265" s="25" t="str">
        <f t="shared" si="55"/>
        <v/>
      </c>
      <c r="J265" s="1" t="str">
        <f t="shared" si="56"/>
        <v/>
      </c>
      <c r="K265" s="25" t="str">
        <f t="shared" si="57"/>
        <v/>
      </c>
      <c r="L265" s="1" t="str">
        <f t="shared" si="58"/>
        <v/>
      </c>
      <c r="M265" s="1" t="str">
        <f t="shared" si="59"/>
        <v/>
      </c>
    </row>
    <row r="266" spans="1:13" x14ac:dyDescent="0.35">
      <c r="A266" s="1" t="str">
        <f>IFERROR(MATCH(263,L_RangPaire,0),"")</f>
        <v/>
      </c>
      <c r="B266" s="24" t="str">
        <f t="shared" si="48"/>
        <v/>
      </c>
      <c r="C266" s="1" t="str">
        <f t="shared" si="49"/>
        <v/>
      </c>
      <c r="D266" s="1" t="str">
        <f t="shared" si="50"/>
        <v/>
      </c>
      <c r="E266" s="25" t="str">
        <f t="shared" si="51"/>
        <v/>
      </c>
      <c r="F266" s="1" t="str">
        <f t="shared" si="52"/>
        <v/>
      </c>
      <c r="G266" s="24" t="str">
        <f t="shared" si="53"/>
        <v/>
      </c>
      <c r="H266" s="1" t="str">
        <f t="shared" si="54"/>
        <v/>
      </c>
      <c r="I266" s="25" t="str">
        <f t="shared" si="55"/>
        <v/>
      </c>
      <c r="J266" s="1" t="str">
        <f t="shared" si="56"/>
        <v/>
      </c>
      <c r="K266" s="25" t="str">
        <f t="shared" si="57"/>
        <v/>
      </c>
      <c r="L266" s="1" t="str">
        <f t="shared" si="58"/>
        <v/>
      </c>
      <c r="M266" s="1" t="str">
        <f t="shared" si="59"/>
        <v/>
      </c>
    </row>
    <row r="267" spans="1:13" x14ac:dyDescent="0.35">
      <c r="A267" s="1" t="str">
        <f>IFERROR(MATCH(264,L_RangPaire,0),"")</f>
        <v/>
      </c>
      <c r="B267" s="24" t="str">
        <f t="shared" si="48"/>
        <v/>
      </c>
      <c r="C267" s="1" t="str">
        <f t="shared" si="49"/>
        <v/>
      </c>
      <c r="D267" s="1" t="str">
        <f t="shared" si="50"/>
        <v/>
      </c>
      <c r="E267" s="25" t="str">
        <f t="shared" si="51"/>
        <v/>
      </c>
      <c r="F267" s="1" t="str">
        <f t="shared" si="52"/>
        <v/>
      </c>
      <c r="G267" s="24" t="str">
        <f t="shared" si="53"/>
        <v/>
      </c>
      <c r="H267" s="1" t="str">
        <f t="shared" si="54"/>
        <v/>
      </c>
      <c r="I267" s="25" t="str">
        <f t="shared" si="55"/>
        <v/>
      </c>
      <c r="J267" s="1" t="str">
        <f t="shared" si="56"/>
        <v/>
      </c>
      <c r="K267" s="25" t="str">
        <f t="shared" si="57"/>
        <v/>
      </c>
      <c r="L267" s="1" t="str">
        <f t="shared" si="58"/>
        <v/>
      </c>
      <c r="M267" s="1" t="str">
        <f t="shared" si="59"/>
        <v/>
      </c>
    </row>
    <row r="268" spans="1:13" x14ac:dyDescent="0.35">
      <c r="A268" s="1" t="str">
        <f>IFERROR(MATCH(265,L_RangPaire,0),"")</f>
        <v/>
      </c>
      <c r="B268" s="24" t="str">
        <f t="shared" si="48"/>
        <v/>
      </c>
      <c r="C268" s="1" t="str">
        <f t="shared" si="49"/>
        <v/>
      </c>
      <c r="D268" s="1" t="str">
        <f t="shared" si="50"/>
        <v/>
      </c>
      <c r="E268" s="25" t="str">
        <f t="shared" si="51"/>
        <v/>
      </c>
      <c r="F268" s="1" t="str">
        <f t="shared" si="52"/>
        <v/>
      </c>
      <c r="G268" s="24" t="str">
        <f t="shared" si="53"/>
        <v/>
      </c>
      <c r="H268" s="1" t="str">
        <f t="shared" si="54"/>
        <v/>
      </c>
      <c r="I268" s="25" t="str">
        <f t="shared" si="55"/>
        <v/>
      </c>
      <c r="J268" s="1" t="str">
        <f t="shared" si="56"/>
        <v/>
      </c>
      <c r="K268" s="25" t="str">
        <f t="shared" si="57"/>
        <v/>
      </c>
      <c r="L268" s="1" t="str">
        <f t="shared" si="58"/>
        <v/>
      </c>
      <c r="M268" s="1" t="str">
        <f t="shared" si="59"/>
        <v/>
      </c>
    </row>
    <row r="269" spans="1:13" x14ac:dyDescent="0.35">
      <c r="A269" s="1" t="str">
        <f>IFERROR(MATCH(266,L_RangPaire,0),"")</f>
        <v/>
      </c>
      <c r="B269" s="24" t="str">
        <f t="shared" si="48"/>
        <v/>
      </c>
      <c r="C269" s="1" t="str">
        <f t="shared" si="49"/>
        <v/>
      </c>
      <c r="D269" s="1" t="str">
        <f t="shared" si="50"/>
        <v/>
      </c>
      <c r="E269" s="25" t="str">
        <f t="shared" si="51"/>
        <v/>
      </c>
      <c r="F269" s="1" t="str">
        <f t="shared" si="52"/>
        <v/>
      </c>
      <c r="G269" s="24" t="str">
        <f t="shared" si="53"/>
        <v/>
      </c>
      <c r="H269" s="1" t="str">
        <f t="shared" si="54"/>
        <v/>
      </c>
      <c r="I269" s="25" t="str">
        <f t="shared" si="55"/>
        <v/>
      </c>
      <c r="J269" s="1" t="str">
        <f t="shared" si="56"/>
        <v/>
      </c>
      <c r="K269" s="25" t="str">
        <f t="shared" si="57"/>
        <v/>
      </c>
      <c r="L269" s="1" t="str">
        <f t="shared" si="58"/>
        <v/>
      </c>
      <c r="M269" s="1" t="str">
        <f t="shared" si="59"/>
        <v/>
      </c>
    </row>
    <row r="270" spans="1:13" x14ac:dyDescent="0.35">
      <c r="A270" s="1" t="str">
        <f>IFERROR(MATCH(267,L_RangPaire,0),"")</f>
        <v/>
      </c>
      <c r="B270" s="24" t="str">
        <f t="shared" si="48"/>
        <v/>
      </c>
      <c r="C270" s="1" t="str">
        <f t="shared" si="49"/>
        <v/>
      </c>
      <c r="D270" s="1" t="str">
        <f t="shared" si="50"/>
        <v/>
      </c>
      <c r="E270" s="25" t="str">
        <f t="shared" si="51"/>
        <v/>
      </c>
      <c r="F270" s="1" t="str">
        <f t="shared" si="52"/>
        <v/>
      </c>
      <c r="G270" s="24" t="str">
        <f t="shared" si="53"/>
        <v/>
      </c>
      <c r="H270" s="1" t="str">
        <f t="shared" si="54"/>
        <v/>
      </c>
      <c r="I270" s="25" t="str">
        <f t="shared" si="55"/>
        <v/>
      </c>
      <c r="J270" s="1" t="str">
        <f t="shared" si="56"/>
        <v/>
      </c>
      <c r="K270" s="25" t="str">
        <f t="shared" si="57"/>
        <v/>
      </c>
      <c r="L270" s="1" t="str">
        <f t="shared" si="58"/>
        <v/>
      </c>
      <c r="M270" s="1" t="str">
        <f t="shared" si="59"/>
        <v/>
      </c>
    </row>
    <row r="271" spans="1:13" x14ac:dyDescent="0.35">
      <c r="A271" s="1" t="str">
        <f>IFERROR(MATCH(268,L_RangPaire,0),"")</f>
        <v/>
      </c>
      <c r="B271" s="24" t="str">
        <f t="shared" si="48"/>
        <v/>
      </c>
      <c r="C271" s="1" t="str">
        <f t="shared" si="49"/>
        <v/>
      </c>
      <c r="D271" s="1" t="str">
        <f t="shared" si="50"/>
        <v/>
      </c>
      <c r="E271" s="25" t="str">
        <f t="shared" si="51"/>
        <v/>
      </c>
      <c r="F271" s="1" t="str">
        <f t="shared" si="52"/>
        <v/>
      </c>
      <c r="G271" s="24" t="str">
        <f t="shared" si="53"/>
        <v/>
      </c>
      <c r="H271" s="1" t="str">
        <f t="shared" si="54"/>
        <v/>
      </c>
      <c r="I271" s="25" t="str">
        <f t="shared" si="55"/>
        <v/>
      </c>
      <c r="J271" s="1" t="str">
        <f t="shared" si="56"/>
        <v/>
      </c>
      <c r="K271" s="25" t="str">
        <f t="shared" si="57"/>
        <v/>
      </c>
      <c r="L271" s="1" t="str">
        <f t="shared" si="58"/>
        <v/>
      </c>
      <c r="M271" s="1" t="str">
        <f t="shared" si="59"/>
        <v/>
      </c>
    </row>
    <row r="272" spans="1:13" x14ac:dyDescent="0.35">
      <c r="A272" s="1" t="str">
        <f>IFERROR(MATCH(269,L_RangPaire,0),"")</f>
        <v/>
      </c>
      <c r="B272" s="24" t="str">
        <f t="shared" si="48"/>
        <v/>
      </c>
      <c r="C272" s="1" t="str">
        <f t="shared" si="49"/>
        <v/>
      </c>
      <c r="D272" s="1" t="str">
        <f t="shared" si="50"/>
        <v/>
      </c>
      <c r="E272" s="25" t="str">
        <f t="shared" si="51"/>
        <v/>
      </c>
      <c r="F272" s="1" t="str">
        <f t="shared" si="52"/>
        <v/>
      </c>
      <c r="G272" s="24" t="str">
        <f t="shared" si="53"/>
        <v/>
      </c>
      <c r="H272" s="1" t="str">
        <f t="shared" si="54"/>
        <v/>
      </c>
      <c r="I272" s="25" t="str">
        <f t="shared" si="55"/>
        <v/>
      </c>
      <c r="J272" s="1" t="str">
        <f t="shared" si="56"/>
        <v/>
      </c>
      <c r="K272" s="25" t="str">
        <f t="shared" si="57"/>
        <v/>
      </c>
      <c r="L272" s="1" t="str">
        <f t="shared" si="58"/>
        <v/>
      </c>
      <c r="M272" s="1" t="str">
        <f t="shared" si="59"/>
        <v/>
      </c>
    </row>
    <row r="273" spans="1:13" x14ac:dyDescent="0.35">
      <c r="A273" s="1" t="str">
        <f>IFERROR(MATCH(270,L_RangPaire,0),"")</f>
        <v/>
      </c>
      <c r="B273" s="24" t="str">
        <f t="shared" si="48"/>
        <v/>
      </c>
      <c r="C273" s="1" t="str">
        <f t="shared" si="49"/>
        <v/>
      </c>
      <c r="D273" s="1" t="str">
        <f t="shared" si="50"/>
        <v/>
      </c>
      <c r="E273" s="25" t="str">
        <f t="shared" si="51"/>
        <v/>
      </c>
      <c r="F273" s="1" t="str">
        <f t="shared" si="52"/>
        <v/>
      </c>
      <c r="G273" s="24" t="str">
        <f t="shared" si="53"/>
        <v/>
      </c>
      <c r="H273" s="1" t="str">
        <f t="shared" si="54"/>
        <v/>
      </c>
      <c r="I273" s="25" t="str">
        <f t="shared" si="55"/>
        <v/>
      </c>
      <c r="J273" s="1" t="str">
        <f t="shared" si="56"/>
        <v/>
      </c>
      <c r="K273" s="25" t="str">
        <f t="shared" si="57"/>
        <v/>
      </c>
      <c r="L273" s="1" t="str">
        <f t="shared" si="58"/>
        <v/>
      </c>
      <c r="M273" s="1" t="str">
        <f t="shared" si="59"/>
        <v/>
      </c>
    </row>
    <row r="274" spans="1:13" x14ac:dyDescent="0.35">
      <c r="A274" s="1" t="str">
        <f>IFERROR(MATCH(271,L_RangPaire,0),"")</f>
        <v/>
      </c>
      <c r="B274" s="24" t="str">
        <f t="shared" si="48"/>
        <v/>
      </c>
      <c r="C274" s="1" t="str">
        <f t="shared" si="49"/>
        <v/>
      </c>
      <c r="D274" s="1" t="str">
        <f t="shared" si="50"/>
        <v/>
      </c>
      <c r="E274" s="25" t="str">
        <f t="shared" si="51"/>
        <v/>
      </c>
      <c r="F274" s="1" t="str">
        <f t="shared" si="52"/>
        <v/>
      </c>
      <c r="G274" s="24" t="str">
        <f t="shared" si="53"/>
        <v/>
      </c>
      <c r="H274" s="1" t="str">
        <f t="shared" si="54"/>
        <v/>
      </c>
      <c r="I274" s="25" t="str">
        <f t="shared" si="55"/>
        <v/>
      </c>
      <c r="J274" s="1" t="str">
        <f t="shared" si="56"/>
        <v/>
      </c>
      <c r="K274" s="25" t="str">
        <f t="shared" si="57"/>
        <v/>
      </c>
      <c r="L274" s="1" t="str">
        <f t="shared" si="58"/>
        <v/>
      </c>
      <c r="M274" s="1" t="str">
        <f t="shared" si="59"/>
        <v/>
      </c>
    </row>
    <row r="275" spans="1:13" x14ac:dyDescent="0.35">
      <c r="A275" s="1" t="str">
        <f>IFERROR(MATCH(272,L_RangPaire,0),"")</f>
        <v/>
      </c>
      <c r="B275" s="24" t="str">
        <f t="shared" si="48"/>
        <v/>
      </c>
      <c r="C275" s="1" t="str">
        <f t="shared" si="49"/>
        <v/>
      </c>
      <c r="D275" s="1" t="str">
        <f t="shared" si="50"/>
        <v/>
      </c>
      <c r="E275" s="25" t="str">
        <f t="shared" si="51"/>
        <v/>
      </c>
      <c r="F275" s="1" t="str">
        <f t="shared" si="52"/>
        <v/>
      </c>
      <c r="G275" s="24" t="str">
        <f t="shared" si="53"/>
        <v/>
      </c>
      <c r="H275" s="1" t="str">
        <f t="shared" si="54"/>
        <v/>
      </c>
      <c r="I275" s="25" t="str">
        <f t="shared" si="55"/>
        <v/>
      </c>
      <c r="J275" s="1" t="str">
        <f t="shared" si="56"/>
        <v/>
      </c>
      <c r="K275" s="25" t="str">
        <f t="shared" si="57"/>
        <v/>
      </c>
      <c r="L275" s="1" t="str">
        <f t="shared" si="58"/>
        <v/>
      </c>
      <c r="M275" s="1" t="str">
        <f t="shared" si="59"/>
        <v/>
      </c>
    </row>
    <row r="276" spans="1:13" x14ac:dyDescent="0.35">
      <c r="A276" s="1" t="str">
        <f>IFERROR(MATCH(273,L_RangPaire,0),"")</f>
        <v/>
      </c>
      <c r="B276" s="24" t="str">
        <f t="shared" si="48"/>
        <v/>
      </c>
      <c r="C276" s="1" t="str">
        <f t="shared" si="49"/>
        <v/>
      </c>
      <c r="D276" s="1" t="str">
        <f t="shared" si="50"/>
        <v/>
      </c>
      <c r="E276" s="25" t="str">
        <f t="shared" si="51"/>
        <v/>
      </c>
      <c r="F276" s="1" t="str">
        <f t="shared" si="52"/>
        <v/>
      </c>
      <c r="G276" s="24" t="str">
        <f t="shared" si="53"/>
        <v/>
      </c>
      <c r="H276" s="1" t="str">
        <f t="shared" si="54"/>
        <v/>
      </c>
      <c r="I276" s="25" t="str">
        <f t="shared" si="55"/>
        <v/>
      </c>
      <c r="J276" s="1" t="str">
        <f t="shared" si="56"/>
        <v/>
      </c>
      <c r="K276" s="25" t="str">
        <f t="shared" si="57"/>
        <v/>
      </c>
      <c r="L276" s="1" t="str">
        <f t="shared" si="58"/>
        <v/>
      </c>
      <c r="M276" s="1" t="str">
        <f t="shared" si="59"/>
        <v/>
      </c>
    </row>
    <row r="277" spans="1:13" x14ac:dyDescent="0.35">
      <c r="A277" s="1" t="str">
        <f>IFERROR(MATCH(274,L_RangPaire,0),"")</f>
        <v/>
      </c>
      <c r="B277" s="24" t="str">
        <f t="shared" si="48"/>
        <v/>
      </c>
      <c r="C277" s="1" t="str">
        <f t="shared" si="49"/>
        <v/>
      </c>
      <c r="D277" s="1" t="str">
        <f t="shared" si="50"/>
        <v/>
      </c>
      <c r="E277" s="25" t="str">
        <f t="shared" si="51"/>
        <v/>
      </c>
      <c r="F277" s="1" t="str">
        <f t="shared" si="52"/>
        <v/>
      </c>
      <c r="G277" s="24" t="str">
        <f t="shared" si="53"/>
        <v/>
      </c>
      <c r="H277" s="1" t="str">
        <f t="shared" si="54"/>
        <v/>
      </c>
      <c r="I277" s="25" t="str">
        <f t="shared" si="55"/>
        <v/>
      </c>
      <c r="J277" s="1" t="str">
        <f t="shared" si="56"/>
        <v/>
      </c>
      <c r="K277" s="25" t="str">
        <f t="shared" si="57"/>
        <v/>
      </c>
      <c r="L277" s="1" t="str">
        <f t="shared" si="58"/>
        <v/>
      </c>
      <c r="M277" s="1" t="str">
        <f t="shared" si="59"/>
        <v/>
      </c>
    </row>
    <row r="278" spans="1:13" x14ac:dyDescent="0.35">
      <c r="A278" s="1" t="str">
        <f>IFERROR(MATCH(275,L_RangPaire,0),"")</f>
        <v/>
      </c>
      <c r="B278" s="24" t="str">
        <f t="shared" si="48"/>
        <v/>
      </c>
      <c r="C278" s="1" t="str">
        <f t="shared" si="49"/>
        <v/>
      </c>
      <c r="D278" s="1" t="str">
        <f t="shared" si="50"/>
        <v/>
      </c>
      <c r="E278" s="25" t="str">
        <f t="shared" si="51"/>
        <v/>
      </c>
      <c r="F278" s="1" t="str">
        <f t="shared" si="52"/>
        <v/>
      </c>
      <c r="G278" s="24" t="str">
        <f t="shared" si="53"/>
        <v/>
      </c>
      <c r="H278" s="1" t="str">
        <f t="shared" si="54"/>
        <v/>
      </c>
      <c r="I278" s="25" t="str">
        <f t="shared" si="55"/>
        <v/>
      </c>
      <c r="J278" s="1" t="str">
        <f t="shared" si="56"/>
        <v/>
      </c>
      <c r="K278" s="25" t="str">
        <f t="shared" si="57"/>
        <v/>
      </c>
      <c r="L278" s="1" t="str">
        <f t="shared" si="58"/>
        <v/>
      </c>
      <c r="M278" s="1" t="str">
        <f t="shared" si="59"/>
        <v/>
      </c>
    </row>
    <row r="279" spans="1:13" x14ac:dyDescent="0.35">
      <c r="A279" s="1" t="str">
        <f>IFERROR(MATCH(276,L_RangPaire,0),"")</f>
        <v/>
      </c>
      <c r="B279" s="24" t="str">
        <f t="shared" si="48"/>
        <v/>
      </c>
      <c r="C279" s="1" t="str">
        <f t="shared" si="49"/>
        <v/>
      </c>
      <c r="D279" s="1" t="str">
        <f t="shared" si="50"/>
        <v/>
      </c>
      <c r="E279" s="25" t="str">
        <f t="shared" si="51"/>
        <v/>
      </c>
      <c r="F279" s="1" t="str">
        <f t="shared" si="52"/>
        <v/>
      </c>
      <c r="G279" s="24" t="str">
        <f t="shared" si="53"/>
        <v/>
      </c>
      <c r="H279" s="1" t="str">
        <f t="shared" si="54"/>
        <v/>
      </c>
      <c r="I279" s="25" t="str">
        <f t="shared" si="55"/>
        <v/>
      </c>
      <c r="J279" s="1" t="str">
        <f t="shared" si="56"/>
        <v/>
      </c>
      <c r="K279" s="25" t="str">
        <f t="shared" si="57"/>
        <v/>
      </c>
      <c r="L279" s="1" t="str">
        <f t="shared" si="58"/>
        <v/>
      </c>
      <c r="M279" s="1" t="str">
        <f t="shared" si="59"/>
        <v/>
      </c>
    </row>
    <row r="280" spans="1:13" x14ac:dyDescent="0.35">
      <c r="A280" s="1" t="str">
        <f>IFERROR(MATCH(277,L_RangPaire,0),"")</f>
        <v/>
      </c>
      <c r="B280" s="24" t="str">
        <f t="shared" si="48"/>
        <v/>
      </c>
      <c r="C280" s="1" t="str">
        <f t="shared" si="49"/>
        <v/>
      </c>
      <c r="D280" s="1" t="str">
        <f t="shared" si="50"/>
        <v/>
      </c>
      <c r="E280" s="25" t="str">
        <f t="shared" si="51"/>
        <v/>
      </c>
      <c r="F280" s="1" t="str">
        <f t="shared" si="52"/>
        <v/>
      </c>
      <c r="G280" s="24" t="str">
        <f t="shared" si="53"/>
        <v/>
      </c>
      <c r="H280" s="1" t="str">
        <f t="shared" si="54"/>
        <v/>
      </c>
      <c r="I280" s="25" t="str">
        <f t="shared" si="55"/>
        <v/>
      </c>
      <c r="J280" s="1" t="str">
        <f t="shared" si="56"/>
        <v/>
      </c>
      <c r="K280" s="25" t="str">
        <f t="shared" si="57"/>
        <v/>
      </c>
      <c r="L280" s="1" t="str">
        <f t="shared" si="58"/>
        <v/>
      </c>
      <c r="M280" s="1" t="str">
        <f t="shared" si="59"/>
        <v/>
      </c>
    </row>
    <row r="281" spans="1:13" x14ac:dyDescent="0.35">
      <c r="A281" s="1" t="str">
        <f>IFERROR(MATCH(278,L_RangPaire,0),"")</f>
        <v/>
      </c>
      <c r="B281" s="24" t="str">
        <f t="shared" si="48"/>
        <v/>
      </c>
      <c r="C281" s="1" t="str">
        <f t="shared" si="49"/>
        <v/>
      </c>
      <c r="D281" s="1" t="str">
        <f t="shared" si="50"/>
        <v/>
      </c>
      <c r="E281" s="25" t="str">
        <f t="shared" si="51"/>
        <v/>
      </c>
      <c r="F281" s="1" t="str">
        <f t="shared" si="52"/>
        <v/>
      </c>
      <c r="G281" s="24" t="str">
        <f t="shared" si="53"/>
        <v/>
      </c>
      <c r="H281" s="1" t="str">
        <f t="shared" si="54"/>
        <v/>
      </c>
      <c r="I281" s="25" t="str">
        <f t="shared" si="55"/>
        <v/>
      </c>
      <c r="J281" s="1" t="str">
        <f t="shared" si="56"/>
        <v/>
      </c>
      <c r="K281" s="25" t="str">
        <f t="shared" si="57"/>
        <v/>
      </c>
      <c r="L281" s="1" t="str">
        <f t="shared" si="58"/>
        <v/>
      </c>
      <c r="M281" s="1" t="str">
        <f t="shared" si="59"/>
        <v/>
      </c>
    </row>
    <row r="282" spans="1:13" x14ac:dyDescent="0.35">
      <c r="A282" s="1" t="str">
        <f>IFERROR(MATCH(279,L_RangPaire,0),"")</f>
        <v/>
      </c>
      <c r="B282" s="24" t="str">
        <f t="shared" si="48"/>
        <v/>
      </c>
      <c r="C282" s="1" t="str">
        <f t="shared" si="49"/>
        <v/>
      </c>
      <c r="D282" s="1" t="str">
        <f t="shared" si="50"/>
        <v/>
      </c>
      <c r="E282" s="25" t="str">
        <f t="shared" si="51"/>
        <v/>
      </c>
      <c r="F282" s="1" t="str">
        <f t="shared" si="52"/>
        <v/>
      </c>
      <c r="G282" s="24" t="str">
        <f t="shared" si="53"/>
        <v/>
      </c>
      <c r="H282" s="1" t="str">
        <f t="shared" si="54"/>
        <v/>
      </c>
      <c r="I282" s="25" t="str">
        <f t="shared" si="55"/>
        <v/>
      </c>
      <c r="J282" s="1" t="str">
        <f t="shared" si="56"/>
        <v/>
      </c>
      <c r="K282" s="25" t="str">
        <f t="shared" si="57"/>
        <v/>
      </c>
      <c r="L282" s="1" t="str">
        <f t="shared" si="58"/>
        <v/>
      </c>
      <c r="M282" s="1" t="str">
        <f t="shared" si="59"/>
        <v/>
      </c>
    </row>
    <row r="283" spans="1:13" x14ac:dyDescent="0.35">
      <c r="A283" s="1" t="str">
        <f>IFERROR(MATCH(280,L_RangPaire,0),"")</f>
        <v/>
      </c>
      <c r="B283" s="24" t="str">
        <f t="shared" si="48"/>
        <v/>
      </c>
      <c r="C283" s="1" t="str">
        <f t="shared" si="49"/>
        <v/>
      </c>
      <c r="D283" s="1" t="str">
        <f t="shared" si="50"/>
        <v/>
      </c>
      <c r="E283" s="25" t="str">
        <f t="shared" si="51"/>
        <v/>
      </c>
      <c r="F283" s="1" t="str">
        <f t="shared" si="52"/>
        <v/>
      </c>
      <c r="G283" s="24" t="str">
        <f t="shared" si="53"/>
        <v/>
      </c>
      <c r="H283" s="1" t="str">
        <f t="shared" si="54"/>
        <v/>
      </c>
      <c r="I283" s="25" t="str">
        <f t="shared" si="55"/>
        <v/>
      </c>
      <c r="J283" s="1" t="str">
        <f t="shared" si="56"/>
        <v/>
      </c>
      <c r="K283" s="25" t="str">
        <f t="shared" si="57"/>
        <v/>
      </c>
      <c r="L283" s="1" t="str">
        <f t="shared" si="58"/>
        <v/>
      </c>
      <c r="M283" s="1" t="str">
        <f t="shared" si="59"/>
        <v/>
      </c>
    </row>
    <row r="284" spans="1:13" x14ac:dyDescent="0.35">
      <c r="A284" s="1" t="str">
        <f>IFERROR(MATCH(281,L_RangPaire,0),"")</f>
        <v/>
      </c>
      <c r="B284" s="24" t="str">
        <f t="shared" si="48"/>
        <v/>
      </c>
      <c r="C284" s="1" t="str">
        <f t="shared" si="49"/>
        <v/>
      </c>
      <c r="D284" s="1" t="str">
        <f t="shared" si="50"/>
        <v/>
      </c>
      <c r="E284" s="25" t="str">
        <f t="shared" si="51"/>
        <v/>
      </c>
      <c r="F284" s="1" t="str">
        <f t="shared" si="52"/>
        <v/>
      </c>
      <c r="G284" s="24" t="str">
        <f t="shared" si="53"/>
        <v/>
      </c>
      <c r="H284" s="1" t="str">
        <f t="shared" si="54"/>
        <v/>
      </c>
      <c r="I284" s="25" t="str">
        <f t="shared" si="55"/>
        <v/>
      </c>
      <c r="J284" s="1" t="str">
        <f t="shared" si="56"/>
        <v/>
      </c>
      <c r="K284" s="25" t="str">
        <f t="shared" si="57"/>
        <v/>
      </c>
      <c r="L284" s="1" t="str">
        <f t="shared" si="58"/>
        <v/>
      </c>
      <c r="M284" s="1" t="str">
        <f t="shared" si="59"/>
        <v/>
      </c>
    </row>
    <row r="285" spans="1:13" x14ac:dyDescent="0.35">
      <c r="A285" s="1" t="str">
        <f>IFERROR(MATCH(282,L_RangPaire,0),"")</f>
        <v/>
      </c>
      <c r="B285" s="24" t="str">
        <f t="shared" si="48"/>
        <v/>
      </c>
      <c r="C285" s="1" t="str">
        <f t="shared" si="49"/>
        <v/>
      </c>
      <c r="D285" s="1" t="str">
        <f t="shared" si="50"/>
        <v/>
      </c>
      <c r="E285" s="25" t="str">
        <f t="shared" si="51"/>
        <v/>
      </c>
      <c r="F285" s="1" t="str">
        <f t="shared" si="52"/>
        <v/>
      </c>
      <c r="G285" s="24" t="str">
        <f t="shared" si="53"/>
        <v/>
      </c>
      <c r="H285" s="1" t="str">
        <f t="shared" si="54"/>
        <v/>
      </c>
      <c r="I285" s="25" t="str">
        <f t="shared" si="55"/>
        <v/>
      </c>
      <c r="J285" s="1" t="str">
        <f t="shared" si="56"/>
        <v/>
      </c>
      <c r="K285" s="25" t="str">
        <f t="shared" si="57"/>
        <v/>
      </c>
      <c r="L285" s="1" t="str">
        <f t="shared" si="58"/>
        <v/>
      </c>
      <c r="M285" s="1" t="str">
        <f t="shared" si="59"/>
        <v/>
      </c>
    </row>
    <row r="286" spans="1:13" x14ac:dyDescent="0.35">
      <c r="A286" s="1" t="str">
        <f>IFERROR(MATCH(283,L_RangPaire,0),"")</f>
        <v/>
      </c>
      <c r="B286" s="24" t="str">
        <f t="shared" si="48"/>
        <v/>
      </c>
      <c r="C286" s="1" t="str">
        <f t="shared" si="49"/>
        <v/>
      </c>
      <c r="D286" s="1" t="str">
        <f t="shared" si="50"/>
        <v/>
      </c>
      <c r="E286" s="25" t="str">
        <f t="shared" si="51"/>
        <v/>
      </c>
      <c r="F286" s="1" t="str">
        <f t="shared" si="52"/>
        <v/>
      </c>
      <c r="G286" s="24" t="str">
        <f t="shared" si="53"/>
        <v/>
      </c>
      <c r="H286" s="1" t="str">
        <f t="shared" si="54"/>
        <v/>
      </c>
      <c r="I286" s="25" t="str">
        <f t="shared" si="55"/>
        <v/>
      </c>
      <c r="J286" s="1" t="str">
        <f t="shared" si="56"/>
        <v/>
      </c>
      <c r="K286" s="25" t="str">
        <f t="shared" si="57"/>
        <v/>
      </c>
      <c r="L286" s="1" t="str">
        <f t="shared" si="58"/>
        <v/>
      </c>
      <c r="M286" s="1" t="str">
        <f t="shared" si="59"/>
        <v/>
      </c>
    </row>
    <row r="287" spans="1:13" x14ac:dyDescent="0.35">
      <c r="A287" s="1" t="str">
        <f>IFERROR(MATCH(284,L_RangPaire,0),"")</f>
        <v/>
      </c>
      <c r="B287" s="24" t="str">
        <f t="shared" si="48"/>
        <v/>
      </c>
      <c r="C287" s="1" t="str">
        <f t="shared" si="49"/>
        <v/>
      </c>
      <c r="D287" s="1" t="str">
        <f t="shared" si="50"/>
        <v/>
      </c>
      <c r="E287" s="25" t="str">
        <f t="shared" si="51"/>
        <v/>
      </c>
      <c r="F287" s="1" t="str">
        <f t="shared" si="52"/>
        <v/>
      </c>
      <c r="G287" s="24" t="str">
        <f t="shared" si="53"/>
        <v/>
      </c>
      <c r="H287" s="1" t="str">
        <f t="shared" si="54"/>
        <v/>
      </c>
      <c r="I287" s="25" t="str">
        <f t="shared" si="55"/>
        <v/>
      </c>
      <c r="J287" s="1" t="str">
        <f t="shared" si="56"/>
        <v/>
      </c>
      <c r="K287" s="25" t="str">
        <f t="shared" si="57"/>
        <v/>
      </c>
      <c r="L287" s="1" t="str">
        <f t="shared" si="58"/>
        <v/>
      </c>
      <c r="M287" s="1" t="str">
        <f t="shared" si="59"/>
        <v/>
      </c>
    </row>
    <row r="288" spans="1:13" x14ac:dyDescent="0.35">
      <c r="A288" s="1" t="str">
        <f>IFERROR(MATCH(285,L_RangPaire,0),"")</f>
        <v/>
      </c>
      <c r="B288" s="24" t="str">
        <f t="shared" si="48"/>
        <v/>
      </c>
      <c r="C288" s="1" t="str">
        <f t="shared" si="49"/>
        <v/>
      </c>
      <c r="D288" s="1" t="str">
        <f t="shared" si="50"/>
        <v/>
      </c>
      <c r="E288" s="25" t="str">
        <f t="shared" si="51"/>
        <v/>
      </c>
      <c r="F288" s="1" t="str">
        <f t="shared" si="52"/>
        <v/>
      </c>
      <c r="G288" s="24" t="str">
        <f t="shared" si="53"/>
        <v/>
      </c>
      <c r="H288" s="1" t="str">
        <f t="shared" si="54"/>
        <v/>
      </c>
      <c r="I288" s="25" t="str">
        <f t="shared" si="55"/>
        <v/>
      </c>
      <c r="J288" s="1" t="str">
        <f t="shared" si="56"/>
        <v/>
      </c>
      <c r="K288" s="25" t="str">
        <f t="shared" si="57"/>
        <v/>
      </c>
      <c r="L288" s="1" t="str">
        <f t="shared" si="58"/>
        <v/>
      </c>
      <c r="M288" s="1" t="str">
        <f t="shared" si="59"/>
        <v/>
      </c>
    </row>
    <row r="289" spans="1:13" x14ac:dyDescent="0.35">
      <c r="A289" s="1" t="str">
        <f>IFERROR(MATCH(286,L_RangPaire,0),"")</f>
        <v/>
      </c>
      <c r="B289" s="24" t="str">
        <f t="shared" si="48"/>
        <v/>
      </c>
      <c r="C289" s="1" t="str">
        <f t="shared" si="49"/>
        <v/>
      </c>
      <c r="D289" s="1" t="str">
        <f t="shared" si="50"/>
        <v/>
      </c>
      <c r="E289" s="25" t="str">
        <f t="shared" si="51"/>
        <v/>
      </c>
      <c r="F289" s="1" t="str">
        <f t="shared" si="52"/>
        <v/>
      </c>
      <c r="G289" s="24" t="str">
        <f t="shared" si="53"/>
        <v/>
      </c>
      <c r="H289" s="1" t="str">
        <f t="shared" si="54"/>
        <v/>
      </c>
      <c r="I289" s="25" t="str">
        <f t="shared" si="55"/>
        <v/>
      </c>
      <c r="J289" s="1" t="str">
        <f t="shared" si="56"/>
        <v/>
      </c>
      <c r="K289" s="25" t="str">
        <f t="shared" si="57"/>
        <v/>
      </c>
      <c r="L289" s="1" t="str">
        <f t="shared" si="58"/>
        <v/>
      </c>
      <c r="M289" s="1" t="str">
        <f t="shared" si="59"/>
        <v/>
      </c>
    </row>
    <row r="290" spans="1:13" x14ac:dyDescent="0.35">
      <c r="A290" s="1" t="str">
        <f>IFERROR(MATCH(287,L_RangPaire,0),"")</f>
        <v/>
      </c>
      <c r="B290" s="24" t="str">
        <f t="shared" si="48"/>
        <v/>
      </c>
      <c r="C290" s="1" t="str">
        <f t="shared" si="49"/>
        <v/>
      </c>
      <c r="D290" s="1" t="str">
        <f t="shared" si="50"/>
        <v/>
      </c>
      <c r="E290" s="25" t="str">
        <f t="shared" si="51"/>
        <v/>
      </c>
      <c r="F290" s="1" t="str">
        <f t="shared" si="52"/>
        <v/>
      </c>
      <c r="G290" s="24" t="str">
        <f t="shared" si="53"/>
        <v/>
      </c>
      <c r="H290" s="1" t="str">
        <f t="shared" si="54"/>
        <v/>
      </c>
      <c r="I290" s="25" t="str">
        <f t="shared" si="55"/>
        <v/>
      </c>
      <c r="J290" s="1" t="str">
        <f t="shared" si="56"/>
        <v/>
      </c>
      <c r="K290" s="25" t="str">
        <f t="shared" si="57"/>
        <v/>
      </c>
      <c r="L290" s="1" t="str">
        <f t="shared" si="58"/>
        <v/>
      </c>
      <c r="M290" s="1" t="str">
        <f t="shared" si="59"/>
        <v/>
      </c>
    </row>
    <row r="291" spans="1:13" x14ac:dyDescent="0.35">
      <c r="A291" s="1" t="str">
        <f>IFERROR(MATCH(288,L_RangPaire,0),"")</f>
        <v/>
      </c>
      <c r="B291" s="24" t="str">
        <f t="shared" si="48"/>
        <v/>
      </c>
      <c r="C291" s="1" t="str">
        <f t="shared" si="49"/>
        <v/>
      </c>
      <c r="D291" s="1" t="str">
        <f t="shared" si="50"/>
        <v/>
      </c>
      <c r="E291" s="25" t="str">
        <f t="shared" si="51"/>
        <v/>
      </c>
      <c r="F291" s="1" t="str">
        <f t="shared" si="52"/>
        <v/>
      </c>
      <c r="G291" s="24" t="str">
        <f t="shared" si="53"/>
        <v/>
      </c>
      <c r="H291" s="1" t="str">
        <f t="shared" si="54"/>
        <v/>
      </c>
      <c r="I291" s="25" t="str">
        <f t="shared" si="55"/>
        <v/>
      </c>
      <c r="J291" s="1" t="str">
        <f t="shared" si="56"/>
        <v/>
      </c>
      <c r="K291" s="25" t="str">
        <f t="shared" si="57"/>
        <v/>
      </c>
      <c r="L291" s="1" t="str">
        <f t="shared" si="58"/>
        <v/>
      </c>
      <c r="M291" s="1" t="str">
        <f t="shared" si="59"/>
        <v/>
      </c>
    </row>
    <row r="292" spans="1:13" x14ac:dyDescent="0.35">
      <c r="A292" s="1" t="str">
        <f>IFERROR(MATCH(289,L_RangPaire,0),"")</f>
        <v/>
      </c>
      <c r="B292" s="24" t="str">
        <f t="shared" si="48"/>
        <v/>
      </c>
      <c r="C292" s="1" t="str">
        <f t="shared" si="49"/>
        <v/>
      </c>
      <c r="D292" s="1" t="str">
        <f t="shared" si="50"/>
        <v/>
      </c>
      <c r="E292" s="25" t="str">
        <f t="shared" si="51"/>
        <v/>
      </c>
      <c r="F292" s="1" t="str">
        <f t="shared" si="52"/>
        <v/>
      </c>
      <c r="G292" s="24" t="str">
        <f t="shared" si="53"/>
        <v/>
      </c>
      <c r="H292" s="1" t="str">
        <f t="shared" si="54"/>
        <v/>
      </c>
      <c r="I292" s="25" t="str">
        <f t="shared" si="55"/>
        <v/>
      </c>
      <c r="J292" s="1" t="str">
        <f t="shared" si="56"/>
        <v/>
      </c>
      <c r="K292" s="25" t="str">
        <f t="shared" si="57"/>
        <v/>
      </c>
      <c r="L292" s="1" t="str">
        <f t="shared" si="58"/>
        <v/>
      </c>
      <c r="M292" s="1" t="str">
        <f t="shared" si="59"/>
        <v/>
      </c>
    </row>
    <row r="293" spans="1:13" x14ac:dyDescent="0.35">
      <c r="A293" s="1" t="str">
        <f>IFERROR(MATCH(290,L_RangPaire,0),"")</f>
        <v/>
      </c>
      <c r="B293" s="24" t="str">
        <f t="shared" si="48"/>
        <v/>
      </c>
      <c r="C293" s="1" t="str">
        <f t="shared" si="49"/>
        <v/>
      </c>
      <c r="D293" s="1" t="str">
        <f t="shared" si="50"/>
        <v/>
      </c>
      <c r="E293" s="25" t="str">
        <f t="shared" si="51"/>
        <v/>
      </c>
      <c r="F293" s="1" t="str">
        <f t="shared" si="52"/>
        <v/>
      </c>
      <c r="G293" s="24" t="str">
        <f t="shared" si="53"/>
        <v/>
      </c>
      <c r="H293" s="1" t="str">
        <f t="shared" si="54"/>
        <v/>
      </c>
      <c r="I293" s="25" t="str">
        <f t="shared" si="55"/>
        <v/>
      </c>
      <c r="J293" s="1" t="str">
        <f t="shared" si="56"/>
        <v/>
      </c>
      <c r="K293" s="25" t="str">
        <f t="shared" si="57"/>
        <v/>
      </c>
      <c r="L293" s="1" t="str">
        <f t="shared" si="58"/>
        <v/>
      </c>
      <c r="M293" s="1" t="str">
        <f t="shared" si="59"/>
        <v/>
      </c>
    </row>
    <row r="294" spans="1:13" x14ac:dyDescent="0.35">
      <c r="A294" s="1" t="str">
        <f>IFERROR(MATCH(291,L_RangPaire,0),"")</f>
        <v/>
      </c>
      <c r="B294" s="24" t="str">
        <f t="shared" si="48"/>
        <v/>
      </c>
      <c r="C294" s="1" t="str">
        <f t="shared" si="49"/>
        <v/>
      </c>
      <c r="D294" s="1" t="str">
        <f t="shared" si="50"/>
        <v/>
      </c>
      <c r="E294" s="25" t="str">
        <f t="shared" si="51"/>
        <v/>
      </c>
      <c r="F294" s="1" t="str">
        <f t="shared" si="52"/>
        <v/>
      </c>
      <c r="G294" s="24" t="str">
        <f t="shared" si="53"/>
        <v/>
      </c>
      <c r="H294" s="1" t="str">
        <f t="shared" si="54"/>
        <v/>
      </c>
      <c r="I294" s="25" t="str">
        <f t="shared" si="55"/>
        <v/>
      </c>
      <c r="J294" s="1" t="str">
        <f t="shared" si="56"/>
        <v/>
      </c>
      <c r="K294" s="25" t="str">
        <f t="shared" si="57"/>
        <v/>
      </c>
      <c r="L294" s="1" t="str">
        <f t="shared" si="58"/>
        <v/>
      </c>
      <c r="M294" s="1" t="str">
        <f t="shared" si="59"/>
        <v/>
      </c>
    </row>
    <row r="295" spans="1:13" x14ac:dyDescent="0.35">
      <c r="A295" s="1" t="str">
        <f>IFERROR(MATCH(292,L_RangPaire,0),"")</f>
        <v/>
      </c>
      <c r="B295" s="24" t="str">
        <f t="shared" si="48"/>
        <v/>
      </c>
      <c r="C295" s="1" t="str">
        <f t="shared" si="49"/>
        <v/>
      </c>
      <c r="D295" s="1" t="str">
        <f t="shared" si="50"/>
        <v/>
      </c>
      <c r="E295" s="25" t="str">
        <f t="shared" si="51"/>
        <v/>
      </c>
      <c r="F295" s="1" t="str">
        <f t="shared" si="52"/>
        <v/>
      </c>
      <c r="G295" s="24" t="str">
        <f t="shared" si="53"/>
        <v/>
      </c>
      <c r="H295" s="1" t="str">
        <f t="shared" si="54"/>
        <v/>
      </c>
      <c r="I295" s="25" t="str">
        <f t="shared" si="55"/>
        <v/>
      </c>
      <c r="J295" s="1" t="str">
        <f t="shared" si="56"/>
        <v/>
      </c>
      <c r="K295" s="25" t="str">
        <f t="shared" si="57"/>
        <v/>
      </c>
      <c r="L295" s="1" t="str">
        <f t="shared" si="58"/>
        <v/>
      </c>
      <c r="M295" s="1" t="str">
        <f t="shared" si="59"/>
        <v/>
      </c>
    </row>
    <row r="296" spans="1:13" x14ac:dyDescent="0.35">
      <c r="A296" s="1" t="str">
        <f>IFERROR(MATCH(293,L_RangPaire,0),"")</f>
        <v/>
      </c>
      <c r="B296" s="24" t="str">
        <f t="shared" si="48"/>
        <v/>
      </c>
      <c r="C296" s="1" t="str">
        <f t="shared" si="49"/>
        <v/>
      </c>
      <c r="D296" s="1" t="str">
        <f t="shared" si="50"/>
        <v/>
      </c>
      <c r="E296" s="25" t="str">
        <f t="shared" si="51"/>
        <v/>
      </c>
      <c r="F296" s="1" t="str">
        <f t="shared" si="52"/>
        <v/>
      </c>
      <c r="G296" s="24" t="str">
        <f t="shared" si="53"/>
        <v/>
      </c>
      <c r="H296" s="1" t="str">
        <f t="shared" si="54"/>
        <v/>
      </c>
      <c r="I296" s="25" t="str">
        <f t="shared" si="55"/>
        <v/>
      </c>
      <c r="J296" s="1" t="str">
        <f t="shared" si="56"/>
        <v/>
      </c>
      <c r="K296" s="25" t="str">
        <f t="shared" si="57"/>
        <v/>
      </c>
      <c r="L296" s="1" t="str">
        <f t="shared" si="58"/>
        <v/>
      </c>
      <c r="M296" s="1" t="str">
        <f t="shared" si="59"/>
        <v/>
      </c>
    </row>
    <row r="297" spans="1:13" x14ac:dyDescent="0.35">
      <c r="A297" s="1" t="str">
        <f>IFERROR(MATCH(294,L_RangPaire,0),"")</f>
        <v/>
      </c>
      <c r="B297" s="24" t="str">
        <f t="shared" si="48"/>
        <v/>
      </c>
      <c r="C297" s="1" t="str">
        <f t="shared" si="49"/>
        <v/>
      </c>
      <c r="D297" s="1" t="str">
        <f t="shared" si="50"/>
        <v/>
      </c>
      <c r="E297" s="25" t="str">
        <f t="shared" si="51"/>
        <v/>
      </c>
      <c r="F297" s="1" t="str">
        <f t="shared" si="52"/>
        <v/>
      </c>
      <c r="G297" s="24" t="str">
        <f t="shared" si="53"/>
        <v/>
      </c>
      <c r="H297" s="1" t="str">
        <f t="shared" si="54"/>
        <v/>
      </c>
      <c r="I297" s="25" t="str">
        <f t="shared" si="55"/>
        <v/>
      </c>
      <c r="J297" s="1" t="str">
        <f t="shared" si="56"/>
        <v/>
      </c>
      <c r="K297" s="25" t="str">
        <f t="shared" si="57"/>
        <v/>
      </c>
      <c r="L297" s="1" t="str">
        <f t="shared" si="58"/>
        <v/>
      </c>
      <c r="M297" s="1" t="str">
        <f t="shared" si="59"/>
        <v/>
      </c>
    </row>
    <row r="298" spans="1:13" x14ac:dyDescent="0.35">
      <c r="A298" s="1" t="str">
        <f>IFERROR(MATCH(295,L_RangPaire,0),"")</f>
        <v/>
      </c>
      <c r="B298" s="24" t="str">
        <f t="shared" si="48"/>
        <v/>
      </c>
      <c r="C298" s="1" t="str">
        <f t="shared" si="49"/>
        <v/>
      </c>
      <c r="D298" s="1" t="str">
        <f t="shared" si="50"/>
        <v/>
      </c>
      <c r="E298" s="25" t="str">
        <f t="shared" si="51"/>
        <v/>
      </c>
      <c r="F298" s="1" t="str">
        <f t="shared" si="52"/>
        <v/>
      </c>
      <c r="G298" s="24" t="str">
        <f t="shared" si="53"/>
        <v/>
      </c>
      <c r="H298" s="1" t="str">
        <f t="shared" si="54"/>
        <v/>
      </c>
      <c r="I298" s="25" t="str">
        <f t="shared" si="55"/>
        <v/>
      </c>
      <c r="J298" s="1" t="str">
        <f t="shared" si="56"/>
        <v/>
      </c>
      <c r="K298" s="25" t="str">
        <f t="shared" si="57"/>
        <v/>
      </c>
      <c r="L298" s="1" t="str">
        <f t="shared" si="58"/>
        <v/>
      </c>
      <c r="M298" s="1" t="str">
        <f t="shared" si="59"/>
        <v/>
      </c>
    </row>
    <row r="299" spans="1:13" x14ac:dyDescent="0.35">
      <c r="A299" s="1" t="str">
        <f>IFERROR(MATCH(296,L_RangPaire,0),"")</f>
        <v/>
      </c>
      <c r="B299" s="24" t="str">
        <f t="shared" si="48"/>
        <v/>
      </c>
      <c r="C299" s="1" t="str">
        <f t="shared" si="49"/>
        <v/>
      </c>
      <c r="D299" s="1" t="str">
        <f t="shared" si="50"/>
        <v/>
      </c>
      <c r="E299" s="25" t="str">
        <f t="shared" si="51"/>
        <v/>
      </c>
      <c r="F299" s="1" t="str">
        <f t="shared" si="52"/>
        <v/>
      </c>
      <c r="G299" s="24" t="str">
        <f t="shared" si="53"/>
        <v/>
      </c>
      <c r="H299" s="1" t="str">
        <f t="shared" si="54"/>
        <v/>
      </c>
      <c r="I299" s="25" t="str">
        <f t="shared" si="55"/>
        <v/>
      </c>
      <c r="J299" s="1" t="str">
        <f t="shared" si="56"/>
        <v/>
      </c>
      <c r="K299" s="25" t="str">
        <f t="shared" si="57"/>
        <v/>
      </c>
      <c r="L299" s="1" t="str">
        <f t="shared" si="58"/>
        <v/>
      </c>
      <c r="M299" s="1" t="str">
        <f t="shared" si="59"/>
        <v/>
      </c>
    </row>
    <row r="300" spans="1:13" x14ac:dyDescent="0.35">
      <c r="A300" s="1" t="str">
        <f>IFERROR(MATCH(297,L_RangPaire,0),"")</f>
        <v/>
      </c>
      <c r="B300" s="24" t="str">
        <f t="shared" si="48"/>
        <v/>
      </c>
      <c r="C300" s="1" t="str">
        <f t="shared" si="49"/>
        <v/>
      </c>
      <c r="D300" s="1" t="str">
        <f t="shared" si="50"/>
        <v/>
      </c>
      <c r="E300" s="25" t="str">
        <f t="shared" si="51"/>
        <v/>
      </c>
      <c r="F300" s="1" t="str">
        <f t="shared" si="52"/>
        <v/>
      </c>
      <c r="G300" s="24" t="str">
        <f t="shared" si="53"/>
        <v/>
      </c>
      <c r="H300" s="1" t="str">
        <f t="shared" si="54"/>
        <v/>
      </c>
      <c r="I300" s="25" t="str">
        <f t="shared" si="55"/>
        <v/>
      </c>
      <c r="J300" s="1" t="str">
        <f t="shared" si="56"/>
        <v/>
      </c>
      <c r="K300" s="25" t="str">
        <f t="shared" si="57"/>
        <v/>
      </c>
      <c r="L300" s="1" t="str">
        <f t="shared" si="58"/>
        <v/>
      </c>
      <c r="M300" s="1" t="str">
        <f t="shared" si="59"/>
        <v/>
      </c>
    </row>
    <row r="301" spans="1:13" x14ac:dyDescent="0.35">
      <c r="A301" s="1" t="str">
        <f>IFERROR(MATCH(298,L_RangPaire,0),"")</f>
        <v/>
      </c>
      <c r="B301" s="24" t="str">
        <f t="shared" si="48"/>
        <v/>
      </c>
      <c r="C301" s="1" t="str">
        <f t="shared" si="49"/>
        <v/>
      </c>
      <c r="D301" s="1" t="str">
        <f t="shared" si="50"/>
        <v/>
      </c>
      <c r="E301" s="25" t="str">
        <f t="shared" si="51"/>
        <v/>
      </c>
      <c r="F301" s="1" t="str">
        <f t="shared" si="52"/>
        <v/>
      </c>
      <c r="G301" s="24" t="str">
        <f t="shared" si="53"/>
        <v/>
      </c>
      <c r="H301" s="1" t="str">
        <f t="shared" si="54"/>
        <v/>
      </c>
      <c r="I301" s="25" t="str">
        <f t="shared" si="55"/>
        <v/>
      </c>
      <c r="J301" s="1" t="str">
        <f t="shared" si="56"/>
        <v/>
      </c>
      <c r="K301" s="25" t="str">
        <f t="shared" si="57"/>
        <v/>
      </c>
      <c r="L301" s="1" t="str">
        <f t="shared" si="58"/>
        <v/>
      </c>
      <c r="M301" s="1" t="str">
        <f t="shared" si="59"/>
        <v/>
      </c>
    </row>
    <row r="302" spans="1:13" x14ac:dyDescent="0.35">
      <c r="A302" s="1" t="str">
        <f>IFERROR(MATCH(299,L_RangPaire,0),"")</f>
        <v/>
      </c>
      <c r="B302" s="24" t="str">
        <f t="shared" si="48"/>
        <v/>
      </c>
      <c r="C302" s="1" t="str">
        <f t="shared" si="49"/>
        <v/>
      </c>
      <c r="D302" s="1" t="str">
        <f t="shared" si="50"/>
        <v/>
      </c>
      <c r="E302" s="25" t="str">
        <f t="shared" si="51"/>
        <v/>
      </c>
      <c r="F302" s="1" t="str">
        <f t="shared" si="52"/>
        <v/>
      </c>
      <c r="G302" s="24" t="str">
        <f t="shared" si="53"/>
        <v/>
      </c>
      <c r="H302" s="1" t="str">
        <f t="shared" si="54"/>
        <v/>
      </c>
      <c r="I302" s="25" t="str">
        <f t="shared" si="55"/>
        <v/>
      </c>
      <c r="J302" s="1" t="str">
        <f t="shared" si="56"/>
        <v/>
      </c>
      <c r="K302" s="25" t="str">
        <f t="shared" si="57"/>
        <v/>
      </c>
      <c r="L302" s="1" t="str">
        <f t="shared" si="58"/>
        <v/>
      </c>
      <c r="M302" s="1" t="str">
        <f t="shared" si="59"/>
        <v/>
      </c>
    </row>
    <row r="303" spans="1:13" x14ac:dyDescent="0.35">
      <c r="A303" s="1" t="str">
        <f>IFERROR(MATCH(300,L_RangPaire,0),"")</f>
        <v/>
      </c>
      <c r="B303" s="24" t="str">
        <f t="shared" si="48"/>
        <v/>
      </c>
      <c r="C303" s="1" t="str">
        <f t="shared" si="49"/>
        <v/>
      </c>
      <c r="D303" s="1" t="str">
        <f t="shared" si="50"/>
        <v/>
      </c>
      <c r="E303" s="25" t="str">
        <f t="shared" si="51"/>
        <v/>
      </c>
      <c r="F303" s="1" t="str">
        <f t="shared" si="52"/>
        <v/>
      </c>
      <c r="G303" s="24" t="str">
        <f t="shared" si="53"/>
        <v/>
      </c>
      <c r="H303" s="1" t="str">
        <f t="shared" si="54"/>
        <v/>
      </c>
      <c r="I303" s="25" t="str">
        <f t="shared" si="55"/>
        <v/>
      </c>
      <c r="J303" s="1" t="str">
        <f t="shared" si="56"/>
        <v/>
      </c>
      <c r="K303" s="25" t="str">
        <f t="shared" si="57"/>
        <v/>
      </c>
      <c r="L303" s="1" t="str">
        <f t="shared" si="58"/>
        <v/>
      </c>
      <c r="M303" s="1" t="str">
        <f t="shared" si="59"/>
        <v/>
      </c>
    </row>
  </sheetData>
  <conditionalFormatting sqref="L4:M303">
    <cfRule type="cellIs" dxfId="28" priority="2" operator="equal">
      <formula>"Rapproché"</formula>
    </cfRule>
    <cfRule type="cellIs" dxfId="27" priority="3" operator="equal">
      <formula>"Manuel"</formula>
    </cfRule>
    <cfRule type="cellIs" dxfId="26" priority="4" operator="equal">
      <formula>"Proposé"</formula>
    </cfRule>
    <cfRule type="cellIs" dxfId="25" priority="5" operator="equal">
      <formula>"Écart"</formula>
    </cfRule>
    <cfRule type="cellIs" dxfId="24" priority="6" operator="equal">
      <formula>"Conflit"</formula>
    </cfRule>
    <cfRule type="cellIs" dxfId="23" priority="7" operator="equal">
      <formula>"Non rapproché"</formula>
    </cfRule>
    <cfRule type="cellIs" dxfId="22" priority="8" operator="equal">
      <formula>"Fort"</formula>
    </cfRule>
    <cfRule type="cellIs" dxfId="21" priority="9" operator="equal">
      <formula>"Moyen"</formula>
    </cfRule>
    <cfRule type="cellIs" dxfId="20" priority="10" operator="equal">
      <formula>"Faible"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zoomScaleNormal="100" workbookViewId="0"/>
  </sheetViews>
  <sheetFormatPr baseColWidth="10" defaultColWidth="8.6328125" defaultRowHeight="14.5" x14ac:dyDescent="0.35"/>
  <cols>
    <col min="1" max="1" width="30" customWidth="1"/>
    <col min="2" max="2" width="24" customWidth="1"/>
    <col min="3" max="3" width="26" customWidth="1"/>
    <col min="4" max="4" width="60" customWidth="1"/>
  </cols>
  <sheetData>
    <row r="1" spans="1:4" ht="19" x14ac:dyDescent="0.4">
      <c r="A1" s="4" t="s">
        <v>107</v>
      </c>
    </row>
    <row r="2" spans="1:4" x14ac:dyDescent="0.35">
      <c r="A2" s="5" t="s">
        <v>108</v>
      </c>
    </row>
    <row r="4" spans="1:4" x14ac:dyDescent="0.35">
      <c r="A4" s="6" t="s">
        <v>109</v>
      </c>
    </row>
    <row r="5" spans="1:4" x14ac:dyDescent="0.35">
      <c r="A5" s="3" t="s">
        <v>110</v>
      </c>
      <c r="B5" s="26">
        <v>3</v>
      </c>
      <c r="C5" s="17" t="s">
        <v>111</v>
      </c>
    </row>
    <row r="6" spans="1:4" x14ac:dyDescent="0.35">
      <c r="A6" s="3" t="s">
        <v>112</v>
      </c>
      <c r="B6" s="26">
        <v>0</v>
      </c>
      <c r="C6" s="17" t="s">
        <v>113</v>
      </c>
    </row>
    <row r="7" spans="1:4" x14ac:dyDescent="0.35">
      <c r="A7" s="3" t="s">
        <v>114</v>
      </c>
      <c r="B7" s="26">
        <v>31</v>
      </c>
      <c r="C7" s="17" t="s">
        <v>115</v>
      </c>
    </row>
    <row r="8" spans="1:4" x14ac:dyDescent="0.35">
      <c r="A8" s="3" t="s">
        <v>116</v>
      </c>
      <c r="B8" s="26" t="s">
        <v>117</v>
      </c>
      <c r="C8" s="17" t="s">
        <v>118</v>
      </c>
    </row>
    <row r="11" spans="1:4" x14ac:dyDescent="0.35">
      <c r="A11" s="6" t="s">
        <v>119</v>
      </c>
    </row>
    <row r="12" spans="1:4" x14ac:dyDescent="0.35">
      <c r="A12" s="14" t="s">
        <v>56</v>
      </c>
      <c r="B12" s="14" t="s">
        <v>120</v>
      </c>
      <c r="C12" s="14" t="s">
        <v>121</v>
      </c>
    </row>
    <row r="13" spans="1:4" x14ac:dyDescent="0.35">
      <c r="A13" s="26" t="s">
        <v>57</v>
      </c>
      <c r="B13" s="27">
        <v>8000000</v>
      </c>
      <c r="C13" s="28">
        <v>46295</v>
      </c>
      <c r="D13" s="17" t="s">
        <v>122</v>
      </c>
    </row>
    <row r="14" spans="1:4" x14ac:dyDescent="0.35">
      <c r="A14" s="26" t="s">
        <v>123</v>
      </c>
      <c r="B14" s="27"/>
      <c r="C14" s="28"/>
    </row>
    <row r="15" spans="1:4" x14ac:dyDescent="0.35">
      <c r="A15" s="26" t="s">
        <v>124</v>
      </c>
      <c r="B15" s="27"/>
      <c r="C15" s="28"/>
    </row>
    <row r="16" spans="1:4" x14ac:dyDescent="0.35">
      <c r="A16" s="26" t="s">
        <v>125</v>
      </c>
      <c r="B16" s="27"/>
      <c r="C16" s="28"/>
    </row>
    <row r="17" spans="1:3" x14ac:dyDescent="0.35">
      <c r="A17" s="26"/>
      <c r="B17" s="27"/>
      <c r="C17" s="28"/>
    </row>
    <row r="18" spans="1:3" x14ac:dyDescent="0.35">
      <c r="A18" s="26"/>
      <c r="B18" s="27"/>
      <c r="C18" s="28"/>
    </row>
    <row r="19" spans="1:3" x14ac:dyDescent="0.35">
      <c r="A19" s="26"/>
      <c r="B19" s="27"/>
      <c r="C19" s="28"/>
    </row>
    <row r="20" spans="1:3" x14ac:dyDescent="0.35">
      <c r="A20" s="26"/>
      <c r="B20" s="27"/>
      <c r="C20" s="28"/>
    </row>
    <row r="21" spans="1:3" x14ac:dyDescent="0.35">
      <c r="A21" s="26"/>
      <c r="B21" s="27"/>
      <c r="C21" s="28"/>
    </row>
    <row r="22" spans="1:3" x14ac:dyDescent="0.35">
      <c r="A22" s="26"/>
      <c r="B22" s="27"/>
      <c r="C22" s="28"/>
    </row>
  </sheetData>
  <dataValidations count="2">
    <dataValidation type="list" sqref="B8" xr:uid="{00000000-0002-0000-0300-000000000000}">
      <formula1>"Oui,Non"</formula1>
      <formula2>0</formula2>
    </dataValidation>
    <dataValidation type="whole" sqref="B5" xr:uid="{00000000-0002-0000-0300-000001000000}">
      <formula1>0</formula1>
      <formula2>30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0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8" sqref="G18"/>
    </sheetView>
  </sheetViews>
  <sheetFormatPr baseColWidth="10" defaultColWidth="33.6328125" defaultRowHeight="14.5" outlineLevelCol="1" x14ac:dyDescent="0.35"/>
  <cols>
    <col min="19" max="30" width="33.6328125" outlineLevel="1"/>
  </cols>
  <sheetData>
    <row r="1" spans="1:30" ht="19" x14ac:dyDescent="0.4">
      <c r="A1" s="4" t="s">
        <v>126</v>
      </c>
    </row>
    <row r="2" spans="1:30" x14ac:dyDescent="0.35">
      <c r="A2" s="5" t="s">
        <v>127</v>
      </c>
    </row>
    <row r="3" spans="1:30" ht="30" customHeight="1" x14ac:dyDescent="0.35">
      <c r="A3" s="23" t="s">
        <v>87</v>
      </c>
      <c r="B3" s="29" t="s">
        <v>88</v>
      </c>
      <c r="C3" s="29" t="s">
        <v>56</v>
      </c>
      <c r="D3" s="29" t="s">
        <v>97</v>
      </c>
      <c r="E3" s="29" t="s">
        <v>98</v>
      </c>
      <c r="F3" s="29" t="s">
        <v>128</v>
      </c>
      <c r="G3" s="29" t="s">
        <v>129</v>
      </c>
      <c r="H3" s="29" t="s">
        <v>130</v>
      </c>
      <c r="I3" s="29" t="s">
        <v>131</v>
      </c>
      <c r="J3" s="23" t="s">
        <v>132</v>
      </c>
      <c r="K3" s="23" t="s">
        <v>133</v>
      </c>
      <c r="L3" s="23" t="s">
        <v>106</v>
      </c>
      <c r="M3" s="23" t="s">
        <v>134</v>
      </c>
      <c r="N3" s="29" t="s">
        <v>135</v>
      </c>
      <c r="O3" s="29" t="s">
        <v>136</v>
      </c>
      <c r="P3" s="23" t="s">
        <v>104</v>
      </c>
      <c r="Q3" s="23" t="s">
        <v>105</v>
      </c>
      <c r="R3" s="23" t="s">
        <v>137</v>
      </c>
      <c r="S3" s="30" t="s">
        <v>138</v>
      </c>
      <c r="T3" s="30" t="s">
        <v>139</v>
      </c>
      <c r="U3" s="30" t="s">
        <v>140</v>
      </c>
      <c r="V3" s="30" t="s">
        <v>141</v>
      </c>
      <c r="W3" s="30" t="s">
        <v>142</v>
      </c>
      <c r="X3" s="30" t="s">
        <v>143</v>
      </c>
      <c r="Y3" s="30" t="s">
        <v>144</v>
      </c>
      <c r="Z3" s="30" t="s">
        <v>145</v>
      </c>
      <c r="AA3" s="30" t="s">
        <v>146</v>
      </c>
      <c r="AB3" s="30" t="s">
        <v>147</v>
      </c>
      <c r="AC3" s="30" t="s">
        <v>148</v>
      </c>
      <c r="AD3" s="30" t="s">
        <v>149</v>
      </c>
    </row>
    <row r="4" spans="1:30" x14ac:dyDescent="0.35">
      <c r="A4" s="1">
        <f t="shared" ref="A4:A67" si="0">IF(B4="","",ROW()-3)</f>
        <v>1</v>
      </c>
      <c r="B4" s="31">
        <v>46296</v>
      </c>
      <c r="C4" s="8" t="s">
        <v>57</v>
      </c>
      <c r="D4" s="8" t="s">
        <v>150</v>
      </c>
      <c r="E4" s="8" t="s">
        <v>151</v>
      </c>
      <c r="F4" s="8" t="s">
        <v>152</v>
      </c>
      <c r="G4" s="8" t="s">
        <v>153</v>
      </c>
      <c r="H4" s="32"/>
      <c r="I4" s="32">
        <v>4500000</v>
      </c>
      <c r="J4" s="25">
        <f>IF(B4="","",IFERROR(VLOOKUP(C4,Soldes_Ouverture,2,FALSE()),0)+SUMIFS($S$4:S4,$C$4:C4,C4))</f>
        <v>12500000</v>
      </c>
      <c r="K4" s="1" t="str">
        <f t="shared" ref="K4:K67" si="1">IF(B4="","",IF(N4="Écart","Écart",IF(M4="","Non rapproché",IF(ISNUMBER(SEARCH("Conflit",R4)),"Conflit",IF(O4&lt;&gt;"","Manuel",IF(OR(N4="Valider",AND(L4="Fort",AutoFort="Oui")),"Rapproché","Proposé"))))))</f>
        <v>Rapproché</v>
      </c>
      <c r="L4" s="1" t="str">
        <f t="shared" ref="L4:L67" si="2">IF(M4="","",IF(O4&lt;&gt;"","Manuel",IF(AND(P4&lt;=TolJours,AA4),"Fort",IF(P4&lt;=TolJours,"Moyen","Faible"))))</f>
        <v>Fort</v>
      </c>
      <c r="M4" s="1">
        <f t="shared" ref="M4:M67" si="3">IF(B4="","",IF(O4&lt;&gt;"",O4,IF(OR(N4="Rejeter",N4="Écart",Z4=""),"",IF(INDEX(B_Decision,Z4)="Écart","",Z4))))</f>
        <v>1</v>
      </c>
      <c r="N4" s="8"/>
      <c r="O4" s="8"/>
      <c r="P4" s="1">
        <f t="shared" ref="P4:P67" si="4">IF(M4="","",IFERROR(ABS(B4-INDEX(B_Date,M4)),""))</f>
        <v>0</v>
      </c>
      <c r="Q4" s="25">
        <f t="shared" ref="Q4:Q67" si="5">IF(M4="","",IFERROR(ABS(S4-INDEX(B_Montant,M4)),""))</f>
        <v>0</v>
      </c>
      <c r="R4" s="1" t="str">
        <f t="shared" ref="R4:R67" si="6">IF(B4="","",TRIM(IF(AND(M4&lt;&gt;"",COUNTIF($M$4:$M$503,M4)&gt;1),"Conflit ","")&amp;IF(COUNTIFS($C$4:$C$503,C4,$B$4:$B$503,B4,$S$4:$S$503,S4)&gt;1,"Doublon ?","")))</f>
        <v/>
      </c>
      <c r="S4" s="33">
        <f t="shared" ref="S4:S67" si="7">IF(B4="","",N(I4)-N(H4))</f>
        <v>4500000</v>
      </c>
      <c r="T4" s="34" t="str">
        <f>IF(B4="","",C4&amp;"|"&amp;ROUND(S4,2)&amp;"|"&amp;COUNTIFS($C$4:C4,C4,$S$4:S4,S4))</f>
        <v>ECOBANK|4500000|1</v>
      </c>
      <c r="U4" s="34">
        <f t="shared" ref="U4:U67" si="8">IF(D4="","",IFERROR(VALUE(TRIM(RIGHT(SUBSTITUTE(SUBSTITUTE(SUBSTITUTE(D4,"-"," "),"/"," ")," ",REPT(" ",60)),60))),""))</f>
        <v>2210</v>
      </c>
      <c r="V4" s="34">
        <f t="shared" ref="V4:V67" si="9">IF(B4="","",IFERROR(MATCH(T4,B_Cle,0),""))</f>
        <v>1</v>
      </c>
      <c r="W4" s="34">
        <f t="shared" ref="W4:W67" si="10">IF(V4="","",ABS(B4-INDEX(B_Date,V4)))</f>
        <v>0</v>
      </c>
      <c r="X4" s="34">
        <f t="shared" ref="X4:X67" si="11">IF(V4="",0,IF(W4&lt;=Fenetre,1,0))</f>
        <v>1</v>
      </c>
      <c r="Y4" s="34" t="str">
        <f t="shared" ref="Y4:Y67" si="12">IF(OR(B4="",X4=1,TolMontant&lt;=0),"",IFERROR(MATCH(1,INDEX((B_Compte=C4)*(B_Date&gt;0)*(B_Signe=SIGN(S4))*(ABS(B_MontantN-S4)&lt;=TolMontant)*(ABS(B_Date-B4)&lt;=Fenetre)*(B_PrisExact=0),0),0),""))</f>
        <v/>
      </c>
      <c r="Z4" s="34">
        <f>IF(X4=1,V4,IF(Y4="","",IF(COUNTIF(Y$3:Y3,Y4)=0,Y4,"")))</f>
        <v>1</v>
      </c>
      <c r="AA4" s="34" t="b">
        <f t="shared" ref="AA4:AA67" si="13">IF(M4="",FALSE(),IFERROR(OR(AND(U4&lt;&gt;"",N(U4)&gt;=100,ISNUMBER(SEARCH(U4,INDEX(B_Ref,M4)&amp;" "&amp;INDEX(B_Lib,M4)))),AND(D4&lt;&gt;"",ISNUMBER(SEARCH(D4,INDEX(B_Lib,M4)))),AND(INDEX(B_Ref,M4)&amp;""&lt;&gt;"",D4&lt;&gt;"",ISNUMBER(SEARCH(INDEX(B_Ref,M4)&amp;"",D4)))),FALSE()))</f>
        <v>1</v>
      </c>
      <c r="AB4" s="34">
        <f t="shared" ref="AB4:AB67" si="14">IF(OR(K4="Rapproché",K4="Manuel"),1,0)</f>
        <v>1</v>
      </c>
      <c r="AC4" s="34" t="str">
        <f>IF(AND(B4&lt;&gt;"",C4=CompteSel,N(B4)&lt;=DateArret,AB4=0),MAX($AC$3:AC3)+1,"")</f>
        <v/>
      </c>
      <c r="AD4" s="34">
        <f>IF(AND(ISNUMBER(M4),C4=CompteSel),MAX($AD$3:AD3)+1,"")</f>
        <v>1</v>
      </c>
    </row>
    <row r="5" spans="1:30" x14ac:dyDescent="0.35">
      <c r="A5" s="1">
        <f t="shared" si="0"/>
        <v>2</v>
      </c>
      <c r="B5" s="31">
        <v>46297</v>
      </c>
      <c r="C5" s="8" t="s">
        <v>57</v>
      </c>
      <c r="D5" s="8" t="s">
        <v>154</v>
      </c>
      <c r="E5" s="8" t="s">
        <v>155</v>
      </c>
      <c r="F5" s="8" t="s">
        <v>156</v>
      </c>
      <c r="G5" s="8" t="s">
        <v>157</v>
      </c>
      <c r="H5" s="32">
        <v>1250000</v>
      </c>
      <c r="I5" s="32"/>
      <c r="J5" s="25">
        <f>IF(B5="","",IFERROR(VLOOKUP(C5,Soldes_Ouverture,2,FALSE()),0)+SUMIFS($S$4:S5,$C$4:C5,C5))</f>
        <v>11250000</v>
      </c>
      <c r="K5" s="1" t="str">
        <f t="shared" si="1"/>
        <v>Rapproché</v>
      </c>
      <c r="L5" s="1" t="str">
        <f t="shared" si="2"/>
        <v>Fort</v>
      </c>
      <c r="M5" s="1">
        <f t="shared" si="3"/>
        <v>4</v>
      </c>
      <c r="N5" s="8"/>
      <c r="O5" s="8"/>
      <c r="P5" s="1">
        <f t="shared" si="4"/>
        <v>2</v>
      </c>
      <c r="Q5" s="25">
        <f t="shared" si="5"/>
        <v>0</v>
      </c>
      <c r="R5" s="1" t="str">
        <f t="shared" si="6"/>
        <v/>
      </c>
      <c r="S5" s="33">
        <f t="shared" si="7"/>
        <v>-1250000</v>
      </c>
      <c r="T5" s="34" t="str">
        <f>IF(B5="","",C5&amp;"|"&amp;ROUND(S5,2)&amp;"|"&amp;COUNTIFS($C$4:C5,C5,$S$4:S5,S5))</f>
        <v>ECOBANK|-1250000|1</v>
      </c>
      <c r="U5" s="34">
        <f t="shared" si="8"/>
        <v>45871</v>
      </c>
      <c r="V5" s="34">
        <f t="shared" si="9"/>
        <v>4</v>
      </c>
      <c r="W5" s="34">
        <f t="shared" si="10"/>
        <v>2</v>
      </c>
      <c r="X5" s="34">
        <f t="shared" si="11"/>
        <v>1</v>
      </c>
      <c r="Y5" s="34" t="str">
        <f t="shared" si="12"/>
        <v/>
      </c>
      <c r="Z5" s="34">
        <f>IF(X5=1,V5,IF(Y5="","",IF(COUNTIF(Y$3:Y4,Y5)=0,Y5,"")))</f>
        <v>4</v>
      </c>
      <c r="AA5" s="34" t="b">
        <f t="shared" si="13"/>
        <v>1</v>
      </c>
      <c r="AB5" s="34">
        <f t="shared" si="14"/>
        <v>1</v>
      </c>
      <c r="AC5" s="34" t="str">
        <f>IF(AND(B5&lt;&gt;"",C5=CompteSel,N(B5)&lt;=DateArret,AB5=0),MAX($AC$3:AC4)+1,"")</f>
        <v/>
      </c>
      <c r="AD5" s="34">
        <f>IF(AND(ISNUMBER(M5),C5=CompteSel),MAX($AD$3:AD4)+1,"")</f>
        <v>2</v>
      </c>
    </row>
    <row r="6" spans="1:30" x14ac:dyDescent="0.35">
      <c r="A6" s="1">
        <f t="shared" si="0"/>
        <v>3</v>
      </c>
      <c r="B6" s="31">
        <v>46298</v>
      </c>
      <c r="C6" s="8" t="s">
        <v>57</v>
      </c>
      <c r="D6" s="8" t="s">
        <v>158</v>
      </c>
      <c r="E6" s="8" t="s">
        <v>159</v>
      </c>
      <c r="F6" s="8" t="s">
        <v>160</v>
      </c>
      <c r="G6" s="8" t="s">
        <v>161</v>
      </c>
      <c r="H6" s="32">
        <v>3800000</v>
      </c>
      <c r="I6" s="32"/>
      <c r="J6" s="25">
        <f>IF(B6="","",IFERROR(VLOOKUP(C6,Soldes_Ouverture,2,FALSE()),0)+SUMIFS($S$4:S6,$C$4:C6,C6))</f>
        <v>7450000</v>
      </c>
      <c r="K6" s="1" t="str">
        <f t="shared" si="1"/>
        <v>Rapproché</v>
      </c>
      <c r="L6" s="1" t="str">
        <f t="shared" si="2"/>
        <v>Fort</v>
      </c>
      <c r="M6" s="1">
        <f t="shared" si="3"/>
        <v>3</v>
      </c>
      <c r="N6" s="8"/>
      <c r="O6" s="8"/>
      <c r="P6" s="1">
        <f t="shared" si="4"/>
        <v>0</v>
      </c>
      <c r="Q6" s="25">
        <f t="shared" si="5"/>
        <v>0</v>
      </c>
      <c r="R6" s="1" t="str">
        <f t="shared" si="6"/>
        <v/>
      </c>
      <c r="S6" s="33">
        <f t="shared" si="7"/>
        <v>-3800000</v>
      </c>
      <c r="T6" s="34" t="str">
        <f>IF(B6="","",C6&amp;"|"&amp;ROUND(S6,2)&amp;"|"&amp;COUNTIFS($C$4:C6,C6,$S$4:S6,S6))</f>
        <v>ECOBANK|-3800000|1</v>
      </c>
      <c r="U6" s="34">
        <f t="shared" si="8"/>
        <v>2214</v>
      </c>
      <c r="V6" s="34">
        <f t="shared" si="9"/>
        <v>3</v>
      </c>
      <c r="W6" s="34">
        <f t="shared" si="10"/>
        <v>0</v>
      </c>
      <c r="X6" s="34">
        <f t="shared" si="11"/>
        <v>1</v>
      </c>
      <c r="Y6" s="34" t="str">
        <f t="shared" si="12"/>
        <v/>
      </c>
      <c r="Z6" s="34">
        <f>IF(X6=1,V6,IF(Y6="","",IF(COUNTIF(Y$3:Y5,Y6)=0,Y6,"")))</f>
        <v>3</v>
      </c>
      <c r="AA6" s="34" t="b">
        <f t="shared" si="13"/>
        <v>1</v>
      </c>
      <c r="AB6" s="34">
        <f t="shared" si="14"/>
        <v>1</v>
      </c>
      <c r="AC6" s="34" t="str">
        <f>IF(AND(B6&lt;&gt;"",C6=CompteSel,N(B6)&lt;=DateArret,AB6=0),MAX($AC$3:AC5)+1,"")</f>
        <v/>
      </c>
      <c r="AD6" s="34">
        <f>IF(AND(ISNUMBER(M6),C6=CompteSel),MAX($AD$3:AD5)+1,"")</f>
        <v>3</v>
      </c>
    </row>
    <row r="7" spans="1:30" x14ac:dyDescent="0.35">
      <c r="A7" s="1">
        <f t="shared" si="0"/>
        <v>4</v>
      </c>
      <c r="B7" s="31">
        <v>46300</v>
      </c>
      <c r="C7" s="8" t="s">
        <v>57</v>
      </c>
      <c r="D7" s="8"/>
      <c r="E7" s="8" t="s">
        <v>162</v>
      </c>
      <c r="F7" s="8" t="s">
        <v>163</v>
      </c>
      <c r="G7" s="8" t="s">
        <v>164</v>
      </c>
      <c r="H7" s="32">
        <v>420000</v>
      </c>
      <c r="I7" s="32"/>
      <c r="J7" s="25">
        <f>IF(B7="","",IFERROR(VLOOKUP(C7,Soldes_Ouverture,2,FALSE()),0)+SUMIFS($S$4:S7,$C$4:C7,C7))</f>
        <v>7030000</v>
      </c>
      <c r="K7" s="1" t="str">
        <f t="shared" si="1"/>
        <v>Proposé</v>
      </c>
      <c r="L7" s="1" t="str">
        <f t="shared" si="2"/>
        <v>Moyen</v>
      </c>
      <c r="M7" s="1">
        <f t="shared" si="3"/>
        <v>5</v>
      </c>
      <c r="N7" s="8"/>
      <c r="O7" s="8"/>
      <c r="P7" s="1">
        <f t="shared" si="4"/>
        <v>1</v>
      </c>
      <c r="Q7" s="25">
        <f t="shared" si="5"/>
        <v>0</v>
      </c>
      <c r="R7" s="1" t="str">
        <f t="shared" si="6"/>
        <v/>
      </c>
      <c r="S7" s="33">
        <f t="shared" si="7"/>
        <v>-420000</v>
      </c>
      <c r="T7" s="34" t="str">
        <f>IF(B7="","",C7&amp;"|"&amp;ROUND(S7,2)&amp;"|"&amp;COUNTIFS($C$4:C7,C7,$S$4:S7,S7))</f>
        <v>ECOBANK|-420000|1</v>
      </c>
      <c r="U7" s="34" t="str">
        <f t="shared" si="8"/>
        <v/>
      </c>
      <c r="V7" s="34">
        <f t="shared" si="9"/>
        <v>5</v>
      </c>
      <c r="W7" s="34">
        <f t="shared" si="10"/>
        <v>1</v>
      </c>
      <c r="X7" s="34">
        <f t="shared" si="11"/>
        <v>1</v>
      </c>
      <c r="Y7" s="34" t="str">
        <f t="shared" si="12"/>
        <v/>
      </c>
      <c r="Z7" s="34">
        <f>IF(X7=1,V7,IF(Y7="","",IF(COUNTIF(Y$3:Y6,Y7)=0,Y7,"")))</f>
        <v>5</v>
      </c>
      <c r="AA7" s="34" t="b">
        <f t="shared" si="13"/>
        <v>0</v>
      </c>
      <c r="AB7" s="34">
        <f t="shared" si="14"/>
        <v>0</v>
      </c>
      <c r="AC7" s="34">
        <f>IF(AND(B7&lt;&gt;"",C7=CompteSel,N(B7)&lt;=DateArret,AB7=0),MAX($AC$3:AC6)+1,"")</f>
        <v>1</v>
      </c>
      <c r="AD7" s="34">
        <f>IF(AND(ISNUMBER(M7),C7=CompteSel),MAX($AD$3:AD6)+1,"")</f>
        <v>4</v>
      </c>
    </row>
    <row r="8" spans="1:30" x14ac:dyDescent="0.35">
      <c r="A8" s="1">
        <f t="shared" si="0"/>
        <v>5</v>
      </c>
      <c r="B8" s="31">
        <v>46301</v>
      </c>
      <c r="C8" s="8" t="s">
        <v>57</v>
      </c>
      <c r="D8" s="8" t="s">
        <v>165</v>
      </c>
      <c r="E8" s="8" t="s">
        <v>166</v>
      </c>
      <c r="F8" s="8" t="s">
        <v>167</v>
      </c>
      <c r="G8" s="8" t="s">
        <v>157</v>
      </c>
      <c r="H8" s="32">
        <v>185000</v>
      </c>
      <c r="I8" s="32"/>
      <c r="J8" s="25">
        <f>IF(B8="","",IFERROR(VLOOKUP(C8,Soldes_Ouverture,2,FALSE()),0)+SUMIFS($S$4:S8,$C$4:C8,C8))</f>
        <v>6845000</v>
      </c>
      <c r="K8" s="1" t="str">
        <f t="shared" si="1"/>
        <v>Rapproché</v>
      </c>
      <c r="L8" s="1" t="str">
        <f t="shared" si="2"/>
        <v>Fort</v>
      </c>
      <c r="M8" s="1">
        <f t="shared" si="3"/>
        <v>8</v>
      </c>
      <c r="N8" s="8"/>
      <c r="O8" s="8"/>
      <c r="P8" s="1">
        <f t="shared" si="4"/>
        <v>3</v>
      </c>
      <c r="Q8" s="25">
        <f t="shared" si="5"/>
        <v>0</v>
      </c>
      <c r="R8" s="1" t="str">
        <f t="shared" si="6"/>
        <v/>
      </c>
      <c r="S8" s="33">
        <f t="shared" si="7"/>
        <v>-185000</v>
      </c>
      <c r="T8" s="34" t="str">
        <f>IF(B8="","",C8&amp;"|"&amp;ROUND(S8,2)&amp;"|"&amp;COUNTIFS($C$4:C8,C8,$S$4:S8,S8))</f>
        <v>ECOBANK|-185000|1</v>
      </c>
      <c r="U8" s="34">
        <f t="shared" si="8"/>
        <v>45872</v>
      </c>
      <c r="V8" s="34">
        <f t="shared" si="9"/>
        <v>8</v>
      </c>
      <c r="W8" s="34">
        <f t="shared" si="10"/>
        <v>3</v>
      </c>
      <c r="X8" s="34">
        <f t="shared" si="11"/>
        <v>1</v>
      </c>
      <c r="Y8" s="34" t="str">
        <f t="shared" si="12"/>
        <v/>
      </c>
      <c r="Z8" s="34">
        <f>IF(X8=1,V8,IF(Y8="","",IF(COUNTIF(Y$3:Y7,Y8)=0,Y8,"")))</f>
        <v>8</v>
      </c>
      <c r="AA8" s="34" t="b">
        <f t="shared" si="13"/>
        <v>1</v>
      </c>
      <c r="AB8" s="34">
        <f t="shared" si="14"/>
        <v>1</v>
      </c>
      <c r="AC8" s="34" t="str">
        <f>IF(AND(B8&lt;&gt;"",C8=CompteSel,N(B8)&lt;=DateArret,AB8=0),MAX($AC$3:AC7)+1,"")</f>
        <v/>
      </c>
      <c r="AD8" s="34">
        <f>IF(AND(ISNUMBER(M8),C8=CompteSel),MAX($AD$3:AD7)+1,"")</f>
        <v>5</v>
      </c>
    </row>
    <row r="9" spans="1:30" x14ac:dyDescent="0.35">
      <c r="A9" s="1">
        <f t="shared" si="0"/>
        <v>6</v>
      </c>
      <c r="B9" s="31">
        <v>46302</v>
      </c>
      <c r="C9" s="8" t="s">
        <v>57</v>
      </c>
      <c r="D9" s="8" t="s">
        <v>168</v>
      </c>
      <c r="E9" s="8" t="s">
        <v>151</v>
      </c>
      <c r="F9" s="8" t="s">
        <v>169</v>
      </c>
      <c r="G9" s="8" t="s">
        <v>153</v>
      </c>
      <c r="H9" s="32"/>
      <c r="I9" s="32">
        <v>2150000</v>
      </c>
      <c r="J9" s="25">
        <f>IF(B9="","",IFERROR(VLOOKUP(C9,Soldes_Ouverture,2,FALSE()),0)+SUMIFS($S$4:S9,$C$4:C9,C9))</f>
        <v>8995000</v>
      </c>
      <c r="K9" s="1" t="str">
        <f t="shared" si="1"/>
        <v>Proposé</v>
      </c>
      <c r="L9" s="1" t="str">
        <f t="shared" si="2"/>
        <v>Moyen</v>
      </c>
      <c r="M9" s="1">
        <f t="shared" si="3"/>
        <v>6</v>
      </c>
      <c r="N9" s="8"/>
      <c r="O9" s="8"/>
      <c r="P9" s="1">
        <f t="shared" si="4"/>
        <v>0</v>
      </c>
      <c r="Q9" s="25">
        <f t="shared" si="5"/>
        <v>0</v>
      </c>
      <c r="R9" s="1" t="str">
        <f t="shared" si="6"/>
        <v/>
      </c>
      <c r="S9" s="33">
        <f t="shared" si="7"/>
        <v>2150000</v>
      </c>
      <c r="T9" s="34" t="str">
        <f>IF(B9="","",C9&amp;"|"&amp;ROUND(S9,2)&amp;"|"&amp;COUNTIFS($C$4:C9,C9,$S$4:S9,S9))</f>
        <v>ECOBANK|2150000|1</v>
      </c>
      <c r="U9" s="34">
        <f t="shared" si="8"/>
        <v>118</v>
      </c>
      <c r="V9" s="34">
        <f t="shared" si="9"/>
        <v>6</v>
      </c>
      <c r="W9" s="34">
        <f t="shared" si="10"/>
        <v>0</v>
      </c>
      <c r="X9" s="34">
        <f t="shared" si="11"/>
        <v>1</v>
      </c>
      <c r="Y9" s="34" t="str">
        <f t="shared" si="12"/>
        <v/>
      </c>
      <c r="Z9" s="34">
        <f>IF(X9=1,V9,IF(Y9="","",IF(COUNTIF(Y$3:Y8,Y9)=0,Y9,"")))</f>
        <v>6</v>
      </c>
      <c r="AA9" s="34" t="b">
        <f t="shared" si="13"/>
        <v>0</v>
      </c>
      <c r="AB9" s="34">
        <f t="shared" si="14"/>
        <v>0</v>
      </c>
      <c r="AC9" s="34">
        <f>IF(AND(B9&lt;&gt;"",C9=CompteSel,N(B9)&lt;=DateArret,AB9=0),MAX($AC$3:AC8)+1,"")</f>
        <v>2</v>
      </c>
      <c r="AD9" s="34">
        <f>IF(AND(ISNUMBER(M9),C9=CompteSel),MAX($AD$3:AD8)+1,"")</f>
        <v>6</v>
      </c>
    </row>
    <row r="10" spans="1:30" x14ac:dyDescent="0.35">
      <c r="A10" s="1">
        <f t="shared" si="0"/>
        <v>7</v>
      </c>
      <c r="B10" s="31">
        <v>46303</v>
      </c>
      <c r="C10" s="8" t="s">
        <v>57</v>
      </c>
      <c r="D10" s="8"/>
      <c r="E10" s="8" t="s">
        <v>170</v>
      </c>
      <c r="F10" s="8" t="s">
        <v>171</v>
      </c>
      <c r="G10" s="8" t="s">
        <v>153</v>
      </c>
      <c r="H10" s="32"/>
      <c r="I10" s="32">
        <v>600000</v>
      </c>
      <c r="J10" s="25">
        <f>IF(B10="","",IFERROR(VLOOKUP(C10,Soldes_Ouverture,2,FALSE()),0)+SUMIFS($S$4:S10,$C$4:C10,C10))</f>
        <v>9595000</v>
      </c>
      <c r="K10" s="1" t="str">
        <f t="shared" si="1"/>
        <v>Proposé</v>
      </c>
      <c r="L10" s="1" t="str">
        <f t="shared" si="2"/>
        <v>Moyen</v>
      </c>
      <c r="M10" s="1">
        <f t="shared" si="3"/>
        <v>7</v>
      </c>
      <c r="N10" s="8"/>
      <c r="O10" s="8"/>
      <c r="P10" s="1">
        <f t="shared" si="4"/>
        <v>0</v>
      </c>
      <c r="Q10" s="25">
        <f t="shared" si="5"/>
        <v>0</v>
      </c>
      <c r="R10" s="1" t="str">
        <f t="shared" si="6"/>
        <v/>
      </c>
      <c r="S10" s="33">
        <f t="shared" si="7"/>
        <v>600000</v>
      </c>
      <c r="T10" s="34" t="str">
        <f>IF(B10="","",C10&amp;"|"&amp;ROUND(S10,2)&amp;"|"&amp;COUNTIFS($C$4:C10,C10,$S$4:S10,S10))</f>
        <v>ECOBANK|600000|1</v>
      </c>
      <c r="U10" s="34" t="str">
        <f t="shared" si="8"/>
        <v/>
      </c>
      <c r="V10" s="34">
        <f t="shared" si="9"/>
        <v>7</v>
      </c>
      <c r="W10" s="34">
        <f t="shared" si="10"/>
        <v>0</v>
      </c>
      <c r="X10" s="34">
        <f t="shared" si="11"/>
        <v>1</v>
      </c>
      <c r="Y10" s="34" t="str">
        <f t="shared" si="12"/>
        <v/>
      </c>
      <c r="Z10" s="34">
        <f>IF(X10=1,V10,IF(Y10="","",IF(COUNTIF(Y$3:Y9,Y10)=0,Y10,"")))</f>
        <v>7</v>
      </c>
      <c r="AA10" s="34" t="b">
        <f t="shared" si="13"/>
        <v>0</v>
      </c>
      <c r="AB10" s="34">
        <f t="shared" si="14"/>
        <v>0</v>
      </c>
      <c r="AC10" s="34">
        <f>IF(AND(B10&lt;&gt;"",C10=CompteSel,N(B10)&lt;=DateArret,AB10=0),MAX($AC$3:AC9)+1,"")</f>
        <v>3</v>
      </c>
      <c r="AD10" s="34">
        <f>IF(AND(ISNUMBER(M10),C10=CompteSel),MAX($AD$3:AD9)+1,"")</f>
        <v>7</v>
      </c>
    </row>
    <row r="11" spans="1:30" x14ac:dyDescent="0.35">
      <c r="A11" s="1">
        <f t="shared" si="0"/>
        <v>8</v>
      </c>
      <c r="B11" s="31">
        <v>46304</v>
      </c>
      <c r="C11" s="8" t="s">
        <v>57</v>
      </c>
      <c r="D11" s="8" t="s">
        <v>172</v>
      </c>
      <c r="E11" s="8" t="s">
        <v>173</v>
      </c>
      <c r="F11" s="8" t="s">
        <v>174</v>
      </c>
      <c r="G11" s="8" t="s">
        <v>175</v>
      </c>
      <c r="H11" s="32">
        <v>750000</v>
      </c>
      <c r="I11" s="32"/>
      <c r="J11" s="25">
        <f>IF(B11="","",IFERROR(VLOOKUP(C11,Soldes_Ouverture,2,FALSE()),0)+SUMIFS($S$4:S11,$C$4:C11,C11))</f>
        <v>8845000</v>
      </c>
      <c r="K11" s="1" t="str">
        <f t="shared" si="1"/>
        <v>Rapproché</v>
      </c>
      <c r="L11" s="1" t="str">
        <f t="shared" si="2"/>
        <v>Fort</v>
      </c>
      <c r="M11" s="1">
        <f t="shared" si="3"/>
        <v>9</v>
      </c>
      <c r="N11" s="8"/>
      <c r="O11" s="8"/>
      <c r="P11" s="1">
        <f t="shared" si="4"/>
        <v>0</v>
      </c>
      <c r="Q11" s="25">
        <f t="shared" si="5"/>
        <v>0</v>
      </c>
      <c r="R11" s="1" t="str">
        <f t="shared" si="6"/>
        <v/>
      </c>
      <c r="S11" s="33">
        <f t="shared" si="7"/>
        <v>-750000</v>
      </c>
      <c r="T11" s="34" t="str">
        <f>IF(B11="","",C11&amp;"|"&amp;ROUND(S11,2)&amp;"|"&amp;COUNTIFS($C$4:C11,C11,$S$4:S11,S11))</f>
        <v>ECOBANK|-750000|1</v>
      </c>
      <c r="U11" s="34">
        <f t="shared" si="8"/>
        <v>45873</v>
      </c>
      <c r="V11" s="34">
        <f t="shared" si="9"/>
        <v>9</v>
      </c>
      <c r="W11" s="34">
        <f t="shared" si="10"/>
        <v>0</v>
      </c>
      <c r="X11" s="34">
        <f t="shared" si="11"/>
        <v>1</v>
      </c>
      <c r="Y11" s="34" t="str">
        <f t="shared" si="12"/>
        <v/>
      </c>
      <c r="Z11" s="34">
        <f>IF(X11=1,V11,IF(Y11="","",IF(COUNTIF(Y$3:Y10,Y11)=0,Y11,"")))</f>
        <v>9</v>
      </c>
      <c r="AA11" s="34" t="b">
        <f t="shared" si="13"/>
        <v>1</v>
      </c>
      <c r="AB11" s="34">
        <f t="shared" si="14"/>
        <v>1</v>
      </c>
      <c r="AC11" s="34" t="str">
        <f>IF(AND(B11&lt;&gt;"",C11=CompteSel,N(B11)&lt;=DateArret,AB11=0),MAX($AC$3:AC10)+1,"")</f>
        <v/>
      </c>
      <c r="AD11" s="34">
        <f>IF(AND(ISNUMBER(M11),C11=CompteSel),MAX($AD$3:AD10)+1,"")</f>
        <v>8</v>
      </c>
    </row>
    <row r="12" spans="1:30" x14ac:dyDescent="0.35">
      <c r="A12" s="1">
        <f t="shared" si="0"/>
        <v>9</v>
      </c>
      <c r="B12" s="31">
        <v>46305</v>
      </c>
      <c r="C12" s="8" t="s">
        <v>57</v>
      </c>
      <c r="D12" s="8" t="s">
        <v>176</v>
      </c>
      <c r="E12" s="8" t="s">
        <v>177</v>
      </c>
      <c r="F12" s="8" t="s">
        <v>178</v>
      </c>
      <c r="G12" s="8" t="s">
        <v>179</v>
      </c>
      <c r="H12" s="32">
        <v>2000000</v>
      </c>
      <c r="I12" s="32"/>
      <c r="J12" s="25">
        <f>IF(B12="","",IFERROR(VLOOKUP(C12,Soldes_Ouverture,2,FALSE()),0)+SUMIFS($S$4:S12,$C$4:C12,C12))</f>
        <v>6845000</v>
      </c>
      <c r="K12" s="1" t="str">
        <f t="shared" si="1"/>
        <v>Proposé</v>
      </c>
      <c r="L12" s="1" t="str">
        <f t="shared" si="2"/>
        <v>Moyen</v>
      </c>
      <c r="M12" s="1">
        <f t="shared" si="3"/>
        <v>10</v>
      </c>
      <c r="N12" s="8"/>
      <c r="O12" s="8"/>
      <c r="P12" s="1">
        <f t="shared" si="4"/>
        <v>0</v>
      </c>
      <c r="Q12" s="25">
        <f t="shared" si="5"/>
        <v>0</v>
      </c>
      <c r="R12" s="1" t="str">
        <f t="shared" si="6"/>
        <v/>
      </c>
      <c r="S12" s="33">
        <f t="shared" si="7"/>
        <v>-2000000</v>
      </c>
      <c r="T12" s="34" t="str">
        <f>IF(B12="","",C12&amp;"|"&amp;ROUND(S12,2)&amp;"|"&amp;COUNTIFS($C$4:C12,C12,$S$4:S12,S12))</f>
        <v>ECOBANK|-2000000|1</v>
      </c>
      <c r="U12" s="34">
        <f t="shared" si="8"/>
        <v>2220</v>
      </c>
      <c r="V12" s="34">
        <f t="shared" si="9"/>
        <v>10</v>
      </c>
      <c r="W12" s="34">
        <f t="shared" si="10"/>
        <v>0</v>
      </c>
      <c r="X12" s="34">
        <f t="shared" si="11"/>
        <v>1</v>
      </c>
      <c r="Y12" s="34" t="str">
        <f t="shared" si="12"/>
        <v/>
      </c>
      <c r="Z12" s="34">
        <f>IF(X12=1,V12,IF(Y12="","",IF(COUNTIF(Y$3:Y11,Y12)=0,Y12,"")))</f>
        <v>10</v>
      </c>
      <c r="AA12" s="34" t="b">
        <f t="shared" si="13"/>
        <v>0</v>
      </c>
      <c r="AB12" s="34">
        <f t="shared" si="14"/>
        <v>0</v>
      </c>
      <c r="AC12" s="34">
        <f>IF(AND(B12&lt;&gt;"",C12=CompteSel,N(B12)&lt;=DateArret,AB12=0),MAX($AC$3:AC11)+1,"")</f>
        <v>4</v>
      </c>
      <c r="AD12" s="34">
        <f>IF(AND(ISNUMBER(M12),C12=CompteSel),MAX($AD$3:AD11)+1,"")</f>
        <v>9</v>
      </c>
    </row>
    <row r="13" spans="1:30" x14ac:dyDescent="0.35">
      <c r="A13" s="1">
        <f t="shared" si="0"/>
        <v>10</v>
      </c>
      <c r="B13" s="31">
        <v>46307</v>
      </c>
      <c r="C13" s="8" t="s">
        <v>57</v>
      </c>
      <c r="D13" s="8" t="s">
        <v>180</v>
      </c>
      <c r="E13" s="8" t="s">
        <v>151</v>
      </c>
      <c r="F13" s="8" t="s">
        <v>181</v>
      </c>
      <c r="G13" s="8" t="s">
        <v>153</v>
      </c>
      <c r="H13" s="32"/>
      <c r="I13" s="32">
        <v>1380000</v>
      </c>
      <c r="J13" s="25">
        <f>IF(B13="","",IFERROR(VLOOKUP(C13,Soldes_Ouverture,2,FALSE()),0)+SUMIFS($S$4:S13,$C$4:C13,C13))</f>
        <v>8225000</v>
      </c>
      <c r="K13" s="1" t="str">
        <f t="shared" si="1"/>
        <v>Non rapproché</v>
      </c>
      <c r="L13" s="1" t="str">
        <f t="shared" si="2"/>
        <v/>
      </c>
      <c r="M13" s="1" t="str">
        <f t="shared" si="3"/>
        <v/>
      </c>
      <c r="N13" s="8"/>
      <c r="O13" s="8"/>
      <c r="P13" s="1" t="str">
        <f t="shared" si="4"/>
        <v/>
      </c>
      <c r="Q13" s="25" t="str">
        <f t="shared" si="5"/>
        <v/>
      </c>
      <c r="R13" s="1" t="str">
        <f t="shared" si="6"/>
        <v/>
      </c>
      <c r="S13" s="33">
        <f t="shared" si="7"/>
        <v>1380000</v>
      </c>
      <c r="T13" s="34" t="str">
        <f>IF(B13="","",C13&amp;"|"&amp;ROUND(S13,2)&amp;"|"&amp;COUNTIFS($C$4:C13,C13,$S$4:S13,S13))</f>
        <v>ECOBANK|1380000|1</v>
      </c>
      <c r="U13" s="34">
        <f t="shared" si="8"/>
        <v>121</v>
      </c>
      <c r="V13" s="34" t="str">
        <f t="shared" si="9"/>
        <v/>
      </c>
      <c r="W13" s="34" t="str">
        <f t="shared" si="10"/>
        <v/>
      </c>
      <c r="X13" s="34">
        <f t="shared" si="11"/>
        <v>0</v>
      </c>
      <c r="Y13" s="34" t="str">
        <f t="shared" si="12"/>
        <v/>
      </c>
      <c r="Z13" s="34" t="str">
        <f>IF(X13=1,V13,IF(Y13="","",IF(COUNTIF(Y$3:Y12,Y13)=0,Y13,"")))</f>
        <v/>
      </c>
      <c r="AA13" s="34" t="b">
        <f t="shared" si="13"/>
        <v>0</v>
      </c>
      <c r="AB13" s="34">
        <f t="shared" si="14"/>
        <v>0</v>
      </c>
      <c r="AC13" s="34">
        <f>IF(AND(B13&lt;&gt;"",C13=CompteSel,N(B13)&lt;=DateArret,AB13=0),MAX($AC$3:AC12)+1,"")</f>
        <v>5</v>
      </c>
      <c r="AD13" s="34" t="str">
        <f>IF(AND(ISNUMBER(M13),C13=CompteSel),MAX($AD$3:AD12)+1,"")</f>
        <v/>
      </c>
    </row>
    <row r="14" spans="1:30" x14ac:dyDescent="0.35">
      <c r="A14" s="1">
        <f t="shared" si="0"/>
        <v>11</v>
      </c>
      <c r="B14" s="31">
        <v>46307</v>
      </c>
      <c r="C14" s="8" t="s">
        <v>57</v>
      </c>
      <c r="D14" s="8" t="s">
        <v>182</v>
      </c>
      <c r="E14" s="8" t="s">
        <v>183</v>
      </c>
      <c r="F14" s="8" t="s">
        <v>184</v>
      </c>
      <c r="G14" s="8" t="s">
        <v>164</v>
      </c>
      <c r="H14" s="32">
        <v>310000</v>
      </c>
      <c r="I14" s="32"/>
      <c r="J14" s="25">
        <f>IF(B14="","",IFERROR(VLOOKUP(C14,Soldes_Ouverture,2,FALSE()),0)+SUMIFS($S$4:S14,$C$4:C14,C14))</f>
        <v>7915000</v>
      </c>
      <c r="K14" s="1" t="str">
        <f t="shared" si="1"/>
        <v>Non rapproché</v>
      </c>
      <c r="L14" s="1" t="str">
        <f t="shared" si="2"/>
        <v/>
      </c>
      <c r="M14" s="1" t="str">
        <f t="shared" si="3"/>
        <v/>
      </c>
      <c r="N14" s="8"/>
      <c r="O14" s="8"/>
      <c r="P14" s="1" t="str">
        <f t="shared" si="4"/>
        <v/>
      </c>
      <c r="Q14" s="25" t="str">
        <f t="shared" si="5"/>
        <v/>
      </c>
      <c r="R14" s="1" t="str">
        <f t="shared" si="6"/>
        <v/>
      </c>
      <c r="S14" s="33">
        <f t="shared" si="7"/>
        <v>-310000</v>
      </c>
      <c r="T14" s="34" t="str">
        <f>IF(B14="","",C14&amp;"|"&amp;ROUND(S14,2)&amp;"|"&amp;COUNTIFS($C$4:C14,C14,$S$4:S14,S14))</f>
        <v>ECOBANK|-310000|1</v>
      </c>
      <c r="U14" s="34">
        <f t="shared" si="8"/>
        <v>45874</v>
      </c>
      <c r="V14" s="34" t="str">
        <f t="shared" si="9"/>
        <v/>
      </c>
      <c r="W14" s="34" t="str">
        <f t="shared" si="10"/>
        <v/>
      </c>
      <c r="X14" s="34">
        <f t="shared" si="11"/>
        <v>0</v>
      </c>
      <c r="Y14" s="34" t="str">
        <f t="shared" si="12"/>
        <v/>
      </c>
      <c r="Z14" s="34" t="str">
        <f>IF(X14=1,V14,IF(Y14="","",IF(COUNTIF(Y$3:Y13,Y14)=0,Y14,"")))</f>
        <v/>
      </c>
      <c r="AA14" s="34" t="b">
        <f t="shared" si="13"/>
        <v>0</v>
      </c>
      <c r="AB14" s="34">
        <f t="shared" si="14"/>
        <v>0</v>
      </c>
      <c r="AC14" s="34">
        <f>IF(AND(B14&lt;&gt;"",C14=CompteSel,N(B14)&lt;=DateArret,AB14=0),MAX($AC$3:AC13)+1,"")</f>
        <v>6</v>
      </c>
      <c r="AD14" s="34" t="str">
        <f>IF(AND(ISNUMBER(M14),C14=CompteSel),MAX($AD$3:AD13)+1,"")</f>
        <v/>
      </c>
    </row>
    <row r="15" spans="1:30" x14ac:dyDescent="0.35">
      <c r="A15" s="1">
        <f t="shared" si="0"/>
        <v>12</v>
      </c>
      <c r="B15" s="31">
        <v>46308</v>
      </c>
      <c r="C15" s="8" t="s">
        <v>57</v>
      </c>
      <c r="D15" s="8"/>
      <c r="E15" s="8" t="s">
        <v>185</v>
      </c>
      <c r="F15" s="8" t="s">
        <v>186</v>
      </c>
      <c r="G15" s="8" t="s">
        <v>153</v>
      </c>
      <c r="H15" s="32"/>
      <c r="I15" s="32">
        <v>275000</v>
      </c>
      <c r="J15" s="25">
        <f>IF(B15="","",IFERROR(VLOOKUP(C15,Soldes_Ouverture,2,FALSE()),0)+SUMIFS($S$4:S15,$C$4:C15,C15))</f>
        <v>8190000</v>
      </c>
      <c r="K15" s="1" t="str">
        <f t="shared" si="1"/>
        <v>Non rapproché</v>
      </c>
      <c r="L15" s="1" t="str">
        <f t="shared" si="2"/>
        <v/>
      </c>
      <c r="M15" s="1" t="str">
        <f t="shared" si="3"/>
        <v/>
      </c>
      <c r="N15" s="8"/>
      <c r="O15" s="8"/>
      <c r="P15" s="1" t="str">
        <f t="shared" si="4"/>
        <v/>
      </c>
      <c r="Q15" s="25" t="str">
        <f t="shared" si="5"/>
        <v/>
      </c>
      <c r="R15" s="1" t="str">
        <f t="shared" si="6"/>
        <v/>
      </c>
      <c r="S15" s="33">
        <f t="shared" si="7"/>
        <v>275000</v>
      </c>
      <c r="T15" s="34" t="str">
        <f>IF(B15="","",C15&amp;"|"&amp;ROUND(S15,2)&amp;"|"&amp;COUNTIFS($C$4:C15,C15,$S$4:S15,S15))</f>
        <v>ECOBANK|275000|1</v>
      </c>
      <c r="U15" s="34" t="str">
        <f t="shared" si="8"/>
        <v/>
      </c>
      <c r="V15" s="34" t="str">
        <f t="shared" si="9"/>
        <v/>
      </c>
      <c r="W15" s="34" t="str">
        <f t="shared" si="10"/>
        <v/>
      </c>
      <c r="X15" s="34">
        <f t="shared" si="11"/>
        <v>0</v>
      </c>
      <c r="Y15" s="34" t="str">
        <f t="shared" si="12"/>
        <v/>
      </c>
      <c r="Z15" s="34" t="str">
        <f>IF(X15=1,V15,IF(Y15="","",IF(COUNTIF(Y$3:Y14,Y15)=0,Y15,"")))</f>
        <v/>
      </c>
      <c r="AA15" s="34" t="b">
        <f t="shared" si="13"/>
        <v>0</v>
      </c>
      <c r="AB15" s="34">
        <f t="shared" si="14"/>
        <v>0</v>
      </c>
      <c r="AC15" s="34">
        <f>IF(AND(B15&lt;&gt;"",C15=CompteSel,N(B15)&lt;=DateArret,AB15=0),MAX($AC$3:AC14)+1,"")</f>
        <v>7</v>
      </c>
      <c r="AD15" s="34" t="str">
        <f>IF(AND(ISNUMBER(M15),C15=CompteSel),MAX($AD$3:AD14)+1,"")</f>
        <v/>
      </c>
    </row>
    <row r="16" spans="1:30" x14ac:dyDescent="0.35">
      <c r="A16" s="1" t="str">
        <f t="shared" si="0"/>
        <v/>
      </c>
      <c r="B16" s="31"/>
      <c r="C16" s="8"/>
      <c r="D16" s="8"/>
      <c r="E16" s="8"/>
      <c r="F16" s="8"/>
      <c r="G16" s="8"/>
      <c r="H16" s="32"/>
      <c r="I16" s="32"/>
      <c r="J16" s="25" t="str">
        <f>IF(B16="","",IFERROR(VLOOKUP(C16,Soldes_Ouverture,2,FALSE()),0)+SUMIFS($S$4:S16,$C$4:C16,C16))</f>
        <v/>
      </c>
      <c r="K16" s="1" t="str">
        <f t="shared" si="1"/>
        <v/>
      </c>
      <c r="L16" s="1" t="str">
        <f t="shared" si="2"/>
        <v/>
      </c>
      <c r="M16" s="1" t="str">
        <f t="shared" si="3"/>
        <v/>
      </c>
      <c r="N16" s="8"/>
      <c r="O16" s="8"/>
      <c r="P16" s="1" t="str">
        <f t="shared" si="4"/>
        <v/>
      </c>
      <c r="Q16" s="25" t="str">
        <f t="shared" si="5"/>
        <v/>
      </c>
      <c r="R16" s="1" t="str">
        <f t="shared" si="6"/>
        <v/>
      </c>
      <c r="S16" s="33" t="str">
        <f t="shared" si="7"/>
        <v/>
      </c>
      <c r="T16" s="34" t="str">
        <f>IF(B16="","",C16&amp;"|"&amp;ROUND(S16,2)&amp;"|"&amp;COUNTIFS($C$4:C16,C16,$S$4:S16,S16))</f>
        <v/>
      </c>
      <c r="U16" s="34" t="str">
        <f t="shared" si="8"/>
        <v/>
      </c>
      <c r="V16" s="34" t="str">
        <f t="shared" si="9"/>
        <v/>
      </c>
      <c r="W16" s="34" t="str">
        <f t="shared" si="10"/>
        <v/>
      </c>
      <c r="X16" s="34">
        <f t="shared" si="11"/>
        <v>0</v>
      </c>
      <c r="Y16" s="34" t="str">
        <f t="shared" si="12"/>
        <v/>
      </c>
      <c r="Z16" s="34" t="str">
        <f>IF(X16=1,V16,IF(Y16="","",IF(COUNTIF(Y$3:Y15,Y16)=0,Y16,"")))</f>
        <v/>
      </c>
      <c r="AA16" s="34" t="b">
        <f t="shared" si="13"/>
        <v>0</v>
      </c>
      <c r="AB16" s="34">
        <f t="shared" si="14"/>
        <v>0</v>
      </c>
      <c r="AC16" s="34" t="str">
        <f>IF(AND(B16&lt;&gt;"",C16=CompteSel,N(B16)&lt;=DateArret,AB16=0),MAX($AC$3:AC15)+1,"")</f>
        <v/>
      </c>
      <c r="AD16" s="34" t="str">
        <f>IF(AND(ISNUMBER(M16),C16=CompteSel),MAX($AD$3:AD15)+1,"")</f>
        <v/>
      </c>
    </row>
    <row r="17" spans="1:30" x14ac:dyDescent="0.35">
      <c r="A17" s="1" t="str">
        <f t="shared" si="0"/>
        <v/>
      </c>
      <c r="B17" s="31"/>
      <c r="C17" s="8"/>
      <c r="D17" s="8"/>
      <c r="E17" s="8"/>
      <c r="F17" s="8"/>
      <c r="G17" s="8"/>
      <c r="H17" s="32"/>
      <c r="I17" s="32"/>
      <c r="J17" s="25" t="str">
        <f>IF(B17="","",IFERROR(VLOOKUP(C17,Soldes_Ouverture,2,FALSE()),0)+SUMIFS($S$4:S17,$C$4:C17,C17))</f>
        <v/>
      </c>
      <c r="K17" s="1" t="str">
        <f t="shared" si="1"/>
        <v/>
      </c>
      <c r="L17" s="1" t="str">
        <f t="shared" si="2"/>
        <v/>
      </c>
      <c r="M17" s="1" t="str">
        <f t="shared" si="3"/>
        <v/>
      </c>
      <c r="N17" s="8"/>
      <c r="O17" s="8"/>
      <c r="P17" s="1" t="str">
        <f t="shared" si="4"/>
        <v/>
      </c>
      <c r="Q17" s="25" t="str">
        <f t="shared" si="5"/>
        <v/>
      </c>
      <c r="R17" s="1" t="str">
        <f t="shared" si="6"/>
        <v/>
      </c>
      <c r="S17" s="33" t="str">
        <f t="shared" si="7"/>
        <v/>
      </c>
      <c r="T17" s="34" t="str">
        <f>IF(B17="","",C17&amp;"|"&amp;ROUND(S17,2)&amp;"|"&amp;COUNTIFS($C$4:C17,C17,$S$4:S17,S17))</f>
        <v/>
      </c>
      <c r="U17" s="34" t="str">
        <f t="shared" si="8"/>
        <v/>
      </c>
      <c r="V17" s="34" t="str">
        <f t="shared" si="9"/>
        <v/>
      </c>
      <c r="W17" s="34" t="str">
        <f t="shared" si="10"/>
        <v/>
      </c>
      <c r="X17" s="34">
        <f t="shared" si="11"/>
        <v>0</v>
      </c>
      <c r="Y17" s="34" t="str">
        <f t="shared" si="12"/>
        <v/>
      </c>
      <c r="Z17" s="34" t="str">
        <f>IF(X17=1,V17,IF(Y17="","",IF(COUNTIF(Y$3:Y16,Y17)=0,Y17,"")))</f>
        <v/>
      </c>
      <c r="AA17" s="34" t="b">
        <f t="shared" si="13"/>
        <v>0</v>
      </c>
      <c r="AB17" s="34">
        <f t="shared" si="14"/>
        <v>0</v>
      </c>
      <c r="AC17" s="34" t="str">
        <f>IF(AND(B17&lt;&gt;"",C17=CompteSel,N(B17)&lt;=DateArret,AB17=0),MAX($AC$3:AC16)+1,"")</f>
        <v/>
      </c>
      <c r="AD17" s="34" t="str">
        <f>IF(AND(ISNUMBER(M17),C17=CompteSel),MAX($AD$3:AD16)+1,"")</f>
        <v/>
      </c>
    </row>
    <row r="18" spans="1:30" x14ac:dyDescent="0.35">
      <c r="A18" s="1" t="str">
        <f t="shared" si="0"/>
        <v/>
      </c>
      <c r="B18" s="31"/>
      <c r="C18" s="8"/>
      <c r="D18" s="8"/>
      <c r="E18" s="8"/>
      <c r="F18" s="8"/>
      <c r="G18" s="8"/>
      <c r="H18" s="32"/>
      <c r="I18" s="32"/>
      <c r="J18" s="25" t="str">
        <f>IF(B18="","",IFERROR(VLOOKUP(C18,Soldes_Ouverture,2,FALSE()),0)+SUMIFS($S$4:S18,$C$4:C18,C18))</f>
        <v/>
      </c>
      <c r="K18" s="1" t="str">
        <f t="shared" si="1"/>
        <v/>
      </c>
      <c r="L18" s="1" t="str">
        <f t="shared" si="2"/>
        <v/>
      </c>
      <c r="M18" s="1" t="str">
        <f t="shared" si="3"/>
        <v/>
      </c>
      <c r="N18" s="8"/>
      <c r="O18" s="8"/>
      <c r="P18" s="1" t="str">
        <f t="shared" si="4"/>
        <v/>
      </c>
      <c r="Q18" s="25" t="str">
        <f t="shared" si="5"/>
        <v/>
      </c>
      <c r="R18" s="1" t="str">
        <f t="shared" si="6"/>
        <v/>
      </c>
      <c r="S18" s="33" t="str">
        <f t="shared" si="7"/>
        <v/>
      </c>
      <c r="T18" s="34" t="str">
        <f>IF(B18="","",C18&amp;"|"&amp;ROUND(S18,2)&amp;"|"&amp;COUNTIFS($C$4:C18,C18,$S$4:S18,S18))</f>
        <v/>
      </c>
      <c r="U18" s="34" t="str">
        <f t="shared" si="8"/>
        <v/>
      </c>
      <c r="V18" s="34" t="str">
        <f t="shared" si="9"/>
        <v/>
      </c>
      <c r="W18" s="34" t="str">
        <f t="shared" si="10"/>
        <v/>
      </c>
      <c r="X18" s="34">
        <f t="shared" si="11"/>
        <v>0</v>
      </c>
      <c r="Y18" s="34" t="str">
        <f t="shared" si="12"/>
        <v/>
      </c>
      <c r="Z18" s="34" t="str">
        <f>IF(X18=1,V18,IF(Y18="","",IF(COUNTIF(Y$3:Y17,Y18)=0,Y18,"")))</f>
        <v/>
      </c>
      <c r="AA18" s="34" t="b">
        <f t="shared" si="13"/>
        <v>0</v>
      </c>
      <c r="AB18" s="34">
        <f t="shared" si="14"/>
        <v>0</v>
      </c>
      <c r="AC18" s="34" t="str">
        <f>IF(AND(B18&lt;&gt;"",C18=CompteSel,N(B18)&lt;=DateArret,AB18=0),MAX($AC$3:AC17)+1,"")</f>
        <v/>
      </c>
      <c r="AD18" s="34" t="str">
        <f>IF(AND(ISNUMBER(M18),C18=CompteSel),MAX($AD$3:AD17)+1,"")</f>
        <v/>
      </c>
    </row>
    <row r="19" spans="1:30" x14ac:dyDescent="0.35">
      <c r="A19" s="1" t="str">
        <f t="shared" si="0"/>
        <v/>
      </c>
      <c r="B19" s="31"/>
      <c r="C19" s="8"/>
      <c r="D19" s="8"/>
      <c r="E19" s="8"/>
      <c r="F19" s="8"/>
      <c r="G19" s="8"/>
      <c r="H19" s="32"/>
      <c r="I19" s="32"/>
      <c r="J19" s="25" t="str">
        <f>IF(B19="","",IFERROR(VLOOKUP(C19,Soldes_Ouverture,2,FALSE()),0)+SUMIFS($S$4:S19,$C$4:C19,C19))</f>
        <v/>
      </c>
      <c r="K19" s="1" t="str">
        <f t="shared" si="1"/>
        <v/>
      </c>
      <c r="L19" s="1" t="str">
        <f t="shared" si="2"/>
        <v/>
      </c>
      <c r="M19" s="1" t="str">
        <f t="shared" si="3"/>
        <v/>
      </c>
      <c r="N19" s="8"/>
      <c r="O19" s="8"/>
      <c r="P19" s="1" t="str">
        <f t="shared" si="4"/>
        <v/>
      </c>
      <c r="Q19" s="25" t="str">
        <f t="shared" si="5"/>
        <v/>
      </c>
      <c r="R19" s="1" t="str">
        <f t="shared" si="6"/>
        <v/>
      </c>
      <c r="S19" s="33" t="str">
        <f t="shared" si="7"/>
        <v/>
      </c>
      <c r="T19" s="34" t="str">
        <f>IF(B19="","",C19&amp;"|"&amp;ROUND(S19,2)&amp;"|"&amp;COUNTIFS($C$4:C19,C19,$S$4:S19,S19))</f>
        <v/>
      </c>
      <c r="U19" s="34" t="str">
        <f t="shared" si="8"/>
        <v/>
      </c>
      <c r="V19" s="34" t="str">
        <f t="shared" si="9"/>
        <v/>
      </c>
      <c r="W19" s="34" t="str">
        <f t="shared" si="10"/>
        <v/>
      </c>
      <c r="X19" s="34">
        <f t="shared" si="11"/>
        <v>0</v>
      </c>
      <c r="Y19" s="34" t="str">
        <f t="shared" si="12"/>
        <v/>
      </c>
      <c r="Z19" s="34" t="str">
        <f>IF(X19=1,V19,IF(Y19="","",IF(COUNTIF(Y$3:Y18,Y19)=0,Y19,"")))</f>
        <v/>
      </c>
      <c r="AA19" s="34" t="b">
        <f t="shared" si="13"/>
        <v>0</v>
      </c>
      <c r="AB19" s="34">
        <f t="shared" si="14"/>
        <v>0</v>
      </c>
      <c r="AC19" s="34" t="str">
        <f>IF(AND(B19&lt;&gt;"",C19=CompteSel,N(B19)&lt;=DateArret,AB19=0),MAX($AC$3:AC18)+1,"")</f>
        <v/>
      </c>
      <c r="AD19" s="34" t="str">
        <f>IF(AND(ISNUMBER(M19),C19=CompteSel),MAX($AD$3:AD18)+1,"")</f>
        <v/>
      </c>
    </row>
    <row r="20" spans="1:30" x14ac:dyDescent="0.35">
      <c r="A20" s="1" t="str">
        <f t="shared" si="0"/>
        <v/>
      </c>
      <c r="B20" s="31"/>
      <c r="C20" s="8"/>
      <c r="D20" s="8"/>
      <c r="E20" s="8"/>
      <c r="F20" s="8"/>
      <c r="G20" s="8"/>
      <c r="H20" s="32"/>
      <c r="I20" s="32"/>
      <c r="J20" s="25" t="str">
        <f>IF(B20="","",IFERROR(VLOOKUP(C20,Soldes_Ouverture,2,FALSE()),0)+SUMIFS($S$4:S20,$C$4:C20,C20))</f>
        <v/>
      </c>
      <c r="K20" s="1" t="str">
        <f t="shared" si="1"/>
        <v/>
      </c>
      <c r="L20" s="1" t="str">
        <f t="shared" si="2"/>
        <v/>
      </c>
      <c r="M20" s="1" t="str">
        <f t="shared" si="3"/>
        <v/>
      </c>
      <c r="N20" s="8"/>
      <c r="O20" s="8"/>
      <c r="P20" s="1" t="str">
        <f t="shared" si="4"/>
        <v/>
      </c>
      <c r="Q20" s="25" t="str">
        <f t="shared" si="5"/>
        <v/>
      </c>
      <c r="R20" s="1" t="str">
        <f t="shared" si="6"/>
        <v/>
      </c>
      <c r="S20" s="33" t="str">
        <f t="shared" si="7"/>
        <v/>
      </c>
      <c r="T20" s="34" t="str">
        <f>IF(B20="","",C20&amp;"|"&amp;ROUND(S20,2)&amp;"|"&amp;COUNTIFS($C$4:C20,C20,$S$4:S20,S20))</f>
        <v/>
      </c>
      <c r="U20" s="34" t="str">
        <f t="shared" si="8"/>
        <v/>
      </c>
      <c r="V20" s="34" t="str">
        <f t="shared" si="9"/>
        <v/>
      </c>
      <c r="W20" s="34" t="str">
        <f t="shared" si="10"/>
        <v/>
      </c>
      <c r="X20" s="34">
        <f t="shared" si="11"/>
        <v>0</v>
      </c>
      <c r="Y20" s="34" t="str">
        <f t="shared" si="12"/>
        <v/>
      </c>
      <c r="Z20" s="34" t="str">
        <f>IF(X20=1,V20,IF(Y20="","",IF(COUNTIF(Y$3:Y19,Y20)=0,Y20,"")))</f>
        <v/>
      </c>
      <c r="AA20" s="34" t="b">
        <f t="shared" si="13"/>
        <v>0</v>
      </c>
      <c r="AB20" s="34">
        <f t="shared" si="14"/>
        <v>0</v>
      </c>
      <c r="AC20" s="34" t="str">
        <f>IF(AND(B20&lt;&gt;"",C20=CompteSel,N(B20)&lt;=DateArret,AB20=0),MAX($AC$3:AC19)+1,"")</f>
        <v/>
      </c>
      <c r="AD20" s="34" t="str">
        <f>IF(AND(ISNUMBER(M20),C20=CompteSel),MAX($AD$3:AD19)+1,"")</f>
        <v/>
      </c>
    </row>
    <row r="21" spans="1:30" x14ac:dyDescent="0.35">
      <c r="A21" s="1" t="str">
        <f t="shared" si="0"/>
        <v/>
      </c>
      <c r="B21" s="31"/>
      <c r="C21" s="8"/>
      <c r="D21" s="8"/>
      <c r="E21" s="8"/>
      <c r="F21" s="8"/>
      <c r="G21" s="8"/>
      <c r="H21" s="32"/>
      <c r="I21" s="32"/>
      <c r="J21" s="25" t="str">
        <f>IF(B21="","",IFERROR(VLOOKUP(C21,Soldes_Ouverture,2,FALSE()),0)+SUMIFS($S$4:S21,$C$4:C21,C21))</f>
        <v/>
      </c>
      <c r="K21" s="1" t="str">
        <f t="shared" si="1"/>
        <v/>
      </c>
      <c r="L21" s="1" t="str">
        <f t="shared" si="2"/>
        <v/>
      </c>
      <c r="M21" s="1" t="str">
        <f t="shared" si="3"/>
        <v/>
      </c>
      <c r="N21" s="8"/>
      <c r="O21" s="8"/>
      <c r="P21" s="1" t="str">
        <f t="shared" si="4"/>
        <v/>
      </c>
      <c r="Q21" s="25" t="str">
        <f t="shared" si="5"/>
        <v/>
      </c>
      <c r="R21" s="1" t="str">
        <f t="shared" si="6"/>
        <v/>
      </c>
      <c r="S21" s="33" t="str">
        <f t="shared" si="7"/>
        <v/>
      </c>
      <c r="T21" s="34" t="str">
        <f>IF(B21="","",C21&amp;"|"&amp;ROUND(S21,2)&amp;"|"&amp;COUNTIFS($C$4:C21,C21,$S$4:S21,S21))</f>
        <v/>
      </c>
      <c r="U21" s="34" t="str">
        <f t="shared" si="8"/>
        <v/>
      </c>
      <c r="V21" s="34" t="str">
        <f t="shared" si="9"/>
        <v/>
      </c>
      <c r="W21" s="34" t="str">
        <f t="shared" si="10"/>
        <v/>
      </c>
      <c r="X21" s="34">
        <f t="shared" si="11"/>
        <v>0</v>
      </c>
      <c r="Y21" s="34" t="str">
        <f t="shared" si="12"/>
        <v/>
      </c>
      <c r="Z21" s="34" t="str">
        <f>IF(X21=1,V21,IF(Y21="","",IF(COUNTIF(Y$3:Y20,Y21)=0,Y21,"")))</f>
        <v/>
      </c>
      <c r="AA21" s="34" t="b">
        <f t="shared" si="13"/>
        <v>0</v>
      </c>
      <c r="AB21" s="34">
        <f t="shared" si="14"/>
        <v>0</v>
      </c>
      <c r="AC21" s="34" t="str">
        <f>IF(AND(B21&lt;&gt;"",C21=CompteSel,N(B21)&lt;=DateArret,AB21=0),MAX($AC$3:AC20)+1,"")</f>
        <v/>
      </c>
      <c r="AD21" s="34" t="str">
        <f>IF(AND(ISNUMBER(M21),C21=CompteSel),MAX($AD$3:AD20)+1,"")</f>
        <v/>
      </c>
    </row>
    <row r="22" spans="1:30" x14ac:dyDescent="0.35">
      <c r="A22" s="1" t="str">
        <f t="shared" si="0"/>
        <v/>
      </c>
      <c r="B22" s="31"/>
      <c r="C22" s="8"/>
      <c r="D22" s="8"/>
      <c r="E22" s="8"/>
      <c r="F22" s="8"/>
      <c r="G22" s="8"/>
      <c r="H22" s="32"/>
      <c r="I22" s="32"/>
      <c r="J22" s="25" t="str">
        <f>IF(B22="","",IFERROR(VLOOKUP(C22,Soldes_Ouverture,2,FALSE()),0)+SUMIFS($S$4:S22,$C$4:C22,C22))</f>
        <v/>
      </c>
      <c r="K22" s="1" t="str">
        <f t="shared" si="1"/>
        <v/>
      </c>
      <c r="L22" s="1" t="str">
        <f t="shared" si="2"/>
        <v/>
      </c>
      <c r="M22" s="1" t="str">
        <f t="shared" si="3"/>
        <v/>
      </c>
      <c r="N22" s="8"/>
      <c r="O22" s="8"/>
      <c r="P22" s="1" t="str">
        <f t="shared" si="4"/>
        <v/>
      </c>
      <c r="Q22" s="25" t="str">
        <f t="shared" si="5"/>
        <v/>
      </c>
      <c r="R22" s="1" t="str">
        <f t="shared" si="6"/>
        <v/>
      </c>
      <c r="S22" s="33" t="str">
        <f t="shared" si="7"/>
        <v/>
      </c>
      <c r="T22" s="34" t="str">
        <f>IF(B22="","",C22&amp;"|"&amp;ROUND(S22,2)&amp;"|"&amp;COUNTIFS($C$4:C22,C22,$S$4:S22,S22))</f>
        <v/>
      </c>
      <c r="U22" s="34" t="str">
        <f t="shared" si="8"/>
        <v/>
      </c>
      <c r="V22" s="34" t="str">
        <f t="shared" si="9"/>
        <v/>
      </c>
      <c r="W22" s="34" t="str">
        <f t="shared" si="10"/>
        <v/>
      </c>
      <c r="X22" s="34">
        <f t="shared" si="11"/>
        <v>0</v>
      </c>
      <c r="Y22" s="34" t="str">
        <f t="shared" si="12"/>
        <v/>
      </c>
      <c r="Z22" s="34" t="str">
        <f>IF(X22=1,V22,IF(Y22="","",IF(COUNTIF(Y$3:Y21,Y22)=0,Y22,"")))</f>
        <v/>
      </c>
      <c r="AA22" s="34" t="b">
        <f t="shared" si="13"/>
        <v>0</v>
      </c>
      <c r="AB22" s="34">
        <f t="shared" si="14"/>
        <v>0</v>
      </c>
      <c r="AC22" s="34" t="str">
        <f>IF(AND(B22&lt;&gt;"",C22=CompteSel,N(B22)&lt;=DateArret,AB22=0),MAX($AC$3:AC21)+1,"")</f>
        <v/>
      </c>
      <c r="AD22" s="34" t="str">
        <f>IF(AND(ISNUMBER(M22),C22=CompteSel),MAX($AD$3:AD21)+1,"")</f>
        <v/>
      </c>
    </row>
    <row r="23" spans="1:30" x14ac:dyDescent="0.35">
      <c r="A23" s="1" t="str">
        <f t="shared" si="0"/>
        <v/>
      </c>
      <c r="B23" s="31"/>
      <c r="C23" s="8"/>
      <c r="D23" s="8"/>
      <c r="E23" s="8"/>
      <c r="F23" s="8"/>
      <c r="G23" s="8"/>
      <c r="H23" s="32"/>
      <c r="I23" s="32"/>
      <c r="J23" s="25" t="str">
        <f>IF(B23="","",IFERROR(VLOOKUP(C23,Soldes_Ouverture,2,FALSE()),0)+SUMIFS($S$4:S23,$C$4:C23,C23))</f>
        <v/>
      </c>
      <c r="K23" s="1" t="str">
        <f t="shared" si="1"/>
        <v/>
      </c>
      <c r="L23" s="1" t="str">
        <f t="shared" si="2"/>
        <v/>
      </c>
      <c r="M23" s="1" t="str">
        <f t="shared" si="3"/>
        <v/>
      </c>
      <c r="N23" s="8"/>
      <c r="O23" s="8"/>
      <c r="P23" s="1" t="str">
        <f t="shared" si="4"/>
        <v/>
      </c>
      <c r="Q23" s="25" t="str">
        <f t="shared" si="5"/>
        <v/>
      </c>
      <c r="R23" s="1" t="str">
        <f t="shared" si="6"/>
        <v/>
      </c>
      <c r="S23" s="33" t="str">
        <f t="shared" si="7"/>
        <v/>
      </c>
      <c r="T23" s="34" t="str">
        <f>IF(B23="","",C23&amp;"|"&amp;ROUND(S23,2)&amp;"|"&amp;COUNTIFS($C$4:C23,C23,$S$4:S23,S23))</f>
        <v/>
      </c>
      <c r="U23" s="34" t="str">
        <f t="shared" si="8"/>
        <v/>
      </c>
      <c r="V23" s="34" t="str">
        <f t="shared" si="9"/>
        <v/>
      </c>
      <c r="W23" s="34" t="str">
        <f t="shared" si="10"/>
        <v/>
      </c>
      <c r="X23" s="34">
        <f t="shared" si="11"/>
        <v>0</v>
      </c>
      <c r="Y23" s="34" t="str">
        <f t="shared" si="12"/>
        <v/>
      </c>
      <c r="Z23" s="34" t="str">
        <f>IF(X23=1,V23,IF(Y23="","",IF(COUNTIF(Y$3:Y22,Y23)=0,Y23,"")))</f>
        <v/>
      </c>
      <c r="AA23" s="34" t="b">
        <f t="shared" si="13"/>
        <v>0</v>
      </c>
      <c r="AB23" s="34">
        <f t="shared" si="14"/>
        <v>0</v>
      </c>
      <c r="AC23" s="34" t="str">
        <f>IF(AND(B23&lt;&gt;"",C23=CompteSel,N(B23)&lt;=DateArret,AB23=0),MAX($AC$3:AC22)+1,"")</f>
        <v/>
      </c>
      <c r="AD23" s="34" t="str">
        <f>IF(AND(ISNUMBER(M23),C23=CompteSel),MAX($AD$3:AD22)+1,"")</f>
        <v/>
      </c>
    </row>
    <row r="24" spans="1:30" x14ac:dyDescent="0.35">
      <c r="A24" s="1" t="str">
        <f t="shared" si="0"/>
        <v/>
      </c>
      <c r="B24" s="31"/>
      <c r="C24" s="8"/>
      <c r="D24" s="8"/>
      <c r="E24" s="8"/>
      <c r="F24" s="8"/>
      <c r="G24" s="8"/>
      <c r="H24" s="32"/>
      <c r="I24" s="32"/>
      <c r="J24" s="25" t="str">
        <f>IF(B24="","",IFERROR(VLOOKUP(C24,Soldes_Ouverture,2,FALSE()),0)+SUMIFS($S$4:S24,$C$4:C24,C24))</f>
        <v/>
      </c>
      <c r="K24" s="1" t="str">
        <f t="shared" si="1"/>
        <v/>
      </c>
      <c r="L24" s="1" t="str">
        <f t="shared" si="2"/>
        <v/>
      </c>
      <c r="M24" s="1" t="str">
        <f t="shared" si="3"/>
        <v/>
      </c>
      <c r="N24" s="8"/>
      <c r="O24" s="8"/>
      <c r="P24" s="1" t="str">
        <f t="shared" si="4"/>
        <v/>
      </c>
      <c r="Q24" s="25" t="str">
        <f t="shared" si="5"/>
        <v/>
      </c>
      <c r="R24" s="1" t="str">
        <f t="shared" si="6"/>
        <v/>
      </c>
      <c r="S24" s="33" t="str">
        <f t="shared" si="7"/>
        <v/>
      </c>
      <c r="T24" s="34" t="str">
        <f>IF(B24="","",C24&amp;"|"&amp;ROUND(S24,2)&amp;"|"&amp;COUNTIFS($C$4:C24,C24,$S$4:S24,S24))</f>
        <v/>
      </c>
      <c r="U24" s="34" t="str">
        <f t="shared" si="8"/>
        <v/>
      </c>
      <c r="V24" s="34" t="str">
        <f t="shared" si="9"/>
        <v/>
      </c>
      <c r="W24" s="34" t="str">
        <f t="shared" si="10"/>
        <v/>
      </c>
      <c r="X24" s="34">
        <f t="shared" si="11"/>
        <v>0</v>
      </c>
      <c r="Y24" s="34" t="str">
        <f t="shared" si="12"/>
        <v/>
      </c>
      <c r="Z24" s="34" t="str">
        <f>IF(X24=1,V24,IF(Y24="","",IF(COUNTIF(Y$3:Y23,Y24)=0,Y24,"")))</f>
        <v/>
      </c>
      <c r="AA24" s="34" t="b">
        <f t="shared" si="13"/>
        <v>0</v>
      </c>
      <c r="AB24" s="34">
        <f t="shared" si="14"/>
        <v>0</v>
      </c>
      <c r="AC24" s="34" t="str">
        <f>IF(AND(B24&lt;&gt;"",C24=CompteSel,N(B24)&lt;=DateArret,AB24=0),MAX($AC$3:AC23)+1,"")</f>
        <v/>
      </c>
      <c r="AD24" s="34" t="str">
        <f>IF(AND(ISNUMBER(M24),C24=CompteSel),MAX($AD$3:AD23)+1,"")</f>
        <v/>
      </c>
    </row>
    <row r="25" spans="1:30" x14ac:dyDescent="0.35">
      <c r="A25" s="1" t="str">
        <f t="shared" si="0"/>
        <v/>
      </c>
      <c r="B25" s="31"/>
      <c r="C25" s="8"/>
      <c r="D25" s="8"/>
      <c r="E25" s="8"/>
      <c r="F25" s="8"/>
      <c r="G25" s="8"/>
      <c r="H25" s="32"/>
      <c r="I25" s="32"/>
      <c r="J25" s="25" t="str">
        <f>IF(B25="","",IFERROR(VLOOKUP(C25,Soldes_Ouverture,2,FALSE()),0)+SUMIFS($S$4:S25,$C$4:C25,C25))</f>
        <v/>
      </c>
      <c r="K25" s="1" t="str">
        <f t="shared" si="1"/>
        <v/>
      </c>
      <c r="L25" s="1" t="str">
        <f t="shared" si="2"/>
        <v/>
      </c>
      <c r="M25" s="1" t="str">
        <f t="shared" si="3"/>
        <v/>
      </c>
      <c r="N25" s="8"/>
      <c r="O25" s="8"/>
      <c r="P25" s="1" t="str">
        <f t="shared" si="4"/>
        <v/>
      </c>
      <c r="Q25" s="25" t="str">
        <f t="shared" si="5"/>
        <v/>
      </c>
      <c r="R25" s="1" t="str">
        <f t="shared" si="6"/>
        <v/>
      </c>
      <c r="S25" s="33" t="str">
        <f t="shared" si="7"/>
        <v/>
      </c>
      <c r="T25" s="34" t="str">
        <f>IF(B25="","",C25&amp;"|"&amp;ROUND(S25,2)&amp;"|"&amp;COUNTIFS($C$4:C25,C25,$S$4:S25,S25))</f>
        <v/>
      </c>
      <c r="U25" s="34" t="str">
        <f t="shared" si="8"/>
        <v/>
      </c>
      <c r="V25" s="34" t="str">
        <f t="shared" si="9"/>
        <v/>
      </c>
      <c r="W25" s="34" t="str">
        <f t="shared" si="10"/>
        <v/>
      </c>
      <c r="X25" s="34">
        <f t="shared" si="11"/>
        <v>0</v>
      </c>
      <c r="Y25" s="34" t="str">
        <f t="shared" si="12"/>
        <v/>
      </c>
      <c r="Z25" s="34" t="str">
        <f>IF(X25=1,V25,IF(Y25="","",IF(COUNTIF(Y$3:Y24,Y25)=0,Y25,"")))</f>
        <v/>
      </c>
      <c r="AA25" s="34" t="b">
        <f t="shared" si="13"/>
        <v>0</v>
      </c>
      <c r="AB25" s="34">
        <f t="shared" si="14"/>
        <v>0</v>
      </c>
      <c r="AC25" s="34" t="str">
        <f>IF(AND(B25&lt;&gt;"",C25=CompteSel,N(B25)&lt;=DateArret,AB25=0),MAX($AC$3:AC24)+1,"")</f>
        <v/>
      </c>
      <c r="AD25" s="34" t="str">
        <f>IF(AND(ISNUMBER(M25),C25=CompteSel),MAX($AD$3:AD24)+1,"")</f>
        <v/>
      </c>
    </row>
    <row r="26" spans="1:30" x14ac:dyDescent="0.35">
      <c r="A26" s="1" t="str">
        <f t="shared" si="0"/>
        <v/>
      </c>
      <c r="B26" s="31"/>
      <c r="C26" s="8"/>
      <c r="D26" s="8"/>
      <c r="E26" s="8"/>
      <c r="F26" s="8"/>
      <c r="G26" s="8"/>
      <c r="H26" s="32"/>
      <c r="I26" s="32"/>
      <c r="J26" s="25" t="str">
        <f>IF(B26="","",IFERROR(VLOOKUP(C26,Soldes_Ouverture,2,FALSE()),0)+SUMIFS($S$4:S26,$C$4:C26,C26))</f>
        <v/>
      </c>
      <c r="K26" s="1" t="str">
        <f t="shared" si="1"/>
        <v/>
      </c>
      <c r="L26" s="1" t="str">
        <f t="shared" si="2"/>
        <v/>
      </c>
      <c r="M26" s="1" t="str">
        <f t="shared" si="3"/>
        <v/>
      </c>
      <c r="N26" s="8"/>
      <c r="O26" s="8"/>
      <c r="P26" s="1" t="str">
        <f t="shared" si="4"/>
        <v/>
      </c>
      <c r="Q26" s="25" t="str">
        <f t="shared" si="5"/>
        <v/>
      </c>
      <c r="R26" s="1" t="str">
        <f t="shared" si="6"/>
        <v/>
      </c>
      <c r="S26" s="33" t="str">
        <f t="shared" si="7"/>
        <v/>
      </c>
      <c r="T26" s="34" t="str">
        <f>IF(B26="","",C26&amp;"|"&amp;ROUND(S26,2)&amp;"|"&amp;COUNTIFS($C$4:C26,C26,$S$4:S26,S26))</f>
        <v/>
      </c>
      <c r="U26" s="34" t="str">
        <f t="shared" si="8"/>
        <v/>
      </c>
      <c r="V26" s="34" t="str">
        <f t="shared" si="9"/>
        <v/>
      </c>
      <c r="W26" s="34" t="str">
        <f t="shared" si="10"/>
        <v/>
      </c>
      <c r="X26" s="34">
        <f t="shared" si="11"/>
        <v>0</v>
      </c>
      <c r="Y26" s="34" t="str">
        <f t="shared" si="12"/>
        <v/>
      </c>
      <c r="Z26" s="34" t="str">
        <f>IF(X26=1,V26,IF(Y26="","",IF(COUNTIF(Y$3:Y25,Y26)=0,Y26,"")))</f>
        <v/>
      </c>
      <c r="AA26" s="34" t="b">
        <f t="shared" si="13"/>
        <v>0</v>
      </c>
      <c r="AB26" s="34">
        <f t="shared" si="14"/>
        <v>0</v>
      </c>
      <c r="AC26" s="34" t="str">
        <f>IF(AND(B26&lt;&gt;"",C26=CompteSel,N(B26)&lt;=DateArret,AB26=0),MAX($AC$3:AC25)+1,"")</f>
        <v/>
      </c>
      <c r="AD26" s="34" t="str">
        <f>IF(AND(ISNUMBER(M26),C26=CompteSel),MAX($AD$3:AD25)+1,"")</f>
        <v/>
      </c>
    </row>
    <row r="27" spans="1:30" x14ac:dyDescent="0.35">
      <c r="A27" s="1" t="str">
        <f t="shared" si="0"/>
        <v/>
      </c>
      <c r="B27" s="31"/>
      <c r="C27" s="8"/>
      <c r="D27" s="8"/>
      <c r="E27" s="8"/>
      <c r="F27" s="8"/>
      <c r="G27" s="8"/>
      <c r="H27" s="32"/>
      <c r="I27" s="32"/>
      <c r="J27" s="25" t="str">
        <f>IF(B27="","",IFERROR(VLOOKUP(C27,Soldes_Ouverture,2,FALSE()),0)+SUMIFS($S$4:S27,$C$4:C27,C27))</f>
        <v/>
      </c>
      <c r="K27" s="1" t="str">
        <f t="shared" si="1"/>
        <v/>
      </c>
      <c r="L27" s="1" t="str">
        <f t="shared" si="2"/>
        <v/>
      </c>
      <c r="M27" s="1" t="str">
        <f t="shared" si="3"/>
        <v/>
      </c>
      <c r="N27" s="8"/>
      <c r="O27" s="8"/>
      <c r="P27" s="1" t="str">
        <f t="shared" si="4"/>
        <v/>
      </c>
      <c r="Q27" s="25" t="str">
        <f t="shared" si="5"/>
        <v/>
      </c>
      <c r="R27" s="1" t="str">
        <f t="shared" si="6"/>
        <v/>
      </c>
      <c r="S27" s="33" t="str">
        <f t="shared" si="7"/>
        <v/>
      </c>
      <c r="T27" s="34" t="str">
        <f>IF(B27="","",C27&amp;"|"&amp;ROUND(S27,2)&amp;"|"&amp;COUNTIFS($C$4:C27,C27,$S$4:S27,S27))</f>
        <v/>
      </c>
      <c r="U27" s="34" t="str">
        <f t="shared" si="8"/>
        <v/>
      </c>
      <c r="V27" s="34" t="str">
        <f t="shared" si="9"/>
        <v/>
      </c>
      <c r="W27" s="34" t="str">
        <f t="shared" si="10"/>
        <v/>
      </c>
      <c r="X27" s="34">
        <f t="shared" si="11"/>
        <v>0</v>
      </c>
      <c r="Y27" s="34" t="str">
        <f t="shared" si="12"/>
        <v/>
      </c>
      <c r="Z27" s="34" t="str">
        <f>IF(X27=1,V27,IF(Y27="","",IF(COUNTIF(Y$3:Y26,Y27)=0,Y27,"")))</f>
        <v/>
      </c>
      <c r="AA27" s="34" t="b">
        <f t="shared" si="13"/>
        <v>0</v>
      </c>
      <c r="AB27" s="34">
        <f t="shared" si="14"/>
        <v>0</v>
      </c>
      <c r="AC27" s="34" t="str">
        <f>IF(AND(B27&lt;&gt;"",C27=CompteSel,N(B27)&lt;=DateArret,AB27=0),MAX($AC$3:AC26)+1,"")</f>
        <v/>
      </c>
      <c r="AD27" s="34" t="str">
        <f>IF(AND(ISNUMBER(M27),C27=CompteSel),MAX($AD$3:AD26)+1,"")</f>
        <v/>
      </c>
    </row>
    <row r="28" spans="1:30" x14ac:dyDescent="0.35">
      <c r="A28" s="1" t="str">
        <f t="shared" si="0"/>
        <v/>
      </c>
      <c r="B28" s="31"/>
      <c r="C28" s="8"/>
      <c r="D28" s="8"/>
      <c r="E28" s="8"/>
      <c r="F28" s="8"/>
      <c r="G28" s="8"/>
      <c r="H28" s="32"/>
      <c r="I28" s="32"/>
      <c r="J28" s="25" t="str">
        <f>IF(B28="","",IFERROR(VLOOKUP(C28,Soldes_Ouverture,2,FALSE()),0)+SUMIFS($S$4:S28,$C$4:C28,C28))</f>
        <v/>
      </c>
      <c r="K28" s="1" t="str">
        <f t="shared" si="1"/>
        <v/>
      </c>
      <c r="L28" s="1" t="str">
        <f t="shared" si="2"/>
        <v/>
      </c>
      <c r="M28" s="1" t="str">
        <f t="shared" si="3"/>
        <v/>
      </c>
      <c r="N28" s="8"/>
      <c r="O28" s="8"/>
      <c r="P28" s="1" t="str">
        <f t="shared" si="4"/>
        <v/>
      </c>
      <c r="Q28" s="25" t="str">
        <f t="shared" si="5"/>
        <v/>
      </c>
      <c r="R28" s="1" t="str">
        <f t="shared" si="6"/>
        <v/>
      </c>
      <c r="S28" s="33" t="str">
        <f t="shared" si="7"/>
        <v/>
      </c>
      <c r="T28" s="34" t="str">
        <f>IF(B28="","",C28&amp;"|"&amp;ROUND(S28,2)&amp;"|"&amp;COUNTIFS($C$4:C28,C28,$S$4:S28,S28))</f>
        <v/>
      </c>
      <c r="U28" s="34" t="str">
        <f t="shared" si="8"/>
        <v/>
      </c>
      <c r="V28" s="34" t="str">
        <f t="shared" si="9"/>
        <v/>
      </c>
      <c r="W28" s="34" t="str">
        <f t="shared" si="10"/>
        <v/>
      </c>
      <c r="X28" s="34">
        <f t="shared" si="11"/>
        <v>0</v>
      </c>
      <c r="Y28" s="34" t="str">
        <f t="shared" si="12"/>
        <v/>
      </c>
      <c r="Z28" s="34" t="str">
        <f>IF(X28=1,V28,IF(Y28="","",IF(COUNTIF(Y$3:Y27,Y28)=0,Y28,"")))</f>
        <v/>
      </c>
      <c r="AA28" s="34" t="b">
        <f t="shared" si="13"/>
        <v>0</v>
      </c>
      <c r="AB28" s="34">
        <f t="shared" si="14"/>
        <v>0</v>
      </c>
      <c r="AC28" s="34" t="str">
        <f>IF(AND(B28&lt;&gt;"",C28=CompteSel,N(B28)&lt;=DateArret,AB28=0),MAX($AC$3:AC27)+1,"")</f>
        <v/>
      </c>
      <c r="AD28" s="34" t="str">
        <f>IF(AND(ISNUMBER(M28),C28=CompteSel),MAX($AD$3:AD27)+1,"")</f>
        <v/>
      </c>
    </row>
    <row r="29" spans="1:30" x14ac:dyDescent="0.35">
      <c r="A29" s="1" t="str">
        <f t="shared" si="0"/>
        <v/>
      </c>
      <c r="B29" s="31"/>
      <c r="C29" s="8"/>
      <c r="D29" s="8"/>
      <c r="E29" s="8"/>
      <c r="F29" s="8"/>
      <c r="G29" s="8"/>
      <c r="H29" s="32"/>
      <c r="I29" s="32"/>
      <c r="J29" s="25" t="str">
        <f>IF(B29="","",IFERROR(VLOOKUP(C29,Soldes_Ouverture,2,FALSE()),0)+SUMIFS($S$4:S29,$C$4:C29,C29))</f>
        <v/>
      </c>
      <c r="K29" s="1" t="str">
        <f t="shared" si="1"/>
        <v/>
      </c>
      <c r="L29" s="1" t="str">
        <f t="shared" si="2"/>
        <v/>
      </c>
      <c r="M29" s="1" t="str">
        <f t="shared" si="3"/>
        <v/>
      </c>
      <c r="N29" s="8"/>
      <c r="O29" s="8"/>
      <c r="P29" s="1" t="str">
        <f t="shared" si="4"/>
        <v/>
      </c>
      <c r="Q29" s="25" t="str">
        <f t="shared" si="5"/>
        <v/>
      </c>
      <c r="R29" s="1" t="str">
        <f t="shared" si="6"/>
        <v/>
      </c>
      <c r="S29" s="33" t="str">
        <f t="shared" si="7"/>
        <v/>
      </c>
      <c r="T29" s="34" t="str">
        <f>IF(B29="","",C29&amp;"|"&amp;ROUND(S29,2)&amp;"|"&amp;COUNTIFS($C$4:C29,C29,$S$4:S29,S29))</f>
        <v/>
      </c>
      <c r="U29" s="34" t="str">
        <f t="shared" si="8"/>
        <v/>
      </c>
      <c r="V29" s="34" t="str">
        <f t="shared" si="9"/>
        <v/>
      </c>
      <c r="W29" s="34" t="str">
        <f t="shared" si="10"/>
        <v/>
      </c>
      <c r="X29" s="34">
        <f t="shared" si="11"/>
        <v>0</v>
      </c>
      <c r="Y29" s="34" t="str">
        <f t="shared" si="12"/>
        <v/>
      </c>
      <c r="Z29" s="34" t="str">
        <f>IF(X29=1,V29,IF(Y29="","",IF(COUNTIF(Y$3:Y28,Y29)=0,Y29,"")))</f>
        <v/>
      </c>
      <c r="AA29" s="34" t="b">
        <f t="shared" si="13"/>
        <v>0</v>
      </c>
      <c r="AB29" s="34">
        <f t="shared" si="14"/>
        <v>0</v>
      </c>
      <c r="AC29" s="34" t="str">
        <f>IF(AND(B29&lt;&gt;"",C29=CompteSel,N(B29)&lt;=DateArret,AB29=0),MAX($AC$3:AC28)+1,"")</f>
        <v/>
      </c>
      <c r="AD29" s="34" t="str">
        <f>IF(AND(ISNUMBER(M29),C29=CompteSel),MAX($AD$3:AD28)+1,"")</f>
        <v/>
      </c>
    </row>
    <row r="30" spans="1:30" x14ac:dyDescent="0.35">
      <c r="A30" s="1" t="str">
        <f t="shared" si="0"/>
        <v/>
      </c>
      <c r="B30" s="31"/>
      <c r="C30" s="8"/>
      <c r="D30" s="8"/>
      <c r="E30" s="8"/>
      <c r="F30" s="8"/>
      <c r="G30" s="8"/>
      <c r="H30" s="32"/>
      <c r="I30" s="32"/>
      <c r="J30" s="25" t="str">
        <f>IF(B30="","",IFERROR(VLOOKUP(C30,Soldes_Ouverture,2,FALSE()),0)+SUMIFS($S$4:S30,$C$4:C30,C30))</f>
        <v/>
      </c>
      <c r="K30" s="1" t="str">
        <f t="shared" si="1"/>
        <v/>
      </c>
      <c r="L30" s="1" t="str">
        <f t="shared" si="2"/>
        <v/>
      </c>
      <c r="M30" s="1" t="str">
        <f t="shared" si="3"/>
        <v/>
      </c>
      <c r="N30" s="8"/>
      <c r="O30" s="8"/>
      <c r="P30" s="1" t="str">
        <f t="shared" si="4"/>
        <v/>
      </c>
      <c r="Q30" s="25" t="str">
        <f t="shared" si="5"/>
        <v/>
      </c>
      <c r="R30" s="1" t="str">
        <f t="shared" si="6"/>
        <v/>
      </c>
      <c r="S30" s="33" t="str">
        <f t="shared" si="7"/>
        <v/>
      </c>
      <c r="T30" s="34" t="str">
        <f>IF(B30="","",C30&amp;"|"&amp;ROUND(S30,2)&amp;"|"&amp;COUNTIFS($C$4:C30,C30,$S$4:S30,S30))</f>
        <v/>
      </c>
      <c r="U30" s="34" t="str">
        <f t="shared" si="8"/>
        <v/>
      </c>
      <c r="V30" s="34" t="str">
        <f t="shared" si="9"/>
        <v/>
      </c>
      <c r="W30" s="34" t="str">
        <f t="shared" si="10"/>
        <v/>
      </c>
      <c r="X30" s="34">
        <f t="shared" si="11"/>
        <v>0</v>
      </c>
      <c r="Y30" s="34" t="str">
        <f t="shared" si="12"/>
        <v/>
      </c>
      <c r="Z30" s="34" t="str">
        <f>IF(X30=1,V30,IF(Y30="","",IF(COUNTIF(Y$3:Y29,Y30)=0,Y30,"")))</f>
        <v/>
      </c>
      <c r="AA30" s="34" t="b">
        <f t="shared" si="13"/>
        <v>0</v>
      </c>
      <c r="AB30" s="34">
        <f t="shared" si="14"/>
        <v>0</v>
      </c>
      <c r="AC30" s="34" t="str">
        <f>IF(AND(B30&lt;&gt;"",C30=CompteSel,N(B30)&lt;=DateArret,AB30=0),MAX($AC$3:AC29)+1,"")</f>
        <v/>
      </c>
      <c r="AD30" s="34" t="str">
        <f>IF(AND(ISNUMBER(M30),C30=CompteSel),MAX($AD$3:AD29)+1,"")</f>
        <v/>
      </c>
    </row>
    <row r="31" spans="1:30" x14ac:dyDescent="0.35">
      <c r="A31" s="1" t="str">
        <f t="shared" si="0"/>
        <v/>
      </c>
      <c r="B31" s="31"/>
      <c r="C31" s="8"/>
      <c r="D31" s="8"/>
      <c r="E31" s="8"/>
      <c r="F31" s="8"/>
      <c r="G31" s="8"/>
      <c r="H31" s="32"/>
      <c r="I31" s="32"/>
      <c r="J31" s="25" t="str">
        <f>IF(B31="","",IFERROR(VLOOKUP(C31,Soldes_Ouverture,2,FALSE()),0)+SUMIFS($S$4:S31,$C$4:C31,C31))</f>
        <v/>
      </c>
      <c r="K31" s="1" t="str">
        <f t="shared" si="1"/>
        <v/>
      </c>
      <c r="L31" s="1" t="str">
        <f t="shared" si="2"/>
        <v/>
      </c>
      <c r="M31" s="1" t="str">
        <f t="shared" si="3"/>
        <v/>
      </c>
      <c r="N31" s="8"/>
      <c r="O31" s="8"/>
      <c r="P31" s="1" t="str">
        <f t="shared" si="4"/>
        <v/>
      </c>
      <c r="Q31" s="25" t="str">
        <f t="shared" si="5"/>
        <v/>
      </c>
      <c r="R31" s="1" t="str">
        <f t="shared" si="6"/>
        <v/>
      </c>
      <c r="S31" s="33" t="str">
        <f t="shared" si="7"/>
        <v/>
      </c>
      <c r="T31" s="34" t="str">
        <f>IF(B31="","",C31&amp;"|"&amp;ROUND(S31,2)&amp;"|"&amp;COUNTIFS($C$4:C31,C31,$S$4:S31,S31))</f>
        <v/>
      </c>
      <c r="U31" s="34" t="str">
        <f t="shared" si="8"/>
        <v/>
      </c>
      <c r="V31" s="34" t="str">
        <f t="shared" si="9"/>
        <v/>
      </c>
      <c r="W31" s="34" t="str">
        <f t="shared" si="10"/>
        <v/>
      </c>
      <c r="X31" s="34">
        <f t="shared" si="11"/>
        <v>0</v>
      </c>
      <c r="Y31" s="34" t="str">
        <f t="shared" si="12"/>
        <v/>
      </c>
      <c r="Z31" s="34" t="str">
        <f>IF(X31=1,V31,IF(Y31="","",IF(COUNTIF(Y$3:Y30,Y31)=0,Y31,"")))</f>
        <v/>
      </c>
      <c r="AA31" s="34" t="b">
        <f t="shared" si="13"/>
        <v>0</v>
      </c>
      <c r="AB31" s="34">
        <f t="shared" si="14"/>
        <v>0</v>
      </c>
      <c r="AC31" s="34" t="str">
        <f>IF(AND(B31&lt;&gt;"",C31=CompteSel,N(B31)&lt;=DateArret,AB31=0),MAX($AC$3:AC30)+1,"")</f>
        <v/>
      </c>
      <c r="AD31" s="34" t="str">
        <f>IF(AND(ISNUMBER(M31),C31=CompteSel),MAX($AD$3:AD30)+1,"")</f>
        <v/>
      </c>
    </row>
    <row r="32" spans="1:30" x14ac:dyDescent="0.35">
      <c r="A32" s="1" t="str">
        <f t="shared" si="0"/>
        <v/>
      </c>
      <c r="B32" s="31"/>
      <c r="C32" s="8"/>
      <c r="D32" s="8"/>
      <c r="E32" s="8"/>
      <c r="F32" s="8"/>
      <c r="G32" s="8"/>
      <c r="H32" s="32"/>
      <c r="I32" s="32"/>
      <c r="J32" s="25" t="str">
        <f>IF(B32="","",IFERROR(VLOOKUP(C32,Soldes_Ouverture,2,FALSE()),0)+SUMIFS($S$4:S32,$C$4:C32,C32))</f>
        <v/>
      </c>
      <c r="K32" s="1" t="str">
        <f t="shared" si="1"/>
        <v/>
      </c>
      <c r="L32" s="1" t="str">
        <f t="shared" si="2"/>
        <v/>
      </c>
      <c r="M32" s="1" t="str">
        <f t="shared" si="3"/>
        <v/>
      </c>
      <c r="N32" s="8"/>
      <c r="O32" s="8"/>
      <c r="P32" s="1" t="str">
        <f t="shared" si="4"/>
        <v/>
      </c>
      <c r="Q32" s="25" t="str">
        <f t="shared" si="5"/>
        <v/>
      </c>
      <c r="R32" s="1" t="str">
        <f t="shared" si="6"/>
        <v/>
      </c>
      <c r="S32" s="33" t="str">
        <f t="shared" si="7"/>
        <v/>
      </c>
      <c r="T32" s="34" t="str">
        <f>IF(B32="","",C32&amp;"|"&amp;ROUND(S32,2)&amp;"|"&amp;COUNTIFS($C$4:C32,C32,$S$4:S32,S32))</f>
        <v/>
      </c>
      <c r="U32" s="34" t="str">
        <f t="shared" si="8"/>
        <v/>
      </c>
      <c r="V32" s="34" t="str">
        <f t="shared" si="9"/>
        <v/>
      </c>
      <c r="W32" s="34" t="str">
        <f t="shared" si="10"/>
        <v/>
      </c>
      <c r="X32" s="34">
        <f t="shared" si="11"/>
        <v>0</v>
      </c>
      <c r="Y32" s="34" t="str">
        <f t="shared" si="12"/>
        <v/>
      </c>
      <c r="Z32" s="34" t="str">
        <f>IF(X32=1,V32,IF(Y32="","",IF(COUNTIF(Y$3:Y31,Y32)=0,Y32,"")))</f>
        <v/>
      </c>
      <c r="AA32" s="34" t="b">
        <f t="shared" si="13"/>
        <v>0</v>
      </c>
      <c r="AB32" s="34">
        <f t="shared" si="14"/>
        <v>0</v>
      </c>
      <c r="AC32" s="34" t="str">
        <f>IF(AND(B32&lt;&gt;"",C32=CompteSel,N(B32)&lt;=DateArret,AB32=0),MAX($AC$3:AC31)+1,"")</f>
        <v/>
      </c>
      <c r="AD32" s="34" t="str">
        <f>IF(AND(ISNUMBER(M32),C32=CompteSel),MAX($AD$3:AD31)+1,"")</f>
        <v/>
      </c>
    </row>
    <row r="33" spans="1:30" x14ac:dyDescent="0.35">
      <c r="A33" s="1" t="str">
        <f t="shared" si="0"/>
        <v/>
      </c>
      <c r="B33" s="31"/>
      <c r="C33" s="8"/>
      <c r="D33" s="8"/>
      <c r="E33" s="8"/>
      <c r="F33" s="8"/>
      <c r="G33" s="8"/>
      <c r="H33" s="32"/>
      <c r="I33" s="32"/>
      <c r="J33" s="25" t="str">
        <f>IF(B33="","",IFERROR(VLOOKUP(C33,Soldes_Ouverture,2,FALSE()),0)+SUMIFS($S$4:S33,$C$4:C33,C33))</f>
        <v/>
      </c>
      <c r="K33" s="1" t="str">
        <f t="shared" si="1"/>
        <v/>
      </c>
      <c r="L33" s="1" t="str">
        <f t="shared" si="2"/>
        <v/>
      </c>
      <c r="M33" s="1" t="str">
        <f t="shared" si="3"/>
        <v/>
      </c>
      <c r="N33" s="8"/>
      <c r="O33" s="8"/>
      <c r="P33" s="1" t="str">
        <f t="shared" si="4"/>
        <v/>
      </c>
      <c r="Q33" s="25" t="str">
        <f t="shared" si="5"/>
        <v/>
      </c>
      <c r="R33" s="1" t="str">
        <f t="shared" si="6"/>
        <v/>
      </c>
      <c r="S33" s="33" t="str">
        <f t="shared" si="7"/>
        <v/>
      </c>
      <c r="T33" s="34" t="str">
        <f>IF(B33="","",C33&amp;"|"&amp;ROUND(S33,2)&amp;"|"&amp;COUNTIFS($C$4:C33,C33,$S$4:S33,S33))</f>
        <v/>
      </c>
      <c r="U33" s="34" t="str">
        <f t="shared" si="8"/>
        <v/>
      </c>
      <c r="V33" s="34" t="str">
        <f t="shared" si="9"/>
        <v/>
      </c>
      <c r="W33" s="34" t="str">
        <f t="shared" si="10"/>
        <v/>
      </c>
      <c r="X33" s="34">
        <f t="shared" si="11"/>
        <v>0</v>
      </c>
      <c r="Y33" s="34" t="str">
        <f t="shared" si="12"/>
        <v/>
      </c>
      <c r="Z33" s="34" t="str">
        <f>IF(X33=1,V33,IF(Y33="","",IF(COUNTIF(Y$3:Y32,Y33)=0,Y33,"")))</f>
        <v/>
      </c>
      <c r="AA33" s="34" t="b">
        <f t="shared" si="13"/>
        <v>0</v>
      </c>
      <c r="AB33" s="34">
        <f t="shared" si="14"/>
        <v>0</v>
      </c>
      <c r="AC33" s="34" t="str">
        <f>IF(AND(B33&lt;&gt;"",C33=CompteSel,N(B33)&lt;=DateArret,AB33=0),MAX($AC$3:AC32)+1,"")</f>
        <v/>
      </c>
      <c r="AD33" s="34" t="str">
        <f>IF(AND(ISNUMBER(M33),C33=CompteSel),MAX($AD$3:AD32)+1,"")</f>
        <v/>
      </c>
    </row>
    <row r="34" spans="1:30" x14ac:dyDescent="0.35">
      <c r="A34" s="1" t="str">
        <f t="shared" si="0"/>
        <v/>
      </c>
      <c r="B34" s="31"/>
      <c r="C34" s="8"/>
      <c r="D34" s="8"/>
      <c r="E34" s="8"/>
      <c r="F34" s="8"/>
      <c r="G34" s="8"/>
      <c r="H34" s="32"/>
      <c r="I34" s="32"/>
      <c r="J34" s="25" t="str">
        <f>IF(B34="","",IFERROR(VLOOKUP(C34,Soldes_Ouverture,2,FALSE()),0)+SUMIFS($S$4:S34,$C$4:C34,C34))</f>
        <v/>
      </c>
      <c r="K34" s="1" t="str">
        <f t="shared" si="1"/>
        <v/>
      </c>
      <c r="L34" s="1" t="str">
        <f t="shared" si="2"/>
        <v/>
      </c>
      <c r="M34" s="1" t="str">
        <f t="shared" si="3"/>
        <v/>
      </c>
      <c r="N34" s="8"/>
      <c r="O34" s="8"/>
      <c r="P34" s="1" t="str">
        <f t="shared" si="4"/>
        <v/>
      </c>
      <c r="Q34" s="25" t="str">
        <f t="shared" si="5"/>
        <v/>
      </c>
      <c r="R34" s="1" t="str">
        <f t="shared" si="6"/>
        <v/>
      </c>
      <c r="S34" s="33" t="str">
        <f t="shared" si="7"/>
        <v/>
      </c>
      <c r="T34" s="34" t="str">
        <f>IF(B34="","",C34&amp;"|"&amp;ROUND(S34,2)&amp;"|"&amp;COUNTIFS($C$4:C34,C34,$S$4:S34,S34))</f>
        <v/>
      </c>
      <c r="U34" s="34" t="str">
        <f t="shared" si="8"/>
        <v/>
      </c>
      <c r="V34" s="34" t="str">
        <f t="shared" si="9"/>
        <v/>
      </c>
      <c r="W34" s="34" t="str">
        <f t="shared" si="10"/>
        <v/>
      </c>
      <c r="X34" s="34">
        <f t="shared" si="11"/>
        <v>0</v>
      </c>
      <c r="Y34" s="34" t="str">
        <f t="shared" si="12"/>
        <v/>
      </c>
      <c r="Z34" s="34" t="str">
        <f>IF(X34=1,V34,IF(Y34="","",IF(COUNTIF(Y$3:Y33,Y34)=0,Y34,"")))</f>
        <v/>
      </c>
      <c r="AA34" s="34" t="b">
        <f t="shared" si="13"/>
        <v>0</v>
      </c>
      <c r="AB34" s="34">
        <f t="shared" si="14"/>
        <v>0</v>
      </c>
      <c r="AC34" s="34" t="str">
        <f>IF(AND(B34&lt;&gt;"",C34=CompteSel,N(B34)&lt;=DateArret,AB34=0),MAX($AC$3:AC33)+1,"")</f>
        <v/>
      </c>
      <c r="AD34" s="34" t="str">
        <f>IF(AND(ISNUMBER(M34),C34=CompteSel),MAX($AD$3:AD33)+1,"")</f>
        <v/>
      </c>
    </row>
    <row r="35" spans="1:30" x14ac:dyDescent="0.35">
      <c r="A35" s="1" t="str">
        <f t="shared" si="0"/>
        <v/>
      </c>
      <c r="B35" s="31"/>
      <c r="C35" s="8"/>
      <c r="D35" s="8"/>
      <c r="E35" s="8"/>
      <c r="F35" s="8"/>
      <c r="G35" s="8"/>
      <c r="H35" s="32"/>
      <c r="I35" s="32"/>
      <c r="J35" s="25" t="str">
        <f>IF(B35="","",IFERROR(VLOOKUP(C35,Soldes_Ouverture,2,FALSE()),0)+SUMIFS($S$4:S35,$C$4:C35,C35))</f>
        <v/>
      </c>
      <c r="K35" s="1" t="str">
        <f t="shared" si="1"/>
        <v/>
      </c>
      <c r="L35" s="1" t="str">
        <f t="shared" si="2"/>
        <v/>
      </c>
      <c r="M35" s="1" t="str">
        <f t="shared" si="3"/>
        <v/>
      </c>
      <c r="N35" s="8"/>
      <c r="O35" s="8"/>
      <c r="P35" s="1" t="str">
        <f t="shared" si="4"/>
        <v/>
      </c>
      <c r="Q35" s="25" t="str">
        <f t="shared" si="5"/>
        <v/>
      </c>
      <c r="R35" s="1" t="str">
        <f t="shared" si="6"/>
        <v/>
      </c>
      <c r="S35" s="33" t="str">
        <f t="shared" si="7"/>
        <v/>
      </c>
      <c r="T35" s="34" t="str">
        <f>IF(B35="","",C35&amp;"|"&amp;ROUND(S35,2)&amp;"|"&amp;COUNTIFS($C$4:C35,C35,$S$4:S35,S35))</f>
        <v/>
      </c>
      <c r="U35" s="34" t="str">
        <f t="shared" si="8"/>
        <v/>
      </c>
      <c r="V35" s="34" t="str">
        <f t="shared" si="9"/>
        <v/>
      </c>
      <c r="W35" s="34" t="str">
        <f t="shared" si="10"/>
        <v/>
      </c>
      <c r="X35" s="34">
        <f t="shared" si="11"/>
        <v>0</v>
      </c>
      <c r="Y35" s="34" t="str">
        <f t="shared" si="12"/>
        <v/>
      </c>
      <c r="Z35" s="34" t="str">
        <f>IF(X35=1,V35,IF(Y35="","",IF(COUNTIF(Y$3:Y34,Y35)=0,Y35,"")))</f>
        <v/>
      </c>
      <c r="AA35" s="34" t="b">
        <f t="shared" si="13"/>
        <v>0</v>
      </c>
      <c r="AB35" s="34">
        <f t="shared" si="14"/>
        <v>0</v>
      </c>
      <c r="AC35" s="34" t="str">
        <f>IF(AND(B35&lt;&gt;"",C35=CompteSel,N(B35)&lt;=DateArret,AB35=0),MAX($AC$3:AC34)+1,"")</f>
        <v/>
      </c>
      <c r="AD35" s="34" t="str">
        <f>IF(AND(ISNUMBER(M35),C35=CompteSel),MAX($AD$3:AD34)+1,"")</f>
        <v/>
      </c>
    </row>
    <row r="36" spans="1:30" x14ac:dyDescent="0.35">
      <c r="A36" s="1" t="str">
        <f t="shared" si="0"/>
        <v/>
      </c>
      <c r="B36" s="31"/>
      <c r="C36" s="8"/>
      <c r="D36" s="8"/>
      <c r="E36" s="8"/>
      <c r="F36" s="8"/>
      <c r="G36" s="8"/>
      <c r="H36" s="32"/>
      <c r="I36" s="32"/>
      <c r="J36" s="25" t="str">
        <f>IF(B36="","",IFERROR(VLOOKUP(C36,Soldes_Ouverture,2,FALSE()),0)+SUMIFS($S$4:S36,$C$4:C36,C36))</f>
        <v/>
      </c>
      <c r="K36" s="1" t="str">
        <f t="shared" si="1"/>
        <v/>
      </c>
      <c r="L36" s="1" t="str">
        <f t="shared" si="2"/>
        <v/>
      </c>
      <c r="M36" s="1" t="str">
        <f t="shared" si="3"/>
        <v/>
      </c>
      <c r="N36" s="8"/>
      <c r="O36" s="8"/>
      <c r="P36" s="1" t="str">
        <f t="shared" si="4"/>
        <v/>
      </c>
      <c r="Q36" s="25" t="str">
        <f t="shared" si="5"/>
        <v/>
      </c>
      <c r="R36" s="1" t="str">
        <f t="shared" si="6"/>
        <v/>
      </c>
      <c r="S36" s="33" t="str">
        <f t="shared" si="7"/>
        <v/>
      </c>
      <c r="T36" s="34" t="str">
        <f>IF(B36="","",C36&amp;"|"&amp;ROUND(S36,2)&amp;"|"&amp;COUNTIFS($C$4:C36,C36,$S$4:S36,S36))</f>
        <v/>
      </c>
      <c r="U36" s="34" t="str">
        <f t="shared" si="8"/>
        <v/>
      </c>
      <c r="V36" s="34" t="str">
        <f t="shared" si="9"/>
        <v/>
      </c>
      <c r="W36" s="34" t="str">
        <f t="shared" si="10"/>
        <v/>
      </c>
      <c r="X36" s="34">
        <f t="shared" si="11"/>
        <v>0</v>
      </c>
      <c r="Y36" s="34" t="str">
        <f t="shared" si="12"/>
        <v/>
      </c>
      <c r="Z36" s="34" t="str">
        <f>IF(X36=1,V36,IF(Y36="","",IF(COUNTIF(Y$3:Y35,Y36)=0,Y36,"")))</f>
        <v/>
      </c>
      <c r="AA36" s="34" t="b">
        <f t="shared" si="13"/>
        <v>0</v>
      </c>
      <c r="AB36" s="34">
        <f t="shared" si="14"/>
        <v>0</v>
      </c>
      <c r="AC36" s="34" t="str">
        <f>IF(AND(B36&lt;&gt;"",C36=CompteSel,N(B36)&lt;=DateArret,AB36=0),MAX($AC$3:AC35)+1,"")</f>
        <v/>
      </c>
      <c r="AD36" s="34" t="str">
        <f>IF(AND(ISNUMBER(M36),C36=CompteSel),MAX($AD$3:AD35)+1,"")</f>
        <v/>
      </c>
    </row>
    <row r="37" spans="1:30" x14ac:dyDescent="0.35">
      <c r="A37" s="1" t="str">
        <f t="shared" si="0"/>
        <v/>
      </c>
      <c r="B37" s="31"/>
      <c r="C37" s="8"/>
      <c r="D37" s="8"/>
      <c r="E37" s="8"/>
      <c r="F37" s="8"/>
      <c r="G37" s="8"/>
      <c r="H37" s="32"/>
      <c r="I37" s="32"/>
      <c r="J37" s="25" t="str">
        <f>IF(B37="","",IFERROR(VLOOKUP(C37,Soldes_Ouverture,2,FALSE()),0)+SUMIFS($S$4:S37,$C$4:C37,C37))</f>
        <v/>
      </c>
      <c r="K37" s="1" t="str">
        <f t="shared" si="1"/>
        <v/>
      </c>
      <c r="L37" s="1" t="str">
        <f t="shared" si="2"/>
        <v/>
      </c>
      <c r="M37" s="1" t="str">
        <f t="shared" si="3"/>
        <v/>
      </c>
      <c r="N37" s="8"/>
      <c r="O37" s="8"/>
      <c r="P37" s="1" t="str">
        <f t="shared" si="4"/>
        <v/>
      </c>
      <c r="Q37" s="25" t="str">
        <f t="shared" si="5"/>
        <v/>
      </c>
      <c r="R37" s="1" t="str">
        <f t="shared" si="6"/>
        <v/>
      </c>
      <c r="S37" s="33" t="str">
        <f t="shared" si="7"/>
        <v/>
      </c>
      <c r="T37" s="34" t="str">
        <f>IF(B37="","",C37&amp;"|"&amp;ROUND(S37,2)&amp;"|"&amp;COUNTIFS($C$4:C37,C37,$S$4:S37,S37))</f>
        <v/>
      </c>
      <c r="U37" s="34" t="str">
        <f t="shared" si="8"/>
        <v/>
      </c>
      <c r="V37" s="34" t="str">
        <f t="shared" si="9"/>
        <v/>
      </c>
      <c r="W37" s="34" t="str">
        <f t="shared" si="10"/>
        <v/>
      </c>
      <c r="X37" s="34">
        <f t="shared" si="11"/>
        <v>0</v>
      </c>
      <c r="Y37" s="34" t="str">
        <f t="shared" si="12"/>
        <v/>
      </c>
      <c r="Z37" s="34" t="str">
        <f>IF(X37=1,V37,IF(Y37="","",IF(COUNTIF(Y$3:Y36,Y37)=0,Y37,"")))</f>
        <v/>
      </c>
      <c r="AA37" s="34" t="b">
        <f t="shared" si="13"/>
        <v>0</v>
      </c>
      <c r="AB37" s="34">
        <f t="shared" si="14"/>
        <v>0</v>
      </c>
      <c r="AC37" s="34" t="str">
        <f>IF(AND(B37&lt;&gt;"",C37=CompteSel,N(B37)&lt;=DateArret,AB37=0),MAX($AC$3:AC36)+1,"")</f>
        <v/>
      </c>
      <c r="AD37" s="34" t="str">
        <f>IF(AND(ISNUMBER(M37),C37=CompteSel),MAX($AD$3:AD36)+1,"")</f>
        <v/>
      </c>
    </row>
    <row r="38" spans="1:30" x14ac:dyDescent="0.35">
      <c r="A38" s="1" t="str">
        <f t="shared" si="0"/>
        <v/>
      </c>
      <c r="B38" s="31"/>
      <c r="C38" s="8"/>
      <c r="D38" s="8"/>
      <c r="E38" s="8"/>
      <c r="F38" s="8"/>
      <c r="G38" s="8"/>
      <c r="H38" s="32"/>
      <c r="I38" s="32"/>
      <c r="J38" s="25" t="str">
        <f>IF(B38="","",IFERROR(VLOOKUP(C38,Soldes_Ouverture,2,FALSE()),0)+SUMIFS($S$4:S38,$C$4:C38,C38))</f>
        <v/>
      </c>
      <c r="K38" s="1" t="str">
        <f t="shared" si="1"/>
        <v/>
      </c>
      <c r="L38" s="1" t="str">
        <f t="shared" si="2"/>
        <v/>
      </c>
      <c r="M38" s="1" t="str">
        <f t="shared" si="3"/>
        <v/>
      </c>
      <c r="N38" s="8"/>
      <c r="O38" s="8"/>
      <c r="P38" s="1" t="str">
        <f t="shared" si="4"/>
        <v/>
      </c>
      <c r="Q38" s="25" t="str">
        <f t="shared" si="5"/>
        <v/>
      </c>
      <c r="R38" s="1" t="str">
        <f t="shared" si="6"/>
        <v/>
      </c>
      <c r="S38" s="33" t="str">
        <f t="shared" si="7"/>
        <v/>
      </c>
      <c r="T38" s="34" t="str">
        <f>IF(B38="","",C38&amp;"|"&amp;ROUND(S38,2)&amp;"|"&amp;COUNTIFS($C$4:C38,C38,$S$4:S38,S38))</f>
        <v/>
      </c>
      <c r="U38" s="34" t="str">
        <f t="shared" si="8"/>
        <v/>
      </c>
      <c r="V38" s="34" t="str">
        <f t="shared" si="9"/>
        <v/>
      </c>
      <c r="W38" s="34" t="str">
        <f t="shared" si="10"/>
        <v/>
      </c>
      <c r="X38" s="34">
        <f t="shared" si="11"/>
        <v>0</v>
      </c>
      <c r="Y38" s="34" t="str">
        <f t="shared" si="12"/>
        <v/>
      </c>
      <c r="Z38" s="34" t="str">
        <f>IF(X38=1,V38,IF(Y38="","",IF(COUNTIF(Y$3:Y37,Y38)=0,Y38,"")))</f>
        <v/>
      </c>
      <c r="AA38" s="34" t="b">
        <f t="shared" si="13"/>
        <v>0</v>
      </c>
      <c r="AB38" s="34">
        <f t="shared" si="14"/>
        <v>0</v>
      </c>
      <c r="AC38" s="34" t="str">
        <f>IF(AND(B38&lt;&gt;"",C38=CompteSel,N(B38)&lt;=DateArret,AB38=0),MAX($AC$3:AC37)+1,"")</f>
        <v/>
      </c>
      <c r="AD38" s="34" t="str">
        <f>IF(AND(ISNUMBER(M38),C38=CompteSel),MAX($AD$3:AD37)+1,"")</f>
        <v/>
      </c>
    </row>
    <row r="39" spans="1:30" x14ac:dyDescent="0.35">
      <c r="A39" s="1" t="str">
        <f t="shared" si="0"/>
        <v/>
      </c>
      <c r="B39" s="31"/>
      <c r="C39" s="8"/>
      <c r="D39" s="8"/>
      <c r="E39" s="8"/>
      <c r="F39" s="8"/>
      <c r="G39" s="8"/>
      <c r="H39" s="32"/>
      <c r="I39" s="32"/>
      <c r="J39" s="25" t="str">
        <f>IF(B39="","",IFERROR(VLOOKUP(C39,Soldes_Ouverture,2,FALSE()),0)+SUMIFS($S$4:S39,$C$4:C39,C39))</f>
        <v/>
      </c>
      <c r="K39" s="1" t="str">
        <f t="shared" si="1"/>
        <v/>
      </c>
      <c r="L39" s="1" t="str">
        <f t="shared" si="2"/>
        <v/>
      </c>
      <c r="M39" s="1" t="str">
        <f t="shared" si="3"/>
        <v/>
      </c>
      <c r="N39" s="8"/>
      <c r="O39" s="8"/>
      <c r="P39" s="1" t="str">
        <f t="shared" si="4"/>
        <v/>
      </c>
      <c r="Q39" s="25" t="str">
        <f t="shared" si="5"/>
        <v/>
      </c>
      <c r="R39" s="1" t="str">
        <f t="shared" si="6"/>
        <v/>
      </c>
      <c r="S39" s="33" t="str">
        <f t="shared" si="7"/>
        <v/>
      </c>
      <c r="T39" s="34" t="str">
        <f>IF(B39="","",C39&amp;"|"&amp;ROUND(S39,2)&amp;"|"&amp;COUNTIFS($C$4:C39,C39,$S$4:S39,S39))</f>
        <v/>
      </c>
      <c r="U39" s="34" t="str">
        <f t="shared" si="8"/>
        <v/>
      </c>
      <c r="V39" s="34" t="str">
        <f t="shared" si="9"/>
        <v/>
      </c>
      <c r="W39" s="34" t="str">
        <f t="shared" si="10"/>
        <v/>
      </c>
      <c r="X39" s="34">
        <f t="shared" si="11"/>
        <v>0</v>
      </c>
      <c r="Y39" s="34" t="str">
        <f t="shared" si="12"/>
        <v/>
      </c>
      <c r="Z39" s="34" t="str">
        <f>IF(X39=1,V39,IF(Y39="","",IF(COUNTIF(Y$3:Y38,Y39)=0,Y39,"")))</f>
        <v/>
      </c>
      <c r="AA39" s="34" t="b">
        <f t="shared" si="13"/>
        <v>0</v>
      </c>
      <c r="AB39" s="34">
        <f t="shared" si="14"/>
        <v>0</v>
      </c>
      <c r="AC39" s="34" t="str">
        <f>IF(AND(B39&lt;&gt;"",C39=CompteSel,N(B39)&lt;=DateArret,AB39=0),MAX($AC$3:AC38)+1,"")</f>
        <v/>
      </c>
      <c r="AD39" s="34" t="str">
        <f>IF(AND(ISNUMBER(M39),C39=CompteSel),MAX($AD$3:AD38)+1,"")</f>
        <v/>
      </c>
    </row>
    <row r="40" spans="1:30" x14ac:dyDescent="0.35">
      <c r="A40" s="1" t="str">
        <f t="shared" si="0"/>
        <v/>
      </c>
      <c r="B40" s="31"/>
      <c r="C40" s="8"/>
      <c r="D40" s="8"/>
      <c r="E40" s="8"/>
      <c r="F40" s="8"/>
      <c r="G40" s="8"/>
      <c r="H40" s="32"/>
      <c r="I40" s="32"/>
      <c r="J40" s="25" t="str">
        <f>IF(B40="","",IFERROR(VLOOKUP(C40,Soldes_Ouverture,2,FALSE()),0)+SUMIFS($S$4:S40,$C$4:C40,C40))</f>
        <v/>
      </c>
      <c r="K40" s="1" t="str">
        <f t="shared" si="1"/>
        <v/>
      </c>
      <c r="L40" s="1" t="str">
        <f t="shared" si="2"/>
        <v/>
      </c>
      <c r="M40" s="1" t="str">
        <f t="shared" si="3"/>
        <v/>
      </c>
      <c r="N40" s="8"/>
      <c r="O40" s="8"/>
      <c r="P40" s="1" t="str">
        <f t="shared" si="4"/>
        <v/>
      </c>
      <c r="Q40" s="25" t="str">
        <f t="shared" si="5"/>
        <v/>
      </c>
      <c r="R40" s="1" t="str">
        <f t="shared" si="6"/>
        <v/>
      </c>
      <c r="S40" s="33" t="str">
        <f t="shared" si="7"/>
        <v/>
      </c>
      <c r="T40" s="34" t="str">
        <f>IF(B40="","",C40&amp;"|"&amp;ROUND(S40,2)&amp;"|"&amp;COUNTIFS($C$4:C40,C40,$S$4:S40,S40))</f>
        <v/>
      </c>
      <c r="U40" s="34" t="str">
        <f t="shared" si="8"/>
        <v/>
      </c>
      <c r="V40" s="34" t="str">
        <f t="shared" si="9"/>
        <v/>
      </c>
      <c r="W40" s="34" t="str">
        <f t="shared" si="10"/>
        <v/>
      </c>
      <c r="X40" s="34">
        <f t="shared" si="11"/>
        <v>0</v>
      </c>
      <c r="Y40" s="34" t="str">
        <f t="shared" si="12"/>
        <v/>
      </c>
      <c r="Z40" s="34" t="str">
        <f>IF(X40=1,V40,IF(Y40="","",IF(COUNTIF(Y$3:Y39,Y40)=0,Y40,"")))</f>
        <v/>
      </c>
      <c r="AA40" s="34" t="b">
        <f t="shared" si="13"/>
        <v>0</v>
      </c>
      <c r="AB40" s="34">
        <f t="shared" si="14"/>
        <v>0</v>
      </c>
      <c r="AC40" s="34" t="str">
        <f>IF(AND(B40&lt;&gt;"",C40=CompteSel,N(B40)&lt;=DateArret,AB40=0),MAX($AC$3:AC39)+1,"")</f>
        <v/>
      </c>
      <c r="AD40" s="34" t="str">
        <f>IF(AND(ISNUMBER(M40),C40=CompteSel),MAX($AD$3:AD39)+1,"")</f>
        <v/>
      </c>
    </row>
    <row r="41" spans="1:30" x14ac:dyDescent="0.35">
      <c r="A41" s="1" t="str">
        <f t="shared" si="0"/>
        <v/>
      </c>
      <c r="B41" s="31"/>
      <c r="C41" s="8"/>
      <c r="D41" s="8"/>
      <c r="E41" s="8"/>
      <c r="F41" s="8"/>
      <c r="G41" s="8"/>
      <c r="H41" s="32"/>
      <c r="I41" s="32"/>
      <c r="J41" s="25" t="str">
        <f>IF(B41="","",IFERROR(VLOOKUP(C41,Soldes_Ouverture,2,FALSE()),0)+SUMIFS($S$4:S41,$C$4:C41,C41))</f>
        <v/>
      </c>
      <c r="K41" s="1" t="str">
        <f t="shared" si="1"/>
        <v/>
      </c>
      <c r="L41" s="1" t="str">
        <f t="shared" si="2"/>
        <v/>
      </c>
      <c r="M41" s="1" t="str">
        <f t="shared" si="3"/>
        <v/>
      </c>
      <c r="N41" s="8"/>
      <c r="O41" s="8"/>
      <c r="P41" s="1" t="str">
        <f t="shared" si="4"/>
        <v/>
      </c>
      <c r="Q41" s="25" t="str">
        <f t="shared" si="5"/>
        <v/>
      </c>
      <c r="R41" s="1" t="str">
        <f t="shared" si="6"/>
        <v/>
      </c>
      <c r="S41" s="33" t="str">
        <f t="shared" si="7"/>
        <v/>
      </c>
      <c r="T41" s="34" t="str">
        <f>IF(B41="","",C41&amp;"|"&amp;ROUND(S41,2)&amp;"|"&amp;COUNTIFS($C$4:C41,C41,$S$4:S41,S41))</f>
        <v/>
      </c>
      <c r="U41" s="34" t="str">
        <f t="shared" si="8"/>
        <v/>
      </c>
      <c r="V41" s="34" t="str">
        <f t="shared" si="9"/>
        <v/>
      </c>
      <c r="W41" s="34" t="str">
        <f t="shared" si="10"/>
        <v/>
      </c>
      <c r="X41" s="34">
        <f t="shared" si="11"/>
        <v>0</v>
      </c>
      <c r="Y41" s="34" t="str">
        <f t="shared" si="12"/>
        <v/>
      </c>
      <c r="Z41" s="34" t="str">
        <f>IF(X41=1,V41,IF(Y41="","",IF(COUNTIF(Y$3:Y40,Y41)=0,Y41,"")))</f>
        <v/>
      </c>
      <c r="AA41" s="34" t="b">
        <f t="shared" si="13"/>
        <v>0</v>
      </c>
      <c r="AB41" s="34">
        <f t="shared" si="14"/>
        <v>0</v>
      </c>
      <c r="AC41" s="34" t="str">
        <f>IF(AND(B41&lt;&gt;"",C41=CompteSel,N(B41)&lt;=DateArret,AB41=0),MAX($AC$3:AC40)+1,"")</f>
        <v/>
      </c>
      <c r="AD41" s="34" t="str">
        <f>IF(AND(ISNUMBER(M41),C41=CompteSel),MAX($AD$3:AD40)+1,"")</f>
        <v/>
      </c>
    </row>
    <row r="42" spans="1:30" x14ac:dyDescent="0.35">
      <c r="A42" s="1" t="str">
        <f t="shared" si="0"/>
        <v/>
      </c>
      <c r="B42" s="31"/>
      <c r="C42" s="8"/>
      <c r="D42" s="8"/>
      <c r="E42" s="8"/>
      <c r="F42" s="8"/>
      <c r="G42" s="8"/>
      <c r="H42" s="32"/>
      <c r="I42" s="32"/>
      <c r="J42" s="25" t="str">
        <f>IF(B42="","",IFERROR(VLOOKUP(C42,Soldes_Ouverture,2,FALSE()),0)+SUMIFS($S$4:S42,$C$4:C42,C42))</f>
        <v/>
      </c>
      <c r="K42" s="1" t="str">
        <f t="shared" si="1"/>
        <v/>
      </c>
      <c r="L42" s="1" t="str">
        <f t="shared" si="2"/>
        <v/>
      </c>
      <c r="M42" s="1" t="str">
        <f t="shared" si="3"/>
        <v/>
      </c>
      <c r="N42" s="8"/>
      <c r="O42" s="8"/>
      <c r="P42" s="1" t="str">
        <f t="shared" si="4"/>
        <v/>
      </c>
      <c r="Q42" s="25" t="str">
        <f t="shared" si="5"/>
        <v/>
      </c>
      <c r="R42" s="1" t="str">
        <f t="shared" si="6"/>
        <v/>
      </c>
      <c r="S42" s="33" t="str">
        <f t="shared" si="7"/>
        <v/>
      </c>
      <c r="T42" s="34" t="str">
        <f>IF(B42="","",C42&amp;"|"&amp;ROUND(S42,2)&amp;"|"&amp;COUNTIFS($C$4:C42,C42,$S$4:S42,S42))</f>
        <v/>
      </c>
      <c r="U42" s="34" t="str">
        <f t="shared" si="8"/>
        <v/>
      </c>
      <c r="V42" s="34" t="str">
        <f t="shared" si="9"/>
        <v/>
      </c>
      <c r="W42" s="34" t="str">
        <f t="shared" si="10"/>
        <v/>
      </c>
      <c r="X42" s="34">
        <f t="shared" si="11"/>
        <v>0</v>
      </c>
      <c r="Y42" s="34" t="str">
        <f t="shared" si="12"/>
        <v/>
      </c>
      <c r="Z42" s="34" t="str">
        <f>IF(X42=1,V42,IF(Y42="","",IF(COUNTIF(Y$3:Y41,Y42)=0,Y42,"")))</f>
        <v/>
      </c>
      <c r="AA42" s="34" t="b">
        <f t="shared" si="13"/>
        <v>0</v>
      </c>
      <c r="AB42" s="34">
        <f t="shared" si="14"/>
        <v>0</v>
      </c>
      <c r="AC42" s="34" t="str">
        <f>IF(AND(B42&lt;&gt;"",C42=CompteSel,N(B42)&lt;=DateArret,AB42=0),MAX($AC$3:AC41)+1,"")</f>
        <v/>
      </c>
      <c r="AD42" s="34" t="str">
        <f>IF(AND(ISNUMBER(M42),C42=CompteSel),MAX($AD$3:AD41)+1,"")</f>
        <v/>
      </c>
    </row>
    <row r="43" spans="1:30" x14ac:dyDescent="0.35">
      <c r="A43" s="1" t="str">
        <f t="shared" si="0"/>
        <v/>
      </c>
      <c r="B43" s="31"/>
      <c r="C43" s="8"/>
      <c r="D43" s="8"/>
      <c r="E43" s="8"/>
      <c r="F43" s="8"/>
      <c r="G43" s="8"/>
      <c r="H43" s="32"/>
      <c r="I43" s="32"/>
      <c r="J43" s="25" t="str">
        <f>IF(B43="","",IFERROR(VLOOKUP(C43,Soldes_Ouverture,2,FALSE()),0)+SUMIFS($S$4:S43,$C$4:C43,C43))</f>
        <v/>
      </c>
      <c r="K43" s="1" t="str">
        <f t="shared" si="1"/>
        <v/>
      </c>
      <c r="L43" s="1" t="str">
        <f t="shared" si="2"/>
        <v/>
      </c>
      <c r="M43" s="1" t="str">
        <f t="shared" si="3"/>
        <v/>
      </c>
      <c r="N43" s="8"/>
      <c r="O43" s="8"/>
      <c r="P43" s="1" t="str">
        <f t="shared" si="4"/>
        <v/>
      </c>
      <c r="Q43" s="25" t="str">
        <f t="shared" si="5"/>
        <v/>
      </c>
      <c r="R43" s="1" t="str">
        <f t="shared" si="6"/>
        <v/>
      </c>
      <c r="S43" s="33" t="str">
        <f t="shared" si="7"/>
        <v/>
      </c>
      <c r="T43" s="34" t="str">
        <f>IF(B43="","",C43&amp;"|"&amp;ROUND(S43,2)&amp;"|"&amp;COUNTIFS($C$4:C43,C43,$S$4:S43,S43))</f>
        <v/>
      </c>
      <c r="U43" s="34" t="str">
        <f t="shared" si="8"/>
        <v/>
      </c>
      <c r="V43" s="34" t="str">
        <f t="shared" si="9"/>
        <v/>
      </c>
      <c r="W43" s="34" t="str">
        <f t="shared" si="10"/>
        <v/>
      </c>
      <c r="X43" s="34">
        <f t="shared" si="11"/>
        <v>0</v>
      </c>
      <c r="Y43" s="34" t="str">
        <f t="shared" si="12"/>
        <v/>
      </c>
      <c r="Z43" s="34" t="str">
        <f>IF(X43=1,V43,IF(Y43="","",IF(COUNTIF(Y$3:Y42,Y43)=0,Y43,"")))</f>
        <v/>
      </c>
      <c r="AA43" s="34" t="b">
        <f t="shared" si="13"/>
        <v>0</v>
      </c>
      <c r="AB43" s="34">
        <f t="shared" si="14"/>
        <v>0</v>
      </c>
      <c r="AC43" s="34" t="str">
        <f>IF(AND(B43&lt;&gt;"",C43=CompteSel,N(B43)&lt;=DateArret,AB43=0),MAX($AC$3:AC42)+1,"")</f>
        <v/>
      </c>
      <c r="AD43" s="34" t="str">
        <f>IF(AND(ISNUMBER(M43),C43=CompteSel),MAX($AD$3:AD42)+1,"")</f>
        <v/>
      </c>
    </row>
    <row r="44" spans="1:30" x14ac:dyDescent="0.35">
      <c r="A44" s="1" t="str">
        <f t="shared" si="0"/>
        <v/>
      </c>
      <c r="B44" s="31"/>
      <c r="C44" s="8"/>
      <c r="D44" s="8"/>
      <c r="E44" s="8"/>
      <c r="F44" s="8"/>
      <c r="G44" s="8"/>
      <c r="H44" s="32"/>
      <c r="I44" s="32"/>
      <c r="J44" s="25" t="str">
        <f>IF(B44="","",IFERROR(VLOOKUP(C44,Soldes_Ouverture,2,FALSE()),0)+SUMIFS($S$4:S44,$C$4:C44,C44))</f>
        <v/>
      </c>
      <c r="K44" s="1" t="str">
        <f t="shared" si="1"/>
        <v/>
      </c>
      <c r="L44" s="1" t="str">
        <f t="shared" si="2"/>
        <v/>
      </c>
      <c r="M44" s="1" t="str">
        <f t="shared" si="3"/>
        <v/>
      </c>
      <c r="N44" s="8"/>
      <c r="O44" s="8"/>
      <c r="P44" s="1" t="str">
        <f t="shared" si="4"/>
        <v/>
      </c>
      <c r="Q44" s="25" t="str">
        <f t="shared" si="5"/>
        <v/>
      </c>
      <c r="R44" s="1" t="str">
        <f t="shared" si="6"/>
        <v/>
      </c>
      <c r="S44" s="33" t="str">
        <f t="shared" si="7"/>
        <v/>
      </c>
      <c r="T44" s="34" t="str">
        <f>IF(B44="","",C44&amp;"|"&amp;ROUND(S44,2)&amp;"|"&amp;COUNTIFS($C$4:C44,C44,$S$4:S44,S44))</f>
        <v/>
      </c>
      <c r="U44" s="34" t="str">
        <f t="shared" si="8"/>
        <v/>
      </c>
      <c r="V44" s="34" t="str">
        <f t="shared" si="9"/>
        <v/>
      </c>
      <c r="W44" s="34" t="str">
        <f t="shared" si="10"/>
        <v/>
      </c>
      <c r="X44" s="34">
        <f t="shared" si="11"/>
        <v>0</v>
      </c>
      <c r="Y44" s="34" t="str">
        <f t="shared" si="12"/>
        <v/>
      </c>
      <c r="Z44" s="34" t="str">
        <f>IF(X44=1,V44,IF(Y44="","",IF(COUNTIF(Y$3:Y43,Y44)=0,Y44,"")))</f>
        <v/>
      </c>
      <c r="AA44" s="34" t="b">
        <f t="shared" si="13"/>
        <v>0</v>
      </c>
      <c r="AB44" s="34">
        <f t="shared" si="14"/>
        <v>0</v>
      </c>
      <c r="AC44" s="34" t="str">
        <f>IF(AND(B44&lt;&gt;"",C44=CompteSel,N(B44)&lt;=DateArret,AB44=0),MAX($AC$3:AC43)+1,"")</f>
        <v/>
      </c>
      <c r="AD44" s="34" t="str">
        <f>IF(AND(ISNUMBER(M44),C44=CompteSel),MAX($AD$3:AD43)+1,"")</f>
        <v/>
      </c>
    </row>
    <row r="45" spans="1:30" x14ac:dyDescent="0.35">
      <c r="A45" s="1" t="str">
        <f t="shared" si="0"/>
        <v/>
      </c>
      <c r="B45" s="31"/>
      <c r="C45" s="8"/>
      <c r="D45" s="8"/>
      <c r="E45" s="8"/>
      <c r="F45" s="8"/>
      <c r="G45" s="8"/>
      <c r="H45" s="32"/>
      <c r="I45" s="32"/>
      <c r="J45" s="25" t="str">
        <f>IF(B45="","",IFERROR(VLOOKUP(C45,Soldes_Ouverture,2,FALSE()),0)+SUMIFS($S$4:S45,$C$4:C45,C45))</f>
        <v/>
      </c>
      <c r="K45" s="1" t="str">
        <f t="shared" si="1"/>
        <v/>
      </c>
      <c r="L45" s="1" t="str">
        <f t="shared" si="2"/>
        <v/>
      </c>
      <c r="M45" s="1" t="str">
        <f t="shared" si="3"/>
        <v/>
      </c>
      <c r="N45" s="8"/>
      <c r="O45" s="8"/>
      <c r="P45" s="1" t="str">
        <f t="shared" si="4"/>
        <v/>
      </c>
      <c r="Q45" s="25" t="str">
        <f t="shared" si="5"/>
        <v/>
      </c>
      <c r="R45" s="1" t="str">
        <f t="shared" si="6"/>
        <v/>
      </c>
      <c r="S45" s="33" t="str">
        <f t="shared" si="7"/>
        <v/>
      </c>
      <c r="T45" s="34" t="str">
        <f>IF(B45="","",C45&amp;"|"&amp;ROUND(S45,2)&amp;"|"&amp;COUNTIFS($C$4:C45,C45,$S$4:S45,S45))</f>
        <v/>
      </c>
      <c r="U45" s="34" t="str">
        <f t="shared" si="8"/>
        <v/>
      </c>
      <c r="V45" s="34" t="str">
        <f t="shared" si="9"/>
        <v/>
      </c>
      <c r="W45" s="34" t="str">
        <f t="shared" si="10"/>
        <v/>
      </c>
      <c r="X45" s="34">
        <f t="shared" si="11"/>
        <v>0</v>
      </c>
      <c r="Y45" s="34" t="str">
        <f t="shared" si="12"/>
        <v/>
      </c>
      <c r="Z45" s="34" t="str">
        <f>IF(X45=1,V45,IF(Y45="","",IF(COUNTIF(Y$3:Y44,Y45)=0,Y45,"")))</f>
        <v/>
      </c>
      <c r="AA45" s="34" t="b">
        <f t="shared" si="13"/>
        <v>0</v>
      </c>
      <c r="AB45" s="34">
        <f t="shared" si="14"/>
        <v>0</v>
      </c>
      <c r="AC45" s="34" t="str">
        <f>IF(AND(B45&lt;&gt;"",C45=CompteSel,N(B45)&lt;=DateArret,AB45=0),MAX($AC$3:AC44)+1,"")</f>
        <v/>
      </c>
      <c r="AD45" s="34" t="str">
        <f>IF(AND(ISNUMBER(M45),C45=CompteSel),MAX($AD$3:AD44)+1,"")</f>
        <v/>
      </c>
    </row>
    <row r="46" spans="1:30" x14ac:dyDescent="0.35">
      <c r="A46" s="1" t="str">
        <f t="shared" si="0"/>
        <v/>
      </c>
      <c r="B46" s="31"/>
      <c r="C46" s="8"/>
      <c r="D46" s="8"/>
      <c r="E46" s="8"/>
      <c r="F46" s="8"/>
      <c r="G46" s="8"/>
      <c r="H46" s="32"/>
      <c r="I46" s="32"/>
      <c r="J46" s="25" t="str">
        <f>IF(B46="","",IFERROR(VLOOKUP(C46,Soldes_Ouverture,2,FALSE()),0)+SUMIFS($S$4:S46,$C$4:C46,C46))</f>
        <v/>
      </c>
      <c r="K46" s="1" t="str">
        <f t="shared" si="1"/>
        <v/>
      </c>
      <c r="L46" s="1" t="str">
        <f t="shared" si="2"/>
        <v/>
      </c>
      <c r="M46" s="1" t="str">
        <f t="shared" si="3"/>
        <v/>
      </c>
      <c r="N46" s="8"/>
      <c r="O46" s="8"/>
      <c r="P46" s="1" t="str">
        <f t="shared" si="4"/>
        <v/>
      </c>
      <c r="Q46" s="25" t="str">
        <f t="shared" si="5"/>
        <v/>
      </c>
      <c r="R46" s="1" t="str">
        <f t="shared" si="6"/>
        <v/>
      </c>
      <c r="S46" s="33" t="str">
        <f t="shared" si="7"/>
        <v/>
      </c>
      <c r="T46" s="34" t="str">
        <f>IF(B46="","",C46&amp;"|"&amp;ROUND(S46,2)&amp;"|"&amp;COUNTIFS($C$4:C46,C46,$S$4:S46,S46))</f>
        <v/>
      </c>
      <c r="U46" s="34" t="str">
        <f t="shared" si="8"/>
        <v/>
      </c>
      <c r="V46" s="34" t="str">
        <f t="shared" si="9"/>
        <v/>
      </c>
      <c r="W46" s="34" t="str">
        <f t="shared" si="10"/>
        <v/>
      </c>
      <c r="X46" s="34">
        <f t="shared" si="11"/>
        <v>0</v>
      </c>
      <c r="Y46" s="34" t="str">
        <f t="shared" si="12"/>
        <v/>
      </c>
      <c r="Z46" s="34" t="str">
        <f>IF(X46=1,V46,IF(Y46="","",IF(COUNTIF(Y$3:Y45,Y46)=0,Y46,"")))</f>
        <v/>
      </c>
      <c r="AA46" s="34" t="b">
        <f t="shared" si="13"/>
        <v>0</v>
      </c>
      <c r="AB46" s="34">
        <f t="shared" si="14"/>
        <v>0</v>
      </c>
      <c r="AC46" s="34" t="str">
        <f>IF(AND(B46&lt;&gt;"",C46=CompteSel,N(B46)&lt;=DateArret,AB46=0),MAX($AC$3:AC45)+1,"")</f>
        <v/>
      </c>
      <c r="AD46" s="34" t="str">
        <f>IF(AND(ISNUMBER(M46),C46=CompteSel),MAX($AD$3:AD45)+1,"")</f>
        <v/>
      </c>
    </row>
    <row r="47" spans="1:30" x14ac:dyDescent="0.35">
      <c r="A47" s="1" t="str">
        <f t="shared" si="0"/>
        <v/>
      </c>
      <c r="B47" s="31"/>
      <c r="C47" s="8"/>
      <c r="D47" s="8"/>
      <c r="E47" s="8"/>
      <c r="F47" s="8"/>
      <c r="G47" s="8"/>
      <c r="H47" s="32"/>
      <c r="I47" s="32"/>
      <c r="J47" s="25" t="str">
        <f>IF(B47="","",IFERROR(VLOOKUP(C47,Soldes_Ouverture,2,FALSE()),0)+SUMIFS($S$4:S47,$C$4:C47,C47))</f>
        <v/>
      </c>
      <c r="K47" s="1" t="str">
        <f t="shared" si="1"/>
        <v/>
      </c>
      <c r="L47" s="1" t="str">
        <f t="shared" si="2"/>
        <v/>
      </c>
      <c r="M47" s="1" t="str">
        <f t="shared" si="3"/>
        <v/>
      </c>
      <c r="N47" s="8"/>
      <c r="O47" s="8"/>
      <c r="P47" s="1" t="str">
        <f t="shared" si="4"/>
        <v/>
      </c>
      <c r="Q47" s="25" t="str">
        <f t="shared" si="5"/>
        <v/>
      </c>
      <c r="R47" s="1" t="str">
        <f t="shared" si="6"/>
        <v/>
      </c>
      <c r="S47" s="33" t="str">
        <f t="shared" si="7"/>
        <v/>
      </c>
      <c r="T47" s="34" t="str">
        <f>IF(B47="","",C47&amp;"|"&amp;ROUND(S47,2)&amp;"|"&amp;COUNTIFS($C$4:C47,C47,$S$4:S47,S47))</f>
        <v/>
      </c>
      <c r="U47" s="34" t="str">
        <f t="shared" si="8"/>
        <v/>
      </c>
      <c r="V47" s="34" t="str">
        <f t="shared" si="9"/>
        <v/>
      </c>
      <c r="W47" s="34" t="str">
        <f t="shared" si="10"/>
        <v/>
      </c>
      <c r="X47" s="34">
        <f t="shared" si="11"/>
        <v>0</v>
      </c>
      <c r="Y47" s="34" t="str">
        <f t="shared" si="12"/>
        <v/>
      </c>
      <c r="Z47" s="34" t="str">
        <f>IF(X47=1,V47,IF(Y47="","",IF(COUNTIF(Y$3:Y46,Y47)=0,Y47,"")))</f>
        <v/>
      </c>
      <c r="AA47" s="34" t="b">
        <f t="shared" si="13"/>
        <v>0</v>
      </c>
      <c r="AB47" s="34">
        <f t="shared" si="14"/>
        <v>0</v>
      </c>
      <c r="AC47" s="34" t="str">
        <f>IF(AND(B47&lt;&gt;"",C47=CompteSel,N(B47)&lt;=DateArret,AB47=0),MAX($AC$3:AC46)+1,"")</f>
        <v/>
      </c>
      <c r="AD47" s="34" t="str">
        <f>IF(AND(ISNUMBER(M47),C47=CompteSel),MAX($AD$3:AD46)+1,"")</f>
        <v/>
      </c>
    </row>
    <row r="48" spans="1:30" x14ac:dyDescent="0.35">
      <c r="A48" s="1" t="str">
        <f t="shared" si="0"/>
        <v/>
      </c>
      <c r="B48" s="31"/>
      <c r="C48" s="8"/>
      <c r="D48" s="8"/>
      <c r="E48" s="8"/>
      <c r="F48" s="8"/>
      <c r="G48" s="8"/>
      <c r="H48" s="32"/>
      <c r="I48" s="32"/>
      <c r="J48" s="25" t="str">
        <f>IF(B48="","",IFERROR(VLOOKUP(C48,Soldes_Ouverture,2,FALSE()),0)+SUMIFS($S$4:S48,$C$4:C48,C48))</f>
        <v/>
      </c>
      <c r="K48" s="1" t="str">
        <f t="shared" si="1"/>
        <v/>
      </c>
      <c r="L48" s="1" t="str">
        <f t="shared" si="2"/>
        <v/>
      </c>
      <c r="M48" s="1" t="str">
        <f t="shared" si="3"/>
        <v/>
      </c>
      <c r="N48" s="8"/>
      <c r="O48" s="8"/>
      <c r="P48" s="1" t="str">
        <f t="shared" si="4"/>
        <v/>
      </c>
      <c r="Q48" s="25" t="str">
        <f t="shared" si="5"/>
        <v/>
      </c>
      <c r="R48" s="1" t="str">
        <f t="shared" si="6"/>
        <v/>
      </c>
      <c r="S48" s="33" t="str">
        <f t="shared" si="7"/>
        <v/>
      </c>
      <c r="T48" s="34" t="str">
        <f>IF(B48="","",C48&amp;"|"&amp;ROUND(S48,2)&amp;"|"&amp;COUNTIFS($C$4:C48,C48,$S$4:S48,S48))</f>
        <v/>
      </c>
      <c r="U48" s="34" t="str">
        <f t="shared" si="8"/>
        <v/>
      </c>
      <c r="V48" s="34" t="str">
        <f t="shared" si="9"/>
        <v/>
      </c>
      <c r="W48" s="34" t="str">
        <f t="shared" si="10"/>
        <v/>
      </c>
      <c r="X48" s="34">
        <f t="shared" si="11"/>
        <v>0</v>
      </c>
      <c r="Y48" s="34" t="str">
        <f t="shared" si="12"/>
        <v/>
      </c>
      <c r="Z48" s="34" t="str">
        <f>IF(X48=1,V48,IF(Y48="","",IF(COUNTIF(Y$3:Y47,Y48)=0,Y48,"")))</f>
        <v/>
      </c>
      <c r="AA48" s="34" t="b">
        <f t="shared" si="13"/>
        <v>0</v>
      </c>
      <c r="AB48" s="34">
        <f t="shared" si="14"/>
        <v>0</v>
      </c>
      <c r="AC48" s="34" t="str">
        <f>IF(AND(B48&lt;&gt;"",C48=CompteSel,N(B48)&lt;=DateArret,AB48=0),MAX($AC$3:AC47)+1,"")</f>
        <v/>
      </c>
      <c r="AD48" s="34" t="str">
        <f>IF(AND(ISNUMBER(M48),C48=CompteSel),MAX($AD$3:AD47)+1,"")</f>
        <v/>
      </c>
    </row>
    <row r="49" spans="1:30" x14ac:dyDescent="0.35">
      <c r="A49" s="1" t="str">
        <f t="shared" si="0"/>
        <v/>
      </c>
      <c r="B49" s="31"/>
      <c r="C49" s="8"/>
      <c r="D49" s="8"/>
      <c r="E49" s="8"/>
      <c r="F49" s="8"/>
      <c r="G49" s="8"/>
      <c r="H49" s="32"/>
      <c r="I49" s="32"/>
      <c r="J49" s="25" t="str">
        <f>IF(B49="","",IFERROR(VLOOKUP(C49,Soldes_Ouverture,2,FALSE()),0)+SUMIFS($S$4:S49,$C$4:C49,C49))</f>
        <v/>
      </c>
      <c r="K49" s="1" t="str">
        <f t="shared" si="1"/>
        <v/>
      </c>
      <c r="L49" s="1" t="str">
        <f t="shared" si="2"/>
        <v/>
      </c>
      <c r="M49" s="1" t="str">
        <f t="shared" si="3"/>
        <v/>
      </c>
      <c r="N49" s="8"/>
      <c r="O49" s="8"/>
      <c r="P49" s="1" t="str">
        <f t="shared" si="4"/>
        <v/>
      </c>
      <c r="Q49" s="25" t="str">
        <f t="shared" si="5"/>
        <v/>
      </c>
      <c r="R49" s="1" t="str">
        <f t="shared" si="6"/>
        <v/>
      </c>
      <c r="S49" s="33" t="str">
        <f t="shared" si="7"/>
        <v/>
      </c>
      <c r="T49" s="34" t="str">
        <f>IF(B49="","",C49&amp;"|"&amp;ROUND(S49,2)&amp;"|"&amp;COUNTIFS($C$4:C49,C49,$S$4:S49,S49))</f>
        <v/>
      </c>
      <c r="U49" s="34" t="str">
        <f t="shared" si="8"/>
        <v/>
      </c>
      <c r="V49" s="34" t="str">
        <f t="shared" si="9"/>
        <v/>
      </c>
      <c r="W49" s="34" t="str">
        <f t="shared" si="10"/>
        <v/>
      </c>
      <c r="X49" s="34">
        <f t="shared" si="11"/>
        <v>0</v>
      </c>
      <c r="Y49" s="34" t="str">
        <f t="shared" si="12"/>
        <v/>
      </c>
      <c r="Z49" s="34" t="str">
        <f>IF(X49=1,V49,IF(Y49="","",IF(COUNTIF(Y$3:Y48,Y49)=0,Y49,"")))</f>
        <v/>
      </c>
      <c r="AA49" s="34" t="b">
        <f t="shared" si="13"/>
        <v>0</v>
      </c>
      <c r="AB49" s="34">
        <f t="shared" si="14"/>
        <v>0</v>
      </c>
      <c r="AC49" s="34" t="str">
        <f>IF(AND(B49&lt;&gt;"",C49=CompteSel,N(B49)&lt;=DateArret,AB49=0),MAX($AC$3:AC48)+1,"")</f>
        <v/>
      </c>
      <c r="AD49" s="34" t="str">
        <f>IF(AND(ISNUMBER(M49),C49=CompteSel),MAX($AD$3:AD48)+1,"")</f>
        <v/>
      </c>
    </row>
    <row r="50" spans="1:30" x14ac:dyDescent="0.35">
      <c r="A50" s="1" t="str">
        <f t="shared" si="0"/>
        <v/>
      </c>
      <c r="B50" s="31"/>
      <c r="C50" s="8"/>
      <c r="D50" s="8"/>
      <c r="E50" s="8"/>
      <c r="F50" s="8"/>
      <c r="G50" s="8"/>
      <c r="H50" s="32"/>
      <c r="I50" s="32"/>
      <c r="J50" s="25" t="str">
        <f>IF(B50="","",IFERROR(VLOOKUP(C50,Soldes_Ouverture,2,FALSE()),0)+SUMIFS($S$4:S50,$C$4:C50,C50))</f>
        <v/>
      </c>
      <c r="K50" s="1" t="str">
        <f t="shared" si="1"/>
        <v/>
      </c>
      <c r="L50" s="1" t="str">
        <f t="shared" si="2"/>
        <v/>
      </c>
      <c r="M50" s="1" t="str">
        <f t="shared" si="3"/>
        <v/>
      </c>
      <c r="N50" s="8"/>
      <c r="O50" s="8"/>
      <c r="P50" s="1" t="str">
        <f t="shared" si="4"/>
        <v/>
      </c>
      <c r="Q50" s="25" t="str">
        <f t="shared" si="5"/>
        <v/>
      </c>
      <c r="R50" s="1" t="str">
        <f t="shared" si="6"/>
        <v/>
      </c>
      <c r="S50" s="33" t="str">
        <f t="shared" si="7"/>
        <v/>
      </c>
      <c r="T50" s="34" t="str">
        <f>IF(B50="","",C50&amp;"|"&amp;ROUND(S50,2)&amp;"|"&amp;COUNTIFS($C$4:C50,C50,$S$4:S50,S50))</f>
        <v/>
      </c>
      <c r="U50" s="34" t="str">
        <f t="shared" si="8"/>
        <v/>
      </c>
      <c r="V50" s="34" t="str">
        <f t="shared" si="9"/>
        <v/>
      </c>
      <c r="W50" s="34" t="str">
        <f t="shared" si="10"/>
        <v/>
      </c>
      <c r="X50" s="34">
        <f t="shared" si="11"/>
        <v>0</v>
      </c>
      <c r="Y50" s="34" t="str">
        <f t="shared" si="12"/>
        <v/>
      </c>
      <c r="Z50" s="34" t="str">
        <f>IF(X50=1,V50,IF(Y50="","",IF(COUNTIF(Y$3:Y49,Y50)=0,Y50,"")))</f>
        <v/>
      </c>
      <c r="AA50" s="34" t="b">
        <f t="shared" si="13"/>
        <v>0</v>
      </c>
      <c r="AB50" s="34">
        <f t="shared" si="14"/>
        <v>0</v>
      </c>
      <c r="AC50" s="34" t="str">
        <f>IF(AND(B50&lt;&gt;"",C50=CompteSel,N(B50)&lt;=DateArret,AB50=0),MAX($AC$3:AC49)+1,"")</f>
        <v/>
      </c>
      <c r="AD50" s="34" t="str">
        <f>IF(AND(ISNUMBER(M50),C50=CompteSel),MAX($AD$3:AD49)+1,"")</f>
        <v/>
      </c>
    </row>
    <row r="51" spans="1:30" x14ac:dyDescent="0.35">
      <c r="A51" s="1" t="str">
        <f t="shared" si="0"/>
        <v/>
      </c>
      <c r="B51" s="31"/>
      <c r="C51" s="8"/>
      <c r="D51" s="8"/>
      <c r="E51" s="8"/>
      <c r="F51" s="8"/>
      <c r="G51" s="8"/>
      <c r="H51" s="32"/>
      <c r="I51" s="32"/>
      <c r="J51" s="25" t="str">
        <f>IF(B51="","",IFERROR(VLOOKUP(C51,Soldes_Ouverture,2,FALSE()),0)+SUMIFS($S$4:S51,$C$4:C51,C51))</f>
        <v/>
      </c>
      <c r="K51" s="1" t="str">
        <f t="shared" si="1"/>
        <v/>
      </c>
      <c r="L51" s="1" t="str">
        <f t="shared" si="2"/>
        <v/>
      </c>
      <c r="M51" s="1" t="str">
        <f t="shared" si="3"/>
        <v/>
      </c>
      <c r="N51" s="8"/>
      <c r="O51" s="8"/>
      <c r="P51" s="1" t="str">
        <f t="shared" si="4"/>
        <v/>
      </c>
      <c r="Q51" s="25" t="str">
        <f t="shared" si="5"/>
        <v/>
      </c>
      <c r="R51" s="1" t="str">
        <f t="shared" si="6"/>
        <v/>
      </c>
      <c r="S51" s="33" t="str">
        <f t="shared" si="7"/>
        <v/>
      </c>
      <c r="T51" s="34" t="str">
        <f>IF(B51="","",C51&amp;"|"&amp;ROUND(S51,2)&amp;"|"&amp;COUNTIFS($C$4:C51,C51,$S$4:S51,S51))</f>
        <v/>
      </c>
      <c r="U51" s="34" t="str">
        <f t="shared" si="8"/>
        <v/>
      </c>
      <c r="V51" s="34" t="str">
        <f t="shared" si="9"/>
        <v/>
      </c>
      <c r="W51" s="34" t="str">
        <f t="shared" si="10"/>
        <v/>
      </c>
      <c r="X51" s="34">
        <f t="shared" si="11"/>
        <v>0</v>
      </c>
      <c r="Y51" s="34" t="str">
        <f t="shared" si="12"/>
        <v/>
      </c>
      <c r="Z51" s="34" t="str">
        <f>IF(X51=1,V51,IF(Y51="","",IF(COUNTIF(Y$3:Y50,Y51)=0,Y51,"")))</f>
        <v/>
      </c>
      <c r="AA51" s="34" t="b">
        <f t="shared" si="13"/>
        <v>0</v>
      </c>
      <c r="AB51" s="34">
        <f t="shared" si="14"/>
        <v>0</v>
      </c>
      <c r="AC51" s="34" t="str">
        <f>IF(AND(B51&lt;&gt;"",C51=CompteSel,N(B51)&lt;=DateArret,AB51=0),MAX($AC$3:AC50)+1,"")</f>
        <v/>
      </c>
      <c r="AD51" s="34" t="str">
        <f>IF(AND(ISNUMBER(M51),C51=CompteSel),MAX($AD$3:AD50)+1,"")</f>
        <v/>
      </c>
    </row>
    <row r="52" spans="1:30" x14ac:dyDescent="0.35">
      <c r="A52" s="1" t="str">
        <f t="shared" si="0"/>
        <v/>
      </c>
      <c r="B52" s="31"/>
      <c r="C52" s="8"/>
      <c r="D52" s="8"/>
      <c r="E52" s="8"/>
      <c r="F52" s="8"/>
      <c r="G52" s="8"/>
      <c r="H52" s="32"/>
      <c r="I52" s="32"/>
      <c r="J52" s="25" t="str">
        <f>IF(B52="","",IFERROR(VLOOKUP(C52,Soldes_Ouverture,2,FALSE()),0)+SUMIFS($S$4:S52,$C$4:C52,C52))</f>
        <v/>
      </c>
      <c r="K52" s="1" t="str">
        <f t="shared" si="1"/>
        <v/>
      </c>
      <c r="L52" s="1" t="str">
        <f t="shared" si="2"/>
        <v/>
      </c>
      <c r="M52" s="1" t="str">
        <f t="shared" si="3"/>
        <v/>
      </c>
      <c r="N52" s="8"/>
      <c r="O52" s="8"/>
      <c r="P52" s="1" t="str">
        <f t="shared" si="4"/>
        <v/>
      </c>
      <c r="Q52" s="25" t="str">
        <f t="shared" si="5"/>
        <v/>
      </c>
      <c r="R52" s="1" t="str">
        <f t="shared" si="6"/>
        <v/>
      </c>
      <c r="S52" s="33" t="str">
        <f t="shared" si="7"/>
        <v/>
      </c>
      <c r="T52" s="34" t="str">
        <f>IF(B52="","",C52&amp;"|"&amp;ROUND(S52,2)&amp;"|"&amp;COUNTIFS($C$4:C52,C52,$S$4:S52,S52))</f>
        <v/>
      </c>
      <c r="U52" s="34" t="str">
        <f t="shared" si="8"/>
        <v/>
      </c>
      <c r="V52" s="34" t="str">
        <f t="shared" si="9"/>
        <v/>
      </c>
      <c r="W52" s="34" t="str">
        <f t="shared" si="10"/>
        <v/>
      </c>
      <c r="X52" s="34">
        <f t="shared" si="11"/>
        <v>0</v>
      </c>
      <c r="Y52" s="34" t="str">
        <f t="shared" si="12"/>
        <v/>
      </c>
      <c r="Z52" s="34" t="str">
        <f>IF(X52=1,V52,IF(Y52="","",IF(COUNTIF(Y$3:Y51,Y52)=0,Y52,"")))</f>
        <v/>
      </c>
      <c r="AA52" s="34" t="b">
        <f t="shared" si="13"/>
        <v>0</v>
      </c>
      <c r="AB52" s="34">
        <f t="shared" si="14"/>
        <v>0</v>
      </c>
      <c r="AC52" s="34" t="str">
        <f>IF(AND(B52&lt;&gt;"",C52=CompteSel,N(B52)&lt;=DateArret,AB52=0),MAX($AC$3:AC51)+1,"")</f>
        <v/>
      </c>
      <c r="AD52" s="34" t="str">
        <f>IF(AND(ISNUMBER(M52),C52=CompteSel),MAX($AD$3:AD51)+1,"")</f>
        <v/>
      </c>
    </row>
    <row r="53" spans="1:30" x14ac:dyDescent="0.35">
      <c r="A53" s="1" t="str">
        <f t="shared" si="0"/>
        <v/>
      </c>
      <c r="B53" s="31"/>
      <c r="C53" s="8"/>
      <c r="D53" s="8"/>
      <c r="E53" s="8"/>
      <c r="F53" s="8"/>
      <c r="G53" s="8"/>
      <c r="H53" s="32"/>
      <c r="I53" s="32"/>
      <c r="J53" s="25" t="str">
        <f>IF(B53="","",IFERROR(VLOOKUP(C53,Soldes_Ouverture,2,FALSE()),0)+SUMIFS($S$4:S53,$C$4:C53,C53))</f>
        <v/>
      </c>
      <c r="K53" s="1" t="str">
        <f t="shared" si="1"/>
        <v/>
      </c>
      <c r="L53" s="1" t="str">
        <f t="shared" si="2"/>
        <v/>
      </c>
      <c r="M53" s="1" t="str">
        <f t="shared" si="3"/>
        <v/>
      </c>
      <c r="N53" s="8"/>
      <c r="O53" s="8"/>
      <c r="P53" s="1" t="str">
        <f t="shared" si="4"/>
        <v/>
      </c>
      <c r="Q53" s="25" t="str">
        <f t="shared" si="5"/>
        <v/>
      </c>
      <c r="R53" s="1" t="str">
        <f t="shared" si="6"/>
        <v/>
      </c>
      <c r="S53" s="33" t="str">
        <f t="shared" si="7"/>
        <v/>
      </c>
      <c r="T53" s="34" t="str">
        <f>IF(B53="","",C53&amp;"|"&amp;ROUND(S53,2)&amp;"|"&amp;COUNTIFS($C$4:C53,C53,$S$4:S53,S53))</f>
        <v/>
      </c>
      <c r="U53" s="34" t="str">
        <f t="shared" si="8"/>
        <v/>
      </c>
      <c r="V53" s="34" t="str">
        <f t="shared" si="9"/>
        <v/>
      </c>
      <c r="W53" s="34" t="str">
        <f t="shared" si="10"/>
        <v/>
      </c>
      <c r="X53" s="34">
        <f t="shared" si="11"/>
        <v>0</v>
      </c>
      <c r="Y53" s="34" t="str">
        <f t="shared" si="12"/>
        <v/>
      </c>
      <c r="Z53" s="34" t="str">
        <f>IF(X53=1,V53,IF(Y53="","",IF(COUNTIF(Y$3:Y52,Y53)=0,Y53,"")))</f>
        <v/>
      </c>
      <c r="AA53" s="34" t="b">
        <f t="shared" si="13"/>
        <v>0</v>
      </c>
      <c r="AB53" s="34">
        <f t="shared" si="14"/>
        <v>0</v>
      </c>
      <c r="AC53" s="34" t="str">
        <f>IF(AND(B53&lt;&gt;"",C53=CompteSel,N(B53)&lt;=DateArret,AB53=0),MAX($AC$3:AC52)+1,"")</f>
        <v/>
      </c>
      <c r="AD53" s="34" t="str">
        <f>IF(AND(ISNUMBER(M53),C53=CompteSel),MAX($AD$3:AD52)+1,"")</f>
        <v/>
      </c>
    </row>
    <row r="54" spans="1:30" x14ac:dyDescent="0.35">
      <c r="A54" s="1" t="str">
        <f t="shared" si="0"/>
        <v/>
      </c>
      <c r="B54" s="31"/>
      <c r="C54" s="8"/>
      <c r="D54" s="8"/>
      <c r="E54" s="8"/>
      <c r="F54" s="8"/>
      <c r="G54" s="8"/>
      <c r="H54" s="32"/>
      <c r="I54" s="32"/>
      <c r="J54" s="25" t="str">
        <f>IF(B54="","",IFERROR(VLOOKUP(C54,Soldes_Ouverture,2,FALSE()),0)+SUMIFS($S$4:S54,$C$4:C54,C54))</f>
        <v/>
      </c>
      <c r="K54" s="1" t="str">
        <f t="shared" si="1"/>
        <v/>
      </c>
      <c r="L54" s="1" t="str">
        <f t="shared" si="2"/>
        <v/>
      </c>
      <c r="M54" s="1" t="str">
        <f t="shared" si="3"/>
        <v/>
      </c>
      <c r="N54" s="8"/>
      <c r="O54" s="8"/>
      <c r="P54" s="1" t="str">
        <f t="shared" si="4"/>
        <v/>
      </c>
      <c r="Q54" s="25" t="str">
        <f t="shared" si="5"/>
        <v/>
      </c>
      <c r="R54" s="1" t="str">
        <f t="shared" si="6"/>
        <v/>
      </c>
      <c r="S54" s="33" t="str">
        <f t="shared" si="7"/>
        <v/>
      </c>
      <c r="T54" s="34" t="str">
        <f>IF(B54="","",C54&amp;"|"&amp;ROUND(S54,2)&amp;"|"&amp;COUNTIFS($C$4:C54,C54,$S$4:S54,S54))</f>
        <v/>
      </c>
      <c r="U54" s="34" t="str">
        <f t="shared" si="8"/>
        <v/>
      </c>
      <c r="V54" s="34" t="str">
        <f t="shared" si="9"/>
        <v/>
      </c>
      <c r="W54" s="34" t="str">
        <f t="shared" si="10"/>
        <v/>
      </c>
      <c r="X54" s="34">
        <f t="shared" si="11"/>
        <v>0</v>
      </c>
      <c r="Y54" s="34" t="str">
        <f t="shared" si="12"/>
        <v/>
      </c>
      <c r="Z54" s="34" t="str">
        <f>IF(X54=1,V54,IF(Y54="","",IF(COUNTIF(Y$3:Y53,Y54)=0,Y54,"")))</f>
        <v/>
      </c>
      <c r="AA54" s="34" t="b">
        <f t="shared" si="13"/>
        <v>0</v>
      </c>
      <c r="AB54" s="34">
        <f t="shared" si="14"/>
        <v>0</v>
      </c>
      <c r="AC54" s="34" t="str">
        <f>IF(AND(B54&lt;&gt;"",C54=CompteSel,N(B54)&lt;=DateArret,AB54=0),MAX($AC$3:AC53)+1,"")</f>
        <v/>
      </c>
      <c r="AD54" s="34" t="str">
        <f>IF(AND(ISNUMBER(M54),C54=CompteSel),MAX($AD$3:AD53)+1,"")</f>
        <v/>
      </c>
    </row>
    <row r="55" spans="1:30" x14ac:dyDescent="0.35">
      <c r="A55" s="1" t="str">
        <f t="shared" si="0"/>
        <v/>
      </c>
      <c r="B55" s="31"/>
      <c r="C55" s="8"/>
      <c r="D55" s="8"/>
      <c r="E55" s="8"/>
      <c r="F55" s="8"/>
      <c r="G55" s="8"/>
      <c r="H55" s="32"/>
      <c r="I55" s="32"/>
      <c r="J55" s="25" t="str">
        <f>IF(B55="","",IFERROR(VLOOKUP(C55,Soldes_Ouverture,2,FALSE()),0)+SUMIFS($S$4:S55,$C$4:C55,C55))</f>
        <v/>
      </c>
      <c r="K55" s="1" t="str">
        <f t="shared" si="1"/>
        <v/>
      </c>
      <c r="L55" s="1" t="str">
        <f t="shared" si="2"/>
        <v/>
      </c>
      <c r="M55" s="1" t="str">
        <f t="shared" si="3"/>
        <v/>
      </c>
      <c r="N55" s="8"/>
      <c r="O55" s="8"/>
      <c r="P55" s="1" t="str">
        <f t="shared" si="4"/>
        <v/>
      </c>
      <c r="Q55" s="25" t="str">
        <f t="shared" si="5"/>
        <v/>
      </c>
      <c r="R55" s="1" t="str">
        <f t="shared" si="6"/>
        <v/>
      </c>
      <c r="S55" s="33" t="str">
        <f t="shared" si="7"/>
        <v/>
      </c>
      <c r="T55" s="34" t="str">
        <f>IF(B55="","",C55&amp;"|"&amp;ROUND(S55,2)&amp;"|"&amp;COUNTIFS($C$4:C55,C55,$S$4:S55,S55))</f>
        <v/>
      </c>
      <c r="U55" s="34" t="str">
        <f t="shared" si="8"/>
        <v/>
      </c>
      <c r="V55" s="34" t="str">
        <f t="shared" si="9"/>
        <v/>
      </c>
      <c r="W55" s="34" t="str">
        <f t="shared" si="10"/>
        <v/>
      </c>
      <c r="X55" s="34">
        <f t="shared" si="11"/>
        <v>0</v>
      </c>
      <c r="Y55" s="34" t="str">
        <f t="shared" si="12"/>
        <v/>
      </c>
      <c r="Z55" s="34" t="str">
        <f>IF(X55=1,V55,IF(Y55="","",IF(COUNTIF(Y$3:Y54,Y55)=0,Y55,"")))</f>
        <v/>
      </c>
      <c r="AA55" s="34" t="b">
        <f t="shared" si="13"/>
        <v>0</v>
      </c>
      <c r="AB55" s="34">
        <f t="shared" si="14"/>
        <v>0</v>
      </c>
      <c r="AC55" s="34" t="str">
        <f>IF(AND(B55&lt;&gt;"",C55=CompteSel,N(B55)&lt;=DateArret,AB55=0),MAX($AC$3:AC54)+1,"")</f>
        <v/>
      </c>
      <c r="AD55" s="34" t="str">
        <f>IF(AND(ISNUMBER(M55),C55=CompteSel),MAX($AD$3:AD54)+1,"")</f>
        <v/>
      </c>
    </row>
    <row r="56" spans="1:30" x14ac:dyDescent="0.35">
      <c r="A56" s="1" t="str">
        <f t="shared" si="0"/>
        <v/>
      </c>
      <c r="B56" s="31"/>
      <c r="C56" s="8"/>
      <c r="D56" s="8"/>
      <c r="E56" s="8"/>
      <c r="F56" s="8"/>
      <c r="G56" s="8"/>
      <c r="H56" s="32"/>
      <c r="I56" s="32"/>
      <c r="J56" s="25" t="str">
        <f>IF(B56="","",IFERROR(VLOOKUP(C56,Soldes_Ouverture,2,FALSE()),0)+SUMIFS($S$4:S56,$C$4:C56,C56))</f>
        <v/>
      </c>
      <c r="K56" s="1" t="str">
        <f t="shared" si="1"/>
        <v/>
      </c>
      <c r="L56" s="1" t="str">
        <f t="shared" si="2"/>
        <v/>
      </c>
      <c r="M56" s="1" t="str">
        <f t="shared" si="3"/>
        <v/>
      </c>
      <c r="N56" s="8"/>
      <c r="O56" s="8"/>
      <c r="P56" s="1" t="str">
        <f t="shared" si="4"/>
        <v/>
      </c>
      <c r="Q56" s="25" t="str">
        <f t="shared" si="5"/>
        <v/>
      </c>
      <c r="R56" s="1" t="str">
        <f t="shared" si="6"/>
        <v/>
      </c>
      <c r="S56" s="33" t="str">
        <f t="shared" si="7"/>
        <v/>
      </c>
      <c r="T56" s="34" t="str">
        <f>IF(B56="","",C56&amp;"|"&amp;ROUND(S56,2)&amp;"|"&amp;COUNTIFS($C$4:C56,C56,$S$4:S56,S56))</f>
        <v/>
      </c>
      <c r="U56" s="34" t="str">
        <f t="shared" si="8"/>
        <v/>
      </c>
      <c r="V56" s="34" t="str">
        <f t="shared" si="9"/>
        <v/>
      </c>
      <c r="W56" s="34" t="str">
        <f t="shared" si="10"/>
        <v/>
      </c>
      <c r="X56" s="34">
        <f t="shared" si="11"/>
        <v>0</v>
      </c>
      <c r="Y56" s="34" t="str">
        <f t="shared" si="12"/>
        <v/>
      </c>
      <c r="Z56" s="34" t="str">
        <f>IF(X56=1,V56,IF(Y56="","",IF(COUNTIF(Y$3:Y55,Y56)=0,Y56,"")))</f>
        <v/>
      </c>
      <c r="AA56" s="34" t="b">
        <f t="shared" si="13"/>
        <v>0</v>
      </c>
      <c r="AB56" s="34">
        <f t="shared" si="14"/>
        <v>0</v>
      </c>
      <c r="AC56" s="34" t="str">
        <f>IF(AND(B56&lt;&gt;"",C56=CompteSel,N(B56)&lt;=DateArret,AB56=0),MAX($AC$3:AC55)+1,"")</f>
        <v/>
      </c>
      <c r="AD56" s="34" t="str">
        <f>IF(AND(ISNUMBER(M56),C56=CompteSel),MAX($AD$3:AD55)+1,"")</f>
        <v/>
      </c>
    </row>
    <row r="57" spans="1:30" x14ac:dyDescent="0.35">
      <c r="A57" s="1" t="str">
        <f t="shared" si="0"/>
        <v/>
      </c>
      <c r="B57" s="31"/>
      <c r="C57" s="8"/>
      <c r="D57" s="8"/>
      <c r="E57" s="8"/>
      <c r="F57" s="8"/>
      <c r="G57" s="8"/>
      <c r="H57" s="32"/>
      <c r="I57" s="32"/>
      <c r="J57" s="25" t="str">
        <f>IF(B57="","",IFERROR(VLOOKUP(C57,Soldes_Ouverture,2,FALSE()),0)+SUMIFS($S$4:S57,$C$4:C57,C57))</f>
        <v/>
      </c>
      <c r="K57" s="1" t="str">
        <f t="shared" si="1"/>
        <v/>
      </c>
      <c r="L57" s="1" t="str">
        <f t="shared" si="2"/>
        <v/>
      </c>
      <c r="M57" s="1" t="str">
        <f t="shared" si="3"/>
        <v/>
      </c>
      <c r="N57" s="8"/>
      <c r="O57" s="8"/>
      <c r="P57" s="1" t="str">
        <f t="shared" si="4"/>
        <v/>
      </c>
      <c r="Q57" s="25" t="str">
        <f t="shared" si="5"/>
        <v/>
      </c>
      <c r="R57" s="1" t="str">
        <f t="shared" si="6"/>
        <v/>
      </c>
      <c r="S57" s="33" t="str">
        <f t="shared" si="7"/>
        <v/>
      </c>
      <c r="T57" s="34" t="str">
        <f>IF(B57="","",C57&amp;"|"&amp;ROUND(S57,2)&amp;"|"&amp;COUNTIFS($C$4:C57,C57,$S$4:S57,S57))</f>
        <v/>
      </c>
      <c r="U57" s="34" t="str">
        <f t="shared" si="8"/>
        <v/>
      </c>
      <c r="V57" s="34" t="str">
        <f t="shared" si="9"/>
        <v/>
      </c>
      <c r="W57" s="34" t="str">
        <f t="shared" si="10"/>
        <v/>
      </c>
      <c r="X57" s="34">
        <f t="shared" si="11"/>
        <v>0</v>
      </c>
      <c r="Y57" s="34" t="str">
        <f t="shared" si="12"/>
        <v/>
      </c>
      <c r="Z57" s="34" t="str">
        <f>IF(X57=1,V57,IF(Y57="","",IF(COUNTIF(Y$3:Y56,Y57)=0,Y57,"")))</f>
        <v/>
      </c>
      <c r="AA57" s="34" t="b">
        <f t="shared" si="13"/>
        <v>0</v>
      </c>
      <c r="AB57" s="34">
        <f t="shared" si="14"/>
        <v>0</v>
      </c>
      <c r="AC57" s="34" t="str">
        <f>IF(AND(B57&lt;&gt;"",C57=CompteSel,N(B57)&lt;=DateArret,AB57=0),MAX($AC$3:AC56)+1,"")</f>
        <v/>
      </c>
      <c r="AD57" s="34" t="str">
        <f>IF(AND(ISNUMBER(M57),C57=CompteSel),MAX($AD$3:AD56)+1,"")</f>
        <v/>
      </c>
    </row>
    <row r="58" spans="1:30" x14ac:dyDescent="0.35">
      <c r="A58" s="1" t="str">
        <f t="shared" si="0"/>
        <v/>
      </c>
      <c r="B58" s="31"/>
      <c r="C58" s="8"/>
      <c r="D58" s="8"/>
      <c r="E58" s="8"/>
      <c r="F58" s="8"/>
      <c r="G58" s="8"/>
      <c r="H58" s="32"/>
      <c r="I58" s="32"/>
      <c r="J58" s="25" t="str">
        <f>IF(B58="","",IFERROR(VLOOKUP(C58,Soldes_Ouverture,2,FALSE()),0)+SUMIFS($S$4:S58,$C$4:C58,C58))</f>
        <v/>
      </c>
      <c r="K58" s="1" t="str">
        <f t="shared" si="1"/>
        <v/>
      </c>
      <c r="L58" s="1" t="str">
        <f t="shared" si="2"/>
        <v/>
      </c>
      <c r="M58" s="1" t="str">
        <f t="shared" si="3"/>
        <v/>
      </c>
      <c r="N58" s="8"/>
      <c r="O58" s="8"/>
      <c r="P58" s="1" t="str">
        <f t="shared" si="4"/>
        <v/>
      </c>
      <c r="Q58" s="25" t="str">
        <f t="shared" si="5"/>
        <v/>
      </c>
      <c r="R58" s="1" t="str">
        <f t="shared" si="6"/>
        <v/>
      </c>
      <c r="S58" s="33" t="str">
        <f t="shared" si="7"/>
        <v/>
      </c>
      <c r="T58" s="34" t="str">
        <f>IF(B58="","",C58&amp;"|"&amp;ROUND(S58,2)&amp;"|"&amp;COUNTIFS($C$4:C58,C58,$S$4:S58,S58))</f>
        <v/>
      </c>
      <c r="U58" s="34" t="str">
        <f t="shared" si="8"/>
        <v/>
      </c>
      <c r="V58" s="34" t="str">
        <f t="shared" si="9"/>
        <v/>
      </c>
      <c r="W58" s="34" t="str">
        <f t="shared" si="10"/>
        <v/>
      </c>
      <c r="X58" s="34">
        <f t="shared" si="11"/>
        <v>0</v>
      </c>
      <c r="Y58" s="34" t="str">
        <f t="shared" si="12"/>
        <v/>
      </c>
      <c r="Z58" s="34" t="str">
        <f>IF(X58=1,V58,IF(Y58="","",IF(COUNTIF(Y$3:Y57,Y58)=0,Y58,"")))</f>
        <v/>
      </c>
      <c r="AA58" s="34" t="b">
        <f t="shared" si="13"/>
        <v>0</v>
      </c>
      <c r="AB58" s="34">
        <f t="shared" si="14"/>
        <v>0</v>
      </c>
      <c r="AC58" s="34" t="str">
        <f>IF(AND(B58&lt;&gt;"",C58=CompteSel,N(B58)&lt;=DateArret,AB58=0),MAX($AC$3:AC57)+1,"")</f>
        <v/>
      </c>
      <c r="AD58" s="34" t="str">
        <f>IF(AND(ISNUMBER(M58),C58=CompteSel),MAX($AD$3:AD57)+1,"")</f>
        <v/>
      </c>
    </row>
    <row r="59" spans="1:30" x14ac:dyDescent="0.35">
      <c r="A59" s="1" t="str">
        <f t="shared" si="0"/>
        <v/>
      </c>
      <c r="B59" s="31"/>
      <c r="C59" s="8"/>
      <c r="D59" s="8"/>
      <c r="E59" s="8"/>
      <c r="F59" s="8"/>
      <c r="G59" s="8"/>
      <c r="H59" s="32"/>
      <c r="I59" s="32"/>
      <c r="J59" s="25" t="str">
        <f>IF(B59="","",IFERROR(VLOOKUP(C59,Soldes_Ouverture,2,FALSE()),0)+SUMIFS($S$4:S59,$C$4:C59,C59))</f>
        <v/>
      </c>
      <c r="K59" s="1" t="str">
        <f t="shared" si="1"/>
        <v/>
      </c>
      <c r="L59" s="1" t="str">
        <f t="shared" si="2"/>
        <v/>
      </c>
      <c r="M59" s="1" t="str">
        <f t="shared" si="3"/>
        <v/>
      </c>
      <c r="N59" s="8"/>
      <c r="O59" s="8"/>
      <c r="P59" s="1" t="str">
        <f t="shared" si="4"/>
        <v/>
      </c>
      <c r="Q59" s="25" t="str">
        <f t="shared" si="5"/>
        <v/>
      </c>
      <c r="R59" s="1" t="str">
        <f t="shared" si="6"/>
        <v/>
      </c>
      <c r="S59" s="33" t="str">
        <f t="shared" si="7"/>
        <v/>
      </c>
      <c r="T59" s="34" t="str">
        <f>IF(B59="","",C59&amp;"|"&amp;ROUND(S59,2)&amp;"|"&amp;COUNTIFS($C$4:C59,C59,$S$4:S59,S59))</f>
        <v/>
      </c>
      <c r="U59" s="34" t="str">
        <f t="shared" si="8"/>
        <v/>
      </c>
      <c r="V59" s="34" t="str">
        <f t="shared" si="9"/>
        <v/>
      </c>
      <c r="W59" s="34" t="str">
        <f t="shared" si="10"/>
        <v/>
      </c>
      <c r="X59" s="34">
        <f t="shared" si="11"/>
        <v>0</v>
      </c>
      <c r="Y59" s="34" t="str">
        <f t="shared" si="12"/>
        <v/>
      </c>
      <c r="Z59" s="34" t="str">
        <f>IF(X59=1,V59,IF(Y59="","",IF(COUNTIF(Y$3:Y58,Y59)=0,Y59,"")))</f>
        <v/>
      </c>
      <c r="AA59" s="34" t="b">
        <f t="shared" si="13"/>
        <v>0</v>
      </c>
      <c r="AB59" s="34">
        <f t="shared" si="14"/>
        <v>0</v>
      </c>
      <c r="AC59" s="34" t="str">
        <f>IF(AND(B59&lt;&gt;"",C59=CompteSel,N(B59)&lt;=DateArret,AB59=0),MAX($AC$3:AC58)+1,"")</f>
        <v/>
      </c>
      <c r="AD59" s="34" t="str">
        <f>IF(AND(ISNUMBER(M59),C59=CompteSel),MAX($AD$3:AD58)+1,"")</f>
        <v/>
      </c>
    </row>
    <row r="60" spans="1:30" x14ac:dyDescent="0.35">
      <c r="A60" s="1" t="str">
        <f t="shared" si="0"/>
        <v/>
      </c>
      <c r="B60" s="31"/>
      <c r="C60" s="8"/>
      <c r="D60" s="8"/>
      <c r="E60" s="8"/>
      <c r="F60" s="8"/>
      <c r="G60" s="8"/>
      <c r="H60" s="32"/>
      <c r="I60" s="32"/>
      <c r="J60" s="25" t="str">
        <f>IF(B60="","",IFERROR(VLOOKUP(C60,Soldes_Ouverture,2,FALSE()),0)+SUMIFS($S$4:S60,$C$4:C60,C60))</f>
        <v/>
      </c>
      <c r="K60" s="1" t="str">
        <f t="shared" si="1"/>
        <v/>
      </c>
      <c r="L60" s="1" t="str">
        <f t="shared" si="2"/>
        <v/>
      </c>
      <c r="M60" s="1" t="str">
        <f t="shared" si="3"/>
        <v/>
      </c>
      <c r="N60" s="8"/>
      <c r="O60" s="8"/>
      <c r="P60" s="1" t="str">
        <f t="shared" si="4"/>
        <v/>
      </c>
      <c r="Q60" s="25" t="str">
        <f t="shared" si="5"/>
        <v/>
      </c>
      <c r="R60" s="1" t="str">
        <f t="shared" si="6"/>
        <v/>
      </c>
      <c r="S60" s="33" t="str">
        <f t="shared" si="7"/>
        <v/>
      </c>
      <c r="T60" s="34" t="str">
        <f>IF(B60="","",C60&amp;"|"&amp;ROUND(S60,2)&amp;"|"&amp;COUNTIFS($C$4:C60,C60,$S$4:S60,S60))</f>
        <v/>
      </c>
      <c r="U60" s="34" t="str">
        <f t="shared" si="8"/>
        <v/>
      </c>
      <c r="V60" s="34" t="str">
        <f t="shared" si="9"/>
        <v/>
      </c>
      <c r="W60" s="34" t="str">
        <f t="shared" si="10"/>
        <v/>
      </c>
      <c r="X60" s="34">
        <f t="shared" si="11"/>
        <v>0</v>
      </c>
      <c r="Y60" s="34" t="str">
        <f t="shared" si="12"/>
        <v/>
      </c>
      <c r="Z60" s="34" t="str">
        <f>IF(X60=1,V60,IF(Y60="","",IF(COUNTIF(Y$3:Y59,Y60)=0,Y60,"")))</f>
        <v/>
      </c>
      <c r="AA60" s="34" t="b">
        <f t="shared" si="13"/>
        <v>0</v>
      </c>
      <c r="AB60" s="34">
        <f t="shared" si="14"/>
        <v>0</v>
      </c>
      <c r="AC60" s="34" t="str">
        <f>IF(AND(B60&lt;&gt;"",C60=CompteSel,N(B60)&lt;=DateArret,AB60=0),MAX($AC$3:AC59)+1,"")</f>
        <v/>
      </c>
      <c r="AD60" s="34" t="str">
        <f>IF(AND(ISNUMBER(M60),C60=CompteSel),MAX($AD$3:AD59)+1,"")</f>
        <v/>
      </c>
    </row>
    <row r="61" spans="1:30" x14ac:dyDescent="0.35">
      <c r="A61" s="1" t="str">
        <f t="shared" si="0"/>
        <v/>
      </c>
      <c r="B61" s="31"/>
      <c r="C61" s="8"/>
      <c r="D61" s="8"/>
      <c r="E61" s="8"/>
      <c r="F61" s="8"/>
      <c r="G61" s="8"/>
      <c r="H61" s="32"/>
      <c r="I61" s="32"/>
      <c r="J61" s="25" t="str">
        <f>IF(B61="","",IFERROR(VLOOKUP(C61,Soldes_Ouverture,2,FALSE()),0)+SUMIFS($S$4:S61,$C$4:C61,C61))</f>
        <v/>
      </c>
      <c r="K61" s="1" t="str">
        <f t="shared" si="1"/>
        <v/>
      </c>
      <c r="L61" s="1" t="str">
        <f t="shared" si="2"/>
        <v/>
      </c>
      <c r="M61" s="1" t="str">
        <f t="shared" si="3"/>
        <v/>
      </c>
      <c r="N61" s="8"/>
      <c r="O61" s="8"/>
      <c r="P61" s="1" t="str">
        <f t="shared" si="4"/>
        <v/>
      </c>
      <c r="Q61" s="25" t="str">
        <f t="shared" si="5"/>
        <v/>
      </c>
      <c r="R61" s="1" t="str">
        <f t="shared" si="6"/>
        <v/>
      </c>
      <c r="S61" s="33" t="str">
        <f t="shared" si="7"/>
        <v/>
      </c>
      <c r="T61" s="34" t="str">
        <f>IF(B61="","",C61&amp;"|"&amp;ROUND(S61,2)&amp;"|"&amp;COUNTIFS($C$4:C61,C61,$S$4:S61,S61))</f>
        <v/>
      </c>
      <c r="U61" s="34" t="str">
        <f t="shared" si="8"/>
        <v/>
      </c>
      <c r="V61" s="34" t="str">
        <f t="shared" si="9"/>
        <v/>
      </c>
      <c r="W61" s="34" t="str">
        <f t="shared" si="10"/>
        <v/>
      </c>
      <c r="X61" s="34">
        <f t="shared" si="11"/>
        <v>0</v>
      </c>
      <c r="Y61" s="34" t="str">
        <f t="shared" si="12"/>
        <v/>
      </c>
      <c r="Z61" s="34" t="str">
        <f>IF(X61=1,V61,IF(Y61="","",IF(COUNTIF(Y$3:Y60,Y61)=0,Y61,"")))</f>
        <v/>
      </c>
      <c r="AA61" s="34" t="b">
        <f t="shared" si="13"/>
        <v>0</v>
      </c>
      <c r="AB61" s="34">
        <f t="shared" si="14"/>
        <v>0</v>
      </c>
      <c r="AC61" s="34" t="str">
        <f>IF(AND(B61&lt;&gt;"",C61=CompteSel,N(B61)&lt;=DateArret,AB61=0),MAX($AC$3:AC60)+1,"")</f>
        <v/>
      </c>
      <c r="AD61" s="34" t="str">
        <f>IF(AND(ISNUMBER(M61),C61=CompteSel),MAX($AD$3:AD60)+1,"")</f>
        <v/>
      </c>
    </row>
    <row r="62" spans="1:30" x14ac:dyDescent="0.35">
      <c r="A62" s="1" t="str">
        <f t="shared" si="0"/>
        <v/>
      </c>
      <c r="B62" s="31"/>
      <c r="C62" s="8"/>
      <c r="D62" s="8"/>
      <c r="E62" s="8"/>
      <c r="F62" s="8"/>
      <c r="G62" s="8"/>
      <c r="H62" s="32"/>
      <c r="I62" s="32"/>
      <c r="J62" s="25" t="str">
        <f>IF(B62="","",IFERROR(VLOOKUP(C62,Soldes_Ouverture,2,FALSE()),0)+SUMIFS($S$4:S62,$C$4:C62,C62))</f>
        <v/>
      </c>
      <c r="K62" s="1" t="str">
        <f t="shared" si="1"/>
        <v/>
      </c>
      <c r="L62" s="1" t="str">
        <f t="shared" si="2"/>
        <v/>
      </c>
      <c r="M62" s="1" t="str">
        <f t="shared" si="3"/>
        <v/>
      </c>
      <c r="N62" s="8"/>
      <c r="O62" s="8"/>
      <c r="P62" s="1" t="str">
        <f t="shared" si="4"/>
        <v/>
      </c>
      <c r="Q62" s="25" t="str">
        <f t="shared" si="5"/>
        <v/>
      </c>
      <c r="R62" s="1" t="str">
        <f t="shared" si="6"/>
        <v/>
      </c>
      <c r="S62" s="33" t="str">
        <f t="shared" si="7"/>
        <v/>
      </c>
      <c r="T62" s="34" t="str">
        <f>IF(B62="","",C62&amp;"|"&amp;ROUND(S62,2)&amp;"|"&amp;COUNTIFS($C$4:C62,C62,$S$4:S62,S62))</f>
        <v/>
      </c>
      <c r="U62" s="34" t="str">
        <f t="shared" si="8"/>
        <v/>
      </c>
      <c r="V62" s="34" t="str">
        <f t="shared" si="9"/>
        <v/>
      </c>
      <c r="W62" s="34" t="str">
        <f t="shared" si="10"/>
        <v/>
      </c>
      <c r="X62" s="34">
        <f t="shared" si="11"/>
        <v>0</v>
      </c>
      <c r="Y62" s="34" t="str">
        <f t="shared" si="12"/>
        <v/>
      </c>
      <c r="Z62" s="34" t="str">
        <f>IF(X62=1,V62,IF(Y62="","",IF(COUNTIF(Y$3:Y61,Y62)=0,Y62,"")))</f>
        <v/>
      </c>
      <c r="AA62" s="34" t="b">
        <f t="shared" si="13"/>
        <v>0</v>
      </c>
      <c r="AB62" s="34">
        <f t="shared" si="14"/>
        <v>0</v>
      </c>
      <c r="AC62" s="34" t="str">
        <f>IF(AND(B62&lt;&gt;"",C62=CompteSel,N(B62)&lt;=DateArret,AB62=0),MAX($AC$3:AC61)+1,"")</f>
        <v/>
      </c>
      <c r="AD62" s="34" t="str">
        <f>IF(AND(ISNUMBER(M62),C62=CompteSel),MAX($AD$3:AD61)+1,"")</f>
        <v/>
      </c>
    </row>
    <row r="63" spans="1:30" x14ac:dyDescent="0.35">
      <c r="A63" s="1" t="str">
        <f t="shared" si="0"/>
        <v/>
      </c>
      <c r="B63" s="31"/>
      <c r="C63" s="8"/>
      <c r="D63" s="8"/>
      <c r="E63" s="8"/>
      <c r="F63" s="8"/>
      <c r="G63" s="8"/>
      <c r="H63" s="32"/>
      <c r="I63" s="32"/>
      <c r="J63" s="25" t="str">
        <f>IF(B63="","",IFERROR(VLOOKUP(C63,Soldes_Ouverture,2,FALSE()),0)+SUMIFS($S$4:S63,$C$4:C63,C63))</f>
        <v/>
      </c>
      <c r="K63" s="1" t="str">
        <f t="shared" si="1"/>
        <v/>
      </c>
      <c r="L63" s="1" t="str">
        <f t="shared" si="2"/>
        <v/>
      </c>
      <c r="M63" s="1" t="str">
        <f t="shared" si="3"/>
        <v/>
      </c>
      <c r="N63" s="8"/>
      <c r="O63" s="8"/>
      <c r="P63" s="1" t="str">
        <f t="shared" si="4"/>
        <v/>
      </c>
      <c r="Q63" s="25" t="str">
        <f t="shared" si="5"/>
        <v/>
      </c>
      <c r="R63" s="1" t="str">
        <f t="shared" si="6"/>
        <v/>
      </c>
      <c r="S63" s="33" t="str">
        <f t="shared" si="7"/>
        <v/>
      </c>
      <c r="T63" s="34" t="str">
        <f>IF(B63="","",C63&amp;"|"&amp;ROUND(S63,2)&amp;"|"&amp;COUNTIFS($C$4:C63,C63,$S$4:S63,S63))</f>
        <v/>
      </c>
      <c r="U63" s="34" t="str">
        <f t="shared" si="8"/>
        <v/>
      </c>
      <c r="V63" s="34" t="str">
        <f t="shared" si="9"/>
        <v/>
      </c>
      <c r="W63" s="34" t="str">
        <f t="shared" si="10"/>
        <v/>
      </c>
      <c r="X63" s="34">
        <f t="shared" si="11"/>
        <v>0</v>
      </c>
      <c r="Y63" s="34" t="str">
        <f t="shared" si="12"/>
        <v/>
      </c>
      <c r="Z63" s="34" t="str">
        <f>IF(X63=1,V63,IF(Y63="","",IF(COUNTIF(Y$3:Y62,Y63)=0,Y63,"")))</f>
        <v/>
      </c>
      <c r="AA63" s="34" t="b">
        <f t="shared" si="13"/>
        <v>0</v>
      </c>
      <c r="AB63" s="34">
        <f t="shared" si="14"/>
        <v>0</v>
      </c>
      <c r="AC63" s="34" t="str">
        <f>IF(AND(B63&lt;&gt;"",C63=CompteSel,N(B63)&lt;=DateArret,AB63=0),MAX($AC$3:AC62)+1,"")</f>
        <v/>
      </c>
      <c r="AD63" s="34" t="str">
        <f>IF(AND(ISNUMBER(M63),C63=CompteSel),MAX($AD$3:AD62)+1,"")</f>
        <v/>
      </c>
    </row>
    <row r="64" spans="1:30" x14ac:dyDescent="0.35">
      <c r="A64" s="1" t="str">
        <f t="shared" si="0"/>
        <v/>
      </c>
      <c r="B64" s="31"/>
      <c r="C64" s="8"/>
      <c r="D64" s="8"/>
      <c r="E64" s="8"/>
      <c r="F64" s="8"/>
      <c r="G64" s="8"/>
      <c r="H64" s="32"/>
      <c r="I64" s="32"/>
      <c r="J64" s="25" t="str">
        <f>IF(B64="","",IFERROR(VLOOKUP(C64,Soldes_Ouverture,2,FALSE()),0)+SUMIFS($S$4:S64,$C$4:C64,C64))</f>
        <v/>
      </c>
      <c r="K64" s="1" t="str">
        <f t="shared" si="1"/>
        <v/>
      </c>
      <c r="L64" s="1" t="str">
        <f t="shared" si="2"/>
        <v/>
      </c>
      <c r="M64" s="1" t="str">
        <f t="shared" si="3"/>
        <v/>
      </c>
      <c r="N64" s="8"/>
      <c r="O64" s="8"/>
      <c r="P64" s="1" t="str">
        <f t="shared" si="4"/>
        <v/>
      </c>
      <c r="Q64" s="25" t="str">
        <f t="shared" si="5"/>
        <v/>
      </c>
      <c r="R64" s="1" t="str">
        <f t="shared" si="6"/>
        <v/>
      </c>
      <c r="S64" s="33" t="str">
        <f t="shared" si="7"/>
        <v/>
      </c>
      <c r="T64" s="34" t="str">
        <f>IF(B64="","",C64&amp;"|"&amp;ROUND(S64,2)&amp;"|"&amp;COUNTIFS($C$4:C64,C64,$S$4:S64,S64))</f>
        <v/>
      </c>
      <c r="U64" s="34" t="str">
        <f t="shared" si="8"/>
        <v/>
      </c>
      <c r="V64" s="34" t="str">
        <f t="shared" si="9"/>
        <v/>
      </c>
      <c r="W64" s="34" t="str">
        <f t="shared" si="10"/>
        <v/>
      </c>
      <c r="X64" s="34">
        <f t="shared" si="11"/>
        <v>0</v>
      </c>
      <c r="Y64" s="34" t="str">
        <f t="shared" si="12"/>
        <v/>
      </c>
      <c r="Z64" s="34" t="str">
        <f>IF(X64=1,V64,IF(Y64="","",IF(COUNTIF(Y$3:Y63,Y64)=0,Y64,"")))</f>
        <v/>
      </c>
      <c r="AA64" s="34" t="b">
        <f t="shared" si="13"/>
        <v>0</v>
      </c>
      <c r="AB64" s="34">
        <f t="shared" si="14"/>
        <v>0</v>
      </c>
      <c r="AC64" s="34" t="str">
        <f>IF(AND(B64&lt;&gt;"",C64=CompteSel,N(B64)&lt;=DateArret,AB64=0),MAX($AC$3:AC63)+1,"")</f>
        <v/>
      </c>
      <c r="AD64" s="34" t="str">
        <f>IF(AND(ISNUMBER(M64),C64=CompteSel),MAX($AD$3:AD63)+1,"")</f>
        <v/>
      </c>
    </row>
    <row r="65" spans="1:30" x14ac:dyDescent="0.35">
      <c r="A65" s="1" t="str">
        <f t="shared" si="0"/>
        <v/>
      </c>
      <c r="B65" s="31"/>
      <c r="C65" s="8"/>
      <c r="D65" s="8"/>
      <c r="E65" s="8"/>
      <c r="F65" s="8"/>
      <c r="G65" s="8"/>
      <c r="H65" s="32"/>
      <c r="I65" s="32"/>
      <c r="J65" s="25" t="str">
        <f>IF(B65="","",IFERROR(VLOOKUP(C65,Soldes_Ouverture,2,FALSE()),0)+SUMIFS($S$4:S65,$C$4:C65,C65))</f>
        <v/>
      </c>
      <c r="K65" s="1" t="str">
        <f t="shared" si="1"/>
        <v/>
      </c>
      <c r="L65" s="1" t="str">
        <f t="shared" si="2"/>
        <v/>
      </c>
      <c r="M65" s="1" t="str">
        <f t="shared" si="3"/>
        <v/>
      </c>
      <c r="N65" s="8"/>
      <c r="O65" s="8"/>
      <c r="P65" s="1" t="str">
        <f t="shared" si="4"/>
        <v/>
      </c>
      <c r="Q65" s="25" t="str">
        <f t="shared" si="5"/>
        <v/>
      </c>
      <c r="R65" s="1" t="str">
        <f t="shared" si="6"/>
        <v/>
      </c>
      <c r="S65" s="33" t="str">
        <f t="shared" si="7"/>
        <v/>
      </c>
      <c r="T65" s="34" t="str">
        <f>IF(B65="","",C65&amp;"|"&amp;ROUND(S65,2)&amp;"|"&amp;COUNTIFS($C$4:C65,C65,$S$4:S65,S65))</f>
        <v/>
      </c>
      <c r="U65" s="34" t="str">
        <f t="shared" si="8"/>
        <v/>
      </c>
      <c r="V65" s="34" t="str">
        <f t="shared" si="9"/>
        <v/>
      </c>
      <c r="W65" s="34" t="str">
        <f t="shared" si="10"/>
        <v/>
      </c>
      <c r="X65" s="34">
        <f t="shared" si="11"/>
        <v>0</v>
      </c>
      <c r="Y65" s="34" t="str">
        <f t="shared" si="12"/>
        <v/>
      </c>
      <c r="Z65" s="34" t="str">
        <f>IF(X65=1,V65,IF(Y65="","",IF(COUNTIF(Y$3:Y64,Y65)=0,Y65,"")))</f>
        <v/>
      </c>
      <c r="AA65" s="34" t="b">
        <f t="shared" si="13"/>
        <v>0</v>
      </c>
      <c r="AB65" s="34">
        <f t="shared" si="14"/>
        <v>0</v>
      </c>
      <c r="AC65" s="34" t="str">
        <f>IF(AND(B65&lt;&gt;"",C65=CompteSel,N(B65)&lt;=DateArret,AB65=0),MAX($AC$3:AC64)+1,"")</f>
        <v/>
      </c>
      <c r="AD65" s="34" t="str">
        <f>IF(AND(ISNUMBER(M65),C65=CompteSel),MAX($AD$3:AD64)+1,"")</f>
        <v/>
      </c>
    </row>
    <row r="66" spans="1:30" x14ac:dyDescent="0.35">
      <c r="A66" s="1" t="str">
        <f t="shared" si="0"/>
        <v/>
      </c>
      <c r="B66" s="31"/>
      <c r="C66" s="8"/>
      <c r="D66" s="8"/>
      <c r="E66" s="8"/>
      <c r="F66" s="8"/>
      <c r="G66" s="8"/>
      <c r="H66" s="32"/>
      <c r="I66" s="32"/>
      <c r="J66" s="25" t="str">
        <f>IF(B66="","",IFERROR(VLOOKUP(C66,Soldes_Ouverture,2,FALSE()),0)+SUMIFS($S$4:S66,$C$4:C66,C66))</f>
        <v/>
      </c>
      <c r="K66" s="1" t="str">
        <f t="shared" si="1"/>
        <v/>
      </c>
      <c r="L66" s="1" t="str">
        <f t="shared" si="2"/>
        <v/>
      </c>
      <c r="M66" s="1" t="str">
        <f t="shared" si="3"/>
        <v/>
      </c>
      <c r="N66" s="8"/>
      <c r="O66" s="8"/>
      <c r="P66" s="1" t="str">
        <f t="shared" si="4"/>
        <v/>
      </c>
      <c r="Q66" s="25" t="str">
        <f t="shared" si="5"/>
        <v/>
      </c>
      <c r="R66" s="1" t="str">
        <f t="shared" si="6"/>
        <v/>
      </c>
      <c r="S66" s="33" t="str">
        <f t="shared" si="7"/>
        <v/>
      </c>
      <c r="T66" s="34" t="str">
        <f>IF(B66="","",C66&amp;"|"&amp;ROUND(S66,2)&amp;"|"&amp;COUNTIFS($C$4:C66,C66,$S$4:S66,S66))</f>
        <v/>
      </c>
      <c r="U66" s="34" t="str">
        <f t="shared" si="8"/>
        <v/>
      </c>
      <c r="V66" s="34" t="str">
        <f t="shared" si="9"/>
        <v/>
      </c>
      <c r="W66" s="34" t="str">
        <f t="shared" si="10"/>
        <v/>
      </c>
      <c r="X66" s="34">
        <f t="shared" si="11"/>
        <v>0</v>
      </c>
      <c r="Y66" s="34" t="str">
        <f t="shared" si="12"/>
        <v/>
      </c>
      <c r="Z66" s="34" t="str">
        <f>IF(X66=1,V66,IF(Y66="","",IF(COUNTIF(Y$3:Y65,Y66)=0,Y66,"")))</f>
        <v/>
      </c>
      <c r="AA66" s="34" t="b">
        <f t="shared" si="13"/>
        <v>0</v>
      </c>
      <c r="AB66" s="34">
        <f t="shared" si="14"/>
        <v>0</v>
      </c>
      <c r="AC66" s="34" t="str">
        <f>IF(AND(B66&lt;&gt;"",C66=CompteSel,N(B66)&lt;=DateArret,AB66=0),MAX($AC$3:AC65)+1,"")</f>
        <v/>
      </c>
      <c r="AD66" s="34" t="str">
        <f>IF(AND(ISNUMBER(M66),C66=CompteSel),MAX($AD$3:AD65)+1,"")</f>
        <v/>
      </c>
    </row>
    <row r="67" spans="1:30" x14ac:dyDescent="0.35">
      <c r="A67" s="1" t="str">
        <f t="shared" si="0"/>
        <v/>
      </c>
      <c r="B67" s="31"/>
      <c r="C67" s="8"/>
      <c r="D67" s="8"/>
      <c r="E67" s="8"/>
      <c r="F67" s="8"/>
      <c r="G67" s="8"/>
      <c r="H67" s="32"/>
      <c r="I67" s="32"/>
      <c r="J67" s="25" t="str">
        <f>IF(B67="","",IFERROR(VLOOKUP(C67,Soldes_Ouverture,2,FALSE()),0)+SUMIFS($S$4:S67,$C$4:C67,C67))</f>
        <v/>
      </c>
      <c r="K67" s="1" t="str">
        <f t="shared" si="1"/>
        <v/>
      </c>
      <c r="L67" s="1" t="str">
        <f t="shared" si="2"/>
        <v/>
      </c>
      <c r="M67" s="1" t="str">
        <f t="shared" si="3"/>
        <v/>
      </c>
      <c r="N67" s="8"/>
      <c r="O67" s="8"/>
      <c r="P67" s="1" t="str">
        <f t="shared" si="4"/>
        <v/>
      </c>
      <c r="Q67" s="25" t="str">
        <f t="shared" si="5"/>
        <v/>
      </c>
      <c r="R67" s="1" t="str">
        <f t="shared" si="6"/>
        <v/>
      </c>
      <c r="S67" s="33" t="str">
        <f t="shared" si="7"/>
        <v/>
      </c>
      <c r="T67" s="34" t="str">
        <f>IF(B67="","",C67&amp;"|"&amp;ROUND(S67,2)&amp;"|"&amp;COUNTIFS($C$4:C67,C67,$S$4:S67,S67))</f>
        <v/>
      </c>
      <c r="U67" s="34" t="str">
        <f t="shared" si="8"/>
        <v/>
      </c>
      <c r="V67" s="34" t="str">
        <f t="shared" si="9"/>
        <v/>
      </c>
      <c r="W67" s="34" t="str">
        <f t="shared" si="10"/>
        <v/>
      </c>
      <c r="X67" s="34">
        <f t="shared" si="11"/>
        <v>0</v>
      </c>
      <c r="Y67" s="34" t="str">
        <f t="shared" si="12"/>
        <v/>
      </c>
      <c r="Z67" s="34" t="str">
        <f>IF(X67=1,V67,IF(Y67="","",IF(COUNTIF(Y$3:Y66,Y67)=0,Y67,"")))</f>
        <v/>
      </c>
      <c r="AA67" s="34" t="b">
        <f t="shared" si="13"/>
        <v>0</v>
      </c>
      <c r="AB67" s="34">
        <f t="shared" si="14"/>
        <v>0</v>
      </c>
      <c r="AC67" s="34" t="str">
        <f>IF(AND(B67&lt;&gt;"",C67=CompteSel,N(B67)&lt;=DateArret,AB67=0),MAX($AC$3:AC66)+1,"")</f>
        <v/>
      </c>
      <c r="AD67" s="34" t="str">
        <f>IF(AND(ISNUMBER(M67),C67=CompteSel),MAX($AD$3:AD66)+1,"")</f>
        <v/>
      </c>
    </row>
    <row r="68" spans="1:30" x14ac:dyDescent="0.35">
      <c r="A68" s="1" t="str">
        <f t="shared" ref="A68:A131" si="15">IF(B68="","",ROW()-3)</f>
        <v/>
      </c>
      <c r="B68" s="31"/>
      <c r="C68" s="8"/>
      <c r="D68" s="8"/>
      <c r="E68" s="8"/>
      <c r="F68" s="8"/>
      <c r="G68" s="8"/>
      <c r="H68" s="32"/>
      <c r="I68" s="32"/>
      <c r="J68" s="25" t="str">
        <f>IF(B68="","",IFERROR(VLOOKUP(C68,Soldes_Ouverture,2,FALSE()),0)+SUMIFS($S$4:S68,$C$4:C68,C68))</f>
        <v/>
      </c>
      <c r="K68" s="1" t="str">
        <f t="shared" ref="K68:K131" si="16">IF(B68="","",IF(N68="Écart","Écart",IF(M68="","Non rapproché",IF(ISNUMBER(SEARCH("Conflit",R68)),"Conflit",IF(O68&lt;&gt;"","Manuel",IF(OR(N68="Valider",AND(L68="Fort",AutoFort="Oui")),"Rapproché","Proposé"))))))</f>
        <v/>
      </c>
      <c r="L68" s="1" t="str">
        <f t="shared" ref="L68:L131" si="17">IF(M68="","",IF(O68&lt;&gt;"","Manuel",IF(AND(P68&lt;=TolJours,AA68),"Fort",IF(P68&lt;=TolJours,"Moyen","Faible"))))</f>
        <v/>
      </c>
      <c r="M68" s="1" t="str">
        <f t="shared" ref="M68:M131" si="18">IF(B68="","",IF(O68&lt;&gt;"",O68,IF(OR(N68="Rejeter",N68="Écart",Z68=""),"",IF(INDEX(B_Decision,Z68)="Écart","",Z68))))</f>
        <v/>
      </c>
      <c r="N68" s="8"/>
      <c r="O68" s="8"/>
      <c r="P68" s="1" t="str">
        <f t="shared" ref="P68:P131" si="19">IF(M68="","",IFERROR(ABS(B68-INDEX(B_Date,M68)),""))</f>
        <v/>
      </c>
      <c r="Q68" s="25" t="str">
        <f t="shared" ref="Q68:Q131" si="20">IF(M68="","",IFERROR(ABS(S68-INDEX(B_Montant,M68)),""))</f>
        <v/>
      </c>
      <c r="R68" s="1" t="str">
        <f t="shared" ref="R68:R131" si="21">IF(B68="","",TRIM(IF(AND(M68&lt;&gt;"",COUNTIF($M$4:$M$503,M68)&gt;1),"Conflit ","")&amp;IF(COUNTIFS($C$4:$C$503,C68,$B$4:$B$503,B68,$S$4:$S$503,S68)&gt;1,"Doublon ?","")))</f>
        <v/>
      </c>
      <c r="S68" s="33" t="str">
        <f t="shared" ref="S68:S131" si="22">IF(B68="","",N(I68)-N(H68))</f>
        <v/>
      </c>
      <c r="T68" s="34" t="str">
        <f>IF(B68="","",C68&amp;"|"&amp;ROUND(S68,2)&amp;"|"&amp;COUNTIFS($C$4:C68,C68,$S$4:S68,S68))</f>
        <v/>
      </c>
      <c r="U68" s="34" t="str">
        <f t="shared" ref="U68:U131" si="23">IF(D68="","",IFERROR(VALUE(TRIM(RIGHT(SUBSTITUTE(SUBSTITUTE(SUBSTITUTE(D68,"-"," "),"/"," ")," ",REPT(" ",60)),60))),""))</f>
        <v/>
      </c>
      <c r="V68" s="34" t="str">
        <f t="shared" ref="V68:V131" si="24">IF(B68="","",IFERROR(MATCH(T68,B_Cle,0),""))</f>
        <v/>
      </c>
      <c r="W68" s="34" t="str">
        <f t="shared" ref="W68:W131" si="25">IF(V68="","",ABS(B68-INDEX(B_Date,V68)))</f>
        <v/>
      </c>
      <c r="X68" s="34">
        <f t="shared" ref="X68:X131" si="26">IF(V68="",0,IF(W68&lt;=Fenetre,1,0))</f>
        <v>0</v>
      </c>
      <c r="Y68" s="34" t="str">
        <f t="shared" ref="Y68:Y131" si="27">IF(OR(B68="",X68=1,TolMontant&lt;=0),"",IFERROR(MATCH(1,INDEX((B_Compte=C68)*(B_Date&gt;0)*(B_Signe=SIGN(S68))*(ABS(B_MontantN-S68)&lt;=TolMontant)*(ABS(B_Date-B68)&lt;=Fenetre)*(B_PrisExact=0),0),0),""))</f>
        <v/>
      </c>
      <c r="Z68" s="34" t="str">
        <f>IF(X68=1,V68,IF(Y68="","",IF(COUNTIF(Y$3:Y67,Y68)=0,Y68,"")))</f>
        <v/>
      </c>
      <c r="AA68" s="34" t="b">
        <f t="shared" ref="AA68:AA131" si="28">IF(M68="",FALSE(),IFERROR(OR(AND(U68&lt;&gt;"",N(U68)&gt;=100,ISNUMBER(SEARCH(U68,INDEX(B_Ref,M68)&amp;" "&amp;INDEX(B_Lib,M68)))),AND(D68&lt;&gt;"",ISNUMBER(SEARCH(D68,INDEX(B_Lib,M68)))),AND(INDEX(B_Ref,M68)&amp;""&lt;&gt;"",D68&lt;&gt;"",ISNUMBER(SEARCH(INDEX(B_Ref,M68)&amp;"",D68)))),FALSE()))</f>
        <v>0</v>
      </c>
      <c r="AB68" s="34">
        <f t="shared" ref="AB68:AB131" si="29">IF(OR(K68="Rapproché",K68="Manuel"),1,0)</f>
        <v>0</v>
      </c>
      <c r="AC68" s="34" t="str">
        <f>IF(AND(B68&lt;&gt;"",C68=CompteSel,N(B68)&lt;=DateArret,AB68=0),MAX($AC$3:AC67)+1,"")</f>
        <v/>
      </c>
      <c r="AD68" s="34" t="str">
        <f>IF(AND(ISNUMBER(M68),C68=CompteSel),MAX($AD$3:AD67)+1,"")</f>
        <v/>
      </c>
    </row>
    <row r="69" spans="1:30" x14ac:dyDescent="0.35">
      <c r="A69" s="1" t="str">
        <f t="shared" si="15"/>
        <v/>
      </c>
      <c r="B69" s="31"/>
      <c r="C69" s="8"/>
      <c r="D69" s="8"/>
      <c r="E69" s="8"/>
      <c r="F69" s="8"/>
      <c r="G69" s="8"/>
      <c r="H69" s="32"/>
      <c r="I69" s="32"/>
      <c r="J69" s="25" t="str">
        <f>IF(B69="","",IFERROR(VLOOKUP(C69,Soldes_Ouverture,2,FALSE()),0)+SUMIFS($S$4:S69,$C$4:C69,C69))</f>
        <v/>
      </c>
      <c r="K69" s="1" t="str">
        <f t="shared" si="16"/>
        <v/>
      </c>
      <c r="L69" s="1" t="str">
        <f t="shared" si="17"/>
        <v/>
      </c>
      <c r="M69" s="1" t="str">
        <f t="shared" si="18"/>
        <v/>
      </c>
      <c r="N69" s="8"/>
      <c r="O69" s="8"/>
      <c r="P69" s="1" t="str">
        <f t="shared" si="19"/>
        <v/>
      </c>
      <c r="Q69" s="25" t="str">
        <f t="shared" si="20"/>
        <v/>
      </c>
      <c r="R69" s="1" t="str">
        <f t="shared" si="21"/>
        <v/>
      </c>
      <c r="S69" s="33" t="str">
        <f t="shared" si="22"/>
        <v/>
      </c>
      <c r="T69" s="34" t="str">
        <f>IF(B69="","",C69&amp;"|"&amp;ROUND(S69,2)&amp;"|"&amp;COUNTIFS($C$4:C69,C69,$S$4:S69,S69))</f>
        <v/>
      </c>
      <c r="U69" s="34" t="str">
        <f t="shared" si="23"/>
        <v/>
      </c>
      <c r="V69" s="34" t="str">
        <f t="shared" si="24"/>
        <v/>
      </c>
      <c r="W69" s="34" t="str">
        <f t="shared" si="25"/>
        <v/>
      </c>
      <c r="X69" s="34">
        <f t="shared" si="26"/>
        <v>0</v>
      </c>
      <c r="Y69" s="34" t="str">
        <f t="shared" si="27"/>
        <v/>
      </c>
      <c r="Z69" s="34" t="str">
        <f>IF(X69=1,V69,IF(Y69="","",IF(COUNTIF(Y$3:Y68,Y69)=0,Y69,"")))</f>
        <v/>
      </c>
      <c r="AA69" s="34" t="b">
        <f t="shared" si="28"/>
        <v>0</v>
      </c>
      <c r="AB69" s="34">
        <f t="shared" si="29"/>
        <v>0</v>
      </c>
      <c r="AC69" s="34" t="str">
        <f>IF(AND(B69&lt;&gt;"",C69=CompteSel,N(B69)&lt;=DateArret,AB69=0),MAX($AC$3:AC68)+1,"")</f>
        <v/>
      </c>
      <c r="AD69" s="34" t="str">
        <f>IF(AND(ISNUMBER(M69),C69=CompteSel),MAX($AD$3:AD68)+1,"")</f>
        <v/>
      </c>
    </row>
    <row r="70" spans="1:30" x14ac:dyDescent="0.35">
      <c r="A70" s="1" t="str">
        <f t="shared" si="15"/>
        <v/>
      </c>
      <c r="B70" s="31"/>
      <c r="C70" s="8"/>
      <c r="D70" s="8"/>
      <c r="E70" s="8"/>
      <c r="F70" s="8"/>
      <c r="G70" s="8"/>
      <c r="H70" s="32"/>
      <c r="I70" s="32"/>
      <c r="J70" s="25" t="str">
        <f>IF(B70="","",IFERROR(VLOOKUP(C70,Soldes_Ouverture,2,FALSE()),0)+SUMIFS($S$4:S70,$C$4:C70,C70))</f>
        <v/>
      </c>
      <c r="K70" s="1" t="str">
        <f t="shared" si="16"/>
        <v/>
      </c>
      <c r="L70" s="1" t="str">
        <f t="shared" si="17"/>
        <v/>
      </c>
      <c r="M70" s="1" t="str">
        <f t="shared" si="18"/>
        <v/>
      </c>
      <c r="N70" s="8"/>
      <c r="O70" s="8"/>
      <c r="P70" s="1" t="str">
        <f t="shared" si="19"/>
        <v/>
      </c>
      <c r="Q70" s="25" t="str">
        <f t="shared" si="20"/>
        <v/>
      </c>
      <c r="R70" s="1" t="str">
        <f t="shared" si="21"/>
        <v/>
      </c>
      <c r="S70" s="33" t="str">
        <f t="shared" si="22"/>
        <v/>
      </c>
      <c r="T70" s="34" t="str">
        <f>IF(B70="","",C70&amp;"|"&amp;ROUND(S70,2)&amp;"|"&amp;COUNTIFS($C$4:C70,C70,$S$4:S70,S70))</f>
        <v/>
      </c>
      <c r="U70" s="34" t="str">
        <f t="shared" si="23"/>
        <v/>
      </c>
      <c r="V70" s="34" t="str">
        <f t="shared" si="24"/>
        <v/>
      </c>
      <c r="W70" s="34" t="str">
        <f t="shared" si="25"/>
        <v/>
      </c>
      <c r="X70" s="34">
        <f t="shared" si="26"/>
        <v>0</v>
      </c>
      <c r="Y70" s="34" t="str">
        <f t="shared" si="27"/>
        <v/>
      </c>
      <c r="Z70" s="34" t="str">
        <f>IF(X70=1,V70,IF(Y70="","",IF(COUNTIF(Y$3:Y69,Y70)=0,Y70,"")))</f>
        <v/>
      </c>
      <c r="AA70" s="34" t="b">
        <f t="shared" si="28"/>
        <v>0</v>
      </c>
      <c r="AB70" s="34">
        <f t="shared" si="29"/>
        <v>0</v>
      </c>
      <c r="AC70" s="34" t="str">
        <f>IF(AND(B70&lt;&gt;"",C70=CompteSel,N(B70)&lt;=DateArret,AB70=0),MAX($AC$3:AC69)+1,"")</f>
        <v/>
      </c>
      <c r="AD70" s="34" t="str">
        <f>IF(AND(ISNUMBER(M70),C70=CompteSel),MAX($AD$3:AD69)+1,"")</f>
        <v/>
      </c>
    </row>
    <row r="71" spans="1:30" x14ac:dyDescent="0.35">
      <c r="A71" s="1" t="str">
        <f t="shared" si="15"/>
        <v/>
      </c>
      <c r="B71" s="31"/>
      <c r="C71" s="8"/>
      <c r="D71" s="8"/>
      <c r="E71" s="8"/>
      <c r="F71" s="8"/>
      <c r="G71" s="8"/>
      <c r="H71" s="32"/>
      <c r="I71" s="32"/>
      <c r="J71" s="25" t="str">
        <f>IF(B71="","",IFERROR(VLOOKUP(C71,Soldes_Ouverture,2,FALSE()),0)+SUMIFS($S$4:S71,$C$4:C71,C71))</f>
        <v/>
      </c>
      <c r="K71" s="1" t="str">
        <f t="shared" si="16"/>
        <v/>
      </c>
      <c r="L71" s="1" t="str">
        <f t="shared" si="17"/>
        <v/>
      </c>
      <c r="M71" s="1" t="str">
        <f t="shared" si="18"/>
        <v/>
      </c>
      <c r="N71" s="8"/>
      <c r="O71" s="8"/>
      <c r="P71" s="1" t="str">
        <f t="shared" si="19"/>
        <v/>
      </c>
      <c r="Q71" s="25" t="str">
        <f t="shared" si="20"/>
        <v/>
      </c>
      <c r="R71" s="1" t="str">
        <f t="shared" si="21"/>
        <v/>
      </c>
      <c r="S71" s="33" t="str">
        <f t="shared" si="22"/>
        <v/>
      </c>
      <c r="T71" s="34" t="str">
        <f>IF(B71="","",C71&amp;"|"&amp;ROUND(S71,2)&amp;"|"&amp;COUNTIFS($C$4:C71,C71,$S$4:S71,S71))</f>
        <v/>
      </c>
      <c r="U71" s="34" t="str">
        <f t="shared" si="23"/>
        <v/>
      </c>
      <c r="V71" s="34" t="str">
        <f t="shared" si="24"/>
        <v/>
      </c>
      <c r="W71" s="34" t="str">
        <f t="shared" si="25"/>
        <v/>
      </c>
      <c r="X71" s="34">
        <f t="shared" si="26"/>
        <v>0</v>
      </c>
      <c r="Y71" s="34" t="str">
        <f t="shared" si="27"/>
        <v/>
      </c>
      <c r="Z71" s="34" t="str">
        <f>IF(X71=1,V71,IF(Y71="","",IF(COUNTIF(Y$3:Y70,Y71)=0,Y71,"")))</f>
        <v/>
      </c>
      <c r="AA71" s="34" t="b">
        <f t="shared" si="28"/>
        <v>0</v>
      </c>
      <c r="AB71" s="34">
        <f t="shared" si="29"/>
        <v>0</v>
      </c>
      <c r="AC71" s="34" t="str">
        <f>IF(AND(B71&lt;&gt;"",C71=CompteSel,N(B71)&lt;=DateArret,AB71=0),MAX($AC$3:AC70)+1,"")</f>
        <v/>
      </c>
      <c r="AD71" s="34" t="str">
        <f>IF(AND(ISNUMBER(M71),C71=CompteSel),MAX($AD$3:AD70)+1,"")</f>
        <v/>
      </c>
    </row>
    <row r="72" spans="1:30" x14ac:dyDescent="0.35">
      <c r="A72" s="1" t="str">
        <f t="shared" si="15"/>
        <v/>
      </c>
      <c r="B72" s="31"/>
      <c r="C72" s="8"/>
      <c r="D72" s="8"/>
      <c r="E72" s="8"/>
      <c r="F72" s="8"/>
      <c r="G72" s="8"/>
      <c r="H72" s="32"/>
      <c r="I72" s="32"/>
      <c r="J72" s="25" t="str">
        <f>IF(B72="","",IFERROR(VLOOKUP(C72,Soldes_Ouverture,2,FALSE()),0)+SUMIFS($S$4:S72,$C$4:C72,C72))</f>
        <v/>
      </c>
      <c r="K72" s="1" t="str">
        <f t="shared" si="16"/>
        <v/>
      </c>
      <c r="L72" s="1" t="str">
        <f t="shared" si="17"/>
        <v/>
      </c>
      <c r="M72" s="1" t="str">
        <f t="shared" si="18"/>
        <v/>
      </c>
      <c r="N72" s="8"/>
      <c r="O72" s="8"/>
      <c r="P72" s="1" t="str">
        <f t="shared" si="19"/>
        <v/>
      </c>
      <c r="Q72" s="25" t="str">
        <f t="shared" si="20"/>
        <v/>
      </c>
      <c r="R72" s="1" t="str">
        <f t="shared" si="21"/>
        <v/>
      </c>
      <c r="S72" s="33" t="str">
        <f t="shared" si="22"/>
        <v/>
      </c>
      <c r="T72" s="34" t="str">
        <f>IF(B72="","",C72&amp;"|"&amp;ROUND(S72,2)&amp;"|"&amp;COUNTIFS($C$4:C72,C72,$S$4:S72,S72))</f>
        <v/>
      </c>
      <c r="U72" s="34" t="str">
        <f t="shared" si="23"/>
        <v/>
      </c>
      <c r="V72" s="34" t="str">
        <f t="shared" si="24"/>
        <v/>
      </c>
      <c r="W72" s="34" t="str">
        <f t="shared" si="25"/>
        <v/>
      </c>
      <c r="X72" s="34">
        <f t="shared" si="26"/>
        <v>0</v>
      </c>
      <c r="Y72" s="34" t="str">
        <f t="shared" si="27"/>
        <v/>
      </c>
      <c r="Z72" s="34" t="str">
        <f>IF(X72=1,V72,IF(Y72="","",IF(COUNTIF(Y$3:Y71,Y72)=0,Y72,"")))</f>
        <v/>
      </c>
      <c r="AA72" s="34" t="b">
        <f t="shared" si="28"/>
        <v>0</v>
      </c>
      <c r="AB72" s="34">
        <f t="shared" si="29"/>
        <v>0</v>
      </c>
      <c r="AC72" s="34" t="str">
        <f>IF(AND(B72&lt;&gt;"",C72=CompteSel,N(B72)&lt;=DateArret,AB72=0),MAX($AC$3:AC71)+1,"")</f>
        <v/>
      </c>
      <c r="AD72" s="34" t="str">
        <f>IF(AND(ISNUMBER(M72),C72=CompteSel),MAX($AD$3:AD71)+1,"")</f>
        <v/>
      </c>
    </row>
    <row r="73" spans="1:30" x14ac:dyDescent="0.35">
      <c r="A73" s="1" t="str">
        <f t="shared" si="15"/>
        <v/>
      </c>
      <c r="B73" s="31"/>
      <c r="C73" s="8"/>
      <c r="D73" s="8"/>
      <c r="E73" s="8"/>
      <c r="F73" s="8"/>
      <c r="G73" s="8"/>
      <c r="H73" s="32"/>
      <c r="I73" s="32"/>
      <c r="J73" s="25" t="str">
        <f>IF(B73="","",IFERROR(VLOOKUP(C73,Soldes_Ouverture,2,FALSE()),0)+SUMIFS($S$4:S73,$C$4:C73,C73))</f>
        <v/>
      </c>
      <c r="K73" s="1" t="str">
        <f t="shared" si="16"/>
        <v/>
      </c>
      <c r="L73" s="1" t="str">
        <f t="shared" si="17"/>
        <v/>
      </c>
      <c r="M73" s="1" t="str">
        <f t="shared" si="18"/>
        <v/>
      </c>
      <c r="N73" s="8"/>
      <c r="O73" s="8"/>
      <c r="P73" s="1" t="str">
        <f t="shared" si="19"/>
        <v/>
      </c>
      <c r="Q73" s="25" t="str">
        <f t="shared" si="20"/>
        <v/>
      </c>
      <c r="R73" s="1" t="str">
        <f t="shared" si="21"/>
        <v/>
      </c>
      <c r="S73" s="33" t="str">
        <f t="shared" si="22"/>
        <v/>
      </c>
      <c r="T73" s="34" t="str">
        <f>IF(B73="","",C73&amp;"|"&amp;ROUND(S73,2)&amp;"|"&amp;COUNTIFS($C$4:C73,C73,$S$4:S73,S73))</f>
        <v/>
      </c>
      <c r="U73" s="34" t="str">
        <f t="shared" si="23"/>
        <v/>
      </c>
      <c r="V73" s="34" t="str">
        <f t="shared" si="24"/>
        <v/>
      </c>
      <c r="W73" s="34" t="str">
        <f t="shared" si="25"/>
        <v/>
      </c>
      <c r="X73" s="34">
        <f t="shared" si="26"/>
        <v>0</v>
      </c>
      <c r="Y73" s="34" t="str">
        <f t="shared" si="27"/>
        <v/>
      </c>
      <c r="Z73" s="34" t="str">
        <f>IF(X73=1,V73,IF(Y73="","",IF(COUNTIF(Y$3:Y72,Y73)=0,Y73,"")))</f>
        <v/>
      </c>
      <c r="AA73" s="34" t="b">
        <f t="shared" si="28"/>
        <v>0</v>
      </c>
      <c r="AB73" s="34">
        <f t="shared" si="29"/>
        <v>0</v>
      </c>
      <c r="AC73" s="34" t="str">
        <f>IF(AND(B73&lt;&gt;"",C73=CompteSel,N(B73)&lt;=DateArret,AB73=0),MAX($AC$3:AC72)+1,"")</f>
        <v/>
      </c>
      <c r="AD73" s="34" t="str">
        <f>IF(AND(ISNUMBER(M73),C73=CompteSel),MAX($AD$3:AD72)+1,"")</f>
        <v/>
      </c>
    </row>
    <row r="74" spans="1:30" x14ac:dyDescent="0.35">
      <c r="A74" s="1" t="str">
        <f t="shared" si="15"/>
        <v/>
      </c>
      <c r="B74" s="31"/>
      <c r="C74" s="8"/>
      <c r="D74" s="8"/>
      <c r="E74" s="8"/>
      <c r="F74" s="8"/>
      <c r="G74" s="8"/>
      <c r="H74" s="32"/>
      <c r="I74" s="32"/>
      <c r="J74" s="25" t="str">
        <f>IF(B74="","",IFERROR(VLOOKUP(C74,Soldes_Ouverture,2,FALSE()),0)+SUMIFS($S$4:S74,$C$4:C74,C74))</f>
        <v/>
      </c>
      <c r="K74" s="1" t="str">
        <f t="shared" si="16"/>
        <v/>
      </c>
      <c r="L74" s="1" t="str">
        <f t="shared" si="17"/>
        <v/>
      </c>
      <c r="M74" s="1" t="str">
        <f t="shared" si="18"/>
        <v/>
      </c>
      <c r="N74" s="8"/>
      <c r="O74" s="8"/>
      <c r="P74" s="1" t="str">
        <f t="shared" si="19"/>
        <v/>
      </c>
      <c r="Q74" s="25" t="str">
        <f t="shared" si="20"/>
        <v/>
      </c>
      <c r="R74" s="1" t="str">
        <f t="shared" si="21"/>
        <v/>
      </c>
      <c r="S74" s="33" t="str">
        <f t="shared" si="22"/>
        <v/>
      </c>
      <c r="T74" s="34" t="str">
        <f>IF(B74="","",C74&amp;"|"&amp;ROUND(S74,2)&amp;"|"&amp;COUNTIFS($C$4:C74,C74,$S$4:S74,S74))</f>
        <v/>
      </c>
      <c r="U74" s="34" t="str">
        <f t="shared" si="23"/>
        <v/>
      </c>
      <c r="V74" s="34" t="str">
        <f t="shared" si="24"/>
        <v/>
      </c>
      <c r="W74" s="34" t="str">
        <f t="shared" si="25"/>
        <v/>
      </c>
      <c r="X74" s="34">
        <f t="shared" si="26"/>
        <v>0</v>
      </c>
      <c r="Y74" s="34" t="str">
        <f t="shared" si="27"/>
        <v/>
      </c>
      <c r="Z74" s="34" t="str">
        <f>IF(X74=1,V74,IF(Y74="","",IF(COUNTIF(Y$3:Y73,Y74)=0,Y74,"")))</f>
        <v/>
      </c>
      <c r="AA74" s="34" t="b">
        <f t="shared" si="28"/>
        <v>0</v>
      </c>
      <c r="AB74" s="34">
        <f t="shared" si="29"/>
        <v>0</v>
      </c>
      <c r="AC74" s="34" t="str">
        <f>IF(AND(B74&lt;&gt;"",C74=CompteSel,N(B74)&lt;=DateArret,AB74=0),MAX($AC$3:AC73)+1,"")</f>
        <v/>
      </c>
      <c r="AD74" s="34" t="str">
        <f>IF(AND(ISNUMBER(M74),C74=CompteSel),MAX($AD$3:AD73)+1,"")</f>
        <v/>
      </c>
    </row>
    <row r="75" spans="1:30" x14ac:dyDescent="0.35">
      <c r="A75" s="1" t="str">
        <f t="shared" si="15"/>
        <v/>
      </c>
      <c r="B75" s="31"/>
      <c r="C75" s="8"/>
      <c r="D75" s="8"/>
      <c r="E75" s="8"/>
      <c r="F75" s="8"/>
      <c r="G75" s="8"/>
      <c r="H75" s="32"/>
      <c r="I75" s="32"/>
      <c r="J75" s="25" t="str">
        <f>IF(B75="","",IFERROR(VLOOKUP(C75,Soldes_Ouverture,2,FALSE()),0)+SUMIFS($S$4:S75,$C$4:C75,C75))</f>
        <v/>
      </c>
      <c r="K75" s="1" t="str">
        <f t="shared" si="16"/>
        <v/>
      </c>
      <c r="L75" s="1" t="str">
        <f t="shared" si="17"/>
        <v/>
      </c>
      <c r="M75" s="1" t="str">
        <f t="shared" si="18"/>
        <v/>
      </c>
      <c r="N75" s="8"/>
      <c r="O75" s="8"/>
      <c r="P75" s="1" t="str">
        <f t="shared" si="19"/>
        <v/>
      </c>
      <c r="Q75" s="25" t="str">
        <f t="shared" si="20"/>
        <v/>
      </c>
      <c r="R75" s="1" t="str">
        <f t="shared" si="21"/>
        <v/>
      </c>
      <c r="S75" s="33" t="str">
        <f t="shared" si="22"/>
        <v/>
      </c>
      <c r="T75" s="34" t="str">
        <f>IF(B75="","",C75&amp;"|"&amp;ROUND(S75,2)&amp;"|"&amp;COUNTIFS($C$4:C75,C75,$S$4:S75,S75))</f>
        <v/>
      </c>
      <c r="U75" s="34" t="str">
        <f t="shared" si="23"/>
        <v/>
      </c>
      <c r="V75" s="34" t="str">
        <f t="shared" si="24"/>
        <v/>
      </c>
      <c r="W75" s="34" t="str">
        <f t="shared" si="25"/>
        <v/>
      </c>
      <c r="X75" s="34">
        <f t="shared" si="26"/>
        <v>0</v>
      </c>
      <c r="Y75" s="34" t="str">
        <f t="shared" si="27"/>
        <v/>
      </c>
      <c r="Z75" s="34" t="str">
        <f>IF(X75=1,V75,IF(Y75="","",IF(COUNTIF(Y$3:Y74,Y75)=0,Y75,"")))</f>
        <v/>
      </c>
      <c r="AA75" s="34" t="b">
        <f t="shared" si="28"/>
        <v>0</v>
      </c>
      <c r="AB75" s="34">
        <f t="shared" si="29"/>
        <v>0</v>
      </c>
      <c r="AC75" s="34" t="str">
        <f>IF(AND(B75&lt;&gt;"",C75=CompteSel,N(B75)&lt;=DateArret,AB75=0),MAX($AC$3:AC74)+1,"")</f>
        <v/>
      </c>
      <c r="AD75" s="34" t="str">
        <f>IF(AND(ISNUMBER(M75),C75=CompteSel),MAX($AD$3:AD74)+1,"")</f>
        <v/>
      </c>
    </row>
    <row r="76" spans="1:30" x14ac:dyDescent="0.35">
      <c r="A76" s="1" t="str">
        <f t="shared" si="15"/>
        <v/>
      </c>
      <c r="B76" s="31"/>
      <c r="C76" s="8"/>
      <c r="D76" s="8"/>
      <c r="E76" s="8"/>
      <c r="F76" s="8"/>
      <c r="G76" s="8"/>
      <c r="H76" s="32"/>
      <c r="I76" s="32"/>
      <c r="J76" s="25" t="str">
        <f>IF(B76="","",IFERROR(VLOOKUP(C76,Soldes_Ouverture,2,FALSE()),0)+SUMIFS($S$4:S76,$C$4:C76,C76))</f>
        <v/>
      </c>
      <c r="K76" s="1" t="str">
        <f t="shared" si="16"/>
        <v/>
      </c>
      <c r="L76" s="1" t="str">
        <f t="shared" si="17"/>
        <v/>
      </c>
      <c r="M76" s="1" t="str">
        <f t="shared" si="18"/>
        <v/>
      </c>
      <c r="N76" s="8"/>
      <c r="O76" s="8"/>
      <c r="P76" s="1" t="str">
        <f t="shared" si="19"/>
        <v/>
      </c>
      <c r="Q76" s="25" t="str">
        <f t="shared" si="20"/>
        <v/>
      </c>
      <c r="R76" s="1" t="str">
        <f t="shared" si="21"/>
        <v/>
      </c>
      <c r="S76" s="33" t="str">
        <f t="shared" si="22"/>
        <v/>
      </c>
      <c r="T76" s="34" t="str">
        <f>IF(B76="","",C76&amp;"|"&amp;ROUND(S76,2)&amp;"|"&amp;COUNTIFS($C$4:C76,C76,$S$4:S76,S76))</f>
        <v/>
      </c>
      <c r="U76" s="34" t="str">
        <f t="shared" si="23"/>
        <v/>
      </c>
      <c r="V76" s="34" t="str">
        <f t="shared" si="24"/>
        <v/>
      </c>
      <c r="W76" s="34" t="str">
        <f t="shared" si="25"/>
        <v/>
      </c>
      <c r="X76" s="34">
        <f t="shared" si="26"/>
        <v>0</v>
      </c>
      <c r="Y76" s="34" t="str">
        <f t="shared" si="27"/>
        <v/>
      </c>
      <c r="Z76" s="34" t="str">
        <f>IF(X76=1,V76,IF(Y76="","",IF(COUNTIF(Y$3:Y75,Y76)=0,Y76,"")))</f>
        <v/>
      </c>
      <c r="AA76" s="34" t="b">
        <f t="shared" si="28"/>
        <v>0</v>
      </c>
      <c r="AB76" s="34">
        <f t="shared" si="29"/>
        <v>0</v>
      </c>
      <c r="AC76" s="34" t="str">
        <f>IF(AND(B76&lt;&gt;"",C76=CompteSel,N(B76)&lt;=DateArret,AB76=0),MAX($AC$3:AC75)+1,"")</f>
        <v/>
      </c>
      <c r="AD76" s="34" t="str">
        <f>IF(AND(ISNUMBER(M76),C76=CompteSel),MAX($AD$3:AD75)+1,"")</f>
        <v/>
      </c>
    </row>
    <row r="77" spans="1:30" x14ac:dyDescent="0.35">
      <c r="A77" s="1" t="str">
        <f t="shared" si="15"/>
        <v/>
      </c>
      <c r="B77" s="31"/>
      <c r="C77" s="8"/>
      <c r="D77" s="8"/>
      <c r="E77" s="8"/>
      <c r="F77" s="8"/>
      <c r="G77" s="8"/>
      <c r="H77" s="32"/>
      <c r="I77" s="32"/>
      <c r="J77" s="25" t="str">
        <f>IF(B77="","",IFERROR(VLOOKUP(C77,Soldes_Ouverture,2,FALSE()),0)+SUMIFS($S$4:S77,$C$4:C77,C77))</f>
        <v/>
      </c>
      <c r="K77" s="1" t="str">
        <f t="shared" si="16"/>
        <v/>
      </c>
      <c r="L77" s="1" t="str">
        <f t="shared" si="17"/>
        <v/>
      </c>
      <c r="M77" s="1" t="str">
        <f t="shared" si="18"/>
        <v/>
      </c>
      <c r="N77" s="8"/>
      <c r="O77" s="8"/>
      <c r="P77" s="1" t="str">
        <f t="shared" si="19"/>
        <v/>
      </c>
      <c r="Q77" s="25" t="str">
        <f t="shared" si="20"/>
        <v/>
      </c>
      <c r="R77" s="1" t="str">
        <f t="shared" si="21"/>
        <v/>
      </c>
      <c r="S77" s="33" t="str">
        <f t="shared" si="22"/>
        <v/>
      </c>
      <c r="T77" s="34" t="str">
        <f>IF(B77="","",C77&amp;"|"&amp;ROUND(S77,2)&amp;"|"&amp;COUNTIFS($C$4:C77,C77,$S$4:S77,S77))</f>
        <v/>
      </c>
      <c r="U77" s="34" t="str">
        <f t="shared" si="23"/>
        <v/>
      </c>
      <c r="V77" s="34" t="str">
        <f t="shared" si="24"/>
        <v/>
      </c>
      <c r="W77" s="34" t="str">
        <f t="shared" si="25"/>
        <v/>
      </c>
      <c r="X77" s="34">
        <f t="shared" si="26"/>
        <v>0</v>
      </c>
      <c r="Y77" s="34" t="str">
        <f t="shared" si="27"/>
        <v/>
      </c>
      <c r="Z77" s="34" t="str">
        <f>IF(X77=1,V77,IF(Y77="","",IF(COUNTIF(Y$3:Y76,Y77)=0,Y77,"")))</f>
        <v/>
      </c>
      <c r="AA77" s="34" t="b">
        <f t="shared" si="28"/>
        <v>0</v>
      </c>
      <c r="AB77" s="34">
        <f t="shared" si="29"/>
        <v>0</v>
      </c>
      <c r="AC77" s="34" t="str">
        <f>IF(AND(B77&lt;&gt;"",C77=CompteSel,N(B77)&lt;=DateArret,AB77=0),MAX($AC$3:AC76)+1,"")</f>
        <v/>
      </c>
      <c r="AD77" s="34" t="str">
        <f>IF(AND(ISNUMBER(M77),C77=CompteSel),MAX($AD$3:AD76)+1,"")</f>
        <v/>
      </c>
    </row>
    <row r="78" spans="1:30" x14ac:dyDescent="0.35">
      <c r="A78" s="1" t="str">
        <f t="shared" si="15"/>
        <v/>
      </c>
      <c r="B78" s="31"/>
      <c r="C78" s="8"/>
      <c r="D78" s="8"/>
      <c r="E78" s="8"/>
      <c r="F78" s="8"/>
      <c r="G78" s="8"/>
      <c r="H78" s="32"/>
      <c r="I78" s="32"/>
      <c r="J78" s="25" t="str">
        <f>IF(B78="","",IFERROR(VLOOKUP(C78,Soldes_Ouverture,2,FALSE()),0)+SUMIFS($S$4:S78,$C$4:C78,C78))</f>
        <v/>
      </c>
      <c r="K78" s="1" t="str">
        <f t="shared" si="16"/>
        <v/>
      </c>
      <c r="L78" s="1" t="str">
        <f t="shared" si="17"/>
        <v/>
      </c>
      <c r="M78" s="1" t="str">
        <f t="shared" si="18"/>
        <v/>
      </c>
      <c r="N78" s="8"/>
      <c r="O78" s="8"/>
      <c r="P78" s="1" t="str">
        <f t="shared" si="19"/>
        <v/>
      </c>
      <c r="Q78" s="25" t="str">
        <f t="shared" si="20"/>
        <v/>
      </c>
      <c r="R78" s="1" t="str">
        <f t="shared" si="21"/>
        <v/>
      </c>
      <c r="S78" s="33" t="str">
        <f t="shared" si="22"/>
        <v/>
      </c>
      <c r="T78" s="34" t="str">
        <f>IF(B78="","",C78&amp;"|"&amp;ROUND(S78,2)&amp;"|"&amp;COUNTIFS($C$4:C78,C78,$S$4:S78,S78))</f>
        <v/>
      </c>
      <c r="U78" s="34" t="str">
        <f t="shared" si="23"/>
        <v/>
      </c>
      <c r="V78" s="34" t="str">
        <f t="shared" si="24"/>
        <v/>
      </c>
      <c r="W78" s="34" t="str">
        <f t="shared" si="25"/>
        <v/>
      </c>
      <c r="X78" s="34">
        <f t="shared" si="26"/>
        <v>0</v>
      </c>
      <c r="Y78" s="34" t="str">
        <f t="shared" si="27"/>
        <v/>
      </c>
      <c r="Z78" s="34" t="str">
        <f>IF(X78=1,V78,IF(Y78="","",IF(COUNTIF(Y$3:Y77,Y78)=0,Y78,"")))</f>
        <v/>
      </c>
      <c r="AA78" s="34" t="b">
        <f t="shared" si="28"/>
        <v>0</v>
      </c>
      <c r="AB78" s="34">
        <f t="shared" si="29"/>
        <v>0</v>
      </c>
      <c r="AC78" s="34" t="str">
        <f>IF(AND(B78&lt;&gt;"",C78=CompteSel,N(B78)&lt;=DateArret,AB78=0),MAX($AC$3:AC77)+1,"")</f>
        <v/>
      </c>
      <c r="AD78" s="34" t="str">
        <f>IF(AND(ISNUMBER(M78),C78=CompteSel),MAX($AD$3:AD77)+1,"")</f>
        <v/>
      </c>
    </row>
    <row r="79" spans="1:30" x14ac:dyDescent="0.35">
      <c r="A79" s="1" t="str">
        <f t="shared" si="15"/>
        <v/>
      </c>
      <c r="B79" s="31"/>
      <c r="C79" s="8"/>
      <c r="D79" s="8"/>
      <c r="E79" s="8"/>
      <c r="F79" s="8"/>
      <c r="G79" s="8"/>
      <c r="H79" s="32"/>
      <c r="I79" s="32"/>
      <c r="J79" s="25" t="str">
        <f>IF(B79="","",IFERROR(VLOOKUP(C79,Soldes_Ouverture,2,FALSE()),0)+SUMIFS($S$4:S79,$C$4:C79,C79))</f>
        <v/>
      </c>
      <c r="K79" s="1" t="str">
        <f t="shared" si="16"/>
        <v/>
      </c>
      <c r="L79" s="1" t="str">
        <f t="shared" si="17"/>
        <v/>
      </c>
      <c r="M79" s="1" t="str">
        <f t="shared" si="18"/>
        <v/>
      </c>
      <c r="N79" s="8"/>
      <c r="O79" s="8"/>
      <c r="P79" s="1" t="str">
        <f t="shared" si="19"/>
        <v/>
      </c>
      <c r="Q79" s="25" t="str">
        <f t="shared" si="20"/>
        <v/>
      </c>
      <c r="R79" s="1" t="str">
        <f t="shared" si="21"/>
        <v/>
      </c>
      <c r="S79" s="33" t="str">
        <f t="shared" si="22"/>
        <v/>
      </c>
      <c r="T79" s="34" t="str">
        <f>IF(B79="","",C79&amp;"|"&amp;ROUND(S79,2)&amp;"|"&amp;COUNTIFS($C$4:C79,C79,$S$4:S79,S79))</f>
        <v/>
      </c>
      <c r="U79" s="34" t="str">
        <f t="shared" si="23"/>
        <v/>
      </c>
      <c r="V79" s="34" t="str">
        <f t="shared" si="24"/>
        <v/>
      </c>
      <c r="W79" s="34" t="str">
        <f t="shared" si="25"/>
        <v/>
      </c>
      <c r="X79" s="34">
        <f t="shared" si="26"/>
        <v>0</v>
      </c>
      <c r="Y79" s="34" t="str">
        <f t="shared" si="27"/>
        <v/>
      </c>
      <c r="Z79" s="34" t="str">
        <f>IF(X79=1,V79,IF(Y79="","",IF(COUNTIF(Y$3:Y78,Y79)=0,Y79,"")))</f>
        <v/>
      </c>
      <c r="AA79" s="34" t="b">
        <f t="shared" si="28"/>
        <v>0</v>
      </c>
      <c r="AB79" s="34">
        <f t="shared" si="29"/>
        <v>0</v>
      </c>
      <c r="AC79" s="34" t="str">
        <f>IF(AND(B79&lt;&gt;"",C79=CompteSel,N(B79)&lt;=DateArret,AB79=0),MAX($AC$3:AC78)+1,"")</f>
        <v/>
      </c>
      <c r="AD79" s="34" t="str">
        <f>IF(AND(ISNUMBER(M79),C79=CompteSel),MAX($AD$3:AD78)+1,"")</f>
        <v/>
      </c>
    </row>
    <row r="80" spans="1:30" x14ac:dyDescent="0.35">
      <c r="A80" s="1" t="str">
        <f t="shared" si="15"/>
        <v/>
      </c>
      <c r="B80" s="31"/>
      <c r="C80" s="8"/>
      <c r="D80" s="8"/>
      <c r="E80" s="8"/>
      <c r="F80" s="8"/>
      <c r="G80" s="8"/>
      <c r="H80" s="32"/>
      <c r="I80" s="32"/>
      <c r="J80" s="25" t="str">
        <f>IF(B80="","",IFERROR(VLOOKUP(C80,Soldes_Ouverture,2,FALSE()),0)+SUMIFS($S$4:S80,$C$4:C80,C80))</f>
        <v/>
      </c>
      <c r="K80" s="1" t="str">
        <f t="shared" si="16"/>
        <v/>
      </c>
      <c r="L80" s="1" t="str">
        <f t="shared" si="17"/>
        <v/>
      </c>
      <c r="M80" s="1" t="str">
        <f t="shared" si="18"/>
        <v/>
      </c>
      <c r="N80" s="8"/>
      <c r="O80" s="8"/>
      <c r="P80" s="1" t="str">
        <f t="shared" si="19"/>
        <v/>
      </c>
      <c r="Q80" s="25" t="str">
        <f t="shared" si="20"/>
        <v/>
      </c>
      <c r="R80" s="1" t="str">
        <f t="shared" si="21"/>
        <v/>
      </c>
      <c r="S80" s="33" t="str">
        <f t="shared" si="22"/>
        <v/>
      </c>
      <c r="T80" s="34" t="str">
        <f>IF(B80="","",C80&amp;"|"&amp;ROUND(S80,2)&amp;"|"&amp;COUNTIFS($C$4:C80,C80,$S$4:S80,S80))</f>
        <v/>
      </c>
      <c r="U80" s="34" t="str">
        <f t="shared" si="23"/>
        <v/>
      </c>
      <c r="V80" s="34" t="str">
        <f t="shared" si="24"/>
        <v/>
      </c>
      <c r="W80" s="34" t="str">
        <f t="shared" si="25"/>
        <v/>
      </c>
      <c r="X80" s="34">
        <f t="shared" si="26"/>
        <v>0</v>
      </c>
      <c r="Y80" s="34" t="str">
        <f t="shared" si="27"/>
        <v/>
      </c>
      <c r="Z80" s="34" t="str">
        <f>IF(X80=1,V80,IF(Y80="","",IF(COUNTIF(Y$3:Y79,Y80)=0,Y80,"")))</f>
        <v/>
      </c>
      <c r="AA80" s="34" t="b">
        <f t="shared" si="28"/>
        <v>0</v>
      </c>
      <c r="AB80" s="34">
        <f t="shared" si="29"/>
        <v>0</v>
      </c>
      <c r="AC80" s="34" t="str">
        <f>IF(AND(B80&lt;&gt;"",C80=CompteSel,N(B80)&lt;=DateArret,AB80=0),MAX($AC$3:AC79)+1,"")</f>
        <v/>
      </c>
      <c r="AD80" s="34" t="str">
        <f>IF(AND(ISNUMBER(M80),C80=CompteSel),MAX($AD$3:AD79)+1,"")</f>
        <v/>
      </c>
    </row>
    <row r="81" spans="1:30" x14ac:dyDescent="0.35">
      <c r="A81" s="1" t="str">
        <f t="shared" si="15"/>
        <v/>
      </c>
      <c r="B81" s="31"/>
      <c r="C81" s="8"/>
      <c r="D81" s="8"/>
      <c r="E81" s="8"/>
      <c r="F81" s="8"/>
      <c r="G81" s="8"/>
      <c r="H81" s="32"/>
      <c r="I81" s="32"/>
      <c r="J81" s="25" t="str">
        <f>IF(B81="","",IFERROR(VLOOKUP(C81,Soldes_Ouverture,2,FALSE()),0)+SUMIFS($S$4:S81,$C$4:C81,C81))</f>
        <v/>
      </c>
      <c r="K81" s="1" t="str">
        <f t="shared" si="16"/>
        <v/>
      </c>
      <c r="L81" s="1" t="str">
        <f t="shared" si="17"/>
        <v/>
      </c>
      <c r="M81" s="1" t="str">
        <f t="shared" si="18"/>
        <v/>
      </c>
      <c r="N81" s="8"/>
      <c r="O81" s="8"/>
      <c r="P81" s="1" t="str">
        <f t="shared" si="19"/>
        <v/>
      </c>
      <c r="Q81" s="25" t="str">
        <f t="shared" si="20"/>
        <v/>
      </c>
      <c r="R81" s="1" t="str">
        <f t="shared" si="21"/>
        <v/>
      </c>
      <c r="S81" s="33" t="str">
        <f t="shared" si="22"/>
        <v/>
      </c>
      <c r="T81" s="34" t="str">
        <f>IF(B81="","",C81&amp;"|"&amp;ROUND(S81,2)&amp;"|"&amp;COUNTIFS($C$4:C81,C81,$S$4:S81,S81))</f>
        <v/>
      </c>
      <c r="U81" s="34" t="str">
        <f t="shared" si="23"/>
        <v/>
      </c>
      <c r="V81" s="34" t="str">
        <f t="shared" si="24"/>
        <v/>
      </c>
      <c r="W81" s="34" t="str">
        <f t="shared" si="25"/>
        <v/>
      </c>
      <c r="X81" s="34">
        <f t="shared" si="26"/>
        <v>0</v>
      </c>
      <c r="Y81" s="34" t="str">
        <f t="shared" si="27"/>
        <v/>
      </c>
      <c r="Z81" s="34" t="str">
        <f>IF(X81=1,V81,IF(Y81="","",IF(COUNTIF(Y$3:Y80,Y81)=0,Y81,"")))</f>
        <v/>
      </c>
      <c r="AA81" s="34" t="b">
        <f t="shared" si="28"/>
        <v>0</v>
      </c>
      <c r="AB81" s="34">
        <f t="shared" si="29"/>
        <v>0</v>
      </c>
      <c r="AC81" s="34" t="str">
        <f>IF(AND(B81&lt;&gt;"",C81=CompteSel,N(B81)&lt;=DateArret,AB81=0),MAX($AC$3:AC80)+1,"")</f>
        <v/>
      </c>
      <c r="AD81" s="34" t="str">
        <f>IF(AND(ISNUMBER(M81),C81=CompteSel),MAX($AD$3:AD80)+1,"")</f>
        <v/>
      </c>
    </row>
    <row r="82" spans="1:30" x14ac:dyDescent="0.35">
      <c r="A82" s="1" t="str">
        <f t="shared" si="15"/>
        <v/>
      </c>
      <c r="B82" s="31"/>
      <c r="C82" s="8"/>
      <c r="D82" s="8"/>
      <c r="E82" s="8"/>
      <c r="F82" s="8"/>
      <c r="G82" s="8"/>
      <c r="H82" s="32"/>
      <c r="I82" s="32"/>
      <c r="J82" s="25" t="str">
        <f>IF(B82="","",IFERROR(VLOOKUP(C82,Soldes_Ouverture,2,FALSE()),0)+SUMIFS($S$4:S82,$C$4:C82,C82))</f>
        <v/>
      </c>
      <c r="K82" s="1" t="str">
        <f t="shared" si="16"/>
        <v/>
      </c>
      <c r="L82" s="1" t="str">
        <f t="shared" si="17"/>
        <v/>
      </c>
      <c r="M82" s="1" t="str">
        <f t="shared" si="18"/>
        <v/>
      </c>
      <c r="N82" s="8"/>
      <c r="O82" s="8"/>
      <c r="P82" s="1" t="str">
        <f t="shared" si="19"/>
        <v/>
      </c>
      <c r="Q82" s="25" t="str">
        <f t="shared" si="20"/>
        <v/>
      </c>
      <c r="R82" s="1" t="str">
        <f t="shared" si="21"/>
        <v/>
      </c>
      <c r="S82" s="33" t="str">
        <f t="shared" si="22"/>
        <v/>
      </c>
      <c r="T82" s="34" t="str">
        <f>IF(B82="","",C82&amp;"|"&amp;ROUND(S82,2)&amp;"|"&amp;COUNTIFS($C$4:C82,C82,$S$4:S82,S82))</f>
        <v/>
      </c>
      <c r="U82" s="34" t="str">
        <f t="shared" si="23"/>
        <v/>
      </c>
      <c r="V82" s="34" t="str">
        <f t="shared" si="24"/>
        <v/>
      </c>
      <c r="W82" s="34" t="str">
        <f t="shared" si="25"/>
        <v/>
      </c>
      <c r="X82" s="34">
        <f t="shared" si="26"/>
        <v>0</v>
      </c>
      <c r="Y82" s="34" t="str">
        <f t="shared" si="27"/>
        <v/>
      </c>
      <c r="Z82" s="34" t="str">
        <f>IF(X82=1,V82,IF(Y82="","",IF(COUNTIF(Y$3:Y81,Y82)=0,Y82,"")))</f>
        <v/>
      </c>
      <c r="AA82" s="34" t="b">
        <f t="shared" si="28"/>
        <v>0</v>
      </c>
      <c r="AB82" s="34">
        <f t="shared" si="29"/>
        <v>0</v>
      </c>
      <c r="AC82" s="34" t="str">
        <f>IF(AND(B82&lt;&gt;"",C82=CompteSel,N(B82)&lt;=DateArret,AB82=0),MAX($AC$3:AC81)+1,"")</f>
        <v/>
      </c>
      <c r="AD82" s="34" t="str">
        <f>IF(AND(ISNUMBER(M82),C82=CompteSel),MAX($AD$3:AD81)+1,"")</f>
        <v/>
      </c>
    </row>
    <row r="83" spans="1:30" x14ac:dyDescent="0.35">
      <c r="A83" s="1" t="str">
        <f t="shared" si="15"/>
        <v/>
      </c>
      <c r="B83" s="31"/>
      <c r="C83" s="8"/>
      <c r="D83" s="8"/>
      <c r="E83" s="8"/>
      <c r="F83" s="8"/>
      <c r="G83" s="8"/>
      <c r="H83" s="32"/>
      <c r="I83" s="32"/>
      <c r="J83" s="25" t="str">
        <f>IF(B83="","",IFERROR(VLOOKUP(C83,Soldes_Ouverture,2,FALSE()),0)+SUMIFS($S$4:S83,$C$4:C83,C83))</f>
        <v/>
      </c>
      <c r="K83" s="1" t="str">
        <f t="shared" si="16"/>
        <v/>
      </c>
      <c r="L83" s="1" t="str">
        <f t="shared" si="17"/>
        <v/>
      </c>
      <c r="M83" s="1" t="str">
        <f t="shared" si="18"/>
        <v/>
      </c>
      <c r="N83" s="8"/>
      <c r="O83" s="8"/>
      <c r="P83" s="1" t="str">
        <f t="shared" si="19"/>
        <v/>
      </c>
      <c r="Q83" s="25" t="str">
        <f t="shared" si="20"/>
        <v/>
      </c>
      <c r="R83" s="1" t="str">
        <f t="shared" si="21"/>
        <v/>
      </c>
      <c r="S83" s="33" t="str">
        <f t="shared" si="22"/>
        <v/>
      </c>
      <c r="T83" s="34" t="str">
        <f>IF(B83="","",C83&amp;"|"&amp;ROUND(S83,2)&amp;"|"&amp;COUNTIFS($C$4:C83,C83,$S$4:S83,S83))</f>
        <v/>
      </c>
      <c r="U83" s="34" t="str">
        <f t="shared" si="23"/>
        <v/>
      </c>
      <c r="V83" s="34" t="str">
        <f t="shared" si="24"/>
        <v/>
      </c>
      <c r="W83" s="34" t="str">
        <f t="shared" si="25"/>
        <v/>
      </c>
      <c r="X83" s="34">
        <f t="shared" si="26"/>
        <v>0</v>
      </c>
      <c r="Y83" s="34" t="str">
        <f t="shared" si="27"/>
        <v/>
      </c>
      <c r="Z83" s="34" t="str">
        <f>IF(X83=1,V83,IF(Y83="","",IF(COUNTIF(Y$3:Y82,Y83)=0,Y83,"")))</f>
        <v/>
      </c>
      <c r="AA83" s="34" t="b">
        <f t="shared" si="28"/>
        <v>0</v>
      </c>
      <c r="AB83" s="34">
        <f t="shared" si="29"/>
        <v>0</v>
      </c>
      <c r="AC83" s="34" t="str">
        <f>IF(AND(B83&lt;&gt;"",C83=CompteSel,N(B83)&lt;=DateArret,AB83=0),MAX($AC$3:AC82)+1,"")</f>
        <v/>
      </c>
      <c r="AD83" s="34" t="str">
        <f>IF(AND(ISNUMBER(M83),C83=CompteSel),MAX($AD$3:AD82)+1,"")</f>
        <v/>
      </c>
    </row>
    <row r="84" spans="1:30" x14ac:dyDescent="0.35">
      <c r="A84" s="1" t="str">
        <f t="shared" si="15"/>
        <v/>
      </c>
      <c r="B84" s="31"/>
      <c r="C84" s="8"/>
      <c r="D84" s="8"/>
      <c r="E84" s="8"/>
      <c r="F84" s="8"/>
      <c r="G84" s="8"/>
      <c r="H84" s="32"/>
      <c r="I84" s="32"/>
      <c r="J84" s="25" t="str">
        <f>IF(B84="","",IFERROR(VLOOKUP(C84,Soldes_Ouverture,2,FALSE()),0)+SUMIFS($S$4:S84,$C$4:C84,C84))</f>
        <v/>
      </c>
      <c r="K84" s="1" t="str">
        <f t="shared" si="16"/>
        <v/>
      </c>
      <c r="L84" s="1" t="str">
        <f t="shared" si="17"/>
        <v/>
      </c>
      <c r="M84" s="1" t="str">
        <f t="shared" si="18"/>
        <v/>
      </c>
      <c r="N84" s="8"/>
      <c r="O84" s="8"/>
      <c r="P84" s="1" t="str">
        <f t="shared" si="19"/>
        <v/>
      </c>
      <c r="Q84" s="25" t="str">
        <f t="shared" si="20"/>
        <v/>
      </c>
      <c r="R84" s="1" t="str">
        <f t="shared" si="21"/>
        <v/>
      </c>
      <c r="S84" s="33" t="str">
        <f t="shared" si="22"/>
        <v/>
      </c>
      <c r="T84" s="34" t="str">
        <f>IF(B84="","",C84&amp;"|"&amp;ROUND(S84,2)&amp;"|"&amp;COUNTIFS($C$4:C84,C84,$S$4:S84,S84))</f>
        <v/>
      </c>
      <c r="U84" s="34" t="str">
        <f t="shared" si="23"/>
        <v/>
      </c>
      <c r="V84" s="34" t="str">
        <f t="shared" si="24"/>
        <v/>
      </c>
      <c r="W84" s="34" t="str">
        <f t="shared" si="25"/>
        <v/>
      </c>
      <c r="X84" s="34">
        <f t="shared" si="26"/>
        <v>0</v>
      </c>
      <c r="Y84" s="34" t="str">
        <f t="shared" si="27"/>
        <v/>
      </c>
      <c r="Z84" s="34" t="str">
        <f>IF(X84=1,V84,IF(Y84="","",IF(COUNTIF(Y$3:Y83,Y84)=0,Y84,"")))</f>
        <v/>
      </c>
      <c r="AA84" s="34" t="b">
        <f t="shared" si="28"/>
        <v>0</v>
      </c>
      <c r="AB84" s="34">
        <f t="shared" si="29"/>
        <v>0</v>
      </c>
      <c r="AC84" s="34" t="str">
        <f>IF(AND(B84&lt;&gt;"",C84=CompteSel,N(B84)&lt;=DateArret,AB84=0),MAX($AC$3:AC83)+1,"")</f>
        <v/>
      </c>
      <c r="AD84" s="34" t="str">
        <f>IF(AND(ISNUMBER(M84),C84=CompteSel),MAX($AD$3:AD83)+1,"")</f>
        <v/>
      </c>
    </row>
    <row r="85" spans="1:30" x14ac:dyDescent="0.35">
      <c r="A85" s="1" t="str">
        <f t="shared" si="15"/>
        <v/>
      </c>
      <c r="B85" s="31"/>
      <c r="C85" s="8"/>
      <c r="D85" s="8"/>
      <c r="E85" s="8"/>
      <c r="F85" s="8"/>
      <c r="G85" s="8"/>
      <c r="H85" s="32"/>
      <c r="I85" s="32"/>
      <c r="J85" s="25" t="str">
        <f>IF(B85="","",IFERROR(VLOOKUP(C85,Soldes_Ouverture,2,FALSE()),0)+SUMIFS($S$4:S85,$C$4:C85,C85))</f>
        <v/>
      </c>
      <c r="K85" s="1" t="str">
        <f t="shared" si="16"/>
        <v/>
      </c>
      <c r="L85" s="1" t="str">
        <f t="shared" si="17"/>
        <v/>
      </c>
      <c r="M85" s="1" t="str">
        <f t="shared" si="18"/>
        <v/>
      </c>
      <c r="N85" s="8"/>
      <c r="O85" s="8"/>
      <c r="P85" s="1" t="str">
        <f t="shared" si="19"/>
        <v/>
      </c>
      <c r="Q85" s="25" t="str">
        <f t="shared" si="20"/>
        <v/>
      </c>
      <c r="R85" s="1" t="str">
        <f t="shared" si="21"/>
        <v/>
      </c>
      <c r="S85" s="33" t="str">
        <f t="shared" si="22"/>
        <v/>
      </c>
      <c r="T85" s="34" t="str">
        <f>IF(B85="","",C85&amp;"|"&amp;ROUND(S85,2)&amp;"|"&amp;COUNTIFS($C$4:C85,C85,$S$4:S85,S85))</f>
        <v/>
      </c>
      <c r="U85" s="34" t="str">
        <f t="shared" si="23"/>
        <v/>
      </c>
      <c r="V85" s="34" t="str">
        <f t="shared" si="24"/>
        <v/>
      </c>
      <c r="W85" s="34" t="str">
        <f t="shared" si="25"/>
        <v/>
      </c>
      <c r="X85" s="34">
        <f t="shared" si="26"/>
        <v>0</v>
      </c>
      <c r="Y85" s="34" t="str">
        <f t="shared" si="27"/>
        <v/>
      </c>
      <c r="Z85" s="34" t="str">
        <f>IF(X85=1,V85,IF(Y85="","",IF(COUNTIF(Y$3:Y84,Y85)=0,Y85,"")))</f>
        <v/>
      </c>
      <c r="AA85" s="34" t="b">
        <f t="shared" si="28"/>
        <v>0</v>
      </c>
      <c r="AB85" s="34">
        <f t="shared" si="29"/>
        <v>0</v>
      </c>
      <c r="AC85" s="34" t="str">
        <f>IF(AND(B85&lt;&gt;"",C85=CompteSel,N(B85)&lt;=DateArret,AB85=0),MAX($AC$3:AC84)+1,"")</f>
        <v/>
      </c>
      <c r="AD85" s="34" t="str">
        <f>IF(AND(ISNUMBER(M85),C85=CompteSel),MAX($AD$3:AD84)+1,"")</f>
        <v/>
      </c>
    </row>
    <row r="86" spans="1:30" x14ac:dyDescent="0.35">
      <c r="A86" s="1" t="str">
        <f t="shared" si="15"/>
        <v/>
      </c>
      <c r="B86" s="31"/>
      <c r="C86" s="8"/>
      <c r="D86" s="8"/>
      <c r="E86" s="8"/>
      <c r="F86" s="8"/>
      <c r="G86" s="8"/>
      <c r="H86" s="32"/>
      <c r="I86" s="32"/>
      <c r="J86" s="25" t="str">
        <f>IF(B86="","",IFERROR(VLOOKUP(C86,Soldes_Ouverture,2,FALSE()),0)+SUMIFS($S$4:S86,$C$4:C86,C86))</f>
        <v/>
      </c>
      <c r="K86" s="1" t="str">
        <f t="shared" si="16"/>
        <v/>
      </c>
      <c r="L86" s="1" t="str">
        <f t="shared" si="17"/>
        <v/>
      </c>
      <c r="M86" s="1" t="str">
        <f t="shared" si="18"/>
        <v/>
      </c>
      <c r="N86" s="8"/>
      <c r="O86" s="8"/>
      <c r="P86" s="1" t="str">
        <f t="shared" si="19"/>
        <v/>
      </c>
      <c r="Q86" s="25" t="str">
        <f t="shared" si="20"/>
        <v/>
      </c>
      <c r="R86" s="1" t="str">
        <f t="shared" si="21"/>
        <v/>
      </c>
      <c r="S86" s="33" t="str">
        <f t="shared" si="22"/>
        <v/>
      </c>
      <c r="T86" s="34" t="str">
        <f>IF(B86="","",C86&amp;"|"&amp;ROUND(S86,2)&amp;"|"&amp;COUNTIFS($C$4:C86,C86,$S$4:S86,S86))</f>
        <v/>
      </c>
      <c r="U86" s="34" t="str">
        <f t="shared" si="23"/>
        <v/>
      </c>
      <c r="V86" s="34" t="str">
        <f t="shared" si="24"/>
        <v/>
      </c>
      <c r="W86" s="34" t="str">
        <f t="shared" si="25"/>
        <v/>
      </c>
      <c r="X86" s="34">
        <f t="shared" si="26"/>
        <v>0</v>
      </c>
      <c r="Y86" s="34" t="str">
        <f t="shared" si="27"/>
        <v/>
      </c>
      <c r="Z86" s="34" t="str">
        <f>IF(X86=1,V86,IF(Y86="","",IF(COUNTIF(Y$3:Y85,Y86)=0,Y86,"")))</f>
        <v/>
      </c>
      <c r="AA86" s="34" t="b">
        <f t="shared" si="28"/>
        <v>0</v>
      </c>
      <c r="AB86" s="34">
        <f t="shared" si="29"/>
        <v>0</v>
      </c>
      <c r="AC86" s="34" t="str">
        <f>IF(AND(B86&lt;&gt;"",C86=CompteSel,N(B86)&lt;=DateArret,AB86=0),MAX($AC$3:AC85)+1,"")</f>
        <v/>
      </c>
      <c r="AD86" s="34" t="str">
        <f>IF(AND(ISNUMBER(M86),C86=CompteSel),MAX($AD$3:AD85)+1,"")</f>
        <v/>
      </c>
    </row>
    <row r="87" spans="1:30" x14ac:dyDescent="0.35">
      <c r="A87" s="1" t="str">
        <f t="shared" si="15"/>
        <v/>
      </c>
      <c r="B87" s="31"/>
      <c r="C87" s="8"/>
      <c r="D87" s="8"/>
      <c r="E87" s="8"/>
      <c r="F87" s="8"/>
      <c r="G87" s="8"/>
      <c r="H87" s="32"/>
      <c r="I87" s="32"/>
      <c r="J87" s="25" t="str">
        <f>IF(B87="","",IFERROR(VLOOKUP(C87,Soldes_Ouverture,2,FALSE()),0)+SUMIFS($S$4:S87,$C$4:C87,C87))</f>
        <v/>
      </c>
      <c r="K87" s="1" t="str">
        <f t="shared" si="16"/>
        <v/>
      </c>
      <c r="L87" s="1" t="str">
        <f t="shared" si="17"/>
        <v/>
      </c>
      <c r="M87" s="1" t="str">
        <f t="shared" si="18"/>
        <v/>
      </c>
      <c r="N87" s="8"/>
      <c r="O87" s="8"/>
      <c r="P87" s="1" t="str">
        <f t="shared" si="19"/>
        <v/>
      </c>
      <c r="Q87" s="25" t="str">
        <f t="shared" si="20"/>
        <v/>
      </c>
      <c r="R87" s="1" t="str">
        <f t="shared" si="21"/>
        <v/>
      </c>
      <c r="S87" s="33" t="str">
        <f t="shared" si="22"/>
        <v/>
      </c>
      <c r="T87" s="34" t="str">
        <f>IF(B87="","",C87&amp;"|"&amp;ROUND(S87,2)&amp;"|"&amp;COUNTIFS($C$4:C87,C87,$S$4:S87,S87))</f>
        <v/>
      </c>
      <c r="U87" s="34" t="str">
        <f t="shared" si="23"/>
        <v/>
      </c>
      <c r="V87" s="34" t="str">
        <f t="shared" si="24"/>
        <v/>
      </c>
      <c r="W87" s="34" t="str">
        <f t="shared" si="25"/>
        <v/>
      </c>
      <c r="X87" s="34">
        <f t="shared" si="26"/>
        <v>0</v>
      </c>
      <c r="Y87" s="34" t="str">
        <f t="shared" si="27"/>
        <v/>
      </c>
      <c r="Z87" s="34" t="str">
        <f>IF(X87=1,V87,IF(Y87="","",IF(COUNTIF(Y$3:Y86,Y87)=0,Y87,"")))</f>
        <v/>
      </c>
      <c r="AA87" s="34" t="b">
        <f t="shared" si="28"/>
        <v>0</v>
      </c>
      <c r="AB87" s="34">
        <f t="shared" si="29"/>
        <v>0</v>
      </c>
      <c r="AC87" s="34" t="str">
        <f>IF(AND(B87&lt;&gt;"",C87=CompteSel,N(B87)&lt;=DateArret,AB87=0),MAX($AC$3:AC86)+1,"")</f>
        <v/>
      </c>
      <c r="AD87" s="34" t="str">
        <f>IF(AND(ISNUMBER(M87),C87=CompteSel),MAX($AD$3:AD86)+1,"")</f>
        <v/>
      </c>
    </row>
    <row r="88" spans="1:30" x14ac:dyDescent="0.35">
      <c r="A88" s="1" t="str">
        <f t="shared" si="15"/>
        <v/>
      </c>
      <c r="B88" s="31"/>
      <c r="C88" s="8"/>
      <c r="D88" s="8"/>
      <c r="E88" s="8"/>
      <c r="F88" s="8"/>
      <c r="G88" s="8"/>
      <c r="H88" s="32"/>
      <c r="I88" s="32"/>
      <c r="J88" s="25" t="str">
        <f>IF(B88="","",IFERROR(VLOOKUP(C88,Soldes_Ouverture,2,FALSE()),0)+SUMIFS($S$4:S88,$C$4:C88,C88))</f>
        <v/>
      </c>
      <c r="K88" s="1" t="str">
        <f t="shared" si="16"/>
        <v/>
      </c>
      <c r="L88" s="1" t="str">
        <f t="shared" si="17"/>
        <v/>
      </c>
      <c r="M88" s="1" t="str">
        <f t="shared" si="18"/>
        <v/>
      </c>
      <c r="N88" s="8"/>
      <c r="O88" s="8"/>
      <c r="P88" s="1" t="str">
        <f t="shared" si="19"/>
        <v/>
      </c>
      <c r="Q88" s="25" t="str">
        <f t="shared" si="20"/>
        <v/>
      </c>
      <c r="R88" s="1" t="str">
        <f t="shared" si="21"/>
        <v/>
      </c>
      <c r="S88" s="33" t="str">
        <f t="shared" si="22"/>
        <v/>
      </c>
      <c r="T88" s="34" t="str">
        <f>IF(B88="","",C88&amp;"|"&amp;ROUND(S88,2)&amp;"|"&amp;COUNTIFS($C$4:C88,C88,$S$4:S88,S88))</f>
        <v/>
      </c>
      <c r="U88" s="34" t="str">
        <f t="shared" si="23"/>
        <v/>
      </c>
      <c r="V88" s="34" t="str">
        <f t="shared" si="24"/>
        <v/>
      </c>
      <c r="W88" s="34" t="str">
        <f t="shared" si="25"/>
        <v/>
      </c>
      <c r="X88" s="34">
        <f t="shared" si="26"/>
        <v>0</v>
      </c>
      <c r="Y88" s="34" t="str">
        <f t="shared" si="27"/>
        <v/>
      </c>
      <c r="Z88" s="34" t="str">
        <f>IF(X88=1,V88,IF(Y88="","",IF(COUNTIF(Y$3:Y87,Y88)=0,Y88,"")))</f>
        <v/>
      </c>
      <c r="AA88" s="34" t="b">
        <f t="shared" si="28"/>
        <v>0</v>
      </c>
      <c r="AB88" s="34">
        <f t="shared" si="29"/>
        <v>0</v>
      </c>
      <c r="AC88" s="34" t="str">
        <f>IF(AND(B88&lt;&gt;"",C88=CompteSel,N(B88)&lt;=DateArret,AB88=0),MAX($AC$3:AC87)+1,"")</f>
        <v/>
      </c>
      <c r="AD88" s="34" t="str">
        <f>IF(AND(ISNUMBER(M88),C88=CompteSel),MAX($AD$3:AD87)+1,"")</f>
        <v/>
      </c>
    </row>
    <row r="89" spans="1:30" x14ac:dyDescent="0.35">
      <c r="A89" s="1" t="str">
        <f t="shared" si="15"/>
        <v/>
      </c>
      <c r="B89" s="31"/>
      <c r="C89" s="8"/>
      <c r="D89" s="8"/>
      <c r="E89" s="8"/>
      <c r="F89" s="8"/>
      <c r="G89" s="8"/>
      <c r="H89" s="32"/>
      <c r="I89" s="32"/>
      <c r="J89" s="25" t="str">
        <f>IF(B89="","",IFERROR(VLOOKUP(C89,Soldes_Ouverture,2,FALSE()),0)+SUMIFS($S$4:S89,$C$4:C89,C89))</f>
        <v/>
      </c>
      <c r="K89" s="1" t="str">
        <f t="shared" si="16"/>
        <v/>
      </c>
      <c r="L89" s="1" t="str">
        <f t="shared" si="17"/>
        <v/>
      </c>
      <c r="M89" s="1" t="str">
        <f t="shared" si="18"/>
        <v/>
      </c>
      <c r="N89" s="8"/>
      <c r="O89" s="8"/>
      <c r="P89" s="1" t="str">
        <f t="shared" si="19"/>
        <v/>
      </c>
      <c r="Q89" s="25" t="str">
        <f t="shared" si="20"/>
        <v/>
      </c>
      <c r="R89" s="1" t="str">
        <f t="shared" si="21"/>
        <v/>
      </c>
      <c r="S89" s="33" t="str">
        <f t="shared" si="22"/>
        <v/>
      </c>
      <c r="T89" s="34" t="str">
        <f>IF(B89="","",C89&amp;"|"&amp;ROUND(S89,2)&amp;"|"&amp;COUNTIFS($C$4:C89,C89,$S$4:S89,S89))</f>
        <v/>
      </c>
      <c r="U89" s="34" t="str">
        <f t="shared" si="23"/>
        <v/>
      </c>
      <c r="V89" s="34" t="str">
        <f t="shared" si="24"/>
        <v/>
      </c>
      <c r="W89" s="34" t="str">
        <f t="shared" si="25"/>
        <v/>
      </c>
      <c r="X89" s="34">
        <f t="shared" si="26"/>
        <v>0</v>
      </c>
      <c r="Y89" s="34" t="str">
        <f t="shared" si="27"/>
        <v/>
      </c>
      <c r="Z89" s="34" t="str">
        <f>IF(X89=1,V89,IF(Y89="","",IF(COUNTIF(Y$3:Y88,Y89)=0,Y89,"")))</f>
        <v/>
      </c>
      <c r="AA89" s="34" t="b">
        <f t="shared" si="28"/>
        <v>0</v>
      </c>
      <c r="AB89" s="34">
        <f t="shared" si="29"/>
        <v>0</v>
      </c>
      <c r="AC89" s="34" t="str">
        <f>IF(AND(B89&lt;&gt;"",C89=CompteSel,N(B89)&lt;=DateArret,AB89=0),MAX($AC$3:AC88)+1,"")</f>
        <v/>
      </c>
      <c r="AD89" s="34" t="str">
        <f>IF(AND(ISNUMBER(M89),C89=CompteSel),MAX($AD$3:AD88)+1,"")</f>
        <v/>
      </c>
    </row>
    <row r="90" spans="1:30" x14ac:dyDescent="0.35">
      <c r="A90" s="1" t="str">
        <f t="shared" si="15"/>
        <v/>
      </c>
      <c r="B90" s="31"/>
      <c r="C90" s="8"/>
      <c r="D90" s="8"/>
      <c r="E90" s="8"/>
      <c r="F90" s="8"/>
      <c r="G90" s="8"/>
      <c r="H90" s="32"/>
      <c r="I90" s="32"/>
      <c r="J90" s="25" t="str">
        <f>IF(B90="","",IFERROR(VLOOKUP(C90,Soldes_Ouverture,2,FALSE()),0)+SUMIFS($S$4:S90,$C$4:C90,C90))</f>
        <v/>
      </c>
      <c r="K90" s="1" t="str">
        <f t="shared" si="16"/>
        <v/>
      </c>
      <c r="L90" s="1" t="str">
        <f t="shared" si="17"/>
        <v/>
      </c>
      <c r="M90" s="1" t="str">
        <f t="shared" si="18"/>
        <v/>
      </c>
      <c r="N90" s="8"/>
      <c r="O90" s="8"/>
      <c r="P90" s="1" t="str">
        <f t="shared" si="19"/>
        <v/>
      </c>
      <c r="Q90" s="25" t="str">
        <f t="shared" si="20"/>
        <v/>
      </c>
      <c r="R90" s="1" t="str">
        <f t="shared" si="21"/>
        <v/>
      </c>
      <c r="S90" s="33" t="str">
        <f t="shared" si="22"/>
        <v/>
      </c>
      <c r="T90" s="34" t="str">
        <f>IF(B90="","",C90&amp;"|"&amp;ROUND(S90,2)&amp;"|"&amp;COUNTIFS($C$4:C90,C90,$S$4:S90,S90))</f>
        <v/>
      </c>
      <c r="U90" s="34" t="str">
        <f t="shared" si="23"/>
        <v/>
      </c>
      <c r="V90" s="34" t="str">
        <f t="shared" si="24"/>
        <v/>
      </c>
      <c r="W90" s="34" t="str">
        <f t="shared" si="25"/>
        <v/>
      </c>
      <c r="X90" s="34">
        <f t="shared" si="26"/>
        <v>0</v>
      </c>
      <c r="Y90" s="34" t="str">
        <f t="shared" si="27"/>
        <v/>
      </c>
      <c r="Z90" s="34" t="str">
        <f>IF(X90=1,V90,IF(Y90="","",IF(COUNTIF(Y$3:Y89,Y90)=0,Y90,"")))</f>
        <v/>
      </c>
      <c r="AA90" s="34" t="b">
        <f t="shared" si="28"/>
        <v>0</v>
      </c>
      <c r="AB90" s="34">
        <f t="shared" si="29"/>
        <v>0</v>
      </c>
      <c r="AC90" s="34" t="str">
        <f>IF(AND(B90&lt;&gt;"",C90=CompteSel,N(B90)&lt;=DateArret,AB90=0),MAX($AC$3:AC89)+1,"")</f>
        <v/>
      </c>
      <c r="AD90" s="34" t="str">
        <f>IF(AND(ISNUMBER(M90),C90=CompteSel),MAX($AD$3:AD89)+1,"")</f>
        <v/>
      </c>
    </row>
    <row r="91" spans="1:30" x14ac:dyDescent="0.35">
      <c r="A91" s="1" t="str">
        <f t="shared" si="15"/>
        <v/>
      </c>
      <c r="B91" s="31"/>
      <c r="C91" s="8"/>
      <c r="D91" s="8"/>
      <c r="E91" s="8"/>
      <c r="F91" s="8"/>
      <c r="G91" s="8"/>
      <c r="H91" s="32"/>
      <c r="I91" s="32"/>
      <c r="J91" s="25" t="str">
        <f>IF(B91="","",IFERROR(VLOOKUP(C91,Soldes_Ouverture,2,FALSE()),0)+SUMIFS($S$4:S91,$C$4:C91,C91))</f>
        <v/>
      </c>
      <c r="K91" s="1" t="str">
        <f t="shared" si="16"/>
        <v/>
      </c>
      <c r="L91" s="1" t="str">
        <f t="shared" si="17"/>
        <v/>
      </c>
      <c r="M91" s="1" t="str">
        <f t="shared" si="18"/>
        <v/>
      </c>
      <c r="N91" s="8"/>
      <c r="O91" s="8"/>
      <c r="P91" s="1" t="str">
        <f t="shared" si="19"/>
        <v/>
      </c>
      <c r="Q91" s="25" t="str">
        <f t="shared" si="20"/>
        <v/>
      </c>
      <c r="R91" s="1" t="str">
        <f t="shared" si="21"/>
        <v/>
      </c>
      <c r="S91" s="33" t="str">
        <f t="shared" si="22"/>
        <v/>
      </c>
      <c r="T91" s="34" t="str">
        <f>IF(B91="","",C91&amp;"|"&amp;ROUND(S91,2)&amp;"|"&amp;COUNTIFS($C$4:C91,C91,$S$4:S91,S91))</f>
        <v/>
      </c>
      <c r="U91" s="34" t="str">
        <f t="shared" si="23"/>
        <v/>
      </c>
      <c r="V91" s="34" t="str">
        <f t="shared" si="24"/>
        <v/>
      </c>
      <c r="W91" s="34" t="str">
        <f t="shared" si="25"/>
        <v/>
      </c>
      <c r="X91" s="34">
        <f t="shared" si="26"/>
        <v>0</v>
      </c>
      <c r="Y91" s="34" t="str">
        <f t="shared" si="27"/>
        <v/>
      </c>
      <c r="Z91" s="34" t="str">
        <f>IF(X91=1,V91,IF(Y91="","",IF(COUNTIF(Y$3:Y90,Y91)=0,Y91,"")))</f>
        <v/>
      </c>
      <c r="AA91" s="34" t="b">
        <f t="shared" si="28"/>
        <v>0</v>
      </c>
      <c r="AB91" s="34">
        <f t="shared" si="29"/>
        <v>0</v>
      </c>
      <c r="AC91" s="34" t="str">
        <f>IF(AND(B91&lt;&gt;"",C91=CompteSel,N(B91)&lt;=DateArret,AB91=0),MAX($AC$3:AC90)+1,"")</f>
        <v/>
      </c>
      <c r="AD91" s="34" t="str">
        <f>IF(AND(ISNUMBER(M91),C91=CompteSel),MAX($AD$3:AD90)+1,"")</f>
        <v/>
      </c>
    </row>
    <row r="92" spans="1:30" x14ac:dyDescent="0.35">
      <c r="A92" s="1" t="str">
        <f t="shared" si="15"/>
        <v/>
      </c>
      <c r="B92" s="31"/>
      <c r="C92" s="8"/>
      <c r="D92" s="8"/>
      <c r="E92" s="8"/>
      <c r="F92" s="8"/>
      <c r="G92" s="8"/>
      <c r="H92" s="32"/>
      <c r="I92" s="32"/>
      <c r="J92" s="25" t="str">
        <f>IF(B92="","",IFERROR(VLOOKUP(C92,Soldes_Ouverture,2,FALSE()),0)+SUMIFS($S$4:S92,$C$4:C92,C92))</f>
        <v/>
      </c>
      <c r="K92" s="1" t="str">
        <f t="shared" si="16"/>
        <v/>
      </c>
      <c r="L92" s="1" t="str">
        <f t="shared" si="17"/>
        <v/>
      </c>
      <c r="M92" s="1" t="str">
        <f t="shared" si="18"/>
        <v/>
      </c>
      <c r="N92" s="8"/>
      <c r="O92" s="8"/>
      <c r="P92" s="1" t="str">
        <f t="shared" si="19"/>
        <v/>
      </c>
      <c r="Q92" s="25" t="str">
        <f t="shared" si="20"/>
        <v/>
      </c>
      <c r="R92" s="1" t="str">
        <f t="shared" si="21"/>
        <v/>
      </c>
      <c r="S92" s="33" t="str">
        <f t="shared" si="22"/>
        <v/>
      </c>
      <c r="T92" s="34" t="str">
        <f>IF(B92="","",C92&amp;"|"&amp;ROUND(S92,2)&amp;"|"&amp;COUNTIFS($C$4:C92,C92,$S$4:S92,S92))</f>
        <v/>
      </c>
      <c r="U92" s="34" t="str">
        <f t="shared" si="23"/>
        <v/>
      </c>
      <c r="V92" s="34" t="str">
        <f t="shared" si="24"/>
        <v/>
      </c>
      <c r="W92" s="34" t="str">
        <f t="shared" si="25"/>
        <v/>
      </c>
      <c r="X92" s="34">
        <f t="shared" si="26"/>
        <v>0</v>
      </c>
      <c r="Y92" s="34" t="str">
        <f t="shared" si="27"/>
        <v/>
      </c>
      <c r="Z92" s="34" t="str">
        <f>IF(X92=1,V92,IF(Y92="","",IF(COUNTIF(Y$3:Y91,Y92)=0,Y92,"")))</f>
        <v/>
      </c>
      <c r="AA92" s="34" t="b">
        <f t="shared" si="28"/>
        <v>0</v>
      </c>
      <c r="AB92" s="34">
        <f t="shared" si="29"/>
        <v>0</v>
      </c>
      <c r="AC92" s="34" t="str">
        <f>IF(AND(B92&lt;&gt;"",C92=CompteSel,N(B92)&lt;=DateArret,AB92=0),MAX($AC$3:AC91)+1,"")</f>
        <v/>
      </c>
      <c r="AD92" s="34" t="str">
        <f>IF(AND(ISNUMBER(M92),C92=CompteSel),MAX($AD$3:AD91)+1,"")</f>
        <v/>
      </c>
    </row>
    <row r="93" spans="1:30" x14ac:dyDescent="0.35">
      <c r="A93" s="1" t="str">
        <f t="shared" si="15"/>
        <v/>
      </c>
      <c r="B93" s="31"/>
      <c r="C93" s="8"/>
      <c r="D93" s="8"/>
      <c r="E93" s="8"/>
      <c r="F93" s="8"/>
      <c r="G93" s="8"/>
      <c r="H93" s="32"/>
      <c r="I93" s="32"/>
      <c r="J93" s="25" t="str">
        <f>IF(B93="","",IFERROR(VLOOKUP(C93,Soldes_Ouverture,2,FALSE()),0)+SUMIFS($S$4:S93,$C$4:C93,C93))</f>
        <v/>
      </c>
      <c r="K93" s="1" t="str">
        <f t="shared" si="16"/>
        <v/>
      </c>
      <c r="L93" s="1" t="str">
        <f t="shared" si="17"/>
        <v/>
      </c>
      <c r="M93" s="1" t="str">
        <f t="shared" si="18"/>
        <v/>
      </c>
      <c r="N93" s="8"/>
      <c r="O93" s="8"/>
      <c r="P93" s="1" t="str">
        <f t="shared" si="19"/>
        <v/>
      </c>
      <c r="Q93" s="25" t="str">
        <f t="shared" si="20"/>
        <v/>
      </c>
      <c r="R93" s="1" t="str">
        <f t="shared" si="21"/>
        <v/>
      </c>
      <c r="S93" s="33" t="str">
        <f t="shared" si="22"/>
        <v/>
      </c>
      <c r="T93" s="34" t="str">
        <f>IF(B93="","",C93&amp;"|"&amp;ROUND(S93,2)&amp;"|"&amp;COUNTIFS($C$4:C93,C93,$S$4:S93,S93))</f>
        <v/>
      </c>
      <c r="U93" s="34" t="str">
        <f t="shared" si="23"/>
        <v/>
      </c>
      <c r="V93" s="34" t="str">
        <f t="shared" si="24"/>
        <v/>
      </c>
      <c r="W93" s="34" t="str">
        <f t="shared" si="25"/>
        <v/>
      </c>
      <c r="X93" s="34">
        <f t="shared" si="26"/>
        <v>0</v>
      </c>
      <c r="Y93" s="34" t="str">
        <f t="shared" si="27"/>
        <v/>
      </c>
      <c r="Z93" s="34" t="str">
        <f>IF(X93=1,V93,IF(Y93="","",IF(COUNTIF(Y$3:Y92,Y93)=0,Y93,"")))</f>
        <v/>
      </c>
      <c r="AA93" s="34" t="b">
        <f t="shared" si="28"/>
        <v>0</v>
      </c>
      <c r="AB93" s="34">
        <f t="shared" si="29"/>
        <v>0</v>
      </c>
      <c r="AC93" s="34" t="str">
        <f>IF(AND(B93&lt;&gt;"",C93=CompteSel,N(B93)&lt;=DateArret,AB93=0),MAX($AC$3:AC92)+1,"")</f>
        <v/>
      </c>
      <c r="AD93" s="34" t="str">
        <f>IF(AND(ISNUMBER(M93),C93=CompteSel),MAX($AD$3:AD92)+1,"")</f>
        <v/>
      </c>
    </row>
    <row r="94" spans="1:30" x14ac:dyDescent="0.35">
      <c r="A94" s="1" t="str">
        <f t="shared" si="15"/>
        <v/>
      </c>
      <c r="B94" s="31"/>
      <c r="C94" s="8"/>
      <c r="D94" s="8"/>
      <c r="E94" s="8"/>
      <c r="F94" s="8"/>
      <c r="G94" s="8"/>
      <c r="H94" s="32"/>
      <c r="I94" s="32"/>
      <c r="J94" s="25" t="str">
        <f>IF(B94="","",IFERROR(VLOOKUP(C94,Soldes_Ouverture,2,FALSE()),0)+SUMIFS($S$4:S94,$C$4:C94,C94))</f>
        <v/>
      </c>
      <c r="K94" s="1" t="str">
        <f t="shared" si="16"/>
        <v/>
      </c>
      <c r="L94" s="1" t="str">
        <f t="shared" si="17"/>
        <v/>
      </c>
      <c r="M94" s="1" t="str">
        <f t="shared" si="18"/>
        <v/>
      </c>
      <c r="N94" s="8"/>
      <c r="O94" s="8"/>
      <c r="P94" s="1" t="str">
        <f t="shared" si="19"/>
        <v/>
      </c>
      <c r="Q94" s="25" t="str">
        <f t="shared" si="20"/>
        <v/>
      </c>
      <c r="R94" s="1" t="str">
        <f t="shared" si="21"/>
        <v/>
      </c>
      <c r="S94" s="33" t="str">
        <f t="shared" si="22"/>
        <v/>
      </c>
      <c r="T94" s="34" t="str">
        <f>IF(B94="","",C94&amp;"|"&amp;ROUND(S94,2)&amp;"|"&amp;COUNTIFS($C$4:C94,C94,$S$4:S94,S94))</f>
        <v/>
      </c>
      <c r="U94" s="34" t="str">
        <f t="shared" si="23"/>
        <v/>
      </c>
      <c r="V94" s="34" t="str">
        <f t="shared" si="24"/>
        <v/>
      </c>
      <c r="W94" s="34" t="str">
        <f t="shared" si="25"/>
        <v/>
      </c>
      <c r="X94" s="34">
        <f t="shared" si="26"/>
        <v>0</v>
      </c>
      <c r="Y94" s="34" t="str">
        <f t="shared" si="27"/>
        <v/>
      </c>
      <c r="Z94" s="34" t="str">
        <f>IF(X94=1,V94,IF(Y94="","",IF(COUNTIF(Y$3:Y93,Y94)=0,Y94,"")))</f>
        <v/>
      </c>
      <c r="AA94" s="34" t="b">
        <f t="shared" si="28"/>
        <v>0</v>
      </c>
      <c r="AB94" s="34">
        <f t="shared" si="29"/>
        <v>0</v>
      </c>
      <c r="AC94" s="34" t="str">
        <f>IF(AND(B94&lt;&gt;"",C94=CompteSel,N(B94)&lt;=DateArret,AB94=0),MAX($AC$3:AC93)+1,"")</f>
        <v/>
      </c>
      <c r="AD94" s="34" t="str">
        <f>IF(AND(ISNUMBER(M94),C94=CompteSel),MAX($AD$3:AD93)+1,"")</f>
        <v/>
      </c>
    </row>
    <row r="95" spans="1:30" x14ac:dyDescent="0.35">
      <c r="A95" s="1" t="str">
        <f t="shared" si="15"/>
        <v/>
      </c>
      <c r="B95" s="31"/>
      <c r="C95" s="8"/>
      <c r="D95" s="8"/>
      <c r="E95" s="8"/>
      <c r="F95" s="8"/>
      <c r="G95" s="8"/>
      <c r="H95" s="32"/>
      <c r="I95" s="32"/>
      <c r="J95" s="25" t="str">
        <f>IF(B95="","",IFERROR(VLOOKUP(C95,Soldes_Ouverture,2,FALSE()),0)+SUMIFS($S$4:S95,$C$4:C95,C95))</f>
        <v/>
      </c>
      <c r="K95" s="1" t="str">
        <f t="shared" si="16"/>
        <v/>
      </c>
      <c r="L95" s="1" t="str">
        <f t="shared" si="17"/>
        <v/>
      </c>
      <c r="M95" s="1" t="str">
        <f t="shared" si="18"/>
        <v/>
      </c>
      <c r="N95" s="8"/>
      <c r="O95" s="8"/>
      <c r="P95" s="1" t="str">
        <f t="shared" si="19"/>
        <v/>
      </c>
      <c r="Q95" s="25" t="str">
        <f t="shared" si="20"/>
        <v/>
      </c>
      <c r="R95" s="1" t="str">
        <f t="shared" si="21"/>
        <v/>
      </c>
      <c r="S95" s="33" t="str">
        <f t="shared" si="22"/>
        <v/>
      </c>
      <c r="T95" s="34" t="str">
        <f>IF(B95="","",C95&amp;"|"&amp;ROUND(S95,2)&amp;"|"&amp;COUNTIFS($C$4:C95,C95,$S$4:S95,S95))</f>
        <v/>
      </c>
      <c r="U95" s="34" t="str">
        <f t="shared" si="23"/>
        <v/>
      </c>
      <c r="V95" s="34" t="str">
        <f t="shared" si="24"/>
        <v/>
      </c>
      <c r="W95" s="34" t="str">
        <f t="shared" si="25"/>
        <v/>
      </c>
      <c r="X95" s="34">
        <f t="shared" si="26"/>
        <v>0</v>
      </c>
      <c r="Y95" s="34" t="str">
        <f t="shared" si="27"/>
        <v/>
      </c>
      <c r="Z95" s="34" t="str">
        <f>IF(X95=1,V95,IF(Y95="","",IF(COUNTIF(Y$3:Y94,Y95)=0,Y95,"")))</f>
        <v/>
      </c>
      <c r="AA95" s="34" t="b">
        <f t="shared" si="28"/>
        <v>0</v>
      </c>
      <c r="AB95" s="34">
        <f t="shared" si="29"/>
        <v>0</v>
      </c>
      <c r="AC95" s="34" t="str">
        <f>IF(AND(B95&lt;&gt;"",C95=CompteSel,N(B95)&lt;=DateArret,AB95=0),MAX($AC$3:AC94)+1,"")</f>
        <v/>
      </c>
      <c r="AD95" s="34" t="str">
        <f>IF(AND(ISNUMBER(M95),C95=CompteSel),MAX($AD$3:AD94)+1,"")</f>
        <v/>
      </c>
    </row>
    <row r="96" spans="1:30" x14ac:dyDescent="0.35">
      <c r="A96" s="1" t="str">
        <f t="shared" si="15"/>
        <v/>
      </c>
      <c r="B96" s="31"/>
      <c r="C96" s="8"/>
      <c r="D96" s="8"/>
      <c r="E96" s="8"/>
      <c r="F96" s="8"/>
      <c r="G96" s="8"/>
      <c r="H96" s="32"/>
      <c r="I96" s="32"/>
      <c r="J96" s="25" t="str">
        <f>IF(B96="","",IFERROR(VLOOKUP(C96,Soldes_Ouverture,2,FALSE()),0)+SUMIFS($S$4:S96,$C$4:C96,C96))</f>
        <v/>
      </c>
      <c r="K96" s="1" t="str">
        <f t="shared" si="16"/>
        <v/>
      </c>
      <c r="L96" s="1" t="str">
        <f t="shared" si="17"/>
        <v/>
      </c>
      <c r="M96" s="1" t="str">
        <f t="shared" si="18"/>
        <v/>
      </c>
      <c r="N96" s="8"/>
      <c r="O96" s="8"/>
      <c r="P96" s="1" t="str">
        <f t="shared" si="19"/>
        <v/>
      </c>
      <c r="Q96" s="25" t="str">
        <f t="shared" si="20"/>
        <v/>
      </c>
      <c r="R96" s="1" t="str">
        <f t="shared" si="21"/>
        <v/>
      </c>
      <c r="S96" s="33" t="str">
        <f t="shared" si="22"/>
        <v/>
      </c>
      <c r="T96" s="34" t="str">
        <f>IF(B96="","",C96&amp;"|"&amp;ROUND(S96,2)&amp;"|"&amp;COUNTIFS($C$4:C96,C96,$S$4:S96,S96))</f>
        <v/>
      </c>
      <c r="U96" s="34" t="str">
        <f t="shared" si="23"/>
        <v/>
      </c>
      <c r="V96" s="34" t="str">
        <f t="shared" si="24"/>
        <v/>
      </c>
      <c r="W96" s="34" t="str">
        <f t="shared" si="25"/>
        <v/>
      </c>
      <c r="X96" s="34">
        <f t="shared" si="26"/>
        <v>0</v>
      </c>
      <c r="Y96" s="34" t="str">
        <f t="shared" si="27"/>
        <v/>
      </c>
      <c r="Z96" s="34" t="str">
        <f>IF(X96=1,V96,IF(Y96="","",IF(COUNTIF(Y$3:Y95,Y96)=0,Y96,"")))</f>
        <v/>
      </c>
      <c r="AA96" s="34" t="b">
        <f t="shared" si="28"/>
        <v>0</v>
      </c>
      <c r="AB96" s="34">
        <f t="shared" si="29"/>
        <v>0</v>
      </c>
      <c r="AC96" s="34" t="str">
        <f>IF(AND(B96&lt;&gt;"",C96=CompteSel,N(B96)&lt;=DateArret,AB96=0),MAX($AC$3:AC95)+1,"")</f>
        <v/>
      </c>
      <c r="AD96" s="34" t="str">
        <f>IF(AND(ISNUMBER(M96),C96=CompteSel),MAX($AD$3:AD95)+1,"")</f>
        <v/>
      </c>
    </row>
    <row r="97" spans="1:30" x14ac:dyDescent="0.35">
      <c r="A97" s="1" t="str">
        <f t="shared" si="15"/>
        <v/>
      </c>
      <c r="B97" s="31"/>
      <c r="C97" s="8"/>
      <c r="D97" s="8"/>
      <c r="E97" s="8"/>
      <c r="F97" s="8"/>
      <c r="G97" s="8"/>
      <c r="H97" s="32"/>
      <c r="I97" s="32"/>
      <c r="J97" s="25" t="str">
        <f>IF(B97="","",IFERROR(VLOOKUP(C97,Soldes_Ouverture,2,FALSE()),0)+SUMIFS($S$4:S97,$C$4:C97,C97))</f>
        <v/>
      </c>
      <c r="K97" s="1" t="str">
        <f t="shared" si="16"/>
        <v/>
      </c>
      <c r="L97" s="1" t="str">
        <f t="shared" si="17"/>
        <v/>
      </c>
      <c r="M97" s="1" t="str">
        <f t="shared" si="18"/>
        <v/>
      </c>
      <c r="N97" s="8"/>
      <c r="O97" s="8"/>
      <c r="P97" s="1" t="str">
        <f t="shared" si="19"/>
        <v/>
      </c>
      <c r="Q97" s="25" t="str">
        <f t="shared" si="20"/>
        <v/>
      </c>
      <c r="R97" s="1" t="str">
        <f t="shared" si="21"/>
        <v/>
      </c>
      <c r="S97" s="33" t="str">
        <f t="shared" si="22"/>
        <v/>
      </c>
      <c r="T97" s="34" t="str">
        <f>IF(B97="","",C97&amp;"|"&amp;ROUND(S97,2)&amp;"|"&amp;COUNTIFS($C$4:C97,C97,$S$4:S97,S97))</f>
        <v/>
      </c>
      <c r="U97" s="34" t="str">
        <f t="shared" si="23"/>
        <v/>
      </c>
      <c r="V97" s="34" t="str">
        <f t="shared" si="24"/>
        <v/>
      </c>
      <c r="W97" s="34" t="str">
        <f t="shared" si="25"/>
        <v/>
      </c>
      <c r="X97" s="34">
        <f t="shared" si="26"/>
        <v>0</v>
      </c>
      <c r="Y97" s="34" t="str">
        <f t="shared" si="27"/>
        <v/>
      </c>
      <c r="Z97" s="34" t="str">
        <f>IF(X97=1,V97,IF(Y97="","",IF(COUNTIF(Y$3:Y96,Y97)=0,Y97,"")))</f>
        <v/>
      </c>
      <c r="AA97" s="34" t="b">
        <f t="shared" si="28"/>
        <v>0</v>
      </c>
      <c r="AB97" s="34">
        <f t="shared" si="29"/>
        <v>0</v>
      </c>
      <c r="AC97" s="34" t="str">
        <f>IF(AND(B97&lt;&gt;"",C97=CompteSel,N(B97)&lt;=DateArret,AB97=0),MAX($AC$3:AC96)+1,"")</f>
        <v/>
      </c>
      <c r="AD97" s="34" t="str">
        <f>IF(AND(ISNUMBER(M97),C97=CompteSel),MAX($AD$3:AD96)+1,"")</f>
        <v/>
      </c>
    </row>
    <row r="98" spans="1:30" x14ac:dyDescent="0.35">
      <c r="A98" s="1" t="str">
        <f t="shared" si="15"/>
        <v/>
      </c>
      <c r="B98" s="31"/>
      <c r="C98" s="8"/>
      <c r="D98" s="8"/>
      <c r="E98" s="8"/>
      <c r="F98" s="8"/>
      <c r="G98" s="8"/>
      <c r="H98" s="32"/>
      <c r="I98" s="32"/>
      <c r="J98" s="25" t="str">
        <f>IF(B98="","",IFERROR(VLOOKUP(C98,Soldes_Ouverture,2,FALSE()),0)+SUMIFS($S$4:S98,$C$4:C98,C98))</f>
        <v/>
      </c>
      <c r="K98" s="1" t="str">
        <f t="shared" si="16"/>
        <v/>
      </c>
      <c r="L98" s="1" t="str">
        <f t="shared" si="17"/>
        <v/>
      </c>
      <c r="M98" s="1" t="str">
        <f t="shared" si="18"/>
        <v/>
      </c>
      <c r="N98" s="8"/>
      <c r="O98" s="8"/>
      <c r="P98" s="1" t="str">
        <f t="shared" si="19"/>
        <v/>
      </c>
      <c r="Q98" s="25" t="str">
        <f t="shared" si="20"/>
        <v/>
      </c>
      <c r="R98" s="1" t="str">
        <f t="shared" si="21"/>
        <v/>
      </c>
      <c r="S98" s="33" t="str">
        <f t="shared" si="22"/>
        <v/>
      </c>
      <c r="T98" s="34" t="str">
        <f>IF(B98="","",C98&amp;"|"&amp;ROUND(S98,2)&amp;"|"&amp;COUNTIFS($C$4:C98,C98,$S$4:S98,S98))</f>
        <v/>
      </c>
      <c r="U98" s="34" t="str">
        <f t="shared" si="23"/>
        <v/>
      </c>
      <c r="V98" s="34" t="str">
        <f t="shared" si="24"/>
        <v/>
      </c>
      <c r="W98" s="34" t="str">
        <f t="shared" si="25"/>
        <v/>
      </c>
      <c r="X98" s="34">
        <f t="shared" si="26"/>
        <v>0</v>
      </c>
      <c r="Y98" s="34" t="str">
        <f t="shared" si="27"/>
        <v/>
      </c>
      <c r="Z98" s="34" t="str">
        <f>IF(X98=1,V98,IF(Y98="","",IF(COUNTIF(Y$3:Y97,Y98)=0,Y98,"")))</f>
        <v/>
      </c>
      <c r="AA98" s="34" t="b">
        <f t="shared" si="28"/>
        <v>0</v>
      </c>
      <c r="AB98" s="34">
        <f t="shared" si="29"/>
        <v>0</v>
      </c>
      <c r="AC98" s="34" t="str">
        <f>IF(AND(B98&lt;&gt;"",C98=CompteSel,N(B98)&lt;=DateArret,AB98=0),MAX($AC$3:AC97)+1,"")</f>
        <v/>
      </c>
      <c r="AD98" s="34" t="str">
        <f>IF(AND(ISNUMBER(M98),C98=CompteSel),MAX($AD$3:AD97)+1,"")</f>
        <v/>
      </c>
    </row>
    <row r="99" spans="1:30" x14ac:dyDescent="0.35">
      <c r="A99" s="1" t="str">
        <f t="shared" si="15"/>
        <v/>
      </c>
      <c r="B99" s="31"/>
      <c r="C99" s="8"/>
      <c r="D99" s="8"/>
      <c r="E99" s="8"/>
      <c r="F99" s="8"/>
      <c r="G99" s="8"/>
      <c r="H99" s="32"/>
      <c r="I99" s="32"/>
      <c r="J99" s="25" t="str">
        <f>IF(B99="","",IFERROR(VLOOKUP(C99,Soldes_Ouverture,2,FALSE()),0)+SUMIFS($S$4:S99,$C$4:C99,C99))</f>
        <v/>
      </c>
      <c r="K99" s="1" t="str">
        <f t="shared" si="16"/>
        <v/>
      </c>
      <c r="L99" s="1" t="str">
        <f t="shared" si="17"/>
        <v/>
      </c>
      <c r="M99" s="1" t="str">
        <f t="shared" si="18"/>
        <v/>
      </c>
      <c r="N99" s="8"/>
      <c r="O99" s="8"/>
      <c r="P99" s="1" t="str">
        <f t="shared" si="19"/>
        <v/>
      </c>
      <c r="Q99" s="25" t="str">
        <f t="shared" si="20"/>
        <v/>
      </c>
      <c r="R99" s="1" t="str">
        <f t="shared" si="21"/>
        <v/>
      </c>
      <c r="S99" s="33" t="str">
        <f t="shared" si="22"/>
        <v/>
      </c>
      <c r="T99" s="34" t="str">
        <f>IF(B99="","",C99&amp;"|"&amp;ROUND(S99,2)&amp;"|"&amp;COUNTIFS($C$4:C99,C99,$S$4:S99,S99))</f>
        <v/>
      </c>
      <c r="U99" s="34" t="str">
        <f t="shared" si="23"/>
        <v/>
      </c>
      <c r="V99" s="34" t="str">
        <f t="shared" si="24"/>
        <v/>
      </c>
      <c r="W99" s="34" t="str">
        <f t="shared" si="25"/>
        <v/>
      </c>
      <c r="X99" s="34">
        <f t="shared" si="26"/>
        <v>0</v>
      </c>
      <c r="Y99" s="34" t="str">
        <f t="shared" si="27"/>
        <v/>
      </c>
      <c r="Z99" s="34" t="str">
        <f>IF(X99=1,V99,IF(Y99="","",IF(COUNTIF(Y$3:Y98,Y99)=0,Y99,"")))</f>
        <v/>
      </c>
      <c r="AA99" s="34" t="b">
        <f t="shared" si="28"/>
        <v>0</v>
      </c>
      <c r="AB99" s="34">
        <f t="shared" si="29"/>
        <v>0</v>
      </c>
      <c r="AC99" s="34" t="str">
        <f>IF(AND(B99&lt;&gt;"",C99=CompteSel,N(B99)&lt;=DateArret,AB99=0),MAX($AC$3:AC98)+1,"")</f>
        <v/>
      </c>
      <c r="AD99" s="34" t="str">
        <f>IF(AND(ISNUMBER(M99),C99=CompteSel),MAX($AD$3:AD98)+1,"")</f>
        <v/>
      </c>
    </row>
    <row r="100" spans="1:30" x14ac:dyDescent="0.35">
      <c r="A100" s="1" t="str">
        <f t="shared" si="15"/>
        <v/>
      </c>
      <c r="B100" s="31"/>
      <c r="C100" s="8"/>
      <c r="D100" s="8"/>
      <c r="E100" s="8"/>
      <c r="F100" s="8"/>
      <c r="G100" s="8"/>
      <c r="H100" s="32"/>
      <c r="I100" s="32"/>
      <c r="J100" s="25" t="str">
        <f>IF(B100="","",IFERROR(VLOOKUP(C100,Soldes_Ouverture,2,FALSE()),0)+SUMIFS($S$4:S100,$C$4:C100,C100))</f>
        <v/>
      </c>
      <c r="K100" s="1" t="str">
        <f t="shared" si="16"/>
        <v/>
      </c>
      <c r="L100" s="1" t="str">
        <f t="shared" si="17"/>
        <v/>
      </c>
      <c r="M100" s="1" t="str">
        <f t="shared" si="18"/>
        <v/>
      </c>
      <c r="N100" s="8"/>
      <c r="O100" s="8"/>
      <c r="P100" s="1" t="str">
        <f t="shared" si="19"/>
        <v/>
      </c>
      <c r="Q100" s="25" t="str">
        <f t="shared" si="20"/>
        <v/>
      </c>
      <c r="R100" s="1" t="str">
        <f t="shared" si="21"/>
        <v/>
      </c>
      <c r="S100" s="33" t="str">
        <f t="shared" si="22"/>
        <v/>
      </c>
      <c r="T100" s="34" t="str">
        <f>IF(B100="","",C100&amp;"|"&amp;ROUND(S100,2)&amp;"|"&amp;COUNTIFS($C$4:C100,C100,$S$4:S100,S100))</f>
        <v/>
      </c>
      <c r="U100" s="34" t="str">
        <f t="shared" si="23"/>
        <v/>
      </c>
      <c r="V100" s="34" t="str">
        <f t="shared" si="24"/>
        <v/>
      </c>
      <c r="W100" s="34" t="str">
        <f t="shared" si="25"/>
        <v/>
      </c>
      <c r="X100" s="34">
        <f t="shared" si="26"/>
        <v>0</v>
      </c>
      <c r="Y100" s="34" t="str">
        <f t="shared" si="27"/>
        <v/>
      </c>
      <c r="Z100" s="34" t="str">
        <f>IF(X100=1,V100,IF(Y100="","",IF(COUNTIF(Y$3:Y99,Y100)=0,Y100,"")))</f>
        <v/>
      </c>
      <c r="AA100" s="34" t="b">
        <f t="shared" si="28"/>
        <v>0</v>
      </c>
      <c r="AB100" s="34">
        <f t="shared" si="29"/>
        <v>0</v>
      </c>
      <c r="AC100" s="34" t="str">
        <f>IF(AND(B100&lt;&gt;"",C100=CompteSel,N(B100)&lt;=DateArret,AB100=0),MAX($AC$3:AC99)+1,"")</f>
        <v/>
      </c>
      <c r="AD100" s="34" t="str">
        <f>IF(AND(ISNUMBER(M100),C100=CompteSel),MAX($AD$3:AD99)+1,"")</f>
        <v/>
      </c>
    </row>
    <row r="101" spans="1:30" x14ac:dyDescent="0.35">
      <c r="A101" s="1" t="str">
        <f t="shared" si="15"/>
        <v/>
      </c>
      <c r="B101" s="31"/>
      <c r="C101" s="8"/>
      <c r="D101" s="8"/>
      <c r="E101" s="8"/>
      <c r="F101" s="8"/>
      <c r="G101" s="8"/>
      <c r="H101" s="32"/>
      <c r="I101" s="32"/>
      <c r="J101" s="25" t="str">
        <f>IF(B101="","",IFERROR(VLOOKUP(C101,Soldes_Ouverture,2,FALSE()),0)+SUMIFS($S$4:S101,$C$4:C101,C101))</f>
        <v/>
      </c>
      <c r="K101" s="1" t="str">
        <f t="shared" si="16"/>
        <v/>
      </c>
      <c r="L101" s="1" t="str">
        <f t="shared" si="17"/>
        <v/>
      </c>
      <c r="M101" s="1" t="str">
        <f t="shared" si="18"/>
        <v/>
      </c>
      <c r="N101" s="8"/>
      <c r="O101" s="8"/>
      <c r="P101" s="1" t="str">
        <f t="shared" si="19"/>
        <v/>
      </c>
      <c r="Q101" s="25" t="str">
        <f t="shared" si="20"/>
        <v/>
      </c>
      <c r="R101" s="1" t="str">
        <f t="shared" si="21"/>
        <v/>
      </c>
      <c r="S101" s="33" t="str">
        <f t="shared" si="22"/>
        <v/>
      </c>
      <c r="T101" s="34" t="str">
        <f>IF(B101="","",C101&amp;"|"&amp;ROUND(S101,2)&amp;"|"&amp;COUNTIFS($C$4:C101,C101,$S$4:S101,S101))</f>
        <v/>
      </c>
      <c r="U101" s="34" t="str">
        <f t="shared" si="23"/>
        <v/>
      </c>
      <c r="V101" s="34" t="str">
        <f t="shared" si="24"/>
        <v/>
      </c>
      <c r="W101" s="34" t="str">
        <f t="shared" si="25"/>
        <v/>
      </c>
      <c r="X101" s="34">
        <f t="shared" si="26"/>
        <v>0</v>
      </c>
      <c r="Y101" s="34" t="str">
        <f t="shared" si="27"/>
        <v/>
      </c>
      <c r="Z101" s="34" t="str">
        <f>IF(X101=1,V101,IF(Y101="","",IF(COUNTIF(Y$3:Y100,Y101)=0,Y101,"")))</f>
        <v/>
      </c>
      <c r="AA101" s="34" t="b">
        <f t="shared" si="28"/>
        <v>0</v>
      </c>
      <c r="AB101" s="34">
        <f t="shared" si="29"/>
        <v>0</v>
      </c>
      <c r="AC101" s="34" t="str">
        <f>IF(AND(B101&lt;&gt;"",C101=CompteSel,N(B101)&lt;=DateArret,AB101=0),MAX($AC$3:AC100)+1,"")</f>
        <v/>
      </c>
      <c r="AD101" s="34" t="str">
        <f>IF(AND(ISNUMBER(M101),C101=CompteSel),MAX($AD$3:AD100)+1,"")</f>
        <v/>
      </c>
    </row>
    <row r="102" spans="1:30" x14ac:dyDescent="0.35">
      <c r="A102" s="1" t="str">
        <f t="shared" si="15"/>
        <v/>
      </c>
      <c r="B102" s="31"/>
      <c r="C102" s="8"/>
      <c r="D102" s="8"/>
      <c r="E102" s="8"/>
      <c r="F102" s="8"/>
      <c r="G102" s="8"/>
      <c r="H102" s="32"/>
      <c r="I102" s="32"/>
      <c r="J102" s="25" t="str">
        <f>IF(B102="","",IFERROR(VLOOKUP(C102,Soldes_Ouverture,2,FALSE()),0)+SUMIFS($S$4:S102,$C$4:C102,C102))</f>
        <v/>
      </c>
      <c r="K102" s="1" t="str">
        <f t="shared" si="16"/>
        <v/>
      </c>
      <c r="L102" s="1" t="str">
        <f t="shared" si="17"/>
        <v/>
      </c>
      <c r="M102" s="1" t="str">
        <f t="shared" si="18"/>
        <v/>
      </c>
      <c r="N102" s="8"/>
      <c r="O102" s="8"/>
      <c r="P102" s="1" t="str">
        <f t="shared" si="19"/>
        <v/>
      </c>
      <c r="Q102" s="25" t="str">
        <f t="shared" si="20"/>
        <v/>
      </c>
      <c r="R102" s="1" t="str">
        <f t="shared" si="21"/>
        <v/>
      </c>
      <c r="S102" s="33" t="str">
        <f t="shared" si="22"/>
        <v/>
      </c>
      <c r="T102" s="34" t="str">
        <f>IF(B102="","",C102&amp;"|"&amp;ROUND(S102,2)&amp;"|"&amp;COUNTIFS($C$4:C102,C102,$S$4:S102,S102))</f>
        <v/>
      </c>
      <c r="U102" s="34" t="str">
        <f t="shared" si="23"/>
        <v/>
      </c>
      <c r="V102" s="34" t="str">
        <f t="shared" si="24"/>
        <v/>
      </c>
      <c r="W102" s="34" t="str">
        <f t="shared" si="25"/>
        <v/>
      </c>
      <c r="X102" s="34">
        <f t="shared" si="26"/>
        <v>0</v>
      </c>
      <c r="Y102" s="34" t="str">
        <f t="shared" si="27"/>
        <v/>
      </c>
      <c r="Z102" s="34" t="str">
        <f>IF(X102=1,V102,IF(Y102="","",IF(COUNTIF(Y$3:Y101,Y102)=0,Y102,"")))</f>
        <v/>
      </c>
      <c r="AA102" s="34" t="b">
        <f t="shared" si="28"/>
        <v>0</v>
      </c>
      <c r="AB102" s="34">
        <f t="shared" si="29"/>
        <v>0</v>
      </c>
      <c r="AC102" s="34" t="str">
        <f>IF(AND(B102&lt;&gt;"",C102=CompteSel,N(B102)&lt;=DateArret,AB102=0),MAX($AC$3:AC101)+1,"")</f>
        <v/>
      </c>
      <c r="AD102" s="34" t="str">
        <f>IF(AND(ISNUMBER(M102),C102=CompteSel),MAX($AD$3:AD101)+1,"")</f>
        <v/>
      </c>
    </row>
    <row r="103" spans="1:30" x14ac:dyDescent="0.35">
      <c r="A103" s="1" t="str">
        <f t="shared" si="15"/>
        <v/>
      </c>
      <c r="B103" s="31"/>
      <c r="C103" s="8"/>
      <c r="D103" s="8"/>
      <c r="E103" s="8"/>
      <c r="F103" s="8"/>
      <c r="G103" s="8"/>
      <c r="H103" s="32"/>
      <c r="I103" s="32"/>
      <c r="J103" s="25" t="str">
        <f>IF(B103="","",IFERROR(VLOOKUP(C103,Soldes_Ouverture,2,FALSE()),0)+SUMIFS($S$4:S103,$C$4:C103,C103))</f>
        <v/>
      </c>
      <c r="K103" s="1" t="str">
        <f t="shared" si="16"/>
        <v/>
      </c>
      <c r="L103" s="1" t="str">
        <f t="shared" si="17"/>
        <v/>
      </c>
      <c r="M103" s="1" t="str">
        <f t="shared" si="18"/>
        <v/>
      </c>
      <c r="N103" s="8"/>
      <c r="O103" s="8"/>
      <c r="P103" s="1" t="str">
        <f t="shared" si="19"/>
        <v/>
      </c>
      <c r="Q103" s="25" t="str">
        <f t="shared" si="20"/>
        <v/>
      </c>
      <c r="R103" s="1" t="str">
        <f t="shared" si="21"/>
        <v/>
      </c>
      <c r="S103" s="33" t="str">
        <f t="shared" si="22"/>
        <v/>
      </c>
      <c r="T103" s="34" t="str">
        <f>IF(B103="","",C103&amp;"|"&amp;ROUND(S103,2)&amp;"|"&amp;COUNTIFS($C$4:C103,C103,$S$4:S103,S103))</f>
        <v/>
      </c>
      <c r="U103" s="34" t="str">
        <f t="shared" si="23"/>
        <v/>
      </c>
      <c r="V103" s="34" t="str">
        <f t="shared" si="24"/>
        <v/>
      </c>
      <c r="W103" s="34" t="str">
        <f t="shared" si="25"/>
        <v/>
      </c>
      <c r="X103" s="34">
        <f t="shared" si="26"/>
        <v>0</v>
      </c>
      <c r="Y103" s="34" t="str">
        <f t="shared" si="27"/>
        <v/>
      </c>
      <c r="Z103" s="34" t="str">
        <f>IF(X103=1,V103,IF(Y103="","",IF(COUNTIF(Y$3:Y102,Y103)=0,Y103,"")))</f>
        <v/>
      </c>
      <c r="AA103" s="34" t="b">
        <f t="shared" si="28"/>
        <v>0</v>
      </c>
      <c r="AB103" s="34">
        <f t="shared" si="29"/>
        <v>0</v>
      </c>
      <c r="AC103" s="34" t="str">
        <f>IF(AND(B103&lt;&gt;"",C103=CompteSel,N(B103)&lt;=DateArret,AB103=0),MAX($AC$3:AC102)+1,"")</f>
        <v/>
      </c>
      <c r="AD103" s="34" t="str">
        <f>IF(AND(ISNUMBER(M103),C103=CompteSel),MAX($AD$3:AD102)+1,"")</f>
        <v/>
      </c>
    </row>
    <row r="104" spans="1:30" x14ac:dyDescent="0.35">
      <c r="A104" s="1" t="str">
        <f t="shared" si="15"/>
        <v/>
      </c>
      <c r="B104" s="31"/>
      <c r="C104" s="8"/>
      <c r="D104" s="8"/>
      <c r="E104" s="8"/>
      <c r="F104" s="8"/>
      <c r="G104" s="8"/>
      <c r="H104" s="32"/>
      <c r="I104" s="32"/>
      <c r="J104" s="25" t="str">
        <f>IF(B104="","",IFERROR(VLOOKUP(C104,Soldes_Ouverture,2,FALSE()),0)+SUMIFS($S$4:S104,$C$4:C104,C104))</f>
        <v/>
      </c>
      <c r="K104" s="1" t="str">
        <f t="shared" si="16"/>
        <v/>
      </c>
      <c r="L104" s="1" t="str">
        <f t="shared" si="17"/>
        <v/>
      </c>
      <c r="M104" s="1" t="str">
        <f t="shared" si="18"/>
        <v/>
      </c>
      <c r="N104" s="8"/>
      <c r="O104" s="8"/>
      <c r="P104" s="1" t="str">
        <f t="shared" si="19"/>
        <v/>
      </c>
      <c r="Q104" s="25" t="str">
        <f t="shared" si="20"/>
        <v/>
      </c>
      <c r="R104" s="1" t="str">
        <f t="shared" si="21"/>
        <v/>
      </c>
      <c r="S104" s="33" t="str">
        <f t="shared" si="22"/>
        <v/>
      </c>
      <c r="T104" s="34" t="str">
        <f>IF(B104="","",C104&amp;"|"&amp;ROUND(S104,2)&amp;"|"&amp;COUNTIFS($C$4:C104,C104,$S$4:S104,S104))</f>
        <v/>
      </c>
      <c r="U104" s="34" t="str">
        <f t="shared" si="23"/>
        <v/>
      </c>
      <c r="V104" s="34" t="str">
        <f t="shared" si="24"/>
        <v/>
      </c>
      <c r="W104" s="34" t="str">
        <f t="shared" si="25"/>
        <v/>
      </c>
      <c r="X104" s="34">
        <f t="shared" si="26"/>
        <v>0</v>
      </c>
      <c r="Y104" s="34" t="str">
        <f t="shared" si="27"/>
        <v/>
      </c>
      <c r="Z104" s="34" t="str">
        <f>IF(X104=1,V104,IF(Y104="","",IF(COUNTIF(Y$3:Y103,Y104)=0,Y104,"")))</f>
        <v/>
      </c>
      <c r="AA104" s="34" t="b">
        <f t="shared" si="28"/>
        <v>0</v>
      </c>
      <c r="AB104" s="34">
        <f t="shared" si="29"/>
        <v>0</v>
      </c>
      <c r="AC104" s="34" t="str">
        <f>IF(AND(B104&lt;&gt;"",C104=CompteSel,N(B104)&lt;=DateArret,AB104=0),MAX($AC$3:AC103)+1,"")</f>
        <v/>
      </c>
      <c r="AD104" s="34" t="str">
        <f>IF(AND(ISNUMBER(M104),C104=CompteSel),MAX($AD$3:AD103)+1,"")</f>
        <v/>
      </c>
    </row>
    <row r="105" spans="1:30" x14ac:dyDescent="0.35">
      <c r="A105" s="1" t="str">
        <f t="shared" si="15"/>
        <v/>
      </c>
      <c r="B105" s="31"/>
      <c r="C105" s="8"/>
      <c r="D105" s="8"/>
      <c r="E105" s="8"/>
      <c r="F105" s="8"/>
      <c r="G105" s="8"/>
      <c r="H105" s="32"/>
      <c r="I105" s="32"/>
      <c r="J105" s="25" t="str">
        <f>IF(B105="","",IFERROR(VLOOKUP(C105,Soldes_Ouverture,2,FALSE()),0)+SUMIFS($S$4:S105,$C$4:C105,C105))</f>
        <v/>
      </c>
      <c r="K105" s="1" t="str">
        <f t="shared" si="16"/>
        <v/>
      </c>
      <c r="L105" s="1" t="str">
        <f t="shared" si="17"/>
        <v/>
      </c>
      <c r="M105" s="1" t="str">
        <f t="shared" si="18"/>
        <v/>
      </c>
      <c r="N105" s="8"/>
      <c r="O105" s="8"/>
      <c r="P105" s="1" t="str">
        <f t="shared" si="19"/>
        <v/>
      </c>
      <c r="Q105" s="25" t="str">
        <f t="shared" si="20"/>
        <v/>
      </c>
      <c r="R105" s="1" t="str">
        <f t="shared" si="21"/>
        <v/>
      </c>
      <c r="S105" s="33" t="str">
        <f t="shared" si="22"/>
        <v/>
      </c>
      <c r="T105" s="34" t="str">
        <f>IF(B105="","",C105&amp;"|"&amp;ROUND(S105,2)&amp;"|"&amp;COUNTIFS($C$4:C105,C105,$S$4:S105,S105))</f>
        <v/>
      </c>
      <c r="U105" s="34" t="str">
        <f t="shared" si="23"/>
        <v/>
      </c>
      <c r="V105" s="34" t="str">
        <f t="shared" si="24"/>
        <v/>
      </c>
      <c r="W105" s="34" t="str">
        <f t="shared" si="25"/>
        <v/>
      </c>
      <c r="X105" s="34">
        <f t="shared" si="26"/>
        <v>0</v>
      </c>
      <c r="Y105" s="34" t="str">
        <f t="shared" si="27"/>
        <v/>
      </c>
      <c r="Z105" s="34" t="str">
        <f>IF(X105=1,V105,IF(Y105="","",IF(COUNTIF(Y$3:Y104,Y105)=0,Y105,"")))</f>
        <v/>
      </c>
      <c r="AA105" s="34" t="b">
        <f t="shared" si="28"/>
        <v>0</v>
      </c>
      <c r="AB105" s="34">
        <f t="shared" si="29"/>
        <v>0</v>
      </c>
      <c r="AC105" s="34" t="str">
        <f>IF(AND(B105&lt;&gt;"",C105=CompteSel,N(B105)&lt;=DateArret,AB105=0),MAX($AC$3:AC104)+1,"")</f>
        <v/>
      </c>
      <c r="AD105" s="34" t="str">
        <f>IF(AND(ISNUMBER(M105),C105=CompteSel),MAX($AD$3:AD104)+1,"")</f>
        <v/>
      </c>
    </row>
    <row r="106" spans="1:30" x14ac:dyDescent="0.35">
      <c r="A106" s="1" t="str">
        <f t="shared" si="15"/>
        <v/>
      </c>
      <c r="B106" s="31"/>
      <c r="C106" s="8"/>
      <c r="D106" s="8"/>
      <c r="E106" s="8"/>
      <c r="F106" s="8"/>
      <c r="G106" s="8"/>
      <c r="H106" s="32"/>
      <c r="I106" s="32"/>
      <c r="J106" s="25" t="str">
        <f>IF(B106="","",IFERROR(VLOOKUP(C106,Soldes_Ouverture,2,FALSE()),0)+SUMIFS($S$4:S106,$C$4:C106,C106))</f>
        <v/>
      </c>
      <c r="K106" s="1" t="str">
        <f t="shared" si="16"/>
        <v/>
      </c>
      <c r="L106" s="1" t="str">
        <f t="shared" si="17"/>
        <v/>
      </c>
      <c r="M106" s="1" t="str">
        <f t="shared" si="18"/>
        <v/>
      </c>
      <c r="N106" s="8"/>
      <c r="O106" s="8"/>
      <c r="P106" s="1" t="str">
        <f t="shared" si="19"/>
        <v/>
      </c>
      <c r="Q106" s="25" t="str">
        <f t="shared" si="20"/>
        <v/>
      </c>
      <c r="R106" s="1" t="str">
        <f t="shared" si="21"/>
        <v/>
      </c>
      <c r="S106" s="33" t="str">
        <f t="shared" si="22"/>
        <v/>
      </c>
      <c r="T106" s="34" t="str">
        <f>IF(B106="","",C106&amp;"|"&amp;ROUND(S106,2)&amp;"|"&amp;COUNTIFS($C$4:C106,C106,$S$4:S106,S106))</f>
        <v/>
      </c>
      <c r="U106" s="34" t="str">
        <f t="shared" si="23"/>
        <v/>
      </c>
      <c r="V106" s="34" t="str">
        <f t="shared" si="24"/>
        <v/>
      </c>
      <c r="W106" s="34" t="str">
        <f t="shared" si="25"/>
        <v/>
      </c>
      <c r="X106" s="34">
        <f t="shared" si="26"/>
        <v>0</v>
      </c>
      <c r="Y106" s="34" t="str">
        <f t="shared" si="27"/>
        <v/>
      </c>
      <c r="Z106" s="34" t="str">
        <f>IF(X106=1,V106,IF(Y106="","",IF(COUNTIF(Y$3:Y105,Y106)=0,Y106,"")))</f>
        <v/>
      </c>
      <c r="AA106" s="34" t="b">
        <f t="shared" si="28"/>
        <v>0</v>
      </c>
      <c r="AB106" s="34">
        <f t="shared" si="29"/>
        <v>0</v>
      </c>
      <c r="AC106" s="34" t="str">
        <f>IF(AND(B106&lt;&gt;"",C106=CompteSel,N(B106)&lt;=DateArret,AB106=0),MAX($AC$3:AC105)+1,"")</f>
        <v/>
      </c>
      <c r="AD106" s="34" t="str">
        <f>IF(AND(ISNUMBER(M106),C106=CompteSel),MAX($AD$3:AD105)+1,"")</f>
        <v/>
      </c>
    </row>
    <row r="107" spans="1:30" x14ac:dyDescent="0.35">
      <c r="A107" s="1" t="str">
        <f t="shared" si="15"/>
        <v/>
      </c>
      <c r="B107" s="31"/>
      <c r="C107" s="8"/>
      <c r="D107" s="8"/>
      <c r="E107" s="8"/>
      <c r="F107" s="8"/>
      <c r="G107" s="8"/>
      <c r="H107" s="32"/>
      <c r="I107" s="32"/>
      <c r="J107" s="25" t="str">
        <f>IF(B107="","",IFERROR(VLOOKUP(C107,Soldes_Ouverture,2,FALSE()),0)+SUMIFS($S$4:S107,$C$4:C107,C107))</f>
        <v/>
      </c>
      <c r="K107" s="1" t="str">
        <f t="shared" si="16"/>
        <v/>
      </c>
      <c r="L107" s="1" t="str">
        <f t="shared" si="17"/>
        <v/>
      </c>
      <c r="M107" s="1" t="str">
        <f t="shared" si="18"/>
        <v/>
      </c>
      <c r="N107" s="8"/>
      <c r="O107" s="8"/>
      <c r="P107" s="1" t="str">
        <f t="shared" si="19"/>
        <v/>
      </c>
      <c r="Q107" s="25" t="str">
        <f t="shared" si="20"/>
        <v/>
      </c>
      <c r="R107" s="1" t="str">
        <f t="shared" si="21"/>
        <v/>
      </c>
      <c r="S107" s="33" t="str">
        <f t="shared" si="22"/>
        <v/>
      </c>
      <c r="T107" s="34" t="str">
        <f>IF(B107="","",C107&amp;"|"&amp;ROUND(S107,2)&amp;"|"&amp;COUNTIFS($C$4:C107,C107,$S$4:S107,S107))</f>
        <v/>
      </c>
      <c r="U107" s="34" t="str">
        <f t="shared" si="23"/>
        <v/>
      </c>
      <c r="V107" s="34" t="str">
        <f t="shared" si="24"/>
        <v/>
      </c>
      <c r="W107" s="34" t="str">
        <f t="shared" si="25"/>
        <v/>
      </c>
      <c r="X107" s="34">
        <f t="shared" si="26"/>
        <v>0</v>
      </c>
      <c r="Y107" s="34" t="str">
        <f t="shared" si="27"/>
        <v/>
      </c>
      <c r="Z107" s="34" t="str">
        <f>IF(X107=1,V107,IF(Y107="","",IF(COUNTIF(Y$3:Y106,Y107)=0,Y107,"")))</f>
        <v/>
      </c>
      <c r="AA107" s="34" t="b">
        <f t="shared" si="28"/>
        <v>0</v>
      </c>
      <c r="AB107" s="34">
        <f t="shared" si="29"/>
        <v>0</v>
      </c>
      <c r="AC107" s="34" t="str">
        <f>IF(AND(B107&lt;&gt;"",C107=CompteSel,N(B107)&lt;=DateArret,AB107=0),MAX($AC$3:AC106)+1,"")</f>
        <v/>
      </c>
      <c r="AD107" s="34" t="str">
        <f>IF(AND(ISNUMBER(M107),C107=CompteSel),MAX($AD$3:AD106)+1,"")</f>
        <v/>
      </c>
    </row>
    <row r="108" spans="1:30" x14ac:dyDescent="0.35">
      <c r="A108" s="1" t="str">
        <f t="shared" si="15"/>
        <v/>
      </c>
      <c r="B108" s="31"/>
      <c r="C108" s="8"/>
      <c r="D108" s="8"/>
      <c r="E108" s="8"/>
      <c r="F108" s="8"/>
      <c r="G108" s="8"/>
      <c r="H108" s="32"/>
      <c r="I108" s="32"/>
      <c r="J108" s="25" t="str">
        <f>IF(B108="","",IFERROR(VLOOKUP(C108,Soldes_Ouverture,2,FALSE()),0)+SUMIFS($S$4:S108,$C$4:C108,C108))</f>
        <v/>
      </c>
      <c r="K108" s="1" t="str">
        <f t="shared" si="16"/>
        <v/>
      </c>
      <c r="L108" s="1" t="str">
        <f t="shared" si="17"/>
        <v/>
      </c>
      <c r="M108" s="1" t="str">
        <f t="shared" si="18"/>
        <v/>
      </c>
      <c r="N108" s="8"/>
      <c r="O108" s="8"/>
      <c r="P108" s="1" t="str">
        <f t="shared" si="19"/>
        <v/>
      </c>
      <c r="Q108" s="25" t="str">
        <f t="shared" si="20"/>
        <v/>
      </c>
      <c r="R108" s="1" t="str">
        <f t="shared" si="21"/>
        <v/>
      </c>
      <c r="S108" s="33" t="str">
        <f t="shared" si="22"/>
        <v/>
      </c>
      <c r="T108" s="34" t="str">
        <f>IF(B108="","",C108&amp;"|"&amp;ROUND(S108,2)&amp;"|"&amp;COUNTIFS($C$4:C108,C108,$S$4:S108,S108))</f>
        <v/>
      </c>
      <c r="U108" s="34" t="str">
        <f t="shared" si="23"/>
        <v/>
      </c>
      <c r="V108" s="34" t="str">
        <f t="shared" si="24"/>
        <v/>
      </c>
      <c r="W108" s="34" t="str">
        <f t="shared" si="25"/>
        <v/>
      </c>
      <c r="X108" s="34">
        <f t="shared" si="26"/>
        <v>0</v>
      </c>
      <c r="Y108" s="34" t="str">
        <f t="shared" si="27"/>
        <v/>
      </c>
      <c r="Z108" s="34" t="str">
        <f>IF(X108=1,V108,IF(Y108="","",IF(COUNTIF(Y$3:Y107,Y108)=0,Y108,"")))</f>
        <v/>
      </c>
      <c r="AA108" s="34" t="b">
        <f t="shared" si="28"/>
        <v>0</v>
      </c>
      <c r="AB108" s="34">
        <f t="shared" si="29"/>
        <v>0</v>
      </c>
      <c r="AC108" s="34" t="str">
        <f>IF(AND(B108&lt;&gt;"",C108=CompteSel,N(B108)&lt;=DateArret,AB108=0),MAX($AC$3:AC107)+1,"")</f>
        <v/>
      </c>
      <c r="AD108" s="34" t="str">
        <f>IF(AND(ISNUMBER(M108),C108=CompteSel),MAX($AD$3:AD107)+1,"")</f>
        <v/>
      </c>
    </row>
    <row r="109" spans="1:30" x14ac:dyDescent="0.35">
      <c r="A109" s="1" t="str">
        <f t="shared" si="15"/>
        <v/>
      </c>
      <c r="B109" s="31"/>
      <c r="C109" s="8"/>
      <c r="D109" s="8"/>
      <c r="E109" s="8"/>
      <c r="F109" s="8"/>
      <c r="G109" s="8"/>
      <c r="H109" s="32"/>
      <c r="I109" s="32"/>
      <c r="J109" s="25" t="str">
        <f>IF(B109="","",IFERROR(VLOOKUP(C109,Soldes_Ouverture,2,FALSE()),0)+SUMIFS($S$4:S109,$C$4:C109,C109))</f>
        <v/>
      </c>
      <c r="K109" s="1" t="str">
        <f t="shared" si="16"/>
        <v/>
      </c>
      <c r="L109" s="1" t="str">
        <f t="shared" si="17"/>
        <v/>
      </c>
      <c r="M109" s="1" t="str">
        <f t="shared" si="18"/>
        <v/>
      </c>
      <c r="N109" s="8"/>
      <c r="O109" s="8"/>
      <c r="P109" s="1" t="str">
        <f t="shared" si="19"/>
        <v/>
      </c>
      <c r="Q109" s="25" t="str">
        <f t="shared" si="20"/>
        <v/>
      </c>
      <c r="R109" s="1" t="str">
        <f t="shared" si="21"/>
        <v/>
      </c>
      <c r="S109" s="33" t="str">
        <f t="shared" si="22"/>
        <v/>
      </c>
      <c r="T109" s="34" t="str">
        <f>IF(B109="","",C109&amp;"|"&amp;ROUND(S109,2)&amp;"|"&amp;COUNTIFS($C$4:C109,C109,$S$4:S109,S109))</f>
        <v/>
      </c>
      <c r="U109" s="34" t="str">
        <f t="shared" si="23"/>
        <v/>
      </c>
      <c r="V109" s="34" t="str">
        <f t="shared" si="24"/>
        <v/>
      </c>
      <c r="W109" s="34" t="str">
        <f t="shared" si="25"/>
        <v/>
      </c>
      <c r="X109" s="34">
        <f t="shared" si="26"/>
        <v>0</v>
      </c>
      <c r="Y109" s="34" t="str">
        <f t="shared" si="27"/>
        <v/>
      </c>
      <c r="Z109" s="34" t="str">
        <f>IF(X109=1,V109,IF(Y109="","",IF(COUNTIF(Y$3:Y108,Y109)=0,Y109,"")))</f>
        <v/>
      </c>
      <c r="AA109" s="34" t="b">
        <f t="shared" si="28"/>
        <v>0</v>
      </c>
      <c r="AB109" s="34">
        <f t="shared" si="29"/>
        <v>0</v>
      </c>
      <c r="AC109" s="34" t="str">
        <f>IF(AND(B109&lt;&gt;"",C109=CompteSel,N(B109)&lt;=DateArret,AB109=0),MAX($AC$3:AC108)+1,"")</f>
        <v/>
      </c>
      <c r="AD109" s="34" t="str">
        <f>IF(AND(ISNUMBER(M109),C109=CompteSel),MAX($AD$3:AD108)+1,"")</f>
        <v/>
      </c>
    </row>
    <row r="110" spans="1:30" x14ac:dyDescent="0.35">
      <c r="A110" s="1" t="str">
        <f t="shared" si="15"/>
        <v/>
      </c>
      <c r="B110" s="31"/>
      <c r="C110" s="8"/>
      <c r="D110" s="8"/>
      <c r="E110" s="8"/>
      <c r="F110" s="8"/>
      <c r="G110" s="8"/>
      <c r="H110" s="32"/>
      <c r="I110" s="32"/>
      <c r="J110" s="25" t="str">
        <f>IF(B110="","",IFERROR(VLOOKUP(C110,Soldes_Ouverture,2,FALSE()),0)+SUMIFS($S$4:S110,$C$4:C110,C110))</f>
        <v/>
      </c>
      <c r="K110" s="1" t="str">
        <f t="shared" si="16"/>
        <v/>
      </c>
      <c r="L110" s="1" t="str">
        <f t="shared" si="17"/>
        <v/>
      </c>
      <c r="M110" s="1" t="str">
        <f t="shared" si="18"/>
        <v/>
      </c>
      <c r="N110" s="8"/>
      <c r="O110" s="8"/>
      <c r="P110" s="1" t="str">
        <f t="shared" si="19"/>
        <v/>
      </c>
      <c r="Q110" s="25" t="str">
        <f t="shared" si="20"/>
        <v/>
      </c>
      <c r="R110" s="1" t="str">
        <f t="shared" si="21"/>
        <v/>
      </c>
      <c r="S110" s="33" t="str">
        <f t="shared" si="22"/>
        <v/>
      </c>
      <c r="T110" s="34" t="str">
        <f>IF(B110="","",C110&amp;"|"&amp;ROUND(S110,2)&amp;"|"&amp;COUNTIFS($C$4:C110,C110,$S$4:S110,S110))</f>
        <v/>
      </c>
      <c r="U110" s="34" t="str">
        <f t="shared" si="23"/>
        <v/>
      </c>
      <c r="V110" s="34" t="str">
        <f t="shared" si="24"/>
        <v/>
      </c>
      <c r="W110" s="34" t="str">
        <f t="shared" si="25"/>
        <v/>
      </c>
      <c r="X110" s="34">
        <f t="shared" si="26"/>
        <v>0</v>
      </c>
      <c r="Y110" s="34" t="str">
        <f t="shared" si="27"/>
        <v/>
      </c>
      <c r="Z110" s="34" t="str">
        <f>IF(X110=1,V110,IF(Y110="","",IF(COUNTIF(Y$3:Y109,Y110)=0,Y110,"")))</f>
        <v/>
      </c>
      <c r="AA110" s="34" t="b">
        <f t="shared" si="28"/>
        <v>0</v>
      </c>
      <c r="AB110" s="34">
        <f t="shared" si="29"/>
        <v>0</v>
      </c>
      <c r="AC110" s="34" t="str">
        <f>IF(AND(B110&lt;&gt;"",C110=CompteSel,N(B110)&lt;=DateArret,AB110=0),MAX($AC$3:AC109)+1,"")</f>
        <v/>
      </c>
      <c r="AD110" s="34" t="str">
        <f>IF(AND(ISNUMBER(M110),C110=CompteSel),MAX($AD$3:AD109)+1,"")</f>
        <v/>
      </c>
    </row>
    <row r="111" spans="1:30" x14ac:dyDescent="0.35">
      <c r="A111" s="1" t="str">
        <f t="shared" si="15"/>
        <v/>
      </c>
      <c r="B111" s="31"/>
      <c r="C111" s="8"/>
      <c r="D111" s="8"/>
      <c r="E111" s="8"/>
      <c r="F111" s="8"/>
      <c r="G111" s="8"/>
      <c r="H111" s="32"/>
      <c r="I111" s="32"/>
      <c r="J111" s="25" t="str">
        <f>IF(B111="","",IFERROR(VLOOKUP(C111,Soldes_Ouverture,2,FALSE()),0)+SUMIFS($S$4:S111,$C$4:C111,C111))</f>
        <v/>
      </c>
      <c r="K111" s="1" t="str">
        <f t="shared" si="16"/>
        <v/>
      </c>
      <c r="L111" s="1" t="str">
        <f t="shared" si="17"/>
        <v/>
      </c>
      <c r="M111" s="1" t="str">
        <f t="shared" si="18"/>
        <v/>
      </c>
      <c r="N111" s="8"/>
      <c r="O111" s="8"/>
      <c r="P111" s="1" t="str">
        <f t="shared" si="19"/>
        <v/>
      </c>
      <c r="Q111" s="25" t="str">
        <f t="shared" si="20"/>
        <v/>
      </c>
      <c r="R111" s="1" t="str">
        <f t="shared" si="21"/>
        <v/>
      </c>
      <c r="S111" s="33" t="str">
        <f t="shared" si="22"/>
        <v/>
      </c>
      <c r="T111" s="34" t="str">
        <f>IF(B111="","",C111&amp;"|"&amp;ROUND(S111,2)&amp;"|"&amp;COUNTIFS($C$4:C111,C111,$S$4:S111,S111))</f>
        <v/>
      </c>
      <c r="U111" s="34" t="str">
        <f t="shared" si="23"/>
        <v/>
      </c>
      <c r="V111" s="34" t="str">
        <f t="shared" si="24"/>
        <v/>
      </c>
      <c r="W111" s="34" t="str">
        <f t="shared" si="25"/>
        <v/>
      </c>
      <c r="X111" s="34">
        <f t="shared" si="26"/>
        <v>0</v>
      </c>
      <c r="Y111" s="34" t="str">
        <f t="shared" si="27"/>
        <v/>
      </c>
      <c r="Z111" s="34" t="str">
        <f>IF(X111=1,V111,IF(Y111="","",IF(COUNTIF(Y$3:Y110,Y111)=0,Y111,"")))</f>
        <v/>
      </c>
      <c r="AA111" s="34" t="b">
        <f t="shared" si="28"/>
        <v>0</v>
      </c>
      <c r="AB111" s="34">
        <f t="shared" si="29"/>
        <v>0</v>
      </c>
      <c r="AC111" s="34" t="str">
        <f>IF(AND(B111&lt;&gt;"",C111=CompteSel,N(B111)&lt;=DateArret,AB111=0),MAX($AC$3:AC110)+1,"")</f>
        <v/>
      </c>
      <c r="AD111" s="34" t="str">
        <f>IF(AND(ISNUMBER(M111),C111=CompteSel),MAX($AD$3:AD110)+1,"")</f>
        <v/>
      </c>
    </row>
    <row r="112" spans="1:30" x14ac:dyDescent="0.35">
      <c r="A112" s="1" t="str">
        <f t="shared" si="15"/>
        <v/>
      </c>
      <c r="B112" s="31"/>
      <c r="C112" s="8"/>
      <c r="D112" s="8"/>
      <c r="E112" s="8"/>
      <c r="F112" s="8"/>
      <c r="G112" s="8"/>
      <c r="H112" s="32"/>
      <c r="I112" s="32"/>
      <c r="J112" s="25" t="str">
        <f>IF(B112="","",IFERROR(VLOOKUP(C112,Soldes_Ouverture,2,FALSE()),0)+SUMIFS($S$4:S112,$C$4:C112,C112))</f>
        <v/>
      </c>
      <c r="K112" s="1" t="str">
        <f t="shared" si="16"/>
        <v/>
      </c>
      <c r="L112" s="1" t="str">
        <f t="shared" si="17"/>
        <v/>
      </c>
      <c r="M112" s="1" t="str">
        <f t="shared" si="18"/>
        <v/>
      </c>
      <c r="N112" s="8"/>
      <c r="O112" s="8"/>
      <c r="P112" s="1" t="str">
        <f t="shared" si="19"/>
        <v/>
      </c>
      <c r="Q112" s="25" t="str">
        <f t="shared" si="20"/>
        <v/>
      </c>
      <c r="R112" s="1" t="str">
        <f t="shared" si="21"/>
        <v/>
      </c>
      <c r="S112" s="33" t="str">
        <f t="shared" si="22"/>
        <v/>
      </c>
      <c r="T112" s="34" t="str">
        <f>IF(B112="","",C112&amp;"|"&amp;ROUND(S112,2)&amp;"|"&amp;COUNTIFS($C$4:C112,C112,$S$4:S112,S112))</f>
        <v/>
      </c>
      <c r="U112" s="34" t="str">
        <f t="shared" si="23"/>
        <v/>
      </c>
      <c r="V112" s="34" t="str">
        <f t="shared" si="24"/>
        <v/>
      </c>
      <c r="W112" s="34" t="str">
        <f t="shared" si="25"/>
        <v/>
      </c>
      <c r="X112" s="34">
        <f t="shared" si="26"/>
        <v>0</v>
      </c>
      <c r="Y112" s="34" t="str">
        <f t="shared" si="27"/>
        <v/>
      </c>
      <c r="Z112" s="34" t="str">
        <f>IF(X112=1,V112,IF(Y112="","",IF(COUNTIF(Y$3:Y111,Y112)=0,Y112,"")))</f>
        <v/>
      </c>
      <c r="AA112" s="34" t="b">
        <f t="shared" si="28"/>
        <v>0</v>
      </c>
      <c r="AB112" s="34">
        <f t="shared" si="29"/>
        <v>0</v>
      </c>
      <c r="AC112" s="34" t="str">
        <f>IF(AND(B112&lt;&gt;"",C112=CompteSel,N(B112)&lt;=DateArret,AB112=0),MAX($AC$3:AC111)+1,"")</f>
        <v/>
      </c>
      <c r="AD112" s="34" t="str">
        <f>IF(AND(ISNUMBER(M112),C112=CompteSel),MAX($AD$3:AD111)+1,"")</f>
        <v/>
      </c>
    </row>
    <row r="113" spans="1:30" x14ac:dyDescent="0.35">
      <c r="A113" s="1" t="str">
        <f t="shared" si="15"/>
        <v/>
      </c>
      <c r="B113" s="31"/>
      <c r="C113" s="8"/>
      <c r="D113" s="8"/>
      <c r="E113" s="8"/>
      <c r="F113" s="8"/>
      <c r="G113" s="8"/>
      <c r="H113" s="32"/>
      <c r="I113" s="32"/>
      <c r="J113" s="25" t="str">
        <f>IF(B113="","",IFERROR(VLOOKUP(C113,Soldes_Ouverture,2,FALSE()),0)+SUMIFS($S$4:S113,$C$4:C113,C113))</f>
        <v/>
      </c>
      <c r="K113" s="1" t="str">
        <f t="shared" si="16"/>
        <v/>
      </c>
      <c r="L113" s="1" t="str">
        <f t="shared" si="17"/>
        <v/>
      </c>
      <c r="M113" s="1" t="str">
        <f t="shared" si="18"/>
        <v/>
      </c>
      <c r="N113" s="8"/>
      <c r="O113" s="8"/>
      <c r="P113" s="1" t="str">
        <f t="shared" si="19"/>
        <v/>
      </c>
      <c r="Q113" s="25" t="str">
        <f t="shared" si="20"/>
        <v/>
      </c>
      <c r="R113" s="1" t="str">
        <f t="shared" si="21"/>
        <v/>
      </c>
      <c r="S113" s="33" t="str">
        <f t="shared" si="22"/>
        <v/>
      </c>
      <c r="T113" s="34" t="str">
        <f>IF(B113="","",C113&amp;"|"&amp;ROUND(S113,2)&amp;"|"&amp;COUNTIFS($C$4:C113,C113,$S$4:S113,S113))</f>
        <v/>
      </c>
      <c r="U113" s="34" t="str">
        <f t="shared" si="23"/>
        <v/>
      </c>
      <c r="V113" s="34" t="str">
        <f t="shared" si="24"/>
        <v/>
      </c>
      <c r="W113" s="34" t="str">
        <f t="shared" si="25"/>
        <v/>
      </c>
      <c r="X113" s="34">
        <f t="shared" si="26"/>
        <v>0</v>
      </c>
      <c r="Y113" s="34" t="str">
        <f t="shared" si="27"/>
        <v/>
      </c>
      <c r="Z113" s="34" t="str">
        <f>IF(X113=1,V113,IF(Y113="","",IF(COUNTIF(Y$3:Y112,Y113)=0,Y113,"")))</f>
        <v/>
      </c>
      <c r="AA113" s="34" t="b">
        <f t="shared" si="28"/>
        <v>0</v>
      </c>
      <c r="AB113" s="34">
        <f t="shared" si="29"/>
        <v>0</v>
      </c>
      <c r="AC113" s="34" t="str">
        <f>IF(AND(B113&lt;&gt;"",C113=CompteSel,N(B113)&lt;=DateArret,AB113=0),MAX($AC$3:AC112)+1,"")</f>
        <v/>
      </c>
      <c r="AD113" s="34" t="str">
        <f>IF(AND(ISNUMBER(M113),C113=CompteSel),MAX($AD$3:AD112)+1,"")</f>
        <v/>
      </c>
    </row>
    <row r="114" spans="1:30" x14ac:dyDescent="0.35">
      <c r="A114" s="1" t="str">
        <f t="shared" si="15"/>
        <v/>
      </c>
      <c r="B114" s="31"/>
      <c r="C114" s="8"/>
      <c r="D114" s="8"/>
      <c r="E114" s="8"/>
      <c r="F114" s="8"/>
      <c r="G114" s="8"/>
      <c r="H114" s="32"/>
      <c r="I114" s="32"/>
      <c r="J114" s="25" t="str">
        <f>IF(B114="","",IFERROR(VLOOKUP(C114,Soldes_Ouverture,2,FALSE()),0)+SUMIFS($S$4:S114,$C$4:C114,C114))</f>
        <v/>
      </c>
      <c r="K114" s="1" t="str">
        <f t="shared" si="16"/>
        <v/>
      </c>
      <c r="L114" s="1" t="str">
        <f t="shared" si="17"/>
        <v/>
      </c>
      <c r="M114" s="1" t="str">
        <f t="shared" si="18"/>
        <v/>
      </c>
      <c r="N114" s="8"/>
      <c r="O114" s="8"/>
      <c r="P114" s="1" t="str">
        <f t="shared" si="19"/>
        <v/>
      </c>
      <c r="Q114" s="25" t="str">
        <f t="shared" si="20"/>
        <v/>
      </c>
      <c r="R114" s="1" t="str">
        <f t="shared" si="21"/>
        <v/>
      </c>
      <c r="S114" s="33" t="str">
        <f t="shared" si="22"/>
        <v/>
      </c>
      <c r="T114" s="34" t="str">
        <f>IF(B114="","",C114&amp;"|"&amp;ROUND(S114,2)&amp;"|"&amp;COUNTIFS($C$4:C114,C114,$S$4:S114,S114))</f>
        <v/>
      </c>
      <c r="U114" s="34" t="str">
        <f t="shared" si="23"/>
        <v/>
      </c>
      <c r="V114" s="34" t="str">
        <f t="shared" si="24"/>
        <v/>
      </c>
      <c r="W114" s="34" t="str">
        <f t="shared" si="25"/>
        <v/>
      </c>
      <c r="X114" s="34">
        <f t="shared" si="26"/>
        <v>0</v>
      </c>
      <c r="Y114" s="34" t="str">
        <f t="shared" si="27"/>
        <v/>
      </c>
      <c r="Z114" s="34" t="str">
        <f>IF(X114=1,V114,IF(Y114="","",IF(COUNTIF(Y$3:Y113,Y114)=0,Y114,"")))</f>
        <v/>
      </c>
      <c r="AA114" s="34" t="b">
        <f t="shared" si="28"/>
        <v>0</v>
      </c>
      <c r="AB114" s="34">
        <f t="shared" si="29"/>
        <v>0</v>
      </c>
      <c r="AC114" s="34" t="str">
        <f>IF(AND(B114&lt;&gt;"",C114=CompteSel,N(B114)&lt;=DateArret,AB114=0),MAX($AC$3:AC113)+1,"")</f>
        <v/>
      </c>
      <c r="AD114" s="34" t="str">
        <f>IF(AND(ISNUMBER(M114),C114=CompteSel),MAX($AD$3:AD113)+1,"")</f>
        <v/>
      </c>
    </row>
    <row r="115" spans="1:30" x14ac:dyDescent="0.35">
      <c r="A115" s="1" t="str">
        <f t="shared" si="15"/>
        <v/>
      </c>
      <c r="B115" s="31"/>
      <c r="C115" s="8"/>
      <c r="D115" s="8"/>
      <c r="E115" s="8"/>
      <c r="F115" s="8"/>
      <c r="G115" s="8"/>
      <c r="H115" s="32"/>
      <c r="I115" s="32"/>
      <c r="J115" s="25" t="str">
        <f>IF(B115="","",IFERROR(VLOOKUP(C115,Soldes_Ouverture,2,FALSE()),0)+SUMIFS($S$4:S115,$C$4:C115,C115))</f>
        <v/>
      </c>
      <c r="K115" s="1" t="str">
        <f t="shared" si="16"/>
        <v/>
      </c>
      <c r="L115" s="1" t="str">
        <f t="shared" si="17"/>
        <v/>
      </c>
      <c r="M115" s="1" t="str">
        <f t="shared" si="18"/>
        <v/>
      </c>
      <c r="N115" s="8"/>
      <c r="O115" s="8"/>
      <c r="P115" s="1" t="str">
        <f t="shared" si="19"/>
        <v/>
      </c>
      <c r="Q115" s="25" t="str">
        <f t="shared" si="20"/>
        <v/>
      </c>
      <c r="R115" s="1" t="str">
        <f t="shared" si="21"/>
        <v/>
      </c>
      <c r="S115" s="33" t="str">
        <f t="shared" si="22"/>
        <v/>
      </c>
      <c r="T115" s="34" t="str">
        <f>IF(B115="","",C115&amp;"|"&amp;ROUND(S115,2)&amp;"|"&amp;COUNTIFS($C$4:C115,C115,$S$4:S115,S115))</f>
        <v/>
      </c>
      <c r="U115" s="34" t="str">
        <f t="shared" si="23"/>
        <v/>
      </c>
      <c r="V115" s="34" t="str">
        <f t="shared" si="24"/>
        <v/>
      </c>
      <c r="W115" s="34" t="str">
        <f t="shared" si="25"/>
        <v/>
      </c>
      <c r="X115" s="34">
        <f t="shared" si="26"/>
        <v>0</v>
      </c>
      <c r="Y115" s="34" t="str">
        <f t="shared" si="27"/>
        <v/>
      </c>
      <c r="Z115" s="34" t="str">
        <f>IF(X115=1,V115,IF(Y115="","",IF(COUNTIF(Y$3:Y114,Y115)=0,Y115,"")))</f>
        <v/>
      </c>
      <c r="AA115" s="34" t="b">
        <f t="shared" si="28"/>
        <v>0</v>
      </c>
      <c r="AB115" s="34">
        <f t="shared" si="29"/>
        <v>0</v>
      </c>
      <c r="AC115" s="34" t="str">
        <f>IF(AND(B115&lt;&gt;"",C115=CompteSel,N(B115)&lt;=DateArret,AB115=0),MAX($AC$3:AC114)+1,"")</f>
        <v/>
      </c>
      <c r="AD115" s="34" t="str">
        <f>IF(AND(ISNUMBER(M115),C115=CompteSel),MAX($AD$3:AD114)+1,"")</f>
        <v/>
      </c>
    </row>
    <row r="116" spans="1:30" x14ac:dyDescent="0.35">
      <c r="A116" s="1" t="str">
        <f t="shared" si="15"/>
        <v/>
      </c>
      <c r="B116" s="31"/>
      <c r="C116" s="8"/>
      <c r="D116" s="8"/>
      <c r="E116" s="8"/>
      <c r="F116" s="8"/>
      <c r="G116" s="8"/>
      <c r="H116" s="32"/>
      <c r="I116" s="32"/>
      <c r="J116" s="25" t="str">
        <f>IF(B116="","",IFERROR(VLOOKUP(C116,Soldes_Ouverture,2,FALSE()),0)+SUMIFS($S$4:S116,$C$4:C116,C116))</f>
        <v/>
      </c>
      <c r="K116" s="1" t="str">
        <f t="shared" si="16"/>
        <v/>
      </c>
      <c r="L116" s="1" t="str">
        <f t="shared" si="17"/>
        <v/>
      </c>
      <c r="M116" s="1" t="str">
        <f t="shared" si="18"/>
        <v/>
      </c>
      <c r="N116" s="8"/>
      <c r="O116" s="8"/>
      <c r="P116" s="1" t="str">
        <f t="shared" si="19"/>
        <v/>
      </c>
      <c r="Q116" s="25" t="str">
        <f t="shared" si="20"/>
        <v/>
      </c>
      <c r="R116" s="1" t="str">
        <f t="shared" si="21"/>
        <v/>
      </c>
      <c r="S116" s="33" t="str">
        <f t="shared" si="22"/>
        <v/>
      </c>
      <c r="T116" s="34" t="str">
        <f>IF(B116="","",C116&amp;"|"&amp;ROUND(S116,2)&amp;"|"&amp;COUNTIFS($C$4:C116,C116,$S$4:S116,S116))</f>
        <v/>
      </c>
      <c r="U116" s="34" t="str">
        <f t="shared" si="23"/>
        <v/>
      </c>
      <c r="V116" s="34" t="str">
        <f t="shared" si="24"/>
        <v/>
      </c>
      <c r="W116" s="34" t="str">
        <f t="shared" si="25"/>
        <v/>
      </c>
      <c r="X116" s="34">
        <f t="shared" si="26"/>
        <v>0</v>
      </c>
      <c r="Y116" s="34" t="str">
        <f t="shared" si="27"/>
        <v/>
      </c>
      <c r="Z116" s="34" t="str">
        <f>IF(X116=1,V116,IF(Y116="","",IF(COUNTIF(Y$3:Y115,Y116)=0,Y116,"")))</f>
        <v/>
      </c>
      <c r="AA116" s="34" t="b">
        <f t="shared" si="28"/>
        <v>0</v>
      </c>
      <c r="AB116" s="34">
        <f t="shared" si="29"/>
        <v>0</v>
      </c>
      <c r="AC116" s="34" t="str">
        <f>IF(AND(B116&lt;&gt;"",C116=CompteSel,N(B116)&lt;=DateArret,AB116=0),MAX($AC$3:AC115)+1,"")</f>
        <v/>
      </c>
      <c r="AD116" s="34" t="str">
        <f>IF(AND(ISNUMBER(M116),C116=CompteSel),MAX($AD$3:AD115)+1,"")</f>
        <v/>
      </c>
    </row>
    <row r="117" spans="1:30" x14ac:dyDescent="0.35">
      <c r="A117" s="1" t="str">
        <f t="shared" si="15"/>
        <v/>
      </c>
      <c r="B117" s="31"/>
      <c r="C117" s="8"/>
      <c r="D117" s="8"/>
      <c r="E117" s="8"/>
      <c r="F117" s="8"/>
      <c r="G117" s="8"/>
      <c r="H117" s="32"/>
      <c r="I117" s="32"/>
      <c r="J117" s="25" t="str">
        <f>IF(B117="","",IFERROR(VLOOKUP(C117,Soldes_Ouverture,2,FALSE()),0)+SUMIFS($S$4:S117,$C$4:C117,C117))</f>
        <v/>
      </c>
      <c r="K117" s="1" t="str">
        <f t="shared" si="16"/>
        <v/>
      </c>
      <c r="L117" s="1" t="str">
        <f t="shared" si="17"/>
        <v/>
      </c>
      <c r="M117" s="1" t="str">
        <f t="shared" si="18"/>
        <v/>
      </c>
      <c r="N117" s="8"/>
      <c r="O117" s="8"/>
      <c r="P117" s="1" t="str">
        <f t="shared" si="19"/>
        <v/>
      </c>
      <c r="Q117" s="25" t="str">
        <f t="shared" si="20"/>
        <v/>
      </c>
      <c r="R117" s="1" t="str">
        <f t="shared" si="21"/>
        <v/>
      </c>
      <c r="S117" s="33" t="str">
        <f t="shared" si="22"/>
        <v/>
      </c>
      <c r="T117" s="34" t="str">
        <f>IF(B117="","",C117&amp;"|"&amp;ROUND(S117,2)&amp;"|"&amp;COUNTIFS($C$4:C117,C117,$S$4:S117,S117))</f>
        <v/>
      </c>
      <c r="U117" s="34" t="str">
        <f t="shared" si="23"/>
        <v/>
      </c>
      <c r="V117" s="34" t="str">
        <f t="shared" si="24"/>
        <v/>
      </c>
      <c r="W117" s="34" t="str">
        <f t="shared" si="25"/>
        <v/>
      </c>
      <c r="X117" s="34">
        <f t="shared" si="26"/>
        <v>0</v>
      </c>
      <c r="Y117" s="34" t="str">
        <f t="shared" si="27"/>
        <v/>
      </c>
      <c r="Z117" s="34" t="str">
        <f>IF(X117=1,V117,IF(Y117="","",IF(COUNTIF(Y$3:Y116,Y117)=0,Y117,"")))</f>
        <v/>
      </c>
      <c r="AA117" s="34" t="b">
        <f t="shared" si="28"/>
        <v>0</v>
      </c>
      <c r="AB117" s="34">
        <f t="shared" si="29"/>
        <v>0</v>
      </c>
      <c r="AC117" s="34" t="str">
        <f>IF(AND(B117&lt;&gt;"",C117=CompteSel,N(B117)&lt;=DateArret,AB117=0),MAX($AC$3:AC116)+1,"")</f>
        <v/>
      </c>
      <c r="AD117" s="34" t="str">
        <f>IF(AND(ISNUMBER(M117),C117=CompteSel),MAX($AD$3:AD116)+1,"")</f>
        <v/>
      </c>
    </row>
    <row r="118" spans="1:30" x14ac:dyDescent="0.35">
      <c r="A118" s="1" t="str">
        <f t="shared" si="15"/>
        <v/>
      </c>
      <c r="B118" s="31"/>
      <c r="C118" s="8"/>
      <c r="D118" s="8"/>
      <c r="E118" s="8"/>
      <c r="F118" s="8"/>
      <c r="G118" s="8"/>
      <c r="H118" s="32"/>
      <c r="I118" s="32"/>
      <c r="J118" s="25" t="str">
        <f>IF(B118="","",IFERROR(VLOOKUP(C118,Soldes_Ouverture,2,FALSE()),0)+SUMIFS($S$4:S118,$C$4:C118,C118))</f>
        <v/>
      </c>
      <c r="K118" s="1" t="str">
        <f t="shared" si="16"/>
        <v/>
      </c>
      <c r="L118" s="1" t="str">
        <f t="shared" si="17"/>
        <v/>
      </c>
      <c r="M118" s="1" t="str">
        <f t="shared" si="18"/>
        <v/>
      </c>
      <c r="N118" s="8"/>
      <c r="O118" s="8"/>
      <c r="P118" s="1" t="str">
        <f t="shared" si="19"/>
        <v/>
      </c>
      <c r="Q118" s="25" t="str">
        <f t="shared" si="20"/>
        <v/>
      </c>
      <c r="R118" s="1" t="str">
        <f t="shared" si="21"/>
        <v/>
      </c>
      <c r="S118" s="33" t="str">
        <f t="shared" si="22"/>
        <v/>
      </c>
      <c r="T118" s="34" t="str">
        <f>IF(B118="","",C118&amp;"|"&amp;ROUND(S118,2)&amp;"|"&amp;COUNTIFS($C$4:C118,C118,$S$4:S118,S118))</f>
        <v/>
      </c>
      <c r="U118" s="34" t="str">
        <f t="shared" si="23"/>
        <v/>
      </c>
      <c r="V118" s="34" t="str">
        <f t="shared" si="24"/>
        <v/>
      </c>
      <c r="W118" s="34" t="str">
        <f t="shared" si="25"/>
        <v/>
      </c>
      <c r="X118" s="34">
        <f t="shared" si="26"/>
        <v>0</v>
      </c>
      <c r="Y118" s="34" t="str">
        <f t="shared" si="27"/>
        <v/>
      </c>
      <c r="Z118" s="34" t="str">
        <f>IF(X118=1,V118,IF(Y118="","",IF(COUNTIF(Y$3:Y117,Y118)=0,Y118,"")))</f>
        <v/>
      </c>
      <c r="AA118" s="34" t="b">
        <f t="shared" si="28"/>
        <v>0</v>
      </c>
      <c r="AB118" s="34">
        <f t="shared" si="29"/>
        <v>0</v>
      </c>
      <c r="AC118" s="34" t="str">
        <f>IF(AND(B118&lt;&gt;"",C118=CompteSel,N(B118)&lt;=DateArret,AB118=0),MAX($AC$3:AC117)+1,"")</f>
        <v/>
      </c>
      <c r="AD118" s="34" t="str">
        <f>IF(AND(ISNUMBER(M118),C118=CompteSel),MAX($AD$3:AD117)+1,"")</f>
        <v/>
      </c>
    </row>
    <row r="119" spans="1:30" x14ac:dyDescent="0.35">
      <c r="A119" s="1" t="str">
        <f t="shared" si="15"/>
        <v/>
      </c>
      <c r="B119" s="31"/>
      <c r="C119" s="8"/>
      <c r="D119" s="8"/>
      <c r="E119" s="8"/>
      <c r="F119" s="8"/>
      <c r="G119" s="8"/>
      <c r="H119" s="32"/>
      <c r="I119" s="32"/>
      <c r="J119" s="25" t="str">
        <f>IF(B119="","",IFERROR(VLOOKUP(C119,Soldes_Ouverture,2,FALSE()),0)+SUMIFS($S$4:S119,$C$4:C119,C119))</f>
        <v/>
      </c>
      <c r="K119" s="1" t="str">
        <f t="shared" si="16"/>
        <v/>
      </c>
      <c r="L119" s="1" t="str">
        <f t="shared" si="17"/>
        <v/>
      </c>
      <c r="M119" s="1" t="str">
        <f t="shared" si="18"/>
        <v/>
      </c>
      <c r="N119" s="8"/>
      <c r="O119" s="8"/>
      <c r="P119" s="1" t="str">
        <f t="shared" si="19"/>
        <v/>
      </c>
      <c r="Q119" s="25" t="str">
        <f t="shared" si="20"/>
        <v/>
      </c>
      <c r="R119" s="1" t="str">
        <f t="shared" si="21"/>
        <v/>
      </c>
      <c r="S119" s="33" t="str">
        <f t="shared" si="22"/>
        <v/>
      </c>
      <c r="T119" s="34" t="str">
        <f>IF(B119="","",C119&amp;"|"&amp;ROUND(S119,2)&amp;"|"&amp;COUNTIFS($C$4:C119,C119,$S$4:S119,S119))</f>
        <v/>
      </c>
      <c r="U119" s="34" t="str">
        <f t="shared" si="23"/>
        <v/>
      </c>
      <c r="V119" s="34" t="str">
        <f t="shared" si="24"/>
        <v/>
      </c>
      <c r="W119" s="34" t="str">
        <f t="shared" si="25"/>
        <v/>
      </c>
      <c r="X119" s="34">
        <f t="shared" si="26"/>
        <v>0</v>
      </c>
      <c r="Y119" s="34" t="str">
        <f t="shared" si="27"/>
        <v/>
      </c>
      <c r="Z119" s="34" t="str">
        <f>IF(X119=1,V119,IF(Y119="","",IF(COUNTIF(Y$3:Y118,Y119)=0,Y119,"")))</f>
        <v/>
      </c>
      <c r="AA119" s="34" t="b">
        <f t="shared" si="28"/>
        <v>0</v>
      </c>
      <c r="AB119" s="34">
        <f t="shared" si="29"/>
        <v>0</v>
      </c>
      <c r="AC119" s="34" t="str">
        <f>IF(AND(B119&lt;&gt;"",C119=CompteSel,N(B119)&lt;=DateArret,AB119=0),MAX($AC$3:AC118)+1,"")</f>
        <v/>
      </c>
      <c r="AD119" s="34" t="str">
        <f>IF(AND(ISNUMBER(M119),C119=CompteSel),MAX($AD$3:AD118)+1,"")</f>
        <v/>
      </c>
    </row>
    <row r="120" spans="1:30" x14ac:dyDescent="0.35">
      <c r="A120" s="1" t="str">
        <f t="shared" si="15"/>
        <v/>
      </c>
      <c r="B120" s="31"/>
      <c r="C120" s="8"/>
      <c r="D120" s="8"/>
      <c r="E120" s="8"/>
      <c r="F120" s="8"/>
      <c r="G120" s="8"/>
      <c r="H120" s="32"/>
      <c r="I120" s="32"/>
      <c r="J120" s="25" t="str">
        <f>IF(B120="","",IFERROR(VLOOKUP(C120,Soldes_Ouverture,2,FALSE()),0)+SUMIFS($S$4:S120,$C$4:C120,C120))</f>
        <v/>
      </c>
      <c r="K120" s="1" t="str">
        <f t="shared" si="16"/>
        <v/>
      </c>
      <c r="L120" s="1" t="str">
        <f t="shared" si="17"/>
        <v/>
      </c>
      <c r="M120" s="1" t="str">
        <f t="shared" si="18"/>
        <v/>
      </c>
      <c r="N120" s="8"/>
      <c r="O120" s="8"/>
      <c r="P120" s="1" t="str">
        <f t="shared" si="19"/>
        <v/>
      </c>
      <c r="Q120" s="25" t="str">
        <f t="shared" si="20"/>
        <v/>
      </c>
      <c r="R120" s="1" t="str">
        <f t="shared" si="21"/>
        <v/>
      </c>
      <c r="S120" s="33" t="str">
        <f t="shared" si="22"/>
        <v/>
      </c>
      <c r="T120" s="34" t="str">
        <f>IF(B120="","",C120&amp;"|"&amp;ROUND(S120,2)&amp;"|"&amp;COUNTIFS($C$4:C120,C120,$S$4:S120,S120))</f>
        <v/>
      </c>
      <c r="U120" s="34" t="str">
        <f t="shared" si="23"/>
        <v/>
      </c>
      <c r="V120" s="34" t="str">
        <f t="shared" si="24"/>
        <v/>
      </c>
      <c r="W120" s="34" t="str">
        <f t="shared" si="25"/>
        <v/>
      </c>
      <c r="X120" s="34">
        <f t="shared" si="26"/>
        <v>0</v>
      </c>
      <c r="Y120" s="34" t="str">
        <f t="shared" si="27"/>
        <v/>
      </c>
      <c r="Z120" s="34" t="str">
        <f>IF(X120=1,V120,IF(Y120="","",IF(COUNTIF(Y$3:Y119,Y120)=0,Y120,"")))</f>
        <v/>
      </c>
      <c r="AA120" s="34" t="b">
        <f t="shared" si="28"/>
        <v>0</v>
      </c>
      <c r="AB120" s="34">
        <f t="shared" si="29"/>
        <v>0</v>
      </c>
      <c r="AC120" s="34" t="str">
        <f>IF(AND(B120&lt;&gt;"",C120=CompteSel,N(B120)&lt;=DateArret,AB120=0),MAX($AC$3:AC119)+1,"")</f>
        <v/>
      </c>
      <c r="AD120" s="34" t="str">
        <f>IF(AND(ISNUMBER(M120),C120=CompteSel),MAX($AD$3:AD119)+1,"")</f>
        <v/>
      </c>
    </row>
    <row r="121" spans="1:30" x14ac:dyDescent="0.35">
      <c r="A121" s="1" t="str">
        <f t="shared" si="15"/>
        <v/>
      </c>
      <c r="B121" s="31"/>
      <c r="C121" s="8"/>
      <c r="D121" s="8"/>
      <c r="E121" s="8"/>
      <c r="F121" s="8"/>
      <c r="G121" s="8"/>
      <c r="H121" s="32"/>
      <c r="I121" s="32"/>
      <c r="J121" s="25" t="str">
        <f>IF(B121="","",IFERROR(VLOOKUP(C121,Soldes_Ouverture,2,FALSE()),0)+SUMIFS($S$4:S121,$C$4:C121,C121))</f>
        <v/>
      </c>
      <c r="K121" s="1" t="str">
        <f t="shared" si="16"/>
        <v/>
      </c>
      <c r="L121" s="1" t="str">
        <f t="shared" si="17"/>
        <v/>
      </c>
      <c r="M121" s="1" t="str">
        <f t="shared" si="18"/>
        <v/>
      </c>
      <c r="N121" s="8"/>
      <c r="O121" s="8"/>
      <c r="P121" s="1" t="str">
        <f t="shared" si="19"/>
        <v/>
      </c>
      <c r="Q121" s="25" t="str">
        <f t="shared" si="20"/>
        <v/>
      </c>
      <c r="R121" s="1" t="str">
        <f t="shared" si="21"/>
        <v/>
      </c>
      <c r="S121" s="33" t="str">
        <f t="shared" si="22"/>
        <v/>
      </c>
      <c r="T121" s="34" t="str">
        <f>IF(B121="","",C121&amp;"|"&amp;ROUND(S121,2)&amp;"|"&amp;COUNTIFS($C$4:C121,C121,$S$4:S121,S121))</f>
        <v/>
      </c>
      <c r="U121" s="34" t="str">
        <f t="shared" si="23"/>
        <v/>
      </c>
      <c r="V121" s="34" t="str">
        <f t="shared" si="24"/>
        <v/>
      </c>
      <c r="W121" s="34" t="str">
        <f t="shared" si="25"/>
        <v/>
      </c>
      <c r="X121" s="34">
        <f t="shared" si="26"/>
        <v>0</v>
      </c>
      <c r="Y121" s="34" t="str">
        <f t="shared" si="27"/>
        <v/>
      </c>
      <c r="Z121" s="34" t="str">
        <f>IF(X121=1,V121,IF(Y121="","",IF(COUNTIF(Y$3:Y120,Y121)=0,Y121,"")))</f>
        <v/>
      </c>
      <c r="AA121" s="34" t="b">
        <f t="shared" si="28"/>
        <v>0</v>
      </c>
      <c r="AB121" s="34">
        <f t="shared" si="29"/>
        <v>0</v>
      </c>
      <c r="AC121" s="34" t="str">
        <f>IF(AND(B121&lt;&gt;"",C121=CompteSel,N(B121)&lt;=DateArret,AB121=0),MAX($AC$3:AC120)+1,"")</f>
        <v/>
      </c>
      <c r="AD121" s="34" t="str">
        <f>IF(AND(ISNUMBER(M121),C121=CompteSel),MAX($AD$3:AD120)+1,"")</f>
        <v/>
      </c>
    </row>
    <row r="122" spans="1:30" x14ac:dyDescent="0.35">
      <c r="A122" s="1" t="str">
        <f t="shared" si="15"/>
        <v/>
      </c>
      <c r="B122" s="31"/>
      <c r="C122" s="8"/>
      <c r="D122" s="8"/>
      <c r="E122" s="8"/>
      <c r="F122" s="8"/>
      <c r="G122" s="8"/>
      <c r="H122" s="32"/>
      <c r="I122" s="32"/>
      <c r="J122" s="25" t="str">
        <f>IF(B122="","",IFERROR(VLOOKUP(C122,Soldes_Ouverture,2,FALSE()),0)+SUMIFS($S$4:S122,$C$4:C122,C122))</f>
        <v/>
      </c>
      <c r="K122" s="1" t="str">
        <f t="shared" si="16"/>
        <v/>
      </c>
      <c r="L122" s="1" t="str">
        <f t="shared" si="17"/>
        <v/>
      </c>
      <c r="M122" s="1" t="str">
        <f t="shared" si="18"/>
        <v/>
      </c>
      <c r="N122" s="8"/>
      <c r="O122" s="8"/>
      <c r="P122" s="1" t="str">
        <f t="shared" si="19"/>
        <v/>
      </c>
      <c r="Q122" s="25" t="str">
        <f t="shared" si="20"/>
        <v/>
      </c>
      <c r="R122" s="1" t="str">
        <f t="shared" si="21"/>
        <v/>
      </c>
      <c r="S122" s="33" t="str">
        <f t="shared" si="22"/>
        <v/>
      </c>
      <c r="T122" s="34" t="str">
        <f>IF(B122="","",C122&amp;"|"&amp;ROUND(S122,2)&amp;"|"&amp;COUNTIFS($C$4:C122,C122,$S$4:S122,S122))</f>
        <v/>
      </c>
      <c r="U122" s="34" t="str">
        <f t="shared" si="23"/>
        <v/>
      </c>
      <c r="V122" s="34" t="str">
        <f t="shared" si="24"/>
        <v/>
      </c>
      <c r="W122" s="34" t="str">
        <f t="shared" si="25"/>
        <v/>
      </c>
      <c r="X122" s="34">
        <f t="shared" si="26"/>
        <v>0</v>
      </c>
      <c r="Y122" s="34" t="str">
        <f t="shared" si="27"/>
        <v/>
      </c>
      <c r="Z122" s="34" t="str">
        <f>IF(X122=1,V122,IF(Y122="","",IF(COUNTIF(Y$3:Y121,Y122)=0,Y122,"")))</f>
        <v/>
      </c>
      <c r="AA122" s="34" t="b">
        <f t="shared" si="28"/>
        <v>0</v>
      </c>
      <c r="AB122" s="34">
        <f t="shared" si="29"/>
        <v>0</v>
      </c>
      <c r="AC122" s="34" t="str">
        <f>IF(AND(B122&lt;&gt;"",C122=CompteSel,N(B122)&lt;=DateArret,AB122=0),MAX($AC$3:AC121)+1,"")</f>
        <v/>
      </c>
      <c r="AD122" s="34" t="str">
        <f>IF(AND(ISNUMBER(M122),C122=CompteSel),MAX($AD$3:AD121)+1,"")</f>
        <v/>
      </c>
    </row>
    <row r="123" spans="1:30" x14ac:dyDescent="0.35">
      <c r="A123" s="1" t="str">
        <f t="shared" si="15"/>
        <v/>
      </c>
      <c r="B123" s="31"/>
      <c r="C123" s="8"/>
      <c r="D123" s="8"/>
      <c r="E123" s="8"/>
      <c r="F123" s="8"/>
      <c r="G123" s="8"/>
      <c r="H123" s="32"/>
      <c r="I123" s="32"/>
      <c r="J123" s="25" t="str">
        <f>IF(B123="","",IFERROR(VLOOKUP(C123,Soldes_Ouverture,2,FALSE()),0)+SUMIFS($S$4:S123,$C$4:C123,C123))</f>
        <v/>
      </c>
      <c r="K123" s="1" t="str">
        <f t="shared" si="16"/>
        <v/>
      </c>
      <c r="L123" s="1" t="str">
        <f t="shared" si="17"/>
        <v/>
      </c>
      <c r="M123" s="1" t="str">
        <f t="shared" si="18"/>
        <v/>
      </c>
      <c r="N123" s="8"/>
      <c r="O123" s="8"/>
      <c r="P123" s="1" t="str">
        <f t="shared" si="19"/>
        <v/>
      </c>
      <c r="Q123" s="25" t="str">
        <f t="shared" si="20"/>
        <v/>
      </c>
      <c r="R123" s="1" t="str">
        <f t="shared" si="21"/>
        <v/>
      </c>
      <c r="S123" s="33" t="str">
        <f t="shared" si="22"/>
        <v/>
      </c>
      <c r="T123" s="34" t="str">
        <f>IF(B123="","",C123&amp;"|"&amp;ROUND(S123,2)&amp;"|"&amp;COUNTIFS($C$4:C123,C123,$S$4:S123,S123))</f>
        <v/>
      </c>
      <c r="U123" s="34" t="str">
        <f t="shared" si="23"/>
        <v/>
      </c>
      <c r="V123" s="34" t="str">
        <f t="shared" si="24"/>
        <v/>
      </c>
      <c r="W123" s="34" t="str">
        <f t="shared" si="25"/>
        <v/>
      </c>
      <c r="X123" s="34">
        <f t="shared" si="26"/>
        <v>0</v>
      </c>
      <c r="Y123" s="34" t="str">
        <f t="shared" si="27"/>
        <v/>
      </c>
      <c r="Z123" s="34" t="str">
        <f>IF(X123=1,V123,IF(Y123="","",IF(COUNTIF(Y$3:Y122,Y123)=0,Y123,"")))</f>
        <v/>
      </c>
      <c r="AA123" s="34" t="b">
        <f t="shared" si="28"/>
        <v>0</v>
      </c>
      <c r="AB123" s="34">
        <f t="shared" si="29"/>
        <v>0</v>
      </c>
      <c r="AC123" s="34" t="str">
        <f>IF(AND(B123&lt;&gt;"",C123=CompteSel,N(B123)&lt;=DateArret,AB123=0),MAX($AC$3:AC122)+1,"")</f>
        <v/>
      </c>
      <c r="AD123" s="34" t="str">
        <f>IF(AND(ISNUMBER(M123),C123=CompteSel),MAX($AD$3:AD122)+1,"")</f>
        <v/>
      </c>
    </row>
    <row r="124" spans="1:30" x14ac:dyDescent="0.35">
      <c r="A124" s="1" t="str">
        <f t="shared" si="15"/>
        <v/>
      </c>
      <c r="B124" s="31"/>
      <c r="C124" s="8"/>
      <c r="D124" s="8"/>
      <c r="E124" s="8"/>
      <c r="F124" s="8"/>
      <c r="G124" s="8"/>
      <c r="H124" s="32"/>
      <c r="I124" s="32"/>
      <c r="J124" s="25" t="str">
        <f>IF(B124="","",IFERROR(VLOOKUP(C124,Soldes_Ouverture,2,FALSE()),0)+SUMIFS($S$4:S124,$C$4:C124,C124))</f>
        <v/>
      </c>
      <c r="K124" s="1" t="str">
        <f t="shared" si="16"/>
        <v/>
      </c>
      <c r="L124" s="1" t="str">
        <f t="shared" si="17"/>
        <v/>
      </c>
      <c r="M124" s="1" t="str">
        <f t="shared" si="18"/>
        <v/>
      </c>
      <c r="N124" s="8"/>
      <c r="O124" s="8"/>
      <c r="P124" s="1" t="str">
        <f t="shared" si="19"/>
        <v/>
      </c>
      <c r="Q124" s="25" t="str">
        <f t="shared" si="20"/>
        <v/>
      </c>
      <c r="R124" s="1" t="str">
        <f t="shared" si="21"/>
        <v/>
      </c>
      <c r="S124" s="33" t="str">
        <f t="shared" si="22"/>
        <v/>
      </c>
      <c r="T124" s="34" t="str">
        <f>IF(B124="","",C124&amp;"|"&amp;ROUND(S124,2)&amp;"|"&amp;COUNTIFS($C$4:C124,C124,$S$4:S124,S124))</f>
        <v/>
      </c>
      <c r="U124" s="34" t="str">
        <f t="shared" si="23"/>
        <v/>
      </c>
      <c r="V124" s="34" t="str">
        <f t="shared" si="24"/>
        <v/>
      </c>
      <c r="W124" s="34" t="str">
        <f t="shared" si="25"/>
        <v/>
      </c>
      <c r="X124" s="34">
        <f t="shared" si="26"/>
        <v>0</v>
      </c>
      <c r="Y124" s="34" t="str">
        <f t="shared" si="27"/>
        <v/>
      </c>
      <c r="Z124" s="34" t="str">
        <f>IF(X124=1,V124,IF(Y124="","",IF(COUNTIF(Y$3:Y123,Y124)=0,Y124,"")))</f>
        <v/>
      </c>
      <c r="AA124" s="34" t="b">
        <f t="shared" si="28"/>
        <v>0</v>
      </c>
      <c r="AB124" s="34">
        <f t="shared" si="29"/>
        <v>0</v>
      </c>
      <c r="AC124" s="34" t="str">
        <f>IF(AND(B124&lt;&gt;"",C124=CompteSel,N(B124)&lt;=DateArret,AB124=0),MAX($AC$3:AC123)+1,"")</f>
        <v/>
      </c>
      <c r="AD124" s="34" t="str">
        <f>IF(AND(ISNUMBER(M124),C124=CompteSel),MAX($AD$3:AD123)+1,"")</f>
        <v/>
      </c>
    </row>
    <row r="125" spans="1:30" x14ac:dyDescent="0.35">
      <c r="A125" s="1" t="str">
        <f t="shared" si="15"/>
        <v/>
      </c>
      <c r="B125" s="31"/>
      <c r="C125" s="8"/>
      <c r="D125" s="8"/>
      <c r="E125" s="8"/>
      <c r="F125" s="8"/>
      <c r="G125" s="8"/>
      <c r="H125" s="32"/>
      <c r="I125" s="32"/>
      <c r="J125" s="25" t="str">
        <f>IF(B125="","",IFERROR(VLOOKUP(C125,Soldes_Ouverture,2,FALSE()),0)+SUMIFS($S$4:S125,$C$4:C125,C125))</f>
        <v/>
      </c>
      <c r="K125" s="1" t="str">
        <f t="shared" si="16"/>
        <v/>
      </c>
      <c r="L125" s="1" t="str">
        <f t="shared" si="17"/>
        <v/>
      </c>
      <c r="M125" s="1" t="str">
        <f t="shared" si="18"/>
        <v/>
      </c>
      <c r="N125" s="8"/>
      <c r="O125" s="8"/>
      <c r="P125" s="1" t="str">
        <f t="shared" si="19"/>
        <v/>
      </c>
      <c r="Q125" s="25" t="str">
        <f t="shared" si="20"/>
        <v/>
      </c>
      <c r="R125" s="1" t="str">
        <f t="shared" si="21"/>
        <v/>
      </c>
      <c r="S125" s="33" t="str">
        <f t="shared" si="22"/>
        <v/>
      </c>
      <c r="T125" s="34" t="str">
        <f>IF(B125="","",C125&amp;"|"&amp;ROUND(S125,2)&amp;"|"&amp;COUNTIFS($C$4:C125,C125,$S$4:S125,S125))</f>
        <v/>
      </c>
      <c r="U125" s="34" t="str">
        <f t="shared" si="23"/>
        <v/>
      </c>
      <c r="V125" s="34" t="str">
        <f t="shared" si="24"/>
        <v/>
      </c>
      <c r="W125" s="34" t="str">
        <f t="shared" si="25"/>
        <v/>
      </c>
      <c r="X125" s="34">
        <f t="shared" si="26"/>
        <v>0</v>
      </c>
      <c r="Y125" s="34" t="str">
        <f t="shared" si="27"/>
        <v/>
      </c>
      <c r="Z125" s="34" t="str">
        <f>IF(X125=1,V125,IF(Y125="","",IF(COUNTIF(Y$3:Y124,Y125)=0,Y125,"")))</f>
        <v/>
      </c>
      <c r="AA125" s="34" t="b">
        <f t="shared" si="28"/>
        <v>0</v>
      </c>
      <c r="AB125" s="34">
        <f t="shared" si="29"/>
        <v>0</v>
      </c>
      <c r="AC125" s="34" t="str">
        <f>IF(AND(B125&lt;&gt;"",C125=CompteSel,N(B125)&lt;=DateArret,AB125=0),MAX($AC$3:AC124)+1,"")</f>
        <v/>
      </c>
      <c r="AD125" s="34" t="str">
        <f>IF(AND(ISNUMBER(M125),C125=CompteSel),MAX($AD$3:AD124)+1,"")</f>
        <v/>
      </c>
    </row>
    <row r="126" spans="1:30" x14ac:dyDescent="0.35">
      <c r="A126" s="1" t="str">
        <f t="shared" si="15"/>
        <v/>
      </c>
      <c r="B126" s="31"/>
      <c r="C126" s="8"/>
      <c r="D126" s="8"/>
      <c r="E126" s="8"/>
      <c r="F126" s="8"/>
      <c r="G126" s="8"/>
      <c r="H126" s="32"/>
      <c r="I126" s="32"/>
      <c r="J126" s="25" t="str">
        <f>IF(B126="","",IFERROR(VLOOKUP(C126,Soldes_Ouverture,2,FALSE()),0)+SUMIFS($S$4:S126,$C$4:C126,C126))</f>
        <v/>
      </c>
      <c r="K126" s="1" t="str">
        <f t="shared" si="16"/>
        <v/>
      </c>
      <c r="L126" s="1" t="str">
        <f t="shared" si="17"/>
        <v/>
      </c>
      <c r="M126" s="1" t="str">
        <f t="shared" si="18"/>
        <v/>
      </c>
      <c r="N126" s="8"/>
      <c r="O126" s="8"/>
      <c r="P126" s="1" t="str">
        <f t="shared" si="19"/>
        <v/>
      </c>
      <c r="Q126" s="25" t="str">
        <f t="shared" si="20"/>
        <v/>
      </c>
      <c r="R126" s="1" t="str">
        <f t="shared" si="21"/>
        <v/>
      </c>
      <c r="S126" s="33" t="str">
        <f t="shared" si="22"/>
        <v/>
      </c>
      <c r="T126" s="34" t="str">
        <f>IF(B126="","",C126&amp;"|"&amp;ROUND(S126,2)&amp;"|"&amp;COUNTIFS($C$4:C126,C126,$S$4:S126,S126))</f>
        <v/>
      </c>
      <c r="U126" s="34" t="str">
        <f t="shared" si="23"/>
        <v/>
      </c>
      <c r="V126" s="34" t="str">
        <f t="shared" si="24"/>
        <v/>
      </c>
      <c r="W126" s="34" t="str">
        <f t="shared" si="25"/>
        <v/>
      </c>
      <c r="X126" s="34">
        <f t="shared" si="26"/>
        <v>0</v>
      </c>
      <c r="Y126" s="34" t="str">
        <f t="shared" si="27"/>
        <v/>
      </c>
      <c r="Z126" s="34" t="str">
        <f>IF(X126=1,V126,IF(Y126="","",IF(COUNTIF(Y$3:Y125,Y126)=0,Y126,"")))</f>
        <v/>
      </c>
      <c r="AA126" s="34" t="b">
        <f t="shared" si="28"/>
        <v>0</v>
      </c>
      <c r="AB126" s="34">
        <f t="shared" si="29"/>
        <v>0</v>
      </c>
      <c r="AC126" s="34" t="str">
        <f>IF(AND(B126&lt;&gt;"",C126=CompteSel,N(B126)&lt;=DateArret,AB126=0),MAX($AC$3:AC125)+1,"")</f>
        <v/>
      </c>
      <c r="AD126" s="34" t="str">
        <f>IF(AND(ISNUMBER(M126),C126=CompteSel),MAX($AD$3:AD125)+1,"")</f>
        <v/>
      </c>
    </row>
    <row r="127" spans="1:30" x14ac:dyDescent="0.35">
      <c r="A127" s="1" t="str">
        <f t="shared" si="15"/>
        <v/>
      </c>
      <c r="B127" s="31"/>
      <c r="C127" s="8"/>
      <c r="D127" s="8"/>
      <c r="E127" s="8"/>
      <c r="F127" s="8"/>
      <c r="G127" s="8"/>
      <c r="H127" s="32"/>
      <c r="I127" s="32"/>
      <c r="J127" s="25" t="str">
        <f>IF(B127="","",IFERROR(VLOOKUP(C127,Soldes_Ouverture,2,FALSE()),0)+SUMIFS($S$4:S127,$C$4:C127,C127))</f>
        <v/>
      </c>
      <c r="K127" s="1" t="str">
        <f t="shared" si="16"/>
        <v/>
      </c>
      <c r="L127" s="1" t="str">
        <f t="shared" si="17"/>
        <v/>
      </c>
      <c r="M127" s="1" t="str">
        <f t="shared" si="18"/>
        <v/>
      </c>
      <c r="N127" s="8"/>
      <c r="O127" s="8"/>
      <c r="P127" s="1" t="str">
        <f t="shared" si="19"/>
        <v/>
      </c>
      <c r="Q127" s="25" t="str">
        <f t="shared" si="20"/>
        <v/>
      </c>
      <c r="R127" s="1" t="str">
        <f t="shared" si="21"/>
        <v/>
      </c>
      <c r="S127" s="33" t="str">
        <f t="shared" si="22"/>
        <v/>
      </c>
      <c r="T127" s="34" t="str">
        <f>IF(B127="","",C127&amp;"|"&amp;ROUND(S127,2)&amp;"|"&amp;COUNTIFS($C$4:C127,C127,$S$4:S127,S127))</f>
        <v/>
      </c>
      <c r="U127" s="34" t="str">
        <f t="shared" si="23"/>
        <v/>
      </c>
      <c r="V127" s="34" t="str">
        <f t="shared" si="24"/>
        <v/>
      </c>
      <c r="W127" s="34" t="str">
        <f t="shared" si="25"/>
        <v/>
      </c>
      <c r="X127" s="34">
        <f t="shared" si="26"/>
        <v>0</v>
      </c>
      <c r="Y127" s="34" t="str">
        <f t="shared" si="27"/>
        <v/>
      </c>
      <c r="Z127" s="34" t="str">
        <f>IF(X127=1,V127,IF(Y127="","",IF(COUNTIF(Y$3:Y126,Y127)=0,Y127,"")))</f>
        <v/>
      </c>
      <c r="AA127" s="34" t="b">
        <f t="shared" si="28"/>
        <v>0</v>
      </c>
      <c r="AB127" s="34">
        <f t="shared" si="29"/>
        <v>0</v>
      </c>
      <c r="AC127" s="34" t="str">
        <f>IF(AND(B127&lt;&gt;"",C127=CompteSel,N(B127)&lt;=DateArret,AB127=0),MAX($AC$3:AC126)+1,"")</f>
        <v/>
      </c>
      <c r="AD127" s="34" t="str">
        <f>IF(AND(ISNUMBER(M127),C127=CompteSel),MAX($AD$3:AD126)+1,"")</f>
        <v/>
      </c>
    </row>
    <row r="128" spans="1:30" x14ac:dyDescent="0.35">
      <c r="A128" s="1" t="str">
        <f t="shared" si="15"/>
        <v/>
      </c>
      <c r="B128" s="31"/>
      <c r="C128" s="8"/>
      <c r="D128" s="8"/>
      <c r="E128" s="8"/>
      <c r="F128" s="8"/>
      <c r="G128" s="8"/>
      <c r="H128" s="32"/>
      <c r="I128" s="32"/>
      <c r="J128" s="25" t="str">
        <f>IF(B128="","",IFERROR(VLOOKUP(C128,Soldes_Ouverture,2,FALSE()),0)+SUMIFS($S$4:S128,$C$4:C128,C128))</f>
        <v/>
      </c>
      <c r="K128" s="1" t="str">
        <f t="shared" si="16"/>
        <v/>
      </c>
      <c r="L128" s="1" t="str">
        <f t="shared" si="17"/>
        <v/>
      </c>
      <c r="M128" s="1" t="str">
        <f t="shared" si="18"/>
        <v/>
      </c>
      <c r="N128" s="8"/>
      <c r="O128" s="8"/>
      <c r="P128" s="1" t="str">
        <f t="shared" si="19"/>
        <v/>
      </c>
      <c r="Q128" s="25" t="str">
        <f t="shared" si="20"/>
        <v/>
      </c>
      <c r="R128" s="1" t="str">
        <f t="shared" si="21"/>
        <v/>
      </c>
      <c r="S128" s="33" t="str">
        <f t="shared" si="22"/>
        <v/>
      </c>
      <c r="T128" s="34" t="str">
        <f>IF(B128="","",C128&amp;"|"&amp;ROUND(S128,2)&amp;"|"&amp;COUNTIFS($C$4:C128,C128,$S$4:S128,S128))</f>
        <v/>
      </c>
      <c r="U128" s="34" t="str">
        <f t="shared" si="23"/>
        <v/>
      </c>
      <c r="V128" s="34" t="str">
        <f t="shared" si="24"/>
        <v/>
      </c>
      <c r="W128" s="34" t="str">
        <f t="shared" si="25"/>
        <v/>
      </c>
      <c r="X128" s="34">
        <f t="shared" si="26"/>
        <v>0</v>
      </c>
      <c r="Y128" s="34" t="str">
        <f t="shared" si="27"/>
        <v/>
      </c>
      <c r="Z128" s="34" t="str">
        <f>IF(X128=1,V128,IF(Y128="","",IF(COUNTIF(Y$3:Y127,Y128)=0,Y128,"")))</f>
        <v/>
      </c>
      <c r="AA128" s="34" t="b">
        <f t="shared" si="28"/>
        <v>0</v>
      </c>
      <c r="AB128" s="34">
        <f t="shared" si="29"/>
        <v>0</v>
      </c>
      <c r="AC128" s="34" t="str">
        <f>IF(AND(B128&lt;&gt;"",C128=CompteSel,N(B128)&lt;=DateArret,AB128=0),MAX($AC$3:AC127)+1,"")</f>
        <v/>
      </c>
      <c r="AD128" s="34" t="str">
        <f>IF(AND(ISNUMBER(M128),C128=CompteSel),MAX($AD$3:AD127)+1,"")</f>
        <v/>
      </c>
    </row>
    <row r="129" spans="1:30" x14ac:dyDescent="0.35">
      <c r="A129" s="1" t="str">
        <f t="shared" si="15"/>
        <v/>
      </c>
      <c r="B129" s="31"/>
      <c r="C129" s="8"/>
      <c r="D129" s="8"/>
      <c r="E129" s="8"/>
      <c r="F129" s="8"/>
      <c r="G129" s="8"/>
      <c r="H129" s="32"/>
      <c r="I129" s="32"/>
      <c r="J129" s="25" t="str">
        <f>IF(B129="","",IFERROR(VLOOKUP(C129,Soldes_Ouverture,2,FALSE()),0)+SUMIFS($S$4:S129,$C$4:C129,C129))</f>
        <v/>
      </c>
      <c r="K129" s="1" t="str">
        <f t="shared" si="16"/>
        <v/>
      </c>
      <c r="L129" s="1" t="str">
        <f t="shared" si="17"/>
        <v/>
      </c>
      <c r="M129" s="1" t="str">
        <f t="shared" si="18"/>
        <v/>
      </c>
      <c r="N129" s="8"/>
      <c r="O129" s="8"/>
      <c r="P129" s="1" t="str">
        <f t="shared" si="19"/>
        <v/>
      </c>
      <c r="Q129" s="25" t="str">
        <f t="shared" si="20"/>
        <v/>
      </c>
      <c r="R129" s="1" t="str">
        <f t="shared" si="21"/>
        <v/>
      </c>
      <c r="S129" s="33" t="str">
        <f t="shared" si="22"/>
        <v/>
      </c>
      <c r="T129" s="34" t="str">
        <f>IF(B129="","",C129&amp;"|"&amp;ROUND(S129,2)&amp;"|"&amp;COUNTIFS($C$4:C129,C129,$S$4:S129,S129))</f>
        <v/>
      </c>
      <c r="U129" s="34" t="str">
        <f t="shared" si="23"/>
        <v/>
      </c>
      <c r="V129" s="34" t="str">
        <f t="shared" si="24"/>
        <v/>
      </c>
      <c r="W129" s="34" t="str">
        <f t="shared" si="25"/>
        <v/>
      </c>
      <c r="X129" s="34">
        <f t="shared" si="26"/>
        <v>0</v>
      </c>
      <c r="Y129" s="34" t="str">
        <f t="shared" si="27"/>
        <v/>
      </c>
      <c r="Z129" s="34" t="str">
        <f>IF(X129=1,V129,IF(Y129="","",IF(COUNTIF(Y$3:Y128,Y129)=0,Y129,"")))</f>
        <v/>
      </c>
      <c r="AA129" s="34" t="b">
        <f t="shared" si="28"/>
        <v>0</v>
      </c>
      <c r="AB129" s="34">
        <f t="shared" si="29"/>
        <v>0</v>
      </c>
      <c r="AC129" s="34" t="str">
        <f>IF(AND(B129&lt;&gt;"",C129=CompteSel,N(B129)&lt;=DateArret,AB129=0),MAX($AC$3:AC128)+1,"")</f>
        <v/>
      </c>
      <c r="AD129" s="34" t="str">
        <f>IF(AND(ISNUMBER(M129),C129=CompteSel),MAX($AD$3:AD128)+1,"")</f>
        <v/>
      </c>
    </row>
    <row r="130" spans="1:30" x14ac:dyDescent="0.35">
      <c r="A130" s="1" t="str">
        <f t="shared" si="15"/>
        <v/>
      </c>
      <c r="B130" s="31"/>
      <c r="C130" s="8"/>
      <c r="D130" s="8"/>
      <c r="E130" s="8"/>
      <c r="F130" s="8"/>
      <c r="G130" s="8"/>
      <c r="H130" s="32"/>
      <c r="I130" s="32"/>
      <c r="J130" s="25" t="str">
        <f>IF(B130="","",IFERROR(VLOOKUP(C130,Soldes_Ouverture,2,FALSE()),0)+SUMIFS($S$4:S130,$C$4:C130,C130))</f>
        <v/>
      </c>
      <c r="K130" s="1" t="str">
        <f t="shared" si="16"/>
        <v/>
      </c>
      <c r="L130" s="1" t="str">
        <f t="shared" si="17"/>
        <v/>
      </c>
      <c r="M130" s="1" t="str">
        <f t="shared" si="18"/>
        <v/>
      </c>
      <c r="N130" s="8"/>
      <c r="O130" s="8"/>
      <c r="P130" s="1" t="str">
        <f t="shared" si="19"/>
        <v/>
      </c>
      <c r="Q130" s="25" t="str">
        <f t="shared" si="20"/>
        <v/>
      </c>
      <c r="R130" s="1" t="str">
        <f t="shared" si="21"/>
        <v/>
      </c>
      <c r="S130" s="33" t="str">
        <f t="shared" si="22"/>
        <v/>
      </c>
      <c r="T130" s="34" t="str">
        <f>IF(B130="","",C130&amp;"|"&amp;ROUND(S130,2)&amp;"|"&amp;COUNTIFS($C$4:C130,C130,$S$4:S130,S130))</f>
        <v/>
      </c>
      <c r="U130" s="34" t="str">
        <f t="shared" si="23"/>
        <v/>
      </c>
      <c r="V130" s="34" t="str">
        <f t="shared" si="24"/>
        <v/>
      </c>
      <c r="W130" s="34" t="str">
        <f t="shared" si="25"/>
        <v/>
      </c>
      <c r="X130" s="34">
        <f t="shared" si="26"/>
        <v>0</v>
      </c>
      <c r="Y130" s="34" t="str">
        <f t="shared" si="27"/>
        <v/>
      </c>
      <c r="Z130" s="34" t="str">
        <f>IF(X130=1,V130,IF(Y130="","",IF(COUNTIF(Y$3:Y129,Y130)=0,Y130,"")))</f>
        <v/>
      </c>
      <c r="AA130" s="34" t="b">
        <f t="shared" si="28"/>
        <v>0</v>
      </c>
      <c r="AB130" s="34">
        <f t="shared" si="29"/>
        <v>0</v>
      </c>
      <c r="AC130" s="34" t="str">
        <f>IF(AND(B130&lt;&gt;"",C130=CompteSel,N(B130)&lt;=DateArret,AB130=0),MAX($AC$3:AC129)+1,"")</f>
        <v/>
      </c>
      <c r="AD130" s="34" t="str">
        <f>IF(AND(ISNUMBER(M130),C130=CompteSel),MAX($AD$3:AD129)+1,"")</f>
        <v/>
      </c>
    </row>
    <row r="131" spans="1:30" x14ac:dyDescent="0.35">
      <c r="A131" s="1" t="str">
        <f t="shared" si="15"/>
        <v/>
      </c>
      <c r="B131" s="31"/>
      <c r="C131" s="8"/>
      <c r="D131" s="8"/>
      <c r="E131" s="8"/>
      <c r="F131" s="8"/>
      <c r="G131" s="8"/>
      <c r="H131" s="32"/>
      <c r="I131" s="32"/>
      <c r="J131" s="25" t="str">
        <f>IF(B131="","",IFERROR(VLOOKUP(C131,Soldes_Ouverture,2,FALSE()),0)+SUMIFS($S$4:S131,$C$4:C131,C131))</f>
        <v/>
      </c>
      <c r="K131" s="1" t="str">
        <f t="shared" si="16"/>
        <v/>
      </c>
      <c r="L131" s="1" t="str">
        <f t="shared" si="17"/>
        <v/>
      </c>
      <c r="M131" s="1" t="str">
        <f t="shared" si="18"/>
        <v/>
      </c>
      <c r="N131" s="8"/>
      <c r="O131" s="8"/>
      <c r="P131" s="1" t="str">
        <f t="shared" si="19"/>
        <v/>
      </c>
      <c r="Q131" s="25" t="str">
        <f t="shared" si="20"/>
        <v/>
      </c>
      <c r="R131" s="1" t="str">
        <f t="shared" si="21"/>
        <v/>
      </c>
      <c r="S131" s="33" t="str">
        <f t="shared" si="22"/>
        <v/>
      </c>
      <c r="T131" s="34" t="str">
        <f>IF(B131="","",C131&amp;"|"&amp;ROUND(S131,2)&amp;"|"&amp;COUNTIFS($C$4:C131,C131,$S$4:S131,S131))</f>
        <v/>
      </c>
      <c r="U131" s="34" t="str">
        <f t="shared" si="23"/>
        <v/>
      </c>
      <c r="V131" s="34" t="str">
        <f t="shared" si="24"/>
        <v/>
      </c>
      <c r="W131" s="34" t="str">
        <f t="shared" si="25"/>
        <v/>
      </c>
      <c r="X131" s="34">
        <f t="shared" si="26"/>
        <v>0</v>
      </c>
      <c r="Y131" s="34" t="str">
        <f t="shared" si="27"/>
        <v/>
      </c>
      <c r="Z131" s="34" t="str">
        <f>IF(X131=1,V131,IF(Y131="","",IF(COUNTIF(Y$3:Y130,Y131)=0,Y131,"")))</f>
        <v/>
      </c>
      <c r="AA131" s="34" t="b">
        <f t="shared" si="28"/>
        <v>0</v>
      </c>
      <c r="AB131" s="34">
        <f t="shared" si="29"/>
        <v>0</v>
      </c>
      <c r="AC131" s="34" t="str">
        <f>IF(AND(B131&lt;&gt;"",C131=CompteSel,N(B131)&lt;=DateArret,AB131=0),MAX($AC$3:AC130)+1,"")</f>
        <v/>
      </c>
      <c r="AD131" s="34" t="str">
        <f>IF(AND(ISNUMBER(M131),C131=CompteSel),MAX($AD$3:AD130)+1,"")</f>
        <v/>
      </c>
    </row>
    <row r="132" spans="1:30" x14ac:dyDescent="0.35">
      <c r="A132" s="1" t="str">
        <f t="shared" ref="A132:A195" si="30">IF(B132="","",ROW()-3)</f>
        <v/>
      </c>
      <c r="B132" s="31"/>
      <c r="C132" s="8"/>
      <c r="D132" s="8"/>
      <c r="E132" s="8"/>
      <c r="F132" s="8"/>
      <c r="G132" s="8"/>
      <c r="H132" s="32"/>
      <c r="I132" s="32"/>
      <c r="J132" s="25" t="str">
        <f>IF(B132="","",IFERROR(VLOOKUP(C132,Soldes_Ouverture,2,FALSE()),0)+SUMIFS($S$4:S132,$C$4:C132,C132))</f>
        <v/>
      </c>
      <c r="K132" s="1" t="str">
        <f t="shared" ref="K132:K195" si="31">IF(B132="","",IF(N132="Écart","Écart",IF(M132="","Non rapproché",IF(ISNUMBER(SEARCH("Conflit",R132)),"Conflit",IF(O132&lt;&gt;"","Manuel",IF(OR(N132="Valider",AND(L132="Fort",AutoFort="Oui")),"Rapproché","Proposé"))))))</f>
        <v/>
      </c>
      <c r="L132" s="1" t="str">
        <f t="shared" ref="L132:L195" si="32">IF(M132="","",IF(O132&lt;&gt;"","Manuel",IF(AND(P132&lt;=TolJours,AA132),"Fort",IF(P132&lt;=TolJours,"Moyen","Faible"))))</f>
        <v/>
      </c>
      <c r="M132" s="1" t="str">
        <f t="shared" ref="M132:M195" si="33">IF(B132="","",IF(O132&lt;&gt;"",O132,IF(OR(N132="Rejeter",N132="Écart",Z132=""),"",IF(INDEX(B_Decision,Z132)="Écart","",Z132))))</f>
        <v/>
      </c>
      <c r="N132" s="8"/>
      <c r="O132" s="8"/>
      <c r="P132" s="1" t="str">
        <f t="shared" ref="P132:P195" si="34">IF(M132="","",IFERROR(ABS(B132-INDEX(B_Date,M132)),""))</f>
        <v/>
      </c>
      <c r="Q132" s="25" t="str">
        <f t="shared" ref="Q132:Q195" si="35">IF(M132="","",IFERROR(ABS(S132-INDEX(B_Montant,M132)),""))</f>
        <v/>
      </c>
      <c r="R132" s="1" t="str">
        <f t="shared" ref="R132:R195" si="36">IF(B132="","",TRIM(IF(AND(M132&lt;&gt;"",COUNTIF($M$4:$M$503,M132)&gt;1),"Conflit ","")&amp;IF(COUNTIFS($C$4:$C$503,C132,$B$4:$B$503,B132,$S$4:$S$503,S132)&gt;1,"Doublon ?","")))</f>
        <v/>
      </c>
      <c r="S132" s="33" t="str">
        <f t="shared" ref="S132:S195" si="37">IF(B132="","",N(I132)-N(H132))</f>
        <v/>
      </c>
      <c r="T132" s="34" t="str">
        <f>IF(B132="","",C132&amp;"|"&amp;ROUND(S132,2)&amp;"|"&amp;COUNTIFS($C$4:C132,C132,$S$4:S132,S132))</f>
        <v/>
      </c>
      <c r="U132" s="34" t="str">
        <f t="shared" ref="U132:U195" si="38">IF(D132="","",IFERROR(VALUE(TRIM(RIGHT(SUBSTITUTE(SUBSTITUTE(SUBSTITUTE(D132,"-"," "),"/"," ")," ",REPT(" ",60)),60))),""))</f>
        <v/>
      </c>
      <c r="V132" s="34" t="str">
        <f t="shared" ref="V132:V195" si="39">IF(B132="","",IFERROR(MATCH(T132,B_Cle,0),""))</f>
        <v/>
      </c>
      <c r="W132" s="34" t="str">
        <f t="shared" ref="W132:W195" si="40">IF(V132="","",ABS(B132-INDEX(B_Date,V132)))</f>
        <v/>
      </c>
      <c r="X132" s="34">
        <f t="shared" ref="X132:X195" si="41">IF(V132="",0,IF(W132&lt;=Fenetre,1,0))</f>
        <v>0</v>
      </c>
      <c r="Y132" s="34" t="str">
        <f t="shared" ref="Y132:Y195" si="42">IF(OR(B132="",X132=1,TolMontant&lt;=0),"",IFERROR(MATCH(1,INDEX((B_Compte=C132)*(B_Date&gt;0)*(B_Signe=SIGN(S132))*(ABS(B_MontantN-S132)&lt;=TolMontant)*(ABS(B_Date-B132)&lt;=Fenetre)*(B_PrisExact=0),0),0),""))</f>
        <v/>
      </c>
      <c r="Z132" s="34" t="str">
        <f>IF(X132=1,V132,IF(Y132="","",IF(COUNTIF(Y$3:Y131,Y132)=0,Y132,"")))</f>
        <v/>
      </c>
      <c r="AA132" s="34" t="b">
        <f t="shared" ref="AA132:AA195" si="43">IF(M132="",FALSE(),IFERROR(OR(AND(U132&lt;&gt;"",N(U132)&gt;=100,ISNUMBER(SEARCH(U132,INDEX(B_Ref,M132)&amp;" "&amp;INDEX(B_Lib,M132)))),AND(D132&lt;&gt;"",ISNUMBER(SEARCH(D132,INDEX(B_Lib,M132)))),AND(INDEX(B_Ref,M132)&amp;""&lt;&gt;"",D132&lt;&gt;"",ISNUMBER(SEARCH(INDEX(B_Ref,M132)&amp;"",D132)))),FALSE()))</f>
        <v>0</v>
      </c>
      <c r="AB132" s="34">
        <f t="shared" ref="AB132:AB195" si="44">IF(OR(K132="Rapproché",K132="Manuel"),1,0)</f>
        <v>0</v>
      </c>
      <c r="AC132" s="34" t="str">
        <f>IF(AND(B132&lt;&gt;"",C132=CompteSel,N(B132)&lt;=DateArret,AB132=0),MAX($AC$3:AC131)+1,"")</f>
        <v/>
      </c>
      <c r="AD132" s="34" t="str">
        <f>IF(AND(ISNUMBER(M132),C132=CompteSel),MAX($AD$3:AD131)+1,"")</f>
        <v/>
      </c>
    </row>
    <row r="133" spans="1:30" x14ac:dyDescent="0.35">
      <c r="A133" s="1" t="str">
        <f t="shared" si="30"/>
        <v/>
      </c>
      <c r="B133" s="31"/>
      <c r="C133" s="8"/>
      <c r="D133" s="8"/>
      <c r="E133" s="8"/>
      <c r="F133" s="8"/>
      <c r="G133" s="8"/>
      <c r="H133" s="32"/>
      <c r="I133" s="32"/>
      <c r="J133" s="25" t="str">
        <f>IF(B133="","",IFERROR(VLOOKUP(C133,Soldes_Ouverture,2,FALSE()),0)+SUMIFS($S$4:S133,$C$4:C133,C133))</f>
        <v/>
      </c>
      <c r="K133" s="1" t="str">
        <f t="shared" si="31"/>
        <v/>
      </c>
      <c r="L133" s="1" t="str">
        <f t="shared" si="32"/>
        <v/>
      </c>
      <c r="M133" s="1" t="str">
        <f t="shared" si="33"/>
        <v/>
      </c>
      <c r="N133" s="8"/>
      <c r="O133" s="8"/>
      <c r="P133" s="1" t="str">
        <f t="shared" si="34"/>
        <v/>
      </c>
      <c r="Q133" s="25" t="str">
        <f t="shared" si="35"/>
        <v/>
      </c>
      <c r="R133" s="1" t="str">
        <f t="shared" si="36"/>
        <v/>
      </c>
      <c r="S133" s="33" t="str">
        <f t="shared" si="37"/>
        <v/>
      </c>
      <c r="T133" s="34" t="str">
        <f>IF(B133="","",C133&amp;"|"&amp;ROUND(S133,2)&amp;"|"&amp;COUNTIFS($C$4:C133,C133,$S$4:S133,S133))</f>
        <v/>
      </c>
      <c r="U133" s="34" t="str">
        <f t="shared" si="38"/>
        <v/>
      </c>
      <c r="V133" s="34" t="str">
        <f t="shared" si="39"/>
        <v/>
      </c>
      <c r="W133" s="34" t="str">
        <f t="shared" si="40"/>
        <v/>
      </c>
      <c r="X133" s="34">
        <f t="shared" si="41"/>
        <v>0</v>
      </c>
      <c r="Y133" s="34" t="str">
        <f t="shared" si="42"/>
        <v/>
      </c>
      <c r="Z133" s="34" t="str">
        <f>IF(X133=1,V133,IF(Y133="","",IF(COUNTIF(Y$3:Y132,Y133)=0,Y133,"")))</f>
        <v/>
      </c>
      <c r="AA133" s="34" t="b">
        <f t="shared" si="43"/>
        <v>0</v>
      </c>
      <c r="AB133" s="34">
        <f t="shared" si="44"/>
        <v>0</v>
      </c>
      <c r="AC133" s="34" t="str">
        <f>IF(AND(B133&lt;&gt;"",C133=CompteSel,N(B133)&lt;=DateArret,AB133=0),MAX($AC$3:AC132)+1,"")</f>
        <v/>
      </c>
      <c r="AD133" s="34" t="str">
        <f>IF(AND(ISNUMBER(M133),C133=CompteSel),MAX($AD$3:AD132)+1,"")</f>
        <v/>
      </c>
    </row>
    <row r="134" spans="1:30" x14ac:dyDescent="0.35">
      <c r="A134" s="1" t="str">
        <f t="shared" si="30"/>
        <v/>
      </c>
      <c r="B134" s="31"/>
      <c r="C134" s="8"/>
      <c r="D134" s="8"/>
      <c r="E134" s="8"/>
      <c r="F134" s="8"/>
      <c r="G134" s="8"/>
      <c r="H134" s="32"/>
      <c r="I134" s="32"/>
      <c r="J134" s="25" t="str">
        <f>IF(B134="","",IFERROR(VLOOKUP(C134,Soldes_Ouverture,2,FALSE()),0)+SUMIFS($S$4:S134,$C$4:C134,C134))</f>
        <v/>
      </c>
      <c r="K134" s="1" t="str">
        <f t="shared" si="31"/>
        <v/>
      </c>
      <c r="L134" s="1" t="str">
        <f t="shared" si="32"/>
        <v/>
      </c>
      <c r="M134" s="1" t="str">
        <f t="shared" si="33"/>
        <v/>
      </c>
      <c r="N134" s="8"/>
      <c r="O134" s="8"/>
      <c r="P134" s="1" t="str">
        <f t="shared" si="34"/>
        <v/>
      </c>
      <c r="Q134" s="25" t="str">
        <f t="shared" si="35"/>
        <v/>
      </c>
      <c r="R134" s="1" t="str">
        <f t="shared" si="36"/>
        <v/>
      </c>
      <c r="S134" s="33" t="str">
        <f t="shared" si="37"/>
        <v/>
      </c>
      <c r="T134" s="34" t="str">
        <f>IF(B134="","",C134&amp;"|"&amp;ROUND(S134,2)&amp;"|"&amp;COUNTIFS($C$4:C134,C134,$S$4:S134,S134))</f>
        <v/>
      </c>
      <c r="U134" s="34" t="str">
        <f t="shared" si="38"/>
        <v/>
      </c>
      <c r="V134" s="34" t="str">
        <f t="shared" si="39"/>
        <v/>
      </c>
      <c r="W134" s="34" t="str">
        <f t="shared" si="40"/>
        <v/>
      </c>
      <c r="X134" s="34">
        <f t="shared" si="41"/>
        <v>0</v>
      </c>
      <c r="Y134" s="34" t="str">
        <f t="shared" si="42"/>
        <v/>
      </c>
      <c r="Z134" s="34" t="str">
        <f>IF(X134=1,V134,IF(Y134="","",IF(COUNTIF(Y$3:Y133,Y134)=0,Y134,"")))</f>
        <v/>
      </c>
      <c r="AA134" s="34" t="b">
        <f t="shared" si="43"/>
        <v>0</v>
      </c>
      <c r="AB134" s="34">
        <f t="shared" si="44"/>
        <v>0</v>
      </c>
      <c r="AC134" s="34" t="str">
        <f>IF(AND(B134&lt;&gt;"",C134=CompteSel,N(B134)&lt;=DateArret,AB134=0),MAX($AC$3:AC133)+1,"")</f>
        <v/>
      </c>
      <c r="AD134" s="34" t="str">
        <f>IF(AND(ISNUMBER(M134),C134=CompteSel),MAX($AD$3:AD133)+1,"")</f>
        <v/>
      </c>
    </row>
    <row r="135" spans="1:30" x14ac:dyDescent="0.35">
      <c r="A135" s="1" t="str">
        <f t="shared" si="30"/>
        <v/>
      </c>
      <c r="B135" s="31"/>
      <c r="C135" s="8"/>
      <c r="D135" s="8"/>
      <c r="E135" s="8"/>
      <c r="F135" s="8"/>
      <c r="G135" s="8"/>
      <c r="H135" s="32"/>
      <c r="I135" s="32"/>
      <c r="J135" s="25" t="str">
        <f>IF(B135="","",IFERROR(VLOOKUP(C135,Soldes_Ouverture,2,FALSE()),0)+SUMIFS($S$4:S135,$C$4:C135,C135))</f>
        <v/>
      </c>
      <c r="K135" s="1" t="str">
        <f t="shared" si="31"/>
        <v/>
      </c>
      <c r="L135" s="1" t="str">
        <f t="shared" si="32"/>
        <v/>
      </c>
      <c r="M135" s="1" t="str">
        <f t="shared" si="33"/>
        <v/>
      </c>
      <c r="N135" s="8"/>
      <c r="O135" s="8"/>
      <c r="P135" s="1" t="str">
        <f t="shared" si="34"/>
        <v/>
      </c>
      <c r="Q135" s="25" t="str">
        <f t="shared" si="35"/>
        <v/>
      </c>
      <c r="R135" s="1" t="str">
        <f t="shared" si="36"/>
        <v/>
      </c>
      <c r="S135" s="33" t="str">
        <f t="shared" si="37"/>
        <v/>
      </c>
      <c r="T135" s="34" t="str">
        <f>IF(B135="","",C135&amp;"|"&amp;ROUND(S135,2)&amp;"|"&amp;COUNTIFS($C$4:C135,C135,$S$4:S135,S135))</f>
        <v/>
      </c>
      <c r="U135" s="34" t="str">
        <f t="shared" si="38"/>
        <v/>
      </c>
      <c r="V135" s="34" t="str">
        <f t="shared" si="39"/>
        <v/>
      </c>
      <c r="W135" s="34" t="str">
        <f t="shared" si="40"/>
        <v/>
      </c>
      <c r="X135" s="34">
        <f t="shared" si="41"/>
        <v>0</v>
      </c>
      <c r="Y135" s="34" t="str">
        <f t="shared" si="42"/>
        <v/>
      </c>
      <c r="Z135" s="34" t="str">
        <f>IF(X135=1,V135,IF(Y135="","",IF(COUNTIF(Y$3:Y134,Y135)=0,Y135,"")))</f>
        <v/>
      </c>
      <c r="AA135" s="34" t="b">
        <f t="shared" si="43"/>
        <v>0</v>
      </c>
      <c r="AB135" s="34">
        <f t="shared" si="44"/>
        <v>0</v>
      </c>
      <c r="AC135" s="34" t="str">
        <f>IF(AND(B135&lt;&gt;"",C135=CompteSel,N(B135)&lt;=DateArret,AB135=0),MAX($AC$3:AC134)+1,"")</f>
        <v/>
      </c>
      <c r="AD135" s="34" t="str">
        <f>IF(AND(ISNUMBER(M135),C135=CompteSel),MAX($AD$3:AD134)+1,"")</f>
        <v/>
      </c>
    </row>
    <row r="136" spans="1:30" x14ac:dyDescent="0.35">
      <c r="A136" s="1" t="str">
        <f t="shared" si="30"/>
        <v/>
      </c>
      <c r="B136" s="31"/>
      <c r="C136" s="8"/>
      <c r="D136" s="8"/>
      <c r="E136" s="8"/>
      <c r="F136" s="8"/>
      <c r="G136" s="8"/>
      <c r="H136" s="32"/>
      <c r="I136" s="32"/>
      <c r="J136" s="25" t="str">
        <f>IF(B136="","",IFERROR(VLOOKUP(C136,Soldes_Ouverture,2,FALSE()),0)+SUMIFS($S$4:S136,$C$4:C136,C136))</f>
        <v/>
      </c>
      <c r="K136" s="1" t="str">
        <f t="shared" si="31"/>
        <v/>
      </c>
      <c r="L136" s="1" t="str">
        <f t="shared" si="32"/>
        <v/>
      </c>
      <c r="M136" s="1" t="str">
        <f t="shared" si="33"/>
        <v/>
      </c>
      <c r="N136" s="8"/>
      <c r="O136" s="8"/>
      <c r="P136" s="1" t="str">
        <f t="shared" si="34"/>
        <v/>
      </c>
      <c r="Q136" s="25" t="str">
        <f t="shared" si="35"/>
        <v/>
      </c>
      <c r="R136" s="1" t="str">
        <f t="shared" si="36"/>
        <v/>
      </c>
      <c r="S136" s="33" t="str">
        <f t="shared" si="37"/>
        <v/>
      </c>
      <c r="T136" s="34" t="str">
        <f>IF(B136="","",C136&amp;"|"&amp;ROUND(S136,2)&amp;"|"&amp;COUNTIFS($C$4:C136,C136,$S$4:S136,S136))</f>
        <v/>
      </c>
      <c r="U136" s="34" t="str">
        <f t="shared" si="38"/>
        <v/>
      </c>
      <c r="V136" s="34" t="str">
        <f t="shared" si="39"/>
        <v/>
      </c>
      <c r="W136" s="34" t="str">
        <f t="shared" si="40"/>
        <v/>
      </c>
      <c r="X136" s="34">
        <f t="shared" si="41"/>
        <v>0</v>
      </c>
      <c r="Y136" s="34" t="str">
        <f t="shared" si="42"/>
        <v/>
      </c>
      <c r="Z136" s="34" t="str">
        <f>IF(X136=1,V136,IF(Y136="","",IF(COUNTIF(Y$3:Y135,Y136)=0,Y136,"")))</f>
        <v/>
      </c>
      <c r="AA136" s="34" t="b">
        <f t="shared" si="43"/>
        <v>0</v>
      </c>
      <c r="AB136" s="34">
        <f t="shared" si="44"/>
        <v>0</v>
      </c>
      <c r="AC136" s="34" t="str">
        <f>IF(AND(B136&lt;&gt;"",C136=CompteSel,N(B136)&lt;=DateArret,AB136=0),MAX($AC$3:AC135)+1,"")</f>
        <v/>
      </c>
      <c r="AD136" s="34" t="str">
        <f>IF(AND(ISNUMBER(M136),C136=CompteSel),MAX($AD$3:AD135)+1,"")</f>
        <v/>
      </c>
    </row>
    <row r="137" spans="1:30" x14ac:dyDescent="0.35">
      <c r="A137" s="1" t="str">
        <f t="shared" si="30"/>
        <v/>
      </c>
      <c r="B137" s="31"/>
      <c r="C137" s="8"/>
      <c r="D137" s="8"/>
      <c r="E137" s="8"/>
      <c r="F137" s="8"/>
      <c r="G137" s="8"/>
      <c r="H137" s="32"/>
      <c r="I137" s="32"/>
      <c r="J137" s="25" t="str">
        <f>IF(B137="","",IFERROR(VLOOKUP(C137,Soldes_Ouverture,2,FALSE()),0)+SUMIFS($S$4:S137,$C$4:C137,C137))</f>
        <v/>
      </c>
      <c r="K137" s="1" t="str">
        <f t="shared" si="31"/>
        <v/>
      </c>
      <c r="L137" s="1" t="str">
        <f t="shared" si="32"/>
        <v/>
      </c>
      <c r="M137" s="1" t="str">
        <f t="shared" si="33"/>
        <v/>
      </c>
      <c r="N137" s="8"/>
      <c r="O137" s="8"/>
      <c r="P137" s="1" t="str">
        <f t="shared" si="34"/>
        <v/>
      </c>
      <c r="Q137" s="25" t="str">
        <f t="shared" si="35"/>
        <v/>
      </c>
      <c r="R137" s="1" t="str">
        <f t="shared" si="36"/>
        <v/>
      </c>
      <c r="S137" s="33" t="str">
        <f t="shared" si="37"/>
        <v/>
      </c>
      <c r="T137" s="34" t="str">
        <f>IF(B137="","",C137&amp;"|"&amp;ROUND(S137,2)&amp;"|"&amp;COUNTIFS($C$4:C137,C137,$S$4:S137,S137))</f>
        <v/>
      </c>
      <c r="U137" s="34" t="str">
        <f t="shared" si="38"/>
        <v/>
      </c>
      <c r="V137" s="34" t="str">
        <f t="shared" si="39"/>
        <v/>
      </c>
      <c r="W137" s="34" t="str">
        <f t="shared" si="40"/>
        <v/>
      </c>
      <c r="X137" s="34">
        <f t="shared" si="41"/>
        <v>0</v>
      </c>
      <c r="Y137" s="34" t="str">
        <f t="shared" si="42"/>
        <v/>
      </c>
      <c r="Z137" s="34" t="str">
        <f>IF(X137=1,V137,IF(Y137="","",IF(COUNTIF(Y$3:Y136,Y137)=0,Y137,"")))</f>
        <v/>
      </c>
      <c r="AA137" s="34" t="b">
        <f t="shared" si="43"/>
        <v>0</v>
      </c>
      <c r="AB137" s="34">
        <f t="shared" si="44"/>
        <v>0</v>
      </c>
      <c r="AC137" s="34" t="str">
        <f>IF(AND(B137&lt;&gt;"",C137=CompteSel,N(B137)&lt;=DateArret,AB137=0),MAX($AC$3:AC136)+1,"")</f>
        <v/>
      </c>
      <c r="AD137" s="34" t="str">
        <f>IF(AND(ISNUMBER(M137),C137=CompteSel),MAX($AD$3:AD136)+1,"")</f>
        <v/>
      </c>
    </row>
    <row r="138" spans="1:30" x14ac:dyDescent="0.35">
      <c r="A138" s="1" t="str">
        <f t="shared" si="30"/>
        <v/>
      </c>
      <c r="B138" s="31"/>
      <c r="C138" s="8"/>
      <c r="D138" s="8"/>
      <c r="E138" s="8"/>
      <c r="F138" s="8"/>
      <c r="G138" s="8"/>
      <c r="H138" s="32"/>
      <c r="I138" s="32"/>
      <c r="J138" s="25" t="str">
        <f>IF(B138="","",IFERROR(VLOOKUP(C138,Soldes_Ouverture,2,FALSE()),0)+SUMIFS($S$4:S138,$C$4:C138,C138))</f>
        <v/>
      </c>
      <c r="K138" s="1" t="str">
        <f t="shared" si="31"/>
        <v/>
      </c>
      <c r="L138" s="1" t="str">
        <f t="shared" si="32"/>
        <v/>
      </c>
      <c r="M138" s="1" t="str">
        <f t="shared" si="33"/>
        <v/>
      </c>
      <c r="N138" s="8"/>
      <c r="O138" s="8"/>
      <c r="P138" s="1" t="str">
        <f t="shared" si="34"/>
        <v/>
      </c>
      <c r="Q138" s="25" t="str">
        <f t="shared" si="35"/>
        <v/>
      </c>
      <c r="R138" s="1" t="str">
        <f t="shared" si="36"/>
        <v/>
      </c>
      <c r="S138" s="33" t="str">
        <f t="shared" si="37"/>
        <v/>
      </c>
      <c r="T138" s="34" t="str">
        <f>IF(B138="","",C138&amp;"|"&amp;ROUND(S138,2)&amp;"|"&amp;COUNTIFS($C$4:C138,C138,$S$4:S138,S138))</f>
        <v/>
      </c>
      <c r="U138" s="34" t="str">
        <f t="shared" si="38"/>
        <v/>
      </c>
      <c r="V138" s="34" t="str">
        <f t="shared" si="39"/>
        <v/>
      </c>
      <c r="W138" s="34" t="str">
        <f t="shared" si="40"/>
        <v/>
      </c>
      <c r="X138" s="34">
        <f t="shared" si="41"/>
        <v>0</v>
      </c>
      <c r="Y138" s="34" t="str">
        <f t="shared" si="42"/>
        <v/>
      </c>
      <c r="Z138" s="34" t="str">
        <f>IF(X138=1,V138,IF(Y138="","",IF(COUNTIF(Y$3:Y137,Y138)=0,Y138,"")))</f>
        <v/>
      </c>
      <c r="AA138" s="34" t="b">
        <f t="shared" si="43"/>
        <v>0</v>
      </c>
      <c r="AB138" s="34">
        <f t="shared" si="44"/>
        <v>0</v>
      </c>
      <c r="AC138" s="34" t="str">
        <f>IF(AND(B138&lt;&gt;"",C138=CompteSel,N(B138)&lt;=DateArret,AB138=0),MAX($AC$3:AC137)+1,"")</f>
        <v/>
      </c>
      <c r="AD138" s="34" t="str">
        <f>IF(AND(ISNUMBER(M138),C138=CompteSel),MAX($AD$3:AD137)+1,"")</f>
        <v/>
      </c>
    </row>
    <row r="139" spans="1:30" x14ac:dyDescent="0.35">
      <c r="A139" s="1" t="str">
        <f t="shared" si="30"/>
        <v/>
      </c>
      <c r="B139" s="31"/>
      <c r="C139" s="8"/>
      <c r="D139" s="8"/>
      <c r="E139" s="8"/>
      <c r="F139" s="8"/>
      <c r="G139" s="8"/>
      <c r="H139" s="32"/>
      <c r="I139" s="32"/>
      <c r="J139" s="25" t="str">
        <f>IF(B139="","",IFERROR(VLOOKUP(C139,Soldes_Ouverture,2,FALSE()),0)+SUMIFS($S$4:S139,$C$4:C139,C139))</f>
        <v/>
      </c>
      <c r="K139" s="1" t="str">
        <f t="shared" si="31"/>
        <v/>
      </c>
      <c r="L139" s="1" t="str">
        <f t="shared" si="32"/>
        <v/>
      </c>
      <c r="M139" s="1" t="str">
        <f t="shared" si="33"/>
        <v/>
      </c>
      <c r="N139" s="8"/>
      <c r="O139" s="8"/>
      <c r="P139" s="1" t="str">
        <f t="shared" si="34"/>
        <v/>
      </c>
      <c r="Q139" s="25" t="str">
        <f t="shared" si="35"/>
        <v/>
      </c>
      <c r="R139" s="1" t="str">
        <f t="shared" si="36"/>
        <v/>
      </c>
      <c r="S139" s="33" t="str">
        <f t="shared" si="37"/>
        <v/>
      </c>
      <c r="T139" s="34" t="str">
        <f>IF(B139="","",C139&amp;"|"&amp;ROUND(S139,2)&amp;"|"&amp;COUNTIFS($C$4:C139,C139,$S$4:S139,S139))</f>
        <v/>
      </c>
      <c r="U139" s="34" t="str">
        <f t="shared" si="38"/>
        <v/>
      </c>
      <c r="V139" s="34" t="str">
        <f t="shared" si="39"/>
        <v/>
      </c>
      <c r="W139" s="34" t="str">
        <f t="shared" si="40"/>
        <v/>
      </c>
      <c r="X139" s="34">
        <f t="shared" si="41"/>
        <v>0</v>
      </c>
      <c r="Y139" s="34" t="str">
        <f t="shared" si="42"/>
        <v/>
      </c>
      <c r="Z139" s="34" t="str">
        <f>IF(X139=1,V139,IF(Y139="","",IF(COUNTIF(Y$3:Y138,Y139)=0,Y139,"")))</f>
        <v/>
      </c>
      <c r="AA139" s="34" t="b">
        <f t="shared" si="43"/>
        <v>0</v>
      </c>
      <c r="AB139" s="34">
        <f t="shared" si="44"/>
        <v>0</v>
      </c>
      <c r="AC139" s="34" t="str">
        <f>IF(AND(B139&lt;&gt;"",C139=CompteSel,N(B139)&lt;=DateArret,AB139=0),MAX($AC$3:AC138)+1,"")</f>
        <v/>
      </c>
      <c r="AD139" s="34" t="str">
        <f>IF(AND(ISNUMBER(M139),C139=CompteSel),MAX($AD$3:AD138)+1,"")</f>
        <v/>
      </c>
    </row>
    <row r="140" spans="1:30" x14ac:dyDescent="0.35">
      <c r="A140" s="1" t="str">
        <f t="shared" si="30"/>
        <v/>
      </c>
      <c r="B140" s="31"/>
      <c r="C140" s="8"/>
      <c r="D140" s="8"/>
      <c r="E140" s="8"/>
      <c r="F140" s="8"/>
      <c r="G140" s="8"/>
      <c r="H140" s="32"/>
      <c r="I140" s="32"/>
      <c r="J140" s="25" t="str">
        <f>IF(B140="","",IFERROR(VLOOKUP(C140,Soldes_Ouverture,2,FALSE()),0)+SUMIFS($S$4:S140,$C$4:C140,C140))</f>
        <v/>
      </c>
      <c r="K140" s="1" t="str">
        <f t="shared" si="31"/>
        <v/>
      </c>
      <c r="L140" s="1" t="str">
        <f t="shared" si="32"/>
        <v/>
      </c>
      <c r="M140" s="1" t="str">
        <f t="shared" si="33"/>
        <v/>
      </c>
      <c r="N140" s="8"/>
      <c r="O140" s="8"/>
      <c r="P140" s="1" t="str">
        <f t="shared" si="34"/>
        <v/>
      </c>
      <c r="Q140" s="25" t="str">
        <f t="shared" si="35"/>
        <v/>
      </c>
      <c r="R140" s="1" t="str">
        <f t="shared" si="36"/>
        <v/>
      </c>
      <c r="S140" s="33" t="str">
        <f t="shared" si="37"/>
        <v/>
      </c>
      <c r="T140" s="34" t="str">
        <f>IF(B140="","",C140&amp;"|"&amp;ROUND(S140,2)&amp;"|"&amp;COUNTIFS($C$4:C140,C140,$S$4:S140,S140))</f>
        <v/>
      </c>
      <c r="U140" s="34" t="str">
        <f t="shared" si="38"/>
        <v/>
      </c>
      <c r="V140" s="34" t="str">
        <f t="shared" si="39"/>
        <v/>
      </c>
      <c r="W140" s="34" t="str">
        <f t="shared" si="40"/>
        <v/>
      </c>
      <c r="X140" s="34">
        <f t="shared" si="41"/>
        <v>0</v>
      </c>
      <c r="Y140" s="34" t="str">
        <f t="shared" si="42"/>
        <v/>
      </c>
      <c r="Z140" s="34" t="str">
        <f>IF(X140=1,V140,IF(Y140="","",IF(COUNTIF(Y$3:Y139,Y140)=0,Y140,"")))</f>
        <v/>
      </c>
      <c r="AA140" s="34" t="b">
        <f t="shared" si="43"/>
        <v>0</v>
      </c>
      <c r="AB140" s="34">
        <f t="shared" si="44"/>
        <v>0</v>
      </c>
      <c r="AC140" s="34" t="str">
        <f>IF(AND(B140&lt;&gt;"",C140=CompteSel,N(B140)&lt;=DateArret,AB140=0),MAX($AC$3:AC139)+1,"")</f>
        <v/>
      </c>
      <c r="AD140" s="34" t="str">
        <f>IF(AND(ISNUMBER(M140),C140=CompteSel),MAX($AD$3:AD139)+1,"")</f>
        <v/>
      </c>
    </row>
    <row r="141" spans="1:30" x14ac:dyDescent="0.35">
      <c r="A141" s="1" t="str">
        <f t="shared" si="30"/>
        <v/>
      </c>
      <c r="B141" s="31"/>
      <c r="C141" s="8"/>
      <c r="D141" s="8"/>
      <c r="E141" s="8"/>
      <c r="F141" s="8"/>
      <c r="G141" s="8"/>
      <c r="H141" s="32"/>
      <c r="I141" s="32"/>
      <c r="J141" s="25" t="str">
        <f>IF(B141="","",IFERROR(VLOOKUP(C141,Soldes_Ouverture,2,FALSE()),0)+SUMIFS($S$4:S141,$C$4:C141,C141))</f>
        <v/>
      </c>
      <c r="K141" s="1" t="str">
        <f t="shared" si="31"/>
        <v/>
      </c>
      <c r="L141" s="1" t="str">
        <f t="shared" si="32"/>
        <v/>
      </c>
      <c r="M141" s="1" t="str">
        <f t="shared" si="33"/>
        <v/>
      </c>
      <c r="N141" s="8"/>
      <c r="O141" s="8"/>
      <c r="P141" s="1" t="str">
        <f t="shared" si="34"/>
        <v/>
      </c>
      <c r="Q141" s="25" t="str">
        <f t="shared" si="35"/>
        <v/>
      </c>
      <c r="R141" s="1" t="str">
        <f t="shared" si="36"/>
        <v/>
      </c>
      <c r="S141" s="33" t="str">
        <f t="shared" si="37"/>
        <v/>
      </c>
      <c r="T141" s="34" t="str">
        <f>IF(B141="","",C141&amp;"|"&amp;ROUND(S141,2)&amp;"|"&amp;COUNTIFS($C$4:C141,C141,$S$4:S141,S141))</f>
        <v/>
      </c>
      <c r="U141" s="34" t="str">
        <f t="shared" si="38"/>
        <v/>
      </c>
      <c r="V141" s="34" t="str">
        <f t="shared" si="39"/>
        <v/>
      </c>
      <c r="W141" s="34" t="str">
        <f t="shared" si="40"/>
        <v/>
      </c>
      <c r="X141" s="34">
        <f t="shared" si="41"/>
        <v>0</v>
      </c>
      <c r="Y141" s="34" t="str">
        <f t="shared" si="42"/>
        <v/>
      </c>
      <c r="Z141" s="34" t="str">
        <f>IF(X141=1,V141,IF(Y141="","",IF(COUNTIF(Y$3:Y140,Y141)=0,Y141,"")))</f>
        <v/>
      </c>
      <c r="AA141" s="34" t="b">
        <f t="shared" si="43"/>
        <v>0</v>
      </c>
      <c r="AB141" s="34">
        <f t="shared" si="44"/>
        <v>0</v>
      </c>
      <c r="AC141" s="34" t="str">
        <f>IF(AND(B141&lt;&gt;"",C141=CompteSel,N(B141)&lt;=DateArret,AB141=0),MAX($AC$3:AC140)+1,"")</f>
        <v/>
      </c>
      <c r="AD141" s="34" t="str">
        <f>IF(AND(ISNUMBER(M141),C141=CompteSel),MAX($AD$3:AD140)+1,"")</f>
        <v/>
      </c>
    </row>
    <row r="142" spans="1:30" x14ac:dyDescent="0.35">
      <c r="A142" s="1" t="str">
        <f t="shared" si="30"/>
        <v/>
      </c>
      <c r="B142" s="31"/>
      <c r="C142" s="8"/>
      <c r="D142" s="8"/>
      <c r="E142" s="8"/>
      <c r="F142" s="8"/>
      <c r="G142" s="8"/>
      <c r="H142" s="32"/>
      <c r="I142" s="32"/>
      <c r="J142" s="25" t="str">
        <f>IF(B142="","",IFERROR(VLOOKUP(C142,Soldes_Ouverture,2,FALSE()),0)+SUMIFS($S$4:S142,$C$4:C142,C142))</f>
        <v/>
      </c>
      <c r="K142" s="1" t="str">
        <f t="shared" si="31"/>
        <v/>
      </c>
      <c r="L142" s="1" t="str">
        <f t="shared" si="32"/>
        <v/>
      </c>
      <c r="M142" s="1" t="str">
        <f t="shared" si="33"/>
        <v/>
      </c>
      <c r="N142" s="8"/>
      <c r="O142" s="8"/>
      <c r="P142" s="1" t="str">
        <f t="shared" si="34"/>
        <v/>
      </c>
      <c r="Q142" s="25" t="str">
        <f t="shared" si="35"/>
        <v/>
      </c>
      <c r="R142" s="1" t="str">
        <f t="shared" si="36"/>
        <v/>
      </c>
      <c r="S142" s="33" t="str">
        <f t="shared" si="37"/>
        <v/>
      </c>
      <c r="T142" s="34" t="str">
        <f>IF(B142="","",C142&amp;"|"&amp;ROUND(S142,2)&amp;"|"&amp;COUNTIFS($C$4:C142,C142,$S$4:S142,S142))</f>
        <v/>
      </c>
      <c r="U142" s="34" t="str">
        <f t="shared" si="38"/>
        <v/>
      </c>
      <c r="V142" s="34" t="str">
        <f t="shared" si="39"/>
        <v/>
      </c>
      <c r="W142" s="34" t="str">
        <f t="shared" si="40"/>
        <v/>
      </c>
      <c r="X142" s="34">
        <f t="shared" si="41"/>
        <v>0</v>
      </c>
      <c r="Y142" s="34" t="str">
        <f t="shared" si="42"/>
        <v/>
      </c>
      <c r="Z142" s="34" t="str">
        <f>IF(X142=1,V142,IF(Y142="","",IF(COUNTIF(Y$3:Y141,Y142)=0,Y142,"")))</f>
        <v/>
      </c>
      <c r="AA142" s="34" t="b">
        <f t="shared" si="43"/>
        <v>0</v>
      </c>
      <c r="AB142" s="34">
        <f t="shared" si="44"/>
        <v>0</v>
      </c>
      <c r="AC142" s="34" t="str">
        <f>IF(AND(B142&lt;&gt;"",C142=CompteSel,N(B142)&lt;=DateArret,AB142=0),MAX($AC$3:AC141)+1,"")</f>
        <v/>
      </c>
      <c r="AD142" s="34" t="str">
        <f>IF(AND(ISNUMBER(M142),C142=CompteSel),MAX($AD$3:AD141)+1,"")</f>
        <v/>
      </c>
    </row>
    <row r="143" spans="1:30" x14ac:dyDescent="0.35">
      <c r="A143" s="1" t="str">
        <f t="shared" si="30"/>
        <v/>
      </c>
      <c r="B143" s="31"/>
      <c r="C143" s="8"/>
      <c r="D143" s="8"/>
      <c r="E143" s="8"/>
      <c r="F143" s="8"/>
      <c r="G143" s="8"/>
      <c r="H143" s="32"/>
      <c r="I143" s="32"/>
      <c r="J143" s="25" t="str">
        <f>IF(B143="","",IFERROR(VLOOKUP(C143,Soldes_Ouverture,2,FALSE()),0)+SUMIFS($S$4:S143,$C$4:C143,C143))</f>
        <v/>
      </c>
      <c r="K143" s="1" t="str">
        <f t="shared" si="31"/>
        <v/>
      </c>
      <c r="L143" s="1" t="str">
        <f t="shared" si="32"/>
        <v/>
      </c>
      <c r="M143" s="1" t="str">
        <f t="shared" si="33"/>
        <v/>
      </c>
      <c r="N143" s="8"/>
      <c r="O143" s="8"/>
      <c r="P143" s="1" t="str">
        <f t="shared" si="34"/>
        <v/>
      </c>
      <c r="Q143" s="25" t="str">
        <f t="shared" si="35"/>
        <v/>
      </c>
      <c r="R143" s="1" t="str">
        <f t="shared" si="36"/>
        <v/>
      </c>
      <c r="S143" s="33" t="str">
        <f t="shared" si="37"/>
        <v/>
      </c>
      <c r="T143" s="34" t="str">
        <f>IF(B143="","",C143&amp;"|"&amp;ROUND(S143,2)&amp;"|"&amp;COUNTIFS($C$4:C143,C143,$S$4:S143,S143))</f>
        <v/>
      </c>
      <c r="U143" s="34" t="str">
        <f t="shared" si="38"/>
        <v/>
      </c>
      <c r="V143" s="34" t="str">
        <f t="shared" si="39"/>
        <v/>
      </c>
      <c r="W143" s="34" t="str">
        <f t="shared" si="40"/>
        <v/>
      </c>
      <c r="X143" s="34">
        <f t="shared" si="41"/>
        <v>0</v>
      </c>
      <c r="Y143" s="34" t="str">
        <f t="shared" si="42"/>
        <v/>
      </c>
      <c r="Z143" s="34" t="str">
        <f>IF(X143=1,V143,IF(Y143="","",IF(COUNTIF(Y$3:Y142,Y143)=0,Y143,"")))</f>
        <v/>
      </c>
      <c r="AA143" s="34" t="b">
        <f t="shared" si="43"/>
        <v>0</v>
      </c>
      <c r="AB143" s="34">
        <f t="shared" si="44"/>
        <v>0</v>
      </c>
      <c r="AC143" s="34" t="str">
        <f>IF(AND(B143&lt;&gt;"",C143=CompteSel,N(B143)&lt;=DateArret,AB143=0),MAX($AC$3:AC142)+1,"")</f>
        <v/>
      </c>
      <c r="AD143" s="34" t="str">
        <f>IF(AND(ISNUMBER(M143),C143=CompteSel),MAX($AD$3:AD142)+1,"")</f>
        <v/>
      </c>
    </row>
    <row r="144" spans="1:30" x14ac:dyDescent="0.35">
      <c r="A144" s="1" t="str">
        <f t="shared" si="30"/>
        <v/>
      </c>
      <c r="B144" s="31"/>
      <c r="C144" s="8"/>
      <c r="D144" s="8"/>
      <c r="E144" s="8"/>
      <c r="F144" s="8"/>
      <c r="G144" s="8"/>
      <c r="H144" s="32"/>
      <c r="I144" s="32"/>
      <c r="J144" s="25" t="str">
        <f>IF(B144="","",IFERROR(VLOOKUP(C144,Soldes_Ouverture,2,FALSE()),0)+SUMIFS($S$4:S144,$C$4:C144,C144))</f>
        <v/>
      </c>
      <c r="K144" s="1" t="str">
        <f t="shared" si="31"/>
        <v/>
      </c>
      <c r="L144" s="1" t="str">
        <f t="shared" si="32"/>
        <v/>
      </c>
      <c r="M144" s="1" t="str">
        <f t="shared" si="33"/>
        <v/>
      </c>
      <c r="N144" s="8"/>
      <c r="O144" s="8"/>
      <c r="P144" s="1" t="str">
        <f t="shared" si="34"/>
        <v/>
      </c>
      <c r="Q144" s="25" t="str">
        <f t="shared" si="35"/>
        <v/>
      </c>
      <c r="R144" s="1" t="str">
        <f t="shared" si="36"/>
        <v/>
      </c>
      <c r="S144" s="33" t="str">
        <f t="shared" si="37"/>
        <v/>
      </c>
      <c r="T144" s="34" t="str">
        <f>IF(B144="","",C144&amp;"|"&amp;ROUND(S144,2)&amp;"|"&amp;COUNTIFS($C$4:C144,C144,$S$4:S144,S144))</f>
        <v/>
      </c>
      <c r="U144" s="34" t="str">
        <f t="shared" si="38"/>
        <v/>
      </c>
      <c r="V144" s="34" t="str">
        <f t="shared" si="39"/>
        <v/>
      </c>
      <c r="W144" s="34" t="str">
        <f t="shared" si="40"/>
        <v/>
      </c>
      <c r="X144" s="34">
        <f t="shared" si="41"/>
        <v>0</v>
      </c>
      <c r="Y144" s="34" t="str">
        <f t="shared" si="42"/>
        <v/>
      </c>
      <c r="Z144" s="34" t="str">
        <f>IF(X144=1,V144,IF(Y144="","",IF(COUNTIF(Y$3:Y143,Y144)=0,Y144,"")))</f>
        <v/>
      </c>
      <c r="AA144" s="34" t="b">
        <f t="shared" si="43"/>
        <v>0</v>
      </c>
      <c r="AB144" s="34">
        <f t="shared" si="44"/>
        <v>0</v>
      </c>
      <c r="AC144" s="34" t="str">
        <f>IF(AND(B144&lt;&gt;"",C144=CompteSel,N(B144)&lt;=DateArret,AB144=0),MAX($AC$3:AC143)+1,"")</f>
        <v/>
      </c>
      <c r="AD144" s="34" t="str">
        <f>IF(AND(ISNUMBER(M144),C144=CompteSel),MAX($AD$3:AD143)+1,"")</f>
        <v/>
      </c>
    </row>
    <row r="145" spans="1:30" x14ac:dyDescent="0.35">
      <c r="A145" s="1" t="str">
        <f t="shared" si="30"/>
        <v/>
      </c>
      <c r="B145" s="31"/>
      <c r="C145" s="8"/>
      <c r="D145" s="8"/>
      <c r="E145" s="8"/>
      <c r="F145" s="8"/>
      <c r="G145" s="8"/>
      <c r="H145" s="32"/>
      <c r="I145" s="32"/>
      <c r="J145" s="25" t="str">
        <f>IF(B145="","",IFERROR(VLOOKUP(C145,Soldes_Ouverture,2,FALSE()),0)+SUMIFS($S$4:S145,$C$4:C145,C145))</f>
        <v/>
      </c>
      <c r="K145" s="1" t="str">
        <f t="shared" si="31"/>
        <v/>
      </c>
      <c r="L145" s="1" t="str">
        <f t="shared" si="32"/>
        <v/>
      </c>
      <c r="M145" s="1" t="str">
        <f t="shared" si="33"/>
        <v/>
      </c>
      <c r="N145" s="8"/>
      <c r="O145" s="8"/>
      <c r="P145" s="1" t="str">
        <f t="shared" si="34"/>
        <v/>
      </c>
      <c r="Q145" s="25" t="str">
        <f t="shared" si="35"/>
        <v/>
      </c>
      <c r="R145" s="1" t="str">
        <f t="shared" si="36"/>
        <v/>
      </c>
      <c r="S145" s="33" t="str">
        <f t="shared" si="37"/>
        <v/>
      </c>
      <c r="T145" s="34" t="str">
        <f>IF(B145="","",C145&amp;"|"&amp;ROUND(S145,2)&amp;"|"&amp;COUNTIFS($C$4:C145,C145,$S$4:S145,S145))</f>
        <v/>
      </c>
      <c r="U145" s="34" t="str">
        <f t="shared" si="38"/>
        <v/>
      </c>
      <c r="V145" s="34" t="str">
        <f t="shared" si="39"/>
        <v/>
      </c>
      <c r="W145" s="34" t="str">
        <f t="shared" si="40"/>
        <v/>
      </c>
      <c r="X145" s="34">
        <f t="shared" si="41"/>
        <v>0</v>
      </c>
      <c r="Y145" s="34" t="str">
        <f t="shared" si="42"/>
        <v/>
      </c>
      <c r="Z145" s="34" t="str">
        <f>IF(X145=1,V145,IF(Y145="","",IF(COUNTIF(Y$3:Y144,Y145)=0,Y145,"")))</f>
        <v/>
      </c>
      <c r="AA145" s="34" t="b">
        <f t="shared" si="43"/>
        <v>0</v>
      </c>
      <c r="AB145" s="34">
        <f t="shared" si="44"/>
        <v>0</v>
      </c>
      <c r="AC145" s="34" t="str">
        <f>IF(AND(B145&lt;&gt;"",C145=CompteSel,N(B145)&lt;=DateArret,AB145=0),MAX($AC$3:AC144)+1,"")</f>
        <v/>
      </c>
      <c r="AD145" s="34" t="str">
        <f>IF(AND(ISNUMBER(M145),C145=CompteSel),MAX($AD$3:AD144)+1,"")</f>
        <v/>
      </c>
    </row>
    <row r="146" spans="1:30" x14ac:dyDescent="0.35">
      <c r="A146" s="1" t="str">
        <f t="shared" si="30"/>
        <v/>
      </c>
      <c r="B146" s="31"/>
      <c r="C146" s="8"/>
      <c r="D146" s="8"/>
      <c r="E146" s="8"/>
      <c r="F146" s="8"/>
      <c r="G146" s="8"/>
      <c r="H146" s="32"/>
      <c r="I146" s="32"/>
      <c r="J146" s="25" t="str">
        <f>IF(B146="","",IFERROR(VLOOKUP(C146,Soldes_Ouverture,2,FALSE()),0)+SUMIFS($S$4:S146,$C$4:C146,C146))</f>
        <v/>
      </c>
      <c r="K146" s="1" t="str">
        <f t="shared" si="31"/>
        <v/>
      </c>
      <c r="L146" s="1" t="str">
        <f t="shared" si="32"/>
        <v/>
      </c>
      <c r="M146" s="1" t="str">
        <f t="shared" si="33"/>
        <v/>
      </c>
      <c r="N146" s="8"/>
      <c r="O146" s="8"/>
      <c r="P146" s="1" t="str">
        <f t="shared" si="34"/>
        <v/>
      </c>
      <c r="Q146" s="25" t="str">
        <f t="shared" si="35"/>
        <v/>
      </c>
      <c r="R146" s="1" t="str">
        <f t="shared" si="36"/>
        <v/>
      </c>
      <c r="S146" s="33" t="str">
        <f t="shared" si="37"/>
        <v/>
      </c>
      <c r="T146" s="34" t="str">
        <f>IF(B146="","",C146&amp;"|"&amp;ROUND(S146,2)&amp;"|"&amp;COUNTIFS($C$4:C146,C146,$S$4:S146,S146))</f>
        <v/>
      </c>
      <c r="U146" s="34" t="str">
        <f t="shared" si="38"/>
        <v/>
      </c>
      <c r="V146" s="34" t="str">
        <f t="shared" si="39"/>
        <v/>
      </c>
      <c r="W146" s="34" t="str">
        <f t="shared" si="40"/>
        <v/>
      </c>
      <c r="X146" s="34">
        <f t="shared" si="41"/>
        <v>0</v>
      </c>
      <c r="Y146" s="34" t="str">
        <f t="shared" si="42"/>
        <v/>
      </c>
      <c r="Z146" s="34" t="str">
        <f>IF(X146=1,V146,IF(Y146="","",IF(COUNTIF(Y$3:Y145,Y146)=0,Y146,"")))</f>
        <v/>
      </c>
      <c r="AA146" s="34" t="b">
        <f t="shared" si="43"/>
        <v>0</v>
      </c>
      <c r="AB146" s="34">
        <f t="shared" si="44"/>
        <v>0</v>
      </c>
      <c r="AC146" s="34" t="str">
        <f>IF(AND(B146&lt;&gt;"",C146=CompteSel,N(B146)&lt;=DateArret,AB146=0),MAX($AC$3:AC145)+1,"")</f>
        <v/>
      </c>
      <c r="AD146" s="34" t="str">
        <f>IF(AND(ISNUMBER(M146),C146=CompteSel),MAX($AD$3:AD145)+1,"")</f>
        <v/>
      </c>
    </row>
    <row r="147" spans="1:30" x14ac:dyDescent="0.35">
      <c r="A147" s="1" t="str">
        <f t="shared" si="30"/>
        <v/>
      </c>
      <c r="B147" s="31"/>
      <c r="C147" s="8"/>
      <c r="D147" s="8"/>
      <c r="E147" s="8"/>
      <c r="F147" s="8"/>
      <c r="G147" s="8"/>
      <c r="H147" s="32"/>
      <c r="I147" s="32"/>
      <c r="J147" s="25" t="str">
        <f>IF(B147="","",IFERROR(VLOOKUP(C147,Soldes_Ouverture,2,FALSE()),0)+SUMIFS($S$4:S147,$C$4:C147,C147))</f>
        <v/>
      </c>
      <c r="K147" s="1" t="str">
        <f t="shared" si="31"/>
        <v/>
      </c>
      <c r="L147" s="1" t="str">
        <f t="shared" si="32"/>
        <v/>
      </c>
      <c r="M147" s="1" t="str">
        <f t="shared" si="33"/>
        <v/>
      </c>
      <c r="N147" s="8"/>
      <c r="O147" s="8"/>
      <c r="P147" s="1" t="str">
        <f t="shared" si="34"/>
        <v/>
      </c>
      <c r="Q147" s="25" t="str">
        <f t="shared" si="35"/>
        <v/>
      </c>
      <c r="R147" s="1" t="str">
        <f t="shared" si="36"/>
        <v/>
      </c>
      <c r="S147" s="33" t="str">
        <f t="shared" si="37"/>
        <v/>
      </c>
      <c r="T147" s="34" t="str">
        <f>IF(B147="","",C147&amp;"|"&amp;ROUND(S147,2)&amp;"|"&amp;COUNTIFS($C$4:C147,C147,$S$4:S147,S147))</f>
        <v/>
      </c>
      <c r="U147" s="34" t="str">
        <f t="shared" si="38"/>
        <v/>
      </c>
      <c r="V147" s="34" t="str">
        <f t="shared" si="39"/>
        <v/>
      </c>
      <c r="W147" s="34" t="str">
        <f t="shared" si="40"/>
        <v/>
      </c>
      <c r="X147" s="34">
        <f t="shared" si="41"/>
        <v>0</v>
      </c>
      <c r="Y147" s="34" t="str">
        <f t="shared" si="42"/>
        <v/>
      </c>
      <c r="Z147" s="34" t="str">
        <f>IF(X147=1,V147,IF(Y147="","",IF(COUNTIF(Y$3:Y146,Y147)=0,Y147,"")))</f>
        <v/>
      </c>
      <c r="AA147" s="34" t="b">
        <f t="shared" si="43"/>
        <v>0</v>
      </c>
      <c r="AB147" s="34">
        <f t="shared" si="44"/>
        <v>0</v>
      </c>
      <c r="AC147" s="34" t="str">
        <f>IF(AND(B147&lt;&gt;"",C147=CompteSel,N(B147)&lt;=DateArret,AB147=0),MAX($AC$3:AC146)+1,"")</f>
        <v/>
      </c>
      <c r="AD147" s="34" t="str">
        <f>IF(AND(ISNUMBER(M147),C147=CompteSel),MAX($AD$3:AD146)+1,"")</f>
        <v/>
      </c>
    </row>
    <row r="148" spans="1:30" x14ac:dyDescent="0.35">
      <c r="A148" s="1" t="str">
        <f t="shared" si="30"/>
        <v/>
      </c>
      <c r="B148" s="31"/>
      <c r="C148" s="8"/>
      <c r="D148" s="8"/>
      <c r="E148" s="8"/>
      <c r="F148" s="8"/>
      <c r="G148" s="8"/>
      <c r="H148" s="32"/>
      <c r="I148" s="32"/>
      <c r="J148" s="25" t="str">
        <f>IF(B148="","",IFERROR(VLOOKUP(C148,Soldes_Ouverture,2,FALSE()),0)+SUMIFS($S$4:S148,$C$4:C148,C148))</f>
        <v/>
      </c>
      <c r="K148" s="1" t="str">
        <f t="shared" si="31"/>
        <v/>
      </c>
      <c r="L148" s="1" t="str">
        <f t="shared" si="32"/>
        <v/>
      </c>
      <c r="M148" s="1" t="str">
        <f t="shared" si="33"/>
        <v/>
      </c>
      <c r="N148" s="8"/>
      <c r="O148" s="8"/>
      <c r="P148" s="1" t="str">
        <f t="shared" si="34"/>
        <v/>
      </c>
      <c r="Q148" s="25" t="str">
        <f t="shared" si="35"/>
        <v/>
      </c>
      <c r="R148" s="1" t="str">
        <f t="shared" si="36"/>
        <v/>
      </c>
      <c r="S148" s="33" t="str">
        <f t="shared" si="37"/>
        <v/>
      </c>
      <c r="T148" s="34" t="str">
        <f>IF(B148="","",C148&amp;"|"&amp;ROUND(S148,2)&amp;"|"&amp;COUNTIFS($C$4:C148,C148,$S$4:S148,S148))</f>
        <v/>
      </c>
      <c r="U148" s="34" t="str">
        <f t="shared" si="38"/>
        <v/>
      </c>
      <c r="V148" s="34" t="str">
        <f t="shared" si="39"/>
        <v/>
      </c>
      <c r="W148" s="34" t="str">
        <f t="shared" si="40"/>
        <v/>
      </c>
      <c r="X148" s="34">
        <f t="shared" si="41"/>
        <v>0</v>
      </c>
      <c r="Y148" s="34" t="str">
        <f t="shared" si="42"/>
        <v/>
      </c>
      <c r="Z148" s="34" t="str">
        <f>IF(X148=1,V148,IF(Y148="","",IF(COUNTIF(Y$3:Y147,Y148)=0,Y148,"")))</f>
        <v/>
      </c>
      <c r="AA148" s="34" t="b">
        <f t="shared" si="43"/>
        <v>0</v>
      </c>
      <c r="AB148" s="34">
        <f t="shared" si="44"/>
        <v>0</v>
      </c>
      <c r="AC148" s="34" t="str">
        <f>IF(AND(B148&lt;&gt;"",C148=CompteSel,N(B148)&lt;=DateArret,AB148=0),MAX($AC$3:AC147)+1,"")</f>
        <v/>
      </c>
      <c r="AD148" s="34" t="str">
        <f>IF(AND(ISNUMBER(M148),C148=CompteSel),MAX($AD$3:AD147)+1,"")</f>
        <v/>
      </c>
    </row>
    <row r="149" spans="1:30" x14ac:dyDescent="0.35">
      <c r="A149" s="1" t="str">
        <f t="shared" si="30"/>
        <v/>
      </c>
      <c r="B149" s="31"/>
      <c r="C149" s="8"/>
      <c r="D149" s="8"/>
      <c r="E149" s="8"/>
      <c r="F149" s="8"/>
      <c r="G149" s="8"/>
      <c r="H149" s="32"/>
      <c r="I149" s="32"/>
      <c r="J149" s="25" t="str">
        <f>IF(B149="","",IFERROR(VLOOKUP(C149,Soldes_Ouverture,2,FALSE()),0)+SUMIFS($S$4:S149,$C$4:C149,C149))</f>
        <v/>
      </c>
      <c r="K149" s="1" t="str">
        <f t="shared" si="31"/>
        <v/>
      </c>
      <c r="L149" s="1" t="str">
        <f t="shared" si="32"/>
        <v/>
      </c>
      <c r="M149" s="1" t="str">
        <f t="shared" si="33"/>
        <v/>
      </c>
      <c r="N149" s="8"/>
      <c r="O149" s="8"/>
      <c r="P149" s="1" t="str">
        <f t="shared" si="34"/>
        <v/>
      </c>
      <c r="Q149" s="25" t="str">
        <f t="shared" si="35"/>
        <v/>
      </c>
      <c r="R149" s="1" t="str">
        <f t="shared" si="36"/>
        <v/>
      </c>
      <c r="S149" s="33" t="str">
        <f t="shared" si="37"/>
        <v/>
      </c>
      <c r="T149" s="34" t="str">
        <f>IF(B149="","",C149&amp;"|"&amp;ROUND(S149,2)&amp;"|"&amp;COUNTIFS($C$4:C149,C149,$S$4:S149,S149))</f>
        <v/>
      </c>
      <c r="U149" s="34" t="str">
        <f t="shared" si="38"/>
        <v/>
      </c>
      <c r="V149" s="34" t="str">
        <f t="shared" si="39"/>
        <v/>
      </c>
      <c r="W149" s="34" t="str">
        <f t="shared" si="40"/>
        <v/>
      </c>
      <c r="X149" s="34">
        <f t="shared" si="41"/>
        <v>0</v>
      </c>
      <c r="Y149" s="34" t="str">
        <f t="shared" si="42"/>
        <v/>
      </c>
      <c r="Z149" s="34" t="str">
        <f>IF(X149=1,V149,IF(Y149="","",IF(COUNTIF(Y$3:Y148,Y149)=0,Y149,"")))</f>
        <v/>
      </c>
      <c r="AA149" s="34" t="b">
        <f t="shared" si="43"/>
        <v>0</v>
      </c>
      <c r="AB149" s="34">
        <f t="shared" si="44"/>
        <v>0</v>
      </c>
      <c r="AC149" s="34" t="str">
        <f>IF(AND(B149&lt;&gt;"",C149=CompteSel,N(B149)&lt;=DateArret,AB149=0),MAX($AC$3:AC148)+1,"")</f>
        <v/>
      </c>
      <c r="AD149" s="34" t="str">
        <f>IF(AND(ISNUMBER(M149),C149=CompteSel),MAX($AD$3:AD148)+1,"")</f>
        <v/>
      </c>
    </row>
    <row r="150" spans="1:30" x14ac:dyDescent="0.35">
      <c r="A150" s="1" t="str">
        <f t="shared" si="30"/>
        <v/>
      </c>
      <c r="B150" s="31"/>
      <c r="C150" s="8"/>
      <c r="D150" s="8"/>
      <c r="E150" s="8"/>
      <c r="F150" s="8"/>
      <c r="G150" s="8"/>
      <c r="H150" s="32"/>
      <c r="I150" s="32"/>
      <c r="J150" s="25" t="str">
        <f>IF(B150="","",IFERROR(VLOOKUP(C150,Soldes_Ouverture,2,FALSE()),0)+SUMIFS($S$4:S150,$C$4:C150,C150))</f>
        <v/>
      </c>
      <c r="K150" s="1" t="str">
        <f t="shared" si="31"/>
        <v/>
      </c>
      <c r="L150" s="1" t="str">
        <f t="shared" si="32"/>
        <v/>
      </c>
      <c r="M150" s="1" t="str">
        <f t="shared" si="33"/>
        <v/>
      </c>
      <c r="N150" s="8"/>
      <c r="O150" s="8"/>
      <c r="P150" s="1" t="str">
        <f t="shared" si="34"/>
        <v/>
      </c>
      <c r="Q150" s="25" t="str">
        <f t="shared" si="35"/>
        <v/>
      </c>
      <c r="R150" s="1" t="str">
        <f t="shared" si="36"/>
        <v/>
      </c>
      <c r="S150" s="33" t="str">
        <f t="shared" si="37"/>
        <v/>
      </c>
      <c r="T150" s="34" t="str">
        <f>IF(B150="","",C150&amp;"|"&amp;ROUND(S150,2)&amp;"|"&amp;COUNTIFS($C$4:C150,C150,$S$4:S150,S150))</f>
        <v/>
      </c>
      <c r="U150" s="34" t="str">
        <f t="shared" si="38"/>
        <v/>
      </c>
      <c r="V150" s="34" t="str">
        <f t="shared" si="39"/>
        <v/>
      </c>
      <c r="W150" s="34" t="str">
        <f t="shared" si="40"/>
        <v/>
      </c>
      <c r="X150" s="34">
        <f t="shared" si="41"/>
        <v>0</v>
      </c>
      <c r="Y150" s="34" t="str">
        <f t="shared" si="42"/>
        <v/>
      </c>
      <c r="Z150" s="34" t="str">
        <f>IF(X150=1,V150,IF(Y150="","",IF(COUNTIF(Y$3:Y149,Y150)=0,Y150,"")))</f>
        <v/>
      </c>
      <c r="AA150" s="34" t="b">
        <f t="shared" si="43"/>
        <v>0</v>
      </c>
      <c r="AB150" s="34">
        <f t="shared" si="44"/>
        <v>0</v>
      </c>
      <c r="AC150" s="34" t="str">
        <f>IF(AND(B150&lt;&gt;"",C150=CompteSel,N(B150)&lt;=DateArret,AB150=0),MAX($AC$3:AC149)+1,"")</f>
        <v/>
      </c>
      <c r="AD150" s="34" t="str">
        <f>IF(AND(ISNUMBER(M150),C150=CompteSel),MAX($AD$3:AD149)+1,"")</f>
        <v/>
      </c>
    </row>
    <row r="151" spans="1:30" x14ac:dyDescent="0.35">
      <c r="A151" s="1" t="str">
        <f t="shared" si="30"/>
        <v/>
      </c>
      <c r="B151" s="31"/>
      <c r="C151" s="8"/>
      <c r="D151" s="8"/>
      <c r="E151" s="8"/>
      <c r="F151" s="8"/>
      <c r="G151" s="8"/>
      <c r="H151" s="32"/>
      <c r="I151" s="32"/>
      <c r="J151" s="25" t="str">
        <f>IF(B151="","",IFERROR(VLOOKUP(C151,Soldes_Ouverture,2,FALSE()),0)+SUMIFS($S$4:S151,$C$4:C151,C151))</f>
        <v/>
      </c>
      <c r="K151" s="1" t="str">
        <f t="shared" si="31"/>
        <v/>
      </c>
      <c r="L151" s="1" t="str">
        <f t="shared" si="32"/>
        <v/>
      </c>
      <c r="M151" s="1" t="str">
        <f t="shared" si="33"/>
        <v/>
      </c>
      <c r="N151" s="8"/>
      <c r="O151" s="8"/>
      <c r="P151" s="1" t="str">
        <f t="shared" si="34"/>
        <v/>
      </c>
      <c r="Q151" s="25" t="str">
        <f t="shared" si="35"/>
        <v/>
      </c>
      <c r="R151" s="1" t="str">
        <f t="shared" si="36"/>
        <v/>
      </c>
      <c r="S151" s="33" t="str">
        <f t="shared" si="37"/>
        <v/>
      </c>
      <c r="T151" s="34" t="str">
        <f>IF(B151="","",C151&amp;"|"&amp;ROUND(S151,2)&amp;"|"&amp;COUNTIFS($C$4:C151,C151,$S$4:S151,S151))</f>
        <v/>
      </c>
      <c r="U151" s="34" t="str">
        <f t="shared" si="38"/>
        <v/>
      </c>
      <c r="V151" s="34" t="str">
        <f t="shared" si="39"/>
        <v/>
      </c>
      <c r="W151" s="34" t="str">
        <f t="shared" si="40"/>
        <v/>
      </c>
      <c r="X151" s="34">
        <f t="shared" si="41"/>
        <v>0</v>
      </c>
      <c r="Y151" s="34" t="str">
        <f t="shared" si="42"/>
        <v/>
      </c>
      <c r="Z151" s="34" t="str">
        <f>IF(X151=1,V151,IF(Y151="","",IF(COUNTIF(Y$3:Y150,Y151)=0,Y151,"")))</f>
        <v/>
      </c>
      <c r="AA151" s="34" t="b">
        <f t="shared" si="43"/>
        <v>0</v>
      </c>
      <c r="AB151" s="34">
        <f t="shared" si="44"/>
        <v>0</v>
      </c>
      <c r="AC151" s="34" t="str">
        <f>IF(AND(B151&lt;&gt;"",C151=CompteSel,N(B151)&lt;=DateArret,AB151=0),MAX($AC$3:AC150)+1,"")</f>
        <v/>
      </c>
      <c r="AD151" s="34" t="str">
        <f>IF(AND(ISNUMBER(M151),C151=CompteSel),MAX($AD$3:AD150)+1,"")</f>
        <v/>
      </c>
    </row>
    <row r="152" spans="1:30" x14ac:dyDescent="0.35">
      <c r="A152" s="1" t="str">
        <f t="shared" si="30"/>
        <v/>
      </c>
      <c r="B152" s="31"/>
      <c r="C152" s="8"/>
      <c r="D152" s="8"/>
      <c r="E152" s="8"/>
      <c r="F152" s="8"/>
      <c r="G152" s="8"/>
      <c r="H152" s="32"/>
      <c r="I152" s="32"/>
      <c r="J152" s="25" t="str">
        <f>IF(B152="","",IFERROR(VLOOKUP(C152,Soldes_Ouverture,2,FALSE()),0)+SUMIFS($S$4:S152,$C$4:C152,C152))</f>
        <v/>
      </c>
      <c r="K152" s="1" t="str">
        <f t="shared" si="31"/>
        <v/>
      </c>
      <c r="L152" s="1" t="str">
        <f t="shared" si="32"/>
        <v/>
      </c>
      <c r="M152" s="1" t="str">
        <f t="shared" si="33"/>
        <v/>
      </c>
      <c r="N152" s="8"/>
      <c r="O152" s="8"/>
      <c r="P152" s="1" t="str">
        <f t="shared" si="34"/>
        <v/>
      </c>
      <c r="Q152" s="25" t="str">
        <f t="shared" si="35"/>
        <v/>
      </c>
      <c r="R152" s="1" t="str">
        <f t="shared" si="36"/>
        <v/>
      </c>
      <c r="S152" s="33" t="str">
        <f t="shared" si="37"/>
        <v/>
      </c>
      <c r="T152" s="34" t="str">
        <f>IF(B152="","",C152&amp;"|"&amp;ROUND(S152,2)&amp;"|"&amp;COUNTIFS($C$4:C152,C152,$S$4:S152,S152))</f>
        <v/>
      </c>
      <c r="U152" s="34" t="str">
        <f t="shared" si="38"/>
        <v/>
      </c>
      <c r="V152" s="34" t="str">
        <f t="shared" si="39"/>
        <v/>
      </c>
      <c r="W152" s="34" t="str">
        <f t="shared" si="40"/>
        <v/>
      </c>
      <c r="X152" s="34">
        <f t="shared" si="41"/>
        <v>0</v>
      </c>
      <c r="Y152" s="34" t="str">
        <f t="shared" si="42"/>
        <v/>
      </c>
      <c r="Z152" s="34" t="str">
        <f>IF(X152=1,V152,IF(Y152="","",IF(COUNTIF(Y$3:Y151,Y152)=0,Y152,"")))</f>
        <v/>
      </c>
      <c r="AA152" s="34" t="b">
        <f t="shared" si="43"/>
        <v>0</v>
      </c>
      <c r="AB152" s="34">
        <f t="shared" si="44"/>
        <v>0</v>
      </c>
      <c r="AC152" s="34" t="str">
        <f>IF(AND(B152&lt;&gt;"",C152=CompteSel,N(B152)&lt;=DateArret,AB152=0),MAX($AC$3:AC151)+1,"")</f>
        <v/>
      </c>
      <c r="AD152" s="34" t="str">
        <f>IF(AND(ISNUMBER(M152),C152=CompteSel),MAX($AD$3:AD151)+1,"")</f>
        <v/>
      </c>
    </row>
    <row r="153" spans="1:30" x14ac:dyDescent="0.35">
      <c r="A153" s="1" t="str">
        <f t="shared" si="30"/>
        <v/>
      </c>
      <c r="B153" s="31"/>
      <c r="C153" s="8"/>
      <c r="D153" s="8"/>
      <c r="E153" s="8"/>
      <c r="F153" s="8"/>
      <c r="G153" s="8"/>
      <c r="H153" s="32"/>
      <c r="I153" s="32"/>
      <c r="J153" s="25" t="str">
        <f>IF(B153="","",IFERROR(VLOOKUP(C153,Soldes_Ouverture,2,FALSE()),0)+SUMIFS($S$4:S153,$C$4:C153,C153))</f>
        <v/>
      </c>
      <c r="K153" s="1" t="str">
        <f t="shared" si="31"/>
        <v/>
      </c>
      <c r="L153" s="1" t="str">
        <f t="shared" si="32"/>
        <v/>
      </c>
      <c r="M153" s="1" t="str">
        <f t="shared" si="33"/>
        <v/>
      </c>
      <c r="N153" s="8"/>
      <c r="O153" s="8"/>
      <c r="P153" s="1" t="str">
        <f t="shared" si="34"/>
        <v/>
      </c>
      <c r="Q153" s="25" t="str">
        <f t="shared" si="35"/>
        <v/>
      </c>
      <c r="R153" s="1" t="str">
        <f t="shared" si="36"/>
        <v/>
      </c>
      <c r="S153" s="33" t="str">
        <f t="shared" si="37"/>
        <v/>
      </c>
      <c r="T153" s="34" t="str">
        <f>IF(B153="","",C153&amp;"|"&amp;ROUND(S153,2)&amp;"|"&amp;COUNTIFS($C$4:C153,C153,$S$4:S153,S153))</f>
        <v/>
      </c>
      <c r="U153" s="34" t="str">
        <f t="shared" si="38"/>
        <v/>
      </c>
      <c r="V153" s="34" t="str">
        <f t="shared" si="39"/>
        <v/>
      </c>
      <c r="W153" s="34" t="str">
        <f t="shared" si="40"/>
        <v/>
      </c>
      <c r="X153" s="34">
        <f t="shared" si="41"/>
        <v>0</v>
      </c>
      <c r="Y153" s="34" t="str">
        <f t="shared" si="42"/>
        <v/>
      </c>
      <c r="Z153" s="34" t="str">
        <f>IF(X153=1,V153,IF(Y153="","",IF(COUNTIF(Y$3:Y152,Y153)=0,Y153,"")))</f>
        <v/>
      </c>
      <c r="AA153" s="34" t="b">
        <f t="shared" si="43"/>
        <v>0</v>
      </c>
      <c r="AB153" s="34">
        <f t="shared" si="44"/>
        <v>0</v>
      </c>
      <c r="AC153" s="34" t="str">
        <f>IF(AND(B153&lt;&gt;"",C153=CompteSel,N(B153)&lt;=DateArret,AB153=0),MAX($AC$3:AC152)+1,"")</f>
        <v/>
      </c>
      <c r="AD153" s="34" t="str">
        <f>IF(AND(ISNUMBER(M153),C153=CompteSel),MAX($AD$3:AD152)+1,"")</f>
        <v/>
      </c>
    </row>
    <row r="154" spans="1:30" x14ac:dyDescent="0.35">
      <c r="A154" s="1" t="str">
        <f t="shared" si="30"/>
        <v/>
      </c>
      <c r="B154" s="31"/>
      <c r="C154" s="8"/>
      <c r="D154" s="8"/>
      <c r="E154" s="8"/>
      <c r="F154" s="8"/>
      <c r="G154" s="8"/>
      <c r="H154" s="32"/>
      <c r="I154" s="32"/>
      <c r="J154" s="25" t="str">
        <f>IF(B154="","",IFERROR(VLOOKUP(C154,Soldes_Ouverture,2,FALSE()),0)+SUMIFS($S$4:S154,$C$4:C154,C154))</f>
        <v/>
      </c>
      <c r="K154" s="1" t="str">
        <f t="shared" si="31"/>
        <v/>
      </c>
      <c r="L154" s="1" t="str">
        <f t="shared" si="32"/>
        <v/>
      </c>
      <c r="M154" s="1" t="str">
        <f t="shared" si="33"/>
        <v/>
      </c>
      <c r="N154" s="8"/>
      <c r="O154" s="8"/>
      <c r="P154" s="1" t="str">
        <f t="shared" si="34"/>
        <v/>
      </c>
      <c r="Q154" s="25" t="str">
        <f t="shared" si="35"/>
        <v/>
      </c>
      <c r="R154" s="1" t="str">
        <f t="shared" si="36"/>
        <v/>
      </c>
      <c r="S154" s="33" t="str">
        <f t="shared" si="37"/>
        <v/>
      </c>
      <c r="T154" s="34" t="str">
        <f>IF(B154="","",C154&amp;"|"&amp;ROUND(S154,2)&amp;"|"&amp;COUNTIFS($C$4:C154,C154,$S$4:S154,S154))</f>
        <v/>
      </c>
      <c r="U154" s="34" t="str">
        <f t="shared" si="38"/>
        <v/>
      </c>
      <c r="V154" s="34" t="str">
        <f t="shared" si="39"/>
        <v/>
      </c>
      <c r="W154" s="34" t="str">
        <f t="shared" si="40"/>
        <v/>
      </c>
      <c r="X154" s="34">
        <f t="shared" si="41"/>
        <v>0</v>
      </c>
      <c r="Y154" s="34" t="str">
        <f t="shared" si="42"/>
        <v/>
      </c>
      <c r="Z154" s="34" t="str">
        <f>IF(X154=1,V154,IF(Y154="","",IF(COUNTIF(Y$3:Y153,Y154)=0,Y154,"")))</f>
        <v/>
      </c>
      <c r="AA154" s="34" t="b">
        <f t="shared" si="43"/>
        <v>0</v>
      </c>
      <c r="AB154" s="34">
        <f t="shared" si="44"/>
        <v>0</v>
      </c>
      <c r="AC154" s="34" t="str">
        <f>IF(AND(B154&lt;&gt;"",C154=CompteSel,N(B154)&lt;=DateArret,AB154=0),MAX($AC$3:AC153)+1,"")</f>
        <v/>
      </c>
      <c r="AD154" s="34" t="str">
        <f>IF(AND(ISNUMBER(M154),C154=CompteSel),MAX($AD$3:AD153)+1,"")</f>
        <v/>
      </c>
    </row>
    <row r="155" spans="1:30" x14ac:dyDescent="0.35">
      <c r="A155" s="1" t="str">
        <f t="shared" si="30"/>
        <v/>
      </c>
      <c r="B155" s="31"/>
      <c r="C155" s="8"/>
      <c r="D155" s="8"/>
      <c r="E155" s="8"/>
      <c r="F155" s="8"/>
      <c r="G155" s="8"/>
      <c r="H155" s="32"/>
      <c r="I155" s="32"/>
      <c r="J155" s="25" t="str">
        <f>IF(B155="","",IFERROR(VLOOKUP(C155,Soldes_Ouverture,2,FALSE()),0)+SUMIFS($S$4:S155,$C$4:C155,C155))</f>
        <v/>
      </c>
      <c r="K155" s="1" t="str">
        <f t="shared" si="31"/>
        <v/>
      </c>
      <c r="L155" s="1" t="str">
        <f t="shared" si="32"/>
        <v/>
      </c>
      <c r="M155" s="1" t="str">
        <f t="shared" si="33"/>
        <v/>
      </c>
      <c r="N155" s="8"/>
      <c r="O155" s="8"/>
      <c r="P155" s="1" t="str">
        <f t="shared" si="34"/>
        <v/>
      </c>
      <c r="Q155" s="25" t="str">
        <f t="shared" si="35"/>
        <v/>
      </c>
      <c r="R155" s="1" t="str">
        <f t="shared" si="36"/>
        <v/>
      </c>
      <c r="S155" s="33" t="str">
        <f t="shared" si="37"/>
        <v/>
      </c>
      <c r="T155" s="34" t="str">
        <f>IF(B155="","",C155&amp;"|"&amp;ROUND(S155,2)&amp;"|"&amp;COUNTIFS($C$4:C155,C155,$S$4:S155,S155))</f>
        <v/>
      </c>
      <c r="U155" s="34" t="str">
        <f t="shared" si="38"/>
        <v/>
      </c>
      <c r="V155" s="34" t="str">
        <f t="shared" si="39"/>
        <v/>
      </c>
      <c r="W155" s="34" t="str">
        <f t="shared" si="40"/>
        <v/>
      </c>
      <c r="X155" s="34">
        <f t="shared" si="41"/>
        <v>0</v>
      </c>
      <c r="Y155" s="34" t="str">
        <f t="shared" si="42"/>
        <v/>
      </c>
      <c r="Z155" s="34" t="str">
        <f>IF(X155=1,V155,IF(Y155="","",IF(COUNTIF(Y$3:Y154,Y155)=0,Y155,"")))</f>
        <v/>
      </c>
      <c r="AA155" s="34" t="b">
        <f t="shared" si="43"/>
        <v>0</v>
      </c>
      <c r="AB155" s="34">
        <f t="shared" si="44"/>
        <v>0</v>
      </c>
      <c r="AC155" s="34" t="str">
        <f>IF(AND(B155&lt;&gt;"",C155=CompteSel,N(B155)&lt;=DateArret,AB155=0),MAX($AC$3:AC154)+1,"")</f>
        <v/>
      </c>
      <c r="AD155" s="34" t="str">
        <f>IF(AND(ISNUMBER(M155),C155=CompteSel),MAX($AD$3:AD154)+1,"")</f>
        <v/>
      </c>
    </row>
    <row r="156" spans="1:30" x14ac:dyDescent="0.35">
      <c r="A156" s="1" t="str">
        <f t="shared" si="30"/>
        <v/>
      </c>
      <c r="B156" s="31"/>
      <c r="C156" s="8"/>
      <c r="D156" s="8"/>
      <c r="E156" s="8"/>
      <c r="F156" s="8"/>
      <c r="G156" s="8"/>
      <c r="H156" s="32"/>
      <c r="I156" s="32"/>
      <c r="J156" s="25" t="str">
        <f>IF(B156="","",IFERROR(VLOOKUP(C156,Soldes_Ouverture,2,FALSE()),0)+SUMIFS($S$4:S156,$C$4:C156,C156))</f>
        <v/>
      </c>
      <c r="K156" s="1" t="str">
        <f t="shared" si="31"/>
        <v/>
      </c>
      <c r="L156" s="1" t="str">
        <f t="shared" si="32"/>
        <v/>
      </c>
      <c r="M156" s="1" t="str">
        <f t="shared" si="33"/>
        <v/>
      </c>
      <c r="N156" s="8"/>
      <c r="O156" s="8"/>
      <c r="P156" s="1" t="str">
        <f t="shared" si="34"/>
        <v/>
      </c>
      <c r="Q156" s="25" t="str">
        <f t="shared" si="35"/>
        <v/>
      </c>
      <c r="R156" s="1" t="str">
        <f t="shared" si="36"/>
        <v/>
      </c>
      <c r="S156" s="33" t="str">
        <f t="shared" si="37"/>
        <v/>
      </c>
      <c r="T156" s="34" t="str">
        <f>IF(B156="","",C156&amp;"|"&amp;ROUND(S156,2)&amp;"|"&amp;COUNTIFS($C$4:C156,C156,$S$4:S156,S156))</f>
        <v/>
      </c>
      <c r="U156" s="34" t="str">
        <f t="shared" si="38"/>
        <v/>
      </c>
      <c r="V156" s="34" t="str">
        <f t="shared" si="39"/>
        <v/>
      </c>
      <c r="W156" s="34" t="str">
        <f t="shared" si="40"/>
        <v/>
      </c>
      <c r="X156" s="34">
        <f t="shared" si="41"/>
        <v>0</v>
      </c>
      <c r="Y156" s="34" t="str">
        <f t="shared" si="42"/>
        <v/>
      </c>
      <c r="Z156" s="34" t="str">
        <f>IF(X156=1,V156,IF(Y156="","",IF(COUNTIF(Y$3:Y155,Y156)=0,Y156,"")))</f>
        <v/>
      </c>
      <c r="AA156" s="34" t="b">
        <f t="shared" si="43"/>
        <v>0</v>
      </c>
      <c r="AB156" s="34">
        <f t="shared" si="44"/>
        <v>0</v>
      </c>
      <c r="AC156" s="34" t="str">
        <f>IF(AND(B156&lt;&gt;"",C156=CompteSel,N(B156)&lt;=DateArret,AB156=0),MAX($AC$3:AC155)+1,"")</f>
        <v/>
      </c>
      <c r="AD156" s="34" t="str">
        <f>IF(AND(ISNUMBER(M156),C156=CompteSel),MAX($AD$3:AD155)+1,"")</f>
        <v/>
      </c>
    </row>
    <row r="157" spans="1:30" x14ac:dyDescent="0.35">
      <c r="A157" s="1" t="str">
        <f t="shared" si="30"/>
        <v/>
      </c>
      <c r="B157" s="31"/>
      <c r="C157" s="8"/>
      <c r="D157" s="8"/>
      <c r="E157" s="8"/>
      <c r="F157" s="8"/>
      <c r="G157" s="8"/>
      <c r="H157" s="32"/>
      <c r="I157" s="32"/>
      <c r="J157" s="25" t="str">
        <f>IF(B157="","",IFERROR(VLOOKUP(C157,Soldes_Ouverture,2,FALSE()),0)+SUMIFS($S$4:S157,$C$4:C157,C157))</f>
        <v/>
      </c>
      <c r="K157" s="1" t="str">
        <f t="shared" si="31"/>
        <v/>
      </c>
      <c r="L157" s="1" t="str">
        <f t="shared" si="32"/>
        <v/>
      </c>
      <c r="M157" s="1" t="str">
        <f t="shared" si="33"/>
        <v/>
      </c>
      <c r="N157" s="8"/>
      <c r="O157" s="8"/>
      <c r="P157" s="1" t="str">
        <f t="shared" si="34"/>
        <v/>
      </c>
      <c r="Q157" s="25" t="str">
        <f t="shared" si="35"/>
        <v/>
      </c>
      <c r="R157" s="1" t="str">
        <f t="shared" si="36"/>
        <v/>
      </c>
      <c r="S157" s="33" t="str">
        <f t="shared" si="37"/>
        <v/>
      </c>
      <c r="T157" s="34" t="str">
        <f>IF(B157="","",C157&amp;"|"&amp;ROUND(S157,2)&amp;"|"&amp;COUNTIFS($C$4:C157,C157,$S$4:S157,S157))</f>
        <v/>
      </c>
      <c r="U157" s="34" t="str">
        <f t="shared" si="38"/>
        <v/>
      </c>
      <c r="V157" s="34" t="str">
        <f t="shared" si="39"/>
        <v/>
      </c>
      <c r="W157" s="34" t="str">
        <f t="shared" si="40"/>
        <v/>
      </c>
      <c r="X157" s="34">
        <f t="shared" si="41"/>
        <v>0</v>
      </c>
      <c r="Y157" s="34" t="str">
        <f t="shared" si="42"/>
        <v/>
      </c>
      <c r="Z157" s="34" t="str">
        <f>IF(X157=1,V157,IF(Y157="","",IF(COUNTIF(Y$3:Y156,Y157)=0,Y157,"")))</f>
        <v/>
      </c>
      <c r="AA157" s="34" t="b">
        <f t="shared" si="43"/>
        <v>0</v>
      </c>
      <c r="AB157" s="34">
        <f t="shared" si="44"/>
        <v>0</v>
      </c>
      <c r="AC157" s="34" t="str">
        <f>IF(AND(B157&lt;&gt;"",C157=CompteSel,N(B157)&lt;=DateArret,AB157=0),MAX($AC$3:AC156)+1,"")</f>
        <v/>
      </c>
      <c r="AD157" s="34" t="str">
        <f>IF(AND(ISNUMBER(M157),C157=CompteSel),MAX($AD$3:AD156)+1,"")</f>
        <v/>
      </c>
    </row>
    <row r="158" spans="1:30" x14ac:dyDescent="0.35">
      <c r="A158" s="1" t="str">
        <f t="shared" si="30"/>
        <v/>
      </c>
      <c r="B158" s="31"/>
      <c r="C158" s="8"/>
      <c r="D158" s="8"/>
      <c r="E158" s="8"/>
      <c r="F158" s="8"/>
      <c r="G158" s="8"/>
      <c r="H158" s="32"/>
      <c r="I158" s="32"/>
      <c r="J158" s="25" t="str">
        <f>IF(B158="","",IFERROR(VLOOKUP(C158,Soldes_Ouverture,2,FALSE()),0)+SUMIFS($S$4:S158,$C$4:C158,C158))</f>
        <v/>
      </c>
      <c r="K158" s="1" t="str">
        <f t="shared" si="31"/>
        <v/>
      </c>
      <c r="L158" s="1" t="str">
        <f t="shared" si="32"/>
        <v/>
      </c>
      <c r="M158" s="1" t="str">
        <f t="shared" si="33"/>
        <v/>
      </c>
      <c r="N158" s="8"/>
      <c r="O158" s="8"/>
      <c r="P158" s="1" t="str">
        <f t="shared" si="34"/>
        <v/>
      </c>
      <c r="Q158" s="25" t="str">
        <f t="shared" si="35"/>
        <v/>
      </c>
      <c r="R158" s="1" t="str">
        <f t="shared" si="36"/>
        <v/>
      </c>
      <c r="S158" s="33" t="str">
        <f t="shared" si="37"/>
        <v/>
      </c>
      <c r="T158" s="34" t="str">
        <f>IF(B158="","",C158&amp;"|"&amp;ROUND(S158,2)&amp;"|"&amp;COUNTIFS($C$4:C158,C158,$S$4:S158,S158))</f>
        <v/>
      </c>
      <c r="U158" s="34" t="str">
        <f t="shared" si="38"/>
        <v/>
      </c>
      <c r="V158" s="34" t="str">
        <f t="shared" si="39"/>
        <v/>
      </c>
      <c r="W158" s="34" t="str">
        <f t="shared" si="40"/>
        <v/>
      </c>
      <c r="X158" s="34">
        <f t="shared" si="41"/>
        <v>0</v>
      </c>
      <c r="Y158" s="34" t="str">
        <f t="shared" si="42"/>
        <v/>
      </c>
      <c r="Z158" s="34" t="str">
        <f>IF(X158=1,V158,IF(Y158="","",IF(COUNTIF(Y$3:Y157,Y158)=0,Y158,"")))</f>
        <v/>
      </c>
      <c r="AA158" s="34" t="b">
        <f t="shared" si="43"/>
        <v>0</v>
      </c>
      <c r="AB158" s="34">
        <f t="shared" si="44"/>
        <v>0</v>
      </c>
      <c r="AC158" s="34" t="str">
        <f>IF(AND(B158&lt;&gt;"",C158=CompteSel,N(B158)&lt;=DateArret,AB158=0),MAX($AC$3:AC157)+1,"")</f>
        <v/>
      </c>
      <c r="AD158" s="34" t="str">
        <f>IF(AND(ISNUMBER(M158),C158=CompteSel),MAX($AD$3:AD157)+1,"")</f>
        <v/>
      </c>
    </row>
    <row r="159" spans="1:30" x14ac:dyDescent="0.35">
      <c r="A159" s="1" t="str">
        <f t="shared" si="30"/>
        <v/>
      </c>
      <c r="B159" s="31"/>
      <c r="C159" s="8"/>
      <c r="D159" s="8"/>
      <c r="E159" s="8"/>
      <c r="F159" s="8"/>
      <c r="G159" s="8"/>
      <c r="H159" s="32"/>
      <c r="I159" s="32"/>
      <c r="J159" s="25" t="str">
        <f>IF(B159="","",IFERROR(VLOOKUP(C159,Soldes_Ouverture,2,FALSE()),0)+SUMIFS($S$4:S159,$C$4:C159,C159))</f>
        <v/>
      </c>
      <c r="K159" s="1" t="str">
        <f t="shared" si="31"/>
        <v/>
      </c>
      <c r="L159" s="1" t="str">
        <f t="shared" si="32"/>
        <v/>
      </c>
      <c r="M159" s="1" t="str">
        <f t="shared" si="33"/>
        <v/>
      </c>
      <c r="N159" s="8"/>
      <c r="O159" s="8"/>
      <c r="P159" s="1" t="str">
        <f t="shared" si="34"/>
        <v/>
      </c>
      <c r="Q159" s="25" t="str">
        <f t="shared" si="35"/>
        <v/>
      </c>
      <c r="R159" s="1" t="str">
        <f t="shared" si="36"/>
        <v/>
      </c>
      <c r="S159" s="33" t="str">
        <f t="shared" si="37"/>
        <v/>
      </c>
      <c r="T159" s="34" t="str">
        <f>IF(B159="","",C159&amp;"|"&amp;ROUND(S159,2)&amp;"|"&amp;COUNTIFS($C$4:C159,C159,$S$4:S159,S159))</f>
        <v/>
      </c>
      <c r="U159" s="34" t="str">
        <f t="shared" si="38"/>
        <v/>
      </c>
      <c r="V159" s="34" t="str">
        <f t="shared" si="39"/>
        <v/>
      </c>
      <c r="W159" s="34" t="str">
        <f t="shared" si="40"/>
        <v/>
      </c>
      <c r="X159" s="34">
        <f t="shared" si="41"/>
        <v>0</v>
      </c>
      <c r="Y159" s="34" t="str">
        <f t="shared" si="42"/>
        <v/>
      </c>
      <c r="Z159" s="34" t="str">
        <f>IF(X159=1,V159,IF(Y159="","",IF(COUNTIF(Y$3:Y158,Y159)=0,Y159,"")))</f>
        <v/>
      </c>
      <c r="AA159" s="34" t="b">
        <f t="shared" si="43"/>
        <v>0</v>
      </c>
      <c r="AB159" s="34">
        <f t="shared" si="44"/>
        <v>0</v>
      </c>
      <c r="AC159" s="34" t="str">
        <f>IF(AND(B159&lt;&gt;"",C159=CompteSel,N(B159)&lt;=DateArret,AB159=0),MAX($AC$3:AC158)+1,"")</f>
        <v/>
      </c>
      <c r="AD159" s="34" t="str">
        <f>IF(AND(ISNUMBER(M159),C159=CompteSel),MAX($AD$3:AD158)+1,"")</f>
        <v/>
      </c>
    </row>
    <row r="160" spans="1:30" x14ac:dyDescent="0.35">
      <c r="A160" s="1" t="str">
        <f t="shared" si="30"/>
        <v/>
      </c>
      <c r="B160" s="31"/>
      <c r="C160" s="8"/>
      <c r="D160" s="8"/>
      <c r="E160" s="8"/>
      <c r="F160" s="8"/>
      <c r="G160" s="8"/>
      <c r="H160" s="32"/>
      <c r="I160" s="32"/>
      <c r="J160" s="25" t="str">
        <f>IF(B160="","",IFERROR(VLOOKUP(C160,Soldes_Ouverture,2,FALSE()),0)+SUMIFS($S$4:S160,$C$4:C160,C160))</f>
        <v/>
      </c>
      <c r="K160" s="1" t="str">
        <f t="shared" si="31"/>
        <v/>
      </c>
      <c r="L160" s="1" t="str">
        <f t="shared" si="32"/>
        <v/>
      </c>
      <c r="M160" s="1" t="str">
        <f t="shared" si="33"/>
        <v/>
      </c>
      <c r="N160" s="8"/>
      <c r="O160" s="8"/>
      <c r="P160" s="1" t="str">
        <f t="shared" si="34"/>
        <v/>
      </c>
      <c r="Q160" s="25" t="str">
        <f t="shared" si="35"/>
        <v/>
      </c>
      <c r="R160" s="1" t="str">
        <f t="shared" si="36"/>
        <v/>
      </c>
      <c r="S160" s="33" t="str">
        <f t="shared" si="37"/>
        <v/>
      </c>
      <c r="T160" s="34" t="str">
        <f>IF(B160="","",C160&amp;"|"&amp;ROUND(S160,2)&amp;"|"&amp;COUNTIFS($C$4:C160,C160,$S$4:S160,S160))</f>
        <v/>
      </c>
      <c r="U160" s="34" t="str">
        <f t="shared" si="38"/>
        <v/>
      </c>
      <c r="V160" s="34" t="str">
        <f t="shared" si="39"/>
        <v/>
      </c>
      <c r="W160" s="34" t="str">
        <f t="shared" si="40"/>
        <v/>
      </c>
      <c r="X160" s="34">
        <f t="shared" si="41"/>
        <v>0</v>
      </c>
      <c r="Y160" s="34" t="str">
        <f t="shared" si="42"/>
        <v/>
      </c>
      <c r="Z160" s="34" t="str">
        <f>IF(X160=1,V160,IF(Y160="","",IF(COUNTIF(Y$3:Y159,Y160)=0,Y160,"")))</f>
        <v/>
      </c>
      <c r="AA160" s="34" t="b">
        <f t="shared" si="43"/>
        <v>0</v>
      </c>
      <c r="AB160" s="34">
        <f t="shared" si="44"/>
        <v>0</v>
      </c>
      <c r="AC160" s="34" t="str">
        <f>IF(AND(B160&lt;&gt;"",C160=CompteSel,N(B160)&lt;=DateArret,AB160=0),MAX($AC$3:AC159)+1,"")</f>
        <v/>
      </c>
      <c r="AD160" s="34" t="str">
        <f>IF(AND(ISNUMBER(M160),C160=CompteSel),MAX($AD$3:AD159)+1,"")</f>
        <v/>
      </c>
    </row>
    <row r="161" spans="1:30" x14ac:dyDescent="0.35">
      <c r="A161" s="1" t="str">
        <f t="shared" si="30"/>
        <v/>
      </c>
      <c r="B161" s="31"/>
      <c r="C161" s="8"/>
      <c r="D161" s="8"/>
      <c r="E161" s="8"/>
      <c r="F161" s="8"/>
      <c r="G161" s="8"/>
      <c r="H161" s="32"/>
      <c r="I161" s="32"/>
      <c r="J161" s="25" t="str">
        <f>IF(B161="","",IFERROR(VLOOKUP(C161,Soldes_Ouverture,2,FALSE()),0)+SUMIFS($S$4:S161,$C$4:C161,C161))</f>
        <v/>
      </c>
      <c r="K161" s="1" t="str">
        <f t="shared" si="31"/>
        <v/>
      </c>
      <c r="L161" s="1" t="str">
        <f t="shared" si="32"/>
        <v/>
      </c>
      <c r="M161" s="1" t="str">
        <f t="shared" si="33"/>
        <v/>
      </c>
      <c r="N161" s="8"/>
      <c r="O161" s="8"/>
      <c r="P161" s="1" t="str">
        <f t="shared" si="34"/>
        <v/>
      </c>
      <c r="Q161" s="25" t="str">
        <f t="shared" si="35"/>
        <v/>
      </c>
      <c r="R161" s="1" t="str">
        <f t="shared" si="36"/>
        <v/>
      </c>
      <c r="S161" s="33" t="str">
        <f t="shared" si="37"/>
        <v/>
      </c>
      <c r="T161" s="34" t="str">
        <f>IF(B161="","",C161&amp;"|"&amp;ROUND(S161,2)&amp;"|"&amp;COUNTIFS($C$4:C161,C161,$S$4:S161,S161))</f>
        <v/>
      </c>
      <c r="U161" s="34" t="str">
        <f t="shared" si="38"/>
        <v/>
      </c>
      <c r="V161" s="34" t="str">
        <f t="shared" si="39"/>
        <v/>
      </c>
      <c r="W161" s="34" t="str">
        <f t="shared" si="40"/>
        <v/>
      </c>
      <c r="X161" s="34">
        <f t="shared" si="41"/>
        <v>0</v>
      </c>
      <c r="Y161" s="34" t="str">
        <f t="shared" si="42"/>
        <v/>
      </c>
      <c r="Z161" s="34" t="str">
        <f>IF(X161=1,V161,IF(Y161="","",IF(COUNTIF(Y$3:Y160,Y161)=0,Y161,"")))</f>
        <v/>
      </c>
      <c r="AA161" s="34" t="b">
        <f t="shared" si="43"/>
        <v>0</v>
      </c>
      <c r="AB161" s="34">
        <f t="shared" si="44"/>
        <v>0</v>
      </c>
      <c r="AC161" s="34" t="str">
        <f>IF(AND(B161&lt;&gt;"",C161=CompteSel,N(B161)&lt;=DateArret,AB161=0),MAX($AC$3:AC160)+1,"")</f>
        <v/>
      </c>
      <c r="AD161" s="34" t="str">
        <f>IF(AND(ISNUMBER(M161),C161=CompteSel),MAX($AD$3:AD160)+1,"")</f>
        <v/>
      </c>
    </row>
    <row r="162" spans="1:30" x14ac:dyDescent="0.35">
      <c r="A162" s="1" t="str">
        <f t="shared" si="30"/>
        <v/>
      </c>
      <c r="B162" s="31"/>
      <c r="C162" s="8"/>
      <c r="D162" s="8"/>
      <c r="E162" s="8"/>
      <c r="F162" s="8"/>
      <c r="G162" s="8"/>
      <c r="H162" s="32"/>
      <c r="I162" s="32"/>
      <c r="J162" s="25" t="str">
        <f>IF(B162="","",IFERROR(VLOOKUP(C162,Soldes_Ouverture,2,FALSE()),0)+SUMIFS($S$4:S162,$C$4:C162,C162))</f>
        <v/>
      </c>
      <c r="K162" s="1" t="str">
        <f t="shared" si="31"/>
        <v/>
      </c>
      <c r="L162" s="1" t="str">
        <f t="shared" si="32"/>
        <v/>
      </c>
      <c r="M162" s="1" t="str">
        <f t="shared" si="33"/>
        <v/>
      </c>
      <c r="N162" s="8"/>
      <c r="O162" s="8"/>
      <c r="P162" s="1" t="str">
        <f t="shared" si="34"/>
        <v/>
      </c>
      <c r="Q162" s="25" t="str">
        <f t="shared" si="35"/>
        <v/>
      </c>
      <c r="R162" s="1" t="str">
        <f t="shared" si="36"/>
        <v/>
      </c>
      <c r="S162" s="33" t="str">
        <f t="shared" si="37"/>
        <v/>
      </c>
      <c r="T162" s="34" t="str">
        <f>IF(B162="","",C162&amp;"|"&amp;ROUND(S162,2)&amp;"|"&amp;COUNTIFS($C$4:C162,C162,$S$4:S162,S162))</f>
        <v/>
      </c>
      <c r="U162" s="34" t="str">
        <f t="shared" si="38"/>
        <v/>
      </c>
      <c r="V162" s="34" t="str">
        <f t="shared" si="39"/>
        <v/>
      </c>
      <c r="W162" s="34" t="str">
        <f t="shared" si="40"/>
        <v/>
      </c>
      <c r="X162" s="34">
        <f t="shared" si="41"/>
        <v>0</v>
      </c>
      <c r="Y162" s="34" t="str">
        <f t="shared" si="42"/>
        <v/>
      </c>
      <c r="Z162" s="34" t="str">
        <f>IF(X162=1,V162,IF(Y162="","",IF(COUNTIF(Y$3:Y161,Y162)=0,Y162,"")))</f>
        <v/>
      </c>
      <c r="AA162" s="34" t="b">
        <f t="shared" si="43"/>
        <v>0</v>
      </c>
      <c r="AB162" s="34">
        <f t="shared" si="44"/>
        <v>0</v>
      </c>
      <c r="AC162" s="34" t="str">
        <f>IF(AND(B162&lt;&gt;"",C162=CompteSel,N(B162)&lt;=DateArret,AB162=0),MAX($AC$3:AC161)+1,"")</f>
        <v/>
      </c>
      <c r="AD162" s="34" t="str">
        <f>IF(AND(ISNUMBER(M162),C162=CompteSel),MAX($AD$3:AD161)+1,"")</f>
        <v/>
      </c>
    </row>
    <row r="163" spans="1:30" x14ac:dyDescent="0.35">
      <c r="A163" s="1" t="str">
        <f t="shared" si="30"/>
        <v/>
      </c>
      <c r="B163" s="31"/>
      <c r="C163" s="8"/>
      <c r="D163" s="8"/>
      <c r="E163" s="8"/>
      <c r="F163" s="8"/>
      <c r="G163" s="8"/>
      <c r="H163" s="32"/>
      <c r="I163" s="32"/>
      <c r="J163" s="25" t="str">
        <f>IF(B163="","",IFERROR(VLOOKUP(C163,Soldes_Ouverture,2,FALSE()),0)+SUMIFS($S$4:S163,$C$4:C163,C163))</f>
        <v/>
      </c>
      <c r="K163" s="1" t="str">
        <f t="shared" si="31"/>
        <v/>
      </c>
      <c r="L163" s="1" t="str">
        <f t="shared" si="32"/>
        <v/>
      </c>
      <c r="M163" s="1" t="str">
        <f t="shared" si="33"/>
        <v/>
      </c>
      <c r="N163" s="8"/>
      <c r="O163" s="8"/>
      <c r="P163" s="1" t="str">
        <f t="shared" si="34"/>
        <v/>
      </c>
      <c r="Q163" s="25" t="str">
        <f t="shared" si="35"/>
        <v/>
      </c>
      <c r="R163" s="1" t="str">
        <f t="shared" si="36"/>
        <v/>
      </c>
      <c r="S163" s="33" t="str">
        <f t="shared" si="37"/>
        <v/>
      </c>
      <c r="T163" s="34" t="str">
        <f>IF(B163="","",C163&amp;"|"&amp;ROUND(S163,2)&amp;"|"&amp;COUNTIFS($C$4:C163,C163,$S$4:S163,S163))</f>
        <v/>
      </c>
      <c r="U163" s="34" t="str">
        <f t="shared" si="38"/>
        <v/>
      </c>
      <c r="V163" s="34" t="str">
        <f t="shared" si="39"/>
        <v/>
      </c>
      <c r="W163" s="34" t="str">
        <f t="shared" si="40"/>
        <v/>
      </c>
      <c r="X163" s="34">
        <f t="shared" si="41"/>
        <v>0</v>
      </c>
      <c r="Y163" s="34" t="str">
        <f t="shared" si="42"/>
        <v/>
      </c>
      <c r="Z163" s="34" t="str">
        <f>IF(X163=1,V163,IF(Y163="","",IF(COUNTIF(Y$3:Y162,Y163)=0,Y163,"")))</f>
        <v/>
      </c>
      <c r="AA163" s="34" t="b">
        <f t="shared" si="43"/>
        <v>0</v>
      </c>
      <c r="AB163" s="34">
        <f t="shared" si="44"/>
        <v>0</v>
      </c>
      <c r="AC163" s="34" t="str">
        <f>IF(AND(B163&lt;&gt;"",C163=CompteSel,N(B163)&lt;=DateArret,AB163=0),MAX($AC$3:AC162)+1,"")</f>
        <v/>
      </c>
      <c r="AD163" s="34" t="str">
        <f>IF(AND(ISNUMBER(M163),C163=CompteSel),MAX($AD$3:AD162)+1,"")</f>
        <v/>
      </c>
    </row>
    <row r="164" spans="1:30" x14ac:dyDescent="0.35">
      <c r="A164" s="1" t="str">
        <f t="shared" si="30"/>
        <v/>
      </c>
      <c r="B164" s="31"/>
      <c r="C164" s="8"/>
      <c r="D164" s="8"/>
      <c r="E164" s="8"/>
      <c r="F164" s="8"/>
      <c r="G164" s="8"/>
      <c r="H164" s="32"/>
      <c r="I164" s="32"/>
      <c r="J164" s="25" t="str">
        <f>IF(B164="","",IFERROR(VLOOKUP(C164,Soldes_Ouverture,2,FALSE()),0)+SUMIFS($S$4:S164,$C$4:C164,C164))</f>
        <v/>
      </c>
      <c r="K164" s="1" t="str">
        <f t="shared" si="31"/>
        <v/>
      </c>
      <c r="L164" s="1" t="str">
        <f t="shared" si="32"/>
        <v/>
      </c>
      <c r="M164" s="1" t="str">
        <f t="shared" si="33"/>
        <v/>
      </c>
      <c r="N164" s="8"/>
      <c r="O164" s="8"/>
      <c r="P164" s="1" t="str">
        <f t="shared" si="34"/>
        <v/>
      </c>
      <c r="Q164" s="25" t="str">
        <f t="shared" si="35"/>
        <v/>
      </c>
      <c r="R164" s="1" t="str">
        <f t="shared" si="36"/>
        <v/>
      </c>
      <c r="S164" s="33" t="str">
        <f t="shared" si="37"/>
        <v/>
      </c>
      <c r="T164" s="34" t="str">
        <f>IF(B164="","",C164&amp;"|"&amp;ROUND(S164,2)&amp;"|"&amp;COUNTIFS($C$4:C164,C164,$S$4:S164,S164))</f>
        <v/>
      </c>
      <c r="U164" s="34" t="str">
        <f t="shared" si="38"/>
        <v/>
      </c>
      <c r="V164" s="34" t="str">
        <f t="shared" si="39"/>
        <v/>
      </c>
      <c r="W164" s="34" t="str">
        <f t="shared" si="40"/>
        <v/>
      </c>
      <c r="X164" s="34">
        <f t="shared" si="41"/>
        <v>0</v>
      </c>
      <c r="Y164" s="34" t="str">
        <f t="shared" si="42"/>
        <v/>
      </c>
      <c r="Z164" s="34" t="str">
        <f>IF(X164=1,V164,IF(Y164="","",IF(COUNTIF(Y$3:Y163,Y164)=0,Y164,"")))</f>
        <v/>
      </c>
      <c r="AA164" s="34" t="b">
        <f t="shared" si="43"/>
        <v>0</v>
      </c>
      <c r="AB164" s="34">
        <f t="shared" si="44"/>
        <v>0</v>
      </c>
      <c r="AC164" s="34" t="str">
        <f>IF(AND(B164&lt;&gt;"",C164=CompteSel,N(B164)&lt;=DateArret,AB164=0),MAX($AC$3:AC163)+1,"")</f>
        <v/>
      </c>
      <c r="AD164" s="34" t="str">
        <f>IF(AND(ISNUMBER(M164),C164=CompteSel),MAX($AD$3:AD163)+1,"")</f>
        <v/>
      </c>
    </row>
    <row r="165" spans="1:30" x14ac:dyDescent="0.35">
      <c r="A165" s="1" t="str">
        <f t="shared" si="30"/>
        <v/>
      </c>
      <c r="B165" s="31"/>
      <c r="C165" s="8"/>
      <c r="D165" s="8"/>
      <c r="E165" s="8"/>
      <c r="F165" s="8"/>
      <c r="G165" s="8"/>
      <c r="H165" s="32"/>
      <c r="I165" s="32"/>
      <c r="J165" s="25" t="str">
        <f>IF(B165="","",IFERROR(VLOOKUP(C165,Soldes_Ouverture,2,FALSE()),0)+SUMIFS($S$4:S165,$C$4:C165,C165))</f>
        <v/>
      </c>
      <c r="K165" s="1" t="str">
        <f t="shared" si="31"/>
        <v/>
      </c>
      <c r="L165" s="1" t="str">
        <f t="shared" si="32"/>
        <v/>
      </c>
      <c r="M165" s="1" t="str">
        <f t="shared" si="33"/>
        <v/>
      </c>
      <c r="N165" s="8"/>
      <c r="O165" s="8"/>
      <c r="P165" s="1" t="str">
        <f t="shared" si="34"/>
        <v/>
      </c>
      <c r="Q165" s="25" t="str">
        <f t="shared" si="35"/>
        <v/>
      </c>
      <c r="R165" s="1" t="str">
        <f t="shared" si="36"/>
        <v/>
      </c>
      <c r="S165" s="33" t="str">
        <f t="shared" si="37"/>
        <v/>
      </c>
      <c r="T165" s="34" t="str">
        <f>IF(B165="","",C165&amp;"|"&amp;ROUND(S165,2)&amp;"|"&amp;COUNTIFS($C$4:C165,C165,$S$4:S165,S165))</f>
        <v/>
      </c>
      <c r="U165" s="34" t="str">
        <f t="shared" si="38"/>
        <v/>
      </c>
      <c r="V165" s="34" t="str">
        <f t="shared" si="39"/>
        <v/>
      </c>
      <c r="W165" s="34" t="str">
        <f t="shared" si="40"/>
        <v/>
      </c>
      <c r="X165" s="34">
        <f t="shared" si="41"/>
        <v>0</v>
      </c>
      <c r="Y165" s="34" t="str">
        <f t="shared" si="42"/>
        <v/>
      </c>
      <c r="Z165" s="34" t="str">
        <f>IF(X165=1,V165,IF(Y165="","",IF(COUNTIF(Y$3:Y164,Y165)=0,Y165,"")))</f>
        <v/>
      </c>
      <c r="AA165" s="34" t="b">
        <f t="shared" si="43"/>
        <v>0</v>
      </c>
      <c r="AB165" s="34">
        <f t="shared" si="44"/>
        <v>0</v>
      </c>
      <c r="AC165" s="34" t="str">
        <f>IF(AND(B165&lt;&gt;"",C165=CompteSel,N(B165)&lt;=DateArret,AB165=0),MAX($AC$3:AC164)+1,"")</f>
        <v/>
      </c>
      <c r="AD165" s="34" t="str">
        <f>IF(AND(ISNUMBER(M165),C165=CompteSel),MAX($AD$3:AD164)+1,"")</f>
        <v/>
      </c>
    </row>
    <row r="166" spans="1:30" x14ac:dyDescent="0.35">
      <c r="A166" s="1" t="str">
        <f t="shared" si="30"/>
        <v/>
      </c>
      <c r="B166" s="31"/>
      <c r="C166" s="8"/>
      <c r="D166" s="8"/>
      <c r="E166" s="8"/>
      <c r="F166" s="8"/>
      <c r="G166" s="8"/>
      <c r="H166" s="32"/>
      <c r="I166" s="32"/>
      <c r="J166" s="25" t="str">
        <f>IF(B166="","",IFERROR(VLOOKUP(C166,Soldes_Ouverture,2,FALSE()),0)+SUMIFS($S$4:S166,$C$4:C166,C166))</f>
        <v/>
      </c>
      <c r="K166" s="1" t="str">
        <f t="shared" si="31"/>
        <v/>
      </c>
      <c r="L166" s="1" t="str">
        <f t="shared" si="32"/>
        <v/>
      </c>
      <c r="M166" s="1" t="str">
        <f t="shared" si="33"/>
        <v/>
      </c>
      <c r="N166" s="8"/>
      <c r="O166" s="8"/>
      <c r="P166" s="1" t="str">
        <f t="shared" si="34"/>
        <v/>
      </c>
      <c r="Q166" s="25" t="str">
        <f t="shared" si="35"/>
        <v/>
      </c>
      <c r="R166" s="1" t="str">
        <f t="shared" si="36"/>
        <v/>
      </c>
      <c r="S166" s="33" t="str">
        <f t="shared" si="37"/>
        <v/>
      </c>
      <c r="T166" s="34" t="str">
        <f>IF(B166="","",C166&amp;"|"&amp;ROUND(S166,2)&amp;"|"&amp;COUNTIFS($C$4:C166,C166,$S$4:S166,S166))</f>
        <v/>
      </c>
      <c r="U166" s="34" t="str">
        <f t="shared" si="38"/>
        <v/>
      </c>
      <c r="V166" s="34" t="str">
        <f t="shared" si="39"/>
        <v/>
      </c>
      <c r="W166" s="34" t="str">
        <f t="shared" si="40"/>
        <v/>
      </c>
      <c r="X166" s="34">
        <f t="shared" si="41"/>
        <v>0</v>
      </c>
      <c r="Y166" s="34" t="str">
        <f t="shared" si="42"/>
        <v/>
      </c>
      <c r="Z166" s="34" t="str">
        <f>IF(X166=1,V166,IF(Y166="","",IF(COUNTIF(Y$3:Y165,Y166)=0,Y166,"")))</f>
        <v/>
      </c>
      <c r="AA166" s="34" t="b">
        <f t="shared" si="43"/>
        <v>0</v>
      </c>
      <c r="AB166" s="34">
        <f t="shared" si="44"/>
        <v>0</v>
      </c>
      <c r="AC166" s="34" t="str">
        <f>IF(AND(B166&lt;&gt;"",C166=CompteSel,N(B166)&lt;=DateArret,AB166=0),MAX($AC$3:AC165)+1,"")</f>
        <v/>
      </c>
      <c r="AD166" s="34" t="str">
        <f>IF(AND(ISNUMBER(M166),C166=CompteSel),MAX($AD$3:AD165)+1,"")</f>
        <v/>
      </c>
    </row>
    <row r="167" spans="1:30" x14ac:dyDescent="0.35">
      <c r="A167" s="1" t="str">
        <f t="shared" si="30"/>
        <v/>
      </c>
      <c r="B167" s="31"/>
      <c r="C167" s="8"/>
      <c r="D167" s="8"/>
      <c r="E167" s="8"/>
      <c r="F167" s="8"/>
      <c r="G167" s="8"/>
      <c r="H167" s="32"/>
      <c r="I167" s="32"/>
      <c r="J167" s="25" t="str">
        <f>IF(B167="","",IFERROR(VLOOKUP(C167,Soldes_Ouverture,2,FALSE()),0)+SUMIFS($S$4:S167,$C$4:C167,C167))</f>
        <v/>
      </c>
      <c r="K167" s="1" t="str">
        <f t="shared" si="31"/>
        <v/>
      </c>
      <c r="L167" s="1" t="str">
        <f t="shared" si="32"/>
        <v/>
      </c>
      <c r="M167" s="1" t="str">
        <f t="shared" si="33"/>
        <v/>
      </c>
      <c r="N167" s="8"/>
      <c r="O167" s="8"/>
      <c r="P167" s="1" t="str">
        <f t="shared" si="34"/>
        <v/>
      </c>
      <c r="Q167" s="25" t="str">
        <f t="shared" si="35"/>
        <v/>
      </c>
      <c r="R167" s="1" t="str">
        <f t="shared" si="36"/>
        <v/>
      </c>
      <c r="S167" s="33" t="str">
        <f t="shared" si="37"/>
        <v/>
      </c>
      <c r="T167" s="34" t="str">
        <f>IF(B167="","",C167&amp;"|"&amp;ROUND(S167,2)&amp;"|"&amp;COUNTIFS($C$4:C167,C167,$S$4:S167,S167))</f>
        <v/>
      </c>
      <c r="U167" s="34" t="str">
        <f t="shared" si="38"/>
        <v/>
      </c>
      <c r="V167" s="34" t="str">
        <f t="shared" si="39"/>
        <v/>
      </c>
      <c r="W167" s="34" t="str">
        <f t="shared" si="40"/>
        <v/>
      </c>
      <c r="X167" s="34">
        <f t="shared" si="41"/>
        <v>0</v>
      </c>
      <c r="Y167" s="34" t="str">
        <f t="shared" si="42"/>
        <v/>
      </c>
      <c r="Z167" s="34" t="str">
        <f>IF(X167=1,V167,IF(Y167="","",IF(COUNTIF(Y$3:Y166,Y167)=0,Y167,"")))</f>
        <v/>
      </c>
      <c r="AA167" s="34" t="b">
        <f t="shared" si="43"/>
        <v>0</v>
      </c>
      <c r="AB167" s="34">
        <f t="shared" si="44"/>
        <v>0</v>
      </c>
      <c r="AC167" s="34" t="str">
        <f>IF(AND(B167&lt;&gt;"",C167=CompteSel,N(B167)&lt;=DateArret,AB167=0),MAX($AC$3:AC166)+1,"")</f>
        <v/>
      </c>
      <c r="AD167" s="34" t="str">
        <f>IF(AND(ISNUMBER(M167),C167=CompteSel),MAX($AD$3:AD166)+1,"")</f>
        <v/>
      </c>
    </row>
    <row r="168" spans="1:30" x14ac:dyDescent="0.35">
      <c r="A168" s="1" t="str">
        <f t="shared" si="30"/>
        <v/>
      </c>
      <c r="B168" s="31"/>
      <c r="C168" s="8"/>
      <c r="D168" s="8"/>
      <c r="E168" s="8"/>
      <c r="F168" s="8"/>
      <c r="G168" s="8"/>
      <c r="H168" s="32"/>
      <c r="I168" s="32"/>
      <c r="J168" s="25" t="str">
        <f>IF(B168="","",IFERROR(VLOOKUP(C168,Soldes_Ouverture,2,FALSE()),0)+SUMIFS($S$4:S168,$C$4:C168,C168))</f>
        <v/>
      </c>
      <c r="K168" s="1" t="str">
        <f t="shared" si="31"/>
        <v/>
      </c>
      <c r="L168" s="1" t="str">
        <f t="shared" si="32"/>
        <v/>
      </c>
      <c r="M168" s="1" t="str">
        <f t="shared" si="33"/>
        <v/>
      </c>
      <c r="N168" s="8"/>
      <c r="O168" s="8"/>
      <c r="P168" s="1" t="str">
        <f t="shared" si="34"/>
        <v/>
      </c>
      <c r="Q168" s="25" t="str">
        <f t="shared" si="35"/>
        <v/>
      </c>
      <c r="R168" s="1" t="str">
        <f t="shared" si="36"/>
        <v/>
      </c>
      <c r="S168" s="33" t="str">
        <f t="shared" si="37"/>
        <v/>
      </c>
      <c r="T168" s="34" t="str">
        <f>IF(B168="","",C168&amp;"|"&amp;ROUND(S168,2)&amp;"|"&amp;COUNTIFS($C$4:C168,C168,$S$4:S168,S168))</f>
        <v/>
      </c>
      <c r="U168" s="34" t="str">
        <f t="shared" si="38"/>
        <v/>
      </c>
      <c r="V168" s="34" t="str">
        <f t="shared" si="39"/>
        <v/>
      </c>
      <c r="W168" s="34" t="str">
        <f t="shared" si="40"/>
        <v/>
      </c>
      <c r="X168" s="34">
        <f t="shared" si="41"/>
        <v>0</v>
      </c>
      <c r="Y168" s="34" t="str">
        <f t="shared" si="42"/>
        <v/>
      </c>
      <c r="Z168" s="34" t="str">
        <f>IF(X168=1,V168,IF(Y168="","",IF(COUNTIF(Y$3:Y167,Y168)=0,Y168,"")))</f>
        <v/>
      </c>
      <c r="AA168" s="34" t="b">
        <f t="shared" si="43"/>
        <v>0</v>
      </c>
      <c r="AB168" s="34">
        <f t="shared" si="44"/>
        <v>0</v>
      </c>
      <c r="AC168" s="34" t="str">
        <f>IF(AND(B168&lt;&gt;"",C168=CompteSel,N(B168)&lt;=DateArret,AB168=0),MAX($AC$3:AC167)+1,"")</f>
        <v/>
      </c>
      <c r="AD168" s="34" t="str">
        <f>IF(AND(ISNUMBER(M168),C168=CompteSel),MAX($AD$3:AD167)+1,"")</f>
        <v/>
      </c>
    </row>
    <row r="169" spans="1:30" x14ac:dyDescent="0.35">
      <c r="A169" s="1" t="str">
        <f t="shared" si="30"/>
        <v/>
      </c>
      <c r="B169" s="31"/>
      <c r="C169" s="8"/>
      <c r="D169" s="8"/>
      <c r="E169" s="8"/>
      <c r="F169" s="8"/>
      <c r="G169" s="8"/>
      <c r="H169" s="32"/>
      <c r="I169" s="32"/>
      <c r="J169" s="25" t="str">
        <f>IF(B169="","",IFERROR(VLOOKUP(C169,Soldes_Ouverture,2,FALSE()),0)+SUMIFS($S$4:S169,$C$4:C169,C169))</f>
        <v/>
      </c>
      <c r="K169" s="1" t="str">
        <f t="shared" si="31"/>
        <v/>
      </c>
      <c r="L169" s="1" t="str">
        <f t="shared" si="32"/>
        <v/>
      </c>
      <c r="M169" s="1" t="str">
        <f t="shared" si="33"/>
        <v/>
      </c>
      <c r="N169" s="8"/>
      <c r="O169" s="8"/>
      <c r="P169" s="1" t="str">
        <f t="shared" si="34"/>
        <v/>
      </c>
      <c r="Q169" s="25" t="str">
        <f t="shared" si="35"/>
        <v/>
      </c>
      <c r="R169" s="1" t="str">
        <f t="shared" si="36"/>
        <v/>
      </c>
      <c r="S169" s="33" t="str">
        <f t="shared" si="37"/>
        <v/>
      </c>
      <c r="T169" s="34" t="str">
        <f>IF(B169="","",C169&amp;"|"&amp;ROUND(S169,2)&amp;"|"&amp;COUNTIFS($C$4:C169,C169,$S$4:S169,S169))</f>
        <v/>
      </c>
      <c r="U169" s="34" t="str">
        <f t="shared" si="38"/>
        <v/>
      </c>
      <c r="V169" s="34" t="str">
        <f t="shared" si="39"/>
        <v/>
      </c>
      <c r="W169" s="34" t="str">
        <f t="shared" si="40"/>
        <v/>
      </c>
      <c r="X169" s="34">
        <f t="shared" si="41"/>
        <v>0</v>
      </c>
      <c r="Y169" s="34" t="str">
        <f t="shared" si="42"/>
        <v/>
      </c>
      <c r="Z169" s="34" t="str">
        <f>IF(X169=1,V169,IF(Y169="","",IF(COUNTIF(Y$3:Y168,Y169)=0,Y169,"")))</f>
        <v/>
      </c>
      <c r="AA169" s="34" t="b">
        <f t="shared" si="43"/>
        <v>0</v>
      </c>
      <c r="AB169" s="34">
        <f t="shared" si="44"/>
        <v>0</v>
      </c>
      <c r="AC169" s="34" t="str">
        <f>IF(AND(B169&lt;&gt;"",C169=CompteSel,N(B169)&lt;=DateArret,AB169=0),MAX($AC$3:AC168)+1,"")</f>
        <v/>
      </c>
      <c r="AD169" s="34" t="str">
        <f>IF(AND(ISNUMBER(M169),C169=CompteSel),MAX($AD$3:AD168)+1,"")</f>
        <v/>
      </c>
    </row>
    <row r="170" spans="1:30" x14ac:dyDescent="0.35">
      <c r="A170" s="1" t="str">
        <f t="shared" si="30"/>
        <v/>
      </c>
      <c r="B170" s="31"/>
      <c r="C170" s="8"/>
      <c r="D170" s="8"/>
      <c r="E170" s="8"/>
      <c r="F170" s="8"/>
      <c r="G170" s="8"/>
      <c r="H170" s="32"/>
      <c r="I170" s="32"/>
      <c r="J170" s="25" t="str">
        <f>IF(B170="","",IFERROR(VLOOKUP(C170,Soldes_Ouverture,2,FALSE()),0)+SUMIFS($S$4:S170,$C$4:C170,C170))</f>
        <v/>
      </c>
      <c r="K170" s="1" t="str">
        <f t="shared" si="31"/>
        <v/>
      </c>
      <c r="L170" s="1" t="str">
        <f t="shared" si="32"/>
        <v/>
      </c>
      <c r="M170" s="1" t="str">
        <f t="shared" si="33"/>
        <v/>
      </c>
      <c r="N170" s="8"/>
      <c r="O170" s="8"/>
      <c r="P170" s="1" t="str">
        <f t="shared" si="34"/>
        <v/>
      </c>
      <c r="Q170" s="25" t="str">
        <f t="shared" si="35"/>
        <v/>
      </c>
      <c r="R170" s="1" t="str">
        <f t="shared" si="36"/>
        <v/>
      </c>
      <c r="S170" s="33" t="str">
        <f t="shared" si="37"/>
        <v/>
      </c>
      <c r="T170" s="34" t="str">
        <f>IF(B170="","",C170&amp;"|"&amp;ROUND(S170,2)&amp;"|"&amp;COUNTIFS($C$4:C170,C170,$S$4:S170,S170))</f>
        <v/>
      </c>
      <c r="U170" s="34" t="str">
        <f t="shared" si="38"/>
        <v/>
      </c>
      <c r="V170" s="34" t="str">
        <f t="shared" si="39"/>
        <v/>
      </c>
      <c r="W170" s="34" t="str">
        <f t="shared" si="40"/>
        <v/>
      </c>
      <c r="X170" s="34">
        <f t="shared" si="41"/>
        <v>0</v>
      </c>
      <c r="Y170" s="34" t="str">
        <f t="shared" si="42"/>
        <v/>
      </c>
      <c r="Z170" s="34" t="str">
        <f>IF(X170=1,V170,IF(Y170="","",IF(COUNTIF(Y$3:Y169,Y170)=0,Y170,"")))</f>
        <v/>
      </c>
      <c r="AA170" s="34" t="b">
        <f t="shared" si="43"/>
        <v>0</v>
      </c>
      <c r="AB170" s="34">
        <f t="shared" si="44"/>
        <v>0</v>
      </c>
      <c r="AC170" s="34" t="str">
        <f>IF(AND(B170&lt;&gt;"",C170=CompteSel,N(B170)&lt;=DateArret,AB170=0),MAX($AC$3:AC169)+1,"")</f>
        <v/>
      </c>
      <c r="AD170" s="34" t="str">
        <f>IF(AND(ISNUMBER(M170),C170=CompteSel),MAX($AD$3:AD169)+1,"")</f>
        <v/>
      </c>
    </row>
    <row r="171" spans="1:30" x14ac:dyDescent="0.35">
      <c r="A171" s="1" t="str">
        <f t="shared" si="30"/>
        <v/>
      </c>
      <c r="B171" s="31"/>
      <c r="C171" s="8"/>
      <c r="D171" s="8"/>
      <c r="E171" s="8"/>
      <c r="F171" s="8"/>
      <c r="G171" s="8"/>
      <c r="H171" s="32"/>
      <c r="I171" s="32"/>
      <c r="J171" s="25" t="str">
        <f>IF(B171="","",IFERROR(VLOOKUP(C171,Soldes_Ouverture,2,FALSE()),0)+SUMIFS($S$4:S171,$C$4:C171,C171))</f>
        <v/>
      </c>
      <c r="K171" s="1" t="str">
        <f t="shared" si="31"/>
        <v/>
      </c>
      <c r="L171" s="1" t="str">
        <f t="shared" si="32"/>
        <v/>
      </c>
      <c r="M171" s="1" t="str">
        <f t="shared" si="33"/>
        <v/>
      </c>
      <c r="N171" s="8"/>
      <c r="O171" s="8"/>
      <c r="P171" s="1" t="str">
        <f t="shared" si="34"/>
        <v/>
      </c>
      <c r="Q171" s="25" t="str">
        <f t="shared" si="35"/>
        <v/>
      </c>
      <c r="R171" s="1" t="str">
        <f t="shared" si="36"/>
        <v/>
      </c>
      <c r="S171" s="33" t="str">
        <f t="shared" si="37"/>
        <v/>
      </c>
      <c r="T171" s="34" t="str">
        <f>IF(B171="","",C171&amp;"|"&amp;ROUND(S171,2)&amp;"|"&amp;COUNTIFS($C$4:C171,C171,$S$4:S171,S171))</f>
        <v/>
      </c>
      <c r="U171" s="34" t="str">
        <f t="shared" si="38"/>
        <v/>
      </c>
      <c r="V171" s="34" t="str">
        <f t="shared" si="39"/>
        <v/>
      </c>
      <c r="W171" s="34" t="str">
        <f t="shared" si="40"/>
        <v/>
      </c>
      <c r="X171" s="34">
        <f t="shared" si="41"/>
        <v>0</v>
      </c>
      <c r="Y171" s="34" t="str">
        <f t="shared" si="42"/>
        <v/>
      </c>
      <c r="Z171" s="34" t="str">
        <f>IF(X171=1,V171,IF(Y171="","",IF(COUNTIF(Y$3:Y170,Y171)=0,Y171,"")))</f>
        <v/>
      </c>
      <c r="AA171" s="34" t="b">
        <f t="shared" si="43"/>
        <v>0</v>
      </c>
      <c r="AB171" s="34">
        <f t="shared" si="44"/>
        <v>0</v>
      </c>
      <c r="AC171" s="34" t="str">
        <f>IF(AND(B171&lt;&gt;"",C171=CompteSel,N(B171)&lt;=DateArret,AB171=0),MAX($AC$3:AC170)+1,"")</f>
        <v/>
      </c>
      <c r="AD171" s="34" t="str">
        <f>IF(AND(ISNUMBER(M171),C171=CompteSel),MAX($AD$3:AD170)+1,"")</f>
        <v/>
      </c>
    </row>
    <row r="172" spans="1:30" x14ac:dyDescent="0.35">
      <c r="A172" s="1" t="str">
        <f t="shared" si="30"/>
        <v/>
      </c>
      <c r="B172" s="31"/>
      <c r="C172" s="8"/>
      <c r="D172" s="8"/>
      <c r="E172" s="8"/>
      <c r="F172" s="8"/>
      <c r="G172" s="8"/>
      <c r="H172" s="32"/>
      <c r="I172" s="32"/>
      <c r="J172" s="25" t="str">
        <f>IF(B172="","",IFERROR(VLOOKUP(C172,Soldes_Ouverture,2,FALSE()),0)+SUMIFS($S$4:S172,$C$4:C172,C172))</f>
        <v/>
      </c>
      <c r="K172" s="1" t="str">
        <f t="shared" si="31"/>
        <v/>
      </c>
      <c r="L172" s="1" t="str">
        <f t="shared" si="32"/>
        <v/>
      </c>
      <c r="M172" s="1" t="str">
        <f t="shared" si="33"/>
        <v/>
      </c>
      <c r="N172" s="8"/>
      <c r="O172" s="8"/>
      <c r="P172" s="1" t="str">
        <f t="shared" si="34"/>
        <v/>
      </c>
      <c r="Q172" s="25" t="str">
        <f t="shared" si="35"/>
        <v/>
      </c>
      <c r="R172" s="1" t="str">
        <f t="shared" si="36"/>
        <v/>
      </c>
      <c r="S172" s="33" t="str">
        <f t="shared" si="37"/>
        <v/>
      </c>
      <c r="T172" s="34" t="str">
        <f>IF(B172="","",C172&amp;"|"&amp;ROUND(S172,2)&amp;"|"&amp;COUNTIFS($C$4:C172,C172,$S$4:S172,S172))</f>
        <v/>
      </c>
      <c r="U172" s="34" t="str">
        <f t="shared" si="38"/>
        <v/>
      </c>
      <c r="V172" s="34" t="str">
        <f t="shared" si="39"/>
        <v/>
      </c>
      <c r="W172" s="34" t="str">
        <f t="shared" si="40"/>
        <v/>
      </c>
      <c r="X172" s="34">
        <f t="shared" si="41"/>
        <v>0</v>
      </c>
      <c r="Y172" s="34" t="str">
        <f t="shared" si="42"/>
        <v/>
      </c>
      <c r="Z172" s="34" t="str">
        <f>IF(X172=1,V172,IF(Y172="","",IF(COUNTIF(Y$3:Y171,Y172)=0,Y172,"")))</f>
        <v/>
      </c>
      <c r="AA172" s="34" t="b">
        <f t="shared" si="43"/>
        <v>0</v>
      </c>
      <c r="AB172" s="34">
        <f t="shared" si="44"/>
        <v>0</v>
      </c>
      <c r="AC172" s="34" t="str">
        <f>IF(AND(B172&lt;&gt;"",C172=CompteSel,N(B172)&lt;=DateArret,AB172=0),MAX($AC$3:AC171)+1,"")</f>
        <v/>
      </c>
      <c r="AD172" s="34" t="str">
        <f>IF(AND(ISNUMBER(M172),C172=CompteSel),MAX($AD$3:AD171)+1,"")</f>
        <v/>
      </c>
    </row>
    <row r="173" spans="1:30" x14ac:dyDescent="0.35">
      <c r="A173" s="1" t="str">
        <f t="shared" si="30"/>
        <v/>
      </c>
      <c r="B173" s="31"/>
      <c r="C173" s="8"/>
      <c r="D173" s="8"/>
      <c r="E173" s="8"/>
      <c r="F173" s="8"/>
      <c r="G173" s="8"/>
      <c r="H173" s="32"/>
      <c r="I173" s="32"/>
      <c r="J173" s="25" t="str">
        <f>IF(B173="","",IFERROR(VLOOKUP(C173,Soldes_Ouverture,2,FALSE()),0)+SUMIFS($S$4:S173,$C$4:C173,C173))</f>
        <v/>
      </c>
      <c r="K173" s="1" t="str">
        <f t="shared" si="31"/>
        <v/>
      </c>
      <c r="L173" s="1" t="str">
        <f t="shared" si="32"/>
        <v/>
      </c>
      <c r="M173" s="1" t="str">
        <f t="shared" si="33"/>
        <v/>
      </c>
      <c r="N173" s="8"/>
      <c r="O173" s="8"/>
      <c r="P173" s="1" t="str">
        <f t="shared" si="34"/>
        <v/>
      </c>
      <c r="Q173" s="25" t="str">
        <f t="shared" si="35"/>
        <v/>
      </c>
      <c r="R173" s="1" t="str">
        <f t="shared" si="36"/>
        <v/>
      </c>
      <c r="S173" s="33" t="str">
        <f t="shared" si="37"/>
        <v/>
      </c>
      <c r="T173" s="34" t="str">
        <f>IF(B173="","",C173&amp;"|"&amp;ROUND(S173,2)&amp;"|"&amp;COUNTIFS($C$4:C173,C173,$S$4:S173,S173))</f>
        <v/>
      </c>
      <c r="U173" s="34" t="str">
        <f t="shared" si="38"/>
        <v/>
      </c>
      <c r="V173" s="34" t="str">
        <f t="shared" si="39"/>
        <v/>
      </c>
      <c r="W173" s="34" t="str">
        <f t="shared" si="40"/>
        <v/>
      </c>
      <c r="X173" s="34">
        <f t="shared" si="41"/>
        <v>0</v>
      </c>
      <c r="Y173" s="34" t="str">
        <f t="shared" si="42"/>
        <v/>
      </c>
      <c r="Z173" s="34" t="str">
        <f>IF(X173=1,V173,IF(Y173="","",IF(COUNTIF(Y$3:Y172,Y173)=0,Y173,"")))</f>
        <v/>
      </c>
      <c r="AA173" s="34" t="b">
        <f t="shared" si="43"/>
        <v>0</v>
      </c>
      <c r="AB173" s="34">
        <f t="shared" si="44"/>
        <v>0</v>
      </c>
      <c r="AC173" s="34" t="str">
        <f>IF(AND(B173&lt;&gt;"",C173=CompteSel,N(B173)&lt;=DateArret,AB173=0),MAX($AC$3:AC172)+1,"")</f>
        <v/>
      </c>
      <c r="AD173" s="34" t="str">
        <f>IF(AND(ISNUMBER(M173),C173=CompteSel),MAX($AD$3:AD172)+1,"")</f>
        <v/>
      </c>
    </row>
    <row r="174" spans="1:30" x14ac:dyDescent="0.35">
      <c r="A174" s="1" t="str">
        <f t="shared" si="30"/>
        <v/>
      </c>
      <c r="B174" s="31"/>
      <c r="C174" s="8"/>
      <c r="D174" s="8"/>
      <c r="E174" s="8"/>
      <c r="F174" s="8"/>
      <c r="G174" s="8"/>
      <c r="H174" s="32"/>
      <c r="I174" s="32"/>
      <c r="J174" s="25" t="str">
        <f>IF(B174="","",IFERROR(VLOOKUP(C174,Soldes_Ouverture,2,FALSE()),0)+SUMIFS($S$4:S174,$C$4:C174,C174))</f>
        <v/>
      </c>
      <c r="K174" s="1" t="str">
        <f t="shared" si="31"/>
        <v/>
      </c>
      <c r="L174" s="1" t="str">
        <f t="shared" si="32"/>
        <v/>
      </c>
      <c r="M174" s="1" t="str">
        <f t="shared" si="33"/>
        <v/>
      </c>
      <c r="N174" s="8"/>
      <c r="O174" s="8"/>
      <c r="P174" s="1" t="str">
        <f t="shared" si="34"/>
        <v/>
      </c>
      <c r="Q174" s="25" t="str">
        <f t="shared" si="35"/>
        <v/>
      </c>
      <c r="R174" s="1" t="str">
        <f t="shared" si="36"/>
        <v/>
      </c>
      <c r="S174" s="33" t="str">
        <f t="shared" si="37"/>
        <v/>
      </c>
      <c r="T174" s="34" t="str">
        <f>IF(B174="","",C174&amp;"|"&amp;ROUND(S174,2)&amp;"|"&amp;COUNTIFS($C$4:C174,C174,$S$4:S174,S174))</f>
        <v/>
      </c>
      <c r="U174" s="34" t="str">
        <f t="shared" si="38"/>
        <v/>
      </c>
      <c r="V174" s="34" t="str">
        <f t="shared" si="39"/>
        <v/>
      </c>
      <c r="W174" s="34" t="str">
        <f t="shared" si="40"/>
        <v/>
      </c>
      <c r="X174" s="34">
        <f t="shared" si="41"/>
        <v>0</v>
      </c>
      <c r="Y174" s="34" t="str">
        <f t="shared" si="42"/>
        <v/>
      </c>
      <c r="Z174" s="34" t="str">
        <f>IF(X174=1,V174,IF(Y174="","",IF(COUNTIF(Y$3:Y173,Y174)=0,Y174,"")))</f>
        <v/>
      </c>
      <c r="AA174" s="34" t="b">
        <f t="shared" si="43"/>
        <v>0</v>
      </c>
      <c r="AB174" s="34">
        <f t="shared" si="44"/>
        <v>0</v>
      </c>
      <c r="AC174" s="34" t="str">
        <f>IF(AND(B174&lt;&gt;"",C174=CompteSel,N(B174)&lt;=DateArret,AB174=0),MAX($AC$3:AC173)+1,"")</f>
        <v/>
      </c>
      <c r="AD174" s="34" t="str">
        <f>IF(AND(ISNUMBER(M174),C174=CompteSel),MAX($AD$3:AD173)+1,"")</f>
        <v/>
      </c>
    </row>
    <row r="175" spans="1:30" x14ac:dyDescent="0.35">
      <c r="A175" s="1" t="str">
        <f t="shared" si="30"/>
        <v/>
      </c>
      <c r="B175" s="31"/>
      <c r="C175" s="8"/>
      <c r="D175" s="8"/>
      <c r="E175" s="8"/>
      <c r="F175" s="8"/>
      <c r="G175" s="8"/>
      <c r="H175" s="32"/>
      <c r="I175" s="32"/>
      <c r="J175" s="25" t="str">
        <f>IF(B175="","",IFERROR(VLOOKUP(C175,Soldes_Ouverture,2,FALSE()),0)+SUMIFS($S$4:S175,$C$4:C175,C175))</f>
        <v/>
      </c>
      <c r="K175" s="1" t="str">
        <f t="shared" si="31"/>
        <v/>
      </c>
      <c r="L175" s="1" t="str">
        <f t="shared" si="32"/>
        <v/>
      </c>
      <c r="M175" s="1" t="str">
        <f t="shared" si="33"/>
        <v/>
      </c>
      <c r="N175" s="8"/>
      <c r="O175" s="8"/>
      <c r="P175" s="1" t="str">
        <f t="shared" si="34"/>
        <v/>
      </c>
      <c r="Q175" s="25" t="str">
        <f t="shared" si="35"/>
        <v/>
      </c>
      <c r="R175" s="1" t="str">
        <f t="shared" si="36"/>
        <v/>
      </c>
      <c r="S175" s="33" t="str">
        <f t="shared" si="37"/>
        <v/>
      </c>
      <c r="T175" s="34" t="str">
        <f>IF(B175="","",C175&amp;"|"&amp;ROUND(S175,2)&amp;"|"&amp;COUNTIFS($C$4:C175,C175,$S$4:S175,S175))</f>
        <v/>
      </c>
      <c r="U175" s="34" t="str">
        <f t="shared" si="38"/>
        <v/>
      </c>
      <c r="V175" s="34" t="str">
        <f t="shared" si="39"/>
        <v/>
      </c>
      <c r="W175" s="34" t="str">
        <f t="shared" si="40"/>
        <v/>
      </c>
      <c r="X175" s="34">
        <f t="shared" si="41"/>
        <v>0</v>
      </c>
      <c r="Y175" s="34" t="str">
        <f t="shared" si="42"/>
        <v/>
      </c>
      <c r="Z175" s="34" t="str">
        <f>IF(X175=1,V175,IF(Y175="","",IF(COUNTIF(Y$3:Y174,Y175)=0,Y175,"")))</f>
        <v/>
      </c>
      <c r="AA175" s="34" t="b">
        <f t="shared" si="43"/>
        <v>0</v>
      </c>
      <c r="AB175" s="34">
        <f t="shared" si="44"/>
        <v>0</v>
      </c>
      <c r="AC175" s="34" t="str">
        <f>IF(AND(B175&lt;&gt;"",C175=CompteSel,N(B175)&lt;=DateArret,AB175=0),MAX($AC$3:AC174)+1,"")</f>
        <v/>
      </c>
      <c r="AD175" s="34" t="str">
        <f>IF(AND(ISNUMBER(M175),C175=CompteSel),MAX($AD$3:AD174)+1,"")</f>
        <v/>
      </c>
    </row>
    <row r="176" spans="1:30" x14ac:dyDescent="0.35">
      <c r="A176" s="1" t="str">
        <f t="shared" si="30"/>
        <v/>
      </c>
      <c r="B176" s="31"/>
      <c r="C176" s="8"/>
      <c r="D176" s="8"/>
      <c r="E176" s="8"/>
      <c r="F176" s="8"/>
      <c r="G176" s="8"/>
      <c r="H176" s="32"/>
      <c r="I176" s="32"/>
      <c r="J176" s="25" t="str">
        <f>IF(B176="","",IFERROR(VLOOKUP(C176,Soldes_Ouverture,2,FALSE()),0)+SUMIFS($S$4:S176,$C$4:C176,C176))</f>
        <v/>
      </c>
      <c r="K176" s="1" t="str">
        <f t="shared" si="31"/>
        <v/>
      </c>
      <c r="L176" s="1" t="str">
        <f t="shared" si="32"/>
        <v/>
      </c>
      <c r="M176" s="1" t="str">
        <f t="shared" si="33"/>
        <v/>
      </c>
      <c r="N176" s="8"/>
      <c r="O176" s="8"/>
      <c r="P176" s="1" t="str">
        <f t="shared" si="34"/>
        <v/>
      </c>
      <c r="Q176" s="25" t="str">
        <f t="shared" si="35"/>
        <v/>
      </c>
      <c r="R176" s="1" t="str">
        <f t="shared" si="36"/>
        <v/>
      </c>
      <c r="S176" s="33" t="str">
        <f t="shared" si="37"/>
        <v/>
      </c>
      <c r="T176" s="34" t="str">
        <f>IF(B176="","",C176&amp;"|"&amp;ROUND(S176,2)&amp;"|"&amp;COUNTIFS($C$4:C176,C176,$S$4:S176,S176))</f>
        <v/>
      </c>
      <c r="U176" s="34" t="str">
        <f t="shared" si="38"/>
        <v/>
      </c>
      <c r="V176" s="34" t="str">
        <f t="shared" si="39"/>
        <v/>
      </c>
      <c r="W176" s="34" t="str">
        <f t="shared" si="40"/>
        <v/>
      </c>
      <c r="X176" s="34">
        <f t="shared" si="41"/>
        <v>0</v>
      </c>
      <c r="Y176" s="34" t="str">
        <f t="shared" si="42"/>
        <v/>
      </c>
      <c r="Z176" s="34" t="str">
        <f>IF(X176=1,V176,IF(Y176="","",IF(COUNTIF(Y$3:Y175,Y176)=0,Y176,"")))</f>
        <v/>
      </c>
      <c r="AA176" s="34" t="b">
        <f t="shared" si="43"/>
        <v>0</v>
      </c>
      <c r="AB176" s="34">
        <f t="shared" si="44"/>
        <v>0</v>
      </c>
      <c r="AC176" s="34" t="str">
        <f>IF(AND(B176&lt;&gt;"",C176=CompteSel,N(B176)&lt;=DateArret,AB176=0),MAX($AC$3:AC175)+1,"")</f>
        <v/>
      </c>
      <c r="AD176" s="34" t="str">
        <f>IF(AND(ISNUMBER(M176),C176=CompteSel),MAX($AD$3:AD175)+1,"")</f>
        <v/>
      </c>
    </row>
    <row r="177" spans="1:30" x14ac:dyDescent="0.35">
      <c r="A177" s="1" t="str">
        <f t="shared" si="30"/>
        <v/>
      </c>
      <c r="B177" s="31"/>
      <c r="C177" s="8"/>
      <c r="D177" s="8"/>
      <c r="E177" s="8"/>
      <c r="F177" s="8"/>
      <c r="G177" s="8"/>
      <c r="H177" s="32"/>
      <c r="I177" s="32"/>
      <c r="J177" s="25" t="str">
        <f>IF(B177="","",IFERROR(VLOOKUP(C177,Soldes_Ouverture,2,FALSE()),0)+SUMIFS($S$4:S177,$C$4:C177,C177))</f>
        <v/>
      </c>
      <c r="K177" s="1" t="str">
        <f t="shared" si="31"/>
        <v/>
      </c>
      <c r="L177" s="1" t="str">
        <f t="shared" si="32"/>
        <v/>
      </c>
      <c r="M177" s="1" t="str">
        <f t="shared" si="33"/>
        <v/>
      </c>
      <c r="N177" s="8"/>
      <c r="O177" s="8"/>
      <c r="P177" s="1" t="str">
        <f t="shared" si="34"/>
        <v/>
      </c>
      <c r="Q177" s="25" t="str">
        <f t="shared" si="35"/>
        <v/>
      </c>
      <c r="R177" s="1" t="str">
        <f t="shared" si="36"/>
        <v/>
      </c>
      <c r="S177" s="33" t="str">
        <f t="shared" si="37"/>
        <v/>
      </c>
      <c r="T177" s="34" t="str">
        <f>IF(B177="","",C177&amp;"|"&amp;ROUND(S177,2)&amp;"|"&amp;COUNTIFS($C$4:C177,C177,$S$4:S177,S177))</f>
        <v/>
      </c>
      <c r="U177" s="34" t="str">
        <f t="shared" si="38"/>
        <v/>
      </c>
      <c r="V177" s="34" t="str">
        <f t="shared" si="39"/>
        <v/>
      </c>
      <c r="W177" s="34" t="str">
        <f t="shared" si="40"/>
        <v/>
      </c>
      <c r="X177" s="34">
        <f t="shared" si="41"/>
        <v>0</v>
      </c>
      <c r="Y177" s="34" t="str">
        <f t="shared" si="42"/>
        <v/>
      </c>
      <c r="Z177" s="34" t="str">
        <f>IF(X177=1,V177,IF(Y177="","",IF(COUNTIF(Y$3:Y176,Y177)=0,Y177,"")))</f>
        <v/>
      </c>
      <c r="AA177" s="34" t="b">
        <f t="shared" si="43"/>
        <v>0</v>
      </c>
      <c r="AB177" s="34">
        <f t="shared" si="44"/>
        <v>0</v>
      </c>
      <c r="AC177" s="34" t="str">
        <f>IF(AND(B177&lt;&gt;"",C177=CompteSel,N(B177)&lt;=DateArret,AB177=0),MAX($AC$3:AC176)+1,"")</f>
        <v/>
      </c>
      <c r="AD177" s="34" t="str">
        <f>IF(AND(ISNUMBER(M177),C177=CompteSel),MAX($AD$3:AD176)+1,"")</f>
        <v/>
      </c>
    </row>
    <row r="178" spans="1:30" x14ac:dyDescent="0.35">
      <c r="A178" s="1" t="str">
        <f t="shared" si="30"/>
        <v/>
      </c>
      <c r="B178" s="31"/>
      <c r="C178" s="8"/>
      <c r="D178" s="8"/>
      <c r="E178" s="8"/>
      <c r="F178" s="8"/>
      <c r="G178" s="8"/>
      <c r="H178" s="32"/>
      <c r="I178" s="32"/>
      <c r="J178" s="25" t="str">
        <f>IF(B178="","",IFERROR(VLOOKUP(C178,Soldes_Ouverture,2,FALSE()),0)+SUMIFS($S$4:S178,$C$4:C178,C178))</f>
        <v/>
      </c>
      <c r="K178" s="1" t="str">
        <f t="shared" si="31"/>
        <v/>
      </c>
      <c r="L178" s="1" t="str">
        <f t="shared" si="32"/>
        <v/>
      </c>
      <c r="M178" s="1" t="str">
        <f t="shared" si="33"/>
        <v/>
      </c>
      <c r="N178" s="8"/>
      <c r="O178" s="8"/>
      <c r="P178" s="1" t="str">
        <f t="shared" si="34"/>
        <v/>
      </c>
      <c r="Q178" s="25" t="str">
        <f t="shared" si="35"/>
        <v/>
      </c>
      <c r="R178" s="1" t="str">
        <f t="shared" si="36"/>
        <v/>
      </c>
      <c r="S178" s="33" t="str">
        <f t="shared" si="37"/>
        <v/>
      </c>
      <c r="T178" s="34" t="str">
        <f>IF(B178="","",C178&amp;"|"&amp;ROUND(S178,2)&amp;"|"&amp;COUNTIFS($C$4:C178,C178,$S$4:S178,S178))</f>
        <v/>
      </c>
      <c r="U178" s="34" t="str">
        <f t="shared" si="38"/>
        <v/>
      </c>
      <c r="V178" s="34" t="str">
        <f t="shared" si="39"/>
        <v/>
      </c>
      <c r="W178" s="34" t="str">
        <f t="shared" si="40"/>
        <v/>
      </c>
      <c r="X178" s="34">
        <f t="shared" si="41"/>
        <v>0</v>
      </c>
      <c r="Y178" s="34" t="str">
        <f t="shared" si="42"/>
        <v/>
      </c>
      <c r="Z178" s="34" t="str">
        <f>IF(X178=1,V178,IF(Y178="","",IF(COUNTIF(Y$3:Y177,Y178)=0,Y178,"")))</f>
        <v/>
      </c>
      <c r="AA178" s="34" t="b">
        <f t="shared" si="43"/>
        <v>0</v>
      </c>
      <c r="AB178" s="34">
        <f t="shared" si="44"/>
        <v>0</v>
      </c>
      <c r="AC178" s="34" t="str">
        <f>IF(AND(B178&lt;&gt;"",C178=CompteSel,N(B178)&lt;=DateArret,AB178=0),MAX($AC$3:AC177)+1,"")</f>
        <v/>
      </c>
      <c r="AD178" s="34" t="str">
        <f>IF(AND(ISNUMBER(M178),C178=CompteSel),MAX($AD$3:AD177)+1,"")</f>
        <v/>
      </c>
    </row>
    <row r="179" spans="1:30" x14ac:dyDescent="0.35">
      <c r="A179" s="1" t="str">
        <f t="shared" si="30"/>
        <v/>
      </c>
      <c r="B179" s="31"/>
      <c r="C179" s="8"/>
      <c r="D179" s="8"/>
      <c r="E179" s="8"/>
      <c r="F179" s="8"/>
      <c r="G179" s="8"/>
      <c r="H179" s="32"/>
      <c r="I179" s="32"/>
      <c r="J179" s="25" t="str">
        <f>IF(B179="","",IFERROR(VLOOKUP(C179,Soldes_Ouverture,2,FALSE()),0)+SUMIFS($S$4:S179,$C$4:C179,C179))</f>
        <v/>
      </c>
      <c r="K179" s="1" t="str">
        <f t="shared" si="31"/>
        <v/>
      </c>
      <c r="L179" s="1" t="str">
        <f t="shared" si="32"/>
        <v/>
      </c>
      <c r="M179" s="1" t="str">
        <f t="shared" si="33"/>
        <v/>
      </c>
      <c r="N179" s="8"/>
      <c r="O179" s="8"/>
      <c r="P179" s="1" t="str">
        <f t="shared" si="34"/>
        <v/>
      </c>
      <c r="Q179" s="25" t="str">
        <f t="shared" si="35"/>
        <v/>
      </c>
      <c r="R179" s="1" t="str">
        <f t="shared" si="36"/>
        <v/>
      </c>
      <c r="S179" s="33" t="str">
        <f t="shared" si="37"/>
        <v/>
      </c>
      <c r="T179" s="34" t="str">
        <f>IF(B179="","",C179&amp;"|"&amp;ROUND(S179,2)&amp;"|"&amp;COUNTIFS($C$4:C179,C179,$S$4:S179,S179))</f>
        <v/>
      </c>
      <c r="U179" s="34" t="str">
        <f t="shared" si="38"/>
        <v/>
      </c>
      <c r="V179" s="34" t="str">
        <f t="shared" si="39"/>
        <v/>
      </c>
      <c r="W179" s="34" t="str">
        <f t="shared" si="40"/>
        <v/>
      </c>
      <c r="X179" s="34">
        <f t="shared" si="41"/>
        <v>0</v>
      </c>
      <c r="Y179" s="34" t="str">
        <f t="shared" si="42"/>
        <v/>
      </c>
      <c r="Z179" s="34" t="str">
        <f>IF(X179=1,V179,IF(Y179="","",IF(COUNTIF(Y$3:Y178,Y179)=0,Y179,"")))</f>
        <v/>
      </c>
      <c r="AA179" s="34" t="b">
        <f t="shared" si="43"/>
        <v>0</v>
      </c>
      <c r="AB179" s="34">
        <f t="shared" si="44"/>
        <v>0</v>
      </c>
      <c r="AC179" s="34" t="str">
        <f>IF(AND(B179&lt;&gt;"",C179=CompteSel,N(B179)&lt;=DateArret,AB179=0),MAX($AC$3:AC178)+1,"")</f>
        <v/>
      </c>
      <c r="AD179" s="34" t="str">
        <f>IF(AND(ISNUMBER(M179),C179=CompteSel),MAX($AD$3:AD178)+1,"")</f>
        <v/>
      </c>
    </row>
    <row r="180" spans="1:30" x14ac:dyDescent="0.35">
      <c r="A180" s="1" t="str">
        <f t="shared" si="30"/>
        <v/>
      </c>
      <c r="B180" s="31"/>
      <c r="C180" s="8"/>
      <c r="D180" s="8"/>
      <c r="E180" s="8"/>
      <c r="F180" s="8"/>
      <c r="G180" s="8"/>
      <c r="H180" s="32"/>
      <c r="I180" s="32"/>
      <c r="J180" s="25" t="str">
        <f>IF(B180="","",IFERROR(VLOOKUP(C180,Soldes_Ouverture,2,FALSE()),0)+SUMIFS($S$4:S180,$C$4:C180,C180))</f>
        <v/>
      </c>
      <c r="K180" s="1" t="str">
        <f t="shared" si="31"/>
        <v/>
      </c>
      <c r="L180" s="1" t="str">
        <f t="shared" si="32"/>
        <v/>
      </c>
      <c r="M180" s="1" t="str">
        <f t="shared" si="33"/>
        <v/>
      </c>
      <c r="N180" s="8"/>
      <c r="O180" s="8"/>
      <c r="P180" s="1" t="str">
        <f t="shared" si="34"/>
        <v/>
      </c>
      <c r="Q180" s="25" t="str">
        <f t="shared" si="35"/>
        <v/>
      </c>
      <c r="R180" s="1" t="str">
        <f t="shared" si="36"/>
        <v/>
      </c>
      <c r="S180" s="33" t="str">
        <f t="shared" si="37"/>
        <v/>
      </c>
      <c r="T180" s="34" t="str">
        <f>IF(B180="","",C180&amp;"|"&amp;ROUND(S180,2)&amp;"|"&amp;COUNTIFS($C$4:C180,C180,$S$4:S180,S180))</f>
        <v/>
      </c>
      <c r="U180" s="34" t="str">
        <f t="shared" si="38"/>
        <v/>
      </c>
      <c r="V180" s="34" t="str">
        <f t="shared" si="39"/>
        <v/>
      </c>
      <c r="W180" s="34" t="str">
        <f t="shared" si="40"/>
        <v/>
      </c>
      <c r="X180" s="34">
        <f t="shared" si="41"/>
        <v>0</v>
      </c>
      <c r="Y180" s="34" t="str">
        <f t="shared" si="42"/>
        <v/>
      </c>
      <c r="Z180" s="34" t="str">
        <f>IF(X180=1,V180,IF(Y180="","",IF(COUNTIF(Y$3:Y179,Y180)=0,Y180,"")))</f>
        <v/>
      </c>
      <c r="AA180" s="34" t="b">
        <f t="shared" si="43"/>
        <v>0</v>
      </c>
      <c r="AB180" s="34">
        <f t="shared" si="44"/>
        <v>0</v>
      </c>
      <c r="AC180" s="34" t="str">
        <f>IF(AND(B180&lt;&gt;"",C180=CompteSel,N(B180)&lt;=DateArret,AB180=0),MAX($AC$3:AC179)+1,"")</f>
        <v/>
      </c>
      <c r="AD180" s="34" t="str">
        <f>IF(AND(ISNUMBER(M180),C180=CompteSel),MAX($AD$3:AD179)+1,"")</f>
        <v/>
      </c>
    </row>
    <row r="181" spans="1:30" x14ac:dyDescent="0.35">
      <c r="A181" s="1" t="str">
        <f t="shared" si="30"/>
        <v/>
      </c>
      <c r="B181" s="31"/>
      <c r="C181" s="8"/>
      <c r="D181" s="8"/>
      <c r="E181" s="8"/>
      <c r="F181" s="8"/>
      <c r="G181" s="8"/>
      <c r="H181" s="32"/>
      <c r="I181" s="32"/>
      <c r="J181" s="25" t="str">
        <f>IF(B181="","",IFERROR(VLOOKUP(C181,Soldes_Ouverture,2,FALSE()),0)+SUMIFS($S$4:S181,$C$4:C181,C181))</f>
        <v/>
      </c>
      <c r="K181" s="1" t="str">
        <f t="shared" si="31"/>
        <v/>
      </c>
      <c r="L181" s="1" t="str">
        <f t="shared" si="32"/>
        <v/>
      </c>
      <c r="M181" s="1" t="str">
        <f t="shared" si="33"/>
        <v/>
      </c>
      <c r="N181" s="8"/>
      <c r="O181" s="8"/>
      <c r="P181" s="1" t="str">
        <f t="shared" si="34"/>
        <v/>
      </c>
      <c r="Q181" s="25" t="str">
        <f t="shared" si="35"/>
        <v/>
      </c>
      <c r="R181" s="1" t="str">
        <f t="shared" si="36"/>
        <v/>
      </c>
      <c r="S181" s="33" t="str">
        <f t="shared" si="37"/>
        <v/>
      </c>
      <c r="T181" s="34" t="str">
        <f>IF(B181="","",C181&amp;"|"&amp;ROUND(S181,2)&amp;"|"&amp;COUNTIFS($C$4:C181,C181,$S$4:S181,S181))</f>
        <v/>
      </c>
      <c r="U181" s="34" t="str">
        <f t="shared" si="38"/>
        <v/>
      </c>
      <c r="V181" s="34" t="str">
        <f t="shared" si="39"/>
        <v/>
      </c>
      <c r="W181" s="34" t="str">
        <f t="shared" si="40"/>
        <v/>
      </c>
      <c r="X181" s="34">
        <f t="shared" si="41"/>
        <v>0</v>
      </c>
      <c r="Y181" s="34" t="str">
        <f t="shared" si="42"/>
        <v/>
      </c>
      <c r="Z181" s="34" t="str">
        <f>IF(X181=1,V181,IF(Y181="","",IF(COUNTIF(Y$3:Y180,Y181)=0,Y181,"")))</f>
        <v/>
      </c>
      <c r="AA181" s="34" t="b">
        <f t="shared" si="43"/>
        <v>0</v>
      </c>
      <c r="AB181" s="34">
        <f t="shared" si="44"/>
        <v>0</v>
      </c>
      <c r="AC181" s="34" t="str">
        <f>IF(AND(B181&lt;&gt;"",C181=CompteSel,N(B181)&lt;=DateArret,AB181=0),MAX($AC$3:AC180)+1,"")</f>
        <v/>
      </c>
      <c r="AD181" s="34" t="str">
        <f>IF(AND(ISNUMBER(M181),C181=CompteSel),MAX($AD$3:AD180)+1,"")</f>
        <v/>
      </c>
    </row>
    <row r="182" spans="1:30" x14ac:dyDescent="0.35">
      <c r="A182" s="1" t="str">
        <f t="shared" si="30"/>
        <v/>
      </c>
      <c r="B182" s="31"/>
      <c r="C182" s="8"/>
      <c r="D182" s="8"/>
      <c r="E182" s="8"/>
      <c r="F182" s="8"/>
      <c r="G182" s="8"/>
      <c r="H182" s="32"/>
      <c r="I182" s="32"/>
      <c r="J182" s="25" t="str">
        <f>IF(B182="","",IFERROR(VLOOKUP(C182,Soldes_Ouverture,2,FALSE()),0)+SUMIFS($S$4:S182,$C$4:C182,C182))</f>
        <v/>
      </c>
      <c r="K182" s="1" t="str">
        <f t="shared" si="31"/>
        <v/>
      </c>
      <c r="L182" s="1" t="str">
        <f t="shared" si="32"/>
        <v/>
      </c>
      <c r="M182" s="1" t="str">
        <f t="shared" si="33"/>
        <v/>
      </c>
      <c r="N182" s="8"/>
      <c r="O182" s="8"/>
      <c r="P182" s="1" t="str">
        <f t="shared" si="34"/>
        <v/>
      </c>
      <c r="Q182" s="25" t="str">
        <f t="shared" si="35"/>
        <v/>
      </c>
      <c r="R182" s="1" t="str">
        <f t="shared" si="36"/>
        <v/>
      </c>
      <c r="S182" s="33" t="str">
        <f t="shared" si="37"/>
        <v/>
      </c>
      <c r="T182" s="34" t="str">
        <f>IF(B182="","",C182&amp;"|"&amp;ROUND(S182,2)&amp;"|"&amp;COUNTIFS($C$4:C182,C182,$S$4:S182,S182))</f>
        <v/>
      </c>
      <c r="U182" s="34" t="str">
        <f t="shared" si="38"/>
        <v/>
      </c>
      <c r="V182" s="34" t="str">
        <f t="shared" si="39"/>
        <v/>
      </c>
      <c r="W182" s="34" t="str">
        <f t="shared" si="40"/>
        <v/>
      </c>
      <c r="X182" s="34">
        <f t="shared" si="41"/>
        <v>0</v>
      </c>
      <c r="Y182" s="34" t="str">
        <f t="shared" si="42"/>
        <v/>
      </c>
      <c r="Z182" s="34" t="str">
        <f>IF(X182=1,V182,IF(Y182="","",IF(COUNTIF(Y$3:Y181,Y182)=0,Y182,"")))</f>
        <v/>
      </c>
      <c r="AA182" s="34" t="b">
        <f t="shared" si="43"/>
        <v>0</v>
      </c>
      <c r="AB182" s="34">
        <f t="shared" si="44"/>
        <v>0</v>
      </c>
      <c r="AC182" s="34" t="str">
        <f>IF(AND(B182&lt;&gt;"",C182=CompteSel,N(B182)&lt;=DateArret,AB182=0),MAX($AC$3:AC181)+1,"")</f>
        <v/>
      </c>
      <c r="AD182" s="34" t="str">
        <f>IF(AND(ISNUMBER(M182),C182=CompteSel),MAX($AD$3:AD181)+1,"")</f>
        <v/>
      </c>
    </row>
    <row r="183" spans="1:30" x14ac:dyDescent="0.35">
      <c r="A183" s="1" t="str">
        <f t="shared" si="30"/>
        <v/>
      </c>
      <c r="B183" s="31"/>
      <c r="C183" s="8"/>
      <c r="D183" s="8"/>
      <c r="E183" s="8"/>
      <c r="F183" s="8"/>
      <c r="G183" s="8"/>
      <c r="H183" s="32"/>
      <c r="I183" s="32"/>
      <c r="J183" s="25" t="str">
        <f>IF(B183="","",IFERROR(VLOOKUP(C183,Soldes_Ouverture,2,FALSE()),0)+SUMIFS($S$4:S183,$C$4:C183,C183))</f>
        <v/>
      </c>
      <c r="K183" s="1" t="str">
        <f t="shared" si="31"/>
        <v/>
      </c>
      <c r="L183" s="1" t="str">
        <f t="shared" si="32"/>
        <v/>
      </c>
      <c r="M183" s="1" t="str">
        <f t="shared" si="33"/>
        <v/>
      </c>
      <c r="N183" s="8"/>
      <c r="O183" s="8"/>
      <c r="P183" s="1" t="str">
        <f t="shared" si="34"/>
        <v/>
      </c>
      <c r="Q183" s="25" t="str">
        <f t="shared" si="35"/>
        <v/>
      </c>
      <c r="R183" s="1" t="str">
        <f t="shared" si="36"/>
        <v/>
      </c>
      <c r="S183" s="33" t="str">
        <f t="shared" si="37"/>
        <v/>
      </c>
      <c r="T183" s="34" t="str">
        <f>IF(B183="","",C183&amp;"|"&amp;ROUND(S183,2)&amp;"|"&amp;COUNTIFS($C$4:C183,C183,$S$4:S183,S183))</f>
        <v/>
      </c>
      <c r="U183" s="34" t="str">
        <f t="shared" si="38"/>
        <v/>
      </c>
      <c r="V183" s="34" t="str">
        <f t="shared" si="39"/>
        <v/>
      </c>
      <c r="W183" s="34" t="str">
        <f t="shared" si="40"/>
        <v/>
      </c>
      <c r="X183" s="34">
        <f t="shared" si="41"/>
        <v>0</v>
      </c>
      <c r="Y183" s="34" t="str">
        <f t="shared" si="42"/>
        <v/>
      </c>
      <c r="Z183" s="34" t="str">
        <f>IF(X183=1,V183,IF(Y183="","",IF(COUNTIF(Y$3:Y182,Y183)=0,Y183,"")))</f>
        <v/>
      </c>
      <c r="AA183" s="34" t="b">
        <f t="shared" si="43"/>
        <v>0</v>
      </c>
      <c r="AB183" s="34">
        <f t="shared" si="44"/>
        <v>0</v>
      </c>
      <c r="AC183" s="34" t="str">
        <f>IF(AND(B183&lt;&gt;"",C183=CompteSel,N(B183)&lt;=DateArret,AB183=0),MAX($AC$3:AC182)+1,"")</f>
        <v/>
      </c>
      <c r="AD183" s="34" t="str">
        <f>IF(AND(ISNUMBER(M183),C183=CompteSel),MAX($AD$3:AD182)+1,"")</f>
        <v/>
      </c>
    </row>
    <row r="184" spans="1:30" x14ac:dyDescent="0.35">
      <c r="A184" s="1" t="str">
        <f t="shared" si="30"/>
        <v/>
      </c>
      <c r="B184" s="31"/>
      <c r="C184" s="8"/>
      <c r="D184" s="8"/>
      <c r="E184" s="8"/>
      <c r="F184" s="8"/>
      <c r="G184" s="8"/>
      <c r="H184" s="32"/>
      <c r="I184" s="32"/>
      <c r="J184" s="25" t="str">
        <f>IF(B184="","",IFERROR(VLOOKUP(C184,Soldes_Ouverture,2,FALSE()),0)+SUMIFS($S$4:S184,$C$4:C184,C184))</f>
        <v/>
      </c>
      <c r="K184" s="1" t="str">
        <f t="shared" si="31"/>
        <v/>
      </c>
      <c r="L184" s="1" t="str">
        <f t="shared" si="32"/>
        <v/>
      </c>
      <c r="M184" s="1" t="str">
        <f t="shared" si="33"/>
        <v/>
      </c>
      <c r="N184" s="8"/>
      <c r="O184" s="8"/>
      <c r="P184" s="1" t="str">
        <f t="shared" si="34"/>
        <v/>
      </c>
      <c r="Q184" s="25" t="str">
        <f t="shared" si="35"/>
        <v/>
      </c>
      <c r="R184" s="1" t="str">
        <f t="shared" si="36"/>
        <v/>
      </c>
      <c r="S184" s="33" t="str">
        <f t="shared" si="37"/>
        <v/>
      </c>
      <c r="T184" s="34" t="str">
        <f>IF(B184="","",C184&amp;"|"&amp;ROUND(S184,2)&amp;"|"&amp;COUNTIFS($C$4:C184,C184,$S$4:S184,S184))</f>
        <v/>
      </c>
      <c r="U184" s="34" t="str">
        <f t="shared" si="38"/>
        <v/>
      </c>
      <c r="V184" s="34" t="str">
        <f t="shared" si="39"/>
        <v/>
      </c>
      <c r="W184" s="34" t="str">
        <f t="shared" si="40"/>
        <v/>
      </c>
      <c r="X184" s="34">
        <f t="shared" si="41"/>
        <v>0</v>
      </c>
      <c r="Y184" s="34" t="str">
        <f t="shared" si="42"/>
        <v/>
      </c>
      <c r="Z184" s="34" t="str">
        <f>IF(X184=1,V184,IF(Y184="","",IF(COUNTIF(Y$3:Y183,Y184)=0,Y184,"")))</f>
        <v/>
      </c>
      <c r="AA184" s="34" t="b">
        <f t="shared" si="43"/>
        <v>0</v>
      </c>
      <c r="AB184" s="34">
        <f t="shared" si="44"/>
        <v>0</v>
      </c>
      <c r="AC184" s="34" t="str">
        <f>IF(AND(B184&lt;&gt;"",C184=CompteSel,N(B184)&lt;=DateArret,AB184=0),MAX($AC$3:AC183)+1,"")</f>
        <v/>
      </c>
      <c r="AD184" s="34" t="str">
        <f>IF(AND(ISNUMBER(M184),C184=CompteSel),MAX($AD$3:AD183)+1,"")</f>
        <v/>
      </c>
    </row>
    <row r="185" spans="1:30" x14ac:dyDescent="0.35">
      <c r="A185" s="1" t="str">
        <f t="shared" si="30"/>
        <v/>
      </c>
      <c r="B185" s="31"/>
      <c r="C185" s="8"/>
      <c r="D185" s="8"/>
      <c r="E185" s="8"/>
      <c r="F185" s="8"/>
      <c r="G185" s="8"/>
      <c r="H185" s="32"/>
      <c r="I185" s="32"/>
      <c r="J185" s="25" t="str">
        <f>IF(B185="","",IFERROR(VLOOKUP(C185,Soldes_Ouverture,2,FALSE()),0)+SUMIFS($S$4:S185,$C$4:C185,C185))</f>
        <v/>
      </c>
      <c r="K185" s="1" t="str">
        <f t="shared" si="31"/>
        <v/>
      </c>
      <c r="L185" s="1" t="str">
        <f t="shared" si="32"/>
        <v/>
      </c>
      <c r="M185" s="1" t="str">
        <f t="shared" si="33"/>
        <v/>
      </c>
      <c r="N185" s="8"/>
      <c r="O185" s="8"/>
      <c r="P185" s="1" t="str">
        <f t="shared" si="34"/>
        <v/>
      </c>
      <c r="Q185" s="25" t="str">
        <f t="shared" si="35"/>
        <v/>
      </c>
      <c r="R185" s="1" t="str">
        <f t="shared" si="36"/>
        <v/>
      </c>
      <c r="S185" s="33" t="str">
        <f t="shared" si="37"/>
        <v/>
      </c>
      <c r="T185" s="34" t="str">
        <f>IF(B185="","",C185&amp;"|"&amp;ROUND(S185,2)&amp;"|"&amp;COUNTIFS($C$4:C185,C185,$S$4:S185,S185))</f>
        <v/>
      </c>
      <c r="U185" s="34" t="str">
        <f t="shared" si="38"/>
        <v/>
      </c>
      <c r="V185" s="34" t="str">
        <f t="shared" si="39"/>
        <v/>
      </c>
      <c r="W185" s="34" t="str">
        <f t="shared" si="40"/>
        <v/>
      </c>
      <c r="X185" s="34">
        <f t="shared" si="41"/>
        <v>0</v>
      </c>
      <c r="Y185" s="34" t="str">
        <f t="shared" si="42"/>
        <v/>
      </c>
      <c r="Z185" s="34" t="str">
        <f>IF(X185=1,V185,IF(Y185="","",IF(COUNTIF(Y$3:Y184,Y185)=0,Y185,"")))</f>
        <v/>
      </c>
      <c r="AA185" s="34" t="b">
        <f t="shared" si="43"/>
        <v>0</v>
      </c>
      <c r="AB185" s="34">
        <f t="shared" si="44"/>
        <v>0</v>
      </c>
      <c r="AC185" s="34" t="str">
        <f>IF(AND(B185&lt;&gt;"",C185=CompteSel,N(B185)&lt;=DateArret,AB185=0),MAX($AC$3:AC184)+1,"")</f>
        <v/>
      </c>
      <c r="AD185" s="34" t="str">
        <f>IF(AND(ISNUMBER(M185),C185=CompteSel),MAX($AD$3:AD184)+1,"")</f>
        <v/>
      </c>
    </row>
    <row r="186" spans="1:30" x14ac:dyDescent="0.35">
      <c r="A186" s="1" t="str">
        <f t="shared" si="30"/>
        <v/>
      </c>
      <c r="B186" s="31"/>
      <c r="C186" s="8"/>
      <c r="D186" s="8"/>
      <c r="E186" s="8"/>
      <c r="F186" s="8"/>
      <c r="G186" s="8"/>
      <c r="H186" s="32"/>
      <c r="I186" s="32"/>
      <c r="J186" s="25" t="str">
        <f>IF(B186="","",IFERROR(VLOOKUP(C186,Soldes_Ouverture,2,FALSE()),0)+SUMIFS($S$4:S186,$C$4:C186,C186))</f>
        <v/>
      </c>
      <c r="K186" s="1" t="str">
        <f t="shared" si="31"/>
        <v/>
      </c>
      <c r="L186" s="1" t="str">
        <f t="shared" si="32"/>
        <v/>
      </c>
      <c r="M186" s="1" t="str">
        <f t="shared" si="33"/>
        <v/>
      </c>
      <c r="N186" s="8"/>
      <c r="O186" s="8"/>
      <c r="P186" s="1" t="str">
        <f t="shared" si="34"/>
        <v/>
      </c>
      <c r="Q186" s="25" t="str">
        <f t="shared" si="35"/>
        <v/>
      </c>
      <c r="R186" s="1" t="str">
        <f t="shared" si="36"/>
        <v/>
      </c>
      <c r="S186" s="33" t="str">
        <f t="shared" si="37"/>
        <v/>
      </c>
      <c r="T186" s="34" t="str">
        <f>IF(B186="","",C186&amp;"|"&amp;ROUND(S186,2)&amp;"|"&amp;COUNTIFS($C$4:C186,C186,$S$4:S186,S186))</f>
        <v/>
      </c>
      <c r="U186" s="34" t="str">
        <f t="shared" si="38"/>
        <v/>
      </c>
      <c r="V186" s="34" t="str">
        <f t="shared" si="39"/>
        <v/>
      </c>
      <c r="W186" s="34" t="str">
        <f t="shared" si="40"/>
        <v/>
      </c>
      <c r="X186" s="34">
        <f t="shared" si="41"/>
        <v>0</v>
      </c>
      <c r="Y186" s="34" t="str">
        <f t="shared" si="42"/>
        <v/>
      </c>
      <c r="Z186" s="34" t="str">
        <f>IF(X186=1,V186,IF(Y186="","",IF(COUNTIF(Y$3:Y185,Y186)=0,Y186,"")))</f>
        <v/>
      </c>
      <c r="AA186" s="34" t="b">
        <f t="shared" si="43"/>
        <v>0</v>
      </c>
      <c r="AB186" s="34">
        <f t="shared" si="44"/>
        <v>0</v>
      </c>
      <c r="AC186" s="34" t="str">
        <f>IF(AND(B186&lt;&gt;"",C186=CompteSel,N(B186)&lt;=DateArret,AB186=0),MAX($AC$3:AC185)+1,"")</f>
        <v/>
      </c>
      <c r="AD186" s="34" t="str">
        <f>IF(AND(ISNUMBER(M186),C186=CompteSel),MAX($AD$3:AD185)+1,"")</f>
        <v/>
      </c>
    </row>
    <row r="187" spans="1:30" x14ac:dyDescent="0.35">
      <c r="A187" s="1" t="str">
        <f t="shared" si="30"/>
        <v/>
      </c>
      <c r="B187" s="31"/>
      <c r="C187" s="8"/>
      <c r="D187" s="8"/>
      <c r="E187" s="8"/>
      <c r="F187" s="8"/>
      <c r="G187" s="8"/>
      <c r="H187" s="32"/>
      <c r="I187" s="32"/>
      <c r="J187" s="25" t="str">
        <f>IF(B187="","",IFERROR(VLOOKUP(C187,Soldes_Ouverture,2,FALSE()),0)+SUMIFS($S$4:S187,$C$4:C187,C187))</f>
        <v/>
      </c>
      <c r="K187" s="1" t="str">
        <f t="shared" si="31"/>
        <v/>
      </c>
      <c r="L187" s="1" t="str">
        <f t="shared" si="32"/>
        <v/>
      </c>
      <c r="M187" s="1" t="str">
        <f t="shared" si="33"/>
        <v/>
      </c>
      <c r="N187" s="8"/>
      <c r="O187" s="8"/>
      <c r="P187" s="1" t="str">
        <f t="shared" si="34"/>
        <v/>
      </c>
      <c r="Q187" s="25" t="str">
        <f t="shared" si="35"/>
        <v/>
      </c>
      <c r="R187" s="1" t="str">
        <f t="shared" si="36"/>
        <v/>
      </c>
      <c r="S187" s="33" t="str">
        <f t="shared" si="37"/>
        <v/>
      </c>
      <c r="T187" s="34" t="str">
        <f>IF(B187="","",C187&amp;"|"&amp;ROUND(S187,2)&amp;"|"&amp;COUNTIFS($C$4:C187,C187,$S$4:S187,S187))</f>
        <v/>
      </c>
      <c r="U187" s="34" t="str">
        <f t="shared" si="38"/>
        <v/>
      </c>
      <c r="V187" s="34" t="str">
        <f t="shared" si="39"/>
        <v/>
      </c>
      <c r="W187" s="34" t="str">
        <f t="shared" si="40"/>
        <v/>
      </c>
      <c r="X187" s="34">
        <f t="shared" si="41"/>
        <v>0</v>
      </c>
      <c r="Y187" s="34" t="str">
        <f t="shared" si="42"/>
        <v/>
      </c>
      <c r="Z187" s="34" t="str">
        <f>IF(X187=1,V187,IF(Y187="","",IF(COUNTIF(Y$3:Y186,Y187)=0,Y187,"")))</f>
        <v/>
      </c>
      <c r="AA187" s="34" t="b">
        <f t="shared" si="43"/>
        <v>0</v>
      </c>
      <c r="AB187" s="34">
        <f t="shared" si="44"/>
        <v>0</v>
      </c>
      <c r="AC187" s="34" t="str">
        <f>IF(AND(B187&lt;&gt;"",C187=CompteSel,N(B187)&lt;=DateArret,AB187=0),MAX($AC$3:AC186)+1,"")</f>
        <v/>
      </c>
      <c r="AD187" s="34" t="str">
        <f>IF(AND(ISNUMBER(M187),C187=CompteSel),MAX($AD$3:AD186)+1,"")</f>
        <v/>
      </c>
    </row>
    <row r="188" spans="1:30" x14ac:dyDescent="0.35">
      <c r="A188" s="1" t="str">
        <f t="shared" si="30"/>
        <v/>
      </c>
      <c r="B188" s="31"/>
      <c r="C188" s="8"/>
      <c r="D188" s="8"/>
      <c r="E188" s="8"/>
      <c r="F188" s="8"/>
      <c r="G188" s="8"/>
      <c r="H188" s="32"/>
      <c r="I188" s="32"/>
      <c r="J188" s="25" t="str">
        <f>IF(B188="","",IFERROR(VLOOKUP(C188,Soldes_Ouverture,2,FALSE()),0)+SUMIFS($S$4:S188,$C$4:C188,C188))</f>
        <v/>
      </c>
      <c r="K188" s="1" t="str">
        <f t="shared" si="31"/>
        <v/>
      </c>
      <c r="L188" s="1" t="str">
        <f t="shared" si="32"/>
        <v/>
      </c>
      <c r="M188" s="1" t="str">
        <f t="shared" si="33"/>
        <v/>
      </c>
      <c r="N188" s="8"/>
      <c r="O188" s="8"/>
      <c r="P188" s="1" t="str">
        <f t="shared" si="34"/>
        <v/>
      </c>
      <c r="Q188" s="25" t="str">
        <f t="shared" si="35"/>
        <v/>
      </c>
      <c r="R188" s="1" t="str">
        <f t="shared" si="36"/>
        <v/>
      </c>
      <c r="S188" s="33" t="str">
        <f t="shared" si="37"/>
        <v/>
      </c>
      <c r="T188" s="34" t="str">
        <f>IF(B188="","",C188&amp;"|"&amp;ROUND(S188,2)&amp;"|"&amp;COUNTIFS($C$4:C188,C188,$S$4:S188,S188))</f>
        <v/>
      </c>
      <c r="U188" s="34" t="str">
        <f t="shared" si="38"/>
        <v/>
      </c>
      <c r="V188" s="34" t="str">
        <f t="shared" si="39"/>
        <v/>
      </c>
      <c r="W188" s="34" t="str">
        <f t="shared" si="40"/>
        <v/>
      </c>
      <c r="X188" s="34">
        <f t="shared" si="41"/>
        <v>0</v>
      </c>
      <c r="Y188" s="34" t="str">
        <f t="shared" si="42"/>
        <v/>
      </c>
      <c r="Z188" s="34" t="str">
        <f>IF(X188=1,V188,IF(Y188="","",IF(COUNTIF(Y$3:Y187,Y188)=0,Y188,"")))</f>
        <v/>
      </c>
      <c r="AA188" s="34" t="b">
        <f t="shared" si="43"/>
        <v>0</v>
      </c>
      <c r="AB188" s="34">
        <f t="shared" si="44"/>
        <v>0</v>
      </c>
      <c r="AC188" s="34" t="str">
        <f>IF(AND(B188&lt;&gt;"",C188=CompteSel,N(B188)&lt;=DateArret,AB188=0),MAX($AC$3:AC187)+1,"")</f>
        <v/>
      </c>
      <c r="AD188" s="34" t="str">
        <f>IF(AND(ISNUMBER(M188),C188=CompteSel),MAX($AD$3:AD187)+1,"")</f>
        <v/>
      </c>
    </row>
    <row r="189" spans="1:30" x14ac:dyDescent="0.35">
      <c r="A189" s="1" t="str">
        <f t="shared" si="30"/>
        <v/>
      </c>
      <c r="B189" s="31"/>
      <c r="C189" s="8"/>
      <c r="D189" s="8"/>
      <c r="E189" s="8"/>
      <c r="F189" s="8"/>
      <c r="G189" s="8"/>
      <c r="H189" s="32"/>
      <c r="I189" s="32"/>
      <c r="J189" s="25" t="str">
        <f>IF(B189="","",IFERROR(VLOOKUP(C189,Soldes_Ouverture,2,FALSE()),0)+SUMIFS($S$4:S189,$C$4:C189,C189))</f>
        <v/>
      </c>
      <c r="K189" s="1" t="str">
        <f t="shared" si="31"/>
        <v/>
      </c>
      <c r="L189" s="1" t="str">
        <f t="shared" si="32"/>
        <v/>
      </c>
      <c r="M189" s="1" t="str">
        <f t="shared" si="33"/>
        <v/>
      </c>
      <c r="N189" s="8"/>
      <c r="O189" s="8"/>
      <c r="P189" s="1" t="str">
        <f t="shared" si="34"/>
        <v/>
      </c>
      <c r="Q189" s="25" t="str">
        <f t="shared" si="35"/>
        <v/>
      </c>
      <c r="R189" s="1" t="str">
        <f t="shared" si="36"/>
        <v/>
      </c>
      <c r="S189" s="33" t="str">
        <f t="shared" si="37"/>
        <v/>
      </c>
      <c r="T189" s="34" t="str">
        <f>IF(B189="","",C189&amp;"|"&amp;ROUND(S189,2)&amp;"|"&amp;COUNTIFS($C$4:C189,C189,$S$4:S189,S189))</f>
        <v/>
      </c>
      <c r="U189" s="34" t="str">
        <f t="shared" si="38"/>
        <v/>
      </c>
      <c r="V189" s="34" t="str">
        <f t="shared" si="39"/>
        <v/>
      </c>
      <c r="W189" s="34" t="str">
        <f t="shared" si="40"/>
        <v/>
      </c>
      <c r="X189" s="34">
        <f t="shared" si="41"/>
        <v>0</v>
      </c>
      <c r="Y189" s="34" t="str">
        <f t="shared" si="42"/>
        <v/>
      </c>
      <c r="Z189" s="34" t="str">
        <f>IF(X189=1,V189,IF(Y189="","",IF(COUNTIF(Y$3:Y188,Y189)=0,Y189,"")))</f>
        <v/>
      </c>
      <c r="AA189" s="34" t="b">
        <f t="shared" si="43"/>
        <v>0</v>
      </c>
      <c r="AB189" s="34">
        <f t="shared" si="44"/>
        <v>0</v>
      </c>
      <c r="AC189" s="34" t="str">
        <f>IF(AND(B189&lt;&gt;"",C189=CompteSel,N(B189)&lt;=DateArret,AB189=0),MAX($AC$3:AC188)+1,"")</f>
        <v/>
      </c>
      <c r="AD189" s="34" t="str">
        <f>IF(AND(ISNUMBER(M189),C189=CompteSel),MAX($AD$3:AD188)+1,"")</f>
        <v/>
      </c>
    </row>
    <row r="190" spans="1:30" x14ac:dyDescent="0.35">
      <c r="A190" s="1" t="str">
        <f t="shared" si="30"/>
        <v/>
      </c>
      <c r="B190" s="31"/>
      <c r="C190" s="8"/>
      <c r="D190" s="8"/>
      <c r="E190" s="8"/>
      <c r="F190" s="8"/>
      <c r="G190" s="8"/>
      <c r="H190" s="32"/>
      <c r="I190" s="32"/>
      <c r="J190" s="25" t="str">
        <f>IF(B190="","",IFERROR(VLOOKUP(C190,Soldes_Ouverture,2,FALSE()),0)+SUMIFS($S$4:S190,$C$4:C190,C190))</f>
        <v/>
      </c>
      <c r="K190" s="1" t="str">
        <f t="shared" si="31"/>
        <v/>
      </c>
      <c r="L190" s="1" t="str">
        <f t="shared" si="32"/>
        <v/>
      </c>
      <c r="M190" s="1" t="str">
        <f t="shared" si="33"/>
        <v/>
      </c>
      <c r="N190" s="8"/>
      <c r="O190" s="8"/>
      <c r="P190" s="1" t="str">
        <f t="shared" si="34"/>
        <v/>
      </c>
      <c r="Q190" s="25" t="str">
        <f t="shared" si="35"/>
        <v/>
      </c>
      <c r="R190" s="1" t="str">
        <f t="shared" si="36"/>
        <v/>
      </c>
      <c r="S190" s="33" t="str">
        <f t="shared" si="37"/>
        <v/>
      </c>
      <c r="T190" s="34" t="str">
        <f>IF(B190="","",C190&amp;"|"&amp;ROUND(S190,2)&amp;"|"&amp;COUNTIFS($C$4:C190,C190,$S$4:S190,S190))</f>
        <v/>
      </c>
      <c r="U190" s="34" t="str">
        <f t="shared" si="38"/>
        <v/>
      </c>
      <c r="V190" s="34" t="str">
        <f t="shared" si="39"/>
        <v/>
      </c>
      <c r="W190" s="34" t="str">
        <f t="shared" si="40"/>
        <v/>
      </c>
      <c r="X190" s="34">
        <f t="shared" si="41"/>
        <v>0</v>
      </c>
      <c r="Y190" s="34" t="str">
        <f t="shared" si="42"/>
        <v/>
      </c>
      <c r="Z190" s="34" t="str">
        <f>IF(X190=1,V190,IF(Y190="","",IF(COUNTIF(Y$3:Y189,Y190)=0,Y190,"")))</f>
        <v/>
      </c>
      <c r="AA190" s="34" t="b">
        <f t="shared" si="43"/>
        <v>0</v>
      </c>
      <c r="AB190" s="34">
        <f t="shared" si="44"/>
        <v>0</v>
      </c>
      <c r="AC190" s="34" t="str">
        <f>IF(AND(B190&lt;&gt;"",C190=CompteSel,N(B190)&lt;=DateArret,AB190=0),MAX($AC$3:AC189)+1,"")</f>
        <v/>
      </c>
      <c r="AD190" s="34" t="str">
        <f>IF(AND(ISNUMBER(M190),C190=CompteSel),MAX($AD$3:AD189)+1,"")</f>
        <v/>
      </c>
    </row>
    <row r="191" spans="1:30" x14ac:dyDescent="0.35">
      <c r="A191" s="1" t="str">
        <f t="shared" si="30"/>
        <v/>
      </c>
      <c r="B191" s="31"/>
      <c r="C191" s="8"/>
      <c r="D191" s="8"/>
      <c r="E191" s="8"/>
      <c r="F191" s="8"/>
      <c r="G191" s="8"/>
      <c r="H191" s="32"/>
      <c r="I191" s="32"/>
      <c r="J191" s="25" t="str">
        <f>IF(B191="","",IFERROR(VLOOKUP(C191,Soldes_Ouverture,2,FALSE()),0)+SUMIFS($S$4:S191,$C$4:C191,C191))</f>
        <v/>
      </c>
      <c r="K191" s="1" t="str">
        <f t="shared" si="31"/>
        <v/>
      </c>
      <c r="L191" s="1" t="str">
        <f t="shared" si="32"/>
        <v/>
      </c>
      <c r="M191" s="1" t="str">
        <f t="shared" si="33"/>
        <v/>
      </c>
      <c r="N191" s="8"/>
      <c r="O191" s="8"/>
      <c r="P191" s="1" t="str">
        <f t="shared" si="34"/>
        <v/>
      </c>
      <c r="Q191" s="25" t="str">
        <f t="shared" si="35"/>
        <v/>
      </c>
      <c r="R191" s="1" t="str">
        <f t="shared" si="36"/>
        <v/>
      </c>
      <c r="S191" s="33" t="str">
        <f t="shared" si="37"/>
        <v/>
      </c>
      <c r="T191" s="34" t="str">
        <f>IF(B191="","",C191&amp;"|"&amp;ROUND(S191,2)&amp;"|"&amp;COUNTIFS($C$4:C191,C191,$S$4:S191,S191))</f>
        <v/>
      </c>
      <c r="U191" s="34" t="str">
        <f t="shared" si="38"/>
        <v/>
      </c>
      <c r="V191" s="34" t="str">
        <f t="shared" si="39"/>
        <v/>
      </c>
      <c r="W191" s="34" t="str">
        <f t="shared" si="40"/>
        <v/>
      </c>
      <c r="X191" s="34">
        <f t="shared" si="41"/>
        <v>0</v>
      </c>
      <c r="Y191" s="34" t="str">
        <f t="shared" si="42"/>
        <v/>
      </c>
      <c r="Z191" s="34" t="str">
        <f>IF(X191=1,V191,IF(Y191="","",IF(COUNTIF(Y$3:Y190,Y191)=0,Y191,"")))</f>
        <v/>
      </c>
      <c r="AA191" s="34" t="b">
        <f t="shared" si="43"/>
        <v>0</v>
      </c>
      <c r="AB191" s="34">
        <f t="shared" si="44"/>
        <v>0</v>
      </c>
      <c r="AC191" s="34" t="str">
        <f>IF(AND(B191&lt;&gt;"",C191=CompteSel,N(B191)&lt;=DateArret,AB191=0),MAX($AC$3:AC190)+1,"")</f>
        <v/>
      </c>
      <c r="AD191" s="34" t="str">
        <f>IF(AND(ISNUMBER(M191),C191=CompteSel),MAX($AD$3:AD190)+1,"")</f>
        <v/>
      </c>
    </row>
    <row r="192" spans="1:30" x14ac:dyDescent="0.35">
      <c r="A192" s="1" t="str">
        <f t="shared" si="30"/>
        <v/>
      </c>
      <c r="B192" s="31"/>
      <c r="C192" s="8"/>
      <c r="D192" s="8"/>
      <c r="E192" s="8"/>
      <c r="F192" s="8"/>
      <c r="G192" s="8"/>
      <c r="H192" s="32"/>
      <c r="I192" s="32"/>
      <c r="J192" s="25" t="str">
        <f>IF(B192="","",IFERROR(VLOOKUP(C192,Soldes_Ouverture,2,FALSE()),0)+SUMIFS($S$4:S192,$C$4:C192,C192))</f>
        <v/>
      </c>
      <c r="K192" s="1" t="str">
        <f t="shared" si="31"/>
        <v/>
      </c>
      <c r="L192" s="1" t="str">
        <f t="shared" si="32"/>
        <v/>
      </c>
      <c r="M192" s="1" t="str">
        <f t="shared" si="33"/>
        <v/>
      </c>
      <c r="N192" s="8"/>
      <c r="O192" s="8"/>
      <c r="P192" s="1" t="str">
        <f t="shared" si="34"/>
        <v/>
      </c>
      <c r="Q192" s="25" t="str">
        <f t="shared" si="35"/>
        <v/>
      </c>
      <c r="R192" s="1" t="str">
        <f t="shared" si="36"/>
        <v/>
      </c>
      <c r="S192" s="33" t="str">
        <f t="shared" si="37"/>
        <v/>
      </c>
      <c r="T192" s="34" t="str">
        <f>IF(B192="","",C192&amp;"|"&amp;ROUND(S192,2)&amp;"|"&amp;COUNTIFS($C$4:C192,C192,$S$4:S192,S192))</f>
        <v/>
      </c>
      <c r="U192" s="34" t="str">
        <f t="shared" si="38"/>
        <v/>
      </c>
      <c r="V192" s="34" t="str">
        <f t="shared" si="39"/>
        <v/>
      </c>
      <c r="W192" s="34" t="str">
        <f t="shared" si="40"/>
        <v/>
      </c>
      <c r="X192" s="34">
        <f t="shared" si="41"/>
        <v>0</v>
      </c>
      <c r="Y192" s="34" t="str">
        <f t="shared" si="42"/>
        <v/>
      </c>
      <c r="Z192" s="34" t="str">
        <f>IF(X192=1,V192,IF(Y192="","",IF(COUNTIF(Y$3:Y191,Y192)=0,Y192,"")))</f>
        <v/>
      </c>
      <c r="AA192" s="34" t="b">
        <f t="shared" si="43"/>
        <v>0</v>
      </c>
      <c r="AB192" s="34">
        <f t="shared" si="44"/>
        <v>0</v>
      </c>
      <c r="AC192" s="34" t="str">
        <f>IF(AND(B192&lt;&gt;"",C192=CompteSel,N(B192)&lt;=DateArret,AB192=0),MAX($AC$3:AC191)+1,"")</f>
        <v/>
      </c>
      <c r="AD192" s="34" t="str">
        <f>IF(AND(ISNUMBER(M192),C192=CompteSel),MAX($AD$3:AD191)+1,"")</f>
        <v/>
      </c>
    </row>
    <row r="193" spans="1:30" x14ac:dyDescent="0.35">
      <c r="A193" s="1" t="str">
        <f t="shared" si="30"/>
        <v/>
      </c>
      <c r="B193" s="31"/>
      <c r="C193" s="8"/>
      <c r="D193" s="8"/>
      <c r="E193" s="8"/>
      <c r="F193" s="8"/>
      <c r="G193" s="8"/>
      <c r="H193" s="32"/>
      <c r="I193" s="32"/>
      <c r="J193" s="25" t="str">
        <f>IF(B193="","",IFERROR(VLOOKUP(C193,Soldes_Ouverture,2,FALSE()),0)+SUMIFS($S$4:S193,$C$4:C193,C193))</f>
        <v/>
      </c>
      <c r="K193" s="1" t="str">
        <f t="shared" si="31"/>
        <v/>
      </c>
      <c r="L193" s="1" t="str">
        <f t="shared" si="32"/>
        <v/>
      </c>
      <c r="M193" s="1" t="str">
        <f t="shared" si="33"/>
        <v/>
      </c>
      <c r="N193" s="8"/>
      <c r="O193" s="8"/>
      <c r="P193" s="1" t="str">
        <f t="shared" si="34"/>
        <v/>
      </c>
      <c r="Q193" s="25" t="str">
        <f t="shared" si="35"/>
        <v/>
      </c>
      <c r="R193" s="1" t="str">
        <f t="shared" si="36"/>
        <v/>
      </c>
      <c r="S193" s="33" t="str">
        <f t="shared" si="37"/>
        <v/>
      </c>
      <c r="T193" s="34" t="str">
        <f>IF(B193="","",C193&amp;"|"&amp;ROUND(S193,2)&amp;"|"&amp;COUNTIFS($C$4:C193,C193,$S$4:S193,S193))</f>
        <v/>
      </c>
      <c r="U193" s="34" t="str">
        <f t="shared" si="38"/>
        <v/>
      </c>
      <c r="V193" s="34" t="str">
        <f t="shared" si="39"/>
        <v/>
      </c>
      <c r="W193" s="34" t="str">
        <f t="shared" si="40"/>
        <v/>
      </c>
      <c r="X193" s="34">
        <f t="shared" si="41"/>
        <v>0</v>
      </c>
      <c r="Y193" s="34" t="str">
        <f t="shared" si="42"/>
        <v/>
      </c>
      <c r="Z193" s="34" t="str">
        <f>IF(X193=1,V193,IF(Y193="","",IF(COUNTIF(Y$3:Y192,Y193)=0,Y193,"")))</f>
        <v/>
      </c>
      <c r="AA193" s="34" t="b">
        <f t="shared" si="43"/>
        <v>0</v>
      </c>
      <c r="AB193" s="34">
        <f t="shared" si="44"/>
        <v>0</v>
      </c>
      <c r="AC193" s="34" t="str">
        <f>IF(AND(B193&lt;&gt;"",C193=CompteSel,N(B193)&lt;=DateArret,AB193=0),MAX($AC$3:AC192)+1,"")</f>
        <v/>
      </c>
      <c r="AD193" s="34" t="str">
        <f>IF(AND(ISNUMBER(M193),C193=CompteSel),MAX($AD$3:AD192)+1,"")</f>
        <v/>
      </c>
    </row>
    <row r="194" spans="1:30" x14ac:dyDescent="0.35">
      <c r="A194" s="1" t="str">
        <f t="shared" si="30"/>
        <v/>
      </c>
      <c r="B194" s="31"/>
      <c r="C194" s="8"/>
      <c r="D194" s="8"/>
      <c r="E194" s="8"/>
      <c r="F194" s="8"/>
      <c r="G194" s="8"/>
      <c r="H194" s="32"/>
      <c r="I194" s="32"/>
      <c r="J194" s="25" t="str">
        <f>IF(B194="","",IFERROR(VLOOKUP(C194,Soldes_Ouverture,2,FALSE()),0)+SUMIFS($S$4:S194,$C$4:C194,C194))</f>
        <v/>
      </c>
      <c r="K194" s="1" t="str">
        <f t="shared" si="31"/>
        <v/>
      </c>
      <c r="L194" s="1" t="str">
        <f t="shared" si="32"/>
        <v/>
      </c>
      <c r="M194" s="1" t="str">
        <f t="shared" si="33"/>
        <v/>
      </c>
      <c r="N194" s="8"/>
      <c r="O194" s="8"/>
      <c r="P194" s="1" t="str">
        <f t="shared" si="34"/>
        <v/>
      </c>
      <c r="Q194" s="25" t="str">
        <f t="shared" si="35"/>
        <v/>
      </c>
      <c r="R194" s="1" t="str">
        <f t="shared" si="36"/>
        <v/>
      </c>
      <c r="S194" s="33" t="str">
        <f t="shared" si="37"/>
        <v/>
      </c>
      <c r="T194" s="34" t="str">
        <f>IF(B194="","",C194&amp;"|"&amp;ROUND(S194,2)&amp;"|"&amp;COUNTIFS($C$4:C194,C194,$S$4:S194,S194))</f>
        <v/>
      </c>
      <c r="U194" s="34" t="str">
        <f t="shared" si="38"/>
        <v/>
      </c>
      <c r="V194" s="34" t="str">
        <f t="shared" si="39"/>
        <v/>
      </c>
      <c r="W194" s="34" t="str">
        <f t="shared" si="40"/>
        <v/>
      </c>
      <c r="X194" s="34">
        <f t="shared" si="41"/>
        <v>0</v>
      </c>
      <c r="Y194" s="34" t="str">
        <f t="shared" si="42"/>
        <v/>
      </c>
      <c r="Z194" s="34" t="str">
        <f>IF(X194=1,V194,IF(Y194="","",IF(COUNTIF(Y$3:Y193,Y194)=0,Y194,"")))</f>
        <v/>
      </c>
      <c r="AA194" s="34" t="b">
        <f t="shared" si="43"/>
        <v>0</v>
      </c>
      <c r="AB194" s="34">
        <f t="shared" si="44"/>
        <v>0</v>
      </c>
      <c r="AC194" s="34" t="str">
        <f>IF(AND(B194&lt;&gt;"",C194=CompteSel,N(B194)&lt;=DateArret,AB194=0),MAX($AC$3:AC193)+1,"")</f>
        <v/>
      </c>
      <c r="AD194" s="34" t="str">
        <f>IF(AND(ISNUMBER(M194),C194=CompteSel),MAX($AD$3:AD193)+1,"")</f>
        <v/>
      </c>
    </row>
    <row r="195" spans="1:30" x14ac:dyDescent="0.35">
      <c r="A195" s="1" t="str">
        <f t="shared" si="30"/>
        <v/>
      </c>
      <c r="B195" s="31"/>
      <c r="C195" s="8"/>
      <c r="D195" s="8"/>
      <c r="E195" s="8"/>
      <c r="F195" s="8"/>
      <c r="G195" s="8"/>
      <c r="H195" s="32"/>
      <c r="I195" s="32"/>
      <c r="J195" s="25" t="str">
        <f>IF(B195="","",IFERROR(VLOOKUP(C195,Soldes_Ouverture,2,FALSE()),0)+SUMIFS($S$4:S195,$C$4:C195,C195))</f>
        <v/>
      </c>
      <c r="K195" s="1" t="str">
        <f t="shared" si="31"/>
        <v/>
      </c>
      <c r="L195" s="1" t="str">
        <f t="shared" si="32"/>
        <v/>
      </c>
      <c r="M195" s="1" t="str">
        <f t="shared" si="33"/>
        <v/>
      </c>
      <c r="N195" s="8"/>
      <c r="O195" s="8"/>
      <c r="P195" s="1" t="str">
        <f t="shared" si="34"/>
        <v/>
      </c>
      <c r="Q195" s="25" t="str">
        <f t="shared" si="35"/>
        <v/>
      </c>
      <c r="R195" s="1" t="str">
        <f t="shared" si="36"/>
        <v/>
      </c>
      <c r="S195" s="33" t="str">
        <f t="shared" si="37"/>
        <v/>
      </c>
      <c r="T195" s="34" t="str">
        <f>IF(B195="","",C195&amp;"|"&amp;ROUND(S195,2)&amp;"|"&amp;COUNTIFS($C$4:C195,C195,$S$4:S195,S195))</f>
        <v/>
      </c>
      <c r="U195" s="34" t="str">
        <f t="shared" si="38"/>
        <v/>
      </c>
      <c r="V195" s="34" t="str">
        <f t="shared" si="39"/>
        <v/>
      </c>
      <c r="W195" s="34" t="str">
        <f t="shared" si="40"/>
        <v/>
      </c>
      <c r="X195" s="34">
        <f t="shared" si="41"/>
        <v>0</v>
      </c>
      <c r="Y195" s="34" t="str">
        <f t="shared" si="42"/>
        <v/>
      </c>
      <c r="Z195" s="34" t="str">
        <f>IF(X195=1,V195,IF(Y195="","",IF(COUNTIF(Y$3:Y194,Y195)=0,Y195,"")))</f>
        <v/>
      </c>
      <c r="AA195" s="34" t="b">
        <f t="shared" si="43"/>
        <v>0</v>
      </c>
      <c r="AB195" s="34">
        <f t="shared" si="44"/>
        <v>0</v>
      </c>
      <c r="AC195" s="34" t="str">
        <f>IF(AND(B195&lt;&gt;"",C195=CompteSel,N(B195)&lt;=DateArret,AB195=0),MAX($AC$3:AC194)+1,"")</f>
        <v/>
      </c>
      <c r="AD195" s="34" t="str">
        <f>IF(AND(ISNUMBER(M195),C195=CompteSel),MAX($AD$3:AD194)+1,"")</f>
        <v/>
      </c>
    </row>
    <row r="196" spans="1:30" x14ac:dyDescent="0.35">
      <c r="A196" s="1" t="str">
        <f t="shared" ref="A196:A259" si="45">IF(B196="","",ROW()-3)</f>
        <v/>
      </c>
      <c r="B196" s="31"/>
      <c r="C196" s="8"/>
      <c r="D196" s="8"/>
      <c r="E196" s="8"/>
      <c r="F196" s="8"/>
      <c r="G196" s="8"/>
      <c r="H196" s="32"/>
      <c r="I196" s="32"/>
      <c r="J196" s="25" t="str">
        <f>IF(B196="","",IFERROR(VLOOKUP(C196,Soldes_Ouverture,2,FALSE()),0)+SUMIFS($S$4:S196,$C$4:C196,C196))</f>
        <v/>
      </c>
      <c r="K196" s="1" t="str">
        <f t="shared" ref="K196:K259" si="46">IF(B196="","",IF(N196="Écart","Écart",IF(M196="","Non rapproché",IF(ISNUMBER(SEARCH("Conflit",R196)),"Conflit",IF(O196&lt;&gt;"","Manuel",IF(OR(N196="Valider",AND(L196="Fort",AutoFort="Oui")),"Rapproché","Proposé"))))))</f>
        <v/>
      </c>
      <c r="L196" s="1" t="str">
        <f t="shared" ref="L196:L259" si="47">IF(M196="","",IF(O196&lt;&gt;"","Manuel",IF(AND(P196&lt;=TolJours,AA196),"Fort",IF(P196&lt;=TolJours,"Moyen","Faible"))))</f>
        <v/>
      </c>
      <c r="M196" s="1" t="str">
        <f t="shared" ref="M196:M259" si="48">IF(B196="","",IF(O196&lt;&gt;"",O196,IF(OR(N196="Rejeter",N196="Écart",Z196=""),"",IF(INDEX(B_Decision,Z196)="Écart","",Z196))))</f>
        <v/>
      </c>
      <c r="N196" s="8"/>
      <c r="O196" s="8"/>
      <c r="P196" s="1" t="str">
        <f t="shared" ref="P196:P259" si="49">IF(M196="","",IFERROR(ABS(B196-INDEX(B_Date,M196)),""))</f>
        <v/>
      </c>
      <c r="Q196" s="25" t="str">
        <f t="shared" ref="Q196:Q259" si="50">IF(M196="","",IFERROR(ABS(S196-INDEX(B_Montant,M196)),""))</f>
        <v/>
      </c>
      <c r="R196" s="1" t="str">
        <f t="shared" ref="R196:R259" si="51">IF(B196="","",TRIM(IF(AND(M196&lt;&gt;"",COUNTIF($M$4:$M$503,M196)&gt;1),"Conflit ","")&amp;IF(COUNTIFS($C$4:$C$503,C196,$B$4:$B$503,B196,$S$4:$S$503,S196)&gt;1,"Doublon ?","")))</f>
        <v/>
      </c>
      <c r="S196" s="33" t="str">
        <f t="shared" ref="S196:S259" si="52">IF(B196="","",N(I196)-N(H196))</f>
        <v/>
      </c>
      <c r="T196" s="34" t="str">
        <f>IF(B196="","",C196&amp;"|"&amp;ROUND(S196,2)&amp;"|"&amp;COUNTIFS($C$4:C196,C196,$S$4:S196,S196))</f>
        <v/>
      </c>
      <c r="U196" s="34" t="str">
        <f t="shared" ref="U196:U259" si="53">IF(D196="","",IFERROR(VALUE(TRIM(RIGHT(SUBSTITUTE(SUBSTITUTE(SUBSTITUTE(D196,"-"," "),"/"," ")," ",REPT(" ",60)),60))),""))</f>
        <v/>
      </c>
      <c r="V196" s="34" t="str">
        <f t="shared" ref="V196:V259" si="54">IF(B196="","",IFERROR(MATCH(T196,B_Cle,0),""))</f>
        <v/>
      </c>
      <c r="W196" s="34" t="str">
        <f t="shared" ref="W196:W259" si="55">IF(V196="","",ABS(B196-INDEX(B_Date,V196)))</f>
        <v/>
      </c>
      <c r="X196" s="34">
        <f t="shared" ref="X196:X259" si="56">IF(V196="",0,IF(W196&lt;=Fenetre,1,0))</f>
        <v>0</v>
      </c>
      <c r="Y196" s="34" t="str">
        <f t="shared" ref="Y196:Y259" si="57">IF(OR(B196="",X196=1,TolMontant&lt;=0),"",IFERROR(MATCH(1,INDEX((B_Compte=C196)*(B_Date&gt;0)*(B_Signe=SIGN(S196))*(ABS(B_MontantN-S196)&lt;=TolMontant)*(ABS(B_Date-B196)&lt;=Fenetre)*(B_PrisExact=0),0),0),""))</f>
        <v/>
      </c>
      <c r="Z196" s="34" t="str">
        <f>IF(X196=1,V196,IF(Y196="","",IF(COUNTIF(Y$3:Y195,Y196)=0,Y196,"")))</f>
        <v/>
      </c>
      <c r="AA196" s="34" t="b">
        <f t="shared" ref="AA196:AA259" si="58">IF(M196="",FALSE(),IFERROR(OR(AND(U196&lt;&gt;"",N(U196)&gt;=100,ISNUMBER(SEARCH(U196,INDEX(B_Ref,M196)&amp;" "&amp;INDEX(B_Lib,M196)))),AND(D196&lt;&gt;"",ISNUMBER(SEARCH(D196,INDEX(B_Lib,M196)))),AND(INDEX(B_Ref,M196)&amp;""&lt;&gt;"",D196&lt;&gt;"",ISNUMBER(SEARCH(INDEX(B_Ref,M196)&amp;"",D196)))),FALSE()))</f>
        <v>0</v>
      </c>
      <c r="AB196" s="34">
        <f t="shared" ref="AB196:AB259" si="59">IF(OR(K196="Rapproché",K196="Manuel"),1,0)</f>
        <v>0</v>
      </c>
      <c r="AC196" s="34" t="str">
        <f>IF(AND(B196&lt;&gt;"",C196=CompteSel,N(B196)&lt;=DateArret,AB196=0),MAX($AC$3:AC195)+1,"")</f>
        <v/>
      </c>
      <c r="AD196" s="34" t="str">
        <f>IF(AND(ISNUMBER(M196),C196=CompteSel),MAX($AD$3:AD195)+1,"")</f>
        <v/>
      </c>
    </row>
    <row r="197" spans="1:30" x14ac:dyDescent="0.35">
      <c r="A197" s="1" t="str">
        <f t="shared" si="45"/>
        <v/>
      </c>
      <c r="B197" s="31"/>
      <c r="C197" s="8"/>
      <c r="D197" s="8"/>
      <c r="E197" s="8"/>
      <c r="F197" s="8"/>
      <c r="G197" s="8"/>
      <c r="H197" s="32"/>
      <c r="I197" s="32"/>
      <c r="J197" s="25" t="str">
        <f>IF(B197="","",IFERROR(VLOOKUP(C197,Soldes_Ouverture,2,FALSE()),0)+SUMIFS($S$4:S197,$C$4:C197,C197))</f>
        <v/>
      </c>
      <c r="K197" s="1" t="str">
        <f t="shared" si="46"/>
        <v/>
      </c>
      <c r="L197" s="1" t="str">
        <f t="shared" si="47"/>
        <v/>
      </c>
      <c r="M197" s="1" t="str">
        <f t="shared" si="48"/>
        <v/>
      </c>
      <c r="N197" s="8"/>
      <c r="O197" s="8"/>
      <c r="P197" s="1" t="str">
        <f t="shared" si="49"/>
        <v/>
      </c>
      <c r="Q197" s="25" t="str">
        <f t="shared" si="50"/>
        <v/>
      </c>
      <c r="R197" s="1" t="str">
        <f t="shared" si="51"/>
        <v/>
      </c>
      <c r="S197" s="33" t="str">
        <f t="shared" si="52"/>
        <v/>
      </c>
      <c r="T197" s="34" t="str">
        <f>IF(B197="","",C197&amp;"|"&amp;ROUND(S197,2)&amp;"|"&amp;COUNTIFS($C$4:C197,C197,$S$4:S197,S197))</f>
        <v/>
      </c>
      <c r="U197" s="34" t="str">
        <f t="shared" si="53"/>
        <v/>
      </c>
      <c r="V197" s="34" t="str">
        <f t="shared" si="54"/>
        <v/>
      </c>
      <c r="W197" s="34" t="str">
        <f t="shared" si="55"/>
        <v/>
      </c>
      <c r="X197" s="34">
        <f t="shared" si="56"/>
        <v>0</v>
      </c>
      <c r="Y197" s="34" t="str">
        <f t="shared" si="57"/>
        <v/>
      </c>
      <c r="Z197" s="34" t="str">
        <f>IF(X197=1,V197,IF(Y197="","",IF(COUNTIF(Y$3:Y196,Y197)=0,Y197,"")))</f>
        <v/>
      </c>
      <c r="AA197" s="34" t="b">
        <f t="shared" si="58"/>
        <v>0</v>
      </c>
      <c r="AB197" s="34">
        <f t="shared" si="59"/>
        <v>0</v>
      </c>
      <c r="AC197" s="34" t="str">
        <f>IF(AND(B197&lt;&gt;"",C197=CompteSel,N(B197)&lt;=DateArret,AB197=0),MAX($AC$3:AC196)+1,"")</f>
        <v/>
      </c>
      <c r="AD197" s="34" t="str">
        <f>IF(AND(ISNUMBER(M197),C197=CompteSel),MAX($AD$3:AD196)+1,"")</f>
        <v/>
      </c>
    </row>
    <row r="198" spans="1:30" x14ac:dyDescent="0.35">
      <c r="A198" s="1" t="str">
        <f t="shared" si="45"/>
        <v/>
      </c>
      <c r="B198" s="31"/>
      <c r="C198" s="8"/>
      <c r="D198" s="8"/>
      <c r="E198" s="8"/>
      <c r="F198" s="8"/>
      <c r="G198" s="8"/>
      <c r="H198" s="32"/>
      <c r="I198" s="32"/>
      <c r="J198" s="25" t="str">
        <f>IF(B198="","",IFERROR(VLOOKUP(C198,Soldes_Ouverture,2,FALSE()),0)+SUMIFS($S$4:S198,$C$4:C198,C198))</f>
        <v/>
      </c>
      <c r="K198" s="1" t="str">
        <f t="shared" si="46"/>
        <v/>
      </c>
      <c r="L198" s="1" t="str">
        <f t="shared" si="47"/>
        <v/>
      </c>
      <c r="M198" s="1" t="str">
        <f t="shared" si="48"/>
        <v/>
      </c>
      <c r="N198" s="8"/>
      <c r="O198" s="8"/>
      <c r="P198" s="1" t="str">
        <f t="shared" si="49"/>
        <v/>
      </c>
      <c r="Q198" s="25" t="str">
        <f t="shared" si="50"/>
        <v/>
      </c>
      <c r="R198" s="1" t="str">
        <f t="shared" si="51"/>
        <v/>
      </c>
      <c r="S198" s="33" t="str">
        <f t="shared" si="52"/>
        <v/>
      </c>
      <c r="T198" s="34" t="str">
        <f>IF(B198="","",C198&amp;"|"&amp;ROUND(S198,2)&amp;"|"&amp;COUNTIFS($C$4:C198,C198,$S$4:S198,S198))</f>
        <v/>
      </c>
      <c r="U198" s="34" t="str">
        <f t="shared" si="53"/>
        <v/>
      </c>
      <c r="V198" s="34" t="str">
        <f t="shared" si="54"/>
        <v/>
      </c>
      <c r="W198" s="34" t="str">
        <f t="shared" si="55"/>
        <v/>
      </c>
      <c r="X198" s="34">
        <f t="shared" si="56"/>
        <v>0</v>
      </c>
      <c r="Y198" s="34" t="str">
        <f t="shared" si="57"/>
        <v/>
      </c>
      <c r="Z198" s="34" t="str">
        <f>IF(X198=1,V198,IF(Y198="","",IF(COUNTIF(Y$3:Y197,Y198)=0,Y198,"")))</f>
        <v/>
      </c>
      <c r="AA198" s="34" t="b">
        <f t="shared" si="58"/>
        <v>0</v>
      </c>
      <c r="AB198" s="34">
        <f t="shared" si="59"/>
        <v>0</v>
      </c>
      <c r="AC198" s="34" t="str">
        <f>IF(AND(B198&lt;&gt;"",C198=CompteSel,N(B198)&lt;=DateArret,AB198=0),MAX($AC$3:AC197)+1,"")</f>
        <v/>
      </c>
      <c r="AD198" s="34" t="str">
        <f>IF(AND(ISNUMBER(M198),C198=CompteSel),MAX($AD$3:AD197)+1,"")</f>
        <v/>
      </c>
    </row>
    <row r="199" spans="1:30" x14ac:dyDescent="0.35">
      <c r="A199" s="1" t="str">
        <f t="shared" si="45"/>
        <v/>
      </c>
      <c r="B199" s="31"/>
      <c r="C199" s="8"/>
      <c r="D199" s="8"/>
      <c r="E199" s="8"/>
      <c r="F199" s="8"/>
      <c r="G199" s="8"/>
      <c r="H199" s="32"/>
      <c r="I199" s="32"/>
      <c r="J199" s="25" t="str">
        <f>IF(B199="","",IFERROR(VLOOKUP(C199,Soldes_Ouverture,2,FALSE()),0)+SUMIFS($S$4:S199,$C$4:C199,C199))</f>
        <v/>
      </c>
      <c r="K199" s="1" t="str">
        <f t="shared" si="46"/>
        <v/>
      </c>
      <c r="L199" s="1" t="str">
        <f t="shared" si="47"/>
        <v/>
      </c>
      <c r="M199" s="1" t="str">
        <f t="shared" si="48"/>
        <v/>
      </c>
      <c r="N199" s="8"/>
      <c r="O199" s="8"/>
      <c r="P199" s="1" t="str">
        <f t="shared" si="49"/>
        <v/>
      </c>
      <c r="Q199" s="25" t="str">
        <f t="shared" si="50"/>
        <v/>
      </c>
      <c r="R199" s="1" t="str">
        <f t="shared" si="51"/>
        <v/>
      </c>
      <c r="S199" s="33" t="str">
        <f t="shared" si="52"/>
        <v/>
      </c>
      <c r="T199" s="34" t="str">
        <f>IF(B199="","",C199&amp;"|"&amp;ROUND(S199,2)&amp;"|"&amp;COUNTIFS($C$4:C199,C199,$S$4:S199,S199))</f>
        <v/>
      </c>
      <c r="U199" s="34" t="str">
        <f t="shared" si="53"/>
        <v/>
      </c>
      <c r="V199" s="34" t="str">
        <f t="shared" si="54"/>
        <v/>
      </c>
      <c r="W199" s="34" t="str">
        <f t="shared" si="55"/>
        <v/>
      </c>
      <c r="X199" s="34">
        <f t="shared" si="56"/>
        <v>0</v>
      </c>
      <c r="Y199" s="34" t="str">
        <f t="shared" si="57"/>
        <v/>
      </c>
      <c r="Z199" s="34" t="str">
        <f>IF(X199=1,V199,IF(Y199="","",IF(COUNTIF(Y$3:Y198,Y199)=0,Y199,"")))</f>
        <v/>
      </c>
      <c r="AA199" s="34" t="b">
        <f t="shared" si="58"/>
        <v>0</v>
      </c>
      <c r="AB199" s="34">
        <f t="shared" si="59"/>
        <v>0</v>
      </c>
      <c r="AC199" s="34" t="str">
        <f>IF(AND(B199&lt;&gt;"",C199=CompteSel,N(B199)&lt;=DateArret,AB199=0),MAX($AC$3:AC198)+1,"")</f>
        <v/>
      </c>
      <c r="AD199" s="34" t="str">
        <f>IF(AND(ISNUMBER(M199),C199=CompteSel),MAX($AD$3:AD198)+1,"")</f>
        <v/>
      </c>
    </row>
    <row r="200" spans="1:30" x14ac:dyDescent="0.35">
      <c r="A200" s="1" t="str">
        <f t="shared" si="45"/>
        <v/>
      </c>
      <c r="B200" s="31"/>
      <c r="C200" s="8"/>
      <c r="D200" s="8"/>
      <c r="E200" s="8"/>
      <c r="F200" s="8"/>
      <c r="G200" s="8"/>
      <c r="H200" s="32"/>
      <c r="I200" s="32"/>
      <c r="J200" s="25" t="str">
        <f>IF(B200="","",IFERROR(VLOOKUP(C200,Soldes_Ouverture,2,FALSE()),0)+SUMIFS($S$4:S200,$C$4:C200,C200))</f>
        <v/>
      </c>
      <c r="K200" s="1" t="str">
        <f t="shared" si="46"/>
        <v/>
      </c>
      <c r="L200" s="1" t="str">
        <f t="shared" si="47"/>
        <v/>
      </c>
      <c r="M200" s="1" t="str">
        <f t="shared" si="48"/>
        <v/>
      </c>
      <c r="N200" s="8"/>
      <c r="O200" s="8"/>
      <c r="P200" s="1" t="str">
        <f t="shared" si="49"/>
        <v/>
      </c>
      <c r="Q200" s="25" t="str">
        <f t="shared" si="50"/>
        <v/>
      </c>
      <c r="R200" s="1" t="str">
        <f t="shared" si="51"/>
        <v/>
      </c>
      <c r="S200" s="33" t="str">
        <f t="shared" si="52"/>
        <v/>
      </c>
      <c r="T200" s="34" t="str">
        <f>IF(B200="","",C200&amp;"|"&amp;ROUND(S200,2)&amp;"|"&amp;COUNTIFS($C$4:C200,C200,$S$4:S200,S200))</f>
        <v/>
      </c>
      <c r="U200" s="34" t="str">
        <f t="shared" si="53"/>
        <v/>
      </c>
      <c r="V200" s="34" t="str">
        <f t="shared" si="54"/>
        <v/>
      </c>
      <c r="W200" s="34" t="str">
        <f t="shared" si="55"/>
        <v/>
      </c>
      <c r="X200" s="34">
        <f t="shared" si="56"/>
        <v>0</v>
      </c>
      <c r="Y200" s="34" t="str">
        <f t="shared" si="57"/>
        <v/>
      </c>
      <c r="Z200" s="34" t="str">
        <f>IF(X200=1,V200,IF(Y200="","",IF(COUNTIF(Y$3:Y199,Y200)=0,Y200,"")))</f>
        <v/>
      </c>
      <c r="AA200" s="34" t="b">
        <f t="shared" si="58"/>
        <v>0</v>
      </c>
      <c r="AB200" s="34">
        <f t="shared" si="59"/>
        <v>0</v>
      </c>
      <c r="AC200" s="34" t="str">
        <f>IF(AND(B200&lt;&gt;"",C200=CompteSel,N(B200)&lt;=DateArret,AB200=0),MAX($AC$3:AC199)+1,"")</f>
        <v/>
      </c>
      <c r="AD200" s="34" t="str">
        <f>IF(AND(ISNUMBER(M200),C200=CompteSel),MAX($AD$3:AD199)+1,"")</f>
        <v/>
      </c>
    </row>
    <row r="201" spans="1:30" x14ac:dyDescent="0.35">
      <c r="A201" s="1" t="str">
        <f t="shared" si="45"/>
        <v/>
      </c>
      <c r="B201" s="31"/>
      <c r="C201" s="8"/>
      <c r="D201" s="8"/>
      <c r="E201" s="8"/>
      <c r="F201" s="8"/>
      <c r="G201" s="8"/>
      <c r="H201" s="32"/>
      <c r="I201" s="32"/>
      <c r="J201" s="25" t="str">
        <f>IF(B201="","",IFERROR(VLOOKUP(C201,Soldes_Ouverture,2,FALSE()),0)+SUMIFS($S$4:S201,$C$4:C201,C201))</f>
        <v/>
      </c>
      <c r="K201" s="1" t="str">
        <f t="shared" si="46"/>
        <v/>
      </c>
      <c r="L201" s="1" t="str">
        <f t="shared" si="47"/>
        <v/>
      </c>
      <c r="M201" s="1" t="str">
        <f t="shared" si="48"/>
        <v/>
      </c>
      <c r="N201" s="8"/>
      <c r="O201" s="8"/>
      <c r="P201" s="1" t="str">
        <f t="shared" si="49"/>
        <v/>
      </c>
      <c r="Q201" s="25" t="str">
        <f t="shared" si="50"/>
        <v/>
      </c>
      <c r="R201" s="1" t="str">
        <f t="shared" si="51"/>
        <v/>
      </c>
      <c r="S201" s="33" t="str">
        <f t="shared" si="52"/>
        <v/>
      </c>
      <c r="T201" s="34" t="str">
        <f>IF(B201="","",C201&amp;"|"&amp;ROUND(S201,2)&amp;"|"&amp;COUNTIFS($C$4:C201,C201,$S$4:S201,S201))</f>
        <v/>
      </c>
      <c r="U201" s="34" t="str">
        <f t="shared" si="53"/>
        <v/>
      </c>
      <c r="V201" s="34" t="str">
        <f t="shared" si="54"/>
        <v/>
      </c>
      <c r="W201" s="34" t="str">
        <f t="shared" si="55"/>
        <v/>
      </c>
      <c r="X201" s="34">
        <f t="shared" si="56"/>
        <v>0</v>
      </c>
      <c r="Y201" s="34" t="str">
        <f t="shared" si="57"/>
        <v/>
      </c>
      <c r="Z201" s="34" t="str">
        <f>IF(X201=1,V201,IF(Y201="","",IF(COUNTIF(Y$3:Y200,Y201)=0,Y201,"")))</f>
        <v/>
      </c>
      <c r="AA201" s="34" t="b">
        <f t="shared" si="58"/>
        <v>0</v>
      </c>
      <c r="AB201" s="34">
        <f t="shared" si="59"/>
        <v>0</v>
      </c>
      <c r="AC201" s="34" t="str">
        <f>IF(AND(B201&lt;&gt;"",C201=CompteSel,N(B201)&lt;=DateArret,AB201=0),MAX($AC$3:AC200)+1,"")</f>
        <v/>
      </c>
      <c r="AD201" s="34" t="str">
        <f>IF(AND(ISNUMBER(M201),C201=CompteSel),MAX($AD$3:AD200)+1,"")</f>
        <v/>
      </c>
    </row>
    <row r="202" spans="1:30" x14ac:dyDescent="0.35">
      <c r="A202" s="1" t="str">
        <f t="shared" si="45"/>
        <v/>
      </c>
      <c r="B202" s="31"/>
      <c r="C202" s="8"/>
      <c r="D202" s="8"/>
      <c r="E202" s="8"/>
      <c r="F202" s="8"/>
      <c r="G202" s="8"/>
      <c r="H202" s="32"/>
      <c r="I202" s="32"/>
      <c r="J202" s="25" t="str">
        <f>IF(B202="","",IFERROR(VLOOKUP(C202,Soldes_Ouverture,2,FALSE()),0)+SUMIFS($S$4:S202,$C$4:C202,C202))</f>
        <v/>
      </c>
      <c r="K202" s="1" t="str">
        <f t="shared" si="46"/>
        <v/>
      </c>
      <c r="L202" s="1" t="str">
        <f t="shared" si="47"/>
        <v/>
      </c>
      <c r="M202" s="1" t="str">
        <f t="shared" si="48"/>
        <v/>
      </c>
      <c r="N202" s="8"/>
      <c r="O202" s="8"/>
      <c r="P202" s="1" t="str">
        <f t="shared" si="49"/>
        <v/>
      </c>
      <c r="Q202" s="25" t="str">
        <f t="shared" si="50"/>
        <v/>
      </c>
      <c r="R202" s="1" t="str">
        <f t="shared" si="51"/>
        <v/>
      </c>
      <c r="S202" s="33" t="str">
        <f t="shared" si="52"/>
        <v/>
      </c>
      <c r="T202" s="34" t="str">
        <f>IF(B202="","",C202&amp;"|"&amp;ROUND(S202,2)&amp;"|"&amp;COUNTIFS($C$4:C202,C202,$S$4:S202,S202))</f>
        <v/>
      </c>
      <c r="U202" s="34" t="str">
        <f t="shared" si="53"/>
        <v/>
      </c>
      <c r="V202" s="34" t="str">
        <f t="shared" si="54"/>
        <v/>
      </c>
      <c r="W202" s="34" t="str">
        <f t="shared" si="55"/>
        <v/>
      </c>
      <c r="X202" s="34">
        <f t="shared" si="56"/>
        <v>0</v>
      </c>
      <c r="Y202" s="34" t="str">
        <f t="shared" si="57"/>
        <v/>
      </c>
      <c r="Z202" s="34" t="str">
        <f>IF(X202=1,V202,IF(Y202="","",IF(COUNTIF(Y$3:Y201,Y202)=0,Y202,"")))</f>
        <v/>
      </c>
      <c r="AA202" s="34" t="b">
        <f t="shared" si="58"/>
        <v>0</v>
      </c>
      <c r="AB202" s="34">
        <f t="shared" si="59"/>
        <v>0</v>
      </c>
      <c r="AC202" s="34" t="str">
        <f>IF(AND(B202&lt;&gt;"",C202=CompteSel,N(B202)&lt;=DateArret,AB202=0),MAX($AC$3:AC201)+1,"")</f>
        <v/>
      </c>
      <c r="AD202" s="34" t="str">
        <f>IF(AND(ISNUMBER(M202),C202=CompteSel),MAX($AD$3:AD201)+1,"")</f>
        <v/>
      </c>
    </row>
    <row r="203" spans="1:30" x14ac:dyDescent="0.35">
      <c r="A203" s="1" t="str">
        <f t="shared" si="45"/>
        <v/>
      </c>
      <c r="B203" s="31"/>
      <c r="C203" s="8"/>
      <c r="D203" s="8"/>
      <c r="E203" s="8"/>
      <c r="F203" s="8"/>
      <c r="G203" s="8"/>
      <c r="H203" s="32"/>
      <c r="I203" s="32"/>
      <c r="J203" s="25" t="str">
        <f>IF(B203="","",IFERROR(VLOOKUP(C203,Soldes_Ouverture,2,FALSE()),0)+SUMIFS($S$4:S203,$C$4:C203,C203))</f>
        <v/>
      </c>
      <c r="K203" s="1" t="str">
        <f t="shared" si="46"/>
        <v/>
      </c>
      <c r="L203" s="1" t="str">
        <f t="shared" si="47"/>
        <v/>
      </c>
      <c r="M203" s="1" t="str">
        <f t="shared" si="48"/>
        <v/>
      </c>
      <c r="N203" s="8"/>
      <c r="O203" s="8"/>
      <c r="P203" s="1" t="str">
        <f t="shared" si="49"/>
        <v/>
      </c>
      <c r="Q203" s="25" t="str">
        <f t="shared" si="50"/>
        <v/>
      </c>
      <c r="R203" s="1" t="str">
        <f t="shared" si="51"/>
        <v/>
      </c>
      <c r="S203" s="33" t="str">
        <f t="shared" si="52"/>
        <v/>
      </c>
      <c r="T203" s="34" t="str">
        <f>IF(B203="","",C203&amp;"|"&amp;ROUND(S203,2)&amp;"|"&amp;COUNTIFS($C$4:C203,C203,$S$4:S203,S203))</f>
        <v/>
      </c>
      <c r="U203" s="34" t="str">
        <f t="shared" si="53"/>
        <v/>
      </c>
      <c r="V203" s="34" t="str">
        <f t="shared" si="54"/>
        <v/>
      </c>
      <c r="W203" s="34" t="str">
        <f t="shared" si="55"/>
        <v/>
      </c>
      <c r="X203" s="34">
        <f t="shared" si="56"/>
        <v>0</v>
      </c>
      <c r="Y203" s="34" t="str">
        <f t="shared" si="57"/>
        <v/>
      </c>
      <c r="Z203" s="34" t="str">
        <f>IF(X203=1,V203,IF(Y203="","",IF(COUNTIF(Y$3:Y202,Y203)=0,Y203,"")))</f>
        <v/>
      </c>
      <c r="AA203" s="34" t="b">
        <f t="shared" si="58"/>
        <v>0</v>
      </c>
      <c r="AB203" s="34">
        <f t="shared" si="59"/>
        <v>0</v>
      </c>
      <c r="AC203" s="34" t="str">
        <f>IF(AND(B203&lt;&gt;"",C203=CompteSel,N(B203)&lt;=DateArret,AB203=0),MAX($AC$3:AC202)+1,"")</f>
        <v/>
      </c>
      <c r="AD203" s="34" t="str">
        <f>IF(AND(ISNUMBER(M203),C203=CompteSel),MAX($AD$3:AD202)+1,"")</f>
        <v/>
      </c>
    </row>
    <row r="204" spans="1:30" x14ac:dyDescent="0.35">
      <c r="A204" s="1" t="str">
        <f t="shared" si="45"/>
        <v/>
      </c>
      <c r="B204" s="31"/>
      <c r="C204" s="8"/>
      <c r="D204" s="8"/>
      <c r="E204" s="8"/>
      <c r="F204" s="8"/>
      <c r="G204" s="8"/>
      <c r="H204" s="32"/>
      <c r="I204" s="32"/>
      <c r="J204" s="25" t="str">
        <f>IF(B204="","",IFERROR(VLOOKUP(C204,Soldes_Ouverture,2,FALSE()),0)+SUMIFS($S$4:S204,$C$4:C204,C204))</f>
        <v/>
      </c>
      <c r="K204" s="1" t="str">
        <f t="shared" si="46"/>
        <v/>
      </c>
      <c r="L204" s="1" t="str">
        <f t="shared" si="47"/>
        <v/>
      </c>
      <c r="M204" s="1" t="str">
        <f t="shared" si="48"/>
        <v/>
      </c>
      <c r="N204" s="8"/>
      <c r="O204" s="8"/>
      <c r="P204" s="1" t="str">
        <f t="shared" si="49"/>
        <v/>
      </c>
      <c r="Q204" s="25" t="str">
        <f t="shared" si="50"/>
        <v/>
      </c>
      <c r="R204" s="1" t="str">
        <f t="shared" si="51"/>
        <v/>
      </c>
      <c r="S204" s="33" t="str">
        <f t="shared" si="52"/>
        <v/>
      </c>
      <c r="T204" s="34" t="str">
        <f>IF(B204="","",C204&amp;"|"&amp;ROUND(S204,2)&amp;"|"&amp;COUNTIFS($C$4:C204,C204,$S$4:S204,S204))</f>
        <v/>
      </c>
      <c r="U204" s="34" t="str">
        <f t="shared" si="53"/>
        <v/>
      </c>
      <c r="V204" s="34" t="str">
        <f t="shared" si="54"/>
        <v/>
      </c>
      <c r="W204" s="34" t="str">
        <f t="shared" si="55"/>
        <v/>
      </c>
      <c r="X204" s="34">
        <f t="shared" si="56"/>
        <v>0</v>
      </c>
      <c r="Y204" s="34" t="str">
        <f t="shared" si="57"/>
        <v/>
      </c>
      <c r="Z204" s="34" t="str">
        <f>IF(X204=1,V204,IF(Y204="","",IF(COUNTIF(Y$3:Y203,Y204)=0,Y204,"")))</f>
        <v/>
      </c>
      <c r="AA204" s="34" t="b">
        <f t="shared" si="58"/>
        <v>0</v>
      </c>
      <c r="AB204" s="34">
        <f t="shared" si="59"/>
        <v>0</v>
      </c>
      <c r="AC204" s="34" t="str">
        <f>IF(AND(B204&lt;&gt;"",C204=CompteSel,N(B204)&lt;=DateArret,AB204=0),MAX($AC$3:AC203)+1,"")</f>
        <v/>
      </c>
      <c r="AD204" s="34" t="str">
        <f>IF(AND(ISNUMBER(M204),C204=CompteSel),MAX($AD$3:AD203)+1,"")</f>
        <v/>
      </c>
    </row>
    <row r="205" spans="1:30" x14ac:dyDescent="0.35">
      <c r="A205" s="1" t="str">
        <f t="shared" si="45"/>
        <v/>
      </c>
      <c r="B205" s="31"/>
      <c r="C205" s="8"/>
      <c r="D205" s="8"/>
      <c r="E205" s="8"/>
      <c r="F205" s="8"/>
      <c r="G205" s="8"/>
      <c r="H205" s="32"/>
      <c r="I205" s="32"/>
      <c r="J205" s="25" t="str">
        <f>IF(B205="","",IFERROR(VLOOKUP(C205,Soldes_Ouverture,2,FALSE()),0)+SUMIFS($S$4:S205,$C$4:C205,C205))</f>
        <v/>
      </c>
      <c r="K205" s="1" t="str">
        <f t="shared" si="46"/>
        <v/>
      </c>
      <c r="L205" s="1" t="str">
        <f t="shared" si="47"/>
        <v/>
      </c>
      <c r="M205" s="1" t="str">
        <f t="shared" si="48"/>
        <v/>
      </c>
      <c r="N205" s="8"/>
      <c r="O205" s="8"/>
      <c r="P205" s="1" t="str">
        <f t="shared" si="49"/>
        <v/>
      </c>
      <c r="Q205" s="25" t="str">
        <f t="shared" si="50"/>
        <v/>
      </c>
      <c r="R205" s="1" t="str">
        <f t="shared" si="51"/>
        <v/>
      </c>
      <c r="S205" s="33" t="str">
        <f t="shared" si="52"/>
        <v/>
      </c>
      <c r="T205" s="34" t="str">
        <f>IF(B205="","",C205&amp;"|"&amp;ROUND(S205,2)&amp;"|"&amp;COUNTIFS($C$4:C205,C205,$S$4:S205,S205))</f>
        <v/>
      </c>
      <c r="U205" s="34" t="str">
        <f t="shared" si="53"/>
        <v/>
      </c>
      <c r="V205" s="34" t="str">
        <f t="shared" si="54"/>
        <v/>
      </c>
      <c r="W205" s="34" t="str">
        <f t="shared" si="55"/>
        <v/>
      </c>
      <c r="X205" s="34">
        <f t="shared" si="56"/>
        <v>0</v>
      </c>
      <c r="Y205" s="34" t="str">
        <f t="shared" si="57"/>
        <v/>
      </c>
      <c r="Z205" s="34" t="str">
        <f>IF(X205=1,V205,IF(Y205="","",IF(COUNTIF(Y$3:Y204,Y205)=0,Y205,"")))</f>
        <v/>
      </c>
      <c r="AA205" s="34" t="b">
        <f t="shared" si="58"/>
        <v>0</v>
      </c>
      <c r="AB205" s="34">
        <f t="shared" si="59"/>
        <v>0</v>
      </c>
      <c r="AC205" s="34" t="str">
        <f>IF(AND(B205&lt;&gt;"",C205=CompteSel,N(B205)&lt;=DateArret,AB205=0),MAX($AC$3:AC204)+1,"")</f>
        <v/>
      </c>
      <c r="AD205" s="34" t="str">
        <f>IF(AND(ISNUMBER(M205),C205=CompteSel),MAX($AD$3:AD204)+1,"")</f>
        <v/>
      </c>
    </row>
    <row r="206" spans="1:30" x14ac:dyDescent="0.35">
      <c r="A206" s="1" t="str">
        <f t="shared" si="45"/>
        <v/>
      </c>
      <c r="B206" s="31"/>
      <c r="C206" s="8"/>
      <c r="D206" s="8"/>
      <c r="E206" s="8"/>
      <c r="F206" s="8"/>
      <c r="G206" s="8"/>
      <c r="H206" s="32"/>
      <c r="I206" s="32"/>
      <c r="J206" s="25" t="str">
        <f>IF(B206="","",IFERROR(VLOOKUP(C206,Soldes_Ouverture,2,FALSE()),0)+SUMIFS($S$4:S206,$C$4:C206,C206))</f>
        <v/>
      </c>
      <c r="K206" s="1" t="str">
        <f t="shared" si="46"/>
        <v/>
      </c>
      <c r="L206" s="1" t="str">
        <f t="shared" si="47"/>
        <v/>
      </c>
      <c r="M206" s="1" t="str">
        <f t="shared" si="48"/>
        <v/>
      </c>
      <c r="N206" s="8"/>
      <c r="O206" s="8"/>
      <c r="P206" s="1" t="str">
        <f t="shared" si="49"/>
        <v/>
      </c>
      <c r="Q206" s="25" t="str">
        <f t="shared" si="50"/>
        <v/>
      </c>
      <c r="R206" s="1" t="str">
        <f t="shared" si="51"/>
        <v/>
      </c>
      <c r="S206" s="33" t="str">
        <f t="shared" si="52"/>
        <v/>
      </c>
      <c r="T206" s="34" t="str">
        <f>IF(B206="","",C206&amp;"|"&amp;ROUND(S206,2)&amp;"|"&amp;COUNTIFS($C$4:C206,C206,$S$4:S206,S206))</f>
        <v/>
      </c>
      <c r="U206" s="34" t="str">
        <f t="shared" si="53"/>
        <v/>
      </c>
      <c r="V206" s="34" t="str">
        <f t="shared" si="54"/>
        <v/>
      </c>
      <c r="W206" s="34" t="str">
        <f t="shared" si="55"/>
        <v/>
      </c>
      <c r="X206" s="34">
        <f t="shared" si="56"/>
        <v>0</v>
      </c>
      <c r="Y206" s="34" t="str">
        <f t="shared" si="57"/>
        <v/>
      </c>
      <c r="Z206" s="34" t="str">
        <f>IF(X206=1,V206,IF(Y206="","",IF(COUNTIF(Y$3:Y205,Y206)=0,Y206,"")))</f>
        <v/>
      </c>
      <c r="AA206" s="34" t="b">
        <f t="shared" si="58"/>
        <v>0</v>
      </c>
      <c r="AB206" s="34">
        <f t="shared" si="59"/>
        <v>0</v>
      </c>
      <c r="AC206" s="34" t="str">
        <f>IF(AND(B206&lt;&gt;"",C206=CompteSel,N(B206)&lt;=DateArret,AB206=0),MAX($AC$3:AC205)+1,"")</f>
        <v/>
      </c>
      <c r="AD206" s="34" t="str">
        <f>IF(AND(ISNUMBER(M206),C206=CompteSel),MAX($AD$3:AD205)+1,"")</f>
        <v/>
      </c>
    </row>
    <row r="207" spans="1:30" x14ac:dyDescent="0.35">
      <c r="A207" s="1" t="str">
        <f t="shared" si="45"/>
        <v/>
      </c>
      <c r="B207" s="31"/>
      <c r="C207" s="8"/>
      <c r="D207" s="8"/>
      <c r="E207" s="8"/>
      <c r="F207" s="8"/>
      <c r="G207" s="8"/>
      <c r="H207" s="32"/>
      <c r="I207" s="32"/>
      <c r="J207" s="25" t="str">
        <f>IF(B207="","",IFERROR(VLOOKUP(C207,Soldes_Ouverture,2,FALSE()),0)+SUMIFS($S$4:S207,$C$4:C207,C207))</f>
        <v/>
      </c>
      <c r="K207" s="1" t="str">
        <f t="shared" si="46"/>
        <v/>
      </c>
      <c r="L207" s="1" t="str">
        <f t="shared" si="47"/>
        <v/>
      </c>
      <c r="M207" s="1" t="str">
        <f t="shared" si="48"/>
        <v/>
      </c>
      <c r="N207" s="8"/>
      <c r="O207" s="8"/>
      <c r="P207" s="1" t="str">
        <f t="shared" si="49"/>
        <v/>
      </c>
      <c r="Q207" s="25" t="str">
        <f t="shared" si="50"/>
        <v/>
      </c>
      <c r="R207" s="1" t="str">
        <f t="shared" si="51"/>
        <v/>
      </c>
      <c r="S207" s="33" t="str">
        <f t="shared" si="52"/>
        <v/>
      </c>
      <c r="T207" s="34" t="str">
        <f>IF(B207="","",C207&amp;"|"&amp;ROUND(S207,2)&amp;"|"&amp;COUNTIFS($C$4:C207,C207,$S$4:S207,S207))</f>
        <v/>
      </c>
      <c r="U207" s="34" t="str">
        <f t="shared" si="53"/>
        <v/>
      </c>
      <c r="V207" s="34" t="str">
        <f t="shared" si="54"/>
        <v/>
      </c>
      <c r="W207" s="34" t="str">
        <f t="shared" si="55"/>
        <v/>
      </c>
      <c r="X207" s="34">
        <f t="shared" si="56"/>
        <v>0</v>
      </c>
      <c r="Y207" s="34" t="str">
        <f t="shared" si="57"/>
        <v/>
      </c>
      <c r="Z207" s="34" t="str">
        <f>IF(X207=1,V207,IF(Y207="","",IF(COUNTIF(Y$3:Y206,Y207)=0,Y207,"")))</f>
        <v/>
      </c>
      <c r="AA207" s="34" t="b">
        <f t="shared" si="58"/>
        <v>0</v>
      </c>
      <c r="AB207" s="34">
        <f t="shared" si="59"/>
        <v>0</v>
      </c>
      <c r="AC207" s="34" t="str">
        <f>IF(AND(B207&lt;&gt;"",C207=CompteSel,N(B207)&lt;=DateArret,AB207=0),MAX($AC$3:AC206)+1,"")</f>
        <v/>
      </c>
      <c r="AD207" s="34" t="str">
        <f>IF(AND(ISNUMBER(M207),C207=CompteSel),MAX($AD$3:AD206)+1,"")</f>
        <v/>
      </c>
    </row>
    <row r="208" spans="1:30" x14ac:dyDescent="0.35">
      <c r="A208" s="1" t="str">
        <f t="shared" si="45"/>
        <v/>
      </c>
      <c r="B208" s="31"/>
      <c r="C208" s="8"/>
      <c r="D208" s="8"/>
      <c r="E208" s="8"/>
      <c r="F208" s="8"/>
      <c r="G208" s="8"/>
      <c r="H208" s="32"/>
      <c r="I208" s="32"/>
      <c r="J208" s="25" t="str">
        <f>IF(B208="","",IFERROR(VLOOKUP(C208,Soldes_Ouverture,2,FALSE()),0)+SUMIFS($S$4:S208,$C$4:C208,C208))</f>
        <v/>
      </c>
      <c r="K208" s="1" t="str">
        <f t="shared" si="46"/>
        <v/>
      </c>
      <c r="L208" s="1" t="str">
        <f t="shared" si="47"/>
        <v/>
      </c>
      <c r="M208" s="1" t="str">
        <f t="shared" si="48"/>
        <v/>
      </c>
      <c r="N208" s="8"/>
      <c r="O208" s="8"/>
      <c r="P208" s="1" t="str">
        <f t="shared" si="49"/>
        <v/>
      </c>
      <c r="Q208" s="25" t="str">
        <f t="shared" si="50"/>
        <v/>
      </c>
      <c r="R208" s="1" t="str">
        <f t="shared" si="51"/>
        <v/>
      </c>
      <c r="S208" s="33" t="str">
        <f t="shared" si="52"/>
        <v/>
      </c>
      <c r="T208" s="34" t="str">
        <f>IF(B208="","",C208&amp;"|"&amp;ROUND(S208,2)&amp;"|"&amp;COUNTIFS($C$4:C208,C208,$S$4:S208,S208))</f>
        <v/>
      </c>
      <c r="U208" s="34" t="str">
        <f t="shared" si="53"/>
        <v/>
      </c>
      <c r="V208" s="34" t="str">
        <f t="shared" si="54"/>
        <v/>
      </c>
      <c r="W208" s="34" t="str">
        <f t="shared" si="55"/>
        <v/>
      </c>
      <c r="X208" s="34">
        <f t="shared" si="56"/>
        <v>0</v>
      </c>
      <c r="Y208" s="34" t="str">
        <f t="shared" si="57"/>
        <v/>
      </c>
      <c r="Z208" s="34" t="str">
        <f>IF(X208=1,V208,IF(Y208="","",IF(COUNTIF(Y$3:Y207,Y208)=0,Y208,"")))</f>
        <v/>
      </c>
      <c r="AA208" s="34" t="b">
        <f t="shared" si="58"/>
        <v>0</v>
      </c>
      <c r="AB208" s="34">
        <f t="shared" si="59"/>
        <v>0</v>
      </c>
      <c r="AC208" s="34" t="str">
        <f>IF(AND(B208&lt;&gt;"",C208=CompteSel,N(B208)&lt;=DateArret,AB208=0),MAX($AC$3:AC207)+1,"")</f>
        <v/>
      </c>
      <c r="AD208" s="34" t="str">
        <f>IF(AND(ISNUMBER(M208),C208=CompteSel),MAX($AD$3:AD207)+1,"")</f>
        <v/>
      </c>
    </row>
    <row r="209" spans="1:30" x14ac:dyDescent="0.35">
      <c r="A209" s="1" t="str">
        <f t="shared" si="45"/>
        <v/>
      </c>
      <c r="B209" s="31"/>
      <c r="C209" s="8"/>
      <c r="D209" s="8"/>
      <c r="E209" s="8"/>
      <c r="F209" s="8"/>
      <c r="G209" s="8"/>
      <c r="H209" s="32"/>
      <c r="I209" s="32"/>
      <c r="J209" s="25" t="str">
        <f>IF(B209="","",IFERROR(VLOOKUP(C209,Soldes_Ouverture,2,FALSE()),0)+SUMIFS($S$4:S209,$C$4:C209,C209))</f>
        <v/>
      </c>
      <c r="K209" s="1" t="str">
        <f t="shared" si="46"/>
        <v/>
      </c>
      <c r="L209" s="1" t="str">
        <f t="shared" si="47"/>
        <v/>
      </c>
      <c r="M209" s="1" t="str">
        <f t="shared" si="48"/>
        <v/>
      </c>
      <c r="N209" s="8"/>
      <c r="O209" s="8"/>
      <c r="P209" s="1" t="str">
        <f t="shared" si="49"/>
        <v/>
      </c>
      <c r="Q209" s="25" t="str">
        <f t="shared" si="50"/>
        <v/>
      </c>
      <c r="R209" s="1" t="str">
        <f t="shared" si="51"/>
        <v/>
      </c>
      <c r="S209" s="33" t="str">
        <f t="shared" si="52"/>
        <v/>
      </c>
      <c r="T209" s="34" t="str">
        <f>IF(B209="","",C209&amp;"|"&amp;ROUND(S209,2)&amp;"|"&amp;COUNTIFS($C$4:C209,C209,$S$4:S209,S209))</f>
        <v/>
      </c>
      <c r="U209" s="34" t="str">
        <f t="shared" si="53"/>
        <v/>
      </c>
      <c r="V209" s="34" t="str">
        <f t="shared" si="54"/>
        <v/>
      </c>
      <c r="W209" s="34" t="str">
        <f t="shared" si="55"/>
        <v/>
      </c>
      <c r="X209" s="34">
        <f t="shared" si="56"/>
        <v>0</v>
      </c>
      <c r="Y209" s="34" t="str">
        <f t="shared" si="57"/>
        <v/>
      </c>
      <c r="Z209" s="34" t="str">
        <f>IF(X209=1,V209,IF(Y209="","",IF(COUNTIF(Y$3:Y208,Y209)=0,Y209,"")))</f>
        <v/>
      </c>
      <c r="AA209" s="34" t="b">
        <f t="shared" si="58"/>
        <v>0</v>
      </c>
      <c r="AB209" s="34">
        <f t="shared" si="59"/>
        <v>0</v>
      </c>
      <c r="AC209" s="34" t="str">
        <f>IF(AND(B209&lt;&gt;"",C209=CompteSel,N(B209)&lt;=DateArret,AB209=0),MAX($AC$3:AC208)+1,"")</f>
        <v/>
      </c>
      <c r="AD209" s="34" t="str">
        <f>IF(AND(ISNUMBER(M209),C209=CompteSel),MAX($AD$3:AD208)+1,"")</f>
        <v/>
      </c>
    </row>
    <row r="210" spans="1:30" x14ac:dyDescent="0.35">
      <c r="A210" s="1" t="str">
        <f t="shared" si="45"/>
        <v/>
      </c>
      <c r="B210" s="31"/>
      <c r="C210" s="8"/>
      <c r="D210" s="8"/>
      <c r="E210" s="8"/>
      <c r="F210" s="8"/>
      <c r="G210" s="8"/>
      <c r="H210" s="32"/>
      <c r="I210" s="32"/>
      <c r="J210" s="25" t="str">
        <f>IF(B210="","",IFERROR(VLOOKUP(C210,Soldes_Ouverture,2,FALSE()),0)+SUMIFS($S$4:S210,$C$4:C210,C210))</f>
        <v/>
      </c>
      <c r="K210" s="1" t="str">
        <f t="shared" si="46"/>
        <v/>
      </c>
      <c r="L210" s="1" t="str">
        <f t="shared" si="47"/>
        <v/>
      </c>
      <c r="M210" s="1" t="str">
        <f t="shared" si="48"/>
        <v/>
      </c>
      <c r="N210" s="8"/>
      <c r="O210" s="8"/>
      <c r="P210" s="1" t="str">
        <f t="shared" si="49"/>
        <v/>
      </c>
      <c r="Q210" s="25" t="str">
        <f t="shared" si="50"/>
        <v/>
      </c>
      <c r="R210" s="1" t="str">
        <f t="shared" si="51"/>
        <v/>
      </c>
      <c r="S210" s="33" t="str">
        <f t="shared" si="52"/>
        <v/>
      </c>
      <c r="T210" s="34" t="str">
        <f>IF(B210="","",C210&amp;"|"&amp;ROUND(S210,2)&amp;"|"&amp;COUNTIFS($C$4:C210,C210,$S$4:S210,S210))</f>
        <v/>
      </c>
      <c r="U210" s="34" t="str">
        <f t="shared" si="53"/>
        <v/>
      </c>
      <c r="V210" s="34" t="str">
        <f t="shared" si="54"/>
        <v/>
      </c>
      <c r="W210" s="34" t="str">
        <f t="shared" si="55"/>
        <v/>
      </c>
      <c r="X210" s="34">
        <f t="shared" si="56"/>
        <v>0</v>
      </c>
      <c r="Y210" s="34" t="str">
        <f t="shared" si="57"/>
        <v/>
      </c>
      <c r="Z210" s="34" t="str">
        <f>IF(X210=1,V210,IF(Y210="","",IF(COUNTIF(Y$3:Y209,Y210)=0,Y210,"")))</f>
        <v/>
      </c>
      <c r="AA210" s="34" t="b">
        <f t="shared" si="58"/>
        <v>0</v>
      </c>
      <c r="AB210" s="34">
        <f t="shared" si="59"/>
        <v>0</v>
      </c>
      <c r="AC210" s="34" t="str">
        <f>IF(AND(B210&lt;&gt;"",C210=CompteSel,N(B210)&lt;=DateArret,AB210=0),MAX($AC$3:AC209)+1,"")</f>
        <v/>
      </c>
      <c r="AD210" s="34" t="str">
        <f>IF(AND(ISNUMBER(M210),C210=CompteSel),MAX($AD$3:AD209)+1,"")</f>
        <v/>
      </c>
    </row>
    <row r="211" spans="1:30" x14ac:dyDescent="0.35">
      <c r="A211" s="1" t="str">
        <f t="shared" si="45"/>
        <v/>
      </c>
      <c r="B211" s="31"/>
      <c r="C211" s="8"/>
      <c r="D211" s="8"/>
      <c r="E211" s="8"/>
      <c r="F211" s="8"/>
      <c r="G211" s="8"/>
      <c r="H211" s="32"/>
      <c r="I211" s="32"/>
      <c r="J211" s="25" t="str">
        <f>IF(B211="","",IFERROR(VLOOKUP(C211,Soldes_Ouverture,2,FALSE()),0)+SUMIFS($S$4:S211,$C$4:C211,C211))</f>
        <v/>
      </c>
      <c r="K211" s="1" t="str">
        <f t="shared" si="46"/>
        <v/>
      </c>
      <c r="L211" s="1" t="str">
        <f t="shared" si="47"/>
        <v/>
      </c>
      <c r="M211" s="1" t="str">
        <f t="shared" si="48"/>
        <v/>
      </c>
      <c r="N211" s="8"/>
      <c r="O211" s="8"/>
      <c r="P211" s="1" t="str">
        <f t="shared" si="49"/>
        <v/>
      </c>
      <c r="Q211" s="25" t="str">
        <f t="shared" si="50"/>
        <v/>
      </c>
      <c r="R211" s="1" t="str">
        <f t="shared" si="51"/>
        <v/>
      </c>
      <c r="S211" s="33" t="str">
        <f t="shared" si="52"/>
        <v/>
      </c>
      <c r="T211" s="34" t="str">
        <f>IF(B211="","",C211&amp;"|"&amp;ROUND(S211,2)&amp;"|"&amp;COUNTIFS($C$4:C211,C211,$S$4:S211,S211))</f>
        <v/>
      </c>
      <c r="U211" s="34" t="str">
        <f t="shared" si="53"/>
        <v/>
      </c>
      <c r="V211" s="34" t="str">
        <f t="shared" si="54"/>
        <v/>
      </c>
      <c r="W211" s="34" t="str">
        <f t="shared" si="55"/>
        <v/>
      </c>
      <c r="X211" s="34">
        <f t="shared" si="56"/>
        <v>0</v>
      </c>
      <c r="Y211" s="34" t="str">
        <f t="shared" si="57"/>
        <v/>
      </c>
      <c r="Z211" s="34" t="str">
        <f>IF(X211=1,V211,IF(Y211="","",IF(COUNTIF(Y$3:Y210,Y211)=0,Y211,"")))</f>
        <v/>
      </c>
      <c r="AA211" s="34" t="b">
        <f t="shared" si="58"/>
        <v>0</v>
      </c>
      <c r="AB211" s="34">
        <f t="shared" si="59"/>
        <v>0</v>
      </c>
      <c r="AC211" s="34" t="str">
        <f>IF(AND(B211&lt;&gt;"",C211=CompteSel,N(B211)&lt;=DateArret,AB211=0),MAX($AC$3:AC210)+1,"")</f>
        <v/>
      </c>
      <c r="AD211" s="34" t="str">
        <f>IF(AND(ISNUMBER(M211),C211=CompteSel),MAX($AD$3:AD210)+1,"")</f>
        <v/>
      </c>
    </row>
    <row r="212" spans="1:30" x14ac:dyDescent="0.35">
      <c r="A212" s="1" t="str">
        <f t="shared" si="45"/>
        <v/>
      </c>
      <c r="B212" s="31"/>
      <c r="C212" s="8"/>
      <c r="D212" s="8"/>
      <c r="E212" s="8"/>
      <c r="F212" s="8"/>
      <c r="G212" s="8"/>
      <c r="H212" s="32"/>
      <c r="I212" s="32"/>
      <c r="J212" s="25" t="str">
        <f>IF(B212="","",IFERROR(VLOOKUP(C212,Soldes_Ouverture,2,FALSE()),0)+SUMIFS($S$4:S212,$C$4:C212,C212))</f>
        <v/>
      </c>
      <c r="K212" s="1" t="str">
        <f t="shared" si="46"/>
        <v/>
      </c>
      <c r="L212" s="1" t="str">
        <f t="shared" si="47"/>
        <v/>
      </c>
      <c r="M212" s="1" t="str">
        <f t="shared" si="48"/>
        <v/>
      </c>
      <c r="N212" s="8"/>
      <c r="O212" s="8"/>
      <c r="P212" s="1" t="str">
        <f t="shared" si="49"/>
        <v/>
      </c>
      <c r="Q212" s="25" t="str">
        <f t="shared" si="50"/>
        <v/>
      </c>
      <c r="R212" s="1" t="str">
        <f t="shared" si="51"/>
        <v/>
      </c>
      <c r="S212" s="33" t="str">
        <f t="shared" si="52"/>
        <v/>
      </c>
      <c r="T212" s="34" t="str">
        <f>IF(B212="","",C212&amp;"|"&amp;ROUND(S212,2)&amp;"|"&amp;COUNTIFS($C$4:C212,C212,$S$4:S212,S212))</f>
        <v/>
      </c>
      <c r="U212" s="34" t="str">
        <f t="shared" si="53"/>
        <v/>
      </c>
      <c r="V212" s="34" t="str">
        <f t="shared" si="54"/>
        <v/>
      </c>
      <c r="W212" s="34" t="str">
        <f t="shared" si="55"/>
        <v/>
      </c>
      <c r="X212" s="34">
        <f t="shared" si="56"/>
        <v>0</v>
      </c>
      <c r="Y212" s="34" t="str">
        <f t="shared" si="57"/>
        <v/>
      </c>
      <c r="Z212" s="34" t="str">
        <f>IF(X212=1,V212,IF(Y212="","",IF(COUNTIF(Y$3:Y211,Y212)=0,Y212,"")))</f>
        <v/>
      </c>
      <c r="AA212" s="34" t="b">
        <f t="shared" si="58"/>
        <v>0</v>
      </c>
      <c r="AB212" s="34">
        <f t="shared" si="59"/>
        <v>0</v>
      </c>
      <c r="AC212" s="34" t="str">
        <f>IF(AND(B212&lt;&gt;"",C212=CompteSel,N(B212)&lt;=DateArret,AB212=0),MAX($AC$3:AC211)+1,"")</f>
        <v/>
      </c>
      <c r="AD212" s="34" t="str">
        <f>IF(AND(ISNUMBER(M212),C212=CompteSel),MAX($AD$3:AD211)+1,"")</f>
        <v/>
      </c>
    </row>
    <row r="213" spans="1:30" x14ac:dyDescent="0.35">
      <c r="A213" s="1" t="str">
        <f t="shared" si="45"/>
        <v/>
      </c>
      <c r="B213" s="31"/>
      <c r="C213" s="8"/>
      <c r="D213" s="8"/>
      <c r="E213" s="8"/>
      <c r="F213" s="8"/>
      <c r="G213" s="8"/>
      <c r="H213" s="32"/>
      <c r="I213" s="32"/>
      <c r="J213" s="25" t="str">
        <f>IF(B213="","",IFERROR(VLOOKUP(C213,Soldes_Ouverture,2,FALSE()),0)+SUMIFS($S$4:S213,$C$4:C213,C213))</f>
        <v/>
      </c>
      <c r="K213" s="1" t="str">
        <f t="shared" si="46"/>
        <v/>
      </c>
      <c r="L213" s="1" t="str">
        <f t="shared" si="47"/>
        <v/>
      </c>
      <c r="M213" s="1" t="str">
        <f t="shared" si="48"/>
        <v/>
      </c>
      <c r="N213" s="8"/>
      <c r="O213" s="8"/>
      <c r="P213" s="1" t="str">
        <f t="shared" si="49"/>
        <v/>
      </c>
      <c r="Q213" s="25" t="str">
        <f t="shared" si="50"/>
        <v/>
      </c>
      <c r="R213" s="1" t="str">
        <f t="shared" si="51"/>
        <v/>
      </c>
      <c r="S213" s="33" t="str">
        <f t="shared" si="52"/>
        <v/>
      </c>
      <c r="T213" s="34" t="str">
        <f>IF(B213="","",C213&amp;"|"&amp;ROUND(S213,2)&amp;"|"&amp;COUNTIFS($C$4:C213,C213,$S$4:S213,S213))</f>
        <v/>
      </c>
      <c r="U213" s="34" t="str">
        <f t="shared" si="53"/>
        <v/>
      </c>
      <c r="V213" s="34" t="str">
        <f t="shared" si="54"/>
        <v/>
      </c>
      <c r="W213" s="34" t="str">
        <f t="shared" si="55"/>
        <v/>
      </c>
      <c r="X213" s="34">
        <f t="shared" si="56"/>
        <v>0</v>
      </c>
      <c r="Y213" s="34" t="str">
        <f t="shared" si="57"/>
        <v/>
      </c>
      <c r="Z213" s="34" t="str">
        <f>IF(X213=1,V213,IF(Y213="","",IF(COUNTIF(Y$3:Y212,Y213)=0,Y213,"")))</f>
        <v/>
      </c>
      <c r="AA213" s="34" t="b">
        <f t="shared" si="58"/>
        <v>0</v>
      </c>
      <c r="AB213" s="34">
        <f t="shared" si="59"/>
        <v>0</v>
      </c>
      <c r="AC213" s="34" t="str">
        <f>IF(AND(B213&lt;&gt;"",C213=CompteSel,N(B213)&lt;=DateArret,AB213=0),MAX($AC$3:AC212)+1,"")</f>
        <v/>
      </c>
      <c r="AD213" s="34" t="str">
        <f>IF(AND(ISNUMBER(M213),C213=CompteSel),MAX($AD$3:AD212)+1,"")</f>
        <v/>
      </c>
    </row>
    <row r="214" spans="1:30" x14ac:dyDescent="0.35">
      <c r="A214" s="1" t="str">
        <f t="shared" si="45"/>
        <v/>
      </c>
      <c r="B214" s="31"/>
      <c r="C214" s="8"/>
      <c r="D214" s="8"/>
      <c r="E214" s="8"/>
      <c r="F214" s="8"/>
      <c r="G214" s="8"/>
      <c r="H214" s="32"/>
      <c r="I214" s="32"/>
      <c r="J214" s="25" t="str">
        <f>IF(B214="","",IFERROR(VLOOKUP(C214,Soldes_Ouverture,2,FALSE()),0)+SUMIFS($S$4:S214,$C$4:C214,C214))</f>
        <v/>
      </c>
      <c r="K214" s="1" t="str">
        <f t="shared" si="46"/>
        <v/>
      </c>
      <c r="L214" s="1" t="str">
        <f t="shared" si="47"/>
        <v/>
      </c>
      <c r="M214" s="1" t="str">
        <f t="shared" si="48"/>
        <v/>
      </c>
      <c r="N214" s="8"/>
      <c r="O214" s="8"/>
      <c r="P214" s="1" t="str">
        <f t="shared" si="49"/>
        <v/>
      </c>
      <c r="Q214" s="25" t="str">
        <f t="shared" si="50"/>
        <v/>
      </c>
      <c r="R214" s="1" t="str">
        <f t="shared" si="51"/>
        <v/>
      </c>
      <c r="S214" s="33" t="str">
        <f t="shared" si="52"/>
        <v/>
      </c>
      <c r="T214" s="34" t="str">
        <f>IF(B214="","",C214&amp;"|"&amp;ROUND(S214,2)&amp;"|"&amp;COUNTIFS($C$4:C214,C214,$S$4:S214,S214))</f>
        <v/>
      </c>
      <c r="U214" s="34" t="str">
        <f t="shared" si="53"/>
        <v/>
      </c>
      <c r="V214" s="34" t="str">
        <f t="shared" si="54"/>
        <v/>
      </c>
      <c r="W214" s="34" t="str">
        <f t="shared" si="55"/>
        <v/>
      </c>
      <c r="X214" s="34">
        <f t="shared" si="56"/>
        <v>0</v>
      </c>
      <c r="Y214" s="34" t="str">
        <f t="shared" si="57"/>
        <v/>
      </c>
      <c r="Z214" s="34" t="str">
        <f>IF(X214=1,V214,IF(Y214="","",IF(COUNTIF(Y$3:Y213,Y214)=0,Y214,"")))</f>
        <v/>
      </c>
      <c r="AA214" s="34" t="b">
        <f t="shared" si="58"/>
        <v>0</v>
      </c>
      <c r="AB214" s="34">
        <f t="shared" si="59"/>
        <v>0</v>
      </c>
      <c r="AC214" s="34" t="str">
        <f>IF(AND(B214&lt;&gt;"",C214=CompteSel,N(B214)&lt;=DateArret,AB214=0),MAX($AC$3:AC213)+1,"")</f>
        <v/>
      </c>
      <c r="AD214" s="34" t="str">
        <f>IF(AND(ISNUMBER(M214),C214=CompteSel),MAX($AD$3:AD213)+1,"")</f>
        <v/>
      </c>
    </row>
    <row r="215" spans="1:30" x14ac:dyDescent="0.35">
      <c r="A215" s="1" t="str">
        <f t="shared" si="45"/>
        <v/>
      </c>
      <c r="B215" s="31"/>
      <c r="C215" s="8"/>
      <c r="D215" s="8"/>
      <c r="E215" s="8"/>
      <c r="F215" s="8"/>
      <c r="G215" s="8"/>
      <c r="H215" s="32"/>
      <c r="I215" s="32"/>
      <c r="J215" s="25" t="str">
        <f>IF(B215="","",IFERROR(VLOOKUP(C215,Soldes_Ouverture,2,FALSE()),0)+SUMIFS($S$4:S215,$C$4:C215,C215))</f>
        <v/>
      </c>
      <c r="K215" s="1" t="str">
        <f t="shared" si="46"/>
        <v/>
      </c>
      <c r="L215" s="1" t="str">
        <f t="shared" si="47"/>
        <v/>
      </c>
      <c r="M215" s="1" t="str">
        <f t="shared" si="48"/>
        <v/>
      </c>
      <c r="N215" s="8"/>
      <c r="O215" s="8"/>
      <c r="P215" s="1" t="str">
        <f t="shared" si="49"/>
        <v/>
      </c>
      <c r="Q215" s="25" t="str">
        <f t="shared" si="50"/>
        <v/>
      </c>
      <c r="R215" s="1" t="str">
        <f t="shared" si="51"/>
        <v/>
      </c>
      <c r="S215" s="33" t="str">
        <f t="shared" si="52"/>
        <v/>
      </c>
      <c r="T215" s="34" t="str">
        <f>IF(B215="","",C215&amp;"|"&amp;ROUND(S215,2)&amp;"|"&amp;COUNTIFS($C$4:C215,C215,$S$4:S215,S215))</f>
        <v/>
      </c>
      <c r="U215" s="34" t="str">
        <f t="shared" si="53"/>
        <v/>
      </c>
      <c r="V215" s="34" t="str">
        <f t="shared" si="54"/>
        <v/>
      </c>
      <c r="W215" s="34" t="str">
        <f t="shared" si="55"/>
        <v/>
      </c>
      <c r="X215" s="34">
        <f t="shared" si="56"/>
        <v>0</v>
      </c>
      <c r="Y215" s="34" t="str">
        <f t="shared" si="57"/>
        <v/>
      </c>
      <c r="Z215" s="34" t="str">
        <f>IF(X215=1,V215,IF(Y215="","",IF(COUNTIF(Y$3:Y214,Y215)=0,Y215,"")))</f>
        <v/>
      </c>
      <c r="AA215" s="34" t="b">
        <f t="shared" si="58"/>
        <v>0</v>
      </c>
      <c r="AB215" s="34">
        <f t="shared" si="59"/>
        <v>0</v>
      </c>
      <c r="AC215" s="34" t="str">
        <f>IF(AND(B215&lt;&gt;"",C215=CompteSel,N(B215)&lt;=DateArret,AB215=0),MAX($AC$3:AC214)+1,"")</f>
        <v/>
      </c>
      <c r="AD215" s="34" t="str">
        <f>IF(AND(ISNUMBER(M215),C215=CompteSel),MAX($AD$3:AD214)+1,"")</f>
        <v/>
      </c>
    </row>
    <row r="216" spans="1:30" x14ac:dyDescent="0.35">
      <c r="A216" s="1" t="str">
        <f t="shared" si="45"/>
        <v/>
      </c>
      <c r="B216" s="31"/>
      <c r="C216" s="8"/>
      <c r="D216" s="8"/>
      <c r="E216" s="8"/>
      <c r="F216" s="8"/>
      <c r="G216" s="8"/>
      <c r="H216" s="32"/>
      <c r="I216" s="32"/>
      <c r="J216" s="25" t="str">
        <f>IF(B216="","",IFERROR(VLOOKUP(C216,Soldes_Ouverture,2,FALSE()),0)+SUMIFS($S$4:S216,$C$4:C216,C216))</f>
        <v/>
      </c>
      <c r="K216" s="1" t="str">
        <f t="shared" si="46"/>
        <v/>
      </c>
      <c r="L216" s="1" t="str">
        <f t="shared" si="47"/>
        <v/>
      </c>
      <c r="M216" s="1" t="str">
        <f t="shared" si="48"/>
        <v/>
      </c>
      <c r="N216" s="8"/>
      <c r="O216" s="8"/>
      <c r="P216" s="1" t="str">
        <f t="shared" si="49"/>
        <v/>
      </c>
      <c r="Q216" s="25" t="str">
        <f t="shared" si="50"/>
        <v/>
      </c>
      <c r="R216" s="1" t="str">
        <f t="shared" si="51"/>
        <v/>
      </c>
      <c r="S216" s="33" t="str">
        <f t="shared" si="52"/>
        <v/>
      </c>
      <c r="T216" s="34" t="str">
        <f>IF(B216="","",C216&amp;"|"&amp;ROUND(S216,2)&amp;"|"&amp;COUNTIFS($C$4:C216,C216,$S$4:S216,S216))</f>
        <v/>
      </c>
      <c r="U216" s="34" t="str">
        <f t="shared" si="53"/>
        <v/>
      </c>
      <c r="V216" s="34" t="str">
        <f t="shared" si="54"/>
        <v/>
      </c>
      <c r="W216" s="34" t="str">
        <f t="shared" si="55"/>
        <v/>
      </c>
      <c r="X216" s="34">
        <f t="shared" si="56"/>
        <v>0</v>
      </c>
      <c r="Y216" s="34" t="str">
        <f t="shared" si="57"/>
        <v/>
      </c>
      <c r="Z216" s="34" t="str">
        <f>IF(X216=1,V216,IF(Y216="","",IF(COUNTIF(Y$3:Y215,Y216)=0,Y216,"")))</f>
        <v/>
      </c>
      <c r="AA216" s="34" t="b">
        <f t="shared" si="58"/>
        <v>0</v>
      </c>
      <c r="AB216" s="34">
        <f t="shared" si="59"/>
        <v>0</v>
      </c>
      <c r="AC216" s="34" t="str">
        <f>IF(AND(B216&lt;&gt;"",C216=CompteSel,N(B216)&lt;=DateArret,AB216=0),MAX($AC$3:AC215)+1,"")</f>
        <v/>
      </c>
      <c r="AD216" s="34" t="str">
        <f>IF(AND(ISNUMBER(M216),C216=CompteSel),MAX($AD$3:AD215)+1,"")</f>
        <v/>
      </c>
    </row>
    <row r="217" spans="1:30" x14ac:dyDescent="0.35">
      <c r="A217" s="1" t="str">
        <f t="shared" si="45"/>
        <v/>
      </c>
      <c r="B217" s="31"/>
      <c r="C217" s="8"/>
      <c r="D217" s="8"/>
      <c r="E217" s="8"/>
      <c r="F217" s="8"/>
      <c r="G217" s="8"/>
      <c r="H217" s="32"/>
      <c r="I217" s="32"/>
      <c r="J217" s="25" t="str">
        <f>IF(B217="","",IFERROR(VLOOKUP(C217,Soldes_Ouverture,2,FALSE()),0)+SUMIFS($S$4:S217,$C$4:C217,C217))</f>
        <v/>
      </c>
      <c r="K217" s="1" t="str">
        <f t="shared" si="46"/>
        <v/>
      </c>
      <c r="L217" s="1" t="str">
        <f t="shared" si="47"/>
        <v/>
      </c>
      <c r="M217" s="1" t="str">
        <f t="shared" si="48"/>
        <v/>
      </c>
      <c r="N217" s="8"/>
      <c r="O217" s="8"/>
      <c r="P217" s="1" t="str">
        <f t="shared" si="49"/>
        <v/>
      </c>
      <c r="Q217" s="25" t="str">
        <f t="shared" si="50"/>
        <v/>
      </c>
      <c r="R217" s="1" t="str">
        <f t="shared" si="51"/>
        <v/>
      </c>
      <c r="S217" s="33" t="str">
        <f t="shared" si="52"/>
        <v/>
      </c>
      <c r="T217" s="34" t="str">
        <f>IF(B217="","",C217&amp;"|"&amp;ROUND(S217,2)&amp;"|"&amp;COUNTIFS($C$4:C217,C217,$S$4:S217,S217))</f>
        <v/>
      </c>
      <c r="U217" s="34" t="str">
        <f t="shared" si="53"/>
        <v/>
      </c>
      <c r="V217" s="34" t="str">
        <f t="shared" si="54"/>
        <v/>
      </c>
      <c r="W217" s="34" t="str">
        <f t="shared" si="55"/>
        <v/>
      </c>
      <c r="X217" s="34">
        <f t="shared" si="56"/>
        <v>0</v>
      </c>
      <c r="Y217" s="34" t="str">
        <f t="shared" si="57"/>
        <v/>
      </c>
      <c r="Z217" s="34" t="str">
        <f>IF(X217=1,V217,IF(Y217="","",IF(COUNTIF(Y$3:Y216,Y217)=0,Y217,"")))</f>
        <v/>
      </c>
      <c r="AA217" s="34" t="b">
        <f t="shared" si="58"/>
        <v>0</v>
      </c>
      <c r="AB217" s="34">
        <f t="shared" si="59"/>
        <v>0</v>
      </c>
      <c r="AC217" s="34" t="str">
        <f>IF(AND(B217&lt;&gt;"",C217=CompteSel,N(B217)&lt;=DateArret,AB217=0),MAX($AC$3:AC216)+1,"")</f>
        <v/>
      </c>
      <c r="AD217" s="34" t="str">
        <f>IF(AND(ISNUMBER(M217),C217=CompteSel),MAX($AD$3:AD216)+1,"")</f>
        <v/>
      </c>
    </row>
    <row r="218" spans="1:30" x14ac:dyDescent="0.35">
      <c r="A218" s="1" t="str">
        <f t="shared" si="45"/>
        <v/>
      </c>
      <c r="B218" s="31"/>
      <c r="C218" s="8"/>
      <c r="D218" s="8"/>
      <c r="E218" s="8"/>
      <c r="F218" s="8"/>
      <c r="G218" s="8"/>
      <c r="H218" s="32"/>
      <c r="I218" s="32"/>
      <c r="J218" s="25" t="str">
        <f>IF(B218="","",IFERROR(VLOOKUP(C218,Soldes_Ouverture,2,FALSE()),0)+SUMIFS($S$4:S218,$C$4:C218,C218))</f>
        <v/>
      </c>
      <c r="K218" s="1" t="str">
        <f t="shared" si="46"/>
        <v/>
      </c>
      <c r="L218" s="1" t="str">
        <f t="shared" si="47"/>
        <v/>
      </c>
      <c r="M218" s="1" t="str">
        <f t="shared" si="48"/>
        <v/>
      </c>
      <c r="N218" s="8"/>
      <c r="O218" s="8"/>
      <c r="P218" s="1" t="str">
        <f t="shared" si="49"/>
        <v/>
      </c>
      <c r="Q218" s="25" t="str">
        <f t="shared" si="50"/>
        <v/>
      </c>
      <c r="R218" s="1" t="str">
        <f t="shared" si="51"/>
        <v/>
      </c>
      <c r="S218" s="33" t="str">
        <f t="shared" si="52"/>
        <v/>
      </c>
      <c r="T218" s="34" t="str">
        <f>IF(B218="","",C218&amp;"|"&amp;ROUND(S218,2)&amp;"|"&amp;COUNTIFS($C$4:C218,C218,$S$4:S218,S218))</f>
        <v/>
      </c>
      <c r="U218" s="34" t="str">
        <f t="shared" si="53"/>
        <v/>
      </c>
      <c r="V218" s="34" t="str">
        <f t="shared" si="54"/>
        <v/>
      </c>
      <c r="W218" s="34" t="str">
        <f t="shared" si="55"/>
        <v/>
      </c>
      <c r="X218" s="34">
        <f t="shared" si="56"/>
        <v>0</v>
      </c>
      <c r="Y218" s="34" t="str">
        <f t="shared" si="57"/>
        <v/>
      </c>
      <c r="Z218" s="34" t="str">
        <f>IF(X218=1,V218,IF(Y218="","",IF(COUNTIF(Y$3:Y217,Y218)=0,Y218,"")))</f>
        <v/>
      </c>
      <c r="AA218" s="34" t="b">
        <f t="shared" si="58"/>
        <v>0</v>
      </c>
      <c r="AB218" s="34">
        <f t="shared" si="59"/>
        <v>0</v>
      </c>
      <c r="AC218" s="34" t="str">
        <f>IF(AND(B218&lt;&gt;"",C218=CompteSel,N(B218)&lt;=DateArret,AB218=0),MAX($AC$3:AC217)+1,"")</f>
        <v/>
      </c>
      <c r="AD218" s="34" t="str">
        <f>IF(AND(ISNUMBER(M218),C218=CompteSel),MAX($AD$3:AD217)+1,"")</f>
        <v/>
      </c>
    </row>
    <row r="219" spans="1:30" x14ac:dyDescent="0.35">
      <c r="A219" s="1" t="str">
        <f t="shared" si="45"/>
        <v/>
      </c>
      <c r="B219" s="31"/>
      <c r="C219" s="8"/>
      <c r="D219" s="8"/>
      <c r="E219" s="8"/>
      <c r="F219" s="8"/>
      <c r="G219" s="8"/>
      <c r="H219" s="32"/>
      <c r="I219" s="32"/>
      <c r="J219" s="25" t="str">
        <f>IF(B219="","",IFERROR(VLOOKUP(C219,Soldes_Ouverture,2,FALSE()),0)+SUMIFS($S$4:S219,$C$4:C219,C219))</f>
        <v/>
      </c>
      <c r="K219" s="1" t="str">
        <f t="shared" si="46"/>
        <v/>
      </c>
      <c r="L219" s="1" t="str">
        <f t="shared" si="47"/>
        <v/>
      </c>
      <c r="M219" s="1" t="str">
        <f t="shared" si="48"/>
        <v/>
      </c>
      <c r="N219" s="8"/>
      <c r="O219" s="8"/>
      <c r="P219" s="1" t="str">
        <f t="shared" si="49"/>
        <v/>
      </c>
      <c r="Q219" s="25" t="str">
        <f t="shared" si="50"/>
        <v/>
      </c>
      <c r="R219" s="1" t="str">
        <f t="shared" si="51"/>
        <v/>
      </c>
      <c r="S219" s="33" t="str">
        <f t="shared" si="52"/>
        <v/>
      </c>
      <c r="T219" s="34" t="str">
        <f>IF(B219="","",C219&amp;"|"&amp;ROUND(S219,2)&amp;"|"&amp;COUNTIFS($C$4:C219,C219,$S$4:S219,S219))</f>
        <v/>
      </c>
      <c r="U219" s="34" t="str">
        <f t="shared" si="53"/>
        <v/>
      </c>
      <c r="V219" s="34" t="str">
        <f t="shared" si="54"/>
        <v/>
      </c>
      <c r="W219" s="34" t="str">
        <f t="shared" si="55"/>
        <v/>
      </c>
      <c r="X219" s="34">
        <f t="shared" si="56"/>
        <v>0</v>
      </c>
      <c r="Y219" s="34" t="str">
        <f t="shared" si="57"/>
        <v/>
      </c>
      <c r="Z219" s="34" t="str">
        <f>IF(X219=1,V219,IF(Y219="","",IF(COUNTIF(Y$3:Y218,Y219)=0,Y219,"")))</f>
        <v/>
      </c>
      <c r="AA219" s="34" t="b">
        <f t="shared" si="58"/>
        <v>0</v>
      </c>
      <c r="AB219" s="34">
        <f t="shared" si="59"/>
        <v>0</v>
      </c>
      <c r="AC219" s="34" t="str">
        <f>IF(AND(B219&lt;&gt;"",C219=CompteSel,N(B219)&lt;=DateArret,AB219=0),MAX($AC$3:AC218)+1,"")</f>
        <v/>
      </c>
      <c r="AD219" s="34" t="str">
        <f>IF(AND(ISNUMBER(M219),C219=CompteSel),MAX($AD$3:AD218)+1,"")</f>
        <v/>
      </c>
    </row>
    <row r="220" spans="1:30" x14ac:dyDescent="0.35">
      <c r="A220" s="1" t="str">
        <f t="shared" si="45"/>
        <v/>
      </c>
      <c r="B220" s="31"/>
      <c r="C220" s="8"/>
      <c r="D220" s="8"/>
      <c r="E220" s="8"/>
      <c r="F220" s="8"/>
      <c r="G220" s="8"/>
      <c r="H220" s="32"/>
      <c r="I220" s="32"/>
      <c r="J220" s="25" t="str">
        <f>IF(B220="","",IFERROR(VLOOKUP(C220,Soldes_Ouverture,2,FALSE()),0)+SUMIFS($S$4:S220,$C$4:C220,C220))</f>
        <v/>
      </c>
      <c r="K220" s="1" t="str">
        <f t="shared" si="46"/>
        <v/>
      </c>
      <c r="L220" s="1" t="str">
        <f t="shared" si="47"/>
        <v/>
      </c>
      <c r="M220" s="1" t="str">
        <f t="shared" si="48"/>
        <v/>
      </c>
      <c r="N220" s="8"/>
      <c r="O220" s="8"/>
      <c r="P220" s="1" t="str">
        <f t="shared" si="49"/>
        <v/>
      </c>
      <c r="Q220" s="25" t="str">
        <f t="shared" si="50"/>
        <v/>
      </c>
      <c r="R220" s="1" t="str">
        <f t="shared" si="51"/>
        <v/>
      </c>
      <c r="S220" s="33" t="str">
        <f t="shared" si="52"/>
        <v/>
      </c>
      <c r="T220" s="34" t="str">
        <f>IF(B220="","",C220&amp;"|"&amp;ROUND(S220,2)&amp;"|"&amp;COUNTIFS($C$4:C220,C220,$S$4:S220,S220))</f>
        <v/>
      </c>
      <c r="U220" s="34" t="str">
        <f t="shared" si="53"/>
        <v/>
      </c>
      <c r="V220" s="34" t="str">
        <f t="shared" si="54"/>
        <v/>
      </c>
      <c r="W220" s="34" t="str">
        <f t="shared" si="55"/>
        <v/>
      </c>
      <c r="X220" s="34">
        <f t="shared" si="56"/>
        <v>0</v>
      </c>
      <c r="Y220" s="34" t="str">
        <f t="shared" si="57"/>
        <v/>
      </c>
      <c r="Z220" s="34" t="str">
        <f>IF(X220=1,V220,IF(Y220="","",IF(COUNTIF(Y$3:Y219,Y220)=0,Y220,"")))</f>
        <v/>
      </c>
      <c r="AA220" s="34" t="b">
        <f t="shared" si="58"/>
        <v>0</v>
      </c>
      <c r="AB220" s="34">
        <f t="shared" si="59"/>
        <v>0</v>
      </c>
      <c r="AC220" s="34" t="str">
        <f>IF(AND(B220&lt;&gt;"",C220=CompteSel,N(B220)&lt;=DateArret,AB220=0),MAX($AC$3:AC219)+1,"")</f>
        <v/>
      </c>
      <c r="AD220" s="34" t="str">
        <f>IF(AND(ISNUMBER(M220),C220=CompteSel),MAX($AD$3:AD219)+1,"")</f>
        <v/>
      </c>
    </row>
    <row r="221" spans="1:30" x14ac:dyDescent="0.35">
      <c r="A221" s="1" t="str">
        <f t="shared" si="45"/>
        <v/>
      </c>
      <c r="B221" s="31"/>
      <c r="C221" s="8"/>
      <c r="D221" s="8"/>
      <c r="E221" s="8"/>
      <c r="F221" s="8"/>
      <c r="G221" s="8"/>
      <c r="H221" s="32"/>
      <c r="I221" s="32"/>
      <c r="J221" s="25" t="str">
        <f>IF(B221="","",IFERROR(VLOOKUP(C221,Soldes_Ouverture,2,FALSE()),0)+SUMIFS($S$4:S221,$C$4:C221,C221))</f>
        <v/>
      </c>
      <c r="K221" s="1" t="str">
        <f t="shared" si="46"/>
        <v/>
      </c>
      <c r="L221" s="1" t="str">
        <f t="shared" si="47"/>
        <v/>
      </c>
      <c r="M221" s="1" t="str">
        <f t="shared" si="48"/>
        <v/>
      </c>
      <c r="N221" s="8"/>
      <c r="O221" s="8"/>
      <c r="P221" s="1" t="str">
        <f t="shared" si="49"/>
        <v/>
      </c>
      <c r="Q221" s="25" t="str">
        <f t="shared" si="50"/>
        <v/>
      </c>
      <c r="R221" s="1" t="str">
        <f t="shared" si="51"/>
        <v/>
      </c>
      <c r="S221" s="33" t="str">
        <f t="shared" si="52"/>
        <v/>
      </c>
      <c r="T221" s="34" t="str">
        <f>IF(B221="","",C221&amp;"|"&amp;ROUND(S221,2)&amp;"|"&amp;COUNTIFS($C$4:C221,C221,$S$4:S221,S221))</f>
        <v/>
      </c>
      <c r="U221" s="34" t="str">
        <f t="shared" si="53"/>
        <v/>
      </c>
      <c r="V221" s="34" t="str">
        <f t="shared" si="54"/>
        <v/>
      </c>
      <c r="W221" s="34" t="str">
        <f t="shared" si="55"/>
        <v/>
      </c>
      <c r="X221" s="34">
        <f t="shared" si="56"/>
        <v>0</v>
      </c>
      <c r="Y221" s="34" t="str">
        <f t="shared" si="57"/>
        <v/>
      </c>
      <c r="Z221" s="34" t="str">
        <f>IF(X221=1,V221,IF(Y221="","",IF(COUNTIF(Y$3:Y220,Y221)=0,Y221,"")))</f>
        <v/>
      </c>
      <c r="AA221" s="34" t="b">
        <f t="shared" si="58"/>
        <v>0</v>
      </c>
      <c r="AB221" s="34">
        <f t="shared" si="59"/>
        <v>0</v>
      </c>
      <c r="AC221" s="34" t="str">
        <f>IF(AND(B221&lt;&gt;"",C221=CompteSel,N(B221)&lt;=DateArret,AB221=0),MAX($AC$3:AC220)+1,"")</f>
        <v/>
      </c>
      <c r="AD221" s="34" t="str">
        <f>IF(AND(ISNUMBER(M221),C221=CompteSel),MAX($AD$3:AD220)+1,"")</f>
        <v/>
      </c>
    </row>
    <row r="222" spans="1:30" x14ac:dyDescent="0.35">
      <c r="A222" s="1" t="str">
        <f t="shared" si="45"/>
        <v/>
      </c>
      <c r="B222" s="31"/>
      <c r="C222" s="8"/>
      <c r="D222" s="8"/>
      <c r="E222" s="8"/>
      <c r="F222" s="8"/>
      <c r="G222" s="8"/>
      <c r="H222" s="32"/>
      <c r="I222" s="32"/>
      <c r="J222" s="25" t="str">
        <f>IF(B222="","",IFERROR(VLOOKUP(C222,Soldes_Ouverture,2,FALSE()),0)+SUMIFS($S$4:S222,$C$4:C222,C222))</f>
        <v/>
      </c>
      <c r="K222" s="1" t="str">
        <f t="shared" si="46"/>
        <v/>
      </c>
      <c r="L222" s="1" t="str">
        <f t="shared" si="47"/>
        <v/>
      </c>
      <c r="M222" s="1" t="str">
        <f t="shared" si="48"/>
        <v/>
      </c>
      <c r="N222" s="8"/>
      <c r="O222" s="8"/>
      <c r="P222" s="1" t="str">
        <f t="shared" si="49"/>
        <v/>
      </c>
      <c r="Q222" s="25" t="str">
        <f t="shared" si="50"/>
        <v/>
      </c>
      <c r="R222" s="1" t="str">
        <f t="shared" si="51"/>
        <v/>
      </c>
      <c r="S222" s="33" t="str">
        <f t="shared" si="52"/>
        <v/>
      </c>
      <c r="T222" s="34" t="str">
        <f>IF(B222="","",C222&amp;"|"&amp;ROUND(S222,2)&amp;"|"&amp;COUNTIFS($C$4:C222,C222,$S$4:S222,S222))</f>
        <v/>
      </c>
      <c r="U222" s="34" t="str">
        <f t="shared" si="53"/>
        <v/>
      </c>
      <c r="V222" s="34" t="str">
        <f t="shared" si="54"/>
        <v/>
      </c>
      <c r="W222" s="34" t="str">
        <f t="shared" si="55"/>
        <v/>
      </c>
      <c r="X222" s="34">
        <f t="shared" si="56"/>
        <v>0</v>
      </c>
      <c r="Y222" s="34" t="str">
        <f t="shared" si="57"/>
        <v/>
      </c>
      <c r="Z222" s="34" t="str">
        <f>IF(X222=1,V222,IF(Y222="","",IF(COUNTIF(Y$3:Y221,Y222)=0,Y222,"")))</f>
        <v/>
      </c>
      <c r="AA222" s="34" t="b">
        <f t="shared" si="58"/>
        <v>0</v>
      </c>
      <c r="AB222" s="34">
        <f t="shared" si="59"/>
        <v>0</v>
      </c>
      <c r="AC222" s="34" t="str">
        <f>IF(AND(B222&lt;&gt;"",C222=CompteSel,N(B222)&lt;=DateArret,AB222=0),MAX($AC$3:AC221)+1,"")</f>
        <v/>
      </c>
      <c r="AD222" s="34" t="str">
        <f>IF(AND(ISNUMBER(M222),C222=CompteSel),MAX($AD$3:AD221)+1,"")</f>
        <v/>
      </c>
    </row>
    <row r="223" spans="1:30" x14ac:dyDescent="0.35">
      <c r="A223" s="1" t="str">
        <f t="shared" si="45"/>
        <v/>
      </c>
      <c r="B223" s="31"/>
      <c r="C223" s="8"/>
      <c r="D223" s="8"/>
      <c r="E223" s="8"/>
      <c r="F223" s="8"/>
      <c r="G223" s="8"/>
      <c r="H223" s="32"/>
      <c r="I223" s="32"/>
      <c r="J223" s="25" t="str">
        <f>IF(B223="","",IFERROR(VLOOKUP(C223,Soldes_Ouverture,2,FALSE()),0)+SUMIFS($S$4:S223,$C$4:C223,C223))</f>
        <v/>
      </c>
      <c r="K223" s="1" t="str">
        <f t="shared" si="46"/>
        <v/>
      </c>
      <c r="L223" s="1" t="str">
        <f t="shared" si="47"/>
        <v/>
      </c>
      <c r="M223" s="1" t="str">
        <f t="shared" si="48"/>
        <v/>
      </c>
      <c r="N223" s="8"/>
      <c r="O223" s="8"/>
      <c r="P223" s="1" t="str">
        <f t="shared" si="49"/>
        <v/>
      </c>
      <c r="Q223" s="25" t="str">
        <f t="shared" si="50"/>
        <v/>
      </c>
      <c r="R223" s="1" t="str">
        <f t="shared" si="51"/>
        <v/>
      </c>
      <c r="S223" s="33" t="str">
        <f t="shared" si="52"/>
        <v/>
      </c>
      <c r="T223" s="34" t="str">
        <f>IF(B223="","",C223&amp;"|"&amp;ROUND(S223,2)&amp;"|"&amp;COUNTIFS($C$4:C223,C223,$S$4:S223,S223))</f>
        <v/>
      </c>
      <c r="U223" s="34" t="str">
        <f t="shared" si="53"/>
        <v/>
      </c>
      <c r="V223" s="34" t="str">
        <f t="shared" si="54"/>
        <v/>
      </c>
      <c r="W223" s="34" t="str">
        <f t="shared" si="55"/>
        <v/>
      </c>
      <c r="X223" s="34">
        <f t="shared" si="56"/>
        <v>0</v>
      </c>
      <c r="Y223" s="34" t="str">
        <f t="shared" si="57"/>
        <v/>
      </c>
      <c r="Z223" s="34" t="str">
        <f>IF(X223=1,V223,IF(Y223="","",IF(COUNTIF(Y$3:Y222,Y223)=0,Y223,"")))</f>
        <v/>
      </c>
      <c r="AA223" s="34" t="b">
        <f t="shared" si="58"/>
        <v>0</v>
      </c>
      <c r="AB223" s="34">
        <f t="shared" si="59"/>
        <v>0</v>
      </c>
      <c r="AC223" s="34" t="str">
        <f>IF(AND(B223&lt;&gt;"",C223=CompteSel,N(B223)&lt;=DateArret,AB223=0),MAX($AC$3:AC222)+1,"")</f>
        <v/>
      </c>
      <c r="AD223" s="34" t="str">
        <f>IF(AND(ISNUMBER(M223),C223=CompteSel),MAX($AD$3:AD222)+1,"")</f>
        <v/>
      </c>
    </row>
    <row r="224" spans="1:30" x14ac:dyDescent="0.35">
      <c r="A224" s="1" t="str">
        <f t="shared" si="45"/>
        <v/>
      </c>
      <c r="B224" s="31"/>
      <c r="C224" s="8"/>
      <c r="D224" s="8"/>
      <c r="E224" s="8"/>
      <c r="F224" s="8"/>
      <c r="G224" s="8"/>
      <c r="H224" s="32"/>
      <c r="I224" s="32"/>
      <c r="J224" s="25" t="str">
        <f>IF(B224="","",IFERROR(VLOOKUP(C224,Soldes_Ouverture,2,FALSE()),0)+SUMIFS($S$4:S224,$C$4:C224,C224))</f>
        <v/>
      </c>
      <c r="K224" s="1" t="str">
        <f t="shared" si="46"/>
        <v/>
      </c>
      <c r="L224" s="1" t="str">
        <f t="shared" si="47"/>
        <v/>
      </c>
      <c r="M224" s="1" t="str">
        <f t="shared" si="48"/>
        <v/>
      </c>
      <c r="N224" s="8"/>
      <c r="O224" s="8"/>
      <c r="P224" s="1" t="str">
        <f t="shared" si="49"/>
        <v/>
      </c>
      <c r="Q224" s="25" t="str">
        <f t="shared" si="50"/>
        <v/>
      </c>
      <c r="R224" s="1" t="str">
        <f t="shared" si="51"/>
        <v/>
      </c>
      <c r="S224" s="33" t="str">
        <f t="shared" si="52"/>
        <v/>
      </c>
      <c r="T224" s="34" t="str">
        <f>IF(B224="","",C224&amp;"|"&amp;ROUND(S224,2)&amp;"|"&amp;COUNTIFS($C$4:C224,C224,$S$4:S224,S224))</f>
        <v/>
      </c>
      <c r="U224" s="34" t="str">
        <f t="shared" si="53"/>
        <v/>
      </c>
      <c r="V224" s="34" t="str">
        <f t="shared" si="54"/>
        <v/>
      </c>
      <c r="W224" s="34" t="str">
        <f t="shared" si="55"/>
        <v/>
      </c>
      <c r="X224" s="34">
        <f t="shared" si="56"/>
        <v>0</v>
      </c>
      <c r="Y224" s="34" t="str">
        <f t="shared" si="57"/>
        <v/>
      </c>
      <c r="Z224" s="34" t="str">
        <f>IF(X224=1,V224,IF(Y224="","",IF(COUNTIF(Y$3:Y223,Y224)=0,Y224,"")))</f>
        <v/>
      </c>
      <c r="AA224" s="34" t="b">
        <f t="shared" si="58"/>
        <v>0</v>
      </c>
      <c r="AB224" s="34">
        <f t="shared" si="59"/>
        <v>0</v>
      </c>
      <c r="AC224" s="34" t="str">
        <f>IF(AND(B224&lt;&gt;"",C224=CompteSel,N(B224)&lt;=DateArret,AB224=0),MAX($AC$3:AC223)+1,"")</f>
        <v/>
      </c>
      <c r="AD224" s="34" t="str">
        <f>IF(AND(ISNUMBER(M224),C224=CompteSel),MAX($AD$3:AD223)+1,"")</f>
        <v/>
      </c>
    </row>
    <row r="225" spans="1:30" x14ac:dyDescent="0.35">
      <c r="A225" s="1" t="str">
        <f t="shared" si="45"/>
        <v/>
      </c>
      <c r="B225" s="31"/>
      <c r="C225" s="8"/>
      <c r="D225" s="8"/>
      <c r="E225" s="8"/>
      <c r="F225" s="8"/>
      <c r="G225" s="8"/>
      <c r="H225" s="32"/>
      <c r="I225" s="32"/>
      <c r="J225" s="25" t="str">
        <f>IF(B225="","",IFERROR(VLOOKUP(C225,Soldes_Ouverture,2,FALSE()),0)+SUMIFS($S$4:S225,$C$4:C225,C225))</f>
        <v/>
      </c>
      <c r="K225" s="1" t="str">
        <f t="shared" si="46"/>
        <v/>
      </c>
      <c r="L225" s="1" t="str">
        <f t="shared" si="47"/>
        <v/>
      </c>
      <c r="M225" s="1" t="str">
        <f t="shared" si="48"/>
        <v/>
      </c>
      <c r="N225" s="8"/>
      <c r="O225" s="8"/>
      <c r="P225" s="1" t="str">
        <f t="shared" si="49"/>
        <v/>
      </c>
      <c r="Q225" s="25" t="str">
        <f t="shared" si="50"/>
        <v/>
      </c>
      <c r="R225" s="1" t="str">
        <f t="shared" si="51"/>
        <v/>
      </c>
      <c r="S225" s="33" t="str">
        <f t="shared" si="52"/>
        <v/>
      </c>
      <c r="T225" s="34" t="str">
        <f>IF(B225="","",C225&amp;"|"&amp;ROUND(S225,2)&amp;"|"&amp;COUNTIFS($C$4:C225,C225,$S$4:S225,S225))</f>
        <v/>
      </c>
      <c r="U225" s="34" t="str">
        <f t="shared" si="53"/>
        <v/>
      </c>
      <c r="V225" s="34" t="str">
        <f t="shared" si="54"/>
        <v/>
      </c>
      <c r="W225" s="34" t="str">
        <f t="shared" si="55"/>
        <v/>
      </c>
      <c r="X225" s="34">
        <f t="shared" si="56"/>
        <v>0</v>
      </c>
      <c r="Y225" s="34" t="str">
        <f t="shared" si="57"/>
        <v/>
      </c>
      <c r="Z225" s="34" t="str">
        <f>IF(X225=1,V225,IF(Y225="","",IF(COUNTIF(Y$3:Y224,Y225)=0,Y225,"")))</f>
        <v/>
      </c>
      <c r="AA225" s="34" t="b">
        <f t="shared" si="58"/>
        <v>0</v>
      </c>
      <c r="AB225" s="34">
        <f t="shared" si="59"/>
        <v>0</v>
      </c>
      <c r="AC225" s="34" t="str">
        <f>IF(AND(B225&lt;&gt;"",C225=CompteSel,N(B225)&lt;=DateArret,AB225=0),MAX($AC$3:AC224)+1,"")</f>
        <v/>
      </c>
      <c r="AD225" s="34" t="str">
        <f>IF(AND(ISNUMBER(M225),C225=CompteSel),MAX($AD$3:AD224)+1,"")</f>
        <v/>
      </c>
    </row>
    <row r="226" spans="1:30" x14ac:dyDescent="0.35">
      <c r="A226" s="1" t="str">
        <f t="shared" si="45"/>
        <v/>
      </c>
      <c r="B226" s="31"/>
      <c r="C226" s="8"/>
      <c r="D226" s="8"/>
      <c r="E226" s="8"/>
      <c r="F226" s="8"/>
      <c r="G226" s="8"/>
      <c r="H226" s="32"/>
      <c r="I226" s="32"/>
      <c r="J226" s="25" t="str">
        <f>IF(B226="","",IFERROR(VLOOKUP(C226,Soldes_Ouverture,2,FALSE()),0)+SUMIFS($S$4:S226,$C$4:C226,C226))</f>
        <v/>
      </c>
      <c r="K226" s="1" t="str">
        <f t="shared" si="46"/>
        <v/>
      </c>
      <c r="L226" s="1" t="str">
        <f t="shared" si="47"/>
        <v/>
      </c>
      <c r="M226" s="1" t="str">
        <f t="shared" si="48"/>
        <v/>
      </c>
      <c r="N226" s="8"/>
      <c r="O226" s="8"/>
      <c r="P226" s="1" t="str">
        <f t="shared" si="49"/>
        <v/>
      </c>
      <c r="Q226" s="25" t="str">
        <f t="shared" si="50"/>
        <v/>
      </c>
      <c r="R226" s="1" t="str">
        <f t="shared" si="51"/>
        <v/>
      </c>
      <c r="S226" s="33" t="str">
        <f t="shared" si="52"/>
        <v/>
      </c>
      <c r="T226" s="34" t="str">
        <f>IF(B226="","",C226&amp;"|"&amp;ROUND(S226,2)&amp;"|"&amp;COUNTIFS($C$4:C226,C226,$S$4:S226,S226))</f>
        <v/>
      </c>
      <c r="U226" s="34" t="str">
        <f t="shared" si="53"/>
        <v/>
      </c>
      <c r="V226" s="34" t="str">
        <f t="shared" si="54"/>
        <v/>
      </c>
      <c r="W226" s="34" t="str">
        <f t="shared" si="55"/>
        <v/>
      </c>
      <c r="X226" s="34">
        <f t="shared" si="56"/>
        <v>0</v>
      </c>
      <c r="Y226" s="34" t="str">
        <f t="shared" si="57"/>
        <v/>
      </c>
      <c r="Z226" s="34" t="str">
        <f>IF(X226=1,V226,IF(Y226="","",IF(COUNTIF(Y$3:Y225,Y226)=0,Y226,"")))</f>
        <v/>
      </c>
      <c r="AA226" s="34" t="b">
        <f t="shared" si="58"/>
        <v>0</v>
      </c>
      <c r="AB226" s="34">
        <f t="shared" si="59"/>
        <v>0</v>
      </c>
      <c r="AC226" s="34" t="str">
        <f>IF(AND(B226&lt;&gt;"",C226=CompteSel,N(B226)&lt;=DateArret,AB226=0),MAX($AC$3:AC225)+1,"")</f>
        <v/>
      </c>
      <c r="AD226" s="34" t="str">
        <f>IF(AND(ISNUMBER(M226),C226=CompteSel),MAX($AD$3:AD225)+1,"")</f>
        <v/>
      </c>
    </row>
    <row r="227" spans="1:30" x14ac:dyDescent="0.35">
      <c r="A227" s="1" t="str">
        <f t="shared" si="45"/>
        <v/>
      </c>
      <c r="B227" s="31"/>
      <c r="C227" s="8"/>
      <c r="D227" s="8"/>
      <c r="E227" s="8"/>
      <c r="F227" s="8"/>
      <c r="G227" s="8"/>
      <c r="H227" s="32"/>
      <c r="I227" s="32"/>
      <c r="J227" s="25" t="str">
        <f>IF(B227="","",IFERROR(VLOOKUP(C227,Soldes_Ouverture,2,FALSE()),0)+SUMIFS($S$4:S227,$C$4:C227,C227))</f>
        <v/>
      </c>
      <c r="K227" s="1" t="str">
        <f t="shared" si="46"/>
        <v/>
      </c>
      <c r="L227" s="1" t="str">
        <f t="shared" si="47"/>
        <v/>
      </c>
      <c r="M227" s="1" t="str">
        <f t="shared" si="48"/>
        <v/>
      </c>
      <c r="N227" s="8"/>
      <c r="O227" s="8"/>
      <c r="P227" s="1" t="str">
        <f t="shared" si="49"/>
        <v/>
      </c>
      <c r="Q227" s="25" t="str">
        <f t="shared" si="50"/>
        <v/>
      </c>
      <c r="R227" s="1" t="str">
        <f t="shared" si="51"/>
        <v/>
      </c>
      <c r="S227" s="33" t="str">
        <f t="shared" si="52"/>
        <v/>
      </c>
      <c r="T227" s="34" t="str">
        <f>IF(B227="","",C227&amp;"|"&amp;ROUND(S227,2)&amp;"|"&amp;COUNTIFS($C$4:C227,C227,$S$4:S227,S227))</f>
        <v/>
      </c>
      <c r="U227" s="34" t="str">
        <f t="shared" si="53"/>
        <v/>
      </c>
      <c r="V227" s="34" t="str">
        <f t="shared" si="54"/>
        <v/>
      </c>
      <c r="W227" s="34" t="str">
        <f t="shared" si="55"/>
        <v/>
      </c>
      <c r="X227" s="34">
        <f t="shared" si="56"/>
        <v>0</v>
      </c>
      <c r="Y227" s="34" t="str">
        <f t="shared" si="57"/>
        <v/>
      </c>
      <c r="Z227" s="34" t="str">
        <f>IF(X227=1,V227,IF(Y227="","",IF(COUNTIF(Y$3:Y226,Y227)=0,Y227,"")))</f>
        <v/>
      </c>
      <c r="AA227" s="34" t="b">
        <f t="shared" si="58"/>
        <v>0</v>
      </c>
      <c r="AB227" s="34">
        <f t="shared" si="59"/>
        <v>0</v>
      </c>
      <c r="AC227" s="34" t="str">
        <f>IF(AND(B227&lt;&gt;"",C227=CompteSel,N(B227)&lt;=DateArret,AB227=0),MAX($AC$3:AC226)+1,"")</f>
        <v/>
      </c>
      <c r="AD227" s="34" t="str">
        <f>IF(AND(ISNUMBER(M227),C227=CompteSel),MAX($AD$3:AD226)+1,"")</f>
        <v/>
      </c>
    </row>
    <row r="228" spans="1:30" x14ac:dyDescent="0.35">
      <c r="A228" s="1" t="str">
        <f t="shared" si="45"/>
        <v/>
      </c>
      <c r="B228" s="31"/>
      <c r="C228" s="8"/>
      <c r="D228" s="8"/>
      <c r="E228" s="8"/>
      <c r="F228" s="8"/>
      <c r="G228" s="8"/>
      <c r="H228" s="32"/>
      <c r="I228" s="32"/>
      <c r="J228" s="25" t="str">
        <f>IF(B228="","",IFERROR(VLOOKUP(C228,Soldes_Ouverture,2,FALSE()),0)+SUMIFS($S$4:S228,$C$4:C228,C228))</f>
        <v/>
      </c>
      <c r="K228" s="1" t="str">
        <f t="shared" si="46"/>
        <v/>
      </c>
      <c r="L228" s="1" t="str">
        <f t="shared" si="47"/>
        <v/>
      </c>
      <c r="M228" s="1" t="str">
        <f t="shared" si="48"/>
        <v/>
      </c>
      <c r="N228" s="8"/>
      <c r="O228" s="8"/>
      <c r="P228" s="1" t="str">
        <f t="shared" si="49"/>
        <v/>
      </c>
      <c r="Q228" s="25" t="str">
        <f t="shared" si="50"/>
        <v/>
      </c>
      <c r="R228" s="1" t="str">
        <f t="shared" si="51"/>
        <v/>
      </c>
      <c r="S228" s="33" t="str">
        <f t="shared" si="52"/>
        <v/>
      </c>
      <c r="T228" s="34" t="str">
        <f>IF(B228="","",C228&amp;"|"&amp;ROUND(S228,2)&amp;"|"&amp;COUNTIFS($C$4:C228,C228,$S$4:S228,S228))</f>
        <v/>
      </c>
      <c r="U228" s="34" t="str">
        <f t="shared" si="53"/>
        <v/>
      </c>
      <c r="V228" s="34" t="str">
        <f t="shared" si="54"/>
        <v/>
      </c>
      <c r="W228" s="34" t="str">
        <f t="shared" si="55"/>
        <v/>
      </c>
      <c r="X228" s="34">
        <f t="shared" si="56"/>
        <v>0</v>
      </c>
      <c r="Y228" s="34" t="str">
        <f t="shared" si="57"/>
        <v/>
      </c>
      <c r="Z228" s="34" t="str">
        <f>IF(X228=1,V228,IF(Y228="","",IF(COUNTIF(Y$3:Y227,Y228)=0,Y228,"")))</f>
        <v/>
      </c>
      <c r="AA228" s="34" t="b">
        <f t="shared" si="58"/>
        <v>0</v>
      </c>
      <c r="AB228" s="34">
        <f t="shared" si="59"/>
        <v>0</v>
      </c>
      <c r="AC228" s="34" t="str">
        <f>IF(AND(B228&lt;&gt;"",C228=CompteSel,N(B228)&lt;=DateArret,AB228=0),MAX($AC$3:AC227)+1,"")</f>
        <v/>
      </c>
      <c r="AD228" s="34" t="str">
        <f>IF(AND(ISNUMBER(M228),C228=CompteSel),MAX($AD$3:AD227)+1,"")</f>
        <v/>
      </c>
    </row>
    <row r="229" spans="1:30" x14ac:dyDescent="0.35">
      <c r="A229" s="1" t="str">
        <f t="shared" si="45"/>
        <v/>
      </c>
      <c r="B229" s="31"/>
      <c r="C229" s="8"/>
      <c r="D229" s="8"/>
      <c r="E229" s="8"/>
      <c r="F229" s="8"/>
      <c r="G229" s="8"/>
      <c r="H229" s="32"/>
      <c r="I229" s="32"/>
      <c r="J229" s="25" t="str">
        <f>IF(B229="","",IFERROR(VLOOKUP(C229,Soldes_Ouverture,2,FALSE()),0)+SUMIFS($S$4:S229,$C$4:C229,C229))</f>
        <v/>
      </c>
      <c r="K229" s="1" t="str">
        <f t="shared" si="46"/>
        <v/>
      </c>
      <c r="L229" s="1" t="str">
        <f t="shared" si="47"/>
        <v/>
      </c>
      <c r="M229" s="1" t="str">
        <f t="shared" si="48"/>
        <v/>
      </c>
      <c r="N229" s="8"/>
      <c r="O229" s="8"/>
      <c r="P229" s="1" t="str">
        <f t="shared" si="49"/>
        <v/>
      </c>
      <c r="Q229" s="25" t="str">
        <f t="shared" si="50"/>
        <v/>
      </c>
      <c r="R229" s="1" t="str">
        <f t="shared" si="51"/>
        <v/>
      </c>
      <c r="S229" s="33" t="str">
        <f t="shared" si="52"/>
        <v/>
      </c>
      <c r="T229" s="34" t="str">
        <f>IF(B229="","",C229&amp;"|"&amp;ROUND(S229,2)&amp;"|"&amp;COUNTIFS($C$4:C229,C229,$S$4:S229,S229))</f>
        <v/>
      </c>
      <c r="U229" s="34" t="str">
        <f t="shared" si="53"/>
        <v/>
      </c>
      <c r="V229" s="34" t="str">
        <f t="shared" si="54"/>
        <v/>
      </c>
      <c r="W229" s="34" t="str">
        <f t="shared" si="55"/>
        <v/>
      </c>
      <c r="X229" s="34">
        <f t="shared" si="56"/>
        <v>0</v>
      </c>
      <c r="Y229" s="34" t="str">
        <f t="shared" si="57"/>
        <v/>
      </c>
      <c r="Z229" s="34" t="str">
        <f>IF(X229=1,V229,IF(Y229="","",IF(COUNTIF(Y$3:Y228,Y229)=0,Y229,"")))</f>
        <v/>
      </c>
      <c r="AA229" s="34" t="b">
        <f t="shared" si="58"/>
        <v>0</v>
      </c>
      <c r="AB229" s="34">
        <f t="shared" si="59"/>
        <v>0</v>
      </c>
      <c r="AC229" s="34" t="str">
        <f>IF(AND(B229&lt;&gt;"",C229=CompteSel,N(B229)&lt;=DateArret,AB229=0),MAX($AC$3:AC228)+1,"")</f>
        <v/>
      </c>
      <c r="AD229" s="34" t="str">
        <f>IF(AND(ISNUMBER(M229),C229=CompteSel),MAX($AD$3:AD228)+1,"")</f>
        <v/>
      </c>
    </row>
    <row r="230" spans="1:30" x14ac:dyDescent="0.35">
      <c r="A230" s="1" t="str">
        <f t="shared" si="45"/>
        <v/>
      </c>
      <c r="B230" s="31"/>
      <c r="C230" s="8"/>
      <c r="D230" s="8"/>
      <c r="E230" s="8"/>
      <c r="F230" s="8"/>
      <c r="G230" s="8"/>
      <c r="H230" s="32"/>
      <c r="I230" s="32"/>
      <c r="J230" s="25" t="str">
        <f>IF(B230="","",IFERROR(VLOOKUP(C230,Soldes_Ouverture,2,FALSE()),0)+SUMIFS($S$4:S230,$C$4:C230,C230))</f>
        <v/>
      </c>
      <c r="K230" s="1" t="str">
        <f t="shared" si="46"/>
        <v/>
      </c>
      <c r="L230" s="1" t="str">
        <f t="shared" si="47"/>
        <v/>
      </c>
      <c r="M230" s="1" t="str">
        <f t="shared" si="48"/>
        <v/>
      </c>
      <c r="N230" s="8"/>
      <c r="O230" s="8"/>
      <c r="P230" s="1" t="str">
        <f t="shared" si="49"/>
        <v/>
      </c>
      <c r="Q230" s="25" t="str">
        <f t="shared" si="50"/>
        <v/>
      </c>
      <c r="R230" s="1" t="str">
        <f t="shared" si="51"/>
        <v/>
      </c>
      <c r="S230" s="33" t="str">
        <f t="shared" si="52"/>
        <v/>
      </c>
      <c r="T230" s="34" t="str">
        <f>IF(B230="","",C230&amp;"|"&amp;ROUND(S230,2)&amp;"|"&amp;COUNTIFS($C$4:C230,C230,$S$4:S230,S230))</f>
        <v/>
      </c>
      <c r="U230" s="34" t="str">
        <f t="shared" si="53"/>
        <v/>
      </c>
      <c r="V230" s="34" t="str">
        <f t="shared" si="54"/>
        <v/>
      </c>
      <c r="W230" s="34" t="str">
        <f t="shared" si="55"/>
        <v/>
      </c>
      <c r="X230" s="34">
        <f t="shared" si="56"/>
        <v>0</v>
      </c>
      <c r="Y230" s="34" t="str">
        <f t="shared" si="57"/>
        <v/>
      </c>
      <c r="Z230" s="34" t="str">
        <f>IF(X230=1,V230,IF(Y230="","",IF(COUNTIF(Y$3:Y229,Y230)=0,Y230,"")))</f>
        <v/>
      </c>
      <c r="AA230" s="34" t="b">
        <f t="shared" si="58"/>
        <v>0</v>
      </c>
      <c r="AB230" s="34">
        <f t="shared" si="59"/>
        <v>0</v>
      </c>
      <c r="AC230" s="34" t="str">
        <f>IF(AND(B230&lt;&gt;"",C230=CompteSel,N(B230)&lt;=DateArret,AB230=0),MAX($AC$3:AC229)+1,"")</f>
        <v/>
      </c>
      <c r="AD230" s="34" t="str">
        <f>IF(AND(ISNUMBER(M230),C230=CompteSel),MAX($AD$3:AD229)+1,"")</f>
        <v/>
      </c>
    </row>
    <row r="231" spans="1:30" x14ac:dyDescent="0.35">
      <c r="A231" s="1" t="str">
        <f t="shared" si="45"/>
        <v/>
      </c>
      <c r="B231" s="31"/>
      <c r="C231" s="8"/>
      <c r="D231" s="8"/>
      <c r="E231" s="8"/>
      <c r="F231" s="8"/>
      <c r="G231" s="8"/>
      <c r="H231" s="32"/>
      <c r="I231" s="32"/>
      <c r="J231" s="25" t="str">
        <f>IF(B231="","",IFERROR(VLOOKUP(C231,Soldes_Ouverture,2,FALSE()),0)+SUMIFS($S$4:S231,$C$4:C231,C231))</f>
        <v/>
      </c>
      <c r="K231" s="1" t="str">
        <f t="shared" si="46"/>
        <v/>
      </c>
      <c r="L231" s="1" t="str">
        <f t="shared" si="47"/>
        <v/>
      </c>
      <c r="M231" s="1" t="str">
        <f t="shared" si="48"/>
        <v/>
      </c>
      <c r="N231" s="8"/>
      <c r="O231" s="8"/>
      <c r="P231" s="1" t="str">
        <f t="shared" si="49"/>
        <v/>
      </c>
      <c r="Q231" s="25" t="str">
        <f t="shared" si="50"/>
        <v/>
      </c>
      <c r="R231" s="1" t="str">
        <f t="shared" si="51"/>
        <v/>
      </c>
      <c r="S231" s="33" t="str">
        <f t="shared" si="52"/>
        <v/>
      </c>
      <c r="T231" s="34" t="str">
        <f>IF(B231="","",C231&amp;"|"&amp;ROUND(S231,2)&amp;"|"&amp;COUNTIFS($C$4:C231,C231,$S$4:S231,S231))</f>
        <v/>
      </c>
      <c r="U231" s="34" t="str">
        <f t="shared" si="53"/>
        <v/>
      </c>
      <c r="V231" s="34" t="str">
        <f t="shared" si="54"/>
        <v/>
      </c>
      <c r="W231" s="34" t="str">
        <f t="shared" si="55"/>
        <v/>
      </c>
      <c r="X231" s="34">
        <f t="shared" si="56"/>
        <v>0</v>
      </c>
      <c r="Y231" s="34" t="str">
        <f t="shared" si="57"/>
        <v/>
      </c>
      <c r="Z231" s="34" t="str">
        <f>IF(X231=1,V231,IF(Y231="","",IF(COUNTIF(Y$3:Y230,Y231)=0,Y231,"")))</f>
        <v/>
      </c>
      <c r="AA231" s="34" t="b">
        <f t="shared" si="58"/>
        <v>0</v>
      </c>
      <c r="AB231" s="34">
        <f t="shared" si="59"/>
        <v>0</v>
      </c>
      <c r="AC231" s="34" t="str">
        <f>IF(AND(B231&lt;&gt;"",C231=CompteSel,N(B231)&lt;=DateArret,AB231=0),MAX($AC$3:AC230)+1,"")</f>
        <v/>
      </c>
      <c r="AD231" s="34" t="str">
        <f>IF(AND(ISNUMBER(M231),C231=CompteSel),MAX($AD$3:AD230)+1,"")</f>
        <v/>
      </c>
    </row>
    <row r="232" spans="1:30" x14ac:dyDescent="0.35">
      <c r="A232" s="1" t="str">
        <f t="shared" si="45"/>
        <v/>
      </c>
      <c r="B232" s="31"/>
      <c r="C232" s="8"/>
      <c r="D232" s="8"/>
      <c r="E232" s="8"/>
      <c r="F232" s="8"/>
      <c r="G232" s="8"/>
      <c r="H232" s="32"/>
      <c r="I232" s="32"/>
      <c r="J232" s="25" t="str">
        <f>IF(B232="","",IFERROR(VLOOKUP(C232,Soldes_Ouverture,2,FALSE()),0)+SUMIFS($S$4:S232,$C$4:C232,C232))</f>
        <v/>
      </c>
      <c r="K232" s="1" t="str">
        <f t="shared" si="46"/>
        <v/>
      </c>
      <c r="L232" s="1" t="str">
        <f t="shared" si="47"/>
        <v/>
      </c>
      <c r="M232" s="1" t="str">
        <f t="shared" si="48"/>
        <v/>
      </c>
      <c r="N232" s="8"/>
      <c r="O232" s="8"/>
      <c r="P232" s="1" t="str">
        <f t="shared" si="49"/>
        <v/>
      </c>
      <c r="Q232" s="25" t="str">
        <f t="shared" si="50"/>
        <v/>
      </c>
      <c r="R232" s="1" t="str">
        <f t="shared" si="51"/>
        <v/>
      </c>
      <c r="S232" s="33" t="str">
        <f t="shared" si="52"/>
        <v/>
      </c>
      <c r="T232" s="34" t="str">
        <f>IF(B232="","",C232&amp;"|"&amp;ROUND(S232,2)&amp;"|"&amp;COUNTIFS($C$4:C232,C232,$S$4:S232,S232))</f>
        <v/>
      </c>
      <c r="U232" s="34" t="str">
        <f t="shared" si="53"/>
        <v/>
      </c>
      <c r="V232" s="34" t="str">
        <f t="shared" si="54"/>
        <v/>
      </c>
      <c r="W232" s="34" t="str">
        <f t="shared" si="55"/>
        <v/>
      </c>
      <c r="X232" s="34">
        <f t="shared" si="56"/>
        <v>0</v>
      </c>
      <c r="Y232" s="34" t="str">
        <f t="shared" si="57"/>
        <v/>
      </c>
      <c r="Z232" s="34" t="str">
        <f>IF(X232=1,V232,IF(Y232="","",IF(COUNTIF(Y$3:Y231,Y232)=0,Y232,"")))</f>
        <v/>
      </c>
      <c r="AA232" s="34" t="b">
        <f t="shared" si="58"/>
        <v>0</v>
      </c>
      <c r="AB232" s="34">
        <f t="shared" si="59"/>
        <v>0</v>
      </c>
      <c r="AC232" s="34" t="str">
        <f>IF(AND(B232&lt;&gt;"",C232=CompteSel,N(B232)&lt;=DateArret,AB232=0),MAX($AC$3:AC231)+1,"")</f>
        <v/>
      </c>
      <c r="AD232" s="34" t="str">
        <f>IF(AND(ISNUMBER(M232),C232=CompteSel),MAX($AD$3:AD231)+1,"")</f>
        <v/>
      </c>
    </row>
    <row r="233" spans="1:30" x14ac:dyDescent="0.35">
      <c r="A233" s="1" t="str">
        <f t="shared" si="45"/>
        <v/>
      </c>
      <c r="B233" s="31"/>
      <c r="C233" s="8"/>
      <c r="D233" s="8"/>
      <c r="E233" s="8"/>
      <c r="F233" s="8"/>
      <c r="G233" s="8"/>
      <c r="H233" s="32"/>
      <c r="I233" s="32"/>
      <c r="J233" s="25" t="str">
        <f>IF(B233="","",IFERROR(VLOOKUP(C233,Soldes_Ouverture,2,FALSE()),0)+SUMIFS($S$4:S233,$C$4:C233,C233))</f>
        <v/>
      </c>
      <c r="K233" s="1" t="str">
        <f t="shared" si="46"/>
        <v/>
      </c>
      <c r="L233" s="1" t="str">
        <f t="shared" si="47"/>
        <v/>
      </c>
      <c r="M233" s="1" t="str">
        <f t="shared" si="48"/>
        <v/>
      </c>
      <c r="N233" s="8"/>
      <c r="O233" s="8"/>
      <c r="P233" s="1" t="str">
        <f t="shared" si="49"/>
        <v/>
      </c>
      <c r="Q233" s="25" t="str">
        <f t="shared" si="50"/>
        <v/>
      </c>
      <c r="R233" s="1" t="str">
        <f t="shared" si="51"/>
        <v/>
      </c>
      <c r="S233" s="33" t="str">
        <f t="shared" si="52"/>
        <v/>
      </c>
      <c r="T233" s="34" t="str">
        <f>IF(B233="","",C233&amp;"|"&amp;ROUND(S233,2)&amp;"|"&amp;COUNTIFS($C$4:C233,C233,$S$4:S233,S233))</f>
        <v/>
      </c>
      <c r="U233" s="34" t="str">
        <f t="shared" si="53"/>
        <v/>
      </c>
      <c r="V233" s="34" t="str">
        <f t="shared" si="54"/>
        <v/>
      </c>
      <c r="W233" s="34" t="str">
        <f t="shared" si="55"/>
        <v/>
      </c>
      <c r="X233" s="34">
        <f t="shared" si="56"/>
        <v>0</v>
      </c>
      <c r="Y233" s="34" t="str">
        <f t="shared" si="57"/>
        <v/>
      </c>
      <c r="Z233" s="34" t="str">
        <f>IF(X233=1,V233,IF(Y233="","",IF(COUNTIF(Y$3:Y232,Y233)=0,Y233,"")))</f>
        <v/>
      </c>
      <c r="AA233" s="34" t="b">
        <f t="shared" si="58"/>
        <v>0</v>
      </c>
      <c r="AB233" s="34">
        <f t="shared" si="59"/>
        <v>0</v>
      </c>
      <c r="AC233" s="34" t="str">
        <f>IF(AND(B233&lt;&gt;"",C233=CompteSel,N(B233)&lt;=DateArret,AB233=0),MAX($AC$3:AC232)+1,"")</f>
        <v/>
      </c>
      <c r="AD233" s="34" t="str">
        <f>IF(AND(ISNUMBER(M233),C233=CompteSel),MAX($AD$3:AD232)+1,"")</f>
        <v/>
      </c>
    </row>
    <row r="234" spans="1:30" x14ac:dyDescent="0.35">
      <c r="A234" s="1" t="str">
        <f t="shared" si="45"/>
        <v/>
      </c>
      <c r="B234" s="31"/>
      <c r="C234" s="8"/>
      <c r="D234" s="8"/>
      <c r="E234" s="8"/>
      <c r="F234" s="8"/>
      <c r="G234" s="8"/>
      <c r="H234" s="32"/>
      <c r="I234" s="32"/>
      <c r="J234" s="25" t="str">
        <f>IF(B234="","",IFERROR(VLOOKUP(C234,Soldes_Ouverture,2,FALSE()),0)+SUMIFS($S$4:S234,$C$4:C234,C234))</f>
        <v/>
      </c>
      <c r="K234" s="1" t="str">
        <f t="shared" si="46"/>
        <v/>
      </c>
      <c r="L234" s="1" t="str">
        <f t="shared" si="47"/>
        <v/>
      </c>
      <c r="M234" s="1" t="str">
        <f t="shared" si="48"/>
        <v/>
      </c>
      <c r="N234" s="8"/>
      <c r="O234" s="8"/>
      <c r="P234" s="1" t="str">
        <f t="shared" si="49"/>
        <v/>
      </c>
      <c r="Q234" s="25" t="str">
        <f t="shared" si="50"/>
        <v/>
      </c>
      <c r="R234" s="1" t="str">
        <f t="shared" si="51"/>
        <v/>
      </c>
      <c r="S234" s="33" t="str">
        <f t="shared" si="52"/>
        <v/>
      </c>
      <c r="T234" s="34" t="str">
        <f>IF(B234="","",C234&amp;"|"&amp;ROUND(S234,2)&amp;"|"&amp;COUNTIFS($C$4:C234,C234,$S$4:S234,S234))</f>
        <v/>
      </c>
      <c r="U234" s="34" t="str">
        <f t="shared" si="53"/>
        <v/>
      </c>
      <c r="V234" s="34" t="str">
        <f t="shared" si="54"/>
        <v/>
      </c>
      <c r="W234" s="34" t="str">
        <f t="shared" si="55"/>
        <v/>
      </c>
      <c r="X234" s="34">
        <f t="shared" si="56"/>
        <v>0</v>
      </c>
      <c r="Y234" s="34" t="str">
        <f t="shared" si="57"/>
        <v/>
      </c>
      <c r="Z234" s="34" t="str">
        <f>IF(X234=1,V234,IF(Y234="","",IF(COUNTIF(Y$3:Y233,Y234)=0,Y234,"")))</f>
        <v/>
      </c>
      <c r="AA234" s="34" t="b">
        <f t="shared" si="58"/>
        <v>0</v>
      </c>
      <c r="AB234" s="34">
        <f t="shared" si="59"/>
        <v>0</v>
      </c>
      <c r="AC234" s="34" t="str">
        <f>IF(AND(B234&lt;&gt;"",C234=CompteSel,N(B234)&lt;=DateArret,AB234=0),MAX($AC$3:AC233)+1,"")</f>
        <v/>
      </c>
      <c r="AD234" s="34" t="str">
        <f>IF(AND(ISNUMBER(M234),C234=CompteSel),MAX($AD$3:AD233)+1,"")</f>
        <v/>
      </c>
    </row>
    <row r="235" spans="1:30" x14ac:dyDescent="0.35">
      <c r="A235" s="1" t="str">
        <f t="shared" si="45"/>
        <v/>
      </c>
      <c r="B235" s="31"/>
      <c r="C235" s="8"/>
      <c r="D235" s="8"/>
      <c r="E235" s="8"/>
      <c r="F235" s="8"/>
      <c r="G235" s="8"/>
      <c r="H235" s="32"/>
      <c r="I235" s="32"/>
      <c r="J235" s="25" t="str">
        <f>IF(B235="","",IFERROR(VLOOKUP(C235,Soldes_Ouverture,2,FALSE()),0)+SUMIFS($S$4:S235,$C$4:C235,C235))</f>
        <v/>
      </c>
      <c r="K235" s="1" t="str">
        <f t="shared" si="46"/>
        <v/>
      </c>
      <c r="L235" s="1" t="str">
        <f t="shared" si="47"/>
        <v/>
      </c>
      <c r="M235" s="1" t="str">
        <f t="shared" si="48"/>
        <v/>
      </c>
      <c r="N235" s="8"/>
      <c r="O235" s="8"/>
      <c r="P235" s="1" t="str">
        <f t="shared" si="49"/>
        <v/>
      </c>
      <c r="Q235" s="25" t="str">
        <f t="shared" si="50"/>
        <v/>
      </c>
      <c r="R235" s="1" t="str">
        <f t="shared" si="51"/>
        <v/>
      </c>
      <c r="S235" s="33" t="str">
        <f t="shared" si="52"/>
        <v/>
      </c>
      <c r="T235" s="34" t="str">
        <f>IF(B235="","",C235&amp;"|"&amp;ROUND(S235,2)&amp;"|"&amp;COUNTIFS($C$4:C235,C235,$S$4:S235,S235))</f>
        <v/>
      </c>
      <c r="U235" s="34" t="str">
        <f t="shared" si="53"/>
        <v/>
      </c>
      <c r="V235" s="34" t="str">
        <f t="shared" si="54"/>
        <v/>
      </c>
      <c r="W235" s="34" t="str">
        <f t="shared" si="55"/>
        <v/>
      </c>
      <c r="X235" s="34">
        <f t="shared" si="56"/>
        <v>0</v>
      </c>
      <c r="Y235" s="34" t="str">
        <f t="shared" si="57"/>
        <v/>
      </c>
      <c r="Z235" s="34" t="str">
        <f>IF(X235=1,V235,IF(Y235="","",IF(COUNTIF(Y$3:Y234,Y235)=0,Y235,"")))</f>
        <v/>
      </c>
      <c r="AA235" s="34" t="b">
        <f t="shared" si="58"/>
        <v>0</v>
      </c>
      <c r="AB235" s="34">
        <f t="shared" si="59"/>
        <v>0</v>
      </c>
      <c r="AC235" s="34" t="str">
        <f>IF(AND(B235&lt;&gt;"",C235=CompteSel,N(B235)&lt;=DateArret,AB235=0),MAX($AC$3:AC234)+1,"")</f>
        <v/>
      </c>
      <c r="AD235" s="34" t="str">
        <f>IF(AND(ISNUMBER(M235),C235=CompteSel),MAX($AD$3:AD234)+1,"")</f>
        <v/>
      </c>
    </row>
    <row r="236" spans="1:30" x14ac:dyDescent="0.35">
      <c r="A236" s="1" t="str">
        <f t="shared" si="45"/>
        <v/>
      </c>
      <c r="B236" s="31"/>
      <c r="C236" s="8"/>
      <c r="D236" s="8"/>
      <c r="E236" s="8"/>
      <c r="F236" s="8"/>
      <c r="G236" s="8"/>
      <c r="H236" s="32"/>
      <c r="I236" s="32"/>
      <c r="J236" s="25" t="str">
        <f>IF(B236="","",IFERROR(VLOOKUP(C236,Soldes_Ouverture,2,FALSE()),0)+SUMIFS($S$4:S236,$C$4:C236,C236))</f>
        <v/>
      </c>
      <c r="K236" s="1" t="str">
        <f t="shared" si="46"/>
        <v/>
      </c>
      <c r="L236" s="1" t="str">
        <f t="shared" si="47"/>
        <v/>
      </c>
      <c r="M236" s="1" t="str">
        <f t="shared" si="48"/>
        <v/>
      </c>
      <c r="N236" s="8"/>
      <c r="O236" s="8"/>
      <c r="P236" s="1" t="str">
        <f t="shared" si="49"/>
        <v/>
      </c>
      <c r="Q236" s="25" t="str">
        <f t="shared" si="50"/>
        <v/>
      </c>
      <c r="R236" s="1" t="str">
        <f t="shared" si="51"/>
        <v/>
      </c>
      <c r="S236" s="33" t="str">
        <f t="shared" si="52"/>
        <v/>
      </c>
      <c r="T236" s="34" t="str">
        <f>IF(B236="","",C236&amp;"|"&amp;ROUND(S236,2)&amp;"|"&amp;COUNTIFS($C$4:C236,C236,$S$4:S236,S236))</f>
        <v/>
      </c>
      <c r="U236" s="34" t="str">
        <f t="shared" si="53"/>
        <v/>
      </c>
      <c r="V236" s="34" t="str">
        <f t="shared" si="54"/>
        <v/>
      </c>
      <c r="W236" s="34" t="str">
        <f t="shared" si="55"/>
        <v/>
      </c>
      <c r="X236" s="34">
        <f t="shared" si="56"/>
        <v>0</v>
      </c>
      <c r="Y236" s="34" t="str">
        <f t="shared" si="57"/>
        <v/>
      </c>
      <c r="Z236" s="34" t="str">
        <f>IF(X236=1,V236,IF(Y236="","",IF(COUNTIF(Y$3:Y235,Y236)=0,Y236,"")))</f>
        <v/>
      </c>
      <c r="AA236" s="34" t="b">
        <f t="shared" si="58"/>
        <v>0</v>
      </c>
      <c r="AB236" s="34">
        <f t="shared" si="59"/>
        <v>0</v>
      </c>
      <c r="AC236" s="34" t="str">
        <f>IF(AND(B236&lt;&gt;"",C236=CompteSel,N(B236)&lt;=DateArret,AB236=0),MAX($AC$3:AC235)+1,"")</f>
        <v/>
      </c>
      <c r="AD236" s="34" t="str">
        <f>IF(AND(ISNUMBER(M236),C236=CompteSel),MAX($AD$3:AD235)+1,"")</f>
        <v/>
      </c>
    </row>
    <row r="237" spans="1:30" x14ac:dyDescent="0.35">
      <c r="A237" s="1" t="str">
        <f t="shared" si="45"/>
        <v/>
      </c>
      <c r="B237" s="31"/>
      <c r="C237" s="8"/>
      <c r="D237" s="8"/>
      <c r="E237" s="8"/>
      <c r="F237" s="8"/>
      <c r="G237" s="8"/>
      <c r="H237" s="32"/>
      <c r="I237" s="32"/>
      <c r="J237" s="25" t="str">
        <f>IF(B237="","",IFERROR(VLOOKUP(C237,Soldes_Ouverture,2,FALSE()),0)+SUMIFS($S$4:S237,$C$4:C237,C237))</f>
        <v/>
      </c>
      <c r="K237" s="1" t="str">
        <f t="shared" si="46"/>
        <v/>
      </c>
      <c r="L237" s="1" t="str">
        <f t="shared" si="47"/>
        <v/>
      </c>
      <c r="M237" s="1" t="str">
        <f t="shared" si="48"/>
        <v/>
      </c>
      <c r="N237" s="8"/>
      <c r="O237" s="8"/>
      <c r="P237" s="1" t="str">
        <f t="shared" si="49"/>
        <v/>
      </c>
      <c r="Q237" s="25" t="str">
        <f t="shared" si="50"/>
        <v/>
      </c>
      <c r="R237" s="1" t="str">
        <f t="shared" si="51"/>
        <v/>
      </c>
      <c r="S237" s="33" t="str">
        <f t="shared" si="52"/>
        <v/>
      </c>
      <c r="T237" s="34" t="str">
        <f>IF(B237="","",C237&amp;"|"&amp;ROUND(S237,2)&amp;"|"&amp;COUNTIFS($C$4:C237,C237,$S$4:S237,S237))</f>
        <v/>
      </c>
      <c r="U237" s="34" t="str">
        <f t="shared" si="53"/>
        <v/>
      </c>
      <c r="V237" s="34" t="str">
        <f t="shared" si="54"/>
        <v/>
      </c>
      <c r="W237" s="34" t="str">
        <f t="shared" si="55"/>
        <v/>
      </c>
      <c r="X237" s="34">
        <f t="shared" si="56"/>
        <v>0</v>
      </c>
      <c r="Y237" s="34" t="str">
        <f t="shared" si="57"/>
        <v/>
      </c>
      <c r="Z237" s="34" t="str">
        <f>IF(X237=1,V237,IF(Y237="","",IF(COUNTIF(Y$3:Y236,Y237)=0,Y237,"")))</f>
        <v/>
      </c>
      <c r="AA237" s="34" t="b">
        <f t="shared" si="58"/>
        <v>0</v>
      </c>
      <c r="AB237" s="34">
        <f t="shared" si="59"/>
        <v>0</v>
      </c>
      <c r="AC237" s="34" t="str">
        <f>IF(AND(B237&lt;&gt;"",C237=CompteSel,N(B237)&lt;=DateArret,AB237=0),MAX($AC$3:AC236)+1,"")</f>
        <v/>
      </c>
      <c r="AD237" s="34" t="str">
        <f>IF(AND(ISNUMBER(M237),C237=CompteSel),MAX($AD$3:AD236)+1,"")</f>
        <v/>
      </c>
    </row>
    <row r="238" spans="1:30" x14ac:dyDescent="0.35">
      <c r="A238" s="1" t="str">
        <f t="shared" si="45"/>
        <v/>
      </c>
      <c r="B238" s="31"/>
      <c r="C238" s="8"/>
      <c r="D238" s="8"/>
      <c r="E238" s="8"/>
      <c r="F238" s="8"/>
      <c r="G238" s="8"/>
      <c r="H238" s="32"/>
      <c r="I238" s="32"/>
      <c r="J238" s="25" t="str">
        <f>IF(B238="","",IFERROR(VLOOKUP(C238,Soldes_Ouverture,2,FALSE()),0)+SUMIFS($S$4:S238,$C$4:C238,C238))</f>
        <v/>
      </c>
      <c r="K238" s="1" t="str">
        <f t="shared" si="46"/>
        <v/>
      </c>
      <c r="L238" s="1" t="str">
        <f t="shared" si="47"/>
        <v/>
      </c>
      <c r="M238" s="1" t="str">
        <f t="shared" si="48"/>
        <v/>
      </c>
      <c r="N238" s="8"/>
      <c r="O238" s="8"/>
      <c r="P238" s="1" t="str">
        <f t="shared" si="49"/>
        <v/>
      </c>
      <c r="Q238" s="25" t="str">
        <f t="shared" si="50"/>
        <v/>
      </c>
      <c r="R238" s="1" t="str">
        <f t="shared" si="51"/>
        <v/>
      </c>
      <c r="S238" s="33" t="str">
        <f t="shared" si="52"/>
        <v/>
      </c>
      <c r="T238" s="34" t="str">
        <f>IF(B238="","",C238&amp;"|"&amp;ROUND(S238,2)&amp;"|"&amp;COUNTIFS($C$4:C238,C238,$S$4:S238,S238))</f>
        <v/>
      </c>
      <c r="U238" s="34" t="str">
        <f t="shared" si="53"/>
        <v/>
      </c>
      <c r="V238" s="34" t="str">
        <f t="shared" si="54"/>
        <v/>
      </c>
      <c r="W238" s="34" t="str">
        <f t="shared" si="55"/>
        <v/>
      </c>
      <c r="X238" s="34">
        <f t="shared" si="56"/>
        <v>0</v>
      </c>
      <c r="Y238" s="34" t="str">
        <f t="shared" si="57"/>
        <v/>
      </c>
      <c r="Z238" s="34" t="str">
        <f>IF(X238=1,V238,IF(Y238="","",IF(COUNTIF(Y$3:Y237,Y238)=0,Y238,"")))</f>
        <v/>
      </c>
      <c r="AA238" s="34" t="b">
        <f t="shared" si="58"/>
        <v>0</v>
      </c>
      <c r="AB238" s="34">
        <f t="shared" si="59"/>
        <v>0</v>
      </c>
      <c r="AC238" s="34" t="str">
        <f>IF(AND(B238&lt;&gt;"",C238=CompteSel,N(B238)&lt;=DateArret,AB238=0),MAX($AC$3:AC237)+1,"")</f>
        <v/>
      </c>
      <c r="AD238" s="34" t="str">
        <f>IF(AND(ISNUMBER(M238),C238=CompteSel),MAX($AD$3:AD237)+1,"")</f>
        <v/>
      </c>
    </row>
    <row r="239" spans="1:30" x14ac:dyDescent="0.35">
      <c r="A239" s="1" t="str">
        <f t="shared" si="45"/>
        <v/>
      </c>
      <c r="B239" s="31"/>
      <c r="C239" s="8"/>
      <c r="D239" s="8"/>
      <c r="E239" s="8"/>
      <c r="F239" s="8"/>
      <c r="G239" s="8"/>
      <c r="H239" s="32"/>
      <c r="I239" s="32"/>
      <c r="J239" s="25" t="str">
        <f>IF(B239="","",IFERROR(VLOOKUP(C239,Soldes_Ouverture,2,FALSE()),0)+SUMIFS($S$4:S239,$C$4:C239,C239))</f>
        <v/>
      </c>
      <c r="K239" s="1" t="str">
        <f t="shared" si="46"/>
        <v/>
      </c>
      <c r="L239" s="1" t="str">
        <f t="shared" si="47"/>
        <v/>
      </c>
      <c r="M239" s="1" t="str">
        <f t="shared" si="48"/>
        <v/>
      </c>
      <c r="N239" s="8"/>
      <c r="O239" s="8"/>
      <c r="P239" s="1" t="str">
        <f t="shared" si="49"/>
        <v/>
      </c>
      <c r="Q239" s="25" t="str">
        <f t="shared" si="50"/>
        <v/>
      </c>
      <c r="R239" s="1" t="str">
        <f t="shared" si="51"/>
        <v/>
      </c>
      <c r="S239" s="33" t="str">
        <f t="shared" si="52"/>
        <v/>
      </c>
      <c r="T239" s="34" t="str">
        <f>IF(B239="","",C239&amp;"|"&amp;ROUND(S239,2)&amp;"|"&amp;COUNTIFS($C$4:C239,C239,$S$4:S239,S239))</f>
        <v/>
      </c>
      <c r="U239" s="34" t="str">
        <f t="shared" si="53"/>
        <v/>
      </c>
      <c r="V239" s="34" t="str">
        <f t="shared" si="54"/>
        <v/>
      </c>
      <c r="W239" s="34" t="str">
        <f t="shared" si="55"/>
        <v/>
      </c>
      <c r="X239" s="34">
        <f t="shared" si="56"/>
        <v>0</v>
      </c>
      <c r="Y239" s="34" t="str">
        <f t="shared" si="57"/>
        <v/>
      </c>
      <c r="Z239" s="34" t="str">
        <f>IF(X239=1,V239,IF(Y239="","",IF(COUNTIF(Y$3:Y238,Y239)=0,Y239,"")))</f>
        <v/>
      </c>
      <c r="AA239" s="34" t="b">
        <f t="shared" si="58"/>
        <v>0</v>
      </c>
      <c r="AB239" s="34">
        <f t="shared" si="59"/>
        <v>0</v>
      </c>
      <c r="AC239" s="34" t="str">
        <f>IF(AND(B239&lt;&gt;"",C239=CompteSel,N(B239)&lt;=DateArret,AB239=0),MAX($AC$3:AC238)+1,"")</f>
        <v/>
      </c>
      <c r="AD239" s="34" t="str">
        <f>IF(AND(ISNUMBER(M239),C239=CompteSel),MAX($AD$3:AD238)+1,"")</f>
        <v/>
      </c>
    </row>
    <row r="240" spans="1:30" x14ac:dyDescent="0.35">
      <c r="A240" s="1" t="str">
        <f t="shared" si="45"/>
        <v/>
      </c>
      <c r="B240" s="31"/>
      <c r="C240" s="8"/>
      <c r="D240" s="8"/>
      <c r="E240" s="8"/>
      <c r="F240" s="8"/>
      <c r="G240" s="8"/>
      <c r="H240" s="32"/>
      <c r="I240" s="32"/>
      <c r="J240" s="25" t="str">
        <f>IF(B240="","",IFERROR(VLOOKUP(C240,Soldes_Ouverture,2,FALSE()),0)+SUMIFS($S$4:S240,$C$4:C240,C240))</f>
        <v/>
      </c>
      <c r="K240" s="1" t="str">
        <f t="shared" si="46"/>
        <v/>
      </c>
      <c r="L240" s="1" t="str">
        <f t="shared" si="47"/>
        <v/>
      </c>
      <c r="M240" s="1" t="str">
        <f t="shared" si="48"/>
        <v/>
      </c>
      <c r="N240" s="8"/>
      <c r="O240" s="8"/>
      <c r="P240" s="1" t="str">
        <f t="shared" si="49"/>
        <v/>
      </c>
      <c r="Q240" s="25" t="str">
        <f t="shared" si="50"/>
        <v/>
      </c>
      <c r="R240" s="1" t="str">
        <f t="shared" si="51"/>
        <v/>
      </c>
      <c r="S240" s="33" t="str">
        <f t="shared" si="52"/>
        <v/>
      </c>
      <c r="T240" s="34" t="str">
        <f>IF(B240="","",C240&amp;"|"&amp;ROUND(S240,2)&amp;"|"&amp;COUNTIFS($C$4:C240,C240,$S$4:S240,S240))</f>
        <v/>
      </c>
      <c r="U240" s="34" t="str">
        <f t="shared" si="53"/>
        <v/>
      </c>
      <c r="V240" s="34" t="str">
        <f t="shared" si="54"/>
        <v/>
      </c>
      <c r="W240" s="34" t="str">
        <f t="shared" si="55"/>
        <v/>
      </c>
      <c r="X240" s="34">
        <f t="shared" si="56"/>
        <v>0</v>
      </c>
      <c r="Y240" s="34" t="str">
        <f t="shared" si="57"/>
        <v/>
      </c>
      <c r="Z240" s="34" t="str">
        <f>IF(X240=1,V240,IF(Y240="","",IF(COUNTIF(Y$3:Y239,Y240)=0,Y240,"")))</f>
        <v/>
      </c>
      <c r="AA240" s="34" t="b">
        <f t="shared" si="58"/>
        <v>0</v>
      </c>
      <c r="AB240" s="34">
        <f t="shared" si="59"/>
        <v>0</v>
      </c>
      <c r="AC240" s="34" t="str">
        <f>IF(AND(B240&lt;&gt;"",C240=CompteSel,N(B240)&lt;=DateArret,AB240=0),MAX($AC$3:AC239)+1,"")</f>
        <v/>
      </c>
      <c r="AD240" s="34" t="str">
        <f>IF(AND(ISNUMBER(M240),C240=CompteSel),MAX($AD$3:AD239)+1,"")</f>
        <v/>
      </c>
    </row>
    <row r="241" spans="1:30" x14ac:dyDescent="0.35">
      <c r="A241" s="1" t="str">
        <f t="shared" si="45"/>
        <v/>
      </c>
      <c r="B241" s="31"/>
      <c r="C241" s="8"/>
      <c r="D241" s="8"/>
      <c r="E241" s="8"/>
      <c r="F241" s="8"/>
      <c r="G241" s="8"/>
      <c r="H241" s="32"/>
      <c r="I241" s="32"/>
      <c r="J241" s="25" t="str">
        <f>IF(B241="","",IFERROR(VLOOKUP(C241,Soldes_Ouverture,2,FALSE()),0)+SUMIFS($S$4:S241,$C$4:C241,C241))</f>
        <v/>
      </c>
      <c r="K241" s="1" t="str">
        <f t="shared" si="46"/>
        <v/>
      </c>
      <c r="L241" s="1" t="str">
        <f t="shared" si="47"/>
        <v/>
      </c>
      <c r="M241" s="1" t="str">
        <f t="shared" si="48"/>
        <v/>
      </c>
      <c r="N241" s="8"/>
      <c r="O241" s="8"/>
      <c r="P241" s="1" t="str">
        <f t="shared" si="49"/>
        <v/>
      </c>
      <c r="Q241" s="25" t="str">
        <f t="shared" si="50"/>
        <v/>
      </c>
      <c r="R241" s="1" t="str">
        <f t="shared" si="51"/>
        <v/>
      </c>
      <c r="S241" s="33" t="str">
        <f t="shared" si="52"/>
        <v/>
      </c>
      <c r="T241" s="34" t="str">
        <f>IF(B241="","",C241&amp;"|"&amp;ROUND(S241,2)&amp;"|"&amp;COUNTIFS($C$4:C241,C241,$S$4:S241,S241))</f>
        <v/>
      </c>
      <c r="U241" s="34" t="str">
        <f t="shared" si="53"/>
        <v/>
      </c>
      <c r="V241" s="34" t="str">
        <f t="shared" si="54"/>
        <v/>
      </c>
      <c r="W241" s="34" t="str">
        <f t="shared" si="55"/>
        <v/>
      </c>
      <c r="X241" s="34">
        <f t="shared" si="56"/>
        <v>0</v>
      </c>
      <c r="Y241" s="34" t="str">
        <f t="shared" si="57"/>
        <v/>
      </c>
      <c r="Z241" s="34" t="str">
        <f>IF(X241=1,V241,IF(Y241="","",IF(COUNTIF(Y$3:Y240,Y241)=0,Y241,"")))</f>
        <v/>
      </c>
      <c r="AA241" s="34" t="b">
        <f t="shared" si="58"/>
        <v>0</v>
      </c>
      <c r="AB241" s="34">
        <f t="shared" si="59"/>
        <v>0</v>
      </c>
      <c r="AC241" s="34" t="str">
        <f>IF(AND(B241&lt;&gt;"",C241=CompteSel,N(B241)&lt;=DateArret,AB241=0),MAX($AC$3:AC240)+1,"")</f>
        <v/>
      </c>
      <c r="AD241" s="34" t="str">
        <f>IF(AND(ISNUMBER(M241),C241=CompteSel),MAX($AD$3:AD240)+1,"")</f>
        <v/>
      </c>
    </row>
    <row r="242" spans="1:30" x14ac:dyDescent="0.35">
      <c r="A242" s="1" t="str">
        <f t="shared" si="45"/>
        <v/>
      </c>
      <c r="B242" s="31"/>
      <c r="C242" s="8"/>
      <c r="D242" s="8"/>
      <c r="E242" s="8"/>
      <c r="F242" s="8"/>
      <c r="G242" s="8"/>
      <c r="H242" s="32"/>
      <c r="I242" s="32"/>
      <c r="J242" s="25" t="str">
        <f>IF(B242="","",IFERROR(VLOOKUP(C242,Soldes_Ouverture,2,FALSE()),0)+SUMIFS($S$4:S242,$C$4:C242,C242))</f>
        <v/>
      </c>
      <c r="K242" s="1" t="str">
        <f t="shared" si="46"/>
        <v/>
      </c>
      <c r="L242" s="1" t="str">
        <f t="shared" si="47"/>
        <v/>
      </c>
      <c r="M242" s="1" t="str">
        <f t="shared" si="48"/>
        <v/>
      </c>
      <c r="N242" s="8"/>
      <c r="O242" s="8"/>
      <c r="P242" s="1" t="str">
        <f t="shared" si="49"/>
        <v/>
      </c>
      <c r="Q242" s="25" t="str">
        <f t="shared" si="50"/>
        <v/>
      </c>
      <c r="R242" s="1" t="str">
        <f t="shared" si="51"/>
        <v/>
      </c>
      <c r="S242" s="33" t="str">
        <f t="shared" si="52"/>
        <v/>
      </c>
      <c r="T242" s="34" t="str">
        <f>IF(B242="","",C242&amp;"|"&amp;ROUND(S242,2)&amp;"|"&amp;COUNTIFS($C$4:C242,C242,$S$4:S242,S242))</f>
        <v/>
      </c>
      <c r="U242" s="34" t="str">
        <f t="shared" si="53"/>
        <v/>
      </c>
      <c r="V242" s="34" t="str">
        <f t="shared" si="54"/>
        <v/>
      </c>
      <c r="W242" s="34" t="str">
        <f t="shared" si="55"/>
        <v/>
      </c>
      <c r="X242" s="34">
        <f t="shared" si="56"/>
        <v>0</v>
      </c>
      <c r="Y242" s="34" t="str">
        <f t="shared" si="57"/>
        <v/>
      </c>
      <c r="Z242" s="34" t="str">
        <f>IF(X242=1,V242,IF(Y242="","",IF(COUNTIF(Y$3:Y241,Y242)=0,Y242,"")))</f>
        <v/>
      </c>
      <c r="AA242" s="34" t="b">
        <f t="shared" si="58"/>
        <v>0</v>
      </c>
      <c r="AB242" s="34">
        <f t="shared" si="59"/>
        <v>0</v>
      </c>
      <c r="AC242" s="34" t="str">
        <f>IF(AND(B242&lt;&gt;"",C242=CompteSel,N(B242)&lt;=DateArret,AB242=0),MAX($AC$3:AC241)+1,"")</f>
        <v/>
      </c>
      <c r="AD242" s="34" t="str">
        <f>IF(AND(ISNUMBER(M242),C242=CompteSel),MAX($AD$3:AD241)+1,"")</f>
        <v/>
      </c>
    </row>
    <row r="243" spans="1:30" x14ac:dyDescent="0.35">
      <c r="A243" s="1" t="str">
        <f t="shared" si="45"/>
        <v/>
      </c>
      <c r="B243" s="31"/>
      <c r="C243" s="8"/>
      <c r="D243" s="8"/>
      <c r="E243" s="8"/>
      <c r="F243" s="8"/>
      <c r="G243" s="8"/>
      <c r="H243" s="32"/>
      <c r="I243" s="32"/>
      <c r="J243" s="25" t="str">
        <f>IF(B243="","",IFERROR(VLOOKUP(C243,Soldes_Ouverture,2,FALSE()),0)+SUMIFS($S$4:S243,$C$4:C243,C243))</f>
        <v/>
      </c>
      <c r="K243" s="1" t="str">
        <f t="shared" si="46"/>
        <v/>
      </c>
      <c r="L243" s="1" t="str">
        <f t="shared" si="47"/>
        <v/>
      </c>
      <c r="M243" s="1" t="str">
        <f t="shared" si="48"/>
        <v/>
      </c>
      <c r="N243" s="8"/>
      <c r="O243" s="8"/>
      <c r="P243" s="1" t="str">
        <f t="shared" si="49"/>
        <v/>
      </c>
      <c r="Q243" s="25" t="str">
        <f t="shared" si="50"/>
        <v/>
      </c>
      <c r="R243" s="1" t="str">
        <f t="shared" si="51"/>
        <v/>
      </c>
      <c r="S243" s="33" t="str">
        <f t="shared" si="52"/>
        <v/>
      </c>
      <c r="T243" s="34" t="str">
        <f>IF(B243="","",C243&amp;"|"&amp;ROUND(S243,2)&amp;"|"&amp;COUNTIFS($C$4:C243,C243,$S$4:S243,S243))</f>
        <v/>
      </c>
      <c r="U243" s="34" t="str">
        <f t="shared" si="53"/>
        <v/>
      </c>
      <c r="V243" s="34" t="str">
        <f t="shared" si="54"/>
        <v/>
      </c>
      <c r="W243" s="34" t="str">
        <f t="shared" si="55"/>
        <v/>
      </c>
      <c r="X243" s="34">
        <f t="shared" si="56"/>
        <v>0</v>
      </c>
      <c r="Y243" s="34" t="str">
        <f t="shared" si="57"/>
        <v/>
      </c>
      <c r="Z243" s="34" t="str">
        <f>IF(X243=1,V243,IF(Y243="","",IF(COUNTIF(Y$3:Y242,Y243)=0,Y243,"")))</f>
        <v/>
      </c>
      <c r="AA243" s="34" t="b">
        <f t="shared" si="58"/>
        <v>0</v>
      </c>
      <c r="AB243" s="34">
        <f t="shared" si="59"/>
        <v>0</v>
      </c>
      <c r="AC243" s="34" t="str">
        <f>IF(AND(B243&lt;&gt;"",C243=CompteSel,N(B243)&lt;=DateArret,AB243=0),MAX($AC$3:AC242)+1,"")</f>
        <v/>
      </c>
      <c r="AD243" s="34" t="str">
        <f>IF(AND(ISNUMBER(M243),C243=CompteSel),MAX($AD$3:AD242)+1,"")</f>
        <v/>
      </c>
    </row>
    <row r="244" spans="1:30" x14ac:dyDescent="0.35">
      <c r="A244" s="1" t="str">
        <f t="shared" si="45"/>
        <v/>
      </c>
      <c r="B244" s="31"/>
      <c r="C244" s="8"/>
      <c r="D244" s="8"/>
      <c r="E244" s="8"/>
      <c r="F244" s="8"/>
      <c r="G244" s="8"/>
      <c r="H244" s="32"/>
      <c r="I244" s="32"/>
      <c r="J244" s="25" t="str">
        <f>IF(B244="","",IFERROR(VLOOKUP(C244,Soldes_Ouverture,2,FALSE()),0)+SUMIFS($S$4:S244,$C$4:C244,C244))</f>
        <v/>
      </c>
      <c r="K244" s="1" t="str">
        <f t="shared" si="46"/>
        <v/>
      </c>
      <c r="L244" s="1" t="str">
        <f t="shared" si="47"/>
        <v/>
      </c>
      <c r="M244" s="1" t="str">
        <f t="shared" si="48"/>
        <v/>
      </c>
      <c r="N244" s="8"/>
      <c r="O244" s="8"/>
      <c r="P244" s="1" t="str">
        <f t="shared" si="49"/>
        <v/>
      </c>
      <c r="Q244" s="25" t="str">
        <f t="shared" si="50"/>
        <v/>
      </c>
      <c r="R244" s="1" t="str">
        <f t="shared" si="51"/>
        <v/>
      </c>
      <c r="S244" s="33" t="str">
        <f t="shared" si="52"/>
        <v/>
      </c>
      <c r="T244" s="34" t="str">
        <f>IF(B244="","",C244&amp;"|"&amp;ROUND(S244,2)&amp;"|"&amp;COUNTIFS($C$4:C244,C244,$S$4:S244,S244))</f>
        <v/>
      </c>
      <c r="U244" s="34" t="str">
        <f t="shared" si="53"/>
        <v/>
      </c>
      <c r="V244" s="34" t="str">
        <f t="shared" si="54"/>
        <v/>
      </c>
      <c r="W244" s="34" t="str">
        <f t="shared" si="55"/>
        <v/>
      </c>
      <c r="X244" s="34">
        <f t="shared" si="56"/>
        <v>0</v>
      </c>
      <c r="Y244" s="34" t="str">
        <f t="shared" si="57"/>
        <v/>
      </c>
      <c r="Z244" s="34" t="str">
        <f>IF(X244=1,V244,IF(Y244="","",IF(COUNTIF(Y$3:Y243,Y244)=0,Y244,"")))</f>
        <v/>
      </c>
      <c r="AA244" s="34" t="b">
        <f t="shared" si="58"/>
        <v>0</v>
      </c>
      <c r="AB244" s="34">
        <f t="shared" si="59"/>
        <v>0</v>
      </c>
      <c r="AC244" s="34" t="str">
        <f>IF(AND(B244&lt;&gt;"",C244=CompteSel,N(B244)&lt;=DateArret,AB244=0),MAX($AC$3:AC243)+1,"")</f>
        <v/>
      </c>
      <c r="AD244" s="34" t="str">
        <f>IF(AND(ISNUMBER(M244),C244=CompteSel),MAX($AD$3:AD243)+1,"")</f>
        <v/>
      </c>
    </row>
    <row r="245" spans="1:30" x14ac:dyDescent="0.35">
      <c r="A245" s="1" t="str">
        <f t="shared" si="45"/>
        <v/>
      </c>
      <c r="B245" s="31"/>
      <c r="C245" s="8"/>
      <c r="D245" s="8"/>
      <c r="E245" s="8"/>
      <c r="F245" s="8"/>
      <c r="G245" s="8"/>
      <c r="H245" s="32"/>
      <c r="I245" s="32"/>
      <c r="J245" s="25" t="str">
        <f>IF(B245="","",IFERROR(VLOOKUP(C245,Soldes_Ouverture,2,FALSE()),0)+SUMIFS($S$4:S245,$C$4:C245,C245))</f>
        <v/>
      </c>
      <c r="K245" s="1" t="str">
        <f t="shared" si="46"/>
        <v/>
      </c>
      <c r="L245" s="1" t="str">
        <f t="shared" si="47"/>
        <v/>
      </c>
      <c r="M245" s="1" t="str">
        <f t="shared" si="48"/>
        <v/>
      </c>
      <c r="N245" s="8"/>
      <c r="O245" s="8"/>
      <c r="P245" s="1" t="str">
        <f t="shared" si="49"/>
        <v/>
      </c>
      <c r="Q245" s="25" t="str">
        <f t="shared" si="50"/>
        <v/>
      </c>
      <c r="R245" s="1" t="str">
        <f t="shared" si="51"/>
        <v/>
      </c>
      <c r="S245" s="33" t="str">
        <f t="shared" si="52"/>
        <v/>
      </c>
      <c r="T245" s="34" t="str">
        <f>IF(B245="","",C245&amp;"|"&amp;ROUND(S245,2)&amp;"|"&amp;COUNTIFS($C$4:C245,C245,$S$4:S245,S245))</f>
        <v/>
      </c>
      <c r="U245" s="34" t="str">
        <f t="shared" si="53"/>
        <v/>
      </c>
      <c r="V245" s="34" t="str">
        <f t="shared" si="54"/>
        <v/>
      </c>
      <c r="W245" s="34" t="str">
        <f t="shared" si="55"/>
        <v/>
      </c>
      <c r="X245" s="34">
        <f t="shared" si="56"/>
        <v>0</v>
      </c>
      <c r="Y245" s="34" t="str">
        <f t="shared" si="57"/>
        <v/>
      </c>
      <c r="Z245" s="34" t="str">
        <f>IF(X245=1,V245,IF(Y245="","",IF(COUNTIF(Y$3:Y244,Y245)=0,Y245,"")))</f>
        <v/>
      </c>
      <c r="AA245" s="34" t="b">
        <f t="shared" si="58"/>
        <v>0</v>
      </c>
      <c r="AB245" s="34">
        <f t="shared" si="59"/>
        <v>0</v>
      </c>
      <c r="AC245" s="34" t="str">
        <f>IF(AND(B245&lt;&gt;"",C245=CompteSel,N(B245)&lt;=DateArret,AB245=0),MAX($AC$3:AC244)+1,"")</f>
        <v/>
      </c>
      <c r="AD245" s="34" t="str">
        <f>IF(AND(ISNUMBER(M245),C245=CompteSel),MAX($AD$3:AD244)+1,"")</f>
        <v/>
      </c>
    </row>
    <row r="246" spans="1:30" x14ac:dyDescent="0.35">
      <c r="A246" s="1" t="str">
        <f t="shared" si="45"/>
        <v/>
      </c>
      <c r="B246" s="31"/>
      <c r="C246" s="8"/>
      <c r="D246" s="8"/>
      <c r="E246" s="8"/>
      <c r="F246" s="8"/>
      <c r="G246" s="8"/>
      <c r="H246" s="32"/>
      <c r="I246" s="32"/>
      <c r="J246" s="25" t="str">
        <f>IF(B246="","",IFERROR(VLOOKUP(C246,Soldes_Ouverture,2,FALSE()),0)+SUMIFS($S$4:S246,$C$4:C246,C246))</f>
        <v/>
      </c>
      <c r="K246" s="1" t="str">
        <f t="shared" si="46"/>
        <v/>
      </c>
      <c r="L246" s="1" t="str">
        <f t="shared" si="47"/>
        <v/>
      </c>
      <c r="M246" s="1" t="str">
        <f t="shared" si="48"/>
        <v/>
      </c>
      <c r="N246" s="8"/>
      <c r="O246" s="8"/>
      <c r="P246" s="1" t="str">
        <f t="shared" si="49"/>
        <v/>
      </c>
      <c r="Q246" s="25" t="str">
        <f t="shared" si="50"/>
        <v/>
      </c>
      <c r="R246" s="1" t="str">
        <f t="shared" si="51"/>
        <v/>
      </c>
      <c r="S246" s="33" t="str">
        <f t="shared" si="52"/>
        <v/>
      </c>
      <c r="T246" s="34" t="str">
        <f>IF(B246="","",C246&amp;"|"&amp;ROUND(S246,2)&amp;"|"&amp;COUNTIFS($C$4:C246,C246,$S$4:S246,S246))</f>
        <v/>
      </c>
      <c r="U246" s="34" t="str">
        <f t="shared" si="53"/>
        <v/>
      </c>
      <c r="V246" s="34" t="str">
        <f t="shared" si="54"/>
        <v/>
      </c>
      <c r="W246" s="34" t="str">
        <f t="shared" si="55"/>
        <v/>
      </c>
      <c r="X246" s="34">
        <f t="shared" si="56"/>
        <v>0</v>
      </c>
      <c r="Y246" s="34" t="str">
        <f t="shared" si="57"/>
        <v/>
      </c>
      <c r="Z246" s="34" t="str">
        <f>IF(X246=1,V246,IF(Y246="","",IF(COUNTIF(Y$3:Y245,Y246)=0,Y246,"")))</f>
        <v/>
      </c>
      <c r="AA246" s="34" t="b">
        <f t="shared" si="58"/>
        <v>0</v>
      </c>
      <c r="AB246" s="34">
        <f t="shared" si="59"/>
        <v>0</v>
      </c>
      <c r="AC246" s="34" t="str">
        <f>IF(AND(B246&lt;&gt;"",C246=CompteSel,N(B246)&lt;=DateArret,AB246=0),MAX($AC$3:AC245)+1,"")</f>
        <v/>
      </c>
      <c r="AD246" s="34" t="str">
        <f>IF(AND(ISNUMBER(M246),C246=CompteSel),MAX($AD$3:AD245)+1,"")</f>
        <v/>
      </c>
    </row>
    <row r="247" spans="1:30" x14ac:dyDescent="0.35">
      <c r="A247" s="1" t="str">
        <f t="shared" si="45"/>
        <v/>
      </c>
      <c r="B247" s="31"/>
      <c r="C247" s="8"/>
      <c r="D247" s="8"/>
      <c r="E247" s="8"/>
      <c r="F247" s="8"/>
      <c r="G247" s="8"/>
      <c r="H247" s="32"/>
      <c r="I247" s="32"/>
      <c r="J247" s="25" t="str">
        <f>IF(B247="","",IFERROR(VLOOKUP(C247,Soldes_Ouverture,2,FALSE()),0)+SUMIFS($S$4:S247,$C$4:C247,C247))</f>
        <v/>
      </c>
      <c r="K247" s="1" t="str">
        <f t="shared" si="46"/>
        <v/>
      </c>
      <c r="L247" s="1" t="str">
        <f t="shared" si="47"/>
        <v/>
      </c>
      <c r="M247" s="1" t="str">
        <f t="shared" si="48"/>
        <v/>
      </c>
      <c r="N247" s="8"/>
      <c r="O247" s="8"/>
      <c r="P247" s="1" t="str">
        <f t="shared" si="49"/>
        <v/>
      </c>
      <c r="Q247" s="25" t="str">
        <f t="shared" si="50"/>
        <v/>
      </c>
      <c r="R247" s="1" t="str">
        <f t="shared" si="51"/>
        <v/>
      </c>
      <c r="S247" s="33" t="str">
        <f t="shared" si="52"/>
        <v/>
      </c>
      <c r="T247" s="34" t="str">
        <f>IF(B247="","",C247&amp;"|"&amp;ROUND(S247,2)&amp;"|"&amp;COUNTIFS($C$4:C247,C247,$S$4:S247,S247))</f>
        <v/>
      </c>
      <c r="U247" s="34" t="str">
        <f t="shared" si="53"/>
        <v/>
      </c>
      <c r="V247" s="34" t="str">
        <f t="shared" si="54"/>
        <v/>
      </c>
      <c r="W247" s="34" t="str">
        <f t="shared" si="55"/>
        <v/>
      </c>
      <c r="X247" s="34">
        <f t="shared" si="56"/>
        <v>0</v>
      </c>
      <c r="Y247" s="34" t="str">
        <f t="shared" si="57"/>
        <v/>
      </c>
      <c r="Z247" s="34" t="str">
        <f>IF(X247=1,V247,IF(Y247="","",IF(COUNTIF(Y$3:Y246,Y247)=0,Y247,"")))</f>
        <v/>
      </c>
      <c r="AA247" s="34" t="b">
        <f t="shared" si="58"/>
        <v>0</v>
      </c>
      <c r="AB247" s="34">
        <f t="shared" si="59"/>
        <v>0</v>
      </c>
      <c r="AC247" s="34" t="str">
        <f>IF(AND(B247&lt;&gt;"",C247=CompteSel,N(B247)&lt;=DateArret,AB247=0),MAX($AC$3:AC246)+1,"")</f>
        <v/>
      </c>
      <c r="AD247" s="34" t="str">
        <f>IF(AND(ISNUMBER(M247),C247=CompteSel),MAX($AD$3:AD246)+1,"")</f>
        <v/>
      </c>
    </row>
    <row r="248" spans="1:30" x14ac:dyDescent="0.35">
      <c r="A248" s="1" t="str">
        <f t="shared" si="45"/>
        <v/>
      </c>
      <c r="B248" s="31"/>
      <c r="C248" s="8"/>
      <c r="D248" s="8"/>
      <c r="E248" s="8"/>
      <c r="F248" s="8"/>
      <c r="G248" s="8"/>
      <c r="H248" s="32"/>
      <c r="I248" s="32"/>
      <c r="J248" s="25" t="str">
        <f>IF(B248="","",IFERROR(VLOOKUP(C248,Soldes_Ouverture,2,FALSE()),0)+SUMIFS($S$4:S248,$C$4:C248,C248))</f>
        <v/>
      </c>
      <c r="K248" s="1" t="str">
        <f t="shared" si="46"/>
        <v/>
      </c>
      <c r="L248" s="1" t="str">
        <f t="shared" si="47"/>
        <v/>
      </c>
      <c r="M248" s="1" t="str">
        <f t="shared" si="48"/>
        <v/>
      </c>
      <c r="N248" s="8"/>
      <c r="O248" s="8"/>
      <c r="P248" s="1" t="str">
        <f t="shared" si="49"/>
        <v/>
      </c>
      <c r="Q248" s="25" t="str">
        <f t="shared" si="50"/>
        <v/>
      </c>
      <c r="R248" s="1" t="str">
        <f t="shared" si="51"/>
        <v/>
      </c>
      <c r="S248" s="33" t="str">
        <f t="shared" si="52"/>
        <v/>
      </c>
      <c r="T248" s="34" t="str">
        <f>IF(B248="","",C248&amp;"|"&amp;ROUND(S248,2)&amp;"|"&amp;COUNTIFS($C$4:C248,C248,$S$4:S248,S248))</f>
        <v/>
      </c>
      <c r="U248" s="34" t="str">
        <f t="shared" si="53"/>
        <v/>
      </c>
      <c r="V248" s="34" t="str">
        <f t="shared" si="54"/>
        <v/>
      </c>
      <c r="W248" s="34" t="str">
        <f t="shared" si="55"/>
        <v/>
      </c>
      <c r="X248" s="34">
        <f t="shared" si="56"/>
        <v>0</v>
      </c>
      <c r="Y248" s="34" t="str">
        <f t="shared" si="57"/>
        <v/>
      </c>
      <c r="Z248" s="34" t="str">
        <f>IF(X248=1,V248,IF(Y248="","",IF(COUNTIF(Y$3:Y247,Y248)=0,Y248,"")))</f>
        <v/>
      </c>
      <c r="AA248" s="34" t="b">
        <f t="shared" si="58"/>
        <v>0</v>
      </c>
      <c r="AB248" s="34">
        <f t="shared" si="59"/>
        <v>0</v>
      </c>
      <c r="AC248" s="34" t="str">
        <f>IF(AND(B248&lt;&gt;"",C248=CompteSel,N(B248)&lt;=DateArret,AB248=0),MAX($AC$3:AC247)+1,"")</f>
        <v/>
      </c>
      <c r="AD248" s="34" t="str">
        <f>IF(AND(ISNUMBER(M248),C248=CompteSel),MAX($AD$3:AD247)+1,"")</f>
        <v/>
      </c>
    </row>
    <row r="249" spans="1:30" x14ac:dyDescent="0.35">
      <c r="A249" s="1" t="str">
        <f t="shared" si="45"/>
        <v/>
      </c>
      <c r="B249" s="31"/>
      <c r="C249" s="8"/>
      <c r="D249" s="8"/>
      <c r="E249" s="8"/>
      <c r="F249" s="8"/>
      <c r="G249" s="8"/>
      <c r="H249" s="32"/>
      <c r="I249" s="32"/>
      <c r="J249" s="25" t="str">
        <f>IF(B249="","",IFERROR(VLOOKUP(C249,Soldes_Ouverture,2,FALSE()),0)+SUMIFS($S$4:S249,$C$4:C249,C249))</f>
        <v/>
      </c>
      <c r="K249" s="1" t="str">
        <f t="shared" si="46"/>
        <v/>
      </c>
      <c r="L249" s="1" t="str">
        <f t="shared" si="47"/>
        <v/>
      </c>
      <c r="M249" s="1" t="str">
        <f t="shared" si="48"/>
        <v/>
      </c>
      <c r="N249" s="8"/>
      <c r="O249" s="8"/>
      <c r="P249" s="1" t="str">
        <f t="shared" si="49"/>
        <v/>
      </c>
      <c r="Q249" s="25" t="str">
        <f t="shared" si="50"/>
        <v/>
      </c>
      <c r="R249" s="1" t="str">
        <f t="shared" si="51"/>
        <v/>
      </c>
      <c r="S249" s="33" t="str">
        <f t="shared" si="52"/>
        <v/>
      </c>
      <c r="T249" s="34" t="str">
        <f>IF(B249="","",C249&amp;"|"&amp;ROUND(S249,2)&amp;"|"&amp;COUNTIFS($C$4:C249,C249,$S$4:S249,S249))</f>
        <v/>
      </c>
      <c r="U249" s="34" t="str">
        <f t="shared" si="53"/>
        <v/>
      </c>
      <c r="V249" s="34" t="str">
        <f t="shared" si="54"/>
        <v/>
      </c>
      <c r="W249" s="34" t="str">
        <f t="shared" si="55"/>
        <v/>
      </c>
      <c r="X249" s="34">
        <f t="shared" si="56"/>
        <v>0</v>
      </c>
      <c r="Y249" s="34" t="str">
        <f t="shared" si="57"/>
        <v/>
      </c>
      <c r="Z249" s="34" t="str">
        <f>IF(X249=1,V249,IF(Y249="","",IF(COUNTIF(Y$3:Y248,Y249)=0,Y249,"")))</f>
        <v/>
      </c>
      <c r="AA249" s="34" t="b">
        <f t="shared" si="58"/>
        <v>0</v>
      </c>
      <c r="AB249" s="34">
        <f t="shared" si="59"/>
        <v>0</v>
      </c>
      <c r="AC249" s="34" t="str">
        <f>IF(AND(B249&lt;&gt;"",C249=CompteSel,N(B249)&lt;=DateArret,AB249=0),MAX($AC$3:AC248)+1,"")</f>
        <v/>
      </c>
      <c r="AD249" s="34" t="str">
        <f>IF(AND(ISNUMBER(M249),C249=CompteSel),MAX($AD$3:AD248)+1,"")</f>
        <v/>
      </c>
    </row>
    <row r="250" spans="1:30" x14ac:dyDescent="0.35">
      <c r="A250" s="1" t="str">
        <f t="shared" si="45"/>
        <v/>
      </c>
      <c r="B250" s="31"/>
      <c r="C250" s="8"/>
      <c r="D250" s="8"/>
      <c r="E250" s="8"/>
      <c r="F250" s="8"/>
      <c r="G250" s="8"/>
      <c r="H250" s="32"/>
      <c r="I250" s="32"/>
      <c r="J250" s="25" t="str">
        <f>IF(B250="","",IFERROR(VLOOKUP(C250,Soldes_Ouverture,2,FALSE()),0)+SUMIFS($S$4:S250,$C$4:C250,C250))</f>
        <v/>
      </c>
      <c r="K250" s="1" t="str">
        <f t="shared" si="46"/>
        <v/>
      </c>
      <c r="L250" s="1" t="str">
        <f t="shared" si="47"/>
        <v/>
      </c>
      <c r="M250" s="1" t="str">
        <f t="shared" si="48"/>
        <v/>
      </c>
      <c r="N250" s="8"/>
      <c r="O250" s="8"/>
      <c r="P250" s="1" t="str">
        <f t="shared" si="49"/>
        <v/>
      </c>
      <c r="Q250" s="25" t="str">
        <f t="shared" si="50"/>
        <v/>
      </c>
      <c r="R250" s="1" t="str">
        <f t="shared" si="51"/>
        <v/>
      </c>
      <c r="S250" s="33" t="str">
        <f t="shared" si="52"/>
        <v/>
      </c>
      <c r="T250" s="34" t="str">
        <f>IF(B250="","",C250&amp;"|"&amp;ROUND(S250,2)&amp;"|"&amp;COUNTIFS($C$4:C250,C250,$S$4:S250,S250))</f>
        <v/>
      </c>
      <c r="U250" s="34" t="str">
        <f t="shared" si="53"/>
        <v/>
      </c>
      <c r="V250" s="34" t="str">
        <f t="shared" si="54"/>
        <v/>
      </c>
      <c r="W250" s="34" t="str">
        <f t="shared" si="55"/>
        <v/>
      </c>
      <c r="X250" s="34">
        <f t="shared" si="56"/>
        <v>0</v>
      </c>
      <c r="Y250" s="34" t="str">
        <f t="shared" si="57"/>
        <v/>
      </c>
      <c r="Z250" s="34" t="str">
        <f>IF(X250=1,V250,IF(Y250="","",IF(COUNTIF(Y$3:Y249,Y250)=0,Y250,"")))</f>
        <v/>
      </c>
      <c r="AA250" s="34" t="b">
        <f t="shared" si="58"/>
        <v>0</v>
      </c>
      <c r="AB250" s="34">
        <f t="shared" si="59"/>
        <v>0</v>
      </c>
      <c r="AC250" s="34" t="str">
        <f>IF(AND(B250&lt;&gt;"",C250=CompteSel,N(B250)&lt;=DateArret,AB250=0),MAX($AC$3:AC249)+1,"")</f>
        <v/>
      </c>
      <c r="AD250" s="34" t="str">
        <f>IF(AND(ISNUMBER(M250),C250=CompteSel),MAX($AD$3:AD249)+1,"")</f>
        <v/>
      </c>
    </row>
    <row r="251" spans="1:30" x14ac:dyDescent="0.35">
      <c r="A251" s="1" t="str">
        <f t="shared" si="45"/>
        <v/>
      </c>
      <c r="B251" s="31"/>
      <c r="C251" s="8"/>
      <c r="D251" s="8"/>
      <c r="E251" s="8"/>
      <c r="F251" s="8"/>
      <c r="G251" s="8"/>
      <c r="H251" s="32"/>
      <c r="I251" s="32"/>
      <c r="J251" s="25" t="str">
        <f>IF(B251="","",IFERROR(VLOOKUP(C251,Soldes_Ouverture,2,FALSE()),0)+SUMIFS($S$4:S251,$C$4:C251,C251))</f>
        <v/>
      </c>
      <c r="K251" s="1" t="str">
        <f t="shared" si="46"/>
        <v/>
      </c>
      <c r="L251" s="1" t="str">
        <f t="shared" si="47"/>
        <v/>
      </c>
      <c r="M251" s="1" t="str">
        <f t="shared" si="48"/>
        <v/>
      </c>
      <c r="N251" s="8"/>
      <c r="O251" s="8"/>
      <c r="P251" s="1" t="str">
        <f t="shared" si="49"/>
        <v/>
      </c>
      <c r="Q251" s="25" t="str">
        <f t="shared" si="50"/>
        <v/>
      </c>
      <c r="R251" s="1" t="str">
        <f t="shared" si="51"/>
        <v/>
      </c>
      <c r="S251" s="33" t="str">
        <f t="shared" si="52"/>
        <v/>
      </c>
      <c r="T251" s="34" t="str">
        <f>IF(B251="","",C251&amp;"|"&amp;ROUND(S251,2)&amp;"|"&amp;COUNTIFS($C$4:C251,C251,$S$4:S251,S251))</f>
        <v/>
      </c>
      <c r="U251" s="34" t="str">
        <f t="shared" si="53"/>
        <v/>
      </c>
      <c r="V251" s="34" t="str">
        <f t="shared" si="54"/>
        <v/>
      </c>
      <c r="W251" s="34" t="str">
        <f t="shared" si="55"/>
        <v/>
      </c>
      <c r="X251" s="34">
        <f t="shared" si="56"/>
        <v>0</v>
      </c>
      <c r="Y251" s="34" t="str">
        <f t="shared" si="57"/>
        <v/>
      </c>
      <c r="Z251" s="34" t="str">
        <f>IF(X251=1,V251,IF(Y251="","",IF(COUNTIF(Y$3:Y250,Y251)=0,Y251,"")))</f>
        <v/>
      </c>
      <c r="AA251" s="34" t="b">
        <f t="shared" si="58"/>
        <v>0</v>
      </c>
      <c r="AB251" s="34">
        <f t="shared" si="59"/>
        <v>0</v>
      </c>
      <c r="AC251" s="34" t="str">
        <f>IF(AND(B251&lt;&gt;"",C251=CompteSel,N(B251)&lt;=DateArret,AB251=0),MAX($AC$3:AC250)+1,"")</f>
        <v/>
      </c>
      <c r="AD251" s="34" t="str">
        <f>IF(AND(ISNUMBER(M251),C251=CompteSel),MAX($AD$3:AD250)+1,"")</f>
        <v/>
      </c>
    </row>
    <row r="252" spans="1:30" x14ac:dyDescent="0.35">
      <c r="A252" s="1" t="str">
        <f t="shared" si="45"/>
        <v/>
      </c>
      <c r="B252" s="31"/>
      <c r="C252" s="8"/>
      <c r="D252" s="8"/>
      <c r="E252" s="8"/>
      <c r="F252" s="8"/>
      <c r="G252" s="8"/>
      <c r="H252" s="32"/>
      <c r="I252" s="32"/>
      <c r="J252" s="25" t="str">
        <f>IF(B252="","",IFERROR(VLOOKUP(C252,Soldes_Ouverture,2,FALSE()),0)+SUMIFS($S$4:S252,$C$4:C252,C252))</f>
        <v/>
      </c>
      <c r="K252" s="1" t="str">
        <f t="shared" si="46"/>
        <v/>
      </c>
      <c r="L252" s="1" t="str">
        <f t="shared" si="47"/>
        <v/>
      </c>
      <c r="M252" s="1" t="str">
        <f t="shared" si="48"/>
        <v/>
      </c>
      <c r="N252" s="8"/>
      <c r="O252" s="8"/>
      <c r="P252" s="1" t="str">
        <f t="shared" si="49"/>
        <v/>
      </c>
      <c r="Q252" s="25" t="str">
        <f t="shared" si="50"/>
        <v/>
      </c>
      <c r="R252" s="1" t="str">
        <f t="shared" si="51"/>
        <v/>
      </c>
      <c r="S252" s="33" t="str">
        <f t="shared" si="52"/>
        <v/>
      </c>
      <c r="T252" s="34" t="str">
        <f>IF(B252="","",C252&amp;"|"&amp;ROUND(S252,2)&amp;"|"&amp;COUNTIFS($C$4:C252,C252,$S$4:S252,S252))</f>
        <v/>
      </c>
      <c r="U252" s="34" t="str">
        <f t="shared" si="53"/>
        <v/>
      </c>
      <c r="V252" s="34" t="str">
        <f t="shared" si="54"/>
        <v/>
      </c>
      <c r="W252" s="34" t="str">
        <f t="shared" si="55"/>
        <v/>
      </c>
      <c r="X252" s="34">
        <f t="shared" si="56"/>
        <v>0</v>
      </c>
      <c r="Y252" s="34" t="str">
        <f t="shared" si="57"/>
        <v/>
      </c>
      <c r="Z252" s="34" t="str">
        <f>IF(X252=1,V252,IF(Y252="","",IF(COUNTIF(Y$3:Y251,Y252)=0,Y252,"")))</f>
        <v/>
      </c>
      <c r="AA252" s="34" t="b">
        <f t="shared" si="58"/>
        <v>0</v>
      </c>
      <c r="AB252" s="34">
        <f t="shared" si="59"/>
        <v>0</v>
      </c>
      <c r="AC252" s="34" t="str">
        <f>IF(AND(B252&lt;&gt;"",C252=CompteSel,N(B252)&lt;=DateArret,AB252=0),MAX($AC$3:AC251)+1,"")</f>
        <v/>
      </c>
      <c r="AD252" s="34" t="str">
        <f>IF(AND(ISNUMBER(M252),C252=CompteSel),MAX($AD$3:AD251)+1,"")</f>
        <v/>
      </c>
    </row>
    <row r="253" spans="1:30" x14ac:dyDescent="0.35">
      <c r="A253" s="1" t="str">
        <f t="shared" si="45"/>
        <v/>
      </c>
      <c r="B253" s="31"/>
      <c r="C253" s="8"/>
      <c r="D253" s="8"/>
      <c r="E253" s="8"/>
      <c r="F253" s="8"/>
      <c r="G253" s="8"/>
      <c r="H253" s="32"/>
      <c r="I253" s="32"/>
      <c r="J253" s="25" t="str">
        <f>IF(B253="","",IFERROR(VLOOKUP(C253,Soldes_Ouverture,2,FALSE()),0)+SUMIFS($S$4:S253,$C$4:C253,C253))</f>
        <v/>
      </c>
      <c r="K253" s="1" t="str">
        <f t="shared" si="46"/>
        <v/>
      </c>
      <c r="L253" s="1" t="str">
        <f t="shared" si="47"/>
        <v/>
      </c>
      <c r="M253" s="1" t="str">
        <f t="shared" si="48"/>
        <v/>
      </c>
      <c r="N253" s="8"/>
      <c r="O253" s="8"/>
      <c r="P253" s="1" t="str">
        <f t="shared" si="49"/>
        <v/>
      </c>
      <c r="Q253" s="25" t="str">
        <f t="shared" si="50"/>
        <v/>
      </c>
      <c r="R253" s="1" t="str">
        <f t="shared" si="51"/>
        <v/>
      </c>
      <c r="S253" s="33" t="str">
        <f t="shared" si="52"/>
        <v/>
      </c>
      <c r="T253" s="34" t="str">
        <f>IF(B253="","",C253&amp;"|"&amp;ROUND(S253,2)&amp;"|"&amp;COUNTIFS($C$4:C253,C253,$S$4:S253,S253))</f>
        <v/>
      </c>
      <c r="U253" s="34" t="str">
        <f t="shared" si="53"/>
        <v/>
      </c>
      <c r="V253" s="34" t="str">
        <f t="shared" si="54"/>
        <v/>
      </c>
      <c r="W253" s="34" t="str">
        <f t="shared" si="55"/>
        <v/>
      </c>
      <c r="X253" s="34">
        <f t="shared" si="56"/>
        <v>0</v>
      </c>
      <c r="Y253" s="34" t="str">
        <f t="shared" si="57"/>
        <v/>
      </c>
      <c r="Z253" s="34" t="str">
        <f>IF(X253=1,V253,IF(Y253="","",IF(COUNTIF(Y$3:Y252,Y253)=0,Y253,"")))</f>
        <v/>
      </c>
      <c r="AA253" s="34" t="b">
        <f t="shared" si="58"/>
        <v>0</v>
      </c>
      <c r="AB253" s="34">
        <f t="shared" si="59"/>
        <v>0</v>
      </c>
      <c r="AC253" s="34" t="str">
        <f>IF(AND(B253&lt;&gt;"",C253=CompteSel,N(B253)&lt;=DateArret,AB253=0),MAX($AC$3:AC252)+1,"")</f>
        <v/>
      </c>
      <c r="AD253" s="34" t="str">
        <f>IF(AND(ISNUMBER(M253),C253=CompteSel),MAX($AD$3:AD252)+1,"")</f>
        <v/>
      </c>
    </row>
    <row r="254" spans="1:30" x14ac:dyDescent="0.35">
      <c r="A254" s="1" t="str">
        <f t="shared" si="45"/>
        <v/>
      </c>
      <c r="B254" s="31"/>
      <c r="C254" s="8"/>
      <c r="D254" s="8"/>
      <c r="E254" s="8"/>
      <c r="F254" s="8"/>
      <c r="G254" s="8"/>
      <c r="H254" s="32"/>
      <c r="I254" s="32"/>
      <c r="J254" s="25" t="str">
        <f>IF(B254="","",IFERROR(VLOOKUP(C254,Soldes_Ouverture,2,FALSE()),0)+SUMIFS($S$4:S254,$C$4:C254,C254))</f>
        <v/>
      </c>
      <c r="K254" s="1" t="str">
        <f t="shared" si="46"/>
        <v/>
      </c>
      <c r="L254" s="1" t="str">
        <f t="shared" si="47"/>
        <v/>
      </c>
      <c r="M254" s="1" t="str">
        <f t="shared" si="48"/>
        <v/>
      </c>
      <c r="N254" s="8"/>
      <c r="O254" s="8"/>
      <c r="P254" s="1" t="str">
        <f t="shared" si="49"/>
        <v/>
      </c>
      <c r="Q254" s="25" t="str">
        <f t="shared" si="50"/>
        <v/>
      </c>
      <c r="R254" s="1" t="str">
        <f t="shared" si="51"/>
        <v/>
      </c>
      <c r="S254" s="33" t="str">
        <f t="shared" si="52"/>
        <v/>
      </c>
      <c r="T254" s="34" t="str">
        <f>IF(B254="","",C254&amp;"|"&amp;ROUND(S254,2)&amp;"|"&amp;COUNTIFS($C$4:C254,C254,$S$4:S254,S254))</f>
        <v/>
      </c>
      <c r="U254" s="34" t="str">
        <f t="shared" si="53"/>
        <v/>
      </c>
      <c r="V254" s="34" t="str">
        <f t="shared" si="54"/>
        <v/>
      </c>
      <c r="W254" s="34" t="str">
        <f t="shared" si="55"/>
        <v/>
      </c>
      <c r="X254" s="34">
        <f t="shared" si="56"/>
        <v>0</v>
      </c>
      <c r="Y254" s="34" t="str">
        <f t="shared" si="57"/>
        <v/>
      </c>
      <c r="Z254" s="34" t="str">
        <f>IF(X254=1,V254,IF(Y254="","",IF(COUNTIF(Y$3:Y253,Y254)=0,Y254,"")))</f>
        <v/>
      </c>
      <c r="AA254" s="34" t="b">
        <f t="shared" si="58"/>
        <v>0</v>
      </c>
      <c r="AB254" s="34">
        <f t="shared" si="59"/>
        <v>0</v>
      </c>
      <c r="AC254" s="34" t="str">
        <f>IF(AND(B254&lt;&gt;"",C254=CompteSel,N(B254)&lt;=DateArret,AB254=0),MAX($AC$3:AC253)+1,"")</f>
        <v/>
      </c>
      <c r="AD254" s="34" t="str">
        <f>IF(AND(ISNUMBER(M254),C254=CompteSel),MAX($AD$3:AD253)+1,"")</f>
        <v/>
      </c>
    </row>
    <row r="255" spans="1:30" x14ac:dyDescent="0.35">
      <c r="A255" s="1" t="str">
        <f t="shared" si="45"/>
        <v/>
      </c>
      <c r="B255" s="31"/>
      <c r="C255" s="8"/>
      <c r="D255" s="8"/>
      <c r="E255" s="8"/>
      <c r="F255" s="8"/>
      <c r="G255" s="8"/>
      <c r="H255" s="32"/>
      <c r="I255" s="32"/>
      <c r="J255" s="25" t="str">
        <f>IF(B255="","",IFERROR(VLOOKUP(C255,Soldes_Ouverture,2,FALSE()),0)+SUMIFS($S$4:S255,$C$4:C255,C255))</f>
        <v/>
      </c>
      <c r="K255" s="1" t="str">
        <f t="shared" si="46"/>
        <v/>
      </c>
      <c r="L255" s="1" t="str">
        <f t="shared" si="47"/>
        <v/>
      </c>
      <c r="M255" s="1" t="str">
        <f t="shared" si="48"/>
        <v/>
      </c>
      <c r="N255" s="8"/>
      <c r="O255" s="8"/>
      <c r="P255" s="1" t="str">
        <f t="shared" si="49"/>
        <v/>
      </c>
      <c r="Q255" s="25" t="str">
        <f t="shared" si="50"/>
        <v/>
      </c>
      <c r="R255" s="1" t="str">
        <f t="shared" si="51"/>
        <v/>
      </c>
      <c r="S255" s="33" t="str">
        <f t="shared" si="52"/>
        <v/>
      </c>
      <c r="T255" s="34" t="str">
        <f>IF(B255="","",C255&amp;"|"&amp;ROUND(S255,2)&amp;"|"&amp;COUNTIFS($C$4:C255,C255,$S$4:S255,S255))</f>
        <v/>
      </c>
      <c r="U255" s="34" t="str">
        <f t="shared" si="53"/>
        <v/>
      </c>
      <c r="V255" s="34" t="str">
        <f t="shared" si="54"/>
        <v/>
      </c>
      <c r="W255" s="34" t="str">
        <f t="shared" si="55"/>
        <v/>
      </c>
      <c r="X255" s="34">
        <f t="shared" si="56"/>
        <v>0</v>
      </c>
      <c r="Y255" s="34" t="str">
        <f t="shared" si="57"/>
        <v/>
      </c>
      <c r="Z255" s="34" t="str">
        <f>IF(X255=1,V255,IF(Y255="","",IF(COUNTIF(Y$3:Y254,Y255)=0,Y255,"")))</f>
        <v/>
      </c>
      <c r="AA255" s="34" t="b">
        <f t="shared" si="58"/>
        <v>0</v>
      </c>
      <c r="AB255" s="34">
        <f t="shared" si="59"/>
        <v>0</v>
      </c>
      <c r="AC255" s="34" t="str">
        <f>IF(AND(B255&lt;&gt;"",C255=CompteSel,N(B255)&lt;=DateArret,AB255=0),MAX($AC$3:AC254)+1,"")</f>
        <v/>
      </c>
      <c r="AD255" s="34" t="str">
        <f>IF(AND(ISNUMBER(M255),C255=CompteSel),MAX($AD$3:AD254)+1,"")</f>
        <v/>
      </c>
    </row>
    <row r="256" spans="1:30" x14ac:dyDescent="0.35">
      <c r="A256" s="1" t="str">
        <f t="shared" si="45"/>
        <v/>
      </c>
      <c r="B256" s="31"/>
      <c r="C256" s="8"/>
      <c r="D256" s="8"/>
      <c r="E256" s="8"/>
      <c r="F256" s="8"/>
      <c r="G256" s="8"/>
      <c r="H256" s="32"/>
      <c r="I256" s="32"/>
      <c r="J256" s="25" t="str">
        <f>IF(B256="","",IFERROR(VLOOKUP(C256,Soldes_Ouverture,2,FALSE()),0)+SUMIFS($S$4:S256,$C$4:C256,C256))</f>
        <v/>
      </c>
      <c r="K256" s="1" t="str">
        <f t="shared" si="46"/>
        <v/>
      </c>
      <c r="L256" s="1" t="str">
        <f t="shared" si="47"/>
        <v/>
      </c>
      <c r="M256" s="1" t="str">
        <f t="shared" si="48"/>
        <v/>
      </c>
      <c r="N256" s="8"/>
      <c r="O256" s="8"/>
      <c r="P256" s="1" t="str">
        <f t="shared" si="49"/>
        <v/>
      </c>
      <c r="Q256" s="25" t="str">
        <f t="shared" si="50"/>
        <v/>
      </c>
      <c r="R256" s="1" t="str">
        <f t="shared" si="51"/>
        <v/>
      </c>
      <c r="S256" s="33" t="str">
        <f t="shared" si="52"/>
        <v/>
      </c>
      <c r="T256" s="34" t="str">
        <f>IF(B256="","",C256&amp;"|"&amp;ROUND(S256,2)&amp;"|"&amp;COUNTIFS($C$4:C256,C256,$S$4:S256,S256))</f>
        <v/>
      </c>
      <c r="U256" s="34" t="str">
        <f t="shared" si="53"/>
        <v/>
      </c>
      <c r="V256" s="34" t="str">
        <f t="shared" si="54"/>
        <v/>
      </c>
      <c r="W256" s="34" t="str">
        <f t="shared" si="55"/>
        <v/>
      </c>
      <c r="X256" s="34">
        <f t="shared" si="56"/>
        <v>0</v>
      </c>
      <c r="Y256" s="34" t="str">
        <f t="shared" si="57"/>
        <v/>
      </c>
      <c r="Z256" s="34" t="str">
        <f>IF(X256=1,V256,IF(Y256="","",IF(COUNTIF(Y$3:Y255,Y256)=0,Y256,"")))</f>
        <v/>
      </c>
      <c r="AA256" s="34" t="b">
        <f t="shared" si="58"/>
        <v>0</v>
      </c>
      <c r="AB256" s="34">
        <f t="shared" si="59"/>
        <v>0</v>
      </c>
      <c r="AC256" s="34" t="str">
        <f>IF(AND(B256&lt;&gt;"",C256=CompteSel,N(B256)&lt;=DateArret,AB256=0),MAX($AC$3:AC255)+1,"")</f>
        <v/>
      </c>
      <c r="AD256" s="34" t="str">
        <f>IF(AND(ISNUMBER(M256),C256=CompteSel),MAX($AD$3:AD255)+1,"")</f>
        <v/>
      </c>
    </row>
    <row r="257" spans="1:30" x14ac:dyDescent="0.35">
      <c r="A257" s="1" t="str">
        <f t="shared" si="45"/>
        <v/>
      </c>
      <c r="B257" s="31"/>
      <c r="C257" s="8"/>
      <c r="D257" s="8"/>
      <c r="E257" s="8"/>
      <c r="F257" s="8"/>
      <c r="G257" s="8"/>
      <c r="H257" s="32"/>
      <c r="I257" s="32"/>
      <c r="J257" s="25" t="str">
        <f>IF(B257="","",IFERROR(VLOOKUP(C257,Soldes_Ouverture,2,FALSE()),0)+SUMIFS($S$4:S257,$C$4:C257,C257))</f>
        <v/>
      </c>
      <c r="K257" s="1" t="str">
        <f t="shared" si="46"/>
        <v/>
      </c>
      <c r="L257" s="1" t="str">
        <f t="shared" si="47"/>
        <v/>
      </c>
      <c r="M257" s="1" t="str">
        <f t="shared" si="48"/>
        <v/>
      </c>
      <c r="N257" s="8"/>
      <c r="O257" s="8"/>
      <c r="P257" s="1" t="str">
        <f t="shared" si="49"/>
        <v/>
      </c>
      <c r="Q257" s="25" t="str">
        <f t="shared" si="50"/>
        <v/>
      </c>
      <c r="R257" s="1" t="str">
        <f t="shared" si="51"/>
        <v/>
      </c>
      <c r="S257" s="33" t="str">
        <f t="shared" si="52"/>
        <v/>
      </c>
      <c r="T257" s="34" t="str">
        <f>IF(B257="","",C257&amp;"|"&amp;ROUND(S257,2)&amp;"|"&amp;COUNTIFS($C$4:C257,C257,$S$4:S257,S257))</f>
        <v/>
      </c>
      <c r="U257" s="34" t="str">
        <f t="shared" si="53"/>
        <v/>
      </c>
      <c r="V257" s="34" t="str">
        <f t="shared" si="54"/>
        <v/>
      </c>
      <c r="W257" s="34" t="str">
        <f t="shared" si="55"/>
        <v/>
      </c>
      <c r="X257" s="34">
        <f t="shared" si="56"/>
        <v>0</v>
      </c>
      <c r="Y257" s="34" t="str">
        <f t="shared" si="57"/>
        <v/>
      </c>
      <c r="Z257" s="34" t="str">
        <f>IF(X257=1,V257,IF(Y257="","",IF(COUNTIF(Y$3:Y256,Y257)=0,Y257,"")))</f>
        <v/>
      </c>
      <c r="AA257" s="34" t="b">
        <f t="shared" si="58"/>
        <v>0</v>
      </c>
      <c r="AB257" s="34">
        <f t="shared" si="59"/>
        <v>0</v>
      </c>
      <c r="AC257" s="34" t="str">
        <f>IF(AND(B257&lt;&gt;"",C257=CompteSel,N(B257)&lt;=DateArret,AB257=0),MAX($AC$3:AC256)+1,"")</f>
        <v/>
      </c>
      <c r="AD257" s="34" t="str">
        <f>IF(AND(ISNUMBER(M257),C257=CompteSel),MAX($AD$3:AD256)+1,"")</f>
        <v/>
      </c>
    </row>
    <row r="258" spans="1:30" x14ac:dyDescent="0.35">
      <c r="A258" s="1" t="str">
        <f t="shared" si="45"/>
        <v/>
      </c>
      <c r="B258" s="31"/>
      <c r="C258" s="8"/>
      <c r="D258" s="8"/>
      <c r="E258" s="8"/>
      <c r="F258" s="8"/>
      <c r="G258" s="8"/>
      <c r="H258" s="32"/>
      <c r="I258" s="32"/>
      <c r="J258" s="25" t="str">
        <f>IF(B258="","",IFERROR(VLOOKUP(C258,Soldes_Ouverture,2,FALSE()),0)+SUMIFS($S$4:S258,$C$4:C258,C258))</f>
        <v/>
      </c>
      <c r="K258" s="1" t="str">
        <f t="shared" si="46"/>
        <v/>
      </c>
      <c r="L258" s="1" t="str">
        <f t="shared" si="47"/>
        <v/>
      </c>
      <c r="M258" s="1" t="str">
        <f t="shared" si="48"/>
        <v/>
      </c>
      <c r="N258" s="8"/>
      <c r="O258" s="8"/>
      <c r="P258" s="1" t="str">
        <f t="shared" si="49"/>
        <v/>
      </c>
      <c r="Q258" s="25" t="str">
        <f t="shared" si="50"/>
        <v/>
      </c>
      <c r="R258" s="1" t="str">
        <f t="shared" si="51"/>
        <v/>
      </c>
      <c r="S258" s="33" t="str">
        <f t="shared" si="52"/>
        <v/>
      </c>
      <c r="T258" s="34" t="str">
        <f>IF(B258="","",C258&amp;"|"&amp;ROUND(S258,2)&amp;"|"&amp;COUNTIFS($C$4:C258,C258,$S$4:S258,S258))</f>
        <v/>
      </c>
      <c r="U258" s="34" t="str">
        <f t="shared" si="53"/>
        <v/>
      </c>
      <c r="V258" s="34" t="str">
        <f t="shared" si="54"/>
        <v/>
      </c>
      <c r="W258" s="34" t="str">
        <f t="shared" si="55"/>
        <v/>
      </c>
      <c r="X258" s="34">
        <f t="shared" si="56"/>
        <v>0</v>
      </c>
      <c r="Y258" s="34" t="str">
        <f t="shared" si="57"/>
        <v/>
      </c>
      <c r="Z258" s="34" t="str">
        <f>IF(X258=1,V258,IF(Y258="","",IF(COUNTIF(Y$3:Y257,Y258)=0,Y258,"")))</f>
        <v/>
      </c>
      <c r="AA258" s="34" t="b">
        <f t="shared" si="58"/>
        <v>0</v>
      </c>
      <c r="AB258" s="34">
        <f t="shared" si="59"/>
        <v>0</v>
      </c>
      <c r="AC258" s="34" t="str">
        <f>IF(AND(B258&lt;&gt;"",C258=CompteSel,N(B258)&lt;=DateArret,AB258=0),MAX($AC$3:AC257)+1,"")</f>
        <v/>
      </c>
      <c r="AD258" s="34" t="str">
        <f>IF(AND(ISNUMBER(M258),C258=CompteSel),MAX($AD$3:AD257)+1,"")</f>
        <v/>
      </c>
    </row>
    <row r="259" spans="1:30" x14ac:dyDescent="0.35">
      <c r="A259" s="1" t="str">
        <f t="shared" si="45"/>
        <v/>
      </c>
      <c r="B259" s="31"/>
      <c r="C259" s="8"/>
      <c r="D259" s="8"/>
      <c r="E259" s="8"/>
      <c r="F259" s="8"/>
      <c r="G259" s="8"/>
      <c r="H259" s="32"/>
      <c r="I259" s="32"/>
      <c r="J259" s="25" t="str">
        <f>IF(B259="","",IFERROR(VLOOKUP(C259,Soldes_Ouverture,2,FALSE()),0)+SUMIFS($S$4:S259,$C$4:C259,C259))</f>
        <v/>
      </c>
      <c r="K259" s="1" t="str">
        <f t="shared" si="46"/>
        <v/>
      </c>
      <c r="L259" s="1" t="str">
        <f t="shared" si="47"/>
        <v/>
      </c>
      <c r="M259" s="1" t="str">
        <f t="shared" si="48"/>
        <v/>
      </c>
      <c r="N259" s="8"/>
      <c r="O259" s="8"/>
      <c r="P259" s="1" t="str">
        <f t="shared" si="49"/>
        <v/>
      </c>
      <c r="Q259" s="25" t="str">
        <f t="shared" si="50"/>
        <v/>
      </c>
      <c r="R259" s="1" t="str">
        <f t="shared" si="51"/>
        <v/>
      </c>
      <c r="S259" s="33" t="str">
        <f t="shared" si="52"/>
        <v/>
      </c>
      <c r="T259" s="34" t="str">
        <f>IF(B259="","",C259&amp;"|"&amp;ROUND(S259,2)&amp;"|"&amp;COUNTIFS($C$4:C259,C259,$S$4:S259,S259))</f>
        <v/>
      </c>
      <c r="U259" s="34" t="str">
        <f t="shared" si="53"/>
        <v/>
      </c>
      <c r="V259" s="34" t="str">
        <f t="shared" si="54"/>
        <v/>
      </c>
      <c r="W259" s="34" t="str">
        <f t="shared" si="55"/>
        <v/>
      </c>
      <c r="X259" s="34">
        <f t="shared" si="56"/>
        <v>0</v>
      </c>
      <c r="Y259" s="34" t="str">
        <f t="shared" si="57"/>
        <v/>
      </c>
      <c r="Z259" s="34" t="str">
        <f>IF(X259=1,V259,IF(Y259="","",IF(COUNTIF(Y$3:Y258,Y259)=0,Y259,"")))</f>
        <v/>
      </c>
      <c r="AA259" s="34" t="b">
        <f t="shared" si="58"/>
        <v>0</v>
      </c>
      <c r="AB259" s="34">
        <f t="shared" si="59"/>
        <v>0</v>
      </c>
      <c r="AC259" s="34" t="str">
        <f>IF(AND(B259&lt;&gt;"",C259=CompteSel,N(B259)&lt;=DateArret,AB259=0),MAX($AC$3:AC258)+1,"")</f>
        <v/>
      </c>
      <c r="AD259" s="34" t="str">
        <f>IF(AND(ISNUMBER(M259),C259=CompteSel),MAX($AD$3:AD258)+1,"")</f>
        <v/>
      </c>
    </row>
    <row r="260" spans="1:30" x14ac:dyDescent="0.35">
      <c r="A260" s="1" t="str">
        <f t="shared" ref="A260:A323" si="60">IF(B260="","",ROW()-3)</f>
        <v/>
      </c>
      <c r="B260" s="31"/>
      <c r="C260" s="8"/>
      <c r="D260" s="8"/>
      <c r="E260" s="8"/>
      <c r="F260" s="8"/>
      <c r="G260" s="8"/>
      <c r="H260" s="32"/>
      <c r="I260" s="32"/>
      <c r="J260" s="25" t="str">
        <f>IF(B260="","",IFERROR(VLOOKUP(C260,Soldes_Ouverture,2,FALSE()),0)+SUMIFS($S$4:S260,$C$4:C260,C260))</f>
        <v/>
      </c>
      <c r="K260" s="1" t="str">
        <f t="shared" ref="K260:K323" si="61">IF(B260="","",IF(N260="Écart","Écart",IF(M260="","Non rapproché",IF(ISNUMBER(SEARCH("Conflit",R260)),"Conflit",IF(O260&lt;&gt;"","Manuel",IF(OR(N260="Valider",AND(L260="Fort",AutoFort="Oui")),"Rapproché","Proposé"))))))</f>
        <v/>
      </c>
      <c r="L260" s="1" t="str">
        <f t="shared" ref="L260:L323" si="62">IF(M260="","",IF(O260&lt;&gt;"","Manuel",IF(AND(P260&lt;=TolJours,AA260),"Fort",IF(P260&lt;=TolJours,"Moyen","Faible"))))</f>
        <v/>
      </c>
      <c r="M260" s="1" t="str">
        <f t="shared" ref="M260:M323" si="63">IF(B260="","",IF(O260&lt;&gt;"",O260,IF(OR(N260="Rejeter",N260="Écart",Z260=""),"",IF(INDEX(B_Decision,Z260)="Écart","",Z260))))</f>
        <v/>
      </c>
      <c r="N260" s="8"/>
      <c r="O260" s="8"/>
      <c r="P260" s="1" t="str">
        <f t="shared" ref="P260:P323" si="64">IF(M260="","",IFERROR(ABS(B260-INDEX(B_Date,M260)),""))</f>
        <v/>
      </c>
      <c r="Q260" s="25" t="str">
        <f t="shared" ref="Q260:Q323" si="65">IF(M260="","",IFERROR(ABS(S260-INDEX(B_Montant,M260)),""))</f>
        <v/>
      </c>
      <c r="R260" s="1" t="str">
        <f t="shared" ref="R260:R323" si="66">IF(B260="","",TRIM(IF(AND(M260&lt;&gt;"",COUNTIF($M$4:$M$503,M260)&gt;1),"Conflit ","")&amp;IF(COUNTIFS($C$4:$C$503,C260,$B$4:$B$503,B260,$S$4:$S$503,S260)&gt;1,"Doublon ?","")))</f>
        <v/>
      </c>
      <c r="S260" s="33" t="str">
        <f t="shared" ref="S260:S323" si="67">IF(B260="","",N(I260)-N(H260))</f>
        <v/>
      </c>
      <c r="T260" s="34" t="str">
        <f>IF(B260="","",C260&amp;"|"&amp;ROUND(S260,2)&amp;"|"&amp;COUNTIFS($C$4:C260,C260,$S$4:S260,S260))</f>
        <v/>
      </c>
      <c r="U260" s="34" t="str">
        <f t="shared" ref="U260:U323" si="68">IF(D260="","",IFERROR(VALUE(TRIM(RIGHT(SUBSTITUTE(SUBSTITUTE(SUBSTITUTE(D260,"-"," "),"/"," ")," ",REPT(" ",60)),60))),""))</f>
        <v/>
      </c>
      <c r="V260" s="34" t="str">
        <f t="shared" ref="V260:V323" si="69">IF(B260="","",IFERROR(MATCH(T260,B_Cle,0),""))</f>
        <v/>
      </c>
      <c r="W260" s="34" t="str">
        <f t="shared" ref="W260:W323" si="70">IF(V260="","",ABS(B260-INDEX(B_Date,V260)))</f>
        <v/>
      </c>
      <c r="X260" s="34">
        <f t="shared" ref="X260:X323" si="71">IF(V260="",0,IF(W260&lt;=Fenetre,1,0))</f>
        <v>0</v>
      </c>
      <c r="Y260" s="34" t="str">
        <f t="shared" ref="Y260:Y323" si="72">IF(OR(B260="",X260=1,TolMontant&lt;=0),"",IFERROR(MATCH(1,INDEX((B_Compte=C260)*(B_Date&gt;0)*(B_Signe=SIGN(S260))*(ABS(B_MontantN-S260)&lt;=TolMontant)*(ABS(B_Date-B260)&lt;=Fenetre)*(B_PrisExact=0),0),0),""))</f>
        <v/>
      </c>
      <c r="Z260" s="34" t="str">
        <f>IF(X260=1,V260,IF(Y260="","",IF(COUNTIF(Y$3:Y259,Y260)=0,Y260,"")))</f>
        <v/>
      </c>
      <c r="AA260" s="34" t="b">
        <f t="shared" ref="AA260:AA323" si="73">IF(M260="",FALSE(),IFERROR(OR(AND(U260&lt;&gt;"",N(U260)&gt;=100,ISNUMBER(SEARCH(U260,INDEX(B_Ref,M260)&amp;" "&amp;INDEX(B_Lib,M260)))),AND(D260&lt;&gt;"",ISNUMBER(SEARCH(D260,INDEX(B_Lib,M260)))),AND(INDEX(B_Ref,M260)&amp;""&lt;&gt;"",D260&lt;&gt;"",ISNUMBER(SEARCH(INDEX(B_Ref,M260)&amp;"",D260)))),FALSE()))</f>
        <v>0</v>
      </c>
      <c r="AB260" s="34">
        <f t="shared" ref="AB260:AB323" si="74">IF(OR(K260="Rapproché",K260="Manuel"),1,0)</f>
        <v>0</v>
      </c>
      <c r="AC260" s="34" t="str">
        <f>IF(AND(B260&lt;&gt;"",C260=CompteSel,N(B260)&lt;=DateArret,AB260=0),MAX($AC$3:AC259)+1,"")</f>
        <v/>
      </c>
      <c r="AD260" s="34" t="str">
        <f>IF(AND(ISNUMBER(M260),C260=CompteSel),MAX($AD$3:AD259)+1,"")</f>
        <v/>
      </c>
    </row>
    <row r="261" spans="1:30" x14ac:dyDescent="0.35">
      <c r="A261" s="1" t="str">
        <f t="shared" si="60"/>
        <v/>
      </c>
      <c r="B261" s="31"/>
      <c r="C261" s="8"/>
      <c r="D261" s="8"/>
      <c r="E261" s="8"/>
      <c r="F261" s="8"/>
      <c r="G261" s="8"/>
      <c r="H261" s="32"/>
      <c r="I261" s="32"/>
      <c r="J261" s="25" t="str">
        <f>IF(B261="","",IFERROR(VLOOKUP(C261,Soldes_Ouverture,2,FALSE()),0)+SUMIFS($S$4:S261,$C$4:C261,C261))</f>
        <v/>
      </c>
      <c r="K261" s="1" t="str">
        <f t="shared" si="61"/>
        <v/>
      </c>
      <c r="L261" s="1" t="str">
        <f t="shared" si="62"/>
        <v/>
      </c>
      <c r="M261" s="1" t="str">
        <f t="shared" si="63"/>
        <v/>
      </c>
      <c r="N261" s="8"/>
      <c r="O261" s="8"/>
      <c r="P261" s="1" t="str">
        <f t="shared" si="64"/>
        <v/>
      </c>
      <c r="Q261" s="25" t="str">
        <f t="shared" si="65"/>
        <v/>
      </c>
      <c r="R261" s="1" t="str">
        <f t="shared" si="66"/>
        <v/>
      </c>
      <c r="S261" s="33" t="str">
        <f t="shared" si="67"/>
        <v/>
      </c>
      <c r="T261" s="34" t="str">
        <f>IF(B261="","",C261&amp;"|"&amp;ROUND(S261,2)&amp;"|"&amp;COUNTIFS($C$4:C261,C261,$S$4:S261,S261))</f>
        <v/>
      </c>
      <c r="U261" s="34" t="str">
        <f t="shared" si="68"/>
        <v/>
      </c>
      <c r="V261" s="34" t="str">
        <f t="shared" si="69"/>
        <v/>
      </c>
      <c r="W261" s="34" t="str">
        <f t="shared" si="70"/>
        <v/>
      </c>
      <c r="X261" s="34">
        <f t="shared" si="71"/>
        <v>0</v>
      </c>
      <c r="Y261" s="34" t="str">
        <f t="shared" si="72"/>
        <v/>
      </c>
      <c r="Z261" s="34" t="str">
        <f>IF(X261=1,V261,IF(Y261="","",IF(COUNTIF(Y$3:Y260,Y261)=0,Y261,"")))</f>
        <v/>
      </c>
      <c r="AA261" s="34" t="b">
        <f t="shared" si="73"/>
        <v>0</v>
      </c>
      <c r="AB261" s="34">
        <f t="shared" si="74"/>
        <v>0</v>
      </c>
      <c r="AC261" s="34" t="str">
        <f>IF(AND(B261&lt;&gt;"",C261=CompteSel,N(B261)&lt;=DateArret,AB261=0),MAX($AC$3:AC260)+1,"")</f>
        <v/>
      </c>
      <c r="AD261" s="34" t="str">
        <f>IF(AND(ISNUMBER(M261),C261=CompteSel),MAX($AD$3:AD260)+1,"")</f>
        <v/>
      </c>
    </row>
    <row r="262" spans="1:30" x14ac:dyDescent="0.35">
      <c r="A262" s="1" t="str">
        <f t="shared" si="60"/>
        <v/>
      </c>
      <c r="B262" s="31"/>
      <c r="C262" s="8"/>
      <c r="D262" s="8"/>
      <c r="E262" s="8"/>
      <c r="F262" s="8"/>
      <c r="G262" s="8"/>
      <c r="H262" s="32"/>
      <c r="I262" s="32"/>
      <c r="J262" s="25" t="str">
        <f>IF(B262="","",IFERROR(VLOOKUP(C262,Soldes_Ouverture,2,FALSE()),0)+SUMIFS($S$4:S262,$C$4:C262,C262))</f>
        <v/>
      </c>
      <c r="K262" s="1" t="str">
        <f t="shared" si="61"/>
        <v/>
      </c>
      <c r="L262" s="1" t="str">
        <f t="shared" si="62"/>
        <v/>
      </c>
      <c r="M262" s="1" t="str">
        <f t="shared" si="63"/>
        <v/>
      </c>
      <c r="N262" s="8"/>
      <c r="O262" s="8"/>
      <c r="P262" s="1" t="str">
        <f t="shared" si="64"/>
        <v/>
      </c>
      <c r="Q262" s="25" t="str">
        <f t="shared" si="65"/>
        <v/>
      </c>
      <c r="R262" s="1" t="str">
        <f t="shared" si="66"/>
        <v/>
      </c>
      <c r="S262" s="33" t="str">
        <f t="shared" si="67"/>
        <v/>
      </c>
      <c r="T262" s="34" t="str">
        <f>IF(B262="","",C262&amp;"|"&amp;ROUND(S262,2)&amp;"|"&amp;COUNTIFS($C$4:C262,C262,$S$4:S262,S262))</f>
        <v/>
      </c>
      <c r="U262" s="34" t="str">
        <f t="shared" si="68"/>
        <v/>
      </c>
      <c r="V262" s="34" t="str">
        <f t="shared" si="69"/>
        <v/>
      </c>
      <c r="W262" s="34" t="str">
        <f t="shared" si="70"/>
        <v/>
      </c>
      <c r="X262" s="34">
        <f t="shared" si="71"/>
        <v>0</v>
      </c>
      <c r="Y262" s="34" t="str">
        <f t="shared" si="72"/>
        <v/>
      </c>
      <c r="Z262" s="34" t="str">
        <f>IF(X262=1,V262,IF(Y262="","",IF(COUNTIF(Y$3:Y261,Y262)=0,Y262,"")))</f>
        <v/>
      </c>
      <c r="AA262" s="34" t="b">
        <f t="shared" si="73"/>
        <v>0</v>
      </c>
      <c r="AB262" s="34">
        <f t="shared" si="74"/>
        <v>0</v>
      </c>
      <c r="AC262" s="34" t="str">
        <f>IF(AND(B262&lt;&gt;"",C262=CompteSel,N(B262)&lt;=DateArret,AB262=0),MAX($AC$3:AC261)+1,"")</f>
        <v/>
      </c>
      <c r="AD262" s="34" t="str">
        <f>IF(AND(ISNUMBER(M262),C262=CompteSel),MAX($AD$3:AD261)+1,"")</f>
        <v/>
      </c>
    </row>
    <row r="263" spans="1:30" x14ac:dyDescent="0.35">
      <c r="A263" s="1" t="str">
        <f t="shared" si="60"/>
        <v/>
      </c>
      <c r="B263" s="31"/>
      <c r="C263" s="8"/>
      <c r="D263" s="8"/>
      <c r="E263" s="8"/>
      <c r="F263" s="8"/>
      <c r="G263" s="8"/>
      <c r="H263" s="32"/>
      <c r="I263" s="32"/>
      <c r="J263" s="25" t="str">
        <f>IF(B263="","",IFERROR(VLOOKUP(C263,Soldes_Ouverture,2,FALSE()),0)+SUMIFS($S$4:S263,$C$4:C263,C263))</f>
        <v/>
      </c>
      <c r="K263" s="1" t="str">
        <f t="shared" si="61"/>
        <v/>
      </c>
      <c r="L263" s="1" t="str">
        <f t="shared" si="62"/>
        <v/>
      </c>
      <c r="M263" s="1" t="str">
        <f t="shared" si="63"/>
        <v/>
      </c>
      <c r="N263" s="8"/>
      <c r="O263" s="8"/>
      <c r="P263" s="1" t="str">
        <f t="shared" si="64"/>
        <v/>
      </c>
      <c r="Q263" s="25" t="str">
        <f t="shared" si="65"/>
        <v/>
      </c>
      <c r="R263" s="1" t="str">
        <f t="shared" si="66"/>
        <v/>
      </c>
      <c r="S263" s="33" t="str">
        <f t="shared" si="67"/>
        <v/>
      </c>
      <c r="T263" s="34" t="str">
        <f>IF(B263="","",C263&amp;"|"&amp;ROUND(S263,2)&amp;"|"&amp;COUNTIFS($C$4:C263,C263,$S$4:S263,S263))</f>
        <v/>
      </c>
      <c r="U263" s="34" t="str">
        <f t="shared" si="68"/>
        <v/>
      </c>
      <c r="V263" s="34" t="str">
        <f t="shared" si="69"/>
        <v/>
      </c>
      <c r="W263" s="34" t="str">
        <f t="shared" si="70"/>
        <v/>
      </c>
      <c r="X263" s="34">
        <f t="shared" si="71"/>
        <v>0</v>
      </c>
      <c r="Y263" s="34" t="str">
        <f t="shared" si="72"/>
        <v/>
      </c>
      <c r="Z263" s="34" t="str">
        <f>IF(X263=1,V263,IF(Y263="","",IF(COUNTIF(Y$3:Y262,Y263)=0,Y263,"")))</f>
        <v/>
      </c>
      <c r="AA263" s="34" t="b">
        <f t="shared" si="73"/>
        <v>0</v>
      </c>
      <c r="AB263" s="34">
        <f t="shared" si="74"/>
        <v>0</v>
      </c>
      <c r="AC263" s="34" t="str">
        <f>IF(AND(B263&lt;&gt;"",C263=CompteSel,N(B263)&lt;=DateArret,AB263=0),MAX($AC$3:AC262)+1,"")</f>
        <v/>
      </c>
      <c r="AD263" s="34" t="str">
        <f>IF(AND(ISNUMBER(M263),C263=CompteSel),MAX($AD$3:AD262)+1,"")</f>
        <v/>
      </c>
    </row>
    <row r="264" spans="1:30" x14ac:dyDescent="0.35">
      <c r="A264" s="1" t="str">
        <f t="shared" si="60"/>
        <v/>
      </c>
      <c r="B264" s="31"/>
      <c r="C264" s="8"/>
      <c r="D264" s="8"/>
      <c r="E264" s="8"/>
      <c r="F264" s="8"/>
      <c r="G264" s="8"/>
      <c r="H264" s="32"/>
      <c r="I264" s="32"/>
      <c r="J264" s="25" t="str">
        <f>IF(B264="","",IFERROR(VLOOKUP(C264,Soldes_Ouverture,2,FALSE()),0)+SUMIFS($S$4:S264,$C$4:C264,C264))</f>
        <v/>
      </c>
      <c r="K264" s="1" t="str">
        <f t="shared" si="61"/>
        <v/>
      </c>
      <c r="L264" s="1" t="str">
        <f t="shared" si="62"/>
        <v/>
      </c>
      <c r="M264" s="1" t="str">
        <f t="shared" si="63"/>
        <v/>
      </c>
      <c r="N264" s="8"/>
      <c r="O264" s="8"/>
      <c r="P264" s="1" t="str">
        <f t="shared" si="64"/>
        <v/>
      </c>
      <c r="Q264" s="25" t="str">
        <f t="shared" si="65"/>
        <v/>
      </c>
      <c r="R264" s="1" t="str">
        <f t="shared" si="66"/>
        <v/>
      </c>
      <c r="S264" s="33" t="str">
        <f t="shared" si="67"/>
        <v/>
      </c>
      <c r="T264" s="34" t="str">
        <f>IF(B264="","",C264&amp;"|"&amp;ROUND(S264,2)&amp;"|"&amp;COUNTIFS($C$4:C264,C264,$S$4:S264,S264))</f>
        <v/>
      </c>
      <c r="U264" s="34" t="str">
        <f t="shared" si="68"/>
        <v/>
      </c>
      <c r="V264" s="34" t="str">
        <f t="shared" si="69"/>
        <v/>
      </c>
      <c r="W264" s="34" t="str">
        <f t="shared" si="70"/>
        <v/>
      </c>
      <c r="X264" s="34">
        <f t="shared" si="71"/>
        <v>0</v>
      </c>
      <c r="Y264" s="34" t="str">
        <f t="shared" si="72"/>
        <v/>
      </c>
      <c r="Z264" s="34" t="str">
        <f>IF(X264=1,V264,IF(Y264="","",IF(COUNTIF(Y$3:Y263,Y264)=0,Y264,"")))</f>
        <v/>
      </c>
      <c r="AA264" s="34" t="b">
        <f t="shared" si="73"/>
        <v>0</v>
      </c>
      <c r="AB264" s="34">
        <f t="shared" si="74"/>
        <v>0</v>
      </c>
      <c r="AC264" s="34" t="str">
        <f>IF(AND(B264&lt;&gt;"",C264=CompteSel,N(B264)&lt;=DateArret,AB264=0),MAX($AC$3:AC263)+1,"")</f>
        <v/>
      </c>
      <c r="AD264" s="34" t="str">
        <f>IF(AND(ISNUMBER(M264),C264=CompteSel),MAX($AD$3:AD263)+1,"")</f>
        <v/>
      </c>
    </row>
    <row r="265" spans="1:30" x14ac:dyDescent="0.35">
      <c r="A265" s="1" t="str">
        <f t="shared" si="60"/>
        <v/>
      </c>
      <c r="B265" s="31"/>
      <c r="C265" s="8"/>
      <c r="D265" s="8"/>
      <c r="E265" s="8"/>
      <c r="F265" s="8"/>
      <c r="G265" s="8"/>
      <c r="H265" s="32"/>
      <c r="I265" s="32"/>
      <c r="J265" s="25" t="str">
        <f>IF(B265="","",IFERROR(VLOOKUP(C265,Soldes_Ouverture,2,FALSE()),0)+SUMIFS($S$4:S265,$C$4:C265,C265))</f>
        <v/>
      </c>
      <c r="K265" s="1" t="str">
        <f t="shared" si="61"/>
        <v/>
      </c>
      <c r="L265" s="1" t="str">
        <f t="shared" si="62"/>
        <v/>
      </c>
      <c r="M265" s="1" t="str">
        <f t="shared" si="63"/>
        <v/>
      </c>
      <c r="N265" s="8"/>
      <c r="O265" s="8"/>
      <c r="P265" s="1" t="str">
        <f t="shared" si="64"/>
        <v/>
      </c>
      <c r="Q265" s="25" t="str">
        <f t="shared" si="65"/>
        <v/>
      </c>
      <c r="R265" s="1" t="str">
        <f t="shared" si="66"/>
        <v/>
      </c>
      <c r="S265" s="33" t="str">
        <f t="shared" si="67"/>
        <v/>
      </c>
      <c r="T265" s="34" t="str">
        <f>IF(B265="","",C265&amp;"|"&amp;ROUND(S265,2)&amp;"|"&amp;COUNTIFS($C$4:C265,C265,$S$4:S265,S265))</f>
        <v/>
      </c>
      <c r="U265" s="34" t="str">
        <f t="shared" si="68"/>
        <v/>
      </c>
      <c r="V265" s="34" t="str">
        <f t="shared" si="69"/>
        <v/>
      </c>
      <c r="W265" s="34" t="str">
        <f t="shared" si="70"/>
        <v/>
      </c>
      <c r="X265" s="34">
        <f t="shared" si="71"/>
        <v>0</v>
      </c>
      <c r="Y265" s="34" t="str">
        <f t="shared" si="72"/>
        <v/>
      </c>
      <c r="Z265" s="34" t="str">
        <f>IF(X265=1,V265,IF(Y265="","",IF(COUNTIF(Y$3:Y264,Y265)=0,Y265,"")))</f>
        <v/>
      </c>
      <c r="AA265" s="34" t="b">
        <f t="shared" si="73"/>
        <v>0</v>
      </c>
      <c r="AB265" s="34">
        <f t="shared" si="74"/>
        <v>0</v>
      </c>
      <c r="AC265" s="34" t="str">
        <f>IF(AND(B265&lt;&gt;"",C265=CompteSel,N(B265)&lt;=DateArret,AB265=0),MAX($AC$3:AC264)+1,"")</f>
        <v/>
      </c>
      <c r="AD265" s="34" t="str">
        <f>IF(AND(ISNUMBER(M265),C265=CompteSel),MAX($AD$3:AD264)+1,"")</f>
        <v/>
      </c>
    </row>
    <row r="266" spans="1:30" x14ac:dyDescent="0.35">
      <c r="A266" s="1" t="str">
        <f t="shared" si="60"/>
        <v/>
      </c>
      <c r="B266" s="31"/>
      <c r="C266" s="8"/>
      <c r="D266" s="8"/>
      <c r="E266" s="8"/>
      <c r="F266" s="8"/>
      <c r="G266" s="8"/>
      <c r="H266" s="32"/>
      <c r="I266" s="32"/>
      <c r="J266" s="25" t="str">
        <f>IF(B266="","",IFERROR(VLOOKUP(C266,Soldes_Ouverture,2,FALSE()),0)+SUMIFS($S$4:S266,$C$4:C266,C266))</f>
        <v/>
      </c>
      <c r="K266" s="1" t="str">
        <f t="shared" si="61"/>
        <v/>
      </c>
      <c r="L266" s="1" t="str">
        <f t="shared" si="62"/>
        <v/>
      </c>
      <c r="M266" s="1" t="str">
        <f t="shared" si="63"/>
        <v/>
      </c>
      <c r="N266" s="8"/>
      <c r="O266" s="8"/>
      <c r="P266" s="1" t="str">
        <f t="shared" si="64"/>
        <v/>
      </c>
      <c r="Q266" s="25" t="str">
        <f t="shared" si="65"/>
        <v/>
      </c>
      <c r="R266" s="1" t="str">
        <f t="shared" si="66"/>
        <v/>
      </c>
      <c r="S266" s="33" t="str">
        <f t="shared" si="67"/>
        <v/>
      </c>
      <c r="T266" s="34" t="str">
        <f>IF(B266="","",C266&amp;"|"&amp;ROUND(S266,2)&amp;"|"&amp;COUNTIFS($C$4:C266,C266,$S$4:S266,S266))</f>
        <v/>
      </c>
      <c r="U266" s="34" t="str">
        <f t="shared" si="68"/>
        <v/>
      </c>
      <c r="V266" s="34" t="str">
        <f t="shared" si="69"/>
        <v/>
      </c>
      <c r="W266" s="34" t="str">
        <f t="shared" si="70"/>
        <v/>
      </c>
      <c r="X266" s="34">
        <f t="shared" si="71"/>
        <v>0</v>
      </c>
      <c r="Y266" s="34" t="str">
        <f t="shared" si="72"/>
        <v/>
      </c>
      <c r="Z266" s="34" t="str">
        <f>IF(X266=1,V266,IF(Y266="","",IF(COUNTIF(Y$3:Y265,Y266)=0,Y266,"")))</f>
        <v/>
      </c>
      <c r="AA266" s="34" t="b">
        <f t="shared" si="73"/>
        <v>0</v>
      </c>
      <c r="AB266" s="34">
        <f t="shared" si="74"/>
        <v>0</v>
      </c>
      <c r="AC266" s="34" t="str">
        <f>IF(AND(B266&lt;&gt;"",C266=CompteSel,N(B266)&lt;=DateArret,AB266=0),MAX($AC$3:AC265)+1,"")</f>
        <v/>
      </c>
      <c r="AD266" s="34" t="str">
        <f>IF(AND(ISNUMBER(M266),C266=CompteSel),MAX($AD$3:AD265)+1,"")</f>
        <v/>
      </c>
    </row>
    <row r="267" spans="1:30" x14ac:dyDescent="0.35">
      <c r="A267" s="1" t="str">
        <f t="shared" si="60"/>
        <v/>
      </c>
      <c r="B267" s="31"/>
      <c r="C267" s="8"/>
      <c r="D267" s="8"/>
      <c r="E267" s="8"/>
      <c r="F267" s="8"/>
      <c r="G267" s="8"/>
      <c r="H267" s="32"/>
      <c r="I267" s="32"/>
      <c r="J267" s="25" t="str">
        <f>IF(B267="","",IFERROR(VLOOKUP(C267,Soldes_Ouverture,2,FALSE()),0)+SUMIFS($S$4:S267,$C$4:C267,C267))</f>
        <v/>
      </c>
      <c r="K267" s="1" t="str">
        <f t="shared" si="61"/>
        <v/>
      </c>
      <c r="L267" s="1" t="str">
        <f t="shared" si="62"/>
        <v/>
      </c>
      <c r="M267" s="1" t="str">
        <f t="shared" si="63"/>
        <v/>
      </c>
      <c r="N267" s="8"/>
      <c r="O267" s="8"/>
      <c r="P267" s="1" t="str">
        <f t="shared" si="64"/>
        <v/>
      </c>
      <c r="Q267" s="25" t="str">
        <f t="shared" si="65"/>
        <v/>
      </c>
      <c r="R267" s="1" t="str">
        <f t="shared" si="66"/>
        <v/>
      </c>
      <c r="S267" s="33" t="str">
        <f t="shared" si="67"/>
        <v/>
      </c>
      <c r="T267" s="34" t="str">
        <f>IF(B267="","",C267&amp;"|"&amp;ROUND(S267,2)&amp;"|"&amp;COUNTIFS($C$4:C267,C267,$S$4:S267,S267))</f>
        <v/>
      </c>
      <c r="U267" s="34" t="str">
        <f t="shared" si="68"/>
        <v/>
      </c>
      <c r="V267" s="34" t="str">
        <f t="shared" si="69"/>
        <v/>
      </c>
      <c r="W267" s="34" t="str">
        <f t="shared" si="70"/>
        <v/>
      </c>
      <c r="X267" s="34">
        <f t="shared" si="71"/>
        <v>0</v>
      </c>
      <c r="Y267" s="34" t="str">
        <f t="shared" si="72"/>
        <v/>
      </c>
      <c r="Z267" s="34" t="str">
        <f>IF(X267=1,V267,IF(Y267="","",IF(COUNTIF(Y$3:Y266,Y267)=0,Y267,"")))</f>
        <v/>
      </c>
      <c r="AA267" s="34" t="b">
        <f t="shared" si="73"/>
        <v>0</v>
      </c>
      <c r="AB267" s="34">
        <f t="shared" si="74"/>
        <v>0</v>
      </c>
      <c r="AC267" s="34" t="str">
        <f>IF(AND(B267&lt;&gt;"",C267=CompteSel,N(B267)&lt;=DateArret,AB267=0),MAX($AC$3:AC266)+1,"")</f>
        <v/>
      </c>
      <c r="AD267" s="34" t="str">
        <f>IF(AND(ISNUMBER(M267),C267=CompteSel),MAX($AD$3:AD266)+1,"")</f>
        <v/>
      </c>
    </row>
    <row r="268" spans="1:30" x14ac:dyDescent="0.35">
      <c r="A268" s="1" t="str">
        <f t="shared" si="60"/>
        <v/>
      </c>
      <c r="B268" s="31"/>
      <c r="C268" s="8"/>
      <c r="D268" s="8"/>
      <c r="E268" s="8"/>
      <c r="F268" s="8"/>
      <c r="G268" s="8"/>
      <c r="H268" s="32"/>
      <c r="I268" s="32"/>
      <c r="J268" s="25" t="str">
        <f>IF(B268="","",IFERROR(VLOOKUP(C268,Soldes_Ouverture,2,FALSE()),0)+SUMIFS($S$4:S268,$C$4:C268,C268))</f>
        <v/>
      </c>
      <c r="K268" s="1" t="str">
        <f t="shared" si="61"/>
        <v/>
      </c>
      <c r="L268" s="1" t="str">
        <f t="shared" si="62"/>
        <v/>
      </c>
      <c r="M268" s="1" t="str">
        <f t="shared" si="63"/>
        <v/>
      </c>
      <c r="N268" s="8"/>
      <c r="O268" s="8"/>
      <c r="P268" s="1" t="str">
        <f t="shared" si="64"/>
        <v/>
      </c>
      <c r="Q268" s="25" t="str">
        <f t="shared" si="65"/>
        <v/>
      </c>
      <c r="R268" s="1" t="str">
        <f t="shared" si="66"/>
        <v/>
      </c>
      <c r="S268" s="33" t="str">
        <f t="shared" si="67"/>
        <v/>
      </c>
      <c r="T268" s="34" t="str">
        <f>IF(B268="","",C268&amp;"|"&amp;ROUND(S268,2)&amp;"|"&amp;COUNTIFS($C$4:C268,C268,$S$4:S268,S268))</f>
        <v/>
      </c>
      <c r="U268" s="34" t="str">
        <f t="shared" si="68"/>
        <v/>
      </c>
      <c r="V268" s="34" t="str">
        <f t="shared" si="69"/>
        <v/>
      </c>
      <c r="W268" s="34" t="str">
        <f t="shared" si="70"/>
        <v/>
      </c>
      <c r="X268" s="34">
        <f t="shared" si="71"/>
        <v>0</v>
      </c>
      <c r="Y268" s="34" t="str">
        <f t="shared" si="72"/>
        <v/>
      </c>
      <c r="Z268" s="34" t="str">
        <f>IF(X268=1,V268,IF(Y268="","",IF(COUNTIF(Y$3:Y267,Y268)=0,Y268,"")))</f>
        <v/>
      </c>
      <c r="AA268" s="34" t="b">
        <f t="shared" si="73"/>
        <v>0</v>
      </c>
      <c r="AB268" s="34">
        <f t="shared" si="74"/>
        <v>0</v>
      </c>
      <c r="AC268" s="34" t="str">
        <f>IF(AND(B268&lt;&gt;"",C268=CompteSel,N(B268)&lt;=DateArret,AB268=0),MAX($AC$3:AC267)+1,"")</f>
        <v/>
      </c>
      <c r="AD268" s="34" t="str">
        <f>IF(AND(ISNUMBER(M268),C268=CompteSel),MAX($AD$3:AD267)+1,"")</f>
        <v/>
      </c>
    </row>
    <row r="269" spans="1:30" x14ac:dyDescent="0.35">
      <c r="A269" s="1" t="str">
        <f t="shared" si="60"/>
        <v/>
      </c>
      <c r="B269" s="31"/>
      <c r="C269" s="8"/>
      <c r="D269" s="8"/>
      <c r="E269" s="8"/>
      <c r="F269" s="8"/>
      <c r="G269" s="8"/>
      <c r="H269" s="32"/>
      <c r="I269" s="32"/>
      <c r="J269" s="25" t="str">
        <f>IF(B269="","",IFERROR(VLOOKUP(C269,Soldes_Ouverture,2,FALSE()),0)+SUMIFS($S$4:S269,$C$4:C269,C269))</f>
        <v/>
      </c>
      <c r="K269" s="1" t="str">
        <f t="shared" si="61"/>
        <v/>
      </c>
      <c r="L269" s="1" t="str">
        <f t="shared" si="62"/>
        <v/>
      </c>
      <c r="M269" s="1" t="str">
        <f t="shared" si="63"/>
        <v/>
      </c>
      <c r="N269" s="8"/>
      <c r="O269" s="8"/>
      <c r="P269" s="1" t="str">
        <f t="shared" si="64"/>
        <v/>
      </c>
      <c r="Q269" s="25" t="str">
        <f t="shared" si="65"/>
        <v/>
      </c>
      <c r="R269" s="1" t="str">
        <f t="shared" si="66"/>
        <v/>
      </c>
      <c r="S269" s="33" t="str">
        <f t="shared" si="67"/>
        <v/>
      </c>
      <c r="T269" s="34" t="str">
        <f>IF(B269="","",C269&amp;"|"&amp;ROUND(S269,2)&amp;"|"&amp;COUNTIFS($C$4:C269,C269,$S$4:S269,S269))</f>
        <v/>
      </c>
      <c r="U269" s="34" t="str">
        <f t="shared" si="68"/>
        <v/>
      </c>
      <c r="V269" s="34" t="str">
        <f t="shared" si="69"/>
        <v/>
      </c>
      <c r="W269" s="34" t="str">
        <f t="shared" si="70"/>
        <v/>
      </c>
      <c r="X269" s="34">
        <f t="shared" si="71"/>
        <v>0</v>
      </c>
      <c r="Y269" s="34" t="str">
        <f t="shared" si="72"/>
        <v/>
      </c>
      <c r="Z269" s="34" t="str">
        <f>IF(X269=1,V269,IF(Y269="","",IF(COUNTIF(Y$3:Y268,Y269)=0,Y269,"")))</f>
        <v/>
      </c>
      <c r="AA269" s="34" t="b">
        <f t="shared" si="73"/>
        <v>0</v>
      </c>
      <c r="AB269" s="34">
        <f t="shared" si="74"/>
        <v>0</v>
      </c>
      <c r="AC269" s="34" t="str">
        <f>IF(AND(B269&lt;&gt;"",C269=CompteSel,N(B269)&lt;=DateArret,AB269=0),MAX($AC$3:AC268)+1,"")</f>
        <v/>
      </c>
      <c r="AD269" s="34" t="str">
        <f>IF(AND(ISNUMBER(M269),C269=CompteSel),MAX($AD$3:AD268)+1,"")</f>
        <v/>
      </c>
    </row>
    <row r="270" spans="1:30" x14ac:dyDescent="0.35">
      <c r="A270" s="1" t="str">
        <f t="shared" si="60"/>
        <v/>
      </c>
      <c r="B270" s="31"/>
      <c r="C270" s="8"/>
      <c r="D270" s="8"/>
      <c r="E270" s="8"/>
      <c r="F270" s="8"/>
      <c r="G270" s="8"/>
      <c r="H270" s="32"/>
      <c r="I270" s="32"/>
      <c r="J270" s="25" t="str">
        <f>IF(B270="","",IFERROR(VLOOKUP(C270,Soldes_Ouverture,2,FALSE()),0)+SUMIFS($S$4:S270,$C$4:C270,C270))</f>
        <v/>
      </c>
      <c r="K270" s="1" t="str">
        <f t="shared" si="61"/>
        <v/>
      </c>
      <c r="L270" s="1" t="str">
        <f t="shared" si="62"/>
        <v/>
      </c>
      <c r="M270" s="1" t="str">
        <f t="shared" si="63"/>
        <v/>
      </c>
      <c r="N270" s="8"/>
      <c r="O270" s="8"/>
      <c r="P270" s="1" t="str">
        <f t="shared" si="64"/>
        <v/>
      </c>
      <c r="Q270" s="25" t="str">
        <f t="shared" si="65"/>
        <v/>
      </c>
      <c r="R270" s="1" t="str">
        <f t="shared" si="66"/>
        <v/>
      </c>
      <c r="S270" s="33" t="str">
        <f t="shared" si="67"/>
        <v/>
      </c>
      <c r="T270" s="34" t="str">
        <f>IF(B270="","",C270&amp;"|"&amp;ROUND(S270,2)&amp;"|"&amp;COUNTIFS($C$4:C270,C270,$S$4:S270,S270))</f>
        <v/>
      </c>
      <c r="U270" s="34" t="str">
        <f t="shared" si="68"/>
        <v/>
      </c>
      <c r="V270" s="34" t="str">
        <f t="shared" si="69"/>
        <v/>
      </c>
      <c r="W270" s="34" t="str">
        <f t="shared" si="70"/>
        <v/>
      </c>
      <c r="X270" s="34">
        <f t="shared" si="71"/>
        <v>0</v>
      </c>
      <c r="Y270" s="34" t="str">
        <f t="shared" si="72"/>
        <v/>
      </c>
      <c r="Z270" s="34" t="str">
        <f>IF(X270=1,V270,IF(Y270="","",IF(COUNTIF(Y$3:Y269,Y270)=0,Y270,"")))</f>
        <v/>
      </c>
      <c r="AA270" s="34" t="b">
        <f t="shared" si="73"/>
        <v>0</v>
      </c>
      <c r="AB270" s="34">
        <f t="shared" si="74"/>
        <v>0</v>
      </c>
      <c r="AC270" s="34" t="str">
        <f>IF(AND(B270&lt;&gt;"",C270=CompteSel,N(B270)&lt;=DateArret,AB270=0),MAX($AC$3:AC269)+1,"")</f>
        <v/>
      </c>
      <c r="AD270" s="34" t="str">
        <f>IF(AND(ISNUMBER(M270),C270=CompteSel),MAX($AD$3:AD269)+1,"")</f>
        <v/>
      </c>
    </row>
    <row r="271" spans="1:30" x14ac:dyDescent="0.35">
      <c r="A271" s="1" t="str">
        <f t="shared" si="60"/>
        <v/>
      </c>
      <c r="B271" s="31"/>
      <c r="C271" s="8"/>
      <c r="D271" s="8"/>
      <c r="E271" s="8"/>
      <c r="F271" s="8"/>
      <c r="G271" s="8"/>
      <c r="H271" s="32"/>
      <c r="I271" s="32"/>
      <c r="J271" s="25" t="str">
        <f>IF(B271="","",IFERROR(VLOOKUP(C271,Soldes_Ouverture,2,FALSE()),0)+SUMIFS($S$4:S271,$C$4:C271,C271))</f>
        <v/>
      </c>
      <c r="K271" s="1" t="str">
        <f t="shared" si="61"/>
        <v/>
      </c>
      <c r="L271" s="1" t="str">
        <f t="shared" si="62"/>
        <v/>
      </c>
      <c r="M271" s="1" t="str">
        <f t="shared" si="63"/>
        <v/>
      </c>
      <c r="N271" s="8"/>
      <c r="O271" s="8"/>
      <c r="P271" s="1" t="str">
        <f t="shared" si="64"/>
        <v/>
      </c>
      <c r="Q271" s="25" t="str">
        <f t="shared" si="65"/>
        <v/>
      </c>
      <c r="R271" s="1" t="str">
        <f t="shared" si="66"/>
        <v/>
      </c>
      <c r="S271" s="33" t="str">
        <f t="shared" si="67"/>
        <v/>
      </c>
      <c r="T271" s="34" t="str">
        <f>IF(B271="","",C271&amp;"|"&amp;ROUND(S271,2)&amp;"|"&amp;COUNTIFS($C$4:C271,C271,$S$4:S271,S271))</f>
        <v/>
      </c>
      <c r="U271" s="34" t="str">
        <f t="shared" si="68"/>
        <v/>
      </c>
      <c r="V271" s="34" t="str">
        <f t="shared" si="69"/>
        <v/>
      </c>
      <c r="W271" s="34" t="str">
        <f t="shared" si="70"/>
        <v/>
      </c>
      <c r="X271" s="34">
        <f t="shared" si="71"/>
        <v>0</v>
      </c>
      <c r="Y271" s="34" t="str">
        <f t="shared" si="72"/>
        <v/>
      </c>
      <c r="Z271" s="34" t="str">
        <f>IF(X271=1,V271,IF(Y271="","",IF(COUNTIF(Y$3:Y270,Y271)=0,Y271,"")))</f>
        <v/>
      </c>
      <c r="AA271" s="34" t="b">
        <f t="shared" si="73"/>
        <v>0</v>
      </c>
      <c r="AB271" s="34">
        <f t="shared" si="74"/>
        <v>0</v>
      </c>
      <c r="AC271" s="34" t="str">
        <f>IF(AND(B271&lt;&gt;"",C271=CompteSel,N(B271)&lt;=DateArret,AB271=0),MAX($AC$3:AC270)+1,"")</f>
        <v/>
      </c>
      <c r="AD271" s="34" t="str">
        <f>IF(AND(ISNUMBER(M271),C271=CompteSel),MAX($AD$3:AD270)+1,"")</f>
        <v/>
      </c>
    </row>
    <row r="272" spans="1:30" x14ac:dyDescent="0.35">
      <c r="A272" s="1" t="str">
        <f t="shared" si="60"/>
        <v/>
      </c>
      <c r="B272" s="31"/>
      <c r="C272" s="8"/>
      <c r="D272" s="8"/>
      <c r="E272" s="8"/>
      <c r="F272" s="8"/>
      <c r="G272" s="8"/>
      <c r="H272" s="32"/>
      <c r="I272" s="32"/>
      <c r="J272" s="25" t="str">
        <f>IF(B272="","",IFERROR(VLOOKUP(C272,Soldes_Ouverture,2,FALSE()),0)+SUMIFS($S$4:S272,$C$4:C272,C272))</f>
        <v/>
      </c>
      <c r="K272" s="1" t="str">
        <f t="shared" si="61"/>
        <v/>
      </c>
      <c r="L272" s="1" t="str">
        <f t="shared" si="62"/>
        <v/>
      </c>
      <c r="M272" s="1" t="str">
        <f t="shared" si="63"/>
        <v/>
      </c>
      <c r="N272" s="8"/>
      <c r="O272" s="8"/>
      <c r="P272" s="1" t="str">
        <f t="shared" si="64"/>
        <v/>
      </c>
      <c r="Q272" s="25" t="str">
        <f t="shared" si="65"/>
        <v/>
      </c>
      <c r="R272" s="1" t="str">
        <f t="shared" si="66"/>
        <v/>
      </c>
      <c r="S272" s="33" t="str">
        <f t="shared" si="67"/>
        <v/>
      </c>
      <c r="T272" s="34" t="str">
        <f>IF(B272="","",C272&amp;"|"&amp;ROUND(S272,2)&amp;"|"&amp;COUNTIFS($C$4:C272,C272,$S$4:S272,S272))</f>
        <v/>
      </c>
      <c r="U272" s="34" t="str">
        <f t="shared" si="68"/>
        <v/>
      </c>
      <c r="V272" s="34" t="str">
        <f t="shared" si="69"/>
        <v/>
      </c>
      <c r="W272" s="34" t="str">
        <f t="shared" si="70"/>
        <v/>
      </c>
      <c r="X272" s="34">
        <f t="shared" si="71"/>
        <v>0</v>
      </c>
      <c r="Y272" s="34" t="str">
        <f t="shared" si="72"/>
        <v/>
      </c>
      <c r="Z272" s="34" t="str">
        <f>IF(X272=1,V272,IF(Y272="","",IF(COUNTIF(Y$3:Y271,Y272)=0,Y272,"")))</f>
        <v/>
      </c>
      <c r="AA272" s="34" t="b">
        <f t="shared" si="73"/>
        <v>0</v>
      </c>
      <c r="AB272" s="34">
        <f t="shared" si="74"/>
        <v>0</v>
      </c>
      <c r="AC272" s="34" t="str">
        <f>IF(AND(B272&lt;&gt;"",C272=CompteSel,N(B272)&lt;=DateArret,AB272=0),MAX($AC$3:AC271)+1,"")</f>
        <v/>
      </c>
      <c r="AD272" s="34" t="str">
        <f>IF(AND(ISNUMBER(M272),C272=CompteSel),MAX($AD$3:AD271)+1,"")</f>
        <v/>
      </c>
    </row>
    <row r="273" spans="1:30" x14ac:dyDescent="0.35">
      <c r="A273" s="1" t="str">
        <f t="shared" si="60"/>
        <v/>
      </c>
      <c r="B273" s="31"/>
      <c r="C273" s="8"/>
      <c r="D273" s="8"/>
      <c r="E273" s="8"/>
      <c r="F273" s="8"/>
      <c r="G273" s="8"/>
      <c r="H273" s="32"/>
      <c r="I273" s="32"/>
      <c r="J273" s="25" t="str">
        <f>IF(B273="","",IFERROR(VLOOKUP(C273,Soldes_Ouverture,2,FALSE()),0)+SUMIFS($S$4:S273,$C$4:C273,C273))</f>
        <v/>
      </c>
      <c r="K273" s="1" t="str">
        <f t="shared" si="61"/>
        <v/>
      </c>
      <c r="L273" s="1" t="str">
        <f t="shared" si="62"/>
        <v/>
      </c>
      <c r="M273" s="1" t="str">
        <f t="shared" si="63"/>
        <v/>
      </c>
      <c r="N273" s="8"/>
      <c r="O273" s="8"/>
      <c r="P273" s="1" t="str">
        <f t="shared" si="64"/>
        <v/>
      </c>
      <c r="Q273" s="25" t="str">
        <f t="shared" si="65"/>
        <v/>
      </c>
      <c r="R273" s="1" t="str">
        <f t="shared" si="66"/>
        <v/>
      </c>
      <c r="S273" s="33" t="str">
        <f t="shared" si="67"/>
        <v/>
      </c>
      <c r="T273" s="34" t="str">
        <f>IF(B273="","",C273&amp;"|"&amp;ROUND(S273,2)&amp;"|"&amp;COUNTIFS($C$4:C273,C273,$S$4:S273,S273))</f>
        <v/>
      </c>
      <c r="U273" s="34" t="str">
        <f t="shared" si="68"/>
        <v/>
      </c>
      <c r="V273" s="34" t="str">
        <f t="shared" si="69"/>
        <v/>
      </c>
      <c r="W273" s="34" t="str">
        <f t="shared" si="70"/>
        <v/>
      </c>
      <c r="X273" s="34">
        <f t="shared" si="71"/>
        <v>0</v>
      </c>
      <c r="Y273" s="34" t="str">
        <f t="shared" si="72"/>
        <v/>
      </c>
      <c r="Z273" s="34" t="str">
        <f>IF(X273=1,V273,IF(Y273="","",IF(COUNTIF(Y$3:Y272,Y273)=0,Y273,"")))</f>
        <v/>
      </c>
      <c r="AA273" s="34" t="b">
        <f t="shared" si="73"/>
        <v>0</v>
      </c>
      <c r="AB273" s="34">
        <f t="shared" si="74"/>
        <v>0</v>
      </c>
      <c r="AC273" s="34" t="str">
        <f>IF(AND(B273&lt;&gt;"",C273=CompteSel,N(B273)&lt;=DateArret,AB273=0),MAX($AC$3:AC272)+1,"")</f>
        <v/>
      </c>
      <c r="AD273" s="34" t="str">
        <f>IF(AND(ISNUMBER(M273),C273=CompteSel),MAX($AD$3:AD272)+1,"")</f>
        <v/>
      </c>
    </row>
    <row r="274" spans="1:30" x14ac:dyDescent="0.35">
      <c r="A274" s="1" t="str">
        <f t="shared" si="60"/>
        <v/>
      </c>
      <c r="B274" s="31"/>
      <c r="C274" s="8"/>
      <c r="D274" s="8"/>
      <c r="E274" s="8"/>
      <c r="F274" s="8"/>
      <c r="G274" s="8"/>
      <c r="H274" s="32"/>
      <c r="I274" s="32"/>
      <c r="J274" s="25" t="str">
        <f>IF(B274="","",IFERROR(VLOOKUP(C274,Soldes_Ouverture,2,FALSE()),0)+SUMIFS($S$4:S274,$C$4:C274,C274))</f>
        <v/>
      </c>
      <c r="K274" s="1" t="str">
        <f t="shared" si="61"/>
        <v/>
      </c>
      <c r="L274" s="1" t="str">
        <f t="shared" si="62"/>
        <v/>
      </c>
      <c r="M274" s="1" t="str">
        <f t="shared" si="63"/>
        <v/>
      </c>
      <c r="N274" s="8"/>
      <c r="O274" s="8"/>
      <c r="P274" s="1" t="str">
        <f t="shared" si="64"/>
        <v/>
      </c>
      <c r="Q274" s="25" t="str">
        <f t="shared" si="65"/>
        <v/>
      </c>
      <c r="R274" s="1" t="str">
        <f t="shared" si="66"/>
        <v/>
      </c>
      <c r="S274" s="33" t="str">
        <f t="shared" si="67"/>
        <v/>
      </c>
      <c r="T274" s="34" t="str">
        <f>IF(B274="","",C274&amp;"|"&amp;ROUND(S274,2)&amp;"|"&amp;COUNTIFS($C$4:C274,C274,$S$4:S274,S274))</f>
        <v/>
      </c>
      <c r="U274" s="34" t="str">
        <f t="shared" si="68"/>
        <v/>
      </c>
      <c r="V274" s="34" t="str">
        <f t="shared" si="69"/>
        <v/>
      </c>
      <c r="W274" s="34" t="str">
        <f t="shared" si="70"/>
        <v/>
      </c>
      <c r="X274" s="34">
        <f t="shared" si="71"/>
        <v>0</v>
      </c>
      <c r="Y274" s="34" t="str">
        <f t="shared" si="72"/>
        <v/>
      </c>
      <c r="Z274" s="34" t="str">
        <f>IF(X274=1,V274,IF(Y274="","",IF(COUNTIF(Y$3:Y273,Y274)=0,Y274,"")))</f>
        <v/>
      </c>
      <c r="AA274" s="34" t="b">
        <f t="shared" si="73"/>
        <v>0</v>
      </c>
      <c r="AB274" s="34">
        <f t="shared" si="74"/>
        <v>0</v>
      </c>
      <c r="AC274" s="34" t="str">
        <f>IF(AND(B274&lt;&gt;"",C274=CompteSel,N(B274)&lt;=DateArret,AB274=0),MAX($AC$3:AC273)+1,"")</f>
        <v/>
      </c>
      <c r="AD274" s="34" t="str">
        <f>IF(AND(ISNUMBER(M274),C274=CompteSel),MAX($AD$3:AD273)+1,"")</f>
        <v/>
      </c>
    </row>
    <row r="275" spans="1:30" x14ac:dyDescent="0.35">
      <c r="A275" s="1" t="str">
        <f t="shared" si="60"/>
        <v/>
      </c>
      <c r="B275" s="31"/>
      <c r="C275" s="8"/>
      <c r="D275" s="8"/>
      <c r="E275" s="8"/>
      <c r="F275" s="8"/>
      <c r="G275" s="8"/>
      <c r="H275" s="32"/>
      <c r="I275" s="32"/>
      <c r="J275" s="25" t="str">
        <f>IF(B275="","",IFERROR(VLOOKUP(C275,Soldes_Ouverture,2,FALSE()),0)+SUMIFS($S$4:S275,$C$4:C275,C275))</f>
        <v/>
      </c>
      <c r="K275" s="1" t="str">
        <f t="shared" si="61"/>
        <v/>
      </c>
      <c r="L275" s="1" t="str">
        <f t="shared" si="62"/>
        <v/>
      </c>
      <c r="M275" s="1" t="str">
        <f t="shared" si="63"/>
        <v/>
      </c>
      <c r="N275" s="8"/>
      <c r="O275" s="8"/>
      <c r="P275" s="1" t="str">
        <f t="shared" si="64"/>
        <v/>
      </c>
      <c r="Q275" s="25" t="str">
        <f t="shared" si="65"/>
        <v/>
      </c>
      <c r="R275" s="1" t="str">
        <f t="shared" si="66"/>
        <v/>
      </c>
      <c r="S275" s="33" t="str">
        <f t="shared" si="67"/>
        <v/>
      </c>
      <c r="T275" s="34" t="str">
        <f>IF(B275="","",C275&amp;"|"&amp;ROUND(S275,2)&amp;"|"&amp;COUNTIFS($C$4:C275,C275,$S$4:S275,S275))</f>
        <v/>
      </c>
      <c r="U275" s="34" t="str">
        <f t="shared" si="68"/>
        <v/>
      </c>
      <c r="V275" s="34" t="str">
        <f t="shared" si="69"/>
        <v/>
      </c>
      <c r="W275" s="34" t="str">
        <f t="shared" si="70"/>
        <v/>
      </c>
      <c r="X275" s="34">
        <f t="shared" si="71"/>
        <v>0</v>
      </c>
      <c r="Y275" s="34" t="str">
        <f t="shared" si="72"/>
        <v/>
      </c>
      <c r="Z275" s="34" t="str">
        <f>IF(X275=1,V275,IF(Y275="","",IF(COUNTIF(Y$3:Y274,Y275)=0,Y275,"")))</f>
        <v/>
      </c>
      <c r="AA275" s="34" t="b">
        <f t="shared" si="73"/>
        <v>0</v>
      </c>
      <c r="AB275" s="34">
        <f t="shared" si="74"/>
        <v>0</v>
      </c>
      <c r="AC275" s="34" t="str">
        <f>IF(AND(B275&lt;&gt;"",C275=CompteSel,N(B275)&lt;=DateArret,AB275=0),MAX($AC$3:AC274)+1,"")</f>
        <v/>
      </c>
      <c r="AD275" s="34" t="str">
        <f>IF(AND(ISNUMBER(M275),C275=CompteSel),MAX($AD$3:AD274)+1,"")</f>
        <v/>
      </c>
    </row>
    <row r="276" spans="1:30" x14ac:dyDescent="0.35">
      <c r="A276" s="1" t="str">
        <f t="shared" si="60"/>
        <v/>
      </c>
      <c r="B276" s="31"/>
      <c r="C276" s="8"/>
      <c r="D276" s="8"/>
      <c r="E276" s="8"/>
      <c r="F276" s="8"/>
      <c r="G276" s="8"/>
      <c r="H276" s="32"/>
      <c r="I276" s="32"/>
      <c r="J276" s="25" t="str">
        <f>IF(B276="","",IFERROR(VLOOKUP(C276,Soldes_Ouverture,2,FALSE()),0)+SUMIFS($S$4:S276,$C$4:C276,C276))</f>
        <v/>
      </c>
      <c r="K276" s="1" t="str">
        <f t="shared" si="61"/>
        <v/>
      </c>
      <c r="L276" s="1" t="str">
        <f t="shared" si="62"/>
        <v/>
      </c>
      <c r="M276" s="1" t="str">
        <f t="shared" si="63"/>
        <v/>
      </c>
      <c r="N276" s="8"/>
      <c r="O276" s="8"/>
      <c r="P276" s="1" t="str">
        <f t="shared" si="64"/>
        <v/>
      </c>
      <c r="Q276" s="25" t="str">
        <f t="shared" si="65"/>
        <v/>
      </c>
      <c r="R276" s="1" t="str">
        <f t="shared" si="66"/>
        <v/>
      </c>
      <c r="S276" s="33" t="str">
        <f t="shared" si="67"/>
        <v/>
      </c>
      <c r="T276" s="34" t="str">
        <f>IF(B276="","",C276&amp;"|"&amp;ROUND(S276,2)&amp;"|"&amp;COUNTIFS($C$4:C276,C276,$S$4:S276,S276))</f>
        <v/>
      </c>
      <c r="U276" s="34" t="str">
        <f t="shared" si="68"/>
        <v/>
      </c>
      <c r="V276" s="34" t="str">
        <f t="shared" si="69"/>
        <v/>
      </c>
      <c r="W276" s="34" t="str">
        <f t="shared" si="70"/>
        <v/>
      </c>
      <c r="X276" s="34">
        <f t="shared" si="71"/>
        <v>0</v>
      </c>
      <c r="Y276" s="34" t="str">
        <f t="shared" si="72"/>
        <v/>
      </c>
      <c r="Z276" s="34" t="str">
        <f>IF(X276=1,V276,IF(Y276="","",IF(COUNTIF(Y$3:Y275,Y276)=0,Y276,"")))</f>
        <v/>
      </c>
      <c r="AA276" s="34" t="b">
        <f t="shared" si="73"/>
        <v>0</v>
      </c>
      <c r="AB276" s="34">
        <f t="shared" si="74"/>
        <v>0</v>
      </c>
      <c r="AC276" s="34" t="str">
        <f>IF(AND(B276&lt;&gt;"",C276=CompteSel,N(B276)&lt;=DateArret,AB276=0),MAX($AC$3:AC275)+1,"")</f>
        <v/>
      </c>
      <c r="AD276" s="34" t="str">
        <f>IF(AND(ISNUMBER(M276),C276=CompteSel),MAX($AD$3:AD275)+1,"")</f>
        <v/>
      </c>
    </row>
    <row r="277" spans="1:30" x14ac:dyDescent="0.35">
      <c r="A277" s="1" t="str">
        <f t="shared" si="60"/>
        <v/>
      </c>
      <c r="B277" s="31"/>
      <c r="C277" s="8"/>
      <c r="D277" s="8"/>
      <c r="E277" s="8"/>
      <c r="F277" s="8"/>
      <c r="G277" s="8"/>
      <c r="H277" s="32"/>
      <c r="I277" s="32"/>
      <c r="J277" s="25" t="str">
        <f>IF(B277="","",IFERROR(VLOOKUP(C277,Soldes_Ouverture,2,FALSE()),0)+SUMIFS($S$4:S277,$C$4:C277,C277))</f>
        <v/>
      </c>
      <c r="K277" s="1" t="str">
        <f t="shared" si="61"/>
        <v/>
      </c>
      <c r="L277" s="1" t="str">
        <f t="shared" si="62"/>
        <v/>
      </c>
      <c r="M277" s="1" t="str">
        <f t="shared" si="63"/>
        <v/>
      </c>
      <c r="N277" s="8"/>
      <c r="O277" s="8"/>
      <c r="P277" s="1" t="str">
        <f t="shared" si="64"/>
        <v/>
      </c>
      <c r="Q277" s="25" t="str">
        <f t="shared" si="65"/>
        <v/>
      </c>
      <c r="R277" s="1" t="str">
        <f t="shared" si="66"/>
        <v/>
      </c>
      <c r="S277" s="33" t="str">
        <f t="shared" si="67"/>
        <v/>
      </c>
      <c r="T277" s="34" t="str">
        <f>IF(B277="","",C277&amp;"|"&amp;ROUND(S277,2)&amp;"|"&amp;COUNTIFS($C$4:C277,C277,$S$4:S277,S277))</f>
        <v/>
      </c>
      <c r="U277" s="34" t="str">
        <f t="shared" si="68"/>
        <v/>
      </c>
      <c r="V277" s="34" t="str">
        <f t="shared" si="69"/>
        <v/>
      </c>
      <c r="W277" s="34" t="str">
        <f t="shared" si="70"/>
        <v/>
      </c>
      <c r="X277" s="34">
        <f t="shared" si="71"/>
        <v>0</v>
      </c>
      <c r="Y277" s="34" t="str">
        <f t="shared" si="72"/>
        <v/>
      </c>
      <c r="Z277" s="34" t="str">
        <f>IF(X277=1,V277,IF(Y277="","",IF(COUNTIF(Y$3:Y276,Y277)=0,Y277,"")))</f>
        <v/>
      </c>
      <c r="AA277" s="34" t="b">
        <f t="shared" si="73"/>
        <v>0</v>
      </c>
      <c r="AB277" s="34">
        <f t="shared" si="74"/>
        <v>0</v>
      </c>
      <c r="AC277" s="34" t="str">
        <f>IF(AND(B277&lt;&gt;"",C277=CompteSel,N(B277)&lt;=DateArret,AB277=0),MAX($AC$3:AC276)+1,"")</f>
        <v/>
      </c>
      <c r="AD277" s="34" t="str">
        <f>IF(AND(ISNUMBER(M277),C277=CompteSel),MAX($AD$3:AD276)+1,"")</f>
        <v/>
      </c>
    </row>
    <row r="278" spans="1:30" x14ac:dyDescent="0.35">
      <c r="A278" s="1" t="str">
        <f t="shared" si="60"/>
        <v/>
      </c>
      <c r="B278" s="31"/>
      <c r="C278" s="8"/>
      <c r="D278" s="8"/>
      <c r="E278" s="8"/>
      <c r="F278" s="8"/>
      <c r="G278" s="8"/>
      <c r="H278" s="32"/>
      <c r="I278" s="32"/>
      <c r="J278" s="25" t="str">
        <f>IF(B278="","",IFERROR(VLOOKUP(C278,Soldes_Ouverture,2,FALSE()),0)+SUMIFS($S$4:S278,$C$4:C278,C278))</f>
        <v/>
      </c>
      <c r="K278" s="1" t="str">
        <f t="shared" si="61"/>
        <v/>
      </c>
      <c r="L278" s="1" t="str">
        <f t="shared" si="62"/>
        <v/>
      </c>
      <c r="M278" s="1" t="str">
        <f t="shared" si="63"/>
        <v/>
      </c>
      <c r="N278" s="8"/>
      <c r="O278" s="8"/>
      <c r="P278" s="1" t="str">
        <f t="shared" si="64"/>
        <v/>
      </c>
      <c r="Q278" s="25" t="str">
        <f t="shared" si="65"/>
        <v/>
      </c>
      <c r="R278" s="1" t="str">
        <f t="shared" si="66"/>
        <v/>
      </c>
      <c r="S278" s="33" t="str">
        <f t="shared" si="67"/>
        <v/>
      </c>
      <c r="T278" s="34" t="str">
        <f>IF(B278="","",C278&amp;"|"&amp;ROUND(S278,2)&amp;"|"&amp;COUNTIFS($C$4:C278,C278,$S$4:S278,S278))</f>
        <v/>
      </c>
      <c r="U278" s="34" t="str">
        <f t="shared" si="68"/>
        <v/>
      </c>
      <c r="V278" s="34" t="str">
        <f t="shared" si="69"/>
        <v/>
      </c>
      <c r="W278" s="34" t="str">
        <f t="shared" si="70"/>
        <v/>
      </c>
      <c r="X278" s="34">
        <f t="shared" si="71"/>
        <v>0</v>
      </c>
      <c r="Y278" s="34" t="str">
        <f t="shared" si="72"/>
        <v/>
      </c>
      <c r="Z278" s="34" t="str">
        <f>IF(X278=1,V278,IF(Y278="","",IF(COUNTIF(Y$3:Y277,Y278)=0,Y278,"")))</f>
        <v/>
      </c>
      <c r="AA278" s="34" t="b">
        <f t="shared" si="73"/>
        <v>0</v>
      </c>
      <c r="AB278" s="34">
        <f t="shared" si="74"/>
        <v>0</v>
      </c>
      <c r="AC278" s="34" t="str">
        <f>IF(AND(B278&lt;&gt;"",C278=CompteSel,N(B278)&lt;=DateArret,AB278=0),MAX($AC$3:AC277)+1,"")</f>
        <v/>
      </c>
      <c r="AD278" s="34" t="str">
        <f>IF(AND(ISNUMBER(M278),C278=CompteSel),MAX($AD$3:AD277)+1,"")</f>
        <v/>
      </c>
    </row>
    <row r="279" spans="1:30" x14ac:dyDescent="0.35">
      <c r="A279" s="1" t="str">
        <f t="shared" si="60"/>
        <v/>
      </c>
      <c r="B279" s="31"/>
      <c r="C279" s="8"/>
      <c r="D279" s="8"/>
      <c r="E279" s="8"/>
      <c r="F279" s="8"/>
      <c r="G279" s="8"/>
      <c r="H279" s="32"/>
      <c r="I279" s="32"/>
      <c r="J279" s="25" t="str">
        <f>IF(B279="","",IFERROR(VLOOKUP(C279,Soldes_Ouverture,2,FALSE()),0)+SUMIFS($S$4:S279,$C$4:C279,C279))</f>
        <v/>
      </c>
      <c r="K279" s="1" t="str">
        <f t="shared" si="61"/>
        <v/>
      </c>
      <c r="L279" s="1" t="str">
        <f t="shared" si="62"/>
        <v/>
      </c>
      <c r="M279" s="1" t="str">
        <f t="shared" si="63"/>
        <v/>
      </c>
      <c r="N279" s="8"/>
      <c r="O279" s="8"/>
      <c r="P279" s="1" t="str">
        <f t="shared" si="64"/>
        <v/>
      </c>
      <c r="Q279" s="25" t="str">
        <f t="shared" si="65"/>
        <v/>
      </c>
      <c r="R279" s="1" t="str">
        <f t="shared" si="66"/>
        <v/>
      </c>
      <c r="S279" s="33" t="str">
        <f t="shared" si="67"/>
        <v/>
      </c>
      <c r="T279" s="34" t="str">
        <f>IF(B279="","",C279&amp;"|"&amp;ROUND(S279,2)&amp;"|"&amp;COUNTIFS($C$4:C279,C279,$S$4:S279,S279))</f>
        <v/>
      </c>
      <c r="U279" s="34" t="str">
        <f t="shared" si="68"/>
        <v/>
      </c>
      <c r="V279" s="34" t="str">
        <f t="shared" si="69"/>
        <v/>
      </c>
      <c r="W279" s="34" t="str">
        <f t="shared" si="70"/>
        <v/>
      </c>
      <c r="X279" s="34">
        <f t="shared" si="71"/>
        <v>0</v>
      </c>
      <c r="Y279" s="34" t="str">
        <f t="shared" si="72"/>
        <v/>
      </c>
      <c r="Z279" s="34" t="str">
        <f>IF(X279=1,V279,IF(Y279="","",IF(COUNTIF(Y$3:Y278,Y279)=0,Y279,"")))</f>
        <v/>
      </c>
      <c r="AA279" s="34" t="b">
        <f t="shared" si="73"/>
        <v>0</v>
      </c>
      <c r="AB279" s="34">
        <f t="shared" si="74"/>
        <v>0</v>
      </c>
      <c r="AC279" s="34" t="str">
        <f>IF(AND(B279&lt;&gt;"",C279=CompteSel,N(B279)&lt;=DateArret,AB279=0),MAX($AC$3:AC278)+1,"")</f>
        <v/>
      </c>
      <c r="AD279" s="34" t="str">
        <f>IF(AND(ISNUMBER(M279),C279=CompteSel),MAX($AD$3:AD278)+1,"")</f>
        <v/>
      </c>
    </row>
    <row r="280" spans="1:30" x14ac:dyDescent="0.35">
      <c r="A280" s="1" t="str">
        <f t="shared" si="60"/>
        <v/>
      </c>
      <c r="B280" s="31"/>
      <c r="C280" s="8"/>
      <c r="D280" s="8"/>
      <c r="E280" s="8"/>
      <c r="F280" s="8"/>
      <c r="G280" s="8"/>
      <c r="H280" s="32"/>
      <c r="I280" s="32"/>
      <c r="J280" s="25" t="str">
        <f>IF(B280="","",IFERROR(VLOOKUP(C280,Soldes_Ouverture,2,FALSE()),0)+SUMIFS($S$4:S280,$C$4:C280,C280))</f>
        <v/>
      </c>
      <c r="K280" s="1" t="str">
        <f t="shared" si="61"/>
        <v/>
      </c>
      <c r="L280" s="1" t="str">
        <f t="shared" si="62"/>
        <v/>
      </c>
      <c r="M280" s="1" t="str">
        <f t="shared" si="63"/>
        <v/>
      </c>
      <c r="N280" s="8"/>
      <c r="O280" s="8"/>
      <c r="P280" s="1" t="str">
        <f t="shared" si="64"/>
        <v/>
      </c>
      <c r="Q280" s="25" t="str">
        <f t="shared" si="65"/>
        <v/>
      </c>
      <c r="R280" s="1" t="str">
        <f t="shared" si="66"/>
        <v/>
      </c>
      <c r="S280" s="33" t="str">
        <f t="shared" si="67"/>
        <v/>
      </c>
      <c r="T280" s="34" t="str">
        <f>IF(B280="","",C280&amp;"|"&amp;ROUND(S280,2)&amp;"|"&amp;COUNTIFS($C$4:C280,C280,$S$4:S280,S280))</f>
        <v/>
      </c>
      <c r="U280" s="34" t="str">
        <f t="shared" si="68"/>
        <v/>
      </c>
      <c r="V280" s="34" t="str">
        <f t="shared" si="69"/>
        <v/>
      </c>
      <c r="W280" s="34" t="str">
        <f t="shared" si="70"/>
        <v/>
      </c>
      <c r="X280" s="34">
        <f t="shared" si="71"/>
        <v>0</v>
      </c>
      <c r="Y280" s="34" t="str">
        <f t="shared" si="72"/>
        <v/>
      </c>
      <c r="Z280" s="34" t="str">
        <f>IF(X280=1,V280,IF(Y280="","",IF(COUNTIF(Y$3:Y279,Y280)=0,Y280,"")))</f>
        <v/>
      </c>
      <c r="AA280" s="34" t="b">
        <f t="shared" si="73"/>
        <v>0</v>
      </c>
      <c r="AB280" s="34">
        <f t="shared" si="74"/>
        <v>0</v>
      </c>
      <c r="AC280" s="34" t="str">
        <f>IF(AND(B280&lt;&gt;"",C280=CompteSel,N(B280)&lt;=DateArret,AB280=0),MAX($AC$3:AC279)+1,"")</f>
        <v/>
      </c>
      <c r="AD280" s="34" t="str">
        <f>IF(AND(ISNUMBER(M280),C280=CompteSel),MAX($AD$3:AD279)+1,"")</f>
        <v/>
      </c>
    </row>
    <row r="281" spans="1:30" x14ac:dyDescent="0.35">
      <c r="A281" s="1" t="str">
        <f t="shared" si="60"/>
        <v/>
      </c>
      <c r="B281" s="31"/>
      <c r="C281" s="8"/>
      <c r="D281" s="8"/>
      <c r="E281" s="8"/>
      <c r="F281" s="8"/>
      <c r="G281" s="8"/>
      <c r="H281" s="32"/>
      <c r="I281" s="32"/>
      <c r="J281" s="25" t="str">
        <f>IF(B281="","",IFERROR(VLOOKUP(C281,Soldes_Ouverture,2,FALSE()),0)+SUMIFS($S$4:S281,$C$4:C281,C281))</f>
        <v/>
      </c>
      <c r="K281" s="1" t="str">
        <f t="shared" si="61"/>
        <v/>
      </c>
      <c r="L281" s="1" t="str">
        <f t="shared" si="62"/>
        <v/>
      </c>
      <c r="M281" s="1" t="str">
        <f t="shared" si="63"/>
        <v/>
      </c>
      <c r="N281" s="8"/>
      <c r="O281" s="8"/>
      <c r="P281" s="1" t="str">
        <f t="shared" si="64"/>
        <v/>
      </c>
      <c r="Q281" s="25" t="str">
        <f t="shared" si="65"/>
        <v/>
      </c>
      <c r="R281" s="1" t="str">
        <f t="shared" si="66"/>
        <v/>
      </c>
      <c r="S281" s="33" t="str">
        <f t="shared" si="67"/>
        <v/>
      </c>
      <c r="T281" s="34" t="str">
        <f>IF(B281="","",C281&amp;"|"&amp;ROUND(S281,2)&amp;"|"&amp;COUNTIFS($C$4:C281,C281,$S$4:S281,S281))</f>
        <v/>
      </c>
      <c r="U281" s="34" t="str">
        <f t="shared" si="68"/>
        <v/>
      </c>
      <c r="V281" s="34" t="str">
        <f t="shared" si="69"/>
        <v/>
      </c>
      <c r="W281" s="34" t="str">
        <f t="shared" si="70"/>
        <v/>
      </c>
      <c r="X281" s="34">
        <f t="shared" si="71"/>
        <v>0</v>
      </c>
      <c r="Y281" s="34" t="str">
        <f t="shared" si="72"/>
        <v/>
      </c>
      <c r="Z281" s="34" t="str">
        <f>IF(X281=1,V281,IF(Y281="","",IF(COUNTIF(Y$3:Y280,Y281)=0,Y281,"")))</f>
        <v/>
      </c>
      <c r="AA281" s="34" t="b">
        <f t="shared" si="73"/>
        <v>0</v>
      </c>
      <c r="AB281" s="34">
        <f t="shared" si="74"/>
        <v>0</v>
      </c>
      <c r="AC281" s="34" t="str">
        <f>IF(AND(B281&lt;&gt;"",C281=CompteSel,N(B281)&lt;=DateArret,AB281=0),MAX($AC$3:AC280)+1,"")</f>
        <v/>
      </c>
      <c r="AD281" s="34" t="str">
        <f>IF(AND(ISNUMBER(M281),C281=CompteSel),MAX($AD$3:AD280)+1,"")</f>
        <v/>
      </c>
    </row>
    <row r="282" spans="1:30" x14ac:dyDescent="0.35">
      <c r="A282" s="1" t="str">
        <f t="shared" si="60"/>
        <v/>
      </c>
      <c r="B282" s="31"/>
      <c r="C282" s="8"/>
      <c r="D282" s="8"/>
      <c r="E282" s="8"/>
      <c r="F282" s="8"/>
      <c r="G282" s="8"/>
      <c r="H282" s="32"/>
      <c r="I282" s="32"/>
      <c r="J282" s="25" t="str">
        <f>IF(B282="","",IFERROR(VLOOKUP(C282,Soldes_Ouverture,2,FALSE()),0)+SUMIFS($S$4:S282,$C$4:C282,C282))</f>
        <v/>
      </c>
      <c r="K282" s="1" t="str">
        <f t="shared" si="61"/>
        <v/>
      </c>
      <c r="L282" s="1" t="str">
        <f t="shared" si="62"/>
        <v/>
      </c>
      <c r="M282" s="1" t="str">
        <f t="shared" si="63"/>
        <v/>
      </c>
      <c r="N282" s="8"/>
      <c r="O282" s="8"/>
      <c r="P282" s="1" t="str">
        <f t="shared" si="64"/>
        <v/>
      </c>
      <c r="Q282" s="25" t="str">
        <f t="shared" si="65"/>
        <v/>
      </c>
      <c r="R282" s="1" t="str">
        <f t="shared" si="66"/>
        <v/>
      </c>
      <c r="S282" s="33" t="str">
        <f t="shared" si="67"/>
        <v/>
      </c>
      <c r="T282" s="34" t="str">
        <f>IF(B282="","",C282&amp;"|"&amp;ROUND(S282,2)&amp;"|"&amp;COUNTIFS($C$4:C282,C282,$S$4:S282,S282))</f>
        <v/>
      </c>
      <c r="U282" s="34" t="str">
        <f t="shared" si="68"/>
        <v/>
      </c>
      <c r="V282" s="34" t="str">
        <f t="shared" si="69"/>
        <v/>
      </c>
      <c r="W282" s="34" t="str">
        <f t="shared" si="70"/>
        <v/>
      </c>
      <c r="X282" s="34">
        <f t="shared" si="71"/>
        <v>0</v>
      </c>
      <c r="Y282" s="34" t="str">
        <f t="shared" si="72"/>
        <v/>
      </c>
      <c r="Z282" s="34" t="str">
        <f>IF(X282=1,V282,IF(Y282="","",IF(COUNTIF(Y$3:Y281,Y282)=0,Y282,"")))</f>
        <v/>
      </c>
      <c r="AA282" s="34" t="b">
        <f t="shared" si="73"/>
        <v>0</v>
      </c>
      <c r="AB282" s="34">
        <f t="shared" si="74"/>
        <v>0</v>
      </c>
      <c r="AC282" s="34" t="str">
        <f>IF(AND(B282&lt;&gt;"",C282=CompteSel,N(B282)&lt;=DateArret,AB282=0),MAX($AC$3:AC281)+1,"")</f>
        <v/>
      </c>
      <c r="AD282" s="34" t="str">
        <f>IF(AND(ISNUMBER(M282),C282=CompteSel),MAX($AD$3:AD281)+1,"")</f>
        <v/>
      </c>
    </row>
    <row r="283" spans="1:30" x14ac:dyDescent="0.35">
      <c r="A283" s="1" t="str">
        <f t="shared" si="60"/>
        <v/>
      </c>
      <c r="B283" s="31"/>
      <c r="C283" s="8"/>
      <c r="D283" s="8"/>
      <c r="E283" s="8"/>
      <c r="F283" s="8"/>
      <c r="G283" s="8"/>
      <c r="H283" s="32"/>
      <c r="I283" s="32"/>
      <c r="J283" s="25" t="str">
        <f>IF(B283="","",IFERROR(VLOOKUP(C283,Soldes_Ouverture,2,FALSE()),0)+SUMIFS($S$4:S283,$C$4:C283,C283))</f>
        <v/>
      </c>
      <c r="K283" s="1" t="str">
        <f t="shared" si="61"/>
        <v/>
      </c>
      <c r="L283" s="1" t="str">
        <f t="shared" si="62"/>
        <v/>
      </c>
      <c r="M283" s="1" t="str">
        <f t="shared" si="63"/>
        <v/>
      </c>
      <c r="N283" s="8"/>
      <c r="O283" s="8"/>
      <c r="P283" s="1" t="str">
        <f t="shared" si="64"/>
        <v/>
      </c>
      <c r="Q283" s="25" t="str">
        <f t="shared" si="65"/>
        <v/>
      </c>
      <c r="R283" s="1" t="str">
        <f t="shared" si="66"/>
        <v/>
      </c>
      <c r="S283" s="33" t="str">
        <f t="shared" si="67"/>
        <v/>
      </c>
      <c r="T283" s="34" t="str">
        <f>IF(B283="","",C283&amp;"|"&amp;ROUND(S283,2)&amp;"|"&amp;COUNTIFS($C$4:C283,C283,$S$4:S283,S283))</f>
        <v/>
      </c>
      <c r="U283" s="34" t="str">
        <f t="shared" si="68"/>
        <v/>
      </c>
      <c r="V283" s="34" t="str">
        <f t="shared" si="69"/>
        <v/>
      </c>
      <c r="W283" s="34" t="str">
        <f t="shared" si="70"/>
        <v/>
      </c>
      <c r="X283" s="34">
        <f t="shared" si="71"/>
        <v>0</v>
      </c>
      <c r="Y283" s="34" t="str">
        <f t="shared" si="72"/>
        <v/>
      </c>
      <c r="Z283" s="34" t="str">
        <f>IF(X283=1,V283,IF(Y283="","",IF(COUNTIF(Y$3:Y282,Y283)=0,Y283,"")))</f>
        <v/>
      </c>
      <c r="AA283" s="34" t="b">
        <f t="shared" si="73"/>
        <v>0</v>
      </c>
      <c r="AB283" s="34">
        <f t="shared" si="74"/>
        <v>0</v>
      </c>
      <c r="AC283" s="34" t="str">
        <f>IF(AND(B283&lt;&gt;"",C283=CompteSel,N(B283)&lt;=DateArret,AB283=0),MAX($AC$3:AC282)+1,"")</f>
        <v/>
      </c>
      <c r="AD283" s="34" t="str">
        <f>IF(AND(ISNUMBER(M283),C283=CompteSel),MAX($AD$3:AD282)+1,"")</f>
        <v/>
      </c>
    </row>
    <row r="284" spans="1:30" x14ac:dyDescent="0.35">
      <c r="A284" s="1" t="str">
        <f t="shared" si="60"/>
        <v/>
      </c>
      <c r="B284" s="31"/>
      <c r="C284" s="8"/>
      <c r="D284" s="8"/>
      <c r="E284" s="8"/>
      <c r="F284" s="8"/>
      <c r="G284" s="8"/>
      <c r="H284" s="32"/>
      <c r="I284" s="32"/>
      <c r="J284" s="25" t="str">
        <f>IF(B284="","",IFERROR(VLOOKUP(C284,Soldes_Ouverture,2,FALSE()),0)+SUMIFS($S$4:S284,$C$4:C284,C284))</f>
        <v/>
      </c>
      <c r="K284" s="1" t="str">
        <f t="shared" si="61"/>
        <v/>
      </c>
      <c r="L284" s="1" t="str">
        <f t="shared" si="62"/>
        <v/>
      </c>
      <c r="M284" s="1" t="str">
        <f t="shared" si="63"/>
        <v/>
      </c>
      <c r="N284" s="8"/>
      <c r="O284" s="8"/>
      <c r="P284" s="1" t="str">
        <f t="shared" si="64"/>
        <v/>
      </c>
      <c r="Q284" s="25" t="str">
        <f t="shared" si="65"/>
        <v/>
      </c>
      <c r="R284" s="1" t="str">
        <f t="shared" si="66"/>
        <v/>
      </c>
      <c r="S284" s="33" t="str">
        <f t="shared" si="67"/>
        <v/>
      </c>
      <c r="T284" s="34" t="str">
        <f>IF(B284="","",C284&amp;"|"&amp;ROUND(S284,2)&amp;"|"&amp;COUNTIFS($C$4:C284,C284,$S$4:S284,S284))</f>
        <v/>
      </c>
      <c r="U284" s="34" t="str">
        <f t="shared" si="68"/>
        <v/>
      </c>
      <c r="V284" s="34" t="str">
        <f t="shared" si="69"/>
        <v/>
      </c>
      <c r="W284" s="34" t="str">
        <f t="shared" si="70"/>
        <v/>
      </c>
      <c r="X284" s="34">
        <f t="shared" si="71"/>
        <v>0</v>
      </c>
      <c r="Y284" s="34" t="str">
        <f t="shared" si="72"/>
        <v/>
      </c>
      <c r="Z284" s="34" t="str">
        <f>IF(X284=1,V284,IF(Y284="","",IF(COUNTIF(Y$3:Y283,Y284)=0,Y284,"")))</f>
        <v/>
      </c>
      <c r="AA284" s="34" t="b">
        <f t="shared" si="73"/>
        <v>0</v>
      </c>
      <c r="AB284" s="34">
        <f t="shared" si="74"/>
        <v>0</v>
      </c>
      <c r="AC284" s="34" t="str">
        <f>IF(AND(B284&lt;&gt;"",C284=CompteSel,N(B284)&lt;=DateArret,AB284=0),MAX($AC$3:AC283)+1,"")</f>
        <v/>
      </c>
      <c r="AD284" s="34" t="str">
        <f>IF(AND(ISNUMBER(M284),C284=CompteSel),MAX($AD$3:AD283)+1,"")</f>
        <v/>
      </c>
    </row>
    <row r="285" spans="1:30" x14ac:dyDescent="0.35">
      <c r="A285" s="1" t="str">
        <f t="shared" si="60"/>
        <v/>
      </c>
      <c r="B285" s="31"/>
      <c r="C285" s="8"/>
      <c r="D285" s="8"/>
      <c r="E285" s="8"/>
      <c r="F285" s="8"/>
      <c r="G285" s="8"/>
      <c r="H285" s="32"/>
      <c r="I285" s="32"/>
      <c r="J285" s="25" t="str">
        <f>IF(B285="","",IFERROR(VLOOKUP(C285,Soldes_Ouverture,2,FALSE()),0)+SUMIFS($S$4:S285,$C$4:C285,C285))</f>
        <v/>
      </c>
      <c r="K285" s="1" t="str">
        <f t="shared" si="61"/>
        <v/>
      </c>
      <c r="L285" s="1" t="str">
        <f t="shared" si="62"/>
        <v/>
      </c>
      <c r="M285" s="1" t="str">
        <f t="shared" si="63"/>
        <v/>
      </c>
      <c r="N285" s="8"/>
      <c r="O285" s="8"/>
      <c r="P285" s="1" t="str">
        <f t="shared" si="64"/>
        <v/>
      </c>
      <c r="Q285" s="25" t="str">
        <f t="shared" si="65"/>
        <v/>
      </c>
      <c r="R285" s="1" t="str">
        <f t="shared" si="66"/>
        <v/>
      </c>
      <c r="S285" s="33" t="str">
        <f t="shared" si="67"/>
        <v/>
      </c>
      <c r="T285" s="34" t="str">
        <f>IF(B285="","",C285&amp;"|"&amp;ROUND(S285,2)&amp;"|"&amp;COUNTIFS($C$4:C285,C285,$S$4:S285,S285))</f>
        <v/>
      </c>
      <c r="U285" s="34" t="str">
        <f t="shared" si="68"/>
        <v/>
      </c>
      <c r="V285" s="34" t="str">
        <f t="shared" si="69"/>
        <v/>
      </c>
      <c r="W285" s="34" t="str">
        <f t="shared" si="70"/>
        <v/>
      </c>
      <c r="X285" s="34">
        <f t="shared" si="71"/>
        <v>0</v>
      </c>
      <c r="Y285" s="34" t="str">
        <f t="shared" si="72"/>
        <v/>
      </c>
      <c r="Z285" s="34" t="str">
        <f>IF(X285=1,V285,IF(Y285="","",IF(COUNTIF(Y$3:Y284,Y285)=0,Y285,"")))</f>
        <v/>
      </c>
      <c r="AA285" s="34" t="b">
        <f t="shared" si="73"/>
        <v>0</v>
      </c>
      <c r="AB285" s="34">
        <f t="shared" si="74"/>
        <v>0</v>
      </c>
      <c r="AC285" s="34" t="str">
        <f>IF(AND(B285&lt;&gt;"",C285=CompteSel,N(B285)&lt;=DateArret,AB285=0),MAX($AC$3:AC284)+1,"")</f>
        <v/>
      </c>
      <c r="AD285" s="34" t="str">
        <f>IF(AND(ISNUMBER(M285),C285=CompteSel),MAX($AD$3:AD284)+1,"")</f>
        <v/>
      </c>
    </row>
    <row r="286" spans="1:30" x14ac:dyDescent="0.35">
      <c r="A286" s="1" t="str">
        <f t="shared" si="60"/>
        <v/>
      </c>
      <c r="B286" s="31"/>
      <c r="C286" s="8"/>
      <c r="D286" s="8"/>
      <c r="E286" s="8"/>
      <c r="F286" s="8"/>
      <c r="G286" s="8"/>
      <c r="H286" s="32"/>
      <c r="I286" s="32"/>
      <c r="J286" s="25" t="str">
        <f>IF(B286="","",IFERROR(VLOOKUP(C286,Soldes_Ouverture,2,FALSE()),0)+SUMIFS($S$4:S286,$C$4:C286,C286))</f>
        <v/>
      </c>
      <c r="K286" s="1" t="str">
        <f t="shared" si="61"/>
        <v/>
      </c>
      <c r="L286" s="1" t="str">
        <f t="shared" si="62"/>
        <v/>
      </c>
      <c r="M286" s="1" t="str">
        <f t="shared" si="63"/>
        <v/>
      </c>
      <c r="N286" s="8"/>
      <c r="O286" s="8"/>
      <c r="P286" s="1" t="str">
        <f t="shared" si="64"/>
        <v/>
      </c>
      <c r="Q286" s="25" t="str">
        <f t="shared" si="65"/>
        <v/>
      </c>
      <c r="R286" s="1" t="str">
        <f t="shared" si="66"/>
        <v/>
      </c>
      <c r="S286" s="33" t="str">
        <f t="shared" si="67"/>
        <v/>
      </c>
      <c r="T286" s="34" t="str">
        <f>IF(B286="","",C286&amp;"|"&amp;ROUND(S286,2)&amp;"|"&amp;COUNTIFS($C$4:C286,C286,$S$4:S286,S286))</f>
        <v/>
      </c>
      <c r="U286" s="34" t="str">
        <f t="shared" si="68"/>
        <v/>
      </c>
      <c r="V286" s="34" t="str">
        <f t="shared" si="69"/>
        <v/>
      </c>
      <c r="W286" s="34" t="str">
        <f t="shared" si="70"/>
        <v/>
      </c>
      <c r="X286" s="34">
        <f t="shared" si="71"/>
        <v>0</v>
      </c>
      <c r="Y286" s="34" t="str">
        <f t="shared" si="72"/>
        <v/>
      </c>
      <c r="Z286" s="34" t="str">
        <f>IF(X286=1,V286,IF(Y286="","",IF(COUNTIF(Y$3:Y285,Y286)=0,Y286,"")))</f>
        <v/>
      </c>
      <c r="AA286" s="34" t="b">
        <f t="shared" si="73"/>
        <v>0</v>
      </c>
      <c r="AB286" s="34">
        <f t="shared" si="74"/>
        <v>0</v>
      </c>
      <c r="AC286" s="34" t="str">
        <f>IF(AND(B286&lt;&gt;"",C286=CompteSel,N(B286)&lt;=DateArret,AB286=0),MAX($AC$3:AC285)+1,"")</f>
        <v/>
      </c>
      <c r="AD286" s="34" t="str">
        <f>IF(AND(ISNUMBER(M286),C286=CompteSel),MAX($AD$3:AD285)+1,"")</f>
        <v/>
      </c>
    </row>
    <row r="287" spans="1:30" x14ac:dyDescent="0.35">
      <c r="A287" s="1" t="str">
        <f t="shared" si="60"/>
        <v/>
      </c>
      <c r="B287" s="31"/>
      <c r="C287" s="8"/>
      <c r="D287" s="8"/>
      <c r="E287" s="8"/>
      <c r="F287" s="8"/>
      <c r="G287" s="8"/>
      <c r="H287" s="32"/>
      <c r="I287" s="32"/>
      <c r="J287" s="25" t="str">
        <f>IF(B287="","",IFERROR(VLOOKUP(C287,Soldes_Ouverture,2,FALSE()),0)+SUMIFS($S$4:S287,$C$4:C287,C287))</f>
        <v/>
      </c>
      <c r="K287" s="1" t="str">
        <f t="shared" si="61"/>
        <v/>
      </c>
      <c r="L287" s="1" t="str">
        <f t="shared" si="62"/>
        <v/>
      </c>
      <c r="M287" s="1" t="str">
        <f t="shared" si="63"/>
        <v/>
      </c>
      <c r="N287" s="8"/>
      <c r="O287" s="8"/>
      <c r="P287" s="1" t="str">
        <f t="shared" si="64"/>
        <v/>
      </c>
      <c r="Q287" s="25" t="str">
        <f t="shared" si="65"/>
        <v/>
      </c>
      <c r="R287" s="1" t="str">
        <f t="shared" si="66"/>
        <v/>
      </c>
      <c r="S287" s="33" t="str">
        <f t="shared" si="67"/>
        <v/>
      </c>
      <c r="T287" s="34" t="str">
        <f>IF(B287="","",C287&amp;"|"&amp;ROUND(S287,2)&amp;"|"&amp;COUNTIFS($C$4:C287,C287,$S$4:S287,S287))</f>
        <v/>
      </c>
      <c r="U287" s="34" t="str">
        <f t="shared" si="68"/>
        <v/>
      </c>
      <c r="V287" s="34" t="str">
        <f t="shared" si="69"/>
        <v/>
      </c>
      <c r="W287" s="34" t="str">
        <f t="shared" si="70"/>
        <v/>
      </c>
      <c r="X287" s="34">
        <f t="shared" si="71"/>
        <v>0</v>
      </c>
      <c r="Y287" s="34" t="str">
        <f t="shared" si="72"/>
        <v/>
      </c>
      <c r="Z287" s="34" t="str">
        <f>IF(X287=1,V287,IF(Y287="","",IF(COUNTIF(Y$3:Y286,Y287)=0,Y287,"")))</f>
        <v/>
      </c>
      <c r="AA287" s="34" t="b">
        <f t="shared" si="73"/>
        <v>0</v>
      </c>
      <c r="AB287" s="34">
        <f t="shared" si="74"/>
        <v>0</v>
      </c>
      <c r="AC287" s="34" t="str">
        <f>IF(AND(B287&lt;&gt;"",C287=CompteSel,N(B287)&lt;=DateArret,AB287=0),MAX($AC$3:AC286)+1,"")</f>
        <v/>
      </c>
      <c r="AD287" s="34" t="str">
        <f>IF(AND(ISNUMBER(M287),C287=CompteSel),MAX($AD$3:AD286)+1,"")</f>
        <v/>
      </c>
    </row>
    <row r="288" spans="1:30" x14ac:dyDescent="0.35">
      <c r="A288" s="1" t="str">
        <f t="shared" si="60"/>
        <v/>
      </c>
      <c r="B288" s="31"/>
      <c r="C288" s="8"/>
      <c r="D288" s="8"/>
      <c r="E288" s="8"/>
      <c r="F288" s="8"/>
      <c r="G288" s="8"/>
      <c r="H288" s="32"/>
      <c r="I288" s="32"/>
      <c r="J288" s="25" t="str">
        <f>IF(B288="","",IFERROR(VLOOKUP(C288,Soldes_Ouverture,2,FALSE()),0)+SUMIFS($S$4:S288,$C$4:C288,C288))</f>
        <v/>
      </c>
      <c r="K288" s="1" t="str">
        <f t="shared" si="61"/>
        <v/>
      </c>
      <c r="L288" s="1" t="str">
        <f t="shared" si="62"/>
        <v/>
      </c>
      <c r="M288" s="1" t="str">
        <f t="shared" si="63"/>
        <v/>
      </c>
      <c r="N288" s="8"/>
      <c r="O288" s="8"/>
      <c r="P288" s="1" t="str">
        <f t="shared" si="64"/>
        <v/>
      </c>
      <c r="Q288" s="25" t="str">
        <f t="shared" si="65"/>
        <v/>
      </c>
      <c r="R288" s="1" t="str">
        <f t="shared" si="66"/>
        <v/>
      </c>
      <c r="S288" s="33" t="str">
        <f t="shared" si="67"/>
        <v/>
      </c>
      <c r="T288" s="34" t="str">
        <f>IF(B288="","",C288&amp;"|"&amp;ROUND(S288,2)&amp;"|"&amp;COUNTIFS($C$4:C288,C288,$S$4:S288,S288))</f>
        <v/>
      </c>
      <c r="U288" s="34" t="str">
        <f t="shared" si="68"/>
        <v/>
      </c>
      <c r="V288" s="34" t="str">
        <f t="shared" si="69"/>
        <v/>
      </c>
      <c r="W288" s="34" t="str">
        <f t="shared" si="70"/>
        <v/>
      </c>
      <c r="X288" s="34">
        <f t="shared" si="71"/>
        <v>0</v>
      </c>
      <c r="Y288" s="34" t="str">
        <f t="shared" si="72"/>
        <v/>
      </c>
      <c r="Z288" s="34" t="str">
        <f>IF(X288=1,V288,IF(Y288="","",IF(COUNTIF(Y$3:Y287,Y288)=0,Y288,"")))</f>
        <v/>
      </c>
      <c r="AA288" s="34" t="b">
        <f t="shared" si="73"/>
        <v>0</v>
      </c>
      <c r="AB288" s="34">
        <f t="shared" si="74"/>
        <v>0</v>
      </c>
      <c r="AC288" s="34" t="str">
        <f>IF(AND(B288&lt;&gt;"",C288=CompteSel,N(B288)&lt;=DateArret,AB288=0),MAX($AC$3:AC287)+1,"")</f>
        <v/>
      </c>
      <c r="AD288" s="34" t="str">
        <f>IF(AND(ISNUMBER(M288),C288=CompteSel),MAX($AD$3:AD287)+1,"")</f>
        <v/>
      </c>
    </row>
    <row r="289" spans="1:30" x14ac:dyDescent="0.35">
      <c r="A289" s="1" t="str">
        <f t="shared" si="60"/>
        <v/>
      </c>
      <c r="B289" s="31"/>
      <c r="C289" s="8"/>
      <c r="D289" s="8"/>
      <c r="E289" s="8"/>
      <c r="F289" s="8"/>
      <c r="G289" s="8"/>
      <c r="H289" s="32"/>
      <c r="I289" s="32"/>
      <c r="J289" s="25" t="str">
        <f>IF(B289="","",IFERROR(VLOOKUP(C289,Soldes_Ouverture,2,FALSE()),0)+SUMIFS($S$4:S289,$C$4:C289,C289))</f>
        <v/>
      </c>
      <c r="K289" s="1" t="str">
        <f t="shared" si="61"/>
        <v/>
      </c>
      <c r="L289" s="1" t="str">
        <f t="shared" si="62"/>
        <v/>
      </c>
      <c r="M289" s="1" t="str">
        <f t="shared" si="63"/>
        <v/>
      </c>
      <c r="N289" s="8"/>
      <c r="O289" s="8"/>
      <c r="P289" s="1" t="str">
        <f t="shared" si="64"/>
        <v/>
      </c>
      <c r="Q289" s="25" t="str">
        <f t="shared" si="65"/>
        <v/>
      </c>
      <c r="R289" s="1" t="str">
        <f t="shared" si="66"/>
        <v/>
      </c>
      <c r="S289" s="33" t="str">
        <f t="shared" si="67"/>
        <v/>
      </c>
      <c r="T289" s="34" t="str">
        <f>IF(B289="","",C289&amp;"|"&amp;ROUND(S289,2)&amp;"|"&amp;COUNTIFS($C$4:C289,C289,$S$4:S289,S289))</f>
        <v/>
      </c>
      <c r="U289" s="34" t="str">
        <f t="shared" si="68"/>
        <v/>
      </c>
      <c r="V289" s="34" t="str">
        <f t="shared" si="69"/>
        <v/>
      </c>
      <c r="W289" s="34" t="str">
        <f t="shared" si="70"/>
        <v/>
      </c>
      <c r="X289" s="34">
        <f t="shared" si="71"/>
        <v>0</v>
      </c>
      <c r="Y289" s="34" t="str">
        <f t="shared" si="72"/>
        <v/>
      </c>
      <c r="Z289" s="34" t="str">
        <f>IF(X289=1,V289,IF(Y289="","",IF(COUNTIF(Y$3:Y288,Y289)=0,Y289,"")))</f>
        <v/>
      </c>
      <c r="AA289" s="34" t="b">
        <f t="shared" si="73"/>
        <v>0</v>
      </c>
      <c r="AB289" s="34">
        <f t="shared" si="74"/>
        <v>0</v>
      </c>
      <c r="AC289" s="34" t="str">
        <f>IF(AND(B289&lt;&gt;"",C289=CompteSel,N(B289)&lt;=DateArret,AB289=0),MAX($AC$3:AC288)+1,"")</f>
        <v/>
      </c>
      <c r="AD289" s="34" t="str">
        <f>IF(AND(ISNUMBER(M289),C289=CompteSel),MAX($AD$3:AD288)+1,"")</f>
        <v/>
      </c>
    </row>
    <row r="290" spans="1:30" x14ac:dyDescent="0.35">
      <c r="A290" s="1" t="str">
        <f t="shared" si="60"/>
        <v/>
      </c>
      <c r="B290" s="31"/>
      <c r="C290" s="8"/>
      <c r="D290" s="8"/>
      <c r="E290" s="8"/>
      <c r="F290" s="8"/>
      <c r="G290" s="8"/>
      <c r="H290" s="32"/>
      <c r="I290" s="32"/>
      <c r="J290" s="25" t="str">
        <f>IF(B290="","",IFERROR(VLOOKUP(C290,Soldes_Ouverture,2,FALSE()),0)+SUMIFS($S$4:S290,$C$4:C290,C290))</f>
        <v/>
      </c>
      <c r="K290" s="1" t="str">
        <f t="shared" si="61"/>
        <v/>
      </c>
      <c r="L290" s="1" t="str">
        <f t="shared" si="62"/>
        <v/>
      </c>
      <c r="M290" s="1" t="str">
        <f t="shared" si="63"/>
        <v/>
      </c>
      <c r="N290" s="8"/>
      <c r="O290" s="8"/>
      <c r="P290" s="1" t="str">
        <f t="shared" si="64"/>
        <v/>
      </c>
      <c r="Q290" s="25" t="str">
        <f t="shared" si="65"/>
        <v/>
      </c>
      <c r="R290" s="1" t="str">
        <f t="shared" si="66"/>
        <v/>
      </c>
      <c r="S290" s="33" t="str">
        <f t="shared" si="67"/>
        <v/>
      </c>
      <c r="T290" s="34" t="str">
        <f>IF(B290="","",C290&amp;"|"&amp;ROUND(S290,2)&amp;"|"&amp;COUNTIFS($C$4:C290,C290,$S$4:S290,S290))</f>
        <v/>
      </c>
      <c r="U290" s="34" t="str">
        <f t="shared" si="68"/>
        <v/>
      </c>
      <c r="V290" s="34" t="str">
        <f t="shared" si="69"/>
        <v/>
      </c>
      <c r="W290" s="34" t="str">
        <f t="shared" si="70"/>
        <v/>
      </c>
      <c r="X290" s="34">
        <f t="shared" si="71"/>
        <v>0</v>
      </c>
      <c r="Y290" s="34" t="str">
        <f t="shared" si="72"/>
        <v/>
      </c>
      <c r="Z290" s="34" t="str">
        <f>IF(X290=1,V290,IF(Y290="","",IF(COUNTIF(Y$3:Y289,Y290)=0,Y290,"")))</f>
        <v/>
      </c>
      <c r="AA290" s="34" t="b">
        <f t="shared" si="73"/>
        <v>0</v>
      </c>
      <c r="AB290" s="34">
        <f t="shared" si="74"/>
        <v>0</v>
      </c>
      <c r="AC290" s="34" t="str">
        <f>IF(AND(B290&lt;&gt;"",C290=CompteSel,N(B290)&lt;=DateArret,AB290=0),MAX($AC$3:AC289)+1,"")</f>
        <v/>
      </c>
      <c r="AD290" s="34" t="str">
        <f>IF(AND(ISNUMBER(M290),C290=CompteSel),MAX($AD$3:AD289)+1,"")</f>
        <v/>
      </c>
    </row>
    <row r="291" spans="1:30" x14ac:dyDescent="0.35">
      <c r="A291" s="1" t="str">
        <f t="shared" si="60"/>
        <v/>
      </c>
      <c r="B291" s="31"/>
      <c r="C291" s="8"/>
      <c r="D291" s="8"/>
      <c r="E291" s="8"/>
      <c r="F291" s="8"/>
      <c r="G291" s="8"/>
      <c r="H291" s="32"/>
      <c r="I291" s="32"/>
      <c r="J291" s="25" t="str">
        <f>IF(B291="","",IFERROR(VLOOKUP(C291,Soldes_Ouverture,2,FALSE()),0)+SUMIFS($S$4:S291,$C$4:C291,C291))</f>
        <v/>
      </c>
      <c r="K291" s="1" t="str">
        <f t="shared" si="61"/>
        <v/>
      </c>
      <c r="L291" s="1" t="str">
        <f t="shared" si="62"/>
        <v/>
      </c>
      <c r="M291" s="1" t="str">
        <f t="shared" si="63"/>
        <v/>
      </c>
      <c r="N291" s="8"/>
      <c r="O291" s="8"/>
      <c r="P291" s="1" t="str">
        <f t="shared" si="64"/>
        <v/>
      </c>
      <c r="Q291" s="25" t="str">
        <f t="shared" si="65"/>
        <v/>
      </c>
      <c r="R291" s="1" t="str">
        <f t="shared" si="66"/>
        <v/>
      </c>
      <c r="S291" s="33" t="str">
        <f t="shared" si="67"/>
        <v/>
      </c>
      <c r="T291" s="34" t="str">
        <f>IF(B291="","",C291&amp;"|"&amp;ROUND(S291,2)&amp;"|"&amp;COUNTIFS($C$4:C291,C291,$S$4:S291,S291))</f>
        <v/>
      </c>
      <c r="U291" s="34" t="str">
        <f t="shared" si="68"/>
        <v/>
      </c>
      <c r="V291" s="34" t="str">
        <f t="shared" si="69"/>
        <v/>
      </c>
      <c r="W291" s="34" t="str">
        <f t="shared" si="70"/>
        <v/>
      </c>
      <c r="X291" s="34">
        <f t="shared" si="71"/>
        <v>0</v>
      </c>
      <c r="Y291" s="34" t="str">
        <f t="shared" si="72"/>
        <v/>
      </c>
      <c r="Z291" s="34" t="str">
        <f>IF(X291=1,V291,IF(Y291="","",IF(COUNTIF(Y$3:Y290,Y291)=0,Y291,"")))</f>
        <v/>
      </c>
      <c r="AA291" s="34" t="b">
        <f t="shared" si="73"/>
        <v>0</v>
      </c>
      <c r="AB291" s="34">
        <f t="shared" si="74"/>
        <v>0</v>
      </c>
      <c r="AC291" s="34" t="str">
        <f>IF(AND(B291&lt;&gt;"",C291=CompteSel,N(B291)&lt;=DateArret,AB291=0),MAX($AC$3:AC290)+1,"")</f>
        <v/>
      </c>
      <c r="AD291" s="34" t="str">
        <f>IF(AND(ISNUMBER(M291),C291=CompteSel),MAX($AD$3:AD290)+1,"")</f>
        <v/>
      </c>
    </row>
    <row r="292" spans="1:30" x14ac:dyDescent="0.35">
      <c r="A292" s="1" t="str">
        <f t="shared" si="60"/>
        <v/>
      </c>
      <c r="B292" s="31"/>
      <c r="C292" s="8"/>
      <c r="D292" s="8"/>
      <c r="E292" s="8"/>
      <c r="F292" s="8"/>
      <c r="G292" s="8"/>
      <c r="H292" s="32"/>
      <c r="I292" s="32"/>
      <c r="J292" s="25" t="str">
        <f>IF(B292="","",IFERROR(VLOOKUP(C292,Soldes_Ouverture,2,FALSE()),0)+SUMIFS($S$4:S292,$C$4:C292,C292))</f>
        <v/>
      </c>
      <c r="K292" s="1" t="str">
        <f t="shared" si="61"/>
        <v/>
      </c>
      <c r="L292" s="1" t="str">
        <f t="shared" si="62"/>
        <v/>
      </c>
      <c r="M292" s="1" t="str">
        <f t="shared" si="63"/>
        <v/>
      </c>
      <c r="N292" s="8"/>
      <c r="O292" s="8"/>
      <c r="P292" s="1" t="str">
        <f t="shared" si="64"/>
        <v/>
      </c>
      <c r="Q292" s="25" t="str">
        <f t="shared" si="65"/>
        <v/>
      </c>
      <c r="R292" s="1" t="str">
        <f t="shared" si="66"/>
        <v/>
      </c>
      <c r="S292" s="33" t="str">
        <f t="shared" si="67"/>
        <v/>
      </c>
      <c r="T292" s="34" t="str">
        <f>IF(B292="","",C292&amp;"|"&amp;ROUND(S292,2)&amp;"|"&amp;COUNTIFS($C$4:C292,C292,$S$4:S292,S292))</f>
        <v/>
      </c>
      <c r="U292" s="34" t="str">
        <f t="shared" si="68"/>
        <v/>
      </c>
      <c r="V292" s="34" t="str">
        <f t="shared" si="69"/>
        <v/>
      </c>
      <c r="W292" s="34" t="str">
        <f t="shared" si="70"/>
        <v/>
      </c>
      <c r="X292" s="34">
        <f t="shared" si="71"/>
        <v>0</v>
      </c>
      <c r="Y292" s="34" t="str">
        <f t="shared" si="72"/>
        <v/>
      </c>
      <c r="Z292" s="34" t="str">
        <f>IF(X292=1,V292,IF(Y292="","",IF(COUNTIF(Y$3:Y291,Y292)=0,Y292,"")))</f>
        <v/>
      </c>
      <c r="AA292" s="34" t="b">
        <f t="shared" si="73"/>
        <v>0</v>
      </c>
      <c r="AB292" s="34">
        <f t="shared" si="74"/>
        <v>0</v>
      </c>
      <c r="AC292" s="34" t="str">
        <f>IF(AND(B292&lt;&gt;"",C292=CompteSel,N(B292)&lt;=DateArret,AB292=0),MAX($AC$3:AC291)+1,"")</f>
        <v/>
      </c>
      <c r="AD292" s="34" t="str">
        <f>IF(AND(ISNUMBER(M292),C292=CompteSel),MAX($AD$3:AD291)+1,"")</f>
        <v/>
      </c>
    </row>
    <row r="293" spans="1:30" x14ac:dyDescent="0.35">
      <c r="A293" s="1" t="str">
        <f t="shared" si="60"/>
        <v/>
      </c>
      <c r="B293" s="31"/>
      <c r="C293" s="8"/>
      <c r="D293" s="8"/>
      <c r="E293" s="8"/>
      <c r="F293" s="8"/>
      <c r="G293" s="8"/>
      <c r="H293" s="32"/>
      <c r="I293" s="32"/>
      <c r="J293" s="25" t="str">
        <f>IF(B293="","",IFERROR(VLOOKUP(C293,Soldes_Ouverture,2,FALSE()),0)+SUMIFS($S$4:S293,$C$4:C293,C293))</f>
        <v/>
      </c>
      <c r="K293" s="1" t="str">
        <f t="shared" si="61"/>
        <v/>
      </c>
      <c r="L293" s="1" t="str">
        <f t="shared" si="62"/>
        <v/>
      </c>
      <c r="M293" s="1" t="str">
        <f t="shared" si="63"/>
        <v/>
      </c>
      <c r="N293" s="8"/>
      <c r="O293" s="8"/>
      <c r="P293" s="1" t="str">
        <f t="shared" si="64"/>
        <v/>
      </c>
      <c r="Q293" s="25" t="str">
        <f t="shared" si="65"/>
        <v/>
      </c>
      <c r="R293" s="1" t="str">
        <f t="shared" si="66"/>
        <v/>
      </c>
      <c r="S293" s="33" t="str">
        <f t="shared" si="67"/>
        <v/>
      </c>
      <c r="T293" s="34" t="str">
        <f>IF(B293="","",C293&amp;"|"&amp;ROUND(S293,2)&amp;"|"&amp;COUNTIFS($C$4:C293,C293,$S$4:S293,S293))</f>
        <v/>
      </c>
      <c r="U293" s="34" t="str">
        <f t="shared" si="68"/>
        <v/>
      </c>
      <c r="V293" s="34" t="str">
        <f t="shared" si="69"/>
        <v/>
      </c>
      <c r="W293" s="34" t="str">
        <f t="shared" si="70"/>
        <v/>
      </c>
      <c r="X293" s="34">
        <f t="shared" si="71"/>
        <v>0</v>
      </c>
      <c r="Y293" s="34" t="str">
        <f t="shared" si="72"/>
        <v/>
      </c>
      <c r="Z293" s="34" t="str">
        <f>IF(X293=1,V293,IF(Y293="","",IF(COUNTIF(Y$3:Y292,Y293)=0,Y293,"")))</f>
        <v/>
      </c>
      <c r="AA293" s="34" t="b">
        <f t="shared" si="73"/>
        <v>0</v>
      </c>
      <c r="AB293" s="34">
        <f t="shared" si="74"/>
        <v>0</v>
      </c>
      <c r="AC293" s="34" t="str">
        <f>IF(AND(B293&lt;&gt;"",C293=CompteSel,N(B293)&lt;=DateArret,AB293=0),MAX($AC$3:AC292)+1,"")</f>
        <v/>
      </c>
      <c r="AD293" s="34" t="str">
        <f>IF(AND(ISNUMBER(M293),C293=CompteSel),MAX($AD$3:AD292)+1,"")</f>
        <v/>
      </c>
    </row>
    <row r="294" spans="1:30" x14ac:dyDescent="0.35">
      <c r="A294" s="1" t="str">
        <f t="shared" si="60"/>
        <v/>
      </c>
      <c r="B294" s="31"/>
      <c r="C294" s="8"/>
      <c r="D294" s="8"/>
      <c r="E294" s="8"/>
      <c r="F294" s="8"/>
      <c r="G294" s="8"/>
      <c r="H294" s="32"/>
      <c r="I294" s="32"/>
      <c r="J294" s="25" t="str">
        <f>IF(B294="","",IFERROR(VLOOKUP(C294,Soldes_Ouverture,2,FALSE()),0)+SUMIFS($S$4:S294,$C$4:C294,C294))</f>
        <v/>
      </c>
      <c r="K294" s="1" t="str">
        <f t="shared" si="61"/>
        <v/>
      </c>
      <c r="L294" s="1" t="str">
        <f t="shared" si="62"/>
        <v/>
      </c>
      <c r="M294" s="1" t="str">
        <f t="shared" si="63"/>
        <v/>
      </c>
      <c r="N294" s="8"/>
      <c r="O294" s="8"/>
      <c r="P294" s="1" t="str">
        <f t="shared" si="64"/>
        <v/>
      </c>
      <c r="Q294" s="25" t="str">
        <f t="shared" si="65"/>
        <v/>
      </c>
      <c r="R294" s="1" t="str">
        <f t="shared" si="66"/>
        <v/>
      </c>
      <c r="S294" s="33" t="str">
        <f t="shared" si="67"/>
        <v/>
      </c>
      <c r="T294" s="34" t="str">
        <f>IF(B294="","",C294&amp;"|"&amp;ROUND(S294,2)&amp;"|"&amp;COUNTIFS($C$4:C294,C294,$S$4:S294,S294))</f>
        <v/>
      </c>
      <c r="U294" s="34" t="str">
        <f t="shared" si="68"/>
        <v/>
      </c>
      <c r="V294" s="34" t="str">
        <f t="shared" si="69"/>
        <v/>
      </c>
      <c r="W294" s="34" t="str">
        <f t="shared" si="70"/>
        <v/>
      </c>
      <c r="X294" s="34">
        <f t="shared" si="71"/>
        <v>0</v>
      </c>
      <c r="Y294" s="34" t="str">
        <f t="shared" si="72"/>
        <v/>
      </c>
      <c r="Z294" s="34" t="str">
        <f>IF(X294=1,V294,IF(Y294="","",IF(COUNTIF(Y$3:Y293,Y294)=0,Y294,"")))</f>
        <v/>
      </c>
      <c r="AA294" s="34" t="b">
        <f t="shared" si="73"/>
        <v>0</v>
      </c>
      <c r="AB294" s="34">
        <f t="shared" si="74"/>
        <v>0</v>
      </c>
      <c r="AC294" s="34" t="str">
        <f>IF(AND(B294&lt;&gt;"",C294=CompteSel,N(B294)&lt;=DateArret,AB294=0),MAX($AC$3:AC293)+1,"")</f>
        <v/>
      </c>
      <c r="AD294" s="34" t="str">
        <f>IF(AND(ISNUMBER(M294),C294=CompteSel),MAX($AD$3:AD293)+1,"")</f>
        <v/>
      </c>
    </row>
    <row r="295" spans="1:30" x14ac:dyDescent="0.35">
      <c r="A295" s="1" t="str">
        <f t="shared" si="60"/>
        <v/>
      </c>
      <c r="B295" s="31"/>
      <c r="C295" s="8"/>
      <c r="D295" s="8"/>
      <c r="E295" s="8"/>
      <c r="F295" s="8"/>
      <c r="G295" s="8"/>
      <c r="H295" s="32"/>
      <c r="I295" s="32"/>
      <c r="J295" s="25" t="str">
        <f>IF(B295="","",IFERROR(VLOOKUP(C295,Soldes_Ouverture,2,FALSE()),0)+SUMIFS($S$4:S295,$C$4:C295,C295))</f>
        <v/>
      </c>
      <c r="K295" s="1" t="str">
        <f t="shared" si="61"/>
        <v/>
      </c>
      <c r="L295" s="1" t="str">
        <f t="shared" si="62"/>
        <v/>
      </c>
      <c r="M295" s="1" t="str">
        <f t="shared" si="63"/>
        <v/>
      </c>
      <c r="N295" s="8"/>
      <c r="O295" s="8"/>
      <c r="P295" s="1" t="str">
        <f t="shared" si="64"/>
        <v/>
      </c>
      <c r="Q295" s="25" t="str">
        <f t="shared" si="65"/>
        <v/>
      </c>
      <c r="R295" s="1" t="str">
        <f t="shared" si="66"/>
        <v/>
      </c>
      <c r="S295" s="33" t="str">
        <f t="shared" si="67"/>
        <v/>
      </c>
      <c r="T295" s="34" t="str">
        <f>IF(B295="","",C295&amp;"|"&amp;ROUND(S295,2)&amp;"|"&amp;COUNTIFS($C$4:C295,C295,$S$4:S295,S295))</f>
        <v/>
      </c>
      <c r="U295" s="34" t="str">
        <f t="shared" si="68"/>
        <v/>
      </c>
      <c r="V295" s="34" t="str">
        <f t="shared" si="69"/>
        <v/>
      </c>
      <c r="W295" s="34" t="str">
        <f t="shared" si="70"/>
        <v/>
      </c>
      <c r="X295" s="34">
        <f t="shared" si="71"/>
        <v>0</v>
      </c>
      <c r="Y295" s="34" t="str">
        <f t="shared" si="72"/>
        <v/>
      </c>
      <c r="Z295" s="34" t="str">
        <f>IF(X295=1,V295,IF(Y295="","",IF(COUNTIF(Y$3:Y294,Y295)=0,Y295,"")))</f>
        <v/>
      </c>
      <c r="AA295" s="34" t="b">
        <f t="shared" si="73"/>
        <v>0</v>
      </c>
      <c r="AB295" s="34">
        <f t="shared" si="74"/>
        <v>0</v>
      </c>
      <c r="AC295" s="34" t="str">
        <f>IF(AND(B295&lt;&gt;"",C295=CompteSel,N(B295)&lt;=DateArret,AB295=0),MAX($AC$3:AC294)+1,"")</f>
        <v/>
      </c>
      <c r="AD295" s="34" t="str">
        <f>IF(AND(ISNUMBER(M295),C295=CompteSel),MAX($AD$3:AD294)+1,"")</f>
        <v/>
      </c>
    </row>
    <row r="296" spans="1:30" x14ac:dyDescent="0.35">
      <c r="A296" s="1" t="str">
        <f t="shared" si="60"/>
        <v/>
      </c>
      <c r="B296" s="31"/>
      <c r="C296" s="8"/>
      <c r="D296" s="8"/>
      <c r="E296" s="8"/>
      <c r="F296" s="8"/>
      <c r="G296" s="8"/>
      <c r="H296" s="32"/>
      <c r="I296" s="32"/>
      <c r="J296" s="25" t="str">
        <f>IF(B296="","",IFERROR(VLOOKUP(C296,Soldes_Ouverture,2,FALSE()),0)+SUMIFS($S$4:S296,$C$4:C296,C296))</f>
        <v/>
      </c>
      <c r="K296" s="1" t="str">
        <f t="shared" si="61"/>
        <v/>
      </c>
      <c r="L296" s="1" t="str">
        <f t="shared" si="62"/>
        <v/>
      </c>
      <c r="M296" s="1" t="str">
        <f t="shared" si="63"/>
        <v/>
      </c>
      <c r="N296" s="8"/>
      <c r="O296" s="8"/>
      <c r="P296" s="1" t="str">
        <f t="shared" si="64"/>
        <v/>
      </c>
      <c r="Q296" s="25" t="str">
        <f t="shared" si="65"/>
        <v/>
      </c>
      <c r="R296" s="1" t="str">
        <f t="shared" si="66"/>
        <v/>
      </c>
      <c r="S296" s="33" t="str">
        <f t="shared" si="67"/>
        <v/>
      </c>
      <c r="T296" s="34" t="str">
        <f>IF(B296="","",C296&amp;"|"&amp;ROUND(S296,2)&amp;"|"&amp;COUNTIFS($C$4:C296,C296,$S$4:S296,S296))</f>
        <v/>
      </c>
      <c r="U296" s="34" t="str">
        <f t="shared" si="68"/>
        <v/>
      </c>
      <c r="V296" s="34" t="str">
        <f t="shared" si="69"/>
        <v/>
      </c>
      <c r="W296" s="34" t="str">
        <f t="shared" si="70"/>
        <v/>
      </c>
      <c r="X296" s="34">
        <f t="shared" si="71"/>
        <v>0</v>
      </c>
      <c r="Y296" s="34" t="str">
        <f t="shared" si="72"/>
        <v/>
      </c>
      <c r="Z296" s="34" t="str">
        <f>IF(X296=1,V296,IF(Y296="","",IF(COUNTIF(Y$3:Y295,Y296)=0,Y296,"")))</f>
        <v/>
      </c>
      <c r="AA296" s="34" t="b">
        <f t="shared" si="73"/>
        <v>0</v>
      </c>
      <c r="AB296" s="34">
        <f t="shared" si="74"/>
        <v>0</v>
      </c>
      <c r="AC296" s="34" t="str">
        <f>IF(AND(B296&lt;&gt;"",C296=CompteSel,N(B296)&lt;=DateArret,AB296=0),MAX($AC$3:AC295)+1,"")</f>
        <v/>
      </c>
      <c r="AD296" s="34" t="str">
        <f>IF(AND(ISNUMBER(M296),C296=CompteSel),MAX($AD$3:AD295)+1,"")</f>
        <v/>
      </c>
    </row>
    <row r="297" spans="1:30" x14ac:dyDescent="0.35">
      <c r="A297" s="1" t="str">
        <f t="shared" si="60"/>
        <v/>
      </c>
      <c r="B297" s="31"/>
      <c r="C297" s="8"/>
      <c r="D297" s="8"/>
      <c r="E297" s="8"/>
      <c r="F297" s="8"/>
      <c r="G297" s="8"/>
      <c r="H297" s="32"/>
      <c r="I297" s="32"/>
      <c r="J297" s="25" t="str">
        <f>IF(B297="","",IFERROR(VLOOKUP(C297,Soldes_Ouverture,2,FALSE()),0)+SUMIFS($S$4:S297,$C$4:C297,C297))</f>
        <v/>
      </c>
      <c r="K297" s="1" t="str">
        <f t="shared" si="61"/>
        <v/>
      </c>
      <c r="L297" s="1" t="str">
        <f t="shared" si="62"/>
        <v/>
      </c>
      <c r="M297" s="1" t="str">
        <f t="shared" si="63"/>
        <v/>
      </c>
      <c r="N297" s="8"/>
      <c r="O297" s="8"/>
      <c r="P297" s="1" t="str">
        <f t="shared" si="64"/>
        <v/>
      </c>
      <c r="Q297" s="25" t="str">
        <f t="shared" si="65"/>
        <v/>
      </c>
      <c r="R297" s="1" t="str">
        <f t="shared" si="66"/>
        <v/>
      </c>
      <c r="S297" s="33" t="str">
        <f t="shared" si="67"/>
        <v/>
      </c>
      <c r="T297" s="34" t="str">
        <f>IF(B297="","",C297&amp;"|"&amp;ROUND(S297,2)&amp;"|"&amp;COUNTIFS($C$4:C297,C297,$S$4:S297,S297))</f>
        <v/>
      </c>
      <c r="U297" s="34" t="str">
        <f t="shared" si="68"/>
        <v/>
      </c>
      <c r="V297" s="34" t="str">
        <f t="shared" si="69"/>
        <v/>
      </c>
      <c r="W297" s="34" t="str">
        <f t="shared" si="70"/>
        <v/>
      </c>
      <c r="X297" s="34">
        <f t="shared" si="71"/>
        <v>0</v>
      </c>
      <c r="Y297" s="34" t="str">
        <f t="shared" si="72"/>
        <v/>
      </c>
      <c r="Z297" s="34" t="str">
        <f>IF(X297=1,V297,IF(Y297="","",IF(COUNTIF(Y$3:Y296,Y297)=0,Y297,"")))</f>
        <v/>
      </c>
      <c r="AA297" s="34" t="b">
        <f t="shared" si="73"/>
        <v>0</v>
      </c>
      <c r="AB297" s="34">
        <f t="shared" si="74"/>
        <v>0</v>
      </c>
      <c r="AC297" s="34" t="str">
        <f>IF(AND(B297&lt;&gt;"",C297=CompteSel,N(B297)&lt;=DateArret,AB297=0),MAX($AC$3:AC296)+1,"")</f>
        <v/>
      </c>
      <c r="AD297" s="34" t="str">
        <f>IF(AND(ISNUMBER(M297),C297=CompteSel),MAX($AD$3:AD296)+1,"")</f>
        <v/>
      </c>
    </row>
    <row r="298" spans="1:30" x14ac:dyDescent="0.35">
      <c r="A298" s="1" t="str">
        <f t="shared" si="60"/>
        <v/>
      </c>
      <c r="B298" s="31"/>
      <c r="C298" s="8"/>
      <c r="D298" s="8"/>
      <c r="E298" s="8"/>
      <c r="F298" s="8"/>
      <c r="G298" s="8"/>
      <c r="H298" s="32"/>
      <c r="I298" s="32"/>
      <c r="J298" s="25" t="str">
        <f>IF(B298="","",IFERROR(VLOOKUP(C298,Soldes_Ouverture,2,FALSE()),0)+SUMIFS($S$4:S298,$C$4:C298,C298))</f>
        <v/>
      </c>
      <c r="K298" s="1" t="str">
        <f t="shared" si="61"/>
        <v/>
      </c>
      <c r="L298" s="1" t="str">
        <f t="shared" si="62"/>
        <v/>
      </c>
      <c r="M298" s="1" t="str">
        <f t="shared" si="63"/>
        <v/>
      </c>
      <c r="N298" s="8"/>
      <c r="O298" s="8"/>
      <c r="P298" s="1" t="str">
        <f t="shared" si="64"/>
        <v/>
      </c>
      <c r="Q298" s="25" t="str">
        <f t="shared" si="65"/>
        <v/>
      </c>
      <c r="R298" s="1" t="str">
        <f t="shared" si="66"/>
        <v/>
      </c>
      <c r="S298" s="33" t="str">
        <f t="shared" si="67"/>
        <v/>
      </c>
      <c r="T298" s="34" t="str">
        <f>IF(B298="","",C298&amp;"|"&amp;ROUND(S298,2)&amp;"|"&amp;COUNTIFS($C$4:C298,C298,$S$4:S298,S298))</f>
        <v/>
      </c>
      <c r="U298" s="34" t="str">
        <f t="shared" si="68"/>
        <v/>
      </c>
      <c r="V298" s="34" t="str">
        <f t="shared" si="69"/>
        <v/>
      </c>
      <c r="W298" s="34" t="str">
        <f t="shared" si="70"/>
        <v/>
      </c>
      <c r="X298" s="34">
        <f t="shared" si="71"/>
        <v>0</v>
      </c>
      <c r="Y298" s="34" t="str">
        <f t="shared" si="72"/>
        <v/>
      </c>
      <c r="Z298" s="34" t="str">
        <f>IF(X298=1,V298,IF(Y298="","",IF(COUNTIF(Y$3:Y297,Y298)=0,Y298,"")))</f>
        <v/>
      </c>
      <c r="AA298" s="34" t="b">
        <f t="shared" si="73"/>
        <v>0</v>
      </c>
      <c r="AB298" s="34">
        <f t="shared" si="74"/>
        <v>0</v>
      </c>
      <c r="AC298" s="34" t="str">
        <f>IF(AND(B298&lt;&gt;"",C298=CompteSel,N(B298)&lt;=DateArret,AB298=0),MAX($AC$3:AC297)+1,"")</f>
        <v/>
      </c>
      <c r="AD298" s="34" t="str">
        <f>IF(AND(ISNUMBER(M298),C298=CompteSel),MAX($AD$3:AD297)+1,"")</f>
        <v/>
      </c>
    </row>
    <row r="299" spans="1:30" x14ac:dyDescent="0.35">
      <c r="A299" s="1" t="str">
        <f t="shared" si="60"/>
        <v/>
      </c>
      <c r="B299" s="31"/>
      <c r="C299" s="8"/>
      <c r="D299" s="8"/>
      <c r="E299" s="8"/>
      <c r="F299" s="8"/>
      <c r="G299" s="8"/>
      <c r="H299" s="32"/>
      <c r="I299" s="32"/>
      <c r="J299" s="25" t="str">
        <f>IF(B299="","",IFERROR(VLOOKUP(C299,Soldes_Ouverture,2,FALSE()),0)+SUMIFS($S$4:S299,$C$4:C299,C299))</f>
        <v/>
      </c>
      <c r="K299" s="1" t="str">
        <f t="shared" si="61"/>
        <v/>
      </c>
      <c r="L299" s="1" t="str">
        <f t="shared" si="62"/>
        <v/>
      </c>
      <c r="M299" s="1" t="str">
        <f t="shared" si="63"/>
        <v/>
      </c>
      <c r="N299" s="8"/>
      <c r="O299" s="8"/>
      <c r="P299" s="1" t="str">
        <f t="shared" si="64"/>
        <v/>
      </c>
      <c r="Q299" s="25" t="str">
        <f t="shared" si="65"/>
        <v/>
      </c>
      <c r="R299" s="1" t="str">
        <f t="shared" si="66"/>
        <v/>
      </c>
      <c r="S299" s="33" t="str">
        <f t="shared" si="67"/>
        <v/>
      </c>
      <c r="T299" s="34" t="str">
        <f>IF(B299="","",C299&amp;"|"&amp;ROUND(S299,2)&amp;"|"&amp;COUNTIFS($C$4:C299,C299,$S$4:S299,S299))</f>
        <v/>
      </c>
      <c r="U299" s="34" t="str">
        <f t="shared" si="68"/>
        <v/>
      </c>
      <c r="V299" s="34" t="str">
        <f t="shared" si="69"/>
        <v/>
      </c>
      <c r="W299" s="34" t="str">
        <f t="shared" si="70"/>
        <v/>
      </c>
      <c r="X299" s="34">
        <f t="shared" si="71"/>
        <v>0</v>
      </c>
      <c r="Y299" s="34" t="str">
        <f t="shared" si="72"/>
        <v/>
      </c>
      <c r="Z299" s="34" t="str">
        <f>IF(X299=1,V299,IF(Y299="","",IF(COUNTIF(Y$3:Y298,Y299)=0,Y299,"")))</f>
        <v/>
      </c>
      <c r="AA299" s="34" t="b">
        <f t="shared" si="73"/>
        <v>0</v>
      </c>
      <c r="AB299" s="34">
        <f t="shared" si="74"/>
        <v>0</v>
      </c>
      <c r="AC299" s="34" t="str">
        <f>IF(AND(B299&lt;&gt;"",C299=CompteSel,N(B299)&lt;=DateArret,AB299=0),MAX($AC$3:AC298)+1,"")</f>
        <v/>
      </c>
      <c r="AD299" s="34" t="str">
        <f>IF(AND(ISNUMBER(M299),C299=CompteSel),MAX($AD$3:AD298)+1,"")</f>
        <v/>
      </c>
    </row>
    <row r="300" spans="1:30" x14ac:dyDescent="0.35">
      <c r="A300" s="1" t="str">
        <f t="shared" si="60"/>
        <v/>
      </c>
      <c r="B300" s="31"/>
      <c r="C300" s="8"/>
      <c r="D300" s="8"/>
      <c r="E300" s="8"/>
      <c r="F300" s="8"/>
      <c r="G300" s="8"/>
      <c r="H300" s="32"/>
      <c r="I300" s="32"/>
      <c r="J300" s="25" t="str">
        <f>IF(B300="","",IFERROR(VLOOKUP(C300,Soldes_Ouverture,2,FALSE()),0)+SUMIFS($S$4:S300,$C$4:C300,C300))</f>
        <v/>
      </c>
      <c r="K300" s="1" t="str">
        <f t="shared" si="61"/>
        <v/>
      </c>
      <c r="L300" s="1" t="str">
        <f t="shared" si="62"/>
        <v/>
      </c>
      <c r="M300" s="1" t="str">
        <f t="shared" si="63"/>
        <v/>
      </c>
      <c r="N300" s="8"/>
      <c r="O300" s="8"/>
      <c r="P300" s="1" t="str">
        <f t="shared" si="64"/>
        <v/>
      </c>
      <c r="Q300" s="25" t="str">
        <f t="shared" si="65"/>
        <v/>
      </c>
      <c r="R300" s="1" t="str">
        <f t="shared" si="66"/>
        <v/>
      </c>
      <c r="S300" s="33" t="str">
        <f t="shared" si="67"/>
        <v/>
      </c>
      <c r="T300" s="34" t="str">
        <f>IF(B300="","",C300&amp;"|"&amp;ROUND(S300,2)&amp;"|"&amp;COUNTIFS($C$4:C300,C300,$S$4:S300,S300))</f>
        <v/>
      </c>
      <c r="U300" s="34" t="str">
        <f t="shared" si="68"/>
        <v/>
      </c>
      <c r="V300" s="34" t="str">
        <f t="shared" si="69"/>
        <v/>
      </c>
      <c r="W300" s="34" t="str">
        <f t="shared" si="70"/>
        <v/>
      </c>
      <c r="X300" s="34">
        <f t="shared" si="71"/>
        <v>0</v>
      </c>
      <c r="Y300" s="34" t="str">
        <f t="shared" si="72"/>
        <v/>
      </c>
      <c r="Z300" s="34" t="str">
        <f>IF(X300=1,V300,IF(Y300="","",IF(COUNTIF(Y$3:Y299,Y300)=0,Y300,"")))</f>
        <v/>
      </c>
      <c r="AA300" s="34" t="b">
        <f t="shared" si="73"/>
        <v>0</v>
      </c>
      <c r="AB300" s="34">
        <f t="shared" si="74"/>
        <v>0</v>
      </c>
      <c r="AC300" s="34" t="str">
        <f>IF(AND(B300&lt;&gt;"",C300=CompteSel,N(B300)&lt;=DateArret,AB300=0),MAX($AC$3:AC299)+1,"")</f>
        <v/>
      </c>
      <c r="AD300" s="34" t="str">
        <f>IF(AND(ISNUMBER(M300),C300=CompteSel),MAX($AD$3:AD299)+1,"")</f>
        <v/>
      </c>
    </row>
    <row r="301" spans="1:30" x14ac:dyDescent="0.35">
      <c r="A301" s="1" t="str">
        <f t="shared" si="60"/>
        <v/>
      </c>
      <c r="B301" s="31"/>
      <c r="C301" s="8"/>
      <c r="D301" s="8"/>
      <c r="E301" s="8"/>
      <c r="F301" s="8"/>
      <c r="G301" s="8"/>
      <c r="H301" s="32"/>
      <c r="I301" s="32"/>
      <c r="J301" s="25" t="str">
        <f>IF(B301="","",IFERROR(VLOOKUP(C301,Soldes_Ouverture,2,FALSE()),0)+SUMIFS($S$4:S301,$C$4:C301,C301))</f>
        <v/>
      </c>
      <c r="K301" s="1" t="str">
        <f t="shared" si="61"/>
        <v/>
      </c>
      <c r="L301" s="1" t="str">
        <f t="shared" si="62"/>
        <v/>
      </c>
      <c r="M301" s="1" t="str">
        <f t="shared" si="63"/>
        <v/>
      </c>
      <c r="N301" s="8"/>
      <c r="O301" s="8"/>
      <c r="P301" s="1" t="str">
        <f t="shared" si="64"/>
        <v/>
      </c>
      <c r="Q301" s="25" t="str">
        <f t="shared" si="65"/>
        <v/>
      </c>
      <c r="R301" s="1" t="str">
        <f t="shared" si="66"/>
        <v/>
      </c>
      <c r="S301" s="33" t="str">
        <f t="shared" si="67"/>
        <v/>
      </c>
      <c r="T301" s="34" t="str">
        <f>IF(B301="","",C301&amp;"|"&amp;ROUND(S301,2)&amp;"|"&amp;COUNTIFS($C$4:C301,C301,$S$4:S301,S301))</f>
        <v/>
      </c>
      <c r="U301" s="34" t="str">
        <f t="shared" si="68"/>
        <v/>
      </c>
      <c r="V301" s="34" t="str">
        <f t="shared" si="69"/>
        <v/>
      </c>
      <c r="W301" s="34" t="str">
        <f t="shared" si="70"/>
        <v/>
      </c>
      <c r="X301" s="34">
        <f t="shared" si="71"/>
        <v>0</v>
      </c>
      <c r="Y301" s="34" t="str">
        <f t="shared" si="72"/>
        <v/>
      </c>
      <c r="Z301" s="34" t="str">
        <f>IF(X301=1,V301,IF(Y301="","",IF(COUNTIF(Y$3:Y300,Y301)=0,Y301,"")))</f>
        <v/>
      </c>
      <c r="AA301" s="34" t="b">
        <f t="shared" si="73"/>
        <v>0</v>
      </c>
      <c r="AB301" s="34">
        <f t="shared" si="74"/>
        <v>0</v>
      </c>
      <c r="AC301" s="34" t="str">
        <f>IF(AND(B301&lt;&gt;"",C301=CompteSel,N(B301)&lt;=DateArret,AB301=0),MAX($AC$3:AC300)+1,"")</f>
        <v/>
      </c>
      <c r="AD301" s="34" t="str">
        <f>IF(AND(ISNUMBER(M301),C301=CompteSel),MAX($AD$3:AD300)+1,"")</f>
        <v/>
      </c>
    </row>
    <row r="302" spans="1:30" x14ac:dyDescent="0.35">
      <c r="A302" s="1" t="str">
        <f t="shared" si="60"/>
        <v/>
      </c>
      <c r="B302" s="31"/>
      <c r="C302" s="8"/>
      <c r="D302" s="8"/>
      <c r="E302" s="8"/>
      <c r="F302" s="8"/>
      <c r="G302" s="8"/>
      <c r="H302" s="32"/>
      <c r="I302" s="32"/>
      <c r="J302" s="25" t="str">
        <f>IF(B302="","",IFERROR(VLOOKUP(C302,Soldes_Ouverture,2,FALSE()),0)+SUMIFS($S$4:S302,$C$4:C302,C302))</f>
        <v/>
      </c>
      <c r="K302" s="1" t="str">
        <f t="shared" si="61"/>
        <v/>
      </c>
      <c r="L302" s="1" t="str">
        <f t="shared" si="62"/>
        <v/>
      </c>
      <c r="M302" s="1" t="str">
        <f t="shared" si="63"/>
        <v/>
      </c>
      <c r="N302" s="8"/>
      <c r="O302" s="8"/>
      <c r="P302" s="1" t="str">
        <f t="shared" si="64"/>
        <v/>
      </c>
      <c r="Q302" s="25" t="str">
        <f t="shared" si="65"/>
        <v/>
      </c>
      <c r="R302" s="1" t="str">
        <f t="shared" si="66"/>
        <v/>
      </c>
      <c r="S302" s="33" t="str">
        <f t="shared" si="67"/>
        <v/>
      </c>
      <c r="T302" s="34" t="str">
        <f>IF(B302="","",C302&amp;"|"&amp;ROUND(S302,2)&amp;"|"&amp;COUNTIFS($C$4:C302,C302,$S$4:S302,S302))</f>
        <v/>
      </c>
      <c r="U302" s="34" t="str">
        <f t="shared" si="68"/>
        <v/>
      </c>
      <c r="V302" s="34" t="str">
        <f t="shared" si="69"/>
        <v/>
      </c>
      <c r="W302" s="34" t="str">
        <f t="shared" si="70"/>
        <v/>
      </c>
      <c r="X302" s="34">
        <f t="shared" si="71"/>
        <v>0</v>
      </c>
      <c r="Y302" s="34" t="str">
        <f t="shared" si="72"/>
        <v/>
      </c>
      <c r="Z302" s="34" t="str">
        <f>IF(X302=1,V302,IF(Y302="","",IF(COUNTIF(Y$3:Y301,Y302)=0,Y302,"")))</f>
        <v/>
      </c>
      <c r="AA302" s="34" t="b">
        <f t="shared" si="73"/>
        <v>0</v>
      </c>
      <c r="AB302" s="34">
        <f t="shared" si="74"/>
        <v>0</v>
      </c>
      <c r="AC302" s="34" t="str">
        <f>IF(AND(B302&lt;&gt;"",C302=CompteSel,N(B302)&lt;=DateArret,AB302=0),MAX($AC$3:AC301)+1,"")</f>
        <v/>
      </c>
      <c r="AD302" s="34" t="str">
        <f>IF(AND(ISNUMBER(M302),C302=CompteSel),MAX($AD$3:AD301)+1,"")</f>
        <v/>
      </c>
    </row>
    <row r="303" spans="1:30" x14ac:dyDescent="0.35">
      <c r="A303" s="1" t="str">
        <f t="shared" si="60"/>
        <v/>
      </c>
      <c r="B303" s="31"/>
      <c r="C303" s="8"/>
      <c r="D303" s="8"/>
      <c r="E303" s="8"/>
      <c r="F303" s="8"/>
      <c r="G303" s="8"/>
      <c r="H303" s="32"/>
      <c r="I303" s="32"/>
      <c r="J303" s="25" t="str">
        <f>IF(B303="","",IFERROR(VLOOKUP(C303,Soldes_Ouverture,2,FALSE()),0)+SUMIFS($S$4:S303,$C$4:C303,C303))</f>
        <v/>
      </c>
      <c r="K303" s="1" t="str">
        <f t="shared" si="61"/>
        <v/>
      </c>
      <c r="L303" s="1" t="str">
        <f t="shared" si="62"/>
        <v/>
      </c>
      <c r="M303" s="1" t="str">
        <f t="shared" si="63"/>
        <v/>
      </c>
      <c r="N303" s="8"/>
      <c r="O303" s="8"/>
      <c r="P303" s="1" t="str">
        <f t="shared" si="64"/>
        <v/>
      </c>
      <c r="Q303" s="25" t="str">
        <f t="shared" si="65"/>
        <v/>
      </c>
      <c r="R303" s="1" t="str">
        <f t="shared" si="66"/>
        <v/>
      </c>
      <c r="S303" s="33" t="str">
        <f t="shared" si="67"/>
        <v/>
      </c>
      <c r="T303" s="34" t="str">
        <f>IF(B303="","",C303&amp;"|"&amp;ROUND(S303,2)&amp;"|"&amp;COUNTIFS($C$4:C303,C303,$S$4:S303,S303))</f>
        <v/>
      </c>
      <c r="U303" s="34" t="str">
        <f t="shared" si="68"/>
        <v/>
      </c>
      <c r="V303" s="34" t="str">
        <f t="shared" si="69"/>
        <v/>
      </c>
      <c r="W303" s="34" t="str">
        <f t="shared" si="70"/>
        <v/>
      </c>
      <c r="X303" s="34">
        <f t="shared" si="71"/>
        <v>0</v>
      </c>
      <c r="Y303" s="34" t="str">
        <f t="shared" si="72"/>
        <v/>
      </c>
      <c r="Z303" s="34" t="str">
        <f>IF(X303=1,V303,IF(Y303="","",IF(COUNTIF(Y$3:Y302,Y303)=0,Y303,"")))</f>
        <v/>
      </c>
      <c r="AA303" s="34" t="b">
        <f t="shared" si="73"/>
        <v>0</v>
      </c>
      <c r="AB303" s="34">
        <f t="shared" si="74"/>
        <v>0</v>
      </c>
      <c r="AC303" s="34" t="str">
        <f>IF(AND(B303&lt;&gt;"",C303=CompteSel,N(B303)&lt;=DateArret,AB303=0),MAX($AC$3:AC302)+1,"")</f>
        <v/>
      </c>
      <c r="AD303" s="34" t="str">
        <f>IF(AND(ISNUMBER(M303),C303=CompteSel),MAX($AD$3:AD302)+1,"")</f>
        <v/>
      </c>
    </row>
    <row r="304" spans="1:30" x14ac:dyDescent="0.35">
      <c r="A304" s="1" t="str">
        <f t="shared" si="60"/>
        <v/>
      </c>
      <c r="B304" s="31"/>
      <c r="C304" s="8"/>
      <c r="D304" s="8"/>
      <c r="E304" s="8"/>
      <c r="F304" s="8"/>
      <c r="G304" s="8"/>
      <c r="H304" s="32"/>
      <c r="I304" s="32"/>
      <c r="J304" s="25" t="str">
        <f>IF(B304="","",IFERROR(VLOOKUP(C304,Soldes_Ouverture,2,FALSE()),0)+SUMIFS($S$4:S304,$C$4:C304,C304))</f>
        <v/>
      </c>
      <c r="K304" s="1" t="str">
        <f t="shared" si="61"/>
        <v/>
      </c>
      <c r="L304" s="1" t="str">
        <f t="shared" si="62"/>
        <v/>
      </c>
      <c r="M304" s="1" t="str">
        <f t="shared" si="63"/>
        <v/>
      </c>
      <c r="N304" s="8"/>
      <c r="O304" s="8"/>
      <c r="P304" s="1" t="str">
        <f t="shared" si="64"/>
        <v/>
      </c>
      <c r="Q304" s="25" t="str">
        <f t="shared" si="65"/>
        <v/>
      </c>
      <c r="R304" s="1" t="str">
        <f t="shared" si="66"/>
        <v/>
      </c>
      <c r="S304" s="33" t="str">
        <f t="shared" si="67"/>
        <v/>
      </c>
      <c r="T304" s="34" t="str">
        <f>IF(B304="","",C304&amp;"|"&amp;ROUND(S304,2)&amp;"|"&amp;COUNTIFS($C$4:C304,C304,$S$4:S304,S304))</f>
        <v/>
      </c>
      <c r="U304" s="34" t="str">
        <f t="shared" si="68"/>
        <v/>
      </c>
      <c r="V304" s="34" t="str">
        <f t="shared" si="69"/>
        <v/>
      </c>
      <c r="W304" s="34" t="str">
        <f t="shared" si="70"/>
        <v/>
      </c>
      <c r="X304" s="34">
        <f t="shared" si="71"/>
        <v>0</v>
      </c>
      <c r="Y304" s="34" t="str">
        <f t="shared" si="72"/>
        <v/>
      </c>
      <c r="Z304" s="34" t="str">
        <f>IF(X304=1,V304,IF(Y304="","",IF(COUNTIF(Y$3:Y303,Y304)=0,Y304,"")))</f>
        <v/>
      </c>
      <c r="AA304" s="34" t="b">
        <f t="shared" si="73"/>
        <v>0</v>
      </c>
      <c r="AB304" s="34">
        <f t="shared" si="74"/>
        <v>0</v>
      </c>
      <c r="AC304" s="34" t="str">
        <f>IF(AND(B304&lt;&gt;"",C304=CompteSel,N(B304)&lt;=DateArret,AB304=0),MAX($AC$3:AC303)+1,"")</f>
        <v/>
      </c>
      <c r="AD304" s="34" t="str">
        <f>IF(AND(ISNUMBER(M304),C304=CompteSel),MAX($AD$3:AD303)+1,"")</f>
        <v/>
      </c>
    </row>
    <row r="305" spans="1:30" x14ac:dyDescent="0.35">
      <c r="A305" s="1" t="str">
        <f t="shared" si="60"/>
        <v/>
      </c>
      <c r="B305" s="31"/>
      <c r="C305" s="8"/>
      <c r="D305" s="8"/>
      <c r="E305" s="8"/>
      <c r="F305" s="8"/>
      <c r="G305" s="8"/>
      <c r="H305" s="32"/>
      <c r="I305" s="32"/>
      <c r="J305" s="25" t="str">
        <f>IF(B305="","",IFERROR(VLOOKUP(C305,Soldes_Ouverture,2,FALSE()),0)+SUMIFS($S$4:S305,$C$4:C305,C305))</f>
        <v/>
      </c>
      <c r="K305" s="1" t="str">
        <f t="shared" si="61"/>
        <v/>
      </c>
      <c r="L305" s="1" t="str">
        <f t="shared" si="62"/>
        <v/>
      </c>
      <c r="M305" s="1" t="str">
        <f t="shared" si="63"/>
        <v/>
      </c>
      <c r="N305" s="8"/>
      <c r="O305" s="8"/>
      <c r="P305" s="1" t="str">
        <f t="shared" si="64"/>
        <v/>
      </c>
      <c r="Q305" s="25" t="str">
        <f t="shared" si="65"/>
        <v/>
      </c>
      <c r="R305" s="1" t="str">
        <f t="shared" si="66"/>
        <v/>
      </c>
      <c r="S305" s="33" t="str">
        <f t="shared" si="67"/>
        <v/>
      </c>
      <c r="T305" s="34" t="str">
        <f>IF(B305="","",C305&amp;"|"&amp;ROUND(S305,2)&amp;"|"&amp;COUNTIFS($C$4:C305,C305,$S$4:S305,S305))</f>
        <v/>
      </c>
      <c r="U305" s="34" t="str">
        <f t="shared" si="68"/>
        <v/>
      </c>
      <c r="V305" s="34" t="str">
        <f t="shared" si="69"/>
        <v/>
      </c>
      <c r="W305" s="34" t="str">
        <f t="shared" si="70"/>
        <v/>
      </c>
      <c r="X305" s="34">
        <f t="shared" si="71"/>
        <v>0</v>
      </c>
      <c r="Y305" s="34" t="str">
        <f t="shared" si="72"/>
        <v/>
      </c>
      <c r="Z305" s="34" t="str">
        <f>IF(X305=1,V305,IF(Y305="","",IF(COUNTIF(Y$3:Y304,Y305)=0,Y305,"")))</f>
        <v/>
      </c>
      <c r="AA305" s="34" t="b">
        <f t="shared" si="73"/>
        <v>0</v>
      </c>
      <c r="AB305" s="34">
        <f t="shared" si="74"/>
        <v>0</v>
      </c>
      <c r="AC305" s="34" t="str">
        <f>IF(AND(B305&lt;&gt;"",C305=CompteSel,N(B305)&lt;=DateArret,AB305=0),MAX($AC$3:AC304)+1,"")</f>
        <v/>
      </c>
      <c r="AD305" s="34" t="str">
        <f>IF(AND(ISNUMBER(M305),C305=CompteSel),MAX($AD$3:AD304)+1,"")</f>
        <v/>
      </c>
    </row>
    <row r="306" spans="1:30" x14ac:dyDescent="0.35">
      <c r="A306" s="1" t="str">
        <f t="shared" si="60"/>
        <v/>
      </c>
      <c r="B306" s="31"/>
      <c r="C306" s="8"/>
      <c r="D306" s="8"/>
      <c r="E306" s="8"/>
      <c r="F306" s="8"/>
      <c r="G306" s="8"/>
      <c r="H306" s="32"/>
      <c r="I306" s="32"/>
      <c r="J306" s="25" t="str">
        <f>IF(B306="","",IFERROR(VLOOKUP(C306,Soldes_Ouverture,2,FALSE()),0)+SUMIFS($S$4:S306,$C$4:C306,C306))</f>
        <v/>
      </c>
      <c r="K306" s="1" t="str">
        <f t="shared" si="61"/>
        <v/>
      </c>
      <c r="L306" s="1" t="str">
        <f t="shared" si="62"/>
        <v/>
      </c>
      <c r="M306" s="1" t="str">
        <f t="shared" si="63"/>
        <v/>
      </c>
      <c r="N306" s="8"/>
      <c r="O306" s="8"/>
      <c r="P306" s="1" t="str">
        <f t="shared" si="64"/>
        <v/>
      </c>
      <c r="Q306" s="25" t="str">
        <f t="shared" si="65"/>
        <v/>
      </c>
      <c r="R306" s="1" t="str">
        <f t="shared" si="66"/>
        <v/>
      </c>
      <c r="S306" s="33" t="str">
        <f t="shared" si="67"/>
        <v/>
      </c>
      <c r="T306" s="34" t="str">
        <f>IF(B306="","",C306&amp;"|"&amp;ROUND(S306,2)&amp;"|"&amp;COUNTIFS($C$4:C306,C306,$S$4:S306,S306))</f>
        <v/>
      </c>
      <c r="U306" s="34" t="str">
        <f t="shared" si="68"/>
        <v/>
      </c>
      <c r="V306" s="34" t="str">
        <f t="shared" si="69"/>
        <v/>
      </c>
      <c r="W306" s="34" t="str">
        <f t="shared" si="70"/>
        <v/>
      </c>
      <c r="X306" s="34">
        <f t="shared" si="71"/>
        <v>0</v>
      </c>
      <c r="Y306" s="34" t="str">
        <f t="shared" si="72"/>
        <v/>
      </c>
      <c r="Z306" s="34" t="str">
        <f>IF(X306=1,V306,IF(Y306="","",IF(COUNTIF(Y$3:Y305,Y306)=0,Y306,"")))</f>
        <v/>
      </c>
      <c r="AA306" s="34" t="b">
        <f t="shared" si="73"/>
        <v>0</v>
      </c>
      <c r="AB306" s="34">
        <f t="shared" si="74"/>
        <v>0</v>
      </c>
      <c r="AC306" s="34" t="str">
        <f>IF(AND(B306&lt;&gt;"",C306=CompteSel,N(B306)&lt;=DateArret,AB306=0),MAX($AC$3:AC305)+1,"")</f>
        <v/>
      </c>
      <c r="AD306" s="34" t="str">
        <f>IF(AND(ISNUMBER(M306),C306=CompteSel),MAX($AD$3:AD305)+1,"")</f>
        <v/>
      </c>
    </row>
    <row r="307" spans="1:30" x14ac:dyDescent="0.35">
      <c r="A307" s="1" t="str">
        <f t="shared" si="60"/>
        <v/>
      </c>
      <c r="B307" s="31"/>
      <c r="C307" s="8"/>
      <c r="D307" s="8"/>
      <c r="E307" s="8"/>
      <c r="F307" s="8"/>
      <c r="G307" s="8"/>
      <c r="H307" s="32"/>
      <c r="I307" s="32"/>
      <c r="J307" s="25" t="str">
        <f>IF(B307="","",IFERROR(VLOOKUP(C307,Soldes_Ouverture,2,FALSE()),0)+SUMIFS($S$4:S307,$C$4:C307,C307))</f>
        <v/>
      </c>
      <c r="K307" s="1" t="str">
        <f t="shared" si="61"/>
        <v/>
      </c>
      <c r="L307" s="1" t="str">
        <f t="shared" si="62"/>
        <v/>
      </c>
      <c r="M307" s="1" t="str">
        <f t="shared" si="63"/>
        <v/>
      </c>
      <c r="N307" s="8"/>
      <c r="O307" s="8"/>
      <c r="P307" s="1" t="str">
        <f t="shared" si="64"/>
        <v/>
      </c>
      <c r="Q307" s="25" t="str">
        <f t="shared" si="65"/>
        <v/>
      </c>
      <c r="R307" s="1" t="str">
        <f t="shared" si="66"/>
        <v/>
      </c>
      <c r="S307" s="33" t="str">
        <f t="shared" si="67"/>
        <v/>
      </c>
      <c r="T307" s="34" t="str">
        <f>IF(B307="","",C307&amp;"|"&amp;ROUND(S307,2)&amp;"|"&amp;COUNTIFS($C$4:C307,C307,$S$4:S307,S307))</f>
        <v/>
      </c>
      <c r="U307" s="34" t="str">
        <f t="shared" si="68"/>
        <v/>
      </c>
      <c r="V307" s="34" t="str">
        <f t="shared" si="69"/>
        <v/>
      </c>
      <c r="W307" s="34" t="str">
        <f t="shared" si="70"/>
        <v/>
      </c>
      <c r="X307" s="34">
        <f t="shared" si="71"/>
        <v>0</v>
      </c>
      <c r="Y307" s="34" t="str">
        <f t="shared" si="72"/>
        <v/>
      </c>
      <c r="Z307" s="34" t="str">
        <f>IF(X307=1,V307,IF(Y307="","",IF(COUNTIF(Y$3:Y306,Y307)=0,Y307,"")))</f>
        <v/>
      </c>
      <c r="AA307" s="34" t="b">
        <f t="shared" si="73"/>
        <v>0</v>
      </c>
      <c r="AB307" s="34">
        <f t="shared" si="74"/>
        <v>0</v>
      </c>
      <c r="AC307" s="34" t="str">
        <f>IF(AND(B307&lt;&gt;"",C307=CompteSel,N(B307)&lt;=DateArret,AB307=0),MAX($AC$3:AC306)+1,"")</f>
        <v/>
      </c>
      <c r="AD307" s="34" t="str">
        <f>IF(AND(ISNUMBER(M307),C307=CompteSel),MAX($AD$3:AD306)+1,"")</f>
        <v/>
      </c>
    </row>
    <row r="308" spans="1:30" x14ac:dyDescent="0.35">
      <c r="A308" s="1" t="str">
        <f t="shared" si="60"/>
        <v/>
      </c>
      <c r="B308" s="31"/>
      <c r="C308" s="8"/>
      <c r="D308" s="8"/>
      <c r="E308" s="8"/>
      <c r="F308" s="8"/>
      <c r="G308" s="8"/>
      <c r="H308" s="32"/>
      <c r="I308" s="32"/>
      <c r="J308" s="25" t="str">
        <f>IF(B308="","",IFERROR(VLOOKUP(C308,Soldes_Ouverture,2,FALSE()),0)+SUMIFS($S$4:S308,$C$4:C308,C308))</f>
        <v/>
      </c>
      <c r="K308" s="1" t="str">
        <f t="shared" si="61"/>
        <v/>
      </c>
      <c r="L308" s="1" t="str">
        <f t="shared" si="62"/>
        <v/>
      </c>
      <c r="M308" s="1" t="str">
        <f t="shared" si="63"/>
        <v/>
      </c>
      <c r="N308" s="8"/>
      <c r="O308" s="8"/>
      <c r="P308" s="1" t="str">
        <f t="shared" si="64"/>
        <v/>
      </c>
      <c r="Q308" s="25" t="str">
        <f t="shared" si="65"/>
        <v/>
      </c>
      <c r="R308" s="1" t="str">
        <f t="shared" si="66"/>
        <v/>
      </c>
      <c r="S308" s="33" t="str">
        <f t="shared" si="67"/>
        <v/>
      </c>
      <c r="T308" s="34" t="str">
        <f>IF(B308="","",C308&amp;"|"&amp;ROUND(S308,2)&amp;"|"&amp;COUNTIFS($C$4:C308,C308,$S$4:S308,S308))</f>
        <v/>
      </c>
      <c r="U308" s="34" t="str">
        <f t="shared" si="68"/>
        <v/>
      </c>
      <c r="V308" s="34" t="str">
        <f t="shared" si="69"/>
        <v/>
      </c>
      <c r="W308" s="34" t="str">
        <f t="shared" si="70"/>
        <v/>
      </c>
      <c r="X308" s="34">
        <f t="shared" si="71"/>
        <v>0</v>
      </c>
      <c r="Y308" s="34" t="str">
        <f t="shared" si="72"/>
        <v/>
      </c>
      <c r="Z308" s="34" t="str">
        <f>IF(X308=1,V308,IF(Y308="","",IF(COUNTIF(Y$3:Y307,Y308)=0,Y308,"")))</f>
        <v/>
      </c>
      <c r="AA308" s="34" t="b">
        <f t="shared" si="73"/>
        <v>0</v>
      </c>
      <c r="AB308" s="34">
        <f t="shared" si="74"/>
        <v>0</v>
      </c>
      <c r="AC308" s="34" t="str">
        <f>IF(AND(B308&lt;&gt;"",C308=CompteSel,N(B308)&lt;=DateArret,AB308=0),MAX($AC$3:AC307)+1,"")</f>
        <v/>
      </c>
      <c r="AD308" s="34" t="str">
        <f>IF(AND(ISNUMBER(M308),C308=CompteSel),MAX($AD$3:AD307)+1,"")</f>
        <v/>
      </c>
    </row>
    <row r="309" spans="1:30" x14ac:dyDescent="0.35">
      <c r="A309" s="1" t="str">
        <f t="shared" si="60"/>
        <v/>
      </c>
      <c r="B309" s="31"/>
      <c r="C309" s="8"/>
      <c r="D309" s="8"/>
      <c r="E309" s="8"/>
      <c r="F309" s="8"/>
      <c r="G309" s="8"/>
      <c r="H309" s="32"/>
      <c r="I309" s="32"/>
      <c r="J309" s="25" t="str">
        <f>IF(B309="","",IFERROR(VLOOKUP(C309,Soldes_Ouverture,2,FALSE()),0)+SUMIFS($S$4:S309,$C$4:C309,C309))</f>
        <v/>
      </c>
      <c r="K309" s="1" t="str">
        <f t="shared" si="61"/>
        <v/>
      </c>
      <c r="L309" s="1" t="str">
        <f t="shared" si="62"/>
        <v/>
      </c>
      <c r="M309" s="1" t="str">
        <f t="shared" si="63"/>
        <v/>
      </c>
      <c r="N309" s="8"/>
      <c r="O309" s="8"/>
      <c r="P309" s="1" t="str">
        <f t="shared" si="64"/>
        <v/>
      </c>
      <c r="Q309" s="25" t="str">
        <f t="shared" si="65"/>
        <v/>
      </c>
      <c r="R309" s="1" t="str">
        <f t="shared" si="66"/>
        <v/>
      </c>
      <c r="S309" s="33" t="str">
        <f t="shared" si="67"/>
        <v/>
      </c>
      <c r="T309" s="34" t="str">
        <f>IF(B309="","",C309&amp;"|"&amp;ROUND(S309,2)&amp;"|"&amp;COUNTIFS($C$4:C309,C309,$S$4:S309,S309))</f>
        <v/>
      </c>
      <c r="U309" s="34" t="str">
        <f t="shared" si="68"/>
        <v/>
      </c>
      <c r="V309" s="34" t="str">
        <f t="shared" si="69"/>
        <v/>
      </c>
      <c r="W309" s="34" t="str">
        <f t="shared" si="70"/>
        <v/>
      </c>
      <c r="X309" s="34">
        <f t="shared" si="71"/>
        <v>0</v>
      </c>
      <c r="Y309" s="34" t="str">
        <f t="shared" si="72"/>
        <v/>
      </c>
      <c r="Z309" s="34" t="str">
        <f>IF(X309=1,V309,IF(Y309="","",IF(COUNTIF(Y$3:Y308,Y309)=0,Y309,"")))</f>
        <v/>
      </c>
      <c r="AA309" s="34" t="b">
        <f t="shared" si="73"/>
        <v>0</v>
      </c>
      <c r="AB309" s="34">
        <f t="shared" si="74"/>
        <v>0</v>
      </c>
      <c r="AC309" s="34" t="str">
        <f>IF(AND(B309&lt;&gt;"",C309=CompteSel,N(B309)&lt;=DateArret,AB309=0),MAX($AC$3:AC308)+1,"")</f>
        <v/>
      </c>
      <c r="AD309" s="34" t="str">
        <f>IF(AND(ISNUMBER(M309),C309=CompteSel),MAX($AD$3:AD308)+1,"")</f>
        <v/>
      </c>
    </row>
    <row r="310" spans="1:30" x14ac:dyDescent="0.35">
      <c r="A310" s="1" t="str">
        <f t="shared" si="60"/>
        <v/>
      </c>
      <c r="B310" s="31"/>
      <c r="C310" s="8"/>
      <c r="D310" s="8"/>
      <c r="E310" s="8"/>
      <c r="F310" s="8"/>
      <c r="G310" s="8"/>
      <c r="H310" s="32"/>
      <c r="I310" s="32"/>
      <c r="J310" s="25" t="str">
        <f>IF(B310="","",IFERROR(VLOOKUP(C310,Soldes_Ouverture,2,FALSE()),0)+SUMIFS($S$4:S310,$C$4:C310,C310))</f>
        <v/>
      </c>
      <c r="K310" s="1" t="str">
        <f t="shared" si="61"/>
        <v/>
      </c>
      <c r="L310" s="1" t="str">
        <f t="shared" si="62"/>
        <v/>
      </c>
      <c r="M310" s="1" t="str">
        <f t="shared" si="63"/>
        <v/>
      </c>
      <c r="N310" s="8"/>
      <c r="O310" s="8"/>
      <c r="P310" s="1" t="str">
        <f t="shared" si="64"/>
        <v/>
      </c>
      <c r="Q310" s="25" t="str">
        <f t="shared" si="65"/>
        <v/>
      </c>
      <c r="R310" s="1" t="str">
        <f t="shared" si="66"/>
        <v/>
      </c>
      <c r="S310" s="33" t="str">
        <f t="shared" si="67"/>
        <v/>
      </c>
      <c r="T310" s="34" t="str">
        <f>IF(B310="","",C310&amp;"|"&amp;ROUND(S310,2)&amp;"|"&amp;COUNTIFS($C$4:C310,C310,$S$4:S310,S310))</f>
        <v/>
      </c>
      <c r="U310" s="34" t="str">
        <f t="shared" si="68"/>
        <v/>
      </c>
      <c r="V310" s="34" t="str">
        <f t="shared" si="69"/>
        <v/>
      </c>
      <c r="W310" s="34" t="str">
        <f t="shared" si="70"/>
        <v/>
      </c>
      <c r="X310" s="34">
        <f t="shared" si="71"/>
        <v>0</v>
      </c>
      <c r="Y310" s="34" t="str">
        <f t="shared" si="72"/>
        <v/>
      </c>
      <c r="Z310" s="34" t="str">
        <f>IF(X310=1,V310,IF(Y310="","",IF(COUNTIF(Y$3:Y309,Y310)=0,Y310,"")))</f>
        <v/>
      </c>
      <c r="AA310" s="34" t="b">
        <f t="shared" si="73"/>
        <v>0</v>
      </c>
      <c r="AB310" s="34">
        <f t="shared" si="74"/>
        <v>0</v>
      </c>
      <c r="AC310" s="34" t="str">
        <f>IF(AND(B310&lt;&gt;"",C310=CompteSel,N(B310)&lt;=DateArret,AB310=0),MAX($AC$3:AC309)+1,"")</f>
        <v/>
      </c>
      <c r="AD310" s="34" t="str">
        <f>IF(AND(ISNUMBER(M310),C310=CompteSel),MAX($AD$3:AD309)+1,"")</f>
        <v/>
      </c>
    </row>
    <row r="311" spans="1:30" x14ac:dyDescent="0.35">
      <c r="A311" s="1" t="str">
        <f t="shared" si="60"/>
        <v/>
      </c>
      <c r="B311" s="31"/>
      <c r="C311" s="8"/>
      <c r="D311" s="8"/>
      <c r="E311" s="8"/>
      <c r="F311" s="8"/>
      <c r="G311" s="8"/>
      <c r="H311" s="32"/>
      <c r="I311" s="32"/>
      <c r="J311" s="25" t="str">
        <f>IF(B311="","",IFERROR(VLOOKUP(C311,Soldes_Ouverture,2,FALSE()),0)+SUMIFS($S$4:S311,$C$4:C311,C311))</f>
        <v/>
      </c>
      <c r="K311" s="1" t="str">
        <f t="shared" si="61"/>
        <v/>
      </c>
      <c r="L311" s="1" t="str">
        <f t="shared" si="62"/>
        <v/>
      </c>
      <c r="M311" s="1" t="str">
        <f t="shared" si="63"/>
        <v/>
      </c>
      <c r="N311" s="8"/>
      <c r="O311" s="8"/>
      <c r="P311" s="1" t="str">
        <f t="shared" si="64"/>
        <v/>
      </c>
      <c r="Q311" s="25" t="str">
        <f t="shared" si="65"/>
        <v/>
      </c>
      <c r="R311" s="1" t="str">
        <f t="shared" si="66"/>
        <v/>
      </c>
      <c r="S311" s="33" t="str">
        <f t="shared" si="67"/>
        <v/>
      </c>
      <c r="T311" s="34" t="str">
        <f>IF(B311="","",C311&amp;"|"&amp;ROUND(S311,2)&amp;"|"&amp;COUNTIFS($C$4:C311,C311,$S$4:S311,S311))</f>
        <v/>
      </c>
      <c r="U311" s="34" t="str">
        <f t="shared" si="68"/>
        <v/>
      </c>
      <c r="V311" s="34" t="str">
        <f t="shared" si="69"/>
        <v/>
      </c>
      <c r="W311" s="34" t="str">
        <f t="shared" si="70"/>
        <v/>
      </c>
      <c r="X311" s="34">
        <f t="shared" si="71"/>
        <v>0</v>
      </c>
      <c r="Y311" s="34" t="str">
        <f t="shared" si="72"/>
        <v/>
      </c>
      <c r="Z311" s="34" t="str">
        <f>IF(X311=1,V311,IF(Y311="","",IF(COUNTIF(Y$3:Y310,Y311)=0,Y311,"")))</f>
        <v/>
      </c>
      <c r="AA311" s="34" t="b">
        <f t="shared" si="73"/>
        <v>0</v>
      </c>
      <c r="AB311" s="34">
        <f t="shared" si="74"/>
        <v>0</v>
      </c>
      <c r="AC311" s="34" t="str">
        <f>IF(AND(B311&lt;&gt;"",C311=CompteSel,N(B311)&lt;=DateArret,AB311=0),MAX($AC$3:AC310)+1,"")</f>
        <v/>
      </c>
      <c r="AD311" s="34" t="str">
        <f>IF(AND(ISNUMBER(M311),C311=CompteSel),MAX($AD$3:AD310)+1,"")</f>
        <v/>
      </c>
    </row>
    <row r="312" spans="1:30" x14ac:dyDescent="0.35">
      <c r="A312" s="1" t="str">
        <f t="shared" si="60"/>
        <v/>
      </c>
      <c r="B312" s="31"/>
      <c r="C312" s="8"/>
      <c r="D312" s="8"/>
      <c r="E312" s="8"/>
      <c r="F312" s="8"/>
      <c r="G312" s="8"/>
      <c r="H312" s="32"/>
      <c r="I312" s="32"/>
      <c r="J312" s="25" t="str">
        <f>IF(B312="","",IFERROR(VLOOKUP(C312,Soldes_Ouverture,2,FALSE()),0)+SUMIFS($S$4:S312,$C$4:C312,C312))</f>
        <v/>
      </c>
      <c r="K312" s="1" t="str">
        <f t="shared" si="61"/>
        <v/>
      </c>
      <c r="L312" s="1" t="str">
        <f t="shared" si="62"/>
        <v/>
      </c>
      <c r="M312" s="1" t="str">
        <f t="shared" si="63"/>
        <v/>
      </c>
      <c r="N312" s="8"/>
      <c r="O312" s="8"/>
      <c r="P312" s="1" t="str">
        <f t="shared" si="64"/>
        <v/>
      </c>
      <c r="Q312" s="25" t="str">
        <f t="shared" si="65"/>
        <v/>
      </c>
      <c r="R312" s="1" t="str">
        <f t="shared" si="66"/>
        <v/>
      </c>
      <c r="S312" s="33" t="str">
        <f t="shared" si="67"/>
        <v/>
      </c>
      <c r="T312" s="34" t="str">
        <f>IF(B312="","",C312&amp;"|"&amp;ROUND(S312,2)&amp;"|"&amp;COUNTIFS($C$4:C312,C312,$S$4:S312,S312))</f>
        <v/>
      </c>
      <c r="U312" s="34" t="str">
        <f t="shared" si="68"/>
        <v/>
      </c>
      <c r="V312" s="34" t="str">
        <f t="shared" si="69"/>
        <v/>
      </c>
      <c r="W312" s="34" t="str">
        <f t="shared" si="70"/>
        <v/>
      </c>
      <c r="X312" s="34">
        <f t="shared" si="71"/>
        <v>0</v>
      </c>
      <c r="Y312" s="34" t="str">
        <f t="shared" si="72"/>
        <v/>
      </c>
      <c r="Z312" s="34" t="str">
        <f>IF(X312=1,V312,IF(Y312="","",IF(COUNTIF(Y$3:Y311,Y312)=0,Y312,"")))</f>
        <v/>
      </c>
      <c r="AA312" s="34" t="b">
        <f t="shared" si="73"/>
        <v>0</v>
      </c>
      <c r="AB312" s="34">
        <f t="shared" si="74"/>
        <v>0</v>
      </c>
      <c r="AC312" s="34" t="str">
        <f>IF(AND(B312&lt;&gt;"",C312=CompteSel,N(B312)&lt;=DateArret,AB312=0),MAX($AC$3:AC311)+1,"")</f>
        <v/>
      </c>
      <c r="AD312" s="34" t="str">
        <f>IF(AND(ISNUMBER(M312),C312=CompteSel),MAX($AD$3:AD311)+1,"")</f>
        <v/>
      </c>
    </row>
    <row r="313" spans="1:30" x14ac:dyDescent="0.35">
      <c r="A313" s="1" t="str">
        <f t="shared" si="60"/>
        <v/>
      </c>
      <c r="B313" s="31"/>
      <c r="C313" s="8"/>
      <c r="D313" s="8"/>
      <c r="E313" s="8"/>
      <c r="F313" s="8"/>
      <c r="G313" s="8"/>
      <c r="H313" s="32"/>
      <c r="I313" s="32"/>
      <c r="J313" s="25" t="str">
        <f>IF(B313="","",IFERROR(VLOOKUP(C313,Soldes_Ouverture,2,FALSE()),0)+SUMIFS($S$4:S313,$C$4:C313,C313))</f>
        <v/>
      </c>
      <c r="K313" s="1" t="str">
        <f t="shared" si="61"/>
        <v/>
      </c>
      <c r="L313" s="1" t="str">
        <f t="shared" si="62"/>
        <v/>
      </c>
      <c r="M313" s="1" t="str">
        <f t="shared" si="63"/>
        <v/>
      </c>
      <c r="N313" s="8"/>
      <c r="O313" s="8"/>
      <c r="P313" s="1" t="str">
        <f t="shared" si="64"/>
        <v/>
      </c>
      <c r="Q313" s="25" t="str">
        <f t="shared" si="65"/>
        <v/>
      </c>
      <c r="R313" s="1" t="str">
        <f t="shared" si="66"/>
        <v/>
      </c>
      <c r="S313" s="33" t="str">
        <f t="shared" si="67"/>
        <v/>
      </c>
      <c r="T313" s="34" t="str">
        <f>IF(B313="","",C313&amp;"|"&amp;ROUND(S313,2)&amp;"|"&amp;COUNTIFS($C$4:C313,C313,$S$4:S313,S313))</f>
        <v/>
      </c>
      <c r="U313" s="34" t="str">
        <f t="shared" si="68"/>
        <v/>
      </c>
      <c r="V313" s="34" t="str">
        <f t="shared" si="69"/>
        <v/>
      </c>
      <c r="W313" s="34" t="str">
        <f t="shared" si="70"/>
        <v/>
      </c>
      <c r="X313" s="34">
        <f t="shared" si="71"/>
        <v>0</v>
      </c>
      <c r="Y313" s="34" t="str">
        <f t="shared" si="72"/>
        <v/>
      </c>
      <c r="Z313" s="34" t="str">
        <f>IF(X313=1,V313,IF(Y313="","",IF(COUNTIF(Y$3:Y312,Y313)=0,Y313,"")))</f>
        <v/>
      </c>
      <c r="AA313" s="34" t="b">
        <f t="shared" si="73"/>
        <v>0</v>
      </c>
      <c r="AB313" s="34">
        <f t="shared" si="74"/>
        <v>0</v>
      </c>
      <c r="AC313" s="34" t="str">
        <f>IF(AND(B313&lt;&gt;"",C313=CompteSel,N(B313)&lt;=DateArret,AB313=0),MAX($AC$3:AC312)+1,"")</f>
        <v/>
      </c>
      <c r="AD313" s="34" t="str">
        <f>IF(AND(ISNUMBER(M313),C313=CompteSel),MAX($AD$3:AD312)+1,"")</f>
        <v/>
      </c>
    </row>
    <row r="314" spans="1:30" x14ac:dyDescent="0.35">
      <c r="A314" s="1" t="str">
        <f t="shared" si="60"/>
        <v/>
      </c>
      <c r="B314" s="31"/>
      <c r="C314" s="8"/>
      <c r="D314" s="8"/>
      <c r="E314" s="8"/>
      <c r="F314" s="8"/>
      <c r="G314" s="8"/>
      <c r="H314" s="32"/>
      <c r="I314" s="32"/>
      <c r="J314" s="25" t="str">
        <f>IF(B314="","",IFERROR(VLOOKUP(C314,Soldes_Ouverture,2,FALSE()),0)+SUMIFS($S$4:S314,$C$4:C314,C314))</f>
        <v/>
      </c>
      <c r="K314" s="1" t="str">
        <f t="shared" si="61"/>
        <v/>
      </c>
      <c r="L314" s="1" t="str">
        <f t="shared" si="62"/>
        <v/>
      </c>
      <c r="M314" s="1" t="str">
        <f t="shared" si="63"/>
        <v/>
      </c>
      <c r="N314" s="8"/>
      <c r="O314" s="8"/>
      <c r="P314" s="1" t="str">
        <f t="shared" si="64"/>
        <v/>
      </c>
      <c r="Q314" s="25" t="str">
        <f t="shared" si="65"/>
        <v/>
      </c>
      <c r="R314" s="1" t="str">
        <f t="shared" si="66"/>
        <v/>
      </c>
      <c r="S314" s="33" t="str">
        <f t="shared" si="67"/>
        <v/>
      </c>
      <c r="T314" s="34" t="str">
        <f>IF(B314="","",C314&amp;"|"&amp;ROUND(S314,2)&amp;"|"&amp;COUNTIFS($C$4:C314,C314,$S$4:S314,S314))</f>
        <v/>
      </c>
      <c r="U314" s="34" t="str">
        <f t="shared" si="68"/>
        <v/>
      </c>
      <c r="V314" s="34" t="str">
        <f t="shared" si="69"/>
        <v/>
      </c>
      <c r="W314" s="34" t="str">
        <f t="shared" si="70"/>
        <v/>
      </c>
      <c r="X314" s="34">
        <f t="shared" si="71"/>
        <v>0</v>
      </c>
      <c r="Y314" s="34" t="str">
        <f t="shared" si="72"/>
        <v/>
      </c>
      <c r="Z314" s="34" t="str">
        <f>IF(X314=1,V314,IF(Y314="","",IF(COUNTIF(Y$3:Y313,Y314)=0,Y314,"")))</f>
        <v/>
      </c>
      <c r="AA314" s="34" t="b">
        <f t="shared" si="73"/>
        <v>0</v>
      </c>
      <c r="AB314" s="34">
        <f t="shared" si="74"/>
        <v>0</v>
      </c>
      <c r="AC314" s="34" t="str">
        <f>IF(AND(B314&lt;&gt;"",C314=CompteSel,N(B314)&lt;=DateArret,AB314=0),MAX($AC$3:AC313)+1,"")</f>
        <v/>
      </c>
      <c r="AD314" s="34" t="str">
        <f>IF(AND(ISNUMBER(M314),C314=CompteSel),MAX($AD$3:AD313)+1,"")</f>
        <v/>
      </c>
    </row>
    <row r="315" spans="1:30" x14ac:dyDescent="0.35">
      <c r="A315" s="1" t="str">
        <f t="shared" si="60"/>
        <v/>
      </c>
      <c r="B315" s="31"/>
      <c r="C315" s="8"/>
      <c r="D315" s="8"/>
      <c r="E315" s="8"/>
      <c r="F315" s="8"/>
      <c r="G315" s="8"/>
      <c r="H315" s="32"/>
      <c r="I315" s="32"/>
      <c r="J315" s="25" t="str">
        <f>IF(B315="","",IFERROR(VLOOKUP(C315,Soldes_Ouverture,2,FALSE()),0)+SUMIFS($S$4:S315,$C$4:C315,C315))</f>
        <v/>
      </c>
      <c r="K315" s="1" t="str">
        <f t="shared" si="61"/>
        <v/>
      </c>
      <c r="L315" s="1" t="str">
        <f t="shared" si="62"/>
        <v/>
      </c>
      <c r="M315" s="1" t="str">
        <f t="shared" si="63"/>
        <v/>
      </c>
      <c r="N315" s="8"/>
      <c r="O315" s="8"/>
      <c r="P315" s="1" t="str">
        <f t="shared" si="64"/>
        <v/>
      </c>
      <c r="Q315" s="25" t="str">
        <f t="shared" si="65"/>
        <v/>
      </c>
      <c r="R315" s="1" t="str">
        <f t="shared" si="66"/>
        <v/>
      </c>
      <c r="S315" s="33" t="str">
        <f t="shared" si="67"/>
        <v/>
      </c>
      <c r="T315" s="34" t="str">
        <f>IF(B315="","",C315&amp;"|"&amp;ROUND(S315,2)&amp;"|"&amp;COUNTIFS($C$4:C315,C315,$S$4:S315,S315))</f>
        <v/>
      </c>
      <c r="U315" s="34" t="str">
        <f t="shared" si="68"/>
        <v/>
      </c>
      <c r="V315" s="34" t="str">
        <f t="shared" si="69"/>
        <v/>
      </c>
      <c r="W315" s="34" t="str">
        <f t="shared" si="70"/>
        <v/>
      </c>
      <c r="X315" s="34">
        <f t="shared" si="71"/>
        <v>0</v>
      </c>
      <c r="Y315" s="34" t="str">
        <f t="shared" si="72"/>
        <v/>
      </c>
      <c r="Z315" s="34" t="str">
        <f>IF(X315=1,V315,IF(Y315="","",IF(COUNTIF(Y$3:Y314,Y315)=0,Y315,"")))</f>
        <v/>
      </c>
      <c r="AA315" s="34" t="b">
        <f t="shared" si="73"/>
        <v>0</v>
      </c>
      <c r="AB315" s="34">
        <f t="shared" si="74"/>
        <v>0</v>
      </c>
      <c r="AC315" s="34" t="str">
        <f>IF(AND(B315&lt;&gt;"",C315=CompteSel,N(B315)&lt;=DateArret,AB315=0),MAX($AC$3:AC314)+1,"")</f>
        <v/>
      </c>
      <c r="AD315" s="34" t="str">
        <f>IF(AND(ISNUMBER(M315),C315=CompteSel),MAX($AD$3:AD314)+1,"")</f>
        <v/>
      </c>
    </row>
    <row r="316" spans="1:30" x14ac:dyDescent="0.35">
      <c r="A316" s="1" t="str">
        <f t="shared" si="60"/>
        <v/>
      </c>
      <c r="B316" s="31"/>
      <c r="C316" s="8"/>
      <c r="D316" s="8"/>
      <c r="E316" s="8"/>
      <c r="F316" s="8"/>
      <c r="G316" s="8"/>
      <c r="H316" s="32"/>
      <c r="I316" s="32"/>
      <c r="J316" s="25" t="str">
        <f>IF(B316="","",IFERROR(VLOOKUP(C316,Soldes_Ouverture,2,FALSE()),0)+SUMIFS($S$4:S316,$C$4:C316,C316))</f>
        <v/>
      </c>
      <c r="K316" s="1" t="str">
        <f t="shared" si="61"/>
        <v/>
      </c>
      <c r="L316" s="1" t="str">
        <f t="shared" si="62"/>
        <v/>
      </c>
      <c r="M316" s="1" t="str">
        <f t="shared" si="63"/>
        <v/>
      </c>
      <c r="N316" s="8"/>
      <c r="O316" s="8"/>
      <c r="P316" s="1" t="str">
        <f t="shared" si="64"/>
        <v/>
      </c>
      <c r="Q316" s="25" t="str">
        <f t="shared" si="65"/>
        <v/>
      </c>
      <c r="R316" s="1" t="str">
        <f t="shared" si="66"/>
        <v/>
      </c>
      <c r="S316" s="33" t="str">
        <f t="shared" si="67"/>
        <v/>
      </c>
      <c r="T316" s="34" t="str">
        <f>IF(B316="","",C316&amp;"|"&amp;ROUND(S316,2)&amp;"|"&amp;COUNTIFS($C$4:C316,C316,$S$4:S316,S316))</f>
        <v/>
      </c>
      <c r="U316" s="34" t="str">
        <f t="shared" si="68"/>
        <v/>
      </c>
      <c r="V316" s="34" t="str">
        <f t="shared" si="69"/>
        <v/>
      </c>
      <c r="W316" s="34" t="str">
        <f t="shared" si="70"/>
        <v/>
      </c>
      <c r="X316" s="34">
        <f t="shared" si="71"/>
        <v>0</v>
      </c>
      <c r="Y316" s="34" t="str">
        <f t="shared" si="72"/>
        <v/>
      </c>
      <c r="Z316" s="34" t="str">
        <f>IF(X316=1,V316,IF(Y316="","",IF(COUNTIF(Y$3:Y315,Y316)=0,Y316,"")))</f>
        <v/>
      </c>
      <c r="AA316" s="34" t="b">
        <f t="shared" si="73"/>
        <v>0</v>
      </c>
      <c r="AB316" s="34">
        <f t="shared" si="74"/>
        <v>0</v>
      </c>
      <c r="AC316" s="34" t="str">
        <f>IF(AND(B316&lt;&gt;"",C316=CompteSel,N(B316)&lt;=DateArret,AB316=0),MAX($AC$3:AC315)+1,"")</f>
        <v/>
      </c>
      <c r="AD316" s="34" t="str">
        <f>IF(AND(ISNUMBER(M316),C316=CompteSel),MAX($AD$3:AD315)+1,"")</f>
        <v/>
      </c>
    </row>
    <row r="317" spans="1:30" x14ac:dyDescent="0.35">
      <c r="A317" s="1" t="str">
        <f t="shared" si="60"/>
        <v/>
      </c>
      <c r="B317" s="31"/>
      <c r="C317" s="8"/>
      <c r="D317" s="8"/>
      <c r="E317" s="8"/>
      <c r="F317" s="8"/>
      <c r="G317" s="8"/>
      <c r="H317" s="32"/>
      <c r="I317" s="32"/>
      <c r="J317" s="25" t="str">
        <f>IF(B317="","",IFERROR(VLOOKUP(C317,Soldes_Ouverture,2,FALSE()),0)+SUMIFS($S$4:S317,$C$4:C317,C317))</f>
        <v/>
      </c>
      <c r="K317" s="1" t="str">
        <f t="shared" si="61"/>
        <v/>
      </c>
      <c r="L317" s="1" t="str">
        <f t="shared" si="62"/>
        <v/>
      </c>
      <c r="M317" s="1" t="str">
        <f t="shared" si="63"/>
        <v/>
      </c>
      <c r="N317" s="8"/>
      <c r="O317" s="8"/>
      <c r="P317" s="1" t="str">
        <f t="shared" si="64"/>
        <v/>
      </c>
      <c r="Q317" s="25" t="str">
        <f t="shared" si="65"/>
        <v/>
      </c>
      <c r="R317" s="1" t="str">
        <f t="shared" si="66"/>
        <v/>
      </c>
      <c r="S317" s="33" t="str">
        <f t="shared" si="67"/>
        <v/>
      </c>
      <c r="T317" s="34" t="str">
        <f>IF(B317="","",C317&amp;"|"&amp;ROUND(S317,2)&amp;"|"&amp;COUNTIFS($C$4:C317,C317,$S$4:S317,S317))</f>
        <v/>
      </c>
      <c r="U317" s="34" t="str">
        <f t="shared" si="68"/>
        <v/>
      </c>
      <c r="V317" s="34" t="str">
        <f t="shared" si="69"/>
        <v/>
      </c>
      <c r="W317" s="34" t="str">
        <f t="shared" si="70"/>
        <v/>
      </c>
      <c r="X317" s="34">
        <f t="shared" si="71"/>
        <v>0</v>
      </c>
      <c r="Y317" s="34" t="str">
        <f t="shared" si="72"/>
        <v/>
      </c>
      <c r="Z317" s="34" t="str">
        <f>IF(X317=1,V317,IF(Y317="","",IF(COUNTIF(Y$3:Y316,Y317)=0,Y317,"")))</f>
        <v/>
      </c>
      <c r="AA317" s="34" t="b">
        <f t="shared" si="73"/>
        <v>0</v>
      </c>
      <c r="AB317" s="34">
        <f t="shared" si="74"/>
        <v>0</v>
      </c>
      <c r="AC317" s="34" t="str">
        <f>IF(AND(B317&lt;&gt;"",C317=CompteSel,N(B317)&lt;=DateArret,AB317=0),MAX($AC$3:AC316)+1,"")</f>
        <v/>
      </c>
      <c r="AD317" s="34" t="str">
        <f>IF(AND(ISNUMBER(M317),C317=CompteSel),MAX($AD$3:AD316)+1,"")</f>
        <v/>
      </c>
    </row>
    <row r="318" spans="1:30" x14ac:dyDescent="0.35">
      <c r="A318" s="1" t="str">
        <f t="shared" si="60"/>
        <v/>
      </c>
      <c r="B318" s="31"/>
      <c r="C318" s="8"/>
      <c r="D318" s="8"/>
      <c r="E318" s="8"/>
      <c r="F318" s="8"/>
      <c r="G318" s="8"/>
      <c r="H318" s="32"/>
      <c r="I318" s="32"/>
      <c r="J318" s="25" t="str">
        <f>IF(B318="","",IFERROR(VLOOKUP(C318,Soldes_Ouverture,2,FALSE()),0)+SUMIFS($S$4:S318,$C$4:C318,C318))</f>
        <v/>
      </c>
      <c r="K318" s="1" t="str">
        <f t="shared" si="61"/>
        <v/>
      </c>
      <c r="L318" s="1" t="str">
        <f t="shared" si="62"/>
        <v/>
      </c>
      <c r="M318" s="1" t="str">
        <f t="shared" si="63"/>
        <v/>
      </c>
      <c r="N318" s="8"/>
      <c r="O318" s="8"/>
      <c r="P318" s="1" t="str">
        <f t="shared" si="64"/>
        <v/>
      </c>
      <c r="Q318" s="25" t="str">
        <f t="shared" si="65"/>
        <v/>
      </c>
      <c r="R318" s="1" t="str">
        <f t="shared" si="66"/>
        <v/>
      </c>
      <c r="S318" s="33" t="str">
        <f t="shared" si="67"/>
        <v/>
      </c>
      <c r="T318" s="34" t="str">
        <f>IF(B318="","",C318&amp;"|"&amp;ROUND(S318,2)&amp;"|"&amp;COUNTIFS($C$4:C318,C318,$S$4:S318,S318))</f>
        <v/>
      </c>
      <c r="U318" s="34" t="str">
        <f t="shared" si="68"/>
        <v/>
      </c>
      <c r="V318" s="34" t="str">
        <f t="shared" si="69"/>
        <v/>
      </c>
      <c r="W318" s="34" t="str">
        <f t="shared" si="70"/>
        <v/>
      </c>
      <c r="X318" s="34">
        <f t="shared" si="71"/>
        <v>0</v>
      </c>
      <c r="Y318" s="34" t="str">
        <f t="shared" si="72"/>
        <v/>
      </c>
      <c r="Z318" s="34" t="str">
        <f>IF(X318=1,V318,IF(Y318="","",IF(COUNTIF(Y$3:Y317,Y318)=0,Y318,"")))</f>
        <v/>
      </c>
      <c r="AA318" s="34" t="b">
        <f t="shared" si="73"/>
        <v>0</v>
      </c>
      <c r="AB318" s="34">
        <f t="shared" si="74"/>
        <v>0</v>
      </c>
      <c r="AC318" s="34" t="str">
        <f>IF(AND(B318&lt;&gt;"",C318=CompteSel,N(B318)&lt;=DateArret,AB318=0),MAX($AC$3:AC317)+1,"")</f>
        <v/>
      </c>
      <c r="AD318" s="34" t="str">
        <f>IF(AND(ISNUMBER(M318),C318=CompteSel),MAX($AD$3:AD317)+1,"")</f>
        <v/>
      </c>
    </row>
    <row r="319" spans="1:30" x14ac:dyDescent="0.35">
      <c r="A319" s="1" t="str">
        <f t="shared" si="60"/>
        <v/>
      </c>
      <c r="B319" s="31"/>
      <c r="C319" s="8"/>
      <c r="D319" s="8"/>
      <c r="E319" s="8"/>
      <c r="F319" s="8"/>
      <c r="G319" s="8"/>
      <c r="H319" s="32"/>
      <c r="I319" s="32"/>
      <c r="J319" s="25" t="str">
        <f>IF(B319="","",IFERROR(VLOOKUP(C319,Soldes_Ouverture,2,FALSE()),0)+SUMIFS($S$4:S319,$C$4:C319,C319))</f>
        <v/>
      </c>
      <c r="K319" s="1" t="str">
        <f t="shared" si="61"/>
        <v/>
      </c>
      <c r="L319" s="1" t="str">
        <f t="shared" si="62"/>
        <v/>
      </c>
      <c r="M319" s="1" t="str">
        <f t="shared" si="63"/>
        <v/>
      </c>
      <c r="N319" s="8"/>
      <c r="O319" s="8"/>
      <c r="P319" s="1" t="str">
        <f t="shared" si="64"/>
        <v/>
      </c>
      <c r="Q319" s="25" t="str">
        <f t="shared" si="65"/>
        <v/>
      </c>
      <c r="R319" s="1" t="str">
        <f t="shared" si="66"/>
        <v/>
      </c>
      <c r="S319" s="33" t="str">
        <f t="shared" si="67"/>
        <v/>
      </c>
      <c r="T319" s="34" t="str">
        <f>IF(B319="","",C319&amp;"|"&amp;ROUND(S319,2)&amp;"|"&amp;COUNTIFS($C$4:C319,C319,$S$4:S319,S319))</f>
        <v/>
      </c>
      <c r="U319" s="34" t="str">
        <f t="shared" si="68"/>
        <v/>
      </c>
      <c r="V319" s="34" t="str">
        <f t="shared" si="69"/>
        <v/>
      </c>
      <c r="W319" s="34" t="str">
        <f t="shared" si="70"/>
        <v/>
      </c>
      <c r="X319" s="34">
        <f t="shared" si="71"/>
        <v>0</v>
      </c>
      <c r="Y319" s="34" t="str">
        <f t="shared" si="72"/>
        <v/>
      </c>
      <c r="Z319" s="34" t="str">
        <f>IF(X319=1,V319,IF(Y319="","",IF(COUNTIF(Y$3:Y318,Y319)=0,Y319,"")))</f>
        <v/>
      </c>
      <c r="AA319" s="34" t="b">
        <f t="shared" si="73"/>
        <v>0</v>
      </c>
      <c r="AB319" s="34">
        <f t="shared" si="74"/>
        <v>0</v>
      </c>
      <c r="AC319" s="34" t="str">
        <f>IF(AND(B319&lt;&gt;"",C319=CompteSel,N(B319)&lt;=DateArret,AB319=0),MAX($AC$3:AC318)+1,"")</f>
        <v/>
      </c>
      <c r="AD319" s="34" t="str">
        <f>IF(AND(ISNUMBER(M319),C319=CompteSel),MAX($AD$3:AD318)+1,"")</f>
        <v/>
      </c>
    </row>
    <row r="320" spans="1:30" x14ac:dyDescent="0.35">
      <c r="A320" s="1" t="str">
        <f t="shared" si="60"/>
        <v/>
      </c>
      <c r="B320" s="31"/>
      <c r="C320" s="8"/>
      <c r="D320" s="8"/>
      <c r="E320" s="8"/>
      <c r="F320" s="8"/>
      <c r="G320" s="8"/>
      <c r="H320" s="32"/>
      <c r="I320" s="32"/>
      <c r="J320" s="25" t="str">
        <f>IF(B320="","",IFERROR(VLOOKUP(C320,Soldes_Ouverture,2,FALSE()),0)+SUMIFS($S$4:S320,$C$4:C320,C320))</f>
        <v/>
      </c>
      <c r="K320" s="1" t="str">
        <f t="shared" si="61"/>
        <v/>
      </c>
      <c r="L320" s="1" t="str">
        <f t="shared" si="62"/>
        <v/>
      </c>
      <c r="M320" s="1" t="str">
        <f t="shared" si="63"/>
        <v/>
      </c>
      <c r="N320" s="8"/>
      <c r="O320" s="8"/>
      <c r="P320" s="1" t="str">
        <f t="shared" si="64"/>
        <v/>
      </c>
      <c r="Q320" s="25" t="str">
        <f t="shared" si="65"/>
        <v/>
      </c>
      <c r="R320" s="1" t="str">
        <f t="shared" si="66"/>
        <v/>
      </c>
      <c r="S320" s="33" t="str">
        <f t="shared" si="67"/>
        <v/>
      </c>
      <c r="T320" s="34" t="str">
        <f>IF(B320="","",C320&amp;"|"&amp;ROUND(S320,2)&amp;"|"&amp;COUNTIFS($C$4:C320,C320,$S$4:S320,S320))</f>
        <v/>
      </c>
      <c r="U320" s="34" t="str">
        <f t="shared" si="68"/>
        <v/>
      </c>
      <c r="V320" s="34" t="str">
        <f t="shared" si="69"/>
        <v/>
      </c>
      <c r="W320" s="34" t="str">
        <f t="shared" si="70"/>
        <v/>
      </c>
      <c r="X320" s="34">
        <f t="shared" si="71"/>
        <v>0</v>
      </c>
      <c r="Y320" s="34" t="str">
        <f t="shared" si="72"/>
        <v/>
      </c>
      <c r="Z320" s="34" t="str">
        <f>IF(X320=1,V320,IF(Y320="","",IF(COUNTIF(Y$3:Y319,Y320)=0,Y320,"")))</f>
        <v/>
      </c>
      <c r="AA320" s="34" t="b">
        <f t="shared" si="73"/>
        <v>0</v>
      </c>
      <c r="AB320" s="34">
        <f t="shared" si="74"/>
        <v>0</v>
      </c>
      <c r="AC320" s="34" t="str">
        <f>IF(AND(B320&lt;&gt;"",C320=CompteSel,N(B320)&lt;=DateArret,AB320=0),MAX($AC$3:AC319)+1,"")</f>
        <v/>
      </c>
      <c r="AD320" s="34" t="str">
        <f>IF(AND(ISNUMBER(M320),C320=CompteSel),MAX($AD$3:AD319)+1,"")</f>
        <v/>
      </c>
    </row>
    <row r="321" spans="1:30" x14ac:dyDescent="0.35">
      <c r="A321" s="1" t="str">
        <f t="shared" si="60"/>
        <v/>
      </c>
      <c r="B321" s="31"/>
      <c r="C321" s="8"/>
      <c r="D321" s="8"/>
      <c r="E321" s="8"/>
      <c r="F321" s="8"/>
      <c r="G321" s="8"/>
      <c r="H321" s="32"/>
      <c r="I321" s="32"/>
      <c r="J321" s="25" t="str">
        <f>IF(B321="","",IFERROR(VLOOKUP(C321,Soldes_Ouverture,2,FALSE()),0)+SUMIFS($S$4:S321,$C$4:C321,C321))</f>
        <v/>
      </c>
      <c r="K321" s="1" t="str">
        <f t="shared" si="61"/>
        <v/>
      </c>
      <c r="L321" s="1" t="str">
        <f t="shared" si="62"/>
        <v/>
      </c>
      <c r="M321" s="1" t="str">
        <f t="shared" si="63"/>
        <v/>
      </c>
      <c r="N321" s="8"/>
      <c r="O321" s="8"/>
      <c r="P321" s="1" t="str">
        <f t="shared" si="64"/>
        <v/>
      </c>
      <c r="Q321" s="25" t="str">
        <f t="shared" si="65"/>
        <v/>
      </c>
      <c r="R321" s="1" t="str">
        <f t="shared" si="66"/>
        <v/>
      </c>
      <c r="S321" s="33" t="str">
        <f t="shared" si="67"/>
        <v/>
      </c>
      <c r="T321" s="34" t="str">
        <f>IF(B321="","",C321&amp;"|"&amp;ROUND(S321,2)&amp;"|"&amp;COUNTIFS($C$4:C321,C321,$S$4:S321,S321))</f>
        <v/>
      </c>
      <c r="U321" s="34" t="str">
        <f t="shared" si="68"/>
        <v/>
      </c>
      <c r="V321" s="34" t="str">
        <f t="shared" si="69"/>
        <v/>
      </c>
      <c r="W321" s="34" t="str">
        <f t="shared" si="70"/>
        <v/>
      </c>
      <c r="X321" s="34">
        <f t="shared" si="71"/>
        <v>0</v>
      </c>
      <c r="Y321" s="34" t="str">
        <f t="shared" si="72"/>
        <v/>
      </c>
      <c r="Z321" s="34" t="str">
        <f>IF(X321=1,V321,IF(Y321="","",IF(COUNTIF(Y$3:Y320,Y321)=0,Y321,"")))</f>
        <v/>
      </c>
      <c r="AA321" s="34" t="b">
        <f t="shared" si="73"/>
        <v>0</v>
      </c>
      <c r="AB321" s="34">
        <f t="shared" si="74"/>
        <v>0</v>
      </c>
      <c r="AC321" s="34" t="str">
        <f>IF(AND(B321&lt;&gt;"",C321=CompteSel,N(B321)&lt;=DateArret,AB321=0),MAX($AC$3:AC320)+1,"")</f>
        <v/>
      </c>
      <c r="AD321" s="34" t="str">
        <f>IF(AND(ISNUMBER(M321),C321=CompteSel),MAX($AD$3:AD320)+1,"")</f>
        <v/>
      </c>
    </row>
    <row r="322" spans="1:30" x14ac:dyDescent="0.35">
      <c r="A322" s="1" t="str">
        <f t="shared" si="60"/>
        <v/>
      </c>
      <c r="B322" s="31"/>
      <c r="C322" s="8"/>
      <c r="D322" s="8"/>
      <c r="E322" s="8"/>
      <c r="F322" s="8"/>
      <c r="G322" s="8"/>
      <c r="H322" s="32"/>
      <c r="I322" s="32"/>
      <c r="J322" s="25" t="str">
        <f>IF(B322="","",IFERROR(VLOOKUP(C322,Soldes_Ouverture,2,FALSE()),0)+SUMIFS($S$4:S322,$C$4:C322,C322))</f>
        <v/>
      </c>
      <c r="K322" s="1" t="str">
        <f t="shared" si="61"/>
        <v/>
      </c>
      <c r="L322" s="1" t="str">
        <f t="shared" si="62"/>
        <v/>
      </c>
      <c r="M322" s="1" t="str">
        <f t="shared" si="63"/>
        <v/>
      </c>
      <c r="N322" s="8"/>
      <c r="O322" s="8"/>
      <c r="P322" s="1" t="str">
        <f t="shared" si="64"/>
        <v/>
      </c>
      <c r="Q322" s="25" t="str">
        <f t="shared" si="65"/>
        <v/>
      </c>
      <c r="R322" s="1" t="str">
        <f t="shared" si="66"/>
        <v/>
      </c>
      <c r="S322" s="33" t="str">
        <f t="shared" si="67"/>
        <v/>
      </c>
      <c r="T322" s="34" t="str">
        <f>IF(B322="","",C322&amp;"|"&amp;ROUND(S322,2)&amp;"|"&amp;COUNTIFS($C$4:C322,C322,$S$4:S322,S322))</f>
        <v/>
      </c>
      <c r="U322" s="34" t="str">
        <f t="shared" si="68"/>
        <v/>
      </c>
      <c r="V322" s="34" t="str">
        <f t="shared" si="69"/>
        <v/>
      </c>
      <c r="W322" s="34" t="str">
        <f t="shared" si="70"/>
        <v/>
      </c>
      <c r="X322" s="34">
        <f t="shared" si="71"/>
        <v>0</v>
      </c>
      <c r="Y322" s="34" t="str">
        <f t="shared" si="72"/>
        <v/>
      </c>
      <c r="Z322" s="34" t="str">
        <f>IF(X322=1,V322,IF(Y322="","",IF(COUNTIF(Y$3:Y321,Y322)=0,Y322,"")))</f>
        <v/>
      </c>
      <c r="AA322" s="34" t="b">
        <f t="shared" si="73"/>
        <v>0</v>
      </c>
      <c r="AB322" s="34">
        <f t="shared" si="74"/>
        <v>0</v>
      </c>
      <c r="AC322" s="34" t="str">
        <f>IF(AND(B322&lt;&gt;"",C322=CompteSel,N(B322)&lt;=DateArret,AB322=0),MAX($AC$3:AC321)+1,"")</f>
        <v/>
      </c>
      <c r="AD322" s="34" t="str">
        <f>IF(AND(ISNUMBER(M322),C322=CompteSel),MAX($AD$3:AD321)+1,"")</f>
        <v/>
      </c>
    </row>
    <row r="323" spans="1:30" x14ac:dyDescent="0.35">
      <c r="A323" s="1" t="str">
        <f t="shared" si="60"/>
        <v/>
      </c>
      <c r="B323" s="31"/>
      <c r="C323" s="8"/>
      <c r="D323" s="8"/>
      <c r="E323" s="8"/>
      <c r="F323" s="8"/>
      <c r="G323" s="8"/>
      <c r="H323" s="32"/>
      <c r="I323" s="32"/>
      <c r="J323" s="25" t="str">
        <f>IF(B323="","",IFERROR(VLOOKUP(C323,Soldes_Ouverture,2,FALSE()),0)+SUMIFS($S$4:S323,$C$4:C323,C323))</f>
        <v/>
      </c>
      <c r="K323" s="1" t="str">
        <f t="shared" si="61"/>
        <v/>
      </c>
      <c r="L323" s="1" t="str">
        <f t="shared" si="62"/>
        <v/>
      </c>
      <c r="M323" s="1" t="str">
        <f t="shared" si="63"/>
        <v/>
      </c>
      <c r="N323" s="8"/>
      <c r="O323" s="8"/>
      <c r="P323" s="1" t="str">
        <f t="shared" si="64"/>
        <v/>
      </c>
      <c r="Q323" s="25" t="str">
        <f t="shared" si="65"/>
        <v/>
      </c>
      <c r="R323" s="1" t="str">
        <f t="shared" si="66"/>
        <v/>
      </c>
      <c r="S323" s="33" t="str">
        <f t="shared" si="67"/>
        <v/>
      </c>
      <c r="T323" s="34" t="str">
        <f>IF(B323="","",C323&amp;"|"&amp;ROUND(S323,2)&amp;"|"&amp;COUNTIFS($C$4:C323,C323,$S$4:S323,S323))</f>
        <v/>
      </c>
      <c r="U323" s="34" t="str">
        <f t="shared" si="68"/>
        <v/>
      </c>
      <c r="V323" s="34" t="str">
        <f t="shared" si="69"/>
        <v/>
      </c>
      <c r="W323" s="34" t="str">
        <f t="shared" si="70"/>
        <v/>
      </c>
      <c r="X323" s="34">
        <f t="shared" si="71"/>
        <v>0</v>
      </c>
      <c r="Y323" s="34" t="str">
        <f t="shared" si="72"/>
        <v/>
      </c>
      <c r="Z323" s="34" t="str">
        <f>IF(X323=1,V323,IF(Y323="","",IF(COUNTIF(Y$3:Y322,Y323)=0,Y323,"")))</f>
        <v/>
      </c>
      <c r="AA323" s="34" t="b">
        <f t="shared" si="73"/>
        <v>0</v>
      </c>
      <c r="AB323" s="34">
        <f t="shared" si="74"/>
        <v>0</v>
      </c>
      <c r="AC323" s="34" t="str">
        <f>IF(AND(B323&lt;&gt;"",C323=CompteSel,N(B323)&lt;=DateArret,AB323=0),MAX($AC$3:AC322)+1,"")</f>
        <v/>
      </c>
      <c r="AD323" s="34" t="str">
        <f>IF(AND(ISNUMBER(M323),C323=CompteSel),MAX($AD$3:AD322)+1,"")</f>
        <v/>
      </c>
    </row>
    <row r="324" spans="1:30" x14ac:dyDescent="0.35">
      <c r="A324" s="1" t="str">
        <f t="shared" ref="A324:A387" si="75">IF(B324="","",ROW()-3)</f>
        <v/>
      </c>
      <c r="B324" s="31"/>
      <c r="C324" s="8"/>
      <c r="D324" s="8"/>
      <c r="E324" s="8"/>
      <c r="F324" s="8"/>
      <c r="G324" s="8"/>
      <c r="H324" s="32"/>
      <c r="I324" s="32"/>
      <c r="J324" s="25" t="str">
        <f>IF(B324="","",IFERROR(VLOOKUP(C324,Soldes_Ouverture,2,FALSE()),0)+SUMIFS($S$4:S324,$C$4:C324,C324))</f>
        <v/>
      </c>
      <c r="K324" s="1" t="str">
        <f t="shared" ref="K324:K387" si="76">IF(B324="","",IF(N324="Écart","Écart",IF(M324="","Non rapproché",IF(ISNUMBER(SEARCH("Conflit",R324)),"Conflit",IF(O324&lt;&gt;"","Manuel",IF(OR(N324="Valider",AND(L324="Fort",AutoFort="Oui")),"Rapproché","Proposé"))))))</f>
        <v/>
      </c>
      <c r="L324" s="1" t="str">
        <f t="shared" ref="L324:L387" si="77">IF(M324="","",IF(O324&lt;&gt;"","Manuel",IF(AND(P324&lt;=TolJours,AA324),"Fort",IF(P324&lt;=TolJours,"Moyen","Faible"))))</f>
        <v/>
      </c>
      <c r="M324" s="1" t="str">
        <f t="shared" ref="M324:M387" si="78">IF(B324="","",IF(O324&lt;&gt;"",O324,IF(OR(N324="Rejeter",N324="Écart",Z324=""),"",IF(INDEX(B_Decision,Z324)="Écart","",Z324))))</f>
        <v/>
      </c>
      <c r="N324" s="8"/>
      <c r="O324" s="8"/>
      <c r="P324" s="1" t="str">
        <f t="shared" ref="P324:P387" si="79">IF(M324="","",IFERROR(ABS(B324-INDEX(B_Date,M324)),""))</f>
        <v/>
      </c>
      <c r="Q324" s="25" t="str">
        <f t="shared" ref="Q324:Q387" si="80">IF(M324="","",IFERROR(ABS(S324-INDEX(B_Montant,M324)),""))</f>
        <v/>
      </c>
      <c r="R324" s="1" t="str">
        <f t="shared" ref="R324:R387" si="81">IF(B324="","",TRIM(IF(AND(M324&lt;&gt;"",COUNTIF($M$4:$M$503,M324)&gt;1),"Conflit ","")&amp;IF(COUNTIFS($C$4:$C$503,C324,$B$4:$B$503,B324,$S$4:$S$503,S324)&gt;1,"Doublon ?","")))</f>
        <v/>
      </c>
      <c r="S324" s="33" t="str">
        <f t="shared" ref="S324:S387" si="82">IF(B324="","",N(I324)-N(H324))</f>
        <v/>
      </c>
      <c r="T324" s="34" t="str">
        <f>IF(B324="","",C324&amp;"|"&amp;ROUND(S324,2)&amp;"|"&amp;COUNTIFS($C$4:C324,C324,$S$4:S324,S324))</f>
        <v/>
      </c>
      <c r="U324" s="34" t="str">
        <f t="shared" ref="U324:U387" si="83">IF(D324="","",IFERROR(VALUE(TRIM(RIGHT(SUBSTITUTE(SUBSTITUTE(SUBSTITUTE(D324,"-"," "),"/"," ")," ",REPT(" ",60)),60))),""))</f>
        <v/>
      </c>
      <c r="V324" s="34" t="str">
        <f t="shared" ref="V324:V387" si="84">IF(B324="","",IFERROR(MATCH(T324,B_Cle,0),""))</f>
        <v/>
      </c>
      <c r="W324" s="34" t="str">
        <f t="shared" ref="W324:W387" si="85">IF(V324="","",ABS(B324-INDEX(B_Date,V324)))</f>
        <v/>
      </c>
      <c r="X324" s="34">
        <f t="shared" ref="X324:X387" si="86">IF(V324="",0,IF(W324&lt;=Fenetre,1,0))</f>
        <v>0</v>
      </c>
      <c r="Y324" s="34" t="str">
        <f t="shared" ref="Y324:Y387" si="87">IF(OR(B324="",X324=1,TolMontant&lt;=0),"",IFERROR(MATCH(1,INDEX((B_Compte=C324)*(B_Date&gt;0)*(B_Signe=SIGN(S324))*(ABS(B_MontantN-S324)&lt;=TolMontant)*(ABS(B_Date-B324)&lt;=Fenetre)*(B_PrisExact=0),0),0),""))</f>
        <v/>
      </c>
      <c r="Z324" s="34" t="str">
        <f>IF(X324=1,V324,IF(Y324="","",IF(COUNTIF(Y$3:Y323,Y324)=0,Y324,"")))</f>
        <v/>
      </c>
      <c r="AA324" s="34" t="b">
        <f t="shared" ref="AA324:AA387" si="88">IF(M324="",FALSE(),IFERROR(OR(AND(U324&lt;&gt;"",N(U324)&gt;=100,ISNUMBER(SEARCH(U324,INDEX(B_Ref,M324)&amp;" "&amp;INDEX(B_Lib,M324)))),AND(D324&lt;&gt;"",ISNUMBER(SEARCH(D324,INDEX(B_Lib,M324)))),AND(INDEX(B_Ref,M324)&amp;""&lt;&gt;"",D324&lt;&gt;"",ISNUMBER(SEARCH(INDEX(B_Ref,M324)&amp;"",D324)))),FALSE()))</f>
        <v>0</v>
      </c>
      <c r="AB324" s="34">
        <f t="shared" ref="AB324:AB387" si="89">IF(OR(K324="Rapproché",K324="Manuel"),1,0)</f>
        <v>0</v>
      </c>
      <c r="AC324" s="34" t="str">
        <f>IF(AND(B324&lt;&gt;"",C324=CompteSel,N(B324)&lt;=DateArret,AB324=0),MAX($AC$3:AC323)+1,"")</f>
        <v/>
      </c>
      <c r="AD324" s="34" t="str">
        <f>IF(AND(ISNUMBER(M324),C324=CompteSel),MAX($AD$3:AD323)+1,"")</f>
        <v/>
      </c>
    </row>
    <row r="325" spans="1:30" x14ac:dyDescent="0.35">
      <c r="A325" s="1" t="str">
        <f t="shared" si="75"/>
        <v/>
      </c>
      <c r="B325" s="31"/>
      <c r="C325" s="8"/>
      <c r="D325" s="8"/>
      <c r="E325" s="8"/>
      <c r="F325" s="8"/>
      <c r="G325" s="8"/>
      <c r="H325" s="32"/>
      <c r="I325" s="32"/>
      <c r="J325" s="25" t="str">
        <f>IF(B325="","",IFERROR(VLOOKUP(C325,Soldes_Ouverture,2,FALSE()),0)+SUMIFS($S$4:S325,$C$4:C325,C325))</f>
        <v/>
      </c>
      <c r="K325" s="1" t="str">
        <f t="shared" si="76"/>
        <v/>
      </c>
      <c r="L325" s="1" t="str">
        <f t="shared" si="77"/>
        <v/>
      </c>
      <c r="M325" s="1" t="str">
        <f t="shared" si="78"/>
        <v/>
      </c>
      <c r="N325" s="8"/>
      <c r="O325" s="8"/>
      <c r="P325" s="1" t="str">
        <f t="shared" si="79"/>
        <v/>
      </c>
      <c r="Q325" s="25" t="str">
        <f t="shared" si="80"/>
        <v/>
      </c>
      <c r="R325" s="1" t="str">
        <f t="shared" si="81"/>
        <v/>
      </c>
      <c r="S325" s="33" t="str">
        <f t="shared" si="82"/>
        <v/>
      </c>
      <c r="T325" s="34" t="str">
        <f>IF(B325="","",C325&amp;"|"&amp;ROUND(S325,2)&amp;"|"&amp;COUNTIFS($C$4:C325,C325,$S$4:S325,S325))</f>
        <v/>
      </c>
      <c r="U325" s="34" t="str">
        <f t="shared" si="83"/>
        <v/>
      </c>
      <c r="V325" s="34" t="str">
        <f t="shared" si="84"/>
        <v/>
      </c>
      <c r="W325" s="34" t="str">
        <f t="shared" si="85"/>
        <v/>
      </c>
      <c r="X325" s="34">
        <f t="shared" si="86"/>
        <v>0</v>
      </c>
      <c r="Y325" s="34" t="str">
        <f t="shared" si="87"/>
        <v/>
      </c>
      <c r="Z325" s="34" t="str">
        <f>IF(X325=1,V325,IF(Y325="","",IF(COUNTIF(Y$3:Y324,Y325)=0,Y325,"")))</f>
        <v/>
      </c>
      <c r="AA325" s="34" t="b">
        <f t="shared" si="88"/>
        <v>0</v>
      </c>
      <c r="AB325" s="34">
        <f t="shared" si="89"/>
        <v>0</v>
      </c>
      <c r="AC325" s="34" t="str">
        <f>IF(AND(B325&lt;&gt;"",C325=CompteSel,N(B325)&lt;=DateArret,AB325=0),MAX($AC$3:AC324)+1,"")</f>
        <v/>
      </c>
      <c r="AD325" s="34" t="str">
        <f>IF(AND(ISNUMBER(M325),C325=CompteSel),MAX($AD$3:AD324)+1,"")</f>
        <v/>
      </c>
    </row>
    <row r="326" spans="1:30" x14ac:dyDescent="0.35">
      <c r="A326" s="1" t="str">
        <f t="shared" si="75"/>
        <v/>
      </c>
      <c r="B326" s="31"/>
      <c r="C326" s="8"/>
      <c r="D326" s="8"/>
      <c r="E326" s="8"/>
      <c r="F326" s="8"/>
      <c r="G326" s="8"/>
      <c r="H326" s="32"/>
      <c r="I326" s="32"/>
      <c r="J326" s="25" t="str">
        <f>IF(B326="","",IFERROR(VLOOKUP(C326,Soldes_Ouverture,2,FALSE()),0)+SUMIFS($S$4:S326,$C$4:C326,C326))</f>
        <v/>
      </c>
      <c r="K326" s="1" t="str">
        <f t="shared" si="76"/>
        <v/>
      </c>
      <c r="L326" s="1" t="str">
        <f t="shared" si="77"/>
        <v/>
      </c>
      <c r="M326" s="1" t="str">
        <f t="shared" si="78"/>
        <v/>
      </c>
      <c r="N326" s="8"/>
      <c r="O326" s="8"/>
      <c r="P326" s="1" t="str">
        <f t="shared" si="79"/>
        <v/>
      </c>
      <c r="Q326" s="25" t="str">
        <f t="shared" si="80"/>
        <v/>
      </c>
      <c r="R326" s="1" t="str">
        <f t="shared" si="81"/>
        <v/>
      </c>
      <c r="S326" s="33" t="str">
        <f t="shared" si="82"/>
        <v/>
      </c>
      <c r="T326" s="34" t="str">
        <f>IF(B326="","",C326&amp;"|"&amp;ROUND(S326,2)&amp;"|"&amp;COUNTIFS($C$4:C326,C326,$S$4:S326,S326))</f>
        <v/>
      </c>
      <c r="U326" s="34" t="str">
        <f t="shared" si="83"/>
        <v/>
      </c>
      <c r="V326" s="34" t="str">
        <f t="shared" si="84"/>
        <v/>
      </c>
      <c r="W326" s="34" t="str">
        <f t="shared" si="85"/>
        <v/>
      </c>
      <c r="X326" s="34">
        <f t="shared" si="86"/>
        <v>0</v>
      </c>
      <c r="Y326" s="34" t="str">
        <f t="shared" si="87"/>
        <v/>
      </c>
      <c r="Z326" s="34" t="str">
        <f>IF(X326=1,V326,IF(Y326="","",IF(COUNTIF(Y$3:Y325,Y326)=0,Y326,"")))</f>
        <v/>
      </c>
      <c r="AA326" s="34" t="b">
        <f t="shared" si="88"/>
        <v>0</v>
      </c>
      <c r="AB326" s="34">
        <f t="shared" si="89"/>
        <v>0</v>
      </c>
      <c r="AC326" s="34" t="str">
        <f>IF(AND(B326&lt;&gt;"",C326=CompteSel,N(B326)&lt;=DateArret,AB326=0),MAX($AC$3:AC325)+1,"")</f>
        <v/>
      </c>
      <c r="AD326" s="34" t="str">
        <f>IF(AND(ISNUMBER(M326),C326=CompteSel),MAX($AD$3:AD325)+1,"")</f>
        <v/>
      </c>
    </row>
    <row r="327" spans="1:30" x14ac:dyDescent="0.35">
      <c r="A327" s="1" t="str">
        <f t="shared" si="75"/>
        <v/>
      </c>
      <c r="B327" s="31"/>
      <c r="C327" s="8"/>
      <c r="D327" s="8"/>
      <c r="E327" s="8"/>
      <c r="F327" s="8"/>
      <c r="G327" s="8"/>
      <c r="H327" s="32"/>
      <c r="I327" s="32"/>
      <c r="J327" s="25" t="str">
        <f>IF(B327="","",IFERROR(VLOOKUP(C327,Soldes_Ouverture,2,FALSE()),0)+SUMIFS($S$4:S327,$C$4:C327,C327))</f>
        <v/>
      </c>
      <c r="K327" s="1" t="str">
        <f t="shared" si="76"/>
        <v/>
      </c>
      <c r="L327" s="1" t="str">
        <f t="shared" si="77"/>
        <v/>
      </c>
      <c r="M327" s="1" t="str">
        <f t="shared" si="78"/>
        <v/>
      </c>
      <c r="N327" s="8"/>
      <c r="O327" s="8"/>
      <c r="P327" s="1" t="str">
        <f t="shared" si="79"/>
        <v/>
      </c>
      <c r="Q327" s="25" t="str">
        <f t="shared" si="80"/>
        <v/>
      </c>
      <c r="R327" s="1" t="str">
        <f t="shared" si="81"/>
        <v/>
      </c>
      <c r="S327" s="33" t="str">
        <f t="shared" si="82"/>
        <v/>
      </c>
      <c r="T327" s="34" t="str">
        <f>IF(B327="","",C327&amp;"|"&amp;ROUND(S327,2)&amp;"|"&amp;COUNTIFS($C$4:C327,C327,$S$4:S327,S327))</f>
        <v/>
      </c>
      <c r="U327" s="34" t="str">
        <f t="shared" si="83"/>
        <v/>
      </c>
      <c r="V327" s="34" t="str">
        <f t="shared" si="84"/>
        <v/>
      </c>
      <c r="W327" s="34" t="str">
        <f t="shared" si="85"/>
        <v/>
      </c>
      <c r="X327" s="34">
        <f t="shared" si="86"/>
        <v>0</v>
      </c>
      <c r="Y327" s="34" t="str">
        <f t="shared" si="87"/>
        <v/>
      </c>
      <c r="Z327" s="34" t="str">
        <f>IF(X327=1,V327,IF(Y327="","",IF(COUNTIF(Y$3:Y326,Y327)=0,Y327,"")))</f>
        <v/>
      </c>
      <c r="AA327" s="34" t="b">
        <f t="shared" si="88"/>
        <v>0</v>
      </c>
      <c r="AB327" s="34">
        <f t="shared" si="89"/>
        <v>0</v>
      </c>
      <c r="AC327" s="34" t="str">
        <f>IF(AND(B327&lt;&gt;"",C327=CompteSel,N(B327)&lt;=DateArret,AB327=0),MAX($AC$3:AC326)+1,"")</f>
        <v/>
      </c>
      <c r="AD327" s="34" t="str">
        <f>IF(AND(ISNUMBER(M327),C327=CompteSel),MAX($AD$3:AD326)+1,"")</f>
        <v/>
      </c>
    </row>
    <row r="328" spans="1:30" x14ac:dyDescent="0.35">
      <c r="A328" s="1" t="str">
        <f t="shared" si="75"/>
        <v/>
      </c>
      <c r="B328" s="31"/>
      <c r="C328" s="8"/>
      <c r="D328" s="8"/>
      <c r="E328" s="8"/>
      <c r="F328" s="8"/>
      <c r="G328" s="8"/>
      <c r="H328" s="32"/>
      <c r="I328" s="32"/>
      <c r="J328" s="25" t="str">
        <f>IF(B328="","",IFERROR(VLOOKUP(C328,Soldes_Ouverture,2,FALSE()),0)+SUMIFS($S$4:S328,$C$4:C328,C328))</f>
        <v/>
      </c>
      <c r="K328" s="1" t="str">
        <f t="shared" si="76"/>
        <v/>
      </c>
      <c r="L328" s="1" t="str">
        <f t="shared" si="77"/>
        <v/>
      </c>
      <c r="M328" s="1" t="str">
        <f t="shared" si="78"/>
        <v/>
      </c>
      <c r="N328" s="8"/>
      <c r="O328" s="8"/>
      <c r="P328" s="1" t="str">
        <f t="shared" si="79"/>
        <v/>
      </c>
      <c r="Q328" s="25" t="str">
        <f t="shared" si="80"/>
        <v/>
      </c>
      <c r="R328" s="1" t="str">
        <f t="shared" si="81"/>
        <v/>
      </c>
      <c r="S328" s="33" t="str">
        <f t="shared" si="82"/>
        <v/>
      </c>
      <c r="T328" s="34" t="str">
        <f>IF(B328="","",C328&amp;"|"&amp;ROUND(S328,2)&amp;"|"&amp;COUNTIFS($C$4:C328,C328,$S$4:S328,S328))</f>
        <v/>
      </c>
      <c r="U328" s="34" t="str">
        <f t="shared" si="83"/>
        <v/>
      </c>
      <c r="V328" s="34" t="str">
        <f t="shared" si="84"/>
        <v/>
      </c>
      <c r="W328" s="34" t="str">
        <f t="shared" si="85"/>
        <v/>
      </c>
      <c r="X328" s="34">
        <f t="shared" si="86"/>
        <v>0</v>
      </c>
      <c r="Y328" s="34" t="str">
        <f t="shared" si="87"/>
        <v/>
      </c>
      <c r="Z328" s="34" t="str">
        <f>IF(X328=1,V328,IF(Y328="","",IF(COUNTIF(Y$3:Y327,Y328)=0,Y328,"")))</f>
        <v/>
      </c>
      <c r="AA328" s="34" t="b">
        <f t="shared" si="88"/>
        <v>0</v>
      </c>
      <c r="AB328" s="34">
        <f t="shared" si="89"/>
        <v>0</v>
      </c>
      <c r="AC328" s="34" t="str">
        <f>IF(AND(B328&lt;&gt;"",C328=CompteSel,N(B328)&lt;=DateArret,AB328=0),MAX($AC$3:AC327)+1,"")</f>
        <v/>
      </c>
      <c r="AD328" s="34" t="str">
        <f>IF(AND(ISNUMBER(M328),C328=CompteSel),MAX($AD$3:AD327)+1,"")</f>
        <v/>
      </c>
    </row>
    <row r="329" spans="1:30" x14ac:dyDescent="0.35">
      <c r="A329" s="1" t="str">
        <f t="shared" si="75"/>
        <v/>
      </c>
      <c r="B329" s="31"/>
      <c r="C329" s="8"/>
      <c r="D329" s="8"/>
      <c r="E329" s="8"/>
      <c r="F329" s="8"/>
      <c r="G329" s="8"/>
      <c r="H329" s="32"/>
      <c r="I329" s="32"/>
      <c r="J329" s="25" t="str">
        <f>IF(B329="","",IFERROR(VLOOKUP(C329,Soldes_Ouverture,2,FALSE()),0)+SUMIFS($S$4:S329,$C$4:C329,C329))</f>
        <v/>
      </c>
      <c r="K329" s="1" t="str">
        <f t="shared" si="76"/>
        <v/>
      </c>
      <c r="L329" s="1" t="str">
        <f t="shared" si="77"/>
        <v/>
      </c>
      <c r="M329" s="1" t="str">
        <f t="shared" si="78"/>
        <v/>
      </c>
      <c r="N329" s="8"/>
      <c r="O329" s="8"/>
      <c r="P329" s="1" t="str">
        <f t="shared" si="79"/>
        <v/>
      </c>
      <c r="Q329" s="25" t="str">
        <f t="shared" si="80"/>
        <v/>
      </c>
      <c r="R329" s="1" t="str">
        <f t="shared" si="81"/>
        <v/>
      </c>
      <c r="S329" s="33" t="str">
        <f t="shared" si="82"/>
        <v/>
      </c>
      <c r="T329" s="34" t="str">
        <f>IF(B329="","",C329&amp;"|"&amp;ROUND(S329,2)&amp;"|"&amp;COUNTIFS($C$4:C329,C329,$S$4:S329,S329))</f>
        <v/>
      </c>
      <c r="U329" s="34" t="str">
        <f t="shared" si="83"/>
        <v/>
      </c>
      <c r="V329" s="34" t="str">
        <f t="shared" si="84"/>
        <v/>
      </c>
      <c r="W329" s="34" t="str">
        <f t="shared" si="85"/>
        <v/>
      </c>
      <c r="X329" s="34">
        <f t="shared" si="86"/>
        <v>0</v>
      </c>
      <c r="Y329" s="34" t="str">
        <f t="shared" si="87"/>
        <v/>
      </c>
      <c r="Z329" s="34" t="str">
        <f>IF(X329=1,V329,IF(Y329="","",IF(COUNTIF(Y$3:Y328,Y329)=0,Y329,"")))</f>
        <v/>
      </c>
      <c r="AA329" s="34" t="b">
        <f t="shared" si="88"/>
        <v>0</v>
      </c>
      <c r="AB329" s="34">
        <f t="shared" si="89"/>
        <v>0</v>
      </c>
      <c r="AC329" s="34" t="str">
        <f>IF(AND(B329&lt;&gt;"",C329=CompteSel,N(B329)&lt;=DateArret,AB329=0),MAX($AC$3:AC328)+1,"")</f>
        <v/>
      </c>
      <c r="AD329" s="34" t="str">
        <f>IF(AND(ISNUMBER(M329),C329=CompteSel),MAX($AD$3:AD328)+1,"")</f>
        <v/>
      </c>
    </row>
    <row r="330" spans="1:30" x14ac:dyDescent="0.35">
      <c r="A330" s="1" t="str">
        <f t="shared" si="75"/>
        <v/>
      </c>
      <c r="B330" s="31"/>
      <c r="C330" s="8"/>
      <c r="D330" s="8"/>
      <c r="E330" s="8"/>
      <c r="F330" s="8"/>
      <c r="G330" s="8"/>
      <c r="H330" s="32"/>
      <c r="I330" s="32"/>
      <c r="J330" s="25" t="str">
        <f>IF(B330="","",IFERROR(VLOOKUP(C330,Soldes_Ouverture,2,FALSE()),0)+SUMIFS($S$4:S330,$C$4:C330,C330))</f>
        <v/>
      </c>
      <c r="K330" s="1" t="str">
        <f t="shared" si="76"/>
        <v/>
      </c>
      <c r="L330" s="1" t="str">
        <f t="shared" si="77"/>
        <v/>
      </c>
      <c r="M330" s="1" t="str">
        <f t="shared" si="78"/>
        <v/>
      </c>
      <c r="N330" s="8"/>
      <c r="O330" s="8"/>
      <c r="P330" s="1" t="str">
        <f t="shared" si="79"/>
        <v/>
      </c>
      <c r="Q330" s="25" t="str">
        <f t="shared" si="80"/>
        <v/>
      </c>
      <c r="R330" s="1" t="str">
        <f t="shared" si="81"/>
        <v/>
      </c>
      <c r="S330" s="33" t="str">
        <f t="shared" si="82"/>
        <v/>
      </c>
      <c r="T330" s="34" t="str">
        <f>IF(B330="","",C330&amp;"|"&amp;ROUND(S330,2)&amp;"|"&amp;COUNTIFS($C$4:C330,C330,$S$4:S330,S330))</f>
        <v/>
      </c>
      <c r="U330" s="34" t="str">
        <f t="shared" si="83"/>
        <v/>
      </c>
      <c r="V330" s="34" t="str">
        <f t="shared" si="84"/>
        <v/>
      </c>
      <c r="W330" s="34" t="str">
        <f t="shared" si="85"/>
        <v/>
      </c>
      <c r="X330" s="34">
        <f t="shared" si="86"/>
        <v>0</v>
      </c>
      <c r="Y330" s="34" t="str">
        <f t="shared" si="87"/>
        <v/>
      </c>
      <c r="Z330" s="34" t="str">
        <f>IF(X330=1,V330,IF(Y330="","",IF(COUNTIF(Y$3:Y329,Y330)=0,Y330,"")))</f>
        <v/>
      </c>
      <c r="AA330" s="34" t="b">
        <f t="shared" si="88"/>
        <v>0</v>
      </c>
      <c r="AB330" s="34">
        <f t="shared" si="89"/>
        <v>0</v>
      </c>
      <c r="AC330" s="34" t="str">
        <f>IF(AND(B330&lt;&gt;"",C330=CompteSel,N(B330)&lt;=DateArret,AB330=0),MAX($AC$3:AC329)+1,"")</f>
        <v/>
      </c>
      <c r="AD330" s="34" t="str">
        <f>IF(AND(ISNUMBER(M330),C330=CompteSel),MAX($AD$3:AD329)+1,"")</f>
        <v/>
      </c>
    </row>
    <row r="331" spans="1:30" x14ac:dyDescent="0.35">
      <c r="A331" s="1" t="str">
        <f t="shared" si="75"/>
        <v/>
      </c>
      <c r="B331" s="31"/>
      <c r="C331" s="8"/>
      <c r="D331" s="8"/>
      <c r="E331" s="8"/>
      <c r="F331" s="8"/>
      <c r="G331" s="8"/>
      <c r="H331" s="32"/>
      <c r="I331" s="32"/>
      <c r="J331" s="25" t="str">
        <f>IF(B331="","",IFERROR(VLOOKUP(C331,Soldes_Ouverture,2,FALSE()),0)+SUMIFS($S$4:S331,$C$4:C331,C331))</f>
        <v/>
      </c>
      <c r="K331" s="1" t="str">
        <f t="shared" si="76"/>
        <v/>
      </c>
      <c r="L331" s="1" t="str">
        <f t="shared" si="77"/>
        <v/>
      </c>
      <c r="M331" s="1" t="str">
        <f t="shared" si="78"/>
        <v/>
      </c>
      <c r="N331" s="8"/>
      <c r="O331" s="8"/>
      <c r="P331" s="1" t="str">
        <f t="shared" si="79"/>
        <v/>
      </c>
      <c r="Q331" s="25" t="str">
        <f t="shared" si="80"/>
        <v/>
      </c>
      <c r="R331" s="1" t="str">
        <f t="shared" si="81"/>
        <v/>
      </c>
      <c r="S331" s="33" t="str">
        <f t="shared" si="82"/>
        <v/>
      </c>
      <c r="T331" s="34" t="str">
        <f>IF(B331="","",C331&amp;"|"&amp;ROUND(S331,2)&amp;"|"&amp;COUNTIFS($C$4:C331,C331,$S$4:S331,S331))</f>
        <v/>
      </c>
      <c r="U331" s="34" t="str">
        <f t="shared" si="83"/>
        <v/>
      </c>
      <c r="V331" s="34" t="str">
        <f t="shared" si="84"/>
        <v/>
      </c>
      <c r="W331" s="34" t="str">
        <f t="shared" si="85"/>
        <v/>
      </c>
      <c r="X331" s="34">
        <f t="shared" si="86"/>
        <v>0</v>
      </c>
      <c r="Y331" s="34" t="str">
        <f t="shared" si="87"/>
        <v/>
      </c>
      <c r="Z331" s="34" t="str">
        <f>IF(X331=1,V331,IF(Y331="","",IF(COUNTIF(Y$3:Y330,Y331)=0,Y331,"")))</f>
        <v/>
      </c>
      <c r="AA331" s="34" t="b">
        <f t="shared" si="88"/>
        <v>0</v>
      </c>
      <c r="AB331" s="34">
        <f t="shared" si="89"/>
        <v>0</v>
      </c>
      <c r="AC331" s="34" t="str">
        <f>IF(AND(B331&lt;&gt;"",C331=CompteSel,N(B331)&lt;=DateArret,AB331=0),MAX($AC$3:AC330)+1,"")</f>
        <v/>
      </c>
      <c r="AD331" s="34" t="str">
        <f>IF(AND(ISNUMBER(M331),C331=CompteSel),MAX($AD$3:AD330)+1,"")</f>
        <v/>
      </c>
    </row>
    <row r="332" spans="1:30" x14ac:dyDescent="0.35">
      <c r="A332" s="1" t="str">
        <f t="shared" si="75"/>
        <v/>
      </c>
      <c r="B332" s="31"/>
      <c r="C332" s="8"/>
      <c r="D332" s="8"/>
      <c r="E332" s="8"/>
      <c r="F332" s="8"/>
      <c r="G332" s="8"/>
      <c r="H332" s="32"/>
      <c r="I332" s="32"/>
      <c r="J332" s="25" t="str">
        <f>IF(B332="","",IFERROR(VLOOKUP(C332,Soldes_Ouverture,2,FALSE()),0)+SUMIFS($S$4:S332,$C$4:C332,C332))</f>
        <v/>
      </c>
      <c r="K332" s="1" t="str">
        <f t="shared" si="76"/>
        <v/>
      </c>
      <c r="L332" s="1" t="str">
        <f t="shared" si="77"/>
        <v/>
      </c>
      <c r="M332" s="1" t="str">
        <f t="shared" si="78"/>
        <v/>
      </c>
      <c r="N332" s="8"/>
      <c r="O332" s="8"/>
      <c r="P332" s="1" t="str">
        <f t="shared" si="79"/>
        <v/>
      </c>
      <c r="Q332" s="25" t="str">
        <f t="shared" si="80"/>
        <v/>
      </c>
      <c r="R332" s="1" t="str">
        <f t="shared" si="81"/>
        <v/>
      </c>
      <c r="S332" s="33" t="str">
        <f t="shared" si="82"/>
        <v/>
      </c>
      <c r="T332" s="34" t="str">
        <f>IF(B332="","",C332&amp;"|"&amp;ROUND(S332,2)&amp;"|"&amp;COUNTIFS($C$4:C332,C332,$S$4:S332,S332))</f>
        <v/>
      </c>
      <c r="U332" s="34" t="str">
        <f t="shared" si="83"/>
        <v/>
      </c>
      <c r="V332" s="34" t="str">
        <f t="shared" si="84"/>
        <v/>
      </c>
      <c r="W332" s="34" t="str">
        <f t="shared" si="85"/>
        <v/>
      </c>
      <c r="X332" s="34">
        <f t="shared" si="86"/>
        <v>0</v>
      </c>
      <c r="Y332" s="34" t="str">
        <f t="shared" si="87"/>
        <v/>
      </c>
      <c r="Z332" s="34" t="str">
        <f>IF(X332=1,V332,IF(Y332="","",IF(COUNTIF(Y$3:Y331,Y332)=0,Y332,"")))</f>
        <v/>
      </c>
      <c r="AA332" s="34" t="b">
        <f t="shared" si="88"/>
        <v>0</v>
      </c>
      <c r="AB332" s="34">
        <f t="shared" si="89"/>
        <v>0</v>
      </c>
      <c r="AC332" s="34" t="str">
        <f>IF(AND(B332&lt;&gt;"",C332=CompteSel,N(B332)&lt;=DateArret,AB332=0),MAX($AC$3:AC331)+1,"")</f>
        <v/>
      </c>
      <c r="AD332" s="34" t="str">
        <f>IF(AND(ISNUMBER(M332),C332=CompteSel),MAX($AD$3:AD331)+1,"")</f>
        <v/>
      </c>
    </row>
    <row r="333" spans="1:30" x14ac:dyDescent="0.35">
      <c r="A333" s="1" t="str">
        <f t="shared" si="75"/>
        <v/>
      </c>
      <c r="B333" s="31"/>
      <c r="C333" s="8"/>
      <c r="D333" s="8"/>
      <c r="E333" s="8"/>
      <c r="F333" s="8"/>
      <c r="G333" s="8"/>
      <c r="H333" s="32"/>
      <c r="I333" s="32"/>
      <c r="J333" s="25" t="str">
        <f>IF(B333="","",IFERROR(VLOOKUP(C333,Soldes_Ouverture,2,FALSE()),0)+SUMIFS($S$4:S333,$C$4:C333,C333))</f>
        <v/>
      </c>
      <c r="K333" s="1" t="str">
        <f t="shared" si="76"/>
        <v/>
      </c>
      <c r="L333" s="1" t="str">
        <f t="shared" si="77"/>
        <v/>
      </c>
      <c r="M333" s="1" t="str">
        <f t="shared" si="78"/>
        <v/>
      </c>
      <c r="N333" s="8"/>
      <c r="O333" s="8"/>
      <c r="P333" s="1" t="str">
        <f t="shared" si="79"/>
        <v/>
      </c>
      <c r="Q333" s="25" t="str">
        <f t="shared" si="80"/>
        <v/>
      </c>
      <c r="R333" s="1" t="str">
        <f t="shared" si="81"/>
        <v/>
      </c>
      <c r="S333" s="33" t="str">
        <f t="shared" si="82"/>
        <v/>
      </c>
      <c r="T333" s="34" t="str">
        <f>IF(B333="","",C333&amp;"|"&amp;ROUND(S333,2)&amp;"|"&amp;COUNTIFS($C$4:C333,C333,$S$4:S333,S333))</f>
        <v/>
      </c>
      <c r="U333" s="34" t="str">
        <f t="shared" si="83"/>
        <v/>
      </c>
      <c r="V333" s="34" t="str">
        <f t="shared" si="84"/>
        <v/>
      </c>
      <c r="W333" s="34" t="str">
        <f t="shared" si="85"/>
        <v/>
      </c>
      <c r="X333" s="34">
        <f t="shared" si="86"/>
        <v>0</v>
      </c>
      <c r="Y333" s="34" t="str">
        <f t="shared" si="87"/>
        <v/>
      </c>
      <c r="Z333" s="34" t="str">
        <f>IF(X333=1,V333,IF(Y333="","",IF(COUNTIF(Y$3:Y332,Y333)=0,Y333,"")))</f>
        <v/>
      </c>
      <c r="AA333" s="34" t="b">
        <f t="shared" si="88"/>
        <v>0</v>
      </c>
      <c r="AB333" s="34">
        <f t="shared" si="89"/>
        <v>0</v>
      </c>
      <c r="AC333" s="34" t="str">
        <f>IF(AND(B333&lt;&gt;"",C333=CompteSel,N(B333)&lt;=DateArret,AB333=0),MAX($AC$3:AC332)+1,"")</f>
        <v/>
      </c>
      <c r="AD333" s="34" t="str">
        <f>IF(AND(ISNUMBER(M333),C333=CompteSel),MAX($AD$3:AD332)+1,"")</f>
        <v/>
      </c>
    </row>
    <row r="334" spans="1:30" x14ac:dyDescent="0.35">
      <c r="A334" s="1" t="str">
        <f t="shared" si="75"/>
        <v/>
      </c>
      <c r="B334" s="31"/>
      <c r="C334" s="8"/>
      <c r="D334" s="8"/>
      <c r="E334" s="8"/>
      <c r="F334" s="8"/>
      <c r="G334" s="8"/>
      <c r="H334" s="32"/>
      <c r="I334" s="32"/>
      <c r="J334" s="25" t="str">
        <f>IF(B334="","",IFERROR(VLOOKUP(C334,Soldes_Ouverture,2,FALSE()),0)+SUMIFS($S$4:S334,$C$4:C334,C334))</f>
        <v/>
      </c>
      <c r="K334" s="1" t="str">
        <f t="shared" si="76"/>
        <v/>
      </c>
      <c r="L334" s="1" t="str">
        <f t="shared" si="77"/>
        <v/>
      </c>
      <c r="M334" s="1" t="str">
        <f t="shared" si="78"/>
        <v/>
      </c>
      <c r="N334" s="8"/>
      <c r="O334" s="8"/>
      <c r="P334" s="1" t="str">
        <f t="shared" si="79"/>
        <v/>
      </c>
      <c r="Q334" s="25" t="str">
        <f t="shared" si="80"/>
        <v/>
      </c>
      <c r="R334" s="1" t="str">
        <f t="shared" si="81"/>
        <v/>
      </c>
      <c r="S334" s="33" t="str">
        <f t="shared" si="82"/>
        <v/>
      </c>
      <c r="T334" s="34" t="str">
        <f>IF(B334="","",C334&amp;"|"&amp;ROUND(S334,2)&amp;"|"&amp;COUNTIFS($C$4:C334,C334,$S$4:S334,S334))</f>
        <v/>
      </c>
      <c r="U334" s="34" t="str">
        <f t="shared" si="83"/>
        <v/>
      </c>
      <c r="V334" s="34" t="str">
        <f t="shared" si="84"/>
        <v/>
      </c>
      <c r="W334" s="34" t="str">
        <f t="shared" si="85"/>
        <v/>
      </c>
      <c r="X334" s="34">
        <f t="shared" si="86"/>
        <v>0</v>
      </c>
      <c r="Y334" s="34" t="str">
        <f t="shared" si="87"/>
        <v/>
      </c>
      <c r="Z334" s="34" t="str">
        <f>IF(X334=1,V334,IF(Y334="","",IF(COUNTIF(Y$3:Y333,Y334)=0,Y334,"")))</f>
        <v/>
      </c>
      <c r="AA334" s="34" t="b">
        <f t="shared" si="88"/>
        <v>0</v>
      </c>
      <c r="AB334" s="34">
        <f t="shared" si="89"/>
        <v>0</v>
      </c>
      <c r="AC334" s="34" t="str">
        <f>IF(AND(B334&lt;&gt;"",C334=CompteSel,N(B334)&lt;=DateArret,AB334=0),MAX($AC$3:AC333)+1,"")</f>
        <v/>
      </c>
      <c r="AD334" s="34" t="str">
        <f>IF(AND(ISNUMBER(M334),C334=CompteSel),MAX($AD$3:AD333)+1,"")</f>
        <v/>
      </c>
    </row>
    <row r="335" spans="1:30" x14ac:dyDescent="0.35">
      <c r="A335" s="1" t="str">
        <f t="shared" si="75"/>
        <v/>
      </c>
      <c r="B335" s="31"/>
      <c r="C335" s="8"/>
      <c r="D335" s="8"/>
      <c r="E335" s="8"/>
      <c r="F335" s="8"/>
      <c r="G335" s="8"/>
      <c r="H335" s="32"/>
      <c r="I335" s="32"/>
      <c r="J335" s="25" t="str">
        <f>IF(B335="","",IFERROR(VLOOKUP(C335,Soldes_Ouverture,2,FALSE()),0)+SUMIFS($S$4:S335,$C$4:C335,C335))</f>
        <v/>
      </c>
      <c r="K335" s="1" t="str">
        <f t="shared" si="76"/>
        <v/>
      </c>
      <c r="L335" s="1" t="str">
        <f t="shared" si="77"/>
        <v/>
      </c>
      <c r="M335" s="1" t="str">
        <f t="shared" si="78"/>
        <v/>
      </c>
      <c r="N335" s="8"/>
      <c r="O335" s="8"/>
      <c r="P335" s="1" t="str">
        <f t="shared" si="79"/>
        <v/>
      </c>
      <c r="Q335" s="25" t="str">
        <f t="shared" si="80"/>
        <v/>
      </c>
      <c r="R335" s="1" t="str">
        <f t="shared" si="81"/>
        <v/>
      </c>
      <c r="S335" s="33" t="str">
        <f t="shared" si="82"/>
        <v/>
      </c>
      <c r="T335" s="34" t="str">
        <f>IF(B335="","",C335&amp;"|"&amp;ROUND(S335,2)&amp;"|"&amp;COUNTIFS($C$4:C335,C335,$S$4:S335,S335))</f>
        <v/>
      </c>
      <c r="U335" s="34" t="str">
        <f t="shared" si="83"/>
        <v/>
      </c>
      <c r="V335" s="34" t="str">
        <f t="shared" si="84"/>
        <v/>
      </c>
      <c r="W335" s="34" t="str">
        <f t="shared" si="85"/>
        <v/>
      </c>
      <c r="X335" s="34">
        <f t="shared" si="86"/>
        <v>0</v>
      </c>
      <c r="Y335" s="34" t="str">
        <f t="shared" si="87"/>
        <v/>
      </c>
      <c r="Z335" s="34" t="str">
        <f>IF(X335=1,V335,IF(Y335="","",IF(COUNTIF(Y$3:Y334,Y335)=0,Y335,"")))</f>
        <v/>
      </c>
      <c r="AA335" s="34" t="b">
        <f t="shared" si="88"/>
        <v>0</v>
      </c>
      <c r="AB335" s="34">
        <f t="shared" si="89"/>
        <v>0</v>
      </c>
      <c r="AC335" s="34" t="str">
        <f>IF(AND(B335&lt;&gt;"",C335=CompteSel,N(B335)&lt;=DateArret,AB335=0),MAX($AC$3:AC334)+1,"")</f>
        <v/>
      </c>
      <c r="AD335" s="34" t="str">
        <f>IF(AND(ISNUMBER(M335),C335=CompteSel),MAX($AD$3:AD334)+1,"")</f>
        <v/>
      </c>
    </row>
    <row r="336" spans="1:30" x14ac:dyDescent="0.35">
      <c r="A336" s="1" t="str">
        <f t="shared" si="75"/>
        <v/>
      </c>
      <c r="B336" s="31"/>
      <c r="C336" s="8"/>
      <c r="D336" s="8"/>
      <c r="E336" s="8"/>
      <c r="F336" s="8"/>
      <c r="G336" s="8"/>
      <c r="H336" s="32"/>
      <c r="I336" s="32"/>
      <c r="J336" s="25" t="str">
        <f>IF(B336="","",IFERROR(VLOOKUP(C336,Soldes_Ouverture,2,FALSE()),0)+SUMIFS($S$4:S336,$C$4:C336,C336))</f>
        <v/>
      </c>
      <c r="K336" s="1" t="str">
        <f t="shared" si="76"/>
        <v/>
      </c>
      <c r="L336" s="1" t="str">
        <f t="shared" si="77"/>
        <v/>
      </c>
      <c r="M336" s="1" t="str">
        <f t="shared" si="78"/>
        <v/>
      </c>
      <c r="N336" s="8"/>
      <c r="O336" s="8"/>
      <c r="P336" s="1" t="str">
        <f t="shared" si="79"/>
        <v/>
      </c>
      <c r="Q336" s="25" t="str">
        <f t="shared" si="80"/>
        <v/>
      </c>
      <c r="R336" s="1" t="str">
        <f t="shared" si="81"/>
        <v/>
      </c>
      <c r="S336" s="33" t="str">
        <f t="shared" si="82"/>
        <v/>
      </c>
      <c r="T336" s="34" t="str">
        <f>IF(B336="","",C336&amp;"|"&amp;ROUND(S336,2)&amp;"|"&amp;COUNTIFS($C$4:C336,C336,$S$4:S336,S336))</f>
        <v/>
      </c>
      <c r="U336" s="34" t="str">
        <f t="shared" si="83"/>
        <v/>
      </c>
      <c r="V336" s="34" t="str">
        <f t="shared" si="84"/>
        <v/>
      </c>
      <c r="W336" s="34" t="str">
        <f t="shared" si="85"/>
        <v/>
      </c>
      <c r="X336" s="34">
        <f t="shared" si="86"/>
        <v>0</v>
      </c>
      <c r="Y336" s="34" t="str">
        <f t="shared" si="87"/>
        <v/>
      </c>
      <c r="Z336" s="34" t="str">
        <f>IF(X336=1,V336,IF(Y336="","",IF(COUNTIF(Y$3:Y335,Y336)=0,Y336,"")))</f>
        <v/>
      </c>
      <c r="AA336" s="34" t="b">
        <f t="shared" si="88"/>
        <v>0</v>
      </c>
      <c r="AB336" s="34">
        <f t="shared" si="89"/>
        <v>0</v>
      </c>
      <c r="AC336" s="34" t="str">
        <f>IF(AND(B336&lt;&gt;"",C336=CompteSel,N(B336)&lt;=DateArret,AB336=0),MAX($AC$3:AC335)+1,"")</f>
        <v/>
      </c>
      <c r="AD336" s="34" t="str">
        <f>IF(AND(ISNUMBER(M336),C336=CompteSel),MAX($AD$3:AD335)+1,"")</f>
        <v/>
      </c>
    </row>
    <row r="337" spans="1:30" x14ac:dyDescent="0.35">
      <c r="A337" s="1" t="str">
        <f t="shared" si="75"/>
        <v/>
      </c>
      <c r="B337" s="31"/>
      <c r="C337" s="8"/>
      <c r="D337" s="8"/>
      <c r="E337" s="8"/>
      <c r="F337" s="8"/>
      <c r="G337" s="8"/>
      <c r="H337" s="32"/>
      <c r="I337" s="32"/>
      <c r="J337" s="25" t="str">
        <f>IF(B337="","",IFERROR(VLOOKUP(C337,Soldes_Ouverture,2,FALSE()),0)+SUMIFS($S$4:S337,$C$4:C337,C337))</f>
        <v/>
      </c>
      <c r="K337" s="1" t="str">
        <f t="shared" si="76"/>
        <v/>
      </c>
      <c r="L337" s="1" t="str">
        <f t="shared" si="77"/>
        <v/>
      </c>
      <c r="M337" s="1" t="str">
        <f t="shared" si="78"/>
        <v/>
      </c>
      <c r="N337" s="8"/>
      <c r="O337" s="8"/>
      <c r="P337" s="1" t="str">
        <f t="shared" si="79"/>
        <v/>
      </c>
      <c r="Q337" s="25" t="str">
        <f t="shared" si="80"/>
        <v/>
      </c>
      <c r="R337" s="1" t="str">
        <f t="shared" si="81"/>
        <v/>
      </c>
      <c r="S337" s="33" t="str">
        <f t="shared" si="82"/>
        <v/>
      </c>
      <c r="T337" s="34" t="str">
        <f>IF(B337="","",C337&amp;"|"&amp;ROUND(S337,2)&amp;"|"&amp;COUNTIFS($C$4:C337,C337,$S$4:S337,S337))</f>
        <v/>
      </c>
      <c r="U337" s="34" t="str">
        <f t="shared" si="83"/>
        <v/>
      </c>
      <c r="V337" s="34" t="str">
        <f t="shared" si="84"/>
        <v/>
      </c>
      <c r="W337" s="34" t="str">
        <f t="shared" si="85"/>
        <v/>
      </c>
      <c r="X337" s="34">
        <f t="shared" si="86"/>
        <v>0</v>
      </c>
      <c r="Y337" s="34" t="str">
        <f t="shared" si="87"/>
        <v/>
      </c>
      <c r="Z337" s="34" t="str">
        <f>IF(X337=1,V337,IF(Y337="","",IF(COUNTIF(Y$3:Y336,Y337)=0,Y337,"")))</f>
        <v/>
      </c>
      <c r="AA337" s="34" t="b">
        <f t="shared" si="88"/>
        <v>0</v>
      </c>
      <c r="AB337" s="34">
        <f t="shared" si="89"/>
        <v>0</v>
      </c>
      <c r="AC337" s="34" t="str">
        <f>IF(AND(B337&lt;&gt;"",C337=CompteSel,N(B337)&lt;=DateArret,AB337=0),MAX($AC$3:AC336)+1,"")</f>
        <v/>
      </c>
      <c r="AD337" s="34" t="str">
        <f>IF(AND(ISNUMBER(M337),C337=CompteSel),MAX($AD$3:AD336)+1,"")</f>
        <v/>
      </c>
    </row>
    <row r="338" spans="1:30" x14ac:dyDescent="0.35">
      <c r="A338" s="1" t="str">
        <f t="shared" si="75"/>
        <v/>
      </c>
      <c r="B338" s="31"/>
      <c r="C338" s="8"/>
      <c r="D338" s="8"/>
      <c r="E338" s="8"/>
      <c r="F338" s="8"/>
      <c r="G338" s="8"/>
      <c r="H338" s="32"/>
      <c r="I338" s="32"/>
      <c r="J338" s="25" t="str">
        <f>IF(B338="","",IFERROR(VLOOKUP(C338,Soldes_Ouverture,2,FALSE()),0)+SUMIFS($S$4:S338,$C$4:C338,C338))</f>
        <v/>
      </c>
      <c r="K338" s="1" t="str">
        <f t="shared" si="76"/>
        <v/>
      </c>
      <c r="L338" s="1" t="str">
        <f t="shared" si="77"/>
        <v/>
      </c>
      <c r="M338" s="1" t="str">
        <f t="shared" si="78"/>
        <v/>
      </c>
      <c r="N338" s="8"/>
      <c r="O338" s="8"/>
      <c r="P338" s="1" t="str">
        <f t="shared" si="79"/>
        <v/>
      </c>
      <c r="Q338" s="25" t="str">
        <f t="shared" si="80"/>
        <v/>
      </c>
      <c r="R338" s="1" t="str">
        <f t="shared" si="81"/>
        <v/>
      </c>
      <c r="S338" s="33" t="str">
        <f t="shared" si="82"/>
        <v/>
      </c>
      <c r="T338" s="34" t="str">
        <f>IF(B338="","",C338&amp;"|"&amp;ROUND(S338,2)&amp;"|"&amp;COUNTIFS($C$4:C338,C338,$S$4:S338,S338))</f>
        <v/>
      </c>
      <c r="U338" s="34" t="str">
        <f t="shared" si="83"/>
        <v/>
      </c>
      <c r="V338" s="34" t="str">
        <f t="shared" si="84"/>
        <v/>
      </c>
      <c r="W338" s="34" t="str">
        <f t="shared" si="85"/>
        <v/>
      </c>
      <c r="X338" s="34">
        <f t="shared" si="86"/>
        <v>0</v>
      </c>
      <c r="Y338" s="34" t="str">
        <f t="shared" si="87"/>
        <v/>
      </c>
      <c r="Z338" s="34" t="str">
        <f>IF(X338=1,V338,IF(Y338="","",IF(COUNTIF(Y$3:Y337,Y338)=0,Y338,"")))</f>
        <v/>
      </c>
      <c r="AA338" s="34" t="b">
        <f t="shared" si="88"/>
        <v>0</v>
      </c>
      <c r="AB338" s="34">
        <f t="shared" si="89"/>
        <v>0</v>
      </c>
      <c r="AC338" s="34" t="str">
        <f>IF(AND(B338&lt;&gt;"",C338=CompteSel,N(B338)&lt;=DateArret,AB338=0),MAX($AC$3:AC337)+1,"")</f>
        <v/>
      </c>
      <c r="AD338" s="34" t="str">
        <f>IF(AND(ISNUMBER(M338),C338=CompteSel),MAX($AD$3:AD337)+1,"")</f>
        <v/>
      </c>
    </row>
    <row r="339" spans="1:30" x14ac:dyDescent="0.35">
      <c r="A339" s="1" t="str">
        <f t="shared" si="75"/>
        <v/>
      </c>
      <c r="B339" s="31"/>
      <c r="C339" s="8"/>
      <c r="D339" s="8"/>
      <c r="E339" s="8"/>
      <c r="F339" s="8"/>
      <c r="G339" s="8"/>
      <c r="H339" s="32"/>
      <c r="I339" s="32"/>
      <c r="J339" s="25" t="str">
        <f>IF(B339="","",IFERROR(VLOOKUP(C339,Soldes_Ouverture,2,FALSE()),0)+SUMIFS($S$4:S339,$C$4:C339,C339))</f>
        <v/>
      </c>
      <c r="K339" s="1" t="str">
        <f t="shared" si="76"/>
        <v/>
      </c>
      <c r="L339" s="1" t="str">
        <f t="shared" si="77"/>
        <v/>
      </c>
      <c r="M339" s="1" t="str">
        <f t="shared" si="78"/>
        <v/>
      </c>
      <c r="N339" s="8"/>
      <c r="O339" s="8"/>
      <c r="P339" s="1" t="str">
        <f t="shared" si="79"/>
        <v/>
      </c>
      <c r="Q339" s="25" t="str">
        <f t="shared" si="80"/>
        <v/>
      </c>
      <c r="R339" s="1" t="str">
        <f t="shared" si="81"/>
        <v/>
      </c>
      <c r="S339" s="33" t="str">
        <f t="shared" si="82"/>
        <v/>
      </c>
      <c r="T339" s="34" t="str">
        <f>IF(B339="","",C339&amp;"|"&amp;ROUND(S339,2)&amp;"|"&amp;COUNTIFS($C$4:C339,C339,$S$4:S339,S339))</f>
        <v/>
      </c>
      <c r="U339" s="34" t="str">
        <f t="shared" si="83"/>
        <v/>
      </c>
      <c r="V339" s="34" t="str">
        <f t="shared" si="84"/>
        <v/>
      </c>
      <c r="W339" s="34" t="str">
        <f t="shared" si="85"/>
        <v/>
      </c>
      <c r="X339" s="34">
        <f t="shared" si="86"/>
        <v>0</v>
      </c>
      <c r="Y339" s="34" t="str">
        <f t="shared" si="87"/>
        <v/>
      </c>
      <c r="Z339" s="34" t="str">
        <f>IF(X339=1,V339,IF(Y339="","",IF(COUNTIF(Y$3:Y338,Y339)=0,Y339,"")))</f>
        <v/>
      </c>
      <c r="AA339" s="34" t="b">
        <f t="shared" si="88"/>
        <v>0</v>
      </c>
      <c r="AB339" s="34">
        <f t="shared" si="89"/>
        <v>0</v>
      </c>
      <c r="AC339" s="34" t="str">
        <f>IF(AND(B339&lt;&gt;"",C339=CompteSel,N(B339)&lt;=DateArret,AB339=0),MAX($AC$3:AC338)+1,"")</f>
        <v/>
      </c>
      <c r="AD339" s="34" t="str">
        <f>IF(AND(ISNUMBER(M339),C339=CompteSel),MAX($AD$3:AD338)+1,"")</f>
        <v/>
      </c>
    </row>
    <row r="340" spans="1:30" x14ac:dyDescent="0.35">
      <c r="A340" s="1" t="str">
        <f t="shared" si="75"/>
        <v/>
      </c>
      <c r="B340" s="31"/>
      <c r="C340" s="8"/>
      <c r="D340" s="8"/>
      <c r="E340" s="8"/>
      <c r="F340" s="8"/>
      <c r="G340" s="8"/>
      <c r="H340" s="32"/>
      <c r="I340" s="32"/>
      <c r="J340" s="25" t="str">
        <f>IF(B340="","",IFERROR(VLOOKUP(C340,Soldes_Ouverture,2,FALSE()),0)+SUMIFS($S$4:S340,$C$4:C340,C340))</f>
        <v/>
      </c>
      <c r="K340" s="1" t="str">
        <f t="shared" si="76"/>
        <v/>
      </c>
      <c r="L340" s="1" t="str">
        <f t="shared" si="77"/>
        <v/>
      </c>
      <c r="M340" s="1" t="str">
        <f t="shared" si="78"/>
        <v/>
      </c>
      <c r="N340" s="8"/>
      <c r="O340" s="8"/>
      <c r="P340" s="1" t="str">
        <f t="shared" si="79"/>
        <v/>
      </c>
      <c r="Q340" s="25" t="str">
        <f t="shared" si="80"/>
        <v/>
      </c>
      <c r="R340" s="1" t="str">
        <f t="shared" si="81"/>
        <v/>
      </c>
      <c r="S340" s="33" t="str">
        <f t="shared" si="82"/>
        <v/>
      </c>
      <c r="T340" s="34" t="str">
        <f>IF(B340="","",C340&amp;"|"&amp;ROUND(S340,2)&amp;"|"&amp;COUNTIFS($C$4:C340,C340,$S$4:S340,S340))</f>
        <v/>
      </c>
      <c r="U340" s="34" t="str">
        <f t="shared" si="83"/>
        <v/>
      </c>
      <c r="V340" s="34" t="str">
        <f t="shared" si="84"/>
        <v/>
      </c>
      <c r="W340" s="34" t="str">
        <f t="shared" si="85"/>
        <v/>
      </c>
      <c r="X340" s="34">
        <f t="shared" si="86"/>
        <v>0</v>
      </c>
      <c r="Y340" s="34" t="str">
        <f t="shared" si="87"/>
        <v/>
      </c>
      <c r="Z340" s="34" t="str">
        <f>IF(X340=1,V340,IF(Y340="","",IF(COUNTIF(Y$3:Y339,Y340)=0,Y340,"")))</f>
        <v/>
      </c>
      <c r="AA340" s="34" t="b">
        <f t="shared" si="88"/>
        <v>0</v>
      </c>
      <c r="AB340" s="34">
        <f t="shared" si="89"/>
        <v>0</v>
      </c>
      <c r="AC340" s="34" t="str">
        <f>IF(AND(B340&lt;&gt;"",C340=CompteSel,N(B340)&lt;=DateArret,AB340=0),MAX($AC$3:AC339)+1,"")</f>
        <v/>
      </c>
      <c r="AD340" s="34" t="str">
        <f>IF(AND(ISNUMBER(M340),C340=CompteSel),MAX($AD$3:AD339)+1,"")</f>
        <v/>
      </c>
    </row>
    <row r="341" spans="1:30" x14ac:dyDescent="0.35">
      <c r="A341" s="1" t="str">
        <f t="shared" si="75"/>
        <v/>
      </c>
      <c r="B341" s="31"/>
      <c r="C341" s="8"/>
      <c r="D341" s="8"/>
      <c r="E341" s="8"/>
      <c r="F341" s="8"/>
      <c r="G341" s="8"/>
      <c r="H341" s="32"/>
      <c r="I341" s="32"/>
      <c r="J341" s="25" t="str">
        <f>IF(B341="","",IFERROR(VLOOKUP(C341,Soldes_Ouverture,2,FALSE()),0)+SUMIFS($S$4:S341,$C$4:C341,C341))</f>
        <v/>
      </c>
      <c r="K341" s="1" t="str">
        <f t="shared" si="76"/>
        <v/>
      </c>
      <c r="L341" s="1" t="str">
        <f t="shared" si="77"/>
        <v/>
      </c>
      <c r="M341" s="1" t="str">
        <f t="shared" si="78"/>
        <v/>
      </c>
      <c r="N341" s="8"/>
      <c r="O341" s="8"/>
      <c r="P341" s="1" t="str">
        <f t="shared" si="79"/>
        <v/>
      </c>
      <c r="Q341" s="25" t="str">
        <f t="shared" si="80"/>
        <v/>
      </c>
      <c r="R341" s="1" t="str">
        <f t="shared" si="81"/>
        <v/>
      </c>
      <c r="S341" s="33" t="str">
        <f t="shared" si="82"/>
        <v/>
      </c>
      <c r="T341" s="34" t="str">
        <f>IF(B341="","",C341&amp;"|"&amp;ROUND(S341,2)&amp;"|"&amp;COUNTIFS($C$4:C341,C341,$S$4:S341,S341))</f>
        <v/>
      </c>
      <c r="U341" s="34" t="str">
        <f t="shared" si="83"/>
        <v/>
      </c>
      <c r="V341" s="34" t="str">
        <f t="shared" si="84"/>
        <v/>
      </c>
      <c r="W341" s="34" t="str">
        <f t="shared" si="85"/>
        <v/>
      </c>
      <c r="X341" s="34">
        <f t="shared" si="86"/>
        <v>0</v>
      </c>
      <c r="Y341" s="34" t="str">
        <f t="shared" si="87"/>
        <v/>
      </c>
      <c r="Z341" s="34" t="str">
        <f>IF(X341=1,V341,IF(Y341="","",IF(COUNTIF(Y$3:Y340,Y341)=0,Y341,"")))</f>
        <v/>
      </c>
      <c r="AA341" s="34" t="b">
        <f t="shared" si="88"/>
        <v>0</v>
      </c>
      <c r="AB341" s="34">
        <f t="shared" si="89"/>
        <v>0</v>
      </c>
      <c r="AC341" s="34" t="str">
        <f>IF(AND(B341&lt;&gt;"",C341=CompteSel,N(B341)&lt;=DateArret,AB341=0),MAX($AC$3:AC340)+1,"")</f>
        <v/>
      </c>
      <c r="AD341" s="34" t="str">
        <f>IF(AND(ISNUMBER(M341),C341=CompteSel),MAX($AD$3:AD340)+1,"")</f>
        <v/>
      </c>
    </row>
    <row r="342" spans="1:30" x14ac:dyDescent="0.35">
      <c r="A342" s="1" t="str">
        <f t="shared" si="75"/>
        <v/>
      </c>
      <c r="B342" s="31"/>
      <c r="C342" s="8"/>
      <c r="D342" s="8"/>
      <c r="E342" s="8"/>
      <c r="F342" s="8"/>
      <c r="G342" s="8"/>
      <c r="H342" s="32"/>
      <c r="I342" s="32"/>
      <c r="J342" s="25" t="str">
        <f>IF(B342="","",IFERROR(VLOOKUP(C342,Soldes_Ouverture,2,FALSE()),0)+SUMIFS($S$4:S342,$C$4:C342,C342))</f>
        <v/>
      </c>
      <c r="K342" s="1" t="str">
        <f t="shared" si="76"/>
        <v/>
      </c>
      <c r="L342" s="1" t="str">
        <f t="shared" si="77"/>
        <v/>
      </c>
      <c r="M342" s="1" t="str">
        <f t="shared" si="78"/>
        <v/>
      </c>
      <c r="N342" s="8"/>
      <c r="O342" s="8"/>
      <c r="P342" s="1" t="str">
        <f t="shared" si="79"/>
        <v/>
      </c>
      <c r="Q342" s="25" t="str">
        <f t="shared" si="80"/>
        <v/>
      </c>
      <c r="R342" s="1" t="str">
        <f t="shared" si="81"/>
        <v/>
      </c>
      <c r="S342" s="33" t="str">
        <f t="shared" si="82"/>
        <v/>
      </c>
      <c r="T342" s="34" t="str">
        <f>IF(B342="","",C342&amp;"|"&amp;ROUND(S342,2)&amp;"|"&amp;COUNTIFS($C$4:C342,C342,$S$4:S342,S342))</f>
        <v/>
      </c>
      <c r="U342" s="34" t="str">
        <f t="shared" si="83"/>
        <v/>
      </c>
      <c r="V342" s="34" t="str">
        <f t="shared" si="84"/>
        <v/>
      </c>
      <c r="W342" s="34" t="str">
        <f t="shared" si="85"/>
        <v/>
      </c>
      <c r="X342" s="34">
        <f t="shared" si="86"/>
        <v>0</v>
      </c>
      <c r="Y342" s="34" t="str">
        <f t="shared" si="87"/>
        <v/>
      </c>
      <c r="Z342" s="34" t="str">
        <f>IF(X342=1,V342,IF(Y342="","",IF(COUNTIF(Y$3:Y341,Y342)=0,Y342,"")))</f>
        <v/>
      </c>
      <c r="AA342" s="34" t="b">
        <f t="shared" si="88"/>
        <v>0</v>
      </c>
      <c r="AB342" s="34">
        <f t="shared" si="89"/>
        <v>0</v>
      </c>
      <c r="AC342" s="34" t="str">
        <f>IF(AND(B342&lt;&gt;"",C342=CompteSel,N(B342)&lt;=DateArret,AB342=0),MAX($AC$3:AC341)+1,"")</f>
        <v/>
      </c>
      <c r="AD342" s="34" t="str">
        <f>IF(AND(ISNUMBER(M342),C342=CompteSel),MAX($AD$3:AD341)+1,"")</f>
        <v/>
      </c>
    </row>
    <row r="343" spans="1:30" x14ac:dyDescent="0.35">
      <c r="A343" s="1" t="str">
        <f t="shared" si="75"/>
        <v/>
      </c>
      <c r="B343" s="31"/>
      <c r="C343" s="8"/>
      <c r="D343" s="8"/>
      <c r="E343" s="8"/>
      <c r="F343" s="8"/>
      <c r="G343" s="8"/>
      <c r="H343" s="32"/>
      <c r="I343" s="32"/>
      <c r="J343" s="25" t="str">
        <f>IF(B343="","",IFERROR(VLOOKUP(C343,Soldes_Ouverture,2,FALSE()),0)+SUMIFS($S$4:S343,$C$4:C343,C343))</f>
        <v/>
      </c>
      <c r="K343" s="1" t="str">
        <f t="shared" si="76"/>
        <v/>
      </c>
      <c r="L343" s="1" t="str">
        <f t="shared" si="77"/>
        <v/>
      </c>
      <c r="M343" s="1" t="str">
        <f t="shared" si="78"/>
        <v/>
      </c>
      <c r="N343" s="8"/>
      <c r="O343" s="8"/>
      <c r="P343" s="1" t="str">
        <f t="shared" si="79"/>
        <v/>
      </c>
      <c r="Q343" s="25" t="str">
        <f t="shared" si="80"/>
        <v/>
      </c>
      <c r="R343" s="1" t="str">
        <f t="shared" si="81"/>
        <v/>
      </c>
      <c r="S343" s="33" t="str">
        <f t="shared" si="82"/>
        <v/>
      </c>
      <c r="T343" s="34" t="str">
        <f>IF(B343="","",C343&amp;"|"&amp;ROUND(S343,2)&amp;"|"&amp;COUNTIFS($C$4:C343,C343,$S$4:S343,S343))</f>
        <v/>
      </c>
      <c r="U343" s="34" t="str">
        <f t="shared" si="83"/>
        <v/>
      </c>
      <c r="V343" s="34" t="str">
        <f t="shared" si="84"/>
        <v/>
      </c>
      <c r="W343" s="34" t="str">
        <f t="shared" si="85"/>
        <v/>
      </c>
      <c r="X343" s="34">
        <f t="shared" si="86"/>
        <v>0</v>
      </c>
      <c r="Y343" s="34" t="str">
        <f t="shared" si="87"/>
        <v/>
      </c>
      <c r="Z343" s="34" t="str">
        <f>IF(X343=1,V343,IF(Y343="","",IF(COUNTIF(Y$3:Y342,Y343)=0,Y343,"")))</f>
        <v/>
      </c>
      <c r="AA343" s="34" t="b">
        <f t="shared" si="88"/>
        <v>0</v>
      </c>
      <c r="AB343" s="34">
        <f t="shared" si="89"/>
        <v>0</v>
      </c>
      <c r="AC343" s="34" t="str">
        <f>IF(AND(B343&lt;&gt;"",C343=CompteSel,N(B343)&lt;=DateArret,AB343=0),MAX($AC$3:AC342)+1,"")</f>
        <v/>
      </c>
      <c r="AD343" s="34" t="str">
        <f>IF(AND(ISNUMBER(M343),C343=CompteSel),MAX($AD$3:AD342)+1,"")</f>
        <v/>
      </c>
    </row>
    <row r="344" spans="1:30" x14ac:dyDescent="0.35">
      <c r="A344" s="1" t="str">
        <f t="shared" si="75"/>
        <v/>
      </c>
      <c r="B344" s="31"/>
      <c r="C344" s="8"/>
      <c r="D344" s="8"/>
      <c r="E344" s="8"/>
      <c r="F344" s="8"/>
      <c r="G344" s="8"/>
      <c r="H344" s="32"/>
      <c r="I344" s="32"/>
      <c r="J344" s="25" t="str">
        <f>IF(B344="","",IFERROR(VLOOKUP(C344,Soldes_Ouverture,2,FALSE()),0)+SUMIFS($S$4:S344,$C$4:C344,C344))</f>
        <v/>
      </c>
      <c r="K344" s="1" t="str">
        <f t="shared" si="76"/>
        <v/>
      </c>
      <c r="L344" s="1" t="str">
        <f t="shared" si="77"/>
        <v/>
      </c>
      <c r="M344" s="1" t="str">
        <f t="shared" si="78"/>
        <v/>
      </c>
      <c r="N344" s="8"/>
      <c r="O344" s="8"/>
      <c r="P344" s="1" t="str">
        <f t="shared" si="79"/>
        <v/>
      </c>
      <c r="Q344" s="25" t="str">
        <f t="shared" si="80"/>
        <v/>
      </c>
      <c r="R344" s="1" t="str">
        <f t="shared" si="81"/>
        <v/>
      </c>
      <c r="S344" s="33" t="str">
        <f t="shared" si="82"/>
        <v/>
      </c>
      <c r="T344" s="34" t="str">
        <f>IF(B344="","",C344&amp;"|"&amp;ROUND(S344,2)&amp;"|"&amp;COUNTIFS($C$4:C344,C344,$S$4:S344,S344))</f>
        <v/>
      </c>
      <c r="U344" s="34" t="str">
        <f t="shared" si="83"/>
        <v/>
      </c>
      <c r="V344" s="34" t="str">
        <f t="shared" si="84"/>
        <v/>
      </c>
      <c r="W344" s="34" t="str">
        <f t="shared" si="85"/>
        <v/>
      </c>
      <c r="X344" s="34">
        <f t="shared" si="86"/>
        <v>0</v>
      </c>
      <c r="Y344" s="34" t="str">
        <f t="shared" si="87"/>
        <v/>
      </c>
      <c r="Z344" s="34" t="str">
        <f>IF(X344=1,V344,IF(Y344="","",IF(COUNTIF(Y$3:Y343,Y344)=0,Y344,"")))</f>
        <v/>
      </c>
      <c r="AA344" s="34" t="b">
        <f t="shared" si="88"/>
        <v>0</v>
      </c>
      <c r="AB344" s="34">
        <f t="shared" si="89"/>
        <v>0</v>
      </c>
      <c r="AC344" s="34" t="str">
        <f>IF(AND(B344&lt;&gt;"",C344=CompteSel,N(B344)&lt;=DateArret,AB344=0),MAX($AC$3:AC343)+1,"")</f>
        <v/>
      </c>
      <c r="AD344" s="34" t="str">
        <f>IF(AND(ISNUMBER(M344),C344=CompteSel),MAX($AD$3:AD343)+1,"")</f>
        <v/>
      </c>
    </row>
    <row r="345" spans="1:30" x14ac:dyDescent="0.35">
      <c r="A345" s="1" t="str">
        <f t="shared" si="75"/>
        <v/>
      </c>
      <c r="B345" s="31"/>
      <c r="C345" s="8"/>
      <c r="D345" s="8"/>
      <c r="E345" s="8"/>
      <c r="F345" s="8"/>
      <c r="G345" s="8"/>
      <c r="H345" s="32"/>
      <c r="I345" s="32"/>
      <c r="J345" s="25" t="str">
        <f>IF(B345="","",IFERROR(VLOOKUP(C345,Soldes_Ouverture,2,FALSE()),0)+SUMIFS($S$4:S345,$C$4:C345,C345))</f>
        <v/>
      </c>
      <c r="K345" s="1" t="str">
        <f t="shared" si="76"/>
        <v/>
      </c>
      <c r="L345" s="1" t="str">
        <f t="shared" si="77"/>
        <v/>
      </c>
      <c r="M345" s="1" t="str">
        <f t="shared" si="78"/>
        <v/>
      </c>
      <c r="N345" s="8"/>
      <c r="O345" s="8"/>
      <c r="P345" s="1" t="str">
        <f t="shared" si="79"/>
        <v/>
      </c>
      <c r="Q345" s="25" t="str">
        <f t="shared" si="80"/>
        <v/>
      </c>
      <c r="R345" s="1" t="str">
        <f t="shared" si="81"/>
        <v/>
      </c>
      <c r="S345" s="33" t="str">
        <f t="shared" si="82"/>
        <v/>
      </c>
      <c r="T345" s="34" t="str">
        <f>IF(B345="","",C345&amp;"|"&amp;ROUND(S345,2)&amp;"|"&amp;COUNTIFS($C$4:C345,C345,$S$4:S345,S345))</f>
        <v/>
      </c>
      <c r="U345" s="34" t="str">
        <f t="shared" si="83"/>
        <v/>
      </c>
      <c r="V345" s="34" t="str">
        <f t="shared" si="84"/>
        <v/>
      </c>
      <c r="W345" s="34" t="str">
        <f t="shared" si="85"/>
        <v/>
      </c>
      <c r="X345" s="34">
        <f t="shared" si="86"/>
        <v>0</v>
      </c>
      <c r="Y345" s="34" t="str">
        <f t="shared" si="87"/>
        <v/>
      </c>
      <c r="Z345" s="34" t="str">
        <f>IF(X345=1,V345,IF(Y345="","",IF(COUNTIF(Y$3:Y344,Y345)=0,Y345,"")))</f>
        <v/>
      </c>
      <c r="AA345" s="34" t="b">
        <f t="shared" si="88"/>
        <v>0</v>
      </c>
      <c r="AB345" s="34">
        <f t="shared" si="89"/>
        <v>0</v>
      </c>
      <c r="AC345" s="34" t="str">
        <f>IF(AND(B345&lt;&gt;"",C345=CompteSel,N(B345)&lt;=DateArret,AB345=0),MAX($AC$3:AC344)+1,"")</f>
        <v/>
      </c>
      <c r="AD345" s="34" t="str">
        <f>IF(AND(ISNUMBER(M345),C345=CompteSel),MAX($AD$3:AD344)+1,"")</f>
        <v/>
      </c>
    </row>
    <row r="346" spans="1:30" x14ac:dyDescent="0.35">
      <c r="A346" s="1" t="str">
        <f t="shared" si="75"/>
        <v/>
      </c>
      <c r="B346" s="31"/>
      <c r="C346" s="8"/>
      <c r="D346" s="8"/>
      <c r="E346" s="8"/>
      <c r="F346" s="8"/>
      <c r="G346" s="8"/>
      <c r="H346" s="32"/>
      <c r="I346" s="32"/>
      <c r="J346" s="25" t="str">
        <f>IF(B346="","",IFERROR(VLOOKUP(C346,Soldes_Ouverture,2,FALSE()),0)+SUMIFS($S$4:S346,$C$4:C346,C346))</f>
        <v/>
      </c>
      <c r="K346" s="1" t="str">
        <f t="shared" si="76"/>
        <v/>
      </c>
      <c r="L346" s="1" t="str">
        <f t="shared" si="77"/>
        <v/>
      </c>
      <c r="M346" s="1" t="str">
        <f t="shared" si="78"/>
        <v/>
      </c>
      <c r="N346" s="8"/>
      <c r="O346" s="8"/>
      <c r="P346" s="1" t="str">
        <f t="shared" si="79"/>
        <v/>
      </c>
      <c r="Q346" s="25" t="str">
        <f t="shared" si="80"/>
        <v/>
      </c>
      <c r="R346" s="1" t="str">
        <f t="shared" si="81"/>
        <v/>
      </c>
      <c r="S346" s="33" t="str">
        <f t="shared" si="82"/>
        <v/>
      </c>
      <c r="T346" s="34" t="str">
        <f>IF(B346="","",C346&amp;"|"&amp;ROUND(S346,2)&amp;"|"&amp;COUNTIFS($C$4:C346,C346,$S$4:S346,S346))</f>
        <v/>
      </c>
      <c r="U346" s="34" t="str">
        <f t="shared" si="83"/>
        <v/>
      </c>
      <c r="V346" s="34" t="str">
        <f t="shared" si="84"/>
        <v/>
      </c>
      <c r="W346" s="34" t="str">
        <f t="shared" si="85"/>
        <v/>
      </c>
      <c r="X346" s="34">
        <f t="shared" si="86"/>
        <v>0</v>
      </c>
      <c r="Y346" s="34" t="str">
        <f t="shared" si="87"/>
        <v/>
      </c>
      <c r="Z346" s="34" t="str">
        <f>IF(X346=1,V346,IF(Y346="","",IF(COUNTIF(Y$3:Y345,Y346)=0,Y346,"")))</f>
        <v/>
      </c>
      <c r="AA346" s="34" t="b">
        <f t="shared" si="88"/>
        <v>0</v>
      </c>
      <c r="AB346" s="34">
        <f t="shared" si="89"/>
        <v>0</v>
      </c>
      <c r="AC346" s="34" t="str">
        <f>IF(AND(B346&lt;&gt;"",C346=CompteSel,N(B346)&lt;=DateArret,AB346=0),MAX($AC$3:AC345)+1,"")</f>
        <v/>
      </c>
      <c r="AD346" s="34" t="str">
        <f>IF(AND(ISNUMBER(M346),C346=CompteSel),MAX($AD$3:AD345)+1,"")</f>
        <v/>
      </c>
    </row>
    <row r="347" spans="1:30" x14ac:dyDescent="0.35">
      <c r="A347" s="1" t="str">
        <f t="shared" si="75"/>
        <v/>
      </c>
      <c r="B347" s="31"/>
      <c r="C347" s="8"/>
      <c r="D347" s="8"/>
      <c r="E347" s="8"/>
      <c r="F347" s="8"/>
      <c r="G347" s="8"/>
      <c r="H347" s="32"/>
      <c r="I347" s="32"/>
      <c r="J347" s="25" t="str">
        <f>IF(B347="","",IFERROR(VLOOKUP(C347,Soldes_Ouverture,2,FALSE()),0)+SUMIFS($S$4:S347,$C$4:C347,C347))</f>
        <v/>
      </c>
      <c r="K347" s="1" t="str">
        <f t="shared" si="76"/>
        <v/>
      </c>
      <c r="L347" s="1" t="str">
        <f t="shared" si="77"/>
        <v/>
      </c>
      <c r="M347" s="1" t="str">
        <f t="shared" si="78"/>
        <v/>
      </c>
      <c r="N347" s="8"/>
      <c r="O347" s="8"/>
      <c r="P347" s="1" t="str">
        <f t="shared" si="79"/>
        <v/>
      </c>
      <c r="Q347" s="25" t="str">
        <f t="shared" si="80"/>
        <v/>
      </c>
      <c r="R347" s="1" t="str">
        <f t="shared" si="81"/>
        <v/>
      </c>
      <c r="S347" s="33" t="str">
        <f t="shared" si="82"/>
        <v/>
      </c>
      <c r="T347" s="34" t="str">
        <f>IF(B347="","",C347&amp;"|"&amp;ROUND(S347,2)&amp;"|"&amp;COUNTIFS($C$4:C347,C347,$S$4:S347,S347))</f>
        <v/>
      </c>
      <c r="U347" s="34" t="str">
        <f t="shared" si="83"/>
        <v/>
      </c>
      <c r="V347" s="34" t="str">
        <f t="shared" si="84"/>
        <v/>
      </c>
      <c r="W347" s="34" t="str">
        <f t="shared" si="85"/>
        <v/>
      </c>
      <c r="X347" s="34">
        <f t="shared" si="86"/>
        <v>0</v>
      </c>
      <c r="Y347" s="34" t="str">
        <f t="shared" si="87"/>
        <v/>
      </c>
      <c r="Z347" s="34" t="str">
        <f>IF(X347=1,V347,IF(Y347="","",IF(COUNTIF(Y$3:Y346,Y347)=0,Y347,"")))</f>
        <v/>
      </c>
      <c r="AA347" s="34" t="b">
        <f t="shared" si="88"/>
        <v>0</v>
      </c>
      <c r="AB347" s="34">
        <f t="shared" si="89"/>
        <v>0</v>
      </c>
      <c r="AC347" s="34" t="str">
        <f>IF(AND(B347&lt;&gt;"",C347=CompteSel,N(B347)&lt;=DateArret,AB347=0),MAX($AC$3:AC346)+1,"")</f>
        <v/>
      </c>
      <c r="AD347" s="34" t="str">
        <f>IF(AND(ISNUMBER(M347),C347=CompteSel),MAX($AD$3:AD346)+1,"")</f>
        <v/>
      </c>
    </row>
    <row r="348" spans="1:30" x14ac:dyDescent="0.35">
      <c r="A348" s="1" t="str">
        <f t="shared" si="75"/>
        <v/>
      </c>
      <c r="B348" s="31"/>
      <c r="C348" s="8"/>
      <c r="D348" s="8"/>
      <c r="E348" s="8"/>
      <c r="F348" s="8"/>
      <c r="G348" s="8"/>
      <c r="H348" s="32"/>
      <c r="I348" s="32"/>
      <c r="J348" s="25" t="str">
        <f>IF(B348="","",IFERROR(VLOOKUP(C348,Soldes_Ouverture,2,FALSE()),0)+SUMIFS($S$4:S348,$C$4:C348,C348))</f>
        <v/>
      </c>
      <c r="K348" s="1" t="str">
        <f t="shared" si="76"/>
        <v/>
      </c>
      <c r="L348" s="1" t="str">
        <f t="shared" si="77"/>
        <v/>
      </c>
      <c r="M348" s="1" t="str">
        <f t="shared" si="78"/>
        <v/>
      </c>
      <c r="N348" s="8"/>
      <c r="O348" s="8"/>
      <c r="P348" s="1" t="str">
        <f t="shared" si="79"/>
        <v/>
      </c>
      <c r="Q348" s="25" t="str">
        <f t="shared" si="80"/>
        <v/>
      </c>
      <c r="R348" s="1" t="str">
        <f t="shared" si="81"/>
        <v/>
      </c>
      <c r="S348" s="33" t="str">
        <f t="shared" si="82"/>
        <v/>
      </c>
      <c r="T348" s="34" t="str">
        <f>IF(B348="","",C348&amp;"|"&amp;ROUND(S348,2)&amp;"|"&amp;COUNTIFS($C$4:C348,C348,$S$4:S348,S348))</f>
        <v/>
      </c>
      <c r="U348" s="34" t="str">
        <f t="shared" si="83"/>
        <v/>
      </c>
      <c r="V348" s="34" t="str">
        <f t="shared" si="84"/>
        <v/>
      </c>
      <c r="W348" s="34" t="str">
        <f t="shared" si="85"/>
        <v/>
      </c>
      <c r="X348" s="34">
        <f t="shared" si="86"/>
        <v>0</v>
      </c>
      <c r="Y348" s="34" t="str">
        <f t="shared" si="87"/>
        <v/>
      </c>
      <c r="Z348" s="34" t="str">
        <f>IF(X348=1,V348,IF(Y348="","",IF(COUNTIF(Y$3:Y347,Y348)=0,Y348,"")))</f>
        <v/>
      </c>
      <c r="AA348" s="34" t="b">
        <f t="shared" si="88"/>
        <v>0</v>
      </c>
      <c r="AB348" s="34">
        <f t="shared" si="89"/>
        <v>0</v>
      </c>
      <c r="AC348" s="34" t="str">
        <f>IF(AND(B348&lt;&gt;"",C348=CompteSel,N(B348)&lt;=DateArret,AB348=0),MAX($AC$3:AC347)+1,"")</f>
        <v/>
      </c>
      <c r="AD348" s="34" t="str">
        <f>IF(AND(ISNUMBER(M348),C348=CompteSel),MAX($AD$3:AD347)+1,"")</f>
        <v/>
      </c>
    </row>
    <row r="349" spans="1:30" x14ac:dyDescent="0.35">
      <c r="A349" s="1" t="str">
        <f t="shared" si="75"/>
        <v/>
      </c>
      <c r="B349" s="31"/>
      <c r="C349" s="8"/>
      <c r="D349" s="8"/>
      <c r="E349" s="8"/>
      <c r="F349" s="8"/>
      <c r="G349" s="8"/>
      <c r="H349" s="32"/>
      <c r="I349" s="32"/>
      <c r="J349" s="25" t="str">
        <f>IF(B349="","",IFERROR(VLOOKUP(C349,Soldes_Ouverture,2,FALSE()),0)+SUMIFS($S$4:S349,$C$4:C349,C349))</f>
        <v/>
      </c>
      <c r="K349" s="1" t="str">
        <f t="shared" si="76"/>
        <v/>
      </c>
      <c r="L349" s="1" t="str">
        <f t="shared" si="77"/>
        <v/>
      </c>
      <c r="M349" s="1" t="str">
        <f t="shared" si="78"/>
        <v/>
      </c>
      <c r="N349" s="8"/>
      <c r="O349" s="8"/>
      <c r="P349" s="1" t="str">
        <f t="shared" si="79"/>
        <v/>
      </c>
      <c r="Q349" s="25" t="str">
        <f t="shared" si="80"/>
        <v/>
      </c>
      <c r="R349" s="1" t="str">
        <f t="shared" si="81"/>
        <v/>
      </c>
      <c r="S349" s="33" t="str">
        <f t="shared" si="82"/>
        <v/>
      </c>
      <c r="T349" s="34" t="str">
        <f>IF(B349="","",C349&amp;"|"&amp;ROUND(S349,2)&amp;"|"&amp;COUNTIFS($C$4:C349,C349,$S$4:S349,S349))</f>
        <v/>
      </c>
      <c r="U349" s="34" t="str">
        <f t="shared" si="83"/>
        <v/>
      </c>
      <c r="V349" s="34" t="str">
        <f t="shared" si="84"/>
        <v/>
      </c>
      <c r="W349" s="34" t="str">
        <f t="shared" si="85"/>
        <v/>
      </c>
      <c r="X349" s="34">
        <f t="shared" si="86"/>
        <v>0</v>
      </c>
      <c r="Y349" s="34" t="str">
        <f t="shared" si="87"/>
        <v/>
      </c>
      <c r="Z349" s="34" t="str">
        <f>IF(X349=1,V349,IF(Y349="","",IF(COUNTIF(Y$3:Y348,Y349)=0,Y349,"")))</f>
        <v/>
      </c>
      <c r="AA349" s="34" t="b">
        <f t="shared" si="88"/>
        <v>0</v>
      </c>
      <c r="AB349" s="34">
        <f t="shared" si="89"/>
        <v>0</v>
      </c>
      <c r="AC349" s="34" t="str">
        <f>IF(AND(B349&lt;&gt;"",C349=CompteSel,N(B349)&lt;=DateArret,AB349=0),MAX($AC$3:AC348)+1,"")</f>
        <v/>
      </c>
      <c r="AD349" s="34" t="str">
        <f>IF(AND(ISNUMBER(M349),C349=CompteSel),MAX($AD$3:AD348)+1,"")</f>
        <v/>
      </c>
    </row>
    <row r="350" spans="1:30" x14ac:dyDescent="0.35">
      <c r="A350" s="1" t="str">
        <f t="shared" si="75"/>
        <v/>
      </c>
      <c r="B350" s="31"/>
      <c r="C350" s="8"/>
      <c r="D350" s="8"/>
      <c r="E350" s="8"/>
      <c r="F350" s="8"/>
      <c r="G350" s="8"/>
      <c r="H350" s="32"/>
      <c r="I350" s="32"/>
      <c r="J350" s="25" t="str">
        <f>IF(B350="","",IFERROR(VLOOKUP(C350,Soldes_Ouverture,2,FALSE()),0)+SUMIFS($S$4:S350,$C$4:C350,C350))</f>
        <v/>
      </c>
      <c r="K350" s="1" t="str">
        <f t="shared" si="76"/>
        <v/>
      </c>
      <c r="L350" s="1" t="str">
        <f t="shared" si="77"/>
        <v/>
      </c>
      <c r="M350" s="1" t="str">
        <f t="shared" si="78"/>
        <v/>
      </c>
      <c r="N350" s="8"/>
      <c r="O350" s="8"/>
      <c r="P350" s="1" t="str">
        <f t="shared" si="79"/>
        <v/>
      </c>
      <c r="Q350" s="25" t="str">
        <f t="shared" si="80"/>
        <v/>
      </c>
      <c r="R350" s="1" t="str">
        <f t="shared" si="81"/>
        <v/>
      </c>
      <c r="S350" s="33" t="str">
        <f t="shared" si="82"/>
        <v/>
      </c>
      <c r="T350" s="34" t="str">
        <f>IF(B350="","",C350&amp;"|"&amp;ROUND(S350,2)&amp;"|"&amp;COUNTIFS($C$4:C350,C350,$S$4:S350,S350))</f>
        <v/>
      </c>
      <c r="U350" s="34" t="str">
        <f t="shared" si="83"/>
        <v/>
      </c>
      <c r="V350" s="34" t="str">
        <f t="shared" si="84"/>
        <v/>
      </c>
      <c r="W350" s="34" t="str">
        <f t="shared" si="85"/>
        <v/>
      </c>
      <c r="X350" s="34">
        <f t="shared" si="86"/>
        <v>0</v>
      </c>
      <c r="Y350" s="34" t="str">
        <f t="shared" si="87"/>
        <v/>
      </c>
      <c r="Z350" s="34" t="str">
        <f>IF(X350=1,V350,IF(Y350="","",IF(COUNTIF(Y$3:Y349,Y350)=0,Y350,"")))</f>
        <v/>
      </c>
      <c r="AA350" s="34" t="b">
        <f t="shared" si="88"/>
        <v>0</v>
      </c>
      <c r="AB350" s="34">
        <f t="shared" si="89"/>
        <v>0</v>
      </c>
      <c r="AC350" s="34" t="str">
        <f>IF(AND(B350&lt;&gt;"",C350=CompteSel,N(B350)&lt;=DateArret,AB350=0),MAX($AC$3:AC349)+1,"")</f>
        <v/>
      </c>
      <c r="AD350" s="34" t="str">
        <f>IF(AND(ISNUMBER(M350),C350=CompteSel),MAX($AD$3:AD349)+1,"")</f>
        <v/>
      </c>
    </row>
    <row r="351" spans="1:30" x14ac:dyDescent="0.35">
      <c r="A351" s="1" t="str">
        <f t="shared" si="75"/>
        <v/>
      </c>
      <c r="B351" s="31"/>
      <c r="C351" s="8"/>
      <c r="D351" s="8"/>
      <c r="E351" s="8"/>
      <c r="F351" s="8"/>
      <c r="G351" s="8"/>
      <c r="H351" s="32"/>
      <c r="I351" s="32"/>
      <c r="J351" s="25" t="str">
        <f>IF(B351="","",IFERROR(VLOOKUP(C351,Soldes_Ouverture,2,FALSE()),0)+SUMIFS($S$4:S351,$C$4:C351,C351))</f>
        <v/>
      </c>
      <c r="K351" s="1" t="str">
        <f t="shared" si="76"/>
        <v/>
      </c>
      <c r="L351" s="1" t="str">
        <f t="shared" si="77"/>
        <v/>
      </c>
      <c r="M351" s="1" t="str">
        <f t="shared" si="78"/>
        <v/>
      </c>
      <c r="N351" s="8"/>
      <c r="O351" s="8"/>
      <c r="P351" s="1" t="str">
        <f t="shared" si="79"/>
        <v/>
      </c>
      <c r="Q351" s="25" t="str">
        <f t="shared" si="80"/>
        <v/>
      </c>
      <c r="R351" s="1" t="str">
        <f t="shared" si="81"/>
        <v/>
      </c>
      <c r="S351" s="33" t="str">
        <f t="shared" si="82"/>
        <v/>
      </c>
      <c r="T351" s="34" t="str">
        <f>IF(B351="","",C351&amp;"|"&amp;ROUND(S351,2)&amp;"|"&amp;COUNTIFS($C$4:C351,C351,$S$4:S351,S351))</f>
        <v/>
      </c>
      <c r="U351" s="34" t="str">
        <f t="shared" si="83"/>
        <v/>
      </c>
      <c r="V351" s="34" t="str">
        <f t="shared" si="84"/>
        <v/>
      </c>
      <c r="W351" s="34" t="str">
        <f t="shared" si="85"/>
        <v/>
      </c>
      <c r="X351" s="34">
        <f t="shared" si="86"/>
        <v>0</v>
      </c>
      <c r="Y351" s="34" t="str">
        <f t="shared" si="87"/>
        <v/>
      </c>
      <c r="Z351" s="34" t="str">
        <f>IF(X351=1,V351,IF(Y351="","",IF(COUNTIF(Y$3:Y350,Y351)=0,Y351,"")))</f>
        <v/>
      </c>
      <c r="AA351" s="34" t="b">
        <f t="shared" si="88"/>
        <v>0</v>
      </c>
      <c r="AB351" s="34">
        <f t="shared" si="89"/>
        <v>0</v>
      </c>
      <c r="AC351" s="34" t="str">
        <f>IF(AND(B351&lt;&gt;"",C351=CompteSel,N(B351)&lt;=DateArret,AB351=0),MAX($AC$3:AC350)+1,"")</f>
        <v/>
      </c>
      <c r="AD351" s="34" t="str">
        <f>IF(AND(ISNUMBER(M351),C351=CompteSel),MAX($AD$3:AD350)+1,"")</f>
        <v/>
      </c>
    </row>
    <row r="352" spans="1:30" x14ac:dyDescent="0.35">
      <c r="A352" s="1" t="str">
        <f t="shared" si="75"/>
        <v/>
      </c>
      <c r="B352" s="31"/>
      <c r="C352" s="8"/>
      <c r="D352" s="8"/>
      <c r="E352" s="8"/>
      <c r="F352" s="8"/>
      <c r="G352" s="8"/>
      <c r="H352" s="32"/>
      <c r="I352" s="32"/>
      <c r="J352" s="25" t="str">
        <f>IF(B352="","",IFERROR(VLOOKUP(C352,Soldes_Ouverture,2,FALSE()),0)+SUMIFS($S$4:S352,$C$4:C352,C352))</f>
        <v/>
      </c>
      <c r="K352" s="1" t="str">
        <f t="shared" si="76"/>
        <v/>
      </c>
      <c r="L352" s="1" t="str">
        <f t="shared" si="77"/>
        <v/>
      </c>
      <c r="M352" s="1" t="str">
        <f t="shared" si="78"/>
        <v/>
      </c>
      <c r="N352" s="8"/>
      <c r="O352" s="8"/>
      <c r="P352" s="1" t="str">
        <f t="shared" si="79"/>
        <v/>
      </c>
      <c r="Q352" s="25" t="str">
        <f t="shared" si="80"/>
        <v/>
      </c>
      <c r="R352" s="1" t="str">
        <f t="shared" si="81"/>
        <v/>
      </c>
      <c r="S352" s="33" t="str">
        <f t="shared" si="82"/>
        <v/>
      </c>
      <c r="T352" s="34" t="str">
        <f>IF(B352="","",C352&amp;"|"&amp;ROUND(S352,2)&amp;"|"&amp;COUNTIFS($C$4:C352,C352,$S$4:S352,S352))</f>
        <v/>
      </c>
      <c r="U352" s="34" t="str">
        <f t="shared" si="83"/>
        <v/>
      </c>
      <c r="V352" s="34" t="str">
        <f t="shared" si="84"/>
        <v/>
      </c>
      <c r="W352" s="34" t="str">
        <f t="shared" si="85"/>
        <v/>
      </c>
      <c r="X352" s="34">
        <f t="shared" si="86"/>
        <v>0</v>
      </c>
      <c r="Y352" s="34" t="str">
        <f t="shared" si="87"/>
        <v/>
      </c>
      <c r="Z352" s="34" t="str">
        <f>IF(X352=1,V352,IF(Y352="","",IF(COUNTIF(Y$3:Y351,Y352)=0,Y352,"")))</f>
        <v/>
      </c>
      <c r="AA352" s="34" t="b">
        <f t="shared" si="88"/>
        <v>0</v>
      </c>
      <c r="AB352" s="34">
        <f t="shared" si="89"/>
        <v>0</v>
      </c>
      <c r="AC352" s="34" t="str">
        <f>IF(AND(B352&lt;&gt;"",C352=CompteSel,N(B352)&lt;=DateArret,AB352=0),MAX($AC$3:AC351)+1,"")</f>
        <v/>
      </c>
      <c r="AD352" s="34" t="str">
        <f>IF(AND(ISNUMBER(M352),C352=CompteSel),MAX($AD$3:AD351)+1,"")</f>
        <v/>
      </c>
    </row>
    <row r="353" spans="1:30" x14ac:dyDescent="0.35">
      <c r="A353" s="1" t="str">
        <f t="shared" si="75"/>
        <v/>
      </c>
      <c r="B353" s="31"/>
      <c r="C353" s="8"/>
      <c r="D353" s="8"/>
      <c r="E353" s="8"/>
      <c r="F353" s="8"/>
      <c r="G353" s="8"/>
      <c r="H353" s="32"/>
      <c r="I353" s="32"/>
      <c r="J353" s="25" t="str">
        <f>IF(B353="","",IFERROR(VLOOKUP(C353,Soldes_Ouverture,2,FALSE()),0)+SUMIFS($S$4:S353,$C$4:C353,C353))</f>
        <v/>
      </c>
      <c r="K353" s="1" t="str">
        <f t="shared" si="76"/>
        <v/>
      </c>
      <c r="L353" s="1" t="str">
        <f t="shared" si="77"/>
        <v/>
      </c>
      <c r="M353" s="1" t="str">
        <f t="shared" si="78"/>
        <v/>
      </c>
      <c r="N353" s="8"/>
      <c r="O353" s="8"/>
      <c r="P353" s="1" t="str">
        <f t="shared" si="79"/>
        <v/>
      </c>
      <c r="Q353" s="25" t="str">
        <f t="shared" si="80"/>
        <v/>
      </c>
      <c r="R353" s="1" t="str">
        <f t="shared" si="81"/>
        <v/>
      </c>
      <c r="S353" s="33" t="str">
        <f t="shared" si="82"/>
        <v/>
      </c>
      <c r="T353" s="34" t="str">
        <f>IF(B353="","",C353&amp;"|"&amp;ROUND(S353,2)&amp;"|"&amp;COUNTIFS($C$4:C353,C353,$S$4:S353,S353))</f>
        <v/>
      </c>
      <c r="U353" s="34" t="str">
        <f t="shared" si="83"/>
        <v/>
      </c>
      <c r="V353" s="34" t="str">
        <f t="shared" si="84"/>
        <v/>
      </c>
      <c r="W353" s="34" t="str">
        <f t="shared" si="85"/>
        <v/>
      </c>
      <c r="X353" s="34">
        <f t="shared" si="86"/>
        <v>0</v>
      </c>
      <c r="Y353" s="34" t="str">
        <f t="shared" si="87"/>
        <v/>
      </c>
      <c r="Z353" s="34" t="str">
        <f>IF(X353=1,V353,IF(Y353="","",IF(COUNTIF(Y$3:Y352,Y353)=0,Y353,"")))</f>
        <v/>
      </c>
      <c r="AA353" s="34" t="b">
        <f t="shared" si="88"/>
        <v>0</v>
      </c>
      <c r="AB353" s="34">
        <f t="shared" si="89"/>
        <v>0</v>
      </c>
      <c r="AC353" s="34" t="str">
        <f>IF(AND(B353&lt;&gt;"",C353=CompteSel,N(B353)&lt;=DateArret,AB353=0),MAX($AC$3:AC352)+1,"")</f>
        <v/>
      </c>
      <c r="AD353" s="34" t="str">
        <f>IF(AND(ISNUMBER(M353),C353=CompteSel),MAX($AD$3:AD352)+1,"")</f>
        <v/>
      </c>
    </row>
    <row r="354" spans="1:30" x14ac:dyDescent="0.35">
      <c r="A354" s="1" t="str">
        <f t="shared" si="75"/>
        <v/>
      </c>
      <c r="B354" s="31"/>
      <c r="C354" s="8"/>
      <c r="D354" s="8"/>
      <c r="E354" s="8"/>
      <c r="F354" s="8"/>
      <c r="G354" s="8"/>
      <c r="H354" s="32"/>
      <c r="I354" s="32"/>
      <c r="J354" s="25" t="str">
        <f>IF(B354="","",IFERROR(VLOOKUP(C354,Soldes_Ouverture,2,FALSE()),0)+SUMIFS($S$4:S354,$C$4:C354,C354))</f>
        <v/>
      </c>
      <c r="K354" s="1" t="str">
        <f t="shared" si="76"/>
        <v/>
      </c>
      <c r="L354" s="1" t="str">
        <f t="shared" si="77"/>
        <v/>
      </c>
      <c r="M354" s="1" t="str">
        <f t="shared" si="78"/>
        <v/>
      </c>
      <c r="N354" s="8"/>
      <c r="O354" s="8"/>
      <c r="P354" s="1" t="str">
        <f t="shared" si="79"/>
        <v/>
      </c>
      <c r="Q354" s="25" t="str">
        <f t="shared" si="80"/>
        <v/>
      </c>
      <c r="R354" s="1" t="str">
        <f t="shared" si="81"/>
        <v/>
      </c>
      <c r="S354" s="33" t="str">
        <f t="shared" si="82"/>
        <v/>
      </c>
      <c r="T354" s="34" t="str">
        <f>IF(B354="","",C354&amp;"|"&amp;ROUND(S354,2)&amp;"|"&amp;COUNTIFS($C$4:C354,C354,$S$4:S354,S354))</f>
        <v/>
      </c>
      <c r="U354" s="34" t="str">
        <f t="shared" si="83"/>
        <v/>
      </c>
      <c r="V354" s="34" t="str">
        <f t="shared" si="84"/>
        <v/>
      </c>
      <c r="W354" s="34" t="str">
        <f t="shared" si="85"/>
        <v/>
      </c>
      <c r="X354" s="34">
        <f t="shared" si="86"/>
        <v>0</v>
      </c>
      <c r="Y354" s="34" t="str">
        <f t="shared" si="87"/>
        <v/>
      </c>
      <c r="Z354" s="34" t="str">
        <f>IF(X354=1,V354,IF(Y354="","",IF(COUNTIF(Y$3:Y353,Y354)=0,Y354,"")))</f>
        <v/>
      </c>
      <c r="AA354" s="34" t="b">
        <f t="shared" si="88"/>
        <v>0</v>
      </c>
      <c r="AB354" s="34">
        <f t="shared" si="89"/>
        <v>0</v>
      </c>
      <c r="AC354" s="34" t="str">
        <f>IF(AND(B354&lt;&gt;"",C354=CompteSel,N(B354)&lt;=DateArret,AB354=0),MAX($AC$3:AC353)+1,"")</f>
        <v/>
      </c>
      <c r="AD354" s="34" t="str">
        <f>IF(AND(ISNUMBER(M354),C354=CompteSel),MAX($AD$3:AD353)+1,"")</f>
        <v/>
      </c>
    </row>
    <row r="355" spans="1:30" x14ac:dyDescent="0.35">
      <c r="A355" s="1" t="str">
        <f t="shared" si="75"/>
        <v/>
      </c>
      <c r="B355" s="31"/>
      <c r="C355" s="8"/>
      <c r="D355" s="8"/>
      <c r="E355" s="8"/>
      <c r="F355" s="8"/>
      <c r="G355" s="8"/>
      <c r="H355" s="32"/>
      <c r="I355" s="32"/>
      <c r="J355" s="25" t="str">
        <f>IF(B355="","",IFERROR(VLOOKUP(C355,Soldes_Ouverture,2,FALSE()),0)+SUMIFS($S$4:S355,$C$4:C355,C355))</f>
        <v/>
      </c>
      <c r="K355" s="1" t="str">
        <f t="shared" si="76"/>
        <v/>
      </c>
      <c r="L355" s="1" t="str">
        <f t="shared" si="77"/>
        <v/>
      </c>
      <c r="M355" s="1" t="str">
        <f t="shared" si="78"/>
        <v/>
      </c>
      <c r="N355" s="8"/>
      <c r="O355" s="8"/>
      <c r="P355" s="1" t="str">
        <f t="shared" si="79"/>
        <v/>
      </c>
      <c r="Q355" s="25" t="str">
        <f t="shared" si="80"/>
        <v/>
      </c>
      <c r="R355" s="1" t="str">
        <f t="shared" si="81"/>
        <v/>
      </c>
      <c r="S355" s="33" t="str">
        <f t="shared" si="82"/>
        <v/>
      </c>
      <c r="T355" s="34" t="str">
        <f>IF(B355="","",C355&amp;"|"&amp;ROUND(S355,2)&amp;"|"&amp;COUNTIFS($C$4:C355,C355,$S$4:S355,S355))</f>
        <v/>
      </c>
      <c r="U355" s="34" t="str">
        <f t="shared" si="83"/>
        <v/>
      </c>
      <c r="V355" s="34" t="str">
        <f t="shared" si="84"/>
        <v/>
      </c>
      <c r="W355" s="34" t="str">
        <f t="shared" si="85"/>
        <v/>
      </c>
      <c r="X355" s="34">
        <f t="shared" si="86"/>
        <v>0</v>
      </c>
      <c r="Y355" s="34" t="str">
        <f t="shared" si="87"/>
        <v/>
      </c>
      <c r="Z355" s="34" t="str">
        <f>IF(X355=1,V355,IF(Y355="","",IF(COUNTIF(Y$3:Y354,Y355)=0,Y355,"")))</f>
        <v/>
      </c>
      <c r="AA355" s="34" t="b">
        <f t="shared" si="88"/>
        <v>0</v>
      </c>
      <c r="AB355" s="34">
        <f t="shared" si="89"/>
        <v>0</v>
      </c>
      <c r="AC355" s="34" t="str">
        <f>IF(AND(B355&lt;&gt;"",C355=CompteSel,N(B355)&lt;=DateArret,AB355=0),MAX($AC$3:AC354)+1,"")</f>
        <v/>
      </c>
      <c r="AD355" s="34" t="str">
        <f>IF(AND(ISNUMBER(M355),C355=CompteSel),MAX($AD$3:AD354)+1,"")</f>
        <v/>
      </c>
    </row>
    <row r="356" spans="1:30" x14ac:dyDescent="0.35">
      <c r="A356" s="1" t="str">
        <f t="shared" si="75"/>
        <v/>
      </c>
      <c r="B356" s="31"/>
      <c r="C356" s="8"/>
      <c r="D356" s="8"/>
      <c r="E356" s="8"/>
      <c r="F356" s="8"/>
      <c r="G356" s="8"/>
      <c r="H356" s="32"/>
      <c r="I356" s="32"/>
      <c r="J356" s="25" t="str">
        <f>IF(B356="","",IFERROR(VLOOKUP(C356,Soldes_Ouverture,2,FALSE()),0)+SUMIFS($S$4:S356,$C$4:C356,C356))</f>
        <v/>
      </c>
      <c r="K356" s="1" t="str">
        <f t="shared" si="76"/>
        <v/>
      </c>
      <c r="L356" s="1" t="str">
        <f t="shared" si="77"/>
        <v/>
      </c>
      <c r="M356" s="1" t="str">
        <f t="shared" si="78"/>
        <v/>
      </c>
      <c r="N356" s="8"/>
      <c r="O356" s="8"/>
      <c r="P356" s="1" t="str">
        <f t="shared" si="79"/>
        <v/>
      </c>
      <c r="Q356" s="25" t="str">
        <f t="shared" si="80"/>
        <v/>
      </c>
      <c r="R356" s="1" t="str">
        <f t="shared" si="81"/>
        <v/>
      </c>
      <c r="S356" s="33" t="str">
        <f t="shared" si="82"/>
        <v/>
      </c>
      <c r="T356" s="34" t="str">
        <f>IF(B356="","",C356&amp;"|"&amp;ROUND(S356,2)&amp;"|"&amp;COUNTIFS($C$4:C356,C356,$S$4:S356,S356))</f>
        <v/>
      </c>
      <c r="U356" s="34" t="str">
        <f t="shared" si="83"/>
        <v/>
      </c>
      <c r="V356" s="34" t="str">
        <f t="shared" si="84"/>
        <v/>
      </c>
      <c r="W356" s="34" t="str">
        <f t="shared" si="85"/>
        <v/>
      </c>
      <c r="X356" s="34">
        <f t="shared" si="86"/>
        <v>0</v>
      </c>
      <c r="Y356" s="34" t="str">
        <f t="shared" si="87"/>
        <v/>
      </c>
      <c r="Z356" s="34" t="str">
        <f>IF(X356=1,V356,IF(Y356="","",IF(COUNTIF(Y$3:Y355,Y356)=0,Y356,"")))</f>
        <v/>
      </c>
      <c r="AA356" s="34" t="b">
        <f t="shared" si="88"/>
        <v>0</v>
      </c>
      <c r="AB356" s="34">
        <f t="shared" si="89"/>
        <v>0</v>
      </c>
      <c r="AC356" s="34" t="str">
        <f>IF(AND(B356&lt;&gt;"",C356=CompteSel,N(B356)&lt;=DateArret,AB356=0),MAX($AC$3:AC355)+1,"")</f>
        <v/>
      </c>
      <c r="AD356" s="34" t="str">
        <f>IF(AND(ISNUMBER(M356),C356=CompteSel),MAX($AD$3:AD355)+1,"")</f>
        <v/>
      </c>
    </row>
    <row r="357" spans="1:30" x14ac:dyDescent="0.35">
      <c r="A357" s="1" t="str">
        <f t="shared" si="75"/>
        <v/>
      </c>
      <c r="B357" s="31"/>
      <c r="C357" s="8"/>
      <c r="D357" s="8"/>
      <c r="E357" s="8"/>
      <c r="F357" s="8"/>
      <c r="G357" s="8"/>
      <c r="H357" s="32"/>
      <c r="I357" s="32"/>
      <c r="J357" s="25" t="str">
        <f>IF(B357="","",IFERROR(VLOOKUP(C357,Soldes_Ouverture,2,FALSE()),0)+SUMIFS($S$4:S357,$C$4:C357,C357))</f>
        <v/>
      </c>
      <c r="K357" s="1" t="str">
        <f t="shared" si="76"/>
        <v/>
      </c>
      <c r="L357" s="1" t="str">
        <f t="shared" si="77"/>
        <v/>
      </c>
      <c r="M357" s="1" t="str">
        <f t="shared" si="78"/>
        <v/>
      </c>
      <c r="N357" s="8"/>
      <c r="O357" s="8"/>
      <c r="P357" s="1" t="str">
        <f t="shared" si="79"/>
        <v/>
      </c>
      <c r="Q357" s="25" t="str">
        <f t="shared" si="80"/>
        <v/>
      </c>
      <c r="R357" s="1" t="str">
        <f t="shared" si="81"/>
        <v/>
      </c>
      <c r="S357" s="33" t="str">
        <f t="shared" si="82"/>
        <v/>
      </c>
      <c r="T357" s="34" t="str">
        <f>IF(B357="","",C357&amp;"|"&amp;ROUND(S357,2)&amp;"|"&amp;COUNTIFS($C$4:C357,C357,$S$4:S357,S357))</f>
        <v/>
      </c>
      <c r="U357" s="34" t="str">
        <f t="shared" si="83"/>
        <v/>
      </c>
      <c r="V357" s="34" t="str">
        <f t="shared" si="84"/>
        <v/>
      </c>
      <c r="W357" s="34" t="str">
        <f t="shared" si="85"/>
        <v/>
      </c>
      <c r="X357" s="34">
        <f t="shared" si="86"/>
        <v>0</v>
      </c>
      <c r="Y357" s="34" t="str">
        <f t="shared" si="87"/>
        <v/>
      </c>
      <c r="Z357" s="34" t="str">
        <f>IF(X357=1,V357,IF(Y357="","",IF(COUNTIF(Y$3:Y356,Y357)=0,Y357,"")))</f>
        <v/>
      </c>
      <c r="AA357" s="34" t="b">
        <f t="shared" si="88"/>
        <v>0</v>
      </c>
      <c r="AB357" s="34">
        <f t="shared" si="89"/>
        <v>0</v>
      </c>
      <c r="AC357" s="34" t="str">
        <f>IF(AND(B357&lt;&gt;"",C357=CompteSel,N(B357)&lt;=DateArret,AB357=0),MAX($AC$3:AC356)+1,"")</f>
        <v/>
      </c>
      <c r="AD357" s="34" t="str">
        <f>IF(AND(ISNUMBER(M357),C357=CompteSel),MAX($AD$3:AD356)+1,"")</f>
        <v/>
      </c>
    </row>
    <row r="358" spans="1:30" x14ac:dyDescent="0.35">
      <c r="A358" s="1" t="str">
        <f t="shared" si="75"/>
        <v/>
      </c>
      <c r="B358" s="31"/>
      <c r="C358" s="8"/>
      <c r="D358" s="8"/>
      <c r="E358" s="8"/>
      <c r="F358" s="8"/>
      <c r="G358" s="8"/>
      <c r="H358" s="32"/>
      <c r="I358" s="32"/>
      <c r="J358" s="25" t="str">
        <f>IF(B358="","",IFERROR(VLOOKUP(C358,Soldes_Ouverture,2,FALSE()),0)+SUMIFS($S$4:S358,$C$4:C358,C358))</f>
        <v/>
      </c>
      <c r="K358" s="1" t="str">
        <f t="shared" si="76"/>
        <v/>
      </c>
      <c r="L358" s="1" t="str">
        <f t="shared" si="77"/>
        <v/>
      </c>
      <c r="M358" s="1" t="str">
        <f t="shared" si="78"/>
        <v/>
      </c>
      <c r="N358" s="8"/>
      <c r="O358" s="8"/>
      <c r="P358" s="1" t="str">
        <f t="shared" si="79"/>
        <v/>
      </c>
      <c r="Q358" s="25" t="str">
        <f t="shared" si="80"/>
        <v/>
      </c>
      <c r="R358" s="1" t="str">
        <f t="shared" si="81"/>
        <v/>
      </c>
      <c r="S358" s="33" t="str">
        <f t="shared" si="82"/>
        <v/>
      </c>
      <c r="T358" s="34" t="str">
        <f>IF(B358="","",C358&amp;"|"&amp;ROUND(S358,2)&amp;"|"&amp;COUNTIFS($C$4:C358,C358,$S$4:S358,S358))</f>
        <v/>
      </c>
      <c r="U358" s="34" t="str">
        <f t="shared" si="83"/>
        <v/>
      </c>
      <c r="V358" s="34" t="str">
        <f t="shared" si="84"/>
        <v/>
      </c>
      <c r="W358" s="34" t="str">
        <f t="shared" si="85"/>
        <v/>
      </c>
      <c r="X358" s="34">
        <f t="shared" si="86"/>
        <v>0</v>
      </c>
      <c r="Y358" s="34" t="str">
        <f t="shared" si="87"/>
        <v/>
      </c>
      <c r="Z358" s="34" t="str">
        <f>IF(X358=1,V358,IF(Y358="","",IF(COUNTIF(Y$3:Y357,Y358)=0,Y358,"")))</f>
        <v/>
      </c>
      <c r="AA358" s="34" t="b">
        <f t="shared" si="88"/>
        <v>0</v>
      </c>
      <c r="AB358" s="34">
        <f t="shared" si="89"/>
        <v>0</v>
      </c>
      <c r="AC358" s="34" t="str">
        <f>IF(AND(B358&lt;&gt;"",C358=CompteSel,N(B358)&lt;=DateArret,AB358=0),MAX($AC$3:AC357)+1,"")</f>
        <v/>
      </c>
      <c r="AD358" s="34" t="str">
        <f>IF(AND(ISNUMBER(M358),C358=CompteSel),MAX($AD$3:AD357)+1,"")</f>
        <v/>
      </c>
    </row>
    <row r="359" spans="1:30" x14ac:dyDescent="0.35">
      <c r="A359" s="1" t="str">
        <f t="shared" si="75"/>
        <v/>
      </c>
      <c r="B359" s="31"/>
      <c r="C359" s="8"/>
      <c r="D359" s="8"/>
      <c r="E359" s="8"/>
      <c r="F359" s="8"/>
      <c r="G359" s="8"/>
      <c r="H359" s="32"/>
      <c r="I359" s="32"/>
      <c r="J359" s="25" t="str">
        <f>IF(B359="","",IFERROR(VLOOKUP(C359,Soldes_Ouverture,2,FALSE()),0)+SUMIFS($S$4:S359,$C$4:C359,C359))</f>
        <v/>
      </c>
      <c r="K359" s="1" t="str">
        <f t="shared" si="76"/>
        <v/>
      </c>
      <c r="L359" s="1" t="str">
        <f t="shared" si="77"/>
        <v/>
      </c>
      <c r="M359" s="1" t="str">
        <f t="shared" si="78"/>
        <v/>
      </c>
      <c r="N359" s="8"/>
      <c r="O359" s="8"/>
      <c r="P359" s="1" t="str">
        <f t="shared" si="79"/>
        <v/>
      </c>
      <c r="Q359" s="25" t="str">
        <f t="shared" si="80"/>
        <v/>
      </c>
      <c r="R359" s="1" t="str">
        <f t="shared" si="81"/>
        <v/>
      </c>
      <c r="S359" s="33" t="str">
        <f t="shared" si="82"/>
        <v/>
      </c>
      <c r="T359" s="34" t="str">
        <f>IF(B359="","",C359&amp;"|"&amp;ROUND(S359,2)&amp;"|"&amp;COUNTIFS($C$4:C359,C359,$S$4:S359,S359))</f>
        <v/>
      </c>
      <c r="U359" s="34" t="str">
        <f t="shared" si="83"/>
        <v/>
      </c>
      <c r="V359" s="34" t="str">
        <f t="shared" si="84"/>
        <v/>
      </c>
      <c r="W359" s="34" t="str">
        <f t="shared" si="85"/>
        <v/>
      </c>
      <c r="X359" s="34">
        <f t="shared" si="86"/>
        <v>0</v>
      </c>
      <c r="Y359" s="34" t="str">
        <f t="shared" si="87"/>
        <v/>
      </c>
      <c r="Z359" s="34" t="str">
        <f>IF(X359=1,V359,IF(Y359="","",IF(COUNTIF(Y$3:Y358,Y359)=0,Y359,"")))</f>
        <v/>
      </c>
      <c r="AA359" s="34" t="b">
        <f t="shared" si="88"/>
        <v>0</v>
      </c>
      <c r="AB359" s="34">
        <f t="shared" si="89"/>
        <v>0</v>
      </c>
      <c r="AC359" s="34" t="str">
        <f>IF(AND(B359&lt;&gt;"",C359=CompteSel,N(B359)&lt;=DateArret,AB359=0),MAX($AC$3:AC358)+1,"")</f>
        <v/>
      </c>
      <c r="AD359" s="34" t="str">
        <f>IF(AND(ISNUMBER(M359),C359=CompteSel),MAX($AD$3:AD358)+1,"")</f>
        <v/>
      </c>
    </row>
    <row r="360" spans="1:30" x14ac:dyDescent="0.35">
      <c r="A360" s="1" t="str">
        <f t="shared" si="75"/>
        <v/>
      </c>
      <c r="B360" s="31"/>
      <c r="C360" s="8"/>
      <c r="D360" s="8"/>
      <c r="E360" s="8"/>
      <c r="F360" s="8"/>
      <c r="G360" s="8"/>
      <c r="H360" s="32"/>
      <c r="I360" s="32"/>
      <c r="J360" s="25" t="str">
        <f>IF(B360="","",IFERROR(VLOOKUP(C360,Soldes_Ouverture,2,FALSE()),0)+SUMIFS($S$4:S360,$C$4:C360,C360))</f>
        <v/>
      </c>
      <c r="K360" s="1" t="str">
        <f t="shared" si="76"/>
        <v/>
      </c>
      <c r="L360" s="1" t="str">
        <f t="shared" si="77"/>
        <v/>
      </c>
      <c r="M360" s="1" t="str">
        <f t="shared" si="78"/>
        <v/>
      </c>
      <c r="N360" s="8"/>
      <c r="O360" s="8"/>
      <c r="P360" s="1" t="str">
        <f t="shared" si="79"/>
        <v/>
      </c>
      <c r="Q360" s="25" t="str">
        <f t="shared" si="80"/>
        <v/>
      </c>
      <c r="R360" s="1" t="str">
        <f t="shared" si="81"/>
        <v/>
      </c>
      <c r="S360" s="33" t="str">
        <f t="shared" si="82"/>
        <v/>
      </c>
      <c r="T360" s="34" t="str">
        <f>IF(B360="","",C360&amp;"|"&amp;ROUND(S360,2)&amp;"|"&amp;COUNTIFS($C$4:C360,C360,$S$4:S360,S360))</f>
        <v/>
      </c>
      <c r="U360" s="34" t="str">
        <f t="shared" si="83"/>
        <v/>
      </c>
      <c r="V360" s="34" t="str">
        <f t="shared" si="84"/>
        <v/>
      </c>
      <c r="W360" s="34" t="str">
        <f t="shared" si="85"/>
        <v/>
      </c>
      <c r="X360" s="34">
        <f t="shared" si="86"/>
        <v>0</v>
      </c>
      <c r="Y360" s="34" t="str">
        <f t="shared" si="87"/>
        <v/>
      </c>
      <c r="Z360" s="34" t="str">
        <f>IF(X360=1,V360,IF(Y360="","",IF(COUNTIF(Y$3:Y359,Y360)=0,Y360,"")))</f>
        <v/>
      </c>
      <c r="AA360" s="34" t="b">
        <f t="shared" si="88"/>
        <v>0</v>
      </c>
      <c r="AB360" s="34">
        <f t="shared" si="89"/>
        <v>0</v>
      </c>
      <c r="AC360" s="34" t="str">
        <f>IF(AND(B360&lt;&gt;"",C360=CompteSel,N(B360)&lt;=DateArret,AB360=0),MAX($AC$3:AC359)+1,"")</f>
        <v/>
      </c>
      <c r="AD360" s="34" t="str">
        <f>IF(AND(ISNUMBER(M360),C360=CompteSel),MAX($AD$3:AD359)+1,"")</f>
        <v/>
      </c>
    </row>
    <row r="361" spans="1:30" x14ac:dyDescent="0.35">
      <c r="A361" s="1" t="str">
        <f t="shared" si="75"/>
        <v/>
      </c>
      <c r="B361" s="31"/>
      <c r="C361" s="8"/>
      <c r="D361" s="8"/>
      <c r="E361" s="8"/>
      <c r="F361" s="8"/>
      <c r="G361" s="8"/>
      <c r="H361" s="32"/>
      <c r="I361" s="32"/>
      <c r="J361" s="25" t="str">
        <f>IF(B361="","",IFERROR(VLOOKUP(C361,Soldes_Ouverture,2,FALSE()),0)+SUMIFS($S$4:S361,$C$4:C361,C361))</f>
        <v/>
      </c>
      <c r="K361" s="1" t="str">
        <f t="shared" si="76"/>
        <v/>
      </c>
      <c r="L361" s="1" t="str">
        <f t="shared" si="77"/>
        <v/>
      </c>
      <c r="M361" s="1" t="str">
        <f t="shared" si="78"/>
        <v/>
      </c>
      <c r="N361" s="8"/>
      <c r="O361" s="8"/>
      <c r="P361" s="1" t="str">
        <f t="shared" si="79"/>
        <v/>
      </c>
      <c r="Q361" s="25" t="str">
        <f t="shared" si="80"/>
        <v/>
      </c>
      <c r="R361" s="1" t="str">
        <f t="shared" si="81"/>
        <v/>
      </c>
      <c r="S361" s="33" t="str">
        <f t="shared" si="82"/>
        <v/>
      </c>
      <c r="T361" s="34" t="str">
        <f>IF(B361="","",C361&amp;"|"&amp;ROUND(S361,2)&amp;"|"&amp;COUNTIFS($C$4:C361,C361,$S$4:S361,S361))</f>
        <v/>
      </c>
      <c r="U361" s="34" t="str">
        <f t="shared" si="83"/>
        <v/>
      </c>
      <c r="V361" s="34" t="str">
        <f t="shared" si="84"/>
        <v/>
      </c>
      <c r="W361" s="34" t="str">
        <f t="shared" si="85"/>
        <v/>
      </c>
      <c r="X361" s="34">
        <f t="shared" si="86"/>
        <v>0</v>
      </c>
      <c r="Y361" s="34" t="str">
        <f t="shared" si="87"/>
        <v/>
      </c>
      <c r="Z361" s="34" t="str">
        <f>IF(X361=1,V361,IF(Y361="","",IF(COUNTIF(Y$3:Y360,Y361)=0,Y361,"")))</f>
        <v/>
      </c>
      <c r="AA361" s="34" t="b">
        <f t="shared" si="88"/>
        <v>0</v>
      </c>
      <c r="AB361" s="34">
        <f t="shared" si="89"/>
        <v>0</v>
      </c>
      <c r="AC361" s="34" t="str">
        <f>IF(AND(B361&lt;&gt;"",C361=CompteSel,N(B361)&lt;=DateArret,AB361=0),MAX($AC$3:AC360)+1,"")</f>
        <v/>
      </c>
      <c r="AD361" s="34" t="str">
        <f>IF(AND(ISNUMBER(M361),C361=CompteSel),MAX($AD$3:AD360)+1,"")</f>
        <v/>
      </c>
    </row>
    <row r="362" spans="1:30" x14ac:dyDescent="0.35">
      <c r="A362" s="1" t="str">
        <f t="shared" si="75"/>
        <v/>
      </c>
      <c r="B362" s="31"/>
      <c r="C362" s="8"/>
      <c r="D362" s="8"/>
      <c r="E362" s="8"/>
      <c r="F362" s="8"/>
      <c r="G362" s="8"/>
      <c r="H362" s="32"/>
      <c r="I362" s="32"/>
      <c r="J362" s="25" t="str">
        <f>IF(B362="","",IFERROR(VLOOKUP(C362,Soldes_Ouverture,2,FALSE()),0)+SUMIFS($S$4:S362,$C$4:C362,C362))</f>
        <v/>
      </c>
      <c r="K362" s="1" t="str">
        <f t="shared" si="76"/>
        <v/>
      </c>
      <c r="L362" s="1" t="str">
        <f t="shared" si="77"/>
        <v/>
      </c>
      <c r="M362" s="1" t="str">
        <f t="shared" si="78"/>
        <v/>
      </c>
      <c r="N362" s="8"/>
      <c r="O362" s="8"/>
      <c r="P362" s="1" t="str">
        <f t="shared" si="79"/>
        <v/>
      </c>
      <c r="Q362" s="25" t="str">
        <f t="shared" si="80"/>
        <v/>
      </c>
      <c r="R362" s="1" t="str">
        <f t="shared" si="81"/>
        <v/>
      </c>
      <c r="S362" s="33" t="str">
        <f t="shared" si="82"/>
        <v/>
      </c>
      <c r="T362" s="34" t="str">
        <f>IF(B362="","",C362&amp;"|"&amp;ROUND(S362,2)&amp;"|"&amp;COUNTIFS($C$4:C362,C362,$S$4:S362,S362))</f>
        <v/>
      </c>
      <c r="U362" s="34" t="str">
        <f t="shared" si="83"/>
        <v/>
      </c>
      <c r="V362" s="34" t="str">
        <f t="shared" si="84"/>
        <v/>
      </c>
      <c r="W362" s="34" t="str">
        <f t="shared" si="85"/>
        <v/>
      </c>
      <c r="X362" s="34">
        <f t="shared" si="86"/>
        <v>0</v>
      </c>
      <c r="Y362" s="34" t="str">
        <f t="shared" si="87"/>
        <v/>
      </c>
      <c r="Z362" s="34" t="str">
        <f>IF(X362=1,V362,IF(Y362="","",IF(COUNTIF(Y$3:Y361,Y362)=0,Y362,"")))</f>
        <v/>
      </c>
      <c r="AA362" s="34" t="b">
        <f t="shared" si="88"/>
        <v>0</v>
      </c>
      <c r="AB362" s="34">
        <f t="shared" si="89"/>
        <v>0</v>
      </c>
      <c r="AC362" s="34" t="str">
        <f>IF(AND(B362&lt;&gt;"",C362=CompteSel,N(B362)&lt;=DateArret,AB362=0),MAX($AC$3:AC361)+1,"")</f>
        <v/>
      </c>
      <c r="AD362" s="34" t="str">
        <f>IF(AND(ISNUMBER(M362),C362=CompteSel),MAX($AD$3:AD361)+1,"")</f>
        <v/>
      </c>
    </row>
    <row r="363" spans="1:30" x14ac:dyDescent="0.35">
      <c r="A363" s="1" t="str">
        <f t="shared" si="75"/>
        <v/>
      </c>
      <c r="B363" s="31"/>
      <c r="C363" s="8"/>
      <c r="D363" s="8"/>
      <c r="E363" s="8"/>
      <c r="F363" s="8"/>
      <c r="G363" s="8"/>
      <c r="H363" s="32"/>
      <c r="I363" s="32"/>
      <c r="J363" s="25" t="str">
        <f>IF(B363="","",IFERROR(VLOOKUP(C363,Soldes_Ouverture,2,FALSE()),0)+SUMIFS($S$4:S363,$C$4:C363,C363))</f>
        <v/>
      </c>
      <c r="K363" s="1" t="str">
        <f t="shared" si="76"/>
        <v/>
      </c>
      <c r="L363" s="1" t="str">
        <f t="shared" si="77"/>
        <v/>
      </c>
      <c r="M363" s="1" t="str">
        <f t="shared" si="78"/>
        <v/>
      </c>
      <c r="N363" s="8"/>
      <c r="O363" s="8"/>
      <c r="P363" s="1" t="str">
        <f t="shared" si="79"/>
        <v/>
      </c>
      <c r="Q363" s="25" t="str">
        <f t="shared" si="80"/>
        <v/>
      </c>
      <c r="R363" s="1" t="str">
        <f t="shared" si="81"/>
        <v/>
      </c>
      <c r="S363" s="33" t="str">
        <f t="shared" si="82"/>
        <v/>
      </c>
      <c r="T363" s="34" t="str">
        <f>IF(B363="","",C363&amp;"|"&amp;ROUND(S363,2)&amp;"|"&amp;COUNTIFS($C$4:C363,C363,$S$4:S363,S363))</f>
        <v/>
      </c>
      <c r="U363" s="34" t="str">
        <f t="shared" si="83"/>
        <v/>
      </c>
      <c r="V363" s="34" t="str">
        <f t="shared" si="84"/>
        <v/>
      </c>
      <c r="W363" s="34" t="str">
        <f t="shared" si="85"/>
        <v/>
      </c>
      <c r="X363" s="34">
        <f t="shared" si="86"/>
        <v>0</v>
      </c>
      <c r="Y363" s="34" t="str">
        <f t="shared" si="87"/>
        <v/>
      </c>
      <c r="Z363" s="34" t="str">
        <f>IF(X363=1,V363,IF(Y363="","",IF(COUNTIF(Y$3:Y362,Y363)=0,Y363,"")))</f>
        <v/>
      </c>
      <c r="AA363" s="34" t="b">
        <f t="shared" si="88"/>
        <v>0</v>
      </c>
      <c r="AB363" s="34">
        <f t="shared" si="89"/>
        <v>0</v>
      </c>
      <c r="AC363" s="34" t="str">
        <f>IF(AND(B363&lt;&gt;"",C363=CompteSel,N(B363)&lt;=DateArret,AB363=0),MAX($AC$3:AC362)+1,"")</f>
        <v/>
      </c>
      <c r="AD363" s="34" t="str">
        <f>IF(AND(ISNUMBER(M363),C363=CompteSel),MAX($AD$3:AD362)+1,"")</f>
        <v/>
      </c>
    </row>
    <row r="364" spans="1:30" x14ac:dyDescent="0.35">
      <c r="A364" s="1" t="str">
        <f t="shared" si="75"/>
        <v/>
      </c>
      <c r="B364" s="31"/>
      <c r="C364" s="8"/>
      <c r="D364" s="8"/>
      <c r="E364" s="8"/>
      <c r="F364" s="8"/>
      <c r="G364" s="8"/>
      <c r="H364" s="32"/>
      <c r="I364" s="32"/>
      <c r="J364" s="25" t="str">
        <f>IF(B364="","",IFERROR(VLOOKUP(C364,Soldes_Ouverture,2,FALSE()),0)+SUMIFS($S$4:S364,$C$4:C364,C364))</f>
        <v/>
      </c>
      <c r="K364" s="1" t="str">
        <f t="shared" si="76"/>
        <v/>
      </c>
      <c r="L364" s="1" t="str">
        <f t="shared" si="77"/>
        <v/>
      </c>
      <c r="M364" s="1" t="str">
        <f t="shared" si="78"/>
        <v/>
      </c>
      <c r="N364" s="8"/>
      <c r="O364" s="8"/>
      <c r="P364" s="1" t="str">
        <f t="shared" si="79"/>
        <v/>
      </c>
      <c r="Q364" s="25" t="str">
        <f t="shared" si="80"/>
        <v/>
      </c>
      <c r="R364" s="1" t="str">
        <f t="shared" si="81"/>
        <v/>
      </c>
      <c r="S364" s="33" t="str">
        <f t="shared" si="82"/>
        <v/>
      </c>
      <c r="T364" s="34" t="str">
        <f>IF(B364="","",C364&amp;"|"&amp;ROUND(S364,2)&amp;"|"&amp;COUNTIFS($C$4:C364,C364,$S$4:S364,S364))</f>
        <v/>
      </c>
      <c r="U364" s="34" t="str">
        <f t="shared" si="83"/>
        <v/>
      </c>
      <c r="V364" s="34" t="str">
        <f t="shared" si="84"/>
        <v/>
      </c>
      <c r="W364" s="34" t="str">
        <f t="shared" si="85"/>
        <v/>
      </c>
      <c r="X364" s="34">
        <f t="shared" si="86"/>
        <v>0</v>
      </c>
      <c r="Y364" s="34" t="str">
        <f t="shared" si="87"/>
        <v/>
      </c>
      <c r="Z364" s="34" t="str">
        <f>IF(X364=1,V364,IF(Y364="","",IF(COUNTIF(Y$3:Y363,Y364)=0,Y364,"")))</f>
        <v/>
      </c>
      <c r="AA364" s="34" t="b">
        <f t="shared" si="88"/>
        <v>0</v>
      </c>
      <c r="AB364" s="34">
        <f t="shared" si="89"/>
        <v>0</v>
      </c>
      <c r="AC364" s="34" t="str">
        <f>IF(AND(B364&lt;&gt;"",C364=CompteSel,N(B364)&lt;=DateArret,AB364=0),MAX($AC$3:AC363)+1,"")</f>
        <v/>
      </c>
      <c r="AD364" s="34" t="str">
        <f>IF(AND(ISNUMBER(M364),C364=CompteSel),MAX($AD$3:AD363)+1,"")</f>
        <v/>
      </c>
    </row>
    <row r="365" spans="1:30" x14ac:dyDescent="0.35">
      <c r="A365" s="1" t="str">
        <f t="shared" si="75"/>
        <v/>
      </c>
      <c r="B365" s="31"/>
      <c r="C365" s="8"/>
      <c r="D365" s="8"/>
      <c r="E365" s="8"/>
      <c r="F365" s="8"/>
      <c r="G365" s="8"/>
      <c r="H365" s="32"/>
      <c r="I365" s="32"/>
      <c r="J365" s="25" t="str">
        <f>IF(B365="","",IFERROR(VLOOKUP(C365,Soldes_Ouverture,2,FALSE()),0)+SUMIFS($S$4:S365,$C$4:C365,C365))</f>
        <v/>
      </c>
      <c r="K365" s="1" t="str">
        <f t="shared" si="76"/>
        <v/>
      </c>
      <c r="L365" s="1" t="str">
        <f t="shared" si="77"/>
        <v/>
      </c>
      <c r="M365" s="1" t="str">
        <f t="shared" si="78"/>
        <v/>
      </c>
      <c r="N365" s="8"/>
      <c r="O365" s="8"/>
      <c r="P365" s="1" t="str">
        <f t="shared" si="79"/>
        <v/>
      </c>
      <c r="Q365" s="25" t="str">
        <f t="shared" si="80"/>
        <v/>
      </c>
      <c r="R365" s="1" t="str">
        <f t="shared" si="81"/>
        <v/>
      </c>
      <c r="S365" s="33" t="str">
        <f t="shared" si="82"/>
        <v/>
      </c>
      <c r="T365" s="34" t="str">
        <f>IF(B365="","",C365&amp;"|"&amp;ROUND(S365,2)&amp;"|"&amp;COUNTIFS($C$4:C365,C365,$S$4:S365,S365))</f>
        <v/>
      </c>
      <c r="U365" s="34" t="str">
        <f t="shared" si="83"/>
        <v/>
      </c>
      <c r="V365" s="34" t="str">
        <f t="shared" si="84"/>
        <v/>
      </c>
      <c r="W365" s="34" t="str">
        <f t="shared" si="85"/>
        <v/>
      </c>
      <c r="X365" s="34">
        <f t="shared" si="86"/>
        <v>0</v>
      </c>
      <c r="Y365" s="34" t="str">
        <f t="shared" si="87"/>
        <v/>
      </c>
      <c r="Z365" s="34" t="str">
        <f>IF(X365=1,V365,IF(Y365="","",IF(COUNTIF(Y$3:Y364,Y365)=0,Y365,"")))</f>
        <v/>
      </c>
      <c r="AA365" s="34" t="b">
        <f t="shared" si="88"/>
        <v>0</v>
      </c>
      <c r="AB365" s="34">
        <f t="shared" si="89"/>
        <v>0</v>
      </c>
      <c r="AC365" s="34" t="str">
        <f>IF(AND(B365&lt;&gt;"",C365=CompteSel,N(B365)&lt;=DateArret,AB365=0),MAX($AC$3:AC364)+1,"")</f>
        <v/>
      </c>
      <c r="AD365" s="34" t="str">
        <f>IF(AND(ISNUMBER(M365),C365=CompteSel),MAX($AD$3:AD364)+1,"")</f>
        <v/>
      </c>
    </row>
    <row r="366" spans="1:30" x14ac:dyDescent="0.35">
      <c r="A366" s="1" t="str">
        <f t="shared" si="75"/>
        <v/>
      </c>
      <c r="B366" s="31"/>
      <c r="C366" s="8"/>
      <c r="D366" s="8"/>
      <c r="E366" s="8"/>
      <c r="F366" s="8"/>
      <c r="G366" s="8"/>
      <c r="H366" s="32"/>
      <c r="I366" s="32"/>
      <c r="J366" s="25" t="str">
        <f>IF(B366="","",IFERROR(VLOOKUP(C366,Soldes_Ouverture,2,FALSE()),0)+SUMIFS($S$4:S366,$C$4:C366,C366))</f>
        <v/>
      </c>
      <c r="K366" s="1" t="str">
        <f t="shared" si="76"/>
        <v/>
      </c>
      <c r="L366" s="1" t="str">
        <f t="shared" si="77"/>
        <v/>
      </c>
      <c r="M366" s="1" t="str">
        <f t="shared" si="78"/>
        <v/>
      </c>
      <c r="N366" s="8"/>
      <c r="O366" s="8"/>
      <c r="P366" s="1" t="str">
        <f t="shared" si="79"/>
        <v/>
      </c>
      <c r="Q366" s="25" t="str">
        <f t="shared" si="80"/>
        <v/>
      </c>
      <c r="R366" s="1" t="str">
        <f t="shared" si="81"/>
        <v/>
      </c>
      <c r="S366" s="33" t="str">
        <f t="shared" si="82"/>
        <v/>
      </c>
      <c r="T366" s="34" t="str">
        <f>IF(B366="","",C366&amp;"|"&amp;ROUND(S366,2)&amp;"|"&amp;COUNTIFS($C$4:C366,C366,$S$4:S366,S366))</f>
        <v/>
      </c>
      <c r="U366" s="34" t="str">
        <f t="shared" si="83"/>
        <v/>
      </c>
      <c r="V366" s="34" t="str">
        <f t="shared" si="84"/>
        <v/>
      </c>
      <c r="W366" s="34" t="str">
        <f t="shared" si="85"/>
        <v/>
      </c>
      <c r="X366" s="34">
        <f t="shared" si="86"/>
        <v>0</v>
      </c>
      <c r="Y366" s="34" t="str">
        <f t="shared" si="87"/>
        <v/>
      </c>
      <c r="Z366" s="34" t="str">
        <f>IF(X366=1,V366,IF(Y366="","",IF(COUNTIF(Y$3:Y365,Y366)=0,Y366,"")))</f>
        <v/>
      </c>
      <c r="AA366" s="34" t="b">
        <f t="shared" si="88"/>
        <v>0</v>
      </c>
      <c r="AB366" s="34">
        <f t="shared" si="89"/>
        <v>0</v>
      </c>
      <c r="AC366" s="34" t="str">
        <f>IF(AND(B366&lt;&gt;"",C366=CompteSel,N(B366)&lt;=DateArret,AB366=0),MAX($AC$3:AC365)+1,"")</f>
        <v/>
      </c>
      <c r="AD366" s="34" t="str">
        <f>IF(AND(ISNUMBER(M366),C366=CompteSel),MAX($AD$3:AD365)+1,"")</f>
        <v/>
      </c>
    </row>
    <row r="367" spans="1:30" x14ac:dyDescent="0.35">
      <c r="A367" s="1" t="str">
        <f t="shared" si="75"/>
        <v/>
      </c>
      <c r="B367" s="31"/>
      <c r="C367" s="8"/>
      <c r="D367" s="8"/>
      <c r="E367" s="8"/>
      <c r="F367" s="8"/>
      <c r="G367" s="8"/>
      <c r="H367" s="32"/>
      <c r="I367" s="32"/>
      <c r="J367" s="25" t="str">
        <f>IF(B367="","",IFERROR(VLOOKUP(C367,Soldes_Ouverture,2,FALSE()),0)+SUMIFS($S$4:S367,$C$4:C367,C367))</f>
        <v/>
      </c>
      <c r="K367" s="1" t="str">
        <f t="shared" si="76"/>
        <v/>
      </c>
      <c r="L367" s="1" t="str">
        <f t="shared" si="77"/>
        <v/>
      </c>
      <c r="M367" s="1" t="str">
        <f t="shared" si="78"/>
        <v/>
      </c>
      <c r="N367" s="8"/>
      <c r="O367" s="8"/>
      <c r="P367" s="1" t="str">
        <f t="shared" si="79"/>
        <v/>
      </c>
      <c r="Q367" s="25" t="str">
        <f t="shared" si="80"/>
        <v/>
      </c>
      <c r="R367" s="1" t="str">
        <f t="shared" si="81"/>
        <v/>
      </c>
      <c r="S367" s="33" t="str">
        <f t="shared" si="82"/>
        <v/>
      </c>
      <c r="T367" s="34" t="str">
        <f>IF(B367="","",C367&amp;"|"&amp;ROUND(S367,2)&amp;"|"&amp;COUNTIFS($C$4:C367,C367,$S$4:S367,S367))</f>
        <v/>
      </c>
      <c r="U367" s="34" t="str">
        <f t="shared" si="83"/>
        <v/>
      </c>
      <c r="V367" s="34" t="str">
        <f t="shared" si="84"/>
        <v/>
      </c>
      <c r="W367" s="34" t="str">
        <f t="shared" si="85"/>
        <v/>
      </c>
      <c r="X367" s="34">
        <f t="shared" si="86"/>
        <v>0</v>
      </c>
      <c r="Y367" s="34" t="str">
        <f t="shared" si="87"/>
        <v/>
      </c>
      <c r="Z367" s="34" t="str">
        <f>IF(X367=1,V367,IF(Y367="","",IF(COUNTIF(Y$3:Y366,Y367)=0,Y367,"")))</f>
        <v/>
      </c>
      <c r="AA367" s="34" t="b">
        <f t="shared" si="88"/>
        <v>0</v>
      </c>
      <c r="AB367" s="34">
        <f t="shared" si="89"/>
        <v>0</v>
      </c>
      <c r="AC367" s="34" t="str">
        <f>IF(AND(B367&lt;&gt;"",C367=CompteSel,N(B367)&lt;=DateArret,AB367=0),MAX($AC$3:AC366)+1,"")</f>
        <v/>
      </c>
      <c r="AD367" s="34" t="str">
        <f>IF(AND(ISNUMBER(M367),C367=CompteSel),MAX($AD$3:AD366)+1,"")</f>
        <v/>
      </c>
    </row>
    <row r="368" spans="1:30" x14ac:dyDescent="0.35">
      <c r="A368" s="1" t="str">
        <f t="shared" si="75"/>
        <v/>
      </c>
      <c r="B368" s="31"/>
      <c r="C368" s="8"/>
      <c r="D368" s="8"/>
      <c r="E368" s="8"/>
      <c r="F368" s="8"/>
      <c r="G368" s="8"/>
      <c r="H368" s="32"/>
      <c r="I368" s="32"/>
      <c r="J368" s="25" t="str">
        <f>IF(B368="","",IFERROR(VLOOKUP(C368,Soldes_Ouverture,2,FALSE()),0)+SUMIFS($S$4:S368,$C$4:C368,C368))</f>
        <v/>
      </c>
      <c r="K368" s="1" t="str">
        <f t="shared" si="76"/>
        <v/>
      </c>
      <c r="L368" s="1" t="str">
        <f t="shared" si="77"/>
        <v/>
      </c>
      <c r="M368" s="1" t="str">
        <f t="shared" si="78"/>
        <v/>
      </c>
      <c r="N368" s="8"/>
      <c r="O368" s="8"/>
      <c r="P368" s="1" t="str">
        <f t="shared" si="79"/>
        <v/>
      </c>
      <c r="Q368" s="25" t="str">
        <f t="shared" si="80"/>
        <v/>
      </c>
      <c r="R368" s="1" t="str">
        <f t="shared" si="81"/>
        <v/>
      </c>
      <c r="S368" s="33" t="str">
        <f t="shared" si="82"/>
        <v/>
      </c>
      <c r="T368" s="34" t="str">
        <f>IF(B368="","",C368&amp;"|"&amp;ROUND(S368,2)&amp;"|"&amp;COUNTIFS($C$4:C368,C368,$S$4:S368,S368))</f>
        <v/>
      </c>
      <c r="U368" s="34" t="str">
        <f t="shared" si="83"/>
        <v/>
      </c>
      <c r="V368" s="34" t="str">
        <f t="shared" si="84"/>
        <v/>
      </c>
      <c r="W368" s="34" t="str">
        <f t="shared" si="85"/>
        <v/>
      </c>
      <c r="X368" s="34">
        <f t="shared" si="86"/>
        <v>0</v>
      </c>
      <c r="Y368" s="34" t="str">
        <f t="shared" si="87"/>
        <v/>
      </c>
      <c r="Z368" s="34" t="str">
        <f>IF(X368=1,V368,IF(Y368="","",IF(COUNTIF(Y$3:Y367,Y368)=0,Y368,"")))</f>
        <v/>
      </c>
      <c r="AA368" s="34" t="b">
        <f t="shared" si="88"/>
        <v>0</v>
      </c>
      <c r="AB368" s="34">
        <f t="shared" si="89"/>
        <v>0</v>
      </c>
      <c r="AC368" s="34" t="str">
        <f>IF(AND(B368&lt;&gt;"",C368=CompteSel,N(B368)&lt;=DateArret,AB368=0),MAX($AC$3:AC367)+1,"")</f>
        <v/>
      </c>
      <c r="AD368" s="34" t="str">
        <f>IF(AND(ISNUMBER(M368),C368=CompteSel),MAX($AD$3:AD367)+1,"")</f>
        <v/>
      </c>
    </row>
    <row r="369" spans="1:30" x14ac:dyDescent="0.35">
      <c r="A369" s="1" t="str">
        <f t="shared" si="75"/>
        <v/>
      </c>
      <c r="B369" s="31"/>
      <c r="C369" s="8"/>
      <c r="D369" s="8"/>
      <c r="E369" s="8"/>
      <c r="F369" s="8"/>
      <c r="G369" s="8"/>
      <c r="H369" s="32"/>
      <c r="I369" s="32"/>
      <c r="J369" s="25" t="str">
        <f>IF(B369="","",IFERROR(VLOOKUP(C369,Soldes_Ouverture,2,FALSE()),0)+SUMIFS($S$4:S369,$C$4:C369,C369))</f>
        <v/>
      </c>
      <c r="K369" s="1" t="str">
        <f t="shared" si="76"/>
        <v/>
      </c>
      <c r="L369" s="1" t="str">
        <f t="shared" si="77"/>
        <v/>
      </c>
      <c r="M369" s="1" t="str">
        <f t="shared" si="78"/>
        <v/>
      </c>
      <c r="N369" s="8"/>
      <c r="O369" s="8"/>
      <c r="P369" s="1" t="str">
        <f t="shared" si="79"/>
        <v/>
      </c>
      <c r="Q369" s="25" t="str">
        <f t="shared" si="80"/>
        <v/>
      </c>
      <c r="R369" s="1" t="str">
        <f t="shared" si="81"/>
        <v/>
      </c>
      <c r="S369" s="33" t="str">
        <f t="shared" si="82"/>
        <v/>
      </c>
      <c r="T369" s="34" t="str">
        <f>IF(B369="","",C369&amp;"|"&amp;ROUND(S369,2)&amp;"|"&amp;COUNTIFS($C$4:C369,C369,$S$4:S369,S369))</f>
        <v/>
      </c>
      <c r="U369" s="34" t="str">
        <f t="shared" si="83"/>
        <v/>
      </c>
      <c r="V369" s="34" t="str">
        <f t="shared" si="84"/>
        <v/>
      </c>
      <c r="W369" s="34" t="str">
        <f t="shared" si="85"/>
        <v/>
      </c>
      <c r="X369" s="34">
        <f t="shared" si="86"/>
        <v>0</v>
      </c>
      <c r="Y369" s="34" t="str">
        <f t="shared" si="87"/>
        <v/>
      </c>
      <c r="Z369" s="34" t="str">
        <f>IF(X369=1,V369,IF(Y369="","",IF(COUNTIF(Y$3:Y368,Y369)=0,Y369,"")))</f>
        <v/>
      </c>
      <c r="AA369" s="34" t="b">
        <f t="shared" si="88"/>
        <v>0</v>
      </c>
      <c r="AB369" s="34">
        <f t="shared" si="89"/>
        <v>0</v>
      </c>
      <c r="AC369" s="34" t="str">
        <f>IF(AND(B369&lt;&gt;"",C369=CompteSel,N(B369)&lt;=DateArret,AB369=0),MAX($AC$3:AC368)+1,"")</f>
        <v/>
      </c>
      <c r="AD369" s="34" t="str">
        <f>IF(AND(ISNUMBER(M369),C369=CompteSel),MAX($AD$3:AD368)+1,"")</f>
        <v/>
      </c>
    </row>
    <row r="370" spans="1:30" x14ac:dyDescent="0.35">
      <c r="A370" s="1" t="str">
        <f t="shared" si="75"/>
        <v/>
      </c>
      <c r="B370" s="31"/>
      <c r="C370" s="8"/>
      <c r="D370" s="8"/>
      <c r="E370" s="8"/>
      <c r="F370" s="8"/>
      <c r="G370" s="8"/>
      <c r="H370" s="32"/>
      <c r="I370" s="32"/>
      <c r="J370" s="25" t="str">
        <f>IF(B370="","",IFERROR(VLOOKUP(C370,Soldes_Ouverture,2,FALSE()),0)+SUMIFS($S$4:S370,$C$4:C370,C370))</f>
        <v/>
      </c>
      <c r="K370" s="1" t="str">
        <f t="shared" si="76"/>
        <v/>
      </c>
      <c r="L370" s="1" t="str">
        <f t="shared" si="77"/>
        <v/>
      </c>
      <c r="M370" s="1" t="str">
        <f t="shared" si="78"/>
        <v/>
      </c>
      <c r="N370" s="8"/>
      <c r="O370" s="8"/>
      <c r="P370" s="1" t="str">
        <f t="shared" si="79"/>
        <v/>
      </c>
      <c r="Q370" s="25" t="str">
        <f t="shared" si="80"/>
        <v/>
      </c>
      <c r="R370" s="1" t="str">
        <f t="shared" si="81"/>
        <v/>
      </c>
      <c r="S370" s="33" t="str">
        <f t="shared" si="82"/>
        <v/>
      </c>
      <c r="T370" s="34" t="str">
        <f>IF(B370="","",C370&amp;"|"&amp;ROUND(S370,2)&amp;"|"&amp;COUNTIFS($C$4:C370,C370,$S$4:S370,S370))</f>
        <v/>
      </c>
      <c r="U370" s="34" t="str">
        <f t="shared" si="83"/>
        <v/>
      </c>
      <c r="V370" s="34" t="str">
        <f t="shared" si="84"/>
        <v/>
      </c>
      <c r="W370" s="34" t="str">
        <f t="shared" si="85"/>
        <v/>
      </c>
      <c r="X370" s="34">
        <f t="shared" si="86"/>
        <v>0</v>
      </c>
      <c r="Y370" s="34" t="str">
        <f t="shared" si="87"/>
        <v/>
      </c>
      <c r="Z370" s="34" t="str">
        <f>IF(X370=1,V370,IF(Y370="","",IF(COUNTIF(Y$3:Y369,Y370)=0,Y370,"")))</f>
        <v/>
      </c>
      <c r="AA370" s="34" t="b">
        <f t="shared" si="88"/>
        <v>0</v>
      </c>
      <c r="AB370" s="34">
        <f t="shared" si="89"/>
        <v>0</v>
      </c>
      <c r="AC370" s="34" t="str">
        <f>IF(AND(B370&lt;&gt;"",C370=CompteSel,N(B370)&lt;=DateArret,AB370=0),MAX($AC$3:AC369)+1,"")</f>
        <v/>
      </c>
      <c r="AD370" s="34" t="str">
        <f>IF(AND(ISNUMBER(M370),C370=CompteSel),MAX($AD$3:AD369)+1,"")</f>
        <v/>
      </c>
    </row>
    <row r="371" spans="1:30" x14ac:dyDescent="0.35">
      <c r="A371" s="1" t="str">
        <f t="shared" si="75"/>
        <v/>
      </c>
      <c r="B371" s="31"/>
      <c r="C371" s="8"/>
      <c r="D371" s="8"/>
      <c r="E371" s="8"/>
      <c r="F371" s="8"/>
      <c r="G371" s="8"/>
      <c r="H371" s="32"/>
      <c r="I371" s="32"/>
      <c r="J371" s="25" t="str">
        <f>IF(B371="","",IFERROR(VLOOKUP(C371,Soldes_Ouverture,2,FALSE()),0)+SUMIFS($S$4:S371,$C$4:C371,C371))</f>
        <v/>
      </c>
      <c r="K371" s="1" t="str">
        <f t="shared" si="76"/>
        <v/>
      </c>
      <c r="L371" s="1" t="str">
        <f t="shared" si="77"/>
        <v/>
      </c>
      <c r="M371" s="1" t="str">
        <f t="shared" si="78"/>
        <v/>
      </c>
      <c r="N371" s="8"/>
      <c r="O371" s="8"/>
      <c r="P371" s="1" t="str">
        <f t="shared" si="79"/>
        <v/>
      </c>
      <c r="Q371" s="25" t="str">
        <f t="shared" si="80"/>
        <v/>
      </c>
      <c r="R371" s="1" t="str">
        <f t="shared" si="81"/>
        <v/>
      </c>
      <c r="S371" s="33" t="str">
        <f t="shared" si="82"/>
        <v/>
      </c>
      <c r="T371" s="34" t="str">
        <f>IF(B371="","",C371&amp;"|"&amp;ROUND(S371,2)&amp;"|"&amp;COUNTIFS($C$4:C371,C371,$S$4:S371,S371))</f>
        <v/>
      </c>
      <c r="U371" s="34" t="str">
        <f t="shared" si="83"/>
        <v/>
      </c>
      <c r="V371" s="34" t="str">
        <f t="shared" si="84"/>
        <v/>
      </c>
      <c r="W371" s="34" t="str">
        <f t="shared" si="85"/>
        <v/>
      </c>
      <c r="X371" s="34">
        <f t="shared" si="86"/>
        <v>0</v>
      </c>
      <c r="Y371" s="34" t="str">
        <f t="shared" si="87"/>
        <v/>
      </c>
      <c r="Z371" s="34" t="str">
        <f>IF(X371=1,V371,IF(Y371="","",IF(COUNTIF(Y$3:Y370,Y371)=0,Y371,"")))</f>
        <v/>
      </c>
      <c r="AA371" s="34" t="b">
        <f t="shared" si="88"/>
        <v>0</v>
      </c>
      <c r="AB371" s="34">
        <f t="shared" si="89"/>
        <v>0</v>
      </c>
      <c r="AC371" s="34" t="str">
        <f>IF(AND(B371&lt;&gt;"",C371=CompteSel,N(B371)&lt;=DateArret,AB371=0),MAX($AC$3:AC370)+1,"")</f>
        <v/>
      </c>
      <c r="AD371" s="34" t="str">
        <f>IF(AND(ISNUMBER(M371),C371=CompteSel),MAX($AD$3:AD370)+1,"")</f>
        <v/>
      </c>
    </row>
    <row r="372" spans="1:30" x14ac:dyDescent="0.35">
      <c r="A372" s="1" t="str">
        <f t="shared" si="75"/>
        <v/>
      </c>
      <c r="B372" s="31"/>
      <c r="C372" s="8"/>
      <c r="D372" s="8"/>
      <c r="E372" s="8"/>
      <c r="F372" s="8"/>
      <c r="G372" s="8"/>
      <c r="H372" s="32"/>
      <c r="I372" s="32"/>
      <c r="J372" s="25" t="str">
        <f>IF(B372="","",IFERROR(VLOOKUP(C372,Soldes_Ouverture,2,FALSE()),0)+SUMIFS($S$4:S372,$C$4:C372,C372))</f>
        <v/>
      </c>
      <c r="K372" s="1" t="str">
        <f t="shared" si="76"/>
        <v/>
      </c>
      <c r="L372" s="1" t="str">
        <f t="shared" si="77"/>
        <v/>
      </c>
      <c r="M372" s="1" t="str">
        <f t="shared" si="78"/>
        <v/>
      </c>
      <c r="N372" s="8"/>
      <c r="O372" s="8"/>
      <c r="P372" s="1" t="str">
        <f t="shared" si="79"/>
        <v/>
      </c>
      <c r="Q372" s="25" t="str">
        <f t="shared" si="80"/>
        <v/>
      </c>
      <c r="R372" s="1" t="str">
        <f t="shared" si="81"/>
        <v/>
      </c>
      <c r="S372" s="33" t="str">
        <f t="shared" si="82"/>
        <v/>
      </c>
      <c r="T372" s="34" t="str">
        <f>IF(B372="","",C372&amp;"|"&amp;ROUND(S372,2)&amp;"|"&amp;COUNTIFS($C$4:C372,C372,$S$4:S372,S372))</f>
        <v/>
      </c>
      <c r="U372" s="34" t="str">
        <f t="shared" si="83"/>
        <v/>
      </c>
      <c r="V372" s="34" t="str">
        <f t="shared" si="84"/>
        <v/>
      </c>
      <c r="W372" s="34" t="str">
        <f t="shared" si="85"/>
        <v/>
      </c>
      <c r="X372" s="34">
        <f t="shared" si="86"/>
        <v>0</v>
      </c>
      <c r="Y372" s="34" t="str">
        <f t="shared" si="87"/>
        <v/>
      </c>
      <c r="Z372" s="34" t="str">
        <f>IF(X372=1,V372,IF(Y372="","",IF(COUNTIF(Y$3:Y371,Y372)=0,Y372,"")))</f>
        <v/>
      </c>
      <c r="AA372" s="34" t="b">
        <f t="shared" si="88"/>
        <v>0</v>
      </c>
      <c r="AB372" s="34">
        <f t="shared" si="89"/>
        <v>0</v>
      </c>
      <c r="AC372" s="34" t="str">
        <f>IF(AND(B372&lt;&gt;"",C372=CompteSel,N(B372)&lt;=DateArret,AB372=0),MAX($AC$3:AC371)+1,"")</f>
        <v/>
      </c>
      <c r="AD372" s="34" t="str">
        <f>IF(AND(ISNUMBER(M372),C372=CompteSel),MAX($AD$3:AD371)+1,"")</f>
        <v/>
      </c>
    </row>
    <row r="373" spans="1:30" x14ac:dyDescent="0.35">
      <c r="A373" s="1" t="str">
        <f t="shared" si="75"/>
        <v/>
      </c>
      <c r="B373" s="31"/>
      <c r="C373" s="8"/>
      <c r="D373" s="8"/>
      <c r="E373" s="8"/>
      <c r="F373" s="8"/>
      <c r="G373" s="8"/>
      <c r="H373" s="32"/>
      <c r="I373" s="32"/>
      <c r="J373" s="25" t="str">
        <f>IF(B373="","",IFERROR(VLOOKUP(C373,Soldes_Ouverture,2,FALSE()),0)+SUMIFS($S$4:S373,$C$4:C373,C373))</f>
        <v/>
      </c>
      <c r="K373" s="1" t="str">
        <f t="shared" si="76"/>
        <v/>
      </c>
      <c r="L373" s="1" t="str">
        <f t="shared" si="77"/>
        <v/>
      </c>
      <c r="M373" s="1" t="str">
        <f t="shared" si="78"/>
        <v/>
      </c>
      <c r="N373" s="8"/>
      <c r="O373" s="8"/>
      <c r="P373" s="1" t="str">
        <f t="shared" si="79"/>
        <v/>
      </c>
      <c r="Q373" s="25" t="str">
        <f t="shared" si="80"/>
        <v/>
      </c>
      <c r="R373" s="1" t="str">
        <f t="shared" si="81"/>
        <v/>
      </c>
      <c r="S373" s="33" t="str">
        <f t="shared" si="82"/>
        <v/>
      </c>
      <c r="T373" s="34" t="str">
        <f>IF(B373="","",C373&amp;"|"&amp;ROUND(S373,2)&amp;"|"&amp;COUNTIFS($C$4:C373,C373,$S$4:S373,S373))</f>
        <v/>
      </c>
      <c r="U373" s="34" t="str">
        <f t="shared" si="83"/>
        <v/>
      </c>
      <c r="V373" s="34" t="str">
        <f t="shared" si="84"/>
        <v/>
      </c>
      <c r="W373" s="34" t="str">
        <f t="shared" si="85"/>
        <v/>
      </c>
      <c r="X373" s="34">
        <f t="shared" si="86"/>
        <v>0</v>
      </c>
      <c r="Y373" s="34" t="str">
        <f t="shared" si="87"/>
        <v/>
      </c>
      <c r="Z373" s="34" t="str">
        <f>IF(X373=1,V373,IF(Y373="","",IF(COUNTIF(Y$3:Y372,Y373)=0,Y373,"")))</f>
        <v/>
      </c>
      <c r="AA373" s="34" t="b">
        <f t="shared" si="88"/>
        <v>0</v>
      </c>
      <c r="AB373" s="34">
        <f t="shared" si="89"/>
        <v>0</v>
      </c>
      <c r="AC373" s="34" t="str">
        <f>IF(AND(B373&lt;&gt;"",C373=CompteSel,N(B373)&lt;=DateArret,AB373=0),MAX($AC$3:AC372)+1,"")</f>
        <v/>
      </c>
      <c r="AD373" s="34" t="str">
        <f>IF(AND(ISNUMBER(M373),C373=CompteSel),MAX($AD$3:AD372)+1,"")</f>
        <v/>
      </c>
    </row>
    <row r="374" spans="1:30" x14ac:dyDescent="0.35">
      <c r="A374" s="1" t="str">
        <f t="shared" si="75"/>
        <v/>
      </c>
      <c r="B374" s="31"/>
      <c r="C374" s="8"/>
      <c r="D374" s="8"/>
      <c r="E374" s="8"/>
      <c r="F374" s="8"/>
      <c r="G374" s="8"/>
      <c r="H374" s="32"/>
      <c r="I374" s="32"/>
      <c r="J374" s="25" t="str">
        <f>IF(B374="","",IFERROR(VLOOKUP(C374,Soldes_Ouverture,2,FALSE()),0)+SUMIFS($S$4:S374,$C$4:C374,C374))</f>
        <v/>
      </c>
      <c r="K374" s="1" t="str">
        <f t="shared" si="76"/>
        <v/>
      </c>
      <c r="L374" s="1" t="str">
        <f t="shared" si="77"/>
        <v/>
      </c>
      <c r="M374" s="1" t="str">
        <f t="shared" si="78"/>
        <v/>
      </c>
      <c r="N374" s="8"/>
      <c r="O374" s="8"/>
      <c r="P374" s="1" t="str">
        <f t="shared" si="79"/>
        <v/>
      </c>
      <c r="Q374" s="25" t="str">
        <f t="shared" si="80"/>
        <v/>
      </c>
      <c r="R374" s="1" t="str">
        <f t="shared" si="81"/>
        <v/>
      </c>
      <c r="S374" s="33" t="str">
        <f t="shared" si="82"/>
        <v/>
      </c>
      <c r="T374" s="34" t="str">
        <f>IF(B374="","",C374&amp;"|"&amp;ROUND(S374,2)&amp;"|"&amp;COUNTIFS($C$4:C374,C374,$S$4:S374,S374))</f>
        <v/>
      </c>
      <c r="U374" s="34" t="str">
        <f t="shared" si="83"/>
        <v/>
      </c>
      <c r="V374" s="34" t="str">
        <f t="shared" si="84"/>
        <v/>
      </c>
      <c r="W374" s="34" t="str">
        <f t="shared" si="85"/>
        <v/>
      </c>
      <c r="X374" s="34">
        <f t="shared" si="86"/>
        <v>0</v>
      </c>
      <c r="Y374" s="34" t="str">
        <f t="shared" si="87"/>
        <v/>
      </c>
      <c r="Z374" s="34" t="str">
        <f>IF(X374=1,V374,IF(Y374="","",IF(COUNTIF(Y$3:Y373,Y374)=0,Y374,"")))</f>
        <v/>
      </c>
      <c r="AA374" s="34" t="b">
        <f t="shared" si="88"/>
        <v>0</v>
      </c>
      <c r="AB374" s="34">
        <f t="shared" si="89"/>
        <v>0</v>
      </c>
      <c r="AC374" s="34" t="str">
        <f>IF(AND(B374&lt;&gt;"",C374=CompteSel,N(B374)&lt;=DateArret,AB374=0),MAX($AC$3:AC373)+1,"")</f>
        <v/>
      </c>
      <c r="AD374" s="34" t="str">
        <f>IF(AND(ISNUMBER(M374),C374=CompteSel),MAX($AD$3:AD373)+1,"")</f>
        <v/>
      </c>
    </row>
    <row r="375" spans="1:30" x14ac:dyDescent="0.35">
      <c r="A375" s="1" t="str">
        <f t="shared" si="75"/>
        <v/>
      </c>
      <c r="B375" s="31"/>
      <c r="C375" s="8"/>
      <c r="D375" s="8"/>
      <c r="E375" s="8"/>
      <c r="F375" s="8"/>
      <c r="G375" s="8"/>
      <c r="H375" s="32"/>
      <c r="I375" s="32"/>
      <c r="J375" s="25" t="str">
        <f>IF(B375="","",IFERROR(VLOOKUP(C375,Soldes_Ouverture,2,FALSE()),0)+SUMIFS($S$4:S375,$C$4:C375,C375))</f>
        <v/>
      </c>
      <c r="K375" s="1" t="str">
        <f t="shared" si="76"/>
        <v/>
      </c>
      <c r="L375" s="1" t="str">
        <f t="shared" si="77"/>
        <v/>
      </c>
      <c r="M375" s="1" t="str">
        <f t="shared" si="78"/>
        <v/>
      </c>
      <c r="N375" s="8"/>
      <c r="O375" s="8"/>
      <c r="P375" s="1" t="str">
        <f t="shared" si="79"/>
        <v/>
      </c>
      <c r="Q375" s="25" t="str">
        <f t="shared" si="80"/>
        <v/>
      </c>
      <c r="R375" s="1" t="str">
        <f t="shared" si="81"/>
        <v/>
      </c>
      <c r="S375" s="33" t="str">
        <f t="shared" si="82"/>
        <v/>
      </c>
      <c r="T375" s="34" t="str">
        <f>IF(B375="","",C375&amp;"|"&amp;ROUND(S375,2)&amp;"|"&amp;COUNTIFS($C$4:C375,C375,$S$4:S375,S375))</f>
        <v/>
      </c>
      <c r="U375" s="34" t="str">
        <f t="shared" si="83"/>
        <v/>
      </c>
      <c r="V375" s="34" t="str">
        <f t="shared" si="84"/>
        <v/>
      </c>
      <c r="W375" s="34" t="str">
        <f t="shared" si="85"/>
        <v/>
      </c>
      <c r="X375" s="34">
        <f t="shared" si="86"/>
        <v>0</v>
      </c>
      <c r="Y375" s="34" t="str">
        <f t="shared" si="87"/>
        <v/>
      </c>
      <c r="Z375" s="34" t="str">
        <f>IF(X375=1,V375,IF(Y375="","",IF(COUNTIF(Y$3:Y374,Y375)=0,Y375,"")))</f>
        <v/>
      </c>
      <c r="AA375" s="34" t="b">
        <f t="shared" si="88"/>
        <v>0</v>
      </c>
      <c r="AB375" s="34">
        <f t="shared" si="89"/>
        <v>0</v>
      </c>
      <c r="AC375" s="34" t="str">
        <f>IF(AND(B375&lt;&gt;"",C375=CompteSel,N(B375)&lt;=DateArret,AB375=0),MAX($AC$3:AC374)+1,"")</f>
        <v/>
      </c>
      <c r="AD375" s="34" t="str">
        <f>IF(AND(ISNUMBER(M375),C375=CompteSel),MAX($AD$3:AD374)+1,"")</f>
        <v/>
      </c>
    </row>
    <row r="376" spans="1:30" x14ac:dyDescent="0.35">
      <c r="A376" s="1" t="str">
        <f t="shared" si="75"/>
        <v/>
      </c>
      <c r="B376" s="31"/>
      <c r="C376" s="8"/>
      <c r="D376" s="8"/>
      <c r="E376" s="8"/>
      <c r="F376" s="8"/>
      <c r="G376" s="8"/>
      <c r="H376" s="32"/>
      <c r="I376" s="32"/>
      <c r="J376" s="25" t="str">
        <f>IF(B376="","",IFERROR(VLOOKUP(C376,Soldes_Ouverture,2,FALSE()),0)+SUMIFS($S$4:S376,$C$4:C376,C376))</f>
        <v/>
      </c>
      <c r="K376" s="1" t="str">
        <f t="shared" si="76"/>
        <v/>
      </c>
      <c r="L376" s="1" t="str">
        <f t="shared" si="77"/>
        <v/>
      </c>
      <c r="M376" s="1" t="str">
        <f t="shared" si="78"/>
        <v/>
      </c>
      <c r="N376" s="8"/>
      <c r="O376" s="8"/>
      <c r="P376" s="1" t="str">
        <f t="shared" si="79"/>
        <v/>
      </c>
      <c r="Q376" s="25" t="str">
        <f t="shared" si="80"/>
        <v/>
      </c>
      <c r="R376" s="1" t="str">
        <f t="shared" si="81"/>
        <v/>
      </c>
      <c r="S376" s="33" t="str">
        <f t="shared" si="82"/>
        <v/>
      </c>
      <c r="T376" s="34" t="str">
        <f>IF(B376="","",C376&amp;"|"&amp;ROUND(S376,2)&amp;"|"&amp;COUNTIFS($C$4:C376,C376,$S$4:S376,S376))</f>
        <v/>
      </c>
      <c r="U376" s="34" t="str">
        <f t="shared" si="83"/>
        <v/>
      </c>
      <c r="V376" s="34" t="str">
        <f t="shared" si="84"/>
        <v/>
      </c>
      <c r="W376" s="34" t="str">
        <f t="shared" si="85"/>
        <v/>
      </c>
      <c r="X376" s="34">
        <f t="shared" si="86"/>
        <v>0</v>
      </c>
      <c r="Y376" s="34" t="str">
        <f t="shared" si="87"/>
        <v/>
      </c>
      <c r="Z376" s="34" t="str">
        <f>IF(X376=1,V376,IF(Y376="","",IF(COUNTIF(Y$3:Y375,Y376)=0,Y376,"")))</f>
        <v/>
      </c>
      <c r="AA376" s="34" t="b">
        <f t="shared" si="88"/>
        <v>0</v>
      </c>
      <c r="AB376" s="34">
        <f t="shared" si="89"/>
        <v>0</v>
      </c>
      <c r="AC376" s="34" t="str">
        <f>IF(AND(B376&lt;&gt;"",C376=CompteSel,N(B376)&lt;=DateArret,AB376=0),MAX($AC$3:AC375)+1,"")</f>
        <v/>
      </c>
      <c r="AD376" s="34" t="str">
        <f>IF(AND(ISNUMBER(M376),C376=CompteSel),MAX($AD$3:AD375)+1,"")</f>
        <v/>
      </c>
    </row>
    <row r="377" spans="1:30" x14ac:dyDescent="0.35">
      <c r="A377" s="1" t="str">
        <f t="shared" si="75"/>
        <v/>
      </c>
      <c r="B377" s="31"/>
      <c r="C377" s="8"/>
      <c r="D377" s="8"/>
      <c r="E377" s="8"/>
      <c r="F377" s="8"/>
      <c r="G377" s="8"/>
      <c r="H377" s="32"/>
      <c r="I377" s="32"/>
      <c r="J377" s="25" t="str">
        <f>IF(B377="","",IFERROR(VLOOKUP(C377,Soldes_Ouverture,2,FALSE()),0)+SUMIFS($S$4:S377,$C$4:C377,C377))</f>
        <v/>
      </c>
      <c r="K377" s="1" t="str">
        <f t="shared" si="76"/>
        <v/>
      </c>
      <c r="L377" s="1" t="str">
        <f t="shared" si="77"/>
        <v/>
      </c>
      <c r="M377" s="1" t="str">
        <f t="shared" si="78"/>
        <v/>
      </c>
      <c r="N377" s="8"/>
      <c r="O377" s="8"/>
      <c r="P377" s="1" t="str">
        <f t="shared" si="79"/>
        <v/>
      </c>
      <c r="Q377" s="25" t="str">
        <f t="shared" si="80"/>
        <v/>
      </c>
      <c r="R377" s="1" t="str">
        <f t="shared" si="81"/>
        <v/>
      </c>
      <c r="S377" s="33" t="str">
        <f t="shared" si="82"/>
        <v/>
      </c>
      <c r="T377" s="34" t="str">
        <f>IF(B377="","",C377&amp;"|"&amp;ROUND(S377,2)&amp;"|"&amp;COUNTIFS($C$4:C377,C377,$S$4:S377,S377))</f>
        <v/>
      </c>
      <c r="U377" s="34" t="str">
        <f t="shared" si="83"/>
        <v/>
      </c>
      <c r="V377" s="34" t="str">
        <f t="shared" si="84"/>
        <v/>
      </c>
      <c r="W377" s="34" t="str">
        <f t="shared" si="85"/>
        <v/>
      </c>
      <c r="X377" s="34">
        <f t="shared" si="86"/>
        <v>0</v>
      </c>
      <c r="Y377" s="34" t="str">
        <f t="shared" si="87"/>
        <v/>
      </c>
      <c r="Z377" s="34" t="str">
        <f>IF(X377=1,V377,IF(Y377="","",IF(COUNTIF(Y$3:Y376,Y377)=0,Y377,"")))</f>
        <v/>
      </c>
      <c r="AA377" s="34" t="b">
        <f t="shared" si="88"/>
        <v>0</v>
      </c>
      <c r="AB377" s="34">
        <f t="shared" si="89"/>
        <v>0</v>
      </c>
      <c r="AC377" s="34" t="str">
        <f>IF(AND(B377&lt;&gt;"",C377=CompteSel,N(B377)&lt;=DateArret,AB377=0),MAX($AC$3:AC376)+1,"")</f>
        <v/>
      </c>
      <c r="AD377" s="34" t="str">
        <f>IF(AND(ISNUMBER(M377),C377=CompteSel),MAX($AD$3:AD376)+1,"")</f>
        <v/>
      </c>
    </row>
    <row r="378" spans="1:30" x14ac:dyDescent="0.35">
      <c r="A378" s="1" t="str">
        <f t="shared" si="75"/>
        <v/>
      </c>
      <c r="B378" s="31"/>
      <c r="C378" s="8"/>
      <c r="D378" s="8"/>
      <c r="E378" s="8"/>
      <c r="F378" s="8"/>
      <c r="G378" s="8"/>
      <c r="H378" s="32"/>
      <c r="I378" s="32"/>
      <c r="J378" s="25" t="str">
        <f>IF(B378="","",IFERROR(VLOOKUP(C378,Soldes_Ouverture,2,FALSE()),0)+SUMIFS($S$4:S378,$C$4:C378,C378))</f>
        <v/>
      </c>
      <c r="K378" s="1" t="str">
        <f t="shared" si="76"/>
        <v/>
      </c>
      <c r="L378" s="1" t="str">
        <f t="shared" si="77"/>
        <v/>
      </c>
      <c r="M378" s="1" t="str">
        <f t="shared" si="78"/>
        <v/>
      </c>
      <c r="N378" s="8"/>
      <c r="O378" s="8"/>
      <c r="P378" s="1" t="str">
        <f t="shared" si="79"/>
        <v/>
      </c>
      <c r="Q378" s="25" t="str">
        <f t="shared" si="80"/>
        <v/>
      </c>
      <c r="R378" s="1" t="str">
        <f t="shared" si="81"/>
        <v/>
      </c>
      <c r="S378" s="33" t="str">
        <f t="shared" si="82"/>
        <v/>
      </c>
      <c r="T378" s="34" t="str">
        <f>IF(B378="","",C378&amp;"|"&amp;ROUND(S378,2)&amp;"|"&amp;COUNTIFS($C$4:C378,C378,$S$4:S378,S378))</f>
        <v/>
      </c>
      <c r="U378" s="34" t="str">
        <f t="shared" si="83"/>
        <v/>
      </c>
      <c r="V378" s="34" t="str">
        <f t="shared" si="84"/>
        <v/>
      </c>
      <c r="W378" s="34" t="str">
        <f t="shared" si="85"/>
        <v/>
      </c>
      <c r="X378" s="34">
        <f t="shared" si="86"/>
        <v>0</v>
      </c>
      <c r="Y378" s="34" t="str">
        <f t="shared" si="87"/>
        <v/>
      </c>
      <c r="Z378" s="34" t="str">
        <f>IF(X378=1,V378,IF(Y378="","",IF(COUNTIF(Y$3:Y377,Y378)=0,Y378,"")))</f>
        <v/>
      </c>
      <c r="AA378" s="34" t="b">
        <f t="shared" si="88"/>
        <v>0</v>
      </c>
      <c r="AB378" s="34">
        <f t="shared" si="89"/>
        <v>0</v>
      </c>
      <c r="AC378" s="34" t="str">
        <f>IF(AND(B378&lt;&gt;"",C378=CompteSel,N(B378)&lt;=DateArret,AB378=0),MAX($AC$3:AC377)+1,"")</f>
        <v/>
      </c>
      <c r="AD378" s="34" t="str">
        <f>IF(AND(ISNUMBER(M378),C378=CompteSel),MAX($AD$3:AD377)+1,"")</f>
        <v/>
      </c>
    </row>
    <row r="379" spans="1:30" x14ac:dyDescent="0.35">
      <c r="A379" s="1" t="str">
        <f t="shared" si="75"/>
        <v/>
      </c>
      <c r="B379" s="31"/>
      <c r="C379" s="8"/>
      <c r="D379" s="8"/>
      <c r="E379" s="8"/>
      <c r="F379" s="8"/>
      <c r="G379" s="8"/>
      <c r="H379" s="32"/>
      <c r="I379" s="32"/>
      <c r="J379" s="25" t="str">
        <f>IF(B379="","",IFERROR(VLOOKUP(C379,Soldes_Ouverture,2,FALSE()),0)+SUMIFS($S$4:S379,$C$4:C379,C379))</f>
        <v/>
      </c>
      <c r="K379" s="1" t="str">
        <f t="shared" si="76"/>
        <v/>
      </c>
      <c r="L379" s="1" t="str">
        <f t="shared" si="77"/>
        <v/>
      </c>
      <c r="M379" s="1" t="str">
        <f t="shared" si="78"/>
        <v/>
      </c>
      <c r="N379" s="8"/>
      <c r="O379" s="8"/>
      <c r="P379" s="1" t="str">
        <f t="shared" si="79"/>
        <v/>
      </c>
      <c r="Q379" s="25" t="str">
        <f t="shared" si="80"/>
        <v/>
      </c>
      <c r="R379" s="1" t="str">
        <f t="shared" si="81"/>
        <v/>
      </c>
      <c r="S379" s="33" t="str">
        <f t="shared" si="82"/>
        <v/>
      </c>
      <c r="T379" s="34" t="str">
        <f>IF(B379="","",C379&amp;"|"&amp;ROUND(S379,2)&amp;"|"&amp;COUNTIFS($C$4:C379,C379,$S$4:S379,S379))</f>
        <v/>
      </c>
      <c r="U379" s="34" t="str">
        <f t="shared" si="83"/>
        <v/>
      </c>
      <c r="V379" s="34" t="str">
        <f t="shared" si="84"/>
        <v/>
      </c>
      <c r="W379" s="34" t="str">
        <f t="shared" si="85"/>
        <v/>
      </c>
      <c r="X379" s="34">
        <f t="shared" si="86"/>
        <v>0</v>
      </c>
      <c r="Y379" s="34" t="str">
        <f t="shared" si="87"/>
        <v/>
      </c>
      <c r="Z379" s="34" t="str">
        <f>IF(X379=1,V379,IF(Y379="","",IF(COUNTIF(Y$3:Y378,Y379)=0,Y379,"")))</f>
        <v/>
      </c>
      <c r="AA379" s="34" t="b">
        <f t="shared" si="88"/>
        <v>0</v>
      </c>
      <c r="AB379" s="34">
        <f t="shared" si="89"/>
        <v>0</v>
      </c>
      <c r="AC379" s="34" t="str">
        <f>IF(AND(B379&lt;&gt;"",C379=CompteSel,N(B379)&lt;=DateArret,AB379=0),MAX($AC$3:AC378)+1,"")</f>
        <v/>
      </c>
      <c r="AD379" s="34" t="str">
        <f>IF(AND(ISNUMBER(M379),C379=CompteSel),MAX($AD$3:AD378)+1,"")</f>
        <v/>
      </c>
    </row>
    <row r="380" spans="1:30" x14ac:dyDescent="0.35">
      <c r="A380" s="1" t="str">
        <f t="shared" si="75"/>
        <v/>
      </c>
      <c r="B380" s="31"/>
      <c r="C380" s="8"/>
      <c r="D380" s="8"/>
      <c r="E380" s="8"/>
      <c r="F380" s="8"/>
      <c r="G380" s="8"/>
      <c r="H380" s="32"/>
      <c r="I380" s="32"/>
      <c r="J380" s="25" t="str">
        <f>IF(B380="","",IFERROR(VLOOKUP(C380,Soldes_Ouverture,2,FALSE()),0)+SUMIFS($S$4:S380,$C$4:C380,C380))</f>
        <v/>
      </c>
      <c r="K380" s="1" t="str">
        <f t="shared" si="76"/>
        <v/>
      </c>
      <c r="L380" s="1" t="str">
        <f t="shared" si="77"/>
        <v/>
      </c>
      <c r="M380" s="1" t="str">
        <f t="shared" si="78"/>
        <v/>
      </c>
      <c r="N380" s="8"/>
      <c r="O380" s="8"/>
      <c r="P380" s="1" t="str">
        <f t="shared" si="79"/>
        <v/>
      </c>
      <c r="Q380" s="25" t="str">
        <f t="shared" si="80"/>
        <v/>
      </c>
      <c r="R380" s="1" t="str">
        <f t="shared" si="81"/>
        <v/>
      </c>
      <c r="S380" s="33" t="str">
        <f t="shared" si="82"/>
        <v/>
      </c>
      <c r="T380" s="34" t="str">
        <f>IF(B380="","",C380&amp;"|"&amp;ROUND(S380,2)&amp;"|"&amp;COUNTIFS($C$4:C380,C380,$S$4:S380,S380))</f>
        <v/>
      </c>
      <c r="U380" s="34" t="str">
        <f t="shared" si="83"/>
        <v/>
      </c>
      <c r="V380" s="34" t="str">
        <f t="shared" si="84"/>
        <v/>
      </c>
      <c r="W380" s="34" t="str">
        <f t="shared" si="85"/>
        <v/>
      </c>
      <c r="X380" s="34">
        <f t="shared" si="86"/>
        <v>0</v>
      </c>
      <c r="Y380" s="34" t="str">
        <f t="shared" si="87"/>
        <v/>
      </c>
      <c r="Z380" s="34" t="str">
        <f>IF(X380=1,V380,IF(Y380="","",IF(COUNTIF(Y$3:Y379,Y380)=0,Y380,"")))</f>
        <v/>
      </c>
      <c r="AA380" s="34" t="b">
        <f t="shared" si="88"/>
        <v>0</v>
      </c>
      <c r="AB380" s="34">
        <f t="shared" si="89"/>
        <v>0</v>
      </c>
      <c r="AC380" s="34" t="str">
        <f>IF(AND(B380&lt;&gt;"",C380=CompteSel,N(B380)&lt;=DateArret,AB380=0),MAX($AC$3:AC379)+1,"")</f>
        <v/>
      </c>
      <c r="AD380" s="34" t="str">
        <f>IF(AND(ISNUMBER(M380),C380=CompteSel),MAX($AD$3:AD379)+1,"")</f>
        <v/>
      </c>
    </row>
    <row r="381" spans="1:30" x14ac:dyDescent="0.35">
      <c r="A381" s="1" t="str">
        <f t="shared" si="75"/>
        <v/>
      </c>
      <c r="B381" s="31"/>
      <c r="C381" s="8"/>
      <c r="D381" s="8"/>
      <c r="E381" s="8"/>
      <c r="F381" s="8"/>
      <c r="G381" s="8"/>
      <c r="H381" s="32"/>
      <c r="I381" s="32"/>
      <c r="J381" s="25" t="str">
        <f>IF(B381="","",IFERROR(VLOOKUP(C381,Soldes_Ouverture,2,FALSE()),0)+SUMIFS($S$4:S381,$C$4:C381,C381))</f>
        <v/>
      </c>
      <c r="K381" s="1" t="str">
        <f t="shared" si="76"/>
        <v/>
      </c>
      <c r="L381" s="1" t="str">
        <f t="shared" si="77"/>
        <v/>
      </c>
      <c r="M381" s="1" t="str">
        <f t="shared" si="78"/>
        <v/>
      </c>
      <c r="N381" s="8"/>
      <c r="O381" s="8"/>
      <c r="P381" s="1" t="str">
        <f t="shared" si="79"/>
        <v/>
      </c>
      <c r="Q381" s="25" t="str">
        <f t="shared" si="80"/>
        <v/>
      </c>
      <c r="R381" s="1" t="str">
        <f t="shared" si="81"/>
        <v/>
      </c>
      <c r="S381" s="33" t="str">
        <f t="shared" si="82"/>
        <v/>
      </c>
      <c r="T381" s="34" t="str">
        <f>IF(B381="","",C381&amp;"|"&amp;ROUND(S381,2)&amp;"|"&amp;COUNTIFS($C$4:C381,C381,$S$4:S381,S381))</f>
        <v/>
      </c>
      <c r="U381" s="34" t="str">
        <f t="shared" si="83"/>
        <v/>
      </c>
      <c r="V381" s="34" t="str">
        <f t="shared" si="84"/>
        <v/>
      </c>
      <c r="W381" s="34" t="str">
        <f t="shared" si="85"/>
        <v/>
      </c>
      <c r="X381" s="34">
        <f t="shared" si="86"/>
        <v>0</v>
      </c>
      <c r="Y381" s="34" t="str">
        <f t="shared" si="87"/>
        <v/>
      </c>
      <c r="Z381" s="34" t="str">
        <f>IF(X381=1,V381,IF(Y381="","",IF(COUNTIF(Y$3:Y380,Y381)=0,Y381,"")))</f>
        <v/>
      </c>
      <c r="AA381" s="34" t="b">
        <f t="shared" si="88"/>
        <v>0</v>
      </c>
      <c r="AB381" s="34">
        <f t="shared" si="89"/>
        <v>0</v>
      </c>
      <c r="AC381" s="34" t="str">
        <f>IF(AND(B381&lt;&gt;"",C381=CompteSel,N(B381)&lt;=DateArret,AB381=0),MAX($AC$3:AC380)+1,"")</f>
        <v/>
      </c>
      <c r="AD381" s="34" t="str">
        <f>IF(AND(ISNUMBER(M381),C381=CompteSel),MAX($AD$3:AD380)+1,"")</f>
        <v/>
      </c>
    </row>
    <row r="382" spans="1:30" x14ac:dyDescent="0.35">
      <c r="A382" s="1" t="str">
        <f t="shared" si="75"/>
        <v/>
      </c>
      <c r="B382" s="31"/>
      <c r="C382" s="8"/>
      <c r="D382" s="8"/>
      <c r="E382" s="8"/>
      <c r="F382" s="8"/>
      <c r="G382" s="8"/>
      <c r="H382" s="32"/>
      <c r="I382" s="32"/>
      <c r="J382" s="25" t="str">
        <f>IF(B382="","",IFERROR(VLOOKUP(C382,Soldes_Ouverture,2,FALSE()),0)+SUMIFS($S$4:S382,$C$4:C382,C382))</f>
        <v/>
      </c>
      <c r="K382" s="1" t="str">
        <f t="shared" si="76"/>
        <v/>
      </c>
      <c r="L382" s="1" t="str">
        <f t="shared" si="77"/>
        <v/>
      </c>
      <c r="M382" s="1" t="str">
        <f t="shared" si="78"/>
        <v/>
      </c>
      <c r="N382" s="8"/>
      <c r="O382" s="8"/>
      <c r="P382" s="1" t="str">
        <f t="shared" si="79"/>
        <v/>
      </c>
      <c r="Q382" s="25" t="str">
        <f t="shared" si="80"/>
        <v/>
      </c>
      <c r="R382" s="1" t="str">
        <f t="shared" si="81"/>
        <v/>
      </c>
      <c r="S382" s="33" t="str">
        <f t="shared" si="82"/>
        <v/>
      </c>
      <c r="T382" s="34" t="str">
        <f>IF(B382="","",C382&amp;"|"&amp;ROUND(S382,2)&amp;"|"&amp;COUNTIFS($C$4:C382,C382,$S$4:S382,S382))</f>
        <v/>
      </c>
      <c r="U382" s="34" t="str">
        <f t="shared" si="83"/>
        <v/>
      </c>
      <c r="V382" s="34" t="str">
        <f t="shared" si="84"/>
        <v/>
      </c>
      <c r="W382" s="34" t="str">
        <f t="shared" si="85"/>
        <v/>
      </c>
      <c r="X382" s="34">
        <f t="shared" si="86"/>
        <v>0</v>
      </c>
      <c r="Y382" s="34" t="str">
        <f t="shared" si="87"/>
        <v/>
      </c>
      <c r="Z382" s="34" t="str">
        <f>IF(X382=1,V382,IF(Y382="","",IF(COUNTIF(Y$3:Y381,Y382)=0,Y382,"")))</f>
        <v/>
      </c>
      <c r="AA382" s="34" t="b">
        <f t="shared" si="88"/>
        <v>0</v>
      </c>
      <c r="AB382" s="34">
        <f t="shared" si="89"/>
        <v>0</v>
      </c>
      <c r="AC382" s="34" t="str">
        <f>IF(AND(B382&lt;&gt;"",C382=CompteSel,N(B382)&lt;=DateArret,AB382=0),MAX($AC$3:AC381)+1,"")</f>
        <v/>
      </c>
      <c r="AD382" s="34" t="str">
        <f>IF(AND(ISNUMBER(M382),C382=CompteSel),MAX($AD$3:AD381)+1,"")</f>
        <v/>
      </c>
    </row>
    <row r="383" spans="1:30" x14ac:dyDescent="0.35">
      <c r="A383" s="1" t="str">
        <f t="shared" si="75"/>
        <v/>
      </c>
      <c r="B383" s="31"/>
      <c r="C383" s="8"/>
      <c r="D383" s="8"/>
      <c r="E383" s="8"/>
      <c r="F383" s="8"/>
      <c r="G383" s="8"/>
      <c r="H383" s="32"/>
      <c r="I383" s="32"/>
      <c r="J383" s="25" t="str">
        <f>IF(B383="","",IFERROR(VLOOKUP(C383,Soldes_Ouverture,2,FALSE()),0)+SUMIFS($S$4:S383,$C$4:C383,C383))</f>
        <v/>
      </c>
      <c r="K383" s="1" t="str">
        <f t="shared" si="76"/>
        <v/>
      </c>
      <c r="L383" s="1" t="str">
        <f t="shared" si="77"/>
        <v/>
      </c>
      <c r="M383" s="1" t="str">
        <f t="shared" si="78"/>
        <v/>
      </c>
      <c r="N383" s="8"/>
      <c r="O383" s="8"/>
      <c r="P383" s="1" t="str">
        <f t="shared" si="79"/>
        <v/>
      </c>
      <c r="Q383" s="25" t="str">
        <f t="shared" si="80"/>
        <v/>
      </c>
      <c r="R383" s="1" t="str">
        <f t="shared" si="81"/>
        <v/>
      </c>
      <c r="S383" s="33" t="str">
        <f t="shared" si="82"/>
        <v/>
      </c>
      <c r="T383" s="34" t="str">
        <f>IF(B383="","",C383&amp;"|"&amp;ROUND(S383,2)&amp;"|"&amp;COUNTIFS($C$4:C383,C383,$S$4:S383,S383))</f>
        <v/>
      </c>
      <c r="U383" s="34" t="str">
        <f t="shared" si="83"/>
        <v/>
      </c>
      <c r="V383" s="34" t="str">
        <f t="shared" si="84"/>
        <v/>
      </c>
      <c r="W383" s="34" t="str">
        <f t="shared" si="85"/>
        <v/>
      </c>
      <c r="X383" s="34">
        <f t="shared" si="86"/>
        <v>0</v>
      </c>
      <c r="Y383" s="34" t="str">
        <f t="shared" si="87"/>
        <v/>
      </c>
      <c r="Z383" s="34" t="str">
        <f>IF(X383=1,V383,IF(Y383="","",IF(COUNTIF(Y$3:Y382,Y383)=0,Y383,"")))</f>
        <v/>
      </c>
      <c r="AA383" s="34" t="b">
        <f t="shared" si="88"/>
        <v>0</v>
      </c>
      <c r="AB383" s="34">
        <f t="shared" si="89"/>
        <v>0</v>
      </c>
      <c r="AC383" s="34" t="str">
        <f>IF(AND(B383&lt;&gt;"",C383=CompteSel,N(B383)&lt;=DateArret,AB383=0),MAX($AC$3:AC382)+1,"")</f>
        <v/>
      </c>
      <c r="AD383" s="34" t="str">
        <f>IF(AND(ISNUMBER(M383),C383=CompteSel),MAX($AD$3:AD382)+1,"")</f>
        <v/>
      </c>
    </row>
    <row r="384" spans="1:30" x14ac:dyDescent="0.35">
      <c r="A384" s="1" t="str">
        <f t="shared" si="75"/>
        <v/>
      </c>
      <c r="B384" s="31"/>
      <c r="C384" s="8"/>
      <c r="D384" s="8"/>
      <c r="E384" s="8"/>
      <c r="F384" s="8"/>
      <c r="G384" s="8"/>
      <c r="H384" s="32"/>
      <c r="I384" s="32"/>
      <c r="J384" s="25" t="str">
        <f>IF(B384="","",IFERROR(VLOOKUP(C384,Soldes_Ouverture,2,FALSE()),0)+SUMIFS($S$4:S384,$C$4:C384,C384))</f>
        <v/>
      </c>
      <c r="K384" s="1" t="str">
        <f t="shared" si="76"/>
        <v/>
      </c>
      <c r="L384" s="1" t="str">
        <f t="shared" si="77"/>
        <v/>
      </c>
      <c r="M384" s="1" t="str">
        <f t="shared" si="78"/>
        <v/>
      </c>
      <c r="N384" s="8"/>
      <c r="O384" s="8"/>
      <c r="P384" s="1" t="str">
        <f t="shared" si="79"/>
        <v/>
      </c>
      <c r="Q384" s="25" t="str">
        <f t="shared" si="80"/>
        <v/>
      </c>
      <c r="R384" s="1" t="str">
        <f t="shared" si="81"/>
        <v/>
      </c>
      <c r="S384" s="33" t="str">
        <f t="shared" si="82"/>
        <v/>
      </c>
      <c r="T384" s="34" t="str">
        <f>IF(B384="","",C384&amp;"|"&amp;ROUND(S384,2)&amp;"|"&amp;COUNTIFS($C$4:C384,C384,$S$4:S384,S384))</f>
        <v/>
      </c>
      <c r="U384" s="34" t="str">
        <f t="shared" si="83"/>
        <v/>
      </c>
      <c r="V384" s="34" t="str">
        <f t="shared" si="84"/>
        <v/>
      </c>
      <c r="W384" s="34" t="str">
        <f t="shared" si="85"/>
        <v/>
      </c>
      <c r="X384" s="34">
        <f t="shared" si="86"/>
        <v>0</v>
      </c>
      <c r="Y384" s="34" t="str">
        <f t="shared" si="87"/>
        <v/>
      </c>
      <c r="Z384" s="34" t="str">
        <f>IF(X384=1,V384,IF(Y384="","",IF(COUNTIF(Y$3:Y383,Y384)=0,Y384,"")))</f>
        <v/>
      </c>
      <c r="AA384" s="34" t="b">
        <f t="shared" si="88"/>
        <v>0</v>
      </c>
      <c r="AB384" s="34">
        <f t="shared" si="89"/>
        <v>0</v>
      </c>
      <c r="AC384" s="34" t="str">
        <f>IF(AND(B384&lt;&gt;"",C384=CompteSel,N(B384)&lt;=DateArret,AB384=0),MAX($AC$3:AC383)+1,"")</f>
        <v/>
      </c>
      <c r="AD384" s="34" t="str">
        <f>IF(AND(ISNUMBER(M384),C384=CompteSel),MAX($AD$3:AD383)+1,"")</f>
        <v/>
      </c>
    </row>
    <row r="385" spans="1:30" x14ac:dyDescent="0.35">
      <c r="A385" s="1" t="str">
        <f t="shared" si="75"/>
        <v/>
      </c>
      <c r="B385" s="31"/>
      <c r="C385" s="8"/>
      <c r="D385" s="8"/>
      <c r="E385" s="8"/>
      <c r="F385" s="8"/>
      <c r="G385" s="8"/>
      <c r="H385" s="32"/>
      <c r="I385" s="32"/>
      <c r="J385" s="25" t="str">
        <f>IF(B385="","",IFERROR(VLOOKUP(C385,Soldes_Ouverture,2,FALSE()),0)+SUMIFS($S$4:S385,$C$4:C385,C385))</f>
        <v/>
      </c>
      <c r="K385" s="1" t="str">
        <f t="shared" si="76"/>
        <v/>
      </c>
      <c r="L385" s="1" t="str">
        <f t="shared" si="77"/>
        <v/>
      </c>
      <c r="M385" s="1" t="str">
        <f t="shared" si="78"/>
        <v/>
      </c>
      <c r="N385" s="8"/>
      <c r="O385" s="8"/>
      <c r="P385" s="1" t="str">
        <f t="shared" si="79"/>
        <v/>
      </c>
      <c r="Q385" s="25" t="str">
        <f t="shared" si="80"/>
        <v/>
      </c>
      <c r="R385" s="1" t="str">
        <f t="shared" si="81"/>
        <v/>
      </c>
      <c r="S385" s="33" t="str">
        <f t="shared" si="82"/>
        <v/>
      </c>
      <c r="T385" s="34" t="str">
        <f>IF(B385="","",C385&amp;"|"&amp;ROUND(S385,2)&amp;"|"&amp;COUNTIFS($C$4:C385,C385,$S$4:S385,S385))</f>
        <v/>
      </c>
      <c r="U385" s="34" t="str">
        <f t="shared" si="83"/>
        <v/>
      </c>
      <c r="V385" s="34" t="str">
        <f t="shared" si="84"/>
        <v/>
      </c>
      <c r="W385" s="34" t="str">
        <f t="shared" si="85"/>
        <v/>
      </c>
      <c r="X385" s="34">
        <f t="shared" si="86"/>
        <v>0</v>
      </c>
      <c r="Y385" s="34" t="str">
        <f t="shared" si="87"/>
        <v/>
      </c>
      <c r="Z385" s="34" t="str">
        <f>IF(X385=1,V385,IF(Y385="","",IF(COUNTIF(Y$3:Y384,Y385)=0,Y385,"")))</f>
        <v/>
      </c>
      <c r="AA385" s="34" t="b">
        <f t="shared" si="88"/>
        <v>0</v>
      </c>
      <c r="AB385" s="34">
        <f t="shared" si="89"/>
        <v>0</v>
      </c>
      <c r="AC385" s="34" t="str">
        <f>IF(AND(B385&lt;&gt;"",C385=CompteSel,N(B385)&lt;=DateArret,AB385=0),MAX($AC$3:AC384)+1,"")</f>
        <v/>
      </c>
      <c r="AD385" s="34" t="str">
        <f>IF(AND(ISNUMBER(M385),C385=CompteSel),MAX($AD$3:AD384)+1,"")</f>
        <v/>
      </c>
    </row>
    <row r="386" spans="1:30" x14ac:dyDescent="0.35">
      <c r="A386" s="1" t="str">
        <f t="shared" si="75"/>
        <v/>
      </c>
      <c r="B386" s="31"/>
      <c r="C386" s="8"/>
      <c r="D386" s="8"/>
      <c r="E386" s="8"/>
      <c r="F386" s="8"/>
      <c r="G386" s="8"/>
      <c r="H386" s="32"/>
      <c r="I386" s="32"/>
      <c r="J386" s="25" t="str">
        <f>IF(B386="","",IFERROR(VLOOKUP(C386,Soldes_Ouverture,2,FALSE()),0)+SUMIFS($S$4:S386,$C$4:C386,C386))</f>
        <v/>
      </c>
      <c r="K386" s="1" t="str">
        <f t="shared" si="76"/>
        <v/>
      </c>
      <c r="L386" s="1" t="str">
        <f t="shared" si="77"/>
        <v/>
      </c>
      <c r="M386" s="1" t="str">
        <f t="shared" si="78"/>
        <v/>
      </c>
      <c r="N386" s="8"/>
      <c r="O386" s="8"/>
      <c r="P386" s="1" t="str">
        <f t="shared" si="79"/>
        <v/>
      </c>
      <c r="Q386" s="25" t="str">
        <f t="shared" si="80"/>
        <v/>
      </c>
      <c r="R386" s="1" t="str">
        <f t="shared" si="81"/>
        <v/>
      </c>
      <c r="S386" s="33" t="str">
        <f t="shared" si="82"/>
        <v/>
      </c>
      <c r="T386" s="34" t="str">
        <f>IF(B386="","",C386&amp;"|"&amp;ROUND(S386,2)&amp;"|"&amp;COUNTIFS($C$4:C386,C386,$S$4:S386,S386))</f>
        <v/>
      </c>
      <c r="U386" s="34" t="str">
        <f t="shared" si="83"/>
        <v/>
      </c>
      <c r="V386" s="34" t="str">
        <f t="shared" si="84"/>
        <v/>
      </c>
      <c r="W386" s="34" t="str">
        <f t="shared" si="85"/>
        <v/>
      </c>
      <c r="X386" s="34">
        <f t="shared" si="86"/>
        <v>0</v>
      </c>
      <c r="Y386" s="34" t="str">
        <f t="shared" si="87"/>
        <v/>
      </c>
      <c r="Z386" s="34" t="str">
        <f>IF(X386=1,V386,IF(Y386="","",IF(COUNTIF(Y$3:Y385,Y386)=0,Y386,"")))</f>
        <v/>
      </c>
      <c r="AA386" s="34" t="b">
        <f t="shared" si="88"/>
        <v>0</v>
      </c>
      <c r="AB386" s="34">
        <f t="shared" si="89"/>
        <v>0</v>
      </c>
      <c r="AC386" s="34" t="str">
        <f>IF(AND(B386&lt;&gt;"",C386=CompteSel,N(B386)&lt;=DateArret,AB386=0),MAX($AC$3:AC385)+1,"")</f>
        <v/>
      </c>
      <c r="AD386" s="34" t="str">
        <f>IF(AND(ISNUMBER(M386),C386=CompteSel),MAX($AD$3:AD385)+1,"")</f>
        <v/>
      </c>
    </row>
    <row r="387" spans="1:30" x14ac:dyDescent="0.35">
      <c r="A387" s="1" t="str">
        <f t="shared" si="75"/>
        <v/>
      </c>
      <c r="B387" s="31"/>
      <c r="C387" s="8"/>
      <c r="D387" s="8"/>
      <c r="E387" s="8"/>
      <c r="F387" s="8"/>
      <c r="G387" s="8"/>
      <c r="H387" s="32"/>
      <c r="I387" s="32"/>
      <c r="J387" s="25" t="str">
        <f>IF(B387="","",IFERROR(VLOOKUP(C387,Soldes_Ouverture,2,FALSE()),0)+SUMIFS($S$4:S387,$C$4:C387,C387))</f>
        <v/>
      </c>
      <c r="K387" s="1" t="str">
        <f t="shared" si="76"/>
        <v/>
      </c>
      <c r="L387" s="1" t="str">
        <f t="shared" si="77"/>
        <v/>
      </c>
      <c r="M387" s="1" t="str">
        <f t="shared" si="78"/>
        <v/>
      </c>
      <c r="N387" s="8"/>
      <c r="O387" s="8"/>
      <c r="P387" s="1" t="str">
        <f t="shared" si="79"/>
        <v/>
      </c>
      <c r="Q387" s="25" t="str">
        <f t="shared" si="80"/>
        <v/>
      </c>
      <c r="R387" s="1" t="str">
        <f t="shared" si="81"/>
        <v/>
      </c>
      <c r="S387" s="33" t="str">
        <f t="shared" si="82"/>
        <v/>
      </c>
      <c r="T387" s="34" t="str">
        <f>IF(B387="","",C387&amp;"|"&amp;ROUND(S387,2)&amp;"|"&amp;COUNTIFS($C$4:C387,C387,$S$4:S387,S387))</f>
        <v/>
      </c>
      <c r="U387" s="34" t="str">
        <f t="shared" si="83"/>
        <v/>
      </c>
      <c r="V387" s="34" t="str">
        <f t="shared" si="84"/>
        <v/>
      </c>
      <c r="W387" s="34" t="str">
        <f t="shared" si="85"/>
        <v/>
      </c>
      <c r="X387" s="34">
        <f t="shared" si="86"/>
        <v>0</v>
      </c>
      <c r="Y387" s="34" t="str">
        <f t="shared" si="87"/>
        <v/>
      </c>
      <c r="Z387" s="34" t="str">
        <f>IF(X387=1,V387,IF(Y387="","",IF(COUNTIF(Y$3:Y386,Y387)=0,Y387,"")))</f>
        <v/>
      </c>
      <c r="AA387" s="34" t="b">
        <f t="shared" si="88"/>
        <v>0</v>
      </c>
      <c r="AB387" s="34">
        <f t="shared" si="89"/>
        <v>0</v>
      </c>
      <c r="AC387" s="34" t="str">
        <f>IF(AND(B387&lt;&gt;"",C387=CompteSel,N(B387)&lt;=DateArret,AB387=0),MAX($AC$3:AC386)+1,"")</f>
        <v/>
      </c>
      <c r="AD387" s="34" t="str">
        <f>IF(AND(ISNUMBER(M387),C387=CompteSel),MAX($AD$3:AD386)+1,"")</f>
        <v/>
      </c>
    </row>
    <row r="388" spans="1:30" x14ac:dyDescent="0.35">
      <c r="A388" s="1" t="str">
        <f t="shared" ref="A388:A451" si="90">IF(B388="","",ROW()-3)</f>
        <v/>
      </c>
      <c r="B388" s="31"/>
      <c r="C388" s="8"/>
      <c r="D388" s="8"/>
      <c r="E388" s="8"/>
      <c r="F388" s="8"/>
      <c r="G388" s="8"/>
      <c r="H388" s="32"/>
      <c r="I388" s="32"/>
      <c r="J388" s="25" t="str">
        <f>IF(B388="","",IFERROR(VLOOKUP(C388,Soldes_Ouverture,2,FALSE()),0)+SUMIFS($S$4:S388,$C$4:C388,C388))</f>
        <v/>
      </c>
      <c r="K388" s="1" t="str">
        <f t="shared" ref="K388:K451" si="91">IF(B388="","",IF(N388="Écart","Écart",IF(M388="","Non rapproché",IF(ISNUMBER(SEARCH("Conflit",R388)),"Conflit",IF(O388&lt;&gt;"","Manuel",IF(OR(N388="Valider",AND(L388="Fort",AutoFort="Oui")),"Rapproché","Proposé"))))))</f>
        <v/>
      </c>
      <c r="L388" s="1" t="str">
        <f t="shared" ref="L388:L451" si="92">IF(M388="","",IF(O388&lt;&gt;"","Manuel",IF(AND(P388&lt;=TolJours,AA388),"Fort",IF(P388&lt;=TolJours,"Moyen","Faible"))))</f>
        <v/>
      </c>
      <c r="M388" s="1" t="str">
        <f t="shared" ref="M388:M451" si="93">IF(B388="","",IF(O388&lt;&gt;"",O388,IF(OR(N388="Rejeter",N388="Écart",Z388=""),"",IF(INDEX(B_Decision,Z388)="Écart","",Z388))))</f>
        <v/>
      </c>
      <c r="N388" s="8"/>
      <c r="O388" s="8"/>
      <c r="P388" s="1" t="str">
        <f t="shared" ref="P388:P451" si="94">IF(M388="","",IFERROR(ABS(B388-INDEX(B_Date,M388)),""))</f>
        <v/>
      </c>
      <c r="Q388" s="25" t="str">
        <f t="shared" ref="Q388:Q451" si="95">IF(M388="","",IFERROR(ABS(S388-INDEX(B_Montant,M388)),""))</f>
        <v/>
      </c>
      <c r="R388" s="1" t="str">
        <f t="shared" ref="R388:R451" si="96">IF(B388="","",TRIM(IF(AND(M388&lt;&gt;"",COUNTIF($M$4:$M$503,M388)&gt;1),"Conflit ","")&amp;IF(COUNTIFS($C$4:$C$503,C388,$B$4:$B$503,B388,$S$4:$S$503,S388)&gt;1,"Doublon ?","")))</f>
        <v/>
      </c>
      <c r="S388" s="33" t="str">
        <f t="shared" ref="S388:S451" si="97">IF(B388="","",N(I388)-N(H388))</f>
        <v/>
      </c>
      <c r="T388" s="34" t="str">
        <f>IF(B388="","",C388&amp;"|"&amp;ROUND(S388,2)&amp;"|"&amp;COUNTIFS($C$4:C388,C388,$S$4:S388,S388))</f>
        <v/>
      </c>
      <c r="U388" s="34" t="str">
        <f t="shared" ref="U388:U451" si="98">IF(D388="","",IFERROR(VALUE(TRIM(RIGHT(SUBSTITUTE(SUBSTITUTE(SUBSTITUTE(D388,"-"," "),"/"," ")," ",REPT(" ",60)),60))),""))</f>
        <v/>
      </c>
      <c r="V388" s="34" t="str">
        <f t="shared" ref="V388:V451" si="99">IF(B388="","",IFERROR(MATCH(T388,B_Cle,0),""))</f>
        <v/>
      </c>
      <c r="W388" s="34" t="str">
        <f t="shared" ref="W388:W451" si="100">IF(V388="","",ABS(B388-INDEX(B_Date,V388)))</f>
        <v/>
      </c>
      <c r="X388" s="34">
        <f t="shared" ref="X388:X451" si="101">IF(V388="",0,IF(W388&lt;=Fenetre,1,0))</f>
        <v>0</v>
      </c>
      <c r="Y388" s="34" t="str">
        <f t="shared" ref="Y388:Y451" si="102">IF(OR(B388="",X388=1,TolMontant&lt;=0),"",IFERROR(MATCH(1,INDEX((B_Compte=C388)*(B_Date&gt;0)*(B_Signe=SIGN(S388))*(ABS(B_MontantN-S388)&lt;=TolMontant)*(ABS(B_Date-B388)&lt;=Fenetre)*(B_PrisExact=0),0),0),""))</f>
        <v/>
      </c>
      <c r="Z388" s="34" t="str">
        <f>IF(X388=1,V388,IF(Y388="","",IF(COUNTIF(Y$3:Y387,Y388)=0,Y388,"")))</f>
        <v/>
      </c>
      <c r="AA388" s="34" t="b">
        <f t="shared" ref="AA388:AA451" si="103">IF(M388="",FALSE(),IFERROR(OR(AND(U388&lt;&gt;"",N(U388)&gt;=100,ISNUMBER(SEARCH(U388,INDEX(B_Ref,M388)&amp;" "&amp;INDEX(B_Lib,M388)))),AND(D388&lt;&gt;"",ISNUMBER(SEARCH(D388,INDEX(B_Lib,M388)))),AND(INDEX(B_Ref,M388)&amp;""&lt;&gt;"",D388&lt;&gt;"",ISNUMBER(SEARCH(INDEX(B_Ref,M388)&amp;"",D388)))),FALSE()))</f>
        <v>0</v>
      </c>
      <c r="AB388" s="34">
        <f t="shared" ref="AB388:AB451" si="104">IF(OR(K388="Rapproché",K388="Manuel"),1,0)</f>
        <v>0</v>
      </c>
      <c r="AC388" s="34" t="str">
        <f>IF(AND(B388&lt;&gt;"",C388=CompteSel,N(B388)&lt;=DateArret,AB388=0),MAX($AC$3:AC387)+1,"")</f>
        <v/>
      </c>
      <c r="AD388" s="34" t="str">
        <f>IF(AND(ISNUMBER(M388),C388=CompteSel),MAX($AD$3:AD387)+1,"")</f>
        <v/>
      </c>
    </row>
    <row r="389" spans="1:30" x14ac:dyDescent="0.35">
      <c r="A389" s="1" t="str">
        <f t="shared" si="90"/>
        <v/>
      </c>
      <c r="B389" s="31"/>
      <c r="C389" s="8"/>
      <c r="D389" s="8"/>
      <c r="E389" s="8"/>
      <c r="F389" s="8"/>
      <c r="G389" s="8"/>
      <c r="H389" s="32"/>
      <c r="I389" s="32"/>
      <c r="J389" s="25" t="str">
        <f>IF(B389="","",IFERROR(VLOOKUP(C389,Soldes_Ouverture,2,FALSE()),0)+SUMIFS($S$4:S389,$C$4:C389,C389))</f>
        <v/>
      </c>
      <c r="K389" s="1" t="str">
        <f t="shared" si="91"/>
        <v/>
      </c>
      <c r="L389" s="1" t="str">
        <f t="shared" si="92"/>
        <v/>
      </c>
      <c r="M389" s="1" t="str">
        <f t="shared" si="93"/>
        <v/>
      </c>
      <c r="N389" s="8"/>
      <c r="O389" s="8"/>
      <c r="P389" s="1" t="str">
        <f t="shared" si="94"/>
        <v/>
      </c>
      <c r="Q389" s="25" t="str">
        <f t="shared" si="95"/>
        <v/>
      </c>
      <c r="R389" s="1" t="str">
        <f t="shared" si="96"/>
        <v/>
      </c>
      <c r="S389" s="33" t="str">
        <f t="shared" si="97"/>
        <v/>
      </c>
      <c r="T389" s="34" t="str">
        <f>IF(B389="","",C389&amp;"|"&amp;ROUND(S389,2)&amp;"|"&amp;COUNTIFS($C$4:C389,C389,$S$4:S389,S389))</f>
        <v/>
      </c>
      <c r="U389" s="34" t="str">
        <f t="shared" si="98"/>
        <v/>
      </c>
      <c r="V389" s="34" t="str">
        <f t="shared" si="99"/>
        <v/>
      </c>
      <c r="W389" s="34" t="str">
        <f t="shared" si="100"/>
        <v/>
      </c>
      <c r="X389" s="34">
        <f t="shared" si="101"/>
        <v>0</v>
      </c>
      <c r="Y389" s="34" t="str">
        <f t="shared" si="102"/>
        <v/>
      </c>
      <c r="Z389" s="34" t="str">
        <f>IF(X389=1,V389,IF(Y389="","",IF(COUNTIF(Y$3:Y388,Y389)=0,Y389,"")))</f>
        <v/>
      </c>
      <c r="AA389" s="34" t="b">
        <f t="shared" si="103"/>
        <v>0</v>
      </c>
      <c r="AB389" s="34">
        <f t="shared" si="104"/>
        <v>0</v>
      </c>
      <c r="AC389" s="34" t="str">
        <f>IF(AND(B389&lt;&gt;"",C389=CompteSel,N(B389)&lt;=DateArret,AB389=0),MAX($AC$3:AC388)+1,"")</f>
        <v/>
      </c>
      <c r="AD389" s="34" t="str">
        <f>IF(AND(ISNUMBER(M389),C389=CompteSel),MAX($AD$3:AD388)+1,"")</f>
        <v/>
      </c>
    </row>
    <row r="390" spans="1:30" x14ac:dyDescent="0.35">
      <c r="A390" s="1" t="str">
        <f t="shared" si="90"/>
        <v/>
      </c>
      <c r="B390" s="31"/>
      <c r="C390" s="8"/>
      <c r="D390" s="8"/>
      <c r="E390" s="8"/>
      <c r="F390" s="8"/>
      <c r="G390" s="8"/>
      <c r="H390" s="32"/>
      <c r="I390" s="32"/>
      <c r="J390" s="25" t="str">
        <f>IF(B390="","",IFERROR(VLOOKUP(C390,Soldes_Ouverture,2,FALSE()),0)+SUMIFS($S$4:S390,$C$4:C390,C390))</f>
        <v/>
      </c>
      <c r="K390" s="1" t="str">
        <f t="shared" si="91"/>
        <v/>
      </c>
      <c r="L390" s="1" t="str">
        <f t="shared" si="92"/>
        <v/>
      </c>
      <c r="M390" s="1" t="str">
        <f t="shared" si="93"/>
        <v/>
      </c>
      <c r="N390" s="8"/>
      <c r="O390" s="8"/>
      <c r="P390" s="1" t="str">
        <f t="shared" si="94"/>
        <v/>
      </c>
      <c r="Q390" s="25" t="str">
        <f t="shared" si="95"/>
        <v/>
      </c>
      <c r="R390" s="1" t="str">
        <f t="shared" si="96"/>
        <v/>
      </c>
      <c r="S390" s="33" t="str">
        <f t="shared" si="97"/>
        <v/>
      </c>
      <c r="T390" s="34" t="str">
        <f>IF(B390="","",C390&amp;"|"&amp;ROUND(S390,2)&amp;"|"&amp;COUNTIFS($C$4:C390,C390,$S$4:S390,S390))</f>
        <v/>
      </c>
      <c r="U390" s="34" t="str">
        <f t="shared" si="98"/>
        <v/>
      </c>
      <c r="V390" s="34" t="str">
        <f t="shared" si="99"/>
        <v/>
      </c>
      <c r="W390" s="34" t="str">
        <f t="shared" si="100"/>
        <v/>
      </c>
      <c r="X390" s="34">
        <f t="shared" si="101"/>
        <v>0</v>
      </c>
      <c r="Y390" s="34" t="str">
        <f t="shared" si="102"/>
        <v/>
      </c>
      <c r="Z390" s="34" t="str">
        <f>IF(X390=1,V390,IF(Y390="","",IF(COUNTIF(Y$3:Y389,Y390)=0,Y390,"")))</f>
        <v/>
      </c>
      <c r="AA390" s="34" t="b">
        <f t="shared" si="103"/>
        <v>0</v>
      </c>
      <c r="AB390" s="34">
        <f t="shared" si="104"/>
        <v>0</v>
      </c>
      <c r="AC390" s="34" t="str">
        <f>IF(AND(B390&lt;&gt;"",C390=CompteSel,N(B390)&lt;=DateArret,AB390=0),MAX($AC$3:AC389)+1,"")</f>
        <v/>
      </c>
      <c r="AD390" s="34" t="str">
        <f>IF(AND(ISNUMBER(M390),C390=CompteSel),MAX($AD$3:AD389)+1,"")</f>
        <v/>
      </c>
    </row>
    <row r="391" spans="1:30" x14ac:dyDescent="0.35">
      <c r="A391" s="1" t="str">
        <f t="shared" si="90"/>
        <v/>
      </c>
      <c r="B391" s="31"/>
      <c r="C391" s="8"/>
      <c r="D391" s="8"/>
      <c r="E391" s="8"/>
      <c r="F391" s="8"/>
      <c r="G391" s="8"/>
      <c r="H391" s="32"/>
      <c r="I391" s="32"/>
      <c r="J391" s="25" t="str">
        <f>IF(B391="","",IFERROR(VLOOKUP(C391,Soldes_Ouverture,2,FALSE()),0)+SUMIFS($S$4:S391,$C$4:C391,C391))</f>
        <v/>
      </c>
      <c r="K391" s="1" t="str">
        <f t="shared" si="91"/>
        <v/>
      </c>
      <c r="L391" s="1" t="str">
        <f t="shared" si="92"/>
        <v/>
      </c>
      <c r="M391" s="1" t="str">
        <f t="shared" si="93"/>
        <v/>
      </c>
      <c r="N391" s="8"/>
      <c r="O391" s="8"/>
      <c r="P391" s="1" t="str">
        <f t="shared" si="94"/>
        <v/>
      </c>
      <c r="Q391" s="25" t="str">
        <f t="shared" si="95"/>
        <v/>
      </c>
      <c r="R391" s="1" t="str">
        <f t="shared" si="96"/>
        <v/>
      </c>
      <c r="S391" s="33" t="str">
        <f t="shared" si="97"/>
        <v/>
      </c>
      <c r="T391" s="34" t="str">
        <f>IF(B391="","",C391&amp;"|"&amp;ROUND(S391,2)&amp;"|"&amp;COUNTIFS($C$4:C391,C391,$S$4:S391,S391))</f>
        <v/>
      </c>
      <c r="U391" s="34" t="str">
        <f t="shared" si="98"/>
        <v/>
      </c>
      <c r="V391" s="34" t="str">
        <f t="shared" si="99"/>
        <v/>
      </c>
      <c r="W391" s="34" t="str">
        <f t="shared" si="100"/>
        <v/>
      </c>
      <c r="X391" s="34">
        <f t="shared" si="101"/>
        <v>0</v>
      </c>
      <c r="Y391" s="34" t="str">
        <f t="shared" si="102"/>
        <v/>
      </c>
      <c r="Z391" s="34" t="str">
        <f>IF(X391=1,V391,IF(Y391="","",IF(COUNTIF(Y$3:Y390,Y391)=0,Y391,"")))</f>
        <v/>
      </c>
      <c r="AA391" s="34" t="b">
        <f t="shared" si="103"/>
        <v>0</v>
      </c>
      <c r="AB391" s="34">
        <f t="shared" si="104"/>
        <v>0</v>
      </c>
      <c r="AC391" s="34" t="str">
        <f>IF(AND(B391&lt;&gt;"",C391=CompteSel,N(B391)&lt;=DateArret,AB391=0),MAX($AC$3:AC390)+1,"")</f>
        <v/>
      </c>
      <c r="AD391" s="34" t="str">
        <f>IF(AND(ISNUMBER(M391),C391=CompteSel),MAX($AD$3:AD390)+1,"")</f>
        <v/>
      </c>
    </row>
    <row r="392" spans="1:30" x14ac:dyDescent="0.35">
      <c r="A392" s="1" t="str">
        <f t="shared" si="90"/>
        <v/>
      </c>
      <c r="B392" s="31"/>
      <c r="C392" s="8"/>
      <c r="D392" s="8"/>
      <c r="E392" s="8"/>
      <c r="F392" s="8"/>
      <c r="G392" s="8"/>
      <c r="H392" s="32"/>
      <c r="I392" s="32"/>
      <c r="J392" s="25" t="str">
        <f>IF(B392="","",IFERROR(VLOOKUP(C392,Soldes_Ouverture,2,FALSE()),0)+SUMIFS($S$4:S392,$C$4:C392,C392))</f>
        <v/>
      </c>
      <c r="K392" s="1" t="str">
        <f t="shared" si="91"/>
        <v/>
      </c>
      <c r="L392" s="1" t="str">
        <f t="shared" si="92"/>
        <v/>
      </c>
      <c r="M392" s="1" t="str">
        <f t="shared" si="93"/>
        <v/>
      </c>
      <c r="N392" s="8"/>
      <c r="O392" s="8"/>
      <c r="P392" s="1" t="str">
        <f t="shared" si="94"/>
        <v/>
      </c>
      <c r="Q392" s="25" t="str">
        <f t="shared" si="95"/>
        <v/>
      </c>
      <c r="R392" s="1" t="str">
        <f t="shared" si="96"/>
        <v/>
      </c>
      <c r="S392" s="33" t="str">
        <f t="shared" si="97"/>
        <v/>
      </c>
      <c r="T392" s="34" t="str">
        <f>IF(B392="","",C392&amp;"|"&amp;ROUND(S392,2)&amp;"|"&amp;COUNTIFS($C$4:C392,C392,$S$4:S392,S392))</f>
        <v/>
      </c>
      <c r="U392" s="34" t="str">
        <f t="shared" si="98"/>
        <v/>
      </c>
      <c r="V392" s="34" t="str">
        <f t="shared" si="99"/>
        <v/>
      </c>
      <c r="W392" s="34" t="str">
        <f t="shared" si="100"/>
        <v/>
      </c>
      <c r="X392" s="34">
        <f t="shared" si="101"/>
        <v>0</v>
      </c>
      <c r="Y392" s="34" t="str">
        <f t="shared" si="102"/>
        <v/>
      </c>
      <c r="Z392" s="34" t="str">
        <f>IF(X392=1,V392,IF(Y392="","",IF(COUNTIF(Y$3:Y391,Y392)=0,Y392,"")))</f>
        <v/>
      </c>
      <c r="AA392" s="34" t="b">
        <f t="shared" si="103"/>
        <v>0</v>
      </c>
      <c r="AB392" s="34">
        <f t="shared" si="104"/>
        <v>0</v>
      </c>
      <c r="AC392" s="34" t="str">
        <f>IF(AND(B392&lt;&gt;"",C392=CompteSel,N(B392)&lt;=DateArret,AB392=0),MAX($AC$3:AC391)+1,"")</f>
        <v/>
      </c>
      <c r="AD392" s="34" t="str">
        <f>IF(AND(ISNUMBER(M392),C392=CompteSel),MAX($AD$3:AD391)+1,"")</f>
        <v/>
      </c>
    </row>
    <row r="393" spans="1:30" x14ac:dyDescent="0.35">
      <c r="A393" s="1" t="str">
        <f t="shared" si="90"/>
        <v/>
      </c>
      <c r="B393" s="31"/>
      <c r="C393" s="8"/>
      <c r="D393" s="8"/>
      <c r="E393" s="8"/>
      <c r="F393" s="8"/>
      <c r="G393" s="8"/>
      <c r="H393" s="32"/>
      <c r="I393" s="32"/>
      <c r="J393" s="25" t="str">
        <f>IF(B393="","",IFERROR(VLOOKUP(C393,Soldes_Ouverture,2,FALSE()),0)+SUMIFS($S$4:S393,$C$4:C393,C393))</f>
        <v/>
      </c>
      <c r="K393" s="1" t="str">
        <f t="shared" si="91"/>
        <v/>
      </c>
      <c r="L393" s="1" t="str">
        <f t="shared" si="92"/>
        <v/>
      </c>
      <c r="M393" s="1" t="str">
        <f t="shared" si="93"/>
        <v/>
      </c>
      <c r="N393" s="8"/>
      <c r="O393" s="8"/>
      <c r="P393" s="1" t="str">
        <f t="shared" si="94"/>
        <v/>
      </c>
      <c r="Q393" s="25" t="str">
        <f t="shared" si="95"/>
        <v/>
      </c>
      <c r="R393" s="1" t="str">
        <f t="shared" si="96"/>
        <v/>
      </c>
      <c r="S393" s="33" t="str">
        <f t="shared" si="97"/>
        <v/>
      </c>
      <c r="T393" s="34" t="str">
        <f>IF(B393="","",C393&amp;"|"&amp;ROUND(S393,2)&amp;"|"&amp;COUNTIFS($C$4:C393,C393,$S$4:S393,S393))</f>
        <v/>
      </c>
      <c r="U393" s="34" t="str">
        <f t="shared" si="98"/>
        <v/>
      </c>
      <c r="V393" s="34" t="str">
        <f t="shared" si="99"/>
        <v/>
      </c>
      <c r="W393" s="34" t="str">
        <f t="shared" si="100"/>
        <v/>
      </c>
      <c r="X393" s="34">
        <f t="shared" si="101"/>
        <v>0</v>
      </c>
      <c r="Y393" s="34" t="str">
        <f t="shared" si="102"/>
        <v/>
      </c>
      <c r="Z393" s="34" t="str">
        <f>IF(X393=1,V393,IF(Y393="","",IF(COUNTIF(Y$3:Y392,Y393)=0,Y393,"")))</f>
        <v/>
      </c>
      <c r="AA393" s="34" t="b">
        <f t="shared" si="103"/>
        <v>0</v>
      </c>
      <c r="AB393" s="34">
        <f t="shared" si="104"/>
        <v>0</v>
      </c>
      <c r="AC393" s="34" t="str">
        <f>IF(AND(B393&lt;&gt;"",C393=CompteSel,N(B393)&lt;=DateArret,AB393=0),MAX($AC$3:AC392)+1,"")</f>
        <v/>
      </c>
      <c r="AD393" s="34" t="str">
        <f>IF(AND(ISNUMBER(M393),C393=CompteSel),MAX($AD$3:AD392)+1,"")</f>
        <v/>
      </c>
    </row>
    <row r="394" spans="1:30" x14ac:dyDescent="0.35">
      <c r="A394" s="1" t="str">
        <f t="shared" si="90"/>
        <v/>
      </c>
      <c r="B394" s="31"/>
      <c r="C394" s="8"/>
      <c r="D394" s="8"/>
      <c r="E394" s="8"/>
      <c r="F394" s="8"/>
      <c r="G394" s="8"/>
      <c r="H394" s="32"/>
      <c r="I394" s="32"/>
      <c r="J394" s="25" t="str">
        <f>IF(B394="","",IFERROR(VLOOKUP(C394,Soldes_Ouverture,2,FALSE()),0)+SUMIFS($S$4:S394,$C$4:C394,C394))</f>
        <v/>
      </c>
      <c r="K394" s="1" t="str">
        <f t="shared" si="91"/>
        <v/>
      </c>
      <c r="L394" s="1" t="str">
        <f t="shared" si="92"/>
        <v/>
      </c>
      <c r="M394" s="1" t="str">
        <f t="shared" si="93"/>
        <v/>
      </c>
      <c r="N394" s="8"/>
      <c r="O394" s="8"/>
      <c r="P394" s="1" t="str">
        <f t="shared" si="94"/>
        <v/>
      </c>
      <c r="Q394" s="25" t="str">
        <f t="shared" si="95"/>
        <v/>
      </c>
      <c r="R394" s="1" t="str">
        <f t="shared" si="96"/>
        <v/>
      </c>
      <c r="S394" s="33" t="str">
        <f t="shared" si="97"/>
        <v/>
      </c>
      <c r="T394" s="34" t="str">
        <f>IF(B394="","",C394&amp;"|"&amp;ROUND(S394,2)&amp;"|"&amp;COUNTIFS($C$4:C394,C394,$S$4:S394,S394))</f>
        <v/>
      </c>
      <c r="U394" s="34" t="str">
        <f t="shared" si="98"/>
        <v/>
      </c>
      <c r="V394" s="34" t="str">
        <f t="shared" si="99"/>
        <v/>
      </c>
      <c r="W394" s="34" t="str">
        <f t="shared" si="100"/>
        <v/>
      </c>
      <c r="X394" s="34">
        <f t="shared" si="101"/>
        <v>0</v>
      </c>
      <c r="Y394" s="34" t="str">
        <f t="shared" si="102"/>
        <v/>
      </c>
      <c r="Z394" s="34" t="str">
        <f>IF(X394=1,V394,IF(Y394="","",IF(COUNTIF(Y$3:Y393,Y394)=0,Y394,"")))</f>
        <v/>
      </c>
      <c r="AA394" s="34" t="b">
        <f t="shared" si="103"/>
        <v>0</v>
      </c>
      <c r="AB394" s="34">
        <f t="shared" si="104"/>
        <v>0</v>
      </c>
      <c r="AC394" s="34" t="str">
        <f>IF(AND(B394&lt;&gt;"",C394=CompteSel,N(B394)&lt;=DateArret,AB394=0),MAX($AC$3:AC393)+1,"")</f>
        <v/>
      </c>
      <c r="AD394" s="34" t="str">
        <f>IF(AND(ISNUMBER(M394),C394=CompteSel),MAX($AD$3:AD393)+1,"")</f>
        <v/>
      </c>
    </row>
    <row r="395" spans="1:30" x14ac:dyDescent="0.35">
      <c r="A395" s="1" t="str">
        <f t="shared" si="90"/>
        <v/>
      </c>
      <c r="B395" s="31"/>
      <c r="C395" s="8"/>
      <c r="D395" s="8"/>
      <c r="E395" s="8"/>
      <c r="F395" s="8"/>
      <c r="G395" s="8"/>
      <c r="H395" s="32"/>
      <c r="I395" s="32"/>
      <c r="J395" s="25" t="str">
        <f>IF(B395="","",IFERROR(VLOOKUP(C395,Soldes_Ouverture,2,FALSE()),0)+SUMIFS($S$4:S395,$C$4:C395,C395))</f>
        <v/>
      </c>
      <c r="K395" s="1" t="str">
        <f t="shared" si="91"/>
        <v/>
      </c>
      <c r="L395" s="1" t="str">
        <f t="shared" si="92"/>
        <v/>
      </c>
      <c r="M395" s="1" t="str">
        <f t="shared" si="93"/>
        <v/>
      </c>
      <c r="N395" s="8"/>
      <c r="O395" s="8"/>
      <c r="P395" s="1" t="str">
        <f t="shared" si="94"/>
        <v/>
      </c>
      <c r="Q395" s="25" t="str">
        <f t="shared" si="95"/>
        <v/>
      </c>
      <c r="R395" s="1" t="str">
        <f t="shared" si="96"/>
        <v/>
      </c>
      <c r="S395" s="33" t="str">
        <f t="shared" si="97"/>
        <v/>
      </c>
      <c r="T395" s="34" t="str">
        <f>IF(B395="","",C395&amp;"|"&amp;ROUND(S395,2)&amp;"|"&amp;COUNTIFS($C$4:C395,C395,$S$4:S395,S395))</f>
        <v/>
      </c>
      <c r="U395" s="34" t="str">
        <f t="shared" si="98"/>
        <v/>
      </c>
      <c r="V395" s="34" t="str">
        <f t="shared" si="99"/>
        <v/>
      </c>
      <c r="W395" s="34" t="str">
        <f t="shared" si="100"/>
        <v/>
      </c>
      <c r="X395" s="34">
        <f t="shared" si="101"/>
        <v>0</v>
      </c>
      <c r="Y395" s="34" t="str">
        <f t="shared" si="102"/>
        <v/>
      </c>
      <c r="Z395" s="34" t="str">
        <f>IF(X395=1,V395,IF(Y395="","",IF(COUNTIF(Y$3:Y394,Y395)=0,Y395,"")))</f>
        <v/>
      </c>
      <c r="AA395" s="34" t="b">
        <f t="shared" si="103"/>
        <v>0</v>
      </c>
      <c r="AB395" s="34">
        <f t="shared" si="104"/>
        <v>0</v>
      </c>
      <c r="AC395" s="34" t="str">
        <f>IF(AND(B395&lt;&gt;"",C395=CompteSel,N(B395)&lt;=DateArret,AB395=0),MAX($AC$3:AC394)+1,"")</f>
        <v/>
      </c>
      <c r="AD395" s="34" t="str">
        <f>IF(AND(ISNUMBER(M395),C395=CompteSel),MAX($AD$3:AD394)+1,"")</f>
        <v/>
      </c>
    </row>
    <row r="396" spans="1:30" x14ac:dyDescent="0.35">
      <c r="A396" s="1" t="str">
        <f t="shared" si="90"/>
        <v/>
      </c>
      <c r="B396" s="31"/>
      <c r="C396" s="8"/>
      <c r="D396" s="8"/>
      <c r="E396" s="8"/>
      <c r="F396" s="8"/>
      <c r="G396" s="8"/>
      <c r="H396" s="32"/>
      <c r="I396" s="32"/>
      <c r="J396" s="25" t="str">
        <f>IF(B396="","",IFERROR(VLOOKUP(C396,Soldes_Ouverture,2,FALSE()),0)+SUMIFS($S$4:S396,$C$4:C396,C396))</f>
        <v/>
      </c>
      <c r="K396" s="1" t="str">
        <f t="shared" si="91"/>
        <v/>
      </c>
      <c r="L396" s="1" t="str">
        <f t="shared" si="92"/>
        <v/>
      </c>
      <c r="M396" s="1" t="str">
        <f t="shared" si="93"/>
        <v/>
      </c>
      <c r="N396" s="8"/>
      <c r="O396" s="8"/>
      <c r="P396" s="1" t="str">
        <f t="shared" si="94"/>
        <v/>
      </c>
      <c r="Q396" s="25" t="str">
        <f t="shared" si="95"/>
        <v/>
      </c>
      <c r="R396" s="1" t="str">
        <f t="shared" si="96"/>
        <v/>
      </c>
      <c r="S396" s="33" t="str">
        <f t="shared" si="97"/>
        <v/>
      </c>
      <c r="T396" s="34" t="str">
        <f>IF(B396="","",C396&amp;"|"&amp;ROUND(S396,2)&amp;"|"&amp;COUNTIFS($C$4:C396,C396,$S$4:S396,S396))</f>
        <v/>
      </c>
      <c r="U396" s="34" t="str">
        <f t="shared" si="98"/>
        <v/>
      </c>
      <c r="V396" s="34" t="str">
        <f t="shared" si="99"/>
        <v/>
      </c>
      <c r="W396" s="34" t="str">
        <f t="shared" si="100"/>
        <v/>
      </c>
      <c r="X396" s="34">
        <f t="shared" si="101"/>
        <v>0</v>
      </c>
      <c r="Y396" s="34" t="str">
        <f t="shared" si="102"/>
        <v/>
      </c>
      <c r="Z396" s="34" t="str">
        <f>IF(X396=1,V396,IF(Y396="","",IF(COUNTIF(Y$3:Y395,Y396)=0,Y396,"")))</f>
        <v/>
      </c>
      <c r="AA396" s="34" t="b">
        <f t="shared" si="103"/>
        <v>0</v>
      </c>
      <c r="AB396" s="34">
        <f t="shared" si="104"/>
        <v>0</v>
      </c>
      <c r="AC396" s="34" t="str">
        <f>IF(AND(B396&lt;&gt;"",C396=CompteSel,N(B396)&lt;=DateArret,AB396=0),MAX($AC$3:AC395)+1,"")</f>
        <v/>
      </c>
      <c r="AD396" s="34" t="str">
        <f>IF(AND(ISNUMBER(M396),C396=CompteSel),MAX($AD$3:AD395)+1,"")</f>
        <v/>
      </c>
    </row>
    <row r="397" spans="1:30" x14ac:dyDescent="0.35">
      <c r="A397" s="1" t="str">
        <f t="shared" si="90"/>
        <v/>
      </c>
      <c r="B397" s="31"/>
      <c r="C397" s="8"/>
      <c r="D397" s="8"/>
      <c r="E397" s="8"/>
      <c r="F397" s="8"/>
      <c r="G397" s="8"/>
      <c r="H397" s="32"/>
      <c r="I397" s="32"/>
      <c r="J397" s="25" t="str">
        <f>IF(B397="","",IFERROR(VLOOKUP(C397,Soldes_Ouverture,2,FALSE()),0)+SUMIFS($S$4:S397,$C$4:C397,C397))</f>
        <v/>
      </c>
      <c r="K397" s="1" t="str">
        <f t="shared" si="91"/>
        <v/>
      </c>
      <c r="L397" s="1" t="str">
        <f t="shared" si="92"/>
        <v/>
      </c>
      <c r="M397" s="1" t="str">
        <f t="shared" si="93"/>
        <v/>
      </c>
      <c r="N397" s="8"/>
      <c r="O397" s="8"/>
      <c r="P397" s="1" t="str">
        <f t="shared" si="94"/>
        <v/>
      </c>
      <c r="Q397" s="25" t="str">
        <f t="shared" si="95"/>
        <v/>
      </c>
      <c r="R397" s="1" t="str">
        <f t="shared" si="96"/>
        <v/>
      </c>
      <c r="S397" s="33" t="str">
        <f t="shared" si="97"/>
        <v/>
      </c>
      <c r="T397" s="34" t="str">
        <f>IF(B397="","",C397&amp;"|"&amp;ROUND(S397,2)&amp;"|"&amp;COUNTIFS($C$4:C397,C397,$S$4:S397,S397))</f>
        <v/>
      </c>
      <c r="U397" s="34" t="str">
        <f t="shared" si="98"/>
        <v/>
      </c>
      <c r="V397" s="34" t="str">
        <f t="shared" si="99"/>
        <v/>
      </c>
      <c r="W397" s="34" t="str">
        <f t="shared" si="100"/>
        <v/>
      </c>
      <c r="X397" s="34">
        <f t="shared" si="101"/>
        <v>0</v>
      </c>
      <c r="Y397" s="34" t="str">
        <f t="shared" si="102"/>
        <v/>
      </c>
      <c r="Z397" s="34" t="str">
        <f>IF(X397=1,V397,IF(Y397="","",IF(COUNTIF(Y$3:Y396,Y397)=0,Y397,"")))</f>
        <v/>
      </c>
      <c r="AA397" s="34" t="b">
        <f t="shared" si="103"/>
        <v>0</v>
      </c>
      <c r="AB397" s="34">
        <f t="shared" si="104"/>
        <v>0</v>
      </c>
      <c r="AC397" s="34" t="str">
        <f>IF(AND(B397&lt;&gt;"",C397=CompteSel,N(B397)&lt;=DateArret,AB397=0),MAX($AC$3:AC396)+1,"")</f>
        <v/>
      </c>
      <c r="AD397" s="34" t="str">
        <f>IF(AND(ISNUMBER(M397),C397=CompteSel),MAX($AD$3:AD396)+1,"")</f>
        <v/>
      </c>
    </row>
    <row r="398" spans="1:30" x14ac:dyDescent="0.35">
      <c r="A398" s="1" t="str">
        <f t="shared" si="90"/>
        <v/>
      </c>
      <c r="B398" s="31"/>
      <c r="C398" s="8"/>
      <c r="D398" s="8"/>
      <c r="E398" s="8"/>
      <c r="F398" s="8"/>
      <c r="G398" s="8"/>
      <c r="H398" s="32"/>
      <c r="I398" s="32"/>
      <c r="J398" s="25" t="str">
        <f>IF(B398="","",IFERROR(VLOOKUP(C398,Soldes_Ouverture,2,FALSE()),0)+SUMIFS($S$4:S398,$C$4:C398,C398))</f>
        <v/>
      </c>
      <c r="K398" s="1" t="str">
        <f t="shared" si="91"/>
        <v/>
      </c>
      <c r="L398" s="1" t="str">
        <f t="shared" si="92"/>
        <v/>
      </c>
      <c r="M398" s="1" t="str">
        <f t="shared" si="93"/>
        <v/>
      </c>
      <c r="N398" s="8"/>
      <c r="O398" s="8"/>
      <c r="P398" s="1" t="str">
        <f t="shared" si="94"/>
        <v/>
      </c>
      <c r="Q398" s="25" t="str">
        <f t="shared" si="95"/>
        <v/>
      </c>
      <c r="R398" s="1" t="str">
        <f t="shared" si="96"/>
        <v/>
      </c>
      <c r="S398" s="33" t="str">
        <f t="shared" si="97"/>
        <v/>
      </c>
      <c r="T398" s="34" t="str">
        <f>IF(B398="","",C398&amp;"|"&amp;ROUND(S398,2)&amp;"|"&amp;COUNTIFS($C$4:C398,C398,$S$4:S398,S398))</f>
        <v/>
      </c>
      <c r="U398" s="34" t="str">
        <f t="shared" si="98"/>
        <v/>
      </c>
      <c r="V398" s="34" t="str">
        <f t="shared" si="99"/>
        <v/>
      </c>
      <c r="W398" s="34" t="str">
        <f t="shared" si="100"/>
        <v/>
      </c>
      <c r="X398" s="34">
        <f t="shared" si="101"/>
        <v>0</v>
      </c>
      <c r="Y398" s="34" t="str">
        <f t="shared" si="102"/>
        <v/>
      </c>
      <c r="Z398" s="34" t="str">
        <f>IF(X398=1,V398,IF(Y398="","",IF(COUNTIF(Y$3:Y397,Y398)=0,Y398,"")))</f>
        <v/>
      </c>
      <c r="AA398" s="34" t="b">
        <f t="shared" si="103"/>
        <v>0</v>
      </c>
      <c r="AB398" s="34">
        <f t="shared" si="104"/>
        <v>0</v>
      </c>
      <c r="AC398" s="34" t="str">
        <f>IF(AND(B398&lt;&gt;"",C398=CompteSel,N(B398)&lt;=DateArret,AB398=0),MAX($AC$3:AC397)+1,"")</f>
        <v/>
      </c>
      <c r="AD398" s="34" t="str">
        <f>IF(AND(ISNUMBER(M398),C398=CompteSel),MAX($AD$3:AD397)+1,"")</f>
        <v/>
      </c>
    </row>
    <row r="399" spans="1:30" x14ac:dyDescent="0.35">
      <c r="A399" s="1" t="str">
        <f t="shared" si="90"/>
        <v/>
      </c>
      <c r="B399" s="31"/>
      <c r="C399" s="8"/>
      <c r="D399" s="8"/>
      <c r="E399" s="8"/>
      <c r="F399" s="8"/>
      <c r="G399" s="8"/>
      <c r="H399" s="32"/>
      <c r="I399" s="32"/>
      <c r="J399" s="25" t="str">
        <f>IF(B399="","",IFERROR(VLOOKUP(C399,Soldes_Ouverture,2,FALSE()),0)+SUMIFS($S$4:S399,$C$4:C399,C399))</f>
        <v/>
      </c>
      <c r="K399" s="1" t="str">
        <f t="shared" si="91"/>
        <v/>
      </c>
      <c r="L399" s="1" t="str">
        <f t="shared" si="92"/>
        <v/>
      </c>
      <c r="M399" s="1" t="str">
        <f t="shared" si="93"/>
        <v/>
      </c>
      <c r="N399" s="8"/>
      <c r="O399" s="8"/>
      <c r="P399" s="1" t="str">
        <f t="shared" si="94"/>
        <v/>
      </c>
      <c r="Q399" s="25" t="str">
        <f t="shared" si="95"/>
        <v/>
      </c>
      <c r="R399" s="1" t="str">
        <f t="shared" si="96"/>
        <v/>
      </c>
      <c r="S399" s="33" t="str">
        <f t="shared" si="97"/>
        <v/>
      </c>
      <c r="T399" s="34" t="str">
        <f>IF(B399="","",C399&amp;"|"&amp;ROUND(S399,2)&amp;"|"&amp;COUNTIFS($C$4:C399,C399,$S$4:S399,S399))</f>
        <v/>
      </c>
      <c r="U399" s="34" t="str">
        <f t="shared" si="98"/>
        <v/>
      </c>
      <c r="V399" s="34" t="str">
        <f t="shared" si="99"/>
        <v/>
      </c>
      <c r="W399" s="34" t="str">
        <f t="shared" si="100"/>
        <v/>
      </c>
      <c r="X399" s="34">
        <f t="shared" si="101"/>
        <v>0</v>
      </c>
      <c r="Y399" s="34" t="str">
        <f t="shared" si="102"/>
        <v/>
      </c>
      <c r="Z399" s="34" t="str">
        <f>IF(X399=1,V399,IF(Y399="","",IF(COUNTIF(Y$3:Y398,Y399)=0,Y399,"")))</f>
        <v/>
      </c>
      <c r="AA399" s="34" t="b">
        <f t="shared" si="103"/>
        <v>0</v>
      </c>
      <c r="AB399" s="34">
        <f t="shared" si="104"/>
        <v>0</v>
      </c>
      <c r="AC399" s="34" t="str">
        <f>IF(AND(B399&lt;&gt;"",C399=CompteSel,N(B399)&lt;=DateArret,AB399=0),MAX($AC$3:AC398)+1,"")</f>
        <v/>
      </c>
      <c r="AD399" s="34" t="str">
        <f>IF(AND(ISNUMBER(M399),C399=CompteSel),MAX($AD$3:AD398)+1,"")</f>
        <v/>
      </c>
    </row>
    <row r="400" spans="1:30" x14ac:dyDescent="0.35">
      <c r="A400" s="1" t="str">
        <f t="shared" si="90"/>
        <v/>
      </c>
      <c r="B400" s="31"/>
      <c r="C400" s="8"/>
      <c r="D400" s="8"/>
      <c r="E400" s="8"/>
      <c r="F400" s="8"/>
      <c r="G400" s="8"/>
      <c r="H400" s="32"/>
      <c r="I400" s="32"/>
      <c r="J400" s="25" t="str">
        <f>IF(B400="","",IFERROR(VLOOKUP(C400,Soldes_Ouverture,2,FALSE()),0)+SUMIFS($S$4:S400,$C$4:C400,C400))</f>
        <v/>
      </c>
      <c r="K400" s="1" t="str">
        <f t="shared" si="91"/>
        <v/>
      </c>
      <c r="L400" s="1" t="str">
        <f t="shared" si="92"/>
        <v/>
      </c>
      <c r="M400" s="1" t="str">
        <f t="shared" si="93"/>
        <v/>
      </c>
      <c r="N400" s="8"/>
      <c r="O400" s="8"/>
      <c r="P400" s="1" t="str">
        <f t="shared" si="94"/>
        <v/>
      </c>
      <c r="Q400" s="25" t="str">
        <f t="shared" si="95"/>
        <v/>
      </c>
      <c r="R400" s="1" t="str">
        <f t="shared" si="96"/>
        <v/>
      </c>
      <c r="S400" s="33" t="str">
        <f t="shared" si="97"/>
        <v/>
      </c>
      <c r="T400" s="34" t="str">
        <f>IF(B400="","",C400&amp;"|"&amp;ROUND(S400,2)&amp;"|"&amp;COUNTIFS($C$4:C400,C400,$S$4:S400,S400))</f>
        <v/>
      </c>
      <c r="U400" s="34" t="str">
        <f t="shared" si="98"/>
        <v/>
      </c>
      <c r="V400" s="34" t="str">
        <f t="shared" si="99"/>
        <v/>
      </c>
      <c r="W400" s="34" t="str">
        <f t="shared" si="100"/>
        <v/>
      </c>
      <c r="X400" s="34">
        <f t="shared" si="101"/>
        <v>0</v>
      </c>
      <c r="Y400" s="34" t="str">
        <f t="shared" si="102"/>
        <v/>
      </c>
      <c r="Z400" s="34" t="str">
        <f>IF(X400=1,V400,IF(Y400="","",IF(COUNTIF(Y$3:Y399,Y400)=0,Y400,"")))</f>
        <v/>
      </c>
      <c r="AA400" s="34" t="b">
        <f t="shared" si="103"/>
        <v>0</v>
      </c>
      <c r="AB400" s="34">
        <f t="shared" si="104"/>
        <v>0</v>
      </c>
      <c r="AC400" s="34" t="str">
        <f>IF(AND(B400&lt;&gt;"",C400=CompteSel,N(B400)&lt;=DateArret,AB400=0),MAX($AC$3:AC399)+1,"")</f>
        <v/>
      </c>
      <c r="AD400" s="34" t="str">
        <f>IF(AND(ISNUMBER(M400),C400=CompteSel),MAX($AD$3:AD399)+1,"")</f>
        <v/>
      </c>
    </row>
    <row r="401" spans="1:30" x14ac:dyDescent="0.35">
      <c r="A401" s="1" t="str">
        <f t="shared" si="90"/>
        <v/>
      </c>
      <c r="B401" s="31"/>
      <c r="C401" s="8"/>
      <c r="D401" s="8"/>
      <c r="E401" s="8"/>
      <c r="F401" s="8"/>
      <c r="G401" s="8"/>
      <c r="H401" s="32"/>
      <c r="I401" s="32"/>
      <c r="J401" s="25" t="str">
        <f>IF(B401="","",IFERROR(VLOOKUP(C401,Soldes_Ouverture,2,FALSE()),0)+SUMIFS($S$4:S401,$C$4:C401,C401))</f>
        <v/>
      </c>
      <c r="K401" s="1" t="str">
        <f t="shared" si="91"/>
        <v/>
      </c>
      <c r="L401" s="1" t="str">
        <f t="shared" si="92"/>
        <v/>
      </c>
      <c r="M401" s="1" t="str">
        <f t="shared" si="93"/>
        <v/>
      </c>
      <c r="N401" s="8"/>
      <c r="O401" s="8"/>
      <c r="P401" s="1" t="str">
        <f t="shared" si="94"/>
        <v/>
      </c>
      <c r="Q401" s="25" t="str">
        <f t="shared" si="95"/>
        <v/>
      </c>
      <c r="R401" s="1" t="str">
        <f t="shared" si="96"/>
        <v/>
      </c>
      <c r="S401" s="33" t="str">
        <f t="shared" si="97"/>
        <v/>
      </c>
      <c r="T401" s="34" t="str">
        <f>IF(B401="","",C401&amp;"|"&amp;ROUND(S401,2)&amp;"|"&amp;COUNTIFS($C$4:C401,C401,$S$4:S401,S401))</f>
        <v/>
      </c>
      <c r="U401" s="34" t="str">
        <f t="shared" si="98"/>
        <v/>
      </c>
      <c r="V401" s="34" t="str">
        <f t="shared" si="99"/>
        <v/>
      </c>
      <c r="W401" s="34" t="str">
        <f t="shared" si="100"/>
        <v/>
      </c>
      <c r="X401" s="34">
        <f t="shared" si="101"/>
        <v>0</v>
      </c>
      <c r="Y401" s="34" t="str">
        <f t="shared" si="102"/>
        <v/>
      </c>
      <c r="Z401" s="34" t="str">
        <f>IF(X401=1,V401,IF(Y401="","",IF(COUNTIF(Y$3:Y400,Y401)=0,Y401,"")))</f>
        <v/>
      </c>
      <c r="AA401" s="34" t="b">
        <f t="shared" si="103"/>
        <v>0</v>
      </c>
      <c r="AB401" s="34">
        <f t="shared" si="104"/>
        <v>0</v>
      </c>
      <c r="AC401" s="34" t="str">
        <f>IF(AND(B401&lt;&gt;"",C401=CompteSel,N(B401)&lt;=DateArret,AB401=0),MAX($AC$3:AC400)+1,"")</f>
        <v/>
      </c>
      <c r="AD401" s="34" t="str">
        <f>IF(AND(ISNUMBER(M401),C401=CompteSel),MAX($AD$3:AD400)+1,"")</f>
        <v/>
      </c>
    </row>
    <row r="402" spans="1:30" x14ac:dyDescent="0.35">
      <c r="A402" s="1" t="str">
        <f t="shared" si="90"/>
        <v/>
      </c>
      <c r="B402" s="31"/>
      <c r="C402" s="8"/>
      <c r="D402" s="8"/>
      <c r="E402" s="8"/>
      <c r="F402" s="8"/>
      <c r="G402" s="8"/>
      <c r="H402" s="32"/>
      <c r="I402" s="32"/>
      <c r="J402" s="25" t="str">
        <f>IF(B402="","",IFERROR(VLOOKUP(C402,Soldes_Ouverture,2,FALSE()),0)+SUMIFS($S$4:S402,$C$4:C402,C402))</f>
        <v/>
      </c>
      <c r="K402" s="1" t="str">
        <f t="shared" si="91"/>
        <v/>
      </c>
      <c r="L402" s="1" t="str">
        <f t="shared" si="92"/>
        <v/>
      </c>
      <c r="M402" s="1" t="str">
        <f t="shared" si="93"/>
        <v/>
      </c>
      <c r="N402" s="8"/>
      <c r="O402" s="8"/>
      <c r="P402" s="1" t="str">
        <f t="shared" si="94"/>
        <v/>
      </c>
      <c r="Q402" s="25" t="str">
        <f t="shared" si="95"/>
        <v/>
      </c>
      <c r="R402" s="1" t="str">
        <f t="shared" si="96"/>
        <v/>
      </c>
      <c r="S402" s="33" t="str">
        <f t="shared" si="97"/>
        <v/>
      </c>
      <c r="T402" s="34" t="str">
        <f>IF(B402="","",C402&amp;"|"&amp;ROUND(S402,2)&amp;"|"&amp;COUNTIFS($C$4:C402,C402,$S$4:S402,S402))</f>
        <v/>
      </c>
      <c r="U402" s="34" t="str">
        <f t="shared" si="98"/>
        <v/>
      </c>
      <c r="V402" s="34" t="str">
        <f t="shared" si="99"/>
        <v/>
      </c>
      <c r="W402" s="34" t="str">
        <f t="shared" si="100"/>
        <v/>
      </c>
      <c r="X402" s="34">
        <f t="shared" si="101"/>
        <v>0</v>
      </c>
      <c r="Y402" s="34" t="str">
        <f t="shared" si="102"/>
        <v/>
      </c>
      <c r="Z402" s="34" t="str">
        <f>IF(X402=1,V402,IF(Y402="","",IF(COUNTIF(Y$3:Y401,Y402)=0,Y402,"")))</f>
        <v/>
      </c>
      <c r="AA402" s="34" t="b">
        <f t="shared" si="103"/>
        <v>0</v>
      </c>
      <c r="AB402" s="34">
        <f t="shared" si="104"/>
        <v>0</v>
      </c>
      <c r="AC402" s="34" t="str">
        <f>IF(AND(B402&lt;&gt;"",C402=CompteSel,N(B402)&lt;=DateArret,AB402=0),MAX($AC$3:AC401)+1,"")</f>
        <v/>
      </c>
      <c r="AD402" s="34" t="str">
        <f>IF(AND(ISNUMBER(M402),C402=CompteSel),MAX($AD$3:AD401)+1,"")</f>
        <v/>
      </c>
    </row>
    <row r="403" spans="1:30" x14ac:dyDescent="0.35">
      <c r="A403" s="1" t="str">
        <f t="shared" si="90"/>
        <v/>
      </c>
      <c r="B403" s="31"/>
      <c r="C403" s="8"/>
      <c r="D403" s="8"/>
      <c r="E403" s="8"/>
      <c r="F403" s="8"/>
      <c r="G403" s="8"/>
      <c r="H403" s="32"/>
      <c r="I403" s="32"/>
      <c r="J403" s="25" t="str">
        <f>IF(B403="","",IFERROR(VLOOKUP(C403,Soldes_Ouverture,2,FALSE()),0)+SUMIFS($S$4:S403,$C$4:C403,C403))</f>
        <v/>
      </c>
      <c r="K403" s="1" t="str">
        <f t="shared" si="91"/>
        <v/>
      </c>
      <c r="L403" s="1" t="str">
        <f t="shared" si="92"/>
        <v/>
      </c>
      <c r="M403" s="1" t="str">
        <f t="shared" si="93"/>
        <v/>
      </c>
      <c r="N403" s="8"/>
      <c r="O403" s="8"/>
      <c r="P403" s="1" t="str">
        <f t="shared" si="94"/>
        <v/>
      </c>
      <c r="Q403" s="25" t="str">
        <f t="shared" si="95"/>
        <v/>
      </c>
      <c r="R403" s="1" t="str">
        <f t="shared" si="96"/>
        <v/>
      </c>
      <c r="S403" s="33" t="str">
        <f t="shared" si="97"/>
        <v/>
      </c>
      <c r="T403" s="34" t="str">
        <f>IF(B403="","",C403&amp;"|"&amp;ROUND(S403,2)&amp;"|"&amp;COUNTIFS($C$4:C403,C403,$S$4:S403,S403))</f>
        <v/>
      </c>
      <c r="U403" s="34" t="str">
        <f t="shared" si="98"/>
        <v/>
      </c>
      <c r="V403" s="34" t="str">
        <f t="shared" si="99"/>
        <v/>
      </c>
      <c r="W403" s="34" t="str">
        <f t="shared" si="100"/>
        <v/>
      </c>
      <c r="X403" s="34">
        <f t="shared" si="101"/>
        <v>0</v>
      </c>
      <c r="Y403" s="34" t="str">
        <f t="shared" si="102"/>
        <v/>
      </c>
      <c r="Z403" s="34" t="str">
        <f>IF(X403=1,V403,IF(Y403="","",IF(COUNTIF(Y$3:Y402,Y403)=0,Y403,"")))</f>
        <v/>
      </c>
      <c r="AA403" s="34" t="b">
        <f t="shared" si="103"/>
        <v>0</v>
      </c>
      <c r="AB403" s="34">
        <f t="shared" si="104"/>
        <v>0</v>
      </c>
      <c r="AC403" s="34" t="str">
        <f>IF(AND(B403&lt;&gt;"",C403=CompteSel,N(B403)&lt;=DateArret,AB403=0),MAX($AC$3:AC402)+1,"")</f>
        <v/>
      </c>
      <c r="AD403" s="34" t="str">
        <f>IF(AND(ISNUMBER(M403),C403=CompteSel),MAX($AD$3:AD402)+1,"")</f>
        <v/>
      </c>
    </row>
    <row r="404" spans="1:30" x14ac:dyDescent="0.35">
      <c r="A404" s="1" t="str">
        <f t="shared" si="90"/>
        <v/>
      </c>
      <c r="B404" s="31"/>
      <c r="C404" s="8"/>
      <c r="D404" s="8"/>
      <c r="E404" s="8"/>
      <c r="F404" s="8"/>
      <c r="G404" s="8"/>
      <c r="H404" s="32"/>
      <c r="I404" s="32"/>
      <c r="J404" s="25" t="str">
        <f>IF(B404="","",IFERROR(VLOOKUP(C404,Soldes_Ouverture,2,FALSE()),0)+SUMIFS($S$4:S404,$C$4:C404,C404))</f>
        <v/>
      </c>
      <c r="K404" s="1" t="str">
        <f t="shared" si="91"/>
        <v/>
      </c>
      <c r="L404" s="1" t="str">
        <f t="shared" si="92"/>
        <v/>
      </c>
      <c r="M404" s="1" t="str">
        <f t="shared" si="93"/>
        <v/>
      </c>
      <c r="N404" s="8"/>
      <c r="O404" s="8"/>
      <c r="P404" s="1" t="str">
        <f t="shared" si="94"/>
        <v/>
      </c>
      <c r="Q404" s="25" t="str">
        <f t="shared" si="95"/>
        <v/>
      </c>
      <c r="R404" s="1" t="str">
        <f t="shared" si="96"/>
        <v/>
      </c>
      <c r="S404" s="33" t="str">
        <f t="shared" si="97"/>
        <v/>
      </c>
      <c r="T404" s="34" t="str">
        <f>IF(B404="","",C404&amp;"|"&amp;ROUND(S404,2)&amp;"|"&amp;COUNTIFS($C$4:C404,C404,$S$4:S404,S404))</f>
        <v/>
      </c>
      <c r="U404" s="34" t="str">
        <f t="shared" si="98"/>
        <v/>
      </c>
      <c r="V404" s="34" t="str">
        <f t="shared" si="99"/>
        <v/>
      </c>
      <c r="W404" s="34" t="str">
        <f t="shared" si="100"/>
        <v/>
      </c>
      <c r="X404" s="34">
        <f t="shared" si="101"/>
        <v>0</v>
      </c>
      <c r="Y404" s="34" t="str">
        <f t="shared" si="102"/>
        <v/>
      </c>
      <c r="Z404" s="34" t="str">
        <f>IF(X404=1,V404,IF(Y404="","",IF(COUNTIF(Y$3:Y403,Y404)=0,Y404,"")))</f>
        <v/>
      </c>
      <c r="AA404" s="34" t="b">
        <f t="shared" si="103"/>
        <v>0</v>
      </c>
      <c r="AB404" s="34">
        <f t="shared" si="104"/>
        <v>0</v>
      </c>
      <c r="AC404" s="34" t="str">
        <f>IF(AND(B404&lt;&gt;"",C404=CompteSel,N(B404)&lt;=DateArret,AB404=0),MAX($AC$3:AC403)+1,"")</f>
        <v/>
      </c>
      <c r="AD404" s="34" t="str">
        <f>IF(AND(ISNUMBER(M404),C404=CompteSel),MAX($AD$3:AD403)+1,"")</f>
        <v/>
      </c>
    </row>
    <row r="405" spans="1:30" x14ac:dyDescent="0.35">
      <c r="A405" s="1" t="str">
        <f t="shared" si="90"/>
        <v/>
      </c>
      <c r="B405" s="31"/>
      <c r="C405" s="8"/>
      <c r="D405" s="8"/>
      <c r="E405" s="8"/>
      <c r="F405" s="8"/>
      <c r="G405" s="8"/>
      <c r="H405" s="32"/>
      <c r="I405" s="32"/>
      <c r="J405" s="25" t="str">
        <f>IF(B405="","",IFERROR(VLOOKUP(C405,Soldes_Ouverture,2,FALSE()),0)+SUMIFS($S$4:S405,$C$4:C405,C405))</f>
        <v/>
      </c>
      <c r="K405" s="1" t="str">
        <f t="shared" si="91"/>
        <v/>
      </c>
      <c r="L405" s="1" t="str">
        <f t="shared" si="92"/>
        <v/>
      </c>
      <c r="M405" s="1" t="str">
        <f t="shared" si="93"/>
        <v/>
      </c>
      <c r="N405" s="8"/>
      <c r="O405" s="8"/>
      <c r="P405" s="1" t="str">
        <f t="shared" si="94"/>
        <v/>
      </c>
      <c r="Q405" s="25" t="str">
        <f t="shared" si="95"/>
        <v/>
      </c>
      <c r="R405" s="1" t="str">
        <f t="shared" si="96"/>
        <v/>
      </c>
      <c r="S405" s="33" t="str">
        <f t="shared" si="97"/>
        <v/>
      </c>
      <c r="T405" s="34" t="str">
        <f>IF(B405="","",C405&amp;"|"&amp;ROUND(S405,2)&amp;"|"&amp;COUNTIFS($C$4:C405,C405,$S$4:S405,S405))</f>
        <v/>
      </c>
      <c r="U405" s="34" t="str">
        <f t="shared" si="98"/>
        <v/>
      </c>
      <c r="V405" s="34" t="str">
        <f t="shared" si="99"/>
        <v/>
      </c>
      <c r="W405" s="34" t="str">
        <f t="shared" si="100"/>
        <v/>
      </c>
      <c r="X405" s="34">
        <f t="shared" si="101"/>
        <v>0</v>
      </c>
      <c r="Y405" s="34" t="str">
        <f t="shared" si="102"/>
        <v/>
      </c>
      <c r="Z405" s="34" t="str">
        <f>IF(X405=1,V405,IF(Y405="","",IF(COUNTIF(Y$3:Y404,Y405)=0,Y405,"")))</f>
        <v/>
      </c>
      <c r="AA405" s="34" t="b">
        <f t="shared" si="103"/>
        <v>0</v>
      </c>
      <c r="AB405" s="34">
        <f t="shared" si="104"/>
        <v>0</v>
      </c>
      <c r="AC405" s="34" t="str">
        <f>IF(AND(B405&lt;&gt;"",C405=CompteSel,N(B405)&lt;=DateArret,AB405=0),MAX($AC$3:AC404)+1,"")</f>
        <v/>
      </c>
      <c r="AD405" s="34" t="str">
        <f>IF(AND(ISNUMBER(M405),C405=CompteSel),MAX($AD$3:AD404)+1,"")</f>
        <v/>
      </c>
    </row>
    <row r="406" spans="1:30" x14ac:dyDescent="0.35">
      <c r="A406" s="1" t="str">
        <f t="shared" si="90"/>
        <v/>
      </c>
      <c r="B406" s="31"/>
      <c r="C406" s="8"/>
      <c r="D406" s="8"/>
      <c r="E406" s="8"/>
      <c r="F406" s="8"/>
      <c r="G406" s="8"/>
      <c r="H406" s="32"/>
      <c r="I406" s="32"/>
      <c r="J406" s="25" t="str">
        <f>IF(B406="","",IFERROR(VLOOKUP(C406,Soldes_Ouverture,2,FALSE()),0)+SUMIFS($S$4:S406,$C$4:C406,C406))</f>
        <v/>
      </c>
      <c r="K406" s="1" t="str">
        <f t="shared" si="91"/>
        <v/>
      </c>
      <c r="L406" s="1" t="str">
        <f t="shared" si="92"/>
        <v/>
      </c>
      <c r="M406" s="1" t="str">
        <f t="shared" si="93"/>
        <v/>
      </c>
      <c r="N406" s="8"/>
      <c r="O406" s="8"/>
      <c r="P406" s="1" t="str">
        <f t="shared" si="94"/>
        <v/>
      </c>
      <c r="Q406" s="25" t="str">
        <f t="shared" si="95"/>
        <v/>
      </c>
      <c r="R406" s="1" t="str">
        <f t="shared" si="96"/>
        <v/>
      </c>
      <c r="S406" s="33" t="str">
        <f t="shared" si="97"/>
        <v/>
      </c>
      <c r="T406" s="34" t="str">
        <f>IF(B406="","",C406&amp;"|"&amp;ROUND(S406,2)&amp;"|"&amp;COUNTIFS($C$4:C406,C406,$S$4:S406,S406))</f>
        <v/>
      </c>
      <c r="U406" s="34" t="str">
        <f t="shared" si="98"/>
        <v/>
      </c>
      <c r="V406" s="34" t="str">
        <f t="shared" si="99"/>
        <v/>
      </c>
      <c r="W406" s="34" t="str">
        <f t="shared" si="100"/>
        <v/>
      </c>
      <c r="X406" s="34">
        <f t="shared" si="101"/>
        <v>0</v>
      </c>
      <c r="Y406" s="34" t="str">
        <f t="shared" si="102"/>
        <v/>
      </c>
      <c r="Z406" s="34" t="str">
        <f>IF(X406=1,V406,IF(Y406="","",IF(COUNTIF(Y$3:Y405,Y406)=0,Y406,"")))</f>
        <v/>
      </c>
      <c r="AA406" s="34" t="b">
        <f t="shared" si="103"/>
        <v>0</v>
      </c>
      <c r="AB406" s="34">
        <f t="shared" si="104"/>
        <v>0</v>
      </c>
      <c r="AC406" s="34" t="str">
        <f>IF(AND(B406&lt;&gt;"",C406=CompteSel,N(B406)&lt;=DateArret,AB406=0),MAX($AC$3:AC405)+1,"")</f>
        <v/>
      </c>
      <c r="AD406" s="34" t="str">
        <f>IF(AND(ISNUMBER(M406),C406=CompteSel),MAX($AD$3:AD405)+1,"")</f>
        <v/>
      </c>
    </row>
    <row r="407" spans="1:30" x14ac:dyDescent="0.35">
      <c r="A407" s="1" t="str">
        <f t="shared" si="90"/>
        <v/>
      </c>
      <c r="B407" s="31"/>
      <c r="C407" s="8"/>
      <c r="D407" s="8"/>
      <c r="E407" s="8"/>
      <c r="F407" s="8"/>
      <c r="G407" s="8"/>
      <c r="H407" s="32"/>
      <c r="I407" s="32"/>
      <c r="J407" s="25" t="str">
        <f>IF(B407="","",IFERROR(VLOOKUP(C407,Soldes_Ouverture,2,FALSE()),0)+SUMIFS($S$4:S407,$C$4:C407,C407))</f>
        <v/>
      </c>
      <c r="K407" s="1" t="str">
        <f t="shared" si="91"/>
        <v/>
      </c>
      <c r="L407" s="1" t="str">
        <f t="shared" si="92"/>
        <v/>
      </c>
      <c r="M407" s="1" t="str">
        <f t="shared" si="93"/>
        <v/>
      </c>
      <c r="N407" s="8"/>
      <c r="O407" s="8"/>
      <c r="P407" s="1" t="str">
        <f t="shared" si="94"/>
        <v/>
      </c>
      <c r="Q407" s="25" t="str">
        <f t="shared" si="95"/>
        <v/>
      </c>
      <c r="R407" s="1" t="str">
        <f t="shared" si="96"/>
        <v/>
      </c>
      <c r="S407" s="33" t="str">
        <f t="shared" si="97"/>
        <v/>
      </c>
      <c r="T407" s="34" t="str">
        <f>IF(B407="","",C407&amp;"|"&amp;ROUND(S407,2)&amp;"|"&amp;COUNTIFS($C$4:C407,C407,$S$4:S407,S407))</f>
        <v/>
      </c>
      <c r="U407" s="34" t="str">
        <f t="shared" si="98"/>
        <v/>
      </c>
      <c r="V407" s="34" t="str">
        <f t="shared" si="99"/>
        <v/>
      </c>
      <c r="W407" s="34" t="str">
        <f t="shared" si="100"/>
        <v/>
      </c>
      <c r="X407" s="34">
        <f t="shared" si="101"/>
        <v>0</v>
      </c>
      <c r="Y407" s="34" t="str">
        <f t="shared" si="102"/>
        <v/>
      </c>
      <c r="Z407" s="34" t="str">
        <f>IF(X407=1,V407,IF(Y407="","",IF(COUNTIF(Y$3:Y406,Y407)=0,Y407,"")))</f>
        <v/>
      </c>
      <c r="AA407" s="34" t="b">
        <f t="shared" si="103"/>
        <v>0</v>
      </c>
      <c r="AB407" s="34">
        <f t="shared" si="104"/>
        <v>0</v>
      </c>
      <c r="AC407" s="34" t="str">
        <f>IF(AND(B407&lt;&gt;"",C407=CompteSel,N(B407)&lt;=DateArret,AB407=0),MAX($AC$3:AC406)+1,"")</f>
        <v/>
      </c>
      <c r="AD407" s="34" t="str">
        <f>IF(AND(ISNUMBER(M407),C407=CompteSel),MAX($AD$3:AD406)+1,"")</f>
        <v/>
      </c>
    </row>
    <row r="408" spans="1:30" x14ac:dyDescent="0.35">
      <c r="A408" s="1" t="str">
        <f t="shared" si="90"/>
        <v/>
      </c>
      <c r="B408" s="31"/>
      <c r="C408" s="8"/>
      <c r="D408" s="8"/>
      <c r="E408" s="8"/>
      <c r="F408" s="8"/>
      <c r="G408" s="8"/>
      <c r="H408" s="32"/>
      <c r="I408" s="32"/>
      <c r="J408" s="25" t="str">
        <f>IF(B408="","",IFERROR(VLOOKUP(C408,Soldes_Ouverture,2,FALSE()),0)+SUMIFS($S$4:S408,$C$4:C408,C408))</f>
        <v/>
      </c>
      <c r="K408" s="1" t="str">
        <f t="shared" si="91"/>
        <v/>
      </c>
      <c r="L408" s="1" t="str">
        <f t="shared" si="92"/>
        <v/>
      </c>
      <c r="M408" s="1" t="str">
        <f t="shared" si="93"/>
        <v/>
      </c>
      <c r="N408" s="8"/>
      <c r="O408" s="8"/>
      <c r="P408" s="1" t="str">
        <f t="shared" si="94"/>
        <v/>
      </c>
      <c r="Q408" s="25" t="str">
        <f t="shared" si="95"/>
        <v/>
      </c>
      <c r="R408" s="1" t="str">
        <f t="shared" si="96"/>
        <v/>
      </c>
      <c r="S408" s="33" t="str">
        <f t="shared" si="97"/>
        <v/>
      </c>
      <c r="T408" s="34" t="str">
        <f>IF(B408="","",C408&amp;"|"&amp;ROUND(S408,2)&amp;"|"&amp;COUNTIFS($C$4:C408,C408,$S$4:S408,S408))</f>
        <v/>
      </c>
      <c r="U408" s="34" t="str">
        <f t="shared" si="98"/>
        <v/>
      </c>
      <c r="V408" s="34" t="str">
        <f t="shared" si="99"/>
        <v/>
      </c>
      <c r="W408" s="34" t="str">
        <f t="shared" si="100"/>
        <v/>
      </c>
      <c r="X408" s="34">
        <f t="shared" si="101"/>
        <v>0</v>
      </c>
      <c r="Y408" s="34" t="str">
        <f t="shared" si="102"/>
        <v/>
      </c>
      <c r="Z408" s="34" t="str">
        <f>IF(X408=1,V408,IF(Y408="","",IF(COUNTIF(Y$3:Y407,Y408)=0,Y408,"")))</f>
        <v/>
      </c>
      <c r="AA408" s="34" t="b">
        <f t="shared" si="103"/>
        <v>0</v>
      </c>
      <c r="AB408" s="34">
        <f t="shared" si="104"/>
        <v>0</v>
      </c>
      <c r="AC408" s="34" t="str">
        <f>IF(AND(B408&lt;&gt;"",C408=CompteSel,N(B408)&lt;=DateArret,AB408=0),MAX($AC$3:AC407)+1,"")</f>
        <v/>
      </c>
      <c r="AD408" s="34" t="str">
        <f>IF(AND(ISNUMBER(M408),C408=CompteSel),MAX($AD$3:AD407)+1,"")</f>
        <v/>
      </c>
    </row>
    <row r="409" spans="1:30" x14ac:dyDescent="0.35">
      <c r="A409" s="1" t="str">
        <f t="shared" si="90"/>
        <v/>
      </c>
      <c r="B409" s="31"/>
      <c r="C409" s="8"/>
      <c r="D409" s="8"/>
      <c r="E409" s="8"/>
      <c r="F409" s="8"/>
      <c r="G409" s="8"/>
      <c r="H409" s="32"/>
      <c r="I409" s="32"/>
      <c r="J409" s="25" t="str">
        <f>IF(B409="","",IFERROR(VLOOKUP(C409,Soldes_Ouverture,2,FALSE()),0)+SUMIFS($S$4:S409,$C$4:C409,C409))</f>
        <v/>
      </c>
      <c r="K409" s="1" t="str">
        <f t="shared" si="91"/>
        <v/>
      </c>
      <c r="L409" s="1" t="str">
        <f t="shared" si="92"/>
        <v/>
      </c>
      <c r="M409" s="1" t="str">
        <f t="shared" si="93"/>
        <v/>
      </c>
      <c r="N409" s="8"/>
      <c r="O409" s="8"/>
      <c r="P409" s="1" t="str">
        <f t="shared" si="94"/>
        <v/>
      </c>
      <c r="Q409" s="25" t="str">
        <f t="shared" si="95"/>
        <v/>
      </c>
      <c r="R409" s="1" t="str">
        <f t="shared" si="96"/>
        <v/>
      </c>
      <c r="S409" s="33" t="str">
        <f t="shared" si="97"/>
        <v/>
      </c>
      <c r="T409" s="34" t="str">
        <f>IF(B409="","",C409&amp;"|"&amp;ROUND(S409,2)&amp;"|"&amp;COUNTIFS($C$4:C409,C409,$S$4:S409,S409))</f>
        <v/>
      </c>
      <c r="U409" s="34" t="str">
        <f t="shared" si="98"/>
        <v/>
      </c>
      <c r="V409" s="34" t="str">
        <f t="shared" si="99"/>
        <v/>
      </c>
      <c r="W409" s="34" t="str">
        <f t="shared" si="100"/>
        <v/>
      </c>
      <c r="X409" s="34">
        <f t="shared" si="101"/>
        <v>0</v>
      </c>
      <c r="Y409" s="34" t="str">
        <f t="shared" si="102"/>
        <v/>
      </c>
      <c r="Z409" s="34" t="str">
        <f>IF(X409=1,V409,IF(Y409="","",IF(COUNTIF(Y$3:Y408,Y409)=0,Y409,"")))</f>
        <v/>
      </c>
      <c r="AA409" s="34" t="b">
        <f t="shared" si="103"/>
        <v>0</v>
      </c>
      <c r="AB409" s="34">
        <f t="shared" si="104"/>
        <v>0</v>
      </c>
      <c r="AC409" s="34" t="str">
        <f>IF(AND(B409&lt;&gt;"",C409=CompteSel,N(B409)&lt;=DateArret,AB409=0),MAX($AC$3:AC408)+1,"")</f>
        <v/>
      </c>
      <c r="AD409" s="34" t="str">
        <f>IF(AND(ISNUMBER(M409),C409=CompteSel),MAX($AD$3:AD408)+1,"")</f>
        <v/>
      </c>
    </row>
    <row r="410" spans="1:30" x14ac:dyDescent="0.35">
      <c r="A410" s="1" t="str">
        <f t="shared" si="90"/>
        <v/>
      </c>
      <c r="B410" s="31"/>
      <c r="C410" s="8"/>
      <c r="D410" s="8"/>
      <c r="E410" s="8"/>
      <c r="F410" s="8"/>
      <c r="G410" s="8"/>
      <c r="H410" s="32"/>
      <c r="I410" s="32"/>
      <c r="J410" s="25" t="str">
        <f>IF(B410="","",IFERROR(VLOOKUP(C410,Soldes_Ouverture,2,FALSE()),0)+SUMIFS($S$4:S410,$C$4:C410,C410))</f>
        <v/>
      </c>
      <c r="K410" s="1" t="str">
        <f t="shared" si="91"/>
        <v/>
      </c>
      <c r="L410" s="1" t="str">
        <f t="shared" si="92"/>
        <v/>
      </c>
      <c r="M410" s="1" t="str">
        <f t="shared" si="93"/>
        <v/>
      </c>
      <c r="N410" s="8"/>
      <c r="O410" s="8"/>
      <c r="P410" s="1" t="str">
        <f t="shared" si="94"/>
        <v/>
      </c>
      <c r="Q410" s="25" t="str">
        <f t="shared" si="95"/>
        <v/>
      </c>
      <c r="R410" s="1" t="str">
        <f t="shared" si="96"/>
        <v/>
      </c>
      <c r="S410" s="33" t="str">
        <f t="shared" si="97"/>
        <v/>
      </c>
      <c r="T410" s="34" t="str">
        <f>IF(B410="","",C410&amp;"|"&amp;ROUND(S410,2)&amp;"|"&amp;COUNTIFS($C$4:C410,C410,$S$4:S410,S410))</f>
        <v/>
      </c>
      <c r="U410" s="34" t="str">
        <f t="shared" si="98"/>
        <v/>
      </c>
      <c r="V410" s="34" t="str">
        <f t="shared" si="99"/>
        <v/>
      </c>
      <c r="W410" s="34" t="str">
        <f t="shared" si="100"/>
        <v/>
      </c>
      <c r="X410" s="34">
        <f t="shared" si="101"/>
        <v>0</v>
      </c>
      <c r="Y410" s="34" t="str">
        <f t="shared" si="102"/>
        <v/>
      </c>
      <c r="Z410" s="34" t="str">
        <f>IF(X410=1,V410,IF(Y410="","",IF(COUNTIF(Y$3:Y409,Y410)=0,Y410,"")))</f>
        <v/>
      </c>
      <c r="AA410" s="34" t="b">
        <f t="shared" si="103"/>
        <v>0</v>
      </c>
      <c r="AB410" s="34">
        <f t="shared" si="104"/>
        <v>0</v>
      </c>
      <c r="AC410" s="34" t="str">
        <f>IF(AND(B410&lt;&gt;"",C410=CompteSel,N(B410)&lt;=DateArret,AB410=0),MAX($AC$3:AC409)+1,"")</f>
        <v/>
      </c>
      <c r="AD410" s="34" t="str">
        <f>IF(AND(ISNUMBER(M410),C410=CompteSel),MAX($AD$3:AD409)+1,"")</f>
        <v/>
      </c>
    </row>
    <row r="411" spans="1:30" x14ac:dyDescent="0.35">
      <c r="A411" s="1" t="str">
        <f t="shared" si="90"/>
        <v/>
      </c>
      <c r="B411" s="31"/>
      <c r="C411" s="8"/>
      <c r="D411" s="8"/>
      <c r="E411" s="8"/>
      <c r="F411" s="8"/>
      <c r="G411" s="8"/>
      <c r="H411" s="32"/>
      <c r="I411" s="32"/>
      <c r="J411" s="25" t="str">
        <f>IF(B411="","",IFERROR(VLOOKUP(C411,Soldes_Ouverture,2,FALSE()),0)+SUMIFS($S$4:S411,$C$4:C411,C411))</f>
        <v/>
      </c>
      <c r="K411" s="1" t="str">
        <f t="shared" si="91"/>
        <v/>
      </c>
      <c r="L411" s="1" t="str">
        <f t="shared" si="92"/>
        <v/>
      </c>
      <c r="M411" s="1" t="str">
        <f t="shared" si="93"/>
        <v/>
      </c>
      <c r="N411" s="8"/>
      <c r="O411" s="8"/>
      <c r="P411" s="1" t="str">
        <f t="shared" si="94"/>
        <v/>
      </c>
      <c r="Q411" s="25" t="str">
        <f t="shared" si="95"/>
        <v/>
      </c>
      <c r="R411" s="1" t="str">
        <f t="shared" si="96"/>
        <v/>
      </c>
      <c r="S411" s="33" t="str">
        <f t="shared" si="97"/>
        <v/>
      </c>
      <c r="T411" s="34" t="str">
        <f>IF(B411="","",C411&amp;"|"&amp;ROUND(S411,2)&amp;"|"&amp;COUNTIFS($C$4:C411,C411,$S$4:S411,S411))</f>
        <v/>
      </c>
      <c r="U411" s="34" t="str">
        <f t="shared" si="98"/>
        <v/>
      </c>
      <c r="V411" s="34" t="str">
        <f t="shared" si="99"/>
        <v/>
      </c>
      <c r="W411" s="34" t="str">
        <f t="shared" si="100"/>
        <v/>
      </c>
      <c r="X411" s="34">
        <f t="shared" si="101"/>
        <v>0</v>
      </c>
      <c r="Y411" s="34" t="str">
        <f t="shared" si="102"/>
        <v/>
      </c>
      <c r="Z411" s="34" t="str">
        <f>IF(X411=1,V411,IF(Y411="","",IF(COUNTIF(Y$3:Y410,Y411)=0,Y411,"")))</f>
        <v/>
      </c>
      <c r="AA411" s="34" t="b">
        <f t="shared" si="103"/>
        <v>0</v>
      </c>
      <c r="AB411" s="34">
        <f t="shared" si="104"/>
        <v>0</v>
      </c>
      <c r="AC411" s="34" t="str">
        <f>IF(AND(B411&lt;&gt;"",C411=CompteSel,N(B411)&lt;=DateArret,AB411=0),MAX($AC$3:AC410)+1,"")</f>
        <v/>
      </c>
      <c r="AD411" s="34" t="str">
        <f>IF(AND(ISNUMBER(M411),C411=CompteSel),MAX($AD$3:AD410)+1,"")</f>
        <v/>
      </c>
    </row>
    <row r="412" spans="1:30" x14ac:dyDescent="0.35">
      <c r="A412" s="1" t="str">
        <f t="shared" si="90"/>
        <v/>
      </c>
      <c r="B412" s="31"/>
      <c r="C412" s="8"/>
      <c r="D412" s="8"/>
      <c r="E412" s="8"/>
      <c r="F412" s="8"/>
      <c r="G412" s="8"/>
      <c r="H412" s="32"/>
      <c r="I412" s="32"/>
      <c r="J412" s="25" t="str">
        <f>IF(B412="","",IFERROR(VLOOKUP(C412,Soldes_Ouverture,2,FALSE()),0)+SUMIFS($S$4:S412,$C$4:C412,C412))</f>
        <v/>
      </c>
      <c r="K412" s="1" t="str">
        <f t="shared" si="91"/>
        <v/>
      </c>
      <c r="L412" s="1" t="str">
        <f t="shared" si="92"/>
        <v/>
      </c>
      <c r="M412" s="1" t="str">
        <f t="shared" si="93"/>
        <v/>
      </c>
      <c r="N412" s="8"/>
      <c r="O412" s="8"/>
      <c r="P412" s="1" t="str">
        <f t="shared" si="94"/>
        <v/>
      </c>
      <c r="Q412" s="25" t="str">
        <f t="shared" si="95"/>
        <v/>
      </c>
      <c r="R412" s="1" t="str">
        <f t="shared" si="96"/>
        <v/>
      </c>
      <c r="S412" s="33" t="str">
        <f t="shared" si="97"/>
        <v/>
      </c>
      <c r="T412" s="34" t="str">
        <f>IF(B412="","",C412&amp;"|"&amp;ROUND(S412,2)&amp;"|"&amp;COUNTIFS($C$4:C412,C412,$S$4:S412,S412))</f>
        <v/>
      </c>
      <c r="U412" s="34" t="str">
        <f t="shared" si="98"/>
        <v/>
      </c>
      <c r="V412" s="34" t="str">
        <f t="shared" si="99"/>
        <v/>
      </c>
      <c r="W412" s="34" t="str">
        <f t="shared" si="100"/>
        <v/>
      </c>
      <c r="X412" s="34">
        <f t="shared" si="101"/>
        <v>0</v>
      </c>
      <c r="Y412" s="34" t="str">
        <f t="shared" si="102"/>
        <v/>
      </c>
      <c r="Z412" s="34" t="str">
        <f>IF(X412=1,V412,IF(Y412="","",IF(COUNTIF(Y$3:Y411,Y412)=0,Y412,"")))</f>
        <v/>
      </c>
      <c r="AA412" s="34" t="b">
        <f t="shared" si="103"/>
        <v>0</v>
      </c>
      <c r="AB412" s="34">
        <f t="shared" si="104"/>
        <v>0</v>
      </c>
      <c r="AC412" s="34" t="str">
        <f>IF(AND(B412&lt;&gt;"",C412=CompteSel,N(B412)&lt;=DateArret,AB412=0),MAX($AC$3:AC411)+1,"")</f>
        <v/>
      </c>
      <c r="AD412" s="34" t="str">
        <f>IF(AND(ISNUMBER(M412),C412=CompteSel),MAX($AD$3:AD411)+1,"")</f>
        <v/>
      </c>
    </row>
    <row r="413" spans="1:30" x14ac:dyDescent="0.35">
      <c r="A413" s="1" t="str">
        <f t="shared" si="90"/>
        <v/>
      </c>
      <c r="B413" s="31"/>
      <c r="C413" s="8"/>
      <c r="D413" s="8"/>
      <c r="E413" s="8"/>
      <c r="F413" s="8"/>
      <c r="G413" s="8"/>
      <c r="H413" s="32"/>
      <c r="I413" s="32"/>
      <c r="J413" s="25" t="str">
        <f>IF(B413="","",IFERROR(VLOOKUP(C413,Soldes_Ouverture,2,FALSE()),0)+SUMIFS($S$4:S413,$C$4:C413,C413))</f>
        <v/>
      </c>
      <c r="K413" s="1" t="str">
        <f t="shared" si="91"/>
        <v/>
      </c>
      <c r="L413" s="1" t="str">
        <f t="shared" si="92"/>
        <v/>
      </c>
      <c r="M413" s="1" t="str">
        <f t="shared" si="93"/>
        <v/>
      </c>
      <c r="N413" s="8"/>
      <c r="O413" s="8"/>
      <c r="P413" s="1" t="str">
        <f t="shared" si="94"/>
        <v/>
      </c>
      <c r="Q413" s="25" t="str">
        <f t="shared" si="95"/>
        <v/>
      </c>
      <c r="R413" s="1" t="str">
        <f t="shared" si="96"/>
        <v/>
      </c>
      <c r="S413" s="33" t="str">
        <f t="shared" si="97"/>
        <v/>
      </c>
      <c r="T413" s="34" t="str">
        <f>IF(B413="","",C413&amp;"|"&amp;ROUND(S413,2)&amp;"|"&amp;COUNTIFS($C$4:C413,C413,$S$4:S413,S413))</f>
        <v/>
      </c>
      <c r="U413" s="34" t="str">
        <f t="shared" si="98"/>
        <v/>
      </c>
      <c r="V413" s="34" t="str">
        <f t="shared" si="99"/>
        <v/>
      </c>
      <c r="W413" s="34" t="str">
        <f t="shared" si="100"/>
        <v/>
      </c>
      <c r="X413" s="34">
        <f t="shared" si="101"/>
        <v>0</v>
      </c>
      <c r="Y413" s="34" t="str">
        <f t="shared" si="102"/>
        <v/>
      </c>
      <c r="Z413" s="34" t="str">
        <f>IF(X413=1,V413,IF(Y413="","",IF(COUNTIF(Y$3:Y412,Y413)=0,Y413,"")))</f>
        <v/>
      </c>
      <c r="AA413" s="34" t="b">
        <f t="shared" si="103"/>
        <v>0</v>
      </c>
      <c r="AB413" s="34">
        <f t="shared" si="104"/>
        <v>0</v>
      </c>
      <c r="AC413" s="34" t="str">
        <f>IF(AND(B413&lt;&gt;"",C413=CompteSel,N(B413)&lt;=DateArret,AB413=0),MAX($AC$3:AC412)+1,"")</f>
        <v/>
      </c>
      <c r="AD413" s="34" t="str">
        <f>IF(AND(ISNUMBER(M413),C413=CompteSel),MAX($AD$3:AD412)+1,"")</f>
        <v/>
      </c>
    </row>
    <row r="414" spans="1:30" x14ac:dyDescent="0.35">
      <c r="A414" s="1" t="str">
        <f t="shared" si="90"/>
        <v/>
      </c>
      <c r="B414" s="31"/>
      <c r="C414" s="8"/>
      <c r="D414" s="8"/>
      <c r="E414" s="8"/>
      <c r="F414" s="8"/>
      <c r="G414" s="8"/>
      <c r="H414" s="32"/>
      <c r="I414" s="32"/>
      <c r="J414" s="25" t="str">
        <f>IF(B414="","",IFERROR(VLOOKUP(C414,Soldes_Ouverture,2,FALSE()),0)+SUMIFS($S$4:S414,$C$4:C414,C414))</f>
        <v/>
      </c>
      <c r="K414" s="1" t="str">
        <f t="shared" si="91"/>
        <v/>
      </c>
      <c r="L414" s="1" t="str">
        <f t="shared" si="92"/>
        <v/>
      </c>
      <c r="M414" s="1" t="str">
        <f t="shared" si="93"/>
        <v/>
      </c>
      <c r="N414" s="8"/>
      <c r="O414" s="8"/>
      <c r="P414" s="1" t="str">
        <f t="shared" si="94"/>
        <v/>
      </c>
      <c r="Q414" s="25" t="str">
        <f t="shared" si="95"/>
        <v/>
      </c>
      <c r="R414" s="1" t="str">
        <f t="shared" si="96"/>
        <v/>
      </c>
      <c r="S414" s="33" t="str">
        <f t="shared" si="97"/>
        <v/>
      </c>
      <c r="T414" s="34" t="str">
        <f>IF(B414="","",C414&amp;"|"&amp;ROUND(S414,2)&amp;"|"&amp;COUNTIFS($C$4:C414,C414,$S$4:S414,S414))</f>
        <v/>
      </c>
      <c r="U414" s="34" t="str">
        <f t="shared" si="98"/>
        <v/>
      </c>
      <c r="V414" s="34" t="str">
        <f t="shared" si="99"/>
        <v/>
      </c>
      <c r="W414" s="34" t="str">
        <f t="shared" si="100"/>
        <v/>
      </c>
      <c r="X414" s="34">
        <f t="shared" si="101"/>
        <v>0</v>
      </c>
      <c r="Y414" s="34" t="str">
        <f t="shared" si="102"/>
        <v/>
      </c>
      <c r="Z414" s="34" t="str">
        <f>IF(X414=1,V414,IF(Y414="","",IF(COUNTIF(Y$3:Y413,Y414)=0,Y414,"")))</f>
        <v/>
      </c>
      <c r="AA414" s="34" t="b">
        <f t="shared" si="103"/>
        <v>0</v>
      </c>
      <c r="AB414" s="34">
        <f t="shared" si="104"/>
        <v>0</v>
      </c>
      <c r="AC414" s="34" t="str">
        <f>IF(AND(B414&lt;&gt;"",C414=CompteSel,N(B414)&lt;=DateArret,AB414=0),MAX($AC$3:AC413)+1,"")</f>
        <v/>
      </c>
      <c r="AD414" s="34" t="str">
        <f>IF(AND(ISNUMBER(M414),C414=CompteSel),MAX($AD$3:AD413)+1,"")</f>
        <v/>
      </c>
    </row>
    <row r="415" spans="1:30" x14ac:dyDescent="0.35">
      <c r="A415" s="1" t="str">
        <f t="shared" si="90"/>
        <v/>
      </c>
      <c r="B415" s="31"/>
      <c r="C415" s="8"/>
      <c r="D415" s="8"/>
      <c r="E415" s="8"/>
      <c r="F415" s="8"/>
      <c r="G415" s="8"/>
      <c r="H415" s="32"/>
      <c r="I415" s="32"/>
      <c r="J415" s="25" t="str">
        <f>IF(B415="","",IFERROR(VLOOKUP(C415,Soldes_Ouverture,2,FALSE()),0)+SUMIFS($S$4:S415,$C$4:C415,C415))</f>
        <v/>
      </c>
      <c r="K415" s="1" t="str">
        <f t="shared" si="91"/>
        <v/>
      </c>
      <c r="L415" s="1" t="str">
        <f t="shared" si="92"/>
        <v/>
      </c>
      <c r="M415" s="1" t="str">
        <f t="shared" si="93"/>
        <v/>
      </c>
      <c r="N415" s="8"/>
      <c r="O415" s="8"/>
      <c r="P415" s="1" t="str">
        <f t="shared" si="94"/>
        <v/>
      </c>
      <c r="Q415" s="25" t="str">
        <f t="shared" si="95"/>
        <v/>
      </c>
      <c r="R415" s="1" t="str">
        <f t="shared" si="96"/>
        <v/>
      </c>
      <c r="S415" s="33" t="str">
        <f t="shared" si="97"/>
        <v/>
      </c>
      <c r="T415" s="34" t="str">
        <f>IF(B415="","",C415&amp;"|"&amp;ROUND(S415,2)&amp;"|"&amp;COUNTIFS($C$4:C415,C415,$S$4:S415,S415))</f>
        <v/>
      </c>
      <c r="U415" s="34" t="str">
        <f t="shared" si="98"/>
        <v/>
      </c>
      <c r="V415" s="34" t="str">
        <f t="shared" si="99"/>
        <v/>
      </c>
      <c r="W415" s="34" t="str">
        <f t="shared" si="100"/>
        <v/>
      </c>
      <c r="X415" s="34">
        <f t="shared" si="101"/>
        <v>0</v>
      </c>
      <c r="Y415" s="34" t="str">
        <f t="shared" si="102"/>
        <v/>
      </c>
      <c r="Z415" s="34" t="str">
        <f>IF(X415=1,V415,IF(Y415="","",IF(COUNTIF(Y$3:Y414,Y415)=0,Y415,"")))</f>
        <v/>
      </c>
      <c r="AA415" s="34" t="b">
        <f t="shared" si="103"/>
        <v>0</v>
      </c>
      <c r="AB415" s="34">
        <f t="shared" si="104"/>
        <v>0</v>
      </c>
      <c r="AC415" s="34" t="str">
        <f>IF(AND(B415&lt;&gt;"",C415=CompteSel,N(B415)&lt;=DateArret,AB415=0),MAX($AC$3:AC414)+1,"")</f>
        <v/>
      </c>
      <c r="AD415" s="34" t="str">
        <f>IF(AND(ISNUMBER(M415),C415=CompteSel),MAX($AD$3:AD414)+1,"")</f>
        <v/>
      </c>
    </row>
    <row r="416" spans="1:30" x14ac:dyDescent="0.35">
      <c r="A416" s="1" t="str">
        <f t="shared" si="90"/>
        <v/>
      </c>
      <c r="B416" s="31"/>
      <c r="C416" s="8"/>
      <c r="D416" s="8"/>
      <c r="E416" s="8"/>
      <c r="F416" s="8"/>
      <c r="G416" s="8"/>
      <c r="H416" s="32"/>
      <c r="I416" s="32"/>
      <c r="J416" s="25" t="str">
        <f>IF(B416="","",IFERROR(VLOOKUP(C416,Soldes_Ouverture,2,FALSE()),0)+SUMIFS($S$4:S416,$C$4:C416,C416))</f>
        <v/>
      </c>
      <c r="K416" s="1" t="str">
        <f t="shared" si="91"/>
        <v/>
      </c>
      <c r="L416" s="1" t="str">
        <f t="shared" si="92"/>
        <v/>
      </c>
      <c r="M416" s="1" t="str">
        <f t="shared" si="93"/>
        <v/>
      </c>
      <c r="N416" s="8"/>
      <c r="O416" s="8"/>
      <c r="P416" s="1" t="str">
        <f t="shared" si="94"/>
        <v/>
      </c>
      <c r="Q416" s="25" t="str">
        <f t="shared" si="95"/>
        <v/>
      </c>
      <c r="R416" s="1" t="str">
        <f t="shared" si="96"/>
        <v/>
      </c>
      <c r="S416" s="33" t="str">
        <f t="shared" si="97"/>
        <v/>
      </c>
      <c r="T416" s="34" t="str">
        <f>IF(B416="","",C416&amp;"|"&amp;ROUND(S416,2)&amp;"|"&amp;COUNTIFS($C$4:C416,C416,$S$4:S416,S416))</f>
        <v/>
      </c>
      <c r="U416" s="34" t="str">
        <f t="shared" si="98"/>
        <v/>
      </c>
      <c r="V416" s="34" t="str">
        <f t="shared" si="99"/>
        <v/>
      </c>
      <c r="W416" s="34" t="str">
        <f t="shared" si="100"/>
        <v/>
      </c>
      <c r="X416" s="34">
        <f t="shared" si="101"/>
        <v>0</v>
      </c>
      <c r="Y416" s="34" t="str">
        <f t="shared" si="102"/>
        <v/>
      </c>
      <c r="Z416" s="34" t="str">
        <f>IF(X416=1,V416,IF(Y416="","",IF(COUNTIF(Y$3:Y415,Y416)=0,Y416,"")))</f>
        <v/>
      </c>
      <c r="AA416" s="34" t="b">
        <f t="shared" si="103"/>
        <v>0</v>
      </c>
      <c r="AB416" s="34">
        <f t="shared" si="104"/>
        <v>0</v>
      </c>
      <c r="AC416" s="34" t="str">
        <f>IF(AND(B416&lt;&gt;"",C416=CompteSel,N(B416)&lt;=DateArret,AB416=0),MAX($AC$3:AC415)+1,"")</f>
        <v/>
      </c>
      <c r="AD416" s="34" t="str">
        <f>IF(AND(ISNUMBER(M416),C416=CompteSel),MAX($AD$3:AD415)+1,"")</f>
        <v/>
      </c>
    </row>
    <row r="417" spans="1:30" x14ac:dyDescent="0.35">
      <c r="A417" s="1" t="str">
        <f t="shared" si="90"/>
        <v/>
      </c>
      <c r="B417" s="31"/>
      <c r="C417" s="8"/>
      <c r="D417" s="8"/>
      <c r="E417" s="8"/>
      <c r="F417" s="8"/>
      <c r="G417" s="8"/>
      <c r="H417" s="32"/>
      <c r="I417" s="32"/>
      <c r="J417" s="25" t="str">
        <f>IF(B417="","",IFERROR(VLOOKUP(C417,Soldes_Ouverture,2,FALSE()),0)+SUMIFS($S$4:S417,$C$4:C417,C417))</f>
        <v/>
      </c>
      <c r="K417" s="1" t="str">
        <f t="shared" si="91"/>
        <v/>
      </c>
      <c r="L417" s="1" t="str">
        <f t="shared" si="92"/>
        <v/>
      </c>
      <c r="M417" s="1" t="str">
        <f t="shared" si="93"/>
        <v/>
      </c>
      <c r="N417" s="8"/>
      <c r="O417" s="8"/>
      <c r="P417" s="1" t="str">
        <f t="shared" si="94"/>
        <v/>
      </c>
      <c r="Q417" s="25" t="str">
        <f t="shared" si="95"/>
        <v/>
      </c>
      <c r="R417" s="1" t="str">
        <f t="shared" si="96"/>
        <v/>
      </c>
      <c r="S417" s="33" t="str">
        <f t="shared" si="97"/>
        <v/>
      </c>
      <c r="T417" s="34" t="str">
        <f>IF(B417="","",C417&amp;"|"&amp;ROUND(S417,2)&amp;"|"&amp;COUNTIFS($C$4:C417,C417,$S$4:S417,S417))</f>
        <v/>
      </c>
      <c r="U417" s="34" t="str">
        <f t="shared" si="98"/>
        <v/>
      </c>
      <c r="V417" s="34" t="str">
        <f t="shared" si="99"/>
        <v/>
      </c>
      <c r="W417" s="34" t="str">
        <f t="shared" si="100"/>
        <v/>
      </c>
      <c r="X417" s="34">
        <f t="shared" si="101"/>
        <v>0</v>
      </c>
      <c r="Y417" s="34" t="str">
        <f t="shared" si="102"/>
        <v/>
      </c>
      <c r="Z417" s="34" t="str">
        <f>IF(X417=1,V417,IF(Y417="","",IF(COUNTIF(Y$3:Y416,Y417)=0,Y417,"")))</f>
        <v/>
      </c>
      <c r="AA417" s="34" t="b">
        <f t="shared" si="103"/>
        <v>0</v>
      </c>
      <c r="AB417" s="34">
        <f t="shared" si="104"/>
        <v>0</v>
      </c>
      <c r="AC417" s="34" t="str">
        <f>IF(AND(B417&lt;&gt;"",C417=CompteSel,N(B417)&lt;=DateArret,AB417=0),MAX($AC$3:AC416)+1,"")</f>
        <v/>
      </c>
      <c r="AD417" s="34" t="str">
        <f>IF(AND(ISNUMBER(M417),C417=CompteSel),MAX($AD$3:AD416)+1,"")</f>
        <v/>
      </c>
    </row>
    <row r="418" spans="1:30" x14ac:dyDescent="0.35">
      <c r="A418" s="1" t="str">
        <f t="shared" si="90"/>
        <v/>
      </c>
      <c r="B418" s="31"/>
      <c r="C418" s="8"/>
      <c r="D418" s="8"/>
      <c r="E418" s="8"/>
      <c r="F418" s="8"/>
      <c r="G418" s="8"/>
      <c r="H418" s="32"/>
      <c r="I418" s="32"/>
      <c r="J418" s="25" t="str">
        <f>IF(B418="","",IFERROR(VLOOKUP(C418,Soldes_Ouverture,2,FALSE()),0)+SUMIFS($S$4:S418,$C$4:C418,C418))</f>
        <v/>
      </c>
      <c r="K418" s="1" t="str">
        <f t="shared" si="91"/>
        <v/>
      </c>
      <c r="L418" s="1" t="str">
        <f t="shared" si="92"/>
        <v/>
      </c>
      <c r="M418" s="1" t="str">
        <f t="shared" si="93"/>
        <v/>
      </c>
      <c r="N418" s="8"/>
      <c r="O418" s="8"/>
      <c r="P418" s="1" t="str">
        <f t="shared" si="94"/>
        <v/>
      </c>
      <c r="Q418" s="25" t="str">
        <f t="shared" si="95"/>
        <v/>
      </c>
      <c r="R418" s="1" t="str">
        <f t="shared" si="96"/>
        <v/>
      </c>
      <c r="S418" s="33" t="str">
        <f t="shared" si="97"/>
        <v/>
      </c>
      <c r="T418" s="34" t="str">
        <f>IF(B418="","",C418&amp;"|"&amp;ROUND(S418,2)&amp;"|"&amp;COUNTIFS($C$4:C418,C418,$S$4:S418,S418))</f>
        <v/>
      </c>
      <c r="U418" s="34" t="str">
        <f t="shared" si="98"/>
        <v/>
      </c>
      <c r="V418" s="34" t="str">
        <f t="shared" si="99"/>
        <v/>
      </c>
      <c r="W418" s="34" t="str">
        <f t="shared" si="100"/>
        <v/>
      </c>
      <c r="X418" s="34">
        <f t="shared" si="101"/>
        <v>0</v>
      </c>
      <c r="Y418" s="34" t="str">
        <f t="shared" si="102"/>
        <v/>
      </c>
      <c r="Z418" s="34" t="str">
        <f>IF(X418=1,V418,IF(Y418="","",IF(COUNTIF(Y$3:Y417,Y418)=0,Y418,"")))</f>
        <v/>
      </c>
      <c r="AA418" s="34" t="b">
        <f t="shared" si="103"/>
        <v>0</v>
      </c>
      <c r="AB418" s="34">
        <f t="shared" si="104"/>
        <v>0</v>
      </c>
      <c r="AC418" s="34" t="str">
        <f>IF(AND(B418&lt;&gt;"",C418=CompteSel,N(B418)&lt;=DateArret,AB418=0),MAX($AC$3:AC417)+1,"")</f>
        <v/>
      </c>
      <c r="AD418" s="34" t="str">
        <f>IF(AND(ISNUMBER(M418),C418=CompteSel),MAX($AD$3:AD417)+1,"")</f>
        <v/>
      </c>
    </row>
    <row r="419" spans="1:30" x14ac:dyDescent="0.35">
      <c r="A419" s="1" t="str">
        <f t="shared" si="90"/>
        <v/>
      </c>
      <c r="B419" s="31"/>
      <c r="C419" s="8"/>
      <c r="D419" s="8"/>
      <c r="E419" s="8"/>
      <c r="F419" s="8"/>
      <c r="G419" s="8"/>
      <c r="H419" s="32"/>
      <c r="I419" s="32"/>
      <c r="J419" s="25" t="str">
        <f>IF(B419="","",IFERROR(VLOOKUP(C419,Soldes_Ouverture,2,FALSE()),0)+SUMIFS($S$4:S419,$C$4:C419,C419))</f>
        <v/>
      </c>
      <c r="K419" s="1" t="str">
        <f t="shared" si="91"/>
        <v/>
      </c>
      <c r="L419" s="1" t="str">
        <f t="shared" si="92"/>
        <v/>
      </c>
      <c r="M419" s="1" t="str">
        <f t="shared" si="93"/>
        <v/>
      </c>
      <c r="N419" s="8"/>
      <c r="O419" s="8"/>
      <c r="P419" s="1" t="str">
        <f t="shared" si="94"/>
        <v/>
      </c>
      <c r="Q419" s="25" t="str">
        <f t="shared" si="95"/>
        <v/>
      </c>
      <c r="R419" s="1" t="str">
        <f t="shared" si="96"/>
        <v/>
      </c>
      <c r="S419" s="33" t="str">
        <f t="shared" si="97"/>
        <v/>
      </c>
      <c r="T419" s="34" t="str">
        <f>IF(B419="","",C419&amp;"|"&amp;ROUND(S419,2)&amp;"|"&amp;COUNTIFS($C$4:C419,C419,$S$4:S419,S419))</f>
        <v/>
      </c>
      <c r="U419" s="34" t="str">
        <f t="shared" si="98"/>
        <v/>
      </c>
      <c r="V419" s="34" t="str">
        <f t="shared" si="99"/>
        <v/>
      </c>
      <c r="W419" s="34" t="str">
        <f t="shared" si="100"/>
        <v/>
      </c>
      <c r="X419" s="34">
        <f t="shared" si="101"/>
        <v>0</v>
      </c>
      <c r="Y419" s="34" t="str">
        <f t="shared" si="102"/>
        <v/>
      </c>
      <c r="Z419" s="34" t="str">
        <f>IF(X419=1,V419,IF(Y419="","",IF(COUNTIF(Y$3:Y418,Y419)=0,Y419,"")))</f>
        <v/>
      </c>
      <c r="AA419" s="34" t="b">
        <f t="shared" si="103"/>
        <v>0</v>
      </c>
      <c r="AB419" s="34">
        <f t="shared" si="104"/>
        <v>0</v>
      </c>
      <c r="AC419" s="34" t="str">
        <f>IF(AND(B419&lt;&gt;"",C419=CompteSel,N(B419)&lt;=DateArret,AB419=0),MAX($AC$3:AC418)+1,"")</f>
        <v/>
      </c>
      <c r="AD419" s="34" t="str">
        <f>IF(AND(ISNUMBER(M419),C419=CompteSel),MAX($AD$3:AD418)+1,"")</f>
        <v/>
      </c>
    </row>
    <row r="420" spans="1:30" x14ac:dyDescent="0.35">
      <c r="A420" s="1" t="str">
        <f t="shared" si="90"/>
        <v/>
      </c>
      <c r="B420" s="31"/>
      <c r="C420" s="8"/>
      <c r="D420" s="8"/>
      <c r="E420" s="8"/>
      <c r="F420" s="8"/>
      <c r="G420" s="8"/>
      <c r="H420" s="32"/>
      <c r="I420" s="32"/>
      <c r="J420" s="25" t="str">
        <f>IF(B420="","",IFERROR(VLOOKUP(C420,Soldes_Ouverture,2,FALSE()),0)+SUMIFS($S$4:S420,$C$4:C420,C420))</f>
        <v/>
      </c>
      <c r="K420" s="1" t="str">
        <f t="shared" si="91"/>
        <v/>
      </c>
      <c r="L420" s="1" t="str">
        <f t="shared" si="92"/>
        <v/>
      </c>
      <c r="M420" s="1" t="str">
        <f t="shared" si="93"/>
        <v/>
      </c>
      <c r="N420" s="8"/>
      <c r="O420" s="8"/>
      <c r="P420" s="1" t="str">
        <f t="shared" si="94"/>
        <v/>
      </c>
      <c r="Q420" s="25" t="str">
        <f t="shared" si="95"/>
        <v/>
      </c>
      <c r="R420" s="1" t="str">
        <f t="shared" si="96"/>
        <v/>
      </c>
      <c r="S420" s="33" t="str">
        <f t="shared" si="97"/>
        <v/>
      </c>
      <c r="T420" s="34" t="str">
        <f>IF(B420="","",C420&amp;"|"&amp;ROUND(S420,2)&amp;"|"&amp;COUNTIFS($C$4:C420,C420,$S$4:S420,S420))</f>
        <v/>
      </c>
      <c r="U420" s="34" t="str">
        <f t="shared" si="98"/>
        <v/>
      </c>
      <c r="V420" s="34" t="str">
        <f t="shared" si="99"/>
        <v/>
      </c>
      <c r="W420" s="34" t="str">
        <f t="shared" si="100"/>
        <v/>
      </c>
      <c r="X420" s="34">
        <f t="shared" si="101"/>
        <v>0</v>
      </c>
      <c r="Y420" s="34" t="str">
        <f t="shared" si="102"/>
        <v/>
      </c>
      <c r="Z420" s="34" t="str">
        <f>IF(X420=1,V420,IF(Y420="","",IF(COUNTIF(Y$3:Y419,Y420)=0,Y420,"")))</f>
        <v/>
      </c>
      <c r="AA420" s="34" t="b">
        <f t="shared" si="103"/>
        <v>0</v>
      </c>
      <c r="AB420" s="34">
        <f t="shared" si="104"/>
        <v>0</v>
      </c>
      <c r="AC420" s="34" t="str">
        <f>IF(AND(B420&lt;&gt;"",C420=CompteSel,N(B420)&lt;=DateArret,AB420=0),MAX($AC$3:AC419)+1,"")</f>
        <v/>
      </c>
      <c r="AD420" s="34" t="str">
        <f>IF(AND(ISNUMBER(M420),C420=CompteSel),MAX($AD$3:AD419)+1,"")</f>
        <v/>
      </c>
    </row>
    <row r="421" spans="1:30" x14ac:dyDescent="0.35">
      <c r="A421" s="1" t="str">
        <f t="shared" si="90"/>
        <v/>
      </c>
      <c r="B421" s="31"/>
      <c r="C421" s="8"/>
      <c r="D421" s="8"/>
      <c r="E421" s="8"/>
      <c r="F421" s="8"/>
      <c r="G421" s="8"/>
      <c r="H421" s="32"/>
      <c r="I421" s="32"/>
      <c r="J421" s="25" t="str">
        <f>IF(B421="","",IFERROR(VLOOKUP(C421,Soldes_Ouverture,2,FALSE()),0)+SUMIFS($S$4:S421,$C$4:C421,C421))</f>
        <v/>
      </c>
      <c r="K421" s="1" t="str">
        <f t="shared" si="91"/>
        <v/>
      </c>
      <c r="L421" s="1" t="str">
        <f t="shared" si="92"/>
        <v/>
      </c>
      <c r="M421" s="1" t="str">
        <f t="shared" si="93"/>
        <v/>
      </c>
      <c r="N421" s="8"/>
      <c r="O421" s="8"/>
      <c r="P421" s="1" t="str">
        <f t="shared" si="94"/>
        <v/>
      </c>
      <c r="Q421" s="25" t="str">
        <f t="shared" si="95"/>
        <v/>
      </c>
      <c r="R421" s="1" t="str">
        <f t="shared" si="96"/>
        <v/>
      </c>
      <c r="S421" s="33" t="str">
        <f t="shared" si="97"/>
        <v/>
      </c>
      <c r="T421" s="34" t="str">
        <f>IF(B421="","",C421&amp;"|"&amp;ROUND(S421,2)&amp;"|"&amp;COUNTIFS($C$4:C421,C421,$S$4:S421,S421))</f>
        <v/>
      </c>
      <c r="U421" s="34" t="str">
        <f t="shared" si="98"/>
        <v/>
      </c>
      <c r="V421" s="34" t="str">
        <f t="shared" si="99"/>
        <v/>
      </c>
      <c r="W421" s="34" t="str">
        <f t="shared" si="100"/>
        <v/>
      </c>
      <c r="X421" s="34">
        <f t="shared" si="101"/>
        <v>0</v>
      </c>
      <c r="Y421" s="34" t="str">
        <f t="shared" si="102"/>
        <v/>
      </c>
      <c r="Z421" s="34" t="str">
        <f>IF(X421=1,V421,IF(Y421="","",IF(COUNTIF(Y$3:Y420,Y421)=0,Y421,"")))</f>
        <v/>
      </c>
      <c r="AA421" s="34" t="b">
        <f t="shared" si="103"/>
        <v>0</v>
      </c>
      <c r="AB421" s="34">
        <f t="shared" si="104"/>
        <v>0</v>
      </c>
      <c r="AC421" s="34" t="str">
        <f>IF(AND(B421&lt;&gt;"",C421=CompteSel,N(B421)&lt;=DateArret,AB421=0),MAX($AC$3:AC420)+1,"")</f>
        <v/>
      </c>
      <c r="AD421" s="34" t="str">
        <f>IF(AND(ISNUMBER(M421),C421=CompteSel),MAX($AD$3:AD420)+1,"")</f>
        <v/>
      </c>
    </row>
    <row r="422" spans="1:30" x14ac:dyDescent="0.35">
      <c r="A422" s="1" t="str">
        <f t="shared" si="90"/>
        <v/>
      </c>
      <c r="B422" s="31"/>
      <c r="C422" s="8"/>
      <c r="D422" s="8"/>
      <c r="E422" s="8"/>
      <c r="F422" s="8"/>
      <c r="G422" s="8"/>
      <c r="H422" s="32"/>
      <c r="I422" s="32"/>
      <c r="J422" s="25" t="str">
        <f>IF(B422="","",IFERROR(VLOOKUP(C422,Soldes_Ouverture,2,FALSE()),0)+SUMIFS($S$4:S422,$C$4:C422,C422))</f>
        <v/>
      </c>
      <c r="K422" s="1" t="str">
        <f t="shared" si="91"/>
        <v/>
      </c>
      <c r="L422" s="1" t="str">
        <f t="shared" si="92"/>
        <v/>
      </c>
      <c r="M422" s="1" t="str">
        <f t="shared" si="93"/>
        <v/>
      </c>
      <c r="N422" s="8"/>
      <c r="O422" s="8"/>
      <c r="P422" s="1" t="str">
        <f t="shared" si="94"/>
        <v/>
      </c>
      <c r="Q422" s="25" t="str">
        <f t="shared" si="95"/>
        <v/>
      </c>
      <c r="R422" s="1" t="str">
        <f t="shared" si="96"/>
        <v/>
      </c>
      <c r="S422" s="33" t="str">
        <f t="shared" si="97"/>
        <v/>
      </c>
      <c r="T422" s="34" t="str">
        <f>IF(B422="","",C422&amp;"|"&amp;ROUND(S422,2)&amp;"|"&amp;COUNTIFS($C$4:C422,C422,$S$4:S422,S422))</f>
        <v/>
      </c>
      <c r="U422" s="34" t="str">
        <f t="shared" si="98"/>
        <v/>
      </c>
      <c r="V422" s="34" t="str">
        <f t="shared" si="99"/>
        <v/>
      </c>
      <c r="W422" s="34" t="str">
        <f t="shared" si="100"/>
        <v/>
      </c>
      <c r="X422" s="34">
        <f t="shared" si="101"/>
        <v>0</v>
      </c>
      <c r="Y422" s="34" t="str">
        <f t="shared" si="102"/>
        <v/>
      </c>
      <c r="Z422" s="34" t="str">
        <f>IF(X422=1,V422,IF(Y422="","",IF(COUNTIF(Y$3:Y421,Y422)=0,Y422,"")))</f>
        <v/>
      </c>
      <c r="AA422" s="34" t="b">
        <f t="shared" si="103"/>
        <v>0</v>
      </c>
      <c r="AB422" s="34">
        <f t="shared" si="104"/>
        <v>0</v>
      </c>
      <c r="AC422" s="34" t="str">
        <f>IF(AND(B422&lt;&gt;"",C422=CompteSel,N(B422)&lt;=DateArret,AB422=0),MAX($AC$3:AC421)+1,"")</f>
        <v/>
      </c>
      <c r="AD422" s="34" t="str">
        <f>IF(AND(ISNUMBER(M422),C422=CompteSel),MAX($AD$3:AD421)+1,"")</f>
        <v/>
      </c>
    </row>
    <row r="423" spans="1:30" x14ac:dyDescent="0.35">
      <c r="A423" s="1" t="str">
        <f t="shared" si="90"/>
        <v/>
      </c>
      <c r="B423" s="31"/>
      <c r="C423" s="8"/>
      <c r="D423" s="8"/>
      <c r="E423" s="8"/>
      <c r="F423" s="8"/>
      <c r="G423" s="8"/>
      <c r="H423" s="32"/>
      <c r="I423" s="32"/>
      <c r="J423" s="25" t="str">
        <f>IF(B423="","",IFERROR(VLOOKUP(C423,Soldes_Ouverture,2,FALSE()),0)+SUMIFS($S$4:S423,$C$4:C423,C423))</f>
        <v/>
      </c>
      <c r="K423" s="1" t="str">
        <f t="shared" si="91"/>
        <v/>
      </c>
      <c r="L423" s="1" t="str">
        <f t="shared" si="92"/>
        <v/>
      </c>
      <c r="M423" s="1" t="str">
        <f t="shared" si="93"/>
        <v/>
      </c>
      <c r="N423" s="8"/>
      <c r="O423" s="8"/>
      <c r="P423" s="1" t="str">
        <f t="shared" si="94"/>
        <v/>
      </c>
      <c r="Q423" s="25" t="str">
        <f t="shared" si="95"/>
        <v/>
      </c>
      <c r="R423" s="1" t="str">
        <f t="shared" si="96"/>
        <v/>
      </c>
      <c r="S423" s="33" t="str">
        <f t="shared" si="97"/>
        <v/>
      </c>
      <c r="T423" s="34" t="str">
        <f>IF(B423="","",C423&amp;"|"&amp;ROUND(S423,2)&amp;"|"&amp;COUNTIFS($C$4:C423,C423,$S$4:S423,S423))</f>
        <v/>
      </c>
      <c r="U423" s="34" t="str">
        <f t="shared" si="98"/>
        <v/>
      </c>
      <c r="V423" s="34" t="str">
        <f t="shared" si="99"/>
        <v/>
      </c>
      <c r="W423" s="34" t="str">
        <f t="shared" si="100"/>
        <v/>
      </c>
      <c r="X423" s="34">
        <f t="shared" si="101"/>
        <v>0</v>
      </c>
      <c r="Y423" s="34" t="str">
        <f t="shared" si="102"/>
        <v/>
      </c>
      <c r="Z423" s="34" t="str">
        <f>IF(X423=1,V423,IF(Y423="","",IF(COUNTIF(Y$3:Y422,Y423)=0,Y423,"")))</f>
        <v/>
      </c>
      <c r="AA423" s="34" t="b">
        <f t="shared" si="103"/>
        <v>0</v>
      </c>
      <c r="AB423" s="34">
        <f t="shared" si="104"/>
        <v>0</v>
      </c>
      <c r="AC423" s="34" t="str">
        <f>IF(AND(B423&lt;&gt;"",C423=CompteSel,N(B423)&lt;=DateArret,AB423=0),MAX($AC$3:AC422)+1,"")</f>
        <v/>
      </c>
      <c r="AD423" s="34" t="str">
        <f>IF(AND(ISNUMBER(M423),C423=CompteSel),MAX($AD$3:AD422)+1,"")</f>
        <v/>
      </c>
    </row>
    <row r="424" spans="1:30" x14ac:dyDescent="0.35">
      <c r="A424" s="1" t="str">
        <f t="shared" si="90"/>
        <v/>
      </c>
      <c r="B424" s="31"/>
      <c r="C424" s="8"/>
      <c r="D424" s="8"/>
      <c r="E424" s="8"/>
      <c r="F424" s="8"/>
      <c r="G424" s="8"/>
      <c r="H424" s="32"/>
      <c r="I424" s="32"/>
      <c r="J424" s="25" t="str">
        <f>IF(B424="","",IFERROR(VLOOKUP(C424,Soldes_Ouverture,2,FALSE()),0)+SUMIFS($S$4:S424,$C$4:C424,C424))</f>
        <v/>
      </c>
      <c r="K424" s="1" t="str">
        <f t="shared" si="91"/>
        <v/>
      </c>
      <c r="L424" s="1" t="str">
        <f t="shared" si="92"/>
        <v/>
      </c>
      <c r="M424" s="1" t="str">
        <f t="shared" si="93"/>
        <v/>
      </c>
      <c r="N424" s="8"/>
      <c r="O424" s="8"/>
      <c r="P424" s="1" t="str">
        <f t="shared" si="94"/>
        <v/>
      </c>
      <c r="Q424" s="25" t="str">
        <f t="shared" si="95"/>
        <v/>
      </c>
      <c r="R424" s="1" t="str">
        <f t="shared" si="96"/>
        <v/>
      </c>
      <c r="S424" s="33" t="str">
        <f t="shared" si="97"/>
        <v/>
      </c>
      <c r="T424" s="34" t="str">
        <f>IF(B424="","",C424&amp;"|"&amp;ROUND(S424,2)&amp;"|"&amp;COUNTIFS($C$4:C424,C424,$S$4:S424,S424))</f>
        <v/>
      </c>
      <c r="U424" s="34" t="str">
        <f t="shared" si="98"/>
        <v/>
      </c>
      <c r="V424" s="34" t="str">
        <f t="shared" si="99"/>
        <v/>
      </c>
      <c r="W424" s="34" t="str">
        <f t="shared" si="100"/>
        <v/>
      </c>
      <c r="X424" s="34">
        <f t="shared" si="101"/>
        <v>0</v>
      </c>
      <c r="Y424" s="34" t="str">
        <f t="shared" si="102"/>
        <v/>
      </c>
      <c r="Z424" s="34" t="str">
        <f>IF(X424=1,V424,IF(Y424="","",IF(COUNTIF(Y$3:Y423,Y424)=0,Y424,"")))</f>
        <v/>
      </c>
      <c r="AA424" s="34" t="b">
        <f t="shared" si="103"/>
        <v>0</v>
      </c>
      <c r="AB424" s="34">
        <f t="shared" si="104"/>
        <v>0</v>
      </c>
      <c r="AC424" s="34" t="str">
        <f>IF(AND(B424&lt;&gt;"",C424=CompteSel,N(B424)&lt;=DateArret,AB424=0),MAX($AC$3:AC423)+1,"")</f>
        <v/>
      </c>
      <c r="AD424" s="34" t="str">
        <f>IF(AND(ISNUMBER(M424),C424=CompteSel),MAX($AD$3:AD423)+1,"")</f>
        <v/>
      </c>
    </row>
    <row r="425" spans="1:30" x14ac:dyDescent="0.35">
      <c r="A425" s="1" t="str">
        <f t="shared" si="90"/>
        <v/>
      </c>
      <c r="B425" s="31"/>
      <c r="C425" s="8"/>
      <c r="D425" s="8"/>
      <c r="E425" s="8"/>
      <c r="F425" s="8"/>
      <c r="G425" s="8"/>
      <c r="H425" s="32"/>
      <c r="I425" s="32"/>
      <c r="J425" s="25" t="str">
        <f>IF(B425="","",IFERROR(VLOOKUP(C425,Soldes_Ouverture,2,FALSE()),0)+SUMIFS($S$4:S425,$C$4:C425,C425))</f>
        <v/>
      </c>
      <c r="K425" s="1" t="str">
        <f t="shared" si="91"/>
        <v/>
      </c>
      <c r="L425" s="1" t="str">
        <f t="shared" si="92"/>
        <v/>
      </c>
      <c r="M425" s="1" t="str">
        <f t="shared" si="93"/>
        <v/>
      </c>
      <c r="N425" s="8"/>
      <c r="O425" s="8"/>
      <c r="P425" s="1" t="str">
        <f t="shared" si="94"/>
        <v/>
      </c>
      <c r="Q425" s="25" t="str">
        <f t="shared" si="95"/>
        <v/>
      </c>
      <c r="R425" s="1" t="str">
        <f t="shared" si="96"/>
        <v/>
      </c>
      <c r="S425" s="33" t="str">
        <f t="shared" si="97"/>
        <v/>
      </c>
      <c r="T425" s="34" t="str">
        <f>IF(B425="","",C425&amp;"|"&amp;ROUND(S425,2)&amp;"|"&amp;COUNTIFS($C$4:C425,C425,$S$4:S425,S425))</f>
        <v/>
      </c>
      <c r="U425" s="34" t="str">
        <f t="shared" si="98"/>
        <v/>
      </c>
      <c r="V425" s="34" t="str">
        <f t="shared" si="99"/>
        <v/>
      </c>
      <c r="W425" s="34" t="str">
        <f t="shared" si="100"/>
        <v/>
      </c>
      <c r="X425" s="34">
        <f t="shared" si="101"/>
        <v>0</v>
      </c>
      <c r="Y425" s="34" t="str">
        <f t="shared" si="102"/>
        <v/>
      </c>
      <c r="Z425" s="34" t="str">
        <f>IF(X425=1,V425,IF(Y425="","",IF(COUNTIF(Y$3:Y424,Y425)=0,Y425,"")))</f>
        <v/>
      </c>
      <c r="AA425" s="34" t="b">
        <f t="shared" si="103"/>
        <v>0</v>
      </c>
      <c r="AB425" s="34">
        <f t="shared" si="104"/>
        <v>0</v>
      </c>
      <c r="AC425" s="34" t="str">
        <f>IF(AND(B425&lt;&gt;"",C425=CompteSel,N(B425)&lt;=DateArret,AB425=0),MAX($AC$3:AC424)+1,"")</f>
        <v/>
      </c>
      <c r="AD425" s="34" t="str">
        <f>IF(AND(ISNUMBER(M425),C425=CompteSel),MAX($AD$3:AD424)+1,"")</f>
        <v/>
      </c>
    </row>
    <row r="426" spans="1:30" x14ac:dyDescent="0.35">
      <c r="A426" s="1" t="str">
        <f t="shared" si="90"/>
        <v/>
      </c>
      <c r="B426" s="31"/>
      <c r="C426" s="8"/>
      <c r="D426" s="8"/>
      <c r="E426" s="8"/>
      <c r="F426" s="8"/>
      <c r="G426" s="8"/>
      <c r="H426" s="32"/>
      <c r="I426" s="32"/>
      <c r="J426" s="25" t="str">
        <f>IF(B426="","",IFERROR(VLOOKUP(C426,Soldes_Ouverture,2,FALSE()),0)+SUMIFS($S$4:S426,$C$4:C426,C426))</f>
        <v/>
      </c>
      <c r="K426" s="1" t="str">
        <f t="shared" si="91"/>
        <v/>
      </c>
      <c r="L426" s="1" t="str">
        <f t="shared" si="92"/>
        <v/>
      </c>
      <c r="M426" s="1" t="str">
        <f t="shared" si="93"/>
        <v/>
      </c>
      <c r="N426" s="8"/>
      <c r="O426" s="8"/>
      <c r="P426" s="1" t="str">
        <f t="shared" si="94"/>
        <v/>
      </c>
      <c r="Q426" s="25" t="str">
        <f t="shared" si="95"/>
        <v/>
      </c>
      <c r="R426" s="1" t="str">
        <f t="shared" si="96"/>
        <v/>
      </c>
      <c r="S426" s="33" t="str">
        <f t="shared" si="97"/>
        <v/>
      </c>
      <c r="T426" s="34" t="str">
        <f>IF(B426="","",C426&amp;"|"&amp;ROUND(S426,2)&amp;"|"&amp;COUNTIFS($C$4:C426,C426,$S$4:S426,S426))</f>
        <v/>
      </c>
      <c r="U426" s="34" t="str">
        <f t="shared" si="98"/>
        <v/>
      </c>
      <c r="V426" s="34" t="str">
        <f t="shared" si="99"/>
        <v/>
      </c>
      <c r="W426" s="34" t="str">
        <f t="shared" si="100"/>
        <v/>
      </c>
      <c r="X426" s="34">
        <f t="shared" si="101"/>
        <v>0</v>
      </c>
      <c r="Y426" s="34" t="str">
        <f t="shared" si="102"/>
        <v/>
      </c>
      <c r="Z426" s="34" t="str">
        <f>IF(X426=1,V426,IF(Y426="","",IF(COUNTIF(Y$3:Y425,Y426)=0,Y426,"")))</f>
        <v/>
      </c>
      <c r="AA426" s="34" t="b">
        <f t="shared" si="103"/>
        <v>0</v>
      </c>
      <c r="AB426" s="34">
        <f t="shared" si="104"/>
        <v>0</v>
      </c>
      <c r="AC426" s="34" t="str">
        <f>IF(AND(B426&lt;&gt;"",C426=CompteSel,N(B426)&lt;=DateArret,AB426=0),MAX($AC$3:AC425)+1,"")</f>
        <v/>
      </c>
      <c r="AD426" s="34" t="str">
        <f>IF(AND(ISNUMBER(M426),C426=CompteSel),MAX($AD$3:AD425)+1,"")</f>
        <v/>
      </c>
    </row>
    <row r="427" spans="1:30" x14ac:dyDescent="0.35">
      <c r="A427" s="1" t="str">
        <f t="shared" si="90"/>
        <v/>
      </c>
      <c r="B427" s="31"/>
      <c r="C427" s="8"/>
      <c r="D427" s="8"/>
      <c r="E427" s="8"/>
      <c r="F427" s="8"/>
      <c r="G427" s="8"/>
      <c r="H427" s="32"/>
      <c r="I427" s="32"/>
      <c r="J427" s="25" t="str">
        <f>IF(B427="","",IFERROR(VLOOKUP(C427,Soldes_Ouverture,2,FALSE()),0)+SUMIFS($S$4:S427,$C$4:C427,C427))</f>
        <v/>
      </c>
      <c r="K427" s="1" t="str">
        <f t="shared" si="91"/>
        <v/>
      </c>
      <c r="L427" s="1" t="str">
        <f t="shared" si="92"/>
        <v/>
      </c>
      <c r="M427" s="1" t="str">
        <f t="shared" si="93"/>
        <v/>
      </c>
      <c r="N427" s="8"/>
      <c r="O427" s="8"/>
      <c r="P427" s="1" t="str">
        <f t="shared" si="94"/>
        <v/>
      </c>
      <c r="Q427" s="25" t="str">
        <f t="shared" si="95"/>
        <v/>
      </c>
      <c r="R427" s="1" t="str">
        <f t="shared" si="96"/>
        <v/>
      </c>
      <c r="S427" s="33" t="str">
        <f t="shared" si="97"/>
        <v/>
      </c>
      <c r="T427" s="34" t="str">
        <f>IF(B427="","",C427&amp;"|"&amp;ROUND(S427,2)&amp;"|"&amp;COUNTIFS($C$4:C427,C427,$S$4:S427,S427))</f>
        <v/>
      </c>
      <c r="U427" s="34" t="str">
        <f t="shared" si="98"/>
        <v/>
      </c>
      <c r="V427" s="34" t="str">
        <f t="shared" si="99"/>
        <v/>
      </c>
      <c r="W427" s="34" t="str">
        <f t="shared" si="100"/>
        <v/>
      </c>
      <c r="X427" s="34">
        <f t="shared" si="101"/>
        <v>0</v>
      </c>
      <c r="Y427" s="34" t="str">
        <f t="shared" si="102"/>
        <v/>
      </c>
      <c r="Z427" s="34" t="str">
        <f>IF(X427=1,V427,IF(Y427="","",IF(COUNTIF(Y$3:Y426,Y427)=0,Y427,"")))</f>
        <v/>
      </c>
      <c r="AA427" s="34" t="b">
        <f t="shared" si="103"/>
        <v>0</v>
      </c>
      <c r="AB427" s="34">
        <f t="shared" si="104"/>
        <v>0</v>
      </c>
      <c r="AC427" s="34" t="str">
        <f>IF(AND(B427&lt;&gt;"",C427=CompteSel,N(B427)&lt;=DateArret,AB427=0),MAX($AC$3:AC426)+1,"")</f>
        <v/>
      </c>
      <c r="AD427" s="34" t="str">
        <f>IF(AND(ISNUMBER(M427),C427=CompteSel),MAX($AD$3:AD426)+1,"")</f>
        <v/>
      </c>
    </row>
    <row r="428" spans="1:30" x14ac:dyDescent="0.35">
      <c r="A428" s="1" t="str">
        <f t="shared" si="90"/>
        <v/>
      </c>
      <c r="B428" s="31"/>
      <c r="C428" s="8"/>
      <c r="D428" s="8"/>
      <c r="E428" s="8"/>
      <c r="F428" s="8"/>
      <c r="G428" s="8"/>
      <c r="H428" s="32"/>
      <c r="I428" s="32"/>
      <c r="J428" s="25" t="str">
        <f>IF(B428="","",IFERROR(VLOOKUP(C428,Soldes_Ouverture,2,FALSE()),0)+SUMIFS($S$4:S428,$C$4:C428,C428))</f>
        <v/>
      </c>
      <c r="K428" s="1" t="str">
        <f t="shared" si="91"/>
        <v/>
      </c>
      <c r="L428" s="1" t="str">
        <f t="shared" si="92"/>
        <v/>
      </c>
      <c r="M428" s="1" t="str">
        <f t="shared" si="93"/>
        <v/>
      </c>
      <c r="N428" s="8"/>
      <c r="O428" s="8"/>
      <c r="P428" s="1" t="str">
        <f t="shared" si="94"/>
        <v/>
      </c>
      <c r="Q428" s="25" t="str">
        <f t="shared" si="95"/>
        <v/>
      </c>
      <c r="R428" s="1" t="str">
        <f t="shared" si="96"/>
        <v/>
      </c>
      <c r="S428" s="33" t="str">
        <f t="shared" si="97"/>
        <v/>
      </c>
      <c r="T428" s="34" t="str">
        <f>IF(B428="","",C428&amp;"|"&amp;ROUND(S428,2)&amp;"|"&amp;COUNTIFS($C$4:C428,C428,$S$4:S428,S428))</f>
        <v/>
      </c>
      <c r="U428" s="34" t="str">
        <f t="shared" si="98"/>
        <v/>
      </c>
      <c r="V428" s="34" t="str">
        <f t="shared" si="99"/>
        <v/>
      </c>
      <c r="W428" s="34" t="str">
        <f t="shared" si="100"/>
        <v/>
      </c>
      <c r="X428" s="34">
        <f t="shared" si="101"/>
        <v>0</v>
      </c>
      <c r="Y428" s="34" t="str">
        <f t="shared" si="102"/>
        <v/>
      </c>
      <c r="Z428" s="34" t="str">
        <f>IF(X428=1,V428,IF(Y428="","",IF(COUNTIF(Y$3:Y427,Y428)=0,Y428,"")))</f>
        <v/>
      </c>
      <c r="AA428" s="34" t="b">
        <f t="shared" si="103"/>
        <v>0</v>
      </c>
      <c r="AB428" s="34">
        <f t="shared" si="104"/>
        <v>0</v>
      </c>
      <c r="AC428" s="34" t="str">
        <f>IF(AND(B428&lt;&gt;"",C428=CompteSel,N(B428)&lt;=DateArret,AB428=0),MAX($AC$3:AC427)+1,"")</f>
        <v/>
      </c>
      <c r="AD428" s="34" t="str">
        <f>IF(AND(ISNUMBER(M428),C428=CompteSel),MAX($AD$3:AD427)+1,"")</f>
        <v/>
      </c>
    </row>
    <row r="429" spans="1:30" x14ac:dyDescent="0.35">
      <c r="A429" s="1" t="str">
        <f t="shared" si="90"/>
        <v/>
      </c>
      <c r="B429" s="31"/>
      <c r="C429" s="8"/>
      <c r="D429" s="8"/>
      <c r="E429" s="8"/>
      <c r="F429" s="8"/>
      <c r="G429" s="8"/>
      <c r="H429" s="32"/>
      <c r="I429" s="32"/>
      <c r="J429" s="25" t="str">
        <f>IF(B429="","",IFERROR(VLOOKUP(C429,Soldes_Ouverture,2,FALSE()),0)+SUMIFS($S$4:S429,$C$4:C429,C429))</f>
        <v/>
      </c>
      <c r="K429" s="1" t="str">
        <f t="shared" si="91"/>
        <v/>
      </c>
      <c r="L429" s="1" t="str">
        <f t="shared" si="92"/>
        <v/>
      </c>
      <c r="M429" s="1" t="str">
        <f t="shared" si="93"/>
        <v/>
      </c>
      <c r="N429" s="8"/>
      <c r="O429" s="8"/>
      <c r="P429" s="1" t="str">
        <f t="shared" si="94"/>
        <v/>
      </c>
      <c r="Q429" s="25" t="str">
        <f t="shared" si="95"/>
        <v/>
      </c>
      <c r="R429" s="1" t="str">
        <f t="shared" si="96"/>
        <v/>
      </c>
      <c r="S429" s="33" t="str">
        <f t="shared" si="97"/>
        <v/>
      </c>
      <c r="T429" s="34" t="str">
        <f>IF(B429="","",C429&amp;"|"&amp;ROUND(S429,2)&amp;"|"&amp;COUNTIFS($C$4:C429,C429,$S$4:S429,S429))</f>
        <v/>
      </c>
      <c r="U429" s="34" t="str">
        <f t="shared" si="98"/>
        <v/>
      </c>
      <c r="V429" s="34" t="str">
        <f t="shared" si="99"/>
        <v/>
      </c>
      <c r="W429" s="34" t="str">
        <f t="shared" si="100"/>
        <v/>
      </c>
      <c r="X429" s="34">
        <f t="shared" si="101"/>
        <v>0</v>
      </c>
      <c r="Y429" s="34" t="str">
        <f t="shared" si="102"/>
        <v/>
      </c>
      <c r="Z429" s="34" t="str">
        <f>IF(X429=1,V429,IF(Y429="","",IF(COUNTIF(Y$3:Y428,Y429)=0,Y429,"")))</f>
        <v/>
      </c>
      <c r="AA429" s="34" t="b">
        <f t="shared" si="103"/>
        <v>0</v>
      </c>
      <c r="AB429" s="34">
        <f t="shared" si="104"/>
        <v>0</v>
      </c>
      <c r="AC429" s="34" t="str">
        <f>IF(AND(B429&lt;&gt;"",C429=CompteSel,N(B429)&lt;=DateArret,AB429=0),MAX($AC$3:AC428)+1,"")</f>
        <v/>
      </c>
      <c r="AD429" s="34" t="str">
        <f>IF(AND(ISNUMBER(M429),C429=CompteSel),MAX($AD$3:AD428)+1,"")</f>
        <v/>
      </c>
    </row>
    <row r="430" spans="1:30" x14ac:dyDescent="0.35">
      <c r="A430" s="1" t="str">
        <f t="shared" si="90"/>
        <v/>
      </c>
      <c r="B430" s="31"/>
      <c r="C430" s="8"/>
      <c r="D430" s="8"/>
      <c r="E430" s="8"/>
      <c r="F430" s="8"/>
      <c r="G430" s="8"/>
      <c r="H430" s="32"/>
      <c r="I430" s="32"/>
      <c r="J430" s="25" t="str">
        <f>IF(B430="","",IFERROR(VLOOKUP(C430,Soldes_Ouverture,2,FALSE()),0)+SUMIFS($S$4:S430,$C$4:C430,C430))</f>
        <v/>
      </c>
      <c r="K430" s="1" t="str">
        <f t="shared" si="91"/>
        <v/>
      </c>
      <c r="L430" s="1" t="str">
        <f t="shared" si="92"/>
        <v/>
      </c>
      <c r="M430" s="1" t="str">
        <f t="shared" si="93"/>
        <v/>
      </c>
      <c r="N430" s="8"/>
      <c r="O430" s="8"/>
      <c r="P430" s="1" t="str">
        <f t="shared" si="94"/>
        <v/>
      </c>
      <c r="Q430" s="25" t="str">
        <f t="shared" si="95"/>
        <v/>
      </c>
      <c r="R430" s="1" t="str">
        <f t="shared" si="96"/>
        <v/>
      </c>
      <c r="S430" s="33" t="str">
        <f t="shared" si="97"/>
        <v/>
      </c>
      <c r="T430" s="34" t="str">
        <f>IF(B430="","",C430&amp;"|"&amp;ROUND(S430,2)&amp;"|"&amp;COUNTIFS($C$4:C430,C430,$S$4:S430,S430))</f>
        <v/>
      </c>
      <c r="U430" s="34" t="str">
        <f t="shared" si="98"/>
        <v/>
      </c>
      <c r="V430" s="34" t="str">
        <f t="shared" si="99"/>
        <v/>
      </c>
      <c r="W430" s="34" t="str">
        <f t="shared" si="100"/>
        <v/>
      </c>
      <c r="X430" s="34">
        <f t="shared" si="101"/>
        <v>0</v>
      </c>
      <c r="Y430" s="34" t="str">
        <f t="shared" si="102"/>
        <v/>
      </c>
      <c r="Z430" s="34" t="str">
        <f>IF(X430=1,V430,IF(Y430="","",IF(COUNTIF(Y$3:Y429,Y430)=0,Y430,"")))</f>
        <v/>
      </c>
      <c r="AA430" s="34" t="b">
        <f t="shared" si="103"/>
        <v>0</v>
      </c>
      <c r="AB430" s="34">
        <f t="shared" si="104"/>
        <v>0</v>
      </c>
      <c r="AC430" s="34" t="str">
        <f>IF(AND(B430&lt;&gt;"",C430=CompteSel,N(B430)&lt;=DateArret,AB430=0),MAX($AC$3:AC429)+1,"")</f>
        <v/>
      </c>
      <c r="AD430" s="34" t="str">
        <f>IF(AND(ISNUMBER(M430),C430=CompteSel),MAX($AD$3:AD429)+1,"")</f>
        <v/>
      </c>
    </row>
    <row r="431" spans="1:30" x14ac:dyDescent="0.35">
      <c r="A431" s="1" t="str">
        <f t="shared" si="90"/>
        <v/>
      </c>
      <c r="B431" s="31"/>
      <c r="C431" s="8"/>
      <c r="D431" s="8"/>
      <c r="E431" s="8"/>
      <c r="F431" s="8"/>
      <c r="G431" s="8"/>
      <c r="H431" s="32"/>
      <c r="I431" s="32"/>
      <c r="J431" s="25" t="str">
        <f>IF(B431="","",IFERROR(VLOOKUP(C431,Soldes_Ouverture,2,FALSE()),0)+SUMIFS($S$4:S431,$C$4:C431,C431))</f>
        <v/>
      </c>
      <c r="K431" s="1" t="str">
        <f t="shared" si="91"/>
        <v/>
      </c>
      <c r="L431" s="1" t="str">
        <f t="shared" si="92"/>
        <v/>
      </c>
      <c r="M431" s="1" t="str">
        <f t="shared" si="93"/>
        <v/>
      </c>
      <c r="N431" s="8"/>
      <c r="O431" s="8"/>
      <c r="P431" s="1" t="str">
        <f t="shared" si="94"/>
        <v/>
      </c>
      <c r="Q431" s="25" t="str">
        <f t="shared" si="95"/>
        <v/>
      </c>
      <c r="R431" s="1" t="str">
        <f t="shared" si="96"/>
        <v/>
      </c>
      <c r="S431" s="33" t="str">
        <f t="shared" si="97"/>
        <v/>
      </c>
      <c r="T431" s="34" t="str">
        <f>IF(B431="","",C431&amp;"|"&amp;ROUND(S431,2)&amp;"|"&amp;COUNTIFS($C$4:C431,C431,$S$4:S431,S431))</f>
        <v/>
      </c>
      <c r="U431" s="34" t="str">
        <f t="shared" si="98"/>
        <v/>
      </c>
      <c r="V431" s="34" t="str">
        <f t="shared" si="99"/>
        <v/>
      </c>
      <c r="W431" s="34" t="str">
        <f t="shared" si="100"/>
        <v/>
      </c>
      <c r="X431" s="34">
        <f t="shared" si="101"/>
        <v>0</v>
      </c>
      <c r="Y431" s="34" t="str">
        <f t="shared" si="102"/>
        <v/>
      </c>
      <c r="Z431" s="34" t="str">
        <f>IF(X431=1,V431,IF(Y431="","",IF(COUNTIF(Y$3:Y430,Y431)=0,Y431,"")))</f>
        <v/>
      </c>
      <c r="AA431" s="34" t="b">
        <f t="shared" si="103"/>
        <v>0</v>
      </c>
      <c r="AB431" s="34">
        <f t="shared" si="104"/>
        <v>0</v>
      </c>
      <c r="AC431" s="34" t="str">
        <f>IF(AND(B431&lt;&gt;"",C431=CompteSel,N(B431)&lt;=DateArret,AB431=0),MAX($AC$3:AC430)+1,"")</f>
        <v/>
      </c>
      <c r="AD431" s="34" t="str">
        <f>IF(AND(ISNUMBER(M431),C431=CompteSel),MAX($AD$3:AD430)+1,"")</f>
        <v/>
      </c>
    </row>
    <row r="432" spans="1:30" x14ac:dyDescent="0.35">
      <c r="A432" s="1" t="str">
        <f t="shared" si="90"/>
        <v/>
      </c>
      <c r="B432" s="31"/>
      <c r="C432" s="8"/>
      <c r="D432" s="8"/>
      <c r="E432" s="8"/>
      <c r="F432" s="8"/>
      <c r="G432" s="8"/>
      <c r="H432" s="32"/>
      <c r="I432" s="32"/>
      <c r="J432" s="25" t="str">
        <f>IF(B432="","",IFERROR(VLOOKUP(C432,Soldes_Ouverture,2,FALSE()),0)+SUMIFS($S$4:S432,$C$4:C432,C432))</f>
        <v/>
      </c>
      <c r="K432" s="1" t="str">
        <f t="shared" si="91"/>
        <v/>
      </c>
      <c r="L432" s="1" t="str">
        <f t="shared" si="92"/>
        <v/>
      </c>
      <c r="M432" s="1" t="str">
        <f t="shared" si="93"/>
        <v/>
      </c>
      <c r="N432" s="8"/>
      <c r="O432" s="8"/>
      <c r="P432" s="1" t="str">
        <f t="shared" si="94"/>
        <v/>
      </c>
      <c r="Q432" s="25" t="str">
        <f t="shared" si="95"/>
        <v/>
      </c>
      <c r="R432" s="1" t="str">
        <f t="shared" si="96"/>
        <v/>
      </c>
      <c r="S432" s="33" t="str">
        <f t="shared" si="97"/>
        <v/>
      </c>
      <c r="T432" s="34" t="str">
        <f>IF(B432="","",C432&amp;"|"&amp;ROUND(S432,2)&amp;"|"&amp;COUNTIFS($C$4:C432,C432,$S$4:S432,S432))</f>
        <v/>
      </c>
      <c r="U432" s="34" t="str">
        <f t="shared" si="98"/>
        <v/>
      </c>
      <c r="V432" s="34" t="str">
        <f t="shared" si="99"/>
        <v/>
      </c>
      <c r="W432" s="34" t="str">
        <f t="shared" si="100"/>
        <v/>
      </c>
      <c r="X432" s="34">
        <f t="shared" si="101"/>
        <v>0</v>
      </c>
      <c r="Y432" s="34" t="str">
        <f t="shared" si="102"/>
        <v/>
      </c>
      <c r="Z432" s="34" t="str">
        <f>IF(X432=1,V432,IF(Y432="","",IF(COUNTIF(Y$3:Y431,Y432)=0,Y432,"")))</f>
        <v/>
      </c>
      <c r="AA432" s="34" t="b">
        <f t="shared" si="103"/>
        <v>0</v>
      </c>
      <c r="AB432" s="34">
        <f t="shared" si="104"/>
        <v>0</v>
      </c>
      <c r="AC432" s="34" t="str">
        <f>IF(AND(B432&lt;&gt;"",C432=CompteSel,N(B432)&lt;=DateArret,AB432=0),MAX($AC$3:AC431)+1,"")</f>
        <v/>
      </c>
      <c r="AD432" s="34" t="str">
        <f>IF(AND(ISNUMBER(M432),C432=CompteSel),MAX($AD$3:AD431)+1,"")</f>
        <v/>
      </c>
    </row>
    <row r="433" spans="1:30" x14ac:dyDescent="0.35">
      <c r="A433" s="1" t="str">
        <f t="shared" si="90"/>
        <v/>
      </c>
      <c r="B433" s="31"/>
      <c r="C433" s="8"/>
      <c r="D433" s="8"/>
      <c r="E433" s="8"/>
      <c r="F433" s="8"/>
      <c r="G433" s="8"/>
      <c r="H433" s="32"/>
      <c r="I433" s="32"/>
      <c r="J433" s="25" t="str">
        <f>IF(B433="","",IFERROR(VLOOKUP(C433,Soldes_Ouverture,2,FALSE()),0)+SUMIFS($S$4:S433,$C$4:C433,C433))</f>
        <v/>
      </c>
      <c r="K433" s="1" t="str">
        <f t="shared" si="91"/>
        <v/>
      </c>
      <c r="L433" s="1" t="str">
        <f t="shared" si="92"/>
        <v/>
      </c>
      <c r="M433" s="1" t="str">
        <f t="shared" si="93"/>
        <v/>
      </c>
      <c r="N433" s="8"/>
      <c r="O433" s="8"/>
      <c r="P433" s="1" t="str">
        <f t="shared" si="94"/>
        <v/>
      </c>
      <c r="Q433" s="25" t="str">
        <f t="shared" si="95"/>
        <v/>
      </c>
      <c r="R433" s="1" t="str">
        <f t="shared" si="96"/>
        <v/>
      </c>
      <c r="S433" s="33" t="str">
        <f t="shared" si="97"/>
        <v/>
      </c>
      <c r="T433" s="34" t="str">
        <f>IF(B433="","",C433&amp;"|"&amp;ROUND(S433,2)&amp;"|"&amp;COUNTIFS($C$4:C433,C433,$S$4:S433,S433))</f>
        <v/>
      </c>
      <c r="U433" s="34" t="str">
        <f t="shared" si="98"/>
        <v/>
      </c>
      <c r="V433" s="34" t="str">
        <f t="shared" si="99"/>
        <v/>
      </c>
      <c r="W433" s="34" t="str">
        <f t="shared" si="100"/>
        <v/>
      </c>
      <c r="X433" s="34">
        <f t="shared" si="101"/>
        <v>0</v>
      </c>
      <c r="Y433" s="34" t="str">
        <f t="shared" si="102"/>
        <v/>
      </c>
      <c r="Z433" s="34" t="str">
        <f>IF(X433=1,V433,IF(Y433="","",IF(COUNTIF(Y$3:Y432,Y433)=0,Y433,"")))</f>
        <v/>
      </c>
      <c r="AA433" s="34" t="b">
        <f t="shared" si="103"/>
        <v>0</v>
      </c>
      <c r="AB433" s="34">
        <f t="shared" si="104"/>
        <v>0</v>
      </c>
      <c r="AC433" s="34" t="str">
        <f>IF(AND(B433&lt;&gt;"",C433=CompteSel,N(B433)&lt;=DateArret,AB433=0),MAX($AC$3:AC432)+1,"")</f>
        <v/>
      </c>
      <c r="AD433" s="34" t="str">
        <f>IF(AND(ISNUMBER(M433),C433=CompteSel),MAX($AD$3:AD432)+1,"")</f>
        <v/>
      </c>
    </row>
    <row r="434" spans="1:30" x14ac:dyDescent="0.35">
      <c r="A434" s="1" t="str">
        <f t="shared" si="90"/>
        <v/>
      </c>
      <c r="B434" s="31"/>
      <c r="C434" s="8"/>
      <c r="D434" s="8"/>
      <c r="E434" s="8"/>
      <c r="F434" s="8"/>
      <c r="G434" s="8"/>
      <c r="H434" s="32"/>
      <c r="I434" s="32"/>
      <c r="J434" s="25" t="str">
        <f>IF(B434="","",IFERROR(VLOOKUP(C434,Soldes_Ouverture,2,FALSE()),0)+SUMIFS($S$4:S434,$C$4:C434,C434))</f>
        <v/>
      </c>
      <c r="K434" s="1" t="str">
        <f t="shared" si="91"/>
        <v/>
      </c>
      <c r="L434" s="1" t="str">
        <f t="shared" si="92"/>
        <v/>
      </c>
      <c r="M434" s="1" t="str">
        <f t="shared" si="93"/>
        <v/>
      </c>
      <c r="N434" s="8"/>
      <c r="O434" s="8"/>
      <c r="P434" s="1" t="str">
        <f t="shared" si="94"/>
        <v/>
      </c>
      <c r="Q434" s="25" t="str">
        <f t="shared" si="95"/>
        <v/>
      </c>
      <c r="R434" s="1" t="str">
        <f t="shared" si="96"/>
        <v/>
      </c>
      <c r="S434" s="33" t="str">
        <f t="shared" si="97"/>
        <v/>
      </c>
      <c r="T434" s="34" t="str">
        <f>IF(B434="","",C434&amp;"|"&amp;ROUND(S434,2)&amp;"|"&amp;COUNTIFS($C$4:C434,C434,$S$4:S434,S434))</f>
        <v/>
      </c>
      <c r="U434" s="34" t="str">
        <f t="shared" si="98"/>
        <v/>
      </c>
      <c r="V434" s="34" t="str">
        <f t="shared" si="99"/>
        <v/>
      </c>
      <c r="W434" s="34" t="str">
        <f t="shared" si="100"/>
        <v/>
      </c>
      <c r="X434" s="34">
        <f t="shared" si="101"/>
        <v>0</v>
      </c>
      <c r="Y434" s="34" t="str">
        <f t="shared" si="102"/>
        <v/>
      </c>
      <c r="Z434" s="34" t="str">
        <f>IF(X434=1,V434,IF(Y434="","",IF(COUNTIF(Y$3:Y433,Y434)=0,Y434,"")))</f>
        <v/>
      </c>
      <c r="AA434" s="34" t="b">
        <f t="shared" si="103"/>
        <v>0</v>
      </c>
      <c r="AB434" s="34">
        <f t="shared" si="104"/>
        <v>0</v>
      </c>
      <c r="AC434" s="34" t="str">
        <f>IF(AND(B434&lt;&gt;"",C434=CompteSel,N(B434)&lt;=DateArret,AB434=0),MAX($AC$3:AC433)+1,"")</f>
        <v/>
      </c>
      <c r="AD434" s="34" t="str">
        <f>IF(AND(ISNUMBER(M434),C434=CompteSel),MAX($AD$3:AD433)+1,"")</f>
        <v/>
      </c>
    </row>
    <row r="435" spans="1:30" x14ac:dyDescent="0.35">
      <c r="A435" s="1" t="str">
        <f t="shared" si="90"/>
        <v/>
      </c>
      <c r="B435" s="31"/>
      <c r="C435" s="8"/>
      <c r="D435" s="8"/>
      <c r="E435" s="8"/>
      <c r="F435" s="8"/>
      <c r="G435" s="8"/>
      <c r="H435" s="32"/>
      <c r="I435" s="32"/>
      <c r="J435" s="25" t="str">
        <f>IF(B435="","",IFERROR(VLOOKUP(C435,Soldes_Ouverture,2,FALSE()),0)+SUMIFS($S$4:S435,$C$4:C435,C435))</f>
        <v/>
      </c>
      <c r="K435" s="1" t="str">
        <f t="shared" si="91"/>
        <v/>
      </c>
      <c r="L435" s="1" t="str">
        <f t="shared" si="92"/>
        <v/>
      </c>
      <c r="M435" s="1" t="str">
        <f t="shared" si="93"/>
        <v/>
      </c>
      <c r="N435" s="8"/>
      <c r="O435" s="8"/>
      <c r="P435" s="1" t="str">
        <f t="shared" si="94"/>
        <v/>
      </c>
      <c r="Q435" s="25" t="str">
        <f t="shared" si="95"/>
        <v/>
      </c>
      <c r="R435" s="1" t="str">
        <f t="shared" si="96"/>
        <v/>
      </c>
      <c r="S435" s="33" t="str">
        <f t="shared" si="97"/>
        <v/>
      </c>
      <c r="T435" s="34" t="str">
        <f>IF(B435="","",C435&amp;"|"&amp;ROUND(S435,2)&amp;"|"&amp;COUNTIFS($C$4:C435,C435,$S$4:S435,S435))</f>
        <v/>
      </c>
      <c r="U435" s="34" t="str">
        <f t="shared" si="98"/>
        <v/>
      </c>
      <c r="V435" s="34" t="str">
        <f t="shared" si="99"/>
        <v/>
      </c>
      <c r="W435" s="34" t="str">
        <f t="shared" si="100"/>
        <v/>
      </c>
      <c r="X435" s="34">
        <f t="shared" si="101"/>
        <v>0</v>
      </c>
      <c r="Y435" s="34" t="str">
        <f t="shared" si="102"/>
        <v/>
      </c>
      <c r="Z435" s="34" t="str">
        <f>IF(X435=1,V435,IF(Y435="","",IF(COUNTIF(Y$3:Y434,Y435)=0,Y435,"")))</f>
        <v/>
      </c>
      <c r="AA435" s="34" t="b">
        <f t="shared" si="103"/>
        <v>0</v>
      </c>
      <c r="AB435" s="34">
        <f t="shared" si="104"/>
        <v>0</v>
      </c>
      <c r="AC435" s="34" t="str">
        <f>IF(AND(B435&lt;&gt;"",C435=CompteSel,N(B435)&lt;=DateArret,AB435=0),MAX($AC$3:AC434)+1,"")</f>
        <v/>
      </c>
      <c r="AD435" s="34" t="str">
        <f>IF(AND(ISNUMBER(M435),C435=CompteSel),MAX($AD$3:AD434)+1,"")</f>
        <v/>
      </c>
    </row>
    <row r="436" spans="1:30" x14ac:dyDescent="0.35">
      <c r="A436" s="1" t="str">
        <f t="shared" si="90"/>
        <v/>
      </c>
      <c r="B436" s="31"/>
      <c r="C436" s="8"/>
      <c r="D436" s="8"/>
      <c r="E436" s="8"/>
      <c r="F436" s="8"/>
      <c r="G436" s="8"/>
      <c r="H436" s="32"/>
      <c r="I436" s="32"/>
      <c r="J436" s="25" t="str">
        <f>IF(B436="","",IFERROR(VLOOKUP(C436,Soldes_Ouverture,2,FALSE()),0)+SUMIFS($S$4:S436,$C$4:C436,C436))</f>
        <v/>
      </c>
      <c r="K436" s="1" t="str">
        <f t="shared" si="91"/>
        <v/>
      </c>
      <c r="L436" s="1" t="str">
        <f t="shared" si="92"/>
        <v/>
      </c>
      <c r="M436" s="1" t="str">
        <f t="shared" si="93"/>
        <v/>
      </c>
      <c r="N436" s="8"/>
      <c r="O436" s="8"/>
      <c r="P436" s="1" t="str">
        <f t="shared" si="94"/>
        <v/>
      </c>
      <c r="Q436" s="25" t="str">
        <f t="shared" si="95"/>
        <v/>
      </c>
      <c r="R436" s="1" t="str">
        <f t="shared" si="96"/>
        <v/>
      </c>
      <c r="S436" s="33" t="str">
        <f t="shared" si="97"/>
        <v/>
      </c>
      <c r="T436" s="34" t="str">
        <f>IF(B436="","",C436&amp;"|"&amp;ROUND(S436,2)&amp;"|"&amp;COUNTIFS($C$4:C436,C436,$S$4:S436,S436))</f>
        <v/>
      </c>
      <c r="U436" s="34" t="str">
        <f t="shared" si="98"/>
        <v/>
      </c>
      <c r="V436" s="34" t="str">
        <f t="shared" si="99"/>
        <v/>
      </c>
      <c r="W436" s="34" t="str">
        <f t="shared" si="100"/>
        <v/>
      </c>
      <c r="X436" s="34">
        <f t="shared" si="101"/>
        <v>0</v>
      </c>
      <c r="Y436" s="34" t="str">
        <f t="shared" si="102"/>
        <v/>
      </c>
      <c r="Z436" s="34" t="str">
        <f>IF(X436=1,V436,IF(Y436="","",IF(COUNTIF(Y$3:Y435,Y436)=0,Y436,"")))</f>
        <v/>
      </c>
      <c r="AA436" s="34" t="b">
        <f t="shared" si="103"/>
        <v>0</v>
      </c>
      <c r="AB436" s="34">
        <f t="shared" si="104"/>
        <v>0</v>
      </c>
      <c r="AC436" s="34" t="str">
        <f>IF(AND(B436&lt;&gt;"",C436=CompteSel,N(B436)&lt;=DateArret,AB436=0),MAX($AC$3:AC435)+1,"")</f>
        <v/>
      </c>
      <c r="AD436" s="34" t="str">
        <f>IF(AND(ISNUMBER(M436),C436=CompteSel),MAX($AD$3:AD435)+1,"")</f>
        <v/>
      </c>
    </row>
    <row r="437" spans="1:30" x14ac:dyDescent="0.35">
      <c r="A437" s="1" t="str">
        <f t="shared" si="90"/>
        <v/>
      </c>
      <c r="B437" s="31"/>
      <c r="C437" s="8"/>
      <c r="D437" s="8"/>
      <c r="E437" s="8"/>
      <c r="F437" s="8"/>
      <c r="G437" s="8"/>
      <c r="H437" s="32"/>
      <c r="I437" s="32"/>
      <c r="J437" s="25" t="str">
        <f>IF(B437="","",IFERROR(VLOOKUP(C437,Soldes_Ouverture,2,FALSE()),0)+SUMIFS($S$4:S437,$C$4:C437,C437))</f>
        <v/>
      </c>
      <c r="K437" s="1" t="str">
        <f t="shared" si="91"/>
        <v/>
      </c>
      <c r="L437" s="1" t="str">
        <f t="shared" si="92"/>
        <v/>
      </c>
      <c r="M437" s="1" t="str">
        <f t="shared" si="93"/>
        <v/>
      </c>
      <c r="N437" s="8"/>
      <c r="O437" s="8"/>
      <c r="P437" s="1" t="str">
        <f t="shared" si="94"/>
        <v/>
      </c>
      <c r="Q437" s="25" t="str">
        <f t="shared" si="95"/>
        <v/>
      </c>
      <c r="R437" s="1" t="str">
        <f t="shared" si="96"/>
        <v/>
      </c>
      <c r="S437" s="33" t="str">
        <f t="shared" si="97"/>
        <v/>
      </c>
      <c r="T437" s="34" t="str">
        <f>IF(B437="","",C437&amp;"|"&amp;ROUND(S437,2)&amp;"|"&amp;COUNTIFS($C$4:C437,C437,$S$4:S437,S437))</f>
        <v/>
      </c>
      <c r="U437" s="34" t="str">
        <f t="shared" si="98"/>
        <v/>
      </c>
      <c r="V437" s="34" t="str">
        <f t="shared" si="99"/>
        <v/>
      </c>
      <c r="W437" s="34" t="str">
        <f t="shared" si="100"/>
        <v/>
      </c>
      <c r="X437" s="34">
        <f t="shared" si="101"/>
        <v>0</v>
      </c>
      <c r="Y437" s="34" t="str">
        <f t="shared" si="102"/>
        <v/>
      </c>
      <c r="Z437" s="34" t="str">
        <f>IF(X437=1,V437,IF(Y437="","",IF(COUNTIF(Y$3:Y436,Y437)=0,Y437,"")))</f>
        <v/>
      </c>
      <c r="AA437" s="34" t="b">
        <f t="shared" si="103"/>
        <v>0</v>
      </c>
      <c r="AB437" s="34">
        <f t="shared" si="104"/>
        <v>0</v>
      </c>
      <c r="AC437" s="34" t="str">
        <f>IF(AND(B437&lt;&gt;"",C437=CompteSel,N(B437)&lt;=DateArret,AB437=0),MAX($AC$3:AC436)+1,"")</f>
        <v/>
      </c>
      <c r="AD437" s="34" t="str">
        <f>IF(AND(ISNUMBER(M437),C437=CompteSel),MAX($AD$3:AD436)+1,"")</f>
        <v/>
      </c>
    </row>
    <row r="438" spans="1:30" x14ac:dyDescent="0.35">
      <c r="A438" s="1" t="str">
        <f t="shared" si="90"/>
        <v/>
      </c>
      <c r="B438" s="31"/>
      <c r="C438" s="8"/>
      <c r="D438" s="8"/>
      <c r="E438" s="8"/>
      <c r="F438" s="8"/>
      <c r="G438" s="8"/>
      <c r="H438" s="32"/>
      <c r="I438" s="32"/>
      <c r="J438" s="25" t="str">
        <f>IF(B438="","",IFERROR(VLOOKUP(C438,Soldes_Ouverture,2,FALSE()),0)+SUMIFS($S$4:S438,$C$4:C438,C438))</f>
        <v/>
      </c>
      <c r="K438" s="1" t="str">
        <f t="shared" si="91"/>
        <v/>
      </c>
      <c r="L438" s="1" t="str">
        <f t="shared" si="92"/>
        <v/>
      </c>
      <c r="M438" s="1" t="str">
        <f t="shared" si="93"/>
        <v/>
      </c>
      <c r="N438" s="8"/>
      <c r="O438" s="8"/>
      <c r="P438" s="1" t="str">
        <f t="shared" si="94"/>
        <v/>
      </c>
      <c r="Q438" s="25" t="str">
        <f t="shared" si="95"/>
        <v/>
      </c>
      <c r="R438" s="1" t="str">
        <f t="shared" si="96"/>
        <v/>
      </c>
      <c r="S438" s="33" t="str">
        <f t="shared" si="97"/>
        <v/>
      </c>
      <c r="T438" s="34" t="str">
        <f>IF(B438="","",C438&amp;"|"&amp;ROUND(S438,2)&amp;"|"&amp;COUNTIFS($C$4:C438,C438,$S$4:S438,S438))</f>
        <v/>
      </c>
      <c r="U438" s="34" t="str">
        <f t="shared" si="98"/>
        <v/>
      </c>
      <c r="V438" s="34" t="str">
        <f t="shared" si="99"/>
        <v/>
      </c>
      <c r="W438" s="34" t="str">
        <f t="shared" si="100"/>
        <v/>
      </c>
      <c r="X438" s="34">
        <f t="shared" si="101"/>
        <v>0</v>
      </c>
      <c r="Y438" s="34" t="str">
        <f t="shared" si="102"/>
        <v/>
      </c>
      <c r="Z438" s="34" t="str">
        <f>IF(X438=1,V438,IF(Y438="","",IF(COUNTIF(Y$3:Y437,Y438)=0,Y438,"")))</f>
        <v/>
      </c>
      <c r="AA438" s="34" t="b">
        <f t="shared" si="103"/>
        <v>0</v>
      </c>
      <c r="AB438" s="34">
        <f t="shared" si="104"/>
        <v>0</v>
      </c>
      <c r="AC438" s="34" t="str">
        <f>IF(AND(B438&lt;&gt;"",C438=CompteSel,N(B438)&lt;=DateArret,AB438=0),MAX($AC$3:AC437)+1,"")</f>
        <v/>
      </c>
      <c r="AD438" s="34" t="str">
        <f>IF(AND(ISNUMBER(M438),C438=CompteSel),MAX($AD$3:AD437)+1,"")</f>
        <v/>
      </c>
    </row>
    <row r="439" spans="1:30" x14ac:dyDescent="0.35">
      <c r="A439" s="1" t="str">
        <f t="shared" si="90"/>
        <v/>
      </c>
      <c r="B439" s="31"/>
      <c r="C439" s="8"/>
      <c r="D439" s="8"/>
      <c r="E439" s="8"/>
      <c r="F439" s="8"/>
      <c r="G439" s="8"/>
      <c r="H439" s="32"/>
      <c r="I439" s="32"/>
      <c r="J439" s="25" t="str">
        <f>IF(B439="","",IFERROR(VLOOKUP(C439,Soldes_Ouverture,2,FALSE()),0)+SUMIFS($S$4:S439,$C$4:C439,C439))</f>
        <v/>
      </c>
      <c r="K439" s="1" t="str">
        <f t="shared" si="91"/>
        <v/>
      </c>
      <c r="L439" s="1" t="str">
        <f t="shared" si="92"/>
        <v/>
      </c>
      <c r="M439" s="1" t="str">
        <f t="shared" si="93"/>
        <v/>
      </c>
      <c r="N439" s="8"/>
      <c r="O439" s="8"/>
      <c r="P439" s="1" t="str">
        <f t="shared" si="94"/>
        <v/>
      </c>
      <c r="Q439" s="25" t="str">
        <f t="shared" si="95"/>
        <v/>
      </c>
      <c r="R439" s="1" t="str">
        <f t="shared" si="96"/>
        <v/>
      </c>
      <c r="S439" s="33" t="str">
        <f t="shared" si="97"/>
        <v/>
      </c>
      <c r="T439" s="34" t="str">
        <f>IF(B439="","",C439&amp;"|"&amp;ROUND(S439,2)&amp;"|"&amp;COUNTIFS($C$4:C439,C439,$S$4:S439,S439))</f>
        <v/>
      </c>
      <c r="U439" s="34" t="str">
        <f t="shared" si="98"/>
        <v/>
      </c>
      <c r="V439" s="34" t="str">
        <f t="shared" si="99"/>
        <v/>
      </c>
      <c r="W439" s="34" t="str">
        <f t="shared" si="100"/>
        <v/>
      </c>
      <c r="X439" s="34">
        <f t="shared" si="101"/>
        <v>0</v>
      </c>
      <c r="Y439" s="34" t="str">
        <f t="shared" si="102"/>
        <v/>
      </c>
      <c r="Z439" s="34" t="str">
        <f>IF(X439=1,V439,IF(Y439="","",IF(COUNTIF(Y$3:Y438,Y439)=0,Y439,"")))</f>
        <v/>
      </c>
      <c r="AA439" s="34" t="b">
        <f t="shared" si="103"/>
        <v>0</v>
      </c>
      <c r="AB439" s="34">
        <f t="shared" si="104"/>
        <v>0</v>
      </c>
      <c r="AC439" s="34" t="str">
        <f>IF(AND(B439&lt;&gt;"",C439=CompteSel,N(B439)&lt;=DateArret,AB439=0),MAX($AC$3:AC438)+1,"")</f>
        <v/>
      </c>
      <c r="AD439" s="34" t="str">
        <f>IF(AND(ISNUMBER(M439),C439=CompteSel),MAX($AD$3:AD438)+1,"")</f>
        <v/>
      </c>
    </row>
    <row r="440" spans="1:30" x14ac:dyDescent="0.35">
      <c r="A440" s="1" t="str">
        <f t="shared" si="90"/>
        <v/>
      </c>
      <c r="B440" s="31"/>
      <c r="C440" s="8"/>
      <c r="D440" s="8"/>
      <c r="E440" s="8"/>
      <c r="F440" s="8"/>
      <c r="G440" s="8"/>
      <c r="H440" s="32"/>
      <c r="I440" s="32"/>
      <c r="J440" s="25" t="str">
        <f>IF(B440="","",IFERROR(VLOOKUP(C440,Soldes_Ouverture,2,FALSE()),0)+SUMIFS($S$4:S440,$C$4:C440,C440))</f>
        <v/>
      </c>
      <c r="K440" s="1" t="str">
        <f t="shared" si="91"/>
        <v/>
      </c>
      <c r="L440" s="1" t="str">
        <f t="shared" si="92"/>
        <v/>
      </c>
      <c r="M440" s="1" t="str">
        <f t="shared" si="93"/>
        <v/>
      </c>
      <c r="N440" s="8"/>
      <c r="O440" s="8"/>
      <c r="P440" s="1" t="str">
        <f t="shared" si="94"/>
        <v/>
      </c>
      <c r="Q440" s="25" t="str">
        <f t="shared" si="95"/>
        <v/>
      </c>
      <c r="R440" s="1" t="str">
        <f t="shared" si="96"/>
        <v/>
      </c>
      <c r="S440" s="33" t="str">
        <f t="shared" si="97"/>
        <v/>
      </c>
      <c r="T440" s="34" t="str">
        <f>IF(B440="","",C440&amp;"|"&amp;ROUND(S440,2)&amp;"|"&amp;COUNTIFS($C$4:C440,C440,$S$4:S440,S440))</f>
        <v/>
      </c>
      <c r="U440" s="34" t="str">
        <f t="shared" si="98"/>
        <v/>
      </c>
      <c r="V440" s="34" t="str">
        <f t="shared" si="99"/>
        <v/>
      </c>
      <c r="W440" s="34" t="str">
        <f t="shared" si="100"/>
        <v/>
      </c>
      <c r="X440" s="34">
        <f t="shared" si="101"/>
        <v>0</v>
      </c>
      <c r="Y440" s="34" t="str">
        <f t="shared" si="102"/>
        <v/>
      </c>
      <c r="Z440" s="34" t="str">
        <f>IF(X440=1,V440,IF(Y440="","",IF(COUNTIF(Y$3:Y439,Y440)=0,Y440,"")))</f>
        <v/>
      </c>
      <c r="AA440" s="34" t="b">
        <f t="shared" si="103"/>
        <v>0</v>
      </c>
      <c r="AB440" s="34">
        <f t="shared" si="104"/>
        <v>0</v>
      </c>
      <c r="AC440" s="34" t="str">
        <f>IF(AND(B440&lt;&gt;"",C440=CompteSel,N(B440)&lt;=DateArret,AB440=0),MAX($AC$3:AC439)+1,"")</f>
        <v/>
      </c>
      <c r="AD440" s="34" t="str">
        <f>IF(AND(ISNUMBER(M440),C440=CompteSel),MAX($AD$3:AD439)+1,"")</f>
        <v/>
      </c>
    </row>
    <row r="441" spans="1:30" x14ac:dyDescent="0.35">
      <c r="A441" s="1" t="str">
        <f t="shared" si="90"/>
        <v/>
      </c>
      <c r="B441" s="31"/>
      <c r="C441" s="8"/>
      <c r="D441" s="8"/>
      <c r="E441" s="8"/>
      <c r="F441" s="8"/>
      <c r="G441" s="8"/>
      <c r="H441" s="32"/>
      <c r="I441" s="32"/>
      <c r="J441" s="25" t="str">
        <f>IF(B441="","",IFERROR(VLOOKUP(C441,Soldes_Ouverture,2,FALSE()),0)+SUMIFS($S$4:S441,$C$4:C441,C441))</f>
        <v/>
      </c>
      <c r="K441" s="1" t="str">
        <f t="shared" si="91"/>
        <v/>
      </c>
      <c r="L441" s="1" t="str">
        <f t="shared" si="92"/>
        <v/>
      </c>
      <c r="M441" s="1" t="str">
        <f t="shared" si="93"/>
        <v/>
      </c>
      <c r="N441" s="8"/>
      <c r="O441" s="8"/>
      <c r="P441" s="1" t="str">
        <f t="shared" si="94"/>
        <v/>
      </c>
      <c r="Q441" s="25" t="str">
        <f t="shared" si="95"/>
        <v/>
      </c>
      <c r="R441" s="1" t="str">
        <f t="shared" si="96"/>
        <v/>
      </c>
      <c r="S441" s="33" t="str">
        <f t="shared" si="97"/>
        <v/>
      </c>
      <c r="T441" s="34" t="str">
        <f>IF(B441="","",C441&amp;"|"&amp;ROUND(S441,2)&amp;"|"&amp;COUNTIFS($C$4:C441,C441,$S$4:S441,S441))</f>
        <v/>
      </c>
      <c r="U441" s="34" t="str">
        <f t="shared" si="98"/>
        <v/>
      </c>
      <c r="V441" s="34" t="str">
        <f t="shared" si="99"/>
        <v/>
      </c>
      <c r="W441" s="34" t="str">
        <f t="shared" si="100"/>
        <v/>
      </c>
      <c r="X441" s="34">
        <f t="shared" si="101"/>
        <v>0</v>
      </c>
      <c r="Y441" s="34" t="str">
        <f t="shared" si="102"/>
        <v/>
      </c>
      <c r="Z441" s="34" t="str">
        <f>IF(X441=1,V441,IF(Y441="","",IF(COUNTIF(Y$3:Y440,Y441)=0,Y441,"")))</f>
        <v/>
      </c>
      <c r="AA441" s="34" t="b">
        <f t="shared" si="103"/>
        <v>0</v>
      </c>
      <c r="AB441" s="34">
        <f t="shared" si="104"/>
        <v>0</v>
      </c>
      <c r="AC441" s="34" t="str">
        <f>IF(AND(B441&lt;&gt;"",C441=CompteSel,N(B441)&lt;=DateArret,AB441=0),MAX($AC$3:AC440)+1,"")</f>
        <v/>
      </c>
      <c r="AD441" s="34" t="str">
        <f>IF(AND(ISNUMBER(M441),C441=CompteSel),MAX($AD$3:AD440)+1,"")</f>
        <v/>
      </c>
    </row>
    <row r="442" spans="1:30" x14ac:dyDescent="0.35">
      <c r="A442" s="1" t="str">
        <f t="shared" si="90"/>
        <v/>
      </c>
      <c r="B442" s="31"/>
      <c r="C442" s="8"/>
      <c r="D442" s="8"/>
      <c r="E442" s="8"/>
      <c r="F442" s="8"/>
      <c r="G442" s="8"/>
      <c r="H442" s="32"/>
      <c r="I442" s="32"/>
      <c r="J442" s="25" t="str">
        <f>IF(B442="","",IFERROR(VLOOKUP(C442,Soldes_Ouverture,2,FALSE()),0)+SUMIFS($S$4:S442,$C$4:C442,C442))</f>
        <v/>
      </c>
      <c r="K442" s="1" t="str">
        <f t="shared" si="91"/>
        <v/>
      </c>
      <c r="L442" s="1" t="str">
        <f t="shared" si="92"/>
        <v/>
      </c>
      <c r="M442" s="1" t="str">
        <f t="shared" si="93"/>
        <v/>
      </c>
      <c r="N442" s="8"/>
      <c r="O442" s="8"/>
      <c r="P442" s="1" t="str">
        <f t="shared" si="94"/>
        <v/>
      </c>
      <c r="Q442" s="25" t="str">
        <f t="shared" si="95"/>
        <v/>
      </c>
      <c r="R442" s="1" t="str">
        <f t="shared" si="96"/>
        <v/>
      </c>
      <c r="S442" s="33" t="str">
        <f t="shared" si="97"/>
        <v/>
      </c>
      <c r="T442" s="34" t="str">
        <f>IF(B442="","",C442&amp;"|"&amp;ROUND(S442,2)&amp;"|"&amp;COUNTIFS($C$4:C442,C442,$S$4:S442,S442))</f>
        <v/>
      </c>
      <c r="U442" s="34" t="str">
        <f t="shared" si="98"/>
        <v/>
      </c>
      <c r="V442" s="34" t="str">
        <f t="shared" si="99"/>
        <v/>
      </c>
      <c r="W442" s="34" t="str">
        <f t="shared" si="100"/>
        <v/>
      </c>
      <c r="X442" s="34">
        <f t="shared" si="101"/>
        <v>0</v>
      </c>
      <c r="Y442" s="34" t="str">
        <f t="shared" si="102"/>
        <v/>
      </c>
      <c r="Z442" s="34" t="str">
        <f>IF(X442=1,V442,IF(Y442="","",IF(COUNTIF(Y$3:Y441,Y442)=0,Y442,"")))</f>
        <v/>
      </c>
      <c r="AA442" s="34" t="b">
        <f t="shared" si="103"/>
        <v>0</v>
      </c>
      <c r="AB442" s="34">
        <f t="shared" si="104"/>
        <v>0</v>
      </c>
      <c r="AC442" s="34" t="str">
        <f>IF(AND(B442&lt;&gt;"",C442=CompteSel,N(B442)&lt;=DateArret,AB442=0),MAX($AC$3:AC441)+1,"")</f>
        <v/>
      </c>
      <c r="AD442" s="34" t="str">
        <f>IF(AND(ISNUMBER(M442),C442=CompteSel),MAX($AD$3:AD441)+1,"")</f>
        <v/>
      </c>
    </row>
    <row r="443" spans="1:30" x14ac:dyDescent="0.35">
      <c r="A443" s="1" t="str">
        <f t="shared" si="90"/>
        <v/>
      </c>
      <c r="B443" s="31"/>
      <c r="C443" s="8"/>
      <c r="D443" s="8"/>
      <c r="E443" s="8"/>
      <c r="F443" s="8"/>
      <c r="G443" s="8"/>
      <c r="H443" s="32"/>
      <c r="I443" s="32"/>
      <c r="J443" s="25" t="str">
        <f>IF(B443="","",IFERROR(VLOOKUP(C443,Soldes_Ouverture,2,FALSE()),0)+SUMIFS($S$4:S443,$C$4:C443,C443))</f>
        <v/>
      </c>
      <c r="K443" s="1" t="str">
        <f t="shared" si="91"/>
        <v/>
      </c>
      <c r="L443" s="1" t="str">
        <f t="shared" si="92"/>
        <v/>
      </c>
      <c r="M443" s="1" t="str">
        <f t="shared" si="93"/>
        <v/>
      </c>
      <c r="N443" s="8"/>
      <c r="O443" s="8"/>
      <c r="P443" s="1" t="str">
        <f t="shared" si="94"/>
        <v/>
      </c>
      <c r="Q443" s="25" t="str">
        <f t="shared" si="95"/>
        <v/>
      </c>
      <c r="R443" s="1" t="str">
        <f t="shared" si="96"/>
        <v/>
      </c>
      <c r="S443" s="33" t="str">
        <f t="shared" si="97"/>
        <v/>
      </c>
      <c r="T443" s="34" t="str">
        <f>IF(B443="","",C443&amp;"|"&amp;ROUND(S443,2)&amp;"|"&amp;COUNTIFS($C$4:C443,C443,$S$4:S443,S443))</f>
        <v/>
      </c>
      <c r="U443" s="34" t="str">
        <f t="shared" si="98"/>
        <v/>
      </c>
      <c r="V443" s="34" t="str">
        <f t="shared" si="99"/>
        <v/>
      </c>
      <c r="W443" s="34" t="str">
        <f t="shared" si="100"/>
        <v/>
      </c>
      <c r="X443" s="34">
        <f t="shared" si="101"/>
        <v>0</v>
      </c>
      <c r="Y443" s="34" t="str">
        <f t="shared" si="102"/>
        <v/>
      </c>
      <c r="Z443" s="34" t="str">
        <f>IF(X443=1,V443,IF(Y443="","",IF(COUNTIF(Y$3:Y442,Y443)=0,Y443,"")))</f>
        <v/>
      </c>
      <c r="AA443" s="34" t="b">
        <f t="shared" si="103"/>
        <v>0</v>
      </c>
      <c r="AB443" s="34">
        <f t="shared" si="104"/>
        <v>0</v>
      </c>
      <c r="AC443" s="34" t="str">
        <f>IF(AND(B443&lt;&gt;"",C443=CompteSel,N(B443)&lt;=DateArret,AB443=0),MAX($AC$3:AC442)+1,"")</f>
        <v/>
      </c>
      <c r="AD443" s="34" t="str">
        <f>IF(AND(ISNUMBER(M443),C443=CompteSel),MAX($AD$3:AD442)+1,"")</f>
        <v/>
      </c>
    </row>
    <row r="444" spans="1:30" x14ac:dyDescent="0.35">
      <c r="A444" s="1" t="str">
        <f t="shared" si="90"/>
        <v/>
      </c>
      <c r="B444" s="31"/>
      <c r="C444" s="8"/>
      <c r="D444" s="8"/>
      <c r="E444" s="8"/>
      <c r="F444" s="8"/>
      <c r="G444" s="8"/>
      <c r="H444" s="32"/>
      <c r="I444" s="32"/>
      <c r="J444" s="25" t="str">
        <f>IF(B444="","",IFERROR(VLOOKUP(C444,Soldes_Ouverture,2,FALSE()),0)+SUMIFS($S$4:S444,$C$4:C444,C444))</f>
        <v/>
      </c>
      <c r="K444" s="1" t="str">
        <f t="shared" si="91"/>
        <v/>
      </c>
      <c r="L444" s="1" t="str">
        <f t="shared" si="92"/>
        <v/>
      </c>
      <c r="M444" s="1" t="str">
        <f t="shared" si="93"/>
        <v/>
      </c>
      <c r="N444" s="8"/>
      <c r="O444" s="8"/>
      <c r="P444" s="1" t="str">
        <f t="shared" si="94"/>
        <v/>
      </c>
      <c r="Q444" s="25" t="str">
        <f t="shared" si="95"/>
        <v/>
      </c>
      <c r="R444" s="1" t="str">
        <f t="shared" si="96"/>
        <v/>
      </c>
      <c r="S444" s="33" t="str">
        <f t="shared" si="97"/>
        <v/>
      </c>
      <c r="T444" s="34" t="str">
        <f>IF(B444="","",C444&amp;"|"&amp;ROUND(S444,2)&amp;"|"&amp;COUNTIFS($C$4:C444,C444,$S$4:S444,S444))</f>
        <v/>
      </c>
      <c r="U444" s="34" t="str">
        <f t="shared" si="98"/>
        <v/>
      </c>
      <c r="V444" s="34" t="str">
        <f t="shared" si="99"/>
        <v/>
      </c>
      <c r="W444" s="34" t="str">
        <f t="shared" si="100"/>
        <v/>
      </c>
      <c r="X444" s="34">
        <f t="shared" si="101"/>
        <v>0</v>
      </c>
      <c r="Y444" s="34" t="str">
        <f t="shared" si="102"/>
        <v/>
      </c>
      <c r="Z444" s="34" t="str">
        <f>IF(X444=1,V444,IF(Y444="","",IF(COUNTIF(Y$3:Y443,Y444)=0,Y444,"")))</f>
        <v/>
      </c>
      <c r="AA444" s="34" t="b">
        <f t="shared" si="103"/>
        <v>0</v>
      </c>
      <c r="AB444" s="34">
        <f t="shared" si="104"/>
        <v>0</v>
      </c>
      <c r="AC444" s="34" t="str">
        <f>IF(AND(B444&lt;&gt;"",C444=CompteSel,N(B444)&lt;=DateArret,AB444=0),MAX($AC$3:AC443)+1,"")</f>
        <v/>
      </c>
      <c r="AD444" s="34" t="str">
        <f>IF(AND(ISNUMBER(M444),C444=CompteSel),MAX($AD$3:AD443)+1,"")</f>
        <v/>
      </c>
    </row>
    <row r="445" spans="1:30" x14ac:dyDescent="0.35">
      <c r="A445" s="1" t="str">
        <f t="shared" si="90"/>
        <v/>
      </c>
      <c r="B445" s="31"/>
      <c r="C445" s="8"/>
      <c r="D445" s="8"/>
      <c r="E445" s="8"/>
      <c r="F445" s="8"/>
      <c r="G445" s="8"/>
      <c r="H445" s="32"/>
      <c r="I445" s="32"/>
      <c r="J445" s="25" t="str">
        <f>IF(B445="","",IFERROR(VLOOKUP(C445,Soldes_Ouverture,2,FALSE()),0)+SUMIFS($S$4:S445,$C$4:C445,C445))</f>
        <v/>
      </c>
      <c r="K445" s="1" t="str">
        <f t="shared" si="91"/>
        <v/>
      </c>
      <c r="L445" s="1" t="str">
        <f t="shared" si="92"/>
        <v/>
      </c>
      <c r="M445" s="1" t="str">
        <f t="shared" si="93"/>
        <v/>
      </c>
      <c r="N445" s="8"/>
      <c r="O445" s="8"/>
      <c r="P445" s="1" t="str">
        <f t="shared" si="94"/>
        <v/>
      </c>
      <c r="Q445" s="25" t="str">
        <f t="shared" si="95"/>
        <v/>
      </c>
      <c r="R445" s="1" t="str">
        <f t="shared" si="96"/>
        <v/>
      </c>
      <c r="S445" s="33" t="str">
        <f t="shared" si="97"/>
        <v/>
      </c>
      <c r="T445" s="34" t="str">
        <f>IF(B445="","",C445&amp;"|"&amp;ROUND(S445,2)&amp;"|"&amp;COUNTIFS($C$4:C445,C445,$S$4:S445,S445))</f>
        <v/>
      </c>
      <c r="U445" s="34" t="str">
        <f t="shared" si="98"/>
        <v/>
      </c>
      <c r="V445" s="34" t="str">
        <f t="shared" si="99"/>
        <v/>
      </c>
      <c r="W445" s="34" t="str">
        <f t="shared" si="100"/>
        <v/>
      </c>
      <c r="X445" s="34">
        <f t="shared" si="101"/>
        <v>0</v>
      </c>
      <c r="Y445" s="34" t="str">
        <f t="shared" si="102"/>
        <v/>
      </c>
      <c r="Z445" s="34" t="str">
        <f>IF(X445=1,V445,IF(Y445="","",IF(COUNTIF(Y$3:Y444,Y445)=0,Y445,"")))</f>
        <v/>
      </c>
      <c r="AA445" s="34" t="b">
        <f t="shared" si="103"/>
        <v>0</v>
      </c>
      <c r="AB445" s="34">
        <f t="shared" si="104"/>
        <v>0</v>
      </c>
      <c r="AC445" s="34" t="str">
        <f>IF(AND(B445&lt;&gt;"",C445=CompteSel,N(B445)&lt;=DateArret,AB445=0),MAX($AC$3:AC444)+1,"")</f>
        <v/>
      </c>
      <c r="AD445" s="34" t="str">
        <f>IF(AND(ISNUMBER(M445),C445=CompteSel),MAX($AD$3:AD444)+1,"")</f>
        <v/>
      </c>
    </row>
    <row r="446" spans="1:30" x14ac:dyDescent="0.35">
      <c r="A446" s="1" t="str">
        <f t="shared" si="90"/>
        <v/>
      </c>
      <c r="B446" s="31"/>
      <c r="C446" s="8"/>
      <c r="D446" s="8"/>
      <c r="E446" s="8"/>
      <c r="F446" s="8"/>
      <c r="G446" s="8"/>
      <c r="H446" s="32"/>
      <c r="I446" s="32"/>
      <c r="J446" s="25" t="str">
        <f>IF(B446="","",IFERROR(VLOOKUP(C446,Soldes_Ouverture,2,FALSE()),0)+SUMIFS($S$4:S446,$C$4:C446,C446))</f>
        <v/>
      </c>
      <c r="K446" s="1" t="str">
        <f t="shared" si="91"/>
        <v/>
      </c>
      <c r="L446" s="1" t="str">
        <f t="shared" si="92"/>
        <v/>
      </c>
      <c r="M446" s="1" t="str">
        <f t="shared" si="93"/>
        <v/>
      </c>
      <c r="N446" s="8"/>
      <c r="O446" s="8"/>
      <c r="P446" s="1" t="str">
        <f t="shared" si="94"/>
        <v/>
      </c>
      <c r="Q446" s="25" t="str">
        <f t="shared" si="95"/>
        <v/>
      </c>
      <c r="R446" s="1" t="str">
        <f t="shared" si="96"/>
        <v/>
      </c>
      <c r="S446" s="33" t="str">
        <f t="shared" si="97"/>
        <v/>
      </c>
      <c r="T446" s="34" t="str">
        <f>IF(B446="","",C446&amp;"|"&amp;ROUND(S446,2)&amp;"|"&amp;COUNTIFS($C$4:C446,C446,$S$4:S446,S446))</f>
        <v/>
      </c>
      <c r="U446" s="34" t="str">
        <f t="shared" si="98"/>
        <v/>
      </c>
      <c r="V446" s="34" t="str">
        <f t="shared" si="99"/>
        <v/>
      </c>
      <c r="W446" s="34" t="str">
        <f t="shared" si="100"/>
        <v/>
      </c>
      <c r="X446" s="34">
        <f t="shared" si="101"/>
        <v>0</v>
      </c>
      <c r="Y446" s="34" t="str">
        <f t="shared" si="102"/>
        <v/>
      </c>
      <c r="Z446" s="34" t="str">
        <f>IF(X446=1,V446,IF(Y446="","",IF(COUNTIF(Y$3:Y445,Y446)=0,Y446,"")))</f>
        <v/>
      </c>
      <c r="AA446" s="34" t="b">
        <f t="shared" si="103"/>
        <v>0</v>
      </c>
      <c r="AB446" s="34">
        <f t="shared" si="104"/>
        <v>0</v>
      </c>
      <c r="AC446" s="34" t="str">
        <f>IF(AND(B446&lt;&gt;"",C446=CompteSel,N(B446)&lt;=DateArret,AB446=0),MAX($AC$3:AC445)+1,"")</f>
        <v/>
      </c>
      <c r="AD446" s="34" t="str">
        <f>IF(AND(ISNUMBER(M446),C446=CompteSel),MAX($AD$3:AD445)+1,"")</f>
        <v/>
      </c>
    </row>
    <row r="447" spans="1:30" x14ac:dyDescent="0.35">
      <c r="A447" s="1" t="str">
        <f t="shared" si="90"/>
        <v/>
      </c>
      <c r="B447" s="31"/>
      <c r="C447" s="8"/>
      <c r="D447" s="8"/>
      <c r="E447" s="8"/>
      <c r="F447" s="8"/>
      <c r="G447" s="8"/>
      <c r="H447" s="32"/>
      <c r="I447" s="32"/>
      <c r="J447" s="25" t="str">
        <f>IF(B447="","",IFERROR(VLOOKUP(C447,Soldes_Ouverture,2,FALSE()),0)+SUMIFS($S$4:S447,$C$4:C447,C447))</f>
        <v/>
      </c>
      <c r="K447" s="1" t="str">
        <f t="shared" si="91"/>
        <v/>
      </c>
      <c r="L447" s="1" t="str">
        <f t="shared" si="92"/>
        <v/>
      </c>
      <c r="M447" s="1" t="str">
        <f t="shared" si="93"/>
        <v/>
      </c>
      <c r="N447" s="8"/>
      <c r="O447" s="8"/>
      <c r="P447" s="1" t="str">
        <f t="shared" si="94"/>
        <v/>
      </c>
      <c r="Q447" s="25" t="str">
        <f t="shared" si="95"/>
        <v/>
      </c>
      <c r="R447" s="1" t="str">
        <f t="shared" si="96"/>
        <v/>
      </c>
      <c r="S447" s="33" t="str">
        <f t="shared" si="97"/>
        <v/>
      </c>
      <c r="T447" s="34" t="str">
        <f>IF(B447="","",C447&amp;"|"&amp;ROUND(S447,2)&amp;"|"&amp;COUNTIFS($C$4:C447,C447,$S$4:S447,S447))</f>
        <v/>
      </c>
      <c r="U447" s="34" t="str">
        <f t="shared" si="98"/>
        <v/>
      </c>
      <c r="V447" s="34" t="str">
        <f t="shared" si="99"/>
        <v/>
      </c>
      <c r="W447" s="34" t="str">
        <f t="shared" si="100"/>
        <v/>
      </c>
      <c r="X447" s="34">
        <f t="shared" si="101"/>
        <v>0</v>
      </c>
      <c r="Y447" s="34" t="str">
        <f t="shared" si="102"/>
        <v/>
      </c>
      <c r="Z447" s="34" t="str">
        <f>IF(X447=1,V447,IF(Y447="","",IF(COUNTIF(Y$3:Y446,Y447)=0,Y447,"")))</f>
        <v/>
      </c>
      <c r="AA447" s="34" t="b">
        <f t="shared" si="103"/>
        <v>0</v>
      </c>
      <c r="AB447" s="34">
        <f t="shared" si="104"/>
        <v>0</v>
      </c>
      <c r="AC447" s="34" t="str">
        <f>IF(AND(B447&lt;&gt;"",C447=CompteSel,N(B447)&lt;=DateArret,AB447=0),MAX($AC$3:AC446)+1,"")</f>
        <v/>
      </c>
      <c r="AD447" s="34" t="str">
        <f>IF(AND(ISNUMBER(M447),C447=CompteSel),MAX($AD$3:AD446)+1,"")</f>
        <v/>
      </c>
    </row>
    <row r="448" spans="1:30" x14ac:dyDescent="0.35">
      <c r="A448" s="1" t="str">
        <f t="shared" si="90"/>
        <v/>
      </c>
      <c r="B448" s="31"/>
      <c r="C448" s="8"/>
      <c r="D448" s="8"/>
      <c r="E448" s="8"/>
      <c r="F448" s="8"/>
      <c r="G448" s="8"/>
      <c r="H448" s="32"/>
      <c r="I448" s="32"/>
      <c r="J448" s="25" t="str">
        <f>IF(B448="","",IFERROR(VLOOKUP(C448,Soldes_Ouverture,2,FALSE()),0)+SUMIFS($S$4:S448,$C$4:C448,C448))</f>
        <v/>
      </c>
      <c r="K448" s="1" t="str">
        <f t="shared" si="91"/>
        <v/>
      </c>
      <c r="L448" s="1" t="str">
        <f t="shared" si="92"/>
        <v/>
      </c>
      <c r="M448" s="1" t="str">
        <f t="shared" si="93"/>
        <v/>
      </c>
      <c r="N448" s="8"/>
      <c r="O448" s="8"/>
      <c r="P448" s="1" t="str">
        <f t="shared" si="94"/>
        <v/>
      </c>
      <c r="Q448" s="25" t="str">
        <f t="shared" si="95"/>
        <v/>
      </c>
      <c r="R448" s="1" t="str">
        <f t="shared" si="96"/>
        <v/>
      </c>
      <c r="S448" s="33" t="str">
        <f t="shared" si="97"/>
        <v/>
      </c>
      <c r="T448" s="34" t="str">
        <f>IF(B448="","",C448&amp;"|"&amp;ROUND(S448,2)&amp;"|"&amp;COUNTIFS($C$4:C448,C448,$S$4:S448,S448))</f>
        <v/>
      </c>
      <c r="U448" s="34" t="str">
        <f t="shared" si="98"/>
        <v/>
      </c>
      <c r="V448" s="34" t="str">
        <f t="shared" si="99"/>
        <v/>
      </c>
      <c r="W448" s="34" t="str">
        <f t="shared" si="100"/>
        <v/>
      </c>
      <c r="X448" s="34">
        <f t="shared" si="101"/>
        <v>0</v>
      </c>
      <c r="Y448" s="34" t="str">
        <f t="shared" si="102"/>
        <v/>
      </c>
      <c r="Z448" s="34" t="str">
        <f>IF(X448=1,V448,IF(Y448="","",IF(COUNTIF(Y$3:Y447,Y448)=0,Y448,"")))</f>
        <v/>
      </c>
      <c r="AA448" s="34" t="b">
        <f t="shared" si="103"/>
        <v>0</v>
      </c>
      <c r="AB448" s="34">
        <f t="shared" si="104"/>
        <v>0</v>
      </c>
      <c r="AC448" s="34" t="str">
        <f>IF(AND(B448&lt;&gt;"",C448=CompteSel,N(B448)&lt;=DateArret,AB448=0),MAX($AC$3:AC447)+1,"")</f>
        <v/>
      </c>
      <c r="AD448" s="34" t="str">
        <f>IF(AND(ISNUMBER(M448),C448=CompteSel),MAX($AD$3:AD447)+1,"")</f>
        <v/>
      </c>
    </row>
    <row r="449" spans="1:30" x14ac:dyDescent="0.35">
      <c r="A449" s="1" t="str">
        <f t="shared" si="90"/>
        <v/>
      </c>
      <c r="B449" s="31"/>
      <c r="C449" s="8"/>
      <c r="D449" s="8"/>
      <c r="E449" s="8"/>
      <c r="F449" s="8"/>
      <c r="G449" s="8"/>
      <c r="H449" s="32"/>
      <c r="I449" s="32"/>
      <c r="J449" s="25" t="str">
        <f>IF(B449="","",IFERROR(VLOOKUP(C449,Soldes_Ouverture,2,FALSE()),0)+SUMIFS($S$4:S449,$C$4:C449,C449))</f>
        <v/>
      </c>
      <c r="K449" s="1" t="str">
        <f t="shared" si="91"/>
        <v/>
      </c>
      <c r="L449" s="1" t="str">
        <f t="shared" si="92"/>
        <v/>
      </c>
      <c r="M449" s="1" t="str">
        <f t="shared" si="93"/>
        <v/>
      </c>
      <c r="N449" s="8"/>
      <c r="O449" s="8"/>
      <c r="P449" s="1" t="str">
        <f t="shared" si="94"/>
        <v/>
      </c>
      <c r="Q449" s="25" t="str">
        <f t="shared" si="95"/>
        <v/>
      </c>
      <c r="R449" s="1" t="str">
        <f t="shared" si="96"/>
        <v/>
      </c>
      <c r="S449" s="33" t="str">
        <f t="shared" si="97"/>
        <v/>
      </c>
      <c r="T449" s="34" t="str">
        <f>IF(B449="","",C449&amp;"|"&amp;ROUND(S449,2)&amp;"|"&amp;COUNTIFS($C$4:C449,C449,$S$4:S449,S449))</f>
        <v/>
      </c>
      <c r="U449" s="34" t="str">
        <f t="shared" si="98"/>
        <v/>
      </c>
      <c r="V449" s="34" t="str">
        <f t="shared" si="99"/>
        <v/>
      </c>
      <c r="W449" s="34" t="str">
        <f t="shared" si="100"/>
        <v/>
      </c>
      <c r="X449" s="34">
        <f t="shared" si="101"/>
        <v>0</v>
      </c>
      <c r="Y449" s="34" t="str">
        <f t="shared" si="102"/>
        <v/>
      </c>
      <c r="Z449" s="34" t="str">
        <f>IF(X449=1,V449,IF(Y449="","",IF(COUNTIF(Y$3:Y448,Y449)=0,Y449,"")))</f>
        <v/>
      </c>
      <c r="AA449" s="34" t="b">
        <f t="shared" si="103"/>
        <v>0</v>
      </c>
      <c r="AB449" s="34">
        <f t="shared" si="104"/>
        <v>0</v>
      </c>
      <c r="AC449" s="34" t="str">
        <f>IF(AND(B449&lt;&gt;"",C449=CompteSel,N(B449)&lt;=DateArret,AB449=0),MAX($AC$3:AC448)+1,"")</f>
        <v/>
      </c>
      <c r="AD449" s="34" t="str">
        <f>IF(AND(ISNUMBER(M449),C449=CompteSel),MAX($AD$3:AD448)+1,"")</f>
        <v/>
      </c>
    </row>
    <row r="450" spans="1:30" x14ac:dyDescent="0.35">
      <c r="A450" s="1" t="str">
        <f t="shared" si="90"/>
        <v/>
      </c>
      <c r="B450" s="31"/>
      <c r="C450" s="8"/>
      <c r="D450" s="8"/>
      <c r="E450" s="8"/>
      <c r="F450" s="8"/>
      <c r="G450" s="8"/>
      <c r="H450" s="32"/>
      <c r="I450" s="32"/>
      <c r="J450" s="25" t="str">
        <f>IF(B450="","",IFERROR(VLOOKUP(C450,Soldes_Ouverture,2,FALSE()),0)+SUMIFS($S$4:S450,$C$4:C450,C450))</f>
        <v/>
      </c>
      <c r="K450" s="1" t="str">
        <f t="shared" si="91"/>
        <v/>
      </c>
      <c r="L450" s="1" t="str">
        <f t="shared" si="92"/>
        <v/>
      </c>
      <c r="M450" s="1" t="str">
        <f t="shared" si="93"/>
        <v/>
      </c>
      <c r="N450" s="8"/>
      <c r="O450" s="8"/>
      <c r="P450" s="1" t="str">
        <f t="shared" si="94"/>
        <v/>
      </c>
      <c r="Q450" s="25" t="str">
        <f t="shared" si="95"/>
        <v/>
      </c>
      <c r="R450" s="1" t="str">
        <f t="shared" si="96"/>
        <v/>
      </c>
      <c r="S450" s="33" t="str">
        <f t="shared" si="97"/>
        <v/>
      </c>
      <c r="T450" s="34" t="str">
        <f>IF(B450="","",C450&amp;"|"&amp;ROUND(S450,2)&amp;"|"&amp;COUNTIFS($C$4:C450,C450,$S$4:S450,S450))</f>
        <v/>
      </c>
      <c r="U450" s="34" t="str">
        <f t="shared" si="98"/>
        <v/>
      </c>
      <c r="V450" s="34" t="str">
        <f t="shared" si="99"/>
        <v/>
      </c>
      <c r="W450" s="34" t="str">
        <f t="shared" si="100"/>
        <v/>
      </c>
      <c r="X450" s="34">
        <f t="shared" si="101"/>
        <v>0</v>
      </c>
      <c r="Y450" s="34" t="str">
        <f t="shared" si="102"/>
        <v/>
      </c>
      <c r="Z450" s="34" t="str">
        <f>IF(X450=1,V450,IF(Y450="","",IF(COUNTIF(Y$3:Y449,Y450)=0,Y450,"")))</f>
        <v/>
      </c>
      <c r="AA450" s="34" t="b">
        <f t="shared" si="103"/>
        <v>0</v>
      </c>
      <c r="AB450" s="34">
        <f t="shared" si="104"/>
        <v>0</v>
      </c>
      <c r="AC450" s="34" t="str">
        <f>IF(AND(B450&lt;&gt;"",C450=CompteSel,N(B450)&lt;=DateArret,AB450=0),MAX($AC$3:AC449)+1,"")</f>
        <v/>
      </c>
      <c r="AD450" s="34" t="str">
        <f>IF(AND(ISNUMBER(M450),C450=CompteSel),MAX($AD$3:AD449)+1,"")</f>
        <v/>
      </c>
    </row>
    <row r="451" spans="1:30" x14ac:dyDescent="0.35">
      <c r="A451" s="1" t="str">
        <f t="shared" si="90"/>
        <v/>
      </c>
      <c r="B451" s="31"/>
      <c r="C451" s="8"/>
      <c r="D451" s="8"/>
      <c r="E451" s="8"/>
      <c r="F451" s="8"/>
      <c r="G451" s="8"/>
      <c r="H451" s="32"/>
      <c r="I451" s="32"/>
      <c r="J451" s="25" t="str">
        <f>IF(B451="","",IFERROR(VLOOKUP(C451,Soldes_Ouverture,2,FALSE()),0)+SUMIFS($S$4:S451,$C$4:C451,C451))</f>
        <v/>
      </c>
      <c r="K451" s="1" t="str">
        <f t="shared" si="91"/>
        <v/>
      </c>
      <c r="L451" s="1" t="str">
        <f t="shared" si="92"/>
        <v/>
      </c>
      <c r="M451" s="1" t="str">
        <f t="shared" si="93"/>
        <v/>
      </c>
      <c r="N451" s="8"/>
      <c r="O451" s="8"/>
      <c r="P451" s="1" t="str">
        <f t="shared" si="94"/>
        <v/>
      </c>
      <c r="Q451" s="25" t="str">
        <f t="shared" si="95"/>
        <v/>
      </c>
      <c r="R451" s="1" t="str">
        <f t="shared" si="96"/>
        <v/>
      </c>
      <c r="S451" s="33" t="str">
        <f t="shared" si="97"/>
        <v/>
      </c>
      <c r="T451" s="34" t="str">
        <f>IF(B451="","",C451&amp;"|"&amp;ROUND(S451,2)&amp;"|"&amp;COUNTIFS($C$4:C451,C451,$S$4:S451,S451))</f>
        <v/>
      </c>
      <c r="U451" s="34" t="str">
        <f t="shared" si="98"/>
        <v/>
      </c>
      <c r="V451" s="34" t="str">
        <f t="shared" si="99"/>
        <v/>
      </c>
      <c r="W451" s="34" t="str">
        <f t="shared" si="100"/>
        <v/>
      </c>
      <c r="X451" s="34">
        <f t="shared" si="101"/>
        <v>0</v>
      </c>
      <c r="Y451" s="34" t="str">
        <f t="shared" si="102"/>
        <v/>
      </c>
      <c r="Z451" s="34" t="str">
        <f>IF(X451=1,V451,IF(Y451="","",IF(COUNTIF(Y$3:Y450,Y451)=0,Y451,"")))</f>
        <v/>
      </c>
      <c r="AA451" s="34" t="b">
        <f t="shared" si="103"/>
        <v>0</v>
      </c>
      <c r="AB451" s="34">
        <f t="shared" si="104"/>
        <v>0</v>
      </c>
      <c r="AC451" s="34" t="str">
        <f>IF(AND(B451&lt;&gt;"",C451=CompteSel,N(B451)&lt;=DateArret,AB451=0),MAX($AC$3:AC450)+1,"")</f>
        <v/>
      </c>
      <c r="AD451" s="34" t="str">
        <f>IF(AND(ISNUMBER(M451),C451=CompteSel),MAX($AD$3:AD450)+1,"")</f>
        <v/>
      </c>
    </row>
    <row r="452" spans="1:30" x14ac:dyDescent="0.35">
      <c r="A452" s="1" t="str">
        <f t="shared" ref="A452:A503" si="105">IF(B452="","",ROW()-3)</f>
        <v/>
      </c>
      <c r="B452" s="31"/>
      <c r="C452" s="8"/>
      <c r="D452" s="8"/>
      <c r="E452" s="8"/>
      <c r="F452" s="8"/>
      <c r="G452" s="8"/>
      <c r="H452" s="32"/>
      <c r="I452" s="32"/>
      <c r="J452" s="25" t="str">
        <f>IF(B452="","",IFERROR(VLOOKUP(C452,Soldes_Ouverture,2,FALSE()),0)+SUMIFS($S$4:S452,$C$4:C452,C452))</f>
        <v/>
      </c>
      <c r="K452" s="1" t="str">
        <f t="shared" ref="K452:K503" si="106">IF(B452="","",IF(N452="Écart","Écart",IF(M452="","Non rapproché",IF(ISNUMBER(SEARCH("Conflit",R452)),"Conflit",IF(O452&lt;&gt;"","Manuel",IF(OR(N452="Valider",AND(L452="Fort",AutoFort="Oui")),"Rapproché","Proposé"))))))</f>
        <v/>
      </c>
      <c r="L452" s="1" t="str">
        <f t="shared" ref="L452:L503" si="107">IF(M452="","",IF(O452&lt;&gt;"","Manuel",IF(AND(P452&lt;=TolJours,AA452),"Fort",IF(P452&lt;=TolJours,"Moyen","Faible"))))</f>
        <v/>
      </c>
      <c r="M452" s="1" t="str">
        <f t="shared" ref="M452:M503" si="108">IF(B452="","",IF(O452&lt;&gt;"",O452,IF(OR(N452="Rejeter",N452="Écart",Z452=""),"",IF(INDEX(B_Decision,Z452)="Écart","",Z452))))</f>
        <v/>
      </c>
      <c r="N452" s="8"/>
      <c r="O452" s="8"/>
      <c r="P452" s="1" t="str">
        <f t="shared" ref="P452:P503" si="109">IF(M452="","",IFERROR(ABS(B452-INDEX(B_Date,M452)),""))</f>
        <v/>
      </c>
      <c r="Q452" s="25" t="str">
        <f t="shared" ref="Q452:Q503" si="110">IF(M452="","",IFERROR(ABS(S452-INDEX(B_Montant,M452)),""))</f>
        <v/>
      </c>
      <c r="R452" s="1" t="str">
        <f t="shared" ref="R452:R503" si="111">IF(B452="","",TRIM(IF(AND(M452&lt;&gt;"",COUNTIF($M$4:$M$503,M452)&gt;1),"Conflit ","")&amp;IF(COUNTIFS($C$4:$C$503,C452,$B$4:$B$503,B452,$S$4:$S$503,S452)&gt;1,"Doublon ?","")))</f>
        <v/>
      </c>
      <c r="S452" s="33" t="str">
        <f t="shared" ref="S452:S503" si="112">IF(B452="","",N(I452)-N(H452))</f>
        <v/>
      </c>
      <c r="T452" s="34" t="str">
        <f>IF(B452="","",C452&amp;"|"&amp;ROUND(S452,2)&amp;"|"&amp;COUNTIFS($C$4:C452,C452,$S$4:S452,S452))</f>
        <v/>
      </c>
      <c r="U452" s="34" t="str">
        <f t="shared" ref="U452:U503" si="113">IF(D452="","",IFERROR(VALUE(TRIM(RIGHT(SUBSTITUTE(SUBSTITUTE(SUBSTITUTE(D452,"-"," "),"/"," ")," ",REPT(" ",60)),60))),""))</f>
        <v/>
      </c>
      <c r="V452" s="34" t="str">
        <f t="shared" ref="V452:V503" si="114">IF(B452="","",IFERROR(MATCH(T452,B_Cle,0),""))</f>
        <v/>
      </c>
      <c r="W452" s="34" t="str">
        <f t="shared" ref="W452:W503" si="115">IF(V452="","",ABS(B452-INDEX(B_Date,V452)))</f>
        <v/>
      </c>
      <c r="X452" s="34">
        <f t="shared" ref="X452:X503" si="116">IF(V452="",0,IF(W452&lt;=Fenetre,1,0))</f>
        <v>0</v>
      </c>
      <c r="Y452" s="34" t="str">
        <f t="shared" ref="Y452:Y503" si="117">IF(OR(B452="",X452=1,TolMontant&lt;=0),"",IFERROR(MATCH(1,INDEX((B_Compte=C452)*(B_Date&gt;0)*(B_Signe=SIGN(S452))*(ABS(B_MontantN-S452)&lt;=TolMontant)*(ABS(B_Date-B452)&lt;=Fenetre)*(B_PrisExact=0),0),0),""))</f>
        <v/>
      </c>
      <c r="Z452" s="34" t="str">
        <f>IF(X452=1,V452,IF(Y452="","",IF(COUNTIF(Y$3:Y451,Y452)=0,Y452,"")))</f>
        <v/>
      </c>
      <c r="AA452" s="34" t="b">
        <f t="shared" ref="AA452:AA503" si="118">IF(M452="",FALSE(),IFERROR(OR(AND(U452&lt;&gt;"",N(U452)&gt;=100,ISNUMBER(SEARCH(U452,INDEX(B_Ref,M452)&amp;" "&amp;INDEX(B_Lib,M452)))),AND(D452&lt;&gt;"",ISNUMBER(SEARCH(D452,INDEX(B_Lib,M452)))),AND(INDEX(B_Ref,M452)&amp;""&lt;&gt;"",D452&lt;&gt;"",ISNUMBER(SEARCH(INDEX(B_Ref,M452)&amp;"",D452)))),FALSE()))</f>
        <v>0</v>
      </c>
      <c r="AB452" s="34">
        <f t="shared" ref="AB452:AB503" si="119">IF(OR(K452="Rapproché",K452="Manuel"),1,0)</f>
        <v>0</v>
      </c>
      <c r="AC452" s="34" t="str">
        <f>IF(AND(B452&lt;&gt;"",C452=CompteSel,N(B452)&lt;=DateArret,AB452=0),MAX($AC$3:AC451)+1,"")</f>
        <v/>
      </c>
      <c r="AD452" s="34" t="str">
        <f>IF(AND(ISNUMBER(M452),C452=CompteSel),MAX($AD$3:AD451)+1,"")</f>
        <v/>
      </c>
    </row>
    <row r="453" spans="1:30" x14ac:dyDescent="0.35">
      <c r="A453" s="1" t="str">
        <f t="shared" si="105"/>
        <v/>
      </c>
      <c r="B453" s="31"/>
      <c r="C453" s="8"/>
      <c r="D453" s="8"/>
      <c r="E453" s="8"/>
      <c r="F453" s="8"/>
      <c r="G453" s="8"/>
      <c r="H453" s="32"/>
      <c r="I453" s="32"/>
      <c r="J453" s="25" t="str">
        <f>IF(B453="","",IFERROR(VLOOKUP(C453,Soldes_Ouverture,2,FALSE()),0)+SUMIFS($S$4:S453,$C$4:C453,C453))</f>
        <v/>
      </c>
      <c r="K453" s="1" t="str">
        <f t="shared" si="106"/>
        <v/>
      </c>
      <c r="L453" s="1" t="str">
        <f t="shared" si="107"/>
        <v/>
      </c>
      <c r="M453" s="1" t="str">
        <f t="shared" si="108"/>
        <v/>
      </c>
      <c r="N453" s="8"/>
      <c r="O453" s="8"/>
      <c r="P453" s="1" t="str">
        <f t="shared" si="109"/>
        <v/>
      </c>
      <c r="Q453" s="25" t="str">
        <f t="shared" si="110"/>
        <v/>
      </c>
      <c r="R453" s="1" t="str">
        <f t="shared" si="111"/>
        <v/>
      </c>
      <c r="S453" s="33" t="str">
        <f t="shared" si="112"/>
        <v/>
      </c>
      <c r="T453" s="34" t="str">
        <f>IF(B453="","",C453&amp;"|"&amp;ROUND(S453,2)&amp;"|"&amp;COUNTIFS($C$4:C453,C453,$S$4:S453,S453))</f>
        <v/>
      </c>
      <c r="U453" s="34" t="str">
        <f t="shared" si="113"/>
        <v/>
      </c>
      <c r="V453" s="34" t="str">
        <f t="shared" si="114"/>
        <v/>
      </c>
      <c r="W453" s="34" t="str">
        <f t="shared" si="115"/>
        <v/>
      </c>
      <c r="X453" s="34">
        <f t="shared" si="116"/>
        <v>0</v>
      </c>
      <c r="Y453" s="34" t="str">
        <f t="shared" si="117"/>
        <v/>
      </c>
      <c r="Z453" s="34" t="str">
        <f>IF(X453=1,V453,IF(Y453="","",IF(COUNTIF(Y$3:Y452,Y453)=0,Y453,"")))</f>
        <v/>
      </c>
      <c r="AA453" s="34" t="b">
        <f t="shared" si="118"/>
        <v>0</v>
      </c>
      <c r="AB453" s="34">
        <f t="shared" si="119"/>
        <v>0</v>
      </c>
      <c r="AC453" s="34" t="str">
        <f>IF(AND(B453&lt;&gt;"",C453=CompteSel,N(B453)&lt;=DateArret,AB453=0),MAX($AC$3:AC452)+1,"")</f>
        <v/>
      </c>
      <c r="AD453" s="34" t="str">
        <f>IF(AND(ISNUMBER(M453),C453=CompteSel),MAX($AD$3:AD452)+1,"")</f>
        <v/>
      </c>
    </row>
    <row r="454" spans="1:30" x14ac:dyDescent="0.35">
      <c r="A454" s="1" t="str">
        <f t="shared" si="105"/>
        <v/>
      </c>
      <c r="B454" s="31"/>
      <c r="C454" s="8"/>
      <c r="D454" s="8"/>
      <c r="E454" s="8"/>
      <c r="F454" s="8"/>
      <c r="G454" s="8"/>
      <c r="H454" s="32"/>
      <c r="I454" s="32"/>
      <c r="J454" s="25" t="str">
        <f>IF(B454="","",IFERROR(VLOOKUP(C454,Soldes_Ouverture,2,FALSE()),0)+SUMIFS($S$4:S454,$C$4:C454,C454))</f>
        <v/>
      </c>
      <c r="K454" s="1" t="str">
        <f t="shared" si="106"/>
        <v/>
      </c>
      <c r="L454" s="1" t="str">
        <f t="shared" si="107"/>
        <v/>
      </c>
      <c r="M454" s="1" t="str">
        <f t="shared" si="108"/>
        <v/>
      </c>
      <c r="N454" s="8"/>
      <c r="O454" s="8"/>
      <c r="P454" s="1" t="str">
        <f t="shared" si="109"/>
        <v/>
      </c>
      <c r="Q454" s="25" t="str">
        <f t="shared" si="110"/>
        <v/>
      </c>
      <c r="R454" s="1" t="str">
        <f t="shared" si="111"/>
        <v/>
      </c>
      <c r="S454" s="33" t="str">
        <f t="shared" si="112"/>
        <v/>
      </c>
      <c r="T454" s="34" t="str">
        <f>IF(B454="","",C454&amp;"|"&amp;ROUND(S454,2)&amp;"|"&amp;COUNTIFS($C$4:C454,C454,$S$4:S454,S454))</f>
        <v/>
      </c>
      <c r="U454" s="34" t="str">
        <f t="shared" si="113"/>
        <v/>
      </c>
      <c r="V454" s="34" t="str">
        <f t="shared" si="114"/>
        <v/>
      </c>
      <c r="W454" s="34" t="str">
        <f t="shared" si="115"/>
        <v/>
      </c>
      <c r="X454" s="34">
        <f t="shared" si="116"/>
        <v>0</v>
      </c>
      <c r="Y454" s="34" t="str">
        <f t="shared" si="117"/>
        <v/>
      </c>
      <c r="Z454" s="34" t="str">
        <f>IF(X454=1,V454,IF(Y454="","",IF(COUNTIF(Y$3:Y453,Y454)=0,Y454,"")))</f>
        <v/>
      </c>
      <c r="AA454" s="34" t="b">
        <f t="shared" si="118"/>
        <v>0</v>
      </c>
      <c r="AB454" s="34">
        <f t="shared" si="119"/>
        <v>0</v>
      </c>
      <c r="AC454" s="34" t="str">
        <f>IF(AND(B454&lt;&gt;"",C454=CompteSel,N(B454)&lt;=DateArret,AB454=0),MAX($AC$3:AC453)+1,"")</f>
        <v/>
      </c>
      <c r="AD454" s="34" t="str">
        <f>IF(AND(ISNUMBER(M454),C454=CompteSel),MAX($AD$3:AD453)+1,"")</f>
        <v/>
      </c>
    </row>
    <row r="455" spans="1:30" x14ac:dyDescent="0.35">
      <c r="A455" s="1" t="str">
        <f t="shared" si="105"/>
        <v/>
      </c>
      <c r="B455" s="31"/>
      <c r="C455" s="8"/>
      <c r="D455" s="8"/>
      <c r="E455" s="8"/>
      <c r="F455" s="8"/>
      <c r="G455" s="8"/>
      <c r="H455" s="32"/>
      <c r="I455" s="32"/>
      <c r="J455" s="25" t="str">
        <f>IF(B455="","",IFERROR(VLOOKUP(C455,Soldes_Ouverture,2,FALSE()),0)+SUMIFS($S$4:S455,$C$4:C455,C455))</f>
        <v/>
      </c>
      <c r="K455" s="1" t="str">
        <f t="shared" si="106"/>
        <v/>
      </c>
      <c r="L455" s="1" t="str">
        <f t="shared" si="107"/>
        <v/>
      </c>
      <c r="M455" s="1" t="str">
        <f t="shared" si="108"/>
        <v/>
      </c>
      <c r="N455" s="8"/>
      <c r="O455" s="8"/>
      <c r="P455" s="1" t="str">
        <f t="shared" si="109"/>
        <v/>
      </c>
      <c r="Q455" s="25" t="str">
        <f t="shared" si="110"/>
        <v/>
      </c>
      <c r="R455" s="1" t="str">
        <f t="shared" si="111"/>
        <v/>
      </c>
      <c r="S455" s="33" t="str">
        <f t="shared" si="112"/>
        <v/>
      </c>
      <c r="T455" s="34" t="str">
        <f>IF(B455="","",C455&amp;"|"&amp;ROUND(S455,2)&amp;"|"&amp;COUNTIFS($C$4:C455,C455,$S$4:S455,S455))</f>
        <v/>
      </c>
      <c r="U455" s="34" t="str">
        <f t="shared" si="113"/>
        <v/>
      </c>
      <c r="V455" s="34" t="str">
        <f t="shared" si="114"/>
        <v/>
      </c>
      <c r="W455" s="34" t="str">
        <f t="shared" si="115"/>
        <v/>
      </c>
      <c r="X455" s="34">
        <f t="shared" si="116"/>
        <v>0</v>
      </c>
      <c r="Y455" s="34" t="str">
        <f t="shared" si="117"/>
        <v/>
      </c>
      <c r="Z455" s="34" t="str">
        <f>IF(X455=1,V455,IF(Y455="","",IF(COUNTIF(Y$3:Y454,Y455)=0,Y455,"")))</f>
        <v/>
      </c>
      <c r="AA455" s="34" t="b">
        <f t="shared" si="118"/>
        <v>0</v>
      </c>
      <c r="AB455" s="34">
        <f t="shared" si="119"/>
        <v>0</v>
      </c>
      <c r="AC455" s="34" t="str">
        <f>IF(AND(B455&lt;&gt;"",C455=CompteSel,N(B455)&lt;=DateArret,AB455=0),MAX($AC$3:AC454)+1,"")</f>
        <v/>
      </c>
      <c r="AD455" s="34" t="str">
        <f>IF(AND(ISNUMBER(M455),C455=CompteSel),MAX($AD$3:AD454)+1,"")</f>
        <v/>
      </c>
    </row>
    <row r="456" spans="1:30" x14ac:dyDescent="0.35">
      <c r="A456" s="1" t="str">
        <f t="shared" si="105"/>
        <v/>
      </c>
      <c r="B456" s="31"/>
      <c r="C456" s="8"/>
      <c r="D456" s="8"/>
      <c r="E456" s="8"/>
      <c r="F456" s="8"/>
      <c r="G456" s="8"/>
      <c r="H456" s="32"/>
      <c r="I456" s="32"/>
      <c r="J456" s="25" t="str">
        <f>IF(B456="","",IFERROR(VLOOKUP(C456,Soldes_Ouverture,2,FALSE()),0)+SUMIFS($S$4:S456,$C$4:C456,C456))</f>
        <v/>
      </c>
      <c r="K456" s="1" t="str">
        <f t="shared" si="106"/>
        <v/>
      </c>
      <c r="L456" s="1" t="str">
        <f t="shared" si="107"/>
        <v/>
      </c>
      <c r="M456" s="1" t="str">
        <f t="shared" si="108"/>
        <v/>
      </c>
      <c r="N456" s="8"/>
      <c r="O456" s="8"/>
      <c r="P456" s="1" t="str">
        <f t="shared" si="109"/>
        <v/>
      </c>
      <c r="Q456" s="25" t="str">
        <f t="shared" si="110"/>
        <v/>
      </c>
      <c r="R456" s="1" t="str">
        <f t="shared" si="111"/>
        <v/>
      </c>
      <c r="S456" s="33" t="str">
        <f t="shared" si="112"/>
        <v/>
      </c>
      <c r="T456" s="34" t="str">
        <f>IF(B456="","",C456&amp;"|"&amp;ROUND(S456,2)&amp;"|"&amp;COUNTIFS($C$4:C456,C456,$S$4:S456,S456))</f>
        <v/>
      </c>
      <c r="U456" s="34" t="str">
        <f t="shared" si="113"/>
        <v/>
      </c>
      <c r="V456" s="34" t="str">
        <f t="shared" si="114"/>
        <v/>
      </c>
      <c r="W456" s="34" t="str">
        <f t="shared" si="115"/>
        <v/>
      </c>
      <c r="X456" s="34">
        <f t="shared" si="116"/>
        <v>0</v>
      </c>
      <c r="Y456" s="34" t="str">
        <f t="shared" si="117"/>
        <v/>
      </c>
      <c r="Z456" s="34" t="str">
        <f>IF(X456=1,V456,IF(Y456="","",IF(COUNTIF(Y$3:Y455,Y456)=0,Y456,"")))</f>
        <v/>
      </c>
      <c r="AA456" s="34" t="b">
        <f t="shared" si="118"/>
        <v>0</v>
      </c>
      <c r="AB456" s="34">
        <f t="shared" si="119"/>
        <v>0</v>
      </c>
      <c r="AC456" s="34" t="str">
        <f>IF(AND(B456&lt;&gt;"",C456=CompteSel,N(B456)&lt;=DateArret,AB456=0),MAX($AC$3:AC455)+1,"")</f>
        <v/>
      </c>
      <c r="AD456" s="34" t="str">
        <f>IF(AND(ISNUMBER(M456),C456=CompteSel),MAX($AD$3:AD455)+1,"")</f>
        <v/>
      </c>
    </row>
    <row r="457" spans="1:30" x14ac:dyDescent="0.35">
      <c r="A457" s="1" t="str">
        <f t="shared" si="105"/>
        <v/>
      </c>
      <c r="B457" s="31"/>
      <c r="C457" s="8"/>
      <c r="D457" s="8"/>
      <c r="E457" s="8"/>
      <c r="F457" s="8"/>
      <c r="G457" s="8"/>
      <c r="H457" s="32"/>
      <c r="I457" s="32"/>
      <c r="J457" s="25" t="str">
        <f>IF(B457="","",IFERROR(VLOOKUP(C457,Soldes_Ouverture,2,FALSE()),0)+SUMIFS($S$4:S457,$C$4:C457,C457))</f>
        <v/>
      </c>
      <c r="K457" s="1" t="str">
        <f t="shared" si="106"/>
        <v/>
      </c>
      <c r="L457" s="1" t="str">
        <f t="shared" si="107"/>
        <v/>
      </c>
      <c r="M457" s="1" t="str">
        <f t="shared" si="108"/>
        <v/>
      </c>
      <c r="N457" s="8"/>
      <c r="O457" s="8"/>
      <c r="P457" s="1" t="str">
        <f t="shared" si="109"/>
        <v/>
      </c>
      <c r="Q457" s="25" t="str">
        <f t="shared" si="110"/>
        <v/>
      </c>
      <c r="R457" s="1" t="str">
        <f t="shared" si="111"/>
        <v/>
      </c>
      <c r="S457" s="33" t="str">
        <f t="shared" si="112"/>
        <v/>
      </c>
      <c r="T457" s="34" t="str">
        <f>IF(B457="","",C457&amp;"|"&amp;ROUND(S457,2)&amp;"|"&amp;COUNTIFS($C$4:C457,C457,$S$4:S457,S457))</f>
        <v/>
      </c>
      <c r="U457" s="34" t="str">
        <f t="shared" si="113"/>
        <v/>
      </c>
      <c r="V457" s="34" t="str">
        <f t="shared" si="114"/>
        <v/>
      </c>
      <c r="W457" s="34" t="str">
        <f t="shared" si="115"/>
        <v/>
      </c>
      <c r="X457" s="34">
        <f t="shared" si="116"/>
        <v>0</v>
      </c>
      <c r="Y457" s="34" t="str">
        <f t="shared" si="117"/>
        <v/>
      </c>
      <c r="Z457" s="34" t="str">
        <f>IF(X457=1,V457,IF(Y457="","",IF(COUNTIF(Y$3:Y456,Y457)=0,Y457,"")))</f>
        <v/>
      </c>
      <c r="AA457" s="34" t="b">
        <f t="shared" si="118"/>
        <v>0</v>
      </c>
      <c r="AB457" s="34">
        <f t="shared" si="119"/>
        <v>0</v>
      </c>
      <c r="AC457" s="34" t="str">
        <f>IF(AND(B457&lt;&gt;"",C457=CompteSel,N(B457)&lt;=DateArret,AB457=0),MAX($AC$3:AC456)+1,"")</f>
        <v/>
      </c>
      <c r="AD457" s="34" t="str">
        <f>IF(AND(ISNUMBER(M457),C457=CompteSel),MAX($AD$3:AD456)+1,"")</f>
        <v/>
      </c>
    </row>
    <row r="458" spans="1:30" x14ac:dyDescent="0.35">
      <c r="A458" s="1" t="str">
        <f t="shared" si="105"/>
        <v/>
      </c>
      <c r="B458" s="31"/>
      <c r="C458" s="8"/>
      <c r="D458" s="8"/>
      <c r="E458" s="8"/>
      <c r="F458" s="8"/>
      <c r="G458" s="8"/>
      <c r="H458" s="32"/>
      <c r="I458" s="32"/>
      <c r="J458" s="25" t="str">
        <f>IF(B458="","",IFERROR(VLOOKUP(C458,Soldes_Ouverture,2,FALSE()),0)+SUMIFS($S$4:S458,$C$4:C458,C458))</f>
        <v/>
      </c>
      <c r="K458" s="1" t="str">
        <f t="shared" si="106"/>
        <v/>
      </c>
      <c r="L458" s="1" t="str">
        <f t="shared" si="107"/>
        <v/>
      </c>
      <c r="M458" s="1" t="str">
        <f t="shared" si="108"/>
        <v/>
      </c>
      <c r="N458" s="8"/>
      <c r="O458" s="8"/>
      <c r="P458" s="1" t="str">
        <f t="shared" si="109"/>
        <v/>
      </c>
      <c r="Q458" s="25" t="str">
        <f t="shared" si="110"/>
        <v/>
      </c>
      <c r="R458" s="1" t="str">
        <f t="shared" si="111"/>
        <v/>
      </c>
      <c r="S458" s="33" t="str">
        <f t="shared" si="112"/>
        <v/>
      </c>
      <c r="T458" s="34" t="str">
        <f>IF(B458="","",C458&amp;"|"&amp;ROUND(S458,2)&amp;"|"&amp;COUNTIFS($C$4:C458,C458,$S$4:S458,S458))</f>
        <v/>
      </c>
      <c r="U458" s="34" t="str">
        <f t="shared" si="113"/>
        <v/>
      </c>
      <c r="V458" s="34" t="str">
        <f t="shared" si="114"/>
        <v/>
      </c>
      <c r="W458" s="34" t="str">
        <f t="shared" si="115"/>
        <v/>
      </c>
      <c r="X458" s="34">
        <f t="shared" si="116"/>
        <v>0</v>
      </c>
      <c r="Y458" s="34" t="str">
        <f t="shared" si="117"/>
        <v/>
      </c>
      <c r="Z458" s="34" t="str">
        <f>IF(X458=1,V458,IF(Y458="","",IF(COUNTIF(Y$3:Y457,Y458)=0,Y458,"")))</f>
        <v/>
      </c>
      <c r="AA458" s="34" t="b">
        <f t="shared" si="118"/>
        <v>0</v>
      </c>
      <c r="AB458" s="34">
        <f t="shared" si="119"/>
        <v>0</v>
      </c>
      <c r="AC458" s="34" t="str">
        <f>IF(AND(B458&lt;&gt;"",C458=CompteSel,N(B458)&lt;=DateArret,AB458=0),MAX($AC$3:AC457)+1,"")</f>
        <v/>
      </c>
      <c r="AD458" s="34" t="str">
        <f>IF(AND(ISNUMBER(M458),C458=CompteSel),MAX($AD$3:AD457)+1,"")</f>
        <v/>
      </c>
    </row>
    <row r="459" spans="1:30" x14ac:dyDescent="0.35">
      <c r="A459" s="1" t="str">
        <f t="shared" si="105"/>
        <v/>
      </c>
      <c r="B459" s="31"/>
      <c r="C459" s="8"/>
      <c r="D459" s="8"/>
      <c r="E459" s="8"/>
      <c r="F459" s="8"/>
      <c r="G459" s="8"/>
      <c r="H459" s="32"/>
      <c r="I459" s="32"/>
      <c r="J459" s="25" t="str">
        <f>IF(B459="","",IFERROR(VLOOKUP(C459,Soldes_Ouverture,2,FALSE()),0)+SUMIFS($S$4:S459,$C$4:C459,C459))</f>
        <v/>
      </c>
      <c r="K459" s="1" t="str">
        <f t="shared" si="106"/>
        <v/>
      </c>
      <c r="L459" s="1" t="str">
        <f t="shared" si="107"/>
        <v/>
      </c>
      <c r="M459" s="1" t="str">
        <f t="shared" si="108"/>
        <v/>
      </c>
      <c r="N459" s="8"/>
      <c r="O459" s="8"/>
      <c r="P459" s="1" t="str">
        <f t="shared" si="109"/>
        <v/>
      </c>
      <c r="Q459" s="25" t="str">
        <f t="shared" si="110"/>
        <v/>
      </c>
      <c r="R459" s="1" t="str">
        <f t="shared" si="111"/>
        <v/>
      </c>
      <c r="S459" s="33" t="str">
        <f t="shared" si="112"/>
        <v/>
      </c>
      <c r="T459" s="34" t="str">
        <f>IF(B459="","",C459&amp;"|"&amp;ROUND(S459,2)&amp;"|"&amp;COUNTIFS($C$4:C459,C459,$S$4:S459,S459))</f>
        <v/>
      </c>
      <c r="U459" s="34" t="str">
        <f t="shared" si="113"/>
        <v/>
      </c>
      <c r="V459" s="34" t="str">
        <f t="shared" si="114"/>
        <v/>
      </c>
      <c r="W459" s="34" t="str">
        <f t="shared" si="115"/>
        <v/>
      </c>
      <c r="X459" s="34">
        <f t="shared" si="116"/>
        <v>0</v>
      </c>
      <c r="Y459" s="34" t="str">
        <f t="shared" si="117"/>
        <v/>
      </c>
      <c r="Z459" s="34" t="str">
        <f>IF(X459=1,V459,IF(Y459="","",IF(COUNTIF(Y$3:Y458,Y459)=0,Y459,"")))</f>
        <v/>
      </c>
      <c r="AA459" s="34" t="b">
        <f t="shared" si="118"/>
        <v>0</v>
      </c>
      <c r="AB459" s="34">
        <f t="shared" si="119"/>
        <v>0</v>
      </c>
      <c r="AC459" s="34" t="str">
        <f>IF(AND(B459&lt;&gt;"",C459=CompteSel,N(B459)&lt;=DateArret,AB459=0),MAX($AC$3:AC458)+1,"")</f>
        <v/>
      </c>
      <c r="AD459" s="34" t="str">
        <f>IF(AND(ISNUMBER(M459),C459=CompteSel),MAX($AD$3:AD458)+1,"")</f>
        <v/>
      </c>
    </row>
    <row r="460" spans="1:30" x14ac:dyDescent="0.35">
      <c r="A460" s="1" t="str">
        <f t="shared" si="105"/>
        <v/>
      </c>
      <c r="B460" s="31"/>
      <c r="C460" s="8"/>
      <c r="D460" s="8"/>
      <c r="E460" s="8"/>
      <c r="F460" s="8"/>
      <c r="G460" s="8"/>
      <c r="H460" s="32"/>
      <c r="I460" s="32"/>
      <c r="J460" s="25" t="str">
        <f>IF(B460="","",IFERROR(VLOOKUP(C460,Soldes_Ouverture,2,FALSE()),0)+SUMIFS($S$4:S460,$C$4:C460,C460))</f>
        <v/>
      </c>
      <c r="K460" s="1" t="str">
        <f t="shared" si="106"/>
        <v/>
      </c>
      <c r="L460" s="1" t="str">
        <f t="shared" si="107"/>
        <v/>
      </c>
      <c r="M460" s="1" t="str">
        <f t="shared" si="108"/>
        <v/>
      </c>
      <c r="N460" s="8"/>
      <c r="O460" s="8"/>
      <c r="P460" s="1" t="str">
        <f t="shared" si="109"/>
        <v/>
      </c>
      <c r="Q460" s="25" t="str">
        <f t="shared" si="110"/>
        <v/>
      </c>
      <c r="R460" s="1" t="str">
        <f t="shared" si="111"/>
        <v/>
      </c>
      <c r="S460" s="33" t="str">
        <f t="shared" si="112"/>
        <v/>
      </c>
      <c r="T460" s="34" t="str">
        <f>IF(B460="","",C460&amp;"|"&amp;ROUND(S460,2)&amp;"|"&amp;COUNTIFS($C$4:C460,C460,$S$4:S460,S460))</f>
        <v/>
      </c>
      <c r="U460" s="34" t="str">
        <f t="shared" si="113"/>
        <v/>
      </c>
      <c r="V460" s="34" t="str">
        <f t="shared" si="114"/>
        <v/>
      </c>
      <c r="W460" s="34" t="str">
        <f t="shared" si="115"/>
        <v/>
      </c>
      <c r="X460" s="34">
        <f t="shared" si="116"/>
        <v>0</v>
      </c>
      <c r="Y460" s="34" t="str">
        <f t="shared" si="117"/>
        <v/>
      </c>
      <c r="Z460" s="34" t="str">
        <f>IF(X460=1,V460,IF(Y460="","",IF(COUNTIF(Y$3:Y459,Y460)=0,Y460,"")))</f>
        <v/>
      </c>
      <c r="AA460" s="34" t="b">
        <f t="shared" si="118"/>
        <v>0</v>
      </c>
      <c r="AB460" s="34">
        <f t="shared" si="119"/>
        <v>0</v>
      </c>
      <c r="AC460" s="34" t="str">
        <f>IF(AND(B460&lt;&gt;"",C460=CompteSel,N(B460)&lt;=DateArret,AB460=0),MAX($AC$3:AC459)+1,"")</f>
        <v/>
      </c>
      <c r="AD460" s="34" t="str">
        <f>IF(AND(ISNUMBER(M460),C460=CompteSel),MAX($AD$3:AD459)+1,"")</f>
        <v/>
      </c>
    </row>
    <row r="461" spans="1:30" x14ac:dyDescent="0.35">
      <c r="A461" s="1" t="str">
        <f t="shared" si="105"/>
        <v/>
      </c>
      <c r="B461" s="31"/>
      <c r="C461" s="8"/>
      <c r="D461" s="8"/>
      <c r="E461" s="8"/>
      <c r="F461" s="8"/>
      <c r="G461" s="8"/>
      <c r="H461" s="32"/>
      <c r="I461" s="32"/>
      <c r="J461" s="25" t="str">
        <f>IF(B461="","",IFERROR(VLOOKUP(C461,Soldes_Ouverture,2,FALSE()),0)+SUMIFS($S$4:S461,$C$4:C461,C461))</f>
        <v/>
      </c>
      <c r="K461" s="1" t="str">
        <f t="shared" si="106"/>
        <v/>
      </c>
      <c r="L461" s="1" t="str">
        <f t="shared" si="107"/>
        <v/>
      </c>
      <c r="M461" s="1" t="str">
        <f t="shared" si="108"/>
        <v/>
      </c>
      <c r="N461" s="8"/>
      <c r="O461" s="8"/>
      <c r="P461" s="1" t="str">
        <f t="shared" si="109"/>
        <v/>
      </c>
      <c r="Q461" s="25" t="str">
        <f t="shared" si="110"/>
        <v/>
      </c>
      <c r="R461" s="1" t="str">
        <f t="shared" si="111"/>
        <v/>
      </c>
      <c r="S461" s="33" t="str">
        <f t="shared" si="112"/>
        <v/>
      </c>
      <c r="T461" s="34" t="str">
        <f>IF(B461="","",C461&amp;"|"&amp;ROUND(S461,2)&amp;"|"&amp;COUNTIFS($C$4:C461,C461,$S$4:S461,S461))</f>
        <v/>
      </c>
      <c r="U461" s="34" t="str">
        <f t="shared" si="113"/>
        <v/>
      </c>
      <c r="V461" s="34" t="str">
        <f t="shared" si="114"/>
        <v/>
      </c>
      <c r="W461" s="34" t="str">
        <f t="shared" si="115"/>
        <v/>
      </c>
      <c r="X461" s="34">
        <f t="shared" si="116"/>
        <v>0</v>
      </c>
      <c r="Y461" s="34" t="str">
        <f t="shared" si="117"/>
        <v/>
      </c>
      <c r="Z461" s="34" t="str">
        <f>IF(X461=1,V461,IF(Y461="","",IF(COUNTIF(Y$3:Y460,Y461)=0,Y461,"")))</f>
        <v/>
      </c>
      <c r="AA461" s="34" t="b">
        <f t="shared" si="118"/>
        <v>0</v>
      </c>
      <c r="AB461" s="34">
        <f t="shared" si="119"/>
        <v>0</v>
      </c>
      <c r="AC461" s="34" t="str">
        <f>IF(AND(B461&lt;&gt;"",C461=CompteSel,N(B461)&lt;=DateArret,AB461=0),MAX($AC$3:AC460)+1,"")</f>
        <v/>
      </c>
      <c r="AD461" s="34" t="str">
        <f>IF(AND(ISNUMBER(M461),C461=CompteSel),MAX($AD$3:AD460)+1,"")</f>
        <v/>
      </c>
    </row>
    <row r="462" spans="1:30" x14ac:dyDescent="0.35">
      <c r="A462" s="1" t="str">
        <f t="shared" si="105"/>
        <v/>
      </c>
      <c r="B462" s="31"/>
      <c r="C462" s="8"/>
      <c r="D462" s="8"/>
      <c r="E462" s="8"/>
      <c r="F462" s="8"/>
      <c r="G462" s="8"/>
      <c r="H462" s="32"/>
      <c r="I462" s="32"/>
      <c r="J462" s="25" t="str">
        <f>IF(B462="","",IFERROR(VLOOKUP(C462,Soldes_Ouverture,2,FALSE()),0)+SUMIFS($S$4:S462,$C$4:C462,C462))</f>
        <v/>
      </c>
      <c r="K462" s="1" t="str">
        <f t="shared" si="106"/>
        <v/>
      </c>
      <c r="L462" s="1" t="str">
        <f t="shared" si="107"/>
        <v/>
      </c>
      <c r="M462" s="1" t="str">
        <f t="shared" si="108"/>
        <v/>
      </c>
      <c r="N462" s="8"/>
      <c r="O462" s="8"/>
      <c r="P462" s="1" t="str">
        <f t="shared" si="109"/>
        <v/>
      </c>
      <c r="Q462" s="25" t="str">
        <f t="shared" si="110"/>
        <v/>
      </c>
      <c r="R462" s="1" t="str">
        <f t="shared" si="111"/>
        <v/>
      </c>
      <c r="S462" s="33" t="str">
        <f t="shared" si="112"/>
        <v/>
      </c>
      <c r="T462" s="34" t="str">
        <f>IF(B462="","",C462&amp;"|"&amp;ROUND(S462,2)&amp;"|"&amp;COUNTIFS($C$4:C462,C462,$S$4:S462,S462))</f>
        <v/>
      </c>
      <c r="U462" s="34" t="str">
        <f t="shared" si="113"/>
        <v/>
      </c>
      <c r="V462" s="34" t="str">
        <f t="shared" si="114"/>
        <v/>
      </c>
      <c r="W462" s="34" t="str">
        <f t="shared" si="115"/>
        <v/>
      </c>
      <c r="X462" s="34">
        <f t="shared" si="116"/>
        <v>0</v>
      </c>
      <c r="Y462" s="34" t="str">
        <f t="shared" si="117"/>
        <v/>
      </c>
      <c r="Z462" s="34" t="str">
        <f>IF(X462=1,V462,IF(Y462="","",IF(COUNTIF(Y$3:Y461,Y462)=0,Y462,"")))</f>
        <v/>
      </c>
      <c r="AA462" s="34" t="b">
        <f t="shared" si="118"/>
        <v>0</v>
      </c>
      <c r="AB462" s="34">
        <f t="shared" si="119"/>
        <v>0</v>
      </c>
      <c r="AC462" s="34" t="str">
        <f>IF(AND(B462&lt;&gt;"",C462=CompteSel,N(B462)&lt;=DateArret,AB462=0),MAX($AC$3:AC461)+1,"")</f>
        <v/>
      </c>
      <c r="AD462" s="34" t="str">
        <f>IF(AND(ISNUMBER(M462),C462=CompteSel),MAX($AD$3:AD461)+1,"")</f>
        <v/>
      </c>
    </row>
    <row r="463" spans="1:30" x14ac:dyDescent="0.35">
      <c r="A463" s="1" t="str">
        <f t="shared" si="105"/>
        <v/>
      </c>
      <c r="B463" s="31"/>
      <c r="C463" s="8"/>
      <c r="D463" s="8"/>
      <c r="E463" s="8"/>
      <c r="F463" s="8"/>
      <c r="G463" s="8"/>
      <c r="H463" s="32"/>
      <c r="I463" s="32"/>
      <c r="J463" s="25" t="str">
        <f>IF(B463="","",IFERROR(VLOOKUP(C463,Soldes_Ouverture,2,FALSE()),0)+SUMIFS($S$4:S463,$C$4:C463,C463))</f>
        <v/>
      </c>
      <c r="K463" s="1" t="str">
        <f t="shared" si="106"/>
        <v/>
      </c>
      <c r="L463" s="1" t="str">
        <f t="shared" si="107"/>
        <v/>
      </c>
      <c r="M463" s="1" t="str">
        <f t="shared" si="108"/>
        <v/>
      </c>
      <c r="N463" s="8"/>
      <c r="O463" s="8"/>
      <c r="P463" s="1" t="str">
        <f t="shared" si="109"/>
        <v/>
      </c>
      <c r="Q463" s="25" t="str">
        <f t="shared" si="110"/>
        <v/>
      </c>
      <c r="R463" s="1" t="str">
        <f t="shared" si="111"/>
        <v/>
      </c>
      <c r="S463" s="33" t="str">
        <f t="shared" si="112"/>
        <v/>
      </c>
      <c r="T463" s="34" t="str">
        <f>IF(B463="","",C463&amp;"|"&amp;ROUND(S463,2)&amp;"|"&amp;COUNTIFS($C$4:C463,C463,$S$4:S463,S463))</f>
        <v/>
      </c>
      <c r="U463" s="34" t="str">
        <f t="shared" si="113"/>
        <v/>
      </c>
      <c r="V463" s="34" t="str">
        <f t="shared" si="114"/>
        <v/>
      </c>
      <c r="W463" s="34" t="str">
        <f t="shared" si="115"/>
        <v/>
      </c>
      <c r="X463" s="34">
        <f t="shared" si="116"/>
        <v>0</v>
      </c>
      <c r="Y463" s="34" t="str">
        <f t="shared" si="117"/>
        <v/>
      </c>
      <c r="Z463" s="34" t="str">
        <f>IF(X463=1,V463,IF(Y463="","",IF(COUNTIF(Y$3:Y462,Y463)=0,Y463,"")))</f>
        <v/>
      </c>
      <c r="AA463" s="34" t="b">
        <f t="shared" si="118"/>
        <v>0</v>
      </c>
      <c r="AB463" s="34">
        <f t="shared" si="119"/>
        <v>0</v>
      </c>
      <c r="AC463" s="34" t="str">
        <f>IF(AND(B463&lt;&gt;"",C463=CompteSel,N(B463)&lt;=DateArret,AB463=0),MAX($AC$3:AC462)+1,"")</f>
        <v/>
      </c>
      <c r="AD463" s="34" t="str">
        <f>IF(AND(ISNUMBER(M463),C463=CompteSel),MAX($AD$3:AD462)+1,"")</f>
        <v/>
      </c>
    </row>
    <row r="464" spans="1:30" x14ac:dyDescent="0.35">
      <c r="A464" s="1" t="str">
        <f t="shared" si="105"/>
        <v/>
      </c>
      <c r="B464" s="31"/>
      <c r="C464" s="8"/>
      <c r="D464" s="8"/>
      <c r="E464" s="8"/>
      <c r="F464" s="8"/>
      <c r="G464" s="8"/>
      <c r="H464" s="32"/>
      <c r="I464" s="32"/>
      <c r="J464" s="25" t="str">
        <f>IF(B464="","",IFERROR(VLOOKUP(C464,Soldes_Ouverture,2,FALSE()),0)+SUMIFS($S$4:S464,$C$4:C464,C464))</f>
        <v/>
      </c>
      <c r="K464" s="1" t="str">
        <f t="shared" si="106"/>
        <v/>
      </c>
      <c r="L464" s="1" t="str">
        <f t="shared" si="107"/>
        <v/>
      </c>
      <c r="M464" s="1" t="str">
        <f t="shared" si="108"/>
        <v/>
      </c>
      <c r="N464" s="8"/>
      <c r="O464" s="8"/>
      <c r="P464" s="1" t="str">
        <f t="shared" si="109"/>
        <v/>
      </c>
      <c r="Q464" s="25" t="str">
        <f t="shared" si="110"/>
        <v/>
      </c>
      <c r="R464" s="1" t="str">
        <f t="shared" si="111"/>
        <v/>
      </c>
      <c r="S464" s="33" t="str">
        <f t="shared" si="112"/>
        <v/>
      </c>
      <c r="T464" s="34" t="str">
        <f>IF(B464="","",C464&amp;"|"&amp;ROUND(S464,2)&amp;"|"&amp;COUNTIFS($C$4:C464,C464,$S$4:S464,S464))</f>
        <v/>
      </c>
      <c r="U464" s="34" t="str">
        <f t="shared" si="113"/>
        <v/>
      </c>
      <c r="V464" s="34" t="str">
        <f t="shared" si="114"/>
        <v/>
      </c>
      <c r="W464" s="34" t="str">
        <f t="shared" si="115"/>
        <v/>
      </c>
      <c r="X464" s="34">
        <f t="shared" si="116"/>
        <v>0</v>
      </c>
      <c r="Y464" s="34" t="str">
        <f t="shared" si="117"/>
        <v/>
      </c>
      <c r="Z464" s="34" t="str">
        <f>IF(X464=1,V464,IF(Y464="","",IF(COUNTIF(Y$3:Y463,Y464)=0,Y464,"")))</f>
        <v/>
      </c>
      <c r="AA464" s="34" t="b">
        <f t="shared" si="118"/>
        <v>0</v>
      </c>
      <c r="AB464" s="34">
        <f t="shared" si="119"/>
        <v>0</v>
      </c>
      <c r="AC464" s="34" t="str">
        <f>IF(AND(B464&lt;&gt;"",C464=CompteSel,N(B464)&lt;=DateArret,AB464=0),MAX($AC$3:AC463)+1,"")</f>
        <v/>
      </c>
      <c r="AD464" s="34" t="str">
        <f>IF(AND(ISNUMBER(M464),C464=CompteSel),MAX($AD$3:AD463)+1,"")</f>
        <v/>
      </c>
    </row>
    <row r="465" spans="1:30" x14ac:dyDescent="0.35">
      <c r="A465" s="1" t="str">
        <f t="shared" si="105"/>
        <v/>
      </c>
      <c r="B465" s="31"/>
      <c r="C465" s="8"/>
      <c r="D465" s="8"/>
      <c r="E465" s="8"/>
      <c r="F465" s="8"/>
      <c r="G465" s="8"/>
      <c r="H465" s="32"/>
      <c r="I465" s="32"/>
      <c r="J465" s="25" t="str">
        <f>IF(B465="","",IFERROR(VLOOKUP(C465,Soldes_Ouverture,2,FALSE()),0)+SUMIFS($S$4:S465,$C$4:C465,C465))</f>
        <v/>
      </c>
      <c r="K465" s="1" t="str">
        <f t="shared" si="106"/>
        <v/>
      </c>
      <c r="L465" s="1" t="str">
        <f t="shared" si="107"/>
        <v/>
      </c>
      <c r="M465" s="1" t="str">
        <f t="shared" si="108"/>
        <v/>
      </c>
      <c r="N465" s="8"/>
      <c r="O465" s="8"/>
      <c r="P465" s="1" t="str">
        <f t="shared" si="109"/>
        <v/>
      </c>
      <c r="Q465" s="25" t="str">
        <f t="shared" si="110"/>
        <v/>
      </c>
      <c r="R465" s="1" t="str">
        <f t="shared" si="111"/>
        <v/>
      </c>
      <c r="S465" s="33" t="str">
        <f t="shared" si="112"/>
        <v/>
      </c>
      <c r="T465" s="34" t="str">
        <f>IF(B465="","",C465&amp;"|"&amp;ROUND(S465,2)&amp;"|"&amp;COUNTIFS($C$4:C465,C465,$S$4:S465,S465))</f>
        <v/>
      </c>
      <c r="U465" s="34" t="str">
        <f t="shared" si="113"/>
        <v/>
      </c>
      <c r="V465" s="34" t="str">
        <f t="shared" si="114"/>
        <v/>
      </c>
      <c r="W465" s="34" t="str">
        <f t="shared" si="115"/>
        <v/>
      </c>
      <c r="X465" s="34">
        <f t="shared" si="116"/>
        <v>0</v>
      </c>
      <c r="Y465" s="34" t="str">
        <f t="shared" si="117"/>
        <v/>
      </c>
      <c r="Z465" s="34" t="str">
        <f>IF(X465=1,V465,IF(Y465="","",IF(COUNTIF(Y$3:Y464,Y465)=0,Y465,"")))</f>
        <v/>
      </c>
      <c r="AA465" s="34" t="b">
        <f t="shared" si="118"/>
        <v>0</v>
      </c>
      <c r="AB465" s="34">
        <f t="shared" si="119"/>
        <v>0</v>
      </c>
      <c r="AC465" s="34" t="str">
        <f>IF(AND(B465&lt;&gt;"",C465=CompteSel,N(B465)&lt;=DateArret,AB465=0),MAX($AC$3:AC464)+1,"")</f>
        <v/>
      </c>
      <c r="AD465" s="34" t="str">
        <f>IF(AND(ISNUMBER(M465),C465=CompteSel),MAX($AD$3:AD464)+1,"")</f>
        <v/>
      </c>
    </row>
    <row r="466" spans="1:30" x14ac:dyDescent="0.35">
      <c r="A466" s="1" t="str">
        <f t="shared" si="105"/>
        <v/>
      </c>
      <c r="B466" s="31"/>
      <c r="C466" s="8"/>
      <c r="D466" s="8"/>
      <c r="E466" s="8"/>
      <c r="F466" s="8"/>
      <c r="G466" s="8"/>
      <c r="H466" s="32"/>
      <c r="I466" s="32"/>
      <c r="J466" s="25" t="str">
        <f>IF(B466="","",IFERROR(VLOOKUP(C466,Soldes_Ouverture,2,FALSE()),0)+SUMIFS($S$4:S466,$C$4:C466,C466))</f>
        <v/>
      </c>
      <c r="K466" s="1" t="str">
        <f t="shared" si="106"/>
        <v/>
      </c>
      <c r="L466" s="1" t="str">
        <f t="shared" si="107"/>
        <v/>
      </c>
      <c r="M466" s="1" t="str">
        <f t="shared" si="108"/>
        <v/>
      </c>
      <c r="N466" s="8"/>
      <c r="O466" s="8"/>
      <c r="P466" s="1" t="str">
        <f t="shared" si="109"/>
        <v/>
      </c>
      <c r="Q466" s="25" t="str">
        <f t="shared" si="110"/>
        <v/>
      </c>
      <c r="R466" s="1" t="str">
        <f t="shared" si="111"/>
        <v/>
      </c>
      <c r="S466" s="33" t="str">
        <f t="shared" si="112"/>
        <v/>
      </c>
      <c r="T466" s="34" t="str">
        <f>IF(B466="","",C466&amp;"|"&amp;ROUND(S466,2)&amp;"|"&amp;COUNTIFS($C$4:C466,C466,$S$4:S466,S466))</f>
        <v/>
      </c>
      <c r="U466" s="34" t="str">
        <f t="shared" si="113"/>
        <v/>
      </c>
      <c r="V466" s="34" t="str">
        <f t="shared" si="114"/>
        <v/>
      </c>
      <c r="W466" s="34" t="str">
        <f t="shared" si="115"/>
        <v/>
      </c>
      <c r="X466" s="34">
        <f t="shared" si="116"/>
        <v>0</v>
      </c>
      <c r="Y466" s="34" t="str">
        <f t="shared" si="117"/>
        <v/>
      </c>
      <c r="Z466" s="34" t="str">
        <f>IF(X466=1,V466,IF(Y466="","",IF(COUNTIF(Y$3:Y465,Y466)=0,Y466,"")))</f>
        <v/>
      </c>
      <c r="AA466" s="34" t="b">
        <f t="shared" si="118"/>
        <v>0</v>
      </c>
      <c r="AB466" s="34">
        <f t="shared" si="119"/>
        <v>0</v>
      </c>
      <c r="AC466" s="34" t="str">
        <f>IF(AND(B466&lt;&gt;"",C466=CompteSel,N(B466)&lt;=DateArret,AB466=0),MAX($AC$3:AC465)+1,"")</f>
        <v/>
      </c>
      <c r="AD466" s="34" t="str">
        <f>IF(AND(ISNUMBER(M466),C466=CompteSel),MAX($AD$3:AD465)+1,"")</f>
        <v/>
      </c>
    </row>
    <row r="467" spans="1:30" x14ac:dyDescent="0.35">
      <c r="A467" s="1" t="str">
        <f t="shared" si="105"/>
        <v/>
      </c>
      <c r="B467" s="31"/>
      <c r="C467" s="8"/>
      <c r="D467" s="8"/>
      <c r="E467" s="8"/>
      <c r="F467" s="8"/>
      <c r="G467" s="8"/>
      <c r="H467" s="32"/>
      <c r="I467" s="32"/>
      <c r="J467" s="25" t="str">
        <f>IF(B467="","",IFERROR(VLOOKUP(C467,Soldes_Ouverture,2,FALSE()),0)+SUMIFS($S$4:S467,$C$4:C467,C467))</f>
        <v/>
      </c>
      <c r="K467" s="1" t="str">
        <f t="shared" si="106"/>
        <v/>
      </c>
      <c r="L467" s="1" t="str">
        <f t="shared" si="107"/>
        <v/>
      </c>
      <c r="M467" s="1" t="str">
        <f t="shared" si="108"/>
        <v/>
      </c>
      <c r="N467" s="8"/>
      <c r="O467" s="8"/>
      <c r="P467" s="1" t="str">
        <f t="shared" si="109"/>
        <v/>
      </c>
      <c r="Q467" s="25" t="str">
        <f t="shared" si="110"/>
        <v/>
      </c>
      <c r="R467" s="1" t="str">
        <f t="shared" si="111"/>
        <v/>
      </c>
      <c r="S467" s="33" t="str">
        <f t="shared" si="112"/>
        <v/>
      </c>
      <c r="T467" s="34" t="str">
        <f>IF(B467="","",C467&amp;"|"&amp;ROUND(S467,2)&amp;"|"&amp;COUNTIFS($C$4:C467,C467,$S$4:S467,S467))</f>
        <v/>
      </c>
      <c r="U467" s="34" t="str">
        <f t="shared" si="113"/>
        <v/>
      </c>
      <c r="V467" s="34" t="str">
        <f t="shared" si="114"/>
        <v/>
      </c>
      <c r="W467" s="34" t="str">
        <f t="shared" si="115"/>
        <v/>
      </c>
      <c r="X467" s="34">
        <f t="shared" si="116"/>
        <v>0</v>
      </c>
      <c r="Y467" s="34" t="str">
        <f t="shared" si="117"/>
        <v/>
      </c>
      <c r="Z467" s="34" t="str">
        <f>IF(X467=1,V467,IF(Y467="","",IF(COUNTIF(Y$3:Y466,Y467)=0,Y467,"")))</f>
        <v/>
      </c>
      <c r="AA467" s="34" t="b">
        <f t="shared" si="118"/>
        <v>0</v>
      </c>
      <c r="AB467" s="34">
        <f t="shared" si="119"/>
        <v>0</v>
      </c>
      <c r="AC467" s="34" t="str">
        <f>IF(AND(B467&lt;&gt;"",C467=CompteSel,N(B467)&lt;=DateArret,AB467=0),MAX($AC$3:AC466)+1,"")</f>
        <v/>
      </c>
      <c r="AD467" s="34" t="str">
        <f>IF(AND(ISNUMBER(M467),C467=CompteSel),MAX($AD$3:AD466)+1,"")</f>
        <v/>
      </c>
    </row>
    <row r="468" spans="1:30" x14ac:dyDescent="0.35">
      <c r="A468" s="1" t="str">
        <f t="shared" si="105"/>
        <v/>
      </c>
      <c r="B468" s="31"/>
      <c r="C468" s="8"/>
      <c r="D468" s="8"/>
      <c r="E468" s="8"/>
      <c r="F468" s="8"/>
      <c r="G468" s="8"/>
      <c r="H468" s="32"/>
      <c r="I468" s="32"/>
      <c r="J468" s="25" t="str">
        <f>IF(B468="","",IFERROR(VLOOKUP(C468,Soldes_Ouverture,2,FALSE()),0)+SUMIFS($S$4:S468,$C$4:C468,C468))</f>
        <v/>
      </c>
      <c r="K468" s="1" t="str">
        <f t="shared" si="106"/>
        <v/>
      </c>
      <c r="L468" s="1" t="str">
        <f t="shared" si="107"/>
        <v/>
      </c>
      <c r="M468" s="1" t="str">
        <f t="shared" si="108"/>
        <v/>
      </c>
      <c r="N468" s="8"/>
      <c r="O468" s="8"/>
      <c r="P468" s="1" t="str">
        <f t="shared" si="109"/>
        <v/>
      </c>
      <c r="Q468" s="25" t="str">
        <f t="shared" si="110"/>
        <v/>
      </c>
      <c r="R468" s="1" t="str">
        <f t="shared" si="111"/>
        <v/>
      </c>
      <c r="S468" s="33" t="str">
        <f t="shared" si="112"/>
        <v/>
      </c>
      <c r="T468" s="34" t="str">
        <f>IF(B468="","",C468&amp;"|"&amp;ROUND(S468,2)&amp;"|"&amp;COUNTIFS($C$4:C468,C468,$S$4:S468,S468))</f>
        <v/>
      </c>
      <c r="U468" s="34" t="str">
        <f t="shared" si="113"/>
        <v/>
      </c>
      <c r="V468" s="34" t="str">
        <f t="shared" si="114"/>
        <v/>
      </c>
      <c r="W468" s="34" t="str">
        <f t="shared" si="115"/>
        <v/>
      </c>
      <c r="X468" s="34">
        <f t="shared" si="116"/>
        <v>0</v>
      </c>
      <c r="Y468" s="34" t="str">
        <f t="shared" si="117"/>
        <v/>
      </c>
      <c r="Z468" s="34" t="str">
        <f>IF(X468=1,V468,IF(Y468="","",IF(COUNTIF(Y$3:Y467,Y468)=0,Y468,"")))</f>
        <v/>
      </c>
      <c r="AA468" s="34" t="b">
        <f t="shared" si="118"/>
        <v>0</v>
      </c>
      <c r="AB468" s="34">
        <f t="shared" si="119"/>
        <v>0</v>
      </c>
      <c r="AC468" s="34" t="str">
        <f>IF(AND(B468&lt;&gt;"",C468=CompteSel,N(B468)&lt;=DateArret,AB468=0),MAX($AC$3:AC467)+1,"")</f>
        <v/>
      </c>
      <c r="AD468" s="34" t="str">
        <f>IF(AND(ISNUMBER(M468),C468=CompteSel),MAX($AD$3:AD467)+1,"")</f>
        <v/>
      </c>
    </row>
    <row r="469" spans="1:30" x14ac:dyDescent="0.35">
      <c r="A469" s="1" t="str">
        <f t="shared" si="105"/>
        <v/>
      </c>
      <c r="B469" s="31"/>
      <c r="C469" s="8"/>
      <c r="D469" s="8"/>
      <c r="E469" s="8"/>
      <c r="F469" s="8"/>
      <c r="G469" s="8"/>
      <c r="H469" s="32"/>
      <c r="I469" s="32"/>
      <c r="J469" s="25" t="str">
        <f>IF(B469="","",IFERROR(VLOOKUP(C469,Soldes_Ouverture,2,FALSE()),0)+SUMIFS($S$4:S469,$C$4:C469,C469))</f>
        <v/>
      </c>
      <c r="K469" s="1" t="str">
        <f t="shared" si="106"/>
        <v/>
      </c>
      <c r="L469" s="1" t="str">
        <f t="shared" si="107"/>
        <v/>
      </c>
      <c r="M469" s="1" t="str">
        <f t="shared" si="108"/>
        <v/>
      </c>
      <c r="N469" s="8"/>
      <c r="O469" s="8"/>
      <c r="P469" s="1" t="str">
        <f t="shared" si="109"/>
        <v/>
      </c>
      <c r="Q469" s="25" t="str">
        <f t="shared" si="110"/>
        <v/>
      </c>
      <c r="R469" s="1" t="str">
        <f t="shared" si="111"/>
        <v/>
      </c>
      <c r="S469" s="33" t="str">
        <f t="shared" si="112"/>
        <v/>
      </c>
      <c r="T469" s="34" t="str">
        <f>IF(B469="","",C469&amp;"|"&amp;ROUND(S469,2)&amp;"|"&amp;COUNTIFS($C$4:C469,C469,$S$4:S469,S469))</f>
        <v/>
      </c>
      <c r="U469" s="34" t="str">
        <f t="shared" si="113"/>
        <v/>
      </c>
      <c r="V469" s="34" t="str">
        <f t="shared" si="114"/>
        <v/>
      </c>
      <c r="W469" s="34" t="str">
        <f t="shared" si="115"/>
        <v/>
      </c>
      <c r="X469" s="34">
        <f t="shared" si="116"/>
        <v>0</v>
      </c>
      <c r="Y469" s="34" t="str">
        <f t="shared" si="117"/>
        <v/>
      </c>
      <c r="Z469" s="34" t="str">
        <f>IF(X469=1,V469,IF(Y469="","",IF(COUNTIF(Y$3:Y468,Y469)=0,Y469,"")))</f>
        <v/>
      </c>
      <c r="AA469" s="34" t="b">
        <f t="shared" si="118"/>
        <v>0</v>
      </c>
      <c r="AB469" s="34">
        <f t="shared" si="119"/>
        <v>0</v>
      </c>
      <c r="AC469" s="34" t="str">
        <f>IF(AND(B469&lt;&gt;"",C469=CompteSel,N(B469)&lt;=DateArret,AB469=0),MAX($AC$3:AC468)+1,"")</f>
        <v/>
      </c>
      <c r="AD469" s="34" t="str">
        <f>IF(AND(ISNUMBER(M469),C469=CompteSel),MAX($AD$3:AD468)+1,"")</f>
        <v/>
      </c>
    </row>
    <row r="470" spans="1:30" x14ac:dyDescent="0.35">
      <c r="A470" s="1" t="str">
        <f t="shared" si="105"/>
        <v/>
      </c>
      <c r="B470" s="31"/>
      <c r="C470" s="8"/>
      <c r="D470" s="8"/>
      <c r="E470" s="8"/>
      <c r="F470" s="8"/>
      <c r="G470" s="8"/>
      <c r="H470" s="32"/>
      <c r="I470" s="32"/>
      <c r="J470" s="25" t="str">
        <f>IF(B470="","",IFERROR(VLOOKUP(C470,Soldes_Ouverture,2,FALSE()),0)+SUMIFS($S$4:S470,$C$4:C470,C470))</f>
        <v/>
      </c>
      <c r="K470" s="1" t="str">
        <f t="shared" si="106"/>
        <v/>
      </c>
      <c r="L470" s="1" t="str">
        <f t="shared" si="107"/>
        <v/>
      </c>
      <c r="M470" s="1" t="str">
        <f t="shared" si="108"/>
        <v/>
      </c>
      <c r="N470" s="8"/>
      <c r="O470" s="8"/>
      <c r="P470" s="1" t="str">
        <f t="shared" si="109"/>
        <v/>
      </c>
      <c r="Q470" s="25" t="str">
        <f t="shared" si="110"/>
        <v/>
      </c>
      <c r="R470" s="1" t="str">
        <f t="shared" si="111"/>
        <v/>
      </c>
      <c r="S470" s="33" t="str">
        <f t="shared" si="112"/>
        <v/>
      </c>
      <c r="T470" s="34" t="str">
        <f>IF(B470="","",C470&amp;"|"&amp;ROUND(S470,2)&amp;"|"&amp;COUNTIFS($C$4:C470,C470,$S$4:S470,S470))</f>
        <v/>
      </c>
      <c r="U470" s="34" t="str">
        <f t="shared" si="113"/>
        <v/>
      </c>
      <c r="V470" s="34" t="str">
        <f t="shared" si="114"/>
        <v/>
      </c>
      <c r="W470" s="34" t="str">
        <f t="shared" si="115"/>
        <v/>
      </c>
      <c r="X470" s="34">
        <f t="shared" si="116"/>
        <v>0</v>
      </c>
      <c r="Y470" s="34" t="str">
        <f t="shared" si="117"/>
        <v/>
      </c>
      <c r="Z470" s="34" t="str">
        <f>IF(X470=1,V470,IF(Y470="","",IF(COUNTIF(Y$3:Y469,Y470)=0,Y470,"")))</f>
        <v/>
      </c>
      <c r="AA470" s="34" t="b">
        <f t="shared" si="118"/>
        <v>0</v>
      </c>
      <c r="AB470" s="34">
        <f t="shared" si="119"/>
        <v>0</v>
      </c>
      <c r="AC470" s="34" t="str">
        <f>IF(AND(B470&lt;&gt;"",C470=CompteSel,N(B470)&lt;=DateArret,AB470=0),MAX($AC$3:AC469)+1,"")</f>
        <v/>
      </c>
      <c r="AD470" s="34" t="str">
        <f>IF(AND(ISNUMBER(M470),C470=CompteSel),MAX($AD$3:AD469)+1,"")</f>
        <v/>
      </c>
    </row>
    <row r="471" spans="1:30" x14ac:dyDescent="0.35">
      <c r="A471" s="1" t="str">
        <f t="shared" si="105"/>
        <v/>
      </c>
      <c r="B471" s="31"/>
      <c r="C471" s="8"/>
      <c r="D471" s="8"/>
      <c r="E471" s="8"/>
      <c r="F471" s="8"/>
      <c r="G471" s="8"/>
      <c r="H471" s="32"/>
      <c r="I471" s="32"/>
      <c r="J471" s="25" t="str">
        <f>IF(B471="","",IFERROR(VLOOKUP(C471,Soldes_Ouverture,2,FALSE()),0)+SUMIFS($S$4:S471,$C$4:C471,C471))</f>
        <v/>
      </c>
      <c r="K471" s="1" t="str">
        <f t="shared" si="106"/>
        <v/>
      </c>
      <c r="L471" s="1" t="str">
        <f t="shared" si="107"/>
        <v/>
      </c>
      <c r="M471" s="1" t="str">
        <f t="shared" si="108"/>
        <v/>
      </c>
      <c r="N471" s="8"/>
      <c r="O471" s="8"/>
      <c r="P471" s="1" t="str">
        <f t="shared" si="109"/>
        <v/>
      </c>
      <c r="Q471" s="25" t="str">
        <f t="shared" si="110"/>
        <v/>
      </c>
      <c r="R471" s="1" t="str">
        <f t="shared" si="111"/>
        <v/>
      </c>
      <c r="S471" s="33" t="str">
        <f t="shared" si="112"/>
        <v/>
      </c>
      <c r="T471" s="34" t="str">
        <f>IF(B471="","",C471&amp;"|"&amp;ROUND(S471,2)&amp;"|"&amp;COUNTIFS($C$4:C471,C471,$S$4:S471,S471))</f>
        <v/>
      </c>
      <c r="U471" s="34" t="str">
        <f t="shared" si="113"/>
        <v/>
      </c>
      <c r="V471" s="34" t="str">
        <f t="shared" si="114"/>
        <v/>
      </c>
      <c r="W471" s="34" t="str">
        <f t="shared" si="115"/>
        <v/>
      </c>
      <c r="X471" s="34">
        <f t="shared" si="116"/>
        <v>0</v>
      </c>
      <c r="Y471" s="34" t="str">
        <f t="shared" si="117"/>
        <v/>
      </c>
      <c r="Z471" s="34" t="str">
        <f>IF(X471=1,V471,IF(Y471="","",IF(COUNTIF(Y$3:Y470,Y471)=0,Y471,"")))</f>
        <v/>
      </c>
      <c r="AA471" s="34" t="b">
        <f t="shared" si="118"/>
        <v>0</v>
      </c>
      <c r="AB471" s="34">
        <f t="shared" si="119"/>
        <v>0</v>
      </c>
      <c r="AC471" s="34" t="str">
        <f>IF(AND(B471&lt;&gt;"",C471=CompteSel,N(B471)&lt;=DateArret,AB471=0),MAX($AC$3:AC470)+1,"")</f>
        <v/>
      </c>
      <c r="AD471" s="34" t="str">
        <f>IF(AND(ISNUMBER(M471),C471=CompteSel),MAX($AD$3:AD470)+1,"")</f>
        <v/>
      </c>
    </row>
    <row r="472" spans="1:30" x14ac:dyDescent="0.35">
      <c r="A472" s="1" t="str">
        <f t="shared" si="105"/>
        <v/>
      </c>
      <c r="B472" s="31"/>
      <c r="C472" s="8"/>
      <c r="D472" s="8"/>
      <c r="E472" s="8"/>
      <c r="F472" s="8"/>
      <c r="G472" s="8"/>
      <c r="H472" s="32"/>
      <c r="I472" s="32"/>
      <c r="J472" s="25" t="str">
        <f>IF(B472="","",IFERROR(VLOOKUP(C472,Soldes_Ouverture,2,FALSE()),0)+SUMIFS($S$4:S472,$C$4:C472,C472))</f>
        <v/>
      </c>
      <c r="K472" s="1" t="str">
        <f t="shared" si="106"/>
        <v/>
      </c>
      <c r="L472" s="1" t="str">
        <f t="shared" si="107"/>
        <v/>
      </c>
      <c r="M472" s="1" t="str">
        <f t="shared" si="108"/>
        <v/>
      </c>
      <c r="N472" s="8"/>
      <c r="O472" s="8"/>
      <c r="P472" s="1" t="str">
        <f t="shared" si="109"/>
        <v/>
      </c>
      <c r="Q472" s="25" t="str">
        <f t="shared" si="110"/>
        <v/>
      </c>
      <c r="R472" s="1" t="str">
        <f t="shared" si="111"/>
        <v/>
      </c>
      <c r="S472" s="33" t="str">
        <f t="shared" si="112"/>
        <v/>
      </c>
      <c r="T472" s="34" t="str">
        <f>IF(B472="","",C472&amp;"|"&amp;ROUND(S472,2)&amp;"|"&amp;COUNTIFS($C$4:C472,C472,$S$4:S472,S472))</f>
        <v/>
      </c>
      <c r="U472" s="34" t="str">
        <f t="shared" si="113"/>
        <v/>
      </c>
      <c r="V472" s="34" t="str">
        <f t="shared" si="114"/>
        <v/>
      </c>
      <c r="W472" s="34" t="str">
        <f t="shared" si="115"/>
        <v/>
      </c>
      <c r="X472" s="34">
        <f t="shared" si="116"/>
        <v>0</v>
      </c>
      <c r="Y472" s="34" t="str">
        <f t="shared" si="117"/>
        <v/>
      </c>
      <c r="Z472" s="34" t="str">
        <f>IF(X472=1,V472,IF(Y472="","",IF(COUNTIF(Y$3:Y471,Y472)=0,Y472,"")))</f>
        <v/>
      </c>
      <c r="AA472" s="34" t="b">
        <f t="shared" si="118"/>
        <v>0</v>
      </c>
      <c r="AB472" s="34">
        <f t="shared" si="119"/>
        <v>0</v>
      </c>
      <c r="AC472" s="34" t="str">
        <f>IF(AND(B472&lt;&gt;"",C472=CompteSel,N(B472)&lt;=DateArret,AB472=0),MAX($AC$3:AC471)+1,"")</f>
        <v/>
      </c>
      <c r="AD472" s="34" t="str">
        <f>IF(AND(ISNUMBER(M472),C472=CompteSel),MAX($AD$3:AD471)+1,"")</f>
        <v/>
      </c>
    </row>
    <row r="473" spans="1:30" x14ac:dyDescent="0.35">
      <c r="A473" s="1" t="str">
        <f t="shared" si="105"/>
        <v/>
      </c>
      <c r="B473" s="31"/>
      <c r="C473" s="8"/>
      <c r="D473" s="8"/>
      <c r="E473" s="8"/>
      <c r="F473" s="8"/>
      <c r="G473" s="8"/>
      <c r="H473" s="32"/>
      <c r="I473" s="32"/>
      <c r="J473" s="25" t="str">
        <f>IF(B473="","",IFERROR(VLOOKUP(C473,Soldes_Ouverture,2,FALSE()),0)+SUMIFS($S$4:S473,$C$4:C473,C473))</f>
        <v/>
      </c>
      <c r="K473" s="1" t="str">
        <f t="shared" si="106"/>
        <v/>
      </c>
      <c r="L473" s="1" t="str">
        <f t="shared" si="107"/>
        <v/>
      </c>
      <c r="M473" s="1" t="str">
        <f t="shared" si="108"/>
        <v/>
      </c>
      <c r="N473" s="8"/>
      <c r="O473" s="8"/>
      <c r="P473" s="1" t="str">
        <f t="shared" si="109"/>
        <v/>
      </c>
      <c r="Q473" s="25" t="str">
        <f t="shared" si="110"/>
        <v/>
      </c>
      <c r="R473" s="1" t="str">
        <f t="shared" si="111"/>
        <v/>
      </c>
      <c r="S473" s="33" t="str">
        <f t="shared" si="112"/>
        <v/>
      </c>
      <c r="T473" s="34" t="str">
        <f>IF(B473="","",C473&amp;"|"&amp;ROUND(S473,2)&amp;"|"&amp;COUNTIFS($C$4:C473,C473,$S$4:S473,S473))</f>
        <v/>
      </c>
      <c r="U473" s="34" t="str">
        <f t="shared" si="113"/>
        <v/>
      </c>
      <c r="V473" s="34" t="str">
        <f t="shared" si="114"/>
        <v/>
      </c>
      <c r="W473" s="34" t="str">
        <f t="shared" si="115"/>
        <v/>
      </c>
      <c r="X473" s="34">
        <f t="shared" si="116"/>
        <v>0</v>
      </c>
      <c r="Y473" s="34" t="str">
        <f t="shared" si="117"/>
        <v/>
      </c>
      <c r="Z473" s="34" t="str">
        <f>IF(X473=1,V473,IF(Y473="","",IF(COUNTIF(Y$3:Y472,Y473)=0,Y473,"")))</f>
        <v/>
      </c>
      <c r="AA473" s="34" t="b">
        <f t="shared" si="118"/>
        <v>0</v>
      </c>
      <c r="AB473" s="34">
        <f t="shared" si="119"/>
        <v>0</v>
      </c>
      <c r="AC473" s="34" t="str">
        <f>IF(AND(B473&lt;&gt;"",C473=CompteSel,N(B473)&lt;=DateArret,AB473=0),MAX($AC$3:AC472)+1,"")</f>
        <v/>
      </c>
      <c r="AD473" s="34" t="str">
        <f>IF(AND(ISNUMBER(M473),C473=CompteSel),MAX($AD$3:AD472)+1,"")</f>
        <v/>
      </c>
    </row>
    <row r="474" spans="1:30" x14ac:dyDescent="0.35">
      <c r="A474" s="1" t="str">
        <f t="shared" si="105"/>
        <v/>
      </c>
      <c r="B474" s="31"/>
      <c r="C474" s="8"/>
      <c r="D474" s="8"/>
      <c r="E474" s="8"/>
      <c r="F474" s="8"/>
      <c r="G474" s="8"/>
      <c r="H474" s="32"/>
      <c r="I474" s="32"/>
      <c r="J474" s="25" t="str">
        <f>IF(B474="","",IFERROR(VLOOKUP(C474,Soldes_Ouverture,2,FALSE()),0)+SUMIFS($S$4:S474,$C$4:C474,C474))</f>
        <v/>
      </c>
      <c r="K474" s="1" t="str">
        <f t="shared" si="106"/>
        <v/>
      </c>
      <c r="L474" s="1" t="str">
        <f t="shared" si="107"/>
        <v/>
      </c>
      <c r="M474" s="1" t="str">
        <f t="shared" si="108"/>
        <v/>
      </c>
      <c r="N474" s="8"/>
      <c r="O474" s="8"/>
      <c r="P474" s="1" t="str">
        <f t="shared" si="109"/>
        <v/>
      </c>
      <c r="Q474" s="25" t="str">
        <f t="shared" si="110"/>
        <v/>
      </c>
      <c r="R474" s="1" t="str">
        <f t="shared" si="111"/>
        <v/>
      </c>
      <c r="S474" s="33" t="str">
        <f t="shared" si="112"/>
        <v/>
      </c>
      <c r="T474" s="34" t="str">
        <f>IF(B474="","",C474&amp;"|"&amp;ROUND(S474,2)&amp;"|"&amp;COUNTIFS($C$4:C474,C474,$S$4:S474,S474))</f>
        <v/>
      </c>
      <c r="U474" s="34" t="str">
        <f t="shared" si="113"/>
        <v/>
      </c>
      <c r="V474" s="34" t="str">
        <f t="shared" si="114"/>
        <v/>
      </c>
      <c r="W474" s="34" t="str">
        <f t="shared" si="115"/>
        <v/>
      </c>
      <c r="X474" s="34">
        <f t="shared" si="116"/>
        <v>0</v>
      </c>
      <c r="Y474" s="34" t="str">
        <f t="shared" si="117"/>
        <v/>
      </c>
      <c r="Z474" s="34" t="str">
        <f>IF(X474=1,V474,IF(Y474="","",IF(COUNTIF(Y$3:Y473,Y474)=0,Y474,"")))</f>
        <v/>
      </c>
      <c r="AA474" s="34" t="b">
        <f t="shared" si="118"/>
        <v>0</v>
      </c>
      <c r="AB474" s="34">
        <f t="shared" si="119"/>
        <v>0</v>
      </c>
      <c r="AC474" s="34" t="str">
        <f>IF(AND(B474&lt;&gt;"",C474=CompteSel,N(B474)&lt;=DateArret,AB474=0),MAX($AC$3:AC473)+1,"")</f>
        <v/>
      </c>
      <c r="AD474" s="34" t="str">
        <f>IF(AND(ISNUMBER(M474),C474=CompteSel),MAX($AD$3:AD473)+1,"")</f>
        <v/>
      </c>
    </row>
    <row r="475" spans="1:30" x14ac:dyDescent="0.35">
      <c r="A475" s="1" t="str">
        <f t="shared" si="105"/>
        <v/>
      </c>
      <c r="B475" s="31"/>
      <c r="C475" s="8"/>
      <c r="D475" s="8"/>
      <c r="E475" s="8"/>
      <c r="F475" s="8"/>
      <c r="G475" s="8"/>
      <c r="H475" s="32"/>
      <c r="I475" s="32"/>
      <c r="J475" s="25" t="str">
        <f>IF(B475="","",IFERROR(VLOOKUP(C475,Soldes_Ouverture,2,FALSE()),0)+SUMIFS($S$4:S475,$C$4:C475,C475))</f>
        <v/>
      </c>
      <c r="K475" s="1" t="str">
        <f t="shared" si="106"/>
        <v/>
      </c>
      <c r="L475" s="1" t="str">
        <f t="shared" si="107"/>
        <v/>
      </c>
      <c r="M475" s="1" t="str">
        <f t="shared" si="108"/>
        <v/>
      </c>
      <c r="N475" s="8"/>
      <c r="O475" s="8"/>
      <c r="P475" s="1" t="str">
        <f t="shared" si="109"/>
        <v/>
      </c>
      <c r="Q475" s="25" t="str">
        <f t="shared" si="110"/>
        <v/>
      </c>
      <c r="R475" s="1" t="str">
        <f t="shared" si="111"/>
        <v/>
      </c>
      <c r="S475" s="33" t="str">
        <f t="shared" si="112"/>
        <v/>
      </c>
      <c r="T475" s="34" t="str">
        <f>IF(B475="","",C475&amp;"|"&amp;ROUND(S475,2)&amp;"|"&amp;COUNTIFS($C$4:C475,C475,$S$4:S475,S475))</f>
        <v/>
      </c>
      <c r="U475" s="34" t="str">
        <f t="shared" si="113"/>
        <v/>
      </c>
      <c r="V475" s="34" t="str">
        <f t="shared" si="114"/>
        <v/>
      </c>
      <c r="W475" s="34" t="str">
        <f t="shared" si="115"/>
        <v/>
      </c>
      <c r="X475" s="34">
        <f t="shared" si="116"/>
        <v>0</v>
      </c>
      <c r="Y475" s="34" t="str">
        <f t="shared" si="117"/>
        <v/>
      </c>
      <c r="Z475" s="34" t="str">
        <f>IF(X475=1,V475,IF(Y475="","",IF(COUNTIF(Y$3:Y474,Y475)=0,Y475,"")))</f>
        <v/>
      </c>
      <c r="AA475" s="34" t="b">
        <f t="shared" si="118"/>
        <v>0</v>
      </c>
      <c r="AB475" s="34">
        <f t="shared" si="119"/>
        <v>0</v>
      </c>
      <c r="AC475" s="34" t="str">
        <f>IF(AND(B475&lt;&gt;"",C475=CompteSel,N(B475)&lt;=DateArret,AB475=0),MAX($AC$3:AC474)+1,"")</f>
        <v/>
      </c>
      <c r="AD475" s="34" t="str">
        <f>IF(AND(ISNUMBER(M475),C475=CompteSel),MAX($AD$3:AD474)+1,"")</f>
        <v/>
      </c>
    </row>
    <row r="476" spans="1:30" x14ac:dyDescent="0.35">
      <c r="A476" s="1" t="str">
        <f t="shared" si="105"/>
        <v/>
      </c>
      <c r="B476" s="31"/>
      <c r="C476" s="8"/>
      <c r="D476" s="8"/>
      <c r="E476" s="8"/>
      <c r="F476" s="8"/>
      <c r="G476" s="8"/>
      <c r="H476" s="32"/>
      <c r="I476" s="32"/>
      <c r="J476" s="25" t="str">
        <f>IF(B476="","",IFERROR(VLOOKUP(C476,Soldes_Ouverture,2,FALSE()),0)+SUMIFS($S$4:S476,$C$4:C476,C476))</f>
        <v/>
      </c>
      <c r="K476" s="1" t="str">
        <f t="shared" si="106"/>
        <v/>
      </c>
      <c r="L476" s="1" t="str">
        <f t="shared" si="107"/>
        <v/>
      </c>
      <c r="M476" s="1" t="str">
        <f t="shared" si="108"/>
        <v/>
      </c>
      <c r="N476" s="8"/>
      <c r="O476" s="8"/>
      <c r="P476" s="1" t="str">
        <f t="shared" si="109"/>
        <v/>
      </c>
      <c r="Q476" s="25" t="str">
        <f t="shared" si="110"/>
        <v/>
      </c>
      <c r="R476" s="1" t="str">
        <f t="shared" si="111"/>
        <v/>
      </c>
      <c r="S476" s="33" t="str">
        <f t="shared" si="112"/>
        <v/>
      </c>
      <c r="T476" s="34" t="str">
        <f>IF(B476="","",C476&amp;"|"&amp;ROUND(S476,2)&amp;"|"&amp;COUNTIFS($C$4:C476,C476,$S$4:S476,S476))</f>
        <v/>
      </c>
      <c r="U476" s="34" t="str">
        <f t="shared" si="113"/>
        <v/>
      </c>
      <c r="V476" s="34" t="str">
        <f t="shared" si="114"/>
        <v/>
      </c>
      <c r="W476" s="34" t="str">
        <f t="shared" si="115"/>
        <v/>
      </c>
      <c r="X476" s="34">
        <f t="shared" si="116"/>
        <v>0</v>
      </c>
      <c r="Y476" s="34" t="str">
        <f t="shared" si="117"/>
        <v/>
      </c>
      <c r="Z476" s="34" t="str">
        <f>IF(X476=1,V476,IF(Y476="","",IF(COUNTIF(Y$3:Y475,Y476)=0,Y476,"")))</f>
        <v/>
      </c>
      <c r="AA476" s="34" t="b">
        <f t="shared" si="118"/>
        <v>0</v>
      </c>
      <c r="AB476" s="34">
        <f t="shared" si="119"/>
        <v>0</v>
      </c>
      <c r="AC476" s="34" t="str">
        <f>IF(AND(B476&lt;&gt;"",C476=CompteSel,N(B476)&lt;=DateArret,AB476=0),MAX($AC$3:AC475)+1,"")</f>
        <v/>
      </c>
      <c r="AD476" s="34" t="str">
        <f>IF(AND(ISNUMBER(M476),C476=CompteSel),MAX($AD$3:AD475)+1,"")</f>
        <v/>
      </c>
    </row>
    <row r="477" spans="1:30" x14ac:dyDescent="0.35">
      <c r="A477" s="1" t="str">
        <f t="shared" si="105"/>
        <v/>
      </c>
      <c r="B477" s="31"/>
      <c r="C477" s="8"/>
      <c r="D477" s="8"/>
      <c r="E477" s="8"/>
      <c r="F477" s="8"/>
      <c r="G477" s="8"/>
      <c r="H477" s="32"/>
      <c r="I477" s="32"/>
      <c r="J477" s="25" t="str">
        <f>IF(B477="","",IFERROR(VLOOKUP(C477,Soldes_Ouverture,2,FALSE()),0)+SUMIFS($S$4:S477,$C$4:C477,C477))</f>
        <v/>
      </c>
      <c r="K477" s="1" t="str">
        <f t="shared" si="106"/>
        <v/>
      </c>
      <c r="L477" s="1" t="str">
        <f t="shared" si="107"/>
        <v/>
      </c>
      <c r="M477" s="1" t="str">
        <f t="shared" si="108"/>
        <v/>
      </c>
      <c r="N477" s="8"/>
      <c r="O477" s="8"/>
      <c r="P477" s="1" t="str">
        <f t="shared" si="109"/>
        <v/>
      </c>
      <c r="Q477" s="25" t="str">
        <f t="shared" si="110"/>
        <v/>
      </c>
      <c r="R477" s="1" t="str">
        <f t="shared" si="111"/>
        <v/>
      </c>
      <c r="S477" s="33" t="str">
        <f t="shared" si="112"/>
        <v/>
      </c>
      <c r="T477" s="34" t="str">
        <f>IF(B477="","",C477&amp;"|"&amp;ROUND(S477,2)&amp;"|"&amp;COUNTIFS($C$4:C477,C477,$S$4:S477,S477))</f>
        <v/>
      </c>
      <c r="U477" s="34" t="str">
        <f t="shared" si="113"/>
        <v/>
      </c>
      <c r="V477" s="34" t="str">
        <f t="shared" si="114"/>
        <v/>
      </c>
      <c r="W477" s="34" t="str">
        <f t="shared" si="115"/>
        <v/>
      </c>
      <c r="X477" s="34">
        <f t="shared" si="116"/>
        <v>0</v>
      </c>
      <c r="Y477" s="34" t="str">
        <f t="shared" si="117"/>
        <v/>
      </c>
      <c r="Z477" s="34" t="str">
        <f>IF(X477=1,V477,IF(Y477="","",IF(COUNTIF(Y$3:Y476,Y477)=0,Y477,"")))</f>
        <v/>
      </c>
      <c r="AA477" s="34" t="b">
        <f t="shared" si="118"/>
        <v>0</v>
      </c>
      <c r="AB477" s="34">
        <f t="shared" si="119"/>
        <v>0</v>
      </c>
      <c r="AC477" s="34" t="str">
        <f>IF(AND(B477&lt;&gt;"",C477=CompteSel,N(B477)&lt;=DateArret,AB477=0),MAX($AC$3:AC476)+1,"")</f>
        <v/>
      </c>
      <c r="AD477" s="34" t="str">
        <f>IF(AND(ISNUMBER(M477),C477=CompteSel),MAX($AD$3:AD476)+1,"")</f>
        <v/>
      </c>
    </row>
    <row r="478" spans="1:30" x14ac:dyDescent="0.35">
      <c r="A478" s="1" t="str">
        <f t="shared" si="105"/>
        <v/>
      </c>
      <c r="B478" s="31"/>
      <c r="C478" s="8"/>
      <c r="D478" s="8"/>
      <c r="E478" s="8"/>
      <c r="F478" s="8"/>
      <c r="G478" s="8"/>
      <c r="H478" s="32"/>
      <c r="I478" s="32"/>
      <c r="J478" s="25" t="str">
        <f>IF(B478="","",IFERROR(VLOOKUP(C478,Soldes_Ouverture,2,FALSE()),0)+SUMIFS($S$4:S478,$C$4:C478,C478))</f>
        <v/>
      </c>
      <c r="K478" s="1" t="str">
        <f t="shared" si="106"/>
        <v/>
      </c>
      <c r="L478" s="1" t="str">
        <f t="shared" si="107"/>
        <v/>
      </c>
      <c r="M478" s="1" t="str">
        <f t="shared" si="108"/>
        <v/>
      </c>
      <c r="N478" s="8"/>
      <c r="O478" s="8"/>
      <c r="P478" s="1" t="str">
        <f t="shared" si="109"/>
        <v/>
      </c>
      <c r="Q478" s="25" t="str">
        <f t="shared" si="110"/>
        <v/>
      </c>
      <c r="R478" s="1" t="str">
        <f t="shared" si="111"/>
        <v/>
      </c>
      <c r="S478" s="33" t="str">
        <f t="shared" si="112"/>
        <v/>
      </c>
      <c r="T478" s="34" t="str">
        <f>IF(B478="","",C478&amp;"|"&amp;ROUND(S478,2)&amp;"|"&amp;COUNTIFS($C$4:C478,C478,$S$4:S478,S478))</f>
        <v/>
      </c>
      <c r="U478" s="34" t="str">
        <f t="shared" si="113"/>
        <v/>
      </c>
      <c r="V478" s="34" t="str">
        <f t="shared" si="114"/>
        <v/>
      </c>
      <c r="W478" s="34" t="str">
        <f t="shared" si="115"/>
        <v/>
      </c>
      <c r="X478" s="34">
        <f t="shared" si="116"/>
        <v>0</v>
      </c>
      <c r="Y478" s="34" t="str">
        <f t="shared" si="117"/>
        <v/>
      </c>
      <c r="Z478" s="34" t="str">
        <f>IF(X478=1,V478,IF(Y478="","",IF(COUNTIF(Y$3:Y477,Y478)=0,Y478,"")))</f>
        <v/>
      </c>
      <c r="AA478" s="34" t="b">
        <f t="shared" si="118"/>
        <v>0</v>
      </c>
      <c r="AB478" s="34">
        <f t="shared" si="119"/>
        <v>0</v>
      </c>
      <c r="AC478" s="34" t="str">
        <f>IF(AND(B478&lt;&gt;"",C478=CompteSel,N(B478)&lt;=DateArret,AB478=0),MAX($AC$3:AC477)+1,"")</f>
        <v/>
      </c>
      <c r="AD478" s="34" t="str">
        <f>IF(AND(ISNUMBER(M478),C478=CompteSel),MAX($AD$3:AD477)+1,"")</f>
        <v/>
      </c>
    </row>
    <row r="479" spans="1:30" x14ac:dyDescent="0.35">
      <c r="A479" s="1" t="str">
        <f t="shared" si="105"/>
        <v/>
      </c>
      <c r="B479" s="31"/>
      <c r="C479" s="8"/>
      <c r="D479" s="8"/>
      <c r="E479" s="8"/>
      <c r="F479" s="8"/>
      <c r="G479" s="8"/>
      <c r="H479" s="32"/>
      <c r="I479" s="32"/>
      <c r="J479" s="25" t="str">
        <f>IF(B479="","",IFERROR(VLOOKUP(C479,Soldes_Ouverture,2,FALSE()),0)+SUMIFS($S$4:S479,$C$4:C479,C479))</f>
        <v/>
      </c>
      <c r="K479" s="1" t="str">
        <f t="shared" si="106"/>
        <v/>
      </c>
      <c r="L479" s="1" t="str">
        <f t="shared" si="107"/>
        <v/>
      </c>
      <c r="M479" s="1" t="str">
        <f t="shared" si="108"/>
        <v/>
      </c>
      <c r="N479" s="8"/>
      <c r="O479" s="8"/>
      <c r="P479" s="1" t="str">
        <f t="shared" si="109"/>
        <v/>
      </c>
      <c r="Q479" s="25" t="str">
        <f t="shared" si="110"/>
        <v/>
      </c>
      <c r="R479" s="1" t="str">
        <f t="shared" si="111"/>
        <v/>
      </c>
      <c r="S479" s="33" t="str">
        <f t="shared" si="112"/>
        <v/>
      </c>
      <c r="T479" s="34" t="str">
        <f>IF(B479="","",C479&amp;"|"&amp;ROUND(S479,2)&amp;"|"&amp;COUNTIFS($C$4:C479,C479,$S$4:S479,S479))</f>
        <v/>
      </c>
      <c r="U479" s="34" t="str">
        <f t="shared" si="113"/>
        <v/>
      </c>
      <c r="V479" s="34" t="str">
        <f t="shared" si="114"/>
        <v/>
      </c>
      <c r="W479" s="34" t="str">
        <f t="shared" si="115"/>
        <v/>
      </c>
      <c r="X479" s="34">
        <f t="shared" si="116"/>
        <v>0</v>
      </c>
      <c r="Y479" s="34" t="str">
        <f t="shared" si="117"/>
        <v/>
      </c>
      <c r="Z479" s="34" t="str">
        <f>IF(X479=1,V479,IF(Y479="","",IF(COUNTIF(Y$3:Y478,Y479)=0,Y479,"")))</f>
        <v/>
      </c>
      <c r="AA479" s="34" t="b">
        <f t="shared" si="118"/>
        <v>0</v>
      </c>
      <c r="AB479" s="34">
        <f t="shared" si="119"/>
        <v>0</v>
      </c>
      <c r="AC479" s="34" t="str">
        <f>IF(AND(B479&lt;&gt;"",C479=CompteSel,N(B479)&lt;=DateArret,AB479=0),MAX($AC$3:AC478)+1,"")</f>
        <v/>
      </c>
      <c r="AD479" s="34" t="str">
        <f>IF(AND(ISNUMBER(M479),C479=CompteSel),MAX($AD$3:AD478)+1,"")</f>
        <v/>
      </c>
    </row>
    <row r="480" spans="1:30" x14ac:dyDescent="0.35">
      <c r="A480" s="1" t="str">
        <f t="shared" si="105"/>
        <v/>
      </c>
      <c r="B480" s="31"/>
      <c r="C480" s="8"/>
      <c r="D480" s="8"/>
      <c r="E480" s="8"/>
      <c r="F480" s="8"/>
      <c r="G480" s="8"/>
      <c r="H480" s="32"/>
      <c r="I480" s="32"/>
      <c r="J480" s="25" t="str">
        <f>IF(B480="","",IFERROR(VLOOKUP(C480,Soldes_Ouverture,2,FALSE()),0)+SUMIFS($S$4:S480,$C$4:C480,C480))</f>
        <v/>
      </c>
      <c r="K480" s="1" t="str">
        <f t="shared" si="106"/>
        <v/>
      </c>
      <c r="L480" s="1" t="str">
        <f t="shared" si="107"/>
        <v/>
      </c>
      <c r="M480" s="1" t="str">
        <f t="shared" si="108"/>
        <v/>
      </c>
      <c r="N480" s="8"/>
      <c r="O480" s="8"/>
      <c r="P480" s="1" t="str">
        <f t="shared" si="109"/>
        <v/>
      </c>
      <c r="Q480" s="25" t="str">
        <f t="shared" si="110"/>
        <v/>
      </c>
      <c r="R480" s="1" t="str">
        <f t="shared" si="111"/>
        <v/>
      </c>
      <c r="S480" s="33" t="str">
        <f t="shared" si="112"/>
        <v/>
      </c>
      <c r="T480" s="34" t="str">
        <f>IF(B480="","",C480&amp;"|"&amp;ROUND(S480,2)&amp;"|"&amp;COUNTIFS($C$4:C480,C480,$S$4:S480,S480))</f>
        <v/>
      </c>
      <c r="U480" s="34" t="str">
        <f t="shared" si="113"/>
        <v/>
      </c>
      <c r="V480" s="34" t="str">
        <f t="shared" si="114"/>
        <v/>
      </c>
      <c r="W480" s="34" t="str">
        <f t="shared" si="115"/>
        <v/>
      </c>
      <c r="X480" s="34">
        <f t="shared" si="116"/>
        <v>0</v>
      </c>
      <c r="Y480" s="34" t="str">
        <f t="shared" si="117"/>
        <v/>
      </c>
      <c r="Z480" s="34" t="str">
        <f>IF(X480=1,V480,IF(Y480="","",IF(COUNTIF(Y$3:Y479,Y480)=0,Y480,"")))</f>
        <v/>
      </c>
      <c r="AA480" s="34" t="b">
        <f t="shared" si="118"/>
        <v>0</v>
      </c>
      <c r="AB480" s="34">
        <f t="shared" si="119"/>
        <v>0</v>
      </c>
      <c r="AC480" s="34" t="str">
        <f>IF(AND(B480&lt;&gt;"",C480=CompteSel,N(B480)&lt;=DateArret,AB480=0),MAX($AC$3:AC479)+1,"")</f>
        <v/>
      </c>
      <c r="AD480" s="34" t="str">
        <f>IF(AND(ISNUMBER(M480),C480=CompteSel),MAX($AD$3:AD479)+1,"")</f>
        <v/>
      </c>
    </row>
    <row r="481" spans="1:30" x14ac:dyDescent="0.35">
      <c r="A481" s="1" t="str">
        <f t="shared" si="105"/>
        <v/>
      </c>
      <c r="B481" s="31"/>
      <c r="C481" s="8"/>
      <c r="D481" s="8"/>
      <c r="E481" s="8"/>
      <c r="F481" s="8"/>
      <c r="G481" s="8"/>
      <c r="H481" s="32"/>
      <c r="I481" s="32"/>
      <c r="J481" s="25" t="str">
        <f>IF(B481="","",IFERROR(VLOOKUP(C481,Soldes_Ouverture,2,FALSE()),0)+SUMIFS($S$4:S481,$C$4:C481,C481))</f>
        <v/>
      </c>
      <c r="K481" s="1" t="str">
        <f t="shared" si="106"/>
        <v/>
      </c>
      <c r="L481" s="1" t="str">
        <f t="shared" si="107"/>
        <v/>
      </c>
      <c r="M481" s="1" t="str">
        <f t="shared" si="108"/>
        <v/>
      </c>
      <c r="N481" s="8"/>
      <c r="O481" s="8"/>
      <c r="P481" s="1" t="str">
        <f t="shared" si="109"/>
        <v/>
      </c>
      <c r="Q481" s="25" t="str">
        <f t="shared" si="110"/>
        <v/>
      </c>
      <c r="R481" s="1" t="str">
        <f t="shared" si="111"/>
        <v/>
      </c>
      <c r="S481" s="33" t="str">
        <f t="shared" si="112"/>
        <v/>
      </c>
      <c r="T481" s="34" t="str">
        <f>IF(B481="","",C481&amp;"|"&amp;ROUND(S481,2)&amp;"|"&amp;COUNTIFS($C$4:C481,C481,$S$4:S481,S481))</f>
        <v/>
      </c>
      <c r="U481" s="34" t="str">
        <f t="shared" si="113"/>
        <v/>
      </c>
      <c r="V481" s="34" t="str">
        <f t="shared" si="114"/>
        <v/>
      </c>
      <c r="W481" s="34" t="str">
        <f t="shared" si="115"/>
        <v/>
      </c>
      <c r="X481" s="34">
        <f t="shared" si="116"/>
        <v>0</v>
      </c>
      <c r="Y481" s="34" t="str">
        <f t="shared" si="117"/>
        <v/>
      </c>
      <c r="Z481" s="34" t="str">
        <f>IF(X481=1,V481,IF(Y481="","",IF(COUNTIF(Y$3:Y480,Y481)=0,Y481,"")))</f>
        <v/>
      </c>
      <c r="AA481" s="34" t="b">
        <f t="shared" si="118"/>
        <v>0</v>
      </c>
      <c r="AB481" s="34">
        <f t="shared" si="119"/>
        <v>0</v>
      </c>
      <c r="AC481" s="34" t="str">
        <f>IF(AND(B481&lt;&gt;"",C481=CompteSel,N(B481)&lt;=DateArret,AB481=0),MAX($AC$3:AC480)+1,"")</f>
        <v/>
      </c>
      <c r="AD481" s="34" t="str">
        <f>IF(AND(ISNUMBER(M481),C481=CompteSel),MAX($AD$3:AD480)+1,"")</f>
        <v/>
      </c>
    </row>
    <row r="482" spans="1:30" x14ac:dyDescent="0.35">
      <c r="A482" s="1" t="str">
        <f t="shared" si="105"/>
        <v/>
      </c>
      <c r="B482" s="31"/>
      <c r="C482" s="8"/>
      <c r="D482" s="8"/>
      <c r="E482" s="8"/>
      <c r="F482" s="8"/>
      <c r="G482" s="8"/>
      <c r="H482" s="32"/>
      <c r="I482" s="32"/>
      <c r="J482" s="25" t="str">
        <f>IF(B482="","",IFERROR(VLOOKUP(C482,Soldes_Ouverture,2,FALSE()),0)+SUMIFS($S$4:S482,$C$4:C482,C482))</f>
        <v/>
      </c>
      <c r="K482" s="1" t="str">
        <f t="shared" si="106"/>
        <v/>
      </c>
      <c r="L482" s="1" t="str">
        <f t="shared" si="107"/>
        <v/>
      </c>
      <c r="M482" s="1" t="str">
        <f t="shared" si="108"/>
        <v/>
      </c>
      <c r="N482" s="8"/>
      <c r="O482" s="8"/>
      <c r="P482" s="1" t="str">
        <f t="shared" si="109"/>
        <v/>
      </c>
      <c r="Q482" s="25" t="str">
        <f t="shared" si="110"/>
        <v/>
      </c>
      <c r="R482" s="1" t="str">
        <f t="shared" si="111"/>
        <v/>
      </c>
      <c r="S482" s="33" t="str">
        <f t="shared" si="112"/>
        <v/>
      </c>
      <c r="T482" s="34" t="str">
        <f>IF(B482="","",C482&amp;"|"&amp;ROUND(S482,2)&amp;"|"&amp;COUNTIFS($C$4:C482,C482,$S$4:S482,S482))</f>
        <v/>
      </c>
      <c r="U482" s="34" t="str">
        <f t="shared" si="113"/>
        <v/>
      </c>
      <c r="V482" s="34" t="str">
        <f t="shared" si="114"/>
        <v/>
      </c>
      <c r="W482" s="34" t="str">
        <f t="shared" si="115"/>
        <v/>
      </c>
      <c r="X482" s="34">
        <f t="shared" si="116"/>
        <v>0</v>
      </c>
      <c r="Y482" s="34" t="str">
        <f t="shared" si="117"/>
        <v/>
      </c>
      <c r="Z482" s="34" t="str">
        <f>IF(X482=1,V482,IF(Y482="","",IF(COUNTIF(Y$3:Y481,Y482)=0,Y482,"")))</f>
        <v/>
      </c>
      <c r="AA482" s="34" t="b">
        <f t="shared" si="118"/>
        <v>0</v>
      </c>
      <c r="AB482" s="34">
        <f t="shared" si="119"/>
        <v>0</v>
      </c>
      <c r="AC482" s="34" t="str">
        <f>IF(AND(B482&lt;&gt;"",C482=CompteSel,N(B482)&lt;=DateArret,AB482=0),MAX($AC$3:AC481)+1,"")</f>
        <v/>
      </c>
      <c r="AD482" s="34" t="str">
        <f>IF(AND(ISNUMBER(M482),C482=CompteSel),MAX($AD$3:AD481)+1,"")</f>
        <v/>
      </c>
    </row>
    <row r="483" spans="1:30" x14ac:dyDescent="0.35">
      <c r="A483" s="1" t="str">
        <f t="shared" si="105"/>
        <v/>
      </c>
      <c r="B483" s="31"/>
      <c r="C483" s="8"/>
      <c r="D483" s="8"/>
      <c r="E483" s="8"/>
      <c r="F483" s="8"/>
      <c r="G483" s="8"/>
      <c r="H483" s="32"/>
      <c r="I483" s="32"/>
      <c r="J483" s="25" t="str">
        <f>IF(B483="","",IFERROR(VLOOKUP(C483,Soldes_Ouverture,2,FALSE()),0)+SUMIFS($S$4:S483,$C$4:C483,C483))</f>
        <v/>
      </c>
      <c r="K483" s="1" t="str">
        <f t="shared" si="106"/>
        <v/>
      </c>
      <c r="L483" s="1" t="str">
        <f t="shared" si="107"/>
        <v/>
      </c>
      <c r="M483" s="1" t="str">
        <f t="shared" si="108"/>
        <v/>
      </c>
      <c r="N483" s="8"/>
      <c r="O483" s="8"/>
      <c r="P483" s="1" t="str">
        <f t="shared" si="109"/>
        <v/>
      </c>
      <c r="Q483" s="25" t="str">
        <f t="shared" si="110"/>
        <v/>
      </c>
      <c r="R483" s="1" t="str">
        <f t="shared" si="111"/>
        <v/>
      </c>
      <c r="S483" s="33" t="str">
        <f t="shared" si="112"/>
        <v/>
      </c>
      <c r="T483" s="34" t="str">
        <f>IF(B483="","",C483&amp;"|"&amp;ROUND(S483,2)&amp;"|"&amp;COUNTIFS($C$4:C483,C483,$S$4:S483,S483))</f>
        <v/>
      </c>
      <c r="U483" s="34" t="str">
        <f t="shared" si="113"/>
        <v/>
      </c>
      <c r="V483" s="34" t="str">
        <f t="shared" si="114"/>
        <v/>
      </c>
      <c r="W483" s="34" t="str">
        <f t="shared" si="115"/>
        <v/>
      </c>
      <c r="X483" s="34">
        <f t="shared" si="116"/>
        <v>0</v>
      </c>
      <c r="Y483" s="34" t="str">
        <f t="shared" si="117"/>
        <v/>
      </c>
      <c r="Z483" s="34" t="str">
        <f>IF(X483=1,V483,IF(Y483="","",IF(COUNTIF(Y$3:Y482,Y483)=0,Y483,"")))</f>
        <v/>
      </c>
      <c r="AA483" s="34" t="b">
        <f t="shared" si="118"/>
        <v>0</v>
      </c>
      <c r="AB483" s="34">
        <f t="shared" si="119"/>
        <v>0</v>
      </c>
      <c r="AC483" s="34" t="str">
        <f>IF(AND(B483&lt;&gt;"",C483=CompteSel,N(B483)&lt;=DateArret,AB483=0),MAX($AC$3:AC482)+1,"")</f>
        <v/>
      </c>
      <c r="AD483" s="34" t="str">
        <f>IF(AND(ISNUMBER(M483),C483=CompteSel),MAX($AD$3:AD482)+1,"")</f>
        <v/>
      </c>
    </row>
    <row r="484" spans="1:30" x14ac:dyDescent="0.35">
      <c r="A484" s="1" t="str">
        <f t="shared" si="105"/>
        <v/>
      </c>
      <c r="B484" s="31"/>
      <c r="C484" s="8"/>
      <c r="D484" s="8"/>
      <c r="E484" s="8"/>
      <c r="F484" s="8"/>
      <c r="G484" s="8"/>
      <c r="H484" s="32"/>
      <c r="I484" s="32"/>
      <c r="J484" s="25" t="str">
        <f>IF(B484="","",IFERROR(VLOOKUP(C484,Soldes_Ouverture,2,FALSE()),0)+SUMIFS($S$4:S484,$C$4:C484,C484))</f>
        <v/>
      </c>
      <c r="K484" s="1" t="str">
        <f t="shared" si="106"/>
        <v/>
      </c>
      <c r="L484" s="1" t="str">
        <f t="shared" si="107"/>
        <v/>
      </c>
      <c r="M484" s="1" t="str">
        <f t="shared" si="108"/>
        <v/>
      </c>
      <c r="N484" s="8"/>
      <c r="O484" s="8"/>
      <c r="P484" s="1" t="str">
        <f t="shared" si="109"/>
        <v/>
      </c>
      <c r="Q484" s="25" t="str">
        <f t="shared" si="110"/>
        <v/>
      </c>
      <c r="R484" s="1" t="str">
        <f t="shared" si="111"/>
        <v/>
      </c>
      <c r="S484" s="33" t="str">
        <f t="shared" si="112"/>
        <v/>
      </c>
      <c r="T484" s="34" t="str">
        <f>IF(B484="","",C484&amp;"|"&amp;ROUND(S484,2)&amp;"|"&amp;COUNTIFS($C$4:C484,C484,$S$4:S484,S484))</f>
        <v/>
      </c>
      <c r="U484" s="34" t="str">
        <f t="shared" si="113"/>
        <v/>
      </c>
      <c r="V484" s="34" t="str">
        <f t="shared" si="114"/>
        <v/>
      </c>
      <c r="W484" s="34" t="str">
        <f t="shared" si="115"/>
        <v/>
      </c>
      <c r="X484" s="34">
        <f t="shared" si="116"/>
        <v>0</v>
      </c>
      <c r="Y484" s="34" t="str">
        <f t="shared" si="117"/>
        <v/>
      </c>
      <c r="Z484" s="34" t="str">
        <f>IF(X484=1,V484,IF(Y484="","",IF(COUNTIF(Y$3:Y483,Y484)=0,Y484,"")))</f>
        <v/>
      </c>
      <c r="AA484" s="34" t="b">
        <f t="shared" si="118"/>
        <v>0</v>
      </c>
      <c r="AB484" s="34">
        <f t="shared" si="119"/>
        <v>0</v>
      </c>
      <c r="AC484" s="34" t="str">
        <f>IF(AND(B484&lt;&gt;"",C484=CompteSel,N(B484)&lt;=DateArret,AB484=0),MAX($AC$3:AC483)+1,"")</f>
        <v/>
      </c>
      <c r="AD484" s="34" t="str">
        <f>IF(AND(ISNUMBER(M484),C484=CompteSel),MAX($AD$3:AD483)+1,"")</f>
        <v/>
      </c>
    </row>
    <row r="485" spans="1:30" x14ac:dyDescent="0.35">
      <c r="A485" s="1" t="str">
        <f t="shared" si="105"/>
        <v/>
      </c>
      <c r="B485" s="31"/>
      <c r="C485" s="8"/>
      <c r="D485" s="8"/>
      <c r="E485" s="8"/>
      <c r="F485" s="8"/>
      <c r="G485" s="8"/>
      <c r="H485" s="32"/>
      <c r="I485" s="32"/>
      <c r="J485" s="25" t="str">
        <f>IF(B485="","",IFERROR(VLOOKUP(C485,Soldes_Ouverture,2,FALSE()),0)+SUMIFS($S$4:S485,$C$4:C485,C485))</f>
        <v/>
      </c>
      <c r="K485" s="1" t="str">
        <f t="shared" si="106"/>
        <v/>
      </c>
      <c r="L485" s="1" t="str">
        <f t="shared" si="107"/>
        <v/>
      </c>
      <c r="M485" s="1" t="str">
        <f t="shared" si="108"/>
        <v/>
      </c>
      <c r="N485" s="8"/>
      <c r="O485" s="8"/>
      <c r="P485" s="1" t="str">
        <f t="shared" si="109"/>
        <v/>
      </c>
      <c r="Q485" s="25" t="str">
        <f t="shared" si="110"/>
        <v/>
      </c>
      <c r="R485" s="1" t="str">
        <f t="shared" si="111"/>
        <v/>
      </c>
      <c r="S485" s="33" t="str">
        <f t="shared" si="112"/>
        <v/>
      </c>
      <c r="T485" s="34" t="str">
        <f>IF(B485="","",C485&amp;"|"&amp;ROUND(S485,2)&amp;"|"&amp;COUNTIFS($C$4:C485,C485,$S$4:S485,S485))</f>
        <v/>
      </c>
      <c r="U485" s="34" t="str">
        <f t="shared" si="113"/>
        <v/>
      </c>
      <c r="V485" s="34" t="str">
        <f t="shared" si="114"/>
        <v/>
      </c>
      <c r="W485" s="34" t="str">
        <f t="shared" si="115"/>
        <v/>
      </c>
      <c r="X485" s="34">
        <f t="shared" si="116"/>
        <v>0</v>
      </c>
      <c r="Y485" s="34" t="str">
        <f t="shared" si="117"/>
        <v/>
      </c>
      <c r="Z485" s="34" t="str">
        <f>IF(X485=1,V485,IF(Y485="","",IF(COUNTIF(Y$3:Y484,Y485)=0,Y485,"")))</f>
        <v/>
      </c>
      <c r="AA485" s="34" t="b">
        <f t="shared" si="118"/>
        <v>0</v>
      </c>
      <c r="AB485" s="34">
        <f t="shared" si="119"/>
        <v>0</v>
      </c>
      <c r="AC485" s="34" t="str">
        <f>IF(AND(B485&lt;&gt;"",C485=CompteSel,N(B485)&lt;=DateArret,AB485=0),MAX($AC$3:AC484)+1,"")</f>
        <v/>
      </c>
      <c r="AD485" s="34" t="str">
        <f>IF(AND(ISNUMBER(M485),C485=CompteSel),MAX($AD$3:AD484)+1,"")</f>
        <v/>
      </c>
    </row>
    <row r="486" spans="1:30" x14ac:dyDescent="0.35">
      <c r="A486" s="1" t="str">
        <f t="shared" si="105"/>
        <v/>
      </c>
      <c r="B486" s="31"/>
      <c r="C486" s="8"/>
      <c r="D486" s="8"/>
      <c r="E486" s="8"/>
      <c r="F486" s="8"/>
      <c r="G486" s="8"/>
      <c r="H486" s="32"/>
      <c r="I486" s="32"/>
      <c r="J486" s="25" t="str">
        <f>IF(B486="","",IFERROR(VLOOKUP(C486,Soldes_Ouverture,2,FALSE()),0)+SUMIFS($S$4:S486,$C$4:C486,C486))</f>
        <v/>
      </c>
      <c r="K486" s="1" t="str">
        <f t="shared" si="106"/>
        <v/>
      </c>
      <c r="L486" s="1" t="str">
        <f t="shared" si="107"/>
        <v/>
      </c>
      <c r="M486" s="1" t="str">
        <f t="shared" si="108"/>
        <v/>
      </c>
      <c r="N486" s="8"/>
      <c r="O486" s="8"/>
      <c r="P486" s="1" t="str">
        <f t="shared" si="109"/>
        <v/>
      </c>
      <c r="Q486" s="25" t="str">
        <f t="shared" si="110"/>
        <v/>
      </c>
      <c r="R486" s="1" t="str">
        <f t="shared" si="111"/>
        <v/>
      </c>
      <c r="S486" s="33" t="str">
        <f t="shared" si="112"/>
        <v/>
      </c>
      <c r="T486" s="34" t="str">
        <f>IF(B486="","",C486&amp;"|"&amp;ROUND(S486,2)&amp;"|"&amp;COUNTIFS($C$4:C486,C486,$S$4:S486,S486))</f>
        <v/>
      </c>
      <c r="U486" s="34" t="str">
        <f t="shared" si="113"/>
        <v/>
      </c>
      <c r="V486" s="34" t="str">
        <f t="shared" si="114"/>
        <v/>
      </c>
      <c r="W486" s="34" t="str">
        <f t="shared" si="115"/>
        <v/>
      </c>
      <c r="X486" s="34">
        <f t="shared" si="116"/>
        <v>0</v>
      </c>
      <c r="Y486" s="34" t="str">
        <f t="shared" si="117"/>
        <v/>
      </c>
      <c r="Z486" s="34" t="str">
        <f>IF(X486=1,V486,IF(Y486="","",IF(COUNTIF(Y$3:Y485,Y486)=0,Y486,"")))</f>
        <v/>
      </c>
      <c r="AA486" s="34" t="b">
        <f t="shared" si="118"/>
        <v>0</v>
      </c>
      <c r="AB486" s="34">
        <f t="shared" si="119"/>
        <v>0</v>
      </c>
      <c r="AC486" s="34" t="str">
        <f>IF(AND(B486&lt;&gt;"",C486=CompteSel,N(B486)&lt;=DateArret,AB486=0),MAX($AC$3:AC485)+1,"")</f>
        <v/>
      </c>
      <c r="AD486" s="34" t="str">
        <f>IF(AND(ISNUMBER(M486),C486=CompteSel),MAX($AD$3:AD485)+1,"")</f>
        <v/>
      </c>
    </row>
    <row r="487" spans="1:30" x14ac:dyDescent="0.35">
      <c r="A487" s="1" t="str">
        <f t="shared" si="105"/>
        <v/>
      </c>
      <c r="B487" s="31"/>
      <c r="C487" s="8"/>
      <c r="D487" s="8"/>
      <c r="E487" s="8"/>
      <c r="F487" s="8"/>
      <c r="G487" s="8"/>
      <c r="H487" s="32"/>
      <c r="I487" s="32"/>
      <c r="J487" s="25" t="str">
        <f>IF(B487="","",IFERROR(VLOOKUP(C487,Soldes_Ouverture,2,FALSE()),0)+SUMIFS($S$4:S487,$C$4:C487,C487))</f>
        <v/>
      </c>
      <c r="K487" s="1" t="str">
        <f t="shared" si="106"/>
        <v/>
      </c>
      <c r="L487" s="1" t="str">
        <f t="shared" si="107"/>
        <v/>
      </c>
      <c r="M487" s="1" t="str">
        <f t="shared" si="108"/>
        <v/>
      </c>
      <c r="N487" s="8"/>
      <c r="O487" s="8"/>
      <c r="P487" s="1" t="str">
        <f t="shared" si="109"/>
        <v/>
      </c>
      <c r="Q487" s="25" t="str">
        <f t="shared" si="110"/>
        <v/>
      </c>
      <c r="R487" s="1" t="str">
        <f t="shared" si="111"/>
        <v/>
      </c>
      <c r="S487" s="33" t="str">
        <f t="shared" si="112"/>
        <v/>
      </c>
      <c r="T487" s="34" t="str">
        <f>IF(B487="","",C487&amp;"|"&amp;ROUND(S487,2)&amp;"|"&amp;COUNTIFS($C$4:C487,C487,$S$4:S487,S487))</f>
        <v/>
      </c>
      <c r="U487" s="34" t="str">
        <f t="shared" si="113"/>
        <v/>
      </c>
      <c r="V487" s="34" t="str">
        <f t="shared" si="114"/>
        <v/>
      </c>
      <c r="W487" s="34" t="str">
        <f t="shared" si="115"/>
        <v/>
      </c>
      <c r="X487" s="34">
        <f t="shared" si="116"/>
        <v>0</v>
      </c>
      <c r="Y487" s="34" t="str">
        <f t="shared" si="117"/>
        <v/>
      </c>
      <c r="Z487" s="34" t="str">
        <f>IF(X487=1,V487,IF(Y487="","",IF(COUNTIF(Y$3:Y486,Y487)=0,Y487,"")))</f>
        <v/>
      </c>
      <c r="AA487" s="34" t="b">
        <f t="shared" si="118"/>
        <v>0</v>
      </c>
      <c r="AB487" s="34">
        <f t="shared" si="119"/>
        <v>0</v>
      </c>
      <c r="AC487" s="34" t="str">
        <f>IF(AND(B487&lt;&gt;"",C487=CompteSel,N(B487)&lt;=DateArret,AB487=0),MAX($AC$3:AC486)+1,"")</f>
        <v/>
      </c>
      <c r="AD487" s="34" t="str">
        <f>IF(AND(ISNUMBER(M487),C487=CompteSel),MAX($AD$3:AD486)+1,"")</f>
        <v/>
      </c>
    </row>
    <row r="488" spans="1:30" x14ac:dyDescent="0.35">
      <c r="A488" s="1" t="str">
        <f t="shared" si="105"/>
        <v/>
      </c>
      <c r="B488" s="31"/>
      <c r="C488" s="8"/>
      <c r="D488" s="8"/>
      <c r="E488" s="8"/>
      <c r="F488" s="8"/>
      <c r="G488" s="8"/>
      <c r="H488" s="32"/>
      <c r="I488" s="32"/>
      <c r="J488" s="25" t="str">
        <f>IF(B488="","",IFERROR(VLOOKUP(C488,Soldes_Ouverture,2,FALSE()),0)+SUMIFS($S$4:S488,$C$4:C488,C488))</f>
        <v/>
      </c>
      <c r="K488" s="1" t="str">
        <f t="shared" si="106"/>
        <v/>
      </c>
      <c r="L488" s="1" t="str">
        <f t="shared" si="107"/>
        <v/>
      </c>
      <c r="M488" s="1" t="str">
        <f t="shared" si="108"/>
        <v/>
      </c>
      <c r="N488" s="8"/>
      <c r="O488" s="8"/>
      <c r="P488" s="1" t="str">
        <f t="shared" si="109"/>
        <v/>
      </c>
      <c r="Q488" s="25" t="str">
        <f t="shared" si="110"/>
        <v/>
      </c>
      <c r="R488" s="1" t="str">
        <f t="shared" si="111"/>
        <v/>
      </c>
      <c r="S488" s="33" t="str">
        <f t="shared" si="112"/>
        <v/>
      </c>
      <c r="T488" s="34" t="str">
        <f>IF(B488="","",C488&amp;"|"&amp;ROUND(S488,2)&amp;"|"&amp;COUNTIFS($C$4:C488,C488,$S$4:S488,S488))</f>
        <v/>
      </c>
      <c r="U488" s="34" t="str">
        <f t="shared" si="113"/>
        <v/>
      </c>
      <c r="V488" s="34" t="str">
        <f t="shared" si="114"/>
        <v/>
      </c>
      <c r="W488" s="34" t="str">
        <f t="shared" si="115"/>
        <v/>
      </c>
      <c r="X488" s="34">
        <f t="shared" si="116"/>
        <v>0</v>
      </c>
      <c r="Y488" s="34" t="str">
        <f t="shared" si="117"/>
        <v/>
      </c>
      <c r="Z488" s="34" t="str">
        <f>IF(X488=1,V488,IF(Y488="","",IF(COUNTIF(Y$3:Y487,Y488)=0,Y488,"")))</f>
        <v/>
      </c>
      <c r="AA488" s="34" t="b">
        <f t="shared" si="118"/>
        <v>0</v>
      </c>
      <c r="AB488" s="34">
        <f t="shared" si="119"/>
        <v>0</v>
      </c>
      <c r="AC488" s="34" t="str">
        <f>IF(AND(B488&lt;&gt;"",C488=CompteSel,N(B488)&lt;=DateArret,AB488=0),MAX($AC$3:AC487)+1,"")</f>
        <v/>
      </c>
      <c r="AD488" s="34" t="str">
        <f>IF(AND(ISNUMBER(M488),C488=CompteSel),MAX($AD$3:AD487)+1,"")</f>
        <v/>
      </c>
    </row>
    <row r="489" spans="1:30" x14ac:dyDescent="0.35">
      <c r="A489" s="1" t="str">
        <f t="shared" si="105"/>
        <v/>
      </c>
      <c r="B489" s="31"/>
      <c r="C489" s="8"/>
      <c r="D489" s="8"/>
      <c r="E489" s="8"/>
      <c r="F489" s="8"/>
      <c r="G489" s="8"/>
      <c r="H489" s="32"/>
      <c r="I489" s="32"/>
      <c r="J489" s="25" t="str">
        <f>IF(B489="","",IFERROR(VLOOKUP(C489,Soldes_Ouverture,2,FALSE()),0)+SUMIFS($S$4:S489,$C$4:C489,C489))</f>
        <v/>
      </c>
      <c r="K489" s="1" t="str">
        <f t="shared" si="106"/>
        <v/>
      </c>
      <c r="L489" s="1" t="str">
        <f t="shared" si="107"/>
        <v/>
      </c>
      <c r="M489" s="1" t="str">
        <f t="shared" si="108"/>
        <v/>
      </c>
      <c r="N489" s="8"/>
      <c r="O489" s="8"/>
      <c r="P489" s="1" t="str">
        <f t="shared" si="109"/>
        <v/>
      </c>
      <c r="Q489" s="25" t="str">
        <f t="shared" si="110"/>
        <v/>
      </c>
      <c r="R489" s="1" t="str">
        <f t="shared" si="111"/>
        <v/>
      </c>
      <c r="S489" s="33" t="str">
        <f t="shared" si="112"/>
        <v/>
      </c>
      <c r="T489" s="34" t="str">
        <f>IF(B489="","",C489&amp;"|"&amp;ROUND(S489,2)&amp;"|"&amp;COUNTIFS($C$4:C489,C489,$S$4:S489,S489))</f>
        <v/>
      </c>
      <c r="U489" s="34" t="str">
        <f t="shared" si="113"/>
        <v/>
      </c>
      <c r="V489" s="34" t="str">
        <f t="shared" si="114"/>
        <v/>
      </c>
      <c r="W489" s="34" t="str">
        <f t="shared" si="115"/>
        <v/>
      </c>
      <c r="X489" s="34">
        <f t="shared" si="116"/>
        <v>0</v>
      </c>
      <c r="Y489" s="34" t="str">
        <f t="shared" si="117"/>
        <v/>
      </c>
      <c r="Z489" s="34" t="str">
        <f>IF(X489=1,V489,IF(Y489="","",IF(COUNTIF(Y$3:Y488,Y489)=0,Y489,"")))</f>
        <v/>
      </c>
      <c r="AA489" s="34" t="b">
        <f t="shared" si="118"/>
        <v>0</v>
      </c>
      <c r="AB489" s="34">
        <f t="shared" si="119"/>
        <v>0</v>
      </c>
      <c r="AC489" s="34" t="str">
        <f>IF(AND(B489&lt;&gt;"",C489=CompteSel,N(B489)&lt;=DateArret,AB489=0),MAX($AC$3:AC488)+1,"")</f>
        <v/>
      </c>
      <c r="AD489" s="34" t="str">
        <f>IF(AND(ISNUMBER(M489),C489=CompteSel),MAX($AD$3:AD488)+1,"")</f>
        <v/>
      </c>
    </row>
    <row r="490" spans="1:30" x14ac:dyDescent="0.35">
      <c r="A490" s="1" t="str">
        <f t="shared" si="105"/>
        <v/>
      </c>
      <c r="B490" s="31"/>
      <c r="C490" s="8"/>
      <c r="D490" s="8"/>
      <c r="E490" s="8"/>
      <c r="F490" s="8"/>
      <c r="G490" s="8"/>
      <c r="H490" s="32"/>
      <c r="I490" s="32"/>
      <c r="J490" s="25" t="str">
        <f>IF(B490="","",IFERROR(VLOOKUP(C490,Soldes_Ouverture,2,FALSE()),0)+SUMIFS($S$4:S490,$C$4:C490,C490))</f>
        <v/>
      </c>
      <c r="K490" s="1" t="str">
        <f t="shared" si="106"/>
        <v/>
      </c>
      <c r="L490" s="1" t="str">
        <f t="shared" si="107"/>
        <v/>
      </c>
      <c r="M490" s="1" t="str">
        <f t="shared" si="108"/>
        <v/>
      </c>
      <c r="N490" s="8"/>
      <c r="O490" s="8"/>
      <c r="P490" s="1" t="str">
        <f t="shared" si="109"/>
        <v/>
      </c>
      <c r="Q490" s="25" t="str">
        <f t="shared" si="110"/>
        <v/>
      </c>
      <c r="R490" s="1" t="str">
        <f t="shared" si="111"/>
        <v/>
      </c>
      <c r="S490" s="33" t="str">
        <f t="shared" si="112"/>
        <v/>
      </c>
      <c r="T490" s="34" t="str">
        <f>IF(B490="","",C490&amp;"|"&amp;ROUND(S490,2)&amp;"|"&amp;COUNTIFS($C$4:C490,C490,$S$4:S490,S490))</f>
        <v/>
      </c>
      <c r="U490" s="34" t="str">
        <f t="shared" si="113"/>
        <v/>
      </c>
      <c r="V490" s="34" t="str">
        <f t="shared" si="114"/>
        <v/>
      </c>
      <c r="W490" s="34" t="str">
        <f t="shared" si="115"/>
        <v/>
      </c>
      <c r="X490" s="34">
        <f t="shared" si="116"/>
        <v>0</v>
      </c>
      <c r="Y490" s="34" t="str">
        <f t="shared" si="117"/>
        <v/>
      </c>
      <c r="Z490" s="34" t="str">
        <f>IF(X490=1,V490,IF(Y490="","",IF(COUNTIF(Y$3:Y489,Y490)=0,Y490,"")))</f>
        <v/>
      </c>
      <c r="AA490" s="34" t="b">
        <f t="shared" si="118"/>
        <v>0</v>
      </c>
      <c r="AB490" s="34">
        <f t="shared" si="119"/>
        <v>0</v>
      </c>
      <c r="AC490" s="34" t="str">
        <f>IF(AND(B490&lt;&gt;"",C490=CompteSel,N(B490)&lt;=DateArret,AB490=0),MAX($AC$3:AC489)+1,"")</f>
        <v/>
      </c>
      <c r="AD490" s="34" t="str">
        <f>IF(AND(ISNUMBER(M490),C490=CompteSel),MAX($AD$3:AD489)+1,"")</f>
        <v/>
      </c>
    </row>
    <row r="491" spans="1:30" x14ac:dyDescent="0.35">
      <c r="A491" s="1" t="str">
        <f t="shared" si="105"/>
        <v/>
      </c>
      <c r="B491" s="31"/>
      <c r="C491" s="8"/>
      <c r="D491" s="8"/>
      <c r="E491" s="8"/>
      <c r="F491" s="8"/>
      <c r="G491" s="8"/>
      <c r="H491" s="32"/>
      <c r="I491" s="32"/>
      <c r="J491" s="25" t="str">
        <f>IF(B491="","",IFERROR(VLOOKUP(C491,Soldes_Ouverture,2,FALSE()),0)+SUMIFS($S$4:S491,$C$4:C491,C491))</f>
        <v/>
      </c>
      <c r="K491" s="1" t="str">
        <f t="shared" si="106"/>
        <v/>
      </c>
      <c r="L491" s="1" t="str">
        <f t="shared" si="107"/>
        <v/>
      </c>
      <c r="M491" s="1" t="str">
        <f t="shared" si="108"/>
        <v/>
      </c>
      <c r="N491" s="8"/>
      <c r="O491" s="8"/>
      <c r="P491" s="1" t="str">
        <f t="shared" si="109"/>
        <v/>
      </c>
      <c r="Q491" s="25" t="str">
        <f t="shared" si="110"/>
        <v/>
      </c>
      <c r="R491" s="1" t="str">
        <f t="shared" si="111"/>
        <v/>
      </c>
      <c r="S491" s="33" t="str">
        <f t="shared" si="112"/>
        <v/>
      </c>
      <c r="T491" s="34" t="str">
        <f>IF(B491="","",C491&amp;"|"&amp;ROUND(S491,2)&amp;"|"&amp;COUNTIFS($C$4:C491,C491,$S$4:S491,S491))</f>
        <v/>
      </c>
      <c r="U491" s="34" t="str">
        <f t="shared" si="113"/>
        <v/>
      </c>
      <c r="V491" s="34" t="str">
        <f t="shared" si="114"/>
        <v/>
      </c>
      <c r="W491" s="34" t="str">
        <f t="shared" si="115"/>
        <v/>
      </c>
      <c r="X491" s="34">
        <f t="shared" si="116"/>
        <v>0</v>
      </c>
      <c r="Y491" s="34" t="str">
        <f t="shared" si="117"/>
        <v/>
      </c>
      <c r="Z491" s="34" t="str">
        <f>IF(X491=1,V491,IF(Y491="","",IF(COUNTIF(Y$3:Y490,Y491)=0,Y491,"")))</f>
        <v/>
      </c>
      <c r="AA491" s="34" t="b">
        <f t="shared" si="118"/>
        <v>0</v>
      </c>
      <c r="AB491" s="34">
        <f t="shared" si="119"/>
        <v>0</v>
      </c>
      <c r="AC491" s="34" t="str">
        <f>IF(AND(B491&lt;&gt;"",C491=CompteSel,N(B491)&lt;=DateArret,AB491=0),MAX($AC$3:AC490)+1,"")</f>
        <v/>
      </c>
      <c r="AD491" s="34" t="str">
        <f>IF(AND(ISNUMBER(M491),C491=CompteSel),MAX($AD$3:AD490)+1,"")</f>
        <v/>
      </c>
    </row>
    <row r="492" spans="1:30" x14ac:dyDescent="0.35">
      <c r="A492" s="1" t="str">
        <f t="shared" si="105"/>
        <v/>
      </c>
      <c r="B492" s="31"/>
      <c r="C492" s="8"/>
      <c r="D492" s="8"/>
      <c r="E492" s="8"/>
      <c r="F492" s="8"/>
      <c r="G492" s="8"/>
      <c r="H492" s="32"/>
      <c r="I492" s="32"/>
      <c r="J492" s="25" t="str">
        <f>IF(B492="","",IFERROR(VLOOKUP(C492,Soldes_Ouverture,2,FALSE()),0)+SUMIFS($S$4:S492,$C$4:C492,C492))</f>
        <v/>
      </c>
      <c r="K492" s="1" t="str">
        <f t="shared" si="106"/>
        <v/>
      </c>
      <c r="L492" s="1" t="str">
        <f t="shared" si="107"/>
        <v/>
      </c>
      <c r="M492" s="1" t="str">
        <f t="shared" si="108"/>
        <v/>
      </c>
      <c r="N492" s="8"/>
      <c r="O492" s="8"/>
      <c r="P492" s="1" t="str">
        <f t="shared" si="109"/>
        <v/>
      </c>
      <c r="Q492" s="25" t="str">
        <f t="shared" si="110"/>
        <v/>
      </c>
      <c r="R492" s="1" t="str">
        <f t="shared" si="111"/>
        <v/>
      </c>
      <c r="S492" s="33" t="str">
        <f t="shared" si="112"/>
        <v/>
      </c>
      <c r="T492" s="34" t="str">
        <f>IF(B492="","",C492&amp;"|"&amp;ROUND(S492,2)&amp;"|"&amp;COUNTIFS($C$4:C492,C492,$S$4:S492,S492))</f>
        <v/>
      </c>
      <c r="U492" s="34" t="str">
        <f t="shared" si="113"/>
        <v/>
      </c>
      <c r="V492" s="34" t="str">
        <f t="shared" si="114"/>
        <v/>
      </c>
      <c r="W492" s="34" t="str">
        <f t="shared" si="115"/>
        <v/>
      </c>
      <c r="X492" s="34">
        <f t="shared" si="116"/>
        <v>0</v>
      </c>
      <c r="Y492" s="34" t="str">
        <f t="shared" si="117"/>
        <v/>
      </c>
      <c r="Z492" s="34" t="str">
        <f>IF(X492=1,V492,IF(Y492="","",IF(COUNTIF(Y$3:Y491,Y492)=0,Y492,"")))</f>
        <v/>
      </c>
      <c r="AA492" s="34" t="b">
        <f t="shared" si="118"/>
        <v>0</v>
      </c>
      <c r="AB492" s="34">
        <f t="shared" si="119"/>
        <v>0</v>
      </c>
      <c r="AC492" s="34" t="str">
        <f>IF(AND(B492&lt;&gt;"",C492=CompteSel,N(B492)&lt;=DateArret,AB492=0),MAX($AC$3:AC491)+1,"")</f>
        <v/>
      </c>
      <c r="AD492" s="34" t="str">
        <f>IF(AND(ISNUMBER(M492),C492=CompteSel),MAX($AD$3:AD491)+1,"")</f>
        <v/>
      </c>
    </row>
    <row r="493" spans="1:30" x14ac:dyDescent="0.35">
      <c r="A493" s="1" t="str">
        <f t="shared" si="105"/>
        <v/>
      </c>
      <c r="B493" s="31"/>
      <c r="C493" s="8"/>
      <c r="D493" s="8"/>
      <c r="E493" s="8"/>
      <c r="F493" s="8"/>
      <c r="G493" s="8"/>
      <c r="H493" s="32"/>
      <c r="I493" s="32"/>
      <c r="J493" s="25" t="str">
        <f>IF(B493="","",IFERROR(VLOOKUP(C493,Soldes_Ouverture,2,FALSE()),0)+SUMIFS($S$4:S493,$C$4:C493,C493))</f>
        <v/>
      </c>
      <c r="K493" s="1" t="str">
        <f t="shared" si="106"/>
        <v/>
      </c>
      <c r="L493" s="1" t="str">
        <f t="shared" si="107"/>
        <v/>
      </c>
      <c r="M493" s="1" t="str">
        <f t="shared" si="108"/>
        <v/>
      </c>
      <c r="N493" s="8"/>
      <c r="O493" s="8"/>
      <c r="P493" s="1" t="str">
        <f t="shared" si="109"/>
        <v/>
      </c>
      <c r="Q493" s="25" t="str">
        <f t="shared" si="110"/>
        <v/>
      </c>
      <c r="R493" s="1" t="str">
        <f t="shared" si="111"/>
        <v/>
      </c>
      <c r="S493" s="33" t="str">
        <f t="shared" si="112"/>
        <v/>
      </c>
      <c r="T493" s="34" t="str">
        <f>IF(B493="","",C493&amp;"|"&amp;ROUND(S493,2)&amp;"|"&amp;COUNTIFS($C$4:C493,C493,$S$4:S493,S493))</f>
        <v/>
      </c>
      <c r="U493" s="34" t="str">
        <f t="shared" si="113"/>
        <v/>
      </c>
      <c r="V493" s="34" t="str">
        <f t="shared" si="114"/>
        <v/>
      </c>
      <c r="W493" s="34" t="str">
        <f t="shared" si="115"/>
        <v/>
      </c>
      <c r="X493" s="34">
        <f t="shared" si="116"/>
        <v>0</v>
      </c>
      <c r="Y493" s="34" t="str">
        <f t="shared" si="117"/>
        <v/>
      </c>
      <c r="Z493" s="34" t="str">
        <f>IF(X493=1,V493,IF(Y493="","",IF(COUNTIF(Y$3:Y492,Y493)=0,Y493,"")))</f>
        <v/>
      </c>
      <c r="AA493" s="34" t="b">
        <f t="shared" si="118"/>
        <v>0</v>
      </c>
      <c r="AB493" s="34">
        <f t="shared" si="119"/>
        <v>0</v>
      </c>
      <c r="AC493" s="34" t="str">
        <f>IF(AND(B493&lt;&gt;"",C493=CompteSel,N(B493)&lt;=DateArret,AB493=0),MAX($AC$3:AC492)+1,"")</f>
        <v/>
      </c>
      <c r="AD493" s="34" t="str">
        <f>IF(AND(ISNUMBER(M493),C493=CompteSel),MAX($AD$3:AD492)+1,"")</f>
        <v/>
      </c>
    </row>
    <row r="494" spans="1:30" x14ac:dyDescent="0.35">
      <c r="A494" s="1" t="str">
        <f t="shared" si="105"/>
        <v/>
      </c>
      <c r="B494" s="31"/>
      <c r="C494" s="8"/>
      <c r="D494" s="8"/>
      <c r="E494" s="8"/>
      <c r="F494" s="8"/>
      <c r="G494" s="8"/>
      <c r="H494" s="32"/>
      <c r="I494" s="32"/>
      <c r="J494" s="25" t="str">
        <f>IF(B494="","",IFERROR(VLOOKUP(C494,Soldes_Ouverture,2,FALSE()),0)+SUMIFS($S$4:S494,$C$4:C494,C494))</f>
        <v/>
      </c>
      <c r="K494" s="1" t="str">
        <f t="shared" si="106"/>
        <v/>
      </c>
      <c r="L494" s="1" t="str">
        <f t="shared" si="107"/>
        <v/>
      </c>
      <c r="M494" s="1" t="str">
        <f t="shared" si="108"/>
        <v/>
      </c>
      <c r="N494" s="8"/>
      <c r="O494" s="8"/>
      <c r="P494" s="1" t="str">
        <f t="shared" si="109"/>
        <v/>
      </c>
      <c r="Q494" s="25" t="str">
        <f t="shared" si="110"/>
        <v/>
      </c>
      <c r="R494" s="1" t="str">
        <f t="shared" si="111"/>
        <v/>
      </c>
      <c r="S494" s="33" t="str">
        <f t="shared" si="112"/>
        <v/>
      </c>
      <c r="T494" s="34" t="str">
        <f>IF(B494="","",C494&amp;"|"&amp;ROUND(S494,2)&amp;"|"&amp;COUNTIFS($C$4:C494,C494,$S$4:S494,S494))</f>
        <v/>
      </c>
      <c r="U494" s="34" t="str">
        <f t="shared" si="113"/>
        <v/>
      </c>
      <c r="V494" s="34" t="str">
        <f t="shared" si="114"/>
        <v/>
      </c>
      <c r="W494" s="34" t="str">
        <f t="shared" si="115"/>
        <v/>
      </c>
      <c r="X494" s="34">
        <f t="shared" si="116"/>
        <v>0</v>
      </c>
      <c r="Y494" s="34" t="str">
        <f t="shared" si="117"/>
        <v/>
      </c>
      <c r="Z494" s="34" t="str">
        <f>IF(X494=1,V494,IF(Y494="","",IF(COUNTIF(Y$3:Y493,Y494)=0,Y494,"")))</f>
        <v/>
      </c>
      <c r="AA494" s="34" t="b">
        <f t="shared" si="118"/>
        <v>0</v>
      </c>
      <c r="AB494" s="34">
        <f t="shared" si="119"/>
        <v>0</v>
      </c>
      <c r="AC494" s="34" t="str">
        <f>IF(AND(B494&lt;&gt;"",C494=CompteSel,N(B494)&lt;=DateArret,AB494=0),MAX($AC$3:AC493)+1,"")</f>
        <v/>
      </c>
      <c r="AD494" s="34" t="str">
        <f>IF(AND(ISNUMBER(M494),C494=CompteSel),MAX($AD$3:AD493)+1,"")</f>
        <v/>
      </c>
    </row>
    <row r="495" spans="1:30" x14ac:dyDescent="0.35">
      <c r="A495" s="1" t="str">
        <f t="shared" si="105"/>
        <v/>
      </c>
      <c r="B495" s="31"/>
      <c r="C495" s="8"/>
      <c r="D495" s="8"/>
      <c r="E495" s="8"/>
      <c r="F495" s="8"/>
      <c r="G495" s="8"/>
      <c r="H495" s="32"/>
      <c r="I495" s="32"/>
      <c r="J495" s="25" t="str">
        <f>IF(B495="","",IFERROR(VLOOKUP(C495,Soldes_Ouverture,2,FALSE()),0)+SUMIFS($S$4:S495,$C$4:C495,C495))</f>
        <v/>
      </c>
      <c r="K495" s="1" t="str">
        <f t="shared" si="106"/>
        <v/>
      </c>
      <c r="L495" s="1" t="str">
        <f t="shared" si="107"/>
        <v/>
      </c>
      <c r="M495" s="1" t="str">
        <f t="shared" si="108"/>
        <v/>
      </c>
      <c r="N495" s="8"/>
      <c r="O495" s="8"/>
      <c r="P495" s="1" t="str">
        <f t="shared" si="109"/>
        <v/>
      </c>
      <c r="Q495" s="25" t="str">
        <f t="shared" si="110"/>
        <v/>
      </c>
      <c r="R495" s="1" t="str">
        <f t="shared" si="111"/>
        <v/>
      </c>
      <c r="S495" s="33" t="str">
        <f t="shared" si="112"/>
        <v/>
      </c>
      <c r="T495" s="34" t="str">
        <f>IF(B495="","",C495&amp;"|"&amp;ROUND(S495,2)&amp;"|"&amp;COUNTIFS($C$4:C495,C495,$S$4:S495,S495))</f>
        <v/>
      </c>
      <c r="U495" s="34" t="str">
        <f t="shared" si="113"/>
        <v/>
      </c>
      <c r="V495" s="34" t="str">
        <f t="shared" si="114"/>
        <v/>
      </c>
      <c r="W495" s="34" t="str">
        <f t="shared" si="115"/>
        <v/>
      </c>
      <c r="X495" s="34">
        <f t="shared" si="116"/>
        <v>0</v>
      </c>
      <c r="Y495" s="34" t="str">
        <f t="shared" si="117"/>
        <v/>
      </c>
      <c r="Z495" s="34" t="str">
        <f>IF(X495=1,V495,IF(Y495="","",IF(COUNTIF(Y$3:Y494,Y495)=0,Y495,"")))</f>
        <v/>
      </c>
      <c r="AA495" s="34" t="b">
        <f t="shared" si="118"/>
        <v>0</v>
      </c>
      <c r="AB495" s="34">
        <f t="shared" si="119"/>
        <v>0</v>
      </c>
      <c r="AC495" s="34" t="str">
        <f>IF(AND(B495&lt;&gt;"",C495=CompteSel,N(B495)&lt;=DateArret,AB495=0),MAX($AC$3:AC494)+1,"")</f>
        <v/>
      </c>
      <c r="AD495" s="34" t="str">
        <f>IF(AND(ISNUMBER(M495),C495=CompteSel),MAX($AD$3:AD494)+1,"")</f>
        <v/>
      </c>
    </row>
    <row r="496" spans="1:30" x14ac:dyDescent="0.35">
      <c r="A496" s="1" t="str">
        <f t="shared" si="105"/>
        <v/>
      </c>
      <c r="B496" s="31"/>
      <c r="C496" s="8"/>
      <c r="D496" s="8"/>
      <c r="E496" s="8"/>
      <c r="F496" s="8"/>
      <c r="G496" s="8"/>
      <c r="H496" s="32"/>
      <c r="I496" s="32"/>
      <c r="J496" s="25" t="str">
        <f>IF(B496="","",IFERROR(VLOOKUP(C496,Soldes_Ouverture,2,FALSE()),0)+SUMIFS($S$4:S496,$C$4:C496,C496))</f>
        <v/>
      </c>
      <c r="K496" s="1" t="str">
        <f t="shared" si="106"/>
        <v/>
      </c>
      <c r="L496" s="1" t="str">
        <f t="shared" si="107"/>
        <v/>
      </c>
      <c r="M496" s="1" t="str">
        <f t="shared" si="108"/>
        <v/>
      </c>
      <c r="N496" s="8"/>
      <c r="O496" s="8"/>
      <c r="P496" s="1" t="str">
        <f t="shared" si="109"/>
        <v/>
      </c>
      <c r="Q496" s="25" t="str">
        <f t="shared" si="110"/>
        <v/>
      </c>
      <c r="R496" s="1" t="str">
        <f t="shared" si="111"/>
        <v/>
      </c>
      <c r="S496" s="33" t="str">
        <f t="shared" si="112"/>
        <v/>
      </c>
      <c r="T496" s="34" t="str">
        <f>IF(B496="","",C496&amp;"|"&amp;ROUND(S496,2)&amp;"|"&amp;COUNTIFS($C$4:C496,C496,$S$4:S496,S496))</f>
        <v/>
      </c>
      <c r="U496" s="34" t="str">
        <f t="shared" si="113"/>
        <v/>
      </c>
      <c r="V496" s="34" t="str">
        <f t="shared" si="114"/>
        <v/>
      </c>
      <c r="W496" s="34" t="str">
        <f t="shared" si="115"/>
        <v/>
      </c>
      <c r="X496" s="34">
        <f t="shared" si="116"/>
        <v>0</v>
      </c>
      <c r="Y496" s="34" t="str">
        <f t="shared" si="117"/>
        <v/>
      </c>
      <c r="Z496" s="34" t="str">
        <f>IF(X496=1,V496,IF(Y496="","",IF(COUNTIF(Y$3:Y495,Y496)=0,Y496,"")))</f>
        <v/>
      </c>
      <c r="AA496" s="34" t="b">
        <f t="shared" si="118"/>
        <v>0</v>
      </c>
      <c r="AB496" s="34">
        <f t="shared" si="119"/>
        <v>0</v>
      </c>
      <c r="AC496" s="34" t="str">
        <f>IF(AND(B496&lt;&gt;"",C496=CompteSel,N(B496)&lt;=DateArret,AB496=0),MAX($AC$3:AC495)+1,"")</f>
        <v/>
      </c>
      <c r="AD496" s="34" t="str">
        <f>IF(AND(ISNUMBER(M496),C496=CompteSel),MAX($AD$3:AD495)+1,"")</f>
        <v/>
      </c>
    </row>
    <row r="497" spans="1:30" x14ac:dyDescent="0.35">
      <c r="A497" s="1" t="str">
        <f t="shared" si="105"/>
        <v/>
      </c>
      <c r="B497" s="31"/>
      <c r="C497" s="8"/>
      <c r="D497" s="8"/>
      <c r="E497" s="8"/>
      <c r="F497" s="8"/>
      <c r="G497" s="8"/>
      <c r="H497" s="32"/>
      <c r="I497" s="32"/>
      <c r="J497" s="25" t="str">
        <f>IF(B497="","",IFERROR(VLOOKUP(C497,Soldes_Ouverture,2,FALSE()),0)+SUMIFS($S$4:S497,$C$4:C497,C497))</f>
        <v/>
      </c>
      <c r="K497" s="1" t="str">
        <f t="shared" si="106"/>
        <v/>
      </c>
      <c r="L497" s="1" t="str">
        <f t="shared" si="107"/>
        <v/>
      </c>
      <c r="M497" s="1" t="str">
        <f t="shared" si="108"/>
        <v/>
      </c>
      <c r="N497" s="8"/>
      <c r="O497" s="8"/>
      <c r="P497" s="1" t="str">
        <f t="shared" si="109"/>
        <v/>
      </c>
      <c r="Q497" s="25" t="str">
        <f t="shared" si="110"/>
        <v/>
      </c>
      <c r="R497" s="1" t="str">
        <f t="shared" si="111"/>
        <v/>
      </c>
      <c r="S497" s="33" t="str">
        <f t="shared" si="112"/>
        <v/>
      </c>
      <c r="T497" s="34" t="str">
        <f>IF(B497="","",C497&amp;"|"&amp;ROUND(S497,2)&amp;"|"&amp;COUNTIFS($C$4:C497,C497,$S$4:S497,S497))</f>
        <v/>
      </c>
      <c r="U497" s="34" t="str">
        <f t="shared" si="113"/>
        <v/>
      </c>
      <c r="V497" s="34" t="str">
        <f t="shared" si="114"/>
        <v/>
      </c>
      <c r="W497" s="34" t="str">
        <f t="shared" si="115"/>
        <v/>
      </c>
      <c r="X497" s="34">
        <f t="shared" si="116"/>
        <v>0</v>
      </c>
      <c r="Y497" s="34" t="str">
        <f t="shared" si="117"/>
        <v/>
      </c>
      <c r="Z497" s="34" t="str">
        <f>IF(X497=1,V497,IF(Y497="","",IF(COUNTIF(Y$3:Y496,Y497)=0,Y497,"")))</f>
        <v/>
      </c>
      <c r="AA497" s="34" t="b">
        <f t="shared" si="118"/>
        <v>0</v>
      </c>
      <c r="AB497" s="34">
        <f t="shared" si="119"/>
        <v>0</v>
      </c>
      <c r="AC497" s="34" t="str">
        <f>IF(AND(B497&lt;&gt;"",C497=CompteSel,N(B497)&lt;=DateArret,AB497=0),MAX($AC$3:AC496)+1,"")</f>
        <v/>
      </c>
      <c r="AD497" s="34" t="str">
        <f>IF(AND(ISNUMBER(M497),C497=CompteSel),MAX($AD$3:AD496)+1,"")</f>
        <v/>
      </c>
    </row>
    <row r="498" spans="1:30" x14ac:dyDescent="0.35">
      <c r="A498" s="1" t="str">
        <f t="shared" si="105"/>
        <v/>
      </c>
      <c r="B498" s="31"/>
      <c r="C498" s="8"/>
      <c r="D498" s="8"/>
      <c r="E498" s="8"/>
      <c r="F498" s="8"/>
      <c r="G498" s="8"/>
      <c r="H498" s="32"/>
      <c r="I498" s="32"/>
      <c r="J498" s="25" t="str">
        <f>IF(B498="","",IFERROR(VLOOKUP(C498,Soldes_Ouverture,2,FALSE()),0)+SUMIFS($S$4:S498,$C$4:C498,C498))</f>
        <v/>
      </c>
      <c r="K498" s="1" t="str">
        <f t="shared" si="106"/>
        <v/>
      </c>
      <c r="L498" s="1" t="str">
        <f t="shared" si="107"/>
        <v/>
      </c>
      <c r="M498" s="1" t="str">
        <f t="shared" si="108"/>
        <v/>
      </c>
      <c r="N498" s="8"/>
      <c r="O498" s="8"/>
      <c r="P498" s="1" t="str">
        <f t="shared" si="109"/>
        <v/>
      </c>
      <c r="Q498" s="25" t="str">
        <f t="shared" si="110"/>
        <v/>
      </c>
      <c r="R498" s="1" t="str">
        <f t="shared" si="111"/>
        <v/>
      </c>
      <c r="S498" s="33" t="str">
        <f t="shared" si="112"/>
        <v/>
      </c>
      <c r="T498" s="34" t="str">
        <f>IF(B498="","",C498&amp;"|"&amp;ROUND(S498,2)&amp;"|"&amp;COUNTIFS($C$4:C498,C498,$S$4:S498,S498))</f>
        <v/>
      </c>
      <c r="U498" s="34" t="str">
        <f t="shared" si="113"/>
        <v/>
      </c>
      <c r="V498" s="34" t="str">
        <f t="shared" si="114"/>
        <v/>
      </c>
      <c r="W498" s="34" t="str">
        <f t="shared" si="115"/>
        <v/>
      </c>
      <c r="X498" s="34">
        <f t="shared" si="116"/>
        <v>0</v>
      </c>
      <c r="Y498" s="34" t="str">
        <f t="shared" si="117"/>
        <v/>
      </c>
      <c r="Z498" s="34" t="str">
        <f>IF(X498=1,V498,IF(Y498="","",IF(COUNTIF(Y$3:Y497,Y498)=0,Y498,"")))</f>
        <v/>
      </c>
      <c r="AA498" s="34" t="b">
        <f t="shared" si="118"/>
        <v>0</v>
      </c>
      <c r="AB498" s="34">
        <f t="shared" si="119"/>
        <v>0</v>
      </c>
      <c r="AC498" s="34" t="str">
        <f>IF(AND(B498&lt;&gt;"",C498=CompteSel,N(B498)&lt;=DateArret,AB498=0),MAX($AC$3:AC497)+1,"")</f>
        <v/>
      </c>
      <c r="AD498" s="34" t="str">
        <f>IF(AND(ISNUMBER(M498),C498=CompteSel),MAX($AD$3:AD497)+1,"")</f>
        <v/>
      </c>
    </row>
    <row r="499" spans="1:30" x14ac:dyDescent="0.35">
      <c r="A499" s="1" t="str">
        <f t="shared" si="105"/>
        <v/>
      </c>
      <c r="B499" s="31"/>
      <c r="C499" s="8"/>
      <c r="D499" s="8"/>
      <c r="E499" s="8"/>
      <c r="F499" s="8"/>
      <c r="G499" s="8"/>
      <c r="H499" s="32"/>
      <c r="I499" s="32"/>
      <c r="J499" s="25" t="str">
        <f>IF(B499="","",IFERROR(VLOOKUP(C499,Soldes_Ouverture,2,FALSE()),0)+SUMIFS($S$4:S499,$C$4:C499,C499))</f>
        <v/>
      </c>
      <c r="K499" s="1" t="str">
        <f t="shared" si="106"/>
        <v/>
      </c>
      <c r="L499" s="1" t="str">
        <f t="shared" si="107"/>
        <v/>
      </c>
      <c r="M499" s="1" t="str">
        <f t="shared" si="108"/>
        <v/>
      </c>
      <c r="N499" s="8"/>
      <c r="O499" s="8"/>
      <c r="P499" s="1" t="str">
        <f t="shared" si="109"/>
        <v/>
      </c>
      <c r="Q499" s="25" t="str">
        <f t="shared" si="110"/>
        <v/>
      </c>
      <c r="R499" s="1" t="str">
        <f t="shared" si="111"/>
        <v/>
      </c>
      <c r="S499" s="33" t="str">
        <f t="shared" si="112"/>
        <v/>
      </c>
      <c r="T499" s="34" t="str">
        <f>IF(B499="","",C499&amp;"|"&amp;ROUND(S499,2)&amp;"|"&amp;COUNTIFS($C$4:C499,C499,$S$4:S499,S499))</f>
        <v/>
      </c>
      <c r="U499" s="34" t="str">
        <f t="shared" si="113"/>
        <v/>
      </c>
      <c r="V499" s="34" t="str">
        <f t="shared" si="114"/>
        <v/>
      </c>
      <c r="W499" s="34" t="str">
        <f t="shared" si="115"/>
        <v/>
      </c>
      <c r="X499" s="34">
        <f t="shared" si="116"/>
        <v>0</v>
      </c>
      <c r="Y499" s="34" t="str">
        <f t="shared" si="117"/>
        <v/>
      </c>
      <c r="Z499" s="34" t="str">
        <f>IF(X499=1,V499,IF(Y499="","",IF(COUNTIF(Y$3:Y498,Y499)=0,Y499,"")))</f>
        <v/>
      </c>
      <c r="AA499" s="34" t="b">
        <f t="shared" si="118"/>
        <v>0</v>
      </c>
      <c r="AB499" s="34">
        <f t="shared" si="119"/>
        <v>0</v>
      </c>
      <c r="AC499" s="34" t="str">
        <f>IF(AND(B499&lt;&gt;"",C499=CompteSel,N(B499)&lt;=DateArret,AB499=0),MAX($AC$3:AC498)+1,"")</f>
        <v/>
      </c>
      <c r="AD499" s="34" t="str">
        <f>IF(AND(ISNUMBER(M499),C499=CompteSel),MAX($AD$3:AD498)+1,"")</f>
        <v/>
      </c>
    </row>
    <row r="500" spans="1:30" x14ac:dyDescent="0.35">
      <c r="A500" s="1" t="str">
        <f t="shared" si="105"/>
        <v/>
      </c>
      <c r="B500" s="31"/>
      <c r="C500" s="8"/>
      <c r="D500" s="8"/>
      <c r="E500" s="8"/>
      <c r="F500" s="8"/>
      <c r="G500" s="8"/>
      <c r="H500" s="32"/>
      <c r="I500" s="32"/>
      <c r="J500" s="25" t="str">
        <f>IF(B500="","",IFERROR(VLOOKUP(C500,Soldes_Ouverture,2,FALSE()),0)+SUMIFS($S$4:S500,$C$4:C500,C500))</f>
        <v/>
      </c>
      <c r="K500" s="1" t="str">
        <f t="shared" si="106"/>
        <v/>
      </c>
      <c r="L500" s="1" t="str">
        <f t="shared" si="107"/>
        <v/>
      </c>
      <c r="M500" s="1" t="str">
        <f t="shared" si="108"/>
        <v/>
      </c>
      <c r="N500" s="8"/>
      <c r="O500" s="8"/>
      <c r="P500" s="1" t="str">
        <f t="shared" si="109"/>
        <v/>
      </c>
      <c r="Q500" s="25" t="str">
        <f t="shared" si="110"/>
        <v/>
      </c>
      <c r="R500" s="1" t="str">
        <f t="shared" si="111"/>
        <v/>
      </c>
      <c r="S500" s="33" t="str">
        <f t="shared" si="112"/>
        <v/>
      </c>
      <c r="T500" s="34" t="str">
        <f>IF(B500="","",C500&amp;"|"&amp;ROUND(S500,2)&amp;"|"&amp;COUNTIFS($C$4:C500,C500,$S$4:S500,S500))</f>
        <v/>
      </c>
      <c r="U500" s="34" t="str">
        <f t="shared" si="113"/>
        <v/>
      </c>
      <c r="V500" s="34" t="str">
        <f t="shared" si="114"/>
        <v/>
      </c>
      <c r="W500" s="34" t="str">
        <f t="shared" si="115"/>
        <v/>
      </c>
      <c r="X500" s="34">
        <f t="shared" si="116"/>
        <v>0</v>
      </c>
      <c r="Y500" s="34" t="str">
        <f t="shared" si="117"/>
        <v/>
      </c>
      <c r="Z500" s="34" t="str">
        <f>IF(X500=1,V500,IF(Y500="","",IF(COUNTIF(Y$3:Y499,Y500)=0,Y500,"")))</f>
        <v/>
      </c>
      <c r="AA500" s="34" t="b">
        <f t="shared" si="118"/>
        <v>0</v>
      </c>
      <c r="AB500" s="34">
        <f t="shared" si="119"/>
        <v>0</v>
      </c>
      <c r="AC500" s="34" t="str">
        <f>IF(AND(B500&lt;&gt;"",C500=CompteSel,N(B500)&lt;=DateArret,AB500=0),MAX($AC$3:AC499)+1,"")</f>
        <v/>
      </c>
      <c r="AD500" s="34" t="str">
        <f>IF(AND(ISNUMBER(M500),C500=CompteSel),MAX($AD$3:AD499)+1,"")</f>
        <v/>
      </c>
    </row>
    <row r="501" spans="1:30" x14ac:dyDescent="0.35">
      <c r="A501" s="1" t="str">
        <f t="shared" si="105"/>
        <v/>
      </c>
      <c r="B501" s="31"/>
      <c r="C501" s="8"/>
      <c r="D501" s="8"/>
      <c r="E501" s="8"/>
      <c r="F501" s="8"/>
      <c r="G501" s="8"/>
      <c r="H501" s="32"/>
      <c r="I501" s="32"/>
      <c r="J501" s="25" t="str">
        <f>IF(B501="","",IFERROR(VLOOKUP(C501,Soldes_Ouverture,2,FALSE()),0)+SUMIFS($S$4:S501,$C$4:C501,C501))</f>
        <v/>
      </c>
      <c r="K501" s="1" t="str">
        <f t="shared" si="106"/>
        <v/>
      </c>
      <c r="L501" s="1" t="str">
        <f t="shared" si="107"/>
        <v/>
      </c>
      <c r="M501" s="1" t="str">
        <f t="shared" si="108"/>
        <v/>
      </c>
      <c r="N501" s="8"/>
      <c r="O501" s="8"/>
      <c r="P501" s="1" t="str">
        <f t="shared" si="109"/>
        <v/>
      </c>
      <c r="Q501" s="25" t="str">
        <f t="shared" si="110"/>
        <v/>
      </c>
      <c r="R501" s="1" t="str">
        <f t="shared" si="111"/>
        <v/>
      </c>
      <c r="S501" s="33" t="str">
        <f t="shared" si="112"/>
        <v/>
      </c>
      <c r="T501" s="34" t="str">
        <f>IF(B501="","",C501&amp;"|"&amp;ROUND(S501,2)&amp;"|"&amp;COUNTIFS($C$4:C501,C501,$S$4:S501,S501))</f>
        <v/>
      </c>
      <c r="U501" s="34" t="str">
        <f t="shared" si="113"/>
        <v/>
      </c>
      <c r="V501" s="34" t="str">
        <f t="shared" si="114"/>
        <v/>
      </c>
      <c r="W501" s="34" t="str">
        <f t="shared" si="115"/>
        <v/>
      </c>
      <c r="X501" s="34">
        <f t="shared" si="116"/>
        <v>0</v>
      </c>
      <c r="Y501" s="34" t="str">
        <f t="shared" si="117"/>
        <v/>
      </c>
      <c r="Z501" s="34" t="str">
        <f>IF(X501=1,V501,IF(Y501="","",IF(COUNTIF(Y$3:Y500,Y501)=0,Y501,"")))</f>
        <v/>
      </c>
      <c r="AA501" s="34" t="b">
        <f t="shared" si="118"/>
        <v>0</v>
      </c>
      <c r="AB501" s="34">
        <f t="shared" si="119"/>
        <v>0</v>
      </c>
      <c r="AC501" s="34" t="str">
        <f>IF(AND(B501&lt;&gt;"",C501=CompteSel,N(B501)&lt;=DateArret,AB501=0),MAX($AC$3:AC500)+1,"")</f>
        <v/>
      </c>
      <c r="AD501" s="34" t="str">
        <f>IF(AND(ISNUMBER(M501),C501=CompteSel),MAX($AD$3:AD500)+1,"")</f>
        <v/>
      </c>
    </row>
    <row r="502" spans="1:30" x14ac:dyDescent="0.35">
      <c r="A502" s="1" t="str">
        <f t="shared" si="105"/>
        <v/>
      </c>
      <c r="B502" s="31"/>
      <c r="C502" s="8"/>
      <c r="D502" s="8"/>
      <c r="E502" s="8"/>
      <c r="F502" s="8"/>
      <c r="G502" s="8"/>
      <c r="H502" s="32"/>
      <c r="I502" s="32"/>
      <c r="J502" s="25" t="str">
        <f>IF(B502="","",IFERROR(VLOOKUP(C502,Soldes_Ouverture,2,FALSE()),0)+SUMIFS($S$4:S502,$C$4:C502,C502))</f>
        <v/>
      </c>
      <c r="K502" s="1" t="str">
        <f t="shared" si="106"/>
        <v/>
      </c>
      <c r="L502" s="1" t="str">
        <f t="shared" si="107"/>
        <v/>
      </c>
      <c r="M502" s="1" t="str">
        <f t="shared" si="108"/>
        <v/>
      </c>
      <c r="N502" s="8"/>
      <c r="O502" s="8"/>
      <c r="P502" s="1" t="str">
        <f t="shared" si="109"/>
        <v/>
      </c>
      <c r="Q502" s="25" t="str">
        <f t="shared" si="110"/>
        <v/>
      </c>
      <c r="R502" s="1" t="str">
        <f t="shared" si="111"/>
        <v/>
      </c>
      <c r="S502" s="33" t="str">
        <f t="shared" si="112"/>
        <v/>
      </c>
      <c r="T502" s="34" t="str">
        <f>IF(B502="","",C502&amp;"|"&amp;ROUND(S502,2)&amp;"|"&amp;COUNTIFS($C$4:C502,C502,$S$4:S502,S502))</f>
        <v/>
      </c>
      <c r="U502" s="34" t="str">
        <f t="shared" si="113"/>
        <v/>
      </c>
      <c r="V502" s="34" t="str">
        <f t="shared" si="114"/>
        <v/>
      </c>
      <c r="W502" s="34" t="str">
        <f t="shared" si="115"/>
        <v/>
      </c>
      <c r="X502" s="34">
        <f t="shared" si="116"/>
        <v>0</v>
      </c>
      <c r="Y502" s="34" t="str">
        <f t="shared" si="117"/>
        <v/>
      </c>
      <c r="Z502" s="34" t="str">
        <f>IF(X502=1,V502,IF(Y502="","",IF(COUNTIF(Y$3:Y501,Y502)=0,Y502,"")))</f>
        <v/>
      </c>
      <c r="AA502" s="34" t="b">
        <f t="shared" si="118"/>
        <v>0</v>
      </c>
      <c r="AB502" s="34">
        <f t="shared" si="119"/>
        <v>0</v>
      </c>
      <c r="AC502" s="34" t="str">
        <f>IF(AND(B502&lt;&gt;"",C502=CompteSel,N(B502)&lt;=DateArret,AB502=0),MAX($AC$3:AC501)+1,"")</f>
        <v/>
      </c>
      <c r="AD502" s="34" t="str">
        <f>IF(AND(ISNUMBER(M502),C502=CompteSel),MAX($AD$3:AD501)+1,"")</f>
        <v/>
      </c>
    </row>
    <row r="503" spans="1:30" x14ac:dyDescent="0.35">
      <c r="A503" s="1" t="str">
        <f t="shared" si="105"/>
        <v/>
      </c>
      <c r="B503" s="31"/>
      <c r="C503" s="8"/>
      <c r="D503" s="8"/>
      <c r="E503" s="8"/>
      <c r="F503" s="8"/>
      <c r="G503" s="8"/>
      <c r="H503" s="32"/>
      <c r="I503" s="32"/>
      <c r="J503" s="25" t="str">
        <f>IF(B503="","",IFERROR(VLOOKUP(C503,Soldes_Ouverture,2,FALSE()),0)+SUMIFS($S$4:S503,$C$4:C503,C503))</f>
        <v/>
      </c>
      <c r="K503" s="1" t="str">
        <f t="shared" si="106"/>
        <v/>
      </c>
      <c r="L503" s="1" t="str">
        <f t="shared" si="107"/>
        <v/>
      </c>
      <c r="M503" s="1" t="str">
        <f t="shared" si="108"/>
        <v/>
      </c>
      <c r="N503" s="8"/>
      <c r="O503" s="8"/>
      <c r="P503" s="1" t="str">
        <f t="shared" si="109"/>
        <v/>
      </c>
      <c r="Q503" s="25" t="str">
        <f t="shared" si="110"/>
        <v/>
      </c>
      <c r="R503" s="1" t="str">
        <f t="shared" si="111"/>
        <v/>
      </c>
      <c r="S503" s="33" t="str">
        <f t="shared" si="112"/>
        <v/>
      </c>
      <c r="T503" s="34" t="str">
        <f>IF(B503="","",C503&amp;"|"&amp;ROUND(S503,2)&amp;"|"&amp;COUNTIFS($C$4:C503,C503,$S$4:S503,S503))</f>
        <v/>
      </c>
      <c r="U503" s="34" t="str">
        <f t="shared" si="113"/>
        <v/>
      </c>
      <c r="V503" s="34" t="str">
        <f t="shared" si="114"/>
        <v/>
      </c>
      <c r="W503" s="34" t="str">
        <f t="shared" si="115"/>
        <v/>
      </c>
      <c r="X503" s="34">
        <f t="shared" si="116"/>
        <v>0</v>
      </c>
      <c r="Y503" s="34" t="str">
        <f t="shared" si="117"/>
        <v/>
      </c>
      <c r="Z503" s="34" t="str">
        <f>IF(X503=1,V503,IF(Y503="","",IF(COUNTIF(Y$3:Y502,Y503)=0,Y503,"")))</f>
        <v/>
      </c>
      <c r="AA503" s="34" t="b">
        <f t="shared" si="118"/>
        <v>0</v>
      </c>
      <c r="AB503" s="34">
        <f t="shared" si="119"/>
        <v>0</v>
      </c>
      <c r="AC503" s="34" t="str">
        <f>IF(AND(B503&lt;&gt;"",C503=CompteSel,N(B503)&lt;=DateArret,AB503=0),MAX($AC$3:AC502)+1,"")</f>
        <v/>
      </c>
      <c r="AD503" s="34" t="str">
        <f>IF(AND(ISNUMBER(M503),C503=CompteSel),MAX($AD$3:AD502)+1,"")</f>
        <v/>
      </c>
    </row>
  </sheetData>
  <autoFilter ref="A3:R503" xr:uid="{00000000-0009-0000-0000-000004000000}"/>
  <conditionalFormatting sqref="K4:L503">
    <cfRule type="cellIs" dxfId="19" priority="2" operator="equal">
      <formula>"Rapproché"</formula>
    </cfRule>
    <cfRule type="cellIs" dxfId="18" priority="3" operator="equal">
      <formula>"Manuel"</formula>
    </cfRule>
    <cfRule type="cellIs" dxfId="17" priority="4" operator="equal">
      <formula>"Proposé"</formula>
    </cfRule>
    <cfRule type="cellIs" dxfId="16" priority="5" operator="equal">
      <formula>"Écart"</formula>
    </cfRule>
    <cfRule type="cellIs" dxfId="15" priority="6" operator="equal">
      <formula>"Conflit"</formula>
    </cfRule>
    <cfRule type="cellIs" dxfId="14" priority="7" operator="equal">
      <formula>"Non rapproché"</formula>
    </cfRule>
    <cfRule type="cellIs" dxfId="13" priority="8" operator="equal">
      <formula>"Fort"</formula>
    </cfRule>
    <cfRule type="cellIs" dxfId="12" priority="9" operator="equal">
      <formula>"Moyen"</formula>
    </cfRule>
    <cfRule type="cellIs" dxfId="11" priority="10" operator="equal">
      <formula>"Faible"</formula>
    </cfRule>
  </conditionalFormatting>
  <conditionalFormatting sqref="R4:R503">
    <cfRule type="expression" dxfId="10" priority="11">
      <formula>LEN(R4)&gt;0</formula>
    </cfRule>
  </conditionalFormatting>
  <dataValidations count="4">
    <dataValidation type="list" allowBlank="1" sqref="C4:C503" xr:uid="{00000000-0002-0000-0400-000000000000}">
      <formula1>Comptes</formula1>
      <formula2>0</formula2>
    </dataValidation>
    <dataValidation type="list" allowBlank="1" sqref="G4:G503" xr:uid="{00000000-0002-0000-0400-000001000000}">
      <formula1>"Achats,Ventes,Logistique,Frais bancaires,Salaires,Transfert,Autre"</formula1>
      <formula2>0</formula2>
    </dataValidation>
    <dataValidation type="list" allowBlank="1" sqref="N4:N503" xr:uid="{00000000-0002-0000-0400-000002000000}">
      <formula1>"Valider,Rejeter,Écart"</formula1>
      <formula2>0</formula2>
    </dataValidation>
    <dataValidation type="whole" allowBlank="1" showErrorMessage="1" error="Saisissez le N° d'une ligne du relevé (colonne A de Releve_Banque)." sqref="O4:O503" xr:uid="{00000000-0002-0000-0400-000003000000}">
      <formula1>1</formula1>
      <formula2>500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0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328125" defaultRowHeight="14.5" outlineLevelCol="1" x14ac:dyDescent="0.35"/>
  <cols>
    <col min="1" max="1" width="6" customWidth="1"/>
    <col min="2" max="2" width="12" customWidth="1"/>
    <col min="3" max="3" width="11" customWidth="1"/>
    <col min="4" max="4" width="34" customWidth="1"/>
    <col min="5" max="7" width="13" customWidth="1"/>
    <col min="8" max="8" width="14" customWidth="1"/>
    <col min="9" max="9" width="15" customWidth="1"/>
    <col min="10" max="10" width="9" customWidth="1"/>
    <col min="11" max="12" width="10" customWidth="1"/>
    <col min="13" max="13" width="8" customWidth="1"/>
    <col min="14" max="14" width="11" customWidth="1"/>
    <col min="15" max="21" width="10" hidden="1" customWidth="1" outlineLevel="1"/>
  </cols>
  <sheetData>
    <row r="1" spans="1:21" ht="19" x14ac:dyDescent="0.4">
      <c r="A1" s="4" t="s">
        <v>187</v>
      </c>
    </row>
    <row r="2" spans="1:21" x14ac:dyDescent="0.35">
      <c r="A2" s="5" t="s">
        <v>188</v>
      </c>
    </row>
    <row r="3" spans="1:21" ht="30" customHeight="1" x14ac:dyDescent="0.35">
      <c r="A3" s="23" t="s">
        <v>87</v>
      </c>
      <c r="B3" s="29" t="s">
        <v>189</v>
      </c>
      <c r="C3" s="29" t="s">
        <v>56</v>
      </c>
      <c r="D3" s="29" t="s">
        <v>190</v>
      </c>
      <c r="E3" s="29" t="s">
        <v>191</v>
      </c>
      <c r="F3" s="29" t="s">
        <v>192</v>
      </c>
      <c r="G3" s="29" t="s">
        <v>193</v>
      </c>
      <c r="H3" s="29" t="s">
        <v>194</v>
      </c>
      <c r="I3" s="23" t="s">
        <v>133</v>
      </c>
      <c r="J3" s="23" t="s">
        <v>106</v>
      </c>
      <c r="K3" s="23" t="s">
        <v>195</v>
      </c>
      <c r="L3" s="29" t="s">
        <v>135</v>
      </c>
      <c r="M3" s="23" t="s">
        <v>104</v>
      </c>
      <c r="N3" s="23" t="s">
        <v>137</v>
      </c>
      <c r="O3" s="30" t="s">
        <v>138</v>
      </c>
      <c r="P3" s="30" t="s">
        <v>139</v>
      </c>
      <c r="Q3" s="30" t="s">
        <v>196</v>
      </c>
      <c r="R3" s="30" t="s">
        <v>147</v>
      </c>
      <c r="S3" s="30" t="s">
        <v>148</v>
      </c>
      <c r="T3" s="30" t="s">
        <v>197</v>
      </c>
      <c r="U3" s="30" t="s">
        <v>198</v>
      </c>
    </row>
    <row r="4" spans="1:21" x14ac:dyDescent="0.35">
      <c r="A4" s="1">
        <f t="shared" ref="A4:A67" si="0">IF(B4="","",ROW()-3)</f>
        <v>1</v>
      </c>
      <c r="B4" s="31">
        <v>46296</v>
      </c>
      <c r="C4" s="8" t="s">
        <v>57</v>
      </c>
      <c r="D4" s="8" t="s">
        <v>199</v>
      </c>
      <c r="E4" s="8"/>
      <c r="F4" s="32"/>
      <c r="G4" s="32">
        <v>4500000</v>
      </c>
      <c r="H4" s="32">
        <v>12500000</v>
      </c>
      <c r="I4" s="1" t="str">
        <f t="shared" ref="I4:I67" si="1">IF(B4="","",IF(L4="Écart","Écart",IF(K4="","Non rapproché",INDEX(L_Statut,K4))))</f>
        <v>Rapproché</v>
      </c>
      <c r="J4" s="1" t="str">
        <f t="shared" ref="J4:J67" si="2">IF(K4="","",INDEX(L_Score,K4))</f>
        <v>Fort</v>
      </c>
      <c r="K4" s="1">
        <f t="shared" ref="K4:K67" si="3">IF(B4="","",IFERROR(MATCH(A4,L_Banque,0),""))</f>
        <v>1</v>
      </c>
      <c r="L4" s="8"/>
      <c r="M4" s="1">
        <f t="shared" ref="M4:M67" si="4">IF(K4="","",INDEX(L_DJ,K4))</f>
        <v>0</v>
      </c>
      <c r="N4" s="1" t="str">
        <f t="shared" ref="N4:N67" si="5">IF(B4="","",IF(COUNTIFS($C$4:$C$503,C4,$B$4:$B$503,B4,$O$4:$O$503,O4)&gt;1,"Doublon ?",""))</f>
        <v/>
      </c>
      <c r="O4" s="33">
        <f t="shared" ref="O4:O67" si="6">IF(B4="","",N(G4)-N(F4))</f>
        <v>4500000</v>
      </c>
      <c r="P4" s="34" t="str">
        <f>IF(B4="","",C4&amp;"|"&amp;ROUND(O4,2)&amp;"|"&amp;COUNTIFS($C$4:C4,C4,$O$4:O4,O4))</f>
        <v>ECOBANK|4500000|1</v>
      </c>
      <c r="Q4" s="34">
        <f t="shared" ref="Q4:Q67" si="7">IF(B4="",0,IF(COUNTIFS(L_CandExact,A4,L_ExactOK,1)&gt;0,1,0))</f>
        <v>1</v>
      </c>
      <c r="R4" s="34">
        <f t="shared" ref="R4:R67" si="8">IF(OR(I4="Rapproché",I4="Manuel"),1,0)</f>
        <v>1</v>
      </c>
      <c r="S4" s="34" t="str">
        <f>IF(AND(B4&lt;&gt;"",C4=CompteSel,N(B4)&lt;=DateArret,R4=0),MAX($S$3:S3)+1,"")</f>
        <v/>
      </c>
      <c r="T4" s="34">
        <f t="shared" ref="T4:T67" si="9">IF(AND(B4&lt;&gt;"",C4=CompteSel,N(B4)&lt;=DateArret,H4&lt;&gt;""),A4,0)</f>
        <v>1</v>
      </c>
      <c r="U4" s="34">
        <f t="shared" ref="U4:U67" si="10">IF(B4="",9,SIGN(O4))</f>
        <v>1</v>
      </c>
    </row>
    <row r="5" spans="1:21" x14ac:dyDescent="0.35">
      <c r="A5" s="1">
        <f t="shared" si="0"/>
        <v>2</v>
      </c>
      <c r="B5" s="31">
        <v>46297</v>
      </c>
      <c r="C5" s="8" t="s">
        <v>57</v>
      </c>
      <c r="D5" s="8" t="s">
        <v>200</v>
      </c>
      <c r="E5" s="8"/>
      <c r="F5" s="32">
        <v>3500</v>
      </c>
      <c r="G5" s="32"/>
      <c r="H5" s="32">
        <v>12496500</v>
      </c>
      <c r="I5" s="1" t="str">
        <f t="shared" si="1"/>
        <v>Non rapproché</v>
      </c>
      <c r="J5" s="1" t="str">
        <f t="shared" si="2"/>
        <v/>
      </c>
      <c r="K5" s="1" t="str">
        <f t="shared" si="3"/>
        <v/>
      </c>
      <c r="L5" s="8"/>
      <c r="M5" s="1" t="str">
        <f t="shared" si="4"/>
        <v/>
      </c>
      <c r="N5" s="1" t="str">
        <f t="shared" si="5"/>
        <v/>
      </c>
      <c r="O5" s="33">
        <f t="shared" si="6"/>
        <v>-3500</v>
      </c>
      <c r="P5" s="34" t="str">
        <f>IF(B5="","",C5&amp;"|"&amp;ROUND(O5,2)&amp;"|"&amp;COUNTIFS($C$4:C5,C5,$O$4:O5,O5))</f>
        <v>ECOBANK|-3500|1</v>
      </c>
      <c r="Q5" s="34">
        <f t="shared" si="7"/>
        <v>0</v>
      </c>
      <c r="R5" s="34">
        <f t="shared" si="8"/>
        <v>0</v>
      </c>
      <c r="S5" s="34">
        <f>IF(AND(B5&lt;&gt;"",C5=CompteSel,N(B5)&lt;=DateArret,R5=0),MAX($S$3:S4)+1,"")</f>
        <v>1</v>
      </c>
      <c r="T5" s="34">
        <f t="shared" si="9"/>
        <v>2</v>
      </c>
      <c r="U5" s="34">
        <f t="shared" si="10"/>
        <v>-1</v>
      </c>
    </row>
    <row r="6" spans="1:21" x14ac:dyDescent="0.35">
      <c r="A6" s="1">
        <f t="shared" si="0"/>
        <v>3</v>
      </c>
      <c r="B6" s="31">
        <v>46298</v>
      </c>
      <c r="C6" s="8" t="s">
        <v>57</v>
      </c>
      <c r="D6" s="8" t="s">
        <v>201</v>
      </c>
      <c r="E6" s="8"/>
      <c r="F6" s="32">
        <v>3800000</v>
      </c>
      <c r="G6" s="32"/>
      <c r="H6" s="32">
        <v>8696500</v>
      </c>
      <c r="I6" s="1" t="str">
        <f t="shared" si="1"/>
        <v>Rapproché</v>
      </c>
      <c r="J6" s="1" t="str">
        <f t="shared" si="2"/>
        <v>Fort</v>
      </c>
      <c r="K6" s="1">
        <f t="shared" si="3"/>
        <v>3</v>
      </c>
      <c r="L6" s="8"/>
      <c r="M6" s="1">
        <f t="shared" si="4"/>
        <v>0</v>
      </c>
      <c r="N6" s="1" t="str">
        <f t="shared" si="5"/>
        <v/>
      </c>
      <c r="O6" s="33">
        <f t="shared" si="6"/>
        <v>-3800000</v>
      </c>
      <c r="P6" s="34" t="str">
        <f>IF(B6="","",C6&amp;"|"&amp;ROUND(O6,2)&amp;"|"&amp;COUNTIFS($C$4:C6,C6,$O$4:O6,O6))</f>
        <v>ECOBANK|-3800000|1</v>
      </c>
      <c r="Q6" s="34">
        <f t="shared" si="7"/>
        <v>1</v>
      </c>
      <c r="R6" s="34">
        <f t="shared" si="8"/>
        <v>1</v>
      </c>
      <c r="S6" s="34" t="str">
        <f>IF(AND(B6&lt;&gt;"",C6=CompteSel,N(B6)&lt;=DateArret,R6=0),MAX($S$3:S5)+1,"")</f>
        <v/>
      </c>
      <c r="T6" s="34">
        <f t="shared" si="9"/>
        <v>3</v>
      </c>
      <c r="U6" s="34">
        <f t="shared" si="10"/>
        <v>-1</v>
      </c>
    </row>
    <row r="7" spans="1:21" x14ac:dyDescent="0.35">
      <c r="A7" s="1">
        <f t="shared" si="0"/>
        <v>4</v>
      </c>
      <c r="B7" s="31">
        <v>46299</v>
      </c>
      <c r="C7" s="8" t="s">
        <v>57</v>
      </c>
      <c r="D7" s="8" t="s">
        <v>202</v>
      </c>
      <c r="E7" s="8" t="s">
        <v>203</v>
      </c>
      <c r="F7" s="32">
        <v>1250000</v>
      </c>
      <c r="G7" s="32"/>
      <c r="H7" s="32">
        <v>7446500</v>
      </c>
      <c r="I7" s="1" t="str">
        <f t="shared" si="1"/>
        <v>Rapproché</v>
      </c>
      <c r="J7" s="1" t="str">
        <f t="shared" si="2"/>
        <v>Fort</v>
      </c>
      <c r="K7" s="1">
        <f t="shared" si="3"/>
        <v>2</v>
      </c>
      <c r="L7" s="8"/>
      <c r="M7" s="1">
        <f t="shared" si="4"/>
        <v>2</v>
      </c>
      <c r="N7" s="1" t="str">
        <f t="shared" si="5"/>
        <v/>
      </c>
      <c r="O7" s="33">
        <f t="shared" si="6"/>
        <v>-1250000</v>
      </c>
      <c r="P7" s="34" t="str">
        <f>IF(B7="","",C7&amp;"|"&amp;ROUND(O7,2)&amp;"|"&amp;COUNTIFS($C$4:C7,C7,$O$4:O7,O7))</f>
        <v>ECOBANK|-1250000|1</v>
      </c>
      <c r="Q7" s="34">
        <f t="shared" si="7"/>
        <v>1</v>
      </c>
      <c r="R7" s="34">
        <f t="shared" si="8"/>
        <v>1</v>
      </c>
      <c r="S7" s="34" t="str">
        <f>IF(AND(B7&lt;&gt;"",C7=CompteSel,N(B7)&lt;=DateArret,R7=0),MAX($S$3:S6)+1,"")</f>
        <v/>
      </c>
      <c r="T7" s="34">
        <f t="shared" si="9"/>
        <v>4</v>
      </c>
      <c r="U7" s="34">
        <f t="shared" si="10"/>
        <v>-1</v>
      </c>
    </row>
    <row r="8" spans="1:21" x14ac:dyDescent="0.35">
      <c r="A8" s="1">
        <f t="shared" si="0"/>
        <v>5</v>
      </c>
      <c r="B8" s="31">
        <v>46301</v>
      </c>
      <c r="C8" s="8" t="s">
        <v>57</v>
      </c>
      <c r="D8" s="8" t="s">
        <v>204</v>
      </c>
      <c r="E8" s="8"/>
      <c r="F8" s="32">
        <v>420000</v>
      </c>
      <c r="G8" s="32"/>
      <c r="H8" s="32">
        <v>7026500</v>
      </c>
      <c r="I8" s="1" t="str">
        <f t="shared" si="1"/>
        <v>Proposé</v>
      </c>
      <c r="J8" s="1" t="str">
        <f t="shared" si="2"/>
        <v>Moyen</v>
      </c>
      <c r="K8" s="1">
        <f t="shared" si="3"/>
        <v>4</v>
      </c>
      <c r="L8" s="8"/>
      <c r="M8" s="1">
        <f t="shared" si="4"/>
        <v>1</v>
      </c>
      <c r="N8" s="1" t="str">
        <f t="shared" si="5"/>
        <v/>
      </c>
      <c r="O8" s="33">
        <f t="shared" si="6"/>
        <v>-420000</v>
      </c>
      <c r="P8" s="34" t="str">
        <f>IF(B8="","",C8&amp;"|"&amp;ROUND(O8,2)&amp;"|"&amp;COUNTIFS($C$4:C8,C8,$O$4:O8,O8))</f>
        <v>ECOBANK|-420000|1</v>
      </c>
      <c r="Q8" s="34">
        <f t="shared" si="7"/>
        <v>1</v>
      </c>
      <c r="R8" s="34">
        <f t="shared" si="8"/>
        <v>0</v>
      </c>
      <c r="S8" s="34">
        <f>IF(AND(B8&lt;&gt;"",C8=CompteSel,N(B8)&lt;=DateArret,R8=0),MAX($S$3:S7)+1,"")</f>
        <v>2</v>
      </c>
      <c r="T8" s="34">
        <f t="shared" si="9"/>
        <v>5</v>
      </c>
      <c r="U8" s="34">
        <f t="shared" si="10"/>
        <v>-1</v>
      </c>
    </row>
    <row r="9" spans="1:21" x14ac:dyDescent="0.35">
      <c r="A9" s="1">
        <f t="shared" si="0"/>
        <v>6</v>
      </c>
      <c r="B9" s="31">
        <v>46302</v>
      </c>
      <c r="C9" s="8" t="s">
        <v>57</v>
      </c>
      <c r="D9" s="8" t="s">
        <v>205</v>
      </c>
      <c r="E9" s="8"/>
      <c r="F9" s="32"/>
      <c r="G9" s="32">
        <v>2150000</v>
      </c>
      <c r="H9" s="32">
        <v>9176500</v>
      </c>
      <c r="I9" s="1" t="str">
        <f t="shared" si="1"/>
        <v>Proposé</v>
      </c>
      <c r="J9" s="1" t="str">
        <f t="shared" si="2"/>
        <v>Moyen</v>
      </c>
      <c r="K9" s="1">
        <f t="shared" si="3"/>
        <v>6</v>
      </c>
      <c r="L9" s="8"/>
      <c r="M9" s="1">
        <f t="shared" si="4"/>
        <v>0</v>
      </c>
      <c r="N9" s="1" t="str">
        <f t="shared" si="5"/>
        <v/>
      </c>
      <c r="O9" s="33">
        <f t="shared" si="6"/>
        <v>2150000</v>
      </c>
      <c r="P9" s="34" t="str">
        <f>IF(B9="","",C9&amp;"|"&amp;ROUND(O9,2)&amp;"|"&amp;COUNTIFS($C$4:C9,C9,$O$4:O9,O9))</f>
        <v>ECOBANK|2150000|1</v>
      </c>
      <c r="Q9" s="34">
        <f t="shared" si="7"/>
        <v>1</v>
      </c>
      <c r="R9" s="34">
        <f t="shared" si="8"/>
        <v>0</v>
      </c>
      <c r="S9" s="34">
        <f>IF(AND(B9&lt;&gt;"",C9=CompteSel,N(B9)&lt;=DateArret,R9=0),MAX($S$3:S8)+1,"")</f>
        <v>3</v>
      </c>
      <c r="T9" s="34">
        <f t="shared" si="9"/>
        <v>6</v>
      </c>
      <c r="U9" s="34">
        <f t="shared" si="10"/>
        <v>1</v>
      </c>
    </row>
    <row r="10" spans="1:21" x14ac:dyDescent="0.35">
      <c r="A10" s="1">
        <f t="shared" si="0"/>
        <v>7</v>
      </c>
      <c r="B10" s="31">
        <v>46303</v>
      </c>
      <c r="C10" s="8" t="s">
        <v>57</v>
      </c>
      <c r="D10" s="8" t="s">
        <v>206</v>
      </c>
      <c r="E10" s="8"/>
      <c r="F10" s="32"/>
      <c r="G10" s="32">
        <v>600000</v>
      </c>
      <c r="H10" s="32">
        <v>9776500</v>
      </c>
      <c r="I10" s="1" t="str">
        <f t="shared" si="1"/>
        <v>Proposé</v>
      </c>
      <c r="J10" s="1" t="str">
        <f t="shared" si="2"/>
        <v>Moyen</v>
      </c>
      <c r="K10" s="1">
        <f t="shared" si="3"/>
        <v>7</v>
      </c>
      <c r="L10" s="8"/>
      <c r="M10" s="1">
        <f t="shared" si="4"/>
        <v>0</v>
      </c>
      <c r="N10" s="1" t="str">
        <f t="shared" si="5"/>
        <v/>
      </c>
      <c r="O10" s="33">
        <f t="shared" si="6"/>
        <v>600000</v>
      </c>
      <c r="P10" s="34" t="str">
        <f>IF(B10="","",C10&amp;"|"&amp;ROUND(O10,2)&amp;"|"&amp;COUNTIFS($C$4:C10,C10,$O$4:O10,O10))</f>
        <v>ECOBANK|600000|1</v>
      </c>
      <c r="Q10" s="34">
        <f t="shared" si="7"/>
        <v>1</v>
      </c>
      <c r="R10" s="34">
        <f t="shared" si="8"/>
        <v>0</v>
      </c>
      <c r="S10" s="34">
        <f>IF(AND(B10&lt;&gt;"",C10=CompteSel,N(B10)&lt;=DateArret,R10=0),MAX($S$3:S9)+1,"")</f>
        <v>4</v>
      </c>
      <c r="T10" s="34">
        <f t="shared" si="9"/>
        <v>7</v>
      </c>
      <c r="U10" s="34">
        <f t="shared" si="10"/>
        <v>1</v>
      </c>
    </row>
    <row r="11" spans="1:21" x14ac:dyDescent="0.35">
      <c r="A11" s="1">
        <f t="shared" si="0"/>
        <v>8</v>
      </c>
      <c r="B11" s="31">
        <v>46304</v>
      </c>
      <c r="C11" s="8" t="s">
        <v>57</v>
      </c>
      <c r="D11" s="8" t="s">
        <v>207</v>
      </c>
      <c r="E11" s="8"/>
      <c r="F11" s="32">
        <v>185000</v>
      </c>
      <c r="G11" s="32"/>
      <c r="H11" s="32">
        <v>9591500</v>
      </c>
      <c r="I11" s="1" t="str">
        <f t="shared" si="1"/>
        <v>Rapproché</v>
      </c>
      <c r="J11" s="1" t="str">
        <f t="shared" si="2"/>
        <v>Fort</v>
      </c>
      <c r="K11" s="1">
        <f t="shared" si="3"/>
        <v>5</v>
      </c>
      <c r="L11" s="8"/>
      <c r="M11" s="1">
        <f t="shared" si="4"/>
        <v>3</v>
      </c>
      <c r="N11" s="1" t="str">
        <f t="shared" si="5"/>
        <v/>
      </c>
      <c r="O11" s="33">
        <f t="shared" si="6"/>
        <v>-185000</v>
      </c>
      <c r="P11" s="34" t="str">
        <f>IF(B11="","",C11&amp;"|"&amp;ROUND(O11,2)&amp;"|"&amp;COUNTIFS($C$4:C11,C11,$O$4:O11,O11))</f>
        <v>ECOBANK|-185000|1</v>
      </c>
      <c r="Q11" s="34">
        <f t="shared" si="7"/>
        <v>1</v>
      </c>
      <c r="R11" s="34">
        <f t="shared" si="8"/>
        <v>1</v>
      </c>
      <c r="S11" s="34" t="str">
        <f>IF(AND(B11&lt;&gt;"",C11=CompteSel,N(B11)&lt;=DateArret,R11=0),MAX($S$3:S10)+1,"")</f>
        <v/>
      </c>
      <c r="T11" s="34">
        <f t="shared" si="9"/>
        <v>8</v>
      </c>
      <c r="U11" s="34">
        <f t="shared" si="10"/>
        <v>-1</v>
      </c>
    </row>
    <row r="12" spans="1:21" x14ac:dyDescent="0.35">
      <c r="A12" s="1">
        <f t="shared" si="0"/>
        <v>9</v>
      </c>
      <c r="B12" s="31">
        <v>46304</v>
      </c>
      <c r="C12" s="8" t="s">
        <v>57</v>
      </c>
      <c r="D12" s="8" t="s">
        <v>208</v>
      </c>
      <c r="E12" s="8"/>
      <c r="F12" s="32">
        <v>750000</v>
      </c>
      <c r="G12" s="32"/>
      <c r="H12" s="32">
        <v>8841500</v>
      </c>
      <c r="I12" s="1" t="str">
        <f t="shared" si="1"/>
        <v>Rapproché</v>
      </c>
      <c r="J12" s="1" t="str">
        <f t="shared" si="2"/>
        <v>Fort</v>
      </c>
      <c r="K12" s="1">
        <f t="shared" si="3"/>
        <v>8</v>
      </c>
      <c r="L12" s="8"/>
      <c r="M12" s="1">
        <f t="shared" si="4"/>
        <v>0</v>
      </c>
      <c r="N12" s="1" t="str">
        <f t="shared" si="5"/>
        <v/>
      </c>
      <c r="O12" s="33">
        <f t="shared" si="6"/>
        <v>-750000</v>
      </c>
      <c r="P12" s="34" t="str">
        <f>IF(B12="","",C12&amp;"|"&amp;ROUND(O12,2)&amp;"|"&amp;COUNTIFS($C$4:C12,C12,$O$4:O12,O12))</f>
        <v>ECOBANK|-750000|1</v>
      </c>
      <c r="Q12" s="34">
        <f t="shared" si="7"/>
        <v>1</v>
      </c>
      <c r="R12" s="34">
        <f t="shared" si="8"/>
        <v>1</v>
      </c>
      <c r="S12" s="34" t="str">
        <f>IF(AND(B12&lt;&gt;"",C12=CompteSel,N(B12)&lt;=DateArret,R12=0),MAX($S$3:S11)+1,"")</f>
        <v/>
      </c>
      <c r="T12" s="34">
        <f t="shared" si="9"/>
        <v>9</v>
      </c>
      <c r="U12" s="34">
        <f t="shared" si="10"/>
        <v>-1</v>
      </c>
    </row>
    <row r="13" spans="1:21" x14ac:dyDescent="0.35">
      <c r="A13" s="1">
        <f t="shared" si="0"/>
        <v>10</v>
      </c>
      <c r="B13" s="31">
        <v>46305</v>
      </c>
      <c r="C13" s="8" t="s">
        <v>57</v>
      </c>
      <c r="D13" s="8" t="s">
        <v>209</v>
      </c>
      <c r="E13" s="8"/>
      <c r="F13" s="32">
        <v>2000000</v>
      </c>
      <c r="G13" s="32"/>
      <c r="H13" s="32">
        <v>6841500</v>
      </c>
      <c r="I13" s="1" t="str">
        <f t="shared" si="1"/>
        <v>Proposé</v>
      </c>
      <c r="J13" s="1" t="str">
        <f t="shared" si="2"/>
        <v>Moyen</v>
      </c>
      <c r="K13" s="1">
        <f t="shared" si="3"/>
        <v>9</v>
      </c>
      <c r="L13" s="8"/>
      <c r="M13" s="1">
        <f t="shared" si="4"/>
        <v>0</v>
      </c>
      <c r="N13" s="1" t="str">
        <f t="shared" si="5"/>
        <v/>
      </c>
      <c r="O13" s="33">
        <f t="shared" si="6"/>
        <v>-2000000</v>
      </c>
      <c r="P13" s="34" t="str">
        <f>IF(B13="","",C13&amp;"|"&amp;ROUND(O13,2)&amp;"|"&amp;COUNTIFS($C$4:C13,C13,$O$4:O13,O13))</f>
        <v>ECOBANK|-2000000|1</v>
      </c>
      <c r="Q13" s="34">
        <f t="shared" si="7"/>
        <v>1</v>
      </c>
      <c r="R13" s="34">
        <f t="shared" si="8"/>
        <v>0</v>
      </c>
      <c r="S13" s="34">
        <f>IF(AND(B13&lt;&gt;"",C13=CompteSel,N(B13)&lt;=DateArret,R13=0),MAX($S$3:S12)+1,"")</f>
        <v>5</v>
      </c>
      <c r="T13" s="34">
        <f t="shared" si="9"/>
        <v>10</v>
      </c>
      <c r="U13" s="34">
        <f t="shared" si="10"/>
        <v>-1</v>
      </c>
    </row>
    <row r="14" spans="1:21" x14ac:dyDescent="0.35">
      <c r="A14" s="1">
        <f t="shared" si="0"/>
        <v>11</v>
      </c>
      <c r="B14" s="31">
        <v>46306</v>
      </c>
      <c r="C14" s="8" t="s">
        <v>57</v>
      </c>
      <c r="D14" s="8" t="s">
        <v>210</v>
      </c>
      <c r="E14" s="8"/>
      <c r="F14" s="32">
        <v>15000</v>
      </c>
      <c r="G14" s="32"/>
      <c r="H14" s="32">
        <v>6826500</v>
      </c>
      <c r="I14" s="1" t="str">
        <f t="shared" si="1"/>
        <v>Non rapproché</v>
      </c>
      <c r="J14" s="1" t="str">
        <f t="shared" si="2"/>
        <v/>
      </c>
      <c r="K14" s="1" t="str">
        <f t="shared" si="3"/>
        <v/>
      </c>
      <c r="L14" s="8"/>
      <c r="M14" s="1" t="str">
        <f t="shared" si="4"/>
        <v/>
      </c>
      <c r="N14" s="1" t="str">
        <f t="shared" si="5"/>
        <v/>
      </c>
      <c r="O14" s="33">
        <f t="shared" si="6"/>
        <v>-15000</v>
      </c>
      <c r="P14" s="34" t="str">
        <f>IF(B14="","",C14&amp;"|"&amp;ROUND(O14,2)&amp;"|"&amp;COUNTIFS($C$4:C14,C14,$O$4:O14,O14))</f>
        <v>ECOBANK|-15000|1</v>
      </c>
      <c r="Q14" s="34">
        <f t="shared" si="7"/>
        <v>0</v>
      </c>
      <c r="R14" s="34">
        <f t="shared" si="8"/>
        <v>0</v>
      </c>
      <c r="S14" s="34">
        <f>IF(AND(B14&lt;&gt;"",C14=CompteSel,N(B14)&lt;=DateArret,R14=0),MAX($S$3:S13)+1,"")</f>
        <v>6</v>
      </c>
      <c r="T14" s="34">
        <f t="shared" si="9"/>
        <v>11</v>
      </c>
      <c r="U14" s="34">
        <f t="shared" si="10"/>
        <v>-1</v>
      </c>
    </row>
    <row r="15" spans="1:21" x14ac:dyDescent="0.35">
      <c r="A15" s="1">
        <f t="shared" si="0"/>
        <v>12</v>
      </c>
      <c r="B15" s="31">
        <v>46306</v>
      </c>
      <c r="C15" s="8" t="s">
        <v>57</v>
      </c>
      <c r="D15" s="8" t="s">
        <v>211</v>
      </c>
      <c r="E15" s="8"/>
      <c r="F15" s="32">
        <v>2700</v>
      </c>
      <c r="G15" s="32"/>
      <c r="H15" s="32">
        <v>6823800</v>
      </c>
      <c r="I15" s="1" t="str">
        <f t="shared" si="1"/>
        <v>Non rapproché</v>
      </c>
      <c r="J15" s="1" t="str">
        <f t="shared" si="2"/>
        <v/>
      </c>
      <c r="K15" s="1" t="str">
        <f t="shared" si="3"/>
        <v/>
      </c>
      <c r="L15" s="8"/>
      <c r="M15" s="1" t="str">
        <f t="shared" si="4"/>
        <v/>
      </c>
      <c r="N15" s="1" t="str">
        <f t="shared" si="5"/>
        <v/>
      </c>
      <c r="O15" s="33">
        <f t="shared" si="6"/>
        <v>-2700</v>
      </c>
      <c r="P15" s="34" t="str">
        <f>IF(B15="","",C15&amp;"|"&amp;ROUND(O15,2)&amp;"|"&amp;COUNTIFS($C$4:C15,C15,$O$4:O15,O15))</f>
        <v>ECOBANK|-2700|1</v>
      </c>
      <c r="Q15" s="34">
        <f t="shared" si="7"/>
        <v>0</v>
      </c>
      <c r="R15" s="34">
        <f t="shared" si="8"/>
        <v>0</v>
      </c>
      <c r="S15" s="34">
        <f>IF(AND(B15&lt;&gt;"",C15=CompteSel,N(B15)&lt;=DateArret,R15=0),MAX($S$3:S14)+1,"")</f>
        <v>7</v>
      </c>
      <c r="T15" s="34">
        <f t="shared" si="9"/>
        <v>12</v>
      </c>
      <c r="U15" s="34">
        <f t="shared" si="10"/>
        <v>-1</v>
      </c>
    </row>
    <row r="16" spans="1:21" x14ac:dyDescent="0.35">
      <c r="A16" s="1">
        <f t="shared" si="0"/>
        <v>13</v>
      </c>
      <c r="B16" s="31">
        <v>46307</v>
      </c>
      <c r="C16" s="8" t="s">
        <v>57</v>
      </c>
      <c r="D16" s="8" t="s">
        <v>212</v>
      </c>
      <c r="E16" s="8"/>
      <c r="F16" s="32"/>
      <c r="G16" s="32">
        <v>1375000</v>
      </c>
      <c r="H16" s="32">
        <v>8198800</v>
      </c>
      <c r="I16" s="1" t="str">
        <f t="shared" si="1"/>
        <v>Non rapproché</v>
      </c>
      <c r="J16" s="1" t="str">
        <f t="shared" si="2"/>
        <v/>
      </c>
      <c r="K16" s="1" t="str">
        <f t="shared" si="3"/>
        <v/>
      </c>
      <c r="L16" s="8"/>
      <c r="M16" s="1" t="str">
        <f t="shared" si="4"/>
        <v/>
      </c>
      <c r="N16" s="1" t="str">
        <f t="shared" si="5"/>
        <v/>
      </c>
      <c r="O16" s="33">
        <f t="shared" si="6"/>
        <v>1375000</v>
      </c>
      <c r="P16" s="34" t="str">
        <f>IF(B16="","",C16&amp;"|"&amp;ROUND(O16,2)&amp;"|"&amp;COUNTIFS($C$4:C16,C16,$O$4:O16,O16))</f>
        <v>ECOBANK|1375000|1</v>
      </c>
      <c r="Q16" s="34">
        <f t="shared" si="7"/>
        <v>0</v>
      </c>
      <c r="R16" s="34">
        <f t="shared" si="8"/>
        <v>0</v>
      </c>
      <c r="S16" s="34">
        <f>IF(AND(B16&lt;&gt;"",C16=CompteSel,N(B16)&lt;=DateArret,R16=0),MAX($S$3:S15)+1,"")</f>
        <v>8</v>
      </c>
      <c r="T16" s="34">
        <f t="shared" si="9"/>
        <v>13</v>
      </c>
      <c r="U16" s="34">
        <f t="shared" si="10"/>
        <v>1</v>
      </c>
    </row>
    <row r="17" spans="1:21" x14ac:dyDescent="0.35">
      <c r="A17" s="1" t="str">
        <f t="shared" si="0"/>
        <v/>
      </c>
      <c r="B17" s="31"/>
      <c r="C17" s="8"/>
      <c r="D17" s="8"/>
      <c r="E17" s="8"/>
      <c r="F17" s="32"/>
      <c r="G17" s="32"/>
      <c r="H17" s="32"/>
      <c r="I17" s="1" t="str">
        <f t="shared" si="1"/>
        <v/>
      </c>
      <c r="J17" s="1" t="str">
        <f t="shared" si="2"/>
        <v/>
      </c>
      <c r="K17" s="1" t="str">
        <f t="shared" si="3"/>
        <v/>
      </c>
      <c r="L17" s="8"/>
      <c r="M17" s="1" t="str">
        <f t="shared" si="4"/>
        <v/>
      </c>
      <c r="N17" s="1" t="str">
        <f t="shared" si="5"/>
        <v/>
      </c>
      <c r="O17" s="33" t="str">
        <f t="shared" si="6"/>
        <v/>
      </c>
      <c r="P17" s="34" t="str">
        <f>IF(B17="","",C17&amp;"|"&amp;ROUND(O17,2)&amp;"|"&amp;COUNTIFS($C$4:C17,C17,$O$4:O17,O17))</f>
        <v/>
      </c>
      <c r="Q17" s="34">
        <f t="shared" si="7"/>
        <v>0</v>
      </c>
      <c r="R17" s="34">
        <f t="shared" si="8"/>
        <v>0</v>
      </c>
      <c r="S17" s="34" t="str">
        <f>IF(AND(B17&lt;&gt;"",C17=CompteSel,N(B17)&lt;=DateArret,R17=0),MAX($S$3:S16)+1,"")</f>
        <v/>
      </c>
      <c r="T17" s="34">
        <f t="shared" si="9"/>
        <v>0</v>
      </c>
      <c r="U17" s="34">
        <f t="shared" si="10"/>
        <v>9</v>
      </c>
    </row>
    <row r="18" spans="1:21" x14ac:dyDescent="0.35">
      <c r="A18" s="1" t="str">
        <f t="shared" si="0"/>
        <v/>
      </c>
      <c r="B18" s="31"/>
      <c r="C18" s="8"/>
      <c r="D18" s="8"/>
      <c r="E18" s="8"/>
      <c r="F18" s="32"/>
      <c r="G18" s="32"/>
      <c r="H18" s="32"/>
      <c r="I18" s="1" t="str">
        <f t="shared" si="1"/>
        <v/>
      </c>
      <c r="J18" s="1" t="str">
        <f t="shared" si="2"/>
        <v/>
      </c>
      <c r="K18" s="1" t="str">
        <f t="shared" si="3"/>
        <v/>
      </c>
      <c r="L18" s="8"/>
      <c r="M18" s="1" t="str">
        <f t="shared" si="4"/>
        <v/>
      </c>
      <c r="N18" s="1" t="str">
        <f t="shared" si="5"/>
        <v/>
      </c>
      <c r="O18" s="33" t="str">
        <f t="shared" si="6"/>
        <v/>
      </c>
      <c r="P18" s="34" t="str">
        <f>IF(B18="","",C18&amp;"|"&amp;ROUND(O18,2)&amp;"|"&amp;COUNTIFS($C$4:C18,C18,$O$4:O18,O18))</f>
        <v/>
      </c>
      <c r="Q18" s="34">
        <f t="shared" si="7"/>
        <v>0</v>
      </c>
      <c r="R18" s="34">
        <f t="shared" si="8"/>
        <v>0</v>
      </c>
      <c r="S18" s="34" t="str">
        <f>IF(AND(B18&lt;&gt;"",C18=CompteSel,N(B18)&lt;=DateArret,R18=0),MAX($S$3:S17)+1,"")</f>
        <v/>
      </c>
      <c r="T18" s="34">
        <f t="shared" si="9"/>
        <v>0</v>
      </c>
      <c r="U18" s="34">
        <f t="shared" si="10"/>
        <v>9</v>
      </c>
    </row>
    <row r="19" spans="1:21" x14ac:dyDescent="0.35">
      <c r="A19" s="1" t="str">
        <f t="shared" si="0"/>
        <v/>
      </c>
      <c r="B19" s="31"/>
      <c r="C19" s="8"/>
      <c r="D19" s="8"/>
      <c r="E19" s="8"/>
      <c r="F19" s="32"/>
      <c r="G19" s="32"/>
      <c r="H19" s="32"/>
      <c r="I19" s="1" t="str">
        <f t="shared" si="1"/>
        <v/>
      </c>
      <c r="J19" s="1" t="str">
        <f t="shared" si="2"/>
        <v/>
      </c>
      <c r="K19" s="1" t="str">
        <f t="shared" si="3"/>
        <v/>
      </c>
      <c r="L19" s="8"/>
      <c r="M19" s="1" t="str">
        <f t="shared" si="4"/>
        <v/>
      </c>
      <c r="N19" s="1" t="str">
        <f t="shared" si="5"/>
        <v/>
      </c>
      <c r="O19" s="33" t="str">
        <f t="shared" si="6"/>
        <v/>
      </c>
      <c r="P19" s="34" t="str">
        <f>IF(B19="","",C19&amp;"|"&amp;ROUND(O19,2)&amp;"|"&amp;COUNTIFS($C$4:C19,C19,$O$4:O19,O19))</f>
        <v/>
      </c>
      <c r="Q19" s="34">
        <f t="shared" si="7"/>
        <v>0</v>
      </c>
      <c r="R19" s="34">
        <f t="shared" si="8"/>
        <v>0</v>
      </c>
      <c r="S19" s="34" t="str">
        <f>IF(AND(B19&lt;&gt;"",C19=CompteSel,N(B19)&lt;=DateArret,R19=0),MAX($S$3:S18)+1,"")</f>
        <v/>
      </c>
      <c r="T19" s="34">
        <f t="shared" si="9"/>
        <v>0</v>
      </c>
      <c r="U19" s="34">
        <f t="shared" si="10"/>
        <v>9</v>
      </c>
    </row>
    <row r="20" spans="1:21" x14ac:dyDescent="0.35">
      <c r="A20" s="1" t="str">
        <f t="shared" si="0"/>
        <v/>
      </c>
      <c r="B20" s="31"/>
      <c r="C20" s="8"/>
      <c r="D20" s="8"/>
      <c r="E20" s="8"/>
      <c r="F20" s="32"/>
      <c r="G20" s="32"/>
      <c r="H20" s="32"/>
      <c r="I20" s="1" t="str">
        <f t="shared" si="1"/>
        <v/>
      </c>
      <c r="J20" s="1" t="str">
        <f t="shared" si="2"/>
        <v/>
      </c>
      <c r="K20" s="1" t="str">
        <f t="shared" si="3"/>
        <v/>
      </c>
      <c r="L20" s="8"/>
      <c r="M20" s="1" t="str">
        <f t="shared" si="4"/>
        <v/>
      </c>
      <c r="N20" s="1" t="str">
        <f t="shared" si="5"/>
        <v/>
      </c>
      <c r="O20" s="33" t="str">
        <f t="shared" si="6"/>
        <v/>
      </c>
      <c r="P20" s="34" t="str">
        <f>IF(B20="","",C20&amp;"|"&amp;ROUND(O20,2)&amp;"|"&amp;COUNTIFS($C$4:C20,C20,$O$4:O20,O20))</f>
        <v/>
      </c>
      <c r="Q20" s="34">
        <f t="shared" si="7"/>
        <v>0</v>
      </c>
      <c r="R20" s="34">
        <f t="shared" si="8"/>
        <v>0</v>
      </c>
      <c r="S20" s="34" t="str">
        <f>IF(AND(B20&lt;&gt;"",C20=CompteSel,N(B20)&lt;=DateArret,R20=0),MAX($S$3:S19)+1,"")</f>
        <v/>
      </c>
      <c r="T20" s="34">
        <f t="shared" si="9"/>
        <v>0</v>
      </c>
      <c r="U20" s="34">
        <f t="shared" si="10"/>
        <v>9</v>
      </c>
    </row>
    <row r="21" spans="1:21" x14ac:dyDescent="0.35">
      <c r="A21" s="1" t="str">
        <f t="shared" si="0"/>
        <v/>
      </c>
      <c r="B21" s="31"/>
      <c r="C21" s="8"/>
      <c r="D21" s="8"/>
      <c r="E21" s="8"/>
      <c r="F21" s="32"/>
      <c r="G21" s="32"/>
      <c r="H21" s="32"/>
      <c r="I21" s="1" t="str">
        <f t="shared" si="1"/>
        <v/>
      </c>
      <c r="J21" s="1" t="str">
        <f t="shared" si="2"/>
        <v/>
      </c>
      <c r="K21" s="1" t="str">
        <f t="shared" si="3"/>
        <v/>
      </c>
      <c r="L21" s="8"/>
      <c r="M21" s="1" t="str">
        <f t="shared" si="4"/>
        <v/>
      </c>
      <c r="N21" s="1" t="str">
        <f t="shared" si="5"/>
        <v/>
      </c>
      <c r="O21" s="33" t="str">
        <f t="shared" si="6"/>
        <v/>
      </c>
      <c r="P21" s="34" t="str">
        <f>IF(B21="","",C21&amp;"|"&amp;ROUND(O21,2)&amp;"|"&amp;COUNTIFS($C$4:C21,C21,$O$4:O21,O21))</f>
        <v/>
      </c>
      <c r="Q21" s="34">
        <f t="shared" si="7"/>
        <v>0</v>
      </c>
      <c r="R21" s="34">
        <f t="shared" si="8"/>
        <v>0</v>
      </c>
      <c r="S21" s="34" t="str">
        <f>IF(AND(B21&lt;&gt;"",C21=CompteSel,N(B21)&lt;=DateArret,R21=0),MAX($S$3:S20)+1,"")</f>
        <v/>
      </c>
      <c r="T21" s="34">
        <f t="shared" si="9"/>
        <v>0</v>
      </c>
      <c r="U21" s="34">
        <f t="shared" si="10"/>
        <v>9</v>
      </c>
    </row>
    <row r="22" spans="1:21" x14ac:dyDescent="0.35">
      <c r="A22" s="1" t="str">
        <f t="shared" si="0"/>
        <v/>
      </c>
      <c r="B22" s="31"/>
      <c r="C22" s="8"/>
      <c r="D22" s="8"/>
      <c r="E22" s="8"/>
      <c r="F22" s="32"/>
      <c r="G22" s="32"/>
      <c r="H22" s="32"/>
      <c r="I22" s="1" t="str">
        <f t="shared" si="1"/>
        <v/>
      </c>
      <c r="J22" s="1" t="str">
        <f t="shared" si="2"/>
        <v/>
      </c>
      <c r="K22" s="1" t="str">
        <f t="shared" si="3"/>
        <v/>
      </c>
      <c r="L22" s="8"/>
      <c r="M22" s="1" t="str">
        <f t="shared" si="4"/>
        <v/>
      </c>
      <c r="N22" s="1" t="str">
        <f t="shared" si="5"/>
        <v/>
      </c>
      <c r="O22" s="33" t="str">
        <f t="shared" si="6"/>
        <v/>
      </c>
      <c r="P22" s="34" t="str">
        <f>IF(B22="","",C22&amp;"|"&amp;ROUND(O22,2)&amp;"|"&amp;COUNTIFS($C$4:C22,C22,$O$4:O22,O22))</f>
        <v/>
      </c>
      <c r="Q22" s="34">
        <f t="shared" si="7"/>
        <v>0</v>
      </c>
      <c r="R22" s="34">
        <f t="shared" si="8"/>
        <v>0</v>
      </c>
      <c r="S22" s="34" t="str">
        <f>IF(AND(B22&lt;&gt;"",C22=CompteSel,N(B22)&lt;=DateArret,R22=0),MAX($S$3:S21)+1,"")</f>
        <v/>
      </c>
      <c r="T22" s="34">
        <f t="shared" si="9"/>
        <v>0</v>
      </c>
      <c r="U22" s="34">
        <f t="shared" si="10"/>
        <v>9</v>
      </c>
    </row>
    <row r="23" spans="1:21" x14ac:dyDescent="0.35">
      <c r="A23" s="1" t="str">
        <f t="shared" si="0"/>
        <v/>
      </c>
      <c r="B23" s="31"/>
      <c r="C23" s="8"/>
      <c r="D23" s="8"/>
      <c r="E23" s="8"/>
      <c r="F23" s="32"/>
      <c r="G23" s="32"/>
      <c r="H23" s="32"/>
      <c r="I23" s="1" t="str">
        <f t="shared" si="1"/>
        <v/>
      </c>
      <c r="J23" s="1" t="str">
        <f t="shared" si="2"/>
        <v/>
      </c>
      <c r="K23" s="1" t="str">
        <f t="shared" si="3"/>
        <v/>
      </c>
      <c r="L23" s="8"/>
      <c r="M23" s="1" t="str">
        <f t="shared" si="4"/>
        <v/>
      </c>
      <c r="N23" s="1" t="str">
        <f t="shared" si="5"/>
        <v/>
      </c>
      <c r="O23" s="33" t="str">
        <f t="shared" si="6"/>
        <v/>
      </c>
      <c r="P23" s="34" t="str">
        <f>IF(B23="","",C23&amp;"|"&amp;ROUND(O23,2)&amp;"|"&amp;COUNTIFS($C$4:C23,C23,$O$4:O23,O23))</f>
        <v/>
      </c>
      <c r="Q23" s="34">
        <f t="shared" si="7"/>
        <v>0</v>
      </c>
      <c r="R23" s="34">
        <f t="shared" si="8"/>
        <v>0</v>
      </c>
      <c r="S23" s="34" t="str">
        <f>IF(AND(B23&lt;&gt;"",C23=CompteSel,N(B23)&lt;=DateArret,R23=0),MAX($S$3:S22)+1,"")</f>
        <v/>
      </c>
      <c r="T23" s="34">
        <f t="shared" si="9"/>
        <v>0</v>
      </c>
      <c r="U23" s="34">
        <f t="shared" si="10"/>
        <v>9</v>
      </c>
    </row>
    <row r="24" spans="1:21" x14ac:dyDescent="0.35">
      <c r="A24" s="1" t="str">
        <f t="shared" si="0"/>
        <v/>
      </c>
      <c r="B24" s="31"/>
      <c r="C24" s="8"/>
      <c r="D24" s="8"/>
      <c r="E24" s="8"/>
      <c r="F24" s="32"/>
      <c r="G24" s="32"/>
      <c r="H24" s="32"/>
      <c r="I24" s="1" t="str">
        <f t="shared" si="1"/>
        <v/>
      </c>
      <c r="J24" s="1" t="str">
        <f t="shared" si="2"/>
        <v/>
      </c>
      <c r="K24" s="1" t="str">
        <f t="shared" si="3"/>
        <v/>
      </c>
      <c r="L24" s="8"/>
      <c r="M24" s="1" t="str">
        <f t="shared" si="4"/>
        <v/>
      </c>
      <c r="N24" s="1" t="str">
        <f t="shared" si="5"/>
        <v/>
      </c>
      <c r="O24" s="33" t="str">
        <f t="shared" si="6"/>
        <v/>
      </c>
      <c r="P24" s="34" t="str">
        <f>IF(B24="","",C24&amp;"|"&amp;ROUND(O24,2)&amp;"|"&amp;COUNTIFS($C$4:C24,C24,$O$4:O24,O24))</f>
        <v/>
      </c>
      <c r="Q24" s="34">
        <f t="shared" si="7"/>
        <v>0</v>
      </c>
      <c r="R24" s="34">
        <f t="shared" si="8"/>
        <v>0</v>
      </c>
      <c r="S24" s="34" t="str">
        <f>IF(AND(B24&lt;&gt;"",C24=CompteSel,N(B24)&lt;=DateArret,R24=0),MAX($S$3:S23)+1,"")</f>
        <v/>
      </c>
      <c r="T24" s="34">
        <f t="shared" si="9"/>
        <v>0</v>
      </c>
      <c r="U24" s="34">
        <f t="shared" si="10"/>
        <v>9</v>
      </c>
    </row>
    <row r="25" spans="1:21" x14ac:dyDescent="0.35">
      <c r="A25" s="1" t="str">
        <f t="shared" si="0"/>
        <v/>
      </c>
      <c r="B25" s="31"/>
      <c r="C25" s="8"/>
      <c r="D25" s="8"/>
      <c r="E25" s="8"/>
      <c r="F25" s="32"/>
      <c r="G25" s="32"/>
      <c r="H25" s="32"/>
      <c r="I25" s="1" t="str">
        <f t="shared" si="1"/>
        <v/>
      </c>
      <c r="J25" s="1" t="str">
        <f t="shared" si="2"/>
        <v/>
      </c>
      <c r="K25" s="1" t="str">
        <f t="shared" si="3"/>
        <v/>
      </c>
      <c r="L25" s="8"/>
      <c r="M25" s="1" t="str">
        <f t="shared" si="4"/>
        <v/>
      </c>
      <c r="N25" s="1" t="str">
        <f t="shared" si="5"/>
        <v/>
      </c>
      <c r="O25" s="33" t="str">
        <f t="shared" si="6"/>
        <v/>
      </c>
      <c r="P25" s="34" t="str">
        <f>IF(B25="","",C25&amp;"|"&amp;ROUND(O25,2)&amp;"|"&amp;COUNTIFS($C$4:C25,C25,$O$4:O25,O25))</f>
        <v/>
      </c>
      <c r="Q25" s="34">
        <f t="shared" si="7"/>
        <v>0</v>
      </c>
      <c r="R25" s="34">
        <f t="shared" si="8"/>
        <v>0</v>
      </c>
      <c r="S25" s="34" t="str">
        <f>IF(AND(B25&lt;&gt;"",C25=CompteSel,N(B25)&lt;=DateArret,R25=0),MAX($S$3:S24)+1,"")</f>
        <v/>
      </c>
      <c r="T25" s="34">
        <f t="shared" si="9"/>
        <v>0</v>
      </c>
      <c r="U25" s="34">
        <f t="shared" si="10"/>
        <v>9</v>
      </c>
    </row>
    <row r="26" spans="1:21" x14ac:dyDescent="0.35">
      <c r="A26" s="1" t="str">
        <f t="shared" si="0"/>
        <v/>
      </c>
      <c r="B26" s="31"/>
      <c r="C26" s="8"/>
      <c r="D26" s="8"/>
      <c r="E26" s="8"/>
      <c r="F26" s="32"/>
      <c r="G26" s="32"/>
      <c r="H26" s="32"/>
      <c r="I26" s="1" t="str">
        <f t="shared" si="1"/>
        <v/>
      </c>
      <c r="J26" s="1" t="str">
        <f t="shared" si="2"/>
        <v/>
      </c>
      <c r="K26" s="1" t="str">
        <f t="shared" si="3"/>
        <v/>
      </c>
      <c r="L26" s="8"/>
      <c r="M26" s="1" t="str">
        <f t="shared" si="4"/>
        <v/>
      </c>
      <c r="N26" s="1" t="str">
        <f t="shared" si="5"/>
        <v/>
      </c>
      <c r="O26" s="33" t="str">
        <f t="shared" si="6"/>
        <v/>
      </c>
      <c r="P26" s="34" t="str">
        <f>IF(B26="","",C26&amp;"|"&amp;ROUND(O26,2)&amp;"|"&amp;COUNTIFS($C$4:C26,C26,$O$4:O26,O26))</f>
        <v/>
      </c>
      <c r="Q26" s="34">
        <f t="shared" si="7"/>
        <v>0</v>
      </c>
      <c r="R26" s="34">
        <f t="shared" si="8"/>
        <v>0</v>
      </c>
      <c r="S26" s="34" t="str">
        <f>IF(AND(B26&lt;&gt;"",C26=CompteSel,N(B26)&lt;=DateArret,R26=0),MAX($S$3:S25)+1,"")</f>
        <v/>
      </c>
      <c r="T26" s="34">
        <f t="shared" si="9"/>
        <v>0</v>
      </c>
      <c r="U26" s="34">
        <f t="shared" si="10"/>
        <v>9</v>
      </c>
    </row>
    <row r="27" spans="1:21" x14ac:dyDescent="0.35">
      <c r="A27" s="1" t="str">
        <f t="shared" si="0"/>
        <v/>
      </c>
      <c r="B27" s="31"/>
      <c r="C27" s="8"/>
      <c r="D27" s="8"/>
      <c r="E27" s="8"/>
      <c r="F27" s="32"/>
      <c r="G27" s="32"/>
      <c r="H27" s="32"/>
      <c r="I27" s="1" t="str">
        <f t="shared" si="1"/>
        <v/>
      </c>
      <c r="J27" s="1" t="str">
        <f t="shared" si="2"/>
        <v/>
      </c>
      <c r="K27" s="1" t="str">
        <f t="shared" si="3"/>
        <v/>
      </c>
      <c r="L27" s="8"/>
      <c r="M27" s="1" t="str">
        <f t="shared" si="4"/>
        <v/>
      </c>
      <c r="N27" s="1" t="str">
        <f t="shared" si="5"/>
        <v/>
      </c>
      <c r="O27" s="33" t="str">
        <f t="shared" si="6"/>
        <v/>
      </c>
      <c r="P27" s="34" t="str">
        <f>IF(B27="","",C27&amp;"|"&amp;ROUND(O27,2)&amp;"|"&amp;COUNTIFS($C$4:C27,C27,$O$4:O27,O27))</f>
        <v/>
      </c>
      <c r="Q27" s="34">
        <f t="shared" si="7"/>
        <v>0</v>
      </c>
      <c r="R27" s="34">
        <f t="shared" si="8"/>
        <v>0</v>
      </c>
      <c r="S27" s="34" t="str">
        <f>IF(AND(B27&lt;&gt;"",C27=CompteSel,N(B27)&lt;=DateArret,R27=0),MAX($S$3:S26)+1,"")</f>
        <v/>
      </c>
      <c r="T27" s="34">
        <f t="shared" si="9"/>
        <v>0</v>
      </c>
      <c r="U27" s="34">
        <f t="shared" si="10"/>
        <v>9</v>
      </c>
    </row>
    <row r="28" spans="1:21" x14ac:dyDescent="0.35">
      <c r="A28" s="1" t="str">
        <f t="shared" si="0"/>
        <v/>
      </c>
      <c r="B28" s="31"/>
      <c r="C28" s="8"/>
      <c r="D28" s="8"/>
      <c r="E28" s="8"/>
      <c r="F28" s="32"/>
      <c r="G28" s="32"/>
      <c r="H28" s="32"/>
      <c r="I28" s="1" t="str">
        <f t="shared" si="1"/>
        <v/>
      </c>
      <c r="J28" s="1" t="str">
        <f t="shared" si="2"/>
        <v/>
      </c>
      <c r="K28" s="1" t="str">
        <f t="shared" si="3"/>
        <v/>
      </c>
      <c r="L28" s="8"/>
      <c r="M28" s="1" t="str">
        <f t="shared" si="4"/>
        <v/>
      </c>
      <c r="N28" s="1" t="str">
        <f t="shared" si="5"/>
        <v/>
      </c>
      <c r="O28" s="33" t="str">
        <f t="shared" si="6"/>
        <v/>
      </c>
      <c r="P28" s="34" t="str">
        <f>IF(B28="","",C28&amp;"|"&amp;ROUND(O28,2)&amp;"|"&amp;COUNTIFS($C$4:C28,C28,$O$4:O28,O28))</f>
        <v/>
      </c>
      <c r="Q28" s="34">
        <f t="shared" si="7"/>
        <v>0</v>
      </c>
      <c r="R28" s="34">
        <f t="shared" si="8"/>
        <v>0</v>
      </c>
      <c r="S28" s="34" t="str">
        <f>IF(AND(B28&lt;&gt;"",C28=CompteSel,N(B28)&lt;=DateArret,R28=0),MAX($S$3:S27)+1,"")</f>
        <v/>
      </c>
      <c r="T28" s="34">
        <f t="shared" si="9"/>
        <v>0</v>
      </c>
      <c r="U28" s="34">
        <f t="shared" si="10"/>
        <v>9</v>
      </c>
    </row>
    <row r="29" spans="1:21" x14ac:dyDescent="0.35">
      <c r="A29" s="1" t="str">
        <f t="shared" si="0"/>
        <v/>
      </c>
      <c r="B29" s="31"/>
      <c r="C29" s="8"/>
      <c r="D29" s="8"/>
      <c r="E29" s="8"/>
      <c r="F29" s="32"/>
      <c r="G29" s="32"/>
      <c r="H29" s="32"/>
      <c r="I29" s="1" t="str">
        <f t="shared" si="1"/>
        <v/>
      </c>
      <c r="J29" s="1" t="str">
        <f t="shared" si="2"/>
        <v/>
      </c>
      <c r="K29" s="1" t="str">
        <f t="shared" si="3"/>
        <v/>
      </c>
      <c r="L29" s="8"/>
      <c r="M29" s="1" t="str">
        <f t="shared" si="4"/>
        <v/>
      </c>
      <c r="N29" s="1" t="str">
        <f t="shared" si="5"/>
        <v/>
      </c>
      <c r="O29" s="33" t="str">
        <f t="shared" si="6"/>
        <v/>
      </c>
      <c r="P29" s="34" t="str">
        <f>IF(B29="","",C29&amp;"|"&amp;ROUND(O29,2)&amp;"|"&amp;COUNTIFS($C$4:C29,C29,$O$4:O29,O29))</f>
        <v/>
      </c>
      <c r="Q29" s="34">
        <f t="shared" si="7"/>
        <v>0</v>
      </c>
      <c r="R29" s="34">
        <f t="shared" si="8"/>
        <v>0</v>
      </c>
      <c r="S29" s="34" t="str">
        <f>IF(AND(B29&lt;&gt;"",C29=CompteSel,N(B29)&lt;=DateArret,R29=0),MAX($S$3:S28)+1,"")</f>
        <v/>
      </c>
      <c r="T29" s="34">
        <f t="shared" si="9"/>
        <v>0</v>
      </c>
      <c r="U29" s="34">
        <f t="shared" si="10"/>
        <v>9</v>
      </c>
    </row>
    <row r="30" spans="1:21" x14ac:dyDescent="0.35">
      <c r="A30" s="1" t="str">
        <f t="shared" si="0"/>
        <v/>
      </c>
      <c r="B30" s="31"/>
      <c r="C30" s="8"/>
      <c r="D30" s="8"/>
      <c r="E30" s="8"/>
      <c r="F30" s="32"/>
      <c r="G30" s="32"/>
      <c r="H30" s="32"/>
      <c r="I30" s="1" t="str">
        <f t="shared" si="1"/>
        <v/>
      </c>
      <c r="J30" s="1" t="str">
        <f t="shared" si="2"/>
        <v/>
      </c>
      <c r="K30" s="1" t="str">
        <f t="shared" si="3"/>
        <v/>
      </c>
      <c r="L30" s="8"/>
      <c r="M30" s="1" t="str">
        <f t="shared" si="4"/>
        <v/>
      </c>
      <c r="N30" s="1" t="str">
        <f t="shared" si="5"/>
        <v/>
      </c>
      <c r="O30" s="33" t="str">
        <f t="shared" si="6"/>
        <v/>
      </c>
      <c r="P30" s="34" t="str">
        <f>IF(B30="","",C30&amp;"|"&amp;ROUND(O30,2)&amp;"|"&amp;COUNTIFS($C$4:C30,C30,$O$4:O30,O30))</f>
        <v/>
      </c>
      <c r="Q30" s="34">
        <f t="shared" si="7"/>
        <v>0</v>
      </c>
      <c r="R30" s="34">
        <f t="shared" si="8"/>
        <v>0</v>
      </c>
      <c r="S30" s="34" t="str">
        <f>IF(AND(B30&lt;&gt;"",C30=CompteSel,N(B30)&lt;=DateArret,R30=0),MAX($S$3:S29)+1,"")</f>
        <v/>
      </c>
      <c r="T30" s="34">
        <f t="shared" si="9"/>
        <v>0</v>
      </c>
      <c r="U30" s="34">
        <f t="shared" si="10"/>
        <v>9</v>
      </c>
    </row>
    <row r="31" spans="1:21" x14ac:dyDescent="0.35">
      <c r="A31" s="1" t="str">
        <f t="shared" si="0"/>
        <v/>
      </c>
      <c r="B31" s="31"/>
      <c r="C31" s="8"/>
      <c r="D31" s="8"/>
      <c r="E31" s="8"/>
      <c r="F31" s="32"/>
      <c r="G31" s="32"/>
      <c r="H31" s="32"/>
      <c r="I31" s="1" t="str">
        <f t="shared" si="1"/>
        <v/>
      </c>
      <c r="J31" s="1" t="str">
        <f t="shared" si="2"/>
        <v/>
      </c>
      <c r="K31" s="1" t="str">
        <f t="shared" si="3"/>
        <v/>
      </c>
      <c r="L31" s="8"/>
      <c r="M31" s="1" t="str">
        <f t="shared" si="4"/>
        <v/>
      </c>
      <c r="N31" s="1" t="str">
        <f t="shared" si="5"/>
        <v/>
      </c>
      <c r="O31" s="33" t="str">
        <f t="shared" si="6"/>
        <v/>
      </c>
      <c r="P31" s="34" t="str">
        <f>IF(B31="","",C31&amp;"|"&amp;ROUND(O31,2)&amp;"|"&amp;COUNTIFS($C$4:C31,C31,$O$4:O31,O31))</f>
        <v/>
      </c>
      <c r="Q31" s="34">
        <f t="shared" si="7"/>
        <v>0</v>
      </c>
      <c r="R31" s="34">
        <f t="shared" si="8"/>
        <v>0</v>
      </c>
      <c r="S31" s="34" t="str">
        <f>IF(AND(B31&lt;&gt;"",C31=CompteSel,N(B31)&lt;=DateArret,R31=0),MAX($S$3:S30)+1,"")</f>
        <v/>
      </c>
      <c r="T31" s="34">
        <f t="shared" si="9"/>
        <v>0</v>
      </c>
      <c r="U31" s="34">
        <f t="shared" si="10"/>
        <v>9</v>
      </c>
    </row>
    <row r="32" spans="1:21" x14ac:dyDescent="0.35">
      <c r="A32" s="1" t="str">
        <f t="shared" si="0"/>
        <v/>
      </c>
      <c r="B32" s="31"/>
      <c r="C32" s="8"/>
      <c r="D32" s="8"/>
      <c r="E32" s="8"/>
      <c r="F32" s="32"/>
      <c r="G32" s="32"/>
      <c r="H32" s="32"/>
      <c r="I32" s="1" t="str">
        <f t="shared" si="1"/>
        <v/>
      </c>
      <c r="J32" s="1" t="str">
        <f t="shared" si="2"/>
        <v/>
      </c>
      <c r="K32" s="1" t="str">
        <f t="shared" si="3"/>
        <v/>
      </c>
      <c r="L32" s="8"/>
      <c r="M32" s="1" t="str">
        <f t="shared" si="4"/>
        <v/>
      </c>
      <c r="N32" s="1" t="str">
        <f t="shared" si="5"/>
        <v/>
      </c>
      <c r="O32" s="33" t="str">
        <f t="shared" si="6"/>
        <v/>
      </c>
      <c r="P32" s="34" t="str">
        <f>IF(B32="","",C32&amp;"|"&amp;ROUND(O32,2)&amp;"|"&amp;COUNTIFS($C$4:C32,C32,$O$4:O32,O32))</f>
        <v/>
      </c>
      <c r="Q32" s="34">
        <f t="shared" si="7"/>
        <v>0</v>
      </c>
      <c r="R32" s="34">
        <f t="shared" si="8"/>
        <v>0</v>
      </c>
      <c r="S32" s="34" t="str">
        <f>IF(AND(B32&lt;&gt;"",C32=CompteSel,N(B32)&lt;=DateArret,R32=0),MAX($S$3:S31)+1,"")</f>
        <v/>
      </c>
      <c r="T32" s="34">
        <f t="shared" si="9"/>
        <v>0</v>
      </c>
      <c r="U32" s="34">
        <f t="shared" si="10"/>
        <v>9</v>
      </c>
    </row>
    <row r="33" spans="1:21" x14ac:dyDescent="0.35">
      <c r="A33" s="1" t="str">
        <f t="shared" si="0"/>
        <v/>
      </c>
      <c r="B33" s="31"/>
      <c r="C33" s="8"/>
      <c r="D33" s="8"/>
      <c r="E33" s="8"/>
      <c r="F33" s="32"/>
      <c r="G33" s="32"/>
      <c r="H33" s="32"/>
      <c r="I33" s="1" t="str">
        <f t="shared" si="1"/>
        <v/>
      </c>
      <c r="J33" s="1" t="str">
        <f t="shared" si="2"/>
        <v/>
      </c>
      <c r="K33" s="1" t="str">
        <f t="shared" si="3"/>
        <v/>
      </c>
      <c r="L33" s="8"/>
      <c r="M33" s="1" t="str">
        <f t="shared" si="4"/>
        <v/>
      </c>
      <c r="N33" s="1" t="str">
        <f t="shared" si="5"/>
        <v/>
      </c>
      <c r="O33" s="33" t="str">
        <f t="shared" si="6"/>
        <v/>
      </c>
      <c r="P33" s="34" t="str">
        <f>IF(B33="","",C33&amp;"|"&amp;ROUND(O33,2)&amp;"|"&amp;COUNTIFS($C$4:C33,C33,$O$4:O33,O33))</f>
        <v/>
      </c>
      <c r="Q33" s="34">
        <f t="shared" si="7"/>
        <v>0</v>
      </c>
      <c r="R33" s="34">
        <f t="shared" si="8"/>
        <v>0</v>
      </c>
      <c r="S33" s="34" t="str">
        <f>IF(AND(B33&lt;&gt;"",C33=CompteSel,N(B33)&lt;=DateArret,R33=0),MAX($S$3:S32)+1,"")</f>
        <v/>
      </c>
      <c r="T33" s="34">
        <f t="shared" si="9"/>
        <v>0</v>
      </c>
      <c r="U33" s="34">
        <f t="shared" si="10"/>
        <v>9</v>
      </c>
    </row>
    <row r="34" spans="1:21" x14ac:dyDescent="0.35">
      <c r="A34" s="1" t="str">
        <f t="shared" si="0"/>
        <v/>
      </c>
      <c r="B34" s="31"/>
      <c r="C34" s="8"/>
      <c r="D34" s="8"/>
      <c r="E34" s="8"/>
      <c r="F34" s="32"/>
      <c r="G34" s="32"/>
      <c r="H34" s="32"/>
      <c r="I34" s="1" t="str">
        <f t="shared" si="1"/>
        <v/>
      </c>
      <c r="J34" s="1" t="str">
        <f t="shared" si="2"/>
        <v/>
      </c>
      <c r="K34" s="1" t="str">
        <f t="shared" si="3"/>
        <v/>
      </c>
      <c r="L34" s="8"/>
      <c r="M34" s="1" t="str">
        <f t="shared" si="4"/>
        <v/>
      </c>
      <c r="N34" s="1" t="str">
        <f t="shared" si="5"/>
        <v/>
      </c>
      <c r="O34" s="33" t="str">
        <f t="shared" si="6"/>
        <v/>
      </c>
      <c r="P34" s="34" t="str">
        <f>IF(B34="","",C34&amp;"|"&amp;ROUND(O34,2)&amp;"|"&amp;COUNTIFS($C$4:C34,C34,$O$4:O34,O34))</f>
        <v/>
      </c>
      <c r="Q34" s="34">
        <f t="shared" si="7"/>
        <v>0</v>
      </c>
      <c r="R34" s="34">
        <f t="shared" si="8"/>
        <v>0</v>
      </c>
      <c r="S34" s="34" t="str">
        <f>IF(AND(B34&lt;&gt;"",C34=CompteSel,N(B34)&lt;=DateArret,R34=0),MAX($S$3:S33)+1,"")</f>
        <v/>
      </c>
      <c r="T34" s="34">
        <f t="shared" si="9"/>
        <v>0</v>
      </c>
      <c r="U34" s="34">
        <f t="shared" si="10"/>
        <v>9</v>
      </c>
    </row>
    <row r="35" spans="1:21" x14ac:dyDescent="0.35">
      <c r="A35" s="1" t="str">
        <f t="shared" si="0"/>
        <v/>
      </c>
      <c r="B35" s="31"/>
      <c r="C35" s="8"/>
      <c r="D35" s="8"/>
      <c r="E35" s="8"/>
      <c r="F35" s="32"/>
      <c r="G35" s="32"/>
      <c r="H35" s="32"/>
      <c r="I35" s="1" t="str">
        <f t="shared" si="1"/>
        <v/>
      </c>
      <c r="J35" s="1" t="str">
        <f t="shared" si="2"/>
        <v/>
      </c>
      <c r="K35" s="1" t="str">
        <f t="shared" si="3"/>
        <v/>
      </c>
      <c r="L35" s="8"/>
      <c r="M35" s="1" t="str">
        <f t="shared" si="4"/>
        <v/>
      </c>
      <c r="N35" s="1" t="str">
        <f t="shared" si="5"/>
        <v/>
      </c>
      <c r="O35" s="33" t="str">
        <f t="shared" si="6"/>
        <v/>
      </c>
      <c r="P35" s="34" t="str">
        <f>IF(B35="","",C35&amp;"|"&amp;ROUND(O35,2)&amp;"|"&amp;COUNTIFS($C$4:C35,C35,$O$4:O35,O35))</f>
        <v/>
      </c>
      <c r="Q35" s="34">
        <f t="shared" si="7"/>
        <v>0</v>
      </c>
      <c r="R35" s="34">
        <f t="shared" si="8"/>
        <v>0</v>
      </c>
      <c r="S35" s="34" t="str">
        <f>IF(AND(B35&lt;&gt;"",C35=CompteSel,N(B35)&lt;=DateArret,R35=0),MAX($S$3:S34)+1,"")</f>
        <v/>
      </c>
      <c r="T35" s="34">
        <f t="shared" si="9"/>
        <v>0</v>
      </c>
      <c r="U35" s="34">
        <f t="shared" si="10"/>
        <v>9</v>
      </c>
    </row>
    <row r="36" spans="1:21" x14ac:dyDescent="0.35">
      <c r="A36" s="1" t="str">
        <f t="shared" si="0"/>
        <v/>
      </c>
      <c r="B36" s="31"/>
      <c r="C36" s="8"/>
      <c r="D36" s="8"/>
      <c r="E36" s="8"/>
      <c r="F36" s="32"/>
      <c r="G36" s="32"/>
      <c r="H36" s="32"/>
      <c r="I36" s="1" t="str">
        <f t="shared" si="1"/>
        <v/>
      </c>
      <c r="J36" s="1" t="str">
        <f t="shared" si="2"/>
        <v/>
      </c>
      <c r="K36" s="1" t="str">
        <f t="shared" si="3"/>
        <v/>
      </c>
      <c r="L36" s="8"/>
      <c r="M36" s="1" t="str">
        <f t="shared" si="4"/>
        <v/>
      </c>
      <c r="N36" s="1" t="str">
        <f t="shared" si="5"/>
        <v/>
      </c>
      <c r="O36" s="33" t="str">
        <f t="shared" si="6"/>
        <v/>
      </c>
      <c r="P36" s="34" t="str">
        <f>IF(B36="","",C36&amp;"|"&amp;ROUND(O36,2)&amp;"|"&amp;COUNTIFS($C$4:C36,C36,$O$4:O36,O36))</f>
        <v/>
      </c>
      <c r="Q36" s="34">
        <f t="shared" si="7"/>
        <v>0</v>
      </c>
      <c r="R36" s="34">
        <f t="shared" si="8"/>
        <v>0</v>
      </c>
      <c r="S36" s="34" t="str">
        <f>IF(AND(B36&lt;&gt;"",C36=CompteSel,N(B36)&lt;=DateArret,R36=0),MAX($S$3:S35)+1,"")</f>
        <v/>
      </c>
      <c r="T36" s="34">
        <f t="shared" si="9"/>
        <v>0</v>
      </c>
      <c r="U36" s="34">
        <f t="shared" si="10"/>
        <v>9</v>
      </c>
    </row>
    <row r="37" spans="1:21" x14ac:dyDescent="0.35">
      <c r="A37" s="1" t="str">
        <f t="shared" si="0"/>
        <v/>
      </c>
      <c r="B37" s="31"/>
      <c r="C37" s="8"/>
      <c r="D37" s="8"/>
      <c r="E37" s="8"/>
      <c r="F37" s="32"/>
      <c r="G37" s="32"/>
      <c r="H37" s="32"/>
      <c r="I37" s="1" t="str">
        <f t="shared" si="1"/>
        <v/>
      </c>
      <c r="J37" s="1" t="str">
        <f t="shared" si="2"/>
        <v/>
      </c>
      <c r="K37" s="1" t="str">
        <f t="shared" si="3"/>
        <v/>
      </c>
      <c r="L37" s="8"/>
      <c r="M37" s="1" t="str">
        <f t="shared" si="4"/>
        <v/>
      </c>
      <c r="N37" s="1" t="str">
        <f t="shared" si="5"/>
        <v/>
      </c>
      <c r="O37" s="33" t="str">
        <f t="shared" si="6"/>
        <v/>
      </c>
      <c r="P37" s="34" t="str">
        <f>IF(B37="","",C37&amp;"|"&amp;ROUND(O37,2)&amp;"|"&amp;COUNTIFS($C$4:C37,C37,$O$4:O37,O37))</f>
        <v/>
      </c>
      <c r="Q37" s="34">
        <f t="shared" si="7"/>
        <v>0</v>
      </c>
      <c r="R37" s="34">
        <f t="shared" si="8"/>
        <v>0</v>
      </c>
      <c r="S37" s="34" t="str">
        <f>IF(AND(B37&lt;&gt;"",C37=CompteSel,N(B37)&lt;=DateArret,R37=0),MAX($S$3:S36)+1,"")</f>
        <v/>
      </c>
      <c r="T37" s="34">
        <f t="shared" si="9"/>
        <v>0</v>
      </c>
      <c r="U37" s="34">
        <f t="shared" si="10"/>
        <v>9</v>
      </c>
    </row>
    <row r="38" spans="1:21" x14ac:dyDescent="0.35">
      <c r="A38" s="1" t="str">
        <f t="shared" si="0"/>
        <v/>
      </c>
      <c r="B38" s="31"/>
      <c r="C38" s="8"/>
      <c r="D38" s="8"/>
      <c r="E38" s="8"/>
      <c r="F38" s="32"/>
      <c r="G38" s="32"/>
      <c r="H38" s="32"/>
      <c r="I38" s="1" t="str">
        <f t="shared" si="1"/>
        <v/>
      </c>
      <c r="J38" s="1" t="str">
        <f t="shared" si="2"/>
        <v/>
      </c>
      <c r="K38" s="1" t="str">
        <f t="shared" si="3"/>
        <v/>
      </c>
      <c r="L38" s="8"/>
      <c r="M38" s="1" t="str">
        <f t="shared" si="4"/>
        <v/>
      </c>
      <c r="N38" s="1" t="str">
        <f t="shared" si="5"/>
        <v/>
      </c>
      <c r="O38" s="33" t="str">
        <f t="shared" si="6"/>
        <v/>
      </c>
      <c r="P38" s="34" t="str">
        <f>IF(B38="","",C38&amp;"|"&amp;ROUND(O38,2)&amp;"|"&amp;COUNTIFS($C$4:C38,C38,$O$4:O38,O38))</f>
        <v/>
      </c>
      <c r="Q38" s="34">
        <f t="shared" si="7"/>
        <v>0</v>
      </c>
      <c r="R38" s="34">
        <f t="shared" si="8"/>
        <v>0</v>
      </c>
      <c r="S38" s="34" t="str">
        <f>IF(AND(B38&lt;&gt;"",C38=CompteSel,N(B38)&lt;=DateArret,R38=0),MAX($S$3:S37)+1,"")</f>
        <v/>
      </c>
      <c r="T38" s="34">
        <f t="shared" si="9"/>
        <v>0</v>
      </c>
      <c r="U38" s="34">
        <f t="shared" si="10"/>
        <v>9</v>
      </c>
    </row>
    <row r="39" spans="1:21" x14ac:dyDescent="0.35">
      <c r="A39" s="1" t="str">
        <f t="shared" si="0"/>
        <v/>
      </c>
      <c r="B39" s="31"/>
      <c r="C39" s="8"/>
      <c r="D39" s="8"/>
      <c r="E39" s="8"/>
      <c r="F39" s="32"/>
      <c r="G39" s="32"/>
      <c r="H39" s="32"/>
      <c r="I39" s="1" t="str">
        <f t="shared" si="1"/>
        <v/>
      </c>
      <c r="J39" s="1" t="str">
        <f t="shared" si="2"/>
        <v/>
      </c>
      <c r="K39" s="1" t="str">
        <f t="shared" si="3"/>
        <v/>
      </c>
      <c r="L39" s="8"/>
      <c r="M39" s="1" t="str">
        <f t="shared" si="4"/>
        <v/>
      </c>
      <c r="N39" s="1" t="str">
        <f t="shared" si="5"/>
        <v/>
      </c>
      <c r="O39" s="33" t="str">
        <f t="shared" si="6"/>
        <v/>
      </c>
      <c r="P39" s="34" t="str">
        <f>IF(B39="","",C39&amp;"|"&amp;ROUND(O39,2)&amp;"|"&amp;COUNTIFS($C$4:C39,C39,$O$4:O39,O39))</f>
        <v/>
      </c>
      <c r="Q39" s="34">
        <f t="shared" si="7"/>
        <v>0</v>
      </c>
      <c r="R39" s="34">
        <f t="shared" si="8"/>
        <v>0</v>
      </c>
      <c r="S39" s="34" t="str">
        <f>IF(AND(B39&lt;&gt;"",C39=CompteSel,N(B39)&lt;=DateArret,R39=0),MAX($S$3:S38)+1,"")</f>
        <v/>
      </c>
      <c r="T39" s="34">
        <f t="shared" si="9"/>
        <v>0</v>
      </c>
      <c r="U39" s="34">
        <f t="shared" si="10"/>
        <v>9</v>
      </c>
    </row>
    <row r="40" spans="1:21" x14ac:dyDescent="0.35">
      <c r="A40" s="1" t="str">
        <f t="shared" si="0"/>
        <v/>
      </c>
      <c r="B40" s="31"/>
      <c r="C40" s="8"/>
      <c r="D40" s="8"/>
      <c r="E40" s="8"/>
      <c r="F40" s="32"/>
      <c r="G40" s="32"/>
      <c r="H40" s="32"/>
      <c r="I40" s="1" t="str">
        <f t="shared" si="1"/>
        <v/>
      </c>
      <c r="J40" s="1" t="str">
        <f t="shared" si="2"/>
        <v/>
      </c>
      <c r="K40" s="1" t="str">
        <f t="shared" si="3"/>
        <v/>
      </c>
      <c r="L40" s="8"/>
      <c r="M40" s="1" t="str">
        <f t="shared" si="4"/>
        <v/>
      </c>
      <c r="N40" s="1" t="str">
        <f t="shared" si="5"/>
        <v/>
      </c>
      <c r="O40" s="33" t="str">
        <f t="shared" si="6"/>
        <v/>
      </c>
      <c r="P40" s="34" t="str">
        <f>IF(B40="","",C40&amp;"|"&amp;ROUND(O40,2)&amp;"|"&amp;COUNTIFS($C$4:C40,C40,$O$4:O40,O40))</f>
        <v/>
      </c>
      <c r="Q40" s="34">
        <f t="shared" si="7"/>
        <v>0</v>
      </c>
      <c r="R40" s="34">
        <f t="shared" si="8"/>
        <v>0</v>
      </c>
      <c r="S40" s="34" t="str">
        <f>IF(AND(B40&lt;&gt;"",C40=CompteSel,N(B40)&lt;=DateArret,R40=0),MAX($S$3:S39)+1,"")</f>
        <v/>
      </c>
      <c r="T40" s="34">
        <f t="shared" si="9"/>
        <v>0</v>
      </c>
      <c r="U40" s="34">
        <f t="shared" si="10"/>
        <v>9</v>
      </c>
    </row>
    <row r="41" spans="1:21" x14ac:dyDescent="0.35">
      <c r="A41" s="1" t="str">
        <f t="shared" si="0"/>
        <v/>
      </c>
      <c r="B41" s="31"/>
      <c r="C41" s="8"/>
      <c r="D41" s="8"/>
      <c r="E41" s="8"/>
      <c r="F41" s="32"/>
      <c r="G41" s="32"/>
      <c r="H41" s="32"/>
      <c r="I41" s="1" t="str">
        <f t="shared" si="1"/>
        <v/>
      </c>
      <c r="J41" s="1" t="str">
        <f t="shared" si="2"/>
        <v/>
      </c>
      <c r="K41" s="1" t="str">
        <f t="shared" si="3"/>
        <v/>
      </c>
      <c r="L41" s="8"/>
      <c r="M41" s="1" t="str">
        <f t="shared" si="4"/>
        <v/>
      </c>
      <c r="N41" s="1" t="str">
        <f t="shared" si="5"/>
        <v/>
      </c>
      <c r="O41" s="33" t="str">
        <f t="shared" si="6"/>
        <v/>
      </c>
      <c r="P41" s="34" t="str">
        <f>IF(B41="","",C41&amp;"|"&amp;ROUND(O41,2)&amp;"|"&amp;COUNTIFS($C$4:C41,C41,$O$4:O41,O41))</f>
        <v/>
      </c>
      <c r="Q41" s="34">
        <f t="shared" si="7"/>
        <v>0</v>
      </c>
      <c r="R41" s="34">
        <f t="shared" si="8"/>
        <v>0</v>
      </c>
      <c r="S41" s="34" t="str">
        <f>IF(AND(B41&lt;&gt;"",C41=CompteSel,N(B41)&lt;=DateArret,R41=0),MAX($S$3:S40)+1,"")</f>
        <v/>
      </c>
      <c r="T41" s="34">
        <f t="shared" si="9"/>
        <v>0</v>
      </c>
      <c r="U41" s="34">
        <f t="shared" si="10"/>
        <v>9</v>
      </c>
    </row>
    <row r="42" spans="1:21" x14ac:dyDescent="0.35">
      <c r="A42" s="1" t="str">
        <f t="shared" si="0"/>
        <v/>
      </c>
      <c r="B42" s="31"/>
      <c r="C42" s="8"/>
      <c r="D42" s="8"/>
      <c r="E42" s="8"/>
      <c r="F42" s="32"/>
      <c r="G42" s="32"/>
      <c r="H42" s="32"/>
      <c r="I42" s="1" t="str">
        <f t="shared" si="1"/>
        <v/>
      </c>
      <c r="J42" s="1" t="str">
        <f t="shared" si="2"/>
        <v/>
      </c>
      <c r="K42" s="1" t="str">
        <f t="shared" si="3"/>
        <v/>
      </c>
      <c r="L42" s="8"/>
      <c r="M42" s="1" t="str">
        <f t="shared" si="4"/>
        <v/>
      </c>
      <c r="N42" s="1" t="str">
        <f t="shared" si="5"/>
        <v/>
      </c>
      <c r="O42" s="33" t="str">
        <f t="shared" si="6"/>
        <v/>
      </c>
      <c r="P42" s="34" t="str">
        <f>IF(B42="","",C42&amp;"|"&amp;ROUND(O42,2)&amp;"|"&amp;COUNTIFS($C$4:C42,C42,$O$4:O42,O42))</f>
        <v/>
      </c>
      <c r="Q42" s="34">
        <f t="shared" si="7"/>
        <v>0</v>
      </c>
      <c r="R42" s="34">
        <f t="shared" si="8"/>
        <v>0</v>
      </c>
      <c r="S42" s="34" t="str">
        <f>IF(AND(B42&lt;&gt;"",C42=CompteSel,N(B42)&lt;=DateArret,R42=0),MAX($S$3:S41)+1,"")</f>
        <v/>
      </c>
      <c r="T42" s="34">
        <f t="shared" si="9"/>
        <v>0</v>
      </c>
      <c r="U42" s="34">
        <f t="shared" si="10"/>
        <v>9</v>
      </c>
    </row>
    <row r="43" spans="1:21" x14ac:dyDescent="0.35">
      <c r="A43" s="1" t="str">
        <f t="shared" si="0"/>
        <v/>
      </c>
      <c r="B43" s="31"/>
      <c r="C43" s="8"/>
      <c r="D43" s="8"/>
      <c r="E43" s="8"/>
      <c r="F43" s="32"/>
      <c r="G43" s="32"/>
      <c r="H43" s="32"/>
      <c r="I43" s="1" t="str">
        <f t="shared" si="1"/>
        <v/>
      </c>
      <c r="J43" s="1" t="str">
        <f t="shared" si="2"/>
        <v/>
      </c>
      <c r="K43" s="1" t="str">
        <f t="shared" si="3"/>
        <v/>
      </c>
      <c r="L43" s="8"/>
      <c r="M43" s="1" t="str">
        <f t="shared" si="4"/>
        <v/>
      </c>
      <c r="N43" s="1" t="str">
        <f t="shared" si="5"/>
        <v/>
      </c>
      <c r="O43" s="33" t="str">
        <f t="shared" si="6"/>
        <v/>
      </c>
      <c r="P43" s="34" t="str">
        <f>IF(B43="","",C43&amp;"|"&amp;ROUND(O43,2)&amp;"|"&amp;COUNTIFS($C$4:C43,C43,$O$4:O43,O43))</f>
        <v/>
      </c>
      <c r="Q43" s="34">
        <f t="shared" si="7"/>
        <v>0</v>
      </c>
      <c r="R43" s="34">
        <f t="shared" si="8"/>
        <v>0</v>
      </c>
      <c r="S43" s="34" t="str">
        <f>IF(AND(B43&lt;&gt;"",C43=CompteSel,N(B43)&lt;=DateArret,R43=0),MAX($S$3:S42)+1,"")</f>
        <v/>
      </c>
      <c r="T43" s="34">
        <f t="shared" si="9"/>
        <v>0</v>
      </c>
      <c r="U43" s="34">
        <f t="shared" si="10"/>
        <v>9</v>
      </c>
    </row>
    <row r="44" spans="1:21" x14ac:dyDescent="0.35">
      <c r="A44" s="1" t="str">
        <f t="shared" si="0"/>
        <v/>
      </c>
      <c r="B44" s="31"/>
      <c r="C44" s="8"/>
      <c r="D44" s="8"/>
      <c r="E44" s="8"/>
      <c r="F44" s="32"/>
      <c r="G44" s="32"/>
      <c r="H44" s="32"/>
      <c r="I44" s="1" t="str">
        <f t="shared" si="1"/>
        <v/>
      </c>
      <c r="J44" s="1" t="str">
        <f t="shared" si="2"/>
        <v/>
      </c>
      <c r="K44" s="1" t="str">
        <f t="shared" si="3"/>
        <v/>
      </c>
      <c r="L44" s="8"/>
      <c r="M44" s="1" t="str">
        <f t="shared" si="4"/>
        <v/>
      </c>
      <c r="N44" s="1" t="str">
        <f t="shared" si="5"/>
        <v/>
      </c>
      <c r="O44" s="33" t="str">
        <f t="shared" si="6"/>
        <v/>
      </c>
      <c r="P44" s="34" t="str">
        <f>IF(B44="","",C44&amp;"|"&amp;ROUND(O44,2)&amp;"|"&amp;COUNTIFS($C$4:C44,C44,$O$4:O44,O44))</f>
        <v/>
      </c>
      <c r="Q44" s="34">
        <f t="shared" si="7"/>
        <v>0</v>
      </c>
      <c r="R44" s="34">
        <f t="shared" si="8"/>
        <v>0</v>
      </c>
      <c r="S44" s="34" t="str">
        <f>IF(AND(B44&lt;&gt;"",C44=CompteSel,N(B44)&lt;=DateArret,R44=0),MAX($S$3:S43)+1,"")</f>
        <v/>
      </c>
      <c r="T44" s="34">
        <f t="shared" si="9"/>
        <v>0</v>
      </c>
      <c r="U44" s="34">
        <f t="shared" si="10"/>
        <v>9</v>
      </c>
    </row>
    <row r="45" spans="1:21" x14ac:dyDescent="0.35">
      <c r="A45" s="1" t="str">
        <f t="shared" si="0"/>
        <v/>
      </c>
      <c r="B45" s="31"/>
      <c r="C45" s="8"/>
      <c r="D45" s="8"/>
      <c r="E45" s="8"/>
      <c r="F45" s="32"/>
      <c r="G45" s="32"/>
      <c r="H45" s="32"/>
      <c r="I45" s="1" t="str">
        <f t="shared" si="1"/>
        <v/>
      </c>
      <c r="J45" s="1" t="str">
        <f t="shared" si="2"/>
        <v/>
      </c>
      <c r="K45" s="1" t="str">
        <f t="shared" si="3"/>
        <v/>
      </c>
      <c r="L45" s="8"/>
      <c r="M45" s="1" t="str">
        <f t="shared" si="4"/>
        <v/>
      </c>
      <c r="N45" s="1" t="str">
        <f t="shared" si="5"/>
        <v/>
      </c>
      <c r="O45" s="33" t="str">
        <f t="shared" si="6"/>
        <v/>
      </c>
      <c r="P45" s="34" t="str">
        <f>IF(B45="","",C45&amp;"|"&amp;ROUND(O45,2)&amp;"|"&amp;COUNTIFS($C$4:C45,C45,$O$4:O45,O45))</f>
        <v/>
      </c>
      <c r="Q45" s="34">
        <f t="shared" si="7"/>
        <v>0</v>
      </c>
      <c r="R45" s="34">
        <f t="shared" si="8"/>
        <v>0</v>
      </c>
      <c r="S45" s="34" t="str">
        <f>IF(AND(B45&lt;&gt;"",C45=CompteSel,N(B45)&lt;=DateArret,R45=0),MAX($S$3:S44)+1,"")</f>
        <v/>
      </c>
      <c r="T45" s="34">
        <f t="shared" si="9"/>
        <v>0</v>
      </c>
      <c r="U45" s="34">
        <f t="shared" si="10"/>
        <v>9</v>
      </c>
    </row>
    <row r="46" spans="1:21" x14ac:dyDescent="0.35">
      <c r="A46" s="1" t="str">
        <f t="shared" si="0"/>
        <v/>
      </c>
      <c r="B46" s="31"/>
      <c r="C46" s="8"/>
      <c r="D46" s="8"/>
      <c r="E46" s="8"/>
      <c r="F46" s="32"/>
      <c r="G46" s="32"/>
      <c r="H46" s="32"/>
      <c r="I46" s="1" t="str">
        <f t="shared" si="1"/>
        <v/>
      </c>
      <c r="J46" s="1" t="str">
        <f t="shared" si="2"/>
        <v/>
      </c>
      <c r="K46" s="1" t="str">
        <f t="shared" si="3"/>
        <v/>
      </c>
      <c r="L46" s="8"/>
      <c r="M46" s="1" t="str">
        <f t="shared" si="4"/>
        <v/>
      </c>
      <c r="N46" s="1" t="str">
        <f t="shared" si="5"/>
        <v/>
      </c>
      <c r="O46" s="33" t="str">
        <f t="shared" si="6"/>
        <v/>
      </c>
      <c r="P46" s="34" t="str">
        <f>IF(B46="","",C46&amp;"|"&amp;ROUND(O46,2)&amp;"|"&amp;COUNTIFS($C$4:C46,C46,$O$4:O46,O46))</f>
        <v/>
      </c>
      <c r="Q46" s="34">
        <f t="shared" si="7"/>
        <v>0</v>
      </c>
      <c r="R46" s="34">
        <f t="shared" si="8"/>
        <v>0</v>
      </c>
      <c r="S46" s="34" t="str">
        <f>IF(AND(B46&lt;&gt;"",C46=CompteSel,N(B46)&lt;=DateArret,R46=0),MAX($S$3:S45)+1,"")</f>
        <v/>
      </c>
      <c r="T46" s="34">
        <f t="shared" si="9"/>
        <v>0</v>
      </c>
      <c r="U46" s="34">
        <f t="shared" si="10"/>
        <v>9</v>
      </c>
    </row>
    <row r="47" spans="1:21" x14ac:dyDescent="0.35">
      <c r="A47" s="1" t="str">
        <f t="shared" si="0"/>
        <v/>
      </c>
      <c r="B47" s="31"/>
      <c r="C47" s="8"/>
      <c r="D47" s="8"/>
      <c r="E47" s="8"/>
      <c r="F47" s="32"/>
      <c r="G47" s="32"/>
      <c r="H47" s="32"/>
      <c r="I47" s="1" t="str">
        <f t="shared" si="1"/>
        <v/>
      </c>
      <c r="J47" s="1" t="str">
        <f t="shared" si="2"/>
        <v/>
      </c>
      <c r="K47" s="1" t="str">
        <f t="shared" si="3"/>
        <v/>
      </c>
      <c r="L47" s="8"/>
      <c r="M47" s="1" t="str">
        <f t="shared" si="4"/>
        <v/>
      </c>
      <c r="N47" s="1" t="str">
        <f t="shared" si="5"/>
        <v/>
      </c>
      <c r="O47" s="33" t="str">
        <f t="shared" si="6"/>
        <v/>
      </c>
      <c r="P47" s="34" t="str">
        <f>IF(B47="","",C47&amp;"|"&amp;ROUND(O47,2)&amp;"|"&amp;COUNTIFS($C$4:C47,C47,$O$4:O47,O47))</f>
        <v/>
      </c>
      <c r="Q47" s="34">
        <f t="shared" si="7"/>
        <v>0</v>
      </c>
      <c r="R47" s="34">
        <f t="shared" si="8"/>
        <v>0</v>
      </c>
      <c r="S47" s="34" t="str">
        <f>IF(AND(B47&lt;&gt;"",C47=CompteSel,N(B47)&lt;=DateArret,R47=0),MAX($S$3:S46)+1,"")</f>
        <v/>
      </c>
      <c r="T47" s="34">
        <f t="shared" si="9"/>
        <v>0</v>
      </c>
      <c r="U47" s="34">
        <f t="shared" si="10"/>
        <v>9</v>
      </c>
    </row>
    <row r="48" spans="1:21" x14ac:dyDescent="0.35">
      <c r="A48" s="1" t="str">
        <f t="shared" si="0"/>
        <v/>
      </c>
      <c r="B48" s="31"/>
      <c r="C48" s="8"/>
      <c r="D48" s="8"/>
      <c r="E48" s="8"/>
      <c r="F48" s="32"/>
      <c r="G48" s="32"/>
      <c r="H48" s="32"/>
      <c r="I48" s="1" t="str">
        <f t="shared" si="1"/>
        <v/>
      </c>
      <c r="J48" s="1" t="str">
        <f t="shared" si="2"/>
        <v/>
      </c>
      <c r="K48" s="1" t="str">
        <f t="shared" si="3"/>
        <v/>
      </c>
      <c r="L48" s="8"/>
      <c r="M48" s="1" t="str">
        <f t="shared" si="4"/>
        <v/>
      </c>
      <c r="N48" s="1" t="str">
        <f t="shared" si="5"/>
        <v/>
      </c>
      <c r="O48" s="33" t="str">
        <f t="shared" si="6"/>
        <v/>
      </c>
      <c r="P48" s="34" t="str">
        <f>IF(B48="","",C48&amp;"|"&amp;ROUND(O48,2)&amp;"|"&amp;COUNTIFS($C$4:C48,C48,$O$4:O48,O48))</f>
        <v/>
      </c>
      <c r="Q48" s="34">
        <f t="shared" si="7"/>
        <v>0</v>
      </c>
      <c r="R48" s="34">
        <f t="shared" si="8"/>
        <v>0</v>
      </c>
      <c r="S48" s="34" t="str">
        <f>IF(AND(B48&lt;&gt;"",C48=CompteSel,N(B48)&lt;=DateArret,R48=0),MAX($S$3:S47)+1,"")</f>
        <v/>
      </c>
      <c r="T48" s="34">
        <f t="shared" si="9"/>
        <v>0</v>
      </c>
      <c r="U48" s="34">
        <f t="shared" si="10"/>
        <v>9</v>
      </c>
    </row>
    <row r="49" spans="1:21" x14ac:dyDescent="0.35">
      <c r="A49" s="1" t="str">
        <f t="shared" si="0"/>
        <v/>
      </c>
      <c r="B49" s="31"/>
      <c r="C49" s="8"/>
      <c r="D49" s="8"/>
      <c r="E49" s="8"/>
      <c r="F49" s="32"/>
      <c r="G49" s="32"/>
      <c r="H49" s="32"/>
      <c r="I49" s="1" t="str">
        <f t="shared" si="1"/>
        <v/>
      </c>
      <c r="J49" s="1" t="str">
        <f t="shared" si="2"/>
        <v/>
      </c>
      <c r="K49" s="1" t="str">
        <f t="shared" si="3"/>
        <v/>
      </c>
      <c r="L49" s="8"/>
      <c r="M49" s="1" t="str">
        <f t="shared" si="4"/>
        <v/>
      </c>
      <c r="N49" s="1" t="str">
        <f t="shared" si="5"/>
        <v/>
      </c>
      <c r="O49" s="33" t="str">
        <f t="shared" si="6"/>
        <v/>
      </c>
      <c r="P49" s="34" t="str">
        <f>IF(B49="","",C49&amp;"|"&amp;ROUND(O49,2)&amp;"|"&amp;COUNTIFS($C$4:C49,C49,$O$4:O49,O49))</f>
        <v/>
      </c>
      <c r="Q49" s="34">
        <f t="shared" si="7"/>
        <v>0</v>
      </c>
      <c r="R49" s="34">
        <f t="shared" si="8"/>
        <v>0</v>
      </c>
      <c r="S49" s="34" t="str">
        <f>IF(AND(B49&lt;&gt;"",C49=CompteSel,N(B49)&lt;=DateArret,R49=0),MAX($S$3:S48)+1,"")</f>
        <v/>
      </c>
      <c r="T49" s="34">
        <f t="shared" si="9"/>
        <v>0</v>
      </c>
      <c r="U49" s="34">
        <f t="shared" si="10"/>
        <v>9</v>
      </c>
    </row>
    <row r="50" spans="1:21" x14ac:dyDescent="0.35">
      <c r="A50" s="1" t="str">
        <f t="shared" si="0"/>
        <v/>
      </c>
      <c r="B50" s="31"/>
      <c r="C50" s="8"/>
      <c r="D50" s="8"/>
      <c r="E50" s="8"/>
      <c r="F50" s="32"/>
      <c r="G50" s="32"/>
      <c r="H50" s="32"/>
      <c r="I50" s="1" t="str">
        <f t="shared" si="1"/>
        <v/>
      </c>
      <c r="J50" s="1" t="str">
        <f t="shared" si="2"/>
        <v/>
      </c>
      <c r="K50" s="1" t="str">
        <f t="shared" si="3"/>
        <v/>
      </c>
      <c r="L50" s="8"/>
      <c r="M50" s="1" t="str">
        <f t="shared" si="4"/>
        <v/>
      </c>
      <c r="N50" s="1" t="str">
        <f t="shared" si="5"/>
        <v/>
      </c>
      <c r="O50" s="33" t="str">
        <f t="shared" si="6"/>
        <v/>
      </c>
      <c r="P50" s="34" t="str">
        <f>IF(B50="","",C50&amp;"|"&amp;ROUND(O50,2)&amp;"|"&amp;COUNTIFS($C$4:C50,C50,$O$4:O50,O50))</f>
        <v/>
      </c>
      <c r="Q50" s="34">
        <f t="shared" si="7"/>
        <v>0</v>
      </c>
      <c r="R50" s="34">
        <f t="shared" si="8"/>
        <v>0</v>
      </c>
      <c r="S50" s="34" t="str">
        <f>IF(AND(B50&lt;&gt;"",C50=CompteSel,N(B50)&lt;=DateArret,R50=0),MAX($S$3:S49)+1,"")</f>
        <v/>
      </c>
      <c r="T50" s="34">
        <f t="shared" si="9"/>
        <v>0</v>
      </c>
      <c r="U50" s="34">
        <f t="shared" si="10"/>
        <v>9</v>
      </c>
    </row>
    <row r="51" spans="1:21" x14ac:dyDescent="0.35">
      <c r="A51" s="1" t="str">
        <f t="shared" si="0"/>
        <v/>
      </c>
      <c r="B51" s="31"/>
      <c r="C51" s="8"/>
      <c r="D51" s="8"/>
      <c r="E51" s="8"/>
      <c r="F51" s="32"/>
      <c r="G51" s="32"/>
      <c r="H51" s="32"/>
      <c r="I51" s="1" t="str">
        <f t="shared" si="1"/>
        <v/>
      </c>
      <c r="J51" s="1" t="str">
        <f t="shared" si="2"/>
        <v/>
      </c>
      <c r="K51" s="1" t="str">
        <f t="shared" si="3"/>
        <v/>
      </c>
      <c r="L51" s="8"/>
      <c r="M51" s="1" t="str">
        <f t="shared" si="4"/>
        <v/>
      </c>
      <c r="N51" s="1" t="str">
        <f t="shared" si="5"/>
        <v/>
      </c>
      <c r="O51" s="33" t="str">
        <f t="shared" si="6"/>
        <v/>
      </c>
      <c r="P51" s="34" t="str">
        <f>IF(B51="","",C51&amp;"|"&amp;ROUND(O51,2)&amp;"|"&amp;COUNTIFS($C$4:C51,C51,$O$4:O51,O51))</f>
        <v/>
      </c>
      <c r="Q51" s="34">
        <f t="shared" si="7"/>
        <v>0</v>
      </c>
      <c r="R51" s="34">
        <f t="shared" si="8"/>
        <v>0</v>
      </c>
      <c r="S51" s="34" t="str">
        <f>IF(AND(B51&lt;&gt;"",C51=CompteSel,N(B51)&lt;=DateArret,R51=0),MAX($S$3:S50)+1,"")</f>
        <v/>
      </c>
      <c r="T51" s="34">
        <f t="shared" si="9"/>
        <v>0</v>
      </c>
      <c r="U51" s="34">
        <f t="shared" si="10"/>
        <v>9</v>
      </c>
    </row>
    <row r="52" spans="1:21" x14ac:dyDescent="0.35">
      <c r="A52" s="1" t="str">
        <f t="shared" si="0"/>
        <v/>
      </c>
      <c r="B52" s="31"/>
      <c r="C52" s="8"/>
      <c r="D52" s="8"/>
      <c r="E52" s="8"/>
      <c r="F52" s="32"/>
      <c r="G52" s="32"/>
      <c r="H52" s="32"/>
      <c r="I52" s="1" t="str">
        <f t="shared" si="1"/>
        <v/>
      </c>
      <c r="J52" s="1" t="str">
        <f t="shared" si="2"/>
        <v/>
      </c>
      <c r="K52" s="1" t="str">
        <f t="shared" si="3"/>
        <v/>
      </c>
      <c r="L52" s="8"/>
      <c r="M52" s="1" t="str">
        <f t="shared" si="4"/>
        <v/>
      </c>
      <c r="N52" s="1" t="str">
        <f t="shared" si="5"/>
        <v/>
      </c>
      <c r="O52" s="33" t="str">
        <f t="shared" si="6"/>
        <v/>
      </c>
      <c r="P52" s="34" t="str">
        <f>IF(B52="","",C52&amp;"|"&amp;ROUND(O52,2)&amp;"|"&amp;COUNTIFS($C$4:C52,C52,$O$4:O52,O52))</f>
        <v/>
      </c>
      <c r="Q52" s="34">
        <f t="shared" si="7"/>
        <v>0</v>
      </c>
      <c r="R52" s="34">
        <f t="shared" si="8"/>
        <v>0</v>
      </c>
      <c r="S52" s="34" t="str">
        <f>IF(AND(B52&lt;&gt;"",C52=CompteSel,N(B52)&lt;=DateArret,R52=0),MAX($S$3:S51)+1,"")</f>
        <v/>
      </c>
      <c r="T52" s="34">
        <f t="shared" si="9"/>
        <v>0</v>
      </c>
      <c r="U52" s="34">
        <f t="shared" si="10"/>
        <v>9</v>
      </c>
    </row>
    <row r="53" spans="1:21" x14ac:dyDescent="0.35">
      <c r="A53" s="1" t="str">
        <f t="shared" si="0"/>
        <v/>
      </c>
      <c r="B53" s="31"/>
      <c r="C53" s="8"/>
      <c r="D53" s="8"/>
      <c r="E53" s="8"/>
      <c r="F53" s="32"/>
      <c r="G53" s="32"/>
      <c r="H53" s="32"/>
      <c r="I53" s="1" t="str">
        <f t="shared" si="1"/>
        <v/>
      </c>
      <c r="J53" s="1" t="str">
        <f t="shared" si="2"/>
        <v/>
      </c>
      <c r="K53" s="1" t="str">
        <f t="shared" si="3"/>
        <v/>
      </c>
      <c r="L53" s="8"/>
      <c r="M53" s="1" t="str">
        <f t="shared" si="4"/>
        <v/>
      </c>
      <c r="N53" s="1" t="str">
        <f t="shared" si="5"/>
        <v/>
      </c>
      <c r="O53" s="33" t="str">
        <f t="shared" si="6"/>
        <v/>
      </c>
      <c r="P53" s="34" t="str">
        <f>IF(B53="","",C53&amp;"|"&amp;ROUND(O53,2)&amp;"|"&amp;COUNTIFS($C$4:C53,C53,$O$4:O53,O53))</f>
        <v/>
      </c>
      <c r="Q53" s="34">
        <f t="shared" si="7"/>
        <v>0</v>
      </c>
      <c r="R53" s="34">
        <f t="shared" si="8"/>
        <v>0</v>
      </c>
      <c r="S53" s="34" t="str">
        <f>IF(AND(B53&lt;&gt;"",C53=CompteSel,N(B53)&lt;=DateArret,R53=0),MAX($S$3:S52)+1,"")</f>
        <v/>
      </c>
      <c r="T53" s="34">
        <f t="shared" si="9"/>
        <v>0</v>
      </c>
      <c r="U53" s="34">
        <f t="shared" si="10"/>
        <v>9</v>
      </c>
    </row>
    <row r="54" spans="1:21" x14ac:dyDescent="0.35">
      <c r="A54" s="1" t="str">
        <f t="shared" si="0"/>
        <v/>
      </c>
      <c r="B54" s="31"/>
      <c r="C54" s="8"/>
      <c r="D54" s="8"/>
      <c r="E54" s="8"/>
      <c r="F54" s="32"/>
      <c r="G54" s="32"/>
      <c r="H54" s="32"/>
      <c r="I54" s="1" t="str">
        <f t="shared" si="1"/>
        <v/>
      </c>
      <c r="J54" s="1" t="str">
        <f t="shared" si="2"/>
        <v/>
      </c>
      <c r="K54" s="1" t="str">
        <f t="shared" si="3"/>
        <v/>
      </c>
      <c r="L54" s="8"/>
      <c r="M54" s="1" t="str">
        <f t="shared" si="4"/>
        <v/>
      </c>
      <c r="N54" s="1" t="str">
        <f t="shared" si="5"/>
        <v/>
      </c>
      <c r="O54" s="33" t="str">
        <f t="shared" si="6"/>
        <v/>
      </c>
      <c r="P54" s="34" t="str">
        <f>IF(B54="","",C54&amp;"|"&amp;ROUND(O54,2)&amp;"|"&amp;COUNTIFS($C$4:C54,C54,$O$4:O54,O54))</f>
        <v/>
      </c>
      <c r="Q54" s="34">
        <f t="shared" si="7"/>
        <v>0</v>
      </c>
      <c r="R54" s="34">
        <f t="shared" si="8"/>
        <v>0</v>
      </c>
      <c r="S54" s="34" t="str">
        <f>IF(AND(B54&lt;&gt;"",C54=CompteSel,N(B54)&lt;=DateArret,R54=0),MAX($S$3:S53)+1,"")</f>
        <v/>
      </c>
      <c r="T54" s="34">
        <f t="shared" si="9"/>
        <v>0</v>
      </c>
      <c r="U54" s="34">
        <f t="shared" si="10"/>
        <v>9</v>
      </c>
    </row>
    <row r="55" spans="1:21" x14ac:dyDescent="0.35">
      <c r="A55" s="1" t="str">
        <f t="shared" si="0"/>
        <v/>
      </c>
      <c r="B55" s="31"/>
      <c r="C55" s="8"/>
      <c r="D55" s="8"/>
      <c r="E55" s="8"/>
      <c r="F55" s="32"/>
      <c r="G55" s="32"/>
      <c r="H55" s="32"/>
      <c r="I55" s="1" t="str">
        <f t="shared" si="1"/>
        <v/>
      </c>
      <c r="J55" s="1" t="str">
        <f t="shared" si="2"/>
        <v/>
      </c>
      <c r="K55" s="1" t="str">
        <f t="shared" si="3"/>
        <v/>
      </c>
      <c r="L55" s="8"/>
      <c r="M55" s="1" t="str">
        <f t="shared" si="4"/>
        <v/>
      </c>
      <c r="N55" s="1" t="str">
        <f t="shared" si="5"/>
        <v/>
      </c>
      <c r="O55" s="33" t="str">
        <f t="shared" si="6"/>
        <v/>
      </c>
      <c r="P55" s="34" t="str">
        <f>IF(B55="","",C55&amp;"|"&amp;ROUND(O55,2)&amp;"|"&amp;COUNTIFS($C$4:C55,C55,$O$4:O55,O55))</f>
        <v/>
      </c>
      <c r="Q55" s="34">
        <f t="shared" si="7"/>
        <v>0</v>
      </c>
      <c r="R55" s="34">
        <f t="shared" si="8"/>
        <v>0</v>
      </c>
      <c r="S55" s="34" t="str">
        <f>IF(AND(B55&lt;&gt;"",C55=CompteSel,N(B55)&lt;=DateArret,R55=0),MAX($S$3:S54)+1,"")</f>
        <v/>
      </c>
      <c r="T55" s="34">
        <f t="shared" si="9"/>
        <v>0</v>
      </c>
      <c r="U55" s="34">
        <f t="shared" si="10"/>
        <v>9</v>
      </c>
    </row>
    <row r="56" spans="1:21" x14ac:dyDescent="0.35">
      <c r="A56" s="1" t="str">
        <f t="shared" si="0"/>
        <v/>
      </c>
      <c r="B56" s="31"/>
      <c r="C56" s="8"/>
      <c r="D56" s="8"/>
      <c r="E56" s="8"/>
      <c r="F56" s="32"/>
      <c r="G56" s="32"/>
      <c r="H56" s="32"/>
      <c r="I56" s="1" t="str">
        <f t="shared" si="1"/>
        <v/>
      </c>
      <c r="J56" s="1" t="str">
        <f t="shared" si="2"/>
        <v/>
      </c>
      <c r="K56" s="1" t="str">
        <f t="shared" si="3"/>
        <v/>
      </c>
      <c r="L56" s="8"/>
      <c r="M56" s="1" t="str">
        <f t="shared" si="4"/>
        <v/>
      </c>
      <c r="N56" s="1" t="str">
        <f t="shared" si="5"/>
        <v/>
      </c>
      <c r="O56" s="33" t="str">
        <f t="shared" si="6"/>
        <v/>
      </c>
      <c r="P56" s="34" t="str">
        <f>IF(B56="","",C56&amp;"|"&amp;ROUND(O56,2)&amp;"|"&amp;COUNTIFS($C$4:C56,C56,$O$4:O56,O56))</f>
        <v/>
      </c>
      <c r="Q56" s="34">
        <f t="shared" si="7"/>
        <v>0</v>
      </c>
      <c r="R56" s="34">
        <f t="shared" si="8"/>
        <v>0</v>
      </c>
      <c r="S56" s="34" t="str">
        <f>IF(AND(B56&lt;&gt;"",C56=CompteSel,N(B56)&lt;=DateArret,R56=0),MAX($S$3:S55)+1,"")</f>
        <v/>
      </c>
      <c r="T56" s="34">
        <f t="shared" si="9"/>
        <v>0</v>
      </c>
      <c r="U56" s="34">
        <f t="shared" si="10"/>
        <v>9</v>
      </c>
    </row>
    <row r="57" spans="1:21" x14ac:dyDescent="0.35">
      <c r="A57" s="1" t="str">
        <f t="shared" si="0"/>
        <v/>
      </c>
      <c r="B57" s="31"/>
      <c r="C57" s="8"/>
      <c r="D57" s="8"/>
      <c r="E57" s="8"/>
      <c r="F57" s="32"/>
      <c r="G57" s="32"/>
      <c r="H57" s="32"/>
      <c r="I57" s="1" t="str">
        <f t="shared" si="1"/>
        <v/>
      </c>
      <c r="J57" s="1" t="str">
        <f t="shared" si="2"/>
        <v/>
      </c>
      <c r="K57" s="1" t="str">
        <f t="shared" si="3"/>
        <v/>
      </c>
      <c r="L57" s="8"/>
      <c r="M57" s="1" t="str">
        <f t="shared" si="4"/>
        <v/>
      </c>
      <c r="N57" s="1" t="str">
        <f t="shared" si="5"/>
        <v/>
      </c>
      <c r="O57" s="33" t="str">
        <f t="shared" si="6"/>
        <v/>
      </c>
      <c r="P57" s="34" t="str">
        <f>IF(B57="","",C57&amp;"|"&amp;ROUND(O57,2)&amp;"|"&amp;COUNTIFS($C$4:C57,C57,$O$4:O57,O57))</f>
        <v/>
      </c>
      <c r="Q57" s="34">
        <f t="shared" si="7"/>
        <v>0</v>
      </c>
      <c r="R57" s="34">
        <f t="shared" si="8"/>
        <v>0</v>
      </c>
      <c r="S57" s="34" t="str">
        <f>IF(AND(B57&lt;&gt;"",C57=CompteSel,N(B57)&lt;=DateArret,R57=0),MAX($S$3:S56)+1,"")</f>
        <v/>
      </c>
      <c r="T57" s="34">
        <f t="shared" si="9"/>
        <v>0</v>
      </c>
      <c r="U57" s="34">
        <f t="shared" si="10"/>
        <v>9</v>
      </c>
    </row>
    <row r="58" spans="1:21" x14ac:dyDescent="0.35">
      <c r="A58" s="1" t="str">
        <f t="shared" si="0"/>
        <v/>
      </c>
      <c r="B58" s="31"/>
      <c r="C58" s="8"/>
      <c r="D58" s="8"/>
      <c r="E58" s="8"/>
      <c r="F58" s="32"/>
      <c r="G58" s="32"/>
      <c r="H58" s="32"/>
      <c r="I58" s="1" t="str">
        <f t="shared" si="1"/>
        <v/>
      </c>
      <c r="J58" s="1" t="str">
        <f t="shared" si="2"/>
        <v/>
      </c>
      <c r="K58" s="1" t="str">
        <f t="shared" si="3"/>
        <v/>
      </c>
      <c r="L58" s="8"/>
      <c r="M58" s="1" t="str">
        <f t="shared" si="4"/>
        <v/>
      </c>
      <c r="N58" s="1" t="str">
        <f t="shared" si="5"/>
        <v/>
      </c>
      <c r="O58" s="33" t="str">
        <f t="shared" si="6"/>
        <v/>
      </c>
      <c r="P58" s="34" t="str">
        <f>IF(B58="","",C58&amp;"|"&amp;ROUND(O58,2)&amp;"|"&amp;COUNTIFS($C$4:C58,C58,$O$4:O58,O58))</f>
        <v/>
      </c>
      <c r="Q58" s="34">
        <f t="shared" si="7"/>
        <v>0</v>
      </c>
      <c r="R58" s="34">
        <f t="shared" si="8"/>
        <v>0</v>
      </c>
      <c r="S58" s="34" t="str">
        <f>IF(AND(B58&lt;&gt;"",C58=CompteSel,N(B58)&lt;=DateArret,R58=0),MAX($S$3:S57)+1,"")</f>
        <v/>
      </c>
      <c r="T58" s="34">
        <f t="shared" si="9"/>
        <v>0</v>
      </c>
      <c r="U58" s="34">
        <f t="shared" si="10"/>
        <v>9</v>
      </c>
    </row>
    <row r="59" spans="1:21" x14ac:dyDescent="0.35">
      <c r="A59" s="1" t="str">
        <f t="shared" si="0"/>
        <v/>
      </c>
      <c r="B59" s="31"/>
      <c r="C59" s="8"/>
      <c r="D59" s="8"/>
      <c r="E59" s="8"/>
      <c r="F59" s="32"/>
      <c r="G59" s="32"/>
      <c r="H59" s="32"/>
      <c r="I59" s="1" t="str">
        <f t="shared" si="1"/>
        <v/>
      </c>
      <c r="J59" s="1" t="str">
        <f t="shared" si="2"/>
        <v/>
      </c>
      <c r="K59" s="1" t="str">
        <f t="shared" si="3"/>
        <v/>
      </c>
      <c r="L59" s="8"/>
      <c r="M59" s="1" t="str">
        <f t="shared" si="4"/>
        <v/>
      </c>
      <c r="N59" s="1" t="str">
        <f t="shared" si="5"/>
        <v/>
      </c>
      <c r="O59" s="33" t="str">
        <f t="shared" si="6"/>
        <v/>
      </c>
      <c r="P59" s="34" t="str">
        <f>IF(B59="","",C59&amp;"|"&amp;ROUND(O59,2)&amp;"|"&amp;COUNTIFS($C$4:C59,C59,$O$4:O59,O59))</f>
        <v/>
      </c>
      <c r="Q59" s="34">
        <f t="shared" si="7"/>
        <v>0</v>
      </c>
      <c r="R59" s="34">
        <f t="shared" si="8"/>
        <v>0</v>
      </c>
      <c r="S59" s="34" t="str">
        <f>IF(AND(B59&lt;&gt;"",C59=CompteSel,N(B59)&lt;=DateArret,R59=0),MAX($S$3:S58)+1,"")</f>
        <v/>
      </c>
      <c r="T59" s="34">
        <f t="shared" si="9"/>
        <v>0</v>
      </c>
      <c r="U59" s="34">
        <f t="shared" si="10"/>
        <v>9</v>
      </c>
    </row>
    <row r="60" spans="1:21" x14ac:dyDescent="0.35">
      <c r="A60" s="1" t="str">
        <f t="shared" si="0"/>
        <v/>
      </c>
      <c r="B60" s="31"/>
      <c r="C60" s="8"/>
      <c r="D60" s="8"/>
      <c r="E60" s="8"/>
      <c r="F60" s="32"/>
      <c r="G60" s="32"/>
      <c r="H60" s="32"/>
      <c r="I60" s="1" t="str">
        <f t="shared" si="1"/>
        <v/>
      </c>
      <c r="J60" s="1" t="str">
        <f t="shared" si="2"/>
        <v/>
      </c>
      <c r="K60" s="1" t="str">
        <f t="shared" si="3"/>
        <v/>
      </c>
      <c r="L60" s="8"/>
      <c r="M60" s="1" t="str">
        <f t="shared" si="4"/>
        <v/>
      </c>
      <c r="N60" s="1" t="str">
        <f t="shared" si="5"/>
        <v/>
      </c>
      <c r="O60" s="33" t="str">
        <f t="shared" si="6"/>
        <v/>
      </c>
      <c r="P60" s="34" t="str">
        <f>IF(B60="","",C60&amp;"|"&amp;ROUND(O60,2)&amp;"|"&amp;COUNTIFS($C$4:C60,C60,$O$4:O60,O60))</f>
        <v/>
      </c>
      <c r="Q60" s="34">
        <f t="shared" si="7"/>
        <v>0</v>
      </c>
      <c r="R60" s="34">
        <f t="shared" si="8"/>
        <v>0</v>
      </c>
      <c r="S60" s="34" t="str">
        <f>IF(AND(B60&lt;&gt;"",C60=CompteSel,N(B60)&lt;=DateArret,R60=0),MAX($S$3:S59)+1,"")</f>
        <v/>
      </c>
      <c r="T60" s="34">
        <f t="shared" si="9"/>
        <v>0</v>
      </c>
      <c r="U60" s="34">
        <f t="shared" si="10"/>
        <v>9</v>
      </c>
    </row>
    <row r="61" spans="1:21" x14ac:dyDescent="0.35">
      <c r="A61" s="1" t="str">
        <f t="shared" si="0"/>
        <v/>
      </c>
      <c r="B61" s="31"/>
      <c r="C61" s="8"/>
      <c r="D61" s="8"/>
      <c r="E61" s="8"/>
      <c r="F61" s="32"/>
      <c r="G61" s="32"/>
      <c r="H61" s="32"/>
      <c r="I61" s="1" t="str">
        <f t="shared" si="1"/>
        <v/>
      </c>
      <c r="J61" s="1" t="str">
        <f t="shared" si="2"/>
        <v/>
      </c>
      <c r="K61" s="1" t="str">
        <f t="shared" si="3"/>
        <v/>
      </c>
      <c r="L61" s="8"/>
      <c r="M61" s="1" t="str">
        <f t="shared" si="4"/>
        <v/>
      </c>
      <c r="N61" s="1" t="str">
        <f t="shared" si="5"/>
        <v/>
      </c>
      <c r="O61" s="33" t="str">
        <f t="shared" si="6"/>
        <v/>
      </c>
      <c r="P61" s="34" t="str">
        <f>IF(B61="","",C61&amp;"|"&amp;ROUND(O61,2)&amp;"|"&amp;COUNTIFS($C$4:C61,C61,$O$4:O61,O61))</f>
        <v/>
      </c>
      <c r="Q61" s="34">
        <f t="shared" si="7"/>
        <v>0</v>
      </c>
      <c r="R61" s="34">
        <f t="shared" si="8"/>
        <v>0</v>
      </c>
      <c r="S61" s="34" t="str">
        <f>IF(AND(B61&lt;&gt;"",C61=CompteSel,N(B61)&lt;=DateArret,R61=0),MAX($S$3:S60)+1,"")</f>
        <v/>
      </c>
      <c r="T61" s="34">
        <f t="shared" si="9"/>
        <v>0</v>
      </c>
      <c r="U61" s="34">
        <f t="shared" si="10"/>
        <v>9</v>
      </c>
    </row>
    <row r="62" spans="1:21" x14ac:dyDescent="0.35">
      <c r="A62" s="1" t="str">
        <f t="shared" si="0"/>
        <v/>
      </c>
      <c r="B62" s="31"/>
      <c r="C62" s="8"/>
      <c r="D62" s="8"/>
      <c r="E62" s="8"/>
      <c r="F62" s="32"/>
      <c r="G62" s="32"/>
      <c r="H62" s="32"/>
      <c r="I62" s="1" t="str">
        <f t="shared" si="1"/>
        <v/>
      </c>
      <c r="J62" s="1" t="str">
        <f t="shared" si="2"/>
        <v/>
      </c>
      <c r="K62" s="1" t="str">
        <f t="shared" si="3"/>
        <v/>
      </c>
      <c r="L62" s="8"/>
      <c r="M62" s="1" t="str">
        <f t="shared" si="4"/>
        <v/>
      </c>
      <c r="N62" s="1" t="str">
        <f t="shared" si="5"/>
        <v/>
      </c>
      <c r="O62" s="33" t="str">
        <f t="shared" si="6"/>
        <v/>
      </c>
      <c r="P62" s="34" t="str">
        <f>IF(B62="","",C62&amp;"|"&amp;ROUND(O62,2)&amp;"|"&amp;COUNTIFS($C$4:C62,C62,$O$4:O62,O62))</f>
        <v/>
      </c>
      <c r="Q62" s="34">
        <f t="shared" si="7"/>
        <v>0</v>
      </c>
      <c r="R62" s="34">
        <f t="shared" si="8"/>
        <v>0</v>
      </c>
      <c r="S62" s="34" t="str">
        <f>IF(AND(B62&lt;&gt;"",C62=CompteSel,N(B62)&lt;=DateArret,R62=0),MAX($S$3:S61)+1,"")</f>
        <v/>
      </c>
      <c r="T62" s="34">
        <f t="shared" si="9"/>
        <v>0</v>
      </c>
      <c r="U62" s="34">
        <f t="shared" si="10"/>
        <v>9</v>
      </c>
    </row>
    <row r="63" spans="1:21" x14ac:dyDescent="0.35">
      <c r="A63" s="1" t="str">
        <f t="shared" si="0"/>
        <v/>
      </c>
      <c r="B63" s="31"/>
      <c r="C63" s="8"/>
      <c r="D63" s="8"/>
      <c r="E63" s="8"/>
      <c r="F63" s="32"/>
      <c r="G63" s="32"/>
      <c r="H63" s="32"/>
      <c r="I63" s="1" t="str">
        <f t="shared" si="1"/>
        <v/>
      </c>
      <c r="J63" s="1" t="str">
        <f t="shared" si="2"/>
        <v/>
      </c>
      <c r="K63" s="1" t="str">
        <f t="shared" si="3"/>
        <v/>
      </c>
      <c r="L63" s="8"/>
      <c r="M63" s="1" t="str">
        <f t="shared" si="4"/>
        <v/>
      </c>
      <c r="N63" s="1" t="str">
        <f t="shared" si="5"/>
        <v/>
      </c>
      <c r="O63" s="33" t="str">
        <f t="shared" si="6"/>
        <v/>
      </c>
      <c r="P63" s="34" t="str">
        <f>IF(B63="","",C63&amp;"|"&amp;ROUND(O63,2)&amp;"|"&amp;COUNTIFS($C$4:C63,C63,$O$4:O63,O63))</f>
        <v/>
      </c>
      <c r="Q63" s="34">
        <f t="shared" si="7"/>
        <v>0</v>
      </c>
      <c r="R63" s="34">
        <f t="shared" si="8"/>
        <v>0</v>
      </c>
      <c r="S63" s="34" t="str">
        <f>IF(AND(B63&lt;&gt;"",C63=CompteSel,N(B63)&lt;=DateArret,R63=0),MAX($S$3:S62)+1,"")</f>
        <v/>
      </c>
      <c r="T63" s="34">
        <f t="shared" si="9"/>
        <v>0</v>
      </c>
      <c r="U63" s="34">
        <f t="shared" si="10"/>
        <v>9</v>
      </c>
    </row>
    <row r="64" spans="1:21" x14ac:dyDescent="0.35">
      <c r="A64" s="1" t="str">
        <f t="shared" si="0"/>
        <v/>
      </c>
      <c r="B64" s="31"/>
      <c r="C64" s="8"/>
      <c r="D64" s="8"/>
      <c r="E64" s="8"/>
      <c r="F64" s="32"/>
      <c r="G64" s="32"/>
      <c r="H64" s="32"/>
      <c r="I64" s="1" t="str">
        <f t="shared" si="1"/>
        <v/>
      </c>
      <c r="J64" s="1" t="str">
        <f t="shared" si="2"/>
        <v/>
      </c>
      <c r="K64" s="1" t="str">
        <f t="shared" si="3"/>
        <v/>
      </c>
      <c r="L64" s="8"/>
      <c r="M64" s="1" t="str">
        <f t="shared" si="4"/>
        <v/>
      </c>
      <c r="N64" s="1" t="str">
        <f t="shared" si="5"/>
        <v/>
      </c>
      <c r="O64" s="33" t="str">
        <f t="shared" si="6"/>
        <v/>
      </c>
      <c r="P64" s="34" t="str">
        <f>IF(B64="","",C64&amp;"|"&amp;ROUND(O64,2)&amp;"|"&amp;COUNTIFS($C$4:C64,C64,$O$4:O64,O64))</f>
        <v/>
      </c>
      <c r="Q64" s="34">
        <f t="shared" si="7"/>
        <v>0</v>
      </c>
      <c r="R64" s="34">
        <f t="shared" si="8"/>
        <v>0</v>
      </c>
      <c r="S64" s="34" t="str">
        <f>IF(AND(B64&lt;&gt;"",C64=CompteSel,N(B64)&lt;=DateArret,R64=0),MAX($S$3:S63)+1,"")</f>
        <v/>
      </c>
      <c r="T64" s="34">
        <f t="shared" si="9"/>
        <v>0</v>
      </c>
      <c r="U64" s="34">
        <f t="shared" si="10"/>
        <v>9</v>
      </c>
    </row>
    <row r="65" spans="1:21" x14ac:dyDescent="0.35">
      <c r="A65" s="1" t="str">
        <f t="shared" si="0"/>
        <v/>
      </c>
      <c r="B65" s="31"/>
      <c r="C65" s="8"/>
      <c r="D65" s="8"/>
      <c r="E65" s="8"/>
      <c r="F65" s="32"/>
      <c r="G65" s="32"/>
      <c r="H65" s="32"/>
      <c r="I65" s="1" t="str">
        <f t="shared" si="1"/>
        <v/>
      </c>
      <c r="J65" s="1" t="str">
        <f t="shared" si="2"/>
        <v/>
      </c>
      <c r="K65" s="1" t="str">
        <f t="shared" si="3"/>
        <v/>
      </c>
      <c r="L65" s="8"/>
      <c r="M65" s="1" t="str">
        <f t="shared" si="4"/>
        <v/>
      </c>
      <c r="N65" s="1" t="str">
        <f t="shared" si="5"/>
        <v/>
      </c>
      <c r="O65" s="33" t="str">
        <f t="shared" si="6"/>
        <v/>
      </c>
      <c r="P65" s="34" t="str">
        <f>IF(B65="","",C65&amp;"|"&amp;ROUND(O65,2)&amp;"|"&amp;COUNTIFS($C$4:C65,C65,$O$4:O65,O65))</f>
        <v/>
      </c>
      <c r="Q65" s="34">
        <f t="shared" si="7"/>
        <v>0</v>
      </c>
      <c r="R65" s="34">
        <f t="shared" si="8"/>
        <v>0</v>
      </c>
      <c r="S65" s="34" t="str">
        <f>IF(AND(B65&lt;&gt;"",C65=CompteSel,N(B65)&lt;=DateArret,R65=0),MAX($S$3:S64)+1,"")</f>
        <v/>
      </c>
      <c r="T65" s="34">
        <f t="shared" si="9"/>
        <v>0</v>
      </c>
      <c r="U65" s="34">
        <f t="shared" si="10"/>
        <v>9</v>
      </c>
    </row>
    <row r="66" spans="1:21" x14ac:dyDescent="0.35">
      <c r="A66" s="1" t="str">
        <f t="shared" si="0"/>
        <v/>
      </c>
      <c r="B66" s="31"/>
      <c r="C66" s="8"/>
      <c r="D66" s="8"/>
      <c r="E66" s="8"/>
      <c r="F66" s="32"/>
      <c r="G66" s="32"/>
      <c r="H66" s="32"/>
      <c r="I66" s="1" t="str">
        <f t="shared" si="1"/>
        <v/>
      </c>
      <c r="J66" s="1" t="str">
        <f t="shared" si="2"/>
        <v/>
      </c>
      <c r="K66" s="1" t="str">
        <f t="shared" si="3"/>
        <v/>
      </c>
      <c r="L66" s="8"/>
      <c r="M66" s="1" t="str">
        <f t="shared" si="4"/>
        <v/>
      </c>
      <c r="N66" s="1" t="str">
        <f t="shared" si="5"/>
        <v/>
      </c>
      <c r="O66" s="33" t="str">
        <f t="shared" si="6"/>
        <v/>
      </c>
      <c r="P66" s="34" t="str">
        <f>IF(B66="","",C66&amp;"|"&amp;ROUND(O66,2)&amp;"|"&amp;COUNTIFS($C$4:C66,C66,$O$4:O66,O66))</f>
        <v/>
      </c>
      <c r="Q66" s="34">
        <f t="shared" si="7"/>
        <v>0</v>
      </c>
      <c r="R66" s="34">
        <f t="shared" si="8"/>
        <v>0</v>
      </c>
      <c r="S66" s="34" t="str">
        <f>IF(AND(B66&lt;&gt;"",C66=CompteSel,N(B66)&lt;=DateArret,R66=0),MAX($S$3:S65)+1,"")</f>
        <v/>
      </c>
      <c r="T66" s="34">
        <f t="shared" si="9"/>
        <v>0</v>
      </c>
      <c r="U66" s="34">
        <f t="shared" si="10"/>
        <v>9</v>
      </c>
    </row>
    <row r="67" spans="1:21" x14ac:dyDescent="0.35">
      <c r="A67" s="1" t="str">
        <f t="shared" si="0"/>
        <v/>
      </c>
      <c r="B67" s="31"/>
      <c r="C67" s="8"/>
      <c r="D67" s="8"/>
      <c r="E67" s="8"/>
      <c r="F67" s="32"/>
      <c r="G67" s="32"/>
      <c r="H67" s="32"/>
      <c r="I67" s="1" t="str">
        <f t="shared" si="1"/>
        <v/>
      </c>
      <c r="J67" s="1" t="str">
        <f t="shared" si="2"/>
        <v/>
      </c>
      <c r="K67" s="1" t="str">
        <f t="shared" si="3"/>
        <v/>
      </c>
      <c r="L67" s="8"/>
      <c r="M67" s="1" t="str">
        <f t="shared" si="4"/>
        <v/>
      </c>
      <c r="N67" s="1" t="str">
        <f t="shared" si="5"/>
        <v/>
      </c>
      <c r="O67" s="33" t="str">
        <f t="shared" si="6"/>
        <v/>
      </c>
      <c r="P67" s="34" t="str">
        <f>IF(B67="","",C67&amp;"|"&amp;ROUND(O67,2)&amp;"|"&amp;COUNTIFS($C$4:C67,C67,$O$4:O67,O67))</f>
        <v/>
      </c>
      <c r="Q67" s="34">
        <f t="shared" si="7"/>
        <v>0</v>
      </c>
      <c r="R67" s="34">
        <f t="shared" si="8"/>
        <v>0</v>
      </c>
      <c r="S67" s="34" t="str">
        <f>IF(AND(B67&lt;&gt;"",C67=CompteSel,N(B67)&lt;=DateArret,R67=0),MAX($S$3:S66)+1,"")</f>
        <v/>
      </c>
      <c r="T67" s="34">
        <f t="shared" si="9"/>
        <v>0</v>
      </c>
      <c r="U67" s="34">
        <f t="shared" si="10"/>
        <v>9</v>
      </c>
    </row>
    <row r="68" spans="1:21" x14ac:dyDescent="0.35">
      <c r="A68" s="1" t="str">
        <f t="shared" ref="A68:A131" si="11">IF(B68="","",ROW()-3)</f>
        <v/>
      </c>
      <c r="B68" s="31"/>
      <c r="C68" s="8"/>
      <c r="D68" s="8"/>
      <c r="E68" s="8"/>
      <c r="F68" s="32"/>
      <c r="G68" s="32"/>
      <c r="H68" s="32"/>
      <c r="I68" s="1" t="str">
        <f t="shared" ref="I68:I131" si="12">IF(B68="","",IF(L68="Écart","Écart",IF(K68="","Non rapproché",INDEX(L_Statut,K68))))</f>
        <v/>
      </c>
      <c r="J68" s="1" t="str">
        <f t="shared" ref="J68:J131" si="13">IF(K68="","",INDEX(L_Score,K68))</f>
        <v/>
      </c>
      <c r="K68" s="1" t="str">
        <f t="shared" ref="K68:K131" si="14">IF(B68="","",IFERROR(MATCH(A68,L_Banque,0),""))</f>
        <v/>
      </c>
      <c r="L68" s="8"/>
      <c r="M68" s="1" t="str">
        <f t="shared" ref="M68:M131" si="15">IF(K68="","",INDEX(L_DJ,K68))</f>
        <v/>
      </c>
      <c r="N68" s="1" t="str">
        <f t="shared" ref="N68:N131" si="16">IF(B68="","",IF(COUNTIFS($C$4:$C$503,C68,$B$4:$B$503,B68,$O$4:$O$503,O68)&gt;1,"Doublon ?",""))</f>
        <v/>
      </c>
      <c r="O68" s="33" t="str">
        <f t="shared" ref="O68:O131" si="17">IF(B68="","",N(G68)-N(F68))</f>
        <v/>
      </c>
      <c r="P68" s="34" t="str">
        <f>IF(B68="","",C68&amp;"|"&amp;ROUND(O68,2)&amp;"|"&amp;COUNTIFS($C$4:C68,C68,$O$4:O68,O68))</f>
        <v/>
      </c>
      <c r="Q68" s="34">
        <f t="shared" ref="Q68:Q131" si="18">IF(B68="",0,IF(COUNTIFS(L_CandExact,A68,L_ExactOK,1)&gt;0,1,0))</f>
        <v>0</v>
      </c>
      <c r="R68" s="34">
        <f t="shared" ref="R68:R131" si="19">IF(OR(I68="Rapproché",I68="Manuel"),1,0)</f>
        <v>0</v>
      </c>
      <c r="S68" s="34" t="str">
        <f>IF(AND(B68&lt;&gt;"",C68=CompteSel,N(B68)&lt;=DateArret,R68=0),MAX($S$3:S67)+1,"")</f>
        <v/>
      </c>
      <c r="T68" s="34">
        <f t="shared" ref="T68:T131" si="20">IF(AND(B68&lt;&gt;"",C68=CompteSel,N(B68)&lt;=DateArret,H68&lt;&gt;""),A68,0)</f>
        <v>0</v>
      </c>
      <c r="U68" s="34">
        <f t="shared" ref="U68:U131" si="21">IF(B68="",9,SIGN(O68))</f>
        <v>9</v>
      </c>
    </row>
    <row r="69" spans="1:21" x14ac:dyDescent="0.35">
      <c r="A69" s="1" t="str">
        <f t="shared" si="11"/>
        <v/>
      </c>
      <c r="B69" s="31"/>
      <c r="C69" s="8"/>
      <c r="D69" s="8"/>
      <c r="E69" s="8"/>
      <c r="F69" s="32"/>
      <c r="G69" s="32"/>
      <c r="H69" s="32"/>
      <c r="I69" s="1" t="str">
        <f t="shared" si="12"/>
        <v/>
      </c>
      <c r="J69" s="1" t="str">
        <f t="shared" si="13"/>
        <v/>
      </c>
      <c r="K69" s="1" t="str">
        <f t="shared" si="14"/>
        <v/>
      </c>
      <c r="L69" s="8"/>
      <c r="M69" s="1" t="str">
        <f t="shared" si="15"/>
        <v/>
      </c>
      <c r="N69" s="1" t="str">
        <f t="shared" si="16"/>
        <v/>
      </c>
      <c r="O69" s="33" t="str">
        <f t="shared" si="17"/>
        <v/>
      </c>
      <c r="P69" s="34" t="str">
        <f>IF(B69="","",C69&amp;"|"&amp;ROUND(O69,2)&amp;"|"&amp;COUNTIFS($C$4:C69,C69,$O$4:O69,O69))</f>
        <v/>
      </c>
      <c r="Q69" s="34">
        <f t="shared" si="18"/>
        <v>0</v>
      </c>
      <c r="R69" s="34">
        <f t="shared" si="19"/>
        <v>0</v>
      </c>
      <c r="S69" s="34" t="str">
        <f>IF(AND(B69&lt;&gt;"",C69=CompteSel,N(B69)&lt;=DateArret,R69=0),MAX($S$3:S68)+1,"")</f>
        <v/>
      </c>
      <c r="T69" s="34">
        <f t="shared" si="20"/>
        <v>0</v>
      </c>
      <c r="U69" s="34">
        <f t="shared" si="21"/>
        <v>9</v>
      </c>
    </row>
    <row r="70" spans="1:21" x14ac:dyDescent="0.35">
      <c r="A70" s="1" t="str">
        <f t="shared" si="11"/>
        <v/>
      </c>
      <c r="B70" s="31"/>
      <c r="C70" s="8"/>
      <c r="D70" s="8"/>
      <c r="E70" s="8"/>
      <c r="F70" s="32"/>
      <c r="G70" s="32"/>
      <c r="H70" s="32"/>
      <c r="I70" s="1" t="str">
        <f t="shared" si="12"/>
        <v/>
      </c>
      <c r="J70" s="1" t="str">
        <f t="shared" si="13"/>
        <v/>
      </c>
      <c r="K70" s="1" t="str">
        <f t="shared" si="14"/>
        <v/>
      </c>
      <c r="L70" s="8"/>
      <c r="M70" s="1" t="str">
        <f t="shared" si="15"/>
        <v/>
      </c>
      <c r="N70" s="1" t="str">
        <f t="shared" si="16"/>
        <v/>
      </c>
      <c r="O70" s="33" t="str">
        <f t="shared" si="17"/>
        <v/>
      </c>
      <c r="P70" s="34" t="str">
        <f>IF(B70="","",C70&amp;"|"&amp;ROUND(O70,2)&amp;"|"&amp;COUNTIFS($C$4:C70,C70,$O$4:O70,O70))</f>
        <v/>
      </c>
      <c r="Q70" s="34">
        <f t="shared" si="18"/>
        <v>0</v>
      </c>
      <c r="R70" s="34">
        <f t="shared" si="19"/>
        <v>0</v>
      </c>
      <c r="S70" s="34" t="str">
        <f>IF(AND(B70&lt;&gt;"",C70=CompteSel,N(B70)&lt;=DateArret,R70=0),MAX($S$3:S69)+1,"")</f>
        <v/>
      </c>
      <c r="T70" s="34">
        <f t="shared" si="20"/>
        <v>0</v>
      </c>
      <c r="U70" s="34">
        <f t="shared" si="21"/>
        <v>9</v>
      </c>
    </row>
    <row r="71" spans="1:21" x14ac:dyDescent="0.35">
      <c r="A71" s="1" t="str">
        <f t="shared" si="11"/>
        <v/>
      </c>
      <c r="B71" s="31"/>
      <c r="C71" s="8"/>
      <c r="D71" s="8"/>
      <c r="E71" s="8"/>
      <c r="F71" s="32"/>
      <c r="G71" s="32"/>
      <c r="H71" s="32"/>
      <c r="I71" s="1" t="str">
        <f t="shared" si="12"/>
        <v/>
      </c>
      <c r="J71" s="1" t="str">
        <f t="shared" si="13"/>
        <v/>
      </c>
      <c r="K71" s="1" t="str">
        <f t="shared" si="14"/>
        <v/>
      </c>
      <c r="L71" s="8"/>
      <c r="M71" s="1" t="str">
        <f t="shared" si="15"/>
        <v/>
      </c>
      <c r="N71" s="1" t="str">
        <f t="shared" si="16"/>
        <v/>
      </c>
      <c r="O71" s="33" t="str">
        <f t="shared" si="17"/>
        <v/>
      </c>
      <c r="P71" s="34" t="str">
        <f>IF(B71="","",C71&amp;"|"&amp;ROUND(O71,2)&amp;"|"&amp;COUNTIFS($C$4:C71,C71,$O$4:O71,O71))</f>
        <v/>
      </c>
      <c r="Q71" s="34">
        <f t="shared" si="18"/>
        <v>0</v>
      </c>
      <c r="R71" s="34">
        <f t="shared" si="19"/>
        <v>0</v>
      </c>
      <c r="S71" s="34" t="str">
        <f>IF(AND(B71&lt;&gt;"",C71=CompteSel,N(B71)&lt;=DateArret,R71=0),MAX($S$3:S70)+1,"")</f>
        <v/>
      </c>
      <c r="T71" s="34">
        <f t="shared" si="20"/>
        <v>0</v>
      </c>
      <c r="U71" s="34">
        <f t="shared" si="21"/>
        <v>9</v>
      </c>
    </row>
    <row r="72" spans="1:21" x14ac:dyDescent="0.35">
      <c r="A72" s="1" t="str">
        <f t="shared" si="11"/>
        <v/>
      </c>
      <c r="B72" s="31"/>
      <c r="C72" s="8"/>
      <c r="D72" s="8"/>
      <c r="E72" s="8"/>
      <c r="F72" s="32"/>
      <c r="G72" s="32"/>
      <c r="H72" s="32"/>
      <c r="I72" s="1" t="str">
        <f t="shared" si="12"/>
        <v/>
      </c>
      <c r="J72" s="1" t="str">
        <f t="shared" si="13"/>
        <v/>
      </c>
      <c r="K72" s="1" t="str">
        <f t="shared" si="14"/>
        <v/>
      </c>
      <c r="L72" s="8"/>
      <c r="M72" s="1" t="str">
        <f t="shared" si="15"/>
        <v/>
      </c>
      <c r="N72" s="1" t="str">
        <f t="shared" si="16"/>
        <v/>
      </c>
      <c r="O72" s="33" t="str">
        <f t="shared" si="17"/>
        <v/>
      </c>
      <c r="P72" s="34" t="str">
        <f>IF(B72="","",C72&amp;"|"&amp;ROUND(O72,2)&amp;"|"&amp;COUNTIFS($C$4:C72,C72,$O$4:O72,O72))</f>
        <v/>
      </c>
      <c r="Q72" s="34">
        <f t="shared" si="18"/>
        <v>0</v>
      </c>
      <c r="R72" s="34">
        <f t="shared" si="19"/>
        <v>0</v>
      </c>
      <c r="S72" s="34" t="str">
        <f>IF(AND(B72&lt;&gt;"",C72=CompteSel,N(B72)&lt;=DateArret,R72=0),MAX($S$3:S71)+1,"")</f>
        <v/>
      </c>
      <c r="T72" s="34">
        <f t="shared" si="20"/>
        <v>0</v>
      </c>
      <c r="U72" s="34">
        <f t="shared" si="21"/>
        <v>9</v>
      </c>
    </row>
    <row r="73" spans="1:21" x14ac:dyDescent="0.35">
      <c r="A73" s="1" t="str">
        <f t="shared" si="11"/>
        <v/>
      </c>
      <c r="B73" s="31"/>
      <c r="C73" s="8"/>
      <c r="D73" s="8"/>
      <c r="E73" s="8"/>
      <c r="F73" s="32"/>
      <c r="G73" s="32"/>
      <c r="H73" s="32"/>
      <c r="I73" s="1" t="str">
        <f t="shared" si="12"/>
        <v/>
      </c>
      <c r="J73" s="1" t="str">
        <f t="shared" si="13"/>
        <v/>
      </c>
      <c r="K73" s="1" t="str">
        <f t="shared" si="14"/>
        <v/>
      </c>
      <c r="L73" s="8"/>
      <c r="M73" s="1" t="str">
        <f t="shared" si="15"/>
        <v/>
      </c>
      <c r="N73" s="1" t="str">
        <f t="shared" si="16"/>
        <v/>
      </c>
      <c r="O73" s="33" t="str">
        <f t="shared" si="17"/>
        <v/>
      </c>
      <c r="P73" s="34" t="str">
        <f>IF(B73="","",C73&amp;"|"&amp;ROUND(O73,2)&amp;"|"&amp;COUNTIFS($C$4:C73,C73,$O$4:O73,O73))</f>
        <v/>
      </c>
      <c r="Q73" s="34">
        <f t="shared" si="18"/>
        <v>0</v>
      </c>
      <c r="R73" s="34">
        <f t="shared" si="19"/>
        <v>0</v>
      </c>
      <c r="S73" s="34" t="str">
        <f>IF(AND(B73&lt;&gt;"",C73=CompteSel,N(B73)&lt;=DateArret,R73=0),MAX($S$3:S72)+1,"")</f>
        <v/>
      </c>
      <c r="T73" s="34">
        <f t="shared" si="20"/>
        <v>0</v>
      </c>
      <c r="U73" s="34">
        <f t="shared" si="21"/>
        <v>9</v>
      </c>
    </row>
    <row r="74" spans="1:21" x14ac:dyDescent="0.35">
      <c r="A74" s="1" t="str">
        <f t="shared" si="11"/>
        <v/>
      </c>
      <c r="B74" s="31"/>
      <c r="C74" s="8"/>
      <c r="D74" s="8"/>
      <c r="E74" s="8"/>
      <c r="F74" s="32"/>
      <c r="G74" s="32"/>
      <c r="H74" s="32"/>
      <c r="I74" s="1" t="str">
        <f t="shared" si="12"/>
        <v/>
      </c>
      <c r="J74" s="1" t="str">
        <f t="shared" si="13"/>
        <v/>
      </c>
      <c r="K74" s="1" t="str">
        <f t="shared" si="14"/>
        <v/>
      </c>
      <c r="L74" s="8"/>
      <c r="M74" s="1" t="str">
        <f t="shared" si="15"/>
        <v/>
      </c>
      <c r="N74" s="1" t="str">
        <f t="shared" si="16"/>
        <v/>
      </c>
      <c r="O74" s="33" t="str">
        <f t="shared" si="17"/>
        <v/>
      </c>
      <c r="P74" s="34" t="str">
        <f>IF(B74="","",C74&amp;"|"&amp;ROUND(O74,2)&amp;"|"&amp;COUNTIFS($C$4:C74,C74,$O$4:O74,O74))</f>
        <v/>
      </c>
      <c r="Q74" s="34">
        <f t="shared" si="18"/>
        <v>0</v>
      </c>
      <c r="R74" s="34">
        <f t="shared" si="19"/>
        <v>0</v>
      </c>
      <c r="S74" s="34" t="str">
        <f>IF(AND(B74&lt;&gt;"",C74=CompteSel,N(B74)&lt;=DateArret,R74=0),MAX($S$3:S73)+1,"")</f>
        <v/>
      </c>
      <c r="T74" s="34">
        <f t="shared" si="20"/>
        <v>0</v>
      </c>
      <c r="U74" s="34">
        <f t="shared" si="21"/>
        <v>9</v>
      </c>
    </row>
    <row r="75" spans="1:21" x14ac:dyDescent="0.35">
      <c r="A75" s="1" t="str">
        <f t="shared" si="11"/>
        <v/>
      </c>
      <c r="B75" s="31"/>
      <c r="C75" s="8"/>
      <c r="D75" s="8"/>
      <c r="E75" s="8"/>
      <c r="F75" s="32"/>
      <c r="G75" s="32"/>
      <c r="H75" s="32"/>
      <c r="I75" s="1" t="str">
        <f t="shared" si="12"/>
        <v/>
      </c>
      <c r="J75" s="1" t="str">
        <f t="shared" si="13"/>
        <v/>
      </c>
      <c r="K75" s="1" t="str">
        <f t="shared" si="14"/>
        <v/>
      </c>
      <c r="L75" s="8"/>
      <c r="M75" s="1" t="str">
        <f t="shared" si="15"/>
        <v/>
      </c>
      <c r="N75" s="1" t="str">
        <f t="shared" si="16"/>
        <v/>
      </c>
      <c r="O75" s="33" t="str">
        <f t="shared" si="17"/>
        <v/>
      </c>
      <c r="P75" s="34" t="str">
        <f>IF(B75="","",C75&amp;"|"&amp;ROUND(O75,2)&amp;"|"&amp;COUNTIFS($C$4:C75,C75,$O$4:O75,O75))</f>
        <v/>
      </c>
      <c r="Q75" s="34">
        <f t="shared" si="18"/>
        <v>0</v>
      </c>
      <c r="R75" s="34">
        <f t="shared" si="19"/>
        <v>0</v>
      </c>
      <c r="S75" s="34" t="str">
        <f>IF(AND(B75&lt;&gt;"",C75=CompteSel,N(B75)&lt;=DateArret,R75=0),MAX($S$3:S74)+1,"")</f>
        <v/>
      </c>
      <c r="T75" s="34">
        <f t="shared" si="20"/>
        <v>0</v>
      </c>
      <c r="U75" s="34">
        <f t="shared" si="21"/>
        <v>9</v>
      </c>
    </row>
    <row r="76" spans="1:21" x14ac:dyDescent="0.35">
      <c r="A76" s="1" t="str">
        <f t="shared" si="11"/>
        <v/>
      </c>
      <c r="B76" s="31"/>
      <c r="C76" s="8"/>
      <c r="D76" s="8"/>
      <c r="E76" s="8"/>
      <c r="F76" s="32"/>
      <c r="G76" s="32"/>
      <c r="H76" s="32"/>
      <c r="I76" s="1" t="str">
        <f t="shared" si="12"/>
        <v/>
      </c>
      <c r="J76" s="1" t="str">
        <f t="shared" si="13"/>
        <v/>
      </c>
      <c r="K76" s="1" t="str">
        <f t="shared" si="14"/>
        <v/>
      </c>
      <c r="L76" s="8"/>
      <c r="M76" s="1" t="str">
        <f t="shared" si="15"/>
        <v/>
      </c>
      <c r="N76" s="1" t="str">
        <f t="shared" si="16"/>
        <v/>
      </c>
      <c r="O76" s="33" t="str">
        <f t="shared" si="17"/>
        <v/>
      </c>
      <c r="P76" s="34" t="str">
        <f>IF(B76="","",C76&amp;"|"&amp;ROUND(O76,2)&amp;"|"&amp;COUNTIFS($C$4:C76,C76,$O$4:O76,O76))</f>
        <v/>
      </c>
      <c r="Q76" s="34">
        <f t="shared" si="18"/>
        <v>0</v>
      </c>
      <c r="R76" s="34">
        <f t="shared" si="19"/>
        <v>0</v>
      </c>
      <c r="S76" s="34" t="str">
        <f>IF(AND(B76&lt;&gt;"",C76=CompteSel,N(B76)&lt;=DateArret,R76=0),MAX($S$3:S75)+1,"")</f>
        <v/>
      </c>
      <c r="T76" s="34">
        <f t="shared" si="20"/>
        <v>0</v>
      </c>
      <c r="U76" s="34">
        <f t="shared" si="21"/>
        <v>9</v>
      </c>
    </row>
    <row r="77" spans="1:21" x14ac:dyDescent="0.35">
      <c r="A77" s="1" t="str">
        <f t="shared" si="11"/>
        <v/>
      </c>
      <c r="B77" s="31"/>
      <c r="C77" s="8"/>
      <c r="D77" s="8"/>
      <c r="E77" s="8"/>
      <c r="F77" s="32"/>
      <c r="G77" s="32"/>
      <c r="H77" s="32"/>
      <c r="I77" s="1" t="str">
        <f t="shared" si="12"/>
        <v/>
      </c>
      <c r="J77" s="1" t="str">
        <f t="shared" si="13"/>
        <v/>
      </c>
      <c r="K77" s="1" t="str">
        <f t="shared" si="14"/>
        <v/>
      </c>
      <c r="L77" s="8"/>
      <c r="M77" s="1" t="str">
        <f t="shared" si="15"/>
        <v/>
      </c>
      <c r="N77" s="1" t="str">
        <f t="shared" si="16"/>
        <v/>
      </c>
      <c r="O77" s="33" t="str">
        <f t="shared" si="17"/>
        <v/>
      </c>
      <c r="P77" s="34" t="str">
        <f>IF(B77="","",C77&amp;"|"&amp;ROUND(O77,2)&amp;"|"&amp;COUNTIFS($C$4:C77,C77,$O$4:O77,O77))</f>
        <v/>
      </c>
      <c r="Q77" s="34">
        <f t="shared" si="18"/>
        <v>0</v>
      </c>
      <c r="R77" s="34">
        <f t="shared" si="19"/>
        <v>0</v>
      </c>
      <c r="S77" s="34" t="str">
        <f>IF(AND(B77&lt;&gt;"",C77=CompteSel,N(B77)&lt;=DateArret,R77=0),MAX($S$3:S76)+1,"")</f>
        <v/>
      </c>
      <c r="T77" s="34">
        <f t="shared" si="20"/>
        <v>0</v>
      </c>
      <c r="U77" s="34">
        <f t="shared" si="21"/>
        <v>9</v>
      </c>
    </row>
    <row r="78" spans="1:21" x14ac:dyDescent="0.35">
      <c r="A78" s="1" t="str">
        <f t="shared" si="11"/>
        <v/>
      </c>
      <c r="B78" s="31"/>
      <c r="C78" s="8"/>
      <c r="D78" s="8"/>
      <c r="E78" s="8"/>
      <c r="F78" s="32"/>
      <c r="G78" s="32"/>
      <c r="H78" s="32"/>
      <c r="I78" s="1" t="str">
        <f t="shared" si="12"/>
        <v/>
      </c>
      <c r="J78" s="1" t="str">
        <f t="shared" si="13"/>
        <v/>
      </c>
      <c r="K78" s="1" t="str">
        <f t="shared" si="14"/>
        <v/>
      </c>
      <c r="L78" s="8"/>
      <c r="M78" s="1" t="str">
        <f t="shared" si="15"/>
        <v/>
      </c>
      <c r="N78" s="1" t="str">
        <f t="shared" si="16"/>
        <v/>
      </c>
      <c r="O78" s="33" t="str">
        <f t="shared" si="17"/>
        <v/>
      </c>
      <c r="P78" s="34" t="str">
        <f>IF(B78="","",C78&amp;"|"&amp;ROUND(O78,2)&amp;"|"&amp;COUNTIFS($C$4:C78,C78,$O$4:O78,O78))</f>
        <v/>
      </c>
      <c r="Q78" s="34">
        <f t="shared" si="18"/>
        <v>0</v>
      </c>
      <c r="R78" s="34">
        <f t="shared" si="19"/>
        <v>0</v>
      </c>
      <c r="S78" s="34" t="str">
        <f>IF(AND(B78&lt;&gt;"",C78=CompteSel,N(B78)&lt;=DateArret,R78=0),MAX($S$3:S77)+1,"")</f>
        <v/>
      </c>
      <c r="T78" s="34">
        <f t="shared" si="20"/>
        <v>0</v>
      </c>
      <c r="U78" s="34">
        <f t="shared" si="21"/>
        <v>9</v>
      </c>
    </row>
    <row r="79" spans="1:21" x14ac:dyDescent="0.35">
      <c r="A79" s="1" t="str">
        <f t="shared" si="11"/>
        <v/>
      </c>
      <c r="B79" s="31"/>
      <c r="C79" s="8"/>
      <c r="D79" s="8"/>
      <c r="E79" s="8"/>
      <c r="F79" s="32"/>
      <c r="G79" s="32"/>
      <c r="H79" s="32"/>
      <c r="I79" s="1" t="str">
        <f t="shared" si="12"/>
        <v/>
      </c>
      <c r="J79" s="1" t="str">
        <f t="shared" si="13"/>
        <v/>
      </c>
      <c r="K79" s="1" t="str">
        <f t="shared" si="14"/>
        <v/>
      </c>
      <c r="L79" s="8"/>
      <c r="M79" s="1" t="str">
        <f t="shared" si="15"/>
        <v/>
      </c>
      <c r="N79" s="1" t="str">
        <f t="shared" si="16"/>
        <v/>
      </c>
      <c r="O79" s="33" t="str">
        <f t="shared" si="17"/>
        <v/>
      </c>
      <c r="P79" s="34" t="str">
        <f>IF(B79="","",C79&amp;"|"&amp;ROUND(O79,2)&amp;"|"&amp;COUNTIFS($C$4:C79,C79,$O$4:O79,O79))</f>
        <v/>
      </c>
      <c r="Q79" s="34">
        <f t="shared" si="18"/>
        <v>0</v>
      </c>
      <c r="R79" s="34">
        <f t="shared" si="19"/>
        <v>0</v>
      </c>
      <c r="S79" s="34" t="str">
        <f>IF(AND(B79&lt;&gt;"",C79=CompteSel,N(B79)&lt;=DateArret,R79=0),MAX($S$3:S78)+1,"")</f>
        <v/>
      </c>
      <c r="T79" s="34">
        <f t="shared" si="20"/>
        <v>0</v>
      </c>
      <c r="U79" s="34">
        <f t="shared" si="21"/>
        <v>9</v>
      </c>
    </row>
    <row r="80" spans="1:21" x14ac:dyDescent="0.35">
      <c r="A80" s="1" t="str">
        <f t="shared" si="11"/>
        <v/>
      </c>
      <c r="B80" s="31"/>
      <c r="C80" s="8"/>
      <c r="D80" s="8"/>
      <c r="E80" s="8"/>
      <c r="F80" s="32"/>
      <c r="G80" s="32"/>
      <c r="H80" s="32"/>
      <c r="I80" s="1" t="str">
        <f t="shared" si="12"/>
        <v/>
      </c>
      <c r="J80" s="1" t="str">
        <f t="shared" si="13"/>
        <v/>
      </c>
      <c r="K80" s="1" t="str">
        <f t="shared" si="14"/>
        <v/>
      </c>
      <c r="L80" s="8"/>
      <c r="M80" s="1" t="str">
        <f t="shared" si="15"/>
        <v/>
      </c>
      <c r="N80" s="1" t="str">
        <f t="shared" si="16"/>
        <v/>
      </c>
      <c r="O80" s="33" t="str">
        <f t="shared" si="17"/>
        <v/>
      </c>
      <c r="P80" s="34" t="str">
        <f>IF(B80="","",C80&amp;"|"&amp;ROUND(O80,2)&amp;"|"&amp;COUNTIFS($C$4:C80,C80,$O$4:O80,O80))</f>
        <v/>
      </c>
      <c r="Q80" s="34">
        <f t="shared" si="18"/>
        <v>0</v>
      </c>
      <c r="R80" s="34">
        <f t="shared" si="19"/>
        <v>0</v>
      </c>
      <c r="S80" s="34" t="str">
        <f>IF(AND(B80&lt;&gt;"",C80=CompteSel,N(B80)&lt;=DateArret,R80=0),MAX($S$3:S79)+1,"")</f>
        <v/>
      </c>
      <c r="T80" s="34">
        <f t="shared" si="20"/>
        <v>0</v>
      </c>
      <c r="U80" s="34">
        <f t="shared" si="21"/>
        <v>9</v>
      </c>
    </row>
    <row r="81" spans="1:21" x14ac:dyDescent="0.35">
      <c r="A81" s="1" t="str">
        <f t="shared" si="11"/>
        <v/>
      </c>
      <c r="B81" s="31"/>
      <c r="C81" s="8"/>
      <c r="D81" s="8"/>
      <c r="E81" s="8"/>
      <c r="F81" s="32"/>
      <c r="G81" s="32"/>
      <c r="H81" s="32"/>
      <c r="I81" s="1" t="str">
        <f t="shared" si="12"/>
        <v/>
      </c>
      <c r="J81" s="1" t="str">
        <f t="shared" si="13"/>
        <v/>
      </c>
      <c r="K81" s="1" t="str">
        <f t="shared" si="14"/>
        <v/>
      </c>
      <c r="L81" s="8"/>
      <c r="M81" s="1" t="str">
        <f t="shared" si="15"/>
        <v/>
      </c>
      <c r="N81" s="1" t="str">
        <f t="shared" si="16"/>
        <v/>
      </c>
      <c r="O81" s="33" t="str">
        <f t="shared" si="17"/>
        <v/>
      </c>
      <c r="P81" s="34" t="str">
        <f>IF(B81="","",C81&amp;"|"&amp;ROUND(O81,2)&amp;"|"&amp;COUNTIFS($C$4:C81,C81,$O$4:O81,O81))</f>
        <v/>
      </c>
      <c r="Q81" s="34">
        <f t="shared" si="18"/>
        <v>0</v>
      </c>
      <c r="R81" s="34">
        <f t="shared" si="19"/>
        <v>0</v>
      </c>
      <c r="S81" s="34" t="str">
        <f>IF(AND(B81&lt;&gt;"",C81=CompteSel,N(B81)&lt;=DateArret,R81=0),MAX($S$3:S80)+1,"")</f>
        <v/>
      </c>
      <c r="T81" s="34">
        <f t="shared" si="20"/>
        <v>0</v>
      </c>
      <c r="U81" s="34">
        <f t="shared" si="21"/>
        <v>9</v>
      </c>
    </row>
    <row r="82" spans="1:21" x14ac:dyDescent="0.35">
      <c r="A82" s="1" t="str">
        <f t="shared" si="11"/>
        <v/>
      </c>
      <c r="B82" s="31"/>
      <c r="C82" s="8"/>
      <c r="D82" s="8"/>
      <c r="E82" s="8"/>
      <c r="F82" s="32"/>
      <c r="G82" s="32"/>
      <c r="H82" s="32"/>
      <c r="I82" s="1" t="str">
        <f t="shared" si="12"/>
        <v/>
      </c>
      <c r="J82" s="1" t="str">
        <f t="shared" si="13"/>
        <v/>
      </c>
      <c r="K82" s="1" t="str">
        <f t="shared" si="14"/>
        <v/>
      </c>
      <c r="L82" s="8"/>
      <c r="M82" s="1" t="str">
        <f t="shared" si="15"/>
        <v/>
      </c>
      <c r="N82" s="1" t="str">
        <f t="shared" si="16"/>
        <v/>
      </c>
      <c r="O82" s="33" t="str">
        <f t="shared" si="17"/>
        <v/>
      </c>
      <c r="P82" s="34" t="str">
        <f>IF(B82="","",C82&amp;"|"&amp;ROUND(O82,2)&amp;"|"&amp;COUNTIFS($C$4:C82,C82,$O$4:O82,O82))</f>
        <v/>
      </c>
      <c r="Q82" s="34">
        <f t="shared" si="18"/>
        <v>0</v>
      </c>
      <c r="R82" s="34">
        <f t="shared" si="19"/>
        <v>0</v>
      </c>
      <c r="S82" s="34" t="str">
        <f>IF(AND(B82&lt;&gt;"",C82=CompteSel,N(B82)&lt;=DateArret,R82=0),MAX($S$3:S81)+1,"")</f>
        <v/>
      </c>
      <c r="T82" s="34">
        <f t="shared" si="20"/>
        <v>0</v>
      </c>
      <c r="U82" s="34">
        <f t="shared" si="21"/>
        <v>9</v>
      </c>
    </row>
    <row r="83" spans="1:21" x14ac:dyDescent="0.35">
      <c r="A83" s="1" t="str">
        <f t="shared" si="11"/>
        <v/>
      </c>
      <c r="B83" s="31"/>
      <c r="C83" s="8"/>
      <c r="D83" s="8"/>
      <c r="E83" s="8"/>
      <c r="F83" s="32"/>
      <c r="G83" s="32"/>
      <c r="H83" s="32"/>
      <c r="I83" s="1" t="str">
        <f t="shared" si="12"/>
        <v/>
      </c>
      <c r="J83" s="1" t="str">
        <f t="shared" si="13"/>
        <v/>
      </c>
      <c r="K83" s="1" t="str">
        <f t="shared" si="14"/>
        <v/>
      </c>
      <c r="L83" s="8"/>
      <c r="M83" s="1" t="str">
        <f t="shared" si="15"/>
        <v/>
      </c>
      <c r="N83" s="1" t="str">
        <f t="shared" si="16"/>
        <v/>
      </c>
      <c r="O83" s="33" t="str">
        <f t="shared" si="17"/>
        <v/>
      </c>
      <c r="P83" s="34" t="str">
        <f>IF(B83="","",C83&amp;"|"&amp;ROUND(O83,2)&amp;"|"&amp;COUNTIFS($C$4:C83,C83,$O$4:O83,O83))</f>
        <v/>
      </c>
      <c r="Q83" s="34">
        <f t="shared" si="18"/>
        <v>0</v>
      </c>
      <c r="R83" s="34">
        <f t="shared" si="19"/>
        <v>0</v>
      </c>
      <c r="S83" s="34" t="str">
        <f>IF(AND(B83&lt;&gt;"",C83=CompteSel,N(B83)&lt;=DateArret,R83=0),MAX($S$3:S82)+1,"")</f>
        <v/>
      </c>
      <c r="T83" s="34">
        <f t="shared" si="20"/>
        <v>0</v>
      </c>
      <c r="U83" s="34">
        <f t="shared" si="21"/>
        <v>9</v>
      </c>
    </row>
    <row r="84" spans="1:21" x14ac:dyDescent="0.35">
      <c r="A84" s="1" t="str">
        <f t="shared" si="11"/>
        <v/>
      </c>
      <c r="B84" s="31"/>
      <c r="C84" s="8"/>
      <c r="D84" s="8"/>
      <c r="E84" s="8"/>
      <c r="F84" s="32"/>
      <c r="G84" s="32"/>
      <c r="H84" s="32"/>
      <c r="I84" s="1" t="str">
        <f t="shared" si="12"/>
        <v/>
      </c>
      <c r="J84" s="1" t="str">
        <f t="shared" si="13"/>
        <v/>
      </c>
      <c r="K84" s="1" t="str">
        <f t="shared" si="14"/>
        <v/>
      </c>
      <c r="L84" s="8"/>
      <c r="M84" s="1" t="str">
        <f t="shared" si="15"/>
        <v/>
      </c>
      <c r="N84" s="1" t="str">
        <f t="shared" si="16"/>
        <v/>
      </c>
      <c r="O84" s="33" t="str">
        <f t="shared" si="17"/>
        <v/>
      </c>
      <c r="P84" s="34" t="str">
        <f>IF(B84="","",C84&amp;"|"&amp;ROUND(O84,2)&amp;"|"&amp;COUNTIFS($C$4:C84,C84,$O$4:O84,O84))</f>
        <v/>
      </c>
      <c r="Q84" s="34">
        <f t="shared" si="18"/>
        <v>0</v>
      </c>
      <c r="R84" s="34">
        <f t="shared" si="19"/>
        <v>0</v>
      </c>
      <c r="S84" s="34" t="str">
        <f>IF(AND(B84&lt;&gt;"",C84=CompteSel,N(B84)&lt;=DateArret,R84=0),MAX($S$3:S83)+1,"")</f>
        <v/>
      </c>
      <c r="T84" s="34">
        <f t="shared" si="20"/>
        <v>0</v>
      </c>
      <c r="U84" s="34">
        <f t="shared" si="21"/>
        <v>9</v>
      </c>
    </row>
    <row r="85" spans="1:21" x14ac:dyDescent="0.35">
      <c r="A85" s="1" t="str">
        <f t="shared" si="11"/>
        <v/>
      </c>
      <c r="B85" s="31"/>
      <c r="C85" s="8"/>
      <c r="D85" s="8"/>
      <c r="E85" s="8"/>
      <c r="F85" s="32"/>
      <c r="G85" s="32"/>
      <c r="H85" s="32"/>
      <c r="I85" s="1" t="str">
        <f t="shared" si="12"/>
        <v/>
      </c>
      <c r="J85" s="1" t="str">
        <f t="shared" si="13"/>
        <v/>
      </c>
      <c r="K85" s="1" t="str">
        <f t="shared" si="14"/>
        <v/>
      </c>
      <c r="L85" s="8"/>
      <c r="M85" s="1" t="str">
        <f t="shared" si="15"/>
        <v/>
      </c>
      <c r="N85" s="1" t="str">
        <f t="shared" si="16"/>
        <v/>
      </c>
      <c r="O85" s="33" t="str">
        <f t="shared" si="17"/>
        <v/>
      </c>
      <c r="P85" s="34" t="str">
        <f>IF(B85="","",C85&amp;"|"&amp;ROUND(O85,2)&amp;"|"&amp;COUNTIFS($C$4:C85,C85,$O$4:O85,O85))</f>
        <v/>
      </c>
      <c r="Q85" s="34">
        <f t="shared" si="18"/>
        <v>0</v>
      </c>
      <c r="R85" s="34">
        <f t="shared" si="19"/>
        <v>0</v>
      </c>
      <c r="S85" s="34" t="str">
        <f>IF(AND(B85&lt;&gt;"",C85=CompteSel,N(B85)&lt;=DateArret,R85=0),MAX($S$3:S84)+1,"")</f>
        <v/>
      </c>
      <c r="T85" s="34">
        <f t="shared" si="20"/>
        <v>0</v>
      </c>
      <c r="U85" s="34">
        <f t="shared" si="21"/>
        <v>9</v>
      </c>
    </row>
    <row r="86" spans="1:21" x14ac:dyDescent="0.35">
      <c r="A86" s="1" t="str">
        <f t="shared" si="11"/>
        <v/>
      </c>
      <c r="B86" s="31"/>
      <c r="C86" s="8"/>
      <c r="D86" s="8"/>
      <c r="E86" s="8"/>
      <c r="F86" s="32"/>
      <c r="G86" s="32"/>
      <c r="H86" s="32"/>
      <c r="I86" s="1" t="str">
        <f t="shared" si="12"/>
        <v/>
      </c>
      <c r="J86" s="1" t="str">
        <f t="shared" si="13"/>
        <v/>
      </c>
      <c r="K86" s="1" t="str">
        <f t="shared" si="14"/>
        <v/>
      </c>
      <c r="L86" s="8"/>
      <c r="M86" s="1" t="str">
        <f t="shared" si="15"/>
        <v/>
      </c>
      <c r="N86" s="1" t="str">
        <f t="shared" si="16"/>
        <v/>
      </c>
      <c r="O86" s="33" t="str">
        <f t="shared" si="17"/>
        <v/>
      </c>
      <c r="P86" s="34" t="str">
        <f>IF(B86="","",C86&amp;"|"&amp;ROUND(O86,2)&amp;"|"&amp;COUNTIFS($C$4:C86,C86,$O$4:O86,O86))</f>
        <v/>
      </c>
      <c r="Q86" s="34">
        <f t="shared" si="18"/>
        <v>0</v>
      </c>
      <c r="R86" s="34">
        <f t="shared" si="19"/>
        <v>0</v>
      </c>
      <c r="S86" s="34" t="str">
        <f>IF(AND(B86&lt;&gt;"",C86=CompteSel,N(B86)&lt;=DateArret,R86=0),MAX($S$3:S85)+1,"")</f>
        <v/>
      </c>
      <c r="T86" s="34">
        <f t="shared" si="20"/>
        <v>0</v>
      </c>
      <c r="U86" s="34">
        <f t="shared" si="21"/>
        <v>9</v>
      </c>
    </row>
    <row r="87" spans="1:21" x14ac:dyDescent="0.35">
      <c r="A87" s="1" t="str">
        <f t="shared" si="11"/>
        <v/>
      </c>
      <c r="B87" s="31"/>
      <c r="C87" s="8"/>
      <c r="D87" s="8"/>
      <c r="E87" s="8"/>
      <c r="F87" s="32"/>
      <c r="G87" s="32"/>
      <c r="H87" s="32"/>
      <c r="I87" s="1" t="str">
        <f t="shared" si="12"/>
        <v/>
      </c>
      <c r="J87" s="1" t="str">
        <f t="shared" si="13"/>
        <v/>
      </c>
      <c r="K87" s="1" t="str">
        <f t="shared" si="14"/>
        <v/>
      </c>
      <c r="L87" s="8"/>
      <c r="M87" s="1" t="str">
        <f t="shared" si="15"/>
        <v/>
      </c>
      <c r="N87" s="1" t="str">
        <f t="shared" si="16"/>
        <v/>
      </c>
      <c r="O87" s="33" t="str">
        <f t="shared" si="17"/>
        <v/>
      </c>
      <c r="P87" s="34" t="str">
        <f>IF(B87="","",C87&amp;"|"&amp;ROUND(O87,2)&amp;"|"&amp;COUNTIFS($C$4:C87,C87,$O$4:O87,O87))</f>
        <v/>
      </c>
      <c r="Q87" s="34">
        <f t="shared" si="18"/>
        <v>0</v>
      </c>
      <c r="R87" s="34">
        <f t="shared" si="19"/>
        <v>0</v>
      </c>
      <c r="S87" s="34" t="str">
        <f>IF(AND(B87&lt;&gt;"",C87=CompteSel,N(B87)&lt;=DateArret,R87=0),MAX($S$3:S86)+1,"")</f>
        <v/>
      </c>
      <c r="T87" s="34">
        <f t="shared" si="20"/>
        <v>0</v>
      </c>
      <c r="U87" s="34">
        <f t="shared" si="21"/>
        <v>9</v>
      </c>
    </row>
    <row r="88" spans="1:21" x14ac:dyDescent="0.35">
      <c r="A88" s="1" t="str">
        <f t="shared" si="11"/>
        <v/>
      </c>
      <c r="B88" s="31"/>
      <c r="C88" s="8"/>
      <c r="D88" s="8"/>
      <c r="E88" s="8"/>
      <c r="F88" s="32"/>
      <c r="G88" s="32"/>
      <c r="H88" s="32"/>
      <c r="I88" s="1" t="str">
        <f t="shared" si="12"/>
        <v/>
      </c>
      <c r="J88" s="1" t="str">
        <f t="shared" si="13"/>
        <v/>
      </c>
      <c r="K88" s="1" t="str">
        <f t="shared" si="14"/>
        <v/>
      </c>
      <c r="L88" s="8"/>
      <c r="M88" s="1" t="str">
        <f t="shared" si="15"/>
        <v/>
      </c>
      <c r="N88" s="1" t="str">
        <f t="shared" si="16"/>
        <v/>
      </c>
      <c r="O88" s="33" t="str">
        <f t="shared" si="17"/>
        <v/>
      </c>
      <c r="P88" s="34" t="str">
        <f>IF(B88="","",C88&amp;"|"&amp;ROUND(O88,2)&amp;"|"&amp;COUNTIFS($C$4:C88,C88,$O$4:O88,O88))</f>
        <v/>
      </c>
      <c r="Q88" s="34">
        <f t="shared" si="18"/>
        <v>0</v>
      </c>
      <c r="R88" s="34">
        <f t="shared" si="19"/>
        <v>0</v>
      </c>
      <c r="S88" s="34" t="str">
        <f>IF(AND(B88&lt;&gt;"",C88=CompteSel,N(B88)&lt;=DateArret,R88=0),MAX($S$3:S87)+1,"")</f>
        <v/>
      </c>
      <c r="T88" s="34">
        <f t="shared" si="20"/>
        <v>0</v>
      </c>
      <c r="U88" s="34">
        <f t="shared" si="21"/>
        <v>9</v>
      </c>
    </row>
    <row r="89" spans="1:21" x14ac:dyDescent="0.35">
      <c r="A89" s="1" t="str">
        <f t="shared" si="11"/>
        <v/>
      </c>
      <c r="B89" s="31"/>
      <c r="C89" s="8"/>
      <c r="D89" s="8"/>
      <c r="E89" s="8"/>
      <c r="F89" s="32"/>
      <c r="G89" s="32"/>
      <c r="H89" s="32"/>
      <c r="I89" s="1" t="str">
        <f t="shared" si="12"/>
        <v/>
      </c>
      <c r="J89" s="1" t="str">
        <f t="shared" si="13"/>
        <v/>
      </c>
      <c r="K89" s="1" t="str">
        <f t="shared" si="14"/>
        <v/>
      </c>
      <c r="L89" s="8"/>
      <c r="M89" s="1" t="str">
        <f t="shared" si="15"/>
        <v/>
      </c>
      <c r="N89" s="1" t="str">
        <f t="shared" si="16"/>
        <v/>
      </c>
      <c r="O89" s="33" t="str">
        <f t="shared" si="17"/>
        <v/>
      </c>
      <c r="P89" s="34" t="str">
        <f>IF(B89="","",C89&amp;"|"&amp;ROUND(O89,2)&amp;"|"&amp;COUNTIFS($C$4:C89,C89,$O$4:O89,O89))</f>
        <v/>
      </c>
      <c r="Q89" s="34">
        <f t="shared" si="18"/>
        <v>0</v>
      </c>
      <c r="R89" s="34">
        <f t="shared" si="19"/>
        <v>0</v>
      </c>
      <c r="S89" s="34" t="str">
        <f>IF(AND(B89&lt;&gt;"",C89=CompteSel,N(B89)&lt;=DateArret,R89=0),MAX($S$3:S88)+1,"")</f>
        <v/>
      </c>
      <c r="T89" s="34">
        <f t="shared" si="20"/>
        <v>0</v>
      </c>
      <c r="U89" s="34">
        <f t="shared" si="21"/>
        <v>9</v>
      </c>
    </row>
    <row r="90" spans="1:21" x14ac:dyDescent="0.35">
      <c r="A90" s="1" t="str">
        <f t="shared" si="11"/>
        <v/>
      </c>
      <c r="B90" s="31"/>
      <c r="C90" s="8"/>
      <c r="D90" s="8"/>
      <c r="E90" s="8"/>
      <c r="F90" s="32"/>
      <c r="G90" s="32"/>
      <c r="H90" s="32"/>
      <c r="I90" s="1" t="str">
        <f t="shared" si="12"/>
        <v/>
      </c>
      <c r="J90" s="1" t="str">
        <f t="shared" si="13"/>
        <v/>
      </c>
      <c r="K90" s="1" t="str">
        <f t="shared" si="14"/>
        <v/>
      </c>
      <c r="L90" s="8"/>
      <c r="M90" s="1" t="str">
        <f t="shared" si="15"/>
        <v/>
      </c>
      <c r="N90" s="1" t="str">
        <f t="shared" si="16"/>
        <v/>
      </c>
      <c r="O90" s="33" t="str">
        <f t="shared" si="17"/>
        <v/>
      </c>
      <c r="P90" s="34" t="str">
        <f>IF(B90="","",C90&amp;"|"&amp;ROUND(O90,2)&amp;"|"&amp;COUNTIFS($C$4:C90,C90,$O$4:O90,O90))</f>
        <v/>
      </c>
      <c r="Q90" s="34">
        <f t="shared" si="18"/>
        <v>0</v>
      </c>
      <c r="R90" s="34">
        <f t="shared" si="19"/>
        <v>0</v>
      </c>
      <c r="S90" s="34" t="str">
        <f>IF(AND(B90&lt;&gt;"",C90=CompteSel,N(B90)&lt;=DateArret,R90=0),MAX($S$3:S89)+1,"")</f>
        <v/>
      </c>
      <c r="T90" s="34">
        <f t="shared" si="20"/>
        <v>0</v>
      </c>
      <c r="U90" s="34">
        <f t="shared" si="21"/>
        <v>9</v>
      </c>
    </row>
    <row r="91" spans="1:21" x14ac:dyDescent="0.35">
      <c r="A91" s="1" t="str">
        <f t="shared" si="11"/>
        <v/>
      </c>
      <c r="B91" s="31"/>
      <c r="C91" s="8"/>
      <c r="D91" s="8"/>
      <c r="E91" s="8"/>
      <c r="F91" s="32"/>
      <c r="G91" s="32"/>
      <c r="H91" s="32"/>
      <c r="I91" s="1" t="str">
        <f t="shared" si="12"/>
        <v/>
      </c>
      <c r="J91" s="1" t="str">
        <f t="shared" si="13"/>
        <v/>
      </c>
      <c r="K91" s="1" t="str">
        <f t="shared" si="14"/>
        <v/>
      </c>
      <c r="L91" s="8"/>
      <c r="M91" s="1" t="str">
        <f t="shared" si="15"/>
        <v/>
      </c>
      <c r="N91" s="1" t="str">
        <f t="shared" si="16"/>
        <v/>
      </c>
      <c r="O91" s="33" t="str">
        <f t="shared" si="17"/>
        <v/>
      </c>
      <c r="P91" s="34" t="str">
        <f>IF(B91="","",C91&amp;"|"&amp;ROUND(O91,2)&amp;"|"&amp;COUNTIFS($C$4:C91,C91,$O$4:O91,O91))</f>
        <v/>
      </c>
      <c r="Q91" s="34">
        <f t="shared" si="18"/>
        <v>0</v>
      </c>
      <c r="R91" s="34">
        <f t="shared" si="19"/>
        <v>0</v>
      </c>
      <c r="S91" s="34" t="str">
        <f>IF(AND(B91&lt;&gt;"",C91=CompteSel,N(B91)&lt;=DateArret,R91=0),MAX($S$3:S90)+1,"")</f>
        <v/>
      </c>
      <c r="T91" s="34">
        <f t="shared" si="20"/>
        <v>0</v>
      </c>
      <c r="U91" s="34">
        <f t="shared" si="21"/>
        <v>9</v>
      </c>
    </row>
    <row r="92" spans="1:21" x14ac:dyDescent="0.35">
      <c r="A92" s="1" t="str">
        <f t="shared" si="11"/>
        <v/>
      </c>
      <c r="B92" s="31"/>
      <c r="C92" s="8"/>
      <c r="D92" s="8"/>
      <c r="E92" s="8"/>
      <c r="F92" s="32"/>
      <c r="G92" s="32"/>
      <c r="H92" s="32"/>
      <c r="I92" s="1" t="str">
        <f t="shared" si="12"/>
        <v/>
      </c>
      <c r="J92" s="1" t="str">
        <f t="shared" si="13"/>
        <v/>
      </c>
      <c r="K92" s="1" t="str">
        <f t="shared" si="14"/>
        <v/>
      </c>
      <c r="L92" s="8"/>
      <c r="M92" s="1" t="str">
        <f t="shared" si="15"/>
        <v/>
      </c>
      <c r="N92" s="1" t="str">
        <f t="shared" si="16"/>
        <v/>
      </c>
      <c r="O92" s="33" t="str">
        <f t="shared" si="17"/>
        <v/>
      </c>
      <c r="P92" s="34" t="str">
        <f>IF(B92="","",C92&amp;"|"&amp;ROUND(O92,2)&amp;"|"&amp;COUNTIFS($C$4:C92,C92,$O$4:O92,O92))</f>
        <v/>
      </c>
      <c r="Q92" s="34">
        <f t="shared" si="18"/>
        <v>0</v>
      </c>
      <c r="R92" s="34">
        <f t="shared" si="19"/>
        <v>0</v>
      </c>
      <c r="S92" s="34" t="str">
        <f>IF(AND(B92&lt;&gt;"",C92=CompteSel,N(B92)&lt;=DateArret,R92=0),MAX($S$3:S91)+1,"")</f>
        <v/>
      </c>
      <c r="T92" s="34">
        <f t="shared" si="20"/>
        <v>0</v>
      </c>
      <c r="U92" s="34">
        <f t="shared" si="21"/>
        <v>9</v>
      </c>
    </row>
    <row r="93" spans="1:21" x14ac:dyDescent="0.35">
      <c r="A93" s="1" t="str">
        <f t="shared" si="11"/>
        <v/>
      </c>
      <c r="B93" s="31"/>
      <c r="C93" s="8"/>
      <c r="D93" s="8"/>
      <c r="E93" s="8"/>
      <c r="F93" s="32"/>
      <c r="G93" s="32"/>
      <c r="H93" s="32"/>
      <c r="I93" s="1" t="str">
        <f t="shared" si="12"/>
        <v/>
      </c>
      <c r="J93" s="1" t="str">
        <f t="shared" si="13"/>
        <v/>
      </c>
      <c r="K93" s="1" t="str">
        <f t="shared" si="14"/>
        <v/>
      </c>
      <c r="L93" s="8"/>
      <c r="M93" s="1" t="str">
        <f t="shared" si="15"/>
        <v/>
      </c>
      <c r="N93" s="1" t="str">
        <f t="shared" si="16"/>
        <v/>
      </c>
      <c r="O93" s="33" t="str">
        <f t="shared" si="17"/>
        <v/>
      </c>
      <c r="P93" s="34" t="str">
        <f>IF(B93="","",C93&amp;"|"&amp;ROUND(O93,2)&amp;"|"&amp;COUNTIFS($C$4:C93,C93,$O$4:O93,O93))</f>
        <v/>
      </c>
      <c r="Q93" s="34">
        <f t="shared" si="18"/>
        <v>0</v>
      </c>
      <c r="R93" s="34">
        <f t="shared" si="19"/>
        <v>0</v>
      </c>
      <c r="S93" s="34" t="str">
        <f>IF(AND(B93&lt;&gt;"",C93=CompteSel,N(B93)&lt;=DateArret,R93=0),MAX($S$3:S92)+1,"")</f>
        <v/>
      </c>
      <c r="T93" s="34">
        <f t="shared" si="20"/>
        <v>0</v>
      </c>
      <c r="U93" s="34">
        <f t="shared" si="21"/>
        <v>9</v>
      </c>
    </row>
    <row r="94" spans="1:21" x14ac:dyDescent="0.35">
      <c r="A94" s="1" t="str">
        <f t="shared" si="11"/>
        <v/>
      </c>
      <c r="B94" s="31"/>
      <c r="C94" s="8"/>
      <c r="D94" s="8"/>
      <c r="E94" s="8"/>
      <c r="F94" s="32"/>
      <c r="G94" s="32"/>
      <c r="H94" s="32"/>
      <c r="I94" s="1" t="str">
        <f t="shared" si="12"/>
        <v/>
      </c>
      <c r="J94" s="1" t="str">
        <f t="shared" si="13"/>
        <v/>
      </c>
      <c r="K94" s="1" t="str">
        <f t="shared" si="14"/>
        <v/>
      </c>
      <c r="L94" s="8"/>
      <c r="M94" s="1" t="str">
        <f t="shared" si="15"/>
        <v/>
      </c>
      <c r="N94" s="1" t="str">
        <f t="shared" si="16"/>
        <v/>
      </c>
      <c r="O94" s="33" t="str">
        <f t="shared" si="17"/>
        <v/>
      </c>
      <c r="P94" s="34" t="str">
        <f>IF(B94="","",C94&amp;"|"&amp;ROUND(O94,2)&amp;"|"&amp;COUNTIFS($C$4:C94,C94,$O$4:O94,O94))</f>
        <v/>
      </c>
      <c r="Q94" s="34">
        <f t="shared" si="18"/>
        <v>0</v>
      </c>
      <c r="R94" s="34">
        <f t="shared" si="19"/>
        <v>0</v>
      </c>
      <c r="S94" s="34" t="str">
        <f>IF(AND(B94&lt;&gt;"",C94=CompteSel,N(B94)&lt;=DateArret,R94=0),MAX($S$3:S93)+1,"")</f>
        <v/>
      </c>
      <c r="T94" s="34">
        <f t="shared" si="20"/>
        <v>0</v>
      </c>
      <c r="U94" s="34">
        <f t="shared" si="21"/>
        <v>9</v>
      </c>
    </row>
    <row r="95" spans="1:21" x14ac:dyDescent="0.35">
      <c r="A95" s="1" t="str">
        <f t="shared" si="11"/>
        <v/>
      </c>
      <c r="B95" s="31"/>
      <c r="C95" s="8"/>
      <c r="D95" s="8"/>
      <c r="E95" s="8"/>
      <c r="F95" s="32"/>
      <c r="G95" s="32"/>
      <c r="H95" s="32"/>
      <c r="I95" s="1" t="str">
        <f t="shared" si="12"/>
        <v/>
      </c>
      <c r="J95" s="1" t="str">
        <f t="shared" si="13"/>
        <v/>
      </c>
      <c r="K95" s="1" t="str">
        <f t="shared" si="14"/>
        <v/>
      </c>
      <c r="L95" s="8"/>
      <c r="M95" s="1" t="str">
        <f t="shared" si="15"/>
        <v/>
      </c>
      <c r="N95" s="1" t="str">
        <f t="shared" si="16"/>
        <v/>
      </c>
      <c r="O95" s="33" t="str">
        <f t="shared" si="17"/>
        <v/>
      </c>
      <c r="P95" s="34" t="str">
        <f>IF(B95="","",C95&amp;"|"&amp;ROUND(O95,2)&amp;"|"&amp;COUNTIFS($C$4:C95,C95,$O$4:O95,O95))</f>
        <v/>
      </c>
      <c r="Q95" s="34">
        <f t="shared" si="18"/>
        <v>0</v>
      </c>
      <c r="R95" s="34">
        <f t="shared" si="19"/>
        <v>0</v>
      </c>
      <c r="S95" s="34" t="str">
        <f>IF(AND(B95&lt;&gt;"",C95=CompteSel,N(B95)&lt;=DateArret,R95=0),MAX($S$3:S94)+1,"")</f>
        <v/>
      </c>
      <c r="T95" s="34">
        <f t="shared" si="20"/>
        <v>0</v>
      </c>
      <c r="U95" s="34">
        <f t="shared" si="21"/>
        <v>9</v>
      </c>
    </row>
    <row r="96" spans="1:21" x14ac:dyDescent="0.35">
      <c r="A96" s="1" t="str">
        <f t="shared" si="11"/>
        <v/>
      </c>
      <c r="B96" s="31"/>
      <c r="C96" s="8"/>
      <c r="D96" s="8"/>
      <c r="E96" s="8"/>
      <c r="F96" s="32"/>
      <c r="G96" s="32"/>
      <c r="H96" s="32"/>
      <c r="I96" s="1" t="str">
        <f t="shared" si="12"/>
        <v/>
      </c>
      <c r="J96" s="1" t="str">
        <f t="shared" si="13"/>
        <v/>
      </c>
      <c r="K96" s="1" t="str">
        <f t="shared" si="14"/>
        <v/>
      </c>
      <c r="L96" s="8"/>
      <c r="M96" s="1" t="str">
        <f t="shared" si="15"/>
        <v/>
      </c>
      <c r="N96" s="1" t="str">
        <f t="shared" si="16"/>
        <v/>
      </c>
      <c r="O96" s="33" t="str">
        <f t="shared" si="17"/>
        <v/>
      </c>
      <c r="P96" s="34" t="str">
        <f>IF(B96="","",C96&amp;"|"&amp;ROUND(O96,2)&amp;"|"&amp;COUNTIFS($C$4:C96,C96,$O$4:O96,O96))</f>
        <v/>
      </c>
      <c r="Q96" s="34">
        <f t="shared" si="18"/>
        <v>0</v>
      </c>
      <c r="R96" s="34">
        <f t="shared" si="19"/>
        <v>0</v>
      </c>
      <c r="S96" s="34" t="str">
        <f>IF(AND(B96&lt;&gt;"",C96=CompteSel,N(B96)&lt;=DateArret,R96=0),MAX($S$3:S95)+1,"")</f>
        <v/>
      </c>
      <c r="T96" s="34">
        <f t="shared" si="20"/>
        <v>0</v>
      </c>
      <c r="U96" s="34">
        <f t="shared" si="21"/>
        <v>9</v>
      </c>
    </row>
    <row r="97" spans="1:21" x14ac:dyDescent="0.35">
      <c r="A97" s="1" t="str">
        <f t="shared" si="11"/>
        <v/>
      </c>
      <c r="B97" s="31"/>
      <c r="C97" s="8"/>
      <c r="D97" s="8"/>
      <c r="E97" s="8"/>
      <c r="F97" s="32"/>
      <c r="G97" s="32"/>
      <c r="H97" s="32"/>
      <c r="I97" s="1" t="str">
        <f t="shared" si="12"/>
        <v/>
      </c>
      <c r="J97" s="1" t="str">
        <f t="shared" si="13"/>
        <v/>
      </c>
      <c r="K97" s="1" t="str">
        <f t="shared" si="14"/>
        <v/>
      </c>
      <c r="L97" s="8"/>
      <c r="M97" s="1" t="str">
        <f t="shared" si="15"/>
        <v/>
      </c>
      <c r="N97" s="1" t="str">
        <f t="shared" si="16"/>
        <v/>
      </c>
      <c r="O97" s="33" t="str">
        <f t="shared" si="17"/>
        <v/>
      </c>
      <c r="P97" s="34" t="str">
        <f>IF(B97="","",C97&amp;"|"&amp;ROUND(O97,2)&amp;"|"&amp;COUNTIFS($C$4:C97,C97,$O$4:O97,O97))</f>
        <v/>
      </c>
      <c r="Q97" s="34">
        <f t="shared" si="18"/>
        <v>0</v>
      </c>
      <c r="R97" s="34">
        <f t="shared" si="19"/>
        <v>0</v>
      </c>
      <c r="S97" s="34" t="str">
        <f>IF(AND(B97&lt;&gt;"",C97=CompteSel,N(B97)&lt;=DateArret,R97=0),MAX($S$3:S96)+1,"")</f>
        <v/>
      </c>
      <c r="T97" s="34">
        <f t="shared" si="20"/>
        <v>0</v>
      </c>
      <c r="U97" s="34">
        <f t="shared" si="21"/>
        <v>9</v>
      </c>
    </row>
    <row r="98" spans="1:21" x14ac:dyDescent="0.35">
      <c r="A98" s="1" t="str">
        <f t="shared" si="11"/>
        <v/>
      </c>
      <c r="B98" s="31"/>
      <c r="C98" s="8"/>
      <c r="D98" s="8"/>
      <c r="E98" s="8"/>
      <c r="F98" s="32"/>
      <c r="G98" s="32"/>
      <c r="H98" s="32"/>
      <c r="I98" s="1" t="str">
        <f t="shared" si="12"/>
        <v/>
      </c>
      <c r="J98" s="1" t="str">
        <f t="shared" si="13"/>
        <v/>
      </c>
      <c r="K98" s="1" t="str">
        <f t="shared" si="14"/>
        <v/>
      </c>
      <c r="L98" s="8"/>
      <c r="M98" s="1" t="str">
        <f t="shared" si="15"/>
        <v/>
      </c>
      <c r="N98" s="1" t="str">
        <f t="shared" si="16"/>
        <v/>
      </c>
      <c r="O98" s="33" t="str">
        <f t="shared" si="17"/>
        <v/>
      </c>
      <c r="P98" s="34" t="str">
        <f>IF(B98="","",C98&amp;"|"&amp;ROUND(O98,2)&amp;"|"&amp;COUNTIFS($C$4:C98,C98,$O$4:O98,O98))</f>
        <v/>
      </c>
      <c r="Q98" s="34">
        <f t="shared" si="18"/>
        <v>0</v>
      </c>
      <c r="R98" s="34">
        <f t="shared" si="19"/>
        <v>0</v>
      </c>
      <c r="S98" s="34" t="str">
        <f>IF(AND(B98&lt;&gt;"",C98=CompteSel,N(B98)&lt;=DateArret,R98=0),MAX($S$3:S97)+1,"")</f>
        <v/>
      </c>
      <c r="T98" s="34">
        <f t="shared" si="20"/>
        <v>0</v>
      </c>
      <c r="U98" s="34">
        <f t="shared" si="21"/>
        <v>9</v>
      </c>
    </row>
    <row r="99" spans="1:21" x14ac:dyDescent="0.35">
      <c r="A99" s="1" t="str">
        <f t="shared" si="11"/>
        <v/>
      </c>
      <c r="B99" s="31"/>
      <c r="C99" s="8"/>
      <c r="D99" s="8"/>
      <c r="E99" s="8"/>
      <c r="F99" s="32"/>
      <c r="G99" s="32"/>
      <c r="H99" s="32"/>
      <c r="I99" s="1" t="str">
        <f t="shared" si="12"/>
        <v/>
      </c>
      <c r="J99" s="1" t="str">
        <f t="shared" si="13"/>
        <v/>
      </c>
      <c r="K99" s="1" t="str">
        <f t="shared" si="14"/>
        <v/>
      </c>
      <c r="L99" s="8"/>
      <c r="M99" s="1" t="str">
        <f t="shared" si="15"/>
        <v/>
      </c>
      <c r="N99" s="1" t="str">
        <f t="shared" si="16"/>
        <v/>
      </c>
      <c r="O99" s="33" t="str">
        <f t="shared" si="17"/>
        <v/>
      </c>
      <c r="P99" s="34" t="str">
        <f>IF(B99="","",C99&amp;"|"&amp;ROUND(O99,2)&amp;"|"&amp;COUNTIFS($C$4:C99,C99,$O$4:O99,O99))</f>
        <v/>
      </c>
      <c r="Q99" s="34">
        <f t="shared" si="18"/>
        <v>0</v>
      </c>
      <c r="R99" s="34">
        <f t="shared" si="19"/>
        <v>0</v>
      </c>
      <c r="S99" s="34" t="str">
        <f>IF(AND(B99&lt;&gt;"",C99=CompteSel,N(B99)&lt;=DateArret,R99=0),MAX($S$3:S98)+1,"")</f>
        <v/>
      </c>
      <c r="T99" s="34">
        <f t="shared" si="20"/>
        <v>0</v>
      </c>
      <c r="U99" s="34">
        <f t="shared" si="21"/>
        <v>9</v>
      </c>
    </row>
    <row r="100" spans="1:21" x14ac:dyDescent="0.35">
      <c r="A100" s="1" t="str">
        <f t="shared" si="11"/>
        <v/>
      </c>
      <c r="B100" s="31"/>
      <c r="C100" s="8"/>
      <c r="D100" s="8"/>
      <c r="E100" s="8"/>
      <c r="F100" s="32"/>
      <c r="G100" s="32"/>
      <c r="H100" s="32"/>
      <c r="I100" s="1" t="str">
        <f t="shared" si="12"/>
        <v/>
      </c>
      <c r="J100" s="1" t="str">
        <f t="shared" si="13"/>
        <v/>
      </c>
      <c r="K100" s="1" t="str">
        <f t="shared" si="14"/>
        <v/>
      </c>
      <c r="L100" s="8"/>
      <c r="M100" s="1" t="str">
        <f t="shared" si="15"/>
        <v/>
      </c>
      <c r="N100" s="1" t="str">
        <f t="shared" si="16"/>
        <v/>
      </c>
      <c r="O100" s="33" t="str">
        <f t="shared" si="17"/>
        <v/>
      </c>
      <c r="P100" s="34" t="str">
        <f>IF(B100="","",C100&amp;"|"&amp;ROUND(O100,2)&amp;"|"&amp;COUNTIFS($C$4:C100,C100,$O$4:O100,O100))</f>
        <v/>
      </c>
      <c r="Q100" s="34">
        <f t="shared" si="18"/>
        <v>0</v>
      </c>
      <c r="R100" s="34">
        <f t="shared" si="19"/>
        <v>0</v>
      </c>
      <c r="S100" s="34" t="str">
        <f>IF(AND(B100&lt;&gt;"",C100=CompteSel,N(B100)&lt;=DateArret,R100=0),MAX($S$3:S99)+1,"")</f>
        <v/>
      </c>
      <c r="T100" s="34">
        <f t="shared" si="20"/>
        <v>0</v>
      </c>
      <c r="U100" s="34">
        <f t="shared" si="21"/>
        <v>9</v>
      </c>
    </row>
    <row r="101" spans="1:21" x14ac:dyDescent="0.35">
      <c r="A101" s="1" t="str">
        <f t="shared" si="11"/>
        <v/>
      </c>
      <c r="B101" s="31"/>
      <c r="C101" s="8"/>
      <c r="D101" s="8"/>
      <c r="E101" s="8"/>
      <c r="F101" s="32"/>
      <c r="G101" s="32"/>
      <c r="H101" s="32"/>
      <c r="I101" s="1" t="str">
        <f t="shared" si="12"/>
        <v/>
      </c>
      <c r="J101" s="1" t="str">
        <f t="shared" si="13"/>
        <v/>
      </c>
      <c r="K101" s="1" t="str">
        <f t="shared" si="14"/>
        <v/>
      </c>
      <c r="L101" s="8"/>
      <c r="M101" s="1" t="str">
        <f t="shared" si="15"/>
        <v/>
      </c>
      <c r="N101" s="1" t="str">
        <f t="shared" si="16"/>
        <v/>
      </c>
      <c r="O101" s="33" t="str">
        <f t="shared" si="17"/>
        <v/>
      </c>
      <c r="P101" s="34" t="str">
        <f>IF(B101="","",C101&amp;"|"&amp;ROUND(O101,2)&amp;"|"&amp;COUNTIFS($C$4:C101,C101,$O$4:O101,O101))</f>
        <v/>
      </c>
      <c r="Q101" s="34">
        <f t="shared" si="18"/>
        <v>0</v>
      </c>
      <c r="R101" s="34">
        <f t="shared" si="19"/>
        <v>0</v>
      </c>
      <c r="S101" s="34" t="str">
        <f>IF(AND(B101&lt;&gt;"",C101=CompteSel,N(B101)&lt;=DateArret,R101=0),MAX($S$3:S100)+1,"")</f>
        <v/>
      </c>
      <c r="T101" s="34">
        <f t="shared" si="20"/>
        <v>0</v>
      </c>
      <c r="U101" s="34">
        <f t="shared" si="21"/>
        <v>9</v>
      </c>
    </row>
    <row r="102" spans="1:21" x14ac:dyDescent="0.35">
      <c r="A102" s="1" t="str">
        <f t="shared" si="11"/>
        <v/>
      </c>
      <c r="B102" s="31"/>
      <c r="C102" s="8"/>
      <c r="D102" s="8"/>
      <c r="E102" s="8"/>
      <c r="F102" s="32"/>
      <c r="G102" s="32"/>
      <c r="H102" s="32"/>
      <c r="I102" s="1" t="str">
        <f t="shared" si="12"/>
        <v/>
      </c>
      <c r="J102" s="1" t="str">
        <f t="shared" si="13"/>
        <v/>
      </c>
      <c r="K102" s="1" t="str">
        <f t="shared" si="14"/>
        <v/>
      </c>
      <c r="L102" s="8"/>
      <c r="M102" s="1" t="str">
        <f t="shared" si="15"/>
        <v/>
      </c>
      <c r="N102" s="1" t="str">
        <f t="shared" si="16"/>
        <v/>
      </c>
      <c r="O102" s="33" t="str">
        <f t="shared" si="17"/>
        <v/>
      </c>
      <c r="P102" s="34" t="str">
        <f>IF(B102="","",C102&amp;"|"&amp;ROUND(O102,2)&amp;"|"&amp;COUNTIFS($C$4:C102,C102,$O$4:O102,O102))</f>
        <v/>
      </c>
      <c r="Q102" s="34">
        <f t="shared" si="18"/>
        <v>0</v>
      </c>
      <c r="R102" s="34">
        <f t="shared" si="19"/>
        <v>0</v>
      </c>
      <c r="S102" s="34" t="str">
        <f>IF(AND(B102&lt;&gt;"",C102=CompteSel,N(B102)&lt;=DateArret,R102=0),MAX($S$3:S101)+1,"")</f>
        <v/>
      </c>
      <c r="T102" s="34">
        <f t="shared" si="20"/>
        <v>0</v>
      </c>
      <c r="U102" s="34">
        <f t="shared" si="21"/>
        <v>9</v>
      </c>
    </row>
    <row r="103" spans="1:21" x14ac:dyDescent="0.35">
      <c r="A103" s="1" t="str">
        <f t="shared" si="11"/>
        <v/>
      </c>
      <c r="B103" s="31"/>
      <c r="C103" s="8"/>
      <c r="D103" s="8"/>
      <c r="E103" s="8"/>
      <c r="F103" s="32"/>
      <c r="G103" s="32"/>
      <c r="H103" s="32"/>
      <c r="I103" s="1" t="str">
        <f t="shared" si="12"/>
        <v/>
      </c>
      <c r="J103" s="1" t="str">
        <f t="shared" si="13"/>
        <v/>
      </c>
      <c r="K103" s="1" t="str">
        <f t="shared" si="14"/>
        <v/>
      </c>
      <c r="L103" s="8"/>
      <c r="M103" s="1" t="str">
        <f t="shared" si="15"/>
        <v/>
      </c>
      <c r="N103" s="1" t="str">
        <f t="shared" si="16"/>
        <v/>
      </c>
      <c r="O103" s="33" t="str">
        <f t="shared" si="17"/>
        <v/>
      </c>
      <c r="P103" s="34" t="str">
        <f>IF(B103="","",C103&amp;"|"&amp;ROUND(O103,2)&amp;"|"&amp;COUNTIFS($C$4:C103,C103,$O$4:O103,O103))</f>
        <v/>
      </c>
      <c r="Q103" s="34">
        <f t="shared" si="18"/>
        <v>0</v>
      </c>
      <c r="R103" s="34">
        <f t="shared" si="19"/>
        <v>0</v>
      </c>
      <c r="S103" s="34" t="str">
        <f>IF(AND(B103&lt;&gt;"",C103=CompteSel,N(B103)&lt;=DateArret,R103=0),MAX($S$3:S102)+1,"")</f>
        <v/>
      </c>
      <c r="T103" s="34">
        <f t="shared" si="20"/>
        <v>0</v>
      </c>
      <c r="U103" s="34">
        <f t="shared" si="21"/>
        <v>9</v>
      </c>
    </row>
    <row r="104" spans="1:21" x14ac:dyDescent="0.35">
      <c r="A104" s="1" t="str">
        <f t="shared" si="11"/>
        <v/>
      </c>
      <c r="B104" s="31"/>
      <c r="C104" s="8"/>
      <c r="D104" s="8"/>
      <c r="E104" s="8"/>
      <c r="F104" s="32"/>
      <c r="G104" s="32"/>
      <c r="H104" s="32"/>
      <c r="I104" s="1" t="str">
        <f t="shared" si="12"/>
        <v/>
      </c>
      <c r="J104" s="1" t="str">
        <f t="shared" si="13"/>
        <v/>
      </c>
      <c r="K104" s="1" t="str">
        <f t="shared" si="14"/>
        <v/>
      </c>
      <c r="L104" s="8"/>
      <c r="M104" s="1" t="str">
        <f t="shared" si="15"/>
        <v/>
      </c>
      <c r="N104" s="1" t="str">
        <f t="shared" si="16"/>
        <v/>
      </c>
      <c r="O104" s="33" t="str">
        <f t="shared" si="17"/>
        <v/>
      </c>
      <c r="P104" s="34" t="str">
        <f>IF(B104="","",C104&amp;"|"&amp;ROUND(O104,2)&amp;"|"&amp;COUNTIFS($C$4:C104,C104,$O$4:O104,O104))</f>
        <v/>
      </c>
      <c r="Q104" s="34">
        <f t="shared" si="18"/>
        <v>0</v>
      </c>
      <c r="R104" s="34">
        <f t="shared" si="19"/>
        <v>0</v>
      </c>
      <c r="S104" s="34" t="str">
        <f>IF(AND(B104&lt;&gt;"",C104=CompteSel,N(B104)&lt;=DateArret,R104=0),MAX($S$3:S103)+1,"")</f>
        <v/>
      </c>
      <c r="T104" s="34">
        <f t="shared" si="20"/>
        <v>0</v>
      </c>
      <c r="U104" s="34">
        <f t="shared" si="21"/>
        <v>9</v>
      </c>
    </row>
    <row r="105" spans="1:21" x14ac:dyDescent="0.35">
      <c r="A105" s="1" t="str">
        <f t="shared" si="11"/>
        <v/>
      </c>
      <c r="B105" s="31"/>
      <c r="C105" s="8"/>
      <c r="D105" s="8"/>
      <c r="E105" s="8"/>
      <c r="F105" s="32"/>
      <c r="G105" s="32"/>
      <c r="H105" s="32"/>
      <c r="I105" s="1" t="str">
        <f t="shared" si="12"/>
        <v/>
      </c>
      <c r="J105" s="1" t="str">
        <f t="shared" si="13"/>
        <v/>
      </c>
      <c r="K105" s="1" t="str">
        <f t="shared" si="14"/>
        <v/>
      </c>
      <c r="L105" s="8"/>
      <c r="M105" s="1" t="str">
        <f t="shared" si="15"/>
        <v/>
      </c>
      <c r="N105" s="1" t="str">
        <f t="shared" si="16"/>
        <v/>
      </c>
      <c r="O105" s="33" t="str">
        <f t="shared" si="17"/>
        <v/>
      </c>
      <c r="P105" s="34" t="str">
        <f>IF(B105="","",C105&amp;"|"&amp;ROUND(O105,2)&amp;"|"&amp;COUNTIFS($C$4:C105,C105,$O$4:O105,O105))</f>
        <v/>
      </c>
      <c r="Q105" s="34">
        <f t="shared" si="18"/>
        <v>0</v>
      </c>
      <c r="R105" s="34">
        <f t="shared" si="19"/>
        <v>0</v>
      </c>
      <c r="S105" s="34" t="str">
        <f>IF(AND(B105&lt;&gt;"",C105=CompteSel,N(B105)&lt;=DateArret,R105=0),MAX($S$3:S104)+1,"")</f>
        <v/>
      </c>
      <c r="T105" s="34">
        <f t="shared" si="20"/>
        <v>0</v>
      </c>
      <c r="U105" s="34">
        <f t="shared" si="21"/>
        <v>9</v>
      </c>
    </row>
    <row r="106" spans="1:21" x14ac:dyDescent="0.35">
      <c r="A106" s="1" t="str">
        <f t="shared" si="11"/>
        <v/>
      </c>
      <c r="B106" s="31"/>
      <c r="C106" s="8"/>
      <c r="D106" s="8"/>
      <c r="E106" s="8"/>
      <c r="F106" s="32"/>
      <c r="G106" s="32"/>
      <c r="H106" s="32"/>
      <c r="I106" s="1" t="str">
        <f t="shared" si="12"/>
        <v/>
      </c>
      <c r="J106" s="1" t="str">
        <f t="shared" si="13"/>
        <v/>
      </c>
      <c r="K106" s="1" t="str">
        <f t="shared" si="14"/>
        <v/>
      </c>
      <c r="L106" s="8"/>
      <c r="M106" s="1" t="str">
        <f t="shared" si="15"/>
        <v/>
      </c>
      <c r="N106" s="1" t="str">
        <f t="shared" si="16"/>
        <v/>
      </c>
      <c r="O106" s="33" t="str">
        <f t="shared" si="17"/>
        <v/>
      </c>
      <c r="P106" s="34" t="str">
        <f>IF(B106="","",C106&amp;"|"&amp;ROUND(O106,2)&amp;"|"&amp;COUNTIFS($C$4:C106,C106,$O$4:O106,O106))</f>
        <v/>
      </c>
      <c r="Q106" s="34">
        <f t="shared" si="18"/>
        <v>0</v>
      </c>
      <c r="R106" s="34">
        <f t="shared" si="19"/>
        <v>0</v>
      </c>
      <c r="S106" s="34" t="str">
        <f>IF(AND(B106&lt;&gt;"",C106=CompteSel,N(B106)&lt;=DateArret,R106=0),MAX($S$3:S105)+1,"")</f>
        <v/>
      </c>
      <c r="T106" s="34">
        <f t="shared" si="20"/>
        <v>0</v>
      </c>
      <c r="U106" s="34">
        <f t="shared" si="21"/>
        <v>9</v>
      </c>
    </row>
    <row r="107" spans="1:21" x14ac:dyDescent="0.35">
      <c r="A107" s="1" t="str">
        <f t="shared" si="11"/>
        <v/>
      </c>
      <c r="B107" s="31"/>
      <c r="C107" s="8"/>
      <c r="D107" s="8"/>
      <c r="E107" s="8"/>
      <c r="F107" s="32"/>
      <c r="G107" s="32"/>
      <c r="H107" s="32"/>
      <c r="I107" s="1" t="str">
        <f t="shared" si="12"/>
        <v/>
      </c>
      <c r="J107" s="1" t="str">
        <f t="shared" si="13"/>
        <v/>
      </c>
      <c r="K107" s="1" t="str">
        <f t="shared" si="14"/>
        <v/>
      </c>
      <c r="L107" s="8"/>
      <c r="M107" s="1" t="str">
        <f t="shared" si="15"/>
        <v/>
      </c>
      <c r="N107" s="1" t="str">
        <f t="shared" si="16"/>
        <v/>
      </c>
      <c r="O107" s="33" t="str">
        <f t="shared" si="17"/>
        <v/>
      </c>
      <c r="P107" s="34" t="str">
        <f>IF(B107="","",C107&amp;"|"&amp;ROUND(O107,2)&amp;"|"&amp;COUNTIFS($C$4:C107,C107,$O$4:O107,O107))</f>
        <v/>
      </c>
      <c r="Q107" s="34">
        <f t="shared" si="18"/>
        <v>0</v>
      </c>
      <c r="R107" s="34">
        <f t="shared" si="19"/>
        <v>0</v>
      </c>
      <c r="S107" s="34" t="str">
        <f>IF(AND(B107&lt;&gt;"",C107=CompteSel,N(B107)&lt;=DateArret,R107=0),MAX($S$3:S106)+1,"")</f>
        <v/>
      </c>
      <c r="T107" s="34">
        <f t="shared" si="20"/>
        <v>0</v>
      </c>
      <c r="U107" s="34">
        <f t="shared" si="21"/>
        <v>9</v>
      </c>
    </row>
    <row r="108" spans="1:21" x14ac:dyDescent="0.35">
      <c r="A108" s="1" t="str">
        <f t="shared" si="11"/>
        <v/>
      </c>
      <c r="B108" s="31"/>
      <c r="C108" s="8"/>
      <c r="D108" s="8"/>
      <c r="E108" s="8"/>
      <c r="F108" s="32"/>
      <c r="G108" s="32"/>
      <c r="H108" s="32"/>
      <c r="I108" s="1" t="str">
        <f t="shared" si="12"/>
        <v/>
      </c>
      <c r="J108" s="1" t="str">
        <f t="shared" si="13"/>
        <v/>
      </c>
      <c r="K108" s="1" t="str">
        <f t="shared" si="14"/>
        <v/>
      </c>
      <c r="L108" s="8"/>
      <c r="M108" s="1" t="str">
        <f t="shared" si="15"/>
        <v/>
      </c>
      <c r="N108" s="1" t="str">
        <f t="shared" si="16"/>
        <v/>
      </c>
      <c r="O108" s="33" t="str">
        <f t="shared" si="17"/>
        <v/>
      </c>
      <c r="P108" s="34" t="str">
        <f>IF(B108="","",C108&amp;"|"&amp;ROUND(O108,2)&amp;"|"&amp;COUNTIFS($C$4:C108,C108,$O$4:O108,O108))</f>
        <v/>
      </c>
      <c r="Q108" s="34">
        <f t="shared" si="18"/>
        <v>0</v>
      </c>
      <c r="R108" s="34">
        <f t="shared" si="19"/>
        <v>0</v>
      </c>
      <c r="S108" s="34" t="str">
        <f>IF(AND(B108&lt;&gt;"",C108=CompteSel,N(B108)&lt;=DateArret,R108=0),MAX($S$3:S107)+1,"")</f>
        <v/>
      </c>
      <c r="T108" s="34">
        <f t="shared" si="20"/>
        <v>0</v>
      </c>
      <c r="U108" s="34">
        <f t="shared" si="21"/>
        <v>9</v>
      </c>
    </row>
    <row r="109" spans="1:21" x14ac:dyDescent="0.35">
      <c r="A109" s="1" t="str">
        <f t="shared" si="11"/>
        <v/>
      </c>
      <c r="B109" s="31"/>
      <c r="C109" s="8"/>
      <c r="D109" s="8"/>
      <c r="E109" s="8"/>
      <c r="F109" s="32"/>
      <c r="G109" s="32"/>
      <c r="H109" s="32"/>
      <c r="I109" s="1" t="str">
        <f t="shared" si="12"/>
        <v/>
      </c>
      <c r="J109" s="1" t="str">
        <f t="shared" si="13"/>
        <v/>
      </c>
      <c r="K109" s="1" t="str">
        <f t="shared" si="14"/>
        <v/>
      </c>
      <c r="L109" s="8"/>
      <c r="M109" s="1" t="str">
        <f t="shared" si="15"/>
        <v/>
      </c>
      <c r="N109" s="1" t="str">
        <f t="shared" si="16"/>
        <v/>
      </c>
      <c r="O109" s="33" t="str">
        <f t="shared" si="17"/>
        <v/>
      </c>
      <c r="P109" s="34" t="str">
        <f>IF(B109="","",C109&amp;"|"&amp;ROUND(O109,2)&amp;"|"&amp;COUNTIFS($C$4:C109,C109,$O$4:O109,O109))</f>
        <v/>
      </c>
      <c r="Q109" s="34">
        <f t="shared" si="18"/>
        <v>0</v>
      </c>
      <c r="R109" s="34">
        <f t="shared" si="19"/>
        <v>0</v>
      </c>
      <c r="S109" s="34" t="str">
        <f>IF(AND(B109&lt;&gt;"",C109=CompteSel,N(B109)&lt;=DateArret,R109=0),MAX($S$3:S108)+1,"")</f>
        <v/>
      </c>
      <c r="T109" s="34">
        <f t="shared" si="20"/>
        <v>0</v>
      </c>
      <c r="U109" s="34">
        <f t="shared" si="21"/>
        <v>9</v>
      </c>
    </row>
    <row r="110" spans="1:21" x14ac:dyDescent="0.35">
      <c r="A110" s="1" t="str">
        <f t="shared" si="11"/>
        <v/>
      </c>
      <c r="B110" s="31"/>
      <c r="C110" s="8"/>
      <c r="D110" s="8"/>
      <c r="E110" s="8"/>
      <c r="F110" s="32"/>
      <c r="G110" s="32"/>
      <c r="H110" s="32"/>
      <c r="I110" s="1" t="str">
        <f t="shared" si="12"/>
        <v/>
      </c>
      <c r="J110" s="1" t="str">
        <f t="shared" si="13"/>
        <v/>
      </c>
      <c r="K110" s="1" t="str">
        <f t="shared" si="14"/>
        <v/>
      </c>
      <c r="L110" s="8"/>
      <c r="M110" s="1" t="str">
        <f t="shared" si="15"/>
        <v/>
      </c>
      <c r="N110" s="1" t="str">
        <f t="shared" si="16"/>
        <v/>
      </c>
      <c r="O110" s="33" t="str">
        <f t="shared" si="17"/>
        <v/>
      </c>
      <c r="P110" s="34" t="str">
        <f>IF(B110="","",C110&amp;"|"&amp;ROUND(O110,2)&amp;"|"&amp;COUNTIFS($C$4:C110,C110,$O$4:O110,O110))</f>
        <v/>
      </c>
      <c r="Q110" s="34">
        <f t="shared" si="18"/>
        <v>0</v>
      </c>
      <c r="R110" s="34">
        <f t="shared" si="19"/>
        <v>0</v>
      </c>
      <c r="S110" s="34" t="str">
        <f>IF(AND(B110&lt;&gt;"",C110=CompteSel,N(B110)&lt;=DateArret,R110=0),MAX($S$3:S109)+1,"")</f>
        <v/>
      </c>
      <c r="T110" s="34">
        <f t="shared" si="20"/>
        <v>0</v>
      </c>
      <c r="U110" s="34">
        <f t="shared" si="21"/>
        <v>9</v>
      </c>
    </row>
    <row r="111" spans="1:21" x14ac:dyDescent="0.35">
      <c r="A111" s="1" t="str">
        <f t="shared" si="11"/>
        <v/>
      </c>
      <c r="B111" s="31"/>
      <c r="C111" s="8"/>
      <c r="D111" s="8"/>
      <c r="E111" s="8"/>
      <c r="F111" s="32"/>
      <c r="G111" s="32"/>
      <c r="H111" s="32"/>
      <c r="I111" s="1" t="str">
        <f t="shared" si="12"/>
        <v/>
      </c>
      <c r="J111" s="1" t="str">
        <f t="shared" si="13"/>
        <v/>
      </c>
      <c r="K111" s="1" t="str">
        <f t="shared" si="14"/>
        <v/>
      </c>
      <c r="L111" s="8"/>
      <c r="M111" s="1" t="str">
        <f t="shared" si="15"/>
        <v/>
      </c>
      <c r="N111" s="1" t="str">
        <f t="shared" si="16"/>
        <v/>
      </c>
      <c r="O111" s="33" t="str">
        <f t="shared" si="17"/>
        <v/>
      </c>
      <c r="P111" s="34" t="str">
        <f>IF(B111="","",C111&amp;"|"&amp;ROUND(O111,2)&amp;"|"&amp;COUNTIFS($C$4:C111,C111,$O$4:O111,O111))</f>
        <v/>
      </c>
      <c r="Q111" s="34">
        <f t="shared" si="18"/>
        <v>0</v>
      </c>
      <c r="R111" s="34">
        <f t="shared" si="19"/>
        <v>0</v>
      </c>
      <c r="S111" s="34" t="str">
        <f>IF(AND(B111&lt;&gt;"",C111=CompteSel,N(B111)&lt;=DateArret,R111=0),MAX($S$3:S110)+1,"")</f>
        <v/>
      </c>
      <c r="T111" s="34">
        <f t="shared" si="20"/>
        <v>0</v>
      </c>
      <c r="U111" s="34">
        <f t="shared" si="21"/>
        <v>9</v>
      </c>
    </row>
    <row r="112" spans="1:21" x14ac:dyDescent="0.35">
      <c r="A112" s="1" t="str">
        <f t="shared" si="11"/>
        <v/>
      </c>
      <c r="B112" s="31"/>
      <c r="C112" s="8"/>
      <c r="D112" s="8"/>
      <c r="E112" s="8"/>
      <c r="F112" s="32"/>
      <c r="G112" s="32"/>
      <c r="H112" s="32"/>
      <c r="I112" s="1" t="str">
        <f t="shared" si="12"/>
        <v/>
      </c>
      <c r="J112" s="1" t="str">
        <f t="shared" si="13"/>
        <v/>
      </c>
      <c r="K112" s="1" t="str">
        <f t="shared" si="14"/>
        <v/>
      </c>
      <c r="L112" s="8"/>
      <c r="M112" s="1" t="str">
        <f t="shared" si="15"/>
        <v/>
      </c>
      <c r="N112" s="1" t="str">
        <f t="shared" si="16"/>
        <v/>
      </c>
      <c r="O112" s="33" t="str">
        <f t="shared" si="17"/>
        <v/>
      </c>
      <c r="P112" s="34" t="str">
        <f>IF(B112="","",C112&amp;"|"&amp;ROUND(O112,2)&amp;"|"&amp;COUNTIFS($C$4:C112,C112,$O$4:O112,O112))</f>
        <v/>
      </c>
      <c r="Q112" s="34">
        <f t="shared" si="18"/>
        <v>0</v>
      </c>
      <c r="R112" s="34">
        <f t="shared" si="19"/>
        <v>0</v>
      </c>
      <c r="S112" s="34" t="str">
        <f>IF(AND(B112&lt;&gt;"",C112=CompteSel,N(B112)&lt;=DateArret,R112=0),MAX($S$3:S111)+1,"")</f>
        <v/>
      </c>
      <c r="T112" s="34">
        <f t="shared" si="20"/>
        <v>0</v>
      </c>
      <c r="U112" s="34">
        <f t="shared" si="21"/>
        <v>9</v>
      </c>
    </row>
    <row r="113" spans="1:21" x14ac:dyDescent="0.35">
      <c r="A113" s="1" t="str">
        <f t="shared" si="11"/>
        <v/>
      </c>
      <c r="B113" s="31"/>
      <c r="C113" s="8"/>
      <c r="D113" s="8"/>
      <c r="E113" s="8"/>
      <c r="F113" s="32"/>
      <c r="G113" s="32"/>
      <c r="H113" s="32"/>
      <c r="I113" s="1" t="str">
        <f t="shared" si="12"/>
        <v/>
      </c>
      <c r="J113" s="1" t="str">
        <f t="shared" si="13"/>
        <v/>
      </c>
      <c r="K113" s="1" t="str">
        <f t="shared" si="14"/>
        <v/>
      </c>
      <c r="L113" s="8"/>
      <c r="M113" s="1" t="str">
        <f t="shared" si="15"/>
        <v/>
      </c>
      <c r="N113" s="1" t="str">
        <f t="shared" si="16"/>
        <v/>
      </c>
      <c r="O113" s="33" t="str">
        <f t="shared" si="17"/>
        <v/>
      </c>
      <c r="P113" s="34" t="str">
        <f>IF(B113="","",C113&amp;"|"&amp;ROUND(O113,2)&amp;"|"&amp;COUNTIFS($C$4:C113,C113,$O$4:O113,O113))</f>
        <v/>
      </c>
      <c r="Q113" s="34">
        <f t="shared" si="18"/>
        <v>0</v>
      </c>
      <c r="R113" s="34">
        <f t="shared" si="19"/>
        <v>0</v>
      </c>
      <c r="S113" s="34" t="str">
        <f>IF(AND(B113&lt;&gt;"",C113=CompteSel,N(B113)&lt;=DateArret,R113=0),MAX($S$3:S112)+1,"")</f>
        <v/>
      </c>
      <c r="T113" s="34">
        <f t="shared" si="20"/>
        <v>0</v>
      </c>
      <c r="U113" s="34">
        <f t="shared" si="21"/>
        <v>9</v>
      </c>
    </row>
    <row r="114" spans="1:21" x14ac:dyDescent="0.35">
      <c r="A114" s="1" t="str">
        <f t="shared" si="11"/>
        <v/>
      </c>
      <c r="B114" s="31"/>
      <c r="C114" s="8"/>
      <c r="D114" s="8"/>
      <c r="E114" s="8"/>
      <c r="F114" s="32"/>
      <c r="G114" s="32"/>
      <c r="H114" s="32"/>
      <c r="I114" s="1" t="str">
        <f t="shared" si="12"/>
        <v/>
      </c>
      <c r="J114" s="1" t="str">
        <f t="shared" si="13"/>
        <v/>
      </c>
      <c r="K114" s="1" t="str">
        <f t="shared" si="14"/>
        <v/>
      </c>
      <c r="L114" s="8"/>
      <c r="M114" s="1" t="str">
        <f t="shared" si="15"/>
        <v/>
      </c>
      <c r="N114" s="1" t="str">
        <f t="shared" si="16"/>
        <v/>
      </c>
      <c r="O114" s="33" t="str">
        <f t="shared" si="17"/>
        <v/>
      </c>
      <c r="P114" s="34" t="str">
        <f>IF(B114="","",C114&amp;"|"&amp;ROUND(O114,2)&amp;"|"&amp;COUNTIFS($C$4:C114,C114,$O$4:O114,O114))</f>
        <v/>
      </c>
      <c r="Q114" s="34">
        <f t="shared" si="18"/>
        <v>0</v>
      </c>
      <c r="R114" s="34">
        <f t="shared" si="19"/>
        <v>0</v>
      </c>
      <c r="S114" s="34" t="str">
        <f>IF(AND(B114&lt;&gt;"",C114=CompteSel,N(B114)&lt;=DateArret,R114=0),MAX($S$3:S113)+1,"")</f>
        <v/>
      </c>
      <c r="T114" s="34">
        <f t="shared" si="20"/>
        <v>0</v>
      </c>
      <c r="U114" s="34">
        <f t="shared" si="21"/>
        <v>9</v>
      </c>
    </row>
    <row r="115" spans="1:21" x14ac:dyDescent="0.35">
      <c r="A115" s="1" t="str">
        <f t="shared" si="11"/>
        <v/>
      </c>
      <c r="B115" s="31"/>
      <c r="C115" s="8"/>
      <c r="D115" s="8"/>
      <c r="E115" s="8"/>
      <c r="F115" s="32"/>
      <c r="G115" s="32"/>
      <c r="H115" s="32"/>
      <c r="I115" s="1" t="str">
        <f t="shared" si="12"/>
        <v/>
      </c>
      <c r="J115" s="1" t="str">
        <f t="shared" si="13"/>
        <v/>
      </c>
      <c r="K115" s="1" t="str">
        <f t="shared" si="14"/>
        <v/>
      </c>
      <c r="L115" s="8"/>
      <c r="M115" s="1" t="str">
        <f t="shared" si="15"/>
        <v/>
      </c>
      <c r="N115" s="1" t="str">
        <f t="shared" si="16"/>
        <v/>
      </c>
      <c r="O115" s="33" t="str">
        <f t="shared" si="17"/>
        <v/>
      </c>
      <c r="P115" s="34" t="str">
        <f>IF(B115="","",C115&amp;"|"&amp;ROUND(O115,2)&amp;"|"&amp;COUNTIFS($C$4:C115,C115,$O$4:O115,O115))</f>
        <v/>
      </c>
      <c r="Q115" s="34">
        <f t="shared" si="18"/>
        <v>0</v>
      </c>
      <c r="R115" s="34">
        <f t="shared" si="19"/>
        <v>0</v>
      </c>
      <c r="S115" s="34" t="str">
        <f>IF(AND(B115&lt;&gt;"",C115=CompteSel,N(B115)&lt;=DateArret,R115=0),MAX($S$3:S114)+1,"")</f>
        <v/>
      </c>
      <c r="T115" s="34">
        <f t="shared" si="20"/>
        <v>0</v>
      </c>
      <c r="U115" s="34">
        <f t="shared" si="21"/>
        <v>9</v>
      </c>
    </row>
    <row r="116" spans="1:21" x14ac:dyDescent="0.35">
      <c r="A116" s="1" t="str">
        <f t="shared" si="11"/>
        <v/>
      </c>
      <c r="B116" s="31"/>
      <c r="C116" s="8"/>
      <c r="D116" s="8"/>
      <c r="E116" s="8"/>
      <c r="F116" s="32"/>
      <c r="G116" s="32"/>
      <c r="H116" s="32"/>
      <c r="I116" s="1" t="str">
        <f t="shared" si="12"/>
        <v/>
      </c>
      <c r="J116" s="1" t="str">
        <f t="shared" si="13"/>
        <v/>
      </c>
      <c r="K116" s="1" t="str">
        <f t="shared" si="14"/>
        <v/>
      </c>
      <c r="L116" s="8"/>
      <c r="M116" s="1" t="str">
        <f t="shared" si="15"/>
        <v/>
      </c>
      <c r="N116" s="1" t="str">
        <f t="shared" si="16"/>
        <v/>
      </c>
      <c r="O116" s="33" t="str">
        <f t="shared" si="17"/>
        <v/>
      </c>
      <c r="P116" s="34" t="str">
        <f>IF(B116="","",C116&amp;"|"&amp;ROUND(O116,2)&amp;"|"&amp;COUNTIFS($C$4:C116,C116,$O$4:O116,O116))</f>
        <v/>
      </c>
      <c r="Q116" s="34">
        <f t="shared" si="18"/>
        <v>0</v>
      </c>
      <c r="R116" s="34">
        <f t="shared" si="19"/>
        <v>0</v>
      </c>
      <c r="S116" s="34" t="str">
        <f>IF(AND(B116&lt;&gt;"",C116=CompteSel,N(B116)&lt;=DateArret,R116=0),MAX($S$3:S115)+1,"")</f>
        <v/>
      </c>
      <c r="T116" s="34">
        <f t="shared" si="20"/>
        <v>0</v>
      </c>
      <c r="U116" s="34">
        <f t="shared" si="21"/>
        <v>9</v>
      </c>
    </row>
    <row r="117" spans="1:21" x14ac:dyDescent="0.35">
      <c r="A117" s="1" t="str">
        <f t="shared" si="11"/>
        <v/>
      </c>
      <c r="B117" s="31"/>
      <c r="C117" s="8"/>
      <c r="D117" s="8"/>
      <c r="E117" s="8"/>
      <c r="F117" s="32"/>
      <c r="G117" s="32"/>
      <c r="H117" s="32"/>
      <c r="I117" s="1" t="str">
        <f t="shared" si="12"/>
        <v/>
      </c>
      <c r="J117" s="1" t="str">
        <f t="shared" si="13"/>
        <v/>
      </c>
      <c r="K117" s="1" t="str">
        <f t="shared" si="14"/>
        <v/>
      </c>
      <c r="L117" s="8"/>
      <c r="M117" s="1" t="str">
        <f t="shared" si="15"/>
        <v/>
      </c>
      <c r="N117" s="1" t="str">
        <f t="shared" si="16"/>
        <v/>
      </c>
      <c r="O117" s="33" t="str">
        <f t="shared" si="17"/>
        <v/>
      </c>
      <c r="P117" s="34" t="str">
        <f>IF(B117="","",C117&amp;"|"&amp;ROUND(O117,2)&amp;"|"&amp;COUNTIFS($C$4:C117,C117,$O$4:O117,O117))</f>
        <v/>
      </c>
      <c r="Q117" s="34">
        <f t="shared" si="18"/>
        <v>0</v>
      </c>
      <c r="R117" s="34">
        <f t="shared" si="19"/>
        <v>0</v>
      </c>
      <c r="S117" s="34" t="str">
        <f>IF(AND(B117&lt;&gt;"",C117=CompteSel,N(B117)&lt;=DateArret,R117=0),MAX($S$3:S116)+1,"")</f>
        <v/>
      </c>
      <c r="T117" s="34">
        <f t="shared" si="20"/>
        <v>0</v>
      </c>
      <c r="U117" s="34">
        <f t="shared" si="21"/>
        <v>9</v>
      </c>
    </row>
    <row r="118" spans="1:21" x14ac:dyDescent="0.35">
      <c r="A118" s="1" t="str">
        <f t="shared" si="11"/>
        <v/>
      </c>
      <c r="B118" s="31"/>
      <c r="C118" s="8"/>
      <c r="D118" s="8"/>
      <c r="E118" s="8"/>
      <c r="F118" s="32"/>
      <c r="G118" s="32"/>
      <c r="H118" s="32"/>
      <c r="I118" s="1" t="str">
        <f t="shared" si="12"/>
        <v/>
      </c>
      <c r="J118" s="1" t="str">
        <f t="shared" si="13"/>
        <v/>
      </c>
      <c r="K118" s="1" t="str">
        <f t="shared" si="14"/>
        <v/>
      </c>
      <c r="L118" s="8"/>
      <c r="M118" s="1" t="str">
        <f t="shared" si="15"/>
        <v/>
      </c>
      <c r="N118" s="1" t="str">
        <f t="shared" si="16"/>
        <v/>
      </c>
      <c r="O118" s="33" t="str">
        <f t="shared" si="17"/>
        <v/>
      </c>
      <c r="P118" s="34" t="str">
        <f>IF(B118="","",C118&amp;"|"&amp;ROUND(O118,2)&amp;"|"&amp;COUNTIFS($C$4:C118,C118,$O$4:O118,O118))</f>
        <v/>
      </c>
      <c r="Q118" s="34">
        <f t="shared" si="18"/>
        <v>0</v>
      </c>
      <c r="R118" s="34">
        <f t="shared" si="19"/>
        <v>0</v>
      </c>
      <c r="S118" s="34" t="str">
        <f>IF(AND(B118&lt;&gt;"",C118=CompteSel,N(B118)&lt;=DateArret,R118=0),MAX($S$3:S117)+1,"")</f>
        <v/>
      </c>
      <c r="T118" s="34">
        <f t="shared" si="20"/>
        <v>0</v>
      </c>
      <c r="U118" s="34">
        <f t="shared" si="21"/>
        <v>9</v>
      </c>
    </row>
    <row r="119" spans="1:21" x14ac:dyDescent="0.35">
      <c r="A119" s="1" t="str">
        <f t="shared" si="11"/>
        <v/>
      </c>
      <c r="B119" s="31"/>
      <c r="C119" s="8"/>
      <c r="D119" s="8"/>
      <c r="E119" s="8"/>
      <c r="F119" s="32"/>
      <c r="G119" s="32"/>
      <c r="H119" s="32"/>
      <c r="I119" s="1" t="str">
        <f t="shared" si="12"/>
        <v/>
      </c>
      <c r="J119" s="1" t="str">
        <f t="shared" si="13"/>
        <v/>
      </c>
      <c r="K119" s="1" t="str">
        <f t="shared" si="14"/>
        <v/>
      </c>
      <c r="L119" s="8"/>
      <c r="M119" s="1" t="str">
        <f t="shared" si="15"/>
        <v/>
      </c>
      <c r="N119" s="1" t="str">
        <f t="shared" si="16"/>
        <v/>
      </c>
      <c r="O119" s="33" t="str">
        <f t="shared" si="17"/>
        <v/>
      </c>
      <c r="P119" s="34" t="str">
        <f>IF(B119="","",C119&amp;"|"&amp;ROUND(O119,2)&amp;"|"&amp;COUNTIFS($C$4:C119,C119,$O$4:O119,O119))</f>
        <v/>
      </c>
      <c r="Q119" s="34">
        <f t="shared" si="18"/>
        <v>0</v>
      </c>
      <c r="R119" s="34">
        <f t="shared" si="19"/>
        <v>0</v>
      </c>
      <c r="S119" s="34" t="str">
        <f>IF(AND(B119&lt;&gt;"",C119=CompteSel,N(B119)&lt;=DateArret,R119=0),MAX($S$3:S118)+1,"")</f>
        <v/>
      </c>
      <c r="T119" s="34">
        <f t="shared" si="20"/>
        <v>0</v>
      </c>
      <c r="U119" s="34">
        <f t="shared" si="21"/>
        <v>9</v>
      </c>
    </row>
    <row r="120" spans="1:21" x14ac:dyDescent="0.35">
      <c r="A120" s="1" t="str">
        <f t="shared" si="11"/>
        <v/>
      </c>
      <c r="B120" s="31"/>
      <c r="C120" s="8"/>
      <c r="D120" s="8"/>
      <c r="E120" s="8"/>
      <c r="F120" s="32"/>
      <c r="G120" s="32"/>
      <c r="H120" s="32"/>
      <c r="I120" s="1" t="str">
        <f t="shared" si="12"/>
        <v/>
      </c>
      <c r="J120" s="1" t="str">
        <f t="shared" si="13"/>
        <v/>
      </c>
      <c r="K120" s="1" t="str">
        <f t="shared" si="14"/>
        <v/>
      </c>
      <c r="L120" s="8"/>
      <c r="M120" s="1" t="str">
        <f t="shared" si="15"/>
        <v/>
      </c>
      <c r="N120" s="1" t="str">
        <f t="shared" si="16"/>
        <v/>
      </c>
      <c r="O120" s="33" t="str">
        <f t="shared" si="17"/>
        <v/>
      </c>
      <c r="P120" s="34" t="str">
        <f>IF(B120="","",C120&amp;"|"&amp;ROUND(O120,2)&amp;"|"&amp;COUNTIFS($C$4:C120,C120,$O$4:O120,O120))</f>
        <v/>
      </c>
      <c r="Q120" s="34">
        <f t="shared" si="18"/>
        <v>0</v>
      </c>
      <c r="R120" s="34">
        <f t="shared" si="19"/>
        <v>0</v>
      </c>
      <c r="S120" s="34" t="str">
        <f>IF(AND(B120&lt;&gt;"",C120=CompteSel,N(B120)&lt;=DateArret,R120=0),MAX($S$3:S119)+1,"")</f>
        <v/>
      </c>
      <c r="T120" s="34">
        <f t="shared" si="20"/>
        <v>0</v>
      </c>
      <c r="U120" s="34">
        <f t="shared" si="21"/>
        <v>9</v>
      </c>
    </row>
    <row r="121" spans="1:21" x14ac:dyDescent="0.35">
      <c r="A121" s="1" t="str">
        <f t="shared" si="11"/>
        <v/>
      </c>
      <c r="B121" s="31"/>
      <c r="C121" s="8"/>
      <c r="D121" s="8"/>
      <c r="E121" s="8"/>
      <c r="F121" s="32"/>
      <c r="G121" s="32"/>
      <c r="H121" s="32"/>
      <c r="I121" s="1" t="str">
        <f t="shared" si="12"/>
        <v/>
      </c>
      <c r="J121" s="1" t="str">
        <f t="shared" si="13"/>
        <v/>
      </c>
      <c r="K121" s="1" t="str">
        <f t="shared" si="14"/>
        <v/>
      </c>
      <c r="L121" s="8"/>
      <c r="M121" s="1" t="str">
        <f t="shared" si="15"/>
        <v/>
      </c>
      <c r="N121" s="1" t="str">
        <f t="shared" si="16"/>
        <v/>
      </c>
      <c r="O121" s="33" t="str">
        <f t="shared" si="17"/>
        <v/>
      </c>
      <c r="P121" s="34" t="str">
        <f>IF(B121="","",C121&amp;"|"&amp;ROUND(O121,2)&amp;"|"&amp;COUNTIFS($C$4:C121,C121,$O$4:O121,O121))</f>
        <v/>
      </c>
      <c r="Q121" s="34">
        <f t="shared" si="18"/>
        <v>0</v>
      </c>
      <c r="R121" s="34">
        <f t="shared" si="19"/>
        <v>0</v>
      </c>
      <c r="S121" s="34" t="str">
        <f>IF(AND(B121&lt;&gt;"",C121=CompteSel,N(B121)&lt;=DateArret,R121=0),MAX($S$3:S120)+1,"")</f>
        <v/>
      </c>
      <c r="T121" s="34">
        <f t="shared" si="20"/>
        <v>0</v>
      </c>
      <c r="U121" s="34">
        <f t="shared" si="21"/>
        <v>9</v>
      </c>
    </row>
    <row r="122" spans="1:21" x14ac:dyDescent="0.35">
      <c r="A122" s="1" t="str">
        <f t="shared" si="11"/>
        <v/>
      </c>
      <c r="B122" s="31"/>
      <c r="C122" s="8"/>
      <c r="D122" s="8"/>
      <c r="E122" s="8"/>
      <c r="F122" s="32"/>
      <c r="G122" s="32"/>
      <c r="H122" s="32"/>
      <c r="I122" s="1" t="str">
        <f t="shared" si="12"/>
        <v/>
      </c>
      <c r="J122" s="1" t="str">
        <f t="shared" si="13"/>
        <v/>
      </c>
      <c r="K122" s="1" t="str">
        <f t="shared" si="14"/>
        <v/>
      </c>
      <c r="L122" s="8"/>
      <c r="M122" s="1" t="str">
        <f t="shared" si="15"/>
        <v/>
      </c>
      <c r="N122" s="1" t="str">
        <f t="shared" si="16"/>
        <v/>
      </c>
      <c r="O122" s="33" t="str">
        <f t="shared" si="17"/>
        <v/>
      </c>
      <c r="P122" s="34" t="str">
        <f>IF(B122="","",C122&amp;"|"&amp;ROUND(O122,2)&amp;"|"&amp;COUNTIFS($C$4:C122,C122,$O$4:O122,O122))</f>
        <v/>
      </c>
      <c r="Q122" s="34">
        <f t="shared" si="18"/>
        <v>0</v>
      </c>
      <c r="R122" s="34">
        <f t="shared" si="19"/>
        <v>0</v>
      </c>
      <c r="S122" s="34" t="str">
        <f>IF(AND(B122&lt;&gt;"",C122=CompteSel,N(B122)&lt;=DateArret,R122=0),MAX($S$3:S121)+1,"")</f>
        <v/>
      </c>
      <c r="T122" s="34">
        <f t="shared" si="20"/>
        <v>0</v>
      </c>
      <c r="U122" s="34">
        <f t="shared" si="21"/>
        <v>9</v>
      </c>
    </row>
    <row r="123" spans="1:21" x14ac:dyDescent="0.35">
      <c r="A123" s="1" t="str">
        <f t="shared" si="11"/>
        <v/>
      </c>
      <c r="B123" s="31"/>
      <c r="C123" s="8"/>
      <c r="D123" s="8"/>
      <c r="E123" s="8"/>
      <c r="F123" s="32"/>
      <c r="G123" s="32"/>
      <c r="H123" s="32"/>
      <c r="I123" s="1" t="str">
        <f t="shared" si="12"/>
        <v/>
      </c>
      <c r="J123" s="1" t="str">
        <f t="shared" si="13"/>
        <v/>
      </c>
      <c r="K123" s="1" t="str">
        <f t="shared" si="14"/>
        <v/>
      </c>
      <c r="L123" s="8"/>
      <c r="M123" s="1" t="str">
        <f t="shared" si="15"/>
        <v/>
      </c>
      <c r="N123" s="1" t="str">
        <f t="shared" si="16"/>
        <v/>
      </c>
      <c r="O123" s="33" t="str">
        <f t="shared" si="17"/>
        <v/>
      </c>
      <c r="P123" s="34" t="str">
        <f>IF(B123="","",C123&amp;"|"&amp;ROUND(O123,2)&amp;"|"&amp;COUNTIFS($C$4:C123,C123,$O$4:O123,O123))</f>
        <v/>
      </c>
      <c r="Q123" s="34">
        <f t="shared" si="18"/>
        <v>0</v>
      </c>
      <c r="R123" s="34">
        <f t="shared" si="19"/>
        <v>0</v>
      </c>
      <c r="S123" s="34" t="str">
        <f>IF(AND(B123&lt;&gt;"",C123=CompteSel,N(B123)&lt;=DateArret,R123=0),MAX($S$3:S122)+1,"")</f>
        <v/>
      </c>
      <c r="T123" s="34">
        <f t="shared" si="20"/>
        <v>0</v>
      </c>
      <c r="U123" s="34">
        <f t="shared" si="21"/>
        <v>9</v>
      </c>
    </row>
    <row r="124" spans="1:21" x14ac:dyDescent="0.35">
      <c r="A124" s="1" t="str">
        <f t="shared" si="11"/>
        <v/>
      </c>
      <c r="B124" s="31"/>
      <c r="C124" s="8"/>
      <c r="D124" s="8"/>
      <c r="E124" s="8"/>
      <c r="F124" s="32"/>
      <c r="G124" s="32"/>
      <c r="H124" s="32"/>
      <c r="I124" s="1" t="str">
        <f t="shared" si="12"/>
        <v/>
      </c>
      <c r="J124" s="1" t="str">
        <f t="shared" si="13"/>
        <v/>
      </c>
      <c r="K124" s="1" t="str">
        <f t="shared" si="14"/>
        <v/>
      </c>
      <c r="L124" s="8"/>
      <c r="M124" s="1" t="str">
        <f t="shared" si="15"/>
        <v/>
      </c>
      <c r="N124" s="1" t="str">
        <f t="shared" si="16"/>
        <v/>
      </c>
      <c r="O124" s="33" t="str">
        <f t="shared" si="17"/>
        <v/>
      </c>
      <c r="P124" s="34" t="str">
        <f>IF(B124="","",C124&amp;"|"&amp;ROUND(O124,2)&amp;"|"&amp;COUNTIFS($C$4:C124,C124,$O$4:O124,O124))</f>
        <v/>
      </c>
      <c r="Q124" s="34">
        <f t="shared" si="18"/>
        <v>0</v>
      </c>
      <c r="R124" s="34">
        <f t="shared" si="19"/>
        <v>0</v>
      </c>
      <c r="S124" s="34" t="str">
        <f>IF(AND(B124&lt;&gt;"",C124=CompteSel,N(B124)&lt;=DateArret,R124=0),MAX($S$3:S123)+1,"")</f>
        <v/>
      </c>
      <c r="T124" s="34">
        <f t="shared" si="20"/>
        <v>0</v>
      </c>
      <c r="U124" s="34">
        <f t="shared" si="21"/>
        <v>9</v>
      </c>
    </row>
    <row r="125" spans="1:21" x14ac:dyDescent="0.35">
      <c r="A125" s="1" t="str">
        <f t="shared" si="11"/>
        <v/>
      </c>
      <c r="B125" s="31"/>
      <c r="C125" s="8"/>
      <c r="D125" s="8"/>
      <c r="E125" s="8"/>
      <c r="F125" s="32"/>
      <c r="G125" s="32"/>
      <c r="H125" s="32"/>
      <c r="I125" s="1" t="str">
        <f t="shared" si="12"/>
        <v/>
      </c>
      <c r="J125" s="1" t="str">
        <f t="shared" si="13"/>
        <v/>
      </c>
      <c r="K125" s="1" t="str">
        <f t="shared" si="14"/>
        <v/>
      </c>
      <c r="L125" s="8"/>
      <c r="M125" s="1" t="str">
        <f t="shared" si="15"/>
        <v/>
      </c>
      <c r="N125" s="1" t="str">
        <f t="shared" si="16"/>
        <v/>
      </c>
      <c r="O125" s="33" t="str">
        <f t="shared" si="17"/>
        <v/>
      </c>
      <c r="P125" s="34" t="str">
        <f>IF(B125="","",C125&amp;"|"&amp;ROUND(O125,2)&amp;"|"&amp;COUNTIFS($C$4:C125,C125,$O$4:O125,O125))</f>
        <v/>
      </c>
      <c r="Q125" s="34">
        <f t="shared" si="18"/>
        <v>0</v>
      </c>
      <c r="R125" s="34">
        <f t="shared" si="19"/>
        <v>0</v>
      </c>
      <c r="S125" s="34" t="str">
        <f>IF(AND(B125&lt;&gt;"",C125=CompteSel,N(B125)&lt;=DateArret,R125=0),MAX($S$3:S124)+1,"")</f>
        <v/>
      </c>
      <c r="T125" s="34">
        <f t="shared" si="20"/>
        <v>0</v>
      </c>
      <c r="U125" s="34">
        <f t="shared" si="21"/>
        <v>9</v>
      </c>
    </row>
    <row r="126" spans="1:21" x14ac:dyDescent="0.35">
      <c r="A126" s="1" t="str">
        <f t="shared" si="11"/>
        <v/>
      </c>
      <c r="B126" s="31"/>
      <c r="C126" s="8"/>
      <c r="D126" s="8"/>
      <c r="E126" s="8"/>
      <c r="F126" s="32"/>
      <c r="G126" s="32"/>
      <c r="H126" s="32"/>
      <c r="I126" s="1" t="str">
        <f t="shared" si="12"/>
        <v/>
      </c>
      <c r="J126" s="1" t="str">
        <f t="shared" si="13"/>
        <v/>
      </c>
      <c r="K126" s="1" t="str">
        <f t="shared" si="14"/>
        <v/>
      </c>
      <c r="L126" s="8"/>
      <c r="M126" s="1" t="str">
        <f t="shared" si="15"/>
        <v/>
      </c>
      <c r="N126" s="1" t="str">
        <f t="shared" si="16"/>
        <v/>
      </c>
      <c r="O126" s="33" t="str">
        <f t="shared" si="17"/>
        <v/>
      </c>
      <c r="P126" s="34" t="str">
        <f>IF(B126="","",C126&amp;"|"&amp;ROUND(O126,2)&amp;"|"&amp;COUNTIFS($C$4:C126,C126,$O$4:O126,O126))</f>
        <v/>
      </c>
      <c r="Q126" s="34">
        <f t="shared" si="18"/>
        <v>0</v>
      </c>
      <c r="R126" s="34">
        <f t="shared" si="19"/>
        <v>0</v>
      </c>
      <c r="S126" s="34" t="str">
        <f>IF(AND(B126&lt;&gt;"",C126=CompteSel,N(B126)&lt;=DateArret,R126=0),MAX($S$3:S125)+1,"")</f>
        <v/>
      </c>
      <c r="T126" s="34">
        <f t="shared" si="20"/>
        <v>0</v>
      </c>
      <c r="U126" s="34">
        <f t="shared" si="21"/>
        <v>9</v>
      </c>
    </row>
    <row r="127" spans="1:21" x14ac:dyDescent="0.35">
      <c r="A127" s="1" t="str">
        <f t="shared" si="11"/>
        <v/>
      </c>
      <c r="B127" s="31"/>
      <c r="C127" s="8"/>
      <c r="D127" s="8"/>
      <c r="E127" s="8"/>
      <c r="F127" s="32"/>
      <c r="G127" s="32"/>
      <c r="H127" s="32"/>
      <c r="I127" s="1" t="str">
        <f t="shared" si="12"/>
        <v/>
      </c>
      <c r="J127" s="1" t="str">
        <f t="shared" si="13"/>
        <v/>
      </c>
      <c r="K127" s="1" t="str">
        <f t="shared" si="14"/>
        <v/>
      </c>
      <c r="L127" s="8"/>
      <c r="M127" s="1" t="str">
        <f t="shared" si="15"/>
        <v/>
      </c>
      <c r="N127" s="1" t="str">
        <f t="shared" si="16"/>
        <v/>
      </c>
      <c r="O127" s="33" t="str">
        <f t="shared" si="17"/>
        <v/>
      </c>
      <c r="P127" s="34" t="str">
        <f>IF(B127="","",C127&amp;"|"&amp;ROUND(O127,2)&amp;"|"&amp;COUNTIFS($C$4:C127,C127,$O$4:O127,O127))</f>
        <v/>
      </c>
      <c r="Q127" s="34">
        <f t="shared" si="18"/>
        <v>0</v>
      </c>
      <c r="R127" s="34">
        <f t="shared" si="19"/>
        <v>0</v>
      </c>
      <c r="S127" s="34" t="str">
        <f>IF(AND(B127&lt;&gt;"",C127=CompteSel,N(B127)&lt;=DateArret,R127=0),MAX($S$3:S126)+1,"")</f>
        <v/>
      </c>
      <c r="T127" s="34">
        <f t="shared" si="20"/>
        <v>0</v>
      </c>
      <c r="U127" s="34">
        <f t="shared" si="21"/>
        <v>9</v>
      </c>
    </row>
    <row r="128" spans="1:21" x14ac:dyDescent="0.35">
      <c r="A128" s="1" t="str">
        <f t="shared" si="11"/>
        <v/>
      </c>
      <c r="B128" s="31"/>
      <c r="C128" s="8"/>
      <c r="D128" s="8"/>
      <c r="E128" s="8"/>
      <c r="F128" s="32"/>
      <c r="G128" s="32"/>
      <c r="H128" s="32"/>
      <c r="I128" s="1" t="str">
        <f t="shared" si="12"/>
        <v/>
      </c>
      <c r="J128" s="1" t="str">
        <f t="shared" si="13"/>
        <v/>
      </c>
      <c r="K128" s="1" t="str">
        <f t="shared" si="14"/>
        <v/>
      </c>
      <c r="L128" s="8"/>
      <c r="M128" s="1" t="str">
        <f t="shared" si="15"/>
        <v/>
      </c>
      <c r="N128" s="1" t="str">
        <f t="shared" si="16"/>
        <v/>
      </c>
      <c r="O128" s="33" t="str">
        <f t="shared" si="17"/>
        <v/>
      </c>
      <c r="P128" s="34" t="str">
        <f>IF(B128="","",C128&amp;"|"&amp;ROUND(O128,2)&amp;"|"&amp;COUNTIFS($C$4:C128,C128,$O$4:O128,O128))</f>
        <v/>
      </c>
      <c r="Q128" s="34">
        <f t="shared" si="18"/>
        <v>0</v>
      </c>
      <c r="R128" s="34">
        <f t="shared" si="19"/>
        <v>0</v>
      </c>
      <c r="S128" s="34" t="str">
        <f>IF(AND(B128&lt;&gt;"",C128=CompteSel,N(B128)&lt;=DateArret,R128=0),MAX($S$3:S127)+1,"")</f>
        <v/>
      </c>
      <c r="T128" s="34">
        <f t="shared" si="20"/>
        <v>0</v>
      </c>
      <c r="U128" s="34">
        <f t="shared" si="21"/>
        <v>9</v>
      </c>
    </row>
    <row r="129" spans="1:21" x14ac:dyDescent="0.35">
      <c r="A129" s="1" t="str">
        <f t="shared" si="11"/>
        <v/>
      </c>
      <c r="B129" s="31"/>
      <c r="C129" s="8"/>
      <c r="D129" s="8"/>
      <c r="E129" s="8"/>
      <c r="F129" s="32"/>
      <c r="G129" s="32"/>
      <c r="H129" s="32"/>
      <c r="I129" s="1" t="str">
        <f t="shared" si="12"/>
        <v/>
      </c>
      <c r="J129" s="1" t="str">
        <f t="shared" si="13"/>
        <v/>
      </c>
      <c r="K129" s="1" t="str">
        <f t="shared" si="14"/>
        <v/>
      </c>
      <c r="L129" s="8"/>
      <c r="M129" s="1" t="str">
        <f t="shared" si="15"/>
        <v/>
      </c>
      <c r="N129" s="1" t="str">
        <f t="shared" si="16"/>
        <v/>
      </c>
      <c r="O129" s="33" t="str">
        <f t="shared" si="17"/>
        <v/>
      </c>
      <c r="P129" s="34" t="str">
        <f>IF(B129="","",C129&amp;"|"&amp;ROUND(O129,2)&amp;"|"&amp;COUNTIFS($C$4:C129,C129,$O$4:O129,O129))</f>
        <v/>
      </c>
      <c r="Q129" s="34">
        <f t="shared" si="18"/>
        <v>0</v>
      </c>
      <c r="R129" s="34">
        <f t="shared" si="19"/>
        <v>0</v>
      </c>
      <c r="S129" s="34" t="str">
        <f>IF(AND(B129&lt;&gt;"",C129=CompteSel,N(B129)&lt;=DateArret,R129=0),MAX($S$3:S128)+1,"")</f>
        <v/>
      </c>
      <c r="T129" s="34">
        <f t="shared" si="20"/>
        <v>0</v>
      </c>
      <c r="U129" s="34">
        <f t="shared" si="21"/>
        <v>9</v>
      </c>
    </row>
    <row r="130" spans="1:21" x14ac:dyDescent="0.35">
      <c r="A130" s="1" t="str">
        <f t="shared" si="11"/>
        <v/>
      </c>
      <c r="B130" s="31"/>
      <c r="C130" s="8"/>
      <c r="D130" s="8"/>
      <c r="E130" s="8"/>
      <c r="F130" s="32"/>
      <c r="G130" s="32"/>
      <c r="H130" s="32"/>
      <c r="I130" s="1" t="str">
        <f t="shared" si="12"/>
        <v/>
      </c>
      <c r="J130" s="1" t="str">
        <f t="shared" si="13"/>
        <v/>
      </c>
      <c r="K130" s="1" t="str">
        <f t="shared" si="14"/>
        <v/>
      </c>
      <c r="L130" s="8"/>
      <c r="M130" s="1" t="str">
        <f t="shared" si="15"/>
        <v/>
      </c>
      <c r="N130" s="1" t="str">
        <f t="shared" si="16"/>
        <v/>
      </c>
      <c r="O130" s="33" t="str">
        <f t="shared" si="17"/>
        <v/>
      </c>
      <c r="P130" s="34" t="str">
        <f>IF(B130="","",C130&amp;"|"&amp;ROUND(O130,2)&amp;"|"&amp;COUNTIFS($C$4:C130,C130,$O$4:O130,O130))</f>
        <v/>
      </c>
      <c r="Q130" s="34">
        <f t="shared" si="18"/>
        <v>0</v>
      </c>
      <c r="R130" s="34">
        <f t="shared" si="19"/>
        <v>0</v>
      </c>
      <c r="S130" s="34" t="str">
        <f>IF(AND(B130&lt;&gt;"",C130=CompteSel,N(B130)&lt;=DateArret,R130=0),MAX($S$3:S129)+1,"")</f>
        <v/>
      </c>
      <c r="T130" s="34">
        <f t="shared" si="20"/>
        <v>0</v>
      </c>
      <c r="U130" s="34">
        <f t="shared" si="21"/>
        <v>9</v>
      </c>
    </row>
    <row r="131" spans="1:21" x14ac:dyDescent="0.35">
      <c r="A131" s="1" t="str">
        <f t="shared" si="11"/>
        <v/>
      </c>
      <c r="B131" s="31"/>
      <c r="C131" s="8"/>
      <c r="D131" s="8"/>
      <c r="E131" s="8"/>
      <c r="F131" s="32"/>
      <c r="G131" s="32"/>
      <c r="H131" s="32"/>
      <c r="I131" s="1" t="str">
        <f t="shared" si="12"/>
        <v/>
      </c>
      <c r="J131" s="1" t="str">
        <f t="shared" si="13"/>
        <v/>
      </c>
      <c r="K131" s="1" t="str">
        <f t="shared" si="14"/>
        <v/>
      </c>
      <c r="L131" s="8"/>
      <c r="M131" s="1" t="str">
        <f t="shared" si="15"/>
        <v/>
      </c>
      <c r="N131" s="1" t="str">
        <f t="shared" si="16"/>
        <v/>
      </c>
      <c r="O131" s="33" t="str">
        <f t="shared" si="17"/>
        <v/>
      </c>
      <c r="P131" s="34" t="str">
        <f>IF(B131="","",C131&amp;"|"&amp;ROUND(O131,2)&amp;"|"&amp;COUNTIFS($C$4:C131,C131,$O$4:O131,O131))</f>
        <v/>
      </c>
      <c r="Q131" s="34">
        <f t="shared" si="18"/>
        <v>0</v>
      </c>
      <c r="R131" s="34">
        <f t="shared" si="19"/>
        <v>0</v>
      </c>
      <c r="S131" s="34" t="str">
        <f>IF(AND(B131&lt;&gt;"",C131=CompteSel,N(B131)&lt;=DateArret,R131=0),MAX($S$3:S130)+1,"")</f>
        <v/>
      </c>
      <c r="T131" s="34">
        <f t="shared" si="20"/>
        <v>0</v>
      </c>
      <c r="U131" s="34">
        <f t="shared" si="21"/>
        <v>9</v>
      </c>
    </row>
    <row r="132" spans="1:21" x14ac:dyDescent="0.35">
      <c r="A132" s="1" t="str">
        <f t="shared" ref="A132:A195" si="22">IF(B132="","",ROW()-3)</f>
        <v/>
      </c>
      <c r="B132" s="31"/>
      <c r="C132" s="8"/>
      <c r="D132" s="8"/>
      <c r="E132" s="8"/>
      <c r="F132" s="32"/>
      <c r="G132" s="32"/>
      <c r="H132" s="32"/>
      <c r="I132" s="1" t="str">
        <f t="shared" ref="I132:I195" si="23">IF(B132="","",IF(L132="Écart","Écart",IF(K132="","Non rapproché",INDEX(L_Statut,K132))))</f>
        <v/>
      </c>
      <c r="J132" s="1" t="str">
        <f t="shared" ref="J132:J195" si="24">IF(K132="","",INDEX(L_Score,K132))</f>
        <v/>
      </c>
      <c r="K132" s="1" t="str">
        <f t="shared" ref="K132:K195" si="25">IF(B132="","",IFERROR(MATCH(A132,L_Banque,0),""))</f>
        <v/>
      </c>
      <c r="L132" s="8"/>
      <c r="M132" s="1" t="str">
        <f t="shared" ref="M132:M195" si="26">IF(K132="","",INDEX(L_DJ,K132))</f>
        <v/>
      </c>
      <c r="N132" s="1" t="str">
        <f t="shared" ref="N132:N195" si="27">IF(B132="","",IF(COUNTIFS($C$4:$C$503,C132,$B$4:$B$503,B132,$O$4:$O$503,O132)&gt;1,"Doublon ?",""))</f>
        <v/>
      </c>
      <c r="O132" s="33" t="str">
        <f t="shared" ref="O132:O195" si="28">IF(B132="","",N(G132)-N(F132))</f>
        <v/>
      </c>
      <c r="P132" s="34" t="str">
        <f>IF(B132="","",C132&amp;"|"&amp;ROUND(O132,2)&amp;"|"&amp;COUNTIFS($C$4:C132,C132,$O$4:O132,O132))</f>
        <v/>
      </c>
      <c r="Q132" s="34">
        <f t="shared" ref="Q132:Q195" si="29">IF(B132="",0,IF(COUNTIFS(L_CandExact,A132,L_ExactOK,1)&gt;0,1,0))</f>
        <v>0</v>
      </c>
      <c r="R132" s="34">
        <f t="shared" ref="R132:R195" si="30">IF(OR(I132="Rapproché",I132="Manuel"),1,0)</f>
        <v>0</v>
      </c>
      <c r="S132" s="34" t="str">
        <f>IF(AND(B132&lt;&gt;"",C132=CompteSel,N(B132)&lt;=DateArret,R132=0),MAX($S$3:S131)+1,"")</f>
        <v/>
      </c>
      <c r="T132" s="34">
        <f t="shared" ref="T132:T195" si="31">IF(AND(B132&lt;&gt;"",C132=CompteSel,N(B132)&lt;=DateArret,H132&lt;&gt;""),A132,0)</f>
        <v>0</v>
      </c>
      <c r="U132" s="34">
        <f t="shared" ref="U132:U195" si="32">IF(B132="",9,SIGN(O132))</f>
        <v>9</v>
      </c>
    </row>
    <row r="133" spans="1:21" x14ac:dyDescent="0.35">
      <c r="A133" s="1" t="str">
        <f t="shared" si="22"/>
        <v/>
      </c>
      <c r="B133" s="31"/>
      <c r="C133" s="8"/>
      <c r="D133" s="8"/>
      <c r="E133" s="8"/>
      <c r="F133" s="32"/>
      <c r="G133" s="32"/>
      <c r="H133" s="32"/>
      <c r="I133" s="1" t="str">
        <f t="shared" si="23"/>
        <v/>
      </c>
      <c r="J133" s="1" t="str">
        <f t="shared" si="24"/>
        <v/>
      </c>
      <c r="K133" s="1" t="str">
        <f t="shared" si="25"/>
        <v/>
      </c>
      <c r="L133" s="8"/>
      <c r="M133" s="1" t="str">
        <f t="shared" si="26"/>
        <v/>
      </c>
      <c r="N133" s="1" t="str">
        <f t="shared" si="27"/>
        <v/>
      </c>
      <c r="O133" s="33" t="str">
        <f t="shared" si="28"/>
        <v/>
      </c>
      <c r="P133" s="34" t="str">
        <f>IF(B133="","",C133&amp;"|"&amp;ROUND(O133,2)&amp;"|"&amp;COUNTIFS($C$4:C133,C133,$O$4:O133,O133))</f>
        <v/>
      </c>
      <c r="Q133" s="34">
        <f t="shared" si="29"/>
        <v>0</v>
      </c>
      <c r="R133" s="34">
        <f t="shared" si="30"/>
        <v>0</v>
      </c>
      <c r="S133" s="34" t="str">
        <f>IF(AND(B133&lt;&gt;"",C133=CompteSel,N(B133)&lt;=DateArret,R133=0),MAX($S$3:S132)+1,"")</f>
        <v/>
      </c>
      <c r="T133" s="34">
        <f t="shared" si="31"/>
        <v>0</v>
      </c>
      <c r="U133" s="34">
        <f t="shared" si="32"/>
        <v>9</v>
      </c>
    </row>
    <row r="134" spans="1:21" x14ac:dyDescent="0.35">
      <c r="A134" s="1" t="str">
        <f t="shared" si="22"/>
        <v/>
      </c>
      <c r="B134" s="31"/>
      <c r="C134" s="8"/>
      <c r="D134" s="8"/>
      <c r="E134" s="8"/>
      <c r="F134" s="32"/>
      <c r="G134" s="32"/>
      <c r="H134" s="32"/>
      <c r="I134" s="1" t="str">
        <f t="shared" si="23"/>
        <v/>
      </c>
      <c r="J134" s="1" t="str">
        <f t="shared" si="24"/>
        <v/>
      </c>
      <c r="K134" s="1" t="str">
        <f t="shared" si="25"/>
        <v/>
      </c>
      <c r="L134" s="8"/>
      <c r="M134" s="1" t="str">
        <f t="shared" si="26"/>
        <v/>
      </c>
      <c r="N134" s="1" t="str">
        <f t="shared" si="27"/>
        <v/>
      </c>
      <c r="O134" s="33" t="str">
        <f t="shared" si="28"/>
        <v/>
      </c>
      <c r="P134" s="34" t="str">
        <f>IF(B134="","",C134&amp;"|"&amp;ROUND(O134,2)&amp;"|"&amp;COUNTIFS($C$4:C134,C134,$O$4:O134,O134))</f>
        <v/>
      </c>
      <c r="Q134" s="34">
        <f t="shared" si="29"/>
        <v>0</v>
      </c>
      <c r="R134" s="34">
        <f t="shared" si="30"/>
        <v>0</v>
      </c>
      <c r="S134" s="34" t="str">
        <f>IF(AND(B134&lt;&gt;"",C134=CompteSel,N(B134)&lt;=DateArret,R134=0),MAX($S$3:S133)+1,"")</f>
        <v/>
      </c>
      <c r="T134" s="34">
        <f t="shared" si="31"/>
        <v>0</v>
      </c>
      <c r="U134" s="34">
        <f t="shared" si="32"/>
        <v>9</v>
      </c>
    </row>
    <row r="135" spans="1:21" x14ac:dyDescent="0.35">
      <c r="A135" s="1" t="str">
        <f t="shared" si="22"/>
        <v/>
      </c>
      <c r="B135" s="31"/>
      <c r="C135" s="8"/>
      <c r="D135" s="8"/>
      <c r="E135" s="8"/>
      <c r="F135" s="32"/>
      <c r="G135" s="32"/>
      <c r="H135" s="32"/>
      <c r="I135" s="1" t="str">
        <f t="shared" si="23"/>
        <v/>
      </c>
      <c r="J135" s="1" t="str">
        <f t="shared" si="24"/>
        <v/>
      </c>
      <c r="K135" s="1" t="str">
        <f t="shared" si="25"/>
        <v/>
      </c>
      <c r="L135" s="8"/>
      <c r="M135" s="1" t="str">
        <f t="shared" si="26"/>
        <v/>
      </c>
      <c r="N135" s="1" t="str">
        <f t="shared" si="27"/>
        <v/>
      </c>
      <c r="O135" s="33" t="str">
        <f t="shared" si="28"/>
        <v/>
      </c>
      <c r="P135" s="34" t="str">
        <f>IF(B135="","",C135&amp;"|"&amp;ROUND(O135,2)&amp;"|"&amp;COUNTIFS($C$4:C135,C135,$O$4:O135,O135))</f>
        <v/>
      </c>
      <c r="Q135" s="34">
        <f t="shared" si="29"/>
        <v>0</v>
      </c>
      <c r="R135" s="34">
        <f t="shared" si="30"/>
        <v>0</v>
      </c>
      <c r="S135" s="34" t="str">
        <f>IF(AND(B135&lt;&gt;"",C135=CompteSel,N(B135)&lt;=DateArret,R135=0),MAX($S$3:S134)+1,"")</f>
        <v/>
      </c>
      <c r="T135" s="34">
        <f t="shared" si="31"/>
        <v>0</v>
      </c>
      <c r="U135" s="34">
        <f t="shared" si="32"/>
        <v>9</v>
      </c>
    </row>
    <row r="136" spans="1:21" x14ac:dyDescent="0.35">
      <c r="A136" s="1" t="str">
        <f t="shared" si="22"/>
        <v/>
      </c>
      <c r="B136" s="31"/>
      <c r="C136" s="8"/>
      <c r="D136" s="8"/>
      <c r="E136" s="8"/>
      <c r="F136" s="32"/>
      <c r="G136" s="32"/>
      <c r="H136" s="32"/>
      <c r="I136" s="1" t="str">
        <f t="shared" si="23"/>
        <v/>
      </c>
      <c r="J136" s="1" t="str">
        <f t="shared" si="24"/>
        <v/>
      </c>
      <c r="K136" s="1" t="str">
        <f t="shared" si="25"/>
        <v/>
      </c>
      <c r="L136" s="8"/>
      <c r="M136" s="1" t="str">
        <f t="shared" si="26"/>
        <v/>
      </c>
      <c r="N136" s="1" t="str">
        <f t="shared" si="27"/>
        <v/>
      </c>
      <c r="O136" s="33" t="str">
        <f t="shared" si="28"/>
        <v/>
      </c>
      <c r="P136" s="34" t="str">
        <f>IF(B136="","",C136&amp;"|"&amp;ROUND(O136,2)&amp;"|"&amp;COUNTIFS($C$4:C136,C136,$O$4:O136,O136))</f>
        <v/>
      </c>
      <c r="Q136" s="34">
        <f t="shared" si="29"/>
        <v>0</v>
      </c>
      <c r="R136" s="34">
        <f t="shared" si="30"/>
        <v>0</v>
      </c>
      <c r="S136" s="34" t="str">
        <f>IF(AND(B136&lt;&gt;"",C136=CompteSel,N(B136)&lt;=DateArret,R136=0),MAX($S$3:S135)+1,"")</f>
        <v/>
      </c>
      <c r="T136" s="34">
        <f t="shared" si="31"/>
        <v>0</v>
      </c>
      <c r="U136" s="34">
        <f t="shared" si="32"/>
        <v>9</v>
      </c>
    </row>
    <row r="137" spans="1:21" x14ac:dyDescent="0.35">
      <c r="A137" s="1" t="str">
        <f t="shared" si="22"/>
        <v/>
      </c>
      <c r="B137" s="31"/>
      <c r="C137" s="8"/>
      <c r="D137" s="8"/>
      <c r="E137" s="8"/>
      <c r="F137" s="32"/>
      <c r="G137" s="32"/>
      <c r="H137" s="32"/>
      <c r="I137" s="1" t="str">
        <f t="shared" si="23"/>
        <v/>
      </c>
      <c r="J137" s="1" t="str">
        <f t="shared" si="24"/>
        <v/>
      </c>
      <c r="K137" s="1" t="str">
        <f t="shared" si="25"/>
        <v/>
      </c>
      <c r="L137" s="8"/>
      <c r="M137" s="1" t="str">
        <f t="shared" si="26"/>
        <v/>
      </c>
      <c r="N137" s="1" t="str">
        <f t="shared" si="27"/>
        <v/>
      </c>
      <c r="O137" s="33" t="str">
        <f t="shared" si="28"/>
        <v/>
      </c>
      <c r="P137" s="34" t="str">
        <f>IF(B137="","",C137&amp;"|"&amp;ROUND(O137,2)&amp;"|"&amp;COUNTIFS($C$4:C137,C137,$O$4:O137,O137))</f>
        <v/>
      </c>
      <c r="Q137" s="34">
        <f t="shared" si="29"/>
        <v>0</v>
      </c>
      <c r="R137" s="34">
        <f t="shared" si="30"/>
        <v>0</v>
      </c>
      <c r="S137" s="34" t="str">
        <f>IF(AND(B137&lt;&gt;"",C137=CompteSel,N(B137)&lt;=DateArret,R137=0),MAX($S$3:S136)+1,"")</f>
        <v/>
      </c>
      <c r="T137" s="34">
        <f t="shared" si="31"/>
        <v>0</v>
      </c>
      <c r="U137" s="34">
        <f t="shared" si="32"/>
        <v>9</v>
      </c>
    </row>
    <row r="138" spans="1:21" x14ac:dyDescent="0.35">
      <c r="A138" s="1" t="str">
        <f t="shared" si="22"/>
        <v/>
      </c>
      <c r="B138" s="31"/>
      <c r="C138" s="8"/>
      <c r="D138" s="8"/>
      <c r="E138" s="8"/>
      <c r="F138" s="32"/>
      <c r="G138" s="32"/>
      <c r="H138" s="32"/>
      <c r="I138" s="1" t="str">
        <f t="shared" si="23"/>
        <v/>
      </c>
      <c r="J138" s="1" t="str">
        <f t="shared" si="24"/>
        <v/>
      </c>
      <c r="K138" s="1" t="str">
        <f t="shared" si="25"/>
        <v/>
      </c>
      <c r="L138" s="8"/>
      <c r="M138" s="1" t="str">
        <f t="shared" si="26"/>
        <v/>
      </c>
      <c r="N138" s="1" t="str">
        <f t="shared" si="27"/>
        <v/>
      </c>
      <c r="O138" s="33" t="str">
        <f t="shared" si="28"/>
        <v/>
      </c>
      <c r="P138" s="34" t="str">
        <f>IF(B138="","",C138&amp;"|"&amp;ROUND(O138,2)&amp;"|"&amp;COUNTIFS($C$4:C138,C138,$O$4:O138,O138))</f>
        <v/>
      </c>
      <c r="Q138" s="34">
        <f t="shared" si="29"/>
        <v>0</v>
      </c>
      <c r="R138" s="34">
        <f t="shared" si="30"/>
        <v>0</v>
      </c>
      <c r="S138" s="34" t="str">
        <f>IF(AND(B138&lt;&gt;"",C138=CompteSel,N(B138)&lt;=DateArret,R138=0),MAX($S$3:S137)+1,"")</f>
        <v/>
      </c>
      <c r="T138" s="34">
        <f t="shared" si="31"/>
        <v>0</v>
      </c>
      <c r="U138" s="34">
        <f t="shared" si="32"/>
        <v>9</v>
      </c>
    </row>
    <row r="139" spans="1:21" x14ac:dyDescent="0.35">
      <c r="A139" s="1" t="str">
        <f t="shared" si="22"/>
        <v/>
      </c>
      <c r="B139" s="31"/>
      <c r="C139" s="8"/>
      <c r="D139" s="8"/>
      <c r="E139" s="8"/>
      <c r="F139" s="32"/>
      <c r="G139" s="32"/>
      <c r="H139" s="32"/>
      <c r="I139" s="1" t="str">
        <f t="shared" si="23"/>
        <v/>
      </c>
      <c r="J139" s="1" t="str">
        <f t="shared" si="24"/>
        <v/>
      </c>
      <c r="K139" s="1" t="str">
        <f t="shared" si="25"/>
        <v/>
      </c>
      <c r="L139" s="8"/>
      <c r="M139" s="1" t="str">
        <f t="shared" si="26"/>
        <v/>
      </c>
      <c r="N139" s="1" t="str">
        <f t="shared" si="27"/>
        <v/>
      </c>
      <c r="O139" s="33" t="str">
        <f t="shared" si="28"/>
        <v/>
      </c>
      <c r="P139" s="34" t="str">
        <f>IF(B139="","",C139&amp;"|"&amp;ROUND(O139,2)&amp;"|"&amp;COUNTIFS($C$4:C139,C139,$O$4:O139,O139))</f>
        <v/>
      </c>
      <c r="Q139" s="34">
        <f t="shared" si="29"/>
        <v>0</v>
      </c>
      <c r="R139" s="34">
        <f t="shared" si="30"/>
        <v>0</v>
      </c>
      <c r="S139" s="34" t="str">
        <f>IF(AND(B139&lt;&gt;"",C139=CompteSel,N(B139)&lt;=DateArret,R139=0),MAX($S$3:S138)+1,"")</f>
        <v/>
      </c>
      <c r="T139" s="34">
        <f t="shared" si="31"/>
        <v>0</v>
      </c>
      <c r="U139" s="34">
        <f t="shared" si="32"/>
        <v>9</v>
      </c>
    </row>
    <row r="140" spans="1:21" x14ac:dyDescent="0.35">
      <c r="A140" s="1" t="str">
        <f t="shared" si="22"/>
        <v/>
      </c>
      <c r="B140" s="31"/>
      <c r="C140" s="8"/>
      <c r="D140" s="8"/>
      <c r="E140" s="8"/>
      <c r="F140" s="32"/>
      <c r="G140" s="32"/>
      <c r="H140" s="32"/>
      <c r="I140" s="1" t="str">
        <f t="shared" si="23"/>
        <v/>
      </c>
      <c r="J140" s="1" t="str">
        <f t="shared" si="24"/>
        <v/>
      </c>
      <c r="K140" s="1" t="str">
        <f t="shared" si="25"/>
        <v/>
      </c>
      <c r="L140" s="8"/>
      <c r="M140" s="1" t="str">
        <f t="shared" si="26"/>
        <v/>
      </c>
      <c r="N140" s="1" t="str">
        <f t="shared" si="27"/>
        <v/>
      </c>
      <c r="O140" s="33" t="str">
        <f t="shared" si="28"/>
        <v/>
      </c>
      <c r="P140" s="34" t="str">
        <f>IF(B140="","",C140&amp;"|"&amp;ROUND(O140,2)&amp;"|"&amp;COUNTIFS($C$4:C140,C140,$O$4:O140,O140))</f>
        <v/>
      </c>
      <c r="Q140" s="34">
        <f t="shared" si="29"/>
        <v>0</v>
      </c>
      <c r="R140" s="34">
        <f t="shared" si="30"/>
        <v>0</v>
      </c>
      <c r="S140" s="34" t="str">
        <f>IF(AND(B140&lt;&gt;"",C140=CompteSel,N(B140)&lt;=DateArret,R140=0),MAX($S$3:S139)+1,"")</f>
        <v/>
      </c>
      <c r="T140" s="34">
        <f t="shared" si="31"/>
        <v>0</v>
      </c>
      <c r="U140" s="34">
        <f t="shared" si="32"/>
        <v>9</v>
      </c>
    </row>
    <row r="141" spans="1:21" x14ac:dyDescent="0.35">
      <c r="A141" s="1" t="str">
        <f t="shared" si="22"/>
        <v/>
      </c>
      <c r="B141" s="31"/>
      <c r="C141" s="8"/>
      <c r="D141" s="8"/>
      <c r="E141" s="8"/>
      <c r="F141" s="32"/>
      <c r="G141" s="32"/>
      <c r="H141" s="32"/>
      <c r="I141" s="1" t="str">
        <f t="shared" si="23"/>
        <v/>
      </c>
      <c r="J141" s="1" t="str">
        <f t="shared" si="24"/>
        <v/>
      </c>
      <c r="K141" s="1" t="str">
        <f t="shared" si="25"/>
        <v/>
      </c>
      <c r="L141" s="8"/>
      <c r="M141" s="1" t="str">
        <f t="shared" si="26"/>
        <v/>
      </c>
      <c r="N141" s="1" t="str">
        <f t="shared" si="27"/>
        <v/>
      </c>
      <c r="O141" s="33" t="str">
        <f t="shared" si="28"/>
        <v/>
      </c>
      <c r="P141" s="34" t="str">
        <f>IF(B141="","",C141&amp;"|"&amp;ROUND(O141,2)&amp;"|"&amp;COUNTIFS($C$4:C141,C141,$O$4:O141,O141))</f>
        <v/>
      </c>
      <c r="Q141" s="34">
        <f t="shared" si="29"/>
        <v>0</v>
      </c>
      <c r="R141" s="34">
        <f t="shared" si="30"/>
        <v>0</v>
      </c>
      <c r="S141" s="34" t="str">
        <f>IF(AND(B141&lt;&gt;"",C141=CompteSel,N(B141)&lt;=DateArret,R141=0),MAX($S$3:S140)+1,"")</f>
        <v/>
      </c>
      <c r="T141" s="34">
        <f t="shared" si="31"/>
        <v>0</v>
      </c>
      <c r="U141" s="34">
        <f t="shared" si="32"/>
        <v>9</v>
      </c>
    </row>
    <row r="142" spans="1:21" x14ac:dyDescent="0.35">
      <c r="A142" s="1" t="str">
        <f t="shared" si="22"/>
        <v/>
      </c>
      <c r="B142" s="31"/>
      <c r="C142" s="8"/>
      <c r="D142" s="8"/>
      <c r="E142" s="8"/>
      <c r="F142" s="32"/>
      <c r="G142" s="32"/>
      <c r="H142" s="32"/>
      <c r="I142" s="1" t="str">
        <f t="shared" si="23"/>
        <v/>
      </c>
      <c r="J142" s="1" t="str">
        <f t="shared" si="24"/>
        <v/>
      </c>
      <c r="K142" s="1" t="str">
        <f t="shared" si="25"/>
        <v/>
      </c>
      <c r="L142" s="8"/>
      <c r="M142" s="1" t="str">
        <f t="shared" si="26"/>
        <v/>
      </c>
      <c r="N142" s="1" t="str">
        <f t="shared" si="27"/>
        <v/>
      </c>
      <c r="O142" s="33" t="str">
        <f t="shared" si="28"/>
        <v/>
      </c>
      <c r="P142" s="34" t="str">
        <f>IF(B142="","",C142&amp;"|"&amp;ROUND(O142,2)&amp;"|"&amp;COUNTIFS($C$4:C142,C142,$O$4:O142,O142))</f>
        <v/>
      </c>
      <c r="Q142" s="34">
        <f t="shared" si="29"/>
        <v>0</v>
      </c>
      <c r="R142" s="34">
        <f t="shared" si="30"/>
        <v>0</v>
      </c>
      <c r="S142" s="34" t="str">
        <f>IF(AND(B142&lt;&gt;"",C142=CompteSel,N(B142)&lt;=DateArret,R142=0),MAX($S$3:S141)+1,"")</f>
        <v/>
      </c>
      <c r="T142" s="34">
        <f t="shared" si="31"/>
        <v>0</v>
      </c>
      <c r="U142" s="34">
        <f t="shared" si="32"/>
        <v>9</v>
      </c>
    </row>
    <row r="143" spans="1:21" x14ac:dyDescent="0.35">
      <c r="A143" s="1" t="str">
        <f t="shared" si="22"/>
        <v/>
      </c>
      <c r="B143" s="31"/>
      <c r="C143" s="8"/>
      <c r="D143" s="8"/>
      <c r="E143" s="8"/>
      <c r="F143" s="32"/>
      <c r="G143" s="32"/>
      <c r="H143" s="32"/>
      <c r="I143" s="1" t="str">
        <f t="shared" si="23"/>
        <v/>
      </c>
      <c r="J143" s="1" t="str">
        <f t="shared" si="24"/>
        <v/>
      </c>
      <c r="K143" s="1" t="str">
        <f t="shared" si="25"/>
        <v/>
      </c>
      <c r="L143" s="8"/>
      <c r="M143" s="1" t="str">
        <f t="shared" si="26"/>
        <v/>
      </c>
      <c r="N143" s="1" t="str">
        <f t="shared" si="27"/>
        <v/>
      </c>
      <c r="O143" s="33" t="str">
        <f t="shared" si="28"/>
        <v/>
      </c>
      <c r="P143" s="34" t="str">
        <f>IF(B143="","",C143&amp;"|"&amp;ROUND(O143,2)&amp;"|"&amp;COUNTIFS($C$4:C143,C143,$O$4:O143,O143))</f>
        <v/>
      </c>
      <c r="Q143" s="34">
        <f t="shared" si="29"/>
        <v>0</v>
      </c>
      <c r="R143" s="34">
        <f t="shared" si="30"/>
        <v>0</v>
      </c>
      <c r="S143" s="34" t="str">
        <f>IF(AND(B143&lt;&gt;"",C143=CompteSel,N(B143)&lt;=DateArret,R143=0),MAX($S$3:S142)+1,"")</f>
        <v/>
      </c>
      <c r="T143" s="34">
        <f t="shared" si="31"/>
        <v>0</v>
      </c>
      <c r="U143" s="34">
        <f t="shared" si="32"/>
        <v>9</v>
      </c>
    </row>
    <row r="144" spans="1:21" x14ac:dyDescent="0.35">
      <c r="A144" s="1" t="str">
        <f t="shared" si="22"/>
        <v/>
      </c>
      <c r="B144" s="31"/>
      <c r="C144" s="8"/>
      <c r="D144" s="8"/>
      <c r="E144" s="8"/>
      <c r="F144" s="32"/>
      <c r="G144" s="32"/>
      <c r="H144" s="32"/>
      <c r="I144" s="1" t="str">
        <f t="shared" si="23"/>
        <v/>
      </c>
      <c r="J144" s="1" t="str">
        <f t="shared" si="24"/>
        <v/>
      </c>
      <c r="K144" s="1" t="str">
        <f t="shared" si="25"/>
        <v/>
      </c>
      <c r="L144" s="8"/>
      <c r="M144" s="1" t="str">
        <f t="shared" si="26"/>
        <v/>
      </c>
      <c r="N144" s="1" t="str">
        <f t="shared" si="27"/>
        <v/>
      </c>
      <c r="O144" s="33" t="str">
        <f t="shared" si="28"/>
        <v/>
      </c>
      <c r="P144" s="34" t="str">
        <f>IF(B144="","",C144&amp;"|"&amp;ROUND(O144,2)&amp;"|"&amp;COUNTIFS($C$4:C144,C144,$O$4:O144,O144))</f>
        <v/>
      </c>
      <c r="Q144" s="34">
        <f t="shared" si="29"/>
        <v>0</v>
      </c>
      <c r="R144" s="34">
        <f t="shared" si="30"/>
        <v>0</v>
      </c>
      <c r="S144" s="34" t="str">
        <f>IF(AND(B144&lt;&gt;"",C144=CompteSel,N(B144)&lt;=DateArret,R144=0),MAX($S$3:S143)+1,"")</f>
        <v/>
      </c>
      <c r="T144" s="34">
        <f t="shared" si="31"/>
        <v>0</v>
      </c>
      <c r="U144" s="34">
        <f t="shared" si="32"/>
        <v>9</v>
      </c>
    </row>
    <row r="145" spans="1:21" x14ac:dyDescent="0.35">
      <c r="A145" s="1" t="str">
        <f t="shared" si="22"/>
        <v/>
      </c>
      <c r="B145" s="31"/>
      <c r="C145" s="8"/>
      <c r="D145" s="8"/>
      <c r="E145" s="8"/>
      <c r="F145" s="32"/>
      <c r="G145" s="32"/>
      <c r="H145" s="32"/>
      <c r="I145" s="1" t="str">
        <f t="shared" si="23"/>
        <v/>
      </c>
      <c r="J145" s="1" t="str">
        <f t="shared" si="24"/>
        <v/>
      </c>
      <c r="K145" s="1" t="str">
        <f t="shared" si="25"/>
        <v/>
      </c>
      <c r="L145" s="8"/>
      <c r="M145" s="1" t="str">
        <f t="shared" si="26"/>
        <v/>
      </c>
      <c r="N145" s="1" t="str">
        <f t="shared" si="27"/>
        <v/>
      </c>
      <c r="O145" s="33" t="str">
        <f t="shared" si="28"/>
        <v/>
      </c>
      <c r="P145" s="34" t="str">
        <f>IF(B145="","",C145&amp;"|"&amp;ROUND(O145,2)&amp;"|"&amp;COUNTIFS($C$4:C145,C145,$O$4:O145,O145))</f>
        <v/>
      </c>
      <c r="Q145" s="34">
        <f t="shared" si="29"/>
        <v>0</v>
      </c>
      <c r="R145" s="34">
        <f t="shared" si="30"/>
        <v>0</v>
      </c>
      <c r="S145" s="34" t="str">
        <f>IF(AND(B145&lt;&gt;"",C145=CompteSel,N(B145)&lt;=DateArret,R145=0),MAX($S$3:S144)+1,"")</f>
        <v/>
      </c>
      <c r="T145" s="34">
        <f t="shared" si="31"/>
        <v>0</v>
      </c>
      <c r="U145" s="34">
        <f t="shared" si="32"/>
        <v>9</v>
      </c>
    </row>
    <row r="146" spans="1:21" x14ac:dyDescent="0.35">
      <c r="A146" s="1" t="str">
        <f t="shared" si="22"/>
        <v/>
      </c>
      <c r="B146" s="31"/>
      <c r="C146" s="8"/>
      <c r="D146" s="8"/>
      <c r="E146" s="8"/>
      <c r="F146" s="32"/>
      <c r="G146" s="32"/>
      <c r="H146" s="32"/>
      <c r="I146" s="1" t="str">
        <f t="shared" si="23"/>
        <v/>
      </c>
      <c r="J146" s="1" t="str">
        <f t="shared" si="24"/>
        <v/>
      </c>
      <c r="K146" s="1" t="str">
        <f t="shared" si="25"/>
        <v/>
      </c>
      <c r="L146" s="8"/>
      <c r="M146" s="1" t="str">
        <f t="shared" si="26"/>
        <v/>
      </c>
      <c r="N146" s="1" t="str">
        <f t="shared" si="27"/>
        <v/>
      </c>
      <c r="O146" s="33" t="str">
        <f t="shared" si="28"/>
        <v/>
      </c>
      <c r="P146" s="34" t="str">
        <f>IF(B146="","",C146&amp;"|"&amp;ROUND(O146,2)&amp;"|"&amp;COUNTIFS($C$4:C146,C146,$O$4:O146,O146))</f>
        <v/>
      </c>
      <c r="Q146" s="34">
        <f t="shared" si="29"/>
        <v>0</v>
      </c>
      <c r="R146" s="34">
        <f t="shared" si="30"/>
        <v>0</v>
      </c>
      <c r="S146" s="34" t="str">
        <f>IF(AND(B146&lt;&gt;"",C146=CompteSel,N(B146)&lt;=DateArret,R146=0),MAX($S$3:S145)+1,"")</f>
        <v/>
      </c>
      <c r="T146" s="34">
        <f t="shared" si="31"/>
        <v>0</v>
      </c>
      <c r="U146" s="34">
        <f t="shared" si="32"/>
        <v>9</v>
      </c>
    </row>
    <row r="147" spans="1:21" x14ac:dyDescent="0.35">
      <c r="A147" s="1" t="str">
        <f t="shared" si="22"/>
        <v/>
      </c>
      <c r="B147" s="31"/>
      <c r="C147" s="8"/>
      <c r="D147" s="8"/>
      <c r="E147" s="8"/>
      <c r="F147" s="32"/>
      <c r="G147" s="32"/>
      <c r="H147" s="32"/>
      <c r="I147" s="1" t="str">
        <f t="shared" si="23"/>
        <v/>
      </c>
      <c r="J147" s="1" t="str">
        <f t="shared" si="24"/>
        <v/>
      </c>
      <c r="K147" s="1" t="str">
        <f t="shared" si="25"/>
        <v/>
      </c>
      <c r="L147" s="8"/>
      <c r="M147" s="1" t="str">
        <f t="shared" si="26"/>
        <v/>
      </c>
      <c r="N147" s="1" t="str">
        <f t="shared" si="27"/>
        <v/>
      </c>
      <c r="O147" s="33" t="str">
        <f t="shared" si="28"/>
        <v/>
      </c>
      <c r="P147" s="34" t="str">
        <f>IF(B147="","",C147&amp;"|"&amp;ROUND(O147,2)&amp;"|"&amp;COUNTIFS($C$4:C147,C147,$O$4:O147,O147))</f>
        <v/>
      </c>
      <c r="Q147" s="34">
        <f t="shared" si="29"/>
        <v>0</v>
      </c>
      <c r="R147" s="34">
        <f t="shared" si="30"/>
        <v>0</v>
      </c>
      <c r="S147" s="34" t="str">
        <f>IF(AND(B147&lt;&gt;"",C147=CompteSel,N(B147)&lt;=DateArret,R147=0),MAX($S$3:S146)+1,"")</f>
        <v/>
      </c>
      <c r="T147" s="34">
        <f t="shared" si="31"/>
        <v>0</v>
      </c>
      <c r="U147" s="34">
        <f t="shared" si="32"/>
        <v>9</v>
      </c>
    </row>
    <row r="148" spans="1:21" x14ac:dyDescent="0.35">
      <c r="A148" s="1" t="str">
        <f t="shared" si="22"/>
        <v/>
      </c>
      <c r="B148" s="31"/>
      <c r="C148" s="8"/>
      <c r="D148" s="8"/>
      <c r="E148" s="8"/>
      <c r="F148" s="32"/>
      <c r="G148" s="32"/>
      <c r="H148" s="32"/>
      <c r="I148" s="1" t="str">
        <f t="shared" si="23"/>
        <v/>
      </c>
      <c r="J148" s="1" t="str">
        <f t="shared" si="24"/>
        <v/>
      </c>
      <c r="K148" s="1" t="str">
        <f t="shared" si="25"/>
        <v/>
      </c>
      <c r="L148" s="8"/>
      <c r="M148" s="1" t="str">
        <f t="shared" si="26"/>
        <v/>
      </c>
      <c r="N148" s="1" t="str">
        <f t="shared" si="27"/>
        <v/>
      </c>
      <c r="O148" s="33" t="str">
        <f t="shared" si="28"/>
        <v/>
      </c>
      <c r="P148" s="34" t="str">
        <f>IF(B148="","",C148&amp;"|"&amp;ROUND(O148,2)&amp;"|"&amp;COUNTIFS($C$4:C148,C148,$O$4:O148,O148))</f>
        <v/>
      </c>
      <c r="Q148" s="34">
        <f t="shared" si="29"/>
        <v>0</v>
      </c>
      <c r="R148" s="34">
        <f t="shared" si="30"/>
        <v>0</v>
      </c>
      <c r="S148" s="34" t="str">
        <f>IF(AND(B148&lt;&gt;"",C148=CompteSel,N(B148)&lt;=DateArret,R148=0),MAX($S$3:S147)+1,"")</f>
        <v/>
      </c>
      <c r="T148" s="34">
        <f t="shared" si="31"/>
        <v>0</v>
      </c>
      <c r="U148" s="34">
        <f t="shared" si="32"/>
        <v>9</v>
      </c>
    </row>
    <row r="149" spans="1:21" x14ac:dyDescent="0.35">
      <c r="A149" s="1" t="str">
        <f t="shared" si="22"/>
        <v/>
      </c>
      <c r="B149" s="31"/>
      <c r="C149" s="8"/>
      <c r="D149" s="8"/>
      <c r="E149" s="8"/>
      <c r="F149" s="32"/>
      <c r="G149" s="32"/>
      <c r="H149" s="32"/>
      <c r="I149" s="1" t="str">
        <f t="shared" si="23"/>
        <v/>
      </c>
      <c r="J149" s="1" t="str">
        <f t="shared" si="24"/>
        <v/>
      </c>
      <c r="K149" s="1" t="str">
        <f t="shared" si="25"/>
        <v/>
      </c>
      <c r="L149" s="8"/>
      <c r="M149" s="1" t="str">
        <f t="shared" si="26"/>
        <v/>
      </c>
      <c r="N149" s="1" t="str">
        <f t="shared" si="27"/>
        <v/>
      </c>
      <c r="O149" s="33" t="str">
        <f t="shared" si="28"/>
        <v/>
      </c>
      <c r="P149" s="34" t="str">
        <f>IF(B149="","",C149&amp;"|"&amp;ROUND(O149,2)&amp;"|"&amp;COUNTIFS($C$4:C149,C149,$O$4:O149,O149))</f>
        <v/>
      </c>
      <c r="Q149" s="34">
        <f t="shared" si="29"/>
        <v>0</v>
      </c>
      <c r="R149" s="34">
        <f t="shared" si="30"/>
        <v>0</v>
      </c>
      <c r="S149" s="34" t="str">
        <f>IF(AND(B149&lt;&gt;"",C149=CompteSel,N(B149)&lt;=DateArret,R149=0),MAX($S$3:S148)+1,"")</f>
        <v/>
      </c>
      <c r="T149" s="34">
        <f t="shared" si="31"/>
        <v>0</v>
      </c>
      <c r="U149" s="34">
        <f t="shared" si="32"/>
        <v>9</v>
      </c>
    </row>
    <row r="150" spans="1:21" x14ac:dyDescent="0.35">
      <c r="A150" s="1" t="str">
        <f t="shared" si="22"/>
        <v/>
      </c>
      <c r="B150" s="31"/>
      <c r="C150" s="8"/>
      <c r="D150" s="8"/>
      <c r="E150" s="8"/>
      <c r="F150" s="32"/>
      <c r="G150" s="32"/>
      <c r="H150" s="32"/>
      <c r="I150" s="1" t="str">
        <f t="shared" si="23"/>
        <v/>
      </c>
      <c r="J150" s="1" t="str">
        <f t="shared" si="24"/>
        <v/>
      </c>
      <c r="K150" s="1" t="str">
        <f t="shared" si="25"/>
        <v/>
      </c>
      <c r="L150" s="8"/>
      <c r="M150" s="1" t="str">
        <f t="shared" si="26"/>
        <v/>
      </c>
      <c r="N150" s="1" t="str">
        <f t="shared" si="27"/>
        <v/>
      </c>
      <c r="O150" s="33" t="str">
        <f t="shared" si="28"/>
        <v/>
      </c>
      <c r="P150" s="34" t="str">
        <f>IF(B150="","",C150&amp;"|"&amp;ROUND(O150,2)&amp;"|"&amp;COUNTIFS($C$4:C150,C150,$O$4:O150,O150))</f>
        <v/>
      </c>
      <c r="Q150" s="34">
        <f t="shared" si="29"/>
        <v>0</v>
      </c>
      <c r="R150" s="34">
        <f t="shared" si="30"/>
        <v>0</v>
      </c>
      <c r="S150" s="34" t="str">
        <f>IF(AND(B150&lt;&gt;"",C150=CompteSel,N(B150)&lt;=DateArret,R150=0),MAX($S$3:S149)+1,"")</f>
        <v/>
      </c>
      <c r="T150" s="34">
        <f t="shared" si="31"/>
        <v>0</v>
      </c>
      <c r="U150" s="34">
        <f t="shared" si="32"/>
        <v>9</v>
      </c>
    </row>
    <row r="151" spans="1:21" x14ac:dyDescent="0.35">
      <c r="A151" s="1" t="str">
        <f t="shared" si="22"/>
        <v/>
      </c>
      <c r="B151" s="31"/>
      <c r="C151" s="8"/>
      <c r="D151" s="8"/>
      <c r="E151" s="8"/>
      <c r="F151" s="32"/>
      <c r="G151" s="32"/>
      <c r="H151" s="32"/>
      <c r="I151" s="1" t="str">
        <f t="shared" si="23"/>
        <v/>
      </c>
      <c r="J151" s="1" t="str">
        <f t="shared" si="24"/>
        <v/>
      </c>
      <c r="K151" s="1" t="str">
        <f t="shared" si="25"/>
        <v/>
      </c>
      <c r="L151" s="8"/>
      <c r="M151" s="1" t="str">
        <f t="shared" si="26"/>
        <v/>
      </c>
      <c r="N151" s="1" t="str">
        <f t="shared" si="27"/>
        <v/>
      </c>
      <c r="O151" s="33" t="str">
        <f t="shared" si="28"/>
        <v/>
      </c>
      <c r="P151" s="34" t="str">
        <f>IF(B151="","",C151&amp;"|"&amp;ROUND(O151,2)&amp;"|"&amp;COUNTIFS($C$4:C151,C151,$O$4:O151,O151))</f>
        <v/>
      </c>
      <c r="Q151" s="34">
        <f t="shared" si="29"/>
        <v>0</v>
      </c>
      <c r="R151" s="34">
        <f t="shared" si="30"/>
        <v>0</v>
      </c>
      <c r="S151" s="34" t="str">
        <f>IF(AND(B151&lt;&gt;"",C151=CompteSel,N(B151)&lt;=DateArret,R151=0),MAX($S$3:S150)+1,"")</f>
        <v/>
      </c>
      <c r="T151" s="34">
        <f t="shared" si="31"/>
        <v>0</v>
      </c>
      <c r="U151" s="34">
        <f t="shared" si="32"/>
        <v>9</v>
      </c>
    </row>
    <row r="152" spans="1:21" x14ac:dyDescent="0.35">
      <c r="A152" s="1" t="str">
        <f t="shared" si="22"/>
        <v/>
      </c>
      <c r="B152" s="31"/>
      <c r="C152" s="8"/>
      <c r="D152" s="8"/>
      <c r="E152" s="8"/>
      <c r="F152" s="32"/>
      <c r="G152" s="32"/>
      <c r="H152" s="32"/>
      <c r="I152" s="1" t="str">
        <f t="shared" si="23"/>
        <v/>
      </c>
      <c r="J152" s="1" t="str">
        <f t="shared" si="24"/>
        <v/>
      </c>
      <c r="K152" s="1" t="str">
        <f t="shared" si="25"/>
        <v/>
      </c>
      <c r="L152" s="8"/>
      <c r="M152" s="1" t="str">
        <f t="shared" si="26"/>
        <v/>
      </c>
      <c r="N152" s="1" t="str">
        <f t="shared" si="27"/>
        <v/>
      </c>
      <c r="O152" s="33" t="str">
        <f t="shared" si="28"/>
        <v/>
      </c>
      <c r="P152" s="34" t="str">
        <f>IF(B152="","",C152&amp;"|"&amp;ROUND(O152,2)&amp;"|"&amp;COUNTIFS($C$4:C152,C152,$O$4:O152,O152))</f>
        <v/>
      </c>
      <c r="Q152" s="34">
        <f t="shared" si="29"/>
        <v>0</v>
      </c>
      <c r="R152" s="34">
        <f t="shared" si="30"/>
        <v>0</v>
      </c>
      <c r="S152" s="34" t="str">
        <f>IF(AND(B152&lt;&gt;"",C152=CompteSel,N(B152)&lt;=DateArret,R152=0),MAX($S$3:S151)+1,"")</f>
        <v/>
      </c>
      <c r="T152" s="34">
        <f t="shared" si="31"/>
        <v>0</v>
      </c>
      <c r="U152" s="34">
        <f t="shared" si="32"/>
        <v>9</v>
      </c>
    </row>
    <row r="153" spans="1:21" x14ac:dyDescent="0.35">
      <c r="A153" s="1" t="str">
        <f t="shared" si="22"/>
        <v/>
      </c>
      <c r="B153" s="31"/>
      <c r="C153" s="8"/>
      <c r="D153" s="8"/>
      <c r="E153" s="8"/>
      <c r="F153" s="32"/>
      <c r="G153" s="32"/>
      <c r="H153" s="32"/>
      <c r="I153" s="1" t="str">
        <f t="shared" si="23"/>
        <v/>
      </c>
      <c r="J153" s="1" t="str">
        <f t="shared" si="24"/>
        <v/>
      </c>
      <c r="K153" s="1" t="str">
        <f t="shared" si="25"/>
        <v/>
      </c>
      <c r="L153" s="8"/>
      <c r="M153" s="1" t="str">
        <f t="shared" si="26"/>
        <v/>
      </c>
      <c r="N153" s="1" t="str">
        <f t="shared" si="27"/>
        <v/>
      </c>
      <c r="O153" s="33" t="str">
        <f t="shared" si="28"/>
        <v/>
      </c>
      <c r="P153" s="34" t="str">
        <f>IF(B153="","",C153&amp;"|"&amp;ROUND(O153,2)&amp;"|"&amp;COUNTIFS($C$4:C153,C153,$O$4:O153,O153))</f>
        <v/>
      </c>
      <c r="Q153" s="34">
        <f t="shared" si="29"/>
        <v>0</v>
      </c>
      <c r="R153" s="34">
        <f t="shared" si="30"/>
        <v>0</v>
      </c>
      <c r="S153" s="34" t="str">
        <f>IF(AND(B153&lt;&gt;"",C153=CompteSel,N(B153)&lt;=DateArret,R153=0),MAX($S$3:S152)+1,"")</f>
        <v/>
      </c>
      <c r="T153" s="34">
        <f t="shared" si="31"/>
        <v>0</v>
      </c>
      <c r="U153" s="34">
        <f t="shared" si="32"/>
        <v>9</v>
      </c>
    </row>
    <row r="154" spans="1:21" x14ac:dyDescent="0.35">
      <c r="A154" s="1" t="str">
        <f t="shared" si="22"/>
        <v/>
      </c>
      <c r="B154" s="31"/>
      <c r="C154" s="8"/>
      <c r="D154" s="8"/>
      <c r="E154" s="8"/>
      <c r="F154" s="32"/>
      <c r="G154" s="32"/>
      <c r="H154" s="32"/>
      <c r="I154" s="1" t="str">
        <f t="shared" si="23"/>
        <v/>
      </c>
      <c r="J154" s="1" t="str">
        <f t="shared" si="24"/>
        <v/>
      </c>
      <c r="K154" s="1" t="str">
        <f t="shared" si="25"/>
        <v/>
      </c>
      <c r="L154" s="8"/>
      <c r="M154" s="1" t="str">
        <f t="shared" si="26"/>
        <v/>
      </c>
      <c r="N154" s="1" t="str">
        <f t="shared" si="27"/>
        <v/>
      </c>
      <c r="O154" s="33" t="str">
        <f t="shared" si="28"/>
        <v/>
      </c>
      <c r="P154" s="34" t="str">
        <f>IF(B154="","",C154&amp;"|"&amp;ROUND(O154,2)&amp;"|"&amp;COUNTIFS($C$4:C154,C154,$O$4:O154,O154))</f>
        <v/>
      </c>
      <c r="Q154" s="34">
        <f t="shared" si="29"/>
        <v>0</v>
      </c>
      <c r="R154" s="34">
        <f t="shared" si="30"/>
        <v>0</v>
      </c>
      <c r="S154" s="34" t="str">
        <f>IF(AND(B154&lt;&gt;"",C154=CompteSel,N(B154)&lt;=DateArret,R154=0),MAX($S$3:S153)+1,"")</f>
        <v/>
      </c>
      <c r="T154" s="34">
        <f t="shared" si="31"/>
        <v>0</v>
      </c>
      <c r="U154" s="34">
        <f t="shared" si="32"/>
        <v>9</v>
      </c>
    </row>
    <row r="155" spans="1:21" x14ac:dyDescent="0.35">
      <c r="A155" s="1" t="str">
        <f t="shared" si="22"/>
        <v/>
      </c>
      <c r="B155" s="31"/>
      <c r="C155" s="8"/>
      <c r="D155" s="8"/>
      <c r="E155" s="8"/>
      <c r="F155" s="32"/>
      <c r="G155" s="32"/>
      <c r="H155" s="32"/>
      <c r="I155" s="1" t="str">
        <f t="shared" si="23"/>
        <v/>
      </c>
      <c r="J155" s="1" t="str">
        <f t="shared" si="24"/>
        <v/>
      </c>
      <c r="K155" s="1" t="str">
        <f t="shared" si="25"/>
        <v/>
      </c>
      <c r="L155" s="8"/>
      <c r="M155" s="1" t="str">
        <f t="shared" si="26"/>
        <v/>
      </c>
      <c r="N155" s="1" t="str">
        <f t="shared" si="27"/>
        <v/>
      </c>
      <c r="O155" s="33" t="str">
        <f t="shared" si="28"/>
        <v/>
      </c>
      <c r="P155" s="34" t="str">
        <f>IF(B155="","",C155&amp;"|"&amp;ROUND(O155,2)&amp;"|"&amp;COUNTIFS($C$4:C155,C155,$O$4:O155,O155))</f>
        <v/>
      </c>
      <c r="Q155" s="34">
        <f t="shared" si="29"/>
        <v>0</v>
      </c>
      <c r="R155" s="34">
        <f t="shared" si="30"/>
        <v>0</v>
      </c>
      <c r="S155" s="34" t="str">
        <f>IF(AND(B155&lt;&gt;"",C155=CompteSel,N(B155)&lt;=DateArret,R155=0),MAX($S$3:S154)+1,"")</f>
        <v/>
      </c>
      <c r="T155" s="34">
        <f t="shared" si="31"/>
        <v>0</v>
      </c>
      <c r="U155" s="34">
        <f t="shared" si="32"/>
        <v>9</v>
      </c>
    </row>
    <row r="156" spans="1:21" x14ac:dyDescent="0.35">
      <c r="A156" s="1" t="str">
        <f t="shared" si="22"/>
        <v/>
      </c>
      <c r="B156" s="31"/>
      <c r="C156" s="8"/>
      <c r="D156" s="8"/>
      <c r="E156" s="8"/>
      <c r="F156" s="32"/>
      <c r="G156" s="32"/>
      <c r="H156" s="32"/>
      <c r="I156" s="1" t="str">
        <f t="shared" si="23"/>
        <v/>
      </c>
      <c r="J156" s="1" t="str">
        <f t="shared" si="24"/>
        <v/>
      </c>
      <c r="K156" s="1" t="str">
        <f t="shared" si="25"/>
        <v/>
      </c>
      <c r="L156" s="8"/>
      <c r="M156" s="1" t="str">
        <f t="shared" si="26"/>
        <v/>
      </c>
      <c r="N156" s="1" t="str">
        <f t="shared" si="27"/>
        <v/>
      </c>
      <c r="O156" s="33" t="str">
        <f t="shared" si="28"/>
        <v/>
      </c>
      <c r="P156" s="34" t="str">
        <f>IF(B156="","",C156&amp;"|"&amp;ROUND(O156,2)&amp;"|"&amp;COUNTIFS($C$4:C156,C156,$O$4:O156,O156))</f>
        <v/>
      </c>
      <c r="Q156" s="34">
        <f t="shared" si="29"/>
        <v>0</v>
      </c>
      <c r="R156" s="34">
        <f t="shared" si="30"/>
        <v>0</v>
      </c>
      <c r="S156" s="34" t="str">
        <f>IF(AND(B156&lt;&gt;"",C156=CompteSel,N(B156)&lt;=DateArret,R156=0),MAX($S$3:S155)+1,"")</f>
        <v/>
      </c>
      <c r="T156" s="34">
        <f t="shared" si="31"/>
        <v>0</v>
      </c>
      <c r="U156" s="34">
        <f t="shared" si="32"/>
        <v>9</v>
      </c>
    </row>
    <row r="157" spans="1:21" x14ac:dyDescent="0.35">
      <c r="A157" s="1" t="str">
        <f t="shared" si="22"/>
        <v/>
      </c>
      <c r="B157" s="31"/>
      <c r="C157" s="8"/>
      <c r="D157" s="8"/>
      <c r="E157" s="8"/>
      <c r="F157" s="32"/>
      <c r="G157" s="32"/>
      <c r="H157" s="32"/>
      <c r="I157" s="1" t="str">
        <f t="shared" si="23"/>
        <v/>
      </c>
      <c r="J157" s="1" t="str">
        <f t="shared" si="24"/>
        <v/>
      </c>
      <c r="K157" s="1" t="str">
        <f t="shared" si="25"/>
        <v/>
      </c>
      <c r="L157" s="8"/>
      <c r="M157" s="1" t="str">
        <f t="shared" si="26"/>
        <v/>
      </c>
      <c r="N157" s="1" t="str">
        <f t="shared" si="27"/>
        <v/>
      </c>
      <c r="O157" s="33" t="str">
        <f t="shared" si="28"/>
        <v/>
      </c>
      <c r="P157" s="34" t="str">
        <f>IF(B157="","",C157&amp;"|"&amp;ROUND(O157,2)&amp;"|"&amp;COUNTIFS($C$4:C157,C157,$O$4:O157,O157))</f>
        <v/>
      </c>
      <c r="Q157" s="34">
        <f t="shared" si="29"/>
        <v>0</v>
      </c>
      <c r="R157" s="34">
        <f t="shared" si="30"/>
        <v>0</v>
      </c>
      <c r="S157" s="34" t="str">
        <f>IF(AND(B157&lt;&gt;"",C157=CompteSel,N(B157)&lt;=DateArret,R157=0),MAX($S$3:S156)+1,"")</f>
        <v/>
      </c>
      <c r="T157" s="34">
        <f t="shared" si="31"/>
        <v>0</v>
      </c>
      <c r="U157" s="34">
        <f t="shared" si="32"/>
        <v>9</v>
      </c>
    </row>
    <row r="158" spans="1:21" x14ac:dyDescent="0.35">
      <c r="A158" s="1" t="str">
        <f t="shared" si="22"/>
        <v/>
      </c>
      <c r="B158" s="31"/>
      <c r="C158" s="8"/>
      <c r="D158" s="8"/>
      <c r="E158" s="8"/>
      <c r="F158" s="32"/>
      <c r="G158" s="32"/>
      <c r="H158" s="32"/>
      <c r="I158" s="1" t="str">
        <f t="shared" si="23"/>
        <v/>
      </c>
      <c r="J158" s="1" t="str">
        <f t="shared" si="24"/>
        <v/>
      </c>
      <c r="K158" s="1" t="str">
        <f t="shared" si="25"/>
        <v/>
      </c>
      <c r="L158" s="8"/>
      <c r="M158" s="1" t="str">
        <f t="shared" si="26"/>
        <v/>
      </c>
      <c r="N158" s="1" t="str">
        <f t="shared" si="27"/>
        <v/>
      </c>
      <c r="O158" s="33" t="str">
        <f t="shared" si="28"/>
        <v/>
      </c>
      <c r="P158" s="34" t="str">
        <f>IF(B158="","",C158&amp;"|"&amp;ROUND(O158,2)&amp;"|"&amp;COUNTIFS($C$4:C158,C158,$O$4:O158,O158))</f>
        <v/>
      </c>
      <c r="Q158" s="34">
        <f t="shared" si="29"/>
        <v>0</v>
      </c>
      <c r="R158" s="34">
        <f t="shared" si="30"/>
        <v>0</v>
      </c>
      <c r="S158" s="34" t="str">
        <f>IF(AND(B158&lt;&gt;"",C158=CompteSel,N(B158)&lt;=DateArret,R158=0),MAX($S$3:S157)+1,"")</f>
        <v/>
      </c>
      <c r="T158" s="34">
        <f t="shared" si="31"/>
        <v>0</v>
      </c>
      <c r="U158" s="34">
        <f t="shared" si="32"/>
        <v>9</v>
      </c>
    </row>
    <row r="159" spans="1:21" x14ac:dyDescent="0.35">
      <c r="A159" s="1" t="str">
        <f t="shared" si="22"/>
        <v/>
      </c>
      <c r="B159" s="31"/>
      <c r="C159" s="8"/>
      <c r="D159" s="8"/>
      <c r="E159" s="8"/>
      <c r="F159" s="32"/>
      <c r="G159" s="32"/>
      <c r="H159" s="32"/>
      <c r="I159" s="1" t="str">
        <f t="shared" si="23"/>
        <v/>
      </c>
      <c r="J159" s="1" t="str">
        <f t="shared" si="24"/>
        <v/>
      </c>
      <c r="K159" s="1" t="str">
        <f t="shared" si="25"/>
        <v/>
      </c>
      <c r="L159" s="8"/>
      <c r="M159" s="1" t="str">
        <f t="shared" si="26"/>
        <v/>
      </c>
      <c r="N159" s="1" t="str">
        <f t="shared" si="27"/>
        <v/>
      </c>
      <c r="O159" s="33" t="str">
        <f t="shared" si="28"/>
        <v/>
      </c>
      <c r="P159" s="34" t="str">
        <f>IF(B159="","",C159&amp;"|"&amp;ROUND(O159,2)&amp;"|"&amp;COUNTIFS($C$4:C159,C159,$O$4:O159,O159))</f>
        <v/>
      </c>
      <c r="Q159" s="34">
        <f t="shared" si="29"/>
        <v>0</v>
      </c>
      <c r="R159" s="34">
        <f t="shared" si="30"/>
        <v>0</v>
      </c>
      <c r="S159" s="34" t="str">
        <f>IF(AND(B159&lt;&gt;"",C159=CompteSel,N(B159)&lt;=DateArret,R159=0),MAX($S$3:S158)+1,"")</f>
        <v/>
      </c>
      <c r="T159" s="34">
        <f t="shared" si="31"/>
        <v>0</v>
      </c>
      <c r="U159" s="34">
        <f t="shared" si="32"/>
        <v>9</v>
      </c>
    </row>
    <row r="160" spans="1:21" x14ac:dyDescent="0.35">
      <c r="A160" s="1" t="str">
        <f t="shared" si="22"/>
        <v/>
      </c>
      <c r="B160" s="31"/>
      <c r="C160" s="8"/>
      <c r="D160" s="8"/>
      <c r="E160" s="8"/>
      <c r="F160" s="32"/>
      <c r="G160" s="32"/>
      <c r="H160" s="32"/>
      <c r="I160" s="1" t="str">
        <f t="shared" si="23"/>
        <v/>
      </c>
      <c r="J160" s="1" t="str">
        <f t="shared" si="24"/>
        <v/>
      </c>
      <c r="K160" s="1" t="str">
        <f t="shared" si="25"/>
        <v/>
      </c>
      <c r="L160" s="8"/>
      <c r="M160" s="1" t="str">
        <f t="shared" si="26"/>
        <v/>
      </c>
      <c r="N160" s="1" t="str">
        <f t="shared" si="27"/>
        <v/>
      </c>
      <c r="O160" s="33" t="str">
        <f t="shared" si="28"/>
        <v/>
      </c>
      <c r="P160" s="34" t="str">
        <f>IF(B160="","",C160&amp;"|"&amp;ROUND(O160,2)&amp;"|"&amp;COUNTIFS($C$4:C160,C160,$O$4:O160,O160))</f>
        <v/>
      </c>
      <c r="Q160" s="34">
        <f t="shared" si="29"/>
        <v>0</v>
      </c>
      <c r="R160" s="34">
        <f t="shared" si="30"/>
        <v>0</v>
      </c>
      <c r="S160" s="34" t="str">
        <f>IF(AND(B160&lt;&gt;"",C160=CompteSel,N(B160)&lt;=DateArret,R160=0),MAX($S$3:S159)+1,"")</f>
        <v/>
      </c>
      <c r="T160" s="34">
        <f t="shared" si="31"/>
        <v>0</v>
      </c>
      <c r="U160" s="34">
        <f t="shared" si="32"/>
        <v>9</v>
      </c>
    </row>
    <row r="161" spans="1:21" x14ac:dyDescent="0.35">
      <c r="A161" s="1" t="str">
        <f t="shared" si="22"/>
        <v/>
      </c>
      <c r="B161" s="31"/>
      <c r="C161" s="8"/>
      <c r="D161" s="8"/>
      <c r="E161" s="8"/>
      <c r="F161" s="32"/>
      <c r="G161" s="32"/>
      <c r="H161" s="32"/>
      <c r="I161" s="1" t="str">
        <f t="shared" si="23"/>
        <v/>
      </c>
      <c r="J161" s="1" t="str">
        <f t="shared" si="24"/>
        <v/>
      </c>
      <c r="K161" s="1" t="str">
        <f t="shared" si="25"/>
        <v/>
      </c>
      <c r="L161" s="8"/>
      <c r="M161" s="1" t="str">
        <f t="shared" si="26"/>
        <v/>
      </c>
      <c r="N161" s="1" t="str">
        <f t="shared" si="27"/>
        <v/>
      </c>
      <c r="O161" s="33" t="str">
        <f t="shared" si="28"/>
        <v/>
      </c>
      <c r="P161" s="34" t="str">
        <f>IF(B161="","",C161&amp;"|"&amp;ROUND(O161,2)&amp;"|"&amp;COUNTIFS($C$4:C161,C161,$O$4:O161,O161))</f>
        <v/>
      </c>
      <c r="Q161" s="34">
        <f t="shared" si="29"/>
        <v>0</v>
      </c>
      <c r="R161" s="34">
        <f t="shared" si="30"/>
        <v>0</v>
      </c>
      <c r="S161" s="34" t="str">
        <f>IF(AND(B161&lt;&gt;"",C161=CompteSel,N(B161)&lt;=DateArret,R161=0),MAX($S$3:S160)+1,"")</f>
        <v/>
      </c>
      <c r="T161" s="34">
        <f t="shared" si="31"/>
        <v>0</v>
      </c>
      <c r="U161" s="34">
        <f t="shared" si="32"/>
        <v>9</v>
      </c>
    </row>
    <row r="162" spans="1:21" x14ac:dyDescent="0.35">
      <c r="A162" s="1" t="str">
        <f t="shared" si="22"/>
        <v/>
      </c>
      <c r="B162" s="31"/>
      <c r="C162" s="8"/>
      <c r="D162" s="8"/>
      <c r="E162" s="8"/>
      <c r="F162" s="32"/>
      <c r="G162" s="32"/>
      <c r="H162" s="32"/>
      <c r="I162" s="1" t="str">
        <f t="shared" si="23"/>
        <v/>
      </c>
      <c r="J162" s="1" t="str">
        <f t="shared" si="24"/>
        <v/>
      </c>
      <c r="K162" s="1" t="str">
        <f t="shared" si="25"/>
        <v/>
      </c>
      <c r="L162" s="8"/>
      <c r="M162" s="1" t="str">
        <f t="shared" si="26"/>
        <v/>
      </c>
      <c r="N162" s="1" t="str">
        <f t="shared" si="27"/>
        <v/>
      </c>
      <c r="O162" s="33" t="str">
        <f t="shared" si="28"/>
        <v/>
      </c>
      <c r="P162" s="34" t="str">
        <f>IF(B162="","",C162&amp;"|"&amp;ROUND(O162,2)&amp;"|"&amp;COUNTIFS($C$4:C162,C162,$O$4:O162,O162))</f>
        <v/>
      </c>
      <c r="Q162" s="34">
        <f t="shared" si="29"/>
        <v>0</v>
      </c>
      <c r="R162" s="34">
        <f t="shared" si="30"/>
        <v>0</v>
      </c>
      <c r="S162" s="34" t="str">
        <f>IF(AND(B162&lt;&gt;"",C162=CompteSel,N(B162)&lt;=DateArret,R162=0),MAX($S$3:S161)+1,"")</f>
        <v/>
      </c>
      <c r="T162" s="34">
        <f t="shared" si="31"/>
        <v>0</v>
      </c>
      <c r="U162" s="34">
        <f t="shared" si="32"/>
        <v>9</v>
      </c>
    </row>
    <row r="163" spans="1:21" x14ac:dyDescent="0.35">
      <c r="A163" s="1" t="str">
        <f t="shared" si="22"/>
        <v/>
      </c>
      <c r="B163" s="31"/>
      <c r="C163" s="8"/>
      <c r="D163" s="8"/>
      <c r="E163" s="8"/>
      <c r="F163" s="32"/>
      <c r="G163" s="32"/>
      <c r="H163" s="32"/>
      <c r="I163" s="1" t="str">
        <f t="shared" si="23"/>
        <v/>
      </c>
      <c r="J163" s="1" t="str">
        <f t="shared" si="24"/>
        <v/>
      </c>
      <c r="K163" s="1" t="str">
        <f t="shared" si="25"/>
        <v/>
      </c>
      <c r="L163" s="8"/>
      <c r="M163" s="1" t="str">
        <f t="shared" si="26"/>
        <v/>
      </c>
      <c r="N163" s="1" t="str">
        <f t="shared" si="27"/>
        <v/>
      </c>
      <c r="O163" s="33" t="str">
        <f t="shared" si="28"/>
        <v/>
      </c>
      <c r="P163" s="34" t="str">
        <f>IF(B163="","",C163&amp;"|"&amp;ROUND(O163,2)&amp;"|"&amp;COUNTIFS($C$4:C163,C163,$O$4:O163,O163))</f>
        <v/>
      </c>
      <c r="Q163" s="34">
        <f t="shared" si="29"/>
        <v>0</v>
      </c>
      <c r="R163" s="34">
        <f t="shared" si="30"/>
        <v>0</v>
      </c>
      <c r="S163" s="34" t="str">
        <f>IF(AND(B163&lt;&gt;"",C163=CompteSel,N(B163)&lt;=DateArret,R163=0),MAX($S$3:S162)+1,"")</f>
        <v/>
      </c>
      <c r="T163" s="34">
        <f t="shared" si="31"/>
        <v>0</v>
      </c>
      <c r="U163" s="34">
        <f t="shared" si="32"/>
        <v>9</v>
      </c>
    </row>
    <row r="164" spans="1:21" x14ac:dyDescent="0.35">
      <c r="A164" s="1" t="str">
        <f t="shared" si="22"/>
        <v/>
      </c>
      <c r="B164" s="31"/>
      <c r="C164" s="8"/>
      <c r="D164" s="8"/>
      <c r="E164" s="8"/>
      <c r="F164" s="32"/>
      <c r="G164" s="32"/>
      <c r="H164" s="32"/>
      <c r="I164" s="1" t="str">
        <f t="shared" si="23"/>
        <v/>
      </c>
      <c r="J164" s="1" t="str">
        <f t="shared" si="24"/>
        <v/>
      </c>
      <c r="K164" s="1" t="str">
        <f t="shared" si="25"/>
        <v/>
      </c>
      <c r="L164" s="8"/>
      <c r="M164" s="1" t="str">
        <f t="shared" si="26"/>
        <v/>
      </c>
      <c r="N164" s="1" t="str">
        <f t="shared" si="27"/>
        <v/>
      </c>
      <c r="O164" s="33" t="str">
        <f t="shared" si="28"/>
        <v/>
      </c>
      <c r="P164" s="34" t="str">
        <f>IF(B164="","",C164&amp;"|"&amp;ROUND(O164,2)&amp;"|"&amp;COUNTIFS($C$4:C164,C164,$O$4:O164,O164))</f>
        <v/>
      </c>
      <c r="Q164" s="34">
        <f t="shared" si="29"/>
        <v>0</v>
      </c>
      <c r="R164" s="34">
        <f t="shared" si="30"/>
        <v>0</v>
      </c>
      <c r="S164" s="34" t="str">
        <f>IF(AND(B164&lt;&gt;"",C164=CompteSel,N(B164)&lt;=DateArret,R164=0),MAX($S$3:S163)+1,"")</f>
        <v/>
      </c>
      <c r="T164" s="34">
        <f t="shared" si="31"/>
        <v>0</v>
      </c>
      <c r="U164" s="34">
        <f t="shared" si="32"/>
        <v>9</v>
      </c>
    </row>
    <row r="165" spans="1:21" x14ac:dyDescent="0.35">
      <c r="A165" s="1" t="str">
        <f t="shared" si="22"/>
        <v/>
      </c>
      <c r="B165" s="31"/>
      <c r="C165" s="8"/>
      <c r="D165" s="8"/>
      <c r="E165" s="8"/>
      <c r="F165" s="32"/>
      <c r="G165" s="32"/>
      <c r="H165" s="32"/>
      <c r="I165" s="1" t="str">
        <f t="shared" si="23"/>
        <v/>
      </c>
      <c r="J165" s="1" t="str">
        <f t="shared" si="24"/>
        <v/>
      </c>
      <c r="K165" s="1" t="str">
        <f t="shared" si="25"/>
        <v/>
      </c>
      <c r="L165" s="8"/>
      <c r="M165" s="1" t="str">
        <f t="shared" si="26"/>
        <v/>
      </c>
      <c r="N165" s="1" t="str">
        <f t="shared" si="27"/>
        <v/>
      </c>
      <c r="O165" s="33" t="str">
        <f t="shared" si="28"/>
        <v/>
      </c>
      <c r="P165" s="34" t="str">
        <f>IF(B165="","",C165&amp;"|"&amp;ROUND(O165,2)&amp;"|"&amp;COUNTIFS($C$4:C165,C165,$O$4:O165,O165))</f>
        <v/>
      </c>
      <c r="Q165" s="34">
        <f t="shared" si="29"/>
        <v>0</v>
      </c>
      <c r="R165" s="34">
        <f t="shared" si="30"/>
        <v>0</v>
      </c>
      <c r="S165" s="34" t="str">
        <f>IF(AND(B165&lt;&gt;"",C165=CompteSel,N(B165)&lt;=DateArret,R165=0),MAX($S$3:S164)+1,"")</f>
        <v/>
      </c>
      <c r="T165" s="34">
        <f t="shared" si="31"/>
        <v>0</v>
      </c>
      <c r="U165" s="34">
        <f t="shared" si="32"/>
        <v>9</v>
      </c>
    </row>
    <row r="166" spans="1:21" x14ac:dyDescent="0.35">
      <c r="A166" s="1" t="str">
        <f t="shared" si="22"/>
        <v/>
      </c>
      <c r="B166" s="31"/>
      <c r="C166" s="8"/>
      <c r="D166" s="8"/>
      <c r="E166" s="8"/>
      <c r="F166" s="32"/>
      <c r="G166" s="32"/>
      <c r="H166" s="32"/>
      <c r="I166" s="1" t="str">
        <f t="shared" si="23"/>
        <v/>
      </c>
      <c r="J166" s="1" t="str">
        <f t="shared" si="24"/>
        <v/>
      </c>
      <c r="K166" s="1" t="str">
        <f t="shared" si="25"/>
        <v/>
      </c>
      <c r="L166" s="8"/>
      <c r="M166" s="1" t="str">
        <f t="shared" si="26"/>
        <v/>
      </c>
      <c r="N166" s="1" t="str">
        <f t="shared" si="27"/>
        <v/>
      </c>
      <c r="O166" s="33" t="str">
        <f t="shared" si="28"/>
        <v/>
      </c>
      <c r="P166" s="34" t="str">
        <f>IF(B166="","",C166&amp;"|"&amp;ROUND(O166,2)&amp;"|"&amp;COUNTIFS($C$4:C166,C166,$O$4:O166,O166))</f>
        <v/>
      </c>
      <c r="Q166" s="34">
        <f t="shared" si="29"/>
        <v>0</v>
      </c>
      <c r="R166" s="34">
        <f t="shared" si="30"/>
        <v>0</v>
      </c>
      <c r="S166" s="34" t="str">
        <f>IF(AND(B166&lt;&gt;"",C166=CompteSel,N(B166)&lt;=DateArret,R166=0),MAX($S$3:S165)+1,"")</f>
        <v/>
      </c>
      <c r="T166" s="34">
        <f t="shared" si="31"/>
        <v>0</v>
      </c>
      <c r="U166" s="34">
        <f t="shared" si="32"/>
        <v>9</v>
      </c>
    </row>
    <row r="167" spans="1:21" x14ac:dyDescent="0.35">
      <c r="A167" s="1" t="str">
        <f t="shared" si="22"/>
        <v/>
      </c>
      <c r="B167" s="31"/>
      <c r="C167" s="8"/>
      <c r="D167" s="8"/>
      <c r="E167" s="8"/>
      <c r="F167" s="32"/>
      <c r="G167" s="32"/>
      <c r="H167" s="32"/>
      <c r="I167" s="1" t="str">
        <f t="shared" si="23"/>
        <v/>
      </c>
      <c r="J167" s="1" t="str">
        <f t="shared" si="24"/>
        <v/>
      </c>
      <c r="K167" s="1" t="str">
        <f t="shared" si="25"/>
        <v/>
      </c>
      <c r="L167" s="8"/>
      <c r="M167" s="1" t="str">
        <f t="shared" si="26"/>
        <v/>
      </c>
      <c r="N167" s="1" t="str">
        <f t="shared" si="27"/>
        <v/>
      </c>
      <c r="O167" s="33" t="str">
        <f t="shared" si="28"/>
        <v/>
      </c>
      <c r="P167" s="34" t="str">
        <f>IF(B167="","",C167&amp;"|"&amp;ROUND(O167,2)&amp;"|"&amp;COUNTIFS($C$4:C167,C167,$O$4:O167,O167))</f>
        <v/>
      </c>
      <c r="Q167" s="34">
        <f t="shared" si="29"/>
        <v>0</v>
      </c>
      <c r="R167" s="34">
        <f t="shared" si="30"/>
        <v>0</v>
      </c>
      <c r="S167" s="34" t="str">
        <f>IF(AND(B167&lt;&gt;"",C167=CompteSel,N(B167)&lt;=DateArret,R167=0),MAX($S$3:S166)+1,"")</f>
        <v/>
      </c>
      <c r="T167" s="34">
        <f t="shared" si="31"/>
        <v>0</v>
      </c>
      <c r="U167" s="34">
        <f t="shared" si="32"/>
        <v>9</v>
      </c>
    </row>
    <row r="168" spans="1:21" x14ac:dyDescent="0.35">
      <c r="A168" s="1" t="str">
        <f t="shared" si="22"/>
        <v/>
      </c>
      <c r="B168" s="31"/>
      <c r="C168" s="8"/>
      <c r="D168" s="8"/>
      <c r="E168" s="8"/>
      <c r="F168" s="32"/>
      <c r="G168" s="32"/>
      <c r="H168" s="32"/>
      <c r="I168" s="1" t="str">
        <f t="shared" si="23"/>
        <v/>
      </c>
      <c r="J168" s="1" t="str">
        <f t="shared" si="24"/>
        <v/>
      </c>
      <c r="K168" s="1" t="str">
        <f t="shared" si="25"/>
        <v/>
      </c>
      <c r="L168" s="8"/>
      <c r="M168" s="1" t="str">
        <f t="shared" si="26"/>
        <v/>
      </c>
      <c r="N168" s="1" t="str">
        <f t="shared" si="27"/>
        <v/>
      </c>
      <c r="O168" s="33" t="str">
        <f t="shared" si="28"/>
        <v/>
      </c>
      <c r="P168" s="34" t="str">
        <f>IF(B168="","",C168&amp;"|"&amp;ROUND(O168,2)&amp;"|"&amp;COUNTIFS($C$4:C168,C168,$O$4:O168,O168))</f>
        <v/>
      </c>
      <c r="Q168" s="34">
        <f t="shared" si="29"/>
        <v>0</v>
      </c>
      <c r="R168" s="34">
        <f t="shared" si="30"/>
        <v>0</v>
      </c>
      <c r="S168" s="34" t="str">
        <f>IF(AND(B168&lt;&gt;"",C168=CompteSel,N(B168)&lt;=DateArret,R168=0),MAX($S$3:S167)+1,"")</f>
        <v/>
      </c>
      <c r="T168" s="34">
        <f t="shared" si="31"/>
        <v>0</v>
      </c>
      <c r="U168" s="34">
        <f t="shared" si="32"/>
        <v>9</v>
      </c>
    </row>
    <row r="169" spans="1:21" x14ac:dyDescent="0.35">
      <c r="A169" s="1" t="str">
        <f t="shared" si="22"/>
        <v/>
      </c>
      <c r="B169" s="31"/>
      <c r="C169" s="8"/>
      <c r="D169" s="8"/>
      <c r="E169" s="8"/>
      <c r="F169" s="32"/>
      <c r="G169" s="32"/>
      <c r="H169" s="32"/>
      <c r="I169" s="1" t="str">
        <f t="shared" si="23"/>
        <v/>
      </c>
      <c r="J169" s="1" t="str">
        <f t="shared" si="24"/>
        <v/>
      </c>
      <c r="K169" s="1" t="str">
        <f t="shared" si="25"/>
        <v/>
      </c>
      <c r="L169" s="8"/>
      <c r="M169" s="1" t="str">
        <f t="shared" si="26"/>
        <v/>
      </c>
      <c r="N169" s="1" t="str">
        <f t="shared" si="27"/>
        <v/>
      </c>
      <c r="O169" s="33" t="str">
        <f t="shared" si="28"/>
        <v/>
      </c>
      <c r="P169" s="34" t="str">
        <f>IF(B169="","",C169&amp;"|"&amp;ROUND(O169,2)&amp;"|"&amp;COUNTIFS($C$4:C169,C169,$O$4:O169,O169))</f>
        <v/>
      </c>
      <c r="Q169" s="34">
        <f t="shared" si="29"/>
        <v>0</v>
      </c>
      <c r="R169" s="34">
        <f t="shared" si="30"/>
        <v>0</v>
      </c>
      <c r="S169" s="34" t="str">
        <f>IF(AND(B169&lt;&gt;"",C169=CompteSel,N(B169)&lt;=DateArret,R169=0),MAX($S$3:S168)+1,"")</f>
        <v/>
      </c>
      <c r="T169" s="34">
        <f t="shared" si="31"/>
        <v>0</v>
      </c>
      <c r="U169" s="34">
        <f t="shared" si="32"/>
        <v>9</v>
      </c>
    </row>
    <row r="170" spans="1:21" x14ac:dyDescent="0.35">
      <c r="A170" s="1" t="str">
        <f t="shared" si="22"/>
        <v/>
      </c>
      <c r="B170" s="31"/>
      <c r="C170" s="8"/>
      <c r="D170" s="8"/>
      <c r="E170" s="8"/>
      <c r="F170" s="32"/>
      <c r="G170" s="32"/>
      <c r="H170" s="32"/>
      <c r="I170" s="1" t="str">
        <f t="shared" si="23"/>
        <v/>
      </c>
      <c r="J170" s="1" t="str">
        <f t="shared" si="24"/>
        <v/>
      </c>
      <c r="K170" s="1" t="str">
        <f t="shared" si="25"/>
        <v/>
      </c>
      <c r="L170" s="8"/>
      <c r="M170" s="1" t="str">
        <f t="shared" si="26"/>
        <v/>
      </c>
      <c r="N170" s="1" t="str">
        <f t="shared" si="27"/>
        <v/>
      </c>
      <c r="O170" s="33" t="str">
        <f t="shared" si="28"/>
        <v/>
      </c>
      <c r="P170" s="34" t="str">
        <f>IF(B170="","",C170&amp;"|"&amp;ROUND(O170,2)&amp;"|"&amp;COUNTIFS($C$4:C170,C170,$O$4:O170,O170))</f>
        <v/>
      </c>
      <c r="Q170" s="34">
        <f t="shared" si="29"/>
        <v>0</v>
      </c>
      <c r="R170" s="34">
        <f t="shared" si="30"/>
        <v>0</v>
      </c>
      <c r="S170" s="34" t="str">
        <f>IF(AND(B170&lt;&gt;"",C170=CompteSel,N(B170)&lt;=DateArret,R170=0),MAX($S$3:S169)+1,"")</f>
        <v/>
      </c>
      <c r="T170" s="34">
        <f t="shared" si="31"/>
        <v>0</v>
      </c>
      <c r="U170" s="34">
        <f t="shared" si="32"/>
        <v>9</v>
      </c>
    </row>
    <row r="171" spans="1:21" x14ac:dyDescent="0.35">
      <c r="A171" s="1" t="str">
        <f t="shared" si="22"/>
        <v/>
      </c>
      <c r="B171" s="31"/>
      <c r="C171" s="8"/>
      <c r="D171" s="8"/>
      <c r="E171" s="8"/>
      <c r="F171" s="32"/>
      <c r="G171" s="32"/>
      <c r="H171" s="32"/>
      <c r="I171" s="1" t="str">
        <f t="shared" si="23"/>
        <v/>
      </c>
      <c r="J171" s="1" t="str">
        <f t="shared" si="24"/>
        <v/>
      </c>
      <c r="K171" s="1" t="str">
        <f t="shared" si="25"/>
        <v/>
      </c>
      <c r="L171" s="8"/>
      <c r="M171" s="1" t="str">
        <f t="shared" si="26"/>
        <v/>
      </c>
      <c r="N171" s="1" t="str">
        <f t="shared" si="27"/>
        <v/>
      </c>
      <c r="O171" s="33" t="str">
        <f t="shared" si="28"/>
        <v/>
      </c>
      <c r="P171" s="34" t="str">
        <f>IF(B171="","",C171&amp;"|"&amp;ROUND(O171,2)&amp;"|"&amp;COUNTIFS($C$4:C171,C171,$O$4:O171,O171))</f>
        <v/>
      </c>
      <c r="Q171" s="34">
        <f t="shared" si="29"/>
        <v>0</v>
      </c>
      <c r="R171" s="34">
        <f t="shared" si="30"/>
        <v>0</v>
      </c>
      <c r="S171" s="34" t="str">
        <f>IF(AND(B171&lt;&gt;"",C171=CompteSel,N(B171)&lt;=DateArret,R171=0),MAX($S$3:S170)+1,"")</f>
        <v/>
      </c>
      <c r="T171" s="34">
        <f t="shared" si="31"/>
        <v>0</v>
      </c>
      <c r="U171" s="34">
        <f t="shared" si="32"/>
        <v>9</v>
      </c>
    </row>
    <row r="172" spans="1:21" x14ac:dyDescent="0.35">
      <c r="A172" s="1" t="str">
        <f t="shared" si="22"/>
        <v/>
      </c>
      <c r="B172" s="31"/>
      <c r="C172" s="8"/>
      <c r="D172" s="8"/>
      <c r="E172" s="8"/>
      <c r="F172" s="32"/>
      <c r="G172" s="32"/>
      <c r="H172" s="32"/>
      <c r="I172" s="1" t="str">
        <f t="shared" si="23"/>
        <v/>
      </c>
      <c r="J172" s="1" t="str">
        <f t="shared" si="24"/>
        <v/>
      </c>
      <c r="K172" s="1" t="str">
        <f t="shared" si="25"/>
        <v/>
      </c>
      <c r="L172" s="8"/>
      <c r="M172" s="1" t="str">
        <f t="shared" si="26"/>
        <v/>
      </c>
      <c r="N172" s="1" t="str">
        <f t="shared" si="27"/>
        <v/>
      </c>
      <c r="O172" s="33" t="str">
        <f t="shared" si="28"/>
        <v/>
      </c>
      <c r="P172" s="34" t="str">
        <f>IF(B172="","",C172&amp;"|"&amp;ROUND(O172,2)&amp;"|"&amp;COUNTIFS($C$4:C172,C172,$O$4:O172,O172))</f>
        <v/>
      </c>
      <c r="Q172" s="34">
        <f t="shared" si="29"/>
        <v>0</v>
      </c>
      <c r="R172" s="34">
        <f t="shared" si="30"/>
        <v>0</v>
      </c>
      <c r="S172" s="34" t="str">
        <f>IF(AND(B172&lt;&gt;"",C172=CompteSel,N(B172)&lt;=DateArret,R172=0),MAX($S$3:S171)+1,"")</f>
        <v/>
      </c>
      <c r="T172" s="34">
        <f t="shared" si="31"/>
        <v>0</v>
      </c>
      <c r="U172" s="34">
        <f t="shared" si="32"/>
        <v>9</v>
      </c>
    </row>
    <row r="173" spans="1:21" x14ac:dyDescent="0.35">
      <c r="A173" s="1" t="str">
        <f t="shared" si="22"/>
        <v/>
      </c>
      <c r="B173" s="31"/>
      <c r="C173" s="8"/>
      <c r="D173" s="8"/>
      <c r="E173" s="8"/>
      <c r="F173" s="32"/>
      <c r="G173" s="32"/>
      <c r="H173" s="32"/>
      <c r="I173" s="1" t="str">
        <f t="shared" si="23"/>
        <v/>
      </c>
      <c r="J173" s="1" t="str">
        <f t="shared" si="24"/>
        <v/>
      </c>
      <c r="K173" s="1" t="str">
        <f t="shared" si="25"/>
        <v/>
      </c>
      <c r="L173" s="8"/>
      <c r="M173" s="1" t="str">
        <f t="shared" si="26"/>
        <v/>
      </c>
      <c r="N173" s="1" t="str">
        <f t="shared" si="27"/>
        <v/>
      </c>
      <c r="O173" s="33" t="str">
        <f t="shared" si="28"/>
        <v/>
      </c>
      <c r="P173" s="34" t="str">
        <f>IF(B173="","",C173&amp;"|"&amp;ROUND(O173,2)&amp;"|"&amp;COUNTIFS($C$4:C173,C173,$O$4:O173,O173))</f>
        <v/>
      </c>
      <c r="Q173" s="34">
        <f t="shared" si="29"/>
        <v>0</v>
      </c>
      <c r="R173" s="34">
        <f t="shared" si="30"/>
        <v>0</v>
      </c>
      <c r="S173" s="34" t="str">
        <f>IF(AND(B173&lt;&gt;"",C173=CompteSel,N(B173)&lt;=DateArret,R173=0),MAX($S$3:S172)+1,"")</f>
        <v/>
      </c>
      <c r="T173" s="34">
        <f t="shared" si="31"/>
        <v>0</v>
      </c>
      <c r="U173" s="34">
        <f t="shared" si="32"/>
        <v>9</v>
      </c>
    </row>
    <row r="174" spans="1:21" x14ac:dyDescent="0.35">
      <c r="A174" s="1" t="str">
        <f t="shared" si="22"/>
        <v/>
      </c>
      <c r="B174" s="31"/>
      <c r="C174" s="8"/>
      <c r="D174" s="8"/>
      <c r="E174" s="8"/>
      <c r="F174" s="32"/>
      <c r="G174" s="32"/>
      <c r="H174" s="32"/>
      <c r="I174" s="1" t="str">
        <f t="shared" si="23"/>
        <v/>
      </c>
      <c r="J174" s="1" t="str">
        <f t="shared" si="24"/>
        <v/>
      </c>
      <c r="K174" s="1" t="str">
        <f t="shared" si="25"/>
        <v/>
      </c>
      <c r="L174" s="8"/>
      <c r="M174" s="1" t="str">
        <f t="shared" si="26"/>
        <v/>
      </c>
      <c r="N174" s="1" t="str">
        <f t="shared" si="27"/>
        <v/>
      </c>
      <c r="O174" s="33" t="str">
        <f t="shared" si="28"/>
        <v/>
      </c>
      <c r="P174" s="34" t="str">
        <f>IF(B174="","",C174&amp;"|"&amp;ROUND(O174,2)&amp;"|"&amp;COUNTIFS($C$4:C174,C174,$O$4:O174,O174))</f>
        <v/>
      </c>
      <c r="Q174" s="34">
        <f t="shared" si="29"/>
        <v>0</v>
      </c>
      <c r="R174" s="34">
        <f t="shared" si="30"/>
        <v>0</v>
      </c>
      <c r="S174" s="34" t="str">
        <f>IF(AND(B174&lt;&gt;"",C174=CompteSel,N(B174)&lt;=DateArret,R174=0),MAX($S$3:S173)+1,"")</f>
        <v/>
      </c>
      <c r="T174" s="34">
        <f t="shared" si="31"/>
        <v>0</v>
      </c>
      <c r="U174" s="34">
        <f t="shared" si="32"/>
        <v>9</v>
      </c>
    </row>
    <row r="175" spans="1:21" x14ac:dyDescent="0.35">
      <c r="A175" s="1" t="str">
        <f t="shared" si="22"/>
        <v/>
      </c>
      <c r="B175" s="31"/>
      <c r="C175" s="8"/>
      <c r="D175" s="8"/>
      <c r="E175" s="8"/>
      <c r="F175" s="32"/>
      <c r="G175" s="32"/>
      <c r="H175" s="32"/>
      <c r="I175" s="1" t="str">
        <f t="shared" si="23"/>
        <v/>
      </c>
      <c r="J175" s="1" t="str">
        <f t="shared" si="24"/>
        <v/>
      </c>
      <c r="K175" s="1" t="str">
        <f t="shared" si="25"/>
        <v/>
      </c>
      <c r="L175" s="8"/>
      <c r="M175" s="1" t="str">
        <f t="shared" si="26"/>
        <v/>
      </c>
      <c r="N175" s="1" t="str">
        <f t="shared" si="27"/>
        <v/>
      </c>
      <c r="O175" s="33" t="str">
        <f t="shared" si="28"/>
        <v/>
      </c>
      <c r="P175" s="34" t="str">
        <f>IF(B175="","",C175&amp;"|"&amp;ROUND(O175,2)&amp;"|"&amp;COUNTIFS($C$4:C175,C175,$O$4:O175,O175))</f>
        <v/>
      </c>
      <c r="Q175" s="34">
        <f t="shared" si="29"/>
        <v>0</v>
      </c>
      <c r="R175" s="34">
        <f t="shared" si="30"/>
        <v>0</v>
      </c>
      <c r="S175" s="34" t="str">
        <f>IF(AND(B175&lt;&gt;"",C175=CompteSel,N(B175)&lt;=DateArret,R175=0),MAX($S$3:S174)+1,"")</f>
        <v/>
      </c>
      <c r="T175" s="34">
        <f t="shared" si="31"/>
        <v>0</v>
      </c>
      <c r="U175" s="34">
        <f t="shared" si="32"/>
        <v>9</v>
      </c>
    </row>
    <row r="176" spans="1:21" x14ac:dyDescent="0.35">
      <c r="A176" s="1" t="str">
        <f t="shared" si="22"/>
        <v/>
      </c>
      <c r="B176" s="31"/>
      <c r="C176" s="8"/>
      <c r="D176" s="8"/>
      <c r="E176" s="8"/>
      <c r="F176" s="32"/>
      <c r="G176" s="32"/>
      <c r="H176" s="32"/>
      <c r="I176" s="1" t="str">
        <f t="shared" si="23"/>
        <v/>
      </c>
      <c r="J176" s="1" t="str">
        <f t="shared" si="24"/>
        <v/>
      </c>
      <c r="K176" s="1" t="str">
        <f t="shared" si="25"/>
        <v/>
      </c>
      <c r="L176" s="8"/>
      <c r="M176" s="1" t="str">
        <f t="shared" si="26"/>
        <v/>
      </c>
      <c r="N176" s="1" t="str">
        <f t="shared" si="27"/>
        <v/>
      </c>
      <c r="O176" s="33" t="str">
        <f t="shared" si="28"/>
        <v/>
      </c>
      <c r="P176" s="34" t="str">
        <f>IF(B176="","",C176&amp;"|"&amp;ROUND(O176,2)&amp;"|"&amp;COUNTIFS($C$4:C176,C176,$O$4:O176,O176))</f>
        <v/>
      </c>
      <c r="Q176" s="34">
        <f t="shared" si="29"/>
        <v>0</v>
      </c>
      <c r="R176" s="34">
        <f t="shared" si="30"/>
        <v>0</v>
      </c>
      <c r="S176" s="34" t="str">
        <f>IF(AND(B176&lt;&gt;"",C176=CompteSel,N(B176)&lt;=DateArret,R176=0),MAX($S$3:S175)+1,"")</f>
        <v/>
      </c>
      <c r="T176" s="34">
        <f t="shared" si="31"/>
        <v>0</v>
      </c>
      <c r="U176" s="34">
        <f t="shared" si="32"/>
        <v>9</v>
      </c>
    </row>
    <row r="177" spans="1:21" x14ac:dyDescent="0.35">
      <c r="A177" s="1" t="str">
        <f t="shared" si="22"/>
        <v/>
      </c>
      <c r="B177" s="31"/>
      <c r="C177" s="8"/>
      <c r="D177" s="8"/>
      <c r="E177" s="8"/>
      <c r="F177" s="32"/>
      <c r="G177" s="32"/>
      <c r="H177" s="32"/>
      <c r="I177" s="1" t="str">
        <f t="shared" si="23"/>
        <v/>
      </c>
      <c r="J177" s="1" t="str">
        <f t="shared" si="24"/>
        <v/>
      </c>
      <c r="K177" s="1" t="str">
        <f t="shared" si="25"/>
        <v/>
      </c>
      <c r="L177" s="8"/>
      <c r="M177" s="1" t="str">
        <f t="shared" si="26"/>
        <v/>
      </c>
      <c r="N177" s="1" t="str">
        <f t="shared" si="27"/>
        <v/>
      </c>
      <c r="O177" s="33" t="str">
        <f t="shared" si="28"/>
        <v/>
      </c>
      <c r="P177" s="34" t="str">
        <f>IF(B177="","",C177&amp;"|"&amp;ROUND(O177,2)&amp;"|"&amp;COUNTIFS($C$4:C177,C177,$O$4:O177,O177))</f>
        <v/>
      </c>
      <c r="Q177" s="34">
        <f t="shared" si="29"/>
        <v>0</v>
      </c>
      <c r="R177" s="34">
        <f t="shared" si="30"/>
        <v>0</v>
      </c>
      <c r="S177" s="34" t="str">
        <f>IF(AND(B177&lt;&gt;"",C177=CompteSel,N(B177)&lt;=DateArret,R177=0),MAX($S$3:S176)+1,"")</f>
        <v/>
      </c>
      <c r="T177" s="34">
        <f t="shared" si="31"/>
        <v>0</v>
      </c>
      <c r="U177" s="34">
        <f t="shared" si="32"/>
        <v>9</v>
      </c>
    </row>
    <row r="178" spans="1:21" x14ac:dyDescent="0.35">
      <c r="A178" s="1" t="str">
        <f t="shared" si="22"/>
        <v/>
      </c>
      <c r="B178" s="31"/>
      <c r="C178" s="8"/>
      <c r="D178" s="8"/>
      <c r="E178" s="8"/>
      <c r="F178" s="32"/>
      <c r="G178" s="32"/>
      <c r="H178" s="32"/>
      <c r="I178" s="1" t="str">
        <f t="shared" si="23"/>
        <v/>
      </c>
      <c r="J178" s="1" t="str">
        <f t="shared" si="24"/>
        <v/>
      </c>
      <c r="K178" s="1" t="str">
        <f t="shared" si="25"/>
        <v/>
      </c>
      <c r="L178" s="8"/>
      <c r="M178" s="1" t="str">
        <f t="shared" si="26"/>
        <v/>
      </c>
      <c r="N178" s="1" t="str">
        <f t="shared" si="27"/>
        <v/>
      </c>
      <c r="O178" s="33" t="str">
        <f t="shared" si="28"/>
        <v/>
      </c>
      <c r="P178" s="34" t="str">
        <f>IF(B178="","",C178&amp;"|"&amp;ROUND(O178,2)&amp;"|"&amp;COUNTIFS($C$4:C178,C178,$O$4:O178,O178))</f>
        <v/>
      </c>
      <c r="Q178" s="34">
        <f t="shared" si="29"/>
        <v>0</v>
      </c>
      <c r="R178" s="34">
        <f t="shared" si="30"/>
        <v>0</v>
      </c>
      <c r="S178" s="34" t="str">
        <f>IF(AND(B178&lt;&gt;"",C178=CompteSel,N(B178)&lt;=DateArret,R178=0),MAX($S$3:S177)+1,"")</f>
        <v/>
      </c>
      <c r="T178" s="34">
        <f t="shared" si="31"/>
        <v>0</v>
      </c>
      <c r="U178" s="34">
        <f t="shared" si="32"/>
        <v>9</v>
      </c>
    </row>
    <row r="179" spans="1:21" x14ac:dyDescent="0.35">
      <c r="A179" s="1" t="str">
        <f t="shared" si="22"/>
        <v/>
      </c>
      <c r="B179" s="31"/>
      <c r="C179" s="8"/>
      <c r="D179" s="8"/>
      <c r="E179" s="8"/>
      <c r="F179" s="32"/>
      <c r="G179" s="32"/>
      <c r="H179" s="32"/>
      <c r="I179" s="1" t="str">
        <f t="shared" si="23"/>
        <v/>
      </c>
      <c r="J179" s="1" t="str">
        <f t="shared" si="24"/>
        <v/>
      </c>
      <c r="K179" s="1" t="str">
        <f t="shared" si="25"/>
        <v/>
      </c>
      <c r="L179" s="8"/>
      <c r="M179" s="1" t="str">
        <f t="shared" si="26"/>
        <v/>
      </c>
      <c r="N179" s="1" t="str">
        <f t="shared" si="27"/>
        <v/>
      </c>
      <c r="O179" s="33" t="str">
        <f t="shared" si="28"/>
        <v/>
      </c>
      <c r="P179" s="34" t="str">
        <f>IF(B179="","",C179&amp;"|"&amp;ROUND(O179,2)&amp;"|"&amp;COUNTIFS($C$4:C179,C179,$O$4:O179,O179))</f>
        <v/>
      </c>
      <c r="Q179" s="34">
        <f t="shared" si="29"/>
        <v>0</v>
      </c>
      <c r="R179" s="34">
        <f t="shared" si="30"/>
        <v>0</v>
      </c>
      <c r="S179" s="34" t="str">
        <f>IF(AND(B179&lt;&gt;"",C179=CompteSel,N(B179)&lt;=DateArret,R179=0),MAX($S$3:S178)+1,"")</f>
        <v/>
      </c>
      <c r="T179" s="34">
        <f t="shared" si="31"/>
        <v>0</v>
      </c>
      <c r="U179" s="34">
        <f t="shared" si="32"/>
        <v>9</v>
      </c>
    </row>
    <row r="180" spans="1:21" x14ac:dyDescent="0.35">
      <c r="A180" s="1" t="str">
        <f t="shared" si="22"/>
        <v/>
      </c>
      <c r="B180" s="31"/>
      <c r="C180" s="8"/>
      <c r="D180" s="8"/>
      <c r="E180" s="8"/>
      <c r="F180" s="32"/>
      <c r="G180" s="32"/>
      <c r="H180" s="32"/>
      <c r="I180" s="1" t="str">
        <f t="shared" si="23"/>
        <v/>
      </c>
      <c r="J180" s="1" t="str">
        <f t="shared" si="24"/>
        <v/>
      </c>
      <c r="K180" s="1" t="str">
        <f t="shared" si="25"/>
        <v/>
      </c>
      <c r="L180" s="8"/>
      <c r="M180" s="1" t="str">
        <f t="shared" si="26"/>
        <v/>
      </c>
      <c r="N180" s="1" t="str">
        <f t="shared" si="27"/>
        <v/>
      </c>
      <c r="O180" s="33" t="str">
        <f t="shared" si="28"/>
        <v/>
      </c>
      <c r="P180" s="34" t="str">
        <f>IF(B180="","",C180&amp;"|"&amp;ROUND(O180,2)&amp;"|"&amp;COUNTIFS($C$4:C180,C180,$O$4:O180,O180))</f>
        <v/>
      </c>
      <c r="Q180" s="34">
        <f t="shared" si="29"/>
        <v>0</v>
      </c>
      <c r="R180" s="34">
        <f t="shared" si="30"/>
        <v>0</v>
      </c>
      <c r="S180" s="34" t="str">
        <f>IF(AND(B180&lt;&gt;"",C180=CompteSel,N(B180)&lt;=DateArret,R180=0),MAX($S$3:S179)+1,"")</f>
        <v/>
      </c>
      <c r="T180" s="34">
        <f t="shared" si="31"/>
        <v>0</v>
      </c>
      <c r="U180" s="34">
        <f t="shared" si="32"/>
        <v>9</v>
      </c>
    </row>
    <row r="181" spans="1:21" x14ac:dyDescent="0.35">
      <c r="A181" s="1" t="str">
        <f t="shared" si="22"/>
        <v/>
      </c>
      <c r="B181" s="31"/>
      <c r="C181" s="8"/>
      <c r="D181" s="8"/>
      <c r="E181" s="8"/>
      <c r="F181" s="32"/>
      <c r="G181" s="32"/>
      <c r="H181" s="32"/>
      <c r="I181" s="1" t="str">
        <f t="shared" si="23"/>
        <v/>
      </c>
      <c r="J181" s="1" t="str">
        <f t="shared" si="24"/>
        <v/>
      </c>
      <c r="K181" s="1" t="str">
        <f t="shared" si="25"/>
        <v/>
      </c>
      <c r="L181" s="8"/>
      <c r="M181" s="1" t="str">
        <f t="shared" si="26"/>
        <v/>
      </c>
      <c r="N181" s="1" t="str">
        <f t="shared" si="27"/>
        <v/>
      </c>
      <c r="O181" s="33" t="str">
        <f t="shared" si="28"/>
        <v/>
      </c>
      <c r="P181" s="34" t="str">
        <f>IF(B181="","",C181&amp;"|"&amp;ROUND(O181,2)&amp;"|"&amp;COUNTIFS($C$4:C181,C181,$O$4:O181,O181))</f>
        <v/>
      </c>
      <c r="Q181" s="34">
        <f t="shared" si="29"/>
        <v>0</v>
      </c>
      <c r="R181" s="34">
        <f t="shared" si="30"/>
        <v>0</v>
      </c>
      <c r="S181" s="34" t="str">
        <f>IF(AND(B181&lt;&gt;"",C181=CompteSel,N(B181)&lt;=DateArret,R181=0),MAX($S$3:S180)+1,"")</f>
        <v/>
      </c>
      <c r="T181" s="34">
        <f t="shared" si="31"/>
        <v>0</v>
      </c>
      <c r="U181" s="34">
        <f t="shared" si="32"/>
        <v>9</v>
      </c>
    </row>
    <row r="182" spans="1:21" x14ac:dyDescent="0.35">
      <c r="A182" s="1" t="str">
        <f t="shared" si="22"/>
        <v/>
      </c>
      <c r="B182" s="31"/>
      <c r="C182" s="8"/>
      <c r="D182" s="8"/>
      <c r="E182" s="8"/>
      <c r="F182" s="32"/>
      <c r="G182" s="32"/>
      <c r="H182" s="32"/>
      <c r="I182" s="1" t="str">
        <f t="shared" si="23"/>
        <v/>
      </c>
      <c r="J182" s="1" t="str">
        <f t="shared" si="24"/>
        <v/>
      </c>
      <c r="K182" s="1" t="str">
        <f t="shared" si="25"/>
        <v/>
      </c>
      <c r="L182" s="8"/>
      <c r="M182" s="1" t="str">
        <f t="shared" si="26"/>
        <v/>
      </c>
      <c r="N182" s="1" t="str">
        <f t="shared" si="27"/>
        <v/>
      </c>
      <c r="O182" s="33" t="str">
        <f t="shared" si="28"/>
        <v/>
      </c>
      <c r="P182" s="34" t="str">
        <f>IF(B182="","",C182&amp;"|"&amp;ROUND(O182,2)&amp;"|"&amp;COUNTIFS($C$4:C182,C182,$O$4:O182,O182))</f>
        <v/>
      </c>
      <c r="Q182" s="34">
        <f t="shared" si="29"/>
        <v>0</v>
      </c>
      <c r="R182" s="34">
        <f t="shared" si="30"/>
        <v>0</v>
      </c>
      <c r="S182" s="34" t="str">
        <f>IF(AND(B182&lt;&gt;"",C182=CompteSel,N(B182)&lt;=DateArret,R182=0),MAX($S$3:S181)+1,"")</f>
        <v/>
      </c>
      <c r="T182" s="34">
        <f t="shared" si="31"/>
        <v>0</v>
      </c>
      <c r="U182" s="34">
        <f t="shared" si="32"/>
        <v>9</v>
      </c>
    </row>
    <row r="183" spans="1:21" x14ac:dyDescent="0.35">
      <c r="A183" s="1" t="str">
        <f t="shared" si="22"/>
        <v/>
      </c>
      <c r="B183" s="31"/>
      <c r="C183" s="8"/>
      <c r="D183" s="8"/>
      <c r="E183" s="8"/>
      <c r="F183" s="32"/>
      <c r="G183" s="32"/>
      <c r="H183" s="32"/>
      <c r="I183" s="1" t="str">
        <f t="shared" si="23"/>
        <v/>
      </c>
      <c r="J183" s="1" t="str">
        <f t="shared" si="24"/>
        <v/>
      </c>
      <c r="K183" s="1" t="str">
        <f t="shared" si="25"/>
        <v/>
      </c>
      <c r="L183" s="8"/>
      <c r="M183" s="1" t="str">
        <f t="shared" si="26"/>
        <v/>
      </c>
      <c r="N183" s="1" t="str">
        <f t="shared" si="27"/>
        <v/>
      </c>
      <c r="O183" s="33" t="str">
        <f t="shared" si="28"/>
        <v/>
      </c>
      <c r="P183" s="34" t="str">
        <f>IF(B183="","",C183&amp;"|"&amp;ROUND(O183,2)&amp;"|"&amp;COUNTIFS($C$4:C183,C183,$O$4:O183,O183))</f>
        <v/>
      </c>
      <c r="Q183" s="34">
        <f t="shared" si="29"/>
        <v>0</v>
      </c>
      <c r="R183" s="34">
        <f t="shared" si="30"/>
        <v>0</v>
      </c>
      <c r="S183" s="34" t="str">
        <f>IF(AND(B183&lt;&gt;"",C183=CompteSel,N(B183)&lt;=DateArret,R183=0),MAX($S$3:S182)+1,"")</f>
        <v/>
      </c>
      <c r="T183" s="34">
        <f t="shared" si="31"/>
        <v>0</v>
      </c>
      <c r="U183" s="34">
        <f t="shared" si="32"/>
        <v>9</v>
      </c>
    </row>
    <row r="184" spans="1:21" x14ac:dyDescent="0.35">
      <c r="A184" s="1" t="str">
        <f t="shared" si="22"/>
        <v/>
      </c>
      <c r="B184" s="31"/>
      <c r="C184" s="8"/>
      <c r="D184" s="8"/>
      <c r="E184" s="8"/>
      <c r="F184" s="32"/>
      <c r="G184" s="32"/>
      <c r="H184" s="32"/>
      <c r="I184" s="1" t="str">
        <f t="shared" si="23"/>
        <v/>
      </c>
      <c r="J184" s="1" t="str">
        <f t="shared" si="24"/>
        <v/>
      </c>
      <c r="K184" s="1" t="str">
        <f t="shared" si="25"/>
        <v/>
      </c>
      <c r="L184" s="8"/>
      <c r="M184" s="1" t="str">
        <f t="shared" si="26"/>
        <v/>
      </c>
      <c r="N184" s="1" t="str">
        <f t="shared" si="27"/>
        <v/>
      </c>
      <c r="O184" s="33" t="str">
        <f t="shared" si="28"/>
        <v/>
      </c>
      <c r="P184" s="34" t="str">
        <f>IF(B184="","",C184&amp;"|"&amp;ROUND(O184,2)&amp;"|"&amp;COUNTIFS($C$4:C184,C184,$O$4:O184,O184))</f>
        <v/>
      </c>
      <c r="Q184" s="34">
        <f t="shared" si="29"/>
        <v>0</v>
      </c>
      <c r="R184" s="34">
        <f t="shared" si="30"/>
        <v>0</v>
      </c>
      <c r="S184" s="34" t="str">
        <f>IF(AND(B184&lt;&gt;"",C184=CompteSel,N(B184)&lt;=DateArret,R184=0),MAX($S$3:S183)+1,"")</f>
        <v/>
      </c>
      <c r="T184" s="34">
        <f t="shared" si="31"/>
        <v>0</v>
      </c>
      <c r="U184" s="34">
        <f t="shared" si="32"/>
        <v>9</v>
      </c>
    </row>
    <row r="185" spans="1:21" x14ac:dyDescent="0.35">
      <c r="A185" s="1" t="str">
        <f t="shared" si="22"/>
        <v/>
      </c>
      <c r="B185" s="31"/>
      <c r="C185" s="8"/>
      <c r="D185" s="8"/>
      <c r="E185" s="8"/>
      <c r="F185" s="32"/>
      <c r="G185" s="32"/>
      <c r="H185" s="32"/>
      <c r="I185" s="1" t="str">
        <f t="shared" si="23"/>
        <v/>
      </c>
      <c r="J185" s="1" t="str">
        <f t="shared" si="24"/>
        <v/>
      </c>
      <c r="K185" s="1" t="str">
        <f t="shared" si="25"/>
        <v/>
      </c>
      <c r="L185" s="8"/>
      <c r="M185" s="1" t="str">
        <f t="shared" si="26"/>
        <v/>
      </c>
      <c r="N185" s="1" t="str">
        <f t="shared" si="27"/>
        <v/>
      </c>
      <c r="O185" s="33" t="str">
        <f t="shared" si="28"/>
        <v/>
      </c>
      <c r="P185" s="34" t="str">
        <f>IF(B185="","",C185&amp;"|"&amp;ROUND(O185,2)&amp;"|"&amp;COUNTIFS($C$4:C185,C185,$O$4:O185,O185))</f>
        <v/>
      </c>
      <c r="Q185" s="34">
        <f t="shared" si="29"/>
        <v>0</v>
      </c>
      <c r="R185" s="34">
        <f t="shared" si="30"/>
        <v>0</v>
      </c>
      <c r="S185" s="34" t="str">
        <f>IF(AND(B185&lt;&gt;"",C185=CompteSel,N(B185)&lt;=DateArret,R185=0),MAX($S$3:S184)+1,"")</f>
        <v/>
      </c>
      <c r="T185" s="34">
        <f t="shared" si="31"/>
        <v>0</v>
      </c>
      <c r="U185" s="34">
        <f t="shared" si="32"/>
        <v>9</v>
      </c>
    </row>
    <row r="186" spans="1:21" x14ac:dyDescent="0.35">
      <c r="A186" s="1" t="str">
        <f t="shared" si="22"/>
        <v/>
      </c>
      <c r="B186" s="31"/>
      <c r="C186" s="8"/>
      <c r="D186" s="8"/>
      <c r="E186" s="8"/>
      <c r="F186" s="32"/>
      <c r="G186" s="32"/>
      <c r="H186" s="32"/>
      <c r="I186" s="1" t="str">
        <f t="shared" si="23"/>
        <v/>
      </c>
      <c r="J186" s="1" t="str">
        <f t="shared" si="24"/>
        <v/>
      </c>
      <c r="K186" s="1" t="str">
        <f t="shared" si="25"/>
        <v/>
      </c>
      <c r="L186" s="8"/>
      <c r="M186" s="1" t="str">
        <f t="shared" si="26"/>
        <v/>
      </c>
      <c r="N186" s="1" t="str">
        <f t="shared" si="27"/>
        <v/>
      </c>
      <c r="O186" s="33" t="str">
        <f t="shared" si="28"/>
        <v/>
      </c>
      <c r="P186" s="34" t="str">
        <f>IF(B186="","",C186&amp;"|"&amp;ROUND(O186,2)&amp;"|"&amp;COUNTIFS($C$4:C186,C186,$O$4:O186,O186))</f>
        <v/>
      </c>
      <c r="Q186" s="34">
        <f t="shared" si="29"/>
        <v>0</v>
      </c>
      <c r="R186" s="34">
        <f t="shared" si="30"/>
        <v>0</v>
      </c>
      <c r="S186" s="34" t="str">
        <f>IF(AND(B186&lt;&gt;"",C186=CompteSel,N(B186)&lt;=DateArret,R186=0),MAX($S$3:S185)+1,"")</f>
        <v/>
      </c>
      <c r="T186" s="34">
        <f t="shared" si="31"/>
        <v>0</v>
      </c>
      <c r="U186" s="34">
        <f t="shared" si="32"/>
        <v>9</v>
      </c>
    </row>
    <row r="187" spans="1:21" x14ac:dyDescent="0.35">
      <c r="A187" s="1" t="str">
        <f t="shared" si="22"/>
        <v/>
      </c>
      <c r="B187" s="31"/>
      <c r="C187" s="8"/>
      <c r="D187" s="8"/>
      <c r="E187" s="8"/>
      <c r="F187" s="32"/>
      <c r="G187" s="32"/>
      <c r="H187" s="32"/>
      <c r="I187" s="1" t="str">
        <f t="shared" si="23"/>
        <v/>
      </c>
      <c r="J187" s="1" t="str">
        <f t="shared" si="24"/>
        <v/>
      </c>
      <c r="K187" s="1" t="str">
        <f t="shared" si="25"/>
        <v/>
      </c>
      <c r="L187" s="8"/>
      <c r="M187" s="1" t="str">
        <f t="shared" si="26"/>
        <v/>
      </c>
      <c r="N187" s="1" t="str">
        <f t="shared" si="27"/>
        <v/>
      </c>
      <c r="O187" s="33" t="str">
        <f t="shared" si="28"/>
        <v/>
      </c>
      <c r="P187" s="34" t="str">
        <f>IF(B187="","",C187&amp;"|"&amp;ROUND(O187,2)&amp;"|"&amp;COUNTIFS($C$4:C187,C187,$O$4:O187,O187))</f>
        <v/>
      </c>
      <c r="Q187" s="34">
        <f t="shared" si="29"/>
        <v>0</v>
      </c>
      <c r="R187" s="34">
        <f t="shared" si="30"/>
        <v>0</v>
      </c>
      <c r="S187" s="34" t="str">
        <f>IF(AND(B187&lt;&gt;"",C187=CompteSel,N(B187)&lt;=DateArret,R187=0),MAX($S$3:S186)+1,"")</f>
        <v/>
      </c>
      <c r="T187" s="34">
        <f t="shared" si="31"/>
        <v>0</v>
      </c>
      <c r="U187" s="34">
        <f t="shared" si="32"/>
        <v>9</v>
      </c>
    </row>
    <row r="188" spans="1:21" x14ac:dyDescent="0.35">
      <c r="A188" s="1" t="str">
        <f t="shared" si="22"/>
        <v/>
      </c>
      <c r="B188" s="31"/>
      <c r="C188" s="8"/>
      <c r="D188" s="8"/>
      <c r="E188" s="8"/>
      <c r="F188" s="32"/>
      <c r="G188" s="32"/>
      <c r="H188" s="32"/>
      <c r="I188" s="1" t="str">
        <f t="shared" si="23"/>
        <v/>
      </c>
      <c r="J188" s="1" t="str">
        <f t="shared" si="24"/>
        <v/>
      </c>
      <c r="K188" s="1" t="str">
        <f t="shared" si="25"/>
        <v/>
      </c>
      <c r="L188" s="8"/>
      <c r="M188" s="1" t="str">
        <f t="shared" si="26"/>
        <v/>
      </c>
      <c r="N188" s="1" t="str">
        <f t="shared" si="27"/>
        <v/>
      </c>
      <c r="O188" s="33" t="str">
        <f t="shared" si="28"/>
        <v/>
      </c>
      <c r="P188" s="34" t="str">
        <f>IF(B188="","",C188&amp;"|"&amp;ROUND(O188,2)&amp;"|"&amp;COUNTIFS($C$4:C188,C188,$O$4:O188,O188))</f>
        <v/>
      </c>
      <c r="Q188" s="34">
        <f t="shared" si="29"/>
        <v>0</v>
      </c>
      <c r="R188" s="34">
        <f t="shared" si="30"/>
        <v>0</v>
      </c>
      <c r="S188" s="34" t="str">
        <f>IF(AND(B188&lt;&gt;"",C188=CompteSel,N(B188)&lt;=DateArret,R188=0),MAX($S$3:S187)+1,"")</f>
        <v/>
      </c>
      <c r="T188" s="34">
        <f t="shared" si="31"/>
        <v>0</v>
      </c>
      <c r="U188" s="34">
        <f t="shared" si="32"/>
        <v>9</v>
      </c>
    </row>
    <row r="189" spans="1:21" x14ac:dyDescent="0.35">
      <c r="A189" s="1" t="str">
        <f t="shared" si="22"/>
        <v/>
      </c>
      <c r="B189" s="31"/>
      <c r="C189" s="8"/>
      <c r="D189" s="8"/>
      <c r="E189" s="8"/>
      <c r="F189" s="32"/>
      <c r="G189" s="32"/>
      <c r="H189" s="32"/>
      <c r="I189" s="1" t="str">
        <f t="shared" si="23"/>
        <v/>
      </c>
      <c r="J189" s="1" t="str">
        <f t="shared" si="24"/>
        <v/>
      </c>
      <c r="K189" s="1" t="str">
        <f t="shared" si="25"/>
        <v/>
      </c>
      <c r="L189" s="8"/>
      <c r="M189" s="1" t="str">
        <f t="shared" si="26"/>
        <v/>
      </c>
      <c r="N189" s="1" t="str">
        <f t="shared" si="27"/>
        <v/>
      </c>
      <c r="O189" s="33" t="str">
        <f t="shared" si="28"/>
        <v/>
      </c>
      <c r="P189" s="34" t="str">
        <f>IF(B189="","",C189&amp;"|"&amp;ROUND(O189,2)&amp;"|"&amp;COUNTIFS($C$4:C189,C189,$O$4:O189,O189))</f>
        <v/>
      </c>
      <c r="Q189" s="34">
        <f t="shared" si="29"/>
        <v>0</v>
      </c>
      <c r="R189" s="34">
        <f t="shared" si="30"/>
        <v>0</v>
      </c>
      <c r="S189" s="34" t="str">
        <f>IF(AND(B189&lt;&gt;"",C189=CompteSel,N(B189)&lt;=DateArret,R189=0),MAX($S$3:S188)+1,"")</f>
        <v/>
      </c>
      <c r="T189" s="34">
        <f t="shared" si="31"/>
        <v>0</v>
      </c>
      <c r="U189" s="34">
        <f t="shared" si="32"/>
        <v>9</v>
      </c>
    </row>
    <row r="190" spans="1:21" x14ac:dyDescent="0.35">
      <c r="A190" s="1" t="str">
        <f t="shared" si="22"/>
        <v/>
      </c>
      <c r="B190" s="31"/>
      <c r="C190" s="8"/>
      <c r="D190" s="8"/>
      <c r="E190" s="8"/>
      <c r="F190" s="32"/>
      <c r="G190" s="32"/>
      <c r="H190" s="32"/>
      <c r="I190" s="1" t="str">
        <f t="shared" si="23"/>
        <v/>
      </c>
      <c r="J190" s="1" t="str">
        <f t="shared" si="24"/>
        <v/>
      </c>
      <c r="K190" s="1" t="str">
        <f t="shared" si="25"/>
        <v/>
      </c>
      <c r="L190" s="8"/>
      <c r="M190" s="1" t="str">
        <f t="shared" si="26"/>
        <v/>
      </c>
      <c r="N190" s="1" t="str">
        <f t="shared" si="27"/>
        <v/>
      </c>
      <c r="O190" s="33" t="str">
        <f t="shared" si="28"/>
        <v/>
      </c>
      <c r="P190" s="34" t="str">
        <f>IF(B190="","",C190&amp;"|"&amp;ROUND(O190,2)&amp;"|"&amp;COUNTIFS($C$4:C190,C190,$O$4:O190,O190))</f>
        <v/>
      </c>
      <c r="Q190" s="34">
        <f t="shared" si="29"/>
        <v>0</v>
      </c>
      <c r="R190" s="34">
        <f t="shared" si="30"/>
        <v>0</v>
      </c>
      <c r="S190" s="34" t="str">
        <f>IF(AND(B190&lt;&gt;"",C190=CompteSel,N(B190)&lt;=DateArret,R190=0),MAX($S$3:S189)+1,"")</f>
        <v/>
      </c>
      <c r="T190" s="34">
        <f t="shared" si="31"/>
        <v>0</v>
      </c>
      <c r="U190" s="34">
        <f t="shared" si="32"/>
        <v>9</v>
      </c>
    </row>
    <row r="191" spans="1:21" x14ac:dyDescent="0.35">
      <c r="A191" s="1" t="str">
        <f t="shared" si="22"/>
        <v/>
      </c>
      <c r="B191" s="31"/>
      <c r="C191" s="8"/>
      <c r="D191" s="8"/>
      <c r="E191" s="8"/>
      <c r="F191" s="32"/>
      <c r="G191" s="32"/>
      <c r="H191" s="32"/>
      <c r="I191" s="1" t="str">
        <f t="shared" si="23"/>
        <v/>
      </c>
      <c r="J191" s="1" t="str">
        <f t="shared" si="24"/>
        <v/>
      </c>
      <c r="K191" s="1" t="str">
        <f t="shared" si="25"/>
        <v/>
      </c>
      <c r="L191" s="8"/>
      <c r="M191" s="1" t="str">
        <f t="shared" si="26"/>
        <v/>
      </c>
      <c r="N191" s="1" t="str">
        <f t="shared" si="27"/>
        <v/>
      </c>
      <c r="O191" s="33" t="str">
        <f t="shared" si="28"/>
        <v/>
      </c>
      <c r="P191" s="34" t="str">
        <f>IF(B191="","",C191&amp;"|"&amp;ROUND(O191,2)&amp;"|"&amp;COUNTIFS($C$4:C191,C191,$O$4:O191,O191))</f>
        <v/>
      </c>
      <c r="Q191" s="34">
        <f t="shared" si="29"/>
        <v>0</v>
      </c>
      <c r="R191" s="34">
        <f t="shared" si="30"/>
        <v>0</v>
      </c>
      <c r="S191" s="34" t="str">
        <f>IF(AND(B191&lt;&gt;"",C191=CompteSel,N(B191)&lt;=DateArret,R191=0),MAX($S$3:S190)+1,"")</f>
        <v/>
      </c>
      <c r="T191" s="34">
        <f t="shared" si="31"/>
        <v>0</v>
      </c>
      <c r="U191" s="34">
        <f t="shared" si="32"/>
        <v>9</v>
      </c>
    </row>
    <row r="192" spans="1:21" x14ac:dyDescent="0.35">
      <c r="A192" s="1" t="str">
        <f t="shared" si="22"/>
        <v/>
      </c>
      <c r="B192" s="31"/>
      <c r="C192" s="8"/>
      <c r="D192" s="8"/>
      <c r="E192" s="8"/>
      <c r="F192" s="32"/>
      <c r="G192" s="32"/>
      <c r="H192" s="32"/>
      <c r="I192" s="1" t="str">
        <f t="shared" si="23"/>
        <v/>
      </c>
      <c r="J192" s="1" t="str">
        <f t="shared" si="24"/>
        <v/>
      </c>
      <c r="K192" s="1" t="str">
        <f t="shared" si="25"/>
        <v/>
      </c>
      <c r="L192" s="8"/>
      <c r="M192" s="1" t="str">
        <f t="shared" si="26"/>
        <v/>
      </c>
      <c r="N192" s="1" t="str">
        <f t="shared" si="27"/>
        <v/>
      </c>
      <c r="O192" s="33" t="str">
        <f t="shared" si="28"/>
        <v/>
      </c>
      <c r="P192" s="34" t="str">
        <f>IF(B192="","",C192&amp;"|"&amp;ROUND(O192,2)&amp;"|"&amp;COUNTIFS($C$4:C192,C192,$O$4:O192,O192))</f>
        <v/>
      </c>
      <c r="Q192" s="34">
        <f t="shared" si="29"/>
        <v>0</v>
      </c>
      <c r="R192" s="34">
        <f t="shared" si="30"/>
        <v>0</v>
      </c>
      <c r="S192" s="34" t="str">
        <f>IF(AND(B192&lt;&gt;"",C192=CompteSel,N(B192)&lt;=DateArret,R192=0),MAX($S$3:S191)+1,"")</f>
        <v/>
      </c>
      <c r="T192" s="34">
        <f t="shared" si="31"/>
        <v>0</v>
      </c>
      <c r="U192" s="34">
        <f t="shared" si="32"/>
        <v>9</v>
      </c>
    </row>
    <row r="193" spans="1:21" x14ac:dyDescent="0.35">
      <c r="A193" s="1" t="str">
        <f t="shared" si="22"/>
        <v/>
      </c>
      <c r="B193" s="31"/>
      <c r="C193" s="8"/>
      <c r="D193" s="8"/>
      <c r="E193" s="8"/>
      <c r="F193" s="32"/>
      <c r="G193" s="32"/>
      <c r="H193" s="32"/>
      <c r="I193" s="1" t="str">
        <f t="shared" si="23"/>
        <v/>
      </c>
      <c r="J193" s="1" t="str">
        <f t="shared" si="24"/>
        <v/>
      </c>
      <c r="K193" s="1" t="str">
        <f t="shared" si="25"/>
        <v/>
      </c>
      <c r="L193" s="8"/>
      <c r="M193" s="1" t="str">
        <f t="shared" si="26"/>
        <v/>
      </c>
      <c r="N193" s="1" t="str">
        <f t="shared" si="27"/>
        <v/>
      </c>
      <c r="O193" s="33" t="str">
        <f t="shared" si="28"/>
        <v/>
      </c>
      <c r="P193" s="34" t="str">
        <f>IF(B193="","",C193&amp;"|"&amp;ROUND(O193,2)&amp;"|"&amp;COUNTIFS($C$4:C193,C193,$O$4:O193,O193))</f>
        <v/>
      </c>
      <c r="Q193" s="34">
        <f t="shared" si="29"/>
        <v>0</v>
      </c>
      <c r="R193" s="34">
        <f t="shared" si="30"/>
        <v>0</v>
      </c>
      <c r="S193" s="34" t="str">
        <f>IF(AND(B193&lt;&gt;"",C193=CompteSel,N(B193)&lt;=DateArret,R193=0),MAX($S$3:S192)+1,"")</f>
        <v/>
      </c>
      <c r="T193" s="34">
        <f t="shared" si="31"/>
        <v>0</v>
      </c>
      <c r="U193" s="34">
        <f t="shared" si="32"/>
        <v>9</v>
      </c>
    </row>
    <row r="194" spans="1:21" x14ac:dyDescent="0.35">
      <c r="A194" s="1" t="str">
        <f t="shared" si="22"/>
        <v/>
      </c>
      <c r="B194" s="31"/>
      <c r="C194" s="8"/>
      <c r="D194" s="8"/>
      <c r="E194" s="8"/>
      <c r="F194" s="32"/>
      <c r="G194" s="32"/>
      <c r="H194" s="32"/>
      <c r="I194" s="1" t="str">
        <f t="shared" si="23"/>
        <v/>
      </c>
      <c r="J194" s="1" t="str">
        <f t="shared" si="24"/>
        <v/>
      </c>
      <c r="K194" s="1" t="str">
        <f t="shared" si="25"/>
        <v/>
      </c>
      <c r="L194" s="8"/>
      <c r="M194" s="1" t="str">
        <f t="shared" si="26"/>
        <v/>
      </c>
      <c r="N194" s="1" t="str">
        <f t="shared" si="27"/>
        <v/>
      </c>
      <c r="O194" s="33" t="str">
        <f t="shared" si="28"/>
        <v/>
      </c>
      <c r="P194" s="34" t="str">
        <f>IF(B194="","",C194&amp;"|"&amp;ROUND(O194,2)&amp;"|"&amp;COUNTIFS($C$4:C194,C194,$O$4:O194,O194))</f>
        <v/>
      </c>
      <c r="Q194" s="34">
        <f t="shared" si="29"/>
        <v>0</v>
      </c>
      <c r="R194" s="34">
        <f t="shared" si="30"/>
        <v>0</v>
      </c>
      <c r="S194" s="34" t="str">
        <f>IF(AND(B194&lt;&gt;"",C194=CompteSel,N(B194)&lt;=DateArret,R194=0),MAX($S$3:S193)+1,"")</f>
        <v/>
      </c>
      <c r="T194" s="34">
        <f t="shared" si="31"/>
        <v>0</v>
      </c>
      <c r="U194" s="34">
        <f t="shared" si="32"/>
        <v>9</v>
      </c>
    </row>
    <row r="195" spans="1:21" x14ac:dyDescent="0.35">
      <c r="A195" s="1" t="str">
        <f t="shared" si="22"/>
        <v/>
      </c>
      <c r="B195" s="31"/>
      <c r="C195" s="8"/>
      <c r="D195" s="8"/>
      <c r="E195" s="8"/>
      <c r="F195" s="32"/>
      <c r="G195" s="32"/>
      <c r="H195" s="32"/>
      <c r="I195" s="1" t="str">
        <f t="shared" si="23"/>
        <v/>
      </c>
      <c r="J195" s="1" t="str">
        <f t="shared" si="24"/>
        <v/>
      </c>
      <c r="K195" s="1" t="str">
        <f t="shared" si="25"/>
        <v/>
      </c>
      <c r="L195" s="8"/>
      <c r="M195" s="1" t="str">
        <f t="shared" si="26"/>
        <v/>
      </c>
      <c r="N195" s="1" t="str">
        <f t="shared" si="27"/>
        <v/>
      </c>
      <c r="O195" s="33" t="str">
        <f t="shared" si="28"/>
        <v/>
      </c>
      <c r="P195" s="34" t="str">
        <f>IF(B195="","",C195&amp;"|"&amp;ROUND(O195,2)&amp;"|"&amp;COUNTIFS($C$4:C195,C195,$O$4:O195,O195))</f>
        <v/>
      </c>
      <c r="Q195" s="34">
        <f t="shared" si="29"/>
        <v>0</v>
      </c>
      <c r="R195" s="34">
        <f t="shared" si="30"/>
        <v>0</v>
      </c>
      <c r="S195" s="34" t="str">
        <f>IF(AND(B195&lt;&gt;"",C195=CompteSel,N(B195)&lt;=DateArret,R195=0),MAX($S$3:S194)+1,"")</f>
        <v/>
      </c>
      <c r="T195" s="34">
        <f t="shared" si="31"/>
        <v>0</v>
      </c>
      <c r="U195" s="34">
        <f t="shared" si="32"/>
        <v>9</v>
      </c>
    </row>
    <row r="196" spans="1:21" x14ac:dyDescent="0.35">
      <c r="A196" s="1" t="str">
        <f t="shared" ref="A196:A259" si="33">IF(B196="","",ROW()-3)</f>
        <v/>
      </c>
      <c r="B196" s="31"/>
      <c r="C196" s="8"/>
      <c r="D196" s="8"/>
      <c r="E196" s="8"/>
      <c r="F196" s="32"/>
      <c r="G196" s="32"/>
      <c r="H196" s="32"/>
      <c r="I196" s="1" t="str">
        <f t="shared" ref="I196:I259" si="34">IF(B196="","",IF(L196="Écart","Écart",IF(K196="","Non rapproché",INDEX(L_Statut,K196))))</f>
        <v/>
      </c>
      <c r="J196" s="1" t="str">
        <f t="shared" ref="J196:J259" si="35">IF(K196="","",INDEX(L_Score,K196))</f>
        <v/>
      </c>
      <c r="K196" s="1" t="str">
        <f t="shared" ref="K196:K259" si="36">IF(B196="","",IFERROR(MATCH(A196,L_Banque,0),""))</f>
        <v/>
      </c>
      <c r="L196" s="8"/>
      <c r="M196" s="1" t="str">
        <f t="shared" ref="M196:M259" si="37">IF(K196="","",INDEX(L_DJ,K196))</f>
        <v/>
      </c>
      <c r="N196" s="1" t="str">
        <f t="shared" ref="N196:N259" si="38">IF(B196="","",IF(COUNTIFS($C$4:$C$503,C196,$B$4:$B$503,B196,$O$4:$O$503,O196)&gt;1,"Doublon ?",""))</f>
        <v/>
      </c>
      <c r="O196" s="33" t="str">
        <f t="shared" ref="O196:O259" si="39">IF(B196="","",N(G196)-N(F196))</f>
        <v/>
      </c>
      <c r="P196" s="34" t="str">
        <f>IF(B196="","",C196&amp;"|"&amp;ROUND(O196,2)&amp;"|"&amp;COUNTIFS($C$4:C196,C196,$O$4:O196,O196))</f>
        <v/>
      </c>
      <c r="Q196" s="34">
        <f t="shared" ref="Q196:Q259" si="40">IF(B196="",0,IF(COUNTIFS(L_CandExact,A196,L_ExactOK,1)&gt;0,1,0))</f>
        <v>0</v>
      </c>
      <c r="R196" s="34">
        <f t="shared" ref="R196:R259" si="41">IF(OR(I196="Rapproché",I196="Manuel"),1,0)</f>
        <v>0</v>
      </c>
      <c r="S196" s="34" t="str">
        <f>IF(AND(B196&lt;&gt;"",C196=CompteSel,N(B196)&lt;=DateArret,R196=0),MAX($S$3:S195)+1,"")</f>
        <v/>
      </c>
      <c r="T196" s="34">
        <f t="shared" ref="T196:T259" si="42">IF(AND(B196&lt;&gt;"",C196=CompteSel,N(B196)&lt;=DateArret,H196&lt;&gt;""),A196,0)</f>
        <v>0</v>
      </c>
      <c r="U196" s="34">
        <f t="shared" ref="U196:U259" si="43">IF(B196="",9,SIGN(O196))</f>
        <v>9</v>
      </c>
    </row>
    <row r="197" spans="1:21" x14ac:dyDescent="0.35">
      <c r="A197" s="1" t="str">
        <f t="shared" si="33"/>
        <v/>
      </c>
      <c r="B197" s="31"/>
      <c r="C197" s="8"/>
      <c r="D197" s="8"/>
      <c r="E197" s="8"/>
      <c r="F197" s="32"/>
      <c r="G197" s="32"/>
      <c r="H197" s="32"/>
      <c r="I197" s="1" t="str">
        <f t="shared" si="34"/>
        <v/>
      </c>
      <c r="J197" s="1" t="str">
        <f t="shared" si="35"/>
        <v/>
      </c>
      <c r="K197" s="1" t="str">
        <f t="shared" si="36"/>
        <v/>
      </c>
      <c r="L197" s="8"/>
      <c r="M197" s="1" t="str">
        <f t="shared" si="37"/>
        <v/>
      </c>
      <c r="N197" s="1" t="str">
        <f t="shared" si="38"/>
        <v/>
      </c>
      <c r="O197" s="33" t="str">
        <f t="shared" si="39"/>
        <v/>
      </c>
      <c r="P197" s="34" t="str">
        <f>IF(B197="","",C197&amp;"|"&amp;ROUND(O197,2)&amp;"|"&amp;COUNTIFS($C$4:C197,C197,$O$4:O197,O197))</f>
        <v/>
      </c>
      <c r="Q197" s="34">
        <f t="shared" si="40"/>
        <v>0</v>
      </c>
      <c r="R197" s="34">
        <f t="shared" si="41"/>
        <v>0</v>
      </c>
      <c r="S197" s="34" t="str">
        <f>IF(AND(B197&lt;&gt;"",C197=CompteSel,N(B197)&lt;=DateArret,R197=0),MAX($S$3:S196)+1,"")</f>
        <v/>
      </c>
      <c r="T197" s="34">
        <f t="shared" si="42"/>
        <v>0</v>
      </c>
      <c r="U197" s="34">
        <f t="shared" si="43"/>
        <v>9</v>
      </c>
    </row>
    <row r="198" spans="1:21" x14ac:dyDescent="0.35">
      <c r="A198" s="1" t="str">
        <f t="shared" si="33"/>
        <v/>
      </c>
      <c r="B198" s="31"/>
      <c r="C198" s="8"/>
      <c r="D198" s="8"/>
      <c r="E198" s="8"/>
      <c r="F198" s="32"/>
      <c r="G198" s="32"/>
      <c r="H198" s="32"/>
      <c r="I198" s="1" t="str">
        <f t="shared" si="34"/>
        <v/>
      </c>
      <c r="J198" s="1" t="str">
        <f t="shared" si="35"/>
        <v/>
      </c>
      <c r="K198" s="1" t="str">
        <f t="shared" si="36"/>
        <v/>
      </c>
      <c r="L198" s="8"/>
      <c r="M198" s="1" t="str">
        <f t="shared" si="37"/>
        <v/>
      </c>
      <c r="N198" s="1" t="str">
        <f t="shared" si="38"/>
        <v/>
      </c>
      <c r="O198" s="33" t="str">
        <f t="shared" si="39"/>
        <v/>
      </c>
      <c r="P198" s="34" t="str">
        <f>IF(B198="","",C198&amp;"|"&amp;ROUND(O198,2)&amp;"|"&amp;COUNTIFS($C$4:C198,C198,$O$4:O198,O198))</f>
        <v/>
      </c>
      <c r="Q198" s="34">
        <f t="shared" si="40"/>
        <v>0</v>
      </c>
      <c r="R198" s="34">
        <f t="shared" si="41"/>
        <v>0</v>
      </c>
      <c r="S198" s="34" t="str">
        <f>IF(AND(B198&lt;&gt;"",C198=CompteSel,N(B198)&lt;=DateArret,R198=0),MAX($S$3:S197)+1,"")</f>
        <v/>
      </c>
      <c r="T198" s="34">
        <f t="shared" si="42"/>
        <v>0</v>
      </c>
      <c r="U198" s="34">
        <f t="shared" si="43"/>
        <v>9</v>
      </c>
    </row>
    <row r="199" spans="1:21" x14ac:dyDescent="0.35">
      <c r="A199" s="1" t="str">
        <f t="shared" si="33"/>
        <v/>
      </c>
      <c r="B199" s="31"/>
      <c r="C199" s="8"/>
      <c r="D199" s="8"/>
      <c r="E199" s="8"/>
      <c r="F199" s="32"/>
      <c r="G199" s="32"/>
      <c r="H199" s="32"/>
      <c r="I199" s="1" t="str">
        <f t="shared" si="34"/>
        <v/>
      </c>
      <c r="J199" s="1" t="str">
        <f t="shared" si="35"/>
        <v/>
      </c>
      <c r="K199" s="1" t="str">
        <f t="shared" si="36"/>
        <v/>
      </c>
      <c r="L199" s="8"/>
      <c r="M199" s="1" t="str">
        <f t="shared" si="37"/>
        <v/>
      </c>
      <c r="N199" s="1" t="str">
        <f t="shared" si="38"/>
        <v/>
      </c>
      <c r="O199" s="33" t="str">
        <f t="shared" si="39"/>
        <v/>
      </c>
      <c r="P199" s="34" t="str">
        <f>IF(B199="","",C199&amp;"|"&amp;ROUND(O199,2)&amp;"|"&amp;COUNTIFS($C$4:C199,C199,$O$4:O199,O199))</f>
        <v/>
      </c>
      <c r="Q199" s="34">
        <f t="shared" si="40"/>
        <v>0</v>
      </c>
      <c r="R199" s="34">
        <f t="shared" si="41"/>
        <v>0</v>
      </c>
      <c r="S199" s="34" t="str">
        <f>IF(AND(B199&lt;&gt;"",C199=CompteSel,N(B199)&lt;=DateArret,R199=0),MAX($S$3:S198)+1,"")</f>
        <v/>
      </c>
      <c r="T199" s="34">
        <f t="shared" si="42"/>
        <v>0</v>
      </c>
      <c r="U199" s="34">
        <f t="shared" si="43"/>
        <v>9</v>
      </c>
    </row>
    <row r="200" spans="1:21" x14ac:dyDescent="0.35">
      <c r="A200" s="1" t="str">
        <f t="shared" si="33"/>
        <v/>
      </c>
      <c r="B200" s="31"/>
      <c r="C200" s="8"/>
      <c r="D200" s="8"/>
      <c r="E200" s="8"/>
      <c r="F200" s="32"/>
      <c r="G200" s="32"/>
      <c r="H200" s="32"/>
      <c r="I200" s="1" t="str">
        <f t="shared" si="34"/>
        <v/>
      </c>
      <c r="J200" s="1" t="str">
        <f t="shared" si="35"/>
        <v/>
      </c>
      <c r="K200" s="1" t="str">
        <f t="shared" si="36"/>
        <v/>
      </c>
      <c r="L200" s="8"/>
      <c r="M200" s="1" t="str">
        <f t="shared" si="37"/>
        <v/>
      </c>
      <c r="N200" s="1" t="str">
        <f t="shared" si="38"/>
        <v/>
      </c>
      <c r="O200" s="33" t="str">
        <f t="shared" si="39"/>
        <v/>
      </c>
      <c r="P200" s="34" t="str">
        <f>IF(B200="","",C200&amp;"|"&amp;ROUND(O200,2)&amp;"|"&amp;COUNTIFS($C$4:C200,C200,$O$4:O200,O200))</f>
        <v/>
      </c>
      <c r="Q200" s="34">
        <f t="shared" si="40"/>
        <v>0</v>
      </c>
      <c r="R200" s="34">
        <f t="shared" si="41"/>
        <v>0</v>
      </c>
      <c r="S200" s="34" t="str">
        <f>IF(AND(B200&lt;&gt;"",C200=CompteSel,N(B200)&lt;=DateArret,R200=0),MAX($S$3:S199)+1,"")</f>
        <v/>
      </c>
      <c r="T200" s="34">
        <f t="shared" si="42"/>
        <v>0</v>
      </c>
      <c r="U200" s="34">
        <f t="shared" si="43"/>
        <v>9</v>
      </c>
    </row>
    <row r="201" spans="1:21" x14ac:dyDescent="0.35">
      <c r="A201" s="1" t="str">
        <f t="shared" si="33"/>
        <v/>
      </c>
      <c r="B201" s="31"/>
      <c r="C201" s="8"/>
      <c r="D201" s="8"/>
      <c r="E201" s="8"/>
      <c r="F201" s="32"/>
      <c r="G201" s="32"/>
      <c r="H201" s="32"/>
      <c r="I201" s="1" t="str">
        <f t="shared" si="34"/>
        <v/>
      </c>
      <c r="J201" s="1" t="str">
        <f t="shared" si="35"/>
        <v/>
      </c>
      <c r="K201" s="1" t="str">
        <f t="shared" si="36"/>
        <v/>
      </c>
      <c r="L201" s="8"/>
      <c r="M201" s="1" t="str">
        <f t="shared" si="37"/>
        <v/>
      </c>
      <c r="N201" s="1" t="str">
        <f t="shared" si="38"/>
        <v/>
      </c>
      <c r="O201" s="33" t="str">
        <f t="shared" si="39"/>
        <v/>
      </c>
      <c r="P201" s="34" t="str">
        <f>IF(B201="","",C201&amp;"|"&amp;ROUND(O201,2)&amp;"|"&amp;COUNTIFS($C$4:C201,C201,$O$4:O201,O201))</f>
        <v/>
      </c>
      <c r="Q201" s="34">
        <f t="shared" si="40"/>
        <v>0</v>
      </c>
      <c r="R201" s="34">
        <f t="shared" si="41"/>
        <v>0</v>
      </c>
      <c r="S201" s="34" t="str">
        <f>IF(AND(B201&lt;&gt;"",C201=CompteSel,N(B201)&lt;=DateArret,R201=0),MAX($S$3:S200)+1,"")</f>
        <v/>
      </c>
      <c r="T201" s="34">
        <f t="shared" si="42"/>
        <v>0</v>
      </c>
      <c r="U201" s="34">
        <f t="shared" si="43"/>
        <v>9</v>
      </c>
    </row>
    <row r="202" spans="1:21" x14ac:dyDescent="0.35">
      <c r="A202" s="1" t="str">
        <f t="shared" si="33"/>
        <v/>
      </c>
      <c r="B202" s="31"/>
      <c r="C202" s="8"/>
      <c r="D202" s="8"/>
      <c r="E202" s="8"/>
      <c r="F202" s="32"/>
      <c r="G202" s="32"/>
      <c r="H202" s="32"/>
      <c r="I202" s="1" t="str">
        <f t="shared" si="34"/>
        <v/>
      </c>
      <c r="J202" s="1" t="str">
        <f t="shared" si="35"/>
        <v/>
      </c>
      <c r="K202" s="1" t="str">
        <f t="shared" si="36"/>
        <v/>
      </c>
      <c r="L202" s="8"/>
      <c r="M202" s="1" t="str">
        <f t="shared" si="37"/>
        <v/>
      </c>
      <c r="N202" s="1" t="str">
        <f t="shared" si="38"/>
        <v/>
      </c>
      <c r="O202" s="33" t="str">
        <f t="shared" si="39"/>
        <v/>
      </c>
      <c r="P202" s="34" t="str">
        <f>IF(B202="","",C202&amp;"|"&amp;ROUND(O202,2)&amp;"|"&amp;COUNTIFS($C$4:C202,C202,$O$4:O202,O202))</f>
        <v/>
      </c>
      <c r="Q202" s="34">
        <f t="shared" si="40"/>
        <v>0</v>
      </c>
      <c r="R202" s="34">
        <f t="shared" si="41"/>
        <v>0</v>
      </c>
      <c r="S202" s="34" t="str">
        <f>IF(AND(B202&lt;&gt;"",C202=CompteSel,N(B202)&lt;=DateArret,R202=0),MAX($S$3:S201)+1,"")</f>
        <v/>
      </c>
      <c r="T202" s="34">
        <f t="shared" si="42"/>
        <v>0</v>
      </c>
      <c r="U202" s="34">
        <f t="shared" si="43"/>
        <v>9</v>
      </c>
    </row>
    <row r="203" spans="1:21" x14ac:dyDescent="0.35">
      <c r="A203" s="1" t="str">
        <f t="shared" si="33"/>
        <v/>
      </c>
      <c r="B203" s="31"/>
      <c r="C203" s="8"/>
      <c r="D203" s="8"/>
      <c r="E203" s="8"/>
      <c r="F203" s="32"/>
      <c r="G203" s="32"/>
      <c r="H203" s="32"/>
      <c r="I203" s="1" t="str">
        <f t="shared" si="34"/>
        <v/>
      </c>
      <c r="J203" s="1" t="str">
        <f t="shared" si="35"/>
        <v/>
      </c>
      <c r="K203" s="1" t="str">
        <f t="shared" si="36"/>
        <v/>
      </c>
      <c r="L203" s="8"/>
      <c r="M203" s="1" t="str">
        <f t="shared" si="37"/>
        <v/>
      </c>
      <c r="N203" s="1" t="str">
        <f t="shared" si="38"/>
        <v/>
      </c>
      <c r="O203" s="33" t="str">
        <f t="shared" si="39"/>
        <v/>
      </c>
      <c r="P203" s="34" t="str">
        <f>IF(B203="","",C203&amp;"|"&amp;ROUND(O203,2)&amp;"|"&amp;COUNTIFS($C$4:C203,C203,$O$4:O203,O203))</f>
        <v/>
      </c>
      <c r="Q203" s="34">
        <f t="shared" si="40"/>
        <v>0</v>
      </c>
      <c r="R203" s="34">
        <f t="shared" si="41"/>
        <v>0</v>
      </c>
      <c r="S203" s="34" t="str">
        <f>IF(AND(B203&lt;&gt;"",C203=CompteSel,N(B203)&lt;=DateArret,R203=0),MAX($S$3:S202)+1,"")</f>
        <v/>
      </c>
      <c r="T203" s="34">
        <f t="shared" si="42"/>
        <v>0</v>
      </c>
      <c r="U203" s="34">
        <f t="shared" si="43"/>
        <v>9</v>
      </c>
    </row>
    <row r="204" spans="1:21" x14ac:dyDescent="0.35">
      <c r="A204" s="1" t="str">
        <f t="shared" si="33"/>
        <v/>
      </c>
      <c r="B204" s="31"/>
      <c r="C204" s="8"/>
      <c r="D204" s="8"/>
      <c r="E204" s="8"/>
      <c r="F204" s="32"/>
      <c r="G204" s="32"/>
      <c r="H204" s="32"/>
      <c r="I204" s="1" t="str">
        <f t="shared" si="34"/>
        <v/>
      </c>
      <c r="J204" s="1" t="str">
        <f t="shared" si="35"/>
        <v/>
      </c>
      <c r="K204" s="1" t="str">
        <f t="shared" si="36"/>
        <v/>
      </c>
      <c r="L204" s="8"/>
      <c r="M204" s="1" t="str">
        <f t="shared" si="37"/>
        <v/>
      </c>
      <c r="N204" s="1" t="str">
        <f t="shared" si="38"/>
        <v/>
      </c>
      <c r="O204" s="33" t="str">
        <f t="shared" si="39"/>
        <v/>
      </c>
      <c r="P204" s="34" t="str">
        <f>IF(B204="","",C204&amp;"|"&amp;ROUND(O204,2)&amp;"|"&amp;COUNTIFS($C$4:C204,C204,$O$4:O204,O204))</f>
        <v/>
      </c>
      <c r="Q204" s="34">
        <f t="shared" si="40"/>
        <v>0</v>
      </c>
      <c r="R204" s="34">
        <f t="shared" si="41"/>
        <v>0</v>
      </c>
      <c r="S204" s="34" t="str">
        <f>IF(AND(B204&lt;&gt;"",C204=CompteSel,N(B204)&lt;=DateArret,R204=0),MAX($S$3:S203)+1,"")</f>
        <v/>
      </c>
      <c r="T204" s="34">
        <f t="shared" si="42"/>
        <v>0</v>
      </c>
      <c r="U204" s="34">
        <f t="shared" si="43"/>
        <v>9</v>
      </c>
    </row>
    <row r="205" spans="1:21" x14ac:dyDescent="0.35">
      <c r="A205" s="1" t="str">
        <f t="shared" si="33"/>
        <v/>
      </c>
      <c r="B205" s="31"/>
      <c r="C205" s="8"/>
      <c r="D205" s="8"/>
      <c r="E205" s="8"/>
      <c r="F205" s="32"/>
      <c r="G205" s="32"/>
      <c r="H205" s="32"/>
      <c r="I205" s="1" t="str">
        <f t="shared" si="34"/>
        <v/>
      </c>
      <c r="J205" s="1" t="str">
        <f t="shared" si="35"/>
        <v/>
      </c>
      <c r="K205" s="1" t="str">
        <f t="shared" si="36"/>
        <v/>
      </c>
      <c r="L205" s="8"/>
      <c r="M205" s="1" t="str">
        <f t="shared" si="37"/>
        <v/>
      </c>
      <c r="N205" s="1" t="str">
        <f t="shared" si="38"/>
        <v/>
      </c>
      <c r="O205" s="33" t="str">
        <f t="shared" si="39"/>
        <v/>
      </c>
      <c r="P205" s="34" t="str">
        <f>IF(B205="","",C205&amp;"|"&amp;ROUND(O205,2)&amp;"|"&amp;COUNTIFS($C$4:C205,C205,$O$4:O205,O205))</f>
        <v/>
      </c>
      <c r="Q205" s="34">
        <f t="shared" si="40"/>
        <v>0</v>
      </c>
      <c r="R205" s="34">
        <f t="shared" si="41"/>
        <v>0</v>
      </c>
      <c r="S205" s="34" t="str">
        <f>IF(AND(B205&lt;&gt;"",C205=CompteSel,N(B205)&lt;=DateArret,R205=0),MAX($S$3:S204)+1,"")</f>
        <v/>
      </c>
      <c r="T205" s="34">
        <f t="shared" si="42"/>
        <v>0</v>
      </c>
      <c r="U205" s="34">
        <f t="shared" si="43"/>
        <v>9</v>
      </c>
    </row>
    <row r="206" spans="1:21" x14ac:dyDescent="0.35">
      <c r="A206" s="1" t="str">
        <f t="shared" si="33"/>
        <v/>
      </c>
      <c r="B206" s="31"/>
      <c r="C206" s="8"/>
      <c r="D206" s="8"/>
      <c r="E206" s="8"/>
      <c r="F206" s="32"/>
      <c r="G206" s="32"/>
      <c r="H206" s="32"/>
      <c r="I206" s="1" t="str">
        <f t="shared" si="34"/>
        <v/>
      </c>
      <c r="J206" s="1" t="str">
        <f t="shared" si="35"/>
        <v/>
      </c>
      <c r="K206" s="1" t="str">
        <f t="shared" si="36"/>
        <v/>
      </c>
      <c r="L206" s="8"/>
      <c r="M206" s="1" t="str">
        <f t="shared" si="37"/>
        <v/>
      </c>
      <c r="N206" s="1" t="str">
        <f t="shared" si="38"/>
        <v/>
      </c>
      <c r="O206" s="33" t="str">
        <f t="shared" si="39"/>
        <v/>
      </c>
      <c r="P206" s="34" t="str">
        <f>IF(B206="","",C206&amp;"|"&amp;ROUND(O206,2)&amp;"|"&amp;COUNTIFS($C$4:C206,C206,$O$4:O206,O206))</f>
        <v/>
      </c>
      <c r="Q206" s="34">
        <f t="shared" si="40"/>
        <v>0</v>
      </c>
      <c r="R206" s="34">
        <f t="shared" si="41"/>
        <v>0</v>
      </c>
      <c r="S206" s="34" t="str">
        <f>IF(AND(B206&lt;&gt;"",C206=CompteSel,N(B206)&lt;=DateArret,R206=0),MAX($S$3:S205)+1,"")</f>
        <v/>
      </c>
      <c r="T206" s="34">
        <f t="shared" si="42"/>
        <v>0</v>
      </c>
      <c r="U206" s="34">
        <f t="shared" si="43"/>
        <v>9</v>
      </c>
    </row>
    <row r="207" spans="1:21" x14ac:dyDescent="0.35">
      <c r="A207" s="1" t="str">
        <f t="shared" si="33"/>
        <v/>
      </c>
      <c r="B207" s="31"/>
      <c r="C207" s="8"/>
      <c r="D207" s="8"/>
      <c r="E207" s="8"/>
      <c r="F207" s="32"/>
      <c r="G207" s="32"/>
      <c r="H207" s="32"/>
      <c r="I207" s="1" t="str">
        <f t="shared" si="34"/>
        <v/>
      </c>
      <c r="J207" s="1" t="str">
        <f t="shared" si="35"/>
        <v/>
      </c>
      <c r="K207" s="1" t="str">
        <f t="shared" si="36"/>
        <v/>
      </c>
      <c r="L207" s="8"/>
      <c r="M207" s="1" t="str">
        <f t="shared" si="37"/>
        <v/>
      </c>
      <c r="N207" s="1" t="str">
        <f t="shared" si="38"/>
        <v/>
      </c>
      <c r="O207" s="33" t="str">
        <f t="shared" si="39"/>
        <v/>
      </c>
      <c r="P207" s="34" t="str">
        <f>IF(B207="","",C207&amp;"|"&amp;ROUND(O207,2)&amp;"|"&amp;COUNTIFS($C$4:C207,C207,$O$4:O207,O207))</f>
        <v/>
      </c>
      <c r="Q207" s="34">
        <f t="shared" si="40"/>
        <v>0</v>
      </c>
      <c r="R207" s="34">
        <f t="shared" si="41"/>
        <v>0</v>
      </c>
      <c r="S207" s="34" t="str">
        <f>IF(AND(B207&lt;&gt;"",C207=CompteSel,N(B207)&lt;=DateArret,R207=0),MAX($S$3:S206)+1,"")</f>
        <v/>
      </c>
      <c r="T207" s="34">
        <f t="shared" si="42"/>
        <v>0</v>
      </c>
      <c r="U207" s="34">
        <f t="shared" si="43"/>
        <v>9</v>
      </c>
    </row>
    <row r="208" spans="1:21" x14ac:dyDescent="0.35">
      <c r="A208" s="1" t="str">
        <f t="shared" si="33"/>
        <v/>
      </c>
      <c r="B208" s="31"/>
      <c r="C208" s="8"/>
      <c r="D208" s="8"/>
      <c r="E208" s="8"/>
      <c r="F208" s="32"/>
      <c r="G208" s="32"/>
      <c r="H208" s="32"/>
      <c r="I208" s="1" t="str">
        <f t="shared" si="34"/>
        <v/>
      </c>
      <c r="J208" s="1" t="str">
        <f t="shared" si="35"/>
        <v/>
      </c>
      <c r="K208" s="1" t="str">
        <f t="shared" si="36"/>
        <v/>
      </c>
      <c r="L208" s="8"/>
      <c r="M208" s="1" t="str">
        <f t="shared" si="37"/>
        <v/>
      </c>
      <c r="N208" s="1" t="str">
        <f t="shared" si="38"/>
        <v/>
      </c>
      <c r="O208" s="33" t="str">
        <f t="shared" si="39"/>
        <v/>
      </c>
      <c r="P208" s="34" t="str">
        <f>IF(B208="","",C208&amp;"|"&amp;ROUND(O208,2)&amp;"|"&amp;COUNTIFS($C$4:C208,C208,$O$4:O208,O208))</f>
        <v/>
      </c>
      <c r="Q208" s="34">
        <f t="shared" si="40"/>
        <v>0</v>
      </c>
      <c r="R208" s="34">
        <f t="shared" si="41"/>
        <v>0</v>
      </c>
      <c r="S208" s="34" t="str">
        <f>IF(AND(B208&lt;&gt;"",C208=CompteSel,N(B208)&lt;=DateArret,R208=0),MAX($S$3:S207)+1,"")</f>
        <v/>
      </c>
      <c r="T208" s="34">
        <f t="shared" si="42"/>
        <v>0</v>
      </c>
      <c r="U208" s="34">
        <f t="shared" si="43"/>
        <v>9</v>
      </c>
    </row>
    <row r="209" spans="1:21" x14ac:dyDescent="0.35">
      <c r="A209" s="1" t="str">
        <f t="shared" si="33"/>
        <v/>
      </c>
      <c r="B209" s="31"/>
      <c r="C209" s="8"/>
      <c r="D209" s="8"/>
      <c r="E209" s="8"/>
      <c r="F209" s="32"/>
      <c r="G209" s="32"/>
      <c r="H209" s="32"/>
      <c r="I209" s="1" t="str">
        <f t="shared" si="34"/>
        <v/>
      </c>
      <c r="J209" s="1" t="str">
        <f t="shared" si="35"/>
        <v/>
      </c>
      <c r="K209" s="1" t="str">
        <f t="shared" si="36"/>
        <v/>
      </c>
      <c r="L209" s="8"/>
      <c r="M209" s="1" t="str">
        <f t="shared" si="37"/>
        <v/>
      </c>
      <c r="N209" s="1" t="str">
        <f t="shared" si="38"/>
        <v/>
      </c>
      <c r="O209" s="33" t="str">
        <f t="shared" si="39"/>
        <v/>
      </c>
      <c r="P209" s="34" t="str">
        <f>IF(B209="","",C209&amp;"|"&amp;ROUND(O209,2)&amp;"|"&amp;COUNTIFS($C$4:C209,C209,$O$4:O209,O209))</f>
        <v/>
      </c>
      <c r="Q209" s="34">
        <f t="shared" si="40"/>
        <v>0</v>
      </c>
      <c r="R209" s="34">
        <f t="shared" si="41"/>
        <v>0</v>
      </c>
      <c r="S209" s="34" t="str">
        <f>IF(AND(B209&lt;&gt;"",C209=CompteSel,N(B209)&lt;=DateArret,R209=0),MAX($S$3:S208)+1,"")</f>
        <v/>
      </c>
      <c r="T209" s="34">
        <f t="shared" si="42"/>
        <v>0</v>
      </c>
      <c r="U209" s="34">
        <f t="shared" si="43"/>
        <v>9</v>
      </c>
    </row>
    <row r="210" spans="1:21" x14ac:dyDescent="0.35">
      <c r="A210" s="1" t="str">
        <f t="shared" si="33"/>
        <v/>
      </c>
      <c r="B210" s="31"/>
      <c r="C210" s="8"/>
      <c r="D210" s="8"/>
      <c r="E210" s="8"/>
      <c r="F210" s="32"/>
      <c r="G210" s="32"/>
      <c r="H210" s="32"/>
      <c r="I210" s="1" t="str">
        <f t="shared" si="34"/>
        <v/>
      </c>
      <c r="J210" s="1" t="str">
        <f t="shared" si="35"/>
        <v/>
      </c>
      <c r="K210" s="1" t="str">
        <f t="shared" si="36"/>
        <v/>
      </c>
      <c r="L210" s="8"/>
      <c r="M210" s="1" t="str">
        <f t="shared" si="37"/>
        <v/>
      </c>
      <c r="N210" s="1" t="str">
        <f t="shared" si="38"/>
        <v/>
      </c>
      <c r="O210" s="33" t="str">
        <f t="shared" si="39"/>
        <v/>
      </c>
      <c r="P210" s="34" t="str">
        <f>IF(B210="","",C210&amp;"|"&amp;ROUND(O210,2)&amp;"|"&amp;COUNTIFS($C$4:C210,C210,$O$4:O210,O210))</f>
        <v/>
      </c>
      <c r="Q210" s="34">
        <f t="shared" si="40"/>
        <v>0</v>
      </c>
      <c r="R210" s="34">
        <f t="shared" si="41"/>
        <v>0</v>
      </c>
      <c r="S210" s="34" t="str">
        <f>IF(AND(B210&lt;&gt;"",C210=CompteSel,N(B210)&lt;=DateArret,R210=0),MAX($S$3:S209)+1,"")</f>
        <v/>
      </c>
      <c r="T210" s="34">
        <f t="shared" si="42"/>
        <v>0</v>
      </c>
      <c r="U210" s="34">
        <f t="shared" si="43"/>
        <v>9</v>
      </c>
    </row>
    <row r="211" spans="1:21" x14ac:dyDescent="0.35">
      <c r="A211" s="1" t="str">
        <f t="shared" si="33"/>
        <v/>
      </c>
      <c r="B211" s="31"/>
      <c r="C211" s="8"/>
      <c r="D211" s="8"/>
      <c r="E211" s="8"/>
      <c r="F211" s="32"/>
      <c r="G211" s="32"/>
      <c r="H211" s="32"/>
      <c r="I211" s="1" t="str">
        <f t="shared" si="34"/>
        <v/>
      </c>
      <c r="J211" s="1" t="str">
        <f t="shared" si="35"/>
        <v/>
      </c>
      <c r="K211" s="1" t="str">
        <f t="shared" si="36"/>
        <v/>
      </c>
      <c r="L211" s="8"/>
      <c r="M211" s="1" t="str">
        <f t="shared" si="37"/>
        <v/>
      </c>
      <c r="N211" s="1" t="str">
        <f t="shared" si="38"/>
        <v/>
      </c>
      <c r="O211" s="33" t="str">
        <f t="shared" si="39"/>
        <v/>
      </c>
      <c r="P211" s="34" t="str">
        <f>IF(B211="","",C211&amp;"|"&amp;ROUND(O211,2)&amp;"|"&amp;COUNTIFS($C$4:C211,C211,$O$4:O211,O211))</f>
        <v/>
      </c>
      <c r="Q211" s="34">
        <f t="shared" si="40"/>
        <v>0</v>
      </c>
      <c r="R211" s="34">
        <f t="shared" si="41"/>
        <v>0</v>
      </c>
      <c r="S211" s="34" t="str">
        <f>IF(AND(B211&lt;&gt;"",C211=CompteSel,N(B211)&lt;=DateArret,R211=0),MAX($S$3:S210)+1,"")</f>
        <v/>
      </c>
      <c r="T211" s="34">
        <f t="shared" si="42"/>
        <v>0</v>
      </c>
      <c r="U211" s="34">
        <f t="shared" si="43"/>
        <v>9</v>
      </c>
    </row>
    <row r="212" spans="1:21" x14ac:dyDescent="0.35">
      <c r="A212" s="1" t="str">
        <f t="shared" si="33"/>
        <v/>
      </c>
      <c r="B212" s="31"/>
      <c r="C212" s="8"/>
      <c r="D212" s="8"/>
      <c r="E212" s="8"/>
      <c r="F212" s="32"/>
      <c r="G212" s="32"/>
      <c r="H212" s="32"/>
      <c r="I212" s="1" t="str">
        <f t="shared" si="34"/>
        <v/>
      </c>
      <c r="J212" s="1" t="str">
        <f t="shared" si="35"/>
        <v/>
      </c>
      <c r="K212" s="1" t="str">
        <f t="shared" si="36"/>
        <v/>
      </c>
      <c r="L212" s="8"/>
      <c r="M212" s="1" t="str">
        <f t="shared" si="37"/>
        <v/>
      </c>
      <c r="N212" s="1" t="str">
        <f t="shared" si="38"/>
        <v/>
      </c>
      <c r="O212" s="33" t="str">
        <f t="shared" si="39"/>
        <v/>
      </c>
      <c r="P212" s="34" t="str">
        <f>IF(B212="","",C212&amp;"|"&amp;ROUND(O212,2)&amp;"|"&amp;COUNTIFS($C$4:C212,C212,$O$4:O212,O212))</f>
        <v/>
      </c>
      <c r="Q212" s="34">
        <f t="shared" si="40"/>
        <v>0</v>
      </c>
      <c r="R212" s="34">
        <f t="shared" si="41"/>
        <v>0</v>
      </c>
      <c r="S212" s="34" t="str">
        <f>IF(AND(B212&lt;&gt;"",C212=CompteSel,N(B212)&lt;=DateArret,R212=0),MAX($S$3:S211)+1,"")</f>
        <v/>
      </c>
      <c r="T212" s="34">
        <f t="shared" si="42"/>
        <v>0</v>
      </c>
      <c r="U212" s="34">
        <f t="shared" si="43"/>
        <v>9</v>
      </c>
    </row>
    <row r="213" spans="1:21" x14ac:dyDescent="0.35">
      <c r="A213" s="1" t="str">
        <f t="shared" si="33"/>
        <v/>
      </c>
      <c r="B213" s="31"/>
      <c r="C213" s="8"/>
      <c r="D213" s="8"/>
      <c r="E213" s="8"/>
      <c r="F213" s="32"/>
      <c r="G213" s="32"/>
      <c r="H213" s="32"/>
      <c r="I213" s="1" t="str">
        <f t="shared" si="34"/>
        <v/>
      </c>
      <c r="J213" s="1" t="str">
        <f t="shared" si="35"/>
        <v/>
      </c>
      <c r="K213" s="1" t="str">
        <f t="shared" si="36"/>
        <v/>
      </c>
      <c r="L213" s="8"/>
      <c r="M213" s="1" t="str">
        <f t="shared" si="37"/>
        <v/>
      </c>
      <c r="N213" s="1" t="str">
        <f t="shared" si="38"/>
        <v/>
      </c>
      <c r="O213" s="33" t="str">
        <f t="shared" si="39"/>
        <v/>
      </c>
      <c r="P213" s="34" t="str">
        <f>IF(B213="","",C213&amp;"|"&amp;ROUND(O213,2)&amp;"|"&amp;COUNTIFS($C$4:C213,C213,$O$4:O213,O213))</f>
        <v/>
      </c>
      <c r="Q213" s="34">
        <f t="shared" si="40"/>
        <v>0</v>
      </c>
      <c r="R213" s="34">
        <f t="shared" si="41"/>
        <v>0</v>
      </c>
      <c r="S213" s="34" t="str">
        <f>IF(AND(B213&lt;&gt;"",C213=CompteSel,N(B213)&lt;=DateArret,R213=0),MAX($S$3:S212)+1,"")</f>
        <v/>
      </c>
      <c r="T213" s="34">
        <f t="shared" si="42"/>
        <v>0</v>
      </c>
      <c r="U213" s="34">
        <f t="shared" si="43"/>
        <v>9</v>
      </c>
    </row>
    <row r="214" spans="1:21" x14ac:dyDescent="0.35">
      <c r="A214" s="1" t="str">
        <f t="shared" si="33"/>
        <v/>
      </c>
      <c r="B214" s="31"/>
      <c r="C214" s="8"/>
      <c r="D214" s="8"/>
      <c r="E214" s="8"/>
      <c r="F214" s="32"/>
      <c r="G214" s="32"/>
      <c r="H214" s="32"/>
      <c r="I214" s="1" t="str">
        <f t="shared" si="34"/>
        <v/>
      </c>
      <c r="J214" s="1" t="str">
        <f t="shared" si="35"/>
        <v/>
      </c>
      <c r="K214" s="1" t="str">
        <f t="shared" si="36"/>
        <v/>
      </c>
      <c r="L214" s="8"/>
      <c r="M214" s="1" t="str">
        <f t="shared" si="37"/>
        <v/>
      </c>
      <c r="N214" s="1" t="str">
        <f t="shared" si="38"/>
        <v/>
      </c>
      <c r="O214" s="33" t="str">
        <f t="shared" si="39"/>
        <v/>
      </c>
      <c r="P214" s="34" t="str">
        <f>IF(B214="","",C214&amp;"|"&amp;ROUND(O214,2)&amp;"|"&amp;COUNTIFS($C$4:C214,C214,$O$4:O214,O214))</f>
        <v/>
      </c>
      <c r="Q214" s="34">
        <f t="shared" si="40"/>
        <v>0</v>
      </c>
      <c r="R214" s="34">
        <f t="shared" si="41"/>
        <v>0</v>
      </c>
      <c r="S214" s="34" t="str">
        <f>IF(AND(B214&lt;&gt;"",C214=CompteSel,N(B214)&lt;=DateArret,R214=0),MAX($S$3:S213)+1,"")</f>
        <v/>
      </c>
      <c r="T214" s="34">
        <f t="shared" si="42"/>
        <v>0</v>
      </c>
      <c r="U214" s="34">
        <f t="shared" si="43"/>
        <v>9</v>
      </c>
    </row>
    <row r="215" spans="1:21" x14ac:dyDescent="0.35">
      <c r="A215" s="1" t="str">
        <f t="shared" si="33"/>
        <v/>
      </c>
      <c r="B215" s="31"/>
      <c r="C215" s="8"/>
      <c r="D215" s="8"/>
      <c r="E215" s="8"/>
      <c r="F215" s="32"/>
      <c r="G215" s="32"/>
      <c r="H215" s="32"/>
      <c r="I215" s="1" t="str">
        <f t="shared" si="34"/>
        <v/>
      </c>
      <c r="J215" s="1" t="str">
        <f t="shared" si="35"/>
        <v/>
      </c>
      <c r="K215" s="1" t="str">
        <f t="shared" si="36"/>
        <v/>
      </c>
      <c r="L215" s="8"/>
      <c r="M215" s="1" t="str">
        <f t="shared" si="37"/>
        <v/>
      </c>
      <c r="N215" s="1" t="str">
        <f t="shared" si="38"/>
        <v/>
      </c>
      <c r="O215" s="33" t="str">
        <f t="shared" si="39"/>
        <v/>
      </c>
      <c r="P215" s="34" t="str">
        <f>IF(B215="","",C215&amp;"|"&amp;ROUND(O215,2)&amp;"|"&amp;COUNTIFS($C$4:C215,C215,$O$4:O215,O215))</f>
        <v/>
      </c>
      <c r="Q215" s="34">
        <f t="shared" si="40"/>
        <v>0</v>
      </c>
      <c r="R215" s="34">
        <f t="shared" si="41"/>
        <v>0</v>
      </c>
      <c r="S215" s="34" t="str">
        <f>IF(AND(B215&lt;&gt;"",C215=CompteSel,N(B215)&lt;=DateArret,R215=0),MAX($S$3:S214)+1,"")</f>
        <v/>
      </c>
      <c r="T215" s="34">
        <f t="shared" si="42"/>
        <v>0</v>
      </c>
      <c r="U215" s="34">
        <f t="shared" si="43"/>
        <v>9</v>
      </c>
    </row>
    <row r="216" spans="1:21" x14ac:dyDescent="0.35">
      <c r="A216" s="1" t="str">
        <f t="shared" si="33"/>
        <v/>
      </c>
      <c r="B216" s="31"/>
      <c r="C216" s="8"/>
      <c r="D216" s="8"/>
      <c r="E216" s="8"/>
      <c r="F216" s="32"/>
      <c r="G216" s="32"/>
      <c r="H216" s="32"/>
      <c r="I216" s="1" t="str">
        <f t="shared" si="34"/>
        <v/>
      </c>
      <c r="J216" s="1" t="str">
        <f t="shared" si="35"/>
        <v/>
      </c>
      <c r="K216" s="1" t="str">
        <f t="shared" si="36"/>
        <v/>
      </c>
      <c r="L216" s="8"/>
      <c r="M216" s="1" t="str">
        <f t="shared" si="37"/>
        <v/>
      </c>
      <c r="N216" s="1" t="str">
        <f t="shared" si="38"/>
        <v/>
      </c>
      <c r="O216" s="33" t="str">
        <f t="shared" si="39"/>
        <v/>
      </c>
      <c r="P216" s="34" t="str">
        <f>IF(B216="","",C216&amp;"|"&amp;ROUND(O216,2)&amp;"|"&amp;COUNTIFS($C$4:C216,C216,$O$4:O216,O216))</f>
        <v/>
      </c>
      <c r="Q216" s="34">
        <f t="shared" si="40"/>
        <v>0</v>
      </c>
      <c r="R216" s="34">
        <f t="shared" si="41"/>
        <v>0</v>
      </c>
      <c r="S216" s="34" t="str">
        <f>IF(AND(B216&lt;&gt;"",C216=CompteSel,N(B216)&lt;=DateArret,R216=0),MAX($S$3:S215)+1,"")</f>
        <v/>
      </c>
      <c r="T216" s="34">
        <f t="shared" si="42"/>
        <v>0</v>
      </c>
      <c r="U216" s="34">
        <f t="shared" si="43"/>
        <v>9</v>
      </c>
    </row>
    <row r="217" spans="1:21" x14ac:dyDescent="0.35">
      <c r="A217" s="1" t="str">
        <f t="shared" si="33"/>
        <v/>
      </c>
      <c r="B217" s="31"/>
      <c r="C217" s="8"/>
      <c r="D217" s="8"/>
      <c r="E217" s="8"/>
      <c r="F217" s="32"/>
      <c r="G217" s="32"/>
      <c r="H217" s="32"/>
      <c r="I217" s="1" t="str">
        <f t="shared" si="34"/>
        <v/>
      </c>
      <c r="J217" s="1" t="str">
        <f t="shared" si="35"/>
        <v/>
      </c>
      <c r="K217" s="1" t="str">
        <f t="shared" si="36"/>
        <v/>
      </c>
      <c r="L217" s="8"/>
      <c r="M217" s="1" t="str">
        <f t="shared" si="37"/>
        <v/>
      </c>
      <c r="N217" s="1" t="str">
        <f t="shared" si="38"/>
        <v/>
      </c>
      <c r="O217" s="33" t="str">
        <f t="shared" si="39"/>
        <v/>
      </c>
      <c r="P217" s="34" t="str">
        <f>IF(B217="","",C217&amp;"|"&amp;ROUND(O217,2)&amp;"|"&amp;COUNTIFS($C$4:C217,C217,$O$4:O217,O217))</f>
        <v/>
      </c>
      <c r="Q217" s="34">
        <f t="shared" si="40"/>
        <v>0</v>
      </c>
      <c r="R217" s="34">
        <f t="shared" si="41"/>
        <v>0</v>
      </c>
      <c r="S217" s="34" t="str">
        <f>IF(AND(B217&lt;&gt;"",C217=CompteSel,N(B217)&lt;=DateArret,R217=0),MAX($S$3:S216)+1,"")</f>
        <v/>
      </c>
      <c r="T217" s="34">
        <f t="shared" si="42"/>
        <v>0</v>
      </c>
      <c r="U217" s="34">
        <f t="shared" si="43"/>
        <v>9</v>
      </c>
    </row>
    <row r="218" spans="1:21" x14ac:dyDescent="0.35">
      <c r="A218" s="1" t="str">
        <f t="shared" si="33"/>
        <v/>
      </c>
      <c r="B218" s="31"/>
      <c r="C218" s="8"/>
      <c r="D218" s="8"/>
      <c r="E218" s="8"/>
      <c r="F218" s="32"/>
      <c r="G218" s="32"/>
      <c r="H218" s="32"/>
      <c r="I218" s="1" t="str">
        <f t="shared" si="34"/>
        <v/>
      </c>
      <c r="J218" s="1" t="str">
        <f t="shared" si="35"/>
        <v/>
      </c>
      <c r="K218" s="1" t="str">
        <f t="shared" si="36"/>
        <v/>
      </c>
      <c r="L218" s="8"/>
      <c r="M218" s="1" t="str">
        <f t="shared" si="37"/>
        <v/>
      </c>
      <c r="N218" s="1" t="str">
        <f t="shared" si="38"/>
        <v/>
      </c>
      <c r="O218" s="33" t="str">
        <f t="shared" si="39"/>
        <v/>
      </c>
      <c r="P218" s="34" t="str">
        <f>IF(B218="","",C218&amp;"|"&amp;ROUND(O218,2)&amp;"|"&amp;COUNTIFS($C$4:C218,C218,$O$4:O218,O218))</f>
        <v/>
      </c>
      <c r="Q218" s="34">
        <f t="shared" si="40"/>
        <v>0</v>
      </c>
      <c r="R218" s="34">
        <f t="shared" si="41"/>
        <v>0</v>
      </c>
      <c r="S218" s="34" t="str">
        <f>IF(AND(B218&lt;&gt;"",C218=CompteSel,N(B218)&lt;=DateArret,R218=0),MAX($S$3:S217)+1,"")</f>
        <v/>
      </c>
      <c r="T218" s="34">
        <f t="shared" si="42"/>
        <v>0</v>
      </c>
      <c r="U218" s="34">
        <f t="shared" si="43"/>
        <v>9</v>
      </c>
    </row>
    <row r="219" spans="1:21" x14ac:dyDescent="0.35">
      <c r="A219" s="1" t="str">
        <f t="shared" si="33"/>
        <v/>
      </c>
      <c r="B219" s="31"/>
      <c r="C219" s="8"/>
      <c r="D219" s="8"/>
      <c r="E219" s="8"/>
      <c r="F219" s="32"/>
      <c r="G219" s="32"/>
      <c r="H219" s="32"/>
      <c r="I219" s="1" t="str">
        <f t="shared" si="34"/>
        <v/>
      </c>
      <c r="J219" s="1" t="str">
        <f t="shared" si="35"/>
        <v/>
      </c>
      <c r="K219" s="1" t="str">
        <f t="shared" si="36"/>
        <v/>
      </c>
      <c r="L219" s="8"/>
      <c r="M219" s="1" t="str">
        <f t="shared" si="37"/>
        <v/>
      </c>
      <c r="N219" s="1" t="str">
        <f t="shared" si="38"/>
        <v/>
      </c>
      <c r="O219" s="33" t="str">
        <f t="shared" si="39"/>
        <v/>
      </c>
      <c r="P219" s="34" t="str">
        <f>IF(B219="","",C219&amp;"|"&amp;ROUND(O219,2)&amp;"|"&amp;COUNTIFS($C$4:C219,C219,$O$4:O219,O219))</f>
        <v/>
      </c>
      <c r="Q219" s="34">
        <f t="shared" si="40"/>
        <v>0</v>
      </c>
      <c r="R219" s="34">
        <f t="shared" si="41"/>
        <v>0</v>
      </c>
      <c r="S219" s="34" t="str">
        <f>IF(AND(B219&lt;&gt;"",C219=CompteSel,N(B219)&lt;=DateArret,R219=0),MAX($S$3:S218)+1,"")</f>
        <v/>
      </c>
      <c r="T219" s="34">
        <f t="shared" si="42"/>
        <v>0</v>
      </c>
      <c r="U219" s="34">
        <f t="shared" si="43"/>
        <v>9</v>
      </c>
    </row>
    <row r="220" spans="1:21" x14ac:dyDescent="0.35">
      <c r="A220" s="1" t="str">
        <f t="shared" si="33"/>
        <v/>
      </c>
      <c r="B220" s="31"/>
      <c r="C220" s="8"/>
      <c r="D220" s="8"/>
      <c r="E220" s="8"/>
      <c r="F220" s="32"/>
      <c r="G220" s="32"/>
      <c r="H220" s="32"/>
      <c r="I220" s="1" t="str">
        <f t="shared" si="34"/>
        <v/>
      </c>
      <c r="J220" s="1" t="str">
        <f t="shared" si="35"/>
        <v/>
      </c>
      <c r="K220" s="1" t="str">
        <f t="shared" si="36"/>
        <v/>
      </c>
      <c r="L220" s="8"/>
      <c r="M220" s="1" t="str">
        <f t="shared" si="37"/>
        <v/>
      </c>
      <c r="N220" s="1" t="str">
        <f t="shared" si="38"/>
        <v/>
      </c>
      <c r="O220" s="33" t="str">
        <f t="shared" si="39"/>
        <v/>
      </c>
      <c r="P220" s="34" t="str">
        <f>IF(B220="","",C220&amp;"|"&amp;ROUND(O220,2)&amp;"|"&amp;COUNTIFS($C$4:C220,C220,$O$4:O220,O220))</f>
        <v/>
      </c>
      <c r="Q220" s="34">
        <f t="shared" si="40"/>
        <v>0</v>
      </c>
      <c r="R220" s="34">
        <f t="shared" si="41"/>
        <v>0</v>
      </c>
      <c r="S220" s="34" t="str">
        <f>IF(AND(B220&lt;&gt;"",C220=CompteSel,N(B220)&lt;=DateArret,R220=0),MAX($S$3:S219)+1,"")</f>
        <v/>
      </c>
      <c r="T220" s="34">
        <f t="shared" si="42"/>
        <v>0</v>
      </c>
      <c r="U220" s="34">
        <f t="shared" si="43"/>
        <v>9</v>
      </c>
    </row>
    <row r="221" spans="1:21" x14ac:dyDescent="0.35">
      <c r="A221" s="1" t="str">
        <f t="shared" si="33"/>
        <v/>
      </c>
      <c r="B221" s="31"/>
      <c r="C221" s="8"/>
      <c r="D221" s="8"/>
      <c r="E221" s="8"/>
      <c r="F221" s="32"/>
      <c r="G221" s="32"/>
      <c r="H221" s="32"/>
      <c r="I221" s="1" t="str">
        <f t="shared" si="34"/>
        <v/>
      </c>
      <c r="J221" s="1" t="str">
        <f t="shared" si="35"/>
        <v/>
      </c>
      <c r="K221" s="1" t="str">
        <f t="shared" si="36"/>
        <v/>
      </c>
      <c r="L221" s="8"/>
      <c r="M221" s="1" t="str">
        <f t="shared" si="37"/>
        <v/>
      </c>
      <c r="N221" s="1" t="str">
        <f t="shared" si="38"/>
        <v/>
      </c>
      <c r="O221" s="33" t="str">
        <f t="shared" si="39"/>
        <v/>
      </c>
      <c r="P221" s="34" t="str">
        <f>IF(B221="","",C221&amp;"|"&amp;ROUND(O221,2)&amp;"|"&amp;COUNTIFS($C$4:C221,C221,$O$4:O221,O221))</f>
        <v/>
      </c>
      <c r="Q221" s="34">
        <f t="shared" si="40"/>
        <v>0</v>
      </c>
      <c r="R221" s="34">
        <f t="shared" si="41"/>
        <v>0</v>
      </c>
      <c r="S221" s="34" t="str">
        <f>IF(AND(B221&lt;&gt;"",C221=CompteSel,N(B221)&lt;=DateArret,R221=0),MAX($S$3:S220)+1,"")</f>
        <v/>
      </c>
      <c r="T221" s="34">
        <f t="shared" si="42"/>
        <v>0</v>
      </c>
      <c r="U221" s="34">
        <f t="shared" si="43"/>
        <v>9</v>
      </c>
    </row>
    <row r="222" spans="1:21" x14ac:dyDescent="0.35">
      <c r="A222" s="1" t="str">
        <f t="shared" si="33"/>
        <v/>
      </c>
      <c r="B222" s="31"/>
      <c r="C222" s="8"/>
      <c r="D222" s="8"/>
      <c r="E222" s="8"/>
      <c r="F222" s="32"/>
      <c r="G222" s="32"/>
      <c r="H222" s="32"/>
      <c r="I222" s="1" t="str">
        <f t="shared" si="34"/>
        <v/>
      </c>
      <c r="J222" s="1" t="str">
        <f t="shared" si="35"/>
        <v/>
      </c>
      <c r="K222" s="1" t="str">
        <f t="shared" si="36"/>
        <v/>
      </c>
      <c r="L222" s="8"/>
      <c r="M222" s="1" t="str">
        <f t="shared" si="37"/>
        <v/>
      </c>
      <c r="N222" s="1" t="str">
        <f t="shared" si="38"/>
        <v/>
      </c>
      <c r="O222" s="33" t="str">
        <f t="shared" si="39"/>
        <v/>
      </c>
      <c r="P222" s="34" t="str">
        <f>IF(B222="","",C222&amp;"|"&amp;ROUND(O222,2)&amp;"|"&amp;COUNTIFS($C$4:C222,C222,$O$4:O222,O222))</f>
        <v/>
      </c>
      <c r="Q222" s="34">
        <f t="shared" si="40"/>
        <v>0</v>
      </c>
      <c r="R222" s="34">
        <f t="shared" si="41"/>
        <v>0</v>
      </c>
      <c r="S222" s="34" t="str">
        <f>IF(AND(B222&lt;&gt;"",C222=CompteSel,N(B222)&lt;=DateArret,R222=0),MAX($S$3:S221)+1,"")</f>
        <v/>
      </c>
      <c r="T222" s="34">
        <f t="shared" si="42"/>
        <v>0</v>
      </c>
      <c r="U222" s="34">
        <f t="shared" si="43"/>
        <v>9</v>
      </c>
    </row>
    <row r="223" spans="1:21" x14ac:dyDescent="0.35">
      <c r="A223" s="1" t="str">
        <f t="shared" si="33"/>
        <v/>
      </c>
      <c r="B223" s="31"/>
      <c r="C223" s="8"/>
      <c r="D223" s="8"/>
      <c r="E223" s="8"/>
      <c r="F223" s="32"/>
      <c r="G223" s="32"/>
      <c r="H223" s="32"/>
      <c r="I223" s="1" t="str">
        <f t="shared" si="34"/>
        <v/>
      </c>
      <c r="J223" s="1" t="str">
        <f t="shared" si="35"/>
        <v/>
      </c>
      <c r="K223" s="1" t="str">
        <f t="shared" si="36"/>
        <v/>
      </c>
      <c r="L223" s="8"/>
      <c r="M223" s="1" t="str">
        <f t="shared" si="37"/>
        <v/>
      </c>
      <c r="N223" s="1" t="str">
        <f t="shared" si="38"/>
        <v/>
      </c>
      <c r="O223" s="33" t="str">
        <f t="shared" si="39"/>
        <v/>
      </c>
      <c r="P223" s="34" t="str">
        <f>IF(B223="","",C223&amp;"|"&amp;ROUND(O223,2)&amp;"|"&amp;COUNTIFS($C$4:C223,C223,$O$4:O223,O223))</f>
        <v/>
      </c>
      <c r="Q223" s="34">
        <f t="shared" si="40"/>
        <v>0</v>
      </c>
      <c r="R223" s="34">
        <f t="shared" si="41"/>
        <v>0</v>
      </c>
      <c r="S223" s="34" t="str">
        <f>IF(AND(B223&lt;&gt;"",C223=CompteSel,N(B223)&lt;=DateArret,R223=0),MAX($S$3:S222)+1,"")</f>
        <v/>
      </c>
      <c r="T223" s="34">
        <f t="shared" si="42"/>
        <v>0</v>
      </c>
      <c r="U223" s="34">
        <f t="shared" si="43"/>
        <v>9</v>
      </c>
    </row>
    <row r="224" spans="1:21" x14ac:dyDescent="0.35">
      <c r="A224" s="1" t="str">
        <f t="shared" si="33"/>
        <v/>
      </c>
      <c r="B224" s="31"/>
      <c r="C224" s="8"/>
      <c r="D224" s="8"/>
      <c r="E224" s="8"/>
      <c r="F224" s="32"/>
      <c r="G224" s="32"/>
      <c r="H224" s="32"/>
      <c r="I224" s="1" t="str">
        <f t="shared" si="34"/>
        <v/>
      </c>
      <c r="J224" s="1" t="str">
        <f t="shared" si="35"/>
        <v/>
      </c>
      <c r="K224" s="1" t="str">
        <f t="shared" si="36"/>
        <v/>
      </c>
      <c r="L224" s="8"/>
      <c r="M224" s="1" t="str">
        <f t="shared" si="37"/>
        <v/>
      </c>
      <c r="N224" s="1" t="str">
        <f t="shared" si="38"/>
        <v/>
      </c>
      <c r="O224" s="33" t="str">
        <f t="shared" si="39"/>
        <v/>
      </c>
      <c r="P224" s="34" t="str">
        <f>IF(B224="","",C224&amp;"|"&amp;ROUND(O224,2)&amp;"|"&amp;COUNTIFS($C$4:C224,C224,$O$4:O224,O224))</f>
        <v/>
      </c>
      <c r="Q224" s="34">
        <f t="shared" si="40"/>
        <v>0</v>
      </c>
      <c r="R224" s="34">
        <f t="shared" si="41"/>
        <v>0</v>
      </c>
      <c r="S224" s="34" t="str">
        <f>IF(AND(B224&lt;&gt;"",C224=CompteSel,N(B224)&lt;=DateArret,R224=0),MAX($S$3:S223)+1,"")</f>
        <v/>
      </c>
      <c r="T224" s="34">
        <f t="shared" si="42"/>
        <v>0</v>
      </c>
      <c r="U224" s="34">
        <f t="shared" si="43"/>
        <v>9</v>
      </c>
    </row>
    <row r="225" spans="1:21" x14ac:dyDescent="0.35">
      <c r="A225" s="1" t="str">
        <f t="shared" si="33"/>
        <v/>
      </c>
      <c r="B225" s="31"/>
      <c r="C225" s="8"/>
      <c r="D225" s="8"/>
      <c r="E225" s="8"/>
      <c r="F225" s="32"/>
      <c r="G225" s="32"/>
      <c r="H225" s="32"/>
      <c r="I225" s="1" t="str">
        <f t="shared" si="34"/>
        <v/>
      </c>
      <c r="J225" s="1" t="str">
        <f t="shared" si="35"/>
        <v/>
      </c>
      <c r="K225" s="1" t="str">
        <f t="shared" si="36"/>
        <v/>
      </c>
      <c r="L225" s="8"/>
      <c r="M225" s="1" t="str">
        <f t="shared" si="37"/>
        <v/>
      </c>
      <c r="N225" s="1" t="str">
        <f t="shared" si="38"/>
        <v/>
      </c>
      <c r="O225" s="33" t="str">
        <f t="shared" si="39"/>
        <v/>
      </c>
      <c r="P225" s="34" t="str">
        <f>IF(B225="","",C225&amp;"|"&amp;ROUND(O225,2)&amp;"|"&amp;COUNTIFS($C$4:C225,C225,$O$4:O225,O225))</f>
        <v/>
      </c>
      <c r="Q225" s="34">
        <f t="shared" si="40"/>
        <v>0</v>
      </c>
      <c r="R225" s="34">
        <f t="shared" si="41"/>
        <v>0</v>
      </c>
      <c r="S225" s="34" t="str">
        <f>IF(AND(B225&lt;&gt;"",C225=CompteSel,N(B225)&lt;=DateArret,R225=0),MAX($S$3:S224)+1,"")</f>
        <v/>
      </c>
      <c r="T225" s="34">
        <f t="shared" si="42"/>
        <v>0</v>
      </c>
      <c r="U225" s="34">
        <f t="shared" si="43"/>
        <v>9</v>
      </c>
    </row>
    <row r="226" spans="1:21" x14ac:dyDescent="0.35">
      <c r="A226" s="1" t="str">
        <f t="shared" si="33"/>
        <v/>
      </c>
      <c r="B226" s="31"/>
      <c r="C226" s="8"/>
      <c r="D226" s="8"/>
      <c r="E226" s="8"/>
      <c r="F226" s="32"/>
      <c r="G226" s="32"/>
      <c r="H226" s="32"/>
      <c r="I226" s="1" t="str">
        <f t="shared" si="34"/>
        <v/>
      </c>
      <c r="J226" s="1" t="str">
        <f t="shared" si="35"/>
        <v/>
      </c>
      <c r="K226" s="1" t="str">
        <f t="shared" si="36"/>
        <v/>
      </c>
      <c r="L226" s="8"/>
      <c r="M226" s="1" t="str">
        <f t="shared" si="37"/>
        <v/>
      </c>
      <c r="N226" s="1" t="str">
        <f t="shared" si="38"/>
        <v/>
      </c>
      <c r="O226" s="33" t="str">
        <f t="shared" si="39"/>
        <v/>
      </c>
      <c r="P226" s="34" t="str">
        <f>IF(B226="","",C226&amp;"|"&amp;ROUND(O226,2)&amp;"|"&amp;COUNTIFS($C$4:C226,C226,$O$4:O226,O226))</f>
        <v/>
      </c>
      <c r="Q226" s="34">
        <f t="shared" si="40"/>
        <v>0</v>
      </c>
      <c r="R226" s="34">
        <f t="shared" si="41"/>
        <v>0</v>
      </c>
      <c r="S226" s="34" t="str">
        <f>IF(AND(B226&lt;&gt;"",C226=CompteSel,N(B226)&lt;=DateArret,R226=0),MAX($S$3:S225)+1,"")</f>
        <v/>
      </c>
      <c r="T226" s="34">
        <f t="shared" si="42"/>
        <v>0</v>
      </c>
      <c r="U226" s="34">
        <f t="shared" si="43"/>
        <v>9</v>
      </c>
    </row>
    <row r="227" spans="1:21" x14ac:dyDescent="0.35">
      <c r="A227" s="1" t="str">
        <f t="shared" si="33"/>
        <v/>
      </c>
      <c r="B227" s="31"/>
      <c r="C227" s="8"/>
      <c r="D227" s="8"/>
      <c r="E227" s="8"/>
      <c r="F227" s="32"/>
      <c r="G227" s="32"/>
      <c r="H227" s="32"/>
      <c r="I227" s="1" t="str">
        <f t="shared" si="34"/>
        <v/>
      </c>
      <c r="J227" s="1" t="str">
        <f t="shared" si="35"/>
        <v/>
      </c>
      <c r="K227" s="1" t="str">
        <f t="shared" si="36"/>
        <v/>
      </c>
      <c r="L227" s="8"/>
      <c r="M227" s="1" t="str">
        <f t="shared" si="37"/>
        <v/>
      </c>
      <c r="N227" s="1" t="str">
        <f t="shared" si="38"/>
        <v/>
      </c>
      <c r="O227" s="33" t="str">
        <f t="shared" si="39"/>
        <v/>
      </c>
      <c r="P227" s="34" t="str">
        <f>IF(B227="","",C227&amp;"|"&amp;ROUND(O227,2)&amp;"|"&amp;COUNTIFS($C$4:C227,C227,$O$4:O227,O227))</f>
        <v/>
      </c>
      <c r="Q227" s="34">
        <f t="shared" si="40"/>
        <v>0</v>
      </c>
      <c r="R227" s="34">
        <f t="shared" si="41"/>
        <v>0</v>
      </c>
      <c r="S227" s="34" t="str">
        <f>IF(AND(B227&lt;&gt;"",C227=CompteSel,N(B227)&lt;=DateArret,R227=0),MAX($S$3:S226)+1,"")</f>
        <v/>
      </c>
      <c r="T227" s="34">
        <f t="shared" si="42"/>
        <v>0</v>
      </c>
      <c r="U227" s="34">
        <f t="shared" si="43"/>
        <v>9</v>
      </c>
    </row>
    <row r="228" spans="1:21" x14ac:dyDescent="0.35">
      <c r="A228" s="1" t="str">
        <f t="shared" si="33"/>
        <v/>
      </c>
      <c r="B228" s="31"/>
      <c r="C228" s="8"/>
      <c r="D228" s="8"/>
      <c r="E228" s="8"/>
      <c r="F228" s="32"/>
      <c r="G228" s="32"/>
      <c r="H228" s="32"/>
      <c r="I228" s="1" t="str">
        <f t="shared" si="34"/>
        <v/>
      </c>
      <c r="J228" s="1" t="str">
        <f t="shared" si="35"/>
        <v/>
      </c>
      <c r="K228" s="1" t="str">
        <f t="shared" si="36"/>
        <v/>
      </c>
      <c r="L228" s="8"/>
      <c r="M228" s="1" t="str">
        <f t="shared" si="37"/>
        <v/>
      </c>
      <c r="N228" s="1" t="str">
        <f t="shared" si="38"/>
        <v/>
      </c>
      <c r="O228" s="33" t="str">
        <f t="shared" si="39"/>
        <v/>
      </c>
      <c r="P228" s="34" t="str">
        <f>IF(B228="","",C228&amp;"|"&amp;ROUND(O228,2)&amp;"|"&amp;COUNTIFS($C$4:C228,C228,$O$4:O228,O228))</f>
        <v/>
      </c>
      <c r="Q228" s="34">
        <f t="shared" si="40"/>
        <v>0</v>
      </c>
      <c r="R228" s="34">
        <f t="shared" si="41"/>
        <v>0</v>
      </c>
      <c r="S228" s="34" t="str">
        <f>IF(AND(B228&lt;&gt;"",C228=CompteSel,N(B228)&lt;=DateArret,R228=0),MAX($S$3:S227)+1,"")</f>
        <v/>
      </c>
      <c r="T228" s="34">
        <f t="shared" si="42"/>
        <v>0</v>
      </c>
      <c r="U228" s="34">
        <f t="shared" si="43"/>
        <v>9</v>
      </c>
    </row>
    <row r="229" spans="1:21" x14ac:dyDescent="0.35">
      <c r="A229" s="1" t="str">
        <f t="shared" si="33"/>
        <v/>
      </c>
      <c r="B229" s="31"/>
      <c r="C229" s="8"/>
      <c r="D229" s="8"/>
      <c r="E229" s="8"/>
      <c r="F229" s="32"/>
      <c r="G229" s="32"/>
      <c r="H229" s="32"/>
      <c r="I229" s="1" t="str">
        <f t="shared" si="34"/>
        <v/>
      </c>
      <c r="J229" s="1" t="str">
        <f t="shared" si="35"/>
        <v/>
      </c>
      <c r="K229" s="1" t="str">
        <f t="shared" si="36"/>
        <v/>
      </c>
      <c r="L229" s="8"/>
      <c r="M229" s="1" t="str">
        <f t="shared" si="37"/>
        <v/>
      </c>
      <c r="N229" s="1" t="str">
        <f t="shared" si="38"/>
        <v/>
      </c>
      <c r="O229" s="33" t="str">
        <f t="shared" si="39"/>
        <v/>
      </c>
      <c r="P229" s="34" t="str">
        <f>IF(B229="","",C229&amp;"|"&amp;ROUND(O229,2)&amp;"|"&amp;COUNTIFS($C$4:C229,C229,$O$4:O229,O229))</f>
        <v/>
      </c>
      <c r="Q229" s="34">
        <f t="shared" si="40"/>
        <v>0</v>
      </c>
      <c r="R229" s="34">
        <f t="shared" si="41"/>
        <v>0</v>
      </c>
      <c r="S229" s="34" t="str">
        <f>IF(AND(B229&lt;&gt;"",C229=CompteSel,N(B229)&lt;=DateArret,R229=0),MAX($S$3:S228)+1,"")</f>
        <v/>
      </c>
      <c r="T229" s="34">
        <f t="shared" si="42"/>
        <v>0</v>
      </c>
      <c r="U229" s="34">
        <f t="shared" si="43"/>
        <v>9</v>
      </c>
    </row>
    <row r="230" spans="1:21" x14ac:dyDescent="0.35">
      <c r="A230" s="1" t="str">
        <f t="shared" si="33"/>
        <v/>
      </c>
      <c r="B230" s="31"/>
      <c r="C230" s="8"/>
      <c r="D230" s="8"/>
      <c r="E230" s="8"/>
      <c r="F230" s="32"/>
      <c r="G230" s="32"/>
      <c r="H230" s="32"/>
      <c r="I230" s="1" t="str">
        <f t="shared" si="34"/>
        <v/>
      </c>
      <c r="J230" s="1" t="str">
        <f t="shared" si="35"/>
        <v/>
      </c>
      <c r="K230" s="1" t="str">
        <f t="shared" si="36"/>
        <v/>
      </c>
      <c r="L230" s="8"/>
      <c r="M230" s="1" t="str">
        <f t="shared" si="37"/>
        <v/>
      </c>
      <c r="N230" s="1" t="str">
        <f t="shared" si="38"/>
        <v/>
      </c>
      <c r="O230" s="33" t="str">
        <f t="shared" si="39"/>
        <v/>
      </c>
      <c r="P230" s="34" t="str">
        <f>IF(B230="","",C230&amp;"|"&amp;ROUND(O230,2)&amp;"|"&amp;COUNTIFS($C$4:C230,C230,$O$4:O230,O230))</f>
        <v/>
      </c>
      <c r="Q230" s="34">
        <f t="shared" si="40"/>
        <v>0</v>
      </c>
      <c r="R230" s="34">
        <f t="shared" si="41"/>
        <v>0</v>
      </c>
      <c r="S230" s="34" t="str">
        <f>IF(AND(B230&lt;&gt;"",C230=CompteSel,N(B230)&lt;=DateArret,R230=0),MAX($S$3:S229)+1,"")</f>
        <v/>
      </c>
      <c r="T230" s="34">
        <f t="shared" si="42"/>
        <v>0</v>
      </c>
      <c r="U230" s="34">
        <f t="shared" si="43"/>
        <v>9</v>
      </c>
    </row>
    <row r="231" spans="1:21" x14ac:dyDescent="0.35">
      <c r="A231" s="1" t="str">
        <f t="shared" si="33"/>
        <v/>
      </c>
      <c r="B231" s="31"/>
      <c r="C231" s="8"/>
      <c r="D231" s="8"/>
      <c r="E231" s="8"/>
      <c r="F231" s="32"/>
      <c r="G231" s="32"/>
      <c r="H231" s="32"/>
      <c r="I231" s="1" t="str">
        <f t="shared" si="34"/>
        <v/>
      </c>
      <c r="J231" s="1" t="str">
        <f t="shared" si="35"/>
        <v/>
      </c>
      <c r="K231" s="1" t="str">
        <f t="shared" si="36"/>
        <v/>
      </c>
      <c r="L231" s="8"/>
      <c r="M231" s="1" t="str">
        <f t="shared" si="37"/>
        <v/>
      </c>
      <c r="N231" s="1" t="str">
        <f t="shared" si="38"/>
        <v/>
      </c>
      <c r="O231" s="33" t="str">
        <f t="shared" si="39"/>
        <v/>
      </c>
      <c r="P231" s="34" t="str">
        <f>IF(B231="","",C231&amp;"|"&amp;ROUND(O231,2)&amp;"|"&amp;COUNTIFS($C$4:C231,C231,$O$4:O231,O231))</f>
        <v/>
      </c>
      <c r="Q231" s="34">
        <f t="shared" si="40"/>
        <v>0</v>
      </c>
      <c r="R231" s="34">
        <f t="shared" si="41"/>
        <v>0</v>
      </c>
      <c r="S231" s="34" t="str">
        <f>IF(AND(B231&lt;&gt;"",C231=CompteSel,N(B231)&lt;=DateArret,R231=0),MAX($S$3:S230)+1,"")</f>
        <v/>
      </c>
      <c r="T231" s="34">
        <f t="shared" si="42"/>
        <v>0</v>
      </c>
      <c r="U231" s="34">
        <f t="shared" si="43"/>
        <v>9</v>
      </c>
    </row>
    <row r="232" spans="1:21" x14ac:dyDescent="0.35">
      <c r="A232" s="1" t="str">
        <f t="shared" si="33"/>
        <v/>
      </c>
      <c r="B232" s="31"/>
      <c r="C232" s="8"/>
      <c r="D232" s="8"/>
      <c r="E232" s="8"/>
      <c r="F232" s="32"/>
      <c r="G232" s="32"/>
      <c r="H232" s="32"/>
      <c r="I232" s="1" t="str">
        <f t="shared" si="34"/>
        <v/>
      </c>
      <c r="J232" s="1" t="str">
        <f t="shared" si="35"/>
        <v/>
      </c>
      <c r="K232" s="1" t="str">
        <f t="shared" si="36"/>
        <v/>
      </c>
      <c r="L232" s="8"/>
      <c r="M232" s="1" t="str">
        <f t="shared" si="37"/>
        <v/>
      </c>
      <c r="N232" s="1" t="str">
        <f t="shared" si="38"/>
        <v/>
      </c>
      <c r="O232" s="33" t="str">
        <f t="shared" si="39"/>
        <v/>
      </c>
      <c r="P232" s="34" t="str">
        <f>IF(B232="","",C232&amp;"|"&amp;ROUND(O232,2)&amp;"|"&amp;COUNTIFS($C$4:C232,C232,$O$4:O232,O232))</f>
        <v/>
      </c>
      <c r="Q232" s="34">
        <f t="shared" si="40"/>
        <v>0</v>
      </c>
      <c r="R232" s="34">
        <f t="shared" si="41"/>
        <v>0</v>
      </c>
      <c r="S232" s="34" t="str">
        <f>IF(AND(B232&lt;&gt;"",C232=CompteSel,N(B232)&lt;=DateArret,R232=0),MAX($S$3:S231)+1,"")</f>
        <v/>
      </c>
      <c r="T232" s="34">
        <f t="shared" si="42"/>
        <v>0</v>
      </c>
      <c r="U232" s="34">
        <f t="shared" si="43"/>
        <v>9</v>
      </c>
    </row>
    <row r="233" spans="1:21" x14ac:dyDescent="0.35">
      <c r="A233" s="1" t="str">
        <f t="shared" si="33"/>
        <v/>
      </c>
      <c r="B233" s="31"/>
      <c r="C233" s="8"/>
      <c r="D233" s="8"/>
      <c r="E233" s="8"/>
      <c r="F233" s="32"/>
      <c r="G233" s="32"/>
      <c r="H233" s="32"/>
      <c r="I233" s="1" t="str">
        <f t="shared" si="34"/>
        <v/>
      </c>
      <c r="J233" s="1" t="str">
        <f t="shared" si="35"/>
        <v/>
      </c>
      <c r="K233" s="1" t="str">
        <f t="shared" si="36"/>
        <v/>
      </c>
      <c r="L233" s="8"/>
      <c r="M233" s="1" t="str">
        <f t="shared" si="37"/>
        <v/>
      </c>
      <c r="N233" s="1" t="str">
        <f t="shared" si="38"/>
        <v/>
      </c>
      <c r="O233" s="33" t="str">
        <f t="shared" si="39"/>
        <v/>
      </c>
      <c r="P233" s="34" t="str">
        <f>IF(B233="","",C233&amp;"|"&amp;ROUND(O233,2)&amp;"|"&amp;COUNTIFS($C$4:C233,C233,$O$4:O233,O233))</f>
        <v/>
      </c>
      <c r="Q233" s="34">
        <f t="shared" si="40"/>
        <v>0</v>
      </c>
      <c r="R233" s="34">
        <f t="shared" si="41"/>
        <v>0</v>
      </c>
      <c r="S233" s="34" t="str">
        <f>IF(AND(B233&lt;&gt;"",C233=CompteSel,N(B233)&lt;=DateArret,R233=0),MAX($S$3:S232)+1,"")</f>
        <v/>
      </c>
      <c r="T233" s="34">
        <f t="shared" si="42"/>
        <v>0</v>
      </c>
      <c r="U233" s="34">
        <f t="shared" si="43"/>
        <v>9</v>
      </c>
    </row>
    <row r="234" spans="1:21" x14ac:dyDescent="0.35">
      <c r="A234" s="1" t="str">
        <f t="shared" si="33"/>
        <v/>
      </c>
      <c r="B234" s="31"/>
      <c r="C234" s="8"/>
      <c r="D234" s="8"/>
      <c r="E234" s="8"/>
      <c r="F234" s="32"/>
      <c r="G234" s="32"/>
      <c r="H234" s="32"/>
      <c r="I234" s="1" t="str">
        <f t="shared" si="34"/>
        <v/>
      </c>
      <c r="J234" s="1" t="str">
        <f t="shared" si="35"/>
        <v/>
      </c>
      <c r="K234" s="1" t="str">
        <f t="shared" si="36"/>
        <v/>
      </c>
      <c r="L234" s="8"/>
      <c r="M234" s="1" t="str">
        <f t="shared" si="37"/>
        <v/>
      </c>
      <c r="N234" s="1" t="str">
        <f t="shared" si="38"/>
        <v/>
      </c>
      <c r="O234" s="33" t="str">
        <f t="shared" si="39"/>
        <v/>
      </c>
      <c r="P234" s="34" t="str">
        <f>IF(B234="","",C234&amp;"|"&amp;ROUND(O234,2)&amp;"|"&amp;COUNTIFS($C$4:C234,C234,$O$4:O234,O234))</f>
        <v/>
      </c>
      <c r="Q234" s="34">
        <f t="shared" si="40"/>
        <v>0</v>
      </c>
      <c r="R234" s="34">
        <f t="shared" si="41"/>
        <v>0</v>
      </c>
      <c r="S234" s="34" t="str">
        <f>IF(AND(B234&lt;&gt;"",C234=CompteSel,N(B234)&lt;=DateArret,R234=0),MAX($S$3:S233)+1,"")</f>
        <v/>
      </c>
      <c r="T234" s="34">
        <f t="shared" si="42"/>
        <v>0</v>
      </c>
      <c r="U234" s="34">
        <f t="shared" si="43"/>
        <v>9</v>
      </c>
    </row>
    <row r="235" spans="1:21" x14ac:dyDescent="0.35">
      <c r="A235" s="1" t="str">
        <f t="shared" si="33"/>
        <v/>
      </c>
      <c r="B235" s="31"/>
      <c r="C235" s="8"/>
      <c r="D235" s="8"/>
      <c r="E235" s="8"/>
      <c r="F235" s="32"/>
      <c r="G235" s="32"/>
      <c r="H235" s="32"/>
      <c r="I235" s="1" t="str">
        <f t="shared" si="34"/>
        <v/>
      </c>
      <c r="J235" s="1" t="str">
        <f t="shared" si="35"/>
        <v/>
      </c>
      <c r="K235" s="1" t="str">
        <f t="shared" si="36"/>
        <v/>
      </c>
      <c r="L235" s="8"/>
      <c r="M235" s="1" t="str">
        <f t="shared" si="37"/>
        <v/>
      </c>
      <c r="N235" s="1" t="str">
        <f t="shared" si="38"/>
        <v/>
      </c>
      <c r="O235" s="33" t="str">
        <f t="shared" si="39"/>
        <v/>
      </c>
      <c r="P235" s="34" t="str">
        <f>IF(B235="","",C235&amp;"|"&amp;ROUND(O235,2)&amp;"|"&amp;COUNTIFS($C$4:C235,C235,$O$4:O235,O235))</f>
        <v/>
      </c>
      <c r="Q235" s="34">
        <f t="shared" si="40"/>
        <v>0</v>
      </c>
      <c r="R235" s="34">
        <f t="shared" si="41"/>
        <v>0</v>
      </c>
      <c r="S235" s="34" t="str">
        <f>IF(AND(B235&lt;&gt;"",C235=CompteSel,N(B235)&lt;=DateArret,R235=0),MAX($S$3:S234)+1,"")</f>
        <v/>
      </c>
      <c r="T235" s="34">
        <f t="shared" si="42"/>
        <v>0</v>
      </c>
      <c r="U235" s="34">
        <f t="shared" si="43"/>
        <v>9</v>
      </c>
    </row>
    <row r="236" spans="1:21" x14ac:dyDescent="0.35">
      <c r="A236" s="1" t="str">
        <f t="shared" si="33"/>
        <v/>
      </c>
      <c r="B236" s="31"/>
      <c r="C236" s="8"/>
      <c r="D236" s="8"/>
      <c r="E236" s="8"/>
      <c r="F236" s="32"/>
      <c r="G236" s="32"/>
      <c r="H236" s="32"/>
      <c r="I236" s="1" t="str">
        <f t="shared" si="34"/>
        <v/>
      </c>
      <c r="J236" s="1" t="str">
        <f t="shared" si="35"/>
        <v/>
      </c>
      <c r="K236" s="1" t="str">
        <f t="shared" si="36"/>
        <v/>
      </c>
      <c r="L236" s="8"/>
      <c r="M236" s="1" t="str">
        <f t="shared" si="37"/>
        <v/>
      </c>
      <c r="N236" s="1" t="str">
        <f t="shared" si="38"/>
        <v/>
      </c>
      <c r="O236" s="33" t="str">
        <f t="shared" si="39"/>
        <v/>
      </c>
      <c r="P236" s="34" t="str">
        <f>IF(B236="","",C236&amp;"|"&amp;ROUND(O236,2)&amp;"|"&amp;COUNTIFS($C$4:C236,C236,$O$4:O236,O236))</f>
        <v/>
      </c>
      <c r="Q236" s="34">
        <f t="shared" si="40"/>
        <v>0</v>
      </c>
      <c r="R236" s="34">
        <f t="shared" si="41"/>
        <v>0</v>
      </c>
      <c r="S236" s="34" t="str">
        <f>IF(AND(B236&lt;&gt;"",C236=CompteSel,N(B236)&lt;=DateArret,R236=0),MAX($S$3:S235)+1,"")</f>
        <v/>
      </c>
      <c r="T236" s="34">
        <f t="shared" si="42"/>
        <v>0</v>
      </c>
      <c r="U236" s="34">
        <f t="shared" si="43"/>
        <v>9</v>
      </c>
    </row>
    <row r="237" spans="1:21" x14ac:dyDescent="0.35">
      <c r="A237" s="1" t="str">
        <f t="shared" si="33"/>
        <v/>
      </c>
      <c r="B237" s="31"/>
      <c r="C237" s="8"/>
      <c r="D237" s="8"/>
      <c r="E237" s="8"/>
      <c r="F237" s="32"/>
      <c r="G237" s="32"/>
      <c r="H237" s="32"/>
      <c r="I237" s="1" t="str">
        <f t="shared" si="34"/>
        <v/>
      </c>
      <c r="J237" s="1" t="str">
        <f t="shared" si="35"/>
        <v/>
      </c>
      <c r="K237" s="1" t="str">
        <f t="shared" si="36"/>
        <v/>
      </c>
      <c r="L237" s="8"/>
      <c r="M237" s="1" t="str">
        <f t="shared" si="37"/>
        <v/>
      </c>
      <c r="N237" s="1" t="str">
        <f t="shared" si="38"/>
        <v/>
      </c>
      <c r="O237" s="33" t="str">
        <f t="shared" si="39"/>
        <v/>
      </c>
      <c r="P237" s="34" t="str">
        <f>IF(B237="","",C237&amp;"|"&amp;ROUND(O237,2)&amp;"|"&amp;COUNTIFS($C$4:C237,C237,$O$4:O237,O237))</f>
        <v/>
      </c>
      <c r="Q237" s="34">
        <f t="shared" si="40"/>
        <v>0</v>
      </c>
      <c r="R237" s="34">
        <f t="shared" si="41"/>
        <v>0</v>
      </c>
      <c r="S237" s="34" t="str">
        <f>IF(AND(B237&lt;&gt;"",C237=CompteSel,N(B237)&lt;=DateArret,R237=0),MAX($S$3:S236)+1,"")</f>
        <v/>
      </c>
      <c r="T237" s="34">
        <f t="shared" si="42"/>
        <v>0</v>
      </c>
      <c r="U237" s="34">
        <f t="shared" si="43"/>
        <v>9</v>
      </c>
    </row>
    <row r="238" spans="1:21" x14ac:dyDescent="0.35">
      <c r="A238" s="1" t="str">
        <f t="shared" si="33"/>
        <v/>
      </c>
      <c r="B238" s="31"/>
      <c r="C238" s="8"/>
      <c r="D238" s="8"/>
      <c r="E238" s="8"/>
      <c r="F238" s="32"/>
      <c r="G238" s="32"/>
      <c r="H238" s="32"/>
      <c r="I238" s="1" t="str">
        <f t="shared" si="34"/>
        <v/>
      </c>
      <c r="J238" s="1" t="str">
        <f t="shared" si="35"/>
        <v/>
      </c>
      <c r="K238" s="1" t="str">
        <f t="shared" si="36"/>
        <v/>
      </c>
      <c r="L238" s="8"/>
      <c r="M238" s="1" t="str">
        <f t="shared" si="37"/>
        <v/>
      </c>
      <c r="N238" s="1" t="str">
        <f t="shared" si="38"/>
        <v/>
      </c>
      <c r="O238" s="33" t="str">
        <f t="shared" si="39"/>
        <v/>
      </c>
      <c r="P238" s="34" t="str">
        <f>IF(B238="","",C238&amp;"|"&amp;ROUND(O238,2)&amp;"|"&amp;COUNTIFS($C$4:C238,C238,$O$4:O238,O238))</f>
        <v/>
      </c>
      <c r="Q238" s="34">
        <f t="shared" si="40"/>
        <v>0</v>
      </c>
      <c r="R238" s="34">
        <f t="shared" si="41"/>
        <v>0</v>
      </c>
      <c r="S238" s="34" t="str">
        <f>IF(AND(B238&lt;&gt;"",C238=CompteSel,N(B238)&lt;=DateArret,R238=0),MAX($S$3:S237)+1,"")</f>
        <v/>
      </c>
      <c r="T238" s="34">
        <f t="shared" si="42"/>
        <v>0</v>
      </c>
      <c r="U238" s="34">
        <f t="shared" si="43"/>
        <v>9</v>
      </c>
    </row>
    <row r="239" spans="1:21" x14ac:dyDescent="0.35">
      <c r="A239" s="1" t="str">
        <f t="shared" si="33"/>
        <v/>
      </c>
      <c r="B239" s="31"/>
      <c r="C239" s="8"/>
      <c r="D239" s="8"/>
      <c r="E239" s="8"/>
      <c r="F239" s="32"/>
      <c r="G239" s="32"/>
      <c r="H239" s="32"/>
      <c r="I239" s="1" t="str">
        <f t="shared" si="34"/>
        <v/>
      </c>
      <c r="J239" s="1" t="str">
        <f t="shared" si="35"/>
        <v/>
      </c>
      <c r="K239" s="1" t="str">
        <f t="shared" si="36"/>
        <v/>
      </c>
      <c r="L239" s="8"/>
      <c r="M239" s="1" t="str">
        <f t="shared" si="37"/>
        <v/>
      </c>
      <c r="N239" s="1" t="str">
        <f t="shared" si="38"/>
        <v/>
      </c>
      <c r="O239" s="33" t="str">
        <f t="shared" si="39"/>
        <v/>
      </c>
      <c r="P239" s="34" t="str">
        <f>IF(B239="","",C239&amp;"|"&amp;ROUND(O239,2)&amp;"|"&amp;COUNTIFS($C$4:C239,C239,$O$4:O239,O239))</f>
        <v/>
      </c>
      <c r="Q239" s="34">
        <f t="shared" si="40"/>
        <v>0</v>
      </c>
      <c r="R239" s="34">
        <f t="shared" si="41"/>
        <v>0</v>
      </c>
      <c r="S239" s="34" t="str">
        <f>IF(AND(B239&lt;&gt;"",C239=CompteSel,N(B239)&lt;=DateArret,R239=0),MAX($S$3:S238)+1,"")</f>
        <v/>
      </c>
      <c r="T239" s="34">
        <f t="shared" si="42"/>
        <v>0</v>
      </c>
      <c r="U239" s="34">
        <f t="shared" si="43"/>
        <v>9</v>
      </c>
    </row>
    <row r="240" spans="1:21" x14ac:dyDescent="0.35">
      <c r="A240" s="1" t="str">
        <f t="shared" si="33"/>
        <v/>
      </c>
      <c r="B240" s="31"/>
      <c r="C240" s="8"/>
      <c r="D240" s="8"/>
      <c r="E240" s="8"/>
      <c r="F240" s="32"/>
      <c r="G240" s="32"/>
      <c r="H240" s="32"/>
      <c r="I240" s="1" t="str">
        <f t="shared" si="34"/>
        <v/>
      </c>
      <c r="J240" s="1" t="str">
        <f t="shared" si="35"/>
        <v/>
      </c>
      <c r="K240" s="1" t="str">
        <f t="shared" si="36"/>
        <v/>
      </c>
      <c r="L240" s="8"/>
      <c r="M240" s="1" t="str">
        <f t="shared" si="37"/>
        <v/>
      </c>
      <c r="N240" s="1" t="str">
        <f t="shared" si="38"/>
        <v/>
      </c>
      <c r="O240" s="33" t="str">
        <f t="shared" si="39"/>
        <v/>
      </c>
      <c r="P240" s="34" t="str">
        <f>IF(B240="","",C240&amp;"|"&amp;ROUND(O240,2)&amp;"|"&amp;COUNTIFS($C$4:C240,C240,$O$4:O240,O240))</f>
        <v/>
      </c>
      <c r="Q240" s="34">
        <f t="shared" si="40"/>
        <v>0</v>
      </c>
      <c r="R240" s="34">
        <f t="shared" si="41"/>
        <v>0</v>
      </c>
      <c r="S240" s="34" t="str">
        <f>IF(AND(B240&lt;&gt;"",C240=CompteSel,N(B240)&lt;=DateArret,R240=0),MAX($S$3:S239)+1,"")</f>
        <v/>
      </c>
      <c r="T240" s="34">
        <f t="shared" si="42"/>
        <v>0</v>
      </c>
      <c r="U240" s="34">
        <f t="shared" si="43"/>
        <v>9</v>
      </c>
    </row>
    <row r="241" spans="1:21" x14ac:dyDescent="0.35">
      <c r="A241" s="1" t="str">
        <f t="shared" si="33"/>
        <v/>
      </c>
      <c r="B241" s="31"/>
      <c r="C241" s="8"/>
      <c r="D241" s="8"/>
      <c r="E241" s="8"/>
      <c r="F241" s="32"/>
      <c r="G241" s="32"/>
      <c r="H241" s="32"/>
      <c r="I241" s="1" t="str">
        <f t="shared" si="34"/>
        <v/>
      </c>
      <c r="J241" s="1" t="str">
        <f t="shared" si="35"/>
        <v/>
      </c>
      <c r="K241" s="1" t="str">
        <f t="shared" si="36"/>
        <v/>
      </c>
      <c r="L241" s="8"/>
      <c r="M241" s="1" t="str">
        <f t="shared" si="37"/>
        <v/>
      </c>
      <c r="N241" s="1" t="str">
        <f t="shared" si="38"/>
        <v/>
      </c>
      <c r="O241" s="33" t="str">
        <f t="shared" si="39"/>
        <v/>
      </c>
      <c r="P241" s="34" t="str">
        <f>IF(B241="","",C241&amp;"|"&amp;ROUND(O241,2)&amp;"|"&amp;COUNTIFS($C$4:C241,C241,$O$4:O241,O241))</f>
        <v/>
      </c>
      <c r="Q241" s="34">
        <f t="shared" si="40"/>
        <v>0</v>
      </c>
      <c r="R241" s="34">
        <f t="shared" si="41"/>
        <v>0</v>
      </c>
      <c r="S241" s="34" t="str">
        <f>IF(AND(B241&lt;&gt;"",C241=CompteSel,N(B241)&lt;=DateArret,R241=0),MAX($S$3:S240)+1,"")</f>
        <v/>
      </c>
      <c r="T241" s="34">
        <f t="shared" si="42"/>
        <v>0</v>
      </c>
      <c r="U241" s="34">
        <f t="shared" si="43"/>
        <v>9</v>
      </c>
    </row>
    <row r="242" spans="1:21" x14ac:dyDescent="0.35">
      <c r="A242" s="1" t="str">
        <f t="shared" si="33"/>
        <v/>
      </c>
      <c r="B242" s="31"/>
      <c r="C242" s="8"/>
      <c r="D242" s="8"/>
      <c r="E242" s="8"/>
      <c r="F242" s="32"/>
      <c r="G242" s="32"/>
      <c r="H242" s="32"/>
      <c r="I242" s="1" t="str">
        <f t="shared" si="34"/>
        <v/>
      </c>
      <c r="J242" s="1" t="str">
        <f t="shared" si="35"/>
        <v/>
      </c>
      <c r="K242" s="1" t="str">
        <f t="shared" si="36"/>
        <v/>
      </c>
      <c r="L242" s="8"/>
      <c r="M242" s="1" t="str">
        <f t="shared" si="37"/>
        <v/>
      </c>
      <c r="N242" s="1" t="str">
        <f t="shared" si="38"/>
        <v/>
      </c>
      <c r="O242" s="33" t="str">
        <f t="shared" si="39"/>
        <v/>
      </c>
      <c r="P242" s="34" t="str">
        <f>IF(B242="","",C242&amp;"|"&amp;ROUND(O242,2)&amp;"|"&amp;COUNTIFS($C$4:C242,C242,$O$4:O242,O242))</f>
        <v/>
      </c>
      <c r="Q242" s="34">
        <f t="shared" si="40"/>
        <v>0</v>
      </c>
      <c r="R242" s="34">
        <f t="shared" si="41"/>
        <v>0</v>
      </c>
      <c r="S242" s="34" t="str">
        <f>IF(AND(B242&lt;&gt;"",C242=CompteSel,N(B242)&lt;=DateArret,R242=0),MAX($S$3:S241)+1,"")</f>
        <v/>
      </c>
      <c r="T242" s="34">
        <f t="shared" si="42"/>
        <v>0</v>
      </c>
      <c r="U242" s="34">
        <f t="shared" si="43"/>
        <v>9</v>
      </c>
    </row>
    <row r="243" spans="1:21" x14ac:dyDescent="0.35">
      <c r="A243" s="1" t="str">
        <f t="shared" si="33"/>
        <v/>
      </c>
      <c r="B243" s="31"/>
      <c r="C243" s="8"/>
      <c r="D243" s="8"/>
      <c r="E243" s="8"/>
      <c r="F243" s="32"/>
      <c r="G243" s="32"/>
      <c r="H243" s="32"/>
      <c r="I243" s="1" t="str">
        <f t="shared" si="34"/>
        <v/>
      </c>
      <c r="J243" s="1" t="str">
        <f t="shared" si="35"/>
        <v/>
      </c>
      <c r="K243" s="1" t="str">
        <f t="shared" si="36"/>
        <v/>
      </c>
      <c r="L243" s="8"/>
      <c r="M243" s="1" t="str">
        <f t="shared" si="37"/>
        <v/>
      </c>
      <c r="N243" s="1" t="str">
        <f t="shared" si="38"/>
        <v/>
      </c>
      <c r="O243" s="33" t="str">
        <f t="shared" si="39"/>
        <v/>
      </c>
      <c r="P243" s="34" t="str">
        <f>IF(B243="","",C243&amp;"|"&amp;ROUND(O243,2)&amp;"|"&amp;COUNTIFS($C$4:C243,C243,$O$4:O243,O243))</f>
        <v/>
      </c>
      <c r="Q243" s="34">
        <f t="shared" si="40"/>
        <v>0</v>
      </c>
      <c r="R243" s="34">
        <f t="shared" si="41"/>
        <v>0</v>
      </c>
      <c r="S243" s="34" t="str">
        <f>IF(AND(B243&lt;&gt;"",C243=CompteSel,N(B243)&lt;=DateArret,R243=0),MAX($S$3:S242)+1,"")</f>
        <v/>
      </c>
      <c r="T243" s="34">
        <f t="shared" si="42"/>
        <v>0</v>
      </c>
      <c r="U243" s="34">
        <f t="shared" si="43"/>
        <v>9</v>
      </c>
    </row>
    <row r="244" spans="1:21" x14ac:dyDescent="0.35">
      <c r="A244" s="1" t="str">
        <f t="shared" si="33"/>
        <v/>
      </c>
      <c r="B244" s="31"/>
      <c r="C244" s="8"/>
      <c r="D244" s="8"/>
      <c r="E244" s="8"/>
      <c r="F244" s="32"/>
      <c r="G244" s="32"/>
      <c r="H244" s="32"/>
      <c r="I244" s="1" t="str">
        <f t="shared" si="34"/>
        <v/>
      </c>
      <c r="J244" s="1" t="str">
        <f t="shared" si="35"/>
        <v/>
      </c>
      <c r="K244" s="1" t="str">
        <f t="shared" si="36"/>
        <v/>
      </c>
      <c r="L244" s="8"/>
      <c r="M244" s="1" t="str">
        <f t="shared" si="37"/>
        <v/>
      </c>
      <c r="N244" s="1" t="str">
        <f t="shared" si="38"/>
        <v/>
      </c>
      <c r="O244" s="33" t="str">
        <f t="shared" si="39"/>
        <v/>
      </c>
      <c r="P244" s="34" t="str">
        <f>IF(B244="","",C244&amp;"|"&amp;ROUND(O244,2)&amp;"|"&amp;COUNTIFS($C$4:C244,C244,$O$4:O244,O244))</f>
        <v/>
      </c>
      <c r="Q244" s="34">
        <f t="shared" si="40"/>
        <v>0</v>
      </c>
      <c r="R244" s="34">
        <f t="shared" si="41"/>
        <v>0</v>
      </c>
      <c r="S244" s="34" t="str">
        <f>IF(AND(B244&lt;&gt;"",C244=CompteSel,N(B244)&lt;=DateArret,R244=0),MAX($S$3:S243)+1,"")</f>
        <v/>
      </c>
      <c r="T244" s="34">
        <f t="shared" si="42"/>
        <v>0</v>
      </c>
      <c r="U244" s="34">
        <f t="shared" si="43"/>
        <v>9</v>
      </c>
    </row>
    <row r="245" spans="1:21" x14ac:dyDescent="0.35">
      <c r="A245" s="1" t="str">
        <f t="shared" si="33"/>
        <v/>
      </c>
      <c r="B245" s="31"/>
      <c r="C245" s="8"/>
      <c r="D245" s="8"/>
      <c r="E245" s="8"/>
      <c r="F245" s="32"/>
      <c r="G245" s="32"/>
      <c r="H245" s="32"/>
      <c r="I245" s="1" t="str">
        <f t="shared" si="34"/>
        <v/>
      </c>
      <c r="J245" s="1" t="str">
        <f t="shared" si="35"/>
        <v/>
      </c>
      <c r="K245" s="1" t="str">
        <f t="shared" si="36"/>
        <v/>
      </c>
      <c r="L245" s="8"/>
      <c r="M245" s="1" t="str">
        <f t="shared" si="37"/>
        <v/>
      </c>
      <c r="N245" s="1" t="str">
        <f t="shared" si="38"/>
        <v/>
      </c>
      <c r="O245" s="33" t="str">
        <f t="shared" si="39"/>
        <v/>
      </c>
      <c r="P245" s="34" t="str">
        <f>IF(B245="","",C245&amp;"|"&amp;ROUND(O245,2)&amp;"|"&amp;COUNTIFS($C$4:C245,C245,$O$4:O245,O245))</f>
        <v/>
      </c>
      <c r="Q245" s="34">
        <f t="shared" si="40"/>
        <v>0</v>
      </c>
      <c r="R245" s="34">
        <f t="shared" si="41"/>
        <v>0</v>
      </c>
      <c r="S245" s="34" t="str">
        <f>IF(AND(B245&lt;&gt;"",C245=CompteSel,N(B245)&lt;=DateArret,R245=0),MAX($S$3:S244)+1,"")</f>
        <v/>
      </c>
      <c r="T245" s="34">
        <f t="shared" si="42"/>
        <v>0</v>
      </c>
      <c r="U245" s="34">
        <f t="shared" si="43"/>
        <v>9</v>
      </c>
    </row>
    <row r="246" spans="1:21" x14ac:dyDescent="0.35">
      <c r="A246" s="1" t="str">
        <f t="shared" si="33"/>
        <v/>
      </c>
      <c r="B246" s="31"/>
      <c r="C246" s="8"/>
      <c r="D246" s="8"/>
      <c r="E246" s="8"/>
      <c r="F246" s="32"/>
      <c r="G246" s="32"/>
      <c r="H246" s="32"/>
      <c r="I246" s="1" t="str">
        <f t="shared" si="34"/>
        <v/>
      </c>
      <c r="J246" s="1" t="str">
        <f t="shared" si="35"/>
        <v/>
      </c>
      <c r="K246" s="1" t="str">
        <f t="shared" si="36"/>
        <v/>
      </c>
      <c r="L246" s="8"/>
      <c r="M246" s="1" t="str">
        <f t="shared" si="37"/>
        <v/>
      </c>
      <c r="N246" s="1" t="str">
        <f t="shared" si="38"/>
        <v/>
      </c>
      <c r="O246" s="33" t="str">
        <f t="shared" si="39"/>
        <v/>
      </c>
      <c r="P246" s="34" t="str">
        <f>IF(B246="","",C246&amp;"|"&amp;ROUND(O246,2)&amp;"|"&amp;COUNTIFS($C$4:C246,C246,$O$4:O246,O246))</f>
        <v/>
      </c>
      <c r="Q246" s="34">
        <f t="shared" si="40"/>
        <v>0</v>
      </c>
      <c r="R246" s="34">
        <f t="shared" si="41"/>
        <v>0</v>
      </c>
      <c r="S246" s="34" t="str">
        <f>IF(AND(B246&lt;&gt;"",C246=CompteSel,N(B246)&lt;=DateArret,R246=0),MAX($S$3:S245)+1,"")</f>
        <v/>
      </c>
      <c r="T246" s="34">
        <f t="shared" si="42"/>
        <v>0</v>
      </c>
      <c r="U246" s="34">
        <f t="shared" si="43"/>
        <v>9</v>
      </c>
    </row>
    <row r="247" spans="1:21" x14ac:dyDescent="0.35">
      <c r="A247" s="1" t="str">
        <f t="shared" si="33"/>
        <v/>
      </c>
      <c r="B247" s="31"/>
      <c r="C247" s="8"/>
      <c r="D247" s="8"/>
      <c r="E247" s="8"/>
      <c r="F247" s="32"/>
      <c r="G247" s="32"/>
      <c r="H247" s="32"/>
      <c r="I247" s="1" t="str">
        <f t="shared" si="34"/>
        <v/>
      </c>
      <c r="J247" s="1" t="str">
        <f t="shared" si="35"/>
        <v/>
      </c>
      <c r="K247" s="1" t="str">
        <f t="shared" si="36"/>
        <v/>
      </c>
      <c r="L247" s="8"/>
      <c r="M247" s="1" t="str">
        <f t="shared" si="37"/>
        <v/>
      </c>
      <c r="N247" s="1" t="str">
        <f t="shared" si="38"/>
        <v/>
      </c>
      <c r="O247" s="33" t="str">
        <f t="shared" si="39"/>
        <v/>
      </c>
      <c r="P247" s="34" t="str">
        <f>IF(B247="","",C247&amp;"|"&amp;ROUND(O247,2)&amp;"|"&amp;COUNTIFS($C$4:C247,C247,$O$4:O247,O247))</f>
        <v/>
      </c>
      <c r="Q247" s="34">
        <f t="shared" si="40"/>
        <v>0</v>
      </c>
      <c r="R247" s="34">
        <f t="shared" si="41"/>
        <v>0</v>
      </c>
      <c r="S247" s="34" t="str">
        <f>IF(AND(B247&lt;&gt;"",C247=CompteSel,N(B247)&lt;=DateArret,R247=0),MAX($S$3:S246)+1,"")</f>
        <v/>
      </c>
      <c r="T247" s="34">
        <f t="shared" si="42"/>
        <v>0</v>
      </c>
      <c r="U247" s="34">
        <f t="shared" si="43"/>
        <v>9</v>
      </c>
    </row>
    <row r="248" spans="1:21" x14ac:dyDescent="0.35">
      <c r="A248" s="1" t="str">
        <f t="shared" si="33"/>
        <v/>
      </c>
      <c r="B248" s="31"/>
      <c r="C248" s="8"/>
      <c r="D248" s="8"/>
      <c r="E248" s="8"/>
      <c r="F248" s="32"/>
      <c r="G248" s="32"/>
      <c r="H248" s="32"/>
      <c r="I248" s="1" t="str">
        <f t="shared" si="34"/>
        <v/>
      </c>
      <c r="J248" s="1" t="str">
        <f t="shared" si="35"/>
        <v/>
      </c>
      <c r="K248" s="1" t="str">
        <f t="shared" si="36"/>
        <v/>
      </c>
      <c r="L248" s="8"/>
      <c r="M248" s="1" t="str">
        <f t="shared" si="37"/>
        <v/>
      </c>
      <c r="N248" s="1" t="str">
        <f t="shared" si="38"/>
        <v/>
      </c>
      <c r="O248" s="33" t="str">
        <f t="shared" si="39"/>
        <v/>
      </c>
      <c r="P248" s="34" t="str">
        <f>IF(B248="","",C248&amp;"|"&amp;ROUND(O248,2)&amp;"|"&amp;COUNTIFS($C$4:C248,C248,$O$4:O248,O248))</f>
        <v/>
      </c>
      <c r="Q248" s="34">
        <f t="shared" si="40"/>
        <v>0</v>
      </c>
      <c r="R248" s="34">
        <f t="shared" si="41"/>
        <v>0</v>
      </c>
      <c r="S248" s="34" t="str">
        <f>IF(AND(B248&lt;&gt;"",C248=CompteSel,N(B248)&lt;=DateArret,R248=0),MAX($S$3:S247)+1,"")</f>
        <v/>
      </c>
      <c r="T248" s="34">
        <f t="shared" si="42"/>
        <v>0</v>
      </c>
      <c r="U248" s="34">
        <f t="shared" si="43"/>
        <v>9</v>
      </c>
    </row>
    <row r="249" spans="1:21" x14ac:dyDescent="0.35">
      <c r="A249" s="1" t="str">
        <f t="shared" si="33"/>
        <v/>
      </c>
      <c r="B249" s="31"/>
      <c r="C249" s="8"/>
      <c r="D249" s="8"/>
      <c r="E249" s="8"/>
      <c r="F249" s="32"/>
      <c r="G249" s="32"/>
      <c r="H249" s="32"/>
      <c r="I249" s="1" t="str">
        <f t="shared" si="34"/>
        <v/>
      </c>
      <c r="J249" s="1" t="str">
        <f t="shared" si="35"/>
        <v/>
      </c>
      <c r="K249" s="1" t="str">
        <f t="shared" si="36"/>
        <v/>
      </c>
      <c r="L249" s="8"/>
      <c r="M249" s="1" t="str">
        <f t="shared" si="37"/>
        <v/>
      </c>
      <c r="N249" s="1" t="str">
        <f t="shared" si="38"/>
        <v/>
      </c>
      <c r="O249" s="33" t="str">
        <f t="shared" si="39"/>
        <v/>
      </c>
      <c r="P249" s="34" t="str">
        <f>IF(B249="","",C249&amp;"|"&amp;ROUND(O249,2)&amp;"|"&amp;COUNTIFS($C$4:C249,C249,$O$4:O249,O249))</f>
        <v/>
      </c>
      <c r="Q249" s="34">
        <f t="shared" si="40"/>
        <v>0</v>
      </c>
      <c r="R249" s="34">
        <f t="shared" si="41"/>
        <v>0</v>
      </c>
      <c r="S249" s="34" t="str">
        <f>IF(AND(B249&lt;&gt;"",C249=CompteSel,N(B249)&lt;=DateArret,R249=0),MAX($S$3:S248)+1,"")</f>
        <v/>
      </c>
      <c r="T249" s="34">
        <f t="shared" si="42"/>
        <v>0</v>
      </c>
      <c r="U249" s="34">
        <f t="shared" si="43"/>
        <v>9</v>
      </c>
    </row>
    <row r="250" spans="1:21" x14ac:dyDescent="0.35">
      <c r="A250" s="1" t="str">
        <f t="shared" si="33"/>
        <v/>
      </c>
      <c r="B250" s="31"/>
      <c r="C250" s="8"/>
      <c r="D250" s="8"/>
      <c r="E250" s="8"/>
      <c r="F250" s="32"/>
      <c r="G250" s="32"/>
      <c r="H250" s="32"/>
      <c r="I250" s="1" t="str">
        <f t="shared" si="34"/>
        <v/>
      </c>
      <c r="J250" s="1" t="str">
        <f t="shared" si="35"/>
        <v/>
      </c>
      <c r="K250" s="1" t="str">
        <f t="shared" si="36"/>
        <v/>
      </c>
      <c r="L250" s="8"/>
      <c r="M250" s="1" t="str">
        <f t="shared" si="37"/>
        <v/>
      </c>
      <c r="N250" s="1" t="str">
        <f t="shared" si="38"/>
        <v/>
      </c>
      <c r="O250" s="33" t="str">
        <f t="shared" si="39"/>
        <v/>
      </c>
      <c r="P250" s="34" t="str">
        <f>IF(B250="","",C250&amp;"|"&amp;ROUND(O250,2)&amp;"|"&amp;COUNTIFS($C$4:C250,C250,$O$4:O250,O250))</f>
        <v/>
      </c>
      <c r="Q250" s="34">
        <f t="shared" si="40"/>
        <v>0</v>
      </c>
      <c r="R250" s="34">
        <f t="shared" si="41"/>
        <v>0</v>
      </c>
      <c r="S250" s="34" t="str">
        <f>IF(AND(B250&lt;&gt;"",C250=CompteSel,N(B250)&lt;=DateArret,R250=0),MAX($S$3:S249)+1,"")</f>
        <v/>
      </c>
      <c r="T250" s="34">
        <f t="shared" si="42"/>
        <v>0</v>
      </c>
      <c r="U250" s="34">
        <f t="shared" si="43"/>
        <v>9</v>
      </c>
    </row>
    <row r="251" spans="1:21" x14ac:dyDescent="0.35">
      <c r="A251" s="1" t="str">
        <f t="shared" si="33"/>
        <v/>
      </c>
      <c r="B251" s="31"/>
      <c r="C251" s="8"/>
      <c r="D251" s="8"/>
      <c r="E251" s="8"/>
      <c r="F251" s="32"/>
      <c r="G251" s="32"/>
      <c r="H251" s="32"/>
      <c r="I251" s="1" t="str">
        <f t="shared" si="34"/>
        <v/>
      </c>
      <c r="J251" s="1" t="str">
        <f t="shared" si="35"/>
        <v/>
      </c>
      <c r="K251" s="1" t="str">
        <f t="shared" si="36"/>
        <v/>
      </c>
      <c r="L251" s="8"/>
      <c r="M251" s="1" t="str">
        <f t="shared" si="37"/>
        <v/>
      </c>
      <c r="N251" s="1" t="str">
        <f t="shared" si="38"/>
        <v/>
      </c>
      <c r="O251" s="33" t="str">
        <f t="shared" si="39"/>
        <v/>
      </c>
      <c r="P251" s="34" t="str">
        <f>IF(B251="","",C251&amp;"|"&amp;ROUND(O251,2)&amp;"|"&amp;COUNTIFS($C$4:C251,C251,$O$4:O251,O251))</f>
        <v/>
      </c>
      <c r="Q251" s="34">
        <f t="shared" si="40"/>
        <v>0</v>
      </c>
      <c r="R251" s="34">
        <f t="shared" si="41"/>
        <v>0</v>
      </c>
      <c r="S251" s="34" t="str">
        <f>IF(AND(B251&lt;&gt;"",C251=CompteSel,N(B251)&lt;=DateArret,R251=0),MAX($S$3:S250)+1,"")</f>
        <v/>
      </c>
      <c r="T251" s="34">
        <f t="shared" si="42"/>
        <v>0</v>
      </c>
      <c r="U251" s="34">
        <f t="shared" si="43"/>
        <v>9</v>
      </c>
    </row>
    <row r="252" spans="1:21" x14ac:dyDescent="0.35">
      <c r="A252" s="1" t="str">
        <f t="shared" si="33"/>
        <v/>
      </c>
      <c r="B252" s="31"/>
      <c r="C252" s="8"/>
      <c r="D252" s="8"/>
      <c r="E252" s="8"/>
      <c r="F252" s="32"/>
      <c r="G252" s="32"/>
      <c r="H252" s="32"/>
      <c r="I252" s="1" t="str">
        <f t="shared" si="34"/>
        <v/>
      </c>
      <c r="J252" s="1" t="str">
        <f t="shared" si="35"/>
        <v/>
      </c>
      <c r="K252" s="1" t="str">
        <f t="shared" si="36"/>
        <v/>
      </c>
      <c r="L252" s="8"/>
      <c r="M252" s="1" t="str">
        <f t="shared" si="37"/>
        <v/>
      </c>
      <c r="N252" s="1" t="str">
        <f t="shared" si="38"/>
        <v/>
      </c>
      <c r="O252" s="33" t="str">
        <f t="shared" si="39"/>
        <v/>
      </c>
      <c r="P252" s="34" t="str">
        <f>IF(B252="","",C252&amp;"|"&amp;ROUND(O252,2)&amp;"|"&amp;COUNTIFS($C$4:C252,C252,$O$4:O252,O252))</f>
        <v/>
      </c>
      <c r="Q252" s="34">
        <f t="shared" si="40"/>
        <v>0</v>
      </c>
      <c r="R252" s="34">
        <f t="shared" si="41"/>
        <v>0</v>
      </c>
      <c r="S252" s="34" t="str">
        <f>IF(AND(B252&lt;&gt;"",C252=CompteSel,N(B252)&lt;=DateArret,R252=0),MAX($S$3:S251)+1,"")</f>
        <v/>
      </c>
      <c r="T252" s="34">
        <f t="shared" si="42"/>
        <v>0</v>
      </c>
      <c r="U252" s="34">
        <f t="shared" si="43"/>
        <v>9</v>
      </c>
    </row>
    <row r="253" spans="1:21" x14ac:dyDescent="0.35">
      <c r="A253" s="1" t="str">
        <f t="shared" si="33"/>
        <v/>
      </c>
      <c r="B253" s="31"/>
      <c r="C253" s="8"/>
      <c r="D253" s="8"/>
      <c r="E253" s="8"/>
      <c r="F253" s="32"/>
      <c r="G253" s="32"/>
      <c r="H253" s="32"/>
      <c r="I253" s="1" t="str">
        <f t="shared" si="34"/>
        <v/>
      </c>
      <c r="J253" s="1" t="str">
        <f t="shared" si="35"/>
        <v/>
      </c>
      <c r="K253" s="1" t="str">
        <f t="shared" si="36"/>
        <v/>
      </c>
      <c r="L253" s="8"/>
      <c r="M253" s="1" t="str">
        <f t="shared" si="37"/>
        <v/>
      </c>
      <c r="N253" s="1" t="str">
        <f t="shared" si="38"/>
        <v/>
      </c>
      <c r="O253" s="33" t="str">
        <f t="shared" si="39"/>
        <v/>
      </c>
      <c r="P253" s="34" t="str">
        <f>IF(B253="","",C253&amp;"|"&amp;ROUND(O253,2)&amp;"|"&amp;COUNTIFS($C$4:C253,C253,$O$4:O253,O253))</f>
        <v/>
      </c>
      <c r="Q253" s="34">
        <f t="shared" si="40"/>
        <v>0</v>
      </c>
      <c r="R253" s="34">
        <f t="shared" si="41"/>
        <v>0</v>
      </c>
      <c r="S253" s="34" t="str">
        <f>IF(AND(B253&lt;&gt;"",C253=CompteSel,N(B253)&lt;=DateArret,R253=0),MAX($S$3:S252)+1,"")</f>
        <v/>
      </c>
      <c r="T253" s="34">
        <f t="shared" si="42"/>
        <v>0</v>
      </c>
      <c r="U253" s="34">
        <f t="shared" si="43"/>
        <v>9</v>
      </c>
    </row>
    <row r="254" spans="1:21" x14ac:dyDescent="0.35">
      <c r="A254" s="1" t="str">
        <f t="shared" si="33"/>
        <v/>
      </c>
      <c r="B254" s="31"/>
      <c r="C254" s="8"/>
      <c r="D254" s="8"/>
      <c r="E254" s="8"/>
      <c r="F254" s="32"/>
      <c r="G254" s="32"/>
      <c r="H254" s="32"/>
      <c r="I254" s="1" t="str">
        <f t="shared" si="34"/>
        <v/>
      </c>
      <c r="J254" s="1" t="str">
        <f t="shared" si="35"/>
        <v/>
      </c>
      <c r="K254" s="1" t="str">
        <f t="shared" si="36"/>
        <v/>
      </c>
      <c r="L254" s="8"/>
      <c r="M254" s="1" t="str">
        <f t="shared" si="37"/>
        <v/>
      </c>
      <c r="N254" s="1" t="str">
        <f t="shared" si="38"/>
        <v/>
      </c>
      <c r="O254" s="33" t="str">
        <f t="shared" si="39"/>
        <v/>
      </c>
      <c r="P254" s="34" t="str">
        <f>IF(B254="","",C254&amp;"|"&amp;ROUND(O254,2)&amp;"|"&amp;COUNTIFS($C$4:C254,C254,$O$4:O254,O254))</f>
        <v/>
      </c>
      <c r="Q254" s="34">
        <f t="shared" si="40"/>
        <v>0</v>
      </c>
      <c r="R254" s="34">
        <f t="shared" si="41"/>
        <v>0</v>
      </c>
      <c r="S254" s="34" t="str">
        <f>IF(AND(B254&lt;&gt;"",C254=CompteSel,N(B254)&lt;=DateArret,R254=0),MAX($S$3:S253)+1,"")</f>
        <v/>
      </c>
      <c r="T254" s="34">
        <f t="shared" si="42"/>
        <v>0</v>
      </c>
      <c r="U254" s="34">
        <f t="shared" si="43"/>
        <v>9</v>
      </c>
    </row>
    <row r="255" spans="1:21" x14ac:dyDescent="0.35">
      <c r="A255" s="1" t="str">
        <f t="shared" si="33"/>
        <v/>
      </c>
      <c r="B255" s="31"/>
      <c r="C255" s="8"/>
      <c r="D255" s="8"/>
      <c r="E255" s="8"/>
      <c r="F255" s="32"/>
      <c r="G255" s="32"/>
      <c r="H255" s="32"/>
      <c r="I255" s="1" t="str">
        <f t="shared" si="34"/>
        <v/>
      </c>
      <c r="J255" s="1" t="str">
        <f t="shared" si="35"/>
        <v/>
      </c>
      <c r="K255" s="1" t="str">
        <f t="shared" si="36"/>
        <v/>
      </c>
      <c r="L255" s="8"/>
      <c r="M255" s="1" t="str">
        <f t="shared" si="37"/>
        <v/>
      </c>
      <c r="N255" s="1" t="str">
        <f t="shared" si="38"/>
        <v/>
      </c>
      <c r="O255" s="33" t="str">
        <f t="shared" si="39"/>
        <v/>
      </c>
      <c r="P255" s="34" t="str">
        <f>IF(B255="","",C255&amp;"|"&amp;ROUND(O255,2)&amp;"|"&amp;COUNTIFS($C$4:C255,C255,$O$4:O255,O255))</f>
        <v/>
      </c>
      <c r="Q255" s="34">
        <f t="shared" si="40"/>
        <v>0</v>
      </c>
      <c r="R255" s="34">
        <f t="shared" si="41"/>
        <v>0</v>
      </c>
      <c r="S255" s="34" t="str">
        <f>IF(AND(B255&lt;&gt;"",C255=CompteSel,N(B255)&lt;=DateArret,R255=0),MAX($S$3:S254)+1,"")</f>
        <v/>
      </c>
      <c r="T255" s="34">
        <f t="shared" si="42"/>
        <v>0</v>
      </c>
      <c r="U255" s="34">
        <f t="shared" si="43"/>
        <v>9</v>
      </c>
    </row>
    <row r="256" spans="1:21" x14ac:dyDescent="0.35">
      <c r="A256" s="1" t="str">
        <f t="shared" si="33"/>
        <v/>
      </c>
      <c r="B256" s="31"/>
      <c r="C256" s="8"/>
      <c r="D256" s="8"/>
      <c r="E256" s="8"/>
      <c r="F256" s="32"/>
      <c r="G256" s="32"/>
      <c r="H256" s="32"/>
      <c r="I256" s="1" t="str">
        <f t="shared" si="34"/>
        <v/>
      </c>
      <c r="J256" s="1" t="str">
        <f t="shared" si="35"/>
        <v/>
      </c>
      <c r="K256" s="1" t="str">
        <f t="shared" si="36"/>
        <v/>
      </c>
      <c r="L256" s="8"/>
      <c r="M256" s="1" t="str">
        <f t="shared" si="37"/>
        <v/>
      </c>
      <c r="N256" s="1" t="str">
        <f t="shared" si="38"/>
        <v/>
      </c>
      <c r="O256" s="33" t="str">
        <f t="shared" si="39"/>
        <v/>
      </c>
      <c r="P256" s="34" t="str">
        <f>IF(B256="","",C256&amp;"|"&amp;ROUND(O256,2)&amp;"|"&amp;COUNTIFS($C$4:C256,C256,$O$4:O256,O256))</f>
        <v/>
      </c>
      <c r="Q256" s="34">
        <f t="shared" si="40"/>
        <v>0</v>
      </c>
      <c r="R256" s="34">
        <f t="shared" si="41"/>
        <v>0</v>
      </c>
      <c r="S256" s="34" t="str">
        <f>IF(AND(B256&lt;&gt;"",C256=CompteSel,N(B256)&lt;=DateArret,R256=0),MAX($S$3:S255)+1,"")</f>
        <v/>
      </c>
      <c r="T256" s="34">
        <f t="shared" si="42"/>
        <v>0</v>
      </c>
      <c r="U256" s="34">
        <f t="shared" si="43"/>
        <v>9</v>
      </c>
    </row>
    <row r="257" spans="1:21" x14ac:dyDescent="0.35">
      <c r="A257" s="1" t="str">
        <f t="shared" si="33"/>
        <v/>
      </c>
      <c r="B257" s="31"/>
      <c r="C257" s="8"/>
      <c r="D257" s="8"/>
      <c r="E257" s="8"/>
      <c r="F257" s="32"/>
      <c r="G257" s="32"/>
      <c r="H257" s="32"/>
      <c r="I257" s="1" t="str">
        <f t="shared" si="34"/>
        <v/>
      </c>
      <c r="J257" s="1" t="str">
        <f t="shared" si="35"/>
        <v/>
      </c>
      <c r="K257" s="1" t="str">
        <f t="shared" si="36"/>
        <v/>
      </c>
      <c r="L257" s="8"/>
      <c r="M257" s="1" t="str">
        <f t="shared" si="37"/>
        <v/>
      </c>
      <c r="N257" s="1" t="str">
        <f t="shared" si="38"/>
        <v/>
      </c>
      <c r="O257" s="33" t="str">
        <f t="shared" si="39"/>
        <v/>
      </c>
      <c r="P257" s="34" t="str">
        <f>IF(B257="","",C257&amp;"|"&amp;ROUND(O257,2)&amp;"|"&amp;COUNTIFS($C$4:C257,C257,$O$4:O257,O257))</f>
        <v/>
      </c>
      <c r="Q257" s="34">
        <f t="shared" si="40"/>
        <v>0</v>
      </c>
      <c r="R257" s="34">
        <f t="shared" si="41"/>
        <v>0</v>
      </c>
      <c r="S257" s="34" t="str">
        <f>IF(AND(B257&lt;&gt;"",C257=CompteSel,N(B257)&lt;=DateArret,R257=0),MAX($S$3:S256)+1,"")</f>
        <v/>
      </c>
      <c r="T257" s="34">
        <f t="shared" si="42"/>
        <v>0</v>
      </c>
      <c r="U257" s="34">
        <f t="shared" si="43"/>
        <v>9</v>
      </c>
    </row>
    <row r="258" spans="1:21" x14ac:dyDescent="0.35">
      <c r="A258" s="1" t="str">
        <f t="shared" si="33"/>
        <v/>
      </c>
      <c r="B258" s="31"/>
      <c r="C258" s="8"/>
      <c r="D258" s="8"/>
      <c r="E258" s="8"/>
      <c r="F258" s="32"/>
      <c r="G258" s="32"/>
      <c r="H258" s="32"/>
      <c r="I258" s="1" t="str">
        <f t="shared" si="34"/>
        <v/>
      </c>
      <c r="J258" s="1" t="str">
        <f t="shared" si="35"/>
        <v/>
      </c>
      <c r="K258" s="1" t="str">
        <f t="shared" si="36"/>
        <v/>
      </c>
      <c r="L258" s="8"/>
      <c r="M258" s="1" t="str">
        <f t="shared" si="37"/>
        <v/>
      </c>
      <c r="N258" s="1" t="str">
        <f t="shared" si="38"/>
        <v/>
      </c>
      <c r="O258" s="33" t="str">
        <f t="shared" si="39"/>
        <v/>
      </c>
      <c r="P258" s="34" t="str">
        <f>IF(B258="","",C258&amp;"|"&amp;ROUND(O258,2)&amp;"|"&amp;COUNTIFS($C$4:C258,C258,$O$4:O258,O258))</f>
        <v/>
      </c>
      <c r="Q258" s="34">
        <f t="shared" si="40"/>
        <v>0</v>
      </c>
      <c r="R258" s="34">
        <f t="shared" si="41"/>
        <v>0</v>
      </c>
      <c r="S258" s="34" t="str">
        <f>IF(AND(B258&lt;&gt;"",C258=CompteSel,N(B258)&lt;=DateArret,R258=0),MAX($S$3:S257)+1,"")</f>
        <v/>
      </c>
      <c r="T258" s="34">
        <f t="shared" si="42"/>
        <v>0</v>
      </c>
      <c r="U258" s="34">
        <f t="shared" si="43"/>
        <v>9</v>
      </c>
    </row>
    <row r="259" spans="1:21" x14ac:dyDescent="0.35">
      <c r="A259" s="1" t="str">
        <f t="shared" si="33"/>
        <v/>
      </c>
      <c r="B259" s="31"/>
      <c r="C259" s="8"/>
      <c r="D259" s="8"/>
      <c r="E259" s="8"/>
      <c r="F259" s="32"/>
      <c r="G259" s="32"/>
      <c r="H259" s="32"/>
      <c r="I259" s="1" t="str">
        <f t="shared" si="34"/>
        <v/>
      </c>
      <c r="J259" s="1" t="str">
        <f t="shared" si="35"/>
        <v/>
      </c>
      <c r="K259" s="1" t="str">
        <f t="shared" si="36"/>
        <v/>
      </c>
      <c r="L259" s="8"/>
      <c r="M259" s="1" t="str">
        <f t="shared" si="37"/>
        <v/>
      </c>
      <c r="N259" s="1" t="str">
        <f t="shared" si="38"/>
        <v/>
      </c>
      <c r="O259" s="33" t="str">
        <f t="shared" si="39"/>
        <v/>
      </c>
      <c r="P259" s="34" t="str">
        <f>IF(B259="","",C259&amp;"|"&amp;ROUND(O259,2)&amp;"|"&amp;COUNTIFS($C$4:C259,C259,$O$4:O259,O259))</f>
        <v/>
      </c>
      <c r="Q259" s="34">
        <f t="shared" si="40"/>
        <v>0</v>
      </c>
      <c r="R259" s="34">
        <f t="shared" si="41"/>
        <v>0</v>
      </c>
      <c r="S259" s="34" t="str">
        <f>IF(AND(B259&lt;&gt;"",C259=CompteSel,N(B259)&lt;=DateArret,R259=0),MAX($S$3:S258)+1,"")</f>
        <v/>
      </c>
      <c r="T259" s="34">
        <f t="shared" si="42"/>
        <v>0</v>
      </c>
      <c r="U259" s="34">
        <f t="shared" si="43"/>
        <v>9</v>
      </c>
    </row>
    <row r="260" spans="1:21" x14ac:dyDescent="0.35">
      <c r="A260" s="1" t="str">
        <f t="shared" ref="A260:A323" si="44">IF(B260="","",ROW()-3)</f>
        <v/>
      </c>
      <c r="B260" s="31"/>
      <c r="C260" s="8"/>
      <c r="D260" s="8"/>
      <c r="E260" s="8"/>
      <c r="F260" s="32"/>
      <c r="G260" s="32"/>
      <c r="H260" s="32"/>
      <c r="I260" s="1" t="str">
        <f t="shared" ref="I260:I323" si="45">IF(B260="","",IF(L260="Écart","Écart",IF(K260="","Non rapproché",INDEX(L_Statut,K260))))</f>
        <v/>
      </c>
      <c r="J260" s="1" t="str">
        <f t="shared" ref="J260:J323" si="46">IF(K260="","",INDEX(L_Score,K260))</f>
        <v/>
      </c>
      <c r="K260" s="1" t="str">
        <f t="shared" ref="K260:K323" si="47">IF(B260="","",IFERROR(MATCH(A260,L_Banque,0),""))</f>
        <v/>
      </c>
      <c r="L260" s="8"/>
      <c r="M260" s="1" t="str">
        <f t="shared" ref="M260:M323" si="48">IF(K260="","",INDEX(L_DJ,K260))</f>
        <v/>
      </c>
      <c r="N260" s="1" t="str">
        <f t="shared" ref="N260:N323" si="49">IF(B260="","",IF(COUNTIFS($C$4:$C$503,C260,$B$4:$B$503,B260,$O$4:$O$503,O260)&gt;1,"Doublon ?",""))</f>
        <v/>
      </c>
      <c r="O260" s="33" t="str">
        <f t="shared" ref="O260:O323" si="50">IF(B260="","",N(G260)-N(F260))</f>
        <v/>
      </c>
      <c r="P260" s="34" t="str">
        <f>IF(B260="","",C260&amp;"|"&amp;ROUND(O260,2)&amp;"|"&amp;COUNTIFS($C$4:C260,C260,$O$4:O260,O260))</f>
        <v/>
      </c>
      <c r="Q260" s="34">
        <f t="shared" ref="Q260:Q323" si="51">IF(B260="",0,IF(COUNTIFS(L_CandExact,A260,L_ExactOK,1)&gt;0,1,0))</f>
        <v>0</v>
      </c>
      <c r="R260" s="34">
        <f t="shared" ref="R260:R323" si="52">IF(OR(I260="Rapproché",I260="Manuel"),1,0)</f>
        <v>0</v>
      </c>
      <c r="S260" s="34" t="str">
        <f>IF(AND(B260&lt;&gt;"",C260=CompteSel,N(B260)&lt;=DateArret,R260=0),MAX($S$3:S259)+1,"")</f>
        <v/>
      </c>
      <c r="T260" s="34">
        <f t="shared" ref="T260:T323" si="53">IF(AND(B260&lt;&gt;"",C260=CompteSel,N(B260)&lt;=DateArret,H260&lt;&gt;""),A260,0)</f>
        <v>0</v>
      </c>
      <c r="U260" s="34">
        <f t="shared" ref="U260:U323" si="54">IF(B260="",9,SIGN(O260))</f>
        <v>9</v>
      </c>
    </row>
    <row r="261" spans="1:21" x14ac:dyDescent="0.35">
      <c r="A261" s="1" t="str">
        <f t="shared" si="44"/>
        <v/>
      </c>
      <c r="B261" s="31"/>
      <c r="C261" s="8"/>
      <c r="D261" s="8"/>
      <c r="E261" s="8"/>
      <c r="F261" s="32"/>
      <c r="G261" s="32"/>
      <c r="H261" s="32"/>
      <c r="I261" s="1" t="str">
        <f t="shared" si="45"/>
        <v/>
      </c>
      <c r="J261" s="1" t="str">
        <f t="shared" si="46"/>
        <v/>
      </c>
      <c r="K261" s="1" t="str">
        <f t="shared" si="47"/>
        <v/>
      </c>
      <c r="L261" s="8"/>
      <c r="M261" s="1" t="str">
        <f t="shared" si="48"/>
        <v/>
      </c>
      <c r="N261" s="1" t="str">
        <f t="shared" si="49"/>
        <v/>
      </c>
      <c r="O261" s="33" t="str">
        <f t="shared" si="50"/>
        <v/>
      </c>
      <c r="P261" s="34" t="str">
        <f>IF(B261="","",C261&amp;"|"&amp;ROUND(O261,2)&amp;"|"&amp;COUNTIFS($C$4:C261,C261,$O$4:O261,O261))</f>
        <v/>
      </c>
      <c r="Q261" s="34">
        <f t="shared" si="51"/>
        <v>0</v>
      </c>
      <c r="R261" s="34">
        <f t="shared" si="52"/>
        <v>0</v>
      </c>
      <c r="S261" s="34" t="str">
        <f>IF(AND(B261&lt;&gt;"",C261=CompteSel,N(B261)&lt;=DateArret,R261=0),MAX($S$3:S260)+1,"")</f>
        <v/>
      </c>
      <c r="T261" s="34">
        <f t="shared" si="53"/>
        <v>0</v>
      </c>
      <c r="U261" s="34">
        <f t="shared" si="54"/>
        <v>9</v>
      </c>
    </row>
    <row r="262" spans="1:21" x14ac:dyDescent="0.35">
      <c r="A262" s="1" t="str">
        <f t="shared" si="44"/>
        <v/>
      </c>
      <c r="B262" s="31"/>
      <c r="C262" s="8"/>
      <c r="D262" s="8"/>
      <c r="E262" s="8"/>
      <c r="F262" s="32"/>
      <c r="G262" s="32"/>
      <c r="H262" s="32"/>
      <c r="I262" s="1" t="str">
        <f t="shared" si="45"/>
        <v/>
      </c>
      <c r="J262" s="1" t="str">
        <f t="shared" si="46"/>
        <v/>
      </c>
      <c r="K262" s="1" t="str">
        <f t="shared" si="47"/>
        <v/>
      </c>
      <c r="L262" s="8"/>
      <c r="M262" s="1" t="str">
        <f t="shared" si="48"/>
        <v/>
      </c>
      <c r="N262" s="1" t="str">
        <f t="shared" si="49"/>
        <v/>
      </c>
      <c r="O262" s="33" t="str">
        <f t="shared" si="50"/>
        <v/>
      </c>
      <c r="P262" s="34" t="str">
        <f>IF(B262="","",C262&amp;"|"&amp;ROUND(O262,2)&amp;"|"&amp;COUNTIFS($C$4:C262,C262,$O$4:O262,O262))</f>
        <v/>
      </c>
      <c r="Q262" s="34">
        <f t="shared" si="51"/>
        <v>0</v>
      </c>
      <c r="R262" s="34">
        <f t="shared" si="52"/>
        <v>0</v>
      </c>
      <c r="S262" s="34" t="str">
        <f>IF(AND(B262&lt;&gt;"",C262=CompteSel,N(B262)&lt;=DateArret,R262=0),MAX($S$3:S261)+1,"")</f>
        <v/>
      </c>
      <c r="T262" s="34">
        <f t="shared" si="53"/>
        <v>0</v>
      </c>
      <c r="U262" s="34">
        <f t="shared" si="54"/>
        <v>9</v>
      </c>
    </row>
    <row r="263" spans="1:21" x14ac:dyDescent="0.35">
      <c r="A263" s="1" t="str">
        <f t="shared" si="44"/>
        <v/>
      </c>
      <c r="B263" s="31"/>
      <c r="C263" s="8"/>
      <c r="D263" s="8"/>
      <c r="E263" s="8"/>
      <c r="F263" s="32"/>
      <c r="G263" s="32"/>
      <c r="H263" s="32"/>
      <c r="I263" s="1" t="str">
        <f t="shared" si="45"/>
        <v/>
      </c>
      <c r="J263" s="1" t="str">
        <f t="shared" si="46"/>
        <v/>
      </c>
      <c r="K263" s="1" t="str">
        <f t="shared" si="47"/>
        <v/>
      </c>
      <c r="L263" s="8"/>
      <c r="M263" s="1" t="str">
        <f t="shared" si="48"/>
        <v/>
      </c>
      <c r="N263" s="1" t="str">
        <f t="shared" si="49"/>
        <v/>
      </c>
      <c r="O263" s="33" t="str">
        <f t="shared" si="50"/>
        <v/>
      </c>
      <c r="P263" s="34" t="str">
        <f>IF(B263="","",C263&amp;"|"&amp;ROUND(O263,2)&amp;"|"&amp;COUNTIFS($C$4:C263,C263,$O$4:O263,O263))</f>
        <v/>
      </c>
      <c r="Q263" s="34">
        <f t="shared" si="51"/>
        <v>0</v>
      </c>
      <c r="R263" s="34">
        <f t="shared" si="52"/>
        <v>0</v>
      </c>
      <c r="S263" s="34" t="str">
        <f>IF(AND(B263&lt;&gt;"",C263=CompteSel,N(B263)&lt;=DateArret,R263=0),MAX($S$3:S262)+1,"")</f>
        <v/>
      </c>
      <c r="T263" s="34">
        <f t="shared" si="53"/>
        <v>0</v>
      </c>
      <c r="U263" s="34">
        <f t="shared" si="54"/>
        <v>9</v>
      </c>
    </row>
    <row r="264" spans="1:21" x14ac:dyDescent="0.35">
      <c r="A264" s="1" t="str">
        <f t="shared" si="44"/>
        <v/>
      </c>
      <c r="B264" s="31"/>
      <c r="C264" s="8"/>
      <c r="D264" s="8"/>
      <c r="E264" s="8"/>
      <c r="F264" s="32"/>
      <c r="G264" s="32"/>
      <c r="H264" s="32"/>
      <c r="I264" s="1" t="str">
        <f t="shared" si="45"/>
        <v/>
      </c>
      <c r="J264" s="1" t="str">
        <f t="shared" si="46"/>
        <v/>
      </c>
      <c r="K264" s="1" t="str">
        <f t="shared" si="47"/>
        <v/>
      </c>
      <c r="L264" s="8"/>
      <c r="M264" s="1" t="str">
        <f t="shared" si="48"/>
        <v/>
      </c>
      <c r="N264" s="1" t="str">
        <f t="shared" si="49"/>
        <v/>
      </c>
      <c r="O264" s="33" t="str">
        <f t="shared" si="50"/>
        <v/>
      </c>
      <c r="P264" s="34" t="str">
        <f>IF(B264="","",C264&amp;"|"&amp;ROUND(O264,2)&amp;"|"&amp;COUNTIFS($C$4:C264,C264,$O$4:O264,O264))</f>
        <v/>
      </c>
      <c r="Q264" s="34">
        <f t="shared" si="51"/>
        <v>0</v>
      </c>
      <c r="R264" s="34">
        <f t="shared" si="52"/>
        <v>0</v>
      </c>
      <c r="S264" s="34" t="str">
        <f>IF(AND(B264&lt;&gt;"",C264=CompteSel,N(B264)&lt;=DateArret,R264=0),MAX($S$3:S263)+1,"")</f>
        <v/>
      </c>
      <c r="T264" s="34">
        <f t="shared" si="53"/>
        <v>0</v>
      </c>
      <c r="U264" s="34">
        <f t="shared" si="54"/>
        <v>9</v>
      </c>
    </row>
    <row r="265" spans="1:21" x14ac:dyDescent="0.35">
      <c r="A265" s="1" t="str">
        <f t="shared" si="44"/>
        <v/>
      </c>
      <c r="B265" s="31"/>
      <c r="C265" s="8"/>
      <c r="D265" s="8"/>
      <c r="E265" s="8"/>
      <c r="F265" s="32"/>
      <c r="G265" s="32"/>
      <c r="H265" s="32"/>
      <c r="I265" s="1" t="str">
        <f t="shared" si="45"/>
        <v/>
      </c>
      <c r="J265" s="1" t="str">
        <f t="shared" si="46"/>
        <v/>
      </c>
      <c r="K265" s="1" t="str">
        <f t="shared" si="47"/>
        <v/>
      </c>
      <c r="L265" s="8"/>
      <c r="M265" s="1" t="str">
        <f t="shared" si="48"/>
        <v/>
      </c>
      <c r="N265" s="1" t="str">
        <f t="shared" si="49"/>
        <v/>
      </c>
      <c r="O265" s="33" t="str">
        <f t="shared" si="50"/>
        <v/>
      </c>
      <c r="P265" s="34" t="str">
        <f>IF(B265="","",C265&amp;"|"&amp;ROUND(O265,2)&amp;"|"&amp;COUNTIFS($C$4:C265,C265,$O$4:O265,O265))</f>
        <v/>
      </c>
      <c r="Q265" s="34">
        <f t="shared" si="51"/>
        <v>0</v>
      </c>
      <c r="R265" s="34">
        <f t="shared" si="52"/>
        <v>0</v>
      </c>
      <c r="S265" s="34" t="str">
        <f>IF(AND(B265&lt;&gt;"",C265=CompteSel,N(B265)&lt;=DateArret,R265=0),MAX($S$3:S264)+1,"")</f>
        <v/>
      </c>
      <c r="T265" s="34">
        <f t="shared" si="53"/>
        <v>0</v>
      </c>
      <c r="U265" s="34">
        <f t="shared" si="54"/>
        <v>9</v>
      </c>
    </row>
    <row r="266" spans="1:21" x14ac:dyDescent="0.35">
      <c r="A266" s="1" t="str">
        <f t="shared" si="44"/>
        <v/>
      </c>
      <c r="B266" s="31"/>
      <c r="C266" s="8"/>
      <c r="D266" s="8"/>
      <c r="E266" s="8"/>
      <c r="F266" s="32"/>
      <c r="G266" s="32"/>
      <c r="H266" s="32"/>
      <c r="I266" s="1" t="str">
        <f t="shared" si="45"/>
        <v/>
      </c>
      <c r="J266" s="1" t="str">
        <f t="shared" si="46"/>
        <v/>
      </c>
      <c r="K266" s="1" t="str">
        <f t="shared" si="47"/>
        <v/>
      </c>
      <c r="L266" s="8"/>
      <c r="M266" s="1" t="str">
        <f t="shared" si="48"/>
        <v/>
      </c>
      <c r="N266" s="1" t="str">
        <f t="shared" si="49"/>
        <v/>
      </c>
      <c r="O266" s="33" t="str">
        <f t="shared" si="50"/>
        <v/>
      </c>
      <c r="P266" s="34" t="str">
        <f>IF(B266="","",C266&amp;"|"&amp;ROUND(O266,2)&amp;"|"&amp;COUNTIFS($C$4:C266,C266,$O$4:O266,O266))</f>
        <v/>
      </c>
      <c r="Q266" s="34">
        <f t="shared" si="51"/>
        <v>0</v>
      </c>
      <c r="R266" s="34">
        <f t="shared" si="52"/>
        <v>0</v>
      </c>
      <c r="S266" s="34" t="str">
        <f>IF(AND(B266&lt;&gt;"",C266=CompteSel,N(B266)&lt;=DateArret,R266=0),MAX($S$3:S265)+1,"")</f>
        <v/>
      </c>
      <c r="T266" s="34">
        <f t="shared" si="53"/>
        <v>0</v>
      </c>
      <c r="U266" s="34">
        <f t="shared" si="54"/>
        <v>9</v>
      </c>
    </row>
    <row r="267" spans="1:21" x14ac:dyDescent="0.35">
      <c r="A267" s="1" t="str">
        <f t="shared" si="44"/>
        <v/>
      </c>
      <c r="B267" s="31"/>
      <c r="C267" s="8"/>
      <c r="D267" s="8"/>
      <c r="E267" s="8"/>
      <c r="F267" s="32"/>
      <c r="G267" s="32"/>
      <c r="H267" s="32"/>
      <c r="I267" s="1" t="str">
        <f t="shared" si="45"/>
        <v/>
      </c>
      <c r="J267" s="1" t="str">
        <f t="shared" si="46"/>
        <v/>
      </c>
      <c r="K267" s="1" t="str">
        <f t="shared" si="47"/>
        <v/>
      </c>
      <c r="L267" s="8"/>
      <c r="M267" s="1" t="str">
        <f t="shared" si="48"/>
        <v/>
      </c>
      <c r="N267" s="1" t="str">
        <f t="shared" si="49"/>
        <v/>
      </c>
      <c r="O267" s="33" t="str">
        <f t="shared" si="50"/>
        <v/>
      </c>
      <c r="P267" s="34" t="str">
        <f>IF(B267="","",C267&amp;"|"&amp;ROUND(O267,2)&amp;"|"&amp;COUNTIFS($C$4:C267,C267,$O$4:O267,O267))</f>
        <v/>
      </c>
      <c r="Q267" s="34">
        <f t="shared" si="51"/>
        <v>0</v>
      </c>
      <c r="R267" s="34">
        <f t="shared" si="52"/>
        <v>0</v>
      </c>
      <c r="S267" s="34" t="str">
        <f>IF(AND(B267&lt;&gt;"",C267=CompteSel,N(B267)&lt;=DateArret,R267=0),MAX($S$3:S266)+1,"")</f>
        <v/>
      </c>
      <c r="T267" s="34">
        <f t="shared" si="53"/>
        <v>0</v>
      </c>
      <c r="U267" s="34">
        <f t="shared" si="54"/>
        <v>9</v>
      </c>
    </row>
    <row r="268" spans="1:21" x14ac:dyDescent="0.35">
      <c r="A268" s="1" t="str">
        <f t="shared" si="44"/>
        <v/>
      </c>
      <c r="B268" s="31"/>
      <c r="C268" s="8"/>
      <c r="D268" s="8"/>
      <c r="E268" s="8"/>
      <c r="F268" s="32"/>
      <c r="G268" s="32"/>
      <c r="H268" s="32"/>
      <c r="I268" s="1" t="str">
        <f t="shared" si="45"/>
        <v/>
      </c>
      <c r="J268" s="1" t="str">
        <f t="shared" si="46"/>
        <v/>
      </c>
      <c r="K268" s="1" t="str">
        <f t="shared" si="47"/>
        <v/>
      </c>
      <c r="L268" s="8"/>
      <c r="M268" s="1" t="str">
        <f t="shared" si="48"/>
        <v/>
      </c>
      <c r="N268" s="1" t="str">
        <f t="shared" si="49"/>
        <v/>
      </c>
      <c r="O268" s="33" t="str">
        <f t="shared" si="50"/>
        <v/>
      </c>
      <c r="P268" s="34" t="str">
        <f>IF(B268="","",C268&amp;"|"&amp;ROUND(O268,2)&amp;"|"&amp;COUNTIFS($C$4:C268,C268,$O$4:O268,O268))</f>
        <v/>
      </c>
      <c r="Q268" s="34">
        <f t="shared" si="51"/>
        <v>0</v>
      </c>
      <c r="R268" s="34">
        <f t="shared" si="52"/>
        <v>0</v>
      </c>
      <c r="S268" s="34" t="str">
        <f>IF(AND(B268&lt;&gt;"",C268=CompteSel,N(B268)&lt;=DateArret,R268=0),MAX($S$3:S267)+1,"")</f>
        <v/>
      </c>
      <c r="T268" s="34">
        <f t="shared" si="53"/>
        <v>0</v>
      </c>
      <c r="U268" s="34">
        <f t="shared" si="54"/>
        <v>9</v>
      </c>
    </row>
    <row r="269" spans="1:21" x14ac:dyDescent="0.35">
      <c r="A269" s="1" t="str">
        <f t="shared" si="44"/>
        <v/>
      </c>
      <c r="B269" s="31"/>
      <c r="C269" s="8"/>
      <c r="D269" s="8"/>
      <c r="E269" s="8"/>
      <c r="F269" s="32"/>
      <c r="G269" s="32"/>
      <c r="H269" s="32"/>
      <c r="I269" s="1" t="str">
        <f t="shared" si="45"/>
        <v/>
      </c>
      <c r="J269" s="1" t="str">
        <f t="shared" si="46"/>
        <v/>
      </c>
      <c r="K269" s="1" t="str">
        <f t="shared" si="47"/>
        <v/>
      </c>
      <c r="L269" s="8"/>
      <c r="M269" s="1" t="str">
        <f t="shared" si="48"/>
        <v/>
      </c>
      <c r="N269" s="1" t="str">
        <f t="shared" si="49"/>
        <v/>
      </c>
      <c r="O269" s="33" t="str">
        <f t="shared" si="50"/>
        <v/>
      </c>
      <c r="P269" s="34" t="str">
        <f>IF(B269="","",C269&amp;"|"&amp;ROUND(O269,2)&amp;"|"&amp;COUNTIFS($C$4:C269,C269,$O$4:O269,O269))</f>
        <v/>
      </c>
      <c r="Q269" s="34">
        <f t="shared" si="51"/>
        <v>0</v>
      </c>
      <c r="R269" s="34">
        <f t="shared" si="52"/>
        <v>0</v>
      </c>
      <c r="S269" s="34" t="str">
        <f>IF(AND(B269&lt;&gt;"",C269=CompteSel,N(B269)&lt;=DateArret,R269=0),MAX($S$3:S268)+1,"")</f>
        <v/>
      </c>
      <c r="T269" s="34">
        <f t="shared" si="53"/>
        <v>0</v>
      </c>
      <c r="U269" s="34">
        <f t="shared" si="54"/>
        <v>9</v>
      </c>
    </row>
    <row r="270" spans="1:21" x14ac:dyDescent="0.35">
      <c r="A270" s="1" t="str">
        <f t="shared" si="44"/>
        <v/>
      </c>
      <c r="B270" s="31"/>
      <c r="C270" s="8"/>
      <c r="D270" s="8"/>
      <c r="E270" s="8"/>
      <c r="F270" s="32"/>
      <c r="G270" s="32"/>
      <c r="H270" s="32"/>
      <c r="I270" s="1" t="str">
        <f t="shared" si="45"/>
        <v/>
      </c>
      <c r="J270" s="1" t="str">
        <f t="shared" si="46"/>
        <v/>
      </c>
      <c r="K270" s="1" t="str">
        <f t="shared" si="47"/>
        <v/>
      </c>
      <c r="L270" s="8"/>
      <c r="M270" s="1" t="str">
        <f t="shared" si="48"/>
        <v/>
      </c>
      <c r="N270" s="1" t="str">
        <f t="shared" si="49"/>
        <v/>
      </c>
      <c r="O270" s="33" t="str">
        <f t="shared" si="50"/>
        <v/>
      </c>
      <c r="P270" s="34" t="str">
        <f>IF(B270="","",C270&amp;"|"&amp;ROUND(O270,2)&amp;"|"&amp;COUNTIFS($C$4:C270,C270,$O$4:O270,O270))</f>
        <v/>
      </c>
      <c r="Q270" s="34">
        <f t="shared" si="51"/>
        <v>0</v>
      </c>
      <c r="R270" s="34">
        <f t="shared" si="52"/>
        <v>0</v>
      </c>
      <c r="S270" s="34" t="str">
        <f>IF(AND(B270&lt;&gt;"",C270=CompteSel,N(B270)&lt;=DateArret,R270=0),MAX($S$3:S269)+1,"")</f>
        <v/>
      </c>
      <c r="T270" s="34">
        <f t="shared" si="53"/>
        <v>0</v>
      </c>
      <c r="U270" s="34">
        <f t="shared" si="54"/>
        <v>9</v>
      </c>
    </row>
    <row r="271" spans="1:21" x14ac:dyDescent="0.35">
      <c r="A271" s="1" t="str">
        <f t="shared" si="44"/>
        <v/>
      </c>
      <c r="B271" s="31"/>
      <c r="C271" s="8"/>
      <c r="D271" s="8"/>
      <c r="E271" s="8"/>
      <c r="F271" s="32"/>
      <c r="G271" s="32"/>
      <c r="H271" s="32"/>
      <c r="I271" s="1" t="str">
        <f t="shared" si="45"/>
        <v/>
      </c>
      <c r="J271" s="1" t="str">
        <f t="shared" si="46"/>
        <v/>
      </c>
      <c r="K271" s="1" t="str">
        <f t="shared" si="47"/>
        <v/>
      </c>
      <c r="L271" s="8"/>
      <c r="M271" s="1" t="str">
        <f t="shared" si="48"/>
        <v/>
      </c>
      <c r="N271" s="1" t="str">
        <f t="shared" si="49"/>
        <v/>
      </c>
      <c r="O271" s="33" t="str">
        <f t="shared" si="50"/>
        <v/>
      </c>
      <c r="P271" s="34" t="str">
        <f>IF(B271="","",C271&amp;"|"&amp;ROUND(O271,2)&amp;"|"&amp;COUNTIFS($C$4:C271,C271,$O$4:O271,O271))</f>
        <v/>
      </c>
      <c r="Q271" s="34">
        <f t="shared" si="51"/>
        <v>0</v>
      </c>
      <c r="R271" s="34">
        <f t="shared" si="52"/>
        <v>0</v>
      </c>
      <c r="S271" s="34" t="str">
        <f>IF(AND(B271&lt;&gt;"",C271=CompteSel,N(B271)&lt;=DateArret,R271=0),MAX($S$3:S270)+1,"")</f>
        <v/>
      </c>
      <c r="T271" s="34">
        <f t="shared" si="53"/>
        <v>0</v>
      </c>
      <c r="U271" s="34">
        <f t="shared" si="54"/>
        <v>9</v>
      </c>
    </row>
    <row r="272" spans="1:21" x14ac:dyDescent="0.35">
      <c r="A272" s="1" t="str">
        <f t="shared" si="44"/>
        <v/>
      </c>
      <c r="B272" s="31"/>
      <c r="C272" s="8"/>
      <c r="D272" s="8"/>
      <c r="E272" s="8"/>
      <c r="F272" s="32"/>
      <c r="G272" s="32"/>
      <c r="H272" s="32"/>
      <c r="I272" s="1" t="str">
        <f t="shared" si="45"/>
        <v/>
      </c>
      <c r="J272" s="1" t="str">
        <f t="shared" si="46"/>
        <v/>
      </c>
      <c r="K272" s="1" t="str">
        <f t="shared" si="47"/>
        <v/>
      </c>
      <c r="L272" s="8"/>
      <c r="M272" s="1" t="str">
        <f t="shared" si="48"/>
        <v/>
      </c>
      <c r="N272" s="1" t="str">
        <f t="shared" si="49"/>
        <v/>
      </c>
      <c r="O272" s="33" t="str">
        <f t="shared" si="50"/>
        <v/>
      </c>
      <c r="P272" s="34" t="str">
        <f>IF(B272="","",C272&amp;"|"&amp;ROUND(O272,2)&amp;"|"&amp;COUNTIFS($C$4:C272,C272,$O$4:O272,O272))</f>
        <v/>
      </c>
      <c r="Q272" s="34">
        <f t="shared" si="51"/>
        <v>0</v>
      </c>
      <c r="R272" s="34">
        <f t="shared" si="52"/>
        <v>0</v>
      </c>
      <c r="S272" s="34" t="str">
        <f>IF(AND(B272&lt;&gt;"",C272=CompteSel,N(B272)&lt;=DateArret,R272=0),MAX($S$3:S271)+1,"")</f>
        <v/>
      </c>
      <c r="T272" s="34">
        <f t="shared" si="53"/>
        <v>0</v>
      </c>
      <c r="U272" s="34">
        <f t="shared" si="54"/>
        <v>9</v>
      </c>
    </row>
    <row r="273" spans="1:21" x14ac:dyDescent="0.35">
      <c r="A273" s="1" t="str">
        <f t="shared" si="44"/>
        <v/>
      </c>
      <c r="B273" s="31"/>
      <c r="C273" s="8"/>
      <c r="D273" s="8"/>
      <c r="E273" s="8"/>
      <c r="F273" s="32"/>
      <c r="G273" s="32"/>
      <c r="H273" s="32"/>
      <c r="I273" s="1" t="str">
        <f t="shared" si="45"/>
        <v/>
      </c>
      <c r="J273" s="1" t="str">
        <f t="shared" si="46"/>
        <v/>
      </c>
      <c r="K273" s="1" t="str">
        <f t="shared" si="47"/>
        <v/>
      </c>
      <c r="L273" s="8"/>
      <c r="M273" s="1" t="str">
        <f t="shared" si="48"/>
        <v/>
      </c>
      <c r="N273" s="1" t="str">
        <f t="shared" si="49"/>
        <v/>
      </c>
      <c r="O273" s="33" t="str">
        <f t="shared" si="50"/>
        <v/>
      </c>
      <c r="P273" s="34" t="str">
        <f>IF(B273="","",C273&amp;"|"&amp;ROUND(O273,2)&amp;"|"&amp;COUNTIFS($C$4:C273,C273,$O$4:O273,O273))</f>
        <v/>
      </c>
      <c r="Q273" s="34">
        <f t="shared" si="51"/>
        <v>0</v>
      </c>
      <c r="R273" s="34">
        <f t="shared" si="52"/>
        <v>0</v>
      </c>
      <c r="S273" s="34" t="str">
        <f>IF(AND(B273&lt;&gt;"",C273=CompteSel,N(B273)&lt;=DateArret,R273=0),MAX($S$3:S272)+1,"")</f>
        <v/>
      </c>
      <c r="T273" s="34">
        <f t="shared" si="53"/>
        <v>0</v>
      </c>
      <c r="U273" s="34">
        <f t="shared" si="54"/>
        <v>9</v>
      </c>
    </row>
    <row r="274" spans="1:21" x14ac:dyDescent="0.35">
      <c r="A274" s="1" t="str">
        <f t="shared" si="44"/>
        <v/>
      </c>
      <c r="B274" s="31"/>
      <c r="C274" s="8"/>
      <c r="D274" s="8"/>
      <c r="E274" s="8"/>
      <c r="F274" s="32"/>
      <c r="G274" s="32"/>
      <c r="H274" s="32"/>
      <c r="I274" s="1" t="str">
        <f t="shared" si="45"/>
        <v/>
      </c>
      <c r="J274" s="1" t="str">
        <f t="shared" si="46"/>
        <v/>
      </c>
      <c r="K274" s="1" t="str">
        <f t="shared" si="47"/>
        <v/>
      </c>
      <c r="L274" s="8"/>
      <c r="M274" s="1" t="str">
        <f t="shared" si="48"/>
        <v/>
      </c>
      <c r="N274" s="1" t="str">
        <f t="shared" si="49"/>
        <v/>
      </c>
      <c r="O274" s="33" t="str">
        <f t="shared" si="50"/>
        <v/>
      </c>
      <c r="P274" s="34" t="str">
        <f>IF(B274="","",C274&amp;"|"&amp;ROUND(O274,2)&amp;"|"&amp;COUNTIFS($C$4:C274,C274,$O$4:O274,O274))</f>
        <v/>
      </c>
      <c r="Q274" s="34">
        <f t="shared" si="51"/>
        <v>0</v>
      </c>
      <c r="R274" s="34">
        <f t="shared" si="52"/>
        <v>0</v>
      </c>
      <c r="S274" s="34" t="str">
        <f>IF(AND(B274&lt;&gt;"",C274=CompteSel,N(B274)&lt;=DateArret,R274=0),MAX($S$3:S273)+1,"")</f>
        <v/>
      </c>
      <c r="T274" s="34">
        <f t="shared" si="53"/>
        <v>0</v>
      </c>
      <c r="U274" s="34">
        <f t="shared" si="54"/>
        <v>9</v>
      </c>
    </row>
    <row r="275" spans="1:21" x14ac:dyDescent="0.35">
      <c r="A275" s="1" t="str">
        <f t="shared" si="44"/>
        <v/>
      </c>
      <c r="B275" s="31"/>
      <c r="C275" s="8"/>
      <c r="D275" s="8"/>
      <c r="E275" s="8"/>
      <c r="F275" s="32"/>
      <c r="G275" s="32"/>
      <c r="H275" s="32"/>
      <c r="I275" s="1" t="str">
        <f t="shared" si="45"/>
        <v/>
      </c>
      <c r="J275" s="1" t="str">
        <f t="shared" si="46"/>
        <v/>
      </c>
      <c r="K275" s="1" t="str">
        <f t="shared" si="47"/>
        <v/>
      </c>
      <c r="L275" s="8"/>
      <c r="M275" s="1" t="str">
        <f t="shared" si="48"/>
        <v/>
      </c>
      <c r="N275" s="1" t="str">
        <f t="shared" si="49"/>
        <v/>
      </c>
      <c r="O275" s="33" t="str">
        <f t="shared" si="50"/>
        <v/>
      </c>
      <c r="P275" s="34" t="str">
        <f>IF(B275="","",C275&amp;"|"&amp;ROUND(O275,2)&amp;"|"&amp;COUNTIFS($C$4:C275,C275,$O$4:O275,O275))</f>
        <v/>
      </c>
      <c r="Q275" s="34">
        <f t="shared" si="51"/>
        <v>0</v>
      </c>
      <c r="R275" s="34">
        <f t="shared" si="52"/>
        <v>0</v>
      </c>
      <c r="S275" s="34" t="str">
        <f>IF(AND(B275&lt;&gt;"",C275=CompteSel,N(B275)&lt;=DateArret,R275=0),MAX($S$3:S274)+1,"")</f>
        <v/>
      </c>
      <c r="T275" s="34">
        <f t="shared" si="53"/>
        <v>0</v>
      </c>
      <c r="U275" s="34">
        <f t="shared" si="54"/>
        <v>9</v>
      </c>
    </row>
    <row r="276" spans="1:21" x14ac:dyDescent="0.35">
      <c r="A276" s="1" t="str">
        <f t="shared" si="44"/>
        <v/>
      </c>
      <c r="B276" s="31"/>
      <c r="C276" s="8"/>
      <c r="D276" s="8"/>
      <c r="E276" s="8"/>
      <c r="F276" s="32"/>
      <c r="G276" s="32"/>
      <c r="H276" s="32"/>
      <c r="I276" s="1" t="str">
        <f t="shared" si="45"/>
        <v/>
      </c>
      <c r="J276" s="1" t="str">
        <f t="shared" si="46"/>
        <v/>
      </c>
      <c r="K276" s="1" t="str">
        <f t="shared" si="47"/>
        <v/>
      </c>
      <c r="L276" s="8"/>
      <c r="M276" s="1" t="str">
        <f t="shared" si="48"/>
        <v/>
      </c>
      <c r="N276" s="1" t="str">
        <f t="shared" si="49"/>
        <v/>
      </c>
      <c r="O276" s="33" t="str">
        <f t="shared" si="50"/>
        <v/>
      </c>
      <c r="P276" s="34" t="str">
        <f>IF(B276="","",C276&amp;"|"&amp;ROUND(O276,2)&amp;"|"&amp;COUNTIFS($C$4:C276,C276,$O$4:O276,O276))</f>
        <v/>
      </c>
      <c r="Q276" s="34">
        <f t="shared" si="51"/>
        <v>0</v>
      </c>
      <c r="R276" s="34">
        <f t="shared" si="52"/>
        <v>0</v>
      </c>
      <c r="S276" s="34" t="str">
        <f>IF(AND(B276&lt;&gt;"",C276=CompteSel,N(B276)&lt;=DateArret,R276=0),MAX($S$3:S275)+1,"")</f>
        <v/>
      </c>
      <c r="T276" s="34">
        <f t="shared" si="53"/>
        <v>0</v>
      </c>
      <c r="U276" s="34">
        <f t="shared" si="54"/>
        <v>9</v>
      </c>
    </row>
    <row r="277" spans="1:21" x14ac:dyDescent="0.35">
      <c r="A277" s="1" t="str">
        <f t="shared" si="44"/>
        <v/>
      </c>
      <c r="B277" s="31"/>
      <c r="C277" s="8"/>
      <c r="D277" s="8"/>
      <c r="E277" s="8"/>
      <c r="F277" s="32"/>
      <c r="G277" s="32"/>
      <c r="H277" s="32"/>
      <c r="I277" s="1" t="str">
        <f t="shared" si="45"/>
        <v/>
      </c>
      <c r="J277" s="1" t="str">
        <f t="shared" si="46"/>
        <v/>
      </c>
      <c r="K277" s="1" t="str">
        <f t="shared" si="47"/>
        <v/>
      </c>
      <c r="L277" s="8"/>
      <c r="M277" s="1" t="str">
        <f t="shared" si="48"/>
        <v/>
      </c>
      <c r="N277" s="1" t="str">
        <f t="shared" si="49"/>
        <v/>
      </c>
      <c r="O277" s="33" t="str">
        <f t="shared" si="50"/>
        <v/>
      </c>
      <c r="P277" s="34" t="str">
        <f>IF(B277="","",C277&amp;"|"&amp;ROUND(O277,2)&amp;"|"&amp;COUNTIFS($C$4:C277,C277,$O$4:O277,O277))</f>
        <v/>
      </c>
      <c r="Q277" s="34">
        <f t="shared" si="51"/>
        <v>0</v>
      </c>
      <c r="R277" s="34">
        <f t="shared" si="52"/>
        <v>0</v>
      </c>
      <c r="S277" s="34" t="str">
        <f>IF(AND(B277&lt;&gt;"",C277=CompteSel,N(B277)&lt;=DateArret,R277=0),MAX($S$3:S276)+1,"")</f>
        <v/>
      </c>
      <c r="T277" s="34">
        <f t="shared" si="53"/>
        <v>0</v>
      </c>
      <c r="U277" s="34">
        <f t="shared" si="54"/>
        <v>9</v>
      </c>
    </row>
    <row r="278" spans="1:21" x14ac:dyDescent="0.35">
      <c r="A278" s="1" t="str">
        <f t="shared" si="44"/>
        <v/>
      </c>
      <c r="B278" s="31"/>
      <c r="C278" s="8"/>
      <c r="D278" s="8"/>
      <c r="E278" s="8"/>
      <c r="F278" s="32"/>
      <c r="G278" s="32"/>
      <c r="H278" s="32"/>
      <c r="I278" s="1" t="str">
        <f t="shared" si="45"/>
        <v/>
      </c>
      <c r="J278" s="1" t="str">
        <f t="shared" si="46"/>
        <v/>
      </c>
      <c r="K278" s="1" t="str">
        <f t="shared" si="47"/>
        <v/>
      </c>
      <c r="L278" s="8"/>
      <c r="M278" s="1" t="str">
        <f t="shared" si="48"/>
        <v/>
      </c>
      <c r="N278" s="1" t="str">
        <f t="shared" si="49"/>
        <v/>
      </c>
      <c r="O278" s="33" t="str">
        <f t="shared" si="50"/>
        <v/>
      </c>
      <c r="P278" s="34" t="str">
        <f>IF(B278="","",C278&amp;"|"&amp;ROUND(O278,2)&amp;"|"&amp;COUNTIFS($C$4:C278,C278,$O$4:O278,O278))</f>
        <v/>
      </c>
      <c r="Q278" s="34">
        <f t="shared" si="51"/>
        <v>0</v>
      </c>
      <c r="R278" s="34">
        <f t="shared" si="52"/>
        <v>0</v>
      </c>
      <c r="S278" s="34" t="str">
        <f>IF(AND(B278&lt;&gt;"",C278=CompteSel,N(B278)&lt;=DateArret,R278=0),MAX($S$3:S277)+1,"")</f>
        <v/>
      </c>
      <c r="T278" s="34">
        <f t="shared" si="53"/>
        <v>0</v>
      </c>
      <c r="U278" s="34">
        <f t="shared" si="54"/>
        <v>9</v>
      </c>
    </row>
    <row r="279" spans="1:21" x14ac:dyDescent="0.35">
      <c r="A279" s="1" t="str">
        <f t="shared" si="44"/>
        <v/>
      </c>
      <c r="B279" s="31"/>
      <c r="C279" s="8"/>
      <c r="D279" s="8"/>
      <c r="E279" s="8"/>
      <c r="F279" s="32"/>
      <c r="G279" s="32"/>
      <c r="H279" s="32"/>
      <c r="I279" s="1" t="str">
        <f t="shared" si="45"/>
        <v/>
      </c>
      <c r="J279" s="1" t="str">
        <f t="shared" si="46"/>
        <v/>
      </c>
      <c r="K279" s="1" t="str">
        <f t="shared" si="47"/>
        <v/>
      </c>
      <c r="L279" s="8"/>
      <c r="M279" s="1" t="str">
        <f t="shared" si="48"/>
        <v/>
      </c>
      <c r="N279" s="1" t="str">
        <f t="shared" si="49"/>
        <v/>
      </c>
      <c r="O279" s="33" t="str">
        <f t="shared" si="50"/>
        <v/>
      </c>
      <c r="P279" s="34" t="str">
        <f>IF(B279="","",C279&amp;"|"&amp;ROUND(O279,2)&amp;"|"&amp;COUNTIFS($C$4:C279,C279,$O$4:O279,O279))</f>
        <v/>
      </c>
      <c r="Q279" s="34">
        <f t="shared" si="51"/>
        <v>0</v>
      </c>
      <c r="R279" s="34">
        <f t="shared" si="52"/>
        <v>0</v>
      </c>
      <c r="S279" s="34" t="str">
        <f>IF(AND(B279&lt;&gt;"",C279=CompteSel,N(B279)&lt;=DateArret,R279=0),MAX($S$3:S278)+1,"")</f>
        <v/>
      </c>
      <c r="T279" s="34">
        <f t="shared" si="53"/>
        <v>0</v>
      </c>
      <c r="U279" s="34">
        <f t="shared" si="54"/>
        <v>9</v>
      </c>
    </row>
    <row r="280" spans="1:21" x14ac:dyDescent="0.35">
      <c r="A280" s="1" t="str">
        <f t="shared" si="44"/>
        <v/>
      </c>
      <c r="B280" s="31"/>
      <c r="C280" s="8"/>
      <c r="D280" s="8"/>
      <c r="E280" s="8"/>
      <c r="F280" s="32"/>
      <c r="G280" s="32"/>
      <c r="H280" s="32"/>
      <c r="I280" s="1" t="str">
        <f t="shared" si="45"/>
        <v/>
      </c>
      <c r="J280" s="1" t="str">
        <f t="shared" si="46"/>
        <v/>
      </c>
      <c r="K280" s="1" t="str">
        <f t="shared" si="47"/>
        <v/>
      </c>
      <c r="L280" s="8"/>
      <c r="M280" s="1" t="str">
        <f t="shared" si="48"/>
        <v/>
      </c>
      <c r="N280" s="1" t="str">
        <f t="shared" si="49"/>
        <v/>
      </c>
      <c r="O280" s="33" t="str">
        <f t="shared" si="50"/>
        <v/>
      </c>
      <c r="P280" s="34" t="str">
        <f>IF(B280="","",C280&amp;"|"&amp;ROUND(O280,2)&amp;"|"&amp;COUNTIFS($C$4:C280,C280,$O$4:O280,O280))</f>
        <v/>
      </c>
      <c r="Q280" s="34">
        <f t="shared" si="51"/>
        <v>0</v>
      </c>
      <c r="R280" s="34">
        <f t="shared" si="52"/>
        <v>0</v>
      </c>
      <c r="S280" s="34" t="str">
        <f>IF(AND(B280&lt;&gt;"",C280=CompteSel,N(B280)&lt;=DateArret,R280=0),MAX($S$3:S279)+1,"")</f>
        <v/>
      </c>
      <c r="T280" s="34">
        <f t="shared" si="53"/>
        <v>0</v>
      </c>
      <c r="U280" s="34">
        <f t="shared" si="54"/>
        <v>9</v>
      </c>
    </row>
    <row r="281" spans="1:21" x14ac:dyDescent="0.35">
      <c r="A281" s="1" t="str">
        <f t="shared" si="44"/>
        <v/>
      </c>
      <c r="B281" s="31"/>
      <c r="C281" s="8"/>
      <c r="D281" s="8"/>
      <c r="E281" s="8"/>
      <c r="F281" s="32"/>
      <c r="G281" s="32"/>
      <c r="H281" s="32"/>
      <c r="I281" s="1" t="str">
        <f t="shared" si="45"/>
        <v/>
      </c>
      <c r="J281" s="1" t="str">
        <f t="shared" si="46"/>
        <v/>
      </c>
      <c r="K281" s="1" t="str">
        <f t="shared" si="47"/>
        <v/>
      </c>
      <c r="L281" s="8"/>
      <c r="M281" s="1" t="str">
        <f t="shared" si="48"/>
        <v/>
      </c>
      <c r="N281" s="1" t="str">
        <f t="shared" si="49"/>
        <v/>
      </c>
      <c r="O281" s="33" t="str">
        <f t="shared" si="50"/>
        <v/>
      </c>
      <c r="P281" s="34" t="str">
        <f>IF(B281="","",C281&amp;"|"&amp;ROUND(O281,2)&amp;"|"&amp;COUNTIFS($C$4:C281,C281,$O$4:O281,O281))</f>
        <v/>
      </c>
      <c r="Q281" s="34">
        <f t="shared" si="51"/>
        <v>0</v>
      </c>
      <c r="R281" s="34">
        <f t="shared" si="52"/>
        <v>0</v>
      </c>
      <c r="S281" s="34" t="str">
        <f>IF(AND(B281&lt;&gt;"",C281=CompteSel,N(B281)&lt;=DateArret,R281=0),MAX($S$3:S280)+1,"")</f>
        <v/>
      </c>
      <c r="T281" s="34">
        <f t="shared" si="53"/>
        <v>0</v>
      </c>
      <c r="U281" s="34">
        <f t="shared" si="54"/>
        <v>9</v>
      </c>
    </row>
    <row r="282" spans="1:21" x14ac:dyDescent="0.35">
      <c r="A282" s="1" t="str">
        <f t="shared" si="44"/>
        <v/>
      </c>
      <c r="B282" s="31"/>
      <c r="C282" s="8"/>
      <c r="D282" s="8"/>
      <c r="E282" s="8"/>
      <c r="F282" s="32"/>
      <c r="G282" s="32"/>
      <c r="H282" s="32"/>
      <c r="I282" s="1" t="str">
        <f t="shared" si="45"/>
        <v/>
      </c>
      <c r="J282" s="1" t="str">
        <f t="shared" si="46"/>
        <v/>
      </c>
      <c r="K282" s="1" t="str">
        <f t="shared" si="47"/>
        <v/>
      </c>
      <c r="L282" s="8"/>
      <c r="M282" s="1" t="str">
        <f t="shared" si="48"/>
        <v/>
      </c>
      <c r="N282" s="1" t="str">
        <f t="shared" si="49"/>
        <v/>
      </c>
      <c r="O282" s="33" t="str">
        <f t="shared" si="50"/>
        <v/>
      </c>
      <c r="P282" s="34" t="str">
        <f>IF(B282="","",C282&amp;"|"&amp;ROUND(O282,2)&amp;"|"&amp;COUNTIFS($C$4:C282,C282,$O$4:O282,O282))</f>
        <v/>
      </c>
      <c r="Q282" s="34">
        <f t="shared" si="51"/>
        <v>0</v>
      </c>
      <c r="R282" s="34">
        <f t="shared" si="52"/>
        <v>0</v>
      </c>
      <c r="S282" s="34" t="str">
        <f>IF(AND(B282&lt;&gt;"",C282=CompteSel,N(B282)&lt;=DateArret,R282=0),MAX($S$3:S281)+1,"")</f>
        <v/>
      </c>
      <c r="T282" s="34">
        <f t="shared" si="53"/>
        <v>0</v>
      </c>
      <c r="U282" s="34">
        <f t="shared" si="54"/>
        <v>9</v>
      </c>
    </row>
    <row r="283" spans="1:21" x14ac:dyDescent="0.35">
      <c r="A283" s="1" t="str">
        <f t="shared" si="44"/>
        <v/>
      </c>
      <c r="B283" s="31"/>
      <c r="C283" s="8"/>
      <c r="D283" s="8"/>
      <c r="E283" s="8"/>
      <c r="F283" s="32"/>
      <c r="G283" s="32"/>
      <c r="H283" s="32"/>
      <c r="I283" s="1" t="str">
        <f t="shared" si="45"/>
        <v/>
      </c>
      <c r="J283" s="1" t="str">
        <f t="shared" si="46"/>
        <v/>
      </c>
      <c r="K283" s="1" t="str">
        <f t="shared" si="47"/>
        <v/>
      </c>
      <c r="L283" s="8"/>
      <c r="M283" s="1" t="str">
        <f t="shared" si="48"/>
        <v/>
      </c>
      <c r="N283" s="1" t="str">
        <f t="shared" si="49"/>
        <v/>
      </c>
      <c r="O283" s="33" t="str">
        <f t="shared" si="50"/>
        <v/>
      </c>
      <c r="P283" s="34" t="str">
        <f>IF(B283="","",C283&amp;"|"&amp;ROUND(O283,2)&amp;"|"&amp;COUNTIFS($C$4:C283,C283,$O$4:O283,O283))</f>
        <v/>
      </c>
      <c r="Q283" s="34">
        <f t="shared" si="51"/>
        <v>0</v>
      </c>
      <c r="R283" s="34">
        <f t="shared" si="52"/>
        <v>0</v>
      </c>
      <c r="S283" s="34" t="str">
        <f>IF(AND(B283&lt;&gt;"",C283=CompteSel,N(B283)&lt;=DateArret,R283=0),MAX($S$3:S282)+1,"")</f>
        <v/>
      </c>
      <c r="T283" s="34">
        <f t="shared" si="53"/>
        <v>0</v>
      </c>
      <c r="U283" s="34">
        <f t="shared" si="54"/>
        <v>9</v>
      </c>
    </row>
    <row r="284" spans="1:21" x14ac:dyDescent="0.35">
      <c r="A284" s="1" t="str">
        <f t="shared" si="44"/>
        <v/>
      </c>
      <c r="B284" s="31"/>
      <c r="C284" s="8"/>
      <c r="D284" s="8"/>
      <c r="E284" s="8"/>
      <c r="F284" s="32"/>
      <c r="G284" s="32"/>
      <c r="H284" s="32"/>
      <c r="I284" s="1" t="str">
        <f t="shared" si="45"/>
        <v/>
      </c>
      <c r="J284" s="1" t="str">
        <f t="shared" si="46"/>
        <v/>
      </c>
      <c r="K284" s="1" t="str">
        <f t="shared" si="47"/>
        <v/>
      </c>
      <c r="L284" s="8"/>
      <c r="M284" s="1" t="str">
        <f t="shared" si="48"/>
        <v/>
      </c>
      <c r="N284" s="1" t="str">
        <f t="shared" si="49"/>
        <v/>
      </c>
      <c r="O284" s="33" t="str">
        <f t="shared" si="50"/>
        <v/>
      </c>
      <c r="P284" s="34" t="str">
        <f>IF(B284="","",C284&amp;"|"&amp;ROUND(O284,2)&amp;"|"&amp;COUNTIFS($C$4:C284,C284,$O$4:O284,O284))</f>
        <v/>
      </c>
      <c r="Q284" s="34">
        <f t="shared" si="51"/>
        <v>0</v>
      </c>
      <c r="R284" s="34">
        <f t="shared" si="52"/>
        <v>0</v>
      </c>
      <c r="S284" s="34" t="str">
        <f>IF(AND(B284&lt;&gt;"",C284=CompteSel,N(B284)&lt;=DateArret,R284=0),MAX($S$3:S283)+1,"")</f>
        <v/>
      </c>
      <c r="T284" s="34">
        <f t="shared" si="53"/>
        <v>0</v>
      </c>
      <c r="U284" s="34">
        <f t="shared" si="54"/>
        <v>9</v>
      </c>
    </row>
    <row r="285" spans="1:21" x14ac:dyDescent="0.35">
      <c r="A285" s="1" t="str">
        <f t="shared" si="44"/>
        <v/>
      </c>
      <c r="B285" s="31"/>
      <c r="C285" s="8"/>
      <c r="D285" s="8"/>
      <c r="E285" s="8"/>
      <c r="F285" s="32"/>
      <c r="G285" s="32"/>
      <c r="H285" s="32"/>
      <c r="I285" s="1" t="str">
        <f t="shared" si="45"/>
        <v/>
      </c>
      <c r="J285" s="1" t="str">
        <f t="shared" si="46"/>
        <v/>
      </c>
      <c r="K285" s="1" t="str">
        <f t="shared" si="47"/>
        <v/>
      </c>
      <c r="L285" s="8"/>
      <c r="M285" s="1" t="str">
        <f t="shared" si="48"/>
        <v/>
      </c>
      <c r="N285" s="1" t="str">
        <f t="shared" si="49"/>
        <v/>
      </c>
      <c r="O285" s="33" t="str">
        <f t="shared" si="50"/>
        <v/>
      </c>
      <c r="P285" s="34" t="str">
        <f>IF(B285="","",C285&amp;"|"&amp;ROUND(O285,2)&amp;"|"&amp;COUNTIFS($C$4:C285,C285,$O$4:O285,O285))</f>
        <v/>
      </c>
      <c r="Q285" s="34">
        <f t="shared" si="51"/>
        <v>0</v>
      </c>
      <c r="R285" s="34">
        <f t="shared" si="52"/>
        <v>0</v>
      </c>
      <c r="S285" s="34" t="str">
        <f>IF(AND(B285&lt;&gt;"",C285=CompteSel,N(B285)&lt;=DateArret,R285=0),MAX($S$3:S284)+1,"")</f>
        <v/>
      </c>
      <c r="T285" s="34">
        <f t="shared" si="53"/>
        <v>0</v>
      </c>
      <c r="U285" s="34">
        <f t="shared" si="54"/>
        <v>9</v>
      </c>
    </row>
    <row r="286" spans="1:21" x14ac:dyDescent="0.35">
      <c r="A286" s="1" t="str">
        <f t="shared" si="44"/>
        <v/>
      </c>
      <c r="B286" s="31"/>
      <c r="C286" s="8"/>
      <c r="D286" s="8"/>
      <c r="E286" s="8"/>
      <c r="F286" s="32"/>
      <c r="G286" s="32"/>
      <c r="H286" s="32"/>
      <c r="I286" s="1" t="str">
        <f t="shared" si="45"/>
        <v/>
      </c>
      <c r="J286" s="1" t="str">
        <f t="shared" si="46"/>
        <v/>
      </c>
      <c r="K286" s="1" t="str">
        <f t="shared" si="47"/>
        <v/>
      </c>
      <c r="L286" s="8"/>
      <c r="M286" s="1" t="str">
        <f t="shared" si="48"/>
        <v/>
      </c>
      <c r="N286" s="1" t="str">
        <f t="shared" si="49"/>
        <v/>
      </c>
      <c r="O286" s="33" t="str">
        <f t="shared" si="50"/>
        <v/>
      </c>
      <c r="P286" s="34" t="str">
        <f>IF(B286="","",C286&amp;"|"&amp;ROUND(O286,2)&amp;"|"&amp;COUNTIFS($C$4:C286,C286,$O$4:O286,O286))</f>
        <v/>
      </c>
      <c r="Q286" s="34">
        <f t="shared" si="51"/>
        <v>0</v>
      </c>
      <c r="R286" s="34">
        <f t="shared" si="52"/>
        <v>0</v>
      </c>
      <c r="S286" s="34" t="str">
        <f>IF(AND(B286&lt;&gt;"",C286=CompteSel,N(B286)&lt;=DateArret,R286=0),MAX($S$3:S285)+1,"")</f>
        <v/>
      </c>
      <c r="T286" s="34">
        <f t="shared" si="53"/>
        <v>0</v>
      </c>
      <c r="U286" s="34">
        <f t="shared" si="54"/>
        <v>9</v>
      </c>
    </row>
    <row r="287" spans="1:21" x14ac:dyDescent="0.35">
      <c r="A287" s="1" t="str">
        <f t="shared" si="44"/>
        <v/>
      </c>
      <c r="B287" s="31"/>
      <c r="C287" s="8"/>
      <c r="D287" s="8"/>
      <c r="E287" s="8"/>
      <c r="F287" s="32"/>
      <c r="G287" s="32"/>
      <c r="H287" s="32"/>
      <c r="I287" s="1" t="str">
        <f t="shared" si="45"/>
        <v/>
      </c>
      <c r="J287" s="1" t="str">
        <f t="shared" si="46"/>
        <v/>
      </c>
      <c r="K287" s="1" t="str">
        <f t="shared" si="47"/>
        <v/>
      </c>
      <c r="L287" s="8"/>
      <c r="M287" s="1" t="str">
        <f t="shared" si="48"/>
        <v/>
      </c>
      <c r="N287" s="1" t="str">
        <f t="shared" si="49"/>
        <v/>
      </c>
      <c r="O287" s="33" t="str">
        <f t="shared" si="50"/>
        <v/>
      </c>
      <c r="P287" s="34" t="str">
        <f>IF(B287="","",C287&amp;"|"&amp;ROUND(O287,2)&amp;"|"&amp;COUNTIFS($C$4:C287,C287,$O$4:O287,O287))</f>
        <v/>
      </c>
      <c r="Q287" s="34">
        <f t="shared" si="51"/>
        <v>0</v>
      </c>
      <c r="R287" s="34">
        <f t="shared" si="52"/>
        <v>0</v>
      </c>
      <c r="S287" s="34" t="str">
        <f>IF(AND(B287&lt;&gt;"",C287=CompteSel,N(B287)&lt;=DateArret,R287=0),MAX($S$3:S286)+1,"")</f>
        <v/>
      </c>
      <c r="T287" s="34">
        <f t="shared" si="53"/>
        <v>0</v>
      </c>
      <c r="U287" s="34">
        <f t="shared" si="54"/>
        <v>9</v>
      </c>
    </row>
    <row r="288" spans="1:21" x14ac:dyDescent="0.35">
      <c r="A288" s="1" t="str">
        <f t="shared" si="44"/>
        <v/>
      </c>
      <c r="B288" s="31"/>
      <c r="C288" s="8"/>
      <c r="D288" s="8"/>
      <c r="E288" s="8"/>
      <c r="F288" s="32"/>
      <c r="G288" s="32"/>
      <c r="H288" s="32"/>
      <c r="I288" s="1" t="str">
        <f t="shared" si="45"/>
        <v/>
      </c>
      <c r="J288" s="1" t="str">
        <f t="shared" si="46"/>
        <v/>
      </c>
      <c r="K288" s="1" t="str">
        <f t="shared" si="47"/>
        <v/>
      </c>
      <c r="L288" s="8"/>
      <c r="M288" s="1" t="str">
        <f t="shared" si="48"/>
        <v/>
      </c>
      <c r="N288" s="1" t="str">
        <f t="shared" si="49"/>
        <v/>
      </c>
      <c r="O288" s="33" t="str">
        <f t="shared" si="50"/>
        <v/>
      </c>
      <c r="P288" s="34" t="str">
        <f>IF(B288="","",C288&amp;"|"&amp;ROUND(O288,2)&amp;"|"&amp;COUNTIFS($C$4:C288,C288,$O$4:O288,O288))</f>
        <v/>
      </c>
      <c r="Q288" s="34">
        <f t="shared" si="51"/>
        <v>0</v>
      </c>
      <c r="R288" s="34">
        <f t="shared" si="52"/>
        <v>0</v>
      </c>
      <c r="S288" s="34" t="str">
        <f>IF(AND(B288&lt;&gt;"",C288=CompteSel,N(B288)&lt;=DateArret,R288=0),MAX($S$3:S287)+1,"")</f>
        <v/>
      </c>
      <c r="T288" s="34">
        <f t="shared" si="53"/>
        <v>0</v>
      </c>
      <c r="U288" s="34">
        <f t="shared" si="54"/>
        <v>9</v>
      </c>
    </row>
    <row r="289" spans="1:21" x14ac:dyDescent="0.35">
      <c r="A289" s="1" t="str">
        <f t="shared" si="44"/>
        <v/>
      </c>
      <c r="B289" s="31"/>
      <c r="C289" s="8"/>
      <c r="D289" s="8"/>
      <c r="E289" s="8"/>
      <c r="F289" s="32"/>
      <c r="G289" s="32"/>
      <c r="H289" s="32"/>
      <c r="I289" s="1" t="str">
        <f t="shared" si="45"/>
        <v/>
      </c>
      <c r="J289" s="1" t="str">
        <f t="shared" si="46"/>
        <v/>
      </c>
      <c r="K289" s="1" t="str">
        <f t="shared" si="47"/>
        <v/>
      </c>
      <c r="L289" s="8"/>
      <c r="M289" s="1" t="str">
        <f t="shared" si="48"/>
        <v/>
      </c>
      <c r="N289" s="1" t="str">
        <f t="shared" si="49"/>
        <v/>
      </c>
      <c r="O289" s="33" t="str">
        <f t="shared" si="50"/>
        <v/>
      </c>
      <c r="P289" s="34" t="str">
        <f>IF(B289="","",C289&amp;"|"&amp;ROUND(O289,2)&amp;"|"&amp;COUNTIFS($C$4:C289,C289,$O$4:O289,O289))</f>
        <v/>
      </c>
      <c r="Q289" s="34">
        <f t="shared" si="51"/>
        <v>0</v>
      </c>
      <c r="R289" s="34">
        <f t="shared" si="52"/>
        <v>0</v>
      </c>
      <c r="S289" s="34" t="str">
        <f>IF(AND(B289&lt;&gt;"",C289=CompteSel,N(B289)&lt;=DateArret,R289=0),MAX($S$3:S288)+1,"")</f>
        <v/>
      </c>
      <c r="T289" s="34">
        <f t="shared" si="53"/>
        <v>0</v>
      </c>
      <c r="U289" s="34">
        <f t="shared" si="54"/>
        <v>9</v>
      </c>
    </row>
    <row r="290" spans="1:21" x14ac:dyDescent="0.35">
      <c r="A290" s="1" t="str">
        <f t="shared" si="44"/>
        <v/>
      </c>
      <c r="B290" s="31"/>
      <c r="C290" s="8"/>
      <c r="D290" s="8"/>
      <c r="E290" s="8"/>
      <c r="F290" s="32"/>
      <c r="G290" s="32"/>
      <c r="H290" s="32"/>
      <c r="I290" s="1" t="str">
        <f t="shared" si="45"/>
        <v/>
      </c>
      <c r="J290" s="1" t="str">
        <f t="shared" si="46"/>
        <v/>
      </c>
      <c r="K290" s="1" t="str">
        <f t="shared" si="47"/>
        <v/>
      </c>
      <c r="L290" s="8"/>
      <c r="M290" s="1" t="str">
        <f t="shared" si="48"/>
        <v/>
      </c>
      <c r="N290" s="1" t="str">
        <f t="shared" si="49"/>
        <v/>
      </c>
      <c r="O290" s="33" t="str">
        <f t="shared" si="50"/>
        <v/>
      </c>
      <c r="P290" s="34" t="str">
        <f>IF(B290="","",C290&amp;"|"&amp;ROUND(O290,2)&amp;"|"&amp;COUNTIFS($C$4:C290,C290,$O$4:O290,O290))</f>
        <v/>
      </c>
      <c r="Q290" s="34">
        <f t="shared" si="51"/>
        <v>0</v>
      </c>
      <c r="R290" s="34">
        <f t="shared" si="52"/>
        <v>0</v>
      </c>
      <c r="S290" s="34" t="str">
        <f>IF(AND(B290&lt;&gt;"",C290=CompteSel,N(B290)&lt;=DateArret,R290=0),MAX($S$3:S289)+1,"")</f>
        <v/>
      </c>
      <c r="T290" s="34">
        <f t="shared" si="53"/>
        <v>0</v>
      </c>
      <c r="U290" s="34">
        <f t="shared" si="54"/>
        <v>9</v>
      </c>
    </row>
    <row r="291" spans="1:21" x14ac:dyDescent="0.35">
      <c r="A291" s="1" t="str">
        <f t="shared" si="44"/>
        <v/>
      </c>
      <c r="B291" s="31"/>
      <c r="C291" s="8"/>
      <c r="D291" s="8"/>
      <c r="E291" s="8"/>
      <c r="F291" s="32"/>
      <c r="G291" s="32"/>
      <c r="H291" s="32"/>
      <c r="I291" s="1" t="str">
        <f t="shared" si="45"/>
        <v/>
      </c>
      <c r="J291" s="1" t="str">
        <f t="shared" si="46"/>
        <v/>
      </c>
      <c r="K291" s="1" t="str">
        <f t="shared" si="47"/>
        <v/>
      </c>
      <c r="L291" s="8"/>
      <c r="M291" s="1" t="str">
        <f t="shared" si="48"/>
        <v/>
      </c>
      <c r="N291" s="1" t="str">
        <f t="shared" si="49"/>
        <v/>
      </c>
      <c r="O291" s="33" t="str">
        <f t="shared" si="50"/>
        <v/>
      </c>
      <c r="P291" s="34" t="str">
        <f>IF(B291="","",C291&amp;"|"&amp;ROUND(O291,2)&amp;"|"&amp;COUNTIFS($C$4:C291,C291,$O$4:O291,O291))</f>
        <v/>
      </c>
      <c r="Q291" s="34">
        <f t="shared" si="51"/>
        <v>0</v>
      </c>
      <c r="R291" s="34">
        <f t="shared" si="52"/>
        <v>0</v>
      </c>
      <c r="S291" s="34" t="str">
        <f>IF(AND(B291&lt;&gt;"",C291=CompteSel,N(B291)&lt;=DateArret,R291=0),MAX($S$3:S290)+1,"")</f>
        <v/>
      </c>
      <c r="T291" s="34">
        <f t="shared" si="53"/>
        <v>0</v>
      </c>
      <c r="U291" s="34">
        <f t="shared" si="54"/>
        <v>9</v>
      </c>
    </row>
    <row r="292" spans="1:21" x14ac:dyDescent="0.35">
      <c r="A292" s="1" t="str">
        <f t="shared" si="44"/>
        <v/>
      </c>
      <c r="B292" s="31"/>
      <c r="C292" s="8"/>
      <c r="D292" s="8"/>
      <c r="E292" s="8"/>
      <c r="F292" s="32"/>
      <c r="G292" s="32"/>
      <c r="H292" s="32"/>
      <c r="I292" s="1" t="str">
        <f t="shared" si="45"/>
        <v/>
      </c>
      <c r="J292" s="1" t="str">
        <f t="shared" si="46"/>
        <v/>
      </c>
      <c r="K292" s="1" t="str">
        <f t="shared" si="47"/>
        <v/>
      </c>
      <c r="L292" s="8"/>
      <c r="M292" s="1" t="str">
        <f t="shared" si="48"/>
        <v/>
      </c>
      <c r="N292" s="1" t="str">
        <f t="shared" si="49"/>
        <v/>
      </c>
      <c r="O292" s="33" t="str">
        <f t="shared" si="50"/>
        <v/>
      </c>
      <c r="P292" s="34" t="str">
        <f>IF(B292="","",C292&amp;"|"&amp;ROUND(O292,2)&amp;"|"&amp;COUNTIFS($C$4:C292,C292,$O$4:O292,O292))</f>
        <v/>
      </c>
      <c r="Q292" s="34">
        <f t="shared" si="51"/>
        <v>0</v>
      </c>
      <c r="R292" s="34">
        <f t="shared" si="52"/>
        <v>0</v>
      </c>
      <c r="S292" s="34" t="str">
        <f>IF(AND(B292&lt;&gt;"",C292=CompteSel,N(B292)&lt;=DateArret,R292=0),MAX($S$3:S291)+1,"")</f>
        <v/>
      </c>
      <c r="T292" s="34">
        <f t="shared" si="53"/>
        <v>0</v>
      </c>
      <c r="U292" s="34">
        <f t="shared" si="54"/>
        <v>9</v>
      </c>
    </row>
    <row r="293" spans="1:21" x14ac:dyDescent="0.35">
      <c r="A293" s="1" t="str">
        <f t="shared" si="44"/>
        <v/>
      </c>
      <c r="B293" s="31"/>
      <c r="C293" s="8"/>
      <c r="D293" s="8"/>
      <c r="E293" s="8"/>
      <c r="F293" s="32"/>
      <c r="G293" s="32"/>
      <c r="H293" s="32"/>
      <c r="I293" s="1" t="str">
        <f t="shared" si="45"/>
        <v/>
      </c>
      <c r="J293" s="1" t="str">
        <f t="shared" si="46"/>
        <v/>
      </c>
      <c r="K293" s="1" t="str">
        <f t="shared" si="47"/>
        <v/>
      </c>
      <c r="L293" s="8"/>
      <c r="M293" s="1" t="str">
        <f t="shared" si="48"/>
        <v/>
      </c>
      <c r="N293" s="1" t="str">
        <f t="shared" si="49"/>
        <v/>
      </c>
      <c r="O293" s="33" t="str">
        <f t="shared" si="50"/>
        <v/>
      </c>
      <c r="P293" s="34" t="str">
        <f>IF(B293="","",C293&amp;"|"&amp;ROUND(O293,2)&amp;"|"&amp;COUNTIFS($C$4:C293,C293,$O$4:O293,O293))</f>
        <v/>
      </c>
      <c r="Q293" s="34">
        <f t="shared" si="51"/>
        <v>0</v>
      </c>
      <c r="R293" s="34">
        <f t="shared" si="52"/>
        <v>0</v>
      </c>
      <c r="S293" s="34" t="str">
        <f>IF(AND(B293&lt;&gt;"",C293=CompteSel,N(B293)&lt;=DateArret,R293=0),MAX($S$3:S292)+1,"")</f>
        <v/>
      </c>
      <c r="T293" s="34">
        <f t="shared" si="53"/>
        <v>0</v>
      </c>
      <c r="U293" s="34">
        <f t="shared" si="54"/>
        <v>9</v>
      </c>
    </row>
    <row r="294" spans="1:21" x14ac:dyDescent="0.35">
      <c r="A294" s="1" t="str">
        <f t="shared" si="44"/>
        <v/>
      </c>
      <c r="B294" s="31"/>
      <c r="C294" s="8"/>
      <c r="D294" s="8"/>
      <c r="E294" s="8"/>
      <c r="F294" s="32"/>
      <c r="G294" s="32"/>
      <c r="H294" s="32"/>
      <c r="I294" s="1" t="str">
        <f t="shared" si="45"/>
        <v/>
      </c>
      <c r="J294" s="1" t="str">
        <f t="shared" si="46"/>
        <v/>
      </c>
      <c r="K294" s="1" t="str">
        <f t="shared" si="47"/>
        <v/>
      </c>
      <c r="L294" s="8"/>
      <c r="M294" s="1" t="str">
        <f t="shared" si="48"/>
        <v/>
      </c>
      <c r="N294" s="1" t="str">
        <f t="shared" si="49"/>
        <v/>
      </c>
      <c r="O294" s="33" t="str">
        <f t="shared" si="50"/>
        <v/>
      </c>
      <c r="P294" s="34" t="str">
        <f>IF(B294="","",C294&amp;"|"&amp;ROUND(O294,2)&amp;"|"&amp;COUNTIFS($C$4:C294,C294,$O$4:O294,O294))</f>
        <v/>
      </c>
      <c r="Q294" s="34">
        <f t="shared" si="51"/>
        <v>0</v>
      </c>
      <c r="R294" s="34">
        <f t="shared" si="52"/>
        <v>0</v>
      </c>
      <c r="S294" s="34" t="str">
        <f>IF(AND(B294&lt;&gt;"",C294=CompteSel,N(B294)&lt;=DateArret,R294=0),MAX($S$3:S293)+1,"")</f>
        <v/>
      </c>
      <c r="T294" s="34">
        <f t="shared" si="53"/>
        <v>0</v>
      </c>
      <c r="U294" s="34">
        <f t="shared" si="54"/>
        <v>9</v>
      </c>
    </row>
    <row r="295" spans="1:21" x14ac:dyDescent="0.35">
      <c r="A295" s="1" t="str">
        <f t="shared" si="44"/>
        <v/>
      </c>
      <c r="B295" s="31"/>
      <c r="C295" s="8"/>
      <c r="D295" s="8"/>
      <c r="E295" s="8"/>
      <c r="F295" s="32"/>
      <c r="G295" s="32"/>
      <c r="H295" s="32"/>
      <c r="I295" s="1" t="str">
        <f t="shared" si="45"/>
        <v/>
      </c>
      <c r="J295" s="1" t="str">
        <f t="shared" si="46"/>
        <v/>
      </c>
      <c r="K295" s="1" t="str">
        <f t="shared" si="47"/>
        <v/>
      </c>
      <c r="L295" s="8"/>
      <c r="M295" s="1" t="str">
        <f t="shared" si="48"/>
        <v/>
      </c>
      <c r="N295" s="1" t="str">
        <f t="shared" si="49"/>
        <v/>
      </c>
      <c r="O295" s="33" t="str">
        <f t="shared" si="50"/>
        <v/>
      </c>
      <c r="P295" s="34" t="str">
        <f>IF(B295="","",C295&amp;"|"&amp;ROUND(O295,2)&amp;"|"&amp;COUNTIFS($C$4:C295,C295,$O$4:O295,O295))</f>
        <v/>
      </c>
      <c r="Q295" s="34">
        <f t="shared" si="51"/>
        <v>0</v>
      </c>
      <c r="R295" s="34">
        <f t="shared" si="52"/>
        <v>0</v>
      </c>
      <c r="S295" s="34" t="str">
        <f>IF(AND(B295&lt;&gt;"",C295=CompteSel,N(B295)&lt;=DateArret,R295=0),MAX($S$3:S294)+1,"")</f>
        <v/>
      </c>
      <c r="T295" s="34">
        <f t="shared" si="53"/>
        <v>0</v>
      </c>
      <c r="U295" s="34">
        <f t="shared" si="54"/>
        <v>9</v>
      </c>
    </row>
    <row r="296" spans="1:21" x14ac:dyDescent="0.35">
      <c r="A296" s="1" t="str">
        <f t="shared" si="44"/>
        <v/>
      </c>
      <c r="B296" s="31"/>
      <c r="C296" s="8"/>
      <c r="D296" s="8"/>
      <c r="E296" s="8"/>
      <c r="F296" s="32"/>
      <c r="G296" s="32"/>
      <c r="H296" s="32"/>
      <c r="I296" s="1" t="str">
        <f t="shared" si="45"/>
        <v/>
      </c>
      <c r="J296" s="1" t="str">
        <f t="shared" si="46"/>
        <v/>
      </c>
      <c r="K296" s="1" t="str">
        <f t="shared" si="47"/>
        <v/>
      </c>
      <c r="L296" s="8"/>
      <c r="M296" s="1" t="str">
        <f t="shared" si="48"/>
        <v/>
      </c>
      <c r="N296" s="1" t="str">
        <f t="shared" si="49"/>
        <v/>
      </c>
      <c r="O296" s="33" t="str">
        <f t="shared" si="50"/>
        <v/>
      </c>
      <c r="P296" s="34" t="str">
        <f>IF(B296="","",C296&amp;"|"&amp;ROUND(O296,2)&amp;"|"&amp;COUNTIFS($C$4:C296,C296,$O$4:O296,O296))</f>
        <v/>
      </c>
      <c r="Q296" s="34">
        <f t="shared" si="51"/>
        <v>0</v>
      </c>
      <c r="R296" s="34">
        <f t="shared" si="52"/>
        <v>0</v>
      </c>
      <c r="S296" s="34" t="str">
        <f>IF(AND(B296&lt;&gt;"",C296=CompteSel,N(B296)&lt;=DateArret,R296=0),MAX($S$3:S295)+1,"")</f>
        <v/>
      </c>
      <c r="T296" s="34">
        <f t="shared" si="53"/>
        <v>0</v>
      </c>
      <c r="U296" s="34">
        <f t="shared" si="54"/>
        <v>9</v>
      </c>
    </row>
    <row r="297" spans="1:21" x14ac:dyDescent="0.35">
      <c r="A297" s="1" t="str">
        <f t="shared" si="44"/>
        <v/>
      </c>
      <c r="B297" s="31"/>
      <c r="C297" s="8"/>
      <c r="D297" s="8"/>
      <c r="E297" s="8"/>
      <c r="F297" s="32"/>
      <c r="G297" s="32"/>
      <c r="H297" s="32"/>
      <c r="I297" s="1" t="str">
        <f t="shared" si="45"/>
        <v/>
      </c>
      <c r="J297" s="1" t="str">
        <f t="shared" si="46"/>
        <v/>
      </c>
      <c r="K297" s="1" t="str">
        <f t="shared" si="47"/>
        <v/>
      </c>
      <c r="L297" s="8"/>
      <c r="M297" s="1" t="str">
        <f t="shared" si="48"/>
        <v/>
      </c>
      <c r="N297" s="1" t="str">
        <f t="shared" si="49"/>
        <v/>
      </c>
      <c r="O297" s="33" t="str">
        <f t="shared" si="50"/>
        <v/>
      </c>
      <c r="P297" s="34" t="str">
        <f>IF(B297="","",C297&amp;"|"&amp;ROUND(O297,2)&amp;"|"&amp;COUNTIFS($C$4:C297,C297,$O$4:O297,O297))</f>
        <v/>
      </c>
      <c r="Q297" s="34">
        <f t="shared" si="51"/>
        <v>0</v>
      </c>
      <c r="R297" s="34">
        <f t="shared" si="52"/>
        <v>0</v>
      </c>
      <c r="S297" s="34" t="str">
        <f>IF(AND(B297&lt;&gt;"",C297=CompteSel,N(B297)&lt;=DateArret,R297=0),MAX($S$3:S296)+1,"")</f>
        <v/>
      </c>
      <c r="T297" s="34">
        <f t="shared" si="53"/>
        <v>0</v>
      </c>
      <c r="U297" s="34">
        <f t="shared" si="54"/>
        <v>9</v>
      </c>
    </row>
    <row r="298" spans="1:21" x14ac:dyDescent="0.35">
      <c r="A298" s="1" t="str">
        <f t="shared" si="44"/>
        <v/>
      </c>
      <c r="B298" s="31"/>
      <c r="C298" s="8"/>
      <c r="D298" s="8"/>
      <c r="E298" s="8"/>
      <c r="F298" s="32"/>
      <c r="G298" s="32"/>
      <c r="H298" s="32"/>
      <c r="I298" s="1" t="str">
        <f t="shared" si="45"/>
        <v/>
      </c>
      <c r="J298" s="1" t="str">
        <f t="shared" si="46"/>
        <v/>
      </c>
      <c r="K298" s="1" t="str">
        <f t="shared" si="47"/>
        <v/>
      </c>
      <c r="L298" s="8"/>
      <c r="M298" s="1" t="str">
        <f t="shared" si="48"/>
        <v/>
      </c>
      <c r="N298" s="1" t="str">
        <f t="shared" si="49"/>
        <v/>
      </c>
      <c r="O298" s="33" t="str">
        <f t="shared" si="50"/>
        <v/>
      </c>
      <c r="P298" s="34" t="str">
        <f>IF(B298="","",C298&amp;"|"&amp;ROUND(O298,2)&amp;"|"&amp;COUNTIFS($C$4:C298,C298,$O$4:O298,O298))</f>
        <v/>
      </c>
      <c r="Q298" s="34">
        <f t="shared" si="51"/>
        <v>0</v>
      </c>
      <c r="R298" s="34">
        <f t="shared" si="52"/>
        <v>0</v>
      </c>
      <c r="S298" s="34" t="str">
        <f>IF(AND(B298&lt;&gt;"",C298=CompteSel,N(B298)&lt;=DateArret,R298=0),MAX($S$3:S297)+1,"")</f>
        <v/>
      </c>
      <c r="T298" s="34">
        <f t="shared" si="53"/>
        <v>0</v>
      </c>
      <c r="U298" s="34">
        <f t="shared" si="54"/>
        <v>9</v>
      </c>
    </row>
    <row r="299" spans="1:21" x14ac:dyDescent="0.35">
      <c r="A299" s="1" t="str">
        <f t="shared" si="44"/>
        <v/>
      </c>
      <c r="B299" s="31"/>
      <c r="C299" s="8"/>
      <c r="D299" s="8"/>
      <c r="E299" s="8"/>
      <c r="F299" s="32"/>
      <c r="G299" s="32"/>
      <c r="H299" s="32"/>
      <c r="I299" s="1" t="str">
        <f t="shared" si="45"/>
        <v/>
      </c>
      <c r="J299" s="1" t="str">
        <f t="shared" si="46"/>
        <v/>
      </c>
      <c r="K299" s="1" t="str">
        <f t="shared" si="47"/>
        <v/>
      </c>
      <c r="L299" s="8"/>
      <c r="M299" s="1" t="str">
        <f t="shared" si="48"/>
        <v/>
      </c>
      <c r="N299" s="1" t="str">
        <f t="shared" si="49"/>
        <v/>
      </c>
      <c r="O299" s="33" t="str">
        <f t="shared" si="50"/>
        <v/>
      </c>
      <c r="P299" s="34" t="str">
        <f>IF(B299="","",C299&amp;"|"&amp;ROUND(O299,2)&amp;"|"&amp;COUNTIFS($C$4:C299,C299,$O$4:O299,O299))</f>
        <v/>
      </c>
      <c r="Q299" s="34">
        <f t="shared" si="51"/>
        <v>0</v>
      </c>
      <c r="R299" s="34">
        <f t="shared" si="52"/>
        <v>0</v>
      </c>
      <c r="S299" s="34" t="str">
        <f>IF(AND(B299&lt;&gt;"",C299=CompteSel,N(B299)&lt;=DateArret,R299=0),MAX($S$3:S298)+1,"")</f>
        <v/>
      </c>
      <c r="T299" s="34">
        <f t="shared" si="53"/>
        <v>0</v>
      </c>
      <c r="U299" s="34">
        <f t="shared" si="54"/>
        <v>9</v>
      </c>
    </row>
    <row r="300" spans="1:21" x14ac:dyDescent="0.35">
      <c r="A300" s="1" t="str">
        <f t="shared" si="44"/>
        <v/>
      </c>
      <c r="B300" s="31"/>
      <c r="C300" s="8"/>
      <c r="D300" s="8"/>
      <c r="E300" s="8"/>
      <c r="F300" s="32"/>
      <c r="G300" s="32"/>
      <c r="H300" s="32"/>
      <c r="I300" s="1" t="str">
        <f t="shared" si="45"/>
        <v/>
      </c>
      <c r="J300" s="1" t="str">
        <f t="shared" si="46"/>
        <v/>
      </c>
      <c r="K300" s="1" t="str">
        <f t="shared" si="47"/>
        <v/>
      </c>
      <c r="L300" s="8"/>
      <c r="M300" s="1" t="str">
        <f t="shared" si="48"/>
        <v/>
      </c>
      <c r="N300" s="1" t="str">
        <f t="shared" si="49"/>
        <v/>
      </c>
      <c r="O300" s="33" t="str">
        <f t="shared" si="50"/>
        <v/>
      </c>
      <c r="P300" s="34" t="str">
        <f>IF(B300="","",C300&amp;"|"&amp;ROUND(O300,2)&amp;"|"&amp;COUNTIFS($C$4:C300,C300,$O$4:O300,O300))</f>
        <v/>
      </c>
      <c r="Q300" s="34">
        <f t="shared" si="51"/>
        <v>0</v>
      </c>
      <c r="R300" s="34">
        <f t="shared" si="52"/>
        <v>0</v>
      </c>
      <c r="S300" s="34" t="str">
        <f>IF(AND(B300&lt;&gt;"",C300=CompteSel,N(B300)&lt;=DateArret,R300=0),MAX($S$3:S299)+1,"")</f>
        <v/>
      </c>
      <c r="T300" s="34">
        <f t="shared" si="53"/>
        <v>0</v>
      </c>
      <c r="U300" s="34">
        <f t="shared" si="54"/>
        <v>9</v>
      </c>
    </row>
    <row r="301" spans="1:21" x14ac:dyDescent="0.35">
      <c r="A301" s="1" t="str">
        <f t="shared" si="44"/>
        <v/>
      </c>
      <c r="B301" s="31"/>
      <c r="C301" s="8"/>
      <c r="D301" s="8"/>
      <c r="E301" s="8"/>
      <c r="F301" s="32"/>
      <c r="G301" s="32"/>
      <c r="H301" s="32"/>
      <c r="I301" s="1" t="str">
        <f t="shared" si="45"/>
        <v/>
      </c>
      <c r="J301" s="1" t="str">
        <f t="shared" si="46"/>
        <v/>
      </c>
      <c r="K301" s="1" t="str">
        <f t="shared" si="47"/>
        <v/>
      </c>
      <c r="L301" s="8"/>
      <c r="M301" s="1" t="str">
        <f t="shared" si="48"/>
        <v/>
      </c>
      <c r="N301" s="1" t="str">
        <f t="shared" si="49"/>
        <v/>
      </c>
      <c r="O301" s="33" t="str">
        <f t="shared" si="50"/>
        <v/>
      </c>
      <c r="P301" s="34" t="str">
        <f>IF(B301="","",C301&amp;"|"&amp;ROUND(O301,2)&amp;"|"&amp;COUNTIFS($C$4:C301,C301,$O$4:O301,O301))</f>
        <v/>
      </c>
      <c r="Q301" s="34">
        <f t="shared" si="51"/>
        <v>0</v>
      </c>
      <c r="R301" s="34">
        <f t="shared" si="52"/>
        <v>0</v>
      </c>
      <c r="S301" s="34" t="str">
        <f>IF(AND(B301&lt;&gt;"",C301=CompteSel,N(B301)&lt;=DateArret,R301=0),MAX($S$3:S300)+1,"")</f>
        <v/>
      </c>
      <c r="T301" s="34">
        <f t="shared" si="53"/>
        <v>0</v>
      </c>
      <c r="U301" s="34">
        <f t="shared" si="54"/>
        <v>9</v>
      </c>
    </row>
    <row r="302" spans="1:21" x14ac:dyDescent="0.35">
      <c r="A302" s="1" t="str">
        <f t="shared" si="44"/>
        <v/>
      </c>
      <c r="B302" s="31"/>
      <c r="C302" s="8"/>
      <c r="D302" s="8"/>
      <c r="E302" s="8"/>
      <c r="F302" s="32"/>
      <c r="G302" s="32"/>
      <c r="H302" s="32"/>
      <c r="I302" s="1" t="str">
        <f t="shared" si="45"/>
        <v/>
      </c>
      <c r="J302" s="1" t="str">
        <f t="shared" si="46"/>
        <v/>
      </c>
      <c r="K302" s="1" t="str">
        <f t="shared" si="47"/>
        <v/>
      </c>
      <c r="L302" s="8"/>
      <c r="M302" s="1" t="str">
        <f t="shared" si="48"/>
        <v/>
      </c>
      <c r="N302" s="1" t="str">
        <f t="shared" si="49"/>
        <v/>
      </c>
      <c r="O302" s="33" t="str">
        <f t="shared" si="50"/>
        <v/>
      </c>
      <c r="P302" s="34" t="str">
        <f>IF(B302="","",C302&amp;"|"&amp;ROUND(O302,2)&amp;"|"&amp;COUNTIFS($C$4:C302,C302,$O$4:O302,O302))</f>
        <v/>
      </c>
      <c r="Q302" s="34">
        <f t="shared" si="51"/>
        <v>0</v>
      </c>
      <c r="R302" s="34">
        <f t="shared" si="52"/>
        <v>0</v>
      </c>
      <c r="S302" s="34" t="str">
        <f>IF(AND(B302&lt;&gt;"",C302=CompteSel,N(B302)&lt;=DateArret,R302=0),MAX($S$3:S301)+1,"")</f>
        <v/>
      </c>
      <c r="T302" s="34">
        <f t="shared" si="53"/>
        <v>0</v>
      </c>
      <c r="U302" s="34">
        <f t="shared" si="54"/>
        <v>9</v>
      </c>
    </row>
    <row r="303" spans="1:21" x14ac:dyDescent="0.35">
      <c r="A303" s="1" t="str">
        <f t="shared" si="44"/>
        <v/>
      </c>
      <c r="B303" s="31"/>
      <c r="C303" s="8"/>
      <c r="D303" s="8"/>
      <c r="E303" s="8"/>
      <c r="F303" s="32"/>
      <c r="G303" s="32"/>
      <c r="H303" s="32"/>
      <c r="I303" s="1" t="str">
        <f t="shared" si="45"/>
        <v/>
      </c>
      <c r="J303" s="1" t="str">
        <f t="shared" si="46"/>
        <v/>
      </c>
      <c r="K303" s="1" t="str">
        <f t="shared" si="47"/>
        <v/>
      </c>
      <c r="L303" s="8"/>
      <c r="M303" s="1" t="str">
        <f t="shared" si="48"/>
        <v/>
      </c>
      <c r="N303" s="1" t="str">
        <f t="shared" si="49"/>
        <v/>
      </c>
      <c r="O303" s="33" t="str">
        <f t="shared" si="50"/>
        <v/>
      </c>
      <c r="P303" s="34" t="str">
        <f>IF(B303="","",C303&amp;"|"&amp;ROUND(O303,2)&amp;"|"&amp;COUNTIFS($C$4:C303,C303,$O$4:O303,O303))</f>
        <v/>
      </c>
      <c r="Q303" s="34">
        <f t="shared" si="51"/>
        <v>0</v>
      </c>
      <c r="R303" s="34">
        <f t="shared" si="52"/>
        <v>0</v>
      </c>
      <c r="S303" s="34" t="str">
        <f>IF(AND(B303&lt;&gt;"",C303=CompteSel,N(B303)&lt;=DateArret,R303=0),MAX($S$3:S302)+1,"")</f>
        <v/>
      </c>
      <c r="T303" s="34">
        <f t="shared" si="53"/>
        <v>0</v>
      </c>
      <c r="U303" s="34">
        <f t="shared" si="54"/>
        <v>9</v>
      </c>
    </row>
    <row r="304" spans="1:21" x14ac:dyDescent="0.35">
      <c r="A304" s="1" t="str">
        <f t="shared" si="44"/>
        <v/>
      </c>
      <c r="B304" s="31"/>
      <c r="C304" s="8"/>
      <c r="D304" s="8"/>
      <c r="E304" s="8"/>
      <c r="F304" s="32"/>
      <c r="G304" s="32"/>
      <c r="H304" s="32"/>
      <c r="I304" s="1" t="str">
        <f t="shared" si="45"/>
        <v/>
      </c>
      <c r="J304" s="1" t="str">
        <f t="shared" si="46"/>
        <v/>
      </c>
      <c r="K304" s="1" t="str">
        <f t="shared" si="47"/>
        <v/>
      </c>
      <c r="L304" s="8"/>
      <c r="M304" s="1" t="str">
        <f t="shared" si="48"/>
        <v/>
      </c>
      <c r="N304" s="1" t="str">
        <f t="shared" si="49"/>
        <v/>
      </c>
      <c r="O304" s="33" t="str">
        <f t="shared" si="50"/>
        <v/>
      </c>
      <c r="P304" s="34" t="str">
        <f>IF(B304="","",C304&amp;"|"&amp;ROUND(O304,2)&amp;"|"&amp;COUNTIFS($C$4:C304,C304,$O$4:O304,O304))</f>
        <v/>
      </c>
      <c r="Q304" s="34">
        <f t="shared" si="51"/>
        <v>0</v>
      </c>
      <c r="R304" s="34">
        <f t="shared" si="52"/>
        <v>0</v>
      </c>
      <c r="S304" s="34" t="str">
        <f>IF(AND(B304&lt;&gt;"",C304=CompteSel,N(B304)&lt;=DateArret,R304=0),MAX($S$3:S303)+1,"")</f>
        <v/>
      </c>
      <c r="T304" s="34">
        <f t="shared" si="53"/>
        <v>0</v>
      </c>
      <c r="U304" s="34">
        <f t="shared" si="54"/>
        <v>9</v>
      </c>
    </row>
    <row r="305" spans="1:21" x14ac:dyDescent="0.35">
      <c r="A305" s="1" t="str">
        <f t="shared" si="44"/>
        <v/>
      </c>
      <c r="B305" s="31"/>
      <c r="C305" s="8"/>
      <c r="D305" s="8"/>
      <c r="E305" s="8"/>
      <c r="F305" s="32"/>
      <c r="G305" s="32"/>
      <c r="H305" s="32"/>
      <c r="I305" s="1" t="str">
        <f t="shared" si="45"/>
        <v/>
      </c>
      <c r="J305" s="1" t="str">
        <f t="shared" si="46"/>
        <v/>
      </c>
      <c r="K305" s="1" t="str">
        <f t="shared" si="47"/>
        <v/>
      </c>
      <c r="L305" s="8"/>
      <c r="M305" s="1" t="str">
        <f t="shared" si="48"/>
        <v/>
      </c>
      <c r="N305" s="1" t="str">
        <f t="shared" si="49"/>
        <v/>
      </c>
      <c r="O305" s="33" t="str">
        <f t="shared" si="50"/>
        <v/>
      </c>
      <c r="P305" s="34" t="str">
        <f>IF(B305="","",C305&amp;"|"&amp;ROUND(O305,2)&amp;"|"&amp;COUNTIFS($C$4:C305,C305,$O$4:O305,O305))</f>
        <v/>
      </c>
      <c r="Q305" s="34">
        <f t="shared" si="51"/>
        <v>0</v>
      </c>
      <c r="R305" s="34">
        <f t="shared" si="52"/>
        <v>0</v>
      </c>
      <c r="S305" s="34" t="str">
        <f>IF(AND(B305&lt;&gt;"",C305=CompteSel,N(B305)&lt;=DateArret,R305=0),MAX($S$3:S304)+1,"")</f>
        <v/>
      </c>
      <c r="T305" s="34">
        <f t="shared" si="53"/>
        <v>0</v>
      </c>
      <c r="U305" s="34">
        <f t="shared" si="54"/>
        <v>9</v>
      </c>
    </row>
    <row r="306" spans="1:21" x14ac:dyDescent="0.35">
      <c r="A306" s="1" t="str">
        <f t="shared" si="44"/>
        <v/>
      </c>
      <c r="B306" s="31"/>
      <c r="C306" s="8"/>
      <c r="D306" s="8"/>
      <c r="E306" s="8"/>
      <c r="F306" s="32"/>
      <c r="G306" s="32"/>
      <c r="H306" s="32"/>
      <c r="I306" s="1" t="str">
        <f t="shared" si="45"/>
        <v/>
      </c>
      <c r="J306" s="1" t="str">
        <f t="shared" si="46"/>
        <v/>
      </c>
      <c r="K306" s="1" t="str">
        <f t="shared" si="47"/>
        <v/>
      </c>
      <c r="L306" s="8"/>
      <c r="M306" s="1" t="str">
        <f t="shared" si="48"/>
        <v/>
      </c>
      <c r="N306" s="1" t="str">
        <f t="shared" si="49"/>
        <v/>
      </c>
      <c r="O306" s="33" t="str">
        <f t="shared" si="50"/>
        <v/>
      </c>
      <c r="P306" s="34" t="str">
        <f>IF(B306="","",C306&amp;"|"&amp;ROUND(O306,2)&amp;"|"&amp;COUNTIFS($C$4:C306,C306,$O$4:O306,O306))</f>
        <v/>
      </c>
      <c r="Q306" s="34">
        <f t="shared" si="51"/>
        <v>0</v>
      </c>
      <c r="R306" s="34">
        <f t="shared" si="52"/>
        <v>0</v>
      </c>
      <c r="S306" s="34" t="str">
        <f>IF(AND(B306&lt;&gt;"",C306=CompteSel,N(B306)&lt;=DateArret,R306=0),MAX($S$3:S305)+1,"")</f>
        <v/>
      </c>
      <c r="T306" s="34">
        <f t="shared" si="53"/>
        <v>0</v>
      </c>
      <c r="U306" s="34">
        <f t="shared" si="54"/>
        <v>9</v>
      </c>
    </row>
    <row r="307" spans="1:21" x14ac:dyDescent="0.35">
      <c r="A307" s="1" t="str">
        <f t="shared" si="44"/>
        <v/>
      </c>
      <c r="B307" s="31"/>
      <c r="C307" s="8"/>
      <c r="D307" s="8"/>
      <c r="E307" s="8"/>
      <c r="F307" s="32"/>
      <c r="G307" s="32"/>
      <c r="H307" s="32"/>
      <c r="I307" s="1" t="str">
        <f t="shared" si="45"/>
        <v/>
      </c>
      <c r="J307" s="1" t="str">
        <f t="shared" si="46"/>
        <v/>
      </c>
      <c r="K307" s="1" t="str">
        <f t="shared" si="47"/>
        <v/>
      </c>
      <c r="L307" s="8"/>
      <c r="M307" s="1" t="str">
        <f t="shared" si="48"/>
        <v/>
      </c>
      <c r="N307" s="1" t="str">
        <f t="shared" si="49"/>
        <v/>
      </c>
      <c r="O307" s="33" t="str">
        <f t="shared" si="50"/>
        <v/>
      </c>
      <c r="P307" s="34" t="str">
        <f>IF(B307="","",C307&amp;"|"&amp;ROUND(O307,2)&amp;"|"&amp;COUNTIFS($C$4:C307,C307,$O$4:O307,O307))</f>
        <v/>
      </c>
      <c r="Q307" s="34">
        <f t="shared" si="51"/>
        <v>0</v>
      </c>
      <c r="R307" s="34">
        <f t="shared" si="52"/>
        <v>0</v>
      </c>
      <c r="S307" s="34" t="str">
        <f>IF(AND(B307&lt;&gt;"",C307=CompteSel,N(B307)&lt;=DateArret,R307=0),MAX($S$3:S306)+1,"")</f>
        <v/>
      </c>
      <c r="T307" s="34">
        <f t="shared" si="53"/>
        <v>0</v>
      </c>
      <c r="U307" s="34">
        <f t="shared" si="54"/>
        <v>9</v>
      </c>
    </row>
    <row r="308" spans="1:21" x14ac:dyDescent="0.35">
      <c r="A308" s="1" t="str">
        <f t="shared" si="44"/>
        <v/>
      </c>
      <c r="B308" s="31"/>
      <c r="C308" s="8"/>
      <c r="D308" s="8"/>
      <c r="E308" s="8"/>
      <c r="F308" s="32"/>
      <c r="G308" s="32"/>
      <c r="H308" s="32"/>
      <c r="I308" s="1" t="str">
        <f t="shared" si="45"/>
        <v/>
      </c>
      <c r="J308" s="1" t="str">
        <f t="shared" si="46"/>
        <v/>
      </c>
      <c r="K308" s="1" t="str">
        <f t="shared" si="47"/>
        <v/>
      </c>
      <c r="L308" s="8"/>
      <c r="M308" s="1" t="str">
        <f t="shared" si="48"/>
        <v/>
      </c>
      <c r="N308" s="1" t="str">
        <f t="shared" si="49"/>
        <v/>
      </c>
      <c r="O308" s="33" t="str">
        <f t="shared" si="50"/>
        <v/>
      </c>
      <c r="P308" s="34" t="str">
        <f>IF(B308="","",C308&amp;"|"&amp;ROUND(O308,2)&amp;"|"&amp;COUNTIFS($C$4:C308,C308,$O$4:O308,O308))</f>
        <v/>
      </c>
      <c r="Q308" s="34">
        <f t="shared" si="51"/>
        <v>0</v>
      </c>
      <c r="R308" s="34">
        <f t="shared" si="52"/>
        <v>0</v>
      </c>
      <c r="S308" s="34" t="str">
        <f>IF(AND(B308&lt;&gt;"",C308=CompteSel,N(B308)&lt;=DateArret,R308=0),MAX($S$3:S307)+1,"")</f>
        <v/>
      </c>
      <c r="T308" s="34">
        <f t="shared" si="53"/>
        <v>0</v>
      </c>
      <c r="U308" s="34">
        <f t="shared" si="54"/>
        <v>9</v>
      </c>
    </row>
    <row r="309" spans="1:21" x14ac:dyDescent="0.35">
      <c r="A309" s="1" t="str">
        <f t="shared" si="44"/>
        <v/>
      </c>
      <c r="B309" s="31"/>
      <c r="C309" s="8"/>
      <c r="D309" s="8"/>
      <c r="E309" s="8"/>
      <c r="F309" s="32"/>
      <c r="G309" s="32"/>
      <c r="H309" s="32"/>
      <c r="I309" s="1" t="str">
        <f t="shared" si="45"/>
        <v/>
      </c>
      <c r="J309" s="1" t="str">
        <f t="shared" si="46"/>
        <v/>
      </c>
      <c r="K309" s="1" t="str">
        <f t="shared" si="47"/>
        <v/>
      </c>
      <c r="L309" s="8"/>
      <c r="M309" s="1" t="str">
        <f t="shared" si="48"/>
        <v/>
      </c>
      <c r="N309" s="1" t="str">
        <f t="shared" si="49"/>
        <v/>
      </c>
      <c r="O309" s="33" t="str">
        <f t="shared" si="50"/>
        <v/>
      </c>
      <c r="P309" s="34" t="str">
        <f>IF(B309="","",C309&amp;"|"&amp;ROUND(O309,2)&amp;"|"&amp;COUNTIFS($C$4:C309,C309,$O$4:O309,O309))</f>
        <v/>
      </c>
      <c r="Q309" s="34">
        <f t="shared" si="51"/>
        <v>0</v>
      </c>
      <c r="R309" s="34">
        <f t="shared" si="52"/>
        <v>0</v>
      </c>
      <c r="S309" s="34" t="str">
        <f>IF(AND(B309&lt;&gt;"",C309=CompteSel,N(B309)&lt;=DateArret,R309=0),MAX($S$3:S308)+1,"")</f>
        <v/>
      </c>
      <c r="T309" s="34">
        <f t="shared" si="53"/>
        <v>0</v>
      </c>
      <c r="U309" s="34">
        <f t="shared" si="54"/>
        <v>9</v>
      </c>
    </row>
    <row r="310" spans="1:21" x14ac:dyDescent="0.35">
      <c r="A310" s="1" t="str">
        <f t="shared" si="44"/>
        <v/>
      </c>
      <c r="B310" s="31"/>
      <c r="C310" s="8"/>
      <c r="D310" s="8"/>
      <c r="E310" s="8"/>
      <c r="F310" s="32"/>
      <c r="G310" s="32"/>
      <c r="H310" s="32"/>
      <c r="I310" s="1" t="str">
        <f t="shared" si="45"/>
        <v/>
      </c>
      <c r="J310" s="1" t="str">
        <f t="shared" si="46"/>
        <v/>
      </c>
      <c r="K310" s="1" t="str">
        <f t="shared" si="47"/>
        <v/>
      </c>
      <c r="L310" s="8"/>
      <c r="M310" s="1" t="str">
        <f t="shared" si="48"/>
        <v/>
      </c>
      <c r="N310" s="1" t="str">
        <f t="shared" si="49"/>
        <v/>
      </c>
      <c r="O310" s="33" t="str">
        <f t="shared" si="50"/>
        <v/>
      </c>
      <c r="P310" s="34" t="str">
        <f>IF(B310="","",C310&amp;"|"&amp;ROUND(O310,2)&amp;"|"&amp;COUNTIFS($C$4:C310,C310,$O$4:O310,O310))</f>
        <v/>
      </c>
      <c r="Q310" s="34">
        <f t="shared" si="51"/>
        <v>0</v>
      </c>
      <c r="R310" s="34">
        <f t="shared" si="52"/>
        <v>0</v>
      </c>
      <c r="S310" s="34" t="str">
        <f>IF(AND(B310&lt;&gt;"",C310=CompteSel,N(B310)&lt;=DateArret,R310=0),MAX($S$3:S309)+1,"")</f>
        <v/>
      </c>
      <c r="T310" s="34">
        <f t="shared" si="53"/>
        <v>0</v>
      </c>
      <c r="U310" s="34">
        <f t="shared" si="54"/>
        <v>9</v>
      </c>
    </row>
    <row r="311" spans="1:21" x14ac:dyDescent="0.35">
      <c r="A311" s="1" t="str">
        <f t="shared" si="44"/>
        <v/>
      </c>
      <c r="B311" s="31"/>
      <c r="C311" s="8"/>
      <c r="D311" s="8"/>
      <c r="E311" s="8"/>
      <c r="F311" s="32"/>
      <c r="G311" s="32"/>
      <c r="H311" s="32"/>
      <c r="I311" s="1" t="str">
        <f t="shared" si="45"/>
        <v/>
      </c>
      <c r="J311" s="1" t="str">
        <f t="shared" si="46"/>
        <v/>
      </c>
      <c r="K311" s="1" t="str">
        <f t="shared" si="47"/>
        <v/>
      </c>
      <c r="L311" s="8"/>
      <c r="M311" s="1" t="str">
        <f t="shared" si="48"/>
        <v/>
      </c>
      <c r="N311" s="1" t="str">
        <f t="shared" si="49"/>
        <v/>
      </c>
      <c r="O311" s="33" t="str">
        <f t="shared" si="50"/>
        <v/>
      </c>
      <c r="P311" s="34" t="str">
        <f>IF(B311="","",C311&amp;"|"&amp;ROUND(O311,2)&amp;"|"&amp;COUNTIFS($C$4:C311,C311,$O$4:O311,O311))</f>
        <v/>
      </c>
      <c r="Q311" s="34">
        <f t="shared" si="51"/>
        <v>0</v>
      </c>
      <c r="R311" s="34">
        <f t="shared" si="52"/>
        <v>0</v>
      </c>
      <c r="S311" s="34" t="str">
        <f>IF(AND(B311&lt;&gt;"",C311=CompteSel,N(B311)&lt;=DateArret,R311=0),MAX($S$3:S310)+1,"")</f>
        <v/>
      </c>
      <c r="T311" s="34">
        <f t="shared" si="53"/>
        <v>0</v>
      </c>
      <c r="U311" s="34">
        <f t="shared" si="54"/>
        <v>9</v>
      </c>
    </row>
    <row r="312" spans="1:21" x14ac:dyDescent="0.35">
      <c r="A312" s="1" t="str">
        <f t="shared" si="44"/>
        <v/>
      </c>
      <c r="B312" s="31"/>
      <c r="C312" s="8"/>
      <c r="D312" s="8"/>
      <c r="E312" s="8"/>
      <c r="F312" s="32"/>
      <c r="G312" s="32"/>
      <c r="H312" s="32"/>
      <c r="I312" s="1" t="str">
        <f t="shared" si="45"/>
        <v/>
      </c>
      <c r="J312" s="1" t="str">
        <f t="shared" si="46"/>
        <v/>
      </c>
      <c r="K312" s="1" t="str">
        <f t="shared" si="47"/>
        <v/>
      </c>
      <c r="L312" s="8"/>
      <c r="M312" s="1" t="str">
        <f t="shared" si="48"/>
        <v/>
      </c>
      <c r="N312" s="1" t="str">
        <f t="shared" si="49"/>
        <v/>
      </c>
      <c r="O312" s="33" t="str">
        <f t="shared" si="50"/>
        <v/>
      </c>
      <c r="P312" s="34" t="str">
        <f>IF(B312="","",C312&amp;"|"&amp;ROUND(O312,2)&amp;"|"&amp;COUNTIFS($C$4:C312,C312,$O$4:O312,O312))</f>
        <v/>
      </c>
      <c r="Q312" s="34">
        <f t="shared" si="51"/>
        <v>0</v>
      </c>
      <c r="R312" s="34">
        <f t="shared" si="52"/>
        <v>0</v>
      </c>
      <c r="S312" s="34" t="str">
        <f>IF(AND(B312&lt;&gt;"",C312=CompteSel,N(B312)&lt;=DateArret,R312=0),MAX($S$3:S311)+1,"")</f>
        <v/>
      </c>
      <c r="T312" s="34">
        <f t="shared" si="53"/>
        <v>0</v>
      </c>
      <c r="U312" s="34">
        <f t="shared" si="54"/>
        <v>9</v>
      </c>
    </row>
    <row r="313" spans="1:21" x14ac:dyDescent="0.35">
      <c r="A313" s="1" t="str">
        <f t="shared" si="44"/>
        <v/>
      </c>
      <c r="B313" s="31"/>
      <c r="C313" s="8"/>
      <c r="D313" s="8"/>
      <c r="E313" s="8"/>
      <c r="F313" s="32"/>
      <c r="G313" s="32"/>
      <c r="H313" s="32"/>
      <c r="I313" s="1" t="str">
        <f t="shared" si="45"/>
        <v/>
      </c>
      <c r="J313" s="1" t="str">
        <f t="shared" si="46"/>
        <v/>
      </c>
      <c r="K313" s="1" t="str">
        <f t="shared" si="47"/>
        <v/>
      </c>
      <c r="L313" s="8"/>
      <c r="M313" s="1" t="str">
        <f t="shared" si="48"/>
        <v/>
      </c>
      <c r="N313" s="1" t="str">
        <f t="shared" si="49"/>
        <v/>
      </c>
      <c r="O313" s="33" t="str">
        <f t="shared" si="50"/>
        <v/>
      </c>
      <c r="P313" s="34" t="str">
        <f>IF(B313="","",C313&amp;"|"&amp;ROUND(O313,2)&amp;"|"&amp;COUNTIFS($C$4:C313,C313,$O$4:O313,O313))</f>
        <v/>
      </c>
      <c r="Q313" s="34">
        <f t="shared" si="51"/>
        <v>0</v>
      </c>
      <c r="R313" s="34">
        <f t="shared" si="52"/>
        <v>0</v>
      </c>
      <c r="S313" s="34" t="str">
        <f>IF(AND(B313&lt;&gt;"",C313=CompteSel,N(B313)&lt;=DateArret,R313=0),MAX($S$3:S312)+1,"")</f>
        <v/>
      </c>
      <c r="T313" s="34">
        <f t="shared" si="53"/>
        <v>0</v>
      </c>
      <c r="U313" s="34">
        <f t="shared" si="54"/>
        <v>9</v>
      </c>
    </row>
    <row r="314" spans="1:21" x14ac:dyDescent="0.35">
      <c r="A314" s="1" t="str">
        <f t="shared" si="44"/>
        <v/>
      </c>
      <c r="B314" s="31"/>
      <c r="C314" s="8"/>
      <c r="D314" s="8"/>
      <c r="E314" s="8"/>
      <c r="F314" s="32"/>
      <c r="G314" s="32"/>
      <c r="H314" s="32"/>
      <c r="I314" s="1" t="str">
        <f t="shared" si="45"/>
        <v/>
      </c>
      <c r="J314" s="1" t="str">
        <f t="shared" si="46"/>
        <v/>
      </c>
      <c r="K314" s="1" t="str">
        <f t="shared" si="47"/>
        <v/>
      </c>
      <c r="L314" s="8"/>
      <c r="M314" s="1" t="str">
        <f t="shared" si="48"/>
        <v/>
      </c>
      <c r="N314" s="1" t="str">
        <f t="shared" si="49"/>
        <v/>
      </c>
      <c r="O314" s="33" t="str">
        <f t="shared" si="50"/>
        <v/>
      </c>
      <c r="P314" s="34" t="str">
        <f>IF(B314="","",C314&amp;"|"&amp;ROUND(O314,2)&amp;"|"&amp;COUNTIFS($C$4:C314,C314,$O$4:O314,O314))</f>
        <v/>
      </c>
      <c r="Q314" s="34">
        <f t="shared" si="51"/>
        <v>0</v>
      </c>
      <c r="R314" s="34">
        <f t="shared" si="52"/>
        <v>0</v>
      </c>
      <c r="S314" s="34" t="str">
        <f>IF(AND(B314&lt;&gt;"",C314=CompteSel,N(B314)&lt;=DateArret,R314=0),MAX($S$3:S313)+1,"")</f>
        <v/>
      </c>
      <c r="T314" s="34">
        <f t="shared" si="53"/>
        <v>0</v>
      </c>
      <c r="U314" s="34">
        <f t="shared" si="54"/>
        <v>9</v>
      </c>
    </row>
    <row r="315" spans="1:21" x14ac:dyDescent="0.35">
      <c r="A315" s="1" t="str">
        <f t="shared" si="44"/>
        <v/>
      </c>
      <c r="B315" s="31"/>
      <c r="C315" s="8"/>
      <c r="D315" s="8"/>
      <c r="E315" s="8"/>
      <c r="F315" s="32"/>
      <c r="G315" s="32"/>
      <c r="H315" s="32"/>
      <c r="I315" s="1" t="str">
        <f t="shared" si="45"/>
        <v/>
      </c>
      <c r="J315" s="1" t="str">
        <f t="shared" si="46"/>
        <v/>
      </c>
      <c r="K315" s="1" t="str">
        <f t="shared" si="47"/>
        <v/>
      </c>
      <c r="L315" s="8"/>
      <c r="M315" s="1" t="str">
        <f t="shared" si="48"/>
        <v/>
      </c>
      <c r="N315" s="1" t="str">
        <f t="shared" si="49"/>
        <v/>
      </c>
      <c r="O315" s="33" t="str">
        <f t="shared" si="50"/>
        <v/>
      </c>
      <c r="P315" s="34" t="str">
        <f>IF(B315="","",C315&amp;"|"&amp;ROUND(O315,2)&amp;"|"&amp;COUNTIFS($C$4:C315,C315,$O$4:O315,O315))</f>
        <v/>
      </c>
      <c r="Q315" s="34">
        <f t="shared" si="51"/>
        <v>0</v>
      </c>
      <c r="R315" s="34">
        <f t="shared" si="52"/>
        <v>0</v>
      </c>
      <c r="S315" s="34" t="str">
        <f>IF(AND(B315&lt;&gt;"",C315=CompteSel,N(B315)&lt;=DateArret,R315=0),MAX($S$3:S314)+1,"")</f>
        <v/>
      </c>
      <c r="T315" s="34">
        <f t="shared" si="53"/>
        <v>0</v>
      </c>
      <c r="U315" s="34">
        <f t="shared" si="54"/>
        <v>9</v>
      </c>
    </row>
    <row r="316" spans="1:21" x14ac:dyDescent="0.35">
      <c r="A316" s="1" t="str">
        <f t="shared" si="44"/>
        <v/>
      </c>
      <c r="B316" s="31"/>
      <c r="C316" s="8"/>
      <c r="D316" s="8"/>
      <c r="E316" s="8"/>
      <c r="F316" s="32"/>
      <c r="G316" s="32"/>
      <c r="H316" s="32"/>
      <c r="I316" s="1" t="str">
        <f t="shared" si="45"/>
        <v/>
      </c>
      <c r="J316" s="1" t="str">
        <f t="shared" si="46"/>
        <v/>
      </c>
      <c r="K316" s="1" t="str">
        <f t="shared" si="47"/>
        <v/>
      </c>
      <c r="L316" s="8"/>
      <c r="M316" s="1" t="str">
        <f t="shared" si="48"/>
        <v/>
      </c>
      <c r="N316" s="1" t="str">
        <f t="shared" si="49"/>
        <v/>
      </c>
      <c r="O316" s="33" t="str">
        <f t="shared" si="50"/>
        <v/>
      </c>
      <c r="P316" s="34" t="str">
        <f>IF(B316="","",C316&amp;"|"&amp;ROUND(O316,2)&amp;"|"&amp;COUNTIFS($C$4:C316,C316,$O$4:O316,O316))</f>
        <v/>
      </c>
      <c r="Q316" s="34">
        <f t="shared" si="51"/>
        <v>0</v>
      </c>
      <c r="R316" s="34">
        <f t="shared" si="52"/>
        <v>0</v>
      </c>
      <c r="S316" s="34" t="str">
        <f>IF(AND(B316&lt;&gt;"",C316=CompteSel,N(B316)&lt;=DateArret,R316=0),MAX($S$3:S315)+1,"")</f>
        <v/>
      </c>
      <c r="T316" s="34">
        <f t="shared" si="53"/>
        <v>0</v>
      </c>
      <c r="U316" s="34">
        <f t="shared" si="54"/>
        <v>9</v>
      </c>
    </row>
    <row r="317" spans="1:21" x14ac:dyDescent="0.35">
      <c r="A317" s="1" t="str">
        <f t="shared" si="44"/>
        <v/>
      </c>
      <c r="B317" s="31"/>
      <c r="C317" s="8"/>
      <c r="D317" s="8"/>
      <c r="E317" s="8"/>
      <c r="F317" s="32"/>
      <c r="G317" s="32"/>
      <c r="H317" s="32"/>
      <c r="I317" s="1" t="str">
        <f t="shared" si="45"/>
        <v/>
      </c>
      <c r="J317" s="1" t="str">
        <f t="shared" si="46"/>
        <v/>
      </c>
      <c r="K317" s="1" t="str">
        <f t="shared" si="47"/>
        <v/>
      </c>
      <c r="L317" s="8"/>
      <c r="M317" s="1" t="str">
        <f t="shared" si="48"/>
        <v/>
      </c>
      <c r="N317" s="1" t="str">
        <f t="shared" si="49"/>
        <v/>
      </c>
      <c r="O317" s="33" t="str">
        <f t="shared" si="50"/>
        <v/>
      </c>
      <c r="P317" s="34" t="str">
        <f>IF(B317="","",C317&amp;"|"&amp;ROUND(O317,2)&amp;"|"&amp;COUNTIFS($C$4:C317,C317,$O$4:O317,O317))</f>
        <v/>
      </c>
      <c r="Q317" s="34">
        <f t="shared" si="51"/>
        <v>0</v>
      </c>
      <c r="R317" s="34">
        <f t="shared" si="52"/>
        <v>0</v>
      </c>
      <c r="S317" s="34" t="str">
        <f>IF(AND(B317&lt;&gt;"",C317=CompteSel,N(B317)&lt;=DateArret,R317=0),MAX($S$3:S316)+1,"")</f>
        <v/>
      </c>
      <c r="T317" s="34">
        <f t="shared" si="53"/>
        <v>0</v>
      </c>
      <c r="U317" s="34">
        <f t="shared" si="54"/>
        <v>9</v>
      </c>
    </row>
    <row r="318" spans="1:21" x14ac:dyDescent="0.35">
      <c r="A318" s="1" t="str">
        <f t="shared" si="44"/>
        <v/>
      </c>
      <c r="B318" s="31"/>
      <c r="C318" s="8"/>
      <c r="D318" s="8"/>
      <c r="E318" s="8"/>
      <c r="F318" s="32"/>
      <c r="G318" s="32"/>
      <c r="H318" s="32"/>
      <c r="I318" s="1" t="str">
        <f t="shared" si="45"/>
        <v/>
      </c>
      <c r="J318" s="1" t="str">
        <f t="shared" si="46"/>
        <v/>
      </c>
      <c r="K318" s="1" t="str">
        <f t="shared" si="47"/>
        <v/>
      </c>
      <c r="L318" s="8"/>
      <c r="M318" s="1" t="str">
        <f t="shared" si="48"/>
        <v/>
      </c>
      <c r="N318" s="1" t="str">
        <f t="shared" si="49"/>
        <v/>
      </c>
      <c r="O318" s="33" t="str">
        <f t="shared" si="50"/>
        <v/>
      </c>
      <c r="P318" s="34" t="str">
        <f>IF(B318="","",C318&amp;"|"&amp;ROUND(O318,2)&amp;"|"&amp;COUNTIFS($C$4:C318,C318,$O$4:O318,O318))</f>
        <v/>
      </c>
      <c r="Q318" s="34">
        <f t="shared" si="51"/>
        <v>0</v>
      </c>
      <c r="R318" s="34">
        <f t="shared" si="52"/>
        <v>0</v>
      </c>
      <c r="S318" s="34" t="str">
        <f>IF(AND(B318&lt;&gt;"",C318=CompteSel,N(B318)&lt;=DateArret,R318=0),MAX($S$3:S317)+1,"")</f>
        <v/>
      </c>
      <c r="T318" s="34">
        <f t="shared" si="53"/>
        <v>0</v>
      </c>
      <c r="U318" s="34">
        <f t="shared" si="54"/>
        <v>9</v>
      </c>
    </row>
    <row r="319" spans="1:21" x14ac:dyDescent="0.35">
      <c r="A319" s="1" t="str">
        <f t="shared" si="44"/>
        <v/>
      </c>
      <c r="B319" s="31"/>
      <c r="C319" s="8"/>
      <c r="D319" s="8"/>
      <c r="E319" s="8"/>
      <c r="F319" s="32"/>
      <c r="G319" s="32"/>
      <c r="H319" s="32"/>
      <c r="I319" s="1" t="str">
        <f t="shared" si="45"/>
        <v/>
      </c>
      <c r="J319" s="1" t="str">
        <f t="shared" si="46"/>
        <v/>
      </c>
      <c r="K319" s="1" t="str">
        <f t="shared" si="47"/>
        <v/>
      </c>
      <c r="L319" s="8"/>
      <c r="M319" s="1" t="str">
        <f t="shared" si="48"/>
        <v/>
      </c>
      <c r="N319" s="1" t="str">
        <f t="shared" si="49"/>
        <v/>
      </c>
      <c r="O319" s="33" t="str">
        <f t="shared" si="50"/>
        <v/>
      </c>
      <c r="P319" s="34" t="str">
        <f>IF(B319="","",C319&amp;"|"&amp;ROUND(O319,2)&amp;"|"&amp;COUNTIFS($C$4:C319,C319,$O$4:O319,O319))</f>
        <v/>
      </c>
      <c r="Q319" s="34">
        <f t="shared" si="51"/>
        <v>0</v>
      </c>
      <c r="R319" s="34">
        <f t="shared" si="52"/>
        <v>0</v>
      </c>
      <c r="S319" s="34" t="str">
        <f>IF(AND(B319&lt;&gt;"",C319=CompteSel,N(B319)&lt;=DateArret,R319=0),MAX($S$3:S318)+1,"")</f>
        <v/>
      </c>
      <c r="T319" s="34">
        <f t="shared" si="53"/>
        <v>0</v>
      </c>
      <c r="U319" s="34">
        <f t="shared" si="54"/>
        <v>9</v>
      </c>
    </row>
    <row r="320" spans="1:21" x14ac:dyDescent="0.35">
      <c r="A320" s="1" t="str">
        <f t="shared" si="44"/>
        <v/>
      </c>
      <c r="B320" s="31"/>
      <c r="C320" s="8"/>
      <c r="D320" s="8"/>
      <c r="E320" s="8"/>
      <c r="F320" s="32"/>
      <c r="G320" s="32"/>
      <c r="H320" s="32"/>
      <c r="I320" s="1" t="str">
        <f t="shared" si="45"/>
        <v/>
      </c>
      <c r="J320" s="1" t="str">
        <f t="shared" si="46"/>
        <v/>
      </c>
      <c r="K320" s="1" t="str">
        <f t="shared" si="47"/>
        <v/>
      </c>
      <c r="L320" s="8"/>
      <c r="M320" s="1" t="str">
        <f t="shared" si="48"/>
        <v/>
      </c>
      <c r="N320" s="1" t="str">
        <f t="shared" si="49"/>
        <v/>
      </c>
      <c r="O320" s="33" t="str">
        <f t="shared" si="50"/>
        <v/>
      </c>
      <c r="P320" s="34" t="str">
        <f>IF(B320="","",C320&amp;"|"&amp;ROUND(O320,2)&amp;"|"&amp;COUNTIFS($C$4:C320,C320,$O$4:O320,O320))</f>
        <v/>
      </c>
      <c r="Q320" s="34">
        <f t="shared" si="51"/>
        <v>0</v>
      </c>
      <c r="R320" s="34">
        <f t="shared" si="52"/>
        <v>0</v>
      </c>
      <c r="S320" s="34" t="str">
        <f>IF(AND(B320&lt;&gt;"",C320=CompteSel,N(B320)&lt;=DateArret,R320=0),MAX($S$3:S319)+1,"")</f>
        <v/>
      </c>
      <c r="T320" s="34">
        <f t="shared" si="53"/>
        <v>0</v>
      </c>
      <c r="U320" s="34">
        <f t="shared" si="54"/>
        <v>9</v>
      </c>
    </row>
    <row r="321" spans="1:21" x14ac:dyDescent="0.35">
      <c r="A321" s="1" t="str">
        <f t="shared" si="44"/>
        <v/>
      </c>
      <c r="B321" s="31"/>
      <c r="C321" s="8"/>
      <c r="D321" s="8"/>
      <c r="E321" s="8"/>
      <c r="F321" s="32"/>
      <c r="G321" s="32"/>
      <c r="H321" s="32"/>
      <c r="I321" s="1" t="str">
        <f t="shared" si="45"/>
        <v/>
      </c>
      <c r="J321" s="1" t="str">
        <f t="shared" si="46"/>
        <v/>
      </c>
      <c r="K321" s="1" t="str">
        <f t="shared" si="47"/>
        <v/>
      </c>
      <c r="L321" s="8"/>
      <c r="M321" s="1" t="str">
        <f t="shared" si="48"/>
        <v/>
      </c>
      <c r="N321" s="1" t="str">
        <f t="shared" si="49"/>
        <v/>
      </c>
      <c r="O321" s="33" t="str">
        <f t="shared" si="50"/>
        <v/>
      </c>
      <c r="P321" s="34" t="str">
        <f>IF(B321="","",C321&amp;"|"&amp;ROUND(O321,2)&amp;"|"&amp;COUNTIFS($C$4:C321,C321,$O$4:O321,O321))</f>
        <v/>
      </c>
      <c r="Q321" s="34">
        <f t="shared" si="51"/>
        <v>0</v>
      </c>
      <c r="R321" s="34">
        <f t="shared" si="52"/>
        <v>0</v>
      </c>
      <c r="S321" s="34" t="str">
        <f>IF(AND(B321&lt;&gt;"",C321=CompteSel,N(B321)&lt;=DateArret,R321=0),MAX($S$3:S320)+1,"")</f>
        <v/>
      </c>
      <c r="T321" s="34">
        <f t="shared" si="53"/>
        <v>0</v>
      </c>
      <c r="U321" s="34">
        <f t="shared" si="54"/>
        <v>9</v>
      </c>
    </row>
    <row r="322" spans="1:21" x14ac:dyDescent="0.35">
      <c r="A322" s="1" t="str">
        <f t="shared" si="44"/>
        <v/>
      </c>
      <c r="B322" s="31"/>
      <c r="C322" s="8"/>
      <c r="D322" s="8"/>
      <c r="E322" s="8"/>
      <c r="F322" s="32"/>
      <c r="G322" s="32"/>
      <c r="H322" s="32"/>
      <c r="I322" s="1" t="str">
        <f t="shared" si="45"/>
        <v/>
      </c>
      <c r="J322" s="1" t="str">
        <f t="shared" si="46"/>
        <v/>
      </c>
      <c r="K322" s="1" t="str">
        <f t="shared" si="47"/>
        <v/>
      </c>
      <c r="L322" s="8"/>
      <c r="M322" s="1" t="str">
        <f t="shared" si="48"/>
        <v/>
      </c>
      <c r="N322" s="1" t="str">
        <f t="shared" si="49"/>
        <v/>
      </c>
      <c r="O322" s="33" t="str">
        <f t="shared" si="50"/>
        <v/>
      </c>
      <c r="P322" s="34" t="str">
        <f>IF(B322="","",C322&amp;"|"&amp;ROUND(O322,2)&amp;"|"&amp;COUNTIFS($C$4:C322,C322,$O$4:O322,O322))</f>
        <v/>
      </c>
      <c r="Q322" s="34">
        <f t="shared" si="51"/>
        <v>0</v>
      </c>
      <c r="R322" s="34">
        <f t="shared" si="52"/>
        <v>0</v>
      </c>
      <c r="S322" s="34" t="str">
        <f>IF(AND(B322&lt;&gt;"",C322=CompteSel,N(B322)&lt;=DateArret,R322=0),MAX($S$3:S321)+1,"")</f>
        <v/>
      </c>
      <c r="T322" s="34">
        <f t="shared" si="53"/>
        <v>0</v>
      </c>
      <c r="U322" s="34">
        <f t="shared" si="54"/>
        <v>9</v>
      </c>
    </row>
    <row r="323" spans="1:21" x14ac:dyDescent="0.35">
      <c r="A323" s="1" t="str">
        <f t="shared" si="44"/>
        <v/>
      </c>
      <c r="B323" s="31"/>
      <c r="C323" s="8"/>
      <c r="D323" s="8"/>
      <c r="E323" s="8"/>
      <c r="F323" s="32"/>
      <c r="G323" s="32"/>
      <c r="H323" s="32"/>
      <c r="I323" s="1" t="str">
        <f t="shared" si="45"/>
        <v/>
      </c>
      <c r="J323" s="1" t="str">
        <f t="shared" si="46"/>
        <v/>
      </c>
      <c r="K323" s="1" t="str">
        <f t="shared" si="47"/>
        <v/>
      </c>
      <c r="L323" s="8"/>
      <c r="M323" s="1" t="str">
        <f t="shared" si="48"/>
        <v/>
      </c>
      <c r="N323" s="1" t="str">
        <f t="shared" si="49"/>
        <v/>
      </c>
      <c r="O323" s="33" t="str">
        <f t="shared" si="50"/>
        <v/>
      </c>
      <c r="P323" s="34" t="str">
        <f>IF(B323="","",C323&amp;"|"&amp;ROUND(O323,2)&amp;"|"&amp;COUNTIFS($C$4:C323,C323,$O$4:O323,O323))</f>
        <v/>
      </c>
      <c r="Q323" s="34">
        <f t="shared" si="51"/>
        <v>0</v>
      </c>
      <c r="R323" s="34">
        <f t="shared" si="52"/>
        <v>0</v>
      </c>
      <c r="S323" s="34" t="str">
        <f>IF(AND(B323&lt;&gt;"",C323=CompteSel,N(B323)&lt;=DateArret,R323=0),MAX($S$3:S322)+1,"")</f>
        <v/>
      </c>
      <c r="T323" s="34">
        <f t="shared" si="53"/>
        <v>0</v>
      </c>
      <c r="U323" s="34">
        <f t="shared" si="54"/>
        <v>9</v>
      </c>
    </row>
    <row r="324" spans="1:21" x14ac:dyDescent="0.35">
      <c r="A324" s="1" t="str">
        <f t="shared" ref="A324:A387" si="55">IF(B324="","",ROW()-3)</f>
        <v/>
      </c>
      <c r="B324" s="31"/>
      <c r="C324" s="8"/>
      <c r="D324" s="8"/>
      <c r="E324" s="8"/>
      <c r="F324" s="32"/>
      <c r="G324" s="32"/>
      <c r="H324" s="32"/>
      <c r="I324" s="1" t="str">
        <f t="shared" ref="I324:I387" si="56">IF(B324="","",IF(L324="Écart","Écart",IF(K324="","Non rapproché",INDEX(L_Statut,K324))))</f>
        <v/>
      </c>
      <c r="J324" s="1" t="str">
        <f t="shared" ref="J324:J387" si="57">IF(K324="","",INDEX(L_Score,K324))</f>
        <v/>
      </c>
      <c r="K324" s="1" t="str">
        <f t="shared" ref="K324:K387" si="58">IF(B324="","",IFERROR(MATCH(A324,L_Banque,0),""))</f>
        <v/>
      </c>
      <c r="L324" s="8"/>
      <c r="M324" s="1" t="str">
        <f t="shared" ref="M324:M387" si="59">IF(K324="","",INDEX(L_DJ,K324))</f>
        <v/>
      </c>
      <c r="N324" s="1" t="str">
        <f t="shared" ref="N324:N387" si="60">IF(B324="","",IF(COUNTIFS($C$4:$C$503,C324,$B$4:$B$503,B324,$O$4:$O$503,O324)&gt;1,"Doublon ?",""))</f>
        <v/>
      </c>
      <c r="O324" s="33" t="str">
        <f t="shared" ref="O324:O387" si="61">IF(B324="","",N(G324)-N(F324))</f>
        <v/>
      </c>
      <c r="P324" s="34" t="str">
        <f>IF(B324="","",C324&amp;"|"&amp;ROUND(O324,2)&amp;"|"&amp;COUNTIFS($C$4:C324,C324,$O$4:O324,O324))</f>
        <v/>
      </c>
      <c r="Q324" s="34">
        <f t="shared" ref="Q324:Q387" si="62">IF(B324="",0,IF(COUNTIFS(L_CandExact,A324,L_ExactOK,1)&gt;0,1,0))</f>
        <v>0</v>
      </c>
      <c r="R324" s="34">
        <f t="shared" ref="R324:R387" si="63">IF(OR(I324="Rapproché",I324="Manuel"),1,0)</f>
        <v>0</v>
      </c>
      <c r="S324" s="34" t="str">
        <f>IF(AND(B324&lt;&gt;"",C324=CompteSel,N(B324)&lt;=DateArret,R324=0),MAX($S$3:S323)+1,"")</f>
        <v/>
      </c>
      <c r="T324" s="34">
        <f t="shared" ref="T324:T387" si="64">IF(AND(B324&lt;&gt;"",C324=CompteSel,N(B324)&lt;=DateArret,H324&lt;&gt;""),A324,0)</f>
        <v>0</v>
      </c>
      <c r="U324" s="34">
        <f t="shared" ref="U324:U387" si="65">IF(B324="",9,SIGN(O324))</f>
        <v>9</v>
      </c>
    </row>
    <row r="325" spans="1:21" x14ac:dyDescent="0.35">
      <c r="A325" s="1" t="str">
        <f t="shared" si="55"/>
        <v/>
      </c>
      <c r="B325" s="31"/>
      <c r="C325" s="8"/>
      <c r="D325" s="8"/>
      <c r="E325" s="8"/>
      <c r="F325" s="32"/>
      <c r="G325" s="32"/>
      <c r="H325" s="32"/>
      <c r="I325" s="1" t="str">
        <f t="shared" si="56"/>
        <v/>
      </c>
      <c r="J325" s="1" t="str">
        <f t="shared" si="57"/>
        <v/>
      </c>
      <c r="K325" s="1" t="str">
        <f t="shared" si="58"/>
        <v/>
      </c>
      <c r="L325" s="8"/>
      <c r="M325" s="1" t="str">
        <f t="shared" si="59"/>
        <v/>
      </c>
      <c r="N325" s="1" t="str">
        <f t="shared" si="60"/>
        <v/>
      </c>
      <c r="O325" s="33" t="str">
        <f t="shared" si="61"/>
        <v/>
      </c>
      <c r="P325" s="34" t="str">
        <f>IF(B325="","",C325&amp;"|"&amp;ROUND(O325,2)&amp;"|"&amp;COUNTIFS($C$4:C325,C325,$O$4:O325,O325))</f>
        <v/>
      </c>
      <c r="Q325" s="34">
        <f t="shared" si="62"/>
        <v>0</v>
      </c>
      <c r="R325" s="34">
        <f t="shared" si="63"/>
        <v>0</v>
      </c>
      <c r="S325" s="34" t="str">
        <f>IF(AND(B325&lt;&gt;"",C325=CompteSel,N(B325)&lt;=DateArret,R325=0),MAX($S$3:S324)+1,"")</f>
        <v/>
      </c>
      <c r="T325" s="34">
        <f t="shared" si="64"/>
        <v>0</v>
      </c>
      <c r="U325" s="34">
        <f t="shared" si="65"/>
        <v>9</v>
      </c>
    </row>
    <row r="326" spans="1:21" x14ac:dyDescent="0.35">
      <c r="A326" s="1" t="str">
        <f t="shared" si="55"/>
        <v/>
      </c>
      <c r="B326" s="31"/>
      <c r="C326" s="8"/>
      <c r="D326" s="8"/>
      <c r="E326" s="8"/>
      <c r="F326" s="32"/>
      <c r="G326" s="32"/>
      <c r="H326" s="32"/>
      <c r="I326" s="1" t="str">
        <f t="shared" si="56"/>
        <v/>
      </c>
      <c r="J326" s="1" t="str">
        <f t="shared" si="57"/>
        <v/>
      </c>
      <c r="K326" s="1" t="str">
        <f t="shared" si="58"/>
        <v/>
      </c>
      <c r="L326" s="8"/>
      <c r="M326" s="1" t="str">
        <f t="shared" si="59"/>
        <v/>
      </c>
      <c r="N326" s="1" t="str">
        <f t="shared" si="60"/>
        <v/>
      </c>
      <c r="O326" s="33" t="str">
        <f t="shared" si="61"/>
        <v/>
      </c>
      <c r="P326" s="34" t="str">
        <f>IF(B326="","",C326&amp;"|"&amp;ROUND(O326,2)&amp;"|"&amp;COUNTIFS($C$4:C326,C326,$O$4:O326,O326))</f>
        <v/>
      </c>
      <c r="Q326" s="34">
        <f t="shared" si="62"/>
        <v>0</v>
      </c>
      <c r="R326" s="34">
        <f t="shared" si="63"/>
        <v>0</v>
      </c>
      <c r="S326" s="34" t="str">
        <f>IF(AND(B326&lt;&gt;"",C326=CompteSel,N(B326)&lt;=DateArret,R326=0),MAX($S$3:S325)+1,"")</f>
        <v/>
      </c>
      <c r="T326" s="34">
        <f t="shared" si="64"/>
        <v>0</v>
      </c>
      <c r="U326" s="34">
        <f t="shared" si="65"/>
        <v>9</v>
      </c>
    </row>
    <row r="327" spans="1:21" x14ac:dyDescent="0.35">
      <c r="A327" s="1" t="str">
        <f t="shared" si="55"/>
        <v/>
      </c>
      <c r="B327" s="31"/>
      <c r="C327" s="8"/>
      <c r="D327" s="8"/>
      <c r="E327" s="8"/>
      <c r="F327" s="32"/>
      <c r="G327" s="32"/>
      <c r="H327" s="32"/>
      <c r="I327" s="1" t="str">
        <f t="shared" si="56"/>
        <v/>
      </c>
      <c r="J327" s="1" t="str">
        <f t="shared" si="57"/>
        <v/>
      </c>
      <c r="K327" s="1" t="str">
        <f t="shared" si="58"/>
        <v/>
      </c>
      <c r="L327" s="8"/>
      <c r="M327" s="1" t="str">
        <f t="shared" si="59"/>
        <v/>
      </c>
      <c r="N327" s="1" t="str">
        <f t="shared" si="60"/>
        <v/>
      </c>
      <c r="O327" s="33" t="str">
        <f t="shared" si="61"/>
        <v/>
      </c>
      <c r="P327" s="34" t="str">
        <f>IF(B327="","",C327&amp;"|"&amp;ROUND(O327,2)&amp;"|"&amp;COUNTIFS($C$4:C327,C327,$O$4:O327,O327))</f>
        <v/>
      </c>
      <c r="Q327" s="34">
        <f t="shared" si="62"/>
        <v>0</v>
      </c>
      <c r="R327" s="34">
        <f t="shared" si="63"/>
        <v>0</v>
      </c>
      <c r="S327" s="34" t="str">
        <f>IF(AND(B327&lt;&gt;"",C327=CompteSel,N(B327)&lt;=DateArret,R327=0),MAX($S$3:S326)+1,"")</f>
        <v/>
      </c>
      <c r="T327" s="34">
        <f t="shared" si="64"/>
        <v>0</v>
      </c>
      <c r="U327" s="34">
        <f t="shared" si="65"/>
        <v>9</v>
      </c>
    </row>
    <row r="328" spans="1:21" x14ac:dyDescent="0.35">
      <c r="A328" s="1" t="str">
        <f t="shared" si="55"/>
        <v/>
      </c>
      <c r="B328" s="31"/>
      <c r="C328" s="8"/>
      <c r="D328" s="8"/>
      <c r="E328" s="8"/>
      <c r="F328" s="32"/>
      <c r="G328" s="32"/>
      <c r="H328" s="32"/>
      <c r="I328" s="1" t="str">
        <f t="shared" si="56"/>
        <v/>
      </c>
      <c r="J328" s="1" t="str">
        <f t="shared" si="57"/>
        <v/>
      </c>
      <c r="K328" s="1" t="str">
        <f t="shared" si="58"/>
        <v/>
      </c>
      <c r="L328" s="8"/>
      <c r="M328" s="1" t="str">
        <f t="shared" si="59"/>
        <v/>
      </c>
      <c r="N328" s="1" t="str">
        <f t="shared" si="60"/>
        <v/>
      </c>
      <c r="O328" s="33" t="str">
        <f t="shared" si="61"/>
        <v/>
      </c>
      <c r="P328" s="34" t="str">
        <f>IF(B328="","",C328&amp;"|"&amp;ROUND(O328,2)&amp;"|"&amp;COUNTIFS($C$4:C328,C328,$O$4:O328,O328))</f>
        <v/>
      </c>
      <c r="Q328" s="34">
        <f t="shared" si="62"/>
        <v>0</v>
      </c>
      <c r="R328" s="34">
        <f t="shared" si="63"/>
        <v>0</v>
      </c>
      <c r="S328" s="34" t="str">
        <f>IF(AND(B328&lt;&gt;"",C328=CompteSel,N(B328)&lt;=DateArret,R328=0),MAX($S$3:S327)+1,"")</f>
        <v/>
      </c>
      <c r="T328" s="34">
        <f t="shared" si="64"/>
        <v>0</v>
      </c>
      <c r="U328" s="34">
        <f t="shared" si="65"/>
        <v>9</v>
      </c>
    </row>
    <row r="329" spans="1:21" x14ac:dyDescent="0.35">
      <c r="A329" s="1" t="str">
        <f t="shared" si="55"/>
        <v/>
      </c>
      <c r="B329" s="31"/>
      <c r="C329" s="8"/>
      <c r="D329" s="8"/>
      <c r="E329" s="8"/>
      <c r="F329" s="32"/>
      <c r="G329" s="32"/>
      <c r="H329" s="32"/>
      <c r="I329" s="1" t="str">
        <f t="shared" si="56"/>
        <v/>
      </c>
      <c r="J329" s="1" t="str">
        <f t="shared" si="57"/>
        <v/>
      </c>
      <c r="K329" s="1" t="str">
        <f t="shared" si="58"/>
        <v/>
      </c>
      <c r="L329" s="8"/>
      <c r="M329" s="1" t="str">
        <f t="shared" si="59"/>
        <v/>
      </c>
      <c r="N329" s="1" t="str">
        <f t="shared" si="60"/>
        <v/>
      </c>
      <c r="O329" s="33" t="str">
        <f t="shared" si="61"/>
        <v/>
      </c>
      <c r="P329" s="34" t="str">
        <f>IF(B329="","",C329&amp;"|"&amp;ROUND(O329,2)&amp;"|"&amp;COUNTIFS($C$4:C329,C329,$O$4:O329,O329))</f>
        <v/>
      </c>
      <c r="Q329" s="34">
        <f t="shared" si="62"/>
        <v>0</v>
      </c>
      <c r="R329" s="34">
        <f t="shared" si="63"/>
        <v>0</v>
      </c>
      <c r="S329" s="34" t="str">
        <f>IF(AND(B329&lt;&gt;"",C329=CompteSel,N(B329)&lt;=DateArret,R329=0),MAX($S$3:S328)+1,"")</f>
        <v/>
      </c>
      <c r="T329" s="34">
        <f t="shared" si="64"/>
        <v>0</v>
      </c>
      <c r="U329" s="34">
        <f t="shared" si="65"/>
        <v>9</v>
      </c>
    </row>
    <row r="330" spans="1:21" x14ac:dyDescent="0.35">
      <c r="A330" s="1" t="str">
        <f t="shared" si="55"/>
        <v/>
      </c>
      <c r="B330" s="31"/>
      <c r="C330" s="8"/>
      <c r="D330" s="8"/>
      <c r="E330" s="8"/>
      <c r="F330" s="32"/>
      <c r="G330" s="32"/>
      <c r="H330" s="32"/>
      <c r="I330" s="1" t="str">
        <f t="shared" si="56"/>
        <v/>
      </c>
      <c r="J330" s="1" t="str">
        <f t="shared" si="57"/>
        <v/>
      </c>
      <c r="K330" s="1" t="str">
        <f t="shared" si="58"/>
        <v/>
      </c>
      <c r="L330" s="8"/>
      <c r="M330" s="1" t="str">
        <f t="shared" si="59"/>
        <v/>
      </c>
      <c r="N330" s="1" t="str">
        <f t="shared" si="60"/>
        <v/>
      </c>
      <c r="O330" s="33" t="str">
        <f t="shared" si="61"/>
        <v/>
      </c>
      <c r="P330" s="34" t="str">
        <f>IF(B330="","",C330&amp;"|"&amp;ROUND(O330,2)&amp;"|"&amp;COUNTIFS($C$4:C330,C330,$O$4:O330,O330))</f>
        <v/>
      </c>
      <c r="Q330" s="34">
        <f t="shared" si="62"/>
        <v>0</v>
      </c>
      <c r="R330" s="34">
        <f t="shared" si="63"/>
        <v>0</v>
      </c>
      <c r="S330" s="34" t="str">
        <f>IF(AND(B330&lt;&gt;"",C330=CompteSel,N(B330)&lt;=DateArret,R330=0),MAX($S$3:S329)+1,"")</f>
        <v/>
      </c>
      <c r="T330" s="34">
        <f t="shared" si="64"/>
        <v>0</v>
      </c>
      <c r="U330" s="34">
        <f t="shared" si="65"/>
        <v>9</v>
      </c>
    </row>
    <row r="331" spans="1:21" x14ac:dyDescent="0.35">
      <c r="A331" s="1" t="str">
        <f t="shared" si="55"/>
        <v/>
      </c>
      <c r="B331" s="31"/>
      <c r="C331" s="8"/>
      <c r="D331" s="8"/>
      <c r="E331" s="8"/>
      <c r="F331" s="32"/>
      <c r="G331" s="32"/>
      <c r="H331" s="32"/>
      <c r="I331" s="1" t="str">
        <f t="shared" si="56"/>
        <v/>
      </c>
      <c r="J331" s="1" t="str">
        <f t="shared" si="57"/>
        <v/>
      </c>
      <c r="K331" s="1" t="str">
        <f t="shared" si="58"/>
        <v/>
      </c>
      <c r="L331" s="8"/>
      <c r="M331" s="1" t="str">
        <f t="shared" si="59"/>
        <v/>
      </c>
      <c r="N331" s="1" t="str">
        <f t="shared" si="60"/>
        <v/>
      </c>
      <c r="O331" s="33" t="str">
        <f t="shared" si="61"/>
        <v/>
      </c>
      <c r="P331" s="34" t="str">
        <f>IF(B331="","",C331&amp;"|"&amp;ROUND(O331,2)&amp;"|"&amp;COUNTIFS($C$4:C331,C331,$O$4:O331,O331))</f>
        <v/>
      </c>
      <c r="Q331" s="34">
        <f t="shared" si="62"/>
        <v>0</v>
      </c>
      <c r="R331" s="34">
        <f t="shared" si="63"/>
        <v>0</v>
      </c>
      <c r="S331" s="34" t="str">
        <f>IF(AND(B331&lt;&gt;"",C331=CompteSel,N(B331)&lt;=DateArret,R331=0),MAX($S$3:S330)+1,"")</f>
        <v/>
      </c>
      <c r="T331" s="34">
        <f t="shared" si="64"/>
        <v>0</v>
      </c>
      <c r="U331" s="34">
        <f t="shared" si="65"/>
        <v>9</v>
      </c>
    </row>
    <row r="332" spans="1:21" x14ac:dyDescent="0.35">
      <c r="A332" s="1" t="str">
        <f t="shared" si="55"/>
        <v/>
      </c>
      <c r="B332" s="31"/>
      <c r="C332" s="8"/>
      <c r="D332" s="8"/>
      <c r="E332" s="8"/>
      <c r="F332" s="32"/>
      <c r="G332" s="32"/>
      <c r="H332" s="32"/>
      <c r="I332" s="1" t="str">
        <f t="shared" si="56"/>
        <v/>
      </c>
      <c r="J332" s="1" t="str">
        <f t="shared" si="57"/>
        <v/>
      </c>
      <c r="K332" s="1" t="str">
        <f t="shared" si="58"/>
        <v/>
      </c>
      <c r="L332" s="8"/>
      <c r="M332" s="1" t="str">
        <f t="shared" si="59"/>
        <v/>
      </c>
      <c r="N332" s="1" t="str">
        <f t="shared" si="60"/>
        <v/>
      </c>
      <c r="O332" s="33" t="str">
        <f t="shared" si="61"/>
        <v/>
      </c>
      <c r="P332" s="34" t="str">
        <f>IF(B332="","",C332&amp;"|"&amp;ROUND(O332,2)&amp;"|"&amp;COUNTIFS($C$4:C332,C332,$O$4:O332,O332))</f>
        <v/>
      </c>
      <c r="Q332" s="34">
        <f t="shared" si="62"/>
        <v>0</v>
      </c>
      <c r="R332" s="34">
        <f t="shared" si="63"/>
        <v>0</v>
      </c>
      <c r="S332" s="34" t="str">
        <f>IF(AND(B332&lt;&gt;"",C332=CompteSel,N(B332)&lt;=DateArret,R332=0),MAX($S$3:S331)+1,"")</f>
        <v/>
      </c>
      <c r="T332" s="34">
        <f t="shared" si="64"/>
        <v>0</v>
      </c>
      <c r="U332" s="34">
        <f t="shared" si="65"/>
        <v>9</v>
      </c>
    </row>
    <row r="333" spans="1:21" x14ac:dyDescent="0.35">
      <c r="A333" s="1" t="str">
        <f t="shared" si="55"/>
        <v/>
      </c>
      <c r="B333" s="31"/>
      <c r="C333" s="8"/>
      <c r="D333" s="8"/>
      <c r="E333" s="8"/>
      <c r="F333" s="32"/>
      <c r="G333" s="32"/>
      <c r="H333" s="32"/>
      <c r="I333" s="1" t="str">
        <f t="shared" si="56"/>
        <v/>
      </c>
      <c r="J333" s="1" t="str">
        <f t="shared" si="57"/>
        <v/>
      </c>
      <c r="K333" s="1" t="str">
        <f t="shared" si="58"/>
        <v/>
      </c>
      <c r="L333" s="8"/>
      <c r="M333" s="1" t="str">
        <f t="shared" si="59"/>
        <v/>
      </c>
      <c r="N333" s="1" t="str">
        <f t="shared" si="60"/>
        <v/>
      </c>
      <c r="O333" s="33" t="str">
        <f t="shared" si="61"/>
        <v/>
      </c>
      <c r="P333" s="34" t="str">
        <f>IF(B333="","",C333&amp;"|"&amp;ROUND(O333,2)&amp;"|"&amp;COUNTIFS($C$4:C333,C333,$O$4:O333,O333))</f>
        <v/>
      </c>
      <c r="Q333" s="34">
        <f t="shared" si="62"/>
        <v>0</v>
      </c>
      <c r="R333" s="34">
        <f t="shared" si="63"/>
        <v>0</v>
      </c>
      <c r="S333" s="34" t="str">
        <f>IF(AND(B333&lt;&gt;"",C333=CompteSel,N(B333)&lt;=DateArret,R333=0),MAX($S$3:S332)+1,"")</f>
        <v/>
      </c>
      <c r="T333" s="34">
        <f t="shared" si="64"/>
        <v>0</v>
      </c>
      <c r="U333" s="34">
        <f t="shared" si="65"/>
        <v>9</v>
      </c>
    </row>
    <row r="334" spans="1:21" x14ac:dyDescent="0.35">
      <c r="A334" s="1" t="str">
        <f t="shared" si="55"/>
        <v/>
      </c>
      <c r="B334" s="31"/>
      <c r="C334" s="8"/>
      <c r="D334" s="8"/>
      <c r="E334" s="8"/>
      <c r="F334" s="32"/>
      <c r="G334" s="32"/>
      <c r="H334" s="32"/>
      <c r="I334" s="1" t="str">
        <f t="shared" si="56"/>
        <v/>
      </c>
      <c r="J334" s="1" t="str">
        <f t="shared" si="57"/>
        <v/>
      </c>
      <c r="K334" s="1" t="str">
        <f t="shared" si="58"/>
        <v/>
      </c>
      <c r="L334" s="8"/>
      <c r="M334" s="1" t="str">
        <f t="shared" si="59"/>
        <v/>
      </c>
      <c r="N334" s="1" t="str">
        <f t="shared" si="60"/>
        <v/>
      </c>
      <c r="O334" s="33" t="str">
        <f t="shared" si="61"/>
        <v/>
      </c>
      <c r="P334" s="34" t="str">
        <f>IF(B334="","",C334&amp;"|"&amp;ROUND(O334,2)&amp;"|"&amp;COUNTIFS($C$4:C334,C334,$O$4:O334,O334))</f>
        <v/>
      </c>
      <c r="Q334" s="34">
        <f t="shared" si="62"/>
        <v>0</v>
      </c>
      <c r="R334" s="34">
        <f t="shared" si="63"/>
        <v>0</v>
      </c>
      <c r="S334" s="34" t="str">
        <f>IF(AND(B334&lt;&gt;"",C334=CompteSel,N(B334)&lt;=DateArret,R334=0),MAX($S$3:S333)+1,"")</f>
        <v/>
      </c>
      <c r="T334" s="34">
        <f t="shared" si="64"/>
        <v>0</v>
      </c>
      <c r="U334" s="34">
        <f t="shared" si="65"/>
        <v>9</v>
      </c>
    </row>
    <row r="335" spans="1:21" x14ac:dyDescent="0.35">
      <c r="A335" s="1" t="str">
        <f t="shared" si="55"/>
        <v/>
      </c>
      <c r="B335" s="31"/>
      <c r="C335" s="8"/>
      <c r="D335" s="8"/>
      <c r="E335" s="8"/>
      <c r="F335" s="32"/>
      <c r="G335" s="32"/>
      <c r="H335" s="32"/>
      <c r="I335" s="1" t="str">
        <f t="shared" si="56"/>
        <v/>
      </c>
      <c r="J335" s="1" t="str">
        <f t="shared" si="57"/>
        <v/>
      </c>
      <c r="K335" s="1" t="str">
        <f t="shared" si="58"/>
        <v/>
      </c>
      <c r="L335" s="8"/>
      <c r="M335" s="1" t="str">
        <f t="shared" si="59"/>
        <v/>
      </c>
      <c r="N335" s="1" t="str">
        <f t="shared" si="60"/>
        <v/>
      </c>
      <c r="O335" s="33" t="str">
        <f t="shared" si="61"/>
        <v/>
      </c>
      <c r="P335" s="34" t="str">
        <f>IF(B335="","",C335&amp;"|"&amp;ROUND(O335,2)&amp;"|"&amp;COUNTIFS($C$4:C335,C335,$O$4:O335,O335))</f>
        <v/>
      </c>
      <c r="Q335" s="34">
        <f t="shared" si="62"/>
        <v>0</v>
      </c>
      <c r="R335" s="34">
        <f t="shared" si="63"/>
        <v>0</v>
      </c>
      <c r="S335" s="34" t="str">
        <f>IF(AND(B335&lt;&gt;"",C335=CompteSel,N(B335)&lt;=DateArret,R335=0),MAX($S$3:S334)+1,"")</f>
        <v/>
      </c>
      <c r="T335" s="34">
        <f t="shared" si="64"/>
        <v>0</v>
      </c>
      <c r="U335" s="34">
        <f t="shared" si="65"/>
        <v>9</v>
      </c>
    </row>
    <row r="336" spans="1:21" x14ac:dyDescent="0.35">
      <c r="A336" s="1" t="str">
        <f t="shared" si="55"/>
        <v/>
      </c>
      <c r="B336" s="31"/>
      <c r="C336" s="8"/>
      <c r="D336" s="8"/>
      <c r="E336" s="8"/>
      <c r="F336" s="32"/>
      <c r="G336" s="32"/>
      <c r="H336" s="32"/>
      <c r="I336" s="1" t="str">
        <f t="shared" si="56"/>
        <v/>
      </c>
      <c r="J336" s="1" t="str">
        <f t="shared" si="57"/>
        <v/>
      </c>
      <c r="K336" s="1" t="str">
        <f t="shared" si="58"/>
        <v/>
      </c>
      <c r="L336" s="8"/>
      <c r="M336" s="1" t="str">
        <f t="shared" si="59"/>
        <v/>
      </c>
      <c r="N336" s="1" t="str">
        <f t="shared" si="60"/>
        <v/>
      </c>
      <c r="O336" s="33" t="str">
        <f t="shared" si="61"/>
        <v/>
      </c>
      <c r="P336" s="34" t="str">
        <f>IF(B336="","",C336&amp;"|"&amp;ROUND(O336,2)&amp;"|"&amp;COUNTIFS($C$4:C336,C336,$O$4:O336,O336))</f>
        <v/>
      </c>
      <c r="Q336" s="34">
        <f t="shared" si="62"/>
        <v>0</v>
      </c>
      <c r="R336" s="34">
        <f t="shared" si="63"/>
        <v>0</v>
      </c>
      <c r="S336" s="34" t="str">
        <f>IF(AND(B336&lt;&gt;"",C336=CompteSel,N(B336)&lt;=DateArret,R336=0),MAX($S$3:S335)+1,"")</f>
        <v/>
      </c>
      <c r="T336" s="34">
        <f t="shared" si="64"/>
        <v>0</v>
      </c>
      <c r="U336" s="34">
        <f t="shared" si="65"/>
        <v>9</v>
      </c>
    </row>
    <row r="337" spans="1:21" x14ac:dyDescent="0.35">
      <c r="A337" s="1" t="str">
        <f t="shared" si="55"/>
        <v/>
      </c>
      <c r="B337" s="31"/>
      <c r="C337" s="8"/>
      <c r="D337" s="8"/>
      <c r="E337" s="8"/>
      <c r="F337" s="32"/>
      <c r="G337" s="32"/>
      <c r="H337" s="32"/>
      <c r="I337" s="1" t="str">
        <f t="shared" si="56"/>
        <v/>
      </c>
      <c r="J337" s="1" t="str">
        <f t="shared" si="57"/>
        <v/>
      </c>
      <c r="K337" s="1" t="str">
        <f t="shared" si="58"/>
        <v/>
      </c>
      <c r="L337" s="8"/>
      <c r="M337" s="1" t="str">
        <f t="shared" si="59"/>
        <v/>
      </c>
      <c r="N337" s="1" t="str">
        <f t="shared" si="60"/>
        <v/>
      </c>
      <c r="O337" s="33" t="str">
        <f t="shared" si="61"/>
        <v/>
      </c>
      <c r="P337" s="34" t="str">
        <f>IF(B337="","",C337&amp;"|"&amp;ROUND(O337,2)&amp;"|"&amp;COUNTIFS($C$4:C337,C337,$O$4:O337,O337))</f>
        <v/>
      </c>
      <c r="Q337" s="34">
        <f t="shared" si="62"/>
        <v>0</v>
      </c>
      <c r="R337" s="34">
        <f t="shared" si="63"/>
        <v>0</v>
      </c>
      <c r="S337" s="34" t="str">
        <f>IF(AND(B337&lt;&gt;"",C337=CompteSel,N(B337)&lt;=DateArret,R337=0),MAX($S$3:S336)+1,"")</f>
        <v/>
      </c>
      <c r="T337" s="34">
        <f t="shared" si="64"/>
        <v>0</v>
      </c>
      <c r="U337" s="34">
        <f t="shared" si="65"/>
        <v>9</v>
      </c>
    </row>
    <row r="338" spans="1:21" x14ac:dyDescent="0.35">
      <c r="A338" s="1" t="str">
        <f t="shared" si="55"/>
        <v/>
      </c>
      <c r="B338" s="31"/>
      <c r="C338" s="8"/>
      <c r="D338" s="8"/>
      <c r="E338" s="8"/>
      <c r="F338" s="32"/>
      <c r="G338" s="32"/>
      <c r="H338" s="32"/>
      <c r="I338" s="1" t="str">
        <f t="shared" si="56"/>
        <v/>
      </c>
      <c r="J338" s="1" t="str">
        <f t="shared" si="57"/>
        <v/>
      </c>
      <c r="K338" s="1" t="str">
        <f t="shared" si="58"/>
        <v/>
      </c>
      <c r="L338" s="8"/>
      <c r="M338" s="1" t="str">
        <f t="shared" si="59"/>
        <v/>
      </c>
      <c r="N338" s="1" t="str">
        <f t="shared" si="60"/>
        <v/>
      </c>
      <c r="O338" s="33" t="str">
        <f t="shared" si="61"/>
        <v/>
      </c>
      <c r="P338" s="34" t="str">
        <f>IF(B338="","",C338&amp;"|"&amp;ROUND(O338,2)&amp;"|"&amp;COUNTIFS($C$4:C338,C338,$O$4:O338,O338))</f>
        <v/>
      </c>
      <c r="Q338" s="34">
        <f t="shared" si="62"/>
        <v>0</v>
      </c>
      <c r="R338" s="34">
        <f t="shared" si="63"/>
        <v>0</v>
      </c>
      <c r="S338" s="34" t="str">
        <f>IF(AND(B338&lt;&gt;"",C338=CompteSel,N(B338)&lt;=DateArret,R338=0),MAX($S$3:S337)+1,"")</f>
        <v/>
      </c>
      <c r="T338" s="34">
        <f t="shared" si="64"/>
        <v>0</v>
      </c>
      <c r="U338" s="34">
        <f t="shared" si="65"/>
        <v>9</v>
      </c>
    </row>
    <row r="339" spans="1:21" x14ac:dyDescent="0.35">
      <c r="A339" s="1" t="str">
        <f t="shared" si="55"/>
        <v/>
      </c>
      <c r="B339" s="31"/>
      <c r="C339" s="8"/>
      <c r="D339" s="8"/>
      <c r="E339" s="8"/>
      <c r="F339" s="32"/>
      <c r="G339" s="32"/>
      <c r="H339" s="32"/>
      <c r="I339" s="1" t="str">
        <f t="shared" si="56"/>
        <v/>
      </c>
      <c r="J339" s="1" t="str">
        <f t="shared" si="57"/>
        <v/>
      </c>
      <c r="K339" s="1" t="str">
        <f t="shared" si="58"/>
        <v/>
      </c>
      <c r="L339" s="8"/>
      <c r="M339" s="1" t="str">
        <f t="shared" si="59"/>
        <v/>
      </c>
      <c r="N339" s="1" t="str">
        <f t="shared" si="60"/>
        <v/>
      </c>
      <c r="O339" s="33" t="str">
        <f t="shared" si="61"/>
        <v/>
      </c>
      <c r="P339" s="34" t="str">
        <f>IF(B339="","",C339&amp;"|"&amp;ROUND(O339,2)&amp;"|"&amp;COUNTIFS($C$4:C339,C339,$O$4:O339,O339))</f>
        <v/>
      </c>
      <c r="Q339" s="34">
        <f t="shared" si="62"/>
        <v>0</v>
      </c>
      <c r="R339" s="34">
        <f t="shared" si="63"/>
        <v>0</v>
      </c>
      <c r="S339" s="34" t="str">
        <f>IF(AND(B339&lt;&gt;"",C339=CompteSel,N(B339)&lt;=DateArret,R339=0),MAX($S$3:S338)+1,"")</f>
        <v/>
      </c>
      <c r="T339" s="34">
        <f t="shared" si="64"/>
        <v>0</v>
      </c>
      <c r="U339" s="34">
        <f t="shared" si="65"/>
        <v>9</v>
      </c>
    </row>
    <row r="340" spans="1:21" x14ac:dyDescent="0.35">
      <c r="A340" s="1" t="str">
        <f t="shared" si="55"/>
        <v/>
      </c>
      <c r="B340" s="31"/>
      <c r="C340" s="8"/>
      <c r="D340" s="8"/>
      <c r="E340" s="8"/>
      <c r="F340" s="32"/>
      <c r="G340" s="32"/>
      <c r="H340" s="32"/>
      <c r="I340" s="1" t="str">
        <f t="shared" si="56"/>
        <v/>
      </c>
      <c r="J340" s="1" t="str">
        <f t="shared" si="57"/>
        <v/>
      </c>
      <c r="K340" s="1" t="str">
        <f t="shared" si="58"/>
        <v/>
      </c>
      <c r="L340" s="8"/>
      <c r="M340" s="1" t="str">
        <f t="shared" si="59"/>
        <v/>
      </c>
      <c r="N340" s="1" t="str">
        <f t="shared" si="60"/>
        <v/>
      </c>
      <c r="O340" s="33" t="str">
        <f t="shared" si="61"/>
        <v/>
      </c>
      <c r="P340" s="34" t="str">
        <f>IF(B340="","",C340&amp;"|"&amp;ROUND(O340,2)&amp;"|"&amp;COUNTIFS($C$4:C340,C340,$O$4:O340,O340))</f>
        <v/>
      </c>
      <c r="Q340" s="34">
        <f t="shared" si="62"/>
        <v>0</v>
      </c>
      <c r="R340" s="34">
        <f t="shared" si="63"/>
        <v>0</v>
      </c>
      <c r="S340" s="34" t="str">
        <f>IF(AND(B340&lt;&gt;"",C340=CompteSel,N(B340)&lt;=DateArret,R340=0),MAX($S$3:S339)+1,"")</f>
        <v/>
      </c>
      <c r="T340" s="34">
        <f t="shared" si="64"/>
        <v>0</v>
      </c>
      <c r="U340" s="34">
        <f t="shared" si="65"/>
        <v>9</v>
      </c>
    </row>
    <row r="341" spans="1:21" x14ac:dyDescent="0.35">
      <c r="A341" s="1" t="str">
        <f t="shared" si="55"/>
        <v/>
      </c>
      <c r="B341" s="31"/>
      <c r="C341" s="8"/>
      <c r="D341" s="8"/>
      <c r="E341" s="8"/>
      <c r="F341" s="32"/>
      <c r="G341" s="32"/>
      <c r="H341" s="32"/>
      <c r="I341" s="1" t="str">
        <f t="shared" si="56"/>
        <v/>
      </c>
      <c r="J341" s="1" t="str">
        <f t="shared" si="57"/>
        <v/>
      </c>
      <c r="K341" s="1" t="str">
        <f t="shared" si="58"/>
        <v/>
      </c>
      <c r="L341" s="8"/>
      <c r="M341" s="1" t="str">
        <f t="shared" si="59"/>
        <v/>
      </c>
      <c r="N341" s="1" t="str">
        <f t="shared" si="60"/>
        <v/>
      </c>
      <c r="O341" s="33" t="str">
        <f t="shared" si="61"/>
        <v/>
      </c>
      <c r="P341" s="34" t="str">
        <f>IF(B341="","",C341&amp;"|"&amp;ROUND(O341,2)&amp;"|"&amp;COUNTIFS($C$4:C341,C341,$O$4:O341,O341))</f>
        <v/>
      </c>
      <c r="Q341" s="34">
        <f t="shared" si="62"/>
        <v>0</v>
      </c>
      <c r="R341" s="34">
        <f t="shared" si="63"/>
        <v>0</v>
      </c>
      <c r="S341" s="34" t="str">
        <f>IF(AND(B341&lt;&gt;"",C341=CompteSel,N(B341)&lt;=DateArret,R341=0),MAX($S$3:S340)+1,"")</f>
        <v/>
      </c>
      <c r="T341" s="34">
        <f t="shared" si="64"/>
        <v>0</v>
      </c>
      <c r="U341" s="34">
        <f t="shared" si="65"/>
        <v>9</v>
      </c>
    </row>
    <row r="342" spans="1:21" x14ac:dyDescent="0.35">
      <c r="A342" s="1" t="str">
        <f t="shared" si="55"/>
        <v/>
      </c>
      <c r="B342" s="31"/>
      <c r="C342" s="8"/>
      <c r="D342" s="8"/>
      <c r="E342" s="8"/>
      <c r="F342" s="32"/>
      <c r="G342" s="32"/>
      <c r="H342" s="32"/>
      <c r="I342" s="1" t="str">
        <f t="shared" si="56"/>
        <v/>
      </c>
      <c r="J342" s="1" t="str">
        <f t="shared" si="57"/>
        <v/>
      </c>
      <c r="K342" s="1" t="str">
        <f t="shared" si="58"/>
        <v/>
      </c>
      <c r="L342" s="8"/>
      <c r="M342" s="1" t="str">
        <f t="shared" si="59"/>
        <v/>
      </c>
      <c r="N342" s="1" t="str">
        <f t="shared" si="60"/>
        <v/>
      </c>
      <c r="O342" s="33" t="str">
        <f t="shared" si="61"/>
        <v/>
      </c>
      <c r="P342" s="34" t="str">
        <f>IF(B342="","",C342&amp;"|"&amp;ROUND(O342,2)&amp;"|"&amp;COUNTIFS($C$4:C342,C342,$O$4:O342,O342))</f>
        <v/>
      </c>
      <c r="Q342" s="34">
        <f t="shared" si="62"/>
        <v>0</v>
      </c>
      <c r="R342" s="34">
        <f t="shared" si="63"/>
        <v>0</v>
      </c>
      <c r="S342" s="34" t="str">
        <f>IF(AND(B342&lt;&gt;"",C342=CompteSel,N(B342)&lt;=DateArret,R342=0),MAX($S$3:S341)+1,"")</f>
        <v/>
      </c>
      <c r="T342" s="34">
        <f t="shared" si="64"/>
        <v>0</v>
      </c>
      <c r="U342" s="34">
        <f t="shared" si="65"/>
        <v>9</v>
      </c>
    </row>
    <row r="343" spans="1:21" x14ac:dyDescent="0.35">
      <c r="A343" s="1" t="str">
        <f t="shared" si="55"/>
        <v/>
      </c>
      <c r="B343" s="31"/>
      <c r="C343" s="8"/>
      <c r="D343" s="8"/>
      <c r="E343" s="8"/>
      <c r="F343" s="32"/>
      <c r="G343" s="32"/>
      <c r="H343" s="32"/>
      <c r="I343" s="1" t="str">
        <f t="shared" si="56"/>
        <v/>
      </c>
      <c r="J343" s="1" t="str">
        <f t="shared" si="57"/>
        <v/>
      </c>
      <c r="K343" s="1" t="str">
        <f t="shared" si="58"/>
        <v/>
      </c>
      <c r="L343" s="8"/>
      <c r="M343" s="1" t="str">
        <f t="shared" si="59"/>
        <v/>
      </c>
      <c r="N343" s="1" t="str">
        <f t="shared" si="60"/>
        <v/>
      </c>
      <c r="O343" s="33" t="str">
        <f t="shared" si="61"/>
        <v/>
      </c>
      <c r="P343" s="34" t="str">
        <f>IF(B343="","",C343&amp;"|"&amp;ROUND(O343,2)&amp;"|"&amp;COUNTIFS($C$4:C343,C343,$O$4:O343,O343))</f>
        <v/>
      </c>
      <c r="Q343" s="34">
        <f t="shared" si="62"/>
        <v>0</v>
      </c>
      <c r="R343" s="34">
        <f t="shared" si="63"/>
        <v>0</v>
      </c>
      <c r="S343" s="34" t="str">
        <f>IF(AND(B343&lt;&gt;"",C343=CompteSel,N(B343)&lt;=DateArret,R343=0),MAX($S$3:S342)+1,"")</f>
        <v/>
      </c>
      <c r="T343" s="34">
        <f t="shared" si="64"/>
        <v>0</v>
      </c>
      <c r="U343" s="34">
        <f t="shared" si="65"/>
        <v>9</v>
      </c>
    </row>
    <row r="344" spans="1:21" x14ac:dyDescent="0.35">
      <c r="A344" s="1" t="str">
        <f t="shared" si="55"/>
        <v/>
      </c>
      <c r="B344" s="31"/>
      <c r="C344" s="8"/>
      <c r="D344" s="8"/>
      <c r="E344" s="8"/>
      <c r="F344" s="32"/>
      <c r="G344" s="32"/>
      <c r="H344" s="32"/>
      <c r="I344" s="1" t="str">
        <f t="shared" si="56"/>
        <v/>
      </c>
      <c r="J344" s="1" t="str">
        <f t="shared" si="57"/>
        <v/>
      </c>
      <c r="K344" s="1" t="str">
        <f t="shared" si="58"/>
        <v/>
      </c>
      <c r="L344" s="8"/>
      <c r="M344" s="1" t="str">
        <f t="shared" si="59"/>
        <v/>
      </c>
      <c r="N344" s="1" t="str">
        <f t="shared" si="60"/>
        <v/>
      </c>
      <c r="O344" s="33" t="str">
        <f t="shared" si="61"/>
        <v/>
      </c>
      <c r="P344" s="34" t="str">
        <f>IF(B344="","",C344&amp;"|"&amp;ROUND(O344,2)&amp;"|"&amp;COUNTIFS($C$4:C344,C344,$O$4:O344,O344))</f>
        <v/>
      </c>
      <c r="Q344" s="34">
        <f t="shared" si="62"/>
        <v>0</v>
      </c>
      <c r="R344" s="34">
        <f t="shared" si="63"/>
        <v>0</v>
      </c>
      <c r="S344" s="34" t="str">
        <f>IF(AND(B344&lt;&gt;"",C344=CompteSel,N(B344)&lt;=DateArret,R344=0),MAX($S$3:S343)+1,"")</f>
        <v/>
      </c>
      <c r="T344" s="34">
        <f t="shared" si="64"/>
        <v>0</v>
      </c>
      <c r="U344" s="34">
        <f t="shared" si="65"/>
        <v>9</v>
      </c>
    </row>
    <row r="345" spans="1:21" x14ac:dyDescent="0.35">
      <c r="A345" s="1" t="str">
        <f t="shared" si="55"/>
        <v/>
      </c>
      <c r="B345" s="31"/>
      <c r="C345" s="8"/>
      <c r="D345" s="8"/>
      <c r="E345" s="8"/>
      <c r="F345" s="32"/>
      <c r="G345" s="32"/>
      <c r="H345" s="32"/>
      <c r="I345" s="1" t="str">
        <f t="shared" si="56"/>
        <v/>
      </c>
      <c r="J345" s="1" t="str">
        <f t="shared" si="57"/>
        <v/>
      </c>
      <c r="K345" s="1" t="str">
        <f t="shared" si="58"/>
        <v/>
      </c>
      <c r="L345" s="8"/>
      <c r="M345" s="1" t="str">
        <f t="shared" si="59"/>
        <v/>
      </c>
      <c r="N345" s="1" t="str">
        <f t="shared" si="60"/>
        <v/>
      </c>
      <c r="O345" s="33" t="str">
        <f t="shared" si="61"/>
        <v/>
      </c>
      <c r="P345" s="34" t="str">
        <f>IF(B345="","",C345&amp;"|"&amp;ROUND(O345,2)&amp;"|"&amp;COUNTIFS($C$4:C345,C345,$O$4:O345,O345))</f>
        <v/>
      </c>
      <c r="Q345" s="34">
        <f t="shared" si="62"/>
        <v>0</v>
      </c>
      <c r="R345" s="34">
        <f t="shared" si="63"/>
        <v>0</v>
      </c>
      <c r="S345" s="34" t="str">
        <f>IF(AND(B345&lt;&gt;"",C345=CompteSel,N(B345)&lt;=DateArret,R345=0),MAX($S$3:S344)+1,"")</f>
        <v/>
      </c>
      <c r="T345" s="34">
        <f t="shared" si="64"/>
        <v>0</v>
      </c>
      <c r="U345" s="34">
        <f t="shared" si="65"/>
        <v>9</v>
      </c>
    </row>
    <row r="346" spans="1:21" x14ac:dyDescent="0.35">
      <c r="A346" s="1" t="str">
        <f t="shared" si="55"/>
        <v/>
      </c>
      <c r="B346" s="31"/>
      <c r="C346" s="8"/>
      <c r="D346" s="8"/>
      <c r="E346" s="8"/>
      <c r="F346" s="32"/>
      <c r="G346" s="32"/>
      <c r="H346" s="32"/>
      <c r="I346" s="1" t="str">
        <f t="shared" si="56"/>
        <v/>
      </c>
      <c r="J346" s="1" t="str">
        <f t="shared" si="57"/>
        <v/>
      </c>
      <c r="K346" s="1" t="str">
        <f t="shared" si="58"/>
        <v/>
      </c>
      <c r="L346" s="8"/>
      <c r="M346" s="1" t="str">
        <f t="shared" si="59"/>
        <v/>
      </c>
      <c r="N346" s="1" t="str">
        <f t="shared" si="60"/>
        <v/>
      </c>
      <c r="O346" s="33" t="str">
        <f t="shared" si="61"/>
        <v/>
      </c>
      <c r="P346" s="34" t="str">
        <f>IF(B346="","",C346&amp;"|"&amp;ROUND(O346,2)&amp;"|"&amp;COUNTIFS($C$4:C346,C346,$O$4:O346,O346))</f>
        <v/>
      </c>
      <c r="Q346" s="34">
        <f t="shared" si="62"/>
        <v>0</v>
      </c>
      <c r="R346" s="34">
        <f t="shared" si="63"/>
        <v>0</v>
      </c>
      <c r="S346" s="34" t="str">
        <f>IF(AND(B346&lt;&gt;"",C346=CompteSel,N(B346)&lt;=DateArret,R346=0),MAX($S$3:S345)+1,"")</f>
        <v/>
      </c>
      <c r="T346" s="34">
        <f t="shared" si="64"/>
        <v>0</v>
      </c>
      <c r="U346" s="34">
        <f t="shared" si="65"/>
        <v>9</v>
      </c>
    </row>
    <row r="347" spans="1:21" x14ac:dyDescent="0.35">
      <c r="A347" s="1" t="str">
        <f t="shared" si="55"/>
        <v/>
      </c>
      <c r="B347" s="31"/>
      <c r="C347" s="8"/>
      <c r="D347" s="8"/>
      <c r="E347" s="8"/>
      <c r="F347" s="32"/>
      <c r="G347" s="32"/>
      <c r="H347" s="32"/>
      <c r="I347" s="1" t="str">
        <f t="shared" si="56"/>
        <v/>
      </c>
      <c r="J347" s="1" t="str">
        <f t="shared" si="57"/>
        <v/>
      </c>
      <c r="K347" s="1" t="str">
        <f t="shared" si="58"/>
        <v/>
      </c>
      <c r="L347" s="8"/>
      <c r="M347" s="1" t="str">
        <f t="shared" si="59"/>
        <v/>
      </c>
      <c r="N347" s="1" t="str">
        <f t="shared" si="60"/>
        <v/>
      </c>
      <c r="O347" s="33" t="str">
        <f t="shared" si="61"/>
        <v/>
      </c>
      <c r="P347" s="34" t="str">
        <f>IF(B347="","",C347&amp;"|"&amp;ROUND(O347,2)&amp;"|"&amp;COUNTIFS($C$4:C347,C347,$O$4:O347,O347))</f>
        <v/>
      </c>
      <c r="Q347" s="34">
        <f t="shared" si="62"/>
        <v>0</v>
      </c>
      <c r="R347" s="34">
        <f t="shared" si="63"/>
        <v>0</v>
      </c>
      <c r="S347" s="34" t="str">
        <f>IF(AND(B347&lt;&gt;"",C347=CompteSel,N(B347)&lt;=DateArret,R347=0),MAX($S$3:S346)+1,"")</f>
        <v/>
      </c>
      <c r="T347" s="34">
        <f t="shared" si="64"/>
        <v>0</v>
      </c>
      <c r="U347" s="34">
        <f t="shared" si="65"/>
        <v>9</v>
      </c>
    </row>
    <row r="348" spans="1:21" x14ac:dyDescent="0.35">
      <c r="A348" s="1" t="str">
        <f t="shared" si="55"/>
        <v/>
      </c>
      <c r="B348" s="31"/>
      <c r="C348" s="8"/>
      <c r="D348" s="8"/>
      <c r="E348" s="8"/>
      <c r="F348" s="32"/>
      <c r="G348" s="32"/>
      <c r="H348" s="32"/>
      <c r="I348" s="1" t="str">
        <f t="shared" si="56"/>
        <v/>
      </c>
      <c r="J348" s="1" t="str">
        <f t="shared" si="57"/>
        <v/>
      </c>
      <c r="K348" s="1" t="str">
        <f t="shared" si="58"/>
        <v/>
      </c>
      <c r="L348" s="8"/>
      <c r="M348" s="1" t="str">
        <f t="shared" si="59"/>
        <v/>
      </c>
      <c r="N348" s="1" t="str">
        <f t="shared" si="60"/>
        <v/>
      </c>
      <c r="O348" s="33" t="str">
        <f t="shared" si="61"/>
        <v/>
      </c>
      <c r="P348" s="34" t="str">
        <f>IF(B348="","",C348&amp;"|"&amp;ROUND(O348,2)&amp;"|"&amp;COUNTIFS($C$4:C348,C348,$O$4:O348,O348))</f>
        <v/>
      </c>
      <c r="Q348" s="34">
        <f t="shared" si="62"/>
        <v>0</v>
      </c>
      <c r="R348" s="34">
        <f t="shared" si="63"/>
        <v>0</v>
      </c>
      <c r="S348" s="34" t="str">
        <f>IF(AND(B348&lt;&gt;"",C348=CompteSel,N(B348)&lt;=DateArret,R348=0),MAX($S$3:S347)+1,"")</f>
        <v/>
      </c>
      <c r="T348" s="34">
        <f t="shared" si="64"/>
        <v>0</v>
      </c>
      <c r="U348" s="34">
        <f t="shared" si="65"/>
        <v>9</v>
      </c>
    </row>
    <row r="349" spans="1:21" x14ac:dyDescent="0.35">
      <c r="A349" s="1" t="str">
        <f t="shared" si="55"/>
        <v/>
      </c>
      <c r="B349" s="31"/>
      <c r="C349" s="8"/>
      <c r="D349" s="8"/>
      <c r="E349" s="8"/>
      <c r="F349" s="32"/>
      <c r="G349" s="32"/>
      <c r="H349" s="32"/>
      <c r="I349" s="1" t="str">
        <f t="shared" si="56"/>
        <v/>
      </c>
      <c r="J349" s="1" t="str">
        <f t="shared" si="57"/>
        <v/>
      </c>
      <c r="K349" s="1" t="str">
        <f t="shared" si="58"/>
        <v/>
      </c>
      <c r="L349" s="8"/>
      <c r="M349" s="1" t="str">
        <f t="shared" si="59"/>
        <v/>
      </c>
      <c r="N349" s="1" t="str">
        <f t="shared" si="60"/>
        <v/>
      </c>
      <c r="O349" s="33" t="str">
        <f t="shared" si="61"/>
        <v/>
      </c>
      <c r="P349" s="34" t="str">
        <f>IF(B349="","",C349&amp;"|"&amp;ROUND(O349,2)&amp;"|"&amp;COUNTIFS($C$4:C349,C349,$O$4:O349,O349))</f>
        <v/>
      </c>
      <c r="Q349" s="34">
        <f t="shared" si="62"/>
        <v>0</v>
      </c>
      <c r="R349" s="34">
        <f t="shared" si="63"/>
        <v>0</v>
      </c>
      <c r="S349" s="34" t="str">
        <f>IF(AND(B349&lt;&gt;"",C349=CompteSel,N(B349)&lt;=DateArret,R349=0),MAX($S$3:S348)+1,"")</f>
        <v/>
      </c>
      <c r="T349" s="34">
        <f t="shared" si="64"/>
        <v>0</v>
      </c>
      <c r="U349" s="34">
        <f t="shared" si="65"/>
        <v>9</v>
      </c>
    </row>
    <row r="350" spans="1:21" x14ac:dyDescent="0.35">
      <c r="A350" s="1" t="str">
        <f t="shared" si="55"/>
        <v/>
      </c>
      <c r="B350" s="31"/>
      <c r="C350" s="8"/>
      <c r="D350" s="8"/>
      <c r="E350" s="8"/>
      <c r="F350" s="32"/>
      <c r="G350" s="32"/>
      <c r="H350" s="32"/>
      <c r="I350" s="1" t="str">
        <f t="shared" si="56"/>
        <v/>
      </c>
      <c r="J350" s="1" t="str">
        <f t="shared" si="57"/>
        <v/>
      </c>
      <c r="K350" s="1" t="str">
        <f t="shared" si="58"/>
        <v/>
      </c>
      <c r="L350" s="8"/>
      <c r="M350" s="1" t="str">
        <f t="shared" si="59"/>
        <v/>
      </c>
      <c r="N350" s="1" t="str">
        <f t="shared" si="60"/>
        <v/>
      </c>
      <c r="O350" s="33" t="str">
        <f t="shared" si="61"/>
        <v/>
      </c>
      <c r="P350" s="34" t="str">
        <f>IF(B350="","",C350&amp;"|"&amp;ROUND(O350,2)&amp;"|"&amp;COUNTIFS($C$4:C350,C350,$O$4:O350,O350))</f>
        <v/>
      </c>
      <c r="Q350" s="34">
        <f t="shared" si="62"/>
        <v>0</v>
      </c>
      <c r="R350" s="34">
        <f t="shared" si="63"/>
        <v>0</v>
      </c>
      <c r="S350" s="34" t="str">
        <f>IF(AND(B350&lt;&gt;"",C350=CompteSel,N(B350)&lt;=DateArret,R350=0),MAX($S$3:S349)+1,"")</f>
        <v/>
      </c>
      <c r="T350" s="34">
        <f t="shared" si="64"/>
        <v>0</v>
      </c>
      <c r="U350" s="34">
        <f t="shared" si="65"/>
        <v>9</v>
      </c>
    </row>
    <row r="351" spans="1:21" x14ac:dyDescent="0.35">
      <c r="A351" s="1" t="str">
        <f t="shared" si="55"/>
        <v/>
      </c>
      <c r="B351" s="31"/>
      <c r="C351" s="8"/>
      <c r="D351" s="8"/>
      <c r="E351" s="8"/>
      <c r="F351" s="32"/>
      <c r="G351" s="32"/>
      <c r="H351" s="32"/>
      <c r="I351" s="1" t="str">
        <f t="shared" si="56"/>
        <v/>
      </c>
      <c r="J351" s="1" t="str">
        <f t="shared" si="57"/>
        <v/>
      </c>
      <c r="K351" s="1" t="str">
        <f t="shared" si="58"/>
        <v/>
      </c>
      <c r="L351" s="8"/>
      <c r="M351" s="1" t="str">
        <f t="shared" si="59"/>
        <v/>
      </c>
      <c r="N351" s="1" t="str">
        <f t="shared" si="60"/>
        <v/>
      </c>
      <c r="O351" s="33" t="str">
        <f t="shared" si="61"/>
        <v/>
      </c>
      <c r="P351" s="34" t="str">
        <f>IF(B351="","",C351&amp;"|"&amp;ROUND(O351,2)&amp;"|"&amp;COUNTIFS($C$4:C351,C351,$O$4:O351,O351))</f>
        <v/>
      </c>
      <c r="Q351" s="34">
        <f t="shared" si="62"/>
        <v>0</v>
      </c>
      <c r="R351" s="34">
        <f t="shared" si="63"/>
        <v>0</v>
      </c>
      <c r="S351" s="34" t="str">
        <f>IF(AND(B351&lt;&gt;"",C351=CompteSel,N(B351)&lt;=DateArret,R351=0),MAX($S$3:S350)+1,"")</f>
        <v/>
      </c>
      <c r="T351" s="34">
        <f t="shared" si="64"/>
        <v>0</v>
      </c>
      <c r="U351" s="34">
        <f t="shared" si="65"/>
        <v>9</v>
      </c>
    </row>
    <row r="352" spans="1:21" x14ac:dyDescent="0.35">
      <c r="A352" s="1" t="str">
        <f t="shared" si="55"/>
        <v/>
      </c>
      <c r="B352" s="31"/>
      <c r="C352" s="8"/>
      <c r="D352" s="8"/>
      <c r="E352" s="8"/>
      <c r="F352" s="32"/>
      <c r="G352" s="32"/>
      <c r="H352" s="32"/>
      <c r="I352" s="1" t="str">
        <f t="shared" si="56"/>
        <v/>
      </c>
      <c r="J352" s="1" t="str">
        <f t="shared" si="57"/>
        <v/>
      </c>
      <c r="K352" s="1" t="str">
        <f t="shared" si="58"/>
        <v/>
      </c>
      <c r="L352" s="8"/>
      <c r="M352" s="1" t="str">
        <f t="shared" si="59"/>
        <v/>
      </c>
      <c r="N352" s="1" t="str">
        <f t="shared" si="60"/>
        <v/>
      </c>
      <c r="O352" s="33" t="str">
        <f t="shared" si="61"/>
        <v/>
      </c>
      <c r="P352" s="34" t="str">
        <f>IF(B352="","",C352&amp;"|"&amp;ROUND(O352,2)&amp;"|"&amp;COUNTIFS($C$4:C352,C352,$O$4:O352,O352))</f>
        <v/>
      </c>
      <c r="Q352" s="34">
        <f t="shared" si="62"/>
        <v>0</v>
      </c>
      <c r="R352" s="34">
        <f t="shared" si="63"/>
        <v>0</v>
      </c>
      <c r="S352" s="34" t="str">
        <f>IF(AND(B352&lt;&gt;"",C352=CompteSel,N(B352)&lt;=DateArret,R352=0),MAX($S$3:S351)+1,"")</f>
        <v/>
      </c>
      <c r="T352" s="34">
        <f t="shared" si="64"/>
        <v>0</v>
      </c>
      <c r="U352" s="34">
        <f t="shared" si="65"/>
        <v>9</v>
      </c>
    </row>
    <row r="353" spans="1:21" x14ac:dyDescent="0.35">
      <c r="A353" s="1" t="str">
        <f t="shared" si="55"/>
        <v/>
      </c>
      <c r="B353" s="31"/>
      <c r="C353" s="8"/>
      <c r="D353" s="8"/>
      <c r="E353" s="8"/>
      <c r="F353" s="32"/>
      <c r="G353" s="32"/>
      <c r="H353" s="32"/>
      <c r="I353" s="1" t="str">
        <f t="shared" si="56"/>
        <v/>
      </c>
      <c r="J353" s="1" t="str">
        <f t="shared" si="57"/>
        <v/>
      </c>
      <c r="K353" s="1" t="str">
        <f t="shared" si="58"/>
        <v/>
      </c>
      <c r="L353" s="8"/>
      <c r="M353" s="1" t="str">
        <f t="shared" si="59"/>
        <v/>
      </c>
      <c r="N353" s="1" t="str">
        <f t="shared" si="60"/>
        <v/>
      </c>
      <c r="O353" s="33" t="str">
        <f t="shared" si="61"/>
        <v/>
      </c>
      <c r="P353" s="34" t="str">
        <f>IF(B353="","",C353&amp;"|"&amp;ROUND(O353,2)&amp;"|"&amp;COUNTIFS($C$4:C353,C353,$O$4:O353,O353))</f>
        <v/>
      </c>
      <c r="Q353" s="34">
        <f t="shared" si="62"/>
        <v>0</v>
      </c>
      <c r="R353" s="34">
        <f t="shared" si="63"/>
        <v>0</v>
      </c>
      <c r="S353" s="34" t="str">
        <f>IF(AND(B353&lt;&gt;"",C353=CompteSel,N(B353)&lt;=DateArret,R353=0),MAX($S$3:S352)+1,"")</f>
        <v/>
      </c>
      <c r="T353" s="34">
        <f t="shared" si="64"/>
        <v>0</v>
      </c>
      <c r="U353" s="34">
        <f t="shared" si="65"/>
        <v>9</v>
      </c>
    </row>
    <row r="354" spans="1:21" x14ac:dyDescent="0.35">
      <c r="A354" s="1" t="str">
        <f t="shared" si="55"/>
        <v/>
      </c>
      <c r="B354" s="31"/>
      <c r="C354" s="8"/>
      <c r="D354" s="8"/>
      <c r="E354" s="8"/>
      <c r="F354" s="32"/>
      <c r="G354" s="32"/>
      <c r="H354" s="32"/>
      <c r="I354" s="1" t="str">
        <f t="shared" si="56"/>
        <v/>
      </c>
      <c r="J354" s="1" t="str">
        <f t="shared" si="57"/>
        <v/>
      </c>
      <c r="K354" s="1" t="str">
        <f t="shared" si="58"/>
        <v/>
      </c>
      <c r="L354" s="8"/>
      <c r="M354" s="1" t="str">
        <f t="shared" si="59"/>
        <v/>
      </c>
      <c r="N354" s="1" t="str">
        <f t="shared" si="60"/>
        <v/>
      </c>
      <c r="O354" s="33" t="str">
        <f t="shared" si="61"/>
        <v/>
      </c>
      <c r="P354" s="34" t="str">
        <f>IF(B354="","",C354&amp;"|"&amp;ROUND(O354,2)&amp;"|"&amp;COUNTIFS($C$4:C354,C354,$O$4:O354,O354))</f>
        <v/>
      </c>
      <c r="Q354" s="34">
        <f t="shared" si="62"/>
        <v>0</v>
      </c>
      <c r="R354" s="34">
        <f t="shared" si="63"/>
        <v>0</v>
      </c>
      <c r="S354" s="34" t="str">
        <f>IF(AND(B354&lt;&gt;"",C354=CompteSel,N(B354)&lt;=DateArret,R354=0),MAX($S$3:S353)+1,"")</f>
        <v/>
      </c>
      <c r="T354" s="34">
        <f t="shared" si="64"/>
        <v>0</v>
      </c>
      <c r="U354" s="34">
        <f t="shared" si="65"/>
        <v>9</v>
      </c>
    </row>
    <row r="355" spans="1:21" x14ac:dyDescent="0.35">
      <c r="A355" s="1" t="str">
        <f t="shared" si="55"/>
        <v/>
      </c>
      <c r="B355" s="31"/>
      <c r="C355" s="8"/>
      <c r="D355" s="8"/>
      <c r="E355" s="8"/>
      <c r="F355" s="32"/>
      <c r="G355" s="32"/>
      <c r="H355" s="32"/>
      <c r="I355" s="1" t="str">
        <f t="shared" si="56"/>
        <v/>
      </c>
      <c r="J355" s="1" t="str">
        <f t="shared" si="57"/>
        <v/>
      </c>
      <c r="K355" s="1" t="str">
        <f t="shared" si="58"/>
        <v/>
      </c>
      <c r="L355" s="8"/>
      <c r="M355" s="1" t="str">
        <f t="shared" si="59"/>
        <v/>
      </c>
      <c r="N355" s="1" t="str">
        <f t="shared" si="60"/>
        <v/>
      </c>
      <c r="O355" s="33" t="str">
        <f t="shared" si="61"/>
        <v/>
      </c>
      <c r="P355" s="34" t="str">
        <f>IF(B355="","",C355&amp;"|"&amp;ROUND(O355,2)&amp;"|"&amp;COUNTIFS($C$4:C355,C355,$O$4:O355,O355))</f>
        <v/>
      </c>
      <c r="Q355" s="34">
        <f t="shared" si="62"/>
        <v>0</v>
      </c>
      <c r="R355" s="34">
        <f t="shared" si="63"/>
        <v>0</v>
      </c>
      <c r="S355" s="34" t="str">
        <f>IF(AND(B355&lt;&gt;"",C355=CompteSel,N(B355)&lt;=DateArret,R355=0),MAX($S$3:S354)+1,"")</f>
        <v/>
      </c>
      <c r="T355" s="34">
        <f t="shared" si="64"/>
        <v>0</v>
      </c>
      <c r="U355" s="34">
        <f t="shared" si="65"/>
        <v>9</v>
      </c>
    </row>
    <row r="356" spans="1:21" x14ac:dyDescent="0.35">
      <c r="A356" s="1" t="str">
        <f t="shared" si="55"/>
        <v/>
      </c>
      <c r="B356" s="31"/>
      <c r="C356" s="8"/>
      <c r="D356" s="8"/>
      <c r="E356" s="8"/>
      <c r="F356" s="32"/>
      <c r="G356" s="32"/>
      <c r="H356" s="32"/>
      <c r="I356" s="1" t="str">
        <f t="shared" si="56"/>
        <v/>
      </c>
      <c r="J356" s="1" t="str">
        <f t="shared" si="57"/>
        <v/>
      </c>
      <c r="K356" s="1" t="str">
        <f t="shared" si="58"/>
        <v/>
      </c>
      <c r="L356" s="8"/>
      <c r="M356" s="1" t="str">
        <f t="shared" si="59"/>
        <v/>
      </c>
      <c r="N356" s="1" t="str">
        <f t="shared" si="60"/>
        <v/>
      </c>
      <c r="O356" s="33" t="str">
        <f t="shared" si="61"/>
        <v/>
      </c>
      <c r="P356" s="34" t="str">
        <f>IF(B356="","",C356&amp;"|"&amp;ROUND(O356,2)&amp;"|"&amp;COUNTIFS($C$4:C356,C356,$O$4:O356,O356))</f>
        <v/>
      </c>
      <c r="Q356" s="34">
        <f t="shared" si="62"/>
        <v>0</v>
      </c>
      <c r="R356" s="34">
        <f t="shared" si="63"/>
        <v>0</v>
      </c>
      <c r="S356" s="34" t="str">
        <f>IF(AND(B356&lt;&gt;"",C356=CompteSel,N(B356)&lt;=DateArret,R356=0),MAX($S$3:S355)+1,"")</f>
        <v/>
      </c>
      <c r="T356" s="34">
        <f t="shared" si="64"/>
        <v>0</v>
      </c>
      <c r="U356" s="34">
        <f t="shared" si="65"/>
        <v>9</v>
      </c>
    </row>
    <row r="357" spans="1:21" x14ac:dyDescent="0.35">
      <c r="A357" s="1" t="str">
        <f t="shared" si="55"/>
        <v/>
      </c>
      <c r="B357" s="31"/>
      <c r="C357" s="8"/>
      <c r="D357" s="8"/>
      <c r="E357" s="8"/>
      <c r="F357" s="32"/>
      <c r="G357" s="32"/>
      <c r="H357" s="32"/>
      <c r="I357" s="1" t="str">
        <f t="shared" si="56"/>
        <v/>
      </c>
      <c r="J357" s="1" t="str">
        <f t="shared" si="57"/>
        <v/>
      </c>
      <c r="K357" s="1" t="str">
        <f t="shared" si="58"/>
        <v/>
      </c>
      <c r="L357" s="8"/>
      <c r="M357" s="1" t="str">
        <f t="shared" si="59"/>
        <v/>
      </c>
      <c r="N357" s="1" t="str">
        <f t="shared" si="60"/>
        <v/>
      </c>
      <c r="O357" s="33" t="str">
        <f t="shared" si="61"/>
        <v/>
      </c>
      <c r="P357" s="34" t="str">
        <f>IF(B357="","",C357&amp;"|"&amp;ROUND(O357,2)&amp;"|"&amp;COUNTIFS($C$4:C357,C357,$O$4:O357,O357))</f>
        <v/>
      </c>
      <c r="Q357" s="34">
        <f t="shared" si="62"/>
        <v>0</v>
      </c>
      <c r="R357" s="34">
        <f t="shared" si="63"/>
        <v>0</v>
      </c>
      <c r="S357" s="34" t="str">
        <f>IF(AND(B357&lt;&gt;"",C357=CompteSel,N(B357)&lt;=DateArret,R357=0),MAX($S$3:S356)+1,"")</f>
        <v/>
      </c>
      <c r="T357" s="34">
        <f t="shared" si="64"/>
        <v>0</v>
      </c>
      <c r="U357" s="34">
        <f t="shared" si="65"/>
        <v>9</v>
      </c>
    </row>
    <row r="358" spans="1:21" x14ac:dyDescent="0.35">
      <c r="A358" s="1" t="str">
        <f t="shared" si="55"/>
        <v/>
      </c>
      <c r="B358" s="31"/>
      <c r="C358" s="8"/>
      <c r="D358" s="8"/>
      <c r="E358" s="8"/>
      <c r="F358" s="32"/>
      <c r="G358" s="32"/>
      <c r="H358" s="32"/>
      <c r="I358" s="1" t="str">
        <f t="shared" si="56"/>
        <v/>
      </c>
      <c r="J358" s="1" t="str">
        <f t="shared" si="57"/>
        <v/>
      </c>
      <c r="K358" s="1" t="str">
        <f t="shared" si="58"/>
        <v/>
      </c>
      <c r="L358" s="8"/>
      <c r="M358" s="1" t="str">
        <f t="shared" si="59"/>
        <v/>
      </c>
      <c r="N358" s="1" t="str">
        <f t="shared" si="60"/>
        <v/>
      </c>
      <c r="O358" s="33" t="str">
        <f t="shared" si="61"/>
        <v/>
      </c>
      <c r="P358" s="34" t="str">
        <f>IF(B358="","",C358&amp;"|"&amp;ROUND(O358,2)&amp;"|"&amp;COUNTIFS($C$4:C358,C358,$O$4:O358,O358))</f>
        <v/>
      </c>
      <c r="Q358" s="34">
        <f t="shared" si="62"/>
        <v>0</v>
      </c>
      <c r="R358" s="34">
        <f t="shared" si="63"/>
        <v>0</v>
      </c>
      <c r="S358" s="34" t="str">
        <f>IF(AND(B358&lt;&gt;"",C358=CompteSel,N(B358)&lt;=DateArret,R358=0),MAX($S$3:S357)+1,"")</f>
        <v/>
      </c>
      <c r="T358" s="34">
        <f t="shared" si="64"/>
        <v>0</v>
      </c>
      <c r="U358" s="34">
        <f t="shared" si="65"/>
        <v>9</v>
      </c>
    </row>
    <row r="359" spans="1:21" x14ac:dyDescent="0.35">
      <c r="A359" s="1" t="str">
        <f t="shared" si="55"/>
        <v/>
      </c>
      <c r="B359" s="31"/>
      <c r="C359" s="8"/>
      <c r="D359" s="8"/>
      <c r="E359" s="8"/>
      <c r="F359" s="32"/>
      <c r="G359" s="32"/>
      <c r="H359" s="32"/>
      <c r="I359" s="1" t="str">
        <f t="shared" si="56"/>
        <v/>
      </c>
      <c r="J359" s="1" t="str">
        <f t="shared" si="57"/>
        <v/>
      </c>
      <c r="K359" s="1" t="str">
        <f t="shared" si="58"/>
        <v/>
      </c>
      <c r="L359" s="8"/>
      <c r="M359" s="1" t="str">
        <f t="shared" si="59"/>
        <v/>
      </c>
      <c r="N359" s="1" t="str">
        <f t="shared" si="60"/>
        <v/>
      </c>
      <c r="O359" s="33" t="str">
        <f t="shared" si="61"/>
        <v/>
      </c>
      <c r="P359" s="34" t="str">
        <f>IF(B359="","",C359&amp;"|"&amp;ROUND(O359,2)&amp;"|"&amp;COUNTIFS($C$4:C359,C359,$O$4:O359,O359))</f>
        <v/>
      </c>
      <c r="Q359" s="34">
        <f t="shared" si="62"/>
        <v>0</v>
      </c>
      <c r="R359" s="34">
        <f t="shared" si="63"/>
        <v>0</v>
      </c>
      <c r="S359" s="34" t="str">
        <f>IF(AND(B359&lt;&gt;"",C359=CompteSel,N(B359)&lt;=DateArret,R359=0),MAX($S$3:S358)+1,"")</f>
        <v/>
      </c>
      <c r="T359" s="34">
        <f t="shared" si="64"/>
        <v>0</v>
      </c>
      <c r="U359" s="34">
        <f t="shared" si="65"/>
        <v>9</v>
      </c>
    </row>
    <row r="360" spans="1:21" x14ac:dyDescent="0.35">
      <c r="A360" s="1" t="str">
        <f t="shared" si="55"/>
        <v/>
      </c>
      <c r="B360" s="31"/>
      <c r="C360" s="8"/>
      <c r="D360" s="8"/>
      <c r="E360" s="8"/>
      <c r="F360" s="32"/>
      <c r="G360" s="32"/>
      <c r="H360" s="32"/>
      <c r="I360" s="1" t="str">
        <f t="shared" si="56"/>
        <v/>
      </c>
      <c r="J360" s="1" t="str">
        <f t="shared" si="57"/>
        <v/>
      </c>
      <c r="K360" s="1" t="str">
        <f t="shared" si="58"/>
        <v/>
      </c>
      <c r="L360" s="8"/>
      <c r="M360" s="1" t="str">
        <f t="shared" si="59"/>
        <v/>
      </c>
      <c r="N360" s="1" t="str">
        <f t="shared" si="60"/>
        <v/>
      </c>
      <c r="O360" s="33" t="str">
        <f t="shared" si="61"/>
        <v/>
      </c>
      <c r="P360" s="34" t="str">
        <f>IF(B360="","",C360&amp;"|"&amp;ROUND(O360,2)&amp;"|"&amp;COUNTIFS($C$4:C360,C360,$O$4:O360,O360))</f>
        <v/>
      </c>
      <c r="Q360" s="34">
        <f t="shared" si="62"/>
        <v>0</v>
      </c>
      <c r="R360" s="34">
        <f t="shared" si="63"/>
        <v>0</v>
      </c>
      <c r="S360" s="34" t="str">
        <f>IF(AND(B360&lt;&gt;"",C360=CompteSel,N(B360)&lt;=DateArret,R360=0),MAX($S$3:S359)+1,"")</f>
        <v/>
      </c>
      <c r="T360" s="34">
        <f t="shared" si="64"/>
        <v>0</v>
      </c>
      <c r="U360" s="34">
        <f t="shared" si="65"/>
        <v>9</v>
      </c>
    </row>
    <row r="361" spans="1:21" x14ac:dyDescent="0.35">
      <c r="A361" s="1" t="str">
        <f t="shared" si="55"/>
        <v/>
      </c>
      <c r="B361" s="31"/>
      <c r="C361" s="8"/>
      <c r="D361" s="8"/>
      <c r="E361" s="8"/>
      <c r="F361" s="32"/>
      <c r="G361" s="32"/>
      <c r="H361" s="32"/>
      <c r="I361" s="1" t="str">
        <f t="shared" si="56"/>
        <v/>
      </c>
      <c r="J361" s="1" t="str">
        <f t="shared" si="57"/>
        <v/>
      </c>
      <c r="K361" s="1" t="str">
        <f t="shared" si="58"/>
        <v/>
      </c>
      <c r="L361" s="8"/>
      <c r="M361" s="1" t="str">
        <f t="shared" si="59"/>
        <v/>
      </c>
      <c r="N361" s="1" t="str">
        <f t="shared" si="60"/>
        <v/>
      </c>
      <c r="O361" s="33" t="str">
        <f t="shared" si="61"/>
        <v/>
      </c>
      <c r="P361" s="34" t="str">
        <f>IF(B361="","",C361&amp;"|"&amp;ROUND(O361,2)&amp;"|"&amp;COUNTIFS($C$4:C361,C361,$O$4:O361,O361))</f>
        <v/>
      </c>
      <c r="Q361" s="34">
        <f t="shared" si="62"/>
        <v>0</v>
      </c>
      <c r="R361" s="34">
        <f t="shared" si="63"/>
        <v>0</v>
      </c>
      <c r="S361" s="34" t="str">
        <f>IF(AND(B361&lt;&gt;"",C361=CompteSel,N(B361)&lt;=DateArret,R361=0),MAX($S$3:S360)+1,"")</f>
        <v/>
      </c>
      <c r="T361" s="34">
        <f t="shared" si="64"/>
        <v>0</v>
      </c>
      <c r="U361" s="34">
        <f t="shared" si="65"/>
        <v>9</v>
      </c>
    </row>
    <row r="362" spans="1:21" x14ac:dyDescent="0.35">
      <c r="A362" s="1" t="str">
        <f t="shared" si="55"/>
        <v/>
      </c>
      <c r="B362" s="31"/>
      <c r="C362" s="8"/>
      <c r="D362" s="8"/>
      <c r="E362" s="8"/>
      <c r="F362" s="32"/>
      <c r="G362" s="32"/>
      <c r="H362" s="32"/>
      <c r="I362" s="1" t="str">
        <f t="shared" si="56"/>
        <v/>
      </c>
      <c r="J362" s="1" t="str">
        <f t="shared" si="57"/>
        <v/>
      </c>
      <c r="K362" s="1" t="str">
        <f t="shared" si="58"/>
        <v/>
      </c>
      <c r="L362" s="8"/>
      <c r="M362" s="1" t="str">
        <f t="shared" si="59"/>
        <v/>
      </c>
      <c r="N362" s="1" t="str">
        <f t="shared" si="60"/>
        <v/>
      </c>
      <c r="O362" s="33" t="str">
        <f t="shared" si="61"/>
        <v/>
      </c>
      <c r="P362" s="34" t="str">
        <f>IF(B362="","",C362&amp;"|"&amp;ROUND(O362,2)&amp;"|"&amp;COUNTIFS($C$4:C362,C362,$O$4:O362,O362))</f>
        <v/>
      </c>
      <c r="Q362" s="34">
        <f t="shared" si="62"/>
        <v>0</v>
      </c>
      <c r="R362" s="34">
        <f t="shared" si="63"/>
        <v>0</v>
      </c>
      <c r="S362" s="34" t="str">
        <f>IF(AND(B362&lt;&gt;"",C362=CompteSel,N(B362)&lt;=DateArret,R362=0),MAX($S$3:S361)+1,"")</f>
        <v/>
      </c>
      <c r="T362" s="34">
        <f t="shared" si="64"/>
        <v>0</v>
      </c>
      <c r="U362" s="34">
        <f t="shared" si="65"/>
        <v>9</v>
      </c>
    </row>
    <row r="363" spans="1:21" x14ac:dyDescent="0.35">
      <c r="A363" s="1" t="str">
        <f t="shared" si="55"/>
        <v/>
      </c>
      <c r="B363" s="31"/>
      <c r="C363" s="8"/>
      <c r="D363" s="8"/>
      <c r="E363" s="8"/>
      <c r="F363" s="32"/>
      <c r="G363" s="32"/>
      <c r="H363" s="32"/>
      <c r="I363" s="1" t="str">
        <f t="shared" si="56"/>
        <v/>
      </c>
      <c r="J363" s="1" t="str">
        <f t="shared" si="57"/>
        <v/>
      </c>
      <c r="K363" s="1" t="str">
        <f t="shared" si="58"/>
        <v/>
      </c>
      <c r="L363" s="8"/>
      <c r="M363" s="1" t="str">
        <f t="shared" si="59"/>
        <v/>
      </c>
      <c r="N363" s="1" t="str">
        <f t="shared" si="60"/>
        <v/>
      </c>
      <c r="O363" s="33" t="str">
        <f t="shared" si="61"/>
        <v/>
      </c>
      <c r="P363" s="34" t="str">
        <f>IF(B363="","",C363&amp;"|"&amp;ROUND(O363,2)&amp;"|"&amp;COUNTIFS($C$4:C363,C363,$O$4:O363,O363))</f>
        <v/>
      </c>
      <c r="Q363" s="34">
        <f t="shared" si="62"/>
        <v>0</v>
      </c>
      <c r="R363" s="34">
        <f t="shared" si="63"/>
        <v>0</v>
      </c>
      <c r="S363" s="34" t="str">
        <f>IF(AND(B363&lt;&gt;"",C363=CompteSel,N(B363)&lt;=DateArret,R363=0),MAX($S$3:S362)+1,"")</f>
        <v/>
      </c>
      <c r="T363" s="34">
        <f t="shared" si="64"/>
        <v>0</v>
      </c>
      <c r="U363" s="34">
        <f t="shared" si="65"/>
        <v>9</v>
      </c>
    </row>
    <row r="364" spans="1:21" x14ac:dyDescent="0.35">
      <c r="A364" s="1" t="str">
        <f t="shared" si="55"/>
        <v/>
      </c>
      <c r="B364" s="31"/>
      <c r="C364" s="8"/>
      <c r="D364" s="8"/>
      <c r="E364" s="8"/>
      <c r="F364" s="32"/>
      <c r="G364" s="32"/>
      <c r="H364" s="32"/>
      <c r="I364" s="1" t="str">
        <f t="shared" si="56"/>
        <v/>
      </c>
      <c r="J364" s="1" t="str">
        <f t="shared" si="57"/>
        <v/>
      </c>
      <c r="K364" s="1" t="str">
        <f t="shared" si="58"/>
        <v/>
      </c>
      <c r="L364" s="8"/>
      <c r="M364" s="1" t="str">
        <f t="shared" si="59"/>
        <v/>
      </c>
      <c r="N364" s="1" t="str">
        <f t="shared" si="60"/>
        <v/>
      </c>
      <c r="O364" s="33" t="str">
        <f t="shared" si="61"/>
        <v/>
      </c>
      <c r="P364" s="34" t="str">
        <f>IF(B364="","",C364&amp;"|"&amp;ROUND(O364,2)&amp;"|"&amp;COUNTIFS($C$4:C364,C364,$O$4:O364,O364))</f>
        <v/>
      </c>
      <c r="Q364" s="34">
        <f t="shared" si="62"/>
        <v>0</v>
      </c>
      <c r="R364" s="34">
        <f t="shared" si="63"/>
        <v>0</v>
      </c>
      <c r="S364" s="34" t="str">
        <f>IF(AND(B364&lt;&gt;"",C364=CompteSel,N(B364)&lt;=DateArret,R364=0),MAX($S$3:S363)+1,"")</f>
        <v/>
      </c>
      <c r="T364" s="34">
        <f t="shared" si="64"/>
        <v>0</v>
      </c>
      <c r="U364" s="34">
        <f t="shared" si="65"/>
        <v>9</v>
      </c>
    </row>
    <row r="365" spans="1:21" x14ac:dyDescent="0.35">
      <c r="A365" s="1" t="str">
        <f t="shared" si="55"/>
        <v/>
      </c>
      <c r="B365" s="31"/>
      <c r="C365" s="8"/>
      <c r="D365" s="8"/>
      <c r="E365" s="8"/>
      <c r="F365" s="32"/>
      <c r="G365" s="32"/>
      <c r="H365" s="32"/>
      <c r="I365" s="1" t="str">
        <f t="shared" si="56"/>
        <v/>
      </c>
      <c r="J365" s="1" t="str">
        <f t="shared" si="57"/>
        <v/>
      </c>
      <c r="K365" s="1" t="str">
        <f t="shared" si="58"/>
        <v/>
      </c>
      <c r="L365" s="8"/>
      <c r="M365" s="1" t="str">
        <f t="shared" si="59"/>
        <v/>
      </c>
      <c r="N365" s="1" t="str">
        <f t="shared" si="60"/>
        <v/>
      </c>
      <c r="O365" s="33" t="str">
        <f t="shared" si="61"/>
        <v/>
      </c>
      <c r="P365" s="34" t="str">
        <f>IF(B365="","",C365&amp;"|"&amp;ROUND(O365,2)&amp;"|"&amp;COUNTIFS($C$4:C365,C365,$O$4:O365,O365))</f>
        <v/>
      </c>
      <c r="Q365" s="34">
        <f t="shared" si="62"/>
        <v>0</v>
      </c>
      <c r="R365" s="34">
        <f t="shared" si="63"/>
        <v>0</v>
      </c>
      <c r="S365" s="34" t="str">
        <f>IF(AND(B365&lt;&gt;"",C365=CompteSel,N(B365)&lt;=DateArret,R365=0),MAX($S$3:S364)+1,"")</f>
        <v/>
      </c>
      <c r="T365" s="34">
        <f t="shared" si="64"/>
        <v>0</v>
      </c>
      <c r="U365" s="34">
        <f t="shared" si="65"/>
        <v>9</v>
      </c>
    </row>
    <row r="366" spans="1:21" x14ac:dyDescent="0.35">
      <c r="A366" s="1" t="str">
        <f t="shared" si="55"/>
        <v/>
      </c>
      <c r="B366" s="31"/>
      <c r="C366" s="8"/>
      <c r="D366" s="8"/>
      <c r="E366" s="8"/>
      <c r="F366" s="32"/>
      <c r="G366" s="32"/>
      <c r="H366" s="32"/>
      <c r="I366" s="1" t="str">
        <f t="shared" si="56"/>
        <v/>
      </c>
      <c r="J366" s="1" t="str">
        <f t="shared" si="57"/>
        <v/>
      </c>
      <c r="K366" s="1" t="str">
        <f t="shared" si="58"/>
        <v/>
      </c>
      <c r="L366" s="8"/>
      <c r="M366" s="1" t="str">
        <f t="shared" si="59"/>
        <v/>
      </c>
      <c r="N366" s="1" t="str">
        <f t="shared" si="60"/>
        <v/>
      </c>
      <c r="O366" s="33" t="str">
        <f t="shared" si="61"/>
        <v/>
      </c>
      <c r="P366" s="34" t="str">
        <f>IF(B366="","",C366&amp;"|"&amp;ROUND(O366,2)&amp;"|"&amp;COUNTIFS($C$4:C366,C366,$O$4:O366,O366))</f>
        <v/>
      </c>
      <c r="Q366" s="34">
        <f t="shared" si="62"/>
        <v>0</v>
      </c>
      <c r="R366" s="34">
        <f t="shared" si="63"/>
        <v>0</v>
      </c>
      <c r="S366" s="34" t="str">
        <f>IF(AND(B366&lt;&gt;"",C366=CompteSel,N(B366)&lt;=DateArret,R366=0),MAX($S$3:S365)+1,"")</f>
        <v/>
      </c>
      <c r="T366" s="34">
        <f t="shared" si="64"/>
        <v>0</v>
      </c>
      <c r="U366" s="34">
        <f t="shared" si="65"/>
        <v>9</v>
      </c>
    </row>
    <row r="367" spans="1:21" x14ac:dyDescent="0.35">
      <c r="A367" s="1" t="str">
        <f t="shared" si="55"/>
        <v/>
      </c>
      <c r="B367" s="31"/>
      <c r="C367" s="8"/>
      <c r="D367" s="8"/>
      <c r="E367" s="8"/>
      <c r="F367" s="32"/>
      <c r="G367" s="32"/>
      <c r="H367" s="32"/>
      <c r="I367" s="1" t="str">
        <f t="shared" si="56"/>
        <v/>
      </c>
      <c r="J367" s="1" t="str">
        <f t="shared" si="57"/>
        <v/>
      </c>
      <c r="K367" s="1" t="str">
        <f t="shared" si="58"/>
        <v/>
      </c>
      <c r="L367" s="8"/>
      <c r="M367" s="1" t="str">
        <f t="shared" si="59"/>
        <v/>
      </c>
      <c r="N367" s="1" t="str">
        <f t="shared" si="60"/>
        <v/>
      </c>
      <c r="O367" s="33" t="str">
        <f t="shared" si="61"/>
        <v/>
      </c>
      <c r="P367" s="34" t="str">
        <f>IF(B367="","",C367&amp;"|"&amp;ROUND(O367,2)&amp;"|"&amp;COUNTIFS($C$4:C367,C367,$O$4:O367,O367))</f>
        <v/>
      </c>
      <c r="Q367" s="34">
        <f t="shared" si="62"/>
        <v>0</v>
      </c>
      <c r="R367" s="34">
        <f t="shared" si="63"/>
        <v>0</v>
      </c>
      <c r="S367" s="34" t="str">
        <f>IF(AND(B367&lt;&gt;"",C367=CompteSel,N(B367)&lt;=DateArret,R367=0),MAX($S$3:S366)+1,"")</f>
        <v/>
      </c>
      <c r="T367" s="34">
        <f t="shared" si="64"/>
        <v>0</v>
      </c>
      <c r="U367" s="34">
        <f t="shared" si="65"/>
        <v>9</v>
      </c>
    </row>
    <row r="368" spans="1:21" x14ac:dyDescent="0.35">
      <c r="A368" s="1" t="str">
        <f t="shared" si="55"/>
        <v/>
      </c>
      <c r="B368" s="31"/>
      <c r="C368" s="8"/>
      <c r="D368" s="8"/>
      <c r="E368" s="8"/>
      <c r="F368" s="32"/>
      <c r="G368" s="32"/>
      <c r="H368" s="32"/>
      <c r="I368" s="1" t="str">
        <f t="shared" si="56"/>
        <v/>
      </c>
      <c r="J368" s="1" t="str">
        <f t="shared" si="57"/>
        <v/>
      </c>
      <c r="K368" s="1" t="str">
        <f t="shared" si="58"/>
        <v/>
      </c>
      <c r="L368" s="8"/>
      <c r="M368" s="1" t="str">
        <f t="shared" si="59"/>
        <v/>
      </c>
      <c r="N368" s="1" t="str">
        <f t="shared" si="60"/>
        <v/>
      </c>
      <c r="O368" s="33" t="str">
        <f t="shared" si="61"/>
        <v/>
      </c>
      <c r="P368" s="34" t="str">
        <f>IF(B368="","",C368&amp;"|"&amp;ROUND(O368,2)&amp;"|"&amp;COUNTIFS($C$4:C368,C368,$O$4:O368,O368))</f>
        <v/>
      </c>
      <c r="Q368" s="34">
        <f t="shared" si="62"/>
        <v>0</v>
      </c>
      <c r="R368" s="34">
        <f t="shared" si="63"/>
        <v>0</v>
      </c>
      <c r="S368" s="34" t="str">
        <f>IF(AND(B368&lt;&gt;"",C368=CompteSel,N(B368)&lt;=DateArret,R368=0),MAX($S$3:S367)+1,"")</f>
        <v/>
      </c>
      <c r="T368" s="34">
        <f t="shared" si="64"/>
        <v>0</v>
      </c>
      <c r="U368" s="34">
        <f t="shared" si="65"/>
        <v>9</v>
      </c>
    </row>
    <row r="369" spans="1:21" x14ac:dyDescent="0.35">
      <c r="A369" s="1" t="str">
        <f t="shared" si="55"/>
        <v/>
      </c>
      <c r="B369" s="31"/>
      <c r="C369" s="8"/>
      <c r="D369" s="8"/>
      <c r="E369" s="8"/>
      <c r="F369" s="32"/>
      <c r="G369" s="32"/>
      <c r="H369" s="32"/>
      <c r="I369" s="1" t="str">
        <f t="shared" si="56"/>
        <v/>
      </c>
      <c r="J369" s="1" t="str">
        <f t="shared" si="57"/>
        <v/>
      </c>
      <c r="K369" s="1" t="str">
        <f t="shared" si="58"/>
        <v/>
      </c>
      <c r="L369" s="8"/>
      <c r="M369" s="1" t="str">
        <f t="shared" si="59"/>
        <v/>
      </c>
      <c r="N369" s="1" t="str">
        <f t="shared" si="60"/>
        <v/>
      </c>
      <c r="O369" s="33" t="str">
        <f t="shared" si="61"/>
        <v/>
      </c>
      <c r="P369" s="34" t="str">
        <f>IF(B369="","",C369&amp;"|"&amp;ROUND(O369,2)&amp;"|"&amp;COUNTIFS($C$4:C369,C369,$O$4:O369,O369))</f>
        <v/>
      </c>
      <c r="Q369" s="34">
        <f t="shared" si="62"/>
        <v>0</v>
      </c>
      <c r="R369" s="34">
        <f t="shared" si="63"/>
        <v>0</v>
      </c>
      <c r="S369" s="34" t="str">
        <f>IF(AND(B369&lt;&gt;"",C369=CompteSel,N(B369)&lt;=DateArret,R369=0),MAX($S$3:S368)+1,"")</f>
        <v/>
      </c>
      <c r="T369" s="34">
        <f t="shared" si="64"/>
        <v>0</v>
      </c>
      <c r="U369" s="34">
        <f t="shared" si="65"/>
        <v>9</v>
      </c>
    </row>
    <row r="370" spans="1:21" x14ac:dyDescent="0.35">
      <c r="A370" s="1" t="str">
        <f t="shared" si="55"/>
        <v/>
      </c>
      <c r="B370" s="31"/>
      <c r="C370" s="8"/>
      <c r="D370" s="8"/>
      <c r="E370" s="8"/>
      <c r="F370" s="32"/>
      <c r="G370" s="32"/>
      <c r="H370" s="32"/>
      <c r="I370" s="1" t="str">
        <f t="shared" si="56"/>
        <v/>
      </c>
      <c r="J370" s="1" t="str">
        <f t="shared" si="57"/>
        <v/>
      </c>
      <c r="K370" s="1" t="str">
        <f t="shared" si="58"/>
        <v/>
      </c>
      <c r="L370" s="8"/>
      <c r="M370" s="1" t="str">
        <f t="shared" si="59"/>
        <v/>
      </c>
      <c r="N370" s="1" t="str">
        <f t="shared" si="60"/>
        <v/>
      </c>
      <c r="O370" s="33" t="str">
        <f t="shared" si="61"/>
        <v/>
      </c>
      <c r="P370" s="34" t="str">
        <f>IF(B370="","",C370&amp;"|"&amp;ROUND(O370,2)&amp;"|"&amp;COUNTIFS($C$4:C370,C370,$O$4:O370,O370))</f>
        <v/>
      </c>
      <c r="Q370" s="34">
        <f t="shared" si="62"/>
        <v>0</v>
      </c>
      <c r="R370" s="34">
        <f t="shared" si="63"/>
        <v>0</v>
      </c>
      <c r="S370" s="34" t="str">
        <f>IF(AND(B370&lt;&gt;"",C370=CompteSel,N(B370)&lt;=DateArret,R370=0),MAX($S$3:S369)+1,"")</f>
        <v/>
      </c>
      <c r="T370" s="34">
        <f t="shared" si="64"/>
        <v>0</v>
      </c>
      <c r="U370" s="34">
        <f t="shared" si="65"/>
        <v>9</v>
      </c>
    </row>
    <row r="371" spans="1:21" x14ac:dyDescent="0.35">
      <c r="A371" s="1" t="str">
        <f t="shared" si="55"/>
        <v/>
      </c>
      <c r="B371" s="31"/>
      <c r="C371" s="8"/>
      <c r="D371" s="8"/>
      <c r="E371" s="8"/>
      <c r="F371" s="32"/>
      <c r="G371" s="32"/>
      <c r="H371" s="32"/>
      <c r="I371" s="1" t="str">
        <f t="shared" si="56"/>
        <v/>
      </c>
      <c r="J371" s="1" t="str">
        <f t="shared" si="57"/>
        <v/>
      </c>
      <c r="K371" s="1" t="str">
        <f t="shared" si="58"/>
        <v/>
      </c>
      <c r="L371" s="8"/>
      <c r="M371" s="1" t="str">
        <f t="shared" si="59"/>
        <v/>
      </c>
      <c r="N371" s="1" t="str">
        <f t="shared" si="60"/>
        <v/>
      </c>
      <c r="O371" s="33" t="str">
        <f t="shared" si="61"/>
        <v/>
      </c>
      <c r="P371" s="34" t="str">
        <f>IF(B371="","",C371&amp;"|"&amp;ROUND(O371,2)&amp;"|"&amp;COUNTIFS($C$4:C371,C371,$O$4:O371,O371))</f>
        <v/>
      </c>
      <c r="Q371" s="34">
        <f t="shared" si="62"/>
        <v>0</v>
      </c>
      <c r="R371" s="34">
        <f t="shared" si="63"/>
        <v>0</v>
      </c>
      <c r="S371" s="34" t="str">
        <f>IF(AND(B371&lt;&gt;"",C371=CompteSel,N(B371)&lt;=DateArret,R371=0),MAX($S$3:S370)+1,"")</f>
        <v/>
      </c>
      <c r="T371" s="34">
        <f t="shared" si="64"/>
        <v>0</v>
      </c>
      <c r="U371" s="34">
        <f t="shared" si="65"/>
        <v>9</v>
      </c>
    </row>
    <row r="372" spans="1:21" x14ac:dyDescent="0.35">
      <c r="A372" s="1" t="str">
        <f t="shared" si="55"/>
        <v/>
      </c>
      <c r="B372" s="31"/>
      <c r="C372" s="8"/>
      <c r="D372" s="8"/>
      <c r="E372" s="8"/>
      <c r="F372" s="32"/>
      <c r="G372" s="32"/>
      <c r="H372" s="32"/>
      <c r="I372" s="1" t="str">
        <f t="shared" si="56"/>
        <v/>
      </c>
      <c r="J372" s="1" t="str">
        <f t="shared" si="57"/>
        <v/>
      </c>
      <c r="K372" s="1" t="str">
        <f t="shared" si="58"/>
        <v/>
      </c>
      <c r="L372" s="8"/>
      <c r="M372" s="1" t="str">
        <f t="shared" si="59"/>
        <v/>
      </c>
      <c r="N372" s="1" t="str">
        <f t="shared" si="60"/>
        <v/>
      </c>
      <c r="O372" s="33" t="str">
        <f t="shared" si="61"/>
        <v/>
      </c>
      <c r="P372" s="34" t="str">
        <f>IF(B372="","",C372&amp;"|"&amp;ROUND(O372,2)&amp;"|"&amp;COUNTIFS($C$4:C372,C372,$O$4:O372,O372))</f>
        <v/>
      </c>
      <c r="Q372" s="34">
        <f t="shared" si="62"/>
        <v>0</v>
      </c>
      <c r="R372" s="34">
        <f t="shared" si="63"/>
        <v>0</v>
      </c>
      <c r="S372" s="34" t="str">
        <f>IF(AND(B372&lt;&gt;"",C372=CompteSel,N(B372)&lt;=DateArret,R372=0),MAX($S$3:S371)+1,"")</f>
        <v/>
      </c>
      <c r="T372" s="34">
        <f t="shared" si="64"/>
        <v>0</v>
      </c>
      <c r="U372" s="34">
        <f t="shared" si="65"/>
        <v>9</v>
      </c>
    </row>
    <row r="373" spans="1:21" x14ac:dyDescent="0.35">
      <c r="A373" s="1" t="str">
        <f t="shared" si="55"/>
        <v/>
      </c>
      <c r="B373" s="31"/>
      <c r="C373" s="8"/>
      <c r="D373" s="8"/>
      <c r="E373" s="8"/>
      <c r="F373" s="32"/>
      <c r="G373" s="32"/>
      <c r="H373" s="32"/>
      <c r="I373" s="1" t="str">
        <f t="shared" si="56"/>
        <v/>
      </c>
      <c r="J373" s="1" t="str">
        <f t="shared" si="57"/>
        <v/>
      </c>
      <c r="K373" s="1" t="str">
        <f t="shared" si="58"/>
        <v/>
      </c>
      <c r="L373" s="8"/>
      <c r="M373" s="1" t="str">
        <f t="shared" si="59"/>
        <v/>
      </c>
      <c r="N373" s="1" t="str">
        <f t="shared" si="60"/>
        <v/>
      </c>
      <c r="O373" s="33" t="str">
        <f t="shared" si="61"/>
        <v/>
      </c>
      <c r="P373" s="34" t="str">
        <f>IF(B373="","",C373&amp;"|"&amp;ROUND(O373,2)&amp;"|"&amp;COUNTIFS($C$4:C373,C373,$O$4:O373,O373))</f>
        <v/>
      </c>
      <c r="Q373" s="34">
        <f t="shared" si="62"/>
        <v>0</v>
      </c>
      <c r="R373" s="34">
        <f t="shared" si="63"/>
        <v>0</v>
      </c>
      <c r="S373" s="34" t="str">
        <f>IF(AND(B373&lt;&gt;"",C373=CompteSel,N(B373)&lt;=DateArret,R373=0),MAX($S$3:S372)+1,"")</f>
        <v/>
      </c>
      <c r="T373" s="34">
        <f t="shared" si="64"/>
        <v>0</v>
      </c>
      <c r="U373" s="34">
        <f t="shared" si="65"/>
        <v>9</v>
      </c>
    </row>
    <row r="374" spans="1:21" x14ac:dyDescent="0.35">
      <c r="A374" s="1" t="str">
        <f t="shared" si="55"/>
        <v/>
      </c>
      <c r="B374" s="31"/>
      <c r="C374" s="8"/>
      <c r="D374" s="8"/>
      <c r="E374" s="8"/>
      <c r="F374" s="32"/>
      <c r="G374" s="32"/>
      <c r="H374" s="32"/>
      <c r="I374" s="1" t="str">
        <f t="shared" si="56"/>
        <v/>
      </c>
      <c r="J374" s="1" t="str">
        <f t="shared" si="57"/>
        <v/>
      </c>
      <c r="K374" s="1" t="str">
        <f t="shared" si="58"/>
        <v/>
      </c>
      <c r="L374" s="8"/>
      <c r="M374" s="1" t="str">
        <f t="shared" si="59"/>
        <v/>
      </c>
      <c r="N374" s="1" t="str">
        <f t="shared" si="60"/>
        <v/>
      </c>
      <c r="O374" s="33" t="str">
        <f t="shared" si="61"/>
        <v/>
      </c>
      <c r="P374" s="34" t="str">
        <f>IF(B374="","",C374&amp;"|"&amp;ROUND(O374,2)&amp;"|"&amp;COUNTIFS($C$4:C374,C374,$O$4:O374,O374))</f>
        <v/>
      </c>
      <c r="Q374" s="34">
        <f t="shared" si="62"/>
        <v>0</v>
      </c>
      <c r="R374" s="34">
        <f t="shared" si="63"/>
        <v>0</v>
      </c>
      <c r="S374" s="34" t="str">
        <f>IF(AND(B374&lt;&gt;"",C374=CompteSel,N(B374)&lt;=DateArret,R374=0),MAX($S$3:S373)+1,"")</f>
        <v/>
      </c>
      <c r="T374" s="34">
        <f t="shared" si="64"/>
        <v>0</v>
      </c>
      <c r="U374" s="34">
        <f t="shared" si="65"/>
        <v>9</v>
      </c>
    </row>
    <row r="375" spans="1:21" x14ac:dyDescent="0.35">
      <c r="A375" s="1" t="str">
        <f t="shared" si="55"/>
        <v/>
      </c>
      <c r="B375" s="31"/>
      <c r="C375" s="8"/>
      <c r="D375" s="8"/>
      <c r="E375" s="8"/>
      <c r="F375" s="32"/>
      <c r="G375" s="32"/>
      <c r="H375" s="32"/>
      <c r="I375" s="1" t="str">
        <f t="shared" si="56"/>
        <v/>
      </c>
      <c r="J375" s="1" t="str">
        <f t="shared" si="57"/>
        <v/>
      </c>
      <c r="K375" s="1" t="str">
        <f t="shared" si="58"/>
        <v/>
      </c>
      <c r="L375" s="8"/>
      <c r="M375" s="1" t="str">
        <f t="shared" si="59"/>
        <v/>
      </c>
      <c r="N375" s="1" t="str">
        <f t="shared" si="60"/>
        <v/>
      </c>
      <c r="O375" s="33" t="str">
        <f t="shared" si="61"/>
        <v/>
      </c>
      <c r="P375" s="34" t="str">
        <f>IF(B375="","",C375&amp;"|"&amp;ROUND(O375,2)&amp;"|"&amp;COUNTIFS($C$4:C375,C375,$O$4:O375,O375))</f>
        <v/>
      </c>
      <c r="Q375" s="34">
        <f t="shared" si="62"/>
        <v>0</v>
      </c>
      <c r="R375" s="34">
        <f t="shared" si="63"/>
        <v>0</v>
      </c>
      <c r="S375" s="34" t="str">
        <f>IF(AND(B375&lt;&gt;"",C375=CompteSel,N(B375)&lt;=DateArret,R375=0),MAX($S$3:S374)+1,"")</f>
        <v/>
      </c>
      <c r="T375" s="34">
        <f t="shared" si="64"/>
        <v>0</v>
      </c>
      <c r="U375" s="34">
        <f t="shared" si="65"/>
        <v>9</v>
      </c>
    </row>
    <row r="376" spans="1:21" x14ac:dyDescent="0.35">
      <c r="A376" s="1" t="str">
        <f t="shared" si="55"/>
        <v/>
      </c>
      <c r="B376" s="31"/>
      <c r="C376" s="8"/>
      <c r="D376" s="8"/>
      <c r="E376" s="8"/>
      <c r="F376" s="32"/>
      <c r="G376" s="32"/>
      <c r="H376" s="32"/>
      <c r="I376" s="1" t="str">
        <f t="shared" si="56"/>
        <v/>
      </c>
      <c r="J376" s="1" t="str">
        <f t="shared" si="57"/>
        <v/>
      </c>
      <c r="K376" s="1" t="str">
        <f t="shared" si="58"/>
        <v/>
      </c>
      <c r="L376" s="8"/>
      <c r="M376" s="1" t="str">
        <f t="shared" si="59"/>
        <v/>
      </c>
      <c r="N376" s="1" t="str">
        <f t="shared" si="60"/>
        <v/>
      </c>
      <c r="O376" s="33" t="str">
        <f t="shared" si="61"/>
        <v/>
      </c>
      <c r="P376" s="34" t="str">
        <f>IF(B376="","",C376&amp;"|"&amp;ROUND(O376,2)&amp;"|"&amp;COUNTIFS($C$4:C376,C376,$O$4:O376,O376))</f>
        <v/>
      </c>
      <c r="Q376" s="34">
        <f t="shared" si="62"/>
        <v>0</v>
      </c>
      <c r="R376" s="34">
        <f t="shared" si="63"/>
        <v>0</v>
      </c>
      <c r="S376" s="34" t="str">
        <f>IF(AND(B376&lt;&gt;"",C376=CompteSel,N(B376)&lt;=DateArret,R376=0),MAX($S$3:S375)+1,"")</f>
        <v/>
      </c>
      <c r="T376" s="34">
        <f t="shared" si="64"/>
        <v>0</v>
      </c>
      <c r="U376" s="34">
        <f t="shared" si="65"/>
        <v>9</v>
      </c>
    </row>
    <row r="377" spans="1:21" x14ac:dyDescent="0.35">
      <c r="A377" s="1" t="str">
        <f t="shared" si="55"/>
        <v/>
      </c>
      <c r="B377" s="31"/>
      <c r="C377" s="8"/>
      <c r="D377" s="8"/>
      <c r="E377" s="8"/>
      <c r="F377" s="32"/>
      <c r="G377" s="32"/>
      <c r="H377" s="32"/>
      <c r="I377" s="1" t="str">
        <f t="shared" si="56"/>
        <v/>
      </c>
      <c r="J377" s="1" t="str">
        <f t="shared" si="57"/>
        <v/>
      </c>
      <c r="K377" s="1" t="str">
        <f t="shared" si="58"/>
        <v/>
      </c>
      <c r="L377" s="8"/>
      <c r="M377" s="1" t="str">
        <f t="shared" si="59"/>
        <v/>
      </c>
      <c r="N377" s="1" t="str">
        <f t="shared" si="60"/>
        <v/>
      </c>
      <c r="O377" s="33" t="str">
        <f t="shared" si="61"/>
        <v/>
      </c>
      <c r="P377" s="34" t="str">
        <f>IF(B377="","",C377&amp;"|"&amp;ROUND(O377,2)&amp;"|"&amp;COUNTIFS($C$4:C377,C377,$O$4:O377,O377))</f>
        <v/>
      </c>
      <c r="Q377" s="34">
        <f t="shared" si="62"/>
        <v>0</v>
      </c>
      <c r="R377" s="34">
        <f t="shared" si="63"/>
        <v>0</v>
      </c>
      <c r="S377" s="34" t="str">
        <f>IF(AND(B377&lt;&gt;"",C377=CompteSel,N(B377)&lt;=DateArret,R377=0),MAX($S$3:S376)+1,"")</f>
        <v/>
      </c>
      <c r="T377" s="34">
        <f t="shared" si="64"/>
        <v>0</v>
      </c>
      <c r="U377" s="34">
        <f t="shared" si="65"/>
        <v>9</v>
      </c>
    </row>
    <row r="378" spans="1:21" x14ac:dyDescent="0.35">
      <c r="A378" s="1" t="str">
        <f t="shared" si="55"/>
        <v/>
      </c>
      <c r="B378" s="31"/>
      <c r="C378" s="8"/>
      <c r="D378" s="8"/>
      <c r="E378" s="8"/>
      <c r="F378" s="32"/>
      <c r="G378" s="32"/>
      <c r="H378" s="32"/>
      <c r="I378" s="1" t="str">
        <f t="shared" si="56"/>
        <v/>
      </c>
      <c r="J378" s="1" t="str">
        <f t="shared" si="57"/>
        <v/>
      </c>
      <c r="K378" s="1" t="str">
        <f t="shared" si="58"/>
        <v/>
      </c>
      <c r="L378" s="8"/>
      <c r="M378" s="1" t="str">
        <f t="shared" si="59"/>
        <v/>
      </c>
      <c r="N378" s="1" t="str">
        <f t="shared" si="60"/>
        <v/>
      </c>
      <c r="O378" s="33" t="str">
        <f t="shared" si="61"/>
        <v/>
      </c>
      <c r="P378" s="34" t="str">
        <f>IF(B378="","",C378&amp;"|"&amp;ROUND(O378,2)&amp;"|"&amp;COUNTIFS($C$4:C378,C378,$O$4:O378,O378))</f>
        <v/>
      </c>
      <c r="Q378" s="34">
        <f t="shared" si="62"/>
        <v>0</v>
      </c>
      <c r="R378" s="34">
        <f t="shared" si="63"/>
        <v>0</v>
      </c>
      <c r="S378" s="34" t="str">
        <f>IF(AND(B378&lt;&gt;"",C378=CompteSel,N(B378)&lt;=DateArret,R378=0),MAX($S$3:S377)+1,"")</f>
        <v/>
      </c>
      <c r="T378" s="34">
        <f t="shared" si="64"/>
        <v>0</v>
      </c>
      <c r="U378" s="34">
        <f t="shared" si="65"/>
        <v>9</v>
      </c>
    </row>
    <row r="379" spans="1:21" x14ac:dyDescent="0.35">
      <c r="A379" s="1" t="str">
        <f t="shared" si="55"/>
        <v/>
      </c>
      <c r="B379" s="31"/>
      <c r="C379" s="8"/>
      <c r="D379" s="8"/>
      <c r="E379" s="8"/>
      <c r="F379" s="32"/>
      <c r="G379" s="32"/>
      <c r="H379" s="32"/>
      <c r="I379" s="1" t="str">
        <f t="shared" si="56"/>
        <v/>
      </c>
      <c r="J379" s="1" t="str">
        <f t="shared" si="57"/>
        <v/>
      </c>
      <c r="K379" s="1" t="str">
        <f t="shared" si="58"/>
        <v/>
      </c>
      <c r="L379" s="8"/>
      <c r="M379" s="1" t="str">
        <f t="shared" si="59"/>
        <v/>
      </c>
      <c r="N379" s="1" t="str">
        <f t="shared" si="60"/>
        <v/>
      </c>
      <c r="O379" s="33" t="str">
        <f t="shared" si="61"/>
        <v/>
      </c>
      <c r="P379" s="34" t="str">
        <f>IF(B379="","",C379&amp;"|"&amp;ROUND(O379,2)&amp;"|"&amp;COUNTIFS($C$4:C379,C379,$O$4:O379,O379))</f>
        <v/>
      </c>
      <c r="Q379" s="34">
        <f t="shared" si="62"/>
        <v>0</v>
      </c>
      <c r="R379" s="34">
        <f t="shared" si="63"/>
        <v>0</v>
      </c>
      <c r="S379" s="34" t="str">
        <f>IF(AND(B379&lt;&gt;"",C379=CompteSel,N(B379)&lt;=DateArret,R379=0),MAX($S$3:S378)+1,"")</f>
        <v/>
      </c>
      <c r="T379" s="34">
        <f t="shared" si="64"/>
        <v>0</v>
      </c>
      <c r="U379" s="34">
        <f t="shared" si="65"/>
        <v>9</v>
      </c>
    </row>
    <row r="380" spans="1:21" x14ac:dyDescent="0.35">
      <c r="A380" s="1" t="str">
        <f t="shared" si="55"/>
        <v/>
      </c>
      <c r="B380" s="31"/>
      <c r="C380" s="8"/>
      <c r="D380" s="8"/>
      <c r="E380" s="8"/>
      <c r="F380" s="32"/>
      <c r="G380" s="32"/>
      <c r="H380" s="32"/>
      <c r="I380" s="1" t="str">
        <f t="shared" si="56"/>
        <v/>
      </c>
      <c r="J380" s="1" t="str">
        <f t="shared" si="57"/>
        <v/>
      </c>
      <c r="K380" s="1" t="str">
        <f t="shared" si="58"/>
        <v/>
      </c>
      <c r="L380" s="8"/>
      <c r="M380" s="1" t="str">
        <f t="shared" si="59"/>
        <v/>
      </c>
      <c r="N380" s="1" t="str">
        <f t="shared" si="60"/>
        <v/>
      </c>
      <c r="O380" s="33" t="str">
        <f t="shared" si="61"/>
        <v/>
      </c>
      <c r="P380" s="34" t="str">
        <f>IF(B380="","",C380&amp;"|"&amp;ROUND(O380,2)&amp;"|"&amp;COUNTIFS($C$4:C380,C380,$O$4:O380,O380))</f>
        <v/>
      </c>
      <c r="Q380" s="34">
        <f t="shared" si="62"/>
        <v>0</v>
      </c>
      <c r="R380" s="34">
        <f t="shared" si="63"/>
        <v>0</v>
      </c>
      <c r="S380" s="34" t="str">
        <f>IF(AND(B380&lt;&gt;"",C380=CompteSel,N(B380)&lt;=DateArret,R380=0),MAX($S$3:S379)+1,"")</f>
        <v/>
      </c>
      <c r="T380" s="34">
        <f t="shared" si="64"/>
        <v>0</v>
      </c>
      <c r="U380" s="34">
        <f t="shared" si="65"/>
        <v>9</v>
      </c>
    </row>
    <row r="381" spans="1:21" x14ac:dyDescent="0.35">
      <c r="A381" s="1" t="str">
        <f t="shared" si="55"/>
        <v/>
      </c>
      <c r="B381" s="31"/>
      <c r="C381" s="8"/>
      <c r="D381" s="8"/>
      <c r="E381" s="8"/>
      <c r="F381" s="32"/>
      <c r="G381" s="32"/>
      <c r="H381" s="32"/>
      <c r="I381" s="1" t="str">
        <f t="shared" si="56"/>
        <v/>
      </c>
      <c r="J381" s="1" t="str">
        <f t="shared" si="57"/>
        <v/>
      </c>
      <c r="K381" s="1" t="str">
        <f t="shared" si="58"/>
        <v/>
      </c>
      <c r="L381" s="8"/>
      <c r="M381" s="1" t="str">
        <f t="shared" si="59"/>
        <v/>
      </c>
      <c r="N381" s="1" t="str">
        <f t="shared" si="60"/>
        <v/>
      </c>
      <c r="O381" s="33" t="str">
        <f t="shared" si="61"/>
        <v/>
      </c>
      <c r="P381" s="34" t="str">
        <f>IF(B381="","",C381&amp;"|"&amp;ROUND(O381,2)&amp;"|"&amp;COUNTIFS($C$4:C381,C381,$O$4:O381,O381))</f>
        <v/>
      </c>
      <c r="Q381" s="34">
        <f t="shared" si="62"/>
        <v>0</v>
      </c>
      <c r="R381" s="34">
        <f t="shared" si="63"/>
        <v>0</v>
      </c>
      <c r="S381" s="34" t="str">
        <f>IF(AND(B381&lt;&gt;"",C381=CompteSel,N(B381)&lt;=DateArret,R381=0),MAX($S$3:S380)+1,"")</f>
        <v/>
      </c>
      <c r="T381" s="34">
        <f t="shared" si="64"/>
        <v>0</v>
      </c>
      <c r="U381" s="34">
        <f t="shared" si="65"/>
        <v>9</v>
      </c>
    </row>
    <row r="382" spans="1:21" x14ac:dyDescent="0.35">
      <c r="A382" s="1" t="str">
        <f t="shared" si="55"/>
        <v/>
      </c>
      <c r="B382" s="31"/>
      <c r="C382" s="8"/>
      <c r="D382" s="8"/>
      <c r="E382" s="8"/>
      <c r="F382" s="32"/>
      <c r="G382" s="32"/>
      <c r="H382" s="32"/>
      <c r="I382" s="1" t="str">
        <f t="shared" si="56"/>
        <v/>
      </c>
      <c r="J382" s="1" t="str">
        <f t="shared" si="57"/>
        <v/>
      </c>
      <c r="K382" s="1" t="str">
        <f t="shared" si="58"/>
        <v/>
      </c>
      <c r="L382" s="8"/>
      <c r="M382" s="1" t="str">
        <f t="shared" si="59"/>
        <v/>
      </c>
      <c r="N382" s="1" t="str">
        <f t="shared" si="60"/>
        <v/>
      </c>
      <c r="O382" s="33" t="str">
        <f t="shared" si="61"/>
        <v/>
      </c>
      <c r="P382" s="34" t="str">
        <f>IF(B382="","",C382&amp;"|"&amp;ROUND(O382,2)&amp;"|"&amp;COUNTIFS($C$4:C382,C382,$O$4:O382,O382))</f>
        <v/>
      </c>
      <c r="Q382" s="34">
        <f t="shared" si="62"/>
        <v>0</v>
      </c>
      <c r="R382" s="34">
        <f t="shared" si="63"/>
        <v>0</v>
      </c>
      <c r="S382" s="34" t="str">
        <f>IF(AND(B382&lt;&gt;"",C382=CompteSel,N(B382)&lt;=DateArret,R382=0),MAX($S$3:S381)+1,"")</f>
        <v/>
      </c>
      <c r="T382" s="34">
        <f t="shared" si="64"/>
        <v>0</v>
      </c>
      <c r="U382" s="34">
        <f t="shared" si="65"/>
        <v>9</v>
      </c>
    </row>
    <row r="383" spans="1:21" x14ac:dyDescent="0.35">
      <c r="A383" s="1" t="str">
        <f t="shared" si="55"/>
        <v/>
      </c>
      <c r="B383" s="31"/>
      <c r="C383" s="8"/>
      <c r="D383" s="8"/>
      <c r="E383" s="8"/>
      <c r="F383" s="32"/>
      <c r="G383" s="32"/>
      <c r="H383" s="32"/>
      <c r="I383" s="1" t="str">
        <f t="shared" si="56"/>
        <v/>
      </c>
      <c r="J383" s="1" t="str">
        <f t="shared" si="57"/>
        <v/>
      </c>
      <c r="K383" s="1" t="str">
        <f t="shared" si="58"/>
        <v/>
      </c>
      <c r="L383" s="8"/>
      <c r="M383" s="1" t="str">
        <f t="shared" si="59"/>
        <v/>
      </c>
      <c r="N383" s="1" t="str">
        <f t="shared" si="60"/>
        <v/>
      </c>
      <c r="O383" s="33" t="str">
        <f t="shared" si="61"/>
        <v/>
      </c>
      <c r="P383" s="34" t="str">
        <f>IF(B383="","",C383&amp;"|"&amp;ROUND(O383,2)&amp;"|"&amp;COUNTIFS($C$4:C383,C383,$O$4:O383,O383))</f>
        <v/>
      </c>
      <c r="Q383" s="34">
        <f t="shared" si="62"/>
        <v>0</v>
      </c>
      <c r="R383" s="34">
        <f t="shared" si="63"/>
        <v>0</v>
      </c>
      <c r="S383" s="34" t="str">
        <f>IF(AND(B383&lt;&gt;"",C383=CompteSel,N(B383)&lt;=DateArret,R383=0),MAX($S$3:S382)+1,"")</f>
        <v/>
      </c>
      <c r="T383" s="34">
        <f t="shared" si="64"/>
        <v>0</v>
      </c>
      <c r="U383" s="34">
        <f t="shared" si="65"/>
        <v>9</v>
      </c>
    </row>
    <row r="384" spans="1:21" x14ac:dyDescent="0.35">
      <c r="A384" s="1" t="str">
        <f t="shared" si="55"/>
        <v/>
      </c>
      <c r="B384" s="31"/>
      <c r="C384" s="8"/>
      <c r="D384" s="8"/>
      <c r="E384" s="8"/>
      <c r="F384" s="32"/>
      <c r="G384" s="32"/>
      <c r="H384" s="32"/>
      <c r="I384" s="1" t="str">
        <f t="shared" si="56"/>
        <v/>
      </c>
      <c r="J384" s="1" t="str">
        <f t="shared" si="57"/>
        <v/>
      </c>
      <c r="K384" s="1" t="str">
        <f t="shared" si="58"/>
        <v/>
      </c>
      <c r="L384" s="8"/>
      <c r="M384" s="1" t="str">
        <f t="shared" si="59"/>
        <v/>
      </c>
      <c r="N384" s="1" t="str">
        <f t="shared" si="60"/>
        <v/>
      </c>
      <c r="O384" s="33" t="str">
        <f t="shared" si="61"/>
        <v/>
      </c>
      <c r="P384" s="34" t="str">
        <f>IF(B384="","",C384&amp;"|"&amp;ROUND(O384,2)&amp;"|"&amp;COUNTIFS($C$4:C384,C384,$O$4:O384,O384))</f>
        <v/>
      </c>
      <c r="Q384" s="34">
        <f t="shared" si="62"/>
        <v>0</v>
      </c>
      <c r="R384" s="34">
        <f t="shared" si="63"/>
        <v>0</v>
      </c>
      <c r="S384" s="34" t="str">
        <f>IF(AND(B384&lt;&gt;"",C384=CompteSel,N(B384)&lt;=DateArret,R384=0),MAX($S$3:S383)+1,"")</f>
        <v/>
      </c>
      <c r="T384" s="34">
        <f t="shared" si="64"/>
        <v>0</v>
      </c>
      <c r="U384" s="34">
        <f t="shared" si="65"/>
        <v>9</v>
      </c>
    </row>
    <row r="385" spans="1:21" x14ac:dyDescent="0.35">
      <c r="A385" s="1" t="str">
        <f t="shared" si="55"/>
        <v/>
      </c>
      <c r="B385" s="31"/>
      <c r="C385" s="8"/>
      <c r="D385" s="8"/>
      <c r="E385" s="8"/>
      <c r="F385" s="32"/>
      <c r="G385" s="32"/>
      <c r="H385" s="32"/>
      <c r="I385" s="1" t="str">
        <f t="shared" si="56"/>
        <v/>
      </c>
      <c r="J385" s="1" t="str">
        <f t="shared" si="57"/>
        <v/>
      </c>
      <c r="K385" s="1" t="str">
        <f t="shared" si="58"/>
        <v/>
      </c>
      <c r="L385" s="8"/>
      <c r="M385" s="1" t="str">
        <f t="shared" si="59"/>
        <v/>
      </c>
      <c r="N385" s="1" t="str">
        <f t="shared" si="60"/>
        <v/>
      </c>
      <c r="O385" s="33" t="str">
        <f t="shared" si="61"/>
        <v/>
      </c>
      <c r="P385" s="34" t="str">
        <f>IF(B385="","",C385&amp;"|"&amp;ROUND(O385,2)&amp;"|"&amp;COUNTIFS($C$4:C385,C385,$O$4:O385,O385))</f>
        <v/>
      </c>
      <c r="Q385" s="34">
        <f t="shared" si="62"/>
        <v>0</v>
      </c>
      <c r="R385" s="34">
        <f t="shared" si="63"/>
        <v>0</v>
      </c>
      <c r="S385" s="34" t="str">
        <f>IF(AND(B385&lt;&gt;"",C385=CompteSel,N(B385)&lt;=DateArret,R385=0),MAX($S$3:S384)+1,"")</f>
        <v/>
      </c>
      <c r="T385" s="34">
        <f t="shared" si="64"/>
        <v>0</v>
      </c>
      <c r="U385" s="34">
        <f t="shared" si="65"/>
        <v>9</v>
      </c>
    </row>
    <row r="386" spans="1:21" x14ac:dyDescent="0.35">
      <c r="A386" s="1" t="str">
        <f t="shared" si="55"/>
        <v/>
      </c>
      <c r="B386" s="31"/>
      <c r="C386" s="8"/>
      <c r="D386" s="8"/>
      <c r="E386" s="8"/>
      <c r="F386" s="32"/>
      <c r="G386" s="32"/>
      <c r="H386" s="32"/>
      <c r="I386" s="1" t="str">
        <f t="shared" si="56"/>
        <v/>
      </c>
      <c r="J386" s="1" t="str">
        <f t="shared" si="57"/>
        <v/>
      </c>
      <c r="K386" s="1" t="str">
        <f t="shared" si="58"/>
        <v/>
      </c>
      <c r="L386" s="8"/>
      <c r="M386" s="1" t="str">
        <f t="shared" si="59"/>
        <v/>
      </c>
      <c r="N386" s="1" t="str">
        <f t="shared" si="60"/>
        <v/>
      </c>
      <c r="O386" s="33" t="str">
        <f t="shared" si="61"/>
        <v/>
      </c>
      <c r="P386" s="34" t="str">
        <f>IF(B386="","",C386&amp;"|"&amp;ROUND(O386,2)&amp;"|"&amp;COUNTIFS($C$4:C386,C386,$O$4:O386,O386))</f>
        <v/>
      </c>
      <c r="Q386" s="34">
        <f t="shared" si="62"/>
        <v>0</v>
      </c>
      <c r="R386" s="34">
        <f t="shared" si="63"/>
        <v>0</v>
      </c>
      <c r="S386" s="34" t="str">
        <f>IF(AND(B386&lt;&gt;"",C386=CompteSel,N(B386)&lt;=DateArret,R386=0),MAX($S$3:S385)+1,"")</f>
        <v/>
      </c>
      <c r="T386" s="34">
        <f t="shared" si="64"/>
        <v>0</v>
      </c>
      <c r="U386" s="34">
        <f t="shared" si="65"/>
        <v>9</v>
      </c>
    </row>
    <row r="387" spans="1:21" x14ac:dyDescent="0.35">
      <c r="A387" s="1" t="str">
        <f t="shared" si="55"/>
        <v/>
      </c>
      <c r="B387" s="31"/>
      <c r="C387" s="8"/>
      <c r="D387" s="8"/>
      <c r="E387" s="8"/>
      <c r="F387" s="32"/>
      <c r="G387" s="32"/>
      <c r="H387" s="32"/>
      <c r="I387" s="1" t="str">
        <f t="shared" si="56"/>
        <v/>
      </c>
      <c r="J387" s="1" t="str">
        <f t="shared" si="57"/>
        <v/>
      </c>
      <c r="K387" s="1" t="str">
        <f t="shared" si="58"/>
        <v/>
      </c>
      <c r="L387" s="8"/>
      <c r="M387" s="1" t="str">
        <f t="shared" si="59"/>
        <v/>
      </c>
      <c r="N387" s="1" t="str">
        <f t="shared" si="60"/>
        <v/>
      </c>
      <c r="O387" s="33" t="str">
        <f t="shared" si="61"/>
        <v/>
      </c>
      <c r="P387" s="34" t="str">
        <f>IF(B387="","",C387&amp;"|"&amp;ROUND(O387,2)&amp;"|"&amp;COUNTIFS($C$4:C387,C387,$O$4:O387,O387))</f>
        <v/>
      </c>
      <c r="Q387" s="34">
        <f t="shared" si="62"/>
        <v>0</v>
      </c>
      <c r="R387" s="34">
        <f t="shared" si="63"/>
        <v>0</v>
      </c>
      <c r="S387" s="34" t="str">
        <f>IF(AND(B387&lt;&gt;"",C387=CompteSel,N(B387)&lt;=DateArret,R387=0),MAX($S$3:S386)+1,"")</f>
        <v/>
      </c>
      <c r="T387" s="34">
        <f t="shared" si="64"/>
        <v>0</v>
      </c>
      <c r="U387" s="34">
        <f t="shared" si="65"/>
        <v>9</v>
      </c>
    </row>
    <row r="388" spans="1:21" x14ac:dyDescent="0.35">
      <c r="A388" s="1" t="str">
        <f t="shared" ref="A388:A451" si="66">IF(B388="","",ROW()-3)</f>
        <v/>
      </c>
      <c r="B388" s="31"/>
      <c r="C388" s="8"/>
      <c r="D388" s="8"/>
      <c r="E388" s="8"/>
      <c r="F388" s="32"/>
      <c r="G388" s="32"/>
      <c r="H388" s="32"/>
      <c r="I388" s="1" t="str">
        <f t="shared" ref="I388:I451" si="67">IF(B388="","",IF(L388="Écart","Écart",IF(K388="","Non rapproché",INDEX(L_Statut,K388))))</f>
        <v/>
      </c>
      <c r="J388" s="1" t="str">
        <f t="shared" ref="J388:J451" si="68">IF(K388="","",INDEX(L_Score,K388))</f>
        <v/>
      </c>
      <c r="K388" s="1" t="str">
        <f t="shared" ref="K388:K451" si="69">IF(B388="","",IFERROR(MATCH(A388,L_Banque,0),""))</f>
        <v/>
      </c>
      <c r="L388" s="8"/>
      <c r="M388" s="1" t="str">
        <f t="shared" ref="M388:M451" si="70">IF(K388="","",INDEX(L_DJ,K388))</f>
        <v/>
      </c>
      <c r="N388" s="1" t="str">
        <f t="shared" ref="N388:N451" si="71">IF(B388="","",IF(COUNTIFS($C$4:$C$503,C388,$B$4:$B$503,B388,$O$4:$O$503,O388)&gt;1,"Doublon ?",""))</f>
        <v/>
      </c>
      <c r="O388" s="33" t="str">
        <f t="shared" ref="O388:O451" si="72">IF(B388="","",N(G388)-N(F388))</f>
        <v/>
      </c>
      <c r="P388" s="34" t="str">
        <f>IF(B388="","",C388&amp;"|"&amp;ROUND(O388,2)&amp;"|"&amp;COUNTIFS($C$4:C388,C388,$O$4:O388,O388))</f>
        <v/>
      </c>
      <c r="Q388" s="34">
        <f t="shared" ref="Q388:Q451" si="73">IF(B388="",0,IF(COUNTIFS(L_CandExact,A388,L_ExactOK,1)&gt;0,1,0))</f>
        <v>0</v>
      </c>
      <c r="R388" s="34">
        <f t="shared" ref="R388:R451" si="74">IF(OR(I388="Rapproché",I388="Manuel"),1,0)</f>
        <v>0</v>
      </c>
      <c r="S388" s="34" t="str">
        <f>IF(AND(B388&lt;&gt;"",C388=CompteSel,N(B388)&lt;=DateArret,R388=0),MAX($S$3:S387)+1,"")</f>
        <v/>
      </c>
      <c r="T388" s="34">
        <f t="shared" ref="T388:T451" si="75">IF(AND(B388&lt;&gt;"",C388=CompteSel,N(B388)&lt;=DateArret,H388&lt;&gt;""),A388,0)</f>
        <v>0</v>
      </c>
      <c r="U388" s="34">
        <f t="shared" ref="U388:U451" si="76">IF(B388="",9,SIGN(O388))</f>
        <v>9</v>
      </c>
    </row>
    <row r="389" spans="1:21" x14ac:dyDescent="0.35">
      <c r="A389" s="1" t="str">
        <f t="shared" si="66"/>
        <v/>
      </c>
      <c r="B389" s="31"/>
      <c r="C389" s="8"/>
      <c r="D389" s="8"/>
      <c r="E389" s="8"/>
      <c r="F389" s="32"/>
      <c r="G389" s="32"/>
      <c r="H389" s="32"/>
      <c r="I389" s="1" t="str">
        <f t="shared" si="67"/>
        <v/>
      </c>
      <c r="J389" s="1" t="str">
        <f t="shared" si="68"/>
        <v/>
      </c>
      <c r="K389" s="1" t="str">
        <f t="shared" si="69"/>
        <v/>
      </c>
      <c r="L389" s="8"/>
      <c r="M389" s="1" t="str">
        <f t="shared" si="70"/>
        <v/>
      </c>
      <c r="N389" s="1" t="str">
        <f t="shared" si="71"/>
        <v/>
      </c>
      <c r="O389" s="33" t="str">
        <f t="shared" si="72"/>
        <v/>
      </c>
      <c r="P389" s="34" t="str">
        <f>IF(B389="","",C389&amp;"|"&amp;ROUND(O389,2)&amp;"|"&amp;COUNTIFS($C$4:C389,C389,$O$4:O389,O389))</f>
        <v/>
      </c>
      <c r="Q389" s="34">
        <f t="shared" si="73"/>
        <v>0</v>
      </c>
      <c r="R389" s="34">
        <f t="shared" si="74"/>
        <v>0</v>
      </c>
      <c r="S389" s="34" t="str">
        <f>IF(AND(B389&lt;&gt;"",C389=CompteSel,N(B389)&lt;=DateArret,R389=0),MAX($S$3:S388)+1,"")</f>
        <v/>
      </c>
      <c r="T389" s="34">
        <f t="shared" si="75"/>
        <v>0</v>
      </c>
      <c r="U389" s="34">
        <f t="shared" si="76"/>
        <v>9</v>
      </c>
    </row>
    <row r="390" spans="1:21" x14ac:dyDescent="0.35">
      <c r="A390" s="1" t="str">
        <f t="shared" si="66"/>
        <v/>
      </c>
      <c r="B390" s="31"/>
      <c r="C390" s="8"/>
      <c r="D390" s="8"/>
      <c r="E390" s="8"/>
      <c r="F390" s="32"/>
      <c r="G390" s="32"/>
      <c r="H390" s="32"/>
      <c r="I390" s="1" t="str">
        <f t="shared" si="67"/>
        <v/>
      </c>
      <c r="J390" s="1" t="str">
        <f t="shared" si="68"/>
        <v/>
      </c>
      <c r="K390" s="1" t="str">
        <f t="shared" si="69"/>
        <v/>
      </c>
      <c r="L390" s="8"/>
      <c r="M390" s="1" t="str">
        <f t="shared" si="70"/>
        <v/>
      </c>
      <c r="N390" s="1" t="str">
        <f t="shared" si="71"/>
        <v/>
      </c>
      <c r="O390" s="33" t="str">
        <f t="shared" si="72"/>
        <v/>
      </c>
      <c r="P390" s="34" t="str">
        <f>IF(B390="","",C390&amp;"|"&amp;ROUND(O390,2)&amp;"|"&amp;COUNTIFS($C$4:C390,C390,$O$4:O390,O390))</f>
        <v/>
      </c>
      <c r="Q390" s="34">
        <f t="shared" si="73"/>
        <v>0</v>
      </c>
      <c r="R390" s="34">
        <f t="shared" si="74"/>
        <v>0</v>
      </c>
      <c r="S390" s="34" t="str">
        <f>IF(AND(B390&lt;&gt;"",C390=CompteSel,N(B390)&lt;=DateArret,R390=0),MAX($S$3:S389)+1,"")</f>
        <v/>
      </c>
      <c r="T390" s="34">
        <f t="shared" si="75"/>
        <v>0</v>
      </c>
      <c r="U390" s="34">
        <f t="shared" si="76"/>
        <v>9</v>
      </c>
    </row>
    <row r="391" spans="1:21" x14ac:dyDescent="0.35">
      <c r="A391" s="1" t="str">
        <f t="shared" si="66"/>
        <v/>
      </c>
      <c r="B391" s="31"/>
      <c r="C391" s="8"/>
      <c r="D391" s="8"/>
      <c r="E391" s="8"/>
      <c r="F391" s="32"/>
      <c r="G391" s="32"/>
      <c r="H391" s="32"/>
      <c r="I391" s="1" t="str">
        <f t="shared" si="67"/>
        <v/>
      </c>
      <c r="J391" s="1" t="str">
        <f t="shared" si="68"/>
        <v/>
      </c>
      <c r="K391" s="1" t="str">
        <f t="shared" si="69"/>
        <v/>
      </c>
      <c r="L391" s="8"/>
      <c r="M391" s="1" t="str">
        <f t="shared" si="70"/>
        <v/>
      </c>
      <c r="N391" s="1" t="str">
        <f t="shared" si="71"/>
        <v/>
      </c>
      <c r="O391" s="33" t="str">
        <f t="shared" si="72"/>
        <v/>
      </c>
      <c r="P391" s="34" t="str">
        <f>IF(B391="","",C391&amp;"|"&amp;ROUND(O391,2)&amp;"|"&amp;COUNTIFS($C$4:C391,C391,$O$4:O391,O391))</f>
        <v/>
      </c>
      <c r="Q391" s="34">
        <f t="shared" si="73"/>
        <v>0</v>
      </c>
      <c r="R391" s="34">
        <f t="shared" si="74"/>
        <v>0</v>
      </c>
      <c r="S391" s="34" t="str">
        <f>IF(AND(B391&lt;&gt;"",C391=CompteSel,N(B391)&lt;=DateArret,R391=0),MAX($S$3:S390)+1,"")</f>
        <v/>
      </c>
      <c r="T391" s="34">
        <f t="shared" si="75"/>
        <v>0</v>
      </c>
      <c r="U391" s="34">
        <f t="shared" si="76"/>
        <v>9</v>
      </c>
    </row>
    <row r="392" spans="1:21" x14ac:dyDescent="0.35">
      <c r="A392" s="1" t="str">
        <f t="shared" si="66"/>
        <v/>
      </c>
      <c r="B392" s="31"/>
      <c r="C392" s="8"/>
      <c r="D392" s="8"/>
      <c r="E392" s="8"/>
      <c r="F392" s="32"/>
      <c r="G392" s="32"/>
      <c r="H392" s="32"/>
      <c r="I392" s="1" t="str">
        <f t="shared" si="67"/>
        <v/>
      </c>
      <c r="J392" s="1" t="str">
        <f t="shared" si="68"/>
        <v/>
      </c>
      <c r="K392" s="1" t="str">
        <f t="shared" si="69"/>
        <v/>
      </c>
      <c r="L392" s="8"/>
      <c r="M392" s="1" t="str">
        <f t="shared" si="70"/>
        <v/>
      </c>
      <c r="N392" s="1" t="str">
        <f t="shared" si="71"/>
        <v/>
      </c>
      <c r="O392" s="33" t="str">
        <f t="shared" si="72"/>
        <v/>
      </c>
      <c r="P392" s="34" t="str">
        <f>IF(B392="","",C392&amp;"|"&amp;ROUND(O392,2)&amp;"|"&amp;COUNTIFS($C$4:C392,C392,$O$4:O392,O392))</f>
        <v/>
      </c>
      <c r="Q392" s="34">
        <f t="shared" si="73"/>
        <v>0</v>
      </c>
      <c r="R392" s="34">
        <f t="shared" si="74"/>
        <v>0</v>
      </c>
      <c r="S392" s="34" t="str">
        <f>IF(AND(B392&lt;&gt;"",C392=CompteSel,N(B392)&lt;=DateArret,R392=0),MAX($S$3:S391)+1,"")</f>
        <v/>
      </c>
      <c r="T392" s="34">
        <f t="shared" si="75"/>
        <v>0</v>
      </c>
      <c r="U392" s="34">
        <f t="shared" si="76"/>
        <v>9</v>
      </c>
    </row>
    <row r="393" spans="1:21" x14ac:dyDescent="0.35">
      <c r="A393" s="1" t="str">
        <f t="shared" si="66"/>
        <v/>
      </c>
      <c r="B393" s="31"/>
      <c r="C393" s="8"/>
      <c r="D393" s="8"/>
      <c r="E393" s="8"/>
      <c r="F393" s="32"/>
      <c r="G393" s="32"/>
      <c r="H393" s="32"/>
      <c r="I393" s="1" t="str">
        <f t="shared" si="67"/>
        <v/>
      </c>
      <c r="J393" s="1" t="str">
        <f t="shared" si="68"/>
        <v/>
      </c>
      <c r="K393" s="1" t="str">
        <f t="shared" si="69"/>
        <v/>
      </c>
      <c r="L393" s="8"/>
      <c r="M393" s="1" t="str">
        <f t="shared" si="70"/>
        <v/>
      </c>
      <c r="N393" s="1" t="str">
        <f t="shared" si="71"/>
        <v/>
      </c>
      <c r="O393" s="33" t="str">
        <f t="shared" si="72"/>
        <v/>
      </c>
      <c r="P393" s="34" t="str">
        <f>IF(B393="","",C393&amp;"|"&amp;ROUND(O393,2)&amp;"|"&amp;COUNTIFS($C$4:C393,C393,$O$4:O393,O393))</f>
        <v/>
      </c>
      <c r="Q393" s="34">
        <f t="shared" si="73"/>
        <v>0</v>
      </c>
      <c r="R393" s="34">
        <f t="shared" si="74"/>
        <v>0</v>
      </c>
      <c r="S393" s="34" t="str">
        <f>IF(AND(B393&lt;&gt;"",C393=CompteSel,N(B393)&lt;=DateArret,R393=0),MAX($S$3:S392)+1,"")</f>
        <v/>
      </c>
      <c r="T393" s="34">
        <f t="shared" si="75"/>
        <v>0</v>
      </c>
      <c r="U393" s="34">
        <f t="shared" si="76"/>
        <v>9</v>
      </c>
    </row>
    <row r="394" spans="1:21" x14ac:dyDescent="0.35">
      <c r="A394" s="1" t="str">
        <f t="shared" si="66"/>
        <v/>
      </c>
      <c r="B394" s="31"/>
      <c r="C394" s="8"/>
      <c r="D394" s="8"/>
      <c r="E394" s="8"/>
      <c r="F394" s="32"/>
      <c r="G394" s="32"/>
      <c r="H394" s="32"/>
      <c r="I394" s="1" t="str">
        <f t="shared" si="67"/>
        <v/>
      </c>
      <c r="J394" s="1" t="str">
        <f t="shared" si="68"/>
        <v/>
      </c>
      <c r="K394" s="1" t="str">
        <f t="shared" si="69"/>
        <v/>
      </c>
      <c r="L394" s="8"/>
      <c r="M394" s="1" t="str">
        <f t="shared" si="70"/>
        <v/>
      </c>
      <c r="N394" s="1" t="str">
        <f t="shared" si="71"/>
        <v/>
      </c>
      <c r="O394" s="33" t="str">
        <f t="shared" si="72"/>
        <v/>
      </c>
      <c r="P394" s="34" t="str">
        <f>IF(B394="","",C394&amp;"|"&amp;ROUND(O394,2)&amp;"|"&amp;COUNTIFS($C$4:C394,C394,$O$4:O394,O394))</f>
        <v/>
      </c>
      <c r="Q394" s="34">
        <f t="shared" si="73"/>
        <v>0</v>
      </c>
      <c r="R394" s="34">
        <f t="shared" si="74"/>
        <v>0</v>
      </c>
      <c r="S394" s="34" t="str">
        <f>IF(AND(B394&lt;&gt;"",C394=CompteSel,N(B394)&lt;=DateArret,R394=0),MAX($S$3:S393)+1,"")</f>
        <v/>
      </c>
      <c r="T394" s="34">
        <f t="shared" si="75"/>
        <v>0</v>
      </c>
      <c r="U394" s="34">
        <f t="shared" si="76"/>
        <v>9</v>
      </c>
    </row>
    <row r="395" spans="1:21" x14ac:dyDescent="0.35">
      <c r="A395" s="1" t="str">
        <f t="shared" si="66"/>
        <v/>
      </c>
      <c r="B395" s="31"/>
      <c r="C395" s="8"/>
      <c r="D395" s="8"/>
      <c r="E395" s="8"/>
      <c r="F395" s="32"/>
      <c r="G395" s="32"/>
      <c r="H395" s="32"/>
      <c r="I395" s="1" t="str">
        <f t="shared" si="67"/>
        <v/>
      </c>
      <c r="J395" s="1" t="str">
        <f t="shared" si="68"/>
        <v/>
      </c>
      <c r="K395" s="1" t="str">
        <f t="shared" si="69"/>
        <v/>
      </c>
      <c r="L395" s="8"/>
      <c r="M395" s="1" t="str">
        <f t="shared" si="70"/>
        <v/>
      </c>
      <c r="N395" s="1" t="str">
        <f t="shared" si="71"/>
        <v/>
      </c>
      <c r="O395" s="33" t="str">
        <f t="shared" si="72"/>
        <v/>
      </c>
      <c r="P395" s="34" t="str">
        <f>IF(B395="","",C395&amp;"|"&amp;ROUND(O395,2)&amp;"|"&amp;COUNTIFS($C$4:C395,C395,$O$4:O395,O395))</f>
        <v/>
      </c>
      <c r="Q395" s="34">
        <f t="shared" si="73"/>
        <v>0</v>
      </c>
      <c r="R395" s="34">
        <f t="shared" si="74"/>
        <v>0</v>
      </c>
      <c r="S395" s="34" t="str">
        <f>IF(AND(B395&lt;&gt;"",C395=CompteSel,N(B395)&lt;=DateArret,R395=0),MAX($S$3:S394)+1,"")</f>
        <v/>
      </c>
      <c r="T395" s="34">
        <f t="shared" si="75"/>
        <v>0</v>
      </c>
      <c r="U395" s="34">
        <f t="shared" si="76"/>
        <v>9</v>
      </c>
    </row>
    <row r="396" spans="1:21" x14ac:dyDescent="0.35">
      <c r="A396" s="1" t="str">
        <f t="shared" si="66"/>
        <v/>
      </c>
      <c r="B396" s="31"/>
      <c r="C396" s="8"/>
      <c r="D396" s="8"/>
      <c r="E396" s="8"/>
      <c r="F396" s="32"/>
      <c r="G396" s="32"/>
      <c r="H396" s="32"/>
      <c r="I396" s="1" t="str">
        <f t="shared" si="67"/>
        <v/>
      </c>
      <c r="J396" s="1" t="str">
        <f t="shared" si="68"/>
        <v/>
      </c>
      <c r="K396" s="1" t="str">
        <f t="shared" si="69"/>
        <v/>
      </c>
      <c r="L396" s="8"/>
      <c r="M396" s="1" t="str">
        <f t="shared" si="70"/>
        <v/>
      </c>
      <c r="N396" s="1" t="str">
        <f t="shared" si="71"/>
        <v/>
      </c>
      <c r="O396" s="33" t="str">
        <f t="shared" si="72"/>
        <v/>
      </c>
      <c r="P396" s="34" t="str">
        <f>IF(B396="","",C396&amp;"|"&amp;ROUND(O396,2)&amp;"|"&amp;COUNTIFS($C$4:C396,C396,$O$4:O396,O396))</f>
        <v/>
      </c>
      <c r="Q396" s="34">
        <f t="shared" si="73"/>
        <v>0</v>
      </c>
      <c r="R396" s="34">
        <f t="shared" si="74"/>
        <v>0</v>
      </c>
      <c r="S396" s="34" t="str">
        <f>IF(AND(B396&lt;&gt;"",C396=CompteSel,N(B396)&lt;=DateArret,R396=0),MAX($S$3:S395)+1,"")</f>
        <v/>
      </c>
      <c r="T396" s="34">
        <f t="shared" si="75"/>
        <v>0</v>
      </c>
      <c r="U396" s="34">
        <f t="shared" si="76"/>
        <v>9</v>
      </c>
    </row>
    <row r="397" spans="1:21" x14ac:dyDescent="0.35">
      <c r="A397" s="1" t="str">
        <f t="shared" si="66"/>
        <v/>
      </c>
      <c r="B397" s="31"/>
      <c r="C397" s="8"/>
      <c r="D397" s="8"/>
      <c r="E397" s="8"/>
      <c r="F397" s="32"/>
      <c r="G397" s="32"/>
      <c r="H397" s="32"/>
      <c r="I397" s="1" t="str">
        <f t="shared" si="67"/>
        <v/>
      </c>
      <c r="J397" s="1" t="str">
        <f t="shared" si="68"/>
        <v/>
      </c>
      <c r="K397" s="1" t="str">
        <f t="shared" si="69"/>
        <v/>
      </c>
      <c r="L397" s="8"/>
      <c r="M397" s="1" t="str">
        <f t="shared" si="70"/>
        <v/>
      </c>
      <c r="N397" s="1" t="str">
        <f t="shared" si="71"/>
        <v/>
      </c>
      <c r="O397" s="33" t="str">
        <f t="shared" si="72"/>
        <v/>
      </c>
      <c r="P397" s="34" t="str">
        <f>IF(B397="","",C397&amp;"|"&amp;ROUND(O397,2)&amp;"|"&amp;COUNTIFS($C$4:C397,C397,$O$4:O397,O397))</f>
        <v/>
      </c>
      <c r="Q397" s="34">
        <f t="shared" si="73"/>
        <v>0</v>
      </c>
      <c r="R397" s="34">
        <f t="shared" si="74"/>
        <v>0</v>
      </c>
      <c r="S397" s="34" t="str">
        <f>IF(AND(B397&lt;&gt;"",C397=CompteSel,N(B397)&lt;=DateArret,R397=0),MAX($S$3:S396)+1,"")</f>
        <v/>
      </c>
      <c r="T397" s="34">
        <f t="shared" si="75"/>
        <v>0</v>
      </c>
      <c r="U397" s="34">
        <f t="shared" si="76"/>
        <v>9</v>
      </c>
    </row>
    <row r="398" spans="1:21" x14ac:dyDescent="0.35">
      <c r="A398" s="1" t="str">
        <f t="shared" si="66"/>
        <v/>
      </c>
      <c r="B398" s="31"/>
      <c r="C398" s="8"/>
      <c r="D398" s="8"/>
      <c r="E398" s="8"/>
      <c r="F398" s="32"/>
      <c r="G398" s="32"/>
      <c r="H398" s="32"/>
      <c r="I398" s="1" t="str">
        <f t="shared" si="67"/>
        <v/>
      </c>
      <c r="J398" s="1" t="str">
        <f t="shared" si="68"/>
        <v/>
      </c>
      <c r="K398" s="1" t="str">
        <f t="shared" si="69"/>
        <v/>
      </c>
      <c r="L398" s="8"/>
      <c r="M398" s="1" t="str">
        <f t="shared" si="70"/>
        <v/>
      </c>
      <c r="N398" s="1" t="str">
        <f t="shared" si="71"/>
        <v/>
      </c>
      <c r="O398" s="33" t="str">
        <f t="shared" si="72"/>
        <v/>
      </c>
      <c r="P398" s="34" t="str">
        <f>IF(B398="","",C398&amp;"|"&amp;ROUND(O398,2)&amp;"|"&amp;COUNTIFS($C$4:C398,C398,$O$4:O398,O398))</f>
        <v/>
      </c>
      <c r="Q398" s="34">
        <f t="shared" si="73"/>
        <v>0</v>
      </c>
      <c r="R398" s="34">
        <f t="shared" si="74"/>
        <v>0</v>
      </c>
      <c r="S398" s="34" t="str">
        <f>IF(AND(B398&lt;&gt;"",C398=CompteSel,N(B398)&lt;=DateArret,R398=0),MAX($S$3:S397)+1,"")</f>
        <v/>
      </c>
      <c r="T398" s="34">
        <f t="shared" si="75"/>
        <v>0</v>
      </c>
      <c r="U398" s="34">
        <f t="shared" si="76"/>
        <v>9</v>
      </c>
    </row>
    <row r="399" spans="1:21" x14ac:dyDescent="0.35">
      <c r="A399" s="1" t="str">
        <f t="shared" si="66"/>
        <v/>
      </c>
      <c r="B399" s="31"/>
      <c r="C399" s="8"/>
      <c r="D399" s="8"/>
      <c r="E399" s="8"/>
      <c r="F399" s="32"/>
      <c r="G399" s="32"/>
      <c r="H399" s="32"/>
      <c r="I399" s="1" t="str">
        <f t="shared" si="67"/>
        <v/>
      </c>
      <c r="J399" s="1" t="str">
        <f t="shared" si="68"/>
        <v/>
      </c>
      <c r="K399" s="1" t="str">
        <f t="shared" si="69"/>
        <v/>
      </c>
      <c r="L399" s="8"/>
      <c r="M399" s="1" t="str">
        <f t="shared" si="70"/>
        <v/>
      </c>
      <c r="N399" s="1" t="str">
        <f t="shared" si="71"/>
        <v/>
      </c>
      <c r="O399" s="33" t="str">
        <f t="shared" si="72"/>
        <v/>
      </c>
      <c r="P399" s="34" t="str">
        <f>IF(B399="","",C399&amp;"|"&amp;ROUND(O399,2)&amp;"|"&amp;COUNTIFS($C$4:C399,C399,$O$4:O399,O399))</f>
        <v/>
      </c>
      <c r="Q399" s="34">
        <f t="shared" si="73"/>
        <v>0</v>
      </c>
      <c r="R399" s="34">
        <f t="shared" si="74"/>
        <v>0</v>
      </c>
      <c r="S399" s="34" t="str">
        <f>IF(AND(B399&lt;&gt;"",C399=CompteSel,N(B399)&lt;=DateArret,R399=0),MAX($S$3:S398)+1,"")</f>
        <v/>
      </c>
      <c r="T399" s="34">
        <f t="shared" si="75"/>
        <v>0</v>
      </c>
      <c r="U399" s="34">
        <f t="shared" si="76"/>
        <v>9</v>
      </c>
    </row>
    <row r="400" spans="1:21" x14ac:dyDescent="0.35">
      <c r="A400" s="1" t="str">
        <f t="shared" si="66"/>
        <v/>
      </c>
      <c r="B400" s="31"/>
      <c r="C400" s="8"/>
      <c r="D400" s="8"/>
      <c r="E400" s="8"/>
      <c r="F400" s="32"/>
      <c r="G400" s="32"/>
      <c r="H400" s="32"/>
      <c r="I400" s="1" t="str">
        <f t="shared" si="67"/>
        <v/>
      </c>
      <c r="J400" s="1" t="str">
        <f t="shared" si="68"/>
        <v/>
      </c>
      <c r="K400" s="1" t="str">
        <f t="shared" si="69"/>
        <v/>
      </c>
      <c r="L400" s="8"/>
      <c r="M400" s="1" t="str">
        <f t="shared" si="70"/>
        <v/>
      </c>
      <c r="N400" s="1" t="str">
        <f t="shared" si="71"/>
        <v/>
      </c>
      <c r="O400" s="33" t="str">
        <f t="shared" si="72"/>
        <v/>
      </c>
      <c r="P400" s="34" t="str">
        <f>IF(B400="","",C400&amp;"|"&amp;ROUND(O400,2)&amp;"|"&amp;COUNTIFS($C$4:C400,C400,$O$4:O400,O400))</f>
        <v/>
      </c>
      <c r="Q400" s="34">
        <f t="shared" si="73"/>
        <v>0</v>
      </c>
      <c r="R400" s="34">
        <f t="shared" si="74"/>
        <v>0</v>
      </c>
      <c r="S400" s="34" t="str">
        <f>IF(AND(B400&lt;&gt;"",C400=CompteSel,N(B400)&lt;=DateArret,R400=0),MAX($S$3:S399)+1,"")</f>
        <v/>
      </c>
      <c r="T400" s="34">
        <f t="shared" si="75"/>
        <v>0</v>
      </c>
      <c r="U400" s="34">
        <f t="shared" si="76"/>
        <v>9</v>
      </c>
    </row>
    <row r="401" spans="1:21" x14ac:dyDescent="0.35">
      <c r="A401" s="1" t="str">
        <f t="shared" si="66"/>
        <v/>
      </c>
      <c r="B401" s="31"/>
      <c r="C401" s="8"/>
      <c r="D401" s="8"/>
      <c r="E401" s="8"/>
      <c r="F401" s="32"/>
      <c r="G401" s="32"/>
      <c r="H401" s="32"/>
      <c r="I401" s="1" t="str">
        <f t="shared" si="67"/>
        <v/>
      </c>
      <c r="J401" s="1" t="str">
        <f t="shared" si="68"/>
        <v/>
      </c>
      <c r="K401" s="1" t="str">
        <f t="shared" si="69"/>
        <v/>
      </c>
      <c r="L401" s="8"/>
      <c r="M401" s="1" t="str">
        <f t="shared" si="70"/>
        <v/>
      </c>
      <c r="N401" s="1" t="str">
        <f t="shared" si="71"/>
        <v/>
      </c>
      <c r="O401" s="33" t="str">
        <f t="shared" si="72"/>
        <v/>
      </c>
      <c r="P401" s="34" t="str">
        <f>IF(B401="","",C401&amp;"|"&amp;ROUND(O401,2)&amp;"|"&amp;COUNTIFS($C$4:C401,C401,$O$4:O401,O401))</f>
        <v/>
      </c>
      <c r="Q401" s="34">
        <f t="shared" si="73"/>
        <v>0</v>
      </c>
      <c r="R401" s="34">
        <f t="shared" si="74"/>
        <v>0</v>
      </c>
      <c r="S401" s="34" t="str">
        <f>IF(AND(B401&lt;&gt;"",C401=CompteSel,N(B401)&lt;=DateArret,R401=0),MAX($S$3:S400)+1,"")</f>
        <v/>
      </c>
      <c r="T401" s="34">
        <f t="shared" si="75"/>
        <v>0</v>
      </c>
      <c r="U401" s="34">
        <f t="shared" si="76"/>
        <v>9</v>
      </c>
    </row>
    <row r="402" spans="1:21" x14ac:dyDescent="0.35">
      <c r="A402" s="1" t="str">
        <f t="shared" si="66"/>
        <v/>
      </c>
      <c r="B402" s="31"/>
      <c r="C402" s="8"/>
      <c r="D402" s="8"/>
      <c r="E402" s="8"/>
      <c r="F402" s="32"/>
      <c r="G402" s="32"/>
      <c r="H402" s="32"/>
      <c r="I402" s="1" t="str">
        <f t="shared" si="67"/>
        <v/>
      </c>
      <c r="J402" s="1" t="str">
        <f t="shared" si="68"/>
        <v/>
      </c>
      <c r="K402" s="1" t="str">
        <f t="shared" si="69"/>
        <v/>
      </c>
      <c r="L402" s="8"/>
      <c r="M402" s="1" t="str">
        <f t="shared" si="70"/>
        <v/>
      </c>
      <c r="N402" s="1" t="str">
        <f t="shared" si="71"/>
        <v/>
      </c>
      <c r="O402" s="33" t="str">
        <f t="shared" si="72"/>
        <v/>
      </c>
      <c r="P402" s="34" t="str">
        <f>IF(B402="","",C402&amp;"|"&amp;ROUND(O402,2)&amp;"|"&amp;COUNTIFS($C$4:C402,C402,$O$4:O402,O402))</f>
        <v/>
      </c>
      <c r="Q402" s="34">
        <f t="shared" si="73"/>
        <v>0</v>
      </c>
      <c r="R402" s="34">
        <f t="shared" si="74"/>
        <v>0</v>
      </c>
      <c r="S402" s="34" t="str">
        <f>IF(AND(B402&lt;&gt;"",C402=CompteSel,N(B402)&lt;=DateArret,R402=0),MAX($S$3:S401)+1,"")</f>
        <v/>
      </c>
      <c r="T402" s="34">
        <f t="shared" si="75"/>
        <v>0</v>
      </c>
      <c r="U402" s="34">
        <f t="shared" si="76"/>
        <v>9</v>
      </c>
    </row>
    <row r="403" spans="1:21" x14ac:dyDescent="0.35">
      <c r="A403" s="1" t="str">
        <f t="shared" si="66"/>
        <v/>
      </c>
      <c r="B403" s="31"/>
      <c r="C403" s="8"/>
      <c r="D403" s="8"/>
      <c r="E403" s="8"/>
      <c r="F403" s="32"/>
      <c r="G403" s="32"/>
      <c r="H403" s="32"/>
      <c r="I403" s="1" t="str">
        <f t="shared" si="67"/>
        <v/>
      </c>
      <c r="J403" s="1" t="str">
        <f t="shared" si="68"/>
        <v/>
      </c>
      <c r="K403" s="1" t="str">
        <f t="shared" si="69"/>
        <v/>
      </c>
      <c r="L403" s="8"/>
      <c r="M403" s="1" t="str">
        <f t="shared" si="70"/>
        <v/>
      </c>
      <c r="N403" s="1" t="str">
        <f t="shared" si="71"/>
        <v/>
      </c>
      <c r="O403" s="33" t="str">
        <f t="shared" si="72"/>
        <v/>
      </c>
      <c r="P403" s="34" t="str">
        <f>IF(B403="","",C403&amp;"|"&amp;ROUND(O403,2)&amp;"|"&amp;COUNTIFS($C$4:C403,C403,$O$4:O403,O403))</f>
        <v/>
      </c>
      <c r="Q403" s="34">
        <f t="shared" si="73"/>
        <v>0</v>
      </c>
      <c r="R403" s="34">
        <f t="shared" si="74"/>
        <v>0</v>
      </c>
      <c r="S403" s="34" t="str">
        <f>IF(AND(B403&lt;&gt;"",C403=CompteSel,N(B403)&lt;=DateArret,R403=0),MAX($S$3:S402)+1,"")</f>
        <v/>
      </c>
      <c r="T403" s="34">
        <f t="shared" si="75"/>
        <v>0</v>
      </c>
      <c r="U403" s="34">
        <f t="shared" si="76"/>
        <v>9</v>
      </c>
    </row>
    <row r="404" spans="1:21" x14ac:dyDescent="0.35">
      <c r="A404" s="1" t="str">
        <f t="shared" si="66"/>
        <v/>
      </c>
      <c r="B404" s="31"/>
      <c r="C404" s="8"/>
      <c r="D404" s="8"/>
      <c r="E404" s="8"/>
      <c r="F404" s="32"/>
      <c r="G404" s="32"/>
      <c r="H404" s="32"/>
      <c r="I404" s="1" t="str">
        <f t="shared" si="67"/>
        <v/>
      </c>
      <c r="J404" s="1" t="str">
        <f t="shared" si="68"/>
        <v/>
      </c>
      <c r="K404" s="1" t="str">
        <f t="shared" si="69"/>
        <v/>
      </c>
      <c r="L404" s="8"/>
      <c r="M404" s="1" t="str">
        <f t="shared" si="70"/>
        <v/>
      </c>
      <c r="N404" s="1" t="str">
        <f t="shared" si="71"/>
        <v/>
      </c>
      <c r="O404" s="33" t="str">
        <f t="shared" si="72"/>
        <v/>
      </c>
      <c r="P404" s="34" t="str">
        <f>IF(B404="","",C404&amp;"|"&amp;ROUND(O404,2)&amp;"|"&amp;COUNTIFS($C$4:C404,C404,$O$4:O404,O404))</f>
        <v/>
      </c>
      <c r="Q404" s="34">
        <f t="shared" si="73"/>
        <v>0</v>
      </c>
      <c r="R404" s="34">
        <f t="shared" si="74"/>
        <v>0</v>
      </c>
      <c r="S404" s="34" t="str">
        <f>IF(AND(B404&lt;&gt;"",C404=CompteSel,N(B404)&lt;=DateArret,R404=0),MAX($S$3:S403)+1,"")</f>
        <v/>
      </c>
      <c r="T404" s="34">
        <f t="shared" si="75"/>
        <v>0</v>
      </c>
      <c r="U404" s="34">
        <f t="shared" si="76"/>
        <v>9</v>
      </c>
    </row>
    <row r="405" spans="1:21" x14ac:dyDescent="0.35">
      <c r="A405" s="1" t="str">
        <f t="shared" si="66"/>
        <v/>
      </c>
      <c r="B405" s="31"/>
      <c r="C405" s="8"/>
      <c r="D405" s="8"/>
      <c r="E405" s="8"/>
      <c r="F405" s="32"/>
      <c r="G405" s="32"/>
      <c r="H405" s="32"/>
      <c r="I405" s="1" t="str">
        <f t="shared" si="67"/>
        <v/>
      </c>
      <c r="J405" s="1" t="str">
        <f t="shared" si="68"/>
        <v/>
      </c>
      <c r="K405" s="1" t="str">
        <f t="shared" si="69"/>
        <v/>
      </c>
      <c r="L405" s="8"/>
      <c r="M405" s="1" t="str">
        <f t="shared" si="70"/>
        <v/>
      </c>
      <c r="N405" s="1" t="str">
        <f t="shared" si="71"/>
        <v/>
      </c>
      <c r="O405" s="33" t="str">
        <f t="shared" si="72"/>
        <v/>
      </c>
      <c r="P405" s="34" t="str">
        <f>IF(B405="","",C405&amp;"|"&amp;ROUND(O405,2)&amp;"|"&amp;COUNTIFS($C$4:C405,C405,$O$4:O405,O405))</f>
        <v/>
      </c>
      <c r="Q405" s="34">
        <f t="shared" si="73"/>
        <v>0</v>
      </c>
      <c r="R405" s="34">
        <f t="shared" si="74"/>
        <v>0</v>
      </c>
      <c r="S405" s="34" t="str">
        <f>IF(AND(B405&lt;&gt;"",C405=CompteSel,N(B405)&lt;=DateArret,R405=0),MAX($S$3:S404)+1,"")</f>
        <v/>
      </c>
      <c r="T405" s="34">
        <f t="shared" si="75"/>
        <v>0</v>
      </c>
      <c r="U405" s="34">
        <f t="shared" si="76"/>
        <v>9</v>
      </c>
    </row>
    <row r="406" spans="1:21" x14ac:dyDescent="0.35">
      <c r="A406" s="1" t="str">
        <f t="shared" si="66"/>
        <v/>
      </c>
      <c r="B406" s="31"/>
      <c r="C406" s="8"/>
      <c r="D406" s="8"/>
      <c r="E406" s="8"/>
      <c r="F406" s="32"/>
      <c r="G406" s="32"/>
      <c r="H406" s="32"/>
      <c r="I406" s="1" t="str">
        <f t="shared" si="67"/>
        <v/>
      </c>
      <c r="J406" s="1" t="str">
        <f t="shared" si="68"/>
        <v/>
      </c>
      <c r="K406" s="1" t="str">
        <f t="shared" si="69"/>
        <v/>
      </c>
      <c r="L406" s="8"/>
      <c r="M406" s="1" t="str">
        <f t="shared" si="70"/>
        <v/>
      </c>
      <c r="N406" s="1" t="str">
        <f t="shared" si="71"/>
        <v/>
      </c>
      <c r="O406" s="33" t="str">
        <f t="shared" si="72"/>
        <v/>
      </c>
      <c r="P406" s="34" t="str">
        <f>IF(B406="","",C406&amp;"|"&amp;ROUND(O406,2)&amp;"|"&amp;COUNTIFS($C$4:C406,C406,$O$4:O406,O406))</f>
        <v/>
      </c>
      <c r="Q406" s="34">
        <f t="shared" si="73"/>
        <v>0</v>
      </c>
      <c r="R406" s="34">
        <f t="shared" si="74"/>
        <v>0</v>
      </c>
      <c r="S406" s="34" t="str">
        <f>IF(AND(B406&lt;&gt;"",C406=CompteSel,N(B406)&lt;=DateArret,R406=0),MAX($S$3:S405)+1,"")</f>
        <v/>
      </c>
      <c r="T406" s="34">
        <f t="shared" si="75"/>
        <v>0</v>
      </c>
      <c r="U406" s="34">
        <f t="shared" si="76"/>
        <v>9</v>
      </c>
    </row>
    <row r="407" spans="1:21" x14ac:dyDescent="0.35">
      <c r="A407" s="1" t="str">
        <f t="shared" si="66"/>
        <v/>
      </c>
      <c r="B407" s="31"/>
      <c r="C407" s="8"/>
      <c r="D407" s="8"/>
      <c r="E407" s="8"/>
      <c r="F407" s="32"/>
      <c r="G407" s="32"/>
      <c r="H407" s="32"/>
      <c r="I407" s="1" t="str">
        <f t="shared" si="67"/>
        <v/>
      </c>
      <c r="J407" s="1" t="str">
        <f t="shared" si="68"/>
        <v/>
      </c>
      <c r="K407" s="1" t="str">
        <f t="shared" si="69"/>
        <v/>
      </c>
      <c r="L407" s="8"/>
      <c r="M407" s="1" t="str">
        <f t="shared" si="70"/>
        <v/>
      </c>
      <c r="N407" s="1" t="str">
        <f t="shared" si="71"/>
        <v/>
      </c>
      <c r="O407" s="33" t="str">
        <f t="shared" si="72"/>
        <v/>
      </c>
      <c r="P407" s="34" t="str">
        <f>IF(B407="","",C407&amp;"|"&amp;ROUND(O407,2)&amp;"|"&amp;COUNTIFS($C$4:C407,C407,$O$4:O407,O407))</f>
        <v/>
      </c>
      <c r="Q407" s="34">
        <f t="shared" si="73"/>
        <v>0</v>
      </c>
      <c r="R407" s="34">
        <f t="shared" si="74"/>
        <v>0</v>
      </c>
      <c r="S407" s="34" t="str">
        <f>IF(AND(B407&lt;&gt;"",C407=CompteSel,N(B407)&lt;=DateArret,R407=0),MAX($S$3:S406)+1,"")</f>
        <v/>
      </c>
      <c r="T407" s="34">
        <f t="shared" si="75"/>
        <v>0</v>
      </c>
      <c r="U407" s="34">
        <f t="shared" si="76"/>
        <v>9</v>
      </c>
    </row>
    <row r="408" spans="1:21" x14ac:dyDescent="0.35">
      <c r="A408" s="1" t="str">
        <f t="shared" si="66"/>
        <v/>
      </c>
      <c r="B408" s="31"/>
      <c r="C408" s="8"/>
      <c r="D408" s="8"/>
      <c r="E408" s="8"/>
      <c r="F408" s="32"/>
      <c r="G408" s="32"/>
      <c r="H408" s="32"/>
      <c r="I408" s="1" t="str">
        <f t="shared" si="67"/>
        <v/>
      </c>
      <c r="J408" s="1" t="str">
        <f t="shared" si="68"/>
        <v/>
      </c>
      <c r="K408" s="1" t="str">
        <f t="shared" si="69"/>
        <v/>
      </c>
      <c r="L408" s="8"/>
      <c r="M408" s="1" t="str">
        <f t="shared" si="70"/>
        <v/>
      </c>
      <c r="N408" s="1" t="str">
        <f t="shared" si="71"/>
        <v/>
      </c>
      <c r="O408" s="33" t="str">
        <f t="shared" si="72"/>
        <v/>
      </c>
      <c r="P408" s="34" t="str">
        <f>IF(B408="","",C408&amp;"|"&amp;ROUND(O408,2)&amp;"|"&amp;COUNTIFS($C$4:C408,C408,$O$4:O408,O408))</f>
        <v/>
      </c>
      <c r="Q408" s="34">
        <f t="shared" si="73"/>
        <v>0</v>
      </c>
      <c r="R408" s="34">
        <f t="shared" si="74"/>
        <v>0</v>
      </c>
      <c r="S408" s="34" t="str">
        <f>IF(AND(B408&lt;&gt;"",C408=CompteSel,N(B408)&lt;=DateArret,R408=0),MAX($S$3:S407)+1,"")</f>
        <v/>
      </c>
      <c r="T408" s="34">
        <f t="shared" si="75"/>
        <v>0</v>
      </c>
      <c r="U408" s="34">
        <f t="shared" si="76"/>
        <v>9</v>
      </c>
    </row>
    <row r="409" spans="1:21" x14ac:dyDescent="0.35">
      <c r="A409" s="1" t="str">
        <f t="shared" si="66"/>
        <v/>
      </c>
      <c r="B409" s="31"/>
      <c r="C409" s="8"/>
      <c r="D409" s="8"/>
      <c r="E409" s="8"/>
      <c r="F409" s="32"/>
      <c r="G409" s="32"/>
      <c r="H409" s="32"/>
      <c r="I409" s="1" t="str">
        <f t="shared" si="67"/>
        <v/>
      </c>
      <c r="J409" s="1" t="str">
        <f t="shared" si="68"/>
        <v/>
      </c>
      <c r="K409" s="1" t="str">
        <f t="shared" si="69"/>
        <v/>
      </c>
      <c r="L409" s="8"/>
      <c r="M409" s="1" t="str">
        <f t="shared" si="70"/>
        <v/>
      </c>
      <c r="N409" s="1" t="str">
        <f t="shared" si="71"/>
        <v/>
      </c>
      <c r="O409" s="33" t="str">
        <f t="shared" si="72"/>
        <v/>
      </c>
      <c r="P409" s="34" t="str">
        <f>IF(B409="","",C409&amp;"|"&amp;ROUND(O409,2)&amp;"|"&amp;COUNTIFS($C$4:C409,C409,$O$4:O409,O409))</f>
        <v/>
      </c>
      <c r="Q409" s="34">
        <f t="shared" si="73"/>
        <v>0</v>
      </c>
      <c r="R409" s="34">
        <f t="shared" si="74"/>
        <v>0</v>
      </c>
      <c r="S409" s="34" t="str">
        <f>IF(AND(B409&lt;&gt;"",C409=CompteSel,N(B409)&lt;=DateArret,R409=0),MAX($S$3:S408)+1,"")</f>
        <v/>
      </c>
      <c r="T409" s="34">
        <f t="shared" si="75"/>
        <v>0</v>
      </c>
      <c r="U409" s="34">
        <f t="shared" si="76"/>
        <v>9</v>
      </c>
    </row>
    <row r="410" spans="1:21" x14ac:dyDescent="0.35">
      <c r="A410" s="1" t="str">
        <f t="shared" si="66"/>
        <v/>
      </c>
      <c r="B410" s="31"/>
      <c r="C410" s="8"/>
      <c r="D410" s="8"/>
      <c r="E410" s="8"/>
      <c r="F410" s="32"/>
      <c r="G410" s="32"/>
      <c r="H410" s="32"/>
      <c r="I410" s="1" t="str">
        <f t="shared" si="67"/>
        <v/>
      </c>
      <c r="J410" s="1" t="str">
        <f t="shared" si="68"/>
        <v/>
      </c>
      <c r="K410" s="1" t="str">
        <f t="shared" si="69"/>
        <v/>
      </c>
      <c r="L410" s="8"/>
      <c r="M410" s="1" t="str">
        <f t="shared" si="70"/>
        <v/>
      </c>
      <c r="N410" s="1" t="str">
        <f t="shared" si="71"/>
        <v/>
      </c>
      <c r="O410" s="33" t="str">
        <f t="shared" si="72"/>
        <v/>
      </c>
      <c r="P410" s="34" t="str">
        <f>IF(B410="","",C410&amp;"|"&amp;ROUND(O410,2)&amp;"|"&amp;COUNTIFS($C$4:C410,C410,$O$4:O410,O410))</f>
        <v/>
      </c>
      <c r="Q410" s="34">
        <f t="shared" si="73"/>
        <v>0</v>
      </c>
      <c r="R410" s="34">
        <f t="shared" si="74"/>
        <v>0</v>
      </c>
      <c r="S410" s="34" t="str">
        <f>IF(AND(B410&lt;&gt;"",C410=CompteSel,N(B410)&lt;=DateArret,R410=0),MAX($S$3:S409)+1,"")</f>
        <v/>
      </c>
      <c r="T410" s="34">
        <f t="shared" si="75"/>
        <v>0</v>
      </c>
      <c r="U410" s="34">
        <f t="shared" si="76"/>
        <v>9</v>
      </c>
    </row>
    <row r="411" spans="1:21" x14ac:dyDescent="0.35">
      <c r="A411" s="1" t="str">
        <f t="shared" si="66"/>
        <v/>
      </c>
      <c r="B411" s="31"/>
      <c r="C411" s="8"/>
      <c r="D411" s="8"/>
      <c r="E411" s="8"/>
      <c r="F411" s="32"/>
      <c r="G411" s="32"/>
      <c r="H411" s="32"/>
      <c r="I411" s="1" t="str">
        <f t="shared" si="67"/>
        <v/>
      </c>
      <c r="J411" s="1" t="str">
        <f t="shared" si="68"/>
        <v/>
      </c>
      <c r="K411" s="1" t="str">
        <f t="shared" si="69"/>
        <v/>
      </c>
      <c r="L411" s="8"/>
      <c r="M411" s="1" t="str">
        <f t="shared" si="70"/>
        <v/>
      </c>
      <c r="N411" s="1" t="str">
        <f t="shared" si="71"/>
        <v/>
      </c>
      <c r="O411" s="33" t="str">
        <f t="shared" si="72"/>
        <v/>
      </c>
      <c r="P411" s="34" t="str">
        <f>IF(B411="","",C411&amp;"|"&amp;ROUND(O411,2)&amp;"|"&amp;COUNTIFS($C$4:C411,C411,$O$4:O411,O411))</f>
        <v/>
      </c>
      <c r="Q411" s="34">
        <f t="shared" si="73"/>
        <v>0</v>
      </c>
      <c r="R411" s="34">
        <f t="shared" si="74"/>
        <v>0</v>
      </c>
      <c r="S411" s="34" t="str">
        <f>IF(AND(B411&lt;&gt;"",C411=CompteSel,N(B411)&lt;=DateArret,R411=0),MAX($S$3:S410)+1,"")</f>
        <v/>
      </c>
      <c r="T411" s="34">
        <f t="shared" si="75"/>
        <v>0</v>
      </c>
      <c r="U411" s="34">
        <f t="shared" si="76"/>
        <v>9</v>
      </c>
    </row>
    <row r="412" spans="1:21" x14ac:dyDescent="0.35">
      <c r="A412" s="1" t="str">
        <f t="shared" si="66"/>
        <v/>
      </c>
      <c r="B412" s="31"/>
      <c r="C412" s="8"/>
      <c r="D412" s="8"/>
      <c r="E412" s="8"/>
      <c r="F412" s="32"/>
      <c r="G412" s="32"/>
      <c r="H412" s="32"/>
      <c r="I412" s="1" t="str">
        <f t="shared" si="67"/>
        <v/>
      </c>
      <c r="J412" s="1" t="str">
        <f t="shared" si="68"/>
        <v/>
      </c>
      <c r="K412" s="1" t="str">
        <f t="shared" si="69"/>
        <v/>
      </c>
      <c r="L412" s="8"/>
      <c r="M412" s="1" t="str">
        <f t="shared" si="70"/>
        <v/>
      </c>
      <c r="N412" s="1" t="str">
        <f t="shared" si="71"/>
        <v/>
      </c>
      <c r="O412" s="33" t="str">
        <f t="shared" si="72"/>
        <v/>
      </c>
      <c r="P412" s="34" t="str">
        <f>IF(B412="","",C412&amp;"|"&amp;ROUND(O412,2)&amp;"|"&amp;COUNTIFS($C$4:C412,C412,$O$4:O412,O412))</f>
        <v/>
      </c>
      <c r="Q412" s="34">
        <f t="shared" si="73"/>
        <v>0</v>
      </c>
      <c r="R412" s="34">
        <f t="shared" si="74"/>
        <v>0</v>
      </c>
      <c r="S412" s="34" t="str">
        <f>IF(AND(B412&lt;&gt;"",C412=CompteSel,N(B412)&lt;=DateArret,R412=0),MAX($S$3:S411)+1,"")</f>
        <v/>
      </c>
      <c r="T412" s="34">
        <f t="shared" si="75"/>
        <v>0</v>
      </c>
      <c r="U412" s="34">
        <f t="shared" si="76"/>
        <v>9</v>
      </c>
    </row>
    <row r="413" spans="1:21" x14ac:dyDescent="0.35">
      <c r="A413" s="1" t="str">
        <f t="shared" si="66"/>
        <v/>
      </c>
      <c r="B413" s="31"/>
      <c r="C413" s="8"/>
      <c r="D413" s="8"/>
      <c r="E413" s="8"/>
      <c r="F413" s="32"/>
      <c r="G413" s="32"/>
      <c r="H413" s="32"/>
      <c r="I413" s="1" t="str">
        <f t="shared" si="67"/>
        <v/>
      </c>
      <c r="J413" s="1" t="str">
        <f t="shared" si="68"/>
        <v/>
      </c>
      <c r="K413" s="1" t="str">
        <f t="shared" si="69"/>
        <v/>
      </c>
      <c r="L413" s="8"/>
      <c r="M413" s="1" t="str">
        <f t="shared" si="70"/>
        <v/>
      </c>
      <c r="N413" s="1" t="str">
        <f t="shared" si="71"/>
        <v/>
      </c>
      <c r="O413" s="33" t="str">
        <f t="shared" si="72"/>
        <v/>
      </c>
      <c r="P413" s="34" t="str">
        <f>IF(B413="","",C413&amp;"|"&amp;ROUND(O413,2)&amp;"|"&amp;COUNTIFS($C$4:C413,C413,$O$4:O413,O413))</f>
        <v/>
      </c>
      <c r="Q413" s="34">
        <f t="shared" si="73"/>
        <v>0</v>
      </c>
      <c r="R413" s="34">
        <f t="shared" si="74"/>
        <v>0</v>
      </c>
      <c r="S413" s="34" t="str">
        <f>IF(AND(B413&lt;&gt;"",C413=CompteSel,N(B413)&lt;=DateArret,R413=0),MAX($S$3:S412)+1,"")</f>
        <v/>
      </c>
      <c r="T413" s="34">
        <f t="shared" si="75"/>
        <v>0</v>
      </c>
      <c r="U413" s="34">
        <f t="shared" si="76"/>
        <v>9</v>
      </c>
    </row>
    <row r="414" spans="1:21" x14ac:dyDescent="0.35">
      <c r="A414" s="1" t="str">
        <f t="shared" si="66"/>
        <v/>
      </c>
      <c r="B414" s="31"/>
      <c r="C414" s="8"/>
      <c r="D414" s="8"/>
      <c r="E414" s="8"/>
      <c r="F414" s="32"/>
      <c r="G414" s="32"/>
      <c r="H414" s="32"/>
      <c r="I414" s="1" t="str">
        <f t="shared" si="67"/>
        <v/>
      </c>
      <c r="J414" s="1" t="str">
        <f t="shared" si="68"/>
        <v/>
      </c>
      <c r="K414" s="1" t="str">
        <f t="shared" si="69"/>
        <v/>
      </c>
      <c r="L414" s="8"/>
      <c r="M414" s="1" t="str">
        <f t="shared" si="70"/>
        <v/>
      </c>
      <c r="N414" s="1" t="str">
        <f t="shared" si="71"/>
        <v/>
      </c>
      <c r="O414" s="33" t="str">
        <f t="shared" si="72"/>
        <v/>
      </c>
      <c r="P414" s="34" t="str">
        <f>IF(B414="","",C414&amp;"|"&amp;ROUND(O414,2)&amp;"|"&amp;COUNTIFS($C$4:C414,C414,$O$4:O414,O414))</f>
        <v/>
      </c>
      <c r="Q414" s="34">
        <f t="shared" si="73"/>
        <v>0</v>
      </c>
      <c r="R414" s="34">
        <f t="shared" si="74"/>
        <v>0</v>
      </c>
      <c r="S414" s="34" t="str">
        <f>IF(AND(B414&lt;&gt;"",C414=CompteSel,N(B414)&lt;=DateArret,R414=0),MAX($S$3:S413)+1,"")</f>
        <v/>
      </c>
      <c r="T414" s="34">
        <f t="shared" si="75"/>
        <v>0</v>
      </c>
      <c r="U414" s="34">
        <f t="shared" si="76"/>
        <v>9</v>
      </c>
    </row>
    <row r="415" spans="1:21" x14ac:dyDescent="0.35">
      <c r="A415" s="1" t="str">
        <f t="shared" si="66"/>
        <v/>
      </c>
      <c r="B415" s="31"/>
      <c r="C415" s="8"/>
      <c r="D415" s="8"/>
      <c r="E415" s="8"/>
      <c r="F415" s="32"/>
      <c r="G415" s="32"/>
      <c r="H415" s="32"/>
      <c r="I415" s="1" t="str">
        <f t="shared" si="67"/>
        <v/>
      </c>
      <c r="J415" s="1" t="str">
        <f t="shared" si="68"/>
        <v/>
      </c>
      <c r="K415" s="1" t="str">
        <f t="shared" si="69"/>
        <v/>
      </c>
      <c r="L415" s="8"/>
      <c r="M415" s="1" t="str">
        <f t="shared" si="70"/>
        <v/>
      </c>
      <c r="N415" s="1" t="str">
        <f t="shared" si="71"/>
        <v/>
      </c>
      <c r="O415" s="33" t="str">
        <f t="shared" si="72"/>
        <v/>
      </c>
      <c r="P415" s="34" t="str">
        <f>IF(B415="","",C415&amp;"|"&amp;ROUND(O415,2)&amp;"|"&amp;COUNTIFS($C$4:C415,C415,$O$4:O415,O415))</f>
        <v/>
      </c>
      <c r="Q415" s="34">
        <f t="shared" si="73"/>
        <v>0</v>
      </c>
      <c r="R415" s="34">
        <f t="shared" si="74"/>
        <v>0</v>
      </c>
      <c r="S415" s="34" t="str">
        <f>IF(AND(B415&lt;&gt;"",C415=CompteSel,N(B415)&lt;=DateArret,R415=0),MAX($S$3:S414)+1,"")</f>
        <v/>
      </c>
      <c r="T415" s="34">
        <f t="shared" si="75"/>
        <v>0</v>
      </c>
      <c r="U415" s="34">
        <f t="shared" si="76"/>
        <v>9</v>
      </c>
    </row>
    <row r="416" spans="1:21" x14ac:dyDescent="0.35">
      <c r="A416" s="1" t="str">
        <f t="shared" si="66"/>
        <v/>
      </c>
      <c r="B416" s="31"/>
      <c r="C416" s="8"/>
      <c r="D416" s="8"/>
      <c r="E416" s="8"/>
      <c r="F416" s="32"/>
      <c r="G416" s="32"/>
      <c r="H416" s="32"/>
      <c r="I416" s="1" t="str">
        <f t="shared" si="67"/>
        <v/>
      </c>
      <c r="J416" s="1" t="str">
        <f t="shared" si="68"/>
        <v/>
      </c>
      <c r="K416" s="1" t="str">
        <f t="shared" si="69"/>
        <v/>
      </c>
      <c r="L416" s="8"/>
      <c r="M416" s="1" t="str">
        <f t="shared" si="70"/>
        <v/>
      </c>
      <c r="N416" s="1" t="str">
        <f t="shared" si="71"/>
        <v/>
      </c>
      <c r="O416" s="33" t="str">
        <f t="shared" si="72"/>
        <v/>
      </c>
      <c r="P416" s="34" t="str">
        <f>IF(B416="","",C416&amp;"|"&amp;ROUND(O416,2)&amp;"|"&amp;COUNTIFS($C$4:C416,C416,$O$4:O416,O416))</f>
        <v/>
      </c>
      <c r="Q416" s="34">
        <f t="shared" si="73"/>
        <v>0</v>
      </c>
      <c r="R416" s="34">
        <f t="shared" si="74"/>
        <v>0</v>
      </c>
      <c r="S416" s="34" t="str">
        <f>IF(AND(B416&lt;&gt;"",C416=CompteSel,N(B416)&lt;=DateArret,R416=0),MAX($S$3:S415)+1,"")</f>
        <v/>
      </c>
      <c r="T416" s="34">
        <f t="shared" si="75"/>
        <v>0</v>
      </c>
      <c r="U416" s="34">
        <f t="shared" si="76"/>
        <v>9</v>
      </c>
    </row>
    <row r="417" spans="1:21" x14ac:dyDescent="0.35">
      <c r="A417" s="1" t="str">
        <f t="shared" si="66"/>
        <v/>
      </c>
      <c r="B417" s="31"/>
      <c r="C417" s="8"/>
      <c r="D417" s="8"/>
      <c r="E417" s="8"/>
      <c r="F417" s="32"/>
      <c r="G417" s="32"/>
      <c r="H417" s="32"/>
      <c r="I417" s="1" t="str">
        <f t="shared" si="67"/>
        <v/>
      </c>
      <c r="J417" s="1" t="str">
        <f t="shared" si="68"/>
        <v/>
      </c>
      <c r="K417" s="1" t="str">
        <f t="shared" si="69"/>
        <v/>
      </c>
      <c r="L417" s="8"/>
      <c r="M417" s="1" t="str">
        <f t="shared" si="70"/>
        <v/>
      </c>
      <c r="N417" s="1" t="str">
        <f t="shared" si="71"/>
        <v/>
      </c>
      <c r="O417" s="33" t="str">
        <f t="shared" si="72"/>
        <v/>
      </c>
      <c r="P417" s="34" t="str">
        <f>IF(B417="","",C417&amp;"|"&amp;ROUND(O417,2)&amp;"|"&amp;COUNTIFS($C$4:C417,C417,$O$4:O417,O417))</f>
        <v/>
      </c>
      <c r="Q417" s="34">
        <f t="shared" si="73"/>
        <v>0</v>
      </c>
      <c r="R417" s="34">
        <f t="shared" si="74"/>
        <v>0</v>
      </c>
      <c r="S417" s="34" t="str">
        <f>IF(AND(B417&lt;&gt;"",C417=CompteSel,N(B417)&lt;=DateArret,R417=0),MAX($S$3:S416)+1,"")</f>
        <v/>
      </c>
      <c r="T417" s="34">
        <f t="shared" si="75"/>
        <v>0</v>
      </c>
      <c r="U417" s="34">
        <f t="shared" si="76"/>
        <v>9</v>
      </c>
    </row>
    <row r="418" spans="1:21" x14ac:dyDescent="0.35">
      <c r="A418" s="1" t="str">
        <f t="shared" si="66"/>
        <v/>
      </c>
      <c r="B418" s="31"/>
      <c r="C418" s="8"/>
      <c r="D418" s="8"/>
      <c r="E418" s="8"/>
      <c r="F418" s="32"/>
      <c r="G418" s="32"/>
      <c r="H418" s="32"/>
      <c r="I418" s="1" t="str">
        <f t="shared" si="67"/>
        <v/>
      </c>
      <c r="J418" s="1" t="str">
        <f t="shared" si="68"/>
        <v/>
      </c>
      <c r="K418" s="1" t="str">
        <f t="shared" si="69"/>
        <v/>
      </c>
      <c r="L418" s="8"/>
      <c r="M418" s="1" t="str">
        <f t="shared" si="70"/>
        <v/>
      </c>
      <c r="N418" s="1" t="str">
        <f t="shared" si="71"/>
        <v/>
      </c>
      <c r="O418" s="33" t="str">
        <f t="shared" si="72"/>
        <v/>
      </c>
      <c r="P418" s="34" t="str">
        <f>IF(B418="","",C418&amp;"|"&amp;ROUND(O418,2)&amp;"|"&amp;COUNTIFS($C$4:C418,C418,$O$4:O418,O418))</f>
        <v/>
      </c>
      <c r="Q418" s="34">
        <f t="shared" si="73"/>
        <v>0</v>
      </c>
      <c r="R418" s="34">
        <f t="shared" si="74"/>
        <v>0</v>
      </c>
      <c r="S418" s="34" t="str">
        <f>IF(AND(B418&lt;&gt;"",C418=CompteSel,N(B418)&lt;=DateArret,R418=0),MAX($S$3:S417)+1,"")</f>
        <v/>
      </c>
      <c r="T418" s="34">
        <f t="shared" si="75"/>
        <v>0</v>
      </c>
      <c r="U418" s="34">
        <f t="shared" si="76"/>
        <v>9</v>
      </c>
    </row>
    <row r="419" spans="1:21" x14ac:dyDescent="0.35">
      <c r="A419" s="1" t="str">
        <f t="shared" si="66"/>
        <v/>
      </c>
      <c r="B419" s="31"/>
      <c r="C419" s="8"/>
      <c r="D419" s="8"/>
      <c r="E419" s="8"/>
      <c r="F419" s="32"/>
      <c r="G419" s="32"/>
      <c r="H419" s="32"/>
      <c r="I419" s="1" t="str">
        <f t="shared" si="67"/>
        <v/>
      </c>
      <c r="J419" s="1" t="str">
        <f t="shared" si="68"/>
        <v/>
      </c>
      <c r="K419" s="1" t="str">
        <f t="shared" si="69"/>
        <v/>
      </c>
      <c r="L419" s="8"/>
      <c r="M419" s="1" t="str">
        <f t="shared" si="70"/>
        <v/>
      </c>
      <c r="N419" s="1" t="str">
        <f t="shared" si="71"/>
        <v/>
      </c>
      <c r="O419" s="33" t="str">
        <f t="shared" si="72"/>
        <v/>
      </c>
      <c r="P419" s="34" t="str">
        <f>IF(B419="","",C419&amp;"|"&amp;ROUND(O419,2)&amp;"|"&amp;COUNTIFS($C$4:C419,C419,$O$4:O419,O419))</f>
        <v/>
      </c>
      <c r="Q419" s="34">
        <f t="shared" si="73"/>
        <v>0</v>
      </c>
      <c r="R419" s="34">
        <f t="shared" si="74"/>
        <v>0</v>
      </c>
      <c r="S419" s="34" t="str">
        <f>IF(AND(B419&lt;&gt;"",C419=CompteSel,N(B419)&lt;=DateArret,R419=0),MAX($S$3:S418)+1,"")</f>
        <v/>
      </c>
      <c r="T419" s="34">
        <f t="shared" si="75"/>
        <v>0</v>
      </c>
      <c r="U419" s="34">
        <f t="shared" si="76"/>
        <v>9</v>
      </c>
    </row>
    <row r="420" spans="1:21" x14ac:dyDescent="0.35">
      <c r="A420" s="1" t="str">
        <f t="shared" si="66"/>
        <v/>
      </c>
      <c r="B420" s="31"/>
      <c r="C420" s="8"/>
      <c r="D420" s="8"/>
      <c r="E420" s="8"/>
      <c r="F420" s="32"/>
      <c r="G420" s="32"/>
      <c r="H420" s="32"/>
      <c r="I420" s="1" t="str">
        <f t="shared" si="67"/>
        <v/>
      </c>
      <c r="J420" s="1" t="str">
        <f t="shared" si="68"/>
        <v/>
      </c>
      <c r="K420" s="1" t="str">
        <f t="shared" si="69"/>
        <v/>
      </c>
      <c r="L420" s="8"/>
      <c r="M420" s="1" t="str">
        <f t="shared" si="70"/>
        <v/>
      </c>
      <c r="N420" s="1" t="str">
        <f t="shared" si="71"/>
        <v/>
      </c>
      <c r="O420" s="33" t="str">
        <f t="shared" si="72"/>
        <v/>
      </c>
      <c r="P420" s="34" t="str">
        <f>IF(B420="","",C420&amp;"|"&amp;ROUND(O420,2)&amp;"|"&amp;COUNTIFS($C$4:C420,C420,$O$4:O420,O420))</f>
        <v/>
      </c>
      <c r="Q420" s="34">
        <f t="shared" si="73"/>
        <v>0</v>
      </c>
      <c r="R420" s="34">
        <f t="shared" si="74"/>
        <v>0</v>
      </c>
      <c r="S420" s="34" t="str">
        <f>IF(AND(B420&lt;&gt;"",C420=CompteSel,N(B420)&lt;=DateArret,R420=0),MAX($S$3:S419)+1,"")</f>
        <v/>
      </c>
      <c r="T420" s="34">
        <f t="shared" si="75"/>
        <v>0</v>
      </c>
      <c r="U420" s="34">
        <f t="shared" si="76"/>
        <v>9</v>
      </c>
    </row>
    <row r="421" spans="1:21" x14ac:dyDescent="0.35">
      <c r="A421" s="1" t="str">
        <f t="shared" si="66"/>
        <v/>
      </c>
      <c r="B421" s="31"/>
      <c r="C421" s="8"/>
      <c r="D421" s="8"/>
      <c r="E421" s="8"/>
      <c r="F421" s="32"/>
      <c r="G421" s="32"/>
      <c r="H421" s="32"/>
      <c r="I421" s="1" t="str">
        <f t="shared" si="67"/>
        <v/>
      </c>
      <c r="J421" s="1" t="str">
        <f t="shared" si="68"/>
        <v/>
      </c>
      <c r="K421" s="1" t="str">
        <f t="shared" si="69"/>
        <v/>
      </c>
      <c r="L421" s="8"/>
      <c r="M421" s="1" t="str">
        <f t="shared" si="70"/>
        <v/>
      </c>
      <c r="N421" s="1" t="str">
        <f t="shared" si="71"/>
        <v/>
      </c>
      <c r="O421" s="33" t="str">
        <f t="shared" si="72"/>
        <v/>
      </c>
      <c r="P421" s="34" t="str">
        <f>IF(B421="","",C421&amp;"|"&amp;ROUND(O421,2)&amp;"|"&amp;COUNTIFS($C$4:C421,C421,$O$4:O421,O421))</f>
        <v/>
      </c>
      <c r="Q421" s="34">
        <f t="shared" si="73"/>
        <v>0</v>
      </c>
      <c r="R421" s="34">
        <f t="shared" si="74"/>
        <v>0</v>
      </c>
      <c r="S421" s="34" t="str">
        <f>IF(AND(B421&lt;&gt;"",C421=CompteSel,N(B421)&lt;=DateArret,R421=0),MAX($S$3:S420)+1,"")</f>
        <v/>
      </c>
      <c r="T421" s="34">
        <f t="shared" si="75"/>
        <v>0</v>
      </c>
      <c r="U421" s="34">
        <f t="shared" si="76"/>
        <v>9</v>
      </c>
    </row>
    <row r="422" spans="1:21" x14ac:dyDescent="0.35">
      <c r="A422" s="1" t="str">
        <f t="shared" si="66"/>
        <v/>
      </c>
      <c r="B422" s="31"/>
      <c r="C422" s="8"/>
      <c r="D422" s="8"/>
      <c r="E422" s="8"/>
      <c r="F422" s="32"/>
      <c r="G422" s="32"/>
      <c r="H422" s="32"/>
      <c r="I422" s="1" t="str">
        <f t="shared" si="67"/>
        <v/>
      </c>
      <c r="J422" s="1" t="str">
        <f t="shared" si="68"/>
        <v/>
      </c>
      <c r="K422" s="1" t="str">
        <f t="shared" si="69"/>
        <v/>
      </c>
      <c r="L422" s="8"/>
      <c r="M422" s="1" t="str">
        <f t="shared" si="70"/>
        <v/>
      </c>
      <c r="N422" s="1" t="str">
        <f t="shared" si="71"/>
        <v/>
      </c>
      <c r="O422" s="33" t="str">
        <f t="shared" si="72"/>
        <v/>
      </c>
      <c r="P422" s="34" t="str">
        <f>IF(B422="","",C422&amp;"|"&amp;ROUND(O422,2)&amp;"|"&amp;COUNTIFS($C$4:C422,C422,$O$4:O422,O422))</f>
        <v/>
      </c>
      <c r="Q422" s="34">
        <f t="shared" si="73"/>
        <v>0</v>
      </c>
      <c r="R422" s="34">
        <f t="shared" si="74"/>
        <v>0</v>
      </c>
      <c r="S422" s="34" t="str">
        <f>IF(AND(B422&lt;&gt;"",C422=CompteSel,N(B422)&lt;=DateArret,R422=0),MAX($S$3:S421)+1,"")</f>
        <v/>
      </c>
      <c r="T422" s="34">
        <f t="shared" si="75"/>
        <v>0</v>
      </c>
      <c r="U422" s="34">
        <f t="shared" si="76"/>
        <v>9</v>
      </c>
    </row>
    <row r="423" spans="1:21" x14ac:dyDescent="0.35">
      <c r="A423" s="1" t="str">
        <f t="shared" si="66"/>
        <v/>
      </c>
      <c r="B423" s="31"/>
      <c r="C423" s="8"/>
      <c r="D423" s="8"/>
      <c r="E423" s="8"/>
      <c r="F423" s="32"/>
      <c r="G423" s="32"/>
      <c r="H423" s="32"/>
      <c r="I423" s="1" t="str">
        <f t="shared" si="67"/>
        <v/>
      </c>
      <c r="J423" s="1" t="str">
        <f t="shared" si="68"/>
        <v/>
      </c>
      <c r="K423" s="1" t="str">
        <f t="shared" si="69"/>
        <v/>
      </c>
      <c r="L423" s="8"/>
      <c r="M423" s="1" t="str">
        <f t="shared" si="70"/>
        <v/>
      </c>
      <c r="N423" s="1" t="str">
        <f t="shared" si="71"/>
        <v/>
      </c>
      <c r="O423" s="33" t="str">
        <f t="shared" si="72"/>
        <v/>
      </c>
      <c r="P423" s="34" t="str">
        <f>IF(B423="","",C423&amp;"|"&amp;ROUND(O423,2)&amp;"|"&amp;COUNTIFS($C$4:C423,C423,$O$4:O423,O423))</f>
        <v/>
      </c>
      <c r="Q423" s="34">
        <f t="shared" si="73"/>
        <v>0</v>
      </c>
      <c r="R423" s="34">
        <f t="shared" si="74"/>
        <v>0</v>
      </c>
      <c r="S423" s="34" t="str">
        <f>IF(AND(B423&lt;&gt;"",C423=CompteSel,N(B423)&lt;=DateArret,R423=0),MAX($S$3:S422)+1,"")</f>
        <v/>
      </c>
      <c r="T423" s="34">
        <f t="shared" si="75"/>
        <v>0</v>
      </c>
      <c r="U423" s="34">
        <f t="shared" si="76"/>
        <v>9</v>
      </c>
    </row>
    <row r="424" spans="1:21" x14ac:dyDescent="0.35">
      <c r="A424" s="1" t="str">
        <f t="shared" si="66"/>
        <v/>
      </c>
      <c r="B424" s="31"/>
      <c r="C424" s="8"/>
      <c r="D424" s="8"/>
      <c r="E424" s="8"/>
      <c r="F424" s="32"/>
      <c r="G424" s="32"/>
      <c r="H424" s="32"/>
      <c r="I424" s="1" t="str">
        <f t="shared" si="67"/>
        <v/>
      </c>
      <c r="J424" s="1" t="str">
        <f t="shared" si="68"/>
        <v/>
      </c>
      <c r="K424" s="1" t="str">
        <f t="shared" si="69"/>
        <v/>
      </c>
      <c r="L424" s="8"/>
      <c r="M424" s="1" t="str">
        <f t="shared" si="70"/>
        <v/>
      </c>
      <c r="N424" s="1" t="str">
        <f t="shared" si="71"/>
        <v/>
      </c>
      <c r="O424" s="33" t="str">
        <f t="shared" si="72"/>
        <v/>
      </c>
      <c r="P424" s="34" t="str">
        <f>IF(B424="","",C424&amp;"|"&amp;ROUND(O424,2)&amp;"|"&amp;COUNTIFS($C$4:C424,C424,$O$4:O424,O424))</f>
        <v/>
      </c>
      <c r="Q424" s="34">
        <f t="shared" si="73"/>
        <v>0</v>
      </c>
      <c r="R424" s="34">
        <f t="shared" si="74"/>
        <v>0</v>
      </c>
      <c r="S424" s="34" t="str">
        <f>IF(AND(B424&lt;&gt;"",C424=CompteSel,N(B424)&lt;=DateArret,R424=0),MAX($S$3:S423)+1,"")</f>
        <v/>
      </c>
      <c r="T424" s="34">
        <f t="shared" si="75"/>
        <v>0</v>
      </c>
      <c r="U424" s="34">
        <f t="shared" si="76"/>
        <v>9</v>
      </c>
    </row>
    <row r="425" spans="1:21" x14ac:dyDescent="0.35">
      <c r="A425" s="1" t="str">
        <f t="shared" si="66"/>
        <v/>
      </c>
      <c r="B425" s="31"/>
      <c r="C425" s="8"/>
      <c r="D425" s="8"/>
      <c r="E425" s="8"/>
      <c r="F425" s="32"/>
      <c r="G425" s="32"/>
      <c r="H425" s="32"/>
      <c r="I425" s="1" t="str">
        <f t="shared" si="67"/>
        <v/>
      </c>
      <c r="J425" s="1" t="str">
        <f t="shared" si="68"/>
        <v/>
      </c>
      <c r="K425" s="1" t="str">
        <f t="shared" si="69"/>
        <v/>
      </c>
      <c r="L425" s="8"/>
      <c r="M425" s="1" t="str">
        <f t="shared" si="70"/>
        <v/>
      </c>
      <c r="N425" s="1" t="str">
        <f t="shared" si="71"/>
        <v/>
      </c>
      <c r="O425" s="33" t="str">
        <f t="shared" si="72"/>
        <v/>
      </c>
      <c r="P425" s="34" t="str">
        <f>IF(B425="","",C425&amp;"|"&amp;ROUND(O425,2)&amp;"|"&amp;COUNTIFS($C$4:C425,C425,$O$4:O425,O425))</f>
        <v/>
      </c>
      <c r="Q425" s="34">
        <f t="shared" si="73"/>
        <v>0</v>
      </c>
      <c r="R425" s="34">
        <f t="shared" si="74"/>
        <v>0</v>
      </c>
      <c r="S425" s="34" t="str">
        <f>IF(AND(B425&lt;&gt;"",C425=CompteSel,N(B425)&lt;=DateArret,R425=0),MAX($S$3:S424)+1,"")</f>
        <v/>
      </c>
      <c r="T425" s="34">
        <f t="shared" si="75"/>
        <v>0</v>
      </c>
      <c r="U425" s="34">
        <f t="shared" si="76"/>
        <v>9</v>
      </c>
    </row>
    <row r="426" spans="1:21" x14ac:dyDescent="0.35">
      <c r="A426" s="1" t="str">
        <f t="shared" si="66"/>
        <v/>
      </c>
      <c r="B426" s="31"/>
      <c r="C426" s="8"/>
      <c r="D426" s="8"/>
      <c r="E426" s="8"/>
      <c r="F426" s="32"/>
      <c r="G426" s="32"/>
      <c r="H426" s="32"/>
      <c r="I426" s="1" t="str">
        <f t="shared" si="67"/>
        <v/>
      </c>
      <c r="J426" s="1" t="str">
        <f t="shared" si="68"/>
        <v/>
      </c>
      <c r="K426" s="1" t="str">
        <f t="shared" si="69"/>
        <v/>
      </c>
      <c r="L426" s="8"/>
      <c r="M426" s="1" t="str">
        <f t="shared" si="70"/>
        <v/>
      </c>
      <c r="N426" s="1" t="str">
        <f t="shared" si="71"/>
        <v/>
      </c>
      <c r="O426" s="33" t="str">
        <f t="shared" si="72"/>
        <v/>
      </c>
      <c r="P426" s="34" t="str">
        <f>IF(B426="","",C426&amp;"|"&amp;ROUND(O426,2)&amp;"|"&amp;COUNTIFS($C$4:C426,C426,$O$4:O426,O426))</f>
        <v/>
      </c>
      <c r="Q426" s="34">
        <f t="shared" si="73"/>
        <v>0</v>
      </c>
      <c r="R426" s="34">
        <f t="shared" si="74"/>
        <v>0</v>
      </c>
      <c r="S426" s="34" t="str">
        <f>IF(AND(B426&lt;&gt;"",C426=CompteSel,N(B426)&lt;=DateArret,R426=0),MAX($S$3:S425)+1,"")</f>
        <v/>
      </c>
      <c r="T426" s="34">
        <f t="shared" si="75"/>
        <v>0</v>
      </c>
      <c r="U426" s="34">
        <f t="shared" si="76"/>
        <v>9</v>
      </c>
    </row>
    <row r="427" spans="1:21" x14ac:dyDescent="0.35">
      <c r="A427" s="1" t="str">
        <f t="shared" si="66"/>
        <v/>
      </c>
      <c r="B427" s="31"/>
      <c r="C427" s="8"/>
      <c r="D427" s="8"/>
      <c r="E427" s="8"/>
      <c r="F427" s="32"/>
      <c r="G427" s="32"/>
      <c r="H427" s="32"/>
      <c r="I427" s="1" t="str">
        <f t="shared" si="67"/>
        <v/>
      </c>
      <c r="J427" s="1" t="str">
        <f t="shared" si="68"/>
        <v/>
      </c>
      <c r="K427" s="1" t="str">
        <f t="shared" si="69"/>
        <v/>
      </c>
      <c r="L427" s="8"/>
      <c r="M427" s="1" t="str">
        <f t="shared" si="70"/>
        <v/>
      </c>
      <c r="N427" s="1" t="str">
        <f t="shared" si="71"/>
        <v/>
      </c>
      <c r="O427" s="33" t="str">
        <f t="shared" si="72"/>
        <v/>
      </c>
      <c r="P427" s="34" t="str">
        <f>IF(B427="","",C427&amp;"|"&amp;ROUND(O427,2)&amp;"|"&amp;COUNTIFS($C$4:C427,C427,$O$4:O427,O427))</f>
        <v/>
      </c>
      <c r="Q427" s="34">
        <f t="shared" si="73"/>
        <v>0</v>
      </c>
      <c r="R427" s="34">
        <f t="shared" si="74"/>
        <v>0</v>
      </c>
      <c r="S427" s="34" t="str">
        <f>IF(AND(B427&lt;&gt;"",C427=CompteSel,N(B427)&lt;=DateArret,R427=0),MAX($S$3:S426)+1,"")</f>
        <v/>
      </c>
      <c r="T427" s="34">
        <f t="shared" si="75"/>
        <v>0</v>
      </c>
      <c r="U427" s="34">
        <f t="shared" si="76"/>
        <v>9</v>
      </c>
    </row>
    <row r="428" spans="1:21" x14ac:dyDescent="0.35">
      <c r="A428" s="1" t="str">
        <f t="shared" si="66"/>
        <v/>
      </c>
      <c r="B428" s="31"/>
      <c r="C428" s="8"/>
      <c r="D428" s="8"/>
      <c r="E428" s="8"/>
      <c r="F428" s="32"/>
      <c r="G428" s="32"/>
      <c r="H428" s="32"/>
      <c r="I428" s="1" t="str">
        <f t="shared" si="67"/>
        <v/>
      </c>
      <c r="J428" s="1" t="str">
        <f t="shared" si="68"/>
        <v/>
      </c>
      <c r="K428" s="1" t="str">
        <f t="shared" si="69"/>
        <v/>
      </c>
      <c r="L428" s="8"/>
      <c r="M428" s="1" t="str">
        <f t="shared" si="70"/>
        <v/>
      </c>
      <c r="N428" s="1" t="str">
        <f t="shared" si="71"/>
        <v/>
      </c>
      <c r="O428" s="33" t="str">
        <f t="shared" si="72"/>
        <v/>
      </c>
      <c r="P428" s="34" t="str">
        <f>IF(B428="","",C428&amp;"|"&amp;ROUND(O428,2)&amp;"|"&amp;COUNTIFS($C$4:C428,C428,$O$4:O428,O428))</f>
        <v/>
      </c>
      <c r="Q428" s="34">
        <f t="shared" si="73"/>
        <v>0</v>
      </c>
      <c r="R428" s="34">
        <f t="shared" si="74"/>
        <v>0</v>
      </c>
      <c r="S428" s="34" t="str">
        <f>IF(AND(B428&lt;&gt;"",C428=CompteSel,N(B428)&lt;=DateArret,R428=0),MAX($S$3:S427)+1,"")</f>
        <v/>
      </c>
      <c r="T428" s="34">
        <f t="shared" si="75"/>
        <v>0</v>
      </c>
      <c r="U428" s="34">
        <f t="shared" si="76"/>
        <v>9</v>
      </c>
    </row>
    <row r="429" spans="1:21" x14ac:dyDescent="0.35">
      <c r="A429" s="1" t="str">
        <f t="shared" si="66"/>
        <v/>
      </c>
      <c r="B429" s="31"/>
      <c r="C429" s="8"/>
      <c r="D429" s="8"/>
      <c r="E429" s="8"/>
      <c r="F429" s="32"/>
      <c r="G429" s="32"/>
      <c r="H429" s="32"/>
      <c r="I429" s="1" t="str">
        <f t="shared" si="67"/>
        <v/>
      </c>
      <c r="J429" s="1" t="str">
        <f t="shared" si="68"/>
        <v/>
      </c>
      <c r="K429" s="1" t="str">
        <f t="shared" si="69"/>
        <v/>
      </c>
      <c r="L429" s="8"/>
      <c r="M429" s="1" t="str">
        <f t="shared" si="70"/>
        <v/>
      </c>
      <c r="N429" s="1" t="str">
        <f t="shared" si="71"/>
        <v/>
      </c>
      <c r="O429" s="33" t="str">
        <f t="shared" si="72"/>
        <v/>
      </c>
      <c r="P429" s="34" t="str">
        <f>IF(B429="","",C429&amp;"|"&amp;ROUND(O429,2)&amp;"|"&amp;COUNTIFS($C$4:C429,C429,$O$4:O429,O429))</f>
        <v/>
      </c>
      <c r="Q429" s="34">
        <f t="shared" si="73"/>
        <v>0</v>
      </c>
      <c r="R429" s="34">
        <f t="shared" si="74"/>
        <v>0</v>
      </c>
      <c r="S429" s="34" t="str">
        <f>IF(AND(B429&lt;&gt;"",C429=CompteSel,N(B429)&lt;=DateArret,R429=0),MAX($S$3:S428)+1,"")</f>
        <v/>
      </c>
      <c r="T429" s="34">
        <f t="shared" si="75"/>
        <v>0</v>
      </c>
      <c r="U429" s="34">
        <f t="shared" si="76"/>
        <v>9</v>
      </c>
    </row>
    <row r="430" spans="1:21" x14ac:dyDescent="0.35">
      <c r="A430" s="1" t="str">
        <f t="shared" si="66"/>
        <v/>
      </c>
      <c r="B430" s="31"/>
      <c r="C430" s="8"/>
      <c r="D430" s="8"/>
      <c r="E430" s="8"/>
      <c r="F430" s="32"/>
      <c r="G430" s="32"/>
      <c r="H430" s="32"/>
      <c r="I430" s="1" t="str">
        <f t="shared" si="67"/>
        <v/>
      </c>
      <c r="J430" s="1" t="str">
        <f t="shared" si="68"/>
        <v/>
      </c>
      <c r="K430" s="1" t="str">
        <f t="shared" si="69"/>
        <v/>
      </c>
      <c r="L430" s="8"/>
      <c r="M430" s="1" t="str">
        <f t="shared" si="70"/>
        <v/>
      </c>
      <c r="N430" s="1" t="str">
        <f t="shared" si="71"/>
        <v/>
      </c>
      <c r="O430" s="33" t="str">
        <f t="shared" si="72"/>
        <v/>
      </c>
      <c r="P430" s="34" t="str">
        <f>IF(B430="","",C430&amp;"|"&amp;ROUND(O430,2)&amp;"|"&amp;COUNTIFS($C$4:C430,C430,$O$4:O430,O430))</f>
        <v/>
      </c>
      <c r="Q430" s="34">
        <f t="shared" si="73"/>
        <v>0</v>
      </c>
      <c r="R430" s="34">
        <f t="shared" si="74"/>
        <v>0</v>
      </c>
      <c r="S430" s="34" t="str">
        <f>IF(AND(B430&lt;&gt;"",C430=CompteSel,N(B430)&lt;=DateArret,R430=0),MAX($S$3:S429)+1,"")</f>
        <v/>
      </c>
      <c r="T430" s="34">
        <f t="shared" si="75"/>
        <v>0</v>
      </c>
      <c r="U430" s="34">
        <f t="shared" si="76"/>
        <v>9</v>
      </c>
    </row>
    <row r="431" spans="1:21" x14ac:dyDescent="0.35">
      <c r="A431" s="1" t="str">
        <f t="shared" si="66"/>
        <v/>
      </c>
      <c r="B431" s="31"/>
      <c r="C431" s="8"/>
      <c r="D431" s="8"/>
      <c r="E431" s="8"/>
      <c r="F431" s="32"/>
      <c r="G431" s="32"/>
      <c r="H431" s="32"/>
      <c r="I431" s="1" t="str">
        <f t="shared" si="67"/>
        <v/>
      </c>
      <c r="J431" s="1" t="str">
        <f t="shared" si="68"/>
        <v/>
      </c>
      <c r="K431" s="1" t="str">
        <f t="shared" si="69"/>
        <v/>
      </c>
      <c r="L431" s="8"/>
      <c r="M431" s="1" t="str">
        <f t="shared" si="70"/>
        <v/>
      </c>
      <c r="N431" s="1" t="str">
        <f t="shared" si="71"/>
        <v/>
      </c>
      <c r="O431" s="33" t="str">
        <f t="shared" si="72"/>
        <v/>
      </c>
      <c r="P431" s="34" t="str">
        <f>IF(B431="","",C431&amp;"|"&amp;ROUND(O431,2)&amp;"|"&amp;COUNTIFS($C$4:C431,C431,$O$4:O431,O431))</f>
        <v/>
      </c>
      <c r="Q431" s="34">
        <f t="shared" si="73"/>
        <v>0</v>
      </c>
      <c r="R431" s="34">
        <f t="shared" si="74"/>
        <v>0</v>
      </c>
      <c r="S431" s="34" t="str">
        <f>IF(AND(B431&lt;&gt;"",C431=CompteSel,N(B431)&lt;=DateArret,R431=0),MAX($S$3:S430)+1,"")</f>
        <v/>
      </c>
      <c r="T431" s="34">
        <f t="shared" si="75"/>
        <v>0</v>
      </c>
      <c r="U431" s="34">
        <f t="shared" si="76"/>
        <v>9</v>
      </c>
    </row>
    <row r="432" spans="1:21" x14ac:dyDescent="0.35">
      <c r="A432" s="1" t="str">
        <f t="shared" si="66"/>
        <v/>
      </c>
      <c r="B432" s="31"/>
      <c r="C432" s="8"/>
      <c r="D432" s="8"/>
      <c r="E432" s="8"/>
      <c r="F432" s="32"/>
      <c r="G432" s="32"/>
      <c r="H432" s="32"/>
      <c r="I432" s="1" t="str">
        <f t="shared" si="67"/>
        <v/>
      </c>
      <c r="J432" s="1" t="str">
        <f t="shared" si="68"/>
        <v/>
      </c>
      <c r="K432" s="1" t="str">
        <f t="shared" si="69"/>
        <v/>
      </c>
      <c r="L432" s="8"/>
      <c r="M432" s="1" t="str">
        <f t="shared" si="70"/>
        <v/>
      </c>
      <c r="N432" s="1" t="str">
        <f t="shared" si="71"/>
        <v/>
      </c>
      <c r="O432" s="33" t="str">
        <f t="shared" si="72"/>
        <v/>
      </c>
      <c r="P432" s="34" t="str">
        <f>IF(B432="","",C432&amp;"|"&amp;ROUND(O432,2)&amp;"|"&amp;COUNTIFS($C$4:C432,C432,$O$4:O432,O432))</f>
        <v/>
      </c>
      <c r="Q432" s="34">
        <f t="shared" si="73"/>
        <v>0</v>
      </c>
      <c r="R432" s="34">
        <f t="shared" si="74"/>
        <v>0</v>
      </c>
      <c r="S432" s="34" t="str">
        <f>IF(AND(B432&lt;&gt;"",C432=CompteSel,N(B432)&lt;=DateArret,R432=0),MAX($S$3:S431)+1,"")</f>
        <v/>
      </c>
      <c r="T432" s="34">
        <f t="shared" si="75"/>
        <v>0</v>
      </c>
      <c r="U432" s="34">
        <f t="shared" si="76"/>
        <v>9</v>
      </c>
    </row>
    <row r="433" spans="1:21" x14ac:dyDescent="0.35">
      <c r="A433" s="1" t="str">
        <f t="shared" si="66"/>
        <v/>
      </c>
      <c r="B433" s="31"/>
      <c r="C433" s="8"/>
      <c r="D433" s="8"/>
      <c r="E433" s="8"/>
      <c r="F433" s="32"/>
      <c r="G433" s="32"/>
      <c r="H433" s="32"/>
      <c r="I433" s="1" t="str">
        <f t="shared" si="67"/>
        <v/>
      </c>
      <c r="J433" s="1" t="str">
        <f t="shared" si="68"/>
        <v/>
      </c>
      <c r="K433" s="1" t="str">
        <f t="shared" si="69"/>
        <v/>
      </c>
      <c r="L433" s="8"/>
      <c r="M433" s="1" t="str">
        <f t="shared" si="70"/>
        <v/>
      </c>
      <c r="N433" s="1" t="str">
        <f t="shared" si="71"/>
        <v/>
      </c>
      <c r="O433" s="33" t="str">
        <f t="shared" si="72"/>
        <v/>
      </c>
      <c r="P433" s="34" t="str">
        <f>IF(B433="","",C433&amp;"|"&amp;ROUND(O433,2)&amp;"|"&amp;COUNTIFS($C$4:C433,C433,$O$4:O433,O433))</f>
        <v/>
      </c>
      <c r="Q433" s="34">
        <f t="shared" si="73"/>
        <v>0</v>
      </c>
      <c r="R433" s="34">
        <f t="shared" si="74"/>
        <v>0</v>
      </c>
      <c r="S433" s="34" t="str">
        <f>IF(AND(B433&lt;&gt;"",C433=CompteSel,N(B433)&lt;=DateArret,R433=0),MAX($S$3:S432)+1,"")</f>
        <v/>
      </c>
      <c r="T433" s="34">
        <f t="shared" si="75"/>
        <v>0</v>
      </c>
      <c r="U433" s="34">
        <f t="shared" si="76"/>
        <v>9</v>
      </c>
    </row>
    <row r="434" spans="1:21" x14ac:dyDescent="0.35">
      <c r="A434" s="1" t="str">
        <f t="shared" si="66"/>
        <v/>
      </c>
      <c r="B434" s="31"/>
      <c r="C434" s="8"/>
      <c r="D434" s="8"/>
      <c r="E434" s="8"/>
      <c r="F434" s="32"/>
      <c r="G434" s="32"/>
      <c r="H434" s="32"/>
      <c r="I434" s="1" t="str">
        <f t="shared" si="67"/>
        <v/>
      </c>
      <c r="J434" s="1" t="str">
        <f t="shared" si="68"/>
        <v/>
      </c>
      <c r="K434" s="1" t="str">
        <f t="shared" si="69"/>
        <v/>
      </c>
      <c r="L434" s="8"/>
      <c r="M434" s="1" t="str">
        <f t="shared" si="70"/>
        <v/>
      </c>
      <c r="N434" s="1" t="str">
        <f t="shared" si="71"/>
        <v/>
      </c>
      <c r="O434" s="33" t="str">
        <f t="shared" si="72"/>
        <v/>
      </c>
      <c r="P434" s="34" t="str">
        <f>IF(B434="","",C434&amp;"|"&amp;ROUND(O434,2)&amp;"|"&amp;COUNTIFS($C$4:C434,C434,$O$4:O434,O434))</f>
        <v/>
      </c>
      <c r="Q434" s="34">
        <f t="shared" si="73"/>
        <v>0</v>
      </c>
      <c r="R434" s="34">
        <f t="shared" si="74"/>
        <v>0</v>
      </c>
      <c r="S434" s="34" t="str">
        <f>IF(AND(B434&lt;&gt;"",C434=CompteSel,N(B434)&lt;=DateArret,R434=0),MAX($S$3:S433)+1,"")</f>
        <v/>
      </c>
      <c r="T434" s="34">
        <f t="shared" si="75"/>
        <v>0</v>
      </c>
      <c r="U434" s="34">
        <f t="shared" si="76"/>
        <v>9</v>
      </c>
    </row>
    <row r="435" spans="1:21" x14ac:dyDescent="0.35">
      <c r="A435" s="1" t="str">
        <f t="shared" si="66"/>
        <v/>
      </c>
      <c r="B435" s="31"/>
      <c r="C435" s="8"/>
      <c r="D435" s="8"/>
      <c r="E435" s="8"/>
      <c r="F435" s="32"/>
      <c r="G435" s="32"/>
      <c r="H435" s="32"/>
      <c r="I435" s="1" t="str">
        <f t="shared" si="67"/>
        <v/>
      </c>
      <c r="J435" s="1" t="str">
        <f t="shared" si="68"/>
        <v/>
      </c>
      <c r="K435" s="1" t="str">
        <f t="shared" si="69"/>
        <v/>
      </c>
      <c r="L435" s="8"/>
      <c r="M435" s="1" t="str">
        <f t="shared" si="70"/>
        <v/>
      </c>
      <c r="N435" s="1" t="str">
        <f t="shared" si="71"/>
        <v/>
      </c>
      <c r="O435" s="33" t="str">
        <f t="shared" si="72"/>
        <v/>
      </c>
      <c r="P435" s="34" t="str">
        <f>IF(B435="","",C435&amp;"|"&amp;ROUND(O435,2)&amp;"|"&amp;COUNTIFS($C$4:C435,C435,$O$4:O435,O435))</f>
        <v/>
      </c>
      <c r="Q435" s="34">
        <f t="shared" si="73"/>
        <v>0</v>
      </c>
      <c r="R435" s="34">
        <f t="shared" si="74"/>
        <v>0</v>
      </c>
      <c r="S435" s="34" t="str">
        <f>IF(AND(B435&lt;&gt;"",C435=CompteSel,N(B435)&lt;=DateArret,R435=0),MAX($S$3:S434)+1,"")</f>
        <v/>
      </c>
      <c r="T435" s="34">
        <f t="shared" si="75"/>
        <v>0</v>
      </c>
      <c r="U435" s="34">
        <f t="shared" si="76"/>
        <v>9</v>
      </c>
    </row>
    <row r="436" spans="1:21" x14ac:dyDescent="0.35">
      <c r="A436" s="1" t="str">
        <f t="shared" si="66"/>
        <v/>
      </c>
      <c r="B436" s="31"/>
      <c r="C436" s="8"/>
      <c r="D436" s="8"/>
      <c r="E436" s="8"/>
      <c r="F436" s="32"/>
      <c r="G436" s="32"/>
      <c r="H436" s="32"/>
      <c r="I436" s="1" t="str">
        <f t="shared" si="67"/>
        <v/>
      </c>
      <c r="J436" s="1" t="str">
        <f t="shared" si="68"/>
        <v/>
      </c>
      <c r="K436" s="1" t="str">
        <f t="shared" si="69"/>
        <v/>
      </c>
      <c r="L436" s="8"/>
      <c r="M436" s="1" t="str">
        <f t="shared" si="70"/>
        <v/>
      </c>
      <c r="N436" s="1" t="str">
        <f t="shared" si="71"/>
        <v/>
      </c>
      <c r="O436" s="33" t="str">
        <f t="shared" si="72"/>
        <v/>
      </c>
      <c r="P436" s="34" t="str">
        <f>IF(B436="","",C436&amp;"|"&amp;ROUND(O436,2)&amp;"|"&amp;COUNTIFS($C$4:C436,C436,$O$4:O436,O436))</f>
        <v/>
      </c>
      <c r="Q436" s="34">
        <f t="shared" si="73"/>
        <v>0</v>
      </c>
      <c r="R436" s="34">
        <f t="shared" si="74"/>
        <v>0</v>
      </c>
      <c r="S436" s="34" t="str">
        <f>IF(AND(B436&lt;&gt;"",C436=CompteSel,N(B436)&lt;=DateArret,R436=0),MAX($S$3:S435)+1,"")</f>
        <v/>
      </c>
      <c r="T436" s="34">
        <f t="shared" si="75"/>
        <v>0</v>
      </c>
      <c r="U436" s="34">
        <f t="shared" si="76"/>
        <v>9</v>
      </c>
    </row>
    <row r="437" spans="1:21" x14ac:dyDescent="0.35">
      <c r="A437" s="1" t="str">
        <f t="shared" si="66"/>
        <v/>
      </c>
      <c r="B437" s="31"/>
      <c r="C437" s="8"/>
      <c r="D437" s="8"/>
      <c r="E437" s="8"/>
      <c r="F437" s="32"/>
      <c r="G437" s="32"/>
      <c r="H437" s="32"/>
      <c r="I437" s="1" t="str">
        <f t="shared" si="67"/>
        <v/>
      </c>
      <c r="J437" s="1" t="str">
        <f t="shared" si="68"/>
        <v/>
      </c>
      <c r="K437" s="1" t="str">
        <f t="shared" si="69"/>
        <v/>
      </c>
      <c r="L437" s="8"/>
      <c r="M437" s="1" t="str">
        <f t="shared" si="70"/>
        <v/>
      </c>
      <c r="N437" s="1" t="str">
        <f t="shared" si="71"/>
        <v/>
      </c>
      <c r="O437" s="33" t="str">
        <f t="shared" si="72"/>
        <v/>
      </c>
      <c r="P437" s="34" t="str">
        <f>IF(B437="","",C437&amp;"|"&amp;ROUND(O437,2)&amp;"|"&amp;COUNTIFS($C$4:C437,C437,$O$4:O437,O437))</f>
        <v/>
      </c>
      <c r="Q437" s="34">
        <f t="shared" si="73"/>
        <v>0</v>
      </c>
      <c r="R437" s="34">
        <f t="shared" si="74"/>
        <v>0</v>
      </c>
      <c r="S437" s="34" t="str">
        <f>IF(AND(B437&lt;&gt;"",C437=CompteSel,N(B437)&lt;=DateArret,R437=0),MAX($S$3:S436)+1,"")</f>
        <v/>
      </c>
      <c r="T437" s="34">
        <f t="shared" si="75"/>
        <v>0</v>
      </c>
      <c r="U437" s="34">
        <f t="shared" si="76"/>
        <v>9</v>
      </c>
    </row>
    <row r="438" spans="1:21" x14ac:dyDescent="0.35">
      <c r="A438" s="1" t="str">
        <f t="shared" si="66"/>
        <v/>
      </c>
      <c r="B438" s="31"/>
      <c r="C438" s="8"/>
      <c r="D438" s="8"/>
      <c r="E438" s="8"/>
      <c r="F438" s="32"/>
      <c r="G438" s="32"/>
      <c r="H438" s="32"/>
      <c r="I438" s="1" t="str">
        <f t="shared" si="67"/>
        <v/>
      </c>
      <c r="J438" s="1" t="str">
        <f t="shared" si="68"/>
        <v/>
      </c>
      <c r="K438" s="1" t="str">
        <f t="shared" si="69"/>
        <v/>
      </c>
      <c r="L438" s="8"/>
      <c r="M438" s="1" t="str">
        <f t="shared" si="70"/>
        <v/>
      </c>
      <c r="N438" s="1" t="str">
        <f t="shared" si="71"/>
        <v/>
      </c>
      <c r="O438" s="33" t="str">
        <f t="shared" si="72"/>
        <v/>
      </c>
      <c r="P438" s="34" t="str">
        <f>IF(B438="","",C438&amp;"|"&amp;ROUND(O438,2)&amp;"|"&amp;COUNTIFS($C$4:C438,C438,$O$4:O438,O438))</f>
        <v/>
      </c>
      <c r="Q438" s="34">
        <f t="shared" si="73"/>
        <v>0</v>
      </c>
      <c r="R438" s="34">
        <f t="shared" si="74"/>
        <v>0</v>
      </c>
      <c r="S438" s="34" t="str">
        <f>IF(AND(B438&lt;&gt;"",C438=CompteSel,N(B438)&lt;=DateArret,R438=0),MAX($S$3:S437)+1,"")</f>
        <v/>
      </c>
      <c r="T438" s="34">
        <f t="shared" si="75"/>
        <v>0</v>
      </c>
      <c r="U438" s="34">
        <f t="shared" si="76"/>
        <v>9</v>
      </c>
    </row>
    <row r="439" spans="1:21" x14ac:dyDescent="0.35">
      <c r="A439" s="1" t="str">
        <f t="shared" si="66"/>
        <v/>
      </c>
      <c r="B439" s="31"/>
      <c r="C439" s="8"/>
      <c r="D439" s="8"/>
      <c r="E439" s="8"/>
      <c r="F439" s="32"/>
      <c r="G439" s="32"/>
      <c r="H439" s="32"/>
      <c r="I439" s="1" t="str">
        <f t="shared" si="67"/>
        <v/>
      </c>
      <c r="J439" s="1" t="str">
        <f t="shared" si="68"/>
        <v/>
      </c>
      <c r="K439" s="1" t="str">
        <f t="shared" si="69"/>
        <v/>
      </c>
      <c r="L439" s="8"/>
      <c r="M439" s="1" t="str">
        <f t="shared" si="70"/>
        <v/>
      </c>
      <c r="N439" s="1" t="str">
        <f t="shared" si="71"/>
        <v/>
      </c>
      <c r="O439" s="33" t="str">
        <f t="shared" si="72"/>
        <v/>
      </c>
      <c r="P439" s="34" t="str">
        <f>IF(B439="","",C439&amp;"|"&amp;ROUND(O439,2)&amp;"|"&amp;COUNTIFS($C$4:C439,C439,$O$4:O439,O439))</f>
        <v/>
      </c>
      <c r="Q439" s="34">
        <f t="shared" si="73"/>
        <v>0</v>
      </c>
      <c r="R439" s="34">
        <f t="shared" si="74"/>
        <v>0</v>
      </c>
      <c r="S439" s="34" t="str">
        <f>IF(AND(B439&lt;&gt;"",C439=CompteSel,N(B439)&lt;=DateArret,R439=0),MAX($S$3:S438)+1,"")</f>
        <v/>
      </c>
      <c r="T439" s="34">
        <f t="shared" si="75"/>
        <v>0</v>
      </c>
      <c r="U439" s="34">
        <f t="shared" si="76"/>
        <v>9</v>
      </c>
    </row>
    <row r="440" spans="1:21" x14ac:dyDescent="0.35">
      <c r="A440" s="1" t="str">
        <f t="shared" si="66"/>
        <v/>
      </c>
      <c r="B440" s="31"/>
      <c r="C440" s="8"/>
      <c r="D440" s="8"/>
      <c r="E440" s="8"/>
      <c r="F440" s="32"/>
      <c r="G440" s="32"/>
      <c r="H440" s="32"/>
      <c r="I440" s="1" t="str">
        <f t="shared" si="67"/>
        <v/>
      </c>
      <c r="J440" s="1" t="str">
        <f t="shared" si="68"/>
        <v/>
      </c>
      <c r="K440" s="1" t="str">
        <f t="shared" si="69"/>
        <v/>
      </c>
      <c r="L440" s="8"/>
      <c r="M440" s="1" t="str">
        <f t="shared" si="70"/>
        <v/>
      </c>
      <c r="N440" s="1" t="str">
        <f t="shared" si="71"/>
        <v/>
      </c>
      <c r="O440" s="33" t="str">
        <f t="shared" si="72"/>
        <v/>
      </c>
      <c r="P440" s="34" t="str">
        <f>IF(B440="","",C440&amp;"|"&amp;ROUND(O440,2)&amp;"|"&amp;COUNTIFS($C$4:C440,C440,$O$4:O440,O440))</f>
        <v/>
      </c>
      <c r="Q440" s="34">
        <f t="shared" si="73"/>
        <v>0</v>
      </c>
      <c r="R440" s="34">
        <f t="shared" si="74"/>
        <v>0</v>
      </c>
      <c r="S440" s="34" t="str">
        <f>IF(AND(B440&lt;&gt;"",C440=CompteSel,N(B440)&lt;=DateArret,R440=0),MAX($S$3:S439)+1,"")</f>
        <v/>
      </c>
      <c r="T440" s="34">
        <f t="shared" si="75"/>
        <v>0</v>
      </c>
      <c r="U440" s="34">
        <f t="shared" si="76"/>
        <v>9</v>
      </c>
    </row>
    <row r="441" spans="1:21" x14ac:dyDescent="0.35">
      <c r="A441" s="1" t="str">
        <f t="shared" si="66"/>
        <v/>
      </c>
      <c r="B441" s="31"/>
      <c r="C441" s="8"/>
      <c r="D441" s="8"/>
      <c r="E441" s="8"/>
      <c r="F441" s="32"/>
      <c r="G441" s="32"/>
      <c r="H441" s="32"/>
      <c r="I441" s="1" t="str">
        <f t="shared" si="67"/>
        <v/>
      </c>
      <c r="J441" s="1" t="str">
        <f t="shared" si="68"/>
        <v/>
      </c>
      <c r="K441" s="1" t="str">
        <f t="shared" si="69"/>
        <v/>
      </c>
      <c r="L441" s="8"/>
      <c r="M441" s="1" t="str">
        <f t="shared" si="70"/>
        <v/>
      </c>
      <c r="N441" s="1" t="str">
        <f t="shared" si="71"/>
        <v/>
      </c>
      <c r="O441" s="33" t="str">
        <f t="shared" si="72"/>
        <v/>
      </c>
      <c r="P441" s="34" t="str">
        <f>IF(B441="","",C441&amp;"|"&amp;ROUND(O441,2)&amp;"|"&amp;COUNTIFS($C$4:C441,C441,$O$4:O441,O441))</f>
        <v/>
      </c>
      <c r="Q441" s="34">
        <f t="shared" si="73"/>
        <v>0</v>
      </c>
      <c r="R441" s="34">
        <f t="shared" si="74"/>
        <v>0</v>
      </c>
      <c r="S441" s="34" t="str">
        <f>IF(AND(B441&lt;&gt;"",C441=CompteSel,N(B441)&lt;=DateArret,R441=0),MAX($S$3:S440)+1,"")</f>
        <v/>
      </c>
      <c r="T441" s="34">
        <f t="shared" si="75"/>
        <v>0</v>
      </c>
      <c r="U441" s="34">
        <f t="shared" si="76"/>
        <v>9</v>
      </c>
    </row>
    <row r="442" spans="1:21" x14ac:dyDescent="0.35">
      <c r="A442" s="1" t="str">
        <f t="shared" si="66"/>
        <v/>
      </c>
      <c r="B442" s="31"/>
      <c r="C442" s="8"/>
      <c r="D442" s="8"/>
      <c r="E442" s="8"/>
      <c r="F442" s="32"/>
      <c r="G442" s="32"/>
      <c r="H442" s="32"/>
      <c r="I442" s="1" t="str">
        <f t="shared" si="67"/>
        <v/>
      </c>
      <c r="J442" s="1" t="str">
        <f t="shared" si="68"/>
        <v/>
      </c>
      <c r="K442" s="1" t="str">
        <f t="shared" si="69"/>
        <v/>
      </c>
      <c r="L442" s="8"/>
      <c r="M442" s="1" t="str">
        <f t="shared" si="70"/>
        <v/>
      </c>
      <c r="N442" s="1" t="str">
        <f t="shared" si="71"/>
        <v/>
      </c>
      <c r="O442" s="33" t="str">
        <f t="shared" si="72"/>
        <v/>
      </c>
      <c r="P442" s="34" t="str">
        <f>IF(B442="","",C442&amp;"|"&amp;ROUND(O442,2)&amp;"|"&amp;COUNTIFS($C$4:C442,C442,$O$4:O442,O442))</f>
        <v/>
      </c>
      <c r="Q442" s="34">
        <f t="shared" si="73"/>
        <v>0</v>
      </c>
      <c r="R442" s="34">
        <f t="shared" si="74"/>
        <v>0</v>
      </c>
      <c r="S442" s="34" t="str">
        <f>IF(AND(B442&lt;&gt;"",C442=CompteSel,N(B442)&lt;=DateArret,R442=0),MAX($S$3:S441)+1,"")</f>
        <v/>
      </c>
      <c r="T442" s="34">
        <f t="shared" si="75"/>
        <v>0</v>
      </c>
      <c r="U442" s="34">
        <f t="shared" si="76"/>
        <v>9</v>
      </c>
    </row>
    <row r="443" spans="1:21" x14ac:dyDescent="0.35">
      <c r="A443" s="1" t="str">
        <f t="shared" si="66"/>
        <v/>
      </c>
      <c r="B443" s="31"/>
      <c r="C443" s="8"/>
      <c r="D443" s="8"/>
      <c r="E443" s="8"/>
      <c r="F443" s="32"/>
      <c r="G443" s="32"/>
      <c r="H443" s="32"/>
      <c r="I443" s="1" t="str">
        <f t="shared" si="67"/>
        <v/>
      </c>
      <c r="J443" s="1" t="str">
        <f t="shared" si="68"/>
        <v/>
      </c>
      <c r="K443" s="1" t="str">
        <f t="shared" si="69"/>
        <v/>
      </c>
      <c r="L443" s="8"/>
      <c r="M443" s="1" t="str">
        <f t="shared" si="70"/>
        <v/>
      </c>
      <c r="N443" s="1" t="str">
        <f t="shared" si="71"/>
        <v/>
      </c>
      <c r="O443" s="33" t="str">
        <f t="shared" si="72"/>
        <v/>
      </c>
      <c r="P443" s="34" t="str">
        <f>IF(B443="","",C443&amp;"|"&amp;ROUND(O443,2)&amp;"|"&amp;COUNTIFS($C$4:C443,C443,$O$4:O443,O443))</f>
        <v/>
      </c>
      <c r="Q443" s="34">
        <f t="shared" si="73"/>
        <v>0</v>
      </c>
      <c r="R443" s="34">
        <f t="shared" si="74"/>
        <v>0</v>
      </c>
      <c r="S443" s="34" t="str">
        <f>IF(AND(B443&lt;&gt;"",C443=CompteSel,N(B443)&lt;=DateArret,R443=0),MAX($S$3:S442)+1,"")</f>
        <v/>
      </c>
      <c r="T443" s="34">
        <f t="shared" si="75"/>
        <v>0</v>
      </c>
      <c r="U443" s="34">
        <f t="shared" si="76"/>
        <v>9</v>
      </c>
    </row>
    <row r="444" spans="1:21" x14ac:dyDescent="0.35">
      <c r="A444" s="1" t="str">
        <f t="shared" si="66"/>
        <v/>
      </c>
      <c r="B444" s="31"/>
      <c r="C444" s="8"/>
      <c r="D444" s="8"/>
      <c r="E444" s="8"/>
      <c r="F444" s="32"/>
      <c r="G444" s="32"/>
      <c r="H444" s="32"/>
      <c r="I444" s="1" t="str">
        <f t="shared" si="67"/>
        <v/>
      </c>
      <c r="J444" s="1" t="str">
        <f t="shared" si="68"/>
        <v/>
      </c>
      <c r="K444" s="1" t="str">
        <f t="shared" si="69"/>
        <v/>
      </c>
      <c r="L444" s="8"/>
      <c r="M444" s="1" t="str">
        <f t="shared" si="70"/>
        <v/>
      </c>
      <c r="N444" s="1" t="str">
        <f t="shared" si="71"/>
        <v/>
      </c>
      <c r="O444" s="33" t="str">
        <f t="shared" si="72"/>
        <v/>
      </c>
      <c r="P444" s="34" t="str">
        <f>IF(B444="","",C444&amp;"|"&amp;ROUND(O444,2)&amp;"|"&amp;COUNTIFS($C$4:C444,C444,$O$4:O444,O444))</f>
        <v/>
      </c>
      <c r="Q444" s="34">
        <f t="shared" si="73"/>
        <v>0</v>
      </c>
      <c r="R444" s="34">
        <f t="shared" si="74"/>
        <v>0</v>
      </c>
      <c r="S444" s="34" t="str">
        <f>IF(AND(B444&lt;&gt;"",C444=CompteSel,N(B444)&lt;=DateArret,R444=0),MAX($S$3:S443)+1,"")</f>
        <v/>
      </c>
      <c r="T444" s="34">
        <f t="shared" si="75"/>
        <v>0</v>
      </c>
      <c r="U444" s="34">
        <f t="shared" si="76"/>
        <v>9</v>
      </c>
    </row>
    <row r="445" spans="1:21" x14ac:dyDescent="0.35">
      <c r="A445" s="1" t="str">
        <f t="shared" si="66"/>
        <v/>
      </c>
      <c r="B445" s="31"/>
      <c r="C445" s="8"/>
      <c r="D445" s="8"/>
      <c r="E445" s="8"/>
      <c r="F445" s="32"/>
      <c r="G445" s="32"/>
      <c r="H445" s="32"/>
      <c r="I445" s="1" t="str">
        <f t="shared" si="67"/>
        <v/>
      </c>
      <c r="J445" s="1" t="str">
        <f t="shared" si="68"/>
        <v/>
      </c>
      <c r="K445" s="1" t="str">
        <f t="shared" si="69"/>
        <v/>
      </c>
      <c r="L445" s="8"/>
      <c r="M445" s="1" t="str">
        <f t="shared" si="70"/>
        <v/>
      </c>
      <c r="N445" s="1" t="str">
        <f t="shared" si="71"/>
        <v/>
      </c>
      <c r="O445" s="33" t="str">
        <f t="shared" si="72"/>
        <v/>
      </c>
      <c r="P445" s="34" t="str">
        <f>IF(B445="","",C445&amp;"|"&amp;ROUND(O445,2)&amp;"|"&amp;COUNTIFS($C$4:C445,C445,$O$4:O445,O445))</f>
        <v/>
      </c>
      <c r="Q445" s="34">
        <f t="shared" si="73"/>
        <v>0</v>
      </c>
      <c r="R445" s="34">
        <f t="shared" si="74"/>
        <v>0</v>
      </c>
      <c r="S445" s="34" t="str">
        <f>IF(AND(B445&lt;&gt;"",C445=CompteSel,N(B445)&lt;=DateArret,R445=0),MAX($S$3:S444)+1,"")</f>
        <v/>
      </c>
      <c r="T445" s="34">
        <f t="shared" si="75"/>
        <v>0</v>
      </c>
      <c r="U445" s="34">
        <f t="shared" si="76"/>
        <v>9</v>
      </c>
    </row>
    <row r="446" spans="1:21" x14ac:dyDescent="0.35">
      <c r="A446" s="1" t="str">
        <f t="shared" si="66"/>
        <v/>
      </c>
      <c r="B446" s="31"/>
      <c r="C446" s="8"/>
      <c r="D446" s="8"/>
      <c r="E446" s="8"/>
      <c r="F446" s="32"/>
      <c r="G446" s="32"/>
      <c r="H446" s="32"/>
      <c r="I446" s="1" t="str">
        <f t="shared" si="67"/>
        <v/>
      </c>
      <c r="J446" s="1" t="str">
        <f t="shared" si="68"/>
        <v/>
      </c>
      <c r="K446" s="1" t="str">
        <f t="shared" si="69"/>
        <v/>
      </c>
      <c r="L446" s="8"/>
      <c r="M446" s="1" t="str">
        <f t="shared" si="70"/>
        <v/>
      </c>
      <c r="N446" s="1" t="str">
        <f t="shared" si="71"/>
        <v/>
      </c>
      <c r="O446" s="33" t="str">
        <f t="shared" si="72"/>
        <v/>
      </c>
      <c r="P446" s="34" t="str">
        <f>IF(B446="","",C446&amp;"|"&amp;ROUND(O446,2)&amp;"|"&amp;COUNTIFS($C$4:C446,C446,$O$4:O446,O446))</f>
        <v/>
      </c>
      <c r="Q446" s="34">
        <f t="shared" si="73"/>
        <v>0</v>
      </c>
      <c r="R446" s="34">
        <f t="shared" si="74"/>
        <v>0</v>
      </c>
      <c r="S446" s="34" t="str">
        <f>IF(AND(B446&lt;&gt;"",C446=CompteSel,N(B446)&lt;=DateArret,R446=0),MAX($S$3:S445)+1,"")</f>
        <v/>
      </c>
      <c r="T446" s="34">
        <f t="shared" si="75"/>
        <v>0</v>
      </c>
      <c r="U446" s="34">
        <f t="shared" si="76"/>
        <v>9</v>
      </c>
    </row>
    <row r="447" spans="1:21" x14ac:dyDescent="0.35">
      <c r="A447" s="1" t="str">
        <f t="shared" si="66"/>
        <v/>
      </c>
      <c r="B447" s="31"/>
      <c r="C447" s="8"/>
      <c r="D447" s="8"/>
      <c r="E447" s="8"/>
      <c r="F447" s="32"/>
      <c r="G447" s="32"/>
      <c r="H447" s="32"/>
      <c r="I447" s="1" t="str">
        <f t="shared" si="67"/>
        <v/>
      </c>
      <c r="J447" s="1" t="str">
        <f t="shared" si="68"/>
        <v/>
      </c>
      <c r="K447" s="1" t="str">
        <f t="shared" si="69"/>
        <v/>
      </c>
      <c r="L447" s="8"/>
      <c r="M447" s="1" t="str">
        <f t="shared" si="70"/>
        <v/>
      </c>
      <c r="N447" s="1" t="str">
        <f t="shared" si="71"/>
        <v/>
      </c>
      <c r="O447" s="33" t="str">
        <f t="shared" si="72"/>
        <v/>
      </c>
      <c r="P447" s="34" t="str">
        <f>IF(B447="","",C447&amp;"|"&amp;ROUND(O447,2)&amp;"|"&amp;COUNTIFS($C$4:C447,C447,$O$4:O447,O447))</f>
        <v/>
      </c>
      <c r="Q447" s="34">
        <f t="shared" si="73"/>
        <v>0</v>
      </c>
      <c r="R447" s="34">
        <f t="shared" si="74"/>
        <v>0</v>
      </c>
      <c r="S447" s="34" t="str">
        <f>IF(AND(B447&lt;&gt;"",C447=CompteSel,N(B447)&lt;=DateArret,R447=0),MAX($S$3:S446)+1,"")</f>
        <v/>
      </c>
      <c r="T447" s="34">
        <f t="shared" si="75"/>
        <v>0</v>
      </c>
      <c r="U447" s="34">
        <f t="shared" si="76"/>
        <v>9</v>
      </c>
    </row>
    <row r="448" spans="1:21" x14ac:dyDescent="0.35">
      <c r="A448" s="1" t="str">
        <f t="shared" si="66"/>
        <v/>
      </c>
      <c r="B448" s="31"/>
      <c r="C448" s="8"/>
      <c r="D448" s="8"/>
      <c r="E448" s="8"/>
      <c r="F448" s="32"/>
      <c r="G448" s="32"/>
      <c r="H448" s="32"/>
      <c r="I448" s="1" t="str">
        <f t="shared" si="67"/>
        <v/>
      </c>
      <c r="J448" s="1" t="str">
        <f t="shared" si="68"/>
        <v/>
      </c>
      <c r="K448" s="1" t="str">
        <f t="shared" si="69"/>
        <v/>
      </c>
      <c r="L448" s="8"/>
      <c r="M448" s="1" t="str">
        <f t="shared" si="70"/>
        <v/>
      </c>
      <c r="N448" s="1" t="str">
        <f t="shared" si="71"/>
        <v/>
      </c>
      <c r="O448" s="33" t="str">
        <f t="shared" si="72"/>
        <v/>
      </c>
      <c r="P448" s="34" t="str">
        <f>IF(B448="","",C448&amp;"|"&amp;ROUND(O448,2)&amp;"|"&amp;COUNTIFS($C$4:C448,C448,$O$4:O448,O448))</f>
        <v/>
      </c>
      <c r="Q448" s="34">
        <f t="shared" si="73"/>
        <v>0</v>
      </c>
      <c r="R448" s="34">
        <f t="shared" si="74"/>
        <v>0</v>
      </c>
      <c r="S448" s="34" t="str">
        <f>IF(AND(B448&lt;&gt;"",C448=CompteSel,N(B448)&lt;=DateArret,R448=0),MAX($S$3:S447)+1,"")</f>
        <v/>
      </c>
      <c r="T448" s="34">
        <f t="shared" si="75"/>
        <v>0</v>
      </c>
      <c r="U448" s="34">
        <f t="shared" si="76"/>
        <v>9</v>
      </c>
    </row>
    <row r="449" spans="1:21" x14ac:dyDescent="0.35">
      <c r="A449" s="1" t="str">
        <f t="shared" si="66"/>
        <v/>
      </c>
      <c r="B449" s="31"/>
      <c r="C449" s="8"/>
      <c r="D449" s="8"/>
      <c r="E449" s="8"/>
      <c r="F449" s="32"/>
      <c r="G449" s="32"/>
      <c r="H449" s="32"/>
      <c r="I449" s="1" t="str">
        <f t="shared" si="67"/>
        <v/>
      </c>
      <c r="J449" s="1" t="str">
        <f t="shared" si="68"/>
        <v/>
      </c>
      <c r="K449" s="1" t="str">
        <f t="shared" si="69"/>
        <v/>
      </c>
      <c r="L449" s="8"/>
      <c r="M449" s="1" t="str">
        <f t="shared" si="70"/>
        <v/>
      </c>
      <c r="N449" s="1" t="str">
        <f t="shared" si="71"/>
        <v/>
      </c>
      <c r="O449" s="33" t="str">
        <f t="shared" si="72"/>
        <v/>
      </c>
      <c r="P449" s="34" t="str">
        <f>IF(B449="","",C449&amp;"|"&amp;ROUND(O449,2)&amp;"|"&amp;COUNTIFS($C$4:C449,C449,$O$4:O449,O449))</f>
        <v/>
      </c>
      <c r="Q449" s="34">
        <f t="shared" si="73"/>
        <v>0</v>
      </c>
      <c r="R449" s="34">
        <f t="shared" si="74"/>
        <v>0</v>
      </c>
      <c r="S449" s="34" t="str">
        <f>IF(AND(B449&lt;&gt;"",C449=CompteSel,N(B449)&lt;=DateArret,R449=0),MAX($S$3:S448)+1,"")</f>
        <v/>
      </c>
      <c r="T449" s="34">
        <f t="shared" si="75"/>
        <v>0</v>
      </c>
      <c r="U449" s="34">
        <f t="shared" si="76"/>
        <v>9</v>
      </c>
    </row>
    <row r="450" spans="1:21" x14ac:dyDescent="0.35">
      <c r="A450" s="1" t="str">
        <f t="shared" si="66"/>
        <v/>
      </c>
      <c r="B450" s="31"/>
      <c r="C450" s="8"/>
      <c r="D450" s="8"/>
      <c r="E450" s="8"/>
      <c r="F450" s="32"/>
      <c r="G450" s="32"/>
      <c r="H450" s="32"/>
      <c r="I450" s="1" t="str">
        <f t="shared" si="67"/>
        <v/>
      </c>
      <c r="J450" s="1" t="str">
        <f t="shared" si="68"/>
        <v/>
      </c>
      <c r="K450" s="1" t="str">
        <f t="shared" si="69"/>
        <v/>
      </c>
      <c r="L450" s="8"/>
      <c r="M450" s="1" t="str">
        <f t="shared" si="70"/>
        <v/>
      </c>
      <c r="N450" s="1" t="str">
        <f t="shared" si="71"/>
        <v/>
      </c>
      <c r="O450" s="33" t="str">
        <f t="shared" si="72"/>
        <v/>
      </c>
      <c r="P450" s="34" t="str">
        <f>IF(B450="","",C450&amp;"|"&amp;ROUND(O450,2)&amp;"|"&amp;COUNTIFS($C$4:C450,C450,$O$4:O450,O450))</f>
        <v/>
      </c>
      <c r="Q450" s="34">
        <f t="shared" si="73"/>
        <v>0</v>
      </c>
      <c r="R450" s="34">
        <f t="shared" si="74"/>
        <v>0</v>
      </c>
      <c r="S450" s="34" t="str">
        <f>IF(AND(B450&lt;&gt;"",C450=CompteSel,N(B450)&lt;=DateArret,R450=0),MAX($S$3:S449)+1,"")</f>
        <v/>
      </c>
      <c r="T450" s="34">
        <f t="shared" si="75"/>
        <v>0</v>
      </c>
      <c r="U450" s="34">
        <f t="shared" si="76"/>
        <v>9</v>
      </c>
    </row>
    <row r="451" spans="1:21" x14ac:dyDescent="0.35">
      <c r="A451" s="1" t="str">
        <f t="shared" si="66"/>
        <v/>
      </c>
      <c r="B451" s="31"/>
      <c r="C451" s="8"/>
      <c r="D451" s="8"/>
      <c r="E451" s="8"/>
      <c r="F451" s="32"/>
      <c r="G451" s="32"/>
      <c r="H451" s="32"/>
      <c r="I451" s="1" t="str">
        <f t="shared" si="67"/>
        <v/>
      </c>
      <c r="J451" s="1" t="str">
        <f t="shared" si="68"/>
        <v/>
      </c>
      <c r="K451" s="1" t="str">
        <f t="shared" si="69"/>
        <v/>
      </c>
      <c r="L451" s="8"/>
      <c r="M451" s="1" t="str">
        <f t="shared" si="70"/>
        <v/>
      </c>
      <c r="N451" s="1" t="str">
        <f t="shared" si="71"/>
        <v/>
      </c>
      <c r="O451" s="33" t="str">
        <f t="shared" si="72"/>
        <v/>
      </c>
      <c r="P451" s="34" t="str">
        <f>IF(B451="","",C451&amp;"|"&amp;ROUND(O451,2)&amp;"|"&amp;COUNTIFS($C$4:C451,C451,$O$4:O451,O451))</f>
        <v/>
      </c>
      <c r="Q451" s="34">
        <f t="shared" si="73"/>
        <v>0</v>
      </c>
      <c r="R451" s="34">
        <f t="shared" si="74"/>
        <v>0</v>
      </c>
      <c r="S451" s="34" t="str">
        <f>IF(AND(B451&lt;&gt;"",C451=CompteSel,N(B451)&lt;=DateArret,R451=0),MAX($S$3:S450)+1,"")</f>
        <v/>
      </c>
      <c r="T451" s="34">
        <f t="shared" si="75"/>
        <v>0</v>
      </c>
      <c r="U451" s="34">
        <f t="shared" si="76"/>
        <v>9</v>
      </c>
    </row>
    <row r="452" spans="1:21" x14ac:dyDescent="0.35">
      <c r="A452" s="1" t="str">
        <f t="shared" ref="A452:A503" si="77">IF(B452="","",ROW()-3)</f>
        <v/>
      </c>
      <c r="B452" s="31"/>
      <c r="C452" s="8"/>
      <c r="D452" s="8"/>
      <c r="E452" s="8"/>
      <c r="F452" s="32"/>
      <c r="G452" s="32"/>
      <c r="H452" s="32"/>
      <c r="I452" s="1" t="str">
        <f t="shared" ref="I452:I503" si="78">IF(B452="","",IF(L452="Écart","Écart",IF(K452="","Non rapproché",INDEX(L_Statut,K452))))</f>
        <v/>
      </c>
      <c r="J452" s="1" t="str">
        <f t="shared" ref="J452:J503" si="79">IF(K452="","",INDEX(L_Score,K452))</f>
        <v/>
      </c>
      <c r="K452" s="1" t="str">
        <f t="shared" ref="K452:K503" si="80">IF(B452="","",IFERROR(MATCH(A452,L_Banque,0),""))</f>
        <v/>
      </c>
      <c r="L452" s="8"/>
      <c r="M452" s="1" t="str">
        <f t="shared" ref="M452:M503" si="81">IF(K452="","",INDEX(L_DJ,K452))</f>
        <v/>
      </c>
      <c r="N452" s="1" t="str">
        <f t="shared" ref="N452:N503" si="82">IF(B452="","",IF(COUNTIFS($C$4:$C$503,C452,$B$4:$B$503,B452,$O$4:$O$503,O452)&gt;1,"Doublon ?",""))</f>
        <v/>
      </c>
      <c r="O452" s="33" t="str">
        <f t="shared" ref="O452:O503" si="83">IF(B452="","",N(G452)-N(F452))</f>
        <v/>
      </c>
      <c r="P452" s="34" t="str">
        <f>IF(B452="","",C452&amp;"|"&amp;ROUND(O452,2)&amp;"|"&amp;COUNTIFS($C$4:C452,C452,$O$4:O452,O452))</f>
        <v/>
      </c>
      <c r="Q452" s="34">
        <f t="shared" ref="Q452:Q503" si="84">IF(B452="",0,IF(COUNTIFS(L_CandExact,A452,L_ExactOK,1)&gt;0,1,0))</f>
        <v>0</v>
      </c>
      <c r="R452" s="34">
        <f t="shared" ref="R452:R503" si="85">IF(OR(I452="Rapproché",I452="Manuel"),1,0)</f>
        <v>0</v>
      </c>
      <c r="S452" s="34" t="str">
        <f>IF(AND(B452&lt;&gt;"",C452=CompteSel,N(B452)&lt;=DateArret,R452=0),MAX($S$3:S451)+1,"")</f>
        <v/>
      </c>
      <c r="T452" s="34">
        <f t="shared" ref="T452:T503" si="86">IF(AND(B452&lt;&gt;"",C452=CompteSel,N(B452)&lt;=DateArret,H452&lt;&gt;""),A452,0)</f>
        <v>0</v>
      </c>
      <c r="U452" s="34">
        <f t="shared" ref="U452:U503" si="87">IF(B452="",9,SIGN(O452))</f>
        <v>9</v>
      </c>
    </row>
    <row r="453" spans="1:21" x14ac:dyDescent="0.35">
      <c r="A453" s="1" t="str">
        <f t="shared" si="77"/>
        <v/>
      </c>
      <c r="B453" s="31"/>
      <c r="C453" s="8"/>
      <c r="D453" s="8"/>
      <c r="E453" s="8"/>
      <c r="F453" s="32"/>
      <c r="G453" s="32"/>
      <c r="H453" s="32"/>
      <c r="I453" s="1" t="str">
        <f t="shared" si="78"/>
        <v/>
      </c>
      <c r="J453" s="1" t="str">
        <f t="shared" si="79"/>
        <v/>
      </c>
      <c r="K453" s="1" t="str">
        <f t="shared" si="80"/>
        <v/>
      </c>
      <c r="L453" s="8"/>
      <c r="M453" s="1" t="str">
        <f t="shared" si="81"/>
        <v/>
      </c>
      <c r="N453" s="1" t="str">
        <f t="shared" si="82"/>
        <v/>
      </c>
      <c r="O453" s="33" t="str">
        <f t="shared" si="83"/>
        <v/>
      </c>
      <c r="P453" s="34" t="str">
        <f>IF(B453="","",C453&amp;"|"&amp;ROUND(O453,2)&amp;"|"&amp;COUNTIFS($C$4:C453,C453,$O$4:O453,O453))</f>
        <v/>
      </c>
      <c r="Q453" s="34">
        <f t="shared" si="84"/>
        <v>0</v>
      </c>
      <c r="R453" s="34">
        <f t="shared" si="85"/>
        <v>0</v>
      </c>
      <c r="S453" s="34" t="str">
        <f>IF(AND(B453&lt;&gt;"",C453=CompteSel,N(B453)&lt;=DateArret,R453=0),MAX($S$3:S452)+1,"")</f>
        <v/>
      </c>
      <c r="T453" s="34">
        <f t="shared" si="86"/>
        <v>0</v>
      </c>
      <c r="U453" s="34">
        <f t="shared" si="87"/>
        <v>9</v>
      </c>
    </row>
    <row r="454" spans="1:21" x14ac:dyDescent="0.35">
      <c r="A454" s="1" t="str">
        <f t="shared" si="77"/>
        <v/>
      </c>
      <c r="B454" s="31"/>
      <c r="C454" s="8"/>
      <c r="D454" s="8"/>
      <c r="E454" s="8"/>
      <c r="F454" s="32"/>
      <c r="G454" s="32"/>
      <c r="H454" s="32"/>
      <c r="I454" s="1" t="str">
        <f t="shared" si="78"/>
        <v/>
      </c>
      <c r="J454" s="1" t="str">
        <f t="shared" si="79"/>
        <v/>
      </c>
      <c r="K454" s="1" t="str">
        <f t="shared" si="80"/>
        <v/>
      </c>
      <c r="L454" s="8"/>
      <c r="M454" s="1" t="str">
        <f t="shared" si="81"/>
        <v/>
      </c>
      <c r="N454" s="1" t="str">
        <f t="shared" si="82"/>
        <v/>
      </c>
      <c r="O454" s="33" t="str">
        <f t="shared" si="83"/>
        <v/>
      </c>
      <c r="P454" s="34" t="str">
        <f>IF(B454="","",C454&amp;"|"&amp;ROUND(O454,2)&amp;"|"&amp;COUNTIFS($C$4:C454,C454,$O$4:O454,O454))</f>
        <v/>
      </c>
      <c r="Q454" s="34">
        <f t="shared" si="84"/>
        <v>0</v>
      </c>
      <c r="R454" s="34">
        <f t="shared" si="85"/>
        <v>0</v>
      </c>
      <c r="S454" s="34" t="str">
        <f>IF(AND(B454&lt;&gt;"",C454=CompteSel,N(B454)&lt;=DateArret,R454=0),MAX($S$3:S453)+1,"")</f>
        <v/>
      </c>
      <c r="T454" s="34">
        <f t="shared" si="86"/>
        <v>0</v>
      </c>
      <c r="U454" s="34">
        <f t="shared" si="87"/>
        <v>9</v>
      </c>
    </row>
    <row r="455" spans="1:21" x14ac:dyDescent="0.35">
      <c r="A455" s="1" t="str">
        <f t="shared" si="77"/>
        <v/>
      </c>
      <c r="B455" s="31"/>
      <c r="C455" s="8"/>
      <c r="D455" s="8"/>
      <c r="E455" s="8"/>
      <c r="F455" s="32"/>
      <c r="G455" s="32"/>
      <c r="H455" s="32"/>
      <c r="I455" s="1" t="str">
        <f t="shared" si="78"/>
        <v/>
      </c>
      <c r="J455" s="1" t="str">
        <f t="shared" si="79"/>
        <v/>
      </c>
      <c r="K455" s="1" t="str">
        <f t="shared" si="80"/>
        <v/>
      </c>
      <c r="L455" s="8"/>
      <c r="M455" s="1" t="str">
        <f t="shared" si="81"/>
        <v/>
      </c>
      <c r="N455" s="1" t="str">
        <f t="shared" si="82"/>
        <v/>
      </c>
      <c r="O455" s="33" t="str">
        <f t="shared" si="83"/>
        <v/>
      </c>
      <c r="P455" s="34" t="str">
        <f>IF(B455="","",C455&amp;"|"&amp;ROUND(O455,2)&amp;"|"&amp;COUNTIFS($C$4:C455,C455,$O$4:O455,O455))</f>
        <v/>
      </c>
      <c r="Q455" s="34">
        <f t="shared" si="84"/>
        <v>0</v>
      </c>
      <c r="R455" s="34">
        <f t="shared" si="85"/>
        <v>0</v>
      </c>
      <c r="S455" s="34" t="str">
        <f>IF(AND(B455&lt;&gt;"",C455=CompteSel,N(B455)&lt;=DateArret,R455=0),MAX($S$3:S454)+1,"")</f>
        <v/>
      </c>
      <c r="T455" s="34">
        <f t="shared" si="86"/>
        <v>0</v>
      </c>
      <c r="U455" s="34">
        <f t="shared" si="87"/>
        <v>9</v>
      </c>
    </row>
    <row r="456" spans="1:21" x14ac:dyDescent="0.35">
      <c r="A456" s="1" t="str">
        <f t="shared" si="77"/>
        <v/>
      </c>
      <c r="B456" s="31"/>
      <c r="C456" s="8"/>
      <c r="D456" s="8"/>
      <c r="E456" s="8"/>
      <c r="F456" s="32"/>
      <c r="G456" s="32"/>
      <c r="H456" s="32"/>
      <c r="I456" s="1" t="str">
        <f t="shared" si="78"/>
        <v/>
      </c>
      <c r="J456" s="1" t="str">
        <f t="shared" si="79"/>
        <v/>
      </c>
      <c r="K456" s="1" t="str">
        <f t="shared" si="80"/>
        <v/>
      </c>
      <c r="L456" s="8"/>
      <c r="M456" s="1" t="str">
        <f t="shared" si="81"/>
        <v/>
      </c>
      <c r="N456" s="1" t="str">
        <f t="shared" si="82"/>
        <v/>
      </c>
      <c r="O456" s="33" t="str">
        <f t="shared" si="83"/>
        <v/>
      </c>
      <c r="P456" s="34" t="str">
        <f>IF(B456="","",C456&amp;"|"&amp;ROUND(O456,2)&amp;"|"&amp;COUNTIFS($C$4:C456,C456,$O$4:O456,O456))</f>
        <v/>
      </c>
      <c r="Q456" s="34">
        <f t="shared" si="84"/>
        <v>0</v>
      </c>
      <c r="R456" s="34">
        <f t="shared" si="85"/>
        <v>0</v>
      </c>
      <c r="S456" s="34" t="str">
        <f>IF(AND(B456&lt;&gt;"",C456=CompteSel,N(B456)&lt;=DateArret,R456=0),MAX($S$3:S455)+1,"")</f>
        <v/>
      </c>
      <c r="T456" s="34">
        <f t="shared" si="86"/>
        <v>0</v>
      </c>
      <c r="U456" s="34">
        <f t="shared" si="87"/>
        <v>9</v>
      </c>
    </row>
    <row r="457" spans="1:21" x14ac:dyDescent="0.35">
      <c r="A457" s="1" t="str">
        <f t="shared" si="77"/>
        <v/>
      </c>
      <c r="B457" s="31"/>
      <c r="C457" s="8"/>
      <c r="D457" s="8"/>
      <c r="E457" s="8"/>
      <c r="F457" s="32"/>
      <c r="G457" s="32"/>
      <c r="H457" s="32"/>
      <c r="I457" s="1" t="str">
        <f t="shared" si="78"/>
        <v/>
      </c>
      <c r="J457" s="1" t="str">
        <f t="shared" si="79"/>
        <v/>
      </c>
      <c r="K457" s="1" t="str">
        <f t="shared" si="80"/>
        <v/>
      </c>
      <c r="L457" s="8"/>
      <c r="M457" s="1" t="str">
        <f t="shared" si="81"/>
        <v/>
      </c>
      <c r="N457" s="1" t="str">
        <f t="shared" si="82"/>
        <v/>
      </c>
      <c r="O457" s="33" t="str">
        <f t="shared" si="83"/>
        <v/>
      </c>
      <c r="P457" s="34" t="str">
        <f>IF(B457="","",C457&amp;"|"&amp;ROUND(O457,2)&amp;"|"&amp;COUNTIFS($C$4:C457,C457,$O$4:O457,O457))</f>
        <v/>
      </c>
      <c r="Q457" s="34">
        <f t="shared" si="84"/>
        <v>0</v>
      </c>
      <c r="R457" s="34">
        <f t="shared" si="85"/>
        <v>0</v>
      </c>
      <c r="S457" s="34" t="str">
        <f>IF(AND(B457&lt;&gt;"",C457=CompteSel,N(B457)&lt;=DateArret,R457=0),MAX($S$3:S456)+1,"")</f>
        <v/>
      </c>
      <c r="T457" s="34">
        <f t="shared" si="86"/>
        <v>0</v>
      </c>
      <c r="U457" s="34">
        <f t="shared" si="87"/>
        <v>9</v>
      </c>
    </row>
    <row r="458" spans="1:21" x14ac:dyDescent="0.35">
      <c r="A458" s="1" t="str">
        <f t="shared" si="77"/>
        <v/>
      </c>
      <c r="B458" s="31"/>
      <c r="C458" s="8"/>
      <c r="D458" s="8"/>
      <c r="E458" s="8"/>
      <c r="F458" s="32"/>
      <c r="G458" s="32"/>
      <c r="H458" s="32"/>
      <c r="I458" s="1" t="str">
        <f t="shared" si="78"/>
        <v/>
      </c>
      <c r="J458" s="1" t="str">
        <f t="shared" si="79"/>
        <v/>
      </c>
      <c r="K458" s="1" t="str">
        <f t="shared" si="80"/>
        <v/>
      </c>
      <c r="L458" s="8"/>
      <c r="M458" s="1" t="str">
        <f t="shared" si="81"/>
        <v/>
      </c>
      <c r="N458" s="1" t="str">
        <f t="shared" si="82"/>
        <v/>
      </c>
      <c r="O458" s="33" t="str">
        <f t="shared" si="83"/>
        <v/>
      </c>
      <c r="P458" s="34" t="str">
        <f>IF(B458="","",C458&amp;"|"&amp;ROUND(O458,2)&amp;"|"&amp;COUNTIFS($C$4:C458,C458,$O$4:O458,O458))</f>
        <v/>
      </c>
      <c r="Q458" s="34">
        <f t="shared" si="84"/>
        <v>0</v>
      </c>
      <c r="R458" s="34">
        <f t="shared" si="85"/>
        <v>0</v>
      </c>
      <c r="S458" s="34" t="str">
        <f>IF(AND(B458&lt;&gt;"",C458=CompteSel,N(B458)&lt;=DateArret,R458=0),MAX($S$3:S457)+1,"")</f>
        <v/>
      </c>
      <c r="T458" s="34">
        <f t="shared" si="86"/>
        <v>0</v>
      </c>
      <c r="U458" s="34">
        <f t="shared" si="87"/>
        <v>9</v>
      </c>
    </row>
    <row r="459" spans="1:21" x14ac:dyDescent="0.35">
      <c r="A459" s="1" t="str">
        <f t="shared" si="77"/>
        <v/>
      </c>
      <c r="B459" s="31"/>
      <c r="C459" s="8"/>
      <c r="D459" s="8"/>
      <c r="E459" s="8"/>
      <c r="F459" s="32"/>
      <c r="G459" s="32"/>
      <c r="H459" s="32"/>
      <c r="I459" s="1" t="str">
        <f t="shared" si="78"/>
        <v/>
      </c>
      <c r="J459" s="1" t="str">
        <f t="shared" si="79"/>
        <v/>
      </c>
      <c r="K459" s="1" t="str">
        <f t="shared" si="80"/>
        <v/>
      </c>
      <c r="L459" s="8"/>
      <c r="M459" s="1" t="str">
        <f t="shared" si="81"/>
        <v/>
      </c>
      <c r="N459" s="1" t="str">
        <f t="shared" si="82"/>
        <v/>
      </c>
      <c r="O459" s="33" t="str">
        <f t="shared" si="83"/>
        <v/>
      </c>
      <c r="P459" s="34" t="str">
        <f>IF(B459="","",C459&amp;"|"&amp;ROUND(O459,2)&amp;"|"&amp;COUNTIFS($C$4:C459,C459,$O$4:O459,O459))</f>
        <v/>
      </c>
      <c r="Q459" s="34">
        <f t="shared" si="84"/>
        <v>0</v>
      </c>
      <c r="R459" s="34">
        <f t="shared" si="85"/>
        <v>0</v>
      </c>
      <c r="S459" s="34" t="str">
        <f>IF(AND(B459&lt;&gt;"",C459=CompteSel,N(B459)&lt;=DateArret,R459=0),MAX($S$3:S458)+1,"")</f>
        <v/>
      </c>
      <c r="T459" s="34">
        <f t="shared" si="86"/>
        <v>0</v>
      </c>
      <c r="U459" s="34">
        <f t="shared" si="87"/>
        <v>9</v>
      </c>
    </row>
    <row r="460" spans="1:21" x14ac:dyDescent="0.35">
      <c r="A460" s="1" t="str">
        <f t="shared" si="77"/>
        <v/>
      </c>
      <c r="B460" s="31"/>
      <c r="C460" s="8"/>
      <c r="D460" s="8"/>
      <c r="E460" s="8"/>
      <c r="F460" s="32"/>
      <c r="G460" s="32"/>
      <c r="H460" s="32"/>
      <c r="I460" s="1" t="str">
        <f t="shared" si="78"/>
        <v/>
      </c>
      <c r="J460" s="1" t="str">
        <f t="shared" si="79"/>
        <v/>
      </c>
      <c r="K460" s="1" t="str">
        <f t="shared" si="80"/>
        <v/>
      </c>
      <c r="L460" s="8"/>
      <c r="M460" s="1" t="str">
        <f t="shared" si="81"/>
        <v/>
      </c>
      <c r="N460" s="1" t="str">
        <f t="shared" si="82"/>
        <v/>
      </c>
      <c r="O460" s="33" t="str">
        <f t="shared" si="83"/>
        <v/>
      </c>
      <c r="P460" s="34" t="str">
        <f>IF(B460="","",C460&amp;"|"&amp;ROUND(O460,2)&amp;"|"&amp;COUNTIFS($C$4:C460,C460,$O$4:O460,O460))</f>
        <v/>
      </c>
      <c r="Q460" s="34">
        <f t="shared" si="84"/>
        <v>0</v>
      </c>
      <c r="R460" s="34">
        <f t="shared" si="85"/>
        <v>0</v>
      </c>
      <c r="S460" s="34" t="str">
        <f>IF(AND(B460&lt;&gt;"",C460=CompteSel,N(B460)&lt;=DateArret,R460=0),MAX($S$3:S459)+1,"")</f>
        <v/>
      </c>
      <c r="T460" s="34">
        <f t="shared" si="86"/>
        <v>0</v>
      </c>
      <c r="U460" s="34">
        <f t="shared" si="87"/>
        <v>9</v>
      </c>
    </row>
    <row r="461" spans="1:21" x14ac:dyDescent="0.35">
      <c r="A461" s="1" t="str">
        <f t="shared" si="77"/>
        <v/>
      </c>
      <c r="B461" s="31"/>
      <c r="C461" s="8"/>
      <c r="D461" s="8"/>
      <c r="E461" s="8"/>
      <c r="F461" s="32"/>
      <c r="G461" s="32"/>
      <c r="H461" s="32"/>
      <c r="I461" s="1" t="str">
        <f t="shared" si="78"/>
        <v/>
      </c>
      <c r="J461" s="1" t="str">
        <f t="shared" si="79"/>
        <v/>
      </c>
      <c r="K461" s="1" t="str">
        <f t="shared" si="80"/>
        <v/>
      </c>
      <c r="L461" s="8"/>
      <c r="M461" s="1" t="str">
        <f t="shared" si="81"/>
        <v/>
      </c>
      <c r="N461" s="1" t="str">
        <f t="shared" si="82"/>
        <v/>
      </c>
      <c r="O461" s="33" t="str">
        <f t="shared" si="83"/>
        <v/>
      </c>
      <c r="P461" s="34" t="str">
        <f>IF(B461="","",C461&amp;"|"&amp;ROUND(O461,2)&amp;"|"&amp;COUNTIFS($C$4:C461,C461,$O$4:O461,O461))</f>
        <v/>
      </c>
      <c r="Q461" s="34">
        <f t="shared" si="84"/>
        <v>0</v>
      </c>
      <c r="R461" s="34">
        <f t="shared" si="85"/>
        <v>0</v>
      </c>
      <c r="S461" s="34" t="str">
        <f>IF(AND(B461&lt;&gt;"",C461=CompteSel,N(B461)&lt;=DateArret,R461=0),MAX($S$3:S460)+1,"")</f>
        <v/>
      </c>
      <c r="T461" s="34">
        <f t="shared" si="86"/>
        <v>0</v>
      </c>
      <c r="U461" s="34">
        <f t="shared" si="87"/>
        <v>9</v>
      </c>
    </row>
    <row r="462" spans="1:21" x14ac:dyDescent="0.35">
      <c r="A462" s="1" t="str">
        <f t="shared" si="77"/>
        <v/>
      </c>
      <c r="B462" s="31"/>
      <c r="C462" s="8"/>
      <c r="D462" s="8"/>
      <c r="E462" s="8"/>
      <c r="F462" s="32"/>
      <c r="G462" s="32"/>
      <c r="H462" s="32"/>
      <c r="I462" s="1" t="str">
        <f t="shared" si="78"/>
        <v/>
      </c>
      <c r="J462" s="1" t="str">
        <f t="shared" si="79"/>
        <v/>
      </c>
      <c r="K462" s="1" t="str">
        <f t="shared" si="80"/>
        <v/>
      </c>
      <c r="L462" s="8"/>
      <c r="M462" s="1" t="str">
        <f t="shared" si="81"/>
        <v/>
      </c>
      <c r="N462" s="1" t="str">
        <f t="shared" si="82"/>
        <v/>
      </c>
      <c r="O462" s="33" t="str">
        <f t="shared" si="83"/>
        <v/>
      </c>
      <c r="P462" s="34" t="str">
        <f>IF(B462="","",C462&amp;"|"&amp;ROUND(O462,2)&amp;"|"&amp;COUNTIFS($C$4:C462,C462,$O$4:O462,O462))</f>
        <v/>
      </c>
      <c r="Q462" s="34">
        <f t="shared" si="84"/>
        <v>0</v>
      </c>
      <c r="R462" s="34">
        <f t="shared" si="85"/>
        <v>0</v>
      </c>
      <c r="S462" s="34" t="str">
        <f>IF(AND(B462&lt;&gt;"",C462=CompteSel,N(B462)&lt;=DateArret,R462=0),MAX($S$3:S461)+1,"")</f>
        <v/>
      </c>
      <c r="T462" s="34">
        <f t="shared" si="86"/>
        <v>0</v>
      </c>
      <c r="U462" s="34">
        <f t="shared" si="87"/>
        <v>9</v>
      </c>
    </row>
    <row r="463" spans="1:21" x14ac:dyDescent="0.35">
      <c r="A463" s="1" t="str">
        <f t="shared" si="77"/>
        <v/>
      </c>
      <c r="B463" s="31"/>
      <c r="C463" s="8"/>
      <c r="D463" s="8"/>
      <c r="E463" s="8"/>
      <c r="F463" s="32"/>
      <c r="G463" s="32"/>
      <c r="H463" s="32"/>
      <c r="I463" s="1" t="str">
        <f t="shared" si="78"/>
        <v/>
      </c>
      <c r="J463" s="1" t="str">
        <f t="shared" si="79"/>
        <v/>
      </c>
      <c r="K463" s="1" t="str">
        <f t="shared" si="80"/>
        <v/>
      </c>
      <c r="L463" s="8"/>
      <c r="M463" s="1" t="str">
        <f t="shared" si="81"/>
        <v/>
      </c>
      <c r="N463" s="1" t="str">
        <f t="shared" si="82"/>
        <v/>
      </c>
      <c r="O463" s="33" t="str">
        <f t="shared" si="83"/>
        <v/>
      </c>
      <c r="P463" s="34" t="str">
        <f>IF(B463="","",C463&amp;"|"&amp;ROUND(O463,2)&amp;"|"&amp;COUNTIFS($C$4:C463,C463,$O$4:O463,O463))</f>
        <v/>
      </c>
      <c r="Q463" s="34">
        <f t="shared" si="84"/>
        <v>0</v>
      </c>
      <c r="R463" s="34">
        <f t="shared" si="85"/>
        <v>0</v>
      </c>
      <c r="S463" s="34" t="str">
        <f>IF(AND(B463&lt;&gt;"",C463=CompteSel,N(B463)&lt;=DateArret,R463=0),MAX($S$3:S462)+1,"")</f>
        <v/>
      </c>
      <c r="T463" s="34">
        <f t="shared" si="86"/>
        <v>0</v>
      </c>
      <c r="U463" s="34">
        <f t="shared" si="87"/>
        <v>9</v>
      </c>
    </row>
    <row r="464" spans="1:21" x14ac:dyDescent="0.35">
      <c r="A464" s="1" t="str">
        <f t="shared" si="77"/>
        <v/>
      </c>
      <c r="B464" s="31"/>
      <c r="C464" s="8"/>
      <c r="D464" s="8"/>
      <c r="E464" s="8"/>
      <c r="F464" s="32"/>
      <c r="G464" s="32"/>
      <c r="H464" s="32"/>
      <c r="I464" s="1" t="str">
        <f t="shared" si="78"/>
        <v/>
      </c>
      <c r="J464" s="1" t="str">
        <f t="shared" si="79"/>
        <v/>
      </c>
      <c r="K464" s="1" t="str">
        <f t="shared" si="80"/>
        <v/>
      </c>
      <c r="L464" s="8"/>
      <c r="M464" s="1" t="str">
        <f t="shared" si="81"/>
        <v/>
      </c>
      <c r="N464" s="1" t="str">
        <f t="shared" si="82"/>
        <v/>
      </c>
      <c r="O464" s="33" t="str">
        <f t="shared" si="83"/>
        <v/>
      </c>
      <c r="P464" s="34" t="str">
        <f>IF(B464="","",C464&amp;"|"&amp;ROUND(O464,2)&amp;"|"&amp;COUNTIFS($C$4:C464,C464,$O$4:O464,O464))</f>
        <v/>
      </c>
      <c r="Q464" s="34">
        <f t="shared" si="84"/>
        <v>0</v>
      </c>
      <c r="R464" s="34">
        <f t="shared" si="85"/>
        <v>0</v>
      </c>
      <c r="S464" s="34" t="str">
        <f>IF(AND(B464&lt;&gt;"",C464=CompteSel,N(B464)&lt;=DateArret,R464=0),MAX($S$3:S463)+1,"")</f>
        <v/>
      </c>
      <c r="T464" s="34">
        <f t="shared" si="86"/>
        <v>0</v>
      </c>
      <c r="U464" s="34">
        <f t="shared" si="87"/>
        <v>9</v>
      </c>
    </row>
    <row r="465" spans="1:21" x14ac:dyDescent="0.35">
      <c r="A465" s="1" t="str">
        <f t="shared" si="77"/>
        <v/>
      </c>
      <c r="B465" s="31"/>
      <c r="C465" s="8"/>
      <c r="D465" s="8"/>
      <c r="E465" s="8"/>
      <c r="F465" s="32"/>
      <c r="G465" s="32"/>
      <c r="H465" s="32"/>
      <c r="I465" s="1" t="str">
        <f t="shared" si="78"/>
        <v/>
      </c>
      <c r="J465" s="1" t="str">
        <f t="shared" si="79"/>
        <v/>
      </c>
      <c r="K465" s="1" t="str">
        <f t="shared" si="80"/>
        <v/>
      </c>
      <c r="L465" s="8"/>
      <c r="M465" s="1" t="str">
        <f t="shared" si="81"/>
        <v/>
      </c>
      <c r="N465" s="1" t="str">
        <f t="shared" si="82"/>
        <v/>
      </c>
      <c r="O465" s="33" t="str">
        <f t="shared" si="83"/>
        <v/>
      </c>
      <c r="P465" s="34" t="str">
        <f>IF(B465="","",C465&amp;"|"&amp;ROUND(O465,2)&amp;"|"&amp;COUNTIFS($C$4:C465,C465,$O$4:O465,O465))</f>
        <v/>
      </c>
      <c r="Q465" s="34">
        <f t="shared" si="84"/>
        <v>0</v>
      </c>
      <c r="R465" s="34">
        <f t="shared" si="85"/>
        <v>0</v>
      </c>
      <c r="S465" s="34" t="str">
        <f>IF(AND(B465&lt;&gt;"",C465=CompteSel,N(B465)&lt;=DateArret,R465=0),MAX($S$3:S464)+1,"")</f>
        <v/>
      </c>
      <c r="T465" s="34">
        <f t="shared" si="86"/>
        <v>0</v>
      </c>
      <c r="U465" s="34">
        <f t="shared" si="87"/>
        <v>9</v>
      </c>
    </row>
    <row r="466" spans="1:21" x14ac:dyDescent="0.35">
      <c r="A466" s="1" t="str">
        <f t="shared" si="77"/>
        <v/>
      </c>
      <c r="B466" s="31"/>
      <c r="C466" s="8"/>
      <c r="D466" s="8"/>
      <c r="E466" s="8"/>
      <c r="F466" s="32"/>
      <c r="G466" s="32"/>
      <c r="H466" s="32"/>
      <c r="I466" s="1" t="str">
        <f t="shared" si="78"/>
        <v/>
      </c>
      <c r="J466" s="1" t="str">
        <f t="shared" si="79"/>
        <v/>
      </c>
      <c r="K466" s="1" t="str">
        <f t="shared" si="80"/>
        <v/>
      </c>
      <c r="L466" s="8"/>
      <c r="M466" s="1" t="str">
        <f t="shared" si="81"/>
        <v/>
      </c>
      <c r="N466" s="1" t="str">
        <f t="shared" si="82"/>
        <v/>
      </c>
      <c r="O466" s="33" t="str">
        <f t="shared" si="83"/>
        <v/>
      </c>
      <c r="P466" s="34" t="str">
        <f>IF(B466="","",C466&amp;"|"&amp;ROUND(O466,2)&amp;"|"&amp;COUNTIFS($C$4:C466,C466,$O$4:O466,O466))</f>
        <v/>
      </c>
      <c r="Q466" s="34">
        <f t="shared" si="84"/>
        <v>0</v>
      </c>
      <c r="R466" s="34">
        <f t="shared" si="85"/>
        <v>0</v>
      </c>
      <c r="S466" s="34" t="str">
        <f>IF(AND(B466&lt;&gt;"",C466=CompteSel,N(B466)&lt;=DateArret,R466=0),MAX($S$3:S465)+1,"")</f>
        <v/>
      </c>
      <c r="T466" s="34">
        <f t="shared" si="86"/>
        <v>0</v>
      </c>
      <c r="U466" s="34">
        <f t="shared" si="87"/>
        <v>9</v>
      </c>
    </row>
    <row r="467" spans="1:21" x14ac:dyDescent="0.35">
      <c r="A467" s="1" t="str">
        <f t="shared" si="77"/>
        <v/>
      </c>
      <c r="B467" s="31"/>
      <c r="C467" s="8"/>
      <c r="D467" s="8"/>
      <c r="E467" s="8"/>
      <c r="F467" s="32"/>
      <c r="G467" s="32"/>
      <c r="H467" s="32"/>
      <c r="I467" s="1" t="str">
        <f t="shared" si="78"/>
        <v/>
      </c>
      <c r="J467" s="1" t="str">
        <f t="shared" si="79"/>
        <v/>
      </c>
      <c r="K467" s="1" t="str">
        <f t="shared" si="80"/>
        <v/>
      </c>
      <c r="L467" s="8"/>
      <c r="M467" s="1" t="str">
        <f t="shared" si="81"/>
        <v/>
      </c>
      <c r="N467" s="1" t="str">
        <f t="shared" si="82"/>
        <v/>
      </c>
      <c r="O467" s="33" t="str">
        <f t="shared" si="83"/>
        <v/>
      </c>
      <c r="P467" s="34" t="str">
        <f>IF(B467="","",C467&amp;"|"&amp;ROUND(O467,2)&amp;"|"&amp;COUNTIFS($C$4:C467,C467,$O$4:O467,O467))</f>
        <v/>
      </c>
      <c r="Q467" s="34">
        <f t="shared" si="84"/>
        <v>0</v>
      </c>
      <c r="R467" s="34">
        <f t="shared" si="85"/>
        <v>0</v>
      </c>
      <c r="S467" s="34" t="str">
        <f>IF(AND(B467&lt;&gt;"",C467=CompteSel,N(B467)&lt;=DateArret,R467=0),MAX($S$3:S466)+1,"")</f>
        <v/>
      </c>
      <c r="T467" s="34">
        <f t="shared" si="86"/>
        <v>0</v>
      </c>
      <c r="U467" s="34">
        <f t="shared" si="87"/>
        <v>9</v>
      </c>
    </row>
    <row r="468" spans="1:21" x14ac:dyDescent="0.35">
      <c r="A468" s="1" t="str">
        <f t="shared" si="77"/>
        <v/>
      </c>
      <c r="B468" s="31"/>
      <c r="C468" s="8"/>
      <c r="D468" s="8"/>
      <c r="E468" s="8"/>
      <c r="F468" s="32"/>
      <c r="G468" s="32"/>
      <c r="H468" s="32"/>
      <c r="I468" s="1" t="str">
        <f t="shared" si="78"/>
        <v/>
      </c>
      <c r="J468" s="1" t="str">
        <f t="shared" si="79"/>
        <v/>
      </c>
      <c r="K468" s="1" t="str">
        <f t="shared" si="80"/>
        <v/>
      </c>
      <c r="L468" s="8"/>
      <c r="M468" s="1" t="str">
        <f t="shared" si="81"/>
        <v/>
      </c>
      <c r="N468" s="1" t="str">
        <f t="shared" si="82"/>
        <v/>
      </c>
      <c r="O468" s="33" t="str">
        <f t="shared" si="83"/>
        <v/>
      </c>
      <c r="P468" s="34" t="str">
        <f>IF(B468="","",C468&amp;"|"&amp;ROUND(O468,2)&amp;"|"&amp;COUNTIFS($C$4:C468,C468,$O$4:O468,O468))</f>
        <v/>
      </c>
      <c r="Q468" s="34">
        <f t="shared" si="84"/>
        <v>0</v>
      </c>
      <c r="R468" s="34">
        <f t="shared" si="85"/>
        <v>0</v>
      </c>
      <c r="S468" s="34" t="str">
        <f>IF(AND(B468&lt;&gt;"",C468=CompteSel,N(B468)&lt;=DateArret,R468=0),MAX($S$3:S467)+1,"")</f>
        <v/>
      </c>
      <c r="T468" s="34">
        <f t="shared" si="86"/>
        <v>0</v>
      </c>
      <c r="U468" s="34">
        <f t="shared" si="87"/>
        <v>9</v>
      </c>
    </row>
    <row r="469" spans="1:21" x14ac:dyDescent="0.35">
      <c r="A469" s="1" t="str">
        <f t="shared" si="77"/>
        <v/>
      </c>
      <c r="B469" s="31"/>
      <c r="C469" s="8"/>
      <c r="D469" s="8"/>
      <c r="E469" s="8"/>
      <c r="F469" s="32"/>
      <c r="G469" s="32"/>
      <c r="H469" s="32"/>
      <c r="I469" s="1" t="str">
        <f t="shared" si="78"/>
        <v/>
      </c>
      <c r="J469" s="1" t="str">
        <f t="shared" si="79"/>
        <v/>
      </c>
      <c r="K469" s="1" t="str">
        <f t="shared" si="80"/>
        <v/>
      </c>
      <c r="L469" s="8"/>
      <c r="M469" s="1" t="str">
        <f t="shared" si="81"/>
        <v/>
      </c>
      <c r="N469" s="1" t="str">
        <f t="shared" si="82"/>
        <v/>
      </c>
      <c r="O469" s="33" t="str">
        <f t="shared" si="83"/>
        <v/>
      </c>
      <c r="P469" s="34" t="str">
        <f>IF(B469="","",C469&amp;"|"&amp;ROUND(O469,2)&amp;"|"&amp;COUNTIFS($C$4:C469,C469,$O$4:O469,O469))</f>
        <v/>
      </c>
      <c r="Q469" s="34">
        <f t="shared" si="84"/>
        <v>0</v>
      </c>
      <c r="R469" s="34">
        <f t="shared" si="85"/>
        <v>0</v>
      </c>
      <c r="S469" s="34" t="str">
        <f>IF(AND(B469&lt;&gt;"",C469=CompteSel,N(B469)&lt;=DateArret,R469=0),MAX($S$3:S468)+1,"")</f>
        <v/>
      </c>
      <c r="T469" s="34">
        <f t="shared" si="86"/>
        <v>0</v>
      </c>
      <c r="U469" s="34">
        <f t="shared" si="87"/>
        <v>9</v>
      </c>
    </row>
    <row r="470" spans="1:21" x14ac:dyDescent="0.35">
      <c r="A470" s="1" t="str">
        <f t="shared" si="77"/>
        <v/>
      </c>
      <c r="B470" s="31"/>
      <c r="C470" s="8"/>
      <c r="D470" s="8"/>
      <c r="E470" s="8"/>
      <c r="F470" s="32"/>
      <c r="G470" s="32"/>
      <c r="H470" s="32"/>
      <c r="I470" s="1" t="str">
        <f t="shared" si="78"/>
        <v/>
      </c>
      <c r="J470" s="1" t="str">
        <f t="shared" si="79"/>
        <v/>
      </c>
      <c r="K470" s="1" t="str">
        <f t="shared" si="80"/>
        <v/>
      </c>
      <c r="L470" s="8"/>
      <c r="M470" s="1" t="str">
        <f t="shared" si="81"/>
        <v/>
      </c>
      <c r="N470" s="1" t="str">
        <f t="shared" si="82"/>
        <v/>
      </c>
      <c r="O470" s="33" t="str">
        <f t="shared" si="83"/>
        <v/>
      </c>
      <c r="P470" s="34" t="str">
        <f>IF(B470="","",C470&amp;"|"&amp;ROUND(O470,2)&amp;"|"&amp;COUNTIFS($C$4:C470,C470,$O$4:O470,O470))</f>
        <v/>
      </c>
      <c r="Q470" s="34">
        <f t="shared" si="84"/>
        <v>0</v>
      </c>
      <c r="R470" s="34">
        <f t="shared" si="85"/>
        <v>0</v>
      </c>
      <c r="S470" s="34" t="str">
        <f>IF(AND(B470&lt;&gt;"",C470=CompteSel,N(B470)&lt;=DateArret,R470=0),MAX($S$3:S469)+1,"")</f>
        <v/>
      </c>
      <c r="T470" s="34">
        <f t="shared" si="86"/>
        <v>0</v>
      </c>
      <c r="U470" s="34">
        <f t="shared" si="87"/>
        <v>9</v>
      </c>
    </row>
    <row r="471" spans="1:21" x14ac:dyDescent="0.35">
      <c r="A471" s="1" t="str">
        <f t="shared" si="77"/>
        <v/>
      </c>
      <c r="B471" s="31"/>
      <c r="C471" s="8"/>
      <c r="D471" s="8"/>
      <c r="E471" s="8"/>
      <c r="F471" s="32"/>
      <c r="G471" s="32"/>
      <c r="H471" s="32"/>
      <c r="I471" s="1" t="str">
        <f t="shared" si="78"/>
        <v/>
      </c>
      <c r="J471" s="1" t="str">
        <f t="shared" si="79"/>
        <v/>
      </c>
      <c r="K471" s="1" t="str">
        <f t="shared" si="80"/>
        <v/>
      </c>
      <c r="L471" s="8"/>
      <c r="M471" s="1" t="str">
        <f t="shared" si="81"/>
        <v/>
      </c>
      <c r="N471" s="1" t="str">
        <f t="shared" si="82"/>
        <v/>
      </c>
      <c r="O471" s="33" t="str">
        <f t="shared" si="83"/>
        <v/>
      </c>
      <c r="P471" s="34" t="str">
        <f>IF(B471="","",C471&amp;"|"&amp;ROUND(O471,2)&amp;"|"&amp;COUNTIFS($C$4:C471,C471,$O$4:O471,O471))</f>
        <v/>
      </c>
      <c r="Q471" s="34">
        <f t="shared" si="84"/>
        <v>0</v>
      </c>
      <c r="R471" s="34">
        <f t="shared" si="85"/>
        <v>0</v>
      </c>
      <c r="S471" s="34" t="str">
        <f>IF(AND(B471&lt;&gt;"",C471=CompteSel,N(B471)&lt;=DateArret,R471=0),MAX($S$3:S470)+1,"")</f>
        <v/>
      </c>
      <c r="T471" s="34">
        <f t="shared" si="86"/>
        <v>0</v>
      </c>
      <c r="U471" s="34">
        <f t="shared" si="87"/>
        <v>9</v>
      </c>
    </row>
    <row r="472" spans="1:21" x14ac:dyDescent="0.35">
      <c r="A472" s="1" t="str">
        <f t="shared" si="77"/>
        <v/>
      </c>
      <c r="B472" s="31"/>
      <c r="C472" s="8"/>
      <c r="D472" s="8"/>
      <c r="E472" s="8"/>
      <c r="F472" s="32"/>
      <c r="G472" s="32"/>
      <c r="H472" s="32"/>
      <c r="I472" s="1" t="str">
        <f t="shared" si="78"/>
        <v/>
      </c>
      <c r="J472" s="1" t="str">
        <f t="shared" si="79"/>
        <v/>
      </c>
      <c r="K472" s="1" t="str">
        <f t="shared" si="80"/>
        <v/>
      </c>
      <c r="L472" s="8"/>
      <c r="M472" s="1" t="str">
        <f t="shared" si="81"/>
        <v/>
      </c>
      <c r="N472" s="1" t="str">
        <f t="shared" si="82"/>
        <v/>
      </c>
      <c r="O472" s="33" t="str">
        <f t="shared" si="83"/>
        <v/>
      </c>
      <c r="P472" s="34" t="str">
        <f>IF(B472="","",C472&amp;"|"&amp;ROUND(O472,2)&amp;"|"&amp;COUNTIFS($C$4:C472,C472,$O$4:O472,O472))</f>
        <v/>
      </c>
      <c r="Q472" s="34">
        <f t="shared" si="84"/>
        <v>0</v>
      </c>
      <c r="R472" s="34">
        <f t="shared" si="85"/>
        <v>0</v>
      </c>
      <c r="S472" s="34" t="str">
        <f>IF(AND(B472&lt;&gt;"",C472=CompteSel,N(B472)&lt;=DateArret,R472=0),MAX($S$3:S471)+1,"")</f>
        <v/>
      </c>
      <c r="T472" s="34">
        <f t="shared" si="86"/>
        <v>0</v>
      </c>
      <c r="U472" s="34">
        <f t="shared" si="87"/>
        <v>9</v>
      </c>
    </row>
    <row r="473" spans="1:21" x14ac:dyDescent="0.35">
      <c r="A473" s="1" t="str">
        <f t="shared" si="77"/>
        <v/>
      </c>
      <c r="B473" s="31"/>
      <c r="C473" s="8"/>
      <c r="D473" s="8"/>
      <c r="E473" s="8"/>
      <c r="F473" s="32"/>
      <c r="G473" s="32"/>
      <c r="H473" s="32"/>
      <c r="I473" s="1" t="str">
        <f t="shared" si="78"/>
        <v/>
      </c>
      <c r="J473" s="1" t="str">
        <f t="shared" si="79"/>
        <v/>
      </c>
      <c r="K473" s="1" t="str">
        <f t="shared" si="80"/>
        <v/>
      </c>
      <c r="L473" s="8"/>
      <c r="M473" s="1" t="str">
        <f t="shared" si="81"/>
        <v/>
      </c>
      <c r="N473" s="1" t="str">
        <f t="shared" si="82"/>
        <v/>
      </c>
      <c r="O473" s="33" t="str">
        <f t="shared" si="83"/>
        <v/>
      </c>
      <c r="P473" s="34" t="str">
        <f>IF(B473="","",C473&amp;"|"&amp;ROUND(O473,2)&amp;"|"&amp;COUNTIFS($C$4:C473,C473,$O$4:O473,O473))</f>
        <v/>
      </c>
      <c r="Q473" s="34">
        <f t="shared" si="84"/>
        <v>0</v>
      </c>
      <c r="R473" s="34">
        <f t="shared" si="85"/>
        <v>0</v>
      </c>
      <c r="S473" s="34" t="str">
        <f>IF(AND(B473&lt;&gt;"",C473=CompteSel,N(B473)&lt;=DateArret,R473=0),MAX($S$3:S472)+1,"")</f>
        <v/>
      </c>
      <c r="T473" s="34">
        <f t="shared" si="86"/>
        <v>0</v>
      </c>
      <c r="U473" s="34">
        <f t="shared" si="87"/>
        <v>9</v>
      </c>
    </row>
    <row r="474" spans="1:21" x14ac:dyDescent="0.35">
      <c r="A474" s="1" t="str">
        <f t="shared" si="77"/>
        <v/>
      </c>
      <c r="B474" s="31"/>
      <c r="C474" s="8"/>
      <c r="D474" s="8"/>
      <c r="E474" s="8"/>
      <c r="F474" s="32"/>
      <c r="G474" s="32"/>
      <c r="H474" s="32"/>
      <c r="I474" s="1" t="str">
        <f t="shared" si="78"/>
        <v/>
      </c>
      <c r="J474" s="1" t="str">
        <f t="shared" si="79"/>
        <v/>
      </c>
      <c r="K474" s="1" t="str">
        <f t="shared" si="80"/>
        <v/>
      </c>
      <c r="L474" s="8"/>
      <c r="M474" s="1" t="str">
        <f t="shared" si="81"/>
        <v/>
      </c>
      <c r="N474" s="1" t="str">
        <f t="shared" si="82"/>
        <v/>
      </c>
      <c r="O474" s="33" t="str">
        <f t="shared" si="83"/>
        <v/>
      </c>
      <c r="P474" s="34" t="str">
        <f>IF(B474="","",C474&amp;"|"&amp;ROUND(O474,2)&amp;"|"&amp;COUNTIFS($C$4:C474,C474,$O$4:O474,O474))</f>
        <v/>
      </c>
      <c r="Q474" s="34">
        <f t="shared" si="84"/>
        <v>0</v>
      </c>
      <c r="R474" s="34">
        <f t="shared" si="85"/>
        <v>0</v>
      </c>
      <c r="S474" s="34" t="str">
        <f>IF(AND(B474&lt;&gt;"",C474=CompteSel,N(B474)&lt;=DateArret,R474=0),MAX($S$3:S473)+1,"")</f>
        <v/>
      </c>
      <c r="T474" s="34">
        <f t="shared" si="86"/>
        <v>0</v>
      </c>
      <c r="U474" s="34">
        <f t="shared" si="87"/>
        <v>9</v>
      </c>
    </row>
    <row r="475" spans="1:21" x14ac:dyDescent="0.35">
      <c r="A475" s="1" t="str">
        <f t="shared" si="77"/>
        <v/>
      </c>
      <c r="B475" s="31"/>
      <c r="C475" s="8"/>
      <c r="D475" s="8"/>
      <c r="E475" s="8"/>
      <c r="F475" s="32"/>
      <c r="G475" s="32"/>
      <c r="H475" s="32"/>
      <c r="I475" s="1" t="str">
        <f t="shared" si="78"/>
        <v/>
      </c>
      <c r="J475" s="1" t="str">
        <f t="shared" si="79"/>
        <v/>
      </c>
      <c r="K475" s="1" t="str">
        <f t="shared" si="80"/>
        <v/>
      </c>
      <c r="L475" s="8"/>
      <c r="M475" s="1" t="str">
        <f t="shared" si="81"/>
        <v/>
      </c>
      <c r="N475" s="1" t="str">
        <f t="shared" si="82"/>
        <v/>
      </c>
      <c r="O475" s="33" t="str">
        <f t="shared" si="83"/>
        <v/>
      </c>
      <c r="P475" s="34" t="str">
        <f>IF(B475="","",C475&amp;"|"&amp;ROUND(O475,2)&amp;"|"&amp;COUNTIFS($C$4:C475,C475,$O$4:O475,O475))</f>
        <v/>
      </c>
      <c r="Q475" s="34">
        <f t="shared" si="84"/>
        <v>0</v>
      </c>
      <c r="R475" s="34">
        <f t="shared" si="85"/>
        <v>0</v>
      </c>
      <c r="S475" s="34" t="str">
        <f>IF(AND(B475&lt;&gt;"",C475=CompteSel,N(B475)&lt;=DateArret,R475=0),MAX($S$3:S474)+1,"")</f>
        <v/>
      </c>
      <c r="T475" s="34">
        <f t="shared" si="86"/>
        <v>0</v>
      </c>
      <c r="U475" s="34">
        <f t="shared" si="87"/>
        <v>9</v>
      </c>
    </row>
    <row r="476" spans="1:21" x14ac:dyDescent="0.35">
      <c r="A476" s="1" t="str">
        <f t="shared" si="77"/>
        <v/>
      </c>
      <c r="B476" s="31"/>
      <c r="C476" s="8"/>
      <c r="D476" s="8"/>
      <c r="E476" s="8"/>
      <c r="F476" s="32"/>
      <c r="G476" s="32"/>
      <c r="H476" s="32"/>
      <c r="I476" s="1" t="str">
        <f t="shared" si="78"/>
        <v/>
      </c>
      <c r="J476" s="1" t="str">
        <f t="shared" si="79"/>
        <v/>
      </c>
      <c r="K476" s="1" t="str">
        <f t="shared" si="80"/>
        <v/>
      </c>
      <c r="L476" s="8"/>
      <c r="M476" s="1" t="str">
        <f t="shared" si="81"/>
        <v/>
      </c>
      <c r="N476" s="1" t="str">
        <f t="shared" si="82"/>
        <v/>
      </c>
      <c r="O476" s="33" t="str">
        <f t="shared" si="83"/>
        <v/>
      </c>
      <c r="P476" s="34" t="str">
        <f>IF(B476="","",C476&amp;"|"&amp;ROUND(O476,2)&amp;"|"&amp;COUNTIFS($C$4:C476,C476,$O$4:O476,O476))</f>
        <v/>
      </c>
      <c r="Q476" s="34">
        <f t="shared" si="84"/>
        <v>0</v>
      </c>
      <c r="R476" s="34">
        <f t="shared" si="85"/>
        <v>0</v>
      </c>
      <c r="S476" s="34" t="str">
        <f>IF(AND(B476&lt;&gt;"",C476=CompteSel,N(B476)&lt;=DateArret,R476=0),MAX($S$3:S475)+1,"")</f>
        <v/>
      </c>
      <c r="T476" s="34">
        <f t="shared" si="86"/>
        <v>0</v>
      </c>
      <c r="U476" s="34">
        <f t="shared" si="87"/>
        <v>9</v>
      </c>
    </row>
    <row r="477" spans="1:21" x14ac:dyDescent="0.35">
      <c r="A477" s="1" t="str">
        <f t="shared" si="77"/>
        <v/>
      </c>
      <c r="B477" s="31"/>
      <c r="C477" s="8"/>
      <c r="D477" s="8"/>
      <c r="E477" s="8"/>
      <c r="F477" s="32"/>
      <c r="G477" s="32"/>
      <c r="H477" s="32"/>
      <c r="I477" s="1" t="str">
        <f t="shared" si="78"/>
        <v/>
      </c>
      <c r="J477" s="1" t="str">
        <f t="shared" si="79"/>
        <v/>
      </c>
      <c r="K477" s="1" t="str">
        <f t="shared" si="80"/>
        <v/>
      </c>
      <c r="L477" s="8"/>
      <c r="M477" s="1" t="str">
        <f t="shared" si="81"/>
        <v/>
      </c>
      <c r="N477" s="1" t="str">
        <f t="shared" si="82"/>
        <v/>
      </c>
      <c r="O477" s="33" t="str">
        <f t="shared" si="83"/>
        <v/>
      </c>
      <c r="P477" s="34" t="str">
        <f>IF(B477="","",C477&amp;"|"&amp;ROUND(O477,2)&amp;"|"&amp;COUNTIFS($C$4:C477,C477,$O$4:O477,O477))</f>
        <v/>
      </c>
      <c r="Q477" s="34">
        <f t="shared" si="84"/>
        <v>0</v>
      </c>
      <c r="R477" s="34">
        <f t="shared" si="85"/>
        <v>0</v>
      </c>
      <c r="S477" s="34" t="str">
        <f>IF(AND(B477&lt;&gt;"",C477=CompteSel,N(B477)&lt;=DateArret,R477=0),MAX($S$3:S476)+1,"")</f>
        <v/>
      </c>
      <c r="T477" s="34">
        <f t="shared" si="86"/>
        <v>0</v>
      </c>
      <c r="U477" s="34">
        <f t="shared" si="87"/>
        <v>9</v>
      </c>
    </row>
    <row r="478" spans="1:21" x14ac:dyDescent="0.35">
      <c r="A478" s="1" t="str">
        <f t="shared" si="77"/>
        <v/>
      </c>
      <c r="B478" s="31"/>
      <c r="C478" s="8"/>
      <c r="D478" s="8"/>
      <c r="E478" s="8"/>
      <c r="F478" s="32"/>
      <c r="G478" s="32"/>
      <c r="H478" s="32"/>
      <c r="I478" s="1" t="str">
        <f t="shared" si="78"/>
        <v/>
      </c>
      <c r="J478" s="1" t="str">
        <f t="shared" si="79"/>
        <v/>
      </c>
      <c r="K478" s="1" t="str">
        <f t="shared" si="80"/>
        <v/>
      </c>
      <c r="L478" s="8"/>
      <c r="M478" s="1" t="str">
        <f t="shared" si="81"/>
        <v/>
      </c>
      <c r="N478" s="1" t="str">
        <f t="shared" si="82"/>
        <v/>
      </c>
      <c r="O478" s="33" t="str">
        <f t="shared" si="83"/>
        <v/>
      </c>
      <c r="P478" s="34" t="str">
        <f>IF(B478="","",C478&amp;"|"&amp;ROUND(O478,2)&amp;"|"&amp;COUNTIFS($C$4:C478,C478,$O$4:O478,O478))</f>
        <v/>
      </c>
      <c r="Q478" s="34">
        <f t="shared" si="84"/>
        <v>0</v>
      </c>
      <c r="R478" s="34">
        <f t="shared" si="85"/>
        <v>0</v>
      </c>
      <c r="S478" s="34" t="str">
        <f>IF(AND(B478&lt;&gt;"",C478=CompteSel,N(B478)&lt;=DateArret,R478=0),MAX($S$3:S477)+1,"")</f>
        <v/>
      </c>
      <c r="T478" s="34">
        <f t="shared" si="86"/>
        <v>0</v>
      </c>
      <c r="U478" s="34">
        <f t="shared" si="87"/>
        <v>9</v>
      </c>
    </row>
    <row r="479" spans="1:21" x14ac:dyDescent="0.35">
      <c r="A479" s="1" t="str">
        <f t="shared" si="77"/>
        <v/>
      </c>
      <c r="B479" s="31"/>
      <c r="C479" s="8"/>
      <c r="D479" s="8"/>
      <c r="E479" s="8"/>
      <c r="F479" s="32"/>
      <c r="G479" s="32"/>
      <c r="H479" s="32"/>
      <c r="I479" s="1" t="str">
        <f t="shared" si="78"/>
        <v/>
      </c>
      <c r="J479" s="1" t="str">
        <f t="shared" si="79"/>
        <v/>
      </c>
      <c r="K479" s="1" t="str">
        <f t="shared" si="80"/>
        <v/>
      </c>
      <c r="L479" s="8"/>
      <c r="M479" s="1" t="str">
        <f t="shared" si="81"/>
        <v/>
      </c>
      <c r="N479" s="1" t="str">
        <f t="shared" si="82"/>
        <v/>
      </c>
      <c r="O479" s="33" t="str">
        <f t="shared" si="83"/>
        <v/>
      </c>
      <c r="P479" s="34" t="str">
        <f>IF(B479="","",C479&amp;"|"&amp;ROUND(O479,2)&amp;"|"&amp;COUNTIFS($C$4:C479,C479,$O$4:O479,O479))</f>
        <v/>
      </c>
      <c r="Q479" s="34">
        <f t="shared" si="84"/>
        <v>0</v>
      </c>
      <c r="R479" s="34">
        <f t="shared" si="85"/>
        <v>0</v>
      </c>
      <c r="S479" s="34" t="str">
        <f>IF(AND(B479&lt;&gt;"",C479=CompteSel,N(B479)&lt;=DateArret,R479=0),MAX($S$3:S478)+1,"")</f>
        <v/>
      </c>
      <c r="T479" s="34">
        <f t="shared" si="86"/>
        <v>0</v>
      </c>
      <c r="U479" s="34">
        <f t="shared" si="87"/>
        <v>9</v>
      </c>
    </row>
    <row r="480" spans="1:21" x14ac:dyDescent="0.35">
      <c r="A480" s="1" t="str">
        <f t="shared" si="77"/>
        <v/>
      </c>
      <c r="B480" s="31"/>
      <c r="C480" s="8"/>
      <c r="D480" s="8"/>
      <c r="E480" s="8"/>
      <c r="F480" s="32"/>
      <c r="G480" s="32"/>
      <c r="H480" s="32"/>
      <c r="I480" s="1" t="str">
        <f t="shared" si="78"/>
        <v/>
      </c>
      <c r="J480" s="1" t="str">
        <f t="shared" si="79"/>
        <v/>
      </c>
      <c r="K480" s="1" t="str">
        <f t="shared" si="80"/>
        <v/>
      </c>
      <c r="L480" s="8"/>
      <c r="M480" s="1" t="str">
        <f t="shared" si="81"/>
        <v/>
      </c>
      <c r="N480" s="1" t="str">
        <f t="shared" si="82"/>
        <v/>
      </c>
      <c r="O480" s="33" t="str">
        <f t="shared" si="83"/>
        <v/>
      </c>
      <c r="P480" s="34" t="str">
        <f>IF(B480="","",C480&amp;"|"&amp;ROUND(O480,2)&amp;"|"&amp;COUNTIFS($C$4:C480,C480,$O$4:O480,O480))</f>
        <v/>
      </c>
      <c r="Q480" s="34">
        <f t="shared" si="84"/>
        <v>0</v>
      </c>
      <c r="R480" s="34">
        <f t="shared" si="85"/>
        <v>0</v>
      </c>
      <c r="S480" s="34" t="str">
        <f>IF(AND(B480&lt;&gt;"",C480=CompteSel,N(B480)&lt;=DateArret,R480=0),MAX($S$3:S479)+1,"")</f>
        <v/>
      </c>
      <c r="T480" s="34">
        <f t="shared" si="86"/>
        <v>0</v>
      </c>
      <c r="U480" s="34">
        <f t="shared" si="87"/>
        <v>9</v>
      </c>
    </row>
    <row r="481" spans="1:21" x14ac:dyDescent="0.35">
      <c r="A481" s="1" t="str">
        <f t="shared" si="77"/>
        <v/>
      </c>
      <c r="B481" s="31"/>
      <c r="C481" s="8"/>
      <c r="D481" s="8"/>
      <c r="E481" s="8"/>
      <c r="F481" s="32"/>
      <c r="G481" s="32"/>
      <c r="H481" s="32"/>
      <c r="I481" s="1" t="str">
        <f t="shared" si="78"/>
        <v/>
      </c>
      <c r="J481" s="1" t="str">
        <f t="shared" si="79"/>
        <v/>
      </c>
      <c r="K481" s="1" t="str">
        <f t="shared" si="80"/>
        <v/>
      </c>
      <c r="L481" s="8"/>
      <c r="M481" s="1" t="str">
        <f t="shared" si="81"/>
        <v/>
      </c>
      <c r="N481" s="1" t="str">
        <f t="shared" si="82"/>
        <v/>
      </c>
      <c r="O481" s="33" t="str">
        <f t="shared" si="83"/>
        <v/>
      </c>
      <c r="P481" s="34" t="str">
        <f>IF(B481="","",C481&amp;"|"&amp;ROUND(O481,2)&amp;"|"&amp;COUNTIFS($C$4:C481,C481,$O$4:O481,O481))</f>
        <v/>
      </c>
      <c r="Q481" s="34">
        <f t="shared" si="84"/>
        <v>0</v>
      </c>
      <c r="R481" s="34">
        <f t="shared" si="85"/>
        <v>0</v>
      </c>
      <c r="S481" s="34" t="str">
        <f>IF(AND(B481&lt;&gt;"",C481=CompteSel,N(B481)&lt;=DateArret,R481=0),MAX($S$3:S480)+1,"")</f>
        <v/>
      </c>
      <c r="T481" s="34">
        <f t="shared" si="86"/>
        <v>0</v>
      </c>
      <c r="U481" s="34">
        <f t="shared" si="87"/>
        <v>9</v>
      </c>
    </row>
    <row r="482" spans="1:21" x14ac:dyDescent="0.35">
      <c r="A482" s="1" t="str">
        <f t="shared" si="77"/>
        <v/>
      </c>
      <c r="B482" s="31"/>
      <c r="C482" s="8"/>
      <c r="D482" s="8"/>
      <c r="E482" s="8"/>
      <c r="F482" s="32"/>
      <c r="G482" s="32"/>
      <c r="H482" s="32"/>
      <c r="I482" s="1" t="str">
        <f t="shared" si="78"/>
        <v/>
      </c>
      <c r="J482" s="1" t="str">
        <f t="shared" si="79"/>
        <v/>
      </c>
      <c r="K482" s="1" t="str">
        <f t="shared" si="80"/>
        <v/>
      </c>
      <c r="L482" s="8"/>
      <c r="M482" s="1" t="str">
        <f t="shared" si="81"/>
        <v/>
      </c>
      <c r="N482" s="1" t="str">
        <f t="shared" si="82"/>
        <v/>
      </c>
      <c r="O482" s="33" t="str">
        <f t="shared" si="83"/>
        <v/>
      </c>
      <c r="P482" s="34" t="str">
        <f>IF(B482="","",C482&amp;"|"&amp;ROUND(O482,2)&amp;"|"&amp;COUNTIFS($C$4:C482,C482,$O$4:O482,O482))</f>
        <v/>
      </c>
      <c r="Q482" s="34">
        <f t="shared" si="84"/>
        <v>0</v>
      </c>
      <c r="R482" s="34">
        <f t="shared" si="85"/>
        <v>0</v>
      </c>
      <c r="S482" s="34" t="str">
        <f>IF(AND(B482&lt;&gt;"",C482=CompteSel,N(B482)&lt;=DateArret,R482=0),MAX($S$3:S481)+1,"")</f>
        <v/>
      </c>
      <c r="T482" s="34">
        <f t="shared" si="86"/>
        <v>0</v>
      </c>
      <c r="U482" s="34">
        <f t="shared" si="87"/>
        <v>9</v>
      </c>
    </row>
    <row r="483" spans="1:21" x14ac:dyDescent="0.35">
      <c r="A483" s="1" t="str">
        <f t="shared" si="77"/>
        <v/>
      </c>
      <c r="B483" s="31"/>
      <c r="C483" s="8"/>
      <c r="D483" s="8"/>
      <c r="E483" s="8"/>
      <c r="F483" s="32"/>
      <c r="G483" s="32"/>
      <c r="H483" s="32"/>
      <c r="I483" s="1" t="str">
        <f t="shared" si="78"/>
        <v/>
      </c>
      <c r="J483" s="1" t="str">
        <f t="shared" si="79"/>
        <v/>
      </c>
      <c r="K483" s="1" t="str">
        <f t="shared" si="80"/>
        <v/>
      </c>
      <c r="L483" s="8"/>
      <c r="M483" s="1" t="str">
        <f t="shared" si="81"/>
        <v/>
      </c>
      <c r="N483" s="1" t="str">
        <f t="shared" si="82"/>
        <v/>
      </c>
      <c r="O483" s="33" t="str">
        <f t="shared" si="83"/>
        <v/>
      </c>
      <c r="P483" s="34" t="str">
        <f>IF(B483="","",C483&amp;"|"&amp;ROUND(O483,2)&amp;"|"&amp;COUNTIFS($C$4:C483,C483,$O$4:O483,O483))</f>
        <v/>
      </c>
      <c r="Q483" s="34">
        <f t="shared" si="84"/>
        <v>0</v>
      </c>
      <c r="R483" s="34">
        <f t="shared" si="85"/>
        <v>0</v>
      </c>
      <c r="S483" s="34" t="str">
        <f>IF(AND(B483&lt;&gt;"",C483=CompteSel,N(B483)&lt;=DateArret,R483=0),MAX($S$3:S482)+1,"")</f>
        <v/>
      </c>
      <c r="T483" s="34">
        <f t="shared" si="86"/>
        <v>0</v>
      </c>
      <c r="U483" s="34">
        <f t="shared" si="87"/>
        <v>9</v>
      </c>
    </row>
    <row r="484" spans="1:21" x14ac:dyDescent="0.35">
      <c r="A484" s="1" t="str">
        <f t="shared" si="77"/>
        <v/>
      </c>
      <c r="B484" s="31"/>
      <c r="C484" s="8"/>
      <c r="D484" s="8"/>
      <c r="E484" s="8"/>
      <c r="F484" s="32"/>
      <c r="G484" s="32"/>
      <c r="H484" s="32"/>
      <c r="I484" s="1" t="str">
        <f t="shared" si="78"/>
        <v/>
      </c>
      <c r="J484" s="1" t="str">
        <f t="shared" si="79"/>
        <v/>
      </c>
      <c r="K484" s="1" t="str">
        <f t="shared" si="80"/>
        <v/>
      </c>
      <c r="L484" s="8"/>
      <c r="M484" s="1" t="str">
        <f t="shared" si="81"/>
        <v/>
      </c>
      <c r="N484" s="1" t="str">
        <f t="shared" si="82"/>
        <v/>
      </c>
      <c r="O484" s="33" t="str">
        <f t="shared" si="83"/>
        <v/>
      </c>
      <c r="P484" s="34" t="str">
        <f>IF(B484="","",C484&amp;"|"&amp;ROUND(O484,2)&amp;"|"&amp;COUNTIFS($C$4:C484,C484,$O$4:O484,O484))</f>
        <v/>
      </c>
      <c r="Q484" s="34">
        <f t="shared" si="84"/>
        <v>0</v>
      </c>
      <c r="R484" s="34">
        <f t="shared" si="85"/>
        <v>0</v>
      </c>
      <c r="S484" s="34" t="str">
        <f>IF(AND(B484&lt;&gt;"",C484=CompteSel,N(B484)&lt;=DateArret,R484=0),MAX($S$3:S483)+1,"")</f>
        <v/>
      </c>
      <c r="T484" s="34">
        <f t="shared" si="86"/>
        <v>0</v>
      </c>
      <c r="U484" s="34">
        <f t="shared" si="87"/>
        <v>9</v>
      </c>
    </row>
    <row r="485" spans="1:21" x14ac:dyDescent="0.35">
      <c r="A485" s="1" t="str">
        <f t="shared" si="77"/>
        <v/>
      </c>
      <c r="B485" s="31"/>
      <c r="C485" s="8"/>
      <c r="D485" s="8"/>
      <c r="E485" s="8"/>
      <c r="F485" s="32"/>
      <c r="G485" s="32"/>
      <c r="H485" s="32"/>
      <c r="I485" s="1" t="str">
        <f t="shared" si="78"/>
        <v/>
      </c>
      <c r="J485" s="1" t="str">
        <f t="shared" si="79"/>
        <v/>
      </c>
      <c r="K485" s="1" t="str">
        <f t="shared" si="80"/>
        <v/>
      </c>
      <c r="L485" s="8"/>
      <c r="M485" s="1" t="str">
        <f t="shared" si="81"/>
        <v/>
      </c>
      <c r="N485" s="1" t="str">
        <f t="shared" si="82"/>
        <v/>
      </c>
      <c r="O485" s="33" t="str">
        <f t="shared" si="83"/>
        <v/>
      </c>
      <c r="P485" s="34" t="str">
        <f>IF(B485="","",C485&amp;"|"&amp;ROUND(O485,2)&amp;"|"&amp;COUNTIFS($C$4:C485,C485,$O$4:O485,O485))</f>
        <v/>
      </c>
      <c r="Q485" s="34">
        <f t="shared" si="84"/>
        <v>0</v>
      </c>
      <c r="R485" s="34">
        <f t="shared" si="85"/>
        <v>0</v>
      </c>
      <c r="S485" s="34" t="str">
        <f>IF(AND(B485&lt;&gt;"",C485=CompteSel,N(B485)&lt;=DateArret,R485=0),MAX($S$3:S484)+1,"")</f>
        <v/>
      </c>
      <c r="T485" s="34">
        <f t="shared" si="86"/>
        <v>0</v>
      </c>
      <c r="U485" s="34">
        <f t="shared" si="87"/>
        <v>9</v>
      </c>
    </row>
    <row r="486" spans="1:21" x14ac:dyDescent="0.35">
      <c r="A486" s="1" t="str">
        <f t="shared" si="77"/>
        <v/>
      </c>
      <c r="B486" s="31"/>
      <c r="C486" s="8"/>
      <c r="D486" s="8"/>
      <c r="E486" s="8"/>
      <c r="F486" s="32"/>
      <c r="G486" s="32"/>
      <c r="H486" s="32"/>
      <c r="I486" s="1" t="str">
        <f t="shared" si="78"/>
        <v/>
      </c>
      <c r="J486" s="1" t="str">
        <f t="shared" si="79"/>
        <v/>
      </c>
      <c r="K486" s="1" t="str">
        <f t="shared" si="80"/>
        <v/>
      </c>
      <c r="L486" s="8"/>
      <c r="M486" s="1" t="str">
        <f t="shared" si="81"/>
        <v/>
      </c>
      <c r="N486" s="1" t="str">
        <f t="shared" si="82"/>
        <v/>
      </c>
      <c r="O486" s="33" t="str">
        <f t="shared" si="83"/>
        <v/>
      </c>
      <c r="P486" s="34" t="str">
        <f>IF(B486="","",C486&amp;"|"&amp;ROUND(O486,2)&amp;"|"&amp;COUNTIFS($C$4:C486,C486,$O$4:O486,O486))</f>
        <v/>
      </c>
      <c r="Q486" s="34">
        <f t="shared" si="84"/>
        <v>0</v>
      </c>
      <c r="R486" s="34">
        <f t="shared" si="85"/>
        <v>0</v>
      </c>
      <c r="S486" s="34" t="str">
        <f>IF(AND(B486&lt;&gt;"",C486=CompteSel,N(B486)&lt;=DateArret,R486=0),MAX($S$3:S485)+1,"")</f>
        <v/>
      </c>
      <c r="T486" s="34">
        <f t="shared" si="86"/>
        <v>0</v>
      </c>
      <c r="U486" s="34">
        <f t="shared" si="87"/>
        <v>9</v>
      </c>
    </row>
    <row r="487" spans="1:21" x14ac:dyDescent="0.35">
      <c r="A487" s="1" t="str">
        <f t="shared" si="77"/>
        <v/>
      </c>
      <c r="B487" s="31"/>
      <c r="C487" s="8"/>
      <c r="D487" s="8"/>
      <c r="E487" s="8"/>
      <c r="F487" s="32"/>
      <c r="G487" s="32"/>
      <c r="H487" s="32"/>
      <c r="I487" s="1" t="str">
        <f t="shared" si="78"/>
        <v/>
      </c>
      <c r="J487" s="1" t="str">
        <f t="shared" si="79"/>
        <v/>
      </c>
      <c r="K487" s="1" t="str">
        <f t="shared" si="80"/>
        <v/>
      </c>
      <c r="L487" s="8"/>
      <c r="M487" s="1" t="str">
        <f t="shared" si="81"/>
        <v/>
      </c>
      <c r="N487" s="1" t="str">
        <f t="shared" si="82"/>
        <v/>
      </c>
      <c r="O487" s="33" t="str">
        <f t="shared" si="83"/>
        <v/>
      </c>
      <c r="P487" s="34" t="str">
        <f>IF(B487="","",C487&amp;"|"&amp;ROUND(O487,2)&amp;"|"&amp;COUNTIFS($C$4:C487,C487,$O$4:O487,O487))</f>
        <v/>
      </c>
      <c r="Q487" s="34">
        <f t="shared" si="84"/>
        <v>0</v>
      </c>
      <c r="R487" s="34">
        <f t="shared" si="85"/>
        <v>0</v>
      </c>
      <c r="S487" s="34" t="str">
        <f>IF(AND(B487&lt;&gt;"",C487=CompteSel,N(B487)&lt;=DateArret,R487=0),MAX($S$3:S486)+1,"")</f>
        <v/>
      </c>
      <c r="T487" s="34">
        <f t="shared" si="86"/>
        <v>0</v>
      </c>
      <c r="U487" s="34">
        <f t="shared" si="87"/>
        <v>9</v>
      </c>
    </row>
    <row r="488" spans="1:21" x14ac:dyDescent="0.35">
      <c r="A488" s="1" t="str">
        <f t="shared" si="77"/>
        <v/>
      </c>
      <c r="B488" s="31"/>
      <c r="C488" s="8"/>
      <c r="D488" s="8"/>
      <c r="E488" s="8"/>
      <c r="F488" s="32"/>
      <c r="G488" s="32"/>
      <c r="H488" s="32"/>
      <c r="I488" s="1" t="str">
        <f t="shared" si="78"/>
        <v/>
      </c>
      <c r="J488" s="1" t="str">
        <f t="shared" si="79"/>
        <v/>
      </c>
      <c r="K488" s="1" t="str">
        <f t="shared" si="80"/>
        <v/>
      </c>
      <c r="L488" s="8"/>
      <c r="M488" s="1" t="str">
        <f t="shared" si="81"/>
        <v/>
      </c>
      <c r="N488" s="1" t="str">
        <f t="shared" si="82"/>
        <v/>
      </c>
      <c r="O488" s="33" t="str">
        <f t="shared" si="83"/>
        <v/>
      </c>
      <c r="P488" s="34" t="str">
        <f>IF(B488="","",C488&amp;"|"&amp;ROUND(O488,2)&amp;"|"&amp;COUNTIFS($C$4:C488,C488,$O$4:O488,O488))</f>
        <v/>
      </c>
      <c r="Q488" s="34">
        <f t="shared" si="84"/>
        <v>0</v>
      </c>
      <c r="R488" s="34">
        <f t="shared" si="85"/>
        <v>0</v>
      </c>
      <c r="S488" s="34" t="str">
        <f>IF(AND(B488&lt;&gt;"",C488=CompteSel,N(B488)&lt;=DateArret,R488=0),MAX($S$3:S487)+1,"")</f>
        <v/>
      </c>
      <c r="T488" s="34">
        <f t="shared" si="86"/>
        <v>0</v>
      </c>
      <c r="U488" s="34">
        <f t="shared" si="87"/>
        <v>9</v>
      </c>
    </row>
    <row r="489" spans="1:21" x14ac:dyDescent="0.35">
      <c r="A489" s="1" t="str">
        <f t="shared" si="77"/>
        <v/>
      </c>
      <c r="B489" s="31"/>
      <c r="C489" s="8"/>
      <c r="D489" s="8"/>
      <c r="E489" s="8"/>
      <c r="F489" s="32"/>
      <c r="G489" s="32"/>
      <c r="H489" s="32"/>
      <c r="I489" s="1" t="str">
        <f t="shared" si="78"/>
        <v/>
      </c>
      <c r="J489" s="1" t="str">
        <f t="shared" si="79"/>
        <v/>
      </c>
      <c r="K489" s="1" t="str">
        <f t="shared" si="80"/>
        <v/>
      </c>
      <c r="L489" s="8"/>
      <c r="M489" s="1" t="str">
        <f t="shared" si="81"/>
        <v/>
      </c>
      <c r="N489" s="1" t="str">
        <f t="shared" si="82"/>
        <v/>
      </c>
      <c r="O489" s="33" t="str">
        <f t="shared" si="83"/>
        <v/>
      </c>
      <c r="P489" s="34" t="str">
        <f>IF(B489="","",C489&amp;"|"&amp;ROUND(O489,2)&amp;"|"&amp;COUNTIFS($C$4:C489,C489,$O$4:O489,O489))</f>
        <v/>
      </c>
      <c r="Q489" s="34">
        <f t="shared" si="84"/>
        <v>0</v>
      </c>
      <c r="R489" s="34">
        <f t="shared" si="85"/>
        <v>0</v>
      </c>
      <c r="S489" s="34" t="str">
        <f>IF(AND(B489&lt;&gt;"",C489=CompteSel,N(B489)&lt;=DateArret,R489=0),MAX($S$3:S488)+1,"")</f>
        <v/>
      </c>
      <c r="T489" s="34">
        <f t="shared" si="86"/>
        <v>0</v>
      </c>
      <c r="U489" s="34">
        <f t="shared" si="87"/>
        <v>9</v>
      </c>
    </row>
    <row r="490" spans="1:21" x14ac:dyDescent="0.35">
      <c r="A490" s="1" t="str">
        <f t="shared" si="77"/>
        <v/>
      </c>
      <c r="B490" s="31"/>
      <c r="C490" s="8"/>
      <c r="D490" s="8"/>
      <c r="E490" s="8"/>
      <c r="F490" s="32"/>
      <c r="G490" s="32"/>
      <c r="H490" s="32"/>
      <c r="I490" s="1" t="str">
        <f t="shared" si="78"/>
        <v/>
      </c>
      <c r="J490" s="1" t="str">
        <f t="shared" si="79"/>
        <v/>
      </c>
      <c r="K490" s="1" t="str">
        <f t="shared" si="80"/>
        <v/>
      </c>
      <c r="L490" s="8"/>
      <c r="M490" s="1" t="str">
        <f t="shared" si="81"/>
        <v/>
      </c>
      <c r="N490" s="1" t="str">
        <f t="shared" si="82"/>
        <v/>
      </c>
      <c r="O490" s="33" t="str">
        <f t="shared" si="83"/>
        <v/>
      </c>
      <c r="P490" s="34" t="str">
        <f>IF(B490="","",C490&amp;"|"&amp;ROUND(O490,2)&amp;"|"&amp;COUNTIFS($C$4:C490,C490,$O$4:O490,O490))</f>
        <v/>
      </c>
      <c r="Q490" s="34">
        <f t="shared" si="84"/>
        <v>0</v>
      </c>
      <c r="R490" s="34">
        <f t="shared" si="85"/>
        <v>0</v>
      </c>
      <c r="S490" s="34" t="str">
        <f>IF(AND(B490&lt;&gt;"",C490=CompteSel,N(B490)&lt;=DateArret,R490=0),MAX($S$3:S489)+1,"")</f>
        <v/>
      </c>
      <c r="T490" s="34">
        <f t="shared" si="86"/>
        <v>0</v>
      </c>
      <c r="U490" s="34">
        <f t="shared" si="87"/>
        <v>9</v>
      </c>
    </row>
    <row r="491" spans="1:21" x14ac:dyDescent="0.35">
      <c r="A491" s="1" t="str">
        <f t="shared" si="77"/>
        <v/>
      </c>
      <c r="B491" s="31"/>
      <c r="C491" s="8"/>
      <c r="D491" s="8"/>
      <c r="E491" s="8"/>
      <c r="F491" s="32"/>
      <c r="G491" s="32"/>
      <c r="H491" s="32"/>
      <c r="I491" s="1" t="str">
        <f t="shared" si="78"/>
        <v/>
      </c>
      <c r="J491" s="1" t="str">
        <f t="shared" si="79"/>
        <v/>
      </c>
      <c r="K491" s="1" t="str">
        <f t="shared" si="80"/>
        <v/>
      </c>
      <c r="L491" s="8"/>
      <c r="M491" s="1" t="str">
        <f t="shared" si="81"/>
        <v/>
      </c>
      <c r="N491" s="1" t="str">
        <f t="shared" si="82"/>
        <v/>
      </c>
      <c r="O491" s="33" t="str">
        <f t="shared" si="83"/>
        <v/>
      </c>
      <c r="P491" s="34" t="str">
        <f>IF(B491="","",C491&amp;"|"&amp;ROUND(O491,2)&amp;"|"&amp;COUNTIFS($C$4:C491,C491,$O$4:O491,O491))</f>
        <v/>
      </c>
      <c r="Q491" s="34">
        <f t="shared" si="84"/>
        <v>0</v>
      </c>
      <c r="R491" s="34">
        <f t="shared" si="85"/>
        <v>0</v>
      </c>
      <c r="S491" s="34" t="str">
        <f>IF(AND(B491&lt;&gt;"",C491=CompteSel,N(B491)&lt;=DateArret,R491=0),MAX($S$3:S490)+1,"")</f>
        <v/>
      </c>
      <c r="T491" s="34">
        <f t="shared" si="86"/>
        <v>0</v>
      </c>
      <c r="U491" s="34">
        <f t="shared" si="87"/>
        <v>9</v>
      </c>
    </row>
    <row r="492" spans="1:21" x14ac:dyDescent="0.35">
      <c r="A492" s="1" t="str">
        <f t="shared" si="77"/>
        <v/>
      </c>
      <c r="B492" s="31"/>
      <c r="C492" s="8"/>
      <c r="D492" s="8"/>
      <c r="E492" s="8"/>
      <c r="F492" s="32"/>
      <c r="G492" s="32"/>
      <c r="H492" s="32"/>
      <c r="I492" s="1" t="str">
        <f t="shared" si="78"/>
        <v/>
      </c>
      <c r="J492" s="1" t="str">
        <f t="shared" si="79"/>
        <v/>
      </c>
      <c r="K492" s="1" t="str">
        <f t="shared" si="80"/>
        <v/>
      </c>
      <c r="L492" s="8"/>
      <c r="M492" s="1" t="str">
        <f t="shared" si="81"/>
        <v/>
      </c>
      <c r="N492" s="1" t="str">
        <f t="shared" si="82"/>
        <v/>
      </c>
      <c r="O492" s="33" t="str">
        <f t="shared" si="83"/>
        <v/>
      </c>
      <c r="P492" s="34" t="str">
        <f>IF(B492="","",C492&amp;"|"&amp;ROUND(O492,2)&amp;"|"&amp;COUNTIFS($C$4:C492,C492,$O$4:O492,O492))</f>
        <v/>
      </c>
      <c r="Q492" s="34">
        <f t="shared" si="84"/>
        <v>0</v>
      </c>
      <c r="R492" s="34">
        <f t="shared" si="85"/>
        <v>0</v>
      </c>
      <c r="S492" s="34" t="str">
        <f>IF(AND(B492&lt;&gt;"",C492=CompteSel,N(B492)&lt;=DateArret,R492=0),MAX($S$3:S491)+1,"")</f>
        <v/>
      </c>
      <c r="T492" s="34">
        <f t="shared" si="86"/>
        <v>0</v>
      </c>
      <c r="U492" s="34">
        <f t="shared" si="87"/>
        <v>9</v>
      </c>
    </row>
    <row r="493" spans="1:21" x14ac:dyDescent="0.35">
      <c r="A493" s="1" t="str">
        <f t="shared" si="77"/>
        <v/>
      </c>
      <c r="B493" s="31"/>
      <c r="C493" s="8"/>
      <c r="D493" s="8"/>
      <c r="E493" s="8"/>
      <c r="F493" s="32"/>
      <c r="G493" s="32"/>
      <c r="H493" s="32"/>
      <c r="I493" s="1" t="str">
        <f t="shared" si="78"/>
        <v/>
      </c>
      <c r="J493" s="1" t="str">
        <f t="shared" si="79"/>
        <v/>
      </c>
      <c r="K493" s="1" t="str">
        <f t="shared" si="80"/>
        <v/>
      </c>
      <c r="L493" s="8"/>
      <c r="M493" s="1" t="str">
        <f t="shared" si="81"/>
        <v/>
      </c>
      <c r="N493" s="1" t="str">
        <f t="shared" si="82"/>
        <v/>
      </c>
      <c r="O493" s="33" t="str">
        <f t="shared" si="83"/>
        <v/>
      </c>
      <c r="P493" s="34" t="str">
        <f>IF(B493="","",C493&amp;"|"&amp;ROUND(O493,2)&amp;"|"&amp;COUNTIFS($C$4:C493,C493,$O$4:O493,O493))</f>
        <v/>
      </c>
      <c r="Q493" s="34">
        <f t="shared" si="84"/>
        <v>0</v>
      </c>
      <c r="R493" s="34">
        <f t="shared" si="85"/>
        <v>0</v>
      </c>
      <c r="S493" s="34" t="str">
        <f>IF(AND(B493&lt;&gt;"",C493=CompteSel,N(B493)&lt;=DateArret,R493=0),MAX($S$3:S492)+1,"")</f>
        <v/>
      </c>
      <c r="T493" s="34">
        <f t="shared" si="86"/>
        <v>0</v>
      </c>
      <c r="U493" s="34">
        <f t="shared" si="87"/>
        <v>9</v>
      </c>
    </row>
    <row r="494" spans="1:21" x14ac:dyDescent="0.35">
      <c r="A494" s="1" t="str">
        <f t="shared" si="77"/>
        <v/>
      </c>
      <c r="B494" s="31"/>
      <c r="C494" s="8"/>
      <c r="D494" s="8"/>
      <c r="E494" s="8"/>
      <c r="F494" s="32"/>
      <c r="G494" s="32"/>
      <c r="H494" s="32"/>
      <c r="I494" s="1" t="str">
        <f t="shared" si="78"/>
        <v/>
      </c>
      <c r="J494" s="1" t="str">
        <f t="shared" si="79"/>
        <v/>
      </c>
      <c r="K494" s="1" t="str">
        <f t="shared" si="80"/>
        <v/>
      </c>
      <c r="L494" s="8"/>
      <c r="M494" s="1" t="str">
        <f t="shared" si="81"/>
        <v/>
      </c>
      <c r="N494" s="1" t="str">
        <f t="shared" si="82"/>
        <v/>
      </c>
      <c r="O494" s="33" t="str">
        <f t="shared" si="83"/>
        <v/>
      </c>
      <c r="P494" s="34" t="str">
        <f>IF(B494="","",C494&amp;"|"&amp;ROUND(O494,2)&amp;"|"&amp;COUNTIFS($C$4:C494,C494,$O$4:O494,O494))</f>
        <v/>
      </c>
      <c r="Q494" s="34">
        <f t="shared" si="84"/>
        <v>0</v>
      </c>
      <c r="R494" s="34">
        <f t="shared" si="85"/>
        <v>0</v>
      </c>
      <c r="S494" s="34" t="str">
        <f>IF(AND(B494&lt;&gt;"",C494=CompteSel,N(B494)&lt;=DateArret,R494=0),MAX($S$3:S493)+1,"")</f>
        <v/>
      </c>
      <c r="T494" s="34">
        <f t="shared" si="86"/>
        <v>0</v>
      </c>
      <c r="U494" s="34">
        <f t="shared" si="87"/>
        <v>9</v>
      </c>
    </row>
    <row r="495" spans="1:21" x14ac:dyDescent="0.35">
      <c r="A495" s="1" t="str">
        <f t="shared" si="77"/>
        <v/>
      </c>
      <c r="B495" s="31"/>
      <c r="C495" s="8"/>
      <c r="D495" s="8"/>
      <c r="E495" s="8"/>
      <c r="F495" s="32"/>
      <c r="G495" s="32"/>
      <c r="H495" s="32"/>
      <c r="I495" s="1" t="str">
        <f t="shared" si="78"/>
        <v/>
      </c>
      <c r="J495" s="1" t="str">
        <f t="shared" si="79"/>
        <v/>
      </c>
      <c r="K495" s="1" t="str">
        <f t="shared" si="80"/>
        <v/>
      </c>
      <c r="L495" s="8"/>
      <c r="M495" s="1" t="str">
        <f t="shared" si="81"/>
        <v/>
      </c>
      <c r="N495" s="1" t="str">
        <f t="shared" si="82"/>
        <v/>
      </c>
      <c r="O495" s="33" t="str">
        <f t="shared" si="83"/>
        <v/>
      </c>
      <c r="P495" s="34" t="str">
        <f>IF(B495="","",C495&amp;"|"&amp;ROUND(O495,2)&amp;"|"&amp;COUNTIFS($C$4:C495,C495,$O$4:O495,O495))</f>
        <v/>
      </c>
      <c r="Q495" s="34">
        <f t="shared" si="84"/>
        <v>0</v>
      </c>
      <c r="R495" s="34">
        <f t="shared" si="85"/>
        <v>0</v>
      </c>
      <c r="S495" s="34" t="str">
        <f>IF(AND(B495&lt;&gt;"",C495=CompteSel,N(B495)&lt;=DateArret,R495=0),MAX($S$3:S494)+1,"")</f>
        <v/>
      </c>
      <c r="T495" s="34">
        <f t="shared" si="86"/>
        <v>0</v>
      </c>
      <c r="U495" s="34">
        <f t="shared" si="87"/>
        <v>9</v>
      </c>
    </row>
    <row r="496" spans="1:21" x14ac:dyDescent="0.35">
      <c r="A496" s="1" t="str">
        <f t="shared" si="77"/>
        <v/>
      </c>
      <c r="B496" s="31"/>
      <c r="C496" s="8"/>
      <c r="D496" s="8"/>
      <c r="E496" s="8"/>
      <c r="F496" s="32"/>
      <c r="G496" s="32"/>
      <c r="H496" s="32"/>
      <c r="I496" s="1" t="str">
        <f t="shared" si="78"/>
        <v/>
      </c>
      <c r="J496" s="1" t="str">
        <f t="shared" si="79"/>
        <v/>
      </c>
      <c r="K496" s="1" t="str">
        <f t="shared" si="80"/>
        <v/>
      </c>
      <c r="L496" s="8"/>
      <c r="M496" s="1" t="str">
        <f t="shared" si="81"/>
        <v/>
      </c>
      <c r="N496" s="1" t="str">
        <f t="shared" si="82"/>
        <v/>
      </c>
      <c r="O496" s="33" t="str">
        <f t="shared" si="83"/>
        <v/>
      </c>
      <c r="P496" s="34" t="str">
        <f>IF(B496="","",C496&amp;"|"&amp;ROUND(O496,2)&amp;"|"&amp;COUNTIFS($C$4:C496,C496,$O$4:O496,O496))</f>
        <v/>
      </c>
      <c r="Q496" s="34">
        <f t="shared" si="84"/>
        <v>0</v>
      </c>
      <c r="R496" s="34">
        <f t="shared" si="85"/>
        <v>0</v>
      </c>
      <c r="S496" s="34" t="str">
        <f>IF(AND(B496&lt;&gt;"",C496=CompteSel,N(B496)&lt;=DateArret,R496=0),MAX($S$3:S495)+1,"")</f>
        <v/>
      </c>
      <c r="T496" s="34">
        <f t="shared" si="86"/>
        <v>0</v>
      </c>
      <c r="U496" s="34">
        <f t="shared" si="87"/>
        <v>9</v>
      </c>
    </row>
    <row r="497" spans="1:21" x14ac:dyDescent="0.35">
      <c r="A497" s="1" t="str">
        <f t="shared" si="77"/>
        <v/>
      </c>
      <c r="B497" s="31"/>
      <c r="C497" s="8"/>
      <c r="D497" s="8"/>
      <c r="E497" s="8"/>
      <c r="F497" s="32"/>
      <c r="G497" s="32"/>
      <c r="H497" s="32"/>
      <c r="I497" s="1" t="str">
        <f t="shared" si="78"/>
        <v/>
      </c>
      <c r="J497" s="1" t="str">
        <f t="shared" si="79"/>
        <v/>
      </c>
      <c r="K497" s="1" t="str">
        <f t="shared" si="80"/>
        <v/>
      </c>
      <c r="L497" s="8"/>
      <c r="M497" s="1" t="str">
        <f t="shared" si="81"/>
        <v/>
      </c>
      <c r="N497" s="1" t="str">
        <f t="shared" si="82"/>
        <v/>
      </c>
      <c r="O497" s="33" t="str">
        <f t="shared" si="83"/>
        <v/>
      </c>
      <c r="P497" s="34" t="str">
        <f>IF(B497="","",C497&amp;"|"&amp;ROUND(O497,2)&amp;"|"&amp;COUNTIFS($C$4:C497,C497,$O$4:O497,O497))</f>
        <v/>
      </c>
      <c r="Q497" s="34">
        <f t="shared" si="84"/>
        <v>0</v>
      </c>
      <c r="R497" s="34">
        <f t="shared" si="85"/>
        <v>0</v>
      </c>
      <c r="S497" s="34" t="str">
        <f>IF(AND(B497&lt;&gt;"",C497=CompteSel,N(B497)&lt;=DateArret,R497=0),MAX($S$3:S496)+1,"")</f>
        <v/>
      </c>
      <c r="T497" s="34">
        <f t="shared" si="86"/>
        <v>0</v>
      </c>
      <c r="U497" s="34">
        <f t="shared" si="87"/>
        <v>9</v>
      </c>
    </row>
    <row r="498" spans="1:21" x14ac:dyDescent="0.35">
      <c r="A498" s="1" t="str">
        <f t="shared" si="77"/>
        <v/>
      </c>
      <c r="B498" s="31"/>
      <c r="C498" s="8"/>
      <c r="D498" s="8"/>
      <c r="E498" s="8"/>
      <c r="F498" s="32"/>
      <c r="G498" s="32"/>
      <c r="H498" s="32"/>
      <c r="I498" s="1" t="str">
        <f t="shared" si="78"/>
        <v/>
      </c>
      <c r="J498" s="1" t="str">
        <f t="shared" si="79"/>
        <v/>
      </c>
      <c r="K498" s="1" t="str">
        <f t="shared" si="80"/>
        <v/>
      </c>
      <c r="L498" s="8"/>
      <c r="M498" s="1" t="str">
        <f t="shared" si="81"/>
        <v/>
      </c>
      <c r="N498" s="1" t="str">
        <f t="shared" si="82"/>
        <v/>
      </c>
      <c r="O498" s="33" t="str">
        <f t="shared" si="83"/>
        <v/>
      </c>
      <c r="P498" s="34" t="str">
        <f>IF(B498="","",C498&amp;"|"&amp;ROUND(O498,2)&amp;"|"&amp;COUNTIFS($C$4:C498,C498,$O$4:O498,O498))</f>
        <v/>
      </c>
      <c r="Q498" s="34">
        <f t="shared" si="84"/>
        <v>0</v>
      </c>
      <c r="R498" s="34">
        <f t="shared" si="85"/>
        <v>0</v>
      </c>
      <c r="S498" s="34" t="str">
        <f>IF(AND(B498&lt;&gt;"",C498=CompteSel,N(B498)&lt;=DateArret,R498=0),MAX($S$3:S497)+1,"")</f>
        <v/>
      </c>
      <c r="T498" s="34">
        <f t="shared" si="86"/>
        <v>0</v>
      </c>
      <c r="U498" s="34">
        <f t="shared" si="87"/>
        <v>9</v>
      </c>
    </row>
    <row r="499" spans="1:21" x14ac:dyDescent="0.35">
      <c r="A499" s="1" t="str">
        <f t="shared" si="77"/>
        <v/>
      </c>
      <c r="B499" s="31"/>
      <c r="C499" s="8"/>
      <c r="D499" s="8"/>
      <c r="E499" s="8"/>
      <c r="F499" s="32"/>
      <c r="G499" s="32"/>
      <c r="H499" s="32"/>
      <c r="I499" s="1" t="str">
        <f t="shared" si="78"/>
        <v/>
      </c>
      <c r="J499" s="1" t="str">
        <f t="shared" si="79"/>
        <v/>
      </c>
      <c r="K499" s="1" t="str">
        <f t="shared" si="80"/>
        <v/>
      </c>
      <c r="L499" s="8"/>
      <c r="M499" s="1" t="str">
        <f t="shared" si="81"/>
        <v/>
      </c>
      <c r="N499" s="1" t="str">
        <f t="shared" si="82"/>
        <v/>
      </c>
      <c r="O499" s="33" t="str">
        <f t="shared" si="83"/>
        <v/>
      </c>
      <c r="P499" s="34" t="str">
        <f>IF(B499="","",C499&amp;"|"&amp;ROUND(O499,2)&amp;"|"&amp;COUNTIFS($C$4:C499,C499,$O$4:O499,O499))</f>
        <v/>
      </c>
      <c r="Q499" s="34">
        <f t="shared" si="84"/>
        <v>0</v>
      </c>
      <c r="R499" s="34">
        <f t="shared" si="85"/>
        <v>0</v>
      </c>
      <c r="S499" s="34" t="str">
        <f>IF(AND(B499&lt;&gt;"",C499=CompteSel,N(B499)&lt;=DateArret,R499=0),MAX($S$3:S498)+1,"")</f>
        <v/>
      </c>
      <c r="T499" s="34">
        <f t="shared" si="86"/>
        <v>0</v>
      </c>
      <c r="U499" s="34">
        <f t="shared" si="87"/>
        <v>9</v>
      </c>
    </row>
    <row r="500" spans="1:21" x14ac:dyDescent="0.35">
      <c r="A500" s="1" t="str">
        <f t="shared" si="77"/>
        <v/>
      </c>
      <c r="B500" s="31"/>
      <c r="C500" s="8"/>
      <c r="D500" s="8"/>
      <c r="E500" s="8"/>
      <c r="F500" s="32"/>
      <c r="G500" s="32"/>
      <c r="H500" s="32"/>
      <c r="I500" s="1" t="str">
        <f t="shared" si="78"/>
        <v/>
      </c>
      <c r="J500" s="1" t="str">
        <f t="shared" si="79"/>
        <v/>
      </c>
      <c r="K500" s="1" t="str">
        <f t="shared" si="80"/>
        <v/>
      </c>
      <c r="L500" s="8"/>
      <c r="M500" s="1" t="str">
        <f t="shared" si="81"/>
        <v/>
      </c>
      <c r="N500" s="1" t="str">
        <f t="shared" si="82"/>
        <v/>
      </c>
      <c r="O500" s="33" t="str">
        <f t="shared" si="83"/>
        <v/>
      </c>
      <c r="P500" s="34" t="str">
        <f>IF(B500="","",C500&amp;"|"&amp;ROUND(O500,2)&amp;"|"&amp;COUNTIFS($C$4:C500,C500,$O$4:O500,O500))</f>
        <v/>
      </c>
      <c r="Q500" s="34">
        <f t="shared" si="84"/>
        <v>0</v>
      </c>
      <c r="R500" s="34">
        <f t="shared" si="85"/>
        <v>0</v>
      </c>
      <c r="S500" s="34" t="str">
        <f>IF(AND(B500&lt;&gt;"",C500=CompteSel,N(B500)&lt;=DateArret,R500=0),MAX($S$3:S499)+1,"")</f>
        <v/>
      </c>
      <c r="T500" s="34">
        <f t="shared" si="86"/>
        <v>0</v>
      </c>
      <c r="U500" s="34">
        <f t="shared" si="87"/>
        <v>9</v>
      </c>
    </row>
    <row r="501" spans="1:21" x14ac:dyDescent="0.35">
      <c r="A501" s="1" t="str">
        <f t="shared" si="77"/>
        <v/>
      </c>
      <c r="B501" s="31"/>
      <c r="C501" s="8"/>
      <c r="D501" s="8"/>
      <c r="E501" s="8"/>
      <c r="F501" s="32"/>
      <c r="G501" s="32"/>
      <c r="H501" s="32"/>
      <c r="I501" s="1" t="str">
        <f t="shared" si="78"/>
        <v/>
      </c>
      <c r="J501" s="1" t="str">
        <f t="shared" si="79"/>
        <v/>
      </c>
      <c r="K501" s="1" t="str">
        <f t="shared" si="80"/>
        <v/>
      </c>
      <c r="L501" s="8"/>
      <c r="M501" s="1" t="str">
        <f t="shared" si="81"/>
        <v/>
      </c>
      <c r="N501" s="1" t="str">
        <f t="shared" si="82"/>
        <v/>
      </c>
      <c r="O501" s="33" t="str">
        <f t="shared" si="83"/>
        <v/>
      </c>
      <c r="P501" s="34" t="str">
        <f>IF(B501="","",C501&amp;"|"&amp;ROUND(O501,2)&amp;"|"&amp;COUNTIFS($C$4:C501,C501,$O$4:O501,O501))</f>
        <v/>
      </c>
      <c r="Q501" s="34">
        <f t="shared" si="84"/>
        <v>0</v>
      </c>
      <c r="R501" s="34">
        <f t="shared" si="85"/>
        <v>0</v>
      </c>
      <c r="S501" s="34" t="str">
        <f>IF(AND(B501&lt;&gt;"",C501=CompteSel,N(B501)&lt;=DateArret,R501=0),MAX($S$3:S500)+1,"")</f>
        <v/>
      </c>
      <c r="T501" s="34">
        <f t="shared" si="86"/>
        <v>0</v>
      </c>
      <c r="U501" s="34">
        <f t="shared" si="87"/>
        <v>9</v>
      </c>
    </row>
    <row r="502" spans="1:21" x14ac:dyDescent="0.35">
      <c r="A502" s="1" t="str">
        <f t="shared" si="77"/>
        <v/>
      </c>
      <c r="B502" s="31"/>
      <c r="C502" s="8"/>
      <c r="D502" s="8"/>
      <c r="E502" s="8"/>
      <c r="F502" s="32"/>
      <c r="G502" s="32"/>
      <c r="H502" s="32"/>
      <c r="I502" s="1" t="str">
        <f t="shared" si="78"/>
        <v/>
      </c>
      <c r="J502" s="1" t="str">
        <f t="shared" si="79"/>
        <v/>
      </c>
      <c r="K502" s="1" t="str">
        <f t="shared" si="80"/>
        <v/>
      </c>
      <c r="L502" s="8"/>
      <c r="M502" s="1" t="str">
        <f t="shared" si="81"/>
        <v/>
      </c>
      <c r="N502" s="1" t="str">
        <f t="shared" si="82"/>
        <v/>
      </c>
      <c r="O502" s="33" t="str">
        <f t="shared" si="83"/>
        <v/>
      </c>
      <c r="P502" s="34" t="str">
        <f>IF(B502="","",C502&amp;"|"&amp;ROUND(O502,2)&amp;"|"&amp;COUNTIFS($C$4:C502,C502,$O$4:O502,O502))</f>
        <v/>
      </c>
      <c r="Q502" s="34">
        <f t="shared" si="84"/>
        <v>0</v>
      </c>
      <c r="R502" s="34">
        <f t="shared" si="85"/>
        <v>0</v>
      </c>
      <c r="S502" s="34" t="str">
        <f>IF(AND(B502&lt;&gt;"",C502=CompteSel,N(B502)&lt;=DateArret,R502=0),MAX($S$3:S501)+1,"")</f>
        <v/>
      </c>
      <c r="T502" s="34">
        <f t="shared" si="86"/>
        <v>0</v>
      </c>
      <c r="U502" s="34">
        <f t="shared" si="87"/>
        <v>9</v>
      </c>
    </row>
    <row r="503" spans="1:21" x14ac:dyDescent="0.35">
      <c r="A503" s="1" t="str">
        <f t="shared" si="77"/>
        <v/>
      </c>
      <c r="B503" s="31"/>
      <c r="C503" s="8"/>
      <c r="D503" s="8"/>
      <c r="E503" s="8"/>
      <c r="F503" s="32"/>
      <c r="G503" s="32"/>
      <c r="H503" s="32"/>
      <c r="I503" s="1" t="str">
        <f t="shared" si="78"/>
        <v/>
      </c>
      <c r="J503" s="1" t="str">
        <f t="shared" si="79"/>
        <v/>
      </c>
      <c r="K503" s="1" t="str">
        <f t="shared" si="80"/>
        <v/>
      </c>
      <c r="L503" s="8"/>
      <c r="M503" s="1" t="str">
        <f t="shared" si="81"/>
        <v/>
      </c>
      <c r="N503" s="1" t="str">
        <f t="shared" si="82"/>
        <v/>
      </c>
      <c r="O503" s="33" t="str">
        <f t="shared" si="83"/>
        <v/>
      </c>
      <c r="P503" s="34" t="str">
        <f>IF(B503="","",C503&amp;"|"&amp;ROUND(O503,2)&amp;"|"&amp;COUNTIFS($C$4:C503,C503,$O$4:O503,O503))</f>
        <v/>
      </c>
      <c r="Q503" s="34">
        <f t="shared" si="84"/>
        <v>0</v>
      </c>
      <c r="R503" s="34">
        <f t="shared" si="85"/>
        <v>0</v>
      </c>
      <c r="S503" s="34" t="str">
        <f>IF(AND(B503&lt;&gt;"",C503=CompteSel,N(B503)&lt;=DateArret,R503=0),MAX($S$3:S502)+1,"")</f>
        <v/>
      </c>
      <c r="T503" s="34">
        <f t="shared" si="86"/>
        <v>0</v>
      </c>
      <c r="U503" s="34">
        <f t="shared" si="87"/>
        <v>9</v>
      </c>
    </row>
  </sheetData>
  <autoFilter ref="A3:N503" xr:uid="{00000000-0009-0000-0000-000005000000}"/>
  <conditionalFormatting sqref="I4:J503">
    <cfRule type="cellIs" dxfId="9" priority="2" operator="equal">
      <formula>"Rapproché"</formula>
    </cfRule>
    <cfRule type="cellIs" dxfId="8" priority="3" operator="equal">
      <formula>"Manuel"</formula>
    </cfRule>
    <cfRule type="cellIs" dxfId="7" priority="4" operator="equal">
      <formula>"Proposé"</formula>
    </cfRule>
    <cfRule type="cellIs" dxfId="6" priority="5" operator="equal">
      <formula>"Écart"</formula>
    </cfRule>
    <cfRule type="cellIs" dxfId="5" priority="6" operator="equal">
      <formula>"Conflit"</formula>
    </cfRule>
    <cfRule type="cellIs" dxfId="4" priority="7" operator="equal">
      <formula>"Non rapproché"</formula>
    </cfRule>
    <cfRule type="cellIs" dxfId="3" priority="8" operator="equal">
      <formula>"Fort"</formula>
    </cfRule>
    <cfRule type="cellIs" dxfId="2" priority="9" operator="equal">
      <formula>"Moyen"</formula>
    </cfRule>
    <cfRule type="cellIs" dxfId="1" priority="10" operator="equal">
      <formula>"Faible"</formula>
    </cfRule>
  </conditionalFormatting>
  <conditionalFormatting sqref="N4:N503">
    <cfRule type="expression" dxfId="0" priority="11">
      <formula>LEN(N4)&gt;0</formula>
    </cfRule>
  </conditionalFormatting>
  <dataValidations count="2">
    <dataValidation type="list" allowBlank="1" sqref="C4:C503" xr:uid="{00000000-0002-0000-0500-000000000000}">
      <formula1>Comptes</formula1>
      <formula2>0</formula2>
    </dataValidation>
    <dataValidation type="list" allowBlank="1" sqref="L4:L503" xr:uid="{00000000-0002-0000-0500-000001000000}">
      <formula1>"Écart"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47</vt:i4>
      </vt:variant>
    </vt:vector>
  </HeadingPairs>
  <TitlesOfParts>
    <vt:vector size="53" baseType="lpstr">
      <vt:lpstr>Mode_emploi</vt:lpstr>
      <vt:lpstr>Tableau_de_bord</vt:lpstr>
      <vt:lpstr>Rapprochement</vt:lpstr>
      <vt:lpstr>Parametres</vt:lpstr>
      <vt:lpstr>Mouvements_Locaux</vt:lpstr>
      <vt:lpstr>Releve_Banque</vt:lpstr>
      <vt:lpstr>AutoFort</vt:lpstr>
      <vt:lpstr>B_Cle</vt:lpstr>
      <vt:lpstr>B_Compte</vt:lpstr>
      <vt:lpstr>B_Credit</vt:lpstr>
      <vt:lpstr>B_Date</vt:lpstr>
      <vt:lpstr>B_Debit</vt:lpstr>
      <vt:lpstr>B_Decision</vt:lpstr>
      <vt:lpstr>B_Lib</vt:lpstr>
      <vt:lpstr>B_LigneSolde</vt:lpstr>
      <vt:lpstr>B_Local</vt:lpstr>
      <vt:lpstr>B_Montant</vt:lpstr>
      <vt:lpstr>B_MontantN</vt:lpstr>
      <vt:lpstr>B_Num</vt:lpstr>
      <vt:lpstr>B_Pointe</vt:lpstr>
      <vt:lpstr>B_PrisExact</vt:lpstr>
      <vt:lpstr>B_Rang</vt:lpstr>
      <vt:lpstr>B_Ref</vt:lpstr>
      <vt:lpstr>B_Score</vt:lpstr>
      <vt:lpstr>B_Signe</vt:lpstr>
      <vt:lpstr>B_Solde</vt:lpstr>
      <vt:lpstr>B_Statut</vt:lpstr>
      <vt:lpstr>Comptes</vt:lpstr>
      <vt:lpstr>CompteSel</vt:lpstr>
      <vt:lpstr>DateArret</vt:lpstr>
      <vt:lpstr>Fenetre</vt:lpstr>
      <vt:lpstr>L_Banque</vt:lpstr>
      <vt:lpstr>L_CandExact</vt:lpstr>
      <vt:lpstr>L_Compte</vt:lpstr>
      <vt:lpstr>L_Credit</vt:lpstr>
      <vt:lpstr>L_Date</vt:lpstr>
      <vt:lpstr>L_Debit</vt:lpstr>
      <vt:lpstr>L_Desc</vt:lpstr>
      <vt:lpstr>L_DJ</vt:lpstr>
      <vt:lpstr>L_DM</vt:lpstr>
      <vt:lpstr>L_ExactOK</vt:lpstr>
      <vt:lpstr>L_Montant</vt:lpstr>
      <vt:lpstr>L_Motif</vt:lpstr>
      <vt:lpstr>L_Num</vt:lpstr>
      <vt:lpstr>L_Pointe</vt:lpstr>
      <vt:lpstr>L_Rang</vt:lpstr>
      <vt:lpstr>L_RangPaire</vt:lpstr>
      <vt:lpstr>L_Ref</vt:lpstr>
      <vt:lpstr>L_Score</vt:lpstr>
      <vt:lpstr>L_Statut</vt:lpstr>
      <vt:lpstr>Soldes_Ouverture</vt:lpstr>
      <vt:lpstr>TolJours</vt:lpstr>
      <vt:lpstr>TolMontant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Alliance BODJRENOU</cp:lastModifiedBy>
  <cp:revision>0</cp:revision>
  <cp:lastPrinted>2026-10-14T16:55:26Z</cp:lastPrinted>
  <dcterms:created xsi:type="dcterms:W3CDTF">2026-10-14T16:24:07Z</dcterms:created>
  <dcterms:modified xsi:type="dcterms:W3CDTF">2026-10-14T17:36:39Z</dcterms:modified>
  <dc:language>en-US</dc:language>
</cp:coreProperties>
</file>