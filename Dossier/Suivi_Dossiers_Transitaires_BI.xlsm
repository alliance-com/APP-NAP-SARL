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84ae468a7ae29cc/Desktop/DATA/"/>
    </mc:Choice>
  </mc:AlternateContent>
  <xr:revisionPtr revIDLastSave="2" documentId="13_ncr:1_{E6A3CE47-F8E5-4EBC-A4D8-21855FBCBD9A}" xr6:coauthVersionLast="47" xr6:coauthVersionMax="47" xr10:uidLastSave="{748E4996-B9CC-4127-9AC4-A109720F3C5D}"/>
  <bookViews>
    <workbookView xWindow="-110" yWindow="-110" windowWidth="19420" windowHeight="11500" activeTab="1" xr2:uid="{00000000-000D-0000-FFFF-FFFF00000000}"/>
  </bookViews>
  <sheets>
    <sheet name="FORMS" sheetId="2" r:id="rId1"/>
    <sheet name="HAMA INTER" sheetId="3" r:id="rId2"/>
    <sheet name="VUE" sheetId="4" state="hidden" r:id="rId3"/>
    <sheet name="RAJIBER" sheetId="11" r:id="rId4"/>
    <sheet name="TRANS SOHA" sheetId="10" r:id="rId5"/>
    <sheet name="liste" sheetId="5" state="hidden" r:id="rId6"/>
    <sheet name="GUIDE" sheetId="6" state="hidden" r:id="rId7"/>
  </sheets>
  <definedNames>
    <definedName name="Banque">liste!$F$4:$F$6</definedName>
    <definedName name="Mode_de_paiement">liste!$D$4:$D$5</definedName>
    <definedName name="Statut_du_dossier">liste!$E$4:$E$6</definedName>
    <definedName name="Transitaire">liste!$C$4:$C$6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11" l="1"/>
  <c r="J3" i="11"/>
  <c r="J4" i="11"/>
  <c r="I6" i="3"/>
  <c r="H4" i="10"/>
  <c r="H5" i="11"/>
  <c r="J5" i="11" s="1"/>
  <c r="H3" i="10"/>
  <c r="H2" i="10"/>
  <c r="J2" i="10" s="1"/>
  <c r="H4" i="11"/>
  <c r="H3" i="11"/>
  <c r="H2" i="11"/>
  <c r="I3" i="3"/>
  <c r="I4" i="3"/>
  <c r="I5" i="3"/>
  <c r="I2" i="3"/>
  <c r="K2" i="3"/>
  <c r="J3" i="10" l="1"/>
  <c r="J4" i="10" s="1"/>
  <c r="K3" i="3"/>
  <c r="K4" i="3" s="1"/>
  <c r="K5" i="3" s="1"/>
  <c r="K6" i="3" s="1"/>
</calcChain>
</file>

<file path=xl/sharedStrings.xml><?xml version="1.0" encoding="utf-8"?>
<sst xmlns="http://schemas.openxmlformats.org/spreadsheetml/2006/main" count="131" uniqueCount="65">
  <si>
    <t>Transitaire</t>
  </si>
  <si>
    <t>En cours</t>
  </si>
  <si>
    <t>FORMULAIRE DE SUIVI DU DOSSIER TRANSITAIRE - EXERCICE 2026-2027</t>
  </si>
  <si>
    <t>Date</t>
  </si>
  <si>
    <t>Description</t>
  </si>
  <si>
    <t>N°BKG</t>
  </si>
  <si>
    <t>Nbre de conteneur</t>
  </si>
  <si>
    <t>Prix/Conteneur</t>
  </si>
  <si>
    <t>Poids</t>
  </si>
  <si>
    <t>Payement</t>
  </si>
  <si>
    <t>Mode de paiment</t>
  </si>
  <si>
    <t>Banque</t>
  </si>
  <si>
    <t>N°Facture</t>
  </si>
  <si>
    <t>Statut du dossier</t>
  </si>
  <si>
    <t>DATE</t>
  </si>
  <si>
    <t>TRANSITAIRE</t>
  </si>
  <si>
    <t>DESCRIPTION</t>
  </si>
  <si>
    <t>N° BKG</t>
  </si>
  <si>
    <t>NOMBRE DE TEU</t>
  </si>
  <si>
    <t>PRIX PAR TEU</t>
  </si>
  <si>
    <t>POIDS</t>
  </si>
  <si>
    <t>MONTANT</t>
  </si>
  <si>
    <t>PAYEMENT</t>
  </si>
  <si>
    <t>SOLDE</t>
  </si>
  <si>
    <t>MODE DE PAYEMENT</t>
  </si>
  <si>
    <t>BANQUE</t>
  </si>
  <si>
    <t>N° FACTURE</t>
  </si>
  <si>
    <t>STATUT DU DOSSIER</t>
  </si>
  <si>
    <t>SUIVI DES DOSSIERS TRANSITAIRES – 2026/2027</t>
  </si>
  <si>
    <t>DOSSIER / N° BKG</t>
  </si>
  <si>
    <t>MONTANT DU DOSSIER</t>
  </si>
  <si>
    <t>DÉPENSES ENGAGÉES</t>
  </si>
  <si>
    <t>MONTANT RESTANT</t>
  </si>
  <si>
    <t>% CONSOMMÉ</t>
  </si>
  <si>
    <t>DATE DE PRISE</t>
  </si>
  <si>
    <t>OBSERVATION</t>
  </si>
  <si>
    <t>STATUT</t>
  </si>
  <si>
    <t>CONTRÔLE</t>
  </si>
  <si>
    <t>Mode de paiement</t>
  </si>
  <si>
    <t>Espèce</t>
  </si>
  <si>
    <t>Ecobank</t>
  </si>
  <si>
    <t>RAJIBER</t>
  </si>
  <si>
    <t>Chèque</t>
  </si>
  <si>
    <t>Atlantique Banque</t>
  </si>
  <si>
    <t>HAMA INTER</t>
  </si>
  <si>
    <t>BIIC</t>
  </si>
  <si>
    <t>MODE D’EMPLOI – SUIVI DES DOSSIERS TRANSITAIRES</t>
  </si>
  <si>
    <t>1. Créer le dossier</t>
  </si>
  <si>
    <t>Dans VUE, saisir une ligne par dossier : Transitaire, Dossier/N° BKG, Montant du dossier, date, observation et statut.</t>
  </si>
  <si>
    <t>2. Enregistrer les dépenses</t>
  </si>
  <si>
    <t>Dans Data, saisir chaque dépense/ligne liée au N° BKG. Le MONTANT est calculé automatiquement : NOMBRE DE TEU × PRIX PAR TEU.</t>
  </si>
  <si>
    <t>3. Calcul automatique</t>
  </si>
  <si>
    <t>VUE additionne toutes les dépenses de Data ayant le même N° BKG. Le montant restant = Montant du dossier – Dépenses engagées.</t>
  </si>
  <si>
    <t>4. Contrôle</t>
  </si>
  <si>
    <t>La colonne CONTRÔLE signale un DÉPASSEMENT si les dépenses dépassent le budget du dossier, ou un DOUBLON si le même dossier est saisi plusieurs fois dans VUE.</t>
  </si>
  <si>
    <t>5. Pilotage</t>
  </si>
  <si>
    <t>DASHBOARD présente les dossiers suivis, le budget, les dépenses, le solde, le taux de consommation et la synthèse par transitaire.</t>
  </si>
  <si>
    <t>6. Règle de gestion</t>
  </si>
  <si>
    <t>Un dossier doit être identifié par un N° BKG unique dans VUE. Plusieurs lignes de dépenses peuvent porter le même N° BKG dans Data.</t>
  </si>
  <si>
    <t>Ajouter une operation</t>
  </si>
  <si>
    <t>SHEA BUTTER</t>
  </si>
  <si>
    <t>TRANS SOHA</t>
  </si>
  <si>
    <t>Charge</t>
  </si>
  <si>
    <t>Embarque</t>
  </si>
  <si>
    <t>N° CONTRAT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</si>
</sst>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-* #,##0.00_-;\-* #,##0.00_-;_-* &quot;-&quot;??_-;_-@_-"/>
    <numFmt numFmtId="164" formatCode="_-* #,##0_-;\-* #,##0_-;_-* &quot;-&quot;??_-;_-@_-"/>
    <numFmt numFmtId="165" formatCode="0.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Franklin Gothic Heavy"/>
      <family val="2"/>
    </font>
    <font>
      <u/>
      <sz val="20"/>
      <color theme="1"/>
      <name val="Franklin Gothic Heavy"/>
      <family val="2"/>
    </font>
    <font>
      <b/>
      <sz val="11"/>
      <color rgb="FFFFFFFF"/>
      <name val="Calibri"/>
      <family val="2"/>
    </font>
    <font>
      <b/>
      <sz val="18"/>
      <color rgb="FFFFFFFF"/>
      <name val="Calibri"/>
      <family val="2"/>
    </font>
    <font>
      <b/>
      <sz val="11"/>
      <color rgb="FF2F75B5"/>
      <name val="Calibri"/>
      <family val="2"/>
    </font>
    <font>
      <b/>
      <u/>
      <sz val="11"/>
      <color rgb="FFFF0000"/>
      <name val="Arial Narrow"/>
      <family val="2"/>
    </font>
    <font>
      <b/>
      <sz val="11"/>
      <name val="Calibri"/>
      <family val="2"/>
    </font>
    <font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7365D"/>
      </patternFill>
    </fill>
    <fill>
      <patternFill patternType="solid">
        <fgColor rgb="FF2F75B5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B7C9D6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/>
  </cellStyleXfs>
  <cellXfs count="52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0" borderId="0" xfId="0" applyFont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wrapText="1"/>
      <protection locked="0"/>
    </xf>
    <xf numFmtId="14" fontId="0" fillId="0" borderId="3" xfId="0" applyNumberFormat="1" applyBorder="1" applyProtection="1">
      <protection locked="0"/>
    </xf>
    <xf numFmtId="14" fontId="0" fillId="0" borderId="0" xfId="0" applyNumberFormat="1" applyAlignment="1">
      <alignment horizontal="center" vertical="center"/>
    </xf>
    <xf numFmtId="0" fontId="0" fillId="0" borderId="0" xfId="0" applyProtection="1">
      <protection locked="0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5" fillId="5" borderId="0" xfId="0" applyFont="1" applyFill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3" fontId="0" fillId="0" borderId="4" xfId="0" applyNumberFormat="1" applyBorder="1" applyAlignment="1">
      <alignment vertical="center" wrapText="1"/>
    </xf>
    <xf numFmtId="165" fontId="0" fillId="0" borderId="4" xfId="0" applyNumberFormat="1" applyBorder="1" applyAlignment="1">
      <alignment vertical="center" wrapText="1"/>
    </xf>
    <xf numFmtId="14" fontId="0" fillId="0" borderId="4" xfId="0" applyNumberFormat="1" applyBorder="1" applyAlignment="1">
      <alignment vertical="center" wrapText="1"/>
    </xf>
    <xf numFmtId="0" fontId="7" fillId="0" borderId="0" xfId="0" applyFont="1"/>
    <xf numFmtId="0" fontId="2" fillId="6" borderId="3" xfId="0" applyFont="1" applyFill="1" applyBorder="1" applyAlignment="1">
      <alignment horizontal="center" vertical="center"/>
    </xf>
    <xf numFmtId="0" fontId="9" fillId="0" borderId="3" xfId="0" applyFont="1" applyBorder="1" applyAlignment="1">
      <alignment horizontal="center" vertical="center" wrapText="1"/>
    </xf>
    <xf numFmtId="164" fontId="9" fillId="0" borderId="3" xfId="1" applyNumberFormat="1" applyFont="1" applyBorder="1" applyAlignment="1">
      <alignment horizontal="center" vertical="center" wrapText="1"/>
    </xf>
    <xf numFmtId="164" fontId="9" fillId="0" borderId="3" xfId="0" applyNumberFormat="1" applyFont="1" applyBorder="1" applyAlignment="1">
      <alignment horizontal="center" vertical="center" wrapText="1"/>
    </xf>
    <xf numFmtId="14" fontId="9" fillId="0" borderId="5" xfId="0" applyNumberFormat="1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14" fontId="9" fillId="7" borderId="2" xfId="0" applyNumberFormat="1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164" fontId="9" fillId="7" borderId="1" xfId="1" applyNumberFormat="1" applyFont="1" applyFill="1" applyBorder="1" applyAlignment="1">
      <alignment horizontal="center" vertical="center" wrapText="1"/>
    </xf>
    <xf numFmtId="0" fontId="9" fillId="7" borderId="7" xfId="0" applyFont="1" applyFill="1" applyBorder="1" applyAlignment="1">
      <alignment horizontal="center" vertical="center" wrapText="1"/>
    </xf>
    <xf numFmtId="14" fontId="9" fillId="0" borderId="8" xfId="0" applyNumberFormat="1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164" fontId="9" fillId="0" borderId="9" xfId="1" applyNumberFormat="1" applyFont="1" applyBorder="1" applyAlignment="1">
      <alignment horizontal="center" vertical="center" wrapText="1"/>
    </xf>
    <xf numFmtId="164" fontId="9" fillId="0" borderId="9" xfId="0" applyNumberFormat="1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164" fontId="10" fillId="0" borderId="3" xfId="1" applyNumberFormat="1" applyFont="1" applyBorder="1" applyAlignment="1">
      <alignment horizontal="center" vertical="center" wrapText="1"/>
    </xf>
    <xf numFmtId="164" fontId="10" fillId="0" borderId="3" xfId="0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10" fillId="0" borderId="5" xfId="0" applyFont="1" applyBorder="1" applyAlignment="1">
      <alignment horizontal="center" vertical="center" wrapText="1"/>
    </xf>
    <xf numFmtId="0" fontId="9" fillId="7" borderId="2" xfId="0" applyFont="1" applyFill="1" applyBorder="1" applyAlignment="1">
      <alignment horizontal="center" vertical="center" wrapText="1"/>
    </xf>
    <xf numFmtId="14" fontId="10" fillId="0" borderId="5" xfId="0" applyNumberFormat="1" applyFont="1" applyBorder="1" applyAlignment="1">
      <alignment horizontal="center" vertical="center" wrapText="1"/>
    </xf>
    <xf numFmtId="14" fontId="0" fillId="0" borderId="5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0" fillId="0" borderId="10" xfId="0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0" borderId="0" xfId="0"/>
    <xf numFmtId="0" fontId="6" fillId="4" borderId="0" xfId="0" applyFont="1" applyFill="1" applyAlignment="1">
      <alignment horizontal="center" vertical="center"/>
    </xf>
    <xf numFmtId="0" fontId="0" fillId="0" borderId="0" xfId="0" applyAlignment="1">
      <alignment vertical="top" wrapText="1"/>
    </xf>
  </cellXfs>
  <cellStyles count="2">
    <cellStyle name="Milliers" xfId="1" builtinId="3"/>
    <cellStyle name="Normal" xfId="0" builtinId="0"/>
  </cellStyles>
  <dxfs count="6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color rgb="FF006100"/>
      </font>
      <fill>
        <patternFill patternType="solid">
          <fgColor rgb="FFE2F0D9"/>
        </patternFill>
      </fill>
    </dxf>
    <dxf>
      <font>
        <b/>
        <color rgb="FFC00000"/>
      </font>
      <fill>
        <patternFill patternType="solid">
          <fgColor rgb="FFF4CCCC"/>
        </patternFill>
      </fill>
    </dxf>
    <dxf>
      <fill>
        <patternFill patternType="solid">
          <fgColor rgb="FFF4CCCC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4" formatCode="_-* #,##0_-;\-* #,##0_-;_-* &quot;-&quot;??_-;_-@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4" formatCode="_-* #,##0_-;\-* #,##0_-;_-* &quot;-&quot;??_-;_-@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fgColor rgb="FF000000"/>
          <bgColor auto="1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4" formatCode="_-* #,##0_-;\-* #,##0_-;_-* &quot;-&quot;??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4" formatCode="_-* #,##0_-;\-* #,##0_-;_-* &quot;-&quot;??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4" formatCode="_-* #,##0_-;\-* #,##0_-;_-* &quot;-&quot;??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4" formatCode="_-* #,##0_-;\-* #,##0_-;_-* &quot;-&quot;??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16</xdr:row>
          <xdr:rowOff>0</xdr:rowOff>
        </xdr:from>
        <xdr:to>
          <xdr:col>9</xdr:col>
          <xdr:colOff>1460500</xdr:colOff>
          <xdr:row>17</xdr:row>
          <xdr:rowOff>6350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1" i="0" u="sng" strike="noStrike" baseline="0">
                  <a:solidFill>
                    <a:srgbClr val="FF0000"/>
                  </a:solidFill>
                  <a:latin typeface="Arial Narrow"/>
                </a:rPr>
                <a:t>Ajouter une opération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16A7D1-3DED-437E-A23A-656FE0CE0E08}" name="Tableau5" displayName="Tableau5" ref="A1:O6" totalsRowShown="0" headerRowDxfId="41" dataDxfId="39" headerRowBorderDxfId="40" tableBorderDxfId="38" totalsRowBorderDxfId="37">
  <autoFilter ref="A1:O6" xr:uid="{6B16A7D1-3DED-437E-A23A-656FE0CE0E08}"/>
  <tableColumns count="15">
    <tableColumn id="1" xr3:uid="{08099D83-7F10-4476-B5ED-BA2C50EA2573}" name="DATE" dataDxfId="36"/>
    <tableColumn id="2" xr3:uid="{31B80862-874D-4DD3-BD5E-F768E679FDBB}" name="TRANSITAIRE" dataDxfId="35"/>
    <tableColumn id="3" xr3:uid="{4FB9CA6F-E7A5-40A6-8F11-3A0EFF5B761F}" name="DESCRIPTION" dataDxfId="34"/>
    <tableColumn id="15" xr3:uid="{547AEAE3-5E81-480B-AF69-B83D0810598D}" name="N° CONTRAT" dataDxfId="0"/>
    <tableColumn id="4" xr3:uid="{BCDEEF1F-A4CF-4A11-A96E-83DA2BCD35B3}" name="N° BKG" dataDxfId="33"/>
    <tableColumn id="5" xr3:uid="{63B916B6-F455-4BEC-B667-1FF63D18CC8B}" name="NOMBRE DE TEU" dataDxfId="32"/>
    <tableColumn id="6" xr3:uid="{C943C4A7-FF7C-47B1-BA2E-4AAE633B3E4A}" name="PRIX PAR TEU" dataDxfId="31"/>
    <tableColumn id="7" xr3:uid="{2D20FADF-FE8D-43F3-B0F6-D657976B773C}" name="POIDS" dataDxfId="30"/>
    <tableColumn id="8" xr3:uid="{B7E59D74-7806-4A62-AE8C-7ADBA17F441A}" name="MONTANT" dataDxfId="29" dataCellStyle="Milliers"/>
    <tableColumn id="9" xr3:uid="{F1885353-19C2-4B51-869F-ABEBB1740225}" name="PAYEMENT" dataDxfId="28"/>
    <tableColumn id="10" xr3:uid="{D46518F3-D882-4E95-827C-1180E8B767AF}" name="SOLDE" dataDxfId="27"/>
    <tableColumn id="11" xr3:uid="{780D90D1-5C0D-40C0-91E3-B2B970BAE365}" name="MODE DE PAYEMENT" dataDxfId="26"/>
    <tableColumn id="12" xr3:uid="{2949CFE7-34CD-40FF-A5A7-24ADE3DE0C7B}" name="BANQUE" dataDxfId="25"/>
    <tableColumn id="13" xr3:uid="{12664199-4143-4448-A998-AFB2F22A5F07}" name="N° FACTURE" dataDxfId="24"/>
    <tableColumn id="14" xr3:uid="{4B49506A-2B25-4E0A-982D-D584E936136A}" name="STATUT DU DOSSIER" data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B4:K5">
  <autoFilter ref="B4:K5" xr:uid="{00000000-0009-0000-0100-000002000000}"/>
  <tableColumns count="10">
    <tableColumn id="2" xr3:uid="{00000000-0010-0000-0100-000002000000}" name="TRANSITAIRE"/>
    <tableColumn id="3" xr3:uid="{00000000-0010-0000-0100-000003000000}" name="DOSSIER / N° BKG"/>
    <tableColumn id="4" xr3:uid="{00000000-0010-0000-0100-000004000000}" name="MONTANT DU DOSSIER"/>
    <tableColumn id="5" xr3:uid="{00000000-0010-0000-0100-000005000000}" name="DÉPENSES ENGAGÉES"/>
    <tableColumn id="6" xr3:uid="{00000000-0010-0000-0100-000006000000}" name="MONTANT RESTANT"/>
    <tableColumn id="7" xr3:uid="{00000000-0010-0000-0100-000007000000}" name="% CONSOMMÉ"/>
    <tableColumn id="8" xr3:uid="{00000000-0010-0000-0100-000008000000}" name="DATE DE PRISE"/>
    <tableColumn id="9" xr3:uid="{00000000-0010-0000-0100-000009000000}" name="OBSERVATION"/>
    <tableColumn id="10" xr3:uid="{00000000-0010-0000-0100-00000A000000}" name="STATUT"/>
    <tableColumn id="11" xr3:uid="{00000000-0010-0000-0100-00000B000000}" name="CONTRÔLE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D99EC4-9514-4EAD-A786-097A92F60DFE}" name="Tableau4" displayName="Tableau4" ref="A1:N5" totalsRowShown="0" headerRowDxfId="59" dataDxfId="57" headerRowBorderDxfId="58" tableBorderDxfId="56">
  <autoFilter ref="A1:N5" xr:uid="{7ED99EC4-9514-4EAD-A786-097A92F60DFE}"/>
  <tableColumns count="14">
    <tableColumn id="1" xr3:uid="{65119CC2-C4F5-49F7-AE44-F16C88B6B94D}" name="DATE" dataDxfId="55"/>
    <tableColumn id="2" xr3:uid="{EE6E8626-610C-4127-8E32-EF8D51C532D5}" name="TRANSITAIRE" dataDxfId="54"/>
    <tableColumn id="3" xr3:uid="{F49EBD6D-E680-4A01-B989-DAD7BA7D1F31}" name="DESCRIPTION" dataDxfId="53"/>
    <tableColumn id="4" xr3:uid="{C1AF5E2E-540F-492D-B015-5BDEE7DB1308}" name="N° BKG" dataDxfId="52"/>
    <tableColumn id="5" xr3:uid="{44DC173D-E1AC-405B-B8F7-9F219CAA7A60}" name="NOMBRE DE TEU" dataDxfId="51"/>
    <tableColumn id="6" xr3:uid="{E7F75367-5252-4BE5-BE80-F5CF089AECB4}" name="PRIX PAR TEU" dataDxfId="50"/>
    <tableColumn id="7" xr3:uid="{089F2929-9CDB-4658-85E7-E10173E36247}" name="POIDS" dataDxfId="49"/>
    <tableColumn id="8" xr3:uid="{E23A4516-3F1C-4286-938F-2520E3711B70}" name="MONTANT" dataDxfId="48" dataCellStyle="Milliers">
      <calculatedColumnFormula>E2*F2</calculatedColumnFormula>
    </tableColumn>
    <tableColumn id="9" xr3:uid="{C2BC3DE4-231E-4618-ABA1-D327AFB62D5D}" name="PAYEMENT" dataDxfId="47"/>
    <tableColumn id="10" xr3:uid="{A8223362-A75D-49DB-8871-CEF8BC0001C5}" name="SOLDE" dataDxfId="46">
      <calculatedColumnFormula>H2-I2</calculatedColumnFormula>
    </tableColumn>
    <tableColumn id="11" xr3:uid="{2240478E-84FC-4C4E-AA43-C4034A849F04}" name="MODE DE PAYEMENT" dataDxfId="45"/>
    <tableColumn id="12" xr3:uid="{30FB0A46-6E7E-4BD9-9D21-4AFBAA070E4D}" name="BANQUE" dataDxfId="44"/>
    <tableColumn id="13" xr3:uid="{3CCE5A7A-0B05-4A7D-852E-733EA56D50E4}" name="N° FACTURE" dataDxfId="43"/>
    <tableColumn id="14" xr3:uid="{450A53F5-3BA1-4876-8D3D-9FB7A1C0D17B}" name="STATUT DU DOSSIER" dataDxfId="4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4BB0D5-F9C2-4791-BAAF-3765E50835CA}" name="Tableau14" displayName="Tableau14" ref="A1:N4" headerRowDxfId="22" dataDxfId="20" totalsRowDxfId="18" headerRowBorderDxfId="21" tableBorderDxfId="19">
  <autoFilter ref="A1:N4" xr:uid="{00000000-000C-0000-FFFF-FFFF00000000}"/>
  <tableColumns count="14">
    <tableColumn id="1" xr3:uid="{5F1400D3-F2D2-4893-90A3-8FC76DE2AE06}" name="DATE" dataDxfId="17"/>
    <tableColumn id="2" xr3:uid="{703869EA-07A0-468B-BED7-7A93DB674BB7}" name="TRANSITAIRE" dataDxfId="16"/>
    <tableColumn id="3" xr3:uid="{CFD2DFF8-BD00-4D53-99E5-8EBD87172ACB}" name="DESCRIPTION" dataDxfId="15"/>
    <tableColumn id="4" xr3:uid="{8BCCEBD6-41ED-43B2-B1C9-D8560994FF98}" name="N° BKG" dataDxfId="14"/>
    <tableColumn id="5" xr3:uid="{0D41E881-CD3E-422F-800C-B9B42D0C4C54}" name="NOMBRE DE TEU" dataDxfId="13"/>
    <tableColumn id="6" xr3:uid="{95A5A78A-0929-4F3E-9A79-9BEDD652F256}" name="PRIX PAR TEU" dataDxfId="12"/>
    <tableColumn id="7" xr3:uid="{D2C0EE6C-B898-4607-8CA7-E1CBDD766AA6}" name="POIDS" dataDxfId="11"/>
    <tableColumn id="8" xr3:uid="{D73C0ADF-CDDC-42BF-80DB-D9865EF847A8}" name="MONTANT" dataDxfId="10" dataCellStyle="Milliers">
      <calculatedColumnFormula>E2*F2</calculatedColumnFormula>
    </tableColumn>
    <tableColumn id="9" xr3:uid="{8A85F5E6-52BC-40AB-A713-DB15EE2DEFDB}" name="PAYEMENT" dataDxfId="9"/>
    <tableColumn id="10" xr3:uid="{F0076B1A-F4B9-4178-9FA7-CF894EAD9146}" name="SOLDE" dataDxfId="8"/>
    <tableColumn id="11" xr3:uid="{5DE20A9E-87CB-480F-969E-885409D023DD}" name="MODE DE PAYEMENT" dataDxfId="7"/>
    <tableColumn id="12" xr3:uid="{54157962-6FD3-479F-95CC-A0739569A5C6}" name="BANQUE" dataDxfId="6"/>
    <tableColumn id="13" xr3:uid="{3BE876FE-6C2C-4BC8-BD3C-74D8F905A192}" name="N° FACTURE" dataDxfId="5"/>
    <tableColumn id="14" xr3:uid="{7A67FA50-A774-4928-96BA-1DDF5C50F128}" name="STATUT DU DOSSIER" dataDxfId="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V21"/>
  <sheetViews>
    <sheetView showGridLines="0" workbookViewId="0">
      <selection activeCell="B13" activeCellId="11" sqref="B6 D6 F6 H6 J6 L6 L13 J13 H13 F13 D13 B13"/>
    </sheetView>
  </sheetViews>
  <sheetFormatPr baseColWidth="10" defaultColWidth="21" defaultRowHeight="14.5" x14ac:dyDescent="0.35"/>
  <cols>
    <col min="1" max="1" width="3.54296875" customWidth="1"/>
    <col min="3" max="3" width="1.08984375" customWidth="1"/>
    <col min="5" max="5" width="1.6328125" customWidth="1"/>
    <col min="7" max="7" width="1.453125" customWidth="1"/>
    <col min="9" max="9" width="1.54296875" customWidth="1"/>
    <col min="11" max="11" width="1.26953125" customWidth="1"/>
  </cols>
  <sheetData>
    <row r="1" spans="1:22" ht="14.5" customHeight="1" x14ac:dyDescent="0.35">
      <c r="A1" s="3"/>
      <c r="B1" s="48" t="s">
        <v>2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3"/>
      <c r="N1" s="3"/>
      <c r="O1" s="3"/>
      <c r="P1" s="3"/>
      <c r="Q1" s="3"/>
      <c r="R1" s="3"/>
      <c r="S1" s="3"/>
      <c r="T1" s="3"/>
      <c r="U1" s="3"/>
      <c r="V1" s="3"/>
    </row>
    <row r="2" spans="1:22" ht="14.5" customHeight="1" x14ac:dyDescent="0.35">
      <c r="A2" s="3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3"/>
      <c r="N2" s="3"/>
      <c r="O2" s="3"/>
      <c r="P2" s="3"/>
      <c r="Q2" s="3"/>
      <c r="R2" s="3"/>
      <c r="S2" s="3"/>
      <c r="T2" s="3"/>
      <c r="U2" s="3"/>
      <c r="V2" s="3"/>
    </row>
    <row r="3" spans="1:22" ht="14.5" customHeight="1" x14ac:dyDescent="0.35">
      <c r="A3" s="3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3"/>
      <c r="N3" s="3"/>
      <c r="O3" s="3"/>
      <c r="P3" s="3"/>
      <c r="Q3" s="3"/>
      <c r="R3" s="3"/>
      <c r="S3" s="3"/>
      <c r="T3" s="3"/>
      <c r="U3" s="3"/>
      <c r="V3" s="3"/>
    </row>
    <row r="5" spans="1:22" x14ac:dyDescent="0.35">
      <c r="B5" s="4" t="s">
        <v>3</v>
      </c>
      <c r="D5" s="4" t="s">
        <v>0</v>
      </c>
      <c r="F5" s="4" t="s">
        <v>4</v>
      </c>
      <c r="H5" s="4" t="s">
        <v>5</v>
      </c>
      <c r="J5" s="4" t="s">
        <v>6</v>
      </c>
      <c r="L5" s="4" t="s">
        <v>7</v>
      </c>
    </row>
    <row r="6" spans="1:22" x14ac:dyDescent="0.35">
      <c r="B6" s="7"/>
      <c r="D6" s="5"/>
      <c r="F6" s="6"/>
      <c r="H6" s="5"/>
      <c r="J6" s="5"/>
      <c r="L6" s="5"/>
    </row>
    <row r="12" spans="1:22" x14ac:dyDescent="0.35">
      <c r="B12" s="4" t="s">
        <v>8</v>
      </c>
      <c r="D12" s="4" t="s">
        <v>9</v>
      </c>
      <c r="F12" s="4" t="s">
        <v>10</v>
      </c>
      <c r="H12" s="4" t="s">
        <v>11</v>
      </c>
      <c r="J12" s="4" t="s">
        <v>12</v>
      </c>
      <c r="L12" s="4" t="s">
        <v>13</v>
      </c>
    </row>
    <row r="13" spans="1:22" x14ac:dyDescent="0.35">
      <c r="B13" s="5"/>
      <c r="D13" s="5"/>
      <c r="F13" s="5"/>
      <c r="H13" s="5"/>
      <c r="J13" s="5"/>
      <c r="L13" s="5"/>
    </row>
    <row r="17" spans="2:10" x14ac:dyDescent="0.35">
      <c r="J17" s="19" t="s">
        <v>59</v>
      </c>
    </row>
    <row r="20" spans="2:10" x14ac:dyDescent="0.35">
      <c r="B20" s="10"/>
    </row>
    <row r="21" spans="2:10" x14ac:dyDescent="0.35">
      <c r="B21" s="9"/>
    </row>
  </sheetData>
  <sheetProtection sheet="1" objects="1" scenarios="1" selectLockedCells="1"/>
  <mergeCells count="1">
    <mergeCell ref="B1:L3"/>
  </mergeCells>
  <dataValidations count="4">
    <dataValidation type="list" allowBlank="1" showInputMessage="1" showErrorMessage="1" sqref="D6" xr:uid="{00000000-0002-0000-0100-000000000000}">
      <formula1>Transitaire</formula1>
    </dataValidation>
    <dataValidation type="list" allowBlank="1" showInputMessage="1" showErrorMessage="1" sqref="F13" xr:uid="{00000000-0002-0000-0100-000001000000}">
      <formula1>Mode_de_paiement</formula1>
    </dataValidation>
    <dataValidation type="list" allowBlank="1" showInputMessage="1" showErrorMessage="1" sqref="H13" xr:uid="{00000000-0002-0000-0100-000002000000}">
      <formula1>Banque</formula1>
    </dataValidation>
    <dataValidation type="list" allowBlank="1" showInputMessage="1" showErrorMessage="1" sqref="B21 L13" xr:uid="{00000000-0002-0000-0100-000003000000}">
      <formula1>Statut_du_dossier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Macro2">
                <anchor moveWithCells="1" sizeWithCells="1">
                  <from>
                    <xdr:col>9</xdr:col>
                    <xdr:colOff>6350</xdr:colOff>
                    <xdr:row>16</xdr:row>
                    <xdr:rowOff>0</xdr:rowOff>
                  </from>
                  <to>
                    <xdr:col>9</xdr:col>
                    <xdr:colOff>1460500</xdr:colOff>
                    <xdr:row>17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O6"/>
  <sheetViews>
    <sheetView showGridLines="0" tabSelected="1" zoomScale="104" zoomScaleNormal="104" workbookViewId="0">
      <pane ySplit="1" topLeftCell="A2" activePane="bottomLeft" state="frozen"/>
      <selection pane="bottomLeft" activeCell="E17" sqref="E17"/>
    </sheetView>
  </sheetViews>
  <sheetFormatPr baseColWidth="10" defaultColWidth="21.6328125" defaultRowHeight="17" customHeight="1" x14ac:dyDescent="0.35"/>
  <cols>
    <col min="1" max="1" width="12" style="8" customWidth="1"/>
    <col min="2" max="2" width="18" customWidth="1"/>
    <col min="3" max="4" width="28" customWidth="1"/>
    <col min="5" max="5" width="16" customWidth="1"/>
    <col min="6" max="6" width="24.08984375" style="1" customWidth="1"/>
    <col min="7" max="7" width="15" style="1" customWidth="1"/>
    <col min="8" max="8" width="14" customWidth="1"/>
    <col min="9" max="11" width="16" customWidth="1"/>
    <col min="12" max="12" width="20.1796875" style="1" customWidth="1"/>
    <col min="13" max="13" width="18" style="1" customWidth="1"/>
    <col min="14" max="14" width="16" customWidth="1"/>
    <col min="15" max="15" width="20" style="1" customWidth="1"/>
    <col min="16" max="16" width="21.6328125" style="1" customWidth="1"/>
    <col min="17" max="16384" width="21.6328125" style="1"/>
  </cols>
  <sheetData>
    <row r="1" spans="1:15" ht="17" customHeight="1" x14ac:dyDescent="0.35">
      <c r="A1" s="25" t="s">
        <v>14</v>
      </c>
      <c r="B1" s="26" t="s">
        <v>15</v>
      </c>
      <c r="C1" s="26" t="s">
        <v>16</v>
      </c>
      <c r="D1" s="26" t="s">
        <v>64</v>
      </c>
      <c r="E1" s="26" t="s">
        <v>17</v>
      </c>
      <c r="F1" s="26" t="s">
        <v>18</v>
      </c>
      <c r="G1" s="26" t="s">
        <v>19</v>
      </c>
      <c r="H1" s="26" t="s">
        <v>20</v>
      </c>
      <c r="I1" s="27" t="s">
        <v>21</v>
      </c>
      <c r="J1" s="26" t="s">
        <v>22</v>
      </c>
      <c r="K1" s="26" t="s">
        <v>23</v>
      </c>
      <c r="L1" s="26" t="s">
        <v>24</v>
      </c>
      <c r="M1" s="26" t="s">
        <v>25</v>
      </c>
      <c r="N1" s="26" t="s">
        <v>26</v>
      </c>
      <c r="O1" s="28" t="s">
        <v>27</v>
      </c>
    </row>
    <row r="2" spans="1:15" ht="17" customHeight="1" x14ac:dyDescent="0.35">
      <c r="A2" s="23"/>
      <c r="B2" s="20" t="s">
        <v>44</v>
      </c>
      <c r="C2" s="20" t="s">
        <v>60</v>
      </c>
      <c r="D2" s="20"/>
      <c r="E2" s="20">
        <v>277770098</v>
      </c>
      <c r="F2" s="20">
        <v>6</v>
      </c>
      <c r="G2" s="20"/>
      <c r="H2" s="20"/>
      <c r="I2" s="21">
        <f>F2*G2</f>
        <v>0</v>
      </c>
      <c r="J2" s="20"/>
      <c r="K2" s="22">
        <f>I2-J2</f>
        <v>0</v>
      </c>
      <c r="L2" s="20"/>
      <c r="M2" s="20"/>
      <c r="N2" s="20"/>
      <c r="O2" s="24" t="s">
        <v>1</v>
      </c>
    </row>
    <row r="3" spans="1:15" ht="17" customHeight="1" x14ac:dyDescent="0.35">
      <c r="A3" s="23"/>
      <c r="B3" s="20" t="s">
        <v>44</v>
      </c>
      <c r="C3" s="20" t="s">
        <v>60</v>
      </c>
      <c r="D3" s="20"/>
      <c r="E3" s="20">
        <v>277443031</v>
      </c>
      <c r="F3" s="20">
        <v>6</v>
      </c>
      <c r="G3" s="20"/>
      <c r="H3" s="20"/>
      <c r="I3" s="21">
        <f t="shared" ref="I3:I6" si="0">F3*G3</f>
        <v>0</v>
      </c>
      <c r="J3" s="20"/>
      <c r="K3" s="22">
        <f>I3-J3+K2</f>
        <v>0</v>
      </c>
      <c r="L3" s="20"/>
      <c r="M3" s="20"/>
      <c r="N3" s="20"/>
      <c r="O3" s="24" t="s">
        <v>62</v>
      </c>
    </row>
    <row r="4" spans="1:15" ht="17" customHeight="1" x14ac:dyDescent="0.35">
      <c r="A4" s="23"/>
      <c r="B4" s="20" t="s">
        <v>44</v>
      </c>
      <c r="C4" s="20" t="s">
        <v>60</v>
      </c>
      <c r="D4" s="20"/>
      <c r="E4" s="20">
        <v>277243596</v>
      </c>
      <c r="F4" s="20">
        <v>4</v>
      </c>
      <c r="G4" s="20"/>
      <c r="H4" s="20"/>
      <c r="I4" s="21">
        <f t="shared" si="0"/>
        <v>0</v>
      </c>
      <c r="J4" s="20"/>
      <c r="K4" s="22">
        <f t="shared" ref="K4:K6" si="1">I4-J4+K3</f>
        <v>0</v>
      </c>
      <c r="L4" s="20"/>
      <c r="M4" s="20"/>
      <c r="N4" s="20"/>
      <c r="O4" s="24" t="s">
        <v>62</v>
      </c>
    </row>
    <row r="5" spans="1:15" ht="17" customHeight="1" x14ac:dyDescent="0.35">
      <c r="A5" s="23"/>
      <c r="B5" s="20" t="s">
        <v>44</v>
      </c>
      <c r="C5" s="20" t="s">
        <v>60</v>
      </c>
      <c r="D5" s="20"/>
      <c r="E5" s="20">
        <v>277243441</v>
      </c>
      <c r="F5" s="20">
        <v>6</v>
      </c>
      <c r="G5" s="20"/>
      <c r="H5" s="20"/>
      <c r="I5" s="21">
        <f t="shared" si="0"/>
        <v>0</v>
      </c>
      <c r="J5" s="20"/>
      <c r="K5" s="22">
        <f t="shared" si="1"/>
        <v>0</v>
      </c>
      <c r="L5" s="20"/>
      <c r="M5" s="20"/>
      <c r="N5" s="20"/>
      <c r="O5" s="24" t="s">
        <v>62</v>
      </c>
    </row>
    <row r="6" spans="1:15" ht="17" customHeight="1" x14ac:dyDescent="0.35">
      <c r="A6" s="43"/>
      <c r="B6" s="30" t="s">
        <v>44</v>
      </c>
      <c r="C6" s="30" t="s">
        <v>60</v>
      </c>
      <c r="D6" s="30"/>
      <c r="E6" s="30">
        <v>279110602</v>
      </c>
      <c r="F6" s="47">
        <v>6</v>
      </c>
      <c r="G6" s="44"/>
      <c r="H6" s="45"/>
      <c r="I6" s="21">
        <f t="shared" si="0"/>
        <v>0</v>
      </c>
      <c r="J6" s="45"/>
      <c r="K6" s="22">
        <f t="shared" si="1"/>
        <v>0</v>
      </c>
      <c r="L6" s="44"/>
      <c r="M6" s="44"/>
      <c r="N6" s="45"/>
      <c r="O6" s="46" t="s">
        <v>1</v>
      </c>
    </row>
  </sheetData>
  <dataValidations count="4">
    <dataValidation type="list" allowBlank="1" sqref="B2:B6" xr:uid="{00000000-0002-0000-0200-000000000000}">
      <formula1>Transitaire</formula1>
    </dataValidation>
    <dataValidation type="list" allowBlank="1" sqref="L2:L5" xr:uid="{00000000-0002-0000-0200-000001000000}">
      <formula1>Mode_de_paiement</formula1>
    </dataValidation>
    <dataValidation type="list" allowBlank="1" sqref="M2:M5" xr:uid="{00000000-0002-0000-0200-000002000000}">
      <formula1>Banque</formula1>
    </dataValidation>
    <dataValidation type="list" allowBlank="1" sqref="O2:O5" xr:uid="{00000000-0002-0000-0200-000003000000}">
      <formula1>Statut_du_dossier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B1:K5"/>
  <sheetViews>
    <sheetView showGridLines="0" workbookViewId="0">
      <pane xSplit="1" ySplit="4" topLeftCell="C17" activePane="bottomRight" state="frozen"/>
      <selection pane="topRight"/>
      <selection pane="bottomLeft"/>
      <selection pane="bottomRight" activeCell="F4" sqref="F4"/>
    </sheetView>
  </sheetViews>
  <sheetFormatPr baseColWidth="10" defaultRowHeight="14.5" x14ac:dyDescent="0.35"/>
  <cols>
    <col min="1" max="1" width="3.453125" customWidth="1"/>
    <col min="2" max="6" width="20" customWidth="1"/>
    <col min="7" max="7" width="15" customWidth="1"/>
    <col min="8" max="8" width="16" customWidth="1"/>
    <col min="9" max="9" width="30" customWidth="1"/>
    <col min="10" max="10" width="18" customWidth="1"/>
    <col min="11" max="11" width="16" customWidth="1"/>
  </cols>
  <sheetData>
    <row r="1" spans="2:11" x14ac:dyDescent="0.35">
      <c r="B1" s="50" t="s">
        <v>28</v>
      </c>
      <c r="C1" s="49"/>
      <c r="D1" s="49"/>
      <c r="E1" s="49"/>
      <c r="F1" s="49"/>
      <c r="G1" s="49"/>
      <c r="H1" s="49"/>
      <c r="I1" s="49"/>
      <c r="J1" s="49"/>
      <c r="K1" s="49"/>
    </row>
    <row r="2" spans="2:11" x14ac:dyDescent="0.35">
      <c r="B2" s="49"/>
      <c r="C2" s="49"/>
      <c r="D2" s="49"/>
      <c r="E2" s="49"/>
      <c r="F2" s="49"/>
      <c r="G2" s="49"/>
      <c r="H2" s="49"/>
      <c r="I2" s="49"/>
      <c r="J2" s="49"/>
      <c r="K2" s="49"/>
    </row>
    <row r="3" spans="2:11" s="12" customFormat="1" x14ac:dyDescent="0.35">
      <c r="B3" s="11"/>
      <c r="C3" s="11"/>
      <c r="D3" s="11"/>
      <c r="E3" s="11"/>
      <c r="F3" s="11"/>
      <c r="G3" s="11"/>
    </row>
    <row r="4" spans="2:11" ht="29" x14ac:dyDescent="0.35">
      <c r="B4" s="13" t="s">
        <v>15</v>
      </c>
      <c r="C4" s="13" t="s">
        <v>29</v>
      </c>
      <c r="D4" s="13" t="s">
        <v>30</v>
      </c>
      <c r="E4" s="13" t="s">
        <v>31</v>
      </c>
      <c r="F4" s="13" t="s">
        <v>32</v>
      </c>
      <c r="G4" s="13" t="s">
        <v>33</v>
      </c>
      <c r="H4" s="13" t="s">
        <v>34</v>
      </c>
      <c r="I4" s="13" t="s">
        <v>35</v>
      </c>
      <c r="J4" s="13" t="s">
        <v>36</v>
      </c>
      <c r="K4" s="13" t="s">
        <v>37</v>
      </c>
    </row>
    <row r="5" spans="2:11" x14ac:dyDescent="0.35">
      <c r="B5" s="14"/>
      <c r="C5" s="14"/>
      <c r="D5" s="15"/>
      <c r="E5" s="15"/>
      <c r="F5" s="15"/>
      <c r="G5" s="16"/>
      <c r="H5" s="17"/>
      <c r="I5" s="14"/>
      <c r="J5" s="14"/>
      <c r="K5" s="14"/>
    </row>
  </sheetData>
  <mergeCells count="1">
    <mergeCell ref="B1:K2"/>
  </mergeCells>
  <conditionalFormatting sqref="F5">
    <cfRule type="cellIs" dxfId="3" priority="1" operator="lessThan">
      <formula>0</formula>
    </cfRule>
  </conditionalFormatting>
  <conditionalFormatting sqref="K5">
    <cfRule type="expression" dxfId="2" priority="2">
      <formula>K5="DÉPASSEMENT"</formula>
    </cfRule>
    <cfRule type="expression" dxfId="1" priority="3">
      <formula>K5="OK"</formula>
    </cfRule>
  </conditionalFormatting>
  <dataValidations count="2">
    <dataValidation type="list" allowBlank="1" sqref="B5" xr:uid="{00000000-0002-0000-0300-000000000000}">
      <formula1>Transitaire</formula1>
    </dataValidation>
    <dataValidation type="list" allowBlank="1" sqref="J5" xr:uid="{00000000-0002-0000-0300-000001000000}">
      <formula1>Statut_du_dossier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0D8D8-95D9-47A0-80C1-95E4F7EB80B8}">
  <sheetPr codeName="Feuil7"/>
  <dimension ref="A1:N5"/>
  <sheetViews>
    <sheetView showGridLines="0" zoomScale="96" zoomScaleNormal="96" workbookViewId="0">
      <pane ySplit="1" topLeftCell="A2" activePane="bottomLeft" state="frozen"/>
      <selection pane="bottomLeft" activeCell="G5" sqref="G5"/>
    </sheetView>
  </sheetViews>
  <sheetFormatPr baseColWidth="10" defaultColWidth="21.6328125" defaultRowHeight="14.5" x14ac:dyDescent="0.35"/>
  <cols>
    <col min="1" max="1" width="12" style="8" customWidth="1"/>
    <col min="2" max="2" width="18" customWidth="1"/>
    <col min="3" max="3" width="28" customWidth="1"/>
    <col min="4" max="4" width="16" customWidth="1"/>
    <col min="5" max="5" width="24.08984375" style="1" customWidth="1"/>
    <col min="6" max="6" width="15" style="1" customWidth="1"/>
    <col min="7" max="7" width="14" customWidth="1"/>
    <col min="8" max="10" width="16" customWidth="1"/>
    <col min="11" max="11" width="20.36328125" style="1" customWidth="1"/>
    <col min="12" max="12" width="18" style="1" customWidth="1"/>
    <col min="13" max="13" width="16" customWidth="1"/>
    <col min="14" max="14" width="20" style="1" customWidth="1"/>
    <col min="15" max="15" width="21.6328125" style="1" customWidth="1"/>
    <col min="16" max="16384" width="21.6328125" style="1"/>
  </cols>
  <sheetData>
    <row r="1" spans="1:14" s="10" customFormat="1" x14ac:dyDescent="0.35">
      <c r="A1" s="25" t="s">
        <v>14</v>
      </c>
      <c r="B1" s="26" t="s">
        <v>15</v>
      </c>
      <c r="C1" s="26" t="s">
        <v>16</v>
      </c>
      <c r="D1" s="26" t="s">
        <v>17</v>
      </c>
      <c r="E1" s="26" t="s">
        <v>18</v>
      </c>
      <c r="F1" s="26" t="s">
        <v>19</v>
      </c>
      <c r="G1" s="26" t="s">
        <v>20</v>
      </c>
      <c r="H1" s="27" t="s">
        <v>21</v>
      </c>
      <c r="I1" s="26" t="s">
        <v>22</v>
      </c>
      <c r="J1" s="26" t="s">
        <v>23</v>
      </c>
      <c r="K1" s="26" t="s">
        <v>24</v>
      </c>
      <c r="L1" s="40" t="s">
        <v>25</v>
      </c>
      <c r="M1" s="26" t="s">
        <v>26</v>
      </c>
      <c r="N1" s="26" t="s">
        <v>27</v>
      </c>
    </row>
    <row r="2" spans="1:14" x14ac:dyDescent="0.35">
      <c r="A2" s="41"/>
      <c r="B2" s="20" t="s">
        <v>44</v>
      </c>
      <c r="C2" s="20" t="s">
        <v>60</v>
      </c>
      <c r="D2" s="20">
        <v>277770635</v>
      </c>
      <c r="E2" s="34">
        <v>6</v>
      </c>
      <c r="F2" s="34"/>
      <c r="G2" s="34"/>
      <c r="H2" s="35">
        <f>E2*F2</f>
        <v>0</v>
      </c>
      <c r="I2" s="34"/>
      <c r="J2" s="36">
        <f t="shared" ref="J2:J5" si="0">H2-I2</f>
        <v>0</v>
      </c>
      <c r="K2" s="34"/>
      <c r="L2" s="39"/>
      <c r="M2" s="34"/>
      <c r="N2" s="34" t="s">
        <v>1</v>
      </c>
    </row>
    <row r="3" spans="1:14" x14ac:dyDescent="0.35">
      <c r="A3" s="41"/>
      <c r="B3" s="20" t="s">
        <v>44</v>
      </c>
      <c r="C3" s="20" t="s">
        <v>60</v>
      </c>
      <c r="D3" s="20">
        <v>277443418</v>
      </c>
      <c r="E3" s="34">
        <v>5</v>
      </c>
      <c r="F3" s="34"/>
      <c r="G3" s="34"/>
      <c r="H3" s="35">
        <f t="shared" ref="H3:H5" si="1">E3*F3</f>
        <v>0</v>
      </c>
      <c r="I3" s="34"/>
      <c r="J3" s="36">
        <f t="shared" si="0"/>
        <v>0</v>
      </c>
      <c r="K3" s="34"/>
      <c r="L3" s="39"/>
      <c r="M3" s="34"/>
      <c r="N3" s="34" t="s">
        <v>62</v>
      </c>
    </row>
    <row r="4" spans="1:14" x14ac:dyDescent="0.35">
      <c r="A4" s="41"/>
      <c r="B4" s="20" t="s">
        <v>44</v>
      </c>
      <c r="C4" s="20" t="s">
        <v>60</v>
      </c>
      <c r="D4" s="20">
        <v>277243348</v>
      </c>
      <c r="E4" s="34">
        <v>6</v>
      </c>
      <c r="F4" s="34"/>
      <c r="G4" s="34"/>
      <c r="H4" s="35">
        <f t="shared" si="1"/>
        <v>0</v>
      </c>
      <c r="I4" s="34"/>
      <c r="J4" s="36">
        <f t="shared" si="0"/>
        <v>0</v>
      </c>
      <c r="K4" s="34"/>
      <c r="L4" s="39"/>
      <c r="M4" s="34"/>
      <c r="N4" s="34" t="s">
        <v>62</v>
      </c>
    </row>
    <row r="5" spans="1:14" x14ac:dyDescent="0.35">
      <c r="A5" s="42"/>
      <c r="B5" s="20" t="s">
        <v>44</v>
      </c>
      <c r="C5" s="20" t="s">
        <v>60</v>
      </c>
      <c r="D5" s="20">
        <v>279213364</v>
      </c>
      <c r="E5" s="37">
        <v>5</v>
      </c>
      <c r="F5" s="37"/>
      <c r="G5" s="38"/>
      <c r="H5" s="35">
        <f t="shared" si="1"/>
        <v>0</v>
      </c>
      <c r="I5" s="38"/>
      <c r="J5" s="36">
        <f t="shared" si="0"/>
        <v>0</v>
      </c>
      <c r="K5" s="37"/>
      <c r="L5" s="37"/>
      <c r="M5" s="38"/>
      <c r="N5" s="37" t="s">
        <v>1</v>
      </c>
    </row>
  </sheetData>
  <dataValidations count="4">
    <dataValidation type="list" allowBlank="1" sqref="N2:N4" xr:uid="{538B851F-D691-46A4-96B2-EC950F2BA2B6}">
      <formula1>Statut_du_dossier</formula1>
    </dataValidation>
    <dataValidation type="list" allowBlank="1" sqref="L2:L4" xr:uid="{30B01E70-B540-428A-ADDC-DC2C131E7CAA}">
      <formula1>Banque</formula1>
    </dataValidation>
    <dataValidation type="list" allowBlank="1" sqref="K2:K4" xr:uid="{A8632F25-D9F7-4EBA-8850-76E2AC26C66C}">
      <formula1>Mode_de_paiement</formula1>
    </dataValidation>
    <dataValidation type="list" allowBlank="1" sqref="B2:B4" xr:uid="{B5AC28B6-DBE2-4A29-BCFF-1CC5B12D833B}">
      <formula1>Transitaire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2F5B9-DF7E-40D0-9B27-F0D1ED7D546C}">
  <sheetPr codeName="Feuil6"/>
  <dimension ref="A1:N4"/>
  <sheetViews>
    <sheetView showGridLines="0" zoomScale="108" zoomScaleNormal="108" workbookViewId="0">
      <pane ySplit="1" topLeftCell="A2" activePane="bottomLeft" state="frozen"/>
      <selection pane="bottomLeft" activeCell="D4" sqref="D4"/>
    </sheetView>
  </sheetViews>
  <sheetFormatPr baseColWidth="10" defaultColWidth="21.6328125" defaultRowHeight="13.5" customHeight="1" x14ac:dyDescent="0.35"/>
  <cols>
    <col min="1" max="1" width="12" style="8" customWidth="1"/>
    <col min="2" max="2" width="18" customWidth="1"/>
    <col min="3" max="3" width="28" customWidth="1"/>
    <col min="4" max="4" width="16" customWidth="1"/>
    <col min="5" max="5" width="24.08984375" style="1" customWidth="1"/>
    <col min="6" max="6" width="15" style="1" customWidth="1"/>
    <col min="7" max="7" width="14" customWidth="1"/>
    <col min="8" max="10" width="16" customWidth="1"/>
    <col min="11" max="11" width="20" style="1" customWidth="1"/>
    <col min="12" max="12" width="18" style="1" customWidth="1"/>
    <col min="13" max="13" width="16" customWidth="1"/>
    <col min="14" max="14" width="20" style="1" customWidth="1"/>
    <col min="15" max="15" width="21.6328125" style="1" customWidth="1"/>
    <col min="16" max="16384" width="21.6328125" style="1"/>
  </cols>
  <sheetData>
    <row r="1" spans="1:14" ht="13.5" customHeight="1" x14ac:dyDescent="0.35">
      <c r="A1" s="25" t="s">
        <v>14</v>
      </c>
      <c r="B1" s="26" t="s">
        <v>15</v>
      </c>
      <c r="C1" s="26" t="s">
        <v>16</v>
      </c>
      <c r="D1" s="26" t="s">
        <v>17</v>
      </c>
      <c r="E1" s="26" t="s">
        <v>18</v>
      </c>
      <c r="F1" s="26" t="s">
        <v>19</v>
      </c>
      <c r="G1" s="26" t="s">
        <v>20</v>
      </c>
      <c r="H1" s="27" t="s">
        <v>21</v>
      </c>
      <c r="I1" s="26" t="s">
        <v>22</v>
      </c>
      <c r="J1" s="26" t="s">
        <v>23</v>
      </c>
      <c r="K1" s="26" t="s">
        <v>24</v>
      </c>
      <c r="L1" s="26" t="s">
        <v>25</v>
      </c>
      <c r="M1" s="26" t="s">
        <v>26</v>
      </c>
      <c r="N1" s="28" t="s">
        <v>27</v>
      </c>
    </row>
    <row r="2" spans="1:14" ht="13.5" customHeight="1" x14ac:dyDescent="0.35">
      <c r="A2" s="23"/>
      <c r="B2" s="20" t="s">
        <v>61</v>
      </c>
      <c r="C2" s="20" t="s">
        <v>60</v>
      </c>
      <c r="D2" s="20">
        <v>277770206</v>
      </c>
      <c r="E2" s="20">
        <v>5</v>
      </c>
      <c r="F2" s="20"/>
      <c r="G2" s="20"/>
      <c r="H2" s="21">
        <f>E2*F2</f>
        <v>0</v>
      </c>
      <c r="I2" s="20"/>
      <c r="J2" s="22">
        <f>H2-I2</f>
        <v>0</v>
      </c>
      <c r="K2" s="20"/>
      <c r="L2" s="20"/>
      <c r="M2" s="20"/>
      <c r="N2" s="24" t="s">
        <v>1</v>
      </c>
    </row>
    <row r="3" spans="1:14" ht="13.5" customHeight="1" x14ac:dyDescent="0.35">
      <c r="A3" s="29"/>
      <c r="B3" s="20" t="s">
        <v>61</v>
      </c>
      <c r="C3" s="30" t="s">
        <v>60</v>
      </c>
      <c r="D3" s="30">
        <v>277443505</v>
      </c>
      <c r="E3" s="20">
        <v>5</v>
      </c>
      <c r="F3" s="30"/>
      <c r="G3" s="30"/>
      <c r="H3" s="31">
        <f t="shared" ref="H3" si="0">E3*F3</f>
        <v>0</v>
      </c>
      <c r="I3" s="30"/>
      <c r="J3" s="32">
        <f>H3-I3+J2</f>
        <v>0</v>
      </c>
      <c r="K3" s="30"/>
      <c r="L3" s="30"/>
      <c r="M3" s="30"/>
      <c r="N3" s="33" t="s">
        <v>62</v>
      </c>
    </row>
    <row r="4" spans="1:14" ht="13.5" customHeight="1" x14ac:dyDescent="0.35">
      <c r="A4" s="29"/>
      <c r="B4" s="30" t="s">
        <v>61</v>
      </c>
      <c r="C4" s="30" t="s">
        <v>60</v>
      </c>
      <c r="D4" s="30">
        <v>279192866</v>
      </c>
      <c r="E4" s="30"/>
      <c r="F4" s="30"/>
      <c r="G4" s="30"/>
      <c r="H4" s="31">
        <f>E4*F4</f>
        <v>0</v>
      </c>
      <c r="I4" s="30"/>
      <c r="J4" s="32">
        <f>H4-I4+J3</f>
        <v>0</v>
      </c>
      <c r="K4" s="30"/>
      <c r="L4" s="30"/>
      <c r="M4" s="30"/>
      <c r="N4" s="33"/>
    </row>
  </sheetData>
  <dataValidations count="4">
    <dataValidation type="list" allowBlank="1" sqref="N2:N4" xr:uid="{C9606AB8-D1A2-4F70-9DBE-CF479446B279}">
      <formula1>Statut_du_dossier</formula1>
    </dataValidation>
    <dataValidation type="list" allowBlank="1" sqref="L2:L4" xr:uid="{4EAE9BDB-6DDF-4507-A9C1-6247E56CA66D}">
      <formula1>Banque</formula1>
    </dataValidation>
    <dataValidation type="list" allowBlank="1" sqref="K2:K4" xr:uid="{F99169BB-B485-4BB0-87B7-6AA1B342F23C}">
      <formula1>Mode_de_paiement</formula1>
    </dataValidation>
    <dataValidation type="list" allowBlank="1" sqref="B2:B4" xr:uid="{F714CF4D-52E9-44EC-A154-583A20F37BC7}">
      <formula1>Transitaire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C3:F6"/>
  <sheetViews>
    <sheetView showGridLines="0" workbookViewId="0">
      <selection activeCell="E7" sqref="E7"/>
    </sheetView>
  </sheetViews>
  <sheetFormatPr baseColWidth="10" defaultRowHeight="14.5" x14ac:dyDescent="0.35"/>
  <cols>
    <col min="3" max="3" width="17.08984375" customWidth="1"/>
    <col min="4" max="4" width="21" customWidth="1"/>
    <col min="5" max="5" width="19.453125" customWidth="1"/>
    <col min="6" max="6" width="22.81640625" customWidth="1"/>
  </cols>
  <sheetData>
    <row r="3" spans="3:6" x14ac:dyDescent="0.35">
      <c r="C3" s="2" t="s">
        <v>0</v>
      </c>
      <c r="D3" s="2" t="s">
        <v>38</v>
      </c>
      <c r="E3" s="2" t="s">
        <v>13</v>
      </c>
      <c r="F3" s="2" t="s">
        <v>11</v>
      </c>
    </row>
    <row r="4" spans="3:6" x14ac:dyDescent="0.35">
      <c r="C4" t="s">
        <v>61</v>
      </c>
      <c r="D4" t="s">
        <v>39</v>
      </c>
      <c r="E4" t="s">
        <v>1</v>
      </c>
      <c r="F4" t="s">
        <v>40</v>
      </c>
    </row>
    <row r="5" spans="3:6" x14ac:dyDescent="0.35">
      <c r="C5" t="s">
        <v>41</v>
      </c>
      <c r="D5" t="s">
        <v>42</v>
      </c>
      <c r="E5" t="s">
        <v>62</v>
      </c>
      <c r="F5" t="s">
        <v>43</v>
      </c>
    </row>
    <row r="6" spans="3:6" x14ac:dyDescent="0.35">
      <c r="C6" t="s">
        <v>44</v>
      </c>
      <c r="E6" t="s">
        <v>63</v>
      </c>
      <c r="F6" t="s">
        <v>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B1:H9"/>
  <sheetViews>
    <sheetView showGridLines="0" workbookViewId="0"/>
  </sheetViews>
  <sheetFormatPr baseColWidth="10" defaultColWidth="8.7265625" defaultRowHeight="14.5" x14ac:dyDescent="0.35"/>
  <cols>
    <col min="2" max="2" width="25" customWidth="1"/>
    <col min="3" max="3" width="22" customWidth="1"/>
    <col min="4" max="8" width="18" customWidth="1"/>
  </cols>
  <sheetData>
    <row r="1" spans="2:8" x14ac:dyDescent="0.35">
      <c r="B1" s="50" t="s">
        <v>46</v>
      </c>
      <c r="C1" s="49"/>
      <c r="D1" s="49"/>
      <c r="E1" s="49"/>
      <c r="F1" s="49"/>
      <c r="G1" s="49"/>
      <c r="H1" s="49"/>
    </row>
    <row r="2" spans="2:8" x14ac:dyDescent="0.35">
      <c r="B2" s="49"/>
      <c r="C2" s="49"/>
      <c r="D2" s="49"/>
      <c r="E2" s="49"/>
      <c r="F2" s="49"/>
      <c r="G2" s="49"/>
      <c r="H2" s="49"/>
    </row>
    <row r="4" spans="2:8" ht="42" customHeight="1" x14ac:dyDescent="0.35">
      <c r="B4" s="18" t="s">
        <v>47</v>
      </c>
      <c r="C4" s="51" t="s">
        <v>48</v>
      </c>
      <c r="D4" s="49"/>
      <c r="E4" s="49"/>
      <c r="F4" s="49"/>
      <c r="G4" s="49"/>
      <c r="H4" s="49"/>
    </row>
    <row r="5" spans="2:8" ht="42" customHeight="1" x14ac:dyDescent="0.35">
      <c r="B5" s="18" t="s">
        <v>49</v>
      </c>
      <c r="C5" s="51" t="s">
        <v>50</v>
      </c>
      <c r="D5" s="49"/>
      <c r="E5" s="49"/>
      <c r="F5" s="49"/>
      <c r="G5" s="49"/>
      <c r="H5" s="49"/>
    </row>
    <row r="6" spans="2:8" ht="42" customHeight="1" x14ac:dyDescent="0.35">
      <c r="B6" s="18" t="s">
        <v>51</v>
      </c>
      <c r="C6" s="51" t="s">
        <v>52</v>
      </c>
      <c r="D6" s="49"/>
      <c r="E6" s="49"/>
      <c r="F6" s="49"/>
      <c r="G6" s="49"/>
      <c r="H6" s="49"/>
    </row>
    <row r="7" spans="2:8" ht="42" customHeight="1" x14ac:dyDescent="0.35">
      <c r="B7" s="18" t="s">
        <v>53</v>
      </c>
      <c r="C7" s="51" t="s">
        <v>54</v>
      </c>
      <c r="D7" s="49"/>
      <c r="E7" s="49"/>
      <c r="F7" s="49"/>
      <c r="G7" s="49"/>
      <c r="H7" s="49"/>
    </row>
    <row r="8" spans="2:8" ht="42" customHeight="1" x14ac:dyDescent="0.35">
      <c r="B8" s="18" t="s">
        <v>55</v>
      </c>
      <c r="C8" s="51" t="s">
        <v>56</v>
      </c>
      <c r="D8" s="49"/>
      <c r="E8" s="49"/>
      <c r="F8" s="49"/>
      <c r="G8" s="49"/>
      <c r="H8" s="49"/>
    </row>
    <row r="9" spans="2:8" ht="42" customHeight="1" x14ac:dyDescent="0.35">
      <c r="B9" s="18" t="s">
        <v>57</v>
      </c>
      <c r="C9" s="51" t="s">
        <v>58</v>
      </c>
      <c r="D9" s="49"/>
      <c r="E9" s="49"/>
      <c r="F9" s="49"/>
      <c r="G9" s="49"/>
      <c r="H9" s="49"/>
    </row>
  </sheetData>
  <mergeCells count="7">
    <mergeCell ref="C9:H9"/>
    <mergeCell ref="C8:H8"/>
    <mergeCell ref="C4:H4"/>
    <mergeCell ref="B1:H2"/>
    <mergeCell ref="C6:H6"/>
    <mergeCell ref="C7:H7"/>
    <mergeCell ref="C5:H5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4</vt:i4>
      </vt:variant>
    </vt:vector>
  </HeadingPairs>
  <TitlesOfParts>
    <vt:vector size="11" baseType="lpstr">
      <vt:lpstr>FORMS</vt:lpstr>
      <vt:lpstr>HAMA INTER</vt:lpstr>
      <vt:lpstr>VUE</vt:lpstr>
      <vt:lpstr>RAJIBER</vt:lpstr>
      <vt:lpstr>TRANS SOHA</vt:lpstr>
      <vt:lpstr>liste</vt:lpstr>
      <vt:lpstr>GUIDE</vt:lpstr>
      <vt:lpstr>Banque</vt:lpstr>
      <vt:lpstr>Mode_de_paiement</vt:lpstr>
      <vt:lpstr>Statut_du_dossier</vt:lpstr>
      <vt:lpstr>Transitaire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nap sarl</cp:lastModifiedBy>
  <dcterms:created xsi:type="dcterms:W3CDTF">2015-06-05T18:17:20Z</dcterms:created>
  <dcterms:modified xsi:type="dcterms:W3CDTF">2026-10-07T12:05:09Z</dcterms:modified>
</cp:coreProperties>
</file>